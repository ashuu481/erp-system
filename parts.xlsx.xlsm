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ADIANCE\Downloads\"/>
    </mc:Choice>
  </mc:AlternateContent>
  <bookViews>
    <workbookView xWindow="0" yWindow="0" windowWidth="19200" windowHeight="8115" firstSheet="1" activeTab="1"/>
  </bookViews>
  <sheets>
    <sheet name="MASTER SHEET" sheetId="1" r:id="rId1"/>
    <sheet name="SUPLIER INWARD" sheetId="21" r:id="rId2"/>
    <sheet name="PRODUCTION" sheetId="2" r:id="rId3"/>
    <sheet name=" WIP " sheetId="3" r:id="rId4"/>
    <sheet name=" FG" sheetId="5" r:id="rId5"/>
    <sheet name="DAY WISE RECORD OCT-2024" sheetId="19" r:id="rId6"/>
  </sheets>
  <externalReferences>
    <externalReference r:id="rId7"/>
    <externalReference r:id="rId8"/>
  </externalReferences>
  <definedNames>
    <definedName name="_xlnm._FilterDatabase" localSheetId="4" hidden="1">' FG'!$A$2:$EB$203</definedName>
    <definedName name="_xlnm._FilterDatabase" localSheetId="3" hidden="1">' WIP '!$A$2:$FG$2</definedName>
    <definedName name="_xlnm._FilterDatabase" localSheetId="0" hidden="1">'MASTER SHEET'!$A$2:$H$203</definedName>
    <definedName name="_xlnm._FilterDatabase" localSheetId="2" hidden="1">PRODUCTION!$A$2:$FE$202</definedName>
    <definedName name="_xlnm._FilterDatabase" localSheetId="1" hidden="1">'SUPLIER INWARD'!$A$2:$FG$203</definedName>
    <definedName name="_xlnm.Print_Area" localSheetId="0">'MASTER SHEET'!$A$2:$H$1048362</definedName>
    <definedName name="_xlnm.Print_Area" localSheetId="1">'SUPLIER INWARD'!$A$1:$FG$200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8" i="19" l="1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D97" i="3" l="1"/>
  <c r="D163" i="3" l="1"/>
  <c r="D132" i="3"/>
  <c r="D44" i="3"/>
  <c r="D7" i="3"/>
  <c r="CX33" i="3" l="1"/>
  <c r="D90" i="3"/>
  <c r="D14" i="3" l="1"/>
  <c r="CO14" i="3"/>
  <c r="CS14" i="3"/>
  <c r="CS176" i="3" l="1"/>
  <c r="CT187" i="3" l="1"/>
  <c r="CT19" i="3"/>
  <c r="D21" i="3" l="1"/>
  <c r="CL138" i="2" l="1"/>
  <c r="CL127" i="2"/>
  <c r="CK127" i="2"/>
  <c r="CL43" i="3" l="1"/>
  <c r="BN13" i="5"/>
  <c r="CL182" i="2"/>
  <c r="CK182" i="2"/>
  <c r="CL181" i="2"/>
  <c r="CK181" i="2"/>
  <c r="CL145" i="2"/>
  <c r="CK145" i="2"/>
  <c r="CM122" i="2"/>
  <c r="CL122" i="2"/>
  <c r="CK122" i="2"/>
  <c r="CL124" i="2"/>
  <c r="CK124" i="2"/>
  <c r="CL179" i="2"/>
  <c r="CL178" i="2"/>
  <c r="CK179" i="2"/>
  <c r="CK178" i="2"/>
  <c r="CL30" i="2"/>
  <c r="CK30" i="2"/>
  <c r="CL13" i="2"/>
  <c r="CK13" i="2"/>
  <c r="CK91" i="2"/>
  <c r="CK11" i="21" l="1"/>
  <c r="D11" i="3" l="1"/>
  <c r="D103" i="21"/>
  <c r="CC30" i="2" l="1"/>
  <c r="BS109" i="21" l="1"/>
  <c r="BQ103" i="21"/>
  <c r="BN14" i="3" l="1"/>
  <c r="D79" i="3"/>
  <c r="D138" i="3" l="1"/>
  <c r="D127" i="3"/>
  <c r="BF8" i="3" l="1"/>
  <c r="D124" i="3" l="1"/>
  <c r="D174" i="3" l="1"/>
  <c r="D193" i="5" l="1"/>
  <c r="AU103" i="21" l="1"/>
  <c r="AU109" i="21" l="1"/>
  <c r="AP202" i="3" l="1"/>
  <c r="AP91" i="3"/>
  <c r="AP19" i="3"/>
  <c r="D13" i="3" l="1"/>
  <c r="AP181" i="3" l="1"/>
  <c r="D26" i="3" l="1"/>
  <c r="AK14" i="21"/>
  <c r="AL187" i="3" l="1"/>
  <c r="B4" i="2" l="1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B62" i="2"/>
  <c r="C62" i="2"/>
  <c r="B63" i="2"/>
  <c r="C63" i="2"/>
  <c r="B64" i="2"/>
  <c r="C64" i="2"/>
  <c r="B65" i="2"/>
  <c r="C65" i="2"/>
  <c r="B66" i="2"/>
  <c r="C66" i="2"/>
  <c r="B67" i="2"/>
  <c r="C67" i="2"/>
  <c r="B68" i="2"/>
  <c r="C68" i="2"/>
  <c r="B69" i="2"/>
  <c r="C69" i="2"/>
  <c r="B70" i="2"/>
  <c r="C70" i="2"/>
  <c r="B71" i="2"/>
  <c r="C71" i="2"/>
  <c r="B72" i="2"/>
  <c r="C72" i="2"/>
  <c r="B73" i="2"/>
  <c r="C73" i="2"/>
  <c r="B74" i="2"/>
  <c r="C74" i="2"/>
  <c r="B75" i="2"/>
  <c r="C75" i="2"/>
  <c r="B76" i="2"/>
  <c r="C76" i="2"/>
  <c r="B77" i="2"/>
  <c r="C77" i="2"/>
  <c r="B78" i="2"/>
  <c r="C78" i="2"/>
  <c r="B79" i="2"/>
  <c r="C79" i="2"/>
  <c r="B80" i="2"/>
  <c r="C80" i="2"/>
  <c r="B81" i="2"/>
  <c r="C81" i="2"/>
  <c r="B82" i="2"/>
  <c r="C82" i="2"/>
  <c r="B83" i="2"/>
  <c r="C83" i="2"/>
  <c r="B84" i="2"/>
  <c r="C84" i="2"/>
  <c r="B85" i="2"/>
  <c r="C85" i="2"/>
  <c r="B86" i="2"/>
  <c r="C86" i="2"/>
  <c r="B87" i="2"/>
  <c r="C87" i="2"/>
  <c r="B88" i="2"/>
  <c r="C88" i="2"/>
  <c r="B89" i="2"/>
  <c r="C89" i="2"/>
  <c r="B90" i="2"/>
  <c r="C90" i="2"/>
  <c r="B91" i="2"/>
  <c r="C91" i="2"/>
  <c r="B92" i="2"/>
  <c r="C92" i="2"/>
  <c r="B93" i="2"/>
  <c r="C93" i="2"/>
  <c r="B94" i="2"/>
  <c r="C94" i="2"/>
  <c r="B95" i="2"/>
  <c r="C95" i="2"/>
  <c r="B96" i="2"/>
  <c r="C96" i="2"/>
  <c r="B97" i="2"/>
  <c r="C97" i="2"/>
  <c r="B98" i="2"/>
  <c r="C98" i="2"/>
  <c r="B99" i="2"/>
  <c r="C99" i="2"/>
  <c r="B100" i="2"/>
  <c r="C100" i="2"/>
  <c r="B101" i="2"/>
  <c r="C101" i="2"/>
  <c r="B102" i="2"/>
  <c r="C102" i="2"/>
  <c r="B103" i="2"/>
  <c r="C103" i="2"/>
  <c r="B104" i="2"/>
  <c r="C104" i="2"/>
  <c r="B105" i="2"/>
  <c r="C105" i="2"/>
  <c r="B106" i="2"/>
  <c r="C106" i="2"/>
  <c r="B107" i="2"/>
  <c r="C107" i="2"/>
  <c r="B108" i="2"/>
  <c r="C108" i="2"/>
  <c r="B109" i="2"/>
  <c r="C109" i="2"/>
  <c r="B110" i="2"/>
  <c r="C110" i="2"/>
  <c r="B111" i="2"/>
  <c r="C111" i="2"/>
  <c r="B112" i="2"/>
  <c r="C112" i="2"/>
  <c r="B113" i="2"/>
  <c r="C113" i="2"/>
  <c r="B114" i="2"/>
  <c r="C114" i="2"/>
  <c r="B115" i="2"/>
  <c r="C115" i="2"/>
  <c r="B116" i="2"/>
  <c r="C116" i="2"/>
  <c r="B117" i="2"/>
  <c r="C117" i="2"/>
  <c r="B118" i="2"/>
  <c r="C118" i="2"/>
  <c r="B119" i="2"/>
  <c r="C119" i="2"/>
  <c r="B120" i="2"/>
  <c r="C120" i="2"/>
  <c r="B121" i="2"/>
  <c r="C121" i="2"/>
  <c r="B122" i="2"/>
  <c r="C122" i="2"/>
  <c r="B123" i="2"/>
  <c r="C123" i="2"/>
  <c r="B124" i="2"/>
  <c r="C124" i="2"/>
  <c r="B125" i="2"/>
  <c r="C125" i="2"/>
  <c r="B126" i="2"/>
  <c r="C126" i="2"/>
  <c r="B127" i="2"/>
  <c r="C127" i="2"/>
  <c r="B128" i="2"/>
  <c r="C128" i="2"/>
  <c r="B129" i="2"/>
  <c r="C129" i="2"/>
  <c r="B130" i="2"/>
  <c r="C130" i="2"/>
  <c r="B131" i="2"/>
  <c r="C131" i="2"/>
  <c r="B132" i="2"/>
  <c r="C132" i="2"/>
  <c r="B133" i="2"/>
  <c r="C133" i="2"/>
  <c r="B134" i="2"/>
  <c r="C134" i="2"/>
  <c r="B135" i="2"/>
  <c r="C135" i="2"/>
  <c r="B136" i="2"/>
  <c r="C136" i="2"/>
  <c r="B137" i="2"/>
  <c r="C137" i="2"/>
  <c r="B138" i="2"/>
  <c r="C138" i="2"/>
  <c r="B139" i="2"/>
  <c r="C139" i="2"/>
  <c r="B140" i="2"/>
  <c r="C140" i="2"/>
  <c r="B141" i="2"/>
  <c r="C141" i="2"/>
  <c r="B142" i="2"/>
  <c r="C142" i="2"/>
  <c r="B143" i="2"/>
  <c r="C143" i="2"/>
  <c r="B144" i="2"/>
  <c r="C144" i="2"/>
  <c r="B145" i="2"/>
  <c r="C145" i="2"/>
  <c r="B146" i="2"/>
  <c r="C146" i="2"/>
  <c r="B147" i="2"/>
  <c r="C147" i="2"/>
  <c r="B148" i="2"/>
  <c r="C148" i="2"/>
  <c r="B149" i="2"/>
  <c r="C149" i="2"/>
  <c r="B150" i="2"/>
  <c r="C150" i="2"/>
  <c r="B151" i="2"/>
  <c r="C151" i="2"/>
  <c r="B152" i="2"/>
  <c r="C152" i="2"/>
  <c r="B153" i="2"/>
  <c r="C153" i="2"/>
  <c r="B154" i="2"/>
  <c r="C154" i="2"/>
  <c r="B155" i="2"/>
  <c r="C155" i="2"/>
  <c r="B156" i="2"/>
  <c r="C156" i="2"/>
  <c r="B157" i="2"/>
  <c r="C157" i="2"/>
  <c r="B158" i="2"/>
  <c r="C158" i="2"/>
  <c r="B159" i="2"/>
  <c r="C159" i="2"/>
  <c r="B160" i="2"/>
  <c r="C160" i="2"/>
  <c r="B161" i="2"/>
  <c r="C161" i="2"/>
  <c r="B162" i="2"/>
  <c r="C162" i="2"/>
  <c r="B163" i="2"/>
  <c r="C163" i="2"/>
  <c r="B164" i="2"/>
  <c r="C164" i="2"/>
  <c r="B165" i="2"/>
  <c r="C165" i="2"/>
  <c r="B166" i="2"/>
  <c r="C166" i="2"/>
  <c r="B167" i="2"/>
  <c r="C167" i="2"/>
  <c r="B168" i="2"/>
  <c r="C168" i="2"/>
  <c r="B169" i="2"/>
  <c r="C169" i="2"/>
  <c r="B170" i="2"/>
  <c r="C170" i="2"/>
  <c r="B171" i="2"/>
  <c r="C171" i="2"/>
  <c r="B172" i="2"/>
  <c r="C172" i="2"/>
  <c r="B173" i="2"/>
  <c r="C173" i="2"/>
  <c r="B174" i="2"/>
  <c r="C174" i="2"/>
  <c r="B175" i="2"/>
  <c r="C175" i="2"/>
  <c r="B176" i="2"/>
  <c r="C176" i="2"/>
  <c r="B177" i="2"/>
  <c r="C177" i="2"/>
  <c r="B178" i="2"/>
  <c r="C178" i="2"/>
  <c r="B179" i="2"/>
  <c r="C179" i="2"/>
  <c r="B180" i="2"/>
  <c r="C180" i="2"/>
  <c r="B181" i="2"/>
  <c r="C181" i="2"/>
  <c r="B182" i="2"/>
  <c r="C182" i="2"/>
  <c r="B183" i="2"/>
  <c r="C183" i="2"/>
  <c r="B184" i="2"/>
  <c r="C184" i="2"/>
  <c r="B185" i="2"/>
  <c r="C185" i="2"/>
  <c r="B186" i="2"/>
  <c r="C186" i="2"/>
  <c r="B187" i="2"/>
  <c r="C187" i="2"/>
  <c r="B188" i="2"/>
  <c r="C188" i="2"/>
  <c r="B189" i="2"/>
  <c r="C189" i="2"/>
  <c r="B190" i="2"/>
  <c r="C190" i="2"/>
  <c r="B191" i="2"/>
  <c r="C191" i="2"/>
  <c r="B192" i="2"/>
  <c r="C192" i="2"/>
  <c r="B193" i="2"/>
  <c r="C193" i="2"/>
  <c r="B194" i="2"/>
  <c r="C194" i="2"/>
  <c r="B195" i="2"/>
  <c r="C195" i="2"/>
  <c r="B196" i="2"/>
  <c r="C196" i="2"/>
  <c r="B197" i="2"/>
  <c r="C197" i="2"/>
  <c r="B198" i="2"/>
  <c r="C198" i="2"/>
  <c r="B199" i="2"/>
  <c r="C199" i="2"/>
  <c r="B200" i="2"/>
  <c r="C200" i="2"/>
  <c r="B201" i="2"/>
  <c r="C201" i="2"/>
  <c r="B202" i="2"/>
  <c r="C202" i="2"/>
  <c r="D186" i="3" l="1"/>
  <c r="AI109" i="21"/>
  <c r="D39" i="3" l="1"/>
  <c r="AC180" i="21"/>
  <c r="AC198" i="21"/>
  <c r="D49" i="3" l="1"/>
  <c r="V31" i="3" l="1"/>
  <c r="D91" i="3" l="1"/>
  <c r="S109" i="21"/>
  <c r="B4" i="5" l="1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B66" i="5"/>
  <c r="C66" i="5"/>
  <c r="B67" i="5"/>
  <c r="C67" i="5"/>
  <c r="B68" i="5"/>
  <c r="C68" i="5"/>
  <c r="B69" i="5"/>
  <c r="C69" i="5"/>
  <c r="B70" i="5"/>
  <c r="C70" i="5"/>
  <c r="B71" i="5"/>
  <c r="C71" i="5"/>
  <c r="B72" i="5"/>
  <c r="C72" i="5"/>
  <c r="B73" i="5"/>
  <c r="C73" i="5"/>
  <c r="B74" i="5"/>
  <c r="C74" i="5"/>
  <c r="B75" i="5"/>
  <c r="C75" i="5"/>
  <c r="B76" i="5"/>
  <c r="C76" i="5"/>
  <c r="B77" i="5"/>
  <c r="C77" i="5"/>
  <c r="B78" i="5"/>
  <c r="C78" i="5"/>
  <c r="B79" i="5"/>
  <c r="C79" i="5"/>
  <c r="B80" i="5"/>
  <c r="C80" i="5"/>
  <c r="B81" i="5"/>
  <c r="C81" i="5"/>
  <c r="B82" i="5"/>
  <c r="C82" i="5"/>
  <c r="B83" i="5"/>
  <c r="C83" i="5"/>
  <c r="B84" i="5"/>
  <c r="C84" i="5"/>
  <c r="B85" i="5"/>
  <c r="C85" i="5"/>
  <c r="B86" i="5"/>
  <c r="C86" i="5"/>
  <c r="B87" i="5"/>
  <c r="C87" i="5"/>
  <c r="B88" i="5"/>
  <c r="C88" i="5"/>
  <c r="B89" i="5"/>
  <c r="C89" i="5"/>
  <c r="B90" i="5"/>
  <c r="C90" i="5"/>
  <c r="B91" i="5"/>
  <c r="C91" i="5"/>
  <c r="B92" i="5"/>
  <c r="C92" i="5"/>
  <c r="B93" i="5"/>
  <c r="C93" i="5"/>
  <c r="B94" i="5"/>
  <c r="C94" i="5"/>
  <c r="B95" i="5"/>
  <c r="C95" i="5"/>
  <c r="B96" i="5"/>
  <c r="C96" i="5"/>
  <c r="B97" i="5"/>
  <c r="C97" i="5"/>
  <c r="B98" i="5"/>
  <c r="C98" i="5"/>
  <c r="B99" i="5"/>
  <c r="C99" i="5"/>
  <c r="B100" i="5"/>
  <c r="C100" i="5"/>
  <c r="B101" i="5"/>
  <c r="C101" i="5"/>
  <c r="B102" i="5"/>
  <c r="C102" i="5"/>
  <c r="B103" i="5"/>
  <c r="C103" i="5"/>
  <c r="B104" i="5"/>
  <c r="C104" i="5"/>
  <c r="B105" i="5"/>
  <c r="C105" i="5"/>
  <c r="B106" i="5"/>
  <c r="C106" i="5"/>
  <c r="B107" i="5"/>
  <c r="C107" i="5"/>
  <c r="B108" i="5"/>
  <c r="C108" i="5"/>
  <c r="B109" i="5"/>
  <c r="C109" i="5"/>
  <c r="B110" i="5"/>
  <c r="C110" i="5"/>
  <c r="B111" i="5"/>
  <c r="C111" i="5"/>
  <c r="B112" i="5"/>
  <c r="C112" i="5"/>
  <c r="B113" i="5"/>
  <c r="C113" i="5"/>
  <c r="B114" i="5"/>
  <c r="C114" i="5"/>
  <c r="B115" i="5"/>
  <c r="C115" i="5"/>
  <c r="B116" i="5"/>
  <c r="C116" i="5"/>
  <c r="B117" i="5"/>
  <c r="C117" i="5"/>
  <c r="B118" i="5"/>
  <c r="C118" i="5"/>
  <c r="B119" i="5"/>
  <c r="C119" i="5"/>
  <c r="B120" i="5"/>
  <c r="C120" i="5"/>
  <c r="B121" i="5"/>
  <c r="C121" i="5"/>
  <c r="B122" i="5"/>
  <c r="C122" i="5"/>
  <c r="B123" i="5"/>
  <c r="C123" i="5"/>
  <c r="B124" i="5"/>
  <c r="C124" i="5"/>
  <c r="B125" i="5"/>
  <c r="C125" i="5"/>
  <c r="B126" i="5"/>
  <c r="C126" i="5"/>
  <c r="B127" i="5"/>
  <c r="C127" i="5"/>
  <c r="B128" i="5"/>
  <c r="C128" i="5"/>
  <c r="B129" i="5"/>
  <c r="C129" i="5"/>
  <c r="B130" i="5"/>
  <c r="C130" i="5"/>
  <c r="B131" i="5"/>
  <c r="C131" i="5"/>
  <c r="B132" i="5"/>
  <c r="C132" i="5"/>
  <c r="B133" i="5"/>
  <c r="C133" i="5"/>
  <c r="B134" i="5"/>
  <c r="C134" i="5"/>
  <c r="B135" i="5"/>
  <c r="C135" i="5"/>
  <c r="B136" i="5"/>
  <c r="C136" i="5"/>
  <c r="B137" i="5"/>
  <c r="C137" i="5"/>
  <c r="B138" i="5"/>
  <c r="C138" i="5"/>
  <c r="B139" i="5"/>
  <c r="C139" i="5"/>
  <c r="B140" i="5"/>
  <c r="C140" i="5"/>
  <c r="B141" i="5"/>
  <c r="C141" i="5"/>
  <c r="B142" i="5"/>
  <c r="C142" i="5"/>
  <c r="B143" i="5"/>
  <c r="C143" i="5"/>
  <c r="B144" i="5"/>
  <c r="C144" i="5"/>
  <c r="B145" i="5"/>
  <c r="C145" i="5"/>
  <c r="B146" i="5"/>
  <c r="C146" i="5"/>
  <c r="B147" i="5"/>
  <c r="C147" i="5"/>
  <c r="B148" i="5"/>
  <c r="C148" i="5"/>
  <c r="B149" i="5"/>
  <c r="C149" i="5"/>
  <c r="B150" i="5"/>
  <c r="C150" i="5"/>
  <c r="B151" i="5"/>
  <c r="C151" i="5"/>
  <c r="B152" i="5"/>
  <c r="C152" i="5"/>
  <c r="B153" i="5"/>
  <c r="C153" i="5"/>
  <c r="B154" i="5"/>
  <c r="C154" i="5"/>
  <c r="B155" i="5"/>
  <c r="C155" i="5"/>
  <c r="B156" i="5"/>
  <c r="C156" i="5"/>
  <c r="B157" i="5"/>
  <c r="C157" i="5"/>
  <c r="B158" i="5"/>
  <c r="C158" i="5"/>
  <c r="B159" i="5"/>
  <c r="C159" i="5"/>
  <c r="B160" i="5"/>
  <c r="C160" i="5"/>
  <c r="B161" i="5"/>
  <c r="C161" i="5"/>
  <c r="B162" i="5"/>
  <c r="C162" i="5"/>
  <c r="B163" i="5"/>
  <c r="C163" i="5"/>
  <c r="B164" i="5"/>
  <c r="C164" i="5"/>
  <c r="B165" i="5"/>
  <c r="C165" i="5"/>
  <c r="B166" i="5"/>
  <c r="C166" i="5"/>
  <c r="B167" i="5"/>
  <c r="C167" i="5"/>
  <c r="B168" i="5"/>
  <c r="C168" i="5"/>
  <c r="B169" i="5"/>
  <c r="C169" i="5"/>
  <c r="B170" i="5"/>
  <c r="C170" i="5"/>
  <c r="B171" i="5"/>
  <c r="C171" i="5"/>
  <c r="B172" i="5"/>
  <c r="C172" i="5"/>
  <c r="B173" i="5"/>
  <c r="C173" i="5"/>
  <c r="B174" i="5"/>
  <c r="C174" i="5"/>
  <c r="B175" i="5"/>
  <c r="C175" i="5"/>
  <c r="B176" i="5"/>
  <c r="C176" i="5"/>
  <c r="B177" i="5"/>
  <c r="C177" i="5"/>
  <c r="B178" i="5"/>
  <c r="C178" i="5"/>
  <c r="B179" i="5"/>
  <c r="C179" i="5"/>
  <c r="B180" i="5"/>
  <c r="C180" i="5"/>
  <c r="B181" i="5"/>
  <c r="C181" i="5"/>
  <c r="B182" i="5"/>
  <c r="C182" i="5"/>
  <c r="B183" i="5"/>
  <c r="C183" i="5"/>
  <c r="B184" i="5"/>
  <c r="C184" i="5"/>
  <c r="B185" i="5"/>
  <c r="C185" i="5"/>
  <c r="B186" i="5"/>
  <c r="C186" i="5"/>
  <c r="B187" i="5"/>
  <c r="C187" i="5"/>
  <c r="B188" i="5"/>
  <c r="C188" i="5"/>
  <c r="B189" i="5"/>
  <c r="C189" i="5"/>
  <c r="B190" i="5"/>
  <c r="C190" i="5"/>
  <c r="B191" i="5"/>
  <c r="C191" i="5"/>
  <c r="B192" i="5"/>
  <c r="C192" i="5"/>
  <c r="B193" i="5"/>
  <c r="C193" i="5"/>
  <c r="B194" i="5"/>
  <c r="C194" i="5"/>
  <c r="B195" i="5"/>
  <c r="C195" i="5"/>
  <c r="B196" i="5"/>
  <c r="C196" i="5"/>
  <c r="B197" i="5"/>
  <c r="C197" i="5"/>
  <c r="B198" i="5"/>
  <c r="C198" i="5"/>
  <c r="B199" i="5"/>
  <c r="C199" i="5"/>
  <c r="B200" i="5"/>
  <c r="C200" i="5"/>
  <c r="B201" i="5"/>
  <c r="C201" i="5"/>
  <c r="B202" i="5"/>
  <c r="C202" i="5"/>
  <c r="B4" i="3"/>
  <c r="C4" i="3"/>
  <c r="B5" i="3"/>
  <c r="C5" i="3"/>
  <c r="B6" i="3"/>
  <c r="C6" i="3"/>
  <c r="B7" i="3"/>
  <c r="C7" i="3"/>
  <c r="B8" i="3"/>
  <c r="C8" i="3"/>
  <c r="B9" i="3"/>
  <c r="C9" i="3"/>
  <c r="B10" i="3"/>
  <c r="C10" i="3"/>
  <c r="B11" i="3"/>
  <c r="C11" i="3"/>
  <c r="B12" i="3"/>
  <c r="C12" i="3"/>
  <c r="B13" i="3"/>
  <c r="C13" i="3"/>
  <c r="B14" i="3"/>
  <c r="C14" i="3"/>
  <c r="B15" i="3"/>
  <c r="C15" i="3"/>
  <c r="B16" i="3"/>
  <c r="C16" i="3"/>
  <c r="B17" i="3"/>
  <c r="C17" i="3"/>
  <c r="B18" i="3"/>
  <c r="C18" i="3"/>
  <c r="B19" i="3"/>
  <c r="C19" i="3"/>
  <c r="B20" i="3"/>
  <c r="C20" i="3"/>
  <c r="B21" i="3"/>
  <c r="C21" i="3"/>
  <c r="B22" i="3"/>
  <c r="C22" i="3"/>
  <c r="B23" i="3"/>
  <c r="C23" i="3"/>
  <c r="B24" i="3"/>
  <c r="C24" i="3"/>
  <c r="B25" i="3"/>
  <c r="C25" i="3"/>
  <c r="B26" i="3"/>
  <c r="C26" i="3"/>
  <c r="B27" i="3"/>
  <c r="C27" i="3"/>
  <c r="B28" i="3"/>
  <c r="C28" i="3"/>
  <c r="B29" i="3"/>
  <c r="C29" i="3"/>
  <c r="B30" i="3"/>
  <c r="C30" i="3"/>
  <c r="B31" i="3"/>
  <c r="C31" i="3"/>
  <c r="B32" i="3"/>
  <c r="C32" i="3"/>
  <c r="B33" i="3"/>
  <c r="C33" i="3"/>
  <c r="B34" i="3"/>
  <c r="C34" i="3"/>
  <c r="B35" i="3"/>
  <c r="C35" i="3"/>
  <c r="B36" i="3"/>
  <c r="C36" i="3"/>
  <c r="B37" i="3"/>
  <c r="C37" i="3"/>
  <c r="B38" i="3"/>
  <c r="C38" i="3"/>
  <c r="B39" i="3"/>
  <c r="C39" i="3"/>
  <c r="B40" i="3"/>
  <c r="C40" i="3"/>
  <c r="B41" i="3"/>
  <c r="C41" i="3"/>
  <c r="B42" i="3"/>
  <c r="C42" i="3"/>
  <c r="B43" i="3"/>
  <c r="C43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51" i="3"/>
  <c r="C51" i="3"/>
  <c r="B52" i="3"/>
  <c r="C52" i="3"/>
  <c r="B53" i="3"/>
  <c r="C53" i="3"/>
  <c r="B54" i="3"/>
  <c r="C54" i="3"/>
  <c r="B55" i="3"/>
  <c r="C55" i="3"/>
  <c r="B56" i="3"/>
  <c r="C56" i="3"/>
  <c r="B57" i="3"/>
  <c r="C57" i="3"/>
  <c r="B58" i="3"/>
  <c r="C58" i="3"/>
  <c r="B59" i="3"/>
  <c r="C59" i="3"/>
  <c r="B60" i="3"/>
  <c r="C60" i="3"/>
  <c r="B61" i="3"/>
  <c r="C61" i="3"/>
  <c r="B62" i="3"/>
  <c r="C62" i="3"/>
  <c r="B63" i="3"/>
  <c r="C63" i="3"/>
  <c r="B64" i="3"/>
  <c r="C64" i="3"/>
  <c r="B65" i="3"/>
  <c r="C65" i="3"/>
  <c r="B66" i="3"/>
  <c r="C66" i="3"/>
  <c r="B67" i="3"/>
  <c r="C67" i="3"/>
  <c r="B68" i="3"/>
  <c r="C68" i="3"/>
  <c r="B69" i="3"/>
  <c r="C69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B82" i="3"/>
  <c r="C82" i="3"/>
  <c r="B83" i="3"/>
  <c r="C83" i="3"/>
  <c r="B84" i="3"/>
  <c r="C84" i="3"/>
  <c r="B85" i="3"/>
  <c r="C85" i="3"/>
  <c r="B86" i="3"/>
  <c r="C86" i="3"/>
  <c r="B87" i="3"/>
  <c r="C87" i="3"/>
  <c r="B88" i="3"/>
  <c r="C88" i="3"/>
  <c r="B89" i="3"/>
  <c r="C89" i="3"/>
  <c r="B90" i="3"/>
  <c r="C90" i="3"/>
  <c r="B91" i="3"/>
  <c r="C91" i="3"/>
  <c r="B92" i="3"/>
  <c r="C92" i="3"/>
  <c r="B93" i="3"/>
  <c r="C93" i="3"/>
  <c r="B94" i="3"/>
  <c r="C94" i="3"/>
  <c r="B95" i="3"/>
  <c r="C95" i="3"/>
  <c r="B96" i="3"/>
  <c r="C96" i="3"/>
  <c r="B97" i="3"/>
  <c r="C97" i="3"/>
  <c r="B98" i="3"/>
  <c r="C98" i="3"/>
  <c r="B99" i="3"/>
  <c r="C99" i="3"/>
  <c r="B100" i="3"/>
  <c r="C100" i="3"/>
  <c r="B101" i="3"/>
  <c r="C101" i="3"/>
  <c r="B102" i="3"/>
  <c r="C102" i="3"/>
  <c r="B103" i="3"/>
  <c r="C103" i="3"/>
  <c r="B104" i="3"/>
  <c r="C104" i="3"/>
  <c r="B105" i="3"/>
  <c r="C105" i="3"/>
  <c r="B106" i="3"/>
  <c r="C106" i="3"/>
  <c r="B107" i="3"/>
  <c r="C107" i="3"/>
  <c r="B108" i="3"/>
  <c r="C108" i="3"/>
  <c r="B109" i="3"/>
  <c r="C109" i="3"/>
  <c r="B110" i="3"/>
  <c r="C110" i="3"/>
  <c r="B111" i="3"/>
  <c r="C111" i="3"/>
  <c r="B112" i="3"/>
  <c r="C112" i="3"/>
  <c r="B113" i="3"/>
  <c r="C113" i="3"/>
  <c r="B114" i="3"/>
  <c r="C114" i="3"/>
  <c r="B115" i="3"/>
  <c r="C115" i="3"/>
  <c r="B116" i="3"/>
  <c r="C116" i="3"/>
  <c r="B117" i="3"/>
  <c r="C117" i="3"/>
  <c r="B118" i="3"/>
  <c r="C118" i="3"/>
  <c r="B119" i="3"/>
  <c r="C119" i="3"/>
  <c r="B120" i="3"/>
  <c r="C120" i="3"/>
  <c r="B121" i="3"/>
  <c r="C121" i="3"/>
  <c r="B122" i="3"/>
  <c r="C122" i="3"/>
  <c r="B123" i="3"/>
  <c r="C123" i="3"/>
  <c r="B124" i="3"/>
  <c r="C124" i="3"/>
  <c r="B125" i="3"/>
  <c r="C125" i="3"/>
  <c r="B126" i="3"/>
  <c r="C126" i="3"/>
  <c r="B127" i="3"/>
  <c r="C127" i="3"/>
  <c r="B128" i="3"/>
  <c r="C128" i="3"/>
  <c r="B129" i="3"/>
  <c r="C129" i="3"/>
  <c r="B130" i="3"/>
  <c r="C130" i="3"/>
  <c r="B131" i="3"/>
  <c r="C131" i="3"/>
  <c r="B132" i="3"/>
  <c r="C132" i="3"/>
  <c r="B133" i="3"/>
  <c r="C133" i="3"/>
  <c r="B134" i="3"/>
  <c r="C134" i="3"/>
  <c r="B135" i="3"/>
  <c r="C135" i="3"/>
  <c r="B136" i="3"/>
  <c r="C136" i="3"/>
  <c r="B137" i="3"/>
  <c r="C137" i="3"/>
  <c r="B138" i="3"/>
  <c r="C138" i="3"/>
  <c r="B139" i="3"/>
  <c r="C139" i="3"/>
  <c r="B140" i="3"/>
  <c r="C140" i="3"/>
  <c r="B141" i="3"/>
  <c r="C141" i="3"/>
  <c r="B142" i="3"/>
  <c r="C142" i="3"/>
  <c r="B143" i="3"/>
  <c r="C143" i="3"/>
  <c r="B144" i="3"/>
  <c r="C144" i="3"/>
  <c r="B145" i="3"/>
  <c r="C145" i="3"/>
  <c r="B146" i="3"/>
  <c r="C146" i="3"/>
  <c r="B147" i="3"/>
  <c r="C147" i="3"/>
  <c r="B148" i="3"/>
  <c r="C148" i="3"/>
  <c r="B149" i="3"/>
  <c r="C149" i="3"/>
  <c r="B150" i="3"/>
  <c r="C150" i="3"/>
  <c r="B151" i="3"/>
  <c r="C151" i="3"/>
  <c r="B152" i="3"/>
  <c r="C152" i="3"/>
  <c r="B153" i="3"/>
  <c r="C153" i="3"/>
  <c r="B154" i="3"/>
  <c r="C154" i="3"/>
  <c r="B155" i="3"/>
  <c r="C155" i="3"/>
  <c r="B156" i="3"/>
  <c r="C156" i="3"/>
  <c r="B157" i="3"/>
  <c r="C157" i="3"/>
  <c r="B158" i="3"/>
  <c r="C158" i="3"/>
  <c r="B159" i="3"/>
  <c r="C159" i="3"/>
  <c r="B160" i="3"/>
  <c r="C160" i="3"/>
  <c r="B161" i="3"/>
  <c r="C161" i="3"/>
  <c r="B162" i="3"/>
  <c r="C162" i="3"/>
  <c r="B163" i="3"/>
  <c r="C163" i="3"/>
  <c r="B164" i="3"/>
  <c r="C164" i="3"/>
  <c r="B165" i="3"/>
  <c r="C165" i="3"/>
  <c r="B166" i="3"/>
  <c r="C166" i="3"/>
  <c r="B167" i="3"/>
  <c r="C167" i="3"/>
  <c r="B168" i="3"/>
  <c r="C168" i="3"/>
  <c r="B169" i="3"/>
  <c r="C169" i="3"/>
  <c r="B170" i="3"/>
  <c r="C170" i="3"/>
  <c r="B171" i="3"/>
  <c r="C171" i="3"/>
  <c r="B172" i="3"/>
  <c r="C172" i="3"/>
  <c r="B173" i="3"/>
  <c r="C173" i="3"/>
  <c r="B174" i="3"/>
  <c r="C174" i="3"/>
  <c r="B175" i="3"/>
  <c r="C175" i="3"/>
  <c r="B176" i="3"/>
  <c r="C176" i="3"/>
  <c r="B177" i="3"/>
  <c r="C177" i="3"/>
  <c r="B178" i="3"/>
  <c r="C178" i="3"/>
  <c r="B179" i="3"/>
  <c r="C179" i="3"/>
  <c r="B180" i="3"/>
  <c r="C180" i="3"/>
  <c r="B181" i="3"/>
  <c r="C181" i="3"/>
  <c r="B182" i="3"/>
  <c r="C182" i="3"/>
  <c r="B183" i="3"/>
  <c r="C183" i="3"/>
  <c r="B184" i="3"/>
  <c r="C184" i="3"/>
  <c r="B185" i="3"/>
  <c r="C185" i="3"/>
  <c r="B186" i="3"/>
  <c r="C186" i="3"/>
  <c r="B187" i="3"/>
  <c r="C187" i="3"/>
  <c r="B188" i="3"/>
  <c r="C188" i="3"/>
  <c r="B189" i="3"/>
  <c r="C189" i="3"/>
  <c r="B190" i="3"/>
  <c r="C190" i="3"/>
  <c r="B191" i="3"/>
  <c r="C191" i="3"/>
  <c r="B192" i="3"/>
  <c r="C192" i="3"/>
  <c r="B193" i="3"/>
  <c r="C193" i="3"/>
  <c r="B194" i="3"/>
  <c r="C194" i="3"/>
  <c r="B195" i="3"/>
  <c r="C195" i="3"/>
  <c r="B196" i="3"/>
  <c r="C196" i="3"/>
  <c r="B197" i="3"/>
  <c r="C197" i="3"/>
  <c r="B198" i="3"/>
  <c r="C198" i="3"/>
  <c r="B199" i="3"/>
  <c r="C199" i="3"/>
  <c r="B200" i="3"/>
  <c r="C200" i="3"/>
  <c r="B201" i="3"/>
  <c r="C201" i="3"/>
  <c r="B202" i="3"/>
  <c r="C202" i="3"/>
  <c r="I124" i="2" l="1"/>
  <c r="J31" i="3" l="1"/>
  <c r="CU6" i="5" l="1"/>
  <c r="BA44" i="5" l="1"/>
  <c r="DY31" i="2" l="1"/>
  <c r="Q116" i="5" l="1"/>
  <c r="N142" i="5" l="1"/>
  <c r="E150" i="3" l="1"/>
  <c r="DI103" i="3" l="1"/>
  <c r="EA109" i="5" l="1"/>
  <c r="EA110" i="5"/>
  <c r="EA166" i="5"/>
  <c r="BM201" i="3" l="1"/>
  <c r="BM199" i="3"/>
  <c r="BM200" i="3"/>
  <c r="BM202" i="3"/>
  <c r="DY103" i="21" l="1"/>
  <c r="EC2" i="21" l="1"/>
  <c r="ED2" i="21" s="1"/>
  <c r="EE2" i="21" s="1"/>
  <c r="EF2" i="21" s="1"/>
  <c r="EG2" i="21" s="1"/>
  <c r="EH2" i="21" s="1"/>
  <c r="EI2" i="21" s="1"/>
  <c r="EJ2" i="21" s="1"/>
  <c r="EK2" i="21" s="1"/>
  <c r="EL2" i="21" s="1"/>
  <c r="EM2" i="21" s="1"/>
  <c r="EN2" i="21" s="1"/>
  <c r="EO2" i="21" s="1"/>
  <c r="EP2" i="21" s="1"/>
  <c r="EQ2" i="21" s="1"/>
  <c r="ER2" i="21" s="1"/>
  <c r="ES2" i="21" s="1"/>
  <c r="ET2" i="21" s="1"/>
  <c r="EU2" i="21" s="1"/>
  <c r="EV2" i="21" s="1"/>
  <c r="EW2" i="21" s="1"/>
  <c r="EX2" i="21" s="1"/>
  <c r="EY2" i="21" s="1"/>
  <c r="EZ2" i="21" s="1"/>
  <c r="FA2" i="21" s="1"/>
  <c r="FB2" i="21" s="1"/>
  <c r="FC2" i="21" s="1"/>
  <c r="FD2" i="21" s="1"/>
  <c r="FE2" i="21" s="1"/>
  <c r="FF2" i="21" s="1"/>
  <c r="FG2" i="21" s="1"/>
  <c r="I1" i="21"/>
  <c r="M1" i="21" s="1"/>
  <c r="Q1" i="21" s="1"/>
  <c r="U1" i="21" s="1"/>
  <c r="Y1" i="21" s="1"/>
  <c r="AC1" i="21" s="1"/>
  <c r="AG1" i="21" s="1"/>
  <c r="AK1" i="21" s="1"/>
  <c r="AO1" i="21" s="1"/>
  <c r="AS1" i="21" s="1"/>
  <c r="AW1" i="21" s="1"/>
  <c r="BA1" i="21" s="1"/>
  <c r="BE1" i="21" s="1"/>
  <c r="BI1" i="21" s="1"/>
  <c r="BM1" i="21" s="1"/>
  <c r="BQ1" i="21" s="1"/>
  <c r="BU1" i="21" s="1"/>
  <c r="BY1" i="21" s="1"/>
  <c r="CC1" i="21" s="1"/>
  <c r="CG1" i="21" s="1"/>
  <c r="CK1" i="21" s="1"/>
  <c r="CO1" i="21" s="1"/>
  <c r="CS1" i="21" s="1"/>
  <c r="CW1" i="21" s="1"/>
  <c r="DA1" i="21" s="1"/>
  <c r="DE1" i="21" s="1"/>
  <c r="DI1" i="21" s="1"/>
  <c r="DM1" i="21" s="1"/>
  <c r="DQ1" i="21" s="1"/>
  <c r="DU1" i="21" s="1"/>
  <c r="EB2" i="2"/>
  <c r="EC2" i="2" s="1"/>
  <c r="ED2" i="2" s="1"/>
  <c r="EE2" i="2" s="1"/>
  <c r="EF2" i="2" s="1"/>
  <c r="EG2" i="2" s="1"/>
  <c r="EH2" i="2" s="1"/>
  <c r="EI2" i="2" s="1"/>
  <c r="EJ2" i="2" s="1"/>
  <c r="EK2" i="2" s="1"/>
  <c r="EL2" i="2" s="1"/>
  <c r="EM2" i="2" s="1"/>
  <c r="EN2" i="2" s="1"/>
  <c r="EO2" i="2" s="1"/>
  <c r="EP2" i="2" s="1"/>
  <c r="EQ2" i="2" s="1"/>
  <c r="ER2" i="2" s="1"/>
  <c r="ES2" i="2" s="1"/>
  <c r="ET2" i="2" s="1"/>
  <c r="EU2" i="2" s="1"/>
  <c r="EV2" i="2" s="1"/>
  <c r="EW2" i="2" s="1"/>
  <c r="EX2" i="2" s="1"/>
  <c r="EY2" i="2" s="1"/>
  <c r="EZ2" i="2" s="1"/>
  <c r="FA2" i="2" s="1"/>
  <c r="FB2" i="2" s="1"/>
  <c r="FC2" i="2" s="1"/>
  <c r="FD2" i="2" s="1"/>
  <c r="FE2" i="2" s="1"/>
  <c r="H1" i="2"/>
  <c r="L1" i="2" s="1"/>
  <c r="P1" i="2" s="1"/>
  <c r="T1" i="2" s="1"/>
  <c r="X1" i="2" s="1"/>
  <c r="AB1" i="2" s="1"/>
  <c r="AF1" i="2" s="1"/>
  <c r="AJ1" i="2" s="1"/>
  <c r="AN1" i="2" s="1"/>
  <c r="AR1" i="2" s="1"/>
  <c r="AV1" i="2" s="1"/>
  <c r="AZ1" i="2" s="1"/>
  <c r="BD1" i="2" s="1"/>
  <c r="BH1" i="2" s="1"/>
  <c r="BL1" i="2" s="1"/>
  <c r="BP1" i="2" s="1"/>
  <c r="BT1" i="2" s="1"/>
  <c r="BX1" i="2" s="1"/>
  <c r="CB1" i="2" s="1"/>
  <c r="CF1" i="2" s="1"/>
  <c r="CJ1" i="2" s="1"/>
  <c r="CN1" i="2" s="1"/>
  <c r="CR1" i="2" s="1"/>
  <c r="CV1" i="2" s="1"/>
  <c r="CZ1" i="2" s="1"/>
  <c r="DD1" i="2" s="1"/>
  <c r="DH1" i="2" s="1"/>
  <c r="DL1" i="2" s="1"/>
  <c r="DP1" i="2" s="1"/>
  <c r="DT1" i="2" s="1"/>
  <c r="EC2" i="3"/>
  <c r="ED2" i="3" s="1"/>
  <c r="EE2" i="3" s="1"/>
  <c r="EF2" i="3" s="1"/>
  <c r="EG2" i="3" s="1"/>
  <c r="EH2" i="3" s="1"/>
  <c r="EI2" i="3" s="1"/>
  <c r="EJ2" i="3" s="1"/>
  <c r="EK2" i="3" s="1"/>
  <c r="EL2" i="3" s="1"/>
  <c r="EM2" i="3" s="1"/>
  <c r="EN2" i="3" s="1"/>
  <c r="EO2" i="3" s="1"/>
  <c r="EP2" i="3" s="1"/>
  <c r="EQ2" i="3" s="1"/>
  <c r="ER2" i="3" s="1"/>
  <c r="ES2" i="3" s="1"/>
  <c r="ET2" i="3" s="1"/>
  <c r="EU2" i="3" s="1"/>
  <c r="EV2" i="3" s="1"/>
  <c r="EW2" i="3" s="1"/>
  <c r="EX2" i="3" s="1"/>
  <c r="EY2" i="3" s="1"/>
  <c r="EZ2" i="3" s="1"/>
  <c r="FA2" i="3" s="1"/>
  <c r="FB2" i="3" s="1"/>
  <c r="FC2" i="3" s="1"/>
  <c r="FD2" i="3" s="1"/>
  <c r="FE2" i="3" s="1"/>
  <c r="FF2" i="3" s="1"/>
  <c r="H1" i="3"/>
  <c r="L1" i="3" s="1"/>
  <c r="P1" i="3" s="1"/>
  <c r="T1" i="3" s="1"/>
  <c r="X1" i="3" s="1"/>
  <c r="AB1" i="3" s="1"/>
  <c r="AF1" i="3" s="1"/>
  <c r="AJ1" i="3" s="1"/>
  <c r="AN1" i="3" s="1"/>
  <c r="AR1" i="3" s="1"/>
  <c r="AV1" i="3" s="1"/>
  <c r="AZ1" i="3" s="1"/>
  <c r="BD1" i="3" s="1"/>
  <c r="BH1" i="3" s="1"/>
  <c r="BL1" i="3" s="1"/>
  <c r="BP1" i="3" s="1"/>
  <c r="BT1" i="3" s="1"/>
  <c r="BX1" i="3" s="1"/>
  <c r="CB1" i="3" s="1"/>
  <c r="CF1" i="3" s="1"/>
  <c r="CJ1" i="3" s="1"/>
  <c r="CN1" i="3" s="1"/>
  <c r="CR1" i="3" s="1"/>
  <c r="CV1" i="3" s="1"/>
  <c r="CZ1" i="3" s="1"/>
  <c r="DD1" i="3" s="1"/>
  <c r="DH1" i="3" s="1"/>
  <c r="DL1" i="3" s="1"/>
  <c r="DP1" i="3" s="1"/>
  <c r="DT1" i="3" s="1"/>
  <c r="CW2" i="5"/>
  <c r="CX2" i="5" s="1"/>
  <c r="CY2" i="5" s="1"/>
  <c r="CZ2" i="5" s="1"/>
  <c r="DA2" i="5" s="1"/>
  <c r="DB2" i="5" s="1"/>
  <c r="DC2" i="5" s="1"/>
  <c r="DD2" i="5" s="1"/>
  <c r="DE2" i="5" s="1"/>
  <c r="DF2" i="5" s="1"/>
  <c r="DG2" i="5" s="1"/>
  <c r="DH2" i="5" s="1"/>
  <c r="DI2" i="5" s="1"/>
  <c r="DJ2" i="5" s="1"/>
  <c r="DK2" i="5" s="1"/>
  <c r="DL2" i="5" s="1"/>
  <c r="DM2" i="5" s="1"/>
  <c r="DN2" i="5" s="1"/>
  <c r="DO2" i="5" s="1"/>
  <c r="DP2" i="5" s="1"/>
  <c r="DQ2" i="5" s="1"/>
  <c r="DR2" i="5" s="1"/>
  <c r="DS2" i="5" s="1"/>
  <c r="DT2" i="5" s="1"/>
  <c r="DU2" i="5" s="1"/>
  <c r="DV2" i="5" s="1"/>
  <c r="DW2" i="5" s="1"/>
  <c r="DX2" i="5" s="1"/>
  <c r="DY2" i="5" s="1"/>
  <c r="DZ2" i="5" s="1"/>
  <c r="EA2" i="5" s="1"/>
  <c r="G1" i="5"/>
  <c r="J1" i="5" s="1"/>
  <c r="M1" i="5" s="1"/>
  <c r="P1" i="5" s="1"/>
  <c r="S1" i="5" s="1"/>
  <c r="V1" i="5" s="1"/>
  <c r="Y1" i="5" s="1"/>
  <c r="AB1" i="5" s="1"/>
  <c r="AE1" i="5" s="1"/>
  <c r="AH1" i="5" s="1"/>
  <c r="AK1" i="5" s="1"/>
  <c r="AN1" i="5" s="1"/>
  <c r="AQ1" i="5" s="1"/>
  <c r="AT1" i="5" s="1"/>
  <c r="AW1" i="5" s="1"/>
  <c r="AZ1" i="5" s="1"/>
  <c r="BC1" i="5" s="1"/>
  <c r="BF1" i="5" s="1"/>
  <c r="BI1" i="5" s="1"/>
  <c r="BL1" i="5" s="1"/>
  <c r="BO1" i="5" s="1"/>
  <c r="BR1" i="5" s="1"/>
  <c r="BU1" i="5" s="1"/>
  <c r="BX1" i="5" s="1"/>
  <c r="CA1" i="5" s="1"/>
  <c r="CD1" i="5" s="1"/>
  <c r="CG1" i="5" s="1"/>
  <c r="CJ1" i="5" s="1"/>
  <c r="CM1" i="5" s="1"/>
  <c r="CP1" i="5" s="1"/>
  <c r="D64" i="19"/>
  <c r="E64" i="19" s="1"/>
  <c r="F64" i="19" s="1"/>
  <c r="G64" i="19" s="1"/>
  <c r="H64" i="19" s="1"/>
  <c r="I64" i="19" s="1"/>
  <c r="J64" i="19" s="1"/>
  <c r="K64" i="19" s="1"/>
  <c r="L64" i="19" s="1"/>
  <c r="M64" i="19" s="1"/>
  <c r="N64" i="19" s="1"/>
  <c r="O64" i="19" s="1"/>
  <c r="P64" i="19" s="1"/>
  <c r="Q64" i="19" s="1"/>
  <c r="R64" i="19" s="1"/>
  <c r="S64" i="19" s="1"/>
  <c r="T64" i="19" s="1"/>
  <c r="U64" i="19" s="1"/>
  <c r="V64" i="19" s="1"/>
  <c r="W64" i="19" s="1"/>
  <c r="X64" i="19" s="1"/>
  <c r="Y64" i="19" s="1"/>
  <c r="Z64" i="19" s="1"/>
  <c r="AA64" i="19" s="1"/>
  <c r="AB64" i="19" s="1"/>
  <c r="AC64" i="19" s="1"/>
  <c r="AD64" i="19" s="1"/>
  <c r="AE64" i="19" s="1"/>
  <c r="AF64" i="19" s="1"/>
  <c r="AG64" i="19" s="1"/>
  <c r="CQ4" i="5" l="1"/>
  <c r="CQ5" i="5"/>
  <c r="CQ6" i="5"/>
  <c r="CQ7" i="5"/>
  <c r="CQ8" i="5"/>
  <c r="CQ9" i="5"/>
  <c r="CQ10" i="5"/>
  <c r="CQ11" i="5"/>
  <c r="CQ12" i="5"/>
  <c r="CQ13" i="5"/>
  <c r="CQ14" i="5"/>
  <c r="CQ15" i="5"/>
  <c r="CQ16" i="5"/>
  <c r="CQ17" i="5"/>
  <c r="CQ18" i="5"/>
  <c r="CQ19" i="5"/>
  <c r="CQ20" i="5"/>
  <c r="CQ21" i="5"/>
  <c r="CQ22" i="5"/>
  <c r="CQ23" i="5"/>
  <c r="CQ24" i="5"/>
  <c r="CQ25" i="5"/>
  <c r="CQ26" i="5"/>
  <c r="CQ27" i="5"/>
  <c r="CQ28" i="5"/>
  <c r="CQ29" i="5"/>
  <c r="CQ30" i="5"/>
  <c r="CQ31" i="5"/>
  <c r="CQ32" i="5"/>
  <c r="CQ33" i="5"/>
  <c r="CQ34" i="5"/>
  <c r="CQ35" i="5"/>
  <c r="CQ36" i="5"/>
  <c r="CQ37" i="5"/>
  <c r="CQ38" i="5"/>
  <c r="CQ39" i="5"/>
  <c r="CQ40" i="5"/>
  <c r="CQ41" i="5"/>
  <c r="CQ42" i="5"/>
  <c r="CQ43" i="5"/>
  <c r="CQ44" i="5"/>
  <c r="CQ45" i="5"/>
  <c r="CQ46" i="5"/>
  <c r="CQ47" i="5"/>
  <c r="CQ48" i="5"/>
  <c r="CQ49" i="5"/>
  <c r="CQ50" i="5"/>
  <c r="CQ51" i="5"/>
  <c r="CQ52" i="5"/>
  <c r="CQ53" i="5"/>
  <c r="CQ54" i="5"/>
  <c r="CQ55" i="5"/>
  <c r="CQ56" i="5"/>
  <c r="CQ57" i="5"/>
  <c r="CQ58" i="5"/>
  <c r="CQ59" i="5"/>
  <c r="CQ60" i="5"/>
  <c r="CQ61" i="5"/>
  <c r="CQ62" i="5"/>
  <c r="CQ63" i="5"/>
  <c r="CQ64" i="5"/>
  <c r="CQ65" i="5"/>
  <c r="CQ66" i="5"/>
  <c r="CQ67" i="5"/>
  <c r="CQ68" i="5"/>
  <c r="CQ69" i="5"/>
  <c r="CQ70" i="5"/>
  <c r="CQ71" i="5"/>
  <c r="CQ72" i="5"/>
  <c r="CQ73" i="5"/>
  <c r="CQ74" i="5"/>
  <c r="CQ75" i="5"/>
  <c r="CQ76" i="5"/>
  <c r="CQ77" i="5"/>
  <c r="CQ78" i="5"/>
  <c r="CQ79" i="5"/>
  <c r="CQ80" i="5"/>
  <c r="CQ81" i="5"/>
  <c r="CQ82" i="5"/>
  <c r="CQ83" i="5"/>
  <c r="CQ84" i="5"/>
  <c r="CQ85" i="5"/>
  <c r="CQ86" i="5"/>
  <c r="CQ87" i="5"/>
  <c r="CQ88" i="5"/>
  <c r="CQ89" i="5"/>
  <c r="CQ90" i="5"/>
  <c r="CQ91" i="5"/>
  <c r="CQ92" i="5"/>
  <c r="CQ93" i="5"/>
  <c r="CQ94" i="5"/>
  <c r="CQ95" i="5"/>
  <c r="CQ96" i="5"/>
  <c r="CQ97" i="5"/>
  <c r="CQ98" i="5"/>
  <c r="CQ99" i="5"/>
  <c r="CQ100" i="5"/>
  <c r="CQ101" i="5"/>
  <c r="CQ102" i="5"/>
  <c r="CQ103" i="5"/>
  <c r="CQ104" i="5"/>
  <c r="CQ105" i="5"/>
  <c r="CQ106" i="5"/>
  <c r="CQ107" i="5"/>
  <c r="CQ108" i="5"/>
  <c r="CQ109" i="5"/>
  <c r="CQ110" i="5"/>
  <c r="CQ111" i="5"/>
  <c r="CQ112" i="5"/>
  <c r="CQ113" i="5"/>
  <c r="CQ114" i="5"/>
  <c r="CQ115" i="5"/>
  <c r="CQ116" i="5"/>
  <c r="CQ117" i="5"/>
  <c r="CQ118" i="5"/>
  <c r="CQ119" i="5"/>
  <c r="CQ120" i="5"/>
  <c r="CQ121" i="5"/>
  <c r="CQ122" i="5"/>
  <c r="CQ123" i="5"/>
  <c r="CQ124" i="5"/>
  <c r="CQ125" i="5"/>
  <c r="CQ126" i="5"/>
  <c r="CQ127" i="5"/>
  <c r="CQ128" i="5"/>
  <c r="CQ129" i="5"/>
  <c r="CQ130" i="5"/>
  <c r="CQ131" i="5"/>
  <c r="CQ132" i="5"/>
  <c r="CQ133" i="5"/>
  <c r="CQ134" i="5"/>
  <c r="CQ135" i="5"/>
  <c r="CQ136" i="5"/>
  <c r="CQ137" i="5"/>
  <c r="CQ138" i="5"/>
  <c r="CQ139" i="5"/>
  <c r="CQ140" i="5"/>
  <c r="CQ141" i="5"/>
  <c r="CQ142" i="5"/>
  <c r="CQ143" i="5"/>
  <c r="CQ144" i="5"/>
  <c r="CQ145" i="5"/>
  <c r="CQ146" i="5"/>
  <c r="CQ147" i="5"/>
  <c r="CQ148" i="5"/>
  <c r="CQ149" i="5"/>
  <c r="CQ150" i="5"/>
  <c r="CQ151" i="5"/>
  <c r="CQ152" i="5"/>
  <c r="CQ153" i="5"/>
  <c r="CQ154" i="5"/>
  <c r="CQ155" i="5"/>
  <c r="CQ156" i="5"/>
  <c r="CQ157" i="5"/>
  <c r="CQ158" i="5"/>
  <c r="CQ159" i="5"/>
  <c r="CQ160" i="5"/>
  <c r="CQ161" i="5"/>
  <c r="CQ162" i="5"/>
  <c r="CQ163" i="5"/>
  <c r="CQ164" i="5"/>
  <c r="CQ165" i="5"/>
  <c r="CQ166" i="5"/>
  <c r="CQ167" i="5"/>
  <c r="CQ168" i="5"/>
  <c r="CQ169" i="5"/>
  <c r="CQ170" i="5"/>
  <c r="CQ171" i="5"/>
  <c r="CQ172" i="5"/>
  <c r="CQ173" i="5"/>
  <c r="CQ174" i="5"/>
  <c r="CQ175" i="5"/>
  <c r="CQ176" i="5"/>
  <c r="CQ177" i="5"/>
  <c r="CQ178" i="5"/>
  <c r="CQ179" i="5"/>
  <c r="CQ180" i="5"/>
  <c r="CQ181" i="5"/>
  <c r="CQ182" i="5"/>
  <c r="CQ183" i="5"/>
  <c r="CQ184" i="5"/>
  <c r="CQ185" i="5"/>
  <c r="CQ186" i="5"/>
  <c r="CQ187" i="5"/>
  <c r="CQ188" i="5"/>
  <c r="CQ189" i="5"/>
  <c r="CQ190" i="5"/>
  <c r="CQ191" i="5"/>
  <c r="CQ192" i="5"/>
  <c r="CQ193" i="5"/>
  <c r="CQ194" i="5"/>
  <c r="CQ195" i="5"/>
  <c r="CQ196" i="5"/>
  <c r="CQ197" i="5"/>
  <c r="CQ198" i="5"/>
  <c r="CQ199" i="5"/>
  <c r="CQ200" i="5"/>
  <c r="CQ201" i="5"/>
  <c r="CQ202" i="5"/>
  <c r="CQ3" i="5"/>
  <c r="CK121" i="5" l="1"/>
  <c r="CK122" i="5"/>
  <c r="CK123" i="5"/>
  <c r="CK124" i="5"/>
  <c r="CK125" i="5"/>
  <c r="CK126" i="5"/>
  <c r="CK127" i="5"/>
  <c r="CK128" i="5"/>
  <c r="CK129" i="5"/>
  <c r="CK130" i="5"/>
  <c r="CK131" i="5"/>
  <c r="CK132" i="5"/>
  <c r="CK133" i="5"/>
  <c r="CK134" i="5"/>
  <c r="CK135" i="5"/>
  <c r="CK136" i="5"/>
  <c r="CK137" i="5"/>
  <c r="CK138" i="5"/>
  <c r="CK139" i="5"/>
  <c r="CK140" i="5"/>
  <c r="CK141" i="5"/>
  <c r="CK142" i="5"/>
  <c r="CK143" i="5"/>
  <c r="CK144" i="5"/>
  <c r="CK145" i="5"/>
  <c r="CK146" i="5"/>
  <c r="CK147" i="5"/>
  <c r="CK148" i="5"/>
  <c r="CK149" i="5"/>
  <c r="CK150" i="5"/>
  <c r="CK151" i="5"/>
  <c r="CK152" i="5"/>
  <c r="CK153" i="5"/>
  <c r="CK154" i="5"/>
  <c r="CK155" i="5"/>
  <c r="CK156" i="5"/>
  <c r="CK157" i="5"/>
  <c r="CK158" i="5"/>
  <c r="CK159" i="5"/>
  <c r="CK160" i="5"/>
  <c r="CK161" i="5"/>
  <c r="CK162" i="5"/>
  <c r="CK163" i="5"/>
  <c r="CK164" i="5"/>
  <c r="CK165" i="5"/>
  <c r="CK167" i="5"/>
  <c r="CK168" i="5"/>
  <c r="CK169" i="5"/>
  <c r="CK170" i="5"/>
  <c r="CK171" i="5"/>
  <c r="CK172" i="5"/>
  <c r="CK173" i="5"/>
  <c r="DY202" i="2" l="1"/>
  <c r="DY201" i="2"/>
  <c r="DY200" i="2"/>
  <c r="DY199" i="2"/>
  <c r="DY198" i="2"/>
  <c r="DY197" i="2"/>
  <c r="DY196" i="2"/>
  <c r="DY195" i="2"/>
  <c r="DY194" i="2"/>
  <c r="DY193" i="2"/>
  <c r="DY192" i="2"/>
  <c r="DY190" i="2"/>
  <c r="DY189" i="2"/>
  <c r="DY188" i="2"/>
  <c r="DY187" i="2"/>
  <c r="DY185" i="2"/>
  <c r="DY184" i="2"/>
  <c r="DY182" i="2"/>
  <c r="DY181" i="2"/>
  <c r="DY180" i="2"/>
  <c r="DY179" i="2"/>
  <c r="DY178" i="2"/>
  <c r="DY177" i="2"/>
  <c r="DY176" i="2"/>
  <c r="DY175" i="2"/>
  <c r="DY174" i="2"/>
  <c r="DY172" i="2"/>
  <c r="DY171" i="2"/>
  <c r="DY170" i="2"/>
  <c r="DY169" i="2"/>
  <c r="DY168" i="2"/>
  <c r="DY167" i="2"/>
  <c r="DY166" i="2"/>
  <c r="DY163" i="2"/>
  <c r="DY162" i="2"/>
  <c r="DY161" i="2"/>
  <c r="DY160" i="2"/>
  <c r="DY159" i="2"/>
  <c r="DY158" i="2"/>
  <c r="DY156" i="2"/>
  <c r="DY155" i="2"/>
  <c r="DY154" i="2"/>
  <c r="DY153" i="2"/>
  <c r="DY152" i="2"/>
  <c r="DY151" i="2"/>
  <c r="DY149" i="2"/>
  <c r="DY148" i="2"/>
  <c r="DY144" i="2"/>
  <c r="DY143" i="2"/>
  <c r="DY142" i="2"/>
  <c r="DY141" i="2"/>
  <c r="DY140" i="2"/>
  <c r="DY139" i="2"/>
  <c r="DY138" i="2"/>
  <c r="DY137" i="2"/>
  <c r="DY136" i="2"/>
  <c r="DY135" i="2"/>
  <c r="DY134" i="2"/>
  <c r="DY133" i="2"/>
  <c r="DY131" i="2"/>
  <c r="DY130" i="2"/>
  <c r="DY129" i="2"/>
  <c r="DY128" i="2"/>
  <c r="DY127" i="2"/>
  <c r="DY126" i="2"/>
  <c r="DY125" i="2"/>
  <c r="DY123" i="2"/>
  <c r="DY121" i="2"/>
  <c r="DY120" i="2"/>
  <c r="DY119" i="2"/>
  <c r="DY118" i="2"/>
  <c r="DY117" i="2"/>
  <c r="DY116" i="2"/>
  <c r="DY115" i="2"/>
  <c r="DY114" i="2"/>
  <c r="DY113" i="2"/>
  <c r="DY112" i="2"/>
  <c r="DY110" i="2"/>
  <c r="DY109" i="2"/>
  <c r="DY108" i="2"/>
  <c r="DY107" i="2"/>
  <c r="DY106" i="2"/>
  <c r="DY105" i="2"/>
  <c r="DY104" i="2"/>
  <c r="DY100" i="2"/>
  <c r="DY99" i="2"/>
  <c r="DY98" i="2"/>
  <c r="DY97" i="2"/>
  <c r="DY96" i="2"/>
  <c r="DY95" i="2"/>
  <c r="DY94" i="2"/>
  <c r="DY93" i="2"/>
  <c r="DY92" i="2"/>
  <c r="DY90" i="2"/>
  <c r="DY89" i="2"/>
  <c r="DY88" i="2"/>
  <c r="DY87" i="2"/>
  <c r="DY84" i="2"/>
  <c r="DY83" i="2"/>
  <c r="DY82" i="2"/>
  <c r="DY81" i="2"/>
  <c r="DY80" i="2"/>
  <c r="DY79" i="2"/>
  <c r="DY78" i="2"/>
  <c r="DY77" i="2"/>
  <c r="DY76" i="2"/>
  <c r="DY75" i="2"/>
  <c r="DY74" i="2"/>
  <c r="DY73" i="2"/>
  <c r="DY72" i="2"/>
  <c r="DY71" i="2"/>
  <c r="DY70" i="2"/>
  <c r="DY69" i="2"/>
  <c r="DY68" i="2"/>
  <c r="DY67" i="2"/>
  <c r="DY66" i="2"/>
  <c r="DY65" i="2"/>
  <c r="DY64" i="2"/>
  <c r="DY63" i="2"/>
  <c r="DY62" i="2"/>
  <c r="DY61" i="2"/>
  <c r="DY60" i="2"/>
  <c r="DY59" i="2"/>
  <c r="DY58" i="2"/>
  <c r="DY57" i="2"/>
  <c r="DY56" i="2"/>
  <c r="DY55" i="2"/>
  <c r="DY54" i="2"/>
  <c r="DY53" i="2"/>
  <c r="DY52" i="2"/>
  <c r="DY51" i="2"/>
  <c r="DY50" i="2"/>
  <c r="DY49" i="2"/>
  <c r="DY48" i="2"/>
  <c r="DY47" i="2"/>
  <c r="DY45" i="2"/>
  <c r="DY42" i="2"/>
  <c r="DY41" i="2"/>
  <c r="DY40" i="2"/>
  <c r="DY39" i="2"/>
  <c r="DY38" i="2"/>
  <c r="DY37" i="2"/>
  <c r="DY36" i="2"/>
  <c r="DY35" i="2"/>
  <c r="DY34" i="2"/>
  <c r="DY33" i="2"/>
  <c r="DY32" i="2"/>
  <c r="DY30" i="2"/>
  <c r="DY29" i="2"/>
  <c r="DY28" i="2"/>
  <c r="DY27" i="2"/>
  <c r="DY25" i="2"/>
  <c r="DY24" i="2"/>
  <c r="DY23" i="2"/>
  <c r="DY22" i="2"/>
  <c r="DY21" i="2"/>
  <c r="DY20" i="2"/>
  <c r="DY17" i="2"/>
  <c r="DY16" i="2"/>
  <c r="DY15" i="2"/>
  <c r="DY13" i="2"/>
  <c r="DY12" i="2"/>
  <c r="DY11" i="2"/>
  <c r="DY10" i="2"/>
  <c r="DY9" i="2"/>
  <c r="DY8" i="2"/>
  <c r="DY7" i="2"/>
  <c r="DY6" i="2"/>
  <c r="DY4" i="2"/>
  <c r="CB3" i="5" l="1"/>
  <c r="CO90" i="3" l="1"/>
  <c r="BU11" i="3" l="1"/>
  <c r="BU34" i="3"/>
  <c r="BU4" i="3" l="1"/>
  <c r="Z30" i="5" l="1"/>
  <c r="BP3" i="5" l="1"/>
  <c r="BP4" i="5"/>
  <c r="BP5" i="5"/>
  <c r="BP6" i="5"/>
  <c r="BP7" i="5"/>
  <c r="BP8" i="5"/>
  <c r="BP9" i="5"/>
  <c r="BP10" i="5"/>
  <c r="BP11" i="5"/>
  <c r="BP12" i="5"/>
  <c r="BP13" i="5"/>
  <c r="BP14" i="5"/>
  <c r="BP15" i="5"/>
  <c r="BP16" i="5"/>
  <c r="BP17" i="5"/>
  <c r="BP18" i="5"/>
  <c r="BP19" i="5"/>
  <c r="BP20" i="5"/>
  <c r="BV3" i="5"/>
  <c r="BV4" i="5"/>
  <c r="BV5" i="5"/>
  <c r="BV6" i="5"/>
  <c r="BV7" i="5"/>
  <c r="BV8" i="5"/>
  <c r="BV9" i="5"/>
  <c r="BV10" i="5"/>
  <c r="BV11" i="5"/>
  <c r="BV12" i="5"/>
  <c r="BV13" i="5"/>
  <c r="BV14" i="5"/>
  <c r="BV15" i="5"/>
  <c r="BV16" i="5"/>
  <c r="BV17" i="5"/>
  <c r="BV18" i="5"/>
  <c r="CN3" i="5"/>
  <c r="CN4" i="5"/>
  <c r="CN5" i="5"/>
  <c r="CN6" i="5"/>
  <c r="CN7" i="5"/>
  <c r="CN8" i="5"/>
  <c r="CN9" i="5"/>
  <c r="CN10" i="5"/>
  <c r="CN11" i="5"/>
  <c r="CN12" i="5"/>
  <c r="CN13" i="5"/>
  <c r="CN14" i="5"/>
  <c r="CN15" i="5"/>
  <c r="CN16" i="5"/>
  <c r="CN17" i="5"/>
  <c r="CN18" i="5"/>
  <c r="CN19" i="5"/>
  <c r="CN20" i="5"/>
  <c r="CN21" i="5"/>
  <c r="CN22" i="5"/>
  <c r="CN23" i="5"/>
  <c r="CN24" i="5"/>
  <c r="CN25" i="5"/>
  <c r="CN26" i="5"/>
  <c r="CN27" i="5"/>
  <c r="CN28" i="5"/>
  <c r="CN29" i="5"/>
  <c r="CN30" i="5"/>
  <c r="CN31" i="5"/>
  <c r="CN32" i="5"/>
  <c r="CN33" i="5"/>
  <c r="CN34" i="5"/>
  <c r="CN35" i="5"/>
  <c r="CN36" i="5"/>
  <c r="CN37" i="5"/>
  <c r="CN38" i="5"/>
  <c r="CN39" i="5"/>
  <c r="CN40" i="5"/>
  <c r="CN41" i="5"/>
  <c r="CN42" i="5"/>
  <c r="CN43" i="5"/>
  <c r="CN44" i="5"/>
  <c r="CN45" i="5"/>
  <c r="CN46" i="5"/>
  <c r="CN47" i="5"/>
  <c r="CN48" i="5"/>
  <c r="CN49" i="5"/>
  <c r="CN50" i="5"/>
  <c r="CN51" i="5"/>
  <c r="CN52" i="5"/>
  <c r="CN53" i="5"/>
  <c r="CN54" i="5"/>
  <c r="CN55" i="5"/>
  <c r="CN56" i="5"/>
  <c r="CN57" i="5"/>
  <c r="CN58" i="5"/>
  <c r="CN59" i="5"/>
  <c r="CN60" i="5"/>
  <c r="CN61" i="5"/>
  <c r="CN62" i="5"/>
  <c r="CN63" i="5"/>
  <c r="CN64" i="5"/>
  <c r="CN65" i="5"/>
  <c r="CN66" i="5"/>
  <c r="CN67" i="5"/>
  <c r="CN68" i="5"/>
  <c r="CN69" i="5"/>
  <c r="CN70" i="5"/>
  <c r="CN71" i="5"/>
  <c r="CN72" i="5"/>
  <c r="CN73" i="5"/>
  <c r="CN74" i="5"/>
  <c r="CN75" i="5"/>
  <c r="CN76" i="5"/>
  <c r="CN77" i="5"/>
  <c r="CN78" i="5"/>
  <c r="CN79" i="5"/>
  <c r="CN80" i="5"/>
  <c r="CN81" i="5"/>
  <c r="CN82" i="5"/>
  <c r="CN83" i="5"/>
  <c r="CN84" i="5"/>
  <c r="CN85" i="5"/>
  <c r="CN86" i="5"/>
  <c r="CN87" i="5"/>
  <c r="BV19" i="5"/>
  <c r="BP21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Z3" i="5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Z86" i="5"/>
  <c r="Z87" i="5"/>
  <c r="Z88" i="5"/>
  <c r="Z89" i="5"/>
  <c r="Z90" i="5"/>
  <c r="Z91" i="5"/>
  <c r="Z92" i="5"/>
  <c r="Z93" i="5"/>
  <c r="Z94" i="5"/>
  <c r="Z95" i="5"/>
  <c r="Z96" i="5"/>
  <c r="Z97" i="5"/>
  <c r="Z98" i="5"/>
  <c r="Z99" i="5"/>
  <c r="Z100" i="5"/>
  <c r="Z101" i="5"/>
  <c r="Z102" i="5"/>
  <c r="AC3" i="5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F3" i="5"/>
  <c r="AF4" i="5"/>
  <c r="AF5" i="5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I3" i="5"/>
  <c r="AI4" i="5"/>
  <c r="AI5" i="5"/>
  <c r="AI6" i="5"/>
  <c r="AI7" i="5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1" i="5"/>
  <c r="AI42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1" i="5"/>
  <c r="AI92" i="5"/>
  <c r="AI93" i="5"/>
  <c r="AI94" i="5"/>
  <c r="AI95" i="5"/>
  <c r="AI96" i="5"/>
  <c r="AI97" i="5"/>
  <c r="AI98" i="5"/>
  <c r="AI99" i="5"/>
  <c r="AI100" i="5"/>
  <c r="AI101" i="5"/>
  <c r="AI102" i="5"/>
  <c r="AL3" i="5"/>
  <c r="AL4" i="5"/>
  <c r="AL5" i="5"/>
  <c r="AL6" i="5"/>
  <c r="AL7" i="5"/>
  <c r="AL8" i="5"/>
  <c r="AL9" i="5"/>
  <c r="AL10" i="5"/>
  <c r="AL11" i="5"/>
  <c r="AL12" i="5"/>
  <c r="AL13" i="5"/>
  <c r="AL14" i="5"/>
  <c r="AL15" i="5"/>
  <c r="AL16" i="5"/>
  <c r="AL17" i="5"/>
  <c r="AL18" i="5"/>
  <c r="AL19" i="5"/>
  <c r="AL20" i="5"/>
  <c r="AL21" i="5"/>
  <c r="AL22" i="5"/>
  <c r="AL23" i="5"/>
  <c r="AL24" i="5"/>
  <c r="AL25" i="5"/>
  <c r="AL26" i="5"/>
  <c r="AL27" i="5"/>
  <c r="AL28" i="5"/>
  <c r="AL29" i="5"/>
  <c r="AL30" i="5"/>
  <c r="AL31" i="5"/>
  <c r="AL32" i="5"/>
  <c r="AL33" i="5"/>
  <c r="AL34" i="5"/>
  <c r="AL35" i="5"/>
  <c r="AL36" i="5"/>
  <c r="AL37" i="5"/>
  <c r="AL38" i="5"/>
  <c r="AL39" i="5"/>
  <c r="AL40" i="5"/>
  <c r="AL41" i="5"/>
  <c r="AL42" i="5"/>
  <c r="AL43" i="5"/>
  <c r="AL44" i="5"/>
  <c r="AL45" i="5"/>
  <c r="AL46" i="5"/>
  <c r="AL47" i="5"/>
  <c r="AL48" i="5"/>
  <c r="AL49" i="5"/>
  <c r="AL50" i="5"/>
  <c r="AL51" i="5"/>
  <c r="AL52" i="5"/>
  <c r="AL53" i="5"/>
  <c r="AL54" i="5"/>
  <c r="AL55" i="5"/>
  <c r="AL56" i="5"/>
  <c r="AL57" i="5"/>
  <c r="AL58" i="5"/>
  <c r="AL59" i="5"/>
  <c r="AL60" i="5"/>
  <c r="AL61" i="5"/>
  <c r="AL62" i="5"/>
  <c r="AL63" i="5"/>
  <c r="AL64" i="5"/>
  <c r="AL65" i="5"/>
  <c r="AL66" i="5"/>
  <c r="AL67" i="5"/>
  <c r="AL68" i="5"/>
  <c r="AL69" i="5"/>
  <c r="AL70" i="5"/>
  <c r="AL71" i="5"/>
  <c r="AL72" i="5"/>
  <c r="AL73" i="5"/>
  <c r="AL74" i="5"/>
  <c r="AL75" i="5"/>
  <c r="AL76" i="5"/>
  <c r="AL77" i="5"/>
  <c r="AL78" i="5"/>
  <c r="AL79" i="5"/>
  <c r="AL80" i="5"/>
  <c r="AL81" i="5"/>
  <c r="AL82" i="5"/>
  <c r="AL83" i="5"/>
  <c r="AL84" i="5"/>
  <c r="AL85" i="5"/>
  <c r="AL86" i="5"/>
  <c r="AL87" i="5"/>
  <c r="AL88" i="5"/>
  <c r="AL89" i="5"/>
  <c r="AL90" i="5"/>
  <c r="AL91" i="5"/>
  <c r="AL92" i="5"/>
  <c r="AL93" i="5"/>
  <c r="AL94" i="5"/>
  <c r="AL95" i="5"/>
  <c r="AL96" i="5"/>
  <c r="AL97" i="5"/>
  <c r="AL98" i="5"/>
  <c r="AL99" i="5"/>
  <c r="AL100" i="5"/>
  <c r="AL101" i="5"/>
  <c r="AL102" i="5"/>
  <c r="AO3" i="5"/>
  <c r="AO4" i="5"/>
  <c r="AO5" i="5"/>
  <c r="AO6" i="5"/>
  <c r="AO7" i="5"/>
  <c r="AO8" i="5"/>
  <c r="AO9" i="5"/>
  <c r="AO10" i="5"/>
  <c r="AO11" i="5"/>
  <c r="AO12" i="5"/>
  <c r="AO13" i="5"/>
  <c r="AO14" i="5"/>
  <c r="AO15" i="5"/>
  <c r="AO16" i="5"/>
  <c r="AO17" i="5"/>
  <c r="AO18" i="5"/>
  <c r="AO19" i="5"/>
  <c r="AO20" i="5"/>
  <c r="AO21" i="5"/>
  <c r="AO22" i="5"/>
  <c r="AO23" i="5"/>
  <c r="AO24" i="5"/>
  <c r="AO25" i="5"/>
  <c r="AO26" i="5"/>
  <c r="AO27" i="5"/>
  <c r="AO28" i="5"/>
  <c r="AO29" i="5"/>
  <c r="AO30" i="5"/>
  <c r="AO31" i="5"/>
  <c r="AO32" i="5"/>
  <c r="AO33" i="5"/>
  <c r="AO34" i="5"/>
  <c r="AO35" i="5"/>
  <c r="AO36" i="5"/>
  <c r="AO37" i="5"/>
  <c r="AO38" i="5"/>
  <c r="AO39" i="5"/>
  <c r="AO40" i="5"/>
  <c r="AO41" i="5"/>
  <c r="AO42" i="5"/>
  <c r="AO43" i="5"/>
  <c r="AO44" i="5"/>
  <c r="AO45" i="5"/>
  <c r="AO46" i="5"/>
  <c r="AO47" i="5"/>
  <c r="AO48" i="5"/>
  <c r="AO49" i="5"/>
  <c r="AO50" i="5"/>
  <c r="AO51" i="5"/>
  <c r="AO52" i="5"/>
  <c r="AO53" i="5"/>
  <c r="AO54" i="5"/>
  <c r="AO55" i="5"/>
  <c r="AO56" i="5"/>
  <c r="AO57" i="5"/>
  <c r="AO58" i="5"/>
  <c r="AO59" i="5"/>
  <c r="AO60" i="5"/>
  <c r="AO61" i="5"/>
  <c r="AO62" i="5"/>
  <c r="AO63" i="5"/>
  <c r="AO64" i="5"/>
  <c r="AO65" i="5"/>
  <c r="AO66" i="5"/>
  <c r="AO67" i="5"/>
  <c r="AO68" i="5"/>
  <c r="AO69" i="5"/>
  <c r="AO70" i="5"/>
  <c r="AO71" i="5"/>
  <c r="AO72" i="5"/>
  <c r="AO73" i="5"/>
  <c r="AO74" i="5"/>
  <c r="AO75" i="5"/>
  <c r="AO76" i="5"/>
  <c r="AO77" i="5"/>
  <c r="AO78" i="5"/>
  <c r="AO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92" i="5"/>
  <c r="AO93" i="5"/>
  <c r="AO94" i="5"/>
  <c r="AO95" i="5"/>
  <c r="AO96" i="5"/>
  <c r="AO97" i="5"/>
  <c r="AO98" i="5"/>
  <c r="AO99" i="5"/>
  <c r="AO100" i="5"/>
  <c r="AO101" i="5"/>
  <c r="AO102" i="5"/>
  <c r="AR3" i="5"/>
  <c r="AR4" i="5"/>
  <c r="AR5" i="5"/>
  <c r="AR6" i="5"/>
  <c r="AR7" i="5"/>
  <c r="AR8" i="5"/>
  <c r="AR9" i="5"/>
  <c r="AR10" i="5"/>
  <c r="AR11" i="5"/>
  <c r="AR12" i="5"/>
  <c r="AR13" i="5"/>
  <c r="AR14" i="5"/>
  <c r="AR15" i="5"/>
  <c r="AR16" i="5"/>
  <c r="AR17" i="5"/>
  <c r="AR18" i="5"/>
  <c r="AR19" i="5"/>
  <c r="AR20" i="5"/>
  <c r="AR21" i="5"/>
  <c r="AR22" i="5"/>
  <c r="AR23" i="5"/>
  <c r="AR24" i="5"/>
  <c r="AR25" i="5"/>
  <c r="AR26" i="5"/>
  <c r="AR27" i="5"/>
  <c r="AR28" i="5"/>
  <c r="AR29" i="5"/>
  <c r="AR30" i="5"/>
  <c r="AR31" i="5"/>
  <c r="AR32" i="5"/>
  <c r="AR33" i="5"/>
  <c r="AR34" i="5"/>
  <c r="AR35" i="5"/>
  <c r="AR36" i="5"/>
  <c r="AR37" i="5"/>
  <c r="AR38" i="5"/>
  <c r="AR39" i="5"/>
  <c r="AR40" i="5"/>
  <c r="AR41" i="5"/>
  <c r="AR42" i="5"/>
  <c r="AR43" i="5"/>
  <c r="AR44" i="5"/>
  <c r="AR45" i="5"/>
  <c r="AR46" i="5"/>
  <c r="AR47" i="5"/>
  <c r="AR48" i="5"/>
  <c r="AR49" i="5"/>
  <c r="AR50" i="5"/>
  <c r="AR51" i="5"/>
  <c r="AR52" i="5"/>
  <c r="AR53" i="5"/>
  <c r="AR54" i="5"/>
  <c r="AR55" i="5"/>
  <c r="AR56" i="5"/>
  <c r="AR57" i="5"/>
  <c r="AR58" i="5"/>
  <c r="AR59" i="5"/>
  <c r="AR60" i="5"/>
  <c r="AR61" i="5"/>
  <c r="AR62" i="5"/>
  <c r="AR63" i="5"/>
  <c r="AR64" i="5"/>
  <c r="AR65" i="5"/>
  <c r="AR66" i="5"/>
  <c r="AR67" i="5"/>
  <c r="AR68" i="5"/>
  <c r="AR69" i="5"/>
  <c r="AR70" i="5"/>
  <c r="AR71" i="5"/>
  <c r="AR72" i="5"/>
  <c r="AR73" i="5"/>
  <c r="AR74" i="5"/>
  <c r="AR75" i="5"/>
  <c r="AR76" i="5"/>
  <c r="AR77" i="5"/>
  <c r="AR78" i="5"/>
  <c r="AR79" i="5"/>
  <c r="AR80" i="5"/>
  <c r="AR81" i="5"/>
  <c r="AR82" i="5"/>
  <c r="AR83" i="5"/>
  <c r="AR84" i="5"/>
  <c r="AR85" i="5"/>
  <c r="AR86" i="5"/>
  <c r="AR87" i="5"/>
  <c r="AR88" i="5"/>
  <c r="AR89" i="5"/>
  <c r="AR90" i="5"/>
  <c r="AR91" i="5"/>
  <c r="AR92" i="5"/>
  <c r="AR93" i="5"/>
  <c r="AR94" i="5"/>
  <c r="AR95" i="5"/>
  <c r="AR96" i="5"/>
  <c r="AR97" i="5"/>
  <c r="AR98" i="5"/>
  <c r="AR99" i="5"/>
  <c r="AR100" i="5"/>
  <c r="AR101" i="5"/>
  <c r="AR102" i="5"/>
  <c r="AU3" i="5"/>
  <c r="AU4" i="5"/>
  <c r="AU5" i="5"/>
  <c r="AU6" i="5"/>
  <c r="AU7" i="5"/>
  <c r="AU8" i="5"/>
  <c r="AU9" i="5"/>
  <c r="AU10" i="5"/>
  <c r="AU11" i="5"/>
  <c r="AU12" i="5"/>
  <c r="AU13" i="5"/>
  <c r="AU14" i="5"/>
  <c r="AU15" i="5"/>
  <c r="AU16" i="5"/>
  <c r="AU17" i="5"/>
  <c r="AU18" i="5"/>
  <c r="AU19" i="5"/>
  <c r="AU20" i="5"/>
  <c r="AU21" i="5"/>
  <c r="AU22" i="5"/>
  <c r="AU23" i="5"/>
  <c r="AU24" i="5"/>
  <c r="AU25" i="5"/>
  <c r="AU26" i="5"/>
  <c r="AU27" i="5"/>
  <c r="AU28" i="5"/>
  <c r="AU29" i="5"/>
  <c r="AU30" i="5"/>
  <c r="AU31" i="5"/>
  <c r="AU32" i="5"/>
  <c r="AU33" i="5"/>
  <c r="AU34" i="5"/>
  <c r="AU35" i="5"/>
  <c r="AU36" i="5"/>
  <c r="AU37" i="5"/>
  <c r="AU38" i="5"/>
  <c r="AU39" i="5"/>
  <c r="AU40" i="5"/>
  <c r="AU41" i="5"/>
  <c r="AU42" i="5"/>
  <c r="AU43" i="5"/>
  <c r="AU44" i="5"/>
  <c r="AU45" i="5"/>
  <c r="AU46" i="5"/>
  <c r="AU47" i="5"/>
  <c r="AU48" i="5"/>
  <c r="AU49" i="5"/>
  <c r="AU50" i="5"/>
  <c r="AU51" i="5"/>
  <c r="AU52" i="5"/>
  <c r="AU53" i="5"/>
  <c r="AU54" i="5"/>
  <c r="AU55" i="5"/>
  <c r="AU56" i="5"/>
  <c r="AU57" i="5"/>
  <c r="AU58" i="5"/>
  <c r="AU59" i="5"/>
  <c r="AU60" i="5"/>
  <c r="AU61" i="5"/>
  <c r="AU62" i="5"/>
  <c r="AU63" i="5"/>
  <c r="AU64" i="5"/>
  <c r="AU65" i="5"/>
  <c r="AU66" i="5"/>
  <c r="AU67" i="5"/>
  <c r="AU68" i="5"/>
  <c r="AU69" i="5"/>
  <c r="AU70" i="5"/>
  <c r="AU71" i="5"/>
  <c r="AU72" i="5"/>
  <c r="AU73" i="5"/>
  <c r="AU74" i="5"/>
  <c r="AU75" i="5"/>
  <c r="AU76" i="5"/>
  <c r="AU77" i="5"/>
  <c r="AU78" i="5"/>
  <c r="AU79" i="5"/>
  <c r="AU80" i="5"/>
  <c r="AU81" i="5"/>
  <c r="AU82" i="5"/>
  <c r="AU83" i="5"/>
  <c r="AU84" i="5"/>
  <c r="AU85" i="5"/>
  <c r="AU86" i="5"/>
  <c r="AU87" i="5"/>
  <c r="AU88" i="5"/>
  <c r="AU89" i="5"/>
  <c r="AX3" i="5"/>
  <c r="AX4" i="5"/>
  <c r="AX5" i="5"/>
  <c r="AX6" i="5"/>
  <c r="AX7" i="5"/>
  <c r="AX8" i="5"/>
  <c r="AX9" i="5"/>
  <c r="AX10" i="5"/>
  <c r="AX11" i="5"/>
  <c r="AX12" i="5"/>
  <c r="AX13" i="5"/>
  <c r="AX14" i="5"/>
  <c r="AX15" i="5"/>
  <c r="AX16" i="5"/>
  <c r="AX17" i="5"/>
  <c r="AX18" i="5"/>
  <c r="AX19" i="5"/>
  <c r="AX20" i="5"/>
  <c r="AX21" i="5"/>
  <c r="AX22" i="5"/>
  <c r="AX23" i="5"/>
  <c r="AX24" i="5"/>
  <c r="AX25" i="5"/>
  <c r="AX26" i="5"/>
  <c r="AX27" i="5"/>
  <c r="AX28" i="5"/>
  <c r="AX29" i="5"/>
  <c r="AX30" i="5"/>
  <c r="AX31" i="5"/>
  <c r="AX32" i="5"/>
  <c r="AX33" i="5"/>
  <c r="AX34" i="5"/>
  <c r="AX35" i="5"/>
  <c r="AX36" i="5"/>
  <c r="AX37" i="5"/>
  <c r="AX38" i="5"/>
  <c r="AX39" i="5"/>
  <c r="AX40" i="5"/>
  <c r="AX41" i="5"/>
  <c r="AX42" i="5"/>
  <c r="AX43" i="5"/>
  <c r="AX44" i="5"/>
  <c r="AX45" i="5"/>
  <c r="AX46" i="5"/>
  <c r="AX47" i="5"/>
  <c r="AX48" i="5"/>
  <c r="AX49" i="5"/>
  <c r="AX50" i="5"/>
  <c r="AX51" i="5"/>
  <c r="AX52" i="5"/>
  <c r="AX53" i="5"/>
  <c r="AX54" i="5"/>
  <c r="AX55" i="5"/>
  <c r="AX56" i="5"/>
  <c r="AX57" i="5"/>
  <c r="AX58" i="5"/>
  <c r="AX59" i="5"/>
  <c r="AX60" i="5"/>
  <c r="AX61" i="5"/>
  <c r="AX62" i="5"/>
  <c r="AX63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AX76" i="5"/>
  <c r="AX77" i="5"/>
  <c r="AX78" i="5"/>
  <c r="AX79" i="5"/>
  <c r="AX80" i="5"/>
  <c r="AX81" i="5"/>
  <c r="AX82" i="5"/>
  <c r="AX83" i="5"/>
  <c r="AX84" i="5"/>
  <c r="AX85" i="5"/>
  <c r="AX86" i="5"/>
  <c r="AX87" i="5"/>
  <c r="AX88" i="5"/>
  <c r="AX89" i="5"/>
  <c r="AX90" i="5"/>
  <c r="AX91" i="5"/>
  <c r="AX92" i="5"/>
  <c r="AX93" i="5"/>
  <c r="AX94" i="5"/>
  <c r="AX95" i="5"/>
  <c r="AX96" i="5"/>
  <c r="AX97" i="5"/>
  <c r="AX98" i="5"/>
  <c r="AX99" i="5"/>
  <c r="AX100" i="5"/>
  <c r="AX101" i="5"/>
  <c r="AX102" i="5"/>
  <c r="BA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8" i="5"/>
  <c r="BA99" i="5"/>
  <c r="BA100" i="5"/>
  <c r="BA101" i="5"/>
  <c r="BA102" i="5"/>
  <c r="BD3" i="5"/>
  <c r="BD4" i="5"/>
  <c r="BD5" i="5"/>
  <c r="BD6" i="5"/>
  <c r="BD7" i="5"/>
  <c r="BD8" i="5"/>
  <c r="BD9" i="5"/>
  <c r="BD10" i="5"/>
  <c r="BD11" i="5"/>
  <c r="BD12" i="5"/>
  <c r="BD13" i="5"/>
  <c r="BD14" i="5"/>
  <c r="BD15" i="5"/>
  <c r="BD16" i="5"/>
  <c r="BD17" i="5"/>
  <c r="BD18" i="5"/>
  <c r="BD19" i="5"/>
  <c r="BD20" i="5"/>
  <c r="BD21" i="5"/>
  <c r="BD22" i="5"/>
  <c r="BD23" i="5"/>
  <c r="BD24" i="5"/>
  <c r="BD25" i="5"/>
  <c r="BD26" i="5"/>
  <c r="BD27" i="5"/>
  <c r="BD28" i="5"/>
  <c r="BD29" i="5"/>
  <c r="BD30" i="5"/>
  <c r="BD31" i="5"/>
  <c r="BD32" i="5"/>
  <c r="BD33" i="5"/>
  <c r="BD34" i="5"/>
  <c r="BD35" i="5"/>
  <c r="BD36" i="5"/>
  <c r="BD37" i="5"/>
  <c r="BD38" i="5"/>
  <c r="BD39" i="5"/>
  <c r="BD40" i="5"/>
  <c r="BD41" i="5"/>
  <c r="BD42" i="5"/>
  <c r="BD43" i="5"/>
  <c r="BD44" i="5"/>
  <c r="BD45" i="5"/>
  <c r="BD46" i="5"/>
  <c r="BD47" i="5"/>
  <c r="BD48" i="5"/>
  <c r="BD49" i="5"/>
  <c r="BD50" i="5"/>
  <c r="BD51" i="5"/>
  <c r="BD52" i="5"/>
  <c r="BD53" i="5"/>
  <c r="BD54" i="5"/>
  <c r="BD55" i="5"/>
  <c r="BD56" i="5"/>
  <c r="BD57" i="5"/>
  <c r="BD58" i="5"/>
  <c r="BD59" i="5"/>
  <c r="BD60" i="5"/>
  <c r="BD61" i="5"/>
  <c r="BD62" i="5"/>
  <c r="BD63" i="5"/>
  <c r="BD64" i="5"/>
  <c r="BD65" i="5"/>
  <c r="BD66" i="5"/>
  <c r="BD67" i="5"/>
  <c r="BD68" i="5"/>
  <c r="BD69" i="5"/>
  <c r="BD70" i="5"/>
  <c r="BD71" i="5"/>
  <c r="BD72" i="5"/>
  <c r="BD73" i="5"/>
  <c r="BD74" i="5"/>
  <c r="BD75" i="5"/>
  <c r="BD76" i="5"/>
  <c r="BD77" i="5"/>
  <c r="BD78" i="5"/>
  <c r="BD79" i="5"/>
  <c r="BD80" i="5"/>
  <c r="BD81" i="5"/>
  <c r="BD82" i="5"/>
  <c r="BD83" i="5"/>
  <c r="BD84" i="5"/>
  <c r="BD85" i="5"/>
  <c r="BD86" i="5"/>
  <c r="BD87" i="5"/>
  <c r="BD88" i="5"/>
  <c r="BD89" i="5"/>
  <c r="BD90" i="5"/>
  <c r="BD91" i="5"/>
  <c r="BD92" i="5"/>
  <c r="BD93" i="5"/>
  <c r="BD94" i="5"/>
  <c r="BD95" i="5"/>
  <c r="BD96" i="5"/>
  <c r="BD97" i="5"/>
  <c r="BD98" i="5"/>
  <c r="BD99" i="5"/>
  <c r="BD100" i="5"/>
  <c r="BD101" i="5"/>
  <c r="BD102" i="5"/>
  <c r="BG3" i="5"/>
  <c r="BG4" i="5"/>
  <c r="BG5" i="5"/>
  <c r="BG6" i="5"/>
  <c r="BG7" i="5"/>
  <c r="BG8" i="5"/>
  <c r="BG9" i="5"/>
  <c r="BG10" i="5"/>
  <c r="BG11" i="5"/>
  <c r="BG12" i="5"/>
  <c r="BG13" i="5"/>
  <c r="BG14" i="5"/>
  <c r="BG15" i="5"/>
  <c r="BG16" i="5"/>
  <c r="BG17" i="5"/>
  <c r="BG18" i="5"/>
  <c r="BG19" i="5"/>
  <c r="BG20" i="5"/>
  <c r="BG21" i="5"/>
  <c r="BG22" i="5"/>
  <c r="BG23" i="5"/>
  <c r="BG24" i="5"/>
  <c r="BG25" i="5"/>
  <c r="BG26" i="5"/>
  <c r="BG27" i="5"/>
  <c r="BG28" i="5"/>
  <c r="BG29" i="5"/>
  <c r="BG30" i="5"/>
  <c r="BG31" i="5"/>
  <c r="BG32" i="5"/>
  <c r="BG33" i="5"/>
  <c r="BG34" i="5"/>
  <c r="BG35" i="5"/>
  <c r="BG36" i="5"/>
  <c r="BG37" i="5"/>
  <c r="BG38" i="5"/>
  <c r="BG39" i="5"/>
  <c r="BG40" i="5"/>
  <c r="BG41" i="5"/>
  <c r="BG42" i="5"/>
  <c r="BG43" i="5"/>
  <c r="BG44" i="5"/>
  <c r="BG45" i="5"/>
  <c r="BG46" i="5"/>
  <c r="BG47" i="5"/>
  <c r="BG48" i="5"/>
  <c r="BG49" i="5"/>
  <c r="BG50" i="5"/>
  <c r="BG51" i="5"/>
  <c r="BG52" i="5"/>
  <c r="BG53" i="5"/>
  <c r="BG54" i="5"/>
  <c r="BG55" i="5"/>
  <c r="BG56" i="5"/>
  <c r="BG57" i="5"/>
  <c r="BG58" i="5"/>
  <c r="BG59" i="5"/>
  <c r="BG60" i="5"/>
  <c r="BG61" i="5"/>
  <c r="BG62" i="5"/>
  <c r="BG63" i="5"/>
  <c r="BG64" i="5"/>
  <c r="BG65" i="5"/>
  <c r="BG66" i="5"/>
  <c r="BG67" i="5"/>
  <c r="BG68" i="5"/>
  <c r="BG69" i="5"/>
  <c r="BG70" i="5"/>
  <c r="BG71" i="5"/>
  <c r="BG72" i="5"/>
  <c r="BG73" i="5"/>
  <c r="BG74" i="5"/>
  <c r="BG75" i="5"/>
  <c r="BG76" i="5"/>
  <c r="BG77" i="5"/>
  <c r="BG78" i="5"/>
  <c r="BG79" i="5"/>
  <c r="BG80" i="5"/>
  <c r="BG81" i="5"/>
  <c r="BG82" i="5"/>
  <c r="BG83" i="5"/>
  <c r="BG84" i="5"/>
  <c r="BG85" i="5"/>
  <c r="BG86" i="5"/>
  <c r="BG87" i="5"/>
  <c r="BG88" i="5"/>
  <c r="BG89" i="5"/>
  <c r="BG90" i="5"/>
  <c r="BG91" i="5"/>
  <c r="BG92" i="5"/>
  <c r="BG93" i="5"/>
  <c r="BG94" i="5"/>
  <c r="BG95" i="5"/>
  <c r="BG96" i="5"/>
  <c r="BG97" i="5"/>
  <c r="BG98" i="5"/>
  <c r="BG99" i="5"/>
  <c r="BG100" i="5"/>
  <c r="BG101" i="5"/>
  <c r="BG102" i="5"/>
  <c r="BJ3" i="5"/>
  <c r="BJ4" i="5"/>
  <c r="BJ5" i="5"/>
  <c r="BJ6" i="5"/>
  <c r="BJ7" i="5"/>
  <c r="BJ8" i="5"/>
  <c r="BJ9" i="5"/>
  <c r="BJ10" i="5"/>
  <c r="BJ11" i="5"/>
  <c r="BJ12" i="5"/>
  <c r="BJ13" i="5"/>
  <c r="BJ14" i="5"/>
  <c r="BJ15" i="5"/>
  <c r="BJ16" i="5"/>
  <c r="BJ17" i="5"/>
  <c r="BJ18" i="5"/>
  <c r="BJ19" i="5"/>
  <c r="BJ20" i="5"/>
  <c r="BJ21" i="5"/>
  <c r="BJ22" i="5"/>
  <c r="BJ23" i="5"/>
  <c r="BJ24" i="5"/>
  <c r="BJ25" i="5"/>
  <c r="BJ26" i="5"/>
  <c r="BJ27" i="5"/>
  <c r="BJ28" i="5"/>
  <c r="BJ29" i="5"/>
  <c r="BJ30" i="5"/>
  <c r="BJ31" i="5"/>
  <c r="BJ32" i="5"/>
  <c r="BJ33" i="5"/>
  <c r="BJ34" i="5"/>
  <c r="BJ35" i="5"/>
  <c r="BJ36" i="5"/>
  <c r="BJ37" i="5"/>
  <c r="BJ38" i="5"/>
  <c r="BJ39" i="5"/>
  <c r="BJ40" i="5"/>
  <c r="BJ41" i="5"/>
  <c r="BJ42" i="5"/>
  <c r="BJ43" i="5"/>
  <c r="BJ44" i="5"/>
  <c r="BJ45" i="5"/>
  <c r="BJ46" i="5"/>
  <c r="BJ47" i="5"/>
  <c r="BJ48" i="5"/>
  <c r="BJ49" i="5"/>
  <c r="BJ50" i="5"/>
  <c r="BJ51" i="5"/>
  <c r="BJ52" i="5"/>
  <c r="BJ53" i="5"/>
  <c r="BJ54" i="5"/>
  <c r="BJ55" i="5"/>
  <c r="BJ56" i="5"/>
  <c r="BJ57" i="5"/>
  <c r="BJ58" i="5"/>
  <c r="BJ59" i="5"/>
  <c r="BJ60" i="5"/>
  <c r="BJ61" i="5"/>
  <c r="BJ62" i="5"/>
  <c r="BJ63" i="5"/>
  <c r="BJ64" i="5"/>
  <c r="BJ65" i="5"/>
  <c r="BJ66" i="5"/>
  <c r="BJ67" i="5"/>
  <c r="BJ68" i="5"/>
  <c r="BJ69" i="5"/>
  <c r="BJ70" i="5"/>
  <c r="BJ71" i="5"/>
  <c r="BJ72" i="5"/>
  <c r="BJ73" i="5"/>
  <c r="BJ74" i="5"/>
  <c r="BJ75" i="5"/>
  <c r="BJ76" i="5"/>
  <c r="BJ77" i="5"/>
  <c r="BJ78" i="5"/>
  <c r="BJ79" i="5"/>
  <c r="BJ80" i="5"/>
  <c r="BJ81" i="5"/>
  <c r="BJ82" i="5"/>
  <c r="BJ83" i="5"/>
  <c r="BJ84" i="5"/>
  <c r="BJ85" i="5"/>
  <c r="BJ86" i="5"/>
  <c r="BJ87" i="5"/>
  <c r="BJ88" i="5"/>
  <c r="BJ89" i="5"/>
  <c r="BJ90" i="5"/>
  <c r="BJ91" i="5"/>
  <c r="BJ92" i="5"/>
  <c r="BJ93" i="5"/>
  <c r="BJ94" i="5"/>
  <c r="BJ95" i="5"/>
  <c r="BJ96" i="5"/>
  <c r="BJ97" i="5"/>
  <c r="BJ98" i="5"/>
  <c r="BJ99" i="5"/>
  <c r="BJ100" i="5"/>
  <c r="BJ101" i="5"/>
  <c r="BJ102" i="5"/>
  <c r="BM3" i="5"/>
  <c r="BM4" i="5"/>
  <c r="BM5" i="5"/>
  <c r="BM6" i="5"/>
  <c r="BM7" i="5"/>
  <c r="BM8" i="5"/>
  <c r="BM9" i="5"/>
  <c r="BM10" i="5"/>
  <c r="BM11" i="5"/>
  <c r="BM12" i="5"/>
  <c r="BM13" i="5"/>
  <c r="BM14" i="5"/>
  <c r="BM15" i="5"/>
  <c r="BM16" i="5"/>
  <c r="BM17" i="5"/>
  <c r="BM18" i="5"/>
  <c r="BM19" i="5"/>
  <c r="BM20" i="5"/>
  <c r="BM21" i="5"/>
  <c r="BM22" i="5"/>
  <c r="BM23" i="5"/>
  <c r="BM24" i="5"/>
  <c r="BM25" i="5"/>
  <c r="BM26" i="5"/>
  <c r="BM27" i="5"/>
  <c r="BM28" i="5"/>
  <c r="BM29" i="5"/>
  <c r="BM30" i="5"/>
  <c r="BM31" i="5"/>
  <c r="BM32" i="5"/>
  <c r="BM33" i="5"/>
  <c r="BM34" i="5"/>
  <c r="BM35" i="5"/>
  <c r="BM36" i="5"/>
  <c r="BM37" i="5"/>
  <c r="BM38" i="5"/>
  <c r="BM39" i="5"/>
  <c r="BM40" i="5"/>
  <c r="BM41" i="5"/>
  <c r="BM42" i="5"/>
  <c r="BM43" i="5"/>
  <c r="BM44" i="5"/>
  <c r="BM45" i="5"/>
  <c r="BM46" i="5"/>
  <c r="BM47" i="5"/>
  <c r="BM48" i="5"/>
  <c r="BM49" i="5"/>
  <c r="BM50" i="5"/>
  <c r="BM51" i="5"/>
  <c r="BM52" i="5"/>
  <c r="BM53" i="5"/>
  <c r="BM54" i="5"/>
  <c r="BM55" i="5"/>
  <c r="BM56" i="5"/>
  <c r="BM57" i="5"/>
  <c r="BM58" i="5"/>
  <c r="BM59" i="5"/>
  <c r="BM60" i="5"/>
  <c r="BM61" i="5"/>
  <c r="BM62" i="5"/>
  <c r="BM63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M77" i="5"/>
  <c r="BM78" i="5"/>
  <c r="BM79" i="5"/>
  <c r="BM80" i="5"/>
  <c r="BM81" i="5"/>
  <c r="BM82" i="5"/>
  <c r="BM83" i="5"/>
  <c r="BM84" i="5"/>
  <c r="BM85" i="5"/>
  <c r="BM86" i="5"/>
  <c r="BM87" i="5"/>
  <c r="BM88" i="5"/>
  <c r="BM89" i="5"/>
  <c r="BM90" i="5"/>
  <c r="BM91" i="5"/>
  <c r="BM92" i="5"/>
  <c r="BM93" i="5"/>
  <c r="BM94" i="5"/>
  <c r="BM95" i="5"/>
  <c r="BM96" i="5"/>
  <c r="BM97" i="5"/>
  <c r="BM98" i="5"/>
  <c r="BM99" i="5"/>
  <c r="BM100" i="5"/>
  <c r="BM101" i="5"/>
  <c r="BM102" i="5"/>
  <c r="BP22" i="5"/>
  <c r="BP23" i="5"/>
  <c r="BP24" i="5"/>
  <c r="BP25" i="5"/>
  <c r="BP26" i="5"/>
  <c r="BP27" i="5"/>
  <c r="BP28" i="5"/>
  <c r="BP29" i="5"/>
  <c r="BP30" i="5"/>
  <c r="BP31" i="5"/>
  <c r="BP32" i="5"/>
  <c r="BP33" i="5"/>
  <c r="BP34" i="5"/>
  <c r="BP35" i="5"/>
  <c r="BP36" i="5"/>
  <c r="BP37" i="5"/>
  <c r="BP38" i="5"/>
  <c r="BP39" i="5"/>
  <c r="BP40" i="5"/>
  <c r="BP41" i="5"/>
  <c r="BP42" i="5"/>
  <c r="BP43" i="5"/>
  <c r="BP44" i="5"/>
  <c r="BP45" i="5"/>
  <c r="BP46" i="5"/>
  <c r="BP47" i="5"/>
  <c r="BP48" i="5"/>
  <c r="BP49" i="5"/>
  <c r="BP50" i="5"/>
  <c r="BP51" i="5"/>
  <c r="BP52" i="5"/>
  <c r="BP53" i="5"/>
  <c r="BP54" i="5"/>
  <c r="BP55" i="5"/>
  <c r="BP56" i="5"/>
  <c r="BP57" i="5"/>
  <c r="BP58" i="5"/>
  <c r="BP59" i="5"/>
  <c r="BP60" i="5"/>
  <c r="BP61" i="5"/>
  <c r="BP62" i="5"/>
  <c r="BP63" i="5"/>
  <c r="BP64" i="5"/>
  <c r="BP65" i="5"/>
  <c r="BP66" i="5"/>
  <c r="BP67" i="5"/>
  <c r="BP68" i="5"/>
  <c r="BP69" i="5"/>
  <c r="BP70" i="5"/>
  <c r="BP71" i="5"/>
  <c r="BP72" i="5"/>
  <c r="BP73" i="5"/>
  <c r="BP74" i="5"/>
  <c r="BP75" i="5"/>
  <c r="BP76" i="5"/>
  <c r="BP77" i="5"/>
  <c r="BP78" i="5"/>
  <c r="BP79" i="5"/>
  <c r="BP80" i="5"/>
  <c r="BP81" i="5"/>
  <c r="BP82" i="5"/>
  <c r="BP83" i="5"/>
  <c r="BP84" i="5"/>
  <c r="BP85" i="5"/>
  <c r="BP86" i="5"/>
  <c r="BP87" i="5"/>
  <c r="BP88" i="5"/>
  <c r="BP89" i="5"/>
  <c r="BP90" i="5"/>
  <c r="BP91" i="5"/>
  <c r="BP92" i="5"/>
  <c r="BP93" i="5"/>
  <c r="BP94" i="5"/>
  <c r="BP95" i="5"/>
  <c r="BP96" i="5"/>
  <c r="BP97" i="5"/>
  <c r="BP98" i="5"/>
  <c r="BP99" i="5"/>
  <c r="BP100" i="5"/>
  <c r="BP101" i="5"/>
  <c r="BP102" i="5"/>
  <c r="BS3" i="5"/>
  <c r="BS4" i="5"/>
  <c r="BS5" i="5"/>
  <c r="BS6" i="5"/>
  <c r="BS7" i="5"/>
  <c r="BS8" i="5"/>
  <c r="BS9" i="5"/>
  <c r="BS10" i="5"/>
  <c r="BS11" i="5"/>
  <c r="BS12" i="5"/>
  <c r="BS13" i="5"/>
  <c r="BS14" i="5"/>
  <c r="BS15" i="5"/>
  <c r="BS16" i="5"/>
  <c r="BS17" i="5"/>
  <c r="BS18" i="5"/>
  <c r="BS19" i="5"/>
  <c r="BS20" i="5"/>
  <c r="BS21" i="5"/>
  <c r="BS22" i="5"/>
  <c r="BS23" i="5"/>
  <c r="BS24" i="5"/>
  <c r="BS25" i="5"/>
  <c r="BS26" i="5"/>
  <c r="BS27" i="5"/>
  <c r="BS28" i="5"/>
  <c r="BS29" i="5"/>
  <c r="BS30" i="5"/>
  <c r="BS31" i="5"/>
  <c r="BS32" i="5"/>
  <c r="BS33" i="5"/>
  <c r="BS34" i="5"/>
  <c r="BS35" i="5"/>
  <c r="BS36" i="5"/>
  <c r="BS37" i="5"/>
  <c r="BS38" i="5"/>
  <c r="BS39" i="5"/>
  <c r="BS40" i="5"/>
  <c r="BS41" i="5"/>
  <c r="BS42" i="5"/>
  <c r="BS43" i="5"/>
  <c r="BS44" i="5"/>
  <c r="BS45" i="5"/>
  <c r="BS46" i="5"/>
  <c r="BS47" i="5"/>
  <c r="BS48" i="5"/>
  <c r="BS49" i="5"/>
  <c r="BS50" i="5"/>
  <c r="BS51" i="5"/>
  <c r="BS52" i="5"/>
  <c r="BS53" i="5"/>
  <c r="BS54" i="5"/>
  <c r="BS55" i="5"/>
  <c r="BS56" i="5"/>
  <c r="BS57" i="5"/>
  <c r="BS58" i="5"/>
  <c r="BS59" i="5"/>
  <c r="BS60" i="5"/>
  <c r="BS61" i="5"/>
  <c r="BS62" i="5"/>
  <c r="BS63" i="5"/>
  <c r="BS64" i="5"/>
  <c r="BS65" i="5"/>
  <c r="BS66" i="5"/>
  <c r="BS67" i="5"/>
  <c r="BS68" i="5"/>
  <c r="BS69" i="5"/>
  <c r="BS70" i="5"/>
  <c r="BS71" i="5"/>
  <c r="BS72" i="5"/>
  <c r="BS73" i="5"/>
  <c r="BS74" i="5"/>
  <c r="BS75" i="5"/>
  <c r="BS76" i="5"/>
  <c r="BS77" i="5"/>
  <c r="BS78" i="5"/>
  <c r="BS79" i="5"/>
  <c r="BS80" i="5"/>
  <c r="BS81" i="5"/>
  <c r="BS82" i="5"/>
  <c r="BS83" i="5"/>
  <c r="BS84" i="5"/>
  <c r="BS85" i="5"/>
  <c r="BS86" i="5"/>
  <c r="BS87" i="5"/>
  <c r="BS88" i="5"/>
  <c r="BS89" i="5"/>
  <c r="BS90" i="5"/>
  <c r="BS91" i="5"/>
  <c r="BS92" i="5"/>
  <c r="BS93" i="5"/>
  <c r="BS94" i="5"/>
  <c r="BS95" i="5"/>
  <c r="BS96" i="5"/>
  <c r="BS97" i="5"/>
  <c r="BS98" i="5"/>
  <c r="BS99" i="5"/>
  <c r="BS100" i="5"/>
  <c r="BS101" i="5"/>
  <c r="BS102" i="5"/>
  <c r="BV20" i="5"/>
  <c r="BV21" i="5"/>
  <c r="BV22" i="5"/>
  <c r="BV23" i="5"/>
  <c r="BV24" i="5"/>
  <c r="BV25" i="5"/>
  <c r="BV26" i="5"/>
  <c r="BV27" i="5"/>
  <c r="BV28" i="5"/>
  <c r="BV29" i="5"/>
  <c r="BV30" i="5"/>
  <c r="BV31" i="5"/>
  <c r="BV32" i="5"/>
  <c r="BV33" i="5"/>
  <c r="BV34" i="5"/>
  <c r="BV35" i="5"/>
  <c r="BV36" i="5"/>
  <c r="BV37" i="5"/>
  <c r="BV38" i="5"/>
  <c r="BV39" i="5"/>
  <c r="BV40" i="5"/>
  <c r="BV41" i="5"/>
  <c r="BV42" i="5"/>
  <c r="BV43" i="5"/>
  <c r="BV44" i="5"/>
  <c r="BV45" i="5"/>
  <c r="BV46" i="5"/>
  <c r="BV47" i="5"/>
  <c r="BV48" i="5"/>
  <c r="BV49" i="5"/>
  <c r="BV50" i="5"/>
  <c r="BV51" i="5"/>
  <c r="BV52" i="5"/>
  <c r="BV53" i="5"/>
  <c r="BV54" i="5"/>
  <c r="BV55" i="5"/>
  <c r="BV56" i="5"/>
  <c r="BV57" i="5"/>
  <c r="BV58" i="5"/>
  <c r="BV59" i="5"/>
  <c r="BV60" i="5"/>
  <c r="BV61" i="5"/>
  <c r="BV62" i="5"/>
  <c r="BV63" i="5"/>
  <c r="BV64" i="5"/>
  <c r="BV65" i="5"/>
  <c r="BV66" i="5"/>
  <c r="BV67" i="5"/>
  <c r="BV68" i="5"/>
  <c r="BV69" i="5"/>
  <c r="BV70" i="5"/>
  <c r="BV71" i="5"/>
  <c r="BV72" i="5"/>
  <c r="BV73" i="5"/>
  <c r="BV74" i="5"/>
  <c r="BV75" i="5"/>
  <c r="BV76" i="5"/>
  <c r="BV77" i="5"/>
  <c r="BV78" i="5"/>
  <c r="BV79" i="5"/>
  <c r="BV80" i="5"/>
  <c r="BV81" i="5"/>
  <c r="BV82" i="5"/>
  <c r="BV83" i="5"/>
  <c r="BV84" i="5"/>
  <c r="BV85" i="5"/>
  <c r="BV86" i="5"/>
  <c r="BV87" i="5"/>
  <c r="BV88" i="5"/>
  <c r="BV89" i="5"/>
  <c r="BV90" i="5"/>
  <c r="BV91" i="5"/>
  <c r="BV92" i="5"/>
  <c r="BV93" i="5"/>
  <c r="BV94" i="5"/>
  <c r="BV95" i="5"/>
  <c r="BV96" i="5"/>
  <c r="BV97" i="5"/>
  <c r="BV98" i="5"/>
  <c r="BV99" i="5"/>
  <c r="BV100" i="5"/>
  <c r="BV101" i="5"/>
  <c r="BV102" i="5"/>
  <c r="BY3" i="5"/>
  <c r="BY4" i="5"/>
  <c r="BY5" i="5"/>
  <c r="BY6" i="5"/>
  <c r="BY7" i="5"/>
  <c r="BY8" i="5"/>
  <c r="BY9" i="5"/>
  <c r="BY10" i="5"/>
  <c r="BY11" i="5"/>
  <c r="BY12" i="5"/>
  <c r="BY13" i="5"/>
  <c r="BY14" i="5"/>
  <c r="BY15" i="5"/>
  <c r="BY16" i="5"/>
  <c r="BY17" i="5"/>
  <c r="BY18" i="5"/>
  <c r="BY19" i="5"/>
  <c r="BY20" i="5"/>
  <c r="BY21" i="5"/>
  <c r="BY22" i="5"/>
  <c r="BY23" i="5"/>
  <c r="BY24" i="5"/>
  <c r="BY25" i="5"/>
  <c r="BY26" i="5"/>
  <c r="BY27" i="5"/>
  <c r="BY28" i="5"/>
  <c r="BY29" i="5"/>
  <c r="BY30" i="5"/>
  <c r="BY31" i="5"/>
  <c r="BY32" i="5"/>
  <c r="BY33" i="5"/>
  <c r="BY34" i="5"/>
  <c r="BY35" i="5"/>
  <c r="BY36" i="5"/>
  <c r="BY37" i="5"/>
  <c r="BY38" i="5"/>
  <c r="BY39" i="5"/>
  <c r="BY40" i="5"/>
  <c r="BY41" i="5"/>
  <c r="BY42" i="5"/>
  <c r="BY43" i="5"/>
  <c r="BY44" i="5"/>
  <c r="BY45" i="5"/>
  <c r="BY46" i="5"/>
  <c r="BY47" i="5"/>
  <c r="BY48" i="5"/>
  <c r="BY49" i="5"/>
  <c r="BY50" i="5"/>
  <c r="BY51" i="5"/>
  <c r="BY52" i="5"/>
  <c r="BY53" i="5"/>
  <c r="BY54" i="5"/>
  <c r="BY55" i="5"/>
  <c r="BY56" i="5"/>
  <c r="BY57" i="5"/>
  <c r="BY58" i="5"/>
  <c r="BY59" i="5"/>
  <c r="BY60" i="5"/>
  <c r="BY61" i="5"/>
  <c r="BY62" i="5"/>
  <c r="BY63" i="5"/>
  <c r="BY64" i="5"/>
  <c r="BY65" i="5"/>
  <c r="BY66" i="5"/>
  <c r="BY67" i="5"/>
  <c r="BY68" i="5"/>
  <c r="BY69" i="5"/>
  <c r="BY70" i="5"/>
  <c r="BY71" i="5"/>
  <c r="BY72" i="5"/>
  <c r="BY73" i="5"/>
  <c r="BY74" i="5"/>
  <c r="BY75" i="5"/>
  <c r="BY76" i="5"/>
  <c r="BY77" i="5"/>
  <c r="BY78" i="5"/>
  <c r="BY79" i="5"/>
  <c r="BY80" i="5"/>
  <c r="BY81" i="5"/>
  <c r="BY82" i="5"/>
  <c r="BY83" i="5"/>
  <c r="BY84" i="5"/>
  <c r="BY85" i="5"/>
  <c r="BY86" i="5"/>
  <c r="BY87" i="5"/>
  <c r="BY88" i="5"/>
  <c r="BY89" i="5"/>
  <c r="BY90" i="5"/>
  <c r="BY91" i="5"/>
  <c r="BY92" i="5"/>
  <c r="BY93" i="5"/>
  <c r="BY94" i="5"/>
  <c r="BY95" i="5"/>
  <c r="BY96" i="5"/>
  <c r="BY97" i="5"/>
  <c r="BY98" i="5"/>
  <c r="BY99" i="5"/>
  <c r="BY100" i="5"/>
  <c r="BY101" i="5"/>
  <c r="BY102" i="5"/>
  <c r="CB4" i="5"/>
  <c r="CB5" i="5"/>
  <c r="CB6" i="5"/>
  <c r="CB7" i="5"/>
  <c r="CB8" i="5"/>
  <c r="CB9" i="5"/>
  <c r="CB10" i="5"/>
  <c r="CB11" i="5"/>
  <c r="CB12" i="5"/>
  <c r="CB13" i="5"/>
  <c r="CB14" i="5"/>
  <c r="CB15" i="5"/>
  <c r="CB16" i="5"/>
  <c r="CB17" i="5"/>
  <c r="CB18" i="5"/>
  <c r="CB19" i="5"/>
  <c r="CB20" i="5"/>
  <c r="CB21" i="5"/>
  <c r="CB22" i="5"/>
  <c r="CB23" i="5"/>
  <c r="CB24" i="5"/>
  <c r="CB25" i="5"/>
  <c r="CB26" i="5"/>
  <c r="CB27" i="5"/>
  <c r="CB28" i="5"/>
  <c r="CB29" i="5"/>
  <c r="CB30" i="5"/>
  <c r="CB31" i="5"/>
  <c r="CB32" i="5"/>
  <c r="CB33" i="5"/>
  <c r="CB34" i="5"/>
  <c r="CB35" i="5"/>
  <c r="CB36" i="5"/>
  <c r="CB37" i="5"/>
  <c r="CB38" i="5"/>
  <c r="CB39" i="5"/>
  <c r="CB40" i="5"/>
  <c r="CB41" i="5"/>
  <c r="CB42" i="5"/>
  <c r="CB43" i="5"/>
  <c r="CB44" i="5"/>
  <c r="CB45" i="5"/>
  <c r="CB46" i="5"/>
  <c r="CB47" i="5"/>
  <c r="CB48" i="5"/>
  <c r="CB49" i="5"/>
  <c r="CB50" i="5"/>
  <c r="CB51" i="5"/>
  <c r="CB52" i="5"/>
  <c r="CB53" i="5"/>
  <c r="CB54" i="5"/>
  <c r="CB55" i="5"/>
  <c r="CB56" i="5"/>
  <c r="CB57" i="5"/>
  <c r="CB58" i="5"/>
  <c r="CB59" i="5"/>
  <c r="CB60" i="5"/>
  <c r="CB61" i="5"/>
  <c r="CB62" i="5"/>
  <c r="CB63" i="5"/>
  <c r="CB64" i="5"/>
  <c r="CB65" i="5"/>
  <c r="CB66" i="5"/>
  <c r="CB67" i="5"/>
  <c r="CB68" i="5"/>
  <c r="CB69" i="5"/>
  <c r="CB70" i="5"/>
  <c r="CB71" i="5"/>
  <c r="CB72" i="5"/>
  <c r="CB73" i="5"/>
  <c r="CB74" i="5"/>
  <c r="CB75" i="5"/>
  <c r="CB76" i="5"/>
  <c r="CB77" i="5"/>
  <c r="CB78" i="5"/>
  <c r="CB79" i="5"/>
  <c r="CB80" i="5"/>
  <c r="CB81" i="5"/>
  <c r="CB82" i="5"/>
  <c r="CB83" i="5"/>
  <c r="CB84" i="5"/>
  <c r="CB85" i="5"/>
  <c r="CB86" i="5"/>
  <c r="CB87" i="5"/>
  <c r="CB88" i="5"/>
  <c r="CB89" i="5"/>
  <c r="CB90" i="5"/>
  <c r="CB91" i="5"/>
  <c r="CB92" i="5"/>
  <c r="CB93" i="5"/>
  <c r="CB94" i="5"/>
  <c r="CB95" i="5"/>
  <c r="CB96" i="5"/>
  <c r="CB97" i="5"/>
  <c r="CB98" i="5"/>
  <c r="CB99" i="5"/>
  <c r="CB100" i="5"/>
  <c r="CB101" i="5"/>
  <c r="CB102" i="5"/>
  <c r="CE3" i="5"/>
  <c r="CE4" i="5"/>
  <c r="CE5" i="5"/>
  <c r="CE6" i="5"/>
  <c r="CE7" i="5"/>
  <c r="CE8" i="5"/>
  <c r="CE9" i="5"/>
  <c r="CE10" i="5"/>
  <c r="CE11" i="5"/>
  <c r="CE12" i="5"/>
  <c r="CE13" i="5"/>
  <c r="CE14" i="5"/>
  <c r="CE15" i="5"/>
  <c r="CE16" i="5"/>
  <c r="CE17" i="5"/>
  <c r="CE18" i="5"/>
  <c r="CE19" i="5"/>
  <c r="CE20" i="5"/>
  <c r="CE21" i="5"/>
  <c r="CE22" i="5"/>
  <c r="CE23" i="5"/>
  <c r="CE24" i="5"/>
  <c r="CE25" i="5"/>
  <c r="CE26" i="5"/>
  <c r="CE27" i="5"/>
  <c r="CE28" i="5"/>
  <c r="CE29" i="5"/>
  <c r="CE30" i="5"/>
  <c r="CE31" i="5"/>
  <c r="CE32" i="5"/>
  <c r="CE33" i="5"/>
  <c r="CE34" i="5"/>
  <c r="CE35" i="5"/>
  <c r="CE36" i="5"/>
  <c r="CE37" i="5"/>
  <c r="CE38" i="5"/>
  <c r="CE39" i="5"/>
  <c r="CE40" i="5"/>
  <c r="CE41" i="5"/>
  <c r="CE42" i="5"/>
  <c r="CE43" i="5"/>
  <c r="CE44" i="5"/>
  <c r="CE45" i="5"/>
  <c r="CE46" i="5"/>
  <c r="CE47" i="5"/>
  <c r="CE48" i="5"/>
  <c r="CE49" i="5"/>
  <c r="CE50" i="5"/>
  <c r="CE51" i="5"/>
  <c r="CE52" i="5"/>
  <c r="CE53" i="5"/>
  <c r="CE54" i="5"/>
  <c r="CE55" i="5"/>
  <c r="CE56" i="5"/>
  <c r="CE57" i="5"/>
  <c r="CE58" i="5"/>
  <c r="CE59" i="5"/>
  <c r="CE60" i="5"/>
  <c r="CE61" i="5"/>
  <c r="CE62" i="5"/>
  <c r="CE63" i="5"/>
  <c r="CE64" i="5"/>
  <c r="CE65" i="5"/>
  <c r="CE66" i="5"/>
  <c r="CE67" i="5"/>
  <c r="CE68" i="5"/>
  <c r="CE69" i="5"/>
  <c r="CE70" i="5"/>
  <c r="CE71" i="5"/>
  <c r="CE72" i="5"/>
  <c r="CE73" i="5"/>
  <c r="CE74" i="5"/>
  <c r="CE75" i="5"/>
  <c r="CE76" i="5"/>
  <c r="CE77" i="5"/>
  <c r="CE78" i="5"/>
  <c r="CE79" i="5"/>
  <c r="CE80" i="5"/>
  <c r="CE81" i="5"/>
  <c r="CE82" i="5"/>
  <c r="CE83" i="5"/>
  <c r="CE84" i="5"/>
  <c r="CE85" i="5"/>
  <c r="CE86" i="5"/>
  <c r="CE87" i="5"/>
  <c r="CE88" i="5"/>
  <c r="CE89" i="5"/>
  <c r="CE90" i="5"/>
  <c r="CE91" i="5"/>
  <c r="CE92" i="5"/>
  <c r="CE93" i="5"/>
  <c r="CE94" i="5"/>
  <c r="CE95" i="5"/>
  <c r="CE96" i="5"/>
  <c r="CE97" i="5"/>
  <c r="CE98" i="5"/>
  <c r="CE99" i="5"/>
  <c r="CE100" i="5"/>
  <c r="CE101" i="5"/>
  <c r="CE102" i="5"/>
  <c r="CH3" i="5"/>
  <c r="CH4" i="5"/>
  <c r="CH5" i="5"/>
  <c r="CH6" i="5"/>
  <c r="CH7" i="5"/>
  <c r="CH8" i="5"/>
  <c r="CH9" i="5"/>
  <c r="CH10" i="5"/>
  <c r="CH11" i="5"/>
  <c r="CH12" i="5"/>
  <c r="CH13" i="5"/>
  <c r="CH14" i="5"/>
  <c r="CH15" i="5"/>
  <c r="CH16" i="5"/>
  <c r="CH17" i="5"/>
  <c r="CH18" i="5"/>
  <c r="CH19" i="5"/>
  <c r="CH20" i="5"/>
  <c r="CH21" i="5"/>
  <c r="CH22" i="5"/>
  <c r="CH23" i="5"/>
  <c r="CH24" i="5"/>
  <c r="CH25" i="5"/>
  <c r="CH26" i="5"/>
  <c r="CH27" i="5"/>
  <c r="CH28" i="5"/>
  <c r="CH29" i="5"/>
  <c r="CH30" i="5"/>
  <c r="CH31" i="5"/>
  <c r="CH32" i="5"/>
  <c r="CH33" i="5"/>
  <c r="CH34" i="5"/>
  <c r="CH35" i="5"/>
  <c r="CH36" i="5"/>
  <c r="CH37" i="5"/>
  <c r="CH38" i="5"/>
  <c r="CH39" i="5"/>
  <c r="CH40" i="5"/>
  <c r="CH41" i="5"/>
  <c r="CH42" i="5"/>
  <c r="CH43" i="5"/>
  <c r="CH44" i="5"/>
  <c r="CH45" i="5"/>
  <c r="CH46" i="5"/>
  <c r="CH47" i="5"/>
  <c r="CH48" i="5"/>
  <c r="CH49" i="5"/>
  <c r="CH50" i="5"/>
  <c r="CH51" i="5"/>
  <c r="CH52" i="5"/>
  <c r="CH53" i="5"/>
  <c r="CH54" i="5"/>
  <c r="CH55" i="5"/>
  <c r="CH56" i="5"/>
  <c r="CH57" i="5"/>
  <c r="CH58" i="5"/>
  <c r="CH59" i="5"/>
  <c r="CH60" i="5"/>
  <c r="CH61" i="5"/>
  <c r="CH62" i="5"/>
  <c r="CH63" i="5"/>
  <c r="CH64" i="5"/>
  <c r="CH65" i="5"/>
  <c r="CH66" i="5"/>
  <c r="CH67" i="5"/>
  <c r="CH68" i="5"/>
  <c r="CH69" i="5"/>
  <c r="CH70" i="5"/>
  <c r="CH71" i="5"/>
  <c r="CH72" i="5"/>
  <c r="CH73" i="5"/>
  <c r="CH74" i="5"/>
  <c r="CH75" i="5"/>
  <c r="CH76" i="5"/>
  <c r="CH77" i="5"/>
  <c r="CH78" i="5"/>
  <c r="CH79" i="5"/>
  <c r="CH80" i="5"/>
  <c r="CH81" i="5"/>
  <c r="CH82" i="5"/>
  <c r="CH83" i="5"/>
  <c r="CH84" i="5"/>
  <c r="CH85" i="5"/>
  <c r="CH86" i="5"/>
  <c r="CH87" i="5"/>
  <c r="CH88" i="5"/>
  <c r="CH89" i="5"/>
  <c r="CH90" i="5"/>
  <c r="CH91" i="5"/>
  <c r="CH92" i="5"/>
  <c r="CH93" i="5"/>
  <c r="CH94" i="5"/>
  <c r="CH95" i="5"/>
  <c r="CH96" i="5"/>
  <c r="CH97" i="5"/>
  <c r="CH98" i="5"/>
  <c r="CH99" i="5"/>
  <c r="CH100" i="5"/>
  <c r="CH101" i="5"/>
  <c r="CH102" i="5"/>
  <c r="CK3" i="5"/>
  <c r="CK4" i="5"/>
  <c r="CK5" i="5"/>
  <c r="CK6" i="5"/>
  <c r="CK7" i="5"/>
  <c r="CK8" i="5"/>
  <c r="CK9" i="5"/>
  <c r="CK10" i="5"/>
  <c r="CK11" i="5"/>
  <c r="CK12" i="5"/>
  <c r="CK13" i="5"/>
  <c r="CK14" i="5"/>
  <c r="CK15" i="5"/>
  <c r="CK16" i="5"/>
  <c r="CK17" i="5"/>
  <c r="CK18" i="5"/>
  <c r="CK19" i="5"/>
  <c r="CK20" i="5"/>
  <c r="CK21" i="5"/>
  <c r="CK22" i="5"/>
  <c r="CK23" i="5"/>
  <c r="CK24" i="5"/>
  <c r="CK25" i="5"/>
  <c r="CK26" i="5"/>
  <c r="CK27" i="5"/>
  <c r="CK28" i="5"/>
  <c r="CK29" i="5"/>
  <c r="CK30" i="5"/>
  <c r="CK31" i="5"/>
  <c r="CK32" i="5"/>
  <c r="CK33" i="5"/>
  <c r="CK34" i="5"/>
  <c r="CK35" i="5"/>
  <c r="CK36" i="5"/>
  <c r="CK37" i="5"/>
  <c r="CK38" i="5"/>
  <c r="CK39" i="5"/>
  <c r="CK40" i="5"/>
  <c r="CK41" i="5"/>
  <c r="CK42" i="5"/>
  <c r="CK43" i="5"/>
  <c r="CK44" i="5"/>
  <c r="CK45" i="5"/>
  <c r="CK46" i="5"/>
  <c r="CK47" i="5"/>
  <c r="CK48" i="5"/>
  <c r="CK49" i="5"/>
  <c r="CK50" i="5"/>
  <c r="CK51" i="5"/>
  <c r="CK52" i="5"/>
  <c r="CK53" i="5"/>
  <c r="CK54" i="5"/>
  <c r="CK55" i="5"/>
  <c r="CK56" i="5"/>
  <c r="CK57" i="5"/>
  <c r="CK58" i="5"/>
  <c r="CK59" i="5"/>
  <c r="CK60" i="5"/>
  <c r="CK61" i="5"/>
  <c r="CK62" i="5"/>
  <c r="CK63" i="5"/>
  <c r="CK64" i="5"/>
  <c r="CK65" i="5"/>
  <c r="CK66" i="5"/>
  <c r="CK67" i="5"/>
  <c r="CK68" i="5"/>
  <c r="CK69" i="5"/>
  <c r="CK70" i="5"/>
  <c r="CK71" i="5"/>
  <c r="CK72" i="5"/>
  <c r="CK73" i="5"/>
  <c r="CK74" i="5"/>
  <c r="CK75" i="5"/>
  <c r="CK76" i="5"/>
  <c r="CK77" i="5"/>
  <c r="CK78" i="5"/>
  <c r="CK79" i="5"/>
  <c r="CK80" i="5"/>
  <c r="CK81" i="5"/>
  <c r="CK82" i="5"/>
  <c r="CK83" i="5"/>
  <c r="CK84" i="5"/>
  <c r="CK85" i="5"/>
  <c r="CK86" i="5"/>
  <c r="CK87" i="5"/>
  <c r="CK88" i="5"/>
  <c r="CK89" i="5"/>
  <c r="CK90" i="5"/>
  <c r="CK91" i="5"/>
  <c r="CK92" i="5"/>
  <c r="CK93" i="5"/>
  <c r="CK94" i="5"/>
  <c r="CK95" i="5"/>
  <c r="CK96" i="5"/>
  <c r="CK97" i="5"/>
  <c r="CK98" i="5"/>
  <c r="CK99" i="5"/>
  <c r="CK100" i="5"/>
  <c r="CK101" i="5"/>
  <c r="CK102" i="5"/>
  <c r="AU90" i="5"/>
  <c r="AU91" i="5"/>
  <c r="AU92" i="5"/>
  <c r="AU93" i="5"/>
  <c r="AU94" i="5"/>
  <c r="AU95" i="5"/>
  <c r="AU96" i="5"/>
  <c r="AU97" i="5"/>
  <c r="AU98" i="5"/>
  <c r="AU99" i="5"/>
  <c r="AU100" i="5"/>
  <c r="AU101" i="5"/>
  <c r="AU102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CW103" i="5"/>
  <c r="CX103" i="5"/>
  <c r="CY103" i="5"/>
  <c r="CZ103" i="5"/>
  <c r="DA103" i="5"/>
  <c r="DB103" i="5"/>
  <c r="DC103" i="5"/>
  <c r="DD103" i="5"/>
  <c r="DE103" i="5"/>
  <c r="DF103" i="5"/>
  <c r="DG103" i="5"/>
  <c r="DH103" i="5"/>
  <c r="DI103" i="5"/>
  <c r="DJ103" i="5"/>
  <c r="DK103" i="5"/>
  <c r="DL103" i="5"/>
  <c r="DM103" i="5"/>
  <c r="DN103" i="5"/>
  <c r="DO103" i="5"/>
  <c r="DP103" i="5"/>
  <c r="DQ103" i="5"/>
  <c r="DR103" i="5"/>
  <c r="DS103" i="5"/>
  <c r="DT103" i="5"/>
  <c r="DU103" i="5"/>
  <c r="DV103" i="5"/>
  <c r="DW103" i="5"/>
  <c r="DX103" i="5"/>
  <c r="DY103" i="5"/>
  <c r="DZ103" i="5"/>
  <c r="CW109" i="5"/>
  <c r="CX109" i="5"/>
  <c r="CY109" i="5"/>
  <c r="CZ109" i="5"/>
  <c r="DA109" i="5"/>
  <c r="DB109" i="5"/>
  <c r="DC109" i="5"/>
  <c r="DD109" i="5"/>
  <c r="DE109" i="5"/>
  <c r="DF109" i="5"/>
  <c r="DG109" i="5"/>
  <c r="DH109" i="5"/>
  <c r="DI109" i="5"/>
  <c r="DJ109" i="5"/>
  <c r="DK109" i="5"/>
  <c r="DL109" i="5"/>
  <c r="DM109" i="5"/>
  <c r="DN109" i="5"/>
  <c r="DO109" i="5"/>
  <c r="DP109" i="5"/>
  <c r="DQ109" i="5"/>
  <c r="DR109" i="5"/>
  <c r="DS109" i="5"/>
  <c r="DT109" i="5"/>
  <c r="DU109" i="5"/>
  <c r="DV109" i="5"/>
  <c r="DW109" i="5"/>
  <c r="DX109" i="5"/>
  <c r="DY109" i="5"/>
  <c r="DZ109" i="5"/>
  <c r="CW110" i="5"/>
  <c r="CX110" i="5"/>
  <c r="CY110" i="5"/>
  <c r="CZ110" i="5"/>
  <c r="DA110" i="5"/>
  <c r="DB110" i="5"/>
  <c r="DC110" i="5"/>
  <c r="DD110" i="5"/>
  <c r="DE110" i="5"/>
  <c r="DF110" i="5"/>
  <c r="DG110" i="5"/>
  <c r="DH110" i="5"/>
  <c r="DI110" i="5"/>
  <c r="DJ110" i="5"/>
  <c r="DK110" i="5"/>
  <c r="DL110" i="5"/>
  <c r="DM110" i="5"/>
  <c r="DN110" i="5"/>
  <c r="DO110" i="5"/>
  <c r="DP110" i="5"/>
  <c r="DQ110" i="5"/>
  <c r="DR110" i="5"/>
  <c r="DS110" i="5"/>
  <c r="DT110" i="5"/>
  <c r="DU110" i="5"/>
  <c r="DV110" i="5"/>
  <c r="DW110" i="5"/>
  <c r="DX110" i="5"/>
  <c r="DY110" i="5"/>
  <c r="DZ110" i="5"/>
  <c r="C3" i="5"/>
  <c r="CV3" i="5" s="1"/>
  <c r="CV4" i="5"/>
  <c r="CV5" i="5"/>
  <c r="CV7" i="5"/>
  <c r="CV8" i="5"/>
  <c r="CV9" i="5"/>
  <c r="CV10" i="5"/>
  <c r="CV11" i="5"/>
  <c r="CV12" i="5"/>
  <c r="CV13" i="5"/>
  <c r="CV14" i="5"/>
  <c r="CV15" i="5"/>
  <c r="CV16" i="5"/>
  <c r="CV19" i="5"/>
  <c r="CV21" i="5"/>
  <c r="CV26" i="5"/>
  <c r="CV29" i="5"/>
  <c r="CV30" i="5"/>
  <c r="CV31" i="5"/>
  <c r="CV33" i="5"/>
  <c r="CV34" i="5"/>
  <c r="CV35" i="5"/>
  <c r="CV39" i="5"/>
  <c r="CV43" i="5"/>
  <c r="CV44" i="5"/>
  <c r="CV46" i="5"/>
  <c r="CV47" i="5"/>
  <c r="CV48" i="5"/>
  <c r="CV49" i="5"/>
  <c r="CV50" i="5"/>
  <c r="CV51" i="5"/>
  <c r="CV53" i="5"/>
  <c r="CV61" i="5"/>
  <c r="CV63" i="5"/>
  <c r="CV64" i="5"/>
  <c r="CV72" i="5"/>
  <c r="CV73" i="5"/>
  <c r="CV74" i="5"/>
  <c r="CV79" i="5"/>
  <c r="CV90" i="5"/>
  <c r="CV91" i="5"/>
  <c r="CV96" i="5"/>
  <c r="CV97" i="5"/>
  <c r="CV98" i="5"/>
  <c r="CV99" i="5"/>
  <c r="CV100" i="5"/>
  <c r="CV101" i="5"/>
  <c r="CV102" i="5"/>
  <c r="H104" i="5"/>
  <c r="H105" i="5"/>
  <c r="H106" i="5"/>
  <c r="H107" i="5"/>
  <c r="H108" i="5"/>
  <c r="K104" i="5"/>
  <c r="K105" i="5"/>
  <c r="K106" i="5"/>
  <c r="K107" i="5"/>
  <c r="K108" i="5"/>
  <c r="N104" i="5"/>
  <c r="N105" i="5"/>
  <c r="N106" i="5"/>
  <c r="N107" i="5"/>
  <c r="N108" i="5"/>
  <c r="Q104" i="5"/>
  <c r="Q105" i="5"/>
  <c r="Q106" i="5"/>
  <c r="Q107" i="5"/>
  <c r="Q108" i="5"/>
  <c r="T104" i="5"/>
  <c r="T105" i="5"/>
  <c r="T106" i="5"/>
  <c r="T107" i="5"/>
  <c r="T108" i="5"/>
  <c r="W104" i="5"/>
  <c r="W105" i="5"/>
  <c r="W106" i="5"/>
  <c r="W107" i="5"/>
  <c r="W108" i="5"/>
  <c r="Z104" i="5"/>
  <c r="Z105" i="5"/>
  <c r="Z106" i="5"/>
  <c r="Z107" i="5"/>
  <c r="Z108" i="5"/>
  <c r="AC104" i="5"/>
  <c r="AC105" i="5"/>
  <c r="AC106" i="5"/>
  <c r="AC107" i="5"/>
  <c r="AC108" i="5"/>
  <c r="AF104" i="5"/>
  <c r="AF105" i="5"/>
  <c r="AF106" i="5"/>
  <c r="AF107" i="5"/>
  <c r="AF108" i="5"/>
  <c r="AI104" i="5"/>
  <c r="AI105" i="5"/>
  <c r="AI106" i="5"/>
  <c r="AI107" i="5"/>
  <c r="AI108" i="5"/>
  <c r="AL104" i="5"/>
  <c r="AL105" i="5"/>
  <c r="AL106" i="5"/>
  <c r="AL107" i="5"/>
  <c r="AL108" i="5"/>
  <c r="AO104" i="5"/>
  <c r="AO105" i="5"/>
  <c r="AO106" i="5"/>
  <c r="AO107" i="5"/>
  <c r="AO108" i="5"/>
  <c r="AR104" i="5"/>
  <c r="AR105" i="5"/>
  <c r="AR106" i="5"/>
  <c r="AR107" i="5"/>
  <c r="AR108" i="5"/>
  <c r="AU104" i="5"/>
  <c r="AU105" i="5"/>
  <c r="AU106" i="5"/>
  <c r="AU107" i="5"/>
  <c r="AU108" i="5"/>
  <c r="AX104" i="5"/>
  <c r="AX105" i="5"/>
  <c r="AX106" i="5"/>
  <c r="AX107" i="5"/>
  <c r="AX108" i="5"/>
  <c r="BA104" i="5"/>
  <c r="BA105" i="5"/>
  <c r="BA106" i="5"/>
  <c r="BA107" i="5"/>
  <c r="BA108" i="5"/>
  <c r="BD104" i="5"/>
  <c r="BD105" i="5"/>
  <c r="BD106" i="5"/>
  <c r="BD107" i="5"/>
  <c r="BD108" i="5"/>
  <c r="BG104" i="5"/>
  <c r="BG105" i="5"/>
  <c r="BG106" i="5"/>
  <c r="BG107" i="5"/>
  <c r="BG108" i="5"/>
  <c r="BJ104" i="5"/>
  <c r="BJ105" i="5"/>
  <c r="BJ106" i="5"/>
  <c r="BJ107" i="5"/>
  <c r="BJ108" i="5"/>
  <c r="BM104" i="5"/>
  <c r="BM105" i="5"/>
  <c r="BM106" i="5"/>
  <c r="BM107" i="5"/>
  <c r="BM108" i="5"/>
  <c r="BP104" i="5"/>
  <c r="BP105" i="5"/>
  <c r="BP106" i="5"/>
  <c r="BP107" i="5"/>
  <c r="BP108" i="5"/>
  <c r="BS104" i="5"/>
  <c r="BS105" i="5"/>
  <c r="BS106" i="5"/>
  <c r="BS107" i="5"/>
  <c r="BS108" i="5"/>
  <c r="BV104" i="5"/>
  <c r="BV105" i="5"/>
  <c r="BV106" i="5"/>
  <c r="BV107" i="5"/>
  <c r="BV108" i="5"/>
  <c r="BY104" i="5"/>
  <c r="BY105" i="5"/>
  <c r="BY106" i="5"/>
  <c r="BY107" i="5"/>
  <c r="BY108" i="5"/>
  <c r="CB104" i="5"/>
  <c r="CB105" i="5"/>
  <c r="CB106" i="5"/>
  <c r="CB107" i="5"/>
  <c r="CB108" i="5"/>
  <c r="CE104" i="5"/>
  <c r="CE105" i="5"/>
  <c r="CE106" i="5"/>
  <c r="CE107" i="5"/>
  <c r="CE108" i="5"/>
  <c r="CH104" i="5"/>
  <c r="CH105" i="5"/>
  <c r="CH106" i="5"/>
  <c r="CH107" i="5"/>
  <c r="CH108" i="5"/>
  <c r="CK104" i="5"/>
  <c r="CK105" i="5"/>
  <c r="CK106" i="5"/>
  <c r="CK107" i="5"/>
  <c r="CK108" i="5"/>
  <c r="E104" i="5"/>
  <c r="E105" i="5"/>
  <c r="E106" i="5"/>
  <c r="E107" i="5"/>
  <c r="E108" i="5"/>
  <c r="CS103" i="5"/>
  <c r="EA103" i="5" s="1"/>
  <c r="CN88" i="5"/>
  <c r="CN89" i="5"/>
  <c r="CN90" i="5"/>
  <c r="CN91" i="5"/>
  <c r="CN92" i="5"/>
  <c r="CN93" i="5"/>
  <c r="CN94" i="5"/>
  <c r="CN95" i="5"/>
  <c r="CN96" i="5"/>
  <c r="CN97" i="5"/>
  <c r="CN98" i="5"/>
  <c r="CN99" i="5"/>
  <c r="CN100" i="5"/>
  <c r="CN101" i="5"/>
  <c r="CN102" i="5"/>
  <c r="CN103" i="5"/>
  <c r="CN104" i="5"/>
  <c r="CN105" i="5"/>
  <c r="CN106" i="5"/>
  <c r="CN107" i="5"/>
  <c r="CN108" i="5"/>
  <c r="CN109" i="5"/>
  <c r="CN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Q111" i="5"/>
  <c r="Q112" i="5"/>
  <c r="Q113" i="5"/>
  <c r="Q114" i="5"/>
  <c r="Q115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W111" i="5"/>
  <c r="W112" i="5"/>
  <c r="W113" i="5"/>
  <c r="W114" i="5"/>
  <c r="W115" i="5"/>
  <c r="W116" i="5"/>
  <c r="W117" i="5"/>
  <c r="W118" i="5"/>
  <c r="W119" i="5"/>
  <c r="W120" i="5"/>
  <c r="W121" i="5"/>
  <c r="W122" i="5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W146" i="5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Z111" i="5"/>
  <c r="Z112" i="5"/>
  <c r="Z113" i="5"/>
  <c r="Z114" i="5"/>
  <c r="Z115" i="5"/>
  <c r="Z116" i="5"/>
  <c r="Z117" i="5"/>
  <c r="Z118" i="5"/>
  <c r="Z119" i="5"/>
  <c r="Z120" i="5"/>
  <c r="Z121" i="5"/>
  <c r="Z122" i="5"/>
  <c r="Z123" i="5"/>
  <c r="Z124" i="5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139" i="5"/>
  <c r="Z140" i="5"/>
  <c r="Z141" i="5"/>
  <c r="Z142" i="5"/>
  <c r="Z143" i="5"/>
  <c r="Z144" i="5"/>
  <c r="Z145" i="5"/>
  <c r="Z146" i="5"/>
  <c r="Z147" i="5"/>
  <c r="Z148" i="5"/>
  <c r="Z149" i="5"/>
  <c r="Z150" i="5"/>
  <c r="Z151" i="5"/>
  <c r="Z152" i="5"/>
  <c r="Z153" i="5"/>
  <c r="Z154" i="5"/>
  <c r="Z155" i="5"/>
  <c r="Z156" i="5"/>
  <c r="Z157" i="5"/>
  <c r="Z158" i="5"/>
  <c r="Z159" i="5"/>
  <c r="Z160" i="5"/>
  <c r="Z161" i="5"/>
  <c r="Z162" i="5"/>
  <c r="Z163" i="5"/>
  <c r="Z164" i="5"/>
  <c r="Z165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F111" i="5"/>
  <c r="AF112" i="5"/>
  <c r="AF113" i="5"/>
  <c r="AF114" i="5"/>
  <c r="AF115" i="5"/>
  <c r="AF116" i="5"/>
  <c r="AF117" i="5"/>
  <c r="AF118" i="5"/>
  <c r="AF119" i="5"/>
  <c r="AF120" i="5"/>
  <c r="AF121" i="5"/>
  <c r="AF122" i="5"/>
  <c r="AF123" i="5"/>
  <c r="AF124" i="5"/>
  <c r="AF125" i="5"/>
  <c r="AF126" i="5"/>
  <c r="AF127" i="5"/>
  <c r="AF128" i="5"/>
  <c r="AF129" i="5"/>
  <c r="AF130" i="5"/>
  <c r="AF131" i="5"/>
  <c r="AF132" i="5"/>
  <c r="AF133" i="5"/>
  <c r="AF134" i="5"/>
  <c r="AF135" i="5"/>
  <c r="AF136" i="5"/>
  <c r="AF137" i="5"/>
  <c r="AF138" i="5"/>
  <c r="AF139" i="5"/>
  <c r="AF140" i="5"/>
  <c r="AF141" i="5"/>
  <c r="AF142" i="5"/>
  <c r="AF143" i="5"/>
  <c r="AF144" i="5"/>
  <c r="AF145" i="5"/>
  <c r="AF146" i="5"/>
  <c r="AF147" i="5"/>
  <c r="AF148" i="5"/>
  <c r="AF149" i="5"/>
  <c r="AF150" i="5"/>
  <c r="AF151" i="5"/>
  <c r="AF152" i="5"/>
  <c r="AF153" i="5"/>
  <c r="AF154" i="5"/>
  <c r="AF155" i="5"/>
  <c r="AF156" i="5"/>
  <c r="AF157" i="5"/>
  <c r="AF158" i="5"/>
  <c r="AF159" i="5"/>
  <c r="AF160" i="5"/>
  <c r="AF161" i="5"/>
  <c r="AF162" i="5"/>
  <c r="AF163" i="5"/>
  <c r="AF164" i="5"/>
  <c r="AF165" i="5"/>
  <c r="AI111" i="5"/>
  <c r="AI112" i="5"/>
  <c r="AI113" i="5"/>
  <c r="AI114" i="5"/>
  <c r="AI115" i="5"/>
  <c r="AI116" i="5"/>
  <c r="AI117" i="5"/>
  <c r="AI118" i="5"/>
  <c r="AI119" i="5"/>
  <c r="AI120" i="5"/>
  <c r="AI121" i="5"/>
  <c r="AI122" i="5"/>
  <c r="AI123" i="5"/>
  <c r="AI124" i="5"/>
  <c r="AI125" i="5"/>
  <c r="AI126" i="5"/>
  <c r="AI127" i="5"/>
  <c r="AI128" i="5"/>
  <c r="AI129" i="5"/>
  <c r="AI130" i="5"/>
  <c r="AI131" i="5"/>
  <c r="AI132" i="5"/>
  <c r="AI133" i="5"/>
  <c r="AI134" i="5"/>
  <c r="AI135" i="5"/>
  <c r="AI136" i="5"/>
  <c r="AI137" i="5"/>
  <c r="AI138" i="5"/>
  <c r="AI139" i="5"/>
  <c r="AI140" i="5"/>
  <c r="AI141" i="5"/>
  <c r="AI142" i="5"/>
  <c r="AI143" i="5"/>
  <c r="AI144" i="5"/>
  <c r="AI145" i="5"/>
  <c r="AI146" i="5"/>
  <c r="AI147" i="5"/>
  <c r="AI148" i="5"/>
  <c r="AI149" i="5"/>
  <c r="AI150" i="5"/>
  <c r="AI151" i="5"/>
  <c r="AI152" i="5"/>
  <c r="AI153" i="5"/>
  <c r="AI154" i="5"/>
  <c r="AI155" i="5"/>
  <c r="AI156" i="5"/>
  <c r="AI157" i="5"/>
  <c r="AI158" i="5"/>
  <c r="AI159" i="5"/>
  <c r="AI160" i="5"/>
  <c r="AI161" i="5"/>
  <c r="AI162" i="5"/>
  <c r="AI163" i="5"/>
  <c r="AI164" i="5"/>
  <c r="AI165" i="5"/>
  <c r="AL111" i="5"/>
  <c r="AL112" i="5"/>
  <c r="AL113" i="5"/>
  <c r="AL114" i="5"/>
  <c r="AL115" i="5"/>
  <c r="AL116" i="5"/>
  <c r="AL117" i="5"/>
  <c r="AL118" i="5"/>
  <c r="AL119" i="5"/>
  <c r="AL120" i="5"/>
  <c r="AL121" i="5"/>
  <c r="AL122" i="5"/>
  <c r="AL123" i="5"/>
  <c r="AL124" i="5"/>
  <c r="AL125" i="5"/>
  <c r="AL126" i="5"/>
  <c r="AL127" i="5"/>
  <c r="AL128" i="5"/>
  <c r="AL129" i="5"/>
  <c r="AL130" i="5"/>
  <c r="AL131" i="5"/>
  <c r="AL132" i="5"/>
  <c r="AL133" i="5"/>
  <c r="AL134" i="5"/>
  <c r="AL135" i="5"/>
  <c r="AL136" i="5"/>
  <c r="AL137" i="5"/>
  <c r="AL138" i="5"/>
  <c r="AL139" i="5"/>
  <c r="AL140" i="5"/>
  <c r="AL141" i="5"/>
  <c r="AL142" i="5"/>
  <c r="AL143" i="5"/>
  <c r="AL144" i="5"/>
  <c r="AL145" i="5"/>
  <c r="AL146" i="5"/>
  <c r="AL147" i="5"/>
  <c r="AL148" i="5"/>
  <c r="AL149" i="5"/>
  <c r="AL150" i="5"/>
  <c r="AL151" i="5"/>
  <c r="AL152" i="5"/>
  <c r="AL153" i="5"/>
  <c r="AL154" i="5"/>
  <c r="AL155" i="5"/>
  <c r="AL156" i="5"/>
  <c r="AL157" i="5"/>
  <c r="AL158" i="5"/>
  <c r="AL159" i="5"/>
  <c r="AL160" i="5"/>
  <c r="AL161" i="5"/>
  <c r="AL162" i="5"/>
  <c r="AL163" i="5"/>
  <c r="AL164" i="5"/>
  <c r="AL165" i="5"/>
  <c r="AO111" i="5"/>
  <c r="AO112" i="5"/>
  <c r="AO113" i="5"/>
  <c r="AO114" i="5"/>
  <c r="AO115" i="5"/>
  <c r="AO116" i="5"/>
  <c r="AO117" i="5"/>
  <c r="AO118" i="5"/>
  <c r="AO119" i="5"/>
  <c r="AO120" i="5"/>
  <c r="AO121" i="5"/>
  <c r="AO122" i="5"/>
  <c r="AO123" i="5"/>
  <c r="AO124" i="5"/>
  <c r="AO125" i="5"/>
  <c r="AO126" i="5"/>
  <c r="AO127" i="5"/>
  <c r="AO128" i="5"/>
  <c r="AO129" i="5"/>
  <c r="AO130" i="5"/>
  <c r="AO131" i="5"/>
  <c r="AO132" i="5"/>
  <c r="AO133" i="5"/>
  <c r="AO134" i="5"/>
  <c r="AO135" i="5"/>
  <c r="AO136" i="5"/>
  <c r="AO137" i="5"/>
  <c r="AO138" i="5"/>
  <c r="AO139" i="5"/>
  <c r="AO140" i="5"/>
  <c r="AO141" i="5"/>
  <c r="AO142" i="5"/>
  <c r="AO143" i="5"/>
  <c r="AO144" i="5"/>
  <c r="AO145" i="5"/>
  <c r="AO146" i="5"/>
  <c r="AO147" i="5"/>
  <c r="AO148" i="5"/>
  <c r="AO149" i="5"/>
  <c r="AO150" i="5"/>
  <c r="AO151" i="5"/>
  <c r="AO152" i="5"/>
  <c r="AO153" i="5"/>
  <c r="AO154" i="5"/>
  <c r="AO155" i="5"/>
  <c r="AO156" i="5"/>
  <c r="AO157" i="5"/>
  <c r="AO158" i="5"/>
  <c r="AO159" i="5"/>
  <c r="AO160" i="5"/>
  <c r="AO161" i="5"/>
  <c r="AO162" i="5"/>
  <c r="AO163" i="5"/>
  <c r="AO164" i="5"/>
  <c r="AO165" i="5"/>
  <c r="AR111" i="5"/>
  <c r="AR112" i="5"/>
  <c r="AR113" i="5"/>
  <c r="AR114" i="5"/>
  <c r="AR115" i="5"/>
  <c r="AR116" i="5"/>
  <c r="AR117" i="5"/>
  <c r="AR118" i="5"/>
  <c r="AR119" i="5"/>
  <c r="AR120" i="5"/>
  <c r="AR121" i="5"/>
  <c r="AR122" i="5"/>
  <c r="AR123" i="5"/>
  <c r="AR124" i="5"/>
  <c r="AR125" i="5"/>
  <c r="AR126" i="5"/>
  <c r="AR127" i="5"/>
  <c r="AR128" i="5"/>
  <c r="AR129" i="5"/>
  <c r="AR130" i="5"/>
  <c r="AR131" i="5"/>
  <c r="AR132" i="5"/>
  <c r="AR133" i="5"/>
  <c r="AR134" i="5"/>
  <c r="AR135" i="5"/>
  <c r="AR136" i="5"/>
  <c r="AR137" i="5"/>
  <c r="AR138" i="5"/>
  <c r="AR139" i="5"/>
  <c r="AR140" i="5"/>
  <c r="AR141" i="5"/>
  <c r="AR142" i="5"/>
  <c r="AR143" i="5"/>
  <c r="AR144" i="5"/>
  <c r="AR145" i="5"/>
  <c r="AR146" i="5"/>
  <c r="AR147" i="5"/>
  <c r="AR148" i="5"/>
  <c r="AR149" i="5"/>
  <c r="AR150" i="5"/>
  <c r="AR151" i="5"/>
  <c r="AR152" i="5"/>
  <c r="AR153" i="5"/>
  <c r="AR154" i="5"/>
  <c r="AR155" i="5"/>
  <c r="AR156" i="5"/>
  <c r="AR157" i="5"/>
  <c r="AR158" i="5"/>
  <c r="AR159" i="5"/>
  <c r="AR160" i="5"/>
  <c r="AR161" i="5"/>
  <c r="AR162" i="5"/>
  <c r="AR163" i="5"/>
  <c r="AR164" i="5"/>
  <c r="AR165" i="5"/>
  <c r="AU111" i="5"/>
  <c r="AU112" i="5"/>
  <c r="AU113" i="5"/>
  <c r="AU114" i="5"/>
  <c r="AU115" i="5"/>
  <c r="AU116" i="5"/>
  <c r="AU117" i="5"/>
  <c r="AU118" i="5"/>
  <c r="AU119" i="5"/>
  <c r="AU120" i="5"/>
  <c r="AU121" i="5"/>
  <c r="AU122" i="5"/>
  <c r="AU123" i="5"/>
  <c r="AU124" i="5"/>
  <c r="AU125" i="5"/>
  <c r="AU126" i="5"/>
  <c r="AU127" i="5"/>
  <c r="AU128" i="5"/>
  <c r="AU129" i="5"/>
  <c r="AU130" i="5"/>
  <c r="AU131" i="5"/>
  <c r="AU132" i="5"/>
  <c r="AU133" i="5"/>
  <c r="AU134" i="5"/>
  <c r="AU135" i="5"/>
  <c r="AU136" i="5"/>
  <c r="AU137" i="5"/>
  <c r="AU138" i="5"/>
  <c r="AU139" i="5"/>
  <c r="AU140" i="5"/>
  <c r="AU141" i="5"/>
  <c r="AU142" i="5"/>
  <c r="AU143" i="5"/>
  <c r="AU144" i="5"/>
  <c r="AU145" i="5"/>
  <c r="AU146" i="5"/>
  <c r="AU147" i="5"/>
  <c r="AU148" i="5"/>
  <c r="AU149" i="5"/>
  <c r="AU150" i="5"/>
  <c r="AU151" i="5"/>
  <c r="AU152" i="5"/>
  <c r="AU153" i="5"/>
  <c r="AU154" i="5"/>
  <c r="AU155" i="5"/>
  <c r="AU156" i="5"/>
  <c r="AU157" i="5"/>
  <c r="AU158" i="5"/>
  <c r="AU159" i="5"/>
  <c r="AU160" i="5"/>
  <c r="AU161" i="5"/>
  <c r="AU162" i="5"/>
  <c r="AU163" i="5"/>
  <c r="AU164" i="5"/>
  <c r="AU165" i="5"/>
  <c r="AX111" i="5"/>
  <c r="AX112" i="5"/>
  <c r="AX113" i="5"/>
  <c r="AX114" i="5"/>
  <c r="AX115" i="5"/>
  <c r="AX116" i="5"/>
  <c r="AX117" i="5"/>
  <c r="AX118" i="5"/>
  <c r="AX119" i="5"/>
  <c r="AX120" i="5"/>
  <c r="AX121" i="5"/>
  <c r="AX122" i="5"/>
  <c r="AX123" i="5"/>
  <c r="AX124" i="5"/>
  <c r="AX125" i="5"/>
  <c r="AX126" i="5"/>
  <c r="AX127" i="5"/>
  <c r="AX128" i="5"/>
  <c r="AX129" i="5"/>
  <c r="AX130" i="5"/>
  <c r="AX131" i="5"/>
  <c r="AX132" i="5"/>
  <c r="AX133" i="5"/>
  <c r="AX134" i="5"/>
  <c r="AX135" i="5"/>
  <c r="AX136" i="5"/>
  <c r="AX137" i="5"/>
  <c r="AX138" i="5"/>
  <c r="AX139" i="5"/>
  <c r="AX140" i="5"/>
  <c r="AX141" i="5"/>
  <c r="AX142" i="5"/>
  <c r="AX143" i="5"/>
  <c r="AX144" i="5"/>
  <c r="AX145" i="5"/>
  <c r="AX146" i="5"/>
  <c r="AX147" i="5"/>
  <c r="AX148" i="5"/>
  <c r="AX149" i="5"/>
  <c r="AX150" i="5"/>
  <c r="AX151" i="5"/>
  <c r="AX152" i="5"/>
  <c r="AX153" i="5"/>
  <c r="AX154" i="5"/>
  <c r="AX155" i="5"/>
  <c r="AX156" i="5"/>
  <c r="AX157" i="5"/>
  <c r="AX158" i="5"/>
  <c r="AX159" i="5"/>
  <c r="AX160" i="5"/>
  <c r="AX161" i="5"/>
  <c r="AX162" i="5"/>
  <c r="AX163" i="5"/>
  <c r="AX164" i="5"/>
  <c r="AX165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D111" i="5"/>
  <c r="BD112" i="5"/>
  <c r="BD113" i="5"/>
  <c r="BD114" i="5"/>
  <c r="BD115" i="5"/>
  <c r="BD116" i="5"/>
  <c r="BD117" i="5"/>
  <c r="BD118" i="5"/>
  <c r="BD119" i="5"/>
  <c r="BD120" i="5"/>
  <c r="BD121" i="5"/>
  <c r="BD122" i="5"/>
  <c r="BD123" i="5"/>
  <c r="BD124" i="5"/>
  <c r="BD125" i="5"/>
  <c r="BD126" i="5"/>
  <c r="BD127" i="5"/>
  <c r="BD128" i="5"/>
  <c r="BD129" i="5"/>
  <c r="BD130" i="5"/>
  <c r="BD131" i="5"/>
  <c r="BD132" i="5"/>
  <c r="BD133" i="5"/>
  <c r="BD134" i="5"/>
  <c r="BD135" i="5"/>
  <c r="BD136" i="5"/>
  <c r="BD137" i="5"/>
  <c r="BD138" i="5"/>
  <c r="BD139" i="5"/>
  <c r="BD140" i="5"/>
  <c r="BD141" i="5"/>
  <c r="BD142" i="5"/>
  <c r="BD143" i="5"/>
  <c r="BD144" i="5"/>
  <c r="BD145" i="5"/>
  <c r="BD146" i="5"/>
  <c r="BD147" i="5"/>
  <c r="BD148" i="5"/>
  <c r="BD149" i="5"/>
  <c r="BD150" i="5"/>
  <c r="BD151" i="5"/>
  <c r="BD152" i="5"/>
  <c r="BD153" i="5"/>
  <c r="BD154" i="5"/>
  <c r="BD155" i="5"/>
  <c r="BD156" i="5"/>
  <c r="BD157" i="5"/>
  <c r="BD158" i="5"/>
  <c r="BD159" i="5"/>
  <c r="BD160" i="5"/>
  <c r="BD161" i="5"/>
  <c r="BD162" i="5"/>
  <c r="BD163" i="5"/>
  <c r="BD164" i="5"/>
  <c r="BD165" i="5"/>
  <c r="BG111" i="5"/>
  <c r="BG112" i="5"/>
  <c r="BG113" i="5"/>
  <c r="BG114" i="5"/>
  <c r="BG115" i="5"/>
  <c r="BG116" i="5"/>
  <c r="BG117" i="5"/>
  <c r="BG118" i="5"/>
  <c r="BG119" i="5"/>
  <c r="BG120" i="5"/>
  <c r="BG121" i="5"/>
  <c r="BG122" i="5"/>
  <c r="BG123" i="5"/>
  <c r="BG124" i="5"/>
  <c r="BG125" i="5"/>
  <c r="BG126" i="5"/>
  <c r="BG127" i="5"/>
  <c r="BG128" i="5"/>
  <c r="BG129" i="5"/>
  <c r="BG130" i="5"/>
  <c r="BG131" i="5"/>
  <c r="BG132" i="5"/>
  <c r="BG133" i="5"/>
  <c r="BG134" i="5"/>
  <c r="BG135" i="5"/>
  <c r="BG136" i="5"/>
  <c r="BG137" i="5"/>
  <c r="BG138" i="5"/>
  <c r="BG139" i="5"/>
  <c r="BG140" i="5"/>
  <c r="BG141" i="5"/>
  <c r="BG142" i="5"/>
  <c r="BG143" i="5"/>
  <c r="BG144" i="5"/>
  <c r="BG145" i="5"/>
  <c r="BG146" i="5"/>
  <c r="BG147" i="5"/>
  <c r="BG148" i="5"/>
  <c r="BG149" i="5"/>
  <c r="BG150" i="5"/>
  <c r="BG151" i="5"/>
  <c r="BG152" i="5"/>
  <c r="BG153" i="5"/>
  <c r="BG154" i="5"/>
  <c r="BG155" i="5"/>
  <c r="BG156" i="5"/>
  <c r="BG157" i="5"/>
  <c r="BG158" i="5"/>
  <c r="BG159" i="5"/>
  <c r="BG160" i="5"/>
  <c r="BG161" i="5"/>
  <c r="BG162" i="5"/>
  <c r="BG163" i="5"/>
  <c r="BG164" i="5"/>
  <c r="BG165" i="5"/>
  <c r="BJ111" i="5"/>
  <c r="BJ112" i="5"/>
  <c r="BJ113" i="5"/>
  <c r="BJ114" i="5"/>
  <c r="BJ115" i="5"/>
  <c r="BJ116" i="5"/>
  <c r="BJ117" i="5"/>
  <c r="BJ118" i="5"/>
  <c r="BJ119" i="5"/>
  <c r="BJ120" i="5"/>
  <c r="BJ121" i="5"/>
  <c r="BJ122" i="5"/>
  <c r="BJ123" i="5"/>
  <c r="BJ124" i="5"/>
  <c r="BJ125" i="5"/>
  <c r="BJ126" i="5"/>
  <c r="BJ127" i="5"/>
  <c r="BJ128" i="5"/>
  <c r="BJ129" i="5"/>
  <c r="BJ130" i="5"/>
  <c r="BJ131" i="5"/>
  <c r="BJ132" i="5"/>
  <c r="BJ133" i="5"/>
  <c r="BJ134" i="5"/>
  <c r="BJ135" i="5"/>
  <c r="BJ136" i="5"/>
  <c r="BJ137" i="5"/>
  <c r="BJ138" i="5"/>
  <c r="BJ139" i="5"/>
  <c r="BJ140" i="5"/>
  <c r="BJ141" i="5"/>
  <c r="BJ142" i="5"/>
  <c r="BJ143" i="5"/>
  <c r="BJ144" i="5"/>
  <c r="BJ145" i="5"/>
  <c r="BJ146" i="5"/>
  <c r="BJ147" i="5"/>
  <c r="BJ148" i="5"/>
  <c r="BJ149" i="5"/>
  <c r="BJ150" i="5"/>
  <c r="BJ151" i="5"/>
  <c r="BJ152" i="5"/>
  <c r="BJ153" i="5"/>
  <c r="BJ154" i="5"/>
  <c r="BJ155" i="5"/>
  <c r="BJ156" i="5"/>
  <c r="BJ157" i="5"/>
  <c r="BJ158" i="5"/>
  <c r="BJ159" i="5"/>
  <c r="BJ160" i="5"/>
  <c r="BJ161" i="5"/>
  <c r="BJ162" i="5"/>
  <c r="BJ163" i="5"/>
  <c r="BJ164" i="5"/>
  <c r="BJ165" i="5"/>
  <c r="BM111" i="5"/>
  <c r="BM112" i="5"/>
  <c r="BM113" i="5"/>
  <c r="BM114" i="5"/>
  <c r="BM115" i="5"/>
  <c r="BM116" i="5"/>
  <c r="BM117" i="5"/>
  <c r="BM118" i="5"/>
  <c r="BM119" i="5"/>
  <c r="BM120" i="5"/>
  <c r="BM121" i="5"/>
  <c r="BM122" i="5"/>
  <c r="BM123" i="5"/>
  <c r="BM124" i="5"/>
  <c r="BM125" i="5"/>
  <c r="BM126" i="5"/>
  <c r="BM127" i="5"/>
  <c r="BM128" i="5"/>
  <c r="BM129" i="5"/>
  <c r="BM130" i="5"/>
  <c r="BM131" i="5"/>
  <c r="BM132" i="5"/>
  <c r="BM133" i="5"/>
  <c r="BM134" i="5"/>
  <c r="BM135" i="5"/>
  <c r="BM136" i="5"/>
  <c r="BM137" i="5"/>
  <c r="BM138" i="5"/>
  <c r="BM139" i="5"/>
  <c r="BM140" i="5"/>
  <c r="BM141" i="5"/>
  <c r="BM142" i="5"/>
  <c r="BM143" i="5"/>
  <c r="BM144" i="5"/>
  <c r="BM145" i="5"/>
  <c r="BM146" i="5"/>
  <c r="BM147" i="5"/>
  <c r="BM148" i="5"/>
  <c r="BM149" i="5"/>
  <c r="BM150" i="5"/>
  <c r="BM151" i="5"/>
  <c r="BM152" i="5"/>
  <c r="BM153" i="5"/>
  <c r="BM154" i="5"/>
  <c r="BM155" i="5"/>
  <c r="BM156" i="5"/>
  <c r="BM157" i="5"/>
  <c r="BM158" i="5"/>
  <c r="BM159" i="5"/>
  <c r="BM160" i="5"/>
  <c r="BM161" i="5"/>
  <c r="BM162" i="5"/>
  <c r="BM163" i="5"/>
  <c r="BM164" i="5"/>
  <c r="BM165" i="5"/>
  <c r="BP111" i="5"/>
  <c r="BP112" i="5"/>
  <c r="BP113" i="5"/>
  <c r="BP114" i="5"/>
  <c r="BP115" i="5"/>
  <c r="BP116" i="5"/>
  <c r="BP117" i="5"/>
  <c r="BP118" i="5"/>
  <c r="BP119" i="5"/>
  <c r="BP120" i="5"/>
  <c r="BP121" i="5"/>
  <c r="BP122" i="5"/>
  <c r="BP123" i="5"/>
  <c r="BP124" i="5"/>
  <c r="BP125" i="5"/>
  <c r="BP126" i="5"/>
  <c r="BP127" i="5"/>
  <c r="BP128" i="5"/>
  <c r="BP129" i="5"/>
  <c r="BP130" i="5"/>
  <c r="BP131" i="5"/>
  <c r="BP132" i="5"/>
  <c r="BP133" i="5"/>
  <c r="BP134" i="5"/>
  <c r="BP135" i="5"/>
  <c r="BP136" i="5"/>
  <c r="BP137" i="5"/>
  <c r="BP138" i="5"/>
  <c r="BP139" i="5"/>
  <c r="BP140" i="5"/>
  <c r="BP141" i="5"/>
  <c r="BP142" i="5"/>
  <c r="BP143" i="5"/>
  <c r="BP144" i="5"/>
  <c r="BP145" i="5"/>
  <c r="BP146" i="5"/>
  <c r="BP147" i="5"/>
  <c r="BP148" i="5"/>
  <c r="BP149" i="5"/>
  <c r="BP150" i="5"/>
  <c r="BP151" i="5"/>
  <c r="BP152" i="5"/>
  <c r="BP153" i="5"/>
  <c r="BP154" i="5"/>
  <c r="BP155" i="5"/>
  <c r="BP156" i="5"/>
  <c r="BP157" i="5"/>
  <c r="BP158" i="5"/>
  <c r="BP159" i="5"/>
  <c r="BP160" i="5"/>
  <c r="BP161" i="5"/>
  <c r="BP162" i="5"/>
  <c r="BP163" i="5"/>
  <c r="BP164" i="5"/>
  <c r="BP165" i="5"/>
  <c r="BS111" i="5"/>
  <c r="BS112" i="5"/>
  <c r="BS113" i="5"/>
  <c r="BS114" i="5"/>
  <c r="BS115" i="5"/>
  <c r="BS116" i="5"/>
  <c r="BS117" i="5"/>
  <c r="BS118" i="5"/>
  <c r="BS119" i="5"/>
  <c r="BS120" i="5"/>
  <c r="BS121" i="5"/>
  <c r="BS122" i="5"/>
  <c r="BS123" i="5"/>
  <c r="BS124" i="5"/>
  <c r="BS125" i="5"/>
  <c r="BS126" i="5"/>
  <c r="BS127" i="5"/>
  <c r="BS128" i="5"/>
  <c r="BS129" i="5"/>
  <c r="BS130" i="5"/>
  <c r="BS131" i="5"/>
  <c r="BS132" i="5"/>
  <c r="BS133" i="5"/>
  <c r="BS134" i="5"/>
  <c r="BS135" i="5"/>
  <c r="BS136" i="5"/>
  <c r="BS137" i="5"/>
  <c r="BS138" i="5"/>
  <c r="BS139" i="5"/>
  <c r="BS140" i="5"/>
  <c r="BS141" i="5"/>
  <c r="BS142" i="5"/>
  <c r="BS143" i="5"/>
  <c r="BS144" i="5"/>
  <c r="BS145" i="5"/>
  <c r="BS146" i="5"/>
  <c r="BS147" i="5"/>
  <c r="BS148" i="5"/>
  <c r="BS149" i="5"/>
  <c r="BS150" i="5"/>
  <c r="BS151" i="5"/>
  <c r="BS152" i="5"/>
  <c r="BS153" i="5"/>
  <c r="BS154" i="5"/>
  <c r="BS155" i="5"/>
  <c r="BS156" i="5"/>
  <c r="BS157" i="5"/>
  <c r="BS158" i="5"/>
  <c r="BS159" i="5"/>
  <c r="BS160" i="5"/>
  <c r="BS161" i="5"/>
  <c r="BS162" i="5"/>
  <c r="BS163" i="5"/>
  <c r="BS164" i="5"/>
  <c r="BS165" i="5"/>
  <c r="BV111" i="5"/>
  <c r="BV112" i="5"/>
  <c r="BV113" i="5"/>
  <c r="BV114" i="5"/>
  <c r="BV115" i="5"/>
  <c r="BV116" i="5"/>
  <c r="BV117" i="5"/>
  <c r="BV118" i="5"/>
  <c r="BV119" i="5"/>
  <c r="BV120" i="5"/>
  <c r="BV121" i="5"/>
  <c r="BV122" i="5"/>
  <c r="BV123" i="5"/>
  <c r="BV124" i="5"/>
  <c r="BV125" i="5"/>
  <c r="BV126" i="5"/>
  <c r="BV127" i="5"/>
  <c r="BV128" i="5"/>
  <c r="BV129" i="5"/>
  <c r="BV130" i="5"/>
  <c r="BV131" i="5"/>
  <c r="BV132" i="5"/>
  <c r="BV133" i="5"/>
  <c r="BV134" i="5"/>
  <c r="BV135" i="5"/>
  <c r="BV136" i="5"/>
  <c r="BV137" i="5"/>
  <c r="BV138" i="5"/>
  <c r="BV139" i="5"/>
  <c r="BV140" i="5"/>
  <c r="BV141" i="5"/>
  <c r="BV142" i="5"/>
  <c r="BV143" i="5"/>
  <c r="BV144" i="5"/>
  <c r="BV145" i="5"/>
  <c r="BV146" i="5"/>
  <c r="BV147" i="5"/>
  <c r="BV148" i="5"/>
  <c r="BV149" i="5"/>
  <c r="BV150" i="5"/>
  <c r="BV151" i="5"/>
  <c r="BV152" i="5"/>
  <c r="BV153" i="5"/>
  <c r="BV154" i="5"/>
  <c r="BV155" i="5"/>
  <c r="BV156" i="5"/>
  <c r="BV157" i="5"/>
  <c r="BV158" i="5"/>
  <c r="BV159" i="5"/>
  <c r="BV160" i="5"/>
  <c r="BV161" i="5"/>
  <c r="BV162" i="5"/>
  <c r="BV163" i="5"/>
  <c r="BV164" i="5"/>
  <c r="BV165" i="5"/>
  <c r="BY111" i="5"/>
  <c r="BY112" i="5"/>
  <c r="BY113" i="5"/>
  <c r="BY114" i="5"/>
  <c r="BY115" i="5"/>
  <c r="BY116" i="5"/>
  <c r="BY117" i="5"/>
  <c r="BY118" i="5"/>
  <c r="BY119" i="5"/>
  <c r="BY120" i="5"/>
  <c r="BY121" i="5"/>
  <c r="BY122" i="5"/>
  <c r="BY123" i="5"/>
  <c r="BY124" i="5"/>
  <c r="BY125" i="5"/>
  <c r="BY126" i="5"/>
  <c r="BY127" i="5"/>
  <c r="BY128" i="5"/>
  <c r="BY129" i="5"/>
  <c r="BY130" i="5"/>
  <c r="BY131" i="5"/>
  <c r="BY132" i="5"/>
  <c r="BY133" i="5"/>
  <c r="BY134" i="5"/>
  <c r="BY135" i="5"/>
  <c r="BY136" i="5"/>
  <c r="BY137" i="5"/>
  <c r="BY138" i="5"/>
  <c r="BY139" i="5"/>
  <c r="BY140" i="5"/>
  <c r="BY141" i="5"/>
  <c r="BY142" i="5"/>
  <c r="BY143" i="5"/>
  <c r="BY144" i="5"/>
  <c r="BY145" i="5"/>
  <c r="BY146" i="5"/>
  <c r="BY147" i="5"/>
  <c r="BY148" i="5"/>
  <c r="BY149" i="5"/>
  <c r="BY150" i="5"/>
  <c r="BY151" i="5"/>
  <c r="BY152" i="5"/>
  <c r="BY153" i="5"/>
  <c r="BY154" i="5"/>
  <c r="BY155" i="5"/>
  <c r="BY156" i="5"/>
  <c r="BY157" i="5"/>
  <c r="BY158" i="5"/>
  <c r="BY159" i="5"/>
  <c r="BY160" i="5"/>
  <c r="BY161" i="5"/>
  <c r="BY162" i="5"/>
  <c r="BY163" i="5"/>
  <c r="BY164" i="5"/>
  <c r="BY165" i="5"/>
  <c r="CB111" i="5"/>
  <c r="CB112" i="5"/>
  <c r="CB113" i="5"/>
  <c r="CB114" i="5"/>
  <c r="CB115" i="5"/>
  <c r="CB116" i="5"/>
  <c r="CB117" i="5"/>
  <c r="CB118" i="5"/>
  <c r="CB119" i="5"/>
  <c r="CB120" i="5"/>
  <c r="CB121" i="5"/>
  <c r="CB122" i="5"/>
  <c r="CB123" i="5"/>
  <c r="CB124" i="5"/>
  <c r="CB125" i="5"/>
  <c r="CB126" i="5"/>
  <c r="CB127" i="5"/>
  <c r="CB128" i="5"/>
  <c r="CB129" i="5"/>
  <c r="CB130" i="5"/>
  <c r="CB131" i="5"/>
  <c r="CB132" i="5"/>
  <c r="CB133" i="5"/>
  <c r="CB134" i="5"/>
  <c r="CB135" i="5"/>
  <c r="CB136" i="5"/>
  <c r="CB137" i="5"/>
  <c r="CB138" i="5"/>
  <c r="CB139" i="5"/>
  <c r="CB140" i="5"/>
  <c r="CB141" i="5"/>
  <c r="CB142" i="5"/>
  <c r="CB143" i="5"/>
  <c r="CB144" i="5"/>
  <c r="CB145" i="5"/>
  <c r="CB146" i="5"/>
  <c r="CB147" i="5"/>
  <c r="CB148" i="5"/>
  <c r="CB149" i="5"/>
  <c r="CB150" i="5"/>
  <c r="CB151" i="5"/>
  <c r="CB152" i="5"/>
  <c r="CB153" i="5"/>
  <c r="CB154" i="5"/>
  <c r="CB155" i="5"/>
  <c r="CB156" i="5"/>
  <c r="CB157" i="5"/>
  <c r="CB158" i="5"/>
  <c r="CB159" i="5"/>
  <c r="CB160" i="5"/>
  <c r="CB161" i="5"/>
  <c r="CB162" i="5"/>
  <c r="CB163" i="5"/>
  <c r="CB164" i="5"/>
  <c r="CB165" i="5"/>
  <c r="CE111" i="5"/>
  <c r="CE112" i="5"/>
  <c r="CE113" i="5"/>
  <c r="CE114" i="5"/>
  <c r="CE115" i="5"/>
  <c r="CE116" i="5"/>
  <c r="CE117" i="5"/>
  <c r="CE118" i="5"/>
  <c r="CE119" i="5"/>
  <c r="CE120" i="5"/>
  <c r="CE121" i="5"/>
  <c r="CE122" i="5"/>
  <c r="CE123" i="5"/>
  <c r="CE124" i="5"/>
  <c r="CE125" i="5"/>
  <c r="CE126" i="5"/>
  <c r="CE127" i="5"/>
  <c r="CE128" i="5"/>
  <c r="CE129" i="5"/>
  <c r="CE130" i="5"/>
  <c r="CE131" i="5"/>
  <c r="CE132" i="5"/>
  <c r="CE133" i="5"/>
  <c r="CE134" i="5"/>
  <c r="CE135" i="5"/>
  <c r="CE136" i="5"/>
  <c r="CE137" i="5"/>
  <c r="CE138" i="5"/>
  <c r="CE139" i="5"/>
  <c r="CE140" i="5"/>
  <c r="CE141" i="5"/>
  <c r="CE142" i="5"/>
  <c r="CE143" i="5"/>
  <c r="CE144" i="5"/>
  <c r="CE145" i="5"/>
  <c r="CE146" i="5"/>
  <c r="CE147" i="5"/>
  <c r="CE148" i="5"/>
  <c r="CE149" i="5"/>
  <c r="CE150" i="5"/>
  <c r="CE151" i="5"/>
  <c r="CE152" i="5"/>
  <c r="CE153" i="5"/>
  <c r="CE154" i="5"/>
  <c r="CE155" i="5"/>
  <c r="CE156" i="5"/>
  <c r="CE157" i="5"/>
  <c r="CE158" i="5"/>
  <c r="CE159" i="5"/>
  <c r="CE160" i="5"/>
  <c r="CE161" i="5"/>
  <c r="CE162" i="5"/>
  <c r="CE163" i="5"/>
  <c r="CE164" i="5"/>
  <c r="CE165" i="5"/>
  <c r="CH111" i="5"/>
  <c r="CH112" i="5"/>
  <c r="CH113" i="5"/>
  <c r="CH114" i="5"/>
  <c r="CH115" i="5"/>
  <c r="CH116" i="5"/>
  <c r="CH117" i="5"/>
  <c r="CH118" i="5"/>
  <c r="CH119" i="5"/>
  <c r="CH120" i="5"/>
  <c r="CH121" i="5"/>
  <c r="CH122" i="5"/>
  <c r="CH123" i="5"/>
  <c r="CH124" i="5"/>
  <c r="CH125" i="5"/>
  <c r="CH126" i="5"/>
  <c r="CH127" i="5"/>
  <c r="CH128" i="5"/>
  <c r="CH129" i="5"/>
  <c r="CH130" i="5"/>
  <c r="CH131" i="5"/>
  <c r="CH132" i="5"/>
  <c r="CH133" i="5"/>
  <c r="CH134" i="5"/>
  <c r="CH135" i="5"/>
  <c r="CH136" i="5"/>
  <c r="CH137" i="5"/>
  <c r="CH138" i="5"/>
  <c r="CH139" i="5"/>
  <c r="CH140" i="5"/>
  <c r="CH141" i="5"/>
  <c r="CH142" i="5"/>
  <c r="CH143" i="5"/>
  <c r="CH144" i="5"/>
  <c r="CH145" i="5"/>
  <c r="CH146" i="5"/>
  <c r="CH147" i="5"/>
  <c r="CH148" i="5"/>
  <c r="CH149" i="5"/>
  <c r="CH150" i="5"/>
  <c r="CH151" i="5"/>
  <c r="CH152" i="5"/>
  <c r="CH153" i="5"/>
  <c r="CH154" i="5"/>
  <c r="CH155" i="5"/>
  <c r="CH156" i="5"/>
  <c r="CH157" i="5"/>
  <c r="CH158" i="5"/>
  <c r="CH159" i="5"/>
  <c r="CH160" i="5"/>
  <c r="CH161" i="5"/>
  <c r="CH162" i="5"/>
  <c r="CH163" i="5"/>
  <c r="CH164" i="5"/>
  <c r="CH165" i="5"/>
  <c r="CK111" i="5"/>
  <c r="CK112" i="5"/>
  <c r="CK113" i="5"/>
  <c r="CK114" i="5"/>
  <c r="CK115" i="5"/>
  <c r="CK116" i="5"/>
  <c r="CK117" i="5"/>
  <c r="CK118" i="5"/>
  <c r="CK119" i="5"/>
  <c r="CK120" i="5"/>
  <c r="CN111" i="5"/>
  <c r="CN112" i="5"/>
  <c r="CN113" i="5"/>
  <c r="CN114" i="5"/>
  <c r="CN115" i="5"/>
  <c r="CN116" i="5"/>
  <c r="CN117" i="5"/>
  <c r="CN118" i="5"/>
  <c r="CN119" i="5"/>
  <c r="CN120" i="5"/>
  <c r="CN121" i="5"/>
  <c r="CN122" i="5"/>
  <c r="CN123" i="5"/>
  <c r="CN124" i="5"/>
  <c r="CN125" i="5"/>
  <c r="CN126" i="5"/>
  <c r="CN127" i="5"/>
  <c r="CN128" i="5"/>
  <c r="CN129" i="5"/>
  <c r="CN130" i="5"/>
  <c r="CN131" i="5"/>
  <c r="CN132" i="5"/>
  <c r="CN133" i="5"/>
  <c r="CN134" i="5"/>
  <c r="CN135" i="5"/>
  <c r="CN136" i="5"/>
  <c r="CN137" i="5"/>
  <c r="CN138" i="5"/>
  <c r="CN139" i="5"/>
  <c r="CN140" i="5"/>
  <c r="CN141" i="5"/>
  <c r="CN142" i="5"/>
  <c r="CN143" i="5"/>
  <c r="CN144" i="5"/>
  <c r="CN145" i="5"/>
  <c r="CN146" i="5"/>
  <c r="CN147" i="5"/>
  <c r="CN148" i="5"/>
  <c r="CN149" i="5"/>
  <c r="CN150" i="5"/>
  <c r="CN151" i="5"/>
  <c r="CN152" i="5"/>
  <c r="CN153" i="5"/>
  <c r="CN154" i="5"/>
  <c r="CN155" i="5"/>
  <c r="CN156" i="5"/>
  <c r="CN157" i="5"/>
  <c r="CN158" i="5"/>
  <c r="CN159" i="5"/>
  <c r="CN160" i="5"/>
  <c r="CN161" i="5"/>
  <c r="CN162" i="5"/>
  <c r="CN163" i="5"/>
  <c r="CN164" i="5"/>
  <c r="CN165" i="5"/>
  <c r="CW166" i="5"/>
  <c r="CX166" i="5"/>
  <c r="CY166" i="5"/>
  <c r="CZ166" i="5"/>
  <c r="DA166" i="5"/>
  <c r="DB166" i="5"/>
  <c r="DC166" i="5"/>
  <c r="DD166" i="5"/>
  <c r="DE166" i="5"/>
  <c r="DF166" i="5"/>
  <c r="DG166" i="5"/>
  <c r="DH166" i="5"/>
  <c r="DI166" i="5"/>
  <c r="DJ166" i="5"/>
  <c r="DK166" i="5"/>
  <c r="DL166" i="5"/>
  <c r="DM166" i="5"/>
  <c r="DN166" i="5"/>
  <c r="DO166" i="5"/>
  <c r="DP166" i="5"/>
  <c r="DQ166" i="5"/>
  <c r="DR166" i="5"/>
  <c r="DS166" i="5"/>
  <c r="DT166" i="5"/>
  <c r="DU166" i="5"/>
  <c r="DV166" i="5"/>
  <c r="DW166" i="5"/>
  <c r="DX166" i="5"/>
  <c r="DY166" i="5"/>
  <c r="DZ166" i="5"/>
  <c r="CV111" i="5"/>
  <c r="CV116" i="5"/>
  <c r="CV117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CV167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CV173" i="5"/>
  <c r="A174" i="5"/>
  <c r="A175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W167" i="5"/>
  <c r="W168" i="5"/>
  <c r="W169" i="5"/>
  <c r="W170" i="5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W194" i="5"/>
  <c r="W195" i="5"/>
  <c r="W196" i="5"/>
  <c r="W197" i="5"/>
  <c r="W198" i="5"/>
  <c r="W199" i="5"/>
  <c r="W200" i="5"/>
  <c r="W201" i="5"/>
  <c r="W202" i="5"/>
  <c r="Z167" i="5"/>
  <c r="Z168" i="5"/>
  <c r="Z169" i="5"/>
  <c r="Z170" i="5"/>
  <c r="Z171" i="5"/>
  <c r="Z172" i="5"/>
  <c r="Z173" i="5"/>
  <c r="Z174" i="5"/>
  <c r="Z175" i="5"/>
  <c r="Z176" i="5"/>
  <c r="Z177" i="5"/>
  <c r="Z178" i="5"/>
  <c r="Z179" i="5"/>
  <c r="Z180" i="5"/>
  <c r="Z181" i="5"/>
  <c r="Z182" i="5"/>
  <c r="Z183" i="5"/>
  <c r="Z184" i="5"/>
  <c r="Z185" i="5"/>
  <c r="Z186" i="5"/>
  <c r="Z187" i="5"/>
  <c r="Z188" i="5"/>
  <c r="Z189" i="5"/>
  <c r="Z190" i="5"/>
  <c r="Z191" i="5"/>
  <c r="Z192" i="5"/>
  <c r="Z193" i="5"/>
  <c r="Z194" i="5"/>
  <c r="Z195" i="5"/>
  <c r="Z196" i="5"/>
  <c r="Z197" i="5"/>
  <c r="Z198" i="5"/>
  <c r="Z199" i="5"/>
  <c r="Z200" i="5"/>
  <c r="Z201" i="5"/>
  <c r="Z202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F167" i="5"/>
  <c r="AF168" i="5"/>
  <c r="AF169" i="5"/>
  <c r="AF170" i="5"/>
  <c r="AF171" i="5"/>
  <c r="AF172" i="5"/>
  <c r="AF173" i="5"/>
  <c r="AF174" i="5"/>
  <c r="AF175" i="5"/>
  <c r="AF176" i="5"/>
  <c r="AF177" i="5"/>
  <c r="AF178" i="5"/>
  <c r="AF179" i="5"/>
  <c r="AF180" i="5"/>
  <c r="AF181" i="5"/>
  <c r="AF182" i="5"/>
  <c r="AF183" i="5"/>
  <c r="AF184" i="5"/>
  <c r="AF185" i="5"/>
  <c r="AF186" i="5"/>
  <c r="AF187" i="5"/>
  <c r="AF188" i="5"/>
  <c r="AF189" i="5"/>
  <c r="AF190" i="5"/>
  <c r="AF191" i="5"/>
  <c r="AF192" i="5"/>
  <c r="AF193" i="5"/>
  <c r="AF194" i="5"/>
  <c r="AF195" i="5"/>
  <c r="AF196" i="5"/>
  <c r="AF197" i="5"/>
  <c r="AF198" i="5"/>
  <c r="AF199" i="5"/>
  <c r="AF200" i="5"/>
  <c r="AF201" i="5"/>
  <c r="AF202" i="5"/>
  <c r="AI167" i="5"/>
  <c r="AI168" i="5"/>
  <c r="AI169" i="5"/>
  <c r="AI170" i="5"/>
  <c r="AI171" i="5"/>
  <c r="AI172" i="5"/>
  <c r="AI173" i="5"/>
  <c r="AI174" i="5"/>
  <c r="AI175" i="5"/>
  <c r="AI176" i="5"/>
  <c r="AI177" i="5"/>
  <c r="AI178" i="5"/>
  <c r="AI179" i="5"/>
  <c r="AI180" i="5"/>
  <c r="AI181" i="5"/>
  <c r="AI182" i="5"/>
  <c r="AI183" i="5"/>
  <c r="AI184" i="5"/>
  <c r="AI185" i="5"/>
  <c r="AI186" i="5"/>
  <c r="AI187" i="5"/>
  <c r="AI188" i="5"/>
  <c r="AI189" i="5"/>
  <c r="AI190" i="5"/>
  <c r="AI191" i="5"/>
  <c r="AI192" i="5"/>
  <c r="AI193" i="5"/>
  <c r="AI194" i="5"/>
  <c r="AI195" i="5"/>
  <c r="AI196" i="5"/>
  <c r="AI197" i="5"/>
  <c r="AI198" i="5"/>
  <c r="AI199" i="5"/>
  <c r="AI200" i="5"/>
  <c r="AI201" i="5"/>
  <c r="AI202" i="5"/>
  <c r="AL167" i="5"/>
  <c r="AL168" i="5"/>
  <c r="AL169" i="5"/>
  <c r="AL170" i="5"/>
  <c r="AL171" i="5"/>
  <c r="AL172" i="5"/>
  <c r="AL173" i="5"/>
  <c r="AL174" i="5"/>
  <c r="AL175" i="5"/>
  <c r="AL176" i="5"/>
  <c r="AL177" i="5"/>
  <c r="AL178" i="5"/>
  <c r="AL179" i="5"/>
  <c r="AL180" i="5"/>
  <c r="AL181" i="5"/>
  <c r="AL182" i="5"/>
  <c r="AL183" i="5"/>
  <c r="AL184" i="5"/>
  <c r="AL185" i="5"/>
  <c r="AL186" i="5"/>
  <c r="AL187" i="5"/>
  <c r="AL188" i="5"/>
  <c r="AL189" i="5"/>
  <c r="AL190" i="5"/>
  <c r="AL191" i="5"/>
  <c r="AL192" i="5"/>
  <c r="AL193" i="5"/>
  <c r="AL194" i="5"/>
  <c r="AL195" i="5"/>
  <c r="AL196" i="5"/>
  <c r="AL197" i="5"/>
  <c r="AL198" i="5"/>
  <c r="AL199" i="5"/>
  <c r="AL200" i="5"/>
  <c r="AL201" i="5"/>
  <c r="AL202" i="5"/>
  <c r="AO167" i="5"/>
  <c r="AO168" i="5"/>
  <c r="AO169" i="5"/>
  <c r="AO170" i="5"/>
  <c r="AO171" i="5"/>
  <c r="AO172" i="5"/>
  <c r="AO173" i="5"/>
  <c r="AO174" i="5"/>
  <c r="AO175" i="5"/>
  <c r="AO176" i="5"/>
  <c r="AO177" i="5"/>
  <c r="AO178" i="5"/>
  <c r="AO179" i="5"/>
  <c r="AO180" i="5"/>
  <c r="AO181" i="5"/>
  <c r="AO182" i="5"/>
  <c r="AO183" i="5"/>
  <c r="AO184" i="5"/>
  <c r="AO185" i="5"/>
  <c r="AO186" i="5"/>
  <c r="AO187" i="5"/>
  <c r="AO188" i="5"/>
  <c r="AO189" i="5"/>
  <c r="AO190" i="5"/>
  <c r="AO191" i="5"/>
  <c r="AO192" i="5"/>
  <c r="AO193" i="5"/>
  <c r="AO194" i="5"/>
  <c r="AO195" i="5"/>
  <c r="AO196" i="5"/>
  <c r="AO197" i="5"/>
  <c r="AO198" i="5"/>
  <c r="AO199" i="5"/>
  <c r="AO200" i="5"/>
  <c r="AO201" i="5"/>
  <c r="AO202" i="5"/>
  <c r="AR167" i="5"/>
  <c r="AR168" i="5"/>
  <c r="AR169" i="5"/>
  <c r="AR170" i="5"/>
  <c r="AR171" i="5"/>
  <c r="AR172" i="5"/>
  <c r="AR173" i="5"/>
  <c r="AR174" i="5"/>
  <c r="AR175" i="5"/>
  <c r="AR176" i="5"/>
  <c r="AR177" i="5"/>
  <c r="AR178" i="5"/>
  <c r="AR179" i="5"/>
  <c r="AR180" i="5"/>
  <c r="AR181" i="5"/>
  <c r="AR182" i="5"/>
  <c r="AR183" i="5"/>
  <c r="AR184" i="5"/>
  <c r="AR185" i="5"/>
  <c r="AR186" i="5"/>
  <c r="AR187" i="5"/>
  <c r="AR188" i="5"/>
  <c r="AR189" i="5"/>
  <c r="AR190" i="5"/>
  <c r="AR191" i="5"/>
  <c r="AR192" i="5"/>
  <c r="AR193" i="5"/>
  <c r="AR194" i="5"/>
  <c r="AR195" i="5"/>
  <c r="AR196" i="5"/>
  <c r="AR197" i="5"/>
  <c r="AR198" i="5"/>
  <c r="AR199" i="5"/>
  <c r="AR200" i="5"/>
  <c r="AR201" i="5"/>
  <c r="AR202" i="5"/>
  <c r="AU167" i="5"/>
  <c r="AU168" i="5"/>
  <c r="AU169" i="5"/>
  <c r="AU170" i="5"/>
  <c r="AU171" i="5"/>
  <c r="AU172" i="5"/>
  <c r="AU173" i="5"/>
  <c r="AU174" i="5"/>
  <c r="AU175" i="5"/>
  <c r="AU176" i="5"/>
  <c r="AU177" i="5"/>
  <c r="AU178" i="5"/>
  <c r="AU179" i="5"/>
  <c r="AU180" i="5"/>
  <c r="AU181" i="5"/>
  <c r="AU182" i="5"/>
  <c r="AU183" i="5"/>
  <c r="AU184" i="5"/>
  <c r="AU185" i="5"/>
  <c r="AU186" i="5"/>
  <c r="AU187" i="5"/>
  <c r="AU188" i="5"/>
  <c r="AU189" i="5"/>
  <c r="AU190" i="5"/>
  <c r="AU191" i="5"/>
  <c r="AU192" i="5"/>
  <c r="AU193" i="5"/>
  <c r="AU194" i="5"/>
  <c r="AU195" i="5"/>
  <c r="AU196" i="5"/>
  <c r="AU197" i="5"/>
  <c r="AU198" i="5"/>
  <c r="AU199" i="5"/>
  <c r="AU200" i="5"/>
  <c r="AU201" i="5"/>
  <c r="AU202" i="5"/>
  <c r="AX167" i="5"/>
  <c r="AX168" i="5"/>
  <c r="AX169" i="5"/>
  <c r="AX170" i="5"/>
  <c r="AX171" i="5"/>
  <c r="AX172" i="5"/>
  <c r="AX173" i="5"/>
  <c r="AX174" i="5"/>
  <c r="AX175" i="5"/>
  <c r="AX176" i="5"/>
  <c r="AX177" i="5"/>
  <c r="AX178" i="5"/>
  <c r="AX179" i="5"/>
  <c r="AX180" i="5"/>
  <c r="AX181" i="5"/>
  <c r="AX182" i="5"/>
  <c r="AX183" i="5"/>
  <c r="AX184" i="5"/>
  <c r="AX185" i="5"/>
  <c r="AX18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D167" i="5"/>
  <c r="BD168" i="5"/>
  <c r="BD169" i="5"/>
  <c r="BD170" i="5"/>
  <c r="BD171" i="5"/>
  <c r="BD172" i="5"/>
  <c r="BD173" i="5"/>
  <c r="BD174" i="5"/>
  <c r="BD175" i="5"/>
  <c r="BD176" i="5"/>
  <c r="BD177" i="5"/>
  <c r="BD178" i="5"/>
  <c r="BD179" i="5"/>
  <c r="BD180" i="5"/>
  <c r="BD181" i="5"/>
  <c r="BD182" i="5"/>
  <c r="BD183" i="5"/>
  <c r="BD184" i="5"/>
  <c r="BD185" i="5"/>
  <c r="BD186" i="5"/>
  <c r="BD187" i="5"/>
  <c r="BD188" i="5"/>
  <c r="BD189" i="5"/>
  <c r="BD190" i="5"/>
  <c r="BD191" i="5"/>
  <c r="BD192" i="5"/>
  <c r="BD193" i="5"/>
  <c r="BD194" i="5"/>
  <c r="BD195" i="5"/>
  <c r="BD196" i="5"/>
  <c r="BD197" i="5"/>
  <c r="BD198" i="5"/>
  <c r="BD199" i="5"/>
  <c r="BD200" i="5"/>
  <c r="BD201" i="5"/>
  <c r="BD202" i="5"/>
  <c r="BG167" i="5"/>
  <c r="BG168" i="5"/>
  <c r="BG169" i="5"/>
  <c r="BG170" i="5"/>
  <c r="BG171" i="5"/>
  <c r="BG172" i="5"/>
  <c r="BG173" i="5"/>
  <c r="BG174" i="5"/>
  <c r="BG175" i="5"/>
  <c r="BG176" i="5"/>
  <c r="BG177" i="5"/>
  <c r="BG178" i="5"/>
  <c r="BG179" i="5"/>
  <c r="BG180" i="5"/>
  <c r="BG181" i="5"/>
  <c r="BG182" i="5"/>
  <c r="BG183" i="5"/>
  <c r="BG184" i="5"/>
  <c r="BG185" i="5"/>
  <c r="BG186" i="5"/>
  <c r="BG187" i="5"/>
  <c r="BG188" i="5"/>
  <c r="BG189" i="5"/>
  <c r="BG190" i="5"/>
  <c r="BG191" i="5"/>
  <c r="BG192" i="5"/>
  <c r="BG193" i="5"/>
  <c r="BG194" i="5"/>
  <c r="BG195" i="5"/>
  <c r="BG196" i="5"/>
  <c r="BG197" i="5"/>
  <c r="BG198" i="5"/>
  <c r="BG199" i="5"/>
  <c r="BG200" i="5"/>
  <c r="BG201" i="5"/>
  <c r="BG202" i="5"/>
  <c r="BJ167" i="5"/>
  <c r="BJ168" i="5"/>
  <c r="BJ169" i="5"/>
  <c r="BJ170" i="5"/>
  <c r="BJ171" i="5"/>
  <c r="BJ172" i="5"/>
  <c r="BJ173" i="5"/>
  <c r="BJ174" i="5"/>
  <c r="BJ175" i="5"/>
  <c r="BJ176" i="5"/>
  <c r="BJ177" i="5"/>
  <c r="BJ178" i="5"/>
  <c r="BJ179" i="5"/>
  <c r="BJ180" i="5"/>
  <c r="BJ181" i="5"/>
  <c r="BJ182" i="5"/>
  <c r="BJ183" i="5"/>
  <c r="BJ184" i="5"/>
  <c r="BJ185" i="5"/>
  <c r="BJ186" i="5"/>
  <c r="BJ187" i="5"/>
  <c r="BJ188" i="5"/>
  <c r="BJ189" i="5"/>
  <c r="BJ190" i="5"/>
  <c r="BJ191" i="5"/>
  <c r="BJ192" i="5"/>
  <c r="BJ193" i="5"/>
  <c r="BJ194" i="5"/>
  <c r="BJ195" i="5"/>
  <c r="BJ196" i="5"/>
  <c r="BJ197" i="5"/>
  <c r="BJ198" i="5"/>
  <c r="BJ199" i="5"/>
  <c r="BJ200" i="5"/>
  <c r="BJ201" i="5"/>
  <c r="BJ202" i="5"/>
  <c r="BM167" i="5"/>
  <c r="BM168" i="5"/>
  <c r="BM169" i="5"/>
  <c r="BM170" i="5"/>
  <c r="BM171" i="5"/>
  <c r="BM172" i="5"/>
  <c r="BM173" i="5"/>
  <c r="BM174" i="5"/>
  <c r="BM175" i="5"/>
  <c r="BM176" i="5"/>
  <c r="BM177" i="5"/>
  <c r="BM178" i="5"/>
  <c r="BM179" i="5"/>
  <c r="BM180" i="5"/>
  <c r="BM181" i="5"/>
  <c r="BM182" i="5"/>
  <c r="BM183" i="5"/>
  <c r="BM184" i="5"/>
  <c r="BM185" i="5"/>
  <c r="BM186" i="5"/>
  <c r="BM187" i="5"/>
  <c r="BM188" i="5"/>
  <c r="BM189" i="5"/>
  <c r="BM190" i="5"/>
  <c r="BM191" i="5"/>
  <c r="BM192" i="5"/>
  <c r="BM193" i="5"/>
  <c r="BM194" i="5"/>
  <c r="BM195" i="5"/>
  <c r="BM196" i="5"/>
  <c r="BM197" i="5"/>
  <c r="BM198" i="5"/>
  <c r="BM199" i="5"/>
  <c r="BM200" i="5"/>
  <c r="BM201" i="5"/>
  <c r="BM202" i="5"/>
  <c r="BP167" i="5"/>
  <c r="BP168" i="5"/>
  <c r="BP169" i="5"/>
  <c r="BP170" i="5"/>
  <c r="BP171" i="5"/>
  <c r="BP172" i="5"/>
  <c r="BP173" i="5"/>
  <c r="BP174" i="5"/>
  <c r="BP175" i="5"/>
  <c r="BP176" i="5"/>
  <c r="BP177" i="5"/>
  <c r="BP178" i="5"/>
  <c r="BP179" i="5"/>
  <c r="BP180" i="5"/>
  <c r="BP181" i="5"/>
  <c r="BP182" i="5"/>
  <c r="BP183" i="5"/>
  <c r="BP184" i="5"/>
  <c r="BP185" i="5"/>
  <c r="BP186" i="5"/>
  <c r="BP187" i="5"/>
  <c r="BP188" i="5"/>
  <c r="BP189" i="5"/>
  <c r="BP190" i="5"/>
  <c r="BP191" i="5"/>
  <c r="BP192" i="5"/>
  <c r="BP193" i="5"/>
  <c r="BP194" i="5"/>
  <c r="BP195" i="5"/>
  <c r="BP196" i="5"/>
  <c r="BP197" i="5"/>
  <c r="BP198" i="5"/>
  <c r="BP199" i="5"/>
  <c r="BP200" i="5"/>
  <c r="BP201" i="5"/>
  <c r="BP202" i="5"/>
  <c r="BS167" i="5"/>
  <c r="BS168" i="5"/>
  <c r="BS169" i="5"/>
  <c r="BS170" i="5"/>
  <c r="BS171" i="5"/>
  <c r="BS172" i="5"/>
  <c r="BS173" i="5"/>
  <c r="BS174" i="5"/>
  <c r="BS175" i="5"/>
  <c r="BS176" i="5"/>
  <c r="BS177" i="5"/>
  <c r="BS178" i="5"/>
  <c r="BS179" i="5"/>
  <c r="BS180" i="5"/>
  <c r="BS181" i="5"/>
  <c r="BS182" i="5"/>
  <c r="BS183" i="5"/>
  <c r="BS184" i="5"/>
  <c r="BS185" i="5"/>
  <c r="BS186" i="5"/>
  <c r="BS187" i="5"/>
  <c r="BS188" i="5"/>
  <c r="BS189" i="5"/>
  <c r="BS190" i="5"/>
  <c r="BS191" i="5"/>
  <c r="BS192" i="5"/>
  <c r="BS193" i="5"/>
  <c r="BS194" i="5"/>
  <c r="BS195" i="5"/>
  <c r="BS196" i="5"/>
  <c r="BS197" i="5"/>
  <c r="BS198" i="5"/>
  <c r="BS199" i="5"/>
  <c r="BS200" i="5"/>
  <c r="BS201" i="5"/>
  <c r="BS202" i="5"/>
  <c r="BV167" i="5"/>
  <c r="BV168" i="5"/>
  <c r="BV169" i="5"/>
  <c r="BV170" i="5"/>
  <c r="BV171" i="5"/>
  <c r="BV172" i="5"/>
  <c r="BV173" i="5"/>
  <c r="BV174" i="5"/>
  <c r="BV175" i="5"/>
  <c r="BV176" i="5"/>
  <c r="BV177" i="5"/>
  <c r="BV178" i="5"/>
  <c r="BV179" i="5"/>
  <c r="BV180" i="5"/>
  <c r="BV181" i="5"/>
  <c r="BV182" i="5"/>
  <c r="BV183" i="5"/>
  <c r="BV184" i="5"/>
  <c r="BV185" i="5"/>
  <c r="BV186" i="5"/>
  <c r="BV187" i="5"/>
  <c r="BV188" i="5"/>
  <c r="BV189" i="5"/>
  <c r="BV190" i="5"/>
  <c r="BV191" i="5"/>
  <c r="BV192" i="5"/>
  <c r="BV193" i="5"/>
  <c r="BV194" i="5"/>
  <c r="BV195" i="5"/>
  <c r="BV196" i="5"/>
  <c r="BV197" i="5"/>
  <c r="BV198" i="5"/>
  <c r="BV199" i="5"/>
  <c r="BV200" i="5"/>
  <c r="BV201" i="5"/>
  <c r="BV202" i="5"/>
  <c r="BY167" i="5"/>
  <c r="BY168" i="5"/>
  <c r="BY169" i="5"/>
  <c r="BY170" i="5"/>
  <c r="BY171" i="5"/>
  <c r="BY172" i="5"/>
  <c r="BY173" i="5"/>
  <c r="BY174" i="5"/>
  <c r="BY175" i="5"/>
  <c r="BY176" i="5"/>
  <c r="BY177" i="5"/>
  <c r="BY178" i="5"/>
  <c r="BY179" i="5"/>
  <c r="BY180" i="5"/>
  <c r="BY181" i="5"/>
  <c r="BY182" i="5"/>
  <c r="BY183" i="5"/>
  <c r="BY184" i="5"/>
  <c r="BY185" i="5"/>
  <c r="BY186" i="5"/>
  <c r="BY187" i="5"/>
  <c r="BY188" i="5"/>
  <c r="BY189" i="5"/>
  <c r="BY190" i="5"/>
  <c r="BY191" i="5"/>
  <c r="BY192" i="5"/>
  <c r="BY193" i="5"/>
  <c r="BY194" i="5"/>
  <c r="BY195" i="5"/>
  <c r="BY196" i="5"/>
  <c r="BY197" i="5"/>
  <c r="BY198" i="5"/>
  <c r="BY199" i="5"/>
  <c r="BY200" i="5"/>
  <c r="BY201" i="5"/>
  <c r="BY202" i="5"/>
  <c r="CB167" i="5"/>
  <c r="CB168" i="5"/>
  <c r="CB169" i="5"/>
  <c r="CB170" i="5"/>
  <c r="CB171" i="5"/>
  <c r="CB172" i="5"/>
  <c r="CB173" i="5"/>
  <c r="CB174" i="5"/>
  <c r="CB175" i="5"/>
  <c r="CB176" i="5"/>
  <c r="CB177" i="5"/>
  <c r="CB178" i="5"/>
  <c r="CB179" i="5"/>
  <c r="CB180" i="5"/>
  <c r="CB181" i="5"/>
  <c r="CB182" i="5"/>
  <c r="CB183" i="5"/>
  <c r="CB184" i="5"/>
  <c r="CB185" i="5"/>
  <c r="CB186" i="5"/>
  <c r="CB187" i="5"/>
  <c r="CB188" i="5"/>
  <c r="CB189" i="5"/>
  <c r="CB190" i="5"/>
  <c r="CB191" i="5"/>
  <c r="CB192" i="5"/>
  <c r="CB193" i="5"/>
  <c r="CB194" i="5"/>
  <c r="CB195" i="5"/>
  <c r="CB196" i="5"/>
  <c r="CB197" i="5"/>
  <c r="CB198" i="5"/>
  <c r="CB199" i="5"/>
  <c r="CB200" i="5"/>
  <c r="CB201" i="5"/>
  <c r="CB202" i="5"/>
  <c r="CE167" i="5"/>
  <c r="CE168" i="5"/>
  <c r="CE169" i="5"/>
  <c r="CE170" i="5"/>
  <c r="CE171" i="5"/>
  <c r="CE172" i="5"/>
  <c r="CE173" i="5"/>
  <c r="CE174" i="5"/>
  <c r="CE175" i="5"/>
  <c r="CE176" i="5"/>
  <c r="CE177" i="5"/>
  <c r="CE178" i="5"/>
  <c r="CE179" i="5"/>
  <c r="CE180" i="5"/>
  <c r="CE181" i="5"/>
  <c r="CE182" i="5"/>
  <c r="CE183" i="5"/>
  <c r="CE184" i="5"/>
  <c r="CE185" i="5"/>
  <c r="CE186" i="5"/>
  <c r="CE187" i="5"/>
  <c r="CE188" i="5"/>
  <c r="CE189" i="5"/>
  <c r="CE190" i="5"/>
  <c r="CE191" i="5"/>
  <c r="CE192" i="5"/>
  <c r="CE193" i="5"/>
  <c r="CE194" i="5"/>
  <c r="CE195" i="5"/>
  <c r="CE196" i="5"/>
  <c r="CE197" i="5"/>
  <c r="CE198" i="5"/>
  <c r="CE199" i="5"/>
  <c r="CE200" i="5"/>
  <c r="CE201" i="5"/>
  <c r="CE202" i="5"/>
  <c r="CH167" i="5"/>
  <c r="CH168" i="5"/>
  <c r="CH169" i="5"/>
  <c r="CH170" i="5"/>
  <c r="CH171" i="5"/>
  <c r="CH172" i="5"/>
  <c r="CH173" i="5"/>
  <c r="CH174" i="5"/>
  <c r="CH175" i="5"/>
  <c r="CH176" i="5"/>
  <c r="CH177" i="5"/>
  <c r="CH178" i="5"/>
  <c r="CH179" i="5"/>
  <c r="CH180" i="5"/>
  <c r="CH181" i="5"/>
  <c r="CH182" i="5"/>
  <c r="CH183" i="5"/>
  <c r="CH184" i="5"/>
  <c r="CH185" i="5"/>
  <c r="CH186" i="5"/>
  <c r="CH187" i="5"/>
  <c r="CH188" i="5"/>
  <c r="CH189" i="5"/>
  <c r="CH190" i="5"/>
  <c r="CH191" i="5"/>
  <c r="CH192" i="5"/>
  <c r="CH193" i="5"/>
  <c r="CH194" i="5"/>
  <c r="CH195" i="5"/>
  <c r="CH196" i="5"/>
  <c r="CH197" i="5"/>
  <c r="CH198" i="5"/>
  <c r="CH199" i="5"/>
  <c r="CH200" i="5"/>
  <c r="CH201" i="5"/>
  <c r="CH202" i="5"/>
  <c r="CK174" i="5"/>
  <c r="CK175" i="5"/>
  <c r="CK176" i="5"/>
  <c r="CK177" i="5"/>
  <c r="CK178" i="5"/>
  <c r="CK179" i="5"/>
  <c r="CK180" i="5"/>
  <c r="CK181" i="5"/>
  <c r="CK182" i="5"/>
  <c r="CK183" i="5"/>
  <c r="CK184" i="5"/>
  <c r="CK185" i="5"/>
  <c r="CK186" i="5"/>
  <c r="CK187" i="5"/>
  <c r="CK188" i="5"/>
  <c r="CK189" i="5"/>
  <c r="CK190" i="5"/>
  <c r="CK191" i="5"/>
  <c r="CK192" i="5"/>
  <c r="CK193" i="5"/>
  <c r="CK194" i="5"/>
  <c r="CK195" i="5"/>
  <c r="CK196" i="5"/>
  <c r="CK197" i="5"/>
  <c r="CK198" i="5"/>
  <c r="CK199" i="5"/>
  <c r="CK200" i="5"/>
  <c r="CK201" i="5"/>
  <c r="CK202" i="5"/>
  <c r="CN167" i="5"/>
  <c r="CN168" i="5"/>
  <c r="CN169" i="5"/>
  <c r="CN170" i="5"/>
  <c r="CN171" i="5"/>
  <c r="CN172" i="5"/>
  <c r="CN173" i="5"/>
  <c r="CN174" i="5"/>
  <c r="CN175" i="5"/>
  <c r="CN176" i="5"/>
  <c r="CN177" i="5"/>
  <c r="CN178" i="5"/>
  <c r="CN179" i="5"/>
  <c r="CN180" i="5"/>
  <c r="CN181" i="5"/>
  <c r="CN182" i="5"/>
  <c r="CN183" i="5"/>
  <c r="CN184" i="5"/>
  <c r="CN185" i="5"/>
  <c r="CN186" i="5"/>
  <c r="CN187" i="5"/>
  <c r="CN188" i="5"/>
  <c r="CN189" i="5"/>
  <c r="CN190" i="5"/>
  <c r="CN191" i="5"/>
  <c r="CN192" i="5"/>
  <c r="CN193" i="5"/>
  <c r="CN194" i="5"/>
  <c r="CN195" i="5"/>
  <c r="CN196" i="5"/>
  <c r="CN197" i="5"/>
  <c r="CN198" i="5"/>
  <c r="CN199" i="5"/>
  <c r="CN200" i="5"/>
  <c r="CN201" i="5"/>
  <c r="CN202" i="5"/>
  <c r="CU167" i="5"/>
  <c r="CU173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AX187" i="5"/>
  <c r="AX188" i="5"/>
  <c r="AX189" i="5"/>
  <c r="AX190" i="5"/>
  <c r="AX191" i="5"/>
  <c r="AX192" i="5"/>
  <c r="AX193" i="5"/>
  <c r="AX194" i="5"/>
  <c r="AX195" i="5"/>
  <c r="AX196" i="5"/>
  <c r="AX197" i="5"/>
  <c r="AX198" i="5"/>
  <c r="AX199" i="5"/>
  <c r="AX200" i="5"/>
  <c r="AX201" i="5"/>
  <c r="AX202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CV193" i="5"/>
  <c r="A201" i="5"/>
  <c r="A202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CU194" i="5" l="1"/>
  <c r="CV194" i="5"/>
  <c r="CU157" i="5"/>
  <c r="CV157" i="5"/>
  <c r="CU149" i="5"/>
  <c r="CV149" i="5"/>
  <c r="CU135" i="5"/>
  <c r="CV135" i="5"/>
  <c r="CU119" i="5"/>
  <c r="CV119" i="5"/>
  <c r="CU94" i="5"/>
  <c r="CV94" i="5"/>
  <c r="CU86" i="5"/>
  <c r="CV86" i="5"/>
  <c r="CU78" i="5"/>
  <c r="CV78" i="5"/>
  <c r="CU70" i="5"/>
  <c r="CV70" i="5"/>
  <c r="CU62" i="5"/>
  <c r="CV62" i="5"/>
  <c r="CU54" i="5"/>
  <c r="CV54" i="5"/>
  <c r="CU38" i="5"/>
  <c r="CV38" i="5"/>
  <c r="CU22" i="5"/>
  <c r="CV22" i="5"/>
  <c r="CU159" i="5"/>
  <c r="CV159" i="5"/>
  <c r="CU139" i="5"/>
  <c r="CV139" i="5"/>
  <c r="CU80" i="5"/>
  <c r="CV80" i="5"/>
  <c r="CU24" i="5"/>
  <c r="CV24" i="5"/>
  <c r="CU112" i="5"/>
  <c r="CV112" i="5"/>
  <c r="CU103" i="5"/>
  <c r="CV103" i="5"/>
  <c r="CU95" i="5"/>
  <c r="CV95" i="5"/>
  <c r="CU71" i="5"/>
  <c r="CV71" i="5"/>
  <c r="CU55" i="5"/>
  <c r="CV55" i="5"/>
  <c r="CU23" i="5"/>
  <c r="CV23" i="5"/>
  <c r="CU156" i="5"/>
  <c r="CV156" i="5"/>
  <c r="CU148" i="5"/>
  <c r="CV148" i="5"/>
  <c r="CU134" i="5"/>
  <c r="CV134" i="5"/>
  <c r="CU118" i="5"/>
  <c r="CV118" i="5"/>
  <c r="CU110" i="5"/>
  <c r="CV110" i="5"/>
  <c r="CU93" i="5"/>
  <c r="CV93" i="5"/>
  <c r="CU85" i="5"/>
  <c r="CV85" i="5"/>
  <c r="CU77" i="5"/>
  <c r="CV77" i="5"/>
  <c r="CU69" i="5"/>
  <c r="CV69" i="5"/>
  <c r="CU45" i="5"/>
  <c r="CV45" i="5"/>
  <c r="CU37" i="5"/>
  <c r="CV37" i="5"/>
  <c r="CU200" i="5"/>
  <c r="CV200" i="5"/>
  <c r="CU155" i="5"/>
  <c r="CV155" i="5"/>
  <c r="CU147" i="5"/>
  <c r="CV147" i="5"/>
  <c r="CU109" i="5"/>
  <c r="CV109" i="5"/>
  <c r="CU92" i="5"/>
  <c r="CV92" i="5"/>
  <c r="CU84" i="5"/>
  <c r="CV84" i="5"/>
  <c r="CU76" i="5"/>
  <c r="CV76" i="5"/>
  <c r="CU68" i="5"/>
  <c r="CV68" i="5"/>
  <c r="CU60" i="5"/>
  <c r="CV60" i="5"/>
  <c r="CU52" i="5"/>
  <c r="CV52" i="5"/>
  <c r="CU36" i="5"/>
  <c r="CV36" i="5"/>
  <c r="CU28" i="5"/>
  <c r="CV28" i="5"/>
  <c r="CU20" i="5"/>
  <c r="CV20" i="5"/>
  <c r="CU196" i="5"/>
  <c r="CV196" i="5"/>
  <c r="CU151" i="5"/>
  <c r="CV151" i="5"/>
  <c r="CU127" i="5"/>
  <c r="CV127" i="5"/>
  <c r="CU104" i="5"/>
  <c r="CV104" i="5"/>
  <c r="CU88" i="5"/>
  <c r="CV88" i="5"/>
  <c r="CU56" i="5"/>
  <c r="CV56" i="5"/>
  <c r="CU32" i="5"/>
  <c r="CV32" i="5"/>
  <c r="CU195" i="5"/>
  <c r="CV195" i="5"/>
  <c r="CU158" i="5"/>
  <c r="CV158" i="5"/>
  <c r="CU192" i="5"/>
  <c r="CV192" i="5"/>
  <c r="CU132" i="5"/>
  <c r="CV132" i="5"/>
  <c r="CU199" i="5"/>
  <c r="CV199" i="5"/>
  <c r="CU191" i="5"/>
  <c r="CV191" i="5"/>
  <c r="CU166" i="5"/>
  <c r="CU154" i="5"/>
  <c r="CV154" i="5"/>
  <c r="CU146" i="5"/>
  <c r="CV146" i="5"/>
  <c r="CU131" i="5"/>
  <c r="CV131" i="5"/>
  <c r="CU108" i="5"/>
  <c r="CV108" i="5"/>
  <c r="CU83" i="5"/>
  <c r="CV83" i="5"/>
  <c r="CU75" i="5"/>
  <c r="CV75" i="5"/>
  <c r="CU67" i="5"/>
  <c r="CV67" i="5"/>
  <c r="CU59" i="5"/>
  <c r="CV59" i="5"/>
  <c r="CU27" i="5"/>
  <c r="CV27" i="5"/>
  <c r="CU188" i="5"/>
  <c r="CV188" i="5"/>
  <c r="CU113" i="5"/>
  <c r="CV113" i="5"/>
  <c r="CU40" i="5"/>
  <c r="CV40" i="5"/>
  <c r="CU150" i="5"/>
  <c r="CV150" i="5"/>
  <c r="CU136" i="5"/>
  <c r="CV136" i="5"/>
  <c r="CU120" i="5"/>
  <c r="CV120" i="5"/>
  <c r="CU87" i="5"/>
  <c r="CV87" i="5"/>
  <c r="CU198" i="5"/>
  <c r="CV198" i="5"/>
  <c r="CU190" i="5"/>
  <c r="CV190" i="5"/>
  <c r="CU165" i="5"/>
  <c r="CV165" i="5"/>
  <c r="G159" i="5"/>
  <c r="CW159" i="5" s="1"/>
  <c r="CU153" i="5"/>
  <c r="CV153" i="5"/>
  <c r="CU145" i="5"/>
  <c r="CV145" i="5"/>
  <c r="CU130" i="5"/>
  <c r="CV130" i="5"/>
  <c r="CU115" i="5"/>
  <c r="CV115" i="5"/>
  <c r="CU107" i="5"/>
  <c r="CV107" i="5"/>
  <c r="CU82" i="5"/>
  <c r="CV82" i="5"/>
  <c r="CU66" i="5"/>
  <c r="CV66" i="5"/>
  <c r="CU58" i="5"/>
  <c r="CV58" i="5"/>
  <c r="CU42" i="5"/>
  <c r="CV42" i="5"/>
  <c r="CU18" i="5"/>
  <c r="CV18" i="5"/>
  <c r="CU202" i="5"/>
  <c r="CV202" i="5"/>
  <c r="CU197" i="5"/>
  <c r="CV197" i="5"/>
  <c r="CU189" i="5"/>
  <c r="CV189" i="5"/>
  <c r="CU164" i="5"/>
  <c r="CV164" i="5"/>
  <c r="G134" i="5"/>
  <c r="J134" i="5" s="1"/>
  <c r="CU160" i="5"/>
  <c r="CV160" i="5"/>
  <c r="CU152" i="5"/>
  <c r="CV152" i="5"/>
  <c r="CU144" i="5"/>
  <c r="CV144" i="5"/>
  <c r="CU129" i="5"/>
  <c r="CV129" i="5"/>
  <c r="CU114" i="5"/>
  <c r="CV114" i="5"/>
  <c r="CU106" i="5"/>
  <c r="CV106" i="5"/>
  <c r="CU89" i="5"/>
  <c r="CV89" i="5"/>
  <c r="CU81" i="5"/>
  <c r="CV81" i="5"/>
  <c r="CU65" i="5"/>
  <c r="CV65" i="5"/>
  <c r="CU57" i="5"/>
  <c r="CV57" i="5"/>
  <c r="CU41" i="5"/>
  <c r="CV41" i="5"/>
  <c r="CU25" i="5"/>
  <c r="CV25" i="5"/>
  <c r="CU17" i="5"/>
  <c r="CV17" i="5"/>
  <c r="G194" i="5"/>
  <c r="J194" i="5" s="1"/>
  <c r="G157" i="5"/>
  <c r="J157" i="5" s="1"/>
  <c r="M157" i="5" s="1"/>
  <c r="P157" i="5" s="1"/>
  <c r="S157" i="5" s="1"/>
  <c r="V157" i="5" s="1"/>
  <c r="Y157" i="5" s="1"/>
  <c r="AB157" i="5" s="1"/>
  <c r="G154" i="5"/>
  <c r="CW154" i="5" s="1"/>
  <c r="G150" i="5"/>
  <c r="J150" i="5" s="1"/>
  <c r="G165" i="5"/>
  <c r="CW165" i="5" s="1"/>
  <c r="G202" i="5"/>
  <c r="J202" i="5" s="1"/>
  <c r="M202" i="5" s="1"/>
  <c r="P202" i="5" s="1"/>
  <c r="S202" i="5" s="1"/>
  <c r="V202" i="5" s="1"/>
  <c r="Y202" i="5" s="1"/>
  <c r="AB202" i="5" s="1"/>
  <c r="AE202" i="5" s="1"/>
  <c r="AH202" i="5" s="1"/>
  <c r="AK202" i="5" s="1"/>
  <c r="AN202" i="5" s="1"/>
  <c r="AQ202" i="5" s="1"/>
  <c r="AT202" i="5" s="1"/>
  <c r="AW202" i="5" s="1"/>
  <c r="AZ202" i="5" s="1"/>
  <c r="BC202" i="5" s="1"/>
  <c r="BF202" i="5" s="1"/>
  <c r="BI202" i="5" s="1"/>
  <c r="BL202" i="5" s="1"/>
  <c r="BO202" i="5" s="1"/>
  <c r="BR202" i="5" s="1"/>
  <c r="BU202" i="5" s="1"/>
  <c r="BX202" i="5" s="1"/>
  <c r="CA202" i="5" s="1"/>
  <c r="CD202" i="5" s="1"/>
  <c r="CG202" i="5" s="1"/>
  <c r="CJ202" i="5" s="1"/>
  <c r="CM202" i="5" s="1"/>
  <c r="DY202" i="5" s="1"/>
  <c r="EB193" i="5"/>
  <c r="CU193" i="5"/>
  <c r="G192" i="5"/>
  <c r="J192" i="5" s="1"/>
  <c r="EB116" i="5"/>
  <c r="CU116" i="5"/>
  <c r="EB101" i="5"/>
  <c r="CU101" i="5"/>
  <c r="EB97" i="5"/>
  <c r="CU97" i="5"/>
  <c r="EB73" i="5"/>
  <c r="CU73" i="5"/>
  <c r="EB61" i="5"/>
  <c r="CU61" i="5"/>
  <c r="EB53" i="5"/>
  <c r="CU53" i="5"/>
  <c r="EB49" i="5"/>
  <c r="CU49" i="5"/>
  <c r="EB33" i="5"/>
  <c r="CU33" i="5"/>
  <c r="EB29" i="5"/>
  <c r="CU29" i="5"/>
  <c r="EB21" i="5"/>
  <c r="CU21" i="5"/>
  <c r="EB13" i="5"/>
  <c r="CU13" i="5"/>
  <c r="EB9" i="5"/>
  <c r="CU9" i="5"/>
  <c r="EB5" i="5"/>
  <c r="CU5" i="5"/>
  <c r="EB111" i="5"/>
  <c r="CU111" i="5"/>
  <c r="EB100" i="5"/>
  <c r="CU100" i="5"/>
  <c r="EB96" i="5"/>
  <c r="CU96" i="5"/>
  <c r="EB72" i="5"/>
  <c r="CU72" i="5"/>
  <c r="EB64" i="5"/>
  <c r="CU64" i="5"/>
  <c r="EB48" i="5"/>
  <c r="CU48" i="5"/>
  <c r="EB44" i="5"/>
  <c r="CU44" i="5"/>
  <c r="EB16" i="5"/>
  <c r="CU16" i="5"/>
  <c r="EB12" i="5"/>
  <c r="CU12" i="5"/>
  <c r="EB8" i="5"/>
  <c r="CU8" i="5"/>
  <c r="EB4" i="5"/>
  <c r="CU4" i="5"/>
  <c r="G106" i="5"/>
  <c r="J106" i="5" s="1"/>
  <c r="EB99" i="5"/>
  <c r="CU99" i="5"/>
  <c r="EB91" i="5"/>
  <c r="CU91" i="5"/>
  <c r="EB79" i="5"/>
  <c r="CU79" i="5"/>
  <c r="EB63" i="5"/>
  <c r="CU63" i="5"/>
  <c r="EB51" i="5"/>
  <c r="CU51" i="5"/>
  <c r="EB47" i="5"/>
  <c r="CU47" i="5"/>
  <c r="EB43" i="5"/>
  <c r="CU43" i="5"/>
  <c r="EB39" i="5"/>
  <c r="CU39" i="5"/>
  <c r="EB35" i="5"/>
  <c r="CU35" i="5"/>
  <c r="EB31" i="5"/>
  <c r="CU31" i="5"/>
  <c r="EB19" i="5"/>
  <c r="CU19" i="5"/>
  <c r="EB15" i="5"/>
  <c r="CU15" i="5"/>
  <c r="EB11" i="5"/>
  <c r="CU11" i="5"/>
  <c r="EB7" i="5"/>
  <c r="CU7" i="5"/>
  <c r="EB3" i="5"/>
  <c r="CU3" i="5"/>
  <c r="G101" i="5"/>
  <c r="G93" i="5"/>
  <c r="G117" i="5"/>
  <c r="J117" i="5" s="1"/>
  <c r="EB117" i="5"/>
  <c r="CU117" i="5"/>
  <c r="EB102" i="5"/>
  <c r="CU102" i="5"/>
  <c r="EB98" i="5"/>
  <c r="CU98" i="5"/>
  <c r="EB90" i="5"/>
  <c r="CU90" i="5"/>
  <c r="EB74" i="5"/>
  <c r="CU74" i="5"/>
  <c r="EB50" i="5"/>
  <c r="CU50" i="5"/>
  <c r="EB46" i="5"/>
  <c r="CU46" i="5"/>
  <c r="EB34" i="5"/>
  <c r="CU34" i="5"/>
  <c r="EB30" i="5"/>
  <c r="CU30" i="5"/>
  <c r="EB26" i="5"/>
  <c r="CU26" i="5"/>
  <c r="EB14" i="5"/>
  <c r="CU14" i="5"/>
  <c r="EB10" i="5"/>
  <c r="CU10" i="5"/>
  <c r="EB6" i="5"/>
  <c r="CT192" i="5"/>
  <c r="CT167" i="5"/>
  <c r="CT108" i="5"/>
  <c r="G167" i="5"/>
  <c r="CT173" i="5"/>
  <c r="G173" i="5"/>
  <c r="G197" i="5"/>
  <c r="CT197" i="5"/>
  <c r="CT202" i="5"/>
  <c r="CT198" i="5"/>
  <c r="CT194" i="5"/>
  <c r="G200" i="5"/>
  <c r="CT193" i="5"/>
  <c r="G147" i="5"/>
  <c r="CT147" i="5"/>
  <c r="G131" i="5"/>
  <c r="CT131" i="5"/>
  <c r="CT152" i="5"/>
  <c r="G129" i="5"/>
  <c r="CT129" i="5"/>
  <c r="G120" i="5"/>
  <c r="CT120" i="5"/>
  <c r="CT154" i="5"/>
  <c r="CT150" i="5"/>
  <c r="G151" i="5"/>
  <c r="CT151" i="5"/>
  <c r="G127" i="5"/>
  <c r="CT127" i="5"/>
  <c r="G119" i="5"/>
  <c r="CT119" i="5"/>
  <c r="G111" i="5"/>
  <c r="CT111" i="5"/>
  <c r="CT160" i="5"/>
  <c r="CT134" i="5"/>
  <c r="CT159" i="5"/>
  <c r="CT117" i="5"/>
  <c r="G149" i="5"/>
  <c r="G148" i="5"/>
  <c r="CT148" i="5"/>
  <c r="G132" i="5"/>
  <c r="CT132" i="5"/>
  <c r="G116" i="5"/>
  <c r="CT116" i="5"/>
  <c r="CT165" i="5"/>
  <c r="CT157" i="5"/>
  <c r="CT112" i="5"/>
  <c r="CT106" i="5"/>
  <c r="CT85" i="5"/>
  <c r="G85" i="5"/>
  <c r="CT61" i="5"/>
  <c r="G61" i="5"/>
  <c r="CT53" i="5"/>
  <c r="G53" i="5"/>
  <c r="CT45" i="5"/>
  <c r="G45" i="5"/>
  <c r="CT37" i="5"/>
  <c r="G37" i="5"/>
  <c r="CT29" i="5"/>
  <c r="G29" i="5"/>
  <c r="CT21" i="5"/>
  <c r="G21" i="5"/>
  <c r="CT13" i="5"/>
  <c r="G13" i="5"/>
  <c r="CT5" i="5"/>
  <c r="G5" i="5"/>
  <c r="CT90" i="5"/>
  <c r="G100" i="5"/>
  <c r="CT100" i="5"/>
  <c r="CT76" i="5"/>
  <c r="G76" i="5"/>
  <c r="G68" i="5"/>
  <c r="CT68" i="5"/>
  <c r="CT44" i="5"/>
  <c r="G44" i="5"/>
  <c r="CT36" i="5"/>
  <c r="G36" i="5"/>
  <c r="CT28" i="5"/>
  <c r="G28" i="5"/>
  <c r="CT12" i="5"/>
  <c r="G12" i="5"/>
  <c r="CT4" i="5"/>
  <c r="G4" i="5"/>
  <c r="CT99" i="5"/>
  <c r="G91" i="5"/>
  <c r="CT91" i="5"/>
  <c r="CT59" i="5"/>
  <c r="G59" i="5"/>
  <c r="CT51" i="5"/>
  <c r="G43" i="5"/>
  <c r="CT43" i="5"/>
  <c r="CT35" i="5"/>
  <c r="CT19" i="5"/>
  <c r="CT11" i="5"/>
  <c r="G98" i="5"/>
  <c r="CT98" i="5"/>
  <c r="CT74" i="5"/>
  <c r="G74" i="5"/>
  <c r="CT66" i="5"/>
  <c r="G66" i="5"/>
  <c r="CT50" i="5"/>
  <c r="CT42" i="5"/>
  <c r="G42" i="5"/>
  <c r="CT34" i="5"/>
  <c r="CT26" i="5"/>
  <c r="CT10" i="5"/>
  <c r="G97" i="5"/>
  <c r="CT73" i="5"/>
  <c r="G73" i="5"/>
  <c r="CT57" i="5"/>
  <c r="G57" i="5"/>
  <c r="CT49" i="5"/>
  <c r="G49" i="5"/>
  <c r="CT33" i="5"/>
  <c r="G33" i="5"/>
  <c r="CT25" i="5"/>
  <c r="CT9" i="5"/>
  <c r="G9" i="5"/>
  <c r="CT102" i="5"/>
  <c r="G108" i="5"/>
  <c r="G96" i="5"/>
  <c r="CT96" i="5"/>
  <c r="CT72" i="5"/>
  <c r="G72" i="5"/>
  <c r="CT64" i="5"/>
  <c r="G64" i="5"/>
  <c r="CT56" i="5"/>
  <c r="G56" i="5"/>
  <c r="G48" i="5"/>
  <c r="CT48" i="5"/>
  <c r="CT40" i="5"/>
  <c r="G40" i="5"/>
  <c r="CT32" i="5"/>
  <c r="G32" i="5"/>
  <c r="CT24" i="5"/>
  <c r="G24" i="5"/>
  <c r="CT16" i="5"/>
  <c r="G16" i="5"/>
  <c r="CT8" i="5"/>
  <c r="G8" i="5"/>
  <c r="CT87" i="5"/>
  <c r="G87" i="5"/>
  <c r="CT79" i="5"/>
  <c r="CT71" i="5"/>
  <c r="G71" i="5"/>
  <c r="CT63" i="5"/>
  <c r="G63" i="5"/>
  <c r="CT55" i="5"/>
  <c r="G55" i="5"/>
  <c r="CT47" i="5"/>
  <c r="G47" i="5"/>
  <c r="CT39" i="5"/>
  <c r="G39" i="5"/>
  <c r="CT31" i="5"/>
  <c r="G31" i="5"/>
  <c r="CT15" i="5"/>
  <c r="G15" i="5"/>
  <c r="CT7" i="5"/>
  <c r="G7" i="5"/>
  <c r="CT101" i="5"/>
  <c r="G94" i="5"/>
  <c r="CT94" i="5"/>
  <c r="CT86" i="5"/>
  <c r="CT70" i="5"/>
  <c r="G70" i="5"/>
  <c r="CT62" i="5"/>
  <c r="G62" i="5"/>
  <c r="CT46" i="5"/>
  <c r="G46" i="5"/>
  <c r="CT30" i="5"/>
  <c r="G30" i="5"/>
  <c r="CT22" i="5"/>
  <c r="G22" i="5"/>
  <c r="CT14" i="5"/>
  <c r="G14" i="5"/>
  <c r="CT93" i="5"/>
  <c r="CT6" i="5"/>
  <c r="CV6" i="5"/>
  <c r="CT115" i="5" l="1"/>
  <c r="G27" i="5"/>
  <c r="CW27" i="5" s="1"/>
  <c r="G83" i="5"/>
  <c r="CW83" i="5" s="1"/>
  <c r="CT27" i="5"/>
  <c r="CT83" i="5"/>
  <c r="CT113" i="5"/>
  <c r="CT189" i="5"/>
  <c r="G115" i="5"/>
  <c r="J115" i="5" s="1"/>
  <c r="J159" i="5"/>
  <c r="M159" i="5" s="1"/>
  <c r="P159" i="5" s="1"/>
  <c r="S159" i="5" s="1"/>
  <c r="V159" i="5" s="1"/>
  <c r="Y159" i="5" s="1"/>
  <c r="AB159" i="5" s="1"/>
  <c r="AE159" i="5" s="1"/>
  <c r="AH159" i="5" s="1"/>
  <c r="DF159" i="5" s="1"/>
  <c r="G58" i="5"/>
  <c r="CW58" i="5" s="1"/>
  <c r="CT58" i="5"/>
  <c r="G86" i="5"/>
  <c r="CW86" i="5" s="1"/>
  <c r="G23" i="5"/>
  <c r="CW23" i="5" s="1"/>
  <c r="G25" i="5"/>
  <c r="CW25" i="5" s="1"/>
  <c r="G113" i="5"/>
  <c r="J113" i="5" s="1"/>
  <c r="G81" i="5"/>
  <c r="CW81" i="5" s="1"/>
  <c r="CT81" i="5"/>
  <c r="G114" i="5"/>
  <c r="J114" i="5" s="1"/>
  <c r="CT114" i="5"/>
  <c r="G67" i="5"/>
  <c r="J67" i="5" s="1"/>
  <c r="G77" i="5"/>
  <c r="CW77" i="5" s="1"/>
  <c r="G112" i="5"/>
  <c r="CT67" i="5"/>
  <c r="CT77" i="5"/>
  <c r="CT103" i="5"/>
  <c r="G54" i="5"/>
  <c r="CW54" i="5" s="1"/>
  <c r="CT23" i="5"/>
  <c r="CT145" i="5"/>
  <c r="G145" i="5"/>
  <c r="J145" i="5" s="1"/>
  <c r="CT200" i="5"/>
  <c r="G75" i="5"/>
  <c r="CW75" i="5" s="1"/>
  <c r="G82" i="5"/>
  <c r="J82" i="5" s="1"/>
  <c r="G92" i="5"/>
  <c r="J92" i="5" s="1"/>
  <c r="CT136" i="5"/>
  <c r="CT139" i="5"/>
  <c r="CT54" i="5"/>
  <c r="CT92" i="5"/>
  <c r="G20" i="5"/>
  <c r="CW20" i="5" s="1"/>
  <c r="G60" i="5"/>
  <c r="J60" i="5" s="1"/>
  <c r="G139" i="5"/>
  <c r="J139" i="5" s="1"/>
  <c r="G41" i="5"/>
  <c r="CW41" i="5" s="1"/>
  <c r="CT20" i="5"/>
  <c r="CT60" i="5"/>
  <c r="CT149" i="5"/>
  <c r="CT118" i="5"/>
  <c r="G118" i="5"/>
  <c r="G80" i="5"/>
  <c r="CW80" i="5" s="1"/>
  <c r="CT130" i="5"/>
  <c r="G158" i="5"/>
  <c r="J158" i="5" s="1"/>
  <c r="M158" i="5" s="1"/>
  <c r="P158" i="5" s="1"/>
  <c r="S158" i="5" s="1"/>
  <c r="V158" i="5" s="1"/>
  <c r="Y158" i="5" s="1"/>
  <c r="AB158" i="5" s="1"/>
  <c r="DD158" i="5" s="1"/>
  <c r="CT88" i="5"/>
  <c r="G88" i="5"/>
  <c r="J88" i="5" s="1"/>
  <c r="G130" i="5"/>
  <c r="J130" i="5" s="1"/>
  <c r="CX130" i="5" s="1"/>
  <c r="G78" i="5"/>
  <c r="CW78" i="5" s="1"/>
  <c r="G191" i="5"/>
  <c r="J191" i="5" s="1"/>
  <c r="CW134" i="5"/>
  <c r="CT196" i="5"/>
  <c r="CT158" i="5"/>
  <c r="CT191" i="5"/>
  <c r="CT78" i="5"/>
  <c r="CT80" i="5"/>
  <c r="CT82" i="5"/>
  <c r="CT75" i="5"/>
  <c r="G136" i="5"/>
  <c r="CW136" i="5" s="1"/>
  <c r="G164" i="5"/>
  <c r="J164" i="5" s="1"/>
  <c r="M164" i="5" s="1"/>
  <c r="P164" i="5" s="1"/>
  <c r="S164" i="5" s="1"/>
  <c r="V164" i="5" s="1"/>
  <c r="Y164" i="5" s="1"/>
  <c r="AB164" i="5" s="1"/>
  <c r="AE164" i="5" s="1"/>
  <c r="AH164" i="5" s="1"/>
  <c r="DF164" i="5" s="1"/>
  <c r="G69" i="5"/>
  <c r="J69" i="5" s="1"/>
  <c r="CT146" i="5"/>
  <c r="G156" i="5"/>
  <c r="J156" i="5" s="1"/>
  <c r="M156" i="5" s="1"/>
  <c r="P156" i="5" s="1"/>
  <c r="S156" i="5" s="1"/>
  <c r="V156" i="5" s="1"/>
  <c r="Y156" i="5" s="1"/>
  <c r="AB156" i="5" s="1"/>
  <c r="AE156" i="5" s="1"/>
  <c r="AH156" i="5" s="1"/>
  <c r="DF156" i="5" s="1"/>
  <c r="G18" i="5"/>
  <c r="J18" i="5" s="1"/>
  <c r="G52" i="5"/>
  <c r="CW52" i="5" s="1"/>
  <c r="G84" i="5"/>
  <c r="J84" i="5" s="1"/>
  <c r="CT69" i="5"/>
  <c r="G160" i="5"/>
  <c r="CW160" i="5" s="1"/>
  <c r="G198" i="5"/>
  <c r="J198" i="5" s="1"/>
  <c r="CX198" i="5" s="1"/>
  <c r="CT109" i="5"/>
  <c r="CT95" i="5"/>
  <c r="CT18" i="5"/>
  <c r="CT52" i="5"/>
  <c r="CT84" i="5"/>
  <c r="G146" i="5"/>
  <c r="CW146" i="5" s="1"/>
  <c r="G95" i="5"/>
  <c r="J95" i="5" s="1"/>
  <c r="CT135" i="5"/>
  <c r="CT190" i="5"/>
  <c r="G188" i="5"/>
  <c r="CW188" i="5" s="1"/>
  <c r="G38" i="5"/>
  <c r="J38" i="5" s="1"/>
  <c r="CT144" i="5"/>
  <c r="G135" i="5"/>
  <c r="J135" i="5" s="1"/>
  <c r="CT156" i="5"/>
  <c r="G190" i="5"/>
  <c r="J190" i="5" s="1"/>
  <c r="G196" i="5"/>
  <c r="J196" i="5" s="1"/>
  <c r="M196" i="5" s="1"/>
  <c r="CT38" i="5"/>
  <c r="CT89" i="5"/>
  <c r="CT41" i="5"/>
  <c r="CT155" i="5"/>
  <c r="CT188" i="5"/>
  <c r="G89" i="5"/>
  <c r="CW89" i="5" s="1"/>
  <c r="G189" i="5"/>
  <c r="J189" i="5" s="1"/>
  <c r="CX189" i="5" s="1"/>
  <c r="G65" i="5"/>
  <c r="J65" i="5" s="1"/>
  <c r="CT65" i="5"/>
  <c r="G199" i="5"/>
  <c r="J199" i="5" s="1"/>
  <c r="G144" i="5"/>
  <c r="G152" i="5"/>
  <c r="CT166" i="5"/>
  <c r="CV166" i="5"/>
  <c r="CT104" i="5"/>
  <c r="CT195" i="5"/>
  <c r="G104" i="5"/>
  <c r="J104" i="5" s="1"/>
  <c r="CX104" i="5" s="1"/>
  <c r="G155" i="5"/>
  <c r="G17" i="5"/>
  <c r="J17" i="5" s="1"/>
  <c r="CT153" i="5"/>
  <c r="CT17" i="5"/>
  <c r="G153" i="5"/>
  <c r="J153" i="5" s="1"/>
  <c r="CT164" i="5"/>
  <c r="CT199" i="5"/>
  <c r="CT110" i="5"/>
  <c r="G107" i="5"/>
  <c r="J107" i="5" s="1"/>
  <c r="CT107" i="5"/>
  <c r="G195" i="5"/>
  <c r="CW195" i="5" s="1"/>
  <c r="J93" i="5"/>
  <c r="M93" i="5" s="1"/>
  <c r="CW101" i="5"/>
  <c r="CW194" i="5"/>
  <c r="J154" i="5"/>
  <c r="M154" i="5" s="1"/>
  <c r="P154" i="5" s="1"/>
  <c r="CZ154" i="5" s="1"/>
  <c r="J101" i="5"/>
  <c r="CW202" i="5"/>
  <c r="CW93" i="5"/>
  <c r="CW106" i="5"/>
  <c r="J165" i="5"/>
  <c r="M165" i="5" s="1"/>
  <c r="P165" i="5" s="1"/>
  <c r="S165" i="5" s="1"/>
  <c r="V165" i="5" s="1"/>
  <c r="Y165" i="5" s="1"/>
  <c r="AB165" i="5" s="1"/>
  <c r="DD165" i="5" s="1"/>
  <c r="CW150" i="5"/>
  <c r="CW157" i="5"/>
  <c r="G10" i="5"/>
  <c r="G26" i="5"/>
  <c r="G19" i="5"/>
  <c r="G35" i="5"/>
  <c r="G51" i="5"/>
  <c r="CW192" i="5"/>
  <c r="CW117" i="5"/>
  <c r="G99" i="5"/>
  <c r="G79" i="5"/>
  <c r="G34" i="5"/>
  <c r="G50" i="5"/>
  <c r="G11" i="5"/>
  <c r="G102" i="5"/>
  <c r="G193" i="5"/>
  <c r="G6" i="5"/>
  <c r="G90" i="5"/>
  <c r="AE157" i="5"/>
  <c r="AH157" i="5" s="1"/>
  <c r="DF157" i="5" s="1"/>
  <c r="DF202" i="5"/>
  <c r="CZ202" i="5"/>
  <c r="DJ202" i="5"/>
  <c r="DL202" i="5"/>
  <c r="DA202" i="5"/>
  <c r="DI202" i="5"/>
  <c r="CY202" i="5"/>
  <c r="CX157" i="5"/>
  <c r="DN202" i="5"/>
  <c r="DG202" i="5"/>
  <c r="DR202" i="5"/>
  <c r="DP202" i="5"/>
  <c r="DC202" i="5"/>
  <c r="DT202" i="5"/>
  <c r="DE202" i="5"/>
  <c r="DH202" i="5"/>
  <c r="DV202" i="5"/>
  <c r="DO202" i="5"/>
  <c r="DK202" i="5"/>
  <c r="CP202" i="5"/>
  <c r="CS202" i="5" s="1"/>
  <c r="DM202" i="5"/>
  <c r="CX202" i="5"/>
  <c r="DW202" i="5"/>
  <c r="DQ202" i="5"/>
  <c r="DB202" i="5"/>
  <c r="DS202" i="5"/>
  <c r="DD202" i="5"/>
  <c r="DB157" i="5"/>
  <c r="DC157" i="5"/>
  <c r="CZ157" i="5"/>
  <c r="DU202" i="5"/>
  <c r="CY157" i="5"/>
  <c r="DD157" i="5"/>
  <c r="DA157" i="5"/>
  <c r="DX202" i="5"/>
  <c r="CW15" i="5"/>
  <c r="J15" i="5"/>
  <c r="CW47" i="5"/>
  <c r="J47" i="5"/>
  <c r="CW16" i="5"/>
  <c r="J16" i="5"/>
  <c r="CW49" i="5"/>
  <c r="J49" i="5"/>
  <c r="CW59" i="5"/>
  <c r="J59" i="5"/>
  <c r="CW5" i="5"/>
  <c r="J5" i="5"/>
  <c r="CW37" i="5"/>
  <c r="J37" i="5"/>
  <c r="M106" i="5"/>
  <c r="CX106" i="5"/>
  <c r="J131" i="5"/>
  <c r="CW131" i="5"/>
  <c r="J200" i="5"/>
  <c r="CW200" i="5"/>
  <c r="J91" i="5"/>
  <c r="CW91" i="5"/>
  <c r="J127" i="5"/>
  <c r="CW127" i="5"/>
  <c r="CW48" i="5"/>
  <c r="J48" i="5"/>
  <c r="CW55" i="5"/>
  <c r="J55" i="5"/>
  <c r="CW87" i="5"/>
  <c r="J87" i="5"/>
  <c r="CW24" i="5"/>
  <c r="J24" i="5"/>
  <c r="CW56" i="5"/>
  <c r="J56" i="5"/>
  <c r="CW57" i="5"/>
  <c r="J57" i="5"/>
  <c r="CW66" i="5"/>
  <c r="J66" i="5"/>
  <c r="CW13" i="5"/>
  <c r="J13" i="5"/>
  <c r="CW45" i="5"/>
  <c r="J45" i="5"/>
  <c r="M134" i="5"/>
  <c r="CX134" i="5"/>
  <c r="J167" i="5"/>
  <c r="CW167" i="5"/>
  <c r="CW22" i="5"/>
  <c r="J22" i="5"/>
  <c r="CW62" i="5"/>
  <c r="J62" i="5"/>
  <c r="J98" i="5"/>
  <c r="CW98" i="5"/>
  <c r="CW28" i="5"/>
  <c r="J28" i="5"/>
  <c r="J132" i="5"/>
  <c r="CW132" i="5"/>
  <c r="M194" i="5"/>
  <c r="CX194" i="5"/>
  <c r="CW30" i="5"/>
  <c r="J30" i="5"/>
  <c r="J94" i="5"/>
  <c r="CW94" i="5"/>
  <c r="CW31" i="5"/>
  <c r="J31" i="5"/>
  <c r="CW63" i="5"/>
  <c r="J63" i="5"/>
  <c r="CW32" i="5"/>
  <c r="J32" i="5"/>
  <c r="CW64" i="5"/>
  <c r="J64" i="5"/>
  <c r="CW33" i="5"/>
  <c r="J33" i="5"/>
  <c r="CW42" i="5"/>
  <c r="J42" i="5"/>
  <c r="CW74" i="5"/>
  <c r="J74" i="5"/>
  <c r="CW21" i="5"/>
  <c r="J21" i="5"/>
  <c r="CW53" i="5"/>
  <c r="J53" i="5"/>
  <c r="CW85" i="5"/>
  <c r="J85" i="5"/>
  <c r="J147" i="5"/>
  <c r="CW147" i="5"/>
  <c r="J96" i="5"/>
  <c r="CW96" i="5"/>
  <c r="J97" i="5"/>
  <c r="CW97" i="5"/>
  <c r="CW43" i="5"/>
  <c r="J43" i="5"/>
  <c r="CW4" i="5"/>
  <c r="J4" i="5"/>
  <c r="CW36" i="5"/>
  <c r="J36" i="5"/>
  <c r="M117" i="5"/>
  <c r="CX117" i="5"/>
  <c r="J149" i="5"/>
  <c r="CW149" i="5"/>
  <c r="J111" i="5"/>
  <c r="CW111" i="5"/>
  <c r="J129" i="5"/>
  <c r="CW129" i="5"/>
  <c r="J197" i="5"/>
  <c r="CW197" i="5"/>
  <c r="CW70" i="5"/>
  <c r="J70" i="5"/>
  <c r="CW7" i="5"/>
  <c r="J7" i="5"/>
  <c r="CW39" i="5"/>
  <c r="J39" i="5"/>
  <c r="CW71" i="5"/>
  <c r="J71" i="5"/>
  <c r="CW8" i="5"/>
  <c r="J8" i="5"/>
  <c r="CW40" i="5"/>
  <c r="J40" i="5"/>
  <c r="CW72" i="5"/>
  <c r="J72" i="5"/>
  <c r="CW108" i="5"/>
  <c r="J108" i="5"/>
  <c r="CW9" i="5"/>
  <c r="J9" i="5"/>
  <c r="CW73" i="5"/>
  <c r="J73" i="5"/>
  <c r="CW68" i="5"/>
  <c r="J68" i="5"/>
  <c r="J100" i="5"/>
  <c r="CW100" i="5"/>
  <c r="CW29" i="5"/>
  <c r="J29" i="5"/>
  <c r="CW61" i="5"/>
  <c r="J61" i="5"/>
  <c r="M150" i="5"/>
  <c r="CX150" i="5"/>
  <c r="J120" i="5"/>
  <c r="CW120" i="5"/>
  <c r="J173" i="5"/>
  <c r="CW173" i="5"/>
  <c r="CW14" i="5"/>
  <c r="J14" i="5"/>
  <c r="CW46" i="5"/>
  <c r="J46" i="5"/>
  <c r="CW12" i="5"/>
  <c r="J12" i="5"/>
  <c r="CW44" i="5"/>
  <c r="J44" i="5"/>
  <c r="CW76" i="5"/>
  <c r="J76" i="5"/>
  <c r="J116" i="5"/>
  <c r="CW116" i="5"/>
  <c r="J148" i="5"/>
  <c r="CW148" i="5"/>
  <c r="J119" i="5"/>
  <c r="CW119" i="5"/>
  <c r="J151" i="5"/>
  <c r="CW151" i="5"/>
  <c r="M192" i="5"/>
  <c r="CX192" i="5"/>
  <c r="EA202" i="5" l="1"/>
  <c r="G202" i="1"/>
  <c r="CW88" i="5"/>
  <c r="J83" i="5"/>
  <c r="CX83" i="5" s="1"/>
  <c r="J27" i="5"/>
  <c r="M27" i="5" s="1"/>
  <c r="J58" i="5"/>
  <c r="M58" i="5" s="1"/>
  <c r="CX159" i="5"/>
  <c r="DB159" i="5"/>
  <c r="CY159" i="5"/>
  <c r="CZ159" i="5"/>
  <c r="DA159" i="5"/>
  <c r="CW92" i="5"/>
  <c r="CX158" i="5"/>
  <c r="CZ158" i="5"/>
  <c r="CW69" i="5"/>
  <c r="M198" i="5"/>
  <c r="P198" i="5" s="1"/>
  <c r="CY158" i="5"/>
  <c r="DC158" i="5"/>
  <c r="J41" i="5"/>
  <c r="CX41" i="5" s="1"/>
  <c r="DD159" i="5"/>
  <c r="DC159" i="5"/>
  <c r="CW158" i="5"/>
  <c r="DB158" i="5"/>
  <c r="AE158" i="5"/>
  <c r="AH158" i="5" s="1"/>
  <c r="DF158" i="5" s="1"/>
  <c r="DA158" i="5"/>
  <c r="CW65" i="5"/>
  <c r="J23" i="5"/>
  <c r="CX23" i="5" s="1"/>
  <c r="CW114" i="5"/>
  <c r="CW145" i="5"/>
  <c r="CW67" i="5"/>
  <c r="CW17" i="5"/>
  <c r="J86" i="5"/>
  <c r="M86" i="5" s="1"/>
  <c r="J160" i="5"/>
  <c r="M160" i="5" s="1"/>
  <c r="P160" i="5" s="1"/>
  <c r="S160" i="5" s="1"/>
  <c r="V160" i="5" s="1"/>
  <c r="Y160" i="5" s="1"/>
  <c r="AB160" i="5" s="1"/>
  <c r="DD160" i="5" s="1"/>
  <c r="J77" i="5"/>
  <c r="CX77" i="5" s="1"/>
  <c r="CY164" i="5"/>
  <c r="CW115" i="5"/>
  <c r="J81" i="5"/>
  <c r="CX81" i="5" s="1"/>
  <c r="CW113" i="5"/>
  <c r="CW60" i="5"/>
  <c r="CW130" i="5"/>
  <c r="J25" i="5"/>
  <c r="CX25" i="5" s="1"/>
  <c r="J20" i="5"/>
  <c r="CX20" i="5" s="1"/>
  <c r="DC156" i="5"/>
  <c r="J112" i="5"/>
  <c r="CW112" i="5"/>
  <c r="DD156" i="5"/>
  <c r="J54" i="5"/>
  <c r="M54" i="5" s="1"/>
  <c r="J136" i="5"/>
  <c r="M136" i="5" s="1"/>
  <c r="CW82" i="5"/>
  <c r="DD164" i="5"/>
  <c r="M189" i="5"/>
  <c r="CY189" i="5" s="1"/>
  <c r="CW95" i="5"/>
  <c r="J75" i="5"/>
  <c r="CX75" i="5" s="1"/>
  <c r="J80" i="5"/>
  <c r="CX80" i="5" s="1"/>
  <c r="DC164" i="5"/>
  <c r="CW139" i="5"/>
  <c r="CZ164" i="5"/>
  <c r="CW164" i="5"/>
  <c r="J118" i="5"/>
  <c r="CW118" i="5"/>
  <c r="DA164" i="5"/>
  <c r="DB164" i="5"/>
  <c r="J146" i="5"/>
  <c r="CX146" i="5" s="1"/>
  <c r="CW190" i="5"/>
  <c r="CX164" i="5"/>
  <c r="CW189" i="5"/>
  <c r="CW18" i="5"/>
  <c r="M130" i="5"/>
  <c r="CY130" i="5" s="1"/>
  <c r="CW38" i="5"/>
  <c r="CY156" i="5"/>
  <c r="J188" i="5"/>
  <c r="M188" i="5" s="1"/>
  <c r="P188" i="5" s="1"/>
  <c r="CW199" i="5"/>
  <c r="CX156" i="5"/>
  <c r="CW156" i="5"/>
  <c r="CW107" i="5"/>
  <c r="DB156" i="5"/>
  <c r="DA156" i="5"/>
  <c r="CZ156" i="5"/>
  <c r="J89" i="5"/>
  <c r="M89" i="5" s="1"/>
  <c r="P89" i="5" s="1"/>
  <c r="CW84" i="5"/>
  <c r="J52" i="5"/>
  <c r="CX52" i="5" s="1"/>
  <c r="J78" i="5"/>
  <c r="CX78" i="5" s="1"/>
  <c r="CW196" i="5"/>
  <c r="CW135" i="5"/>
  <c r="CW191" i="5"/>
  <c r="J195" i="5"/>
  <c r="CX195" i="5" s="1"/>
  <c r="CX196" i="5"/>
  <c r="CW104" i="5"/>
  <c r="M104" i="5"/>
  <c r="CY104" i="5" s="1"/>
  <c r="CW198" i="5"/>
  <c r="CW153" i="5"/>
  <c r="J152" i="5"/>
  <c r="CW152" i="5"/>
  <c r="J144" i="5"/>
  <c r="CW144" i="5"/>
  <c r="J155" i="5"/>
  <c r="CW155" i="5"/>
  <c r="CX93" i="5"/>
  <c r="CW51" i="5"/>
  <c r="J11" i="5"/>
  <c r="CX11" i="5" s="1"/>
  <c r="J35" i="5"/>
  <c r="CX35" i="5" s="1"/>
  <c r="CW50" i="5"/>
  <c r="CW19" i="5"/>
  <c r="CW34" i="5"/>
  <c r="J26" i="5"/>
  <c r="CX26" i="5" s="1"/>
  <c r="M101" i="5"/>
  <c r="CW79" i="5"/>
  <c r="CW10" i="5"/>
  <c r="CW99" i="5"/>
  <c r="S154" i="5"/>
  <c r="V154" i="5" s="1"/>
  <c r="CY154" i="5"/>
  <c r="CX154" i="5"/>
  <c r="CX165" i="5"/>
  <c r="CW26" i="5"/>
  <c r="CX101" i="5"/>
  <c r="DA165" i="5"/>
  <c r="DC165" i="5"/>
  <c r="AE165" i="5"/>
  <c r="AH165" i="5" s="1"/>
  <c r="DF165" i="5" s="1"/>
  <c r="CZ165" i="5"/>
  <c r="J34" i="5"/>
  <c r="CY165" i="5"/>
  <c r="DB165" i="5"/>
  <c r="J50" i="5"/>
  <c r="J79" i="5"/>
  <c r="J19" i="5"/>
  <c r="CW11" i="5"/>
  <c r="CW35" i="5"/>
  <c r="J99" i="5"/>
  <c r="J10" i="5"/>
  <c r="J51" i="5"/>
  <c r="J90" i="5"/>
  <c r="CW90" i="5"/>
  <c r="J6" i="5"/>
  <c r="CW6" i="5"/>
  <c r="J193" i="5"/>
  <c r="CW193" i="5"/>
  <c r="J102" i="5"/>
  <c r="CW102" i="5"/>
  <c r="DE159" i="5"/>
  <c r="DE157" i="5"/>
  <c r="DE156" i="5"/>
  <c r="DE164" i="5"/>
  <c r="AK159" i="5"/>
  <c r="AK164" i="5"/>
  <c r="AK157" i="5"/>
  <c r="AK156" i="5"/>
  <c r="DZ202" i="5"/>
  <c r="CX44" i="5"/>
  <c r="M44" i="5"/>
  <c r="CX46" i="5"/>
  <c r="M46" i="5"/>
  <c r="CX68" i="5"/>
  <c r="M68" i="5"/>
  <c r="CX82" i="5"/>
  <c r="M82" i="5"/>
  <c r="CX9" i="5"/>
  <c r="M9" i="5"/>
  <c r="CX8" i="5"/>
  <c r="M8" i="5"/>
  <c r="CX43" i="5"/>
  <c r="M43" i="5"/>
  <c r="CX85" i="5"/>
  <c r="M85" i="5"/>
  <c r="CX32" i="5"/>
  <c r="M32" i="5"/>
  <c r="CX30" i="5"/>
  <c r="M30" i="5"/>
  <c r="CX62" i="5"/>
  <c r="M62" i="5"/>
  <c r="CX13" i="5"/>
  <c r="M13" i="5"/>
  <c r="CX24" i="5"/>
  <c r="M24" i="5"/>
  <c r="CX59" i="5"/>
  <c r="M59" i="5"/>
  <c r="CX16" i="5"/>
  <c r="M16" i="5"/>
  <c r="M148" i="5"/>
  <c r="CX148" i="5"/>
  <c r="M129" i="5"/>
  <c r="CX129" i="5"/>
  <c r="P117" i="5"/>
  <c r="CY117" i="5"/>
  <c r="CX107" i="5"/>
  <c r="M107" i="5"/>
  <c r="P194" i="5"/>
  <c r="CY194" i="5"/>
  <c r="M91" i="5"/>
  <c r="CX91" i="5"/>
  <c r="M131" i="5"/>
  <c r="CX131" i="5"/>
  <c r="CY106" i="5"/>
  <c r="P106" i="5"/>
  <c r="CX12" i="5"/>
  <c r="M12" i="5"/>
  <c r="CX14" i="5"/>
  <c r="M14" i="5"/>
  <c r="CX61" i="5"/>
  <c r="M61" i="5"/>
  <c r="CX108" i="5"/>
  <c r="M108" i="5"/>
  <c r="CX71" i="5"/>
  <c r="M71" i="5"/>
  <c r="CX70" i="5"/>
  <c r="M70" i="5"/>
  <c r="CX38" i="5"/>
  <c r="M38" i="5"/>
  <c r="CX53" i="5"/>
  <c r="M53" i="5"/>
  <c r="CX65" i="5"/>
  <c r="M65" i="5"/>
  <c r="CX63" i="5"/>
  <c r="M63" i="5"/>
  <c r="CX60" i="5"/>
  <c r="M60" i="5"/>
  <c r="CX22" i="5"/>
  <c r="M22" i="5"/>
  <c r="CX67" i="5"/>
  <c r="M67" i="5"/>
  <c r="CX57" i="5"/>
  <c r="M57" i="5"/>
  <c r="CX87" i="5"/>
  <c r="M87" i="5"/>
  <c r="CX48" i="5"/>
  <c r="M48" i="5"/>
  <c r="CX84" i="5"/>
  <c r="M84" i="5"/>
  <c r="CX69" i="5"/>
  <c r="M69" i="5"/>
  <c r="CX49" i="5"/>
  <c r="M49" i="5"/>
  <c r="M191" i="5"/>
  <c r="CX191" i="5"/>
  <c r="M151" i="5"/>
  <c r="CX151" i="5"/>
  <c r="M116" i="5"/>
  <c r="CX116" i="5"/>
  <c r="M120" i="5"/>
  <c r="CX120" i="5"/>
  <c r="M97" i="5"/>
  <c r="CX97" i="5"/>
  <c r="M199" i="5"/>
  <c r="CX199" i="5"/>
  <c r="M135" i="5"/>
  <c r="CX135" i="5"/>
  <c r="M98" i="5"/>
  <c r="CX98" i="5"/>
  <c r="P134" i="5"/>
  <c r="CY134" i="5"/>
  <c r="M114" i="5"/>
  <c r="CX114" i="5"/>
  <c r="M127" i="5"/>
  <c r="CX127" i="5"/>
  <c r="M200" i="5"/>
  <c r="CX200" i="5"/>
  <c r="CX29" i="5"/>
  <c r="M29" i="5"/>
  <c r="CX18" i="5"/>
  <c r="M18" i="5"/>
  <c r="M72" i="5"/>
  <c r="CX72" i="5"/>
  <c r="CX39" i="5"/>
  <c r="M39" i="5"/>
  <c r="CX36" i="5"/>
  <c r="M36" i="5"/>
  <c r="CX21" i="5"/>
  <c r="M21" i="5"/>
  <c r="CX74" i="5"/>
  <c r="M74" i="5"/>
  <c r="CX33" i="5"/>
  <c r="M33" i="5"/>
  <c r="CX31" i="5"/>
  <c r="M31" i="5"/>
  <c r="CX28" i="5"/>
  <c r="M28" i="5"/>
  <c r="CX55" i="5"/>
  <c r="M55" i="5"/>
  <c r="CX37" i="5"/>
  <c r="M37" i="5"/>
  <c r="CX17" i="5"/>
  <c r="M17" i="5"/>
  <c r="CX47" i="5"/>
  <c r="M47" i="5"/>
  <c r="M119" i="5"/>
  <c r="CX119" i="5"/>
  <c r="P93" i="5"/>
  <c r="CY93" i="5"/>
  <c r="M190" i="5"/>
  <c r="CX190" i="5"/>
  <c r="P150" i="5"/>
  <c r="CY150" i="5"/>
  <c r="M111" i="5"/>
  <c r="CX111" i="5"/>
  <c r="M96" i="5"/>
  <c r="CX96" i="5"/>
  <c r="M147" i="5"/>
  <c r="CX147" i="5"/>
  <c r="M145" i="5"/>
  <c r="CX145" i="5"/>
  <c r="CX76" i="5"/>
  <c r="M76" i="5"/>
  <c r="CX73" i="5"/>
  <c r="M73" i="5"/>
  <c r="CX40" i="5"/>
  <c r="M40" i="5"/>
  <c r="CX7" i="5"/>
  <c r="M7" i="5"/>
  <c r="CX4" i="5"/>
  <c r="M4" i="5"/>
  <c r="CX42" i="5"/>
  <c r="M42" i="5"/>
  <c r="CX64" i="5"/>
  <c r="M64" i="5"/>
  <c r="CX45" i="5"/>
  <c r="M45" i="5"/>
  <c r="CX66" i="5"/>
  <c r="M66" i="5"/>
  <c r="CX56" i="5"/>
  <c r="M56" i="5"/>
  <c r="CX5" i="5"/>
  <c r="M5" i="5"/>
  <c r="CX15" i="5"/>
  <c r="M15" i="5"/>
  <c r="P192" i="5"/>
  <c r="CY192" i="5"/>
  <c r="M173" i="5"/>
  <c r="CX173" i="5"/>
  <c r="M100" i="5"/>
  <c r="CX100" i="5"/>
  <c r="M197" i="5"/>
  <c r="CX197" i="5"/>
  <c r="M149" i="5"/>
  <c r="CX149" i="5"/>
  <c r="M95" i="5"/>
  <c r="CX95" i="5"/>
  <c r="M115" i="5"/>
  <c r="CX115" i="5"/>
  <c r="M92" i="5"/>
  <c r="CX92" i="5"/>
  <c r="M94" i="5"/>
  <c r="CX94" i="5"/>
  <c r="P196" i="5"/>
  <c r="CY196" i="5"/>
  <c r="M153" i="5"/>
  <c r="CX153" i="5"/>
  <c r="M132" i="5"/>
  <c r="CX132" i="5"/>
  <c r="M88" i="5"/>
  <c r="CX88" i="5"/>
  <c r="M167" i="5"/>
  <c r="CX167" i="5"/>
  <c r="M139" i="5"/>
  <c r="CX139" i="5"/>
  <c r="M113" i="5"/>
  <c r="CX113" i="5"/>
  <c r="CX27" i="5" l="1"/>
  <c r="CX58" i="5"/>
  <c r="M83" i="5"/>
  <c r="CY83" i="5" s="1"/>
  <c r="DE158" i="5"/>
  <c r="CY198" i="5"/>
  <c r="CX86" i="5"/>
  <c r="AK158" i="5"/>
  <c r="DG158" i="5" s="1"/>
  <c r="M41" i="5"/>
  <c r="CY41" i="5" s="1"/>
  <c r="M23" i="5"/>
  <c r="CY23" i="5" s="1"/>
  <c r="DA160" i="5"/>
  <c r="CX160" i="5"/>
  <c r="P130" i="5"/>
  <c r="CZ130" i="5" s="1"/>
  <c r="P189" i="5"/>
  <c r="S189" i="5" s="1"/>
  <c r="M75" i="5"/>
  <c r="CY75" i="5" s="1"/>
  <c r="DC160" i="5"/>
  <c r="CY160" i="5"/>
  <c r="AE160" i="5"/>
  <c r="AH160" i="5" s="1"/>
  <c r="DF160" i="5" s="1"/>
  <c r="DB160" i="5"/>
  <c r="CZ160" i="5"/>
  <c r="M81" i="5"/>
  <c r="P81" i="5" s="1"/>
  <c r="M77" i="5"/>
  <c r="CY77" i="5" s="1"/>
  <c r="M195" i="5"/>
  <c r="P195" i="5" s="1"/>
  <c r="S195" i="5" s="1"/>
  <c r="CY188" i="5"/>
  <c r="CX54" i="5"/>
  <c r="M20" i="5"/>
  <c r="P20" i="5" s="1"/>
  <c r="M25" i="5"/>
  <c r="P25" i="5" s="1"/>
  <c r="M80" i="5"/>
  <c r="P80" i="5" s="1"/>
  <c r="CY89" i="5"/>
  <c r="CX136" i="5"/>
  <c r="M112" i="5"/>
  <c r="CX112" i="5"/>
  <c r="M146" i="5"/>
  <c r="P146" i="5" s="1"/>
  <c r="S146" i="5" s="1"/>
  <c r="M118" i="5"/>
  <c r="CX118" i="5"/>
  <c r="M52" i="5"/>
  <c r="P52" i="5" s="1"/>
  <c r="P104" i="5"/>
  <c r="S104" i="5" s="1"/>
  <c r="M78" i="5"/>
  <c r="P78" i="5" s="1"/>
  <c r="CX188" i="5"/>
  <c r="CX89" i="5"/>
  <c r="CX155" i="5"/>
  <c r="M155" i="5"/>
  <c r="CX144" i="5"/>
  <c r="M144" i="5"/>
  <c r="M152" i="5"/>
  <c r="CX152" i="5"/>
  <c r="M11" i="5"/>
  <c r="CY11" i="5" s="1"/>
  <c r="M35" i="5"/>
  <c r="CY35" i="5" s="1"/>
  <c r="M26" i="5"/>
  <c r="CY26" i="5" s="1"/>
  <c r="CX34" i="5"/>
  <c r="P101" i="5"/>
  <c r="CX19" i="5"/>
  <c r="CX79" i="5"/>
  <c r="CY101" i="5"/>
  <c r="CX51" i="5"/>
  <c r="M50" i="5"/>
  <c r="P50" i="5" s="1"/>
  <c r="CX10" i="5"/>
  <c r="M99" i="5"/>
  <c r="CY99" i="5" s="1"/>
  <c r="DA154" i="5"/>
  <c r="M79" i="5"/>
  <c r="AK165" i="5"/>
  <c r="AN165" i="5" s="1"/>
  <c r="M34" i="5"/>
  <c r="CX50" i="5"/>
  <c r="DE165" i="5"/>
  <c r="M19" i="5"/>
  <c r="CX99" i="5"/>
  <c r="M10" i="5"/>
  <c r="M51" i="5"/>
  <c r="M102" i="5"/>
  <c r="CX102" i="5"/>
  <c r="CX6" i="5"/>
  <c r="M6" i="5"/>
  <c r="M193" i="5"/>
  <c r="CX193" i="5"/>
  <c r="M90" i="5"/>
  <c r="CX90" i="5"/>
  <c r="AN157" i="5"/>
  <c r="DG157" i="5"/>
  <c r="AN159" i="5"/>
  <c r="DG159" i="5"/>
  <c r="AN156" i="5"/>
  <c r="DG156" i="5"/>
  <c r="AN164" i="5"/>
  <c r="DG164" i="5"/>
  <c r="CY15" i="5"/>
  <c r="P15" i="5"/>
  <c r="P113" i="5"/>
  <c r="CY113" i="5"/>
  <c r="P88" i="5"/>
  <c r="CY88" i="5"/>
  <c r="S196" i="5"/>
  <c r="CZ196" i="5"/>
  <c r="P115" i="5"/>
  <c r="CY115" i="5"/>
  <c r="S192" i="5"/>
  <c r="CZ192" i="5"/>
  <c r="S188" i="5"/>
  <c r="CZ188" i="5"/>
  <c r="S134" i="5"/>
  <c r="CZ134" i="5"/>
  <c r="Y154" i="5"/>
  <c r="DB154" i="5"/>
  <c r="P97" i="5"/>
  <c r="CY97" i="5"/>
  <c r="P120" i="5"/>
  <c r="CY120" i="5"/>
  <c r="CY191" i="5"/>
  <c r="P191" i="5"/>
  <c r="P91" i="5"/>
  <c r="CY91" i="5"/>
  <c r="P136" i="5"/>
  <c r="CY136" i="5"/>
  <c r="CY16" i="5"/>
  <c r="P16" i="5"/>
  <c r="CY86" i="5"/>
  <c r="P86" i="5"/>
  <c r="CY62" i="5"/>
  <c r="P62" i="5"/>
  <c r="CY68" i="5"/>
  <c r="P68" i="5"/>
  <c r="CY5" i="5"/>
  <c r="P5" i="5"/>
  <c r="P66" i="5"/>
  <c r="CY66" i="5"/>
  <c r="CY4" i="5"/>
  <c r="P4" i="5"/>
  <c r="CY47" i="5"/>
  <c r="P47" i="5"/>
  <c r="CY33" i="5"/>
  <c r="P33" i="5"/>
  <c r="CY84" i="5"/>
  <c r="P84" i="5"/>
  <c r="CY67" i="5"/>
  <c r="P67" i="5"/>
  <c r="CY65" i="5"/>
  <c r="P65" i="5"/>
  <c r="CY70" i="5"/>
  <c r="P70" i="5"/>
  <c r="CZ106" i="5"/>
  <c r="S106" i="5"/>
  <c r="S194" i="5"/>
  <c r="CZ194" i="5"/>
  <c r="S117" i="5"/>
  <c r="CZ117" i="5"/>
  <c r="P94" i="5"/>
  <c r="CY94" i="5"/>
  <c r="P197" i="5"/>
  <c r="CY197" i="5"/>
  <c r="P173" i="5"/>
  <c r="CY173" i="5"/>
  <c r="S198" i="5"/>
  <c r="CZ198" i="5"/>
  <c r="P96" i="5"/>
  <c r="CY96" i="5"/>
  <c r="P190" i="5"/>
  <c r="CY190" i="5"/>
  <c r="P127" i="5"/>
  <c r="CY127" i="5"/>
  <c r="P199" i="5"/>
  <c r="CY199" i="5"/>
  <c r="CY24" i="5"/>
  <c r="P24" i="5"/>
  <c r="CY8" i="5"/>
  <c r="P8" i="5"/>
  <c r="CY46" i="5"/>
  <c r="P46" i="5"/>
  <c r="CY17" i="5"/>
  <c r="P17" i="5"/>
  <c r="CY54" i="5"/>
  <c r="P54" i="5"/>
  <c r="CY74" i="5"/>
  <c r="P74" i="5"/>
  <c r="CY39" i="5"/>
  <c r="P39" i="5"/>
  <c r="CY29" i="5"/>
  <c r="P29" i="5"/>
  <c r="CY49" i="5"/>
  <c r="P49" i="5"/>
  <c r="CY48" i="5"/>
  <c r="P48" i="5"/>
  <c r="CY22" i="5"/>
  <c r="P22" i="5"/>
  <c r="P71" i="5"/>
  <c r="CY71" i="5"/>
  <c r="CY61" i="5"/>
  <c r="P61" i="5"/>
  <c r="P129" i="5"/>
  <c r="CY129" i="5"/>
  <c r="P148" i="5"/>
  <c r="CY148" i="5"/>
  <c r="P139" i="5"/>
  <c r="CY139" i="5"/>
  <c r="P132" i="5"/>
  <c r="CY132" i="5"/>
  <c r="P92" i="5"/>
  <c r="CY92" i="5"/>
  <c r="P95" i="5"/>
  <c r="CY95" i="5"/>
  <c r="P100" i="5"/>
  <c r="CY100" i="5"/>
  <c r="S89" i="5"/>
  <c r="CZ89" i="5"/>
  <c r="P111" i="5"/>
  <c r="CY111" i="5"/>
  <c r="S93" i="5"/>
  <c r="CZ93" i="5"/>
  <c r="P114" i="5"/>
  <c r="CY114" i="5"/>
  <c r="P98" i="5"/>
  <c r="CY98" i="5"/>
  <c r="P116" i="5"/>
  <c r="CY116" i="5"/>
  <c r="P131" i="5"/>
  <c r="CY131" i="5"/>
  <c r="CY59" i="5"/>
  <c r="P59" i="5"/>
  <c r="CY30" i="5"/>
  <c r="P30" i="5"/>
  <c r="CY85" i="5"/>
  <c r="P85" i="5"/>
  <c r="CY9" i="5"/>
  <c r="P9" i="5"/>
  <c r="CY44" i="5"/>
  <c r="P44" i="5"/>
  <c r="CY7" i="5"/>
  <c r="P7" i="5"/>
  <c r="CY64" i="5"/>
  <c r="P64" i="5"/>
  <c r="CY40" i="5"/>
  <c r="P40" i="5"/>
  <c r="CY76" i="5"/>
  <c r="P76" i="5"/>
  <c r="CY58" i="5"/>
  <c r="P58" i="5"/>
  <c r="P55" i="5"/>
  <c r="CY55" i="5"/>
  <c r="CY28" i="5"/>
  <c r="P28" i="5"/>
  <c r="CY21" i="5"/>
  <c r="P21" i="5"/>
  <c r="CY27" i="5"/>
  <c r="P27" i="5"/>
  <c r="P87" i="5"/>
  <c r="CY87" i="5"/>
  <c r="CY60" i="5"/>
  <c r="P60" i="5"/>
  <c r="CY53" i="5"/>
  <c r="P53" i="5"/>
  <c r="P108" i="5"/>
  <c r="CY108" i="5"/>
  <c r="CY14" i="5"/>
  <c r="P14" i="5"/>
  <c r="P167" i="5"/>
  <c r="CY167" i="5"/>
  <c r="P153" i="5"/>
  <c r="CY153" i="5"/>
  <c r="P149" i="5"/>
  <c r="CY149" i="5"/>
  <c r="P145" i="5"/>
  <c r="CY145" i="5"/>
  <c r="P147" i="5"/>
  <c r="CY147" i="5"/>
  <c r="S150" i="5"/>
  <c r="CZ150" i="5"/>
  <c r="P119" i="5"/>
  <c r="CY119" i="5"/>
  <c r="CY72" i="5"/>
  <c r="P72" i="5"/>
  <c r="P200" i="5"/>
  <c r="CY200" i="5"/>
  <c r="P135" i="5"/>
  <c r="CY135" i="5"/>
  <c r="P151" i="5"/>
  <c r="CY151" i="5"/>
  <c r="CY107" i="5"/>
  <c r="P107" i="5"/>
  <c r="CY13" i="5"/>
  <c r="P13" i="5"/>
  <c r="CY32" i="5"/>
  <c r="P32" i="5"/>
  <c r="CY43" i="5"/>
  <c r="P43" i="5"/>
  <c r="CY82" i="5"/>
  <c r="P82" i="5"/>
  <c r="CY45" i="5"/>
  <c r="P45" i="5"/>
  <c r="CY56" i="5"/>
  <c r="P56" i="5"/>
  <c r="CY42" i="5"/>
  <c r="P42" i="5"/>
  <c r="CY73" i="5"/>
  <c r="P73" i="5"/>
  <c r="CY37" i="5"/>
  <c r="P37" i="5"/>
  <c r="CY31" i="5"/>
  <c r="P31" i="5"/>
  <c r="CY36" i="5"/>
  <c r="P36" i="5"/>
  <c r="CY18" i="5"/>
  <c r="P18" i="5"/>
  <c r="CY69" i="5"/>
  <c r="P69" i="5"/>
  <c r="CY57" i="5"/>
  <c r="P57" i="5"/>
  <c r="CY63" i="5"/>
  <c r="P63" i="5"/>
  <c r="CY38" i="5"/>
  <c r="P38" i="5"/>
  <c r="CY12" i="5"/>
  <c r="P12" i="5"/>
  <c r="P83" i="5" l="1"/>
  <c r="S83" i="5" s="1"/>
  <c r="P41" i="5"/>
  <c r="S41" i="5" s="1"/>
  <c r="P23" i="5"/>
  <c r="CZ23" i="5" s="1"/>
  <c r="CZ189" i="5"/>
  <c r="AN158" i="5"/>
  <c r="AQ158" i="5" s="1"/>
  <c r="S130" i="5"/>
  <c r="DA130" i="5" s="1"/>
  <c r="P75" i="5"/>
  <c r="CZ75" i="5" s="1"/>
  <c r="AK160" i="5"/>
  <c r="DG160" i="5" s="1"/>
  <c r="CY20" i="5"/>
  <c r="DE160" i="5"/>
  <c r="CY81" i="5"/>
  <c r="P77" i="5"/>
  <c r="CZ77" i="5" s="1"/>
  <c r="CZ195" i="5"/>
  <c r="CY195" i="5"/>
  <c r="CY25" i="5"/>
  <c r="CY80" i="5"/>
  <c r="CY52" i="5"/>
  <c r="CZ146" i="5"/>
  <c r="CZ104" i="5"/>
  <c r="CY146" i="5"/>
  <c r="P112" i="5"/>
  <c r="CY112" i="5"/>
  <c r="CY78" i="5"/>
  <c r="CY118" i="5"/>
  <c r="P118" i="5"/>
  <c r="CY152" i="5"/>
  <c r="P152" i="5"/>
  <c r="P144" i="5"/>
  <c r="CY144" i="5"/>
  <c r="P155" i="5"/>
  <c r="CY155" i="5"/>
  <c r="P26" i="5"/>
  <c r="S26" i="5" s="1"/>
  <c r="P11" i="5"/>
  <c r="S11" i="5" s="1"/>
  <c r="P35" i="5"/>
  <c r="S35" i="5" s="1"/>
  <c r="CY50" i="5"/>
  <c r="S101" i="5"/>
  <c r="CZ101" i="5"/>
  <c r="P99" i="5"/>
  <c r="S99" i="5" s="1"/>
  <c r="CY34" i="5"/>
  <c r="P51" i="5"/>
  <c r="CZ51" i="5" s="1"/>
  <c r="CY79" i="5"/>
  <c r="CY10" i="5"/>
  <c r="CY19" i="5"/>
  <c r="P79" i="5"/>
  <c r="P34" i="5"/>
  <c r="DG165" i="5"/>
  <c r="P19" i="5"/>
  <c r="CY51" i="5"/>
  <c r="P10" i="5"/>
  <c r="CY6" i="5"/>
  <c r="P6" i="5"/>
  <c r="P90" i="5"/>
  <c r="CY90" i="5"/>
  <c r="P193" i="5"/>
  <c r="CY193" i="5"/>
  <c r="P102" i="5"/>
  <c r="CY102" i="5"/>
  <c r="AQ165" i="5"/>
  <c r="DH165" i="5"/>
  <c r="AQ164" i="5"/>
  <c r="DH164" i="5"/>
  <c r="AQ156" i="5"/>
  <c r="DH156" i="5"/>
  <c r="AQ157" i="5"/>
  <c r="DH157" i="5"/>
  <c r="AQ159" i="5"/>
  <c r="DH159" i="5"/>
  <c r="CZ56" i="5"/>
  <c r="S56" i="5"/>
  <c r="DA104" i="5"/>
  <c r="V104" i="5"/>
  <c r="CZ57" i="5"/>
  <c r="S57" i="5"/>
  <c r="S200" i="5"/>
  <c r="CZ200" i="5"/>
  <c r="S147" i="5"/>
  <c r="CZ147" i="5"/>
  <c r="S153" i="5"/>
  <c r="CZ153" i="5"/>
  <c r="V146" i="5"/>
  <c r="DA146" i="5"/>
  <c r="V93" i="5"/>
  <c r="DA93" i="5"/>
  <c r="S92" i="5"/>
  <c r="CZ92" i="5"/>
  <c r="CZ49" i="5"/>
  <c r="S49" i="5"/>
  <c r="CZ46" i="5"/>
  <c r="S46" i="5"/>
  <c r="CZ24" i="5"/>
  <c r="S24" i="5"/>
  <c r="CZ84" i="5"/>
  <c r="S84" i="5"/>
  <c r="CZ33" i="5"/>
  <c r="S33" i="5"/>
  <c r="CZ68" i="5"/>
  <c r="S68" i="5"/>
  <c r="CZ86" i="5"/>
  <c r="S86" i="5"/>
  <c r="CZ50" i="5"/>
  <c r="S50" i="5"/>
  <c r="CZ69" i="5"/>
  <c r="S69" i="5"/>
  <c r="CZ7" i="5"/>
  <c r="S7" i="5"/>
  <c r="CZ71" i="5"/>
  <c r="S71" i="5"/>
  <c r="S127" i="5"/>
  <c r="CZ127" i="5"/>
  <c r="V189" i="5"/>
  <c r="DA189" i="5"/>
  <c r="S173" i="5"/>
  <c r="CZ173" i="5"/>
  <c r="V117" i="5"/>
  <c r="DA117" i="5"/>
  <c r="AB154" i="5"/>
  <c r="DC154" i="5"/>
  <c r="V188" i="5"/>
  <c r="DA188" i="5"/>
  <c r="CZ43" i="5"/>
  <c r="S43" i="5"/>
  <c r="CZ76" i="5"/>
  <c r="S76" i="5"/>
  <c r="S167" i="5"/>
  <c r="CZ167" i="5"/>
  <c r="S131" i="5"/>
  <c r="CZ131" i="5"/>
  <c r="S98" i="5"/>
  <c r="CZ98" i="5"/>
  <c r="S111" i="5"/>
  <c r="CZ111" i="5"/>
  <c r="S132" i="5"/>
  <c r="CZ132" i="5"/>
  <c r="CZ29" i="5"/>
  <c r="S29" i="5"/>
  <c r="CZ54" i="5"/>
  <c r="S54" i="5"/>
  <c r="CZ8" i="5"/>
  <c r="S8" i="5"/>
  <c r="CZ81" i="5"/>
  <c r="S81" i="5"/>
  <c r="S70" i="5"/>
  <c r="CZ70" i="5"/>
  <c r="CZ4" i="5"/>
  <c r="S4" i="5"/>
  <c r="CZ16" i="5"/>
  <c r="S16" i="5"/>
  <c r="S191" i="5"/>
  <c r="CZ191" i="5"/>
  <c r="CZ21" i="5"/>
  <c r="S21" i="5"/>
  <c r="CZ18" i="5"/>
  <c r="S18" i="5"/>
  <c r="CZ32" i="5"/>
  <c r="S32" i="5"/>
  <c r="CZ14" i="5"/>
  <c r="S14" i="5"/>
  <c r="CZ28" i="5"/>
  <c r="S28" i="5"/>
  <c r="CZ40" i="5"/>
  <c r="S40" i="5"/>
  <c r="CZ44" i="5"/>
  <c r="S44" i="5"/>
  <c r="S148" i="5"/>
  <c r="CZ148" i="5"/>
  <c r="S197" i="5"/>
  <c r="CZ197" i="5"/>
  <c r="V194" i="5"/>
  <c r="DA194" i="5"/>
  <c r="V134" i="5"/>
  <c r="DA134" i="5"/>
  <c r="S115" i="5"/>
  <c r="CZ115" i="5"/>
  <c r="CZ30" i="5"/>
  <c r="S30" i="5"/>
  <c r="CZ38" i="5"/>
  <c r="S38" i="5"/>
  <c r="CZ37" i="5"/>
  <c r="S37" i="5"/>
  <c r="S135" i="5"/>
  <c r="CZ135" i="5"/>
  <c r="S119" i="5"/>
  <c r="CZ119" i="5"/>
  <c r="S145" i="5"/>
  <c r="CZ145" i="5"/>
  <c r="S149" i="5"/>
  <c r="CZ149" i="5"/>
  <c r="S87" i="5"/>
  <c r="CZ87" i="5"/>
  <c r="S116" i="5"/>
  <c r="CZ116" i="5"/>
  <c r="S114" i="5"/>
  <c r="CZ114" i="5"/>
  <c r="S100" i="5"/>
  <c r="CZ100" i="5"/>
  <c r="S139" i="5"/>
  <c r="CZ139" i="5"/>
  <c r="CZ22" i="5"/>
  <c r="S22" i="5"/>
  <c r="CZ39" i="5"/>
  <c r="S39" i="5"/>
  <c r="CZ17" i="5"/>
  <c r="S17" i="5"/>
  <c r="CZ65" i="5"/>
  <c r="S65" i="5"/>
  <c r="CZ52" i="5"/>
  <c r="S52" i="5"/>
  <c r="CZ12" i="5"/>
  <c r="S12" i="5"/>
  <c r="CZ63" i="5"/>
  <c r="S63" i="5"/>
  <c r="CZ36" i="5"/>
  <c r="S36" i="5"/>
  <c r="CZ73" i="5"/>
  <c r="S73" i="5"/>
  <c r="CZ45" i="5"/>
  <c r="S45" i="5"/>
  <c r="CZ13" i="5"/>
  <c r="S13" i="5"/>
  <c r="CZ80" i="5"/>
  <c r="S80" i="5"/>
  <c r="CZ27" i="5"/>
  <c r="S27" i="5"/>
  <c r="CZ64" i="5"/>
  <c r="S64" i="5"/>
  <c r="CZ9" i="5"/>
  <c r="S9" i="5"/>
  <c r="CZ59" i="5"/>
  <c r="S59" i="5"/>
  <c r="S129" i="5"/>
  <c r="CZ129" i="5"/>
  <c r="S199" i="5"/>
  <c r="CZ199" i="5"/>
  <c r="S190" i="5"/>
  <c r="CZ190" i="5"/>
  <c r="V198" i="5"/>
  <c r="DA198" i="5"/>
  <c r="CZ66" i="5"/>
  <c r="S66" i="5"/>
  <c r="S136" i="5"/>
  <c r="CZ136" i="5"/>
  <c r="S120" i="5"/>
  <c r="CZ120" i="5"/>
  <c r="V192" i="5"/>
  <c r="DA192" i="5"/>
  <c r="V196" i="5"/>
  <c r="DA196" i="5"/>
  <c r="S113" i="5"/>
  <c r="CZ113" i="5"/>
  <c r="CZ60" i="5"/>
  <c r="S60" i="5"/>
  <c r="S151" i="5"/>
  <c r="CZ151" i="5"/>
  <c r="V150" i="5"/>
  <c r="DA150" i="5"/>
  <c r="S108" i="5"/>
  <c r="CZ108" i="5"/>
  <c r="CZ55" i="5"/>
  <c r="S55" i="5"/>
  <c r="V89" i="5"/>
  <c r="DA89" i="5"/>
  <c r="S95" i="5"/>
  <c r="CZ95" i="5"/>
  <c r="CZ61" i="5"/>
  <c r="S61" i="5"/>
  <c r="CZ48" i="5"/>
  <c r="S48" i="5"/>
  <c r="S74" i="5"/>
  <c r="CZ74" i="5"/>
  <c r="V106" i="5"/>
  <c r="DA106" i="5"/>
  <c r="CZ67" i="5"/>
  <c r="S67" i="5"/>
  <c r="CZ47" i="5"/>
  <c r="S47" i="5"/>
  <c r="CZ5" i="5"/>
  <c r="S5" i="5"/>
  <c r="CZ62" i="5"/>
  <c r="S62" i="5"/>
  <c r="CZ15" i="5"/>
  <c r="S15" i="5"/>
  <c r="CZ25" i="5"/>
  <c r="S25" i="5"/>
  <c r="CZ72" i="5"/>
  <c r="S72" i="5"/>
  <c r="CZ31" i="5"/>
  <c r="S31" i="5"/>
  <c r="CZ42" i="5"/>
  <c r="S42" i="5"/>
  <c r="CZ82" i="5"/>
  <c r="S82" i="5"/>
  <c r="S107" i="5"/>
  <c r="CZ107" i="5"/>
  <c r="CZ53" i="5"/>
  <c r="S53" i="5"/>
  <c r="CZ41" i="5"/>
  <c r="S58" i="5"/>
  <c r="CZ58" i="5"/>
  <c r="S23" i="5"/>
  <c r="CZ85" i="5"/>
  <c r="S85" i="5"/>
  <c r="CZ20" i="5"/>
  <c r="S20" i="5"/>
  <c r="CZ78" i="5"/>
  <c r="S78" i="5"/>
  <c r="S96" i="5"/>
  <c r="CZ96" i="5"/>
  <c r="S94" i="5"/>
  <c r="CZ94" i="5"/>
  <c r="S91" i="5"/>
  <c r="CZ91" i="5"/>
  <c r="S97" i="5"/>
  <c r="CZ97" i="5"/>
  <c r="V195" i="5"/>
  <c r="DA195" i="5"/>
  <c r="S88" i="5"/>
  <c r="CZ88" i="5"/>
  <c r="CZ83" i="5" l="1"/>
  <c r="DH158" i="5"/>
  <c r="V130" i="5"/>
  <c r="Y130" i="5" s="1"/>
  <c r="AN160" i="5"/>
  <c r="AQ160" i="5" s="1"/>
  <c r="AT160" i="5" s="1"/>
  <c r="S75" i="5"/>
  <c r="DA75" i="5" s="1"/>
  <c r="S77" i="5"/>
  <c r="DA77" i="5" s="1"/>
  <c r="S112" i="5"/>
  <c r="CZ112" i="5"/>
  <c r="CZ118" i="5"/>
  <c r="S118" i="5"/>
  <c r="S155" i="5"/>
  <c r="CZ155" i="5"/>
  <c r="S144" i="5"/>
  <c r="CZ144" i="5"/>
  <c r="S152" i="5"/>
  <c r="CZ152" i="5"/>
  <c r="CZ26" i="5"/>
  <c r="CZ35" i="5"/>
  <c r="CZ11" i="5"/>
  <c r="CZ99" i="5"/>
  <c r="S51" i="5"/>
  <c r="V51" i="5" s="1"/>
  <c r="CZ10" i="5"/>
  <c r="S19" i="5"/>
  <c r="DA19" i="5" s="1"/>
  <c r="V101" i="5"/>
  <c r="DA101" i="5"/>
  <c r="S34" i="5"/>
  <c r="DA34" i="5" s="1"/>
  <c r="S79" i="5"/>
  <c r="DA79" i="5" s="1"/>
  <c r="CZ34" i="5"/>
  <c r="CZ79" i="5"/>
  <c r="S10" i="5"/>
  <c r="V10" i="5" s="1"/>
  <c r="CZ19" i="5"/>
  <c r="S102" i="5"/>
  <c r="CZ102" i="5"/>
  <c r="S90" i="5"/>
  <c r="CZ90" i="5"/>
  <c r="CZ6" i="5"/>
  <c r="S6" i="5"/>
  <c r="S193" i="5"/>
  <c r="CZ193" i="5"/>
  <c r="AT156" i="5"/>
  <c r="DI156" i="5"/>
  <c r="AT165" i="5"/>
  <c r="DI165" i="5"/>
  <c r="AT159" i="5"/>
  <c r="DI159" i="5"/>
  <c r="AT157" i="5"/>
  <c r="DI157" i="5"/>
  <c r="AT164" i="5"/>
  <c r="DI164" i="5"/>
  <c r="AT158" i="5"/>
  <c r="DI158" i="5"/>
  <c r="DA108" i="5"/>
  <c r="V108" i="5"/>
  <c r="V120" i="5"/>
  <c r="DA120" i="5"/>
  <c r="V129" i="5"/>
  <c r="DA129" i="5"/>
  <c r="V114" i="5"/>
  <c r="DA114" i="5"/>
  <c r="V197" i="5"/>
  <c r="DA197" i="5"/>
  <c r="DB195" i="5"/>
  <c r="Y195" i="5"/>
  <c r="V107" i="5"/>
  <c r="DA107" i="5"/>
  <c r="V88" i="5"/>
  <c r="DA88" i="5"/>
  <c r="V97" i="5"/>
  <c r="DA97" i="5"/>
  <c r="DA78" i="5"/>
  <c r="V78" i="5"/>
  <c r="DA82" i="5"/>
  <c r="V82" i="5"/>
  <c r="DA25" i="5"/>
  <c r="V25" i="5"/>
  <c r="DA47" i="5"/>
  <c r="V47" i="5"/>
  <c r="DA60" i="5"/>
  <c r="V60" i="5"/>
  <c r="DA66" i="5"/>
  <c r="V66" i="5"/>
  <c r="DA9" i="5"/>
  <c r="V9" i="5"/>
  <c r="DA13" i="5"/>
  <c r="V13" i="5"/>
  <c r="DA63" i="5"/>
  <c r="V63" i="5"/>
  <c r="DA52" i="5"/>
  <c r="V52" i="5"/>
  <c r="DA17" i="5"/>
  <c r="V17" i="5"/>
  <c r="DA37" i="5"/>
  <c r="V37" i="5"/>
  <c r="DA44" i="5"/>
  <c r="V44" i="5"/>
  <c r="DA32" i="5"/>
  <c r="V32" i="5"/>
  <c r="DA35" i="5"/>
  <c r="V35" i="5"/>
  <c r="DA8" i="5"/>
  <c r="V8" i="5"/>
  <c r="DA69" i="5"/>
  <c r="V69" i="5"/>
  <c r="DA24" i="5"/>
  <c r="V24" i="5"/>
  <c r="DA57" i="5"/>
  <c r="V57" i="5"/>
  <c r="V100" i="5"/>
  <c r="DA100" i="5"/>
  <c r="V119" i="5"/>
  <c r="DA119" i="5"/>
  <c r="V115" i="5"/>
  <c r="DA115" i="5"/>
  <c r="V132" i="5"/>
  <c r="DA132" i="5"/>
  <c r="V131" i="5"/>
  <c r="DA131" i="5"/>
  <c r="V127" i="5"/>
  <c r="DA127" i="5"/>
  <c r="V92" i="5"/>
  <c r="DA92" i="5"/>
  <c r="Y146" i="5"/>
  <c r="DB146" i="5"/>
  <c r="V91" i="5"/>
  <c r="Y91" i="5" s="1"/>
  <c r="DA91" i="5"/>
  <c r="DA20" i="5"/>
  <c r="V20" i="5"/>
  <c r="DA41" i="5"/>
  <c r="V41" i="5"/>
  <c r="DA42" i="5"/>
  <c r="V42" i="5"/>
  <c r="DA15" i="5"/>
  <c r="V15" i="5"/>
  <c r="DA55" i="5"/>
  <c r="V55" i="5"/>
  <c r="DA64" i="5"/>
  <c r="V64" i="5"/>
  <c r="DA45" i="5"/>
  <c r="V45" i="5"/>
  <c r="DA39" i="5"/>
  <c r="V39" i="5"/>
  <c r="DA38" i="5"/>
  <c r="V38" i="5"/>
  <c r="DA40" i="5"/>
  <c r="V40" i="5"/>
  <c r="DA26" i="5"/>
  <c r="V26" i="5"/>
  <c r="DA54" i="5"/>
  <c r="V54" i="5"/>
  <c r="DA76" i="5"/>
  <c r="V76" i="5"/>
  <c r="DA50" i="5"/>
  <c r="V50" i="5"/>
  <c r="DA33" i="5"/>
  <c r="V33" i="5"/>
  <c r="DA46" i="5"/>
  <c r="V46" i="5"/>
  <c r="DA87" i="5"/>
  <c r="V87" i="5"/>
  <c r="Y194" i="5"/>
  <c r="DB194" i="5"/>
  <c r="Y117" i="5"/>
  <c r="DB117" i="5"/>
  <c r="V147" i="5"/>
  <c r="DA147" i="5"/>
  <c r="DA74" i="5"/>
  <c r="V74" i="5"/>
  <c r="V95" i="5"/>
  <c r="DA95" i="5"/>
  <c r="Y150" i="5"/>
  <c r="DB150" i="5"/>
  <c r="V113" i="5"/>
  <c r="DA113" i="5"/>
  <c r="DA199" i="5"/>
  <c r="V199" i="5"/>
  <c r="V135" i="5"/>
  <c r="DA135" i="5"/>
  <c r="V191" i="5"/>
  <c r="DA191" i="5"/>
  <c r="V167" i="5"/>
  <c r="DA167" i="5"/>
  <c r="Y188" i="5"/>
  <c r="DB188" i="5"/>
  <c r="V99" i="5"/>
  <c r="DA99" i="5"/>
  <c r="V200" i="5"/>
  <c r="DA200" i="5"/>
  <c r="DA58" i="5"/>
  <c r="V58" i="5"/>
  <c r="V190" i="5"/>
  <c r="DA190" i="5"/>
  <c r="V96" i="5"/>
  <c r="DA96" i="5"/>
  <c r="DA85" i="5"/>
  <c r="V85" i="5"/>
  <c r="DA53" i="5"/>
  <c r="V53" i="5"/>
  <c r="DA31" i="5"/>
  <c r="V31" i="5"/>
  <c r="DA62" i="5"/>
  <c r="V62" i="5"/>
  <c r="DA67" i="5"/>
  <c r="V67" i="5"/>
  <c r="DA48" i="5"/>
  <c r="V48" i="5"/>
  <c r="DA27" i="5"/>
  <c r="V27" i="5"/>
  <c r="DA73" i="5"/>
  <c r="V73" i="5"/>
  <c r="DA12" i="5"/>
  <c r="V12" i="5"/>
  <c r="DA65" i="5"/>
  <c r="V65" i="5"/>
  <c r="DA22" i="5"/>
  <c r="V22" i="5"/>
  <c r="DA30" i="5"/>
  <c r="V30" i="5"/>
  <c r="DA28" i="5"/>
  <c r="V28" i="5"/>
  <c r="DA18" i="5"/>
  <c r="V18" i="5"/>
  <c r="DA16" i="5"/>
  <c r="V16" i="5"/>
  <c r="DA29" i="5"/>
  <c r="V29" i="5"/>
  <c r="DA43" i="5"/>
  <c r="V43" i="5"/>
  <c r="DA71" i="5"/>
  <c r="V71" i="5"/>
  <c r="DA86" i="5"/>
  <c r="V86" i="5"/>
  <c r="DA84" i="5"/>
  <c r="V84" i="5"/>
  <c r="DB104" i="5"/>
  <c r="Y104" i="5"/>
  <c r="Y196" i="5"/>
  <c r="DB196" i="5"/>
  <c r="V149" i="5"/>
  <c r="DA149" i="5"/>
  <c r="V148" i="5"/>
  <c r="DA148" i="5"/>
  <c r="DA70" i="5"/>
  <c r="V70" i="5"/>
  <c r="V111" i="5"/>
  <c r="DA111" i="5"/>
  <c r="Y93" i="5"/>
  <c r="DB93" i="5"/>
  <c r="V153" i="5"/>
  <c r="DA153" i="5"/>
  <c r="V94" i="5"/>
  <c r="DA94" i="5"/>
  <c r="DA23" i="5"/>
  <c r="V23" i="5"/>
  <c r="DA72" i="5"/>
  <c r="V72" i="5"/>
  <c r="DA5" i="5"/>
  <c r="V5" i="5"/>
  <c r="DA61" i="5"/>
  <c r="V61" i="5"/>
  <c r="DA59" i="5"/>
  <c r="V59" i="5"/>
  <c r="DA80" i="5"/>
  <c r="V80" i="5"/>
  <c r="DA36" i="5"/>
  <c r="V36" i="5"/>
  <c r="DA14" i="5"/>
  <c r="V14" i="5"/>
  <c r="DA21" i="5"/>
  <c r="V21" i="5"/>
  <c r="DA4" i="5"/>
  <c r="V4" i="5"/>
  <c r="DA81" i="5"/>
  <c r="V81" i="5"/>
  <c r="DA11" i="5"/>
  <c r="V11" i="5"/>
  <c r="DA7" i="5"/>
  <c r="V7" i="5"/>
  <c r="DA68" i="5"/>
  <c r="V68" i="5"/>
  <c r="DA49" i="5"/>
  <c r="V49" i="5"/>
  <c r="DA56" i="5"/>
  <c r="V56" i="5"/>
  <c r="Y89" i="5"/>
  <c r="DB89" i="5"/>
  <c r="V173" i="5"/>
  <c r="DA173" i="5"/>
  <c r="Y106" i="5"/>
  <c r="DB106" i="5"/>
  <c r="V151" i="5"/>
  <c r="DA151" i="5"/>
  <c r="Y192" i="5"/>
  <c r="DB192" i="5"/>
  <c r="V136" i="5"/>
  <c r="DA136" i="5"/>
  <c r="Y198" i="5"/>
  <c r="DB198" i="5"/>
  <c r="V139" i="5"/>
  <c r="DA139" i="5"/>
  <c r="V116" i="5"/>
  <c r="DA116" i="5"/>
  <c r="V145" i="5"/>
  <c r="DA145" i="5"/>
  <c r="Y134" i="5"/>
  <c r="DB134" i="5"/>
  <c r="V98" i="5"/>
  <c r="DA98" i="5"/>
  <c r="AE154" i="5"/>
  <c r="DD154" i="5"/>
  <c r="Y189" i="5"/>
  <c r="DB189" i="5"/>
  <c r="DA83" i="5"/>
  <c r="V83" i="5"/>
  <c r="BI3" i="3"/>
  <c r="DB130" i="5" l="1"/>
  <c r="DI160" i="5"/>
  <c r="DH160" i="5"/>
  <c r="V75" i="5"/>
  <c r="Y75" i="5" s="1"/>
  <c r="V77" i="5"/>
  <c r="DB77" i="5" s="1"/>
  <c r="DA112" i="5"/>
  <c r="V112" i="5"/>
  <c r="DA118" i="5"/>
  <c r="V118" i="5"/>
  <c r="V152" i="5"/>
  <c r="DA152" i="5"/>
  <c r="V144" i="5"/>
  <c r="DA144" i="5"/>
  <c r="V155" i="5"/>
  <c r="DA155" i="5"/>
  <c r="DA51" i="5"/>
  <c r="V19" i="5"/>
  <c r="DB19" i="5" s="1"/>
  <c r="V34" i="5"/>
  <c r="DB34" i="5" s="1"/>
  <c r="V79" i="5"/>
  <c r="Y79" i="5" s="1"/>
  <c r="Y101" i="5"/>
  <c r="DB101" i="5"/>
  <c r="DA10" i="5"/>
  <c r="V193" i="5"/>
  <c r="DA193" i="5"/>
  <c r="V90" i="5"/>
  <c r="DA90" i="5"/>
  <c r="DA6" i="5"/>
  <c r="V6" i="5"/>
  <c r="V102" i="5"/>
  <c r="DA102" i="5"/>
  <c r="AW164" i="5"/>
  <c r="DJ164" i="5"/>
  <c r="AW165" i="5"/>
  <c r="DJ165" i="5"/>
  <c r="AW158" i="5"/>
  <c r="DJ158" i="5"/>
  <c r="AW160" i="5"/>
  <c r="DJ160" i="5"/>
  <c r="AW157" i="5"/>
  <c r="DJ157" i="5"/>
  <c r="AW159" i="5"/>
  <c r="DJ159" i="5"/>
  <c r="AW156" i="5"/>
  <c r="DJ156" i="5"/>
  <c r="AB192" i="5"/>
  <c r="DC192" i="5"/>
  <c r="Y148" i="5"/>
  <c r="DB148" i="5"/>
  <c r="Y147" i="5"/>
  <c r="DB147" i="5"/>
  <c r="Y131" i="5"/>
  <c r="DB131" i="5"/>
  <c r="Y120" i="5"/>
  <c r="DB120" i="5"/>
  <c r="Y139" i="5"/>
  <c r="DB139" i="5"/>
  <c r="DB56" i="5"/>
  <c r="Y56" i="5"/>
  <c r="DB11" i="5"/>
  <c r="Y11" i="5"/>
  <c r="DB14" i="5"/>
  <c r="Y14" i="5"/>
  <c r="DB36" i="5"/>
  <c r="Y36" i="5"/>
  <c r="DB5" i="5"/>
  <c r="Y5" i="5"/>
  <c r="DB86" i="5"/>
  <c r="Y86" i="5"/>
  <c r="DB16" i="5"/>
  <c r="Y16" i="5"/>
  <c r="DB22" i="5"/>
  <c r="Y22" i="5"/>
  <c r="DB27" i="5"/>
  <c r="Y27" i="5"/>
  <c r="DB31" i="5"/>
  <c r="Y31" i="5"/>
  <c r="DB46" i="5"/>
  <c r="Y46" i="5"/>
  <c r="DB54" i="5"/>
  <c r="Y54" i="5"/>
  <c r="DB38" i="5"/>
  <c r="Y38" i="5"/>
  <c r="DB20" i="5"/>
  <c r="Y20" i="5"/>
  <c r="DB32" i="5"/>
  <c r="Y32" i="5"/>
  <c r="DB52" i="5"/>
  <c r="Y52" i="5"/>
  <c r="DB66" i="5"/>
  <c r="Y66" i="5"/>
  <c r="DB25" i="5"/>
  <c r="Y25" i="5"/>
  <c r="Y98" i="5"/>
  <c r="DB98" i="5"/>
  <c r="Y94" i="5"/>
  <c r="DB94" i="5"/>
  <c r="AB194" i="5"/>
  <c r="DC194" i="5"/>
  <c r="Y100" i="5"/>
  <c r="DB100" i="5"/>
  <c r="DB49" i="5"/>
  <c r="Y49" i="5"/>
  <c r="DB81" i="5"/>
  <c r="Y81" i="5"/>
  <c r="DB80" i="5"/>
  <c r="Y80" i="5"/>
  <c r="DB72" i="5"/>
  <c r="Y72" i="5"/>
  <c r="DB70" i="5"/>
  <c r="Y70" i="5"/>
  <c r="AB104" i="5"/>
  <c r="DC104" i="5"/>
  <c r="DB71" i="5"/>
  <c r="Y71" i="5"/>
  <c r="DB18" i="5"/>
  <c r="Y18" i="5"/>
  <c r="DB65" i="5"/>
  <c r="Y65" i="5"/>
  <c r="DB48" i="5"/>
  <c r="Y48" i="5"/>
  <c r="DB53" i="5"/>
  <c r="Y53" i="5"/>
  <c r="DB74" i="5"/>
  <c r="Y74" i="5"/>
  <c r="DB87" i="5"/>
  <c r="Y87" i="5"/>
  <c r="DB33" i="5"/>
  <c r="Y33" i="5"/>
  <c r="DB45" i="5"/>
  <c r="Y45" i="5"/>
  <c r="DB15" i="5"/>
  <c r="Y15" i="5"/>
  <c r="DB69" i="5"/>
  <c r="Y69" i="5"/>
  <c r="DB44" i="5"/>
  <c r="Y44" i="5"/>
  <c r="DB63" i="5"/>
  <c r="Y63" i="5"/>
  <c r="DB60" i="5"/>
  <c r="Y60" i="5"/>
  <c r="DB82" i="5"/>
  <c r="Y82" i="5"/>
  <c r="Y111" i="5"/>
  <c r="DB111" i="5"/>
  <c r="Y127" i="5"/>
  <c r="DB127" i="5"/>
  <c r="Y97" i="5"/>
  <c r="DB97" i="5"/>
  <c r="AH154" i="5"/>
  <c r="DE154" i="5"/>
  <c r="Y136" i="5"/>
  <c r="DB136" i="5"/>
  <c r="Y190" i="5"/>
  <c r="DB190" i="5"/>
  <c r="Y200" i="5"/>
  <c r="DB200" i="5"/>
  <c r="Y99" i="5"/>
  <c r="DB99" i="5"/>
  <c r="DB191" i="5"/>
  <c r="Y191" i="5"/>
  <c r="Y135" i="5"/>
  <c r="DB135" i="5"/>
  <c r="DB91" i="5"/>
  <c r="AB130" i="5"/>
  <c r="DC130" i="5"/>
  <c r="Y88" i="5"/>
  <c r="DB88" i="5"/>
  <c r="Y129" i="5"/>
  <c r="DB129" i="5"/>
  <c r="AB189" i="5"/>
  <c r="DC189" i="5"/>
  <c r="AB198" i="5"/>
  <c r="DC198" i="5"/>
  <c r="DC196" i="5"/>
  <c r="AB196" i="5"/>
  <c r="Y95" i="5"/>
  <c r="DB95" i="5"/>
  <c r="Y114" i="5"/>
  <c r="DB114" i="5"/>
  <c r="Y145" i="5"/>
  <c r="DB145" i="5"/>
  <c r="DB68" i="5"/>
  <c r="Y68" i="5"/>
  <c r="DB4" i="5"/>
  <c r="Y4" i="5"/>
  <c r="DB59" i="5"/>
  <c r="Y59" i="5"/>
  <c r="DB23" i="5"/>
  <c r="Y23" i="5"/>
  <c r="DB43" i="5"/>
  <c r="Y43" i="5"/>
  <c r="DB28" i="5"/>
  <c r="Y28" i="5"/>
  <c r="DB12" i="5"/>
  <c r="Y12" i="5"/>
  <c r="DB67" i="5"/>
  <c r="Y67" i="5"/>
  <c r="DB85" i="5"/>
  <c r="Y85" i="5"/>
  <c r="DB50" i="5"/>
  <c r="Y50" i="5"/>
  <c r="DB26" i="5"/>
  <c r="Y26" i="5"/>
  <c r="DB39" i="5"/>
  <c r="Y39" i="5"/>
  <c r="DB64" i="5"/>
  <c r="Y64" i="5"/>
  <c r="DB42" i="5"/>
  <c r="Y42" i="5"/>
  <c r="DB57" i="5"/>
  <c r="Y57" i="5"/>
  <c r="DB8" i="5"/>
  <c r="Y8" i="5"/>
  <c r="DB37" i="5"/>
  <c r="Y37" i="5"/>
  <c r="DB13" i="5"/>
  <c r="Y13" i="5"/>
  <c r="DB78" i="5"/>
  <c r="Y78" i="5"/>
  <c r="AB134" i="5"/>
  <c r="DC134" i="5"/>
  <c r="DC106" i="5"/>
  <c r="AB106" i="5"/>
  <c r="Y153" i="5"/>
  <c r="DB153" i="5"/>
  <c r="Y197" i="5"/>
  <c r="DB197" i="5"/>
  <c r="DB83" i="5"/>
  <c r="Y83" i="5"/>
  <c r="DB7" i="5"/>
  <c r="Y7" i="5"/>
  <c r="DB21" i="5"/>
  <c r="Y21" i="5"/>
  <c r="DB10" i="5"/>
  <c r="Y10" i="5"/>
  <c r="DB61" i="5"/>
  <c r="Y61" i="5"/>
  <c r="DB84" i="5"/>
  <c r="Y84" i="5"/>
  <c r="DB29" i="5"/>
  <c r="Y29" i="5"/>
  <c r="DB30" i="5"/>
  <c r="Y30" i="5"/>
  <c r="DB73" i="5"/>
  <c r="Y73" i="5"/>
  <c r="DB62" i="5"/>
  <c r="Y62" i="5"/>
  <c r="DB58" i="5"/>
  <c r="Y58" i="5"/>
  <c r="DB199" i="5"/>
  <c r="Y199" i="5"/>
  <c r="DB76" i="5"/>
  <c r="Y76" i="5"/>
  <c r="DB40" i="5"/>
  <c r="Y40" i="5"/>
  <c r="DB51" i="5"/>
  <c r="Y51" i="5"/>
  <c r="DB55" i="5"/>
  <c r="Y55" i="5"/>
  <c r="DB41" i="5"/>
  <c r="Y41" i="5"/>
  <c r="DB24" i="5"/>
  <c r="Y24" i="5"/>
  <c r="DB35" i="5"/>
  <c r="Y35" i="5"/>
  <c r="DB17" i="5"/>
  <c r="Y17" i="5"/>
  <c r="DB9" i="5"/>
  <c r="Y9" i="5"/>
  <c r="DB47" i="5"/>
  <c r="Y47" i="5"/>
  <c r="AB195" i="5"/>
  <c r="DC195" i="5"/>
  <c r="DB108" i="5"/>
  <c r="Y108" i="5"/>
  <c r="Y116" i="5"/>
  <c r="DB116" i="5"/>
  <c r="Y96" i="5"/>
  <c r="DB96" i="5"/>
  <c r="AB188" i="5"/>
  <c r="DC188" i="5"/>
  <c r="Y113" i="5"/>
  <c r="DB113" i="5"/>
  <c r="AB146" i="5"/>
  <c r="DC146" i="5"/>
  <c r="Y115" i="5"/>
  <c r="DB115" i="5"/>
  <c r="DB107" i="5"/>
  <c r="Y107" i="5"/>
  <c r="Y151" i="5"/>
  <c r="DB151" i="5"/>
  <c r="DB173" i="5"/>
  <c r="Y173" i="5"/>
  <c r="AB89" i="5"/>
  <c r="DC89" i="5"/>
  <c r="AB93" i="5"/>
  <c r="DC93" i="5"/>
  <c r="Y149" i="5"/>
  <c r="DB149" i="5"/>
  <c r="DB167" i="5"/>
  <c r="Y167" i="5"/>
  <c r="AB150" i="5"/>
  <c r="DC150" i="5"/>
  <c r="AB117" i="5"/>
  <c r="DC117" i="5"/>
  <c r="Y92" i="5"/>
  <c r="DB92" i="5"/>
  <c r="Y132" i="5"/>
  <c r="DB132" i="5"/>
  <c r="Y119" i="5"/>
  <c r="DB119" i="5"/>
  <c r="AK3" i="3"/>
  <c r="AO3" i="3"/>
  <c r="DB75" i="5" l="1"/>
  <c r="Y77" i="5"/>
  <c r="DC77" i="5" s="1"/>
  <c r="Y112" i="5"/>
  <c r="DB112" i="5"/>
  <c r="Y118" i="5"/>
  <c r="DB118" i="5"/>
  <c r="DB155" i="5"/>
  <c r="Y155" i="5"/>
  <c r="Y144" i="5"/>
  <c r="DB144" i="5"/>
  <c r="Y152" i="5"/>
  <c r="DB152" i="5"/>
  <c r="Y34" i="5"/>
  <c r="DC34" i="5" s="1"/>
  <c r="DB79" i="5"/>
  <c r="Y19" i="5"/>
  <c r="DC19" i="5" s="1"/>
  <c r="AB101" i="5"/>
  <c r="DC101" i="5"/>
  <c r="Y102" i="5"/>
  <c r="DB102" i="5"/>
  <c r="Y90" i="5"/>
  <c r="DB90" i="5"/>
  <c r="DB6" i="5"/>
  <c r="Y6" i="5"/>
  <c r="DB193" i="5"/>
  <c r="Y193" i="5"/>
  <c r="AZ160" i="5"/>
  <c r="DK160" i="5"/>
  <c r="AZ158" i="5"/>
  <c r="DK158" i="5"/>
  <c r="AZ159" i="5"/>
  <c r="DK159" i="5"/>
  <c r="AZ164" i="5"/>
  <c r="DK164" i="5"/>
  <c r="AZ156" i="5"/>
  <c r="DK156" i="5"/>
  <c r="AZ157" i="5"/>
  <c r="DK157" i="5"/>
  <c r="AZ165" i="5"/>
  <c r="DK165" i="5"/>
  <c r="AE189" i="5"/>
  <c r="DD189" i="5"/>
  <c r="AB200" i="5"/>
  <c r="DC200" i="5"/>
  <c r="AB148" i="5"/>
  <c r="DC148" i="5"/>
  <c r="AB132" i="5"/>
  <c r="DC132" i="5"/>
  <c r="AB92" i="5"/>
  <c r="DC92" i="5"/>
  <c r="AE89" i="5"/>
  <c r="DD89" i="5"/>
  <c r="AB113" i="5"/>
  <c r="DC113" i="5"/>
  <c r="AB116" i="5"/>
  <c r="DC116" i="5"/>
  <c r="DC78" i="5"/>
  <c r="AB78" i="5"/>
  <c r="DC8" i="5"/>
  <c r="AB8" i="5"/>
  <c r="DC39" i="5"/>
  <c r="AB39" i="5"/>
  <c r="DC67" i="5"/>
  <c r="AB67" i="5"/>
  <c r="DC4" i="5"/>
  <c r="AB4" i="5"/>
  <c r="DC191" i="5"/>
  <c r="AB191" i="5"/>
  <c r="DC63" i="5"/>
  <c r="AB63" i="5"/>
  <c r="DC15" i="5"/>
  <c r="AB15" i="5"/>
  <c r="DC87" i="5"/>
  <c r="AB87" i="5"/>
  <c r="DC65" i="5"/>
  <c r="AB65" i="5"/>
  <c r="DC70" i="5"/>
  <c r="AB70" i="5"/>
  <c r="DC81" i="5"/>
  <c r="AB81" i="5"/>
  <c r="DC52" i="5"/>
  <c r="AB52" i="5"/>
  <c r="DC16" i="5"/>
  <c r="AB16" i="5"/>
  <c r="DC14" i="5"/>
  <c r="AB14" i="5"/>
  <c r="DC9" i="5"/>
  <c r="AB9" i="5"/>
  <c r="DC73" i="5"/>
  <c r="AB73" i="5"/>
  <c r="AB95" i="5"/>
  <c r="DC95" i="5"/>
  <c r="AK154" i="5"/>
  <c r="DF154" i="5"/>
  <c r="AB149" i="5"/>
  <c r="DC149" i="5"/>
  <c r="AB115" i="5"/>
  <c r="DC115" i="5"/>
  <c r="AE188" i="5"/>
  <c r="DD188" i="5"/>
  <c r="DC57" i="5"/>
  <c r="AB57" i="5"/>
  <c r="DC26" i="5"/>
  <c r="AB26" i="5"/>
  <c r="DC12" i="5"/>
  <c r="AB12" i="5"/>
  <c r="DC23" i="5"/>
  <c r="AB23" i="5"/>
  <c r="DC68" i="5"/>
  <c r="AB68" i="5"/>
  <c r="DC44" i="5"/>
  <c r="AB44" i="5"/>
  <c r="DC45" i="5"/>
  <c r="AB45" i="5"/>
  <c r="DC74" i="5"/>
  <c r="AB74" i="5"/>
  <c r="DC18" i="5"/>
  <c r="AB18" i="5"/>
  <c r="DC72" i="5"/>
  <c r="AB72" i="5"/>
  <c r="DC49" i="5"/>
  <c r="AB49" i="5"/>
  <c r="DC32" i="5"/>
  <c r="AB32" i="5"/>
  <c r="DC38" i="5"/>
  <c r="AB38" i="5"/>
  <c r="DC31" i="5"/>
  <c r="AB31" i="5"/>
  <c r="DC86" i="5"/>
  <c r="AB86" i="5"/>
  <c r="DC11" i="5"/>
  <c r="AB11" i="5"/>
  <c r="DC41" i="5"/>
  <c r="AB41" i="5"/>
  <c r="DC83" i="5"/>
  <c r="AB83" i="5"/>
  <c r="AB145" i="5"/>
  <c r="DC145" i="5"/>
  <c r="AB108" i="5"/>
  <c r="DC108" i="5"/>
  <c r="DC17" i="5"/>
  <c r="AB17" i="5"/>
  <c r="DC55" i="5"/>
  <c r="AB55" i="5"/>
  <c r="AB199" i="5"/>
  <c r="DC199" i="5"/>
  <c r="DC30" i="5"/>
  <c r="AB30" i="5"/>
  <c r="DC10" i="5"/>
  <c r="AB10" i="5"/>
  <c r="AB153" i="5"/>
  <c r="DC153" i="5"/>
  <c r="AE198" i="5"/>
  <c r="DD198" i="5"/>
  <c r="AB88" i="5"/>
  <c r="DC88" i="5"/>
  <c r="AB99" i="5"/>
  <c r="DC99" i="5"/>
  <c r="AB97" i="5"/>
  <c r="DC97" i="5"/>
  <c r="DD194" i="5"/>
  <c r="AE194" i="5"/>
  <c r="AB98" i="5"/>
  <c r="DC98" i="5"/>
  <c r="AB120" i="5"/>
  <c r="DC120" i="5"/>
  <c r="DC167" i="5"/>
  <c r="AB167" i="5"/>
  <c r="AB173" i="5"/>
  <c r="DC173" i="5"/>
  <c r="DC76" i="5"/>
  <c r="AB76" i="5"/>
  <c r="DC61" i="5"/>
  <c r="AB61" i="5"/>
  <c r="AB91" i="5"/>
  <c r="DC91" i="5"/>
  <c r="AB119" i="5"/>
  <c r="DC119" i="5"/>
  <c r="AE117" i="5"/>
  <c r="DD117" i="5"/>
  <c r="AE93" i="5"/>
  <c r="DD93" i="5"/>
  <c r="AB151" i="5"/>
  <c r="DC151" i="5"/>
  <c r="AE146" i="5"/>
  <c r="DD146" i="5"/>
  <c r="AB96" i="5"/>
  <c r="DC96" i="5"/>
  <c r="AB197" i="5"/>
  <c r="DC197" i="5"/>
  <c r="DD106" i="5"/>
  <c r="AE106" i="5"/>
  <c r="DC13" i="5"/>
  <c r="AB13" i="5"/>
  <c r="DC42" i="5"/>
  <c r="AB42" i="5"/>
  <c r="DC50" i="5"/>
  <c r="AB50" i="5"/>
  <c r="DC28" i="5"/>
  <c r="AB28" i="5"/>
  <c r="DC59" i="5"/>
  <c r="AB59" i="5"/>
  <c r="DC82" i="5"/>
  <c r="AB82" i="5"/>
  <c r="DC69" i="5"/>
  <c r="AB69" i="5"/>
  <c r="DC79" i="5"/>
  <c r="AB79" i="5"/>
  <c r="DC53" i="5"/>
  <c r="AB53" i="5"/>
  <c r="DC71" i="5"/>
  <c r="AB71" i="5"/>
  <c r="DC80" i="5"/>
  <c r="AB80" i="5"/>
  <c r="DC25" i="5"/>
  <c r="AB25" i="5"/>
  <c r="DC54" i="5"/>
  <c r="AB54" i="5"/>
  <c r="DC27" i="5"/>
  <c r="AB27" i="5"/>
  <c r="DC5" i="5"/>
  <c r="AB5" i="5"/>
  <c r="DC56" i="5"/>
  <c r="AB56" i="5"/>
  <c r="DC35" i="5"/>
  <c r="AB35" i="5"/>
  <c r="DC58" i="5"/>
  <c r="AB58" i="5"/>
  <c r="DC21" i="5"/>
  <c r="AB21" i="5"/>
  <c r="AB131" i="5"/>
  <c r="DC131" i="5"/>
  <c r="AE150" i="5"/>
  <c r="DD150" i="5"/>
  <c r="AE195" i="5"/>
  <c r="DD195" i="5"/>
  <c r="DC37" i="5"/>
  <c r="AB37" i="5"/>
  <c r="DC64" i="5"/>
  <c r="AB64" i="5"/>
  <c r="DC85" i="5"/>
  <c r="AB85" i="5"/>
  <c r="DC43" i="5"/>
  <c r="AB43" i="5"/>
  <c r="DC75" i="5"/>
  <c r="AB75" i="5"/>
  <c r="AE196" i="5"/>
  <c r="DD196" i="5"/>
  <c r="DC60" i="5"/>
  <c r="AB60" i="5"/>
  <c r="DC33" i="5"/>
  <c r="AB33" i="5"/>
  <c r="DC48" i="5"/>
  <c r="AB48" i="5"/>
  <c r="DC66" i="5"/>
  <c r="AB66" i="5"/>
  <c r="DC20" i="5"/>
  <c r="AB20" i="5"/>
  <c r="DC46" i="5"/>
  <c r="AB46" i="5"/>
  <c r="DC22" i="5"/>
  <c r="AB22" i="5"/>
  <c r="DC36" i="5"/>
  <c r="AB36" i="5"/>
  <c r="DC51" i="5"/>
  <c r="AB51" i="5"/>
  <c r="DC29" i="5"/>
  <c r="AB29" i="5"/>
  <c r="AB127" i="5"/>
  <c r="DC127" i="5"/>
  <c r="DC107" i="5"/>
  <c r="AB107" i="5"/>
  <c r="DC47" i="5"/>
  <c r="AB47" i="5"/>
  <c r="DC24" i="5"/>
  <c r="AB24" i="5"/>
  <c r="DC40" i="5"/>
  <c r="AB40" i="5"/>
  <c r="DC62" i="5"/>
  <c r="AB62" i="5"/>
  <c r="DC84" i="5"/>
  <c r="AB84" i="5"/>
  <c r="DC7" i="5"/>
  <c r="AB7" i="5"/>
  <c r="AE134" i="5"/>
  <c r="DD134" i="5"/>
  <c r="AB114" i="5"/>
  <c r="DC114" i="5"/>
  <c r="AB129" i="5"/>
  <c r="DC129" i="5"/>
  <c r="AE130" i="5"/>
  <c r="DD130" i="5"/>
  <c r="AB135" i="5"/>
  <c r="DC135" i="5"/>
  <c r="AB190" i="5"/>
  <c r="DC190" i="5"/>
  <c r="AB136" i="5"/>
  <c r="DC136" i="5"/>
  <c r="AB111" i="5"/>
  <c r="DC111" i="5"/>
  <c r="AE104" i="5"/>
  <c r="DD104" i="5"/>
  <c r="AB100" i="5"/>
  <c r="DC100" i="5"/>
  <c r="AB94" i="5"/>
  <c r="DC94" i="5"/>
  <c r="AB139" i="5"/>
  <c r="DC139" i="5"/>
  <c r="AB147" i="5"/>
  <c r="DC147" i="5"/>
  <c r="AE192" i="5"/>
  <c r="DD192" i="5"/>
  <c r="AB77" i="5" l="1"/>
  <c r="DD77" i="5" s="1"/>
  <c r="AB112" i="5"/>
  <c r="DC112" i="5"/>
  <c r="AB118" i="5"/>
  <c r="DC118" i="5"/>
  <c r="DC152" i="5"/>
  <c r="AB152" i="5"/>
  <c r="AB144" i="5"/>
  <c r="DC144" i="5"/>
  <c r="DC155" i="5"/>
  <c r="AB155" i="5"/>
  <c r="AB34" i="5"/>
  <c r="DD34" i="5" s="1"/>
  <c r="AB19" i="5"/>
  <c r="AE19" i="5" s="1"/>
  <c r="AE101" i="5"/>
  <c r="DD101" i="5"/>
  <c r="AB193" i="5"/>
  <c r="DC193" i="5"/>
  <c r="AB90" i="5"/>
  <c r="DC90" i="5"/>
  <c r="DC6" i="5"/>
  <c r="AB6" i="5"/>
  <c r="AB102" i="5"/>
  <c r="DC102" i="5"/>
  <c r="BC156" i="5"/>
  <c r="DL156" i="5"/>
  <c r="BC165" i="5"/>
  <c r="DL165" i="5"/>
  <c r="BC157" i="5"/>
  <c r="DL157" i="5"/>
  <c r="BC160" i="5"/>
  <c r="DL160" i="5"/>
  <c r="BC164" i="5"/>
  <c r="DL164" i="5"/>
  <c r="BC159" i="5"/>
  <c r="DL159" i="5"/>
  <c r="BC158" i="5"/>
  <c r="DL158" i="5"/>
  <c r="AH188" i="5"/>
  <c r="DE188" i="5"/>
  <c r="AE200" i="5"/>
  <c r="DD200" i="5"/>
  <c r="AE139" i="5"/>
  <c r="DD139" i="5"/>
  <c r="AE94" i="5"/>
  <c r="DD94" i="5"/>
  <c r="AH130" i="5"/>
  <c r="DE130" i="5"/>
  <c r="AH134" i="5"/>
  <c r="DE134" i="5"/>
  <c r="AH150" i="5"/>
  <c r="DE150" i="5"/>
  <c r="AE197" i="5"/>
  <c r="DD197" i="5"/>
  <c r="AH93" i="5"/>
  <c r="DE93" i="5"/>
  <c r="AE91" i="5"/>
  <c r="DD91" i="5"/>
  <c r="AE173" i="5"/>
  <c r="DD173" i="5"/>
  <c r="AE98" i="5"/>
  <c r="DD98" i="5"/>
  <c r="AE97" i="5"/>
  <c r="DD97" i="5"/>
  <c r="AH198" i="5"/>
  <c r="DE198" i="5"/>
  <c r="DD10" i="5"/>
  <c r="AE10" i="5"/>
  <c r="DD17" i="5"/>
  <c r="AE17" i="5"/>
  <c r="DD86" i="5"/>
  <c r="AE86" i="5"/>
  <c r="DD49" i="5"/>
  <c r="AE49" i="5"/>
  <c r="AE45" i="5"/>
  <c r="DD45" i="5"/>
  <c r="DD23" i="5"/>
  <c r="AE23" i="5"/>
  <c r="DD9" i="5"/>
  <c r="AE9" i="5"/>
  <c r="DD52" i="5"/>
  <c r="AE52" i="5"/>
  <c r="DD65" i="5"/>
  <c r="AE65" i="5"/>
  <c r="AE191" i="5"/>
  <c r="DD191" i="5"/>
  <c r="DD39" i="5"/>
  <c r="AE39" i="5"/>
  <c r="DD56" i="5"/>
  <c r="AE56" i="5"/>
  <c r="DE194" i="5"/>
  <c r="AH194" i="5"/>
  <c r="AE145" i="5"/>
  <c r="DD145" i="5"/>
  <c r="AE149" i="5"/>
  <c r="DD149" i="5"/>
  <c r="AE92" i="5"/>
  <c r="DD92" i="5"/>
  <c r="AE100" i="5"/>
  <c r="DD100" i="5"/>
  <c r="AE129" i="5"/>
  <c r="DD129" i="5"/>
  <c r="AH196" i="5"/>
  <c r="DE196" i="5"/>
  <c r="AE131" i="5"/>
  <c r="DD131" i="5"/>
  <c r="AE96" i="5"/>
  <c r="DD96" i="5"/>
  <c r="DD30" i="5"/>
  <c r="AE30" i="5"/>
  <c r="DD83" i="5"/>
  <c r="AE83" i="5"/>
  <c r="DD31" i="5"/>
  <c r="AE31" i="5"/>
  <c r="DD72" i="5"/>
  <c r="AE72" i="5"/>
  <c r="DD44" i="5"/>
  <c r="AE44" i="5"/>
  <c r="DD12" i="5"/>
  <c r="AE12" i="5"/>
  <c r="DD14" i="5"/>
  <c r="AE14" i="5"/>
  <c r="DD87" i="5"/>
  <c r="AE87" i="5"/>
  <c r="DD4" i="5"/>
  <c r="AE4" i="5"/>
  <c r="DD8" i="5"/>
  <c r="AE8" i="5"/>
  <c r="DD46" i="5"/>
  <c r="AE46" i="5"/>
  <c r="DD53" i="5"/>
  <c r="AE53" i="5"/>
  <c r="DD7" i="5"/>
  <c r="AE7" i="5"/>
  <c r="DD24" i="5"/>
  <c r="AE24" i="5"/>
  <c r="DD51" i="5"/>
  <c r="AE51" i="5"/>
  <c r="DD20" i="5"/>
  <c r="AE20" i="5"/>
  <c r="DD33" i="5"/>
  <c r="AE33" i="5"/>
  <c r="DD75" i="5"/>
  <c r="AE75" i="5"/>
  <c r="DD37" i="5"/>
  <c r="AE37" i="5"/>
  <c r="DD58" i="5"/>
  <c r="AE58" i="5"/>
  <c r="DD5" i="5"/>
  <c r="AE5" i="5"/>
  <c r="DD25" i="5"/>
  <c r="AE25" i="5"/>
  <c r="DD79" i="5"/>
  <c r="AE79" i="5"/>
  <c r="DD59" i="5"/>
  <c r="AE59" i="5"/>
  <c r="DD13" i="5"/>
  <c r="AE13" i="5"/>
  <c r="DD61" i="5"/>
  <c r="AE61" i="5"/>
  <c r="AE108" i="5"/>
  <c r="DD108" i="5"/>
  <c r="AE95" i="5"/>
  <c r="DD95" i="5"/>
  <c r="AH89" i="5"/>
  <c r="DE89" i="5"/>
  <c r="DD40" i="5"/>
  <c r="AE40" i="5"/>
  <c r="DD29" i="5"/>
  <c r="AE29" i="5"/>
  <c r="DD48" i="5"/>
  <c r="AE48" i="5"/>
  <c r="DD64" i="5"/>
  <c r="AE64" i="5"/>
  <c r="DD21" i="5"/>
  <c r="AE21" i="5"/>
  <c r="DD42" i="5"/>
  <c r="AE42" i="5"/>
  <c r="DD167" i="5"/>
  <c r="AE167" i="5"/>
  <c r="AE113" i="5"/>
  <c r="DD113" i="5"/>
  <c r="AH192" i="5"/>
  <c r="DE192" i="5"/>
  <c r="AE136" i="5"/>
  <c r="DD136" i="5"/>
  <c r="AE147" i="5"/>
  <c r="DD147" i="5"/>
  <c r="DE104" i="5"/>
  <c r="AH104" i="5"/>
  <c r="DD190" i="5"/>
  <c r="AE190" i="5"/>
  <c r="AE114" i="5"/>
  <c r="DD114" i="5"/>
  <c r="AE127" i="5"/>
  <c r="DD127" i="5"/>
  <c r="AH146" i="5"/>
  <c r="DE146" i="5"/>
  <c r="AH117" i="5"/>
  <c r="DE117" i="5"/>
  <c r="AE99" i="5"/>
  <c r="DD99" i="5"/>
  <c r="DD41" i="5"/>
  <c r="AE41" i="5"/>
  <c r="DD38" i="5"/>
  <c r="AE38" i="5"/>
  <c r="DD18" i="5"/>
  <c r="AE18" i="5"/>
  <c r="DD26" i="5"/>
  <c r="AE26" i="5"/>
  <c r="DD16" i="5"/>
  <c r="AE16" i="5"/>
  <c r="DD81" i="5"/>
  <c r="AE81" i="5"/>
  <c r="DD15" i="5"/>
  <c r="AE15" i="5"/>
  <c r="DD78" i="5"/>
  <c r="AE78" i="5"/>
  <c r="DD84" i="5"/>
  <c r="AE84" i="5"/>
  <c r="DD66" i="5"/>
  <c r="AE66" i="5"/>
  <c r="DD27" i="5"/>
  <c r="AE27" i="5"/>
  <c r="DD69" i="5"/>
  <c r="AE69" i="5"/>
  <c r="AH106" i="5"/>
  <c r="DE106" i="5"/>
  <c r="AE111" i="5"/>
  <c r="DD111" i="5"/>
  <c r="AE135" i="5"/>
  <c r="DD135" i="5"/>
  <c r="DE195" i="5"/>
  <c r="AH195" i="5"/>
  <c r="AE151" i="5"/>
  <c r="DD151" i="5"/>
  <c r="AE119" i="5"/>
  <c r="DD119" i="5"/>
  <c r="AE120" i="5"/>
  <c r="DD120" i="5"/>
  <c r="AE88" i="5"/>
  <c r="DD88" i="5"/>
  <c r="DD55" i="5"/>
  <c r="AE55" i="5"/>
  <c r="DD11" i="5"/>
  <c r="AE11" i="5"/>
  <c r="DD32" i="5"/>
  <c r="AE32" i="5"/>
  <c r="DD74" i="5"/>
  <c r="AE74" i="5"/>
  <c r="DD68" i="5"/>
  <c r="AE68" i="5"/>
  <c r="DD57" i="5"/>
  <c r="AE57" i="5"/>
  <c r="DD73" i="5"/>
  <c r="AE73" i="5"/>
  <c r="DD70" i="5"/>
  <c r="AE70" i="5"/>
  <c r="DD63" i="5"/>
  <c r="AE63" i="5"/>
  <c r="DD67" i="5"/>
  <c r="AE67" i="5"/>
  <c r="DD47" i="5"/>
  <c r="AE47" i="5"/>
  <c r="DD36" i="5"/>
  <c r="AE36" i="5"/>
  <c r="DD43" i="5"/>
  <c r="AE43" i="5"/>
  <c r="DD35" i="5"/>
  <c r="AE35" i="5"/>
  <c r="DD80" i="5"/>
  <c r="AE80" i="5"/>
  <c r="DD28" i="5"/>
  <c r="AE28" i="5"/>
  <c r="DD76" i="5"/>
  <c r="AE76" i="5"/>
  <c r="AE199" i="5"/>
  <c r="DD199" i="5"/>
  <c r="AE132" i="5"/>
  <c r="DD132" i="5"/>
  <c r="DD62" i="5"/>
  <c r="AE62" i="5"/>
  <c r="AE107" i="5"/>
  <c r="DD107" i="5"/>
  <c r="DD22" i="5"/>
  <c r="AE22" i="5"/>
  <c r="DD60" i="5"/>
  <c r="AE60" i="5"/>
  <c r="DD85" i="5"/>
  <c r="AE85" i="5"/>
  <c r="DD54" i="5"/>
  <c r="AE54" i="5"/>
  <c r="DD71" i="5"/>
  <c r="AE71" i="5"/>
  <c r="DD82" i="5"/>
  <c r="AE82" i="5"/>
  <c r="DD50" i="5"/>
  <c r="AE50" i="5"/>
  <c r="AE153" i="5"/>
  <c r="DD153" i="5"/>
  <c r="AE115" i="5"/>
  <c r="DD115" i="5"/>
  <c r="AN154" i="5"/>
  <c r="DG154" i="5"/>
  <c r="AE116" i="5"/>
  <c r="DD116" i="5"/>
  <c r="AE148" i="5"/>
  <c r="DD148" i="5"/>
  <c r="AH189" i="5"/>
  <c r="DE189" i="5"/>
  <c r="BA139" i="3"/>
  <c r="AE77" i="5" l="1"/>
  <c r="DE77" i="5" s="1"/>
  <c r="AE112" i="5"/>
  <c r="DD112" i="5"/>
  <c r="AE118" i="5"/>
  <c r="DD118" i="5"/>
  <c r="AE155" i="5"/>
  <c r="DD155" i="5"/>
  <c r="AE144" i="5"/>
  <c r="DD144" i="5"/>
  <c r="DD152" i="5"/>
  <c r="AE152" i="5"/>
  <c r="AE34" i="5"/>
  <c r="AH34" i="5" s="1"/>
  <c r="DD19" i="5"/>
  <c r="AH101" i="5"/>
  <c r="DE101" i="5"/>
  <c r="AE102" i="5"/>
  <c r="DD102" i="5"/>
  <c r="AE90" i="5"/>
  <c r="DD90" i="5"/>
  <c r="DD6" i="5"/>
  <c r="AE6" i="5"/>
  <c r="AE193" i="5"/>
  <c r="DD193" i="5"/>
  <c r="BF158" i="5"/>
  <c r="DM158" i="5"/>
  <c r="BF160" i="5"/>
  <c r="DM160" i="5"/>
  <c r="BF165" i="5"/>
  <c r="DM165" i="5"/>
  <c r="BF159" i="5"/>
  <c r="DM159" i="5"/>
  <c r="BF164" i="5"/>
  <c r="DM164" i="5"/>
  <c r="BF157" i="5"/>
  <c r="DM157" i="5"/>
  <c r="BF156" i="5"/>
  <c r="DM156" i="5"/>
  <c r="DE50" i="5"/>
  <c r="AH50" i="5"/>
  <c r="DE81" i="5"/>
  <c r="AH81" i="5"/>
  <c r="DE48" i="5"/>
  <c r="AH48" i="5"/>
  <c r="DE13" i="5"/>
  <c r="AH13" i="5"/>
  <c r="AH200" i="5"/>
  <c r="DE200" i="5"/>
  <c r="AH116" i="5"/>
  <c r="DE116" i="5"/>
  <c r="AH153" i="5"/>
  <c r="DE153" i="5"/>
  <c r="AH199" i="5"/>
  <c r="DE199" i="5"/>
  <c r="AH151" i="5"/>
  <c r="DE151" i="5"/>
  <c r="AH111" i="5"/>
  <c r="DE111" i="5"/>
  <c r="AK146" i="5"/>
  <c r="DF146" i="5"/>
  <c r="AK192" i="5"/>
  <c r="DF192" i="5"/>
  <c r="AK89" i="5"/>
  <c r="DF89" i="5"/>
  <c r="DE8" i="5"/>
  <c r="AH8" i="5"/>
  <c r="DE12" i="5"/>
  <c r="AH12" i="5"/>
  <c r="DE83" i="5"/>
  <c r="AH83" i="5"/>
  <c r="AK194" i="5"/>
  <c r="DF194" i="5"/>
  <c r="DE65" i="5"/>
  <c r="AH65" i="5"/>
  <c r="DE23" i="5"/>
  <c r="AH23" i="5"/>
  <c r="DE17" i="5"/>
  <c r="AH17" i="5"/>
  <c r="DE22" i="5"/>
  <c r="AH22" i="5"/>
  <c r="DE76" i="5"/>
  <c r="AH76" i="5"/>
  <c r="DE63" i="5"/>
  <c r="AH63" i="5"/>
  <c r="DE11" i="5"/>
  <c r="AH11" i="5"/>
  <c r="DE27" i="5"/>
  <c r="AH27" i="5"/>
  <c r="DE21" i="5"/>
  <c r="AH21" i="5"/>
  <c r="DE20" i="5"/>
  <c r="AH20" i="5"/>
  <c r="AH92" i="5"/>
  <c r="DE92" i="5"/>
  <c r="AH98" i="5"/>
  <c r="DE98" i="5"/>
  <c r="AH94" i="5"/>
  <c r="DE94" i="5"/>
  <c r="DF189" i="5"/>
  <c r="AK189" i="5"/>
  <c r="AQ154" i="5"/>
  <c r="DH154" i="5"/>
  <c r="AH132" i="5"/>
  <c r="DE132" i="5"/>
  <c r="AH120" i="5"/>
  <c r="DE120" i="5"/>
  <c r="AH113" i="5"/>
  <c r="DE113" i="5"/>
  <c r="DE108" i="5"/>
  <c r="AH108" i="5"/>
  <c r="DE4" i="5"/>
  <c r="AH4" i="5"/>
  <c r="DE44" i="5"/>
  <c r="AH44" i="5"/>
  <c r="DE30" i="5"/>
  <c r="AH30" i="5"/>
  <c r="DE56" i="5"/>
  <c r="AH56" i="5"/>
  <c r="DE52" i="5"/>
  <c r="AH52" i="5"/>
  <c r="DE10" i="5"/>
  <c r="AH10" i="5"/>
  <c r="DE57" i="5"/>
  <c r="AH57" i="5"/>
  <c r="DE26" i="5"/>
  <c r="AH26" i="5"/>
  <c r="DF104" i="5"/>
  <c r="AK104" i="5"/>
  <c r="AK93" i="5"/>
  <c r="DF93" i="5"/>
  <c r="DE85" i="5"/>
  <c r="AH85" i="5"/>
  <c r="DE36" i="5"/>
  <c r="AH36" i="5"/>
  <c r="DE68" i="5"/>
  <c r="AH68" i="5"/>
  <c r="DE55" i="5"/>
  <c r="AH55" i="5"/>
  <c r="DE66" i="5"/>
  <c r="AH66" i="5"/>
  <c r="DE15" i="5"/>
  <c r="AH15" i="5"/>
  <c r="DE18" i="5"/>
  <c r="AH18" i="5"/>
  <c r="DE167" i="5"/>
  <c r="AH167" i="5"/>
  <c r="DE64" i="5"/>
  <c r="AH64" i="5"/>
  <c r="DE61" i="5"/>
  <c r="AH61" i="5"/>
  <c r="DE25" i="5"/>
  <c r="AH25" i="5"/>
  <c r="DE37" i="5"/>
  <c r="AH37" i="5"/>
  <c r="DE51" i="5"/>
  <c r="AH51" i="5"/>
  <c r="AH131" i="5"/>
  <c r="DE131" i="5"/>
  <c r="DE45" i="5"/>
  <c r="AH45" i="5"/>
  <c r="AH173" i="5"/>
  <c r="DE173" i="5"/>
  <c r="AH197" i="5"/>
  <c r="DE197" i="5"/>
  <c r="AH139" i="5"/>
  <c r="DE139" i="5"/>
  <c r="DE43" i="5"/>
  <c r="AH43" i="5"/>
  <c r="DE40" i="5"/>
  <c r="AH40" i="5"/>
  <c r="DE79" i="5"/>
  <c r="AH79" i="5"/>
  <c r="DE82" i="5"/>
  <c r="AH82" i="5"/>
  <c r="DE28" i="5"/>
  <c r="AH28" i="5"/>
  <c r="DE70" i="5"/>
  <c r="AH70" i="5"/>
  <c r="AH148" i="5"/>
  <c r="DE148" i="5"/>
  <c r="AH115" i="5"/>
  <c r="DE115" i="5"/>
  <c r="AH107" i="5"/>
  <c r="DE107" i="5"/>
  <c r="AH127" i="5"/>
  <c r="DE127" i="5"/>
  <c r="AH147" i="5"/>
  <c r="DE147" i="5"/>
  <c r="AH95" i="5"/>
  <c r="DE95" i="5"/>
  <c r="DE53" i="5"/>
  <c r="AH53" i="5"/>
  <c r="DE87" i="5"/>
  <c r="AH87" i="5"/>
  <c r="DE72" i="5"/>
  <c r="AH72" i="5"/>
  <c r="DE39" i="5"/>
  <c r="AH39" i="5"/>
  <c r="DE9" i="5"/>
  <c r="AH9" i="5"/>
  <c r="DE49" i="5"/>
  <c r="AH49" i="5"/>
  <c r="DE60" i="5"/>
  <c r="AH60" i="5"/>
  <c r="DE47" i="5"/>
  <c r="AH47" i="5"/>
  <c r="DE75" i="5"/>
  <c r="AH75" i="5"/>
  <c r="AH129" i="5"/>
  <c r="DE129" i="5"/>
  <c r="AK198" i="5"/>
  <c r="DF198" i="5"/>
  <c r="AH88" i="5"/>
  <c r="DE88" i="5"/>
  <c r="AH119" i="5"/>
  <c r="DE119" i="5"/>
  <c r="AH135" i="5"/>
  <c r="DE135" i="5"/>
  <c r="AK106" i="5"/>
  <c r="DF106" i="5"/>
  <c r="AH99" i="5"/>
  <c r="DE99" i="5"/>
  <c r="AK117" i="5"/>
  <c r="DF117" i="5"/>
  <c r="AH114" i="5"/>
  <c r="DE114" i="5"/>
  <c r="AH136" i="5"/>
  <c r="DE136" i="5"/>
  <c r="DE46" i="5"/>
  <c r="AH46" i="5"/>
  <c r="DE14" i="5"/>
  <c r="AH14" i="5"/>
  <c r="DE31" i="5"/>
  <c r="AH31" i="5"/>
  <c r="DE86" i="5"/>
  <c r="AH86" i="5"/>
  <c r="DE71" i="5"/>
  <c r="AH71" i="5"/>
  <c r="DE62" i="5"/>
  <c r="AH62" i="5"/>
  <c r="DE80" i="5"/>
  <c r="AH80" i="5"/>
  <c r="DE74" i="5"/>
  <c r="AH74" i="5"/>
  <c r="DF195" i="5"/>
  <c r="AK195" i="5"/>
  <c r="DE84" i="5"/>
  <c r="AH84" i="5"/>
  <c r="DE38" i="5"/>
  <c r="AH38" i="5"/>
  <c r="DE42" i="5"/>
  <c r="AH42" i="5"/>
  <c r="DE5" i="5"/>
  <c r="AH5" i="5"/>
  <c r="DE24" i="5"/>
  <c r="AH24" i="5"/>
  <c r="AH149" i="5"/>
  <c r="DE149" i="5"/>
  <c r="AH91" i="5"/>
  <c r="DE91" i="5"/>
  <c r="AK134" i="5"/>
  <c r="DF134" i="5"/>
  <c r="DE54" i="5"/>
  <c r="AH54" i="5"/>
  <c r="DE35" i="5"/>
  <c r="AH35" i="5"/>
  <c r="DE67" i="5"/>
  <c r="AH67" i="5"/>
  <c r="DE73" i="5"/>
  <c r="AH73" i="5"/>
  <c r="DE32" i="5"/>
  <c r="AH32" i="5"/>
  <c r="DE69" i="5"/>
  <c r="AH69" i="5"/>
  <c r="DE78" i="5"/>
  <c r="AH78" i="5"/>
  <c r="DE16" i="5"/>
  <c r="AH16" i="5"/>
  <c r="DE41" i="5"/>
  <c r="AH41" i="5"/>
  <c r="DE190" i="5"/>
  <c r="AH190" i="5"/>
  <c r="DE19" i="5"/>
  <c r="AH19" i="5"/>
  <c r="DE29" i="5"/>
  <c r="AH29" i="5"/>
  <c r="DE59" i="5"/>
  <c r="AH59" i="5"/>
  <c r="DE58" i="5"/>
  <c r="AH58" i="5"/>
  <c r="DE33" i="5"/>
  <c r="AH33" i="5"/>
  <c r="DE7" i="5"/>
  <c r="AH7" i="5"/>
  <c r="AH96" i="5"/>
  <c r="DE96" i="5"/>
  <c r="DF196" i="5"/>
  <c r="AK196" i="5"/>
  <c r="AH100" i="5"/>
  <c r="DE100" i="5"/>
  <c r="AH145" i="5"/>
  <c r="DE145" i="5"/>
  <c r="AH191" i="5"/>
  <c r="DE191" i="5"/>
  <c r="AH97" i="5"/>
  <c r="DE97" i="5"/>
  <c r="AK150" i="5"/>
  <c r="DF150" i="5"/>
  <c r="AK130" i="5"/>
  <c r="DF130" i="5"/>
  <c r="AK188" i="5"/>
  <c r="DF188" i="5"/>
  <c r="Q6" i="3"/>
  <c r="AH77" i="5" l="1"/>
  <c r="DF77" i="5" s="1"/>
  <c r="AH112" i="5"/>
  <c r="DE112" i="5"/>
  <c r="AH118" i="5"/>
  <c r="DE118" i="5"/>
  <c r="DE34" i="5"/>
  <c r="AH152" i="5"/>
  <c r="DE152" i="5"/>
  <c r="AH144" i="5"/>
  <c r="DE144" i="5"/>
  <c r="DE155" i="5"/>
  <c r="AH155" i="5"/>
  <c r="DF101" i="5"/>
  <c r="AK101" i="5"/>
  <c r="AH193" i="5"/>
  <c r="DE193" i="5"/>
  <c r="AH90" i="5"/>
  <c r="DE90" i="5"/>
  <c r="DE6" i="5"/>
  <c r="AH6" i="5"/>
  <c r="AH102" i="5"/>
  <c r="DE102" i="5"/>
  <c r="BI157" i="5"/>
  <c r="DN157" i="5"/>
  <c r="BI164" i="5"/>
  <c r="DN164" i="5"/>
  <c r="BI158" i="5"/>
  <c r="DN158" i="5"/>
  <c r="BI156" i="5"/>
  <c r="DN156" i="5"/>
  <c r="BI159" i="5"/>
  <c r="DN159" i="5"/>
  <c r="BI165" i="5"/>
  <c r="DN165" i="5"/>
  <c r="BI160" i="5"/>
  <c r="DN160" i="5"/>
  <c r="AK96" i="5"/>
  <c r="DF96" i="5"/>
  <c r="AK119" i="5"/>
  <c r="DF119" i="5"/>
  <c r="AK147" i="5"/>
  <c r="DF147" i="5"/>
  <c r="AK145" i="5"/>
  <c r="DF145" i="5"/>
  <c r="DF7" i="5"/>
  <c r="AK7" i="5"/>
  <c r="DF29" i="5"/>
  <c r="AK29" i="5"/>
  <c r="DF16" i="5"/>
  <c r="AK16" i="5"/>
  <c r="DF32" i="5"/>
  <c r="AK32" i="5"/>
  <c r="DF5" i="5"/>
  <c r="AK5" i="5"/>
  <c r="AN195" i="5"/>
  <c r="DG195" i="5"/>
  <c r="DF71" i="5"/>
  <c r="AK71" i="5"/>
  <c r="DF14" i="5"/>
  <c r="AK14" i="5"/>
  <c r="DF60" i="5"/>
  <c r="AK60" i="5"/>
  <c r="DF39" i="5"/>
  <c r="AK39" i="5"/>
  <c r="DF82" i="5"/>
  <c r="AK82" i="5"/>
  <c r="DF37" i="5"/>
  <c r="AK37" i="5"/>
  <c r="DF167" i="5"/>
  <c r="AK167" i="5"/>
  <c r="DF55" i="5"/>
  <c r="AK55" i="5"/>
  <c r="DF57" i="5"/>
  <c r="AK57" i="5"/>
  <c r="DF30" i="5"/>
  <c r="AK30" i="5"/>
  <c r="DF27" i="5"/>
  <c r="AK27" i="5"/>
  <c r="DF22" i="5"/>
  <c r="AK22" i="5"/>
  <c r="DF12" i="5"/>
  <c r="AK12" i="5"/>
  <c r="DF48" i="5"/>
  <c r="AK48" i="5"/>
  <c r="AK197" i="5"/>
  <c r="DF197" i="5"/>
  <c r="AN93" i="5"/>
  <c r="DG93" i="5"/>
  <c r="AT154" i="5"/>
  <c r="DI154" i="5"/>
  <c r="AN192" i="5"/>
  <c r="DG192" i="5"/>
  <c r="AK151" i="5"/>
  <c r="DF151" i="5"/>
  <c r="AK116" i="5"/>
  <c r="DF116" i="5"/>
  <c r="AN188" i="5"/>
  <c r="DG188" i="5"/>
  <c r="AK97" i="5"/>
  <c r="DF97" i="5"/>
  <c r="AN196" i="5"/>
  <c r="DG196" i="5"/>
  <c r="DF33" i="5"/>
  <c r="AK33" i="5"/>
  <c r="DF19" i="5"/>
  <c r="AK19" i="5"/>
  <c r="DF78" i="5"/>
  <c r="AK78" i="5"/>
  <c r="DF73" i="5"/>
  <c r="AK73" i="5"/>
  <c r="DF34" i="5"/>
  <c r="AK34" i="5"/>
  <c r="DF42" i="5"/>
  <c r="AK42" i="5"/>
  <c r="DF74" i="5"/>
  <c r="AK74" i="5"/>
  <c r="DF86" i="5"/>
  <c r="AK86" i="5"/>
  <c r="DF46" i="5"/>
  <c r="AK46" i="5"/>
  <c r="DF72" i="5"/>
  <c r="AK72" i="5"/>
  <c r="DF43" i="5"/>
  <c r="AK43" i="5"/>
  <c r="DF25" i="5"/>
  <c r="AK25" i="5"/>
  <c r="DF18" i="5"/>
  <c r="AK18" i="5"/>
  <c r="DF68" i="5"/>
  <c r="AK68" i="5"/>
  <c r="DF10" i="5"/>
  <c r="AK10" i="5"/>
  <c r="DF44" i="5"/>
  <c r="AK44" i="5"/>
  <c r="DF108" i="5"/>
  <c r="AK108" i="5"/>
  <c r="DG189" i="5"/>
  <c r="AN189" i="5"/>
  <c r="DF20" i="5"/>
  <c r="AK20" i="5"/>
  <c r="DF11" i="5"/>
  <c r="AK11" i="5"/>
  <c r="DF17" i="5"/>
  <c r="AK17" i="5"/>
  <c r="DF8" i="5"/>
  <c r="AK8" i="5"/>
  <c r="DF81" i="5"/>
  <c r="AK81" i="5"/>
  <c r="AK100" i="5"/>
  <c r="DF100" i="5"/>
  <c r="AK136" i="5"/>
  <c r="DF136" i="5"/>
  <c r="AK92" i="5"/>
  <c r="DF92" i="5"/>
  <c r="AN194" i="5"/>
  <c r="DG194" i="5"/>
  <c r="AK149" i="5"/>
  <c r="DF149" i="5"/>
  <c r="AK114" i="5"/>
  <c r="DF114" i="5"/>
  <c r="AK135" i="5"/>
  <c r="DF135" i="5"/>
  <c r="AK148" i="5"/>
  <c r="DF148" i="5"/>
  <c r="DF173" i="5"/>
  <c r="AK173" i="5"/>
  <c r="AK131" i="5"/>
  <c r="DF131" i="5"/>
  <c r="AK120" i="5"/>
  <c r="DF120" i="5"/>
  <c r="AN146" i="5"/>
  <c r="DG146" i="5"/>
  <c r="AK200" i="5"/>
  <c r="DF200" i="5"/>
  <c r="AK91" i="5"/>
  <c r="DF91" i="5"/>
  <c r="DG106" i="5"/>
  <c r="AN106" i="5"/>
  <c r="AK129" i="5"/>
  <c r="DF129" i="5"/>
  <c r="AK95" i="5"/>
  <c r="DF95" i="5"/>
  <c r="AK115" i="5"/>
  <c r="DF115" i="5"/>
  <c r="AN130" i="5"/>
  <c r="DG130" i="5"/>
  <c r="DF58" i="5"/>
  <c r="AK58" i="5"/>
  <c r="AK190" i="5"/>
  <c r="DF190" i="5"/>
  <c r="DF69" i="5"/>
  <c r="AK69" i="5"/>
  <c r="DF67" i="5"/>
  <c r="AK67" i="5"/>
  <c r="DF54" i="5"/>
  <c r="AK54" i="5"/>
  <c r="DF38" i="5"/>
  <c r="AK38" i="5"/>
  <c r="DF80" i="5"/>
  <c r="AK80" i="5"/>
  <c r="DF75" i="5"/>
  <c r="AK75" i="5"/>
  <c r="DF49" i="5"/>
  <c r="AK49" i="5"/>
  <c r="DF87" i="5"/>
  <c r="AK87" i="5"/>
  <c r="DF70" i="5"/>
  <c r="AK70" i="5"/>
  <c r="DF79" i="5"/>
  <c r="AK79" i="5"/>
  <c r="DF45" i="5"/>
  <c r="AK45" i="5"/>
  <c r="DF61" i="5"/>
  <c r="AK61" i="5"/>
  <c r="DF15" i="5"/>
  <c r="AK15" i="5"/>
  <c r="DF36" i="5"/>
  <c r="AK36" i="5"/>
  <c r="AN104" i="5"/>
  <c r="DG104" i="5"/>
  <c r="DF52" i="5"/>
  <c r="AK52" i="5"/>
  <c r="DF4" i="5"/>
  <c r="AK4" i="5"/>
  <c r="DF21" i="5"/>
  <c r="AK21" i="5"/>
  <c r="DF63" i="5"/>
  <c r="AK63" i="5"/>
  <c r="DF23" i="5"/>
  <c r="AK23" i="5"/>
  <c r="AK139" i="5"/>
  <c r="DF139" i="5"/>
  <c r="AK132" i="5"/>
  <c r="DF132" i="5"/>
  <c r="AN150" i="5"/>
  <c r="DG150" i="5"/>
  <c r="DF59" i="5"/>
  <c r="AK59" i="5"/>
  <c r="DF41" i="5"/>
  <c r="AK41" i="5"/>
  <c r="DF35" i="5"/>
  <c r="AK35" i="5"/>
  <c r="DF24" i="5"/>
  <c r="AK24" i="5"/>
  <c r="DF84" i="5"/>
  <c r="AK84" i="5"/>
  <c r="DF62" i="5"/>
  <c r="AK62" i="5"/>
  <c r="DF31" i="5"/>
  <c r="AK31" i="5"/>
  <c r="DF47" i="5"/>
  <c r="AK47" i="5"/>
  <c r="DF9" i="5"/>
  <c r="AK9" i="5"/>
  <c r="DF53" i="5"/>
  <c r="AK53" i="5"/>
  <c r="DF28" i="5"/>
  <c r="AK28" i="5"/>
  <c r="DF40" i="5"/>
  <c r="AK40" i="5"/>
  <c r="DF51" i="5"/>
  <c r="AK51" i="5"/>
  <c r="DF64" i="5"/>
  <c r="AK64" i="5"/>
  <c r="DF66" i="5"/>
  <c r="AK66" i="5"/>
  <c r="DF85" i="5"/>
  <c r="AK85" i="5"/>
  <c r="DF26" i="5"/>
  <c r="AK26" i="5"/>
  <c r="DF56" i="5"/>
  <c r="AK56" i="5"/>
  <c r="DF76" i="5"/>
  <c r="AK76" i="5"/>
  <c r="DF65" i="5"/>
  <c r="AK65" i="5"/>
  <c r="DF83" i="5"/>
  <c r="AK83" i="5"/>
  <c r="DF13" i="5"/>
  <c r="AK13" i="5"/>
  <c r="DF50" i="5"/>
  <c r="AK50" i="5"/>
  <c r="AK191" i="5"/>
  <c r="DF191" i="5"/>
  <c r="AN117" i="5"/>
  <c r="DG117" i="5"/>
  <c r="AK94" i="5"/>
  <c r="DF94" i="5"/>
  <c r="DF199" i="5"/>
  <c r="AK199" i="5"/>
  <c r="AN134" i="5"/>
  <c r="DG134" i="5"/>
  <c r="AK99" i="5"/>
  <c r="DF99" i="5"/>
  <c r="AK88" i="5"/>
  <c r="DF88" i="5"/>
  <c r="AN198" i="5"/>
  <c r="DG198" i="5"/>
  <c r="AK127" i="5"/>
  <c r="DF127" i="5"/>
  <c r="DF107" i="5"/>
  <c r="AK107" i="5"/>
  <c r="AK113" i="5"/>
  <c r="DF113" i="5"/>
  <c r="AK98" i="5"/>
  <c r="DF98" i="5"/>
  <c r="AN89" i="5"/>
  <c r="DG89" i="5"/>
  <c r="AK111" i="5"/>
  <c r="DF111" i="5"/>
  <c r="AK153" i="5"/>
  <c r="DF153" i="5"/>
  <c r="M30" i="3"/>
  <c r="AK77" i="5" l="1"/>
  <c r="AN77" i="5" s="1"/>
  <c r="AK112" i="5"/>
  <c r="DF112" i="5"/>
  <c r="DF118" i="5"/>
  <c r="AK118" i="5"/>
  <c r="AK144" i="5"/>
  <c r="DF144" i="5"/>
  <c r="AK155" i="5"/>
  <c r="DF155" i="5"/>
  <c r="AK152" i="5"/>
  <c r="DF152" i="5"/>
  <c r="DG101" i="5"/>
  <c r="AN101" i="5"/>
  <c r="DF102" i="5"/>
  <c r="AK102" i="5"/>
  <c r="AK90" i="5"/>
  <c r="DF90" i="5"/>
  <c r="DF6" i="5"/>
  <c r="AK6" i="5"/>
  <c r="AK193" i="5"/>
  <c r="DF193" i="5"/>
  <c r="BL160" i="5"/>
  <c r="DO160" i="5"/>
  <c r="BL158" i="5"/>
  <c r="DO158" i="5"/>
  <c r="BL157" i="5"/>
  <c r="DO157" i="5"/>
  <c r="BL165" i="5"/>
  <c r="DO165" i="5"/>
  <c r="BL159" i="5"/>
  <c r="DO159" i="5"/>
  <c r="BL156" i="5"/>
  <c r="DO156" i="5"/>
  <c r="BL164" i="5"/>
  <c r="DO164" i="5"/>
  <c r="DG107" i="5"/>
  <c r="AN107" i="5"/>
  <c r="DG66" i="5"/>
  <c r="AN66" i="5"/>
  <c r="DG24" i="5"/>
  <c r="AN24" i="5"/>
  <c r="AQ146" i="5"/>
  <c r="DH146" i="5"/>
  <c r="AQ194" i="5"/>
  <c r="DH194" i="5"/>
  <c r="AQ196" i="5"/>
  <c r="DH196" i="5"/>
  <c r="DG64" i="5"/>
  <c r="AN64" i="5"/>
  <c r="AN99" i="5"/>
  <c r="DG99" i="5"/>
  <c r="AQ150" i="5"/>
  <c r="DH150" i="5"/>
  <c r="AN132" i="5"/>
  <c r="DG132" i="5"/>
  <c r="DG21" i="5"/>
  <c r="AN21" i="5"/>
  <c r="DG45" i="5"/>
  <c r="AN45" i="5"/>
  <c r="DG49" i="5"/>
  <c r="AN49" i="5"/>
  <c r="DG80" i="5"/>
  <c r="AN80" i="5"/>
  <c r="DG69" i="5"/>
  <c r="AN69" i="5"/>
  <c r="DG173" i="5"/>
  <c r="AN173" i="5"/>
  <c r="DG81" i="5"/>
  <c r="AN81" i="5"/>
  <c r="DG11" i="5"/>
  <c r="AN11" i="5"/>
  <c r="DG44" i="5"/>
  <c r="AN44" i="5"/>
  <c r="DG25" i="5"/>
  <c r="AN25" i="5"/>
  <c r="DG42" i="5"/>
  <c r="AN42" i="5"/>
  <c r="DG19" i="5"/>
  <c r="AN19" i="5"/>
  <c r="DG12" i="5"/>
  <c r="AN12" i="5"/>
  <c r="DG30" i="5"/>
  <c r="AN30" i="5"/>
  <c r="DG37" i="5"/>
  <c r="AN37" i="5"/>
  <c r="DG60" i="5"/>
  <c r="AN60" i="5"/>
  <c r="DG29" i="5"/>
  <c r="AN29" i="5"/>
  <c r="DG65" i="5"/>
  <c r="AN65" i="5"/>
  <c r="DG9" i="5"/>
  <c r="AN9" i="5"/>
  <c r="AQ104" i="5"/>
  <c r="DH104" i="5"/>
  <c r="AN91" i="5"/>
  <c r="DG91" i="5"/>
  <c r="DH188" i="5"/>
  <c r="AQ188" i="5"/>
  <c r="DG197" i="5"/>
  <c r="AN197" i="5"/>
  <c r="AQ195" i="5"/>
  <c r="DH195" i="5"/>
  <c r="AN153" i="5"/>
  <c r="DG153" i="5"/>
  <c r="AN98" i="5"/>
  <c r="DG98" i="5"/>
  <c r="AN127" i="5"/>
  <c r="DG127" i="5"/>
  <c r="AQ134" i="5"/>
  <c r="DH134" i="5"/>
  <c r="DG191" i="5"/>
  <c r="AN191" i="5"/>
  <c r="AN139" i="5"/>
  <c r="DG139" i="5"/>
  <c r="DG36" i="5"/>
  <c r="AN36" i="5"/>
  <c r="DG79" i="5"/>
  <c r="AN79" i="5"/>
  <c r="DG75" i="5"/>
  <c r="AN75" i="5"/>
  <c r="DG38" i="5"/>
  <c r="AN38" i="5"/>
  <c r="DG20" i="5"/>
  <c r="AN20" i="5"/>
  <c r="DG10" i="5"/>
  <c r="AN10" i="5"/>
  <c r="DG43" i="5"/>
  <c r="AN43" i="5"/>
  <c r="DG46" i="5"/>
  <c r="AN46" i="5"/>
  <c r="DG34" i="5"/>
  <c r="AN34" i="5"/>
  <c r="DG33" i="5"/>
  <c r="AN33" i="5"/>
  <c r="DG22" i="5"/>
  <c r="AN22" i="5"/>
  <c r="DG57" i="5"/>
  <c r="AN57" i="5"/>
  <c r="DG5" i="5"/>
  <c r="AN5" i="5"/>
  <c r="DG7" i="5"/>
  <c r="AN7" i="5"/>
  <c r="DG26" i="5"/>
  <c r="AN26" i="5"/>
  <c r="DG62" i="5"/>
  <c r="AN62" i="5"/>
  <c r="AN120" i="5"/>
  <c r="DG120" i="5"/>
  <c r="AN114" i="5"/>
  <c r="DG114" i="5"/>
  <c r="AN199" i="5"/>
  <c r="DG199" i="5"/>
  <c r="DG50" i="5"/>
  <c r="AN50" i="5"/>
  <c r="DG76" i="5"/>
  <c r="AN76" i="5"/>
  <c r="DG85" i="5"/>
  <c r="AN85" i="5"/>
  <c r="DG40" i="5"/>
  <c r="AN40" i="5"/>
  <c r="DG47" i="5"/>
  <c r="AN47" i="5"/>
  <c r="DG84" i="5"/>
  <c r="AN84" i="5"/>
  <c r="DG41" i="5"/>
  <c r="AN41" i="5"/>
  <c r="AN190" i="5"/>
  <c r="DG190" i="5"/>
  <c r="AN95" i="5"/>
  <c r="DG95" i="5"/>
  <c r="AN200" i="5"/>
  <c r="DG200" i="5"/>
  <c r="AN149" i="5"/>
  <c r="DG149" i="5"/>
  <c r="AN116" i="5"/>
  <c r="DG116" i="5"/>
  <c r="AN147" i="5"/>
  <c r="DG147" i="5"/>
  <c r="DG51" i="5"/>
  <c r="AN51" i="5"/>
  <c r="AN115" i="5"/>
  <c r="DG115" i="5"/>
  <c r="AW154" i="5"/>
  <c r="DJ154" i="5"/>
  <c r="AN145" i="5"/>
  <c r="DG145" i="5"/>
  <c r="AN111" i="5"/>
  <c r="DG111" i="5"/>
  <c r="DH198" i="5"/>
  <c r="AQ198" i="5"/>
  <c r="DG23" i="5"/>
  <c r="AN23" i="5"/>
  <c r="DG4" i="5"/>
  <c r="AN4" i="5"/>
  <c r="DG15" i="5"/>
  <c r="AN15" i="5"/>
  <c r="DG70" i="5"/>
  <c r="AN70" i="5"/>
  <c r="DG54" i="5"/>
  <c r="AN54" i="5"/>
  <c r="DG58" i="5"/>
  <c r="AN58" i="5"/>
  <c r="DG8" i="5"/>
  <c r="AN8" i="5"/>
  <c r="AQ189" i="5"/>
  <c r="DH189" i="5"/>
  <c r="DG68" i="5"/>
  <c r="AN68" i="5"/>
  <c r="DG86" i="5"/>
  <c r="AN86" i="5"/>
  <c r="DG73" i="5"/>
  <c r="AN73" i="5"/>
  <c r="DG27" i="5"/>
  <c r="AN27" i="5"/>
  <c r="DG55" i="5"/>
  <c r="AN55" i="5"/>
  <c r="DG82" i="5"/>
  <c r="AN82" i="5"/>
  <c r="DG14" i="5"/>
  <c r="AN14" i="5"/>
  <c r="DG32" i="5"/>
  <c r="AN32" i="5"/>
  <c r="DG59" i="5"/>
  <c r="AN59" i="5"/>
  <c r="AN129" i="5"/>
  <c r="DG129" i="5"/>
  <c r="AN151" i="5"/>
  <c r="DG151" i="5"/>
  <c r="AN119" i="5"/>
  <c r="DG119" i="5"/>
  <c r="AQ89" i="5"/>
  <c r="DH89" i="5"/>
  <c r="AN113" i="5"/>
  <c r="DG113" i="5"/>
  <c r="AN88" i="5"/>
  <c r="DG88" i="5"/>
  <c r="AN94" i="5"/>
  <c r="DG94" i="5"/>
  <c r="AQ117" i="5"/>
  <c r="DH117" i="5"/>
  <c r="DG63" i="5"/>
  <c r="AN63" i="5"/>
  <c r="DG52" i="5"/>
  <c r="AN52" i="5"/>
  <c r="DG61" i="5"/>
  <c r="AN61" i="5"/>
  <c r="DG87" i="5"/>
  <c r="AN87" i="5"/>
  <c r="DG67" i="5"/>
  <c r="AN67" i="5"/>
  <c r="DH106" i="5"/>
  <c r="AQ106" i="5"/>
  <c r="DG17" i="5"/>
  <c r="AN17" i="5"/>
  <c r="AN108" i="5"/>
  <c r="DG108" i="5"/>
  <c r="DG18" i="5"/>
  <c r="AN18" i="5"/>
  <c r="DG72" i="5"/>
  <c r="AN72" i="5"/>
  <c r="DG74" i="5"/>
  <c r="AN74" i="5"/>
  <c r="DG78" i="5"/>
  <c r="AN78" i="5"/>
  <c r="DG48" i="5"/>
  <c r="AN48" i="5"/>
  <c r="DG167" i="5"/>
  <c r="AN167" i="5"/>
  <c r="DG39" i="5"/>
  <c r="AN39" i="5"/>
  <c r="DG71" i="5"/>
  <c r="AN71" i="5"/>
  <c r="DG16" i="5"/>
  <c r="AN16" i="5"/>
  <c r="DG13" i="5"/>
  <c r="AN13" i="5"/>
  <c r="DG28" i="5"/>
  <c r="AN28" i="5"/>
  <c r="AN148" i="5"/>
  <c r="DG148" i="5"/>
  <c r="AN136" i="5"/>
  <c r="DG136" i="5"/>
  <c r="DG83" i="5"/>
  <c r="AN83" i="5"/>
  <c r="DG56" i="5"/>
  <c r="AN56" i="5"/>
  <c r="DG53" i="5"/>
  <c r="AN53" i="5"/>
  <c r="DG31" i="5"/>
  <c r="AN31" i="5"/>
  <c r="DG35" i="5"/>
  <c r="AN35" i="5"/>
  <c r="AQ130" i="5"/>
  <c r="DH130" i="5"/>
  <c r="AN131" i="5"/>
  <c r="DG131" i="5"/>
  <c r="AN135" i="5"/>
  <c r="DG135" i="5"/>
  <c r="AN92" i="5"/>
  <c r="DG92" i="5"/>
  <c r="AN100" i="5"/>
  <c r="DG100" i="5"/>
  <c r="AN97" i="5"/>
  <c r="DG97" i="5"/>
  <c r="DH192" i="5"/>
  <c r="AQ192" i="5"/>
  <c r="AQ93" i="5"/>
  <c r="DH93" i="5"/>
  <c r="AN96" i="5"/>
  <c r="DG96" i="5"/>
  <c r="DG77" i="5" l="1"/>
  <c r="AN112" i="5"/>
  <c r="DG112" i="5"/>
  <c r="DG118" i="5"/>
  <c r="AN118" i="5"/>
  <c r="AN152" i="5"/>
  <c r="DG152" i="5"/>
  <c r="AN155" i="5"/>
  <c r="DG155" i="5"/>
  <c r="DG144" i="5"/>
  <c r="AN144" i="5"/>
  <c r="AQ101" i="5"/>
  <c r="DH101" i="5"/>
  <c r="DG193" i="5"/>
  <c r="AN193" i="5"/>
  <c r="AN90" i="5"/>
  <c r="DG90" i="5"/>
  <c r="DG6" i="5"/>
  <c r="AN6" i="5"/>
  <c r="AN102" i="5"/>
  <c r="DG102" i="5"/>
  <c r="BO164" i="5"/>
  <c r="DP164" i="5"/>
  <c r="BO159" i="5"/>
  <c r="DP159" i="5"/>
  <c r="BO158" i="5"/>
  <c r="DP158" i="5"/>
  <c r="BO160" i="5"/>
  <c r="DP160" i="5"/>
  <c r="BO156" i="5"/>
  <c r="DP156" i="5"/>
  <c r="BO165" i="5"/>
  <c r="DP165" i="5"/>
  <c r="BO157" i="5"/>
  <c r="DP157" i="5"/>
  <c r="AT189" i="5"/>
  <c r="DI189" i="5"/>
  <c r="DI93" i="5"/>
  <c r="AT93" i="5"/>
  <c r="AQ92" i="5"/>
  <c r="DH92" i="5"/>
  <c r="DH53" i="5"/>
  <c r="AQ53" i="5"/>
  <c r="DH13" i="5"/>
  <c r="AQ13" i="5"/>
  <c r="DH167" i="5"/>
  <c r="AQ167" i="5"/>
  <c r="DH72" i="5"/>
  <c r="AQ72" i="5"/>
  <c r="AT106" i="5"/>
  <c r="DI106" i="5"/>
  <c r="DH61" i="5"/>
  <c r="AQ61" i="5"/>
  <c r="DH32" i="5"/>
  <c r="AQ32" i="5"/>
  <c r="DH27" i="5"/>
  <c r="AQ27" i="5"/>
  <c r="DH70" i="5"/>
  <c r="AQ70" i="5"/>
  <c r="DH47" i="5"/>
  <c r="AQ47" i="5"/>
  <c r="DH50" i="5"/>
  <c r="AQ50" i="5"/>
  <c r="DH62" i="5"/>
  <c r="AQ62" i="5"/>
  <c r="DH77" i="5"/>
  <c r="AQ77" i="5"/>
  <c r="DH34" i="5"/>
  <c r="AQ34" i="5"/>
  <c r="DH20" i="5"/>
  <c r="AQ20" i="5"/>
  <c r="DH75" i="5"/>
  <c r="AQ75" i="5"/>
  <c r="AT188" i="5"/>
  <c r="DI188" i="5"/>
  <c r="DH9" i="5"/>
  <c r="AQ9" i="5"/>
  <c r="DH37" i="5"/>
  <c r="AQ37" i="5"/>
  <c r="DH42" i="5"/>
  <c r="AQ42" i="5"/>
  <c r="DH81" i="5"/>
  <c r="AQ81" i="5"/>
  <c r="DH49" i="5"/>
  <c r="AQ49" i="5"/>
  <c r="AQ113" i="5"/>
  <c r="DH113" i="5"/>
  <c r="AQ95" i="5"/>
  <c r="DH95" i="5"/>
  <c r="AQ98" i="5"/>
  <c r="DH98" i="5"/>
  <c r="AQ132" i="5"/>
  <c r="DH132" i="5"/>
  <c r="AQ99" i="5"/>
  <c r="DH99" i="5"/>
  <c r="AT146" i="5"/>
  <c r="DI146" i="5"/>
  <c r="AZ154" i="5"/>
  <c r="DK154" i="5"/>
  <c r="AQ149" i="5"/>
  <c r="DH149" i="5"/>
  <c r="AQ96" i="5"/>
  <c r="DH96" i="5"/>
  <c r="AQ135" i="5"/>
  <c r="DH135" i="5"/>
  <c r="AT130" i="5"/>
  <c r="DI130" i="5"/>
  <c r="DH56" i="5"/>
  <c r="AQ56" i="5"/>
  <c r="DH16" i="5"/>
  <c r="AQ16" i="5"/>
  <c r="DH48" i="5"/>
  <c r="AQ48" i="5"/>
  <c r="DH18" i="5"/>
  <c r="AQ18" i="5"/>
  <c r="DH67" i="5"/>
  <c r="AQ67" i="5"/>
  <c r="DH52" i="5"/>
  <c r="AQ52" i="5"/>
  <c r="DH59" i="5"/>
  <c r="AQ59" i="5"/>
  <c r="DH14" i="5"/>
  <c r="AQ14" i="5"/>
  <c r="DH68" i="5"/>
  <c r="AQ68" i="5"/>
  <c r="DH58" i="5"/>
  <c r="AQ58" i="5"/>
  <c r="DH15" i="5"/>
  <c r="AQ15" i="5"/>
  <c r="DH51" i="5"/>
  <c r="AQ51" i="5"/>
  <c r="DH40" i="5"/>
  <c r="AQ40" i="5"/>
  <c r="DH26" i="5"/>
  <c r="AQ26" i="5"/>
  <c r="DH57" i="5"/>
  <c r="AQ57" i="5"/>
  <c r="DH46" i="5"/>
  <c r="AQ46" i="5"/>
  <c r="DH79" i="5"/>
  <c r="AQ79" i="5"/>
  <c r="DH65" i="5"/>
  <c r="AQ65" i="5"/>
  <c r="DH30" i="5"/>
  <c r="AQ30" i="5"/>
  <c r="DH25" i="5"/>
  <c r="AQ25" i="5"/>
  <c r="DH173" i="5"/>
  <c r="AQ173" i="5"/>
  <c r="DH45" i="5"/>
  <c r="AQ45" i="5"/>
  <c r="DH24" i="5"/>
  <c r="AQ24" i="5"/>
  <c r="AQ129" i="5"/>
  <c r="DH129" i="5"/>
  <c r="AQ148" i="5"/>
  <c r="DH148" i="5"/>
  <c r="AT117" i="5"/>
  <c r="DI117" i="5"/>
  <c r="AT89" i="5"/>
  <c r="DI89" i="5"/>
  <c r="AQ190" i="5"/>
  <c r="DH190" i="5"/>
  <c r="AQ199" i="5"/>
  <c r="DH199" i="5"/>
  <c r="AQ139" i="5"/>
  <c r="DH139" i="5"/>
  <c r="AT134" i="5"/>
  <c r="DI134" i="5"/>
  <c r="AQ153" i="5"/>
  <c r="DH153" i="5"/>
  <c r="AT150" i="5"/>
  <c r="DI150" i="5"/>
  <c r="AT192" i="5"/>
  <c r="DI192" i="5"/>
  <c r="AQ136" i="5"/>
  <c r="DH136" i="5"/>
  <c r="AQ97" i="5"/>
  <c r="DH97" i="5"/>
  <c r="DH35" i="5"/>
  <c r="AQ35" i="5"/>
  <c r="DH83" i="5"/>
  <c r="AQ83" i="5"/>
  <c r="DH71" i="5"/>
  <c r="AQ71" i="5"/>
  <c r="DH78" i="5"/>
  <c r="AQ78" i="5"/>
  <c r="DH63" i="5"/>
  <c r="AQ63" i="5"/>
  <c r="DH82" i="5"/>
  <c r="AQ82" i="5"/>
  <c r="DH73" i="5"/>
  <c r="AQ73" i="5"/>
  <c r="DH54" i="5"/>
  <c r="AQ54" i="5"/>
  <c r="DH4" i="5"/>
  <c r="AQ4" i="5"/>
  <c r="DH41" i="5"/>
  <c r="AQ41" i="5"/>
  <c r="DH85" i="5"/>
  <c r="AQ85" i="5"/>
  <c r="DH7" i="5"/>
  <c r="AQ7" i="5"/>
  <c r="DH22" i="5"/>
  <c r="AQ22" i="5"/>
  <c r="DH43" i="5"/>
  <c r="AQ43" i="5"/>
  <c r="DH36" i="5"/>
  <c r="AQ36" i="5"/>
  <c r="DH29" i="5"/>
  <c r="AQ29" i="5"/>
  <c r="DH12" i="5"/>
  <c r="AQ12" i="5"/>
  <c r="DH44" i="5"/>
  <c r="AQ44" i="5"/>
  <c r="DH69" i="5"/>
  <c r="AQ69" i="5"/>
  <c r="DH21" i="5"/>
  <c r="AQ21" i="5"/>
  <c r="DH66" i="5"/>
  <c r="AQ66" i="5"/>
  <c r="AQ119" i="5"/>
  <c r="DH119" i="5"/>
  <c r="AQ114" i="5"/>
  <c r="DH114" i="5"/>
  <c r="AQ127" i="5"/>
  <c r="DH127" i="5"/>
  <c r="AT195" i="5"/>
  <c r="DI195" i="5"/>
  <c r="AQ91" i="5"/>
  <c r="DH91" i="5"/>
  <c r="AT196" i="5"/>
  <c r="DI196" i="5"/>
  <c r="AQ108" i="5"/>
  <c r="DH108" i="5"/>
  <c r="AQ94" i="5"/>
  <c r="DH94" i="5"/>
  <c r="AQ111" i="5"/>
  <c r="DH111" i="5"/>
  <c r="AQ116" i="5"/>
  <c r="DH116" i="5"/>
  <c r="AQ100" i="5"/>
  <c r="DH100" i="5"/>
  <c r="AQ131" i="5"/>
  <c r="DH131" i="5"/>
  <c r="DH31" i="5"/>
  <c r="AQ31" i="5"/>
  <c r="DH28" i="5"/>
  <c r="AQ28" i="5"/>
  <c r="DH39" i="5"/>
  <c r="AQ39" i="5"/>
  <c r="DH74" i="5"/>
  <c r="AQ74" i="5"/>
  <c r="DH17" i="5"/>
  <c r="AQ17" i="5"/>
  <c r="DH87" i="5"/>
  <c r="AQ87" i="5"/>
  <c r="DH55" i="5"/>
  <c r="AQ55" i="5"/>
  <c r="DH86" i="5"/>
  <c r="AQ86" i="5"/>
  <c r="DH8" i="5"/>
  <c r="AQ8" i="5"/>
  <c r="DH23" i="5"/>
  <c r="AQ23" i="5"/>
  <c r="DI198" i="5"/>
  <c r="AT198" i="5"/>
  <c r="DH84" i="5"/>
  <c r="AQ84" i="5"/>
  <c r="DH76" i="5"/>
  <c r="AQ76" i="5"/>
  <c r="DH5" i="5"/>
  <c r="AQ5" i="5"/>
  <c r="DH33" i="5"/>
  <c r="AQ33" i="5"/>
  <c r="DH10" i="5"/>
  <c r="AQ10" i="5"/>
  <c r="DH38" i="5"/>
  <c r="AQ38" i="5"/>
  <c r="DH191" i="5"/>
  <c r="AQ191" i="5"/>
  <c r="DH197" i="5"/>
  <c r="AQ197" i="5"/>
  <c r="DH60" i="5"/>
  <c r="AQ60" i="5"/>
  <c r="DH19" i="5"/>
  <c r="AQ19" i="5"/>
  <c r="DH11" i="5"/>
  <c r="AQ11" i="5"/>
  <c r="DH80" i="5"/>
  <c r="AQ80" i="5"/>
  <c r="DH64" i="5"/>
  <c r="AQ64" i="5"/>
  <c r="AQ107" i="5"/>
  <c r="DH107" i="5"/>
  <c r="AQ147" i="5"/>
  <c r="DH147" i="5"/>
  <c r="AQ88" i="5"/>
  <c r="DH88" i="5"/>
  <c r="AQ151" i="5"/>
  <c r="DH151" i="5"/>
  <c r="AQ145" i="5"/>
  <c r="DH145" i="5"/>
  <c r="AQ115" i="5"/>
  <c r="DH115" i="5"/>
  <c r="AQ200" i="5"/>
  <c r="DH200" i="5"/>
  <c r="AQ120" i="5"/>
  <c r="DH120" i="5"/>
  <c r="DI104" i="5"/>
  <c r="AT104" i="5"/>
  <c r="AT194" i="5"/>
  <c r="DI194" i="5"/>
  <c r="E110" i="3"/>
  <c r="I110" i="3"/>
  <c r="M110" i="3"/>
  <c r="Q110" i="3"/>
  <c r="U110" i="3"/>
  <c r="Y110" i="3"/>
  <c r="AC110" i="3"/>
  <c r="AG110" i="3"/>
  <c r="AK110" i="3"/>
  <c r="AO110" i="3"/>
  <c r="AS110" i="3"/>
  <c r="AW110" i="3"/>
  <c r="BA110" i="3"/>
  <c r="BE110" i="3"/>
  <c r="BI110" i="3"/>
  <c r="BM110" i="3"/>
  <c r="BQ110" i="3"/>
  <c r="BU110" i="3"/>
  <c r="BY110" i="3"/>
  <c r="CC110" i="3"/>
  <c r="CG110" i="3"/>
  <c r="CK110" i="3"/>
  <c r="CO110" i="3"/>
  <c r="CS110" i="3"/>
  <c r="CW110" i="3"/>
  <c r="DA110" i="3"/>
  <c r="DE110" i="3"/>
  <c r="DI110" i="3"/>
  <c r="DM110" i="3"/>
  <c r="DQ110" i="3"/>
  <c r="DU110" i="3"/>
  <c r="E109" i="3"/>
  <c r="I109" i="3"/>
  <c r="M109" i="3"/>
  <c r="Q109" i="3"/>
  <c r="U109" i="3"/>
  <c r="Y109" i="3"/>
  <c r="AC109" i="3"/>
  <c r="AG109" i="3"/>
  <c r="AK109" i="3"/>
  <c r="AS109" i="3"/>
  <c r="AW109" i="3"/>
  <c r="BA109" i="3"/>
  <c r="BE109" i="3"/>
  <c r="BI109" i="3"/>
  <c r="BM109" i="3"/>
  <c r="BQ109" i="3"/>
  <c r="BU109" i="3"/>
  <c r="BY109" i="3"/>
  <c r="CC109" i="3"/>
  <c r="CG109" i="3"/>
  <c r="CK109" i="3"/>
  <c r="CO109" i="3"/>
  <c r="CS109" i="3"/>
  <c r="CW109" i="3"/>
  <c r="DA109" i="3"/>
  <c r="DE109" i="3"/>
  <c r="DI109" i="3"/>
  <c r="DM109" i="3"/>
  <c r="DQ109" i="3"/>
  <c r="DU109" i="3"/>
  <c r="AQ112" i="5" l="1"/>
  <c r="DH112" i="5"/>
  <c r="AQ118" i="5"/>
  <c r="DH118" i="5"/>
  <c r="DH144" i="5"/>
  <c r="AQ144" i="5"/>
  <c r="AQ155" i="5"/>
  <c r="DH155" i="5"/>
  <c r="DH152" i="5"/>
  <c r="AQ152" i="5"/>
  <c r="DI101" i="5"/>
  <c r="AT101" i="5"/>
  <c r="AQ102" i="5"/>
  <c r="DH102" i="5"/>
  <c r="AQ90" i="5"/>
  <c r="DH90" i="5"/>
  <c r="DH6" i="5"/>
  <c r="AQ6" i="5"/>
  <c r="AT6" i="5" s="1"/>
  <c r="AW6" i="5" s="1"/>
  <c r="DH193" i="5"/>
  <c r="AQ193" i="5"/>
  <c r="BR165" i="5"/>
  <c r="DQ165" i="5"/>
  <c r="BR159" i="5"/>
  <c r="DQ159" i="5"/>
  <c r="BR164" i="5"/>
  <c r="DQ164" i="5"/>
  <c r="BR160" i="5"/>
  <c r="DQ160" i="5"/>
  <c r="BR158" i="5"/>
  <c r="DQ158" i="5"/>
  <c r="BR157" i="5"/>
  <c r="DQ157" i="5"/>
  <c r="BR156" i="5"/>
  <c r="DQ156" i="5"/>
  <c r="DI64" i="5"/>
  <c r="AT64" i="5"/>
  <c r="DI19" i="5"/>
  <c r="AT19" i="5"/>
  <c r="DI5" i="5"/>
  <c r="AT5" i="5"/>
  <c r="AW198" i="5"/>
  <c r="DJ198" i="5"/>
  <c r="DI55" i="5"/>
  <c r="AT55" i="5"/>
  <c r="DI74" i="5"/>
  <c r="AT74" i="5"/>
  <c r="DI31" i="5"/>
  <c r="AT31" i="5"/>
  <c r="DI66" i="5"/>
  <c r="AT66" i="5"/>
  <c r="DI12" i="5"/>
  <c r="AT12" i="5"/>
  <c r="DI43" i="5"/>
  <c r="AT43" i="5"/>
  <c r="DI41" i="5"/>
  <c r="AT41" i="5"/>
  <c r="DI82" i="5"/>
  <c r="AT82" i="5"/>
  <c r="DI78" i="5"/>
  <c r="AT78" i="5"/>
  <c r="DI45" i="5"/>
  <c r="AT45" i="5"/>
  <c r="DI65" i="5"/>
  <c r="AT65" i="5"/>
  <c r="DI57" i="5"/>
  <c r="AT57" i="5"/>
  <c r="DI67" i="5"/>
  <c r="AT67" i="5"/>
  <c r="DI56" i="5"/>
  <c r="AT56" i="5"/>
  <c r="DI49" i="5"/>
  <c r="AT49" i="5"/>
  <c r="DI9" i="5"/>
  <c r="AT9" i="5"/>
  <c r="DI20" i="5"/>
  <c r="AT20" i="5"/>
  <c r="DI50" i="5"/>
  <c r="AT50" i="5"/>
  <c r="DI70" i="5"/>
  <c r="AT70" i="5"/>
  <c r="DI32" i="5"/>
  <c r="AT32" i="5"/>
  <c r="AT167" i="5"/>
  <c r="DI167" i="5"/>
  <c r="AT115" i="5"/>
  <c r="DI115" i="5"/>
  <c r="AT88" i="5"/>
  <c r="DI88" i="5"/>
  <c r="AT111" i="5"/>
  <c r="DI111" i="5"/>
  <c r="AW196" i="5"/>
  <c r="DJ196" i="5"/>
  <c r="DJ195" i="5"/>
  <c r="AW195" i="5"/>
  <c r="AW192" i="5"/>
  <c r="DJ192" i="5"/>
  <c r="AT153" i="5"/>
  <c r="DI153" i="5"/>
  <c r="AT190" i="5"/>
  <c r="DI190" i="5"/>
  <c r="AT149" i="5"/>
  <c r="DI149" i="5"/>
  <c r="DI92" i="5"/>
  <c r="AT92" i="5"/>
  <c r="DI60" i="5"/>
  <c r="AT60" i="5"/>
  <c r="DI38" i="5"/>
  <c r="AT38" i="5"/>
  <c r="DI76" i="5"/>
  <c r="AT76" i="5"/>
  <c r="DI23" i="5"/>
  <c r="AT23" i="5"/>
  <c r="DI39" i="5"/>
  <c r="AT39" i="5"/>
  <c r="DI21" i="5"/>
  <c r="AT21" i="5"/>
  <c r="DI29" i="5"/>
  <c r="AT29" i="5"/>
  <c r="DI22" i="5"/>
  <c r="AT22" i="5"/>
  <c r="DI4" i="5"/>
  <c r="AT4" i="5"/>
  <c r="DI71" i="5"/>
  <c r="AT71" i="5"/>
  <c r="AT173" i="5"/>
  <c r="DI173" i="5"/>
  <c r="DI79" i="5"/>
  <c r="AT79" i="5"/>
  <c r="DI26" i="5"/>
  <c r="AT26" i="5"/>
  <c r="DI15" i="5"/>
  <c r="AT15" i="5"/>
  <c r="DI14" i="5"/>
  <c r="AT14" i="5"/>
  <c r="DI18" i="5"/>
  <c r="AT18" i="5"/>
  <c r="DI81" i="5"/>
  <c r="AT81" i="5"/>
  <c r="DI34" i="5"/>
  <c r="AT34" i="5"/>
  <c r="DI47" i="5"/>
  <c r="AT47" i="5"/>
  <c r="DI61" i="5"/>
  <c r="AT61" i="5"/>
  <c r="DI13" i="5"/>
  <c r="AT13" i="5"/>
  <c r="AW93" i="5"/>
  <c r="DJ93" i="5"/>
  <c r="AW194" i="5"/>
  <c r="DJ194" i="5"/>
  <c r="AT120" i="5"/>
  <c r="DI120" i="5"/>
  <c r="AT145" i="5"/>
  <c r="DI145" i="5"/>
  <c r="AT131" i="5"/>
  <c r="DI131" i="5"/>
  <c r="AT94" i="5"/>
  <c r="DI94" i="5"/>
  <c r="AT127" i="5"/>
  <c r="DI127" i="5"/>
  <c r="AT97" i="5"/>
  <c r="DI97" i="5"/>
  <c r="AW134" i="5"/>
  <c r="DJ134" i="5"/>
  <c r="AW89" i="5"/>
  <c r="DJ89" i="5"/>
  <c r="AT129" i="5"/>
  <c r="DI129" i="5"/>
  <c r="AW130" i="5"/>
  <c r="DJ130" i="5"/>
  <c r="BC154" i="5"/>
  <c r="DL154" i="5"/>
  <c r="AT99" i="5"/>
  <c r="DI99" i="5"/>
  <c r="AT95" i="5"/>
  <c r="DI95" i="5"/>
  <c r="AW188" i="5"/>
  <c r="DJ188" i="5"/>
  <c r="DI80" i="5"/>
  <c r="AT80" i="5"/>
  <c r="AT197" i="5"/>
  <c r="DI197" i="5"/>
  <c r="DI10" i="5"/>
  <c r="AT10" i="5"/>
  <c r="DI84" i="5"/>
  <c r="AT84" i="5"/>
  <c r="DI8" i="5"/>
  <c r="AT8" i="5"/>
  <c r="DI87" i="5"/>
  <c r="AT87" i="5"/>
  <c r="DI28" i="5"/>
  <c r="AT28" i="5"/>
  <c r="DI69" i="5"/>
  <c r="AT69" i="5"/>
  <c r="DI36" i="5"/>
  <c r="AT36" i="5"/>
  <c r="DI7" i="5"/>
  <c r="AT7" i="5"/>
  <c r="DI54" i="5"/>
  <c r="AT54" i="5"/>
  <c r="DI63" i="5"/>
  <c r="AT63" i="5"/>
  <c r="DI83" i="5"/>
  <c r="AT83" i="5"/>
  <c r="DI24" i="5"/>
  <c r="AT24" i="5"/>
  <c r="DI25" i="5"/>
  <c r="AT25" i="5"/>
  <c r="DI40" i="5"/>
  <c r="AT40" i="5"/>
  <c r="DI58" i="5"/>
  <c r="AT58" i="5"/>
  <c r="DI59" i="5"/>
  <c r="AT59" i="5"/>
  <c r="DI48" i="5"/>
  <c r="AT48" i="5"/>
  <c r="DI42" i="5"/>
  <c r="AT42" i="5"/>
  <c r="DI77" i="5"/>
  <c r="AT77" i="5"/>
  <c r="DI53" i="5"/>
  <c r="AT53" i="5"/>
  <c r="AT200" i="5"/>
  <c r="DI200" i="5"/>
  <c r="AT147" i="5"/>
  <c r="DI147" i="5"/>
  <c r="AT100" i="5"/>
  <c r="DI100" i="5"/>
  <c r="DI108" i="5"/>
  <c r="AT108" i="5"/>
  <c r="AT119" i="5"/>
  <c r="DI119" i="5"/>
  <c r="AW150" i="5"/>
  <c r="DJ150" i="5"/>
  <c r="AT139" i="5"/>
  <c r="DI139" i="5"/>
  <c r="AW117" i="5"/>
  <c r="DJ117" i="5"/>
  <c r="AT135" i="5"/>
  <c r="DI135" i="5"/>
  <c r="AT132" i="5"/>
  <c r="DI132" i="5"/>
  <c r="AW106" i="5"/>
  <c r="DJ106" i="5"/>
  <c r="DJ104" i="5"/>
  <c r="AW104" i="5"/>
  <c r="DI11" i="5"/>
  <c r="AT11" i="5"/>
  <c r="AT191" i="5"/>
  <c r="DI191" i="5"/>
  <c r="DI33" i="5"/>
  <c r="AT33" i="5"/>
  <c r="DI86" i="5"/>
  <c r="AT86" i="5"/>
  <c r="DI17" i="5"/>
  <c r="AT17" i="5"/>
  <c r="DI44" i="5"/>
  <c r="AT44" i="5"/>
  <c r="DI85" i="5"/>
  <c r="AT85" i="5"/>
  <c r="DI73" i="5"/>
  <c r="AT73" i="5"/>
  <c r="DI35" i="5"/>
  <c r="AT35" i="5"/>
  <c r="DI30" i="5"/>
  <c r="AT30" i="5"/>
  <c r="DI46" i="5"/>
  <c r="AT46" i="5"/>
  <c r="DI51" i="5"/>
  <c r="AT51" i="5"/>
  <c r="DI68" i="5"/>
  <c r="AT68" i="5"/>
  <c r="DI52" i="5"/>
  <c r="AT52" i="5"/>
  <c r="DI16" i="5"/>
  <c r="AT16" i="5"/>
  <c r="DI37" i="5"/>
  <c r="AT37" i="5"/>
  <c r="DI75" i="5"/>
  <c r="AT75" i="5"/>
  <c r="DI62" i="5"/>
  <c r="AT62" i="5"/>
  <c r="DI27" i="5"/>
  <c r="AT27" i="5"/>
  <c r="DI72" i="5"/>
  <c r="AT72" i="5"/>
  <c r="AT151" i="5"/>
  <c r="DI151" i="5"/>
  <c r="AT107" i="5"/>
  <c r="DI107" i="5"/>
  <c r="AT116" i="5"/>
  <c r="DI116" i="5"/>
  <c r="AT91" i="5"/>
  <c r="DI91" i="5"/>
  <c r="AT114" i="5"/>
  <c r="DI114" i="5"/>
  <c r="AT136" i="5"/>
  <c r="DI136" i="5"/>
  <c r="DI199" i="5"/>
  <c r="AT199" i="5"/>
  <c r="AT148" i="5"/>
  <c r="DI148" i="5"/>
  <c r="AT96" i="5"/>
  <c r="DI96" i="5"/>
  <c r="AW146" i="5"/>
  <c r="DJ146" i="5"/>
  <c r="DI98" i="5"/>
  <c r="AT98" i="5"/>
  <c r="AT113" i="5"/>
  <c r="DI113" i="5"/>
  <c r="DJ189" i="5"/>
  <c r="AW189" i="5"/>
  <c r="BU103" i="3"/>
  <c r="BY103" i="3"/>
  <c r="CC103" i="3"/>
  <c r="CG103" i="3"/>
  <c r="CK103" i="3"/>
  <c r="CO103" i="3"/>
  <c r="CS103" i="3"/>
  <c r="CW103" i="3"/>
  <c r="DA103" i="3"/>
  <c r="DE103" i="3"/>
  <c r="DM103" i="3"/>
  <c r="DQ103" i="3"/>
  <c r="DU103" i="3"/>
  <c r="BQ103" i="3"/>
  <c r="BM103" i="3"/>
  <c r="BI103" i="3"/>
  <c r="AT112" i="5" l="1"/>
  <c r="DI112" i="5"/>
  <c r="AT118" i="5"/>
  <c r="DI118" i="5"/>
  <c r="AT152" i="5"/>
  <c r="DI152" i="5"/>
  <c r="AT155" i="5"/>
  <c r="DI155" i="5"/>
  <c r="DI144" i="5"/>
  <c r="AT144" i="5"/>
  <c r="AW101" i="5"/>
  <c r="DJ101" i="5"/>
  <c r="AT193" i="5"/>
  <c r="DI193" i="5"/>
  <c r="AT90" i="5"/>
  <c r="DI90" i="5"/>
  <c r="DI6" i="5"/>
  <c r="AT102" i="5"/>
  <c r="DI102" i="5"/>
  <c r="BU156" i="5"/>
  <c r="DR156" i="5"/>
  <c r="BU160" i="5"/>
  <c r="DR160" i="5"/>
  <c r="BU164" i="5"/>
  <c r="DR164" i="5"/>
  <c r="BU165" i="5"/>
  <c r="DR165" i="5"/>
  <c r="BU157" i="5"/>
  <c r="DR157" i="5"/>
  <c r="BU158" i="5"/>
  <c r="DR158" i="5"/>
  <c r="BU159" i="5"/>
  <c r="DR159" i="5"/>
  <c r="AZ150" i="5"/>
  <c r="DK150" i="5"/>
  <c r="AW131" i="5"/>
  <c r="DJ131" i="5"/>
  <c r="AW136" i="5"/>
  <c r="DJ136" i="5"/>
  <c r="DJ68" i="5"/>
  <c r="AW68" i="5"/>
  <c r="DJ42" i="5"/>
  <c r="AW42" i="5"/>
  <c r="DJ87" i="5"/>
  <c r="AW87" i="5"/>
  <c r="DJ15" i="5"/>
  <c r="AW15" i="5"/>
  <c r="DJ29" i="5"/>
  <c r="AW29" i="5"/>
  <c r="DJ32" i="5"/>
  <c r="AW32" i="5"/>
  <c r="DJ9" i="5"/>
  <c r="AW9" i="5"/>
  <c r="DJ57" i="5"/>
  <c r="AW57" i="5"/>
  <c r="DJ82" i="5"/>
  <c r="AW82" i="5"/>
  <c r="DJ66" i="5"/>
  <c r="AW66" i="5"/>
  <c r="DJ64" i="5"/>
  <c r="AW64" i="5"/>
  <c r="AW98" i="5"/>
  <c r="DJ98" i="5"/>
  <c r="DJ72" i="5"/>
  <c r="AW72" i="5"/>
  <c r="DJ37" i="5"/>
  <c r="AW37" i="5"/>
  <c r="DJ51" i="5"/>
  <c r="AW51" i="5"/>
  <c r="DJ35" i="5"/>
  <c r="AW35" i="5"/>
  <c r="DJ17" i="5"/>
  <c r="AW17" i="5"/>
  <c r="DJ53" i="5"/>
  <c r="AW53" i="5"/>
  <c r="DJ48" i="5"/>
  <c r="AW48" i="5"/>
  <c r="DJ83" i="5"/>
  <c r="AW83" i="5"/>
  <c r="DJ36" i="5"/>
  <c r="AW36" i="5"/>
  <c r="DJ8" i="5"/>
  <c r="AW8" i="5"/>
  <c r="DJ80" i="5"/>
  <c r="AW80" i="5"/>
  <c r="DJ13" i="5"/>
  <c r="AW13" i="5"/>
  <c r="DJ81" i="5"/>
  <c r="AW81" i="5"/>
  <c r="DJ26" i="5"/>
  <c r="AW26" i="5"/>
  <c r="DJ21" i="5"/>
  <c r="AW21" i="5"/>
  <c r="DJ76" i="5"/>
  <c r="AW76" i="5"/>
  <c r="AW92" i="5"/>
  <c r="DJ92" i="5"/>
  <c r="DJ70" i="5"/>
  <c r="AW70" i="5"/>
  <c r="DJ49" i="5"/>
  <c r="AW49" i="5"/>
  <c r="DJ65" i="5"/>
  <c r="AW65" i="5"/>
  <c r="DJ41" i="5"/>
  <c r="AW41" i="5"/>
  <c r="DJ31" i="5"/>
  <c r="AW31" i="5"/>
  <c r="DJ5" i="5"/>
  <c r="AW5" i="5"/>
  <c r="AZ194" i="5"/>
  <c r="DK194" i="5"/>
  <c r="DJ167" i="5"/>
  <c r="AW167" i="5"/>
  <c r="AW113" i="5"/>
  <c r="DJ113" i="5"/>
  <c r="DJ107" i="5"/>
  <c r="AW107" i="5"/>
  <c r="DK106" i="5"/>
  <c r="AZ106" i="5"/>
  <c r="AW129" i="5"/>
  <c r="DJ129" i="5"/>
  <c r="DJ16" i="5"/>
  <c r="AW16" i="5"/>
  <c r="DJ44" i="5"/>
  <c r="AW44" i="5"/>
  <c r="DJ86" i="5"/>
  <c r="AW86" i="5"/>
  <c r="DJ11" i="5"/>
  <c r="AW11" i="5"/>
  <c r="DJ59" i="5"/>
  <c r="AW59" i="5"/>
  <c r="DJ25" i="5"/>
  <c r="AW25" i="5"/>
  <c r="DJ63" i="5"/>
  <c r="AW63" i="5"/>
  <c r="DJ69" i="5"/>
  <c r="AW69" i="5"/>
  <c r="DJ84" i="5"/>
  <c r="AW84" i="5"/>
  <c r="DJ61" i="5"/>
  <c r="AW61" i="5"/>
  <c r="DJ18" i="5"/>
  <c r="AW18" i="5"/>
  <c r="DJ79" i="5"/>
  <c r="AW79" i="5"/>
  <c r="DJ4" i="5"/>
  <c r="AW4" i="5"/>
  <c r="DJ39" i="5"/>
  <c r="AW39" i="5"/>
  <c r="DJ38" i="5"/>
  <c r="AW38" i="5"/>
  <c r="AZ195" i="5"/>
  <c r="DK195" i="5"/>
  <c r="DJ50" i="5"/>
  <c r="AW50" i="5"/>
  <c r="DJ56" i="5"/>
  <c r="AW56" i="5"/>
  <c r="DJ45" i="5"/>
  <c r="AW45" i="5"/>
  <c r="DJ43" i="5"/>
  <c r="AW43" i="5"/>
  <c r="DJ74" i="5"/>
  <c r="AW74" i="5"/>
  <c r="AZ189" i="5"/>
  <c r="DK189" i="5"/>
  <c r="AW132" i="5"/>
  <c r="DJ132" i="5"/>
  <c r="AZ146" i="5"/>
  <c r="DK146" i="5"/>
  <c r="DJ46" i="5"/>
  <c r="AW46" i="5"/>
  <c r="AW114" i="5"/>
  <c r="DJ114" i="5"/>
  <c r="AW151" i="5"/>
  <c r="DJ151" i="5"/>
  <c r="AW139" i="5"/>
  <c r="DJ139" i="5"/>
  <c r="AW99" i="5"/>
  <c r="DJ99" i="5"/>
  <c r="AZ89" i="5"/>
  <c r="DK89" i="5"/>
  <c r="AW97" i="5"/>
  <c r="DJ97" i="5"/>
  <c r="AW94" i="5"/>
  <c r="DJ94" i="5"/>
  <c r="AW120" i="5"/>
  <c r="DJ120" i="5"/>
  <c r="AW153" i="5"/>
  <c r="DJ153" i="5"/>
  <c r="AW115" i="5"/>
  <c r="DJ115" i="5"/>
  <c r="AW91" i="5"/>
  <c r="DJ91" i="5"/>
  <c r="AW135" i="5"/>
  <c r="DJ135" i="5"/>
  <c r="AW148" i="5"/>
  <c r="DJ148" i="5"/>
  <c r="DJ75" i="5"/>
  <c r="AW75" i="5"/>
  <c r="DJ199" i="5"/>
  <c r="AW199" i="5"/>
  <c r="DJ191" i="5"/>
  <c r="AW191" i="5"/>
  <c r="AW147" i="5"/>
  <c r="DJ147" i="5"/>
  <c r="AW95" i="5"/>
  <c r="DJ95" i="5"/>
  <c r="AW145" i="5"/>
  <c r="DJ145" i="5"/>
  <c r="AW190" i="5"/>
  <c r="DJ190" i="5"/>
  <c r="AW88" i="5"/>
  <c r="DJ88" i="5"/>
  <c r="DJ27" i="5"/>
  <c r="AW27" i="5"/>
  <c r="AW96" i="5"/>
  <c r="DJ96" i="5"/>
  <c r="DJ62" i="5"/>
  <c r="AW62" i="5"/>
  <c r="DJ52" i="5"/>
  <c r="AW52" i="5"/>
  <c r="DJ30" i="5"/>
  <c r="AW30" i="5"/>
  <c r="DJ73" i="5"/>
  <c r="AW73" i="5"/>
  <c r="AZ104" i="5"/>
  <c r="DK104" i="5"/>
  <c r="DJ108" i="5"/>
  <c r="AW108" i="5"/>
  <c r="DJ77" i="5"/>
  <c r="AW77" i="5"/>
  <c r="DJ58" i="5"/>
  <c r="AW58" i="5"/>
  <c r="DJ24" i="5"/>
  <c r="AW24" i="5"/>
  <c r="DJ54" i="5"/>
  <c r="AW54" i="5"/>
  <c r="DJ28" i="5"/>
  <c r="AW28" i="5"/>
  <c r="DJ10" i="5"/>
  <c r="AW10" i="5"/>
  <c r="DJ47" i="5"/>
  <c r="AW47" i="5"/>
  <c r="DJ14" i="5"/>
  <c r="AW14" i="5"/>
  <c r="DJ22" i="5"/>
  <c r="AW22" i="5"/>
  <c r="DJ60" i="5"/>
  <c r="AW60" i="5"/>
  <c r="DJ20" i="5"/>
  <c r="AW20" i="5"/>
  <c r="DJ67" i="5"/>
  <c r="AW67" i="5"/>
  <c r="DJ78" i="5"/>
  <c r="AW78" i="5"/>
  <c r="DJ12" i="5"/>
  <c r="AW12" i="5"/>
  <c r="DJ55" i="5"/>
  <c r="AW55" i="5"/>
  <c r="DJ19" i="5"/>
  <c r="AW19" i="5"/>
  <c r="DJ200" i="5"/>
  <c r="AW200" i="5"/>
  <c r="BF154" i="5"/>
  <c r="DM154" i="5"/>
  <c r="AZ192" i="5"/>
  <c r="DK192" i="5"/>
  <c r="AZ196" i="5"/>
  <c r="DK196" i="5"/>
  <c r="AW173" i="5"/>
  <c r="DJ173" i="5"/>
  <c r="DJ85" i="5"/>
  <c r="AW85" i="5"/>
  <c r="DJ33" i="5"/>
  <c r="AW33" i="5"/>
  <c r="DJ40" i="5"/>
  <c r="AW40" i="5"/>
  <c r="DJ7" i="5"/>
  <c r="AW7" i="5"/>
  <c r="DJ34" i="5"/>
  <c r="AW34" i="5"/>
  <c r="DJ71" i="5"/>
  <c r="AW71" i="5"/>
  <c r="DJ23" i="5"/>
  <c r="AW23" i="5"/>
  <c r="AW116" i="5"/>
  <c r="DJ116" i="5"/>
  <c r="AZ117" i="5"/>
  <c r="DK117" i="5"/>
  <c r="AW119" i="5"/>
  <c r="DJ119" i="5"/>
  <c r="AW100" i="5"/>
  <c r="DJ100" i="5"/>
  <c r="AW197" i="5"/>
  <c r="DJ197" i="5"/>
  <c r="AZ188" i="5"/>
  <c r="DK188" i="5"/>
  <c r="AZ130" i="5"/>
  <c r="DK130" i="5"/>
  <c r="AZ134" i="5"/>
  <c r="DK134" i="5"/>
  <c r="AW127" i="5"/>
  <c r="DJ127" i="5"/>
  <c r="AZ93" i="5"/>
  <c r="DK93" i="5"/>
  <c r="AW149" i="5"/>
  <c r="DJ149" i="5"/>
  <c r="AW111" i="5"/>
  <c r="DJ111" i="5"/>
  <c r="AZ198" i="5"/>
  <c r="DK198" i="5"/>
  <c r="E103" i="3"/>
  <c r="I103" i="3"/>
  <c r="M103" i="3"/>
  <c r="Q103" i="3"/>
  <c r="U103" i="3"/>
  <c r="Y103" i="3"/>
  <c r="AC103" i="3"/>
  <c r="AG103" i="3"/>
  <c r="AK103" i="3"/>
  <c r="AO103" i="3"/>
  <c r="AS103" i="3"/>
  <c r="AW103" i="3"/>
  <c r="BE103" i="3"/>
  <c r="AW112" i="5" l="1"/>
  <c r="DJ112" i="5"/>
  <c r="DJ118" i="5"/>
  <c r="AW118" i="5"/>
  <c r="DJ144" i="5"/>
  <c r="AW144" i="5"/>
  <c r="AW155" i="5"/>
  <c r="DJ155" i="5"/>
  <c r="DJ152" i="5"/>
  <c r="AW152" i="5"/>
  <c r="AZ101" i="5"/>
  <c r="DK101" i="5"/>
  <c r="AW102" i="5"/>
  <c r="DJ102" i="5"/>
  <c r="AW90" i="5"/>
  <c r="DJ90" i="5"/>
  <c r="DJ6" i="5"/>
  <c r="AW193" i="5"/>
  <c r="DJ193" i="5"/>
  <c r="BX159" i="5"/>
  <c r="DS159" i="5"/>
  <c r="BX164" i="5"/>
  <c r="DS164" i="5"/>
  <c r="BX156" i="5"/>
  <c r="DS156" i="5"/>
  <c r="BX157" i="5"/>
  <c r="DS157" i="5"/>
  <c r="BX158" i="5"/>
  <c r="DS158" i="5"/>
  <c r="BX165" i="5"/>
  <c r="DS165" i="5"/>
  <c r="BX160" i="5"/>
  <c r="DS160" i="5"/>
  <c r="AZ119" i="5"/>
  <c r="DK119" i="5"/>
  <c r="AZ135" i="5"/>
  <c r="DK135" i="5"/>
  <c r="DK39" i="5"/>
  <c r="AZ39" i="5"/>
  <c r="DK44" i="5"/>
  <c r="AZ44" i="5"/>
  <c r="DK41" i="5"/>
  <c r="AZ41" i="5"/>
  <c r="DK36" i="5"/>
  <c r="AZ36" i="5"/>
  <c r="DK71" i="5"/>
  <c r="AZ71" i="5"/>
  <c r="DK33" i="5"/>
  <c r="AZ33" i="5"/>
  <c r="DK19" i="5"/>
  <c r="AZ19" i="5"/>
  <c r="DK67" i="5"/>
  <c r="AZ67" i="5"/>
  <c r="DK14" i="5"/>
  <c r="AZ14" i="5"/>
  <c r="DK54" i="5"/>
  <c r="AZ54" i="5"/>
  <c r="AZ108" i="5"/>
  <c r="DK108" i="5"/>
  <c r="DK30" i="5"/>
  <c r="AZ30" i="5"/>
  <c r="DK75" i="5"/>
  <c r="AZ75" i="5"/>
  <c r="AZ114" i="5"/>
  <c r="DK114" i="5"/>
  <c r="AZ132" i="5"/>
  <c r="DK132" i="5"/>
  <c r="AZ92" i="5"/>
  <c r="DK92" i="5"/>
  <c r="AZ197" i="5"/>
  <c r="DK197" i="5"/>
  <c r="AZ94" i="5"/>
  <c r="DK94" i="5"/>
  <c r="DK25" i="5"/>
  <c r="AZ25" i="5"/>
  <c r="DK167" i="5"/>
  <c r="AZ167" i="5"/>
  <c r="DK87" i="5"/>
  <c r="AZ87" i="5"/>
  <c r="BC198" i="5"/>
  <c r="DL198" i="5"/>
  <c r="AZ149" i="5"/>
  <c r="DK149" i="5"/>
  <c r="BC134" i="5"/>
  <c r="DL134" i="5"/>
  <c r="BC117" i="5"/>
  <c r="DL117" i="5"/>
  <c r="AZ96" i="5"/>
  <c r="DK96" i="5"/>
  <c r="AZ145" i="5"/>
  <c r="DK145" i="5"/>
  <c r="AZ147" i="5"/>
  <c r="DK147" i="5"/>
  <c r="AZ91" i="5"/>
  <c r="DK91" i="5"/>
  <c r="AZ97" i="5"/>
  <c r="DK97" i="5"/>
  <c r="DK74" i="5"/>
  <c r="AZ74" i="5"/>
  <c r="DK50" i="5"/>
  <c r="AZ50" i="5"/>
  <c r="DK4" i="5"/>
  <c r="AZ4" i="5"/>
  <c r="DK84" i="5"/>
  <c r="AZ84" i="5"/>
  <c r="DK59" i="5"/>
  <c r="AZ59" i="5"/>
  <c r="DL106" i="5"/>
  <c r="BC106" i="5"/>
  <c r="DK65" i="5"/>
  <c r="AZ65" i="5"/>
  <c r="DK76" i="5"/>
  <c r="AZ76" i="5"/>
  <c r="DK13" i="5"/>
  <c r="AZ13" i="5"/>
  <c r="DK83" i="5"/>
  <c r="AZ83" i="5"/>
  <c r="DK35" i="5"/>
  <c r="AZ35" i="5"/>
  <c r="DK82" i="5"/>
  <c r="AZ82" i="5"/>
  <c r="DK42" i="5"/>
  <c r="AZ42" i="5"/>
  <c r="DK81" i="5"/>
  <c r="AZ81" i="5"/>
  <c r="DK55" i="5"/>
  <c r="AZ55" i="5"/>
  <c r="DK20" i="5"/>
  <c r="AZ20" i="5"/>
  <c r="DK47" i="5"/>
  <c r="AZ47" i="5"/>
  <c r="DK24" i="5"/>
  <c r="AZ24" i="5"/>
  <c r="DK52" i="5"/>
  <c r="AZ52" i="5"/>
  <c r="DK27" i="5"/>
  <c r="AZ27" i="5"/>
  <c r="DL194" i="5"/>
  <c r="BC194" i="5"/>
  <c r="AZ131" i="5"/>
  <c r="DK131" i="5"/>
  <c r="AZ127" i="5"/>
  <c r="DK127" i="5"/>
  <c r="BC192" i="5"/>
  <c r="DL192" i="5"/>
  <c r="DK61" i="5"/>
  <c r="AZ61" i="5"/>
  <c r="DK17" i="5"/>
  <c r="AZ17" i="5"/>
  <c r="DK34" i="5"/>
  <c r="AZ34" i="5"/>
  <c r="DK85" i="5"/>
  <c r="AZ85" i="5"/>
  <c r="AZ111" i="5"/>
  <c r="DK111" i="5"/>
  <c r="BC93" i="5"/>
  <c r="DL93" i="5"/>
  <c r="BC130" i="5"/>
  <c r="DL130" i="5"/>
  <c r="AZ148" i="5"/>
  <c r="DK148" i="5"/>
  <c r="BC89" i="5"/>
  <c r="DL89" i="5"/>
  <c r="DK46" i="5"/>
  <c r="AZ46" i="5"/>
  <c r="DK43" i="5"/>
  <c r="AZ43" i="5"/>
  <c r="DK79" i="5"/>
  <c r="AZ79" i="5"/>
  <c r="DK69" i="5"/>
  <c r="AZ69" i="5"/>
  <c r="DK11" i="5"/>
  <c r="AZ11" i="5"/>
  <c r="DK16" i="5"/>
  <c r="AZ16" i="5"/>
  <c r="DK107" i="5"/>
  <c r="AZ107" i="5"/>
  <c r="DK5" i="5"/>
  <c r="AZ5" i="5"/>
  <c r="DK49" i="5"/>
  <c r="AZ49" i="5"/>
  <c r="DK21" i="5"/>
  <c r="AZ21" i="5"/>
  <c r="DK80" i="5"/>
  <c r="AZ80" i="5"/>
  <c r="DK48" i="5"/>
  <c r="AZ48" i="5"/>
  <c r="DK51" i="5"/>
  <c r="AZ51" i="5"/>
  <c r="DK57" i="5"/>
  <c r="AZ57" i="5"/>
  <c r="DK29" i="5"/>
  <c r="AZ29" i="5"/>
  <c r="DK68" i="5"/>
  <c r="AZ68" i="5"/>
  <c r="AZ139" i="5"/>
  <c r="DK139" i="5"/>
  <c r="DK66" i="5"/>
  <c r="AZ66" i="5"/>
  <c r="DK7" i="5"/>
  <c r="AZ7" i="5"/>
  <c r="DK12" i="5"/>
  <c r="AZ12" i="5"/>
  <c r="DK60" i="5"/>
  <c r="AZ60" i="5"/>
  <c r="DK10" i="5"/>
  <c r="AZ10" i="5"/>
  <c r="DK58" i="5"/>
  <c r="AZ58" i="5"/>
  <c r="DK62" i="5"/>
  <c r="AZ62" i="5"/>
  <c r="DK191" i="5"/>
  <c r="AZ191" i="5"/>
  <c r="BC195" i="5"/>
  <c r="DL195" i="5"/>
  <c r="AZ98" i="5"/>
  <c r="DK98" i="5"/>
  <c r="AZ153" i="5"/>
  <c r="DK153" i="5"/>
  <c r="DK32" i="5"/>
  <c r="AZ32" i="5"/>
  <c r="BC188" i="5"/>
  <c r="DL188" i="5"/>
  <c r="AZ100" i="5"/>
  <c r="DK100" i="5"/>
  <c r="AZ116" i="5"/>
  <c r="DK116" i="5"/>
  <c r="AZ173" i="5"/>
  <c r="DK173" i="5"/>
  <c r="BC196" i="5"/>
  <c r="DL196" i="5"/>
  <c r="BI154" i="5"/>
  <c r="DN154" i="5"/>
  <c r="BC104" i="5"/>
  <c r="DL104" i="5"/>
  <c r="AZ88" i="5"/>
  <c r="DK88" i="5"/>
  <c r="AZ95" i="5"/>
  <c r="DK95" i="5"/>
  <c r="AZ115" i="5"/>
  <c r="DK115" i="5"/>
  <c r="AZ120" i="5"/>
  <c r="DK120" i="5"/>
  <c r="AZ99" i="5"/>
  <c r="DK99" i="5"/>
  <c r="DK45" i="5"/>
  <c r="AZ45" i="5"/>
  <c r="DK38" i="5"/>
  <c r="AZ38" i="5"/>
  <c r="DK18" i="5"/>
  <c r="AZ18" i="5"/>
  <c r="DK63" i="5"/>
  <c r="AZ63" i="5"/>
  <c r="DK86" i="5"/>
  <c r="AZ86" i="5"/>
  <c r="DK31" i="5"/>
  <c r="AZ31" i="5"/>
  <c r="DK70" i="5"/>
  <c r="AZ70" i="5"/>
  <c r="DK26" i="5"/>
  <c r="AZ26" i="5"/>
  <c r="DK8" i="5"/>
  <c r="AZ8" i="5"/>
  <c r="DK53" i="5"/>
  <c r="AZ53" i="5"/>
  <c r="DK37" i="5"/>
  <c r="AZ37" i="5"/>
  <c r="DK64" i="5"/>
  <c r="AZ64" i="5"/>
  <c r="DK9" i="5"/>
  <c r="AZ9" i="5"/>
  <c r="DK15" i="5"/>
  <c r="AZ15" i="5"/>
  <c r="AZ190" i="5"/>
  <c r="DK190" i="5"/>
  <c r="DK56" i="5"/>
  <c r="AZ56" i="5"/>
  <c r="DK72" i="5"/>
  <c r="AZ72" i="5"/>
  <c r="DK23" i="5"/>
  <c r="AZ23" i="5"/>
  <c r="DK40" i="5"/>
  <c r="AZ40" i="5"/>
  <c r="AZ200" i="5"/>
  <c r="DK200" i="5"/>
  <c r="DK78" i="5"/>
  <c r="AZ78" i="5"/>
  <c r="DK22" i="5"/>
  <c r="AZ22" i="5"/>
  <c r="DK28" i="5"/>
  <c r="AZ28" i="5"/>
  <c r="DK77" i="5"/>
  <c r="AZ77" i="5"/>
  <c r="DK73" i="5"/>
  <c r="AZ73" i="5"/>
  <c r="AZ199" i="5"/>
  <c r="DK199" i="5"/>
  <c r="AZ151" i="5"/>
  <c r="DK151" i="5"/>
  <c r="BC146" i="5"/>
  <c r="DL146" i="5"/>
  <c r="BC189" i="5"/>
  <c r="DL189" i="5"/>
  <c r="AZ129" i="5"/>
  <c r="DK129" i="5"/>
  <c r="AZ113" i="5"/>
  <c r="DK113" i="5"/>
  <c r="AZ136" i="5"/>
  <c r="DK136" i="5"/>
  <c r="BC150" i="5"/>
  <c r="DL150" i="5"/>
  <c r="AO109" i="3"/>
  <c r="DK112" i="5" l="1"/>
  <c r="AZ112" i="5"/>
  <c r="AZ118" i="5"/>
  <c r="DK118" i="5"/>
  <c r="AZ152" i="5"/>
  <c r="DK152" i="5"/>
  <c r="AZ155" i="5"/>
  <c r="DK155" i="5"/>
  <c r="AZ144" i="5"/>
  <c r="DK144" i="5"/>
  <c r="BC101" i="5"/>
  <c r="DL101" i="5"/>
  <c r="AZ193" i="5"/>
  <c r="DK193" i="5"/>
  <c r="AZ90" i="5"/>
  <c r="DK90" i="5"/>
  <c r="DK6" i="5"/>
  <c r="AZ6" i="5"/>
  <c r="AZ102" i="5"/>
  <c r="DK102" i="5"/>
  <c r="DT160" i="5"/>
  <c r="CA160" i="5"/>
  <c r="CA158" i="5"/>
  <c r="DT158" i="5"/>
  <c r="CA157" i="5"/>
  <c r="DT157" i="5"/>
  <c r="DT164" i="5"/>
  <c r="CA164" i="5"/>
  <c r="CA159" i="5"/>
  <c r="DT159" i="5"/>
  <c r="CA165" i="5"/>
  <c r="DT165" i="5"/>
  <c r="CA156" i="5"/>
  <c r="DT156" i="5"/>
  <c r="BC115" i="5"/>
  <c r="DL115" i="5"/>
  <c r="BC127" i="5"/>
  <c r="DL127" i="5"/>
  <c r="DL55" i="5"/>
  <c r="BC55" i="5"/>
  <c r="BF106" i="5"/>
  <c r="DM106" i="5"/>
  <c r="DL64" i="5"/>
  <c r="BC64" i="5"/>
  <c r="DL63" i="5"/>
  <c r="BC63" i="5"/>
  <c r="DL10" i="5"/>
  <c r="BC10" i="5"/>
  <c r="DL66" i="5"/>
  <c r="BC66" i="5"/>
  <c r="DL57" i="5"/>
  <c r="BC57" i="5"/>
  <c r="DL21" i="5"/>
  <c r="BC21" i="5"/>
  <c r="DL16" i="5"/>
  <c r="BC16" i="5"/>
  <c r="DL43" i="5"/>
  <c r="BC43" i="5"/>
  <c r="DL17" i="5"/>
  <c r="BC17" i="5"/>
  <c r="BC91" i="5"/>
  <c r="DL91" i="5"/>
  <c r="BF134" i="5"/>
  <c r="DM134" i="5"/>
  <c r="BC197" i="5"/>
  <c r="DL197" i="5"/>
  <c r="DM195" i="5"/>
  <c r="BF195" i="5"/>
  <c r="DL52" i="5"/>
  <c r="BC52" i="5"/>
  <c r="DL23" i="5"/>
  <c r="BC23" i="5"/>
  <c r="BF150" i="5"/>
  <c r="DM150" i="5"/>
  <c r="BC199" i="5"/>
  <c r="DL199" i="5"/>
  <c r="DL190" i="5"/>
  <c r="BC190" i="5"/>
  <c r="BL154" i="5"/>
  <c r="DO154" i="5"/>
  <c r="BF89" i="5"/>
  <c r="DM89" i="5"/>
  <c r="BC111" i="5"/>
  <c r="DL111" i="5"/>
  <c r="BC131" i="5"/>
  <c r="DL131" i="5"/>
  <c r="DL24" i="5"/>
  <c r="BC24" i="5"/>
  <c r="DL81" i="5"/>
  <c r="BC81" i="5"/>
  <c r="DL13" i="5"/>
  <c r="BC13" i="5"/>
  <c r="DL50" i="5"/>
  <c r="BC50" i="5"/>
  <c r="DL25" i="5"/>
  <c r="BC25" i="5"/>
  <c r="DL19" i="5"/>
  <c r="BC19" i="5"/>
  <c r="DL39" i="5"/>
  <c r="BC39" i="5"/>
  <c r="DM104" i="5"/>
  <c r="BF104" i="5"/>
  <c r="BF93" i="5"/>
  <c r="DM93" i="5"/>
  <c r="DL71" i="5"/>
  <c r="BC71" i="5"/>
  <c r="DL37" i="5"/>
  <c r="BC37" i="5"/>
  <c r="DL70" i="5"/>
  <c r="BC70" i="5"/>
  <c r="DL18" i="5"/>
  <c r="BC18" i="5"/>
  <c r="DL32" i="5"/>
  <c r="BC32" i="5"/>
  <c r="BC191" i="5"/>
  <c r="DL191" i="5"/>
  <c r="DL60" i="5"/>
  <c r="BC60" i="5"/>
  <c r="DL51" i="5"/>
  <c r="BC51" i="5"/>
  <c r="DL49" i="5"/>
  <c r="BC49" i="5"/>
  <c r="DL11" i="5"/>
  <c r="BC11" i="5"/>
  <c r="DL46" i="5"/>
  <c r="BC46" i="5"/>
  <c r="DL61" i="5"/>
  <c r="BC61" i="5"/>
  <c r="BC147" i="5"/>
  <c r="DL147" i="5"/>
  <c r="BC149" i="5"/>
  <c r="DL149" i="5"/>
  <c r="BC92" i="5"/>
  <c r="DL92" i="5"/>
  <c r="BC132" i="5"/>
  <c r="DL132" i="5"/>
  <c r="BC108" i="5"/>
  <c r="DL108" i="5"/>
  <c r="BC129" i="5"/>
  <c r="DL129" i="5"/>
  <c r="BC116" i="5"/>
  <c r="DL116" i="5"/>
  <c r="DL42" i="5"/>
  <c r="BC42" i="5"/>
  <c r="DL4" i="5"/>
  <c r="BC4" i="5"/>
  <c r="DL30" i="5"/>
  <c r="BC30" i="5"/>
  <c r="BC136" i="5"/>
  <c r="DL136" i="5"/>
  <c r="BF189" i="5"/>
  <c r="DM189" i="5"/>
  <c r="BC99" i="5"/>
  <c r="DL99" i="5"/>
  <c r="BC95" i="5"/>
  <c r="DL95" i="5"/>
  <c r="BF196" i="5"/>
  <c r="DM196" i="5"/>
  <c r="BC100" i="5"/>
  <c r="DL100" i="5"/>
  <c r="BC98" i="5"/>
  <c r="DL98" i="5"/>
  <c r="BC139" i="5"/>
  <c r="DL139" i="5"/>
  <c r="DL47" i="5"/>
  <c r="BC47" i="5"/>
  <c r="DL82" i="5"/>
  <c r="BC82" i="5"/>
  <c r="DL76" i="5"/>
  <c r="BC76" i="5"/>
  <c r="DL59" i="5"/>
  <c r="BC59" i="5"/>
  <c r="DL74" i="5"/>
  <c r="BC74" i="5"/>
  <c r="DL54" i="5"/>
  <c r="BC54" i="5"/>
  <c r="DL36" i="5"/>
  <c r="BC36" i="5"/>
  <c r="DL44" i="5"/>
  <c r="BC44" i="5"/>
  <c r="DL22" i="5"/>
  <c r="BC22" i="5"/>
  <c r="DL78" i="5"/>
  <c r="BC78" i="5"/>
  <c r="DL77" i="5"/>
  <c r="BC77" i="5"/>
  <c r="DL56" i="5"/>
  <c r="BC56" i="5"/>
  <c r="DL15" i="5"/>
  <c r="BC15" i="5"/>
  <c r="DL53" i="5"/>
  <c r="BC53" i="5"/>
  <c r="DL31" i="5"/>
  <c r="BC31" i="5"/>
  <c r="DL38" i="5"/>
  <c r="BC38" i="5"/>
  <c r="DL62" i="5"/>
  <c r="BC62" i="5"/>
  <c r="DL12" i="5"/>
  <c r="BC12" i="5"/>
  <c r="DL68" i="5"/>
  <c r="BC68" i="5"/>
  <c r="DL48" i="5"/>
  <c r="BC48" i="5"/>
  <c r="DL5" i="5"/>
  <c r="BC5" i="5"/>
  <c r="DL69" i="5"/>
  <c r="BC69" i="5"/>
  <c r="DL85" i="5"/>
  <c r="BC85" i="5"/>
  <c r="DM194" i="5"/>
  <c r="BF194" i="5"/>
  <c r="DL97" i="5"/>
  <c r="BC145" i="5"/>
  <c r="DL145" i="5"/>
  <c r="BF117" i="5"/>
  <c r="DM117" i="5"/>
  <c r="BF198" i="5"/>
  <c r="DM198" i="5"/>
  <c r="BC94" i="5"/>
  <c r="DL94" i="5"/>
  <c r="BC114" i="5"/>
  <c r="DL114" i="5"/>
  <c r="BC135" i="5"/>
  <c r="DL135" i="5"/>
  <c r="DL67" i="5"/>
  <c r="BC67" i="5"/>
  <c r="DL72" i="5"/>
  <c r="BC72" i="5"/>
  <c r="BC113" i="5"/>
  <c r="DL113" i="5"/>
  <c r="BF146" i="5"/>
  <c r="DM146" i="5"/>
  <c r="BC200" i="5"/>
  <c r="DL200" i="5"/>
  <c r="BC120" i="5"/>
  <c r="DL120" i="5"/>
  <c r="DL88" i="5"/>
  <c r="BC88" i="5"/>
  <c r="BC173" i="5"/>
  <c r="DL173" i="5"/>
  <c r="BF188" i="5"/>
  <c r="DM188" i="5"/>
  <c r="BC153" i="5"/>
  <c r="DL153" i="5"/>
  <c r="BC148" i="5"/>
  <c r="DL148" i="5"/>
  <c r="BF130" i="5"/>
  <c r="DM130" i="5"/>
  <c r="BF192" i="5"/>
  <c r="DM192" i="5"/>
  <c r="DL27" i="5"/>
  <c r="BC27" i="5"/>
  <c r="DL20" i="5"/>
  <c r="BC20" i="5"/>
  <c r="DL35" i="5"/>
  <c r="BC35" i="5"/>
  <c r="DL65" i="5"/>
  <c r="BC65" i="5"/>
  <c r="DL84" i="5"/>
  <c r="BC84" i="5"/>
  <c r="DL87" i="5"/>
  <c r="BC87" i="5"/>
  <c r="DL75" i="5"/>
  <c r="BC75" i="5"/>
  <c r="DL14" i="5"/>
  <c r="BC14" i="5"/>
  <c r="DL33" i="5"/>
  <c r="BC33" i="5"/>
  <c r="DL41" i="5"/>
  <c r="BC41" i="5"/>
  <c r="BC151" i="5"/>
  <c r="DL151" i="5"/>
  <c r="DL83" i="5"/>
  <c r="BC83" i="5"/>
  <c r="DL167" i="5"/>
  <c r="BC167" i="5"/>
  <c r="DL26" i="5"/>
  <c r="BC26" i="5"/>
  <c r="DL73" i="5"/>
  <c r="BC73" i="5"/>
  <c r="DL28" i="5"/>
  <c r="BC28" i="5"/>
  <c r="DL40" i="5"/>
  <c r="BC40" i="5"/>
  <c r="DL9" i="5"/>
  <c r="BC9" i="5"/>
  <c r="DL8" i="5"/>
  <c r="BC8" i="5"/>
  <c r="DL86" i="5"/>
  <c r="BC86" i="5"/>
  <c r="DL45" i="5"/>
  <c r="BC45" i="5"/>
  <c r="DL58" i="5"/>
  <c r="BC58" i="5"/>
  <c r="DL7" i="5"/>
  <c r="BC7" i="5"/>
  <c r="DL29" i="5"/>
  <c r="BC29" i="5"/>
  <c r="DL80" i="5"/>
  <c r="BC80" i="5"/>
  <c r="BC107" i="5"/>
  <c r="DL107" i="5"/>
  <c r="DL79" i="5"/>
  <c r="BC79" i="5"/>
  <c r="DL34" i="5"/>
  <c r="BC34" i="5"/>
  <c r="BC96" i="5"/>
  <c r="DL96" i="5"/>
  <c r="BC119" i="5"/>
  <c r="DL119" i="5"/>
  <c r="DZ133" i="3"/>
  <c r="DZ134" i="3"/>
  <c r="DZ135" i="3"/>
  <c r="DZ136" i="3"/>
  <c r="DZ137" i="3"/>
  <c r="DZ138" i="3"/>
  <c r="DZ139" i="3"/>
  <c r="DZ140" i="3"/>
  <c r="DZ141" i="3"/>
  <c r="DZ142" i="3"/>
  <c r="DZ143" i="3"/>
  <c r="DZ144" i="3"/>
  <c r="DZ145" i="3"/>
  <c r="DZ146" i="3"/>
  <c r="DZ147" i="3"/>
  <c r="DZ148" i="3"/>
  <c r="DZ149" i="3"/>
  <c r="DZ150" i="3"/>
  <c r="DZ151" i="3"/>
  <c r="DZ152" i="3"/>
  <c r="DZ153" i="3"/>
  <c r="DZ154" i="3"/>
  <c r="DZ155" i="3"/>
  <c r="DZ156" i="3"/>
  <c r="DZ157" i="3"/>
  <c r="DZ158" i="3"/>
  <c r="DZ159" i="3"/>
  <c r="DZ160" i="3"/>
  <c r="DZ161" i="3"/>
  <c r="DZ162" i="3"/>
  <c r="DZ163" i="3"/>
  <c r="DZ164" i="3"/>
  <c r="DZ165" i="3"/>
  <c r="DZ166" i="3"/>
  <c r="DZ167" i="3"/>
  <c r="DZ168" i="3"/>
  <c r="DZ169" i="3"/>
  <c r="DZ170" i="3"/>
  <c r="DZ171" i="3"/>
  <c r="DZ172" i="3"/>
  <c r="DZ173" i="3"/>
  <c r="DZ174" i="3"/>
  <c r="DZ175" i="3"/>
  <c r="DZ176" i="3"/>
  <c r="DZ177" i="3"/>
  <c r="DZ178" i="3"/>
  <c r="DZ179" i="3"/>
  <c r="DZ180" i="3"/>
  <c r="DZ181" i="3"/>
  <c r="DZ182" i="3"/>
  <c r="DZ183" i="3"/>
  <c r="DZ184" i="3"/>
  <c r="DZ185" i="3"/>
  <c r="DZ186" i="3"/>
  <c r="DZ187" i="3"/>
  <c r="DZ188" i="3"/>
  <c r="DZ189" i="3"/>
  <c r="DZ190" i="3"/>
  <c r="DZ191" i="3"/>
  <c r="DZ192" i="3"/>
  <c r="DZ193" i="3"/>
  <c r="DZ194" i="3"/>
  <c r="DZ195" i="3"/>
  <c r="DZ196" i="3"/>
  <c r="DZ197" i="3"/>
  <c r="DZ198" i="3"/>
  <c r="DZ199" i="3"/>
  <c r="DZ200" i="3"/>
  <c r="DZ201" i="3"/>
  <c r="DZ202" i="3"/>
  <c r="E4" i="3"/>
  <c r="I4" i="3"/>
  <c r="M4" i="3"/>
  <c r="Q4" i="3"/>
  <c r="U4" i="3"/>
  <c r="Y4" i="3"/>
  <c r="AC4" i="3"/>
  <c r="AG4" i="3"/>
  <c r="AO4" i="3"/>
  <c r="AS4" i="3"/>
  <c r="AW4" i="3"/>
  <c r="BA4" i="3"/>
  <c r="BE4" i="3"/>
  <c r="BI4" i="3"/>
  <c r="BM4" i="3"/>
  <c r="BQ4" i="3"/>
  <c r="BY4" i="3"/>
  <c r="CC4" i="3"/>
  <c r="CG4" i="3"/>
  <c r="CK4" i="3"/>
  <c r="CO4" i="3"/>
  <c r="CS4" i="3"/>
  <c r="CW4" i="3"/>
  <c r="DA4" i="3"/>
  <c r="DE4" i="3"/>
  <c r="DI4" i="3"/>
  <c r="DM4" i="3"/>
  <c r="DQ4" i="3"/>
  <c r="DU4" i="3"/>
  <c r="E5" i="3"/>
  <c r="I5" i="3"/>
  <c r="M5" i="3"/>
  <c r="Q5" i="3"/>
  <c r="U5" i="3"/>
  <c r="Y5" i="3"/>
  <c r="AC5" i="3"/>
  <c r="AG5" i="3"/>
  <c r="AO5" i="3"/>
  <c r="AS5" i="3"/>
  <c r="AW5" i="3"/>
  <c r="BA5" i="3"/>
  <c r="BE5" i="3"/>
  <c r="BI5" i="3"/>
  <c r="BM5" i="3"/>
  <c r="BQ5" i="3"/>
  <c r="BU5" i="3"/>
  <c r="BY5" i="3"/>
  <c r="CC5" i="3"/>
  <c r="CG5" i="3"/>
  <c r="CK5" i="3"/>
  <c r="CO5" i="3"/>
  <c r="CS5" i="3"/>
  <c r="CW5" i="3"/>
  <c r="DA5" i="3"/>
  <c r="DE5" i="3"/>
  <c r="DM5" i="3"/>
  <c r="DQ5" i="3"/>
  <c r="DU5" i="3"/>
  <c r="E6" i="3"/>
  <c r="I6" i="3"/>
  <c r="M6" i="3"/>
  <c r="U6" i="3"/>
  <c r="Y6" i="3"/>
  <c r="AC6" i="3"/>
  <c r="AG6" i="3"/>
  <c r="AO6" i="3"/>
  <c r="AS6" i="3"/>
  <c r="AW6" i="3"/>
  <c r="BA6" i="3"/>
  <c r="BE6" i="3"/>
  <c r="BI6" i="3"/>
  <c r="BM6" i="3"/>
  <c r="BQ6" i="3"/>
  <c r="BU6" i="3"/>
  <c r="BY6" i="3"/>
  <c r="CC6" i="3"/>
  <c r="CG6" i="3"/>
  <c r="CK6" i="3"/>
  <c r="CO6" i="3"/>
  <c r="CS6" i="3"/>
  <c r="CW6" i="3"/>
  <c r="DA6" i="3"/>
  <c r="DE6" i="3"/>
  <c r="DI6" i="3"/>
  <c r="DM6" i="3"/>
  <c r="DQ6" i="3"/>
  <c r="DU6" i="3"/>
  <c r="E7" i="3"/>
  <c r="I7" i="3"/>
  <c r="M7" i="3"/>
  <c r="Q7" i="3"/>
  <c r="U7" i="3"/>
  <c r="Y7" i="3"/>
  <c r="AC7" i="3"/>
  <c r="AG7" i="3"/>
  <c r="AO7" i="3"/>
  <c r="AS7" i="3"/>
  <c r="AW7" i="3"/>
  <c r="BA7" i="3"/>
  <c r="BE7" i="3"/>
  <c r="BI7" i="3"/>
  <c r="BM7" i="3"/>
  <c r="BQ7" i="3"/>
  <c r="BU7" i="3"/>
  <c r="BY7" i="3"/>
  <c r="CC7" i="3"/>
  <c r="CG7" i="3"/>
  <c r="CK7" i="3"/>
  <c r="CO7" i="3"/>
  <c r="CS7" i="3"/>
  <c r="CW7" i="3"/>
  <c r="DA7" i="3"/>
  <c r="DE7" i="3"/>
  <c r="DI7" i="3"/>
  <c r="DM7" i="3"/>
  <c r="DQ7" i="3"/>
  <c r="DU7" i="3"/>
  <c r="E8" i="3"/>
  <c r="I8" i="3"/>
  <c r="M8" i="3"/>
  <c r="Q8" i="3"/>
  <c r="U8" i="3"/>
  <c r="Y8" i="3"/>
  <c r="AC8" i="3"/>
  <c r="AG8" i="3"/>
  <c r="AO8" i="3"/>
  <c r="AS8" i="3"/>
  <c r="BA8" i="3"/>
  <c r="BE8" i="3"/>
  <c r="BI8" i="3"/>
  <c r="BM8" i="3"/>
  <c r="BQ8" i="3"/>
  <c r="BU8" i="3"/>
  <c r="BY8" i="3"/>
  <c r="CC8" i="3"/>
  <c r="CG8" i="3"/>
  <c r="CK8" i="3"/>
  <c r="CO8" i="3"/>
  <c r="CS8" i="3"/>
  <c r="CW8" i="3"/>
  <c r="DA8" i="3"/>
  <c r="DE8" i="3"/>
  <c r="DI8" i="3"/>
  <c r="DM8" i="3"/>
  <c r="DQ8" i="3"/>
  <c r="DU8" i="3"/>
  <c r="E9" i="3"/>
  <c r="M9" i="3"/>
  <c r="Q9" i="3"/>
  <c r="U9" i="3"/>
  <c r="Y9" i="3"/>
  <c r="AC9" i="3"/>
  <c r="AG9" i="3"/>
  <c r="AO9" i="3"/>
  <c r="AS9" i="3"/>
  <c r="BE9" i="3"/>
  <c r="BI9" i="3"/>
  <c r="BM9" i="3"/>
  <c r="BQ9" i="3"/>
  <c r="BU9" i="3"/>
  <c r="BY9" i="3"/>
  <c r="CC9" i="3"/>
  <c r="CK9" i="3"/>
  <c r="CO9" i="3"/>
  <c r="CS9" i="3"/>
  <c r="CW9" i="3"/>
  <c r="DA9" i="3"/>
  <c r="DE9" i="3"/>
  <c r="DI9" i="3"/>
  <c r="DM9" i="3"/>
  <c r="DQ9" i="3"/>
  <c r="DU9" i="3"/>
  <c r="E10" i="3"/>
  <c r="I10" i="3"/>
  <c r="M10" i="3"/>
  <c r="Q10" i="3"/>
  <c r="U10" i="3"/>
  <c r="Y10" i="3"/>
  <c r="AC10" i="3"/>
  <c r="AG10" i="3"/>
  <c r="AO10" i="3"/>
  <c r="AS10" i="3"/>
  <c r="BE10" i="3"/>
  <c r="BI10" i="3"/>
  <c r="BM10" i="3"/>
  <c r="BQ10" i="3"/>
  <c r="BU10" i="3"/>
  <c r="BY10" i="3"/>
  <c r="CC10" i="3"/>
  <c r="CG10" i="3"/>
  <c r="CK10" i="3"/>
  <c r="CO10" i="3"/>
  <c r="CS10" i="3"/>
  <c r="CW10" i="3"/>
  <c r="DA10" i="3"/>
  <c r="DE10" i="3"/>
  <c r="DI10" i="3"/>
  <c r="DM10" i="3"/>
  <c r="DQ10" i="3"/>
  <c r="DU10" i="3"/>
  <c r="E11" i="3"/>
  <c r="I11" i="3"/>
  <c r="M11" i="3"/>
  <c r="Q11" i="3"/>
  <c r="U11" i="3"/>
  <c r="Y11" i="3"/>
  <c r="AC11" i="3"/>
  <c r="AG11" i="3"/>
  <c r="AO11" i="3"/>
  <c r="AS11" i="3"/>
  <c r="AW11" i="3"/>
  <c r="BA11" i="3"/>
  <c r="BE11" i="3"/>
  <c r="BI11" i="3"/>
  <c r="BM11" i="3"/>
  <c r="BQ11" i="3"/>
  <c r="BY11" i="3"/>
  <c r="CC11" i="3"/>
  <c r="CG11" i="3"/>
  <c r="CK11" i="3"/>
  <c r="CO11" i="3"/>
  <c r="CS11" i="3"/>
  <c r="CW11" i="3"/>
  <c r="DA11" i="3"/>
  <c r="DE11" i="3"/>
  <c r="DI11" i="3"/>
  <c r="DM11" i="3"/>
  <c r="DQ11" i="3"/>
  <c r="DU11" i="3"/>
  <c r="E12" i="3"/>
  <c r="I12" i="3"/>
  <c r="M12" i="3"/>
  <c r="Q12" i="3"/>
  <c r="U12" i="3"/>
  <c r="Y12" i="3"/>
  <c r="AC12" i="3"/>
  <c r="AG12" i="3"/>
  <c r="AO12" i="3"/>
  <c r="AS12" i="3"/>
  <c r="AW12" i="3"/>
  <c r="BA12" i="3"/>
  <c r="BE12" i="3"/>
  <c r="BI12" i="3"/>
  <c r="BM12" i="3"/>
  <c r="BQ12" i="3"/>
  <c r="BU12" i="3"/>
  <c r="BY12" i="3"/>
  <c r="CC12" i="3"/>
  <c r="CG12" i="3"/>
  <c r="CK12" i="3"/>
  <c r="CO12" i="3"/>
  <c r="CS12" i="3"/>
  <c r="CW12" i="3"/>
  <c r="DA12" i="3"/>
  <c r="DE12" i="3"/>
  <c r="DI12" i="3"/>
  <c r="DM12" i="3"/>
  <c r="DQ12" i="3"/>
  <c r="DU12" i="3"/>
  <c r="E13" i="3"/>
  <c r="M13" i="3"/>
  <c r="Q13" i="3"/>
  <c r="U13" i="3"/>
  <c r="Y13" i="3"/>
  <c r="AC13" i="3"/>
  <c r="AG13" i="3"/>
  <c r="AO13" i="3"/>
  <c r="AS13" i="3"/>
  <c r="BE13" i="3"/>
  <c r="BI13" i="3"/>
  <c r="BM13" i="3"/>
  <c r="BQ13" i="3"/>
  <c r="BU13" i="3"/>
  <c r="BY13" i="3"/>
  <c r="CC13" i="3"/>
  <c r="CK13" i="3"/>
  <c r="CO13" i="3"/>
  <c r="CS13" i="3"/>
  <c r="CW13" i="3"/>
  <c r="DA13" i="3"/>
  <c r="DE13" i="3"/>
  <c r="DI13" i="3"/>
  <c r="DM13" i="3"/>
  <c r="DQ13" i="3"/>
  <c r="DU13" i="3"/>
  <c r="E14" i="3"/>
  <c r="H14" i="3" s="1"/>
  <c r="I14" i="3"/>
  <c r="M14" i="3"/>
  <c r="Q14" i="3"/>
  <c r="U14" i="3"/>
  <c r="Y14" i="3"/>
  <c r="AC14" i="3"/>
  <c r="AG14" i="3"/>
  <c r="AO14" i="3"/>
  <c r="AS14" i="3"/>
  <c r="BE14" i="3"/>
  <c r="BI14" i="3"/>
  <c r="BM14" i="3"/>
  <c r="BU14" i="3"/>
  <c r="BY14" i="3"/>
  <c r="CC14" i="3"/>
  <c r="CG14" i="3"/>
  <c r="CK14" i="3"/>
  <c r="CW14" i="3"/>
  <c r="DA14" i="3"/>
  <c r="DE14" i="3"/>
  <c r="DM14" i="3"/>
  <c r="DQ14" i="3"/>
  <c r="DU14" i="3"/>
  <c r="E15" i="3"/>
  <c r="I15" i="3"/>
  <c r="M15" i="3"/>
  <c r="Q15" i="3"/>
  <c r="U15" i="3"/>
  <c r="Y15" i="3"/>
  <c r="AC15" i="3"/>
  <c r="AG15" i="3"/>
  <c r="AO15" i="3"/>
  <c r="AS15" i="3"/>
  <c r="AW15" i="3"/>
  <c r="BA15" i="3"/>
  <c r="BE15" i="3"/>
  <c r="BI15" i="3"/>
  <c r="BM15" i="3"/>
  <c r="BQ15" i="3"/>
  <c r="BU15" i="3"/>
  <c r="BY15" i="3"/>
  <c r="CC15" i="3"/>
  <c r="CG15" i="3"/>
  <c r="CK15" i="3"/>
  <c r="CO15" i="3"/>
  <c r="CS15" i="3"/>
  <c r="CW15" i="3"/>
  <c r="DA15" i="3"/>
  <c r="DE15" i="3"/>
  <c r="DI15" i="3"/>
  <c r="DM15" i="3"/>
  <c r="DQ15" i="3"/>
  <c r="DU15" i="3"/>
  <c r="E16" i="3"/>
  <c r="I16" i="3"/>
  <c r="M16" i="3"/>
  <c r="Q16" i="3"/>
  <c r="U16" i="3"/>
  <c r="Y16" i="3"/>
  <c r="AC16" i="3"/>
  <c r="AG16" i="3"/>
  <c r="AO16" i="3"/>
  <c r="AS16" i="3"/>
  <c r="AW16" i="3"/>
  <c r="BA16" i="3"/>
  <c r="BE16" i="3"/>
  <c r="BI16" i="3"/>
  <c r="BM16" i="3"/>
  <c r="BQ16" i="3"/>
  <c r="BU16" i="3"/>
  <c r="BY16" i="3"/>
  <c r="CC16" i="3"/>
  <c r="CG16" i="3"/>
  <c r="CK16" i="3"/>
  <c r="CO16" i="3"/>
  <c r="CS16" i="3"/>
  <c r="CW16" i="3"/>
  <c r="DA16" i="3"/>
  <c r="DE16" i="3"/>
  <c r="DI16" i="3"/>
  <c r="DM16" i="3"/>
  <c r="DQ16" i="3"/>
  <c r="DU16" i="3"/>
  <c r="E17" i="3"/>
  <c r="I17" i="3"/>
  <c r="M17" i="3"/>
  <c r="Q17" i="3"/>
  <c r="U17" i="3"/>
  <c r="Y17" i="3"/>
  <c r="AC17" i="3"/>
  <c r="AG17" i="3"/>
  <c r="AO17" i="3"/>
  <c r="AS17" i="3"/>
  <c r="AW17" i="3"/>
  <c r="BA17" i="3"/>
  <c r="BE17" i="3"/>
  <c r="BI17" i="3"/>
  <c r="BM17" i="3"/>
  <c r="BQ17" i="3"/>
  <c r="BU17" i="3"/>
  <c r="BY17" i="3"/>
  <c r="CC17" i="3"/>
  <c r="CG17" i="3"/>
  <c r="CK17" i="3"/>
  <c r="CO17" i="3"/>
  <c r="CS17" i="3"/>
  <c r="CW17" i="3"/>
  <c r="DA17" i="3"/>
  <c r="DE17" i="3"/>
  <c r="DI17" i="3"/>
  <c r="DM17" i="3"/>
  <c r="DQ17" i="3"/>
  <c r="DU17" i="3"/>
  <c r="E18" i="3"/>
  <c r="I18" i="3"/>
  <c r="M18" i="3"/>
  <c r="Q18" i="3"/>
  <c r="U18" i="3"/>
  <c r="Y18" i="3"/>
  <c r="AC18" i="3"/>
  <c r="AG18" i="3"/>
  <c r="AO18" i="3"/>
  <c r="AS18" i="3"/>
  <c r="AW18" i="3"/>
  <c r="BA18" i="3"/>
  <c r="BE18" i="3"/>
  <c r="BI18" i="3"/>
  <c r="BM18" i="3"/>
  <c r="BQ18" i="3"/>
  <c r="BU18" i="3"/>
  <c r="BY18" i="3"/>
  <c r="CC18" i="3"/>
  <c r="CG18" i="3"/>
  <c r="CK18" i="3"/>
  <c r="CO18" i="3"/>
  <c r="CS18" i="3"/>
  <c r="CW18" i="3"/>
  <c r="DA18" i="3"/>
  <c r="DE18" i="3"/>
  <c r="DM18" i="3"/>
  <c r="DQ18" i="3"/>
  <c r="DU18" i="3"/>
  <c r="E19" i="3"/>
  <c r="M19" i="3"/>
  <c r="Q19" i="3"/>
  <c r="U19" i="3"/>
  <c r="Y19" i="3"/>
  <c r="AC19" i="3"/>
  <c r="AG19" i="3"/>
  <c r="AO19" i="3"/>
  <c r="AS19" i="3"/>
  <c r="BE19" i="3"/>
  <c r="BI19" i="3"/>
  <c r="BM19" i="3"/>
  <c r="BQ19" i="3"/>
  <c r="BU19" i="3"/>
  <c r="BY19" i="3"/>
  <c r="CC19" i="3"/>
  <c r="CG19" i="3"/>
  <c r="CK19" i="3"/>
  <c r="CO19" i="3"/>
  <c r="CW19" i="3"/>
  <c r="DA19" i="3"/>
  <c r="DE19" i="3"/>
  <c r="DM19" i="3"/>
  <c r="DQ19" i="3"/>
  <c r="DU19" i="3"/>
  <c r="E20" i="3"/>
  <c r="M20" i="3"/>
  <c r="Q20" i="3"/>
  <c r="U20" i="3"/>
  <c r="Y20" i="3"/>
  <c r="AC20" i="3"/>
  <c r="AG20" i="3"/>
  <c r="AO20" i="3"/>
  <c r="AS20" i="3"/>
  <c r="AW20" i="3"/>
  <c r="BA20" i="3"/>
  <c r="BE20" i="3"/>
  <c r="BI20" i="3"/>
  <c r="BM20" i="3"/>
  <c r="BQ20" i="3"/>
  <c r="BU20" i="3"/>
  <c r="BY20" i="3"/>
  <c r="CC20" i="3"/>
  <c r="CG20" i="3"/>
  <c r="CK20" i="3"/>
  <c r="CO20" i="3"/>
  <c r="CS20" i="3"/>
  <c r="CW20" i="3"/>
  <c r="DA20" i="3"/>
  <c r="DE20" i="3"/>
  <c r="DI20" i="3"/>
  <c r="DM20" i="3"/>
  <c r="DQ20" i="3"/>
  <c r="DU20" i="3"/>
  <c r="E21" i="3"/>
  <c r="I21" i="3"/>
  <c r="M21" i="3"/>
  <c r="Q21" i="3"/>
  <c r="U21" i="3"/>
  <c r="Y21" i="3"/>
  <c r="AC21" i="3"/>
  <c r="AG21" i="3"/>
  <c r="AO21" i="3"/>
  <c r="AS21" i="3"/>
  <c r="AW21" i="3"/>
  <c r="BA21" i="3"/>
  <c r="BE21" i="3"/>
  <c r="BI21" i="3"/>
  <c r="BM21" i="3"/>
  <c r="BQ21" i="3"/>
  <c r="BU21" i="3"/>
  <c r="BY21" i="3"/>
  <c r="CC21" i="3"/>
  <c r="CG21" i="3"/>
  <c r="CK21" i="3"/>
  <c r="CO21" i="3"/>
  <c r="CS21" i="3"/>
  <c r="CW21" i="3"/>
  <c r="DA21" i="3"/>
  <c r="DE21" i="3"/>
  <c r="DI21" i="3"/>
  <c r="DM21" i="3"/>
  <c r="DQ21" i="3"/>
  <c r="DU21" i="3"/>
  <c r="E22" i="3"/>
  <c r="I22" i="3"/>
  <c r="M22" i="3"/>
  <c r="Q22" i="3"/>
  <c r="U22" i="3"/>
  <c r="Y22" i="3"/>
  <c r="AC22" i="3"/>
  <c r="AG22" i="3"/>
  <c r="AO22" i="3"/>
  <c r="AS22" i="3"/>
  <c r="AW22" i="3"/>
  <c r="BA22" i="3"/>
  <c r="BE22" i="3"/>
  <c r="BI22" i="3"/>
  <c r="BM22" i="3"/>
  <c r="BQ22" i="3"/>
  <c r="BU22" i="3"/>
  <c r="BY22" i="3"/>
  <c r="CC22" i="3"/>
  <c r="CG22" i="3"/>
  <c r="CK22" i="3"/>
  <c r="CO22" i="3"/>
  <c r="CS22" i="3"/>
  <c r="CW22" i="3"/>
  <c r="DA22" i="3"/>
  <c r="DE22" i="3"/>
  <c r="DI22" i="3"/>
  <c r="DM22" i="3"/>
  <c r="DQ22" i="3"/>
  <c r="DU22" i="3"/>
  <c r="E23" i="3"/>
  <c r="I23" i="3"/>
  <c r="M23" i="3"/>
  <c r="Q23" i="3"/>
  <c r="U23" i="3"/>
  <c r="Y23" i="3"/>
  <c r="AC23" i="3"/>
  <c r="AG23" i="3"/>
  <c r="AO23" i="3"/>
  <c r="AS23" i="3"/>
  <c r="AW23" i="3"/>
  <c r="BA23" i="3"/>
  <c r="BE23" i="3"/>
  <c r="BI23" i="3"/>
  <c r="BM23" i="3"/>
  <c r="BQ23" i="3"/>
  <c r="BU23" i="3"/>
  <c r="BY23" i="3"/>
  <c r="CC23" i="3"/>
  <c r="CG23" i="3"/>
  <c r="CK23" i="3"/>
  <c r="CO23" i="3"/>
  <c r="CS23" i="3"/>
  <c r="CW23" i="3"/>
  <c r="DA23" i="3"/>
  <c r="DE23" i="3"/>
  <c r="DI23" i="3"/>
  <c r="DM23" i="3"/>
  <c r="DQ23" i="3"/>
  <c r="DU23" i="3"/>
  <c r="E24" i="3"/>
  <c r="I24" i="3"/>
  <c r="M24" i="3"/>
  <c r="Q24" i="3"/>
  <c r="U24" i="3"/>
  <c r="Y24" i="3"/>
  <c r="AC24" i="3"/>
  <c r="AG24" i="3"/>
  <c r="AO24" i="3"/>
  <c r="AS24" i="3"/>
  <c r="AW24" i="3"/>
  <c r="BA24" i="3"/>
  <c r="BE24" i="3"/>
  <c r="BI24" i="3"/>
  <c r="BM24" i="3"/>
  <c r="BQ24" i="3"/>
  <c r="BU24" i="3"/>
  <c r="BY24" i="3"/>
  <c r="CC24" i="3"/>
  <c r="CG24" i="3"/>
  <c r="CK24" i="3"/>
  <c r="CO24" i="3"/>
  <c r="CS24" i="3"/>
  <c r="CW24" i="3"/>
  <c r="DA24" i="3"/>
  <c r="DE24" i="3"/>
  <c r="DI24" i="3"/>
  <c r="DM24" i="3"/>
  <c r="DQ24" i="3"/>
  <c r="DU24" i="3"/>
  <c r="E25" i="3"/>
  <c r="I25" i="3"/>
  <c r="M25" i="3"/>
  <c r="Q25" i="3"/>
  <c r="U25" i="3"/>
  <c r="Y25" i="3"/>
  <c r="AC25" i="3"/>
  <c r="AG25" i="3"/>
  <c r="AO25" i="3"/>
  <c r="AS25" i="3"/>
  <c r="AW25" i="3"/>
  <c r="BA25" i="3"/>
  <c r="BE25" i="3"/>
  <c r="BI25" i="3"/>
  <c r="BM25" i="3"/>
  <c r="BQ25" i="3"/>
  <c r="BU25" i="3"/>
  <c r="BY25" i="3"/>
  <c r="CC25" i="3"/>
  <c r="CG25" i="3"/>
  <c r="CK25" i="3"/>
  <c r="CO25" i="3"/>
  <c r="CS25" i="3"/>
  <c r="CW25" i="3"/>
  <c r="DA25" i="3"/>
  <c r="DE25" i="3"/>
  <c r="DI25" i="3"/>
  <c r="DM25" i="3"/>
  <c r="DQ25" i="3"/>
  <c r="DU25" i="3"/>
  <c r="E26" i="3"/>
  <c r="I26" i="3"/>
  <c r="M26" i="3"/>
  <c r="Q26" i="3"/>
  <c r="U26" i="3"/>
  <c r="Y26" i="3"/>
  <c r="AC26" i="3"/>
  <c r="AG26" i="3"/>
  <c r="AO26" i="3"/>
  <c r="AS26" i="3"/>
  <c r="BE26" i="3"/>
  <c r="BI26" i="3"/>
  <c r="BM26" i="3"/>
  <c r="BQ26" i="3"/>
  <c r="BU26" i="3"/>
  <c r="BY26" i="3"/>
  <c r="CC26" i="3"/>
  <c r="CG26" i="3"/>
  <c r="CK26" i="3"/>
  <c r="CO26" i="3"/>
  <c r="CS26" i="3"/>
  <c r="CW26" i="3"/>
  <c r="DA26" i="3"/>
  <c r="DE26" i="3"/>
  <c r="DM26" i="3"/>
  <c r="DQ26" i="3"/>
  <c r="DU26" i="3"/>
  <c r="E27" i="3"/>
  <c r="I27" i="3"/>
  <c r="M27" i="3"/>
  <c r="Q27" i="3"/>
  <c r="U27" i="3"/>
  <c r="Y27" i="3"/>
  <c r="AC27" i="3"/>
  <c r="AG27" i="3"/>
  <c r="AO27" i="3"/>
  <c r="AS27" i="3"/>
  <c r="AW27" i="3"/>
  <c r="BA27" i="3"/>
  <c r="BE27" i="3"/>
  <c r="BI27" i="3"/>
  <c r="BM27" i="3"/>
  <c r="BQ27" i="3"/>
  <c r="BU27" i="3"/>
  <c r="BY27" i="3"/>
  <c r="CC27" i="3"/>
  <c r="CG27" i="3"/>
  <c r="CK27" i="3"/>
  <c r="CO27" i="3"/>
  <c r="CS27" i="3"/>
  <c r="CW27" i="3"/>
  <c r="DA27" i="3"/>
  <c r="DE27" i="3"/>
  <c r="DI27" i="3"/>
  <c r="DM27" i="3"/>
  <c r="DQ27" i="3"/>
  <c r="DU27" i="3"/>
  <c r="E28" i="3"/>
  <c r="I28" i="3"/>
  <c r="M28" i="3"/>
  <c r="Q28" i="3"/>
  <c r="U28" i="3"/>
  <c r="Y28" i="3"/>
  <c r="AC28" i="3"/>
  <c r="AG28" i="3"/>
  <c r="AO28" i="3"/>
  <c r="AS28" i="3"/>
  <c r="AW28" i="3"/>
  <c r="BA28" i="3"/>
  <c r="BE28" i="3"/>
  <c r="BI28" i="3"/>
  <c r="BM28" i="3"/>
  <c r="BQ28" i="3"/>
  <c r="BU28" i="3"/>
  <c r="BY28" i="3"/>
  <c r="CC28" i="3"/>
  <c r="CG28" i="3"/>
  <c r="CK28" i="3"/>
  <c r="CO28" i="3"/>
  <c r="CS28" i="3"/>
  <c r="CW28" i="3"/>
  <c r="DA28" i="3"/>
  <c r="DE28" i="3"/>
  <c r="DI28" i="3"/>
  <c r="DM28" i="3"/>
  <c r="DQ28" i="3"/>
  <c r="DU28" i="3"/>
  <c r="E29" i="3"/>
  <c r="I29" i="3"/>
  <c r="M29" i="3"/>
  <c r="Q29" i="3"/>
  <c r="U29" i="3"/>
  <c r="Y29" i="3"/>
  <c r="AC29" i="3"/>
  <c r="AG29" i="3"/>
  <c r="AO29" i="3"/>
  <c r="AS29" i="3"/>
  <c r="AW29" i="3"/>
  <c r="BE29" i="3"/>
  <c r="BI29" i="3"/>
  <c r="BM29" i="3"/>
  <c r="BQ29" i="3"/>
  <c r="BU29" i="3"/>
  <c r="BY29" i="3"/>
  <c r="CC29" i="3"/>
  <c r="CG29" i="3"/>
  <c r="CK29" i="3"/>
  <c r="CO29" i="3"/>
  <c r="CS29" i="3"/>
  <c r="CW29" i="3"/>
  <c r="DA29" i="3"/>
  <c r="DE29" i="3"/>
  <c r="DI29" i="3"/>
  <c r="DM29" i="3"/>
  <c r="DQ29" i="3"/>
  <c r="DU29" i="3"/>
  <c r="E30" i="3"/>
  <c r="I30" i="3"/>
  <c r="Q30" i="3"/>
  <c r="U30" i="3"/>
  <c r="Y30" i="3"/>
  <c r="AC30" i="3"/>
  <c r="AG30" i="3"/>
  <c r="AO30" i="3"/>
  <c r="AS30" i="3"/>
  <c r="AW30" i="3"/>
  <c r="BA30" i="3"/>
  <c r="BE30" i="3"/>
  <c r="BI30" i="3"/>
  <c r="BM30" i="3"/>
  <c r="BQ30" i="3"/>
  <c r="BU30" i="3"/>
  <c r="BY30" i="3"/>
  <c r="CC30" i="3"/>
  <c r="CG30" i="3"/>
  <c r="CK30" i="3"/>
  <c r="CO30" i="3"/>
  <c r="CS30" i="3"/>
  <c r="CW30" i="3"/>
  <c r="DA30" i="3"/>
  <c r="DE30" i="3"/>
  <c r="DI30" i="3"/>
  <c r="DM30" i="3"/>
  <c r="DQ30" i="3"/>
  <c r="DU30" i="3"/>
  <c r="E31" i="3"/>
  <c r="M31" i="3"/>
  <c r="Q31" i="3"/>
  <c r="U31" i="3"/>
  <c r="Y31" i="3"/>
  <c r="AC31" i="3"/>
  <c r="AG31" i="3"/>
  <c r="AO31" i="3"/>
  <c r="AS31" i="3"/>
  <c r="AW31" i="3"/>
  <c r="BA31" i="3"/>
  <c r="BE31" i="3"/>
  <c r="BI31" i="3"/>
  <c r="BM31" i="3"/>
  <c r="BQ31" i="3"/>
  <c r="BU31" i="3"/>
  <c r="BY31" i="3"/>
  <c r="CC31" i="3"/>
  <c r="CG31" i="3"/>
  <c r="CK31" i="3"/>
  <c r="CO31" i="3"/>
  <c r="CS31" i="3"/>
  <c r="CW31" i="3"/>
  <c r="DA31" i="3"/>
  <c r="DE31" i="3"/>
  <c r="DI31" i="3"/>
  <c r="DM31" i="3"/>
  <c r="DQ31" i="3"/>
  <c r="DU31" i="3"/>
  <c r="E32" i="3"/>
  <c r="I32" i="3"/>
  <c r="M32" i="3"/>
  <c r="Q32" i="3"/>
  <c r="U32" i="3"/>
  <c r="Y32" i="3"/>
  <c r="AC32" i="3"/>
  <c r="AG32" i="3"/>
  <c r="AO32" i="3"/>
  <c r="AS32" i="3"/>
  <c r="AW32" i="3"/>
  <c r="BA32" i="3"/>
  <c r="BE32" i="3"/>
  <c r="BI32" i="3"/>
  <c r="BM32" i="3"/>
  <c r="BQ32" i="3"/>
  <c r="BU32" i="3"/>
  <c r="BY32" i="3"/>
  <c r="CC32" i="3"/>
  <c r="CG32" i="3"/>
  <c r="CK32" i="3"/>
  <c r="CO32" i="3"/>
  <c r="CS32" i="3"/>
  <c r="CW32" i="3"/>
  <c r="DA32" i="3"/>
  <c r="DE32" i="3"/>
  <c r="DI32" i="3"/>
  <c r="DM32" i="3"/>
  <c r="DQ32" i="3"/>
  <c r="DU32" i="3"/>
  <c r="E33" i="3"/>
  <c r="M33" i="3"/>
  <c r="Q33" i="3"/>
  <c r="U33" i="3"/>
  <c r="Y33" i="3"/>
  <c r="AC33" i="3"/>
  <c r="AG33" i="3"/>
  <c r="AO33" i="3"/>
  <c r="AS33" i="3"/>
  <c r="BA33" i="3"/>
  <c r="BE33" i="3"/>
  <c r="BI33" i="3"/>
  <c r="BM33" i="3"/>
  <c r="BQ33" i="3"/>
  <c r="BU33" i="3"/>
  <c r="BY33" i="3"/>
  <c r="CC33" i="3"/>
  <c r="CG33" i="3"/>
  <c r="CK33" i="3"/>
  <c r="CO33" i="3"/>
  <c r="CS33" i="3"/>
  <c r="CW33" i="3"/>
  <c r="DA33" i="3"/>
  <c r="DE33" i="3"/>
  <c r="DI33" i="3"/>
  <c r="DM33" i="3"/>
  <c r="DQ33" i="3"/>
  <c r="DU33" i="3"/>
  <c r="E34" i="3"/>
  <c r="I34" i="3"/>
  <c r="M34" i="3"/>
  <c r="Q34" i="3"/>
  <c r="U34" i="3"/>
  <c r="Y34" i="3"/>
  <c r="AC34" i="3"/>
  <c r="AG34" i="3"/>
  <c r="AO34" i="3"/>
  <c r="AS34" i="3"/>
  <c r="AW34" i="3"/>
  <c r="BA34" i="3"/>
  <c r="BE34" i="3"/>
  <c r="BI34" i="3"/>
  <c r="BM34" i="3"/>
  <c r="BQ34" i="3"/>
  <c r="BY34" i="3"/>
  <c r="CC34" i="3"/>
  <c r="CG34" i="3"/>
  <c r="CK34" i="3"/>
  <c r="CO34" i="3"/>
  <c r="CS34" i="3"/>
  <c r="CW34" i="3"/>
  <c r="DA34" i="3"/>
  <c r="DE34" i="3"/>
  <c r="DI34" i="3"/>
  <c r="DM34" i="3"/>
  <c r="DQ34" i="3"/>
  <c r="DU34" i="3"/>
  <c r="E35" i="3"/>
  <c r="I35" i="3"/>
  <c r="M35" i="3"/>
  <c r="Q35" i="3"/>
  <c r="U35" i="3"/>
  <c r="Y35" i="3"/>
  <c r="AC35" i="3"/>
  <c r="AG35" i="3"/>
  <c r="AO35" i="3"/>
  <c r="AS35" i="3"/>
  <c r="AW35" i="3"/>
  <c r="BA35" i="3"/>
  <c r="BE35" i="3"/>
  <c r="BI35" i="3"/>
  <c r="BM35" i="3"/>
  <c r="BQ35" i="3"/>
  <c r="BU35" i="3"/>
  <c r="BY35" i="3"/>
  <c r="CC35" i="3"/>
  <c r="CG35" i="3"/>
  <c r="CK35" i="3"/>
  <c r="CO35" i="3"/>
  <c r="CS35" i="3"/>
  <c r="CW35" i="3"/>
  <c r="DA35" i="3"/>
  <c r="DE35" i="3"/>
  <c r="DI35" i="3"/>
  <c r="DM35" i="3"/>
  <c r="DQ35" i="3"/>
  <c r="DU35" i="3"/>
  <c r="E36" i="3"/>
  <c r="I36" i="3"/>
  <c r="M36" i="3"/>
  <c r="Q36" i="3"/>
  <c r="U36" i="3"/>
  <c r="Y36" i="3"/>
  <c r="AC36" i="3"/>
  <c r="AG36" i="3"/>
  <c r="AO36" i="3"/>
  <c r="AS36" i="3"/>
  <c r="AW36" i="3"/>
  <c r="BA36" i="3"/>
  <c r="BE36" i="3"/>
  <c r="BI36" i="3"/>
  <c r="BM36" i="3"/>
  <c r="BQ36" i="3"/>
  <c r="BU36" i="3"/>
  <c r="BY36" i="3"/>
  <c r="CC36" i="3"/>
  <c r="CG36" i="3"/>
  <c r="CK36" i="3"/>
  <c r="CO36" i="3"/>
  <c r="CS36" i="3"/>
  <c r="CW36" i="3"/>
  <c r="DA36" i="3"/>
  <c r="DE36" i="3"/>
  <c r="DI36" i="3"/>
  <c r="DM36" i="3"/>
  <c r="DQ36" i="3"/>
  <c r="DU36" i="3"/>
  <c r="E37" i="3"/>
  <c r="I37" i="3"/>
  <c r="M37" i="3"/>
  <c r="Q37" i="3"/>
  <c r="U37" i="3"/>
  <c r="Y37" i="3"/>
  <c r="AC37" i="3"/>
  <c r="AG37" i="3"/>
  <c r="AO37" i="3"/>
  <c r="AS37" i="3"/>
  <c r="AW37" i="3"/>
  <c r="BA37" i="3"/>
  <c r="BE37" i="3"/>
  <c r="BI37" i="3"/>
  <c r="BM37" i="3"/>
  <c r="BQ37" i="3"/>
  <c r="BU37" i="3"/>
  <c r="BY37" i="3"/>
  <c r="CC37" i="3"/>
  <c r="CG37" i="3"/>
  <c r="CK37" i="3"/>
  <c r="CO37" i="3"/>
  <c r="CS37" i="3"/>
  <c r="CW37" i="3"/>
  <c r="DA37" i="3"/>
  <c r="DE37" i="3"/>
  <c r="DI37" i="3"/>
  <c r="DM37" i="3"/>
  <c r="DQ37" i="3"/>
  <c r="DU37" i="3"/>
  <c r="E38" i="3"/>
  <c r="I38" i="3"/>
  <c r="M38" i="3"/>
  <c r="Q38" i="3"/>
  <c r="U38" i="3"/>
  <c r="Y38" i="3"/>
  <c r="AC38" i="3"/>
  <c r="AG38" i="3"/>
  <c r="AO38" i="3"/>
  <c r="AS38" i="3"/>
  <c r="AW38" i="3"/>
  <c r="BA38" i="3"/>
  <c r="BE38" i="3"/>
  <c r="BI38" i="3"/>
  <c r="BM38" i="3"/>
  <c r="BQ38" i="3"/>
  <c r="BU38" i="3"/>
  <c r="BY38" i="3"/>
  <c r="CC38" i="3"/>
  <c r="CG38" i="3"/>
  <c r="CK38" i="3"/>
  <c r="CO38" i="3"/>
  <c r="CS38" i="3"/>
  <c r="CW38" i="3"/>
  <c r="DA38" i="3"/>
  <c r="DE38" i="3"/>
  <c r="DI38" i="3"/>
  <c r="DM38" i="3"/>
  <c r="DQ38" i="3"/>
  <c r="DU38" i="3"/>
  <c r="E39" i="3"/>
  <c r="I39" i="3"/>
  <c r="M39" i="3"/>
  <c r="Q39" i="3"/>
  <c r="U39" i="3"/>
  <c r="Y39" i="3"/>
  <c r="AC39" i="3"/>
  <c r="AG39" i="3"/>
  <c r="AO39" i="3"/>
  <c r="AS39" i="3"/>
  <c r="AW39" i="3"/>
  <c r="BA39" i="3"/>
  <c r="BE39" i="3"/>
  <c r="BI39" i="3"/>
  <c r="BM39" i="3"/>
  <c r="BQ39" i="3"/>
  <c r="BU39" i="3"/>
  <c r="BY39" i="3"/>
  <c r="CC39" i="3"/>
  <c r="CG39" i="3"/>
  <c r="CK39" i="3"/>
  <c r="CO39" i="3"/>
  <c r="CS39" i="3"/>
  <c r="CW39" i="3"/>
  <c r="DA39" i="3"/>
  <c r="DE39" i="3"/>
  <c r="DI39" i="3"/>
  <c r="DM39" i="3"/>
  <c r="DQ39" i="3"/>
  <c r="DU39" i="3"/>
  <c r="E40" i="3"/>
  <c r="I40" i="3"/>
  <c r="M40" i="3"/>
  <c r="Q40" i="3"/>
  <c r="U40" i="3"/>
  <c r="Y40" i="3"/>
  <c r="AC40" i="3"/>
  <c r="AG40" i="3"/>
  <c r="AO40" i="3"/>
  <c r="AS40" i="3"/>
  <c r="AW40" i="3"/>
  <c r="BA40" i="3"/>
  <c r="BE40" i="3"/>
  <c r="BI40" i="3"/>
  <c r="BM40" i="3"/>
  <c r="BQ40" i="3"/>
  <c r="BU40" i="3"/>
  <c r="BY40" i="3"/>
  <c r="CC40" i="3"/>
  <c r="CG40" i="3"/>
  <c r="CK40" i="3"/>
  <c r="CO40" i="3"/>
  <c r="CS40" i="3"/>
  <c r="CW40" i="3"/>
  <c r="DA40" i="3"/>
  <c r="DE40" i="3"/>
  <c r="DI40" i="3"/>
  <c r="DM40" i="3"/>
  <c r="DQ40" i="3"/>
  <c r="DU40" i="3"/>
  <c r="E41" i="3"/>
  <c r="I41" i="3"/>
  <c r="M41" i="3"/>
  <c r="Q41" i="3"/>
  <c r="U41" i="3"/>
  <c r="Y41" i="3"/>
  <c r="AC41" i="3"/>
  <c r="AG41" i="3"/>
  <c r="AO41" i="3"/>
  <c r="AS41" i="3"/>
  <c r="AW41" i="3"/>
  <c r="BA41" i="3"/>
  <c r="BE41" i="3"/>
  <c r="BI41" i="3"/>
  <c r="BM41" i="3"/>
  <c r="BQ41" i="3"/>
  <c r="BU41" i="3"/>
  <c r="BY41" i="3"/>
  <c r="CC41" i="3"/>
  <c r="CG41" i="3"/>
  <c r="CK41" i="3"/>
  <c r="CO41" i="3"/>
  <c r="CS41" i="3"/>
  <c r="CW41" i="3"/>
  <c r="DA41" i="3"/>
  <c r="DE41" i="3"/>
  <c r="DI41" i="3"/>
  <c r="DM41" i="3"/>
  <c r="DQ41" i="3"/>
  <c r="DU41" i="3"/>
  <c r="E42" i="3"/>
  <c r="I42" i="3"/>
  <c r="M42" i="3"/>
  <c r="Q42" i="3"/>
  <c r="U42" i="3"/>
  <c r="Y42" i="3"/>
  <c r="AC42" i="3"/>
  <c r="AG42" i="3"/>
  <c r="AO42" i="3"/>
  <c r="AS42" i="3"/>
  <c r="AW42" i="3"/>
  <c r="BA42" i="3"/>
  <c r="BE42" i="3"/>
  <c r="BI42" i="3"/>
  <c r="BM42" i="3"/>
  <c r="BQ42" i="3"/>
  <c r="BU42" i="3"/>
  <c r="BY42" i="3"/>
  <c r="CC42" i="3"/>
  <c r="CG42" i="3"/>
  <c r="CK42" i="3"/>
  <c r="CO42" i="3"/>
  <c r="CS42" i="3"/>
  <c r="CW42" i="3"/>
  <c r="DA42" i="3"/>
  <c r="DE42" i="3"/>
  <c r="DI42" i="3"/>
  <c r="DM42" i="3"/>
  <c r="DQ42" i="3"/>
  <c r="DU42" i="3"/>
  <c r="E43" i="3"/>
  <c r="I43" i="3"/>
  <c r="M43" i="3"/>
  <c r="Q43" i="3"/>
  <c r="U43" i="3"/>
  <c r="Y43" i="3"/>
  <c r="AC43" i="3"/>
  <c r="AG43" i="3"/>
  <c r="AO43" i="3"/>
  <c r="AS43" i="3"/>
  <c r="AW43" i="3"/>
  <c r="BA43" i="3"/>
  <c r="BE43" i="3"/>
  <c r="BI43" i="3"/>
  <c r="BM43" i="3"/>
  <c r="BQ43" i="3"/>
  <c r="BU43" i="3"/>
  <c r="BY43" i="3"/>
  <c r="CC43" i="3"/>
  <c r="CG43" i="3"/>
  <c r="CK43" i="3"/>
  <c r="CO43" i="3"/>
  <c r="CW43" i="3"/>
  <c r="DA43" i="3"/>
  <c r="DE43" i="3"/>
  <c r="DI43" i="3"/>
  <c r="DM43" i="3"/>
  <c r="DQ43" i="3"/>
  <c r="DU43" i="3"/>
  <c r="E44" i="3"/>
  <c r="I44" i="3"/>
  <c r="M44" i="3"/>
  <c r="Q44" i="3"/>
  <c r="U44" i="3"/>
  <c r="Y44" i="3"/>
  <c r="AC44" i="3"/>
  <c r="AG44" i="3"/>
  <c r="AO44" i="3"/>
  <c r="AS44" i="3"/>
  <c r="BE44" i="3"/>
  <c r="BI44" i="3"/>
  <c r="BM44" i="3"/>
  <c r="BQ44" i="3"/>
  <c r="BU44" i="3"/>
  <c r="BY44" i="3"/>
  <c r="CC44" i="3"/>
  <c r="CG44" i="3"/>
  <c r="CK44" i="3"/>
  <c r="CO44" i="3"/>
  <c r="CW44" i="3"/>
  <c r="DA44" i="3"/>
  <c r="DE44" i="3"/>
  <c r="DI44" i="3"/>
  <c r="DM44" i="3"/>
  <c r="DQ44" i="3"/>
  <c r="DU44" i="3"/>
  <c r="E45" i="3"/>
  <c r="I45" i="3"/>
  <c r="M45" i="3"/>
  <c r="Q45" i="3"/>
  <c r="U45" i="3"/>
  <c r="Y45" i="3"/>
  <c r="AC45" i="3"/>
  <c r="AG45" i="3"/>
  <c r="AO45" i="3"/>
  <c r="AS45" i="3"/>
  <c r="AW45" i="3"/>
  <c r="BA45" i="3"/>
  <c r="BE45" i="3"/>
  <c r="BI45" i="3"/>
  <c r="BM45" i="3"/>
  <c r="BQ45" i="3"/>
  <c r="BU45" i="3"/>
  <c r="BY45" i="3"/>
  <c r="CC45" i="3"/>
  <c r="CG45" i="3"/>
  <c r="CK45" i="3"/>
  <c r="CO45" i="3"/>
  <c r="CS45" i="3"/>
  <c r="CW45" i="3"/>
  <c r="DA45" i="3"/>
  <c r="DE45" i="3"/>
  <c r="DI45" i="3"/>
  <c r="DM45" i="3"/>
  <c r="DQ45" i="3"/>
  <c r="DU45" i="3"/>
  <c r="E46" i="3"/>
  <c r="I46" i="3"/>
  <c r="M46" i="3"/>
  <c r="Q46" i="3"/>
  <c r="U46" i="3"/>
  <c r="Y46" i="3"/>
  <c r="AC46" i="3"/>
  <c r="AG46" i="3"/>
  <c r="AO46" i="3"/>
  <c r="AS46" i="3"/>
  <c r="AW46" i="3"/>
  <c r="BA46" i="3"/>
  <c r="BE46" i="3"/>
  <c r="BI46" i="3"/>
  <c r="BM46" i="3"/>
  <c r="BQ46" i="3"/>
  <c r="BU46" i="3"/>
  <c r="BY46" i="3"/>
  <c r="CC46" i="3"/>
  <c r="CG46" i="3"/>
  <c r="CK46" i="3"/>
  <c r="CO46" i="3"/>
  <c r="CS46" i="3"/>
  <c r="CW46" i="3"/>
  <c r="DA46" i="3"/>
  <c r="DE46" i="3"/>
  <c r="DM46" i="3"/>
  <c r="DQ46" i="3"/>
  <c r="DU46" i="3"/>
  <c r="E47" i="3"/>
  <c r="I47" i="3"/>
  <c r="M47" i="3"/>
  <c r="Q47" i="3"/>
  <c r="U47" i="3"/>
  <c r="Y47" i="3"/>
  <c r="AC47" i="3"/>
  <c r="AG47" i="3"/>
  <c r="AO47" i="3"/>
  <c r="AS47" i="3"/>
  <c r="AW47" i="3"/>
  <c r="BA47" i="3"/>
  <c r="BE47" i="3"/>
  <c r="BI47" i="3"/>
  <c r="BM47" i="3"/>
  <c r="BQ47" i="3"/>
  <c r="BU47" i="3"/>
  <c r="BY47" i="3"/>
  <c r="CC47" i="3"/>
  <c r="CG47" i="3"/>
  <c r="CK47" i="3"/>
  <c r="CO47" i="3"/>
  <c r="CS47" i="3"/>
  <c r="CW47" i="3"/>
  <c r="DA47" i="3"/>
  <c r="DE47" i="3"/>
  <c r="DI47" i="3"/>
  <c r="DM47" i="3"/>
  <c r="DQ47" i="3"/>
  <c r="DU47" i="3"/>
  <c r="E48" i="3"/>
  <c r="I48" i="3"/>
  <c r="M48" i="3"/>
  <c r="Q48" i="3"/>
  <c r="U48" i="3"/>
  <c r="Y48" i="3"/>
  <c r="AC48" i="3"/>
  <c r="AG48" i="3"/>
  <c r="AO48" i="3"/>
  <c r="AS48" i="3"/>
  <c r="AW48" i="3"/>
  <c r="BA48" i="3"/>
  <c r="BE48" i="3"/>
  <c r="BI48" i="3"/>
  <c r="BM48" i="3"/>
  <c r="BQ48" i="3"/>
  <c r="BU48" i="3"/>
  <c r="BY48" i="3"/>
  <c r="CC48" i="3"/>
  <c r="CG48" i="3"/>
  <c r="CK48" i="3"/>
  <c r="CO48" i="3"/>
  <c r="CS48" i="3"/>
  <c r="CW48" i="3"/>
  <c r="DA48" i="3"/>
  <c r="DE48" i="3"/>
  <c r="DI48" i="3"/>
  <c r="DM48" i="3"/>
  <c r="DQ48" i="3"/>
  <c r="DU48" i="3"/>
  <c r="E49" i="3"/>
  <c r="I49" i="3"/>
  <c r="M49" i="3"/>
  <c r="Q49" i="3"/>
  <c r="U49" i="3"/>
  <c r="Y49" i="3"/>
  <c r="AC49" i="3"/>
  <c r="AG49" i="3"/>
  <c r="AO49" i="3"/>
  <c r="AS49" i="3"/>
  <c r="AW49" i="3"/>
  <c r="BA49" i="3"/>
  <c r="BE49" i="3"/>
  <c r="BI49" i="3"/>
  <c r="BM49" i="3"/>
  <c r="BQ49" i="3"/>
  <c r="BU49" i="3"/>
  <c r="BY49" i="3"/>
  <c r="CC49" i="3"/>
  <c r="CG49" i="3"/>
  <c r="CK49" i="3"/>
  <c r="CO49" i="3"/>
  <c r="CS49" i="3"/>
  <c r="CW49" i="3"/>
  <c r="DA49" i="3"/>
  <c r="DE49" i="3"/>
  <c r="DI49" i="3"/>
  <c r="DM49" i="3"/>
  <c r="DQ49" i="3"/>
  <c r="DU49" i="3"/>
  <c r="E50" i="3"/>
  <c r="I50" i="3"/>
  <c r="M50" i="3"/>
  <c r="Q50" i="3"/>
  <c r="U50" i="3"/>
  <c r="Y50" i="3"/>
  <c r="AC50" i="3"/>
  <c r="AG50" i="3"/>
  <c r="AO50" i="3"/>
  <c r="AS50" i="3"/>
  <c r="AW50" i="3"/>
  <c r="BA50" i="3"/>
  <c r="BE50" i="3"/>
  <c r="BI50" i="3"/>
  <c r="BM50" i="3"/>
  <c r="BQ50" i="3"/>
  <c r="BU50" i="3"/>
  <c r="BY50" i="3"/>
  <c r="CC50" i="3"/>
  <c r="CG50" i="3"/>
  <c r="CK50" i="3"/>
  <c r="CO50" i="3"/>
  <c r="CS50" i="3"/>
  <c r="CW50" i="3"/>
  <c r="DA50" i="3"/>
  <c r="DE50" i="3"/>
  <c r="DI50" i="3"/>
  <c r="DM50" i="3"/>
  <c r="DQ50" i="3"/>
  <c r="DU50" i="3"/>
  <c r="E51" i="3"/>
  <c r="M51" i="3"/>
  <c r="Q51" i="3"/>
  <c r="U51" i="3"/>
  <c r="Y51" i="3"/>
  <c r="AC51" i="3"/>
  <c r="AG51" i="3"/>
  <c r="AO51" i="3"/>
  <c r="AS51" i="3"/>
  <c r="AW51" i="3"/>
  <c r="BA51" i="3"/>
  <c r="BE51" i="3"/>
  <c r="BI51" i="3"/>
  <c r="BM51" i="3"/>
  <c r="BQ51" i="3"/>
  <c r="BU51" i="3"/>
  <c r="BY51" i="3"/>
  <c r="CC51" i="3"/>
  <c r="CG51" i="3"/>
  <c r="CK51" i="3"/>
  <c r="CO51" i="3"/>
  <c r="CS51" i="3"/>
  <c r="CW51" i="3"/>
  <c r="DA51" i="3"/>
  <c r="DE51" i="3"/>
  <c r="DI51" i="3"/>
  <c r="DM51" i="3"/>
  <c r="DQ51" i="3"/>
  <c r="DU51" i="3"/>
  <c r="E52" i="3"/>
  <c r="I52" i="3"/>
  <c r="M52" i="3"/>
  <c r="Q52" i="3"/>
  <c r="U52" i="3"/>
  <c r="Y52" i="3"/>
  <c r="AC52" i="3"/>
  <c r="AG52" i="3"/>
  <c r="AO52" i="3"/>
  <c r="AS52" i="3"/>
  <c r="AW52" i="3"/>
  <c r="BA52" i="3"/>
  <c r="BE52" i="3"/>
  <c r="BI52" i="3"/>
  <c r="BM52" i="3"/>
  <c r="BQ52" i="3"/>
  <c r="BU52" i="3"/>
  <c r="BY52" i="3"/>
  <c r="CC52" i="3"/>
  <c r="CG52" i="3"/>
  <c r="CK52" i="3"/>
  <c r="CO52" i="3"/>
  <c r="CS52" i="3"/>
  <c r="CW52" i="3"/>
  <c r="DA52" i="3"/>
  <c r="DE52" i="3"/>
  <c r="DI52" i="3"/>
  <c r="DM52" i="3"/>
  <c r="DQ52" i="3"/>
  <c r="DU52" i="3"/>
  <c r="E53" i="3"/>
  <c r="M53" i="3"/>
  <c r="Q53" i="3"/>
  <c r="U53" i="3"/>
  <c r="Y53" i="3"/>
  <c r="AC53" i="3"/>
  <c r="AG53" i="3"/>
  <c r="AO53" i="3"/>
  <c r="AS53" i="3"/>
  <c r="AW53" i="3"/>
  <c r="BA53" i="3"/>
  <c r="BE53" i="3"/>
  <c r="BI53" i="3"/>
  <c r="BM53" i="3"/>
  <c r="BQ53" i="3"/>
  <c r="BU53" i="3"/>
  <c r="BY53" i="3"/>
  <c r="CC53" i="3"/>
  <c r="CG53" i="3"/>
  <c r="CK53" i="3"/>
  <c r="CO53" i="3"/>
  <c r="CS53" i="3"/>
  <c r="CW53" i="3"/>
  <c r="DA53" i="3"/>
  <c r="DE53" i="3"/>
  <c r="DI53" i="3"/>
  <c r="DM53" i="3"/>
  <c r="DQ53" i="3"/>
  <c r="DU53" i="3"/>
  <c r="E54" i="3"/>
  <c r="I54" i="3"/>
  <c r="M54" i="3"/>
  <c r="Q54" i="3"/>
  <c r="U54" i="3"/>
  <c r="Y54" i="3"/>
  <c r="AC54" i="3"/>
  <c r="AG54" i="3"/>
  <c r="AO54" i="3"/>
  <c r="AS54" i="3"/>
  <c r="AW54" i="3"/>
  <c r="BA54" i="3"/>
  <c r="BE54" i="3"/>
  <c r="BI54" i="3"/>
  <c r="BM54" i="3"/>
  <c r="BQ54" i="3"/>
  <c r="BU54" i="3"/>
  <c r="BY54" i="3"/>
  <c r="CC54" i="3"/>
  <c r="CG54" i="3"/>
  <c r="CK54" i="3"/>
  <c r="CO54" i="3"/>
  <c r="CS54" i="3"/>
  <c r="CW54" i="3"/>
  <c r="DA54" i="3"/>
  <c r="DE54" i="3"/>
  <c r="DI54" i="3"/>
  <c r="DM54" i="3"/>
  <c r="DQ54" i="3"/>
  <c r="DU54" i="3"/>
  <c r="E55" i="3"/>
  <c r="I55" i="3"/>
  <c r="M55" i="3"/>
  <c r="Q55" i="3"/>
  <c r="U55" i="3"/>
  <c r="Y55" i="3"/>
  <c r="AC55" i="3"/>
  <c r="AG55" i="3"/>
  <c r="AO55" i="3"/>
  <c r="AS55" i="3"/>
  <c r="AW55" i="3"/>
  <c r="BA55" i="3"/>
  <c r="BE55" i="3"/>
  <c r="BI55" i="3"/>
  <c r="BM55" i="3"/>
  <c r="BQ55" i="3"/>
  <c r="BU55" i="3"/>
  <c r="BY55" i="3"/>
  <c r="CC55" i="3"/>
  <c r="CG55" i="3"/>
  <c r="CK55" i="3"/>
  <c r="CO55" i="3"/>
  <c r="CS55" i="3"/>
  <c r="CW55" i="3"/>
  <c r="DA55" i="3"/>
  <c r="DE55" i="3"/>
  <c r="DI55" i="3"/>
  <c r="DM55" i="3"/>
  <c r="DQ55" i="3"/>
  <c r="DU55" i="3"/>
  <c r="E56" i="3"/>
  <c r="I56" i="3"/>
  <c r="M56" i="3"/>
  <c r="Q56" i="3"/>
  <c r="U56" i="3"/>
  <c r="Y56" i="3"/>
  <c r="AC56" i="3"/>
  <c r="AG56" i="3"/>
  <c r="AO56" i="3"/>
  <c r="AS56" i="3"/>
  <c r="AW56" i="3"/>
  <c r="BA56" i="3"/>
  <c r="BE56" i="3"/>
  <c r="BI56" i="3"/>
  <c r="BM56" i="3"/>
  <c r="BQ56" i="3"/>
  <c r="BU56" i="3"/>
  <c r="BY56" i="3"/>
  <c r="CC56" i="3"/>
  <c r="CG56" i="3"/>
  <c r="CK56" i="3"/>
  <c r="CO56" i="3"/>
  <c r="CS56" i="3"/>
  <c r="CW56" i="3"/>
  <c r="DA56" i="3"/>
  <c r="DE56" i="3"/>
  <c r="DI56" i="3"/>
  <c r="DM56" i="3"/>
  <c r="DQ56" i="3"/>
  <c r="DU56" i="3"/>
  <c r="E57" i="3"/>
  <c r="I57" i="3"/>
  <c r="M57" i="3"/>
  <c r="Q57" i="3"/>
  <c r="U57" i="3"/>
  <c r="Y57" i="3"/>
  <c r="AC57" i="3"/>
  <c r="AG57" i="3"/>
  <c r="AO57" i="3"/>
  <c r="AS57" i="3"/>
  <c r="BE57" i="3"/>
  <c r="BI57" i="3"/>
  <c r="BM57" i="3"/>
  <c r="BQ57" i="3"/>
  <c r="BU57" i="3"/>
  <c r="BY57" i="3"/>
  <c r="CC57" i="3"/>
  <c r="CG57" i="3"/>
  <c r="CK57" i="3"/>
  <c r="CO57" i="3"/>
  <c r="CS57" i="3"/>
  <c r="CW57" i="3"/>
  <c r="DA57" i="3"/>
  <c r="DE57" i="3"/>
  <c r="DI57" i="3"/>
  <c r="DM57" i="3"/>
  <c r="DQ57" i="3"/>
  <c r="DU57" i="3"/>
  <c r="E58" i="3"/>
  <c r="I58" i="3"/>
  <c r="M58" i="3"/>
  <c r="Q58" i="3"/>
  <c r="U58" i="3"/>
  <c r="Y58" i="3"/>
  <c r="AC58" i="3"/>
  <c r="AG58" i="3"/>
  <c r="AO58" i="3"/>
  <c r="AS58" i="3"/>
  <c r="AW58" i="3"/>
  <c r="BA58" i="3"/>
  <c r="BE58" i="3"/>
  <c r="BI58" i="3"/>
  <c r="BM58" i="3"/>
  <c r="BQ58" i="3"/>
  <c r="BU58" i="3"/>
  <c r="BY58" i="3"/>
  <c r="CC58" i="3"/>
  <c r="CG58" i="3"/>
  <c r="CK58" i="3"/>
  <c r="CO58" i="3"/>
  <c r="CS58" i="3"/>
  <c r="CW58" i="3"/>
  <c r="DA58" i="3"/>
  <c r="DE58" i="3"/>
  <c r="DI58" i="3"/>
  <c r="DM58" i="3"/>
  <c r="DQ58" i="3"/>
  <c r="DU58" i="3"/>
  <c r="E59" i="3"/>
  <c r="I59" i="3"/>
  <c r="M59" i="3"/>
  <c r="Q59" i="3"/>
  <c r="U59" i="3"/>
  <c r="Y59" i="3"/>
  <c r="AC59" i="3"/>
  <c r="AG59" i="3"/>
  <c r="AO59" i="3"/>
  <c r="AS59" i="3"/>
  <c r="AW59" i="3"/>
  <c r="BA59" i="3"/>
  <c r="BE59" i="3"/>
  <c r="BI59" i="3"/>
  <c r="BM59" i="3"/>
  <c r="BQ59" i="3"/>
  <c r="BU59" i="3"/>
  <c r="BY59" i="3"/>
  <c r="CC59" i="3"/>
  <c r="CG59" i="3"/>
  <c r="CK59" i="3"/>
  <c r="CO59" i="3"/>
  <c r="CS59" i="3"/>
  <c r="CW59" i="3"/>
  <c r="DA59" i="3"/>
  <c r="DE59" i="3"/>
  <c r="DI59" i="3"/>
  <c r="DM59" i="3"/>
  <c r="DQ59" i="3"/>
  <c r="DU59" i="3"/>
  <c r="E60" i="3"/>
  <c r="I60" i="3"/>
  <c r="M60" i="3"/>
  <c r="Q60" i="3"/>
  <c r="U60" i="3"/>
  <c r="Y60" i="3"/>
  <c r="AC60" i="3"/>
  <c r="AG60" i="3"/>
  <c r="AO60" i="3"/>
  <c r="AS60" i="3"/>
  <c r="AW60" i="3"/>
  <c r="BA60" i="3"/>
  <c r="BE60" i="3"/>
  <c r="BI60" i="3"/>
  <c r="BM60" i="3"/>
  <c r="BQ60" i="3"/>
  <c r="BU60" i="3"/>
  <c r="BY60" i="3"/>
  <c r="CC60" i="3"/>
  <c r="CG60" i="3"/>
  <c r="CK60" i="3"/>
  <c r="CO60" i="3"/>
  <c r="CS60" i="3"/>
  <c r="CW60" i="3"/>
  <c r="DA60" i="3"/>
  <c r="DE60" i="3"/>
  <c r="DI60" i="3"/>
  <c r="DM60" i="3"/>
  <c r="DQ60" i="3"/>
  <c r="DU60" i="3"/>
  <c r="E61" i="3"/>
  <c r="M61" i="3"/>
  <c r="Q61" i="3"/>
  <c r="U61" i="3"/>
  <c r="Y61" i="3"/>
  <c r="AC61" i="3"/>
  <c r="AG61" i="3"/>
  <c r="AO61" i="3"/>
  <c r="AS61" i="3"/>
  <c r="AW61" i="3"/>
  <c r="BE61" i="3"/>
  <c r="BI61" i="3"/>
  <c r="BM61" i="3"/>
  <c r="BQ61" i="3"/>
  <c r="BU61" i="3"/>
  <c r="BY61" i="3"/>
  <c r="CC61" i="3"/>
  <c r="CG61" i="3"/>
  <c r="CK61" i="3"/>
  <c r="CO61" i="3"/>
  <c r="CS61" i="3"/>
  <c r="CW61" i="3"/>
  <c r="DA61" i="3"/>
  <c r="DE61" i="3"/>
  <c r="DI61" i="3"/>
  <c r="DM61" i="3"/>
  <c r="DQ61" i="3"/>
  <c r="DU61" i="3"/>
  <c r="E62" i="3"/>
  <c r="I62" i="3"/>
  <c r="M62" i="3"/>
  <c r="Q62" i="3"/>
  <c r="U62" i="3"/>
  <c r="Y62" i="3"/>
  <c r="AC62" i="3"/>
  <c r="AG62" i="3"/>
  <c r="AO62" i="3"/>
  <c r="AS62" i="3"/>
  <c r="AW62" i="3"/>
  <c r="BA62" i="3"/>
  <c r="BE62" i="3"/>
  <c r="BI62" i="3"/>
  <c r="BM62" i="3"/>
  <c r="BQ62" i="3"/>
  <c r="BU62" i="3"/>
  <c r="BY62" i="3"/>
  <c r="CC62" i="3"/>
  <c r="CG62" i="3"/>
  <c r="CK62" i="3"/>
  <c r="CO62" i="3"/>
  <c r="CS62" i="3"/>
  <c r="CW62" i="3"/>
  <c r="DA62" i="3"/>
  <c r="DE62" i="3"/>
  <c r="DI62" i="3"/>
  <c r="DM62" i="3"/>
  <c r="DQ62" i="3"/>
  <c r="DU62" i="3"/>
  <c r="E63" i="3"/>
  <c r="I63" i="3"/>
  <c r="M63" i="3"/>
  <c r="Q63" i="3"/>
  <c r="U63" i="3"/>
  <c r="Y63" i="3"/>
  <c r="AC63" i="3"/>
  <c r="AG63" i="3"/>
  <c r="AO63" i="3"/>
  <c r="AS63" i="3"/>
  <c r="AW63" i="3"/>
  <c r="BA63" i="3"/>
  <c r="BE63" i="3"/>
  <c r="BI63" i="3"/>
  <c r="BM63" i="3"/>
  <c r="BQ63" i="3"/>
  <c r="BU63" i="3"/>
  <c r="BY63" i="3"/>
  <c r="CC63" i="3"/>
  <c r="CG63" i="3"/>
  <c r="CK63" i="3"/>
  <c r="CO63" i="3"/>
  <c r="CS63" i="3"/>
  <c r="CW63" i="3"/>
  <c r="DA63" i="3"/>
  <c r="DE63" i="3"/>
  <c r="DI63" i="3"/>
  <c r="DM63" i="3"/>
  <c r="DQ63" i="3"/>
  <c r="DU63" i="3"/>
  <c r="E64" i="3"/>
  <c r="I64" i="3"/>
  <c r="M64" i="3"/>
  <c r="Q64" i="3"/>
  <c r="U64" i="3"/>
  <c r="Y64" i="3"/>
  <c r="AC64" i="3"/>
  <c r="AG64" i="3"/>
  <c r="AO64" i="3"/>
  <c r="AS64" i="3"/>
  <c r="AW64" i="3"/>
  <c r="BA64" i="3"/>
  <c r="BE64" i="3"/>
  <c r="BI64" i="3"/>
  <c r="BM64" i="3"/>
  <c r="BQ64" i="3"/>
  <c r="BU64" i="3"/>
  <c r="BY64" i="3"/>
  <c r="CC64" i="3"/>
  <c r="CG64" i="3"/>
  <c r="CK64" i="3"/>
  <c r="CO64" i="3"/>
  <c r="CS64" i="3"/>
  <c r="CW64" i="3"/>
  <c r="DA64" i="3"/>
  <c r="DE64" i="3"/>
  <c r="DI64" i="3"/>
  <c r="DM64" i="3"/>
  <c r="DQ64" i="3"/>
  <c r="DU64" i="3"/>
  <c r="E65" i="3"/>
  <c r="I65" i="3"/>
  <c r="M65" i="3"/>
  <c r="Q65" i="3"/>
  <c r="U65" i="3"/>
  <c r="Y65" i="3"/>
  <c r="AC65" i="3"/>
  <c r="AG65" i="3"/>
  <c r="AO65" i="3"/>
  <c r="AS65" i="3"/>
  <c r="AW65" i="3"/>
  <c r="BA65" i="3"/>
  <c r="BE65" i="3"/>
  <c r="BI65" i="3"/>
  <c r="BM65" i="3"/>
  <c r="BQ65" i="3"/>
  <c r="BU65" i="3"/>
  <c r="BY65" i="3"/>
  <c r="CC65" i="3"/>
  <c r="CG65" i="3"/>
  <c r="CK65" i="3"/>
  <c r="CO65" i="3"/>
  <c r="CS65" i="3"/>
  <c r="CW65" i="3"/>
  <c r="DA65" i="3"/>
  <c r="DE65" i="3"/>
  <c r="DI65" i="3"/>
  <c r="DM65" i="3"/>
  <c r="DQ65" i="3"/>
  <c r="DU65" i="3"/>
  <c r="E66" i="3"/>
  <c r="I66" i="3"/>
  <c r="M66" i="3"/>
  <c r="Q66" i="3"/>
  <c r="U66" i="3"/>
  <c r="Y66" i="3"/>
  <c r="AC66" i="3"/>
  <c r="AG66" i="3"/>
  <c r="AO66" i="3"/>
  <c r="AS66" i="3"/>
  <c r="AW66" i="3"/>
  <c r="BA66" i="3"/>
  <c r="BE66" i="3"/>
  <c r="BI66" i="3"/>
  <c r="BM66" i="3"/>
  <c r="BQ66" i="3"/>
  <c r="BU66" i="3"/>
  <c r="BY66" i="3"/>
  <c r="CC66" i="3"/>
  <c r="CG66" i="3"/>
  <c r="CK66" i="3"/>
  <c r="CO66" i="3"/>
  <c r="CS66" i="3"/>
  <c r="CW66" i="3"/>
  <c r="DA66" i="3"/>
  <c r="DE66" i="3"/>
  <c r="DI66" i="3"/>
  <c r="DM66" i="3"/>
  <c r="DQ66" i="3"/>
  <c r="DU66" i="3"/>
  <c r="E67" i="3"/>
  <c r="I67" i="3"/>
  <c r="M67" i="3"/>
  <c r="Q67" i="3"/>
  <c r="U67" i="3"/>
  <c r="Y67" i="3"/>
  <c r="AC67" i="3"/>
  <c r="AG67" i="3"/>
  <c r="AO67" i="3"/>
  <c r="AS67" i="3"/>
  <c r="AW67" i="3"/>
  <c r="BE67" i="3"/>
  <c r="BI67" i="3"/>
  <c r="BM67" i="3"/>
  <c r="BQ67" i="3"/>
  <c r="BU67" i="3"/>
  <c r="BY67" i="3"/>
  <c r="CC67" i="3"/>
  <c r="CG67" i="3"/>
  <c r="CK67" i="3"/>
  <c r="CO67" i="3"/>
  <c r="CS67" i="3"/>
  <c r="CW67" i="3"/>
  <c r="DA67" i="3"/>
  <c r="DE67" i="3"/>
  <c r="DI67" i="3"/>
  <c r="DM67" i="3"/>
  <c r="DQ67" i="3"/>
  <c r="DU67" i="3"/>
  <c r="E68" i="3"/>
  <c r="M68" i="3"/>
  <c r="Q68" i="3"/>
  <c r="U68" i="3"/>
  <c r="Y68" i="3"/>
  <c r="AC68" i="3"/>
  <c r="AG68" i="3"/>
  <c r="AO68" i="3"/>
  <c r="AS68" i="3"/>
  <c r="AW68" i="3"/>
  <c r="BA68" i="3"/>
  <c r="BE68" i="3"/>
  <c r="BI68" i="3"/>
  <c r="BM68" i="3"/>
  <c r="BQ68" i="3"/>
  <c r="BU68" i="3"/>
  <c r="BY68" i="3"/>
  <c r="CC68" i="3"/>
  <c r="CG68" i="3"/>
  <c r="CK68" i="3"/>
  <c r="CO68" i="3"/>
  <c r="CS68" i="3"/>
  <c r="CW68" i="3"/>
  <c r="DA68" i="3"/>
  <c r="DE68" i="3"/>
  <c r="DI68" i="3"/>
  <c r="DM68" i="3"/>
  <c r="DQ68" i="3"/>
  <c r="DU68" i="3"/>
  <c r="E69" i="3"/>
  <c r="M69" i="3"/>
  <c r="Q69" i="3"/>
  <c r="U69" i="3"/>
  <c r="Y69" i="3"/>
  <c r="AC69" i="3"/>
  <c r="AG69" i="3"/>
  <c r="AO69" i="3"/>
  <c r="AS69" i="3"/>
  <c r="AW69" i="3"/>
  <c r="BA69" i="3"/>
  <c r="BE69" i="3"/>
  <c r="BI69" i="3"/>
  <c r="BM69" i="3"/>
  <c r="BQ69" i="3"/>
  <c r="BU69" i="3"/>
  <c r="BY69" i="3"/>
  <c r="CC69" i="3"/>
  <c r="CG69" i="3"/>
  <c r="CK69" i="3"/>
  <c r="CO69" i="3"/>
  <c r="CS69" i="3"/>
  <c r="CW69" i="3"/>
  <c r="DA69" i="3"/>
  <c r="DE69" i="3"/>
  <c r="DI69" i="3"/>
  <c r="DM69" i="3"/>
  <c r="DQ69" i="3"/>
  <c r="DU69" i="3"/>
  <c r="E70" i="3"/>
  <c r="I70" i="3"/>
  <c r="M70" i="3"/>
  <c r="Q70" i="3"/>
  <c r="U70" i="3"/>
  <c r="Y70" i="3"/>
  <c r="AC70" i="3"/>
  <c r="AG70" i="3"/>
  <c r="AO70" i="3"/>
  <c r="AS70" i="3"/>
  <c r="AW70" i="3"/>
  <c r="BA70" i="3"/>
  <c r="BE70" i="3"/>
  <c r="BI70" i="3"/>
  <c r="BM70" i="3"/>
  <c r="BQ70" i="3"/>
  <c r="BU70" i="3"/>
  <c r="BY70" i="3"/>
  <c r="CC70" i="3"/>
  <c r="CG70" i="3"/>
  <c r="CK70" i="3"/>
  <c r="CO70" i="3"/>
  <c r="CS70" i="3"/>
  <c r="CW70" i="3"/>
  <c r="DA70" i="3"/>
  <c r="DE70" i="3"/>
  <c r="DI70" i="3"/>
  <c r="DM70" i="3"/>
  <c r="DQ70" i="3"/>
  <c r="DU70" i="3"/>
  <c r="E71" i="3"/>
  <c r="I71" i="3"/>
  <c r="M71" i="3"/>
  <c r="Q71" i="3"/>
  <c r="U71" i="3"/>
  <c r="Y71" i="3"/>
  <c r="AC71" i="3"/>
  <c r="AG71" i="3"/>
  <c r="AO71" i="3"/>
  <c r="AS71" i="3"/>
  <c r="AW71" i="3"/>
  <c r="BA71" i="3"/>
  <c r="BE71" i="3"/>
  <c r="BI71" i="3"/>
  <c r="BM71" i="3"/>
  <c r="BQ71" i="3"/>
  <c r="BU71" i="3"/>
  <c r="BY71" i="3"/>
  <c r="CC71" i="3"/>
  <c r="CG71" i="3"/>
  <c r="CK71" i="3"/>
  <c r="CO71" i="3"/>
  <c r="CS71" i="3"/>
  <c r="CW71" i="3"/>
  <c r="DA71" i="3"/>
  <c r="DE71" i="3"/>
  <c r="DI71" i="3"/>
  <c r="DM71" i="3"/>
  <c r="DQ71" i="3"/>
  <c r="DU71" i="3"/>
  <c r="E72" i="3"/>
  <c r="M72" i="3"/>
  <c r="Q72" i="3"/>
  <c r="U72" i="3"/>
  <c r="Y72" i="3"/>
  <c r="AC72" i="3"/>
  <c r="AG72" i="3"/>
  <c r="AO72" i="3"/>
  <c r="AS72" i="3"/>
  <c r="AW72" i="3"/>
  <c r="BA72" i="3"/>
  <c r="BE72" i="3"/>
  <c r="BI72" i="3"/>
  <c r="BM72" i="3"/>
  <c r="BQ72" i="3"/>
  <c r="BU72" i="3"/>
  <c r="BY72" i="3"/>
  <c r="CC72" i="3"/>
  <c r="CG72" i="3"/>
  <c r="CK72" i="3"/>
  <c r="CO72" i="3"/>
  <c r="CS72" i="3"/>
  <c r="CW72" i="3"/>
  <c r="DA72" i="3"/>
  <c r="DE72" i="3"/>
  <c r="DI72" i="3"/>
  <c r="DM72" i="3"/>
  <c r="DQ72" i="3"/>
  <c r="DU72" i="3"/>
  <c r="E73" i="3"/>
  <c r="I73" i="3"/>
  <c r="M73" i="3"/>
  <c r="Q73" i="3"/>
  <c r="U73" i="3"/>
  <c r="Y73" i="3"/>
  <c r="AC73" i="3"/>
  <c r="AG73" i="3"/>
  <c r="AO73" i="3"/>
  <c r="AS73" i="3"/>
  <c r="AW73" i="3"/>
  <c r="BA73" i="3"/>
  <c r="BE73" i="3"/>
  <c r="BI73" i="3"/>
  <c r="BM73" i="3"/>
  <c r="BQ73" i="3"/>
  <c r="BU73" i="3"/>
  <c r="BY73" i="3"/>
  <c r="CC73" i="3"/>
  <c r="CG73" i="3"/>
  <c r="CK73" i="3"/>
  <c r="CO73" i="3"/>
  <c r="CS73" i="3"/>
  <c r="CW73" i="3"/>
  <c r="DA73" i="3"/>
  <c r="DE73" i="3"/>
  <c r="DI73" i="3"/>
  <c r="DM73" i="3"/>
  <c r="DQ73" i="3"/>
  <c r="DU73" i="3"/>
  <c r="E74" i="3"/>
  <c r="I74" i="3"/>
  <c r="M74" i="3"/>
  <c r="Q74" i="3"/>
  <c r="U74" i="3"/>
  <c r="Y74" i="3"/>
  <c r="AC74" i="3"/>
  <c r="AG74" i="3"/>
  <c r="AO74" i="3"/>
  <c r="AS74" i="3"/>
  <c r="AW74" i="3"/>
  <c r="BA74" i="3"/>
  <c r="BE74" i="3"/>
  <c r="BI74" i="3"/>
  <c r="BM74" i="3"/>
  <c r="BQ74" i="3"/>
  <c r="BU74" i="3"/>
  <c r="BY74" i="3"/>
  <c r="CC74" i="3"/>
  <c r="CG74" i="3"/>
  <c r="CK74" i="3"/>
  <c r="CO74" i="3"/>
  <c r="CS74" i="3"/>
  <c r="CW74" i="3"/>
  <c r="DA74" i="3"/>
  <c r="DE74" i="3"/>
  <c r="DI74" i="3"/>
  <c r="DM74" i="3"/>
  <c r="DQ74" i="3"/>
  <c r="DU74" i="3"/>
  <c r="E75" i="3"/>
  <c r="I75" i="3"/>
  <c r="M75" i="3"/>
  <c r="Q75" i="3"/>
  <c r="U75" i="3"/>
  <c r="Y75" i="3"/>
  <c r="AC75" i="3"/>
  <c r="AG75" i="3"/>
  <c r="AO75" i="3"/>
  <c r="AS75" i="3"/>
  <c r="AW75" i="3"/>
  <c r="BA75" i="3"/>
  <c r="BE75" i="3"/>
  <c r="BI75" i="3"/>
  <c r="BM75" i="3"/>
  <c r="BQ75" i="3"/>
  <c r="BU75" i="3"/>
  <c r="BY75" i="3"/>
  <c r="CC75" i="3"/>
  <c r="CG75" i="3"/>
  <c r="CK75" i="3"/>
  <c r="CO75" i="3"/>
  <c r="CS75" i="3"/>
  <c r="CW75" i="3"/>
  <c r="DA75" i="3"/>
  <c r="DE75" i="3"/>
  <c r="DI75" i="3"/>
  <c r="DM75" i="3"/>
  <c r="DQ75" i="3"/>
  <c r="DU75" i="3"/>
  <c r="E76" i="3"/>
  <c r="I76" i="3"/>
  <c r="M76" i="3"/>
  <c r="Q76" i="3"/>
  <c r="U76" i="3"/>
  <c r="Y76" i="3"/>
  <c r="AC76" i="3"/>
  <c r="AG76" i="3"/>
  <c r="AO76" i="3"/>
  <c r="AS76" i="3"/>
  <c r="AW76" i="3"/>
  <c r="BA76" i="3"/>
  <c r="BE76" i="3"/>
  <c r="BI76" i="3"/>
  <c r="BM76" i="3"/>
  <c r="BQ76" i="3"/>
  <c r="BU76" i="3"/>
  <c r="BY76" i="3"/>
  <c r="CC76" i="3"/>
  <c r="CG76" i="3"/>
  <c r="CK76" i="3"/>
  <c r="CO76" i="3"/>
  <c r="CS76" i="3"/>
  <c r="CW76" i="3"/>
  <c r="DA76" i="3"/>
  <c r="DE76" i="3"/>
  <c r="DI76" i="3"/>
  <c r="DM76" i="3"/>
  <c r="DQ76" i="3"/>
  <c r="DU76" i="3"/>
  <c r="E77" i="3"/>
  <c r="I77" i="3"/>
  <c r="M77" i="3"/>
  <c r="Q77" i="3"/>
  <c r="U77" i="3"/>
  <c r="Y77" i="3"/>
  <c r="AC77" i="3"/>
  <c r="AG77" i="3"/>
  <c r="AO77" i="3"/>
  <c r="AS77" i="3"/>
  <c r="AW77" i="3"/>
  <c r="BA77" i="3"/>
  <c r="BE77" i="3"/>
  <c r="BI77" i="3"/>
  <c r="BM77" i="3"/>
  <c r="BQ77" i="3"/>
  <c r="BU77" i="3"/>
  <c r="BY77" i="3"/>
  <c r="CC77" i="3"/>
  <c r="CG77" i="3"/>
  <c r="CK77" i="3"/>
  <c r="CO77" i="3"/>
  <c r="CS77" i="3"/>
  <c r="CW77" i="3"/>
  <c r="DA77" i="3"/>
  <c r="DE77" i="3"/>
  <c r="DI77" i="3"/>
  <c r="DM77" i="3"/>
  <c r="DQ77" i="3"/>
  <c r="DU77" i="3"/>
  <c r="E78" i="3"/>
  <c r="I78" i="3"/>
  <c r="M78" i="3"/>
  <c r="Q78" i="3"/>
  <c r="U78" i="3"/>
  <c r="Y78" i="3"/>
  <c r="AC78" i="3"/>
  <c r="AG78" i="3"/>
  <c r="AO78" i="3"/>
  <c r="AS78" i="3"/>
  <c r="AW78" i="3"/>
  <c r="BA78" i="3"/>
  <c r="BE78" i="3"/>
  <c r="BI78" i="3"/>
  <c r="BM78" i="3"/>
  <c r="BQ78" i="3"/>
  <c r="BU78" i="3"/>
  <c r="BY78" i="3"/>
  <c r="CC78" i="3"/>
  <c r="CG78" i="3"/>
  <c r="CK78" i="3"/>
  <c r="CO78" i="3"/>
  <c r="CS78" i="3"/>
  <c r="CW78" i="3"/>
  <c r="DA78" i="3"/>
  <c r="DE78" i="3"/>
  <c r="DI78" i="3"/>
  <c r="DM78" i="3"/>
  <c r="DQ78" i="3"/>
  <c r="DU78" i="3"/>
  <c r="E79" i="3"/>
  <c r="I79" i="3"/>
  <c r="M79" i="3"/>
  <c r="Q79" i="3"/>
  <c r="U79" i="3"/>
  <c r="Y79" i="3"/>
  <c r="AC79" i="3"/>
  <c r="AG79" i="3"/>
  <c r="AO79" i="3"/>
  <c r="AS79" i="3"/>
  <c r="AW79" i="3"/>
  <c r="BA79" i="3"/>
  <c r="BE79" i="3"/>
  <c r="BI79" i="3"/>
  <c r="BM79" i="3"/>
  <c r="BQ79" i="3"/>
  <c r="BU79" i="3"/>
  <c r="BY79" i="3"/>
  <c r="CC79" i="3"/>
  <c r="CG79" i="3"/>
  <c r="CK79" i="3"/>
  <c r="CO79" i="3"/>
  <c r="CS79" i="3"/>
  <c r="CW79" i="3"/>
  <c r="DA79" i="3"/>
  <c r="DE79" i="3"/>
  <c r="DI79" i="3"/>
  <c r="DM79" i="3"/>
  <c r="DQ79" i="3"/>
  <c r="DU79" i="3"/>
  <c r="E80" i="3"/>
  <c r="I80" i="3"/>
  <c r="M80" i="3"/>
  <c r="Q80" i="3"/>
  <c r="U80" i="3"/>
  <c r="Y80" i="3"/>
  <c r="AC80" i="3"/>
  <c r="AG80" i="3"/>
  <c r="AO80" i="3"/>
  <c r="AS80" i="3"/>
  <c r="AW80" i="3"/>
  <c r="BA80" i="3"/>
  <c r="BE80" i="3"/>
  <c r="BI80" i="3"/>
  <c r="BM80" i="3"/>
  <c r="BQ80" i="3"/>
  <c r="BU80" i="3"/>
  <c r="BY80" i="3"/>
  <c r="CC80" i="3"/>
  <c r="CG80" i="3"/>
  <c r="CK80" i="3"/>
  <c r="CO80" i="3"/>
  <c r="CS80" i="3"/>
  <c r="CW80" i="3"/>
  <c r="DA80" i="3"/>
  <c r="DE80" i="3"/>
  <c r="DI80" i="3"/>
  <c r="DM80" i="3"/>
  <c r="DQ80" i="3"/>
  <c r="DU80" i="3"/>
  <c r="E81" i="3"/>
  <c r="I81" i="3"/>
  <c r="M81" i="3"/>
  <c r="Q81" i="3"/>
  <c r="U81" i="3"/>
  <c r="Y81" i="3"/>
  <c r="AC81" i="3"/>
  <c r="AG81" i="3"/>
  <c r="AO81" i="3"/>
  <c r="AS81" i="3"/>
  <c r="AW81" i="3"/>
  <c r="BA81" i="3"/>
  <c r="BE81" i="3"/>
  <c r="BI81" i="3"/>
  <c r="BM81" i="3"/>
  <c r="BQ81" i="3"/>
  <c r="BU81" i="3"/>
  <c r="BY81" i="3"/>
  <c r="CC81" i="3"/>
  <c r="CG81" i="3"/>
  <c r="CK81" i="3"/>
  <c r="CO81" i="3"/>
  <c r="CS81" i="3"/>
  <c r="CW81" i="3"/>
  <c r="DA81" i="3"/>
  <c r="DE81" i="3"/>
  <c r="DI81" i="3"/>
  <c r="DM81" i="3"/>
  <c r="DQ81" i="3"/>
  <c r="DU81" i="3"/>
  <c r="E82" i="3"/>
  <c r="I82" i="3"/>
  <c r="M82" i="3"/>
  <c r="Q82" i="3"/>
  <c r="U82" i="3"/>
  <c r="Y82" i="3"/>
  <c r="AC82" i="3"/>
  <c r="AG82" i="3"/>
  <c r="AO82" i="3"/>
  <c r="AS82" i="3"/>
  <c r="AW82" i="3"/>
  <c r="BA82" i="3"/>
  <c r="BE82" i="3"/>
  <c r="BI82" i="3"/>
  <c r="BM82" i="3"/>
  <c r="BQ82" i="3"/>
  <c r="BU82" i="3"/>
  <c r="BY82" i="3"/>
  <c r="CC82" i="3"/>
  <c r="CG82" i="3"/>
  <c r="CK82" i="3"/>
  <c r="CO82" i="3"/>
  <c r="CS82" i="3"/>
  <c r="CW82" i="3"/>
  <c r="DA82" i="3"/>
  <c r="DE82" i="3"/>
  <c r="DI82" i="3"/>
  <c r="DM82" i="3"/>
  <c r="DQ82" i="3"/>
  <c r="DU82" i="3"/>
  <c r="E83" i="3"/>
  <c r="I83" i="3"/>
  <c r="M83" i="3"/>
  <c r="Q83" i="3"/>
  <c r="U83" i="3"/>
  <c r="Y83" i="3"/>
  <c r="AC83" i="3"/>
  <c r="AG83" i="3"/>
  <c r="AO83" i="3"/>
  <c r="AS83" i="3"/>
  <c r="AW83" i="3"/>
  <c r="BA83" i="3"/>
  <c r="BE83" i="3"/>
  <c r="BI83" i="3"/>
  <c r="BM83" i="3"/>
  <c r="BQ83" i="3"/>
  <c r="BU83" i="3"/>
  <c r="BY83" i="3"/>
  <c r="CC83" i="3"/>
  <c r="CG83" i="3"/>
  <c r="CK83" i="3"/>
  <c r="CO83" i="3"/>
  <c r="CS83" i="3"/>
  <c r="CW83" i="3"/>
  <c r="DA83" i="3"/>
  <c r="DE83" i="3"/>
  <c r="DI83" i="3"/>
  <c r="DM83" i="3"/>
  <c r="DQ83" i="3"/>
  <c r="DU83" i="3"/>
  <c r="E84" i="3"/>
  <c r="I84" i="3"/>
  <c r="M84" i="3"/>
  <c r="Q84" i="3"/>
  <c r="U84" i="3"/>
  <c r="Y84" i="3"/>
  <c r="AC84" i="3"/>
  <c r="AG84" i="3"/>
  <c r="AO84" i="3"/>
  <c r="AS84" i="3"/>
  <c r="AW84" i="3"/>
  <c r="BA84" i="3"/>
  <c r="BE84" i="3"/>
  <c r="BI84" i="3"/>
  <c r="BM84" i="3"/>
  <c r="BQ84" i="3"/>
  <c r="BU84" i="3"/>
  <c r="BY84" i="3"/>
  <c r="CC84" i="3"/>
  <c r="CG84" i="3"/>
  <c r="CK84" i="3"/>
  <c r="CO84" i="3"/>
  <c r="CS84" i="3"/>
  <c r="CW84" i="3"/>
  <c r="DA84" i="3"/>
  <c r="DE84" i="3"/>
  <c r="DI84" i="3"/>
  <c r="DM84" i="3"/>
  <c r="DQ84" i="3"/>
  <c r="DU84" i="3"/>
  <c r="E85" i="3"/>
  <c r="I85" i="3"/>
  <c r="M85" i="3"/>
  <c r="Q85" i="3"/>
  <c r="U85" i="3"/>
  <c r="Y85" i="3"/>
  <c r="AC85" i="3"/>
  <c r="AG85" i="3"/>
  <c r="AO85" i="3"/>
  <c r="AS85" i="3"/>
  <c r="AW85" i="3"/>
  <c r="BA85" i="3"/>
  <c r="BE85" i="3"/>
  <c r="BI85" i="3"/>
  <c r="BM85" i="3"/>
  <c r="BQ85" i="3"/>
  <c r="BU85" i="3"/>
  <c r="BY85" i="3"/>
  <c r="CC85" i="3"/>
  <c r="CG85" i="3"/>
  <c r="CK85" i="3"/>
  <c r="CO85" i="3"/>
  <c r="CW85" i="3"/>
  <c r="DA85" i="3"/>
  <c r="DE85" i="3"/>
  <c r="DI85" i="3"/>
  <c r="DM85" i="3"/>
  <c r="DQ85" i="3"/>
  <c r="DU85" i="3"/>
  <c r="E86" i="3"/>
  <c r="I86" i="3"/>
  <c r="M86" i="3"/>
  <c r="Q86" i="3"/>
  <c r="U86" i="3"/>
  <c r="Y86" i="3"/>
  <c r="AC86" i="3"/>
  <c r="AG86" i="3"/>
  <c r="AO86" i="3"/>
  <c r="AS86" i="3"/>
  <c r="AW86" i="3"/>
  <c r="BA86" i="3"/>
  <c r="BE86" i="3"/>
  <c r="BI86" i="3"/>
  <c r="BM86" i="3"/>
  <c r="BQ86" i="3"/>
  <c r="BU86" i="3"/>
  <c r="BY86" i="3"/>
  <c r="CC86" i="3"/>
  <c r="CG86" i="3"/>
  <c r="CK86" i="3"/>
  <c r="CO86" i="3"/>
  <c r="CS86" i="3"/>
  <c r="CW86" i="3"/>
  <c r="DA86" i="3"/>
  <c r="DE86" i="3"/>
  <c r="DM86" i="3"/>
  <c r="DQ86" i="3"/>
  <c r="DU86" i="3"/>
  <c r="E87" i="3"/>
  <c r="I87" i="3"/>
  <c r="M87" i="3"/>
  <c r="Q87" i="3"/>
  <c r="U87" i="3"/>
  <c r="Y87" i="3"/>
  <c r="AC87" i="3"/>
  <c r="AG87" i="3"/>
  <c r="AO87" i="3"/>
  <c r="AS87" i="3"/>
  <c r="AW87" i="3"/>
  <c r="BA87" i="3"/>
  <c r="BE87" i="3"/>
  <c r="BI87" i="3"/>
  <c r="BM87" i="3"/>
  <c r="BQ87" i="3"/>
  <c r="BU87" i="3"/>
  <c r="BY87" i="3"/>
  <c r="CC87" i="3"/>
  <c r="CG87" i="3"/>
  <c r="CK87" i="3"/>
  <c r="CO87" i="3"/>
  <c r="CS87" i="3"/>
  <c r="CW87" i="3"/>
  <c r="DA87" i="3"/>
  <c r="DE87" i="3"/>
  <c r="DI87" i="3"/>
  <c r="DM87" i="3"/>
  <c r="DQ87" i="3"/>
  <c r="DU87" i="3"/>
  <c r="E88" i="3"/>
  <c r="I88" i="3"/>
  <c r="M88" i="3"/>
  <c r="Q88" i="3"/>
  <c r="U88" i="3"/>
  <c r="Y88" i="3"/>
  <c r="AC88" i="3"/>
  <c r="AG88" i="3"/>
  <c r="AO88" i="3"/>
  <c r="AS88" i="3"/>
  <c r="AW88" i="3"/>
  <c r="BA88" i="3"/>
  <c r="BE88" i="3"/>
  <c r="BI88" i="3"/>
  <c r="BM88" i="3"/>
  <c r="BQ88" i="3"/>
  <c r="BU88" i="3"/>
  <c r="BY88" i="3"/>
  <c r="CC88" i="3"/>
  <c r="CG88" i="3"/>
  <c r="CK88" i="3"/>
  <c r="CO88" i="3"/>
  <c r="CS88" i="3"/>
  <c r="CW88" i="3"/>
  <c r="DA88" i="3"/>
  <c r="DE88" i="3"/>
  <c r="DI88" i="3"/>
  <c r="DM88" i="3"/>
  <c r="DQ88" i="3"/>
  <c r="DU88" i="3"/>
  <c r="E89" i="3"/>
  <c r="I89" i="3"/>
  <c r="M89" i="3"/>
  <c r="Q89" i="3"/>
  <c r="U89" i="3"/>
  <c r="Y89" i="3"/>
  <c r="AC89" i="3"/>
  <c r="AG89" i="3"/>
  <c r="AO89" i="3"/>
  <c r="AS89" i="3"/>
  <c r="AW89" i="3"/>
  <c r="BA89" i="3"/>
  <c r="BE89" i="3"/>
  <c r="BI89" i="3"/>
  <c r="BM89" i="3"/>
  <c r="BQ89" i="3"/>
  <c r="BU89" i="3"/>
  <c r="BY89" i="3"/>
  <c r="CC89" i="3"/>
  <c r="CG89" i="3"/>
  <c r="CK89" i="3"/>
  <c r="CO89" i="3"/>
  <c r="CS89" i="3"/>
  <c r="CW89" i="3"/>
  <c r="DA89" i="3"/>
  <c r="DE89" i="3"/>
  <c r="DI89" i="3"/>
  <c r="DM89" i="3"/>
  <c r="DQ89" i="3"/>
  <c r="DU89" i="3"/>
  <c r="E90" i="3"/>
  <c r="I90" i="3"/>
  <c r="M90" i="3"/>
  <c r="Q90" i="3"/>
  <c r="U90" i="3"/>
  <c r="Y90" i="3"/>
  <c r="AC90" i="3"/>
  <c r="AG90" i="3"/>
  <c r="AO90" i="3"/>
  <c r="AS90" i="3"/>
  <c r="BA90" i="3"/>
  <c r="BE90" i="3"/>
  <c r="BI90" i="3"/>
  <c r="BM90" i="3"/>
  <c r="BQ90" i="3"/>
  <c r="BU90" i="3"/>
  <c r="BY90" i="3"/>
  <c r="CC90" i="3"/>
  <c r="CG90" i="3"/>
  <c r="CK90" i="3"/>
  <c r="CS90" i="3"/>
  <c r="CW90" i="3"/>
  <c r="DA90" i="3"/>
  <c r="DE90" i="3"/>
  <c r="DI90" i="3"/>
  <c r="DM90" i="3"/>
  <c r="DQ90" i="3"/>
  <c r="DU90" i="3"/>
  <c r="E91" i="3"/>
  <c r="M91" i="3"/>
  <c r="Q91" i="3"/>
  <c r="U91" i="3"/>
  <c r="Y91" i="3"/>
  <c r="AC91" i="3"/>
  <c r="AG91" i="3"/>
  <c r="AO91" i="3"/>
  <c r="AS91" i="3"/>
  <c r="BE91" i="3"/>
  <c r="BI91" i="3"/>
  <c r="BM91" i="3"/>
  <c r="BQ91" i="3"/>
  <c r="BU91" i="3"/>
  <c r="BY91" i="3"/>
  <c r="CC91" i="3"/>
  <c r="CG91" i="3"/>
  <c r="CK91" i="3"/>
  <c r="CO91" i="3"/>
  <c r="CS91" i="3"/>
  <c r="CW91" i="3"/>
  <c r="DA91" i="3"/>
  <c r="DE91" i="3"/>
  <c r="DM91" i="3"/>
  <c r="DQ91" i="3"/>
  <c r="DU91" i="3"/>
  <c r="E92" i="3"/>
  <c r="I92" i="3"/>
  <c r="M92" i="3"/>
  <c r="Q92" i="3"/>
  <c r="U92" i="3"/>
  <c r="Y92" i="3"/>
  <c r="AC92" i="3"/>
  <c r="AG92" i="3"/>
  <c r="AO92" i="3"/>
  <c r="AS92" i="3"/>
  <c r="AW92" i="3"/>
  <c r="BA92" i="3"/>
  <c r="BE92" i="3"/>
  <c r="BI92" i="3"/>
  <c r="BM92" i="3"/>
  <c r="BQ92" i="3"/>
  <c r="BU92" i="3"/>
  <c r="BY92" i="3"/>
  <c r="CC92" i="3"/>
  <c r="CG92" i="3"/>
  <c r="CK92" i="3"/>
  <c r="CO92" i="3"/>
  <c r="CS92" i="3"/>
  <c r="CW92" i="3"/>
  <c r="DA92" i="3"/>
  <c r="DE92" i="3"/>
  <c r="DI92" i="3"/>
  <c r="DM92" i="3"/>
  <c r="DQ92" i="3"/>
  <c r="DU92" i="3"/>
  <c r="E93" i="3"/>
  <c r="I93" i="3"/>
  <c r="M93" i="3"/>
  <c r="Q93" i="3"/>
  <c r="U93" i="3"/>
  <c r="Y93" i="3"/>
  <c r="AC93" i="3"/>
  <c r="AG93" i="3"/>
  <c r="AO93" i="3"/>
  <c r="AS93" i="3"/>
  <c r="AW93" i="3"/>
  <c r="BA93" i="3"/>
  <c r="BE93" i="3"/>
  <c r="BI93" i="3"/>
  <c r="BM93" i="3"/>
  <c r="BQ93" i="3"/>
  <c r="BU93" i="3"/>
  <c r="BY93" i="3"/>
  <c r="CC93" i="3"/>
  <c r="CG93" i="3"/>
  <c r="CK93" i="3"/>
  <c r="CO93" i="3"/>
  <c r="CS93" i="3"/>
  <c r="CW93" i="3"/>
  <c r="DA93" i="3"/>
  <c r="DE93" i="3"/>
  <c r="DI93" i="3"/>
  <c r="DM93" i="3"/>
  <c r="DQ93" i="3"/>
  <c r="DU93" i="3"/>
  <c r="E94" i="3"/>
  <c r="I94" i="3"/>
  <c r="M94" i="3"/>
  <c r="Q94" i="3"/>
  <c r="U94" i="3"/>
  <c r="Y94" i="3"/>
  <c r="AC94" i="3"/>
  <c r="AG94" i="3"/>
  <c r="AO94" i="3"/>
  <c r="AS94" i="3"/>
  <c r="AW94" i="3"/>
  <c r="BA94" i="3"/>
  <c r="BE94" i="3"/>
  <c r="BI94" i="3"/>
  <c r="BM94" i="3"/>
  <c r="BQ94" i="3"/>
  <c r="BU94" i="3"/>
  <c r="BY94" i="3"/>
  <c r="CC94" i="3"/>
  <c r="CG94" i="3"/>
  <c r="CK94" i="3"/>
  <c r="CO94" i="3"/>
  <c r="CS94" i="3"/>
  <c r="CW94" i="3"/>
  <c r="DA94" i="3"/>
  <c r="DE94" i="3"/>
  <c r="DI94" i="3"/>
  <c r="DM94" i="3"/>
  <c r="DQ94" i="3"/>
  <c r="DU94" i="3"/>
  <c r="E95" i="3"/>
  <c r="I95" i="3"/>
  <c r="M95" i="3"/>
  <c r="Q95" i="3"/>
  <c r="U95" i="3"/>
  <c r="Y95" i="3"/>
  <c r="AC95" i="3"/>
  <c r="AG95" i="3"/>
  <c r="AO95" i="3"/>
  <c r="AS95" i="3"/>
  <c r="AW95" i="3"/>
  <c r="BA95" i="3"/>
  <c r="BE95" i="3"/>
  <c r="BI95" i="3"/>
  <c r="BM95" i="3"/>
  <c r="BQ95" i="3"/>
  <c r="BU95" i="3"/>
  <c r="BY95" i="3"/>
  <c r="CC95" i="3"/>
  <c r="CG95" i="3"/>
  <c r="CK95" i="3"/>
  <c r="CO95" i="3"/>
  <c r="CS95" i="3"/>
  <c r="CW95" i="3"/>
  <c r="DA95" i="3"/>
  <c r="DE95" i="3"/>
  <c r="DI95" i="3"/>
  <c r="DM95" i="3"/>
  <c r="DQ95" i="3"/>
  <c r="DU95" i="3"/>
  <c r="E96" i="3"/>
  <c r="I96" i="3"/>
  <c r="M96" i="3"/>
  <c r="Q96" i="3"/>
  <c r="U96" i="3"/>
  <c r="Y96" i="3"/>
  <c r="AC96" i="3"/>
  <c r="AG96" i="3"/>
  <c r="AO96" i="3"/>
  <c r="AS96" i="3"/>
  <c r="AW96" i="3"/>
  <c r="BA96" i="3"/>
  <c r="BE96" i="3"/>
  <c r="BI96" i="3"/>
  <c r="BM96" i="3"/>
  <c r="BQ96" i="3"/>
  <c r="BU96" i="3"/>
  <c r="BY96" i="3"/>
  <c r="CC96" i="3"/>
  <c r="CG96" i="3"/>
  <c r="CK96" i="3"/>
  <c r="CO96" i="3"/>
  <c r="CS96" i="3"/>
  <c r="CW96" i="3"/>
  <c r="DA96" i="3"/>
  <c r="DE96" i="3"/>
  <c r="DI96" i="3"/>
  <c r="DM96" i="3"/>
  <c r="DQ96" i="3"/>
  <c r="DU96" i="3"/>
  <c r="E97" i="3"/>
  <c r="I97" i="3"/>
  <c r="M97" i="3"/>
  <c r="Q97" i="3"/>
  <c r="U97" i="3"/>
  <c r="Y97" i="3"/>
  <c r="AC97" i="3"/>
  <c r="AG97" i="3"/>
  <c r="AO97" i="3"/>
  <c r="AS97" i="3"/>
  <c r="AW97" i="3"/>
  <c r="BA97" i="3"/>
  <c r="BE97" i="3"/>
  <c r="BI97" i="3"/>
  <c r="BM97" i="3"/>
  <c r="BQ97" i="3"/>
  <c r="BU97" i="3"/>
  <c r="BY97" i="3"/>
  <c r="CC97" i="3"/>
  <c r="CG97" i="3"/>
  <c r="CK97" i="3"/>
  <c r="CO97" i="3"/>
  <c r="CS97" i="3"/>
  <c r="CW97" i="3"/>
  <c r="DA97" i="3"/>
  <c r="DE97" i="3"/>
  <c r="DI97" i="3"/>
  <c r="DM97" i="3"/>
  <c r="DQ97" i="3"/>
  <c r="DU97" i="3"/>
  <c r="E98" i="3"/>
  <c r="I98" i="3"/>
  <c r="M98" i="3"/>
  <c r="Q98" i="3"/>
  <c r="U98" i="3"/>
  <c r="Y98" i="3"/>
  <c r="AC98" i="3"/>
  <c r="AG98" i="3"/>
  <c r="AO98" i="3"/>
  <c r="AS98" i="3"/>
  <c r="AW98" i="3"/>
  <c r="BA98" i="3"/>
  <c r="BE98" i="3"/>
  <c r="BI98" i="3"/>
  <c r="BM98" i="3"/>
  <c r="BQ98" i="3"/>
  <c r="BU98" i="3"/>
  <c r="BY98" i="3"/>
  <c r="CC98" i="3"/>
  <c r="CG98" i="3"/>
  <c r="CK98" i="3"/>
  <c r="CO98" i="3"/>
  <c r="CS98" i="3"/>
  <c r="CW98" i="3"/>
  <c r="DA98" i="3"/>
  <c r="DE98" i="3"/>
  <c r="DI98" i="3"/>
  <c r="DM98" i="3"/>
  <c r="DQ98" i="3"/>
  <c r="DU98" i="3"/>
  <c r="E99" i="3"/>
  <c r="I99" i="3"/>
  <c r="M99" i="3"/>
  <c r="Q99" i="3"/>
  <c r="U99" i="3"/>
  <c r="Y99" i="3"/>
  <c r="AC99" i="3"/>
  <c r="AG99" i="3"/>
  <c r="AO99" i="3"/>
  <c r="AS99" i="3"/>
  <c r="AW99" i="3"/>
  <c r="BA99" i="3"/>
  <c r="BE99" i="3"/>
  <c r="BI99" i="3"/>
  <c r="BM99" i="3"/>
  <c r="BQ99" i="3"/>
  <c r="BU99" i="3"/>
  <c r="BY99" i="3"/>
  <c r="CC99" i="3"/>
  <c r="CG99" i="3"/>
  <c r="CK99" i="3"/>
  <c r="CO99" i="3"/>
  <c r="CS99" i="3"/>
  <c r="CW99" i="3"/>
  <c r="DA99" i="3"/>
  <c r="DE99" i="3"/>
  <c r="DI99" i="3"/>
  <c r="DM99" i="3"/>
  <c r="DQ99" i="3"/>
  <c r="DU99" i="3"/>
  <c r="E100" i="3"/>
  <c r="M100" i="3"/>
  <c r="Q100" i="3"/>
  <c r="U100" i="3"/>
  <c r="Y100" i="3"/>
  <c r="AC100" i="3"/>
  <c r="AG100" i="3"/>
  <c r="AO100" i="3"/>
  <c r="AS100" i="3"/>
  <c r="AW100" i="3"/>
  <c r="BA100" i="3"/>
  <c r="BE100" i="3"/>
  <c r="BI100" i="3"/>
  <c r="BM100" i="3"/>
  <c r="BQ100" i="3"/>
  <c r="BU100" i="3"/>
  <c r="BY100" i="3"/>
  <c r="CC100" i="3"/>
  <c r="CG100" i="3"/>
  <c r="CK100" i="3"/>
  <c r="CO100" i="3"/>
  <c r="CS100" i="3"/>
  <c r="CW100" i="3"/>
  <c r="DA100" i="3"/>
  <c r="DE100" i="3"/>
  <c r="DI100" i="3"/>
  <c r="DM100" i="3"/>
  <c r="DQ100" i="3"/>
  <c r="DU100" i="3"/>
  <c r="E101" i="3"/>
  <c r="I101" i="3"/>
  <c r="M101" i="3"/>
  <c r="Q101" i="3"/>
  <c r="U101" i="3"/>
  <c r="Y101" i="3"/>
  <c r="AC101" i="3"/>
  <c r="AG101" i="3"/>
  <c r="AO101" i="3"/>
  <c r="AS101" i="3"/>
  <c r="AW101" i="3"/>
  <c r="BA101" i="3"/>
  <c r="BE101" i="3"/>
  <c r="BI101" i="3"/>
  <c r="BM101" i="3"/>
  <c r="BQ101" i="3"/>
  <c r="BU101" i="3"/>
  <c r="BY101" i="3"/>
  <c r="CC101" i="3"/>
  <c r="CG101" i="3"/>
  <c r="CK101" i="3"/>
  <c r="CO101" i="3"/>
  <c r="CW101" i="3"/>
  <c r="DA101" i="3"/>
  <c r="DE101" i="3"/>
  <c r="DI101" i="3"/>
  <c r="DM101" i="3"/>
  <c r="DQ101" i="3"/>
  <c r="DU101" i="3"/>
  <c r="E102" i="3"/>
  <c r="I102" i="3"/>
  <c r="M102" i="3"/>
  <c r="Q102" i="3"/>
  <c r="U102" i="3"/>
  <c r="Y102" i="3"/>
  <c r="AC102" i="3"/>
  <c r="AG102" i="3"/>
  <c r="AO102" i="3"/>
  <c r="AS102" i="3"/>
  <c r="BE102" i="3"/>
  <c r="BI102" i="3"/>
  <c r="BM102" i="3"/>
  <c r="BQ102" i="3"/>
  <c r="BU102" i="3"/>
  <c r="BY102" i="3"/>
  <c r="CC102" i="3"/>
  <c r="CG102" i="3"/>
  <c r="CK102" i="3"/>
  <c r="CO102" i="3"/>
  <c r="CS102" i="3"/>
  <c r="CW102" i="3"/>
  <c r="DA102" i="3"/>
  <c r="DE102" i="3"/>
  <c r="DM102" i="3"/>
  <c r="DQ102" i="3"/>
  <c r="DU102" i="3"/>
  <c r="E104" i="3"/>
  <c r="I104" i="3"/>
  <c r="M104" i="3"/>
  <c r="Q104" i="3"/>
  <c r="U104" i="3"/>
  <c r="Y104" i="3"/>
  <c r="AC104" i="3"/>
  <c r="AG104" i="3"/>
  <c r="AO104" i="3"/>
  <c r="AS104" i="3"/>
  <c r="AW104" i="3"/>
  <c r="BA104" i="3"/>
  <c r="BE104" i="3"/>
  <c r="BI104" i="3"/>
  <c r="BM104" i="3"/>
  <c r="BQ104" i="3"/>
  <c r="BU104" i="3"/>
  <c r="BY104" i="3"/>
  <c r="CC104" i="3"/>
  <c r="CG104" i="3"/>
  <c r="CK104" i="3"/>
  <c r="CO104" i="3"/>
  <c r="CS104" i="3"/>
  <c r="CW104" i="3"/>
  <c r="DA104" i="3"/>
  <c r="DE104" i="3"/>
  <c r="DI104" i="3"/>
  <c r="DM104" i="3"/>
  <c r="DQ104" i="3"/>
  <c r="DU104" i="3"/>
  <c r="E105" i="3"/>
  <c r="I105" i="3"/>
  <c r="M105" i="3"/>
  <c r="Q105" i="3"/>
  <c r="U105" i="3"/>
  <c r="Y105" i="3"/>
  <c r="AC105" i="3"/>
  <c r="AG105" i="3"/>
  <c r="AO105" i="3"/>
  <c r="AS105" i="3"/>
  <c r="AW105" i="3"/>
  <c r="BA105" i="3"/>
  <c r="BE105" i="3"/>
  <c r="BI105" i="3"/>
  <c r="BM105" i="3"/>
  <c r="BQ105" i="3"/>
  <c r="BU105" i="3"/>
  <c r="BY105" i="3"/>
  <c r="CC105" i="3"/>
  <c r="CG105" i="3"/>
  <c r="CK105" i="3"/>
  <c r="CO105" i="3"/>
  <c r="CS105" i="3"/>
  <c r="CW105" i="3"/>
  <c r="DA105" i="3"/>
  <c r="DE105" i="3"/>
  <c r="DI105" i="3"/>
  <c r="DM105" i="3"/>
  <c r="DQ105" i="3"/>
  <c r="DU105" i="3"/>
  <c r="E106" i="3"/>
  <c r="M106" i="3"/>
  <c r="Q106" i="3"/>
  <c r="U106" i="3"/>
  <c r="Y106" i="3"/>
  <c r="AC106" i="3"/>
  <c r="AG106" i="3"/>
  <c r="AO106" i="3"/>
  <c r="AS106" i="3"/>
  <c r="AW106" i="3"/>
  <c r="BA106" i="3"/>
  <c r="BE106" i="3"/>
  <c r="BI106" i="3"/>
  <c r="BM106" i="3"/>
  <c r="BQ106" i="3"/>
  <c r="BU106" i="3"/>
  <c r="BY106" i="3"/>
  <c r="CC106" i="3"/>
  <c r="CG106" i="3"/>
  <c r="CK106" i="3"/>
  <c r="CO106" i="3"/>
  <c r="CS106" i="3"/>
  <c r="CW106" i="3"/>
  <c r="DA106" i="3"/>
  <c r="DE106" i="3"/>
  <c r="DI106" i="3"/>
  <c r="DM106" i="3"/>
  <c r="DQ106" i="3"/>
  <c r="DU106" i="3"/>
  <c r="E107" i="3"/>
  <c r="I107" i="3"/>
  <c r="M107" i="3"/>
  <c r="Q107" i="3"/>
  <c r="U107" i="3"/>
  <c r="Y107" i="3"/>
  <c r="AC107" i="3"/>
  <c r="AG107" i="3"/>
  <c r="AO107" i="3"/>
  <c r="AS107" i="3"/>
  <c r="AW107" i="3"/>
  <c r="BA107" i="3"/>
  <c r="BE107" i="3"/>
  <c r="BI107" i="3"/>
  <c r="BM107" i="3"/>
  <c r="BQ107" i="3"/>
  <c r="BU107" i="3"/>
  <c r="BY107" i="3"/>
  <c r="CC107" i="3"/>
  <c r="CG107" i="3"/>
  <c r="CK107" i="3"/>
  <c r="CO107" i="3"/>
  <c r="CS107" i="3"/>
  <c r="CW107" i="3"/>
  <c r="DA107" i="3"/>
  <c r="DE107" i="3"/>
  <c r="DI107" i="3"/>
  <c r="DM107" i="3"/>
  <c r="DQ107" i="3"/>
  <c r="DU107" i="3"/>
  <c r="E108" i="3"/>
  <c r="I108" i="3"/>
  <c r="M108" i="3"/>
  <c r="Q108" i="3"/>
  <c r="U108" i="3"/>
  <c r="Y108" i="3"/>
  <c r="AC108" i="3"/>
  <c r="AG108" i="3"/>
  <c r="AO108" i="3"/>
  <c r="AS108" i="3"/>
  <c r="AW108" i="3"/>
  <c r="BA108" i="3"/>
  <c r="BE108" i="3"/>
  <c r="BI108" i="3"/>
  <c r="BM108" i="3"/>
  <c r="BQ108" i="3"/>
  <c r="BU108" i="3"/>
  <c r="BY108" i="3"/>
  <c r="CC108" i="3"/>
  <c r="CG108" i="3"/>
  <c r="CK108" i="3"/>
  <c r="CO108" i="3"/>
  <c r="CS108" i="3"/>
  <c r="CW108" i="3"/>
  <c r="DA108" i="3"/>
  <c r="DE108" i="3"/>
  <c r="DI108" i="3"/>
  <c r="DM108" i="3"/>
  <c r="DQ108" i="3"/>
  <c r="DU108" i="3"/>
  <c r="E111" i="3"/>
  <c r="I111" i="3"/>
  <c r="M111" i="3"/>
  <c r="Q111" i="3"/>
  <c r="U111" i="3"/>
  <c r="Y111" i="3"/>
  <c r="AC111" i="3"/>
  <c r="AG111" i="3"/>
  <c r="AO111" i="3"/>
  <c r="AS111" i="3"/>
  <c r="BA111" i="3"/>
  <c r="BE111" i="3"/>
  <c r="BI111" i="3"/>
  <c r="BM111" i="3"/>
  <c r="BQ111" i="3"/>
  <c r="BU111" i="3"/>
  <c r="BY111" i="3"/>
  <c r="CC111" i="3"/>
  <c r="CG111" i="3"/>
  <c r="CK111" i="3"/>
  <c r="CO111" i="3"/>
  <c r="CS111" i="3"/>
  <c r="CW111" i="3"/>
  <c r="DA111" i="3"/>
  <c r="DE111" i="3"/>
  <c r="DM111" i="3"/>
  <c r="DQ111" i="3"/>
  <c r="DU111" i="3"/>
  <c r="E112" i="3"/>
  <c r="I112" i="3"/>
  <c r="M112" i="3"/>
  <c r="Q112" i="3"/>
  <c r="U112" i="3"/>
  <c r="Y112" i="3"/>
  <c r="AC112" i="3"/>
  <c r="AG112" i="3"/>
  <c r="AO112" i="3"/>
  <c r="AS112" i="3"/>
  <c r="AW112" i="3"/>
  <c r="BA112" i="3"/>
  <c r="BE112" i="3"/>
  <c r="BI112" i="3"/>
  <c r="BM112" i="3"/>
  <c r="BQ112" i="3"/>
  <c r="BU112" i="3"/>
  <c r="BY112" i="3"/>
  <c r="CC112" i="3"/>
  <c r="CG112" i="3"/>
  <c r="CK112" i="3"/>
  <c r="CO112" i="3"/>
  <c r="CS112" i="3"/>
  <c r="CW112" i="3"/>
  <c r="DA112" i="3"/>
  <c r="DE112" i="3"/>
  <c r="DI112" i="3"/>
  <c r="DM112" i="3"/>
  <c r="DQ112" i="3"/>
  <c r="DU112" i="3"/>
  <c r="E113" i="3"/>
  <c r="I113" i="3"/>
  <c r="M113" i="3"/>
  <c r="Q113" i="3"/>
  <c r="U113" i="3"/>
  <c r="Y113" i="3"/>
  <c r="AC113" i="3"/>
  <c r="AG113" i="3"/>
  <c r="AO113" i="3"/>
  <c r="AS113" i="3"/>
  <c r="AW113" i="3"/>
  <c r="BA113" i="3"/>
  <c r="BE113" i="3"/>
  <c r="BI113" i="3"/>
  <c r="BM113" i="3"/>
  <c r="BQ113" i="3"/>
  <c r="BU113" i="3"/>
  <c r="BY113" i="3"/>
  <c r="CC113" i="3"/>
  <c r="CG113" i="3"/>
  <c r="CK113" i="3"/>
  <c r="CO113" i="3"/>
  <c r="CS113" i="3"/>
  <c r="CW113" i="3"/>
  <c r="DA113" i="3"/>
  <c r="DE113" i="3"/>
  <c r="DI113" i="3"/>
  <c r="DM113" i="3"/>
  <c r="DQ113" i="3"/>
  <c r="DU113" i="3"/>
  <c r="E114" i="3"/>
  <c r="I114" i="3"/>
  <c r="M114" i="3"/>
  <c r="Q114" i="3"/>
  <c r="U114" i="3"/>
  <c r="Y114" i="3"/>
  <c r="AC114" i="3"/>
  <c r="AG114" i="3"/>
  <c r="AO114" i="3"/>
  <c r="AS114" i="3"/>
  <c r="AW114" i="3"/>
  <c r="BA114" i="3"/>
  <c r="BE114" i="3"/>
  <c r="BI114" i="3"/>
  <c r="BM114" i="3"/>
  <c r="BQ114" i="3"/>
  <c r="BU114" i="3"/>
  <c r="BY114" i="3"/>
  <c r="CC114" i="3"/>
  <c r="CG114" i="3"/>
  <c r="CK114" i="3"/>
  <c r="CO114" i="3"/>
  <c r="CS114" i="3"/>
  <c r="CW114" i="3"/>
  <c r="DA114" i="3"/>
  <c r="DE114" i="3"/>
  <c r="DI114" i="3"/>
  <c r="DM114" i="3"/>
  <c r="DQ114" i="3"/>
  <c r="DU114" i="3"/>
  <c r="E115" i="3"/>
  <c r="I115" i="3"/>
  <c r="M115" i="3"/>
  <c r="Q115" i="3"/>
  <c r="U115" i="3"/>
  <c r="Y115" i="3"/>
  <c r="AC115" i="3"/>
  <c r="AG115" i="3"/>
  <c r="AO115" i="3"/>
  <c r="AS115" i="3"/>
  <c r="AW115" i="3"/>
  <c r="BA115" i="3"/>
  <c r="BE115" i="3"/>
  <c r="BI115" i="3"/>
  <c r="BM115" i="3"/>
  <c r="BQ115" i="3"/>
  <c r="BU115" i="3"/>
  <c r="BY115" i="3"/>
  <c r="CC115" i="3"/>
  <c r="CG115" i="3"/>
  <c r="CK115" i="3"/>
  <c r="CO115" i="3"/>
  <c r="CS115" i="3"/>
  <c r="CW115" i="3"/>
  <c r="DA115" i="3"/>
  <c r="DE115" i="3"/>
  <c r="DI115" i="3"/>
  <c r="DM115" i="3"/>
  <c r="DQ115" i="3"/>
  <c r="DU115" i="3"/>
  <c r="E116" i="3"/>
  <c r="I116" i="3"/>
  <c r="M116" i="3"/>
  <c r="Q116" i="3"/>
  <c r="U116" i="3"/>
  <c r="Y116" i="3"/>
  <c r="AC116" i="3"/>
  <c r="AG116" i="3"/>
  <c r="AO116" i="3"/>
  <c r="AS116" i="3"/>
  <c r="AW116" i="3"/>
  <c r="BA116" i="3"/>
  <c r="BE116" i="3"/>
  <c r="BI116" i="3"/>
  <c r="BM116" i="3"/>
  <c r="BQ116" i="3"/>
  <c r="BU116" i="3"/>
  <c r="BY116" i="3"/>
  <c r="CC116" i="3"/>
  <c r="CG116" i="3"/>
  <c r="CK116" i="3"/>
  <c r="CO116" i="3"/>
  <c r="CS116" i="3"/>
  <c r="CW116" i="3"/>
  <c r="DA116" i="3"/>
  <c r="DE116" i="3"/>
  <c r="DI116" i="3"/>
  <c r="DM116" i="3"/>
  <c r="DQ116" i="3"/>
  <c r="DU116" i="3"/>
  <c r="E117" i="3"/>
  <c r="I117" i="3"/>
  <c r="M117" i="3"/>
  <c r="Q117" i="3"/>
  <c r="U117" i="3"/>
  <c r="Y117" i="3"/>
  <c r="AC117" i="3"/>
  <c r="AG117" i="3"/>
  <c r="AO117" i="3"/>
  <c r="AS117" i="3"/>
  <c r="AW117" i="3"/>
  <c r="BA117" i="3"/>
  <c r="BE117" i="3"/>
  <c r="BI117" i="3"/>
  <c r="BM117" i="3"/>
  <c r="BQ117" i="3"/>
  <c r="BU117" i="3"/>
  <c r="BY117" i="3"/>
  <c r="CC117" i="3"/>
  <c r="CG117" i="3"/>
  <c r="CK117" i="3"/>
  <c r="CO117" i="3"/>
  <c r="CS117" i="3"/>
  <c r="CW117" i="3"/>
  <c r="DA117" i="3"/>
  <c r="DE117" i="3"/>
  <c r="DI117" i="3"/>
  <c r="DM117" i="3"/>
  <c r="DQ117" i="3"/>
  <c r="DU117" i="3"/>
  <c r="E118" i="3"/>
  <c r="M118" i="3"/>
  <c r="Q118" i="3"/>
  <c r="U118" i="3"/>
  <c r="Y118" i="3"/>
  <c r="AC118" i="3"/>
  <c r="AG118" i="3"/>
  <c r="AO118" i="3"/>
  <c r="AS118" i="3"/>
  <c r="BA118" i="3"/>
  <c r="BE118" i="3"/>
  <c r="BI118" i="3"/>
  <c r="BM118" i="3"/>
  <c r="BQ118" i="3"/>
  <c r="BU118" i="3"/>
  <c r="BY118" i="3"/>
  <c r="CC118" i="3"/>
  <c r="CG118" i="3"/>
  <c r="CK118" i="3"/>
  <c r="CO118" i="3"/>
  <c r="CS118" i="3"/>
  <c r="CW118" i="3"/>
  <c r="DA118" i="3"/>
  <c r="DE118" i="3"/>
  <c r="DI118" i="3"/>
  <c r="DM118" i="3"/>
  <c r="DQ118" i="3"/>
  <c r="DU118" i="3"/>
  <c r="E119" i="3"/>
  <c r="I119" i="3"/>
  <c r="M119" i="3"/>
  <c r="Q119" i="3"/>
  <c r="U119" i="3"/>
  <c r="Y119" i="3"/>
  <c r="AC119" i="3"/>
  <c r="AG119" i="3"/>
  <c r="AO119" i="3"/>
  <c r="AS119" i="3"/>
  <c r="AW119" i="3"/>
  <c r="BA119" i="3"/>
  <c r="BE119" i="3"/>
  <c r="BI119" i="3"/>
  <c r="BM119" i="3"/>
  <c r="BQ119" i="3"/>
  <c r="BU119" i="3"/>
  <c r="BY119" i="3"/>
  <c r="CC119" i="3"/>
  <c r="CG119" i="3"/>
  <c r="CK119" i="3"/>
  <c r="CO119" i="3"/>
  <c r="CS119" i="3"/>
  <c r="CW119" i="3"/>
  <c r="DA119" i="3"/>
  <c r="DE119" i="3"/>
  <c r="DI119" i="3"/>
  <c r="DM119" i="3"/>
  <c r="DQ119" i="3"/>
  <c r="DU119" i="3"/>
  <c r="E120" i="3"/>
  <c r="I120" i="3"/>
  <c r="M120" i="3"/>
  <c r="Q120" i="3"/>
  <c r="U120" i="3"/>
  <c r="Y120" i="3"/>
  <c r="AC120" i="3"/>
  <c r="AG120" i="3"/>
  <c r="AO120" i="3"/>
  <c r="AS120" i="3"/>
  <c r="AW120" i="3"/>
  <c r="BA120" i="3"/>
  <c r="BE120" i="3"/>
  <c r="BI120" i="3"/>
  <c r="BM120" i="3"/>
  <c r="BQ120" i="3"/>
  <c r="BU120" i="3"/>
  <c r="BY120" i="3"/>
  <c r="CC120" i="3"/>
  <c r="CG120" i="3"/>
  <c r="CK120" i="3"/>
  <c r="CO120" i="3"/>
  <c r="CS120" i="3"/>
  <c r="CW120" i="3"/>
  <c r="DA120" i="3"/>
  <c r="DE120" i="3"/>
  <c r="DI120" i="3"/>
  <c r="DM120" i="3"/>
  <c r="DQ120" i="3"/>
  <c r="DU120" i="3"/>
  <c r="E121" i="3"/>
  <c r="I121" i="3"/>
  <c r="M121" i="3"/>
  <c r="Q121" i="3"/>
  <c r="U121" i="3"/>
  <c r="Y121" i="3"/>
  <c r="AC121" i="3"/>
  <c r="AG121" i="3"/>
  <c r="AO121" i="3"/>
  <c r="AS121" i="3"/>
  <c r="BE121" i="3"/>
  <c r="BI121" i="3"/>
  <c r="BM121" i="3"/>
  <c r="BQ121" i="3"/>
  <c r="BU121" i="3"/>
  <c r="BY121" i="3"/>
  <c r="CC121" i="3"/>
  <c r="CG121" i="3"/>
  <c r="CK121" i="3"/>
  <c r="CO121" i="3"/>
  <c r="CS121" i="3"/>
  <c r="CW121" i="3"/>
  <c r="DA121" i="3"/>
  <c r="DE121" i="3"/>
  <c r="DI121" i="3"/>
  <c r="DQ121" i="3"/>
  <c r="DU121" i="3"/>
  <c r="E122" i="3"/>
  <c r="I122" i="3"/>
  <c r="M122" i="3"/>
  <c r="Q122" i="3"/>
  <c r="U122" i="3"/>
  <c r="Y122" i="3"/>
  <c r="AC122" i="3"/>
  <c r="AG122" i="3"/>
  <c r="AO122" i="3"/>
  <c r="AS122" i="3"/>
  <c r="AW122" i="3"/>
  <c r="BE122" i="3"/>
  <c r="BI122" i="3"/>
  <c r="BM122" i="3"/>
  <c r="BQ122" i="3"/>
  <c r="BU122" i="3"/>
  <c r="BY122" i="3"/>
  <c r="CC122" i="3"/>
  <c r="CG122" i="3"/>
  <c r="CK122" i="3"/>
  <c r="CW122" i="3"/>
  <c r="DA122" i="3"/>
  <c r="DE122" i="3"/>
  <c r="DI122" i="3"/>
  <c r="DM122" i="3"/>
  <c r="DQ122" i="3"/>
  <c r="DU122" i="3"/>
  <c r="E123" i="3"/>
  <c r="I123" i="3"/>
  <c r="M123" i="3"/>
  <c r="Q123" i="3"/>
  <c r="U123" i="3"/>
  <c r="Y123" i="3"/>
  <c r="AC123" i="3"/>
  <c r="AG123" i="3"/>
  <c r="AO123" i="3"/>
  <c r="AS123" i="3"/>
  <c r="AW123" i="3"/>
  <c r="BA123" i="3"/>
  <c r="BE123" i="3"/>
  <c r="BI123" i="3"/>
  <c r="BM123" i="3"/>
  <c r="BQ123" i="3"/>
  <c r="BU123" i="3"/>
  <c r="BY123" i="3"/>
  <c r="CC123" i="3"/>
  <c r="CG123" i="3"/>
  <c r="CK123" i="3"/>
  <c r="CO123" i="3"/>
  <c r="CS123" i="3"/>
  <c r="CW123" i="3"/>
  <c r="DA123" i="3"/>
  <c r="DE123" i="3"/>
  <c r="DI123" i="3"/>
  <c r="DM123" i="3"/>
  <c r="DQ123" i="3"/>
  <c r="DU123" i="3"/>
  <c r="E124" i="3"/>
  <c r="M124" i="3"/>
  <c r="Q124" i="3"/>
  <c r="U124" i="3"/>
  <c r="Y124" i="3"/>
  <c r="AC124" i="3"/>
  <c r="AG124" i="3"/>
  <c r="AO124" i="3"/>
  <c r="AS124" i="3"/>
  <c r="AW124" i="3"/>
  <c r="BA124" i="3"/>
  <c r="BE124" i="3"/>
  <c r="BI124" i="3"/>
  <c r="BM124" i="3"/>
  <c r="BQ124" i="3"/>
  <c r="BU124" i="3"/>
  <c r="BY124" i="3"/>
  <c r="CC124" i="3"/>
  <c r="CG124" i="3"/>
  <c r="CK124" i="3"/>
  <c r="CO124" i="3"/>
  <c r="CW124" i="3"/>
  <c r="DA124" i="3"/>
  <c r="DE124" i="3"/>
  <c r="DI124" i="3"/>
  <c r="DM124" i="3"/>
  <c r="DQ124" i="3"/>
  <c r="DU124" i="3"/>
  <c r="E125" i="3"/>
  <c r="I125" i="3"/>
  <c r="M125" i="3"/>
  <c r="Q125" i="3"/>
  <c r="U125" i="3"/>
  <c r="Y125" i="3"/>
  <c r="AC125" i="3"/>
  <c r="AG125" i="3"/>
  <c r="AO125" i="3"/>
  <c r="AS125" i="3"/>
  <c r="AW125" i="3"/>
  <c r="BA125" i="3"/>
  <c r="BE125" i="3"/>
  <c r="BI125" i="3"/>
  <c r="BM125" i="3"/>
  <c r="BQ125" i="3"/>
  <c r="BU125" i="3"/>
  <c r="BY125" i="3"/>
  <c r="CC125" i="3"/>
  <c r="CG125" i="3"/>
  <c r="CK125" i="3"/>
  <c r="CO125" i="3"/>
  <c r="CS125" i="3"/>
  <c r="CW125" i="3"/>
  <c r="DA125" i="3"/>
  <c r="DE125" i="3"/>
  <c r="DI125" i="3"/>
  <c r="DM125" i="3"/>
  <c r="DQ125" i="3"/>
  <c r="DU125" i="3"/>
  <c r="E126" i="3"/>
  <c r="I126" i="3"/>
  <c r="M126" i="3"/>
  <c r="Q126" i="3"/>
  <c r="U126" i="3"/>
  <c r="Y126" i="3"/>
  <c r="AC126" i="3"/>
  <c r="AG126" i="3"/>
  <c r="AO126" i="3"/>
  <c r="AS126" i="3"/>
  <c r="AW126" i="3"/>
  <c r="BA126" i="3"/>
  <c r="BE126" i="3"/>
  <c r="BI126" i="3"/>
  <c r="BM126" i="3"/>
  <c r="BQ126" i="3"/>
  <c r="BU126" i="3"/>
  <c r="BY126" i="3"/>
  <c r="CC126" i="3"/>
  <c r="CG126" i="3"/>
  <c r="CK126" i="3"/>
  <c r="CO126" i="3"/>
  <c r="CS126" i="3"/>
  <c r="CW126" i="3"/>
  <c r="DA126" i="3"/>
  <c r="DE126" i="3"/>
  <c r="DI126" i="3"/>
  <c r="DM126" i="3"/>
  <c r="DQ126" i="3"/>
  <c r="DU126" i="3"/>
  <c r="E127" i="3"/>
  <c r="I127" i="3"/>
  <c r="M127" i="3"/>
  <c r="Q127" i="3"/>
  <c r="U127" i="3"/>
  <c r="Y127" i="3"/>
  <c r="AC127" i="3"/>
  <c r="AG127" i="3"/>
  <c r="AO127" i="3"/>
  <c r="AS127" i="3"/>
  <c r="AW127" i="3"/>
  <c r="BA127" i="3"/>
  <c r="BE127" i="3"/>
  <c r="BI127" i="3"/>
  <c r="BM127" i="3"/>
  <c r="BQ127" i="3"/>
  <c r="BU127" i="3"/>
  <c r="BY127" i="3"/>
  <c r="CC127" i="3"/>
  <c r="CG127" i="3"/>
  <c r="CK127" i="3"/>
  <c r="CO127" i="3"/>
  <c r="CS127" i="3"/>
  <c r="CW127" i="3"/>
  <c r="DA127" i="3"/>
  <c r="DE127" i="3"/>
  <c r="DI127" i="3"/>
  <c r="DM127" i="3"/>
  <c r="DQ127" i="3"/>
  <c r="DU127" i="3"/>
  <c r="E128" i="3"/>
  <c r="I128" i="3"/>
  <c r="M128" i="3"/>
  <c r="Q128" i="3"/>
  <c r="U128" i="3"/>
  <c r="Y128" i="3"/>
  <c r="AC128" i="3"/>
  <c r="AG128" i="3"/>
  <c r="AO128" i="3"/>
  <c r="AS128" i="3"/>
  <c r="AW128" i="3"/>
  <c r="BE128" i="3"/>
  <c r="BI128" i="3"/>
  <c r="BM128" i="3"/>
  <c r="BQ128" i="3"/>
  <c r="BU128" i="3"/>
  <c r="BY128" i="3"/>
  <c r="CC128" i="3"/>
  <c r="CG128" i="3"/>
  <c r="CK128" i="3"/>
  <c r="CO128" i="3"/>
  <c r="CS128" i="3"/>
  <c r="CW128" i="3"/>
  <c r="DA128" i="3"/>
  <c r="DE128" i="3"/>
  <c r="DI128" i="3"/>
  <c r="DM128" i="3"/>
  <c r="DQ128" i="3"/>
  <c r="DU128" i="3"/>
  <c r="E129" i="3"/>
  <c r="I129" i="3"/>
  <c r="M129" i="3"/>
  <c r="Q129" i="3"/>
  <c r="U129" i="3"/>
  <c r="Y129" i="3"/>
  <c r="AC129" i="3"/>
  <c r="AG129" i="3"/>
  <c r="AO129" i="3"/>
  <c r="AS129" i="3"/>
  <c r="AW129" i="3"/>
  <c r="BA129" i="3"/>
  <c r="BE129" i="3"/>
  <c r="BI129" i="3"/>
  <c r="BM129" i="3"/>
  <c r="BQ129" i="3"/>
  <c r="BU129" i="3"/>
  <c r="BY129" i="3"/>
  <c r="CC129" i="3"/>
  <c r="CG129" i="3"/>
  <c r="CK129" i="3"/>
  <c r="CO129" i="3"/>
  <c r="CS129" i="3"/>
  <c r="CW129" i="3"/>
  <c r="DA129" i="3"/>
  <c r="DE129" i="3"/>
  <c r="DI129" i="3"/>
  <c r="DM129" i="3"/>
  <c r="DQ129" i="3"/>
  <c r="DU129" i="3"/>
  <c r="E130" i="3"/>
  <c r="I130" i="3"/>
  <c r="M130" i="3"/>
  <c r="Q130" i="3"/>
  <c r="U130" i="3"/>
  <c r="Y130" i="3"/>
  <c r="AC130" i="3"/>
  <c r="AG130" i="3"/>
  <c r="AO130" i="3"/>
  <c r="AS130" i="3"/>
  <c r="AW130" i="3"/>
  <c r="BA130" i="3"/>
  <c r="BE130" i="3"/>
  <c r="BI130" i="3"/>
  <c r="BM130" i="3"/>
  <c r="BQ130" i="3"/>
  <c r="BU130" i="3"/>
  <c r="BY130" i="3"/>
  <c r="CC130" i="3"/>
  <c r="CG130" i="3"/>
  <c r="CK130" i="3"/>
  <c r="CO130" i="3"/>
  <c r="CS130" i="3"/>
  <c r="CW130" i="3"/>
  <c r="DA130" i="3"/>
  <c r="DE130" i="3"/>
  <c r="DI130" i="3"/>
  <c r="DM130" i="3"/>
  <c r="DQ130" i="3"/>
  <c r="DU130" i="3"/>
  <c r="E131" i="3"/>
  <c r="I131" i="3"/>
  <c r="M131" i="3"/>
  <c r="Q131" i="3"/>
  <c r="U131" i="3"/>
  <c r="Y131" i="3"/>
  <c r="AC131" i="3"/>
  <c r="AG131" i="3"/>
  <c r="AO131" i="3"/>
  <c r="AS131" i="3"/>
  <c r="AW131" i="3"/>
  <c r="BA131" i="3"/>
  <c r="BE131" i="3"/>
  <c r="BI131" i="3"/>
  <c r="BM131" i="3"/>
  <c r="BQ131" i="3"/>
  <c r="BU131" i="3"/>
  <c r="BY131" i="3"/>
  <c r="CC131" i="3"/>
  <c r="CG131" i="3"/>
  <c r="CK131" i="3"/>
  <c r="CO131" i="3"/>
  <c r="CS131" i="3"/>
  <c r="CW131" i="3"/>
  <c r="DA131" i="3"/>
  <c r="DE131" i="3"/>
  <c r="DI131" i="3"/>
  <c r="DM131" i="3"/>
  <c r="DQ131" i="3"/>
  <c r="DU131" i="3"/>
  <c r="E132" i="3"/>
  <c r="I132" i="3"/>
  <c r="M132" i="3"/>
  <c r="Q132" i="3"/>
  <c r="U132" i="3"/>
  <c r="Y132" i="3"/>
  <c r="AC132" i="3"/>
  <c r="AG132" i="3"/>
  <c r="AO132" i="3"/>
  <c r="AS132" i="3"/>
  <c r="BE132" i="3"/>
  <c r="BI132" i="3"/>
  <c r="BM132" i="3"/>
  <c r="BQ132" i="3"/>
  <c r="BU132" i="3"/>
  <c r="BY132" i="3"/>
  <c r="CC132" i="3"/>
  <c r="CG132" i="3"/>
  <c r="CK132" i="3"/>
  <c r="CO132" i="3"/>
  <c r="CS132" i="3"/>
  <c r="CW132" i="3"/>
  <c r="DA132" i="3"/>
  <c r="DE132" i="3"/>
  <c r="DM132" i="3"/>
  <c r="DQ132" i="3"/>
  <c r="DU132" i="3"/>
  <c r="E133" i="3"/>
  <c r="M133" i="3"/>
  <c r="Q133" i="3"/>
  <c r="U133" i="3"/>
  <c r="Y133" i="3"/>
  <c r="AC133" i="3"/>
  <c r="AG133" i="3"/>
  <c r="AO133" i="3"/>
  <c r="AS133" i="3"/>
  <c r="AW133" i="3"/>
  <c r="BA133" i="3"/>
  <c r="BE133" i="3"/>
  <c r="BI133" i="3"/>
  <c r="BM133" i="3"/>
  <c r="BQ133" i="3"/>
  <c r="BU133" i="3"/>
  <c r="BY133" i="3"/>
  <c r="CC133" i="3"/>
  <c r="CG133" i="3"/>
  <c r="CK133" i="3"/>
  <c r="CO133" i="3"/>
  <c r="CS133" i="3"/>
  <c r="CW133" i="3"/>
  <c r="DA133" i="3"/>
  <c r="DE133" i="3"/>
  <c r="DI133" i="3"/>
  <c r="DM133" i="3"/>
  <c r="DQ133" i="3"/>
  <c r="DU133" i="3"/>
  <c r="E134" i="3"/>
  <c r="I134" i="3"/>
  <c r="M134" i="3"/>
  <c r="Q134" i="3"/>
  <c r="U134" i="3"/>
  <c r="Y134" i="3"/>
  <c r="AC134" i="3"/>
  <c r="AG134" i="3"/>
  <c r="AO134" i="3"/>
  <c r="AS134" i="3"/>
  <c r="AW134" i="3"/>
  <c r="BA134" i="3"/>
  <c r="BE134" i="3"/>
  <c r="BI134" i="3"/>
  <c r="BM134" i="3"/>
  <c r="BQ134" i="3"/>
  <c r="BU134" i="3"/>
  <c r="BY134" i="3"/>
  <c r="CC134" i="3"/>
  <c r="CG134" i="3"/>
  <c r="CK134" i="3"/>
  <c r="CO134" i="3"/>
  <c r="CS134" i="3"/>
  <c r="CW134" i="3"/>
  <c r="DA134" i="3"/>
  <c r="DE134" i="3"/>
  <c r="DI134" i="3"/>
  <c r="DM134" i="3"/>
  <c r="DQ134" i="3"/>
  <c r="DU134" i="3"/>
  <c r="E135" i="3"/>
  <c r="I135" i="3"/>
  <c r="M135" i="3"/>
  <c r="Q135" i="3"/>
  <c r="U135" i="3"/>
  <c r="Y135" i="3"/>
  <c r="AC135" i="3"/>
  <c r="AG135" i="3"/>
  <c r="AO135" i="3"/>
  <c r="AS135" i="3"/>
  <c r="AW135" i="3"/>
  <c r="BA135" i="3"/>
  <c r="BE135" i="3"/>
  <c r="BI135" i="3"/>
  <c r="BM135" i="3"/>
  <c r="BQ135" i="3"/>
  <c r="BU135" i="3"/>
  <c r="BY135" i="3"/>
  <c r="CC135" i="3"/>
  <c r="CG135" i="3"/>
  <c r="CK135" i="3"/>
  <c r="CO135" i="3"/>
  <c r="CS135" i="3"/>
  <c r="CW135" i="3"/>
  <c r="DA135" i="3"/>
  <c r="DE135" i="3"/>
  <c r="DI135" i="3"/>
  <c r="DM135" i="3"/>
  <c r="DQ135" i="3"/>
  <c r="DU135" i="3"/>
  <c r="E136" i="3"/>
  <c r="I136" i="3"/>
  <c r="M136" i="3"/>
  <c r="Q136" i="3"/>
  <c r="U136" i="3"/>
  <c r="Y136" i="3"/>
  <c r="AC136" i="3"/>
  <c r="AG136" i="3"/>
  <c r="AO136" i="3"/>
  <c r="AS136" i="3"/>
  <c r="AW136" i="3"/>
  <c r="BA136" i="3"/>
  <c r="BE136" i="3"/>
  <c r="BI136" i="3"/>
  <c r="BM136" i="3"/>
  <c r="BQ136" i="3"/>
  <c r="BU136" i="3"/>
  <c r="BY136" i="3"/>
  <c r="CC136" i="3"/>
  <c r="CG136" i="3"/>
  <c r="CK136" i="3"/>
  <c r="CO136" i="3"/>
  <c r="CS136" i="3"/>
  <c r="CW136" i="3"/>
  <c r="DA136" i="3"/>
  <c r="DE136" i="3"/>
  <c r="DI136" i="3"/>
  <c r="DM136" i="3"/>
  <c r="DQ136" i="3"/>
  <c r="DU136" i="3"/>
  <c r="E137" i="3"/>
  <c r="I137" i="3"/>
  <c r="M137" i="3"/>
  <c r="Q137" i="3"/>
  <c r="U137" i="3"/>
  <c r="Y137" i="3"/>
  <c r="AC137" i="3"/>
  <c r="AG137" i="3"/>
  <c r="AO137" i="3"/>
  <c r="AS137" i="3"/>
  <c r="BE137" i="3"/>
  <c r="BI137" i="3"/>
  <c r="BM137" i="3"/>
  <c r="BQ137" i="3"/>
  <c r="BU137" i="3"/>
  <c r="BY137" i="3"/>
  <c r="CC137" i="3"/>
  <c r="CG137" i="3"/>
  <c r="CK137" i="3"/>
  <c r="CO137" i="3"/>
  <c r="CS137" i="3"/>
  <c r="CW137" i="3"/>
  <c r="DA137" i="3"/>
  <c r="DE137" i="3"/>
  <c r="DI137" i="3"/>
  <c r="DM137" i="3"/>
  <c r="DQ137" i="3"/>
  <c r="DU137" i="3"/>
  <c r="E138" i="3"/>
  <c r="I138" i="3"/>
  <c r="M138" i="3"/>
  <c r="Q138" i="3"/>
  <c r="U138" i="3"/>
  <c r="Y138" i="3"/>
  <c r="AC138" i="3"/>
  <c r="AG138" i="3"/>
  <c r="AO138" i="3"/>
  <c r="AS138" i="3"/>
  <c r="AW138" i="3"/>
  <c r="BA138" i="3"/>
  <c r="BE138" i="3"/>
  <c r="BI138" i="3"/>
  <c r="BM138" i="3"/>
  <c r="BQ138" i="3"/>
  <c r="BU138" i="3"/>
  <c r="BY138" i="3"/>
  <c r="CC138" i="3"/>
  <c r="CG138" i="3"/>
  <c r="CK138" i="3"/>
  <c r="CO138" i="3"/>
  <c r="CS138" i="3"/>
  <c r="CW138" i="3"/>
  <c r="DA138" i="3"/>
  <c r="DE138" i="3"/>
  <c r="DI138" i="3"/>
  <c r="DM138" i="3"/>
  <c r="DQ138" i="3"/>
  <c r="DU138" i="3"/>
  <c r="E139" i="3"/>
  <c r="I139" i="3"/>
  <c r="M139" i="3"/>
  <c r="Q139" i="3"/>
  <c r="U139" i="3"/>
  <c r="Y139" i="3"/>
  <c r="AC139" i="3"/>
  <c r="AG139" i="3"/>
  <c r="AO139" i="3"/>
  <c r="AS139" i="3"/>
  <c r="AW139" i="3"/>
  <c r="BE139" i="3"/>
  <c r="BI139" i="3"/>
  <c r="BM139" i="3"/>
  <c r="BQ139" i="3"/>
  <c r="BU139" i="3"/>
  <c r="BY139" i="3"/>
  <c r="CC139" i="3"/>
  <c r="CG139" i="3"/>
  <c r="CK139" i="3"/>
  <c r="CO139" i="3"/>
  <c r="CS139" i="3"/>
  <c r="CW139" i="3"/>
  <c r="DA139" i="3"/>
  <c r="DE139" i="3"/>
  <c r="DI139" i="3"/>
  <c r="DM139" i="3"/>
  <c r="DQ139" i="3"/>
  <c r="DU139" i="3"/>
  <c r="E140" i="3"/>
  <c r="M140" i="3"/>
  <c r="Q140" i="3"/>
  <c r="U140" i="3"/>
  <c r="Y140" i="3"/>
  <c r="AC140" i="3"/>
  <c r="AG140" i="3"/>
  <c r="AO140" i="3"/>
  <c r="AS140" i="3"/>
  <c r="AW140" i="3"/>
  <c r="BE140" i="3"/>
  <c r="BI140" i="3"/>
  <c r="BM140" i="3"/>
  <c r="BQ140" i="3"/>
  <c r="BU140" i="3"/>
  <c r="BY140" i="3"/>
  <c r="CC140" i="3"/>
  <c r="CG140" i="3"/>
  <c r="CK140" i="3"/>
  <c r="CO140" i="3"/>
  <c r="CS140" i="3"/>
  <c r="CW140" i="3"/>
  <c r="DA140" i="3"/>
  <c r="DE140" i="3"/>
  <c r="DI140" i="3"/>
  <c r="DM140" i="3"/>
  <c r="DQ140" i="3"/>
  <c r="DU140" i="3"/>
  <c r="E141" i="3"/>
  <c r="I141" i="3"/>
  <c r="M141" i="3"/>
  <c r="Q141" i="3"/>
  <c r="U141" i="3"/>
  <c r="Y141" i="3"/>
  <c r="AC141" i="3"/>
  <c r="AG141" i="3"/>
  <c r="AO141" i="3"/>
  <c r="AS141" i="3"/>
  <c r="AW141" i="3"/>
  <c r="BA141" i="3"/>
  <c r="BE141" i="3"/>
  <c r="BI141" i="3"/>
  <c r="BM141" i="3"/>
  <c r="BQ141" i="3"/>
  <c r="BU141" i="3"/>
  <c r="BY141" i="3"/>
  <c r="CC141" i="3"/>
  <c r="CG141" i="3"/>
  <c r="CK141" i="3"/>
  <c r="CO141" i="3"/>
  <c r="CS141" i="3"/>
  <c r="CW141" i="3"/>
  <c r="DA141" i="3"/>
  <c r="DE141" i="3"/>
  <c r="DI141" i="3"/>
  <c r="DM141" i="3"/>
  <c r="DQ141" i="3"/>
  <c r="DU141" i="3"/>
  <c r="E142" i="3"/>
  <c r="I142" i="3"/>
  <c r="M142" i="3"/>
  <c r="Q142" i="3"/>
  <c r="U142" i="3"/>
  <c r="Y142" i="3"/>
  <c r="AC142" i="3"/>
  <c r="AG142" i="3"/>
  <c r="AO142" i="3"/>
  <c r="AS142" i="3"/>
  <c r="AW142" i="3"/>
  <c r="BA142" i="3"/>
  <c r="BE142" i="3"/>
  <c r="BI142" i="3"/>
  <c r="BM142" i="3"/>
  <c r="BQ142" i="3"/>
  <c r="BU142" i="3"/>
  <c r="BY142" i="3"/>
  <c r="CC142" i="3"/>
  <c r="CG142" i="3"/>
  <c r="CK142" i="3"/>
  <c r="CO142" i="3"/>
  <c r="CS142" i="3"/>
  <c r="CW142" i="3"/>
  <c r="DA142" i="3"/>
  <c r="DE142" i="3"/>
  <c r="DI142" i="3"/>
  <c r="DM142" i="3"/>
  <c r="DQ142" i="3"/>
  <c r="DU142" i="3"/>
  <c r="E143" i="3"/>
  <c r="I143" i="3"/>
  <c r="M143" i="3"/>
  <c r="Q143" i="3"/>
  <c r="U143" i="3"/>
  <c r="Y143" i="3"/>
  <c r="AC143" i="3"/>
  <c r="AG143" i="3"/>
  <c r="AO143" i="3"/>
  <c r="AS143" i="3"/>
  <c r="AW143" i="3"/>
  <c r="BA143" i="3"/>
  <c r="BE143" i="3"/>
  <c r="BI143" i="3"/>
  <c r="BM143" i="3"/>
  <c r="BQ143" i="3"/>
  <c r="BU143" i="3"/>
  <c r="BY143" i="3"/>
  <c r="CC143" i="3"/>
  <c r="CG143" i="3"/>
  <c r="CK143" i="3"/>
  <c r="CO143" i="3"/>
  <c r="CS143" i="3"/>
  <c r="CW143" i="3"/>
  <c r="DA143" i="3"/>
  <c r="DE143" i="3"/>
  <c r="DI143" i="3"/>
  <c r="DM143" i="3"/>
  <c r="DQ143" i="3"/>
  <c r="DU143" i="3"/>
  <c r="E144" i="3"/>
  <c r="I144" i="3"/>
  <c r="M144" i="3"/>
  <c r="Q144" i="3"/>
  <c r="U144" i="3"/>
  <c r="Y144" i="3"/>
  <c r="AC144" i="3"/>
  <c r="AG144" i="3"/>
  <c r="AO144" i="3"/>
  <c r="AS144" i="3"/>
  <c r="AW144" i="3"/>
  <c r="BA144" i="3"/>
  <c r="BE144" i="3"/>
  <c r="BI144" i="3"/>
  <c r="BM144" i="3"/>
  <c r="BQ144" i="3"/>
  <c r="BU144" i="3"/>
  <c r="BY144" i="3"/>
  <c r="CC144" i="3"/>
  <c r="CG144" i="3"/>
  <c r="CK144" i="3"/>
  <c r="CO144" i="3"/>
  <c r="CS144" i="3"/>
  <c r="CW144" i="3"/>
  <c r="DA144" i="3"/>
  <c r="DE144" i="3"/>
  <c r="DI144" i="3"/>
  <c r="DM144" i="3"/>
  <c r="DQ144" i="3"/>
  <c r="DU144" i="3"/>
  <c r="E145" i="3"/>
  <c r="I145" i="3"/>
  <c r="M145" i="3"/>
  <c r="Q145" i="3"/>
  <c r="U145" i="3"/>
  <c r="Y145" i="3"/>
  <c r="AC145" i="3"/>
  <c r="AG145" i="3"/>
  <c r="AO145" i="3"/>
  <c r="AS145" i="3"/>
  <c r="AW145" i="3"/>
  <c r="BE145" i="3"/>
  <c r="BI145" i="3"/>
  <c r="BM145" i="3"/>
  <c r="BQ145" i="3"/>
  <c r="BU145" i="3"/>
  <c r="BY145" i="3"/>
  <c r="CC145" i="3"/>
  <c r="CG145" i="3"/>
  <c r="CK145" i="3"/>
  <c r="CO145" i="3"/>
  <c r="CW145" i="3"/>
  <c r="DA145" i="3"/>
  <c r="DE145" i="3"/>
  <c r="DI145" i="3"/>
  <c r="DM145" i="3"/>
  <c r="DQ145" i="3"/>
  <c r="DU145" i="3"/>
  <c r="E146" i="3"/>
  <c r="I146" i="3"/>
  <c r="M146" i="3"/>
  <c r="Q146" i="3"/>
  <c r="U146" i="3"/>
  <c r="Y146" i="3"/>
  <c r="AC146" i="3"/>
  <c r="AG146" i="3"/>
  <c r="AO146" i="3"/>
  <c r="AS146" i="3"/>
  <c r="AW146" i="3"/>
  <c r="BA146" i="3"/>
  <c r="BE146" i="3"/>
  <c r="BI146" i="3"/>
  <c r="BM146" i="3"/>
  <c r="BQ146" i="3"/>
  <c r="BU146" i="3"/>
  <c r="BY146" i="3"/>
  <c r="CC146" i="3"/>
  <c r="CG146" i="3"/>
  <c r="CK146" i="3"/>
  <c r="CO146" i="3"/>
  <c r="CS146" i="3"/>
  <c r="CW146" i="3"/>
  <c r="DA146" i="3"/>
  <c r="DE146" i="3"/>
  <c r="DM146" i="3"/>
  <c r="DQ146" i="3"/>
  <c r="DU146" i="3"/>
  <c r="E147" i="3"/>
  <c r="M147" i="3"/>
  <c r="Q147" i="3"/>
  <c r="U147" i="3"/>
  <c r="Y147" i="3"/>
  <c r="AC147" i="3"/>
  <c r="AG147" i="3"/>
  <c r="AO147" i="3"/>
  <c r="AS147" i="3"/>
  <c r="BE147" i="3"/>
  <c r="BI147" i="3"/>
  <c r="BM147" i="3"/>
  <c r="BQ147" i="3"/>
  <c r="BU147" i="3"/>
  <c r="BY147" i="3"/>
  <c r="CC147" i="3"/>
  <c r="CG147" i="3"/>
  <c r="CK147" i="3"/>
  <c r="CO147" i="3"/>
  <c r="CS147" i="3"/>
  <c r="CW147" i="3"/>
  <c r="DA147" i="3"/>
  <c r="DE147" i="3"/>
  <c r="DM147" i="3"/>
  <c r="DQ147" i="3"/>
  <c r="DU147" i="3"/>
  <c r="E148" i="3"/>
  <c r="M148" i="3"/>
  <c r="Q148" i="3"/>
  <c r="U148" i="3"/>
  <c r="Y148" i="3"/>
  <c r="AC148" i="3"/>
  <c r="AG148" i="3"/>
  <c r="AO148" i="3"/>
  <c r="AS148" i="3"/>
  <c r="AW148" i="3"/>
  <c r="BA148" i="3"/>
  <c r="BE148" i="3"/>
  <c r="BI148" i="3"/>
  <c r="BM148" i="3"/>
  <c r="BQ148" i="3"/>
  <c r="BU148" i="3"/>
  <c r="BY148" i="3"/>
  <c r="CC148" i="3"/>
  <c r="CG148" i="3"/>
  <c r="CK148" i="3"/>
  <c r="CO148" i="3"/>
  <c r="CS148" i="3"/>
  <c r="CW148" i="3"/>
  <c r="DA148" i="3"/>
  <c r="DE148" i="3"/>
  <c r="DI148" i="3"/>
  <c r="DM148" i="3"/>
  <c r="DQ148" i="3"/>
  <c r="DU148" i="3"/>
  <c r="E149" i="3"/>
  <c r="I149" i="3"/>
  <c r="M149" i="3"/>
  <c r="Q149" i="3"/>
  <c r="U149" i="3"/>
  <c r="Y149" i="3"/>
  <c r="AC149" i="3"/>
  <c r="AG149" i="3"/>
  <c r="AO149" i="3"/>
  <c r="AS149" i="3"/>
  <c r="AW149" i="3"/>
  <c r="BA149" i="3"/>
  <c r="BE149" i="3"/>
  <c r="BI149" i="3"/>
  <c r="BM149" i="3"/>
  <c r="BQ149" i="3"/>
  <c r="BU149" i="3"/>
  <c r="BY149" i="3"/>
  <c r="CC149" i="3"/>
  <c r="CG149" i="3"/>
  <c r="CK149" i="3"/>
  <c r="CO149" i="3"/>
  <c r="CS149" i="3"/>
  <c r="CW149" i="3"/>
  <c r="DA149" i="3"/>
  <c r="DE149" i="3"/>
  <c r="DI149" i="3"/>
  <c r="DM149" i="3"/>
  <c r="DQ149" i="3"/>
  <c r="DU149" i="3"/>
  <c r="M150" i="3"/>
  <c r="Q150" i="3"/>
  <c r="U150" i="3"/>
  <c r="Y150" i="3"/>
  <c r="AC150" i="3"/>
  <c r="AG150" i="3"/>
  <c r="AO150" i="3"/>
  <c r="AS150" i="3"/>
  <c r="AW150" i="3"/>
  <c r="BA150" i="3"/>
  <c r="BE150" i="3"/>
  <c r="BI150" i="3"/>
  <c r="BM150" i="3"/>
  <c r="BQ150" i="3"/>
  <c r="BU150" i="3"/>
  <c r="BY150" i="3"/>
  <c r="CC150" i="3"/>
  <c r="CG150" i="3"/>
  <c r="CK150" i="3"/>
  <c r="CO150" i="3"/>
  <c r="CS150" i="3"/>
  <c r="CW150" i="3"/>
  <c r="DA150" i="3"/>
  <c r="DE150" i="3"/>
  <c r="DM150" i="3"/>
  <c r="DQ150" i="3"/>
  <c r="DU150" i="3"/>
  <c r="E151" i="3"/>
  <c r="I151" i="3"/>
  <c r="M151" i="3"/>
  <c r="Q151" i="3"/>
  <c r="U151" i="3"/>
  <c r="Y151" i="3"/>
  <c r="AC151" i="3"/>
  <c r="AG151" i="3"/>
  <c r="AO151" i="3"/>
  <c r="AS151" i="3"/>
  <c r="AW151" i="3"/>
  <c r="BA151" i="3"/>
  <c r="BE151" i="3"/>
  <c r="BI151" i="3"/>
  <c r="BM151" i="3"/>
  <c r="BQ151" i="3"/>
  <c r="BU151" i="3"/>
  <c r="BY151" i="3"/>
  <c r="CC151" i="3"/>
  <c r="CG151" i="3"/>
  <c r="CK151" i="3"/>
  <c r="CO151" i="3"/>
  <c r="CS151" i="3"/>
  <c r="CW151" i="3"/>
  <c r="DA151" i="3"/>
  <c r="DE151" i="3"/>
  <c r="DI151" i="3"/>
  <c r="DM151" i="3"/>
  <c r="DQ151" i="3"/>
  <c r="DU151" i="3"/>
  <c r="E152" i="3"/>
  <c r="I152" i="3"/>
  <c r="M152" i="3"/>
  <c r="Q152" i="3"/>
  <c r="U152" i="3"/>
  <c r="Y152" i="3"/>
  <c r="AC152" i="3"/>
  <c r="AG152" i="3"/>
  <c r="AO152" i="3"/>
  <c r="AS152" i="3"/>
  <c r="AW152" i="3"/>
  <c r="BA152" i="3"/>
  <c r="BE152" i="3"/>
  <c r="BI152" i="3"/>
  <c r="BM152" i="3"/>
  <c r="BQ152" i="3"/>
  <c r="BU152" i="3"/>
  <c r="BY152" i="3"/>
  <c r="CC152" i="3"/>
  <c r="CG152" i="3"/>
  <c r="CK152" i="3"/>
  <c r="CO152" i="3"/>
  <c r="CS152" i="3"/>
  <c r="CW152" i="3"/>
  <c r="DA152" i="3"/>
  <c r="DE152" i="3"/>
  <c r="DI152" i="3"/>
  <c r="DM152" i="3"/>
  <c r="DQ152" i="3"/>
  <c r="DU152" i="3"/>
  <c r="E153" i="3"/>
  <c r="M153" i="3"/>
  <c r="Q153" i="3"/>
  <c r="U153" i="3"/>
  <c r="Y153" i="3"/>
  <c r="AC153" i="3"/>
  <c r="AG153" i="3"/>
  <c r="AO153" i="3"/>
  <c r="AS153" i="3"/>
  <c r="AW153" i="3"/>
  <c r="BA153" i="3"/>
  <c r="BE153" i="3"/>
  <c r="BI153" i="3"/>
  <c r="BM153" i="3"/>
  <c r="BQ153" i="3"/>
  <c r="BU153" i="3"/>
  <c r="BY153" i="3"/>
  <c r="CC153" i="3"/>
  <c r="CG153" i="3"/>
  <c r="CK153" i="3"/>
  <c r="CO153" i="3"/>
  <c r="CS153" i="3"/>
  <c r="CW153" i="3"/>
  <c r="DA153" i="3"/>
  <c r="DE153" i="3"/>
  <c r="DI153" i="3"/>
  <c r="DM153" i="3"/>
  <c r="DQ153" i="3"/>
  <c r="DU153" i="3"/>
  <c r="E154" i="3"/>
  <c r="M154" i="3"/>
  <c r="Q154" i="3"/>
  <c r="U154" i="3"/>
  <c r="Y154" i="3"/>
  <c r="AC154" i="3"/>
  <c r="AG154" i="3"/>
  <c r="AO154" i="3"/>
  <c r="AS154" i="3"/>
  <c r="AW154" i="3"/>
  <c r="BA154" i="3"/>
  <c r="BE154" i="3"/>
  <c r="BI154" i="3"/>
  <c r="BM154" i="3"/>
  <c r="BQ154" i="3"/>
  <c r="BU154" i="3"/>
  <c r="BY154" i="3"/>
  <c r="CC154" i="3"/>
  <c r="CG154" i="3"/>
  <c r="CK154" i="3"/>
  <c r="CO154" i="3"/>
  <c r="CS154" i="3"/>
  <c r="CW154" i="3"/>
  <c r="DA154" i="3"/>
  <c r="DE154" i="3"/>
  <c r="DI154" i="3"/>
  <c r="DM154" i="3"/>
  <c r="DQ154" i="3"/>
  <c r="DU154" i="3"/>
  <c r="E155" i="3"/>
  <c r="I155" i="3"/>
  <c r="M155" i="3"/>
  <c r="Q155" i="3"/>
  <c r="U155" i="3"/>
  <c r="Y155" i="3"/>
  <c r="AC155" i="3"/>
  <c r="AG155" i="3"/>
  <c r="AO155" i="3"/>
  <c r="AS155" i="3"/>
  <c r="AW155" i="3"/>
  <c r="BA155" i="3"/>
  <c r="BE155" i="3"/>
  <c r="BI155" i="3"/>
  <c r="BM155" i="3"/>
  <c r="BQ155" i="3"/>
  <c r="BU155" i="3"/>
  <c r="BY155" i="3"/>
  <c r="CC155" i="3"/>
  <c r="CG155" i="3"/>
  <c r="CK155" i="3"/>
  <c r="CO155" i="3"/>
  <c r="CS155" i="3"/>
  <c r="CW155" i="3"/>
  <c r="DA155" i="3"/>
  <c r="DE155" i="3"/>
  <c r="DI155" i="3"/>
  <c r="DM155" i="3"/>
  <c r="DQ155" i="3"/>
  <c r="DU155" i="3"/>
  <c r="E156" i="3"/>
  <c r="I156" i="3"/>
  <c r="M156" i="3"/>
  <c r="Q156" i="3"/>
  <c r="U156" i="3"/>
  <c r="Y156" i="3"/>
  <c r="AC156" i="3"/>
  <c r="AG156" i="3"/>
  <c r="AO156" i="3"/>
  <c r="AS156" i="3"/>
  <c r="AW156" i="3"/>
  <c r="BA156" i="3"/>
  <c r="BE156" i="3"/>
  <c r="BI156" i="3"/>
  <c r="BM156" i="3"/>
  <c r="BQ156" i="3"/>
  <c r="BU156" i="3"/>
  <c r="BY156" i="3"/>
  <c r="CC156" i="3"/>
  <c r="CG156" i="3"/>
  <c r="CK156" i="3"/>
  <c r="CO156" i="3"/>
  <c r="CS156" i="3"/>
  <c r="CW156" i="3"/>
  <c r="DA156" i="3"/>
  <c r="DE156" i="3"/>
  <c r="DI156" i="3"/>
  <c r="DM156" i="3"/>
  <c r="DQ156" i="3"/>
  <c r="DU156" i="3"/>
  <c r="E157" i="3"/>
  <c r="I157" i="3"/>
  <c r="M157" i="3"/>
  <c r="Q157" i="3"/>
  <c r="U157" i="3"/>
  <c r="Y157" i="3"/>
  <c r="AC157" i="3"/>
  <c r="AG157" i="3"/>
  <c r="AO157" i="3"/>
  <c r="AS157" i="3"/>
  <c r="AW157" i="3"/>
  <c r="BA157" i="3"/>
  <c r="BE157" i="3"/>
  <c r="BI157" i="3"/>
  <c r="BM157" i="3"/>
  <c r="BQ157" i="3"/>
  <c r="BU157" i="3"/>
  <c r="BY157" i="3"/>
  <c r="CC157" i="3"/>
  <c r="CG157" i="3"/>
  <c r="CK157" i="3"/>
  <c r="CO157" i="3"/>
  <c r="CS157" i="3"/>
  <c r="CW157" i="3"/>
  <c r="DA157" i="3"/>
  <c r="DE157" i="3"/>
  <c r="DM157" i="3"/>
  <c r="DQ157" i="3"/>
  <c r="DU157" i="3"/>
  <c r="E158" i="3"/>
  <c r="I158" i="3"/>
  <c r="M158" i="3"/>
  <c r="Q158" i="3"/>
  <c r="U158" i="3"/>
  <c r="Y158" i="3"/>
  <c r="AC158" i="3"/>
  <c r="AG158" i="3"/>
  <c r="AO158" i="3"/>
  <c r="AS158" i="3"/>
  <c r="AW158" i="3"/>
  <c r="BE158" i="3"/>
  <c r="BI158" i="3"/>
  <c r="BM158" i="3"/>
  <c r="BQ158" i="3"/>
  <c r="BU158" i="3"/>
  <c r="BY158" i="3"/>
  <c r="CC158" i="3"/>
  <c r="CG158" i="3"/>
  <c r="CK158" i="3"/>
  <c r="CO158" i="3"/>
  <c r="CS158" i="3"/>
  <c r="CW158" i="3"/>
  <c r="DA158" i="3"/>
  <c r="DE158" i="3"/>
  <c r="DI158" i="3"/>
  <c r="DM158" i="3"/>
  <c r="DQ158" i="3"/>
  <c r="DU158" i="3"/>
  <c r="E159" i="3"/>
  <c r="I159" i="3"/>
  <c r="M159" i="3"/>
  <c r="Q159" i="3"/>
  <c r="U159" i="3"/>
  <c r="Y159" i="3"/>
  <c r="AC159" i="3"/>
  <c r="AG159" i="3"/>
  <c r="AO159" i="3"/>
  <c r="AS159" i="3"/>
  <c r="AW159" i="3"/>
  <c r="BA159" i="3"/>
  <c r="BE159" i="3"/>
  <c r="BI159" i="3"/>
  <c r="BM159" i="3"/>
  <c r="BQ159" i="3"/>
  <c r="BU159" i="3"/>
  <c r="BY159" i="3"/>
  <c r="CC159" i="3"/>
  <c r="CG159" i="3"/>
  <c r="CK159" i="3"/>
  <c r="CO159" i="3"/>
  <c r="CS159" i="3"/>
  <c r="CW159" i="3"/>
  <c r="DA159" i="3"/>
  <c r="DE159" i="3"/>
  <c r="DI159" i="3"/>
  <c r="DM159" i="3"/>
  <c r="DQ159" i="3"/>
  <c r="DU159" i="3"/>
  <c r="E160" i="3"/>
  <c r="I160" i="3"/>
  <c r="M160" i="3"/>
  <c r="Q160" i="3"/>
  <c r="U160" i="3"/>
  <c r="Y160" i="3"/>
  <c r="AC160" i="3"/>
  <c r="AG160" i="3"/>
  <c r="AO160" i="3"/>
  <c r="AS160" i="3"/>
  <c r="AW160" i="3"/>
  <c r="BA160" i="3"/>
  <c r="BE160" i="3"/>
  <c r="BI160" i="3"/>
  <c r="BM160" i="3"/>
  <c r="BQ160" i="3"/>
  <c r="BU160" i="3"/>
  <c r="BY160" i="3"/>
  <c r="CC160" i="3"/>
  <c r="CG160" i="3"/>
  <c r="CK160" i="3"/>
  <c r="CO160" i="3"/>
  <c r="CS160" i="3"/>
  <c r="CW160" i="3"/>
  <c r="DA160" i="3"/>
  <c r="DE160" i="3"/>
  <c r="DI160" i="3"/>
  <c r="DM160" i="3"/>
  <c r="DQ160" i="3"/>
  <c r="DU160" i="3"/>
  <c r="E161" i="3"/>
  <c r="I161" i="3"/>
  <c r="M161" i="3"/>
  <c r="Q161" i="3"/>
  <c r="U161" i="3"/>
  <c r="Y161" i="3"/>
  <c r="AC161" i="3"/>
  <c r="AG161" i="3"/>
  <c r="AO161" i="3"/>
  <c r="AS161" i="3"/>
  <c r="AW161" i="3"/>
  <c r="BA161" i="3"/>
  <c r="BE161" i="3"/>
  <c r="BI161" i="3"/>
  <c r="BM161" i="3"/>
  <c r="BQ161" i="3"/>
  <c r="BU161" i="3"/>
  <c r="BY161" i="3"/>
  <c r="CC161" i="3"/>
  <c r="CG161" i="3"/>
  <c r="CK161" i="3"/>
  <c r="CO161" i="3"/>
  <c r="CS161" i="3"/>
  <c r="CW161" i="3"/>
  <c r="DA161" i="3"/>
  <c r="DE161" i="3"/>
  <c r="DI161" i="3"/>
  <c r="DM161" i="3"/>
  <c r="DQ161" i="3"/>
  <c r="DU161" i="3"/>
  <c r="E162" i="3"/>
  <c r="I162" i="3"/>
  <c r="M162" i="3"/>
  <c r="Q162" i="3"/>
  <c r="U162" i="3"/>
  <c r="Y162" i="3"/>
  <c r="AC162" i="3"/>
  <c r="AG162" i="3"/>
  <c r="AO162" i="3"/>
  <c r="AS162" i="3"/>
  <c r="AW162" i="3"/>
  <c r="BA162" i="3"/>
  <c r="BE162" i="3"/>
  <c r="BI162" i="3"/>
  <c r="BM162" i="3"/>
  <c r="BQ162" i="3"/>
  <c r="BU162" i="3"/>
  <c r="BY162" i="3"/>
  <c r="CC162" i="3"/>
  <c r="CG162" i="3"/>
  <c r="CK162" i="3"/>
  <c r="CO162" i="3"/>
  <c r="CS162" i="3"/>
  <c r="CW162" i="3"/>
  <c r="DA162" i="3"/>
  <c r="DE162" i="3"/>
  <c r="DI162" i="3"/>
  <c r="DM162" i="3"/>
  <c r="DQ162" i="3"/>
  <c r="DU162" i="3"/>
  <c r="E163" i="3"/>
  <c r="I163" i="3"/>
  <c r="M163" i="3"/>
  <c r="Q163" i="3"/>
  <c r="U163" i="3"/>
  <c r="Y163" i="3"/>
  <c r="AC163" i="3"/>
  <c r="AG163" i="3"/>
  <c r="AO163" i="3"/>
  <c r="AS163" i="3"/>
  <c r="AW163" i="3"/>
  <c r="BA163" i="3"/>
  <c r="BE163" i="3"/>
  <c r="BI163" i="3"/>
  <c r="BM163" i="3"/>
  <c r="BQ163" i="3"/>
  <c r="BU163" i="3"/>
  <c r="BY163" i="3"/>
  <c r="CC163" i="3"/>
  <c r="CG163" i="3"/>
  <c r="CK163" i="3"/>
  <c r="CO163" i="3"/>
  <c r="CS163" i="3"/>
  <c r="CW163" i="3"/>
  <c r="DA163" i="3"/>
  <c r="DE163" i="3"/>
  <c r="DI163" i="3"/>
  <c r="DM163" i="3"/>
  <c r="DQ163" i="3"/>
  <c r="DU163" i="3"/>
  <c r="E164" i="3"/>
  <c r="I164" i="3"/>
  <c r="M164" i="3"/>
  <c r="Q164" i="3"/>
  <c r="U164" i="3"/>
  <c r="Y164" i="3"/>
  <c r="AC164" i="3"/>
  <c r="AG164" i="3"/>
  <c r="AO164" i="3"/>
  <c r="AS164" i="3"/>
  <c r="BE164" i="3"/>
  <c r="BI164" i="3"/>
  <c r="BM164" i="3"/>
  <c r="BQ164" i="3"/>
  <c r="BU164" i="3"/>
  <c r="BY164" i="3"/>
  <c r="CC164" i="3"/>
  <c r="CG164" i="3"/>
  <c r="CK164" i="3"/>
  <c r="CO164" i="3"/>
  <c r="CW164" i="3"/>
  <c r="DA164" i="3"/>
  <c r="DE164" i="3"/>
  <c r="DM164" i="3"/>
  <c r="DQ164" i="3"/>
  <c r="DU164" i="3"/>
  <c r="E165" i="3"/>
  <c r="I165" i="3"/>
  <c r="M165" i="3"/>
  <c r="Q165" i="3"/>
  <c r="U165" i="3"/>
  <c r="Y165" i="3"/>
  <c r="AC165" i="3"/>
  <c r="AG165" i="3"/>
  <c r="AO165" i="3"/>
  <c r="AS165" i="3"/>
  <c r="AW165" i="3"/>
  <c r="BA165" i="3"/>
  <c r="BE165" i="3"/>
  <c r="BI165" i="3"/>
  <c r="BM165" i="3"/>
  <c r="BQ165" i="3"/>
  <c r="BU165" i="3"/>
  <c r="BY165" i="3"/>
  <c r="CC165" i="3"/>
  <c r="CG165" i="3"/>
  <c r="CK165" i="3"/>
  <c r="CS165" i="3"/>
  <c r="CW165" i="3"/>
  <c r="DA165" i="3"/>
  <c r="DE165" i="3"/>
  <c r="DM165" i="3"/>
  <c r="DQ165" i="3"/>
  <c r="DU165" i="3"/>
  <c r="E166" i="3"/>
  <c r="I166" i="3"/>
  <c r="M166" i="3"/>
  <c r="Q166" i="3"/>
  <c r="U166" i="3"/>
  <c r="Y166" i="3"/>
  <c r="AC166" i="3"/>
  <c r="AG166" i="3"/>
  <c r="AS166" i="3"/>
  <c r="BA166" i="3"/>
  <c r="BE166" i="3"/>
  <c r="BI166" i="3"/>
  <c r="BM166" i="3"/>
  <c r="BQ166" i="3"/>
  <c r="BU166" i="3"/>
  <c r="BY166" i="3"/>
  <c r="CC166" i="3"/>
  <c r="CG166" i="3"/>
  <c r="CK166" i="3"/>
  <c r="CO166" i="3"/>
  <c r="CS166" i="3"/>
  <c r="CW166" i="3"/>
  <c r="DA166" i="3"/>
  <c r="DE166" i="3"/>
  <c r="DI166" i="3"/>
  <c r="DM166" i="3"/>
  <c r="DQ166" i="3"/>
  <c r="DU166" i="3"/>
  <c r="E167" i="3"/>
  <c r="I167" i="3"/>
  <c r="M167" i="3"/>
  <c r="Q167" i="3"/>
  <c r="U167" i="3"/>
  <c r="Y167" i="3"/>
  <c r="AC167" i="3"/>
  <c r="AG167" i="3"/>
  <c r="AO167" i="3"/>
  <c r="AS167" i="3"/>
  <c r="AW167" i="3"/>
  <c r="BA167" i="3"/>
  <c r="BE167" i="3"/>
  <c r="BI167" i="3"/>
  <c r="BM167" i="3"/>
  <c r="BQ167" i="3"/>
  <c r="BU167" i="3"/>
  <c r="BY167" i="3"/>
  <c r="CC167" i="3"/>
  <c r="CG167" i="3"/>
  <c r="CK167" i="3"/>
  <c r="CO167" i="3"/>
  <c r="CS167" i="3"/>
  <c r="CW167" i="3"/>
  <c r="DA167" i="3"/>
  <c r="DE167" i="3"/>
  <c r="DI167" i="3"/>
  <c r="DM167" i="3"/>
  <c r="DQ167" i="3"/>
  <c r="DU167" i="3"/>
  <c r="E168" i="3"/>
  <c r="I168" i="3"/>
  <c r="M168" i="3"/>
  <c r="Q168" i="3"/>
  <c r="U168" i="3"/>
  <c r="Y168" i="3"/>
  <c r="AC168" i="3"/>
  <c r="AG168" i="3"/>
  <c r="AO168" i="3"/>
  <c r="AS168" i="3"/>
  <c r="AW168" i="3"/>
  <c r="BA168" i="3"/>
  <c r="BE168" i="3"/>
  <c r="BI168" i="3"/>
  <c r="BM168" i="3"/>
  <c r="BQ168" i="3"/>
  <c r="BU168" i="3"/>
  <c r="BY168" i="3"/>
  <c r="CC168" i="3"/>
  <c r="CG168" i="3"/>
  <c r="CK168" i="3"/>
  <c r="CO168" i="3"/>
  <c r="CS168" i="3"/>
  <c r="CW168" i="3"/>
  <c r="DA168" i="3"/>
  <c r="DE168" i="3"/>
  <c r="DI168" i="3"/>
  <c r="DM168" i="3"/>
  <c r="DQ168" i="3"/>
  <c r="DU168" i="3"/>
  <c r="E169" i="3"/>
  <c r="I169" i="3"/>
  <c r="M169" i="3"/>
  <c r="Q169" i="3"/>
  <c r="U169" i="3"/>
  <c r="Y169" i="3"/>
  <c r="AC169" i="3"/>
  <c r="AG169" i="3"/>
  <c r="AO169" i="3"/>
  <c r="AS169" i="3"/>
  <c r="AW169" i="3"/>
  <c r="BA169" i="3"/>
  <c r="BE169" i="3"/>
  <c r="BI169" i="3"/>
  <c r="BM169" i="3"/>
  <c r="BQ169" i="3"/>
  <c r="BU169" i="3"/>
  <c r="BY169" i="3"/>
  <c r="CC169" i="3"/>
  <c r="CG169" i="3"/>
  <c r="CK169" i="3"/>
  <c r="CO169" i="3"/>
  <c r="CS169" i="3"/>
  <c r="CW169" i="3"/>
  <c r="DA169" i="3"/>
  <c r="DE169" i="3"/>
  <c r="DI169" i="3"/>
  <c r="DM169" i="3"/>
  <c r="DQ169" i="3"/>
  <c r="DU169" i="3"/>
  <c r="E170" i="3"/>
  <c r="I170" i="3"/>
  <c r="M170" i="3"/>
  <c r="Q170" i="3"/>
  <c r="U170" i="3"/>
  <c r="Y170" i="3"/>
  <c r="AC170" i="3"/>
  <c r="AG170" i="3"/>
  <c r="AO170" i="3"/>
  <c r="AS170" i="3"/>
  <c r="AW170" i="3"/>
  <c r="BA170" i="3"/>
  <c r="BE170" i="3"/>
  <c r="BI170" i="3"/>
  <c r="BM170" i="3"/>
  <c r="BQ170" i="3"/>
  <c r="BU170" i="3"/>
  <c r="BY170" i="3"/>
  <c r="CC170" i="3"/>
  <c r="CG170" i="3"/>
  <c r="CK170" i="3"/>
  <c r="CO170" i="3"/>
  <c r="CS170" i="3"/>
  <c r="CW170" i="3"/>
  <c r="DA170" i="3"/>
  <c r="DE170" i="3"/>
  <c r="DI170" i="3"/>
  <c r="DM170" i="3"/>
  <c r="DQ170" i="3"/>
  <c r="DU170" i="3"/>
  <c r="E171" i="3"/>
  <c r="I171" i="3"/>
  <c r="M171" i="3"/>
  <c r="Q171" i="3"/>
  <c r="U171" i="3"/>
  <c r="Y171" i="3"/>
  <c r="AC171" i="3"/>
  <c r="AG171" i="3"/>
  <c r="AO171" i="3"/>
  <c r="AS171" i="3"/>
  <c r="AW171" i="3"/>
  <c r="BA171" i="3"/>
  <c r="BE171" i="3"/>
  <c r="BI171" i="3"/>
  <c r="BM171" i="3"/>
  <c r="BQ171" i="3"/>
  <c r="BU171" i="3"/>
  <c r="BY171" i="3"/>
  <c r="CC171" i="3"/>
  <c r="CG171" i="3"/>
  <c r="CK171" i="3"/>
  <c r="CO171" i="3"/>
  <c r="CS171" i="3"/>
  <c r="CW171" i="3"/>
  <c r="DA171" i="3"/>
  <c r="DE171" i="3"/>
  <c r="DI171" i="3"/>
  <c r="DM171" i="3"/>
  <c r="DQ171" i="3"/>
  <c r="DU171" i="3"/>
  <c r="E172" i="3"/>
  <c r="I172" i="3"/>
  <c r="M172" i="3"/>
  <c r="Q172" i="3"/>
  <c r="U172" i="3"/>
  <c r="Y172" i="3"/>
  <c r="AC172" i="3"/>
  <c r="AG172" i="3"/>
  <c r="AO172" i="3"/>
  <c r="AS172" i="3"/>
  <c r="AW172" i="3"/>
  <c r="BA172" i="3"/>
  <c r="BE172" i="3"/>
  <c r="BI172" i="3"/>
  <c r="BM172" i="3"/>
  <c r="BQ172" i="3"/>
  <c r="BU172" i="3"/>
  <c r="BY172" i="3"/>
  <c r="CC172" i="3"/>
  <c r="CG172" i="3"/>
  <c r="CK172" i="3"/>
  <c r="CO172" i="3"/>
  <c r="CS172" i="3"/>
  <c r="CW172" i="3"/>
  <c r="DA172" i="3"/>
  <c r="DE172" i="3"/>
  <c r="DI172" i="3"/>
  <c r="DM172" i="3"/>
  <c r="DQ172" i="3"/>
  <c r="DU172" i="3"/>
  <c r="E173" i="3"/>
  <c r="I173" i="3"/>
  <c r="M173" i="3"/>
  <c r="Q173" i="3"/>
  <c r="U173" i="3"/>
  <c r="Y173" i="3"/>
  <c r="AC173" i="3"/>
  <c r="AG173" i="3"/>
  <c r="AO173" i="3"/>
  <c r="AS173" i="3"/>
  <c r="AW173" i="3"/>
  <c r="BE173" i="3"/>
  <c r="BI173" i="3"/>
  <c r="BM173" i="3"/>
  <c r="BQ173" i="3"/>
  <c r="BU173" i="3"/>
  <c r="BY173" i="3"/>
  <c r="CC173" i="3"/>
  <c r="CG173" i="3"/>
  <c r="CK173" i="3"/>
  <c r="CO173" i="3"/>
  <c r="CW173" i="3"/>
  <c r="DA173" i="3"/>
  <c r="DE173" i="3"/>
  <c r="DM173" i="3"/>
  <c r="DQ173" i="3"/>
  <c r="DU173" i="3"/>
  <c r="E174" i="3"/>
  <c r="M174" i="3"/>
  <c r="Q174" i="3"/>
  <c r="U174" i="3"/>
  <c r="Y174" i="3"/>
  <c r="AC174" i="3"/>
  <c r="AG174" i="3"/>
  <c r="AS174" i="3"/>
  <c r="AW174" i="3"/>
  <c r="BA174" i="3"/>
  <c r="BE174" i="3"/>
  <c r="BI174" i="3"/>
  <c r="BM174" i="3"/>
  <c r="BQ174" i="3"/>
  <c r="BU174" i="3"/>
  <c r="BY174" i="3"/>
  <c r="CC174" i="3"/>
  <c r="CG174" i="3"/>
  <c r="CK174" i="3"/>
  <c r="CO174" i="3"/>
  <c r="CS174" i="3"/>
  <c r="CW174" i="3"/>
  <c r="DA174" i="3"/>
  <c r="DE174" i="3"/>
  <c r="DI174" i="3"/>
  <c r="DM174" i="3"/>
  <c r="DQ174" i="3"/>
  <c r="DU174" i="3"/>
  <c r="E175" i="3"/>
  <c r="I175" i="3"/>
  <c r="M175" i="3"/>
  <c r="Q175" i="3"/>
  <c r="U175" i="3"/>
  <c r="Y175" i="3"/>
  <c r="AC175" i="3"/>
  <c r="AG175" i="3"/>
  <c r="AS175" i="3"/>
  <c r="AW175" i="3"/>
  <c r="BA175" i="3"/>
  <c r="BE175" i="3"/>
  <c r="BI175" i="3"/>
  <c r="BM175" i="3"/>
  <c r="BQ175" i="3"/>
  <c r="BU175" i="3"/>
  <c r="BY175" i="3"/>
  <c r="CC175" i="3"/>
  <c r="CG175" i="3"/>
  <c r="CK175" i="3"/>
  <c r="CO175" i="3"/>
  <c r="CS175" i="3"/>
  <c r="CW175" i="3"/>
  <c r="DA175" i="3"/>
  <c r="DE175" i="3"/>
  <c r="DI175" i="3"/>
  <c r="DM175" i="3"/>
  <c r="DQ175" i="3"/>
  <c r="DU175" i="3"/>
  <c r="E176" i="3"/>
  <c r="I176" i="3"/>
  <c r="M176" i="3"/>
  <c r="Q176" i="3"/>
  <c r="U176" i="3"/>
  <c r="Y176" i="3"/>
  <c r="AC176" i="3"/>
  <c r="AG176" i="3"/>
  <c r="AS176" i="3"/>
  <c r="AW176" i="3"/>
  <c r="BA176" i="3"/>
  <c r="BE176" i="3"/>
  <c r="BI176" i="3"/>
  <c r="BM176" i="3"/>
  <c r="BQ176" i="3"/>
  <c r="BU176" i="3"/>
  <c r="BY176" i="3"/>
  <c r="CC176" i="3"/>
  <c r="CG176" i="3"/>
  <c r="CK176" i="3"/>
  <c r="CO176" i="3"/>
  <c r="CW176" i="3"/>
  <c r="DA176" i="3"/>
  <c r="DE176" i="3"/>
  <c r="DI176" i="3"/>
  <c r="DM176" i="3"/>
  <c r="DQ176" i="3"/>
  <c r="DU176" i="3"/>
  <c r="E177" i="3"/>
  <c r="I177" i="3"/>
  <c r="M177" i="3"/>
  <c r="Q177" i="3"/>
  <c r="U177" i="3"/>
  <c r="Y177" i="3"/>
  <c r="AC177" i="3"/>
  <c r="AG177" i="3"/>
  <c r="AS177" i="3"/>
  <c r="AW177" i="3"/>
  <c r="BA177" i="3"/>
  <c r="BE177" i="3"/>
  <c r="BI177" i="3"/>
  <c r="BM177" i="3"/>
  <c r="BQ177" i="3"/>
  <c r="BU177" i="3"/>
  <c r="BY177" i="3"/>
  <c r="CC177" i="3"/>
  <c r="CG177" i="3"/>
  <c r="CK177" i="3"/>
  <c r="CO177" i="3"/>
  <c r="CS177" i="3"/>
  <c r="CW177" i="3"/>
  <c r="DA177" i="3"/>
  <c r="DE177" i="3"/>
  <c r="DI177" i="3"/>
  <c r="DM177" i="3"/>
  <c r="DQ177" i="3"/>
  <c r="DU177" i="3"/>
  <c r="E178" i="3"/>
  <c r="I178" i="3"/>
  <c r="M178" i="3"/>
  <c r="Q178" i="3"/>
  <c r="U178" i="3"/>
  <c r="Y178" i="3"/>
  <c r="AC178" i="3"/>
  <c r="AG178" i="3"/>
  <c r="AS178" i="3"/>
  <c r="AW178" i="3"/>
  <c r="BA178" i="3"/>
  <c r="BE178" i="3"/>
  <c r="BI178" i="3"/>
  <c r="BM178" i="3"/>
  <c r="BQ178" i="3"/>
  <c r="BU178" i="3"/>
  <c r="BY178" i="3"/>
  <c r="CC178" i="3"/>
  <c r="CG178" i="3"/>
  <c r="CK178" i="3"/>
  <c r="CO178" i="3"/>
  <c r="CS178" i="3"/>
  <c r="CW178" i="3"/>
  <c r="DA178" i="3"/>
  <c r="DE178" i="3"/>
  <c r="DI178" i="3"/>
  <c r="DM178" i="3"/>
  <c r="DQ178" i="3"/>
  <c r="DU178" i="3"/>
  <c r="E179" i="3"/>
  <c r="I179" i="3"/>
  <c r="M179" i="3"/>
  <c r="Q179" i="3"/>
  <c r="U179" i="3"/>
  <c r="Y179" i="3"/>
  <c r="AC179" i="3"/>
  <c r="AG179" i="3"/>
  <c r="AS179" i="3"/>
  <c r="AW179" i="3"/>
  <c r="BA179" i="3"/>
  <c r="BE179" i="3"/>
  <c r="BI179" i="3"/>
  <c r="BM179" i="3"/>
  <c r="BQ179" i="3"/>
  <c r="BU179" i="3"/>
  <c r="BY179" i="3"/>
  <c r="CC179" i="3"/>
  <c r="CG179" i="3"/>
  <c r="CK179" i="3"/>
  <c r="CO179" i="3"/>
  <c r="CS179" i="3"/>
  <c r="CW179" i="3"/>
  <c r="DA179" i="3"/>
  <c r="DE179" i="3"/>
  <c r="DI179" i="3"/>
  <c r="DM179" i="3"/>
  <c r="DQ179" i="3"/>
  <c r="DU179" i="3"/>
  <c r="E180" i="3"/>
  <c r="I180" i="3"/>
  <c r="M180" i="3"/>
  <c r="Q180" i="3"/>
  <c r="U180" i="3"/>
  <c r="Y180" i="3"/>
  <c r="AC180" i="3"/>
  <c r="AG180" i="3"/>
  <c r="AS180" i="3"/>
  <c r="AW180" i="3"/>
  <c r="BA180" i="3"/>
  <c r="BE180" i="3"/>
  <c r="BI180" i="3"/>
  <c r="BM180" i="3"/>
  <c r="BQ180" i="3"/>
  <c r="BU180" i="3"/>
  <c r="BY180" i="3"/>
  <c r="CC180" i="3"/>
  <c r="CG180" i="3"/>
  <c r="CK180" i="3"/>
  <c r="CO180" i="3"/>
  <c r="CS180" i="3"/>
  <c r="CW180" i="3"/>
  <c r="DA180" i="3"/>
  <c r="DE180" i="3"/>
  <c r="DI180" i="3"/>
  <c r="DM180" i="3"/>
  <c r="DQ180" i="3"/>
  <c r="DU180" i="3"/>
  <c r="E181" i="3"/>
  <c r="I181" i="3"/>
  <c r="M181" i="3"/>
  <c r="Q181" i="3"/>
  <c r="U181" i="3"/>
  <c r="Y181" i="3"/>
  <c r="AC181" i="3"/>
  <c r="AG181" i="3"/>
  <c r="AS181" i="3"/>
  <c r="AW181" i="3"/>
  <c r="BA181" i="3"/>
  <c r="BE181" i="3"/>
  <c r="BI181" i="3"/>
  <c r="BM181" i="3"/>
  <c r="BQ181" i="3"/>
  <c r="BU181" i="3"/>
  <c r="BY181" i="3"/>
  <c r="CC181" i="3"/>
  <c r="CG181" i="3"/>
  <c r="CK181" i="3"/>
  <c r="CO181" i="3"/>
  <c r="CS181" i="3"/>
  <c r="CW181" i="3"/>
  <c r="DA181" i="3"/>
  <c r="DE181" i="3"/>
  <c r="DI181" i="3"/>
  <c r="DM181" i="3"/>
  <c r="DQ181" i="3"/>
  <c r="DU181" i="3"/>
  <c r="E182" i="3"/>
  <c r="I182" i="3"/>
  <c r="M182" i="3"/>
  <c r="Q182" i="3"/>
  <c r="U182" i="3"/>
  <c r="Y182" i="3"/>
  <c r="AC182" i="3"/>
  <c r="AG182" i="3"/>
  <c r="AS182" i="3"/>
  <c r="AW182" i="3"/>
  <c r="BA182" i="3"/>
  <c r="BE182" i="3"/>
  <c r="BI182" i="3"/>
  <c r="BM182" i="3"/>
  <c r="BQ182" i="3"/>
  <c r="BU182" i="3"/>
  <c r="BY182" i="3"/>
  <c r="CC182" i="3"/>
  <c r="CG182" i="3"/>
  <c r="CK182" i="3"/>
  <c r="CO182" i="3"/>
  <c r="CS182" i="3"/>
  <c r="CW182" i="3"/>
  <c r="DA182" i="3"/>
  <c r="DE182" i="3"/>
  <c r="DI182" i="3"/>
  <c r="DM182" i="3"/>
  <c r="DQ182" i="3"/>
  <c r="DU182" i="3"/>
  <c r="E183" i="3"/>
  <c r="I183" i="3"/>
  <c r="M183" i="3"/>
  <c r="Q183" i="3"/>
  <c r="U183" i="3"/>
  <c r="Y183" i="3"/>
  <c r="AC183" i="3"/>
  <c r="AG183" i="3"/>
  <c r="AS183" i="3"/>
  <c r="AW183" i="3"/>
  <c r="BA183" i="3"/>
  <c r="BE183" i="3"/>
  <c r="BI183" i="3"/>
  <c r="BM183" i="3"/>
  <c r="BQ183" i="3"/>
  <c r="BU183" i="3"/>
  <c r="BY183" i="3"/>
  <c r="CC183" i="3"/>
  <c r="CG183" i="3"/>
  <c r="CK183" i="3"/>
  <c r="CO183" i="3"/>
  <c r="CW183" i="3"/>
  <c r="DA183" i="3"/>
  <c r="DE183" i="3"/>
  <c r="DI183" i="3"/>
  <c r="DM183" i="3"/>
  <c r="DQ183" i="3"/>
  <c r="DU183" i="3"/>
  <c r="E184" i="3"/>
  <c r="I184" i="3"/>
  <c r="M184" i="3"/>
  <c r="Q184" i="3"/>
  <c r="U184" i="3"/>
  <c r="Y184" i="3"/>
  <c r="AC184" i="3"/>
  <c r="AG184" i="3"/>
  <c r="AS184" i="3"/>
  <c r="AW184" i="3"/>
  <c r="BA184" i="3"/>
  <c r="BE184" i="3"/>
  <c r="BI184" i="3"/>
  <c r="BM184" i="3"/>
  <c r="BQ184" i="3"/>
  <c r="BU184" i="3"/>
  <c r="BY184" i="3"/>
  <c r="CC184" i="3"/>
  <c r="CG184" i="3"/>
  <c r="CK184" i="3"/>
  <c r="CO184" i="3"/>
  <c r="CS184" i="3"/>
  <c r="CW184" i="3"/>
  <c r="DA184" i="3"/>
  <c r="DE184" i="3"/>
  <c r="DI184" i="3"/>
  <c r="DM184" i="3"/>
  <c r="DQ184" i="3"/>
  <c r="DU184" i="3"/>
  <c r="E185" i="3"/>
  <c r="I185" i="3"/>
  <c r="M185" i="3"/>
  <c r="Q185" i="3"/>
  <c r="U185" i="3"/>
  <c r="Y185" i="3"/>
  <c r="AC185" i="3"/>
  <c r="AG185" i="3"/>
  <c r="AS185" i="3"/>
  <c r="AW185" i="3"/>
  <c r="BA185" i="3"/>
  <c r="BE185" i="3"/>
  <c r="BI185" i="3"/>
  <c r="BM185" i="3"/>
  <c r="BQ185" i="3"/>
  <c r="BU185" i="3"/>
  <c r="BY185" i="3"/>
  <c r="CC185" i="3"/>
  <c r="CG185" i="3"/>
  <c r="CK185" i="3"/>
  <c r="CO185" i="3"/>
  <c r="CS185" i="3"/>
  <c r="CW185" i="3"/>
  <c r="DA185" i="3"/>
  <c r="DE185" i="3"/>
  <c r="DI185" i="3"/>
  <c r="DM185" i="3"/>
  <c r="DQ185" i="3"/>
  <c r="DU185" i="3"/>
  <c r="E186" i="3"/>
  <c r="I186" i="3"/>
  <c r="M186" i="3"/>
  <c r="Q186" i="3"/>
  <c r="U186" i="3"/>
  <c r="Y186" i="3"/>
  <c r="AC186" i="3"/>
  <c r="AG186" i="3"/>
  <c r="AS186" i="3"/>
  <c r="AW186" i="3"/>
  <c r="BA186" i="3"/>
  <c r="BE186" i="3"/>
  <c r="BI186" i="3"/>
  <c r="BM186" i="3"/>
  <c r="BQ186" i="3"/>
  <c r="BU186" i="3"/>
  <c r="BY186" i="3"/>
  <c r="CC186" i="3"/>
  <c r="CG186" i="3"/>
  <c r="CK186" i="3"/>
  <c r="CO186" i="3"/>
  <c r="CW186" i="3"/>
  <c r="DA186" i="3"/>
  <c r="DE186" i="3"/>
  <c r="DI186" i="3"/>
  <c r="DM186" i="3"/>
  <c r="DQ186" i="3"/>
  <c r="DU186" i="3"/>
  <c r="E187" i="3"/>
  <c r="M187" i="3"/>
  <c r="Q187" i="3"/>
  <c r="U187" i="3"/>
  <c r="Y187" i="3"/>
  <c r="AC187" i="3"/>
  <c r="AG187" i="3"/>
  <c r="AS187" i="3"/>
  <c r="AW187" i="3"/>
  <c r="BE187" i="3"/>
  <c r="BI187" i="3"/>
  <c r="BM187" i="3"/>
  <c r="BQ187" i="3"/>
  <c r="BU187" i="3"/>
  <c r="BY187" i="3"/>
  <c r="CC187" i="3"/>
  <c r="CG187" i="3"/>
  <c r="CK187" i="3"/>
  <c r="CO187" i="3"/>
  <c r="CS187" i="3"/>
  <c r="CW187" i="3"/>
  <c r="DA187" i="3"/>
  <c r="DE187" i="3"/>
  <c r="DI187" i="3"/>
  <c r="DM187" i="3"/>
  <c r="DQ187" i="3"/>
  <c r="DU187" i="3"/>
  <c r="E188" i="3"/>
  <c r="I188" i="3"/>
  <c r="M188" i="3"/>
  <c r="Q188" i="3"/>
  <c r="U188" i="3"/>
  <c r="Y188" i="3"/>
  <c r="AC188" i="3"/>
  <c r="AG188" i="3"/>
  <c r="AS188" i="3"/>
  <c r="AW188" i="3"/>
  <c r="BA188" i="3"/>
  <c r="BE188" i="3"/>
  <c r="BI188" i="3"/>
  <c r="BM188" i="3"/>
  <c r="BQ188" i="3"/>
  <c r="BU188" i="3"/>
  <c r="BY188" i="3"/>
  <c r="CC188" i="3"/>
  <c r="CG188" i="3"/>
  <c r="CK188" i="3"/>
  <c r="CO188" i="3"/>
  <c r="CS188" i="3"/>
  <c r="CW188" i="3"/>
  <c r="DA188" i="3"/>
  <c r="DE188" i="3"/>
  <c r="DI188" i="3"/>
  <c r="DM188" i="3"/>
  <c r="DQ188" i="3"/>
  <c r="DU188" i="3"/>
  <c r="E189" i="3"/>
  <c r="I189" i="3"/>
  <c r="M189" i="3"/>
  <c r="Q189" i="3"/>
  <c r="U189" i="3"/>
  <c r="Y189" i="3"/>
  <c r="AC189" i="3"/>
  <c r="AG189" i="3"/>
  <c r="AS189" i="3"/>
  <c r="AW189" i="3"/>
  <c r="BA189" i="3"/>
  <c r="BE189" i="3"/>
  <c r="BI189" i="3"/>
  <c r="BM189" i="3"/>
  <c r="BQ189" i="3"/>
  <c r="BU189" i="3"/>
  <c r="BY189" i="3"/>
  <c r="CC189" i="3"/>
  <c r="CG189" i="3"/>
  <c r="CK189" i="3"/>
  <c r="CO189" i="3"/>
  <c r="CS189" i="3"/>
  <c r="CW189" i="3"/>
  <c r="DA189" i="3"/>
  <c r="DE189" i="3"/>
  <c r="DI189" i="3"/>
  <c r="DM189" i="3"/>
  <c r="DQ189" i="3"/>
  <c r="DU189" i="3"/>
  <c r="E190" i="3"/>
  <c r="I190" i="3"/>
  <c r="M190" i="3"/>
  <c r="Q190" i="3"/>
  <c r="U190" i="3"/>
  <c r="Y190" i="3"/>
  <c r="AC190" i="3"/>
  <c r="AG190" i="3"/>
  <c r="AS190" i="3"/>
  <c r="AW190" i="3"/>
  <c r="BA190" i="3"/>
  <c r="BE190" i="3"/>
  <c r="BI190" i="3"/>
  <c r="BM190" i="3"/>
  <c r="BQ190" i="3"/>
  <c r="BU190" i="3"/>
  <c r="BY190" i="3"/>
  <c r="CC190" i="3"/>
  <c r="CG190" i="3"/>
  <c r="CK190" i="3"/>
  <c r="CO190" i="3"/>
  <c r="CS190" i="3"/>
  <c r="CW190" i="3"/>
  <c r="DA190" i="3"/>
  <c r="DE190" i="3"/>
  <c r="DI190" i="3"/>
  <c r="DM190" i="3"/>
  <c r="DQ190" i="3"/>
  <c r="DU190" i="3"/>
  <c r="E191" i="3"/>
  <c r="I191" i="3"/>
  <c r="M191" i="3"/>
  <c r="Q191" i="3"/>
  <c r="U191" i="3"/>
  <c r="Y191" i="3"/>
  <c r="AC191" i="3"/>
  <c r="AG191" i="3"/>
  <c r="AS191" i="3"/>
  <c r="AW191" i="3"/>
  <c r="BA191" i="3"/>
  <c r="BE191" i="3"/>
  <c r="BI191" i="3"/>
  <c r="BM191" i="3"/>
  <c r="BQ191" i="3"/>
  <c r="BU191" i="3"/>
  <c r="BY191" i="3"/>
  <c r="CC191" i="3"/>
  <c r="CG191" i="3"/>
  <c r="CK191" i="3"/>
  <c r="CO191" i="3"/>
  <c r="CW191" i="3"/>
  <c r="DA191" i="3"/>
  <c r="DE191" i="3"/>
  <c r="DI191" i="3"/>
  <c r="DM191" i="3"/>
  <c r="DQ191" i="3"/>
  <c r="DU191" i="3"/>
  <c r="E192" i="3"/>
  <c r="I192" i="3"/>
  <c r="M192" i="3"/>
  <c r="Q192" i="3"/>
  <c r="U192" i="3"/>
  <c r="Y192" i="3"/>
  <c r="AC192" i="3"/>
  <c r="AG192" i="3"/>
  <c r="AS192" i="3"/>
  <c r="AW192" i="3"/>
  <c r="BA192" i="3"/>
  <c r="BE192" i="3"/>
  <c r="BI192" i="3"/>
  <c r="BM192" i="3"/>
  <c r="BQ192" i="3"/>
  <c r="BU192" i="3"/>
  <c r="BY192" i="3"/>
  <c r="CC192" i="3"/>
  <c r="CG192" i="3"/>
  <c r="CK192" i="3"/>
  <c r="CO192" i="3"/>
  <c r="CS192" i="3"/>
  <c r="CW192" i="3"/>
  <c r="DA192" i="3"/>
  <c r="DE192" i="3"/>
  <c r="DI192" i="3"/>
  <c r="DM192" i="3"/>
  <c r="DQ192" i="3"/>
  <c r="DU192" i="3"/>
  <c r="E193" i="3"/>
  <c r="I193" i="3"/>
  <c r="M193" i="3"/>
  <c r="Q193" i="3"/>
  <c r="U193" i="3"/>
  <c r="Y193" i="3"/>
  <c r="AC193" i="3"/>
  <c r="AG193" i="3"/>
  <c r="AS193" i="3"/>
  <c r="AW193" i="3"/>
  <c r="BA193" i="3"/>
  <c r="BE193" i="3"/>
  <c r="BI193" i="3"/>
  <c r="BM193" i="3"/>
  <c r="BQ193" i="3"/>
  <c r="BU193" i="3"/>
  <c r="BY193" i="3"/>
  <c r="CC193" i="3"/>
  <c r="CG193" i="3"/>
  <c r="CK193" i="3"/>
  <c r="CO193" i="3"/>
  <c r="CS193" i="3"/>
  <c r="CW193" i="3"/>
  <c r="DA193" i="3"/>
  <c r="DE193" i="3"/>
  <c r="DI193" i="3"/>
  <c r="DM193" i="3"/>
  <c r="DQ193" i="3"/>
  <c r="DU193" i="3"/>
  <c r="E194" i="3"/>
  <c r="I194" i="3"/>
  <c r="M194" i="3"/>
  <c r="Q194" i="3"/>
  <c r="U194" i="3"/>
  <c r="Y194" i="3"/>
  <c r="AC194" i="3"/>
  <c r="AG194" i="3"/>
  <c r="AS194" i="3"/>
  <c r="AW194" i="3"/>
  <c r="BA194" i="3"/>
  <c r="BE194" i="3"/>
  <c r="BI194" i="3"/>
  <c r="BM194" i="3"/>
  <c r="BQ194" i="3"/>
  <c r="BU194" i="3"/>
  <c r="BY194" i="3"/>
  <c r="CC194" i="3"/>
  <c r="CG194" i="3"/>
  <c r="CK194" i="3"/>
  <c r="CO194" i="3"/>
  <c r="CS194" i="3"/>
  <c r="CW194" i="3"/>
  <c r="DA194" i="3"/>
  <c r="DE194" i="3"/>
  <c r="DI194" i="3"/>
  <c r="DM194" i="3"/>
  <c r="DQ194" i="3"/>
  <c r="DU194" i="3"/>
  <c r="E195" i="3"/>
  <c r="I195" i="3"/>
  <c r="M195" i="3"/>
  <c r="Q195" i="3"/>
  <c r="U195" i="3"/>
  <c r="Y195" i="3"/>
  <c r="AC195" i="3"/>
  <c r="AG195" i="3"/>
  <c r="AS195" i="3"/>
  <c r="AW195" i="3"/>
  <c r="BA195" i="3"/>
  <c r="BE195" i="3"/>
  <c r="BI195" i="3"/>
  <c r="BM195" i="3"/>
  <c r="BQ195" i="3"/>
  <c r="BU195" i="3"/>
  <c r="BY195" i="3"/>
  <c r="CC195" i="3"/>
  <c r="CG195" i="3"/>
  <c r="CK195" i="3"/>
  <c r="CO195" i="3"/>
  <c r="CS195" i="3"/>
  <c r="CW195" i="3"/>
  <c r="DA195" i="3"/>
  <c r="DE195" i="3"/>
  <c r="DI195" i="3"/>
  <c r="DM195" i="3"/>
  <c r="DQ195" i="3"/>
  <c r="DU195" i="3"/>
  <c r="E196" i="3"/>
  <c r="I196" i="3"/>
  <c r="M196" i="3"/>
  <c r="Q196" i="3"/>
  <c r="U196" i="3"/>
  <c r="Y196" i="3"/>
  <c r="AC196" i="3"/>
  <c r="AG196" i="3"/>
  <c r="AS196" i="3"/>
  <c r="AW196" i="3"/>
  <c r="BA196" i="3"/>
  <c r="BE196" i="3"/>
  <c r="BI196" i="3"/>
  <c r="BM196" i="3"/>
  <c r="BQ196" i="3"/>
  <c r="BU196" i="3"/>
  <c r="BY196" i="3"/>
  <c r="CC196" i="3"/>
  <c r="CG196" i="3"/>
  <c r="CK196" i="3"/>
  <c r="CO196" i="3"/>
  <c r="CS196" i="3"/>
  <c r="CW196" i="3"/>
  <c r="DA196" i="3"/>
  <c r="DE196" i="3"/>
  <c r="DI196" i="3"/>
  <c r="DM196" i="3"/>
  <c r="DQ196" i="3"/>
  <c r="DU196" i="3"/>
  <c r="E197" i="3"/>
  <c r="I197" i="3"/>
  <c r="M197" i="3"/>
  <c r="Q197" i="3"/>
  <c r="U197" i="3"/>
  <c r="Y197" i="3"/>
  <c r="AC197" i="3"/>
  <c r="AG197" i="3"/>
  <c r="AS197" i="3"/>
  <c r="AW197" i="3"/>
  <c r="BA197" i="3"/>
  <c r="BE197" i="3"/>
  <c r="BI197" i="3"/>
  <c r="BM197" i="3"/>
  <c r="BQ197" i="3"/>
  <c r="BU197" i="3"/>
  <c r="BY197" i="3"/>
  <c r="CC197" i="3"/>
  <c r="CG197" i="3"/>
  <c r="CK197" i="3"/>
  <c r="CO197" i="3"/>
  <c r="CS197" i="3"/>
  <c r="CW197" i="3"/>
  <c r="DA197" i="3"/>
  <c r="DE197" i="3"/>
  <c r="DI197" i="3"/>
  <c r="DM197" i="3"/>
  <c r="DQ197" i="3"/>
  <c r="DU197" i="3"/>
  <c r="E198" i="3"/>
  <c r="I198" i="3"/>
  <c r="M198" i="3"/>
  <c r="Q198" i="3"/>
  <c r="U198" i="3"/>
  <c r="Y198" i="3"/>
  <c r="AC198" i="3"/>
  <c r="AG198" i="3"/>
  <c r="AS198" i="3"/>
  <c r="AW198" i="3"/>
  <c r="BA198" i="3"/>
  <c r="BE198" i="3"/>
  <c r="BI198" i="3"/>
  <c r="BM198" i="3"/>
  <c r="BQ198" i="3"/>
  <c r="BU198" i="3"/>
  <c r="BY198" i="3"/>
  <c r="CC198" i="3"/>
  <c r="CG198" i="3"/>
  <c r="CK198" i="3"/>
  <c r="CO198" i="3"/>
  <c r="CS198" i="3"/>
  <c r="CW198" i="3"/>
  <c r="DA198" i="3"/>
  <c r="DE198" i="3"/>
  <c r="DI198" i="3"/>
  <c r="DM198" i="3"/>
  <c r="DQ198" i="3"/>
  <c r="DU198" i="3"/>
  <c r="E199" i="3"/>
  <c r="I199" i="3"/>
  <c r="M199" i="3"/>
  <c r="Q199" i="3"/>
  <c r="U199" i="3"/>
  <c r="Y199" i="3"/>
  <c r="AC199" i="3"/>
  <c r="AG199" i="3"/>
  <c r="AS199" i="3"/>
  <c r="AW199" i="3"/>
  <c r="BA199" i="3"/>
  <c r="BE199" i="3"/>
  <c r="BI199" i="3"/>
  <c r="BQ199" i="3"/>
  <c r="BU199" i="3"/>
  <c r="BY199" i="3"/>
  <c r="CC199" i="3"/>
  <c r="CG199" i="3"/>
  <c r="CK199" i="3"/>
  <c r="CO199" i="3"/>
  <c r="CS199" i="3"/>
  <c r="CW199" i="3"/>
  <c r="DA199" i="3"/>
  <c r="DE199" i="3"/>
  <c r="DI199" i="3"/>
  <c r="DM199" i="3"/>
  <c r="DQ199" i="3"/>
  <c r="DU199" i="3"/>
  <c r="E200" i="3"/>
  <c r="I200" i="3"/>
  <c r="M200" i="3"/>
  <c r="Q200" i="3"/>
  <c r="U200" i="3"/>
  <c r="Y200" i="3"/>
  <c r="AC200" i="3"/>
  <c r="AG200" i="3"/>
  <c r="AS200" i="3"/>
  <c r="AW200" i="3"/>
  <c r="BA200" i="3"/>
  <c r="BE200" i="3"/>
  <c r="BI200" i="3"/>
  <c r="BQ200" i="3"/>
  <c r="BU200" i="3"/>
  <c r="BY200" i="3"/>
  <c r="CC200" i="3"/>
  <c r="CG200" i="3"/>
  <c r="CK200" i="3"/>
  <c r="CO200" i="3"/>
  <c r="CS200" i="3"/>
  <c r="CW200" i="3"/>
  <c r="DA200" i="3"/>
  <c r="DE200" i="3"/>
  <c r="DI200" i="3"/>
  <c r="DM200" i="3"/>
  <c r="DQ200" i="3"/>
  <c r="DU200" i="3"/>
  <c r="E201" i="3"/>
  <c r="I201" i="3"/>
  <c r="M201" i="3"/>
  <c r="Q201" i="3"/>
  <c r="U201" i="3"/>
  <c r="Y201" i="3"/>
  <c r="AC201" i="3"/>
  <c r="AG201" i="3"/>
  <c r="AS201" i="3"/>
  <c r="AW201" i="3"/>
  <c r="BA201" i="3"/>
  <c r="BE201" i="3"/>
  <c r="BI201" i="3"/>
  <c r="BQ201" i="3"/>
  <c r="BU201" i="3"/>
  <c r="BY201" i="3"/>
  <c r="CC201" i="3"/>
  <c r="CG201" i="3"/>
  <c r="CK201" i="3"/>
  <c r="CO201" i="3"/>
  <c r="CS201" i="3"/>
  <c r="CW201" i="3"/>
  <c r="DA201" i="3"/>
  <c r="DE201" i="3"/>
  <c r="DI201" i="3"/>
  <c r="DM201" i="3"/>
  <c r="DQ201" i="3"/>
  <c r="DU201" i="3"/>
  <c r="E202" i="3"/>
  <c r="I202" i="3"/>
  <c r="M202" i="3"/>
  <c r="Q202" i="3"/>
  <c r="U202" i="3"/>
  <c r="Y202" i="3"/>
  <c r="AC202" i="3"/>
  <c r="AG202" i="3"/>
  <c r="AS202" i="3"/>
  <c r="AW202" i="3"/>
  <c r="BA202" i="3"/>
  <c r="BE202" i="3"/>
  <c r="BI202" i="3"/>
  <c r="BQ202" i="3"/>
  <c r="BU202" i="3"/>
  <c r="BY202" i="3"/>
  <c r="CC202" i="3"/>
  <c r="CG202" i="3"/>
  <c r="CK202" i="3"/>
  <c r="CO202" i="3"/>
  <c r="CS202" i="3"/>
  <c r="CW202" i="3"/>
  <c r="DA202" i="3"/>
  <c r="DE202" i="3"/>
  <c r="DI202" i="3"/>
  <c r="DM202" i="3"/>
  <c r="DQ202" i="3"/>
  <c r="DU202" i="3"/>
  <c r="L14" i="3" l="1"/>
  <c r="P14" i="3" s="1"/>
  <c r="T14" i="3" s="1"/>
  <c r="X14" i="3" s="1"/>
  <c r="AB14" i="3" s="1"/>
  <c r="BC112" i="5"/>
  <c r="DL112" i="5"/>
  <c r="BC118" i="5"/>
  <c r="DL118" i="5"/>
  <c r="DL144" i="5"/>
  <c r="BC144" i="5"/>
  <c r="BC155" i="5"/>
  <c r="DL155" i="5"/>
  <c r="BC152" i="5"/>
  <c r="DL152" i="5"/>
  <c r="BF101" i="5"/>
  <c r="DM101" i="5"/>
  <c r="BC102" i="5"/>
  <c r="DL102" i="5"/>
  <c r="BC90" i="5"/>
  <c r="DL90" i="5"/>
  <c r="DL6" i="5"/>
  <c r="BC6" i="5"/>
  <c r="BC193" i="5"/>
  <c r="DL193" i="5"/>
  <c r="CD156" i="5"/>
  <c r="DU156" i="5"/>
  <c r="CD159" i="5"/>
  <c r="DU159" i="5"/>
  <c r="CD157" i="5"/>
  <c r="DU157" i="5"/>
  <c r="CD158" i="5"/>
  <c r="DU158" i="5"/>
  <c r="CD164" i="5"/>
  <c r="DU164" i="5"/>
  <c r="CD160" i="5"/>
  <c r="DU160" i="5"/>
  <c r="CD165" i="5"/>
  <c r="DU165" i="5"/>
  <c r="BF153" i="5"/>
  <c r="DM153" i="5"/>
  <c r="BF120" i="5"/>
  <c r="DM120" i="5"/>
  <c r="BF114" i="5"/>
  <c r="DM114" i="5"/>
  <c r="BI117" i="5"/>
  <c r="DN117" i="5"/>
  <c r="BF139" i="5"/>
  <c r="DM139" i="5"/>
  <c r="BF95" i="5"/>
  <c r="DM95" i="5"/>
  <c r="BF136" i="5"/>
  <c r="DM136" i="5"/>
  <c r="DM108" i="5"/>
  <c r="BF108" i="5"/>
  <c r="BF147" i="5"/>
  <c r="DM147" i="5"/>
  <c r="DM46" i="5"/>
  <c r="BF46" i="5"/>
  <c r="DM60" i="5"/>
  <c r="BF60" i="5"/>
  <c r="DM70" i="5"/>
  <c r="BF70" i="5"/>
  <c r="DN104" i="5"/>
  <c r="BI104" i="5"/>
  <c r="DM25" i="5"/>
  <c r="BF25" i="5"/>
  <c r="DM13" i="5"/>
  <c r="BF13" i="5"/>
  <c r="DM190" i="5"/>
  <c r="BF190" i="5"/>
  <c r="DM23" i="5"/>
  <c r="BF23" i="5"/>
  <c r="DM21" i="5"/>
  <c r="BF21" i="5"/>
  <c r="DM63" i="5"/>
  <c r="BF63" i="5"/>
  <c r="DM79" i="5"/>
  <c r="BF79" i="5"/>
  <c r="DM7" i="5"/>
  <c r="BF7" i="5"/>
  <c r="DM86" i="5"/>
  <c r="BF86" i="5"/>
  <c r="DM28" i="5"/>
  <c r="BF28" i="5"/>
  <c r="DM83" i="5"/>
  <c r="BF83" i="5"/>
  <c r="DM14" i="5"/>
  <c r="BF14" i="5"/>
  <c r="DM84" i="5"/>
  <c r="BF84" i="5"/>
  <c r="DM27" i="5"/>
  <c r="BF27" i="5"/>
  <c r="DM67" i="5"/>
  <c r="BF67" i="5"/>
  <c r="DM85" i="5"/>
  <c r="BF85" i="5"/>
  <c r="DM68" i="5"/>
  <c r="BF68" i="5"/>
  <c r="DM31" i="5"/>
  <c r="BF31" i="5"/>
  <c r="DM77" i="5"/>
  <c r="BF77" i="5"/>
  <c r="DM74" i="5"/>
  <c r="BF74" i="5"/>
  <c r="DM47" i="5"/>
  <c r="BF47" i="5"/>
  <c r="DM30" i="5"/>
  <c r="BF30" i="5"/>
  <c r="BF131" i="5"/>
  <c r="DM131" i="5"/>
  <c r="BI89" i="5"/>
  <c r="DN89" i="5"/>
  <c r="BF197" i="5"/>
  <c r="DM197" i="5"/>
  <c r="BF127" i="5"/>
  <c r="DM127" i="5"/>
  <c r="BF119" i="5"/>
  <c r="DM119" i="5"/>
  <c r="BF96" i="5"/>
  <c r="DM96" i="5"/>
  <c r="BF148" i="5"/>
  <c r="DM148" i="5"/>
  <c r="BI188" i="5"/>
  <c r="DN188" i="5"/>
  <c r="BF200" i="5"/>
  <c r="DM200" i="5"/>
  <c r="BF145" i="5"/>
  <c r="DM145" i="5"/>
  <c r="BF98" i="5"/>
  <c r="DM98" i="5"/>
  <c r="BF99" i="5"/>
  <c r="DM99" i="5"/>
  <c r="BF132" i="5"/>
  <c r="DM132" i="5"/>
  <c r="DM11" i="5"/>
  <c r="BF11" i="5"/>
  <c r="DM37" i="5"/>
  <c r="BF37" i="5"/>
  <c r="DM39" i="5"/>
  <c r="BF39" i="5"/>
  <c r="DM52" i="5"/>
  <c r="BF52" i="5"/>
  <c r="DM17" i="5"/>
  <c r="BF17" i="5"/>
  <c r="DM57" i="5"/>
  <c r="BF57" i="5"/>
  <c r="DM64" i="5"/>
  <c r="BF64" i="5"/>
  <c r="DM58" i="5"/>
  <c r="BF58" i="5"/>
  <c r="DM8" i="5"/>
  <c r="BF8" i="5"/>
  <c r="DM73" i="5"/>
  <c r="BF73" i="5"/>
  <c r="DM75" i="5"/>
  <c r="BF75" i="5"/>
  <c r="DM65" i="5"/>
  <c r="BF65" i="5"/>
  <c r="DM69" i="5"/>
  <c r="BF69" i="5"/>
  <c r="DM12" i="5"/>
  <c r="BF12" i="5"/>
  <c r="DM53" i="5"/>
  <c r="BF53" i="5"/>
  <c r="DM78" i="5"/>
  <c r="BF78" i="5"/>
  <c r="DM36" i="5"/>
  <c r="BF36" i="5"/>
  <c r="DM59" i="5"/>
  <c r="BF59" i="5"/>
  <c r="DM4" i="5"/>
  <c r="BF4" i="5"/>
  <c r="BF191" i="5"/>
  <c r="DM191" i="5"/>
  <c r="BF111" i="5"/>
  <c r="DM111" i="5"/>
  <c r="BO154" i="5"/>
  <c r="DP154" i="5"/>
  <c r="BF199" i="5"/>
  <c r="DM199" i="5"/>
  <c r="BI134" i="5"/>
  <c r="DN134" i="5"/>
  <c r="BF107" i="5"/>
  <c r="DM107" i="5"/>
  <c r="BF151" i="5"/>
  <c r="DM151" i="5"/>
  <c r="BI192" i="5"/>
  <c r="DN192" i="5"/>
  <c r="BF173" i="5"/>
  <c r="DM173" i="5"/>
  <c r="BI146" i="5"/>
  <c r="DN146" i="5"/>
  <c r="BF94" i="5"/>
  <c r="DM94" i="5"/>
  <c r="BF100" i="5"/>
  <c r="DM100" i="5"/>
  <c r="BF116" i="5"/>
  <c r="DM116" i="5"/>
  <c r="BF92" i="5"/>
  <c r="DM92" i="5"/>
  <c r="DM49" i="5"/>
  <c r="BF49" i="5"/>
  <c r="DM32" i="5"/>
  <c r="BF32" i="5"/>
  <c r="DM71" i="5"/>
  <c r="BF71" i="5"/>
  <c r="DM50" i="5"/>
  <c r="BF50" i="5"/>
  <c r="DM81" i="5"/>
  <c r="BF81" i="5"/>
  <c r="DN195" i="5"/>
  <c r="BI195" i="5"/>
  <c r="DM43" i="5"/>
  <c r="BF43" i="5"/>
  <c r="DM66" i="5"/>
  <c r="BF66" i="5"/>
  <c r="DM80" i="5"/>
  <c r="BF80" i="5"/>
  <c r="DM9" i="5"/>
  <c r="BF9" i="5"/>
  <c r="DM26" i="5"/>
  <c r="BF26" i="5"/>
  <c r="DM41" i="5"/>
  <c r="BF41" i="5"/>
  <c r="DM87" i="5"/>
  <c r="BF87" i="5"/>
  <c r="DM35" i="5"/>
  <c r="BF35" i="5"/>
  <c r="BF88" i="5"/>
  <c r="DM88" i="5"/>
  <c r="DM5" i="5"/>
  <c r="BF5" i="5"/>
  <c r="DM62" i="5"/>
  <c r="BF62" i="5"/>
  <c r="DM15" i="5"/>
  <c r="BF15" i="5"/>
  <c r="DM22" i="5"/>
  <c r="BF22" i="5"/>
  <c r="DM76" i="5"/>
  <c r="BF76" i="5"/>
  <c r="DM42" i="5"/>
  <c r="BF42" i="5"/>
  <c r="BI106" i="5"/>
  <c r="DN106" i="5"/>
  <c r="BI130" i="5"/>
  <c r="DN130" i="5"/>
  <c r="BF113" i="5"/>
  <c r="DM113" i="5"/>
  <c r="BF135" i="5"/>
  <c r="DM135" i="5"/>
  <c r="BI198" i="5"/>
  <c r="DN198" i="5"/>
  <c r="DN196" i="5"/>
  <c r="BI196" i="5"/>
  <c r="DN189" i="5"/>
  <c r="BI189" i="5"/>
  <c r="BF129" i="5"/>
  <c r="DM129" i="5"/>
  <c r="BF149" i="5"/>
  <c r="DM149" i="5"/>
  <c r="DM61" i="5"/>
  <c r="BF61" i="5"/>
  <c r="DM51" i="5"/>
  <c r="BF51" i="5"/>
  <c r="DM18" i="5"/>
  <c r="BF18" i="5"/>
  <c r="DM19" i="5"/>
  <c r="BF19" i="5"/>
  <c r="DM24" i="5"/>
  <c r="BF24" i="5"/>
  <c r="DM16" i="5"/>
  <c r="BF16" i="5"/>
  <c r="DM10" i="5"/>
  <c r="BF10" i="5"/>
  <c r="DM55" i="5"/>
  <c r="BF55" i="5"/>
  <c r="DM34" i="5"/>
  <c r="BF34" i="5"/>
  <c r="DM29" i="5"/>
  <c r="BF29" i="5"/>
  <c r="DM45" i="5"/>
  <c r="BF45" i="5"/>
  <c r="DM40" i="5"/>
  <c r="BF40" i="5"/>
  <c r="DM167" i="5"/>
  <c r="BF167" i="5"/>
  <c r="DM33" i="5"/>
  <c r="BF33" i="5"/>
  <c r="DM20" i="5"/>
  <c r="BF20" i="5"/>
  <c r="DM72" i="5"/>
  <c r="BF72" i="5"/>
  <c r="BI194" i="5"/>
  <c r="DN194" i="5"/>
  <c r="DM48" i="5"/>
  <c r="BF48" i="5"/>
  <c r="DM38" i="5"/>
  <c r="BF38" i="5"/>
  <c r="DM56" i="5"/>
  <c r="BF56" i="5"/>
  <c r="DM44" i="5"/>
  <c r="BF44" i="5"/>
  <c r="DM54" i="5"/>
  <c r="BF54" i="5"/>
  <c r="DM82" i="5"/>
  <c r="BF82" i="5"/>
  <c r="BI93" i="5"/>
  <c r="DN93" i="5"/>
  <c r="BI150" i="5"/>
  <c r="DN150" i="5"/>
  <c r="BF91" i="5"/>
  <c r="DM91" i="5"/>
  <c r="BF115" i="5"/>
  <c r="DM115" i="5"/>
  <c r="H4" i="21"/>
  <c r="L4" i="21" s="1"/>
  <c r="P4" i="21" s="1"/>
  <c r="T4" i="21" s="1"/>
  <c r="X4" i="21" s="1"/>
  <c r="AB4" i="21" s="1"/>
  <c r="AF4" i="21" s="1"/>
  <c r="AJ4" i="21" s="1"/>
  <c r="AN4" i="21" s="1"/>
  <c r="AR4" i="21" s="1"/>
  <c r="AV4" i="21" s="1"/>
  <c r="AZ4" i="21" s="1"/>
  <c r="BD4" i="21" s="1"/>
  <c r="BH4" i="21" s="1"/>
  <c r="BL4" i="21" s="1"/>
  <c r="H5" i="21"/>
  <c r="L5" i="21" s="1"/>
  <c r="P5" i="21" s="1"/>
  <c r="T5" i="21" s="1"/>
  <c r="X5" i="21" s="1"/>
  <c r="AB5" i="21" s="1"/>
  <c r="AF5" i="21" s="1"/>
  <c r="AJ5" i="21" s="1"/>
  <c r="AN5" i="21" s="1"/>
  <c r="AR5" i="21" s="1"/>
  <c r="AV5" i="21" s="1"/>
  <c r="AZ5" i="21" s="1"/>
  <c r="BD5" i="21" s="1"/>
  <c r="BH5" i="21" s="1"/>
  <c r="BL5" i="21" s="1"/>
  <c r="H6" i="21"/>
  <c r="L6" i="21" s="1"/>
  <c r="P6" i="21" s="1"/>
  <c r="T6" i="21" s="1"/>
  <c r="X6" i="21" s="1"/>
  <c r="AB6" i="21" s="1"/>
  <c r="AF6" i="21" s="1"/>
  <c r="AJ6" i="21" s="1"/>
  <c r="AN6" i="21" s="1"/>
  <c r="AR6" i="21" s="1"/>
  <c r="AV6" i="21" s="1"/>
  <c r="AZ6" i="21" s="1"/>
  <c r="BD6" i="21" s="1"/>
  <c r="BH6" i="21" s="1"/>
  <c r="BL6" i="21" s="1"/>
  <c r="H7" i="21"/>
  <c r="L7" i="21" s="1"/>
  <c r="P7" i="21" s="1"/>
  <c r="T7" i="21" s="1"/>
  <c r="X7" i="21" s="1"/>
  <c r="AB7" i="21" s="1"/>
  <c r="AF7" i="21" s="1"/>
  <c r="AJ7" i="21" s="1"/>
  <c r="AN7" i="21" s="1"/>
  <c r="AR7" i="21" s="1"/>
  <c r="AV7" i="21" s="1"/>
  <c r="AZ7" i="21" s="1"/>
  <c r="BD7" i="21" s="1"/>
  <c r="BH7" i="21" s="1"/>
  <c r="BL7" i="21" s="1"/>
  <c r="H8" i="21"/>
  <c r="L8" i="21" s="1"/>
  <c r="P8" i="21" s="1"/>
  <c r="T8" i="21" s="1"/>
  <c r="X8" i="21" s="1"/>
  <c r="AB8" i="21" s="1"/>
  <c r="AF8" i="21" s="1"/>
  <c r="AJ8" i="21" s="1"/>
  <c r="AN8" i="21" s="1"/>
  <c r="AR8" i="21" s="1"/>
  <c r="AV8" i="21" s="1"/>
  <c r="AZ8" i="21" s="1"/>
  <c r="BD8" i="21" s="1"/>
  <c r="BH8" i="21" s="1"/>
  <c r="BL8" i="21" s="1"/>
  <c r="H9" i="21"/>
  <c r="H10" i="21"/>
  <c r="L10" i="21" s="1"/>
  <c r="P10" i="21" s="1"/>
  <c r="T10" i="21" s="1"/>
  <c r="X10" i="21" s="1"/>
  <c r="AB10" i="21" s="1"/>
  <c r="AF10" i="21" s="1"/>
  <c r="AJ10" i="21" s="1"/>
  <c r="AN10" i="21" s="1"/>
  <c r="AR10" i="21" s="1"/>
  <c r="AV10" i="21" s="1"/>
  <c r="AZ10" i="21" s="1"/>
  <c r="BD10" i="21" s="1"/>
  <c r="BH10" i="21" s="1"/>
  <c r="BL10" i="21" s="1"/>
  <c r="H11" i="21"/>
  <c r="L11" i="21" s="1"/>
  <c r="P11" i="21" s="1"/>
  <c r="T11" i="21" s="1"/>
  <c r="X11" i="21" s="1"/>
  <c r="AB11" i="21" s="1"/>
  <c r="AF11" i="21" s="1"/>
  <c r="AJ11" i="21" s="1"/>
  <c r="AN11" i="21" s="1"/>
  <c r="AR11" i="21" s="1"/>
  <c r="AV11" i="21" s="1"/>
  <c r="AZ11" i="21" s="1"/>
  <c r="BD11" i="21" s="1"/>
  <c r="BH11" i="21" s="1"/>
  <c r="BL11" i="21" s="1"/>
  <c r="H12" i="21"/>
  <c r="L12" i="21" s="1"/>
  <c r="P12" i="21" s="1"/>
  <c r="T12" i="21" s="1"/>
  <c r="X12" i="21" s="1"/>
  <c r="AB12" i="21" s="1"/>
  <c r="AF12" i="21" s="1"/>
  <c r="AJ12" i="21" s="1"/>
  <c r="AN12" i="21" s="1"/>
  <c r="AR12" i="21" s="1"/>
  <c r="AV12" i="21" s="1"/>
  <c r="AZ12" i="21" s="1"/>
  <c r="BD12" i="21" s="1"/>
  <c r="BH12" i="21" s="1"/>
  <c r="BL12" i="21" s="1"/>
  <c r="H13" i="21"/>
  <c r="H14" i="21"/>
  <c r="L14" i="21" s="1"/>
  <c r="P14" i="21" s="1"/>
  <c r="T14" i="21" s="1"/>
  <c r="X14" i="21" s="1"/>
  <c r="AB14" i="21" s="1"/>
  <c r="AF14" i="21" s="1"/>
  <c r="AJ14" i="21" s="1"/>
  <c r="AN14" i="21" s="1"/>
  <c r="AR14" i="21" s="1"/>
  <c r="AV14" i="21" s="1"/>
  <c r="AZ14" i="21" s="1"/>
  <c r="BD14" i="21" s="1"/>
  <c r="BH14" i="21" s="1"/>
  <c r="BL14" i="21" s="1"/>
  <c r="H15" i="21"/>
  <c r="L15" i="21" s="1"/>
  <c r="P15" i="21" s="1"/>
  <c r="T15" i="21" s="1"/>
  <c r="X15" i="21" s="1"/>
  <c r="AB15" i="21" s="1"/>
  <c r="AF15" i="21" s="1"/>
  <c r="AJ15" i="21" s="1"/>
  <c r="AN15" i="21" s="1"/>
  <c r="AR15" i="21" s="1"/>
  <c r="AV15" i="21" s="1"/>
  <c r="AZ15" i="21" s="1"/>
  <c r="BD15" i="21" s="1"/>
  <c r="BH15" i="21" s="1"/>
  <c r="BL15" i="21" s="1"/>
  <c r="H16" i="21"/>
  <c r="L16" i="21" s="1"/>
  <c r="P16" i="21" s="1"/>
  <c r="T16" i="21" s="1"/>
  <c r="X16" i="21" s="1"/>
  <c r="AB16" i="21" s="1"/>
  <c r="AF16" i="21" s="1"/>
  <c r="AJ16" i="21" s="1"/>
  <c r="AN16" i="21" s="1"/>
  <c r="AR16" i="21" s="1"/>
  <c r="AV16" i="21" s="1"/>
  <c r="AZ16" i="21" s="1"/>
  <c r="BD16" i="21" s="1"/>
  <c r="BH16" i="21" s="1"/>
  <c r="BL16" i="21" s="1"/>
  <c r="H17" i="21"/>
  <c r="L17" i="21" s="1"/>
  <c r="P17" i="21" s="1"/>
  <c r="T17" i="21" s="1"/>
  <c r="X17" i="21" s="1"/>
  <c r="AB17" i="21" s="1"/>
  <c r="AF17" i="21" s="1"/>
  <c r="AJ17" i="21" s="1"/>
  <c r="AN17" i="21" s="1"/>
  <c r="AR17" i="21" s="1"/>
  <c r="AV17" i="21" s="1"/>
  <c r="AZ17" i="21" s="1"/>
  <c r="BD17" i="21" s="1"/>
  <c r="BH17" i="21" s="1"/>
  <c r="BL17" i="21" s="1"/>
  <c r="H18" i="21"/>
  <c r="L18" i="21" s="1"/>
  <c r="P18" i="21" s="1"/>
  <c r="T18" i="21" s="1"/>
  <c r="X18" i="21" s="1"/>
  <c r="AB18" i="21" s="1"/>
  <c r="AF18" i="21" s="1"/>
  <c r="AJ18" i="21" s="1"/>
  <c r="AN18" i="21" s="1"/>
  <c r="AR18" i="21" s="1"/>
  <c r="AV18" i="21" s="1"/>
  <c r="AZ18" i="21" s="1"/>
  <c r="BD18" i="21" s="1"/>
  <c r="BH18" i="21" s="1"/>
  <c r="BL18" i="21" s="1"/>
  <c r="H19" i="21"/>
  <c r="H20" i="21"/>
  <c r="H21" i="21"/>
  <c r="L21" i="21" s="1"/>
  <c r="P21" i="21" s="1"/>
  <c r="T21" i="21" s="1"/>
  <c r="X21" i="21" s="1"/>
  <c r="AB21" i="21" s="1"/>
  <c r="AF21" i="21" s="1"/>
  <c r="AJ21" i="21" s="1"/>
  <c r="AN21" i="21" s="1"/>
  <c r="AR21" i="21" s="1"/>
  <c r="AV21" i="21" s="1"/>
  <c r="AZ21" i="21" s="1"/>
  <c r="BD21" i="21" s="1"/>
  <c r="BH21" i="21" s="1"/>
  <c r="BL21" i="21" s="1"/>
  <c r="H22" i="21"/>
  <c r="L22" i="21" s="1"/>
  <c r="P22" i="21" s="1"/>
  <c r="T22" i="21" s="1"/>
  <c r="X22" i="21" s="1"/>
  <c r="AB22" i="21" s="1"/>
  <c r="AF22" i="21" s="1"/>
  <c r="AJ22" i="21" s="1"/>
  <c r="AN22" i="21" s="1"/>
  <c r="AR22" i="21" s="1"/>
  <c r="AV22" i="21" s="1"/>
  <c r="AZ22" i="21" s="1"/>
  <c r="BD22" i="21" s="1"/>
  <c r="BH22" i="21" s="1"/>
  <c r="BL22" i="21" s="1"/>
  <c r="H23" i="21"/>
  <c r="L23" i="21" s="1"/>
  <c r="P23" i="21" s="1"/>
  <c r="T23" i="21" s="1"/>
  <c r="X23" i="21" s="1"/>
  <c r="AB23" i="21" s="1"/>
  <c r="AF23" i="21" s="1"/>
  <c r="AJ23" i="21" s="1"/>
  <c r="AN23" i="21" s="1"/>
  <c r="AR23" i="21" s="1"/>
  <c r="AV23" i="21" s="1"/>
  <c r="AZ23" i="21" s="1"/>
  <c r="BD23" i="21" s="1"/>
  <c r="BH23" i="21" s="1"/>
  <c r="BL23" i="21" s="1"/>
  <c r="H24" i="21"/>
  <c r="L24" i="21" s="1"/>
  <c r="P24" i="21" s="1"/>
  <c r="T24" i="21" s="1"/>
  <c r="X24" i="21" s="1"/>
  <c r="AB24" i="21" s="1"/>
  <c r="AF24" i="21" s="1"/>
  <c r="AJ24" i="21" s="1"/>
  <c r="AN24" i="21" s="1"/>
  <c r="AR24" i="21" s="1"/>
  <c r="AV24" i="21" s="1"/>
  <c r="AZ24" i="21" s="1"/>
  <c r="BD24" i="21" s="1"/>
  <c r="BH24" i="21" s="1"/>
  <c r="BL24" i="21" s="1"/>
  <c r="H25" i="21"/>
  <c r="L25" i="21" s="1"/>
  <c r="P25" i="21" s="1"/>
  <c r="T25" i="21" s="1"/>
  <c r="X25" i="21" s="1"/>
  <c r="AB25" i="21" s="1"/>
  <c r="AF25" i="21" s="1"/>
  <c r="AJ25" i="21" s="1"/>
  <c r="AN25" i="21" s="1"/>
  <c r="AR25" i="21" s="1"/>
  <c r="AV25" i="21" s="1"/>
  <c r="AZ25" i="21" s="1"/>
  <c r="BD25" i="21" s="1"/>
  <c r="BH25" i="21" s="1"/>
  <c r="BL25" i="21" s="1"/>
  <c r="H26" i="21"/>
  <c r="L26" i="21" s="1"/>
  <c r="P26" i="21" s="1"/>
  <c r="T26" i="21" s="1"/>
  <c r="X26" i="21" s="1"/>
  <c r="AB26" i="21" s="1"/>
  <c r="AF26" i="21" s="1"/>
  <c r="AJ26" i="21" s="1"/>
  <c r="AN26" i="21" s="1"/>
  <c r="AR26" i="21" s="1"/>
  <c r="AV26" i="21" s="1"/>
  <c r="AZ26" i="21" s="1"/>
  <c r="BD26" i="21" s="1"/>
  <c r="BH26" i="21" s="1"/>
  <c r="BL26" i="21" s="1"/>
  <c r="H27" i="21"/>
  <c r="L27" i="21" s="1"/>
  <c r="P27" i="21" s="1"/>
  <c r="T27" i="21" s="1"/>
  <c r="X27" i="21" s="1"/>
  <c r="AB27" i="21" s="1"/>
  <c r="AF27" i="21" s="1"/>
  <c r="AJ27" i="21" s="1"/>
  <c r="AN27" i="21" s="1"/>
  <c r="AR27" i="21" s="1"/>
  <c r="AV27" i="21" s="1"/>
  <c r="AZ27" i="21" s="1"/>
  <c r="BD27" i="21" s="1"/>
  <c r="BH27" i="21" s="1"/>
  <c r="BL27" i="21" s="1"/>
  <c r="H28" i="21"/>
  <c r="L28" i="21" s="1"/>
  <c r="P28" i="21" s="1"/>
  <c r="T28" i="21" s="1"/>
  <c r="X28" i="21" s="1"/>
  <c r="AB28" i="21" s="1"/>
  <c r="AF28" i="21" s="1"/>
  <c r="AJ28" i="21" s="1"/>
  <c r="AN28" i="21" s="1"/>
  <c r="AR28" i="21" s="1"/>
  <c r="AV28" i="21" s="1"/>
  <c r="AZ28" i="21" s="1"/>
  <c r="BD28" i="21" s="1"/>
  <c r="BH28" i="21" s="1"/>
  <c r="BL28" i="21" s="1"/>
  <c r="H29" i="21"/>
  <c r="L29" i="21" s="1"/>
  <c r="P29" i="21" s="1"/>
  <c r="T29" i="21" s="1"/>
  <c r="X29" i="21" s="1"/>
  <c r="AB29" i="21" s="1"/>
  <c r="AF29" i="21" s="1"/>
  <c r="AJ29" i="21" s="1"/>
  <c r="AN29" i="21" s="1"/>
  <c r="AR29" i="21" s="1"/>
  <c r="AV29" i="21" s="1"/>
  <c r="AZ29" i="21" s="1"/>
  <c r="BD29" i="21" s="1"/>
  <c r="BH29" i="21" s="1"/>
  <c r="BL29" i="21" s="1"/>
  <c r="H30" i="21"/>
  <c r="L30" i="21" s="1"/>
  <c r="P30" i="21" s="1"/>
  <c r="T30" i="21" s="1"/>
  <c r="X30" i="21" s="1"/>
  <c r="AB30" i="21" s="1"/>
  <c r="AF30" i="21" s="1"/>
  <c r="AJ30" i="21" s="1"/>
  <c r="AN30" i="21" s="1"/>
  <c r="AR30" i="21" s="1"/>
  <c r="AV30" i="21" s="1"/>
  <c r="AZ30" i="21" s="1"/>
  <c r="BD30" i="21" s="1"/>
  <c r="BH30" i="21" s="1"/>
  <c r="BL30" i="21" s="1"/>
  <c r="H31" i="21"/>
  <c r="H32" i="21"/>
  <c r="L32" i="21" s="1"/>
  <c r="P32" i="21" s="1"/>
  <c r="T32" i="21" s="1"/>
  <c r="X32" i="21" s="1"/>
  <c r="AB32" i="21" s="1"/>
  <c r="AF32" i="21" s="1"/>
  <c r="AJ32" i="21" s="1"/>
  <c r="AN32" i="21" s="1"/>
  <c r="AR32" i="21" s="1"/>
  <c r="AV32" i="21" s="1"/>
  <c r="AZ32" i="21" s="1"/>
  <c r="BD32" i="21" s="1"/>
  <c r="BH32" i="21" s="1"/>
  <c r="BL32" i="21" s="1"/>
  <c r="H33" i="21"/>
  <c r="H34" i="21"/>
  <c r="L34" i="21" s="1"/>
  <c r="P34" i="21" s="1"/>
  <c r="T34" i="21" s="1"/>
  <c r="X34" i="21" s="1"/>
  <c r="AB34" i="21" s="1"/>
  <c r="AF34" i="21" s="1"/>
  <c r="AJ34" i="21" s="1"/>
  <c r="AN34" i="21" s="1"/>
  <c r="AR34" i="21" s="1"/>
  <c r="AV34" i="21" s="1"/>
  <c r="AZ34" i="21" s="1"/>
  <c r="BD34" i="21" s="1"/>
  <c r="BH34" i="21" s="1"/>
  <c r="BL34" i="21" s="1"/>
  <c r="H35" i="21"/>
  <c r="L35" i="21" s="1"/>
  <c r="P35" i="21" s="1"/>
  <c r="T35" i="21" s="1"/>
  <c r="X35" i="21" s="1"/>
  <c r="AB35" i="21" s="1"/>
  <c r="AF35" i="21" s="1"/>
  <c r="AJ35" i="21" s="1"/>
  <c r="AN35" i="21" s="1"/>
  <c r="AR35" i="21" s="1"/>
  <c r="AV35" i="21" s="1"/>
  <c r="AZ35" i="21" s="1"/>
  <c r="BD35" i="21" s="1"/>
  <c r="BH35" i="21" s="1"/>
  <c r="BL35" i="21" s="1"/>
  <c r="H36" i="21"/>
  <c r="L36" i="21" s="1"/>
  <c r="P36" i="21" s="1"/>
  <c r="T36" i="21" s="1"/>
  <c r="X36" i="21" s="1"/>
  <c r="AB36" i="21" s="1"/>
  <c r="AF36" i="21" s="1"/>
  <c r="AJ36" i="21" s="1"/>
  <c r="AN36" i="21" s="1"/>
  <c r="AR36" i="21" s="1"/>
  <c r="AV36" i="21" s="1"/>
  <c r="AZ36" i="21" s="1"/>
  <c r="BD36" i="21" s="1"/>
  <c r="BH36" i="21" s="1"/>
  <c r="BL36" i="21" s="1"/>
  <c r="H37" i="21"/>
  <c r="L37" i="21" s="1"/>
  <c r="P37" i="21" s="1"/>
  <c r="T37" i="21" s="1"/>
  <c r="X37" i="21" s="1"/>
  <c r="AB37" i="21" s="1"/>
  <c r="AF37" i="21" s="1"/>
  <c r="AJ37" i="21" s="1"/>
  <c r="AN37" i="21" s="1"/>
  <c r="AR37" i="21" s="1"/>
  <c r="AV37" i="21" s="1"/>
  <c r="AZ37" i="21" s="1"/>
  <c r="BD37" i="21" s="1"/>
  <c r="BH37" i="21" s="1"/>
  <c r="BL37" i="21" s="1"/>
  <c r="H38" i="21"/>
  <c r="L38" i="21" s="1"/>
  <c r="P38" i="21" s="1"/>
  <c r="T38" i="21" s="1"/>
  <c r="X38" i="21" s="1"/>
  <c r="AB38" i="21" s="1"/>
  <c r="AF38" i="21" s="1"/>
  <c r="AJ38" i="21" s="1"/>
  <c r="AN38" i="21" s="1"/>
  <c r="AR38" i="21" s="1"/>
  <c r="AV38" i="21" s="1"/>
  <c r="AZ38" i="21" s="1"/>
  <c r="BD38" i="21" s="1"/>
  <c r="BH38" i="21" s="1"/>
  <c r="BL38" i="21" s="1"/>
  <c r="H39" i="21"/>
  <c r="L39" i="21" s="1"/>
  <c r="P39" i="21" s="1"/>
  <c r="T39" i="21" s="1"/>
  <c r="X39" i="21" s="1"/>
  <c r="AB39" i="21" s="1"/>
  <c r="AF39" i="21" s="1"/>
  <c r="AJ39" i="21" s="1"/>
  <c r="AN39" i="21" s="1"/>
  <c r="AR39" i="21" s="1"/>
  <c r="AV39" i="21" s="1"/>
  <c r="AZ39" i="21" s="1"/>
  <c r="BD39" i="21" s="1"/>
  <c r="BH39" i="21" s="1"/>
  <c r="BL39" i="21" s="1"/>
  <c r="H40" i="21"/>
  <c r="L40" i="21" s="1"/>
  <c r="P40" i="21" s="1"/>
  <c r="T40" i="21" s="1"/>
  <c r="X40" i="21" s="1"/>
  <c r="AB40" i="21" s="1"/>
  <c r="AF40" i="21" s="1"/>
  <c r="AJ40" i="21" s="1"/>
  <c r="AN40" i="21" s="1"/>
  <c r="AR40" i="21" s="1"/>
  <c r="AV40" i="21" s="1"/>
  <c r="AZ40" i="21" s="1"/>
  <c r="BD40" i="21" s="1"/>
  <c r="BH40" i="21" s="1"/>
  <c r="BL40" i="21" s="1"/>
  <c r="H41" i="21"/>
  <c r="L41" i="21" s="1"/>
  <c r="P41" i="21" s="1"/>
  <c r="T41" i="21" s="1"/>
  <c r="X41" i="21" s="1"/>
  <c r="AB41" i="21" s="1"/>
  <c r="AF41" i="21" s="1"/>
  <c r="AJ41" i="21" s="1"/>
  <c r="AN41" i="21" s="1"/>
  <c r="AR41" i="21" s="1"/>
  <c r="AV41" i="21" s="1"/>
  <c r="AZ41" i="21" s="1"/>
  <c r="BD41" i="21" s="1"/>
  <c r="BH41" i="21" s="1"/>
  <c r="BL41" i="21" s="1"/>
  <c r="H42" i="21"/>
  <c r="L42" i="21" s="1"/>
  <c r="P42" i="21" s="1"/>
  <c r="T42" i="21" s="1"/>
  <c r="X42" i="21" s="1"/>
  <c r="AB42" i="21" s="1"/>
  <c r="AF42" i="21" s="1"/>
  <c r="AJ42" i="21" s="1"/>
  <c r="AN42" i="21" s="1"/>
  <c r="AR42" i="21" s="1"/>
  <c r="AV42" i="21" s="1"/>
  <c r="AZ42" i="21" s="1"/>
  <c r="BD42" i="21" s="1"/>
  <c r="BH42" i="21" s="1"/>
  <c r="BL42" i="21" s="1"/>
  <c r="H43" i="21"/>
  <c r="L43" i="21" s="1"/>
  <c r="P43" i="21" s="1"/>
  <c r="T43" i="21" s="1"/>
  <c r="X43" i="21" s="1"/>
  <c r="AB43" i="21" s="1"/>
  <c r="AF43" i="21" s="1"/>
  <c r="AJ43" i="21" s="1"/>
  <c r="AN43" i="21" s="1"/>
  <c r="AR43" i="21" s="1"/>
  <c r="AV43" i="21" s="1"/>
  <c r="AZ43" i="21" s="1"/>
  <c r="BD43" i="21" s="1"/>
  <c r="BH43" i="21" s="1"/>
  <c r="BL43" i="21" s="1"/>
  <c r="H44" i="21"/>
  <c r="L44" i="21" s="1"/>
  <c r="P44" i="21" s="1"/>
  <c r="T44" i="21" s="1"/>
  <c r="X44" i="21" s="1"/>
  <c r="AB44" i="21" s="1"/>
  <c r="AF44" i="21" s="1"/>
  <c r="AJ44" i="21" s="1"/>
  <c r="AN44" i="21" s="1"/>
  <c r="AR44" i="21" s="1"/>
  <c r="AV44" i="21" s="1"/>
  <c r="AZ44" i="21" s="1"/>
  <c r="BD44" i="21" s="1"/>
  <c r="BH44" i="21" s="1"/>
  <c r="BL44" i="21" s="1"/>
  <c r="H45" i="21"/>
  <c r="L45" i="21" s="1"/>
  <c r="P45" i="21" s="1"/>
  <c r="T45" i="21" s="1"/>
  <c r="X45" i="21" s="1"/>
  <c r="AB45" i="21" s="1"/>
  <c r="AF45" i="21" s="1"/>
  <c r="AJ45" i="21" s="1"/>
  <c r="AN45" i="21" s="1"/>
  <c r="AR45" i="21" s="1"/>
  <c r="AV45" i="21" s="1"/>
  <c r="AZ45" i="21" s="1"/>
  <c r="BD45" i="21" s="1"/>
  <c r="BH45" i="21" s="1"/>
  <c r="BL45" i="21" s="1"/>
  <c r="H46" i="21"/>
  <c r="L46" i="21" s="1"/>
  <c r="P46" i="21" s="1"/>
  <c r="T46" i="21" s="1"/>
  <c r="X46" i="21" s="1"/>
  <c r="AB46" i="21" s="1"/>
  <c r="AF46" i="21" s="1"/>
  <c r="AJ46" i="21" s="1"/>
  <c r="AN46" i="21" s="1"/>
  <c r="AR46" i="21" s="1"/>
  <c r="AV46" i="21" s="1"/>
  <c r="AZ46" i="21" s="1"/>
  <c r="BD46" i="21" s="1"/>
  <c r="BH46" i="21" s="1"/>
  <c r="BL46" i="21" s="1"/>
  <c r="H47" i="21"/>
  <c r="L47" i="21" s="1"/>
  <c r="P47" i="21" s="1"/>
  <c r="T47" i="21" s="1"/>
  <c r="X47" i="21" s="1"/>
  <c r="AB47" i="21" s="1"/>
  <c r="AF47" i="21" s="1"/>
  <c r="AJ47" i="21" s="1"/>
  <c r="AN47" i="21" s="1"/>
  <c r="AR47" i="21" s="1"/>
  <c r="AV47" i="21" s="1"/>
  <c r="AZ47" i="21" s="1"/>
  <c r="BD47" i="21" s="1"/>
  <c r="BH47" i="21" s="1"/>
  <c r="BL47" i="21" s="1"/>
  <c r="H48" i="21"/>
  <c r="L48" i="21" s="1"/>
  <c r="P48" i="21" s="1"/>
  <c r="T48" i="21" s="1"/>
  <c r="X48" i="21" s="1"/>
  <c r="AB48" i="21" s="1"/>
  <c r="AF48" i="21" s="1"/>
  <c r="AJ48" i="21" s="1"/>
  <c r="AN48" i="21" s="1"/>
  <c r="AR48" i="21" s="1"/>
  <c r="AV48" i="21" s="1"/>
  <c r="AZ48" i="21" s="1"/>
  <c r="BD48" i="21" s="1"/>
  <c r="BH48" i="21" s="1"/>
  <c r="BL48" i="21" s="1"/>
  <c r="H49" i="21"/>
  <c r="L49" i="21" s="1"/>
  <c r="P49" i="21" s="1"/>
  <c r="T49" i="21" s="1"/>
  <c r="X49" i="21" s="1"/>
  <c r="AB49" i="21" s="1"/>
  <c r="AF49" i="21" s="1"/>
  <c r="AJ49" i="21" s="1"/>
  <c r="AN49" i="21" s="1"/>
  <c r="AR49" i="21" s="1"/>
  <c r="AV49" i="21" s="1"/>
  <c r="AZ49" i="21" s="1"/>
  <c r="BD49" i="21" s="1"/>
  <c r="BH49" i="21" s="1"/>
  <c r="BL49" i="21" s="1"/>
  <c r="H50" i="21"/>
  <c r="L50" i="21" s="1"/>
  <c r="P50" i="21" s="1"/>
  <c r="T50" i="21" s="1"/>
  <c r="X50" i="21" s="1"/>
  <c r="AB50" i="21" s="1"/>
  <c r="AF50" i="21" s="1"/>
  <c r="AJ50" i="21" s="1"/>
  <c r="AN50" i="21" s="1"/>
  <c r="AR50" i="21" s="1"/>
  <c r="AV50" i="21" s="1"/>
  <c r="AZ50" i="21" s="1"/>
  <c r="BD50" i="21" s="1"/>
  <c r="BH50" i="21" s="1"/>
  <c r="BL50" i="21" s="1"/>
  <c r="H51" i="21"/>
  <c r="H52" i="21"/>
  <c r="L52" i="21" s="1"/>
  <c r="P52" i="21" s="1"/>
  <c r="T52" i="21" s="1"/>
  <c r="X52" i="21" s="1"/>
  <c r="AB52" i="21" s="1"/>
  <c r="AF52" i="21" s="1"/>
  <c r="AJ52" i="21" s="1"/>
  <c r="AN52" i="21" s="1"/>
  <c r="AR52" i="21" s="1"/>
  <c r="AV52" i="21" s="1"/>
  <c r="AZ52" i="21" s="1"/>
  <c r="BD52" i="21" s="1"/>
  <c r="BH52" i="21" s="1"/>
  <c r="BL52" i="21" s="1"/>
  <c r="H53" i="21"/>
  <c r="H54" i="21"/>
  <c r="L54" i="21" s="1"/>
  <c r="P54" i="21" s="1"/>
  <c r="T54" i="21" s="1"/>
  <c r="X54" i="21" s="1"/>
  <c r="AB54" i="21" s="1"/>
  <c r="AF54" i="21" s="1"/>
  <c r="AJ54" i="21" s="1"/>
  <c r="AN54" i="21" s="1"/>
  <c r="AR54" i="21" s="1"/>
  <c r="AV54" i="21" s="1"/>
  <c r="AZ54" i="21" s="1"/>
  <c r="BD54" i="21" s="1"/>
  <c r="BH54" i="21" s="1"/>
  <c r="BL54" i="21" s="1"/>
  <c r="H55" i="21"/>
  <c r="L55" i="21" s="1"/>
  <c r="P55" i="21" s="1"/>
  <c r="T55" i="21" s="1"/>
  <c r="X55" i="21" s="1"/>
  <c r="AB55" i="21" s="1"/>
  <c r="AF55" i="21" s="1"/>
  <c r="AJ55" i="21" s="1"/>
  <c r="AN55" i="21" s="1"/>
  <c r="AR55" i="21" s="1"/>
  <c r="AV55" i="21" s="1"/>
  <c r="AZ55" i="21" s="1"/>
  <c r="BD55" i="21" s="1"/>
  <c r="BH55" i="21" s="1"/>
  <c r="BL55" i="21" s="1"/>
  <c r="H56" i="21"/>
  <c r="L56" i="21" s="1"/>
  <c r="P56" i="21" s="1"/>
  <c r="T56" i="21" s="1"/>
  <c r="X56" i="21" s="1"/>
  <c r="AB56" i="21" s="1"/>
  <c r="AF56" i="21" s="1"/>
  <c r="AJ56" i="21" s="1"/>
  <c r="AN56" i="21" s="1"/>
  <c r="AR56" i="21" s="1"/>
  <c r="AV56" i="21" s="1"/>
  <c r="AZ56" i="21" s="1"/>
  <c r="BD56" i="21" s="1"/>
  <c r="BH56" i="21" s="1"/>
  <c r="BL56" i="21" s="1"/>
  <c r="H57" i="21"/>
  <c r="L57" i="21" s="1"/>
  <c r="P57" i="21" s="1"/>
  <c r="T57" i="21" s="1"/>
  <c r="X57" i="21" s="1"/>
  <c r="AB57" i="21" s="1"/>
  <c r="AF57" i="21" s="1"/>
  <c r="AJ57" i="21" s="1"/>
  <c r="AN57" i="21" s="1"/>
  <c r="AR57" i="21" s="1"/>
  <c r="AV57" i="21" s="1"/>
  <c r="AZ57" i="21" s="1"/>
  <c r="BD57" i="21" s="1"/>
  <c r="BH57" i="21" s="1"/>
  <c r="BL57" i="21" s="1"/>
  <c r="H58" i="21"/>
  <c r="L58" i="21" s="1"/>
  <c r="P58" i="21" s="1"/>
  <c r="T58" i="21" s="1"/>
  <c r="X58" i="21" s="1"/>
  <c r="AB58" i="21" s="1"/>
  <c r="AF58" i="21" s="1"/>
  <c r="AJ58" i="21" s="1"/>
  <c r="AN58" i="21" s="1"/>
  <c r="AR58" i="21" s="1"/>
  <c r="AV58" i="21" s="1"/>
  <c r="AZ58" i="21" s="1"/>
  <c r="BD58" i="21" s="1"/>
  <c r="BH58" i="21" s="1"/>
  <c r="BL58" i="21" s="1"/>
  <c r="H59" i="21"/>
  <c r="L59" i="21" s="1"/>
  <c r="P59" i="21" s="1"/>
  <c r="T59" i="21" s="1"/>
  <c r="X59" i="21" s="1"/>
  <c r="AB59" i="21" s="1"/>
  <c r="AF59" i="21" s="1"/>
  <c r="AJ59" i="21" s="1"/>
  <c r="AN59" i="21" s="1"/>
  <c r="AR59" i="21" s="1"/>
  <c r="AV59" i="21" s="1"/>
  <c r="AZ59" i="21" s="1"/>
  <c r="BD59" i="21" s="1"/>
  <c r="BH59" i="21" s="1"/>
  <c r="BL59" i="21" s="1"/>
  <c r="H60" i="21"/>
  <c r="L60" i="21" s="1"/>
  <c r="P60" i="21" s="1"/>
  <c r="T60" i="21" s="1"/>
  <c r="X60" i="21" s="1"/>
  <c r="AB60" i="21" s="1"/>
  <c r="AF60" i="21" s="1"/>
  <c r="AJ60" i="21" s="1"/>
  <c r="AN60" i="21" s="1"/>
  <c r="AR60" i="21" s="1"/>
  <c r="AV60" i="21" s="1"/>
  <c r="AZ60" i="21" s="1"/>
  <c r="BD60" i="21" s="1"/>
  <c r="BH60" i="21" s="1"/>
  <c r="BL60" i="21" s="1"/>
  <c r="H61" i="21"/>
  <c r="H62" i="21"/>
  <c r="L62" i="21" s="1"/>
  <c r="P62" i="21" s="1"/>
  <c r="T62" i="21" s="1"/>
  <c r="X62" i="21" s="1"/>
  <c r="AB62" i="21" s="1"/>
  <c r="AF62" i="21" s="1"/>
  <c r="AJ62" i="21" s="1"/>
  <c r="AN62" i="21" s="1"/>
  <c r="AR62" i="21" s="1"/>
  <c r="AV62" i="21" s="1"/>
  <c r="AZ62" i="21" s="1"/>
  <c r="BD62" i="21" s="1"/>
  <c r="BH62" i="21" s="1"/>
  <c r="BL62" i="21" s="1"/>
  <c r="H63" i="21"/>
  <c r="L63" i="21" s="1"/>
  <c r="P63" i="21" s="1"/>
  <c r="T63" i="21" s="1"/>
  <c r="X63" i="21" s="1"/>
  <c r="AB63" i="21" s="1"/>
  <c r="AF63" i="21" s="1"/>
  <c r="AJ63" i="21" s="1"/>
  <c r="AN63" i="21" s="1"/>
  <c r="AR63" i="21" s="1"/>
  <c r="AV63" i="21" s="1"/>
  <c r="AZ63" i="21" s="1"/>
  <c r="BD63" i="21" s="1"/>
  <c r="BH63" i="21" s="1"/>
  <c r="BL63" i="21" s="1"/>
  <c r="H64" i="21"/>
  <c r="L64" i="21" s="1"/>
  <c r="P64" i="21" s="1"/>
  <c r="T64" i="21" s="1"/>
  <c r="X64" i="21" s="1"/>
  <c r="AB64" i="21" s="1"/>
  <c r="AF64" i="21" s="1"/>
  <c r="AJ64" i="21" s="1"/>
  <c r="AN64" i="21" s="1"/>
  <c r="AR64" i="21" s="1"/>
  <c r="AV64" i="21" s="1"/>
  <c r="AZ64" i="21" s="1"/>
  <c r="BD64" i="21" s="1"/>
  <c r="BH64" i="21" s="1"/>
  <c r="BL64" i="21" s="1"/>
  <c r="H65" i="21"/>
  <c r="L65" i="21" s="1"/>
  <c r="P65" i="21" s="1"/>
  <c r="T65" i="21" s="1"/>
  <c r="X65" i="21" s="1"/>
  <c r="AB65" i="21" s="1"/>
  <c r="AF65" i="21" s="1"/>
  <c r="AJ65" i="21" s="1"/>
  <c r="AN65" i="21" s="1"/>
  <c r="AR65" i="21" s="1"/>
  <c r="AV65" i="21" s="1"/>
  <c r="AZ65" i="21" s="1"/>
  <c r="BD65" i="21" s="1"/>
  <c r="BH65" i="21" s="1"/>
  <c r="BL65" i="21" s="1"/>
  <c r="H66" i="21"/>
  <c r="L66" i="21" s="1"/>
  <c r="P66" i="21" s="1"/>
  <c r="T66" i="21" s="1"/>
  <c r="X66" i="21" s="1"/>
  <c r="AB66" i="21" s="1"/>
  <c r="AF66" i="21" s="1"/>
  <c r="AJ66" i="21" s="1"/>
  <c r="AN66" i="21" s="1"/>
  <c r="AR66" i="21" s="1"/>
  <c r="AV66" i="21" s="1"/>
  <c r="AZ66" i="21" s="1"/>
  <c r="BD66" i="21" s="1"/>
  <c r="BH66" i="21" s="1"/>
  <c r="BL66" i="21" s="1"/>
  <c r="H67" i="21"/>
  <c r="L67" i="21" s="1"/>
  <c r="P67" i="21" s="1"/>
  <c r="T67" i="21" s="1"/>
  <c r="X67" i="21" s="1"/>
  <c r="AB67" i="21" s="1"/>
  <c r="AF67" i="21" s="1"/>
  <c r="AJ67" i="21" s="1"/>
  <c r="AN67" i="21" s="1"/>
  <c r="AR67" i="21" s="1"/>
  <c r="AV67" i="21" s="1"/>
  <c r="AZ67" i="21" s="1"/>
  <c r="BD67" i="21" s="1"/>
  <c r="BH67" i="21" s="1"/>
  <c r="BL67" i="21" s="1"/>
  <c r="H68" i="21"/>
  <c r="H69" i="21"/>
  <c r="H70" i="21"/>
  <c r="L70" i="21" s="1"/>
  <c r="P70" i="21" s="1"/>
  <c r="T70" i="21" s="1"/>
  <c r="X70" i="21" s="1"/>
  <c r="AB70" i="21" s="1"/>
  <c r="AF70" i="21" s="1"/>
  <c r="AJ70" i="21" s="1"/>
  <c r="AN70" i="21" s="1"/>
  <c r="AR70" i="21" s="1"/>
  <c r="AV70" i="21" s="1"/>
  <c r="AZ70" i="21" s="1"/>
  <c r="BD70" i="21" s="1"/>
  <c r="BH70" i="21" s="1"/>
  <c r="BL70" i="21" s="1"/>
  <c r="H71" i="21"/>
  <c r="L71" i="21" s="1"/>
  <c r="P71" i="21" s="1"/>
  <c r="T71" i="21" s="1"/>
  <c r="X71" i="21" s="1"/>
  <c r="AB71" i="21" s="1"/>
  <c r="AF71" i="21" s="1"/>
  <c r="AJ71" i="21" s="1"/>
  <c r="AN71" i="21" s="1"/>
  <c r="AR71" i="21" s="1"/>
  <c r="AV71" i="21" s="1"/>
  <c r="AZ71" i="21" s="1"/>
  <c r="BD71" i="21" s="1"/>
  <c r="BH71" i="21" s="1"/>
  <c r="BL71" i="21" s="1"/>
  <c r="H72" i="21"/>
  <c r="H73" i="21"/>
  <c r="L73" i="21" s="1"/>
  <c r="P73" i="21" s="1"/>
  <c r="T73" i="21" s="1"/>
  <c r="X73" i="21" s="1"/>
  <c r="AB73" i="21" s="1"/>
  <c r="AF73" i="21" s="1"/>
  <c r="AJ73" i="21" s="1"/>
  <c r="AN73" i="21" s="1"/>
  <c r="AR73" i="21" s="1"/>
  <c r="AV73" i="21" s="1"/>
  <c r="AZ73" i="21" s="1"/>
  <c r="BD73" i="21" s="1"/>
  <c r="BH73" i="21" s="1"/>
  <c r="BL73" i="21" s="1"/>
  <c r="H74" i="21"/>
  <c r="L74" i="21" s="1"/>
  <c r="P74" i="21" s="1"/>
  <c r="T74" i="21" s="1"/>
  <c r="X74" i="21" s="1"/>
  <c r="AB74" i="21" s="1"/>
  <c r="AF74" i="21" s="1"/>
  <c r="AJ74" i="21" s="1"/>
  <c r="AN74" i="21" s="1"/>
  <c r="AR74" i="21" s="1"/>
  <c r="AV74" i="21" s="1"/>
  <c r="AZ74" i="21" s="1"/>
  <c r="BD74" i="21" s="1"/>
  <c r="BH74" i="21" s="1"/>
  <c r="BL74" i="21" s="1"/>
  <c r="H75" i="21"/>
  <c r="L75" i="21" s="1"/>
  <c r="P75" i="21" s="1"/>
  <c r="T75" i="21" s="1"/>
  <c r="X75" i="21" s="1"/>
  <c r="AB75" i="21" s="1"/>
  <c r="AF75" i="21" s="1"/>
  <c r="AJ75" i="21" s="1"/>
  <c r="AN75" i="21" s="1"/>
  <c r="AR75" i="21" s="1"/>
  <c r="AV75" i="21" s="1"/>
  <c r="AZ75" i="21" s="1"/>
  <c r="BD75" i="21" s="1"/>
  <c r="BH75" i="21" s="1"/>
  <c r="BL75" i="21" s="1"/>
  <c r="H76" i="21"/>
  <c r="L76" i="21" s="1"/>
  <c r="P76" i="21" s="1"/>
  <c r="T76" i="21" s="1"/>
  <c r="X76" i="21" s="1"/>
  <c r="AB76" i="21" s="1"/>
  <c r="AF76" i="21" s="1"/>
  <c r="AJ76" i="21" s="1"/>
  <c r="AN76" i="21" s="1"/>
  <c r="AR76" i="21" s="1"/>
  <c r="AV76" i="21" s="1"/>
  <c r="AZ76" i="21" s="1"/>
  <c r="BD76" i="21" s="1"/>
  <c r="BH76" i="21" s="1"/>
  <c r="BL76" i="21" s="1"/>
  <c r="H77" i="21"/>
  <c r="L77" i="21" s="1"/>
  <c r="P77" i="21" s="1"/>
  <c r="T77" i="21" s="1"/>
  <c r="X77" i="21" s="1"/>
  <c r="AB77" i="21" s="1"/>
  <c r="AF77" i="21" s="1"/>
  <c r="AJ77" i="21" s="1"/>
  <c r="AN77" i="21" s="1"/>
  <c r="AR77" i="21" s="1"/>
  <c r="AV77" i="21" s="1"/>
  <c r="AZ77" i="21" s="1"/>
  <c r="BD77" i="21" s="1"/>
  <c r="BH77" i="21" s="1"/>
  <c r="BL77" i="21" s="1"/>
  <c r="H78" i="21"/>
  <c r="L78" i="21" s="1"/>
  <c r="P78" i="21" s="1"/>
  <c r="T78" i="21" s="1"/>
  <c r="X78" i="21" s="1"/>
  <c r="AB78" i="21" s="1"/>
  <c r="AF78" i="21" s="1"/>
  <c r="AJ78" i="21" s="1"/>
  <c r="AN78" i="21" s="1"/>
  <c r="AR78" i="21" s="1"/>
  <c r="AV78" i="21" s="1"/>
  <c r="AZ78" i="21" s="1"/>
  <c r="BD78" i="21" s="1"/>
  <c r="BH78" i="21" s="1"/>
  <c r="BL78" i="21" s="1"/>
  <c r="H79" i="21"/>
  <c r="L79" i="21" s="1"/>
  <c r="P79" i="21" s="1"/>
  <c r="T79" i="21" s="1"/>
  <c r="X79" i="21" s="1"/>
  <c r="AB79" i="21" s="1"/>
  <c r="AF79" i="21" s="1"/>
  <c r="AJ79" i="21" s="1"/>
  <c r="AN79" i="21" s="1"/>
  <c r="AR79" i="21" s="1"/>
  <c r="AV79" i="21" s="1"/>
  <c r="AZ79" i="21" s="1"/>
  <c r="BD79" i="21" s="1"/>
  <c r="BH79" i="21" s="1"/>
  <c r="BL79" i="21" s="1"/>
  <c r="H80" i="21"/>
  <c r="L80" i="21" s="1"/>
  <c r="P80" i="21" s="1"/>
  <c r="T80" i="21" s="1"/>
  <c r="X80" i="21" s="1"/>
  <c r="AB80" i="21" s="1"/>
  <c r="AF80" i="21" s="1"/>
  <c r="AJ80" i="21" s="1"/>
  <c r="AN80" i="21" s="1"/>
  <c r="AR80" i="21" s="1"/>
  <c r="AV80" i="21" s="1"/>
  <c r="AZ80" i="21" s="1"/>
  <c r="BD80" i="21" s="1"/>
  <c r="BH80" i="21" s="1"/>
  <c r="BL80" i="21" s="1"/>
  <c r="H81" i="21"/>
  <c r="L81" i="21" s="1"/>
  <c r="P81" i="21" s="1"/>
  <c r="T81" i="21" s="1"/>
  <c r="X81" i="21" s="1"/>
  <c r="AB81" i="21" s="1"/>
  <c r="AF81" i="21" s="1"/>
  <c r="AJ81" i="21" s="1"/>
  <c r="AN81" i="21" s="1"/>
  <c r="AR81" i="21" s="1"/>
  <c r="AV81" i="21" s="1"/>
  <c r="AZ81" i="21" s="1"/>
  <c r="BD81" i="21" s="1"/>
  <c r="BH81" i="21" s="1"/>
  <c r="BL81" i="21" s="1"/>
  <c r="H82" i="21"/>
  <c r="L82" i="21" s="1"/>
  <c r="P82" i="21" s="1"/>
  <c r="T82" i="21" s="1"/>
  <c r="X82" i="21" s="1"/>
  <c r="AB82" i="21" s="1"/>
  <c r="AF82" i="21" s="1"/>
  <c r="AJ82" i="21" s="1"/>
  <c r="AN82" i="21" s="1"/>
  <c r="AR82" i="21" s="1"/>
  <c r="AV82" i="21" s="1"/>
  <c r="AZ82" i="21" s="1"/>
  <c r="BD82" i="21" s="1"/>
  <c r="BH82" i="21" s="1"/>
  <c r="BL82" i="21" s="1"/>
  <c r="H83" i="21"/>
  <c r="L83" i="21" s="1"/>
  <c r="P83" i="21" s="1"/>
  <c r="T83" i="21" s="1"/>
  <c r="X83" i="21" s="1"/>
  <c r="AB83" i="21" s="1"/>
  <c r="AF83" i="21" s="1"/>
  <c r="AJ83" i="21" s="1"/>
  <c r="AN83" i="21" s="1"/>
  <c r="AR83" i="21" s="1"/>
  <c r="AV83" i="21" s="1"/>
  <c r="AZ83" i="21" s="1"/>
  <c r="BD83" i="21" s="1"/>
  <c r="BH83" i="21" s="1"/>
  <c r="BL83" i="21" s="1"/>
  <c r="H84" i="21"/>
  <c r="L84" i="21" s="1"/>
  <c r="P84" i="21" s="1"/>
  <c r="T84" i="21" s="1"/>
  <c r="X84" i="21" s="1"/>
  <c r="AB84" i="21" s="1"/>
  <c r="AF84" i="21" s="1"/>
  <c r="AJ84" i="21" s="1"/>
  <c r="AN84" i="21" s="1"/>
  <c r="AR84" i="21" s="1"/>
  <c r="AV84" i="21" s="1"/>
  <c r="AZ84" i="21" s="1"/>
  <c r="BD84" i="21" s="1"/>
  <c r="BH84" i="21" s="1"/>
  <c r="BL84" i="21" s="1"/>
  <c r="H85" i="21"/>
  <c r="L85" i="21" s="1"/>
  <c r="P85" i="21" s="1"/>
  <c r="T85" i="21" s="1"/>
  <c r="X85" i="21" s="1"/>
  <c r="AB85" i="21" s="1"/>
  <c r="AF85" i="21" s="1"/>
  <c r="AJ85" i="21" s="1"/>
  <c r="AN85" i="21" s="1"/>
  <c r="AR85" i="21" s="1"/>
  <c r="AV85" i="21" s="1"/>
  <c r="AZ85" i="21" s="1"/>
  <c r="BD85" i="21" s="1"/>
  <c r="BH85" i="21" s="1"/>
  <c r="BL85" i="21" s="1"/>
  <c r="H86" i="21"/>
  <c r="L86" i="21" s="1"/>
  <c r="P86" i="21" s="1"/>
  <c r="T86" i="21" s="1"/>
  <c r="X86" i="21" s="1"/>
  <c r="AB86" i="21" s="1"/>
  <c r="AF86" i="21" s="1"/>
  <c r="AJ86" i="21" s="1"/>
  <c r="AN86" i="21" s="1"/>
  <c r="AR86" i="21" s="1"/>
  <c r="AV86" i="21" s="1"/>
  <c r="AZ86" i="21" s="1"/>
  <c r="BD86" i="21" s="1"/>
  <c r="BH86" i="21" s="1"/>
  <c r="BL86" i="21" s="1"/>
  <c r="H87" i="21"/>
  <c r="L87" i="21" s="1"/>
  <c r="P87" i="21" s="1"/>
  <c r="T87" i="21" s="1"/>
  <c r="X87" i="21" s="1"/>
  <c r="AB87" i="21" s="1"/>
  <c r="AF87" i="21" s="1"/>
  <c r="AJ87" i="21" s="1"/>
  <c r="AN87" i="21" s="1"/>
  <c r="AR87" i="21" s="1"/>
  <c r="AV87" i="21" s="1"/>
  <c r="AZ87" i="21" s="1"/>
  <c r="BD87" i="21" s="1"/>
  <c r="BH87" i="21" s="1"/>
  <c r="BL87" i="21" s="1"/>
  <c r="H88" i="21"/>
  <c r="L88" i="21" s="1"/>
  <c r="P88" i="21" s="1"/>
  <c r="T88" i="21" s="1"/>
  <c r="X88" i="21" s="1"/>
  <c r="AB88" i="21" s="1"/>
  <c r="AF88" i="21" s="1"/>
  <c r="AJ88" i="21" s="1"/>
  <c r="AN88" i="21" s="1"/>
  <c r="AR88" i="21" s="1"/>
  <c r="AV88" i="21" s="1"/>
  <c r="AZ88" i="21" s="1"/>
  <c r="BD88" i="21" s="1"/>
  <c r="BH88" i="21" s="1"/>
  <c r="BL88" i="21" s="1"/>
  <c r="H89" i="21"/>
  <c r="L89" i="21" s="1"/>
  <c r="P89" i="21" s="1"/>
  <c r="T89" i="21" s="1"/>
  <c r="X89" i="21" s="1"/>
  <c r="AB89" i="21" s="1"/>
  <c r="AF89" i="21" s="1"/>
  <c r="AJ89" i="21" s="1"/>
  <c r="AN89" i="21" s="1"/>
  <c r="AR89" i="21" s="1"/>
  <c r="AV89" i="21" s="1"/>
  <c r="AZ89" i="21" s="1"/>
  <c r="BD89" i="21" s="1"/>
  <c r="BH89" i="21" s="1"/>
  <c r="BL89" i="21" s="1"/>
  <c r="H90" i="21"/>
  <c r="L90" i="21" s="1"/>
  <c r="P90" i="21" s="1"/>
  <c r="T90" i="21" s="1"/>
  <c r="X90" i="21" s="1"/>
  <c r="AB90" i="21" s="1"/>
  <c r="AF90" i="21" s="1"/>
  <c r="AJ90" i="21" s="1"/>
  <c r="AN90" i="21" s="1"/>
  <c r="AR90" i="21" s="1"/>
  <c r="AV90" i="21" s="1"/>
  <c r="AZ90" i="21" s="1"/>
  <c r="BD90" i="21" s="1"/>
  <c r="BH90" i="21" s="1"/>
  <c r="BL90" i="21" s="1"/>
  <c r="H91" i="21"/>
  <c r="H92" i="21"/>
  <c r="L92" i="21" s="1"/>
  <c r="P92" i="21" s="1"/>
  <c r="T92" i="21" s="1"/>
  <c r="X92" i="21" s="1"/>
  <c r="AB92" i="21" s="1"/>
  <c r="AF92" i="21" s="1"/>
  <c r="AJ92" i="21" s="1"/>
  <c r="AN92" i="21" s="1"/>
  <c r="AR92" i="21" s="1"/>
  <c r="AV92" i="21" s="1"/>
  <c r="AZ92" i="21" s="1"/>
  <c r="BD92" i="21" s="1"/>
  <c r="BH92" i="21" s="1"/>
  <c r="BL92" i="21" s="1"/>
  <c r="H93" i="21"/>
  <c r="L93" i="21" s="1"/>
  <c r="P93" i="21" s="1"/>
  <c r="T93" i="21" s="1"/>
  <c r="X93" i="21" s="1"/>
  <c r="AB93" i="21" s="1"/>
  <c r="AF93" i="21" s="1"/>
  <c r="AJ93" i="21" s="1"/>
  <c r="AN93" i="21" s="1"/>
  <c r="AR93" i="21" s="1"/>
  <c r="AV93" i="21" s="1"/>
  <c r="AZ93" i="21" s="1"/>
  <c r="BD93" i="21" s="1"/>
  <c r="BH93" i="21" s="1"/>
  <c r="BL93" i="21" s="1"/>
  <c r="H94" i="21"/>
  <c r="L94" i="21" s="1"/>
  <c r="P94" i="21" s="1"/>
  <c r="T94" i="21" s="1"/>
  <c r="X94" i="21" s="1"/>
  <c r="AB94" i="21" s="1"/>
  <c r="AF94" i="21" s="1"/>
  <c r="AJ94" i="21" s="1"/>
  <c r="AN94" i="21" s="1"/>
  <c r="AR94" i="21" s="1"/>
  <c r="AV94" i="21" s="1"/>
  <c r="AZ94" i="21" s="1"/>
  <c r="BD94" i="21" s="1"/>
  <c r="BH94" i="21" s="1"/>
  <c r="BL94" i="21" s="1"/>
  <c r="H95" i="21"/>
  <c r="L95" i="21" s="1"/>
  <c r="P95" i="21" s="1"/>
  <c r="T95" i="21" s="1"/>
  <c r="X95" i="21" s="1"/>
  <c r="AB95" i="21" s="1"/>
  <c r="AF95" i="21" s="1"/>
  <c r="AJ95" i="21" s="1"/>
  <c r="AN95" i="21" s="1"/>
  <c r="AR95" i="21" s="1"/>
  <c r="AV95" i="21" s="1"/>
  <c r="AZ95" i="21" s="1"/>
  <c r="BD95" i="21" s="1"/>
  <c r="BH95" i="21" s="1"/>
  <c r="BL95" i="21" s="1"/>
  <c r="H96" i="21"/>
  <c r="L96" i="21" s="1"/>
  <c r="P96" i="21" s="1"/>
  <c r="T96" i="21" s="1"/>
  <c r="X96" i="21" s="1"/>
  <c r="AB96" i="21" s="1"/>
  <c r="AF96" i="21" s="1"/>
  <c r="AJ96" i="21" s="1"/>
  <c r="AN96" i="21" s="1"/>
  <c r="AR96" i="21" s="1"/>
  <c r="AV96" i="21" s="1"/>
  <c r="AZ96" i="21" s="1"/>
  <c r="BD96" i="21" s="1"/>
  <c r="BH96" i="21" s="1"/>
  <c r="BL96" i="21" s="1"/>
  <c r="H97" i="21"/>
  <c r="L97" i="21" s="1"/>
  <c r="P97" i="21" s="1"/>
  <c r="T97" i="21" s="1"/>
  <c r="X97" i="21" s="1"/>
  <c r="AB97" i="21" s="1"/>
  <c r="AF97" i="21" s="1"/>
  <c r="AJ97" i="21" s="1"/>
  <c r="AN97" i="21" s="1"/>
  <c r="AR97" i="21" s="1"/>
  <c r="AV97" i="21" s="1"/>
  <c r="AZ97" i="21" s="1"/>
  <c r="BD97" i="21" s="1"/>
  <c r="BH97" i="21" s="1"/>
  <c r="BL97" i="21" s="1"/>
  <c r="H98" i="21"/>
  <c r="L98" i="21" s="1"/>
  <c r="P98" i="21" s="1"/>
  <c r="T98" i="21" s="1"/>
  <c r="X98" i="21" s="1"/>
  <c r="AB98" i="21" s="1"/>
  <c r="AF98" i="21" s="1"/>
  <c r="AJ98" i="21" s="1"/>
  <c r="AN98" i="21" s="1"/>
  <c r="AR98" i="21" s="1"/>
  <c r="AV98" i="21" s="1"/>
  <c r="AZ98" i="21" s="1"/>
  <c r="BD98" i="21" s="1"/>
  <c r="BH98" i="21" s="1"/>
  <c r="BL98" i="21" s="1"/>
  <c r="H99" i="21"/>
  <c r="L99" i="21" s="1"/>
  <c r="P99" i="21" s="1"/>
  <c r="T99" i="21" s="1"/>
  <c r="X99" i="21" s="1"/>
  <c r="AB99" i="21" s="1"/>
  <c r="AF99" i="21" s="1"/>
  <c r="AJ99" i="21" s="1"/>
  <c r="AN99" i="21" s="1"/>
  <c r="AR99" i="21" s="1"/>
  <c r="AV99" i="21" s="1"/>
  <c r="AZ99" i="21" s="1"/>
  <c r="BD99" i="21" s="1"/>
  <c r="BH99" i="21" s="1"/>
  <c r="BL99" i="21" s="1"/>
  <c r="H100" i="21"/>
  <c r="H101" i="21"/>
  <c r="L101" i="21" s="1"/>
  <c r="P101" i="21" s="1"/>
  <c r="T101" i="21" s="1"/>
  <c r="X101" i="21" s="1"/>
  <c r="AB101" i="21" s="1"/>
  <c r="AF101" i="21" s="1"/>
  <c r="AJ101" i="21" s="1"/>
  <c r="AN101" i="21" s="1"/>
  <c r="AR101" i="21" s="1"/>
  <c r="AV101" i="21" s="1"/>
  <c r="AZ101" i="21" s="1"/>
  <c r="BD101" i="21" s="1"/>
  <c r="BH101" i="21" s="1"/>
  <c r="BL101" i="21" s="1"/>
  <c r="H102" i="21"/>
  <c r="L102" i="21" s="1"/>
  <c r="P102" i="21" s="1"/>
  <c r="T102" i="21" s="1"/>
  <c r="X102" i="21" s="1"/>
  <c r="AB102" i="21" s="1"/>
  <c r="AF102" i="21" s="1"/>
  <c r="AJ102" i="21" s="1"/>
  <c r="AN102" i="21" s="1"/>
  <c r="AR102" i="21" s="1"/>
  <c r="AV102" i="21" s="1"/>
  <c r="AZ102" i="21" s="1"/>
  <c r="BD102" i="21" s="1"/>
  <c r="BH102" i="21" s="1"/>
  <c r="BL102" i="21" s="1"/>
  <c r="H103" i="21"/>
  <c r="L103" i="21" s="1"/>
  <c r="P103" i="21" s="1"/>
  <c r="T103" i="21" s="1"/>
  <c r="X103" i="21" s="1"/>
  <c r="AB103" i="21" s="1"/>
  <c r="AF103" i="21" s="1"/>
  <c r="AJ103" i="21" s="1"/>
  <c r="AN103" i="21" s="1"/>
  <c r="AR103" i="21" s="1"/>
  <c r="AV103" i="21" s="1"/>
  <c r="AZ103" i="21" s="1"/>
  <c r="BD103" i="21" s="1"/>
  <c r="BH103" i="21" s="1"/>
  <c r="BL103" i="21" s="1"/>
  <c r="H104" i="21"/>
  <c r="L104" i="21" s="1"/>
  <c r="P104" i="21" s="1"/>
  <c r="T104" i="21" s="1"/>
  <c r="X104" i="21" s="1"/>
  <c r="AB104" i="21" s="1"/>
  <c r="AF104" i="21" s="1"/>
  <c r="AJ104" i="21" s="1"/>
  <c r="AN104" i="21" s="1"/>
  <c r="AR104" i="21" s="1"/>
  <c r="AV104" i="21" s="1"/>
  <c r="AZ104" i="21" s="1"/>
  <c r="BD104" i="21" s="1"/>
  <c r="BH104" i="21" s="1"/>
  <c r="BL104" i="21" s="1"/>
  <c r="H105" i="21"/>
  <c r="L105" i="21" s="1"/>
  <c r="P105" i="21" s="1"/>
  <c r="T105" i="21" s="1"/>
  <c r="X105" i="21" s="1"/>
  <c r="AB105" i="21" s="1"/>
  <c r="AF105" i="21" s="1"/>
  <c r="AJ105" i="21" s="1"/>
  <c r="AN105" i="21" s="1"/>
  <c r="AR105" i="21" s="1"/>
  <c r="AV105" i="21" s="1"/>
  <c r="AZ105" i="21" s="1"/>
  <c r="BD105" i="21" s="1"/>
  <c r="BH105" i="21" s="1"/>
  <c r="BL105" i="21" s="1"/>
  <c r="H106" i="21"/>
  <c r="H107" i="21"/>
  <c r="L107" i="21" s="1"/>
  <c r="P107" i="21" s="1"/>
  <c r="T107" i="21" s="1"/>
  <c r="X107" i="21" s="1"/>
  <c r="AB107" i="21" s="1"/>
  <c r="AF107" i="21" s="1"/>
  <c r="AJ107" i="21" s="1"/>
  <c r="AN107" i="21" s="1"/>
  <c r="AR107" i="21" s="1"/>
  <c r="AV107" i="21" s="1"/>
  <c r="AZ107" i="21" s="1"/>
  <c r="BD107" i="21" s="1"/>
  <c r="BH107" i="21" s="1"/>
  <c r="BL107" i="21" s="1"/>
  <c r="H108" i="21"/>
  <c r="L108" i="21" s="1"/>
  <c r="P108" i="21" s="1"/>
  <c r="T108" i="21" s="1"/>
  <c r="X108" i="21" s="1"/>
  <c r="AB108" i="21" s="1"/>
  <c r="AF108" i="21" s="1"/>
  <c r="AJ108" i="21" s="1"/>
  <c r="AN108" i="21" s="1"/>
  <c r="AR108" i="21" s="1"/>
  <c r="AV108" i="21" s="1"/>
  <c r="AZ108" i="21" s="1"/>
  <c r="BD108" i="21" s="1"/>
  <c r="BH108" i="21" s="1"/>
  <c r="BL108" i="21" s="1"/>
  <c r="H109" i="21"/>
  <c r="L109" i="21" s="1"/>
  <c r="P109" i="21" s="1"/>
  <c r="T109" i="21" s="1"/>
  <c r="X109" i="21" s="1"/>
  <c r="AB109" i="21" s="1"/>
  <c r="AF109" i="21" s="1"/>
  <c r="AJ109" i="21" s="1"/>
  <c r="AN109" i="21" s="1"/>
  <c r="AR109" i="21" s="1"/>
  <c r="AV109" i="21" s="1"/>
  <c r="AZ109" i="21" s="1"/>
  <c r="BD109" i="21" s="1"/>
  <c r="BH109" i="21" s="1"/>
  <c r="BL109" i="21" s="1"/>
  <c r="H110" i="21"/>
  <c r="L110" i="21" s="1"/>
  <c r="P110" i="21" s="1"/>
  <c r="T110" i="21" s="1"/>
  <c r="X110" i="21" s="1"/>
  <c r="AB110" i="21" s="1"/>
  <c r="AF110" i="21" s="1"/>
  <c r="AJ110" i="21" s="1"/>
  <c r="AN110" i="21" s="1"/>
  <c r="AR110" i="21" s="1"/>
  <c r="AV110" i="21" s="1"/>
  <c r="AZ110" i="21" s="1"/>
  <c r="BD110" i="21" s="1"/>
  <c r="BH110" i="21" s="1"/>
  <c r="BL110" i="21" s="1"/>
  <c r="H111" i="21"/>
  <c r="L111" i="21" s="1"/>
  <c r="P111" i="21" s="1"/>
  <c r="T111" i="21" s="1"/>
  <c r="X111" i="21" s="1"/>
  <c r="AB111" i="21" s="1"/>
  <c r="AF111" i="21" s="1"/>
  <c r="AJ111" i="21" s="1"/>
  <c r="AN111" i="21" s="1"/>
  <c r="AR111" i="21" s="1"/>
  <c r="AV111" i="21" s="1"/>
  <c r="AZ111" i="21" s="1"/>
  <c r="BD111" i="21" s="1"/>
  <c r="BH111" i="21" s="1"/>
  <c r="BL111" i="21" s="1"/>
  <c r="H112" i="21"/>
  <c r="L112" i="21" s="1"/>
  <c r="P112" i="21" s="1"/>
  <c r="T112" i="21" s="1"/>
  <c r="X112" i="21" s="1"/>
  <c r="AB112" i="21" s="1"/>
  <c r="AF112" i="21" s="1"/>
  <c r="AJ112" i="21" s="1"/>
  <c r="AN112" i="21" s="1"/>
  <c r="AR112" i="21" s="1"/>
  <c r="AV112" i="21" s="1"/>
  <c r="AZ112" i="21" s="1"/>
  <c r="BD112" i="21" s="1"/>
  <c r="BH112" i="21" s="1"/>
  <c r="BL112" i="21" s="1"/>
  <c r="H113" i="21"/>
  <c r="L113" i="21" s="1"/>
  <c r="P113" i="21" s="1"/>
  <c r="T113" i="21" s="1"/>
  <c r="X113" i="21" s="1"/>
  <c r="AB113" i="21" s="1"/>
  <c r="AF113" i="21" s="1"/>
  <c r="AJ113" i="21" s="1"/>
  <c r="AN113" i="21" s="1"/>
  <c r="AR113" i="21" s="1"/>
  <c r="AV113" i="21" s="1"/>
  <c r="AZ113" i="21" s="1"/>
  <c r="BD113" i="21" s="1"/>
  <c r="BH113" i="21" s="1"/>
  <c r="BL113" i="21" s="1"/>
  <c r="H114" i="21"/>
  <c r="L114" i="21" s="1"/>
  <c r="P114" i="21" s="1"/>
  <c r="T114" i="21" s="1"/>
  <c r="X114" i="21" s="1"/>
  <c r="AB114" i="21" s="1"/>
  <c r="AF114" i="21" s="1"/>
  <c r="AJ114" i="21" s="1"/>
  <c r="AN114" i="21" s="1"/>
  <c r="AR114" i="21" s="1"/>
  <c r="AV114" i="21" s="1"/>
  <c r="AZ114" i="21" s="1"/>
  <c r="BD114" i="21" s="1"/>
  <c r="BH114" i="21" s="1"/>
  <c r="BL114" i="21" s="1"/>
  <c r="H115" i="21"/>
  <c r="L115" i="21" s="1"/>
  <c r="P115" i="21" s="1"/>
  <c r="T115" i="21" s="1"/>
  <c r="X115" i="21" s="1"/>
  <c r="AB115" i="21" s="1"/>
  <c r="AF115" i="21" s="1"/>
  <c r="AJ115" i="21" s="1"/>
  <c r="AN115" i="21" s="1"/>
  <c r="AR115" i="21" s="1"/>
  <c r="AV115" i="21" s="1"/>
  <c r="AZ115" i="21" s="1"/>
  <c r="BD115" i="21" s="1"/>
  <c r="BH115" i="21" s="1"/>
  <c r="BL115" i="21" s="1"/>
  <c r="H116" i="21"/>
  <c r="L116" i="21" s="1"/>
  <c r="P116" i="21" s="1"/>
  <c r="T116" i="21" s="1"/>
  <c r="X116" i="21" s="1"/>
  <c r="AB116" i="21" s="1"/>
  <c r="AF116" i="21" s="1"/>
  <c r="AJ116" i="21" s="1"/>
  <c r="AN116" i="21" s="1"/>
  <c r="AR116" i="21" s="1"/>
  <c r="AV116" i="21" s="1"/>
  <c r="AZ116" i="21" s="1"/>
  <c r="BD116" i="21" s="1"/>
  <c r="BH116" i="21" s="1"/>
  <c r="BL116" i="21" s="1"/>
  <c r="H117" i="21"/>
  <c r="L117" i="21" s="1"/>
  <c r="P117" i="21" s="1"/>
  <c r="T117" i="21" s="1"/>
  <c r="X117" i="21" s="1"/>
  <c r="AB117" i="21" s="1"/>
  <c r="AF117" i="21" s="1"/>
  <c r="AJ117" i="21" s="1"/>
  <c r="AN117" i="21" s="1"/>
  <c r="AR117" i="21" s="1"/>
  <c r="AV117" i="21" s="1"/>
  <c r="AZ117" i="21" s="1"/>
  <c r="BD117" i="21" s="1"/>
  <c r="BH117" i="21" s="1"/>
  <c r="BL117" i="21" s="1"/>
  <c r="H118" i="21"/>
  <c r="H119" i="21"/>
  <c r="L119" i="21" s="1"/>
  <c r="P119" i="21" s="1"/>
  <c r="T119" i="21" s="1"/>
  <c r="X119" i="21" s="1"/>
  <c r="AB119" i="21" s="1"/>
  <c r="AF119" i="21" s="1"/>
  <c r="AJ119" i="21" s="1"/>
  <c r="AN119" i="21" s="1"/>
  <c r="AR119" i="21" s="1"/>
  <c r="AV119" i="21" s="1"/>
  <c r="AZ119" i="21" s="1"/>
  <c r="BD119" i="21" s="1"/>
  <c r="BH119" i="21" s="1"/>
  <c r="BL119" i="21" s="1"/>
  <c r="H120" i="21"/>
  <c r="L120" i="21" s="1"/>
  <c r="P120" i="21" s="1"/>
  <c r="T120" i="21" s="1"/>
  <c r="X120" i="21" s="1"/>
  <c r="AB120" i="21" s="1"/>
  <c r="AF120" i="21" s="1"/>
  <c r="AJ120" i="21" s="1"/>
  <c r="AN120" i="21" s="1"/>
  <c r="AR120" i="21" s="1"/>
  <c r="AV120" i="21" s="1"/>
  <c r="AZ120" i="21" s="1"/>
  <c r="BD120" i="21" s="1"/>
  <c r="BH120" i="21" s="1"/>
  <c r="BL120" i="21" s="1"/>
  <c r="H121" i="21"/>
  <c r="L121" i="21" s="1"/>
  <c r="P121" i="21" s="1"/>
  <c r="T121" i="21" s="1"/>
  <c r="X121" i="21" s="1"/>
  <c r="AB121" i="21" s="1"/>
  <c r="AF121" i="21" s="1"/>
  <c r="AJ121" i="21" s="1"/>
  <c r="AN121" i="21" s="1"/>
  <c r="AR121" i="21" s="1"/>
  <c r="AV121" i="21" s="1"/>
  <c r="AZ121" i="21" s="1"/>
  <c r="BD121" i="21" s="1"/>
  <c r="BH121" i="21" s="1"/>
  <c r="BL121" i="21" s="1"/>
  <c r="H122" i="21"/>
  <c r="L122" i="21" s="1"/>
  <c r="P122" i="21" s="1"/>
  <c r="T122" i="21" s="1"/>
  <c r="X122" i="21" s="1"/>
  <c r="AB122" i="21" s="1"/>
  <c r="AF122" i="21" s="1"/>
  <c r="AJ122" i="21" s="1"/>
  <c r="AN122" i="21" s="1"/>
  <c r="AR122" i="21" s="1"/>
  <c r="AV122" i="21" s="1"/>
  <c r="AZ122" i="21" s="1"/>
  <c r="BD122" i="21" s="1"/>
  <c r="BH122" i="21" s="1"/>
  <c r="BL122" i="21" s="1"/>
  <c r="H123" i="21"/>
  <c r="L123" i="21" s="1"/>
  <c r="P123" i="21" s="1"/>
  <c r="T123" i="21" s="1"/>
  <c r="X123" i="21" s="1"/>
  <c r="AB123" i="21" s="1"/>
  <c r="AF123" i="21" s="1"/>
  <c r="AJ123" i="21" s="1"/>
  <c r="AN123" i="21" s="1"/>
  <c r="AR123" i="21" s="1"/>
  <c r="AV123" i="21" s="1"/>
  <c r="AZ123" i="21" s="1"/>
  <c r="BD123" i="21" s="1"/>
  <c r="BH123" i="21" s="1"/>
  <c r="BL123" i="21" s="1"/>
  <c r="H124" i="21"/>
  <c r="H125" i="21"/>
  <c r="L125" i="21" s="1"/>
  <c r="P125" i="21" s="1"/>
  <c r="T125" i="21" s="1"/>
  <c r="X125" i="21" s="1"/>
  <c r="AB125" i="21" s="1"/>
  <c r="AF125" i="21" s="1"/>
  <c r="AJ125" i="21" s="1"/>
  <c r="AN125" i="21" s="1"/>
  <c r="AR125" i="21" s="1"/>
  <c r="AV125" i="21" s="1"/>
  <c r="AZ125" i="21" s="1"/>
  <c r="BD125" i="21" s="1"/>
  <c r="BH125" i="21" s="1"/>
  <c r="BL125" i="21" s="1"/>
  <c r="H126" i="21"/>
  <c r="L126" i="21" s="1"/>
  <c r="P126" i="21" s="1"/>
  <c r="T126" i="21" s="1"/>
  <c r="X126" i="21" s="1"/>
  <c r="AB126" i="21" s="1"/>
  <c r="AF126" i="21" s="1"/>
  <c r="AJ126" i="21" s="1"/>
  <c r="AN126" i="21" s="1"/>
  <c r="AR126" i="21" s="1"/>
  <c r="AV126" i="21" s="1"/>
  <c r="AZ126" i="21" s="1"/>
  <c r="BD126" i="21" s="1"/>
  <c r="BH126" i="21" s="1"/>
  <c r="BL126" i="21" s="1"/>
  <c r="H127" i="21"/>
  <c r="L127" i="21" s="1"/>
  <c r="P127" i="21" s="1"/>
  <c r="T127" i="21" s="1"/>
  <c r="X127" i="21" s="1"/>
  <c r="AB127" i="21" s="1"/>
  <c r="AF127" i="21" s="1"/>
  <c r="AJ127" i="21" s="1"/>
  <c r="AN127" i="21" s="1"/>
  <c r="AR127" i="21" s="1"/>
  <c r="AV127" i="21" s="1"/>
  <c r="AZ127" i="21" s="1"/>
  <c r="BD127" i="21" s="1"/>
  <c r="BH127" i="21" s="1"/>
  <c r="BL127" i="21" s="1"/>
  <c r="H128" i="21"/>
  <c r="L128" i="21" s="1"/>
  <c r="P128" i="21" s="1"/>
  <c r="T128" i="21" s="1"/>
  <c r="X128" i="21" s="1"/>
  <c r="AB128" i="21" s="1"/>
  <c r="AF128" i="21" s="1"/>
  <c r="AJ128" i="21" s="1"/>
  <c r="AN128" i="21" s="1"/>
  <c r="AR128" i="21" s="1"/>
  <c r="AV128" i="21" s="1"/>
  <c r="AZ128" i="21" s="1"/>
  <c r="BD128" i="21" s="1"/>
  <c r="BH128" i="21" s="1"/>
  <c r="BL128" i="21" s="1"/>
  <c r="H129" i="21"/>
  <c r="L129" i="21" s="1"/>
  <c r="P129" i="21" s="1"/>
  <c r="T129" i="21" s="1"/>
  <c r="X129" i="21" s="1"/>
  <c r="AB129" i="21" s="1"/>
  <c r="AF129" i="21" s="1"/>
  <c r="AJ129" i="21" s="1"/>
  <c r="AN129" i="21" s="1"/>
  <c r="AR129" i="21" s="1"/>
  <c r="AV129" i="21" s="1"/>
  <c r="AZ129" i="21" s="1"/>
  <c r="BD129" i="21" s="1"/>
  <c r="BH129" i="21" s="1"/>
  <c r="BL129" i="21" s="1"/>
  <c r="H130" i="21"/>
  <c r="L130" i="21" s="1"/>
  <c r="P130" i="21" s="1"/>
  <c r="T130" i="21" s="1"/>
  <c r="X130" i="21" s="1"/>
  <c r="AB130" i="21" s="1"/>
  <c r="AF130" i="21" s="1"/>
  <c r="AJ130" i="21" s="1"/>
  <c r="AN130" i="21" s="1"/>
  <c r="AR130" i="21" s="1"/>
  <c r="AV130" i="21" s="1"/>
  <c r="AZ130" i="21" s="1"/>
  <c r="BD130" i="21" s="1"/>
  <c r="BH130" i="21" s="1"/>
  <c r="BL130" i="21" s="1"/>
  <c r="H131" i="21"/>
  <c r="L131" i="21" s="1"/>
  <c r="P131" i="21" s="1"/>
  <c r="T131" i="21" s="1"/>
  <c r="X131" i="21" s="1"/>
  <c r="AB131" i="21" s="1"/>
  <c r="AF131" i="21" s="1"/>
  <c r="AJ131" i="21" s="1"/>
  <c r="AN131" i="21" s="1"/>
  <c r="AR131" i="21" s="1"/>
  <c r="AV131" i="21" s="1"/>
  <c r="AZ131" i="21" s="1"/>
  <c r="BD131" i="21" s="1"/>
  <c r="BH131" i="21" s="1"/>
  <c r="BL131" i="21" s="1"/>
  <c r="H132" i="21"/>
  <c r="L132" i="21" s="1"/>
  <c r="P132" i="21" s="1"/>
  <c r="T132" i="21" s="1"/>
  <c r="X132" i="21" s="1"/>
  <c r="AB132" i="21" s="1"/>
  <c r="AF132" i="21" s="1"/>
  <c r="AJ132" i="21" s="1"/>
  <c r="AN132" i="21" s="1"/>
  <c r="AR132" i="21" s="1"/>
  <c r="AV132" i="21" s="1"/>
  <c r="AZ132" i="21" s="1"/>
  <c r="BD132" i="21" s="1"/>
  <c r="BH132" i="21" s="1"/>
  <c r="BL132" i="21" s="1"/>
  <c r="H133" i="21"/>
  <c r="H134" i="21"/>
  <c r="L134" i="21" s="1"/>
  <c r="P134" i="21" s="1"/>
  <c r="T134" i="21" s="1"/>
  <c r="X134" i="21" s="1"/>
  <c r="AB134" i="21" s="1"/>
  <c r="AF134" i="21" s="1"/>
  <c r="AJ134" i="21" s="1"/>
  <c r="AN134" i="21" s="1"/>
  <c r="AR134" i="21" s="1"/>
  <c r="AV134" i="21" s="1"/>
  <c r="AZ134" i="21" s="1"/>
  <c r="BD134" i="21" s="1"/>
  <c r="BH134" i="21" s="1"/>
  <c r="BL134" i="21" s="1"/>
  <c r="H135" i="21"/>
  <c r="L135" i="21" s="1"/>
  <c r="P135" i="21" s="1"/>
  <c r="T135" i="21" s="1"/>
  <c r="X135" i="21" s="1"/>
  <c r="AB135" i="21" s="1"/>
  <c r="AF135" i="21" s="1"/>
  <c r="AJ135" i="21" s="1"/>
  <c r="AN135" i="21" s="1"/>
  <c r="AR135" i="21" s="1"/>
  <c r="AV135" i="21" s="1"/>
  <c r="AZ135" i="21" s="1"/>
  <c r="BD135" i="21" s="1"/>
  <c r="BH135" i="21" s="1"/>
  <c r="BL135" i="21" s="1"/>
  <c r="H136" i="21"/>
  <c r="L136" i="21" s="1"/>
  <c r="P136" i="21" s="1"/>
  <c r="T136" i="21" s="1"/>
  <c r="X136" i="21" s="1"/>
  <c r="AB136" i="21" s="1"/>
  <c r="AF136" i="21" s="1"/>
  <c r="AJ136" i="21" s="1"/>
  <c r="AN136" i="21" s="1"/>
  <c r="AR136" i="21" s="1"/>
  <c r="AV136" i="21" s="1"/>
  <c r="AZ136" i="21" s="1"/>
  <c r="BD136" i="21" s="1"/>
  <c r="BH136" i="21" s="1"/>
  <c r="BL136" i="21" s="1"/>
  <c r="H137" i="21"/>
  <c r="L137" i="21" s="1"/>
  <c r="P137" i="21" s="1"/>
  <c r="T137" i="21" s="1"/>
  <c r="X137" i="21" s="1"/>
  <c r="AB137" i="21" s="1"/>
  <c r="AF137" i="21" s="1"/>
  <c r="AJ137" i="21" s="1"/>
  <c r="AN137" i="21" s="1"/>
  <c r="AR137" i="21" s="1"/>
  <c r="AV137" i="21" s="1"/>
  <c r="AZ137" i="21" s="1"/>
  <c r="BD137" i="21" s="1"/>
  <c r="BH137" i="21" s="1"/>
  <c r="BL137" i="21" s="1"/>
  <c r="H138" i="21"/>
  <c r="L138" i="21" s="1"/>
  <c r="P138" i="21" s="1"/>
  <c r="T138" i="21" s="1"/>
  <c r="X138" i="21" s="1"/>
  <c r="AB138" i="21" s="1"/>
  <c r="AF138" i="21" s="1"/>
  <c r="AJ138" i="21" s="1"/>
  <c r="AN138" i="21" s="1"/>
  <c r="AR138" i="21" s="1"/>
  <c r="AV138" i="21" s="1"/>
  <c r="AZ138" i="21" s="1"/>
  <c r="BD138" i="21" s="1"/>
  <c r="BH138" i="21" s="1"/>
  <c r="BL138" i="21" s="1"/>
  <c r="H139" i="21"/>
  <c r="L139" i="21" s="1"/>
  <c r="P139" i="21" s="1"/>
  <c r="T139" i="21" s="1"/>
  <c r="X139" i="21" s="1"/>
  <c r="AB139" i="21" s="1"/>
  <c r="AF139" i="21" s="1"/>
  <c r="AJ139" i="21" s="1"/>
  <c r="AN139" i="21" s="1"/>
  <c r="AR139" i="21" s="1"/>
  <c r="AV139" i="21" s="1"/>
  <c r="AZ139" i="21" s="1"/>
  <c r="BD139" i="21" s="1"/>
  <c r="BH139" i="21" s="1"/>
  <c r="BL139" i="21" s="1"/>
  <c r="H140" i="21"/>
  <c r="H141" i="21"/>
  <c r="L141" i="21" s="1"/>
  <c r="P141" i="21" s="1"/>
  <c r="T141" i="21" s="1"/>
  <c r="X141" i="21" s="1"/>
  <c r="AB141" i="21" s="1"/>
  <c r="AF141" i="21" s="1"/>
  <c r="AJ141" i="21" s="1"/>
  <c r="AN141" i="21" s="1"/>
  <c r="AR141" i="21" s="1"/>
  <c r="AV141" i="21" s="1"/>
  <c r="AZ141" i="21" s="1"/>
  <c r="BD141" i="21" s="1"/>
  <c r="BH141" i="21" s="1"/>
  <c r="BL141" i="21" s="1"/>
  <c r="H142" i="21"/>
  <c r="L142" i="21" s="1"/>
  <c r="P142" i="21" s="1"/>
  <c r="T142" i="21" s="1"/>
  <c r="X142" i="21" s="1"/>
  <c r="AB142" i="21" s="1"/>
  <c r="AF142" i="21" s="1"/>
  <c r="AJ142" i="21" s="1"/>
  <c r="AN142" i="21" s="1"/>
  <c r="AR142" i="21" s="1"/>
  <c r="AV142" i="21" s="1"/>
  <c r="AZ142" i="21" s="1"/>
  <c r="BD142" i="21" s="1"/>
  <c r="BH142" i="21" s="1"/>
  <c r="BL142" i="21" s="1"/>
  <c r="H143" i="21"/>
  <c r="L143" i="21" s="1"/>
  <c r="P143" i="21" s="1"/>
  <c r="T143" i="21" s="1"/>
  <c r="X143" i="21" s="1"/>
  <c r="AB143" i="21" s="1"/>
  <c r="AF143" i="21" s="1"/>
  <c r="AJ143" i="21" s="1"/>
  <c r="AN143" i="21" s="1"/>
  <c r="AR143" i="21" s="1"/>
  <c r="AV143" i="21" s="1"/>
  <c r="AZ143" i="21" s="1"/>
  <c r="BD143" i="21" s="1"/>
  <c r="BH143" i="21" s="1"/>
  <c r="BL143" i="21" s="1"/>
  <c r="H144" i="21"/>
  <c r="L144" i="21" s="1"/>
  <c r="P144" i="21" s="1"/>
  <c r="T144" i="21" s="1"/>
  <c r="X144" i="21" s="1"/>
  <c r="AB144" i="21" s="1"/>
  <c r="AF144" i="21" s="1"/>
  <c r="AJ144" i="21" s="1"/>
  <c r="AN144" i="21" s="1"/>
  <c r="AR144" i="21" s="1"/>
  <c r="AV144" i="21" s="1"/>
  <c r="AZ144" i="21" s="1"/>
  <c r="BD144" i="21" s="1"/>
  <c r="BH144" i="21" s="1"/>
  <c r="BL144" i="21" s="1"/>
  <c r="H145" i="21"/>
  <c r="L145" i="21" s="1"/>
  <c r="P145" i="21" s="1"/>
  <c r="T145" i="21" s="1"/>
  <c r="X145" i="21" s="1"/>
  <c r="AB145" i="21" s="1"/>
  <c r="AF145" i="21" s="1"/>
  <c r="AJ145" i="21" s="1"/>
  <c r="AN145" i="21" s="1"/>
  <c r="AR145" i="21" s="1"/>
  <c r="AV145" i="21" s="1"/>
  <c r="AZ145" i="21" s="1"/>
  <c r="BD145" i="21" s="1"/>
  <c r="BH145" i="21" s="1"/>
  <c r="BL145" i="21" s="1"/>
  <c r="H146" i="21"/>
  <c r="L146" i="21" s="1"/>
  <c r="P146" i="21" s="1"/>
  <c r="T146" i="21" s="1"/>
  <c r="X146" i="21" s="1"/>
  <c r="AB146" i="21" s="1"/>
  <c r="AF146" i="21" s="1"/>
  <c r="AJ146" i="21" s="1"/>
  <c r="AN146" i="21" s="1"/>
  <c r="AR146" i="21" s="1"/>
  <c r="AV146" i="21" s="1"/>
  <c r="AZ146" i="21" s="1"/>
  <c r="BD146" i="21" s="1"/>
  <c r="BH146" i="21" s="1"/>
  <c r="BL146" i="21" s="1"/>
  <c r="H147" i="21"/>
  <c r="H148" i="21"/>
  <c r="H149" i="21"/>
  <c r="L149" i="21" s="1"/>
  <c r="P149" i="21" s="1"/>
  <c r="T149" i="21" s="1"/>
  <c r="X149" i="21" s="1"/>
  <c r="AB149" i="21" s="1"/>
  <c r="AF149" i="21" s="1"/>
  <c r="AJ149" i="21" s="1"/>
  <c r="AN149" i="21" s="1"/>
  <c r="AR149" i="21" s="1"/>
  <c r="AV149" i="21" s="1"/>
  <c r="AZ149" i="21" s="1"/>
  <c r="BD149" i="21" s="1"/>
  <c r="BH149" i="21" s="1"/>
  <c r="BL149" i="21" s="1"/>
  <c r="H150" i="21"/>
  <c r="H151" i="21"/>
  <c r="L151" i="21" s="1"/>
  <c r="P151" i="21" s="1"/>
  <c r="T151" i="21" s="1"/>
  <c r="X151" i="21" s="1"/>
  <c r="AB151" i="21" s="1"/>
  <c r="AF151" i="21" s="1"/>
  <c r="AJ151" i="21" s="1"/>
  <c r="AN151" i="21" s="1"/>
  <c r="AR151" i="21" s="1"/>
  <c r="AV151" i="21" s="1"/>
  <c r="AZ151" i="21" s="1"/>
  <c r="BD151" i="21" s="1"/>
  <c r="BH151" i="21" s="1"/>
  <c r="BL151" i="21" s="1"/>
  <c r="H152" i="21"/>
  <c r="L152" i="21" s="1"/>
  <c r="P152" i="21" s="1"/>
  <c r="T152" i="21" s="1"/>
  <c r="X152" i="21" s="1"/>
  <c r="AB152" i="21" s="1"/>
  <c r="AF152" i="21" s="1"/>
  <c r="AJ152" i="21" s="1"/>
  <c r="AN152" i="21" s="1"/>
  <c r="AR152" i="21" s="1"/>
  <c r="AV152" i="21" s="1"/>
  <c r="AZ152" i="21" s="1"/>
  <c r="BD152" i="21" s="1"/>
  <c r="BH152" i="21" s="1"/>
  <c r="BL152" i="21" s="1"/>
  <c r="H153" i="21"/>
  <c r="H154" i="21"/>
  <c r="H155" i="21"/>
  <c r="L155" i="21" s="1"/>
  <c r="P155" i="21" s="1"/>
  <c r="T155" i="21" s="1"/>
  <c r="X155" i="21" s="1"/>
  <c r="AB155" i="21" s="1"/>
  <c r="AF155" i="21" s="1"/>
  <c r="AJ155" i="21" s="1"/>
  <c r="AN155" i="21" s="1"/>
  <c r="AR155" i="21" s="1"/>
  <c r="AV155" i="21" s="1"/>
  <c r="AZ155" i="21" s="1"/>
  <c r="BD155" i="21" s="1"/>
  <c r="BH155" i="21" s="1"/>
  <c r="BL155" i="21" s="1"/>
  <c r="H156" i="21"/>
  <c r="L156" i="21" s="1"/>
  <c r="P156" i="21" s="1"/>
  <c r="T156" i="21" s="1"/>
  <c r="X156" i="21" s="1"/>
  <c r="AB156" i="21" s="1"/>
  <c r="AF156" i="21" s="1"/>
  <c r="AJ156" i="21" s="1"/>
  <c r="AN156" i="21" s="1"/>
  <c r="AR156" i="21" s="1"/>
  <c r="AV156" i="21" s="1"/>
  <c r="AZ156" i="21" s="1"/>
  <c r="BD156" i="21" s="1"/>
  <c r="BH156" i="21" s="1"/>
  <c r="BL156" i="21" s="1"/>
  <c r="H157" i="21"/>
  <c r="L157" i="21" s="1"/>
  <c r="P157" i="21" s="1"/>
  <c r="T157" i="21" s="1"/>
  <c r="X157" i="21" s="1"/>
  <c r="AB157" i="21" s="1"/>
  <c r="AF157" i="21" s="1"/>
  <c r="AJ157" i="21" s="1"/>
  <c r="AN157" i="21" s="1"/>
  <c r="AR157" i="21" s="1"/>
  <c r="AV157" i="21" s="1"/>
  <c r="AZ157" i="21" s="1"/>
  <c r="BD157" i="21" s="1"/>
  <c r="BH157" i="21" s="1"/>
  <c r="BL157" i="21" s="1"/>
  <c r="H158" i="21"/>
  <c r="L158" i="21" s="1"/>
  <c r="P158" i="21" s="1"/>
  <c r="T158" i="21" s="1"/>
  <c r="X158" i="21" s="1"/>
  <c r="AB158" i="21" s="1"/>
  <c r="AF158" i="21" s="1"/>
  <c r="AJ158" i="21" s="1"/>
  <c r="AN158" i="21" s="1"/>
  <c r="AR158" i="21" s="1"/>
  <c r="AV158" i="21" s="1"/>
  <c r="AZ158" i="21" s="1"/>
  <c r="BD158" i="21" s="1"/>
  <c r="BH158" i="21" s="1"/>
  <c r="BL158" i="21" s="1"/>
  <c r="H159" i="21"/>
  <c r="L159" i="21" s="1"/>
  <c r="P159" i="21" s="1"/>
  <c r="T159" i="21" s="1"/>
  <c r="X159" i="21" s="1"/>
  <c r="AB159" i="21" s="1"/>
  <c r="AF159" i="21" s="1"/>
  <c r="AJ159" i="21" s="1"/>
  <c r="AN159" i="21" s="1"/>
  <c r="AR159" i="21" s="1"/>
  <c r="AV159" i="21" s="1"/>
  <c r="AZ159" i="21" s="1"/>
  <c r="BD159" i="21" s="1"/>
  <c r="BH159" i="21" s="1"/>
  <c r="BL159" i="21" s="1"/>
  <c r="H160" i="21"/>
  <c r="L160" i="21" s="1"/>
  <c r="P160" i="21" s="1"/>
  <c r="T160" i="21" s="1"/>
  <c r="X160" i="21" s="1"/>
  <c r="AB160" i="21" s="1"/>
  <c r="AF160" i="21" s="1"/>
  <c r="AJ160" i="21" s="1"/>
  <c r="AN160" i="21" s="1"/>
  <c r="AR160" i="21" s="1"/>
  <c r="AV160" i="21" s="1"/>
  <c r="AZ160" i="21" s="1"/>
  <c r="BD160" i="21" s="1"/>
  <c r="BH160" i="21" s="1"/>
  <c r="BL160" i="21" s="1"/>
  <c r="H161" i="21"/>
  <c r="L161" i="21" s="1"/>
  <c r="P161" i="21" s="1"/>
  <c r="T161" i="21" s="1"/>
  <c r="X161" i="21" s="1"/>
  <c r="AB161" i="21" s="1"/>
  <c r="AF161" i="21" s="1"/>
  <c r="AJ161" i="21" s="1"/>
  <c r="AN161" i="21" s="1"/>
  <c r="AR161" i="21" s="1"/>
  <c r="AV161" i="21" s="1"/>
  <c r="AZ161" i="21" s="1"/>
  <c r="BD161" i="21" s="1"/>
  <c r="BH161" i="21" s="1"/>
  <c r="BL161" i="21" s="1"/>
  <c r="H162" i="21"/>
  <c r="L162" i="21" s="1"/>
  <c r="P162" i="21" s="1"/>
  <c r="T162" i="21" s="1"/>
  <c r="X162" i="21" s="1"/>
  <c r="AB162" i="21" s="1"/>
  <c r="AF162" i="21" s="1"/>
  <c r="AJ162" i="21" s="1"/>
  <c r="AN162" i="21" s="1"/>
  <c r="AR162" i="21" s="1"/>
  <c r="AV162" i="21" s="1"/>
  <c r="AZ162" i="21" s="1"/>
  <c r="BD162" i="21" s="1"/>
  <c r="BH162" i="21" s="1"/>
  <c r="BL162" i="21" s="1"/>
  <c r="H163" i="21"/>
  <c r="L163" i="21" s="1"/>
  <c r="P163" i="21" s="1"/>
  <c r="T163" i="21" s="1"/>
  <c r="X163" i="21" s="1"/>
  <c r="AB163" i="21" s="1"/>
  <c r="AF163" i="21" s="1"/>
  <c r="AJ163" i="21" s="1"/>
  <c r="AN163" i="21" s="1"/>
  <c r="AR163" i="21" s="1"/>
  <c r="AV163" i="21" s="1"/>
  <c r="AZ163" i="21" s="1"/>
  <c r="BD163" i="21" s="1"/>
  <c r="BH163" i="21" s="1"/>
  <c r="BL163" i="21" s="1"/>
  <c r="H164" i="21"/>
  <c r="L164" i="21" s="1"/>
  <c r="P164" i="21" s="1"/>
  <c r="T164" i="21" s="1"/>
  <c r="X164" i="21" s="1"/>
  <c r="AB164" i="21" s="1"/>
  <c r="AF164" i="21" s="1"/>
  <c r="AJ164" i="21" s="1"/>
  <c r="AN164" i="21" s="1"/>
  <c r="AR164" i="21" s="1"/>
  <c r="AV164" i="21" s="1"/>
  <c r="AZ164" i="21" s="1"/>
  <c r="BD164" i="21" s="1"/>
  <c r="BH164" i="21" s="1"/>
  <c r="BL164" i="21" s="1"/>
  <c r="H165" i="21"/>
  <c r="L165" i="21" s="1"/>
  <c r="P165" i="21" s="1"/>
  <c r="T165" i="21" s="1"/>
  <c r="X165" i="21" s="1"/>
  <c r="AB165" i="21" s="1"/>
  <c r="AF165" i="21" s="1"/>
  <c r="AJ165" i="21" s="1"/>
  <c r="AN165" i="21" s="1"/>
  <c r="AR165" i="21" s="1"/>
  <c r="AV165" i="21" s="1"/>
  <c r="AZ165" i="21" s="1"/>
  <c r="BD165" i="21" s="1"/>
  <c r="BH165" i="21" s="1"/>
  <c r="BL165" i="21" s="1"/>
  <c r="H166" i="21"/>
  <c r="L166" i="21" s="1"/>
  <c r="P166" i="21" s="1"/>
  <c r="T166" i="21" s="1"/>
  <c r="X166" i="21" s="1"/>
  <c r="AB166" i="21" s="1"/>
  <c r="AF166" i="21" s="1"/>
  <c r="AJ166" i="21" s="1"/>
  <c r="AN166" i="21" s="1"/>
  <c r="AR166" i="21" s="1"/>
  <c r="AV166" i="21" s="1"/>
  <c r="AZ166" i="21" s="1"/>
  <c r="BD166" i="21" s="1"/>
  <c r="BH166" i="21" s="1"/>
  <c r="BL166" i="21" s="1"/>
  <c r="H167" i="21"/>
  <c r="L167" i="21" s="1"/>
  <c r="P167" i="21" s="1"/>
  <c r="T167" i="21" s="1"/>
  <c r="X167" i="21" s="1"/>
  <c r="AB167" i="21" s="1"/>
  <c r="AF167" i="21" s="1"/>
  <c r="AJ167" i="21" s="1"/>
  <c r="AN167" i="21" s="1"/>
  <c r="AR167" i="21" s="1"/>
  <c r="AV167" i="21" s="1"/>
  <c r="AZ167" i="21" s="1"/>
  <c r="BD167" i="21" s="1"/>
  <c r="BH167" i="21" s="1"/>
  <c r="BL167" i="21" s="1"/>
  <c r="H168" i="21"/>
  <c r="L168" i="21" s="1"/>
  <c r="P168" i="21" s="1"/>
  <c r="T168" i="21" s="1"/>
  <c r="X168" i="21" s="1"/>
  <c r="AB168" i="21" s="1"/>
  <c r="AF168" i="21" s="1"/>
  <c r="AJ168" i="21" s="1"/>
  <c r="AN168" i="21" s="1"/>
  <c r="AR168" i="21" s="1"/>
  <c r="AV168" i="21" s="1"/>
  <c r="AZ168" i="21" s="1"/>
  <c r="BD168" i="21" s="1"/>
  <c r="BH168" i="21" s="1"/>
  <c r="BL168" i="21" s="1"/>
  <c r="H169" i="21"/>
  <c r="L169" i="21" s="1"/>
  <c r="P169" i="21" s="1"/>
  <c r="T169" i="21" s="1"/>
  <c r="X169" i="21" s="1"/>
  <c r="AB169" i="21" s="1"/>
  <c r="AF169" i="21" s="1"/>
  <c r="AJ169" i="21" s="1"/>
  <c r="AN169" i="21" s="1"/>
  <c r="AR169" i="21" s="1"/>
  <c r="AV169" i="21" s="1"/>
  <c r="AZ169" i="21" s="1"/>
  <c r="BD169" i="21" s="1"/>
  <c r="BH169" i="21" s="1"/>
  <c r="BL169" i="21" s="1"/>
  <c r="H170" i="21"/>
  <c r="L170" i="21" s="1"/>
  <c r="P170" i="21" s="1"/>
  <c r="T170" i="21" s="1"/>
  <c r="X170" i="21" s="1"/>
  <c r="AB170" i="21" s="1"/>
  <c r="AF170" i="21" s="1"/>
  <c r="AJ170" i="21" s="1"/>
  <c r="AN170" i="21" s="1"/>
  <c r="AR170" i="21" s="1"/>
  <c r="AV170" i="21" s="1"/>
  <c r="AZ170" i="21" s="1"/>
  <c r="BD170" i="21" s="1"/>
  <c r="BH170" i="21" s="1"/>
  <c r="BL170" i="21" s="1"/>
  <c r="H171" i="21"/>
  <c r="L171" i="21" s="1"/>
  <c r="P171" i="21" s="1"/>
  <c r="T171" i="21" s="1"/>
  <c r="X171" i="21" s="1"/>
  <c r="AB171" i="21" s="1"/>
  <c r="AF171" i="21" s="1"/>
  <c r="AJ171" i="21" s="1"/>
  <c r="AN171" i="21" s="1"/>
  <c r="AR171" i="21" s="1"/>
  <c r="AV171" i="21" s="1"/>
  <c r="AZ171" i="21" s="1"/>
  <c r="BD171" i="21" s="1"/>
  <c r="BH171" i="21" s="1"/>
  <c r="BL171" i="21" s="1"/>
  <c r="H172" i="21"/>
  <c r="L172" i="21" s="1"/>
  <c r="P172" i="21" s="1"/>
  <c r="T172" i="21" s="1"/>
  <c r="X172" i="21" s="1"/>
  <c r="AB172" i="21" s="1"/>
  <c r="AF172" i="21" s="1"/>
  <c r="AJ172" i="21" s="1"/>
  <c r="AN172" i="21" s="1"/>
  <c r="AR172" i="21" s="1"/>
  <c r="AV172" i="21" s="1"/>
  <c r="AZ172" i="21" s="1"/>
  <c r="BD172" i="21" s="1"/>
  <c r="BH172" i="21" s="1"/>
  <c r="BL172" i="21" s="1"/>
  <c r="H173" i="21"/>
  <c r="L173" i="21" s="1"/>
  <c r="P173" i="21" s="1"/>
  <c r="T173" i="21" s="1"/>
  <c r="X173" i="21" s="1"/>
  <c r="AB173" i="21" s="1"/>
  <c r="AF173" i="21" s="1"/>
  <c r="AJ173" i="21" s="1"/>
  <c r="AN173" i="21" s="1"/>
  <c r="AR173" i="21" s="1"/>
  <c r="AV173" i="21" s="1"/>
  <c r="AZ173" i="21" s="1"/>
  <c r="BD173" i="21" s="1"/>
  <c r="BH173" i="21" s="1"/>
  <c r="BL173" i="21" s="1"/>
  <c r="H174" i="21"/>
  <c r="H175" i="21"/>
  <c r="L175" i="21" s="1"/>
  <c r="P175" i="21" s="1"/>
  <c r="T175" i="21" s="1"/>
  <c r="X175" i="21" s="1"/>
  <c r="AB175" i="21" s="1"/>
  <c r="AF175" i="21" s="1"/>
  <c r="AJ175" i="21" s="1"/>
  <c r="AN175" i="21" s="1"/>
  <c r="AR175" i="21" s="1"/>
  <c r="AV175" i="21" s="1"/>
  <c r="AZ175" i="21" s="1"/>
  <c r="BD175" i="21" s="1"/>
  <c r="BH175" i="21" s="1"/>
  <c r="BL175" i="21" s="1"/>
  <c r="H176" i="21"/>
  <c r="L176" i="21" s="1"/>
  <c r="P176" i="21" s="1"/>
  <c r="T176" i="21" s="1"/>
  <c r="X176" i="21" s="1"/>
  <c r="AB176" i="21" s="1"/>
  <c r="AF176" i="21" s="1"/>
  <c r="AJ176" i="21" s="1"/>
  <c r="AN176" i="21" s="1"/>
  <c r="AR176" i="21" s="1"/>
  <c r="AV176" i="21" s="1"/>
  <c r="AZ176" i="21" s="1"/>
  <c r="BD176" i="21" s="1"/>
  <c r="BH176" i="21" s="1"/>
  <c r="BL176" i="21" s="1"/>
  <c r="H177" i="21"/>
  <c r="L177" i="21" s="1"/>
  <c r="P177" i="21" s="1"/>
  <c r="T177" i="21" s="1"/>
  <c r="X177" i="21" s="1"/>
  <c r="AB177" i="21" s="1"/>
  <c r="AF177" i="21" s="1"/>
  <c r="AJ177" i="21" s="1"/>
  <c r="AN177" i="21" s="1"/>
  <c r="AR177" i="21" s="1"/>
  <c r="AV177" i="21" s="1"/>
  <c r="AZ177" i="21" s="1"/>
  <c r="BD177" i="21" s="1"/>
  <c r="BH177" i="21" s="1"/>
  <c r="BL177" i="21" s="1"/>
  <c r="H178" i="21"/>
  <c r="L178" i="21" s="1"/>
  <c r="P178" i="21" s="1"/>
  <c r="T178" i="21" s="1"/>
  <c r="X178" i="21" s="1"/>
  <c r="AB178" i="21" s="1"/>
  <c r="AF178" i="21" s="1"/>
  <c r="AJ178" i="21" s="1"/>
  <c r="AN178" i="21" s="1"/>
  <c r="AR178" i="21" s="1"/>
  <c r="AV178" i="21" s="1"/>
  <c r="AZ178" i="21" s="1"/>
  <c r="BD178" i="21" s="1"/>
  <c r="BH178" i="21" s="1"/>
  <c r="BL178" i="21" s="1"/>
  <c r="H179" i="21"/>
  <c r="L179" i="21" s="1"/>
  <c r="P179" i="21" s="1"/>
  <c r="T179" i="21" s="1"/>
  <c r="X179" i="21" s="1"/>
  <c r="AB179" i="21" s="1"/>
  <c r="AF179" i="21" s="1"/>
  <c r="AJ179" i="21" s="1"/>
  <c r="AN179" i="21" s="1"/>
  <c r="AR179" i="21" s="1"/>
  <c r="AV179" i="21" s="1"/>
  <c r="AZ179" i="21" s="1"/>
  <c r="BD179" i="21" s="1"/>
  <c r="BH179" i="21" s="1"/>
  <c r="BL179" i="21" s="1"/>
  <c r="H180" i="21"/>
  <c r="L180" i="21" s="1"/>
  <c r="P180" i="21" s="1"/>
  <c r="T180" i="21" s="1"/>
  <c r="X180" i="21" s="1"/>
  <c r="AB180" i="21" s="1"/>
  <c r="AF180" i="21" s="1"/>
  <c r="AJ180" i="21" s="1"/>
  <c r="AN180" i="21" s="1"/>
  <c r="AR180" i="21" s="1"/>
  <c r="AV180" i="21" s="1"/>
  <c r="AZ180" i="21" s="1"/>
  <c r="BD180" i="21" s="1"/>
  <c r="BH180" i="21" s="1"/>
  <c r="BL180" i="21" s="1"/>
  <c r="H181" i="21"/>
  <c r="L181" i="21" s="1"/>
  <c r="P181" i="21" s="1"/>
  <c r="T181" i="21" s="1"/>
  <c r="X181" i="21" s="1"/>
  <c r="AB181" i="21" s="1"/>
  <c r="AF181" i="21" s="1"/>
  <c r="AJ181" i="21" s="1"/>
  <c r="AN181" i="21" s="1"/>
  <c r="AR181" i="21" s="1"/>
  <c r="AV181" i="21" s="1"/>
  <c r="AZ181" i="21" s="1"/>
  <c r="BD181" i="21" s="1"/>
  <c r="BH181" i="21" s="1"/>
  <c r="BL181" i="21" s="1"/>
  <c r="H182" i="21"/>
  <c r="L182" i="21" s="1"/>
  <c r="P182" i="21" s="1"/>
  <c r="T182" i="21" s="1"/>
  <c r="X182" i="21" s="1"/>
  <c r="AB182" i="21" s="1"/>
  <c r="AF182" i="21" s="1"/>
  <c r="AJ182" i="21" s="1"/>
  <c r="AN182" i="21" s="1"/>
  <c r="AR182" i="21" s="1"/>
  <c r="AV182" i="21" s="1"/>
  <c r="AZ182" i="21" s="1"/>
  <c r="BD182" i="21" s="1"/>
  <c r="BH182" i="21" s="1"/>
  <c r="BL182" i="21" s="1"/>
  <c r="H183" i="21"/>
  <c r="L183" i="21" s="1"/>
  <c r="P183" i="21" s="1"/>
  <c r="T183" i="21" s="1"/>
  <c r="X183" i="21" s="1"/>
  <c r="AB183" i="21" s="1"/>
  <c r="AF183" i="21" s="1"/>
  <c r="AJ183" i="21" s="1"/>
  <c r="AN183" i="21" s="1"/>
  <c r="AR183" i="21" s="1"/>
  <c r="AV183" i="21" s="1"/>
  <c r="AZ183" i="21" s="1"/>
  <c r="BD183" i="21" s="1"/>
  <c r="BH183" i="21" s="1"/>
  <c r="BL183" i="21" s="1"/>
  <c r="H184" i="21"/>
  <c r="L184" i="21" s="1"/>
  <c r="P184" i="21" s="1"/>
  <c r="T184" i="21" s="1"/>
  <c r="X184" i="21" s="1"/>
  <c r="AB184" i="21" s="1"/>
  <c r="AF184" i="21" s="1"/>
  <c r="AJ184" i="21" s="1"/>
  <c r="AN184" i="21" s="1"/>
  <c r="AR184" i="21" s="1"/>
  <c r="AV184" i="21" s="1"/>
  <c r="AZ184" i="21" s="1"/>
  <c r="BD184" i="21" s="1"/>
  <c r="BH184" i="21" s="1"/>
  <c r="BL184" i="21" s="1"/>
  <c r="H185" i="21"/>
  <c r="L185" i="21" s="1"/>
  <c r="P185" i="21" s="1"/>
  <c r="T185" i="21" s="1"/>
  <c r="X185" i="21" s="1"/>
  <c r="AB185" i="21" s="1"/>
  <c r="AF185" i="21" s="1"/>
  <c r="AJ185" i="21" s="1"/>
  <c r="AN185" i="21" s="1"/>
  <c r="AR185" i="21" s="1"/>
  <c r="AV185" i="21" s="1"/>
  <c r="AZ185" i="21" s="1"/>
  <c r="BD185" i="21" s="1"/>
  <c r="BH185" i="21" s="1"/>
  <c r="BL185" i="21" s="1"/>
  <c r="H186" i="21"/>
  <c r="L186" i="21" s="1"/>
  <c r="P186" i="21" s="1"/>
  <c r="T186" i="21" s="1"/>
  <c r="X186" i="21" s="1"/>
  <c r="AB186" i="21" s="1"/>
  <c r="AF186" i="21" s="1"/>
  <c r="AJ186" i="21" s="1"/>
  <c r="AN186" i="21" s="1"/>
  <c r="AR186" i="21" s="1"/>
  <c r="AV186" i="21" s="1"/>
  <c r="AZ186" i="21" s="1"/>
  <c r="BD186" i="21" s="1"/>
  <c r="BH186" i="21" s="1"/>
  <c r="BL186" i="21" s="1"/>
  <c r="H187" i="21"/>
  <c r="H188" i="21"/>
  <c r="L188" i="21" s="1"/>
  <c r="P188" i="21" s="1"/>
  <c r="T188" i="21" s="1"/>
  <c r="X188" i="21" s="1"/>
  <c r="AB188" i="21" s="1"/>
  <c r="AF188" i="21" s="1"/>
  <c r="AJ188" i="21" s="1"/>
  <c r="AN188" i="21" s="1"/>
  <c r="AR188" i="21" s="1"/>
  <c r="AV188" i="21" s="1"/>
  <c r="AZ188" i="21" s="1"/>
  <c r="BD188" i="21" s="1"/>
  <c r="BH188" i="21" s="1"/>
  <c r="BL188" i="21" s="1"/>
  <c r="H189" i="21"/>
  <c r="L189" i="21" s="1"/>
  <c r="P189" i="21" s="1"/>
  <c r="T189" i="21" s="1"/>
  <c r="X189" i="21" s="1"/>
  <c r="AB189" i="21" s="1"/>
  <c r="AF189" i="21" s="1"/>
  <c r="AJ189" i="21" s="1"/>
  <c r="AN189" i="21" s="1"/>
  <c r="AR189" i="21" s="1"/>
  <c r="AV189" i="21" s="1"/>
  <c r="AZ189" i="21" s="1"/>
  <c r="BD189" i="21" s="1"/>
  <c r="BH189" i="21" s="1"/>
  <c r="BL189" i="21" s="1"/>
  <c r="H190" i="21"/>
  <c r="L190" i="21" s="1"/>
  <c r="P190" i="21" s="1"/>
  <c r="T190" i="21" s="1"/>
  <c r="X190" i="21" s="1"/>
  <c r="AB190" i="21" s="1"/>
  <c r="AF190" i="21" s="1"/>
  <c r="AJ190" i="21" s="1"/>
  <c r="AN190" i="21" s="1"/>
  <c r="AR190" i="21" s="1"/>
  <c r="AV190" i="21" s="1"/>
  <c r="AZ190" i="21" s="1"/>
  <c r="BD190" i="21" s="1"/>
  <c r="BH190" i="21" s="1"/>
  <c r="BL190" i="21" s="1"/>
  <c r="H191" i="21"/>
  <c r="L191" i="21" s="1"/>
  <c r="P191" i="21" s="1"/>
  <c r="T191" i="21" s="1"/>
  <c r="X191" i="21" s="1"/>
  <c r="AB191" i="21" s="1"/>
  <c r="AF191" i="21" s="1"/>
  <c r="AJ191" i="21" s="1"/>
  <c r="AN191" i="21" s="1"/>
  <c r="AR191" i="21" s="1"/>
  <c r="AV191" i="21" s="1"/>
  <c r="AZ191" i="21" s="1"/>
  <c r="BD191" i="21" s="1"/>
  <c r="BH191" i="21" s="1"/>
  <c r="BL191" i="21" s="1"/>
  <c r="H192" i="21"/>
  <c r="L192" i="21" s="1"/>
  <c r="P192" i="21" s="1"/>
  <c r="T192" i="21" s="1"/>
  <c r="X192" i="21" s="1"/>
  <c r="AB192" i="21" s="1"/>
  <c r="AF192" i="21" s="1"/>
  <c r="AJ192" i="21" s="1"/>
  <c r="AN192" i="21" s="1"/>
  <c r="AR192" i="21" s="1"/>
  <c r="AV192" i="21" s="1"/>
  <c r="AZ192" i="21" s="1"/>
  <c r="BD192" i="21" s="1"/>
  <c r="BH192" i="21" s="1"/>
  <c r="BL192" i="21" s="1"/>
  <c r="H193" i="21"/>
  <c r="L193" i="21" s="1"/>
  <c r="P193" i="21" s="1"/>
  <c r="T193" i="21" s="1"/>
  <c r="X193" i="21" s="1"/>
  <c r="AB193" i="21" s="1"/>
  <c r="AF193" i="21" s="1"/>
  <c r="AJ193" i="21" s="1"/>
  <c r="AN193" i="21" s="1"/>
  <c r="AR193" i="21" s="1"/>
  <c r="AV193" i="21" s="1"/>
  <c r="AZ193" i="21" s="1"/>
  <c r="BD193" i="21" s="1"/>
  <c r="BH193" i="21" s="1"/>
  <c r="BL193" i="21" s="1"/>
  <c r="H194" i="21"/>
  <c r="L194" i="21" s="1"/>
  <c r="P194" i="21" s="1"/>
  <c r="T194" i="21" s="1"/>
  <c r="X194" i="21" s="1"/>
  <c r="AB194" i="21" s="1"/>
  <c r="AF194" i="21" s="1"/>
  <c r="AJ194" i="21" s="1"/>
  <c r="AN194" i="21" s="1"/>
  <c r="AR194" i="21" s="1"/>
  <c r="AV194" i="21" s="1"/>
  <c r="AZ194" i="21" s="1"/>
  <c r="BD194" i="21" s="1"/>
  <c r="BH194" i="21" s="1"/>
  <c r="BL194" i="21" s="1"/>
  <c r="H195" i="21"/>
  <c r="L195" i="21" s="1"/>
  <c r="P195" i="21" s="1"/>
  <c r="T195" i="21" s="1"/>
  <c r="X195" i="21" s="1"/>
  <c r="AB195" i="21" s="1"/>
  <c r="AF195" i="21" s="1"/>
  <c r="AJ195" i="21" s="1"/>
  <c r="AN195" i="21" s="1"/>
  <c r="AR195" i="21" s="1"/>
  <c r="AV195" i="21" s="1"/>
  <c r="AZ195" i="21" s="1"/>
  <c r="BD195" i="21" s="1"/>
  <c r="BH195" i="21" s="1"/>
  <c r="BL195" i="21" s="1"/>
  <c r="H196" i="21"/>
  <c r="L196" i="21" s="1"/>
  <c r="P196" i="21" s="1"/>
  <c r="T196" i="21" s="1"/>
  <c r="X196" i="21" s="1"/>
  <c r="AB196" i="21" s="1"/>
  <c r="AF196" i="21" s="1"/>
  <c r="AJ196" i="21" s="1"/>
  <c r="AN196" i="21" s="1"/>
  <c r="AR196" i="21" s="1"/>
  <c r="AV196" i="21" s="1"/>
  <c r="AZ196" i="21" s="1"/>
  <c r="BD196" i="21" s="1"/>
  <c r="BH196" i="21" s="1"/>
  <c r="BL196" i="21" s="1"/>
  <c r="H197" i="21"/>
  <c r="L197" i="21" s="1"/>
  <c r="P197" i="21" s="1"/>
  <c r="T197" i="21" s="1"/>
  <c r="X197" i="21" s="1"/>
  <c r="AB197" i="21" s="1"/>
  <c r="AF197" i="21" s="1"/>
  <c r="AJ197" i="21" s="1"/>
  <c r="AN197" i="21" s="1"/>
  <c r="AR197" i="21" s="1"/>
  <c r="AV197" i="21" s="1"/>
  <c r="AZ197" i="21" s="1"/>
  <c r="BD197" i="21" s="1"/>
  <c r="BH197" i="21" s="1"/>
  <c r="BL197" i="21" s="1"/>
  <c r="H198" i="21"/>
  <c r="L198" i="21" s="1"/>
  <c r="P198" i="21" s="1"/>
  <c r="T198" i="21" s="1"/>
  <c r="X198" i="21" s="1"/>
  <c r="AB198" i="21" s="1"/>
  <c r="AF198" i="21" s="1"/>
  <c r="AJ198" i="21" s="1"/>
  <c r="AN198" i="21" s="1"/>
  <c r="AR198" i="21" s="1"/>
  <c r="AV198" i="21" s="1"/>
  <c r="AZ198" i="21" s="1"/>
  <c r="BD198" i="21" s="1"/>
  <c r="BH198" i="21" s="1"/>
  <c r="BL198" i="21" s="1"/>
  <c r="H199" i="21"/>
  <c r="L199" i="21" s="1"/>
  <c r="P199" i="21" s="1"/>
  <c r="T199" i="21" s="1"/>
  <c r="X199" i="21" s="1"/>
  <c r="AB199" i="21" s="1"/>
  <c r="AF199" i="21" s="1"/>
  <c r="AJ199" i="21" s="1"/>
  <c r="AN199" i="21" s="1"/>
  <c r="AR199" i="21" s="1"/>
  <c r="AV199" i="21" s="1"/>
  <c r="AZ199" i="21" s="1"/>
  <c r="BD199" i="21" s="1"/>
  <c r="BH199" i="21" s="1"/>
  <c r="BL199" i="21" s="1"/>
  <c r="H200" i="21"/>
  <c r="L200" i="21" s="1"/>
  <c r="P200" i="21" s="1"/>
  <c r="T200" i="21" s="1"/>
  <c r="X200" i="21" s="1"/>
  <c r="AB200" i="21" s="1"/>
  <c r="AF200" i="21" s="1"/>
  <c r="AJ200" i="21" s="1"/>
  <c r="AN200" i="21" s="1"/>
  <c r="AR200" i="21" s="1"/>
  <c r="AV200" i="21" s="1"/>
  <c r="AZ200" i="21" s="1"/>
  <c r="BD200" i="21" s="1"/>
  <c r="BH200" i="21" s="1"/>
  <c r="BL200" i="21" s="1"/>
  <c r="H201" i="21"/>
  <c r="L201" i="21" s="1"/>
  <c r="P201" i="21" s="1"/>
  <c r="T201" i="21" s="1"/>
  <c r="X201" i="21" s="1"/>
  <c r="AB201" i="21" s="1"/>
  <c r="AF201" i="21" s="1"/>
  <c r="AJ201" i="21" s="1"/>
  <c r="AN201" i="21" s="1"/>
  <c r="AR201" i="21" s="1"/>
  <c r="AV201" i="21" s="1"/>
  <c r="AZ201" i="21" s="1"/>
  <c r="BD201" i="21" s="1"/>
  <c r="BH201" i="21" s="1"/>
  <c r="BL201" i="21" s="1"/>
  <c r="H202" i="21"/>
  <c r="L202" i="21" s="1"/>
  <c r="P202" i="21" s="1"/>
  <c r="T202" i="21" s="1"/>
  <c r="X202" i="21" s="1"/>
  <c r="AB202" i="21" s="1"/>
  <c r="AF202" i="21" s="1"/>
  <c r="AJ202" i="21" s="1"/>
  <c r="AN202" i="21" s="1"/>
  <c r="AR202" i="21" s="1"/>
  <c r="AV202" i="21" s="1"/>
  <c r="AZ202" i="21" s="1"/>
  <c r="BD202" i="21" s="1"/>
  <c r="BH202" i="21" s="1"/>
  <c r="BL202" i="21" s="1"/>
  <c r="BF112" i="5" l="1"/>
  <c r="DM112" i="5"/>
  <c r="BF118" i="5"/>
  <c r="DM118" i="5"/>
  <c r="BF152" i="5"/>
  <c r="DM152" i="5"/>
  <c r="DM155" i="5"/>
  <c r="BF155" i="5"/>
  <c r="BF144" i="5"/>
  <c r="DM144" i="5"/>
  <c r="DN101" i="5"/>
  <c r="BI101" i="5"/>
  <c r="BF193" i="5"/>
  <c r="DM193" i="5"/>
  <c r="BF90" i="5"/>
  <c r="DM90" i="5"/>
  <c r="DM6" i="5"/>
  <c r="BF6" i="5"/>
  <c r="BF102" i="5"/>
  <c r="DM102" i="5"/>
  <c r="BP201" i="21"/>
  <c r="EQ201" i="21"/>
  <c r="BP189" i="21"/>
  <c r="EQ189" i="21"/>
  <c r="BP177" i="21"/>
  <c r="EQ177" i="21"/>
  <c r="BP169" i="21"/>
  <c r="EQ169" i="21"/>
  <c r="BP157" i="21"/>
  <c r="EQ157" i="21"/>
  <c r="BP145" i="21"/>
  <c r="EQ145" i="21"/>
  <c r="BP137" i="21"/>
  <c r="EQ137" i="21"/>
  <c r="BP125" i="21"/>
  <c r="EQ125" i="21"/>
  <c r="BP113" i="21"/>
  <c r="EQ113" i="21"/>
  <c r="BP101" i="21"/>
  <c r="EQ101" i="21"/>
  <c r="BP89" i="21"/>
  <c r="EQ89" i="21"/>
  <c r="BP77" i="21"/>
  <c r="EQ77" i="21"/>
  <c r="BP65" i="21"/>
  <c r="EQ65" i="21"/>
  <c r="BP41" i="21"/>
  <c r="EQ41" i="21"/>
  <c r="BP25" i="21"/>
  <c r="EQ25" i="21"/>
  <c r="BP200" i="21"/>
  <c r="EQ200" i="21"/>
  <c r="BP196" i="21"/>
  <c r="EQ196" i="21"/>
  <c r="BP192" i="21"/>
  <c r="EQ192" i="21"/>
  <c r="BP188" i="21"/>
  <c r="EQ188" i="21"/>
  <c r="BP184" i="21"/>
  <c r="EQ184" i="21"/>
  <c r="BP180" i="21"/>
  <c r="EQ180" i="21"/>
  <c r="BP176" i="21"/>
  <c r="EQ176" i="21"/>
  <c r="BP172" i="21"/>
  <c r="EQ172" i="21"/>
  <c r="BP168" i="21"/>
  <c r="EQ168" i="21"/>
  <c r="BP164" i="21"/>
  <c r="EQ164" i="21"/>
  <c r="BP160" i="21"/>
  <c r="EQ160" i="21"/>
  <c r="BP156" i="21"/>
  <c r="EQ156" i="21"/>
  <c r="BP152" i="21"/>
  <c r="EQ152" i="21"/>
  <c r="BP144" i="21"/>
  <c r="EQ144" i="21"/>
  <c r="BP136" i="21"/>
  <c r="EQ136" i="21"/>
  <c r="BP132" i="21"/>
  <c r="EQ132" i="21"/>
  <c r="BP128" i="21"/>
  <c r="EQ128" i="21"/>
  <c r="BP120" i="21"/>
  <c r="EQ120" i="21"/>
  <c r="BP116" i="21"/>
  <c r="EQ116" i="21"/>
  <c r="BP112" i="21"/>
  <c r="EQ112" i="21"/>
  <c r="BP108" i="21"/>
  <c r="EQ108" i="21"/>
  <c r="BP104" i="21"/>
  <c r="EQ104" i="21"/>
  <c r="BP96" i="21"/>
  <c r="EQ96" i="21"/>
  <c r="BP92" i="21"/>
  <c r="EQ92" i="21"/>
  <c r="BP88" i="21"/>
  <c r="EQ88" i="21"/>
  <c r="BP84" i="21"/>
  <c r="EQ84" i="21"/>
  <c r="BP80" i="21"/>
  <c r="EQ80" i="21"/>
  <c r="BP76" i="21"/>
  <c r="EQ76" i="21"/>
  <c r="BP64" i="21"/>
  <c r="EQ64" i="21"/>
  <c r="BP60" i="21"/>
  <c r="EQ60" i="21"/>
  <c r="BP56" i="21"/>
  <c r="EQ56" i="21"/>
  <c r="BP52" i="21"/>
  <c r="EQ52" i="21"/>
  <c r="BP48" i="21"/>
  <c r="EQ48" i="21"/>
  <c r="BP44" i="21"/>
  <c r="EQ44" i="21"/>
  <c r="BP40" i="21"/>
  <c r="EQ40" i="21"/>
  <c r="BP36" i="21"/>
  <c r="EQ36" i="21"/>
  <c r="BP32" i="21"/>
  <c r="EQ32" i="21"/>
  <c r="BP28" i="21"/>
  <c r="EQ28" i="21"/>
  <c r="BP24" i="21"/>
  <c r="EQ24" i="21"/>
  <c r="BP16" i="21"/>
  <c r="EQ16" i="21"/>
  <c r="BP12" i="21"/>
  <c r="EQ12" i="21"/>
  <c r="BP8" i="21"/>
  <c r="EQ8" i="21"/>
  <c r="BP4" i="21"/>
  <c r="EQ4" i="21"/>
  <c r="BP193" i="21"/>
  <c r="EQ193" i="21"/>
  <c r="BP181" i="21"/>
  <c r="EQ181" i="21"/>
  <c r="BP165" i="21"/>
  <c r="EQ165" i="21"/>
  <c r="BP141" i="21"/>
  <c r="EQ141" i="21"/>
  <c r="BP129" i="21"/>
  <c r="EQ129" i="21"/>
  <c r="BP117" i="21"/>
  <c r="EQ117" i="21"/>
  <c r="BP105" i="21"/>
  <c r="EQ105" i="21"/>
  <c r="BP93" i="21"/>
  <c r="EQ93" i="21"/>
  <c r="BP81" i="21"/>
  <c r="EQ81" i="21"/>
  <c r="BP57" i="21"/>
  <c r="EQ57" i="21"/>
  <c r="BP49" i="21"/>
  <c r="EQ49" i="21"/>
  <c r="BP37" i="21"/>
  <c r="EQ37" i="21"/>
  <c r="BP21" i="21"/>
  <c r="EQ21" i="21"/>
  <c r="BP199" i="21"/>
  <c r="EQ199" i="21"/>
  <c r="BP195" i="21"/>
  <c r="EQ195" i="21"/>
  <c r="BP191" i="21"/>
  <c r="EQ191" i="21"/>
  <c r="BP183" i="21"/>
  <c r="EQ183" i="21"/>
  <c r="BP179" i="21"/>
  <c r="EQ179" i="21"/>
  <c r="BP175" i="21"/>
  <c r="EQ175" i="21"/>
  <c r="BP171" i="21"/>
  <c r="EQ171" i="21"/>
  <c r="BP167" i="21"/>
  <c r="EQ167" i="21"/>
  <c r="BP163" i="21"/>
  <c r="EQ163" i="21"/>
  <c r="BP159" i="21"/>
  <c r="EQ159" i="21"/>
  <c r="BP155" i="21"/>
  <c r="EQ155" i="21"/>
  <c r="BP151" i="21"/>
  <c r="EQ151" i="21"/>
  <c r="BP143" i="21"/>
  <c r="EQ143" i="21"/>
  <c r="BP139" i="21"/>
  <c r="EQ139" i="21"/>
  <c r="BP135" i="21"/>
  <c r="EQ135" i="21"/>
  <c r="BP131" i="21"/>
  <c r="EQ131" i="21"/>
  <c r="BP127" i="21"/>
  <c r="EQ127" i="21"/>
  <c r="BP123" i="21"/>
  <c r="EQ123" i="21"/>
  <c r="BP119" i="21"/>
  <c r="EQ119" i="21"/>
  <c r="BP115" i="21"/>
  <c r="EQ115" i="21"/>
  <c r="BP111" i="21"/>
  <c r="EQ111" i="21"/>
  <c r="BP107" i="21"/>
  <c r="EQ107" i="21"/>
  <c r="BP103" i="21"/>
  <c r="EQ103" i="21"/>
  <c r="BP99" i="21"/>
  <c r="EQ99" i="21"/>
  <c r="BP95" i="21"/>
  <c r="EQ95" i="21"/>
  <c r="BP87" i="21"/>
  <c r="EQ87" i="21"/>
  <c r="BP83" i="21"/>
  <c r="EQ83" i="21"/>
  <c r="BP79" i="21"/>
  <c r="EQ79" i="21"/>
  <c r="BP75" i="21"/>
  <c r="EQ75" i="21"/>
  <c r="BP71" i="21"/>
  <c r="EQ71" i="21"/>
  <c r="BP67" i="21"/>
  <c r="EQ67" i="21"/>
  <c r="BP63" i="21"/>
  <c r="EQ63" i="21"/>
  <c r="BP59" i="21"/>
  <c r="EQ59" i="21"/>
  <c r="BP55" i="21"/>
  <c r="EQ55" i="21"/>
  <c r="BP47" i="21"/>
  <c r="EQ47" i="21"/>
  <c r="BP43" i="21"/>
  <c r="EQ43" i="21"/>
  <c r="BP39" i="21"/>
  <c r="EQ39" i="21"/>
  <c r="BP35" i="21"/>
  <c r="EQ35" i="21"/>
  <c r="BP27" i="21"/>
  <c r="EQ27" i="21"/>
  <c r="BP23" i="21"/>
  <c r="EQ23" i="21"/>
  <c r="BP15" i="21"/>
  <c r="EQ15" i="21"/>
  <c r="BP11" i="21"/>
  <c r="EQ11" i="21"/>
  <c r="BP7" i="21"/>
  <c r="EQ7" i="21"/>
  <c r="BP197" i="21"/>
  <c r="EQ197" i="21"/>
  <c r="BP185" i="21"/>
  <c r="EQ185" i="21"/>
  <c r="BP173" i="21"/>
  <c r="EQ173" i="21"/>
  <c r="BP161" i="21"/>
  <c r="EQ161" i="21"/>
  <c r="BP149" i="21"/>
  <c r="EQ149" i="21"/>
  <c r="BP121" i="21"/>
  <c r="EQ121" i="21"/>
  <c r="BP109" i="21"/>
  <c r="EQ109" i="21"/>
  <c r="BP97" i="21"/>
  <c r="EQ97" i="21"/>
  <c r="BP85" i="21"/>
  <c r="EQ85" i="21"/>
  <c r="BP73" i="21"/>
  <c r="EQ73" i="21"/>
  <c r="BP45" i="21"/>
  <c r="EQ45" i="21"/>
  <c r="BP29" i="21"/>
  <c r="EQ29" i="21"/>
  <c r="BP17" i="21"/>
  <c r="EQ17" i="21"/>
  <c r="BP5" i="21"/>
  <c r="EQ5" i="21"/>
  <c r="BP202" i="21"/>
  <c r="EQ202" i="21"/>
  <c r="BP198" i="21"/>
  <c r="EQ198" i="21"/>
  <c r="BP194" i="21"/>
  <c r="EQ194" i="21"/>
  <c r="BP190" i="21"/>
  <c r="EQ190" i="21"/>
  <c r="BP186" i="21"/>
  <c r="EQ186" i="21"/>
  <c r="BP182" i="21"/>
  <c r="EQ182" i="21"/>
  <c r="BP178" i="21"/>
  <c r="EQ178" i="21"/>
  <c r="BP170" i="21"/>
  <c r="EQ170" i="21"/>
  <c r="BP166" i="21"/>
  <c r="EQ166" i="21"/>
  <c r="BP162" i="21"/>
  <c r="EQ162" i="21"/>
  <c r="BP158" i="21"/>
  <c r="EQ158" i="21"/>
  <c r="BP146" i="21"/>
  <c r="EQ146" i="21"/>
  <c r="BP142" i="21"/>
  <c r="EQ142" i="21"/>
  <c r="BP138" i="21"/>
  <c r="EQ138" i="21"/>
  <c r="BP134" i="21"/>
  <c r="EQ134" i="21"/>
  <c r="BP130" i="21"/>
  <c r="EQ130" i="21"/>
  <c r="BP126" i="21"/>
  <c r="EQ126" i="21"/>
  <c r="BP122" i="21"/>
  <c r="EQ122" i="21"/>
  <c r="BP114" i="21"/>
  <c r="EQ114" i="21"/>
  <c r="BP110" i="21"/>
  <c r="EQ110" i="21"/>
  <c r="BP102" i="21"/>
  <c r="EQ102" i="21"/>
  <c r="BP98" i="21"/>
  <c r="EQ98" i="21"/>
  <c r="BP94" i="21"/>
  <c r="EQ94" i="21"/>
  <c r="BP90" i="21"/>
  <c r="EQ90" i="21"/>
  <c r="BP86" i="21"/>
  <c r="EQ86" i="21"/>
  <c r="BP82" i="21"/>
  <c r="EQ82" i="21"/>
  <c r="BP78" i="21"/>
  <c r="EQ78" i="21"/>
  <c r="BP74" i="21"/>
  <c r="EQ74" i="21"/>
  <c r="BP70" i="21"/>
  <c r="EQ70" i="21"/>
  <c r="BP66" i="21"/>
  <c r="EQ66" i="21"/>
  <c r="BP62" i="21"/>
  <c r="EQ62" i="21"/>
  <c r="BP58" i="21"/>
  <c r="EQ58" i="21"/>
  <c r="BP54" i="21"/>
  <c r="EQ54" i="21"/>
  <c r="BP50" i="21"/>
  <c r="EQ50" i="21"/>
  <c r="BP46" i="21"/>
  <c r="EQ46" i="21"/>
  <c r="BP42" i="21"/>
  <c r="EQ42" i="21"/>
  <c r="BP38" i="21"/>
  <c r="EQ38" i="21"/>
  <c r="BP34" i="21"/>
  <c r="EQ34" i="21"/>
  <c r="BP30" i="21"/>
  <c r="EQ30" i="21"/>
  <c r="BP26" i="21"/>
  <c r="EQ26" i="21"/>
  <c r="BP22" i="21"/>
  <c r="EQ22" i="21"/>
  <c r="BP18" i="21"/>
  <c r="EQ18" i="21"/>
  <c r="BP14" i="21"/>
  <c r="EQ14" i="21"/>
  <c r="BP10" i="21"/>
  <c r="EQ10" i="21"/>
  <c r="BP6" i="21"/>
  <c r="EQ6" i="21"/>
  <c r="CG160" i="5"/>
  <c r="DV160" i="5"/>
  <c r="CG158" i="5"/>
  <c r="DV158" i="5"/>
  <c r="CG159" i="5"/>
  <c r="DV159" i="5"/>
  <c r="CG156" i="5"/>
  <c r="DV156" i="5"/>
  <c r="CG165" i="5"/>
  <c r="DV165" i="5"/>
  <c r="CG164" i="5"/>
  <c r="DV164" i="5"/>
  <c r="CG157" i="5"/>
  <c r="DV157" i="5"/>
  <c r="BL150" i="5"/>
  <c r="DO150" i="5"/>
  <c r="DN54" i="5"/>
  <c r="BI54" i="5"/>
  <c r="DN48" i="5"/>
  <c r="BI48" i="5"/>
  <c r="DN45" i="5"/>
  <c r="BI45" i="5"/>
  <c r="DN10" i="5"/>
  <c r="BI10" i="5"/>
  <c r="DN61" i="5"/>
  <c r="BI61" i="5"/>
  <c r="BL196" i="5"/>
  <c r="DO196" i="5"/>
  <c r="DN42" i="5"/>
  <c r="BI42" i="5"/>
  <c r="DN62" i="5"/>
  <c r="BI62" i="5"/>
  <c r="DN35" i="5"/>
  <c r="BI35" i="5"/>
  <c r="DN9" i="5"/>
  <c r="BI9" i="5"/>
  <c r="BL195" i="5"/>
  <c r="DO195" i="5"/>
  <c r="DN32" i="5"/>
  <c r="BI32" i="5"/>
  <c r="DN4" i="5"/>
  <c r="BI4" i="5"/>
  <c r="DN78" i="5"/>
  <c r="BI78" i="5"/>
  <c r="DN65" i="5"/>
  <c r="BI65" i="5"/>
  <c r="DN58" i="5"/>
  <c r="BI58" i="5"/>
  <c r="DN17" i="5"/>
  <c r="BI17" i="5"/>
  <c r="DN39" i="5"/>
  <c r="BI39" i="5"/>
  <c r="DN47" i="5"/>
  <c r="BI47" i="5"/>
  <c r="DN68" i="5"/>
  <c r="BI68" i="5"/>
  <c r="DN84" i="5"/>
  <c r="BI84" i="5"/>
  <c r="DN86" i="5"/>
  <c r="BI86" i="5"/>
  <c r="DN21" i="5"/>
  <c r="BI21" i="5"/>
  <c r="DN25" i="5"/>
  <c r="BI25" i="5"/>
  <c r="DN46" i="5"/>
  <c r="BI46" i="5"/>
  <c r="BL93" i="5"/>
  <c r="DO93" i="5"/>
  <c r="BL198" i="5"/>
  <c r="DO198" i="5"/>
  <c r="BL130" i="5"/>
  <c r="DO130" i="5"/>
  <c r="DO106" i="5"/>
  <c r="BL106" i="5"/>
  <c r="BI94" i="5"/>
  <c r="DN94" i="5"/>
  <c r="BR154" i="5"/>
  <c r="DQ154" i="5"/>
  <c r="BL188" i="5"/>
  <c r="DO188" i="5"/>
  <c r="BI127" i="5"/>
  <c r="DN127" i="5"/>
  <c r="BL89" i="5"/>
  <c r="DO89" i="5"/>
  <c r="BI95" i="5"/>
  <c r="DN95" i="5"/>
  <c r="BI120" i="5"/>
  <c r="DN120" i="5"/>
  <c r="DN44" i="5"/>
  <c r="BI44" i="5"/>
  <c r="DN33" i="5"/>
  <c r="BI33" i="5"/>
  <c r="DN29" i="5"/>
  <c r="BI29" i="5"/>
  <c r="DN16" i="5"/>
  <c r="BI16" i="5"/>
  <c r="DN19" i="5"/>
  <c r="BI19" i="5"/>
  <c r="DN76" i="5"/>
  <c r="BI76" i="5"/>
  <c r="DN5" i="5"/>
  <c r="BI5" i="5"/>
  <c r="DN87" i="5"/>
  <c r="BI87" i="5"/>
  <c r="DN80" i="5"/>
  <c r="BI80" i="5"/>
  <c r="DN81" i="5"/>
  <c r="BI81" i="5"/>
  <c r="DN49" i="5"/>
  <c r="BI49" i="5"/>
  <c r="DN53" i="5"/>
  <c r="BI53" i="5"/>
  <c r="DN75" i="5"/>
  <c r="BI75" i="5"/>
  <c r="DN52" i="5"/>
  <c r="BI52" i="5"/>
  <c r="DN37" i="5"/>
  <c r="BI37" i="5"/>
  <c r="DN74" i="5"/>
  <c r="BI74" i="5"/>
  <c r="DN85" i="5"/>
  <c r="BI85" i="5"/>
  <c r="DN14" i="5"/>
  <c r="BI14" i="5"/>
  <c r="DN7" i="5"/>
  <c r="BI7" i="5"/>
  <c r="DN23" i="5"/>
  <c r="BI23" i="5"/>
  <c r="BL104" i="5"/>
  <c r="DO104" i="5"/>
  <c r="BL194" i="5"/>
  <c r="DO194" i="5"/>
  <c r="BI149" i="5"/>
  <c r="DN149" i="5"/>
  <c r="BI135" i="5"/>
  <c r="DN135" i="5"/>
  <c r="BI100" i="5"/>
  <c r="DN100" i="5"/>
  <c r="BL192" i="5"/>
  <c r="DO192" i="5"/>
  <c r="BI99" i="5"/>
  <c r="DN99" i="5"/>
  <c r="BI145" i="5"/>
  <c r="DN145" i="5"/>
  <c r="BI148" i="5"/>
  <c r="DN148" i="5"/>
  <c r="BI131" i="5"/>
  <c r="DN131" i="5"/>
  <c r="BI147" i="5"/>
  <c r="DN147" i="5"/>
  <c r="BI139" i="5"/>
  <c r="DN139" i="5"/>
  <c r="BI153" i="5"/>
  <c r="DN153" i="5"/>
  <c r="BI115" i="5"/>
  <c r="DN115" i="5"/>
  <c r="DN56" i="5"/>
  <c r="BI56" i="5"/>
  <c r="DN72" i="5"/>
  <c r="BI72" i="5"/>
  <c r="DN167" i="5"/>
  <c r="BI167" i="5"/>
  <c r="DN34" i="5"/>
  <c r="BI34" i="5"/>
  <c r="DN18" i="5"/>
  <c r="BI18" i="5"/>
  <c r="DN22" i="5"/>
  <c r="BI22" i="5"/>
  <c r="DN41" i="5"/>
  <c r="BI41" i="5"/>
  <c r="DN66" i="5"/>
  <c r="BI66" i="5"/>
  <c r="DN50" i="5"/>
  <c r="BI50" i="5"/>
  <c r="DN59" i="5"/>
  <c r="BI59" i="5"/>
  <c r="DN12" i="5"/>
  <c r="BI12" i="5"/>
  <c r="DN73" i="5"/>
  <c r="BI73" i="5"/>
  <c r="DN64" i="5"/>
  <c r="BI64" i="5"/>
  <c r="DN11" i="5"/>
  <c r="BI11" i="5"/>
  <c r="DN77" i="5"/>
  <c r="BI77" i="5"/>
  <c r="DN67" i="5"/>
  <c r="BI67" i="5"/>
  <c r="DN83" i="5"/>
  <c r="BI83" i="5"/>
  <c r="DN79" i="5"/>
  <c r="BI79" i="5"/>
  <c r="BI190" i="5"/>
  <c r="DN190" i="5"/>
  <c r="DN70" i="5"/>
  <c r="BI70" i="5"/>
  <c r="DN108" i="5"/>
  <c r="BI108" i="5"/>
  <c r="BI129" i="5"/>
  <c r="DN129" i="5"/>
  <c r="BI113" i="5"/>
  <c r="DN113" i="5"/>
  <c r="BI92" i="5"/>
  <c r="DN92" i="5"/>
  <c r="BL146" i="5"/>
  <c r="DO146" i="5"/>
  <c r="BI151" i="5"/>
  <c r="DN151" i="5"/>
  <c r="BL134" i="5"/>
  <c r="DO134" i="5"/>
  <c r="BI111" i="5"/>
  <c r="DN111" i="5"/>
  <c r="BI98" i="5"/>
  <c r="DN98" i="5"/>
  <c r="BI96" i="5"/>
  <c r="DN96" i="5"/>
  <c r="BI197" i="5"/>
  <c r="DN197" i="5"/>
  <c r="BL117" i="5"/>
  <c r="DO117" i="5"/>
  <c r="BI91" i="5"/>
  <c r="DN91" i="5"/>
  <c r="DN82" i="5"/>
  <c r="BI82" i="5"/>
  <c r="DN38" i="5"/>
  <c r="BI38" i="5"/>
  <c r="DN20" i="5"/>
  <c r="BI20" i="5"/>
  <c r="DN40" i="5"/>
  <c r="BI40" i="5"/>
  <c r="DN55" i="5"/>
  <c r="BI55" i="5"/>
  <c r="DN24" i="5"/>
  <c r="BI24" i="5"/>
  <c r="DN51" i="5"/>
  <c r="BI51" i="5"/>
  <c r="DO189" i="5"/>
  <c r="BL189" i="5"/>
  <c r="DN15" i="5"/>
  <c r="BI15" i="5"/>
  <c r="DN26" i="5"/>
  <c r="BI26" i="5"/>
  <c r="DN43" i="5"/>
  <c r="BI43" i="5"/>
  <c r="DN71" i="5"/>
  <c r="BI71" i="5"/>
  <c r="DN36" i="5"/>
  <c r="BI36" i="5"/>
  <c r="DN69" i="5"/>
  <c r="BI69" i="5"/>
  <c r="DN8" i="5"/>
  <c r="BI8" i="5"/>
  <c r="DN57" i="5"/>
  <c r="BI57" i="5"/>
  <c r="DN30" i="5"/>
  <c r="BI30" i="5"/>
  <c r="DN31" i="5"/>
  <c r="BI31" i="5"/>
  <c r="DN27" i="5"/>
  <c r="BI27" i="5"/>
  <c r="DN28" i="5"/>
  <c r="BI28" i="5"/>
  <c r="DN63" i="5"/>
  <c r="BI63" i="5"/>
  <c r="DN13" i="5"/>
  <c r="BI13" i="5"/>
  <c r="DN60" i="5"/>
  <c r="BI60" i="5"/>
  <c r="BI88" i="5"/>
  <c r="DN88" i="5"/>
  <c r="BI116" i="5"/>
  <c r="DN116" i="5"/>
  <c r="DN173" i="5"/>
  <c r="BI173" i="5"/>
  <c r="DN107" i="5"/>
  <c r="BI107" i="5"/>
  <c r="DN199" i="5"/>
  <c r="BI199" i="5"/>
  <c r="BI191" i="5"/>
  <c r="DN191" i="5"/>
  <c r="BI132" i="5"/>
  <c r="DN132" i="5"/>
  <c r="BI200" i="5"/>
  <c r="DN200" i="5"/>
  <c r="BI119" i="5"/>
  <c r="DN119" i="5"/>
  <c r="BI136" i="5"/>
  <c r="DN136" i="5"/>
  <c r="BI114" i="5"/>
  <c r="DN114" i="5"/>
  <c r="BI112" i="5" l="1"/>
  <c r="DN112" i="5"/>
  <c r="BI118" i="5"/>
  <c r="DN118" i="5"/>
  <c r="BI144" i="5"/>
  <c r="DN144" i="5"/>
  <c r="BI155" i="5"/>
  <c r="DN155" i="5"/>
  <c r="BI152" i="5"/>
  <c r="DN152" i="5"/>
  <c r="BL101" i="5"/>
  <c r="DO101" i="5"/>
  <c r="BI102" i="5"/>
  <c r="DN102" i="5"/>
  <c r="BI90" i="5"/>
  <c r="DN90" i="5"/>
  <c r="DN6" i="5"/>
  <c r="BI6" i="5"/>
  <c r="BI193" i="5"/>
  <c r="DN193" i="5"/>
  <c r="BT6" i="21"/>
  <c r="ER6" i="21"/>
  <c r="BT14" i="21"/>
  <c r="ER14" i="21"/>
  <c r="BT22" i="21"/>
  <c r="ER22" i="21"/>
  <c r="BT30" i="21"/>
  <c r="ER30" i="21"/>
  <c r="BT38" i="21"/>
  <c r="ER38" i="21"/>
  <c r="BT46" i="21"/>
  <c r="ER46" i="21"/>
  <c r="BT54" i="21"/>
  <c r="ER54" i="21"/>
  <c r="BT62" i="21"/>
  <c r="ER62" i="21"/>
  <c r="BT70" i="21"/>
  <c r="ER70" i="21"/>
  <c r="BT78" i="21"/>
  <c r="ER78" i="21"/>
  <c r="BT86" i="21"/>
  <c r="ER86" i="21"/>
  <c r="BT94" i="21"/>
  <c r="ER94" i="21"/>
  <c r="BT102" i="21"/>
  <c r="ER102" i="21"/>
  <c r="BT110" i="21"/>
  <c r="ER110" i="21"/>
  <c r="BT126" i="21"/>
  <c r="ER126" i="21"/>
  <c r="BT134" i="21"/>
  <c r="ER134" i="21"/>
  <c r="BT142" i="21"/>
  <c r="ER142" i="21"/>
  <c r="BT158" i="21"/>
  <c r="ER158" i="21"/>
  <c r="BT166" i="21"/>
  <c r="ER166" i="21"/>
  <c r="BT182" i="21"/>
  <c r="ER182" i="21"/>
  <c r="BT190" i="21"/>
  <c r="ER190" i="21"/>
  <c r="BT198" i="21"/>
  <c r="ER198" i="21"/>
  <c r="BT5" i="21"/>
  <c r="ER5" i="21"/>
  <c r="BT29" i="21"/>
  <c r="ER29" i="21"/>
  <c r="BT85" i="21"/>
  <c r="ER85" i="21"/>
  <c r="BT109" i="21"/>
  <c r="ER109" i="21"/>
  <c r="BT161" i="21"/>
  <c r="ER161" i="21"/>
  <c r="BT185" i="21"/>
  <c r="ER185" i="21"/>
  <c r="BT7" i="21"/>
  <c r="ER7" i="21"/>
  <c r="BT15" i="21"/>
  <c r="ER15" i="21"/>
  <c r="BT23" i="21"/>
  <c r="ER23" i="21"/>
  <c r="BT39" i="21"/>
  <c r="ER39" i="21"/>
  <c r="BT47" i="21"/>
  <c r="ER47" i="21"/>
  <c r="BT55" i="21"/>
  <c r="ER55" i="21"/>
  <c r="BT63" i="21"/>
  <c r="ER63" i="21"/>
  <c r="BT71" i="21"/>
  <c r="ER71" i="21"/>
  <c r="BT79" i="21"/>
  <c r="ER79" i="21"/>
  <c r="BT87" i="21"/>
  <c r="ER87" i="21"/>
  <c r="BT95" i="21"/>
  <c r="ER95" i="21"/>
  <c r="BT103" i="21"/>
  <c r="ER103" i="21"/>
  <c r="BT111" i="21"/>
  <c r="ER111" i="21"/>
  <c r="BT119" i="21"/>
  <c r="ER119" i="21"/>
  <c r="BT127" i="21"/>
  <c r="ER127" i="21"/>
  <c r="BT135" i="21"/>
  <c r="ER135" i="21"/>
  <c r="BT143" i="21"/>
  <c r="ER143" i="21"/>
  <c r="BT151" i="21"/>
  <c r="ER151" i="21"/>
  <c r="BT159" i="21"/>
  <c r="ER159" i="21"/>
  <c r="BT167" i="21"/>
  <c r="ER167" i="21"/>
  <c r="BT175" i="21"/>
  <c r="ER175" i="21"/>
  <c r="BT183" i="21"/>
  <c r="ER183" i="21"/>
  <c r="BT191" i="21"/>
  <c r="ER191" i="21"/>
  <c r="BT199" i="21"/>
  <c r="ER199" i="21"/>
  <c r="BT37" i="21"/>
  <c r="ER37" i="21"/>
  <c r="BT57" i="21"/>
  <c r="ER57" i="21"/>
  <c r="BT81" i="21"/>
  <c r="ER81" i="21"/>
  <c r="BT105" i="21"/>
  <c r="ER105" i="21"/>
  <c r="BT129" i="21"/>
  <c r="ER129" i="21"/>
  <c r="BT181" i="21"/>
  <c r="ER181" i="21"/>
  <c r="BT4" i="21"/>
  <c r="ER4" i="21"/>
  <c r="BT12" i="21"/>
  <c r="ER12" i="21"/>
  <c r="BT28" i="21"/>
  <c r="ER28" i="21"/>
  <c r="BT36" i="21"/>
  <c r="ER36" i="21"/>
  <c r="BT44" i="21"/>
  <c r="ER44" i="21"/>
  <c r="BT52" i="21"/>
  <c r="ER52" i="21"/>
  <c r="BT60" i="21"/>
  <c r="ER60" i="21"/>
  <c r="BT76" i="21"/>
  <c r="ER76" i="21"/>
  <c r="BT84" i="21"/>
  <c r="ER84" i="21"/>
  <c r="BT92" i="21"/>
  <c r="ER92" i="21"/>
  <c r="BT108" i="21"/>
  <c r="ER108" i="21"/>
  <c r="BT116" i="21"/>
  <c r="ER116" i="21"/>
  <c r="BT132" i="21"/>
  <c r="ER132" i="21"/>
  <c r="BT156" i="21"/>
  <c r="ER156" i="21"/>
  <c r="BT164" i="21"/>
  <c r="ER164" i="21"/>
  <c r="BT172" i="21"/>
  <c r="ER172" i="21"/>
  <c r="BT180" i="21"/>
  <c r="ER180" i="21"/>
  <c r="BT188" i="21"/>
  <c r="ER188" i="21"/>
  <c r="BT196" i="21"/>
  <c r="ER196" i="21"/>
  <c r="BT77" i="21"/>
  <c r="ER77" i="21"/>
  <c r="BT101" i="21"/>
  <c r="ER101" i="21"/>
  <c r="BT125" i="21"/>
  <c r="ER125" i="21"/>
  <c r="BT145" i="21"/>
  <c r="ER145" i="21"/>
  <c r="BT169" i="21"/>
  <c r="ER169" i="21"/>
  <c r="BT189" i="21"/>
  <c r="ER189" i="21"/>
  <c r="BT10" i="21"/>
  <c r="ER10" i="21"/>
  <c r="BT18" i="21"/>
  <c r="ER18" i="21"/>
  <c r="BT26" i="21"/>
  <c r="ER26" i="21"/>
  <c r="BT34" i="21"/>
  <c r="ER34" i="21"/>
  <c r="BT42" i="21"/>
  <c r="ER42" i="21"/>
  <c r="BT50" i="21"/>
  <c r="ER50" i="21"/>
  <c r="BT58" i="21"/>
  <c r="ER58" i="21"/>
  <c r="BT66" i="21"/>
  <c r="ER66" i="21"/>
  <c r="BT74" i="21"/>
  <c r="ER74" i="21"/>
  <c r="BT82" i="21"/>
  <c r="ER82" i="21"/>
  <c r="BT90" i="21"/>
  <c r="ER90" i="21"/>
  <c r="BT98" i="21"/>
  <c r="ER98" i="21"/>
  <c r="BT114" i="21"/>
  <c r="ER114" i="21"/>
  <c r="BT122" i="21"/>
  <c r="ER122" i="21"/>
  <c r="BT130" i="21"/>
  <c r="ER130" i="21"/>
  <c r="BT138" i="21"/>
  <c r="ER138" i="21"/>
  <c r="BT146" i="21"/>
  <c r="ER146" i="21"/>
  <c r="BT162" i="21"/>
  <c r="ER162" i="21"/>
  <c r="BT170" i="21"/>
  <c r="ER170" i="21"/>
  <c r="BT178" i="21"/>
  <c r="ER178" i="21"/>
  <c r="BT186" i="21"/>
  <c r="ER186" i="21"/>
  <c r="BT194" i="21"/>
  <c r="ER194" i="21"/>
  <c r="BT202" i="21"/>
  <c r="ER202" i="21"/>
  <c r="BT17" i="21"/>
  <c r="ER17" i="21"/>
  <c r="BT45" i="21"/>
  <c r="ER45" i="21"/>
  <c r="BT73" i="21"/>
  <c r="ER73" i="21"/>
  <c r="BT97" i="21"/>
  <c r="ER97" i="21"/>
  <c r="BT121" i="21"/>
  <c r="ER121" i="21"/>
  <c r="BT149" i="21"/>
  <c r="ER149" i="21"/>
  <c r="BT173" i="21"/>
  <c r="ER173" i="21"/>
  <c r="BT197" i="21"/>
  <c r="ER197" i="21"/>
  <c r="BT11" i="21"/>
  <c r="ER11" i="21"/>
  <c r="BT27" i="21"/>
  <c r="ER27" i="21"/>
  <c r="BT35" i="21"/>
  <c r="ER35" i="21"/>
  <c r="BT43" i="21"/>
  <c r="ER43" i="21"/>
  <c r="BT59" i="21"/>
  <c r="ER59" i="21"/>
  <c r="BT67" i="21"/>
  <c r="ER67" i="21"/>
  <c r="BT75" i="21"/>
  <c r="ER75" i="21"/>
  <c r="BT83" i="21"/>
  <c r="ER83" i="21"/>
  <c r="BT99" i="21"/>
  <c r="ER99" i="21"/>
  <c r="BT107" i="21"/>
  <c r="ER107" i="21"/>
  <c r="BT115" i="21"/>
  <c r="ER115" i="21"/>
  <c r="BT123" i="21"/>
  <c r="ER123" i="21"/>
  <c r="BT131" i="21"/>
  <c r="ER131" i="21"/>
  <c r="BT139" i="21"/>
  <c r="ER139" i="21"/>
  <c r="BT155" i="21"/>
  <c r="ER155" i="21"/>
  <c r="BT163" i="21"/>
  <c r="ER163" i="21"/>
  <c r="BT171" i="21"/>
  <c r="ER171" i="21"/>
  <c r="BT179" i="21"/>
  <c r="ER179" i="21"/>
  <c r="BT195" i="21"/>
  <c r="ER195" i="21"/>
  <c r="BT21" i="21"/>
  <c r="ER21" i="21"/>
  <c r="BT49" i="21"/>
  <c r="ER49" i="21"/>
  <c r="BT93" i="21"/>
  <c r="ER93" i="21"/>
  <c r="BT117" i="21"/>
  <c r="ER117" i="21"/>
  <c r="BT141" i="21"/>
  <c r="ER141" i="21"/>
  <c r="BT165" i="21"/>
  <c r="ER165" i="21"/>
  <c r="BT193" i="21"/>
  <c r="ER193" i="21"/>
  <c r="BT8" i="21"/>
  <c r="ER8" i="21"/>
  <c r="BT16" i="21"/>
  <c r="ER16" i="21"/>
  <c r="BT24" i="21"/>
  <c r="ER24" i="21"/>
  <c r="BT32" i="21"/>
  <c r="ER32" i="21"/>
  <c r="BT40" i="21"/>
  <c r="ER40" i="21"/>
  <c r="BT48" i="21"/>
  <c r="ER48" i="21"/>
  <c r="BT56" i="21"/>
  <c r="ER56" i="21"/>
  <c r="BT64" i="21"/>
  <c r="ER64" i="21"/>
  <c r="BT80" i="21"/>
  <c r="ER80" i="21"/>
  <c r="BT88" i="21"/>
  <c r="ER88" i="21"/>
  <c r="BT96" i="21"/>
  <c r="ER96" i="21"/>
  <c r="BT104" i="21"/>
  <c r="ER104" i="21"/>
  <c r="BT112" i="21"/>
  <c r="ER112" i="21"/>
  <c r="BT120" i="21"/>
  <c r="ER120" i="21"/>
  <c r="BT128" i="21"/>
  <c r="ER128" i="21"/>
  <c r="BT136" i="21"/>
  <c r="ER136" i="21"/>
  <c r="BT144" i="21"/>
  <c r="ER144" i="21"/>
  <c r="BT152" i="21"/>
  <c r="ER152" i="21"/>
  <c r="BT160" i="21"/>
  <c r="ER160" i="21"/>
  <c r="BT168" i="21"/>
  <c r="ER168" i="21"/>
  <c r="BT176" i="21"/>
  <c r="ER176" i="21"/>
  <c r="BT184" i="21"/>
  <c r="ER184" i="21"/>
  <c r="BT192" i="21"/>
  <c r="ER192" i="21"/>
  <c r="BT200" i="21"/>
  <c r="ER200" i="21"/>
  <c r="BT25" i="21"/>
  <c r="ER25" i="21"/>
  <c r="BT41" i="21"/>
  <c r="ER41" i="21"/>
  <c r="BT65" i="21"/>
  <c r="ER65" i="21"/>
  <c r="BT89" i="21"/>
  <c r="ER89" i="21"/>
  <c r="BT113" i="21"/>
  <c r="ER113" i="21"/>
  <c r="BT137" i="21"/>
  <c r="ER137" i="21"/>
  <c r="BT157" i="21"/>
  <c r="ER157" i="21"/>
  <c r="BT177" i="21"/>
  <c r="ER177" i="21"/>
  <c r="BT201" i="21"/>
  <c r="ER201" i="21"/>
  <c r="CJ164" i="5"/>
  <c r="DW164" i="5"/>
  <c r="CJ165" i="5"/>
  <c r="DW165" i="5"/>
  <c r="DW158" i="5"/>
  <c r="CJ158" i="5"/>
  <c r="CJ159" i="5"/>
  <c r="DW159" i="5"/>
  <c r="CJ160" i="5"/>
  <c r="DW160" i="5"/>
  <c r="CJ156" i="5"/>
  <c r="DW156" i="5"/>
  <c r="CJ157" i="5"/>
  <c r="DW157" i="5"/>
  <c r="BL136" i="5"/>
  <c r="DO136" i="5"/>
  <c r="BL116" i="5"/>
  <c r="DO116" i="5"/>
  <c r="BL151" i="5"/>
  <c r="DO151" i="5"/>
  <c r="BL129" i="5"/>
  <c r="DO129" i="5"/>
  <c r="BL147" i="5"/>
  <c r="DO147" i="5"/>
  <c r="BL145" i="5"/>
  <c r="DO145" i="5"/>
  <c r="DP192" i="5"/>
  <c r="BO192" i="5"/>
  <c r="BO194" i="5"/>
  <c r="DP194" i="5"/>
  <c r="BL95" i="5"/>
  <c r="DO95" i="5"/>
  <c r="DO46" i="5"/>
  <c r="BL46" i="5"/>
  <c r="DO84" i="5"/>
  <c r="BL84" i="5"/>
  <c r="DO17" i="5"/>
  <c r="BL17" i="5"/>
  <c r="DO4" i="5"/>
  <c r="BL4" i="5"/>
  <c r="DO35" i="5"/>
  <c r="BL35" i="5"/>
  <c r="DO61" i="5"/>
  <c r="BL61" i="5"/>
  <c r="DO107" i="5"/>
  <c r="BL107" i="5"/>
  <c r="DO28" i="5"/>
  <c r="BL28" i="5"/>
  <c r="DO57" i="5"/>
  <c r="BL57" i="5"/>
  <c r="DO71" i="5"/>
  <c r="BL71" i="5"/>
  <c r="DO55" i="5"/>
  <c r="BL55" i="5"/>
  <c r="DO82" i="5"/>
  <c r="BL82" i="5"/>
  <c r="BL108" i="5"/>
  <c r="DO108" i="5"/>
  <c r="DO83" i="5"/>
  <c r="BL83" i="5"/>
  <c r="DO11" i="5"/>
  <c r="BL11" i="5"/>
  <c r="DO12" i="5"/>
  <c r="BL12" i="5"/>
  <c r="DO41" i="5"/>
  <c r="BL41" i="5"/>
  <c r="DO18" i="5"/>
  <c r="BL18" i="5"/>
  <c r="DO72" i="5"/>
  <c r="BL72" i="5"/>
  <c r="DO85" i="5"/>
  <c r="BL85" i="5"/>
  <c r="DO87" i="5"/>
  <c r="BL87" i="5"/>
  <c r="DO16" i="5"/>
  <c r="BL16" i="5"/>
  <c r="BL132" i="5"/>
  <c r="DO132" i="5"/>
  <c r="BL88" i="5"/>
  <c r="DO88" i="5"/>
  <c r="BO117" i="5"/>
  <c r="DP117" i="5"/>
  <c r="BL98" i="5"/>
  <c r="DO98" i="5"/>
  <c r="BO146" i="5"/>
  <c r="DP146" i="5"/>
  <c r="BL115" i="5"/>
  <c r="DO115" i="5"/>
  <c r="BL131" i="5"/>
  <c r="DO131" i="5"/>
  <c r="BL99" i="5"/>
  <c r="DO99" i="5"/>
  <c r="BL100" i="5"/>
  <c r="DO100" i="5"/>
  <c r="BL135" i="5"/>
  <c r="DO135" i="5"/>
  <c r="BO104" i="5"/>
  <c r="DP104" i="5"/>
  <c r="BO89" i="5"/>
  <c r="DP89" i="5"/>
  <c r="BL94" i="5"/>
  <c r="DO94" i="5"/>
  <c r="BO130" i="5"/>
  <c r="DP130" i="5"/>
  <c r="DO25" i="5"/>
  <c r="BL25" i="5"/>
  <c r="DO68" i="5"/>
  <c r="BL68" i="5"/>
  <c r="DO58" i="5"/>
  <c r="BL58" i="5"/>
  <c r="DO32" i="5"/>
  <c r="BL32" i="5"/>
  <c r="DO62" i="5"/>
  <c r="BL62" i="5"/>
  <c r="DO48" i="5"/>
  <c r="BL48" i="5"/>
  <c r="DO173" i="5"/>
  <c r="BL173" i="5"/>
  <c r="DO60" i="5"/>
  <c r="BL60" i="5"/>
  <c r="DO27" i="5"/>
  <c r="BL27" i="5"/>
  <c r="DO8" i="5"/>
  <c r="BL8" i="5"/>
  <c r="DO43" i="5"/>
  <c r="BL43" i="5"/>
  <c r="BO189" i="5"/>
  <c r="DP189" i="5"/>
  <c r="DO40" i="5"/>
  <c r="BL40" i="5"/>
  <c r="DO70" i="5"/>
  <c r="BL70" i="5"/>
  <c r="DO67" i="5"/>
  <c r="BL67" i="5"/>
  <c r="DO59" i="5"/>
  <c r="BL59" i="5"/>
  <c r="DO56" i="5"/>
  <c r="BL56" i="5"/>
  <c r="DO23" i="5"/>
  <c r="BL23" i="5"/>
  <c r="DO74" i="5"/>
  <c r="BL74" i="5"/>
  <c r="DO75" i="5"/>
  <c r="BL75" i="5"/>
  <c r="DO49" i="5"/>
  <c r="BL49" i="5"/>
  <c r="DO5" i="5"/>
  <c r="BL5" i="5"/>
  <c r="DO29" i="5"/>
  <c r="BL29" i="5"/>
  <c r="BL119" i="5"/>
  <c r="DO119" i="5"/>
  <c r="DO197" i="5"/>
  <c r="BL197" i="5"/>
  <c r="BL111" i="5"/>
  <c r="DO111" i="5"/>
  <c r="BL113" i="5"/>
  <c r="DO113" i="5"/>
  <c r="BL153" i="5"/>
  <c r="DO153" i="5"/>
  <c r="BL127" i="5"/>
  <c r="DO127" i="5"/>
  <c r="BU154" i="5"/>
  <c r="DR154" i="5"/>
  <c r="DP198" i="5"/>
  <c r="BO198" i="5"/>
  <c r="DO21" i="5"/>
  <c r="BL21" i="5"/>
  <c r="DO47" i="5"/>
  <c r="BL47" i="5"/>
  <c r="DO65" i="5"/>
  <c r="BL65" i="5"/>
  <c r="DO42" i="5"/>
  <c r="BL42" i="5"/>
  <c r="DO10" i="5"/>
  <c r="BL10" i="5"/>
  <c r="DO54" i="5"/>
  <c r="BL54" i="5"/>
  <c r="DO13" i="5"/>
  <c r="BL13" i="5"/>
  <c r="DO31" i="5"/>
  <c r="BL31" i="5"/>
  <c r="DO69" i="5"/>
  <c r="BL69" i="5"/>
  <c r="DO26" i="5"/>
  <c r="BL26" i="5"/>
  <c r="DO51" i="5"/>
  <c r="BL51" i="5"/>
  <c r="DO20" i="5"/>
  <c r="BL20" i="5"/>
  <c r="DO77" i="5"/>
  <c r="BL77" i="5"/>
  <c r="DO64" i="5"/>
  <c r="BL64" i="5"/>
  <c r="DO50" i="5"/>
  <c r="BL50" i="5"/>
  <c r="DO22" i="5"/>
  <c r="BL22" i="5"/>
  <c r="DO34" i="5"/>
  <c r="BL34" i="5"/>
  <c r="DO7" i="5"/>
  <c r="BL7" i="5"/>
  <c r="DO37" i="5"/>
  <c r="BL37" i="5"/>
  <c r="DO53" i="5"/>
  <c r="BL53" i="5"/>
  <c r="DO81" i="5"/>
  <c r="BL81" i="5"/>
  <c r="DO76" i="5"/>
  <c r="BL76" i="5"/>
  <c r="DO33" i="5"/>
  <c r="BL33" i="5"/>
  <c r="BO195" i="5"/>
  <c r="DP195" i="5"/>
  <c r="BL114" i="5"/>
  <c r="DO114" i="5"/>
  <c r="BL200" i="5"/>
  <c r="DO200" i="5"/>
  <c r="DO191" i="5"/>
  <c r="BL191" i="5"/>
  <c r="BL91" i="5"/>
  <c r="DO91" i="5"/>
  <c r="BL96" i="5"/>
  <c r="DO96" i="5"/>
  <c r="BO134" i="5"/>
  <c r="DP134" i="5"/>
  <c r="BL92" i="5"/>
  <c r="DO92" i="5"/>
  <c r="BL190" i="5"/>
  <c r="DO190" i="5"/>
  <c r="BL139" i="5"/>
  <c r="DO139" i="5"/>
  <c r="BL148" i="5"/>
  <c r="DO148" i="5"/>
  <c r="BL149" i="5"/>
  <c r="DO149" i="5"/>
  <c r="BL120" i="5"/>
  <c r="DO120" i="5"/>
  <c r="DP188" i="5"/>
  <c r="BO188" i="5"/>
  <c r="DO86" i="5"/>
  <c r="BL86" i="5"/>
  <c r="DO39" i="5"/>
  <c r="BL39" i="5"/>
  <c r="DO78" i="5"/>
  <c r="BL78" i="5"/>
  <c r="DO9" i="5"/>
  <c r="BL9" i="5"/>
  <c r="DO45" i="5"/>
  <c r="BL45" i="5"/>
  <c r="BL199" i="5"/>
  <c r="DO199" i="5"/>
  <c r="DO63" i="5"/>
  <c r="BL63" i="5"/>
  <c r="DO30" i="5"/>
  <c r="BL30" i="5"/>
  <c r="DO36" i="5"/>
  <c r="BL36" i="5"/>
  <c r="DO15" i="5"/>
  <c r="BL15" i="5"/>
  <c r="DO24" i="5"/>
  <c r="BL24" i="5"/>
  <c r="DO38" i="5"/>
  <c r="BL38" i="5"/>
  <c r="DO79" i="5"/>
  <c r="BL79" i="5"/>
  <c r="DO73" i="5"/>
  <c r="BL73" i="5"/>
  <c r="DO66" i="5"/>
  <c r="BL66" i="5"/>
  <c r="DO167" i="5"/>
  <c r="BL167" i="5"/>
  <c r="DO14" i="5"/>
  <c r="BL14" i="5"/>
  <c r="DO52" i="5"/>
  <c r="BL52" i="5"/>
  <c r="DO80" i="5"/>
  <c r="BL80" i="5"/>
  <c r="DO19" i="5"/>
  <c r="BL19" i="5"/>
  <c r="DO44" i="5"/>
  <c r="BL44" i="5"/>
  <c r="DP106" i="5"/>
  <c r="BO106" i="5"/>
  <c r="BO93" i="5"/>
  <c r="DP93" i="5"/>
  <c r="BO196" i="5"/>
  <c r="DP196" i="5"/>
  <c r="BO150" i="5"/>
  <c r="DP150" i="5"/>
  <c r="BL112" i="5" l="1"/>
  <c r="DO112" i="5"/>
  <c r="DO118" i="5"/>
  <c r="BL118" i="5"/>
  <c r="BL152" i="5"/>
  <c r="DO152" i="5"/>
  <c r="BL155" i="5"/>
  <c r="DO155" i="5"/>
  <c r="BL144" i="5"/>
  <c r="DO144" i="5"/>
  <c r="BO101" i="5"/>
  <c r="DP101" i="5"/>
  <c r="DO193" i="5"/>
  <c r="BL193" i="5"/>
  <c r="BL90" i="5"/>
  <c r="DO90" i="5"/>
  <c r="DO6" i="5"/>
  <c r="BL6" i="5"/>
  <c r="BL102" i="5"/>
  <c r="DO102" i="5"/>
  <c r="BX177" i="21"/>
  <c r="ES177" i="21"/>
  <c r="BX137" i="21"/>
  <c r="ES137" i="21"/>
  <c r="BX89" i="21"/>
  <c r="ES89" i="21"/>
  <c r="BX41" i="21"/>
  <c r="ES41" i="21"/>
  <c r="BX200" i="21"/>
  <c r="ES200" i="21"/>
  <c r="BX184" i="21"/>
  <c r="ES184" i="21"/>
  <c r="BX168" i="21"/>
  <c r="ES168" i="21"/>
  <c r="BX152" i="21"/>
  <c r="ES152" i="21"/>
  <c r="BX136" i="21"/>
  <c r="ES136" i="21"/>
  <c r="BX120" i="21"/>
  <c r="ES120" i="21"/>
  <c r="BX104" i="21"/>
  <c r="ES104" i="21"/>
  <c r="BX88" i="21"/>
  <c r="ES88" i="21"/>
  <c r="BX56" i="21"/>
  <c r="ES56" i="21"/>
  <c r="BX40" i="21"/>
  <c r="ES40" i="21"/>
  <c r="BX24" i="21"/>
  <c r="ES24" i="21"/>
  <c r="BX8" i="21"/>
  <c r="ES8" i="21"/>
  <c r="BX165" i="21"/>
  <c r="ES165" i="21"/>
  <c r="BX117" i="21"/>
  <c r="ES117" i="21"/>
  <c r="BX21" i="21"/>
  <c r="ES21" i="21"/>
  <c r="BX171" i="21"/>
  <c r="ES171" i="21"/>
  <c r="BX155" i="21"/>
  <c r="ES155" i="21"/>
  <c r="BX139" i="21"/>
  <c r="ES139" i="21"/>
  <c r="BX123" i="21"/>
  <c r="ES123" i="21"/>
  <c r="BX107" i="21"/>
  <c r="ES107" i="21"/>
  <c r="BX75" i="21"/>
  <c r="ES75" i="21"/>
  <c r="BX59" i="21"/>
  <c r="ES59" i="21"/>
  <c r="BX43" i="21"/>
  <c r="ES43" i="21"/>
  <c r="BX27" i="21"/>
  <c r="ES27" i="21"/>
  <c r="BX11" i="21"/>
  <c r="ES11" i="21"/>
  <c r="BX173" i="21"/>
  <c r="ES173" i="21"/>
  <c r="BX121" i="21"/>
  <c r="ES121" i="21"/>
  <c r="BX73" i="21"/>
  <c r="ES73" i="21"/>
  <c r="BX17" i="21"/>
  <c r="ES17" i="21"/>
  <c r="BX194" i="21"/>
  <c r="ES194" i="21"/>
  <c r="BX178" i="21"/>
  <c r="ES178" i="21"/>
  <c r="BX162" i="21"/>
  <c r="ES162" i="21"/>
  <c r="BX146" i="21"/>
  <c r="ES146" i="21"/>
  <c r="BX130" i="21"/>
  <c r="ES130" i="21"/>
  <c r="BX114" i="21"/>
  <c r="ES114" i="21"/>
  <c r="BX98" i="21"/>
  <c r="ES98" i="21"/>
  <c r="BX82" i="21"/>
  <c r="ES82" i="21"/>
  <c r="BX66" i="21"/>
  <c r="ES66" i="21"/>
  <c r="BX50" i="21"/>
  <c r="ES50" i="21"/>
  <c r="BX34" i="21"/>
  <c r="ES34" i="21"/>
  <c r="BX18" i="21"/>
  <c r="ES18" i="21"/>
  <c r="BX189" i="21"/>
  <c r="ES189" i="21"/>
  <c r="BX145" i="21"/>
  <c r="ES145" i="21"/>
  <c r="BX101" i="21"/>
  <c r="ES101" i="21"/>
  <c r="BX188" i="21"/>
  <c r="ES188" i="21"/>
  <c r="BX172" i="21"/>
  <c r="ES172" i="21"/>
  <c r="BX156" i="21"/>
  <c r="ES156" i="21"/>
  <c r="BX108" i="21"/>
  <c r="ES108" i="21"/>
  <c r="BX92" i="21"/>
  <c r="ES92" i="21"/>
  <c r="BX76" i="21"/>
  <c r="ES76" i="21"/>
  <c r="BX60" i="21"/>
  <c r="ES60" i="21"/>
  <c r="BX44" i="21"/>
  <c r="ES44" i="21"/>
  <c r="BX28" i="21"/>
  <c r="ES28" i="21"/>
  <c r="BX12" i="21"/>
  <c r="ES12" i="21"/>
  <c r="BX181" i="21"/>
  <c r="ES181" i="21"/>
  <c r="BX129" i="21"/>
  <c r="ES129" i="21"/>
  <c r="BX81" i="21"/>
  <c r="ES81" i="21"/>
  <c r="BX37" i="21"/>
  <c r="ES37" i="21"/>
  <c r="BX191" i="21"/>
  <c r="ES191" i="21"/>
  <c r="BX175" i="21"/>
  <c r="ES175" i="21"/>
  <c r="BX159" i="21"/>
  <c r="ES159" i="21"/>
  <c r="BX143" i="21"/>
  <c r="ES143" i="21"/>
  <c r="BX127" i="21"/>
  <c r="ES127" i="21"/>
  <c r="BX111" i="21"/>
  <c r="ES111" i="21"/>
  <c r="BX95" i="21"/>
  <c r="ES95" i="21"/>
  <c r="BX79" i="21"/>
  <c r="ES79" i="21"/>
  <c r="BX63" i="21"/>
  <c r="ES63" i="21"/>
  <c r="BX47" i="21"/>
  <c r="ES47" i="21"/>
  <c r="BX15" i="21"/>
  <c r="ES15" i="21"/>
  <c r="BX185" i="21"/>
  <c r="ES185" i="21"/>
  <c r="BX85" i="21"/>
  <c r="ES85" i="21"/>
  <c r="BX29" i="21"/>
  <c r="ES29" i="21"/>
  <c r="BX198" i="21"/>
  <c r="ES198" i="21"/>
  <c r="BX182" i="21"/>
  <c r="ES182" i="21"/>
  <c r="BX166" i="21"/>
  <c r="ES166" i="21"/>
  <c r="BX134" i="21"/>
  <c r="ES134" i="21"/>
  <c r="BX102" i="21"/>
  <c r="ES102" i="21"/>
  <c r="BX86" i="21"/>
  <c r="ES86" i="21"/>
  <c r="BX70" i="21"/>
  <c r="ES70" i="21"/>
  <c r="BX54" i="21"/>
  <c r="ES54" i="21"/>
  <c r="BX38" i="21"/>
  <c r="ES38" i="21"/>
  <c r="BX22" i="21"/>
  <c r="ES22" i="21"/>
  <c r="BX6" i="21"/>
  <c r="ES6" i="21"/>
  <c r="BX201" i="21"/>
  <c r="ES201" i="21"/>
  <c r="BX157" i="21"/>
  <c r="ES157" i="21"/>
  <c r="BX113" i="21"/>
  <c r="ES113" i="21"/>
  <c r="BX65" i="21"/>
  <c r="ES65" i="21"/>
  <c r="BX25" i="21"/>
  <c r="ES25" i="21"/>
  <c r="BX192" i="21"/>
  <c r="ES192" i="21"/>
  <c r="BX176" i="21"/>
  <c r="ES176" i="21"/>
  <c r="BX160" i="21"/>
  <c r="ES160" i="21"/>
  <c r="BX144" i="21"/>
  <c r="ES144" i="21"/>
  <c r="BX128" i="21"/>
  <c r="ES128" i="21"/>
  <c r="BX112" i="21"/>
  <c r="ES112" i="21"/>
  <c r="BX96" i="21"/>
  <c r="ES96" i="21"/>
  <c r="BX80" i="21"/>
  <c r="ES80" i="21"/>
  <c r="BX64" i="21"/>
  <c r="ES64" i="21"/>
  <c r="BX48" i="21"/>
  <c r="ES48" i="21"/>
  <c r="BX32" i="21"/>
  <c r="ES32" i="21"/>
  <c r="BX16" i="21"/>
  <c r="ES16" i="21"/>
  <c r="BX193" i="21"/>
  <c r="ES193" i="21"/>
  <c r="BX141" i="21"/>
  <c r="ES141" i="21"/>
  <c r="BX93" i="21"/>
  <c r="ES93" i="21"/>
  <c r="BX49" i="21"/>
  <c r="ES49" i="21"/>
  <c r="BX195" i="21"/>
  <c r="ES195" i="21"/>
  <c r="BX179" i="21"/>
  <c r="ES179" i="21"/>
  <c r="BX163" i="21"/>
  <c r="ES163" i="21"/>
  <c r="BX131" i="21"/>
  <c r="ES131" i="21"/>
  <c r="BX115" i="21"/>
  <c r="ES115" i="21"/>
  <c r="BX99" i="21"/>
  <c r="ES99" i="21"/>
  <c r="BX83" i="21"/>
  <c r="ES83" i="21"/>
  <c r="BX67" i="21"/>
  <c r="ES67" i="21"/>
  <c r="BX35" i="21"/>
  <c r="ES35" i="21"/>
  <c r="BX197" i="21"/>
  <c r="ES197" i="21"/>
  <c r="BX149" i="21"/>
  <c r="ES149" i="21"/>
  <c r="BX97" i="21"/>
  <c r="ES97" i="21"/>
  <c r="BX45" i="21"/>
  <c r="ES45" i="21"/>
  <c r="BX202" i="21"/>
  <c r="ES202" i="21"/>
  <c r="BX186" i="21"/>
  <c r="ES186" i="21"/>
  <c r="BX170" i="21"/>
  <c r="ES170" i="21"/>
  <c r="BX138" i="21"/>
  <c r="ES138" i="21"/>
  <c r="BX122" i="21"/>
  <c r="ES122" i="21"/>
  <c r="BX90" i="21"/>
  <c r="ES90" i="21"/>
  <c r="BX74" i="21"/>
  <c r="ES74" i="21"/>
  <c r="BX58" i="21"/>
  <c r="ES58" i="21"/>
  <c r="BX42" i="21"/>
  <c r="ES42" i="21"/>
  <c r="BX26" i="21"/>
  <c r="ES26" i="21"/>
  <c r="BX10" i="21"/>
  <c r="ES10" i="21"/>
  <c r="BX169" i="21"/>
  <c r="ES169" i="21"/>
  <c r="BX125" i="21"/>
  <c r="ES125" i="21"/>
  <c r="BX77" i="21"/>
  <c r="ES77" i="21"/>
  <c r="BX196" i="21"/>
  <c r="ES196" i="21"/>
  <c r="BX180" i="21"/>
  <c r="ES180" i="21"/>
  <c r="BX164" i="21"/>
  <c r="ES164" i="21"/>
  <c r="BX132" i="21"/>
  <c r="ES132" i="21"/>
  <c r="BX116" i="21"/>
  <c r="ES116" i="21"/>
  <c r="BX84" i="21"/>
  <c r="ES84" i="21"/>
  <c r="BX52" i="21"/>
  <c r="ES52" i="21"/>
  <c r="BX36" i="21"/>
  <c r="ES36" i="21"/>
  <c r="BX4" i="21"/>
  <c r="ES4" i="21"/>
  <c r="BX105" i="21"/>
  <c r="ES105" i="21"/>
  <c r="BX57" i="21"/>
  <c r="ES57" i="21"/>
  <c r="BX199" i="21"/>
  <c r="ES199" i="21"/>
  <c r="BX183" i="21"/>
  <c r="ES183" i="21"/>
  <c r="BX167" i="21"/>
  <c r="ES167" i="21"/>
  <c r="BX151" i="21"/>
  <c r="ES151" i="21"/>
  <c r="BX135" i="21"/>
  <c r="ES135" i="21"/>
  <c r="BX119" i="21"/>
  <c r="ES119" i="21"/>
  <c r="BX103" i="21"/>
  <c r="ES103" i="21"/>
  <c r="BX87" i="21"/>
  <c r="ES87" i="21"/>
  <c r="BX71" i="21"/>
  <c r="ES71" i="21"/>
  <c r="BX55" i="21"/>
  <c r="ES55" i="21"/>
  <c r="BX39" i="21"/>
  <c r="ES39" i="21"/>
  <c r="BX23" i="21"/>
  <c r="ES23" i="21"/>
  <c r="BX7" i="21"/>
  <c r="ES7" i="21"/>
  <c r="BX161" i="21"/>
  <c r="ES161" i="21"/>
  <c r="BX109" i="21"/>
  <c r="ES109" i="21"/>
  <c r="BX5" i="21"/>
  <c r="ES5" i="21"/>
  <c r="BX190" i="21"/>
  <c r="ES190" i="21"/>
  <c r="BX158" i="21"/>
  <c r="ES158" i="21"/>
  <c r="BX142" i="21"/>
  <c r="ES142" i="21"/>
  <c r="BX126" i="21"/>
  <c r="ES126" i="21"/>
  <c r="BX110" i="21"/>
  <c r="ES110" i="21"/>
  <c r="BX94" i="21"/>
  <c r="ES94" i="21"/>
  <c r="BX78" i="21"/>
  <c r="ES78" i="21"/>
  <c r="BX62" i="21"/>
  <c r="ES62" i="21"/>
  <c r="BX46" i="21"/>
  <c r="ES46" i="21"/>
  <c r="BX30" i="21"/>
  <c r="ES30" i="21"/>
  <c r="BX14" i="21"/>
  <c r="ES14" i="21"/>
  <c r="DX159" i="5"/>
  <c r="CM159" i="5"/>
  <c r="CM158" i="5"/>
  <c r="DX158" i="5"/>
  <c r="CM164" i="5"/>
  <c r="DX164" i="5"/>
  <c r="CM156" i="5"/>
  <c r="DX156" i="5"/>
  <c r="CM160" i="5"/>
  <c r="DX160" i="5"/>
  <c r="CM165" i="5"/>
  <c r="DX165" i="5"/>
  <c r="CM157" i="5"/>
  <c r="DX157" i="5"/>
  <c r="BO14" i="5"/>
  <c r="DP14" i="5"/>
  <c r="BO9" i="5"/>
  <c r="DP9" i="5"/>
  <c r="DP80" i="5"/>
  <c r="BO80" i="5"/>
  <c r="DP73" i="5"/>
  <c r="BO73" i="5"/>
  <c r="DP63" i="5"/>
  <c r="BO63" i="5"/>
  <c r="BR93" i="5"/>
  <c r="DQ93" i="5"/>
  <c r="BO120" i="5"/>
  <c r="DP120" i="5"/>
  <c r="BO148" i="5"/>
  <c r="DP148" i="5"/>
  <c r="BO92" i="5"/>
  <c r="DP92" i="5"/>
  <c r="BO114" i="5"/>
  <c r="DP114" i="5"/>
  <c r="BO5" i="5"/>
  <c r="DP5" i="5"/>
  <c r="DP23" i="5"/>
  <c r="BO23" i="5"/>
  <c r="DP60" i="5"/>
  <c r="BO60" i="5"/>
  <c r="DP68" i="5"/>
  <c r="BO68" i="5"/>
  <c r="DP87" i="5"/>
  <c r="BO87" i="5"/>
  <c r="BO18" i="5"/>
  <c r="DP18" i="5"/>
  <c r="DP83" i="5"/>
  <c r="BO83" i="5"/>
  <c r="DP71" i="5"/>
  <c r="BO71" i="5"/>
  <c r="BO17" i="5"/>
  <c r="DP17" i="5"/>
  <c r="DP76" i="5"/>
  <c r="BO76" i="5"/>
  <c r="BO7" i="5"/>
  <c r="DP7" i="5"/>
  <c r="DP50" i="5"/>
  <c r="BO50" i="5"/>
  <c r="DP51" i="5"/>
  <c r="BO51" i="5"/>
  <c r="BO13" i="5"/>
  <c r="DP13" i="5"/>
  <c r="DP65" i="5"/>
  <c r="BO65" i="5"/>
  <c r="BR189" i="5"/>
  <c r="DQ189" i="5"/>
  <c r="BO135" i="5"/>
  <c r="DP135" i="5"/>
  <c r="BO115" i="5"/>
  <c r="DP115" i="5"/>
  <c r="BR117" i="5"/>
  <c r="DQ117" i="5"/>
  <c r="BO132" i="5"/>
  <c r="DP132" i="5"/>
  <c r="BO145" i="5"/>
  <c r="DP145" i="5"/>
  <c r="BR106" i="5"/>
  <c r="DQ106" i="5"/>
  <c r="BO199" i="5"/>
  <c r="DP199" i="5"/>
  <c r="BO149" i="5"/>
  <c r="DP149" i="5"/>
  <c r="BO139" i="5"/>
  <c r="DP139" i="5"/>
  <c r="BR134" i="5"/>
  <c r="DQ134" i="5"/>
  <c r="BR195" i="5"/>
  <c r="DQ195" i="5"/>
  <c r="BO153" i="5"/>
  <c r="DP153" i="5"/>
  <c r="BO111" i="5"/>
  <c r="DP111" i="5"/>
  <c r="BO119" i="5"/>
  <c r="DP119" i="5"/>
  <c r="DP49" i="5"/>
  <c r="BO49" i="5"/>
  <c r="DP56" i="5"/>
  <c r="BO56" i="5"/>
  <c r="DP67" i="5"/>
  <c r="BO67" i="5"/>
  <c r="DP43" i="5"/>
  <c r="BO43" i="5"/>
  <c r="DP62" i="5"/>
  <c r="BO62" i="5"/>
  <c r="DP25" i="5"/>
  <c r="BO25" i="5"/>
  <c r="DP41" i="5"/>
  <c r="BO41" i="5"/>
  <c r="DP57" i="5"/>
  <c r="BO57" i="5"/>
  <c r="DP61" i="5"/>
  <c r="BO61" i="5"/>
  <c r="DP84" i="5"/>
  <c r="BO84" i="5"/>
  <c r="DP39" i="5"/>
  <c r="BO39" i="5"/>
  <c r="DP44" i="5"/>
  <c r="BO44" i="5"/>
  <c r="DP79" i="5"/>
  <c r="BO79" i="5"/>
  <c r="DP45" i="5"/>
  <c r="BO45" i="5"/>
  <c r="DP86" i="5"/>
  <c r="BO86" i="5"/>
  <c r="DP191" i="5"/>
  <c r="BO191" i="5"/>
  <c r="DP81" i="5"/>
  <c r="BO81" i="5"/>
  <c r="DP64" i="5"/>
  <c r="BO64" i="5"/>
  <c r="DP26" i="5"/>
  <c r="BO26" i="5"/>
  <c r="DP54" i="5"/>
  <c r="BO54" i="5"/>
  <c r="DP47" i="5"/>
  <c r="BO47" i="5"/>
  <c r="DP197" i="5"/>
  <c r="BO197" i="5"/>
  <c r="BR89" i="5"/>
  <c r="DQ89" i="5"/>
  <c r="BO100" i="5"/>
  <c r="DP100" i="5"/>
  <c r="BO108" i="5"/>
  <c r="DP108" i="5"/>
  <c r="BO95" i="5"/>
  <c r="DP95" i="5"/>
  <c r="BO147" i="5"/>
  <c r="DP147" i="5"/>
  <c r="BO151" i="5"/>
  <c r="DP151" i="5"/>
  <c r="BO116" i="5"/>
  <c r="DP116" i="5"/>
  <c r="DP167" i="5"/>
  <c r="BO167" i="5"/>
  <c r="BO15" i="5"/>
  <c r="DP15" i="5"/>
  <c r="DP52" i="5"/>
  <c r="BO52" i="5"/>
  <c r="DP36" i="5"/>
  <c r="BO36" i="5"/>
  <c r="BR150" i="5"/>
  <c r="DQ150" i="5"/>
  <c r="BO190" i="5"/>
  <c r="DP190" i="5"/>
  <c r="BO96" i="5"/>
  <c r="DP96" i="5"/>
  <c r="BX154" i="5"/>
  <c r="DS154" i="5"/>
  <c r="DP75" i="5"/>
  <c r="BO75" i="5"/>
  <c r="DP70" i="5"/>
  <c r="BO70" i="5"/>
  <c r="BO8" i="5"/>
  <c r="DP8" i="5"/>
  <c r="DP173" i="5"/>
  <c r="BO173" i="5"/>
  <c r="DP32" i="5"/>
  <c r="BO32" i="5"/>
  <c r="DP85" i="5"/>
  <c r="BO85" i="5"/>
  <c r="DP12" i="5"/>
  <c r="BO12" i="5"/>
  <c r="DP82" i="5"/>
  <c r="BO82" i="5"/>
  <c r="DP28" i="5"/>
  <c r="BO28" i="5"/>
  <c r="DP35" i="5"/>
  <c r="BO35" i="5"/>
  <c r="DP46" i="5"/>
  <c r="BO46" i="5"/>
  <c r="DP38" i="5"/>
  <c r="BO38" i="5"/>
  <c r="BR188" i="5"/>
  <c r="DQ188" i="5"/>
  <c r="DP53" i="5"/>
  <c r="BO53" i="5"/>
  <c r="DP34" i="5"/>
  <c r="BO34" i="5"/>
  <c r="DP77" i="5"/>
  <c r="BO77" i="5"/>
  <c r="DP69" i="5"/>
  <c r="BO69" i="5"/>
  <c r="DP10" i="5"/>
  <c r="BO10" i="5"/>
  <c r="BO21" i="5"/>
  <c r="DP21" i="5"/>
  <c r="BR130" i="5"/>
  <c r="DQ130" i="5"/>
  <c r="BO99" i="5"/>
  <c r="DP99" i="5"/>
  <c r="BR146" i="5"/>
  <c r="DQ146" i="5"/>
  <c r="BR194" i="5"/>
  <c r="DQ194" i="5"/>
  <c r="DP66" i="5"/>
  <c r="BO66" i="5"/>
  <c r="BR196" i="5"/>
  <c r="DQ196" i="5"/>
  <c r="BO91" i="5"/>
  <c r="DP91" i="5"/>
  <c r="BO200" i="5"/>
  <c r="DP200" i="5"/>
  <c r="BO127" i="5"/>
  <c r="DP127" i="5"/>
  <c r="BO113" i="5"/>
  <c r="DP113" i="5"/>
  <c r="DP29" i="5"/>
  <c r="BO29" i="5"/>
  <c r="DP74" i="5"/>
  <c r="BO74" i="5"/>
  <c r="DP59" i="5"/>
  <c r="BO59" i="5"/>
  <c r="DP40" i="5"/>
  <c r="BO40" i="5"/>
  <c r="DP27" i="5"/>
  <c r="BO27" i="5"/>
  <c r="DP48" i="5"/>
  <c r="BO48" i="5"/>
  <c r="DP58" i="5"/>
  <c r="BO58" i="5"/>
  <c r="BO16" i="5"/>
  <c r="DP16" i="5"/>
  <c r="DP72" i="5"/>
  <c r="BO72" i="5"/>
  <c r="BO11" i="5"/>
  <c r="DP11" i="5"/>
  <c r="DP55" i="5"/>
  <c r="BO55" i="5"/>
  <c r="BO107" i="5"/>
  <c r="DP107" i="5"/>
  <c r="DP4" i="5"/>
  <c r="BO4" i="5"/>
  <c r="BR192" i="5"/>
  <c r="DQ192" i="5"/>
  <c r="BO19" i="5"/>
  <c r="DP19" i="5"/>
  <c r="DP30" i="5"/>
  <c r="BO30" i="5"/>
  <c r="DP24" i="5"/>
  <c r="BO24" i="5"/>
  <c r="DP78" i="5"/>
  <c r="BO78" i="5"/>
  <c r="DP33" i="5"/>
  <c r="BO33" i="5"/>
  <c r="DP37" i="5"/>
  <c r="BO37" i="5"/>
  <c r="DP22" i="5"/>
  <c r="BO22" i="5"/>
  <c r="BO20" i="5"/>
  <c r="DP20" i="5"/>
  <c r="DP31" i="5"/>
  <c r="BO31" i="5"/>
  <c r="DP42" i="5"/>
  <c r="BO42" i="5"/>
  <c r="DQ198" i="5"/>
  <c r="BR198" i="5"/>
  <c r="BO94" i="5"/>
  <c r="DP94" i="5"/>
  <c r="DQ104" i="5"/>
  <c r="BR104" i="5"/>
  <c r="BO131" i="5"/>
  <c r="DP131" i="5"/>
  <c r="BO98" i="5"/>
  <c r="DP98" i="5"/>
  <c r="BO88" i="5"/>
  <c r="DP88" i="5"/>
  <c r="BO129" i="5"/>
  <c r="DP129" i="5"/>
  <c r="BO136" i="5"/>
  <c r="DP136" i="5"/>
  <c r="AO174" i="3"/>
  <c r="AO175" i="3"/>
  <c r="AO176" i="3"/>
  <c r="AO177" i="3"/>
  <c r="AO178" i="3"/>
  <c r="AO179" i="3"/>
  <c r="AO180" i="3"/>
  <c r="AO181" i="3"/>
  <c r="AO182" i="3"/>
  <c r="AO183" i="3"/>
  <c r="AO184" i="3"/>
  <c r="AO185" i="3"/>
  <c r="AO186" i="3"/>
  <c r="AO187" i="3"/>
  <c r="AO188" i="3"/>
  <c r="AO189" i="3"/>
  <c r="AO190" i="3"/>
  <c r="AO191" i="3"/>
  <c r="AO192" i="3"/>
  <c r="AO193" i="3"/>
  <c r="AO194" i="3"/>
  <c r="AO195" i="3"/>
  <c r="AO196" i="3"/>
  <c r="AO197" i="3"/>
  <c r="AO198" i="3"/>
  <c r="AO199" i="3"/>
  <c r="AO200" i="3"/>
  <c r="AO201" i="3"/>
  <c r="AO202" i="3"/>
  <c r="DP112" i="5" l="1"/>
  <c r="BO112" i="5"/>
  <c r="BO118" i="5"/>
  <c r="DP118" i="5"/>
  <c r="BO144" i="5"/>
  <c r="DP144" i="5"/>
  <c r="BO155" i="5"/>
  <c r="DP155" i="5"/>
  <c r="BO152" i="5"/>
  <c r="DP152" i="5"/>
  <c r="BR101" i="5"/>
  <c r="DQ101" i="5"/>
  <c r="BO102" i="5"/>
  <c r="DP102" i="5"/>
  <c r="BO90" i="5"/>
  <c r="DP90" i="5"/>
  <c r="BO6" i="5"/>
  <c r="DP6" i="5"/>
  <c r="DP193" i="5"/>
  <c r="BO193" i="5"/>
  <c r="CB14" i="21"/>
  <c r="ET14" i="21"/>
  <c r="CB46" i="21"/>
  <c r="ET46" i="21"/>
  <c r="CB78" i="21"/>
  <c r="ET78" i="21"/>
  <c r="CB110" i="21"/>
  <c r="ET110" i="21"/>
  <c r="CB142" i="21"/>
  <c r="ET142" i="21"/>
  <c r="CB5" i="21"/>
  <c r="ET5" i="21"/>
  <c r="CB109" i="21"/>
  <c r="ET109" i="21"/>
  <c r="CB7" i="21"/>
  <c r="ET7" i="21"/>
  <c r="CB39" i="21"/>
  <c r="ET39" i="21"/>
  <c r="CB71" i="21"/>
  <c r="ET71" i="21"/>
  <c r="CB103" i="21"/>
  <c r="ET103" i="21"/>
  <c r="CB135" i="21"/>
  <c r="ET135" i="21"/>
  <c r="CB167" i="21"/>
  <c r="ET167" i="21"/>
  <c r="CB199" i="21"/>
  <c r="ET199" i="21"/>
  <c r="CB105" i="21"/>
  <c r="ET105" i="21"/>
  <c r="CB4" i="21"/>
  <c r="ET4" i="21"/>
  <c r="CB36" i="21"/>
  <c r="ET36" i="21"/>
  <c r="CB132" i="21"/>
  <c r="ET132" i="21"/>
  <c r="CB164" i="21"/>
  <c r="ET164" i="21"/>
  <c r="CB196" i="21"/>
  <c r="ET196" i="21"/>
  <c r="CB77" i="21"/>
  <c r="ET77" i="21"/>
  <c r="CB169" i="21"/>
  <c r="ET169" i="21"/>
  <c r="CB26" i="21"/>
  <c r="ET26" i="21"/>
  <c r="CB58" i="21"/>
  <c r="ET58" i="21"/>
  <c r="CB90" i="21"/>
  <c r="ET90" i="21"/>
  <c r="CB122" i="21"/>
  <c r="ET122" i="21"/>
  <c r="CB186" i="21"/>
  <c r="ET186" i="21"/>
  <c r="CB45" i="21"/>
  <c r="ET45" i="21"/>
  <c r="CB149" i="21"/>
  <c r="ET149" i="21"/>
  <c r="CB83" i="21"/>
  <c r="ET83" i="21"/>
  <c r="CB115" i="21"/>
  <c r="ET115" i="21"/>
  <c r="CB179" i="21"/>
  <c r="ET179" i="21"/>
  <c r="CB49" i="21"/>
  <c r="ET49" i="21"/>
  <c r="CB141" i="21"/>
  <c r="ET141" i="21"/>
  <c r="CB16" i="21"/>
  <c r="ET16" i="21"/>
  <c r="CB48" i="21"/>
  <c r="ET48" i="21"/>
  <c r="CB80" i="21"/>
  <c r="ET80" i="21"/>
  <c r="CB112" i="21"/>
  <c r="ET112" i="21"/>
  <c r="CB144" i="21"/>
  <c r="ET144" i="21"/>
  <c r="CB176" i="21"/>
  <c r="ET176" i="21"/>
  <c r="CB25" i="21"/>
  <c r="ET25" i="21"/>
  <c r="CB113" i="21"/>
  <c r="ET113" i="21"/>
  <c r="CB201" i="21"/>
  <c r="ET201" i="21"/>
  <c r="CB22" i="21"/>
  <c r="ET22" i="21"/>
  <c r="CB54" i="21"/>
  <c r="ET54" i="21"/>
  <c r="CB86" i="21"/>
  <c r="ET86" i="21"/>
  <c r="CB182" i="21"/>
  <c r="ET182" i="21"/>
  <c r="CB29" i="21"/>
  <c r="ET29" i="21"/>
  <c r="CB15" i="21"/>
  <c r="ET15" i="21"/>
  <c r="CB47" i="21"/>
  <c r="ET47" i="21"/>
  <c r="CB79" i="21"/>
  <c r="ET79" i="21"/>
  <c r="CB111" i="21"/>
  <c r="ET111" i="21"/>
  <c r="CB143" i="21"/>
  <c r="ET143" i="21"/>
  <c r="CB175" i="21"/>
  <c r="ET175" i="21"/>
  <c r="CB37" i="21"/>
  <c r="ET37" i="21"/>
  <c r="CB129" i="21"/>
  <c r="ET129" i="21"/>
  <c r="CB12" i="21"/>
  <c r="ET12" i="21"/>
  <c r="CB44" i="21"/>
  <c r="ET44" i="21"/>
  <c r="CB76" i="21"/>
  <c r="ET76" i="21"/>
  <c r="CB108" i="21"/>
  <c r="ET108" i="21"/>
  <c r="CB172" i="21"/>
  <c r="ET172" i="21"/>
  <c r="CB101" i="21"/>
  <c r="ET101" i="21"/>
  <c r="CB189" i="21"/>
  <c r="ET189" i="21"/>
  <c r="CB34" i="21"/>
  <c r="ET34" i="21"/>
  <c r="CB66" i="21"/>
  <c r="ET66" i="21"/>
  <c r="CB98" i="21"/>
  <c r="ET98" i="21"/>
  <c r="CB130" i="21"/>
  <c r="ET130" i="21"/>
  <c r="CB162" i="21"/>
  <c r="ET162" i="21"/>
  <c r="CB194" i="21"/>
  <c r="ET194" i="21"/>
  <c r="CB73" i="21"/>
  <c r="ET73" i="21"/>
  <c r="CB173" i="21"/>
  <c r="ET173" i="21"/>
  <c r="CB27" i="21"/>
  <c r="ET27" i="21"/>
  <c r="CB59" i="21"/>
  <c r="ET59" i="21"/>
  <c r="CB123" i="21"/>
  <c r="ET123" i="21"/>
  <c r="CB155" i="21"/>
  <c r="ET155" i="21"/>
  <c r="CB165" i="21"/>
  <c r="ET165" i="21"/>
  <c r="CB24" i="21"/>
  <c r="ET24" i="21"/>
  <c r="CB56" i="21"/>
  <c r="ET56" i="21"/>
  <c r="CB88" i="21"/>
  <c r="ET88" i="21"/>
  <c r="CB120" i="21"/>
  <c r="ET120" i="21"/>
  <c r="CB152" i="21"/>
  <c r="ET152" i="21"/>
  <c r="CB184" i="21"/>
  <c r="ET184" i="21"/>
  <c r="CB41" i="21"/>
  <c r="ET41" i="21"/>
  <c r="CB137" i="21"/>
  <c r="ET137" i="21"/>
  <c r="CB30" i="21"/>
  <c r="ET30" i="21"/>
  <c r="CB62" i="21"/>
  <c r="ET62" i="21"/>
  <c r="CB94" i="21"/>
  <c r="ET94" i="21"/>
  <c r="CB126" i="21"/>
  <c r="ET126" i="21"/>
  <c r="CB158" i="21"/>
  <c r="ET158" i="21"/>
  <c r="CB190" i="21"/>
  <c r="ET190" i="21"/>
  <c r="CB161" i="21"/>
  <c r="ET161" i="21"/>
  <c r="CB23" i="21"/>
  <c r="ET23" i="21"/>
  <c r="CB55" i="21"/>
  <c r="ET55" i="21"/>
  <c r="CB87" i="21"/>
  <c r="ET87" i="21"/>
  <c r="CB119" i="21"/>
  <c r="ET119" i="21"/>
  <c r="CB151" i="21"/>
  <c r="ET151" i="21"/>
  <c r="CB183" i="21"/>
  <c r="ET183" i="21"/>
  <c r="CB57" i="21"/>
  <c r="ET57" i="21"/>
  <c r="CB52" i="21"/>
  <c r="ET52" i="21"/>
  <c r="CB84" i="21"/>
  <c r="ET84" i="21"/>
  <c r="CB116" i="21"/>
  <c r="ET116" i="21"/>
  <c r="CB180" i="21"/>
  <c r="ET180" i="21"/>
  <c r="CB125" i="21"/>
  <c r="ET125" i="21"/>
  <c r="CB10" i="21"/>
  <c r="ET10" i="21"/>
  <c r="CB42" i="21"/>
  <c r="ET42" i="21"/>
  <c r="CB74" i="21"/>
  <c r="ET74" i="21"/>
  <c r="CB138" i="21"/>
  <c r="ET138" i="21"/>
  <c r="CB170" i="21"/>
  <c r="ET170" i="21"/>
  <c r="CB202" i="21"/>
  <c r="ET202" i="21"/>
  <c r="CB97" i="21"/>
  <c r="ET97" i="21"/>
  <c r="CB197" i="21"/>
  <c r="ET197" i="21"/>
  <c r="CB35" i="21"/>
  <c r="ET35" i="21"/>
  <c r="CB67" i="21"/>
  <c r="ET67" i="21"/>
  <c r="CB99" i="21"/>
  <c r="ET99" i="21"/>
  <c r="CB131" i="21"/>
  <c r="ET131" i="21"/>
  <c r="CB163" i="21"/>
  <c r="ET163" i="21"/>
  <c r="CB195" i="21"/>
  <c r="ET195" i="21"/>
  <c r="CB93" i="21"/>
  <c r="ET93" i="21"/>
  <c r="CB193" i="21"/>
  <c r="ET193" i="21"/>
  <c r="CB32" i="21"/>
  <c r="ET32" i="21"/>
  <c r="CB64" i="21"/>
  <c r="ET64" i="21"/>
  <c r="CB96" i="21"/>
  <c r="ET96" i="21"/>
  <c r="CB128" i="21"/>
  <c r="ET128" i="21"/>
  <c r="CB160" i="21"/>
  <c r="ET160" i="21"/>
  <c r="CB192" i="21"/>
  <c r="ET192" i="21"/>
  <c r="CB65" i="21"/>
  <c r="ET65" i="21"/>
  <c r="CB157" i="21"/>
  <c r="ET157" i="21"/>
  <c r="CB6" i="21"/>
  <c r="ET6" i="21"/>
  <c r="CB38" i="21"/>
  <c r="ET38" i="21"/>
  <c r="CB70" i="21"/>
  <c r="ET70" i="21"/>
  <c r="CB102" i="21"/>
  <c r="ET102" i="21"/>
  <c r="CB134" i="21"/>
  <c r="ET134" i="21"/>
  <c r="CB166" i="21"/>
  <c r="ET166" i="21"/>
  <c r="CB198" i="21"/>
  <c r="ET198" i="21"/>
  <c r="CB85" i="21"/>
  <c r="ET85" i="21"/>
  <c r="CB185" i="21"/>
  <c r="ET185" i="21"/>
  <c r="CB63" i="21"/>
  <c r="ET63" i="21"/>
  <c r="CB95" i="21"/>
  <c r="ET95" i="21"/>
  <c r="CB127" i="21"/>
  <c r="ET127" i="21"/>
  <c r="CB159" i="21"/>
  <c r="ET159" i="21"/>
  <c r="CB191" i="21"/>
  <c r="ET191" i="21"/>
  <c r="CB81" i="21"/>
  <c r="ET81" i="21"/>
  <c r="CB181" i="21"/>
  <c r="ET181" i="21"/>
  <c r="CB28" i="21"/>
  <c r="ET28" i="21"/>
  <c r="CB60" i="21"/>
  <c r="ET60" i="21"/>
  <c r="CB92" i="21"/>
  <c r="ET92" i="21"/>
  <c r="CB156" i="21"/>
  <c r="ET156" i="21"/>
  <c r="CB188" i="21"/>
  <c r="ET188" i="21"/>
  <c r="CB145" i="21"/>
  <c r="ET145" i="21"/>
  <c r="CB18" i="21"/>
  <c r="ET18" i="21"/>
  <c r="CB50" i="21"/>
  <c r="ET50" i="21"/>
  <c r="CB82" i="21"/>
  <c r="ET82" i="21"/>
  <c r="CB114" i="21"/>
  <c r="ET114" i="21"/>
  <c r="CB146" i="21"/>
  <c r="ET146" i="21"/>
  <c r="CB178" i="21"/>
  <c r="ET178" i="21"/>
  <c r="CB17" i="21"/>
  <c r="ET17" i="21"/>
  <c r="CB121" i="21"/>
  <c r="ET121" i="21"/>
  <c r="CB11" i="21"/>
  <c r="ET11" i="21"/>
  <c r="CB43" i="21"/>
  <c r="ET43" i="21"/>
  <c r="CB75" i="21"/>
  <c r="ET75" i="21"/>
  <c r="CB107" i="21"/>
  <c r="ET107" i="21"/>
  <c r="CB139" i="21"/>
  <c r="ET139" i="21"/>
  <c r="CB171" i="21"/>
  <c r="ET171" i="21"/>
  <c r="CB21" i="21"/>
  <c r="ET21" i="21"/>
  <c r="CB117" i="21"/>
  <c r="ET117" i="21"/>
  <c r="CB8" i="21"/>
  <c r="ET8" i="21"/>
  <c r="CB40" i="21"/>
  <c r="ET40" i="21"/>
  <c r="CB104" i="21"/>
  <c r="ET104" i="21"/>
  <c r="CB136" i="21"/>
  <c r="ET136" i="21"/>
  <c r="CB168" i="21"/>
  <c r="ET168" i="21"/>
  <c r="CB200" i="21"/>
  <c r="ET200" i="21"/>
  <c r="CB89" i="21"/>
  <c r="ET89" i="21"/>
  <c r="CB177" i="21"/>
  <c r="ET177" i="21"/>
  <c r="CP165" i="5"/>
  <c r="DY165" i="5"/>
  <c r="DY156" i="5"/>
  <c r="CP156" i="5"/>
  <c r="DY164" i="5"/>
  <c r="CP164" i="5"/>
  <c r="DY158" i="5"/>
  <c r="CP158" i="5"/>
  <c r="DY157" i="5"/>
  <c r="CP157" i="5"/>
  <c r="DY159" i="5"/>
  <c r="CP159" i="5"/>
  <c r="DY160" i="5"/>
  <c r="CP160" i="5"/>
  <c r="DQ22" i="5"/>
  <c r="BR22" i="5"/>
  <c r="BR129" i="5"/>
  <c r="DQ129" i="5"/>
  <c r="DQ11" i="5"/>
  <c r="BR11" i="5"/>
  <c r="DQ21" i="5"/>
  <c r="BR21" i="5"/>
  <c r="BU150" i="5"/>
  <c r="DR150" i="5"/>
  <c r="DQ15" i="5"/>
  <c r="BR15" i="5"/>
  <c r="BR147" i="5"/>
  <c r="DQ147" i="5"/>
  <c r="BU134" i="5"/>
  <c r="DR134" i="5"/>
  <c r="BR145" i="5"/>
  <c r="DQ145" i="5"/>
  <c r="BR115" i="5"/>
  <c r="DQ115" i="5"/>
  <c r="DQ50" i="5"/>
  <c r="BR50" i="5"/>
  <c r="DQ87" i="5"/>
  <c r="BR87" i="5"/>
  <c r="DQ23" i="5"/>
  <c r="BR23" i="5"/>
  <c r="DQ73" i="5"/>
  <c r="BR73" i="5"/>
  <c r="DQ33" i="5"/>
  <c r="BR33" i="5"/>
  <c r="DQ30" i="5"/>
  <c r="BR30" i="5"/>
  <c r="DQ4" i="5"/>
  <c r="BR4" i="5"/>
  <c r="DQ72" i="5"/>
  <c r="BR72" i="5"/>
  <c r="DQ27" i="5"/>
  <c r="BR27" i="5"/>
  <c r="DQ29" i="5"/>
  <c r="BR29" i="5"/>
  <c r="DQ10" i="5"/>
  <c r="BR10" i="5"/>
  <c r="DQ53" i="5"/>
  <c r="BR53" i="5"/>
  <c r="DQ46" i="5"/>
  <c r="BR46" i="5"/>
  <c r="DQ12" i="5"/>
  <c r="BR12" i="5"/>
  <c r="DQ32" i="5"/>
  <c r="BR32" i="5"/>
  <c r="DQ36" i="5"/>
  <c r="BR36" i="5"/>
  <c r="BR167" i="5"/>
  <c r="DQ167" i="5"/>
  <c r="DQ64" i="5"/>
  <c r="BR64" i="5"/>
  <c r="BR191" i="5"/>
  <c r="DQ191" i="5"/>
  <c r="DQ79" i="5"/>
  <c r="BR79" i="5"/>
  <c r="DQ84" i="5"/>
  <c r="BR84" i="5"/>
  <c r="DQ43" i="5"/>
  <c r="BR43" i="5"/>
  <c r="BR148" i="5"/>
  <c r="DQ148" i="5"/>
  <c r="DQ31" i="5"/>
  <c r="BR31" i="5"/>
  <c r="BR88" i="5"/>
  <c r="DQ88" i="5"/>
  <c r="BR94" i="5"/>
  <c r="DQ94" i="5"/>
  <c r="BR127" i="5"/>
  <c r="DQ127" i="5"/>
  <c r="BU146" i="5"/>
  <c r="DR146" i="5"/>
  <c r="CA154" i="5"/>
  <c r="DT154" i="5"/>
  <c r="BR95" i="5"/>
  <c r="DQ95" i="5"/>
  <c r="BR119" i="5"/>
  <c r="DQ119" i="5"/>
  <c r="BR139" i="5"/>
  <c r="DQ139" i="5"/>
  <c r="BU106" i="5"/>
  <c r="DR106" i="5"/>
  <c r="BR135" i="5"/>
  <c r="DQ135" i="5"/>
  <c r="DQ65" i="5"/>
  <c r="BR65" i="5"/>
  <c r="DQ71" i="5"/>
  <c r="BR71" i="5"/>
  <c r="DQ68" i="5"/>
  <c r="BR68" i="5"/>
  <c r="DQ80" i="5"/>
  <c r="BR80" i="5"/>
  <c r="DQ78" i="5"/>
  <c r="BR78" i="5"/>
  <c r="DQ40" i="5"/>
  <c r="BR40" i="5"/>
  <c r="DQ69" i="5"/>
  <c r="BR69" i="5"/>
  <c r="DQ35" i="5"/>
  <c r="BR35" i="5"/>
  <c r="DQ85" i="5"/>
  <c r="BR85" i="5"/>
  <c r="BR173" i="5"/>
  <c r="DQ173" i="5"/>
  <c r="DQ75" i="5"/>
  <c r="BR75" i="5"/>
  <c r="DQ47" i="5"/>
  <c r="BR47" i="5"/>
  <c r="DQ44" i="5"/>
  <c r="BR44" i="5"/>
  <c r="DQ61" i="5"/>
  <c r="BR61" i="5"/>
  <c r="DQ25" i="5"/>
  <c r="BR25" i="5"/>
  <c r="DQ67" i="5"/>
  <c r="BR67" i="5"/>
  <c r="DQ7" i="5"/>
  <c r="BR7" i="5"/>
  <c r="DQ5" i="5"/>
  <c r="BR5" i="5"/>
  <c r="BR114" i="5"/>
  <c r="DQ114" i="5"/>
  <c r="BR120" i="5"/>
  <c r="DQ120" i="5"/>
  <c r="BR136" i="5"/>
  <c r="DQ136" i="5"/>
  <c r="BR98" i="5"/>
  <c r="DQ98" i="5"/>
  <c r="DQ20" i="5"/>
  <c r="BR20" i="5"/>
  <c r="DQ19" i="5"/>
  <c r="BR19" i="5"/>
  <c r="BR107" i="5"/>
  <c r="DQ107" i="5"/>
  <c r="DQ16" i="5"/>
  <c r="BR16" i="5"/>
  <c r="BR200" i="5"/>
  <c r="DQ200" i="5"/>
  <c r="BU196" i="5"/>
  <c r="DR196" i="5"/>
  <c r="BR99" i="5"/>
  <c r="DQ99" i="5"/>
  <c r="BR96" i="5"/>
  <c r="DQ96" i="5"/>
  <c r="BR116" i="5"/>
  <c r="DQ116" i="5"/>
  <c r="DQ108" i="5"/>
  <c r="BR108" i="5"/>
  <c r="BR100" i="5"/>
  <c r="DQ100" i="5"/>
  <c r="BR111" i="5"/>
  <c r="DQ111" i="5"/>
  <c r="DR195" i="5"/>
  <c r="BU195" i="5"/>
  <c r="BR149" i="5"/>
  <c r="DQ149" i="5"/>
  <c r="BR132" i="5"/>
  <c r="DQ132" i="5"/>
  <c r="DQ76" i="5"/>
  <c r="BR76" i="5"/>
  <c r="DQ83" i="5"/>
  <c r="BR83" i="5"/>
  <c r="BU198" i="5"/>
  <c r="DR198" i="5"/>
  <c r="DQ24" i="5"/>
  <c r="BR24" i="5"/>
  <c r="DQ55" i="5"/>
  <c r="BR55" i="5"/>
  <c r="DQ58" i="5"/>
  <c r="BR58" i="5"/>
  <c r="DQ59" i="5"/>
  <c r="BR59" i="5"/>
  <c r="DQ66" i="5"/>
  <c r="BR66" i="5"/>
  <c r="DQ77" i="5"/>
  <c r="BR77" i="5"/>
  <c r="DQ28" i="5"/>
  <c r="BR28" i="5"/>
  <c r="DQ52" i="5"/>
  <c r="BR52" i="5"/>
  <c r="DQ54" i="5"/>
  <c r="BR54" i="5"/>
  <c r="DQ81" i="5"/>
  <c r="BR81" i="5"/>
  <c r="DQ86" i="5"/>
  <c r="BR86" i="5"/>
  <c r="DQ39" i="5"/>
  <c r="BR39" i="5"/>
  <c r="DQ57" i="5"/>
  <c r="BR57" i="5"/>
  <c r="DQ62" i="5"/>
  <c r="BR62" i="5"/>
  <c r="DQ56" i="5"/>
  <c r="BR56" i="5"/>
  <c r="DQ13" i="5"/>
  <c r="BR13" i="5"/>
  <c r="BU93" i="5"/>
  <c r="DR93" i="5"/>
  <c r="DQ9" i="5"/>
  <c r="BR9" i="5"/>
  <c r="BR131" i="5"/>
  <c r="DQ131" i="5"/>
  <c r="BU192" i="5"/>
  <c r="DR192" i="5"/>
  <c r="BR113" i="5"/>
  <c r="DQ113" i="5"/>
  <c r="BR91" i="5"/>
  <c r="DQ91" i="5"/>
  <c r="BU194" i="5"/>
  <c r="DR194" i="5"/>
  <c r="BU130" i="5"/>
  <c r="DR130" i="5"/>
  <c r="BU188" i="5"/>
  <c r="DR188" i="5"/>
  <c r="DQ8" i="5"/>
  <c r="BR8" i="5"/>
  <c r="BR190" i="5"/>
  <c r="DQ190" i="5"/>
  <c r="BR151" i="5"/>
  <c r="DQ151" i="5"/>
  <c r="BU89" i="5"/>
  <c r="DR89" i="5"/>
  <c r="BR153" i="5"/>
  <c r="DQ153" i="5"/>
  <c r="DQ199" i="5"/>
  <c r="BR199" i="5"/>
  <c r="BU117" i="5"/>
  <c r="DR117" i="5"/>
  <c r="DQ51" i="5"/>
  <c r="BR51" i="5"/>
  <c r="DQ60" i="5"/>
  <c r="BR60" i="5"/>
  <c r="DQ63" i="5"/>
  <c r="BR63" i="5"/>
  <c r="DR104" i="5"/>
  <c r="BU104" i="5"/>
  <c r="DQ42" i="5"/>
  <c r="BR42" i="5"/>
  <c r="DQ37" i="5"/>
  <c r="BR37" i="5"/>
  <c r="DQ48" i="5"/>
  <c r="BR48" i="5"/>
  <c r="DQ74" i="5"/>
  <c r="BR74" i="5"/>
  <c r="DQ34" i="5"/>
  <c r="BR34" i="5"/>
  <c r="DQ38" i="5"/>
  <c r="BR38" i="5"/>
  <c r="DQ82" i="5"/>
  <c r="BR82" i="5"/>
  <c r="DQ70" i="5"/>
  <c r="BR70" i="5"/>
  <c r="BR197" i="5"/>
  <c r="DQ197" i="5"/>
  <c r="DQ26" i="5"/>
  <c r="BR26" i="5"/>
  <c r="DQ45" i="5"/>
  <c r="BR45" i="5"/>
  <c r="DQ41" i="5"/>
  <c r="BR41" i="5"/>
  <c r="DQ49" i="5"/>
  <c r="BR49" i="5"/>
  <c r="BU189" i="5"/>
  <c r="DR189" i="5"/>
  <c r="DQ17" i="5"/>
  <c r="BR17" i="5"/>
  <c r="DQ18" i="5"/>
  <c r="BR18" i="5"/>
  <c r="BR92" i="5"/>
  <c r="DQ92" i="5"/>
  <c r="DQ14" i="5"/>
  <c r="BR14" i="5"/>
  <c r="E3" i="3"/>
  <c r="EB3" i="21"/>
  <c r="EB4" i="21"/>
  <c r="EB5" i="21"/>
  <c r="EB6" i="21"/>
  <c r="EB7" i="21"/>
  <c r="EB8" i="21"/>
  <c r="EB9" i="21"/>
  <c r="EB10" i="21"/>
  <c r="EB11" i="21"/>
  <c r="EB12" i="21"/>
  <c r="EB13" i="21"/>
  <c r="EB14" i="21"/>
  <c r="EB15" i="21"/>
  <c r="EB16" i="21"/>
  <c r="EB17" i="21"/>
  <c r="EB18" i="21"/>
  <c r="EB19" i="21"/>
  <c r="EB20" i="21"/>
  <c r="EB21" i="21"/>
  <c r="EB22" i="21"/>
  <c r="EB23" i="21"/>
  <c r="EB24" i="21"/>
  <c r="EB25" i="21"/>
  <c r="EB26" i="21"/>
  <c r="EB27" i="21"/>
  <c r="EB28" i="21"/>
  <c r="EB29" i="21"/>
  <c r="EB30" i="21"/>
  <c r="EB31" i="21"/>
  <c r="EB32" i="21"/>
  <c r="EB33" i="21"/>
  <c r="EB34" i="21"/>
  <c r="EB35" i="21"/>
  <c r="EB36" i="21"/>
  <c r="EB37" i="21"/>
  <c r="EB38" i="21"/>
  <c r="EB39" i="21"/>
  <c r="EB40" i="21"/>
  <c r="EB41" i="21"/>
  <c r="EB42" i="21"/>
  <c r="EB43" i="21"/>
  <c r="EB44" i="21"/>
  <c r="EB45" i="21"/>
  <c r="EB46" i="21"/>
  <c r="EB47" i="21"/>
  <c r="EB48" i="21"/>
  <c r="EB49" i="21"/>
  <c r="EB50" i="21"/>
  <c r="EB51" i="21"/>
  <c r="EB52" i="21"/>
  <c r="EB53" i="21"/>
  <c r="EB54" i="21"/>
  <c r="EB55" i="21"/>
  <c r="EB56" i="21"/>
  <c r="EB57" i="21"/>
  <c r="EB58" i="21"/>
  <c r="EB59" i="21"/>
  <c r="EB60" i="21"/>
  <c r="EB61" i="21"/>
  <c r="EB62" i="21"/>
  <c r="EB63" i="21"/>
  <c r="EB64" i="21"/>
  <c r="EB65" i="21"/>
  <c r="EB66" i="21"/>
  <c r="EB67" i="21"/>
  <c r="EB68" i="21"/>
  <c r="EB69" i="21"/>
  <c r="EB70" i="21"/>
  <c r="EB71" i="21"/>
  <c r="EB72" i="21"/>
  <c r="EB73" i="21"/>
  <c r="EB74" i="21"/>
  <c r="EB75" i="21"/>
  <c r="EB76" i="21"/>
  <c r="EB77" i="21"/>
  <c r="EB78" i="21"/>
  <c r="EB79" i="21"/>
  <c r="EB80" i="21"/>
  <c r="EB81" i="21"/>
  <c r="EB82" i="21"/>
  <c r="EB83" i="21"/>
  <c r="EB84" i="21"/>
  <c r="EB85" i="21"/>
  <c r="EB86" i="21"/>
  <c r="EB87" i="21"/>
  <c r="EB88" i="21"/>
  <c r="EB89" i="21"/>
  <c r="EB90" i="21"/>
  <c r="EB91" i="21"/>
  <c r="EB92" i="21"/>
  <c r="EB93" i="21"/>
  <c r="EB94" i="21"/>
  <c r="EB95" i="21"/>
  <c r="EB96" i="21"/>
  <c r="EB97" i="21"/>
  <c r="EB98" i="21"/>
  <c r="EB99" i="21"/>
  <c r="EB100" i="21"/>
  <c r="EB101" i="21"/>
  <c r="EB102" i="21"/>
  <c r="EB104" i="21"/>
  <c r="EB105" i="21"/>
  <c r="EB106" i="21"/>
  <c r="EB107" i="21"/>
  <c r="EB108" i="21"/>
  <c r="EB109" i="21"/>
  <c r="EB110" i="21"/>
  <c r="EB111" i="21"/>
  <c r="EB112" i="21"/>
  <c r="EB113" i="21"/>
  <c r="EB114" i="21"/>
  <c r="EB115" i="21"/>
  <c r="EB116" i="21"/>
  <c r="EB117" i="21"/>
  <c r="EB118" i="21"/>
  <c r="EB119" i="21"/>
  <c r="EB120" i="21"/>
  <c r="EB121" i="21"/>
  <c r="EB122" i="21"/>
  <c r="EB123" i="21"/>
  <c r="EB124" i="21"/>
  <c r="EB125" i="21"/>
  <c r="EB126" i="21"/>
  <c r="EB127" i="21"/>
  <c r="EB128" i="21"/>
  <c r="EB129" i="21"/>
  <c r="EB130" i="21"/>
  <c r="EB131" i="21"/>
  <c r="EB132" i="21"/>
  <c r="EB133" i="21"/>
  <c r="EB134" i="21"/>
  <c r="EB135" i="21"/>
  <c r="EB136" i="21"/>
  <c r="EB137" i="21"/>
  <c r="EB138" i="21"/>
  <c r="EB139" i="21"/>
  <c r="EB140" i="21"/>
  <c r="EB141" i="21"/>
  <c r="EB142" i="21"/>
  <c r="EB143" i="21"/>
  <c r="EB144" i="21"/>
  <c r="EB145" i="21"/>
  <c r="EB146" i="21"/>
  <c r="EB147" i="21"/>
  <c r="EB148" i="21"/>
  <c r="EB149" i="21"/>
  <c r="EB150" i="21"/>
  <c r="EB151" i="21"/>
  <c r="EB152" i="21"/>
  <c r="EB153" i="21"/>
  <c r="EB154" i="21"/>
  <c r="EB155" i="21"/>
  <c r="EB156" i="21"/>
  <c r="EB157" i="21"/>
  <c r="EB158" i="21"/>
  <c r="EB159" i="21"/>
  <c r="EB160" i="21"/>
  <c r="EB161" i="21"/>
  <c r="EB162" i="21"/>
  <c r="EB163" i="21"/>
  <c r="EB164" i="21"/>
  <c r="EB165" i="21"/>
  <c r="EB166" i="21"/>
  <c r="EB167" i="21"/>
  <c r="EB168" i="21"/>
  <c r="EB169" i="21"/>
  <c r="EB170" i="21"/>
  <c r="EB171" i="21"/>
  <c r="EB172" i="21"/>
  <c r="EB173" i="21"/>
  <c r="EB174" i="21"/>
  <c r="EB175" i="21"/>
  <c r="EB176" i="21"/>
  <c r="EB177" i="21"/>
  <c r="EB178" i="21"/>
  <c r="EB179" i="21"/>
  <c r="EB180" i="21"/>
  <c r="EB181" i="21"/>
  <c r="EB182" i="21"/>
  <c r="EB183" i="21"/>
  <c r="EB184" i="21"/>
  <c r="EB185" i="21"/>
  <c r="EB186" i="21"/>
  <c r="EB187" i="21"/>
  <c r="EB188" i="21"/>
  <c r="EB189" i="21"/>
  <c r="EB190" i="21"/>
  <c r="EB191" i="21"/>
  <c r="EB192" i="21"/>
  <c r="EB193" i="21"/>
  <c r="EB194" i="21"/>
  <c r="EB195" i="21"/>
  <c r="EB196" i="21"/>
  <c r="EB197" i="21"/>
  <c r="EB198" i="21"/>
  <c r="EB199" i="21"/>
  <c r="EB200" i="21"/>
  <c r="EB201" i="21"/>
  <c r="EB202" i="21"/>
  <c r="BR112" i="5" l="1"/>
  <c r="DQ112" i="5"/>
  <c r="BR118" i="5"/>
  <c r="DQ118" i="5"/>
  <c r="DQ152" i="5"/>
  <c r="BR152" i="5"/>
  <c r="DQ155" i="5"/>
  <c r="BR155" i="5"/>
  <c r="BR144" i="5"/>
  <c r="DQ144" i="5"/>
  <c r="DR101" i="5"/>
  <c r="BU101" i="5"/>
  <c r="BR193" i="5"/>
  <c r="DQ193" i="5"/>
  <c r="BR90" i="5"/>
  <c r="DQ90" i="5"/>
  <c r="DQ6" i="5"/>
  <c r="BR6" i="5"/>
  <c r="BR102" i="5"/>
  <c r="DQ102" i="5"/>
  <c r="CF89" i="21"/>
  <c r="EU89" i="21"/>
  <c r="CF168" i="21"/>
  <c r="EU168" i="21"/>
  <c r="CF104" i="21"/>
  <c r="EU104" i="21"/>
  <c r="CF40" i="21"/>
  <c r="EU40" i="21"/>
  <c r="CF117" i="21"/>
  <c r="EU117" i="21"/>
  <c r="CF171" i="21"/>
  <c r="EU171" i="21"/>
  <c r="CF107" i="21"/>
  <c r="EU107" i="21"/>
  <c r="CF43" i="21"/>
  <c r="EU43" i="21"/>
  <c r="CF121" i="21"/>
  <c r="EU121" i="21"/>
  <c r="CF178" i="21"/>
  <c r="EU178" i="21"/>
  <c r="CF114" i="21"/>
  <c r="EU114" i="21"/>
  <c r="CF50" i="21"/>
  <c r="EU50" i="21"/>
  <c r="CF145" i="21"/>
  <c r="EU145" i="21"/>
  <c r="CF188" i="21"/>
  <c r="EU188" i="21"/>
  <c r="CF60" i="21"/>
  <c r="EU60" i="21"/>
  <c r="CF181" i="21"/>
  <c r="EU181" i="21"/>
  <c r="CF191" i="21"/>
  <c r="EU191" i="21"/>
  <c r="CF127" i="21"/>
  <c r="EU127" i="21"/>
  <c r="CF63" i="21"/>
  <c r="EU63" i="21"/>
  <c r="CF185" i="21"/>
  <c r="EU185" i="21"/>
  <c r="CF198" i="21"/>
  <c r="EU198" i="21"/>
  <c r="CF134" i="21"/>
  <c r="EU134" i="21"/>
  <c r="CF70" i="21"/>
  <c r="EU70" i="21"/>
  <c r="CF6" i="21"/>
  <c r="EU6" i="21"/>
  <c r="CF65" i="21"/>
  <c r="EU65" i="21"/>
  <c r="CF160" i="21"/>
  <c r="EU160" i="21"/>
  <c r="CF96" i="21"/>
  <c r="EU96" i="21"/>
  <c r="CF32" i="21"/>
  <c r="EU32" i="21"/>
  <c r="CF93" i="21"/>
  <c r="EU93" i="21"/>
  <c r="CF163" i="21"/>
  <c r="EU163" i="21"/>
  <c r="CF99" i="21"/>
  <c r="EU99" i="21"/>
  <c r="CF35" i="21"/>
  <c r="EU35" i="21"/>
  <c r="CF97" i="21"/>
  <c r="EU97" i="21"/>
  <c r="CF170" i="21"/>
  <c r="EU170" i="21"/>
  <c r="CF42" i="21"/>
  <c r="EU42" i="21"/>
  <c r="CF125" i="21"/>
  <c r="EU125" i="21"/>
  <c r="CF180" i="21"/>
  <c r="EU180" i="21"/>
  <c r="CF116" i="21"/>
  <c r="EU116" i="21"/>
  <c r="CF52" i="21"/>
  <c r="EU52" i="21"/>
  <c r="CF183" i="21"/>
  <c r="EU183" i="21"/>
  <c r="CF119" i="21"/>
  <c r="EU119" i="21"/>
  <c r="CF55" i="21"/>
  <c r="EU55" i="21"/>
  <c r="CF161" i="21"/>
  <c r="EU161" i="21"/>
  <c r="CF190" i="21"/>
  <c r="EU190" i="21"/>
  <c r="CF126" i="21"/>
  <c r="EU126" i="21"/>
  <c r="CF62" i="21"/>
  <c r="EU62" i="21"/>
  <c r="CF41" i="21"/>
  <c r="EU41" i="21"/>
  <c r="CF152" i="21"/>
  <c r="EU152" i="21"/>
  <c r="CF88" i="21"/>
  <c r="EU88" i="21"/>
  <c r="CF24" i="21"/>
  <c r="EU24" i="21"/>
  <c r="CF155" i="21"/>
  <c r="EU155" i="21"/>
  <c r="CF27" i="21"/>
  <c r="EU27" i="21"/>
  <c r="CF73" i="21"/>
  <c r="EU73" i="21"/>
  <c r="CF162" i="21"/>
  <c r="EU162" i="21"/>
  <c r="CF98" i="21"/>
  <c r="EU98" i="21"/>
  <c r="CF34" i="21"/>
  <c r="EU34" i="21"/>
  <c r="CF101" i="21"/>
  <c r="EU101" i="21"/>
  <c r="CF172" i="21"/>
  <c r="EU172" i="21"/>
  <c r="CF108" i="21"/>
  <c r="EU108" i="21"/>
  <c r="CF44" i="21"/>
  <c r="EU44" i="21"/>
  <c r="CF129" i="21"/>
  <c r="EU129" i="21"/>
  <c r="CF175" i="21"/>
  <c r="EU175" i="21"/>
  <c r="CF111" i="21"/>
  <c r="EU111" i="21"/>
  <c r="CF47" i="21"/>
  <c r="EU47" i="21"/>
  <c r="CF182" i="21"/>
  <c r="EU182" i="21"/>
  <c r="CF54" i="21"/>
  <c r="EU54" i="21"/>
  <c r="CF201" i="21"/>
  <c r="EU201" i="21"/>
  <c r="CF25" i="21"/>
  <c r="EU25" i="21"/>
  <c r="CF144" i="21"/>
  <c r="EU144" i="21"/>
  <c r="CF80" i="21"/>
  <c r="EU80" i="21"/>
  <c r="CF16" i="21"/>
  <c r="EU16" i="21"/>
  <c r="CF49" i="21"/>
  <c r="EU49" i="21"/>
  <c r="CF83" i="21"/>
  <c r="EU83" i="21"/>
  <c r="CF45" i="21"/>
  <c r="EU45" i="21"/>
  <c r="CF90" i="21"/>
  <c r="EU90" i="21"/>
  <c r="CF26" i="21"/>
  <c r="EU26" i="21"/>
  <c r="CF77" i="21"/>
  <c r="EU77" i="21"/>
  <c r="CF164" i="21"/>
  <c r="EU164" i="21"/>
  <c r="CF36" i="21"/>
  <c r="EU36" i="21"/>
  <c r="CF105" i="21"/>
  <c r="EU105" i="21"/>
  <c r="CF167" i="21"/>
  <c r="EU167" i="21"/>
  <c r="CF103" i="21"/>
  <c r="EU103" i="21"/>
  <c r="CF39" i="21"/>
  <c r="EU39" i="21"/>
  <c r="CF109" i="21"/>
  <c r="EU109" i="21"/>
  <c r="CF110" i="21"/>
  <c r="EU110" i="21"/>
  <c r="CF46" i="21"/>
  <c r="EU46" i="21"/>
  <c r="CF177" i="21"/>
  <c r="EU177" i="21"/>
  <c r="CF200" i="21"/>
  <c r="EU200" i="21"/>
  <c r="CF136" i="21"/>
  <c r="EU136" i="21"/>
  <c r="CF8" i="21"/>
  <c r="EU8" i="21"/>
  <c r="CF21" i="21"/>
  <c r="EU21" i="21"/>
  <c r="CF139" i="21"/>
  <c r="EU139" i="21"/>
  <c r="CF75" i="21"/>
  <c r="EU75" i="21"/>
  <c r="CF11" i="21"/>
  <c r="EU11" i="21"/>
  <c r="CF17" i="21"/>
  <c r="EU17" i="21"/>
  <c r="CF146" i="21"/>
  <c r="EU146" i="21"/>
  <c r="CF82" i="21"/>
  <c r="EU82" i="21"/>
  <c r="CF18" i="21"/>
  <c r="EU18" i="21"/>
  <c r="CF156" i="21"/>
  <c r="EU156" i="21"/>
  <c r="CF92" i="21"/>
  <c r="EU92" i="21"/>
  <c r="CF28" i="21"/>
  <c r="EU28" i="21"/>
  <c r="CF81" i="21"/>
  <c r="EU81" i="21"/>
  <c r="CF159" i="21"/>
  <c r="EU159" i="21"/>
  <c r="CF95" i="21"/>
  <c r="EU95" i="21"/>
  <c r="CF85" i="21"/>
  <c r="EU85" i="21"/>
  <c r="CF166" i="21"/>
  <c r="EU166" i="21"/>
  <c r="CF102" i="21"/>
  <c r="EU102" i="21"/>
  <c r="CF38" i="21"/>
  <c r="EU38" i="21"/>
  <c r="CF157" i="21"/>
  <c r="EU157" i="21"/>
  <c r="CF192" i="21"/>
  <c r="EU192" i="21"/>
  <c r="CF128" i="21"/>
  <c r="EU128" i="21"/>
  <c r="CF64" i="21"/>
  <c r="EU64" i="21"/>
  <c r="CF193" i="21"/>
  <c r="EU193" i="21"/>
  <c r="CF195" i="21"/>
  <c r="EU195" i="21"/>
  <c r="CF131" i="21"/>
  <c r="EU131" i="21"/>
  <c r="CF67" i="21"/>
  <c r="EU67" i="21"/>
  <c r="CF197" i="21"/>
  <c r="EU197" i="21"/>
  <c r="CF202" i="21"/>
  <c r="EU202" i="21"/>
  <c r="CF138" i="21"/>
  <c r="EU138" i="21"/>
  <c r="CF74" i="21"/>
  <c r="EU74" i="21"/>
  <c r="CF10" i="21"/>
  <c r="EU10" i="21"/>
  <c r="CF84" i="21"/>
  <c r="EU84" i="21"/>
  <c r="CF57" i="21"/>
  <c r="EU57" i="21"/>
  <c r="CF151" i="21"/>
  <c r="EU151" i="21"/>
  <c r="CF87" i="21"/>
  <c r="EU87" i="21"/>
  <c r="CF23" i="21"/>
  <c r="EU23" i="21"/>
  <c r="CF158" i="21"/>
  <c r="EU158" i="21"/>
  <c r="CF94" i="21"/>
  <c r="EU94" i="21"/>
  <c r="CF30" i="21"/>
  <c r="EU30" i="21"/>
  <c r="CF137" i="21"/>
  <c r="EU137" i="21"/>
  <c r="CF184" i="21"/>
  <c r="EU184" i="21"/>
  <c r="CF120" i="21"/>
  <c r="EU120" i="21"/>
  <c r="CF56" i="21"/>
  <c r="EU56" i="21"/>
  <c r="CF165" i="21"/>
  <c r="EU165" i="21"/>
  <c r="CF123" i="21"/>
  <c r="EU123" i="21"/>
  <c r="CF59" i="21"/>
  <c r="EU59" i="21"/>
  <c r="CF173" i="21"/>
  <c r="EU173" i="21"/>
  <c r="CF194" i="21"/>
  <c r="EU194" i="21"/>
  <c r="CF130" i="21"/>
  <c r="EU130" i="21"/>
  <c r="CF66" i="21"/>
  <c r="EU66" i="21"/>
  <c r="CF189" i="21"/>
  <c r="EU189" i="21"/>
  <c r="CF76" i="21"/>
  <c r="EU76" i="21"/>
  <c r="CF12" i="21"/>
  <c r="EU12" i="21"/>
  <c r="CF37" i="21"/>
  <c r="EU37" i="21"/>
  <c r="CF143" i="21"/>
  <c r="EU143" i="21"/>
  <c r="CF79" i="21"/>
  <c r="EU79" i="21"/>
  <c r="CF15" i="21"/>
  <c r="EU15" i="21"/>
  <c r="CF29" i="21"/>
  <c r="EU29" i="21"/>
  <c r="CF86" i="21"/>
  <c r="EU86" i="21"/>
  <c r="CF22" i="21"/>
  <c r="EU22" i="21"/>
  <c r="CF113" i="21"/>
  <c r="EU113" i="21"/>
  <c r="CF176" i="21"/>
  <c r="EU176" i="21"/>
  <c r="CF112" i="21"/>
  <c r="EU112" i="21"/>
  <c r="CF48" i="21"/>
  <c r="EU48" i="21"/>
  <c r="CF141" i="21"/>
  <c r="EU141" i="21"/>
  <c r="CF179" i="21"/>
  <c r="EU179" i="21"/>
  <c r="CF115" i="21"/>
  <c r="EU115" i="21"/>
  <c r="CF149" i="21"/>
  <c r="EU149" i="21"/>
  <c r="CF186" i="21"/>
  <c r="EU186" i="21"/>
  <c r="CF122" i="21"/>
  <c r="EU122" i="21"/>
  <c r="CF58" i="21"/>
  <c r="EU58" i="21"/>
  <c r="CF169" i="21"/>
  <c r="EU169" i="21"/>
  <c r="CF196" i="21"/>
  <c r="EU196" i="21"/>
  <c r="CF132" i="21"/>
  <c r="EU132" i="21"/>
  <c r="CF4" i="21"/>
  <c r="EU4" i="21"/>
  <c r="CF199" i="21"/>
  <c r="EU199" i="21"/>
  <c r="CF135" i="21"/>
  <c r="EU135" i="21"/>
  <c r="CF71" i="21"/>
  <c r="EU71" i="21"/>
  <c r="CF7" i="21"/>
  <c r="EU7" i="21"/>
  <c r="CF5" i="21"/>
  <c r="EU5" i="21"/>
  <c r="CF142" i="21"/>
  <c r="EU142" i="21"/>
  <c r="CF78" i="21"/>
  <c r="EU78" i="21"/>
  <c r="CF14" i="21"/>
  <c r="EU14" i="21"/>
  <c r="DZ160" i="5"/>
  <c r="CS160" i="5"/>
  <c r="DZ157" i="5"/>
  <c r="CS157" i="5"/>
  <c r="DZ164" i="5"/>
  <c r="CS164" i="5"/>
  <c r="DZ165" i="5"/>
  <c r="CS165" i="5"/>
  <c r="DZ159" i="5"/>
  <c r="CS159" i="5"/>
  <c r="EA159" i="5" s="1"/>
  <c r="DZ158" i="5"/>
  <c r="CS158" i="5"/>
  <c r="DZ156" i="5"/>
  <c r="CS156" i="5"/>
  <c r="BU151" i="5"/>
  <c r="DR151" i="5"/>
  <c r="BX130" i="5"/>
  <c r="DS130" i="5"/>
  <c r="BX192" i="5"/>
  <c r="DS192" i="5"/>
  <c r="BX93" i="5"/>
  <c r="DS93" i="5"/>
  <c r="DR76" i="5"/>
  <c r="BU76" i="5"/>
  <c r="BX195" i="5"/>
  <c r="DS195" i="5"/>
  <c r="BU19" i="5"/>
  <c r="DR19" i="5"/>
  <c r="BU7" i="5"/>
  <c r="DR7" i="5"/>
  <c r="DR61" i="5"/>
  <c r="BU61" i="5"/>
  <c r="DR75" i="5"/>
  <c r="BU75" i="5"/>
  <c r="DR69" i="5"/>
  <c r="BU69" i="5"/>
  <c r="DR68" i="5"/>
  <c r="BU68" i="5"/>
  <c r="DR84" i="5"/>
  <c r="BU84" i="5"/>
  <c r="DR32" i="5"/>
  <c r="BU32" i="5"/>
  <c r="BU10" i="5"/>
  <c r="DR10" i="5"/>
  <c r="DR4" i="5"/>
  <c r="BU4" i="5"/>
  <c r="DR23" i="5"/>
  <c r="BU23" i="5"/>
  <c r="BU11" i="5"/>
  <c r="DR11" i="5"/>
  <c r="BU18" i="5"/>
  <c r="DR18" i="5"/>
  <c r="DR49" i="5"/>
  <c r="BU49" i="5"/>
  <c r="DR45" i="5"/>
  <c r="BU45" i="5"/>
  <c r="DR82" i="5"/>
  <c r="BU82" i="5"/>
  <c r="DR48" i="5"/>
  <c r="BU48" i="5"/>
  <c r="BX104" i="5"/>
  <c r="DS104" i="5"/>
  <c r="DR56" i="5"/>
  <c r="BU56" i="5"/>
  <c r="DR86" i="5"/>
  <c r="BU86" i="5"/>
  <c r="DR66" i="5"/>
  <c r="BU66" i="5"/>
  <c r="DR24" i="5"/>
  <c r="BU24" i="5"/>
  <c r="BU100" i="5"/>
  <c r="DR100" i="5"/>
  <c r="DR200" i="5"/>
  <c r="BU200" i="5"/>
  <c r="DS106" i="5"/>
  <c r="BX106" i="5"/>
  <c r="BU88" i="5"/>
  <c r="DR88" i="5"/>
  <c r="BU115" i="5"/>
  <c r="DR115" i="5"/>
  <c r="BX150" i="5"/>
  <c r="DS150" i="5"/>
  <c r="BX117" i="5"/>
  <c r="DS117" i="5"/>
  <c r="BU153" i="5"/>
  <c r="DR153" i="5"/>
  <c r="BU190" i="5"/>
  <c r="DR190" i="5"/>
  <c r="BX194" i="5"/>
  <c r="DS194" i="5"/>
  <c r="BU131" i="5"/>
  <c r="DR131" i="5"/>
  <c r="DR108" i="5"/>
  <c r="BU108" i="5"/>
  <c r="DR20" i="5"/>
  <c r="BU20" i="5"/>
  <c r="DR44" i="5"/>
  <c r="BU44" i="5"/>
  <c r="DR40" i="5"/>
  <c r="BU40" i="5"/>
  <c r="DR71" i="5"/>
  <c r="BU71" i="5"/>
  <c r="DR31" i="5"/>
  <c r="BU31" i="5"/>
  <c r="DR79" i="5"/>
  <c r="BU79" i="5"/>
  <c r="DR12" i="5"/>
  <c r="BU12" i="5"/>
  <c r="DR29" i="5"/>
  <c r="BU29" i="5"/>
  <c r="DR30" i="5"/>
  <c r="BU30" i="5"/>
  <c r="DR87" i="5"/>
  <c r="BU87" i="5"/>
  <c r="DR14" i="5"/>
  <c r="BU14" i="5"/>
  <c r="BU17" i="5"/>
  <c r="DR17" i="5"/>
  <c r="DR26" i="5"/>
  <c r="BU26" i="5"/>
  <c r="DR38" i="5"/>
  <c r="BU38" i="5"/>
  <c r="DR63" i="5"/>
  <c r="BU63" i="5"/>
  <c r="BU8" i="5"/>
  <c r="DR8" i="5"/>
  <c r="DR62" i="5"/>
  <c r="BU62" i="5"/>
  <c r="DR81" i="5"/>
  <c r="BU81" i="5"/>
  <c r="DR59" i="5"/>
  <c r="BU59" i="5"/>
  <c r="BU132" i="5"/>
  <c r="DR132" i="5"/>
  <c r="BU111" i="5"/>
  <c r="DR111" i="5"/>
  <c r="BU99" i="5"/>
  <c r="DR99" i="5"/>
  <c r="BU120" i="5"/>
  <c r="DR120" i="5"/>
  <c r="BU173" i="5"/>
  <c r="DR173" i="5"/>
  <c r="BU139" i="5"/>
  <c r="DR139" i="5"/>
  <c r="BU95" i="5"/>
  <c r="DR95" i="5"/>
  <c r="DR167" i="5"/>
  <c r="BU167" i="5"/>
  <c r="BU145" i="5"/>
  <c r="DR145" i="5"/>
  <c r="DS89" i="5"/>
  <c r="BX89" i="5"/>
  <c r="BU91" i="5"/>
  <c r="DR91" i="5"/>
  <c r="BX198" i="5"/>
  <c r="DS198" i="5"/>
  <c r="BU16" i="5"/>
  <c r="DR16" i="5"/>
  <c r="DR67" i="5"/>
  <c r="BU67" i="5"/>
  <c r="DR47" i="5"/>
  <c r="BU47" i="5"/>
  <c r="DR85" i="5"/>
  <c r="BU85" i="5"/>
  <c r="DR78" i="5"/>
  <c r="BU78" i="5"/>
  <c r="DR65" i="5"/>
  <c r="BU65" i="5"/>
  <c r="DR43" i="5"/>
  <c r="BU43" i="5"/>
  <c r="DR36" i="5"/>
  <c r="BU36" i="5"/>
  <c r="DR46" i="5"/>
  <c r="BU46" i="5"/>
  <c r="DR27" i="5"/>
  <c r="BU27" i="5"/>
  <c r="DR33" i="5"/>
  <c r="BU33" i="5"/>
  <c r="DR50" i="5"/>
  <c r="BU50" i="5"/>
  <c r="DR41" i="5"/>
  <c r="BU41" i="5"/>
  <c r="DR34" i="5"/>
  <c r="BU34" i="5"/>
  <c r="DR37" i="5"/>
  <c r="BU37" i="5"/>
  <c r="DR60" i="5"/>
  <c r="BU60" i="5"/>
  <c r="BU199" i="5"/>
  <c r="DR199" i="5"/>
  <c r="BU9" i="5"/>
  <c r="DR9" i="5"/>
  <c r="DR57" i="5"/>
  <c r="BU57" i="5"/>
  <c r="DR54" i="5"/>
  <c r="BU54" i="5"/>
  <c r="DR28" i="5"/>
  <c r="BU28" i="5"/>
  <c r="DR58" i="5"/>
  <c r="BU58" i="5"/>
  <c r="BU116" i="5"/>
  <c r="DR116" i="5"/>
  <c r="BU98" i="5"/>
  <c r="DR98" i="5"/>
  <c r="BU114" i="5"/>
  <c r="DR114" i="5"/>
  <c r="CD154" i="5"/>
  <c r="DU154" i="5"/>
  <c r="BU127" i="5"/>
  <c r="DR127" i="5"/>
  <c r="BU148" i="5"/>
  <c r="DR148" i="5"/>
  <c r="DR191" i="5"/>
  <c r="BU191" i="5"/>
  <c r="BX134" i="5"/>
  <c r="DS134" i="5"/>
  <c r="BU147" i="5"/>
  <c r="DR147" i="5"/>
  <c r="BU129" i="5"/>
  <c r="DR129" i="5"/>
  <c r="BU92" i="5"/>
  <c r="DR92" i="5"/>
  <c r="BX189" i="5"/>
  <c r="DS189" i="5"/>
  <c r="BU197" i="5"/>
  <c r="DR197" i="5"/>
  <c r="BX188" i="5"/>
  <c r="DS188" i="5"/>
  <c r="BU113" i="5"/>
  <c r="DR113" i="5"/>
  <c r="DR83" i="5"/>
  <c r="BU83" i="5"/>
  <c r="BU5" i="5"/>
  <c r="DR5" i="5"/>
  <c r="DR25" i="5"/>
  <c r="BU25" i="5"/>
  <c r="DR35" i="5"/>
  <c r="BU35" i="5"/>
  <c r="DR80" i="5"/>
  <c r="BU80" i="5"/>
  <c r="DR64" i="5"/>
  <c r="BU64" i="5"/>
  <c r="DR53" i="5"/>
  <c r="BU53" i="5"/>
  <c r="DR72" i="5"/>
  <c r="BU72" i="5"/>
  <c r="DR73" i="5"/>
  <c r="BU73" i="5"/>
  <c r="BU15" i="5"/>
  <c r="DR15" i="5"/>
  <c r="DR21" i="5"/>
  <c r="BU21" i="5"/>
  <c r="DR22" i="5"/>
  <c r="BU22" i="5"/>
  <c r="DR70" i="5"/>
  <c r="BU70" i="5"/>
  <c r="DR74" i="5"/>
  <c r="BU74" i="5"/>
  <c r="DR42" i="5"/>
  <c r="BU42" i="5"/>
  <c r="DR51" i="5"/>
  <c r="BU51" i="5"/>
  <c r="BU13" i="5"/>
  <c r="DR13" i="5"/>
  <c r="DR39" i="5"/>
  <c r="BU39" i="5"/>
  <c r="DR52" i="5"/>
  <c r="BU52" i="5"/>
  <c r="DR77" i="5"/>
  <c r="BU77" i="5"/>
  <c r="DR55" i="5"/>
  <c r="BU55" i="5"/>
  <c r="BU149" i="5"/>
  <c r="DR149" i="5"/>
  <c r="BU96" i="5"/>
  <c r="DR96" i="5"/>
  <c r="BX196" i="5"/>
  <c r="DS196" i="5"/>
  <c r="DR107" i="5"/>
  <c r="BU107" i="5"/>
  <c r="BU136" i="5"/>
  <c r="DR136" i="5"/>
  <c r="BU135" i="5"/>
  <c r="DR135" i="5"/>
  <c r="BU119" i="5"/>
  <c r="DR119" i="5"/>
  <c r="BX146" i="5"/>
  <c r="DS146" i="5"/>
  <c r="BU94" i="5"/>
  <c r="DR94" i="5"/>
  <c r="EC11" i="21"/>
  <c r="BU112" i="5" l="1"/>
  <c r="DR112" i="5"/>
  <c r="BU118" i="5"/>
  <c r="DR118" i="5"/>
  <c r="BU144" i="5"/>
  <c r="DR144" i="5"/>
  <c r="DR155" i="5"/>
  <c r="BU155" i="5"/>
  <c r="BU152" i="5"/>
  <c r="DR152" i="5"/>
  <c r="DS101" i="5"/>
  <c r="BX101" i="5"/>
  <c r="EA156" i="5"/>
  <c r="EA164" i="5"/>
  <c r="EA165" i="5"/>
  <c r="EA158" i="5"/>
  <c r="EA157" i="5"/>
  <c r="EA160" i="5"/>
  <c r="BU102" i="5"/>
  <c r="DR102" i="5"/>
  <c r="BU90" i="5"/>
  <c r="DR90" i="5"/>
  <c r="DR6" i="5"/>
  <c r="BU6" i="5"/>
  <c r="BU193" i="5"/>
  <c r="DR193" i="5"/>
  <c r="CJ78" i="21"/>
  <c r="EV78" i="21"/>
  <c r="CJ5" i="21"/>
  <c r="EV5" i="21"/>
  <c r="CJ71" i="21"/>
  <c r="EV71" i="21"/>
  <c r="CJ199" i="21"/>
  <c r="EV199" i="21"/>
  <c r="CJ196" i="21"/>
  <c r="EV196" i="21"/>
  <c r="CJ58" i="21"/>
  <c r="EV58" i="21"/>
  <c r="CJ186" i="21"/>
  <c r="EV186" i="21"/>
  <c r="CJ179" i="21"/>
  <c r="EV179" i="21"/>
  <c r="CJ48" i="21"/>
  <c r="EV48" i="21"/>
  <c r="CJ176" i="21"/>
  <c r="EV176" i="21"/>
  <c r="CJ22" i="21"/>
  <c r="EV22" i="21"/>
  <c r="CJ15" i="21"/>
  <c r="EV15" i="21"/>
  <c r="CJ143" i="21"/>
  <c r="EV143" i="21"/>
  <c r="CJ12" i="21"/>
  <c r="EV12" i="21"/>
  <c r="CJ189" i="21"/>
  <c r="EV189" i="21"/>
  <c r="CJ130" i="21"/>
  <c r="EV130" i="21"/>
  <c r="CJ173" i="21"/>
  <c r="EV173" i="21"/>
  <c r="CJ123" i="21"/>
  <c r="EV123" i="21"/>
  <c r="CJ165" i="21"/>
  <c r="EV165" i="21"/>
  <c r="CJ120" i="21"/>
  <c r="EV120" i="21"/>
  <c r="CJ137" i="21"/>
  <c r="EV137" i="21"/>
  <c r="CJ94" i="21"/>
  <c r="EV94" i="21"/>
  <c r="CJ87" i="21"/>
  <c r="EV87" i="21"/>
  <c r="CJ57" i="21"/>
  <c r="EV57" i="21"/>
  <c r="CJ84" i="21"/>
  <c r="EV84" i="21"/>
  <c r="CJ74" i="21"/>
  <c r="EV74" i="21"/>
  <c r="CJ202" i="21"/>
  <c r="EV202" i="21"/>
  <c r="CJ67" i="21"/>
  <c r="EV67" i="21"/>
  <c r="CJ195" i="21"/>
  <c r="EV195" i="21"/>
  <c r="CJ64" i="21"/>
  <c r="EV64" i="21"/>
  <c r="CJ192" i="21"/>
  <c r="EV192" i="21"/>
  <c r="CJ38" i="21"/>
  <c r="EV38" i="21"/>
  <c r="CJ166" i="21"/>
  <c r="EV166" i="21"/>
  <c r="CJ159" i="21"/>
  <c r="EV159" i="21"/>
  <c r="CJ28" i="21"/>
  <c r="EV28" i="21"/>
  <c r="CJ156" i="21"/>
  <c r="EV156" i="21"/>
  <c r="CJ18" i="21"/>
  <c r="EV18" i="21"/>
  <c r="CJ146" i="21"/>
  <c r="EV146" i="21"/>
  <c r="CJ11" i="21"/>
  <c r="EV11" i="21"/>
  <c r="CJ139" i="21"/>
  <c r="EV139" i="21"/>
  <c r="CJ8" i="21"/>
  <c r="EV8" i="21"/>
  <c r="CJ136" i="21"/>
  <c r="EV136" i="21"/>
  <c r="CJ177" i="21"/>
  <c r="EV177" i="21"/>
  <c r="CJ110" i="21"/>
  <c r="EV110" i="21"/>
  <c r="CJ109" i="21"/>
  <c r="EV109" i="21"/>
  <c r="CJ103" i="21"/>
  <c r="EV103" i="21"/>
  <c r="CJ105" i="21"/>
  <c r="EV105" i="21"/>
  <c r="CJ77" i="21"/>
  <c r="EV77" i="21"/>
  <c r="CJ90" i="21"/>
  <c r="EV90" i="21"/>
  <c r="CJ45" i="21"/>
  <c r="EV45" i="21"/>
  <c r="CJ83" i="21"/>
  <c r="EV83" i="21"/>
  <c r="CJ49" i="21"/>
  <c r="EV49" i="21"/>
  <c r="CJ80" i="21"/>
  <c r="EV80" i="21"/>
  <c r="CJ25" i="21"/>
  <c r="EV25" i="21"/>
  <c r="CJ54" i="21"/>
  <c r="EV54" i="21"/>
  <c r="CJ182" i="21"/>
  <c r="EV182" i="21"/>
  <c r="CJ47" i="21"/>
  <c r="EV47" i="21"/>
  <c r="CJ175" i="21"/>
  <c r="EV175" i="21"/>
  <c r="CJ44" i="21"/>
  <c r="EV44" i="21"/>
  <c r="CJ172" i="21"/>
  <c r="EV172" i="21"/>
  <c r="CJ34" i="21"/>
  <c r="EV34" i="21"/>
  <c r="CJ162" i="21"/>
  <c r="EV162" i="21"/>
  <c r="CJ27" i="21"/>
  <c r="EV27" i="21"/>
  <c r="CJ155" i="21"/>
  <c r="EV155" i="21"/>
  <c r="CJ24" i="21"/>
  <c r="EV24" i="21"/>
  <c r="CJ152" i="21"/>
  <c r="EV152" i="21"/>
  <c r="CJ126" i="21"/>
  <c r="EV126" i="21"/>
  <c r="CJ161" i="21"/>
  <c r="EV161" i="21"/>
  <c r="CJ119" i="21"/>
  <c r="EV119" i="21"/>
  <c r="CJ116" i="21"/>
  <c r="EV116" i="21"/>
  <c r="CJ125" i="21"/>
  <c r="EV125" i="21"/>
  <c r="CJ97" i="21"/>
  <c r="EV97" i="21"/>
  <c r="CJ99" i="21"/>
  <c r="EV99" i="21"/>
  <c r="CJ93" i="21"/>
  <c r="EV93" i="21"/>
  <c r="CJ96" i="21"/>
  <c r="EV96" i="21"/>
  <c r="CJ65" i="21"/>
  <c r="EV65" i="21"/>
  <c r="CJ70" i="21"/>
  <c r="EV70" i="21"/>
  <c r="CJ198" i="21"/>
  <c r="EV198" i="21"/>
  <c r="CJ63" i="21"/>
  <c r="EV63" i="21"/>
  <c r="CJ191" i="21"/>
  <c r="EV191" i="21"/>
  <c r="CJ60" i="21"/>
  <c r="EV60" i="21"/>
  <c r="CJ188" i="21"/>
  <c r="EV188" i="21"/>
  <c r="CJ50" i="21"/>
  <c r="EV50" i="21"/>
  <c r="CJ178" i="21"/>
  <c r="EV178" i="21"/>
  <c r="CJ43" i="21"/>
  <c r="EV43" i="21"/>
  <c r="CJ171" i="21"/>
  <c r="EV171" i="21"/>
  <c r="CJ40" i="21"/>
  <c r="EV40" i="21"/>
  <c r="CJ168" i="21"/>
  <c r="EV168" i="21"/>
  <c r="CJ14" i="21"/>
  <c r="EV14" i="21"/>
  <c r="CJ142" i="21"/>
  <c r="EV142" i="21"/>
  <c r="CJ7" i="21"/>
  <c r="EV7" i="21"/>
  <c r="CJ135" i="21"/>
  <c r="EV135" i="21"/>
  <c r="CJ4" i="21"/>
  <c r="EV4" i="21"/>
  <c r="CJ132" i="21"/>
  <c r="EV132" i="21"/>
  <c r="CJ169" i="21"/>
  <c r="EV169" i="21"/>
  <c r="CJ122" i="21"/>
  <c r="EV122" i="21"/>
  <c r="CJ149" i="21"/>
  <c r="EV149" i="21"/>
  <c r="CJ115" i="21"/>
  <c r="EV115" i="21"/>
  <c r="CJ141" i="21"/>
  <c r="EV141" i="21"/>
  <c r="CJ112" i="21"/>
  <c r="EV112" i="21"/>
  <c r="CJ113" i="21"/>
  <c r="EV113" i="21"/>
  <c r="CJ86" i="21"/>
  <c r="EV86" i="21"/>
  <c r="CJ29" i="21"/>
  <c r="EV29" i="21"/>
  <c r="CJ79" i="21"/>
  <c r="EV79" i="21"/>
  <c r="CJ37" i="21"/>
  <c r="EV37" i="21"/>
  <c r="CJ76" i="21"/>
  <c r="EV76" i="21"/>
  <c r="CJ66" i="21"/>
  <c r="EV66" i="21"/>
  <c r="CJ194" i="21"/>
  <c r="EV194" i="21"/>
  <c r="CJ59" i="21"/>
  <c r="EV59" i="21"/>
  <c r="CJ56" i="21"/>
  <c r="EV56" i="21"/>
  <c r="CJ184" i="21"/>
  <c r="EV184" i="21"/>
  <c r="CJ30" i="21"/>
  <c r="EV30" i="21"/>
  <c r="CJ158" i="21"/>
  <c r="EV158" i="21"/>
  <c r="CJ23" i="21"/>
  <c r="EV23" i="21"/>
  <c r="CJ151" i="21"/>
  <c r="EV151" i="21"/>
  <c r="CJ10" i="21"/>
  <c r="EV10" i="21"/>
  <c r="CJ138" i="21"/>
  <c r="EV138" i="21"/>
  <c r="CJ197" i="21"/>
  <c r="EV197" i="21"/>
  <c r="CJ131" i="21"/>
  <c r="EV131" i="21"/>
  <c r="CJ193" i="21"/>
  <c r="EV193" i="21"/>
  <c r="CJ128" i="21"/>
  <c r="EV128" i="21"/>
  <c r="CJ157" i="21"/>
  <c r="EV157" i="21"/>
  <c r="CJ102" i="21"/>
  <c r="EV102" i="21"/>
  <c r="CJ85" i="21"/>
  <c r="EV85" i="21"/>
  <c r="CJ95" i="21"/>
  <c r="EV95" i="21"/>
  <c r="CJ81" i="21"/>
  <c r="EV81" i="21"/>
  <c r="CJ92" i="21"/>
  <c r="EV92" i="21"/>
  <c r="CJ82" i="21"/>
  <c r="EV82" i="21"/>
  <c r="CJ17" i="21"/>
  <c r="EV17" i="21"/>
  <c r="CJ75" i="21"/>
  <c r="EV75" i="21"/>
  <c r="CJ21" i="21"/>
  <c r="EV21" i="21"/>
  <c r="CJ200" i="21"/>
  <c r="EV200" i="21"/>
  <c r="CJ46" i="21"/>
  <c r="EV46" i="21"/>
  <c r="CJ39" i="21"/>
  <c r="EV39" i="21"/>
  <c r="CJ167" i="21"/>
  <c r="EV167" i="21"/>
  <c r="CJ36" i="21"/>
  <c r="EV36" i="21"/>
  <c r="CJ164" i="21"/>
  <c r="EV164" i="21"/>
  <c r="CJ26" i="21"/>
  <c r="EV26" i="21"/>
  <c r="CJ16" i="21"/>
  <c r="EV16" i="21"/>
  <c r="CJ144" i="21"/>
  <c r="EV144" i="21"/>
  <c r="CJ201" i="21"/>
  <c r="EV201" i="21"/>
  <c r="CJ111" i="21"/>
  <c r="EV111" i="21"/>
  <c r="CJ129" i="21"/>
  <c r="EV129" i="21"/>
  <c r="CJ108" i="21"/>
  <c r="EV108" i="21"/>
  <c r="CJ101" i="21"/>
  <c r="EV101" i="21"/>
  <c r="CJ98" i="21"/>
  <c r="EV98" i="21"/>
  <c r="CJ73" i="21"/>
  <c r="EV73" i="21"/>
  <c r="CJ88" i="21"/>
  <c r="EV88" i="21"/>
  <c r="CJ41" i="21"/>
  <c r="EV41" i="21"/>
  <c r="CJ62" i="21"/>
  <c r="EV62" i="21"/>
  <c r="CJ190" i="21"/>
  <c r="EV190" i="21"/>
  <c r="CJ55" i="21"/>
  <c r="EV55" i="21"/>
  <c r="CJ183" i="21"/>
  <c r="EV183" i="21"/>
  <c r="CJ52" i="21"/>
  <c r="EV52" i="21"/>
  <c r="CJ180" i="21"/>
  <c r="EV180" i="21"/>
  <c r="CJ42" i="21"/>
  <c r="EV42" i="21"/>
  <c r="CJ170" i="21"/>
  <c r="EV170" i="21"/>
  <c r="CJ35" i="21"/>
  <c r="EV35" i="21"/>
  <c r="CJ163" i="21"/>
  <c r="EV163" i="21"/>
  <c r="CJ32" i="21"/>
  <c r="EV32" i="21"/>
  <c r="CJ160" i="21"/>
  <c r="EV160" i="21"/>
  <c r="CJ6" i="21"/>
  <c r="EV6" i="21"/>
  <c r="CJ134" i="21"/>
  <c r="EV134" i="21"/>
  <c r="CJ185" i="21"/>
  <c r="EV185" i="21"/>
  <c r="CJ127" i="21"/>
  <c r="EV127" i="21"/>
  <c r="CJ181" i="21"/>
  <c r="EV181" i="21"/>
  <c r="CJ145" i="21"/>
  <c r="EV145" i="21"/>
  <c r="CJ114" i="21"/>
  <c r="EV114" i="21"/>
  <c r="CJ121" i="21"/>
  <c r="EV121" i="21"/>
  <c r="CJ107" i="21"/>
  <c r="EV107" i="21"/>
  <c r="CJ117" i="21"/>
  <c r="EV117" i="21"/>
  <c r="CJ104" i="21"/>
  <c r="EV104" i="21"/>
  <c r="CJ89" i="21"/>
  <c r="EV89" i="21"/>
  <c r="DS53" i="5"/>
  <c r="BX53" i="5"/>
  <c r="DS25" i="5"/>
  <c r="BX25" i="5"/>
  <c r="CA146" i="5"/>
  <c r="DT146" i="5"/>
  <c r="BX136" i="5"/>
  <c r="DS136" i="5"/>
  <c r="BX149" i="5"/>
  <c r="DS149" i="5"/>
  <c r="DS15" i="5"/>
  <c r="BX15" i="5"/>
  <c r="DS54" i="5"/>
  <c r="BX54" i="5"/>
  <c r="DS41" i="5"/>
  <c r="BX41" i="5"/>
  <c r="DS46" i="5"/>
  <c r="BX46" i="5"/>
  <c r="DS78" i="5"/>
  <c r="BX78" i="5"/>
  <c r="DS81" i="5"/>
  <c r="BX81" i="5"/>
  <c r="DS38" i="5"/>
  <c r="BX38" i="5"/>
  <c r="DS87" i="5"/>
  <c r="BX87" i="5"/>
  <c r="DS79" i="5"/>
  <c r="BX79" i="5"/>
  <c r="DS44" i="5"/>
  <c r="BX44" i="5"/>
  <c r="BX200" i="5"/>
  <c r="DS200" i="5"/>
  <c r="DS66" i="5"/>
  <c r="BX66" i="5"/>
  <c r="DS48" i="5"/>
  <c r="BX48" i="5"/>
  <c r="DS68" i="5"/>
  <c r="BX68" i="5"/>
  <c r="DS55" i="5"/>
  <c r="BX55" i="5"/>
  <c r="DS70" i="5"/>
  <c r="BX70" i="5"/>
  <c r="DS64" i="5"/>
  <c r="BX64" i="5"/>
  <c r="BX113" i="5"/>
  <c r="DS113" i="5"/>
  <c r="CA189" i="5"/>
  <c r="DT189" i="5"/>
  <c r="BX148" i="5"/>
  <c r="DS148" i="5"/>
  <c r="BX114" i="5"/>
  <c r="DS114" i="5"/>
  <c r="BX199" i="5"/>
  <c r="DS199" i="5"/>
  <c r="DS16" i="5"/>
  <c r="BX16" i="5"/>
  <c r="BX173" i="5"/>
  <c r="DS173" i="5"/>
  <c r="BX99" i="5"/>
  <c r="DS99" i="5"/>
  <c r="BX153" i="5"/>
  <c r="DS153" i="5"/>
  <c r="DS18" i="5"/>
  <c r="BX18" i="5"/>
  <c r="DS10" i="5"/>
  <c r="BX10" i="5"/>
  <c r="DS7" i="5"/>
  <c r="BX7" i="5"/>
  <c r="CA93" i="5"/>
  <c r="DT93" i="5"/>
  <c r="BX119" i="5"/>
  <c r="DS119" i="5"/>
  <c r="DS13" i="5"/>
  <c r="BX13" i="5"/>
  <c r="DS5" i="5"/>
  <c r="BX5" i="5"/>
  <c r="DS57" i="5"/>
  <c r="BX57" i="5"/>
  <c r="DS60" i="5"/>
  <c r="BX60" i="5"/>
  <c r="DS50" i="5"/>
  <c r="BX50" i="5"/>
  <c r="DS36" i="5"/>
  <c r="BX36" i="5"/>
  <c r="DS85" i="5"/>
  <c r="BX85" i="5"/>
  <c r="DS62" i="5"/>
  <c r="BX62" i="5"/>
  <c r="DS26" i="5"/>
  <c r="BX26" i="5"/>
  <c r="DS30" i="5"/>
  <c r="BX30" i="5"/>
  <c r="DS31" i="5"/>
  <c r="BX31" i="5"/>
  <c r="DS20" i="5"/>
  <c r="BX20" i="5"/>
  <c r="DS86" i="5"/>
  <c r="BX86" i="5"/>
  <c r="DS82" i="5"/>
  <c r="BX82" i="5"/>
  <c r="DS32" i="5"/>
  <c r="BX32" i="5"/>
  <c r="DS69" i="5"/>
  <c r="BX69" i="5"/>
  <c r="DS77" i="5"/>
  <c r="BX77" i="5"/>
  <c r="DS51" i="5"/>
  <c r="BX51" i="5"/>
  <c r="DS22" i="5"/>
  <c r="BX22" i="5"/>
  <c r="DS73" i="5"/>
  <c r="BX73" i="5"/>
  <c r="DS80" i="5"/>
  <c r="BX80" i="5"/>
  <c r="CA188" i="5"/>
  <c r="DT188" i="5"/>
  <c r="BX92" i="5"/>
  <c r="DS92" i="5"/>
  <c r="BX147" i="5"/>
  <c r="DS147" i="5"/>
  <c r="BX127" i="5"/>
  <c r="DS127" i="5"/>
  <c r="BX98" i="5"/>
  <c r="DS98" i="5"/>
  <c r="CA198" i="5"/>
  <c r="DT198" i="5"/>
  <c r="DS91" i="5"/>
  <c r="BX91" i="5"/>
  <c r="BX111" i="5"/>
  <c r="DS111" i="5"/>
  <c r="BX131" i="5"/>
  <c r="DS131" i="5"/>
  <c r="CA117" i="5"/>
  <c r="DT117" i="5"/>
  <c r="BX115" i="5"/>
  <c r="DS115" i="5"/>
  <c r="DS11" i="5"/>
  <c r="BX11" i="5"/>
  <c r="DS19" i="5"/>
  <c r="BX19" i="5"/>
  <c r="CA192" i="5"/>
  <c r="DT192" i="5"/>
  <c r="BX135" i="5"/>
  <c r="DS135" i="5"/>
  <c r="CA196" i="5"/>
  <c r="DT196" i="5"/>
  <c r="DS58" i="5"/>
  <c r="BX58" i="5"/>
  <c r="DS37" i="5"/>
  <c r="BX37" i="5"/>
  <c r="DS33" i="5"/>
  <c r="BX33" i="5"/>
  <c r="DS43" i="5"/>
  <c r="BX43" i="5"/>
  <c r="DS47" i="5"/>
  <c r="BX47" i="5"/>
  <c r="DT89" i="5"/>
  <c r="CA89" i="5"/>
  <c r="DS29" i="5"/>
  <c r="BX29" i="5"/>
  <c r="DS71" i="5"/>
  <c r="BX71" i="5"/>
  <c r="BX108" i="5"/>
  <c r="DS108" i="5"/>
  <c r="DT106" i="5"/>
  <c r="CA106" i="5"/>
  <c r="DS56" i="5"/>
  <c r="BX56" i="5"/>
  <c r="DS45" i="5"/>
  <c r="BX45" i="5"/>
  <c r="DS23" i="5"/>
  <c r="BX23" i="5"/>
  <c r="DS84" i="5"/>
  <c r="BX84" i="5"/>
  <c r="DS75" i="5"/>
  <c r="BX75" i="5"/>
  <c r="DS107" i="5"/>
  <c r="BX107" i="5"/>
  <c r="DS52" i="5"/>
  <c r="BX52" i="5"/>
  <c r="DS42" i="5"/>
  <c r="BX42" i="5"/>
  <c r="DS21" i="5"/>
  <c r="BX21" i="5"/>
  <c r="DS72" i="5"/>
  <c r="BX72" i="5"/>
  <c r="DS35" i="5"/>
  <c r="BX35" i="5"/>
  <c r="DS83" i="5"/>
  <c r="BX83" i="5"/>
  <c r="BX129" i="5"/>
  <c r="DS129" i="5"/>
  <c r="CA134" i="5"/>
  <c r="DT134" i="5"/>
  <c r="CG154" i="5"/>
  <c r="DV154" i="5"/>
  <c r="BX145" i="5"/>
  <c r="DS145" i="5"/>
  <c r="BX95" i="5"/>
  <c r="DS95" i="5"/>
  <c r="BX120" i="5"/>
  <c r="DS120" i="5"/>
  <c r="BX132" i="5"/>
  <c r="DS132" i="5"/>
  <c r="DS8" i="5"/>
  <c r="BX8" i="5"/>
  <c r="DS17" i="5"/>
  <c r="BX17" i="5"/>
  <c r="DT194" i="5"/>
  <c r="CA194" i="5"/>
  <c r="BX100" i="5"/>
  <c r="DS100" i="5"/>
  <c r="CA195" i="5"/>
  <c r="DT195" i="5"/>
  <c r="CA130" i="5"/>
  <c r="DT130" i="5"/>
  <c r="DS74" i="5"/>
  <c r="BX74" i="5"/>
  <c r="BX94" i="5"/>
  <c r="DS94" i="5"/>
  <c r="BX96" i="5"/>
  <c r="DS96" i="5"/>
  <c r="DS191" i="5"/>
  <c r="BX191" i="5"/>
  <c r="DS28" i="5"/>
  <c r="BX28" i="5"/>
  <c r="DS34" i="5"/>
  <c r="BX34" i="5"/>
  <c r="DS27" i="5"/>
  <c r="BX27" i="5"/>
  <c r="DS65" i="5"/>
  <c r="BX65" i="5"/>
  <c r="DS67" i="5"/>
  <c r="BX67" i="5"/>
  <c r="DS167" i="5"/>
  <c r="BX167" i="5"/>
  <c r="DS59" i="5"/>
  <c r="BX59" i="5"/>
  <c r="DS63" i="5"/>
  <c r="BX63" i="5"/>
  <c r="DS14" i="5"/>
  <c r="BX14" i="5"/>
  <c r="DS12" i="5"/>
  <c r="BX12" i="5"/>
  <c r="DS40" i="5"/>
  <c r="BX40" i="5"/>
  <c r="DS24" i="5"/>
  <c r="BX24" i="5"/>
  <c r="DS49" i="5"/>
  <c r="BX49" i="5"/>
  <c r="DS4" i="5"/>
  <c r="BX4" i="5"/>
  <c r="DS61" i="5"/>
  <c r="BX61" i="5"/>
  <c r="DS76" i="5"/>
  <c r="BX76" i="5"/>
  <c r="DS39" i="5"/>
  <c r="BX39" i="5"/>
  <c r="BX197" i="5"/>
  <c r="DS197" i="5"/>
  <c r="BX116" i="5"/>
  <c r="DS116" i="5"/>
  <c r="DS9" i="5"/>
  <c r="BX9" i="5"/>
  <c r="BX139" i="5"/>
  <c r="DS139" i="5"/>
  <c r="BX190" i="5"/>
  <c r="DS190" i="5"/>
  <c r="CA150" i="5"/>
  <c r="DT150" i="5"/>
  <c r="BX88" i="5"/>
  <c r="DS88" i="5"/>
  <c r="CA104" i="5"/>
  <c r="DT104" i="5"/>
  <c r="BX151" i="5"/>
  <c r="DS151" i="5"/>
  <c r="EB103" i="21"/>
  <c r="BX112" i="5" l="1"/>
  <c r="DS112" i="5"/>
  <c r="BX118" i="5"/>
  <c r="DS118" i="5"/>
  <c r="BX152" i="5"/>
  <c r="DS152" i="5"/>
  <c r="BX155" i="5"/>
  <c r="DS155" i="5"/>
  <c r="BX144" i="5"/>
  <c r="DS144" i="5"/>
  <c r="DT101" i="5"/>
  <c r="CA101" i="5"/>
  <c r="BX193" i="5"/>
  <c r="DS193" i="5"/>
  <c r="BX90" i="5"/>
  <c r="DS90" i="5"/>
  <c r="DS6" i="5"/>
  <c r="BX6" i="5"/>
  <c r="BX102" i="5"/>
  <c r="DS102" i="5"/>
  <c r="CN104" i="21"/>
  <c r="CR104" i="21" s="1"/>
  <c r="CV104" i="21" s="1"/>
  <c r="CZ104" i="21" s="1"/>
  <c r="DD104" i="21" s="1"/>
  <c r="DH104" i="21" s="1"/>
  <c r="DL104" i="21" s="1"/>
  <c r="DP104" i="21" s="1"/>
  <c r="DT104" i="21" s="1"/>
  <c r="EW104" i="21"/>
  <c r="CN114" i="21"/>
  <c r="CR114" i="21" s="1"/>
  <c r="CV114" i="21" s="1"/>
  <c r="CZ114" i="21" s="1"/>
  <c r="DD114" i="21" s="1"/>
  <c r="DH114" i="21" s="1"/>
  <c r="DL114" i="21" s="1"/>
  <c r="DP114" i="21" s="1"/>
  <c r="DT114" i="21" s="1"/>
  <c r="EW114" i="21"/>
  <c r="CN127" i="21"/>
  <c r="CR127" i="21" s="1"/>
  <c r="CV127" i="21" s="1"/>
  <c r="CZ127" i="21" s="1"/>
  <c r="DD127" i="21" s="1"/>
  <c r="DH127" i="21" s="1"/>
  <c r="DL127" i="21" s="1"/>
  <c r="DP127" i="21" s="1"/>
  <c r="DT127" i="21" s="1"/>
  <c r="EW127" i="21"/>
  <c r="CN160" i="21"/>
  <c r="CR160" i="21" s="1"/>
  <c r="CV160" i="21" s="1"/>
  <c r="CZ160" i="21" s="1"/>
  <c r="DD160" i="21" s="1"/>
  <c r="DH160" i="21" s="1"/>
  <c r="DL160" i="21" s="1"/>
  <c r="DP160" i="21" s="1"/>
  <c r="DT160" i="21" s="1"/>
  <c r="EW160" i="21"/>
  <c r="CN170" i="21"/>
  <c r="CR170" i="21" s="1"/>
  <c r="CV170" i="21" s="1"/>
  <c r="CZ170" i="21" s="1"/>
  <c r="DD170" i="21" s="1"/>
  <c r="DH170" i="21" s="1"/>
  <c r="DL170" i="21" s="1"/>
  <c r="DP170" i="21" s="1"/>
  <c r="DT170" i="21" s="1"/>
  <c r="EW170" i="21"/>
  <c r="CN183" i="21"/>
  <c r="CR183" i="21" s="1"/>
  <c r="CV183" i="21" s="1"/>
  <c r="CZ183" i="21" s="1"/>
  <c r="DD183" i="21" s="1"/>
  <c r="DH183" i="21" s="1"/>
  <c r="DL183" i="21" s="1"/>
  <c r="DP183" i="21" s="1"/>
  <c r="DT183" i="21" s="1"/>
  <c r="EW183" i="21"/>
  <c r="CN190" i="21"/>
  <c r="CR190" i="21" s="1"/>
  <c r="CV190" i="21" s="1"/>
  <c r="CZ190" i="21" s="1"/>
  <c r="DD190" i="21" s="1"/>
  <c r="DH190" i="21" s="1"/>
  <c r="DL190" i="21" s="1"/>
  <c r="DP190" i="21" s="1"/>
  <c r="DT190" i="21" s="1"/>
  <c r="EW190" i="21"/>
  <c r="CN101" i="21"/>
  <c r="CR101" i="21" s="1"/>
  <c r="CV101" i="21" s="1"/>
  <c r="CZ101" i="21" s="1"/>
  <c r="DD101" i="21" s="1"/>
  <c r="DH101" i="21" s="1"/>
  <c r="DL101" i="21" s="1"/>
  <c r="DP101" i="21" s="1"/>
  <c r="DT101" i="21" s="1"/>
  <c r="EW101" i="21"/>
  <c r="CN16" i="21"/>
  <c r="CR16" i="21" s="1"/>
  <c r="CV16" i="21" s="1"/>
  <c r="CZ16" i="21" s="1"/>
  <c r="DD16" i="21" s="1"/>
  <c r="DH16" i="21" s="1"/>
  <c r="DL16" i="21" s="1"/>
  <c r="DP16" i="21" s="1"/>
  <c r="DT16" i="21" s="1"/>
  <c r="EW16" i="21"/>
  <c r="CN26" i="21"/>
  <c r="CR26" i="21" s="1"/>
  <c r="CV26" i="21" s="1"/>
  <c r="CZ26" i="21" s="1"/>
  <c r="DD26" i="21" s="1"/>
  <c r="DH26" i="21" s="1"/>
  <c r="DL26" i="21" s="1"/>
  <c r="DP26" i="21" s="1"/>
  <c r="DT26" i="21" s="1"/>
  <c r="EW26" i="21"/>
  <c r="CN46" i="21"/>
  <c r="CR46" i="21" s="1"/>
  <c r="CV46" i="21" s="1"/>
  <c r="CZ46" i="21" s="1"/>
  <c r="DD46" i="21" s="1"/>
  <c r="DH46" i="21" s="1"/>
  <c r="DL46" i="21" s="1"/>
  <c r="DP46" i="21" s="1"/>
  <c r="DT46" i="21" s="1"/>
  <c r="EW46" i="21"/>
  <c r="CN75" i="21"/>
  <c r="CR75" i="21" s="1"/>
  <c r="CV75" i="21" s="1"/>
  <c r="CZ75" i="21" s="1"/>
  <c r="DD75" i="21" s="1"/>
  <c r="DH75" i="21" s="1"/>
  <c r="DL75" i="21" s="1"/>
  <c r="DP75" i="21" s="1"/>
  <c r="DT75" i="21" s="1"/>
  <c r="EW75" i="21"/>
  <c r="CN92" i="21"/>
  <c r="CR92" i="21" s="1"/>
  <c r="CV92" i="21" s="1"/>
  <c r="CZ92" i="21" s="1"/>
  <c r="DD92" i="21" s="1"/>
  <c r="DH92" i="21" s="1"/>
  <c r="DL92" i="21" s="1"/>
  <c r="DP92" i="21" s="1"/>
  <c r="DT92" i="21" s="1"/>
  <c r="EW92" i="21"/>
  <c r="CN102" i="21"/>
  <c r="CR102" i="21" s="1"/>
  <c r="CV102" i="21" s="1"/>
  <c r="CZ102" i="21" s="1"/>
  <c r="DD102" i="21" s="1"/>
  <c r="DH102" i="21" s="1"/>
  <c r="DL102" i="21" s="1"/>
  <c r="DP102" i="21" s="1"/>
  <c r="DT102" i="21" s="1"/>
  <c r="EW102" i="21"/>
  <c r="CN131" i="21"/>
  <c r="CR131" i="21" s="1"/>
  <c r="CV131" i="21" s="1"/>
  <c r="CZ131" i="21" s="1"/>
  <c r="DD131" i="21" s="1"/>
  <c r="DH131" i="21" s="1"/>
  <c r="DL131" i="21" s="1"/>
  <c r="DP131" i="21" s="1"/>
  <c r="DT131" i="21" s="1"/>
  <c r="EW131" i="21"/>
  <c r="CN158" i="21"/>
  <c r="CR158" i="21" s="1"/>
  <c r="CV158" i="21" s="1"/>
  <c r="CZ158" i="21" s="1"/>
  <c r="DD158" i="21" s="1"/>
  <c r="DH158" i="21" s="1"/>
  <c r="DL158" i="21" s="1"/>
  <c r="DP158" i="21" s="1"/>
  <c r="DT158" i="21" s="1"/>
  <c r="EW158" i="21"/>
  <c r="CN194" i="21"/>
  <c r="CR194" i="21" s="1"/>
  <c r="CV194" i="21" s="1"/>
  <c r="CZ194" i="21" s="1"/>
  <c r="DD194" i="21" s="1"/>
  <c r="DH194" i="21" s="1"/>
  <c r="DL194" i="21" s="1"/>
  <c r="DP194" i="21" s="1"/>
  <c r="DT194" i="21" s="1"/>
  <c r="EW194" i="21"/>
  <c r="CN37" i="21"/>
  <c r="CR37" i="21" s="1"/>
  <c r="CV37" i="21" s="1"/>
  <c r="CZ37" i="21" s="1"/>
  <c r="DD37" i="21" s="1"/>
  <c r="DH37" i="21" s="1"/>
  <c r="DL37" i="21" s="1"/>
  <c r="DP37" i="21" s="1"/>
  <c r="DT37" i="21" s="1"/>
  <c r="EW37" i="21"/>
  <c r="CN113" i="21"/>
  <c r="CR113" i="21" s="1"/>
  <c r="CV113" i="21" s="1"/>
  <c r="CZ113" i="21" s="1"/>
  <c r="DD113" i="21" s="1"/>
  <c r="DH113" i="21" s="1"/>
  <c r="DL113" i="21" s="1"/>
  <c r="DP113" i="21" s="1"/>
  <c r="DT113" i="21" s="1"/>
  <c r="EW113" i="21"/>
  <c r="CN149" i="21"/>
  <c r="CR149" i="21" s="1"/>
  <c r="CV149" i="21" s="1"/>
  <c r="CZ149" i="21" s="1"/>
  <c r="DD149" i="21" s="1"/>
  <c r="DH149" i="21" s="1"/>
  <c r="DL149" i="21" s="1"/>
  <c r="DP149" i="21" s="1"/>
  <c r="DT149" i="21" s="1"/>
  <c r="EW149" i="21"/>
  <c r="CN4" i="21"/>
  <c r="CR4" i="21" s="1"/>
  <c r="CV4" i="21" s="1"/>
  <c r="CZ4" i="21" s="1"/>
  <c r="DD4" i="21" s="1"/>
  <c r="DH4" i="21" s="1"/>
  <c r="DL4" i="21" s="1"/>
  <c r="DP4" i="21" s="1"/>
  <c r="DT4" i="21" s="1"/>
  <c r="EW4" i="21"/>
  <c r="CN14" i="21"/>
  <c r="CR14" i="21" s="1"/>
  <c r="CV14" i="21" s="1"/>
  <c r="CZ14" i="21" s="1"/>
  <c r="DD14" i="21" s="1"/>
  <c r="DH14" i="21" s="1"/>
  <c r="DL14" i="21" s="1"/>
  <c r="DP14" i="21" s="1"/>
  <c r="DT14" i="21" s="1"/>
  <c r="EW14" i="21"/>
  <c r="CN43" i="21"/>
  <c r="CR43" i="21" s="1"/>
  <c r="CV43" i="21" s="1"/>
  <c r="CZ43" i="21" s="1"/>
  <c r="DD43" i="21" s="1"/>
  <c r="DH43" i="21" s="1"/>
  <c r="DL43" i="21" s="1"/>
  <c r="DP43" i="21" s="1"/>
  <c r="DT43" i="21" s="1"/>
  <c r="EW43" i="21"/>
  <c r="CN60" i="21"/>
  <c r="CR60" i="21" s="1"/>
  <c r="CV60" i="21" s="1"/>
  <c r="CZ60" i="21" s="1"/>
  <c r="DD60" i="21" s="1"/>
  <c r="DH60" i="21" s="1"/>
  <c r="DL60" i="21" s="1"/>
  <c r="DP60" i="21" s="1"/>
  <c r="DT60" i="21" s="1"/>
  <c r="EW60" i="21"/>
  <c r="CN70" i="21"/>
  <c r="CR70" i="21" s="1"/>
  <c r="CV70" i="21" s="1"/>
  <c r="CZ70" i="21" s="1"/>
  <c r="DD70" i="21" s="1"/>
  <c r="DH70" i="21" s="1"/>
  <c r="DL70" i="21" s="1"/>
  <c r="DP70" i="21" s="1"/>
  <c r="DT70" i="21" s="1"/>
  <c r="EW70" i="21"/>
  <c r="CN99" i="21"/>
  <c r="CR99" i="21" s="1"/>
  <c r="CV99" i="21" s="1"/>
  <c r="CZ99" i="21" s="1"/>
  <c r="DD99" i="21" s="1"/>
  <c r="DH99" i="21" s="1"/>
  <c r="DL99" i="21" s="1"/>
  <c r="DP99" i="21" s="1"/>
  <c r="DT99" i="21" s="1"/>
  <c r="EW99" i="21"/>
  <c r="CN116" i="21"/>
  <c r="CR116" i="21" s="1"/>
  <c r="CV116" i="21" s="1"/>
  <c r="CZ116" i="21" s="1"/>
  <c r="DD116" i="21" s="1"/>
  <c r="DH116" i="21" s="1"/>
  <c r="DL116" i="21" s="1"/>
  <c r="DP116" i="21" s="1"/>
  <c r="DT116" i="21" s="1"/>
  <c r="EW116" i="21"/>
  <c r="CN126" i="21"/>
  <c r="CR126" i="21" s="1"/>
  <c r="CV126" i="21" s="1"/>
  <c r="CZ126" i="21" s="1"/>
  <c r="DD126" i="21" s="1"/>
  <c r="DH126" i="21" s="1"/>
  <c r="DL126" i="21" s="1"/>
  <c r="DP126" i="21" s="1"/>
  <c r="DT126" i="21" s="1"/>
  <c r="EW126" i="21"/>
  <c r="CN155" i="21"/>
  <c r="CR155" i="21" s="1"/>
  <c r="CV155" i="21" s="1"/>
  <c r="CZ155" i="21" s="1"/>
  <c r="DD155" i="21" s="1"/>
  <c r="DH155" i="21" s="1"/>
  <c r="DL155" i="21" s="1"/>
  <c r="DP155" i="21" s="1"/>
  <c r="DT155" i="21" s="1"/>
  <c r="EW155" i="21"/>
  <c r="CN172" i="21"/>
  <c r="CR172" i="21" s="1"/>
  <c r="CV172" i="21" s="1"/>
  <c r="CZ172" i="21" s="1"/>
  <c r="DD172" i="21" s="1"/>
  <c r="DH172" i="21" s="1"/>
  <c r="DL172" i="21" s="1"/>
  <c r="DP172" i="21" s="1"/>
  <c r="DT172" i="21" s="1"/>
  <c r="EW172" i="21"/>
  <c r="CN182" i="21"/>
  <c r="CR182" i="21" s="1"/>
  <c r="CV182" i="21" s="1"/>
  <c r="CZ182" i="21" s="1"/>
  <c r="DD182" i="21" s="1"/>
  <c r="DH182" i="21" s="1"/>
  <c r="DL182" i="21" s="1"/>
  <c r="DP182" i="21" s="1"/>
  <c r="DT182" i="21" s="1"/>
  <c r="EW182" i="21"/>
  <c r="CN49" i="21"/>
  <c r="CR49" i="21" s="1"/>
  <c r="CV49" i="21" s="1"/>
  <c r="CZ49" i="21" s="1"/>
  <c r="DD49" i="21" s="1"/>
  <c r="DH49" i="21" s="1"/>
  <c r="DL49" i="21" s="1"/>
  <c r="DP49" i="21" s="1"/>
  <c r="DT49" i="21" s="1"/>
  <c r="EW49" i="21"/>
  <c r="CN77" i="21"/>
  <c r="CR77" i="21" s="1"/>
  <c r="CV77" i="21" s="1"/>
  <c r="CZ77" i="21" s="1"/>
  <c r="DD77" i="21" s="1"/>
  <c r="DH77" i="21" s="1"/>
  <c r="DL77" i="21" s="1"/>
  <c r="DP77" i="21" s="1"/>
  <c r="DT77" i="21" s="1"/>
  <c r="EW77" i="21"/>
  <c r="CN109" i="21"/>
  <c r="CR109" i="21" s="1"/>
  <c r="CV109" i="21" s="1"/>
  <c r="CZ109" i="21" s="1"/>
  <c r="DD109" i="21" s="1"/>
  <c r="DH109" i="21" s="1"/>
  <c r="DL109" i="21" s="1"/>
  <c r="DP109" i="21" s="1"/>
  <c r="DT109" i="21" s="1"/>
  <c r="EW109" i="21"/>
  <c r="CN8" i="21"/>
  <c r="CR8" i="21" s="1"/>
  <c r="CV8" i="21" s="1"/>
  <c r="CZ8" i="21" s="1"/>
  <c r="DD8" i="21" s="1"/>
  <c r="DH8" i="21" s="1"/>
  <c r="DL8" i="21" s="1"/>
  <c r="DP8" i="21" s="1"/>
  <c r="DT8" i="21" s="1"/>
  <c r="EW8" i="21"/>
  <c r="CN18" i="21"/>
  <c r="CR18" i="21" s="1"/>
  <c r="CV18" i="21" s="1"/>
  <c r="CZ18" i="21" s="1"/>
  <c r="DD18" i="21" s="1"/>
  <c r="DH18" i="21" s="1"/>
  <c r="DL18" i="21" s="1"/>
  <c r="DP18" i="21" s="1"/>
  <c r="DT18" i="21" s="1"/>
  <c r="EW18" i="21"/>
  <c r="CN64" i="21"/>
  <c r="CR64" i="21" s="1"/>
  <c r="CV64" i="21" s="1"/>
  <c r="CZ64" i="21" s="1"/>
  <c r="DD64" i="21" s="1"/>
  <c r="DH64" i="21" s="1"/>
  <c r="DL64" i="21" s="1"/>
  <c r="DP64" i="21" s="1"/>
  <c r="DT64" i="21" s="1"/>
  <c r="EW64" i="21"/>
  <c r="CN74" i="21"/>
  <c r="CR74" i="21" s="1"/>
  <c r="CV74" i="21" s="1"/>
  <c r="CZ74" i="21" s="1"/>
  <c r="DD74" i="21" s="1"/>
  <c r="DH74" i="21" s="1"/>
  <c r="DL74" i="21" s="1"/>
  <c r="DP74" i="21" s="1"/>
  <c r="DT74" i="21" s="1"/>
  <c r="EW74" i="21"/>
  <c r="CN87" i="21"/>
  <c r="CR87" i="21" s="1"/>
  <c r="CV87" i="21" s="1"/>
  <c r="CZ87" i="21" s="1"/>
  <c r="DD87" i="21" s="1"/>
  <c r="DH87" i="21" s="1"/>
  <c r="DL87" i="21" s="1"/>
  <c r="DP87" i="21" s="1"/>
  <c r="DT87" i="21" s="1"/>
  <c r="EW87" i="21"/>
  <c r="CN120" i="21"/>
  <c r="CR120" i="21" s="1"/>
  <c r="CV120" i="21" s="1"/>
  <c r="CZ120" i="21" s="1"/>
  <c r="DD120" i="21" s="1"/>
  <c r="DH120" i="21" s="1"/>
  <c r="DL120" i="21" s="1"/>
  <c r="DP120" i="21" s="1"/>
  <c r="DT120" i="21" s="1"/>
  <c r="EW120" i="21"/>
  <c r="CN130" i="21"/>
  <c r="CR130" i="21" s="1"/>
  <c r="CV130" i="21" s="1"/>
  <c r="CZ130" i="21" s="1"/>
  <c r="DD130" i="21" s="1"/>
  <c r="DH130" i="21" s="1"/>
  <c r="DL130" i="21" s="1"/>
  <c r="DP130" i="21" s="1"/>
  <c r="DT130" i="21" s="1"/>
  <c r="EW130" i="21"/>
  <c r="CN143" i="21"/>
  <c r="CR143" i="21" s="1"/>
  <c r="CV143" i="21" s="1"/>
  <c r="CZ143" i="21" s="1"/>
  <c r="DD143" i="21" s="1"/>
  <c r="DH143" i="21" s="1"/>
  <c r="DL143" i="21" s="1"/>
  <c r="DP143" i="21" s="1"/>
  <c r="DT143" i="21" s="1"/>
  <c r="EW143" i="21"/>
  <c r="CN176" i="21"/>
  <c r="CR176" i="21" s="1"/>
  <c r="CV176" i="21" s="1"/>
  <c r="CZ176" i="21" s="1"/>
  <c r="DD176" i="21" s="1"/>
  <c r="DH176" i="21" s="1"/>
  <c r="DL176" i="21" s="1"/>
  <c r="DP176" i="21" s="1"/>
  <c r="DT176" i="21" s="1"/>
  <c r="EW176" i="21"/>
  <c r="CN199" i="21"/>
  <c r="CR199" i="21" s="1"/>
  <c r="CV199" i="21" s="1"/>
  <c r="CZ199" i="21" s="1"/>
  <c r="DD199" i="21" s="1"/>
  <c r="DH199" i="21" s="1"/>
  <c r="DL199" i="21" s="1"/>
  <c r="DP199" i="21" s="1"/>
  <c r="DT199" i="21" s="1"/>
  <c r="EW199" i="21"/>
  <c r="CN107" i="21"/>
  <c r="CR107" i="21" s="1"/>
  <c r="CV107" i="21" s="1"/>
  <c r="CZ107" i="21" s="1"/>
  <c r="DD107" i="21" s="1"/>
  <c r="DH107" i="21" s="1"/>
  <c r="DL107" i="21" s="1"/>
  <c r="DP107" i="21" s="1"/>
  <c r="DT107" i="21" s="1"/>
  <c r="EW107" i="21"/>
  <c r="CN134" i="21"/>
  <c r="CR134" i="21" s="1"/>
  <c r="CV134" i="21" s="1"/>
  <c r="CZ134" i="21" s="1"/>
  <c r="DD134" i="21" s="1"/>
  <c r="DH134" i="21" s="1"/>
  <c r="DL134" i="21" s="1"/>
  <c r="DP134" i="21" s="1"/>
  <c r="DT134" i="21" s="1"/>
  <c r="EW134" i="21"/>
  <c r="CN163" i="21"/>
  <c r="CR163" i="21" s="1"/>
  <c r="CV163" i="21" s="1"/>
  <c r="CZ163" i="21" s="1"/>
  <c r="DD163" i="21" s="1"/>
  <c r="DH163" i="21" s="1"/>
  <c r="DL163" i="21" s="1"/>
  <c r="DP163" i="21" s="1"/>
  <c r="DT163" i="21" s="1"/>
  <c r="EW163" i="21"/>
  <c r="CN180" i="21"/>
  <c r="CR180" i="21" s="1"/>
  <c r="CV180" i="21" s="1"/>
  <c r="CZ180" i="21" s="1"/>
  <c r="DD180" i="21" s="1"/>
  <c r="DH180" i="21" s="1"/>
  <c r="DL180" i="21" s="1"/>
  <c r="DP180" i="21" s="1"/>
  <c r="DT180" i="21" s="1"/>
  <c r="EW180" i="21"/>
  <c r="CN41" i="21"/>
  <c r="CR41" i="21" s="1"/>
  <c r="CV41" i="21" s="1"/>
  <c r="CZ41" i="21" s="1"/>
  <c r="DD41" i="21" s="1"/>
  <c r="DH41" i="21" s="1"/>
  <c r="DL41" i="21" s="1"/>
  <c r="DP41" i="21" s="1"/>
  <c r="DT41" i="21" s="1"/>
  <c r="EW41" i="21"/>
  <c r="CN73" i="21"/>
  <c r="CR73" i="21" s="1"/>
  <c r="CV73" i="21" s="1"/>
  <c r="CZ73" i="21" s="1"/>
  <c r="DD73" i="21" s="1"/>
  <c r="DH73" i="21" s="1"/>
  <c r="DL73" i="21" s="1"/>
  <c r="DP73" i="21" s="1"/>
  <c r="DT73" i="21" s="1"/>
  <c r="EW73" i="21"/>
  <c r="CN129" i="21"/>
  <c r="CR129" i="21" s="1"/>
  <c r="CV129" i="21" s="1"/>
  <c r="CZ129" i="21" s="1"/>
  <c r="DD129" i="21" s="1"/>
  <c r="DH129" i="21" s="1"/>
  <c r="DL129" i="21" s="1"/>
  <c r="DP129" i="21" s="1"/>
  <c r="DT129" i="21" s="1"/>
  <c r="EW129" i="21"/>
  <c r="CN201" i="21"/>
  <c r="CR201" i="21" s="1"/>
  <c r="CV201" i="21" s="1"/>
  <c r="CZ201" i="21" s="1"/>
  <c r="DD201" i="21" s="1"/>
  <c r="DH201" i="21" s="1"/>
  <c r="DL201" i="21" s="1"/>
  <c r="DP201" i="21" s="1"/>
  <c r="DT201" i="21" s="1"/>
  <c r="EW201" i="21"/>
  <c r="CN36" i="21"/>
  <c r="CR36" i="21" s="1"/>
  <c r="CV36" i="21" s="1"/>
  <c r="CZ36" i="21" s="1"/>
  <c r="DD36" i="21" s="1"/>
  <c r="DH36" i="21" s="1"/>
  <c r="DL36" i="21" s="1"/>
  <c r="DP36" i="21" s="1"/>
  <c r="DT36" i="21" s="1"/>
  <c r="EW36" i="21"/>
  <c r="CN39" i="21"/>
  <c r="CR39" i="21" s="1"/>
  <c r="CV39" i="21" s="1"/>
  <c r="CZ39" i="21" s="1"/>
  <c r="DD39" i="21" s="1"/>
  <c r="DH39" i="21" s="1"/>
  <c r="DL39" i="21" s="1"/>
  <c r="DP39" i="21" s="1"/>
  <c r="DT39" i="21" s="1"/>
  <c r="EW39" i="21"/>
  <c r="CN82" i="21"/>
  <c r="CR82" i="21" s="1"/>
  <c r="CV82" i="21" s="1"/>
  <c r="CZ82" i="21" s="1"/>
  <c r="DD82" i="21" s="1"/>
  <c r="DH82" i="21" s="1"/>
  <c r="DL82" i="21" s="1"/>
  <c r="DP82" i="21" s="1"/>
  <c r="DT82" i="21" s="1"/>
  <c r="EW82" i="21"/>
  <c r="CN95" i="21"/>
  <c r="CR95" i="21" s="1"/>
  <c r="CV95" i="21" s="1"/>
  <c r="CZ95" i="21" s="1"/>
  <c r="DD95" i="21" s="1"/>
  <c r="DH95" i="21" s="1"/>
  <c r="DL95" i="21" s="1"/>
  <c r="DP95" i="21" s="1"/>
  <c r="DT95" i="21" s="1"/>
  <c r="EW95" i="21"/>
  <c r="CN128" i="21"/>
  <c r="CR128" i="21" s="1"/>
  <c r="CV128" i="21" s="1"/>
  <c r="CZ128" i="21" s="1"/>
  <c r="DD128" i="21" s="1"/>
  <c r="DH128" i="21" s="1"/>
  <c r="DL128" i="21" s="1"/>
  <c r="DP128" i="21" s="1"/>
  <c r="DT128" i="21" s="1"/>
  <c r="EW128" i="21"/>
  <c r="CN138" i="21"/>
  <c r="CR138" i="21" s="1"/>
  <c r="CV138" i="21" s="1"/>
  <c r="CZ138" i="21" s="1"/>
  <c r="DD138" i="21" s="1"/>
  <c r="DH138" i="21" s="1"/>
  <c r="DL138" i="21" s="1"/>
  <c r="DP138" i="21" s="1"/>
  <c r="DT138" i="21" s="1"/>
  <c r="EW138" i="21"/>
  <c r="CN151" i="21"/>
  <c r="CR151" i="21" s="1"/>
  <c r="CV151" i="21" s="1"/>
  <c r="CZ151" i="21" s="1"/>
  <c r="DD151" i="21" s="1"/>
  <c r="DH151" i="21" s="1"/>
  <c r="DL151" i="21" s="1"/>
  <c r="DP151" i="21" s="1"/>
  <c r="DT151" i="21" s="1"/>
  <c r="EW151" i="21"/>
  <c r="CN184" i="21"/>
  <c r="CR184" i="21" s="1"/>
  <c r="CV184" i="21" s="1"/>
  <c r="CZ184" i="21" s="1"/>
  <c r="DD184" i="21" s="1"/>
  <c r="DH184" i="21" s="1"/>
  <c r="DL184" i="21" s="1"/>
  <c r="DP184" i="21" s="1"/>
  <c r="DT184" i="21" s="1"/>
  <c r="EW184" i="21"/>
  <c r="CN29" i="21"/>
  <c r="CR29" i="21" s="1"/>
  <c r="CV29" i="21" s="1"/>
  <c r="CZ29" i="21" s="1"/>
  <c r="DD29" i="21" s="1"/>
  <c r="DH29" i="21" s="1"/>
  <c r="DL29" i="21" s="1"/>
  <c r="DP29" i="21" s="1"/>
  <c r="DT29" i="21" s="1"/>
  <c r="EW29" i="21"/>
  <c r="CN141" i="21"/>
  <c r="CR141" i="21" s="1"/>
  <c r="CV141" i="21" s="1"/>
  <c r="CZ141" i="21" s="1"/>
  <c r="DD141" i="21" s="1"/>
  <c r="DH141" i="21" s="1"/>
  <c r="DL141" i="21" s="1"/>
  <c r="DP141" i="21" s="1"/>
  <c r="DT141" i="21" s="1"/>
  <c r="EW141" i="21"/>
  <c r="CN169" i="21"/>
  <c r="CR169" i="21" s="1"/>
  <c r="CV169" i="21" s="1"/>
  <c r="CZ169" i="21" s="1"/>
  <c r="DD169" i="21" s="1"/>
  <c r="DH169" i="21" s="1"/>
  <c r="DL169" i="21" s="1"/>
  <c r="DP169" i="21" s="1"/>
  <c r="DT169" i="21" s="1"/>
  <c r="EW169" i="21"/>
  <c r="CN7" i="21"/>
  <c r="CR7" i="21" s="1"/>
  <c r="CV7" i="21" s="1"/>
  <c r="CZ7" i="21" s="1"/>
  <c r="DD7" i="21" s="1"/>
  <c r="DH7" i="21" s="1"/>
  <c r="DL7" i="21" s="1"/>
  <c r="DP7" i="21" s="1"/>
  <c r="DT7" i="21" s="1"/>
  <c r="EW7" i="21"/>
  <c r="CN40" i="21"/>
  <c r="CR40" i="21" s="1"/>
  <c r="CV40" i="21" s="1"/>
  <c r="CZ40" i="21" s="1"/>
  <c r="DD40" i="21" s="1"/>
  <c r="DH40" i="21" s="1"/>
  <c r="DL40" i="21" s="1"/>
  <c r="DP40" i="21" s="1"/>
  <c r="DT40" i="21" s="1"/>
  <c r="EW40" i="21"/>
  <c r="CN50" i="21"/>
  <c r="CR50" i="21" s="1"/>
  <c r="CV50" i="21" s="1"/>
  <c r="CZ50" i="21" s="1"/>
  <c r="DD50" i="21" s="1"/>
  <c r="DH50" i="21" s="1"/>
  <c r="DL50" i="21" s="1"/>
  <c r="DP50" i="21" s="1"/>
  <c r="DT50" i="21" s="1"/>
  <c r="EW50" i="21"/>
  <c r="CN63" i="21"/>
  <c r="CR63" i="21" s="1"/>
  <c r="CV63" i="21" s="1"/>
  <c r="CZ63" i="21" s="1"/>
  <c r="DD63" i="21" s="1"/>
  <c r="DH63" i="21" s="1"/>
  <c r="DL63" i="21" s="1"/>
  <c r="DP63" i="21" s="1"/>
  <c r="DT63" i="21" s="1"/>
  <c r="EW63" i="21"/>
  <c r="CN96" i="21"/>
  <c r="CR96" i="21" s="1"/>
  <c r="CV96" i="21" s="1"/>
  <c r="CZ96" i="21" s="1"/>
  <c r="DD96" i="21" s="1"/>
  <c r="DH96" i="21" s="1"/>
  <c r="DL96" i="21" s="1"/>
  <c r="DP96" i="21" s="1"/>
  <c r="DT96" i="21" s="1"/>
  <c r="EW96" i="21"/>
  <c r="CN119" i="21"/>
  <c r="CR119" i="21" s="1"/>
  <c r="CV119" i="21" s="1"/>
  <c r="CZ119" i="21" s="1"/>
  <c r="DD119" i="21" s="1"/>
  <c r="DH119" i="21" s="1"/>
  <c r="DL119" i="21" s="1"/>
  <c r="DP119" i="21" s="1"/>
  <c r="DT119" i="21" s="1"/>
  <c r="EW119" i="21"/>
  <c r="CN152" i="21"/>
  <c r="CR152" i="21" s="1"/>
  <c r="CV152" i="21" s="1"/>
  <c r="CZ152" i="21" s="1"/>
  <c r="DD152" i="21" s="1"/>
  <c r="DH152" i="21" s="1"/>
  <c r="DL152" i="21" s="1"/>
  <c r="DP152" i="21" s="1"/>
  <c r="DT152" i="21" s="1"/>
  <c r="EW152" i="21"/>
  <c r="CN162" i="21"/>
  <c r="CR162" i="21" s="1"/>
  <c r="CV162" i="21" s="1"/>
  <c r="CZ162" i="21" s="1"/>
  <c r="DD162" i="21" s="1"/>
  <c r="DH162" i="21" s="1"/>
  <c r="DL162" i="21" s="1"/>
  <c r="DP162" i="21" s="1"/>
  <c r="DT162" i="21" s="1"/>
  <c r="EW162" i="21"/>
  <c r="CN175" i="21"/>
  <c r="CR175" i="21" s="1"/>
  <c r="CV175" i="21" s="1"/>
  <c r="CZ175" i="21" s="1"/>
  <c r="DD175" i="21" s="1"/>
  <c r="DH175" i="21" s="1"/>
  <c r="DL175" i="21" s="1"/>
  <c r="DP175" i="21" s="1"/>
  <c r="DT175" i="21" s="1"/>
  <c r="EW175" i="21"/>
  <c r="CN25" i="21"/>
  <c r="CR25" i="21" s="1"/>
  <c r="CV25" i="21" s="1"/>
  <c r="CZ25" i="21" s="1"/>
  <c r="DD25" i="21" s="1"/>
  <c r="DH25" i="21" s="1"/>
  <c r="DL25" i="21" s="1"/>
  <c r="DP25" i="21" s="1"/>
  <c r="DT25" i="21" s="1"/>
  <c r="EW25" i="21"/>
  <c r="CN45" i="21"/>
  <c r="CR45" i="21" s="1"/>
  <c r="CV45" i="21" s="1"/>
  <c r="CZ45" i="21" s="1"/>
  <c r="DD45" i="21" s="1"/>
  <c r="DH45" i="21" s="1"/>
  <c r="DL45" i="21" s="1"/>
  <c r="DP45" i="21" s="1"/>
  <c r="DT45" i="21" s="1"/>
  <c r="EW45" i="21"/>
  <c r="CN105" i="21"/>
  <c r="CR105" i="21" s="1"/>
  <c r="CV105" i="21" s="1"/>
  <c r="CZ105" i="21" s="1"/>
  <c r="DD105" i="21" s="1"/>
  <c r="DH105" i="21" s="1"/>
  <c r="DL105" i="21" s="1"/>
  <c r="DP105" i="21" s="1"/>
  <c r="DT105" i="21" s="1"/>
  <c r="EW105" i="21"/>
  <c r="CN177" i="21"/>
  <c r="CR177" i="21" s="1"/>
  <c r="CV177" i="21" s="1"/>
  <c r="CZ177" i="21" s="1"/>
  <c r="DD177" i="21" s="1"/>
  <c r="DH177" i="21" s="1"/>
  <c r="DL177" i="21" s="1"/>
  <c r="DP177" i="21" s="1"/>
  <c r="DT177" i="21" s="1"/>
  <c r="EW177" i="21"/>
  <c r="CN11" i="21"/>
  <c r="CR11" i="21" s="1"/>
  <c r="CV11" i="21" s="1"/>
  <c r="CZ11" i="21" s="1"/>
  <c r="DD11" i="21" s="1"/>
  <c r="DH11" i="21" s="1"/>
  <c r="DL11" i="21" s="1"/>
  <c r="DP11" i="21" s="1"/>
  <c r="DT11" i="21" s="1"/>
  <c r="EW11" i="21"/>
  <c r="CN28" i="21"/>
  <c r="CR28" i="21" s="1"/>
  <c r="CV28" i="21" s="1"/>
  <c r="CZ28" i="21" s="1"/>
  <c r="DD28" i="21" s="1"/>
  <c r="DH28" i="21" s="1"/>
  <c r="DL28" i="21" s="1"/>
  <c r="DP28" i="21" s="1"/>
  <c r="DT28" i="21" s="1"/>
  <c r="EW28" i="21"/>
  <c r="CN38" i="21"/>
  <c r="CR38" i="21" s="1"/>
  <c r="CV38" i="21" s="1"/>
  <c r="CZ38" i="21" s="1"/>
  <c r="DD38" i="21" s="1"/>
  <c r="DH38" i="21" s="1"/>
  <c r="DL38" i="21" s="1"/>
  <c r="DP38" i="21" s="1"/>
  <c r="DT38" i="21" s="1"/>
  <c r="EW38" i="21"/>
  <c r="CN67" i="21"/>
  <c r="CR67" i="21" s="1"/>
  <c r="CV67" i="21" s="1"/>
  <c r="CZ67" i="21" s="1"/>
  <c r="DD67" i="21" s="1"/>
  <c r="DH67" i="21" s="1"/>
  <c r="DL67" i="21" s="1"/>
  <c r="DP67" i="21" s="1"/>
  <c r="DT67" i="21" s="1"/>
  <c r="EW67" i="21"/>
  <c r="CN84" i="21"/>
  <c r="CR84" i="21" s="1"/>
  <c r="CV84" i="21" s="1"/>
  <c r="CZ84" i="21" s="1"/>
  <c r="DD84" i="21" s="1"/>
  <c r="DH84" i="21" s="1"/>
  <c r="DL84" i="21" s="1"/>
  <c r="DP84" i="21" s="1"/>
  <c r="DT84" i="21" s="1"/>
  <c r="EW84" i="21"/>
  <c r="CN94" i="21"/>
  <c r="CR94" i="21" s="1"/>
  <c r="CV94" i="21" s="1"/>
  <c r="CZ94" i="21" s="1"/>
  <c r="DD94" i="21" s="1"/>
  <c r="DH94" i="21" s="1"/>
  <c r="DL94" i="21" s="1"/>
  <c r="DP94" i="21" s="1"/>
  <c r="DT94" i="21" s="1"/>
  <c r="EW94" i="21"/>
  <c r="CN123" i="21"/>
  <c r="CR123" i="21" s="1"/>
  <c r="CV123" i="21" s="1"/>
  <c r="CZ123" i="21" s="1"/>
  <c r="DD123" i="21" s="1"/>
  <c r="DH123" i="21" s="1"/>
  <c r="DL123" i="21" s="1"/>
  <c r="DP123" i="21" s="1"/>
  <c r="DT123" i="21" s="1"/>
  <c r="EW123" i="21"/>
  <c r="CN179" i="21"/>
  <c r="CR179" i="21" s="1"/>
  <c r="CV179" i="21" s="1"/>
  <c r="CZ179" i="21" s="1"/>
  <c r="DD179" i="21" s="1"/>
  <c r="DH179" i="21" s="1"/>
  <c r="DL179" i="21" s="1"/>
  <c r="DP179" i="21" s="1"/>
  <c r="DT179" i="21" s="1"/>
  <c r="EW179" i="21"/>
  <c r="CN186" i="21"/>
  <c r="CR186" i="21" s="1"/>
  <c r="CV186" i="21" s="1"/>
  <c r="CZ186" i="21" s="1"/>
  <c r="DD186" i="21" s="1"/>
  <c r="DH186" i="21" s="1"/>
  <c r="DL186" i="21" s="1"/>
  <c r="DP186" i="21" s="1"/>
  <c r="DT186" i="21" s="1"/>
  <c r="EW186" i="21"/>
  <c r="CN196" i="21"/>
  <c r="CR196" i="21" s="1"/>
  <c r="CV196" i="21" s="1"/>
  <c r="CZ196" i="21" s="1"/>
  <c r="DD196" i="21" s="1"/>
  <c r="DH196" i="21" s="1"/>
  <c r="DL196" i="21" s="1"/>
  <c r="DP196" i="21" s="1"/>
  <c r="DT196" i="21" s="1"/>
  <c r="EW196" i="21"/>
  <c r="CN5" i="21"/>
  <c r="CR5" i="21" s="1"/>
  <c r="CV5" i="21" s="1"/>
  <c r="CZ5" i="21" s="1"/>
  <c r="DD5" i="21" s="1"/>
  <c r="DH5" i="21" s="1"/>
  <c r="DL5" i="21" s="1"/>
  <c r="DP5" i="21" s="1"/>
  <c r="DT5" i="21" s="1"/>
  <c r="EW5" i="21"/>
  <c r="CN89" i="21"/>
  <c r="CR89" i="21" s="1"/>
  <c r="CV89" i="21" s="1"/>
  <c r="CZ89" i="21" s="1"/>
  <c r="DD89" i="21" s="1"/>
  <c r="DH89" i="21" s="1"/>
  <c r="DL89" i="21" s="1"/>
  <c r="DP89" i="21" s="1"/>
  <c r="DT89" i="21" s="1"/>
  <c r="EW89" i="21"/>
  <c r="CN117" i="21"/>
  <c r="CR117" i="21" s="1"/>
  <c r="CV117" i="21" s="1"/>
  <c r="CZ117" i="21" s="1"/>
  <c r="DD117" i="21" s="1"/>
  <c r="DH117" i="21" s="1"/>
  <c r="DL117" i="21" s="1"/>
  <c r="DP117" i="21" s="1"/>
  <c r="DT117" i="21" s="1"/>
  <c r="EW117" i="21"/>
  <c r="CN121" i="21"/>
  <c r="CR121" i="21" s="1"/>
  <c r="CV121" i="21" s="1"/>
  <c r="CZ121" i="21" s="1"/>
  <c r="DD121" i="21" s="1"/>
  <c r="DH121" i="21" s="1"/>
  <c r="DL121" i="21" s="1"/>
  <c r="DP121" i="21" s="1"/>
  <c r="DT121" i="21" s="1"/>
  <c r="EW121" i="21"/>
  <c r="CN145" i="21"/>
  <c r="CR145" i="21" s="1"/>
  <c r="CV145" i="21" s="1"/>
  <c r="CZ145" i="21" s="1"/>
  <c r="DD145" i="21" s="1"/>
  <c r="DH145" i="21" s="1"/>
  <c r="DL145" i="21" s="1"/>
  <c r="DP145" i="21" s="1"/>
  <c r="DT145" i="21" s="1"/>
  <c r="EW145" i="21"/>
  <c r="CN181" i="21"/>
  <c r="CR181" i="21" s="1"/>
  <c r="CV181" i="21" s="1"/>
  <c r="CZ181" i="21" s="1"/>
  <c r="DD181" i="21" s="1"/>
  <c r="DH181" i="21" s="1"/>
  <c r="DL181" i="21" s="1"/>
  <c r="DP181" i="21" s="1"/>
  <c r="DT181" i="21" s="1"/>
  <c r="EW181" i="21"/>
  <c r="CN185" i="21"/>
  <c r="CR185" i="21" s="1"/>
  <c r="CV185" i="21" s="1"/>
  <c r="CZ185" i="21" s="1"/>
  <c r="DD185" i="21" s="1"/>
  <c r="DH185" i="21" s="1"/>
  <c r="DL185" i="21" s="1"/>
  <c r="DP185" i="21" s="1"/>
  <c r="DT185" i="21" s="1"/>
  <c r="EW185" i="21"/>
  <c r="CN6" i="21"/>
  <c r="CR6" i="21" s="1"/>
  <c r="CV6" i="21" s="1"/>
  <c r="CZ6" i="21" s="1"/>
  <c r="DD6" i="21" s="1"/>
  <c r="DH6" i="21" s="1"/>
  <c r="DL6" i="21" s="1"/>
  <c r="DP6" i="21" s="1"/>
  <c r="DT6" i="21" s="1"/>
  <c r="EW6" i="21"/>
  <c r="CN32" i="21"/>
  <c r="CR32" i="21" s="1"/>
  <c r="CV32" i="21" s="1"/>
  <c r="CZ32" i="21" s="1"/>
  <c r="DD32" i="21" s="1"/>
  <c r="DH32" i="21" s="1"/>
  <c r="DL32" i="21" s="1"/>
  <c r="DP32" i="21" s="1"/>
  <c r="DT32" i="21" s="1"/>
  <c r="EW32" i="21"/>
  <c r="CN35" i="21"/>
  <c r="CR35" i="21" s="1"/>
  <c r="CV35" i="21" s="1"/>
  <c r="CZ35" i="21" s="1"/>
  <c r="DD35" i="21" s="1"/>
  <c r="DH35" i="21" s="1"/>
  <c r="DL35" i="21" s="1"/>
  <c r="DP35" i="21" s="1"/>
  <c r="DT35" i="21" s="1"/>
  <c r="EW35" i="21"/>
  <c r="CN42" i="21"/>
  <c r="CR42" i="21" s="1"/>
  <c r="CV42" i="21" s="1"/>
  <c r="CZ42" i="21" s="1"/>
  <c r="DD42" i="21" s="1"/>
  <c r="DH42" i="21" s="1"/>
  <c r="DL42" i="21" s="1"/>
  <c r="DP42" i="21" s="1"/>
  <c r="DT42" i="21" s="1"/>
  <c r="EW42" i="21"/>
  <c r="CN52" i="21"/>
  <c r="CR52" i="21" s="1"/>
  <c r="CV52" i="21" s="1"/>
  <c r="CZ52" i="21" s="1"/>
  <c r="DD52" i="21" s="1"/>
  <c r="DH52" i="21" s="1"/>
  <c r="DL52" i="21" s="1"/>
  <c r="DP52" i="21" s="1"/>
  <c r="DT52" i="21" s="1"/>
  <c r="EW52" i="21"/>
  <c r="CN55" i="21"/>
  <c r="CR55" i="21" s="1"/>
  <c r="CV55" i="21" s="1"/>
  <c r="CZ55" i="21" s="1"/>
  <c r="DD55" i="21" s="1"/>
  <c r="DH55" i="21" s="1"/>
  <c r="DL55" i="21" s="1"/>
  <c r="DP55" i="21" s="1"/>
  <c r="DT55" i="21" s="1"/>
  <c r="EW55" i="21"/>
  <c r="CN62" i="21"/>
  <c r="CR62" i="21" s="1"/>
  <c r="CV62" i="21" s="1"/>
  <c r="CZ62" i="21" s="1"/>
  <c r="DD62" i="21" s="1"/>
  <c r="DH62" i="21" s="1"/>
  <c r="DL62" i="21" s="1"/>
  <c r="DP62" i="21" s="1"/>
  <c r="DT62" i="21" s="1"/>
  <c r="EW62" i="21"/>
  <c r="CN88" i="21"/>
  <c r="CR88" i="21" s="1"/>
  <c r="CV88" i="21" s="1"/>
  <c r="CZ88" i="21" s="1"/>
  <c r="DD88" i="21" s="1"/>
  <c r="DH88" i="21" s="1"/>
  <c r="DL88" i="21" s="1"/>
  <c r="DP88" i="21" s="1"/>
  <c r="DT88" i="21" s="1"/>
  <c r="EW88" i="21"/>
  <c r="CN98" i="21"/>
  <c r="CR98" i="21" s="1"/>
  <c r="CV98" i="21" s="1"/>
  <c r="CZ98" i="21" s="1"/>
  <c r="DD98" i="21" s="1"/>
  <c r="DH98" i="21" s="1"/>
  <c r="DL98" i="21" s="1"/>
  <c r="DP98" i="21" s="1"/>
  <c r="DT98" i="21" s="1"/>
  <c r="EW98" i="21"/>
  <c r="CN108" i="21"/>
  <c r="CR108" i="21" s="1"/>
  <c r="CV108" i="21" s="1"/>
  <c r="CZ108" i="21" s="1"/>
  <c r="DD108" i="21" s="1"/>
  <c r="DH108" i="21" s="1"/>
  <c r="DL108" i="21" s="1"/>
  <c r="DP108" i="21" s="1"/>
  <c r="DT108" i="21" s="1"/>
  <c r="EW108" i="21"/>
  <c r="CN111" i="21"/>
  <c r="CR111" i="21" s="1"/>
  <c r="CV111" i="21" s="1"/>
  <c r="CZ111" i="21" s="1"/>
  <c r="DD111" i="21" s="1"/>
  <c r="DH111" i="21" s="1"/>
  <c r="DL111" i="21" s="1"/>
  <c r="DP111" i="21" s="1"/>
  <c r="DT111" i="21" s="1"/>
  <c r="EW111" i="21"/>
  <c r="CN144" i="21"/>
  <c r="CR144" i="21" s="1"/>
  <c r="CV144" i="21" s="1"/>
  <c r="CZ144" i="21" s="1"/>
  <c r="DD144" i="21" s="1"/>
  <c r="DH144" i="21" s="1"/>
  <c r="DL144" i="21" s="1"/>
  <c r="DP144" i="21" s="1"/>
  <c r="DT144" i="21" s="1"/>
  <c r="EW144" i="21"/>
  <c r="CN164" i="21"/>
  <c r="CR164" i="21" s="1"/>
  <c r="CV164" i="21" s="1"/>
  <c r="CZ164" i="21" s="1"/>
  <c r="DD164" i="21" s="1"/>
  <c r="DH164" i="21" s="1"/>
  <c r="DL164" i="21" s="1"/>
  <c r="DP164" i="21" s="1"/>
  <c r="DT164" i="21" s="1"/>
  <c r="EW164" i="21"/>
  <c r="CN167" i="21"/>
  <c r="CR167" i="21" s="1"/>
  <c r="CV167" i="21" s="1"/>
  <c r="CZ167" i="21" s="1"/>
  <c r="DD167" i="21" s="1"/>
  <c r="DH167" i="21" s="1"/>
  <c r="DL167" i="21" s="1"/>
  <c r="DP167" i="21" s="1"/>
  <c r="DT167" i="21" s="1"/>
  <c r="EW167" i="21"/>
  <c r="CN200" i="21"/>
  <c r="CR200" i="21" s="1"/>
  <c r="CV200" i="21" s="1"/>
  <c r="CZ200" i="21" s="1"/>
  <c r="DD200" i="21" s="1"/>
  <c r="DH200" i="21" s="1"/>
  <c r="DL200" i="21" s="1"/>
  <c r="DP200" i="21" s="1"/>
  <c r="DT200" i="21" s="1"/>
  <c r="EW200" i="21"/>
  <c r="CN21" i="21"/>
  <c r="CR21" i="21" s="1"/>
  <c r="CV21" i="21" s="1"/>
  <c r="CZ21" i="21" s="1"/>
  <c r="DD21" i="21" s="1"/>
  <c r="DH21" i="21" s="1"/>
  <c r="DL21" i="21" s="1"/>
  <c r="DP21" i="21" s="1"/>
  <c r="DT21" i="21" s="1"/>
  <c r="EW21" i="21"/>
  <c r="CN17" i="21"/>
  <c r="CR17" i="21" s="1"/>
  <c r="CV17" i="21" s="1"/>
  <c r="CZ17" i="21" s="1"/>
  <c r="DD17" i="21" s="1"/>
  <c r="DH17" i="21" s="1"/>
  <c r="DL17" i="21" s="1"/>
  <c r="DP17" i="21" s="1"/>
  <c r="DT17" i="21" s="1"/>
  <c r="EW17" i="21"/>
  <c r="CN81" i="21"/>
  <c r="CR81" i="21" s="1"/>
  <c r="CV81" i="21" s="1"/>
  <c r="CZ81" i="21" s="1"/>
  <c r="DD81" i="21" s="1"/>
  <c r="DH81" i="21" s="1"/>
  <c r="DL81" i="21" s="1"/>
  <c r="DP81" i="21" s="1"/>
  <c r="DT81" i="21" s="1"/>
  <c r="EW81" i="21"/>
  <c r="CN85" i="21"/>
  <c r="CR85" i="21" s="1"/>
  <c r="CV85" i="21" s="1"/>
  <c r="CZ85" i="21" s="1"/>
  <c r="DD85" i="21" s="1"/>
  <c r="DH85" i="21" s="1"/>
  <c r="DL85" i="21" s="1"/>
  <c r="DP85" i="21" s="1"/>
  <c r="DT85" i="21" s="1"/>
  <c r="EW85" i="21"/>
  <c r="CN157" i="21"/>
  <c r="CR157" i="21" s="1"/>
  <c r="CV157" i="21" s="1"/>
  <c r="CZ157" i="21" s="1"/>
  <c r="DD157" i="21" s="1"/>
  <c r="DH157" i="21" s="1"/>
  <c r="DL157" i="21" s="1"/>
  <c r="DP157" i="21" s="1"/>
  <c r="DT157" i="21" s="1"/>
  <c r="EW157" i="21"/>
  <c r="CN193" i="21"/>
  <c r="CR193" i="21" s="1"/>
  <c r="CV193" i="21" s="1"/>
  <c r="CZ193" i="21" s="1"/>
  <c r="DD193" i="21" s="1"/>
  <c r="DH193" i="21" s="1"/>
  <c r="DL193" i="21" s="1"/>
  <c r="DP193" i="21" s="1"/>
  <c r="DT193" i="21" s="1"/>
  <c r="EW193" i="21"/>
  <c r="CN197" i="21"/>
  <c r="CR197" i="21" s="1"/>
  <c r="CV197" i="21" s="1"/>
  <c r="CZ197" i="21" s="1"/>
  <c r="DD197" i="21" s="1"/>
  <c r="DH197" i="21" s="1"/>
  <c r="DL197" i="21" s="1"/>
  <c r="DP197" i="21" s="1"/>
  <c r="DT197" i="21" s="1"/>
  <c r="EW197" i="21"/>
  <c r="CN10" i="21"/>
  <c r="CR10" i="21" s="1"/>
  <c r="CV10" i="21" s="1"/>
  <c r="CZ10" i="21" s="1"/>
  <c r="DD10" i="21" s="1"/>
  <c r="DH10" i="21" s="1"/>
  <c r="DL10" i="21" s="1"/>
  <c r="DP10" i="21" s="1"/>
  <c r="DT10" i="21" s="1"/>
  <c r="EW10" i="21"/>
  <c r="CN23" i="21"/>
  <c r="CR23" i="21" s="1"/>
  <c r="CV23" i="21" s="1"/>
  <c r="CZ23" i="21" s="1"/>
  <c r="DD23" i="21" s="1"/>
  <c r="DH23" i="21" s="1"/>
  <c r="DL23" i="21" s="1"/>
  <c r="DP23" i="21" s="1"/>
  <c r="DT23" i="21" s="1"/>
  <c r="EW23" i="21"/>
  <c r="CN30" i="21"/>
  <c r="CR30" i="21" s="1"/>
  <c r="CV30" i="21" s="1"/>
  <c r="CZ30" i="21" s="1"/>
  <c r="DD30" i="21" s="1"/>
  <c r="DH30" i="21" s="1"/>
  <c r="DL30" i="21" s="1"/>
  <c r="DP30" i="21" s="1"/>
  <c r="DT30" i="21" s="1"/>
  <c r="EW30" i="21"/>
  <c r="CN56" i="21"/>
  <c r="CR56" i="21" s="1"/>
  <c r="CV56" i="21" s="1"/>
  <c r="CZ56" i="21" s="1"/>
  <c r="DD56" i="21" s="1"/>
  <c r="DH56" i="21" s="1"/>
  <c r="DL56" i="21" s="1"/>
  <c r="DP56" i="21" s="1"/>
  <c r="DT56" i="21" s="1"/>
  <c r="EW56" i="21"/>
  <c r="CN59" i="21"/>
  <c r="CR59" i="21" s="1"/>
  <c r="CV59" i="21" s="1"/>
  <c r="CZ59" i="21" s="1"/>
  <c r="DD59" i="21" s="1"/>
  <c r="DH59" i="21" s="1"/>
  <c r="DL59" i="21" s="1"/>
  <c r="DP59" i="21" s="1"/>
  <c r="DT59" i="21" s="1"/>
  <c r="EW59" i="21"/>
  <c r="CN66" i="21"/>
  <c r="CR66" i="21" s="1"/>
  <c r="CV66" i="21" s="1"/>
  <c r="CZ66" i="21" s="1"/>
  <c r="DD66" i="21" s="1"/>
  <c r="DH66" i="21" s="1"/>
  <c r="DL66" i="21" s="1"/>
  <c r="DP66" i="21" s="1"/>
  <c r="DT66" i="21" s="1"/>
  <c r="EW66" i="21"/>
  <c r="CN76" i="21"/>
  <c r="CR76" i="21" s="1"/>
  <c r="CV76" i="21" s="1"/>
  <c r="CZ76" i="21" s="1"/>
  <c r="DD76" i="21" s="1"/>
  <c r="DH76" i="21" s="1"/>
  <c r="DL76" i="21" s="1"/>
  <c r="DP76" i="21" s="1"/>
  <c r="DT76" i="21" s="1"/>
  <c r="EW76" i="21"/>
  <c r="CN79" i="21"/>
  <c r="CR79" i="21" s="1"/>
  <c r="CV79" i="21" s="1"/>
  <c r="CZ79" i="21" s="1"/>
  <c r="DD79" i="21" s="1"/>
  <c r="DH79" i="21" s="1"/>
  <c r="DL79" i="21" s="1"/>
  <c r="DP79" i="21" s="1"/>
  <c r="DT79" i="21" s="1"/>
  <c r="EW79" i="21"/>
  <c r="CN86" i="21"/>
  <c r="CR86" i="21" s="1"/>
  <c r="CV86" i="21" s="1"/>
  <c r="CZ86" i="21" s="1"/>
  <c r="DD86" i="21" s="1"/>
  <c r="DH86" i="21" s="1"/>
  <c r="DL86" i="21" s="1"/>
  <c r="DP86" i="21" s="1"/>
  <c r="DT86" i="21" s="1"/>
  <c r="EW86" i="21"/>
  <c r="CN112" i="21"/>
  <c r="CR112" i="21" s="1"/>
  <c r="CV112" i="21" s="1"/>
  <c r="CZ112" i="21" s="1"/>
  <c r="DD112" i="21" s="1"/>
  <c r="DH112" i="21" s="1"/>
  <c r="DL112" i="21" s="1"/>
  <c r="DP112" i="21" s="1"/>
  <c r="DT112" i="21" s="1"/>
  <c r="EW112" i="21"/>
  <c r="CN115" i="21"/>
  <c r="CR115" i="21" s="1"/>
  <c r="CV115" i="21" s="1"/>
  <c r="CZ115" i="21" s="1"/>
  <c r="DD115" i="21" s="1"/>
  <c r="DH115" i="21" s="1"/>
  <c r="DL115" i="21" s="1"/>
  <c r="DP115" i="21" s="1"/>
  <c r="DT115" i="21" s="1"/>
  <c r="EW115" i="21"/>
  <c r="CN122" i="21"/>
  <c r="CR122" i="21" s="1"/>
  <c r="CV122" i="21" s="1"/>
  <c r="CZ122" i="21" s="1"/>
  <c r="DD122" i="21" s="1"/>
  <c r="DH122" i="21" s="1"/>
  <c r="DL122" i="21" s="1"/>
  <c r="DP122" i="21" s="1"/>
  <c r="DT122" i="21" s="1"/>
  <c r="EW122" i="21"/>
  <c r="CN132" i="21"/>
  <c r="CR132" i="21" s="1"/>
  <c r="CV132" i="21" s="1"/>
  <c r="CZ132" i="21" s="1"/>
  <c r="DD132" i="21" s="1"/>
  <c r="DH132" i="21" s="1"/>
  <c r="DL132" i="21" s="1"/>
  <c r="DP132" i="21" s="1"/>
  <c r="DT132" i="21" s="1"/>
  <c r="EW132" i="21"/>
  <c r="CN135" i="21"/>
  <c r="CR135" i="21" s="1"/>
  <c r="CV135" i="21" s="1"/>
  <c r="CZ135" i="21" s="1"/>
  <c r="DD135" i="21" s="1"/>
  <c r="DH135" i="21" s="1"/>
  <c r="DL135" i="21" s="1"/>
  <c r="DP135" i="21" s="1"/>
  <c r="DT135" i="21" s="1"/>
  <c r="EW135" i="21"/>
  <c r="CN142" i="21"/>
  <c r="CR142" i="21" s="1"/>
  <c r="CV142" i="21" s="1"/>
  <c r="CZ142" i="21" s="1"/>
  <c r="DD142" i="21" s="1"/>
  <c r="DH142" i="21" s="1"/>
  <c r="DL142" i="21" s="1"/>
  <c r="DP142" i="21" s="1"/>
  <c r="DT142" i="21" s="1"/>
  <c r="EW142" i="21"/>
  <c r="CN168" i="21"/>
  <c r="CR168" i="21" s="1"/>
  <c r="CV168" i="21" s="1"/>
  <c r="CZ168" i="21" s="1"/>
  <c r="DD168" i="21" s="1"/>
  <c r="DH168" i="21" s="1"/>
  <c r="DL168" i="21" s="1"/>
  <c r="DP168" i="21" s="1"/>
  <c r="DT168" i="21" s="1"/>
  <c r="EW168" i="21"/>
  <c r="CN171" i="21"/>
  <c r="CR171" i="21" s="1"/>
  <c r="CV171" i="21" s="1"/>
  <c r="CZ171" i="21" s="1"/>
  <c r="DD171" i="21" s="1"/>
  <c r="DH171" i="21" s="1"/>
  <c r="DL171" i="21" s="1"/>
  <c r="DP171" i="21" s="1"/>
  <c r="DT171" i="21" s="1"/>
  <c r="EW171" i="21"/>
  <c r="CN178" i="21"/>
  <c r="CR178" i="21" s="1"/>
  <c r="CV178" i="21" s="1"/>
  <c r="CZ178" i="21" s="1"/>
  <c r="DD178" i="21" s="1"/>
  <c r="DH178" i="21" s="1"/>
  <c r="DL178" i="21" s="1"/>
  <c r="DP178" i="21" s="1"/>
  <c r="DT178" i="21" s="1"/>
  <c r="EW178" i="21"/>
  <c r="CN188" i="21"/>
  <c r="CR188" i="21" s="1"/>
  <c r="CV188" i="21" s="1"/>
  <c r="CZ188" i="21" s="1"/>
  <c r="DD188" i="21" s="1"/>
  <c r="DH188" i="21" s="1"/>
  <c r="DL188" i="21" s="1"/>
  <c r="DP188" i="21" s="1"/>
  <c r="DT188" i="21" s="1"/>
  <c r="EW188" i="21"/>
  <c r="CN191" i="21"/>
  <c r="CR191" i="21" s="1"/>
  <c r="CV191" i="21" s="1"/>
  <c r="CZ191" i="21" s="1"/>
  <c r="DD191" i="21" s="1"/>
  <c r="DH191" i="21" s="1"/>
  <c r="DL191" i="21" s="1"/>
  <c r="DP191" i="21" s="1"/>
  <c r="DT191" i="21" s="1"/>
  <c r="EW191" i="21"/>
  <c r="CN198" i="21"/>
  <c r="CR198" i="21" s="1"/>
  <c r="CV198" i="21" s="1"/>
  <c r="CZ198" i="21" s="1"/>
  <c r="DD198" i="21" s="1"/>
  <c r="DH198" i="21" s="1"/>
  <c r="DL198" i="21" s="1"/>
  <c r="DP198" i="21" s="1"/>
  <c r="DT198" i="21" s="1"/>
  <c r="EW198" i="21"/>
  <c r="CN65" i="21"/>
  <c r="CR65" i="21" s="1"/>
  <c r="CV65" i="21" s="1"/>
  <c r="CZ65" i="21" s="1"/>
  <c r="DD65" i="21" s="1"/>
  <c r="DH65" i="21" s="1"/>
  <c r="DL65" i="21" s="1"/>
  <c r="DP65" i="21" s="1"/>
  <c r="DT65" i="21" s="1"/>
  <c r="EW65" i="21"/>
  <c r="CN93" i="21"/>
  <c r="CR93" i="21" s="1"/>
  <c r="CV93" i="21" s="1"/>
  <c r="CZ93" i="21" s="1"/>
  <c r="DD93" i="21" s="1"/>
  <c r="DH93" i="21" s="1"/>
  <c r="DL93" i="21" s="1"/>
  <c r="DP93" i="21" s="1"/>
  <c r="DT93" i="21" s="1"/>
  <c r="EW93" i="21"/>
  <c r="CN97" i="21"/>
  <c r="CR97" i="21" s="1"/>
  <c r="CV97" i="21" s="1"/>
  <c r="CZ97" i="21" s="1"/>
  <c r="DD97" i="21" s="1"/>
  <c r="DH97" i="21" s="1"/>
  <c r="DL97" i="21" s="1"/>
  <c r="DP97" i="21" s="1"/>
  <c r="DT97" i="21" s="1"/>
  <c r="EW97" i="21"/>
  <c r="CN125" i="21"/>
  <c r="CR125" i="21" s="1"/>
  <c r="CV125" i="21" s="1"/>
  <c r="CZ125" i="21" s="1"/>
  <c r="DD125" i="21" s="1"/>
  <c r="DH125" i="21" s="1"/>
  <c r="DL125" i="21" s="1"/>
  <c r="DP125" i="21" s="1"/>
  <c r="DT125" i="21" s="1"/>
  <c r="EW125" i="21"/>
  <c r="CN161" i="21"/>
  <c r="CR161" i="21" s="1"/>
  <c r="CV161" i="21" s="1"/>
  <c r="CZ161" i="21" s="1"/>
  <c r="DD161" i="21" s="1"/>
  <c r="DH161" i="21" s="1"/>
  <c r="DL161" i="21" s="1"/>
  <c r="DP161" i="21" s="1"/>
  <c r="DT161" i="21" s="1"/>
  <c r="EW161" i="21"/>
  <c r="CN24" i="21"/>
  <c r="CR24" i="21" s="1"/>
  <c r="CV24" i="21" s="1"/>
  <c r="CZ24" i="21" s="1"/>
  <c r="DD24" i="21" s="1"/>
  <c r="DH24" i="21" s="1"/>
  <c r="DL24" i="21" s="1"/>
  <c r="DP24" i="21" s="1"/>
  <c r="DT24" i="21" s="1"/>
  <c r="EW24" i="21"/>
  <c r="CN27" i="21"/>
  <c r="CR27" i="21" s="1"/>
  <c r="CV27" i="21" s="1"/>
  <c r="CZ27" i="21" s="1"/>
  <c r="DD27" i="21" s="1"/>
  <c r="DH27" i="21" s="1"/>
  <c r="DL27" i="21" s="1"/>
  <c r="DP27" i="21" s="1"/>
  <c r="DT27" i="21" s="1"/>
  <c r="EW27" i="21"/>
  <c r="CN34" i="21"/>
  <c r="CR34" i="21" s="1"/>
  <c r="CV34" i="21" s="1"/>
  <c r="CZ34" i="21" s="1"/>
  <c r="DD34" i="21" s="1"/>
  <c r="DH34" i="21" s="1"/>
  <c r="DL34" i="21" s="1"/>
  <c r="DP34" i="21" s="1"/>
  <c r="DT34" i="21" s="1"/>
  <c r="EW34" i="21"/>
  <c r="CN44" i="21"/>
  <c r="CR44" i="21" s="1"/>
  <c r="CV44" i="21" s="1"/>
  <c r="CZ44" i="21" s="1"/>
  <c r="DD44" i="21" s="1"/>
  <c r="DH44" i="21" s="1"/>
  <c r="DL44" i="21" s="1"/>
  <c r="DP44" i="21" s="1"/>
  <c r="DT44" i="21" s="1"/>
  <c r="EW44" i="21"/>
  <c r="CN47" i="21"/>
  <c r="CR47" i="21" s="1"/>
  <c r="CV47" i="21" s="1"/>
  <c r="CZ47" i="21" s="1"/>
  <c r="DD47" i="21" s="1"/>
  <c r="DH47" i="21" s="1"/>
  <c r="DL47" i="21" s="1"/>
  <c r="DP47" i="21" s="1"/>
  <c r="DT47" i="21" s="1"/>
  <c r="EW47" i="21"/>
  <c r="CN54" i="21"/>
  <c r="CR54" i="21" s="1"/>
  <c r="CV54" i="21" s="1"/>
  <c r="CZ54" i="21" s="1"/>
  <c r="DD54" i="21" s="1"/>
  <c r="DH54" i="21" s="1"/>
  <c r="DL54" i="21" s="1"/>
  <c r="DP54" i="21" s="1"/>
  <c r="DT54" i="21" s="1"/>
  <c r="EW54" i="21"/>
  <c r="CN80" i="21"/>
  <c r="CR80" i="21" s="1"/>
  <c r="CV80" i="21" s="1"/>
  <c r="CZ80" i="21" s="1"/>
  <c r="DD80" i="21" s="1"/>
  <c r="DH80" i="21" s="1"/>
  <c r="DL80" i="21" s="1"/>
  <c r="DP80" i="21" s="1"/>
  <c r="DT80" i="21" s="1"/>
  <c r="EW80" i="21"/>
  <c r="CN83" i="21"/>
  <c r="CR83" i="21" s="1"/>
  <c r="CV83" i="21" s="1"/>
  <c r="CZ83" i="21" s="1"/>
  <c r="DD83" i="21" s="1"/>
  <c r="DH83" i="21" s="1"/>
  <c r="DL83" i="21" s="1"/>
  <c r="DP83" i="21" s="1"/>
  <c r="DT83" i="21" s="1"/>
  <c r="EW83" i="21"/>
  <c r="CN90" i="21"/>
  <c r="CR90" i="21" s="1"/>
  <c r="CV90" i="21" s="1"/>
  <c r="CZ90" i="21" s="1"/>
  <c r="DD90" i="21" s="1"/>
  <c r="DH90" i="21" s="1"/>
  <c r="DL90" i="21" s="1"/>
  <c r="DP90" i="21" s="1"/>
  <c r="DT90" i="21" s="1"/>
  <c r="EW90" i="21"/>
  <c r="CN103" i="21"/>
  <c r="CR103" i="21" s="1"/>
  <c r="CV103" i="21" s="1"/>
  <c r="CZ103" i="21" s="1"/>
  <c r="DD103" i="21" s="1"/>
  <c r="DH103" i="21" s="1"/>
  <c r="DL103" i="21" s="1"/>
  <c r="DP103" i="21" s="1"/>
  <c r="DT103" i="21" s="1"/>
  <c r="EW103" i="21"/>
  <c r="CN110" i="21"/>
  <c r="CR110" i="21" s="1"/>
  <c r="CV110" i="21" s="1"/>
  <c r="CZ110" i="21" s="1"/>
  <c r="DD110" i="21" s="1"/>
  <c r="DH110" i="21" s="1"/>
  <c r="DL110" i="21" s="1"/>
  <c r="DP110" i="21" s="1"/>
  <c r="DT110" i="21" s="1"/>
  <c r="EW110" i="21"/>
  <c r="CN136" i="21"/>
  <c r="CR136" i="21" s="1"/>
  <c r="CV136" i="21" s="1"/>
  <c r="CZ136" i="21" s="1"/>
  <c r="DD136" i="21" s="1"/>
  <c r="DH136" i="21" s="1"/>
  <c r="DL136" i="21" s="1"/>
  <c r="DP136" i="21" s="1"/>
  <c r="DT136" i="21" s="1"/>
  <c r="EW136" i="21"/>
  <c r="CN139" i="21"/>
  <c r="CR139" i="21" s="1"/>
  <c r="CV139" i="21" s="1"/>
  <c r="CZ139" i="21" s="1"/>
  <c r="DD139" i="21" s="1"/>
  <c r="DH139" i="21" s="1"/>
  <c r="DL139" i="21" s="1"/>
  <c r="DP139" i="21" s="1"/>
  <c r="DT139" i="21" s="1"/>
  <c r="EW139" i="21"/>
  <c r="CN146" i="21"/>
  <c r="CR146" i="21" s="1"/>
  <c r="CV146" i="21" s="1"/>
  <c r="CZ146" i="21" s="1"/>
  <c r="DD146" i="21" s="1"/>
  <c r="DH146" i="21" s="1"/>
  <c r="DL146" i="21" s="1"/>
  <c r="DP146" i="21" s="1"/>
  <c r="DT146" i="21" s="1"/>
  <c r="EW146" i="21"/>
  <c r="CN156" i="21"/>
  <c r="CR156" i="21" s="1"/>
  <c r="CV156" i="21" s="1"/>
  <c r="CZ156" i="21" s="1"/>
  <c r="DD156" i="21" s="1"/>
  <c r="DH156" i="21" s="1"/>
  <c r="DL156" i="21" s="1"/>
  <c r="DP156" i="21" s="1"/>
  <c r="DT156" i="21" s="1"/>
  <c r="EW156" i="21"/>
  <c r="CN159" i="21"/>
  <c r="CR159" i="21" s="1"/>
  <c r="CV159" i="21" s="1"/>
  <c r="CZ159" i="21" s="1"/>
  <c r="DD159" i="21" s="1"/>
  <c r="DH159" i="21" s="1"/>
  <c r="DL159" i="21" s="1"/>
  <c r="DP159" i="21" s="1"/>
  <c r="DT159" i="21" s="1"/>
  <c r="EW159" i="21"/>
  <c r="CN166" i="21"/>
  <c r="CR166" i="21" s="1"/>
  <c r="CV166" i="21" s="1"/>
  <c r="CZ166" i="21" s="1"/>
  <c r="DD166" i="21" s="1"/>
  <c r="DH166" i="21" s="1"/>
  <c r="DL166" i="21" s="1"/>
  <c r="DP166" i="21" s="1"/>
  <c r="DT166" i="21" s="1"/>
  <c r="EW166" i="21"/>
  <c r="CN192" i="21"/>
  <c r="CR192" i="21" s="1"/>
  <c r="CV192" i="21" s="1"/>
  <c r="CZ192" i="21" s="1"/>
  <c r="DD192" i="21" s="1"/>
  <c r="DH192" i="21" s="1"/>
  <c r="DL192" i="21" s="1"/>
  <c r="DP192" i="21" s="1"/>
  <c r="DT192" i="21" s="1"/>
  <c r="EW192" i="21"/>
  <c r="CN195" i="21"/>
  <c r="CR195" i="21" s="1"/>
  <c r="CV195" i="21" s="1"/>
  <c r="CZ195" i="21" s="1"/>
  <c r="DD195" i="21" s="1"/>
  <c r="DH195" i="21" s="1"/>
  <c r="DL195" i="21" s="1"/>
  <c r="DP195" i="21" s="1"/>
  <c r="DT195" i="21" s="1"/>
  <c r="EW195" i="21"/>
  <c r="CN202" i="21"/>
  <c r="CR202" i="21" s="1"/>
  <c r="CV202" i="21" s="1"/>
  <c r="CZ202" i="21" s="1"/>
  <c r="DD202" i="21" s="1"/>
  <c r="DH202" i="21" s="1"/>
  <c r="DL202" i="21" s="1"/>
  <c r="DP202" i="21" s="1"/>
  <c r="DT202" i="21" s="1"/>
  <c r="EW202" i="21"/>
  <c r="CN57" i="21"/>
  <c r="CR57" i="21" s="1"/>
  <c r="CV57" i="21" s="1"/>
  <c r="CZ57" i="21" s="1"/>
  <c r="DD57" i="21" s="1"/>
  <c r="DH57" i="21" s="1"/>
  <c r="DL57" i="21" s="1"/>
  <c r="DP57" i="21" s="1"/>
  <c r="DT57" i="21" s="1"/>
  <c r="EW57" i="21"/>
  <c r="CN137" i="21"/>
  <c r="CR137" i="21" s="1"/>
  <c r="CV137" i="21" s="1"/>
  <c r="CZ137" i="21" s="1"/>
  <c r="DD137" i="21" s="1"/>
  <c r="DH137" i="21" s="1"/>
  <c r="DL137" i="21" s="1"/>
  <c r="DP137" i="21" s="1"/>
  <c r="DT137" i="21" s="1"/>
  <c r="EW137" i="21"/>
  <c r="CN165" i="21"/>
  <c r="CR165" i="21" s="1"/>
  <c r="CV165" i="21" s="1"/>
  <c r="CZ165" i="21" s="1"/>
  <c r="DD165" i="21" s="1"/>
  <c r="DH165" i="21" s="1"/>
  <c r="DL165" i="21" s="1"/>
  <c r="DP165" i="21" s="1"/>
  <c r="DT165" i="21" s="1"/>
  <c r="EW165" i="21"/>
  <c r="CN173" i="21"/>
  <c r="CR173" i="21" s="1"/>
  <c r="CV173" i="21" s="1"/>
  <c r="CZ173" i="21" s="1"/>
  <c r="DD173" i="21" s="1"/>
  <c r="DH173" i="21" s="1"/>
  <c r="DL173" i="21" s="1"/>
  <c r="DP173" i="21" s="1"/>
  <c r="DT173" i="21" s="1"/>
  <c r="EW173" i="21"/>
  <c r="CN189" i="21"/>
  <c r="CR189" i="21" s="1"/>
  <c r="CV189" i="21" s="1"/>
  <c r="CZ189" i="21" s="1"/>
  <c r="DD189" i="21" s="1"/>
  <c r="DH189" i="21" s="1"/>
  <c r="DL189" i="21" s="1"/>
  <c r="DP189" i="21" s="1"/>
  <c r="DT189" i="21" s="1"/>
  <c r="EW189" i="21"/>
  <c r="CN12" i="21"/>
  <c r="CR12" i="21" s="1"/>
  <c r="CV12" i="21" s="1"/>
  <c r="CZ12" i="21" s="1"/>
  <c r="DD12" i="21" s="1"/>
  <c r="DH12" i="21" s="1"/>
  <c r="DL12" i="21" s="1"/>
  <c r="DP12" i="21" s="1"/>
  <c r="DT12" i="21" s="1"/>
  <c r="EW12" i="21"/>
  <c r="CN15" i="21"/>
  <c r="CR15" i="21" s="1"/>
  <c r="CV15" i="21" s="1"/>
  <c r="CZ15" i="21" s="1"/>
  <c r="DD15" i="21" s="1"/>
  <c r="DH15" i="21" s="1"/>
  <c r="DL15" i="21" s="1"/>
  <c r="DP15" i="21" s="1"/>
  <c r="DT15" i="21" s="1"/>
  <c r="EW15" i="21"/>
  <c r="CN22" i="21"/>
  <c r="CR22" i="21" s="1"/>
  <c r="CV22" i="21" s="1"/>
  <c r="CZ22" i="21" s="1"/>
  <c r="DD22" i="21" s="1"/>
  <c r="DH22" i="21" s="1"/>
  <c r="DL22" i="21" s="1"/>
  <c r="DP22" i="21" s="1"/>
  <c r="DT22" i="21" s="1"/>
  <c r="EW22" i="21"/>
  <c r="CN48" i="21"/>
  <c r="CR48" i="21" s="1"/>
  <c r="CV48" i="21" s="1"/>
  <c r="CZ48" i="21" s="1"/>
  <c r="DD48" i="21" s="1"/>
  <c r="DH48" i="21" s="1"/>
  <c r="DL48" i="21" s="1"/>
  <c r="DP48" i="21" s="1"/>
  <c r="DT48" i="21" s="1"/>
  <c r="EW48" i="21"/>
  <c r="CN58" i="21"/>
  <c r="CR58" i="21" s="1"/>
  <c r="CV58" i="21" s="1"/>
  <c r="CZ58" i="21" s="1"/>
  <c r="DD58" i="21" s="1"/>
  <c r="DH58" i="21" s="1"/>
  <c r="DL58" i="21" s="1"/>
  <c r="DP58" i="21" s="1"/>
  <c r="DT58" i="21" s="1"/>
  <c r="EW58" i="21"/>
  <c r="CN71" i="21"/>
  <c r="CR71" i="21" s="1"/>
  <c r="CV71" i="21" s="1"/>
  <c r="CZ71" i="21" s="1"/>
  <c r="DD71" i="21" s="1"/>
  <c r="DH71" i="21" s="1"/>
  <c r="DL71" i="21" s="1"/>
  <c r="DP71" i="21" s="1"/>
  <c r="DT71" i="21" s="1"/>
  <c r="EW71" i="21"/>
  <c r="CN78" i="21"/>
  <c r="CR78" i="21" s="1"/>
  <c r="CV78" i="21" s="1"/>
  <c r="CZ78" i="21" s="1"/>
  <c r="DD78" i="21" s="1"/>
  <c r="DH78" i="21" s="1"/>
  <c r="DL78" i="21" s="1"/>
  <c r="DP78" i="21" s="1"/>
  <c r="DT78" i="21" s="1"/>
  <c r="EW78" i="21"/>
  <c r="DT61" i="5"/>
  <c r="CA61" i="5"/>
  <c r="DT17" i="5"/>
  <c r="CA17" i="5"/>
  <c r="CA151" i="5"/>
  <c r="DT151" i="5"/>
  <c r="DU104" i="5"/>
  <c r="CD104" i="5"/>
  <c r="DT190" i="5"/>
  <c r="CA190" i="5"/>
  <c r="CA116" i="5"/>
  <c r="DT116" i="5"/>
  <c r="CA94" i="5"/>
  <c r="DT94" i="5"/>
  <c r="DU130" i="5"/>
  <c r="CD130" i="5"/>
  <c r="CA132" i="5"/>
  <c r="DT132" i="5"/>
  <c r="DW154" i="5"/>
  <c r="CJ154" i="5"/>
  <c r="DT19" i="5"/>
  <c r="CA19" i="5"/>
  <c r="CA91" i="5"/>
  <c r="DT91" i="5"/>
  <c r="DT51" i="5"/>
  <c r="CA51" i="5"/>
  <c r="DT32" i="5"/>
  <c r="CA32" i="5"/>
  <c r="DT31" i="5"/>
  <c r="CA31" i="5"/>
  <c r="DT85" i="5"/>
  <c r="CA85" i="5"/>
  <c r="DT57" i="5"/>
  <c r="CA57" i="5"/>
  <c r="DT10" i="5"/>
  <c r="CA10" i="5"/>
  <c r="DT16" i="5"/>
  <c r="CA16" i="5"/>
  <c r="DT64" i="5"/>
  <c r="CA64" i="5"/>
  <c r="DT68" i="5"/>
  <c r="CA68" i="5"/>
  <c r="DT44" i="5"/>
  <c r="CA44" i="5"/>
  <c r="DT81" i="5"/>
  <c r="CA81" i="5"/>
  <c r="DT54" i="5"/>
  <c r="CA54" i="5"/>
  <c r="DT76" i="5"/>
  <c r="CA76" i="5"/>
  <c r="DT49" i="5"/>
  <c r="CA49" i="5"/>
  <c r="DT14" i="5"/>
  <c r="CA14" i="5"/>
  <c r="DT67" i="5"/>
  <c r="CA67" i="5"/>
  <c r="DT28" i="5"/>
  <c r="CA28" i="5"/>
  <c r="DU194" i="5"/>
  <c r="CD194" i="5"/>
  <c r="DT35" i="5"/>
  <c r="CA35" i="5"/>
  <c r="DT52" i="5"/>
  <c r="CA52" i="5"/>
  <c r="DT84" i="5"/>
  <c r="CA84" i="5"/>
  <c r="CD106" i="5"/>
  <c r="DU106" i="5"/>
  <c r="CD89" i="5"/>
  <c r="DU89" i="5"/>
  <c r="DT37" i="5"/>
  <c r="CA37" i="5"/>
  <c r="CA135" i="5"/>
  <c r="DT135" i="5"/>
  <c r="CA115" i="5"/>
  <c r="DT115" i="5"/>
  <c r="CA127" i="5"/>
  <c r="DT127" i="5"/>
  <c r="CA153" i="5"/>
  <c r="DT153" i="5"/>
  <c r="CA148" i="5"/>
  <c r="DT148" i="5"/>
  <c r="DU146" i="5"/>
  <c r="CD146" i="5"/>
  <c r="DU195" i="5"/>
  <c r="CD195" i="5"/>
  <c r="CA120" i="5"/>
  <c r="DT120" i="5"/>
  <c r="CD134" i="5"/>
  <c r="DU134" i="5"/>
  <c r="DT11" i="5"/>
  <c r="CA11" i="5"/>
  <c r="DT80" i="5"/>
  <c r="CA80" i="5"/>
  <c r="DT77" i="5"/>
  <c r="CA77" i="5"/>
  <c r="DT82" i="5"/>
  <c r="CA82" i="5"/>
  <c r="DT30" i="5"/>
  <c r="CA30" i="5"/>
  <c r="DT36" i="5"/>
  <c r="CA36" i="5"/>
  <c r="DT5" i="5"/>
  <c r="CA5" i="5"/>
  <c r="DT18" i="5"/>
  <c r="CA18" i="5"/>
  <c r="DT48" i="5"/>
  <c r="CA48" i="5"/>
  <c r="DT79" i="5"/>
  <c r="CA79" i="5"/>
  <c r="DT78" i="5"/>
  <c r="CA78" i="5"/>
  <c r="DT15" i="5"/>
  <c r="CA15" i="5"/>
  <c r="CA191" i="5"/>
  <c r="DT191" i="5"/>
  <c r="DT23" i="5"/>
  <c r="CA23" i="5"/>
  <c r="DT47" i="5"/>
  <c r="CA47" i="5"/>
  <c r="CD117" i="5"/>
  <c r="DU117" i="5"/>
  <c r="CD198" i="5"/>
  <c r="DU198" i="5"/>
  <c r="CA147" i="5"/>
  <c r="DT147" i="5"/>
  <c r="CA199" i="5"/>
  <c r="DT199" i="5"/>
  <c r="DT63" i="5"/>
  <c r="CA63" i="5"/>
  <c r="DT72" i="5"/>
  <c r="CA72" i="5"/>
  <c r="CA88" i="5"/>
  <c r="DT88" i="5"/>
  <c r="CA100" i="5"/>
  <c r="DT100" i="5"/>
  <c r="CA95" i="5"/>
  <c r="DT95" i="5"/>
  <c r="CA129" i="5"/>
  <c r="DT129" i="5"/>
  <c r="CA108" i="5"/>
  <c r="DT108" i="5"/>
  <c r="DT58" i="5"/>
  <c r="CA58" i="5"/>
  <c r="DT73" i="5"/>
  <c r="CA73" i="5"/>
  <c r="DT86" i="5"/>
  <c r="CA86" i="5"/>
  <c r="DT26" i="5"/>
  <c r="CA26" i="5"/>
  <c r="DT50" i="5"/>
  <c r="CA50" i="5"/>
  <c r="DT13" i="5"/>
  <c r="CA13" i="5"/>
  <c r="DT70" i="5"/>
  <c r="CA70" i="5"/>
  <c r="DT66" i="5"/>
  <c r="CA66" i="5"/>
  <c r="DT87" i="5"/>
  <c r="CA87" i="5"/>
  <c r="DT46" i="5"/>
  <c r="CA46" i="5"/>
  <c r="DT25" i="5"/>
  <c r="CA25" i="5"/>
  <c r="DT24" i="5"/>
  <c r="CA24" i="5"/>
  <c r="DT65" i="5"/>
  <c r="CA65" i="5"/>
  <c r="DT9" i="5"/>
  <c r="CA9" i="5"/>
  <c r="DT40" i="5"/>
  <c r="CA40" i="5"/>
  <c r="DT59" i="5"/>
  <c r="CA59" i="5"/>
  <c r="DT27" i="5"/>
  <c r="CA27" i="5"/>
  <c r="DT8" i="5"/>
  <c r="CA8" i="5"/>
  <c r="DT21" i="5"/>
  <c r="CA21" i="5"/>
  <c r="CA107" i="5"/>
  <c r="DT107" i="5"/>
  <c r="DT45" i="5"/>
  <c r="CA45" i="5"/>
  <c r="DT71" i="5"/>
  <c r="CA71" i="5"/>
  <c r="DT43" i="5"/>
  <c r="CA43" i="5"/>
  <c r="CA131" i="5"/>
  <c r="DT131" i="5"/>
  <c r="CA92" i="5"/>
  <c r="DT92" i="5"/>
  <c r="DU93" i="5"/>
  <c r="CD93" i="5"/>
  <c r="CA99" i="5"/>
  <c r="DT99" i="5"/>
  <c r="CD189" i="5"/>
  <c r="DU189" i="5"/>
  <c r="CA149" i="5"/>
  <c r="DT149" i="5"/>
  <c r="CD150" i="5"/>
  <c r="DU150" i="5"/>
  <c r="DT139" i="5"/>
  <c r="CA139" i="5"/>
  <c r="CA197" i="5"/>
  <c r="DT197" i="5"/>
  <c r="CA96" i="5"/>
  <c r="DT96" i="5"/>
  <c r="CA145" i="5"/>
  <c r="DT145" i="5"/>
  <c r="DT22" i="5"/>
  <c r="CA22" i="5"/>
  <c r="DT69" i="5"/>
  <c r="CA69" i="5"/>
  <c r="DT20" i="5"/>
  <c r="CA20" i="5"/>
  <c r="DT62" i="5"/>
  <c r="CA62" i="5"/>
  <c r="DT60" i="5"/>
  <c r="CA60" i="5"/>
  <c r="DT7" i="5"/>
  <c r="CA7" i="5"/>
  <c r="DT55" i="5"/>
  <c r="CA55" i="5"/>
  <c r="DT38" i="5"/>
  <c r="CA38" i="5"/>
  <c r="DT41" i="5"/>
  <c r="CA41" i="5"/>
  <c r="DT53" i="5"/>
  <c r="CA53" i="5"/>
  <c r="DT74" i="5"/>
  <c r="CA74" i="5"/>
  <c r="DT39" i="5"/>
  <c r="CA39" i="5"/>
  <c r="DT4" i="5"/>
  <c r="CA4" i="5"/>
  <c r="DT12" i="5"/>
  <c r="CA12" i="5"/>
  <c r="DT167" i="5"/>
  <c r="CA167" i="5"/>
  <c r="DT34" i="5"/>
  <c r="CA34" i="5"/>
  <c r="DT83" i="5"/>
  <c r="CA83" i="5"/>
  <c r="DT42" i="5"/>
  <c r="CA42" i="5"/>
  <c r="DT75" i="5"/>
  <c r="CA75" i="5"/>
  <c r="DT56" i="5"/>
  <c r="CA56" i="5"/>
  <c r="DT29" i="5"/>
  <c r="CA29" i="5"/>
  <c r="DT33" i="5"/>
  <c r="CA33" i="5"/>
  <c r="CD196" i="5"/>
  <c r="DU196" i="5"/>
  <c r="CD192" i="5"/>
  <c r="DU192" i="5"/>
  <c r="CA111" i="5"/>
  <c r="DT111" i="5"/>
  <c r="CA98" i="5"/>
  <c r="DT98" i="5"/>
  <c r="CD188" i="5"/>
  <c r="DU188" i="5"/>
  <c r="CA119" i="5"/>
  <c r="DT119" i="5"/>
  <c r="CA173" i="5"/>
  <c r="DT173" i="5"/>
  <c r="CA114" i="5"/>
  <c r="DT114" i="5"/>
  <c r="CA113" i="5"/>
  <c r="DT113" i="5"/>
  <c r="CA200" i="5"/>
  <c r="DT200" i="5"/>
  <c r="CA136" i="5"/>
  <c r="DT136" i="5"/>
  <c r="EA4" i="2"/>
  <c r="EA5" i="2"/>
  <c r="EA6" i="2"/>
  <c r="EA7" i="2"/>
  <c r="EA8" i="2"/>
  <c r="EA9" i="2"/>
  <c r="EA10" i="2"/>
  <c r="EA11" i="2"/>
  <c r="EA12" i="2"/>
  <c r="EA13" i="2"/>
  <c r="EA14" i="2"/>
  <c r="EA15" i="2"/>
  <c r="EA16" i="2"/>
  <c r="EA17" i="2"/>
  <c r="EA18" i="2"/>
  <c r="EA19" i="2"/>
  <c r="EA20" i="2"/>
  <c r="EA21" i="2"/>
  <c r="EA22" i="2"/>
  <c r="EA23" i="2"/>
  <c r="EA24" i="2"/>
  <c r="EA25" i="2"/>
  <c r="EA26" i="2"/>
  <c r="EA27" i="2"/>
  <c r="EA28" i="2"/>
  <c r="EA29" i="2"/>
  <c r="EA30" i="2"/>
  <c r="EA31" i="2"/>
  <c r="EA32" i="2"/>
  <c r="EA33" i="2"/>
  <c r="EA34" i="2"/>
  <c r="EA35" i="2"/>
  <c r="EA36" i="2"/>
  <c r="EA37" i="2"/>
  <c r="EA38" i="2"/>
  <c r="EA39" i="2"/>
  <c r="EA40" i="2"/>
  <c r="EA41" i="2"/>
  <c r="EA42" i="2"/>
  <c r="EA43" i="2"/>
  <c r="EA44" i="2"/>
  <c r="EA45" i="2"/>
  <c r="EA46" i="2"/>
  <c r="EA47" i="2"/>
  <c r="EA48" i="2"/>
  <c r="EA49" i="2"/>
  <c r="EA50" i="2"/>
  <c r="EA51" i="2"/>
  <c r="EA52" i="2"/>
  <c r="EA53" i="2"/>
  <c r="EA54" i="2"/>
  <c r="EA55" i="2"/>
  <c r="EA56" i="2"/>
  <c r="EA57" i="2"/>
  <c r="EA58" i="2"/>
  <c r="EA59" i="2"/>
  <c r="EA60" i="2"/>
  <c r="EA61" i="2"/>
  <c r="EA62" i="2"/>
  <c r="EA63" i="2"/>
  <c r="EA64" i="2"/>
  <c r="EA65" i="2"/>
  <c r="EA66" i="2"/>
  <c r="EA67" i="2"/>
  <c r="EA68" i="2"/>
  <c r="EA69" i="2"/>
  <c r="EA70" i="2"/>
  <c r="EA71" i="2"/>
  <c r="EA72" i="2"/>
  <c r="EA73" i="2"/>
  <c r="EA74" i="2"/>
  <c r="EA75" i="2"/>
  <c r="EA76" i="2"/>
  <c r="EA77" i="2"/>
  <c r="EA78" i="2"/>
  <c r="EA79" i="2"/>
  <c r="EA80" i="2"/>
  <c r="EA81" i="2"/>
  <c r="EA82" i="2"/>
  <c r="EA83" i="2"/>
  <c r="EA84" i="2"/>
  <c r="EA85" i="2"/>
  <c r="EA86" i="2"/>
  <c r="EA87" i="2"/>
  <c r="EA88" i="2"/>
  <c r="EA89" i="2"/>
  <c r="EA90" i="2"/>
  <c r="EA91" i="2"/>
  <c r="EA92" i="2"/>
  <c r="EA93" i="2"/>
  <c r="EA94" i="2"/>
  <c r="EA95" i="2"/>
  <c r="EA96" i="2"/>
  <c r="EA97" i="2"/>
  <c r="EA98" i="2"/>
  <c r="EA99" i="2"/>
  <c r="EA100" i="2"/>
  <c r="EA101" i="2"/>
  <c r="EA102" i="2"/>
  <c r="EA103" i="2"/>
  <c r="EA104" i="2"/>
  <c r="EA105" i="2"/>
  <c r="EA106" i="2"/>
  <c r="EA107" i="2"/>
  <c r="EA108" i="2"/>
  <c r="EA109" i="2"/>
  <c r="DY109" i="3" s="1"/>
  <c r="EA110" i="2"/>
  <c r="EA111" i="2"/>
  <c r="EA112" i="2"/>
  <c r="EA113" i="2"/>
  <c r="EA114" i="2"/>
  <c r="EA115" i="2"/>
  <c r="EA116" i="2"/>
  <c r="EA117" i="2"/>
  <c r="EA118" i="2"/>
  <c r="EA119" i="2"/>
  <c r="EA120" i="2"/>
  <c r="EA121" i="2"/>
  <c r="EA122" i="2"/>
  <c r="EA123" i="2"/>
  <c r="EA124" i="2"/>
  <c r="EA125" i="2"/>
  <c r="EA126" i="2"/>
  <c r="EA127" i="2"/>
  <c r="EA128" i="2"/>
  <c r="EA129" i="2"/>
  <c r="EA130" i="2"/>
  <c r="EA131" i="2"/>
  <c r="EA132" i="2"/>
  <c r="EA133" i="2"/>
  <c r="EA134" i="2"/>
  <c r="EA135" i="2"/>
  <c r="EA136" i="2"/>
  <c r="EA137" i="2"/>
  <c r="EA138" i="2"/>
  <c r="EA139" i="2"/>
  <c r="EA140" i="2"/>
  <c r="EA141" i="2"/>
  <c r="EA142" i="2"/>
  <c r="EA143" i="2"/>
  <c r="EA144" i="2"/>
  <c r="EA145" i="2"/>
  <c r="EA146" i="2"/>
  <c r="EA147" i="2"/>
  <c r="EA148" i="2"/>
  <c r="EA149" i="2"/>
  <c r="EA150" i="2"/>
  <c r="EA151" i="2"/>
  <c r="EA152" i="2"/>
  <c r="EA153" i="2"/>
  <c r="EA154" i="2"/>
  <c r="EA155" i="2"/>
  <c r="EA156" i="2"/>
  <c r="EA157" i="2"/>
  <c r="EA158" i="2"/>
  <c r="EA159" i="2"/>
  <c r="EA160" i="2"/>
  <c r="EA161" i="2"/>
  <c r="EA162" i="2"/>
  <c r="EA163" i="2"/>
  <c r="EA164" i="2"/>
  <c r="EA165" i="2"/>
  <c r="EA166" i="2"/>
  <c r="EA167" i="2"/>
  <c r="EA168" i="2"/>
  <c r="EA169" i="2"/>
  <c r="EA170" i="2"/>
  <c r="EA171" i="2"/>
  <c r="EA172" i="2"/>
  <c r="EA173" i="2"/>
  <c r="EA174" i="2"/>
  <c r="EA175" i="2"/>
  <c r="EA176" i="2"/>
  <c r="EA177" i="2"/>
  <c r="EA178" i="2"/>
  <c r="EA179" i="2"/>
  <c r="EA180" i="2"/>
  <c r="EA181" i="2"/>
  <c r="EA182" i="2"/>
  <c r="EA183" i="2"/>
  <c r="EA184" i="2"/>
  <c r="EA185" i="2"/>
  <c r="EA186" i="2"/>
  <c r="EA187" i="2"/>
  <c r="EA188" i="2"/>
  <c r="EA189" i="2"/>
  <c r="EA190" i="2"/>
  <c r="EA191" i="2"/>
  <c r="EA192" i="2"/>
  <c r="EA193" i="2"/>
  <c r="EA194" i="2"/>
  <c r="EA195" i="2"/>
  <c r="EA196" i="2"/>
  <c r="EA197" i="2"/>
  <c r="EA198" i="2"/>
  <c r="EA199" i="2"/>
  <c r="EA200" i="2"/>
  <c r="EA201" i="2"/>
  <c r="EA202" i="2"/>
  <c r="CA112" i="5" l="1"/>
  <c r="DT112" i="5"/>
  <c r="CA118" i="5"/>
  <c r="DT118" i="5"/>
  <c r="CA144" i="5"/>
  <c r="DT144" i="5"/>
  <c r="CA155" i="5"/>
  <c r="DT155" i="5"/>
  <c r="CA152" i="5"/>
  <c r="DT152" i="5"/>
  <c r="DU101" i="5"/>
  <c r="CD101" i="5"/>
  <c r="CA102" i="5"/>
  <c r="DT102" i="5"/>
  <c r="CA90" i="5"/>
  <c r="DT90" i="5"/>
  <c r="DT6" i="5"/>
  <c r="CA6" i="5"/>
  <c r="CA193" i="5"/>
  <c r="DT193" i="5"/>
  <c r="DX28" i="21"/>
  <c r="FG28" i="21" s="1"/>
  <c r="FF28" i="21"/>
  <c r="DX71" i="21"/>
  <c r="FG71" i="21" s="1"/>
  <c r="FF71" i="21"/>
  <c r="DX48" i="21"/>
  <c r="FG48" i="21" s="1"/>
  <c r="FF48" i="21"/>
  <c r="DX189" i="21"/>
  <c r="FG189" i="21" s="1"/>
  <c r="FF189" i="21"/>
  <c r="DX195" i="21"/>
  <c r="FG195" i="21" s="1"/>
  <c r="FF195" i="21"/>
  <c r="DX166" i="21"/>
  <c r="FG166" i="21" s="1"/>
  <c r="FF166" i="21"/>
  <c r="DX139" i="21"/>
  <c r="FG139" i="21" s="1"/>
  <c r="FF139" i="21"/>
  <c r="DX110" i="21"/>
  <c r="FG110" i="21" s="1"/>
  <c r="FF110" i="21"/>
  <c r="DX83" i="21"/>
  <c r="FG83" i="21" s="1"/>
  <c r="FF83" i="21"/>
  <c r="FF54" i="21"/>
  <c r="DX54" i="21"/>
  <c r="FG54" i="21" s="1"/>
  <c r="DX44" i="21"/>
  <c r="FG44" i="21" s="1"/>
  <c r="FF44" i="21"/>
  <c r="DX27" i="21"/>
  <c r="FG27" i="21" s="1"/>
  <c r="FF27" i="21"/>
  <c r="DX97" i="21"/>
  <c r="FG97" i="21" s="1"/>
  <c r="FF97" i="21"/>
  <c r="DX65" i="21"/>
  <c r="FG65" i="21" s="1"/>
  <c r="FF65" i="21"/>
  <c r="DX191" i="21"/>
  <c r="FG191" i="21" s="1"/>
  <c r="FF191" i="21"/>
  <c r="DX178" i="21"/>
  <c r="FG178" i="21" s="1"/>
  <c r="FF178" i="21"/>
  <c r="DX168" i="21"/>
  <c r="FG168" i="21" s="1"/>
  <c r="FF168" i="21"/>
  <c r="DX135" i="21"/>
  <c r="FG135" i="21" s="1"/>
  <c r="FF135" i="21"/>
  <c r="FF122" i="21"/>
  <c r="DX122" i="21"/>
  <c r="FG122" i="21" s="1"/>
  <c r="FF112" i="21"/>
  <c r="DX112" i="21"/>
  <c r="FG112" i="21" s="1"/>
  <c r="DX79" i="21"/>
  <c r="FG79" i="21" s="1"/>
  <c r="FF79" i="21"/>
  <c r="DX66" i="21"/>
  <c r="FG66" i="21" s="1"/>
  <c r="FF66" i="21"/>
  <c r="DX56" i="21"/>
  <c r="FG56" i="21" s="1"/>
  <c r="FF56" i="21"/>
  <c r="DX23" i="21"/>
  <c r="FG23" i="21" s="1"/>
  <c r="FF23" i="21"/>
  <c r="DX10" i="21"/>
  <c r="FG10" i="21" s="1"/>
  <c r="FF10" i="21"/>
  <c r="DX193" i="21"/>
  <c r="FG193" i="21" s="1"/>
  <c r="FF193" i="21"/>
  <c r="FF85" i="21"/>
  <c r="DX85" i="21"/>
  <c r="FG85" i="21" s="1"/>
  <c r="FF21" i="21"/>
  <c r="DX21" i="21"/>
  <c r="FG21" i="21" s="1"/>
  <c r="DX164" i="21"/>
  <c r="FG164" i="21" s="1"/>
  <c r="FF164" i="21"/>
  <c r="DX108" i="21"/>
  <c r="FG108" i="21" s="1"/>
  <c r="FF108" i="21"/>
  <c r="DX62" i="21"/>
  <c r="FG62" i="21" s="1"/>
  <c r="FF62" i="21"/>
  <c r="DX52" i="21"/>
  <c r="FG52" i="21" s="1"/>
  <c r="FF52" i="21"/>
  <c r="DX35" i="21"/>
  <c r="FG35" i="21" s="1"/>
  <c r="FF35" i="21"/>
  <c r="FF6" i="21"/>
  <c r="DX6" i="21"/>
  <c r="FG6" i="21" s="1"/>
  <c r="FF181" i="21"/>
  <c r="DX181" i="21"/>
  <c r="FG181" i="21" s="1"/>
  <c r="DX121" i="21"/>
  <c r="FG121" i="21" s="1"/>
  <c r="FF121" i="21"/>
  <c r="FF89" i="21"/>
  <c r="DX89" i="21"/>
  <c r="FG89" i="21" s="1"/>
  <c r="DX196" i="21"/>
  <c r="FG196" i="21" s="1"/>
  <c r="FF196" i="21"/>
  <c r="DX179" i="21"/>
  <c r="FG179" i="21" s="1"/>
  <c r="FF179" i="21"/>
  <c r="DX94" i="21"/>
  <c r="FG94" i="21" s="1"/>
  <c r="FF94" i="21"/>
  <c r="DX67" i="21"/>
  <c r="FG67" i="21" s="1"/>
  <c r="FF67" i="21"/>
  <c r="DX177" i="21"/>
  <c r="FG177" i="21" s="1"/>
  <c r="FF177" i="21"/>
  <c r="DX45" i="21"/>
  <c r="FG45" i="21" s="1"/>
  <c r="FF45" i="21"/>
  <c r="DX175" i="21"/>
  <c r="FG175" i="21" s="1"/>
  <c r="FF175" i="21"/>
  <c r="DX152" i="21"/>
  <c r="FG152" i="21" s="1"/>
  <c r="FF152" i="21"/>
  <c r="DX63" i="21"/>
  <c r="FG63" i="21" s="1"/>
  <c r="FF63" i="21"/>
  <c r="DX40" i="21"/>
  <c r="FG40" i="21" s="1"/>
  <c r="FF40" i="21"/>
  <c r="DX169" i="21"/>
  <c r="FG169" i="21" s="1"/>
  <c r="FF169" i="21"/>
  <c r="DX29" i="21"/>
  <c r="FG29" i="21" s="1"/>
  <c r="FF29" i="21"/>
  <c r="DX151" i="21"/>
  <c r="FG151" i="21" s="1"/>
  <c r="FF151" i="21"/>
  <c r="DX128" i="21"/>
  <c r="FG128" i="21" s="1"/>
  <c r="FF128" i="21"/>
  <c r="DX82" i="21"/>
  <c r="FG82" i="21" s="1"/>
  <c r="FF82" i="21"/>
  <c r="DX39" i="21"/>
  <c r="FG39" i="21" s="1"/>
  <c r="FF39" i="21"/>
  <c r="DX129" i="21"/>
  <c r="FG129" i="21" s="1"/>
  <c r="FF129" i="21"/>
  <c r="DX41" i="21"/>
  <c r="FG41" i="21" s="1"/>
  <c r="FF41" i="21"/>
  <c r="DX163" i="21"/>
  <c r="FG163" i="21" s="1"/>
  <c r="FF163" i="21"/>
  <c r="DX199" i="21"/>
  <c r="FG199" i="21" s="1"/>
  <c r="FF199" i="21"/>
  <c r="DX143" i="21"/>
  <c r="FG143" i="21" s="1"/>
  <c r="FF143" i="21"/>
  <c r="DX120" i="21"/>
  <c r="FG120" i="21" s="1"/>
  <c r="FF120" i="21"/>
  <c r="FF74" i="21"/>
  <c r="DX74" i="21"/>
  <c r="FG74" i="21" s="1"/>
  <c r="DX8" i="21"/>
  <c r="FG8" i="21" s="1"/>
  <c r="FF8" i="21"/>
  <c r="DX77" i="21"/>
  <c r="FG77" i="21" s="1"/>
  <c r="FF77" i="21"/>
  <c r="DX182" i="21"/>
  <c r="FG182" i="21" s="1"/>
  <c r="FF182" i="21"/>
  <c r="DX155" i="21"/>
  <c r="FG155" i="21" s="1"/>
  <c r="FF155" i="21"/>
  <c r="DX116" i="21"/>
  <c r="FG116" i="21" s="1"/>
  <c r="FF116" i="21"/>
  <c r="FF70" i="21"/>
  <c r="DX70" i="21"/>
  <c r="FG70" i="21" s="1"/>
  <c r="DX43" i="21"/>
  <c r="FG43" i="21" s="1"/>
  <c r="FF43" i="21"/>
  <c r="DX4" i="21"/>
  <c r="FG4" i="21" s="1"/>
  <c r="FF4" i="21"/>
  <c r="DX113" i="21"/>
  <c r="FG113" i="21" s="1"/>
  <c r="FF113" i="21"/>
  <c r="DX194" i="21"/>
  <c r="FG194" i="21" s="1"/>
  <c r="FF194" i="21"/>
  <c r="FF102" i="21"/>
  <c r="DX102" i="21"/>
  <c r="FG102" i="21" s="1"/>
  <c r="DX75" i="21"/>
  <c r="FG75" i="21" s="1"/>
  <c r="FF75" i="21"/>
  <c r="FF26" i="21"/>
  <c r="DX26" i="21"/>
  <c r="FG26" i="21" s="1"/>
  <c r="DX183" i="21"/>
  <c r="FG183" i="21" s="1"/>
  <c r="FF183" i="21"/>
  <c r="FF160" i="21"/>
  <c r="DX160" i="21"/>
  <c r="FG160" i="21" s="1"/>
  <c r="DX114" i="21"/>
  <c r="FG114" i="21" s="1"/>
  <c r="FF114" i="21"/>
  <c r="DX58" i="21"/>
  <c r="FG58" i="21" s="1"/>
  <c r="FF58" i="21"/>
  <c r="DX15" i="21"/>
  <c r="FG15" i="21" s="1"/>
  <c r="FF15" i="21"/>
  <c r="FF165" i="21"/>
  <c r="DX165" i="21"/>
  <c r="FG165" i="21" s="1"/>
  <c r="DX156" i="21"/>
  <c r="FG156" i="21" s="1"/>
  <c r="FF156" i="21"/>
  <c r="DX78" i="21"/>
  <c r="FG78" i="21" s="1"/>
  <c r="FF78" i="21"/>
  <c r="FF22" i="21"/>
  <c r="DX22" i="21"/>
  <c r="FG22" i="21" s="1"/>
  <c r="DX12" i="21"/>
  <c r="FG12" i="21" s="1"/>
  <c r="FF12" i="21"/>
  <c r="DX173" i="21"/>
  <c r="FG173" i="21" s="1"/>
  <c r="FF173" i="21"/>
  <c r="FF137" i="21"/>
  <c r="DX137" i="21"/>
  <c r="FG137" i="21" s="1"/>
  <c r="DX57" i="21"/>
  <c r="FG57" i="21" s="1"/>
  <c r="FF57" i="21"/>
  <c r="DX202" i="21"/>
  <c r="FG202" i="21" s="1"/>
  <c r="FF202" i="21"/>
  <c r="DX192" i="21"/>
  <c r="FG192" i="21" s="1"/>
  <c r="FF192" i="21"/>
  <c r="DX159" i="21"/>
  <c r="FG159" i="21" s="1"/>
  <c r="FF159" i="21"/>
  <c r="DX146" i="21"/>
  <c r="FG146" i="21" s="1"/>
  <c r="FF146" i="21"/>
  <c r="DX136" i="21"/>
  <c r="FG136" i="21" s="1"/>
  <c r="FF136" i="21"/>
  <c r="DX103" i="21"/>
  <c r="FG103" i="21" s="1"/>
  <c r="FF103" i="21"/>
  <c r="DX90" i="21"/>
  <c r="FG90" i="21" s="1"/>
  <c r="FF90" i="21"/>
  <c r="DX80" i="21"/>
  <c r="FG80" i="21" s="1"/>
  <c r="FF80" i="21"/>
  <c r="DX47" i="21"/>
  <c r="FG47" i="21" s="1"/>
  <c r="FF47" i="21"/>
  <c r="DX34" i="21"/>
  <c r="FG34" i="21" s="1"/>
  <c r="FF34" i="21"/>
  <c r="DX24" i="21"/>
  <c r="FG24" i="21" s="1"/>
  <c r="FF24" i="21"/>
  <c r="DX161" i="21"/>
  <c r="FG161" i="21" s="1"/>
  <c r="FF161" i="21"/>
  <c r="DX125" i="21"/>
  <c r="FG125" i="21" s="1"/>
  <c r="FF125" i="21"/>
  <c r="DX93" i="21"/>
  <c r="FG93" i="21" s="1"/>
  <c r="FF93" i="21"/>
  <c r="DX198" i="21"/>
  <c r="FG198" i="21" s="1"/>
  <c r="FF198" i="21"/>
  <c r="DX188" i="21"/>
  <c r="FG188" i="21" s="1"/>
  <c r="FF188" i="21"/>
  <c r="DX171" i="21"/>
  <c r="FG171" i="21" s="1"/>
  <c r="FF171" i="21"/>
  <c r="DX142" i="21"/>
  <c r="FG142" i="21" s="1"/>
  <c r="FF142" i="21"/>
  <c r="FF132" i="21"/>
  <c r="DX132" i="21"/>
  <c r="FG132" i="21" s="1"/>
  <c r="DX115" i="21"/>
  <c r="FG115" i="21" s="1"/>
  <c r="FF115" i="21"/>
  <c r="FF86" i="21"/>
  <c r="DX86" i="21"/>
  <c r="FG86" i="21" s="1"/>
  <c r="DX76" i="21"/>
  <c r="FG76" i="21" s="1"/>
  <c r="FF76" i="21"/>
  <c r="FF59" i="21"/>
  <c r="DX59" i="21"/>
  <c r="FG59" i="21" s="1"/>
  <c r="DX30" i="21"/>
  <c r="FG30" i="21" s="1"/>
  <c r="FF30" i="21"/>
  <c r="FF197" i="21"/>
  <c r="DX197" i="21"/>
  <c r="FG197" i="21" s="1"/>
  <c r="DX157" i="21"/>
  <c r="FG157" i="21" s="1"/>
  <c r="FF157" i="21"/>
  <c r="DX81" i="21"/>
  <c r="FG81" i="21" s="1"/>
  <c r="FF81" i="21"/>
  <c r="DX17" i="21"/>
  <c r="FG17" i="21" s="1"/>
  <c r="FF17" i="21"/>
  <c r="DX200" i="21"/>
  <c r="FG200" i="21" s="1"/>
  <c r="FF200" i="21"/>
  <c r="DX167" i="21"/>
  <c r="FG167" i="21" s="1"/>
  <c r="FF167" i="21"/>
  <c r="DX144" i="21"/>
  <c r="FG144" i="21" s="1"/>
  <c r="FF144" i="21"/>
  <c r="DX111" i="21"/>
  <c r="FG111" i="21" s="1"/>
  <c r="FF111" i="21"/>
  <c r="DX98" i="21"/>
  <c r="FG98" i="21" s="1"/>
  <c r="FF98" i="21"/>
  <c r="DX88" i="21"/>
  <c r="FG88" i="21" s="1"/>
  <c r="FF88" i="21"/>
  <c r="DX55" i="21"/>
  <c r="FG55" i="21" s="1"/>
  <c r="FF55" i="21"/>
  <c r="DX42" i="21"/>
  <c r="FG42" i="21" s="1"/>
  <c r="FF42" i="21"/>
  <c r="DX32" i="21"/>
  <c r="FG32" i="21" s="1"/>
  <c r="FF32" i="21"/>
  <c r="FF185" i="21"/>
  <c r="DX185" i="21"/>
  <c r="FG185" i="21" s="1"/>
  <c r="DX145" i="21"/>
  <c r="FG145" i="21" s="1"/>
  <c r="FF145" i="21"/>
  <c r="FF117" i="21"/>
  <c r="DX117" i="21"/>
  <c r="FG117" i="21" s="1"/>
  <c r="DX5" i="21"/>
  <c r="FG5" i="21" s="1"/>
  <c r="FF5" i="21"/>
  <c r="DX186" i="21"/>
  <c r="FG186" i="21" s="1"/>
  <c r="FF186" i="21"/>
  <c r="FF123" i="21"/>
  <c r="DX123" i="21"/>
  <c r="FG123" i="21" s="1"/>
  <c r="FF84" i="21"/>
  <c r="DX84" i="21"/>
  <c r="FG84" i="21" s="1"/>
  <c r="FF38" i="21"/>
  <c r="DX38" i="21"/>
  <c r="FG38" i="21" s="1"/>
  <c r="DX11" i="21"/>
  <c r="FG11" i="21" s="1"/>
  <c r="FF11" i="21"/>
  <c r="DX105" i="21"/>
  <c r="FG105" i="21" s="1"/>
  <c r="FF105" i="21"/>
  <c r="DX25" i="21"/>
  <c r="FG25" i="21" s="1"/>
  <c r="FF25" i="21"/>
  <c r="DX162" i="21"/>
  <c r="FG162" i="21" s="1"/>
  <c r="FF162" i="21"/>
  <c r="DX119" i="21"/>
  <c r="FG119" i="21" s="1"/>
  <c r="FF119" i="21"/>
  <c r="DX96" i="21"/>
  <c r="FG96" i="21" s="1"/>
  <c r="FF96" i="21"/>
  <c r="DX50" i="21"/>
  <c r="FG50" i="21" s="1"/>
  <c r="FF50" i="21"/>
  <c r="DX7" i="21"/>
  <c r="FG7" i="21" s="1"/>
  <c r="FF7" i="21"/>
  <c r="DX141" i="21"/>
  <c r="FG141" i="21" s="1"/>
  <c r="FF141" i="21"/>
  <c r="DX184" i="21"/>
  <c r="FG184" i="21" s="1"/>
  <c r="FF184" i="21"/>
  <c r="DX138" i="21"/>
  <c r="FG138" i="21" s="1"/>
  <c r="FF138" i="21"/>
  <c r="DX95" i="21"/>
  <c r="FG95" i="21" s="1"/>
  <c r="FF95" i="21"/>
  <c r="DX36" i="21"/>
  <c r="FG36" i="21" s="1"/>
  <c r="FF36" i="21"/>
  <c r="DX201" i="21"/>
  <c r="FG201" i="21" s="1"/>
  <c r="FF201" i="21"/>
  <c r="DX73" i="21"/>
  <c r="FG73" i="21" s="1"/>
  <c r="FF73" i="21"/>
  <c r="DX180" i="21"/>
  <c r="FG180" i="21" s="1"/>
  <c r="FF180" i="21"/>
  <c r="DX134" i="21"/>
  <c r="FG134" i="21" s="1"/>
  <c r="FF134" i="21"/>
  <c r="FF107" i="21"/>
  <c r="DX107" i="21"/>
  <c r="FG107" i="21" s="1"/>
  <c r="DX176" i="21"/>
  <c r="FG176" i="21" s="1"/>
  <c r="FF176" i="21"/>
  <c r="DX130" i="21"/>
  <c r="FG130" i="21" s="1"/>
  <c r="FF130" i="21"/>
  <c r="DX87" i="21"/>
  <c r="FG87" i="21" s="1"/>
  <c r="FF87" i="21"/>
  <c r="DX64" i="21"/>
  <c r="FG64" i="21" s="1"/>
  <c r="FF64" i="21"/>
  <c r="DX18" i="21"/>
  <c r="FG18" i="21" s="1"/>
  <c r="FF18" i="21"/>
  <c r="DX109" i="21"/>
  <c r="FG109" i="21" s="1"/>
  <c r="FF109" i="21"/>
  <c r="DX49" i="21"/>
  <c r="FG49" i="21" s="1"/>
  <c r="FF49" i="21"/>
  <c r="DX172" i="21"/>
  <c r="FG172" i="21" s="1"/>
  <c r="FF172" i="21"/>
  <c r="DX126" i="21"/>
  <c r="FG126" i="21" s="1"/>
  <c r="FF126" i="21"/>
  <c r="DX99" i="21"/>
  <c r="FG99" i="21" s="1"/>
  <c r="FF99" i="21"/>
  <c r="DX60" i="21"/>
  <c r="FG60" i="21" s="1"/>
  <c r="FF60" i="21"/>
  <c r="DX14" i="21"/>
  <c r="FG14" i="21" s="1"/>
  <c r="FF14" i="21"/>
  <c r="FF149" i="21"/>
  <c r="DX149" i="21"/>
  <c r="FG149" i="21" s="1"/>
  <c r="FF37" i="21"/>
  <c r="DX37" i="21"/>
  <c r="FG37" i="21" s="1"/>
  <c r="DX158" i="21"/>
  <c r="FG158" i="21" s="1"/>
  <c r="FF158" i="21"/>
  <c r="DX131" i="21"/>
  <c r="FG131" i="21" s="1"/>
  <c r="FF131" i="21"/>
  <c r="DX92" i="21"/>
  <c r="FG92" i="21" s="1"/>
  <c r="FF92" i="21"/>
  <c r="DX46" i="21"/>
  <c r="FG46" i="21" s="1"/>
  <c r="FF46" i="21"/>
  <c r="DX16" i="21"/>
  <c r="FG16" i="21" s="1"/>
  <c r="FF16" i="21"/>
  <c r="FF101" i="21"/>
  <c r="DX101" i="21"/>
  <c r="FG101" i="21" s="1"/>
  <c r="DX190" i="21"/>
  <c r="FG190" i="21" s="1"/>
  <c r="FF190" i="21"/>
  <c r="DX170" i="21"/>
  <c r="FG170" i="21" s="1"/>
  <c r="FF170" i="21"/>
  <c r="DX127" i="21"/>
  <c r="FG127" i="21" s="1"/>
  <c r="FF127" i="21"/>
  <c r="DX104" i="21"/>
  <c r="FG104" i="21" s="1"/>
  <c r="FF104" i="21"/>
  <c r="CD113" i="5"/>
  <c r="DU113" i="5"/>
  <c r="DV196" i="5"/>
  <c r="CG196" i="5"/>
  <c r="CD96" i="5"/>
  <c r="DU96" i="5"/>
  <c r="CD149" i="5"/>
  <c r="DU149" i="5"/>
  <c r="CD99" i="5"/>
  <c r="DU99" i="5"/>
  <c r="CD107" i="5"/>
  <c r="DU107" i="5"/>
  <c r="DU63" i="5"/>
  <c r="CD63" i="5"/>
  <c r="DU23" i="5"/>
  <c r="CD23" i="5"/>
  <c r="DU15" i="5"/>
  <c r="CD15" i="5"/>
  <c r="DU36" i="5"/>
  <c r="CD36" i="5"/>
  <c r="DU80" i="5"/>
  <c r="CD80" i="5"/>
  <c r="DU35" i="5"/>
  <c r="CD35" i="5"/>
  <c r="DU14" i="5"/>
  <c r="CD14" i="5"/>
  <c r="DU54" i="5"/>
  <c r="CD54" i="5"/>
  <c r="DU64" i="5"/>
  <c r="CD64" i="5"/>
  <c r="DU57" i="5"/>
  <c r="CD57" i="5"/>
  <c r="DU51" i="5"/>
  <c r="CD51" i="5"/>
  <c r="DV104" i="5"/>
  <c r="CG104" i="5"/>
  <c r="DU33" i="5"/>
  <c r="CD33" i="5"/>
  <c r="DU42" i="5"/>
  <c r="CD42" i="5"/>
  <c r="DU12" i="5"/>
  <c r="CD12" i="5"/>
  <c r="DU53" i="5"/>
  <c r="CD53" i="5"/>
  <c r="DU7" i="5"/>
  <c r="CD7" i="5"/>
  <c r="DU69" i="5"/>
  <c r="CD69" i="5"/>
  <c r="DU43" i="5"/>
  <c r="CD43" i="5"/>
  <c r="DU21" i="5"/>
  <c r="CD21" i="5"/>
  <c r="DU40" i="5"/>
  <c r="CD40" i="5"/>
  <c r="DU24" i="5"/>
  <c r="CD24" i="5"/>
  <c r="DU66" i="5"/>
  <c r="CD66" i="5"/>
  <c r="DU26" i="5"/>
  <c r="CD26" i="5"/>
  <c r="DU58" i="5"/>
  <c r="CD58" i="5"/>
  <c r="CD95" i="5"/>
  <c r="DU95" i="5"/>
  <c r="CD120" i="5"/>
  <c r="DU120" i="5"/>
  <c r="DV89" i="5"/>
  <c r="CG89" i="5"/>
  <c r="CD94" i="5"/>
  <c r="DU94" i="5"/>
  <c r="DU114" i="5"/>
  <c r="CD114" i="5"/>
  <c r="CD119" i="5"/>
  <c r="DU119" i="5"/>
  <c r="CD111" i="5"/>
  <c r="DU111" i="5"/>
  <c r="CD145" i="5"/>
  <c r="DU145" i="5"/>
  <c r="CD197" i="5"/>
  <c r="DU197" i="5"/>
  <c r="DV189" i="5"/>
  <c r="CG189" i="5"/>
  <c r="DU78" i="5"/>
  <c r="CD78" i="5"/>
  <c r="DU18" i="5"/>
  <c r="CD18" i="5"/>
  <c r="DU30" i="5"/>
  <c r="CD30" i="5"/>
  <c r="DU11" i="5"/>
  <c r="CD11" i="5"/>
  <c r="DV195" i="5"/>
  <c r="CG195" i="5"/>
  <c r="CG194" i="5"/>
  <c r="DV194" i="5"/>
  <c r="DU49" i="5"/>
  <c r="CD49" i="5"/>
  <c r="DU81" i="5"/>
  <c r="CD81" i="5"/>
  <c r="DU16" i="5"/>
  <c r="CD16" i="5"/>
  <c r="DU85" i="5"/>
  <c r="CD85" i="5"/>
  <c r="DU29" i="5"/>
  <c r="CD29" i="5"/>
  <c r="DU83" i="5"/>
  <c r="CD83" i="5"/>
  <c r="DU4" i="5"/>
  <c r="CD4" i="5"/>
  <c r="DU41" i="5"/>
  <c r="CD41" i="5"/>
  <c r="DU60" i="5"/>
  <c r="CD60" i="5"/>
  <c r="DU22" i="5"/>
  <c r="CD22" i="5"/>
  <c r="CD139" i="5"/>
  <c r="DU139" i="5"/>
  <c r="CG93" i="5"/>
  <c r="DV93" i="5"/>
  <c r="DU71" i="5"/>
  <c r="CD71" i="5"/>
  <c r="DU8" i="5"/>
  <c r="CD8" i="5"/>
  <c r="DU25" i="5"/>
  <c r="CD25" i="5"/>
  <c r="DU70" i="5"/>
  <c r="CD70" i="5"/>
  <c r="DU86" i="5"/>
  <c r="CD86" i="5"/>
  <c r="CD100" i="5"/>
  <c r="DU100" i="5"/>
  <c r="CD88" i="5"/>
  <c r="DU88" i="5"/>
  <c r="CG117" i="5"/>
  <c r="DV117" i="5"/>
  <c r="CD153" i="5"/>
  <c r="DU153" i="5"/>
  <c r="CD115" i="5"/>
  <c r="DU115" i="5"/>
  <c r="CG106" i="5"/>
  <c r="DV106" i="5"/>
  <c r="CD91" i="5"/>
  <c r="DU91" i="5"/>
  <c r="CD132" i="5"/>
  <c r="DU132" i="5"/>
  <c r="CD116" i="5"/>
  <c r="DU116" i="5"/>
  <c r="CD151" i="5"/>
  <c r="DU151" i="5"/>
  <c r="CD136" i="5"/>
  <c r="DU136" i="5"/>
  <c r="CG188" i="5"/>
  <c r="DV188" i="5"/>
  <c r="CD131" i="5"/>
  <c r="DU131" i="5"/>
  <c r="DU108" i="5"/>
  <c r="CD108" i="5"/>
  <c r="DU79" i="5"/>
  <c r="CD79" i="5"/>
  <c r="DU82" i="5"/>
  <c r="CD82" i="5"/>
  <c r="CG146" i="5"/>
  <c r="DV146" i="5"/>
  <c r="DU84" i="5"/>
  <c r="CD84" i="5"/>
  <c r="DU28" i="5"/>
  <c r="CD28" i="5"/>
  <c r="DU76" i="5"/>
  <c r="CD76" i="5"/>
  <c r="DU44" i="5"/>
  <c r="CD44" i="5"/>
  <c r="DU10" i="5"/>
  <c r="CD10" i="5"/>
  <c r="DU31" i="5"/>
  <c r="CD31" i="5"/>
  <c r="DU19" i="5"/>
  <c r="CD19" i="5"/>
  <c r="DU17" i="5"/>
  <c r="CD17" i="5"/>
  <c r="DU56" i="5"/>
  <c r="CD56" i="5"/>
  <c r="DU34" i="5"/>
  <c r="CD34" i="5"/>
  <c r="DU39" i="5"/>
  <c r="CD39" i="5"/>
  <c r="DU38" i="5"/>
  <c r="CD38" i="5"/>
  <c r="DU62" i="5"/>
  <c r="CD62" i="5"/>
  <c r="DU45" i="5"/>
  <c r="CD45" i="5"/>
  <c r="DU27" i="5"/>
  <c r="CD27" i="5"/>
  <c r="DU9" i="5"/>
  <c r="CD9" i="5"/>
  <c r="DU46" i="5"/>
  <c r="CD46" i="5"/>
  <c r="DU13" i="5"/>
  <c r="CD13" i="5"/>
  <c r="CD147" i="5"/>
  <c r="DU147" i="5"/>
  <c r="CG134" i="5"/>
  <c r="DV134" i="5"/>
  <c r="CD135" i="5"/>
  <c r="DU135" i="5"/>
  <c r="CD200" i="5"/>
  <c r="DU200" i="5"/>
  <c r="CD173" i="5"/>
  <c r="DU173" i="5"/>
  <c r="CD98" i="5"/>
  <c r="DU98" i="5"/>
  <c r="CG192" i="5"/>
  <c r="DV192" i="5"/>
  <c r="CG150" i="5"/>
  <c r="DV150" i="5"/>
  <c r="CD92" i="5"/>
  <c r="DU92" i="5"/>
  <c r="CD129" i="5"/>
  <c r="DU129" i="5"/>
  <c r="DU72" i="5"/>
  <c r="CD72" i="5"/>
  <c r="DU47" i="5"/>
  <c r="CD47" i="5"/>
  <c r="DU48" i="5"/>
  <c r="CD48" i="5"/>
  <c r="DU5" i="5"/>
  <c r="CD5" i="5"/>
  <c r="DU77" i="5"/>
  <c r="CD77" i="5"/>
  <c r="DU37" i="5"/>
  <c r="CD37" i="5"/>
  <c r="DU52" i="5"/>
  <c r="CD52" i="5"/>
  <c r="DU67" i="5"/>
  <c r="CD67" i="5"/>
  <c r="DU68" i="5"/>
  <c r="CD68" i="5"/>
  <c r="DU32" i="5"/>
  <c r="CD32" i="5"/>
  <c r="CM154" i="5"/>
  <c r="DX154" i="5"/>
  <c r="CG130" i="5"/>
  <c r="DV130" i="5"/>
  <c r="DU190" i="5"/>
  <c r="CD190" i="5"/>
  <c r="DU61" i="5"/>
  <c r="CD61" i="5"/>
  <c r="DU75" i="5"/>
  <c r="CD75" i="5"/>
  <c r="DU167" i="5"/>
  <c r="CD167" i="5"/>
  <c r="DU74" i="5"/>
  <c r="CD74" i="5"/>
  <c r="DU55" i="5"/>
  <c r="CD55" i="5"/>
  <c r="DU20" i="5"/>
  <c r="CD20" i="5"/>
  <c r="DU59" i="5"/>
  <c r="CD59" i="5"/>
  <c r="DU65" i="5"/>
  <c r="CD65" i="5"/>
  <c r="DU87" i="5"/>
  <c r="CD87" i="5"/>
  <c r="DU50" i="5"/>
  <c r="CD50" i="5"/>
  <c r="DU73" i="5"/>
  <c r="CD73" i="5"/>
  <c r="CD199" i="5"/>
  <c r="DU199" i="5"/>
  <c r="CG198" i="5"/>
  <c r="DV198" i="5"/>
  <c r="CD191" i="5"/>
  <c r="DU191" i="5"/>
  <c r="CD148" i="5"/>
  <c r="DU148" i="5"/>
  <c r="CD127" i="5"/>
  <c r="DU127" i="5"/>
  <c r="DU112" i="5" l="1"/>
  <c r="CD112" i="5"/>
  <c r="CD118" i="5"/>
  <c r="DU118" i="5"/>
  <c r="CD152" i="5"/>
  <c r="DU152" i="5"/>
  <c r="DU155" i="5"/>
  <c r="CD155" i="5"/>
  <c r="CD144" i="5"/>
  <c r="DU144" i="5"/>
  <c r="DV101" i="5"/>
  <c r="CG101" i="5"/>
  <c r="CD193" i="5"/>
  <c r="DU193" i="5"/>
  <c r="CD90" i="5"/>
  <c r="DU90" i="5"/>
  <c r="DU6" i="5"/>
  <c r="CD6" i="5"/>
  <c r="CD102" i="5"/>
  <c r="DU102" i="5"/>
  <c r="CJ198" i="5"/>
  <c r="DW198" i="5"/>
  <c r="DV87" i="5"/>
  <c r="CG87" i="5"/>
  <c r="CG148" i="5"/>
  <c r="DV148" i="5"/>
  <c r="DV199" i="5"/>
  <c r="CG199" i="5"/>
  <c r="DY154" i="5"/>
  <c r="CP154" i="5"/>
  <c r="CG98" i="5"/>
  <c r="DV98" i="5"/>
  <c r="CG135" i="5"/>
  <c r="DV135" i="5"/>
  <c r="DV13" i="5"/>
  <c r="CG13" i="5"/>
  <c r="DV45" i="5"/>
  <c r="CG45" i="5"/>
  <c r="DV39" i="5"/>
  <c r="CG39" i="5"/>
  <c r="DV44" i="5"/>
  <c r="CG44" i="5"/>
  <c r="DV79" i="5"/>
  <c r="CG79" i="5"/>
  <c r="DV70" i="5"/>
  <c r="CG70" i="5"/>
  <c r="DV71" i="5"/>
  <c r="CG71" i="5"/>
  <c r="DV22" i="5"/>
  <c r="CG22" i="5"/>
  <c r="DV83" i="5"/>
  <c r="CG83" i="5"/>
  <c r="DV81" i="5"/>
  <c r="CG81" i="5"/>
  <c r="DV11" i="5"/>
  <c r="CG11" i="5"/>
  <c r="DV26" i="5"/>
  <c r="CG26" i="5"/>
  <c r="DV21" i="5"/>
  <c r="CG21" i="5"/>
  <c r="DV7" i="5"/>
  <c r="CG7" i="5"/>
  <c r="DV33" i="5"/>
  <c r="CG33" i="5"/>
  <c r="DV64" i="5"/>
  <c r="CG64" i="5"/>
  <c r="DV80" i="5"/>
  <c r="CG80" i="5"/>
  <c r="DV23" i="5"/>
  <c r="CG23" i="5"/>
  <c r="CJ196" i="5"/>
  <c r="DW196" i="5"/>
  <c r="DV65" i="5"/>
  <c r="CG65" i="5"/>
  <c r="DV61" i="5"/>
  <c r="CG61" i="5"/>
  <c r="DV32" i="5"/>
  <c r="CG32" i="5"/>
  <c r="DV52" i="5"/>
  <c r="CG52" i="5"/>
  <c r="DV5" i="5"/>
  <c r="CG5" i="5"/>
  <c r="CG147" i="5"/>
  <c r="DV147" i="5"/>
  <c r="CG131" i="5"/>
  <c r="DV131" i="5"/>
  <c r="CG132" i="5"/>
  <c r="DV132" i="5"/>
  <c r="CG153" i="5"/>
  <c r="DV153" i="5"/>
  <c r="DV145" i="5"/>
  <c r="CG145" i="5"/>
  <c r="CG94" i="5"/>
  <c r="DV94" i="5"/>
  <c r="DV55" i="5"/>
  <c r="CG55" i="5"/>
  <c r="DV129" i="5"/>
  <c r="CG129" i="5"/>
  <c r="DW150" i="5"/>
  <c r="CJ150" i="5"/>
  <c r="DV173" i="5"/>
  <c r="CG173" i="5"/>
  <c r="DV46" i="5"/>
  <c r="CG46" i="5"/>
  <c r="DV34" i="5"/>
  <c r="CG34" i="5"/>
  <c r="DV19" i="5"/>
  <c r="CG19" i="5"/>
  <c r="DV76" i="5"/>
  <c r="CG76" i="5"/>
  <c r="DV25" i="5"/>
  <c r="CG25" i="5"/>
  <c r="DV60" i="5"/>
  <c r="CG60" i="5"/>
  <c r="DV29" i="5"/>
  <c r="CG29" i="5"/>
  <c r="DV49" i="5"/>
  <c r="CG49" i="5"/>
  <c r="DV30" i="5"/>
  <c r="CG30" i="5"/>
  <c r="DV66" i="5"/>
  <c r="CG66" i="5"/>
  <c r="DV43" i="5"/>
  <c r="CG43" i="5"/>
  <c r="DV53" i="5"/>
  <c r="CG53" i="5"/>
  <c r="CJ104" i="5"/>
  <c r="DW104" i="5"/>
  <c r="DV54" i="5"/>
  <c r="CG54" i="5"/>
  <c r="DV36" i="5"/>
  <c r="CG36" i="5"/>
  <c r="DV63" i="5"/>
  <c r="CG63" i="5"/>
  <c r="DV50" i="5"/>
  <c r="CG50" i="5"/>
  <c r="DV73" i="5"/>
  <c r="CG73" i="5"/>
  <c r="CG190" i="5"/>
  <c r="DV190" i="5"/>
  <c r="DV37" i="5"/>
  <c r="CG37" i="5"/>
  <c r="DV48" i="5"/>
  <c r="CG48" i="5"/>
  <c r="DW146" i="5"/>
  <c r="CJ146" i="5"/>
  <c r="DV136" i="5"/>
  <c r="CG136" i="5"/>
  <c r="DV91" i="5"/>
  <c r="CG91" i="5"/>
  <c r="CG88" i="5"/>
  <c r="DV88" i="5"/>
  <c r="DW93" i="5"/>
  <c r="CJ93" i="5"/>
  <c r="DV111" i="5"/>
  <c r="CG111" i="5"/>
  <c r="CG99" i="5"/>
  <c r="DV99" i="5"/>
  <c r="DV59" i="5"/>
  <c r="CG59" i="5"/>
  <c r="DV74" i="5"/>
  <c r="CG74" i="5"/>
  <c r="DV68" i="5"/>
  <c r="CG68" i="5"/>
  <c r="CG191" i="5"/>
  <c r="DV191" i="5"/>
  <c r="CG200" i="5"/>
  <c r="DV200" i="5"/>
  <c r="CJ134" i="5"/>
  <c r="DW134" i="5"/>
  <c r="DV9" i="5"/>
  <c r="CG9" i="5"/>
  <c r="DV62" i="5"/>
  <c r="CG62" i="5"/>
  <c r="DV56" i="5"/>
  <c r="CG56" i="5"/>
  <c r="DV31" i="5"/>
  <c r="CG31" i="5"/>
  <c r="DV28" i="5"/>
  <c r="CG28" i="5"/>
  <c r="DV82" i="5"/>
  <c r="CG82" i="5"/>
  <c r="DV41" i="5"/>
  <c r="CG41" i="5"/>
  <c r="DV85" i="5"/>
  <c r="CG85" i="5"/>
  <c r="DV18" i="5"/>
  <c r="CG18" i="5"/>
  <c r="DW189" i="5"/>
  <c r="CJ189" i="5"/>
  <c r="DW89" i="5"/>
  <c r="CJ89" i="5"/>
  <c r="DV24" i="5"/>
  <c r="CG24" i="5"/>
  <c r="DV12" i="5"/>
  <c r="CG12" i="5"/>
  <c r="DV51" i="5"/>
  <c r="CG51" i="5"/>
  <c r="DV14" i="5"/>
  <c r="CG14" i="5"/>
  <c r="CG151" i="5"/>
  <c r="DV151" i="5"/>
  <c r="DW106" i="5"/>
  <c r="CJ106" i="5"/>
  <c r="CG100" i="5"/>
  <c r="DV100" i="5"/>
  <c r="CG139" i="5"/>
  <c r="DV139" i="5"/>
  <c r="CJ194" i="5"/>
  <c r="DW194" i="5"/>
  <c r="CG119" i="5"/>
  <c r="DV119" i="5"/>
  <c r="DV120" i="5"/>
  <c r="CG120" i="5"/>
  <c r="DV95" i="5"/>
  <c r="CG95" i="5"/>
  <c r="DV107" i="5"/>
  <c r="CG107" i="5"/>
  <c r="DV149" i="5"/>
  <c r="CG149" i="5"/>
  <c r="DV167" i="5"/>
  <c r="CG167" i="5"/>
  <c r="DV47" i="5"/>
  <c r="CG47" i="5"/>
  <c r="CG127" i="5"/>
  <c r="DV127" i="5"/>
  <c r="DW130" i="5"/>
  <c r="CJ130" i="5"/>
  <c r="CG92" i="5"/>
  <c r="DV92" i="5"/>
  <c r="CJ192" i="5"/>
  <c r="DW192" i="5"/>
  <c r="DV27" i="5"/>
  <c r="CG27" i="5"/>
  <c r="DV38" i="5"/>
  <c r="CG38" i="5"/>
  <c r="DV17" i="5"/>
  <c r="CG17" i="5"/>
  <c r="DV10" i="5"/>
  <c r="CG10" i="5"/>
  <c r="DV84" i="5"/>
  <c r="CG84" i="5"/>
  <c r="DV108" i="5"/>
  <c r="CG108" i="5"/>
  <c r="DV86" i="5"/>
  <c r="CG86" i="5"/>
  <c r="DV8" i="5"/>
  <c r="CG8" i="5"/>
  <c r="DV4" i="5"/>
  <c r="CG4" i="5"/>
  <c r="DV16" i="5"/>
  <c r="CG16" i="5"/>
  <c r="CJ195" i="5"/>
  <c r="DW195" i="5"/>
  <c r="DV78" i="5"/>
  <c r="CG78" i="5"/>
  <c r="CG114" i="5"/>
  <c r="DV114" i="5"/>
  <c r="DV58" i="5"/>
  <c r="CG58" i="5"/>
  <c r="DV40" i="5"/>
  <c r="CG40" i="5"/>
  <c r="DV69" i="5"/>
  <c r="CG69" i="5"/>
  <c r="DV42" i="5"/>
  <c r="CG42" i="5"/>
  <c r="DV57" i="5"/>
  <c r="CG57" i="5"/>
  <c r="DV35" i="5"/>
  <c r="CG35" i="5"/>
  <c r="DV15" i="5"/>
  <c r="CG15" i="5"/>
  <c r="DV20" i="5"/>
  <c r="CG20" i="5"/>
  <c r="DV75" i="5"/>
  <c r="CG75" i="5"/>
  <c r="DV67" i="5"/>
  <c r="CG67" i="5"/>
  <c r="DV77" i="5"/>
  <c r="CG77" i="5"/>
  <c r="DV72" i="5"/>
  <c r="CG72" i="5"/>
  <c r="CJ188" i="5"/>
  <c r="DW188" i="5"/>
  <c r="CG116" i="5"/>
  <c r="DV116" i="5"/>
  <c r="CG115" i="5"/>
  <c r="DV115" i="5"/>
  <c r="DW117" i="5"/>
  <c r="CJ117" i="5"/>
  <c r="CG197" i="5"/>
  <c r="DV197" i="5"/>
  <c r="CG96" i="5"/>
  <c r="DV96" i="5"/>
  <c r="CG113" i="5"/>
  <c r="DV113" i="5"/>
  <c r="EC103" i="21"/>
  <c r="CG112" i="5" l="1"/>
  <c r="DV112" i="5"/>
  <c r="DV118" i="5"/>
  <c r="CG118" i="5"/>
  <c r="DV144" i="5"/>
  <c r="CG144" i="5"/>
  <c r="DV155" i="5"/>
  <c r="CG155" i="5"/>
  <c r="DV152" i="5"/>
  <c r="CG152" i="5"/>
  <c r="DW101" i="5"/>
  <c r="CJ101" i="5"/>
  <c r="CG102" i="5"/>
  <c r="DV102" i="5"/>
  <c r="CG90" i="5"/>
  <c r="DV90" i="5"/>
  <c r="DV6" i="5"/>
  <c r="CG6" i="5"/>
  <c r="CG193" i="5"/>
  <c r="DV193" i="5"/>
  <c r="CJ92" i="5"/>
  <c r="DW92" i="5"/>
  <c r="CJ127" i="5"/>
  <c r="DW127" i="5"/>
  <c r="CJ100" i="5"/>
  <c r="DW100" i="5"/>
  <c r="DX134" i="5"/>
  <c r="CM134" i="5"/>
  <c r="CJ99" i="5"/>
  <c r="DW99" i="5"/>
  <c r="DW73" i="5"/>
  <c r="CJ73" i="5"/>
  <c r="DW36" i="5"/>
  <c r="CJ36" i="5"/>
  <c r="DW43" i="5"/>
  <c r="CJ43" i="5"/>
  <c r="DW49" i="5"/>
  <c r="CJ49" i="5"/>
  <c r="DX150" i="5"/>
  <c r="CM150" i="5"/>
  <c r="DW55" i="5"/>
  <c r="CJ55" i="5"/>
  <c r="DW32" i="5"/>
  <c r="CJ32" i="5"/>
  <c r="DW23" i="5"/>
  <c r="CJ23" i="5"/>
  <c r="DW7" i="5"/>
  <c r="CJ7" i="5"/>
  <c r="DW11" i="5"/>
  <c r="CJ11" i="5"/>
  <c r="DW71" i="5"/>
  <c r="CJ71" i="5"/>
  <c r="DW44" i="5"/>
  <c r="CJ44" i="5"/>
  <c r="CJ199" i="5"/>
  <c r="DW199" i="5"/>
  <c r="DW8" i="5"/>
  <c r="CJ8" i="5"/>
  <c r="DW10" i="5"/>
  <c r="CJ10" i="5"/>
  <c r="DW47" i="5"/>
  <c r="CJ47" i="5"/>
  <c r="DW107" i="5"/>
  <c r="CJ107" i="5"/>
  <c r="CM106" i="5"/>
  <c r="DX106" i="5"/>
  <c r="DW14" i="5"/>
  <c r="CJ14" i="5"/>
  <c r="DX89" i="5"/>
  <c r="CM89" i="5"/>
  <c r="DW41" i="5"/>
  <c r="CJ41" i="5"/>
  <c r="DW56" i="5"/>
  <c r="CJ56" i="5"/>
  <c r="DW74" i="5"/>
  <c r="CJ74" i="5"/>
  <c r="DX93" i="5"/>
  <c r="CM93" i="5"/>
  <c r="DW136" i="5"/>
  <c r="CJ136" i="5"/>
  <c r="CJ94" i="5"/>
  <c r="DW94" i="5"/>
  <c r="CJ132" i="5"/>
  <c r="DW132" i="5"/>
  <c r="CJ147" i="5"/>
  <c r="DW147" i="5"/>
  <c r="CJ135" i="5"/>
  <c r="DW135" i="5"/>
  <c r="DW35" i="5"/>
  <c r="CJ35" i="5"/>
  <c r="CJ115" i="5"/>
  <c r="DW115" i="5"/>
  <c r="CM195" i="5"/>
  <c r="DX195" i="5"/>
  <c r="CJ119" i="5"/>
  <c r="DW119" i="5"/>
  <c r="CJ200" i="5"/>
  <c r="DW200" i="5"/>
  <c r="DW48" i="5"/>
  <c r="CJ48" i="5"/>
  <c r="DW54" i="5"/>
  <c r="CJ54" i="5"/>
  <c r="DW66" i="5"/>
  <c r="CJ66" i="5"/>
  <c r="DW29" i="5"/>
  <c r="CJ29" i="5"/>
  <c r="DW76" i="5"/>
  <c r="CJ76" i="5"/>
  <c r="DW46" i="5"/>
  <c r="CJ46" i="5"/>
  <c r="CJ129" i="5"/>
  <c r="DW129" i="5"/>
  <c r="CJ145" i="5"/>
  <c r="DW145" i="5"/>
  <c r="DW61" i="5"/>
  <c r="CJ61" i="5"/>
  <c r="DW80" i="5"/>
  <c r="CJ80" i="5"/>
  <c r="DW21" i="5"/>
  <c r="CJ21" i="5"/>
  <c r="DW81" i="5"/>
  <c r="CJ81" i="5"/>
  <c r="DW70" i="5"/>
  <c r="CJ70" i="5"/>
  <c r="DW39" i="5"/>
  <c r="CJ39" i="5"/>
  <c r="DW75" i="5"/>
  <c r="CJ75" i="5"/>
  <c r="DW72" i="5"/>
  <c r="CJ72" i="5"/>
  <c r="DW20" i="5"/>
  <c r="CJ20" i="5"/>
  <c r="DW57" i="5"/>
  <c r="CJ57" i="5"/>
  <c r="DW58" i="5"/>
  <c r="CJ58" i="5"/>
  <c r="DW16" i="5"/>
  <c r="CJ16" i="5"/>
  <c r="DW86" i="5"/>
  <c r="CJ86" i="5"/>
  <c r="DW17" i="5"/>
  <c r="CJ17" i="5"/>
  <c r="CM130" i="5"/>
  <c r="DX130" i="5"/>
  <c r="DW167" i="5"/>
  <c r="CJ167" i="5"/>
  <c r="DW51" i="5"/>
  <c r="CJ51" i="5"/>
  <c r="CM189" i="5"/>
  <c r="DX189" i="5"/>
  <c r="DW82" i="5"/>
  <c r="CJ82" i="5"/>
  <c r="DW62" i="5"/>
  <c r="CJ62" i="5"/>
  <c r="DW59" i="5"/>
  <c r="CJ59" i="5"/>
  <c r="CJ98" i="5"/>
  <c r="DW98" i="5"/>
  <c r="CJ148" i="5"/>
  <c r="DW148" i="5"/>
  <c r="DW40" i="5"/>
  <c r="CJ40" i="5"/>
  <c r="CJ113" i="5"/>
  <c r="DW113" i="5"/>
  <c r="DW116" i="5"/>
  <c r="CJ116" i="5"/>
  <c r="CM194" i="5"/>
  <c r="DX194" i="5"/>
  <c r="CJ151" i="5"/>
  <c r="DW151" i="5"/>
  <c r="CJ88" i="5"/>
  <c r="DW88" i="5"/>
  <c r="DW37" i="5"/>
  <c r="CJ37" i="5"/>
  <c r="DW50" i="5"/>
  <c r="CJ50" i="5"/>
  <c r="DW60" i="5"/>
  <c r="CJ60" i="5"/>
  <c r="DW19" i="5"/>
  <c r="CJ19" i="5"/>
  <c r="DW5" i="5"/>
  <c r="CJ5" i="5"/>
  <c r="DW65" i="5"/>
  <c r="CJ65" i="5"/>
  <c r="DW64" i="5"/>
  <c r="CJ64" i="5"/>
  <c r="DW26" i="5"/>
  <c r="CJ26" i="5"/>
  <c r="DW83" i="5"/>
  <c r="CJ83" i="5"/>
  <c r="DW79" i="5"/>
  <c r="CJ79" i="5"/>
  <c r="DW45" i="5"/>
  <c r="CJ45" i="5"/>
  <c r="DW87" i="5"/>
  <c r="CJ87" i="5"/>
  <c r="DW77" i="5"/>
  <c r="CJ77" i="5"/>
  <c r="DW4" i="5"/>
  <c r="CJ4" i="5"/>
  <c r="CJ108" i="5"/>
  <c r="DW108" i="5"/>
  <c r="DW38" i="5"/>
  <c r="CJ38" i="5"/>
  <c r="DW95" i="5"/>
  <c r="CJ95" i="5"/>
  <c r="DW12" i="5"/>
  <c r="CJ12" i="5"/>
  <c r="DW18" i="5"/>
  <c r="CJ18" i="5"/>
  <c r="DW28" i="5"/>
  <c r="CJ28" i="5"/>
  <c r="DW9" i="5"/>
  <c r="CJ9" i="5"/>
  <c r="CJ111" i="5"/>
  <c r="DW111" i="5"/>
  <c r="DX104" i="5"/>
  <c r="CM104" i="5"/>
  <c r="CJ131" i="5"/>
  <c r="DW131" i="5"/>
  <c r="CJ96" i="5"/>
  <c r="DW96" i="5"/>
  <c r="DW197" i="5"/>
  <c r="CJ197" i="5"/>
  <c r="DX188" i="5"/>
  <c r="CM188" i="5"/>
  <c r="DW114" i="5"/>
  <c r="CJ114" i="5"/>
  <c r="DX192" i="5"/>
  <c r="CM192" i="5"/>
  <c r="CJ139" i="5"/>
  <c r="DW139" i="5"/>
  <c r="DW191" i="5"/>
  <c r="CJ191" i="5"/>
  <c r="CM146" i="5"/>
  <c r="DX146" i="5"/>
  <c r="DW63" i="5"/>
  <c r="CJ63" i="5"/>
  <c r="DW53" i="5"/>
  <c r="CJ53" i="5"/>
  <c r="DW30" i="5"/>
  <c r="CJ30" i="5"/>
  <c r="DW25" i="5"/>
  <c r="CJ25" i="5"/>
  <c r="DW34" i="5"/>
  <c r="CJ34" i="5"/>
  <c r="DW173" i="5"/>
  <c r="CJ173" i="5"/>
  <c r="DW52" i="5"/>
  <c r="CJ52" i="5"/>
  <c r="DW33" i="5"/>
  <c r="CJ33" i="5"/>
  <c r="DW22" i="5"/>
  <c r="CJ22" i="5"/>
  <c r="DW13" i="5"/>
  <c r="CJ13" i="5"/>
  <c r="DZ154" i="5"/>
  <c r="CS154" i="5"/>
  <c r="DW42" i="5"/>
  <c r="CJ42" i="5"/>
  <c r="CM117" i="5"/>
  <c r="DX117" i="5"/>
  <c r="DW67" i="5"/>
  <c r="CJ67" i="5"/>
  <c r="DW15" i="5"/>
  <c r="CJ15" i="5"/>
  <c r="DW69" i="5"/>
  <c r="CJ69" i="5"/>
  <c r="DW78" i="5"/>
  <c r="CJ78" i="5"/>
  <c r="DW84" i="5"/>
  <c r="CJ84" i="5"/>
  <c r="DW27" i="5"/>
  <c r="CJ27" i="5"/>
  <c r="CJ149" i="5"/>
  <c r="DW149" i="5"/>
  <c r="DW120" i="5"/>
  <c r="CJ120" i="5"/>
  <c r="DW24" i="5"/>
  <c r="CJ24" i="5"/>
  <c r="DW85" i="5"/>
  <c r="CJ85" i="5"/>
  <c r="DW31" i="5"/>
  <c r="CJ31" i="5"/>
  <c r="DW68" i="5"/>
  <c r="CJ68" i="5"/>
  <c r="CJ91" i="5"/>
  <c r="DW91" i="5"/>
  <c r="CJ190" i="5"/>
  <c r="DW190" i="5"/>
  <c r="CJ153" i="5"/>
  <c r="DW153" i="5"/>
  <c r="CM196" i="5"/>
  <c r="DX196" i="5"/>
  <c r="DX198" i="5"/>
  <c r="CM198" i="5"/>
  <c r="B3" i="5"/>
  <c r="H202" i="3"/>
  <c r="L202" i="3" s="1"/>
  <c r="P202" i="3" s="1"/>
  <c r="T202" i="3" s="1"/>
  <c r="X202" i="3" s="1"/>
  <c r="AB202" i="3" s="1"/>
  <c r="AF202" i="3" s="1"/>
  <c r="AJ202" i="3" s="1"/>
  <c r="A202" i="3"/>
  <c r="H201" i="3"/>
  <c r="L201" i="3" s="1"/>
  <c r="P201" i="3" s="1"/>
  <c r="T201" i="3" s="1"/>
  <c r="X201" i="3" s="1"/>
  <c r="AB201" i="3" s="1"/>
  <c r="AF201" i="3" s="1"/>
  <c r="AJ201" i="3" s="1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H187" i="3"/>
  <c r="A187" i="3"/>
  <c r="H186" i="3"/>
  <c r="L186" i="3" s="1"/>
  <c r="P186" i="3" s="1"/>
  <c r="T186" i="3" s="1"/>
  <c r="X186" i="3" s="1"/>
  <c r="AB186" i="3" s="1"/>
  <c r="AF186" i="3" s="1"/>
  <c r="AJ186" i="3" s="1"/>
  <c r="A186" i="3"/>
  <c r="H185" i="3"/>
  <c r="L185" i="3" s="1"/>
  <c r="P185" i="3" s="1"/>
  <c r="T185" i="3" s="1"/>
  <c r="X185" i="3" s="1"/>
  <c r="AB185" i="3" s="1"/>
  <c r="AF185" i="3" s="1"/>
  <c r="AJ185" i="3" s="1"/>
  <c r="A185" i="3"/>
  <c r="H184" i="3"/>
  <c r="L184" i="3" s="1"/>
  <c r="P184" i="3" s="1"/>
  <c r="T184" i="3" s="1"/>
  <c r="X184" i="3" s="1"/>
  <c r="AB184" i="3" s="1"/>
  <c r="AF184" i="3" s="1"/>
  <c r="AJ184" i="3" s="1"/>
  <c r="A184" i="3"/>
  <c r="H183" i="3"/>
  <c r="L183" i="3" s="1"/>
  <c r="P183" i="3" s="1"/>
  <c r="T183" i="3" s="1"/>
  <c r="X183" i="3" s="1"/>
  <c r="AB183" i="3" s="1"/>
  <c r="AF183" i="3" s="1"/>
  <c r="AJ183" i="3" s="1"/>
  <c r="A183" i="3"/>
  <c r="H182" i="3"/>
  <c r="L182" i="3" s="1"/>
  <c r="P182" i="3" s="1"/>
  <c r="T182" i="3" s="1"/>
  <c r="X182" i="3" s="1"/>
  <c r="AB182" i="3" s="1"/>
  <c r="AF182" i="3" s="1"/>
  <c r="AJ182" i="3" s="1"/>
  <c r="A182" i="3"/>
  <c r="H181" i="3"/>
  <c r="L181" i="3" s="1"/>
  <c r="P181" i="3" s="1"/>
  <c r="T181" i="3" s="1"/>
  <c r="X181" i="3" s="1"/>
  <c r="AB181" i="3" s="1"/>
  <c r="AF181" i="3" s="1"/>
  <c r="AJ181" i="3" s="1"/>
  <c r="A181" i="3"/>
  <c r="H180" i="3"/>
  <c r="L180" i="3" s="1"/>
  <c r="P180" i="3" s="1"/>
  <c r="T180" i="3" s="1"/>
  <c r="X180" i="3" s="1"/>
  <c r="AB180" i="3" s="1"/>
  <c r="AF180" i="3" s="1"/>
  <c r="AJ180" i="3" s="1"/>
  <c r="A180" i="3"/>
  <c r="H179" i="3"/>
  <c r="L179" i="3" s="1"/>
  <c r="P179" i="3" s="1"/>
  <c r="T179" i="3" s="1"/>
  <c r="X179" i="3" s="1"/>
  <c r="AB179" i="3" s="1"/>
  <c r="AF179" i="3" s="1"/>
  <c r="AJ179" i="3" s="1"/>
  <c r="A179" i="3"/>
  <c r="H178" i="3"/>
  <c r="L178" i="3" s="1"/>
  <c r="P178" i="3" s="1"/>
  <c r="T178" i="3" s="1"/>
  <c r="X178" i="3" s="1"/>
  <c r="AB178" i="3" s="1"/>
  <c r="AF178" i="3" s="1"/>
  <c r="AJ178" i="3" s="1"/>
  <c r="A178" i="3"/>
  <c r="H177" i="3"/>
  <c r="L177" i="3" s="1"/>
  <c r="P177" i="3" s="1"/>
  <c r="T177" i="3" s="1"/>
  <c r="X177" i="3" s="1"/>
  <c r="AB177" i="3" s="1"/>
  <c r="AF177" i="3" s="1"/>
  <c r="AJ177" i="3" s="1"/>
  <c r="A177" i="3"/>
  <c r="H176" i="3"/>
  <c r="L176" i="3" s="1"/>
  <c r="P176" i="3" s="1"/>
  <c r="T176" i="3" s="1"/>
  <c r="X176" i="3" s="1"/>
  <c r="AB176" i="3" s="1"/>
  <c r="AF176" i="3" s="1"/>
  <c r="AJ176" i="3" s="1"/>
  <c r="A176" i="3"/>
  <c r="H175" i="3"/>
  <c r="L175" i="3" s="1"/>
  <c r="P175" i="3" s="1"/>
  <c r="T175" i="3" s="1"/>
  <c r="X175" i="3" s="1"/>
  <c r="AB175" i="3" s="1"/>
  <c r="AF175" i="3" s="1"/>
  <c r="AJ175" i="3" s="1"/>
  <c r="A175" i="3"/>
  <c r="H174" i="3"/>
  <c r="A174" i="3"/>
  <c r="H173" i="3"/>
  <c r="L173" i="3" s="1"/>
  <c r="P173" i="3" s="1"/>
  <c r="T173" i="3" s="1"/>
  <c r="X173" i="3" s="1"/>
  <c r="AB173" i="3" s="1"/>
  <c r="AF173" i="3" s="1"/>
  <c r="AJ173" i="3" s="1"/>
  <c r="A173" i="3"/>
  <c r="H172" i="3"/>
  <c r="L172" i="3" s="1"/>
  <c r="P172" i="3" s="1"/>
  <c r="T172" i="3" s="1"/>
  <c r="X172" i="3" s="1"/>
  <c r="AB172" i="3" s="1"/>
  <c r="AF172" i="3" s="1"/>
  <c r="AJ172" i="3" s="1"/>
  <c r="A172" i="3"/>
  <c r="H171" i="3"/>
  <c r="L171" i="3" s="1"/>
  <c r="P171" i="3" s="1"/>
  <c r="T171" i="3" s="1"/>
  <c r="X171" i="3" s="1"/>
  <c r="AB171" i="3" s="1"/>
  <c r="AF171" i="3" s="1"/>
  <c r="AJ171" i="3" s="1"/>
  <c r="A171" i="3"/>
  <c r="H170" i="3"/>
  <c r="L170" i="3" s="1"/>
  <c r="P170" i="3" s="1"/>
  <c r="T170" i="3" s="1"/>
  <c r="X170" i="3" s="1"/>
  <c r="AB170" i="3" s="1"/>
  <c r="AF170" i="3" s="1"/>
  <c r="AJ170" i="3" s="1"/>
  <c r="A170" i="3"/>
  <c r="H169" i="3"/>
  <c r="L169" i="3" s="1"/>
  <c r="P169" i="3" s="1"/>
  <c r="T169" i="3" s="1"/>
  <c r="X169" i="3" s="1"/>
  <c r="AB169" i="3" s="1"/>
  <c r="AF169" i="3" s="1"/>
  <c r="AJ169" i="3" s="1"/>
  <c r="A169" i="3"/>
  <c r="H168" i="3"/>
  <c r="L168" i="3" s="1"/>
  <c r="P168" i="3" s="1"/>
  <c r="T168" i="3" s="1"/>
  <c r="X168" i="3" s="1"/>
  <c r="AB168" i="3" s="1"/>
  <c r="AF168" i="3" s="1"/>
  <c r="AJ168" i="3" s="1"/>
  <c r="A168" i="3"/>
  <c r="H167" i="3"/>
  <c r="L167" i="3" s="1"/>
  <c r="P167" i="3" s="1"/>
  <c r="T167" i="3" s="1"/>
  <c r="X167" i="3" s="1"/>
  <c r="AB167" i="3" s="1"/>
  <c r="AF167" i="3" s="1"/>
  <c r="AJ167" i="3" s="1"/>
  <c r="A167" i="3"/>
  <c r="H166" i="3"/>
  <c r="L166" i="3" s="1"/>
  <c r="P166" i="3" s="1"/>
  <c r="T166" i="3" s="1"/>
  <c r="X166" i="3" s="1"/>
  <c r="AB166" i="3" s="1"/>
  <c r="AF166" i="3" s="1"/>
  <c r="AJ166" i="3" s="1"/>
  <c r="A166" i="3"/>
  <c r="H165" i="3"/>
  <c r="L165" i="3" s="1"/>
  <c r="P165" i="3" s="1"/>
  <c r="T165" i="3" s="1"/>
  <c r="X165" i="3" s="1"/>
  <c r="AB165" i="3" s="1"/>
  <c r="AF165" i="3" s="1"/>
  <c r="AJ165" i="3" s="1"/>
  <c r="A165" i="3"/>
  <c r="H164" i="3"/>
  <c r="L164" i="3" s="1"/>
  <c r="P164" i="3" s="1"/>
  <c r="T164" i="3" s="1"/>
  <c r="X164" i="3" s="1"/>
  <c r="AB164" i="3" s="1"/>
  <c r="AF164" i="3" s="1"/>
  <c r="AJ164" i="3" s="1"/>
  <c r="A164" i="3"/>
  <c r="H163" i="3"/>
  <c r="L163" i="3" s="1"/>
  <c r="P163" i="3" s="1"/>
  <c r="T163" i="3" s="1"/>
  <c r="X163" i="3" s="1"/>
  <c r="AB163" i="3" s="1"/>
  <c r="AF163" i="3" s="1"/>
  <c r="AJ163" i="3" s="1"/>
  <c r="A163" i="3"/>
  <c r="H162" i="3"/>
  <c r="L162" i="3" s="1"/>
  <c r="P162" i="3" s="1"/>
  <c r="T162" i="3" s="1"/>
  <c r="X162" i="3" s="1"/>
  <c r="AB162" i="3" s="1"/>
  <c r="AF162" i="3" s="1"/>
  <c r="AJ162" i="3" s="1"/>
  <c r="A162" i="3"/>
  <c r="H161" i="3"/>
  <c r="L161" i="3" s="1"/>
  <c r="P161" i="3" s="1"/>
  <c r="T161" i="3" s="1"/>
  <c r="X161" i="3" s="1"/>
  <c r="AB161" i="3" s="1"/>
  <c r="AF161" i="3" s="1"/>
  <c r="AJ161" i="3" s="1"/>
  <c r="A161" i="3"/>
  <c r="H160" i="3"/>
  <c r="L160" i="3" s="1"/>
  <c r="P160" i="3" s="1"/>
  <c r="T160" i="3" s="1"/>
  <c r="X160" i="3" s="1"/>
  <c r="AB160" i="3" s="1"/>
  <c r="AF160" i="3" s="1"/>
  <c r="AJ160" i="3" s="1"/>
  <c r="A160" i="3"/>
  <c r="H159" i="3"/>
  <c r="L159" i="3" s="1"/>
  <c r="P159" i="3" s="1"/>
  <c r="T159" i="3" s="1"/>
  <c r="X159" i="3" s="1"/>
  <c r="AB159" i="3" s="1"/>
  <c r="AF159" i="3" s="1"/>
  <c r="AJ159" i="3" s="1"/>
  <c r="A159" i="3"/>
  <c r="H158" i="3"/>
  <c r="L158" i="3" s="1"/>
  <c r="P158" i="3" s="1"/>
  <c r="T158" i="3" s="1"/>
  <c r="X158" i="3" s="1"/>
  <c r="AB158" i="3" s="1"/>
  <c r="AF158" i="3" s="1"/>
  <c r="AJ158" i="3" s="1"/>
  <c r="A158" i="3"/>
  <c r="H157" i="3"/>
  <c r="L157" i="3" s="1"/>
  <c r="P157" i="3" s="1"/>
  <c r="T157" i="3" s="1"/>
  <c r="X157" i="3" s="1"/>
  <c r="AB157" i="3" s="1"/>
  <c r="AF157" i="3" s="1"/>
  <c r="AJ157" i="3" s="1"/>
  <c r="A157" i="3"/>
  <c r="H156" i="3"/>
  <c r="L156" i="3" s="1"/>
  <c r="P156" i="3" s="1"/>
  <c r="T156" i="3" s="1"/>
  <c r="X156" i="3" s="1"/>
  <c r="AB156" i="3" s="1"/>
  <c r="AF156" i="3" s="1"/>
  <c r="AJ156" i="3" s="1"/>
  <c r="A156" i="3"/>
  <c r="H155" i="3"/>
  <c r="L155" i="3" s="1"/>
  <c r="P155" i="3" s="1"/>
  <c r="T155" i="3" s="1"/>
  <c r="X155" i="3" s="1"/>
  <c r="AB155" i="3" s="1"/>
  <c r="AF155" i="3" s="1"/>
  <c r="AJ155" i="3" s="1"/>
  <c r="A155" i="3"/>
  <c r="H154" i="3"/>
  <c r="A154" i="3"/>
  <c r="H153" i="3"/>
  <c r="A153" i="3"/>
  <c r="H152" i="3"/>
  <c r="L152" i="3" s="1"/>
  <c r="P152" i="3" s="1"/>
  <c r="T152" i="3" s="1"/>
  <c r="X152" i="3" s="1"/>
  <c r="AB152" i="3" s="1"/>
  <c r="AF152" i="3" s="1"/>
  <c r="AJ152" i="3" s="1"/>
  <c r="A152" i="3"/>
  <c r="H151" i="3"/>
  <c r="L151" i="3" s="1"/>
  <c r="P151" i="3" s="1"/>
  <c r="T151" i="3" s="1"/>
  <c r="X151" i="3" s="1"/>
  <c r="AB151" i="3" s="1"/>
  <c r="AF151" i="3" s="1"/>
  <c r="AJ151" i="3" s="1"/>
  <c r="A151" i="3"/>
  <c r="H150" i="3"/>
  <c r="A150" i="3"/>
  <c r="H149" i="3"/>
  <c r="L149" i="3" s="1"/>
  <c r="P149" i="3" s="1"/>
  <c r="T149" i="3" s="1"/>
  <c r="X149" i="3" s="1"/>
  <c r="AB149" i="3" s="1"/>
  <c r="AF149" i="3" s="1"/>
  <c r="AJ149" i="3" s="1"/>
  <c r="A149" i="3"/>
  <c r="H148" i="3"/>
  <c r="A148" i="3"/>
  <c r="H147" i="3"/>
  <c r="A147" i="3"/>
  <c r="H146" i="3"/>
  <c r="L146" i="3" s="1"/>
  <c r="P146" i="3" s="1"/>
  <c r="T146" i="3" s="1"/>
  <c r="X146" i="3" s="1"/>
  <c r="AB146" i="3" s="1"/>
  <c r="AF146" i="3" s="1"/>
  <c r="AJ146" i="3" s="1"/>
  <c r="A146" i="3"/>
  <c r="H145" i="3"/>
  <c r="L145" i="3" s="1"/>
  <c r="P145" i="3" s="1"/>
  <c r="T145" i="3" s="1"/>
  <c r="X145" i="3" s="1"/>
  <c r="AB145" i="3" s="1"/>
  <c r="AF145" i="3" s="1"/>
  <c r="AJ145" i="3" s="1"/>
  <c r="A145" i="3"/>
  <c r="H144" i="3"/>
  <c r="L144" i="3" s="1"/>
  <c r="P144" i="3" s="1"/>
  <c r="T144" i="3" s="1"/>
  <c r="X144" i="3" s="1"/>
  <c r="AB144" i="3" s="1"/>
  <c r="AF144" i="3" s="1"/>
  <c r="AJ144" i="3" s="1"/>
  <c r="A144" i="3"/>
  <c r="H143" i="3"/>
  <c r="L143" i="3" s="1"/>
  <c r="P143" i="3" s="1"/>
  <c r="T143" i="3" s="1"/>
  <c r="X143" i="3" s="1"/>
  <c r="AB143" i="3" s="1"/>
  <c r="AF143" i="3" s="1"/>
  <c r="AJ143" i="3" s="1"/>
  <c r="A143" i="3"/>
  <c r="H142" i="3"/>
  <c r="L142" i="3" s="1"/>
  <c r="P142" i="3" s="1"/>
  <c r="T142" i="3" s="1"/>
  <c r="X142" i="3" s="1"/>
  <c r="AB142" i="3" s="1"/>
  <c r="AF142" i="3" s="1"/>
  <c r="AJ142" i="3" s="1"/>
  <c r="A142" i="3"/>
  <c r="H141" i="3"/>
  <c r="L141" i="3" s="1"/>
  <c r="P141" i="3" s="1"/>
  <c r="T141" i="3" s="1"/>
  <c r="X141" i="3" s="1"/>
  <c r="AB141" i="3" s="1"/>
  <c r="AF141" i="3" s="1"/>
  <c r="AJ141" i="3" s="1"/>
  <c r="A141" i="3"/>
  <c r="H140" i="3"/>
  <c r="A140" i="3"/>
  <c r="H139" i="3"/>
  <c r="L139" i="3" s="1"/>
  <c r="P139" i="3" s="1"/>
  <c r="T139" i="3" s="1"/>
  <c r="X139" i="3" s="1"/>
  <c r="AB139" i="3" s="1"/>
  <c r="AF139" i="3" s="1"/>
  <c r="AJ139" i="3" s="1"/>
  <c r="A139" i="3"/>
  <c r="H138" i="3"/>
  <c r="L138" i="3" s="1"/>
  <c r="P138" i="3" s="1"/>
  <c r="T138" i="3" s="1"/>
  <c r="X138" i="3" s="1"/>
  <c r="AB138" i="3" s="1"/>
  <c r="AF138" i="3" s="1"/>
  <c r="AJ138" i="3" s="1"/>
  <c r="A138" i="3"/>
  <c r="H137" i="3"/>
  <c r="L137" i="3" s="1"/>
  <c r="P137" i="3" s="1"/>
  <c r="T137" i="3" s="1"/>
  <c r="X137" i="3" s="1"/>
  <c r="AB137" i="3" s="1"/>
  <c r="AF137" i="3" s="1"/>
  <c r="AJ137" i="3" s="1"/>
  <c r="A137" i="3"/>
  <c r="H136" i="3"/>
  <c r="L136" i="3" s="1"/>
  <c r="P136" i="3" s="1"/>
  <c r="T136" i="3" s="1"/>
  <c r="X136" i="3" s="1"/>
  <c r="AB136" i="3" s="1"/>
  <c r="AF136" i="3" s="1"/>
  <c r="AJ136" i="3" s="1"/>
  <c r="A136" i="3"/>
  <c r="H135" i="3"/>
  <c r="L135" i="3" s="1"/>
  <c r="P135" i="3" s="1"/>
  <c r="T135" i="3" s="1"/>
  <c r="X135" i="3" s="1"/>
  <c r="AB135" i="3" s="1"/>
  <c r="AF135" i="3" s="1"/>
  <c r="AJ135" i="3" s="1"/>
  <c r="A135" i="3"/>
  <c r="H134" i="3"/>
  <c r="L134" i="3" s="1"/>
  <c r="P134" i="3" s="1"/>
  <c r="T134" i="3" s="1"/>
  <c r="X134" i="3" s="1"/>
  <c r="AB134" i="3" s="1"/>
  <c r="AF134" i="3" s="1"/>
  <c r="AJ134" i="3" s="1"/>
  <c r="A134" i="3"/>
  <c r="H133" i="3"/>
  <c r="A133" i="3"/>
  <c r="H132" i="3"/>
  <c r="L132" i="3" s="1"/>
  <c r="P132" i="3" s="1"/>
  <c r="T132" i="3" s="1"/>
  <c r="X132" i="3" s="1"/>
  <c r="AB132" i="3" s="1"/>
  <c r="AF132" i="3" s="1"/>
  <c r="AJ132" i="3" s="1"/>
  <c r="A132" i="3"/>
  <c r="H131" i="3"/>
  <c r="L131" i="3" s="1"/>
  <c r="P131" i="3" s="1"/>
  <c r="T131" i="3" s="1"/>
  <c r="X131" i="3" s="1"/>
  <c r="AB131" i="3" s="1"/>
  <c r="AF131" i="3" s="1"/>
  <c r="AJ131" i="3" s="1"/>
  <c r="A131" i="3"/>
  <c r="H130" i="3"/>
  <c r="L130" i="3" s="1"/>
  <c r="P130" i="3" s="1"/>
  <c r="T130" i="3" s="1"/>
  <c r="X130" i="3" s="1"/>
  <c r="AB130" i="3" s="1"/>
  <c r="AF130" i="3" s="1"/>
  <c r="AJ130" i="3" s="1"/>
  <c r="A130" i="3"/>
  <c r="H129" i="3"/>
  <c r="L129" i="3" s="1"/>
  <c r="P129" i="3" s="1"/>
  <c r="T129" i="3" s="1"/>
  <c r="X129" i="3" s="1"/>
  <c r="AB129" i="3" s="1"/>
  <c r="AF129" i="3" s="1"/>
  <c r="AJ129" i="3" s="1"/>
  <c r="A129" i="3"/>
  <c r="H128" i="3"/>
  <c r="L128" i="3" s="1"/>
  <c r="P128" i="3" s="1"/>
  <c r="T128" i="3" s="1"/>
  <c r="X128" i="3" s="1"/>
  <c r="AB128" i="3" s="1"/>
  <c r="AF128" i="3" s="1"/>
  <c r="AJ128" i="3" s="1"/>
  <c r="A128" i="3"/>
  <c r="H127" i="3"/>
  <c r="L127" i="3" s="1"/>
  <c r="P127" i="3" s="1"/>
  <c r="T127" i="3" s="1"/>
  <c r="X127" i="3" s="1"/>
  <c r="AB127" i="3" s="1"/>
  <c r="AF127" i="3" s="1"/>
  <c r="AJ127" i="3" s="1"/>
  <c r="A127" i="3"/>
  <c r="H126" i="3"/>
  <c r="L126" i="3" s="1"/>
  <c r="P126" i="3" s="1"/>
  <c r="T126" i="3" s="1"/>
  <c r="X126" i="3" s="1"/>
  <c r="AB126" i="3" s="1"/>
  <c r="AF126" i="3" s="1"/>
  <c r="AJ126" i="3" s="1"/>
  <c r="A126" i="3"/>
  <c r="H125" i="3"/>
  <c r="L125" i="3" s="1"/>
  <c r="P125" i="3" s="1"/>
  <c r="T125" i="3" s="1"/>
  <c r="X125" i="3" s="1"/>
  <c r="AB125" i="3" s="1"/>
  <c r="AF125" i="3" s="1"/>
  <c r="AJ125" i="3" s="1"/>
  <c r="A125" i="3"/>
  <c r="A124" i="3"/>
  <c r="H123" i="3"/>
  <c r="L123" i="3" s="1"/>
  <c r="P123" i="3" s="1"/>
  <c r="T123" i="3" s="1"/>
  <c r="X123" i="3" s="1"/>
  <c r="AB123" i="3" s="1"/>
  <c r="AF123" i="3" s="1"/>
  <c r="AJ123" i="3" s="1"/>
  <c r="A123" i="3"/>
  <c r="H122" i="3"/>
  <c r="L122" i="3" s="1"/>
  <c r="P122" i="3" s="1"/>
  <c r="T122" i="3" s="1"/>
  <c r="X122" i="3" s="1"/>
  <c r="AB122" i="3" s="1"/>
  <c r="AF122" i="3" s="1"/>
  <c r="AJ122" i="3" s="1"/>
  <c r="A122" i="3"/>
  <c r="H121" i="3"/>
  <c r="L121" i="3" s="1"/>
  <c r="P121" i="3" s="1"/>
  <c r="T121" i="3" s="1"/>
  <c r="X121" i="3" s="1"/>
  <c r="AB121" i="3" s="1"/>
  <c r="AF121" i="3" s="1"/>
  <c r="AJ121" i="3" s="1"/>
  <c r="A121" i="3"/>
  <c r="DZ120" i="3"/>
  <c r="A120" i="3"/>
  <c r="DZ119" i="3"/>
  <c r="A119" i="3"/>
  <c r="DZ118" i="3"/>
  <c r="A118" i="3"/>
  <c r="DZ117" i="3"/>
  <c r="A117" i="3"/>
  <c r="DZ116" i="3"/>
  <c r="A116" i="3"/>
  <c r="DZ115" i="3"/>
  <c r="A115" i="3"/>
  <c r="DZ114" i="3"/>
  <c r="A114" i="3"/>
  <c r="DZ113" i="3"/>
  <c r="A113" i="3"/>
  <c r="DZ112" i="3"/>
  <c r="A112" i="3"/>
  <c r="DZ111" i="3"/>
  <c r="A111" i="3"/>
  <c r="DZ110" i="3"/>
  <c r="A110" i="3"/>
  <c r="DZ109" i="3"/>
  <c r="A109" i="3"/>
  <c r="DZ108" i="3"/>
  <c r="A108" i="3"/>
  <c r="DZ107" i="3"/>
  <c r="A107" i="3"/>
  <c r="DZ106" i="3"/>
  <c r="A106" i="3"/>
  <c r="DZ105" i="3"/>
  <c r="A105" i="3"/>
  <c r="DZ104" i="3"/>
  <c r="A104" i="3"/>
  <c r="DZ103" i="3"/>
  <c r="A103" i="3"/>
  <c r="A102" i="3"/>
  <c r="A101" i="3"/>
  <c r="DZ100" i="3"/>
  <c r="A100" i="3"/>
  <c r="DZ99" i="3"/>
  <c r="A99" i="3"/>
  <c r="DZ98" i="3"/>
  <c r="A98" i="3"/>
  <c r="A97" i="3"/>
  <c r="DZ96" i="3"/>
  <c r="A96" i="3"/>
  <c r="DZ95" i="3"/>
  <c r="A95" i="3"/>
  <c r="DZ94" i="3"/>
  <c r="A94" i="3"/>
  <c r="DZ93" i="3"/>
  <c r="A93" i="3"/>
  <c r="DZ92" i="3"/>
  <c r="A92" i="3"/>
  <c r="DZ91" i="3"/>
  <c r="A91" i="3"/>
  <c r="A90" i="3"/>
  <c r="DZ89" i="3"/>
  <c r="A89" i="3"/>
  <c r="DZ88" i="3"/>
  <c r="A88" i="3"/>
  <c r="DZ87" i="3"/>
  <c r="A87" i="3"/>
  <c r="DZ86" i="3"/>
  <c r="A86" i="3"/>
  <c r="DZ85" i="3"/>
  <c r="A85" i="3"/>
  <c r="DZ84" i="3"/>
  <c r="A84" i="3"/>
  <c r="DZ83" i="3"/>
  <c r="A83" i="3"/>
  <c r="DZ82" i="3"/>
  <c r="A82" i="3"/>
  <c r="DZ81" i="3"/>
  <c r="A81" i="3"/>
  <c r="DZ80" i="3"/>
  <c r="A80" i="3"/>
  <c r="DZ79" i="3"/>
  <c r="A79" i="3"/>
  <c r="DZ78" i="3"/>
  <c r="A78" i="3"/>
  <c r="DZ77" i="3"/>
  <c r="A77" i="3"/>
  <c r="DZ76" i="3"/>
  <c r="A76" i="3"/>
  <c r="DZ75" i="3"/>
  <c r="A75" i="3"/>
  <c r="DZ74" i="3"/>
  <c r="A74" i="3"/>
  <c r="DZ73" i="3"/>
  <c r="A73" i="3"/>
  <c r="DZ72" i="3"/>
  <c r="A72" i="3"/>
  <c r="DZ71" i="3"/>
  <c r="A71" i="3"/>
  <c r="DZ70" i="3"/>
  <c r="A70" i="3"/>
  <c r="DZ69" i="3"/>
  <c r="A69" i="3"/>
  <c r="DZ68" i="3"/>
  <c r="A68" i="3"/>
  <c r="DZ67" i="3"/>
  <c r="A67" i="3"/>
  <c r="DZ66" i="3"/>
  <c r="A66" i="3"/>
  <c r="DZ65" i="3"/>
  <c r="A65" i="3"/>
  <c r="DZ64" i="3"/>
  <c r="A64" i="3"/>
  <c r="DZ63" i="3"/>
  <c r="A63" i="3"/>
  <c r="DZ62" i="3"/>
  <c r="A62" i="3"/>
  <c r="DZ61" i="3"/>
  <c r="A61" i="3"/>
  <c r="DZ60" i="3"/>
  <c r="A60" i="3"/>
  <c r="DZ59" i="3"/>
  <c r="A59" i="3"/>
  <c r="DZ58" i="3"/>
  <c r="A58" i="3"/>
  <c r="DZ57" i="3"/>
  <c r="A57" i="3"/>
  <c r="DZ56" i="3"/>
  <c r="A56" i="3"/>
  <c r="DZ55" i="3"/>
  <c r="A55" i="3"/>
  <c r="DZ54" i="3"/>
  <c r="A54" i="3"/>
  <c r="DZ53" i="3"/>
  <c r="A53" i="3"/>
  <c r="DZ52" i="3"/>
  <c r="A52" i="3"/>
  <c r="DZ51" i="3"/>
  <c r="A51" i="3"/>
  <c r="DZ50" i="3"/>
  <c r="A50" i="3"/>
  <c r="DZ49" i="3"/>
  <c r="A49" i="3"/>
  <c r="DZ48" i="3"/>
  <c r="A48" i="3"/>
  <c r="DZ47" i="3"/>
  <c r="A47" i="3"/>
  <c r="DZ46" i="3"/>
  <c r="A46" i="3"/>
  <c r="DZ45" i="3"/>
  <c r="A45" i="3"/>
  <c r="A44" i="3"/>
  <c r="DZ43" i="3"/>
  <c r="A43" i="3"/>
  <c r="DZ42" i="3"/>
  <c r="A42" i="3"/>
  <c r="DZ41" i="3"/>
  <c r="A41" i="3"/>
  <c r="DZ40" i="3"/>
  <c r="A40" i="3"/>
  <c r="DZ39" i="3"/>
  <c r="A39" i="3"/>
  <c r="DZ38" i="3"/>
  <c r="A38" i="3"/>
  <c r="DZ37" i="3"/>
  <c r="A37" i="3"/>
  <c r="DZ36" i="3"/>
  <c r="A36" i="3"/>
  <c r="DZ35" i="3"/>
  <c r="A35" i="3"/>
  <c r="DZ34" i="3"/>
  <c r="A34" i="3"/>
  <c r="DZ33" i="3"/>
  <c r="A33" i="3"/>
  <c r="DZ32" i="3"/>
  <c r="A32" i="3"/>
  <c r="A31" i="3"/>
  <c r="DZ30" i="3"/>
  <c r="A30" i="3"/>
  <c r="A29" i="3"/>
  <c r="DZ28" i="3"/>
  <c r="A28" i="3"/>
  <c r="DZ27" i="3"/>
  <c r="A27" i="3"/>
  <c r="A26" i="3"/>
  <c r="DZ25" i="3"/>
  <c r="A25" i="3"/>
  <c r="DZ24" i="3"/>
  <c r="A24" i="3"/>
  <c r="DZ23" i="3"/>
  <c r="A23" i="3"/>
  <c r="DZ22" i="3"/>
  <c r="A22" i="3"/>
  <c r="DZ21" i="3"/>
  <c r="A21" i="3"/>
  <c r="DZ20" i="3"/>
  <c r="A20" i="3"/>
  <c r="A19" i="3"/>
  <c r="DZ18" i="3"/>
  <c r="A18" i="3"/>
  <c r="DZ17" i="3"/>
  <c r="A17" i="3"/>
  <c r="DZ16" i="3"/>
  <c r="A16" i="3"/>
  <c r="DZ15" i="3"/>
  <c r="A15" i="3"/>
  <c r="DZ14" i="3"/>
  <c r="A14" i="3"/>
  <c r="DZ13" i="3"/>
  <c r="A13" i="3"/>
  <c r="DZ12" i="3"/>
  <c r="A12" i="3"/>
  <c r="DZ11" i="3"/>
  <c r="A11" i="3"/>
  <c r="A10" i="3"/>
  <c r="DZ9" i="3"/>
  <c r="A9" i="3"/>
  <c r="A8" i="3"/>
  <c r="DZ7" i="3"/>
  <c r="A7" i="3"/>
  <c r="DZ6" i="3"/>
  <c r="A6" i="3"/>
  <c r="DZ5" i="3"/>
  <c r="A5" i="3"/>
  <c r="DZ4" i="3"/>
  <c r="A4" i="3"/>
  <c r="DU3" i="3"/>
  <c r="DQ3" i="3"/>
  <c r="DM3" i="3"/>
  <c r="DE3" i="3"/>
  <c r="DA3" i="3"/>
  <c r="CW3" i="3"/>
  <c r="CS3" i="3"/>
  <c r="CO3" i="3"/>
  <c r="CK3" i="3"/>
  <c r="CC3" i="3"/>
  <c r="BY3" i="3"/>
  <c r="BU3" i="3"/>
  <c r="BQ3" i="3"/>
  <c r="BM3" i="3"/>
  <c r="BE3" i="3"/>
  <c r="AW3" i="3"/>
  <c r="AS3" i="3"/>
  <c r="AG3" i="3"/>
  <c r="Y3" i="3"/>
  <c r="U3" i="3"/>
  <c r="Q3" i="3"/>
  <c r="M3" i="3"/>
  <c r="C3" i="3"/>
  <c r="B3" i="3"/>
  <c r="A3" i="3"/>
  <c r="H202" i="2"/>
  <c r="A202" i="2"/>
  <c r="H201" i="2"/>
  <c r="EB201" i="2" s="1"/>
  <c r="A201" i="2"/>
  <c r="H200" i="2"/>
  <c r="EB200" i="2" s="1"/>
  <c r="A200" i="2"/>
  <c r="H199" i="2"/>
  <c r="A199" i="2"/>
  <c r="H198" i="2"/>
  <c r="A198" i="2"/>
  <c r="H197" i="2"/>
  <c r="L197" i="2" s="1"/>
  <c r="EC197" i="2" s="1"/>
  <c r="A197" i="2"/>
  <c r="H196" i="2"/>
  <c r="L196" i="2" s="1"/>
  <c r="A196" i="2"/>
  <c r="H195" i="2"/>
  <c r="EB195" i="2" s="1"/>
  <c r="A195" i="2"/>
  <c r="H194" i="2"/>
  <c r="A194" i="2"/>
  <c r="A193" i="2"/>
  <c r="H192" i="2"/>
  <c r="EB192" i="2" s="1"/>
  <c r="A192" i="2"/>
  <c r="H191" i="2"/>
  <c r="EB191" i="2" s="1"/>
  <c r="A191" i="2"/>
  <c r="H190" i="2"/>
  <c r="A190" i="2"/>
  <c r="A189" i="2"/>
  <c r="H188" i="2"/>
  <c r="L188" i="2" s="1"/>
  <c r="A188" i="2"/>
  <c r="A187" i="2"/>
  <c r="H186" i="2"/>
  <c r="A186" i="2"/>
  <c r="H185" i="2"/>
  <c r="A185" i="2"/>
  <c r="H184" i="2"/>
  <c r="EB184" i="2" s="1"/>
  <c r="A184" i="2"/>
  <c r="H183" i="2"/>
  <c r="EB183" i="2" s="1"/>
  <c r="A183" i="2"/>
  <c r="H182" i="2"/>
  <c r="A182" i="2"/>
  <c r="H181" i="2"/>
  <c r="A181" i="2"/>
  <c r="H180" i="2"/>
  <c r="EB180" i="2" s="1"/>
  <c r="A180" i="2"/>
  <c r="H179" i="2"/>
  <c r="EB179" i="2" s="1"/>
  <c r="A179" i="2"/>
  <c r="H178" i="2"/>
  <c r="A178" i="2"/>
  <c r="H177" i="2"/>
  <c r="EB177" i="2" s="1"/>
  <c r="A177" i="2"/>
  <c r="H176" i="2"/>
  <c r="EB176" i="2" s="1"/>
  <c r="A176" i="2"/>
  <c r="H175" i="2"/>
  <c r="EB175" i="2" s="1"/>
  <c r="A175" i="2"/>
  <c r="H174" i="2"/>
  <c r="A174" i="2"/>
  <c r="H173" i="2"/>
  <c r="L173" i="2" s="1"/>
  <c r="A173" i="2"/>
  <c r="H172" i="2"/>
  <c r="EB172" i="2" s="1"/>
  <c r="A172" i="2"/>
  <c r="H171" i="2"/>
  <c r="EB171" i="2" s="1"/>
  <c r="A171" i="2"/>
  <c r="H170" i="2"/>
  <c r="EB170" i="2" s="1"/>
  <c r="A170" i="2"/>
  <c r="H169" i="2"/>
  <c r="EB169" i="2" s="1"/>
  <c r="A169" i="2"/>
  <c r="H168" i="2"/>
  <c r="EB168" i="2" s="1"/>
  <c r="A168" i="2"/>
  <c r="H167" i="2"/>
  <c r="EB167" i="2" s="1"/>
  <c r="A167" i="2"/>
  <c r="H166" i="2"/>
  <c r="L166" i="2" s="1"/>
  <c r="A166" i="2"/>
  <c r="A165" i="2"/>
  <c r="H164" i="2"/>
  <c r="A164" i="2"/>
  <c r="H163" i="2"/>
  <c r="EB163" i="2" s="1"/>
  <c r="A163" i="2"/>
  <c r="H162" i="2"/>
  <c r="EB162" i="2" s="1"/>
  <c r="A162" i="2"/>
  <c r="H161" i="2"/>
  <c r="A161" i="2"/>
  <c r="H160" i="2"/>
  <c r="L160" i="2" s="1"/>
  <c r="EC160" i="2" s="1"/>
  <c r="A160" i="2"/>
  <c r="H159" i="2"/>
  <c r="L159" i="2" s="1"/>
  <c r="EC159" i="2" s="1"/>
  <c r="A159" i="2"/>
  <c r="H158" i="2"/>
  <c r="L158" i="2" s="1"/>
  <c r="A158" i="2"/>
  <c r="H157" i="2"/>
  <c r="L157" i="2" s="1"/>
  <c r="P157" i="2" s="1"/>
  <c r="A157" i="2"/>
  <c r="H156" i="2"/>
  <c r="L156" i="2" s="1"/>
  <c r="EC156" i="2" s="1"/>
  <c r="A156" i="2"/>
  <c r="H155" i="2"/>
  <c r="L155" i="2" s="1"/>
  <c r="A155" i="2"/>
  <c r="A154" i="2"/>
  <c r="A153" i="2"/>
  <c r="H152" i="2"/>
  <c r="A152" i="2"/>
  <c r="H151" i="2"/>
  <c r="L151" i="2" s="1"/>
  <c r="P151" i="2" s="1"/>
  <c r="ED151" i="2" s="1"/>
  <c r="A151" i="2"/>
  <c r="H150" i="2"/>
  <c r="EB150" i="2" s="1"/>
  <c r="A150" i="2"/>
  <c r="H149" i="2"/>
  <c r="A149" i="2"/>
  <c r="H148" i="2"/>
  <c r="EB148" i="2" s="1"/>
  <c r="A148" i="2"/>
  <c r="H147" i="2"/>
  <c r="EB147" i="2" s="1"/>
  <c r="A147" i="2"/>
  <c r="H146" i="2"/>
  <c r="A146" i="2"/>
  <c r="H145" i="2"/>
  <c r="L145" i="2" s="1"/>
  <c r="EC145" i="2" s="1"/>
  <c r="A145" i="2"/>
  <c r="H144" i="2"/>
  <c r="EB144" i="2" s="1"/>
  <c r="A144" i="2"/>
  <c r="H143" i="2"/>
  <c r="EB143" i="2" s="1"/>
  <c r="A143" i="2"/>
  <c r="H142" i="2"/>
  <c r="A142" i="2"/>
  <c r="A141" i="2"/>
  <c r="H140" i="2"/>
  <c r="EB140" i="2" s="1"/>
  <c r="A140" i="2"/>
  <c r="H139" i="2"/>
  <c r="L139" i="2" s="1"/>
  <c r="A139" i="2"/>
  <c r="H138" i="2"/>
  <c r="EB138" i="2" s="1"/>
  <c r="A138" i="2"/>
  <c r="H137" i="2"/>
  <c r="EB137" i="2" s="1"/>
  <c r="A137" i="2"/>
  <c r="H136" i="2"/>
  <c r="EB136" i="2" s="1"/>
  <c r="A136" i="2"/>
  <c r="H135" i="2"/>
  <c r="L135" i="2" s="1"/>
  <c r="A135" i="2"/>
  <c r="H134" i="2"/>
  <c r="EB134" i="2" s="1"/>
  <c r="A134" i="2"/>
  <c r="H133" i="2"/>
  <c r="A133" i="2"/>
  <c r="A132" i="2"/>
  <c r="H131" i="2"/>
  <c r="EB131" i="2" s="1"/>
  <c r="A131" i="2"/>
  <c r="H130" i="2"/>
  <c r="L130" i="2" s="1"/>
  <c r="A130" i="2"/>
  <c r="H129" i="2"/>
  <c r="EB129" i="2" s="1"/>
  <c r="A129" i="2"/>
  <c r="H128" i="2"/>
  <c r="EB128" i="2" s="1"/>
  <c r="A128" i="2"/>
  <c r="H127" i="2"/>
  <c r="EB127" i="2" s="1"/>
  <c r="A127" i="2"/>
  <c r="H126" i="2"/>
  <c r="A126" i="2"/>
  <c r="H125" i="2"/>
  <c r="L125" i="2" s="1"/>
  <c r="A125" i="2"/>
  <c r="H124" i="2"/>
  <c r="EB124" i="2" s="1"/>
  <c r="A124" i="2"/>
  <c r="A123" i="2"/>
  <c r="H122" i="2"/>
  <c r="L122" i="2" s="1"/>
  <c r="A122" i="2"/>
  <c r="H121" i="2"/>
  <c r="L121" i="2" s="1"/>
  <c r="P121" i="2" s="1"/>
  <c r="A121" i="2"/>
  <c r="H120" i="2"/>
  <c r="A120" i="2"/>
  <c r="H119" i="2"/>
  <c r="L119" i="2" s="1"/>
  <c r="P119" i="2" s="1"/>
  <c r="A119" i="2"/>
  <c r="H118" i="2"/>
  <c r="L118" i="2" s="1"/>
  <c r="A118" i="2"/>
  <c r="H117" i="2"/>
  <c r="A117" i="2"/>
  <c r="H116" i="2"/>
  <c r="L116" i="2" s="1"/>
  <c r="A116" i="2"/>
  <c r="H115" i="2"/>
  <c r="EB115" i="2" s="1"/>
  <c r="A115" i="2"/>
  <c r="H114" i="2"/>
  <c r="L114" i="2" s="1"/>
  <c r="A114" i="2"/>
  <c r="H113" i="2"/>
  <c r="A113" i="2"/>
  <c r="H112" i="2"/>
  <c r="L112" i="2" s="1"/>
  <c r="A112" i="2"/>
  <c r="H111" i="2"/>
  <c r="A111" i="2"/>
  <c r="H110" i="2"/>
  <c r="EB110" i="2" s="1"/>
  <c r="A110" i="2"/>
  <c r="H109" i="2"/>
  <c r="EB109" i="2" s="1"/>
  <c r="A109" i="2"/>
  <c r="H108" i="2"/>
  <c r="EB108" i="2" s="1"/>
  <c r="A108" i="2"/>
  <c r="H107" i="2"/>
  <c r="A107" i="2"/>
  <c r="H106" i="2"/>
  <c r="EB106" i="2" s="1"/>
  <c r="A106" i="2"/>
  <c r="H105" i="2"/>
  <c r="EB105" i="2" s="1"/>
  <c r="A105" i="2"/>
  <c r="H104" i="2"/>
  <c r="EB104" i="2" s="1"/>
  <c r="A104" i="2"/>
  <c r="A103" i="2"/>
  <c r="A102" i="2"/>
  <c r="H101" i="2"/>
  <c r="L101" i="2" s="1"/>
  <c r="EC101" i="2" s="1"/>
  <c r="A101" i="2"/>
  <c r="H100" i="2"/>
  <c r="L100" i="2" s="1"/>
  <c r="EC100" i="2" s="1"/>
  <c r="A100" i="2"/>
  <c r="H99" i="2"/>
  <c r="EB99" i="2" s="1"/>
  <c r="A99" i="2"/>
  <c r="H98" i="2"/>
  <c r="EB98" i="2" s="1"/>
  <c r="A98" i="2"/>
  <c r="H97" i="2"/>
  <c r="L97" i="2" s="1"/>
  <c r="A97" i="2"/>
  <c r="H96" i="2"/>
  <c r="EB96" i="2" s="1"/>
  <c r="A96" i="2"/>
  <c r="H95" i="2"/>
  <c r="A95" i="2"/>
  <c r="H94" i="2"/>
  <c r="EB94" i="2" s="1"/>
  <c r="A94" i="2"/>
  <c r="H93" i="2"/>
  <c r="EB93" i="2" s="1"/>
  <c r="A93" i="2"/>
  <c r="H92" i="2"/>
  <c r="L92" i="2" s="1"/>
  <c r="EC92" i="2" s="1"/>
  <c r="A92" i="2"/>
  <c r="H91" i="2"/>
  <c r="A91" i="2"/>
  <c r="H90" i="2"/>
  <c r="A90" i="2"/>
  <c r="H89" i="2"/>
  <c r="EB89" i="2" s="1"/>
  <c r="A89" i="2"/>
  <c r="H88" i="2"/>
  <c r="EB88" i="2" s="1"/>
  <c r="A88" i="2"/>
  <c r="H87" i="2"/>
  <c r="L87" i="2" s="1"/>
  <c r="EC87" i="2" s="1"/>
  <c r="A87" i="2"/>
  <c r="H86" i="2"/>
  <c r="EB86" i="2" s="1"/>
  <c r="A86" i="2"/>
  <c r="H85" i="2"/>
  <c r="EB85" i="2" s="1"/>
  <c r="A85" i="2"/>
  <c r="H84" i="2"/>
  <c r="EB84" i="2" s="1"/>
  <c r="A84" i="2"/>
  <c r="H83" i="2"/>
  <c r="EB83" i="2" s="1"/>
  <c r="A83" i="2"/>
  <c r="H82" i="2"/>
  <c r="EB82" i="2" s="1"/>
  <c r="A82" i="2"/>
  <c r="H81" i="2"/>
  <c r="EB81" i="2" s="1"/>
  <c r="A81" i="2"/>
  <c r="H80" i="2"/>
  <c r="EB80" i="2" s="1"/>
  <c r="A80" i="2"/>
  <c r="A79" i="2"/>
  <c r="H78" i="2"/>
  <c r="EB78" i="2" s="1"/>
  <c r="A78" i="2"/>
  <c r="H77" i="2"/>
  <c r="EB77" i="2" s="1"/>
  <c r="A77" i="2"/>
  <c r="H76" i="2"/>
  <c r="EB76" i="2" s="1"/>
  <c r="A76" i="2"/>
  <c r="H75" i="2"/>
  <c r="EB75" i="2" s="1"/>
  <c r="A75" i="2"/>
  <c r="H74" i="2"/>
  <c r="EB74" i="2" s="1"/>
  <c r="A74" i="2"/>
  <c r="A73" i="2"/>
  <c r="A72" i="2"/>
  <c r="H71" i="2"/>
  <c r="EB71" i="2" s="1"/>
  <c r="A71" i="2"/>
  <c r="H70" i="2"/>
  <c r="EB70" i="2" s="1"/>
  <c r="A70" i="2"/>
  <c r="H69" i="2"/>
  <c r="EB69" i="2" s="1"/>
  <c r="A69" i="2"/>
  <c r="H68" i="2"/>
  <c r="A68" i="2"/>
  <c r="H67" i="2"/>
  <c r="L67" i="2" s="1"/>
  <c r="A67" i="2"/>
  <c r="H66" i="2"/>
  <c r="L66" i="2" s="1"/>
  <c r="A66" i="2"/>
  <c r="H65" i="2"/>
  <c r="L65" i="2" s="1"/>
  <c r="EC65" i="2" s="1"/>
  <c r="A65" i="2"/>
  <c r="H64" i="2"/>
  <c r="A64" i="2"/>
  <c r="H63" i="2"/>
  <c r="L63" i="2" s="1"/>
  <c r="A63" i="2"/>
  <c r="H62" i="2"/>
  <c r="L62" i="2" s="1"/>
  <c r="A62" i="2"/>
  <c r="H61" i="2"/>
  <c r="L61" i="2" s="1"/>
  <c r="EC61" i="2" s="1"/>
  <c r="A61" i="2"/>
  <c r="H60" i="2"/>
  <c r="A60" i="2"/>
  <c r="H59" i="2"/>
  <c r="EB59" i="2" s="1"/>
  <c r="A59" i="2"/>
  <c r="H58" i="2"/>
  <c r="EB58" i="2" s="1"/>
  <c r="A58" i="2"/>
  <c r="H57" i="2"/>
  <c r="EB57" i="2" s="1"/>
  <c r="A57" i="2"/>
  <c r="H56" i="2"/>
  <c r="A56" i="2"/>
  <c r="H55" i="2"/>
  <c r="EB55" i="2" s="1"/>
  <c r="A55" i="2"/>
  <c r="H54" i="2"/>
  <c r="EB54" i="2" s="1"/>
  <c r="A54" i="2"/>
  <c r="H53" i="2"/>
  <c r="L53" i="2" s="1"/>
  <c r="EC53" i="2" s="1"/>
  <c r="A53" i="2"/>
  <c r="H52" i="2"/>
  <c r="A52" i="2"/>
  <c r="H51" i="2"/>
  <c r="EB51" i="2" s="1"/>
  <c r="A51" i="2"/>
  <c r="H50" i="2"/>
  <c r="EB50" i="2" s="1"/>
  <c r="A50" i="2"/>
  <c r="H49" i="2"/>
  <c r="EB49" i="2" s="1"/>
  <c r="A49" i="2"/>
  <c r="H48" i="2"/>
  <c r="L48" i="2" s="1"/>
  <c r="EC48" i="2" s="1"/>
  <c r="A48" i="2"/>
  <c r="H47" i="2"/>
  <c r="EB47" i="2" s="1"/>
  <c r="A47" i="2"/>
  <c r="H46" i="2"/>
  <c r="EB46" i="2" s="1"/>
  <c r="A46" i="2"/>
  <c r="H45" i="2"/>
  <c r="L45" i="2" s="1"/>
  <c r="EC45" i="2" s="1"/>
  <c r="A45" i="2"/>
  <c r="A44" i="2"/>
  <c r="A43" i="2"/>
  <c r="H42" i="2"/>
  <c r="EB42" i="2" s="1"/>
  <c r="A42" i="2"/>
  <c r="H41" i="2"/>
  <c r="EB41" i="2" s="1"/>
  <c r="A41" i="2"/>
  <c r="H40" i="2"/>
  <c r="EB40" i="2" s="1"/>
  <c r="A40" i="2"/>
  <c r="H39" i="2"/>
  <c r="EB39" i="2" s="1"/>
  <c r="A39" i="2"/>
  <c r="H38" i="2"/>
  <c r="L38" i="2" s="1"/>
  <c r="A38" i="2"/>
  <c r="H37" i="2"/>
  <c r="EB37" i="2" s="1"/>
  <c r="A37" i="2"/>
  <c r="H36" i="2"/>
  <c r="EB36" i="2" s="1"/>
  <c r="A36" i="2"/>
  <c r="H35" i="2"/>
  <c r="EB35" i="2" s="1"/>
  <c r="A35" i="2"/>
  <c r="H34" i="2"/>
  <c r="L34" i="2" s="1"/>
  <c r="A34" i="2"/>
  <c r="A33" i="2"/>
  <c r="H32" i="2"/>
  <c r="EB32" i="2" s="1"/>
  <c r="A32" i="2"/>
  <c r="A31" i="2"/>
  <c r="A30" i="2"/>
  <c r="H29" i="2"/>
  <c r="EB29" i="2" s="1"/>
  <c r="A29" i="2"/>
  <c r="H28" i="2"/>
  <c r="L28" i="2" s="1"/>
  <c r="A28" i="2"/>
  <c r="H27" i="2"/>
  <c r="EB27" i="2" s="1"/>
  <c r="A27" i="2"/>
  <c r="H26" i="2"/>
  <c r="EB26" i="2" s="1"/>
  <c r="A26" i="2"/>
  <c r="H25" i="2"/>
  <c r="EB25" i="2" s="1"/>
  <c r="A25" i="2"/>
  <c r="H24" i="2"/>
  <c r="EB24" i="2" s="1"/>
  <c r="A24" i="2"/>
  <c r="H23" i="2"/>
  <c r="EB23" i="2" s="1"/>
  <c r="A23" i="2"/>
  <c r="H22" i="2"/>
  <c r="EB22" i="2" s="1"/>
  <c r="A22" i="2"/>
  <c r="H21" i="2"/>
  <c r="EB21" i="2" s="1"/>
  <c r="A21" i="2"/>
  <c r="H20" i="2"/>
  <c r="EB20" i="2" s="1"/>
  <c r="A20" i="2"/>
  <c r="A19" i="2"/>
  <c r="H18" i="2"/>
  <c r="EB18" i="2" s="1"/>
  <c r="A18" i="2"/>
  <c r="H17" i="2"/>
  <c r="EB17" i="2" s="1"/>
  <c r="A17" i="2"/>
  <c r="H16" i="2"/>
  <c r="EB16" i="2" s="1"/>
  <c r="A16" i="2"/>
  <c r="H15" i="2"/>
  <c r="EB15" i="2" s="1"/>
  <c r="A15" i="2"/>
  <c r="A14" i="2"/>
  <c r="A13" i="2"/>
  <c r="H12" i="2"/>
  <c r="EB12" i="2" s="1"/>
  <c r="A12" i="2"/>
  <c r="H11" i="2"/>
  <c r="EB11" i="2" s="1"/>
  <c r="A11" i="2"/>
  <c r="A10" i="2"/>
  <c r="A9" i="2"/>
  <c r="A8" i="2"/>
  <c r="H7" i="2"/>
  <c r="EB7" i="2" s="1"/>
  <c r="A7" i="2"/>
  <c r="A6" i="2"/>
  <c r="H5" i="2"/>
  <c r="L5" i="2" s="1"/>
  <c r="EC5" i="2" s="1"/>
  <c r="A5" i="2"/>
  <c r="A4" i="2"/>
  <c r="EA3" i="2"/>
  <c r="H3" i="2"/>
  <c r="EB3" i="2" s="1"/>
  <c r="C3" i="2"/>
  <c r="B3" i="2"/>
  <c r="A3" i="2"/>
  <c r="C202" i="21"/>
  <c r="B202" i="21"/>
  <c r="A202" i="21"/>
  <c r="EC201" i="21"/>
  <c r="C201" i="21"/>
  <c r="B201" i="21"/>
  <c r="A201" i="21"/>
  <c r="EC200" i="21"/>
  <c r="C200" i="21"/>
  <c r="B200" i="21"/>
  <c r="A200" i="21"/>
  <c r="EC199" i="21"/>
  <c r="C199" i="21"/>
  <c r="B199" i="21"/>
  <c r="A199" i="21"/>
  <c r="EC198" i="21"/>
  <c r="C198" i="21"/>
  <c r="B198" i="21"/>
  <c r="A198" i="21"/>
  <c r="EC197" i="21"/>
  <c r="C197" i="21"/>
  <c r="B197" i="21"/>
  <c r="A197" i="21"/>
  <c r="C196" i="21"/>
  <c r="B196" i="21"/>
  <c r="A196" i="21"/>
  <c r="C195" i="21"/>
  <c r="B195" i="21"/>
  <c r="A195" i="21"/>
  <c r="EC194" i="21"/>
  <c r="C194" i="21"/>
  <c r="B194" i="21"/>
  <c r="A194" i="21"/>
  <c r="EC193" i="21"/>
  <c r="C193" i="21"/>
  <c r="B193" i="21"/>
  <c r="A193" i="21"/>
  <c r="EC192" i="21"/>
  <c r="C192" i="21"/>
  <c r="B192" i="21"/>
  <c r="A192" i="21"/>
  <c r="EC191" i="21"/>
  <c r="C191" i="21"/>
  <c r="B191" i="21"/>
  <c r="A191" i="21"/>
  <c r="EC190" i="21"/>
  <c r="C190" i="21"/>
  <c r="B190" i="21"/>
  <c r="A190" i="21"/>
  <c r="EC189" i="21"/>
  <c r="C189" i="21"/>
  <c r="B189" i="21"/>
  <c r="A189" i="21"/>
  <c r="C188" i="21"/>
  <c r="B188" i="21"/>
  <c r="A188" i="21"/>
  <c r="C187" i="21"/>
  <c r="B187" i="21"/>
  <c r="A187" i="21"/>
  <c r="EC186" i="21"/>
  <c r="C186" i="21"/>
  <c r="B186" i="21"/>
  <c r="A186" i="21"/>
  <c r="EC185" i="21"/>
  <c r="C185" i="21"/>
  <c r="B185" i="21"/>
  <c r="A185" i="21"/>
  <c r="EC184" i="21"/>
  <c r="C184" i="21"/>
  <c r="B184" i="21"/>
  <c r="A184" i="21"/>
  <c r="EC183" i="21"/>
  <c r="C183" i="21"/>
  <c r="B183" i="21"/>
  <c r="A183" i="21"/>
  <c r="EC182" i="21"/>
  <c r="C182" i="21"/>
  <c r="B182" i="21"/>
  <c r="A182" i="21"/>
  <c r="EC181" i="21"/>
  <c r="C181" i="21"/>
  <c r="B181" i="21"/>
  <c r="A181" i="21"/>
  <c r="EC180" i="21"/>
  <c r="C180" i="21"/>
  <c r="B180" i="21"/>
  <c r="A180" i="21"/>
  <c r="C179" i="21"/>
  <c r="B179" i="21"/>
  <c r="A179" i="21"/>
  <c r="C178" i="21"/>
  <c r="B178" i="21"/>
  <c r="A178" i="21"/>
  <c r="EC177" i="21"/>
  <c r="C177" i="21"/>
  <c r="B177" i="21"/>
  <c r="A177" i="21"/>
  <c r="EC176" i="21"/>
  <c r="C176" i="21"/>
  <c r="B176" i="21"/>
  <c r="A176" i="21"/>
  <c r="EC175" i="21"/>
  <c r="C175" i="21"/>
  <c r="B175" i="21"/>
  <c r="A175" i="21"/>
  <c r="EC174" i="21"/>
  <c r="C174" i="21"/>
  <c r="B174" i="21"/>
  <c r="A174" i="21"/>
  <c r="EC173" i="21"/>
  <c r="C173" i="21"/>
  <c r="B173" i="21"/>
  <c r="A173" i="21"/>
  <c r="EC172" i="21"/>
  <c r="C172" i="21"/>
  <c r="B172" i="21"/>
  <c r="A172" i="21"/>
  <c r="C171" i="21"/>
  <c r="B171" i="21"/>
  <c r="A171" i="21"/>
  <c r="C170" i="21"/>
  <c r="B170" i="21"/>
  <c r="A170" i="21"/>
  <c r="EC169" i="21"/>
  <c r="C169" i="21"/>
  <c r="B169" i="21"/>
  <c r="A169" i="21"/>
  <c r="EC168" i="21"/>
  <c r="C168" i="21"/>
  <c r="B168" i="21"/>
  <c r="A168" i="21"/>
  <c r="EC167" i="21"/>
  <c r="C167" i="21"/>
  <c r="B167" i="21"/>
  <c r="A167" i="21"/>
  <c r="EC166" i="21"/>
  <c r="C166" i="21"/>
  <c r="B166" i="21"/>
  <c r="A166" i="21"/>
  <c r="C165" i="21"/>
  <c r="B165" i="21"/>
  <c r="A165" i="21"/>
  <c r="EC164" i="21"/>
  <c r="C164" i="21"/>
  <c r="B164" i="21"/>
  <c r="A164" i="21"/>
  <c r="C163" i="21"/>
  <c r="B163" i="21"/>
  <c r="A163" i="21"/>
  <c r="EC162" i="21"/>
  <c r="C162" i="21"/>
  <c r="B162" i="21"/>
  <c r="A162" i="21"/>
  <c r="C161" i="21"/>
  <c r="B161" i="21"/>
  <c r="A161" i="21"/>
  <c r="EC160" i="21"/>
  <c r="C160" i="21"/>
  <c r="B160" i="21"/>
  <c r="A160" i="21"/>
  <c r="EC159" i="21"/>
  <c r="C159" i="21"/>
  <c r="B159" i="21"/>
  <c r="A159" i="21"/>
  <c r="EC158" i="21"/>
  <c r="C158" i="21"/>
  <c r="B158" i="21"/>
  <c r="A158" i="21"/>
  <c r="EC157" i="21"/>
  <c r="C157" i="21"/>
  <c r="B157" i="21"/>
  <c r="A157" i="21"/>
  <c r="EC156" i="21"/>
  <c r="C156" i="21"/>
  <c r="B156" i="21"/>
  <c r="A156" i="21"/>
  <c r="C155" i="21"/>
  <c r="B155" i="21"/>
  <c r="A155" i="21"/>
  <c r="C154" i="21"/>
  <c r="B154" i="21"/>
  <c r="A154" i="21"/>
  <c r="C153" i="21"/>
  <c r="B153" i="21"/>
  <c r="A153" i="21"/>
  <c r="C152" i="21"/>
  <c r="B152" i="21"/>
  <c r="A152" i="21"/>
  <c r="EC151" i="21"/>
  <c r="C151" i="21"/>
  <c r="B151" i="21"/>
  <c r="A151" i="21"/>
  <c r="EC150" i="21"/>
  <c r="C150" i="21"/>
  <c r="B150" i="21"/>
  <c r="A150" i="21"/>
  <c r="EC149" i="21"/>
  <c r="C149" i="21"/>
  <c r="B149" i="21"/>
  <c r="A149" i="21"/>
  <c r="EC148" i="21"/>
  <c r="C148" i="21"/>
  <c r="B148" i="21"/>
  <c r="A148" i="21"/>
  <c r="C147" i="21"/>
  <c r="B147" i="21"/>
  <c r="A147" i="21"/>
  <c r="C146" i="21"/>
  <c r="B146" i="21"/>
  <c r="A146" i="21"/>
  <c r="C145" i="21"/>
  <c r="B145" i="21"/>
  <c r="A145" i="21"/>
  <c r="EC144" i="21"/>
  <c r="C144" i="21"/>
  <c r="B144" i="21"/>
  <c r="A144" i="21"/>
  <c r="EC143" i="21"/>
  <c r="C143" i="21"/>
  <c r="B143" i="21"/>
  <c r="A143" i="21"/>
  <c r="EC142" i="21"/>
  <c r="C142" i="21"/>
  <c r="B142" i="21"/>
  <c r="A142" i="21"/>
  <c r="EC141" i="21"/>
  <c r="C141" i="21"/>
  <c r="B141" i="21"/>
  <c r="A141" i="21"/>
  <c r="EC140" i="21"/>
  <c r="C140" i="21"/>
  <c r="B140" i="21"/>
  <c r="A140" i="21"/>
  <c r="C139" i="21"/>
  <c r="B139" i="21"/>
  <c r="A139" i="21"/>
  <c r="C138" i="21"/>
  <c r="B138" i="21"/>
  <c r="A138" i="21"/>
  <c r="C137" i="21"/>
  <c r="B137" i="21"/>
  <c r="A137" i="21"/>
  <c r="EC136" i="21"/>
  <c r="C136" i="21"/>
  <c r="B136" i="21"/>
  <c r="A136" i="21"/>
  <c r="EC135" i="21"/>
  <c r="C135" i="21"/>
  <c r="B135" i="21"/>
  <c r="A135" i="21"/>
  <c r="EC134" i="21"/>
  <c r="C134" i="21"/>
  <c r="B134" i="21"/>
  <c r="A134" i="21"/>
  <c r="EC133" i="21"/>
  <c r="C133" i="21"/>
  <c r="B133" i="21"/>
  <c r="A133" i="21"/>
  <c r="EA132" i="21"/>
  <c r="DZ132" i="21"/>
  <c r="DY132" i="21"/>
  <c r="C132" i="21"/>
  <c r="B132" i="21"/>
  <c r="A132" i="21"/>
  <c r="EA131" i="21"/>
  <c r="DZ131" i="21"/>
  <c r="DY131" i="21"/>
  <c r="EC131" i="21"/>
  <c r="C131" i="21"/>
  <c r="B131" i="21"/>
  <c r="A131" i="21"/>
  <c r="EA130" i="21"/>
  <c r="DZ130" i="21"/>
  <c r="DY130" i="21"/>
  <c r="C130" i="21"/>
  <c r="B130" i="21"/>
  <c r="A130" i="21"/>
  <c r="EA129" i="21"/>
  <c r="DZ129" i="21"/>
  <c r="DY129" i="21"/>
  <c r="C129" i="21"/>
  <c r="B129" i="21"/>
  <c r="A129" i="21"/>
  <c r="EA128" i="21"/>
  <c r="DZ128" i="21"/>
  <c r="DY128" i="21"/>
  <c r="C128" i="21"/>
  <c r="B128" i="21"/>
  <c r="A128" i="21"/>
  <c r="EA127" i="21"/>
  <c r="DZ127" i="21"/>
  <c r="DY127" i="21"/>
  <c r="EC127" i="21"/>
  <c r="C127" i="21"/>
  <c r="B127" i="21"/>
  <c r="A127" i="21"/>
  <c r="EA126" i="21"/>
  <c r="DZ126" i="21"/>
  <c r="DY126" i="21"/>
  <c r="EC126" i="21"/>
  <c r="C126" i="21"/>
  <c r="B126" i="21"/>
  <c r="A126" i="21"/>
  <c r="EA125" i="21"/>
  <c r="DZ125" i="21"/>
  <c r="DY125" i="21"/>
  <c r="C125" i="21"/>
  <c r="B125" i="21"/>
  <c r="A125" i="21"/>
  <c r="C124" i="21"/>
  <c r="B124" i="21"/>
  <c r="A124" i="21"/>
  <c r="EA123" i="21"/>
  <c r="DZ123" i="21"/>
  <c r="DY123" i="21"/>
  <c r="C123" i="21"/>
  <c r="B123" i="21"/>
  <c r="A123" i="21"/>
  <c r="EA122" i="21"/>
  <c r="DZ122" i="21"/>
  <c r="DY122" i="21"/>
  <c r="C122" i="21"/>
  <c r="B122" i="21"/>
  <c r="A122" i="21"/>
  <c r="EA121" i="21"/>
  <c r="DZ121" i="21"/>
  <c r="DY121" i="21"/>
  <c r="C121" i="21"/>
  <c r="B121" i="21"/>
  <c r="A121" i="21"/>
  <c r="EA120" i="21"/>
  <c r="DZ120" i="21"/>
  <c r="DY120" i="21"/>
  <c r="C120" i="21"/>
  <c r="B120" i="21"/>
  <c r="A120" i="21"/>
  <c r="EA119" i="21"/>
  <c r="DZ119" i="21"/>
  <c r="DY119" i="21"/>
  <c r="C119" i="21"/>
  <c r="B119" i="21"/>
  <c r="A119" i="21"/>
  <c r="C118" i="21"/>
  <c r="B118" i="21"/>
  <c r="A118" i="21"/>
  <c r="EA117" i="21"/>
  <c r="DZ117" i="21"/>
  <c r="DY117" i="21"/>
  <c r="C117" i="21"/>
  <c r="B117" i="21"/>
  <c r="A117" i="21"/>
  <c r="EA116" i="21"/>
  <c r="DZ116" i="21"/>
  <c r="DY116" i="21"/>
  <c r="C116" i="21"/>
  <c r="B116" i="21"/>
  <c r="A116" i="21"/>
  <c r="EA115" i="21"/>
  <c r="DZ115" i="21"/>
  <c r="DY115" i="21"/>
  <c r="C115" i="21"/>
  <c r="B115" i="21"/>
  <c r="A115" i="21"/>
  <c r="EA114" i="21"/>
  <c r="DZ114" i="21"/>
  <c r="DY114" i="21"/>
  <c r="C114" i="21"/>
  <c r="B114" i="21"/>
  <c r="A114" i="21"/>
  <c r="EA113" i="21"/>
  <c r="DZ113" i="21"/>
  <c r="DY113" i="21"/>
  <c r="C113" i="21"/>
  <c r="B113" i="21"/>
  <c r="A113" i="21"/>
  <c r="EA112" i="21"/>
  <c r="DZ112" i="21"/>
  <c r="DY112" i="21"/>
  <c r="C112" i="21"/>
  <c r="B112" i="21"/>
  <c r="A112" i="21"/>
  <c r="EA111" i="21"/>
  <c r="DZ111" i="21"/>
  <c r="DY111" i="21"/>
  <c r="EC111" i="21"/>
  <c r="C111" i="21"/>
  <c r="B111" i="21"/>
  <c r="A111" i="21"/>
  <c r="EA110" i="21"/>
  <c r="DZ110" i="21"/>
  <c r="DY110" i="21"/>
  <c r="C110" i="21"/>
  <c r="B110" i="21"/>
  <c r="A110" i="21"/>
  <c r="EA109" i="21"/>
  <c r="DZ109" i="21"/>
  <c r="DY109" i="21"/>
  <c r="C109" i="21"/>
  <c r="B109" i="21"/>
  <c r="A109" i="21"/>
  <c r="EA108" i="21"/>
  <c r="DZ108" i="21"/>
  <c r="DY108" i="21"/>
  <c r="EC108" i="21"/>
  <c r="C108" i="21"/>
  <c r="B108" i="21"/>
  <c r="A108" i="21"/>
  <c r="EA107" i="21"/>
  <c r="DZ107" i="21"/>
  <c r="DY107" i="21"/>
  <c r="C107" i="21"/>
  <c r="B107" i="21"/>
  <c r="A107" i="21"/>
  <c r="EC106" i="21"/>
  <c r="C106" i="21"/>
  <c r="B106" i="21"/>
  <c r="A106" i="21"/>
  <c r="EA105" i="21"/>
  <c r="DZ105" i="21"/>
  <c r="DY105" i="21"/>
  <c r="C105" i="21"/>
  <c r="B105" i="21"/>
  <c r="A105" i="21"/>
  <c r="EA104" i="21"/>
  <c r="DZ104" i="21"/>
  <c r="DY104" i="21"/>
  <c r="C104" i="21"/>
  <c r="B104" i="21"/>
  <c r="A104" i="21"/>
  <c r="EA103" i="21"/>
  <c r="DZ103" i="21"/>
  <c r="C103" i="21"/>
  <c r="B103" i="21"/>
  <c r="A103" i="21"/>
  <c r="EA102" i="21"/>
  <c r="DZ102" i="21"/>
  <c r="DY102" i="21"/>
  <c r="EC102" i="21"/>
  <c r="C102" i="21"/>
  <c r="B102" i="21"/>
  <c r="A102" i="21"/>
  <c r="EA101" i="21"/>
  <c r="DZ101" i="21"/>
  <c r="DY101" i="21"/>
  <c r="EC101" i="21"/>
  <c r="C101" i="21"/>
  <c r="B101" i="21"/>
  <c r="A101" i="21"/>
  <c r="EC100" i="21"/>
  <c r="C100" i="21"/>
  <c r="B100" i="21"/>
  <c r="A100" i="21"/>
  <c r="EA99" i="21"/>
  <c r="DZ99" i="21"/>
  <c r="DY99" i="21"/>
  <c r="EC99" i="21"/>
  <c r="C99" i="21"/>
  <c r="B99" i="21"/>
  <c r="A99" i="21"/>
  <c r="EA98" i="21"/>
  <c r="DZ98" i="21"/>
  <c r="DY98" i="21"/>
  <c r="EC98" i="21"/>
  <c r="C98" i="21"/>
  <c r="B98" i="21"/>
  <c r="A98" i="21"/>
  <c r="EA97" i="21"/>
  <c r="DZ97" i="21"/>
  <c r="DY97" i="21"/>
  <c r="EC97" i="21"/>
  <c r="C97" i="21"/>
  <c r="B97" i="21"/>
  <c r="A97" i="21"/>
  <c r="EA96" i="21"/>
  <c r="DZ96" i="21"/>
  <c r="DY96" i="21"/>
  <c r="EC96" i="21"/>
  <c r="C96" i="21"/>
  <c r="B96" i="21"/>
  <c r="A96" i="21"/>
  <c r="EA95" i="21"/>
  <c r="DZ95" i="21"/>
  <c r="DY95" i="21"/>
  <c r="EC95" i="21"/>
  <c r="C95" i="21"/>
  <c r="B95" i="21"/>
  <c r="A95" i="21"/>
  <c r="EA94" i="21"/>
  <c r="DZ94" i="21"/>
  <c r="DY94" i="21"/>
  <c r="EC94" i="21"/>
  <c r="C94" i="21"/>
  <c r="B94" i="21"/>
  <c r="A94" i="21"/>
  <c r="EA93" i="21"/>
  <c r="DZ93" i="21"/>
  <c r="DY93" i="21"/>
  <c r="EC93" i="21"/>
  <c r="C93" i="21"/>
  <c r="B93" i="21"/>
  <c r="A93" i="21"/>
  <c r="EA92" i="21"/>
  <c r="DZ92" i="21"/>
  <c r="DY92" i="21"/>
  <c r="EC92" i="21"/>
  <c r="C92" i="21"/>
  <c r="B92" i="21"/>
  <c r="A92" i="21"/>
  <c r="EC91" i="21"/>
  <c r="C91" i="21"/>
  <c r="B91" i="21"/>
  <c r="A91" i="21"/>
  <c r="EA90" i="21"/>
  <c r="DZ90" i="21"/>
  <c r="DY90" i="21"/>
  <c r="EC90" i="21"/>
  <c r="C90" i="21"/>
  <c r="B90" i="21"/>
  <c r="A90" i="21"/>
  <c r="EA89" i="21"/>
  <c r="DZ89" i="21"/>
  <c r="DY89" i="21"/>
  <c r="EC89" i="21"/>
  <c r="C89" i="21"/>
  <c r="B89" i="21"/>
  <c r="A89" i="21"/>
  <c r="EA88" i="21"/>
  <c r="DZ88" i="21"/>
  <c r="DY88" i="21"/>
  <c r="EC88" i="21"/>
  <c r="C88" i="21"/>
  <c r="B88" i="21"/>
  <c r="A88" i="21"/>
  <c r="EA87" i="21"/>
  <c r="DZ87" i="21"/>
  <c r="DY87" i="21"/>
  <c r="EC87" i="21"/>
  <c r="C87" i="21"/>
  <c r="B87" i="21"/>
  <c r="A87" i="21"/>
  <c r="EA86" i="21"/>
  <c r="DZ86" i="21"/>
  <c r="DY86" i="21"/>
  <c r="EC86" i="21"/>
  <c r="C86" i="21"/>
  <c r="B86" i="21"/>
  <c r="A86" i="21"/>
  <c r="EA85" i="21"/>
  <c r="DZ85" i="21"/>
  <c r="DY85" i="21"/>
  <c r="EC85" i="21"/>
  <c r="C85" i="21"/>
  <c r="B85" i="21"/>
  <c r="A85" i="21"/>
  <c r="EA84" i="21"/>
  <c r="DZ84" i="21"/>
  <c r="DY84" i="21"/>
  <c r="EC84" i="21"/>
  <c r="C84" i="21"/>
  <c r="B84" i="21"/>
  <c r="A84" i="21"/>
  <c r="EA83" i="21"/>
  <c r="DZ83" i="21"/>
  <c r="DY83" i="21"/>
  <c r="EC83" i="21"/>
  <c r="C83" i="21"/>
  <c r="B83" i="21"/>
  <c r="A83" i="21"/>
  <c r="EA82" i="21"/>
  <c r="DZ82" i="21"/>
  <c r="DY82" i="21"/>
  <c r="EC82" i="21"/>
  <c r="C82" i="21"/>
  <c r="B82" i="21"/>
  <c r="A82" i="21"/>
  <c r="EA81" i="21"/>
  <c r="DZ81" i="21"/>
  <c r="DY81" i="21"/>
  <c r="EC81" i="21"/>
  <c r="C81" i="21"/>
  <c r="B81" i="21"/>
  <c r="A81" i="21"/>
  <c r="EA80" i="21"/>
  <c r="DZ80" i="21"/>
  <c r="DY80" i="21"/>
  <c r="EC80" i="21"/>
  <c r="C80" i="21"/>
  <c r="B80" i="21"/>
  <c r="A80" i="21"/>
  <c r="EA79" i="21"/>
  <c r="DZ79" i="21"/>
  <c r="DY79" i="21"/>
  <c r="EC79" i="21"/>
  <c r="C79" i="21"/>
  <c r="B79" i="21"/>
  <c r="A79" i="21"/>
  <c r="EA78" i="21"/>
  <c r="DZ78" i="21"/>
  <c r="DY78" i="21"/>
  <c r="EC78" i="21"/>
  <c r="C78" i="21"/>
  <c r="B78" i="21"/>
  <c r="A78" i="21"/>
  <c r="EA77" i="21"/>
  <c r="DZ77" i="21"/>
  <c r="DY77" i="21"/>
  <c r="EC77" i="21"/>
  <c r="C77" i="21"/>
  <c r="B77" i="21"/>
  <c r="A77" i="21"/>
  <c r="EA76" i="21"/>
  <c r="DZ76" i="21"/>
  <c r="DY76" i="21"/>
  <c r="EC76" i="21"/>
  <c r="C76" i="21"/>
  <c r="B76" i="21"/>
  <c r="A76" i="21"/>
  <c r="EA75" i="21"/>
  <c r="DZ75" i="21"/>
  <c r="DY75" i="21"/>
  <c r="EC75" i="21"/>
  <c r="C75" i="21"/>
  <c r="B75" i="21"/>
  <c r="A75" i="21"/>
  <c r="EA74" i="21"/>
  <c r="DZ74" i="21"/>
  <c r="DY74" i="21"/>
  <c r="EC74" i="21"/>
  <c r="C74" i="21"/>
  <c r="B74" i="21"/>
  <c r="A74" i="21"/>
  <c r="EA73" i="21"/>
  <c r="DZ73" i="21"/>
  <c r="DY73" i="21"/>
  <c r="EC73" i="21"/>
  <c r="C73" i="21"/>
  <c r="B73" i="21"/>
  <c r="A73" i="21"/>
  <c r="EC72" i="21"/>
  <c r="C72" i="21"/>
  <c r="B72" i="21"/>
  <c r="A72" i="21"/>
  <c r="EA71" i="21"/>
  <c r="DZ71" i="21"/>
  <c r="DY71" i="21"/>
  <c r="EC71" i="21"/>
  <c r="C71" i="21"/>
  <c r="B71" i="21"/>
  <c r="A71" i="21"/>
  <c r="EA70" i="21"/>
  <c r="DZ70" i="21"/>
  <c r="DY70" i="21"/>
  <c r="EC70" i="21"/>
  <c r="C70" i="21"/>
  <c r="B70" i="21"/>
  <c r="A70" i="21"/>
  <c r="EC69" i="21"/>
  <c r="C69" i="21"/>
  <c r="B69" i="21"/>
  <c r="A69" i="21"/>
  <c r="EC68" i="21"/>
  <c r="C68" i="21"/>
  <c r="B68" i="21"/>
  <c r="A68" i="21"/>
  <c r="EA67" i="21"/>
  <c r="DZ67" i="21"/>
  <c r="DY67" i="21"/>
  <c r="EC67" i="21"/>
  <c r="C67" i="21"/>
  <c r="B67" i="21"/>
  <c r="A67" i="21"/>
  <c r="EA66" i="21"/>
  <c r="DZ66" i="21"/>
  <c r="DY66" i="21"/>
  <c r="EC66" i="21"/>
  <c r="C66" i="21"/>
  <c r="B66" i="21"/>
  <c r="A66" i="21"/>
  <c r="EA65" i="21"/>
  <c r="DZ65" i="21"/>
  <c r="DY65" i="21"/>
  <c r="EC65" i="21"/>
  <c r="C65" i="21"/>
  <c r="B65" i="21"/>
  <c r="A65" i="21"/>
  <c r="EA64" i="21"/>
  <c r="DZ64" i="21"/>
  <c r="DY64" i="21"/>
  <c r="EC64" i="21"/>
  <c r="C64" i="21"/>
  <c r="B64" i="21"/>
  <c r="A64" i="21"/>
  <c r="EA63" i="21"/>
  <c r="DZ63" i="21"/>
  <c r="DY63" i="21"/>
  <c r="EC63" i="21"/>
  <c r="C63" i="21"/>
  <c r="B63" i="21"/>
  <c r="A63" i="21"/>
  <c r="EA62" i="21"/>
  <c r="DZ62" i="21"/>
  <c r="DY62" i="21"/>
  <c r="EC62" i="21"/>
  <c r="C62" i="21"/>
  <c r="B62" i="21"/>
  <c r="A62" i="21"/>
  <c r="EC61" i="21"/>
  <c r="C61" i="21"/>
  <c r="B61" i="21"/>
  <c r="A61" i="21"/>
  <c r="EA60" i="21"/>
  <c r="DZ60" i="21"/>
  <c r="DY60" i="21"/>
  <c r="C60" i="21"/>
  <c r="B60" i="21"/>
  <c r="A60" i="21"/>
  <c r="EA59" i="21"/>
  <c r="DZ59" i="21"/>
  <c r="DY59" i="21"/>
  <c r="EC59" i="21"/>
  <c r="C59" i="21"/>
  <c r="B59" i="21"/>
  <c r="A59" i="21"/>
  <c r="EA58" i="21"/>
  <c r="DZ58" i="21"/>
  <c r="DY58" i="21"/>
  <c r="C58" i="21"/>
  <c r="B58" i="21"/>
  <c r="A58" i="21"/>
  <c r="EA57" i="21"/>
  <c r="DZ57" i="21"/>
  <c r="DY57" i="21"/>
  <c r="C57" i="21"/>
  <c r="B57" i="21"/>
  <c r="A57" i="21"/>
  <c r="EA56" i="21"/>
  <c r="DZ56" i="21"/>
  <c r="DY56" i="21"/>
  <c r="C56" i="21"/>
  <c r="B56" i="21"/>
  <c r="A56" i="21"/>
  <c r="EA55" i="21"/>
  <c r="DZ55" i="21"/>
  <c r="DY55" i="21"/>
  <c r="C55" i="21"/>
  <c r="B55" i="21"/>
  <c r="A55" i="21"/>
  <c r="EA54" i="21"/>
  <c r="DZ54" i="21"/>
  <c r="DY54" i="21"/>
  <c r="C54" i="21"/>
  <c r="B54" i="21"/>
  <c r="A54" i="21"/>
  <c r="C53" i="21"/>
  <c r="B53" i="21"/>
  <c r="A53" i="21"/>
  <c r="EA52" i="21"/>
  <c r="DZ52" i="21"/>
  <c r="DY52" i="21"/>
  <c r="C52" i="21"/>
  <c r="B52" i="21"/>
  <c r="A52" i="21"/>
  <c r="C51" i="21"/>
  <c r="B51" i="21"/>
  <c r="A51" i="21"/>
  <c r="EA50" i="21"/>
  <c r="DZ50" i="21"/>
  <c r="DY50" i="21"/>
  <c r="C50" i="21"/>
  <c r="B50" i="21"/>
  <c r="A50" i="21"/>
  <c r="EA49" i="21"/>
  <c r="DZ49" i="21"/>
  <c r="DY49" i="21"/>
  <c r="C49" i="21"/>
  <c r="B49" i="21"/>
  <c r="A49" i="21"/>
  <c r="EA48" i="21"/>
  <c r="DZ48" i="21"/>
  <c r="DY48" i="21"/>
  <c r="EC48" i="21"/>
  <c r="C48" i="21"/>
  <c r="B48" i="21"/>
  <c r="A48" i="21"/>
  <c r="EA47" i="21"/>
  <c r="DZ47" i="21"/>
  <c r="DY47" i="21"/>
  <c r="EC47" i="21"/>
  <c r="C47" i="21"/>
  <c r="B47" i="21"/>
  <c r="A47" i="21"/>
  <c r="EA46" i="21"/>
  <c r="DZ46" i="21"/>
  <c r="DY46" i="21"/>
  <c r="C46" i="21"/>
  <c r="B46" i="21"/>
  <c r="A46" i="21"/>
  <c r="EA45" i="21"/>
  <c r="DZ45" i="21"/>
  <c r="DY45" i="21"/>
  <c r="C45" i="21"/>
  <c r="B45" i="21"/>
  <c r="A45" i="21"/>
  <c r="EA44" i="21"/>
  <c r="DZ44" i="21"/>
  <c r="DY44" i="21"/>
  <c r="C44" i="21"/>
  <c r="B44" i="21"/>
  <c r="A44" i="21"/>
  <c r="EA43" i="21"/>
  <c r="DZ43" i="21"/>
  <c r="DY43" i="21"/>
  <c r="EC43" i="21"/>
  <c r="C43" i="21"/>
  <c r="B43" i="21"/>
  <c r="A43" i="21"/>
  <c r="EA42" i="21"/>
  <c r="DZ42" i="21"/>
  <c r="DY42" i="21"/>
  <c r="C42" i="21"/>
  <c r="B42" i="21"/>
  <c r="A42" i="21"/>
  <c r="EA41" i="21"/>
  <c r="DZ41" i="21"/>
  <c r="DY41" i="21"/>
  <c r="C41" i="21"/>
  <c r="B41" i="21"/>
  <c r="A41" i="21"/>
  <c r="EA40" i="21"/>
  <c r="DZ40" i="21"/>
  <c r="DY40" i="21"/>
  <c r="EC40" i="21"/>
  <c r="C40" i="21"/>
  <c r="B40" i="21"/>
  <c r="A40" i="21"/>
  <c r="EA39" i="21"/>
  <c r="DZ39" i="21"/>
  <c r="DY39" i="21"/>
  <c r="EC39" i="21"/>
  <c r="C39" i="21"/>
  <c r="B39" i="21"/>
  <c r="A39" i="21"/>
  <c r="EA38" i="21"/>
  <c r="DZ38" i="21"/>
  <c r="DY38" i="21"/>
  <c r="EC38" i="21"/>
  <c r="C38" i="21"/>
  <c r="B38" i="21"/>
  <c r="A38" i="21"/>
  <c r="EA37" i="21"/>
  <c r="DZ37" i="21"/>
  <c r="DY37" i="21"/>
  <c r="EC37" i="21"/>
  <c r="C37" i="21"/>
  <c r="B37" i="21"/>
  <c r="A37" i="21"/>
  <c r="EA36" i="21"/>
  <c r="DZ36" i="21"/>
  <c r="DY36" i="21"/>
  <c r="EC36" i="21"/>
  <c r="C36" i="21"/>
  <c r="B36" i="21"/>
  <c r="A36" i="21"/>
  <c r="EA35" i="21"/>
  <c r="DZ35" i="21"/>
  <c r="DY35" i="21"/>
  <c r="EC35" i="21"/>
  <c r="C35" i="21"/>
  <c r="B35" i="21"/>
  <c r="A35" i="21"/>
  <c r="EA34" i="21"/>
  <c r="DZ34" i="21"/>
  <c r="DY34" i="21"/>
  <c r="EC34" i="21"/>
  <c r="C34" i="21"/>
  <c r="B34" i="21"/>
  <c r="A34" i="21"/>
  <c r="C33" i="21"/>
  <c r="B33" i="21"/>
  <c r="A33" i="21"/>
  <c r="EA32" i="21"/>
  <c r="DZ32" i="21"/>
  <c r="DY32" i="21"/>
  <c r="EC32" i="21"/>
  <c r="C32" i="21"/>
  <c r="B32" i="21"/>
  <c r="A32" i="21"/>
  <c r="EC31" i="21"/>
  <c r="C31" i="21"/>
  <c r="B31" i="21"/>
  <c r="A31" i="21"/>
  <c r="EA30" i="21"/>
  <c r="DY30" i="21"/>
  <c r="C30" i="21"/>
  <c r="B30" i="21"/>
  <c r="A30" i="21"/>
  <c r="EA29" i="21"/>
  <c r="DZ29" i="21"/>
  <c r="DY29" i="21"/>
  <c r="EC29" i="21"/>
  <c r="C29" i="21"/>
  <c r="B29" i="21"/>
  <c r="A29" i="21"/>
  <c r="EA28" i="21"/>
  <c r="DZ28" i="21"/>
  <c r="DY28" i="21"/>
  <c r="EC28" i="21"/>
  <c r="C28" i="21"/>
  <c r="B28" i="21"/>
  <c r="A28" i="21"/>
  <c r="EA27" i="21"/>
  <c r="DZ27" i="21"/>
  <c r="DY27" i="21"/>
  <c r="EC27" i="21"/>
  <c r="C27" i="21"/>
  <c r="B27" i="21"/>
  <c r="A27" i="21"/>
  <c r="EA26" i="21"/>
  <c r="DY26" i="21"/>
  <c r="EC26" i="21"/>
  <c r="C26" i="21"/>
  <c r="B26" i="21"/>
  <c r="A26" i="21"/>
  <c r="EA25" i="21"/>
  <c r="DZ25" i="21"/>
  <c r="DY25" i="21"/>
  <c r="EC25" i="21"/>
  <c r="C25" i="21"/>
  <c r="B25" i="21"/>
  <c r="A25" i="21"/>
  <c r="EA24" i="21"/>
  <c r="DZ24" i="21"/>
  <c r="DY24" i="21"/>
  <c r="EC24" i="21"/>
  <c r="C24" i="21"/>
  <c r="B24" i="21"/>
  <c r="A24" i="21"/>
  <c r="EA23" i="21"/>
  <c r="DZ23" i="21"/>
  <c r="DY23" i="21"/>
  <c r="EC23" i="21"/>
  <c r="C23" i="21"/>
  <c r="B23" i="21"/>
  <c r="A23" i="21"/>
  <c r="EA22" i="21"/>
  <c r="DZ22" i="21"/>
  <c r="DY22" i="21"/>
  <c r="EC22" i="21"/>
  <c r="C22" i="21"/>
  <c r="B22" i="21"/>
  <c r="A22" i="21"/>
  <c r="EA21" i="21"/>
  <c r="DZ21" i="21"/>
  <c r="DY21" i="21"/>
  <c r="EC21" i="21"/>
  <c r="C21" i="21"/>
  <c r="B21" i="21"/>
  <c r="A21" i="21"/>
  <c r="EC20" i="21"/>
  <c r="C20" i="21"/>
  <c r="B20" i="21"/>
  <c r="A20" i="21"/>
  <c r="EC19" i="21"/>
  <c r="C19" i="21"/>
  <c r="B19" i="21"/>
  <c r="A19" i="21"/>
  <c r="EA18" i="21"/>
  <c r="DZ18" i="21"/>
  <c r="DY18" i="21"/>
  <c r="EC18" i="21"/>
  <c r="C18" i="21"/>
  <c r="B18" i="21"/>
  <c r="A18" i="21"/>
  <c r="EA17" i="21"/>
  <c r="DZ17" i="21"/>
  <c r="DY17" i="21"/>
  <c r="EC17" i="21"/>
  <c r="C17" i="21"/>
  <c r="B17" i="21"/>
  <c r="A17" i="21"/>
  <c r="EA16" i="21"/>
  <c r="DZ16" i="21"/>
  <c r="DY16" i="21"/>
  <c r="EC16" i="21"/>
  <c r="C16" i="21"/>
  <c r="B16" i="21"/>
  <c r="A16" i="21"/>
  <c r="EA15" i="21"/>
  <c r="DZ15" i="21"/>
  <c r="DY15" i="21"/>
  <c r="EC15" i="21"/>
  <c r="C15" i="21"/>
  <c r="B15" i="21"/>
  <c r="A15" i="21"/>
  <c r="EA14" i="21"/>
  <c r="DZ14" i="21"/>
  <c r="DY14" i="21"/>
  <c r="EC14" i="21"/>
  <c r="C14" i="21"/>
  <c r="B14" i="21"/>
  <c r="A14" i="21"/>
  <c r="EC13" i="21"/>
  <c r="C13" i="21"/>
  <c r="B13" i="21"/>
  <c r="A13" i="21"/>
  <c r="EA12" i="21"/>
  <c r="DZ12" i="21"/>
  <c r="DY12" i="21"/>
  <c r="EC12" i="21"/>
  <c r="C12" i="21"/>
  <c r="B12" i="21"/>
  <c r="A12" i="21"/>
  <c r="EA11" i="21"/>
  <c r="C11" i="21"/>
  <c r="B11" i="21"/>
  <c r="A11" i="21"/>
  <c r="EA10" i="21"/>
  <c r="DZ10" i="21"/>
  <c r="DY10" i="21"/>
  <c r="EC10" i="21"/>
  <c r="C10" i="21"/>
  <c r="B10" i="21"/>
  <c r="A10" i="21"/>
  <c r="EC9" i="21"/>
  <c r="C9" i="21"/>
  <c r="B9" i="21"/>
  <c r="A9" i="21"/>
  <c r="EA8" i="21"/>
  <c r="DZ8" i="21"/>
  <c r="DY8" i="21"/>
  <c r="C8" i="21"/>
  <c r="B8" i="21"/>
  <c r="A8" i="21"/>
  <c r="EA7" i="21"/>
  <c r="DZ7" i="21"/>
  <c r="C7" i="21"/>
  <c r="B7" i="21"/>
  <c r="A7" i="21"/>
  <c r="EA6" i="21"/>
  <c r="DZ6" i="21"/>
  <c r="DY6" i="21"/>
  <c r="C6" i="21"/>
  <c r="B6" i="21"/>
  <c r="A6" i="21"/>
  <c r="EA5" i="21"/>
  <c r="DZ5" i="21"/>
  <c r="DY5" i="21"/>
  <c r="C5" i="21"/>
  <c r="B5" i="21"/>
  <c r="A5" i="21"/>
  <c r="EA4" i="21"/>
  <c r="DZ4" i="21"/>
  <c r="DY4" i="21"/>
  <c r="C4" i="21"/>
  <c r="B4" i="21"/>
  <c r="A4" i="21"/>
  <c r="H3" i="21"/>
  <c r="C3" i="21"/>
  <c r="B3" i="21"/>
  <c r="A3" i="21"/>
  <c r="CG3" i="3" l="1"/>
  <c r="AC3" i="3"/>
  <c r="EA9" i="21"/>
  <c r="EA51" i="21"/>
  <c r="I154" i="3"/>
  <c r="L154" i="3" s="1"/>
  <c r="P154" i="3" s="1"/>
  <c r="T154" i="3" s="1"/>
  <c r="X154" i="3" s="1"/>
  <c r="AB154" i="3" s="1"/>
  <c r="AF154" i="3" s="1"/>
  <c r="AJ154" i="3" s="1"/>
  <c r="EA13" i="21"/>
  <c r="I174" i="3"/>
  <c r="L174" i="3" s="1"/>
  <c r="P174" i="3" s="1"/>
  <c r="T174" i="3" s="1"/>
  <c r="X174" i="3" s="1"/>
  <c r="AB174" i="3" s="1"/>
  <c r="AF174" i="3" s="1"/>
  <c r="AJ174" i="3" s="1"/>
  <c r="EA20" i="21"/>
  <c r="EA33" i="21"/>
  <c r="EA72" i="21"/>
  <c r="I148" i="3"/>
  <c r="L148" i="3" s="1"/>
  <c r="P148" i="3" s="1"/>
  <c r="T148" i="3" s="1"/>
  <c r="X148" i="3" s="1"/>
  <c r="AB148" i="3" s="1"/>
  <c r="AF148" i="3" s="1"/>
  <c r="AJ148" i="3" s="1"/>
  <c r="I150" i="3"/>
  <c r="L150" i="3" s="1"/>
  <c r="P150" i="3" s="1"/>
  <c r="T150" i="3" s="1"/>
  <c r="X150" i="3" s="1"/>
  <c r="AB150" i="3" s="1"/>
  <c r="AF150" i="3" s="1"/>
  <c r="AJ150" i="3" s="1"/>
  <c r="EA19" i="21"/>
  <c r="EA124" i="21"/>
  <c r="I187" i="3"/>
  <c r="L187" i="3" s="1"/>
  <c r="P187" i="3" s="1"/>
  <c r="T187" i="3" s="1"/>
  <c r="X187" i="3" s="1"/>
  <c r="AB187" i="3" s="1"/>
  <c r="AF187" i="3" s="1"/>
  <c r="AJ187" i="3" s="1"/>
  <c r="EA31" i="21"/>
  <c r="EA53" i="21"/>
  <c r="EA106" i="21"/>
  <c r="I133" i="3"/>
  <c r="L133" i="3" s="1"/>
  <c r="P133" i="3" s="1"/>
  <c r="T133" i="3" s="1"/>
  <c r="X133" i="3" s="1"/>
  <c r="AB133" i="3" s="1"/>
  <c r="AF133" i="3" s="1"/>
  <c r="AJ133" i="3" s="1"/>
  <c r="EA61" i="21"/>
  <c r="EA69" i="21"/>
  <c r="I140" i="3"/>
  <c r="L140" i="3" s="1"/>
  <c r="P140" i="3" s="1"/>
  <c r="T140" i="3" s="1"/>
  <c r="X140" i="3" s="1"/>
  <c r="AB140" i="3" s="1"/>
  <c r="AF140" i="3" s="1"/>
  <c r="AJ140" i="3" s="1"/>
  <c r="I153" i="3"/>
  <c r="L153" i="3" s="1"/>
  <c r="P153" i="3" s="1"/>
  <c r="T153" i="3" s="1"/>
  <c r="X153" i="3" s="1"/>
  <c r="AB153" i="3" s="1"/>
  <c r="AF153" i="3" s="1"/>
  <c r="AJ153" i="3" s="1"/>
  <c r="DY3" i="21"/>
  <c r="EA3" i="21"/>
  <c r="EA68" i="21"/>
  <c r="EA100" i="21"/>
  <c r="EA91" i="21"/>
  <c r="EA118" i="21"/>
  <c r="I147" i="3"/>
  <c r="L147" i="3" s="1"/>
  <c r="P147" i="3" s="1"/>
  <c r="T147" i="3" s="1"/>
  <c r="X147" i="3" s="1"/>
  <c r="AB147" i="3" s="1"/>
  <c r="AF147" i="3" s="1"/>
  <c r="AJ147" i="3" s="1"/>
  <c r="CJ112" i="5"/>
  <c r="DW112" i="5"/>
  <c r="CJ118" i="5"/>
  <c r="DW118" i="5"/>
  <c r="CV142" i="5"/>
  <c r="CT142" i="5"/>
  <c r="CV181" i="5"/>
  <c r="CT181" i="5"/>
  <c r="CV122" i="5"/>
  <c r="CT122" i="5"/>
  <c r="CV126" i="5"/>
  <c r="CT126" i="5"/>
  <c r="CV138" i="5"/>
  <c r="CT138" i="5"/>
  <c r="CV163" i="5"/>
  <c r="CT163" i="5"/>
  <c r="CV169" i="5"/>
  <c r="CT169" i="5"/>
  <c r="CV174" i="5"/>
  <c r="CT174" i="5"/>
  <c r="CV182" i="5"/>
  <c r="CT182" i="5"/>
  <c r="CV201" i="5"/>
  <c r="CT201" i="5"/>
  <c r="CV105" i="5"/>
  <c r="CT105" i="5"/>
  <c r="CV133" i="5"/>
  <c r="CT133" i="5"/>
  <c r="CV143" i="5"/>
  <c r="CT143" i="5"/>
  <c r="CV175" i="5"/>
  <c r="CT175" i="5"/>
  <c r="CV183" i="5"/>
  <c r="CT183" i="5"/>
  <c r="CJ152" i="5"/>
  <c r="DW152" i="5"/>
  <c r="CV123" i="5"/>
  <c r="CT123" i="5"/>
  <c r="CV170" i="5"/>
  <c r="CT170" i="5"/>
  <c r="CV176" i="5"/>
  <c r="CT176" i="5"/>
  <c r="CV184" i="5"/>
  <c r="CT184" i="5"/>
  <c r="CV128" i="5"/>
  <c r="CT128" i="5"/>
  <c r="CV140" i="5"/>
  <c r="CT140" i="5"/>
  <c r="CV177" i="5"/>
  <c r="CT177" i="5"/>
  <c r="CV185" i="5"/>
  <c r="CT185" i="5"/>
  <c r="CJ155" i="5"/>
  <c r="DW155" i="5"/>
  <c r="CV124" i="5"/>
  <c r="CT124" i="5"/>
  <c r="CV161" i="5"/>
  <c r="CT161" i="5"/>
  <c r="CV171" i="5"/>
  <c r="CT171" i="5"/>
  <c r="CV178" i="5"/>
  <c r="CT178" i="5"/>
  <c r="CV186" i="5"/>
  <c r="CT186" i="5"/>
  <c r="CV141" i="5"/>
  <c r="CT141" i="5"/>
  <c r="CV179" i="5"/>
  <c r="CT179" i="5"/>
  <c r="DW144" i="5"/>
  <c r="CJ144" i="5"/>
  <c r="CV121" i="5"/>
  <c r="CT121" i="5"/>
  <c r="CV125" i="5"/>
  <c r="CT125" i="5"/>
  <c r="CV137" i="5"/>
  <c r="CT137" i="5"/>
  <c r="CV162" i="5"/>
  <c r="CT162" i="5"/>
  <c r="CV168" i="5"/>
  <c r="CT168" i="5"/>
  <c r="CV172" i="5"/>
  <c r="CT172" i="5"/>
  <c r="CV180" i="5"/>
  <c r="CT180" i="5"/>
  <c r="CV187" i="5"/>
  <c r="CT187" i="5"/>
  <c r="DY122" i="2"/>
  <c r="CS122" i="3"/>
  <c r="CS145" i="3"/>
  <c r="DY145" i="2"/>
  <c r="CS19" i="3"/>
  <c r="CS186" i="3"/>
  <c r="DY186" i="2"/>
  <c r="CS43" i="3"/>
  <c r="DZ43" i="2"/>
  <c r="DY43" i="2"/>
  <c r="DZ164" i="2"/>
  <c r="CS164" i="3"/>
  <c r="DY191" i="2"/>
  <c r="CS191" i="3"/>
  <c r="DZ191" i="2"/>
  <c r="DY124" i="2"/>
  <c r="CS124" i="3"/>
  <c r="CS44" i="3"/>
  <c r="DY44" i="2"/>
  <c r="DZ85" i="2"/>
  <c r="DY85" i="2"/>
  <c r="CS85" i="3"/>
  <c r="DY101" i="2"/>
  <c r="CS101" i="3"/>
  <c r="CS173" i="3"/>
  <c r="DY183" i="2"/>
  <c r="CS183" i="3"/>
  <c r="CM101" i="5"/>
  <c r="DX101" i="5"/>
  <c r="H124" i="3"/>
  <c r="DI19" i="3"/>
  <c r="DY19" i="2"/>
  <c r="DI132" i="3"/>
  <c r="DY132" i="2"/>
  <c r="DI157" i="3"/>
  <c r="DZ157" i="2"/>
  <c r="DY157" i="2"/>
  <c r="DI165" i="3"/>
  <c r="DY165" i="2"/>
  <c r="DI147" i="3"/>
  <c r="DY147" i="2"/>
  <c r="DI26" i="3"/>
  <c r="DY26" i="2"/>
  <c r="DI86" i="3"/>
  <c r="DY86" i="2"/>
  <c r="DI102" i="3"/>
  <c r="DY102" i="2"/>
  <c r="DI18" i="3"/>
  <c r="DY18" i="2"/>
  <c r="DI164" i="3"/>
  <c r="DY164" i="2"/>
  <c r="BQ14" i="3"/>
  <c r="DI111" i="3"/>
  <c r="DY111" i="2"/>
  <c r="DI5" i="3"/>
  <c r="DY5" i="2"/>
  <c r="DI46" i="3"/>
  <c r="DZ46" i="2"/>
  <c r="DY46" i="2"/>
  <c r="DY103" i="2"/>
  <c r="DI146" i="3"/>
  <c r="DY146" i="2"/>
  <c r="DZ146" i="2"/>
  <c r="DI150" i="3"/>
  <c r="DY150" i="2"/>
  <c r="DI91" i="3"/>
  <c r="DY91" i="2"/>
  <c r="DI173" i="3"/>
  <c r="DY173" i="2"/>
  <c r="EA154" i="5"/>
  <c r="CU128" i="5"/>
  <c r="G128" i="5"/>
  <c r="CU140" i="5"/>
  <c r="G140" i="5"/>
  <c r="CU142" i="5"/>
  <c r="G142" i="5"/>
  <c r="CU177" i="5"/>
  <c r="G177" i="5"/>
  <c r="CU181" i="5"/>
  <c r="G181" i="5"/>
  <c r="CU185" i="5"/>
  <c r="G185" i="5"/>
  <c r="CU122" i="5"/>
  <c r="G122" i="5"/>
  <c r="CU124" i="5"/>
  <c r="G124" i="5"/>
  <c r="CU126" i="5"/>
  <c r="G126" i="5"/>
  <c r="CU138" i="5"/>
  <c r="G138" i="5"/>
  <c r="CU161" i="5"/>
  <c r="G161" i="5"/>
  <c r="CU163" i="5"/>
  <c r="G163" i="5"/>
  <c r="CU169" i="5"/>
  <c r="G169" i="5"/>
  <c r="CU171" i="5"/>
  <c r="G171" i="5"/>
  <c r="CU174" i="5"/>
  <c r="G174" i="5"/>
  <c r="CU178" i="5"/>
  <c r="G178" i="5"/>
  <c r="CU182" i="5"/>
  <c r="G182" i="5"/>
  <c r="CU186" i="5"/>
  <c r="G186" i="5"/>
  <c r="CU201" i="5"/>
  <c r="G201" i="5"/>
  <c r="DW193" i="5"/>
  <c r="CJ193" i="5"/>
  <c r="CJ90" i="5"/>
  <c r="DW90" i="5"/>
  <c r="CU105" i="5"/>
  <c r="G105" i="5"/>
  <c r="CU133" i="5"/>
  <c r="G133" i="5"/>
  <c r="CU141" i="5"/>
  <c r="G141" i="5"/>
  <c r="CU143" i="5"/>
  <c r="G143" i="5"/>
  <c r="CU175" i="5"/>
  <c r="G175" i="5"/>
  <c r="CU179" i="5"/>
  <c r="G179" i="5"/>
  <c r="CU183" i="5"/>
  <c r="G183" i="5"/>
  <c r="DW6" i="5"/>
  <c r="CJ6" i="5"/>
  <c r="CU121" i="5"/>
  <c r="G121" i="5"/>
  <c r="CU123" i="5"/>
  <c r="G123" i="5"/>
  <c r="CU125" i="5"/>
  <c r="G125" i="5"/>
  <c r="CU137" i="5"/>
  <c r="G137" i="5"/>
  <c r="CU162" i="5"/>
  <c r="G162" i="5"/>
  <c r="CU168" i="5"/>
  <c r="G168" i="5"/>
  <c r="CU170" i="5"/>
  <c r="G170" i="5"/>
  <c r="CU172" i="5"/>
  <c r="G172" i="5"/>
  <c r="CU176" i="5"/>
  <c r="G176" i="5"/>
  <c r="CU180" i="5"/>
  <c r="G180" i="5"/>
  <c r="CU184" i="5"/>
  <c r="G184" i="5"/>
  <c r="CU187" i="5"/>
  <c r="G187" i="5"/>
  <c r="DW102" i="5"/>
  <c r="CJ102" i="5"/>
  <c r="CP196" i="5"/>
  <c r="DY196" i="5"/>
  <c r="DX91" i="5"/>
  <c r="CM91" i="5"/>
  <c r="DX131" i="5"/>
  <c r="CM131" i="5"/>
  <c r="CM108" i="5"/>
  <c r="DX108" i="5"/>
  <c r="DX119" i="5"/>
  <c r="CM119" i="5"/>
  <c r="CM132" i="5"/>
  <c r="DX132" i="5"/>
  <c r="DY89" i="5"/>
  <c r="CP89" i="5"/>
  <c r="CM47" i="5"/>
  <c r="DX47" i="5"/>
  <c r="CM11" i="5"/>
  <c r="DX11" i="5"/>
  <c r="CM55" i="5"/>
  <c r="DX55" i="5"/>
  <c r="CM49" i="5"/>
  <c r="DX49" i="5"/>
  <c r="CM85" i="5"/>
  <c r="DX85" i="5"/>
  <c r="CM69" i="5"/>
  <c r="DX69" i="5"/>
  <c r="CM25" i="5"/>
  <c r="DX25" i="5"/>
  <c r="DX197" i="5"/>
  <c r="CM197" i="5"/>
  <c r="DX4" i="5"/>
  <c r="CM4" i="5"/>
  <c r="CM45" i="5"/>
  <c r="DX45" i="5"/>
  <c r="CM64" i="5"/>
  <c r="DX64" i="5"/>
  <c r="CM37" i="5"/>
  <c r="DX37" i="5"/>
  <c r="CM116" i="5"/>
  <c r="DX116" i="5"/>
  <c r="CM82" i="5"/>
  <c r="DX82" i="5"/>
  <c r="DX167" i="5"/>
  <c r="CM167" i="5"/>
  <c r="CM16" i="5"/>
  <c r="DX16" i="5"/>
  <c r="CM72" i="5"/>
  <c r="DX72" i="5"/>
  <c r="CM81" i="5"/>
  <c r="DX81" i="5"/>
  <c r="CM76" i="5"/>
  <c r="DX76" i="5"/>
  <c r="CM48" i="5"/>
  <c r="DX48" i="5"/>
  <c r="CM35" i="5"/>
  <c r="DX35" i="5"/>
  <c r="DX127" i="5"/>
  <c r="CM127" i="5"/>
  <c r="CM153" i="5"/>
  <c r="DX153" i="5"/>
  <c r="CM149" i="5"/>
  <c r="DX149" i="5"/>
  <c r="DY117" i="5"/>
  <c r="CP117" i="5"/>
  <c r="DY146" i="5"/>
  <c r="CP146" i="5"/>
  <c r="DX139" i="5"/>
  <c r="CM139" i="5"/>
  <c r="CM111" i="5"/>
  <c r="DX111" i="5"/>
  <c r="DX151" i="5"/>
  <c r="CM151" i="5"/>
  <c r="CM148" i="5"/>
  <c r="DX148" i="5"/>
  <c r="CM145" i="5"/>
  <c r="DX145" i="5"/>
  <c r="DX94" i="5"/>
  <c r="CM94" i="5"/>
  <c r="CM74" i="5"/>
  <c r="DX74" i="5"/>
  <c r="CM14" i="5"/>
  <c r="DX14" i="5"/>
  <c r="DX7" i="5"/>
  <c r="CM7" i="5"/>
  <c r="DY150" i="5"/>
  <c r="CP150" i="5"/>
  <c r="CM43" i="5"/>
  <c r="DX43" i="5"/>
  <c r="DY198" i="5"/>
  <c r="CP198" i="5"/>
  <c r="CM68" i="5"/>
  <c r="DX68" i="5"/>
  <c r="CM24" i="5"/>
  <c r="DX24" i="5"/>
  <c r="CM27" i="5"/>
  <c r="DX27" i="5"/>
  <c r="CM15" i="5"/>
  <c r="DX15" i="5"/>
  <c r="CM42" i="5"/>
  <c r="DX42" i="5"/>
  <c r="CM22" i="5"/>
  <c r="DX22" i="5"/>
  <c r="CM30" i="5"/>
  <c r="DX30" i="5"/>
  <c r="DY192" i="5"/>
  <c r="CP192" i="5"/>
  <c r="CM18" i="5"/>
  <c r="DX18" i="5"/>
  <c r="CM77" i="5"/>
  <c r="DX77" i="5"/>
  <c r="CM79" i="5"/>
  <c r="DX79" i="5"/>
  <c r="CM65" i="5"/>
  <c r="DX65" i="5"/>
  <c r="CM19" i="5"/>
  <c r="DX19" i="5"/>
  <c r="CM59" i="5"/>
  <c r="DX59" i="5"/>
  <c r="CM58" i="5"/>
  <c r="DX58" i="5"/>
  <c r="CM75" i="5"/>
  <c r="DX75" i="5"/>
  <c r="CM21" i="5"/>
  <c r="DX21" i="5"/>
  <c r="CM29" i="5"/>
  <c r="DX29" i="5"/>
  <c r="CM199" i="5"/>
  <c r="DX199" i="5"/>
  <c r="DX99" i="5"/>
  <c r="CM99" i="5"/>
  <c r="DX92" i="5"/>
  <c r="CM92" i="5"/>
  <c r="DX96" i="5"/>
  <c r="CM96" i="5"/>
  <c r="DY194" i="5"/>
  <c r="CP194" i="5"/>
  <c r="DX98" i="5"/>
  <c r="CM98" i="5"/>
  <c r="DY130" i="5"/>
  <c r="CP130" i="5"/>
  <c r="CM200" i="5"/>
  <c r="DX200" i="5"/>
  <c r="CP195" i="5"/>
  <c r="DY195" i="5"/>
  <c r="DX135" i="5"/>
  <c r="CM135" i="5"/>
  <c r="CM136" i="5"/>
  <c r="DX136" i="5"/>
  <c r="CM56" i="5"/>
  <c r="DX56" i="5"/>
  <c r="CM10" i="5"/>
  <c r="DX10" i="5"/>
  <c r="CM44" i="5"/>
  <c r="DX44" i="5"/>
  <c r="CM23" i="5"/>
  <c r="DX23" i="5"/>
  <c r="CM36" i="5"/>
  <c r="DX36" i="5"/>
  <c r="DY134" i="5"/>
  <c r="CP134" i="5"/>
  <c r="CM31" i="5"/>
  <c r="DX31" i="5"/>
  <c r="CM84" i="5"/>
  <c r="DX84" i="5"/>
  <c r="CM67" i="5"/>
  <c r="DX67" i="5"/>
  <c r="CM33" i="5"/>
  <c r="DX33" i="5"/>
  <c r="DX173" i="5"/>
  <c r="CM173" i="5"/>
  <c r="CM53" i="5"/>
  <c r="DX53" i="5"/>
  <c r="DX191" i="5"/>
  <c r="CM191" i="5"/>
  <c r="CM114" i="5"/>
  <c r="DX114" i="5"/>
  <c r="CM9" i="5"/>
  <c r="DX9" i="5"/>
  <c r="DX12" i="5"/>
  <c r="CM12" i="5"/>
  <c r="CM38" i="5"/>
  <c r="DX38" i="5"/>
  <c r="CM87" i="5"/>
  <c r="DX87" i="5"/>
  <c r="CM83" i="5"/>
  <c r="DX83" i="5"/>
  <c r="CM5" i="5"/>
  <c r="DX5" i="5"/>
  <c r="CM60" i="5"/>
  <c r="DX60" i="5"/>
  <c r="CM17" i="5"/>
  <c r="DX17" i="5"/>
  <c r="CM57" i="5"/>
  <c r="DX57" i="5"/>
  <c r="CM39" i="5"/>
  <c r="DX39" i="5"/>
  <c r="CM80" i="5"/>
  <c r="DX80" i="5"/>
  <c r="CM66" i="5"/>
  <c r="DX66" i="5"/>
  <c r="DY106" i="5"/>
  <c r="CP106" i="5"/>
  <c r="CM190" i="5"/>
  <c r="DX190" i="5"/>
  <c r="DX88" i="5"/>
  <c r="CM88" i="5"/>
  <c r="CM113" i="5"/>
  <c r="DX113" i="5"/>
  <c r="CP189" i="5"/>
  <c r="DY189" i="5"/>
  <c r="CM129" i="5"/>
  <c r="DX129" i="5"/>
  <c r="DX115" i="5"/>
  <c r="CM115" i="5"/>
  <c r="DX147" i="5"/>
  <c r="CM147" i="5"/>
  <c r="DY93" i="5"/>
  <c r="CP93" i="5"/>
  <c r="CM41" i="5"/>
  <c r="DX41" i="5"/>
  <c r="CM107" i="5"/>
  <c r="DX107" i="5"/>
  <c r="DX8" i="5"/>
  <c r="CM8" i="5"/>
  <c r="CM71" i="5"/>
  <c r="DX71" i="5"/>
  <c r="CM32" i="5"/>
  <c r="DX32" i="5"/>
  <c r="CM73" i="5"/>
  <c r="DX73" i="5"/>
  <c r="CM120" i="5"/>
  <c r="DX120" i="5"/>
  <c r="CM78" i="5"/>
  <c r="DX78" i="5"/>
  <c r="CM13" i="5"/>
  <c r="DX13" i="5"/>
  <c r="CM52" i="5"/>
  <c r="DX52" i="5"/>
  <c r="CM34" i="5"/>
  <c r="DX34" i="5"/>
  <c r="CM63" i="5"/>
  <c r="DX63" i="5"/>
  <c r="DY188" i="5"/>
  <c r="CP188" i="5"/>
  <c r="DY104" i="5"/>
  <c r="CP104" i="5"/>
  <c r="CM28" i="5"/>
  <c r="DX28" i="5"/>
  <c r="CM95" i="5"/>
  <c r="DX95" i="5"/>
  <c r="CM26" i="5"/>
  <c r="DX26" i="5"/>
  <c r="CM50" i="5"/>
  <c r="DX50" i="5"/>
  <c r="CM40" i="5"/>
  <c r="DX40" i="5"/>
  <c r="CM62" i="5"/>
  <c r="DX62" i="5"/>
  <c r="CM51" i="5"/>
  <c r="DX51" i="5"/>
  <c r="CM86" i="5"/>
  <c r="DX86" i="5"/>
  <c r="CM20" i="5"/>
  <c r="DX20" i="5"/>
  <c r="CM70" i="5"/>
  <c r="DX70" i="5"/>
  <c r="CM61" i="5"/>
  <c r="DX61" i="5"/>
  <c r="CM46" i="5"/>
  <c r="DX46" i="5"/>
  <c r="CM54" i="5"/>
  <c r="DX54" i="5"/>
  <c r="DX100" i="5"/>
  <c r="CM100" i="5"/>
  <c r="CG13" i="3"/>
  <c r="CG9" i="3"/>
  <c r="DZ9" i="2"/>
  <c r="BA122" i="3"/>
  <c r="BA102" i="3"/>
  <c r="BA13" i="3"/>
  <c r="BA57" i="3"/>
  <c r="BA61" i="3"/>
  <c r="BA67" i="3"/>
  <c r="DZ145" i="2"/>
  <c r="BA145" i="3"/>
  <c r="DZ147" i="2"/>
  <c r="BA147" i="3"/>
  <c r="BA9" i="3"/>
  <c r="BA158" i="3"/>
  <c r="BA164" i="3"/>
  <c r="BA137" i="3"/>
  <c r="BA14" i="3"/>
  <c r="BA121" i="3"/>
  <c r="BA3" i="3"/>
  <c r="BA103" i="3"/>
  <c r="BA10" i="3"/>
  <c r="BA29" i="3"/>
  <c r="BA44" i="3"/>
  <c r="BA91" i="3"/>
  <c r="BA140" i="3"/>
  <c r="BA173" i="3"/>
  <c r="BA187" i="3"/>
  <c r="BA26" i="3"/>
  <c r="BA19" i="3"/>
  <c r="BA128" i="3"/>
  <c r="BA132" i="3"/>
  <c r="DZ132" i="2"/>
  <c r="AW91" i="3"/>
  <c r="AW19" i="3"/>
  <c r="AW132" i="3"/>
  <c r="AW10" i="3"/>
  <c r="AW8" i="3"/>
  <c r="AW118" i="3"/>
  <c r="AW13" i="3"/>
  <c r="AW57" i="3"/>
  <c r="AW147" i="3"/>
  <c r="AW26" i="3"/>
  <c r="AW90" i="3"/>
  <c r="AW102" i="3"/>
  <c r="AW137" i="3"/>
  <c r="AO166" i="3"/>
  <c r="AW9" i="3"/>
  <c r="AW164" i="3"/>
  <c r="AW44" i="3"/>
  <c r="AW14" i="3"/>
  <c r="AW33" i="3"/>
  <c r="AW111" i="3"/>
  <c r="DZ121" i="2"/>
  <c r="AW121" i="3"/>
  <c r="AK15" i="3"/>
  <c r="AK17" i="3"/>
  <c r="AK19" i="3"/>
  <c r="AK34" i="3"/>
  <c r="AK36" i="3"/>
  <c r="DZ36" i="2"/>
  <c r="DZ38" i="2"/>
  <c r="AK38" i="3"/>
  <c r="AK40" i="3"/>
  <c r="DZ42" i="2"/>
  <c r="AK42" i="3"/>
  <c r="AK75" i="3"/>
  <c r="AK77" i="3"/>
  <c r="DZ79" i="2"/>
  <c r="AK79" i="3"/>
  <c r="AK124" i="3"/>
  <c r="AK126" i="3"/>
  <c r="AN126" i="3" s="1"/>
  <c r="AR126" i="3" s="1"/>
  <c r="AK128" i="3"/>
  <c r="AN128" i="3" s="1"/>
  <c r="AR128" i="3" s="1"/>
  <c r="AK130" i="3"/>
  <c r="AN130" i="3" s="1"/>
  <c r="AR130" i="3" s="1"/>
  <c r="AK132" i="3"/>
  <c r="AN132" i="3" s="1"/>
  <c r="AR132" i="3" s="1"/>
  <c r="AK155" i="3"/>
  <c r="AN155" i="3" s="1"/>
  <c r="AR155" i="3" s="1"/>
  <c r="AK157" i="3"/>
  <c r="AN157" i="3" s="1"/>
  <c r="AR157" i="3" s="1"/>
  <c r="DZ159" i="2"/>
  <c r="AK159" i="3"/>
  <c r="AN159" i="3" s="1"/>
  <c r="AR159" i="3" s="1"/>
  <c r="AK161" i="3"/>
  <c r="AN161" i="3" s="1"/>
  <c r="AR161" i="3" s="1"/>
  <c r="AK163" i="3"/>
  <c r="AN163" i="3" s="1"/>
  <c r="AR163" i="3" s="1"/>
  <c r="AK165" i="3"/>
  <c r="AN165" i="3" s="1"/>
  <c r="AR165" i="3" s="1"/>
  <c r="DZ194" i="2"/>
  <c r="AK194" i="3"/>
  <c r="DZ196" i="2"/>
  <c r="AK196" i="3"/>
  <c r="AK198" i="3"/>
  <c r="DZ200" i="2"/>
  <c r="AK200" i="3"/>
  <c r="AK202" i="3"/>
  <c r="AN202" i="3" s="1"/>
  <c r="AR202" i="3" s="1"/>
  <c r="AV202" i="3" s="1"/>
  <c r="AZ202" i="3" s="1"/>
  <c r="AK5" i="3"/>
  <c r="DZ50" i="2"/>
  <c r="AK50" i="3"/>
  <c r="AK8" i="3"/>
  <c r="AK32" i="3"/>
  <c r="AK73" i="3"/>
  <c r="AK104" i="3"/>
  <c r="AK106" i="3"/>
  <c r="AK108" i="3"/>
  <c r="AK112" i="3"/>
  <c r="DZ114" i="2"/>
  <c r="AK114" i="3"/>
  <c r="AK116" i="3"/>
  <c r="DZ118" i="2"/>
  <c r="AK118" i="3"/>
  <c r="AK120" i="3"/>
  <c r="AK122" i="3"/>
  <c r="AN122" i="3" s="1"/>
  <c r="AR122" i="3" s="1"/>
  <c r="DZ190" i="2"/>
  <c r="AK190" i="3"/>
  <c r="AK192" i="3"/>
  <c r="AK48" i="3"/>
  <c r="DZ48" i="2"/>
  <c r="AK6" i="3"/>
  <c r="AK11" i="3"/>
  <c r="AK13" i="3"/>
  <c r="AK45" i="3"/>
  <c r="AK47" i="3"/>
  <c r="DZ49" i="2"/>
  <c r="AK49" i="3"/>
  <c r="AK51" i="3"/>
  <c r="AK53" i="3"/>
  <c r="DZ55" i="2"/>
  <c r="AK55" i="3"/>
  <c r="AK57" i="3"/>
  <c r="DZ59" i="2"/>
  <c r="AK59" i="3"/>
  <c r="AK61" i="3"/>
  <c r="AK63" i="3"/>
  <c r="DZ65" i="2"/>
  <c r="AK65" i="3"/>
  <c r="AK67" i="3"/>
  <c r="AK69" i="3"/>
  <c r="DZ71" i="2"/>
  <c r="AK71" i="3"/>
  <c r="AK143" i="3"/>
  <c r="AN143" i="3" s="1"/>
  <c r="AR143" i="3" s="1"/>
  <c r="AK145" i="3"/>
  <c r="AN145" i="3" s="1"/>
  <c r="AR145" i="3" s="1"/>
  <c r="AK147" i="3"/>
  <c r="AK149" i="3"/>
  <c r="AN149" i="3" s="1"/>
  <c r="AR149" i="3" s="1"/>
  <c r="DZ151" i="2"/>
  <c r="AK151" i="3"/>
  <c r="AN151" i="3" s="1"/>
  <c r="AR151" i="3" s="1"/>
  <c r="AK153" i="3"/>
  <c r="AK188" i="3"/>
  <c r="DZ188" i="2"/>
  <c r="AK46" i="3"/>
  <c r="AK4" i="3"/>
  <c r="AK20" i="3"/>
  <c r="DZ20" i="2"/>
  <c r="AK22" i="3"/>
  <c r="AK24" i="3"/>
  <c r="DZ24" i="2"/>
  <c r="AK26" i="3"/>
  <c r="AK28" i="3"/>
  <c r="DZ30" i="2"/>
  <c r="AK30" i="3"/>
  <c r="AK80" i="3"/>
  <c r="AK82" i="3"/>
  <c r="AK84" i="3"/>
  <c r="DZ84" i="2"/>
  <c r="AK86" i="3"/>
  <c r="AK88" i="3"/>
  <c r="DZ88" i="2"/>
  <c r="AK90" i="3"/>
  <c r="AK92" i="3"/>
  <c r="AK94" i="3"/>
  <c r="AK96" i="3"/>
  <c r="AK98" i="3"/>
  <c r="AK100" i="3"/>
  <c r="DZ100" i="2"/>
  <c r="AK102" i="3"/>
  <c r="AK133" i="3"/>
  <c r="DZ135" i="2"/>
  <c r="AK135" i="3"/>
  <c r="AN135" i="3" s="1"/>
  <c r="AR135" i="3" s="1"/>
  <c r="AK137" i="3"/>
  <c r="AN137" i="3" s="1"/>
  <c r="AR137" i="3" s="1"/>
  <c r="AK139" i="3"/>
  <c r="AN139" i="3" s="1"/>
  <c r="AR139" i="3" s="1"/>
  <c r="AK141" i="3"/>
  <c r="AN141" i="3" s="1"/>
  <c r="AR141" i="3" s="1"/>
  <c r="AK166" i="3"/>
  <c r="AN166" i="3" s="1"/>
  <c r="AK168" i="3"/>
  <c r="AN168" i="3" s="1"/>
  <c r="AR168" i="3" s="1"/>
  <c r="AV168" i="3" s="1"/>
  <c r="AZ168" i="3" s="1"/>
  <c r="DZ168" i="2"/>
  <c r="AK170" i="3"/>
  <c r="AN170" i="3" s="1"/>
  <c r="AR170" i="3" s="1"/>
  <c r="AV170" i="3" s="1"/>
  <c r="AZ170" i="3" s="1"/>
  <c r="AK172" i="3"/>
  <c r="AN172" i="3" s="1"/>
  <c r="AR172" i="3" s="1"/>
  <c r="AV172" i="3" s="1"/>
  <c r="AZ172" i="3" s="1"/>
  <c r="DZ172" i="2"/>
  <c r="DZ174" i="2"/>
  <c r="AK174" i="3"/>
  <c r="AK176" i="3"/>
  <c r="AN176" i="3" s="1"/>
  <c r="AR176" i="3" s="1"/>
  <c r="AV176" i="3" s="1"/>
  <c r="AZ176" i="3" s="1"/>
  <c r="DZ176" i="2"/>
  <c r="DZ178" i="2"/>
  <c r="AK178" i="3"/>
  <c r="AN178" i="3" s="1"/>
  <c r="AR178" i="3" s="1"/>
  <c r="AV178" i="3" s="1"/>
  <c r="AZ178" i="3" s="1"/>
  <c r="AK180" i="3"/>
  <c r="AN180" i="3" s="1"/>
  <c r="AR180" i="3" s="1"/>
  <c r="AV180" i="3" s="1"/>
  <c r="AZ180" i="3" s="1"/>
  <c r="AK182" i="3"/>
  <c r="AN182" i="3" s="1"/>
  <c r="AR182" i="3" s="1"/>
  <c r="AV182" i="3" s="1"/>
  <c r="AZ182" i="3" s="1"/>
  <c r="DZ182" i="2"/>
  <c r="DZ184" i="2"/>
  <c r="AK184" i="3"/>
  <c r="AN184" i="3" s="1"/>
  <c r="AR184" i="3" s="1"/>
  <c r="AV184" i="3" s="1"/>
  <c r="AZ184" i="3" s="1"/>
  <c r="AK186" i="3"/>
  <c r="AN186" i="3" s="1"/>
  <c r="AR186" i="3" s="1"/>
  <c r="AV186" i="3" s="1"/>
  <c r="AZ186" i="3" s="1"/>
  <c r="DZ186" i="2"/>
  <c r="AK9" i="3"/>
  <c r="DZ16" i="2"/>
  <c r="AK16" i="3"/>
  <c r="AK18" i="3"/>
  <c r="AK35" i="3"/>
  <c r="DZ37" i="2"/>
  <c r="AK37" i="3"/>
  <c r="AK39" i="3"/>
  <c r="DZ41" i="2"/>
  <c r="AK41" i="3"/>
  <c r="AK43" i="3"/>
  <c r="AK74" i="3"/>
  <c r="AK76" i="3"/>
  <c r="DZ76" i="2"/>
  <c r="AK78" i="3"/>
  <c r="AK125" i="3"/>
  <c r="AN125" i="3" s="1"/>
  <c r="AR125" i="3" s="1"/>
  <c r="DZ127" i="2"/>
  <c r="AK127" i="3"/>
  <c r="AN127" i="3" s="1"/>
  <c r="AR127" i="3" s="1"/>
  <c r="AK129" i="3"/>
  <c r="AN129" i="3" s="1"/>
  <c r="AR129" i="3" s="1"/>
  <c r="DZ131" i="2"/>
  <c r="AK131" i="3"/>
  <c r="AN131" i="3" s="1"/>
  <c r="AR131" i="3" s="1"/>
  <c r="DZ156" i="2"/>
  <c r="AK156" i="3"/>
  <c r="AN156" i="3" s="1"/>
  <c r="AR156" i="3" s="1"/>
  <c r="AK158" i="3"/>
  <c r="AN158" i="3" s="1"/>
  <c r="AR158" i="3" s="1"/>
  <c r="DZ160" i="2"/>
  <c r="AK160" i="3"/>
  <c r="AN160" i="3" s="1"/>
  <c r="AR160" i="3" s="1"/>
  <c r="AK162" i="3"/>
  <c r="AN162" i="3" s="1"/>
  <c r="AR162" i="3" s="1"/>
  <c r="AK164" i="3"/>
  <c r="AN164" i="3" s="1"/>
  <c r="AR164" i="3" s="1"/>
  <c r="AK195" i="3"/>
  <c r="DZ195" i="2"/>
  <c r="AK197" i="3"/>
  <c r="DZ199" i="2"/>
  <c r="AK199" i="3"/>
  <c r="AK201" i="3"/>
  <c r="AN201" i="3" s="1"/>
  <c r="AR201" i="3" s="1"/>
  <c r="AV201" i="3" s="1"/>
  <c r="AZ201" i="3" s="1"/>
  <c r="DZ201" i="2"/>
  <c r="AK52" i="3"/>
  <c r="DZ7" i="2"/>
  <c r="AK7" i="3"/>
  <c r="AK14" i="3"/>
  <c r="AK33" i="3"/>
  <c r="DZ105" i="2"/>
  <c r="AK105" i="3"/>
  <c r="AK107" i="3"/>
  <c r="DZ109" i="2"/>
  <c r="AK111" i="3"/>
  <c r="AK113" i="3"/>
  <c r="DZ115" i="2"/>
  <c r="AK115" i="3"/>
  <c r="AK117" i="3"/>
  <c r="AK119" i="3"/>
  <c r="AK121" i="3"/>
  <c r="AN121" i="3" s="1"/>
  <c r="AR121" i="3" s="1"/>
  <c r="AK123" i="3"/>
  <c r="AN123" i="3" s="1"/>
  <c r="AR123" i="3" s="1"/>
  <c r="AK154" i="3"/>
  <c r="AK191" i="3"/>
  <c r="AK193" i="3"/>
  <c r="DZ3" i="2"/>
  <c r="AK31" i="3"/>
  <c r="AK54" i="3"/>
  <c r="DZ54" i="2"/>
  <c r="DZ58" i="2"/>
  <c r="AK58" i="3"/>
  <c r="AK60" i="3"/>
  <c r="AK62" i="3"/>
  <c r="DZ62" i="2"/>
  <c r="AK64" i="3"/>
  <c r="AK66" i="3"/>
  <c r="DZ66" i="2"/>
  <c r="DZ68" i="2"/>
  <c r="AK68" i="3"/>
  <c r="AK70" i="3"/>
  <c r="AK72" i="3"/>
  <c r="DZ142" i="2"/>
  <c r="AK142" i="3"/>
  <c r="AN142" i="3" s="1"/>
  <c r="AR142" i="3" s="1"/>
  <c r="DZ144" i="2"/>
  <c r="AK144" i="3"/>
  <c r="AN144" i="3" s="1"/>
  <c r="AR144" i="3" s="1"/>
  <c r="AK146" i="3"/>
  <c r="AN146" i="3" s="1"/>
  <c r="AR146" i="3" s="1"/>
  <c r="AK148" i="3"/>
  <c r="AK150" i="3"/>
  <c r="AK152" i="3"/>
  <c r="AN152" i="3" s="1"/>
  <c r="AR152" i="3" s="1"/>
  <c r="DZ152" i="2"/>
  <c r="AK189" i="3"/>
  <c r="DZ189" i="2"/>
  <c r="AK12" i="3"/>
  <c r="AK56" i="3"/>
  <c r="AK10" i="3"/>
  <c r="DZ21" i="2"/>
  <c r="AK21" i="3"/>
  <c r="DZ23" i="2"/>
  <c r="AK23" i="3"/>
  <c r="AK25" i="3"/>
  <c r="DZ25" i="2"/>
  <c r="AK27" i="3"/>
  <c r="AK29" i="3"/>
  <c r="AK44" i="3"/>
  <c r="AK81" i="3"/>
  <c r="DZ83" i="2"/>
  <c r="AK83" i="3"/>
  <c r="AK85" i="3"/>
  <c r="DZ87" i="2"/>
  <c r="AK87" i="3"/>
  <c r="DZ89" i="2"/>
  <c r="AK89" i="3"/>
  <c r="AK91" i="3"/>
  <c r="AK93" i="3"/>
  <c r="DZ95" i="2"/>
  <c r="AK95" i="3"/>
  <c r="DZ97" i="2"/>
  <c r="AK97" i="3"/>
  <c r="DZ99" i="2"/>
  <c r="AK99" i="3"/>
  <c r="DZ101" i="2"/>
  <c r="AK101" i="3"/>
  <c r="DZ134" i="2"/>
  <c r="AK134" i="3"/>
  <c r="AN134" i="3" s="1"/>
  <c r="AR134" i="3" s="1"/>
  <c r="AK136" i="3"/>
  <c r="AN136" i="3" s="1"/>
  <c r="AR136" i="3" s="1"/>
  <c r="AK138" i="3"/>
  <c r="AN138" i="3" s="1"/>
  <c r="AR138" i="3" s="1"/>
  <c r="AK140" i="3"/>
  <c r="DZ140" i="2"/>
  <c r="DZ167" i="2"/>
  <c r="AK167" i="3"/>
  <c r="AN167" i="3" s="1"/>
  <c r="AR167" i="3" s="1"/>
  <c r="AV167" i="3" s="1"/>
  <c r="AZ167" i="3" s="1"/>
  <c r="DZ169" i="2"/>
  <c r="AK169" i="3"/>
  <c r="AN169" i="3" s="1"/>
  <c r="AR169" i="3" s="1"/>
  <c r="AV169" i="3" s="1"/>
  <c r="AZ169" i="3" s="1"/>
  <c r="DZ171" i="2"/>
  <c r="AK171" i="3"/>
  <c r="AN171" i="3" s="1"/>
  <c r="AR171" i="3" s="1"/>
  <c r="AV171" i="3" s="1"/>
  <c r="AZ171" i="3" s="1"/>
  <c r="AK173" i="3"/>
  <c r="AN173" i="3" s="1"/>
  <c r="AR173" i="3" s="1"/>
  <c r="DZ175" i="2"/>
  <c r="AK175" i="3"/>
  <c r="AN175" i="3" s="1"/>
  <c r="AR175" i="3" s="1"/>
  <c r="AV175" i="3" s="1"/>
  <c r="AZ175" i="3" s="1"/>
  <c r="DZ177" i="2"/>
  <c r="AK177" i="3"/>
  <c r="AN177" i="3" s="1"/>
  <c r="AR177" i="3" s="1"/>
  <c r="AV177" i="3" s="1"/>
  <c r="AZ177" i="3" s="1"/>
  <c r="AK179" i="3"/>
  <c r="AN179" i="3" s="1"/>
  <c r="AR179" i="3" s="1"/>
  <c r="AV179" i="3" s="1"/>
  <c r="AZ179" i="3" s="1"/>
  <c r="DZ179" i="2"/>
  <c r="DZ181" i="2"/>
  <c r="AK181" i="3"/>
  <c r="AN181" i="3" s="1"/>
  <c r="AR181" i="3" s="1"/>
  <c r="AV181" i="3" s="1"/>
  <c r="AZ181" i="3" s="1"/>
  <c r="DZ183" i="2"/>
  <c r="AK183" i="3"/>
  <c r="AN183" i="3" s="1"/>
  <c r="AR183" i="3" s="1"/>
  <c r="AV183" i="3" s="1"/>
  <c r="AZ183" i="3" s="1"/>
  <c r="AK185" i="3"/>
  <c r="AN185" i="3" s="1"/>
  <c r="AR185" i="3" s="1"/>
  <c r="AV185" i="3" s="1"/>
  <c r="AZ185" i="3" s="1"/>
  <c r="DZ185" i="2"/>
  <c r="AK187" i="3"/>
  <c r="DZ34" i="2"/>
  <c r="DZ52" i="2"/>
  <c r="DZ60" i="2"/>
  <c r="DZ78" i="2"/>
  <c r="DZ86" i="2"/>
  <c r="DZ94" i="2"/>
  <c r="DZ125" i="2"/>
  <c r="DZ129" i="2"/>
  <c r="DZ143" i="2"/>
  <c r="DZ149" i="2"/>
  <c r="H154" i="2"/>
  <c r="EB154" i="2" s="1"/>
  <c r="DZ4" i="2"/>
  <c r="DZ15" i="2"/>
  <c r="DZ28" i="2"/>
  <c r="DZ57" i="2"/>
  <c r="DZ75" i="2"/>
  <c r="DZ80" i="2"/>
  <c r="DZ91" i="2"/>
  <c r="DZ107" i="2"/>
  <c r="DZ128" i="2"/>
  <c r="DZ69" i="2"/>
  <c r="DZ96" i="2"/>
  <c r="DZ104" i="2"/>
  <c r="DZ112" i="2"/>
  <c r="DZ161" i="2"/>
  <c r="DI3" i="3"/>
  <c r="DZ12" i="2"/>
  <c r="DZ17" i="2"/>
  <c r="DZ51" i="2"/>
  <c r="DZ77" i="2"/>
  <c r="DZ82" i="2"/>
  <c r="DZ93" i="2"/>
  <c r="DZ117" i="2"/>
  <c r="DZ120" i="2"/>
  <c r="DZ124" i="2"/>
  <c r="DZ148" i="2"/>
  <c r="DZ170" i="2"/>
  <c r="DZ198" i="2"/>
  <c r="DZ22" i="2"/>
  <c r="DZ27" i="2"/>
  <c r="DZ45" i="2"/>
  <c r="DZ56" i="2"/>
  <c r="DZ74" i="2"/>
  <c r="DZ139" i="2"/>
  <c r="DZ155" i="2"/>
  <c r="DZ163" i="2"/>
  <c r="DZ180" i="2"/>
  <c r="DZ32" i="2"/>
  <c r="DZ35" i="2"/>
  <c r="DZ53" i="2"/>
  <c r="DZ98" i="2"/>
  <c r="DZ130" i="2"/>
  <c r="DZ11" i="2"/>
  <c r="DZ29" i="2"/>
  <c r="DZ40" i="2"/>
  <c r="DZ47" i="2"/>
  <c r="DZ81" i="2"/>
  <c r="DZ92" i="2"/>
  <c r="DZ108" i="2"/>
  <c r="DZ116" i="2"/>
  <c r="DZ119" i="2"/>
  <c r="DZ126" i="2"/>
  <c r="DZ197" i="2"/>
  <c r="DZ110" i="2"/>
  <c r="DZ113" i="2"/>
  <c r="DZ138" i="2"/>
  <c r="DZ162" i="2"/>
  <c r="DZ192" i="2"/>
  <c r="DZ202" i="2"/>
  <c r="EB178" i="3"/>
  <c r="EB186" i="3"/>
  <c r="EB185" i="3"/>
  <c r="EB179" i="3"/>
  <c r="EB180" i="3"/>
  <c r="EB181" i="3"/>
  <c r="EB174" i="3"/>
  <c r="EB182" i="3"/>
  <c r="EB201" i="3"/>
  <c r="EB177" i="3"/>
  <c r="EB175" i="3"/>
  <c r="EB183" i="3"/>
  <c r="EB176" i="3"/>
  <c r="EB184" i="3"/>
  <c r="DZ133" i="2"/>
  <c r="EC188" i="2"/>
  <c r="P188" i="2"/>
  <c r="EB125" i="3"/>
  <c r="EB145" i="3"/>
  <c r="EB133" i="3"/>
  <c r="EB134" i="3"/>
  <c r="EB140" i="3"/>
  <c r="EB142" i="3"/>
  <c r="EB146" i="3"/>
  <c r="EB157" i="3"/>
  <c r="EB160" i="3"/>
  <c r="EB167" i="3"/>
  <c r="EC175" i="3"/>
  <c r="EE179" i="3"/>
  <c r="EC183" i="3"/>
  <c r="EB127" i="3"/>
  <c r="EB132" i="3"/>
  <c r="EB135" i="3"/>
  <c r="EB141" i="3"/>
  <c r="EB147" i="3"/>
  <c r="EB158" i="3"/>
  <c r="EB161" i="3"/>
  <c r="EB168" i="3"/>
  <c r="EB136" i="3"/>
  <c r="EB137" i="3"/>
  <c r="EB149" i="3"/>
  <c r="EB162" i="3"/>
  <c r="EB169" i="3"/>
  <c r="ED176" i="3"/>
  <c r="EE180" i="3"/>
  <c r="EC184" i="3"/>
  <c r="EC201" i="3"/>
  <c r="EB131" i="3"/>
  <c r="EB156" i="3"/>
  <c r="EB129" i="3"/>
  <c r="EB150" i="3"/>
  <c r="EB163" i="3"/>
  <c r="EB170" i="3"/>
  <c r="EB202" i="3"/>
  <c r="EB159" i="3"/>
  <c r="EB166" i="3"/>
  <c r="EB187" i="3"/>
  <c r="EB123" i="3"/>
  <c r="EB164" i="3"/>
  <c r="EB171" i="3"/>
  <c r="EC177" i="3"/>
  <c r="EC181" i="3"/>
  <c r="EC185" i="3"/>
  <c r="EB139" i="3"/>
  <c r="EB124" i="3"/>
  <c r="EB154" i="3"/>
  <c r="EB172" i="3"/>
  <c r="EB121" i="3"/>
  <c r="EB138" i="3"/>
  <c r="EB144" i="3"/>
  <c r="EB155" i="3"/>
  <c r="EB173" i="3"/>
  <c r="EC174" i="3"/>
  <c r="EE182" i="3"/>
  <c r="EC186" i="3"/>
  <c r="EC172" i="3"/>
  <c r="EC169" i="3"/>
  <c r="EC44" i="21"/>
  <c r="ED123" i="21"/>
  <c r="EC123" i="21"/>
  <c r="L3" i="21"/>
  <c r="P3" i="21" s="1"/>
  <c r="EC3" i="21"/>
  <c r="EC130" i="21"/>
  <c r="EC121" i="21"/>
  <c r="ED146" i="21"/>
  <c r="EC146" i="21"/>
  <c r="EC154" i="21"/>
  <c r="EC33" i="21"/>
  <c r="EC57" i="21"/>
  <c r="EC112" i="21"/>
  <c r="EC120" i="21"/>
  <c r="EC128" i="21"/>
  <c r="ED30" i="21"/>
  <c r="EC30" i="21"/>
  <c r="EC5" i="21"/>
  <c r="EC45" i="21"/>
  <c r="EC53" i="21"/>
  <c r="EC116" i="21"/>
  <c r="EC124" i="21"/>
  <c r="EC132" i="21"/>
  <c r="ED60" i="21"/>
  <c r="EC60" i="21"/>
  <c r="EC115" i="21"/>
  <c r="ED122" i="21"/>
  <c r="EC122" i="21"/>
  <c r="EC50" i="21"/>
  <c r="EC58" i="21"/>
  <c r="EC105" i="21"/>
  <c r="ED129" i="21"/>
  <c r="EC129" i="21"/>
  <c r="EC152" i="21"/>
  <c r="ED170" i="21"/>
  <c r="EC170" i="21"/>
  <c r="EC178" i="21"/>
  <c r="EC188" i="21"/>
  <c r="ED196" i="21"/>
  <c r="EC196" i="21"/>
  <c r="EC41" i="21"/>
  <c r="EC56" i="21"/>
  <c r="EC119" i="21"/>
  <c r="ED4" i="21"/>
  <c r="EC4" i="21"/>
  <c r="EC114" i="21"/>
  <c r="EC8" i="21"/>
  <c r="EC49" i="21"/>
  <c r="EC55" i="21"/>
  <c r="EC110" i="21"/>
  <c r="EC118" i="21"/>
  <c r="EC52" i="21"/>
  <c r="EC107" i="21"/>
  <c r="EC51" i="21"/>
  <c r="ED42" i="21"/>
  <c r="EC42" i="21"/>
  <c r="ED113" i="21"/>
  <c r="EC113" i="21"/>
  <c r="ED138" i="21"/>
  <c r="EC138" i="21"/>
  <c r="ED202" i="21"/>
  <c r="EC202" i="21"/>
  <c r="ED104" i="21"/>
  <c r="EC104" i="21"/>
  <c r="ED6" i="21"/>
  <c r="EC6" i="21"/>
  <c r="EC46" i="21"/>
  <c r="EE54" i="21"/>
  <c r="EC54" i="21"/>
  <c r="EC109" i="21"/>
  <c r="ED117" i="21"/>
  <c r="EC117" i="21"/>
  <c r="EC125" i="21"/>
  <c r="ED137" i="21"/>
  <c r="EC137" i="21"/>
  <c r="EC139" i="21"/>
  <c r="ED145" i="21"/>
  <c r="EC145" i="21"/>
  <c r="EC147" i="21"/>
  <c r="EC153" i="21"/>
  <c r="EC155" i="21"/>
  <c r="ED161" i="21"/>
  <c r="EC161" i="21"/>
  <c r="ED163" i="21"/>
  <c r="EC163" i="21"/>
  <c r="EC165" i="21"/>
  <c r="ED171" i="21"/>
  <c r="EC171" i="21"/>
  <c r="EC179" i="21"/>
  <c r="EC187" i="21"/>
  <c r="ED195" i="21"/>
  <c r="EC195" i="21"/>
  <c r="DZ6" i="2"/>
  <c r="DZ193" i="2"/>
  <c r="DZ64" i="2"/>
  <c r="DZ63" i="2"/>
  <c r="DZ39" i="2"/>
  <c r="DZ11" i="21"/>
  <c r="DZ31" i="2"/>
  <c r="H141" i="2"/>
  <c r="EB141" i="2" s="1"/>
  <c r="DZ29" i="3"/>
  <c r="DZ30" i="21"/>
  <c r="DZ102" i="3"/>
  <c r="DZ123" i="3"/>
  <c r="DZ121" i="3"/>
  <c r="DZ130" i="3"/>
  <c r="DZ125" i="3"/>
  <c r="DZ132" i="3"/>
  <c r="DZ129" i="3"/>
  <c r="DZ122" i="3"/>
  <c r="DZ124" i="3"/>
  <c r="DZ126" i="3"/>
  <c r="DZ131" i="3"/>
  <c r="DZ127" i="3"/>
  <c r="DZ128" i="3"/>
  <c r="DZ31" i="3"/>
  <c r="DZ8" i="3"/>
  <c r="DZ90" i="3"/>
  <c r="DZ101" i="3"/>
  <c r="DZ10" i="3"/>
  <c r="DZ26" i="3"/>
  <c r="DZ44" i="3"/>
  <c r="DZ19" i="3"/>
  <c r="DZ26" i="21"/>
  <c r="ED78" i="21"/>
  <c r="ED35" i="21"/>
  <c r="ED95" i="21"/>
  <c r="ED82" i="21"/>
  <c r="ED27" i="21"/>
  <c r="ED18" i="21"/>
  <c r="ED96" i="21"/>
  <c r="ED158" i="21"/>
  <c r="ED25" i="21"/>
  <c r="ED151" i="21"/>
  <c r="ED198" i="21"/>
  <c r="ED175" i="21"/>
  <c r="ED34" i="21"/>
  <c r="ED66" i="21"/>
  <c r="ED94" i="21"/>
  <c r="ED157" i="21"/>
  <c r="ED98" i="21"/>
  <c r="ED14" i="21"/>
  <c r="ED24" i="21"/>
  <c r="ED32" i="21"/>
  <c r="ED64" i="21"/>
  <c r="ED76" i="21"/>
  <c r="ED97" i="21"/>
  <c r="ED103" i="21"/>
  <c r="ED199" i="21"/>
  <c r="ED26" i="21"/>
  <c r="ED79" i="21"/>
  <c r="ED99" i="21"/>
  <c r="ED101" i="21"/>
  <c r="ED162" i="21"/>
  <c r="ED168" i="21"/>
  <c r="ED183" i="21"/>
  <c r="EB112" i="2"/>
  <c r="L58" i="2"/>
  <c r="EC58" i="2" s="1"/>
  <c r="EB155" i="2"/>
  <c r="EB159" i="2"/>
  <c r="EB145" i="2"/>
  <c r="L70" i="2"/>
  <c r="P70" i="2" s="1"/>
  <c r="ED70" i="2" s="1"/>
  <c r="L78" i="2"/>
  <c r="EC78" i="2" s="1"/>
  <c r="EB160" i="2"/>
  <c r="L171" i="2"/>
  <c r="EC171" i="2" s="1"/>
  <c r="L27" i="2"/>
  <c r="P27" i="2" s="1"/>
  <c r="ED27" i="2" s="1"/>
  <c r="L148" i="2"/>
  <c r="EC148" i="2" s="1"/>
  <c r="EB157" i="2"/>
  <c r="L59" i="2"/>
  <c r="EC59" i="2" s="1"/>
  <c r="EB156" i="2"/>
  <c r="L36" i="2"/>
  <c r="EC36" i="2" s="1"/>
  <c r="L108" i="2"/>
  <c r="EC108" i="2" s="1"/>
  <c r="EB101" i="2"/>
  <c r="EB135" i="2"/>
  <c r="EB5" i="2"/>
  <c r="EB67" i="2"/>
  <c r="L40" i="2"/>
  <c r="EC40" i="2" s="1"/>
  <c r="L69" i="2"/>
  <c r="EC69" i="2" s="1"/>
  <c r="EB173" i="2"/>
  <c r="EB118" i="2"/>
  <c r="EB119" i="2"/>
  <c r="L138" i="2"/>
  <c r="P138" i="2" s="1"/>
  <c r="ED138" i="2" s="1"/>
  <c r="L54" i="2"/>
  <c r="EC54" i="2" s="1"/>
  <c r="EB116" i="2"/>
  <c r="EB139" i="2"/>
  <c r="L183" i="2"/>
  <c r="EC183" i="2" s="1"/>
  <c r="EB188" i="2"/>
  <c r="EB53" i="2"/>
  <c r="EB92" i="2"/>
  <c r="L55" i="2"/>
  <c r="EC55" i="2" s="1"/>
  <c r="L57" i="2"/>
  <c r="EC57" i="2" s="1"/>
  <c r="P160" i="2"/>
  <c r="ED160" i="2" s="1"/>
  <c r="L37" i="2"/>
  <c r="EC37" i="2" s="1"/>
  <c r="EB63" i="2"/>
  <c r="L81" i="2"/>
  <c r="EC81" i="2" s="1"/>
  <c r="L98" i="2"/>
  <c r="L124" i="2"/>
  <c r="L150" i="2"/>
  <c r="P150" i="2" s="1"/>
  <c r="L175" i="2"/>
  <c r="EC175" i="2" s="1"/>
  <c r="L176" i="2"/>
  <c r="EC176" i="2" s="1"/>
  <c r="L177" i="2"/>
  <c r="L179" i="2"/>
  <c r="P179" i="2" s="1"/>
  <c r="L180" i="2"/>
  <c r="EB196" i="2"/>
  <c r="L85" i="2"/>
  <c r="EC85" i="2" s="1"/>
  <c r="L96" i="2"/>
  <c r="EC96" i="2" s="1"/>
  <c r="P100" i="2"/>
  <c r="ED100" i="2" s="1"/>
  <c r="L170" i="2"/>
  <c r="P170" i="2" s="1"/>
  <c r="EB45" i="2"/>
  <c r="L200" i="2"/>
  <c r="L12" i="2"/>
  <c r="EC12" i="2" s="1"/>
  <c r="L26" i="2"/>
  <c r="EC26" i="2" s="1"/>
  <c r="L93" i="2"/>
  <c r="L94" i="2"/>
  <c r="P94" i="2" s="1"/>
  <c r="ED94" i="2" s="1"/>
  <c r="L110" i="2"/>
  <c r="EC110" i="2" s="1"/>
  <c r="EB114" i="2"/>
  <c r="L143" i="2"/>
  <c r="L147" i="2"/>
  <c r="EC147" i="2" s="1"/>
  <c r="L21" i="2"/>
  <c r="L195" i="2"/>
  <c r="EC195" i="2" s="1"/>
  <c r="L77" i="2"/>
  <c r="EC77" i="2" s="1"/>
  <c r="EB130" i="2"/>
  <c r="P145" i="2"/>
  <c r="ED145" i="2" s="1"/>
  <c r="L162" i="2"/>
  <c r="EC162" i="2" s="1"/>
  <c r="L163" i="2"/>
  <c r="L167" i="2"/>
  <c r="EC167" i="2" s="1"/>
  <c r="EC114" i="2"/>
  <c r="P114" i="2"/>
  <c r="ED114" i="2" s="1"/>
  <c r="P63" i="2"/>
  <c r="ED63" i="2" s="1"/>
  <c r="EC63" i="2"/>
  <c r="P112" i="2"/>
  <c r="ED112" i="2" s="1"/>
  <c r="EC112" i="2"/>
  <c r="P173" i="2"/>
  <c r="EC173" i="2"/>
  <c r="EC67" i="2"/>
  <c r="P67" i="2"/>
  <c r="ED67" i="2" s="1"/>
  <c r="P116" i="2"/>
  <c r="ED116" i="2" s="1"/>
  <c r="EC116" i="2"/>
  <c r="P196" i="2"/>
  <c r="EC196" i="2"/>
  <c r="L20" i="2"/>
  <c r="P20" i="2" s="1"/>
  <c r="ED20" i="2" s="1"/>
  <c r="L49" i="2"/>
  <c r="EC49" i="2" s="1"/>
  <c r="L50" i="2"/>
  <c r="EC50" i="2" s="1"/>
  <c r="L51" i="2"/>
  <c r="EC51" i="2" s="1"/>
  <c r="EB61" i="2"/>
  <c r="EB62" i="2"/>
  <c r="EB65" i="2"/>
  <c r="EB66" i="2"/>
  <c r="L74" i="2"/>
  <c r="EC74" i="2" s="1"/>
  <c r="L75" i="2"/>
  <c r="L88" i="2"/>
  <c r="EC88" i="2" s="1"/>
  <c r="L89" i="2"/>
  <c r="L104" i="2"/>
  <c r="P104" i="2" s="1"/>
  <c r="ED104" i="2" s="1"/>
  <c r="L106" i="2"/>
  <c r="EB121" i="2"/>
  <c r="L191" i="2"/>
  <c r="P191" i="2" s="1"/>
  <c r="L192" i="2"/>
  <c r="P192" i="2" s="1"/>
  <c r="ED192" i="2" s="1"/>
  <c r="EB197" i="2"/>
  <c r="EC121" i="2"/>
  <c r="EB38" i="2"/>
  <c r="L82" i="2"/>
  <c r="EC82" i="2" s="1"/>
  <c r="EB125" i="2"/>
  <c r="EB166" i="2"/>
  <c r="L168" i="2"/>
  <c r="EC168" i="2" s="1"/>
  <c r="L172" i="2"/>
  <c r="EC172" i="2" s="1"/>
  <c r="EB34" i="2"/>
  <c r="EB151" i="2"/>
  <c r="EC38" i="2"/>
  <c r="P38" i="2"/>
  <c r="EC34" i="2"/>
  <c r="P34" i="2"/>
  <c r="EC28" i="2"/>
  <c r="P28" i="2"/>
  <c r="EB28" i="2"/>
  <c r="L24" i="2"/>
  <c r="L3" i="2"/>
  <c r="L7" i="2"/>
  <c r="L11" i="2"/>
  <c r="L41" i="2"/>
  <c r="L16" i="2"/>
  <c r="L17" i="2"/>
  <c r="L25" i="2"/>
  <c r="L18" i="2"/>
  <c r="L22" i="2"/>
  <c r="EB56" i="2"/>
  <c r="L56" i="2"/>
  <c r="EC66" i="2"/>
  <c r="P66" i="2"/>
  <c r="P5" i="2"/>
  <c r="L15" i="2"/>
  <c r="L23" i="2"/>
  <c r="L47" i="2"/>
  <c r="EB64" i="2"/>
  <c r="L64" i="2"/>
  <c r="L35" i="2"/>
  <c r="L39" i="2"/>
  <c r="L42" i="2"/>
  <c r="EC135" i="2"/>
  <c r="P135" i="2"/>
  <c r="L29" i="2"/>
  <c r="L32" i="2"/>
  <c r="P48" i="2"/>
  <c r="EB48" i="2"/>
  <c r="EC62" i="2"/>
  <c r="P62" i="2"/>
  <c r="EB52" i="2"/>
  <c r="L52" i="2"/>
  <c r="EB60" i="2"/>
  <c r="L60" i="2"/>
  <c r="P45" i="2"/>
  <c r="L46" i="2"/>
  <c r="ED119" i="2"/>
  <c r="T119" i="2"/>
  <c r="EB91" i="2"/>
  <c r="L91" i="2"/>
  <c r="P53" i="2"/>
  <c r="P61" i="2"/>
  <c r="P65" i="2"/>
  <c r="EB90" i="2"/>
  <c r="EB68" i="2"/>
  <c r="L68" i="2"/>
  <c r="EB107" i="2"/>
  <c r="L107" i="2"/>
  <c r="P87" i="2"/>
  <c r="EC97" i="2"/>
  <c r="P97" i="2"/>
  <c r="EB111" i="2"/>
  <c r="L111" i="2"/>
  <c r="P125" i="2"/>
  <c r="EC125" i="2"/>
  <c r="EB142" i="2"/>
  <c r="L142" i="2"/>
  <c r="EB87" i="2"/>
  <c r="EB97" i="2"/>
  <c r="EC130" i="2"/>
  <c r="P130" i="2"/>
  <c r="L71" i="2"/>
  <c r="L83" i="2"/>
  <c r="L86" i="2"/>
  <c r="EB95" i="2"/>
  <c r="L95" i="2"/>
  <c r="EB113" i="2"/>
  <c r="L113" i="2"/>
  <c r="EB117" i="2"/>
  <c r="L117" i="2"/>
  <c r="T121" i="2"/>
  <c r="ED121" i="2"/>
  <c r="L76" i="2"/>
  <c r="L80" i="2"/>
  <c r="L84" i="2"/>
  <c r="P92" i="2"/>
  <c r="EB100" i="2"/>
  <c r="EC119" i="2"/>
  <c r="EB120" i="2"/>
  <c r="L120" i="2"/>
  <c r="EB126" i="2"/>
  <c r="L126" i="2"/>
  <c r="L128" i="2"/>
  <c r="L99" i="2"/>
  <c r="P101" i="2"/>
  <c r="EC118" i="2"/>
  <c r="P118" i="2"/>
  <c r="EC139" i="2"/>
  <c r="P139" i="2"/>
  <c r="L105" i="2"/>
  <c r="L109" i="2"/>
  <c r="L115" i="2"/>
  <c r="P122" i="2"/>
  <c r="EC122" i="2"/>
  <c r="EB122" i="2"/>
  <c r="EB133" i="2"/>
  <c r="L133" i="2"/>
  <c r="ED157" i="2"/>
  <c r="T157" i="2"/>
  <c r="EB149" i="2"/>
  <c r="L149" i="2"/>
  <c r="EB185" i="2"/>
  <c r="L185" i="2"/>
  <c r="L131" i="2"/>
  <c r="L136" i="2"/>
  <c r="EC157" i="2"/>
  <c r="EC158" i="2"/>
  <c r="P158" i="2"/>
  <c r="EB158" i="2"/>
  <c r="L181" i="2"/>
  <c r="EB181" i="2"/>
  <c r="EC155" i="2"/>
  <c r="P155" i="2"/>
  <c r="EB161" i="2"/>
  <c r="L161" i="2"/>
  <c r="EB164" i="2"/>
  <c r="L164" i="2"/>
  <c r="L137" i="2"/>
  <c r="EB146" i="2"/>
  <c r="L146" i="2"/>
  <c r="EC166" i="2"/>
  <c r="P166" i="2"/>
  <c r="L127" i="2"/>
  <c r="L129" i="2"/>
  <c r="L134" i="2"/>
  <c r="T151" i="2"/>
  <c r="EC151" i="2"/>
  <c r="EB152" i="2"/>
  <c r="L152" i="2"/>
  <c r="EB178" i="2"/>
  <c r="L178" i="2"/>
  <c r="L144" i="2"/>
  <c r="EB186" i="2"/>
  <c r="L186" i="2"/>
  <c r="L140" i="2"/>
  <c r="P156" i="2"/>
  <c r="P159" i="2"/>
  <c r="EB174" i="2"/>
  <c r="L174" i="2"/>
  <c r="L190" i="2"/>
  <c r="EB190" i="2"/>
  <c r="L169" i="2"/>
  <c r="EB182" i="2"/>
  <c r="L182" i="2"/>
  <c r="L202" i="2"/>
  <c r="EB202" i="2"/>
  <c r="L184" i="2"/>
  <c r="EB199" i="2"/>
  <c r="L199" i="2"/>
  <c r="EB198" i="2"/>
  <c r="L198" i="2"/>
  <c r="L201" i="2"/>
  <c r="EB194" i="2"/>
  <c r="L194" i="2"/>
  <c r="P197" i="2"/>
  <c r="DZ153" i="2"/>
  <c r="H153" i="2"/>
  <c r="H165" i="2"/>
  <c r="DY3" i="2" l="1"/>
  <c r="L150" i="21"/>
  <c r="P150" i="21" s="1"/>
  <c r="T150" i="21" s="1"/>
  <c r="X150" i="21" s="1"/>
  <c r="AB150" i="21" s="1"/>
  <c r="AF150" i="21" s="1"/>
  <c r="AJ150" i="21" s="1"/>
  <c r="AN150" i="21" s="1"/>
  <c r="AR150" i="21" s="1"/>
  <c r="AV150" i="21" s="1"/>
  <c r="AZ150" i="21" s="1"/>
  <c r="BD150" i="21" s="1"/>
  <c r="BH150" i="21" s="1"/>
  <c r="BL150" i="21" s="1"/>
  <c r="EQ150" i="21" s="1"/>
  <c r="L140" i="21"/>
  <c r="P140" i="21" s="1"/>
  <c r="T140" i="21" s="1"/>
  <c r="X140" i="21" s="1"/>
  <c r="AB140" i="21" s="1"/>
  <c r="AF140" i="21" s="1"/>
  <c r="AJ140" i="21" s="1"/>
  <c r="AN140" i="21" s="1"/>
  <c r="AR140" i="21" s="1"/>
  <c r="AV140" i="21" s="1"/>
  <c r="AZ140" i="21" s="1"/>
  <c r="BD140" i="21" s="1"/>
  <c r="BH140" i="21" s="1"/>
  <c r="BL140" i="21" s="1"/>
  <c r="EQ140" i="21" s="1"/>
  <c r="L147" i="21"/>
  <c r="P147" i="21" s="1"/>
  <c r="T147" i="21" s="1"/>
  <c r="X147" i="21" s="1"/>
  <c r="AB147" i="21" s="1"/>
  <c r="AF147" i="21" s="1"/>
  <c r="AJ147" i="21" s="1"/>
  <c r="AN147" i="21" s="1"/>
  <c r="AR147" i="21" s="1"/>
  <c r="AV147" i="21" s="1"/>
  <c r="AZ147" i="21" s="1"/>
  <c r="BD147" i="21" s="1"/>
  <c r="BH147" i="21" s="1"/>
  <c r="BL147" i="21" s="1"/>
  <c r="EQ147" i="21" s="1"/>
  <c r="AN133" i="3"/>
  <c r="AR133" i="3" s="1"/>
  <c r="AV133" i="3" s="1"/>
  <c r="AZ133" i="3" s="1"/>
  <c r="AN174" i="3"/>
  <c r="AR174" i="3" s="1"/>
  <c r="AV174" i="3" s="1"/>
  <c r="AZ174" i="3" s="1"/>
  <c r="AN154" i="3"/>
  <c r="AR154" i="3" s="1"/>
  <c r="AV154" i="3" s="1"/>
  <c r="AZ154" i="3" s="1"/>
  <c r="AN187" i="3"/>
  <c r="AR187" i="3" s="1"/>
  <c r="AV187" i="3" s="1"/>
  <c r="AZ187" i="3" s="1"/>
  <c r="I91" i="3"/>
  <c r="DZ91" i="21"/>
  <c r="I53" i="3"/>
  <c r="DZ53" i="21"/>
  <c r="L124" i="21"/>
  <c r="P124" i="21" s="1"/>
  <c r="T124" i="21" s="1"/>
  <c r="X124" i="21" s="1"/>
  <c r="AB124" i="21" s="1"/>
  <c r="AF124" i="21" s="1"/>
  <c r="AJ124" i="21" s="1"/>
  <c r="AN124" i="21" s="1"/>
  <c r="AR124" i="21" s="1"/>
  <c r="AV124" i="21" s="1"/>
  <c r="AZ124" i="21" s="1"/>
  <c r="BD124" i="21" s="1"/>
  <c r="BH124" i="21" s="1"/>
  <c r="BL124" i="21" s="1"/>
  <c r="DY124" i="21"/>
  <c r="I72" i="3"/>
  <c r="DY72" i="3" s="1"/>
  <c r="DZ72" i="21"/>
  <c r="DZ3" i="21"/>
  <c r="I3" i="3"/>
  <c r="DY3" i="3" s="1"/>
  <c r="L53" i="21"/>
  <c r="P53" i="21" s="1"/>
  <c r="T53" i="21" s="1"/>
  <c r="X53" i="21" s="1"/>
  <c r="AB53" i="21" s="1"/>
  <c r="AF53" i="21" s="1"/>
  <c r="AJ53" i="21" s="1"/>
  <c r="AN53" i="21" s="1"/>
  <c r="AR53" i="21" s="1"/>
  <c r="AV53" i="21" s="1"/>
  <c r="AZ53" i="21" s="1"/>
  <c r="BD53" i="21" s="1"/>
  <c r="BH53" i="21" s="1"/>
  <c r="BL53" i="21" s="1"/>
  <c r="DY53" i="21"/>
  <c r="I124" i="3"/>
  <c r="L124" i="3" s="1"/>
  <c r="P124" i="3" s="1"/>
  <c r="T124" i="3" s="1"/>
  <c r="X124" i="3" s="1"/>
  <c r="AB124" i="3" s="1"/>
  <c r="AF124" i="3" s="1"/>
  <c r="AJ124" i="3" s="1"/>
  <c r="AN124" i="3" s="1"/>
  <c r="AR124" i="3" s="1"/>
  <c r="AV124" i="3" s="1"/>
  <c r="AZ124" i="3" s="1"/>
  <c r="DZ124" i="21"/>
  <c r="L174" i="21"/>
  <c r="P174" i="21" s="1"/>
  <c r="T174" i="21" s="1"/>
  <c r="X174" i="21" s="1"/>
  <c r="AB174" i="21" s="1"/>
  <c r="AF174" i="21" s="1"/>
  <c r="AJ174" i="21" s="1"/>
  <c r="AN174" i="21" s="1"/>
  <c r="AR174" i="21" s="1"/>
  <c r="AV174" i="21" s="1"/>
  <c r="AZ174" i="21" s="1"/>
  <c r="BD174" i="21" s="1"/>
  <c r="BH174" i="21" s="1"/>
  <c r="BL174" i="21" s="1"/>
  <c r="AN147" i="3"/>
  <c r="AR147" i="3" s="1"/>
  <c r="AV147" i="3" s="1"/>
  <c r="AZ147" i="3" s="1"/>
  <c r="I100" i="3"/>
  <c r="DY100" i="3" s="1"/>
  <c r="DZ100" i="21"/>
  <c r="L133" i="21"/>
  <c r="P133" i="21" s="1"/>
  <c r="T133" i="21" s="1"/>
  <c r="X133" i="21" s="1"/>
  <c r="AB133" i="21" s="1"/>
  <c r="AF133" i="21" s="1"/>
  <c r="AJ133" i="21" s="1"/>
  <c r="AN133" i="21" s="1"/>
  <c r="AR133" i="21" s="1"/>
  <c r="AV133" i="21" s="1"/>
  <c r="AZ133" i="21" s="1"/>
  <c r="BD133" i="21" s="1"/>
  <c r="BH133" i="21" s="1"/>
  <c r="BL133" i="21" s="1"/>
  <c r="L31" i="21"/>
  <c r="P31" i="21" s="1"/>
  <c r="T31" i="21" s="1"/>
  <c r="X31" i="21" s="1"/>
  <c r="AB31" i="21" s="1"/>
  <c r="AF31" i="21" s="1"/>
  <c r="AJ31" i="21" s="1"/>
  <c r="AN31" i="21" s="1"/>
  <c r="AR31" i="21" s="1"/>
  <c r="AV31" i="21" s="1"/>
  <c r="AZ31" i="21" s="1"/>
  <c r="BD31" i="21" s="1"/>
  <c r="BH31" i="21" s="1"/>
  <c r="BL31" i="21" s="1"/>
  <c r="DY31" i="21"/>
  <c r="I33" i="3"/>
  <c r="DY33" i="3" s="1"/>
  <c r="DZ33" i="21"/>
  <c r="L51" i="21"/>
  <c r="P51" i="21" s="1"/>
  <c r="T51" i="21" s="1"/>
  <c r="X51" i="21" s="1"/>
  <c r="AB51" i="21" s="1"/>
  <c r="AF51" i="21" s="1"/>
  <c r="AJ51" i="21" s="1"/>
  <c r="AN51" i="21" s="1"/>
  <c r="AR51" i="21" s="1"/>
  <c r="AV51" i="21" s="1"/>
  <c r="AZ51" i="21" s="1"/>
  <c r="BD51" i="21" s="1"/>
  <c r="BH51" i="21" s="1"/>
  <c r="BL51" i="21" s="1"/>
  <c r="DY51" i="21"/>
  <c r="AN150" i="3"/>
  <c r="AR150" i="3" s="1"/>
  <c r="AV150" i="3" s="1"/>
  <c r="AZ150" i="3" s="1"/>
  <c r="L69" i="21"/>
  <c r="DY69" i="21"/>
  <c r="I31" i="3"/>
  <c r="DY31" i="3" s="1"/>
  <c r="DZ31" i="21"/>
  <c r="L33" i="21"/>
  <c r="P33" i="21" s="1"/>
  <c r="T33" i="21" s="1"/>
  <c r="X33" i="21" s="1"/>
  <c r="AB33" i="21" s="1"/>
  <c r="AF33" i="21" s="1"/>
  <c r="AJ33" i="21" s="1"/>
  <c r="AN33" i="21" s="1"/>
  <c r="AR33" i="21" s="1"/>
  <c r="AV33" i="21" s="1"/>
  <c r="AZ33" i="21" s="1"/>
  <c r="BD33" i="21" s="1"/>
  <c r="BH33" i="21" s="1"/>
  <c r="BL33" i="21" s="1"/>
  <c r="DY33" i="21"/>
  <c r="I51" i="3"/>
  <c r="DY51" i="3" s="1"/>
  <c r="DZ51" i="21"/>
  <c r="AN140" i="3"/>
  <c r="AR140" i="3" s="1"/>
  <c r="AV140" i="3" s="1"/>
  <c r="AZ140" i="3" s="1"/>
  <c r="AN148" i="3"/>
  <c r="AR148" i="3" s="1"/>
  <c r="AV148" i="3" s="1"/>
  <c r="AZ148" i="3" s="1"/>
  <c r="I118" i="3"/>
  <c r="DY118" i="3" s="1"/>
  <c r="DZ118" i="21"/>
  <c r="L100" i="21"/>
  <c r="P100" i="21" s="1"/>
  <c r="T100" i="21" s="1"/>
  <c r="X100" i="21" s="1"/>
  <c r="AB100" i="21" s="1"/>
  <c r="AF100" i="21" s="1"/>
  <c r="AJ100" i="21" s="1"/>
  <c r="AN100" i="21" s="1"/>
  <c r="AR100" i="21" s="1"/>
  <c r="AV100" i="21" s="1"/>
  <c r="AZ100" i="21" s="1"/>
  <c r="BD100" i="21" s="1"/>
  <c r="BH100" i="21" s="1"/>
  <c r="BL100" i="21" s="1"/>
  <c r="DY100" i="21"/>
  <c r="I69" i="3"/>
  <c r="DY69" i="3" s="1"/>
  <c r="DZ69" i="21"/>
  <c r="I106" i="3"/>
  <c r="DZ106" i="21"/>
  <c r="L19" i="21"/>
  <c r="P19" i="21" s="1"/>
  <c r="T19" i="21" s="1"/>
  <c r="X19" i="21" s="1"/>
  <c r="AB19" i="21" s="1"/>
  <c r="AF19" i="21" s="1"/>
  <c r="AJ19" i="21" s="1"/>
  <c r="AN19" i="21" s="1"/>
  <c r="AR19" i="21" s="1"/>
  <c r="AV19" i="21" s="1"/>
  <c r="AZ19" i="21" s="1"/>
  <c r="BD19" i="21" s="1"/>
  <c r="BH19" i="21" s="1"/>
  <c r="BL19" i="21" s="1"/>
  <c r="DY19" i="21"/>
  <c r="I20" i="3"/>
  <c r="DY20" i="3" s="1"/>
  <c r="DZ20" i="21"/>
  <c r="L13" i="21"/>
  <c r="P13" i="21" s="1"/>
  <c r="T13" i="21" s="1"/>
  <c r="X13" i="21" s="1"/>
  <c r="AB13" i="21" s="1"/>
  <c r="AF13" i="21" s="1"/>
  <c r="AJ13" i="21" s="1"/>
  <c r="AN13" i="21" s="1"/>
  <c r="AR13" i="21" s="1"/>
  <c r="AV13" i="21" s="1"/>
  <c r="AZ13" i="21" s="1"/>
  <c r="BD13" i="21" s="1"/>
  <c r="BH13" i="21" s="1"/>
  <c r="BL13" i="21" s="1"/>
  <c r="DY13" i="21"/>
  <c r="L118" i="21"/>
  <c r="P118" i="21" s="1"/>
  <c r="T118" i="21" s="1"/>
  <c r="X118" i="21" s="1"/>
  <c r="AB118" i="21" s="1"/>
  <c r="AF118" i="21" s="1"/>
  <c r="AJ118" i="21" s="1"/>
  <c r="AN118" i="21" s="1"/>
  <c r="AR118" i="21" s="1"/>
  <c r="AV118" i="21" s="1"/>
  <c r="AZ118" i="21" s="1"/>
  <c r="BD118" i="21" s="1"/>
  <c r="BH118" i="21" s="1"/>
  <c r="BL118" i="21" s="1"/>
  <c r="DY118" i="21"/>
  <c r="L153" i="21"/>
  <c r="L106" i="21"/>
  <c r="P106" i="21" s="1"/>
  <c r="T106" i="21" s="1"/>
  <c r="X106" i="21" s="1"/>
  <c r="AB106" i="21" s="1"/>
  <c r="AF106" i="21" s="1"/>
  <c r="AJ106" i="21" s="1"/>
  <c r="AN106" i="21" s="1"/>
  <c r="AR106" i="21" s="1"/>
  <c r="AV106" i="21" s="1"/>
  <c r="AZ106" i="21" s="1"/>
  <c r="BD106" i="21" s="1"/>
  <c r="BH106" i="21" s="1"/>
  <c r="BL106" i="21" s="1"/>
  <c r="DY106" i="21"/>
  <c r="I19" i="3"/>
  <c r="DZ19" i="21"/>
  <c r="L148" i="21"/>
  <c r="P148" i="21" s="1"/>
  <c r="T148" i="21" s="1"/>
  <c r="X148" i="21" s="1"/>
  <c r="AB148" i="21" s="1"/>
  <c r="AF148" i="21" s="1"/>
  <c r="AJ148" i="21" s="1"/>
  <c r="AN148" i="21" s="1"/>
  <c r="AR148" i="21" s="1"/>
  <c r="AV148" i="21" s="1"/>
  <c r="AZ148" i="21" s="1"/>
  <c r="BD148" i="21" s="1"/>
  <c r="BH148" i="21" s="1"/>
  <c r="BL148" i="21" s="1"/>
  <c r="L20" i="21"/>
  <c r="P20" i="21" s="1"/>
  <c r="T20" i="21" s="1"/>
  <c r="X20" i="21" s="1"/>
  <c r="AB20" i="21" s="1"/>
  <c r="AF20" i="21" s="1"/>
  <c r="AJ20" i="21" s="1"/>
  <c r="AN20" i="21" s="1"/>
  <c r="AR20" i="21" s="1"/>
  <c r="AV20" i="21" s="1"/>
  <c r="AZ20" i="21" s="1"/>
  <c r="BD20" i="21" s="1"/>
  <c r="BH20" i="21" s="1"/>
  <c r="BL20" i="21" s="1"/>
  <c r="DY20" i="21"/>
  <c r="I13" i="3"/>
  <c r="DZ13" i="21"/>
  <c r="AN153" i="3"/>
  <c r="AR153" i="3" s="1"/>
  <c r="AV153" i="3" s="1"/>
  <c r="AZ153" i="3" s="1"/>
  <c r="I68" i="3"/>
  <c r="DY68" i="3" s="1"/>
  <c r="DZ68" i="21"/>
  <c r="I61" i="3"/>
  <c r="DZ61" i="21"/>
  <c r="L72" i="21"/>
  <c r="DY72" i="21"/>
  <c r="L9" i="21"/>
  <c r="P9" i="21" s="1"/>
  <c r="T9" i="21" s="1"/>
  <c r="X9" i="21" s="1"/>
  <c r="AB9" i="21" s="1"/>
  <c r="AF9" i="21" s="1"/>
  <c r="AJ9" i="21" s="1"/>
  <c r="AN9" i="21" s="1"/>
  <c r="AR9" i="21" s="1"/>
  <c r="AV9" i="21" s="1"/>
  <c r="AZ9" i="21" s="1"/>
  <c r="BD9" i="21" s="1"/>
  <c r="BH9" i="21" s="1"/>
  <c r="BL9" i="21" s="1"/>
  <c r="DY9" i="21"/>
  <c r="L91" i="21"/>
  <c r="P91" i="21" s="1"/>
  <c r="T91" i="21" s="1"/>
  <c r="X91" i="21" s="1"/>
  <c r="AB91" i="21" s="1"/>
  <c r="AF91" i="21" s="1"/>
  <c r="AJ91" i="21" s="1"/>
  <c r="AN91" i="21" s="1"/>
  <c r="AR91" i="21" s="1"/>
  <c r="AV91" i="21" s="1"/>
  <c r="AZ91" i="21" s="1"/>
  <c r="BD91" i="21" s="1"/>
  <c r="BH91" i="21" s="1"/>
  <c r="BL91" i="21" s="1"/>
  <c r="DY91" i="21"/>
  <c r="L68" i="21"/>
  <c r="DY68" i="21"/>
  <c r="L61" i="21"/>
  <c r="P61" i="21" s="1"/>
  <c r="T61" i="21" s="1"/>
  <c r="X61" i="21" s="1"/>
  <c r="AB61" i="21" s="1"/>
  <c r="AF61" i="21" s="1"/>
  <c r="AJ61" i="21" s="1"/>
  <c r="AN61" i="21" s="1"/>
  <c r="AR61" i="21" s="1"/>
  <c r="AV61" i="21" s="1"/>
  <c r="AZ61" i="21" s="1"/>
  <c r="BD61" i="21" s="1"/>
  <c r="BH61" i="21" s="1"/>
  <c r="BL61" i="21" s="1"/>
  <c r="DY61" i="21"/>
  <c r="L187" i="21"/>
  <c r="P187" i="21" s="1"/>
  <c r="T187" i="21" s="1"/>
  <c r="X187" i="21" s="1"/>
  <c r="AB187" i="21" s="1"/>
  <c r="AF187" i="21" s="1"/>
  <c r="AJ187" i="21" s="1"/>
  <c r="AN187" i="21" s="1"/>
  <c r="AR187" i="21" s="1"/>
  <c r="AV187" i="21" s="1"/>
  <c r="AZ187" i="21" s="1"/>
  <c r="BD187" i="21" s="1"/>
  <c r="BH187" i="21" s="1"/>
  <c r="BL187" i="21" s="1"/>
  <c r="L154" i="21"/>
  <c r="P154" i="21" s="1"/>
  <c r="T154" i="21" s="1"/>
  <c r="X154" i="21" s="1"/>
  <c r="AB154" i="21" s="1"/>
  <c r="AF154" i="21" s="1"/>
  <c r="AJ154" i="21" s="1"/>
  <c r="AN154" i="21" s="1"/>
  <c r="AR154" i="21" s="1"/>
  <c r="AV154" i="21" s="1"/>
  <c r="AZ154" i="21" s="1"/>
  <c r="BD154" i="21" s="1"/>
  <c r="BH154" i="21" s="1"/>
  <c r="BL154" i="21" s="1"/>
  <c r="I9" i="3"/>
  <c r="DY9" i="3" s="1"/>
  <c r="DZ9" i="21"/>
  <c r="CM112" i="5"/>
  <c r="DX112" i="5"/>
  <c r="CV203" i="5"/>
  <c r="C67" i="19" s="1"/>
  <c r="CM118" i="5"/>
  <c r="DX118" i="5"/>
  <c r="CM152" i="5"/>
  <c r="DX152" i="5"/>
  <c r="CM144" i="5"/>
  <c r="DX144" i="5"/>
  <c r="CM155" i="5"/>
  <c r="DX155" i="5"/>
  <c r="DY101" i="5"/>
  <c r="CP101" i="5"/>
  <c r="DI14" i="3"/>
  <c r="DY14" i="3" s="1"/>
  <c r="DY14" i="2"/>
  <c r="DZ14" i="2"/>
  <c r="DX102" i="5"/>
  <c r="CM102" i="5"/>
  <c r="J184" i="5"/>
  <c r="CW184" i="5"/>
  <c r="J176" i="5"/>
  <c r="CW176" i="5"/>
  <c r="J170" i="5"/>
  <c r="CW170" i="5"/>
  <c r="CW162" i="5"/>
  <c r="J162" i="5"/>
  <c r="J125" i="5"/>
  <c r="CW125" i="5"/>
  <c r="J121" i="5"/>
  <c r="CW121" i="5"/>
  <c r="CW183" i="5"/>
  <c r="J183" i="5"/>
  <c r="J175" i="5"/>
  <c r="CW175" i="5"/>
  <c r="J141" i="5"/>
  <c r="CW141" i="5"/>
  <c r="CW105" i="5"/>
  <c r="J105" i="5"/>
  <c r="DX193" i="5"/>
  <c r="CM193" i="5"/>
  <c r="J186" i="5"/>
  <c r="CW186" i="5"/>
  <c r="J178" i="5"/>
  <c r="CW178" i="5"/>
  <c r="J171" i="5"/>
  <c r="CW171" i="5"/>
  <c r="J163" i="5"/>
  <c r="CW163" i="5"/>
  <c r="J138" i="5"/>
  <c r="CW138" i="5"/>
  <c r="J124" i="5"/>
  <c r="CW124" i="5"/>
  <c r="J185" i="5"/>
  <c r="CW185" i="5"/>
  <c r="J177" i="5"/>
  <c r="CW177" i="5"/>
  <c r="J140" i="5"/>
  <c r="CW140" i="5"/>
  <c r="J187" i="5"/>
  <c r="CW187" i="5"/>
  <c r="J180" i="5"/>
  <c r="CW180" i="5"/>
  <c r="J172" i="5"/>
  <c r="CW172" i="5"/>
  <c r="J168" i="5"/>
  <c r="CW168" i="5"/>
  <c r="J137" i="5"/>
  <c r="CW137" i="5"/>
  <c r="J123" i="5"/>
  <c r="CW123" i="5"/>
  <c r="CM6" i="5"/>
  <c r="DX6" i="5"/>
  <c r="J179" i="5"/>
  <c r="CW179" i="5"/>
  <c r="J143" i="5"/>
  <c r="CW143" i="5"/>
  <c r="J133" i="5"/>
  <c r="CW133" i="5"/>
  <c r="J201" i="5"/>
  <c r="CW201" i="5"/>
  <c r="J182" i="5"/>
  <c r="CW182" i="5"/>
  <c r="J174" i="5"/>
  <c r="CW174" i="5"/>
  <c r="J169" i="5"/>
  <c r="CW169" i="5"/>
  <c r="J161" i="5"/>
  <c r="CW161" i="5"/>
  <c r="J126" i="5"/>
  <c r="CW126" i="5"/>
  <c r="J122" i="5"/>
  <c r="CW122" i="5"/>
  <c r="J181" i="5"/>
  <c r="CW181" i="5"/>
  <c r="J142" i="5"/>
  <c r="CW142" i="5"/>
  <c r="J128" i="5"/>
  <c r="CW128" i="5"/>
  <c r="DX90" i="5"/>
  <c r="CM90" i="5"/>
  <c r="DY21" i="3"/>
  <c r="DY34" i="3"/>
  <c r="AV134" i="3"/>
  <c r="AZ134" i="3" s="1"/>
  <c r="AV152" i="3"/>
  <c r="AZ152" i="3" s="1"/>
  <c r="AV158" i="3"/>
  <c r="AZ158" i="3" s="1"/>
  <c r="AV125" i="3"/>
  <c r="AZ125" i="3" s="1"/>
  <c r="AV139" i="3"/>
  <c r="AZ139" i="3" s="1"/>
  <c r="AV143" i="3"/>
  <c r="AZ143" i="3" s="1"/>
  <c r="AV122" i="3"/>
  <c r="AZ122" i="3" s="1"/>
  <c r="AV161" i="3"/>
  <c r="AZ161" i="3" s="1"/>
  <c r="AV155" i="3"/>
  <c r="AZ155" i="3" s="1"/>
  <c r="AV126" i="3"/>
  <c r="AZ126" i="3" s="1"/>
  <c r="AV173" i="3"/>
  <c r="AZ173" i="3" s="1"/>
  <c r="AV144" i="3"/>
  <c r="AZ144" i="3" s="1"/>
  <c r="AV162" i="3"/>
  <c r="AZ162" i="3" s="1"/>
  <c r="AV156" i="3"/>
  <c r="AZ156" i="3" s="1"/>
  <c r="AV129" i="3"/>
  <c r="AZ129" i="3" s="1"/>
  <c r="AV137" i="3"/>
  <c r="AZ137" i="3" s="1"/>
  <c r="AV149" i="3"/>
  <c r="AZ149" i="3" s="1"/>
  <c r="AV159" i="3"/>
  <c r="AZ159" i="3" s="1"/>
  <c r="AV132" i="3"/>
  <c r="AZ132" i="3" s="1"/>
  <c r="AV138" i="3"/>
  <c r="AZ138" i="3" s="1"/>
  <c r="AV123" i="3"/>
  <c r="AZ123" i="3" s="1"/>
  <c r="AV160" i="3"/>
  <c r="AZ160" i="3" s="1"/>
  <c r="AV127" i="3"/>
  <c r="AZ127" i="3" s="1"/>
  <c r="AV135" i="3"/>
  <c r="AZ135" i="3" s="1"/>
  <c r="AV165" i="3"/>
  <c r="AZ165" i="3" s="1"/>
  <c r="AV130" i="3"/>
  <c r="AZ130" i="3" s="1"/>
  <c r="AV136" i="3"/>
  <c r="AZ136" i="3" s="1"/>
  <c r="AV146" i="3"/>
  <c r="AZ146" i="3" s="1"/>
  <c r="AV142" i="3"/>
  <c r="AZ142" i="3" s="1"/>
  <c r="AV121" i="3"/>
  <c r="AZ121" i="3" s="1"/>
  <c r="AV164" i="3"/>
  <c r="AZ164" i="3" s="1"/>
  <c r="AV131" i="3"/>
  <c r="AZ131" i="3" s="1"/>
  <c r="AV141" i="3"/>
  <c r="AZ141" i="3" s="1"/>
  <c r="AV151" i="3"/>
  <c r="AZ151" i="3" s="1"/>
  <c r="AV145" i="3"/>
  <c r="AZ145" i="3" s="1"/>
  <c r="AV163" i="3"/>
  <c r="AZ163" i="3" s="1"/>
  <c r="AV157" i="3"/>
  <c r="AZ157" i="3" s="1"/>
  <c r="AV128" i="3"/>
  <c r="AZ128" i="3" s="1"/>
  <c r="E3" i="5"/>
  <c r="DZ3" i="3"/>
  <c r="DY115" i="5"/>
  <c r="CP115" i="5"/>
  <c r="CS134" i="5"/>
  <c r="DZ134" i="5"/>
  <c r="CP135" i="5"/>
  <c r="DY135" i="5"/>
  <c r="CS130" i="5"/>
  <c r="DZ130" i="5"/>
  <c r="CS150" i="5"/>
  <c r="DZ150" i="5"/>
  <c r="DY139" i="5"/>
  <c r="CP139" i="5"/>
  <c r="DZ89" i="5"/>
  <c r="CS89" i="5"/>
  <c r="EA89" i="5" s="1"/>
  <c r="DY70" i="5"/>
  <c r="CP70" i="5"/>
  <c r="DY62" i="5"/>
  <c r="CP62" i="5"/>
  <c r="DY50" i="5"/>
  <c r="CP50" i="5"/>
  <c r="DY28" i="5"/>
  <c r="CP28" i="5"/>
  <c r="DY63" i="5"/>
  <c r="CP63" i="5"/>
  <c r="DY78" i="5"/>
  <c r="CP78" i="5"/>
  <c r="DY107" i="5"/>
  <c r="CP107" i="5"/>
  <c r="DY113" i="5"/>
  <c r="CP113" i="5"/>
  <c r="DY66" i="5"/>
  <c r="CP66" i="5"/>
  <c r="DY17" i="5"/>
  <c r="CP17" i="5"/>
  <c r="DY83" i="5"/>
  <c r="CP83" i="5"/>
  <c r="DY9" i="5"/>
  <c r="CP9" i="5"/>
  <c r="DY53" i="5"/>
  <c r="CP53" i="5"/>
  <c r="DY84" i="5"/>
  <c r="CP84" i="5"/>
  <c r="DY44" i="5"/>
  <c r="CP44" i="5"/>
  <c r="DY199" i="5"/>
  <c r="CP199" i="5"/>
  <c r="DY58" i="5"/>
  <c r="CP58" i="5"/>
  <c r="DY19" i="5"/>
  <c r="CP19" i="5"/>
  <c r="DY18" i="5"/>
  <c r="CP18" i="5"/>
  <c r="DY22" i="5"/>
  <c r="CP22" i="5"/>
  <c r="DY24" i="5"/>
  <c r="CP24" i="5"/>
  <c r="DY74" i="5"/>
  <c r="CP74" i="5"/>
  <c r="DY148" i="5"/>
  <c r="CP148" i="5"/>
  <c r="DY149" i="5"/>
  <c r="CP149" i="5"/>
  <c r="DY81" i="5"/>
  <c r="CP81" i="5"/>
  <c r="DY82" i="5"/>
  <c r="CP82" i="5"/>
  <c r="DY64" i="5"/>
  <c r="CP64" i="5"/>
  <c r="DY49" i="5"/>
  <c r="CP49" i="5"/>
  <c r="CS104" i="5"/>
  <c r="EA104" i="5" s="1"/>
  <c r="DZ104" i="5"/>
  <c r="DY173" i="5"/>
  <c r="CP173" i="5"/>
  <c r="DY98" i="5"/>
  <c r="CP98" i="5"/>
  <c r="DY7" i="5"/>
  <c r="CP7" i="5"/>
  <c r="CP94" i="5"/>
  <c r="DY94" i="5"/>
  <c r="CP151" i="5"/>
  <c r="DY151" i="5"/>
  <c r="DZ146" i="5"/>
  <c r="CS146" i="5"/>
  <c r="DY54" i="5"/>
  <c r="CP54" i="5"/>
  <c r="DY20" i="5"/>
  <c r="CP20" i="5"/>
  <c r="DY40" i="5"/>
  <c r="CP40" i="5"/>
  <c r="DY26" i="5"/>
  <c r="CP26" i="5"/>
  <c r="DY34" i="5"/>
  <c r="CP34" i="5"/>
  <c r="DY120" i="5"/>
  <c r="CP120" i="5"/>
  <c r="DY32" i="5"/>
  <c r="CP32" i="5"/>
  <c r="DY41" i="5"/>
  <c r="CP41" i="5"/>
  <c r="DY129" i="5"/>
  <c r="CP129" i="5"/>
  <c r="DY190" i="5"/>
  <c r="CP190" i="5"/>
  <c r="DY80" i="5"/>
  <c r="CP80" i="5"/>
  <c r="DY87" i="5"/>
  <c r="CP87" i="5"/>
  <c r="DY31" i="5"/>
  <c r="CP31" i="5"/>
  <c r="DY36" i="5"/>
  <c r="CP36" i="5"/>
  <c r="DY10" i="5"/>
  <c r="CP10" i="5"/>
  <c r="CS195" i="5"/>
  <c r="EA195" i="5" s="1"/>
  <c r="DZ195" i="5"/>
  <c r="DY29" i="5"/>
  <c r="CP29" i="5"/>
  <c r="DY65" i="5"/>
  <c r="CP65" i="5"/>
  <c r="DY42" i="5"/>
  <c r="CP42" i="5"/>
  <c r="DY68" i="5"/>
  <c r="CP68" i="5"/>
  <c r="DY35" i="5"/>
  <c r="CP35" i="5"/>
  <c r="DY72" i="5"/>
  <c r="CP72" i="5"/>
  <c r="DY45" i="5"/>
  <c r="CP45" i="5"/>
  <c r="DY69" i="5"/>
  <c r="CP69" i="5"/>
  <c r="DY55" i="5"/>
  <c r="CP55" i="5"/>
  <c r="CS188" i="5"/>
  <c r="EA188" i="5" s="1"/>
  <c r="DZ188" i="5"/>
  <c r="DZ93" i="5"/>
  <c r="CS93" i="5"/>
  <c r="EA93" i="5" s="1"/>
  <c r="DY88" i="5"/>
  <c r="CP88" i="5"/>
  <c r="CS106" i="5"/>
  <c r="EA106" i="5" s="1"/>
  <c r="DZ106" i="5"/>
  <c r="DY96" i="5"/>
  <c r="CP96" i="5"/>
  <c r="DY92" i="5"/>
  <c r="CP92" i="5"/>
  <c r="CS192" i="5"/>
  <c r="EA192" i="5" s="1"/>
  <c r="DZ192" i="5"/>
  <c r="CS198" i="5"/>
  <c r="EA198" i="5" s="1"/>
  <c r="DZ198" i="5"/>
  <c r="DY4" i="5"/>
  <c r="CP4" i="5"/>
  <c r="DY197" i="5"/>
  <c r="CP197" i="5"/>
  <c r="CP91" i="5"/>
  <c r="DY91" i="5"/>
  <c r="CP100" i="5"/>
  <c r="DY100" i="5"/>
  <c r="DY46" i="5"/>
  <c r="CP46" i="5"/>
  <c r="DY86" i="5"/>
  <c r="CP86" i="5"/>
  <c r="DY52" i="5"/>
  <c r="CP52" i="5"/>
  <c r="DY71" i="5"/>
  <c r="CP71" i="5"/>
  <c r="DZ189" i="5"/>
  <c r="CS189" i="5"/>
  <c r="EA189" i="5" s="1"/>
  <c r="DY39" i="5"/>
  <c r="CP39" i="5"/>
  <c r="DY60" i="5"/>
  <c r="CP60" i="5"/>
  <c r="DY38" i="5"/>
  <c r="CP38" i="5"/>
  <c r="DY114" i="5"/>
  <c r="CP114" i="5"/>
  <c r="DY33" i="5"/>
  <c r="CP33" i="5"/>
  <c r="DY56" i="5"/>
  <c r="CP56" i="5"/>
  <c r="DY200" i="5"/>
  <c r="CP200" i="5"/>
  <c r="DY21" i="5"/>
  <c r="CP21" i="5"/>
  <c r="DY59" i="5"/>
  <c r="CP59" i="5"/>
  <c r="DY79" i="5"/>
  <c r="CP79" i="5"/>
  <c r="DY15" i="5"/>
  <c r="CP15" i="5"/>
  <c r="DY153" i="5"/>
  <c r="CP153" i="5"/>
  <c r="DY48" i="5"/>
  <c r="CP48" i="5"/>
  <c r="DY16" i="5"/>
  <c r="CP16" i="5"/>
  <c r="DY116" i="5"/>
  <c r="CP116" i="5"/>
  <c r="DY85" i="5"/>
  <c r="CP85" i="5"/>
  <c r="DY11" i="5"/>
  <c r="CP11" i="5"/>
  <c r="DY132" i="5"/>
  <c r="CP132" i="5"/>
  <c r="DY108" i="5"/>
  <c r="CP108" i="5"/>
  <c r="DY8" i="5"/>
  <c r="CP8" i="5"/>
  <c r="DY147" i="5"/>
  <c r="CP147" i="5"/>
  <c r="DY12" i="5"/>
  <c r="CP12" i="5"/>
  <c r="DY191" i="5"/>
  <c r="CP191" i="5"/>
  <c r="CS194" i="5"/>
  <c r="EA194" i="5" s="1"/>
  <c r="DZ194" i="5"/>
  <c r="CP99" i="5"/>
  <c r="DY99" i="5"/>
  <c r="DZ117" i="5"/>
  <c r="CS117" i="5"/>
  <c r="EA117" i="5" s="1"/>
  <c r="DY127" i="5"/>
  <c r="CP127" i="5"/>
  <c r="DY167" i="5"/>
  <c r="CP167" i="5"/>
  <c r="CP119" i="5"/>
  <c r="DY119" i="5"/>
  <c r="DY131" i="5"/>
  <c r="CP131" i="5"/>
  <c r="DY61" i="5"/>
  <c r="CP61" i="5"/>
  <c r="DY51" i="5"/>
  <c r="CP51" i="5"/>
  <c r="DY95" i="5"/>
  <c r="CP95" i="5"/>
  <c r="DY13" i="5"/>
  <c r="CP13" i="5"/>
  <c r="DY73" i="5"/>
  <c r="CP73" i="5"/>
  <c r="DY57" i="5"/>
  <c r="CP57" i="5"/>
  <c r="DY5" i="5"/>
  <c r="CP5" i="5"/>
  <c r="DY67" i="5"/>
  <c r="CP67" i="5"/>
  <c r="DY23" i="5"/>
  <c r="CP23" i="5"/>
  <c r="DY136" i="5"/>
  <c r="CP136" i="5"/>
  <c r="DY75" i="5"/>
  <c r="CP75" i="5"/>
  <c r="DY77" i="5"/>
  <c r="CP77" i="5"/>
  <c r="DY30" i="5"/>
  <c r="CP30" i="5"/>
  <c r="DY27" i="5"/>
  <c r="CP27" i="5"/>
  <c r="DY43" i="5"/>
  <c r="CP43" i="5"/>
  <c r="DY14" i="5"/>
  <c r="CP14" i="5"/>
  <c r="DY145" i="5"/>
  <c r="CP145" i="5"/>
  <c r="DY111" i="5"/>
  <c r="CP111" i="5"/>
  <c r="DY76" i="5"/>
  <c r="CP76" i="5"/>
  <c r="DY37" i="5"/>
  <c r="CP37" i="5"/>
  <c r="DY25" i="5"/>
  <c r="CP25" i="5"/>
  <c r="DY47" i="5"/>
  <c r="CP47" i="5"/>
  <c r="DZ196" i="5"/>
  <c r="CS196" i="5"/>
  <c r="EA196" i="5" s="1"/>
  <c r="DY161" i="3"/>
  <c r="DY127" i="3"/>
  <c r="DY129" i="3"/>
  <c r="AW166" i="3"/>
  <c r="DY166" i="3" s="1"/>
  <c r="DY128" i="3"/>
  <c r="DY17" i="3"/>
  <c r="AR166" i="3"/>
  <c r="AV166" i="3" s="1"/>
  <c r="DY15" i="3"/>
  <c r="DY104" i="3"/>
  <c r="DY82" i="3"/>
  <c r="DY75" i="3"/>
  <c r="DY16" i="3"/>
  <c r="DY92" i="3"/>
  <c r="DY121" i="3"/>
  <c r="DY183" i="3"/>
  <c r="DY4" i="3"/>
  <c r="DY66" i="3"/>
  <c r="DY54" i="3"/>
  <c r="DY153" i="3"/>
  <c r="DY180" i="3"/>
  <c r="DY172" i="3"/>
  <c r="DY170" i="3"/>
  <c r="DY105" i="3"/>
  <c r="DY201" i="3"/>
  <c r="DY86" i="3"/>
  <c r="DY36" i="3"/>
  <c r="DY143" i="3"/>
  <c r="DY57" i="3"/>
  <c r="DY38" i="3"/>
  <c r="DY77" i="3"/>
  <c r="DY169" i="3"/>
  <c r="DY156" i="3"/>
  <c r="DY78" i="3"/>
  <c r="DY101" i="3"/>
  <c r="DY27" i="3"/>
  <c r="DY23" i="3"/>
  <c r="DY7" i="3"/>
  <c r="DY126" i="3"/>
  <c r="DY149" i="3"/>
  <c r="DY94" i="3"/>
  <c r="DY140" i="3"/>
  <c r="DY84" i="3"/>
  <c r="DY87" i="3"/>
  <c r="DY80" i="3"/>
  <c r="DY52" i="3"/>
  <c r="DY184" i="3"/>
  <c r="DY112" i="3"/>
  <c r="DY119" i="3"/>
  <c r="DY97" i="3"/>
  <c r="DY42" i="3"/>
  <c r="DY148" i="3"/>
  <c r="DY49" i="3"/>
  <c r="DY151" i="3"/>
  <c r="DY83" i="3"/>
  <c r="DY199" i="3"/>
  <c r="DY145" i="3"/>
  <c r="DY12" i="3"/>
  <c r="DY29" i="3"/>
  <c r="DY99" i="3"/>
  <c r="DY178" i="3"/>
  <c r="DY35" i="3"/>
  <c r="DY25" i="3"/>
  <c r="DZ187" i="2"/>
  <c r="DY11" i="3"/>
  <c r="DY186" i="3"/>
  <c r="DY195" i="3"/>
  <c r="DY85" i="3"/>
  <c r="DY43" i="3"/>
  <c r="DZ137" i="2"/>
  <c r="DY74" i="3"/>
  <c r="DY164" i="3"/>
  <c r="DZ150" i="2"/>
  <c r="DY115" i="3"/>
  <c r="DY60" i="3"/>
  <c r="DY181" i="3"/>
  <c r="DY28" i="3"/>
  <c r="DY88" i="3"/>
  <c r="DY46" i="3"/>
  <c r="DY134" i="3"/>
  <c r="DY159" i="3"/>
  <c r="DY146" i="3"/>
  <c r="DY192" i="3"/>
  <c r="DY55" i="3"/>
  <c r="DY177" i="3"/>
  <c r="DY120" i="3"/>
  <c r="DY59" i="3"/>
  <c r="DY191" i="3"/>
  <c r="DY163" i="3"/>
  <c r="DY123" i="3"/>
  <c r="DY81" i="3"/>
  <c r="DY56" i="3"/>
  <c r="DY194" i="3"/>
  <c r="DY130" i="3"/>
  <c r="DY110" i="3"/>
  <c r="DY71" i="3"/>
  <c r="DY32" i="3"/>
  <c r="DY113" i="3"/>
  <c r="DY182" i="3"/>
  <c r="DY168" i="3"/>
  <c r="DY147" i="3"/>
  <c r="DY89" i="3"/>
  <c r="DY197" i="3"/>
  <c r="DY93" i="3"/>
  <c r="DY198" i="3"/>
  <c r="DY167" i="3"/>
  <c r="DY157" i="3"/>
  <c r="DY47" i="3"/>
  <c r="DY50" i="3"/>
  <c r="DY22" i="3"/>
  <c r="DY185" i="3"/>
  <c r="DY79" i="3"/>
  <c r="DY48" i="3"/>
  <c r="DY53" i="3"/>
  <c r="DY107" i="3"/>
  <c r="DY190" i="3"/>
  <c r="DY155" i="3"/>
  <c r="DY98" i="3"/>
  <c r="DY37" i="3"/>
  <c r="DY171" i="3"/>
  <c r="DY131" i="3"/>
  <c r="DY41" i="3"/>
  <c r="DY202" i="3"/>
  <c r="DY95" i="3"/>
  <c r="DY139" i="3"/>
  <c r="DY114" i="3"/>
  <c r="DY76" i="3"/>
  <c r="DY40" i="3"/>
  <c r="DY103" i="3"/>
  <c r="DY108" i="3"/>
  <c r="DY58" i="3"/>
  <c r="DY135" i="3"/>
  <c r="DY30" i="3"/>
  <c r="DY179" i="3"/>
  <c r="DY116" i="3"/>
  <c r="DY162" i="3"/>
  <c r="DY24" i="3"/>
  <c r="DY175" i="3"/>
  <c r="DY117" i="3"/>
  <c r="DY45" i="3"/>
  <c r="DY152" i="3"/>
  <c r="DY96" i="3"/>
  <c r="DY18" i="3"/>
  <c r="DZ18" i="2"/>
  <c r="DY8" i="3"/>
  <c r="DZ8" i="2"/>
  <c r="DY65" i="3"/>
  <c r="DZ70" i="2"/>
  <c r="DY200" i="3"/>
  <c r="DZ19" i="2"/>
  <c r="DY142" i="3"/>
  <c r="DZ154" i="2"/>
  <c r="DY189" i="3"/>
  <c r="DZ136" i="2"/>
  <c r="DY62" i="3"/>
  <c r="DZ67" i="2"/>
  <c r="DY160" i="3"/>
  <c r="DY10" i="3"/>
  <c r="EE46" i="21"/>
  <c r="EC135" i="3"/>
  <c r="EC150" i="3"/>
  <c r="EC128" i="3"/>
  <c r="EC148" i="3"/>
  <c r="EC143" i="3"/>
  <c r="EC187" i="3"/>
  <c r="EE139" i="3"/>
  <c r="ED141" i="3"/>
  <c r="EE140" i="3"/>
  <c r="EC165" i="3"/>
  <c r="EE149" i="3"/>
  <c r="EC134" i="3"/>
  <c r="EC124" i="3"/>
  <c r="EC147" i="3"/>
  <c r="ED146" i="3"/>
  <c r="EC152" i="3"/>
  <c r="ED129" i="3"/>
  <c r="EC125" i="3"/>
  <c r="ED116" i="21"/>
  <c r="ED178" i="21"/>
  <c r="ED105" i="21"/>
  <c r="ED44" i="21"/>
  <c r="ED57" i="21"/>
  <c r="ED139" i="21"/>
  <c r="ED52" i="21"/>
  <c r="EE155" i="21"/>
  <c r="ED109" i="21"/>
  <c r="ED121" i="21"/>
  <c r="ED8" i="21"/>
  <c r="EE56" i="21"/>
  <c r="ED115" i="21"/>
  <c r="ED155" i="21"/>
  <c r="EE104" i="21"/>
  <c r="ED56" i="21"/>
  <c r="EE123" i="21"/>
  <c r="ED119" i="21"/>
  <c r="ED188" i="21"/>
  <c r="ED5" i="21"/>
  <c r="ED112" i="21"/>
  <c r="ED179" i="21"/>
  <c r="EE146" i="21"/>
  <c r="ED174" i="3"/>
  <c r="ED49" i="21"/>
  <c r="EE52" i="21"/>
  <c r="EC179" i="3"/>
  <c r="EC178" i="3"/>
  <c r="EC176" i="3"/>
  <c r="ED186" i="3"/>
  <c r="EF184" i="3"/>
  <c r="ED152" i="21"/>
  <c r="ED120" i="21"/>
  <c r="ED3" i="21"/>
  <c r="EE138" i="21"/>
  <c r="ED50" i="21"/>
  <c r="ED107" i="21"/>
  <c r="EE50" i="21"/>
  <c r="ED132" i="21"/>
  <c r="ED55" i="21"/>
  <c r="ED125" i="21"/>
  <c r="ED45" i="21"/>
  <c r="ED46" i="21"/>
  <c r="EE4" i="21"/>
  <c r="EE55" i="21"/>
  <c r="EC149" i="3"/>
  <c r="ED201" i="3"/>
  <c r="EC171" i="3"/>
  <c r="EC182" i="3"/>
  <c r="ED153" i="3"/>
  <c r="EC153" i="3"/>
  <c r="EC151" i="3"/>
  <c r="ED151" i="3"/>
  <c r="EC130" i="3"/>
  <c r="ED130" i="3"/>
  <c r="EB153" i="3"/>
  <c r="EB152" i="3"/>
  <c r="EB130" i="3"/>
  <c r="EB151" i="3"/>
  <c r="EC170" i="3"/>
  <c r="ED134" i="3"/>
  <c r="EC180" i="3"/>
  <c r="EC167" i="3"/>
  <c r="EB122" i="3"/>
  <c r="EB165" i="3"/>
  <c r="EB128" i="3"/>
  <c r="EB148" i="3"/>
  <c r="EB126" i="3"/>
  <c r="EC140" i="3"/>
  <c r="EE177" i="3"/>
  <c r="EC166" i="3"/>
  <c r="EB143" i="3"/>
  <c r="ED169" i="3"/>
  <c r="ED152" i="3"/>
  <c r="ED148" i="3"/>
  <c r="EC146" i="3"/>
  <c r="ED150" i="3"/>
  <c r="ED143" i="3"/>
  <c r="ED165" i="3"/>
  <c r="ED135" i="3"/>
  <c r="ED147" i="3"/>
  <c r="EC202" i="3"/>
  <c r="EC141" i="3"/>
  <c r="EC126" i="3"/>
  <c r="ED114" i="21"/>
  <c r="ED130" i="21"/>
  <c r="ED128" i="21"/>
  <c r="ED58" i="21"/>
  <c r="ED41" i="21"/>
  <c r="ED54" i="21"/>
  <c r="EE202" i="21"/>
  <c r="ED110" i="21"/>
  <c r="EE58" i="21"/>
  <c r="EE53" i="21"/>
  <c r="ED165" i="21"/>
  <c r="DZ26" i="2"/>
  <c r="DY39" i="3"/>
  <c r="DZ61" i="2"/>
  <c r="DZ141" i="2"/>
  <c r="DZ90" i="2"/>
  <c r="DZ106" i="2"/>
  <c r="DZ158" i="2"/>
  <c r="DZ13" i="2"/>
  <c r="DY63" i="3"/>
  <c r="DZ5" i="2"/>
  <c r="DZ73" i="2"/>
  <c r="DZ102" i="2"/>
  <c r="DZ173" i="2"/>
  <c r="DZ103" i="2"/>
  <c r="L90" i="2"/>
  <c r="P90" i="2" s="1"/>
  <c r="T90" i="2" s="1"/>
  <c r="X90" i="2" s="1"/>
  <c r="DZ111" i="2"/>
  <c r="DY6" i="3"/>
  <c r="H187" i="2"/>
  <c r="H103" i="2"/>
  <c r="H4" i="2"/>
  <c r="EE178" i="21"/>
  <c r="EE115" i="21"/>
  <c r="EE121" i="21"/>
  <c r="EE74" i="21"/>
  <c r="EE22" i="21"/>
  <c r="EE188" i="21"/>
  <c r="EE139" i="21"/>
  <c r="EE128" i="21"/>
  <c r="EE120" i="21"/>
  <c r="EE109" i="21"/>
  <c r="EE44" i="21"/>
  <c r="EE41" i="21"/>
  <c r="T3" i="21"/>
  <c r="EE3" i="21"/>
  <c r="EE189" i="21"/>
  <c r="EE172" i="21"/>
  <c r="EE150" i="21"/>
  <c r="EE164" i="21"/>
  <c r="EE48" i="21"/>
  <c r="EE10" i="21"/>
  <c r="EF58" i="21"/>
  <c r="EF50" i="21"/>
  <c r="EF52" i="21"/>
  <c r="EE165" i="21"/>
  <c r="EE110" i="21"/>
  <c r="EE57" i="21"/>
  <c r="EE37" i="21"/>
  <c r="EE111" i="21"/>
  <c r="EE149" i="21"/>
  <c r="EE142" i="21"/>
  <c r="EE114" i="21"/>
  <c r="EE45" i="21"/>
  <c r="EE105" i="21"/>
  <c r="EE5" i="21"/>
  <c r="EE181" i="21"/>
  <c r="EE197" i="21"/>
  <c r="EE166" i="21"/>
  <c r="EE127" i="21"/>
  <c r="EE43" i="21"/>
  <c r="EE173" i="21"/>
  <c r="EE141" i="21"/>
  <c r="EE135" i="21"/>
  <c r="EE29" i="21"/>
  <c r="EE80" i="21"/>
  <c r="EE28" i="21"/>
  <c r="EE179" i="21"/>
  <c r="EE130" i="21"/>
  <c r="EE125" i="21"/>
  <c r="EE152" i="21"/>
  <c r="EE116" i="21"/>
  <c r="EE119" i="21"/>
  <c r="EE112" i="21"/>
  <c r="EE107" i="21"/>
  <c r="EE49" i="21"/>
  <c r="EE8" i="21"/>
  <c r="EE191" i="21"/>
  <c r="EE132" i="21"/>
  <c r="EE156" i="21"/>
  <c r="EE73" i="21"/>
  <c r="EE70" i="21"/>
  <c r="EE47" i="21"/>
  <c r="EF155" i="21"/>
  <c r="EF56" i="21"/>
  <c r="EF55" i="21"/>
  <c r="EF46" i="21"/>
  <c r="H31" i="2"/>
  <c r="EB31" i="2" s="1"/>
  <c r="DZ44" i="2"/>
  <c r="ED73" i="21"/>
  <c r="ED70" i="21"/>
  <c r="H44" i="2"/>
  <c r="EB44" i="2" s="1"/>
  <c r="EC143" i="2"/>
  <c r="P143" i="2"/>
  <c r="ED143" i="2" s="1"/>
  <c r="L154" i="2"/>
  <c r="P154" i="2" s="1"/>
  <c r="ED154" i="2" s="1"/>
  <c r="L141" i="2"/>
  <c r="P141" i="2" s="1"/>
  <c r="T141" i="2" s="1"/>
  <c r="EE141" i="2" s="1"/>
  <c r="T116" i="2"/>
  <c r="X116" i="2" s="1"/>
  <c r="DZ33" i="2"/>
  <c r="H33" i="2"/>
  <c r="EB33" i="2" s="1"/>
  <c r="ED37" i="21"/>
  <c r="ED47" i="21"/>
  <c r="DZ123" i="2"/>
  <c r="H72" i="2"/>
  <c r="EB72" i="2" s="1"/>
  <c r="H10" i="2"/>
  <c r="EB10" i="2" s="1"/>
  <c r="P59" i="2"/>
  <c r="ED59" i="2" s="1"/>
  <c r="ED80" i="21"/>
  <c r="EC139" i="3"/>
  <c r="ED149" i="21"/>
  <c r="P183" i="2"/>
  <c r="ED183" i="2" s="1"/>
  <c r="T63" i="2"/>
  <c r="X63" i="2" s="1"/>
  <c r="ED28" i="21"/>
  <c r="ED141" i="21"/>
  <c r="ED191" i="21"/>
  <c r="ED48" i="21"/>
  <c r="ED164" i="21"/>
  <c r="ED111" i="21"/>
  <c r="ED22" i="21"/>
  <c r="ED173" i="21"/>
  <c r="ED156" i="21"/>
  <c r="ED29" i="21"/>
  <c r="ED172" i="21"/>
  <c r="ED10" i="21"/>
  <c r="ED127" i="21"/>
  <c r="ED197" i="21"/>
  <c r="ED135" i="21"/>
  <c r="ED166" i="21"/>
  <c r="ED189" i="21"/>
  <c r="ED74" i="21"/>
  <c r="ED136" i="21"/>
  <c r="ED142" i="21"/>
  <c r="ED150" i="21"/>
  <c r="ED102" i="21"/>
  <c r="ED43" i="21"/>
  <c r="ED134" i="21"/>
  <c r="ED181" i="21"/>
  <c r="ED167" i="21"/>
  <c r="ED180" i="21"/>
  <c r="ED190" i="21"/>
  <c r="ED62" i="21"/>
  <c r="ED144" i="21"/>
  <c r="ED143" i="21"/>
  <c r="ED176" i="21"/>
  <c r="ED192" i="21"/>
  <c r="ED185" i="21"/>
  <c r="ED131" i="21"/>
  <c r="ED85" i="21"/>
  <c r="ED15" i="21"/>
  <c r="ED169" i="21"/>
  <c r="ED160" i="21"/>
  <c r="ED201" i="21"/>
  <c r="ED108" i="21"/>
  <c r="ED90" i="21"/>
  <c r="ED75" i="21"/>
  <c r="ED81" i="21"/>
  <c r="ED77" i="21"/>
  <c r="ED59" i="21"/>
  <c r="ED21" i="21"/>
  <c r="ED184" i="21"/>
  <c r="ED177" i="21"/>
  <c r="ED159" i="21"/>
  <c r="ED86" i="21"/>
  <c r="ED71" i="21"/>
  <c r="ED16" i="21"/>
  <c r="ED38" i="21"/>
  <c r="ED17" i="21"/>
  <c r="ED87" i="21"/>
  <c r="ED67" i="21"/>
  <c r="ED40" i="21"/>
  <c r="ED12" i="21"/>
  <c r="ED13" i="21"/>
  <c r="ED36" i="21"/>
  <c r="ED194" i="21"/>
  <c r="ED182" i="21"/>
  <c r="EC7" i="21"/>
  <c r="DY7" i="21"/>
  <c r="ED92" i="21"/>
  <c r="ED65" i="21"/>
  <c r="ED39" i="21"/>
  <c r="ED200" i="21"/>
  <c r="ED88" i="21"/>
  <c r="ED89" i="21"/>
  <c r="ED93" i="21"/>
  <c r="ED83" i="21"/>
  <c r="ED193" i="21"/>
  <c r="ED186" i="21"/>
  <c r="ED126" i="21"/>
  <c r="ED84" i="21"/>
  <c r="ED63" i="21"/>
  <c r="ED23" i="21"/>
  <c r="T100" i="2"/>
  <c r="EE100" i="2" s="1"/>
  <c r="P78" i="2"/>
  <c r="T78" i="2" s="1"/>
  <c r="EC191" i="2"/>
  <c r="T192" i="2"/>
  <c r="EE192" i="2" s="1"/>
  <c r="P88" i="2"/>
  <c r="ED88" i="2" s="1"/>
  <c r="EC70" i="2"/>
  <c r="T70" i="2"/>
  <c r="X70" i="2" s="1"/>
  <c r="P172" i="2"/>
  <c r="ED172" i="2" s="1"/>
  <c r="P148" i="2"/>
  <c r="ED148" i="2" s="1"/>
  <c r="P58" i="2"/>
  <c r="ED58" i="2" s="1"/>
  <c r="ED182" i="3"/>
  <c r="P69" i="2"/>
  <c r="ED69" i="2" s="1"/>
  <c r="P55" i="2"/>
  <c r="EC179" i="2"/>
  <c r="EC170" i="2"/>
  <c r="T20" i="2"/>
  <c r="EE20" i="2" s="1"/>
  <c r="ED180" i="3"/>
  <c r="P54" i="2"/>
  <c r="T54" i="2" s="1"/>
  <c r="P108" i="2"/>
  <c r="ED108" i="2" s="1"/>
  <c r="P36" i="2"/>
  <c r="ED36" i="2" s="1"/>
  <c r="EC192" i="2"/>
  <c r="T94" i="2"/>
  <c r="X94" i="2" s="1"/>
  <c r="EC129" i="3"/>
  <c r="P57" i="2"/>
  <c r="T57" i="2" s="1"/>
  <c r="EC20" i="2"/>
  <c r="EC27" i="2"/>
  <c r="P81" i="2"/>
  <c r="ED81" i="2" s="1"/>
  <c r="T27" i="2"/>
  <c r="EE27" i="2" s="1"/>
  <c r="P40" i="2"/>
  <c r="ED40" i="2" s="1"/>
  <c r="P171" i="2"/>
  <c r="T171" i="2" s="1"/>
  <c r="P110" i="2"/>
  <c r="T67" i="2"/>
  <c r="X67" i="2" s="1"/>
  <c r="P175" i="2"/>
  <c r="ED175" i="2" s="1"/>
  <c r="T160" i="2"/>
  <c r="EE160" i="2" s="1"/>
  <c r="P85" i="2"/>
  <c r="ED85" i="2" s="1"/>
  <c r="P195" i="2"/>
  <c r="T195" i="2" s="1"/>
  <c r="P96" i="2"/>
  <c r="ED96" i="2" s="1"/>
  <c r="P49" i="2"/>
  <c r="ED49" i="2" s="1"/>
  <c r="P176" i="2"/>
  <c r="T176" i="2" s="1"/>
  <c r="P74" i="2"/>
  <c r="ED74" i="2" s="1"/>
  <c r="P167" i="2"/>
  <c r="ED167" i="2" s="1"/>
  <c r="EC138" i="2"/>
  <c r="T138" i="2"/>
  <c r="EE138" i="2" s="1"/>
  <c r="EC150" i="2"/>
  <c r="EE176" i="3"/>
  <c r="P37" i="2"/>
  <c r="P147" i="2"/>
  <c r="ED147" i="2" s="1"/>
  <c r="P200" i="2"/>
  <c r="EC200" i="2"/>
  <c r="T145" i="2"/>
  <c r="X145" i="2" s="1"/>
  <c r="P162" i="2"/>
  <c r="ED162" i="2" s="1"/>
  <c r="P168" i="2"/>
  <c r="ED168" i="2" s="1"/>
  <c r="P77" i="2"/>
  <c r="T77" i="2" s="1"/>
  <c r="P12" i="2"/>
  <c r="ED12" i="2" s="1"/>
  <c r="EC124" i="2"/>
  <c r="P124" i="2"/>
  <c r="EF180" i="3"/>
  <c r="EC180" i="2"/>
  <c r="P180" i="2"/>
  <c r="P98" i="2"/>
  <c r="EC98" i="2"/>
  <c r="EC104" i="2"/>
  <c r="ED179" i="3"/>
  <c r="T114" i="2"/>
  <c r="EE114" i="2" s="1"/>
  <c r="P26" i="2"/>
  <c r="T26" i="2" s="1"/>
  <c r="EC93" i="2"/>
  <c r="P93" i="2"/>
  <c r="P177" i="2"/>
  <c r="EC177" i="2"/>
  <c r="EC94" i="2"/>
  <c r="T104" i="2"/>
  <c r="EE104" i="2" s="1"/>
  <c r="EC163" i="2"/>
  <c r="P163" i="2"/>
  <c r="EC21" i="2"/>
  <c r="P21" i="2"/>
  <c r="P50" i="2"/>
  <c r="ED50" i="2" s="1"/>
  <c r="EC75" i="2"/>
  <c r="P75" i="2"/>
  <c r="P51" i="2"/>
  <c r="ED51" i="2" s="1"/>
  <c r="EC89" i="2"/>
  <c r="P89" i="2"/>
  <c r="ED178" i="3"/>
  <c r="EC106" i="2"/>
  <c r="P106" i="2"/>
  <c r="T112" i="2"/>
  <c r="EE112" i="2" s="1"/>
  <c r="P82" i="2"/>
  <c r="ED82" i="2" s="1"/>
  <c r="T196" i="2"/>
  <c r="ED196" i="2"/>
  <c r="T173" i="2"/>
  <c r="ED173" i="2"/>
  <c r="ED179" i="2"/>
  <c r="T179" i="2"/>
  <c r="ED150" i="2"/>
  <c r="T150" i="2"/>
  <c r="EC99" i="2"/>
  <c r="P99" i="2"/>
  <c r="EC142" i="2"/>
  <c r="P142" i="2"/>
  <c r="EC107" i="2"/>
  <c r="P107" i="2"/>
  <c r="EC68" i="2"/>
  <c r="P68" i="2"/>
  <c r="T62" i="2"/>
  <c r="ED62" i="2"/>
  <c r="ED135" i="2"/>
  <c r="T135" i="2"/>
  <c r="ED197" i="2"/>
  <c r="T197" i="2"/>
  <c r="P198" i="2"/>
  <c r="EC198" i="2"/>
  <c r="P199" i="2"/>
  <c r="EC199" i="2"/>
  <c r="EC202" i="2"/>
  <c r="P202" i="2"/>
  <c r="T159" i="2"/>
  <c r="ED159" i="2"/>
  <c r="P164" i="2"/>
  <c r="EC164" i="2"/>
  <c r="EC136" i="2"/>
  <c r="P136" i="2"/>
  <c r="EE157" i="2"/>
  <c r="X157" i="2"/>
  <c r="P76" i="2"/>
  <c r="EC76" i="2"/>
  <c r="EC113" i="2"/>
  <c r="P113" i="2"/>
  <c r="EC86" i="2"/>
  <c r="P86" i="2"/>
  <c r="ED97" i="2"/>
  <c r="T97" i="2"/>
  <c r="EC47" i="2"/>
  <c r="P47" i="2"/>
  <c r="EC22" i="2"/>
  <c r="P22" i="2"/>
  <c r="EC41" i="2"/>
  <c r="P41" i="2"/>
  <c r="ED166" i="2"/>
  <c r="T166" i="2"/>
  <c r="EC105" i="2"/>
  <c r="P105" i="2"/>
  <c r="EC80" i="2"/>
  <c r="P80" i="2"/>
  <c r="EC194" i="2"/>
  <c r="P194" i="2"/>
  <c r="T156" i="2"/>
  <c r="ED156" i="2"/>
  <c r="P181" i="2"/>
  <c r="EC181" i="2"/>
  <c r="EC131" i="2"/>
  <c r="P131" i="2"/>
  <c r="EC83" i="2"/>
  <c r="P83" i="2"/>
  <c r="T65" i="2"/>
  <c r="ED65" i="2"/>
  <c r="EE119" i="2"/>
  <c r="X119" i="2"/>
  <c r="EC60" i="2"/>
  <c r="P60" i="2"/>
  <c r="EC25" i="2"/>
  <c r="P25" i="2"/>
  <c r="EC24" i="2"/>
  <c r="P24" i="2"/>
  <c r="ED34" i="2"/>
  <c r="T34" i="2"/>
  <c r="EC174" i="2"/>
  <c r="P174" i="2"/>
  <c r="P140" i="2"/>
  <c r="EC140" i="2"/>
  <c r="EC134" i="2"/>
  <c r="P134" i="2"/>
  <c r="EC161" i="2"/>
  <c r="P161" i="2"/>
  <c r="EC185" i="2"/>
  <c r="P185" i="2"/>
  <c r="T122" i="2"/>
  <c r="ED122" i="2"/>
  <c r="ED139" i="2"/>
  <c r="T139" i="2"/>
  <c r="T61" i="2"/>
  <c r="ED61" i="2"/>
  <c r="P23" i="2"/>
  <c r="EC23" i="2"/>
  <c r="EC18" i="2"/>
  <c r="P18" i="2"/>
  <c r="P17" i="2"/>
  <c r="EC17" i="2"/>
  <c r="EC11" i="2"/>
  <c r="P11" i="2"/>
  <c r="ED188" i="2"/>
  <c r="T188" i="2"/>
  <c r="EC169" i="2"/>
  <c r="P169" i="2"/>
  <c r="EC186" i="2"/>
  <c r="P186" i="2"/>
  <c r="EC152" i="2"/>
  <c r="P152" i="2"/>
  <c r="EC129" i="2"/>
  <c r="P129" i="2"/>
  <c r="EC146" i="2"/>
  <c r="P146" i="2"/>
  <c r="ED158" i="2"/>
  <c r="T158" i="2"/>
  <c r="EC115" i="2"/>
  <c r="P115" i="2"/>
  <c r="EC128" i="2"/>
  <c r="P128" i="2"/>
  <c r="X121" i="2"/>
  <c r="EE121" i="2"/>
  <c r="EC71" i="2"/>
  <c r="P71" i="2"/>
  <c r="ED125" i="2"/>
  <c r="T125" i="2"/>
  <c r="ED87" i="2"/>
  <c r="T87" i="2"/>
  <c r="EC46" i="2"/>
  <c r="P46" i="2"/>
  <c r="EC42" i="2"/>
  <c r="P42" i="2"/>
  <c r="EC15" i="2"/>
  <c r="P15" i="2"/>
  <c r="ED66" i="2"/>
  <c r="T66" i="2"/>
  <c r="EC56" i="2"/>
  <c r="P56" i="2"/>
  <c r="EC16" i="2"/>
  <c r="P16" i="2"/>
  <c r="EC7" i="2"/>
  <c r="P7" i="2"/>
  <c r="P184" i="2"/>
  <c r="EC184" i="2"/>
  <c r="P182" i="2"/>
  <c r="EC182" i="2"/>
  <c r="EC127" i="2"/>
  <c r="P127" i="2"/>
  <c r="ED155" i="2"/>
  <c r="T155" i="2"/>
  <c r="EC149" i="2"/>
  <c r="P149" i="2"/>
  <c r="EC133" i="2"/>
  <c r="P133" i="2"/>
  <c r="ED118" i="2"/>
  <c r="T118" i="2"/>
  <c r="EC126" i="2"/>
  <c r="P126" i="2"/>
  <c r="ED92" i="2"/>
  <c r="T92" i="2"/>
  <c r="P117" i="2"/>
  <c r="EC117" i="2"/>
  <c r="ED130" i="2"/>
  <c r="T130" i="2"/>
  <c r="EC111" i="2"/>
  <c r="P111" i="2"/>
  <c r="T53" i="2"/>
  <c r="ED53" i="2"/>
  <c r="ED45" i="2"/>
  <c r="T45" i="2"/>
  <c r="ED48" i="2"/>
  <c r="T48" i="2"/>
  <c r="EC39" i="2"/>
  <c r="P39" i="2"/>
  <c r="EC3" i="2"/>
  <c r="P3" i="2"/>
  <c r="P201" i="2"/>
  <c r="EC201" i="2"/>
  <c r="EC190" i="2"/>
  <c r="P190" i="2"/>
  <c r="EC144" i="2"/>
  <c r="P144" i="2"/>
  <c r="EC109" i="2"/>
  <c r="P109" i="2"/>
  <c r="EC91" i="2"/>
  <c r="P91" i="2"/>
  <c r="EC52" i="2"/>
  <c r="P52" i="2"/>
  <c r="EC32" i="2"/>
  <c r="P32" i="2"/>
  <c r="EC35" i="2"/>
  <c r="P35" i="2"/>
  <c r="ED5" i="2"/>
  <c r="T5" i="2"/>
  <c r="ED28" i="2"/>
  <c r="T28" i="2"/>
  <c r="ED38" i="2"/>
  <c r="T38" i="2"/>
  <c r="T191" i="2"/>
  <c r="ED191" i="2"/>
  <c r="ED170" i="2"/>
  <c r="T170" i="2"/>
  <c r="P178" i="2"/>
  <c r="EC178" i="2"/>
  <c r="EE151" i="2"/>
  <c r="X151" i="2"/>
  <c r="EC137" i="2"/>
  <c r="P137" i="2"/>
  <c r="T101" i="2"/>
  <c r="ED101" i="2"/>
  <c r="P120" i="2"/>
  <c r="EC120" i="2"/>
  <c r="EC84" i="2"/>
  <c r="P84" i="2"/>
  <c r="EC95" i="2"/>
  <c r="P95" i="2"/>
  <c r="EC29" i="2"/>
  <c r="P29" i="2"/>
  <c r="EC64" i="2"/>
  <c r="P64" i="2"/>
  <c r="EF179" i="3"/>
  <c r="EF182" i="3"/>
  <c r="ED202" i="3"/>
  <c r="EE178" i="3"/>
  <c r="EB165" i="2"/>
  <c r="L165" i="2"/>
  <c r="EC123" i="3"/>
  <c r="EB153" i="2"/>
  <c r="L153" i="2"/>
  <c r="ED140" i="21" l="1"/>
  <c r="EF53" i="21"/>
  <c r="EE140" i="21"/>
  <c r="ED53" i="21"/>
  <c r="ED51" i="21"/>
  <c r="ED147" i="21"/>
  <c r="EE147" i="21"/>
  <c r="ED91" i="21"/>
  <c r="EE51" i="21"/>
  <c r="BP150" i="21"/>
  <c r="ER150" i="21" s="1"/>
  <c r="ED33" i="21"/>
  <c r="EE33" i="21"/>
  <c r="ED174" i="21"/>
  <c r="ED154" i="21"/>
  <c r="ED100" i="21"/>
  <c r="EE154" i="21"/>
  <c r="EE174" i="21"/>
  <c r="BP147" i="21"/>
  <c r="ER147" i="21" s="1"/>
  <c r="ED148" i="21"/>
  <c r="EE124" i="21"/>
  <c r="ED124" i="21"/>
  <c r="ED9" i="21"/>
  <c r="BP140" i="21"/>
  <c r="BT140" i="21" s="1"/>
  <c r="ED19" i="21"/>
  <c r="ED20" i="21"/>
  <c r="EE133" i="21"/>
  <c r="ED133" i="21"/>
  <c r="EE118" i="21"/>
  <c r="ED118" i="21"/>
  <c r="ED31" i="21"/>
  <c r="ED61" i="21"/>
  <c r="ED106" i="21"/>
  <c r="ED187" i="21"/>
  <c r="EE187" i="21"/>
  <c r="DY124" i="3"/>
  <c r="BP91" i="21"/>
  <c r="EQ91" i="21"/>
  <c r="BP51" i="21"/>
  <c r="EQ51" i="21"/>
  <c r="BP154" i="21"/>
  <c r="EQ154" i="21"/>
  <c r="BP100" i="21"/>
  <c r="EQ100" i="21"/>
  <c r="BP33" i="21"/>
  <c r="EQ33" i="21"/>
  <c r="BP174" i="21"/>
  <c r="EQ174" i="21"/>
  <c r="BP187" i="21"/>
  <c r="EQ187" i="21"/>
  <c r="BP9" i="21"/>
  <c r="EQ9" i="21"/>
  <c r="BP106" i="21"/>
  <c r="EQ106" i="21"/>
  <c r="BP124" i="21"/>
  <c r="EQ124" i="21"/>
  <c r="P153" i="21"/>
  <c r="ED153" i="21"/>
  <c r="BP19" i="21"/>
  <c r="EQ19" i="21"/>
  <c r="BP61" i="21"/>
  <c r="EQ61" i="21"/>
  <c r="P72" i="21"/>
  <c r="T72" i="21" s="1"/>
  <c r="X72" i="21" s="1"/>
  <c r="AB72" i="21" s="1"/>
  <c r="AF72" i="21" s="1"/>
  <c r="AJ72" i="21" s="1"/>
  <c r="AN72" i="21" s="1"/>
  <c r="AR72" i="21" s="1"/>
  <c r="AV72" i="21" s="1"/>
  <c r="AZ72" i="21" s="1"/>
  <c r="BD72" i="21" s="1"/>
  <c r="BH72" i="21" s="1"/>
  <c r="BL72" i="21" s="1"/>
  <c r="ED72" i="21"/>
  <c r="BP31" i="21"/>
  <c r="EQ31" i="21"/>
  <c r="BP20" i="21"/>
  <c r="EQ20" i="21"/>
  <c r="BP118" i="21"/>
  <c r="EQ118" i="21"/>
  <c r="P69" i="21"/>
  <c r="T69" i="21" s="1"/>
  <c r="X69" i="21" s="1"/>
  <c r="AB69" i="21" s="1"/>
  <c r="AF69" i="21" s="1"/>
  <c r="AJ69" i="21" s="1"/>
  <c r="AN69" i="21" s="1"/>
  <c r="AR69" i="21" s="1"/>
  <c r="AV69" i="21" s="1"/>
  <c r="AZ69" i="21" s="1"/>
  <c r="BD69" i="21" s="1"/>
  <c r="BH69" i="21" s="1"/>
  <c r="BL69" i="21" s="1"/>
  <c r="ED69" i="21"/>
  <c r="BP133" i="21"/>
  <c r="EQ133" i="21"/>
  <c r="P68" i="21"/>
  <c r="T68" i="21" s="1"/>
  <c r="X68" i="21" s="1"/>
  <c r="AB68" i="21" s="1"/>
  <c r="AF68" i="21" s="1"/>
  <c r="AJ68" i="21" s="1"/>
  <c r="AN68" i="21" s="1"/>
  <c r="AR68" i="21" s="1"/>
  <c r="AV68" i="21" s="1"/>
  <c r="AZ68" i="21" s="1"/>
  <c r="BD68" i="21" s="1"/>
  <c r="BH68" i="21" s="1"/>
  <c r="BL68" i="21" s="1"/>
  <c r="ED68" i="21"/>
  <c r="BP148" i="21"/>
  <c r="EQ148" i="21"/>
  <c r="BP13" i="21"/>
  <c r="EQ13" i="21"/>
  <c r="BP53" i="21"/>
  <c r="EQ53" i="21"/>
  <c r="CP112" i="5"/>
  <c r="DY112" i="5"/>
  <c r="CP118" i="5"/>
  <c r="DY118" i="5"/>
  <c r="DY155" i="5"/>
  <c r="CP155" i="5"/>
  <c r="DY144" i="5"/>
  <c r="CP144" i="5"/>
  <c r="DY152" i="5"/>
  <c r="CP152" i="5"/>
  <c r="DZ101" i="5"/>
  <c r="CS101" i="5"/>
  <c r="EA101" i="5" s="1"/>
  <c r="EA130" i="5"/>
  <c r="EA134" i="5"/>
  <c r="EA150" i="5"/>
  <c r="EA146" i="5"/>
  <c r="CP90" i="5"/>
  <c r="DY90" i="5"/>
  <c r="DY193" i="5"/>
  <c r="CP193" i="5"/>
  <c r="M183" i="5"/>
  <c r="CX183" i="5"/>
  <c r="M142" i="5"/>
  <c r="CX142" i="5"/>
  <c r="M122" i="5"/>
  <c r="CX122" i="5"/>
  <c r="M161" i="5"/>
  <c r="CX161" i="5"/>
  <c r="M174" i="5"/>
  <c r="CX174" i="5"/>
  <c r="M201" i="5"/>
  <c r="CX201" i="5"/>
  <c r="M143" i="5"/>
  <c r="CX143" i="5"/>
  <c r="CP6" i="5"/>
  <c r="DY6" i="5"/>
  <c r="M137" i="5"/>
  <c r="CX137" i="5"/>
  <c r="M172" i="5"/>
  <c r="CX172" i="5"/>
  <c r="M187" i="5"/>
  <c r="CX187" i="5"/>
  <c r="M177" i="5"/>
  <c r="CX177" i="5"/>
  <c r="M124" i="5"/>
  <c r="CX124" i="5"/>
  <c r="M163" i="5"/>
  <c r="CX163" i="5"/>
  <c r="M178" i="5"/>
  <c r="CX178" i="5"/>
  <c r="M141" i="5"/>
  <c r="CX141" i="5"/>
  <c r="M125" i="5"/>
  <c r="CX125" i="5"/>
  <c r="M170" i="5"/>
  <c r="CX170" i="5"/>
  <c r="M184" i="5"/>
  <c r="CX184" i="5"/>
  <c r="M105" i="5"/>
  <c r="CX105" i="5"/>
  <c r="M162" i="5"/>
  <c r="CX162" i="5"/>
  <c r="CP102" i="5"/>
  <c r="DY102" i="5"/>
  <c r="M128" i="5"/>
  <c r="CX128" i="5"/>
  <c r="M181" i="5"/>
  <c r="CX181" i="5"/>
  <c r="M126" i="5"/>
  <c r="CX126" i="5"/>
  <c r="M169" i="5"/>
  <c r="CX169" i="5"/>
  <c r="M182" i="5"/>
  <c r="CX182" i="5"/>
  <c r="M133" i="5"/>
  <c r="CX133" i="5"/>
  <c r="M179" i="5"/>
  <c r="CX179" i="5"/>
  <c r="M123" i="5"/>
  <c r="CX123" i="5"/>
  <c r="M168" i="5"/>
  <c r="CX168" i="5"/>
  <c r="CX180" i="5"/>
  <c r="M180" i="5"/>
  <c r="M140" i="5"/>
  <c r="CX140" i="5"/>
  <c r="M185" i="5"/>
  <c r="CX185" i="5"/>
  <c r="M138" i="5"/>
  <c r="CX138" i="5"/>
  <c r="M171" i="5"/>
  <c r="CX171" i="5"/>
  <c r="M186" i="5"/>
  <c r="CX186" i="5"/>
  <c r="CX175" i="5"/>
  <c r="M175" i="5"/>
  <c r="M121" i="5"/>
  <c r="CX121" i="5"/>
  <c r="M176" i="5"/>
  <c r="CX176" i="5"/>
  <c r="G3" i="5"/>
  <c r="CT3" i="5"/>
  <c r="DZ94" i="5"/>
  <c r="CS94" i="5"/>
  <c r="EA94" i="5" s="1"/>
  <c r="CS37" i="5"/>
  <c r="EA37" i="5" s="1"/>
  <c r="DZ37" i="5"/>
  <c r="DZ14" i="5"/>
  <c r="CS14" i="5"/>
  <c r="EA14" i="5" s="1"/>
  <c r="DZ77" i="5"/>
  <c r="CS77" i="5"/>
  <c r="EA77" i="5" s="1"/>
  <c r="DZ23" i="5"/>
  <c r="CS23" i="5"/>
  <c r="EA23" i="5" s="1"/>
  <c r="CS13" i="5"/>
  <c r="EA13" i="5" s="1"/>
  <c r="DZ13" i="5"/>
  <c r="DZ131" i="5"/>
  <c r="CS131" i="5"/>
  <c r="DZ147" i="5"/>
  <c r="CS147" i="5"/>
  <c r="DZ108" i="5"/>
  <c r="CS108" i="5"/>
  <c r="EA108" i="5" s="1"/>
  <c r="DZ116" i="5"/>
  <c r="CS116" i="5"/>
  <c r="EA116" i="5" s="1"/>
  <c r="CS15" i="5"/>
  <c r="EA15" i="5" s="1"/>
  <c r="DZ15" i="5"/>
  <c r="CS200" i="5"/>
  <c r="EA200" i="5" s="1"/>
  <c r="DZ200" i="5"/>
  <c r="CS38" i="5"/>
  <c r="EA38" i="5" s="1"/>
  <c r="DZ38" i="5"/>
  <c r="DZ71" i="5"/>
  <c r="CS71" i="5"/>
  <c r="EA71" i="5" s="1"/>
  <c r="DZ88" i="5"/>
  <c r="CS88" i="5"/>
  <c r="EA88" i="5" s="1"/>
  <c r="CS69" i="5"/>
  <c r="EA69" i="5" s="1"/>
  <c r="DZ69" i="5"/>
  <c r="CS29" i="5"/>
  <c r="EA29" i="5" s="1"/>
  <c r="DZ29" i="5"/>
  <c r="CS31" i="5"/>
  <c r="EA31" i="5" s="1"/>
  <c r="DZ31" i="5"/>
  <c r="CS190" i="5"/>
  <c r="EA190" i="5" s="1"/>
  <c r="DZ190" i="5"/>
  <c r="DZ120" i="5"/>
  <c r="CS120" i="5"/>
  <c r="EA120" i="5" s="1"/>
  <c r="CS20" i="5"/>
  <c r="EA20" i="5" s="1"/>
  <c r="DZ20" i="5"/>
  <c r="CS7" i="5"/>
  <c r="EA7" i="5" s="1"/>
  <c r="DZ7" i="5"/>
  <c r="CS82" i="5"/>
  <c r="EA82" i="5" s="1"/>
  <c r="DZ82" i="5"/>
  <c r="DZ148" i="5"/>
  <c r="CS148" i="5"/>
  <c r="CS18" i="5"/>
  <c r="EA18" i="5" s="1"/>
  <c r="DZ18" i="5"/>
  <c r="CS9" i="5"/>
  <c r="EA9" i="5" s="1"/>
  <c r="DZ9" i="5"/>
  <c r="DZ113" i="5"/>
  <c r="CS113" i="5"/>
  <c r="EA113" i="5" s="1"/>
  <c r="CS63" i="5"/>
  <c r="EA63" i="5" s="1"/>
  <c r="DZ63" i="5"/>
  <c r="DZ70" i="5"/>
  <c r="CS70" i="5"/>
  <c r="EA70" i="5" s="1"/>
  <c r="CS100" i="5"/>
  <c r="EA100" i="5" s="1"/>
  <c r="DZ100" i="5"/>
  <c r="CS47" i="5"/>
  <c r="EA47" i="5" s="1"/>
  <c r="DZ47" i="5"/>
  <c r="DZ76" i="5"/>
  <c r="CS76" i="5"/>
  <c r="EA76" i="5" s="1"/>
  <c r="DZ43" i="5"/>
  <c r="CS43" i="5"/>
  <c r="EA43" i="5" s="1"/>
  <c r="CS75" i="5"/>
  <c r="EA75" i="5" s="1"/>
  <c r="DZ75" i="5"/>
  <c r="CS67" i="5"/>
  <c r="EA67" i="5" s="1"/>
  <c r="DZ67" i="5"/>
  <c r="DZ95" i="5"/>
  <c r="CS95" i="5"/>
  <c r="EA95" i="5" s="1"/>
  <c r="DZ8" i="5"/>
  <c r="CS8" i="5"/>
  <c r="EA8" i="5" s="1"/>
  <c r="DZ132" i="5"/>
  <c r="CS132" i="5"/>
  <c r="CS16" i="5"/>
  <c r="EA16" i="5" s="1"/>
  <c r="DZ16" i="5"/>
  <c r="CS79" i="5"/>
  <c r="EA79" i="5" s="1"/>
  <c r="DZ79" i="5"/>
  <c r="DZ56" i="5"/>
  <c r="CS56" i="5"/>
  <c r="EA56" i="5" s="1"/>
  <c r="DZ60" i="5"/>
  <c r="CS60" i="5"/>
  <c r="EA60" i="5" s="1"/>
  <c r="CS52" i="5"/>
  <c r="EA52" i="5" s="1"/>
  <c r="DZ52" i="5"/>
  <c r="CS45" i="5"/>
  <c r="EA45" i="5" s="1"/>
  <c r="DZ45" i="5"/>
  <c r="CS68" i="5"/>
  <c r="EA68" i="5" s="1"/>
  <c r="DZ68" i="5"/>
  <c r="CS87" i="5"/>
  <c r="EA87" i="5" s="1"/>
  <c r="DZ87" i="5"/>
  <c r="DZ129" i="5"/>
  <c r="CS129" i="5"/>
  <c r="EA129" i="5" s="1"/>
  <c r="CS34" i="5"/>
  <c r="EA34" i="5" s="1"/>
  <c r="DZ34" i="5"/>
  <c r="DZ54" i="5"/>
  <c r="CS54" i="5"/>
  <c r="EA54" i="5" s="1"/>
  <c r="DZ98" i="5"/>
  <c r="CS98" i="5"/>
  <c r="EA98" i="5" s="1"/>
  <c r="CS81" i="5"/>
  <c r="EA81" i="5" s="1"/>
  <c r="DZ81" i="5"/>
  <c r="CS74" i="5"/>
  <c r="EA74" i="5" s="1"/>
  <c r="DZ74" i="5"/>
  <c r="CS19" i="5"/>
  <c r="DZ19" i="5"/>
  <c r="CS44" i="5"/>
  <c r="EA44" i="5" s="1"/>
  <c r="DZ44" i="5"/>
  <c r="CS83" i="5"/>
  <c r="EA83" i="5" s="1"/>
  <c r="DZ83" i="5"/>
  <c r="DZ107" i="5"/>
  <c r="CS107" i="5"/>
  <c r="EA107" i="5" s="1"/>
  <c r="CS28" i="5"/>
  <c r="EA28" i="5" s="1"/>
  <c r="DZ28" i="5"/>
  <c r="DZ115" i="5"/>
  <c r="CS115" i="5"/>
  <c r="EA115" i="5" s="1"/>
  <c r="DZ119" i="5"/>
  <c r="CS119" i="5"/>
  <c r="EA119" i="5" s="1"/>
  <c r="DZ91" i="5"/>
  <c r="CS91" i="5"/>
  <c r="EA91" i="5" s="1"/>
  <c r="DZ25" i="5"/>
  <c r="CS25" i="5"/>
  <c r="EA25" i="5" s="1"/>
  <c r="DZ111" i="5"/>
  <c r="CS111" i="5"/>
  <c r="EA111" i="5" s="1"/>
  <c r="CS27" i="5"/>
  <c r="EA27" i="5" s="1"/>
  <c r="DZ27" i="5"/>
  <c r="CS5" i="5"/>
  <c r="EA5" i="5" s="1"/>
  <c r="DZ5" i="5"/>
  <c r="DZ51" i="5"/>
  <c r="CS51" i="5"/>
  <c r="EA51" i="5" s="1"/>
  <c r="DZ167" i="5"/>
  <c r="CS167" i="5"/>
  <c r="EA167" i="5" s="1"/>
  <c r="DZ191" i="5"/>
  <c r="CS191" i="5"/>
  <c r="EA191" i="5" s="1"/>
  <c r="CS11" i="5"/>
  <c r="EA11" i="5" s="1"/>
  <c r="DZ11" i="5"/>
  <c r="CS48" i="5"/>
  <c r="EA48" i="5" s="1"/>
  <c r="DZ48" i="5"/>
  <c r="DZ59" i="5"/>
  <c r="CS59" i="5"/>
  <c r="EA59" i="5" s="1"/>
  <c r="CS33" i="5"/>
  <c r="DZ33" i="5"/>
  <c r="DZ39" i="5"/>
  <c r="CS39" i="5"/>
  <c r="EA39" i="5" s="1"/>
  <c r="DZ86" i="5"/>
  <c r="CS86" i="5"/>
  <c r="EA86" i="5" s="1"/>
  <c r="DZ197" i="5"/>
  <c r="CS197" i="5"/>
  <c r="EA197" i="5" s="1"/>
  <c r="DZ92" i="5"/>
  <c r="CS92" i="5"/>
  <c r="EA92" i="5" s="1"/>
  <c r="CS72" i="5"/>
  <c r="EA72" i="5" s="1"/>
  <c r="DZ72" i="5"/>
  <c r="CS42" i="5"/>
  <c r="EA42" i="5" s="1"/>
  <c r="DZ42" i="5"/>
  <c r="DZ10" i="5"/>
  <c r="CS10" i="5"/>
  <c r="EA10" i="5" s="1"/>
  <c r="CS41" i="5"/>
  <c r="EA41" i="5" s="1"/>
  <c r="DZ41" i="5"/>
  <c r="DZ26" i="5"/>
  <c r="CS26" i="5"/>
  <c r="EA26" i="5" s="1"/>
  <c r="CS173" i="5"/>
  <c r="DZ173" i="5"/>
  <c r="DZ49" i="5"/>
  <c r="CS49" i="5"/>
  <c r="EA49" i="5" s="1"/>
  <c r="CS24" i="5"/>
  <c r="EA24" i="5" s="1"/>
  <c r="DZ24" i="5"/>
  <c r="CS58" i="5"/>
  <c r="EA58" i="5" s="1"/>
  <c r="DZ58" i="5"/>
  <c r="CS84" i="5"/>
  <c r="EA84" i="5" s="1"/>
  <c r="DZ84" i="5"/>
  <c r="DZ17" i="5"/>
  <c r="CS17" i="5"/>
  <c r="EA17" i="5" s="1"/>
  <c r="CS50" i="5"/>
  <c r="EA50" i="5" s="1"/>
  <c r="DZ50" i="5"/>
  <c r="DZ139" i="5"/>
  <c r="CS139" i="5"/>
  <c r="DZ99" i="5"/>
  <c r="CS99" i="5"/>
  <c r="EA99" i="5" s="1"/>
  <c r="DZ151" i="5"/>
  <c r="CS151" i="5"/>
  <c r="DZ135" i="5"/>
  <c r="CS135" i="5"/>
  <c r="DZ145" i="5"/>
  <c r="CS145" i="5"/>
  <c r="CS30" i="5"/>
  <c r="EA30" i="5" s="1"/>
  <c r="DZ30" i="5"/>
  <c r="DZ136" i="5"/>
  <c r="CS136" i="5"/>
  <c r="DZ57" i="5"/>
  <c r="CS57" i="5"/>
  <c r="EA57" i="5" s="1"/>
  <c r="DZ73" i="5"/>
  <c r="CS73" i="5"/>
  <c r="EA73" i="5" s="1"/>
  <c r="CS61" i="5"/>
  <c r="EA61" i="5" s="1"/>
  <c r="DZ61" i="5"/>
  <c r="DZ127" i="5"/>
  <c r="CS127" i="5"/>
  <c r="EA127" i="5" s="1"/>
  <c r="DZ12" i="5"/>
  <c r="CS12" i="5"/>
  <c r="EA12" i="5" s="1"/>
  <c r="CS85" i="5"/>
  <c r="EA85" i="5" s="1"/>
  <c r="DZ85" i="5"/>
  <c r="DZ153" i="5"/>
  <c r="CS153" i="5"/>
  <c r="CS21" i="5"/>
  <c r="EA21" i="5" s="1"/>
  <c r="DZ21" i="5"/>
  <c r="DZ114" i="5"/>
  <c r="CS114" i="5"/>
  <c r="EA114" i="5" s="1"/>
  <c r="DZ46" i="5"/>
  <c r="CS46" i="5"/>
  <c r="EA46" i="5" s="1"/>
  <c r="CS4" i="5"/>
  <c r="EA4" i="5" s="1"/>
  <c r="DZ4" i="5"/>
  <c r="DZ96" i="5"/>
  <c r="CS96" i="5"/>
  <c r="EA96" i="5" s="1"/>
  <c r="DZ55" i="5"/>
  <c r="CS55" i="5"/>
  <c r="CS35" i="5"/>
  <c r="EA35" i="5" s="1"/>
  <c r="DZ35" i="5"/>
  <c r="DZ65" i="5"/>
  <c r="CS65" i="5"/>
  <c r="EA65" i="5" s="1"/>
  <c r="DZ36" i="5"/>
  <c r="CS36" i="5"/>
  <c r="EA36" i="5" s="1"/>
  <c r="CS80" i="5"/>
  <c r="EA80" i="5" s="1"/>
  <c r="DZ80" i="5"/>
  <c r="CS32" i="5"/>
  <c r="EA32" i="5" s="1"/>
  <c r="DZ32" i="5"/>
  <c r="CS40" i="5"/>
  <c r="EA40" i="5" s="1"/>
  <c r="DZ40" i="5"/>
  <c r="CS64" i="5"/>
  <c r="EA64" i="5" s="1"/>
  <c r="DZ64" i="5"/>
  <c r="DZ149" i="5"/>
  <c r="CS149" i="5"/>
  <c r="EA149" i="5" s="1"/>
  <c r="CS22" i="5"/>
  <c r="EA22" i="5" s="1"/>
  <c r="DZ22" i="5"/>
  <c r="CS199" i="5"/>
  <c r="EA199" i="5" s="1"/>
  <c r="DZ199" i="5"/>
  <c r="CS53" i="5"/>
  <c r="EA53" i="5" s="1"/>
  <c r="DZ53" i="5"/>
  <c r="CS66" i="5"/>
  <c r="EA66" i="5" s="1"/>
  <c r="DZ66" i="5"/>
  <c r="CS78" i="5"/>
  <c r="EA78" i="5" s="1"/>
  <c r="DZ78" i="5"/>
  <c r="CS62" i="5"/>
  <c r="EA62" i="5" s="1"/>
  <c r="DZ62" i="5"/>
  <c r="AZ166" i="3"/>
  <c r="DZ166" i="2"/>
  <c r="DY193" i="3"/>
  <c r="EE42" i="21"/>
  <c r="DY64" i="3"/>
  <c r="DY91" i="3"/>
  <c r="DY61" i="3"/>
  <c r="DY158" i="3"/>
  <c r="DY136" i="3"/>
  <c r="DY173" i="3"/>
  <c r="DY19" i="3"/>
  <c r="DY70" i="3"/>
  <c r="DY67" i="3"/>
  <c r="DY154" i="3"/>
  <c r="DY187" i="3"/>
  <c r="DY196" i="3"/>
  <c r="DY188" i="3"/>
  <c r="DY174" i="3"/>
  <c r="DY150" i="3"/>
  <c r="DY138" i="3"/>
  <c r="DY144" i="3"/>
  <c r="DY132" i="3"/>
  <c r="DY137" i="3"/>
  <c r="DY125" i="3"/>
  <c r="DY133" i="3"/>
  <c r="DY13" i="3"/>
  <c r="DY26" i="3"/>
  <c r="DY90" i="3"/>
  <c r="DY44" i="3"/>
  <c r="DY5" i="3"/>
  <c r="DY106" i="3"/>
  <c r="DY102" i="3"/>
  <c r="DY141" i="3"/>
  <c r="DY73" i="3"/>
  <c r="DY111" i="3"/>
  <c r="ED139" i="3"/>
  <c r="ED149" i="3"/>
  <c r="ED140" i="3"/>
  <c r="ED126" i="3"/>
  <c r="ED173" i="3"/>
  <c r="EC137" i="3"/>
  <c r="EC156" i="3"/>
  <c r="ED160" i="3"/>
  <c r="EE124" i="3"/>
  <c r="EC136" i="3"/>
  <c r="EC127" i="3"/>
  <c r="EC159" i="3"/>
  <c r="EC133" i="3"/>
  <c r="ED154" i="3"/>
  <c r="EC155" i="3"/>
  <c r="EE187" i="3"/>
  <c r="ED144" i="3"/>
  <c r="EC157" i="3"/>
  <c r="EC161" i="3"/>
  <c r="EC145" i="3"/>
  <c r="EC121" i="3"/>
  <c r="EC164" i="3"/>
  <c r="EE171" i="21"/>
  <c r="EE129" i="21"/>
  <c r="EE30" i="21"/>
  <c r="EE195" i="21"/>
  <c r="EE6" i="21"/>
  <c r="EE161" i="21"/>
  <c r="EE113" i="21"/>
  <c r="EE137" i="21"/>
  <c r="EE117" i="21"/>
  <c r="EE145" i="21"/>
  <c r="ED183" i="3"/>
  <c r="EE174" i="3"/>
  <c r="EE122" i="21"/>
  <c r="EE60" i="21"/>
  <c r="EE170" i="21"/>
  <c r="ED185" i="3"/>
  <c r="EF186" i="3"/>
  <c r="EC154" i="3"/>
  <c r="ED184" i="3"/>
  <c r="EE184" i="3"/>
  <c r="ED124" i="3"/>
  <c r="EF54" i="21"/>
  <c r="EE163" i="21"/>
  <c r="EE196" i="21"/>
  <c r="EF124" i="3"/>
  <c r="EC131" i="3"/>
  <c r="ED175" i="3"/>
  <c r="EC173" i="3"/>
  <c r="EF201" i="3"/>
  <c r="EE169" i="3"/>
  <c r="ED137" i="3"/>
  <c r="ED128" i="3"/>
  <c r="ED155" i="3"/>
  <c r="ED159" i="3"/>
  <c r="ED164" i="3"/>
  <c r="ED133" i="3"/>
  <c r="EC160" i="3"/>
  <c r="ED127" i="3"/>
  <c r="EC158" i="3"/>
  <c r="ED156" i="3"/>
  <c r="EC168" i="3"/>
  <c r="ED177" i="3"/>
  <c r="EC144" i="3"/>
  <c r="EC162" i="3"/>
  <c r="ED157" i="3"/>
  <c r="ED145" i="3"/>
  <c r="ED181" i="3"/>
  <c r="EE167" i="3"/>
  <c r="EE166" i="3"/>
  <c r="EC142" i="3"/>
  <c r="EC122" i="3"/>
  <c r="EC163" i="3"/>
  <c r="EC138" i="3"/>
  <c r="ED125" i="3"/>
  <c r="ED172" i="3"/>
  <c r="EE125" i="3"/>
  <c r="EE90" i="2"/>
  <c r="EC90" i="2"/>
  <c r="ED90" i="2"/>
  <c r="EG187" i="3"/>
  <c r="ED187" i="3"/>
  <c r="H30" i="2"/>
  <c r="L30" i="2" s="1"/>
  <c r="H8" i="2"/>
  <c r="EB8" i="2" s="1"/>
  <c r="H19" i="2"/>
  <c r="L19" i="2" s="1"/>
  <c r="H73" i="2"/>
  <c r="L73" i="2" s="1"/>
  <c r="H13" i="2"/>
  <c r="L13" i="2" s="1"/>
  <c r="H79" i="2"/>
  <c r="L79" i="2" s="1"/>
  <c r="H6" i="2"/>
  <c r="L6" i="2" s="1"/>
  <c r="H43" i="2"/>
  <c r="H132" i="2"/>
  <c r="H102" i="2"/>
  <c r="EB187" i="2"/>
  <c r="L187" i="2"/>
  <c r="EB4" i="2"/>
  <c r="L4" i="2"/>
  <c r="EB103" i="2"/>
  <c r="L103" i="2"/>
  <c r="H14" i="2"/>
  <c r="H193" i="2"/>
  <c r="H9" i="2"/>
  <c r="H189" i="2"/>
  <c r="EG54" i="21"/>
  <c r="EG50" i="21"/>
  <c r="EG46" i="21"/>
  <c r="EG155" i="21"/>
  <c r="EG58" i="21"/>
  <c r="EG55" i="21"/>
  <c r="EG52" i="21"/>
  <c r="EG56" i="21"/>
  <c r="EG53" i="21"/>
  <c r="L31" i="2"/>
  <c r="EC31" i="2" s="1"/>
  <c r="EE67" i="21"/>
  <c r="EE16" i="21"/>
  <c r="EE177" i="21"/>
  <c r="EE81" i="21"/>
  <c r="EE169" i="21"/>
  <c r="EE176" i="21"/>
  <c r="EE31" i="21"/>
  <c r="EE183" i="21"/>
  <c r="EE32" i="21"/>
  <c r="EE23" i="21"/>
  <c r="EE84" i="21"/>
  <c r="EE186" i="21"/>
  <c r="EE83" i="21"/>
  <c r="EE89" i="21"/>
  <c r="EE200" i="21"/>
  <c r="EE65" i="21"/>
  <c r="EE182" i="21"/>
  <c r="EE190" i="21"/>
  <c r="EE167" i="21"/>
  <c r="EE157" i="21"/>
  <c r="EE25" i="21"/>
  <c r="EE18" i="21"/>
  <c r="EE175" i="21"/>
  <c r="EE79" i="21"/>
  <c r="EE96" i="21"/>
  <c r="EE27" i="21"/>
  <c r="EE158" i="21"/>
  <c r="EF47" i="21"/>
  <c r="EF73" i="21"/>
  <c r="EF132" i="21"/>
  <c r="EF191" i="21"/>
  <c r="EF49" i="21"/>
  <c r="EF112" i="21"/>
  <c r="EF116" i="21"/>
  <c r="EF125" i="21"/>
  <c r="EF129" i="21"/>
  <c r="EF28" i="21"/>
  <c r="EF29" i="21"/>
  <c r="EF133" i="21"/>
  <c r="EF141" i="21"/>
  <c r="EF122" i="21"/>
  <c r="EF127" i="21"/>
  <c r="EF197" i="21"/>
  <c r="EF181" i="21"/>
  <c r="EF5" i="21"/>
  <c r="EF105" i="21"/>
  <c r="EF117" i="21"/>
  <c r="EF114" i="21"/>
  <c r="EF187" i="21"/>
  <c r="EF142" i="21"/>
  <c r="EF30" i="21"/>
  <c r="EF37" i="21"/>
  <c r="EF57" i="21"/>
  <c r="EF118" i="21"/>
  <c r="EF10" i="21"/>
  <c r="EF174" i="21"/>
  <c r="EF150" i="21"/>
  <c r="EF124" i="21"/>
  <c r="EF140" i="21"/>
  <c r="X3" i="21"/>
  <c r="EF3" i="21"/>
  <c r="EF44" i="21"/>
  <c r="EF113" i="21"/>
  <c r="EF145" i="21"/>
  <c r="EF139" i="21"/>
  <c r="EF188" i="21"/>
  <c r="EF22" i="21"/>
  <c r="EF74" i="21"/>
  <c r="EF42" i="21"/>
  <c r="EF60" i="21"/>
  <c r="EF115" i="21"/>
  <c r="EF147" i="21"/>
  <c r="EE12" i="21"/>
  <c r="EE17" i="21"/>
  <c r="EE21" i="21"/>
  <c r="EE90" i="21"/>
  <c r="EE85" i="21"/>
  <c r="EE144" i="21"/>
  <c r="EE198" i="21"/>
  <c r="EE168" i="21"/>
  <c r="EE106" i="21"/>
  <c r="EE194" i="21"/>
  <c r="EE13" i="21"/>
  <c r="EE40" i="21"/>
  <c r="EE19" i="21"/>
  <c r="EE87" i="21"/>
  <c r="EE38" i="21"/>
  <c r="EE71" i="21"/>
  <c r="EE159" i="21"/>
  <c r="EE184" i="21"/>
  <c r="EE59" i="21"/>
  <c r="EE20" i="21"/>
  <c r="EE75" i="21"/>
  <c r="EE160" i="21"/>
  <c r="EE15" i="21"/>
  <c r="EE192" i="21"/>
  <c r="EE143" i="21"/>
  <c r="EE62" i="21"/>
  <c r="EE134" i="21"/>
  <c r="EE34" i="21"/>
  <c r="EE98" i="21"/>
  <c r="EE76" i="21"/>
  <c r="EE66" i="21"/>
  <c r="EE26" i="21"/>
  <c r="EE24" i="21"/>
  <c r="EE95" i="21"/>
  <c r="EE101" i="21"/>
  <c r="EE99" i="21"/>
  <c r="EE35" i="21"/>
  <c r="EE151" i="21"/>
  <c r="EE14" i="21"/>
  <c r="EE78" i="21"/>
  <c r="EE63" i="21"/>
  <c r="EE148" i="21"/>
  <c r="EE36" i="21"/>
  <c r="EE91" i="21"/>
  <c r="EE86" i="21"/>
  <c r="EE77" i="21"/>
  <c r="EE201" i="21"/>
  <c r="EE185" i="21"/>
  <c r="EE9" i="21"/>
  <c r="EE136" i="21"/>
  <c r="EE103" i="21"/>
  <c r="EE64" i="21"/>
  <c r="EE126" i="21"/>
  <c r="EE193" i="21"/>
  <c r="EE93" i="21"/>
  <c r="EE88" i="21"/>
  <c r="EE39" i="21"/>
  <c r="EE92" i="21"/>
  <c r="EE108" i="21"/>
  <c r="EE131" i="21"/>
  <c r="EE180" i="21"/>
  <c r="EE61" i="21"/>
  <c r="EE100" i="21"/>
  <c r="EE162" i="21"/>
  <c r="EE102" i="21"/>
  <c r="EE94" i="21"/>
  <c r="EE97" i="21"/>
  <c r="EE82" i="21"/>
  <c r="EE199" i="21"/>
  <c r="EF70" i="21"/>
  <c r="EF156" i="21"/>
  <c r="EF8" i="21"/>
  <c r="EF107" i="21"/>
  <c r="EF119" i="21"/>
  <c r="EF152" i="21"/>
  <c r="EF130" i="21"/>
  <c r="EF179" i="21"/>
  <c r="EF80" i="21"/>
  <c r="EF161" i="21"/>
  <c r="EF135" i="21"/>
  <c r="EF173" i="21"/>
  <c r="EF43" i="21"/>
  <c r="EF166" i="21"/>
  <c r="EF6" i="21"/>
  <c r="EF45" i="21"/>
  <c r="EF171" i="21"/>
  <c r="EF195" i="21"/>
  <c r="EF149" i="21"/>
  <c r="EF111" i="21"/>
  <c r="EF110" i="21"/>
  <c r="EF165" i="21"/>
  <c r="EF48" i="21"/>
  <c r="EF164" i="21"/>
  <c r="EF33" i="21"/>
  <c r="EF172" i="21"/>
  <c r="EF189" i="21"/>
  <c r="EF41" i="21"/>
  <c r="EF109" i="21"/>
  <c r="EF120" i="21"/>
  <c r="EF128" i="21"/>
  <c r="EF154" i="21"/>
  <c r="EF196" i="21"/>
  <c r="EF170" i="21"/>
  <c r="EF137" i="21"/>
  <c r="EF51" i="21"/>
  <c r="EF121" i="21"/>
  <c r="EF163" i="21"/>
  <c r="EF178" i="21"/>
  <c r="L44" i="2"/>
  <c r="EC44" i="2" s="1"/>
  <c r="T154" i="2"/>
  <c r="X154" i="2" s="1"/>
  <c r="X141" i="2"/>
  <c r="AB141" i="2" s="1"/>
  <c r="AF141" i="2" s="1"/>
  <c r="EE116" i="2"/>
  <c r="EC154" i="2"/>
  <c r="L33" i="2"/>
  <c r="EC33" i="2" s="1"/>
  <c r="H123" i="2"/>
  <c r="EB123" i="2" s="1"/>
  <c r="ED141" i="2"/>
  <c r="EC141" i="2"/>
  <c r="EE63" i="2"/>
  <c r="DZ72" i="2"/>
  <c r="L72" i="2"/>
  <c r="EC72" i="2" s="1"/>
  <c r="DZ10" i="2"/>
  <c r="L10" i="2"/>
  <c r="P10" i="2" s="1"/>
  <c r="T59" i="2"/>
  <c r="EE59" i="2" s="1"/>
  <c r="T183" i="2"/>
  <c r="X183" i="2" s="1"/>
  <c r="ED78" i="2"/>
  <c r="EE70" i="2"/>
  <c r="ED77" i="2"/>
  <c r="DY11" i="21"/>
  <c r="EB203" i="21"/>
  <c r="C66" i="19" s="1"/>
  <c r="X100" i="2"/>
  <c r="EF100" i="2" s="1"/>
  <c r="T36" i="2"/>
  <c r="X36" i="2" s="1"/>
  <c r="X192" i="2"/>
  <c r="EF192" i="2" s="1"/>
  <c r="T172" i="2"/>
  <c r="X172" i="2" s="1"/>
  <c r="X20" i="2"/>
  <c r="EF20" i="2" s="1"/>
  <c r="T96" i="2"/>
  <c r="X96" i="2" s="1"/>
  <c r="T74" i="2"/>
  <c r="EE74" i="2" s="1"/>
  <c r="T88" i="2"/>
  <c r="EE88" i="2" s="1"/>
  <c r="EE67" i="2"/>
  <c r="T58" i="2"/>
  <c r="X58" i="2" s="1"/>
  <c r="ED171" i="2"/>
  <c r="T143" i="2"/>
  <c r="X143" i="2" s="1"/>
  <c r="T69" i="2"/>
  <c r="EE69" i="2" s="1"/>
  <c r="ED55" i="2"/>
  <c r="T55" i="2"/>
  <c r="T148" i="2"/>
  <c r="T40" i="2"/>
  <c r="ED54" i="2"/>
  <c r="T108" i="2"/>
  <c r="ED57" i="2"/>
  <c r="T162" i="2"/>
  <c r="X162" i="2" s="1"/>
  <c r="EF176" i="3"/>
  <c r="T168" i="2"/>
  <c r="X168" i="2" s="1"/>
  <c r="X114" i="2"/>
  <c r="AB114" i="2" s="1"/>
  <c r="T50" i="2"/>
  <c r="X50" i="2" s="1"/>
  <c r="EE94" i="2"/>
  <c r="T51" i="2"/>
  <c r="X51" i="2" s="1"/>
  <c r="EG180" i="3"/>
  <c r="T81" i="2"/>
  <c r="EE81" i="2" s="1"/>
  <c r="ED195" i="2"/>
  <c r="EE145" i="2"/>
  <c r="X27" i="2"/>
  <c r="EF27" i="2" s="1"/>
  <c r="T82" i="2"/>
  <c r="EE82" i="2" s="1"/>
  <c r="T147" i="2"/>
  <c r="EE147" i="2" s="1"/>
  <c r="ED176" i="2"/>
  <c r="X104" i="2"/>
  <c r="AB104" i="2" s="1"/>
  <c r="AF104" i="2" s="1"/>
  <c r="T85" i="2"/>
  <c r="EE85" i="2" s="1"/>
  <c r="X112" i="2"/>
  <c r="EF112" i="2" s="1"/>
  <c r="T110" i="2"/>
  <c r="ED110" i="2"/>
  <c r="T175" i="2"/>
  <c r="EE175" i="2" s="1"/>
  <c r="T49" i="2"/>
  <c r="EE49" i="2" s="1"/>
  <c r="X160" i="2"/>
  <c r="AB160" i="2" s="1"/>
  <c r="T167" i="2"/>
  <c r="EE167" i="2" s="1"/>
  <c r="X138" i="2"/>
  <c r="T12" i="2"/>
  <c r="X12" i="2" s="1"/>
  <c r="ED37" i="2"/>
  <c r="T37" i="2"/>
  <c r="ED163" i="2"/>
  <c r="T163" i="2"/>
  <c r="ED98" i="2"/>
  <c r="T98" i="2"/>
  <c r="T180" i="2"/>
  <c r="ED180" i="2"/>
  <c r="ED26" i="2"/>
  <c r="T177" i="2"/>
  <c r="ED177" i="2"/>
  <c r="ED124" i="2"/>
  <c r="T124" i="2"/>
  <c r="ED200" i="2"/>
  <c r="T200" i="2"/>
  <c r="ED21" i="2"/>
  <c r="T21" i="2"/>
  <c r="ED93" i="2"/>
  <c r="T93" i="2"/>
  <c r="X173" i="2"/>
  <c r="EE173" i="2"/>
  <c r="ED106" i="2"/>
  <c r="T106" i="2"/>
  <c r="EE196" i="2"/>
  <c r="X196" i="2"/>
  <c r="ED75" i="2"/>
  <c r="T75" i="2"/>
  <c r="EE171" i="2"/>
  <c r="X171" i="2"/>
  <c r="ED89" i="2"/>
  <c r="T89" i="2"/>
  <c r="X101" i="2"/>
  <c r="EE101" i="2"/>
  <c r="ED201" i="2"/>
  <c r="T201" i="2"/>
  <c r="T117" i="2"/>
  <c r="ED117" i="2"/>
  <c r="EE195" i="2"/>
  <c r="X195" i="2"/>
  <c r="X26" i="2"/>
  <c r="EE26" i="2"/>
  <c r="ED199" i="2"/>
  <c r="T199" i="2"/>
  <c r="ED99" i="2"/>
  <c r="T99" i="2"/>
  <c r="ED64" i="2"/>
  <c r="T64" i="2"/>
  <c r="EF116" i="2"/>
  <c r="AB116" i="2"/>
  <c r="T137" i="2"/>
  <c r="ED137" i="2"/>
  <c r="ED35" i="2"/>
  <c r="T35" i="2"/>
  <c r="ED91" i="2"/>
  <c r="T91" i="2"/>
  <c r="ED144" i="2"/>
  <c r="T144" i="2"/>
  <c r="EE45" i="2"/>
  <c r="X45" i="2"/>
  <c r="EE78" i="2"/>
  <c r="X78" i="2"/>
  <c r="EE92" i="2"/>
  <c r="X92" i="2"/>
  <c r="ED133" i="2"/>
  <c r="T133" i="2"/>
  <c r="ED16" i="2"/>
  <c r="T16" i="2"/>
  <c r="T15" i="2"/>
  <c r="ED15" i="2"/>
  <c r="ED115" i="2"/>
  <c r="T115" i="2"/>
  <c r="ED129" i="2"/>
  <c r="T129" i="2"/>
  <c r="T11" i="2"/>
  <c r="ED11" i="2"/>
  <c r="T161" i="2"/>
  <c r="ED161" i="2"/>
  <c r="EE34" i="2"/>
  <c r="X34" i="2"/>
  <c r="EF119" i="2"/>
  <c r="AB119" i="2"/>
  <c r="ED83" i="2"/>
  <c r="T83" i="2"/>
  <c r="ED131" i="2"/>
  <c r="T131" i="2"/>
  <c r="ED194" i="2"/>
  <c r="T194" i="2"/>
  <c r="ED80" i="2"/>
  <c r="T80" i="2"/>
  <c r="ED113" i="2"/>
  <c r="T113" i="2"/>
  <c r="AB157" i="2"/>
  <c r="EF157" i="2"/>
  <c r="T182" i="2"/>
  <c r="ED182" i="2"/>
  <c r="EE57" i="2"/>
  <c r="X57" i="2"/>
  <c r="T23" i="2"/>
  <c r="ED23" i="2"/>
  <c r="X159" i="2"/>
  <c r="EE159" i="2"/>
  <c r="ED198" i="2"/>
  <c r="T198" i="2"/>
  <c r="EE135" i="2"/>
  <c r="X135" i="2"/>
  <c r="ED68" i="2"/>
  <c r="T68" i="2"/>
  <c r="EE150" i="2"/>
  <c r="X150" i="2"/>
  <c r="ED29" i="2"/>
  <c r="T29" i="2"/>
  <c r="ED84" i="2"/>
  <c r="T84" i="2"/>
  <c r="AB151" i="2"/>
  <c r="EF151" i="2"/>
  <c r="EE38" i="2"/>
  <c r="X38" i="2"/>
  <c r="ED32" i="2"/>
  <c r="T32" i="2"/>
  <c r="ED109" i="2"/>
  <c r="T109" i="2"/>
  <c r="EE130" i="2"/>
  <c r="X130" i="2"/>
  <c r="ED126" i="2"/>
  <c r="T126" i="2"/>
  <c r="ED149" i="2"/>
  <c r="T149" i="2"/>
  <c r="ED42" i="2"/>
  <c r="T42" i="2"/>
  <c r="ED71" i="2"/>
  <c r="T71" i="2"/>
  <c r="ED152" i="2"/>
  <c r="T152" i="2"/>
  <c r="EE188" i="2"/>
  <c r="X188" i="2"/>
  <c r="EE139" i="2"/>
  <c r="X139" i="2"/>
  <c r="T134" i="2"/>
  <c r="ED134" i="2"/>
  <c r="ED24" i="2"/>
  <c r="T24" i="2"/>
  <c r="EE77" i="2"/>
  <c r="X77" i="2"/>
  <c r="ED105" i="2"/>
  <c r="T105" i="2"/>
  <c r="ED41" i="2"/>
  <c r="T41" i="2"/>
  <c r="EE97" i="2"/>
  <c r="X97" i="2"/>
  <c r="ED136" i="2"/>
  <c r="T136" i="2"/>
  <c r="X176" i="2"/>
  <c r="EE176" i="2"/>
  <c r="EE197" i="2"/>
  <c r="X197" i="2"/>
  <c r="AB90" i="2"/>
  <c r="EF90" i="2"/>
  <c r="EE53" i="2"/>
  <c r="X53" i="2"/>
  <c r="ED17" i="2"/>
  <c r="T17" i="2"/>
  <c r="EE61" i="2"/>
  <c r="X61" i="2"/>
  <c r="EE65" i="2"/>
  <c r="X65" i="2"/>
  <c r="ED181" i="2"/>
  <c r="T181" i="2"/>
  <c r="X156" i="2"/>
  <c r="EE156" i="2"/>
  <c r="T76" i="2"/>
  <c r="ED76" i="2"/>
  <c r="ED107" i="2"/>
  <c r="T107" i="2"/>
  <c r="X179" i="2"/>
  <c r="EE179" i="2"/>
  <c r="EE28" i="2"/>
  <c r="X28" i="2"/>
  <c r="ED52" i="2"/>
  <c r="T52" i="2"/>
  <c r="T190" i="2"/>
  <c r="ED190" i="2"/>
  <c r="ED3" i="2"/>
  <c r="T3" i="2"/>
  <c r="ED39" i="2"/>
  <c r="T39" i="2"/>
  <c r="EE118" i="2"/>
  <c r="X118" i="2"/>
  <c r="EE155" i="2"/>
  <c r="X155" i="2"/>
  <c r="ED56" i="2"/>
  <c r="T56" i="2"/>
  <c r="EE87" i="2"/>
  <c r="X87" i="2"/>
  <c r="EE158" i="2"/>
  <c r="X158" i="2"/>
  <c r="T186" i="2"/>
  <c r="ED186" i="2"/>
  <c r="ED18" i="2"/>
  <c r="T18" i="2"/>
  <c r="T25" i="2"/>
  <c r="ED25" i="2"/>
  <c r="AB94" i="2"/>
  <c r="EF94" i="2"/>
  <c r="ED22" i="2"/>
  <c r="T22" i="2"/>
  <c r="ED202" i="2"/>
  <c r="T202" i="2"/>
  <c r="X62" i="2"/>
  <c r="EE62" i="2"/>
  <c r="ED120" i="2"/>
  <c r="T120" i="2"/>
  <c r="ED178" i="2"/>
  <c r="T178" i="2"/>
  <c r="EE191" i="2"/>
  <c r="X191" i="2"/>
  <c r="AB67" i="2"/>
  <c r="EF67" i="2"/>
  <c r="ED184" i="2"/>
  <c r="T184" i="2"/>
  <c r="EF121" i="2"/>
  <c r="AB121" i="2"/>
  <c r="X122" i="2"/>
  <c r="EE122" i="2"/>
  <c r="T140" i="2"/>
  <c r="ED140" i="2"/>
  <c r="X54" i="2"/>
  <c r="EE54" i="2"/>
  <c r="ED164" i="2"/>
  <c r="T164" i="2"/>
  <c r="EF63" i="2"/>
  <c r="AB63" i="2"/>
  <c r="ED142" i="2"/>
  <c r="T142" i="2"/>
  <c r="ED95" i="2"/>
  <c r="T95" i="2"/>
  <c r="EE170" i="2"/>
  <c r="X170" i="2"/>
  <c r="EE5" i="2"/>
  <c r="X5" i="2"/>
  <c r="EE48" i="2"/>
  <c r="X48" i="2"/>
  <c r="T111" i="2"/>
  <c r="ED111" i="2"/>
  <c r="ED127" i="2"/>
  <c r="T127" i="2"/>
  <c r="ED7" i="2"/>
  <c r="T7" i="2"/>
  <c r="X66" i="2"/>
  <c r="EE66" i="2"/>
  <c r="ED46" i="2"/>
  <c r="T46" i="2"/>
  <c r="EE125" i="2"/>
  <c r="X125" i="2"/>
  <c r="ED128" i="2"/>
  <c r="T128" i="2"/>
  <c r="T146" i="2"/>
  <c r="ED146" i="2"/>
  <c r="ED169" i="2"/>
  <c r="T169" i="2"/>
  <c r="ED185" i="2"/>
  <c r="T185" i="2"/>
  <c r="ED174" i="2"/>
  <c r="T174" i="2"/>
  <c r="ED60" i="2"/>
  <c r="T60" i="2"/>
  <c r="EF145" i="2"/>
  <c r="AB145" i="2"/>
  <c r="X166" i="2"/>
  <c r="EE166" i="2"/>
  <c r="ED47" i="2"/>
  <c r="T47" i="2"/>
  <c r="ED86" i="2"/>
  <c r="T86" i="2"/>
  <c r="EG179" i="3"/>
  <c r="EG182" i="3"/>
  <c r="EE185" i="3"/>
  <c r="EE172" i="3"/>
  <c r="EF178" i="3"/>
  <c r="EE202" i="3"/>
  <c r="EE128" i="3"/>
  <c r="EE175" i="3"/>
  <c r="EE181" i="3"/>
  <c r="EE183" i="3"/>
  <c r="EE126" i="3"/>
  <c r="ED123" i="3"/>
  <c r="AB70" i="2"/>
  <c r="EF70" i="2"/>
  <c r="EC165" i="2"/>
  <c r="P165" i="2"/>
  <c r="EC153" i="2"/>
  <c r="P153" i="2"/>
  <c r="EA55" i="5" l="1"/>
  <c r="G55" i="1"/>
  <c r="BT150" i="21"/>
  <c r="BX150" i="21" s="1"/>
  <c r="EE69" i="21"/>
  <c r="BT147" i="21"/>
  <c r="ES147" i="21" s="1"/>
  <c r="EE72" i="21"/>
  <c r="ER140" i="21"/>
  <c r="EE68" i="21"/>
  <c r="BT148" i="21"/>
  <c r="ER148" i="21"/>
  <c r="BP69" i="21"/>
  <c r="EQ69" i="21"/>
  <c r="BP72" i="21"/>
  <c r="EQ72" i="21"/>
  <c r="T153" i="21"/>
  <c r="X153" i="21" s="1"/>
  <c r="AB153" i="21" s="1"/>
  <c r="AF153" i="21" s="1"/>
  <c r="AJ153" i="21" s="1"/>
  <c r="AN153" i="21" s="1"/>
  <c r="AR153" i="21" s="1"/>
  <c r="AV153" i="21" s="1"/>
  <c r="AZ153" i="21" s="1"/>
  <c r="BD153" i="21" s="1"/>
  <c r="BH153" i="21" s="1"/>
  <c r="BL153" i="21" s="1"/>
  <c r="EE153" i="21"/>
  <c r="BT187" i="21"/>
  <c r="ER187" i="21"/>
  <c r="BT100" i="21"/>
  <c r="ER100" i="21"/>
  <c r="BP68" i="21"/>
  <c r="EQ68" i="21"/>
  <c r="BT118" i="21"/>
  <c r="ER118" i="21"/>
  <c r="BT61" i="21"/>
  <c r="ER61" i="21"/>
  <c r="BT124" i="21"/>
  <c r="ER124" i="21"/>
  <c r="BX140" i="21"/>
  <c r="ES140" i="21"/>
  <c r="BT154" i="21"/>
  <c r="ER154" i="21"/>
  <c r="BT53" i="21"/>
  <c r="ER53" i="21"/>
  <c r="BT20" i="21"/>
  <c r="ER20" i="21"/>
  <c r="BT106" i="21"/>
  <c r="ER106" i="21"/>
  <c r="BT174" i="21"/>
  <c r="ER174" i="21"/>
  <c r="BT51" i="21"/>
  <c r="ER51" i="21"/>
  <c r="BT13" i="21"/>
  <c r="ER13" i="21"/>
  <c r="BT133" i="21"/>
  <c r="ER133" i="21"/>
  <c r="BT31" i="21"/>
  <c r="ER31" i="21"/>
  <c r="BT19" i="21"/>
  <c r="ER19" i="21"/>
  <c r="BT9" i="21"/>
  <c r="ER9" i="21"/>
  <c r="BT33" i="21"/>
  <c r="ER33" i="21"/>
  <c r="BT91" i="21"/>
  <c r="ER91" i="21"/>
  <c r="CS112" i="5"/>
  <c r="EA112" i="5" s="1"/>
  <c r="DZ112" i="5"/>
  <c r="DZ118" i="5"/>
  <c r="CS118" i="5"/>
  <c r="EA118" i="5" s="1"/>
  <c r="CS152" i="5"/>
  <c r="EA152" i="5" s="1"/>
  <c r="DZ152" i="5"/>
  <c r="DZ144" i="5"/>
  <c r="CS144" i="5"/>
  <c r="EA144" i="5" s="1"/>
  <c r="CS155" i="5"/>
  <c r="EA155" i="5" s="1"/>
  <c r="DZ155" i="5"/>
  <c r="EA33" i="5"/>
  <c r="EA19" i="5"/>
  <c r="EA153" i="5"/>
  <c r="EA132" i="5"/>
  <c r="EA173" i="5"/>
  <c r="EA131" i="5"/>
  <c r="EA145" i="5"/>
  <c r="EA139" i="5"/>
  <c r="EA136" i="5"/>
  <c r="EA135" i="5"/>
  <c r="EA148" i="5"/>
  <c r="EA147" i="5"/>
  <c r="EA151" i="5"/>
  <c r="P175" i="5"/>
  <c r="CY175" i="5"/>
  <c r="P180" i="5"/>
  <c r="CY180" i="5"/>
  <c r="CS193" i="5"/>
  <c r="EA193" i="5" s="1"/>
  <c r="DZ193" i="5"/>
  <c r="P176" i="5"/>
  <c r="CY176" i="5"/>
  <c r="CY171" i="5"/>
  <c r="P171" i="5"/>
  <c r="P185" i="5"/>
  <c r="CY185" i="5"/>
  <c r="P123" i="5"/>
  <c r="CY123" i="5"/>
  <c r="P133" i="5"/>
  <c r="CY133" i="5"/>
  <c r="P169" i="5"/>
  <c r="CY169" i="5"/>
  <c r="P181" i="5"/>
  <c r="CY181" i="5"/>
  <c r="DZ102" i="5"/>
  <c r="CS102" i="5"/>
  <c r="P105" i="5"/>
  <c r="CY105" i="5"/>
  <c r="P170" i="5"/>
  <c r="CY170" i="5"/>
  <c r="P141" i="5"/>
  <c r="CY141" i="5"/>
  <c r="P163" i="5"/>
  <c r="CY163" i="5"/>
  <c r="P177" i="5"/>
  <c r="CY177" i="5"/>
  <c r="P172" i="5"/>
  <c r="CY172" i="5"/>
  <c r="DZ6" i="5"/>
  <c r="CS6" i="5"/>
  <c r="EA6" i="5" s="1"/>
  <c r="P201" i="5"/>
  <c r="CY201" i="5"/>
  <c r="P161" i="5"/>
  <c r="CY161" i="5"/>
  <c r="P142" i="5"/>
  <c r="CY142" i="5"/>
  <c r="P121" i="5"/>
  <c r="CY121" i="5"/>
  <c r="P186" i="5"/>
  <c r="CY186" i="5"/>
  <c r="P138" i="5"/>
  <c r="CY138" i="5"/>
  <c r="P140" i="5"/>
  <c r="CY140" i="5"/>
  <c r="P168" i="5"/>
  <c r="CY168" i="5"/>
  <c r="P179" i="5"/>
  <c r="CY179" i="5"/>
  <c r="P182" i="5"/>
  <c r="CY182" i="5"/>
  <c r="P126" i="5"/>
  <c r="CY126" i="5"/>
  <c r="P128" i="5"/>
  <c r="CY128" i="5"/>
  <c r="P162" i="5"/>
  <c r="CY162" i="5"/>
  <c r="P184" i="5"/>
  <c r="CY184" i="5"/>
  <c r="P125" i="5"/>
  <c r="CY125" i="5"/>
  <c r="P178" i="5"/>
  <c r="CY178" i="5"/>
  <c r="P124" i="5"/>
  <c r="CY124" i="5"/>
  <c r="P187" i="5"/>
  <c r="CY187" i="5"/>
  <c r="P137" i="5"/>
  <c r="CY137" i="5"/>
  <c r="P143" i="5"/>
  <c r="CY143" i="5"/>
  <c r="P174" i="5"/>
  <c r="CY174" i="5"/>
  <c r="P122" i="5"/>
  <c r="CY122" i="5"/>
  <c r="P183" i="5"/>
  <c r="CY183" i="5"/>
  <c r="CS90" i="5"/>
  <c r="EA90" i="5" s="1"/>
  <c r="DZ90" i="5"/>
  <c r="CW3" i="5"/>
  <c r="CW203" i="5" s="1"/>
  <c r="D67" i="19" s="1"/>
  <c r="J3" i="5"/>
  <c r="EF139" i="3"/>
  <c r="EE146" i="3"/>
  <c r="EF149" i="3"/>
  <c r="EF140" i="3"/>
  <c r="EE144" i="3"/>
  <c r="EE141" i="3"/>
  <c r="EG141" i="3"/>
  <c r="EF141" i="3"/>
  <c r="EG154" i="3"/>
  <c r="EE129" i="3"/>
  <c r="EF129" i="3"/>
  <c r="EE160" i="3"/>
  <c r="EF125" i="3"/>
  <c r="EE152" i="3"/>
  <c r="EE135" i="3"/>
  <c r="EE148" i="3"/>
  <c r="EE151" i="3"/>
  <c r="ED131" i="3"/>
  <c r="EG147" i="3"/>
  <c r="EF143" i="3"/>
  <c r="EE134" i="3"/>
  <c r="EE150" i="3"/>
  <c r="EE131" i="3"/>
  <c r="EE165" i="3"/>
  <c r="EF123" i="21"/>
  <c r="EF104" i="21"/>
  <c r="EF202" i="21"/>
  <c r="EF4" i="21"/>
  <c r="EF146" i="21"/>
  <c r="EF138" i="21"/>
  <c r="EF174" i="3"/>
  <c r="EF165" i="3"/>
  <c r="EE186" i="3"/>
  <c r="EG186" i="3"/>
  <c r="EF171" i="3"/>
  <c r="EE121" i="3"/>
  <c r="EE201" i="3"/>
  <c r="EG184" i="3"/>
  <c r="EE130" i="3"/>
  <c r="EF152" i="3"/>
  <c r="ED121" i="3"/>
  <c r="EF169" i="3"/>
  <c r="ED171" i="3"/>
  <c r="EE171" i="3"/>
  <c r="EG201" i="3"/>
  <c r="EE153" i="3"/>
  <c r="EF148" i="3"/>
  <c r="EF134" i="3"/>
  <c r="EG150" i="3"/>
  <c r="ED158" i="3"/>
  <c r="EF167" i="3"/>
  <c r="ED167" i="3"/>
  <c r="ED136" i="3"/>
  <c r="ED168" i="3"/>
  <c r="EF177" i="3"/>
  <c r="ED162" i="3"/>
  <c r="ED170" i="3"/>
  <c r="ED161" i="3"/>
  <c r="ED163" i="3"/>
  <c r="ED142" i="3"/>
  <c r="ED138" i="3"/>
  <c r="ED166" i="3"/>
  <c r="ED122" i="3"/>
  <c r="EE143" i="3"/>
  <c r="EE147" i="3"/>
  <c r="EF135" i="3"/>
  <c r="EF187" i="3"/>
  <c r="EB30" i="2"/>
  <c r="L8" i="2"/>
  <c r="P8" i="2" s="1"/>
  <c r="EB19" i="2"/>
  <c r="EB6" i="2"/>
  <c r="EB13" i="2"/>
  <c r="EB79" i="2"/>
  <c r="EB73" i="2"/>
  <c r="EC13" i="2"/>
  <c r="P13" i="2"/>
  <c r="EC30" i="2"/>
  <c r="P30" i="2"/>
  <c r="P187" i="2"/>
  <c r="EC187" i="2"/>
  <c r="EB189" i="2"/>
  <c r="L189" i="2"/>
  <c r="EC103" i="2"/>
  <c r="P103" i="2"/>
  <c r="EB102" i="2"/>
  <c r="L102" i="2"/>
  <c r="L9" i="2"/>
  <c r="EB9" i="2"/>
  <c r="EC73" i="2"/>
  <c r="P73" i="2"/>
  <c r="P19" i="2"/>
  <c r="EC19" i="2"/>
  <c r="L132" i="2"/>
  <c r="EB132" i="2"/>
  <c r="EB193" i="2"/>
  <c r="L193" i="2"/>
  <c r="EC79" i="2"/>
  <c r="P79" i="2"/>
  <c r="EB43" i="2"/>
  <c r="L43" i="2"/>
  <c r="EB14" i="2"/>
  <c r="L14" i="2"/>
  <c r="EC132" i="3"/>
  <c r="EC6" i="2"/>
  <c r="P6" i="2"/>
  <c r="EC4" i="2"/>
  <c r="P4" i="2"/>
  <c r="EH56" i="21"/>
  <c r="EH55" i="21"/>
  <c r="EH155" i="21"/>
  <c r="EH50" i="21"/>
  <c r="EH53" i="21"/>
  <c r="EH52" i="21"/>
  <c r="EH58" i="21"/>
  <c r="EH46" i="21"/>
  <c r="EH54" i="21"/>
  <c r="EG121" i="21"/>
  <c r="EG196" i="21"/>
  <c r="EG109" i="21"/>
  <c r="EG33" i="21"/>
  <c r="EG110" i="21"/>
  <c r="EG195" i="21"/>
  <c r="EG6" i="21"/>
  <c r="EG43" i="21"/>
  <c r="EG80" i="21"/>
  <c r="EG152" i="21"/>
  <c r="EG146" i="21"/>
  <c r="EG42" i="21"/>
  <c r="EG139" i="21"/>
  <c r="AB3" i="21"/>
  <c r="EG3" i="21"/>
  <c r="EG174" i="21"/>
  <c r="EG37" i="21"/>
  <c r="EG114" i="21"/>
  <c r="EG181" i="21"/>
  <c r="EG141" i="21"/>
  <c r="EG202" i="21"/>
  <c r="EG112" i="21"/>
  <c r="EG73" i="21"/>
  <c r="EG119" i="21"/>
  <c r="EG74" i="21"/>
  <c r="EG51" i="21"/>
  <c r="EG4" i="21"/>
  <c r="EG179" i="21"/>
  <c r="EG147" i="21"/>
  <c r="EG145" i="21"/>
  <c r="EG117" i="21"/>
  <c r="EG133" i="21"/>
  <c r="EG47" i="21"/>
  <c r="EG164" i="21"/>
  <c r="EG140" i="21"/>
  <c r="EG178" i="21"/>
  <c r="EG137" i="21"/>
  <c r="EG128" i="21"/>
  <c r="EG189" i="21"/>
  <c r="EG48" i="21"/>
  <c r="EG111" i="21"/>
  <c r="EG123" i="21"/>
  <c r="EG104" i="21"/>
  <c r="EG135" i="21"/>
  <c r="EG138" i="21"/>
  <c r="EG107" i="21"/>
  <c r="EG70" i="21"/>
  <c r="EG115" i="21"/>
  <c r="EG22" i="21"/>
  <c r="EG113" i="21"/>
  <c r="EG124" i="21"/>
  <c r="EG118" i="21"/>
  <c r="EG142" i="21"/>
  <c r="EG105" i="21"/>
  <c r="EG127" i="21"/>
  <c r="EG29" i="21"/>
  <c r="EG125" i="21"/>
  <c r="EG191" i="21"/>
  <c r="EG41" i="21"/>
  <c r="EG173" i="21"/>
  <c r="EG10" i="21"/>
  <c r="EG156" i="21"/>
  <c r="EG163" i="21"/>
  <c r="EG170" i="21"/>
  <c r="EG120" i="21"/>
  <c r="EG172" i="21"/>
  <c r="EG165" i="21"/>
  <c r="EG149" i="21"/>
  <c r="EG45" i="21"/>
  <c r="EG166" i="21"/>
  <c r="EG161" i="21"/>
  <c r="EG130" i="21"/>
  <c r="EG8" i="21"/>
  <c r="EG60" i="21"/>
  <c r="EG188" i="21"/>
  <c r="EG44" i="21"/>
  <c r="EG150" i="21"/>
  <c r="EG57" i="21"/>
  <c r="EG187" i="21"/>
  <c r="EG5" i="21"/>
  <c r="EG122" i="21"/>
  <c r="EG28" i="21"/>
  <c r="EG116" i="21"/>
  <c r="EG132" i="21"/>
  <c r="EG154" i="21"/>
  <c r="EG171" i="21"/>
  <c r="EG30" i="21"/>
  <c r="EG197" i="21"/>
  <c r="EG129" i="21"/>
  <c r="EG49" i="21"/>
  <c r="P31" i="2"/>
  <c r="T31" i="2" s="1"/>
  <c r="EF93" i="21"/>
  <c r="EF97" i="21"/>
  <c r="EF102" i="21"/>
  <c r="EF180" i="21"/>
  <c r="EF39" i="21"/>
  <c r="EF9" i="21"/>
  <c r="EF86" i="21"/>
  <c r="EF63" i="21"/>
  <c r="EF35" i="21"/>
  <c r="EF24" i="21"/>
  <c r="EF69" i="21"/>
  <c r="EF62" i="21"/>
  <c r="EF20" i="21"/>
  <c r="EF87" i="21"/>
  <c r="EF27" i="21"/>
  <c r="EF79" i="21"/>
  <c r="EF175" i="21"/>
  <c r="EF25" i="21"/>
  <c r="EF167" i="21"/>
  <c r="EF182" i="21"/>
  <c r="EF200" i="21"/>
  <c r="EF83" i="21"/>
  <c r="EF84" i="21"/>
  <c r="EF72" i="21"/>
  <c r="EF183" i="21"/>
  <c r="EF176" i="21"/>
  <c r="EF81" i="21"/>
  <c r="EF16" i="21"/>
  <c r="EF199" i="21"/>
  <c r="EF103" i="21"/>
  <c r="EF82" i="21"/>
  <c r="EF162" i="21"/>
  <c r="EF131" i="21"/>
  <c r="EF88" i="21"/>
  <c r="EF64" i="21"/>
  <c r="EF185" i="21"/>
  <c r="EF91" i="21"/>
  <c r="EF78" i="21"/>
  <c r="EF151" i="21"/>
  <c r="EF95" i="21"/>
  <c r="EF26" i="21"/>
  <c r="EF76" i="21"/>
  <c r="EF98" i="21"/>
  <c r="EF134" i="21"/>
  <c r="EF143" i="21"/>
  <c r="EF15" i="21"/>
  <c r="EF75" i="21"/>
  <c r="EF59" i="21"/>
  <c r="EF159" i="21"/>
  <c r="EF38" i="21"/>
  <c r="EF19" i="21"/>
  <c r="EF13" i="21"/>
  <c r="EF106" i="21"/>
  <c r="EF198" i="21"/>
  <c r="EF85" i="21"/>
  <c r="EF21" i="21"/>
  <c r="EF12" i="21"/>
  <c r="EF158" i="21"/>
  <c r="EF96" i="21"/>
  <c r="EF68" i="21"/>
  <c r="EF18" i="21"/>
  <c r="EF157" i="21"/>
  <c r="EF190" i="21"/>
  <c r="EF65" i="21"/>
  <c r="EF89" i="21"/>
  <c r="EF186" i="21"/>
  <c r="EF23" i="21"/>
  <c r="EF100" i="21"/>
  <c r="EF108" i="21"/>
  <c r="EF126" i="21"/>
  <c r="EF201" i="21"/>
  <c r="EF36" i="21"/>
  <c r="EF14" i="21"/>
  <c r="EF101" i="21"/>
  <c r="EF66" i="21"/>
  <c r="EF34" i="21"/>
  <c r="EF192" i="21"/>
  <c r="EF160" i="21"/>
  <c r="EF184" i="21"/>
  <c r="EF71" i="21"/>
  <c r="EF40" i="21"/>
  <c r="EF194" i="21"/>
  <c r="EF168" i="21"/>
  <c r="EF144" i="21"/>
  <c r="EF90" i="21"/>
  <c r="EF17" i="21"/>
  <c r="EF94" i="21"/>
  <c r="EF61" i="21"/>
  <c r="EF92" i="21"/>
  <c r="EF193" i="21"/>
  <c r="EF136" i="21"/>
  <c r="EF77" i="21"/>
  <c r="EF148" i="21"/>
  <c r="EF99" i="21"/>
  <c r="EF32" i="21"/>
  <c r="EF31" i="21"/>
  <c r="EF169" i="21"/>
  <c r="EF177" i="21"/>
  <c r="EF67" i="21"/>
  <c r="P44" i="2"/>
  <c r="T44" i="2" s="1"/>
  <c r="EF141" i="2"/>
  <c r="EG141" i="2"/>
  <c r="EE154" i="2"/>
  <c r="P33" i="2"/>
  <c r="T33" i="2" s="1"/>
  <c r="L123" i="2"/>
  <c r="P72" i="2"/>
  <c r="ED72" i="2" s="1"/>
  <c r="EC10" i="2"/>
  <c r="X59" i="2"/>
  <c r="EF59" i="2" s="1"/>
  <c r="EE183" i="2"/>
  <c r="EE36" i="2"/>
  <c r="AB100" i="2"/>
  <c r="EG100" i="2" s="1"/>
  <c r="AB20" i="2"/>
  <c r="EG20" i="2" s="1"/>
  <c r="EF146" i="3"/>
  <c r="ED7" i="21"/>
  <c r="AB192" i="2"/>
  <c r="EG192" i="2" s="1"/>
  <c r="EE51" i="2"/>
  <c r="EE96" i="2"/>
  <c r="X74" i="2"/>
  <c r="EF74" i="2" s="1"/>
  <c r="AB112" i="2"/>
  <c r="EG112" i="2" s="1"/>
  <c r="AB27" i="2"/>
  <c r="AF27" i="2" s="1"/>
  <c r="EE50" i="2"/>
  <c r="X175" i="2"/>
  <c r="EF175" i="2" s="1"/>
  <c r="X88" i="2"/>
  <c r="EF88" i="2" s="1"/>
  <c r="EE143" i="2"/>
  <c r="EG176" i="3"/>
  <c r="EE172" i="2"/>
  <c r="X147" i="2"/>
  <c r="EF147" i="2" s="1"/>
  <c r="EE58" i="2"/>
  <c r="EE168" i="2"/>
  <c r="X82" i="2"/>
  <c r="EF82" i="2" s="1"/>
  <c r="EE162" i="2"/>
  <c r="X69" i="2"/>
  <c r="EF69" i="2" s="1"/>
  <c r="EE148" i="2"/>
  <c r="X148" i="2"/>
  <c r="EE55" i="2"/>
  <c r="X55" i="2"/>
  <c r="EE12" i="2"/>
  <c r="EF114" i="2"/>
  <c r="EE108" i="2"/>
  <c r="X108" i="2"/>
  <c r="X85" i="2"/>
  <c r="AB85" i="2" s="1"/>
  <c r="X40" i="2"/>
  <c r="EE40" i="2"/>
  <c r="X81" i="2"/>
  <c r="AB81" i="2" s="1"/>
  <c r="EF104" i="2"/>
  <c r="X110" i="2"/>
  <c r="EE110" i="2"/>
  <c r="EG104" i="2"/>
  <c r="X49" i="2"/>
  <c r="EF49" i="2" s="1"/>
  <c r="EF160" i="2"/>
  <c r="X167" i="2"/>
  <c r="EF167" i="2" s="1"/>
  <c r="EF138" i="2"/>
  <c r="AB138" i="2"/>
  <c r="EE37" i="2"/>
  <c r="X37" i="2"/>
  <c r="EE200" i="2"/>
  <c r="X200" i="2"/>
  <c r="EE180" i="2"/>
  <c r="X180" i="2"/>
  <c r="EE93" i="2"/>
  <c r="X93" i="2"/>
  <c r="EE98" i="2"/>
  <c r="X98" i="2"/>
  <c r="EE163" i="2"/>
  <c r="X163" i="2"/>
  <c r="EE124" i="2"/>
  <c r="X124" i="2"/>
  <c r="EE177" i="2"/>
  <c r="X177" i="2"/>
  <c r="EE21" i="2"/>
  <c r="X21" i="2"/>
  <c r="X89" i="2"/>
  <c r="EE89" i="2"/>
  <c r="X106" i="2"/>
  <c r="EE106" i="2"/>
  <c r="EE75" i="2"/>
  <c r="X75" i="2"/>
  <c r="AB171" i="2"/>
  <c r="EF171" i="2"/>
  <c r="EF196" i="2"/>
  <c r="AB196" i="2"/>
  <c r="AB173" i="2"/>
  <c r="EF173" i="2"/>
  <c r="EE129" i="2"/>
  <c r="X129" i="2"/>
  <c r="EF45" i="2"/>
  <c r="AB45" i="2"/>
  <c r="EE23" i="2"/>
  <c r="X23" i="2"/>
  <c r="EE161" i="2"/>
  <c r="X161" i="2"/>
  <c r="EE127" i="2"/>
  <c r="X127" i="2"/>
  <c r="EF54" i="2"/>
  <c r="AB54" i="2"/>
  <c r="EE71" i="2"/>
  <c r="X71" i="2"/>
  <c r="X109" i="2"/>
  <c r="EE109" i="2"/>
  <c r="EE68" i="2"/>
  <c r="X68" i="2"/>
  <c r="EE113" i="2"/>
  <c r="X113" i="2"/>
  <c r="EG119" i="2"/>
  <c r="AF119" i="2"/>
  <c r="EE16" i="2"/>
  <c r="X16" i="2"/>
  <c r="EE184" i="2"/>
  <c r="X184" i="2"/>
  <c r="EE86" i="2"/>
  <c r="X86" i="2"/>
  <c r="EG145" i="2"/>
  <c r="AF145" i="2"/>
  <c r="EE169" i="2"/>
  <c r="X169" i="2"/>
  <c r="EE46" i="2"/>
  <c r="X46" i="2"/>
  <c r="EF5" i="2"/>
  <c r="AB5" i="2"/>
  <c r="EE95" i="2"/>
  <c r="X95" i="2"/>
  <c r="EE140" i="2"/>
  <c r="X140" i="2"/>
  <c r="AF94" i="2"/>
  <c r="EG94" i="2"/>
  <c r="AB162" i="2"/>
  <c r="EF162" i="2"/>
  <c r="EF58" i="2"/>
  <c r="AB58" i="2"/>
  <c r="EF179" i="2"/>
  <c r="AB179" i="2"/>
  <c r="AF90" i="2"/>
  <c r="EG90" i="2"/>
  <c r="EF97" i="2"/>
  <c r="AB97" i="2"/>
  <c r="EF77" i="2"/>
  <c r="AB77" i="2"/>
  <c r="EF188" i="2"/>
  <c r="AB188" i="2"/>
  <c r="EE42" i="2"/>
  <c r="X42" i="2"/>
  <c r="EE126" i="2"/>
  <c r="X126" i="2"/>
  <c r="EE32" i="2"/>
  <c r="X32" i="2"/>
  <c r="EE29" i="2"/>
  <c r="X29" i="2"/>
  <c r="EF135" i="2"/>
  <c r="AB135" i="2"/>
  <c r="EF57" i="2"/>
  <c r="AB57" i="2"/>
  <c r="EE115" i="2"/>
  <c r="X115" i="2"/>
  <c r="X133" i="2"/>
  <c r="EE133" i="2"/>
  <c r="EE91" i="2"/>
  <c r="X91" i="2"/>
  <c r="AB172" i="2"/>
  <c r="EF172" i="2"/>
  <c r="EG114" i="2"/>
  <c r="AF114" i="2"/>
  <c r="AB183" i="2"/>
  <c r="EF183" i="2"/>
  <c r="EG63" i="2"/>
  <c r="AF63" i="2"/>
  <c r="EE120" i="2"/>
  <c r="X120" i="2"/>
  <c r="EE56" i="2"/>
  <c r="X56" i="2"/>
  <c r="EF28" i="2"/>
  <c r="AB28" i="2"/>
  <c r="EE107" i="2"/>
  <c r="X107" i="2"/>
  <c r="EF65" i="2"/>
  <c r="AB65" i="2"/>
  <c r="AB53" i="2"/>
  <c r="EF53" i="2"/>
  <c r="EG151" i="2"/>
  <c r="AF151" i="2"/>
  <c r="AB26" i="2"/>
  <c r="EF26" i="2"/>
  <c r="EE117" i="2"/>
  <c r="X117" i="2"/>
  <c r="EF125" i="2"/>
  <c r="AB125" i="2"/>
  <c r="EF62" i="2"/>
  <c r="AB62" i="2"/>
  <c r="X47" i="2"/>
  <c r="EE47" i="2"/>
  <c r="EE174" i="2"/>
  <c r="X174" i="2"/>
  <c r="AB122" i="2"/>
  <c r="EF122" i="2"/>
  <c r="AF67" i="2"/>
  <c r="EG67" i="2"/>
  <c r="EE25" i="2"/>
  <c r="X25" i="2"/>
  <c r="EE186" i="2"/>
  <c r="X186" i="2"/>
  <c r="EE190" i="2"/>
  <c r="X190" i="2"/>
  <c r="EF197" i="2"/>
  <c r="AB197" i="2"/>
  <c r="EE41" i="2"/>
  <c r="X41" i="2"/>
  <c r="EE24" i="2"/>
  <c r="X24" i="2"/>
  <c r="EE152" i="2"/>
  <c r="X152" i="2"/>
  <c r="EF12" i="2"/>
  <c r="AB12" i="2"/>
  <c r="EF130" i="2"/>
  <c r="AB130" i="2"/>
  <c r="EE198" i="2"/>
  <c r="X198" i="2"/>
  <c r="EE131" i="2"/>
  <c r="X131" i="2"/>
  <c r="EF34" i="2"/>
  <c r="AB34" i="2"/>
  <c r="EF92" i="2"/>
  <c r="AB92" i="2"/>
  <c r="EE35" i="2"/>
  <c r="X35" i="2"/>
  <c r="EE64" i="2"/>
  <c r="X64" i="2"/>
  <c r="X201" i="2"/>
  <c r="EE201" i="2"/>
  <c r="EF156" i="2"/>
  <c r="AB156" i="2"/>
  <c r="EE136" i="2"/>
  <c r="X136" i="2"/>
  <c r="EF139" i="2"/>
  <c r="AB139" i="2"/>
  <c r="EE149" i="2"/>
  <c r="X149" i="2"/>
  <c r="EE194" i="2"/>
  <c r="X194" i="2"/>
  <c r="EE199" i="2"/>
  <c r="X199" i="2"/>
  <c r="X181" i="2"/>
  <c r="EE181" i="2"/>
  <c r="EE146" i="2"/>
  <c r="X146" i="2"/>
  <c r="EF66" i="2"/>
  <c r="AB66" i="2"/>
  <c r="X111" i="2"/>
  <c r="EE111" i="2"/>
  <c r="EE164" i="2"/>
  <c r="X164" i="2"/>
  <c r="EF191" i="2"/>
  <c r="AB191" i="2"/>
  <c r="EF51" i="2"/>
  <c r="AB51" i="2"/>
  <c r="AB158" i="2"/>
  <c r="EF158" i="2"/>
  <c r="AB155" i="2"/>
  <c r="EF155" i="2"/>
  <c r="X39" i="2"/>
  <c r="EE39" i="2"/>
  <c r="AB143" i="2"/>
  <c r="EF143" i="2"/>
  <c r="AB61" i="2"/>
  <c r="EF61" i="2"/>
  <c r="EE182" i="2"/>
  <c r="X182" i="2"/>
  <c r="EE11" i="2"/>
  <c r="X11" i="2"/>
  <c r="EE137" i="2"/>
  <c r="X137" i="2"/>
  <c r="AB36" i="2"/>
  <c r="EF36" i="2"/>
  <c r="X142" i="2"/>
  <c r="EE142" i="2"/>
  <c r="X202" i="2"/>
  <c r="EE202" i="2"/>
  <c r="EE52" i="2"/>
  <c r="X52" i="2"/>
  <c r="EE60" i="2"/>
  <c r="X60" i="2"/>
  <c r="X185" i="2"/>
  <c r="EE185" i="2"/>
  <c r="X128" i="2"/>
  <c r="EE128" i="2"/>
  <c r="EE7" i="2"/>
  <c r="X7" i="2"/>
  <c r="AB48" i="2"/>
  <c r="EF48" i="2"/>
  <c r="EF170" i="2"/>
  <c r="AB170" i="2"/>
  <c r="EF96" i="2"/>
  <c r="AB96" i="2"/>
  <c r="EG160" i="2"/>
  <c r="AF160" i="2"/>
  <c r="EE76" i="2"/>
  <c r="X76" i="2"/>
  <c r="X105" i="2"/>
  <c r="EE105" i="2"/>
  <c r="EF38" i="2"/>
  <c r="AB38" i="2"/>
  <c r="EE84" i="2"/>
  <c r="X84" i="2"/>
  <c r="EF150" i="2"/>
  <c r="AB150" i="2"/>
  <c r="EE80" i="2"/>
  <c r="X80" i="2"/>
  <c r="EE83" i="2"/>
  <c r="X83" i="2"/>
  <c r="EF78" i="2"/>
  <c r="AB78" i="2"/>
  <c r="EE144" i="2"/>
  <c r="X144" i="2"/>
  <c r="EE99" i="2"/>
  <c r="X99" i="2"/>
  <c r="EF195" i="2"/>
  <c r="AB195" i="2"/>
  <c r="EG116" i="2"/>
  <c r="AF116" i="2"/>
  <c r="AB166" i="2"/>
  <c r="EF166" i="2"/>
  <c r="AB168" i="2"/>
  <c r="EF168" i="2"/>
  <c r="EF50" i="2"/>
  <c r="AB50" i="2"/>
  <c r="EG121" i="2"/>
  <c r="AF121" i="2"/>
  <c r="EE178" i="2"/>
  <c r="X178" i="2"/>
  <c r="EE22" i="2"/>
  <c r="X22" i="2"/>
  <c r="EE18" i="2"/>
  <c r="X18" i="2"/>
  <c r="AB87" i="2"/>
  <c r="EF87" i="2"/>
  <c r="EF118" i="2"/>
  <c r="AB118" i="2"/>
  <c r="EE3" i="2"/>
  <c r="X3" i="2"/>
  <c r="EE17" i="2"/>
  <c r="X17" i="2"/>
  <c r="EF176" i="2"/>
  <c r="AB176" i="2"/>
  <c r="EE134" i="2"/>
  <c r="X134" i="2"/>
  <c r="EH141" i="2"/>
  <c r="AJ141" i="2"/>
  <c r="EF159" i="2"/>
  <c r="AB159" i="2"/>
  <c r="EG157" i="2"/>
  <c r="AF157" i="2"/>
  <c r="EE15" i="2"/>
  <c r="X15" i="2"/>
  <c r="EF101" i="2"/>
  <c r="AB101" i="2"/>
  <c r="EF185" i="3"/>
  <c r="EF172" i="3"/>
  <c r="EF183" i="3"/>
  <c r="EF175" i="3"/>
  <c r="EG178" i="3"/>
  <c r="EG177" i="3"/>
  <c r="EF181" i="3"/>
  <c r="EF202" i="3"/>
  <c r="EG171" i="3"/>
  <c r="EF128" i="3"/>
  <c r="EG125" i="3"/>
  <c r="EF126" i="3"/>
  <c r="EH184" i="3"/>
  <c r="EG139" i="3"/>
  <c r="EG149" i="3"/>
  <c r="EG146" i="3"/>
  <c r="EG140" i="3"/>
  <c r="EF154" i="2"/>
  <c r="AB154" i="2"/>
  <c r="ED153" i="2"/>
  <c r="T153" i="2"/>
  <c r="ED165" i="2"/>
  <c r="T165" i="2"/>
  <c r="EH104" i="2"/>
  <c r="AJ104" i="2"/>
  <c r="ED10" i="2"/>
  <c r="T10" i="2"/>
  <c r="AF70" i="2"/>
  <c r="EG70" i="2"/>
  <c r="EE123" i="3"/>
  <c r="ES150" i="21" l="1"/>
  <c r="BX147" i="21"/>
  <c r="CB147" i="21" s="1"/>
  <c r="EF153" i="21"/>
  <c r="EG153" i="21"/>
  <c r="BX9" i="21"/>
  <c r="ES9" i="21"/>
  <c r="BX13" i="21"/>
  <c r="ES13" i="21"/>
  <c r="CB150" i="21"/>
  <c r="ET150" i="21"/>
  <c r="BX154" i="21"/>
  <c r="ES154" i="21"/>
  <c r="BX118" i="21"/>
  <c r="ES118" i="21"/>
  <c r="BP153" i="21"/>
  <c r="EQ153" i="21"/>
  <c r="BX19" i="21"/>
  <c r="ES19" i="21"/>
  <c r="BX51" i="21"/>
  <c r="ES51" i="21"/>
  <c r="BX20" i="21"/>
  <c r="ES20" i="21"/>
  <c r="CB140" i="21"/>
  <c r="ET140" i="21"/>
  <c r="BT68" i="21"/>
  <c r="ER68" i="21"/>
  <c r="BT72" i="21"/>
  <c r="ER72" i="21"/>
  <c r="BX91" i="21"/>
  <c r="ES91" i="21"/>
  <c r="BX31" i="21"/>
  <c r="ES31" i="21"/>
  <c r="BX174" i="21"/>
  <c r="ES174" i="21"/>
  <c r="BX124" i="21"/>
  <c r="ES124" i="21"/>
  <c r="BX100" i="21"/>
  <c r="ES100" i="21"/>
  <c r="BT69" i="21"/>
  <c r="ER69" i="21"/>
  <c r="BX33" i="21"/>
  <c r="ES33" i="21"/>
  <c r="BX133" i="21"/>
  <c r="ES133" i="21"/>
  <c r="BX106" i="21"/>
  <c r="ES106" i="21"/>
  <c r="BX53" i="21"/>
  <c r="ES53" i="21"/>
  <c r="BX61" i="21"/>
  <c r="ES61" i="21"/>
  <c r="BX187" i="21"/>
  <c r="ES187" i="21"/>
  <c r="BX148" i="21"/>
  <c r="ES148" i="21"/>
  <c r="EA102" i="5"/>
  <c r="S122" i="5"/>
  <c r="CZ122" i="5"/>
  <c r="S143" i="5"/>
  <c r="CZ143" i="5"/>
  <c r="CZ187" i="5"/>
  <c r="S187" i="5"/>
  <c r="S178" i="5"/>
  <c r="CZ178" i="5"/>
  <c r="S184" i="5"/>
  <c r="CZ184" i="5"/>
  <c r="S128" i="5"/>
  <c r="CZ128" i="5"/>
  <c r="S182" i="5"/>
  <c r="CZ182" i="5"/>
  <c r="S168" i="5"/>
  <c r="CZ168" i="5"/>
  <c r="S138" i="5"/>
  <c r="CZ138" i="5"/>
  <c r="S121" i="5"/>
  <c r="CZ121" i="5"/>
  <c r="S161" i="5"/>
  <c r="CZ161" i="5"/>
  <c r="S177" i="5"/>
  <c r="CZ177" i="5"/>
  <c r="S141" i="5"/>
  <c r="CZ141" i="5"/>
  <c r="CZ105" i="5"/>
  <c r="S105" i="5"/>
  <c r="S181" i="5"/>
  <c r="CZ181" i="5"/>
  <c r="S133" i="5"/>
  <c r="CZ133" i="5"/>
  <c r="S185" i="5"/>
  <c r="CZ185" i="5"/>
  <c r="S176" i="5"/>
  <c r="CZ176" i="5"/>
  <c r="S180" i="5"/>
  <c r="CZ180" i="5"/>
  <c r="S171" i="5"/>
  <c r="CZ171" i="5"/>
  <c r="S183" i="5"/>
  <c r="CZ183" i="5"/>
  <c r="S174" i="5"/>
  <c r="CZ174" i="5"/>
  <c r="S137" i="5"/>
  <c r="CZ137" i="5"/>
  <c r="S124" i="5"/>
  <c r="CZ124" i="5"/>
  <c r="S125" i="5"/>
  <c r="CZ125" i="5"/>
  <c r="S162" i="5"/>
  <c r="CZ162" i="5"/>
  <c r="S126" i="5"/>
  <c r="CZ126" i="5"/>
  <c r="S179" i="5"/>
  <c r="CZ179" i="5"/>
  <c r="CZ140" i="5"/>
  <c r="S140" i="5"/>
  <c r="S186" i="5"/>
  <c r="CZ186" i="5"/>
  <c r="S142" i="5"/>
  <c r="CZ142" i="5"/>
  <c r="S201" i="5"/>
  <c r="CZ201" i="5"/>
  <c r="S172" i="5"/>
  <c r="CZ172" i="5"/>
  <c r="S163" i="5"/>
  <c r="CZ163" i="5"/>
  <c r="S170" i="5"/>
  <c r="CZ170" i="5"/>
  <c r="S169" i="5"/>
  <c r="CZ169" i="5"/>
  <c r="S123" i="5"/>
  <c r="CZ123" i="5"/>
  <c r="S175" i="5"/>
  <c r="CZ175" i="5"/>
  <c r="CX3" i="5"/>
  <c r="CX203" i="5" s="1"/>
  <c r="E67" i="19" s="1"/>
  <c r="M3" i="5"/>
  <c r="EF144" i="3"/>
  <c r="EG129" i="3"/>
  <c r="EG153" i="3"/>
  <c r="EE154" i="3"/>
  <c r="EF121" i="3"/>
  <c r="EG160" i="3"/>
  <c r="EF153" i="3"/>
  <c r="EF173" i="3"/>
  <c r="EE173" i="3"/>
  <c r="EF147" i="3"/>
  <c r="EG130" i="3"/>
  <c r="EF130" i="3"/>
  <c r="EI187" i="3"/>
  <c r="EI124" i="3"/>
  <c r="EF131" i="3"/>
  <c r="EE133" i="3"/>
  <c r="EE159" i="3"/>
  <c r="EE164" i="3"/>
  <c r="EE145" i="3"/>
  <c r="EE155" i="3"/>
  <c r="EE157" i="3"/>
  <c r="EE127" i="3"/>
  <c r="EF156" i="3"/>
  <c r="EG165" i="3"/>
  <c r="EH186" i="3"/>
  <c r="EG151" i="3"/>
  <c r="EF151" i="3"/>
  <c r="EG152" i="3"/>
  <c r="EH124" i="3"/>
  <c r="EG124" i="3"/>
  <c r="EG134" i="3"/>
  <c r="EF154" i="3"/>
  <c r="EF133" i="3"/>
  <c r="EG155" i="3"/>
  <c r="EH201" i="3"/>
  <c r="EG169" i="3"/>
  <c r="EE156" i="3"/>
  <c r="EE137" i="3"/>
  <c r="EF166" i="3"/>
  <c r="EG148" i="3"/>
  <c r="EF157" i="3"/>
  <c r="EF150" i="3"/>
  <c r="EG135" i="3"/>
  <c r="EG167" i="3"/>
  <c r="EE136" i="3"/>
  <c r="EE158" i="3"/>
  <c r="EE168" i="3"/>
  <c r="EE161" i="3"/>
  <c r="EE170" i="3"/>
  <c r="EE162" i="3"/>
  <c r="EE138" i="3"/>
  <c r="EE122" i="3"/>
  <c r="EE142" i="3"/>
  <c r="EE163" i="3"/>
  <c r="EH187" i="3"/>
  <c r="EC8" i="2"/>
  <c r="T73" i="2"/>
  <c r="ED73" i="2"/>
  <c r="ED4" i="2"/>
  <c r="T4" i="2"/>
  <c r="ED8" i="2"/>
  <c r="T8" i="2"/>
  <c r="ED6" i="2"/>
  <c r="T6" i="2"/>
  <c r="ED132" i="3"/>
  <c r="EC43" i="2"/>
  <c r="P43" i="2"/>
  <c r="P9" i="2"/>
  <c r="EC9" i="2"/>
  <c r="T187" i="2"/>
  <c r="ED187" i="2"/>
  <c r="T103" i="2"/>
  <c r="ED103" i="2"/>
  <c r="P189" i="2"/>
  <c r="EC189" i="2"/>
  <c r="ED30" i="2"/>
  <c r="T30" i="2"/>
  <c r="T79" i="2"/>
  <c r="ED79" i="2"/>
  <c r="P132" i="2"/>
  <c r="EC132" i="2"/>
  <c r="EC102" i="2"/>
  <c r="P102" i="2"/>
  <c r="T13" i="2"/>
  <c r="ED13" i="2"/>
  <c r="EC14" i="2"/>
  <c r="P14" i="2"/>
  <c r="EC193" i="2"/>
  <c r="P193" i="2"/>
  <c r="ED19" i="2"/>
  <c r="T19" i="2"/>
  <c r="EI46" i="21"/>
  <c r="EI50" i="21"/>
  <c r="EI58" i="21"/>
  <c r="EI155" i="21"/>
  <c r="EI52" i="21"/>
  <c r="EI55" i="21"/>
  <c r="EI54" i="21"/>
  <c r="EI53" i="21"/>
  <c r="EI56" i="21"/>
  <c r="ED31" i="2"/>
  <c r="EH129" i="21"/>
  <c r="EH30" i="21"/>
  <c r="EH154" i="21"/>
  <c r="EH116" i="21"/>
  <c r="EH122" i="21"/>
  <c r="EH187" i="21"/>
  <c r="EH150" i="21"/>
  <c r="EH188" i="21"/>
  <c r="EH8" i="21"/>
  <c r="EH161" i="21"/>
  <c r="EH45" i="21"/>
  <c r="EH165" i="21"/>
  <c r="EH120" i="21"/>
  <c r="EH163" i="21"/>
  <c r="EH10" i="21"/>
  <c r="EH41" i="21"/>
  <c r="EH125" i="21"/>
  <c r="EH127" i="21"/>
  <c r="EH142" i="21"/>
  <c r="EH124" i="21"/>
  <c r="EH22" i="21"/>
  <c r="EH70" i="21"/>
  <c r="EH138" i="21"/>
  <c r="EH104" i="21"/>
  <c r="EH111" i="21"/>
  <c r="EH189" i="21"/>
  <c r="EH137" i="21"/>
  <c r="EH140" i="21"/>
  <c r="EH164" i="21"/>
  <c r="EH133" i="21"/>
  <c r="EH145" i="21"/>
  <c r="EH179" i="21"/>
  <c r="EH51" i="21"/>
  <c r="EH119" i="21"/>
  <c r="EH112" i="21"/>
  <c r="EH141" i="21"/>
  <c r="EH114" i="21"/>
  <c r="EH174" i="21"/>
  <c r="EH139" i="21"/>
  <c r="EH146" i="21"/>
  <c r="EH80" i="21"/>
  <c r="EH6" i="21"/>
  <c r="EH110" i="21"/>
  <c r="EH109" i="21"/>
  <c r="EH121" i="21"/>
  <c r="EH49" i="21"/>
  <c r="EH197" i="21"/>
  <c r="EH171" i="21"/>
  <c r="EH132" i="21"/>
  <c r="EH28" i="21"/>
  <c r="EH5" i="21"/>
  <c r="EH57" i="21"/>
  <c r="EH44" i="21"/>
  <c r="EH60" i="21"/>
  <c r="EH130" i="21"/>
  <c r="EH166" i="21"/>
  <c r="EH149" i="21"/>
  <c r="EH172" i="21"/>
  <c r="EH170" i="21"/>
  <c r="EH156" i="21"/>
  <c r="EH173" i="21"/>
  <c r="EH191" i="21"/>
  <c r="EH29" i="21"/>
  <c r="EH105" i="21"/>
  <c r="EH118" i="21"/>
  <c r="EH113" i="21"/>
  <c r="EH115" i="21"/>
  <c r="EH107" i="21"/>
  <c r="EH135" i="21"/>
  <c r="EH123" i="21"/>
  <c r="EH48" i="21"/>
  <c r="EH128" i="21"/>
  <c r="EH178" i="21"/>
  <c r="EH153" i="21"/>
  <c r="EH47" i="21"/>
  <c r="EH117" i="21"/>
  <c r="EH147" i="21"/>
  <c r="EH4" i="21"/>
  <c r="EH74" i="21"/>
  <c r="EH73" i="21"/>
  <c r="EH202" i="21"/>
  <c r="EH181" i="21"/>
  <c r="EH37" i="21"/>
  <c r="AF3" i="21"/>
  <c r="EH3" i="21"/>
  <c r="EH42" i="21"/>
  <c r="EH152" i="21"/>
  <c r="EH43" i="21"/>
  <c r="EH195" i="21"/>
  <c r="EH33" i="21"/>
  <c r="EH196" i="21"/>
  <c r="EG177" i="21"/>
  <c r="EG99" i="21"/>
  <c r="EG193" i="21"/>
  <c r="EG17" i="21"/>
  <c r="EG194" i="21"/>
  <c r="EG160" i="21"/>
  <c r="EG101" i="21"/>
  <c r="EG126" i="21"/>
  <c r="EG186" i="21"/>
  <c r="EG157" i="21"/>
  <c r="EG158" i="21"/>
  <c r="EG198" i="21"/>
  <c r="EG38" i="21"/>
  <c r="EG15" i="21"/>
  <c r="EG76" i="21"/>
  <c r="EG78" i="21"/>
  <c r="EG88" i="21"/>
  <c r="EG103" i="21"/>
  <c r="EG176" i="21"/>
  <c r="EG83" i="21"/>
  <c r="EG25" i="21"/>
  <c r="EG87" i="21"/>
  <c r="EG24" i="21"/>
  <c r="EG9" i="21"/>
  <c r="EG97" i="21"/>
  <c r="EG169" i="21"/>
  <c r="EG148" i="21"/>
  <c r="EG92" i="21"/>
  <c r="EG90" i="21"/>
  <c r="EG40" i="21"/>
  <c r="EG192" i="21"/>
  <c r="EG14" i="21"/>
  <c r="EG108" i="21"/>
  <c r="EG89" i="21"/>
  <c r="EG18" i="21"/>
  <c r="EG12" i="21"/>
  <c r="EG106" i="21"/>
  <c r="EG159" i="21"/>
  <c r="EG143" i="21"/>
  <c r="EG26" i="21"/>
  <c r="EG91" i="21"/>
  <c r="EG131" i="21"/>
  <c r="EG175" i="21"/>
  <c r="EG20" i="21"/>
  <c r="EG35" i="21"/>
  <c r="EG39" i="21"/>
  <c r="EG93" i="21"/>
  <c r="EG31" i="21"/>
  <c r="EG77" i="21"/>
  <c r="EG61" i="21"/>
  <c r="EG144" i="21"/>
  <c r="EG71" i="21"/>
  <c r="EG34" i="21"/>
  <c r="EG36" i="21"/>
  <c r="EG100" i="21"/>
  <c r="EG65" i="21"/>
  <c r="EG68" i="21"/>
  <c r="EG21" i="21"/>
  <c r="EG13" i="21"/>
  <c r="EG59" i="21"/>
  <c r="EG134" i="21"/>
  <c r="EG95" i="21"/>
  <c r="EG185" i="21"/>
  <c r="EG162" i="21"/>
  <c r="EG16" i="21"/>
  <c r="EG72" i="21"/>
  <c r="EG182" i="21"/>
  <c r="EG79" i="21"/>
  <c r="EG62" i="21"/>
  <c r="EG63" i="21"/>
  <c r="EG180" i="21"/>
  <c r="EG200" i="21"/>
  <c r="EG183" i="21"/>
  <c r="EG67" i="21"/>
  <c r="EG32" i="21"/>
  <c r="EG136" i="21"/>
  <c r="EG94" i="21"/>
  <c r="EG168" i="21"/>
  <c r="EG184" i="21"/>
  <c r="EG66" i="21"/>
  <c r="EG201" i="21"/>
  <c r="EG23" i="21"/>
  <c r="EG190" i="21"/>
  <c r="EG96" i="21"/>
  <c r="EG85" i="21"/>
  <c r="EG19" i="21"/>
  <c r="EG75" i="21"/>
  <c r="EG98" i="21"/>
  <c r="EG151" i="21"/>
  <c r="EG64" i="21"/>
  <c r="EG82" i="21"/>
  <c r="EG81" i="21"/>
  <c r="EG84" i="21"/>
  <c r="EG167" i="21"/>
  <c r="EG27" i="21"/>
  <c r="EG69" i="21"/>
  <c r="EG86" i="21"/>
  <c r="EG102" i="21"/>
  <c r="EG199" i="21"/>
  <c r="EE7" i="21"/>
  <c r="ED44" i="2"/>
  <c r="ED33" i="2"/>
  <c r="P123" i="2"/>
  <c r="T123" i="2" s="1"/>
  <c r="X123" i="2" s="1"/>
  <c r="EC123" i="2"/>
  <c r="T72" i="2"/>
  <c r="EE72" i="2" s="1"/>
  <c r="AB59" i="2"/>
  <c r="AF100" i="2"/>
  <c r="AJ100" i="2" s="1"/>
  <c r="AF20" i="2"/>
  <c r="AJ20" i="2" s="1"/>
  <c r="AB74" i="2"/>
  <c r="EG74" i="2" s="1"/>
  <c r="EF85" i="2"/>
  <c r="AB82" i="2"/>
  <c r="AF82" i="2" s="1"/>
  <c r="AB175" i="2"/>
  <c r="EG175" i="2" s="1"/>
  <c r="AF192" i="2"/>
  <c r="EH192" i="2" s="1"/>
  <c r="AF112" i="2"/>
  <c r="EH112" i="2" s="1"/>
  <c r="AB69" i="2"/>
  <c r="EG69" i="2" s="1"/>
  <c r="AB147" i="2"/>
  <c r="EG147" i="2" s="1"/>
  <c r="EG27" i="2"/>
  <c r="EF81" i="2"/>
  <c r="AB88" i="2"/>
  <c r="EG88" i="2" s="1"/>
  <c r="EH180" i="3"/>
  <c r="EH179" i="3"/>
  <c r="EF55" i="2"/>
  <c r="AB55" i="2"/>
  <c r="AB148" i="2"/>
  <c r="EF148" i="2"/>
  <c r="AB40" i="2"/>
  <c r="EF40" i="2"/>
  <c r="AB108" i="2"/>
  <c r="EF108" i="2"/>
  <c r="AB49" i="2"/>
  <c r="AF49" i="2" s="1"/>
  <c r="AB167" i="2"/>
  <c r="EG167" i="2" s="1"/>
  <c r="EF110" i="2"/>
  <c r="AB110" i="2"/>
  <c r="EG138" i="2"/>
  <c r="AF138" i="2"/>
  <c r="EF37" i="2"/>
  <c r="AB37" i="2"/>
  <c r="EE33" i="2"/>
  <c r="X33" i="2"/>
  <c r="AB93" i="2"/>
  <c r="EF93" i="2"/>
  <c r="EF124" i="2"/>
  <c r="AB124" i="2"/>
  <c r="EF163" i="2"/>
  <c r="AB163" i="2"/>
  <c r="EF180" i="2"/>
  <c r="AB180" i="2"/>
  <c r="EF21" i="2"/>
  <c r="AB21" i="2"/>
  <c r="AB200" i="2"/>
  <c r="EF200" i="2"/>
  <c r="EF98" i="2"/>
  <c r="AB98" i="2"/>
  <c r="EF177" i="2"/>
  <c r="AB177" i="2"/>
  <c r="EG173" i="2"/>
  <c r="AF173" i="2"/>
  <c r="EF106" i="2"/>
  <c r="AB106" i="2"/>
  <c r="EG196" i="2"/>
  <c r="AF196" i="2"/>
  <c r="AF171" i="2"/>
  <c r="EG171" i="2"/>
  <c r="EF89" i="2"/>
  <c r="AB89" i="2"/>
  <c r="EH182" i="3"/>
  <c r="AB75" i="2"/>
  <c r="EF75" i="2"/>
  <c r="AB185" i="2"/>
  <c r="EF185" i="2"/>
  <c r="AB52" i="2"/>
  <c r="EF52" i="2"/>
  <c r="EF182" i="2"/>
  <c r="AB182" i="2"/>
  <c r="EG51" i="2"/>
  <c r="AF51" i="2"/>
  <c r="AB199" i="2"/>
  <c r="EF199" i="2"/>
  <c r="EF136" i="2"/>
  <c r="AB136" i="2"/>
  <c r="EF131" i="2"/>
  <c r="AB131" i="2"/>
  <c r="EF152" i="2"/>
  <c r="AB152" i="2"/>
  <c r="EF190" i="2"/>
  <c r="AB190" i="2"/>
  <c r="EF174" i="2"/>
  <c r="AB174" i="2"/>
  <c r="EH27" i="2"/>
  <c r="AJ27" i="2"/>
  <c r="EG26" i="2"/>
  <c r="AF26" i="2"/>
  <c r="EG183" i="2"/>
  <c r="AF183" i="2"/>
  <c r="EH119" i="2"/>
  <c r="AJ119" i="2"/>
  <c r="EF71" i="2"/>
  <c r="AB71" i="2"/>
  <c r="EF15" i="2"/>
  <c r="AB15" i="2"/>
  <c r="EI141" i="2"/>
  <c r="AN141" i="2"/>
  <c r="EF17" i="2"/>
  <c r="AB17" i="2"/>
  <c r="EG118" i="2"/>
  <c r="AF118" i="2"/>
  <c r="EF22" i="2"/>
  <c r="AB22" i="2"/>
  <c r="EG195" i="2"/>
  <c r="AF195" i="2"/>
  <c r="EF144" i="2"/>
  <c r="AB144" i="2"/>
  <c r="EF83" i="2"/>
  <c r="AB83" i="2"/>
  <c r="EG38" i="2"/>
  <c r="AF38" i="2"/>
  <c r="EH160" i="2"/>
  <c r="AJ160" i="2"/>
  <c r="AB60" i="2"/>
  <c r="EF60" i="2"/>
  <c r="EG36" i="2"/>
  <c r="AF36" i="2"/>
  <c r="AF143" i="2"/>
  <c r="EG143" i="2"/>
  <c r="EF111" i="2"/>
  <c r="AB111" i="2"/>
  <c r="EF201" i="2"/>
  <c r="AB201" i="2"/>
  <c r="AF122" i="2"/>
  <c r="EG122" i="2"/>
  <c r="EG62" i="2"/>
  <c r="AF62" i="2"/>
  <c r="EH151" i="2"/>
  <c r="AJ151" i="2"/>
  <c r="EG28" i="2"/>
  <c r="AF28" i="2"/>
  <c r="EH114" i="2"/>
  <c r="AJ114" i="2"/>
  <c r="AB91" i="2"/>
  <c r="EF91" i="2"/>
  <c r="EG57" i="2"/>
  <c r="AF57" i="2"/>
  <c r="EF126" i="2"/>
  <c r="AB126" i="2"/>
  <c r="EG97" i="2"/>
  <c r="AF97" i="2"/>
  <c r="EF95" i="2"/>
  <c r="AB95" i="2"/>
  <c r="EH145" i="2"/>
  <c r="AJ145" i="2"/>
  <c r="EG168" i="2"/>
  <c r="AF168" i="2"/>
  <c r="EG48" i="2"/>
  <c r="AF48" i="2"/>
  <c r="EG66" i="2"/>
  <c r="AF66" i="2"/>
  <c r="EF194" i="2"/>
  <c r="AB194" i="2"/>
  <c r="EG156" i="2"/>
  <c r="AF156" i="2"/>
  <c r="AF85" i="2"/>
  <c r="EG85" i="2"/>
  <c r="EG92" i="2"/>
  <c r="AF92" i="2"/>
  <c r="EF24" i="2"/>
  <c r="AB24" i="2"/>
  <c r="EF186" i="2"/>
  <c r="AB186" i="2"/>
  <c r="EG162" i="2"/>
  <c r="AF162" i="2"/>
  <c r="EF184" i="2"/>
  <c r="AB184" i="2"/>
  <c r="EF113" i="2"/>
  <c r="AB113" i="2"/>
  <c r="EG45" i="2"/>
  <c r="AF45" i="2"/>
  <c r="EH157" i="2"/>
  <c r="AJ157" i="2"/>
  <c r="EF134" i="2"/>
  <c r="AB134" i="2"/>
  <c r="EF178" i="2"/>
  <c r="AB178" i="2"/>
  <c r="EF99" i="2"/>
  <c r="AB99" i="2"/>
  <c r="EG78" i="2"/>
  <c r="AF78" i="2"/>
  <c r="EF80" i="2"/>
  <c r="AB80" i="2"/>
  <c r="EF7" i="2"/>
  <c r="AB7" i="2"/>
  <c r="AB202" i="2"/>
  <c r="EF202" i="2"/>
  <c r="AB39" i="2"/>
  <c r="EF39" i="2"/>
  <c r="EG125" i="2"/>
  <c r="AF125" i="2"/>
  <c r="EF120" i="2"/>
  <c r="AB120" i="2"/>
  <c r="EG135" i="2"/>
  <c r="AF135" i="2"/>
  <c r="EF42" i="2"/>
  <c r="AB42" i="2"/>
  <c r="EG5" i="2"/>
  <c r="AF5" i="2"/>
  <c r="AB86" i="2"/>
  <c r="EF86" i="2"/>
  <c r="AF87" i="2"/>
  <c r="EG87" i="2"/>
  <c r="EG166" i="2"/>
  <c r="AF166" i="2"/>
  <c r="EE31" i="2"/>
  <c r="X31" i="2"/>
  <c r="AB137" i="2"/>
  <c r="EF137" i="2"/>
  <c r="AF191" i="2"/>
  <c r="EG191" i="2"/>
  <c r="EF146" i="2"/>
  <c r="AB146" i="2"/>
  <c r="EF149" i="2"/>
  <c r="AB149" i="2"/>
  <c r="EF64" i="2"/>
  <c r="AB64" i="2"/>
  <c r="EF198" i="2"/>
  <c r="AB198" i="2"/>
  <c r="EG130" i="2"/>
  <c r="AF130" i="2"/>
  <c r="EF41" i="2"/>
  <c r="AB41" i="2"/>
  <c r="AB25" i="2"/>
  <c r="EF25" i="2"/>
  <c r="AF53" i="2"/>
  <c r="EG53" i="2"/>
  <c r="EG172" i="2"/>
  <c r="AF172" i="2"/>
  <c r="EH90" i="2"/>
  <c r="AJ90" i="2"/>
  <c r="EH94" i="2"/>
  <c r="AJ94" i="2"/>
  <c r="EF68" i="2"/>
  <c r="AB68" i="2"/>
  <c r="EG54" i="2"/>
  <c r="AF54" i="2"/>
  <c r="EF161" i="2"/>
  <c r="AB161" i="2"/>
  <c r="EF129" i="2"/>
  <c r="AB129" i="2"/>
  <c r="EF46" i="2"/>
  <c r="AB46" i="2"/>
  <c r="EG159" i="2"/>
  <c r="AF159" i="2"/>
  <c r="EG81" i="2"/>
  <c r="AF81" i="2"/>
  <c r="EF18" i="2"/>
  <c r="AB18" i="2"/>
  <c r="EH121" i="2"/>
  <c r="AJ121" i="2"/>
  <c r="EH116" i="2"/>
  <c r="AJ116" i="2"/>
  <c r="EG150" i="2"/>
  <c r="AF150" i="2"/>
  <c r="EG96" i="2"/>
  <c r="AF96" i="2"/>
  <c r="AB142" i="2"/>
  <c r="EF142" i="2"/>
  <c r="AF61" i="2"/>
  <c r="EG61" i="2"/>
  <c r="AF155" i="2"/>
  <c r="EG155" i="2"/>
  <c r="AB47" i="2"/>
  <c r="EF47" i="2"/>
  <c r="AB117" i="2"/>
  <c r="EF117" i="2"/>
  <c r="AF65" i="2"/>
  <c r="EG65" i="2"/>
  <c r="EF56" i="2"/>
  <c r="AB56" i="2"/>
  <c r="AJ63" i="2"/>
  <c r="EH63" i="2"/>
  <c r="EF29" i="2"/>
  <c r="AB29" i="2"/>
  <c r="EG188" i="2"/>
  <c r="AF188" i="2"/>
  <c r="EG179" i="2"/>
  <c r="AF179" i="2"/>
  <c r="EF105" i="2"/>
  <c r="AB105" i="2"/>
  <c r="AB128" i="2"/>
  <c r="EF128" i="2"/>
  <c r="EF11" i="2"/>
  <c r="AB11" i="2"/>
  <c r="EF164" i="2"/>
  <c r="AB164" i="2"/>
  <c r="EG139" i="2"/>
  <c r="AF139" i="2"/>
  <c r="EF35" i="2"/>
  <c r="AB35" i="2"/>
  <c r="EG34" i="2"/>
  <c r="AF34" i="2"/>
  <c r="AF12" i="2"/>
  <c r="EG12" i="2"/>
  <c r="EG197" i="2"/>
  <c r="AF197" i="2"/>
  <c r="AB133" i="2"/>
  <c r="EF133" i="2"/>
  <c r="EF16" i="2"/>
  <c r="AB16" i="2"/>
  <c r="EF127" i="2"/>
  <c r="AB127" i="2"/>
  <c r="EF23" i="2"/>
  <c r="AB23" i="2"/>
  <c r="EG176" i="2"/>
  <c r="AF176" i="2"/>
  <c r="EG101" i="2"/>
  <c r="AF101" i="2"/>
  <c r="EF3" i="2"/>
  <c r="AB3" i="2"/>
  <c r="EG50" i="2"/>
  <c r="AF50" i="2"/>
  <c r="EF84" i="2"/>
  <c r="AB84" i="2"/>
  <c r="EF76" i="2"/>
  <c r="AB76" i="2"/>
  <c r="EG170" i="2"/>
  <c r="AF170" i="2"/>
  <c r="AF158" i="2"/>
  <c r="EG158" i="2"/>
  <c r="AB181" i="2"/>
  <c r="EF181" i="2"/>
  <c r="EH67" i="2"/>
  <c r="AJ67" i="2"/>
  <c r="EF107" i="2"/>
  <c r="AB107" i="2"/>
  <c r="EF115" i="2"/>
  <c r="AB115" i="2"/>
  <c r="AB32" i="2"/>
  <c r="EF32" i="2"/>
  <c r="EG77" i="2"/>
  <c r="AF77" i="2"/>
  <c r="EG58" i="2"/>
  <c r="AF58" i="2"/>
  <c r="EF140" i="2"/>
  <c r="AB140" i="2"/>
  <c r="EF169" i="2"/>
  <c r="AB169" i="2"/>
  <c r="EF109" i="2"/>
  <c r="AB109" i="2"/>
  <c r="EG185" i="3"/>
  <c r="EG181" i="3"/>
  <c r="EH177" i="3"/>
  <c r="EG183" i="3"/>
  <c r="EH125" i="3"/>
  <c r="EH171" i="3"/>
  <c r="EG202" i="3"/>
  <c r="EG166" i="3"/>
  <c r="EH178" i="3"/>
  <c r="EG172" i="3"/>
  <c r="EG128" i="3"/>
  <c r="EG175" i="3"/>
  <c r="EH149" i="3"/>
  <c r="EH151" i="3"/>
  <c r="EG126" i="3"/>
  <c r="EI182" i="3"/>
  <c r="EI179" i="3"/>
  <c r="EH140" i="3"/>
  <c r="EH139" i="3"/>
  <c r="EH146" i="3"/>
  <c r="EH153" i="3"/>
  <c r="EG121" i="3"/>
  <c r="EI180" i="3"/>
  <c r="EH130" i="3"/>
  <c r="EI184" i="3"/>
  <c r="EI104" i="2"/>
  <c r="AN104" i="2"/>
  <c r="EH70" i="2"/>
  <c r="AJ70" i="2"/>
  <c r="EE44" i="2"/>
  <c r="X44" i="2"/>
  <c r="EE153" i="2"/>
  <c r="X153" i="2"/>
  <c r="EF123" i="3"/>
  <c r="X10" i="2"/>
  <c r="EE10" i="2"/>
  <c r="EE165" i="2"/>
  <c r="X165" i="2"/>
  <c r="EG154" i="2"/>
  <c r="AF154" i="2"/>
  <c r="ET147" i="21" l="1"/>
  <c r="CB61" i="21"/>
  <c r="ET61" i="21"/>
  <c r="CB33" i="21"/>
  <c r="ET33" i="21"/>
  <c r="CF147" i="21"/>
  <c r="EU147" i="21"/>
  <c r="BX72" i="21"/>
  <c r="ES72" i="21"/>
  <c r="CB51" i="21"/>
  <c r="ET51" i="21"/>
  <c r="CB154" i="21"/>
  <c r="ET154" i="21"/>
  <c r="CB53" i="21"/>
  <c r="ET53" i="21"/>
  <c r="BX69" i="21"/>
  <c r="ES69" i="21"/>
  <c r="ET174" i="21"/>
  <c r="CB174" i="21"/>
  <c r="BX68" i="21"/>
  <c r="ES68" i="21"/>
  <c r="CB19" i="21"/>
  <c r="ET19" i="21"/>
  <c r="CF150" i="21"/>
  <c r="EU150" i="21"/>
  <c r="CB148" i="21"/>
  <c r="ET148" i="21"/>
  <c r="CB106" i="21"/>
  <c r="ET106" i="21"/>
  <c r="CB100" i="21"/>
  <c r="ET100" i="21"/>
  <c r="CB31" i="21"/>
  <c r="ET31" i="21"/>
  <c r="CF140" i="21"/>
  <c r="EU140" i="21"/>
  <c r="BT153" i="21"/>
  <c r="ER153" i="21"/>
  <c r="CB13" i="21"/>
  <c r="ET13" i="21"/>
  <c r="CB187" i="21"/>
  <c r="ET187" i="21"/>
  <c r="CB133" i="21"/>
  <c r="ET133" i="21"/>
  <c r="ET124" i="21"/>
  <c r="CB124" i="21"/>
  <c r="CB91" i="21"/>
  <c r="ET91" i="21"/>
  <c r="CB20" i="21"/>
  <c r="ET20" i="21"/>
  <c r="CB118" i="21"/>
  <c r="ET118" i="21"/>
  <c r="CB9" i="21"/>
  <c r="ET9" i="21"/>
  <c r="V105" i="5"/>
  <c r="DA105" i="5"/>
  <c r="V175" i="5"/>
  <c r="DA175" i="5"/>
  <c r="DA169" i="5"/>
  <c r="V169" i="5"/>
  <c r="V163" i="5"/>
  <c r="DA163" i="5"/>
  <c r="V201" i="5"/>
  <c r="DA201" i="5"/>
  <c r="V186" i="5"/>
  <c r="DA186" i="5"/>
  <c r="V179" i="5"/>
  <c r="DA179" i="5"/>
  <c r="V162" i="5"/>
  <c r="DA162" i="5"/>
  <c r="V124" i="5"/>
  <c r="DA124" i="5"/>
  <c r="V174" i="5"/>
  <c r="DA174" i="5"/>
  <c r="V171" i="5"/>
  <c r="DA171" i="5"/>
  <c r="V176" i="5"/>
  <c r="DA176" i="5"/>
  <c r="DA133" i="5"/>
  <c r="V133" i="5"/>
  <c r="V177" i="5"/>
  <c r="DA177" i="5"/>
  <c r="V121" i="5"/>
  <c r="DA121" i="5"/>
  <c r="V168" i="5"/>
  <c r="DA168" i="5"/>
  <c r="V128" i="5"/>
  <c r="DA128" i="5"/>
  <c r="V178" i="5"/>
  <c r="DA178" i="5"/>
  <c r="DA143" i="5"/>
  <c r="V143" i="5"/>
  <c r="V140" i="5"/>
  <c r="DA140" i="5"/>
  <c r="V187" i="5"/>
  <c r="DA187" i="5"/>
  <c r="V123" i="5"/>
  <c r="DA123" i="5"/>
  <c r="V170" i="5"/>
  <c r="DA170" i="5"/>
  <c r="V172" i="5"/>
  <c r="DA172" i="5"/>
  <c r="V142" i="5"/>
  <c r="DA142" i="5"/>
  <c r="V126" i="5"/>
  <c r="DA126" i="5"/>
  <c r="V125" i="5"/>
  <c r="DA125" i="5"/>
  <c r="V137" i="5"/>
  <c r="DA137" i="5"/>
  <c r="V183" i="5"/>
  <c r="DA183" i="5"/>
  <c r="DA180" i="5"/>
  <c r="V180" i="5"/>
  <c r="V185" i="5"/>
  <c r="DA185" i="5"/>
  <c r="V181" i="5"/>
  <c r="DA181" i="5"/>
  <c r="V141" i="5"/>
  <c r="DA141" i="5"/>
  <c r="V161" i="5"/>
  <c r="DA161" i="5"/>
  <c r="V138" i="5"/>
  <c r="DA138" i="5"/>
  <c r="V182" i="5"/>
  <c r="DA182" i="5"/>
  <c r="V184" i="5"/>
  <c r="DA184" i="5"/>
  <c r="DA122" i="5"/>
  <c r="V122" i="5"/>
  <c r="P3" i="5"/>
  <c r="CY3" i="5"/>
  <c r="CY203" i="5" s="1"/>
  <c r="F67" i="19" s="1"/>
  <c r="EG173" i="3"/>
  <c r="EG144" i="3"/>
  <c r="EH141" i="3"/>
  <c r="EH147" i="3"/>
  <c r="EF160" i="3"/>
  <c r="EH160" i="3"/>
  <c r="EJ187" i="3"/>
  <c r="EH143" i="3"/>
  <c r="EG143" i="3"/>
  <c r="EI143" i="3"/>
  <c r="EG156" i="3"/>
  <c r="EG131" i="3"/>
  <c r="EG174" i="3"/>
  <c r="EH154" i="3"/>
  <c r="EI186" i="3"/>
  <c r="EG164" i="3"/>
  <c r="EF164" i="3"/>
  <c r="EG157" i="3"/>
  <c r="EF155" i="3"/>
  <c r="EH150" i="3"/>
  <c r="EH169" i="3"/>
  <c r="EF137" i="3"/>
  <c r="EF159" i="3"/>
  <c r="EG159" i="3"/>
  <c r="EF127" i="3"/>
  <c r="EF145" i="3"/>
  <c r="EF136" i="3"/>
  <c r="EF158" i="3"/>
  <c r="EF168" i="3"/>
  <c r="EF170" i="3"/>
  <c r="EF161" i="3"/>
  <c r="EF162" i="3"/>
  <c r="EF138" i="3"/>
  <c r="EF163" i="3"/>
  <c r="EF142" i="3"/>
  <c r="EF122" i="3"/>
  <c r="T102" i="2"/>
  <c r="ED102" i="2"/>
  <c r="X30" i="2"/>
  <c r="EE30" i="2"/>
  <c r="X6" i="2"/>
  <c r="EE6" i="2"/>
  <c r="EE8" i="2"/>
  <c r="X8" i="2"/>
  <c r="ED132" i="2"/>
  <c r="T132" i="2"/>
  <c r="X187" i="2"/>
  <c r="EE187" i="2"/>
  <c r="EE19" i="2"/>
  <c r="X19" i="2"/>
  <c r="EE79" i="2"/>
  <c r="X79" i="2"/>
  <c r="ED193" i="2"/>
  <c r="T193" i="2"/>
  <c r="T43" i="2"/>
  <c r="ED43" i="2"/>
  <c r="EE4" i="2"/>
  <c r="X4" i="2"/>
  <c r="ED189" i="2"/>
  <c r="T189" i="2"/>
  <c r="EE13" i="2"/>
  <c r="X13" i="2"/>
  <c r="EE103" i="2"/>
  <c r="X103" i="2"/>
  <c r="ED14" i="2"/>
  <c r="T14" i="2"/>
  <c r="ED9" i="2"/>
  <c r="T9" i="2"/>
  <c r="EE132" i="3"/>
  <c r="EE73" i="2"/>
  <c r="X73" i="2"/>
  <c r="EK54" i="21"/>
  <c r="EJ54" i="21"/>
  <c r="EK58" i="21"/>
  <c r="EJ58" i="21"/>
  <c r="EK53" i="21"/>
  <c r="EJ53" i="21"/>
  <c r="EK55" i="21"/>
  <c r="EJ55" i="21"/>
  <c r="EK50" i="21"/>
  <c r="EJ50" i="21"/>
  <c r="EK155" i="21"/>
  <c r="EJ155" i="21"/>
  <c r="EK56" i="21"/>
  <c r="EJ56" i="21"/>
  <c r="EK52" i="21"/>
  <c r="EJ52" i="21"/>
  <c r="EK46" i="21"/>
  <c r="EJ46" i="21"/>
  <c r="EI150" i="21"/>
  <c r="EI48" i="21"/>
  <c r="EI29" i="21"/>
  <c r="EI110" i="21"/>
  <c r="EI139" i="21"/>
  <c r="EI145" i="21"/>
  <c r="EI137" i="21"/>
  <c r="EI138" i="21"/>
  <c r="EI154" i="21"/>
  <c r="EI196" i="21"/>
  <c r="EI152" i="21"/>
  <c r="EI181" i="21"/>
  <c r="EI4" i="21"/>
  <c r="EI153" i="21"/>
  <c r="EI123" i="21"/>
  <c r="EI113" i="21"/>
  <c r="EI191" i="21"/>
  <c r="EI172" i="21"/>
  <c r="EI60" i="21"/>
  <c r="EI28" i="21"/>
  <c r="EI49" i="21"/>
  <c r="EI6" i="21"/>
  <c r="EI174" i="21"/>
  <c r="EI119" i="21"/>
  <c r="EI133" i="21"/>
  <c r="EI189" i="21"/>
  <c r="EI70" i="21"/>
  <c r="EI127" i="21"/>
  <c r="EI163" i="21"/>
  <c r="EI161" i="21"/>
  <c r="EI187" i="21"/>
  <c r="EI30" i="21"/>
  <c r="EI43" i="21"/>
  <c r="EI115" i="21"/>
  <c r="EI5" i="21"/>
  <c r="EI112" i="21"/>
  <c r="EI74" i="21"/>
  <c r="EI197" i="21"/>
  <c r="EI33" i="21"/>
  <c r="EI42" i="21"/>
  <c r="EI202" i="21"/>
  <c r="EI147" i="21"/>
  <c r="EI178" i="21"/>
  <c r="EI135" i="21"/>
  <c r="EI118" i="21"/>
  <c r="EI173" i="21"/>
  <c r="EI149" i="21"/>
  <c r="EI44" i="21"/>
  <c r="EI132" i="21"/>
  <c r="EI121" i="21"/>
  <c r="EI80" i="21"/>
  <c r="EI114" i="21"/>
  <c r="EI51" i="21"/>
  <c r="EI164" i="21"/>
  <c r="EI111" i="21"/>
  <c r="EI22" i="21"/>
  <c r="EI125" i="21"/>
  <c r="EI120" i="21"/>
  <c r="EI8" i="21"/>
  <c r="EI122" i="21"/>
  <c r="EI129" i="21"/>
  <c r="EI10" i="21"/>
  <c r="EI47" i="21"/>
  <c r="EI130" i="21"/>
  <c r="EI142" i="21"/>
  <c r="EI195" i="21"/>
  <c r="AJ3" i="21"/>
  <c r="EI3" i="21"/>
  <c r="EI73" i="21"/>
  <c r="EI117" i="21"/>
  <c r="EI128" i="21"/>
  <c r="EI107" i="21"/>
  <c r="EI105" i="21"/>
  <c r="EI156" i="21"/>
  <c r="EI166" i="21"/>
  <c r="EI57" i="21"/>
  <c r="EI171" i="21"/>
  <c r="EI109" i="21"/>
  <c r="EI146" i="21"/>
  <c r="EI141" i="21"/>
  <c r="EI179" i="21"/>
  <c r="EI140" i="21"/>
  <c r="EI104" i="21"/>
  <c r="EI124" i="21"/>
  <c r="EI41" i="21"/>
  <c r="EI165" i="21"/>
  <c r="EI188" i="21"/>
  <c r="EI116" i="21"/>
  <c r="EI37" i="21"/>
  <c r="EI170" i="21"/>
  <c r="EI45" i="21"/>
  <c r="EH86" i="21"/>
  <c r="EH84" i="21"/>
  <c r="EH151" i="21"/>
  <c r="EH85" i="21"/>
  <c r="EH201" i="21"/>
  <c r="EH94" i="21"/>
  <c r="EH183" i="21"/>
  <c r="EH62" i="21"/>
  <c r="EH16" i="21"/>
  <c r="EH134" i="21"/>
  <c r="EH68" i="21"/>
  <c r="EH34" i="21"/>
  <c r="EH77" i="21"/>
  <c r="EH35" i="21"/>
  <c r="EH91" i="21"/>
  <c r="EH106" i="21"/>
  <c r="EH108" i="21"/>
  <c r="EH90" i="21"/>
  <c r="EH97" i="21"/>
  <c r="EH25" i="21"/>
  <c r="EH88" i="21"/>
  <c r="EH158" i="21"/>
  <c r="EH101" i="21"/>
  <c r="EH69" i="21"/>
  <c r="EH81" i="21"/>
  <c r="EH98" i="21"/>
  <c r="EH96" i="21"/>
  <c r="EH66" i="21"/>
  <c r="EH136" i="21"/>
  <c r="EH63" i="21"/>
  <c r="EH72" i="21"/>
  <c r="EH95" i="21"/>
  <c r="EH21" i="21"/>
  <c r="EH36" i="21"/>
  <c r="EH61" i="21"/>
  <c r="EH39" i="21"/>
  <c r="EH20" i="21"/>
  <c r="EH131" i="21"/>
  <c r="EH26" i="21"/>
  <c r="EH12" i="21"/>
  <c r="EH89" i="21"/>
  <c r="EH14" i="21"/>
  <c r="EH40" i="21"/>
  <c r="EH92" i="21"/>
  <c r="EH169" i="21"/>
  <c r="EH9" i="21"/>
  <c r="EH87" i="21"/>
  <c r="EH83" i="21"/>
  <c r="EH103" i="21"/>
  <c r="EH78" i="21"/>
  <c r="EH15" i="21"/>
  <c r="EH198" i="21"/>
  <c r="EH157" i="21"/>
  <c r="EH126" i="21"/>
  <c r="EH160" i="21"/>
  <c r="EH17" i="21"/>
  <c r="EH99" i="21"/>
  <c r="EH102" i="21"/>
  <c r="EH167" i="21"/>
  <c r="EH64" i="21"/>
  <c r="EH19" i="21"/>
  <c r="EH23" i="21"/>
  <c r="EH168" i="21"/>
  <c r="EH67" i="21"/>
  <c r="EH200" i="21"/>
  <c r="EH79" i="21"/>
  <c r="EH162" i="21"/>
  <c r="EH59" i="21"/>
  <c r="EH65" i="21"/>
  <c r="EH71" i="21"/>
  <c r="EH31" i="21"/>
  <c r="EH159" i="21"/>
  <c r="EH199" i="21"/>
  <c r="EH27" i="21"/>
  <c r="EH82" i="21"/>
  <c r="EH75" i="21"/>
  <c r="EH190" i="21"/>
  <c r="EH184" i="21"/>
  <c r="EH32" i="21"/>
  <c r="EH180" i="21"/>
  <c r="EH182" i="21"/>
  <c r="EH185" i="21"/>
  <c r="EH13" i="21"/>
  <c r="EH100" i="21"/>
  <c r="EH144" i="21"/>
  <c r="EH93" i="21"/>
  <c r="EH175" i="21"/>
  <c r="EH143" i="21"/>
  <c r="EH18" i="21"/>
  <c r="EH192" i="21"/>
  <c r="EH148" i="21"/>
  <c r="EH24" i="21"/>
  <c r="EH176" i="21"/>
  <c r="EH76" i="21"/>
  <c r="EH38" i="21"/>
  <c r="EH186" i="21"/>
  <c r="EH194" i="21"/>
  <c r="EH193" i="21"/>
  <c r="EH177" i="21"/>
  <c r="EF7" i="21"/>
  <c r="EE123" i="2"/>
  <c r="X72" i="2"/>
  <c r="EF72" i="2" s="1"/>
  <c r="ED123" i="2"/>
  <c r="AF59" i="2"/>
  <c r="EG59" i="2"/>
  <c r="AJ112" i="2"/>
  <c r="EI112" i="2" s="1"/>
  <c r="EH20" i="2"/>
  <c r="EH100" i="2"/>
  <c r="AF74" i="2"/>
  <c r="AJ74" i="2" s="1"/>
  <c r="AF147" i="2"/>
  <c r="AJ147" i="2" s="1"/>
  <c r="AJ192" i="2"/>
  <c r="AN192" i="2" s="1"/>
  <c r="AF69" i="2"/>
  <c r="AJ69" i="2" s="1"/>
  <c r="EG82" i="2"/>
  <c r="AF175" i="2"/>
  <c r="EH175" i="2" s="1"/>
  <c r="EH176" i="3"/>
  <c r="EI176" i="3"/>
  <c r="AF88" i="2"/>
  <c r="AJ88" i="2" s="1"/>
  <c r="EG148" i="2"/>
  <c r="AF148" i="2"/>
  <c r="EG55" i="2"/>
  <c r="AF55" i="2"/>
  <c r="EG49" i="2"/>
  <c r="AF167" i="2"/>
  <c r="EH167" i="2" s="1"/>
  <c r="EG108" i="2"/>
  <c r="AF108" i="2"/>
  <c r="EG40" i="2"/>
  <c r="AF40" i="2"/>
  <c r="EG110" i="2"/>
  <c r="AF110" i="2"/>
  <c r="EH138" i="2"/>
  <c r="AJ138" i="2"/>
  <c r="AB33" i="2"/>
  <c r="EF33" i="2"/>
  <c r="AF37" i="2"/>
  <c r="EG37" i="2"/>
  <c r="AF98" i="2"/>
  <c r="EG98" i="2"/>
  <c r="EG163" i="2"/>
  <c r="AF163" i="2"/>
  <c r="AF200" i="2"/>
  <c r="EG200" i="2"/>
  <c r="EG21" i="2"/>
  <c r="AF21" i="2"/>
  <c r="EG177" i="2"/>
  <c r="AF177" i="2"/>
  <c r="EG180" i="2"/>
  <c r="AF180" i="2"/>
  <c r="AF124" i="2"/>
  <c r="EG124" i="2"/>
  <c r="AF93" i="2"/>
  <c r="EG93" i="2"/>
  <c r="EG75" i="2"/>
  <c r="AF75" i="2"/>
  <c r="EH196" i="2"/>
  <c r="AJ196" i="2"/>
  <c r="EG89" i="2"/>
  <c r="AF89" i="2"/>
  <c r="EG106" i="2"/>
  <c r="AF106" i="2"/>
  <c r="EH173" i="2"/>
  <c r="AJ173" i="2"/>
  <c r="AJ171" i="2"/>
  <c r="EH171" i="2"/>
  <c r="EH58" i="2"/>
  <c r="AJ58" i="2"/>
  <c r="EG115" i="2"/>
  <c r="AF115" i="2"/>
  <c r="EG84" i="2"/>
  <c r="AF84" i="2"/>
  <c r="EG11" i="2"/>
  <c r="AF11" i="2"/>
  <c r="EG105" i="2"/>
  <c r="AF105" i="2"/>
  <c r="EH188" i="2"/>
  <c r="AJ188" i="2"/>
  <c r="EG56" i="2"/>
  <c r="AF56" i="2"/>
  <c r="EH96" i="2"/>
  <c r="AJ96" i="2"/>
  <c r="EI121" i="2"/>
  <c r="AN121" i="2"/>
  <c r="EG46" i="2"/>
  <c r="AF46" i="2"/>
  <c r="EG68" i="2"/>
  <c r="AF68" i="2"/>
  <c r="AJ172" i="2"/>
  <c r="EH172" i="2"/>
  <c r="EG41" i="2"/>
  <c r="AF41" i="2"/>
  <c r="EG64" i="2"/>
  <c r="AF64" i="2"/>
  <c r="EH5" i="2"/>
  <c r="AJ5" i="2"/>
  <c r="EG7" i="2"/>
  <c r="AF7" i="2"/>
  <c r="EG178" i="2"/>
  <c r="AF178" i="2"/>
  <c r="EG24" i="2"/>
  <c r="AF24" i="2"/>
  <c r="AJ156" i="2"/>
  <c r="EH156" i="2"/>
  <c r="EI145" i="2"/>
  <c r="AN145" i="2"/>
  <c r="EH57" i="2"/>
  <c r="AJ57" i="2"/>
  <c r="AJ28" i="2"/>
  <c r="EH28" i="2"/>
  <c r="EH36" i="2"/>
  <c r="AJ36" i="2"/>
  <c r="EG83" i="2"/>
  <c r="AF83" i="2"/>
  <c r="EH118" i="2"/>
  <c r="AJ118" i="2"/>
  <c r="EI27" i="2"/>
  <c r="AN27" i="2"/>
  <c r="EG131" i="2"/>
  <c r="AF131" i="2"/>
  <c r="EH51" i="2"/>
  <c r="AJ51" i="2"/>
  <c r="EG181" i="2"/>
  <c r="AF181" i="2"/>
  <c r="EH12" i="2"/>
  <c r="AJ12" i="2"/>
  <c r="AF137" i="2"/>
  <c r="EG137" i="2"/>
  <c r="AJ87" i="2"/>
  <c r="EH87" i="2"/>
  <c r="EH50" i="2"/>
  <c r="AJ50" i="2"/>
  <c r="EG109" i="2"/>
  <c r="AF109" i="2"/>
  <c r="EH77" i="2"/>
  <c r="AJ77" i="2"/>
  <c r="EH101" i="2"/>
  <c r="AJ101" i="2"/>
  <c r="EG127" i="2"/>
  <c r="AF127" i="2"/>
  <c r="EH139" i="2"/>
  <c r="AJ139" i="2"/>
  <c r="EG29" i="2"/>
  <c r="AF29" i="2"/>
  <c r="EH150" i="2"/>
  <c r="AJ150" i="2"/>
  <c r="EG18" i="2"/>
  <c r="AF18" i="2"/>
  <c r="EG129" i="2"/>
  <c r="AF129" i="2"/>
  <c r="EH130" i="2"/>
  <c r="AJ130" i="2"/>
  <c r="EG149" i="2"/>
  <c r="AF149" i="2"/>
  <c r="EF31" i="2"/>
  <c r="AB31" i="2"/>
  <c r="EG42" i="2"/>
  <c r="AF42" i="2"/>
  <c r="EG120" i="2"/>
  <c r="AF120" i="2"/>
  <c r="EG80" i="2"/>
  <c r="AF80" i="2"/>
  <c r="EG134" i="2"/>
  <c r="AF134" i="2"/>
  <c r="EG113" i="2"/>
  <c r="AF113" i="2"/>
  <c r="EG194" i="2"/>
  <c r="AF194" i="2"/>
  <c r="EG95" i="2"/>
  <c r="AF95" i="2"/>
  <c r="EI151" i="2"/>
  <c r="AN151" i="2"/>
  <c r="AF201" i="2"/>
  <c r="EG201" i="2"/>
  <c r="EG144" i="2"/>
  <c r="AF144" i="2"/>
  <c r="AF17" i="2"/>
  <c r="EG17" i="2"/>
  <c r="EH183" i="2"/>
  <c r="AJ183" i="2"/>
  <c r="EG174" i="2"/>
  <c r="AF174" i="2"/>
  <c r="AN20" i="2"/>
  <c r="EI20" i="2"/>
  <c r="AF182" i="2"/>
  <c r="EG182" i="2"/>
  <c r="EH158" i="2"/>
  <c r="AJ158" i="2"/>
  <c r="AF133" i="2"/>
  <c r="EG133" i="2"/>
  <c r="EH65" i="2"/>
  <c r="AJ65" i="2"/>
  <c r="EH155" i="2"/>
  <c r="AJ155" i="2"/>
  <c r="EH53" i="2"/>
  <c r="AJ53" i="2"/>
  <c r="EG39" i="2"/>
  <c r="AF39" i="2"/>
  <c r="EH49" i="2"/>
  <c r="AJ49" i="2"/>
  <c r="EG60" i="2"/>
  <c r="AF60" i="2"/>
  <c r="EG23" i="2"/>
  <c r="AF23" i="2"/>
  <c r="EG169" i="2"/>
  <c r="AF169" i="2"/>
  <c r="EG107" i="2"/>
  <c r="AF107" i="2"/>
  <c r="EH170" i="2"/>
  <c r="AJ170" i="2"/>
  <c r="EG3" i="2"/>
  <c r="AF3" i="2"/>
  <c r="AJ176" i="2"/>
  <c r="EH176" i="2"/>
  <c r="EG16" i="2"/>
  <c r="AF16" i="2"/>
  <c r="EH34" i="2"/>
  <c r="AJ34" i="2"/>
  <c r="EG164" i="2"/>
  <c r="AF164" i="2"/>
  <c r="EH81" i="2"/>
  <c r="AJ81" i="2"/>
  <c r="EG161" i="2"/>
  <c r="AF161" i="2"/>
  <c r="EI94" i="2"/>
  <c r="AN94" i="2"/>
  <c r="EG198" i="2"/>
  <c r="AF198" i="2"/>
  <c r="EG146" i="2"/>
  <c r="AF146" i="2"/>
  <c r="EH135" i="2"/>
  <c r="AJ135" i="2"/>
  <c r="EH78" i="2"/>
  <c r="AJ78" i="2"/>
  <c r="EI157" i="2"/>
  <c r="AN157" i="2"/>
  <c r="EG184" i="2"/>
  <c r="AF184" i="2"/>
  <c r="EH92" i="2"/>
  <c r="AJ92" i="2"/>
  <c r="EH66" i="2"/>
  <c r="AJ66" i="2"/>
  <c r="EH48" i="2"/>
  <c r="AJ48" i="2"/>
  <c r="EH97" i="2"/>
  <c r="AJ97" i="2"/>
  <c r="EH62" i="2"/>
  <c r="AJ62" i="2"/>
  <c r="EG111" i="2"/>
  <c r="AF111" i="2"/>
  <c r="EI160" i="2"/>
  <c r="AN160" i="2"/>
  <c r="EH195" i="2"/>
  <c r="AJ195" i="2"/>
  <c r="EJ141" i="2"/>
  <c r="AR141" i="2"/>
  <c r="EG71" i="2"/>
  <c r="AF71" i="2"/>
  <c r="EG190" i="2"/>
  <c r="AF190" i="2"/>
  <c r="AF136" i="2"/>
  <c r="EG136" i="2"/>
  <c r="AF32" i="2"/>
  <c r="EG32" i="2"/>
  <c r="EG117" i="2"/>
  <c r="AF117" i="2"/>
  <c r="EH61" i="2"/>
  <c r="AJ61" i="2"/>
  <c r="EG202" i="2"/>
  <c r="AF202" i="2"/>
  <c r="AF91" i="2"/>
  <c r="EG91" i="2"/>
  <c r="EG52" i="2"/>
  <c r="AF52" i="2"/>
  <c r="EG140" i="2"/>
  <c r="AF140" i="2"/>
  <c r="AN67" i="2"/>
  <c r="EI67" i="2"/>
  <c r="EG76" i="2"/>
  <c r="AF76" i="2"/>
  <c r="EH197" i="2"/>
  <c r="AJ197" i="2"/>
  <c r="EG35" i="2"/>
  <c r="AF35" i="2"/>
  <c r="EH179" i="2"/>
  <c r="AJ179" i="2"/>
  <c r="EI116" i="2"/>
  <c r="AN116" i="2"/>
  <c r="EH159" i="2"/>
  <c r="AJ159" i="2"/>
  <c r="EH54" i="2"/>
  <c r="AJ54" i="2"/>
  <c r="EI90" i="2"/>
  <c r="AN90" i="2"/>
  <c r="EH166" i="2"/>
  <c r="AJ166" i="2"/>
  <c r="EH125" i="2"/>
  <c r="AJ125" i="2"/>
  <c r="EG99" i="2"/>
  <c r="AF99" i="2"/>
  <c r="EH45" i="2"/>
  <c r="AJ45" i="2"/>
  <c r="EH162" i="2"/>
  <c r="AJ162" i="2"/>
  <c r="AF186" i="2"/>
  <c r="EG186" i="2"/>
  <c r="AN100" i="2"/>
  <c r="EI100" i="2"/>
  <c r="EH168" i="2"/>
  <c r="AJ168" i="2"/>
  <c r="EG126" i="2"/>
  <c r="AF126" i="2"/>
  <c r="EI114" i="2"/>
  <c r="AN114" i="2"/>
  <c r="EH38" i="2"/>
  <c r="AJ38" i="2"/>
  <c r="EG22" i="2"/>
  <c r="AF22" i="2"/>
  <c r="EG15" i="2"/>
  <c r="AF15" i="2"/>
  <c r="EI119" i="2"/>
  <c r="AN119" i="2"/>
  <c r="EH26" i="2"/>
  <c r="AJ26" i="2"/>
  <c r="EG152" i="2"/>
  <c r="AF152" i="2"/>
  <c r="AF128" i="2"/>
  <c r="EG128" i="2"/>
  <c r="EI63" i="2"/>
  <c r="AN63" i="2"/>
  <c r="AF47" i="2"/>
  <c r="EG47" i="2"/>
  <c r="AF142" i="2"/>
  <c r="EG142" i="2"/>
  <c r="EG25" i="2"/>
  <c r="AF25" i="2"/>
  <c r="EH82" i="2"/>
  <c r="AJ82" i="2"/>
  <c r="EH191" i="2"/>
  <c r="AJ191" i="2"/>
  <c r="EG86" i="2"/>
  <c r="AF86" i="2"/>
  <c r="AJ85" i="2"/>
  <c r="EH85" i="2"/>
  <c r="EH122" i="2"/>
  <c r="AJ122" i="2"/>
  <c r="AJ143" i="2"/>
  <c r="EH143" i="2"/>
  <c r="AF199" i="2"/>
  <c r="EG199" i="2"/>
  <c r="EG185" i="2"/>
  <c r="AF185" i="2"/>
  <c r="EH185" i="3"/>
  <c r="EH174" i="3"/>
  <c r="EI177" i="3"/>
  <c r="EH181" i="3"/>
  <c r="EH164" i="3"/>
  <c r="EH128" i="3"/>
  <c r="EH202" i="3"/>
  <c r="EI178" i="3"/>
  <c r="EI171" i="3"/>
  <c r="EH183" i="3"/>
  <c r="EH172" i="3"/>
  <c r="EI125" i="3"/>
  <c r="EH175" i="3"/>
  <c r="EH166" i="3"/>
  <c r="EI153" i="3"/>
  <c r="EI139" i="3"/>
  <c r="EI147" i="3"/>
  <c r="EJ182" i="3"/>
  <c r="EI130" i="3"/>
  <c r="EJ180" i="3"/>
  <c r="EI146" i="3"/>
  <c r="EI141" i="3"/>
  <c r="EI149" i="3"/>
  <c r="EJ184" i="3"/>
  <c r="EJ179" i="3"/>
  <c r="EJ176" i="3"/>
  <c r="EI140" i="3"/>
  <c r="EI151" i="3"/>
  <c r="EH121" i="3"/>
  <c r="EH126" i="3"/>
  <c r="EF10" i="2"/>
  <c r="AB10" i="2"/>
  <c r="EF165" i="2"/>
  <c r="AB165" i="2"/>
  <c r="EF123" i="2"/>
  <c r="AB123" i="2"/>
  <c r="EG123" i="3"/>
  <c r="EI70" i="2"/>
  <c r="AN70" i="2"/>
  <c r="AR104" i="2"/>
  <c r="EJ104" i="2"/>
  <c r="EH154" i="2"/>
  <c r="AJ154" i="2"/>
  <c r="AB153" i="2"/>
  <c r="EF153" i="2"/>
  <c r="EF44" i="2"/>
  <c r="AB44" i="2"/>
  <c r="CF20" i="21" l="1"/>
  <c r="EU20" i="21"/>
  <c r="CF187" i="21"/>
  <c r="EU187" i="21"/>
  <c r="CF31" i="21"/>
  <c r="EU31" i="21"/>
  <c r="CJ150" i="21"/>
  <c r="EV150" i="21"/>
  <c r="ET69" i="21"/>
  <c r="CB69" i="21"/>
  <c r="CB72" i="21"/>
  <c r="ET72" i="21"/>
  <c r="CF91" i="21"/>
  <c r="EU91" i="21"/>
  <c r="CF13" i="21"/>
  <c r="EU13" i="21"/>
  <c r="CF100" i="21"/>
  <c r="EU100" i="21"/>
  <c r="CF19" i="21"/>
  <c r="EU19" i="21"/>
  <c r="CF53" i="21"/>
  <c r="EU53" i="21"/>
  <c r="CJ147" i="21"/>
  <c r="EV147" i="21"/>
  <c r="CF124" i="21"/>
  <c r="EU124" i="21"/>
  <c r="CF9" i="21"/>
  <c r="EU9" i="21"/>
  <c r="BX153" i="21"/>
  <c r="ES153" i="21"/>
  <c r="CF106" i="21"/>
  <c r="EU106" i="21"/>
  <c r="CB68" i="21"/>
  <c r="ET68" i="21"/>
  <c r="CF154" i="21"/>
  <c r="EU154" i="21"/>
  <c r="CF33" i="21"/>
  <c r="EU33" i="21"/>
  <c r="CF174" i="21"/>
  <c r="EU174" i="21"/>
  <c r="CF118" i="21"/>
  <c r="EU118" i="21"/>
  <c r="CF133" i="21"/>
  <c r="EU133" i="21"/>
  <c r="CJ140" i="21"/>
  <c r="EV140" i="21"/>
  <c r="CF148" i="21"/>
  <c r="EU148" i="21"/>
  <c r="CF51" i="21"/>
  <c r="EU51" i="21"/>
  <c r="CF61" i="21"/>
  <c r="EU61" i="21"/>
  <c r="Y122" i="5"/>
  <c r="DB122" i="5"/>
  <c r="Y180" i="5"/>
  <c r="DB180" i="5"/>
  <c r="Y182" i="5"/>
  <c r="DB182" i="5"/>
  <c r="Y161" i="5"/>
  <c r="DB161" i="5"/>
  <c r="Y181" i="5"/>
  <c r="DB181" i="5"/>
  <c r="Y137" i="5"/>
  <c r="DB137" i="5"/>
  <c r="Y126" i="5"/>
  <c r="DB126" i="5"/>
  <c r="Y172" i="5"/>
  <c r="DB172" i="5"/>
  <c r="Y123" i="5"/>
  <c r="DB123" i="5"/>
  <c r="Y140" i="5"/>
  <c r="DB140" i="5"/>
  <c r="Y178" i="5"/>
  <c r="DB178" i="5"/>
  <c r="Y168" i="5"/>
  <c r="DB168" i="5"/>
  <c r="Y177" i="5"/>
  <c r="DB177" i="5"/>
  <c r="DB176" i="5"/>
  <c r="Y176" i="5"/>
  <c r="Y174" i="5"/>
  <c r="DB174" i="5"/>
  <c r="Y162" i="5"/>
  <c r="DB162" i="5"/>
  <c r="Y186" i="5"/>
  <c r="DB186" i="5"/>
  <c r="Y163" i="5"/>
  <c r="DB163" i="5"/>
  <c r="Y175" i="5"/>
  <c r="DB175" i="5"/>
  <c r="Y143" i="5"/>
  <c r="DB143" i="5"/>
  <c r="Y133" i="5"/>
  <c r="DB133" i="5"/>
  <c r="Y169" i="5"/>
  <c r="DB169" i="5"/>
  <c r="Y184" i="5"/>
  <c r="DB184" i="5"/>
  <c r="Y138" i="5"/>
  <c r="DB138" i="5"/>
  <c r="Y141" i="5"/>
  <c r="DB141" i="5"/>
  <c r="Y185" i="5"/>
  <c r="DB185" i="5"/>
  <c r="DB183" i="5"/>
  <c r="Y183" i="5"/>
  <c r="Y125" i="5"/>
  <c r="DB125" i="5"/>
  <c r="Y142" i="5"/>
  <c r="DB142" i="5"/>
  <c r="DB170" i="5"/>
  <c r="Y170" i="5"/>
  <c r="DB187" i="5"/>
  <c r="Y187" i="5"/>
  <c r="DB128" i="5"/>
  <c r="Y128" i="5"/>
  <c r="Y121" i="5"/>
  <c r="DB121" i="5"/>
  <c r="DB171" i="5"/>
  <c r="Y171" i="5"/>
  <c r="Y124" i="5"/>
  <c r="DB124" i="5"/>
  <c r="DB179" i="5"/>
  <c r="Y179" i="5"/>
  <c r="Y201" i="5"/>
  <c r="DB201" i="5"/>
  <c r="Y105" i="5"/>
  <c r="DB105" i="5"/>
  <c r="S3" i="5"/>
  <c r="CZ3" i="5"/>
  <c r="CZ203" i="5" s="1"/>
  <c r="G67" i="19" s="1"/>
  <c r="EH173" i="3"/>
  <c r="EH144" i="3"/>
  <c r="EH129" i="3"/>
  <c r="EI154" i="3"/>
  <c r="EI129" i="3"/>
  <c r="EJ129" i="3"/>
  <c r="EJ124" i="3"/>
  <c r="EI150" i="3"/>
  <c r="EH131" i="3"/>
  <c r="EJ134" i="3"/>
  <c r="EJ152" i="3"/>
  <c r="EH133" i="3"/>
  <c r="EJ148" i="3"/>
  <c r="EJ135" i="3"/>
  <c r="EI165" i="3"/>
  <c r="EH165" i="3"/>
  <c r="EI201" i="3"/>
  <c r="EH135" i="3"/>
  <c r="EG133" i="3"/>
  <c r="EH152" i="3"/>
  <c r="EH134" i="3"/>
  <c r="EI169" i="3"/>
  <c r="EH167" i="3"/>
  <c r="EH155" i="3"/>
  <c r="EH148" i="3"/>
  <c r="EG137" i="3"/>
  <c r="EG127" i="3"/>
  <c r="EH159" i="3"/>
  <c r="EG145" i="3"/>
  <c r="EG158" i="3"/>
  <c r="EG136" i="3"/>
  <c r="EG168" i="3"/>
  <c r="EG161" i="3"/>
  <c r="EG162" i="3"/>
  <c r="EG170" i="3"/>
  <c r="EG142" i="3"/>
  <c r="EG163" i="3"/>
  <c r="EG138" i="3"/>
  <c r="EG122" i="3"/>
  <c r="AB19" i="2"/>
  <c r="EF19" i="2"/>
  <c r="EF8" i="2"/>
  <c r="AB8" i="2"/>
  <c r="EE14" i="2"/>
  <c r="X14" i="2"/>
  <c r="AB73" i="2"/>
  <c r="EF73" i="2"/>
  <c r="X43" i="2"/>
  <c r="EE43" i="2"/>
  <c r="AB187" i="2"/>
  <c r="EF187" i="2"/>
  <c r="AB6" i="2"/>
  <c r="EF6" i="2"/>
  <c r="EE9" i="2"/>
  <c r="X9" i="2"/>
  <c r="X189" i="2"/>
  <c r="EE189" i="2"/>
  <c r="X132" i="2"/>
  <c r="EE132" i="2"/>
  <c r="EF30" i="2"/>
  <c r="AB30" i="2"/>
  <c r="EF79" i="2"/>
  <c r="AB79" i="2"/>
  <c r="EF132" i="3"/>
  <c r="EF103" i="2"/>
  <c r="AB103" i="2"/>
  <c r="EF4" i="2"/>
  <c r="AB4" i="2"/>
  <c r="X193" i="2"/>
  <c r="EE193" i="2"/>
  <c r="EF13" i="2"/>
  <c r="AB13" i="2"/>
  <c r="X102" i="2"/>
  <c r="EE102" i="2"/>
  <c r="EL155" i="21"/>
  <c r="EL54" i="21"/>
  <c r="EL56" i="21"/>
  <c r="EL46" i="21"/>
  <c r="EL50" i="21"/>
  <c r="EL58" i="21"/>
  <c r="EK141" i="21"/>
  <c r="EJ141" i="21"/>
  <c r="EK80" i="21"/>
  <c r="EJ80" i="21"/>
  <c r="EK187" i="21"/>
  <c r="EJ187" i="21"/>
  <c r="EK152" i="21"/>
  <c r="EJ152" i="21"/>
  <c r="EK45" i="21"/>
  <c r="EJ45" i="21"/>
  <c r="EK188" i="21"/>
  <c r="EJ188" i="21"/>
  <c r="EK104" i="21"/>
  <c r="EJ104" i="21"/>
  <c r="EK146" i="21"/>
  <c r="EJ146" i="21"/>
  <c r="EK166" i="21"/>
  <c r="EJ166" i="21"/>
  <c r="EK128" i="21"/>
  <c r="EJ128" i="21"/>
  <c r="EK195" i="21"/>
  <c r="EJ195" i="21"/>
  <c r="EK10" i="21"/>
  <c r="EJ10" i="21"/>
  <c r="EK120" i="21"/>
  <c r="EJ120" i="21"/>
  <c r="EK164" i="21"/>
  <c r="EJ164" i="21"/>
  <c r="EK121" i="21"/>
  <c r="EJ121" i="21"/>
  <c r="EK173" i="21"/>
  <c r="EJ173" i="21"/>
  <c r="EK147" i="21"/>
  <c r="EJ147" i="21"/>
  <c r="EK197" i="21"/>
  <c r="EJ197" i="21"/>
  <c r="EK115" i="21"/>
  <c r="EJ115" i="21"/>
  <c r="EK161" i="21"/>
  <c r="EJ161" i="21"/>
  <c r="EK189" i="21"/>
  <c r="EJ189" i="21"/>
  <c r="EK6" i="21"/>
  <c r="EJ6" i="21"/>
  <c r="EK172" i="21"/>
  <c r="EJ172" i="21"/>
  <c r="EK153" i="21"/>
  <c r="EJ153" i="21"/>
  <c r="EK196" i="21"/>
  <c r="EJ196" i="21"/>
  <c r="EK145" i="21"/>
  <c r="EJ145" i="21"/>
  <c r="EK48" i="21"/>
  <c r="EJ48" i="21"/>
  <c r="EK57" i="21"/>
  <c r="EJ57" i="21"/>
  <c r="EK111" i="21"/>
  <c r="EJ111" i="21"/>
  <c r="EK33" i="21"/>
  <c r="EJ33" i="21"/>
  <c r="EK60" i="21"/>
  <c r="EJ60" i="21"/>
  <c r="EK123" i="21"/>
  <c r="EJ123" i="21"/>
  <c r="EK47" i="21"/>
  <c r="EJ47" i="21"/>
  <c r="EK70" i="21"/>
  <c r="EJ70" i="21"/>
  <c r="EK170" i="21"/>
  <c r="EJ170" i="21"/>
  <c r="EK165" i="21"/>
  <c r="EJ165" i="21"/>
  <c r="EK140" i="21"/>
  <c r="EJ140" i="21"/>
  <c r="EK109" i="21"/>
  <c r="EJ109" i="21"/>
  <c r="EK156" i="21"/>
  <c r="EJ156" i="21"/>
  <c r="EK117" i="21"/>
  <c r="EJ117" i="21"/>
  <c r="EK142" i="21"/>
  <c r="EJ142" i="21"/>
  <c r="EK129" i="21"/>
  <c r="EJ129" i="21"/>
  <c r="EK125" i="21"/>
  <c r="EJ125" i="21"/>
  <c r="EK51" i="21"/>
  <c r="EJ51" i="21"/>
  <c r="EK132" i="21"/>
  <c r="EJ132" i="21"/>
  <c r="EK118" i="21"/>
  <c r="EJ118" i="21"/>
  <c r="EK202" i="21"/>
  <c r="EJ202" i="21"/>
  <c r="EK74" i="21"/>
  <c r="EJ74" i="21"/>
  <c r="EK43" i="21"/>
  <c r="EJ43" i="21"/>
  <c r="EK163" i="21"/>
  <c r="EJ163" i="21"/>
  <c r="EK133" i="21"/>
  <c r="EJ133" i="21"/>
  <c r="EK49" i="21"/>
  <c r="EJ49" i="21"/>
  <c r="EK191" i="21"/>
  <c r="EJ191" i="21"/>
  <c r="EK4" i="21"/>
  <c r="EJ4" i="21"/>
  <c r="EK154" i="21"/>
  <c r="EJ154" i="21"/>
  <c r="EK139" i="21"/>
  <c r="EJ139" i="21"/>
  <c r="EK150" i="21"/>
  <c r="EJ150" i="21"/>
  <c r="EL55" i="21"/>
  <c r="EK116" i="21"/>
  <c r="EJ116" i="21"/>
  <c r="AN3" i="21"/>
  <c r="EK3" i="21" s="1"/>
  <c r="EJ3" i="21"/>
  <c r="EK178" i="21"/>
  <c r="EJ178" i="21"/>
  <c r="EK29" i="21"/>
  <c r="EJ29" i="21"/>
  <c r="EL53" i="21"/>
  <c r="EK107" i="21"/>
  <c r="EJ107" i="21"/>
  <c r="EK149" i="21"/>
  <c r="EJ149" i="21"/>
  <c r="EK174" i="21"/>
  <c r="EJ174" i="21"/>
  <c r="EK44" i="21"/>
  <c r="EJ44" i="21"/>
  <c r="EK42" i="21"/>
  <c r="EJ42" i="21"/>
  <c r="EK112" i="21"/>
  <c r="EJ112" i="21"/>
  <c r="EK30" i="21"/>
  <c r="EJ30" i="21"/>
  <c r="EK127" i="21"/>
  <c r="EJ127" i="21"/>
  <c r="EK119" i="21"/>
  <c r="EJ119" i="21"/>
  <c r="EK28" i="21"/>
  <c r="EJ28" i="21"/>
  <c r="EK113" i="21"/>
  <c r="EJ113" i="21"/>
  <c r="EK181" i="21"/>
  <c r="EJ181" i="21"/>
  <c r="EK138" i="21"/>
  <c r="EJ138" i="21"/>
  <c r="EK110" i="21"/>
  <c r="EJ110" i="21"/>
  <c r="EK124" i="21"/>
  <c r="EJ124" i="21"/>
  <c r="EK8" i="21"/>
  <c r="EJ8" i="21"/>
  <c r="EK5" i="21"/>
  <c r="EJ5" i="21"/>
  <c r="EK137" i="21"/>
  <c r="EJ137" i="21"/>
  <c r="EK37" i="21"/>
  <c r="EJ37" i="21"/>
  <c r="EK41" i="21"/>
  <c r="EJ41" i="21"/>
  <c r="EK179" i="21"/>
  <c r="EJ179" i="21"/>
  <c r="EK171" i="21"/>
  <c r="EJ171" i="21"/>
  <c r="EK105" i="21"/>
  <c r="EJ105" i="21"/>
  <c r="EK73" i="21"/>
  <c r="EJ73" i="21"/>
  <c r="EK130" i="21"/>
  <c r="EJ130" i="21"/>
  <c r="EK122" i="21"/>
  <c r="EJ122" i="21"/>
  <c r="EK22" i="21"/>
  <c r="EJ22" i="21"/>
  <c r="EK114" i="21"/>
  <c r="EJ114" i="21"/>
  <c r="EK135" i="21"/>
  <c r="EJ135" i="21"/>
  <c r="EL52" i="21"/>
  <c r="EI148" i="21"/>
  <c r="EI168" i="21"/>
  <c r="EI193" i="21"/>
  <c r="EI192" i="21"/>
  <c r="EI185" i="21"/>
  <c r="EI27" i="21"/>
  <c r="EI79" i="21"/>
  <c r="EI102" i="21"/>
  <c r="EI78" i="21"/>
  <c r="EI14" i="21"/>
  <c r="EI36" i="21"/>
  <c r="EI63" i="21"/>
  <c r="EI158" i="21"/>
  <c r="EI90" i="21"/>
  <c r="EI35" i="21"/>
  <c r="EI134" i="21"/>
  <c r="EI94" i="21"/>
  <c r="EI84" i="21"/>
  <c r="EI38" i="21"/>
  <c r="EI13" i="21"/>
  <c r="EI31" i="21"/>
  <c r="EI167" i="21"/>
  <c r="EI15" i="21"/>
  <c r="EI40" i="21"/>
  <c r="EI72" i="21"/>
  <c r="EI91" i="21"/>
  <c r="EI76" i="21"/>
  <c r="EI93" i="21"/>
  <c r="EI184" i="21"/>
  <c r="EI71" i="21"/>
  <c r="EI23" i="21"/>
  <c r="EI126" i="21"/>
  <c r="EI9" i="21"/>
  <c r="EI131" i="21"/>
  <c r="EI98" i="21"/>
  <c r="EI176" i="21"/>
  <c r="EI18" i="21"/>
  <c r="EI144" i="21"/>
  <c r="EI182" i="21"/>
  <c r="EI190" i="21"/>
  <c r="EI199" i="21"/>
  <c r="EI65" i="21"/>
  <c r="EI200" i="21"/>
  <c r="EI19" i="21"/>
  <c r="EI99" i="21"/>
  <c r="EI157" i="21"/>
  <c r="EI103" i="21"/>
  <c r="EI169" i="21"/>
  <c r="EI89" i="21"/>
  <c r="EI20" i="21"/>
  <c r="EI21" i="21"/>
  <c r="EI136" i="21"/>
  <c r="EI81" i="21"/>
  <c r="EI88" i="21"/>
  <c r="EI108" i="21"/>
  <c r="EI77" i="21"/>
  <c r="EI16" i="21"/>
  <c r="EI201" i="21"/>
  <c r="EI86" i="21"/>
  <c r="EI32" i="21"/>
  <c r="EI194" i="21"/>
  <c r="EI17" i="21"/>
  <c r="EI198" i="21"/>
  <c r="EI83" i="21"/>
  <c r="EI92" i="21"/>
  <c r="EI12" i="21"/>
  <c r="EI39" i="21"/>
  <c r="EI95" i="21"/>
  <c r="EI66" i="21"/>
  <c r="EI69" i="21"/>
  <c r="EI25" i="21"/>
  <c r="EI34" i="21"/>
  <c r="EI62" i="21"/>
  <c r="EI85" i="21"/>
  <c r="EI177" i="21"/>
  <c r="EI175" i="21"/>
  <c r="EI82" i="21"/>
  <c r="EI162" i="21"/>
  <c r="EI160" i="21"/>
  <c r="EI87" i="21"/>
  <c r="EI26" i="21"/>
  <c r="EI61" i="21"/>
  <c r="EI96" i="21"/>
  <c r="EI101" i="21"/>
  <c r="EI97" i="21"/>
  <c r="EI68" i="21"/>
  <c r="EI183" i="21"/>
  <c r="EI151" i="21"/>
  <c r="EI186" i="21"/>
  <c r="EI24" i="21"/>
  <c r="EI143" i="21"/>
  <c r="EI100" i="21"/>
  <c r="EI180" i="21"/>
  <c r="EI75" i="21"/>
  <c r="EI159" i="21"/>
  <c r="EI59" i="21"/>
  <c r="EI67" i="21"/>
  <c r="EI64" i="21"/>
  <c r="EI106" i="21"/>
  <c r="EG7" i="21"/>
  <c r="AB72" i="2"/>
  <c r="AF72" i="2" s="1"/>
  <c r="EH74" i="2"/>
  <c r="AN112" i="2"/>
  <c r="EJ112" i="2" s="1"/>
  <c r="EI192" i="2"/>
  <c r="EH59" i="2"/>
  <c r="AJ59" i="2"/>
  <c r="EH147" i="2"/>
  <c r="EH88" i="2"/>
  <c r="EH69" i="2"/>
  <c r="AJ175" i="2"/>
  <c r="EI175" i="2" s="1"/>
  <c r="AJ167" i="2"/>
  <c r="EI167" i="2" s="1"/>
  <c r="AJ55" i="2"/>
  <c r="EH55" i="2"/>
  <c r="EH148" i="2"/>
  <c r="AJ148" i="2"/>
  <c r="EH40" i="2"/>
  <c r="AJ40" i="2"/>
  <c r="EH108" i="2"/>
  <c r="AJ108" i="2"/>
  <c r="EH110" i="2"/>
  <c r="AJ110" i="2"/>
  <c r="AN138" i="2"/>
  <c r="EI138" i="2"/>
  <c r="AJ37" i="2"/>
  <c r="EH37" i="2"/>
  <c r="AF33" i="2"/>
  <c r="EG33" i="2"/>
  <c r="EH21" i="2"/>
  <c r="AJ21" i="2"/>
  <c r="EH124" i="2"/>
  <c r="AJ124" i="2"/>
  <c r="AJ200" i="2"/>
  <c r="EH200" i="2"/>
  <c r="AJ180" i="2"/>
  <c r="EH180" i="2"/>
  <c r="EH177" i="2"/>
  <c r="AJ177" i="2"/>
  <c r="AJ163" i="2"/>
  <c r="EH163" i="2"/>
  <c r="AJ93" i="2"/>
  <c r="EH93" i="2"/>
  <c r="EH98" i="2"/>
  <c r="AJ98" i="2"/>
  <c r="EI173" i="2"/>
  <c r="AN173" i="2"/>
  <c r="EI196" i="2"/>
  <c r="AN196" i="2"/>
  <c r="EI171" i="2"/>
  <c r="AN171" i="2"/>
  <c r="AJ106" i="2"/>
  <c r="EH106" i="2"/>
  <c r="EH75" i="2"/>
  <c r="AJ75" i="2"/>
  <c r="EH89" i="2"/>
  <c r="AJ89" i="2"/>
  <c r="AN143" i="2"/>
  <c r="EI143" i="2"/>
  <c r="AN122" i="2"/>
  <c r="EI122" i="2"/>
  <c r="EI82" i="2"/>
  <c r="AN82" i="2"/>
  <c r="AR63" i="2"/>
  <c r="EJ63" i="2"/>
  <c r="AN26" i="2"/>
  <c r="EI26" i="2"/>
  <c r="EI38" i="2"/>
  <c r="AN38" i="2"/>
  <c r="EH99" i="2"/>
  <c r="AJ99" i="2"/>
  <c r="EI166" i="2"/>
  <c r="AN166" i="2"/>
  <c r="AR116" i="2"/>
  <c r="EJ116" i="2"/>
  <c r="EI197" i="2"/>
  <c r="AN197" i="2"/>
  <c r="EH76" i="2"/>
  <c r="AJ76" i="2"/>
  <c r="AJ52" i="2"/>
  <c r="EH52" i="2"/>
  <c r="EI61" i="2"/>
  <c r="AN61" i="2"/>
  <c r="AV141" i="2"/>
  <c r="EK141" i="2"/>
  <c r="EI62" i="2"/>
  <c r="AN62" i="2"/>
  <c r="EI92" i="2"/>
  <c r="AN92" i="2"/>
  <c r="EI78" i="2"/>
  <c r="AN78" i="2"/>
  <c r="EH146" i="2"/>
  <c r="AJ146" i="2"/>
  <c r="AJ161" i="2"/>
  <c r="EH161" i="2"/>
  <c r="EH16" i="2"/>
  <c r="AJ16" i="2"/>
  <c r="EI170" i="2"/>
  <c r="AN170" i="2"/>
  <c r="EH23" i="2"/>
  <c r="AJ23" i="2"/>
  <c r="EH39" i="2"/>
  <c r="AJ39" i="2"/>
  <c r="EH113" i="2"/>
  <c r="AJ113" i="2"/>
  <c r="EH42" i="2"/>
  <c r="AJ42" i="2"/>
  <c r="EI130" i="2"/>
  <c r="AN130" i="2"/>
  <c r="EI150" i="2"/>
  <c r="AN150" i="2"/>
  <c r="EH131" i="2"/>
  <c r="AJ131" i="2"/>
  <c r="EH83" i="2"/>
  <c r="AJ83" i="2"/>
  <c r="EI57" i="2"/>
  <c r="AN57" i="2"/>
  <c r="EH24" i="2"/>
  <c r="AJ24" i="2"/>
  <c r="EH7" i="2"/>
  <c r="AJ7" i="2"/>
  <c r="EH41" i="2"/>
  <c r="AJ41" i="2"/>
  <c r="AR121" i="2"/>
  <c r="EJ121" i="2"/>
  <c r="EH105" i="2"/>
  <c r="AJ105" i="2"/>
  <c r="EJ100" i="2"/>
  <c r="AR100" i="2"/>
  <c r="AJ136" i="2"/>
  <c r="EH136" i="2"/>
  <c r="EI147" i="2"/>
  <c r="AN147" i="2"/>
  <c r="EH133" i="2"/>
  <c r="AJ133" i="2"/>
  <c r="EJ20" i="2"/>
  <c r="AR20" i="2"/>
  <c r="EH17" i="2"/>
  <c r="AJ17" i="2"/>
  <c r="EH185" i="2"/>
  <c r="AJ185" i="2"/>
  <c r="EH25" i="2"/>
  <c r="AJ25" i="2"/>
  <c r="EJ119" i="2"/>
  <c r="AR119" i="2"/>
  <c r="EJ114" i="2"/>
  <c r="AR114" i="2"/>
  <c r="AR90" i="2"/>
  <c r="EJ90" i="2"/>
  <c r="EI179" i="2"/>
  <c r="AN179" i="2"/>
  <c r="EH117" i="2"/>
  <c r="AJ117" i="2"/>
  <c r="EH190" i="2"/>
  <c r="AJ190" i="2"/>
  <c r="AN195" i="2"/>
  <c r="EI195" i="2"/>
  <c r="EI97" i="2"/>
  <c r="AN97" i="2"/>
  <c r="EI74" i="2"/>
  <c r="AN74" i="2"/>
  <c r="AJ198" i="2"/>
  <c r="EH198" i="2"/>
  <c r="AN81" i="2"/>
  <c r="EI81" i="2"/>
  <c r="EH164" i="2"/>
  <c r="AJ164" i="2"/>
  <c r="AJ107" i="2"/>
  <c r="EH107" i="2"/>
  <c r="AJ60" i="2"/>
  <c r="EH60" i="2"/>
  <c r="EI53" i="2"/>
  <c r="AN53" i="2"/>
  <c r="AR192" i="2"/>
  <c r="EJ192" i="2"/>
  <c r="EH174" i="2"/>
  <c r="AJ174" i="2"/>
  <c r="AJ144" i="2"/>
  <c r="EH144" i="2"/>
  <c r="AJ95" i="2"/>
  <c r="EH95" i="2"/>
  <c r="EH134" i="2"/>
  <c r="AJ134" i="2"/>
  <c r="EH29" i="2"/>
  <c r="AJ29" i="2"/>
  <c r="EH127" i="2"/>
  <c r="AJ127" i="2"/>
  <c r="EI77" i="2"/>
  <c r="AN77" i="2"/>
  <c r="EI12" i="2"/>
  <c r="AN12" i="2"/>
  <c r="AR27" i="2"/>
  <c r="EJ27" i="2"/>
  <c r="EI36" i="2"/>
  <c r="AN36" i="2"/>
  <c r="AR145" i="2"/>
  <c r="EJ145" i="2"/>
  <c r="EI96" i="2"/>
  <c r="AN96" i="2"/>
  <c r="EH11" i="2"/>
  <c r="AJ11" i="2"/>
  <c r="EH84" i="2"/>
  <c r="AJ84" i="2"/>
  <c r="EI172" i="2"/>
  <c r="AN172" i="2"/>
  <c r="EI85" i="2"/>
  <c r="AN85" i="2"/>
  <c r="AJ128" i="2"/>
  <c r="EH128" i="2"/>
  <c r="AJ186" i="2"/>
  <c r="EH186" i="2"/>
  <c r="EJ67" i="2"/>
  <c r="AR67" i="2"/>
  <c r="EH91" i="2"/>
  <c r="AJ91" i="2"/>
  <c r="EI176" i="2"/>
  <c r="AN176" i="2"/>
  <c r="EH86" i="2"/>
  <c r="AJ86" i="2"/>
  <c r="EH15" i="2"/>
  <c r="AJ15" i="2"/>
  <c r="EH126" i="2"/>
  <c r="AJ126" i="2"/>
  <c r="AN162" i="2"/>
  <c r="EI162" i="2"/>
  <c r="EI125" i="2"/>
  <c r="AN125" i="2"/>
  <c r="EI54" i="2"/>
  <c r="AN54" i="2"/>
  <c r="AJ202" i="2"/>
  <c r="EH202" i="2"/>
  <c r="EJ160" i="2"/>
  <c r="AR160" i="2"/>
  <c r="AN48" i="2"/>
  <c r="EI48" i="2"/>
  <c r="AJ184" i="2"/>
  <c r="EH184" i="2"/>
  <c r="EI135" i="2"/>
  <c r="AN135" i="2"/>
  <c r="AN34" i="2"/>
  <c r="EI34" i="2"/>
  <c r="EH3" i="2"/>
  <c r="AJ3" i="2"/>
  <c r="AJ169" i="2"/>
  <c r="EH169" i="2"/>
  <c r="EI155" i="2"/>
  <c r="AN155" i="2"/>
  <c r="EI158" i="2"/>
  <c r="AN158" i="2"/>
  <c r="EI183" i="2"/>
  <c r="AN183" i="2"/>
  <c r="AJ194" i="2"/>
  <c r="EH194" i="2"/>
  <c r="EH80" i="2"/>
  <c r="AJ80" i="2"/>
  <c r="EG31" i="2"/>
  <c r="AF31" i="2"/>
  <c r="EH129" i="2"/>
  <c r="AJ129" i="2"/>
  <c r="EI101" i="2"/>
  <c r="AN101" i="2"/>
  <c r="EH109" i="2"/>
  <c r="AJ109" i="2"/>
  <c r="EH181" i="2"/>
  <c r="AJ181" i="2"/>
  <c r="EI5" i="2"/>
  <c r="AN5" i="2"/>
  <c r="EH68" i="2"/>
  <c r="AJ68" i="2"/>
  <c r="EH56" i="2"/>
  <c r="AJ56" i="2"/>
  <c r="EH115" i="2"/>
  <c r="AJ115" i="2"/>
  <c r="AJ199" i="2"/>
  <c r="EH199" i="2"/>
  <c r="EH142" i="2"/>
  <c r="AJ142" i="2"/>
  <c r="AN69" i="2"/>
  <c r="EI69" i="2"/>
  <c r="EH201" i="2"/>
  <c r="AJ201" i="2"/>
  <c r="EI87" i="2"/>
  <c r="AN87" i="2"/>
  <c r="EI191" i="2"/>
  <c r="AN191" i="2"/>
  <c r="EH152" i="2"/>
  <c r="AJ152" i="2"/>
  <c r="EH22" i="2"/>
  <c r="AJ22" i="2"/>
  <c r="EI168" i="2"/>
  <c r="AN168" i="2"/>
  <c r="EI45" i="2"/>
  <c r="AN45" i="2"/>
  <c r="EI159" i="2"/>
  <c r="AN159" i="2"/>
  <c r="AJ35" i="2"/>
  <c r="EH35" i="2"/>
  <c r="EH140" i="2"/>
  <c r="AJ140" i="2"/>
  <c r="EH71" i="2"/>
  <c r="AJ71" i="2"/>
  <c r="EH111" i="2"/>
  <c r="AJ111" i="2"/>
  <c r="EI66" i="2"/>
  <c r="AN66" i="2"/>
  <c r="AR157" i="2"/>
  <c r="EJ157" i="2"/>
  <c r="EJ94" i="2"/>
  <c r="AR94" i="2"/>
  <c r="EI88" i="2"/>
  <c r="AN88" i="2"/>
  <c r="EI49" i="2"/>
  <c r="AN49" i="2"/>
  <c r="EI65" i="2"/>
  <c r="AN65" i="2"/>
  <c r="AR151" i="2"/>
  <c r="EJ151" i="2"/>
  <c r="AJ120" i="2"/>
  <c r="EH120" i="2"/>
  <c r="AJ149" i="2"/>
  <c r="EH149" i="2"/>
  <c r="EH18" i="2"/>
  <c r="AJ18" i="2"/>
  <c r="EI139" i="2"/>
  <c r="AN139" i="2"/>
  <c r="EI50" i="2"/>
  <c r="AN50" i="2"/>
  <c r="EI51" i="2"/>
  <c r="AN51" i="2"/>
  <c r="EI118" i="2"/>
  <c r="AN118" i="2"/>
  <c r="EH178" i="2"/>
  <c r="AJ178" i="2"/>
  <c r="EH64" i="2"/>
  <c r="AJ64" i="2"/>
  <c r="EH46" i="2"/>
  <c r="AJ46" i="2"/>
  <c r="EI188" i="2"/>
  <c r="AN188" i="2"/>
  <c r="EI58" i="2"/>
  <c r="AN58" i="2"/>
  <c r="EH47" i="2"/>
  <c r="AJ47" i="2"/>
  <c r="EH32" i="2"/>
  <c r="AJ32" i="2"/>
  <c r="EH182" i="2"/>
  <c r="AJ182" i="2"/>
  <c r="EH137" i="2"/>
  <c r="AJ137" i="2"/>
  <c r="AN28" i="2"/>
  <c r="EI28" i="2"/>
  <c r="EI156" i="2"/>
  <c r="AN156" i="2"/>
  <c r="EI167" i="3"/>
  <c r="EI185" i="3"/>
  <c r="EI181" i="3"/>
  <c r="EI172" i="3"/>
  <c r="EI174" i="3"/>
  <c r="EJ171" i="3"/>
  <c r="EJ177" i="3"/>
  <c r="EI175" i="3"/>
  <c r="EI128" i="3"/>
  <c r="EJ178" i="3"/>
  <c r="EI202" i="3"/>
  <c r="EJ125" i="3"/>
  <c r="EI183" i="3"/>
  <c r="EI164" i="3"/>
  <c r="EI166" i="3"/>
  <c r="EJ140" i="3"/>
  <c r="EK176" i="3"/>
  <c r="EJ149" i="3"/>
  <c r="EJ150" i="3"/>
  <c r="EK179" i="3"/>
  <c r="EK184" i="3"/>
  <c r="EJ141" i="3"/>
  <c r="EJ146" i="3"/>
  <c r="EJ130" i="3"/>
  <c r="EJ201" i="3"/>
  <c r="EI126" i="3"/>
  <c r="EI121" i="3"/>
  <c r="EJ147" i="3"/>
  <c r="EJ139" i="3"/>
  <c r="EJ153" i="3"/>
  <c r="EJ154" i="3"/>
  <c r="EJ151" i="3"/>
  <c r="EK124" i="3"/>
  <c r="EK180" i="3"/>
  <c r="EK182" i="3"/>
  <c r="EG10" i="2"/>
  <c r="AF10" i="2"/>
  <c r="EG153" i="2"/>
  <c r="AF153" i="2"/>
  <c r="AV104" i="2"/>
  <c r="EK104" i="2"/>
  <c r="EG123" i="2"/>
  <c r="AF123" i="2"/>
  <c r="AF44" i="2"/>
  <c r="EG44" i="2"/>
  <c r="AN154" i="2"/>
  <c r="EI154" i="2"/>
  <c r="EH123" i="3"/>
  <c r="EG165" i="2"/>
  <c r="AF165" i="2"/>
  <c r="AR70" i="2"/>
  <c r="EJ70" i="2"/>
  <c r="CJ148" i="21" l="1"/>
  <c r="EV148" i="21"/>
  <c r="CJ174" i="21"/>
  <c r="EV174" i="21"/>
  <c r="CJ106" i="21"/>
  <c r="EV106" i="21"/>
  <c r="CN147" i="21"/>
  <c r="CR147" i="21" s="1"/>
  <c r="CV147" i="21" s="1"/>
  <c r="CZ147" i="21" s="1"/>
  <c r="DD147" i="21" s="1"/>
  <c r="DH147" i="21" s="1"/>
  <c r="DL147" i="21" s="1"/>
  <c r="DP147" i="21" s="1"/>
  <c r="DT147" i="21" s="1"/>
  <c r="EW147" i="21"/>
  <c r="CJ13" i="21"/>
  <c r="EV13" i="21"/>
  <c r="CN150" i="21"/>
  <c r="CR150" i="21" s="1"/>
  <c r="CV150" i="21" s="1"/>
  <c r="CZ150" i="21" s="1"/>
  <c r="DD150" i="21" s="1"/>
  <c r="DH150" i="21" s="1"/>
  <c r="DL150" i="21" s="1"/>
  <c r="DP150" i="21" s="1"/>
  <c r="DT150" i="21" s="1"/>
  <c r="EW150" i="21"/>
  <c r="CN140" i="21"/>
  <c r="CR140" i="21" s="1"/>
  <c r="CV140" i="21" s="1"/>
  <c r="CZ140" i="21" s="1"/>
  <c r="DD140" i="21" s="1"/>
  <c r="DH140" i="21" s="1"/>
  <c r="DL140" i="21" s="1"/>
  <c r="DP140" i="21" s="1"/>
  <c r="DT140" i="21" s="1"/>
  <c r="EW140" i="21"/>
  <c r="CJ33" i="21"/>
  <c r="EV33" i="21"/>
  <c r="CB153" i="21"/>
  <c r="ET153" i="21"/>
  <c r="CJ53" i="21"/>
  <c r="EV53" i="21"/>
  <c r="CJ91" i="21"/>
  <c r="EV91" i="21"/>
  <c r="CJ31" i="21"/>
  <c r="EV31" i="21"/>
  <c r="CJ61" i="21"/>
  <c r="EV61" i="21"/>
  <c r="CJ133" i="21"/>
  <c r="EV133" i="21"/>
  <c r="CJ154" i="21"/>
  <c r="EV154" i="21"/>
  <c r="CJ9" i="21"/>
  <c r="EV9" i="21"/>
  <c r="CJ19" i="21"/>
  <c r="EV19" i="21"/>
  <c r="CF72" i="21"/>
  <c r="EU72" i="21"/>
  <c r="CJ187" i="21"/>
  <c r="EV187" i="21"/>
  <c r="CF69" i="21"/>
  <c r="EU69" i="21"/>
  <c r="CJ51" i="21"/>
  <c r="EV51" i="21"/>
  <c r="CJ118" i="21"/>
  <c r="EV118" i="21"/>
  <c r="CF68" i="21"/>
  <c r="EU68" i="21"/>
  <c r="CJ124" i="21"/>
  <c r="EV124" i="21"/>
  <c r="CJ100" i="21"/>
  <c r="EV100" i="21"/>
  <c r="CJ20" i="21"/>
  <c r="EV20" i="21"/>
  <c r="DC179" i="5"/>
  <c r="AB179" i="5"/>
  <c r="AB171" i="5"/>
  <c r="DC171" i="5"/>
  <c r="AB128" i="5"/>
  <c r="DC128" i="5"/>
  <c r="AB170" i="5"/>
  <c r="DC170" i="5"/>
  <c r="AB176" i="5"/>
  <c r="DC176" i="5"/>
  <c r="DC105" i="5"/>
  <c r="AB105" i="5"/>
  <c r="AB125" i="5"/>
  <c r="DC125" i="5"/>
  <c r="DC185" i="5"/>
  <c r="AB185" i="5"/>
  <c r="AB138" i="5"/>
  <c r="DC138" i="5"/>
  <c r="DC169" i="5"/>
  <c r="AB169" i="5"/>
  <c r="AB143" i="5"/>
  <c r="DC143" i="5"/>
  <c r="AB163" i="5"/>
  <c r="DC163" i="5"/>
  <c r="AB162" i="5"/>
  <c r="DC162" i="5"/>
  <c r="DC168" i="5"/>
  <c r="AB168" i="5"/>
  <c r="AB140" i="5"/>
  <c r="DC140" i="5"/>
  <c r="DC172" i="5"/>
  <c r="AB172" i="5"/>
  <c r="AB137" i="5"/>
  <c r="DC137" i="5"/>
  <c r="AB161" i="5"/>
  <c r="DC161" i="5"/>
  <c r="AB180" i="5"/>
  <c r="DC180" i="5"/>
  <c r="AB187" i="5"/>
  <c r="DC187" i="5"/>
  <c r="DC183" i="5"/>
  <c r="AB183" i="5"/>
  <c r="AB201" i="5"/>
  <c r="DC201" i="5"/>
  <c r="AB124" i="5"/>
  <c r="DC124" i="5"/>
  <c r="AB121" i="5"/>
  <c r="DC121" i="5"/>
  <c r="AB142" i="5"/>
  <c r="DC142" i="5"/>
  <c r="AB141" i="5"/>
  <c r="DC141" i="5"/>
  <c r="DC184" i="5"/>
  <c r="AB184" i="5"/>
  <c r="DC133" i="5"/>
  <c r="AB133" i="5"/>
  <c r="DC175" i="5"/>
  <c r="AB175" i="5"/>
  <c r="AB186" i="5"/>
  <c r="DC186" i="5"/>
  <c r="AB174" i="5"/>
  <c r="DC174" i="5"/>
  <c r="AB177" i="5"/>
  <c r="DC177" i="5"/>
  <c r="AB178" i="5"/>
  <c r="DC178" i="5"/>
  <c r="DC123" i="5"/>
  <c r="AB123" i="5"/>
  <c r="AB126" i="5"/>
  <c r="DC126" i="5"/>
  <c r="AB181" i="5"/>
  <c r="DC181" i="5"/>
  <c r="AB182" i="5"/>
  <c r="DC182" i="5"/>
  <c r="AB122" i="5"/>
  <c r="DC122" i="5"/>
  <c r="V3" i="5"/>
  <c r="DA3" i="5"/>
  <c r="DA203" i="5" s="1"/>
  <c r="H67" i="19" s="1"/>
  <c r="EI173" i="3"/>
  <c r="EJ143" i="3"/>
  <c r="EK144" i="3"/>
  <c r="EK148" i="3"/>
  <c r="EK187" i="3"/>
  <c r="EI160" i="3"/>
  <c r="EJ160" i="3"/>
  <c r="EK160" i="3"/>
  <c r="EJ165" i="3"/>
  <c r="EI148" i="3"/>
  <c r="EI156" i="3"/>
  <c r="EH156" i="3"/>
  <c r="EI134" i="3"/>
  <c r="EK135" i="3"/>
  <c r="EI135" i="3"/>
  <c r="EH157" i="3"/>
  <c r="EI152" i="3"/>
  <c r="EI131" i="3"/>
  <c r="EJ186" i="3"/>
  <c r="EK186" i="3"/>
  <c r="EJ169" i="3"/>
  <c r="EJ157" i="3"/>
  <c r="EJ133" i="3"/>
  <c r="EI133" i="3"/>
  <c r="EI155" i="3"/>
  <c r="EH137" i="3"/>
  <c r="EI159" i="3"/>
  <c r="EH127" i="3"/>
  <c r="EH145" i="3"/>
  <c r="EH136" i="3"/>
  <c r="EH158" i="3"/>
  <c r="EH168" i="3"/>
  <c r="EH170" i="3"/>
  <c r="EH162" i="3"/>
  <c r="EH161" i="3"/>
  <c r="EH163" i="3"/>
  <c r="EH122" i="3"/>
  <c r="EH138" i="3"/>
  <c r="EH142" i="3"/>
  <c r="EG132" i="3"/>
  <c r="AB9" i="2"/>
  <c r="EF9" i="2"/>
  <c r="EG187" i="2"/>
  <c r="AF187" i="2"/>
  <c r="AF19" i="2"/>
  <c r="EG19" i="2"/>
  <c r="AB189" i="2"/>
  <c r="EF189" i="2"/>
  <c r="AB102" i="2"/>
  <c r="EF102" i="2"/>
  <c r="EF193" i="2"/>
  <c r="AB193" i="2"/>
  <c r="EG4" i="2"/>
  <c r="AF4" i="2"/>
  <c r="EG79" i="2"/>
  <c r="AF79" i="2"/>
  <c r="EF43" i="2"/>
  <c r="AB43" i="2"/>
  <c r="AB14" i="2"/>
  <c r="EF14" i="2"/>
  <c r="EG13" i="2"/>
  <c r="AF13" i="2"/>
  <c r="AF103" i="2"/>
  <c r="EG103" i="2"/>
  <c r="AF30" i="2"/>
  <c r="EG30" i="2"/>
  <c r="EF132" i="2"/>
  <c r="AB132" i="2"/>
  <c r="EG8" i="2"/>
  <c r="AF8" i="2"/>
  <c r="EG6" i="2"/>
  <c r="AF6" i="2"/>
  <c r="EG73" i="2"/>
  <c r="AF73" i="2"/>
  <c r="EM46" i="21"/>
  <c r="EM58" i="21"/>
  <c r="EL166" i="21"/>
  <c r="EL45" i="21"/>
  <c r="EL150" i="21"/>
  <c r="EL141" i="21"/>
  <c r="EL120" i="21"/>
  <c r="EL33" i="21"/>
  <c r="EL164" i="21"/>
  <c r="EL128" i="21"/>
  <c r="EL80" i="21"/>
  <c r="EL109" i="21"/>
  <c r="EL188" i="21"/>
  <c r="EL145" i="21"/>
  <c r="EL6" i="21"/>
  <c r="EL197" i="21"/>
  <c r="EL4" i="21"/>
  <c r="EL181" i="21"/>
  <c r="EL127" i="21"/>
  <c r="EL30" i="21"/>
  <c r="EL111" i="21"/>
  <c r="EL147" i="21"/>
  <c r="EL47" i="21"/>
  <c r="EL196" i="21"/>
  <c r="EL142" i="21"/>
  <c r="EL22" i="21"/>
  <c r="EL189" i="21"/>
  <c r="EL140" i="21"/>
  <c r="EL172" i="21"/>
  <c r="EL29" i="21"/>
  <c r="EL8" i="21"/>
  <c r="EL112" i="21"/>
  <c r="EL187" i="21"/>
  <c r="EL116" i="21"/>
  <c r="EL195" i="21"/>
  <c r="EL121" i="21"/>
  <c r="EL104" i="21"/>
  <c r="EL139" i="21"/>
  <c r="EL48" i="21"/>
  <c r="EL115" i="21"/>
  <c r="EL130" i="21"/>
  <c r="EL70" i="21"/>
  <c r="EL118" i="21"/>
  <c r="EL129" i="21"/>
  <c r="EL163" i="21"/>
  <c r="EL44" i="21"/>
  <c r="EL179" i="21"/>
  <c r="EL113" i="21"/>
  <c r="EL37" i="21"/>
  <c r="EL43" i="21"/>
  <c r="EL137" i="21"/>
  <c r="EL28" i="21"/>
  <c r="EL105" i="21"/>
  <c r="EL191" i="21"/>
  <c r="EL149" i="21"/>
  <c r="EL117" i="21"/>
  <c r="EL174" i="21"/>
  <c r="EL132" i="21"/>
  <c r="EL110" i="21"/>
  <c r="EL122" i="21"/>
  <c r="EL171" i="21"/>
  <c r="EL152" i="21"/>
  <c r="EL57" i="21"/>
  <c r="EL173" i="21"/>
  <c r="EL10" i="21"/>
  <c r="EL146" i="21"/>
  <c r="EL51" i="21"/>
  <c r="EL123" i="21"/>
  <c r="EL74" i="21"/>
  <c r="EL161" i="21"/>
  <c r="EL153" i="21"/>
  <c r="EL114" i="21"/>
  <c r="EL73" i="21"/>
  <c r="EL41" i="21"/>
  <c r="EL49" i="21"/>
  <c r="EL178" i="21"/>
  <c r="EL124" i="21"/>
  <c r="EL165" i="21"/>
  <c r="EK64" i="21"/>
  <c r="EJ64" i="21"/>
  <c r="EK61" i="21"/>
  <c r="EJ61" i="21"/>
  <c r="EK12" i="21"/>
  <c r="EJ12" i="21"/>
  <c r="EK157" i="21"/>
  <c r="EJ157" i="21"/>
  <c r="EK167" i="21"/>
  <c r="EJ167" i="21"/>
  <c r="EL135" i="21"/>
  <c r="EL154" i="21"/>
  <c r="EL133" i="21"/>
  <c r="EL202" i="21"/>
  <c r="EL125" i="21"/>
  <c r="EL156" i="21"/>
  <c r="EL170" i="21"/>
  <c r="EK162" i="21"/>
  <c r="EJ162" i="21"/>
  <c r="EK201" i="21"/>
  <c r="EJ201" i="21"/>
  <c r="EK144" i="21"/>
  <c r="EJ144" i="21"/>
  <c r="EK84" i="21"/>
  <c r="EJ84" i="21"/>
  <c r="EK168" i="21"/>
  <c r="EJ168" i="21"/>
  <c r="EK106" i="21"/>
  <c r="EJ106" i="21"/>
  <c r="EK159" i="21"/>
  <c r="EJ159" i="21"/>
  <c r="EK143" i="21"/>
  <c r="EJ143" i="21"/>
  <c r="EK183" i="21"/>
  <c r="EJ183" i="21"/>
  <c r="EK96" i="21"/>
  <c r="EJ96" i="21"/>
  <c r="EK160" i="21"/>
  <c r="EJ160" i="21"/>
  <c r="EK177" i="21"/>
  <c r="EJ177" i="21"/>
  <c r="EK25" i="21"/>
  <c r="EJ25" i="21"/>
  <c r="EK39" i="21"/>
  <c r="EJ39" i="21"/>
  <c r="EK198" i="21"/>
  <c r="EJ198" i="21"/>
  <c r="EK86" i="21"/>
  <c r="EJ86" i="21"/>
  <c r="EK108" i="21"/>
  <c r="EJ108" i="21"/>
  <c r="EK21" i="21"/>
  <c r="EJ21" i="21"/>
  <c r="EK103" i="21"/>
  <c r="EJ103" i="21"/>
  <c r="EK200" i="21"/>
  <c r="EJ200" i="21"/>
  <c r="EK182" i="21"/>
  <c r="EJ182" i="21"/>
  <c r="EK98" i="21"/>
  <c r="EJ98" i="21"/>
  <c r="EK23" i="21"/>
  <c r="EJ23" i="21"/>
  <c r="EK76" i="21"/>
  <c r="EJ76" i="21"/>
  <c r="EK15" i="21"/>
  <c r="EJ15" i="21"/>
  <c r="EK38" i="21"/>
  <c r="EJ38" i="21"/>
  <c r="EK35" i="21"/>
  <c r="EJ35" i="21"/>
  <c r="EK36" i="21"/>
  <c r="EJ36" i="21"/>
  <c r="EK79" i="21"/>
  <c r="EJ79" i="21"/>
  <c r="EK193" i="21"/>
  <c r="EJ193" i="21"/>
  <c r="EK75" i="21"/>
  <c r="EJ75" i="21"/>
  <c r="EK85" i="21"/>
  <c r="EJ85" i="21"/>
  <c r="EK17" i="21"/>
  <c r="EJ17" i="21"/>
  <c r="EK65" i="21"/>
  <c r="EJ65" i="21"/>
  <c r="EK91" i="21"/>
  <c r="EJ91" i="21"/>
  <c r="EK27" i="21"/>
  <c r="EJ27" i="21"/>
  <c r="EK67" i="21"/>
  <c r="EJ67" i="21"/>
  <c r="EK180" i="21"/>
  <c r="EJ180" i="21"/>
  <c r="EK186" i="21"/>
  <c r="EJ186" i="21"/>
  <c r="EK97" i="21"/>
  <c r="EJ97" i="21"/>
  <c r="EK26" i="21"/>
  <c r="EJ26" i="21"/>
  <c r="EK82" i="21"/>
  <c r="EJ82" i="21"/>
  <c r="EK62" i="21"/>
  <c r="EJ62" i="21"/>
  <c r="EK66" i="21"/>
  <c r="EJ66" i="21"/>
  <c r="EK92" i="21"/>
  <c r="EJ92" i="21"/>
  <c r="EK194" i="21"/>
  <c r="EJ194" i="21"/>
  <c r="EK16" i="21"/>
  <c r="EJ16" i="21"/>
  <c r="EK81" i="21"/>
  <c r="EJ81" i="21"/>
  <c r="EK89" i="21"/>
  <c r="EJ89" i="21"/>
  <c r="EK99" i="21"/>
  <c r="EJ99" i="21"/>
  <c r="EK199" i="21"/>
  <c r="EJ199" i="21"/>
  <c r="EK18" i="21"/>
  <c r="EJ18" i="21"/>
  <c r="EK9" i="21"/>
  <c r="EJ9" i="21"/>
  <c r="EK184" i="21"/>
  <c r="EJ184" i="21"/>
  <c r="EK72" i="21"/>
  <c r="EJ72" i="21"/>
  <c r="EK31" i="21"/>
  <c r="EJ31" i="21"/>
  <c r="EK94" i="21"/>
  <c r="EJ94" i="21"/>
  <c r="EK158" i="21"/>
  <c r="EJ158" i="21"/>
  <c r="EK78" i="21"/>
  <c r="EJ78" i="21"/>
  <c r="EK185" i="21"/>
  <c r="EJ185" i="21"/>
  <c r="EK148" i="21"/>
  <c r="EJ148" i="21"/>
  <c r="EL60" i="21"/>
  <c r="EL5" i="21"/>
  <c r="AR3" i="21"/>
  <c r="EL3" i="21" s="1"/>
  <c r="EK68" i="21"/>
  <c r="EJ68" i="21"/>
  <c r="EK88" i="21"/>
  <c r="EJ88" i="21"/>
  <c r="EK71" i="21"/>
  <c r="EJ71" i="21"/>
  <c r="EK14" i="21"/>
  <c r="EJ14" i="21"/>
  <c r="EL138" i="21"/>
  <c r="EL119" i="21"/>
  <c r="EL42" i="21"/>
  <c r="EK24" i="21"/>
  <c r="EJ24" i="21"/>
  <c r="EK69" i="21"/>
  <c r="EJ69" i="21"/>
  <c r="EK20" i="21"/>
  <c r="EJ20" i="21"/>
  <c r="EK131" i="21"/>
  <c r="EJ131" i="21"/>
  <c r="EK90" i="21"/>
  <c r="EJ90" i="21"/>
  <c r="EK59" i="21"/>
  <c r="EJ59" i="21"/>
  <c r="EK100" i="21"/>
  <c r="EJ100" i="21"/>
  <c r="EK151" i="21"/>
  <c r="EJ151" i="21"/>
  <c r="EK101" i="21"/>
  <c r="EJ101" i="21"/>
  <c r="EK87" i="21"/>
  <c r="EJ87" i="21"/>
  <c r="EK175" i="21"/>
  <c r="EJ175" i="21"/>
  <c r="EK34" i="21"/>
  <c r="EJ34" i="21"/>
  <c r="EK95" i="21"/>
  <c r="EJ95" i="21"/>
  <c r="EK83" i="21"/>
  <c r="EJ83" i="21"/>
  <c r="EK32" i="21"/>
  <c r="EJ32" i="21"/>
  <c r="EK77" i="21"/>
  <c r="EJ77" i="21"/>
  <c r="EK136" i="21"/>
  <c r="EJ136" i="21"/>
  <c r="EK169" i="21"/>
  <c r="EJ169" i="21"/>
  <c r="EK19" i="21"/>
  <c r="EJ19" i="21"/>
  <c r="EK190" i="21"/>
  <c r="EJ190" i="21"/>
  <c r="EK176" i="21"/>
  <c r="EJ176" i="21"/>
  <c r="EK126" i="21"/>
  <c r="EJ126" i="21"/>
  <c r="EK93" i="21"/>
  <c r="EJ93" i="21"/>
  <c r="EK40" i="21"/>
  <c r="EJ40" i="21"/>
  <c r="EK13" i="21"/>
  <c r="EJ13" i="21"/>
  <c r="EK134" i="21"/>
  <c r="EJ134" i="21"/>
  <c r="EK63" i="21"/>
  <c r="EJ63" i="21"/>
  <c r="EK102" i="21"/>
  <c r="EJ102" i="21"/>
  <c r="EK192" i="21"/>
  <c r="EJ192" i="21"/>
  <c r="EL107" i="21"/>
  <c r="EH7" i="21"/>
  <c r="EG72" i="2"/>
  <c r="AR112" i="2"/>
  <c r="EK112" i="2" s="1"/>
  <c r="AN175" i="2"/>
  <c r="AR175" i="2" s="1"/>
  <c r="EI59" i="2"/>
  <c r="AN59" i="2"/>
  <c r="AN167" i="2"/>
  <c r="EJ167" i="2" s="1"/>
  <c r="EI148" i="2"/>
  <c r="AN148" i="2"/>
  <c r="EI55" i="2"/>
  <c r="AN55" i="2"/>
  <c r="EI108" i="2"/>
  <c r="AN108" i="2"/>
  <c r="EI40" i="2"/>
  <c r="AN40" i="2"/>
  <c r="EI110" i="2"/>
  <c r="AN110" i="2"/>
  <c r="EJ138" i="2"/>
  <c r="AR138" i="2"/>
  <c r="AJ33" i="2"/>
  <c r="EH33" i="2"/>
  <c r="EI37" i="2"/>
  <c r="AN37" i="2"/>
  <c r="AN93" i="2"/>
  <c r="EI93" i="2"/>
  <c r="AN180" i="2"/>
  <c r="EI180" i="2"/>
  <c r="EI200" i="2"/>
  <c r="AN200" i="2"/>
  <c r="EI124" i="2"/>
  <c r="AN124" i="2"/>
  <c r="EI163" i="2"/>
  <c r="AN163" i="2"/>
  <c r="AN98" i="2"/>
  <c r="EI98" i="2"/>
  <c r="EI177" i="2"/>
  <c r="AN177" i="2"/>
  <c r="AN21" i="2"/>
  <c r="EI21" i="2"/>
  <c r="EI75" i="2"/>
  <c r="AN75" i="2"/>
  <c r="EJ196" i="2"/>
  <c r="AR196" i="2"/>
  <c r="EI106" i="2"/>
  <c r="AN106" i="2"/>
  <c r="EJ171" i="2"/>
  <c r="AR171" i="2"/>
  <c r="AR173" i="2"/>
  <c r="EJ173" i="2"/>
  <c r="EI89" i="2"/>
  <c r="AN89" i="2"/>
  <c r="AN149" i="2"/>
  <c r="EI149" i="2"/>
  <c r="EK157" i="2"/>
  <c r="AV157" i="2"/>
  <c r="EI199" i="2"/>
  <c r="AN199" i="2"/>
  <c r="AR48" i="2"/>
  <c r="EJ48" i="2"/>
  <c r="EJ162" i="2"/>
  <c r="AR162" i="2"/>
  <c r="AN186" i="2"/>
  <c r="EI186" i="2"/>
  <c r="EK27" i="2"/>
  <c r="AV27" i="2"/>
  <c r="AR143" i="2"/>
  <c r="EJ143" i="2"/>
  <c r="EI182" i="2"/>
  <c r="AN182" i="2"/>
  <c r="EI178" i="2"/>
  <c r="AN178" i="2"/>
  <c r="EJ65" i="2"/>
  <c r="AR65" i="2"/>
  <c r="AR66" i="2"/>
  <c r="EJ66" i="2"/>
  <c r="EJ45" i="2"/>
  <c r="AR45" i="2"/>
  <c r="EJ191" i="2"/>
  <c r="AR191" i="2"/>
  <c r="EI115" i="2"/>
  <c r="AN115" i="2"/>
  <c r="EJ5" i="2"/>
  <c r="AR5" i="2"/>
  <c r="EK160" i="2"/>
  <c r="AV160" i="2"/>
  <c r="EI126" i="2"/>
  <c r="AN126" i="2"/>
  <c r="AR176" i="2"/>
  <c r="EJ176" i="2"/>
  <c r="EI84" i="2"/>
  <c r="AN84" i="2"/>
  <c r="EJ12" i="2"/>
  <c r="AR12" i="2"/>
  <c r="AR179" i="2"/>
  <c r="EJ179" i="2"/>
  <c r="EK119" i="2"/>
  <c r="AV119" i="2"/>
  <c r="EI17" i="2"/>
  <c r="AN17" i="2"/>
  <c r="EJ57" i="2"/>
  <c r="AR57" i="2"/>
  <c r="EI42" i="2"/>
  <c r="AN42" i="2"/>
  <c r="EI23" i="2"/>
  <c r="AN23" i="2"/>
  <c r="EI146" i="2"/>
  <c r="AN146" i="2"/>
  <c r="AR197" i="2"/>
  <c r="EJ197" i="2"/>
  <c r="EJ38" i="2"/>
  <c r="AR38" i="2"/>
  <c r="AN120" i="2"/>
  <c r="EI120" i="2"/>
  <c r="EI194" i="2"/>
  <c r="AN194" i="2"/>
  <c r="EI169" i="2"/>
  <c r="AN169" i="2"/>
  <c r="EI128" i="2"/>
  <c r="AN128" i="2"/>
  <c r="EI144" i="2"/>
  <c r="AN144" i="2"/>
  <c r="EI60" i="2"/>
  <c r="AN60" i="2"/>
  <c r="AN198" i="2"/>
  <c r="EI198" i="2"/>
  <c r="EJ195" i="2"/>
  <c r="AR195" i="2"/>
  <c r="EI136" i="2"/>
  <c r="AN136" i="2"/>
  <c r="AV121" i="2"/>
  <c r="EK121" i="2"/>
  <c r="AZ141" i="2"/>
  <c r="EL141" i="2"/>
  <c r="AR122" i="2"/>
  <c r="EJ122" i="2"/>
  <c r="EJ156" i="2"/>
  <c r="AR156" i="2"/>
  <c r="EI32" i="2"/>
  <c r="AN32" i="2"/>
  <c r="AR188" i="2"/>
  <c r="EJ188" i="2"/>
  <c r="EJ118" i="2"/>
  <c r="AR118" i="2"/>
  <c r="AR139" i="2"/>
  <c r="EJ139" i="2"/>
  <c r="EJ49" i="2"/>
  <c r="AR49" i="2"/>
  <c r="EK94" i="2"/>
  <c r="AV94" i="2"/>
  <c r="EI111" i="2"/>
  <c r="AN111" i="2"/>
  <c r="EJ168" i="2"/>
  <c r="AR168" i="2"/>
  <c r="EJ87" i="2"/>
  <c r="AR87" i="2"/>
  <c r="AN181" i="2"/>
  <c r="EI181" i="2"/>
  <c r="EI129" i="2"/>
  <c r="AN129" i="2"/>
  <c r="EJ183" i="2"/>
  <c r="AR183" i="2"/>
  <c r="EI3" i="2"/>
  <c r="AN3" i="2"/>
  <c r="EJ135" i="2"/>
  <c r="AR135" i="2"/>
  <c r="AR54" i="2"/>
  <c r="EJ54" i="2"/>
  <c r="EI15" i="2"/>
  <c r="AN15" i="2"/>
  <c r="EI91" i="2"/>
  <c r="AN91" i="2"/>
  <c r="EJ85" i="2"/>
  <c r="AR85" i="2"/>
  <c r="EI11" i="2"/>
  <c r="AN11" i="2"/>
  <c r="EJ77" i="2"/>
  <c r="AR77" i="2"/>
  <c r="EI174" i="2"/>
  <c r="AN174" i="2"/>
  <c r="EJ74" i="2"/>
  <c r="AR74" i="2"/>
  <c r="EI190" i="2"/>
  <c r="AN190" i="2"/>
  <c r="EI25" i="2"/>
  <c r="AN25" i="2"/>
  <c r="EK20" i="2"/>
  <c r="AV20" i="2"/>
  <c r="EK100" i="2"/>
  <c r="AV100" i="2"/>
  <c r="EI41" i="2"/>
  <c r="AN41" i="2"/>
  <c r="EI83" i="2"/>
  <c r="AN83" i="2"/>
  <c r="EI113" i="2"/>
  <c r="AN113" i="2"/>
  <c r="EJ170" i="2"/>
  <c r="AR170" i="2"/>
  <c r="EJ78" i="2"/>
  <c r="AR78" i="2"/>
  <c r="EJ61" i="2"/>
  <c r="AR61" i="2"/>
  <c r="EI107" i="2"/>
  <c r="AN107" i="2"/>
  <c r="EK116" i="2"/>
  <c r="AV116" i="2"/>
  <c r="EJ26" i="2"/>
  <c r="AR26" i="2"/>
  <c r="EI35" i="2"/>
  <c r="AN35" i="2"/>
  <c r="AR69" i="2"/>
  <c r="EJ69" i="2"/>
  <c r="AV145" i="2"/>
  <c r="EK145" i="2"/>
  <c r="AV90" i="2"/>
  <c r="EK90" i="2"/>
  <c r="EI47" i="2"/>
  <c r="AN47" i="2"/>
  <c r="EI46" i="2"/>
  <c r="AN46" i="2"/>
  <c r="AR51" i="2"/>
  <c r="EJ51" i="2"/>
  <c r="EI18" i="2"/>
  <c r="AN18" i="2"/>
  <c r="EJ88" i="2"/>
  <c r="AR88" i="2"/>
  <c r="EI71" i="2"/>
  <c r="AN71" i="2"/>
  <c r="EJ159" i="2"/>
  <c r="AR159" i="2"/>
  <c r="EI22" i="2"/>
  <c r="AN22" i="2"/>
  <c r="AN201" i="2"/>
  <c r="EI201" i="2"/>
  <c r="EI142" i="2"/>
  <c r="AN142" i="2"/>
  <c r="AN56" i="2"/>
  <c r="EI56" i="2"/>
  <c r="EI109" i="2"/>
  <c r="AN109" i="2"/>
  <c r="AJ31" i="2"/>
  <c r="EH31" i="2"/>
  <c r="EJ158" i="2"/>
  <c r="AR158" i="2"/>
  <c r="EJ125" i="2"/>
  <c r="AR125" i="2"/>
  <c r="EK67" i="2"/>
  <c r="AV67" i="2"/>
  <c r="AR172" i="2"/>
  <c r="EJ172" i="2"/>
  <c r="EJ96" i="2"/>
  <c r="AR96" i="2"/>
  <c r="EJ36" i="2"/>
  <c r="AR36" i="2"/>
  <c r="EI127" i="2"/>
  <c r="AN127" i="2"/>
  <c r="EI134" i="2"/>
  <c r="AN134" i="2"/>
  <c r="AN164" i="2"/>
  <c r="EI164" i="2"/>
  <c r="EI117" i="2"/>
  <c r="AN117" i="2"/>
  <c r="AN185" i="2"/>
  <c r="EI185" i="2"/>
  <c r="EI133" i="2"/>
  <c r="AN133" i="2"/>
  <c r="AN7" i="2"/>
  <c r="EI7" i="2"/>
  <c r="EI131" i="2"/>
  <c r="AN131" i="2"/>
  <c r="AR150" i="2"/>
  <c r="EJ150" i="2"/>
  <c r="EI16" i="2"/>
  <c r="AN16" i="2"/>
  <c r="EJ92" i="2"/>
  <c r="AR92" i="2"/>
  <c r="EJ166" i="2"/>
  <c r="AR166" i="2"/>
  <c r="AR28" i="2"/>
  <c r="EJ28" i="2"/>
  <c r="AV151" i="2"/>
  <c r="EK151" i="2"/>
  <c r="EJ34" i="2"/>
  <c r="AR34" i="2"/>
  <c r="EI184" i="2"/>
  <c r="AN184" i="2"/>
  <c r="EI202" i="2"/>
  <c r="AN202" i="2"/>
  <c r="EK192" i="2"/>
  <c r="AV192" i="2"/>
  <c r="EI52" i="2"/>
  <c r="AN52" i="2"/>
  <c r="EK63" i="2"/>
  <c r="AV63" i="2"/>
  <c r="AN137" i="2"/>
  <c r="EI137" i="2"/>
  <c r="AR58" i="2"/>
  <c r="EJ58" i="2"/>
  <c r="AN64" i="2"/>
  <c r="EI64" i="2"/>
  <c r="AR50" i="2"/>
  <c r="EJ50" i="2"/>
  <c r="EI140" i="2"/>
  <c r="AN140" i="2"/>
  <c r="EI152" i="2"/>
  <c r="AN152" i="2"/>
  <c r="AN68" i="2"/>
  <c r="EI68" i="2"/>
  <c r="EJ101" i="2"/>
  <c r="AR101" i="2"/>
  <c r="EI80" i="2"/>
  <c r="AN80" i="2"/>
  <c r="AR155" i="2"/>
  <c r="EJ155" i="2"/>
  <c r="EI86" i="2"/>
  <c r="AN86" i="2"/>
  <c r="EI29" i="2"/>
  <c r="AN29" i="2"/>
  <c r="EJ53" i="2"/>
  <c r="AR53" i="2"/>
  <c r="EJ97" i="2"/>
  <c r="AR97" i="2"/>
  <c r="EK114" i="2"/>
  <c r="AV114" i="2"/>
  <c r="EJ147" i="2"/>
  <c r="AR147" i="2"/>
  <c r="EI105" i="2"/>
  <c r="AN105" i="2"/>
  <c r="EI24" i="2"/>
  <c r="AN24" i="2"/>
  <c r="EJ130" i="2"/>
  <c r="AR130" i="2"/>
  <c r="EI39" i="2"/>
  <c r="AN39" i="2"/>
  <c r="AR62" i="2"/>
  <c r="EJ62" i="2"/>
  <c r="EI76" i="2"/>
  <c r="AN76" i="2"/>
  <c r="EI99" i="2"/>
  <c r="AN99" i="2"/>
  <c r="EJ82" i="2"/>
  <c r="AR82" i="2"/>
  <c r="AN95" i="2"/>
  <c r="EI95" i="2"/>
  <c r="EJ81" i="2"/>
  <c r="AR81" i="2"/>
  <c r="AN161" i="2"/>
  <c r="EI161" i="2"/>
  <c r="EJ167" i="3"/>
  <c r="EJ185" i="3"/>
  <c r="EK178" i="3"/>
  <c r="EJ128" i="3"/>
  <c r="EJ164" i="3"/>
  <c r="EK171" i="3"/>
  <c r="EJ181" i="3"/>
  <c r="EJ166" i="3"/>
  <c r="EJ202" i="3"/>
  <c r="EJ174" i="3"/>
  <c r="EJ175" i="3"/>
  <c r="EK125" i="3"/>
  <c r="EJ183" i="3"/>
  <c r="EK177" i="3"/>
  <c r="EJ172" i="3"/>
  <c r="EK147" i="3"/>
  <c r="EK141" i="3"/>
  <c r="EL179" i="3"/>
  <c r="EK150" i="3"/>
  <c r="EK140" i="3"/>
  <c r="EL186" i="3"/>
  <c r="EK151" i="3"/>
  <c r="EK154" i="3"/>
  <c r="EK146" i="3"/>
  <c r="EL184" i="3"/>
  <c r="EK130" i="3"/>
  <c r="EL176" i="3"/>
  <c r="EL182" i="3"/>
  <c r="EL124" i="3"/>
  <c r="EK153" i="3"/>
  <c r="EJ121" i="3"/>
  <c r="EJ126" i="3"/>
  <c r="EK201" i="3"/>
  <c r="EK133" i="3"/>
  <c r="EK149" i="3"/>
  <c r="EL187" i="3"/>
  <c r="EK143" i="3"/>
  <c r="EK139" i="3"/>
  <c r="EL180" i="3"/>
  <c r="EL160" i="3"/>
  <c r="EH153" i="2"/>
  <c r="AJ153" i="2"/>
  <c r="EI123" i="3"/>
  <c r="EJ154" i="2"/>
  <c r="AR154" i="2"/>
  <c r="AV70" i="2"/>
  <c r="EK70" i="2"/>
  <c r="EH72" i="2"/>
  <c r="AJ72" i="2"/>
  <c r="EH123" i="2"/>
  <c r="AJ123" i="2"/>
  <c r="AJ165" i="2"/>
  <c r="EH165" i="2"/>
  <c r="EH10" i="2"/>
  <c r="AJ10" i="2"/>
  <c r="AJ44" i="2"/>
  <c r="EH44" i="2"/>
  <c r="EL104" i="2"/>
  <c r="AZ104" i="2"/>
  <c r="CN124" i="21" l="1"/>
  <c r="CR124" i="21" s="1"/>
  <c r="CV124" i="21" s="1"/>
  <c r="CZ124" i="21" s="1"/>
  <c r="DD124" i="21" s="1"/>
  <c r="DH124" i="21" s="1"/>
  <c r="DL124" i="21" s="1"/>
  <c r="DP124" i="21" s="1"/>
  <c r="DT124" i="21" s="1"/>
  <c r="EW124" i="21"/>
  <c r="CJ69" i="21"/>
  <c r="EV69" i="21"/>
  <c r="CN9" i="21"/>
  <c r="CR9" i="21" s="1"/>
  <c r="CV9" i="21" s="1"/>
  <c r="CZ9" i="21" s="1"/>
  <c r="DD9" i="21" s="1"/>
  <c r="DH9" i="21" s="1"/>
  <c r="DL9" i="21" s="1"/>
  <c r="DP9" i="21" s="1"/>
  <c r="DT9" i="21" s="1"/>
  <c r="EW9" i="21"/>
  <c r="CN31" i="21"/>
  <c r="CR31" i="21" s="1"/>
  <c r="CV31" i="21" s="1"/>
  <c r="CZ31" i="21" s="1"/>
  <c r="DD31" i="21" s="1"/>
  <c r="DH31" i="21" s="1"/>
  <c r="DL31" i="21" s="1"/>
  <c r="DP31" i="21" s="1"/>
  <c r="DT31" i="21" s="1"/>
  <c r="EW31" i="21"/>
  <c r="CN33" i="21"/>
  <c r="CR33" i="21" s="1"/>
  <c r="CV33" i="21" s="1"/>
  <c r="CZ33" i="21" s="1"/>
  <c r="DD33" i="21" s="1"/>
  <c r="DH33" i="21" s="1"/>
  <c r="DL33" i="21" s="1"/>
  <c r="DP33" i="21" s="1"/>
  <c r="DT33" i="21" s="1"/>
  <c r="EW33" i="21"/>
  <c r="DX147" i="21"/>
  <c r="FG147" i="21" s="1"/>
  <c r="FF147" i="21"/>
  <c r="CJ68" i="21"/>
  <c r="EV68" i="21"/>
  <c r="CN187" i="21"/>
  <c r="CR187" i="21" s="1"/>
  <c r="CV187" i="21" s="1"/>
  <c r="CZ187" i="21" s="1"/>
  <c r="DD187" i="21" s="1"/>
  <c r="DH187" i="21" s="1"/>
  <c r="DL187" i="21" s="1"/>
  <c r="DP187" i="21" s="1"/>
  <c r="DT187" i="21" s="1"/>
  <c r="EW187" i="21"/>
  <c r="CN154" i="21"/>
  <c r="CR154" i="21" s="1"/>
  <c r="CV154" i="21" s="1"/>
  <c r="CZ154" i="21" s="1"/>
  <c r="DD154" i="21" s="1"/>
  <c r="DH154" i="21" s="1"/>
  <c r="DL154" i="21" s="1"/>
  <c r="DP154" i="21" s="1"/>
  <c r="DT154" i="21" s="1"/>
  <c r="EW154" i="21"/>
  <c r="CN91" i="21"/>
  <c r="CR91" i="21" s="1"/>
  <c r="CV91" i="21" s="1"/>
  <c r="CZ91" i="21" s="1"/>
  <c r="DD91" i="21" s="1"/>
  <c r="DH91" i="21" s="1"/>
  <c r="DL91" i="21" s="1"/>
  <c r="DP91" i="21" s="1"/>
  <c r="DT91" i="21" s="1"/>
  <c r="EW91" i="21"/>
  <c r="DX140" i="21"/>
  <c r="FG140" i="21" s="1"/>
  <c r="FF140" i="21"/>
  <c r="CN106" i="21"/>
  <c r="CR106" i="21" s="1"/>
  <c r="CV106" i="21" s="1"/>
  <c r="CZ106" i="21" s="1"/>
  <c r="DD106" i="21" s="1"/>
  <c r="DH106" i="21" s="1"/>
  <c r="DL106" i="21" s="1"/>
  <c r="DP106" i="21" s="1"/>
  <c r="DT106" i="21" s="1"/>
  <c r="EW106" i="21"/>
  <c r="CN20" i="21"/>
  <c r="CR20" i="21" s="1"/>
  <c r="CV20" i="21" s="1"/>
  <c r="CZ20" i="21" s="1"/>
  <c r="DD20" i="21" s="1"/>
  <c r="DH20" i="21" s="1"/>
  <c r="DL20" i="21" s="1"/>
  <c r="DP20" i="21" s="1"/>
  <c r="DT20" i="21" s="1"/>
  <c r="EW20" i="21"/>
  <c r="CN118" i="21"/>
  <c r="CR118" i="21" s="1"/>
  <c r="CV118" i="21" s="1"/>
  <c r="CZ118" i="21" s="1"/>
  <c r="DD118" i="21" s="1"/>
  <c r="DH118" i="21" s="1"/>
  <c r="DL118" i="21" s="1"/>
  <c r="DP118" i="21" s="1"/>
  <c r="DT118" i="21" s="1"/>
  <c r="EW118" i="21"/>
  <c r="CJ72" i="21"/>
  <c r="EV72" i="21"/>
  <c r="CN133" i="21"/>
  <c r="CR133" i="21" s="1"/>
  <c r="CV133" i="21" s="1"/>
  <c r="CZ133" i="21" s="1"/>
  <c r="DD133" i="21" s="1"/>
  <c r="DH133" i="21" s="1"/>
  <c r="DL133" i="21" s="1"/>
  <c r="DP133" i="21" s="1"/>
  <c r="DT133" i="21" s="1"/>
  <c r="EW133" i="21"/>
  <c r="CN53" i="21"/>
  <c r="CR53" i="21" s="1"/>
  <c r="CV53" i="21" s="1"/>
  <c r="CZ53" i="21" s="1"/>
  <c r="DD53" i="21" s="1"/>
  <c r="DH53" i="21" s="1"/>
  <c r="DL53" i="21" s="1"/>
  <c r="DP53" i="21" s="1"/>
  <c r="DT53" i="21" s="1"/>
  <c r="EW53" i="21"/>
  <c r="DX150" i="21"/>
  <c r="FG150" i="21" s="1"/>
  <c r="FF150" i="21"/>
  <c r="CN174" i="21"/>
  <c r="CR174" i="21" s="1"/>
  <c r="CV174" i="21" s="1"/>
  <c r="CZ174" i="21" s="1"/>
  <c r="DD174" i="21" s="1"/>
  <c r="DH174" i="21" s="1"/>
  <c r="DL174" i="21" s="1"/>
  <c r="DP174" i="21" s="1"/>
  <c r="DT174" i="21" s="1"/>
  <c r="EW174" i="21"/>
  <c r="CN100" i="21"/>
  <c r="CR100" i="21" s="1"/>
  <c r="CV100" i="21" s="1"/>
  <c r="CZ100" i="21" s="1"/>
  <c r="DD100" i="21" s="1"/>
  <c r="DH100" i="21" s="1"/>
  <c r="DL100" i="21" s="1"/>
  <c r="DP100" i="21" s="1"/>
  <c r="DT100" i="21" s="1"/>
  <c r="EW100" i="21"/>
  <c r="CN51" i="21"/>
  <c r="CR51" i="21" s="1"/>
  <c r="CV51" i="21" s="1"/>
  <c r="CZ51" i="21" s="1"/>
  <c r="DD51" i="21" s="1"/>
  <c r="DH51" i="21" s="1"/>
  <c r="DL51" i="21" s="1"/>
  <c r="DP51" i="21" s="1"/>
  <c r="DT51" i="21" s="1"/>
  <c r="EW51" i="21"/>
  <c r="CN19" i="21"/>
  <c r="CR19" i="21" s="1"/>
  <c r="CV19" i="21" s="1"/>
  <c r="CZ19" i="21" s="1"/>
  <c r="DD19" i="21" s="1"/>
  <c r="DH19" i="21" s="1"/>
  <c r="DL19" i="21" s="1"/>
  <c r="DP19" i="21" s="1"/>
  <c r="DT19" i="21" s="1"/>
  <c r="EW19" i="21"/>
  <c r="CN61" i="21"/>
  <c r="CR61" i="21" s="1"/>
  <c r="CV61" i="21" s="1"/>
  <c r="CZ61" i="21" s="1"/>
  <c r="DD61" i="21" s="1"/>
  <c r="DH61" i="21" s="1"/>
  <c r="DL61" i="21" s="1"/>
  <c r="DP61" i="21" s="1"/>
  <c r="DT61" i="21" s="1"/>
  <c r="EW61" i="21"/>
  <c r="CF153" i="21"/>
  <c r="EU153" i="21"/>
  <c r="CN13" i="21"/>
  <c r="CR13" i="21" s="1"/>
  <c r="CV13" i="21" s="1"/>
  <c r="CZ13" i="21" s="1"/>
  <c r="DD13" i="21" s="1"/>
  <c r="DH13" i="21" s="1"/>
  <c r="DL13" i="21" s="1"/>
  <c r="DP13" i="21" s="1"/>
  <c r="DT13" i="21" s="1"/>
  <c r="EW13" i="21"/>
  <c r="CN148" i="21"/>
  <c r="CR148" i="21" s="1"/>
  <c r="CV148" i="21" s="1"/>
  <c r="CZ148" i="21" s="1"/>
  <c r="DD148" i="21" s="1"/>
  <c r="DH148" i="21" s="1"/>
  <c r="DL148" i="21" s="1"/>
  <c r="DP148" i="21" s="1"/>
  <c r="DT148" i="21" s="1"/>
  <c r="EW148" i="21"/>
  <c r="AE123" i="5"/>
  <c r="DD123" i="5"/>
  <c r="AE133" i="5"/>
  <c r="DD133" i="5"/>
  <c r="AE172" i="5"/>
  <c r="DD172" i="5"/>
  <c r="DD168" i="5"/>
  <c r="AE168" i="5"/>
  <c r="DD169" i="5"/>
  <c r="AE169" i="5"/>
  <c r="DD185" i="5"/>
  <c r="AE185" i="5"/>
  <c r="DD105" i="5"/>
  <c r="AE105" i="5"/>
  <c r="AE122" i="5"/>
  <c r="DD122" i="5"/>
  <c r="AE181" i="5"/>
  <c r="DD181" i="5"/>
  <c r="AE177" i="5"/>
  <c r="DD177" i="5"/>
  <c r="DD186" i="5"/>
  <c r="AE186" i="5"/>
  <c r="AE141" i="5"/>
  <c r="DD141" i="5"/>
  <c r="AE121" i="5"/>
  <c r="DD121" i="5"/>
  <c r="AE201" i="5"/>
  <c r="DD201" i="5"/>
  <c r="AE187" i="5"/>
  <c r="DD187" i="5"/>
  <c r="DD161" i="5"/>
  <c r="AE161" i="5"/>
  <c r="DD163" i="5"/>
  <c r="AE163" i="5"/>
  <c r="AE170" i="5"/>
  <c r="DD170" i="5"/>
  <c r="AE171" i="5"/>
  <c r="DD171" i="5"/>
  <c r="AE175" i="5"/>
  <c r="DD175" i="5"/>
  <c r="DD184" i="5"/>
  <c r="AE184" i="5"/>
  <c r="AE183" i="5"/>
  <c r="DD183" i="5"/>
  <c r="AE179" i="5"/>
  <c r="DD179" i="5"/>
  <c r="DD182" i="5"/>
  <c r="AE182" i="5"/>
  <c r="AE126" i="5"/>
  <c r="DD126" i="5"/>
  <c r="AE178" i="5"/>
  <c r="DD178" i="5"/>
  <c r="AE174" i="5"/>
  <c r="DD174" i="5"/>
  <c r="AE142" i="5"/>
  <c r="DD142" i="5"/>
  <c r="DD124" i="5"/>
  <c r="AE124" i="5"/>
  <c r="AE180" i="5"/>
  <c r="DD180" i="5"/>
  <c r="AE137" i="5"/>
  <c r="DD137" i="5"/>
  <c r="AE140" i="5"/>
  <c r="DD140" i="5"/>
  <c r="DD162" i="5"/>
  <c r="AE162" i="5"/>
  <c r="AE143" i="5"/>
  <c r="DD143" i="5"/>
  <c r="AE138" i="5"/>
  <c r="DD138" i="5"/>
  <c r="AE125" i="5"/>
  <c r="DD125" i="5"/>
  <c r="AE176" i="5"/>
  <c r="DD176" i="5"/>
  <c r="AE128" i="5"/>
  <c r="DD128" i="5"/>
  <c r="DB3" i="5"/>
  <c r="DB203" i="5" s="1"/>
  <c r="I67" i="19" s="1"/>
  <c r="Y3" i="5"/>
  <c r="EK129" i="3"/>
  <c r="EJ173" i="3"/>
  <c r="EL148" i="3"/>
  <c r="EJ144" i="3"/>
  <c r="EI144" i="3"/>
  <c r="EK134" i="3"/>
  <c r="EK152" i="3"/>
  <c r="EL135" i="3"/>
  <c r="EJ156" i="3"/>
  <c r="EJ131" i="3"/>
  <c r="EK157" i="3"/>
  <c r="EI157" i="3"/>
  <c r="EJ155" i="3"/>
  <c r="EI137" i="3"/>
  <c r="EI127" i="3"/>
  <c r="EJ159" i="3"/>
  <c r="EI145" i="3"/>
  <c r="EI158" i="3"/>
  <c r="EI136" i="3"/>
  <c r="EI168" i="3"/>
  <c r="EI162" i="3"/>
  <c r="EI161" i="3"/>
  <c r="EI170" i="3"/>
  <c r="EI122" i="3"/>
  <c r="EI163" i="3"/>
  <c r="EI142" i="3"/>
  <c r="EI138" i="3"/>
  <c r="EG193" i="2"/>
  <c r="AF193" i="2"/>
  <c r="EH103" i="2"/>
  <c r="AJ103" i="2"/>
  <c r="EH8" i="2"/>
  <c r="AJ8" i="2"/>
  <c r="EH13" i="2"/>
  <c r="AJ13" i="2"/>
  <c r="EH79" i="2"/>
  <c r="AJ79" i="2"/>
  <c r="EH187" i="2"/>
  <c r="AJ187" i="2"/>
  <c r="AF102" i="2"/>
  <c r="EG102" i="2"/>
  <c r="EH73" i="2"/>
  <c r="AJ73" i="2"/>
  <c r="EG132" i="2"/>
  <c r="AF132" i="2"/>
  <c r="EH4" i="2"/>
  <c r="AJ4" i="2"/>
  <c r="AF189" i="2"/>
  <c r="EG189" i="2"/>
  <c r="AF9" i="2"/>
  <c r="EG9" i="2"/>
  <c r="AJ6" i="2"/>
  <c r="EH6" i="2"/>
  <c r="AF43" i="2"/>
  <c r="EG43" i="2"/>
  <c r="EH30" i="2"/>
  <c r="AJ30" i="2"/>
  <c r="AF14" i="2"/>
  <c r="EG14" i="2"/>
  <c r="AJ19" i="2"/>
  <c r="EH19" i="2"/>
  <c r="EH132" i="3"/>
  <c r="EM155" i="21"/>
  <c r="EM120" i="21"/>
  <c r="EM54" i="21"/>
  <c r="EM141" i="21"/>
  <c r="EM56" i="21"/>
  <c r="AV3" i="21"/>
  <c r="AZ3" i="21" s="1"/>
  <c r="EM80" i="21"/>
  <c r="EM187" i="21"/>
  <c r="EM112" i="21"/>
  <c r="EM30" i="21"/>
  <c r="EM139" i="21"/>
  <c r="EM197" i="21"/>
  <c r="EM129" i="21"/>
  <c r="EL87" i="21"/>
  <c r="EM52" i="21"/>
  <c r="EN56" i="21"/>
  <c r="EN155" i="21"/>
  <c r="EM55" i="21"/>
  <c r="EM50" i="21"/>
  <c r="EM53" i="21"/>
  <c r="EN54" i="21"/>
  <c r="EL21" i="21"/>
  <c r="EL82" i="21"/>
  <c r="EL65" i="21"/>
  <c r="EL184" i="21"/>
  <c r="EL77" i="21"/>
  <c r="EL24" i="21"/>
  <c r="EL148" i="21"/>
  <c r="EL182" i="21"/>
  <c r="EL136" i="21"/>
  <c r="EL88" i="21"/>
  <c r="EL92" i="21"/>
  <c r="EL126" i="21"/>
  <c r="EL69" i="21"/>
  <c r="EL38" i="21"/>
  <c r="EL39" i="21"/>
  <c r="EL169" i="21"/>
  <c r="EL151" i="21"/>
  <c r="EL98" i="21"/>
  <c r="EL96" i="21"/>
  <c r="EL180" i="21"/>
  <c r="EL59" i="21"/>
  <c r="EL99" i="21"/>
  <c r="EL106" i="21"/>
  <c r="EL201" i="21"/>
  <c r="EL193" i="21"/>
  <c r="EL194" i="21"/>
  <c r="EL134" i="21"/>
  <c r="EL83" i="21"/>
  <c r="EL158" i="21"/>
  <c r="EL185" i="21"/>
  <c r="EL131" i="21"/>
  <c r="EL86" i="21"/>
  <c r="EL18" i="21"/>
  <c r="EL71" i="21"/>
  <c r="EL97" i="21"/>
  <c r="EL157" i="21"/>
  <c r="EL68" i="21"/>
  <c r="EL143" i="21"/>
  <c r="EL27" i="21"/>
  <c r="EL190" i="21"/>
  <c r="EL75" i="21"/>
  <c r="EL36" i="21"/>
  <c r="EL102" i="21"/>
  <c r="EL200" i="21"/>
  <c r="EL66" i="21"/>
  <c r="EL34" i="21"/>
  <c r="EL177" i="21"/>
  <c r="EL84" i="21"/>
  <c r="EL85" i="21"/>
  <c r="EL31" i="21"/>
  <c r="EL40" i="21"/>
  <c r="EL76" i="21"/>
  <c r="EL81" i="21"/>
  <c r="EL176" i="21"/>
  <c r="EL64" i="21"/>
  <c r="EL89" i="21"/>
  <c r="EL15" i="21"/>
  <c r="EL183" i="21"/>
  <c r="EL17" i="21"/>
  <c r="EL61" i="21"/>
  <c r="EL79" i="21"/>
  <c r="EL25" i="21"/>
  <c r="EL90" i="21"/>
  <c r="EL13" i="21"/>
  <c r="EL101" i="21"/>
  <c r="EL9" i="21"/>
  <c r="EL67" i="21"/>
  <c r="EL162" i="21"/>
  <c r="EL168" i="21"/>
  <c r="EL167" i="21"/>
  <c r="EL95" i="21"/>
  <c r="EL108" i="21"/>
  <c r="EL192" i="21"/>
  <c r="EL94" i="21"/>
  <c r="EL26" i="21"/>
  <c r="EL14" i="21"/>
  <c r="EL91" i="21"/>
  <c r="EL63" i="21"/>
  <c r="EL93" i="21"/>
  <c r="EL19" i="21"/>
  <c r="EL32" i="21"/>
  <c r="EL175" i="21"/>
  <c r="EL100" i="21"/>
  <c r="EL35" i="21"/>
  <c r="EL23" i="21"/>
  <c r="EL103" i="21"/>
  <c r="EL198" i="21"/>
  <c r="EL160" i="21"/>
  <c r="EL159" i="21"/>
  <c r="EL20" i="21"/>
  <c r="EL12" i="21"/>
  <c r="EL144" i="21"/>
  <c r="EL78" i="21"/>
  <c r="EL72" i="21"/>
  <c r="EL199" i="21"/>
  <c r="EL16" i="21"/>
  <c r="EL62" i="21"/>
  <c r="EL186" i="21"/>
  <c r="EI7" i="21"/>
  <c r="EJ175" i="2"/>
  <c r="AV112" i="2"/>
  <c r="EL112" i="2" s="1"/>
  <c r="EJ59" i="2"/>
  <c r="AR59" i="2"/>
  <c r="AR167" i="2"/>
  <c r="AV167" i="2" s="1"/>
  <c r="EJ55" i="2"/>
  <c r="AR55" i="2"/>
  <c r="AR148" i="2"/>
  <c r="EJ148" i="2"/>
  <c r="EJ40" i="2"/>
  <c r="AR40" i="2"/>
  <c r="EJ108" i="2"/>
  <c r="AR108" i="2"/>
  <c r="EJ110" i="2"/>
  <c r="AR110" i="2"/>
  <c r="EK138" i="2"/>
  <c r="AV138" i="2"/>
  <c r="EJ37" i="2"/>
  <c r="AR37" i="2"/>
  <c r="AN33" i="2"/>
  <c r="EI33" i="2"/>
  <c r="EJ177" i="2"/>
  <c r="AR177" i="2"/>
  <c r="AR200" i="2"/>
  <c r="EJ200" i="2"/>
  <c r="EJ98" i="2"/>
  <c r="AR98" i="2"/>
  <c r="EJ163" i="2"/>
  <c r="AR163" i="2"/>
  <c r="EJ180" i="2"/>
  <c r="AR180" i="2"/>
  <c r="AR124" i="2"/>
  <c r="EJ124" i="2"/>
  <c r="EJ21" i="2"/>
  <c r="AR21" i="2"/>
  <c r="EJ93" i="2"/>
  <c r="AR93" i="2"/>
  <c r="AR89" i="2"/>
  <c r="EJ89" i="2"/>
  <c r="AV196" i="2"/>
  <c r="EK196" i="2"/>
  <c r="EJ75" i="2"/>
  <c r="AR75" i="2"/>
  <c r="EK173" i="2"/>
  <c r="AV173" i="2"/>
  <c r="EK171" i="2"/>
  <c r="AV171" i="2"/>
  <c r="EJ106" i="2"/>
  <c r="AR106" i="2"/>
  <c r="EJ86" i="2"/>
  <c r="AR86" i="2"/>
  <c r="EJ181" i="2"/>
  <c r="AR181" i="2"/>
  <c r="EJ76" i="2"/>
  <c r="AR76" i="2"/>
  <c r="EL114" i="2"/>
  <c r="AZ114" i="2"/>
  <c r="EJ29" i="2"/>
  <c r="AR29" i="2"/>
  <c r="EK101" i="2"/>
  <c r="AV101" i="2"/>
  <c r="EJ140" i="2"/>
  <c r="AR140" i="2"/>
  <c r="EJ52" i="2"/>
  <c r="AR52" i="2"/>
  <c r="EJ184" i="2"/>
  <c r="AR184" i="2"/>
  <c r="EJ16" i="2"/>
  <c r="AR16" i="2"/>
  <c r="EJ133" i="2"/>
  <c r="AR133" i="2"/>
  <c r="EJ134" i="2"/>
  <c r="AR134" i="2"/>
  <c r="EJ142" i="2"/>
  <c r="AR142" i="2"/>
  <c r="EJ71" i="2"/>
  <c r="AR71" i="2"/>
  <c r="EJ46" i="2"/>
  <c r="AR46" i="2"/>
  <c r="EJ107" i="2"/>
  <c r="AR107" i="2"/>
  <c r="EK170" i="2"/>
  <c r="AV170" i="2"/>
  <c r="EJ41" i="2"/>
  <c r="AR41" i="2"/>
  <c r="EJ190" i="2"/>
  <c r="AR190" i="2"/>
  <c r="EK77" i="2"/>
  <c r="AV77" i="2"/>
  <c r="EJ15" i="2"/>
  <c r="AR15" i="2"/>
  <c r="EJ3" i="2"/>
  <c r="AR3" i="2"/>
  <c r="EJ111" i="2"/>
  <c r="AR111" i="2"/>
  <c r="EK156" i="2"/>
  <c r="AV156" i="2"/>
  <c r="EJ60" i="2"/>
  <c r="AR60" i="2"/>
  <c r="EJ169" i="2"/>
  <c r="AR169" i="2"/>
  <c r="EJ146" i="2"/>
  <c r="AR146" i="2"/>
  <c r="EJ17" i="2"/>
  <c r="AR17" i="2"/>
  <c r="EK191" i="2"/>
  <c r="AV191" i="2"/>
  <c r="EK65" i="2"/>
  <c r="AV65" i="2"/>
  <c r="EL27" i="2"/>
  <c r="AZ27" i="2"/>
  <c r="EJ199" i="2"/>
  <c r="AR199" i="2"/>
  <c r="EJ95" i="2"/>
  <c r="AR95" i="2"/>
  <c r="EJ64" i="2"/>
  <c r="AR64" i="2"/>
  <c r="EK28" i="2"/>
  <c r="AV28" i="2"/>
  <c r="AV172" i="2"/>
  <c r="EK172" i="2"/>
  <c r="AN31" i="2"/>
  <c r="EI31" i="2"/>
  <c r="EK69" i="2"/>
  <c r="AV69" i="2"/>
  <c r="EK139" i="2"/>
  <c r="AV139" i="2"/>
  <c r="AZ121" i="2"/>
  <c r="EL121" i="2"/>
  <c r="EJ24" i="2"/>
  <c r="AR24" i="2"/>
  <c r="AZ192" i="2"/>
  <c r="EL192" i="2"/>
  <c r="EK34" i="2"/>
  <c r="AV34" i="2"/>
  <c r="EJ127" i="2"/>
  <c r="AR127" i="2"/>
  <c r="EL67" i="2"/>
  <c r="AZ67" i="2"/>
  <c r="EJ109" i="2"/>
  <c r="AR109" i="2"/>
  <c r="EK88" i="2"/>
  <c r="AV88" i="2"/>
  <c r="EJ47" i="2"/>
  <c r="AR47" i="2"/>
  <c r="EJ35" i="2"/>
  <c r="AR35" i="2"/>
  <c r="EJ113" i="2"/>
  <c r="AR113" i="2"/>
  <c r="EL100" i="2"/>
  <c r="AZ100" i="2"/>
  <c r="EK74" i="2"/>
  <c r="AV74" i="2"/>
  <c r="EJ11" i="2"/>
  <c r="AR11" i="2"/>
  <c r="EK183" i="2"/>
  <c r="AV183" i="2"/>
  <c r="EL94" i="2"/>
  <c r="AZ94" i="2"/>
  <c r="EK118" i="2"/>
  <c r="AV118" i="2"/>
  <c r="EJ136" i="2"/>
  <c r="AR136" i="2"/>
  <c r="EJ144" i="2"/>
  <c r="AR144" i="2"/>
  <c r="EJ194" i="2"/>
  <c r="AR194" i="2"/>
  <c r="EJ23" i="2"/>
  <c r="AR23" i="2"/>
  <c r="EL119" i="2"/>
  <c r="AZ119" i="2"/>
  <c r="EJ84" i="2"/>
  <c r="AR84" i="2"/>
  <c r="EL160" i="2"/>
  <c r="AZ160" i="2"/>
  <c r="EK5" i="2"/>
  <c r="AV5" i="2"/>
  <c r="EK45" i="2"/>
  <c r="AV45" i="2"/>
  <c r="EJ178" i="2"/>
  <c r="AR178" i="2"/>
  <c r="EJ161" i="2"/>
  <c r="AR161" i="2"/>
  <c r="EK62" i="2"/>
  <c r="AV62" i="2"/>
  <c r="EJ68" i="2"/>
  <c r="AR68" i="2"/>
  <c r="EK58" i="2"/>
  <c r="AV58" i="2"/>
  <c r="AR185" i="2"/>
  <c r="EJ185" i="2"/>
  <c r="EJ201" i="2"/>
  <c r="AR201" i="2"/>
  <c r="EK54" i="2"/>
  <c r="AV54" i="2"/>
  <c r="AV122" i="2"/>
  <c r="EK122" i="2"/>
  <c r="EJ186" i="2"/>
  <c r="AR186" i="2"/>
  <c r="EK150" i="2"/>
  <c r="AV150" i="2"/>
  <c r="EK82" i="2"/>
  <c r="AV82" i="2"/>
  <c r="EJ39" i="2"/>
  <c r="AR39" i="2"/>
  <c r="EJ105" i="2"/>
  <c r="AR105" i="2"/>
  <c r="EK97" i="2"/>
  <c r="AV97" i="2"/>
  <c r="EK166" i="2"/>
  <c r="AV166" i="2"/>
  <c r="EJ131" i="2"/>
  <c r="AR131" i="2"/>
  <c r="EJ117" i="2"/>
  <c r="AR117" i="2"/>
  <c r="EK36" i="2"/>
  <c r="AV36" i="2"/>
  <c r="AV125" i="2"/>
  <c r="EK125" i="2"/>
  <c r="EJ22" i="2"/>
  <c r="AR22" i="2"/>
  <c r="EJ18" i="2"/>
  <c r="AR18" i="2"/>
  <c r="EK26" i="2"/>
  <c r="AV26" i="2"/>
  <c r="EK61" i="2"/>
  <c r="AV61" i="2"/>
  <c r="EL20" i="2"/>
  <c r="AZ20" i="2"/>
  <c r="EJ174" i="2"/>
  <c r="AR174" i="2"/>
  <c r="EK85" i="2"/>
  <c r="AV85" i="2"/>
  <c r="EJ129" i="2"/>
  <c r="AR129" i="2"/>
  <c r="EK87" i="2"/>
  <c r="AV87" i="2"/>
  <c r="EK49" i="2"/>
  <c r="AV49" i="2"/>
  <c r="EK195" i="2"/>
  <c r="AV195" i="2"/>
  <c r="EK38" i="2"/>
  <c r="AV38" i="2"/>
  <c r="EJ42" i="2"/>
  <c r="AR42" i="2"/>
  <c r="EJ115" i="2"/>
  <c r="AR115" i="2"/>
  <c r="EJ182" i="2"/>
  <c r="AR182" i="2"/>
  <c r="EK162" i="2"/>
  <c r="AV162" i="2"/>
  <c r="EL157" i="2"/>
  <c r="AZ157" i="2"/>
  <c r="EK155" i="2"/>
  <c r="AV155" i="2"/>
  <c r="AR137" i="2"/>
  <c r="EJ137" i="2"/>
  <c r="AZ90" i="2"/>
  <c r="EL90" i="2"/>
  <c r="EK188" i="2"/>
  <c r="AV188" i="2"/>
  <c r="BD141" i="2"/>
  <c r="EM141" i="2"/>
  <c r="EK179" i="2"/>
  <c r="AV179" i="2"/>
  <c r="EK176" i="2"/>
  <c r="AV176" i="2"/>
  <c r="EK81" i="2"/>
  <c r="AV81" i="2"/>
  <c r="EJ99" i="2"/>
  <c r="AR99" i="2"/>
  <c r="EK130" i="2"/>
  <c r="AV130" i="2"/>
  <c r="EK147" i="2"/>
  <c r="AV147" i="2"/>
  <c r="EK53" i="2"/>
  <c r="AV53" i="2"/>
  <c r="EJ80" i="2"/>
  <c r="AR80" i="2"/>
  <c r="EJ152" i="2"/>
  <c r="AR152" i="2"/>
  <c r="EL63" i="2"/>
  <c r="AZ63" i="2"/>
  <c r="EJ202" i="2"/>
  <c r="AR202" i="2"/>
  <c r="EK92" i="2"/>
  <c r="AV92" i="2"/>
  <c r="AV96" i="2"/>
  <c r="EK96" i="2"/>
  <c r="EK158" i="2"/>
  <c r="AV158" i="2"/>
  <c r="EK159" i="2"/>
  <c r="AV159" i="2"/>
  <c r="EL116" i="2"/>
  <c r="AZ116" i="2"/>
  <c r="EK78" i="2"/>
  <c r="AV78" i="2"/>
  <c r="EJ83" i="2"/>
  <c r="AR83" i="2"/>
  <c r="EJ25" i="2"/>
  <c r="AR25" i="2"/>
  <c r="EJ91" i="2"/>
  <c r="AR91" i="2"/>
  <c r="EK135" i="2"/>
  <c r="AV135" i="2"/>
  <c r="EK168" i="2"/>
  <c r="AV168" i="2"/>
  <c r="EJ32" i="2"/>
  <c r="AR32" i="2"/>
  <c r="EK175" i="2"/>
  <c r="AV175" i="2"/>
  <c r="EJ128" i="2"/>
  <c r="AR128" i="2"/>
  <c r="EK57" i="2"/>
  <c r="AV57" i="2"/>
  <c r="EK12" i="2"/>
  <c r="AV12" i="2"/>
  <c r="EJ126" i="2"/>
  <c r="AR126" i="2"/>
  <c r="EK50" i="2"/>
  <c r="AV50" i="2"/>
  <c r="EL151" i="2"/>
  <c r="AZ151" i="2"/>
  <c r="EJ7" i="2"/>
  <c r="AR7" i="2"/>
  <c r="EJ164" i="2"/>
  <c r="AR164" i="2"/>
  <c r="EJ56" i="2"/>
  <c r="AR56" i="2"/>
  <c r="AV51" i="2"/>
  <c r="EK51" i="2"/>
  <c r="EL145" i="2"/>
  <c r="AZ145" i="2"/>
  <c r="EJ198" i="2"/>
  <c r="AR198" i="2"/>
  <c r="EJ120" i="2"/>
  <c r="AR120" i="2"/>
  <c r="EK197" i="2"/>
  <c r="AV197" i="2"/>
  <c r="EK66" i="2"/>
  <c r="AV66" i="2"/>
  <c r="EK143" i="2"/>
  <c r="AV143" i="2"/>
  <c r="EK48" i="2"/>
  <c r="AV48" i="2"/>
  <c r="EJ149" i="2"/>
  <c r="AR149" i="2"/>
  <c r="EK185" i="3"/>
  <c r="EK167" i="3"/>
  <c r="EK202" i="3"/>
  <c r="EK183" i="3"/>
  <c r="EL125" i="3"/>
  <c r="EK128" i="3"/>
  <c r="EL177" i="3"/>
  <c r="EK174" i="3"/>
  <c r="EK166" i="3"/>
  <c r="EL171" i="3"/>
  <c r="EL178" i="3"/>
  <c r="EK164" i="3"/>
  <c r="EK175" i="3"/>
  <c r="EK172" i="3"/>
  <c r="EK181" i="3"/>
  <c r="EL201" i="3"/>
  <c r="EM179" i="3"/>
  <c r="EN179" i="3"/>
  <c r="EL152" i="3"/>
  <c r="EL133" i="3"/>
  <c r="EL150" i="3"/>
  <c r="EL141" i="3"/>
  <c r="EM180" i="3"/>
  <c r="EN180" i="3"/>
  <c r="EL129" i="3"/>
  <c r="EK121" i="3"/>
  <c r="EM182" i="3"/>
  <c r="EN182" i="3"/>
  <c r="EM176" i="3"/>
  <c r="EN176" i="3"/>
  <c r="EL139" i="3"/>
  <c r="EL153" i="3"/>
  <c r="EM124" i="3"/>
  <c r="EN124" i="3"/>
  <c r="EL130" i="3"/>
  <c r="EM160" i="3"/>
  <c r="EN160" i="3"/>
  <c r="EL143" i="3"/>
  <c r="EM187" i="3"/>
  <c r="EN187" i="3"/>
  <c r="EL154" i="3"/>
  <c r="EM184" i="3"/>
  <c r="EN184" i="3"/>
  <c r="EM186" i="3"/>
  <c r="EN186" i="3"/>
  <c r="EL149" i="3"/>
  <c r="EK126" i="3"/>
  <c r="EL146" i="3"/>
  <c r="EL151" i="3"/>
  <c r="EL140" i="3"/>
  <c r="EL147" i="3"/>
  <c r="EL134" i="3"/>
  <c r="EK154" i="2"/>
  <c r="AV154" i="2"/>
  <c r="AN44" i="2"/>
  <c r="EI44" i="2"/>
  <c r="EI165" i="2"/>
  <c r="AN165" i="2"/>
  <c r="EM104" i="2"/>
  <c r="BD104" i="2"/>
  <c r="EI10" i="2"/>
  <c r="AN10" i="2"/>
  <c r="EI123" i="2"/>
  <c r="AN123" i="2"/>
  <c r="EJ123" i="3"/>
  <c r="EI153" i="2"/>
  <c r="AN153" i="2"/>
  <c r="EI72" i="2"/>
  <c r="AN72" i="2"/>
  <c r="EL70" i="2"/>
  <c r="AZ70" i="2"/>
  <c r="CJ153" i="21" l="1"/>
  <c r="EV153" i="21"/>
  <c r="DX100" i="21"/>
  <c r="FG100" i="21" s="1"/>
  <c r="FF100" i="21"/>
  <c r="FF133" i="21"/>
  <c r="DX133" i="21"/>
  <c r="FG133" i="21" s="1"/>
  <c r="FF106" i="21"/>
  <c r="DX106" i="21"/>
  <c r="FG106" i="21" s="1"/>
  <c r="DX187" i="21"/>
  <c r="FG187" i="21" s="1"/>
  <c r="FF187" i="21"/>
  <c r="DX31" i="21"/>
  <c r="FG31" i="21" s="1"/>
  <c r="FF31" i="21"/>
  <c r="DX61" i="21"/>
  <c r="FG61" i="21" s="1"/>
  <c r="FF61" i="21"/>
  <c r="DX174" i="21"/>
  <c r="FG174" i="21" s="1"/>
  <c r="FF174" i="21"/>
  <c r="CN72" i="21"/>
  <c r="CR72" i="21" s="1"/>
  <c r="CV72" i="21" s="1"/>
  <c r="CZ72" i="21" s="1"/>
  <c r="DD72" i="21" s="1"/>
  <c r="DH72" i="21" s="1"/>
  <c r="DL72" i="21" s="1"/>
  <c r="DP72" i="21" s="1"/>
  <c r="DT72" i="21" s="1"/>
  <c r="EW72" i="21"/>
  <c r="CN68" i="21"/>
  <c r="CR68" i="21" s="1"/>
  <c r="CV68" i="21" s="1"/>
  <c r="CZ68" i="21" s="1"/>
  <c r="DD68" i="21" s="1"/>
  <c r="DH68" i="21" s="1"/>
  <c r="DL68" i="21" s="1"/>
  <c r="DP68" i="21" s="1"/>
  <c r="DT68" i="21" s="1"/>
  <c r="EW68" i="21"/>
  <c r="DX9" i="21"/>
  <c r="FG9" i="21" s="1"/>
  <c r="FF9" i="21"/>
  <c r="FF148" i="21"/>
  <c r="DX148" i="21"/>
  <c r="FG148" i="21" s="1"/>
  <c r="DX19" i="21"/>
  <c r="FG19" i="21" s="1"/>
  <c r="FF19" i="21"/>
  <c r="DX118" i="21"/>
  <c r="FG118" i="21" s="1"/>
  <c r="FF118" i="21"/>
  <c r="DX91" i="21"/>
  <c r="FG91" i="21" s="1"/>
  <c r="FF91" i="21"/>
  <c r="CN69" i="21"/>
  <c r="CR69" i="21" s="1"/>
  <c r="CV69" i="21" s="1"/>
  <c r="CZ69" i="21" s="1"/>
  <c r="DD69" i="21" s="1"/>
  <c r="DH69" i="21" s="1"/>
  <c r="DL69" i="21" s="1"/>
  <c r="DP69" i="21" s="1"/>
  <c r="DT69" i="21" s="1"/>
  <c r="EW69" i="21"/>
  <c r="DX13" i="21"/>
  <c r="FG13" i="21" s="1"/>
  <c r="FF13" i="21"/>
  <c r="DX51" i="21"/>
  <c r="FG51" i="21" s="1"/>
  <c r="FF51" i="21"/>
  <c r="FF53" i="21"/>
  <c r="DX53" i="21"/>
  <c r="FG53" i="21" s="1"/>
  <c r="FF20" i="21"/>
  <c r="DX20" i="21"/>
  <c r="FG20" i="21" s="1"/>
  <c r="DX154" i="21"/>
  <c r="FG154" i="21" s="1"/>
  <c r="FF154" i="21"/>
  <c r="DX33" i="21"/>
  <c r="FG33" i="21" s="1"/>
  <c r="FF33" i="21"/>
  <c r="DX124" i="21"/>
  <c r="FG124" i="21" s="1"/>
  <c r="FF124" i="21"/>
  <c r="DE182" i="5"/>
  <c r="AH182" i="5"/>
  <c r="AH161" i="5"/>
  <c r="DE161" i="5"/>
  <c r="AH185" i="5"/>
  <c r="DE185" i="5"/>
  <c r="AH168" i="5"/>
  <c r="DE168" i="5"/>
  <c r="AH128" i="5"/>
  <c r="DE128" i="5"/>
  <c r="AH125" i="5"/>
  <c r="DE125" i="5"/>
  <c r="AH143" i="5"/>
  <c r="DE143" i="5"/>
  <c r="AH140" i="5"/>
  <c r="DE140" i="5"/>
  <c r="AH180" i="5"/>
  <c r="DE180" i="5"/>
  <c r="AH142" i="5"/>
  <c r="DE142" i="5"/>
  <c r="DE178" i="5"/>
  <c r="AH178" i="5"/>
  <c r="DE183" i="5"/>
  <c r="AH183" i="5"/>
  <c r="DE175" i="5"/>
  <c r="AH175" i="5"/>
  <c r="DE170" i="5"/>
  <c r="AH170" i="5"/>
  <c r="AH201" i="5"/>
  <c r="DE201" i="5"/>
  <c r="AH141" i="5"/>
  <c r="DE141" i="5"/>
  <c r="AH177" i="5"/>
  <c r="DE177" i="5"/>
  <c r="AH122" i="5"/>
  <c r="DE122" i="5"/>
  <c r="AH133" i="5"/>
  <c r="DE133" i="5"/>
  <c r="AH162" i="5"/>
  <c r="DE162" i="5"/>
  <c r="AH124" i="5"/>
  <c r="DE124" i="5"/>
  <c r="AH184" i="5"/>
  <c r="DE184" i="5"/>
  <c r="AH163" i="5"/>
  <c r="DE163" i="5"/>
  <c r="DE186" i="5"/>
  <c r="AH186" i="5"/>
  <c r="DE105" i="5"/>
  <c r="AH105" i="5"/>
  <c r="AH169" i="5"/>
  <c r="DE169" i="5"/>
  <c r="AH176" i="5"/>
  <c r="DE176" i="5"/>
  <c r="AH138" i="5"/>
  <c r="DE138" i="5"/>
  <c r="AH137" i="5"/>
  <c r="DE137" i="5"/>
  <c r="DE174" i="5"/>
  <c r="AH174" i="5"/>
  <c r="AH126" i="5"/>
  <c r="DE126" i="5"/>
  <c r="DE179" i="5"/>
  <c r="AH179" i="5"/>
  <c r="DE171" i="5"/>
  <c r="AH171" i="5"/>
  <c r="DE187" i="5"/>
  <c r="AH187" i="5"/>
  <c r="AH121" i="5"/>
  <c r="DE121" i="5"/>
  <c r="AH181" i="5"/>
  <c r="DE181" i="5"/>
  <c r="AH172" i="5"/>
  <c r="DE172" i="5"/>
  <c r="AH123" i="5"/>
  <c r="DE123" i="5"/>
  <c r="AB3" i="5"/>
  <c r="DC3" i="5"/>
  <c r="DC203" i="5" s="1"/>
  <c r="J67" i="19" s="1"/>
  <c r="EL173" i="3"/>
  <c r="EM148" i="3"/>
  <c r="EM135" i="3"/>
  <c r="EL144" i="3"/>
  <c r="EL165" i="3"/>
  <c r="EK165" i="3"/>
  <c r="EK156" i="3"/>
  <c r="EK131" i="3"/>
  <c r="EK169" i="3"/>
  <c r="EM157" i="3"/>
  <c r="EK155" i="3"/>
  <c r="EJ137" i="3"/>
  <c r="EK159" i="3"/>
  <c r="EJ127" i="3"/>
  <c r="EJ145" i="3"/>
  <c r="EJ136" i="3"/>
  <c r="EJ158" i="3"/>
  <c r="EJ168" i="3"/>
  <c r="EJ161" i="3"/>
  <c r="EJ162" i="3"/>
  <c r="EJ170" i="3"/>
  <c r="EJ142" i="3"/>
  <c r="EJ163" i="3"/>
  <c r="EJ122" i="3"/>
  <c r="EJ138" i="3"/>
  <c r="EI132" i="3"/>
  <c r="AJ14" i="2"/>
  <c r="EH14" i="2"/>
  <c r="AN6" i="2"/>
  <c r="EI6" i="2"/>
  <c r="AN30" i="2"/>
  <c r="EI30" i="2"/>
  <c r="EH132" i="2"/>
  <c r="AJ132" i="2"/>
  <c r="EI13" i="2"/>
  <c r="AN13" i="2"/>
  <c r="EI103" i="2"/>
  <c r="AN103" i="2"/>
  <c r="EI79" i="2"/>
  <c r="AN79" i="2"/>
  <c r="EI19" i="2"/>
  <c r="AN19" i="2"/>
  <c r="AN73" i="2"/>
  <c r="EI73" i="2"/>
  <c r="EI8" i="2"/>
  <c r="AN8" i="2"/>
  <c r="AJ9" i="2"/>
  <c r="EH9" i="2"/>
  <c r="AN4" i="2"/>
  <c r="EI4" i="2"/>
  <c r="AN187" i="2"/>
  <c r="EI187" i="2"/>
  <c r="EH193" i="2"/>
  <c r="AJ193" i="2"/>
  <c r="EH43" i="2"/>
  <c r="AJ43" i="2"/>
  <c r="EH189" i="2"/>
  <c r="AJ189" i="2"/>
  <c r="EH102" i="2"/>
  <c r="AJ102" i="2"/>
  <c r="EN120" i="21"/>
  <c r="EM45" i="21"/>
  <c r="EM166" i="21"/>
  <c r="EN58" i="21"/>
  <c r="EM22" i="21"/>
  <c r="EM188" i="21"/>
  <c r="EM127" i="21"/>
  <c r="EM113" i="21"/>
  <c r="EM150" i="21"/>
  <c r="EN46" i="21"/>
  <c r="EM33" i="21"/>
  <c r="EM3" i="21"/>
  <c r="EM115" i="21"/>
  <c r="EM44" i="21"/>
  <c r="EM48" i="21"/>
  <c r="EO54" i="21"/>
  <c r="EO155" i="21"/>
  <c r="EO46" i="21"/>
  <c r="EO58" i="21"/>
  <c r="EO56" i="21"/>
  <c r="EM164" i="21"/>
  <c r="EM4" i="21"/>
  <c r="EM152" i="21"/>
  <c r="EN80" i="21"/>
  <c r="EM21" i="21"/>
  <c r="EM154" i="21"/>
  <c r="EM128" i="21"/>
  <c r="EM163" i="21"/>
  <c r="EM147" i="21"/>
  <c r="EM109" i="21"/>
  <c r="EM140" i="21"/>
  <c r="EM196" i="21"/>
  <c r="EM8" i="21"/>
  <c r="EN129" i="21"/>
  <c r="EM6" i="21"/>
  <c r="EM47" i="21"/>
  <c r="EM71" i="21"/>
  <c r="EM145" i="21"/>
  <c r="EM29" i="21"/>
  <c r="EM118" i="21"/>
  <c r="EM41" i="21"/>
  <c r="EM74" i="21"/>
  <c r="EM105" i="21"/>
  <c r="EM138" i="21"/>
  <c r="EM57" i="21"/>
  <c r="EM60" i="21"/>
  <c r="EM28" i="21"/>
  <c r="EM70" i="21"/>
  <c r="EM132" i="21"/>
  <c r="EM116" i="21"/>
  <c r="EM170" i="21"/>
  <c r="EM179" i="21"/>
  <c r="EM172" i="21"/>
  <c r="EM165" i="21"/>
  <c r="EN48" i="21"/>
  <c r="EN33" i="21"/>
  <c r="EN127" i="21"/>
  <c r="EN4" i="21"/>
  <c r="EN50" i="21"/>
  <c r="EN145" i="21"/>
  <c r="EN128" i="21"/>
  <c r="EN163" i="21"/>
  <c r="EN52" i="21"/>
  <c r="EN147" i="21"/>
  <c r="EN152" i="21"/>
  <c r="EM42" i="21"/>
  <c r="EM171" i="21"/>
  <c r="EM133" i="21"/>
  <c r="EM5" i="21"/>
  <c r="EM10" i="21"/>
  <c r="EM189" i="21"/>
  <c r="EM142" i="21"/>
  <c r="EM111" i="21"/>
  <c r="EN118" i="21"/>
  <c r="EN164" i="21"/>
  <c r="EN113" i="21"/>
  <c r="EN154" i="21"/>
  <c r="EM173" i="21"/>
  <c r="EM73" i="21"/>
  <c r="EM149" i="21"/>
  <c r="EM124" i="21"/>
  <c r="EM153" i="21"/>
  <c r="EM191" i="21"/>
  <c r="EM107" i="21"/>
  <c r="EM178" i="21"/>
  <c r="EM123" i="21"/>
  <c r="EM121" i="21"/>
  <c r="EM114" i="21"/>
  <c r="EM174" i="21"/>
  <c r="EM37" i="21"/>
  <c r="EM156" i="21"/>
  <c r="EM51" i="21"/>
  <c r="EM181" i="21"/>
  <c r="EM49" i="21"/>
  <c r="EN53" i="21"/>
  <c r="EN115" i="21"/>
  <c r="EN45" i="21"/>
  <c r="BD3" i="21"/>
  <c r="EN3" i="21"/>
  <c r="EN22" i="21"/>
  <c r="EN109" i="21"/>
  <c r="EN55" i="21"/>
  <c r="EN29" i="21"/>
  <c r="EN150" i="21"/>
  <c r="EN140" i="21"/>
  <c r="EN196" i="21"/>
  <c r="EN166" i="21"/>
  <c r="EN8" i="21"/>
  <c r="EM202" i="21"/>
  <c r="EM146" i="21"/>
  <c r="EM135" i="21"/>
  <c r="EM119" i="21"/>
  <c r="EM125" i="21"/>
  <c r="EM137" i="21"/>
  <c r="EM104" i="21"/>
  <c r="EM122" i="21"/>
  <c r="EM43" i="21"/>
  <c r="EM117" i="21"/>
  <c r="EM195" i="21"/>
  <c r="EM161" i="21"/>
  <c r="EM130" i="21"/>
  <c r="EM110" i="21"/>
  <c r="EN6" i="21"/>
  <c r="EN188" i="21"/>
  <c r="EN47" i="21"/>
  <c r="EN44" i="21"/>
  <c r="EK7" i="21"/>
  <c r="EJ7" i="21"/>
  <c r="AZ112" i="2"/>
  <c r="EM112" i="2" s="1"/>
  <c r="EK167" i="2"/>
  <c r="AV59" i="2"/>
  <c r="EK59" i="2"/>
  <c r="AV148" i="2"/>
  <c r="EK148" i="2"/>
  <c r="EK55" i="2"/>
  <c r="AV55" i="2"/>
  <c r="EK108" i="2"/>
  <c r="AV108" i="2"/>
  <c r="EK40" i="2"/>
  <c r="AV40" i="2"/>
  <c r="EK110" i="2"/>
  <c r="AV110" i="2"/>
  <c r="EL138" i="2"/>
  <c r="AZ138" i="2"/>
  <c r="EJ33" i="2"/>
  <c r="AR33" i="2"/>
  <c r="EK37" i="2"/>
  <c r="AV37" i="2"/>
  <c r="EK21" i="2"/>
  <c r="AV21" i="2"/>
  <c r="AV180" i="2"/>
  <c r="EK180" i="2"/>
  <c r="AV200" i="2"/>
  <c r="EK200" i="2"/>
  <c r="EK98" i="2"/>
  <c r="AV98" i="2"/>
  <c r="EK124" i="2"/>
  <c r="AV124" i="2"/>
  <c r="EK93" i="2"/>
  <c r="AV93" i="2"/>
  <c r="EK163" i="2"/>
  <c r="AV163" i="2"/>
  <c r="AV177" i="2"/>
  <c r="EK177" i="2"/>
  <c r="EL173" i="2"/>
  <c r="AZ173" i="2"/>
  <c r="EK75" i="2"/>
  <c r="AV75" i="2"/>
  <c r="EK106" i="2"/>
  <c r="AV106" i="2"/>
  <c r="EL167" i="2"/>
  <c r="AZ167" i="2"/>
  <c r="EL196" i="2"/>
  <c r="AZ196" i="2"/>
  <c r="AZ171" i="2"/>
  <c r="EL171" i="2"/>
  <c r="AV89" i="2"/>
  <c r="EK89" i="2"/>
  <c r="EK137" i="2"/>
  <c r="AV137" i="2"/>
  <c r="EK186" i="2"/>
  <c r="AV186" i="2"/>
  <c r="EK201" i="2"/>
  <c r="AV201" i="2"/>
  <c r="EK68" i="2"/>
  <c r="AV68" i="2"/>
  <c r="EL45" i="2"/>
  <c r="AZ45" i="2"/>
  <c r="BD119" i="2"/>
  <c r="EM119" i="2"/>
  <c r="EK136" i="2"/>
  <c r="AV136" i="2"/>
  <c r="EL183" i="2"/>
  <c r="AZ183" i="2"/>
  <c r="EK113" i="2"/>
  <c r="AV113" i="2"/>
  <c r="EL88" i="2"/>
  <c r="AZ88" i="2"/>
  <c r="EL34" i="2"/>
  <c r="AZ34" i="2"/>
  <c r="EK64" i="2"/>
  <c r="AV64" i="2"/>
  <c r="EM27" i="2"/>
  <c r="BD27" i="2"/>
  <c r="EK169" i="2"/>
  <c r="AV169" i="2"/>
  <c r="EK190" i="2"/>
  <c r="AV190" i="2"/>
  <c r="AV46" i="2"/>
  <c r="EK46" i="2"/>
  <c r="EK133" i="2"/>
  <c r="AV133" i="2"/>
  <c r="EK140" i="2"/>
  <c r="AV140" i="2"/>
  <c r="EK149" i="2"/>
  <c r="AV149" i="2"/>
  <c r="EL197" i="2"/>
  <c r="AZ197" i="2"/>
  <c r="EM151" i="2"/>
  <c r="BD151" i="2"/>
  <c r="EK126" i="2"/>
  <c r="AV126" i="2"/>
  <c r="EL175" i="2"/>
  <c r="AZ175" i="2"/>
  <c r="EL135" i="2"/>
  <c r="AZ135" i="2"/>
  <c r="EK83" i="2"/>
  <c r="AV83" i="2"/>
  <c r="EL158" i="2"/>
  <c r="AZ158" i="2"/>
  <c r="AZ53" i="2"/>
  <c r="EL53" i="2"/>
  <c r="EL81" i="2"/>
  <c r="AZ81" i="2"/>
  <c r="EL155" i="2"/>
  <c r="AZ155" i="2"/>
  <c r="EK115" i="2"/>
  <c r="AV115" i="2"/>
  <c r="EL195" i="2"/>
  <c r="AZ195" i="2"/>
  <c r="EK22" i="2"/>
  <c r="AV22" i="2"/>
  <c r="EK117" i="2"/>
  <c r="AV117" i="2"/>
  <c r="EK105" i="2"/>
  <c r="AV105" i="2"/>
  <c r="AR31" i="2"/>
  <c r="EJ31" i="2"/>
  <c r="EL51" i="2"/>
  <c r="AZ51" i="2"/>
  <c r="BD90" i="2"/>
  <c r="EM90" i="2"/>
  <c r="EL150" i="2"/>
  <c r="AZ150" i="2"/>
  <c r="EL62" i="2"/>
  <c r="AZ62" i="2"/>
  <c r="EL5" i="2"/>
  <c r="AZ5" i="2"/>
  <c r="AV23" i="2"/>
  <c r="EK23" i="2"/>
  <c r="EL118" i="2"/>
  <c r="AZ118" i="2"/>
  <c r="EK11" i="2"/>
  <c r="AV11" i="2"/>
  <c r="EK109" i="2"/>
  <c r="AV109" i="2"/>
  <c r="AZ65" i="2"/>
  <c r="EL65" i="2"/>
  <c r="EK60" i="2"/>
  <c r="AV60" i="2"/>
  <c r="EK3" i="2"/>
  <c r="AV3" i="2"/>
  <c r="EK41" i="2"/>
  <c r="AV41" i="2"/>
  <c r="AV71" i="2"/>
  <c r="EK71" i="2"/>
  <c r="EK16" i="2"/>
  <c r="AV16" i="2"/>
  <c r="EL101" i="2"/>
  <c r="AZ101" i="2"/>
  <c r="EK76" i="2"/>
  <c r="AV76" i="2"/>
  <c r="AZ48" i="2"/>
  <c r="EL48" i="2"/>
  <c r="EK120" i="2"/>
  <c r="AV120" i="2"/>
  <c r="EK56" i="2"/>
  <c r="AV56" i="2"/>
  <c r="AZ50" i="2"/>
  <c r="EL50" i="2"/>
  <c r="EL12" i="2"/>
  <c r="AZ12" i="2"/>
  <c r="EK32" i="2"/>
  <c r="AV32" i="2"/>
  <c r="EK91" i="2"/>
  <c r="AV91" i="2"/>
  <c r="EL78" i="2"/>
  <c r="AZ78" i="2"/>
  <c r="EM63" i="2"/>
  <c r="BD63" i="2"/>
  <c r="EL147" i="2"/>
  <c r="AZ147" i="2"/>
  <c r="EM157" i="2"/>
  <c r="BD157" i="2"/>
  <c r="AZ49" i="2"/>
  <c r="EL49" i="2"/>
  <c r="EL85" i="2"/>
  <c r="AZ85" i="2"/>
  <c r="AZ61" i="2"/>
  <c r="EL61" i="2"/>
  <c r="EK131" i="2"/>
  <c r="AV131" i="2"/>
  <c r="EK39" i="2"/>
  <c r="AV39" i="2"/>
  <c r="AV185" i="2"/>
  <c r="EK185" i="2"/>
  <c r="BD192" i="2"/>
  <c r="EM192" i="2"/>
  <c r="BD121" i="2"/>
  <c r="EM121" i="2"/>
  <c r="EL172" i="2"/>
  <c r="AZ172" i="2"/>
  <c r="EK161" i="2"/>
  <c r="AV161" i="2"/>
  <c r="EM160" i="2"/>
  <c r="BD160" i="2"/>
  <c r="EK194" i="2"/>
  <c r="AV194" i="2"/>
  <c r="EM94" i="2"/>
  <c r="BD94" i="2"/>
  <c r="EL74" i="2"/>
  <c r="AZ74" i="2"/>
  <c r="EK35" i="2"/>
  <c r="AV35" i="2"/>
  <c r="EM67" i="2"/>
  <c r="BD67" i="2"/>
  <c r="EK24" i="2"/>
  <c r="AV24" i="2"/>
  <c r="EL139" i="2"/>
  <c r="AZ139" i="2"/>
  <c r="EL28" i="2"/>
  <c r="AZ28" i="2"/>
  <c r="EK95" i="2"/>
  <c r="AV95" i="2"/>
  <c r="EL191" i="2"/>
  <c r="AZ191" i="2"/>
  <c r="EK17" i="2"/>
  <c r="AV17" i="2"/>
  <c r="EL156" i="2"/>
  <c r="AZ156" i="2"/>
  <c r="EK15" i="2"/>
  <c r="AV15" i="2"/>
  <c r="EL170" i="2"/>
  <c r="AZ170" i="2"/>
  <c r="EK142" i="2"/>
  <c r="AV142" i="2"/>
  <c r="EK29" i="2"/>
  <c r="AV29" i="2"/>
  <c r="EK181" i="2"/>
  <c r="AV181" i="2"/>
  <c r="EL96" i="2"/>
  <c r="AZ96" i="2"/>
  <c r="AV184" i="2"/>
  <c r="EK184" i="2"/>
  <c r="EL143" i="2"/>
  <c r="AZ143" i="2"/>
  <c r="EK198" i="2"/>
  <c r="AV198" i="2"/>
  <c r="AV164" i="2"/>
  <c r="EK164" i="2"/>
  <c r="AZ57" i="2"/>
  <c r="EL57" i="2"/>
  <c r="EM116" i="2"/>
  <c r="BD116" i="2"/>
  <c r="EL92" i="2"/>
  <c r="AZ92" i="2"/>
  <c r="EK152" i="2"/>
  <c r="AV152" i="2"/>
  <c r="EL130" i="2"/>
  <c r="AZ130" i="2"/>
  <c r="EL176" i="2"/>
  <c r="AZ176" i="2"/>
  <c r="EL162" i="2"/>
  <c r="AZ162" i="2"/>
  <c r="EK42" i="2"/>
  <c r="AV42" i="2"/>
  <c r="EL87" i="2"/>
  <c r="AZ87" i="2"/>
  <c r="AV174" i="2"/>
  <c r="EK174" i="2"/>
  <c r="AZ26" i="2"/>
  <c r="EL26" i="2"/>
  <c r="EL166" i="2"/>
  <c r="AZ166" i="2"/>
  <c r="EL82" i="2"/>
  <c r="AZ82" i="2"/>
  <c r="AZ122" i="2"/>
  <c r="EL122" i="2"/>
  <c r="EN141" i="2"/>
  <c r="BH141" i="2"/>
  <c r="EL125" i="2"/>
  <c r="AZ125" i="2"/>
  <c r="EL54" i="2"/>
  <c r="AZ54" i="2"/>
  <c r="AZ58" i="2"/>
  <c r="EL58" i="2"/>
  <c r="EK178" i="2"/>
  <c r="AV178" i="2"/>
  <c r="EK84" i="2"/>
  <c r="AV84" i="2"/>
  <c r="EK144" i="2"/>
  <c r="AV144" i="2"/>
  <c r="EM100" i="2"/>
  <c r="BD100" i="2"/>
  <c r="EK47" i="2"/>
  <c r="AV47" i="2"/>
  <c r="EK127" i="2"/>
  <c r="AV127" i="2"/>
  <c r="AZ69" i="2"/>
  <c r="EL69" i="2"/>
  <c r="AV199" i="2"/>
  <c r="EK199" i="2"/>
  <c r="EK146" i="2"/>
  <c r="AV146" i="2"/>
  <c r="EK111" i="2"/>
  <c r="AV111" i="2"/>
  <c r="EL77" i="2"/>
  <c r="AZ77" i="2"/>
  <c r="EK107" i="2"/>
  <c r="AV107" i="2"/>
  <c r="AV134" i="2"/>
  <c r="EK134" i="2"/>
  <c r="EK52" i="2"/>
  <c r="AV52" i="2"/>
  <c r="EM114" i="2"/>
  <c r="BD114" i="2"/>
  <c r="EK86" i="2"/>
  <c r="AV86" i="2"/>
  <c r="AZ66" i="2"/>
  <c r="EL66" i="2"/>
  <c r="EM145" i="2"/>
  <c r="BD145" i="2"/>
  <c r="EK7" i="2"/>
  <c r="AV7" i="2"/>
  <c r="EK128" i="2"/>
  <c r="AV128" i="2"/>
  <c r="EL168" i="2"/>
  <c r="AZ168" i="2"/>
  <c r="EK25" i="2"/>
  <c r="AV25" i="2"/>
  <c r="EL159" i="2"/>
  <c r="AZ159" i="2"/>
  <c r="AV202" i="2"/>
  <c r="EK202" i="2"/>
  <c r="AV80" i="2"/>
  <c r="EK80" i="2"/>
  <c r="EK99" i="2"/>
  <c r="AV99" i="2"/>
  <c r="EL179" i="2"/>
  <c r="AZ179" i="2"/>
  <c r="AZ188" i="2"/>
  <c r="EL188" i="2"/>
  <c r="EK182" i="2"/>
  <c r="AV182" i="2"/>
  <c r="EL38" i="2"/>
  <c r="AZ38" i="2"/>
  <c r="EK129" i="2"/>
  <c r="AV129" i="2"/>
  <c r="EM20" i="2"/>
  <c r="BD20" i="2"/>
  <c r="EK18" i="2"/>
  <c r="AV18" i="2"/>
  <c r="EL36" i="2"/>
  <c r="AZ36" i="2"/>
  <c r="EL97" i="2"/>
  <c r="AZ97" i="2"/>
  <c r="EL167" i="3"/>
  <c r="EL185" i="3"/>
  <c r="EN171" i="3"/>
  <c r="EM171" i="3"/>
  <c r="EL128" i="3"/>
  <c r="EL202" i="3"/>
  <c r="EL166" i="3"/>
  <c r="EL183" i="3"/>
  <c r="EL169" i="3"/>
  <c r="EL164" i="3"/>
  <c r="EN177" i="3"/>
  <c r="EM177" i="3"/>
  <c r="EL172" i="3"/>
  <c r="EL175" i="3"/>
  <c r="EM178" i="3"/>
  <c r="EN178" i="3"/>
  <c r="EL181" i="3"/>
  <c r="EL174" i="3"/>
  <c r="EM125" i="3"/>
  <c r="EN125" i="3"/>
  <c r="EM141" i="3"/>
  <c r="EN141" i="3"/>
  <c r="EM152" i="3"/>
  <c r="EN152" i="3"/>
  <c r="EM201" i="3"/>
  <c r="EN201" i="3"/>
  <c r="EL121" i="3"/>
  <c r="EM154" i="3"/>
  <c r="EN154" i="3"/>
  <c r="EM143" i="3"/>
  <c r="EN143" i="3"/>
  <c r="EN130" i="3"/>
  <c r="EM130" i="3"/>
  <c r="EM144" i="3"/>
  <c r="EN144" i="3"/>
  <c r="EM139" i="3"/>
  <c r="EN139" i="3"/>
  <c r="EM150" i="3"/>
  <c r="EN150" i="3"/>
  <c r="EM147" i="3"/>
  <c r="EN147" i="3"/>
  <c r="EM149" i="3"/>
  <c r="EN149" i="3"/>
  <c r="EM129" i="3"/>
  <c r="EN129" i="3"/>
  <c r="EM133" i="3"/>
  <c r="EN133" i="3"/>
  <c r="EM140" i="3"/>
  <c r="EN140" i="3"/>
  <c r="EM146" i="3"/>
  <c r="EN146" i="3"/>
  <c r="EM165" i="3"/>
  <c r="EN165" i="3"/>
  <c r="EM153" i="3"/>
  <c r="EN153" i="3"/>
  <c r="EL126" i="3"/>
  <c r="EM134" i="3"/>
  <c r="EN134" i="3"/>
  <c r="EM151" i="3"/>
  <c r="EN151" i="3"/>
  <c r="EL154" i="2"/>
  <c r="AZ154" i="2"/>
  <c r="EK123" i="3"/>
  <c r="EJ10" i="2"/>
  <c r="AR10" i="2"/>
  <c r="EJ165" i="2"/>
  <c r="AR165" i="2"/>
  <c r="EM70" i="2"/>
  <c r="BD70" i="2"/>
  <c r="AR72" i="2"/>
  <c r="EJ72" i="2"/>
  <c r="EJ153" i="2"/>
  <c r="AR153" i="2"/>
  <c r="EJ123" i="2"/>
  <c r="AR123" i="2"/>
  <c r="BH104" i="2"/>
  <c r="EN104" i="2"/>
  <c r="EJ44" i="2"/>
  <c r="AR44" i="2"/>
  <c r="FF69" i="21" l="1"/>
  <c r="DX69" i="21"/>
  <c r="FG69" i="21" s="1"/>
  <c r="FF68" i="21"/>
  <c r="DX68" i="21"/>
  <c r="FG68" i="21" s="1"/>
  <c r="DX72" i="21"/>
  <c r="FG72" i="21" s="1"/>
  <c r="FF72" i="21"/>
  <c r="CN153" i="21"/>
  <c r="CR153" i="21" s="1"/>
  <c r="CV153" i="21" s="1"/>
  <c r="CZ153" i="21" s="1"/>
  <c r="DD153" i="21" s="1"/>
  <c r="DH153" i="21" s="1"/>
  <c r="DL153" i="21" s="1"/>
  <c r="DP153" i="21" s="1"/>
  <c r="DT153" i="21" s="1"/>
  <c r="EW153" i="21"/>
  <c r="AK187" i="5"/>
  <c r="DF187" i="5"/>
  <c r="DF179" i="5"/>
  <c r="AK179" i="5"/>
  <c r="DF174" i="5"/>
  <c r="AK174" i="5"/>
  <c r="AK186" i="5"/>
  <c r="DF186" i="5"/>
  <c r="DF170" i="5"/>
  <c r="AK170" i="5"/>
  <c r="DF183" i="5"/>
  <c r="AK183" i="5"/>
  <c r="AK123" i="5"/>
  <c r="DF123" i="5"/>
  <c r="DF181" i="5"/>
  <c r="AK181" i="5"/>
  <c r="AK138" i="5"/>
  <c r="DF138" i="5"/>
  <c r="DF169" i="5"/>
  <c r="AK169" i="5"/>
  <c r="DF184" i="5"/>
  <c r="AK184" i="5"/>
  <c r="DF162" i="5"/>
  <c r="AK162" i="5"/>
  <c r="AK122" i="5"/>
  <c r="DF122" i="5"/>
  <c r="AK141" i="5"/>
  <c r="DF141" i="5"/>
  <c r="AK142" i="5"/>
  <c r="DF142" i="5"/>
  <c r="AK140" i="5"/>
  <c r="DF140" i="5"/>
  <c r="AK125" i="5"/>
  <c r="DF125" i="5"/>
  <c r="AK168" i="5"/>
  <c r="DF168" i="5"/>
  <c r="DF161" i="5"/>
  <c r="AK161" i="5"/>
  <c r="DF171" i="5"/>
  <c r="AK171" i="5"/>
  <c r="AK105" i="5"/>
  <c r="DF105" i="5"/>
  <c r="DF175" i="5"/>
  <c r="AK175" i="5"/>
  <c r="DF178" i="5"/>
  <c r="AK178" i="5"/>
  <c r="AK182" i="5"/>
  <c r="DF182" i="5"/>
  <c r="AK172" i="5"/>
  <c r="DF172" i="5"/>
  <c r="AK121" i="5"/>
  <c r="DF121" i="5"/>
  <c r="AK126" i="5"/>
  <c r="DF126" i="5"/>
  <c r="AK137" i="5"/>
  <c r="DF137" i="5"/>
  <c r="AK176" i="5"/>
  <c r="DF176" i="5"/>
  <c r="DF163" i="5"/>
  <c r="AK163" i="5"/>
  <c r="AK124" i="5"/>
  <c r="DF124" i="5"/>
  <c r="AK133" i="5"/>
  <c r="DF133" i="5"/>
  <c r="DF177" i="5"/>
  <c r="AK177" i="5"/>
  <c r="AK201" i="5"/>
  <c r="DF201" i="5"/>
  <c r="AK180" i="5"/>
  <c r="DF180" i="5"/>
  <c r="AK143" i="5"/>
  <c r="DF143" i="5"/>
  <c r="AK128" i="5"/>
  <c r="DF128" i="5"/>
  <c r="DF185" i="5"/>
  <c r="AK185" i="5"/>
  <c r="DD3" i="5"/>
  <c r="DD203" i="5" s="1"/>
  <c r="K67" i="19" s="1"/>
  <c r="AE3" i="5"/>
  <c r="EN135" i="3"/>
  <c r="EN148" i="3"/>
  <c r="EK173" i="3"/>
  <c r="EM173" i="3"/>
  <c r="EL156" i="3"/>
  <c r="EL131" i="3"/>
  <c r="EL157" i="3"/>
  <c r="EL155" i="3"/>
  <c r="EK137" i="3"/>
  <c r="EK127" i="3"/>
  <c r="EL159" i="3"/>
  <c r="EK145" i="3"/>
  <c r="EK158" i="3"/>
  <c r="EK136" i="3"/>
  <c r="EK168" i="3"/>
  <c r="EK170" i="3"/>
  <c r="EK161" i="3"/>
  <c r="EK162" i="3"/>
  <c r="EK122" i="3"/>
  <c r="EK163" i="3"/>
  <c r="EK138" i="3"/>
  <c r="EK142" i="3"/>
  <c r="EJ4" i="2"/>
  <c r="AR4" i="2"/>
  <c r="EI9" i="2"/>
  <c r="AN9" i="2"/>
  <c r="EJ6" i="2"/>
  <c r="AR6" i="2"/>
  <c r="EJ13" i="2"/>
  <c r="AR13" i="2"/>
  <c r="AN14" i="2"/>
  <c r="EI14" i="2"/>
  <c r="AN102" i="2"/>
  <c r="EI102" i="2"/>
  <c r="AN193" i="2"/>
  <c r="EI193" i="2"/>
  <c r="EJ8" i="2"/>
  <c r="AR8" i="2"/>
  <c r="EJ19" i="2"/>
  <c r="AR19" i="2"/>
  <c r="EJ30" i="2"/>
  <c r="AR30" i="2"/>
  <c r="AN189" i="2"/>
  <c r="EI189" i="2"/>
  <c r="EJ79" i="2"/>
  <c r="AR79" i="2"/>
  <c r="AN132" i="2"/>
  <c r="EI132" i="2"/>
  <c r="AR187" i="2"/>
  <c r="EJ187" i="2"/>
  <c r="AR73" i="2"/>
  <c r="EJ73" i="2"/>
  <c r="EJ132" i="3"/>
  <c r="EI43" i="2"/>
  <c r="AN43" i="2"/>
  <c r="EJ103" i="2"/>
  <c r="AR103" i="2"/>
  <c r="EM90" i="21"/>
  <c r="EM38" i="21"/>
  <c r="EP58" i="21"/>
  <c r="EP46" i="21"/>
  <c r="EP155" i="21"/>
  <c r="EP56" i="21"/>
  <c r="EP54" i="21"/>
  <c r="EN141" i="21"/>
  <c r="EN112" i="21"/>
  <c r="EN30" i="21"/>
  <c r="EN197" i="21"/>
  <c r="EO44" i="21"/>
  <c r="EO188" i="21"/>
  <c r="EO166" i="21"/>
  <c r="EO140" i="21"/>
  <c r="EO141" i="21"/>
  <c r="EO197" i="21"/>
  <c r="EO109" i="21"/>
  <c r="BH3" i="21"/>
  <c r="EO3" i="21"/>
  <c r="EO115" i="21"/>
  <c r="EO113" i="21"/>
  <c r="EO118" i="21"/>
  <c r="EO139" i="21"/>
  <c r="EO152" i="21"/>
  <c r="EO52" i="21"/>
  <c r="EO30" i="21"/>
  <c r="EO145" i="21"/>
  <c r="EO4" i="21"/>
  <c r="EO33" i="21"/>
  <c r="EO48" i="21"/>
  <c r="EO47" i="21"/>
  <c r="EO6" i="21"/>
  <c r="EO8" i="21"/>
  <c r="EO196" i="21"/>
  <c r="EO150" i="21"/>
  <c r="EO29" i="21"/>
  <c r="EO55" i="21"/>
  <c r="EO22" i="21"/>
  <c r="EO45" i="21"/>
  <c r="EO53" i="21"/>
  <c r="EO154" i="21"/>
  <c r="EO164" i="21"/>
  <c r="EO112" i="21"/>
  <c r="EO187" i="21"/>
  <c r="EO147" i="21"/>
  <c r="EO163" i="21"/>
  <c r="EO128" i="21"/>
  <c r="EO50" i="21"/>
  <c r="EO127" i="21"/>
  <c r="EN187" i="21"/>
  <c r="EN21" i="21"/>
  <c r="EM97" i="21"/>
  <c r="EM65" i="21"/>
  <c r="EM24" i="21"/>
  <c r="EM9" i="21"/>
  <c r="EM77" i="21"/>
  <c r="EM106" i="21"/>
  <c r="EM184" i="21"/>
  <c r="EN139" i="21"/>
  <c r="EM82" i="21"/>
  <c r="EM18" i="21"/>
  <c r="EM79" i="21"/>
  <c r="EM134" i="21"/>
  <c r="EM200" i="21"/>
  <c r="EM136" i="21"/>
  <c r="EM87" i="21"/>
  <c r="EM148" i="21"/>
  <c r="EM143" i="21"/>
  <c r="EM83" i="21"/>
  <c r="EM59" i="21"/>
  <c r="EM180" i="21"/>
  <c r="EM19" i="21"/>
  <c r="EM78" i="21"/>
  <c r="EM144" i="21"/>
  <c r="EM13" i="21"/>
  <c r="EM177" i="21"/>
  <c r="EM27" i="21"/>
  <c r="EM12" i="21"/>
  <c r="EM186" i="21"/>
  <c r="EM100" i="21"/>
  <c r="EM16" i="21"/>
  <c r="EM75" i="21"/>
  <c r="EM39" i="21"/>
  <c r="EM193" i="21"/>
  <c r="EM69" i="21"/>
  <c r="EM95" i="21"/>
  <c r="EM194" i="21"/>
  <c r="EM185" i="21"/>
  <c r="EM14" i="21"/>
  <c r="EM93" i="21"/>
  <c r="EM159" i="21"/>
  <c r="EN130" i="21"/>
  <c r="EN195" i="21"/>
  <c r="EN43" i="21"/>
  <c r="EN104" i="21"/>
  <c r="EN125" i="21"/>
  <c r="EN135" i="21"/>
  <c r="EN202" i="21"/>
  <c r="EN148" i="21"/>
  <c r="EN136" i="21"/>
  <c r="EN49" i="21"/>
  <c r="EN51" i="21"/>
  <c r="EN37" i="21"/>
  <c r="EN114" i="21"/>
  <c r="EN123" i="21"/>
  <c r="EN107" i="21"/>
  <c r="EN153" i="21"/>
  <c r="EN149" i="21"/>
  <c r="EN173" i="21"/>
  <c r="EN184" i="21"/>
  <c r="EN77" i="21"/>
  <c r="EN143" i="21"/>
  <c r="EM91" i="21"/>
  <c r="EM63" i="21"/>
  <c r="EM183" i="21"/>
  <c r="EM160" i="21"/>
  <c r="EM26" i="21"/>
  <c r="EM89" i="21"/>
  <c r="EM31" i="21"/>
  <c r="EM162" i="21"/>
  <c r="EM84" i="21"/>
  <c r="EM34" i="21"/>
  <c r="EM158" i="21"/>
  <c r="EM86" i="21"/>
  <c r="EM198" i="21"/>
  <c r="EM96" i="21"/>
  <c r="EM157" i="21"/>
  <c r="EM98" i="21"/>
  <c r="EM99" i="21"/>
  <c r="EM126" i="21"/>
  <c r="EN142" i="21"/>
  <c r="EN10" i="21"/>
  <c r="EN133" i="21"/>
  <c r="EN42" i="21"/>
  <c r="EN9" i="21"/>
  <c r="EN83" i="21"/>
  <c r="EN106" i="21"/>
  <c r="EN172" i="21"/>
  <c r="EN170" i="21"/>
  <c r="EN132" i="21"/>
  <c r="EN28" i="21"/>
  <c r="EN57" i="21"/>
  <c r="EN105" i="21"/>
  <c r="EN41" i="21"/>
  <c r="EN18" i="21"/>
  <c r="EN87" i="21"/>
  <c r="EM23" i="21"/>
  <c r="EM103" i="21"/>
  <c r="EM61" i="21"/>
  <c r="EM85" i="21"/>
  <c r="EM64" i="21"/>
  <c r="EM66" i="21"/>
  <c r="EM25" i="21"/>
  <c r="EM40" i="21"/>
  <c r="EM190" i="21"/>
  <c r="EM192" i="21"/>
  <c r="EM151" i="21"/>
  <c r="EM201" i="21"/>
  <c r="EM68" i="21"/>
  <c r="EM131" i="21"/>
  <c r="EM92" i="21"/>
  <c r="EM88" i="21"/>
  <c r="EM169" i="21"/>
  <c r="EM182" i="21"/>
  <c r="EN110" i="21"/>
  <c r="EN161" i="21"/>
  <c r="EN117" i="21"/>
  <c r="EN122" i="21"/>
  <c r="EN137" i="21"/>
  <c r="EN119" i="21"/>
  <c r="EN146" i="21"/>
  <c r="EN90" i="21"/>
  <c r="EN82" i="21"/>
  <c r="EN59" i="21"/>
  <c r="EN181" i="21"/>
  <c r="EN156" i="21"/>
  <c r="EN174" i="21"/>
  <c r="EN121" i="21"/>
  <c r="EN178" i="21"/>
  <c r="EN191" i="21"/>
  <c r="EN124" i="21"/>
  <c r="EN73" i="21"/>
  <c r="EN97" i="21"/>
  <c r="EN79" i="21"/>
  <c r="EM20" i="21"/>
  <c r="EM199" i="21"/>
  <c r="EM167" i="21"/>
  <c r="EM62" i="21"/>
  <c r="EM76" i="21"/>
  <c r="EM108" i="21"/>
  <c r="EM175" i="21"/>
  <c r="EM94" i="21"/>
  <c r="EM67" i="21"/>
  <c r="EM32" i="21"/>
  <c r="EM168" i="21"/>
  <c r="EM176" i="21"/>
  <c r="EM72" i="21"/>
  <c r="EM17" i="21"/>
  <c r="EM102" i="21"/>
  <c r="EM81" i="21"/>
  <c r="EM36" i="21"/>
  <c r="EM15" i="21"/>
  <c r="EM35" i="21"/>
  <c r="EM101" i="21"/>
  <c r="EN111" i="21"/>
  <c r="EN189" i="21"/>
  <c r="EN5" i="21"/>
  <c r="EN171" i="21"/>
  <c r="EN65" i="21"/>
  <c r="EN180" i="21"/>
  <c r="EN38" i="21"/>
  <c r="EN165" i="21"/>
  <c r="EN179" i="21"/>
  <c r="EN116" i="21"/>
  <c r="EN70" i="21"/>
  <c r="EN60" i="21"/>
  <c r="EN138" i="21"/>
  <c r="EN74" i="21"/>
  <c r="EN24" i="21"/>
  <c r="EN134" i="21"/>
  <c r="EN200" i="21"/>
  <c r="EL7" i="21"/>
  <c r="BD112" i="2"/>
  <c r="BH112" i="2" s="1"/>
  <c r="EL59" i="2"/>
  <c r="AZ59" i="2"/>
  <c r="AZ55" i="2"/>
  <c r="EL55" i="2"/>
  <c r="EL148" i="2"/>
  <c r="AZ148" i="2"/>
  <c r="EL40" i="2"/>
  <c r="AZ40" i="2"/>
  <c r="EL108" i="2"/>
  <c r="AZ108" i="2"/>
  <c r="AZ110" i="2"/>
  <c r="EL110" i="2"/>
  <c r="BD138" i="2"/>
  <c r="EM138" i="2"/>
  <c r="AZ37" i="2"/>
  <c r="EL37" i="2"/>
  <c r="AV33" i="2"/>
  <c r="EK33" i="2"/>
  <c r="AZ163" i="2"/>
  <c r="EL163" i="2"/>
  <c r="AZ200" i="2"/>
  <c r="EL200" i="2"/>
  <c r="AZ93" i="2"/>
  <c r="EL93" i="2"/>
  <c r="AZ180" i="2"/>
  <c r="EL180" i="2"/>
  <c r="EL124" i="2"/>
  <c r="AZ124" i="2"/>
  <c r="EL98" i="2"/>
  <c r="AZ98" i="2"/>
  <c r="AZ21" i="2"/>
  <c r="EL21" i="2"/>
  <c r="EL177" i="2"/>
  <c r="AZ177" i="2"/>
  <c r="EL75" i="2"/>
  <c r="AZ75" i="2"/>
  <c r="EL106" i="2"/>
  <c r="AZ106" i="2"/>
  <c r="EL89" i="2"/>
  <c r="AZ89" i="2"/>
  <c r="EM171" i="2"/>
  <c r="BD171" i="2"/>
  <c r="BD196" i="2"/>
  <c r="EM196" i="2"/>
  <c r="BD173" i="2"/>
  <c r="EM173" i="2"/>
  <c r="EM167" i="2"/>
  <c r="BD167" i="2"/>
  <c r="EM38" i="2"/>
  <c r="BD38" i="2"/>
  <c r="EL99" i="2"/>
  <c r="AZ99" i="2"/>
  <c r="AZ25" i="2"/>
  <c r="EL25" i="2"/>
  <c r="EN114" i="2"/>
  <c r="BH114" i="2"/>
  <c r="EM77" i="2"/>
  <c r="BD77" i="2"/>
  <c r="EL174" i="2"/>
  <c r="AZ174" i="2"/>
  <c r="AZ184" i="2"/>
  <c r="EL184" i="2"/>
  <c r="EN192" i="2"/>
  <c r="BH192" i="2"/>
  <c r="EM49" i="2"/>
  <c r="BD49" i="2"/>
  <c r="AZ199" i="2"/>
  <c r="EL199" i="2"/>
  <c r="BD58" i="2"/>
  <c r="EM58" i="2"/>
  <c r="EM87" i="2"/>
  <c r="BD87" i="2"/>
  <c r="EM130" i="2"/>
  <c r="BD130" i="2"/>
  <c r="EM96" i="2"/>
  <c r="BD96" i="2"/>
  <c r="EM170" i="2"/>
  <c r="BD170" i="2"/>
  <c r="EM191" i="2"/>
  <c r="BD191" i="2"/>
  <c r="EL24" i="2"/>
  <c r="AZ24" i="2"/>
  <c r="EM74" i="2"/>
  <c r="BD74" i="2"/>
  <c r="EL161" i="2"/>
  <c r="AZ161" i="2"/>
  <c r="EM147" i="2"/>
  <c r="BD147" i="2"/>
  <c r="EL32" i="2"/>
  <c r="AZ32" i="2"/>
  <c r="EL120" i="2"/>
  <c r="AZ120" i="2"/>
  <c r="EL16" i="2"/>
  <c r="AZ16" i="2"/>
  <c r="EL60" i="2"/>
  <c r="AZ60" i="2"/>
  <c r="EM150" i="2"/>
  <c r="BD150" i="2"/>
  <c r="EL117" i="2"/>
  <c r="AZ117" i="2"/>
  <c r="EL115" i="2"/>
  <c r="AZ115" i="2"/>
  <c r="EM135" i="2"/>
  <c r="BD135" i="2"/>
  <c r="EM197" i="2"/>
  <c r="BD197" i="2"/>
  <c r="EM183" i="2"/>
  <c r="BD183" i="2"/>
  <c r="AZ68" i="2"/>
  <c r="EL68" i="2"/>
  <c r="EL18" i="2"/>
  <c r="AZ18" i="2"/>
  <c r="EL182" i="2"/>
  <c r="AZ182" i="2"/>
  <c r="BD168" i="2"/>
  <c r="EM168" i="2"/>
  <c r="BH145" i="2"/>
  <c r="EN145" i="2"/>
  <c r="EL52" i="2"/>
  <c r="AZ52" i="2"/>
  <c r="EL111" i="2"/>
  <c r="AZ111" i="2"/>
  <c r="EL127" i="2"/>
  <c r="AZ127" i="2"/>
  <c r="AZ144" i="2"/>
  <c r="EL144" i="2"/>
  <c r="EM54" i="2"/>
  <c r="BD54" i="2"/>
  <c r="EO141" i="2"/>
  <c r="BL141" i="2"/>
  <c r="AZ164" i="2"/>
  <c r="EL164" i="2"/>
  <c r="EL23" i="2"/>
  <c r="AZ23" i="2"/>
  <c r="EM53" i="2"/>
  <c r="BD53" i="2"/>
  <c r="AZ46" i="2"/>
  <c r="EL46" i="2"/>
  <c r="AZ80" i="2"/>
  <c r="EL80" i="2"/>
  <c r="BD166" i="2"/>
  <c r="EM166" i="2"/>
  <c r="EL42" i="2"/>
  <c r="AZ42" i="2"/>
  <c r="EL152" i="2"/>
  <c r="AZ152" i="2"/>
  <c r="EL198" i="2"/>
  <c r="AZ198" i="2"/>
  <c r="EL181" i="2"/>
  <c r="AZ181" i="2"/>
  <c r="EL15" i="2"/>
  <c r="AZ15" i="2"/>
  <c r="EL95" i="2"/>
  <c r="AZ95" i="2"/>
  <c r="BH94" i="2"/>
  <c r="EN94" i="2"/>
  <c r="EM172" i="2"/>
  <c r="BD172" i="2"/>
  <c r="EN157" i="2"/>
  <c r="BH157" i="2"/>
  <c r="EN63" i="2"/>
  <c r="BH63" i="2"/>
  <c r="EM12" i="2"/>
  <c r="BD12" i="2"/>
  <c r="AZ109" i="2"/>
  <c r="EL109" i="2"/>
  <c r="BD5" i="2"/>
  <c r="EM5" i="2"/>
  <c r="EL22" i="2"/>
  <c r="AZ22" i="2"/>
  <c r="EM155" i="2"/>
  <c r="BD155" i="2"/>
  <c r="EM175" i="2"/>
  <c r="BD175" i="2"/>
  <c r="AZ149" i="2"/>
  <c r="EL149" i="2"/>
  <c r="AZ190" i="2"/>
  <c r="EL190" i="2"/>
  <c r="EN27" i="2"/>
  <c r="BH27" i="2"/>
  <c r="EM34" i="2"/>
  <c r="BD34" i="2"/>
  <c r="EL136" i="2"/>
  <c r="AZ136" i="2"/>
  <c r="AZ201" i="2"/>
  <c r="EL201" i="2"/>
  <c r="EL185" i="2"/>
  <c r="AZ185" i="2"/>
  <c r="EM61" i="2"/>
  <c r="BD61" i="2"/>
  <c r="EM48" i="2"/>
  <c r="BD48" i="2"/>
  <c r="EL71" i="2"/>
  <c r="AZ71" i="2"/>
  <c r="AV31" i="2"/>
  <c r="EK31" i="2"/>
  <c r="BD97" i="2"/>
  <c r="EM97" i="2"/>
  <c r="EN20" i="2"/>
  <c r="BH20" i="2"/>
  <c r="EL128" i="2"/>
  <c r="AZ128" i="2"/>
  <c r="EL146" i="2"/>
  <c r="AZ146" i="2"/>
  <c r="EL47" i="2"/>
  <c r="AZ47" i="2"/>
  <c r="EL84" i="2"/>
  <c r="AZ84" i="2"/>
  <c r="EM188" i="2"/>
  <c r="BD188" i="2"/>
  <c r="EL202" i="2"/>
  <c r="AZ202" i="2"/>
  <c r="BD66" i="2"/>
  <c r="EM66" i="2"/>
  <c r="EL134" i="2"/>
  <c r="AZ134" i="2"/>
  <c r="EM69" i="2"/>
  <c r="BD69" i="2"/>
  <c r="BD162" i="2"/>
  <c r="EM162" i="2"/>
  <c r="BD92" i="2"/>
  <c r="EM92" i="2"/>
  <c r="EM143" i="2"/>
  <c r="BD143" i="2"/>
  <c r="EL29" i="2"/>
  <c r="AZ29" i="2"/>
  <c r="EM156" i="2"/>
  <c r="BD156" i="2"/>
  <c r="EM28" i="2"/>
  <c r="BD28" i="2"/>
  <c r="BH67" i="2"/>
  <c r="EN67" i="2"/>
  <c r="EL194" i="2"/>
  <c r="AZ194" i="2"/>
  <c r="EL39" i="2"/>
  <c r="AZ39" i="2"/>
  <c r="EM85" i="2"/>
  <c r="BD85" i="2"/>
  <c r="EM78" i="2"/>
  <c r="BD78" i="2"/>
  <c r="EL76" i="2"/>
  <c r="AZ76" i="2"/>
  <c r="EL41" i="2"/>
  <c r="AZ41" i="2"/>
  <c r="EL11" i="2"/>
  <c r="AZ11" i="2"/>
  <c r="EM62" i="2"/>
  <c r="BD62" i="2"/>
  <c r="AZ105" i="2"/>
  <c r="EL105" i="2"/>
  <c r="EM158" i="2"/>
  <c r="BD158" i="2"/>
  <c r="EL126" i="2"/>
  <c r="AZ126" i="2"/>
  <c r="EL140" i="2"/>
  <c r="AZ140" i="2"/>
  <c r="EL64" i="2"/>
  <c r="AZ64" i="2"/>
  <c r="EM88" i="2"/>
  <c r="BD88" i="2"/>
  <c r="EL186" i="2"/>
  <c r="AZ186" i="2"/>
  <c r="EL129" i="2"/>
  <c r="AZ129" i="2"/>
  <c r="EM179" i="2"/>
  <c r="BD179" i="2"/>
  <c r="BD159" i="2"/>
  <c r="EM159" i="2"/>
  <c r="EL86" i="2"/>
  <c r="AZ86" i="2"/>
  <c r="EL107" i="2"/>
  <c r="AZ107" i="2"/>
  <c r="EN100" i="2"/>
  <c r="BH100" i="2"/>
  <c r="AZ178" i="2"/>
  <c r="EL178" i="2"/>
  <c r="EM125" i="2"/>
  <c r="BD125" i="2"/>
  <c r="BD122" i="2"/>
  <c r="EM122" i="2"/>
  <c r="EM26" i="2"/>
  <c r="BD26" i="2"/>
  <c r="EM57" i="2"/>
  <c r="BD57" i="2"/>
  <c r="EN121" i="2"/>
  <c r="BH121" i="2"/>
  <c r="BD50" i="2"/>
  <c r="EM50" i="2"/>
  <c r="EM65" i="2"/>
  <c r="BD65" i="2"/>
  <c r="BH90" i="2"/>
  <c r="EN90" i="2"/>
  <c r="EN119" i="2"/>
  <c r="BH119" i="2"/>
  <c r="EM82" i="2"/>
  <c r="BD82" i="2"/>
  <c r="EM176" i="2"/>
  <c r="BD176" i="2"/>
  <c r="EN116" i="2"/>
  <c r="BH116" i="2"/>
  <c r="EL142" i="2"/>
  <c r="AZ142" i="2"/>
  <c r="EL17" i="2"/>
  <c r="AZ17" i="2"/>
  <c r="EM139" i="2"/>
  <c r="BD139" i="2"/>
  <c r="EL35" i="2"/>
  <c r="AZ35" i="2"/>
  <c r="BH160" i="2"/>
  <c r="EN160" i="2"/>
  <c r="EL131" i="2"/>
  <c r="AZ131" i="2"/>
  <c r="EL91" i="2"/>
  <c r="AZ91" i="2"/>
  <c r="EL56" i="2"/>
  <c r="AZ56" i="2"/>
  <c r="EM101" i="2"/>
  <c r="BD101" i="2"/>
  <c r="AZ3" i="2"/>
  <c r="EL3" i="2"/>
  <c r="EM118" i="2"/>
  <c r="BD118" i="2"/>
  <c r="EM51" i="2"/>
  <c r="BD51" i="2"/>
  <c r="EM195" i="2"/>
  <c r="BD195" i="2"/>
  <c r="EM81" i="2"/>
  <c r="BD81" i="2"/>
  <c r="EL83" i="2"/>
  <c r="AZ83" i="2"/>
  <c r="BH151" i="2"/>
  <c r="EN151" i="2"/>
  <c r="EL133" i="2"/>
  <c r="AZ133" i="2"/>
  <c r="AZ169" i="2"/>
  <c r="EL169" i="2"/>
  <c r="EL113" i="2"/>
  <c r="AZ113" i="2"/>
  <c r="EM45" i="2"/>
  <c r="BD45" i="2"/>
  <c r="AZ137" i="2"/>
  <c r="EL137" i="2"/>
  <c r="BD36" i="2"/>
  <c r="EM36" i="2"/>
  <c r="EL7" i="2"/>
  <c r="AZ7" i="2"/>
  <c r="EN185" i="3"/>
  <c r="EM185" i="3"/>
  <c r="EM167" i="3"/>
  <c r="EN167" i="3"/>
  <c r="EM175" i="3"/>
  <c r="EN175" i="3"/>
  <c r="EM164" i="3"/>
  <c r="EN164" i="3"/>
  <c r="EM172" i="3"/>
  <c r="EN172" i="3"/>
  <c r="EM202" i="3"/>
  <c r="EN202" i="3"/>
  <c r="EN174" i="3"/>
  <c r="EM174" i="3"/>
  <c r="EM166" i="3"/>
  <c r="EN166" i="3"/>
  <c r="EN128" i="3"/>
  <c r="EM128" i="3"/>
  <c r="EM181" i="3"/>
  <c r="EN181" i="3"/>
  <c r="EM169" i="3"/>
  <c r="EN169" i="3"/>
  <c r="EN183" i="3"/>
  <c r="EM183" i="3"/>
  <c r="EN126" i="3"/>
  <c r="EM126" i="3"/>
  <c r="EN121" i="3"/>
  <c r="EM121" i="3"/>
  <c r="AV44" i="2"/>
  <c r="EK44" i="2"/>
  <c r="EK72" i="2"/>
  <c r="AV72" i="2"/>
  <c r="EK10" i="2"/>
  <c r="AV10" i="2"/>
  <c r="EK153" i="2"/>
  <c r="AV153" i="2"/>
  <c r="EK165" i="2"/>
  <c r="AV165" i="2"/>
  <c r="BL104" i="2"/>
  <c r="EO104" i="2"/>
  <c r="EL123" i="3"/>
  <c r="EM154" i="2"/>
  <c r="BD154" i="2"/>
  <c r="AV123" i="2"/>
  <c r="EK123" i="2"/>
  <c r="BH70" i="2"/>
  <c r="EN70" i="2"/>
  <c r="DX153" i="21" l="1"/>
  <c r="FG153" i="21" s="1"/>
  <c r="FF153" i="21"/>
  <c r="DG185" i="5"/>
  <c r="AN185" i="5"/>
  <c r="AN163" i="5"/>
  <c r="DG163" i="5"/>
  <c r="DG175" i="5"/>
  <c r="AN175" i="5"/>
  <c r="DG171" i="5"/>
  <c r="AN171" i="5"/>
  <c r="AN162" i="5"/>
  <c r="DG162" i="5"/>
  <c r="DG169" i="5"/>
  <c r="AN169" i="5"/>
  <c r="DG181" i="5"/>
  <c r="AN181" i="5"/>
  <c r="DG183" i="5"/>
  <c r="AN183" i="5"/>
  <c r="DG179" i="5"/>
  <c r="AN179" i="5"/>
  <c r="AN143" i="5"/>
  <c r="DG143" i="5"/>
  <c r="AN201" i="5"/>
  <c r="DG201" i="5"/>
  <c r="AN133" i="5"/>
  <c r="DG133" i="5"/>
  <c r="AN137" i="5"/>
  <c r="DG137" i="5"/>
  <c r="AN121" i="5"/>
  <c r="DG121" i="5"/>
  <c r="DG182" i="5"/>
  <c r="AN182" i="5"/>
  <c r="AN168" i="5"/>
  <c r="DG168" i="5"/>
  <c r="AN140" i="5"/>
  <c r="DG140" i="5"/>
  <c r="AN141" i="5"/>
  <c r="DG141" i="5"/>
  <c r="DG186" i="5"/>
  <c r="AN186" i="5"/>
  <c r="DG177" i="5"/>
  <c r="AN177" i="5"/>
  <c r="DG178" i="5"/>
  <c r="AN178" i="5"/>
  <c r="AN161" i="5"/>
  <c r="DG161" i="5"/>
  <c r="AN184" i="5"/>
  <c r="DG184" i="5"/>
  <c r="DG170" i="5"/>
  <c r="AN170" i="5"/>
  <c r="DG174" i="5"/>
  <c r="AN174" i="5"/>
  <c r="AN128" i="5"/>
  <c r="DG128" i="5"/>
  <c r="AN180" i="5"/>
  <c r="DG180" i="5"/>
  <c r="AN124" i="5"/>
  <c r="DG124" i="5"/>
  <c r="AN176" i="5"/>
  <c r="DG176" i="5"/>
  <c r="AN126" i="5"/>
  <c r="DG126" i="5"/>
  <c r="AN172" i="5"/>
  <c r="DG172" i="5"/>
  <c r="AN105" i="5"/>
  <c r="DG105" i="5"/>
  <c r="AN125" i="5"/>
  <c r="DG125" i="5"/>
  <c r="AN142" i="5"/>
  <c r="DG142" i="5"/>
  <c r="AN122" i="5"/>
  <c r="DG122" i="5"/>
  <c r="AN138" i="5"/>
  <c r="DG138" i="5"/>
  <c r="AN123" i="5"/>
  <c r="DG123" i="5"/>
  <c r="DG187" i="5"/>
  <c r="AN187" i="5"/>
  <c r="DE3" i="5"/>
  <c r="DE203" i="5" s="1"/>
  <c r="L67" i="19" s="1"/>
  <c r="AH3" i="5"/>
  <c r="EN173" i="3"/>
  <c r="EM156" i="3"/>
  <c r="EM131" i="3"/>
  <c r="EN157" i="3"/>
  <c r="EM155" i="3"/>
  <c r="EL137" i="3"/>
  <c r="EM159" i="3"/>
  <c r="EL127" i="3"/>
  <c r="EL145" i="3"/>
  <c r="EL136" i="3"/>
  <c r="EL158" i="3"/>
  <c r="EL168" i="3"/>
  <c r="EL162" i="3"/>
  <c r="EL161" i="3"/>
  <c r="EL170" i="3"/>
  <c r="EL138" i="3"/>
  <c r="EL163" i="3"/>
  <c r="EL142" i="3"/>
  <c r="EL122" i="3"/>
  <c r="BP141" i="2"/>
  <c r="EP141" i="2"/>
  <c r="BP104" i="2"/>
  <c r="EP104" i="2"/>
  <c r="EK30" i="2"/>
  <c r="AV30" i="2"/>
  <c r="EK6" i="2"/>
  <c r="AV6" i="2"/>
  <c r="AV187" i="2"/>
  <c r="EK187" i="2"/>
  <c r="EJ189" i="2"/>
  <c r="AR189" i="2"/>
  <c r="AR193" i="2"/>
  <c r="EJ193" i="2"/>
  <c r="EK132" i="3"/>
  <c r="AR132" i="2"/>
  <c r="EJ132" i="2"/>
  <c r="AR102" i="2"/>
  <c r="EJ102" i="2"/>
  <c r="AV103" i="2"/>
  <c r="EK103" i="2"/>
  <c r="EK79" i="2"/>
  <c r="AV79" i="2"/>
  <c r="AV19" i="2"/>
  <c r="EK19" i="2"/>
  <c r="EJ9" i="2"/>
  <c r="AR9" i="2"/>
  <c r="EJ14" i="2"/>
  <c r="AR14" i="2"/>
  <c r="AR43" i="2"/>
  <c r="EJ43" i="2"/>
  <c r="EK8" i="2"/>
  <c r="AV8" i="2"/>
  <c r="EK13" i="2"/>
  <c r="AV13" i="2"/>
  <c r="EK4" i="2"/>
  <c r="AV4" i="2"/>
  <c r="EK73" i="2"/>
  <c r="AV73" i="2"/>
  <c r="EO120" i="21"/>
  <c r="EP50" i="21"/>
  <c r="EP187" i="21"/>
  <c r="EP53" i="21"/>
  <c r="EP29" i="21"/>
  <c r="EP6" i="21"/>
  <c r="EP4" i="21"/>
  <c r="EP152" i="21"/>
  <c r="EP115" i="21"/>
  <c r="EP141" i="21"/>
  <c r="EP44" i="21"/>
  <c r="EP128" i="21"/>
  <c r="EP112" i="21"/>
  <c r="EP45" i="21"/>
  <c r="EP150" i="21"/>
  <c r="EP47" i="21"/>
  <c r="EP145" i="21"/>
  <c r="EP139" i="21"/>
  <c r="BL3" i="21"/>
  <c r="EP3" i="21"/>
  <c r="EP140" i="21"/>
  <c r="EP120" i="21"/>
  <c r="EP163" i="21"/>
  <c r="EP164" i="21"/>
  <c r="EP22" i="21"/>
  <c r="EP196" i="21"/>
  <c r="EP48" i="21"/>
  <c r="EP30" i="21"/>
  <c r="EP118" i="21"/>
  <c r="EP109" i="21"/>
  <c r="EP166" i="21"/>
  <c r="EP127" i="21"/>
  <c r="EP147" i="21"/>
  <c r="EP154" i="21"/>
  <c r="EP55" i="21"/>
  <c r="EP8" i="21"/>
  <c r="EP33" i="21"/>
  <c r="EP52" i="21"/>
  <c r="EP113" i="21"/>
  <c r="EP197" i="21"/>
  <c r="EP188" i="21"/>
  <c r="EO200" i="21"/>
  <c r="EO24" i="21"/>
  <c r="EO138" i="21"/>
  <c r="EO70" i="21"/>
  <c r="EO179" i="21"/>
  <c r="EO38" i="21"/>
  <c r="EO65" i="21"/>
  <c r="EO5" i="21"/>
  <c r="EO111" i="21"/>
  <c r="EO97" i="21"/>
  <c r="EO124" i="21"/>
  <c r="EO178" i="21"/>
  <c r="EO174" i="21"/>
  <c r="EO181" i="21"/>
  <c r="EO82" i="21"/>
  <c r="EO146" i="21"/>
  <c r="EO137" i="21"/>
  <c r="EO117" i="21"/>
  <c r="EO110" i="21"/>
  <c r="EO18" i="21"/>
  <c r="EO105" i="21"/>
  <c r="EO28" i="21"/>
  <c r="EO170" i="21"/>
  <c r="EO106" i="21"/>
  <c r="EO9" i="21"/>
  <c r="EO133" i="21"/>
  <c r="EO142" i="21"/>
  <c r="EO77" i="21"/>
  <c r="EO173" i="21"/>
  <c r="EO153" i="21"/>
  <c r="EO123" i="21"/>
  <c r="EO37" i="21"/>
  <c r="EO49" i="21"/>
  <c r="EO136" i="21"/>
  <c r="EO202" i="21"/>
  <c r="EO125" i="21"/>
  <c r="EO43" i="21"/>
  <c r="EO130" i="21"/>
  <c r="EO80" i="21"/>
  <c r="EO134" i="21"/>
  <c r="EO74" i="21"/>
  <c r="EO60" i="21"/>
  <c r="EO116" i="21"/>
  <c r="EO165" i="21"/>
  <c r="EO180" i="21"/>
  <c r="EO171" i="21"/>
  <c r="EO189" i="21"/>
  <c r="EO79" i="21"/>
  <c r="EO73" i="21"/>
  <c r="EO191" i="21"/>
  <c r="EO121" i="21"/>
  <c r="EO156" i="21"/>
  <c r="EO59" i="21"/>
  <c r="EO90" i="21"/>
  <c r="EO119" i="21"/>
  <c r="EO122" i="21"/>
  <c r="EO161" i="21"/>
  <c r="EO87" i="21"/>
  <c r="EO41" i="21"/>
  <c r="EO57" i="21"/>
  <c r="EO132" i="21"/>
  <c r="EO172" i="21"/>
  <c r="EO83" i="21"/>
  <c r="EO42" i="21"/>
  <c r="EO10" i="21"/>
  <c r="EO143" i="21"/>
  <c r="EO184" i="21"/>
  <c r="EO149" i="21"/>
  <c r="EO107" i="21"/>
  <c r="EO114" i="21"/>
  <c r="EO51" i="21"/>
  <c r="EO148" i="21"/>
  <c r="EO135" i="21"/>
  <c r="EO104" i="21"/>
  <c r="EO195" i="21"/>
  <c r="EO71" i="21"/>
  <c r="EO129" i="21"/>
  <c r="EN71" i="21"/>
  <c r="EN35" i="21"/>
  <c r="EN36" i="21"/>
  <c r="EN102" i="21"/>
  <c r="EN72" i="21"/>
  <c r="EN168" i="21"/>
  <c r="EN67" i="21"/>
  <c r="EN175" i="21"/>
  <c r="EN76" i="21"/>
  <c r="EN167" i="21"/>
  <c r="EN20" i="21"/>
  <c r="EN182" i="21"/>
  <c r="EN88" i="21"/>
  <c r="EN131" i="21"/>
  <c r="EN201" i="21"/>
  <c r="EN192" i="21"/>
  <c r="EN40" i="21"/>
  <c r="EN66" i="21"/>
  <c r="EN85" i="21"/>
  <c r="EN103" i="21"/>
  <c r="EN126" i="21"/>
  <c r="EN98" i="21"/>
  <c r="EN96" i="21"/>
  <c r="EN86" i="21"/>
  <c r="EN34" i="21"/>
  <c r="EN162" i="21"/>
  <c r="EN89" i="21"/>
  <c r="EN160" i="21"/>
  <c r="EN63" i="21"/>
  <c r="EN159" i="21"/>
  <c r="EN14" i="21"/>
  <c r="EN194" i="21"/>
  <c r="EN69" i="21"/>
  <c r="EN39" i="21"/>
  <c r="EN16" i="21"/>
  <c r="EN186" i="21"/>
  <c r="EN27" i="21"/>
  <c r="EN13" i="21"/>
  <c r="EN78" i="21"/>
  <c r="EN101" i="21"/>
  <c r="EN15" i="21"/>
  <c r="EN81" i="21"/>
  <c r="EN17" i="21"/>
  <c r="EN176" i="21"/>
  <c r="EN32" i="21"/>
  <c r="EN94" i="21"/>
  <c r="EN108" i="21"/>
  <c r="EN62" i="21"/>
  <c r="EN199" i="21"/>
  <c r="EN169" i="21"/>
  <c r="EN92" i="21"/>
  <c r="EN68" i="21"/>
  <c r="EN151" i="21"/>
  <c r="EN190" i="21"/>
  <c r="EN25" i="21"/>
  <c r="EN64" i="21"/>
  <c r="EN61" i="21"/>
  <c r="EN23" i="21"/>
  <c r="EN99" i="21"/>
  <c r="EN157" i="21"/>
  <c r="EN198" i="21"/>
  <c r="EN158" i="21"/>
  <c r="EN84" i="21"/>
  <c r="EN31" i="21"/>
  <c r="EN26" i="21"/>
  <c r="EN183" i="21"/>
  <c r="EN91" i="21"/>
  <c r="EN93" i="21"/>
  <c r="EN185" i="21"/>
  <c r="EN95" i="21"/>
  <c r="EN193" i="21"/>
  <c r="EN75" i="21"/>
  <c r="EN100" i="21"/>
  <c r="EN12" i="21"/>
  <c r="EN177" i="21"/>
  <c r="EN144" i="21"/>
  <c r="EN19" i="21"/>
  <c r="EN112" i="2"/>
  <c r="EM59" i="2"/>
  <c r="BD59" i="2"/>
  <c r="EM148" i="2"/>
  <c r="BD148" i="2"/>
  <c r="EM55" i="2"/>
  <c r="BD55" i="2"/>
  <c r="EM108" i="2"/>
  <c r="BD108" i="2"/>
  <c r="BD40" i="2"/>
  <c r="EM40" i="2"/>
  <c r="EM110" i="2"/>
  <c r="BD110" i="2"/>
  <c r="BH138" i="2"/>
  <c r="EN138" i="2"/>
  <c r="EL33" i="2"/>
  <c r="AZ33" i="2"/>
  <c r="EM37" i="2"/>
  <c r="BD37" i="2"/>
  <c r="EM21" i="2"/>
  <c r="BD21" i="2"/>
  <c r="EM180" i="2"/>
  <c r="BD180" i="2"/>
  <c r="BD98" i="2"/>
  <c r="EM98" i="2"/>
  <c r="EM93" i="2"/>
  <c r="BD93" i="2"/>
  <c r="EM200" i="2"/>
  <c r="BD200" i="2"/>
  <c r="EM177" i="2"/>
  <c r="BD177" i="2"/>
  <c r="EM124" i="2"/>
  <c r="BD124" i="2"/>
  <c r="EM163" i="2"/>
  <c r="BD163" i="2"/>
  <c r="BH171" i="2"/>
  <c r="EN171" i="2"/>
  <c r="EN167" i="2"/>
  <c r="BH167" i="2"/>
  <c r="EM89" i="2"/>
  <c r="BD89" i="2"/>
  <c r="EM106" i="2"/>
  <c r="BD106" i="2"/>
  <c r="EN173" i="2"/>
  <c r="BH173" i="2"/>
  <c r="BD75" i="2"/>
  <c r="EM75" i="2"/>
  <c r="EN196" i="2"/>
  <c r="BH196" i="2"/>
  <c r="EM7" i="2"/>
  <c r="BD7" i="2"/>
  <c r="EM113" i="2"/>
  <c r="BD113" i="2"/>
  <c r="EM41" i="2"/>
  <c r="BD41" i="2"/>
  <c r="EM83" i="2"/>
  <c r="BD83" i="2"/>
  <c r="EN51" i="2"/>
  <c r="BH51" i="2"/>
  <c r="EN101" i="2"/>
  <c r="BH101" i="2"/>
  <c r="EM131" i="2"/>
  <c r="BD131" i="2"/>
  <c r="EN139" i="2"/>
  <c r="BH139" i="2"/>
  <c r="EO116" i="2"/>
  <c r="BL116" i="2"/>
  <c r="EM140" i="2"/>
  <c r="BD140" i="2"/>
  <c r="EM76" i="2"/>
  <c r="BD76" i="2"/>
  <c r="BD39" i="2"/>
  <c r="EM39" i="2"/>
  <c r="EN28" i="2"/>
  <c r="BH28" i="2"/>
  <c r="EM84" i="2"/>
  <c r="BD84" i="2"/>
  <c r="EO20" i="2"/>
  <c r="BL20" i="2"/>
  <c r="BH48" i="2"/>
  <c r="EN48" i="2"/>
  <c r="EM136" i="2"/>
  <c r="BD136" i="2"/>
  <c r="BD22" i="2"/>
  <c r="EM22" i="2"/>
  <c r="BH172" i="2"/>
  <c r="EN172" i="2"/>
  <c r="EM95" i="2"/>
  <c r="BD95" i="2"/>
  <c r="EN54" i="2"/>
  <c r="BH54" i="2"/>
  <c r="BD111" i="2"/>
  <c r="EM111" i="2"/>
  <c r="EM182" i="2"/>
  <c r="BD182" i="2"/>
  <c r="BH183" i="2"/>
  <c r="EN183" i="2"/>
  <c r="EN135" i="2"/>
  <c r="BH135" i="2"/>
  <c r="BH150" i="2"/>
  <c r="EN150" i="2"/>
  <c r="EM120" i="2"/>
  <c r="BD120" i="2"/>
  <c r="BH191" i="2"/>
  <c r="EN191" i="2"/>
  <c r="EN130" i="2"/>
  <c r="BH130" i="2"/>
  <c r="EO114" i="2"/>
  <c r="BL114" i="2"/>
  <c r="BH36" i="2"/>
  <c r="EN36" i="2"/>
  <c r="EN50" i="2"/>
  <c r="BH50" i="2"/>
  <c r="EN122" i="2"/>
  <c r="BH122" i="2"/>
  <c r="EM105" i="2"/>
  <c r="BD105" i="2"/>
  <c r="EN92" i="2"/>
  <c r="BH92" i="2"/>
  <c r="EN66" i="2"/>
  <c r="BH66" i="2"/>
  <c r="EM149" i="2"/>
  <c r="BD149" i="2"/>
  <c r="EM80" i="2"/>
  <c r="BD80" i="2"/>
  <c r="EN58" i="2"/>
  <c r="BH58" i="2"/>
  <c r="BD184" i="2"/>
  <c r="EM184" i="2"/>
  <c r="EN81" i="2"/>
  <c r="BH81" i="2"/>
  <c r="EM17" i="2"/>
  <c r="BD17" i="2"/>
  <c r="EN176" i="2"/>
  <c r="BH176" i="2"/>
  <c r="EO121" i="2"/>
  <c r="BL121" i="2"/>
  <c r="EN125" i="2"/>
  <c r="BH125" i="2"/>
  <c r="EM186" i="2"/>
  <c r="BD186" i="2"/>
  <c r="EM126" i="2"/>
  <c r="BD126" i="2"/>
  <c r="EN62" i="2"/>
  <c r="BH62" i="2"/>
  <c r="EN78" i="2"/>
  <c r="BH78" i="2"/>
  <c r="EN156" i="2"/>
  <c r="BH156" i="2"/>
  <c r="EM202" i="2"/>
  <c r="BD202" i="2"/>
  <c r="EM47" i="2"/>
  <c r="BD47" i="2"/>
  <c r="BH61" i="2"/>
  <c r="EN61" i="2"/>
  <c r="EN12" i="2"/>
  <c r="BH12" i="2"/>
  <c r="EM15" i="2"/>
  <c r="BD15" i="2"/>
  <c r="EM152" i="2"/>
  <c r="BD152" i="2"/>
  <c r="EM52" i="2"/>
  <c r="BD52" i="2"/>
  <c r="EM18" i="2"/>
  <c r="BD18" i="2"/>
  <c r="BD115" i="2"/>
  <c r="EM115" i="2"/>
  <c r="EM32" i="2"/>
  <c r="BD32" i="2"/>
  <c r="EM161" i="2"/>
  <c r="BD161" i="2"/>
  <c r="BH170" i="2"/>
  <c r="EN170" i="2"/>
  <c r="EN87" i="2"/>
  <c r="BH87" i="2"/>
  <c r="EM174" i="2"/>
  <c r="BD174" i="2"/>
  <c r="EM56" i="2"/>
  <c r="BD56" i="2"/>
  <c r="EN34" i="2"/>
  <c r="BH34" i="2"/>
  <c r="EM137" i="2"/>
  <c r="BD137" i="2"/>
  <c r="EM169" i="2"/>
  <c r="BD169" i="2"/>
  <c r="EN159" i="2"/>
  <c r="BH159" i="2"/>
  <c r="BH162" i="2"/>
  <c r="EN162" i="2"/>
  <c r="EN97" i="2"/>
  <c r="BH97" i="2"/>
  <c r="EM46" i="2"/>
  <c r="BD46" i="2"/>
  <c r="BD144" i="2"/>
  <c r="EM144" i="2"/>
  <c r="BD199" i="2"/>
  <c r="EM199" i="2"/>
  <c r="BD25" i="2"/>
  <c r="EM25" i="2"/>
  <c r="EN175" i="2"/>
  <c r="BH175" i="2"/>
  <c r="BH45" i="2"/>
  <c r="EN45" i="2"/>
  <c r="EM133" i="2"/>
  <c r="BD133" i="2"/>
  <c r="BH195" i="2"/>
  <c r="EN195" i="2"/>
  <c r="EN118" i="2"/>
  <c r="BH118" i="2"/>
  <c r="EM91" i="2"/>
  <c r="BD91" i="2"/>
  <c r="BD142" i="2"/>
  <c r="EM142" i="2"/>
  <c r="EN82" i="2"/>
  <c r="BH82" i="2"/>
  <c r="BH57" i="2"/>
  <c r="EN57" i="2"/>
  <c r="EM107" i="2"/>
  <c r="BD107" i="2"/>
  <c r="BH179" i="2"/>
  <c r="EN179" i="2"/>
  <c r="EN88" i="2"/>
  <c r="BH88" i="2"/>
  <c r="EN158" i="2"/>
  <c r="BH158" i="2"/>
  <c r="EM11" i="2"/>
  <c r="BD11" i="2"/>
  <c r="EM194" i="2"/>
  <c r="BD194" i="2"/>
  <c r="EM29" i="2"/>
  <c r="BD29" i="2"/>
  <c r="EN69" i="2"/>
  <c r="BH69" i="2"/>
  <c r="EN188" i="2"/>
  <c r="BH188" i="2"/>
  <c r="EM146" i="2"/>
  <c r="BD146" i="2"/>
  <c r="EM185" i="2"/>
  <c r="BD185" i="2"/>
  <c r="EO27" i="2"/>
  <c r="BL27" i="2"/>
  <c r="EO63" i="2"/>
  <c r="BL63" i="2"/>
  <c r="EM181" i="2"/>
  <c r="BD181" i="2"/>
  <c r="EM42" i="2"/>
  <c r="BD42" i="2"/>
  <c r="BH53" i="2"/>
  <c r="EN53" i="2"/>
  <c r="EM127" i="2"/>
  <c r="BD127" i="2"/>
  <c r="EM117" i="2"/>
  <c r="BD117" i="2"/>
  <c r="EM60" i="2"/>
  <c r="BD60" i="2"/>
  <c r="EN147" i="2"/>
  <c r="BH147" i="2"/>
  <c r="EN74" i="2"/>
  <c r="BH74" i="2"/>
  <c r="EN96" i="2"/>
  <c r="BH96" i="2"/>
  <c r="BH49" i="2"/>
  <c r="EN49" i="2"/>
  <c r="EM99" i="2"/>
  <c r="BD99" i="2"/>
  <c r="EO160" i="2"/>
  <c r="BL160" i="2"/>
  <c r="EO90" i="2"/>
  <c r="BL90" i="2"/>
  <c r="EP90" i="2" s="1"/>
  <c r="EM178" i="2"/>
  <c r="BD178" i="2"/>
  <c r="AZ31" i="2"/>
  <c r="EL31" i="2"/>
  <c r="EN5" i="2"/>
  <c r="BH5" i="2"/>
  <c r="BL94" i="2"/>
  <c r="EO94" i="2"/>
  <c r="EM164" i="2"/>
  <c r="BD164" i="2"/>
  <c r="EO145" i="2"/>
  <c r="BL145" i="2"/>
  <c r="EM35" i="2"/>
  <c r="BD35" i="2"/>
  <c r="EO119" i="2"/>
  <c r="BL119" i="2"/>
  <c r="BH26" i="2"/>
  <c r="EN26" i="2"/>
  <c r="EO100" i="2"/>
  <c r="BL100" i="2"/>
  <c r="BD86" i="2"/>
  <c r="EM86" i="2"/>
  <c r="EM129" i="2"/>
  <c r="BD129" i="2"/>
  <c r="EM64" i="2"/>
  <c r="BD64" i="2"/>
  <c r="EN85" i="2"/>
  <c r="BH85" i="2"/>
  <c r="EN143" i="2"/>
  <c r="BH143" i="2"/>
  <c r="EM134" i="2"/>
  <c r="BD134" i="2"/>
  <c r="EM128" i="2"/>
  <c r="BD128" i="2"/>
  <c r="BD71" i="2"/>
  <c r="EM71" i="2"/>
  <c r="EN155" i="2"/>
  <c r="BH155" i="2"/>
  <c r="EO157" i="2"/>
  <c r="BL157" i="2"/>
  <c r="EO112" i="2"/>
  <c r="BL112" i="2"/>
  <c r="EM198" i="2"/>
  <c r="BD198" i="2"/>
  <c r="EM23" i="2"/>
  <c r="BD23" i="2"/>
  <c r="EN197" i="2"/>
  <c r="BH197" i="2"/>
  <c r="BD16" i="2"/>
  <c r="EM16" i="2"/>
  <c r="EM24" i="2"/>
  <c r="BD24" i="2"/>
  <c r="EO192" i="2"/>
  <c r="BL192" i="2"/>
  <c r="EN77" i="2"/>
  <c r="BH77" i="2"/>
  <c r="EN38" i="2"/>
  <c r="BH38" i="2"/>
  <c r="BH65" i="2"/>
  <c r="EN65" i="2"/>
  <c r="EO151" i="2"/>
  <c r="BL151" i="2"/>
  <c r="EM3" i="2"/>
  <c r="BD3" i="2"/>
  <c r="BL67" i="2"/>
  <c r="EO67" i="2"/>
  <c r="EM201" i="2"/>
  <c r="BD201" i="2"/>
  <c r="EM190" i="2"/>
  <c r="BD190" i="2"/>
  <c r="EM109" i="2"/>
  <c r="BD109" i="2"/>
  <c r="EN166" i="2"/>
  <c r="BH166" i="2"/>
  <c r="BH168" i="2"/>
  <c r="EN168" i="2"/>
  <c r="BD68" i="2"/>
  <c r="EM68" i="2"/>
  <c r="EL165" i="2"/>
  <c r="AZ165" i="2"/>
  <c r="EL153" i="2"/>
  <c r="AZ153" i="2"/>
  <c r="EL72" i="2"/>
  <c r="AZ72" i="2"/>
  <c r="EL123" i="2"/>
  <c r="AZ123" i="2"/>
  <c r="EM123" i="3"/>
  <c r="EN123" i="3"/>
  <c r="EN154" i="2"/>
  <c r="BH154" i="2"/>
  <c r="EL10" i="2"/>
  <c r="AZ10" i="2"/>
  <c r="BL70" i="2"/>
  <c r="EP70" i="2" s="1"/>
  <c r="EO70" i="2"/>
  <c r="AZ44" i="2"/>
  <c r="EL44" i="2"/>
  <c r="DH187" i="5" l="1"/>
  <c r="AQ187" i="5"/>
  <c r="DH170" i="5"/>
  <c r="AQ170" i="5"/>
  <c r="DH177" i="5"/>
  <c r="AQ177" i="5"/>
  <c r="DH183" i="5"/>
  <c r="AQ183" i="5"/>
  <c r="DH169" i="5"/>
  <c r="AQ169" i="5"/>
  <c r="DH171" i="5"/>
  <c r="AQ171" i="5"/>
  <c r="AQ138" i="5"/>
  <c r="DH138" i="5"/>
  <c r="AQ142" i="5"/>
  <c r="DH142" i="5"/>
  <c r="DH105" i="5"/>
  <c r="AQ105" i="5"/>
  <c r="AQ126" i="5"/>
  <c r="DH126" i="5"/>
  <c r="AQ124" i="5"/>
  <c r="DH124" i="5"/>
  <c r="AQ128" i="5"/>
  <c r="DH128" i="5"/>
  <c r="AQ161" i="5"/>
  <c r="DH161" i="5"/>
  <c r="AQ141" i="5"/>
  <c r="DH141" i="5"/>
  <c r="DH168" i="5"/>
  <c r="AQ168" i="5"/>
  <c r="AQ121" i="5"/>
  <c r="DH121" i="5"/>
  <c r="AQ133" i="5"/>
  <c r="DH133" i="5"/>
  <c r="AQ143" i="5"/>
  <c r="DH143" i="5"/>
  <c r="AQ163" i="5"/>
  <c r="DH163" i="5"/>
  <c r="DH174" i="5"/>
  <c r="AQ174" i="5"/>
  <c r="DH178" i="5"/>
  <c r="AQ178" i="5"/>
  <c r="AQ186" i="5"/>
  <c r="DH186" i="5"/>
  <c r="DH182" i="5"/>
  <c r="AQ182" i="5"/>
  <c r="DH179" i="5"/>
  <c r="AQ179" i="5"/>
  <c r="AQ181" i="5"/>
  <c r="DH181" i="5"/>
  <c r="DH175" i="5"/>
  <c r="AQ175" i="5"/>
  <c r="AQ185" i="5"/>
  <c r="DH185" i="5"/>
  <c r="AQ123" i="5"/>
  <c r="DH123" i="5"/>
  <c r="AQ122" i="5"/>
  <c r="DH122" i="5"/>
  <c r="AQ125" i="5"/>
  <c r="DH125" i="5"/>
  <c r="DH172" i="5"/>
  <c r="AQ172" i="5"/>
  <c r="DH176" i="5"/>
  <c r="AQ176" i="5"/>
  <c r="DH180" i="5"/>
  <c r="AQ180" i="5"/>
  <c r="DH184" i="5"/>
  <c r="AQ184" i="5"/>
  <c r="AQ140" i="5"/>
  <c r="DH140" i="5"/>
  <c r="AQ137" i="5"/>
  <c r="DH137" i="5"/>
  <c r="AQ201" i="5"/>
  <c r="DH201" i="5"/>
  <c r="AQ162" i="5"/>
  <c r="DH162" i="5"/>
  <c r="BP3" i="21"/>
  <c r="ER3" i="21" s="1"/>
  <c r="EQ3" i="21"/>
  <c r="DF3" i="5"/>
  <c r="DF203" i="5" s="1"/>
  <c r="M67" i="19" s="1"/>
  <c r="AK3" i="5"/>
  <c r="EN156" i="3"/>
  <c r="EN131" i="3"/>
  <c r="EN155" i="3"/>
  <c r="EM137" i="3"/>
  <c r="EM127" i="3"/>
  <c r="EN159" i="3"/>
  <c r="EM145" i="3"/>
  <c r="EM158" i="3"/>
  <c r="EM136" i="3"/>
  <c r="EM168" i="3"/>
  <c r="EM161" i="3"/>
  <c r="EM162" i="3"/>
  <c r="EM170" i="3"/>
  <c r="EM142" i="3"/>
  <c r="EM122" i="3"/>
  <c r="EM163" i="3"/>
  <c r="EM138" i="3"/>
  <c r="BT104" i="2"/>
  <c r="EQ104" i="2"/>
  <c r="BP94" i="2"/>
  <c r="EP94" i="2"/>
  <c r="BP151" i="2"/>
  <c r="EP151" i="2"/>
  <c r="BP192" i="2"/>
  <c r="EP192" i="2"/>
  <c r="BP112" i="2"/>
  <c r="EP112" i="2"/>
  <c r="BP160" i="2"/>
  <c r="EP160" i="2"/>
  <c r="BP63" i="2"/>
  <c r="EP63" i="2"/>
  <c r="BP20" i="2"/>
  <c r="EP20" i="2"/>
  <c r="BP116" i="2"/>
  <c r="EP116" i="2"/>
  <c r="BP67" i="2"/>
  <c r="EP67" i="2"/>
  <c r="BP157" i="2"/>
  <c r="EP157" i="2"/>
  <c r="BP100" i="2"/>
  <c r="EP100" i="2"/>
  <c r="BP119" i="2"/>
  <c r="EP119" i="2"/>
  <c r="BP145" i="2"/>
  <c r="EP145" i="2"/>
  <c r="BP27" i="2"/>
  <c r="EP27" i="2"/>
  <c r="BP121" i="2"/>
  <c r="EP121" i="2"/>
  <c r="BP114" i="2"/>
  <c r="EP114" i="2"/>
  <c r="BT141" i="2"/>
  <c r="EQ141" i="2"/>
  <c r="BP90" i="2"/>
  <c r="BP70" i="2"/>
  <c r="EO21" i="21"/>
  <c r="AV14" i="2"/>
  <c r="EK14" i="2"/>
  <c r="EK189" i="2"/>
  <c r="AV189" i="2"/>
  <c r="EL73" i="2"/>
  <c r="AZ73" i="2"/>
  <c r="AZ8" i="2"/>
  <c r="EL8" i="2"/>
  <c r="EL4" i="2"/>
  <c r="AZ4" i="2"/>
  <c r="EL19" i="2"/>
  <c r="AZ19" i="2"/>
  <c r="EL132" i="3"/>
  <c r="EK132" i="2"/>
  <c r="AV132" i="2"/>
  <c r="AV102" i="2"/>
  <c r="EK102" i="2"/>
  <c r="AZ187" i="2"/>
  <c r="EL187" i="2"/>
  <c r="AV43" i="2"/>
  <c r="EK43" i="2"/>
  <c r="EK9" i="2"/>
  <c r="AV9" i="2"/>
  <c r="EL79" i="2"/>
  <c r="AZ79" i="2"/>
  <c r="AZ30" i="2"/>
  <c r="EL30" i="2"/>
  <c r="EL6" i="2"/>
  <c r="AZ6" i="2"/>
  <c r="EL103" i="2"/>
  <c r="AZ103" i="2"/>
  <c r="EL13" i="2"/>
  <c r="AZ13" i="2"/>
  <c r="EK193" i="2"/>
  <c r="AV193" i="2"/>
  <c r="EP24" i="21"/>
  <c r="EP71" i="21"/>
  <c r="EP148" i="21"/>
  <c r="EP107" i="21"/>
  <c r="EP10" i="21"/>
  <c r="EP132" i="21"/>
  <c r="EP161" i="21"/>
  <c r="EP59" i="21"/>
  <c r="EP73" i="21"/>
  <c r="EP180" i="21"/>
  <c r="EP74" i="21"/>
  <c r="EP43" i="21"/>
  <c r="EP49" i="21"/>
  <c r="EP173" i="21"/>
  <c r="EP9" i="21"/>
  <c r="EP105" i="21"/>
  <c r="EP137" i="21"/>
  <c r="EP174" i="21"/>
  <c r="EP111" i="21"/>
  <c r="EP179" i="21"/>
  <c r="EP200" i="21"/>
  <c r="EP195" i="21"/>
  <c r="EP21" i="21"/>
  <c r="EP149" i="21"/>
  <c r="EP42" i="21"/>
  <c r="EP57" i="21"/>
  <c r="EP122" i="21"/>
  <c r="EP156" i="21"/>
  <c r="EP79" i="21"/>
  <c r="EP165" i="21"/>
  <c r="EP134" i="21"/>
  <c r="EP125" i="21"/>
  <c r="EP37" i="21"/>
  <c r="EP77" i="21"/>
  <c r="EP106" i="21"/>
  <c r="EP18" i="21"/>
  <c r="EP146" i="21"/>
  <c r="EP178" i="21"/>
  <c r="EP5" i="21"/>
  <c r="EP70" i="21"/>
  <c r="EP104" i="21"/>
  <c r="EP51" i="21"/>
  <c r="EP184" i="21"/>
  <c r="EP83" i="21"/>
  <c r="EP41" i="21"/>
  <c r="EP119" i="21"/>
  <c r="EP121" i="21"/>
  <c r="EP189" i="21"/>
  <c r="EP116" i="21"/>
  <c r="EP80" i="21"/>
  <c r="EP202" i="21"/>
  <c r="EP123" i="21"/>
  <c r="EP142" i="21"/>
  <c r="EP170" i="21"/>
  <c r="EP110" i="21"/>
  <c r="EP82" i="21"/>
  <c r="EP124" i="21"/>
  <c r="EP65" i="21"/>
  <c r="EP138" i="21"/>
  <c r="EP129" i="21"/>
  <c r="EP135" i="21"/>
  <c r="EP114" i="21"/>
  <c r="EP143" i="21"/>
  <c r="EP172" i="21"/>
  <c r="EP87" i="21"/>
  <c r="EP90" i="21"/>
  <c r="EP191" i="21"/>
  <c r="EP171" i="21"/>
  <c r="EP60" i="21"/>
  <c r="EP130" i="21"/>
  <c r="EP136" i="21"/>
  <c r="EP153" i="21"/>
  <c r="EP133" i="21"/>
  <c r="EP28" i="21"/>
  <c r="EP117" i="21"/>
  <c r="EP181" i="21"/>
  <c r="EP97" i="21"/>
  <c r="EP38" i="21"/>
  <c r="EO144" i="21"/>
  <c r="EO12" i="21"/>
  <c r="EO75" i="21"/>
  <c r="EO95" i="21"/>
  <c r="EO93" i="21"/>
  <c r="EO183" i="21"/>
  <c r="EO31" i="21"/>
  <c r="EO158" i="21"/>
  <c r="EO157" i="21"/>
  <c r="EO23" i="21"/>
  <c r="EO64" i="21"/>
  <c r="EO190" i="21"/>
  <c r="EO68" i="21"/>
  <c r="EO169" i="21"/>
  <c r="EO62" i="21"/>
  <c r="EO94" i="21"/>
  <c r="EO176" i="21"/>
  <c r="EO81" i="21"/>
  <c r="EO101" i="21"/>
  <c r="EO13" i="21"/>
  <c r="EO186" i="21"/>
  <c r="EO39" i="21"/>
  <c r="EO194" i="21"/>
  <c r="EO159" i="21"/>
  <c r="EO160" i="21"/>
  <c r="EO162" i="21"/>
  <c r="EO86" i="21"/>
  <c r="EO98" i="21"/>
  <c r="EO103" i="21"/>
  <c r="EO66" i="21"/>
  <c r="EO192" i="21"/>
  <c r="EO131" i="21"/>
  <c r="EO182" i="21"/>
  <c r="EO167" i="21"/>
  <c r="EO175" i="21"/>
  <c r="EO168" i="21"/>
  <c r="EO102" i="21"/>
  <c r="EO35" i="21"/>
  <c r="EO19" i="21"/>
  <c r="EO177" i="21"/>
  <c r="EO100" i="21"/>
  <c r="EO193" i="21"/>
  <c r="EO185" i="21"/>
  <c r="EO91" i="21"/>
  <c r="EO26" i="21"/>
  <c r="EO84" i="21"/>
  <c r="EO198" i="21"/>
  <c r="EO99" i="21"/>
  <c r="EO61" i="21"/>
  <c r="EO25" i="21"/>
  <c r="EO151" i="21"/>
  <c r="EO92" i="21"/>
  <c r="EO199" i="21"/>
  <c r="EO108" i="21"/>
  <c r="EO32" i="21"/>
  <c r="EO17" i="21"/>
  <c r="EO15" i="21"/>
  <c r="EO78" i="21"/>
  <c r="EO27" i="21"/>
  <c r="EO16" i="21"/>
  <c r="EO69" i="21"/>
  <c r="EO14" i="21"/>
  <c r="EO63" i="21"/>
  <c r="EO89" i="21"/>
  <c r="EO34" i="21"/>
  <c r="EO96" i="21"/>
  <c r="EO126" i="21"/>
  <c r="EO85" i="21"/>
  <c r="EO40" i="21"/>
  <c r="EO201" i="21"/>
  <c r="EO88" i="21"/>
  <c r="EO20" i="21"/>
  <c r="EO76" i="21"/>
  <c r="EO67" i="21"/>
  <c r="EO72" i="21"/>
  <c r="EO36" i="21"/>
  <c r="EM7" i="21"/>
  <c r="BH59" i="2"/>
  <c r="EN59" i="2"/>
  <c r="EN55" i="2"/>
  <c r="BH55" i="2"/>
  <c r="EN148" i="2"/>
  <c r="BH148" i="2"/>
  <c r="EN40" i="2"/>
  <c r="BH40" i="2"/>
  <c r="EN108" i="2"/>
  <c r="BH108" i="2"/>
  <c r="EN110" i="2"/>
  <c r="BH110" i="2"/>
  <c r="EO138" i="2"/>
  <c r="BL138" i="2"/>
  <c r="EN37" i="2"/>
  <c r="BH37" i="2"/>
  <c r="BD33" i="2"/>
  <c r="EM33" i="2"/>
  <c r="EN124" i="2"/>
  <c r="BH124" i="2"/>
  <c r="EN93" i="2"/>
  <c r="BH93" i="2"/>
  <c r="EN177" i="2"/>
  <c r="BH177" i="2"/>
  <c r="EN98" i="2"/>
  <c r="BH98" i="2"/>
  <c r="EN180" i="2"/>
  <c r="BH180" i="2"/>
  <c r="EN163" i="2"/>
  <c r="BH163" i="2"/>
  <c r="BH200" i="2"/>
  <c r="EN200" i="2"/>
  <c r="EN21" i="2"/>
  <c r="BH21" i="2"/>
  <c r="EN89" i="2"/>
  <c r="BH89" i="2"/>
  <c r="EO196" i="2"/>
  <c r="BL196" i="2"/>
  <c r="EO167" i="2"/>
  <c r="BL167" i="2"/>
  <c r="BH75" i="2"/>
  <c r="EN75" i="2"/>
  <c r="EO173" i="2"/>
  <c r="BL173" i="2"/>
  <c r="EN106" i="2"/>
  <c r="BH106" i="2"/>
  <c r="BL171" i="2"/>
  <c r="EO171" i="2"/>
  <c r="BL87" i="2"/>
  <c r="EO87" i="2"/>
  <c r="EN16" i="2"/>
  <c r="BH16" i="2"/>
  <c r="EN71" i="2"/>
  <c r="BH71" i="2"/>
  <c r="EM31" i="2"/>
  <c r="BD31" i="2"/>
  <c r="EO53" i="2"/>
  <c r="BL53" i="2"/>
  <c r="EO45" i="2"/>
  <c r="BL45" i="2"/>
  <c r="BH25" i="2"/>
  <c r="EN25" i="2"/>
  <c r="EN190" i="2"/>
  <c r="BH190" i="2"/>
  <c r="EO197" i="2"/>
  <c r="BL197" i="2"/>
  <c r="EN128" i="2"/>
  <c r="BH128" i="2"/>
  <c r="BL85" i="2"/>
  <c r="EO85" i="2"/>
  <c r="EN164" i="2"/>
  <c r="BH164" i="2"/>
  <c r="EN178" i="2"/>
  <c r="BH178" i="2"/>
  <c r="EO74" i="2"/>
  <c r="BL74" i="2"/>
  <c r="EN42" i="2"/>
  <c r="BH42" i="2"/>
  <c r="EN185" i="2"/>
  <c r="BH185" i="2"/>
  <c r="EN29" i="2"/>
  <c r="BH29" i="2"/>
  <c r="BL158" i="2"/>
  <c r="EO158" i="2"/>
  <c r="EO118" i="2"/>
  <c r="BL118" i="2"/>
  <c r="EO34" i="2"/>
  <c r="BL34" i="2"/>
  <c r="EN152" i="2"/>
  <c r="BH152" i="2"/>
  <c r="EN186" i="2"/>
  <c r="BH186" i="2"/>
  <c r="BL176" i="2"/>
  <c r="EO176" i="2"/>
  <c r="EO66" i="2"/>
  <c r="BL66" i="2"/>
  <c r="EO50" i="2"/>
  <c r="BL50" i="2"/>
  <c r="EO130" i="2"/>
  <c r="BL130" i="2"/>
  <c r="EO101" i="2"/>
  <c r="BL101" i="2"/>
  <c r="BH68" i="2"/>
  <c r="EN68" i="2"/>
  <c r="EN86" i="2"/>
  <c r="BH86" i="2"/>
  <c r="BL57" i="2"/>
  <c r="EO57" i="2"/>
  <c r="EN199" i="2"/>
  <c r="BH199" i="2"/>
  <c r="EO162" i="2"/>
  <c r="BL162" i="2"/>
  <c r="EO170" i="2"/>
  <c r="BL170" i="2"/>
  <c r="EN115" i="2"/>
  <c r="BH115" i="2"/>
  <c r="EO61" i="2"/>
  <c r="BL61" i="2"/>
  <c r="EN184" i="2"/>
  <c r="BH184" i="2"/>
  <c r="BL150" i="2"/>
  <c r="EO150" i="2"/>
  <c r="EN111" i="2"/>
  <c r="BH111" i="2"/>
  <c r="BL172" i="2"/>
  <c r="EO172" i="2"/>
  <c r="EO48" i="2"/>
  <c r="BL48" i="2"/>
  <c r="BH39" i="2"/>
  <c r="EN39" i="2"/>
  <c r="EN41" i="2"/>
  <c r="BH41" i="2"/>
  <c r="EN201" i="2"/>
  <c r="BH201" i="2"/>
  <c r="EN24" i="2"/>
  <c r="BH24" i="2"/>
  <c r="BH181" i="2"/>
  <c r="EN181" i="2"/>
  <c r="EN146" i="2"/>
  <c r="BH146" i="2"/>
  <c r="BH194" i="2"/>
  <c r="EN194" i="2"/>
  <c r="EO88" i="2"/>
  <c r="BL88" i="2"/>
  <c r="EO82" i="2"/>
  <c r="BL82" i="2"/>
  <c r="BL175" i="2"/>
  <c r="EO175" i="2"/>
  <c r="EO159" i="2"/>
  <c r="BL159" i="2"/>
  <c r="BH56" i="2"/>
  <c r="EN56" i="2"/>
  <c r="EN161" i="2"/>
  <c r="BH161" i="2"/>
  <c r="EN15" i="2"/>
  <c r="BH15" i="2"/>
  <c r="EN47" i="2"/>
  <c r="BH47" i="2"/>
  <c r="EN17" i="2"/>
  <c r="BH17" i="2"/>
  <c r="EO58" i="2"/>
  <c r="BL58" i="2"/>
  <c r="EO92" i="2"/>
  <c r="BL92" i="2"/>
  <c r="EO135" i="2"/>
  <c r="BL135" i="2"/>
  <c r="EO54" i="2"/>
  <c r="BL54" i="2"/>
  <c r="EN76" i="2"/>
  <c r="BH76" i="2"/>
  <c r="EO51" i="2"/>
  <c r="BL51" i="2"/>
  <c r="EN35" i="2"/>
  <c r="BH35" i="2"/>
  <c r="EO147" i="2"/>
  <c r="BL147" i="2"/>
  <c r="EO78" i="2"/>
  <c r="BL78" i="2"/>
  <c r="EO168" i="2"/>
  <c r="BL168" i="2"/>
  <c r="BL65" i="2"/>
  <c r="EO65" i="2"/>
  <c r="EO49" i="2"/>
  <c r="BL49" i="2"/>
  <c r="EO195" i="2"/>
  <c r="BL195" i="2"/>
  <c r="EN144" i="2"/>
  <c r="BH144" i="2"/>
  <c r="BL191" i="2"/>
  <c r="EO191" i="2"/>
  <c r="EN113" i="2"/>
  <c r="BH113" i="2"/>
  <c r="EO166" i="2"/>
  <c r="BL166" i="2"/>
  <c r="EO38" i="2"/>
  <c r="BL38" i="2"/>
  <c r="EN23" i="2"/>
  <c r="BH23" i="2"/>
  <c r="EO155" i="2"/>
  <c r="BL155" i="2"/>
  <c r="EN134" i="2"/>
  <c r="BH134" i="2"/>
  <c r="BH64" i="2"/>
  <c r="EN64" i="2"/>
  <c r="EO5" i="2"/>
  <c r="BL5" i="2"/>
  <c r="EN60" i="2"/>
  <c r="BH60" i="2"/>
  <c r="EN127" i="2"/>
  <c r="BH127" i="2"/>
  <c r="EO188" i="2"/>
  <c r="BL188" i="2"/>
  <c r="BH133" i="2"/>
  <c r="EN133" i="2"/>
  <c r="EN46" i="2"/>
  <c r="BH46" i="2"/>
  <c r="EN169" i="2"/>
  <c r="BH169" i="2"/>
  <c r="EN174" i="2"/>
  <c r="BH174" i="2"/>
  <c r="EN32" i="2"/>
  <c r="BH32" i="2"/>
  <c r="BH18" i="2"/>
  <c r="EN18" i="2"/>
  <c r="EN202" i="2"/>
  <c r="BH202" i="2"/>
  <c r="EO62" i="2"/>
  <c r="BL62" i="2"/>
  <c r="EO125" i="2"/>
  <c r="BL125" i="2"/>
  <c r="EN80" i="2"/>
  <c r="BH80" i="2"/>
  <c r="EN105" i="2"/>
  <c r="BH105" i="2"/>
  <c r="EN84" i="2"/>
  <c r="BH84" i="2"/>
  <c r="EN140" i="2"/>
  <c r="BH140" i="2"/>
  <c r="EO139" i="2"/>
  <c r="BL139" i="2"/>
  <c r="EN83" i="2"/>
  <c r="BH83" i="2"/>
  <c r="EO26" i="2"/>
  <c r="BL26" i="2"/>
  <c r="BL179" i="2"/>
  <c r="EO179" i="2"/>
  <c r="BH142" i="2"/>
  <c r="EN142" i="2"/>
  <c r="EO36" i="2"/>
  <c r="BL36" i="2"/>
  <c r="BL183" i="2"/>
  <c r="EO183" i="2"/>
  <c r="EN22" i="2"/>
  <c r="BH22" i="2"/>
  <c r="EN7" i="2"/>
  <c r="BH7" i="2"/>
  <c r="EN109" i="2"/>
  <c r="BH109" i="2"/>
  <c r="EN3" i="2"/>
  <c r="BH3" i="2"/>
  <c r="EO77" i="2"/>
  <c r="BL77" i="2"/>
  <c r="EN198" i="2"/>
  <c r="BH198" i="2"/>
  <c r="BL143" i="2"/>
  <c r="EO143" i="2"/>
  <c r="EN129" i="2"/>
  <c r="BH129" i="2"/>
  <c r="EN99" i="2"/>
  <c r="BH99" i="2"/>
  <c r="EO96" i="2"/>
  <c r="BL96" i="2"/>
  <c r="BH117" i="2"/>
  <c r="EN117" i="2"/>
  <c r="EO69" i="2"/>
  <c r="BL69" i="2"/>
  <c r="EN11" i="2"/>
  <c r="BH11" i="2"/>
  <c r="EN107" i="2"/>
  <c r="BH107" i="2"/>
  <c r="EN91" i="2"/>
  <c r="BH91" i="2"/>
  <c r="EO97" i="2"/>
  <c r="BL97" i="2"/>
  <c r="EN137" i="2"/>
  <c r="BH137" i="2"/>
  <c r="EN52" i="2"/>
  <c r="BH52" i="2"/>
  <c r="EO12" i="2"/>
  <c r="BL12" i="2"/>
  <c r="EO156" i="2"/>
  <c r="BL156" i="2"/>
  <c r="EN126" i="2"/>
  <c r="BH126" i="2"/>
  <c r="EO81" i="2"/>
  <c r="BL81" i="2"/>
  <c r="EN149" i="2"/>
  <c r="BH149" i="2"/>
  <c r="EO122" i="2"/>
  <c r="BL122" i="2"/>
  <c r="EN120" i="2"/>
  <c r="BH120" i="2"/>
  <c r="EN182" i="2"/>
  <c r="BH182" i="2"/>
  <c r="EN95" i="2"/>
  <c r="BH95" i="2"/>
  <c r="EN136" i="2"/>
  <c r="BH136" i="2"/>
  <c r="EO28" i="2"/>
  <c r="BL28" i="2"/>
  <c r="EN131" i="2"/>
  <c r="BH131" i="2"/>
  <c r="BD10" i="2"/>
  <c r="EM10" i="2"/>
  <c r="EM165" i="2"/>
  <c r="BD165" i="2"/>
  <c r="EM72" i="2"/>
  <c r="BD72" i="2"/>
  <c r="EO154" i="2"/>
  <c r="BL154" i="2"/>
  <c r="EM123" i="2"/>
  <c r="BD123" i="2"/>
  <c r="EM153" i="2"/>
  <c r="BD153" i="2"/>
  <c r="BD44" i="2"/>
  <c r="EM44" i="2"/>
  <c r="AT184" i="5" l="1"/>
  <c r="DI184" i="5"/>
  <c r="AT176" i="5"/>
  <c r="DI176" i="5"/>
  <c r="AT175" i="5"/>
  <c r="DI175" i="5"/>
  <c r="AT179" i="5"/>
  <c r="DI179" i="5"/>
  <c r="AT174" i="5"/>
  <c r="DI174" i="5"/>
  <c r="AT171" i="5"/>
  <c r="DI171" i="5"/>
  <c r="AT183" i="5"/>
  <c r="DI183" i="5"/>
  <c r="AT170" i="5"/>
  <c r="DI170" i="5"/>
  <c r="AT162" i="5"/>
  <c r="DI162" i="5"/>
  <c r="AT137" i="5"/>
  <c r="DI137" i="5"/>
  <c r="AT125" i="5"/>
  <c r="DI125" i="5"/>
  <c r="AT123" i="5"/>
  <c r="DI123" i="5"/>
  <c r="AT186" i="5"/>
  <c r="DI186" i="5"/>
  <c r="AT143" i="5"/>
  <c r="DI143" i="5"/>
  <c r="AT121" i="5"/>
  <c r="DI121" i="5"/>
  <c r="AT141" i="5"/>
  <c r="DI141" i="5"/>
  <c r="AT128" i="5"/>
  <c r="DI128" i="5"/>
  <c r="AT126" i="5"/>
  <c r="DI126" i="5"/>
  <c r="AT142" i="5"/>
  <c r="DI142" i="5"/>
  <c r="AT180" i="5"/>
  <c r="DI180" i="5"/>
  <c r="AT172" i="5"/>
  <c r="DI172" i="5"/>
  <c r="AT182" i="5"/>
  <c r="DI182" i="5"/>
  <c r="AT178" i="5"/>
  <c r="DI178" i="5"/>
  <c r="AT168" i="5"/>
  <c r="DI168" i="5"/>
  <c r="DI105" i="5"/>
  <c r="AT105" i="5"/>
  <c r="AT169" i="5"/>
  <c r="DI169" i="5"/>
  <c r="AT177" i="5"/>
  <c r="DI177" i="5"/>
  <c r="AT187" i="5"/>
  <c r="DI187" i="5"/>
  <c r="AT201" i="5"/>
  <c r="DI201" i="5"/>
  <c r="AT140" i="5"/>
  <c r="DI140" i="5"/>
  <c r="AT122" i="5"/>
  <c r="DI122" i="5"/>
  <c r="AT185" i="5"/>
  <c r="DI185" i="5"/>
  <c r="AT181" i="5"/>
  <c r="DI181" i="5"/>
  <c r="AT163" i="5"/>
  <c r="DI163" i="5"/>
  <c r="AT133" i="5"/>
  <c r="DI133" i="5"/>
  <c r="AT161" i="5"/>
  <c r="DI161" i="5"/>
  <c r="AT124" i="5"/>
  <c r="DI124" i="5"/>
  <c r="AT138" i="5"/>
  <c r="DI138" i="5"/>
  <c r="BT3" i="21"/>
  <c r="ES3" i="21" s="1"/>
  <c r="DG3" i="5"/>
  <c r="DG203" i="5" s="1"/>
  <c r="N67" i="19" s="1"/>
  <c r="AN3" i="5"/>
  <c r="EN137" i="3"/>
  <c r="EN127" i="3"/>
  <c r="EN145" i="3"/>
  <c r="EN136" i="3"/>
  <c r="EN158" i="3"/>
  <c r="EN168" i="3"/>
  <c r="EN170" i="3"/>
  <c r="EN161" i="3"/>
  <c r="EN162" i="3"/>
  <c r="EN163" i="3"/>
  <c r="EN122" i="3"/>
  <c r="EN138" i="3"/>
  <c r="EN142" i="3"/>
  <c r="BP28" i="2"/>
  <c r="EP28" i="2"/>
  <c r="BP12" i="2"/>
  <c r="EP12" i="2"/>
  <c r="BP77" i="2"/>
  <c r="EP77" i="2"/>
  <c r="BP36" i="2"/>
  <c r="EP36" i="2"/>
  <c r="BP125" i="2"/>
  <c r="BT125" i="2" s="1"/>
  <c r="EP125" i="2"/>
  <c r="BP5" i="2"/>
  <c r="EP5" i="2"/>
  <c r="BP166" i="2"/>
  <c r="EP166" i="2"/>
  <c r="BP195" i="2"/>
  <c r="EP195" i="2"/>
  <c r="BP78" i="2"/>
  <c r="EP78" i="2"/>
  <c r="BP135" i="2"/>
  <c r="EP135" i="2"/>
  <c r="BP58" i="2"/>
  <c r="EP58" i="2"/>
  <c r="BP159" i="2"/>
  <c r="EP159" i="2"/>
  <c r="BP82" i="2"/>
  <c r="EP82" i="2"/>
  <c r="BP61" i="2"/>
  <c r="EP61" i="2"/>
  <c r="BP170" i="2"/>
  <c r="EP170" i="2"/>
  <c r="BP101" i="2"/>
  <c r="EP101" i="2"/>
  <c r="BP50" i="2"/>
  <c r="EP50" i="2"/>
  <c r="BP118" i="2"/>
  <c r="EP118" i="2"/>
  <c r="BP197" i="2"/>
  <c r="EP197" i="2"/>
  <c r="BP53" i="2"/>
  <c r="EP53" i="2"/>
  <c r="BP196" i="2"/>
  <c r="EP196" i="2"/>
  <c r="BP138" i="2"/>
  <c r="EP138" i="2"/>
  <c r="BX141" i="2"/>
  <c r="ER141" i="2"/>
  <c r="BT121" i="2"/>
  <c r="EQ121" i="2"/>
  <c r="BT145" i="2"/>
  <c r="EQ145" i="2"/>
  <c r="BT100" i="2"/>
  <c r="EQ100" i="2"/>
  <c r="BP154" i="2"/>
  <c r="EP154" i="2"/>
  <c r="BP143" i="2"/>
  <c r="EP143" i="2"/>
  <c r="BP179" i="2"/>
  <c r="EP179" i="2"/>
  <c r="BP191" i="2"/>
  <c r="EP191" i="2"/>
  <c r="BP65" i="2"/>
  <c r="EP65" i="2"/>
  <c r="BP172" i="2"/>
  <c r="EP172" i="2"/>
  <c r="BP150" i="2"/>
  <c r="EP150" i="2"/>
  <c r="BP176" i="2"/>
  <c r="EP176" i="2"/>
  <c r="BP85" i="2"/>
  <c r="EP85" i="2"/>
  <c r="BP87" i="2"/>
  <c r="EP87" i="2"/>
  <c r="BT70" i="2"/>
  <c r="EQ70" i="2"/>
  <c r="BT67" i="2"/>
  <c r="EQ67" i="2"/>
  <c r="BT20" i="2"/>
  <c r="EQ20" i="2"/>
  <c r="BT160" i="2"/>
  <c r="EQ160" i="2"/>
  <c r="BT192" i="2"/>
  <c r="EQ192" i="2"/>
  <c r="BT94" i="2"/>
  <c r="EQ94" i="2"/>
  <c r="BP122" i="2"/>
  <c r="EP122" i="2"/>
  <c r="BP81" i="2"/>
  <c r="EP81" i="2"/>
  <c r="BP156" i="2"/>
  <c r="EP156" i="2"/>
  <c r="BP97" i="2"/>
  <c r="EP97" i="2"/>
  <c r="BP69" i="2"/>
  <c r="EP69" i="2"/>
  <c r="BP96" i="2"/>
  <c r="EP96" i="2"/>
  <c r="BP26" i="2"/>
  <c r="EP26" i="2"/>
  <c r="BP139" i="2"/>
  <c r="EP139" i="2"/>
  <c r="BP62" i="2"/>
  <c r="EP62" i="2"/>
  <c r="BP188" i="2"/>
  <c r="EP188" i="2"/>
  <c r="BP155" i="2"/>
  <c r="EP155" i="2"/>
  <c r="BP38" i="2"/>
  <c r="EP38" i="2"/>
  <c r="BP49" i="2"/>
  <c r="EP49" i="2"/>
  <c r="BP168" i="2"/>
  <c r="EP168" i="2"/>
  <c r="BP147" i="2"/>
  <c r="EP147" i="2"/>
  <c r="BP51" i="2"/>
  <c r="EP51" i="2"/>
  <c r="BP54" i="2"/>
  <c r="EP54" i="2"/>
  <c r="BP92" i="2"/>
  <c r="EP92" i="2"/>
  <c r="BP88" i="2"/>
  <c r="EP88" i="2"/>
  <c r="BP48" i="2"/>
  <c r="EP48" i="2"/>
  <c r="BP162" i="2"/>
  <c r="EP162" i="2"/>
  <c r="BP130" i="2"/>
  <c r="EP130" i="2"/>
  <c r="BP66" i="2"/>
  <c r="EP66" i="2"/>
  <c r="BP34" i="2"/>
  <c r="EP34" i="2"/>
  <c r="BP74" i="2"/>
  <c r="EP74" i="2"/>
  <c r="BP45" i="2"/>
  <c r="EP45" i="2"/>
  <c r="BP173" i="2"/>
  <c r="EP173" i="2"/>
  <c r="BP167" i="2"/>
  <c r="EP167" i="2"/>
  <c r="BT90" i="2"/>
  <c r="EQ90" i="2"/>
  <c r="BT114" i="2"/>
  <c r="EQ114" i="2"/>
  <c r="BT27" i="2"/>
  <c r="EQ27" i="2"/>
  <c r="BT119" i="2"/>
  <c r="EQ119" i="2"/>
  <c r="BT157" i="2"/>
  <c r="EQ157" i="2"/>
  <c r="BP183" i="2"/>
  <c r="EP183" i="2"/>
  <c r="BP175" i="2"/>
  <c r="EP175" i="2"/>
  <c r="BP57" i="2"/>
  <c r="EP57" i="2"/>
  <c r="BP158" i="2"/>
  <c r="EP158" i="2"/>
  <c r="BP171" i="2"/>
  <c r="EP171" i="2"/>
  <c r="BT116" i="2"/>
  <c r="EQ116" i="2"/>
  <c r="BT63" i="2"/>
  <c r="EQ63" i="2"/>
  <c r="BT112" i="2"/>
  <c r="EQ112" i="2"/>
  <c r="BT151" i="2"/>
  <c r="EQ151" i="2"/>
  <c r="BX104" i="2"/>
  <c r="ER104" i="2"/>
  <c r="BD79" i="2"/>
  <c r="EM79" i="2"/>
  <c r="EM6" i="2"/>
  <c r="BD6" i="2"/>
  <c r="EL9" i="2"/>
  <c r="AZ9" i="2"/>
  <c r="EM19" i="2"/>
  <c r="BD19" i="2"/>
  <c r="AZ193" i="2"/>
  <c r="EL193" i="2"/>
  <c r="EL43" i="2"/>
  <c r="AZ43" i="2"/>
  <c r="EL102" i="2"/>
  <c r="AZ102" i="2"/>
  <c r="EL132" i="2"/>
  <c r="AZ132" i="2"/>
  <c r="EM4" i="2"/>
  <c r="BD4" i="2"/>
  <c r="AZ189" i="2"/>
  <c r="EL189" i="2"/>
  <c r="BD30" i="2"/>
  <c r="EM30" i="2"/>
  <c r="BD103" i="2"/>
  <c r="EM103" i="2"/>
  <c r="EM73" i="2"/>
  <c r="BD73" i="2"/>
  <c r="BD13" i="2"/>
  <c r="EM13" i="2"/>
  <c r="EM132" i="3"/>
  <c r="BD187" i="2"/>
  <c r="EM187" i="2"/>
  <c r="EM8" i="2"/>
  <c r="BD8" i="2"/>
  <c r="EL14" i="2"/>
  <c r="AZ14" i="2"/>
  <c r="EP67" i="21"/>
  <c r="EP201" i="21"/>
  <c r="EP96" i="21"/>
  <c r="EP14" i="21"/>
  <c r="EP78" i="21"/>
  <c r="EP108" i="21"/>
  <c r="EP25" i="21"/>
  <c r="EP84" i="21"/>
  <c r="EP193" i="21"/>
  <c r="EP35" i="21"/>
  <c r="EP167" i="21"/>
  <c r="EP66" i="21"/>
  <c r="EP162" i="21"/>
  <c r="EP39" i="21"/>
  <c r="EP81" i="21"/>
  <c r="EP169" i="21"/>
  <c r="EP23" i="21"/>
  <c r="EP183" i="21"/>
  <c r="EP12" i="21"/>
  <c r="EP76" i="21"/>
  <c r="EP40" i="21"/>
  <c r="EP34" i="21"/>
  <c r="EP69" i="21"/>
  <c r="EP15" i="21"/>
  <c r="EP199" i="21"/>
  <c r="EP61" i="21"/>
  <c r="EP26" i="21"/>
  <c r="EP100" i="21"/>
  <c r="EP102" i="21"/>
  <c r="EP182" i="21"/>
  <c r="EP103" i="21"/>
  <c r="EP160" i="21"/>
  <c r="EP186" i="21"/>
  <c r="EP176" i="21"/>
  <c r="EP68" i="21"/>
  <c r="EP157" i="21"/>
  <c r="EP93" i="21"/>
  <c r="EP144" i="21"/>
  <c r="EP36" i="21"/>
  <c r="EP20" i="21"/>
  <c r="EP85" i="21"/>
  <c r="EP89" i="21"/>
  <c r="EP16" i="21"/>
  <c r="EP17" i="21"/>
  <c r="EP92" i="21"/>
  <c r="EP99" i="21"/>
  <c r="EP91" i="21"/>
  <c r="EP177" i="21"/>
  <c r="EP168" i="21"/>
  <c r="EP131" i="21"/>
  <c r="EP98" i="21"/>
  <c r="EP159" i="21"/>
  <c r="EP13" i="21"/>
  <c r="EP94" i="21"/>
  <c r="EP190" i="21"/>
  <c r="EP158" i="21"/>
  <c r="EP95" i="21"/>
  <c r="EP72" i="21"/>
  <c r="EP88" i="21"/>
  <c r="EP126" i="21"/>
  <c r="EP63" i="21"/>
  <c r="EP27" i="21"/>
  <c r="EP32" i="21"/>
  <c r="EP151" i="21"/>
  <c r="EP198" i="21"/>
  <c r="EP185" i="21"/>
  <c r="EP19" i="21"/>
  <c r="EP175" i="21"/>
  <c r="EP192" i="21"/>
  <c r="EP86" i="21"/>
  <c r="EP194" i="21"/>
  <c r="EP101" i="21"/>
  <c r="EP62" i="21"/>
  <c r="EP64" i="21"/>
  <c r="EP31" i="21"/>
  <c r="EP75" i="21"/>
  <c r="EN7" i="21"/>
  <c r="EO59" i="2"/>
  <c r="BL59" i="2"/>
  <c r="EO148" i="2"/>
  <c r="BL148" i="2"/>
  <c r="EO55" i="2"/>
  <c r="BL55" i="2"/>
  <c r="EO108" i="2"/>
  <c r="BL108" i="2"/>
  <c r="EO40" i="2"/>
  <c r="BL40" i="2"/>
  <c r="EO110" i="2"/>
  <c r="BL110" i="2"/>
  <c r="BH33" i="2"/>
  <c r="EN33" i="2"/>
  <c r="EO37" i="2"/>
  <c r="BL37" i="2"/>
  <c r="EO98" i="2"/>
  <c r="BL98" i="2"/>
  <c r="EO200" i="2"/>
  <c r="BL200" i="2"/>
  <c r="BL163" i="2"/>
  <c r="EO163" i="2"/>
  <c r="BL177" i="2"/>
  <c r="EO177" i="2"/>
  <c r="EO180" i="2"/>
  <c r="BL180" i="2"/>
  <c r="EO93" i="2"/>
  <c r="BL93" i="2"/>
  <c r="EO21" i="2"/>
  <c r="BL21" i="2"/>
  <c r="EO124" i="2"/>
  <c r="BL124" i="2"/>
  <c r="EO75" i="2"/>
  <c r="BL75" i="2"/>
  <c r="EO106" i="2"/>
  <c r="BL106" i="2"/>
  <c r="EO89" i="2"/>
  <c r="BL89" i="2"/>
  <c r="EO117" i="2"/>
  <c r="BL117" i="2"/>
  <c r="EO18" i="2"/>
  <c r="BL18" i="2"/>
  <c r="EO64" i="2"/>
  <c r="BL64" i="2"/>
  <c r="BL194" i="2"/>
  <c r="EO194" i="2"/>
  <c r="EO152" i="2"/>
  <c r="BL152" i="2"/>
  <c r="EO164" i="2"/>
  <c r="BL164" i="2"/>
  <c r="EO190" i="2"/>
  <c r="BL190" i="2"/>
  <c r="EN31" i="2"/>
  <c r="BH31" i="2"/>
  <c r="EO131" i="2"/>
  <c r="BL131" i="2"/>
  <c r="BL182" i="2"/>
  <c r="EO182" i="2"/>
  <c r="EO52" i="2"/>
  <c r="BL52" i="2"/>
  <c r="EO107" i="2"/>
  <c r="BL107" i="2"/>
  <c r="EO198" i="2"/>
  <c r="BL198" i="2"/>
  <c r="EO7" i="2"/>
  <c r="BL7" i="2"/>
  <c r="EO84" i="2"/>
  <c r="BL84" i="2"/>
  <c r="EO32" i="2"/>
  <c r="BL32" i="2"/>
  <c r="EO60" i="2"/>
  <c r="BL60" i="2"/>
  <c r="EO134" i="2"/>
  <c r="BL134" i="2"/>
  <c r="EO15" i="2"/>
  <c r="BL15" i="2"/>
  <c r="EO146" i="2"/>
  <c r="BL146" i="2"/>
  <c r="EO41" i="2"/>
  <c r="BL41" i="2"/>
  <c r="EO111" i="2"/>
  <c r="BL111" i="2"/>
  <c r="EO115" i="2"/>
  <c r="BL115" i="2"/>
  <c r="BL29" i="2"/>
  <c r="EO29" i="2"/>
  <c r="EO71" i="2"/>
  <c r="BL71" i="2"/>
  <c r="EO120" i="2"/>
  <c r="BL120" i="2"/>
  <c r="EO126" i="2"/>
  <c r="BL126" i="2"/>
  <c r="EO137" i="2"/>
  <c r="BL137" i="2"/>
  <c r="EO11" i="2"/>
  <c r="BL11" i="2"/>
  <c r="EO99" i="2"/>
  <c r="BL99" i="2"/>
  <c r="EO22" i="2"/>
  <c r="BL22" i="2"/>
  <c r="EO83" i="2"/>
  <c r="BL83" i="2"/>
  <c r="EO174" i="2"/>
  <c r="BL174" i="2"/>
  <c r="EO113" i="2"/>
  <c r="BL113" i="2"/>
  <c r="EO76" i="2"/>
  <c r="BL76" i="2"/>
  <c r="EO161" i="2"/>
  <c r="BL161" i="2"/>
  <c r="EO86" i="2"/>
  <c r="BL86" i="2"/>
  <c r="EO25" i="2"/>
  <c r="BL25" i="2"/>
  <c r="BL142" i="2"/>
  <c r="EO142" i="2"/>
  <c r="EO133" i="2"/>
  <c r="BL133" i="2"/>
  <c r="EO181" i="2"/>
  <c r="BL181" i="2"/>
  <c r="EO39" i="2"/>
  <c r="BL39" i="2"/>
  <c r="EO186" i="2"/>
  <c r="BL186" i="2"/>
  <c r="EO185" i="2"/>
  <c r="BL185" i="2"/>
  <c r="EO128" i="2"/>
  <c r="BL128" i="2"/>
  <c r="EO16" i="2"/>
  <c r="BL16" i="2"/>
  <c r="EO136" i="2"/>
  <c r="BL136" i="2"/>
  <c r="EP136" i="2" s="1"/>
  <c r="EO129" i="2"/>
  <c r="BL129" i="2"/>
  <c r="EO3" i="2"/>
  <c r="BL3" i="2"/>
  <c r="EO105" i="2"/>
  <c r="BL105" i="2"/>
  <c r="BL202" i="2"/>
  <c r="EO202" i="2"/>
  <c r="EO169" i="2"/>
  <c r="BL169" i="2"/>
  <c r="EO23" i="2"/>
  <c r="BL23" i="2"/>
  <c r="EO17" i="2"/>
  <c r="BL17" i="2"/>
  <c r="EO24" i="2"/>
  <c r="BL24" i="2"/>
  <c r="BL184" i="2"/>
  <c r="EO184" i="2"/>
  <c r="EO56" i="2"/>
  <c r="BL56" i="2"/>
  <c r="EO68" i="2"/>
  <c r="BL68" i="2"/>
  <c r="BL42" i="2"/>
  <c r="EO42" i="2"/>
  <c r="BL178" i="2"/>
  <c r="EO178" i="2"/>
  <c r="EO95" i="2"/>
  <c r="BL95" i="2"/>
  <c r="EO149" i="2"/>
  <c r="BL149" i="2"/>
  <c r="EO91" i="2"/>
  <c r="BL91" i="2"/>
  <c r="EO109" i="2"/>
  <c r="BL109" i="2"/>
  <c r="EO140" i="2"/>
  <c r="BL140" i="2"/>
  <c r="EO80" i="2"/>
  <c r="BL80" i="2"/>
  <c r="EO46" i="2"/>
  <c r="BL46" i="2"/>
  <c r="EO127" i="2"/>
  <c r="BL127" i="2"/>
  <c r="EO144" i="2"/>
  <c r="BL144" i="2"/>
  <c r="EO35" i="2"/>
  <c r="BL35" i="2"/>
  <c r="EO47" i="2"/>
  <c r="BL47" i="2"/>
  <c r="BL201" i="2"/>
  <c r="EO201" i="2"/>
  <c r="EO199" i="2"/>
  <c r="BL199" i="2"/>
  <c r="EN44" i="2"/>
  <c r="BH44" i="2"/>
  <c r="EN72" i="2"/>
  <c r="BH72" i="2"/>
  <c r="EN123" i="2"/>
  <c r="BH123" i="2"/>
  <c r="EN165" i="2"/>
  <c r="BH165" i="2"/>
  <c r="BH153" i="2"/>
  <c r="EN153" i="2"/>
  <c r="BH10" i="2"/>
  <c r="EN10" i="2"/>
  <c r="AW138" i="5" l="1"/>
  <c r="DJ138" i="5"/>
  <c r="AW161" i="5"/>
  <c r="DJ161" i="5"/>
  <c r="AW163" i="5"/>
  <c r="DJ163" i="5"/>
  <c r="AW185" i="5"/>
  <c r="DJ185" i="5"/>
  <c r="AW140" i="5"/>
  <c r="DJ140" i="5"/>
  <c r="DJ187" i="5"/>
  <c r="AW187" i="5"/>
  <c r="AW169" i="5"/>
  <c r="DJ169" i="5"/>
  <c r="AW168" i="5"/>
  <c r="DJ168" i="5"/>
  <c r="AW182" i="5"/>
  <c r="DJ182" i="5"/>
  <c r="AW180" i="5"/>
  <c r="DJ180" i="5"/>
  <c r="AW126" i="5"/>
  <c r="DJ126" i="5"/>
  <c r="AW141" i="5"/>
  <c r="DJ141" i="5"/>
  <c r="AW143" i="5"/>
  <c r="DJ143" i="5"/>
  <c r="AW123" i="5"/>
  <c r="DJ123" i="5"/>
  <c r="AW137" i="5"/>
  <c r="DJ137" i="5"/>
  <c r="AW170" i="5"/>
  <c r="DJ170" i="5"/>
  <c r="DJ171" i="5"/>
  <c r="AW171" i="5"/>
  <c r="DJ179" i="5"/>
  <c r="AW179" i="5"/>
  <c r="AW176" i="5"/>
  <c r="DJ176" i="5"/>
  <c r="AW105" i="5"/>
  <c r="DJ105" i="5"/>
  <c r="AW124" i="5"/>
  <c r="DJ124" i="5"/>
  <c r="AW133" i="5"/>
  <c r="DJ133" i="5"/>
  <c r="AW181" i="5"/>
  <c r="DJ181" i="5"/>
  <c r="AW122" i="5"/>
  <c r="DJ122" i="5"/>
  <c r="DJ201" i="5"/>
  <c r="AW201" i="5"/>
  <c r="AW177" i="5"/>
  <c r="DJ177" i="5"/>
  <c r="AW178" i="5"/>
  <c r="DJ178" i="5"/>
  <c r="AW172" i="5"/>
  <c r="DJ172" i="5"/>
  <c r="AW142" i="5"/>
  <c r="DJ142" i="5"/>
  <c r="AW128" i="5"/>
  <c r="DJ128" i="5"/>
  <c r="AW121" i="5"/>
  <c r="DJ121" i="5"/>
  <c r="AW186" i="5"/>
  <c r="DJ186" i="5"/>
  <c r="AW125" i="5"/>
  <c r="DJ125" i="5"/>
  <c r="AW162" i="5"/>
  <c r="DJ162" i="5"/>
  <c r="DJ183" i="5"/>
  <c r="AW183" i="5"/>
  <c r="AW174" i="5"/>
  <c r="DJ174" i="5"/>
  <c r="DJ175" i="5"/>
  <c r="AW175" i="5"/>
  <c r="AW184" i="5"/>
  <c r="DJ184" i="5"/>
  <c r="BX3" i="21"/>
  <c r="ET3" i="21" s="1"/>
  <c r="DH3" i="5"/>
  <c r="DH203" i="5" s="1"/>
  <c r="O67" i="19" s="1"/>
  <c r="AQ3" i="5"/>
  <c r="BP35" i="2"/>
  <c r="EP35" i="2"/>
  <c r="BP127" i="2"/>
  <c r="EP127" i="2"/>
  <c r="BP80" i="2"/>
  <c r="EP80" i="2"/>
  <c r="BP109" i="2"/>
  <c r="EP109" i="2"/>
  <c r="BP149" i="2"/>
  <c r="EP149" i="2"/>
  <c r="BP68" i="2"/>
  <c r="EP68" i="2"/>
  <c r="BP17" i="2"/>
  <c r="EP17" i="2"/>
  <c r="BP169" i="2"/>
  <c r="EP169" i="2"/>
  <c r="BP105" i="2"/>
  <c r="EP105" i="2"/>
  <c r="BP129" i="2"/>
  <c r="EP129" i="2"/>
  <c r="BP16" i="2"/>
  <c r="EP16" i="2"/>
  <c r="BP185" i="2"/>
  <c r="EP185" i="2"/>
  <c r="BP39" i="2"/>
  <c r="EP39" i="2"/>
  <c r="BP133" i="2"/>
  <c r="EP133" i="2"/>
  <c r="BP25" i="2"/>
  <c r="EP25" i="2"/>
  <c r="BP161" i="2"/>
  <c r="EP161" i="2"/>
  <c r="BP113" i="2"/>
  <c r="EP113" i="2"/>
  <c r="BP83" i="2"/>
  <c r="EP83" i="2"/>
  <c r="BP99" i="2"/>
  <c r="EP99" i="2"/>
  <c r="BP137" i="2"/>
  <c r="EP137" i="2"/>
  <c r="BP120" i="2"/>
  <c r="EP120" i="2"/>
  <c r="BP111" i="2"/>
  <c r="EP111" i="2"/>
  <c r="BP146" i="2"/>
  <c r="EP146" i="2"/>
  <c r="BP134" i="2"/>
  <c r="EP134" i="2"/>
  <c r="BP32" i="2"/>
  <c r="EP32" i="2"/>
  <c r="BP7" i="2"/>
  <c r="EP7" i="2"/>
  <c r="BP107" i="2"/>
  <c r="EP107" i="2"/>
  <c r="BP164" i="2"/>
  <c r="EP164" i="2"/>
  <c r="BP18" i="2"/>
  <c r="EP18" i="2"/>
  <c r="BP89" i="2"/>
  <c r="EP89" i="2"/>
  <c r="BP75" i="2"/>
  <c r="EP75" i="2"/>
  <c r="BP124" i="2"/>
  <c r="EP124" i="2"/>
  <c r="BP93" i="2"/>
  <c r="EP93" i="2"/>
  <c r="BP200" i="2"/>
  <c r="EP200" i="2"/>
  <c r="BP37" i="2"/>
  <c r="EP37" i="2"/>
  <c r="BP40" i="2"/>
  <c r="EP40" i="2"/>
  <c r="BP148" i="2"/>
  <c r="EP148" i="2"/>
  <c r="BP59" i="2"/>
  <c r="EP59" i="2"/>
  <c r="BX151" i="2"/>
  <c r="ER151" i="2"/>
  <c r="BX63" i="2"/>
  <c r="ER63" i="2"/>
  <c r="BP201" i="2"/>
  <c r="EP201" i="2"/>
  <c r="BP178" i="2"/>
  <c r="EP178" i="2"/>
  <c r="BP184" i="2"/>
  <c r="EP184" i="2"/>
  <c r="BP29" i="2"/>
  <c r="EP29" i="2"/>
  <c r="BP182" i="2"/>
  <c r="EP182" i="2"/>
  <c r="BP194" i="2"/>
  <c r="EP194" i="2"/>
  <c r="BP177" i="2"/>
  <c r="EP177" i="2"/>
  <c r="BT171" i="2"/>
  <c r="EQ171" i="2"/>
  <c r="BT57" i="2"/>
  <c r="EQ57" i="2"/>
  <c r="BT183" i="2"/>
  <c r="EQ183" i="2"/>
  <c r="BX119" i="2"/>
  <c r="ER119" i="2"/>
  <c r="BX114" i="2"/>
  <c r="ER114" i="2"/>
  <c r="BT167" i="2"/>
  <c r="EQ167" i="2"/>
  <c r="BT45" i="2"/>
  <c r="EQ45" i="2"/>
  <c r="BT34" i="2"/>
  <c r="EQ34" i="2"/>
  <c r="BT130" i="2"/>
  <c r="EQ130" i="2"/>
  <c r="BT48" i="2"/>
  <c r="EQ48" i="2"/>
  <c r="BT92" i="2"/>
  <c r="EQ92" i="2"/>
  <c r="BT51" i="2"/>
  <c r="EQ51" i="2"/>
  <c r="BT168" i="2"/>
  <c r="EQ168" i="2"/>
  <c r="BT38" i="2"/>
  <c r="EQ38" i="2"/>
  <c r="BT188" i="2"/>
  <c r="EQ188" i="2"/>
  <c r="BT139" i="2"/>
  <c r="EQ139" i="2"/>
  <c r="BT96" i="2"/>
  <c r="EQ96" i="2"/>
  <c r="BT97" i="2"/>
  <c r="EQ97" i="2"/>
  <c r="BT81" i="2"/>
  <c r="EQ81" i="2"/>
  <c r="BX94" i="2"/>
  <c r="ER94" i="2"/>
  <c r="BX160" i="2"/>
  <c r="ER160" i="2"/>
  <c r="BX67" i="2"/>
  <c r="ER67" i="2"/>
  <c r="BT87" i="2"/>
  <c r="EQ87" i="2"/>
  <c r="BT176" i="2"/>
  <c r="EQ176" i="2"/>
  <c r="BT172" i="2"/>
  <c r="EQ172" i="2"/>
  <c r="BT191" i="2"/>
  <c r="EQ191" i="2"/>
  <c r="BT143" i="2"/>
  <c r="EQ143" i="2"/>
  <c r="BX100" i="2"/>
  <c r="ER100" i="2"/>
  <c r="BX121" i="2"/>
  <c r="ER121" i="2"/>
  <c r="BT138" i="2"/>
  <c r="EQ138" i="2"/>
  <c r="BT53" i="2"/>
  <c r="EQ53" i="2"/>
  <c r="BT118" i="2"/>
  <c r="EQ118" i="2"/>
  <c r="BT101" i="2"/>
  <c r="EQ101" i="2"/>
  <c r="BT61" i="2"/>
  <c r="EQ61" i="2"/>
  <c r="BT159" i="2"/>
  <c r="EQ159" i="2"/>
  <c r="BT135" i="2"/>
  <c r="EQ135" i="2"/>
  <c r="BT195" i="2"/>
  <c r="EQ195" i="2"/>
  <c r="BT5" i="2"/>
  <c r="EQ5" i="2"/>
  <c r="BT36" i="2"/>
  <c r="EQ36" i="2"/>
  <c r="BT12" i="2"/>
  <c r="EQ12" i="2"/>
  <c r="BP199" i="2"/>
  <c r="EP199" i="2"/>
  <c r="BP47" i="2"/>
  <c r="EP47" i="2"/>
  <c r="BP144" i="2"/>
  <c r="EP144" i="2"/>
  <c r="BP46" i="2"/>
  <c r="EP46" i="2"/>
  <c r="BP140" i="2"/>
  <c r="EP140" i="2"/>
  <c r="BP91" i="2"/>
  <c r="EP91" i="2"/>
  <c r="BP95" i="2"/>
  <c r="EP95" i="2"/>
  <c r="BP56" i="2"/>
  <c r="EP56" i="2"/>
  <c r="BP24" i="2"/>
  <c r="EP24" i="2"/>
  <c r="BP23" i="2"/>
  <c r="EP23" i="2"/>
  <c r="BP3" i="2"/>
  <c r="EP3" i="2"/>
  <c r="BP128" i="2"/>
  <c r="EP128" i="2"/>
  <c r="BP186" i="2"/>
  <c r="EP186" i="2"/>
  <c r="BP181" i="2"/>
  <c r="EP181" i="2"/>
  <c r="BP86" i="2"/>
  <c r="EP86" i="2"/>
  <c r="BP76" i="2"/>
  <c r="EP76" i="2"/>
  <c r="BP174" i="2"/>
  <c r="EP174" i="2"/>
  <c r="BP22" i="2"/>
  <c r="EP22" i="2"/>
  <c r="BP11" i="2"/>
  <c r="EP11" i="2"/>
  <c r="BP126" i="2"/>
  <c r="EP126" i="2"/>
  <c r="BP71" i="2"/>
  <c r="EP71" i="2"/>
  <c r="BP115" i="2"/>
  <c r="EP115" i="2"/>
  <c r="BP41" i="2"/>
  <c r="EP41" i="2"/>
  <c r="BP15" i="2"/>
  <c r="EP15" i="2"/>
  <c r="BP60" i="2"/>
  <c r="EP60" i="2"/>
  <c r="BP84" i="2"/>
  <c r="EP84" i="2"/>
  <c r="BP198" i="2"/>
  <c r="EP198" i="2"/>
  <c r="BP52" i="2"/>
  <c r="EP52" i="2"/>
  <c r="BP131" i="2"/>
  <c r="EP131" i="2"/>
  <c r="BP190" i="2"/>
  <c r="EP190" i="2"/>
  <c r="BP152" i="2"/>
  <c r="EP152" i="2"/>
  <c r="BP64" i="2"/>
  <c r="EP64" i="2"/>
  <c r="BP117" i="2"/>
  <c r="EP117" i="2"/>
  <c r="BP106" i="2"/>
  <c r="EP106" i="2"/>
  <c r="BP21" i="2"/>
  <c r="EP21" i="2"/>
  <c r="BP180" i="2"/>
  <c r="EP180" i="2"/>
  <c r="BP98" i="2"/>
  <c r="EP98" i="2"/>
  <c r="BP110" i="2"/>
  <c r="EP110" i="2"/>
  <c r="BP108" i="2"/>
  <c r="EP108" i="2"/>
  <c r="BP55" i="2"/>
  <c r="EP55" i="2"/>
  <c r="CB104" i="2"/>
  <c r="ES104" i="2"/>
  <c r="BX112" i="2"/>
  <c r="ER112" i="2"/>
  <c r="BX116" i="2"/>
  <c r="ER116" i="2"/>
  <c r="BP42" i="2"/>
  <c r="EP42" i="2"/>
  <c r="BP202" i="2"/>
  <c r="EP202" i="2"/>
  <c r="BP142" i="2"/>
  <c r="EP142" i="2"/>
  <c r="BP163" i="2"/>
  <c r="EP163" i="2"/>
  <c r="BT158" i="2"/>
  <c r="EQ158" i="2"/>
  <c r="BT175" i="2"/>
  <c r="EQ175" i="2"/>
  <c r="BX157" i="2"/>
  <c r="ER157" i="2"/>
  <c r="BX27" i="2"/>
  <c r="ER27" i="2"/>
  <c r="BX90" i="2"/>
  <c r="ER90" i="2"/>
  <c r="BT173" i="2"/>
  <c r="EQ173" i="2"/>
  <c r="BT74" i="2"/>
  <c r="EQ74" i="2"/>
  <c r="BT66" i="2"/>
  <c r="EQ66" i="2"/>
  <c r="BT162" i="2"/>
  <c r="EQ162" i="2"/>
  <c r="BT88" i="2"/>
  <c r="EQ88" i="2"/>
  <c r="BT54" i="2"/>
  <c r="EQ54" i="2"/>
  <c r="BT147" i="2"/>
  <c r="EQ147" i="2"/>
  <c r="BT49" i="2"/>
  <c r="EQ49" i="2"/>
  <c r="BT155" i="2"/>
  <c r="EQ155" i="2"/>
  <c r="BT62" i="2"/>
  <c r="EQ62" i="2"/>
  <c r="BT26" i="2"/>
  <c r="EQ26" i="2"/>
  <c r="BT69" i="2"/>
  <c r="EQ69" i="2"/>
  <c r="BT156" i="2"/>
  <c r="EQ156" i="2"/>
  <c r="BT122" i="2"/>
  <c r="EQ122" i="2"/>
  <c r="BX192" i="2"/>
  <c r="ER192" i="2"/>
  <c r="BX20" i="2"/>
  <c r="ER20" i="2"/>
  <c r="BX70" i="2"/>
  <c r="ER70" i="2"/>
  <c r="BT85" i="2"/>
  <c r="EQ85" i="2"/>
  <c r="BT150" i="2"/>
  <c r="EQ150" i="2"/>
  <c r="BT65" i="2"/>
  <c r="EQ65" i="2"/>
  <c r="BT179" i="2"/>
  <c r="EQ179" i="2"/>
  <c r="BT154" i="2"/>
  <c r="EQ154" i="2"/>
  <c r="BX145" i="2"/>
  <c r="ER145" i="2"/>
  <c r="CB141" i="2"/>
  <c r="ES141" i="2"/>
  <c r="BT196" i="2"/>
  <c r="EQ196" i="2"/>
  <c r="BT197" i="2"/>
  <c r="EQ197" i="2"/>
  <c r="BT50" i="2"/>
  <c r="EQ50" i="2"/>
  <c r="BT170" i="2"/>
  <c r="EQ170" i="2"/>
  <c r="BT82" i="2"/>
  <c r="EQ82" i="2"/>
  <c r="BT58" i="2"/>
  <c r="EQ58" i="2"/>
  <c r="BT78" i="2"/>
  <c r="EQ78" i="2"/>
  <c r="BT166" i="2"/>
  <c r="EQ166" i="2"/>
  <c r="EQ125" i="2"/>
  <c r="BT77" i="2"/>
  <c r="EQ77" i="2"/>
  <c r="BT28" i="2"/>
  <c r="EQ28" i="2"/>
  <c r="BP136" i="2"/>
  <c r="EN6" i="2"/>
  <c r="BH6" i="2"/>
  <c r="EN103" i="2"/>
  <c r="BH103" i="2"/>
  <c r="EM189" i="2"/>
  <c r="BD189" i="2"/>
  <c r="BH13" i="2"/>
  <c r="EN13" i="2"/>
  <c r="BH8" i="2"/>
  <c r="EN8" i="2"/>
  <c r="EM132" i="2"/>
  <c r="BD132" i="2"/>
  <c r="BD43" i="2"/>
  <c r="EM43" i="2"/>
  <c r="EM102" i="2"/>
  <c r="BD102" i="2"/>
  <c r="EM14" i="2"/>
  <c r="BD14" i="2"/>
  <c r="EN4" i="2"/>
  <c r="BH4" i="2"/>
  <c r="EN132" i="3"/>
  <c r="BH73" i="2"/>
  <c r="EN73" i="2"/>
  <c r="EM9" i="2"/>
  <c r="BD9" i="2"/>
  <c r="BH19" i="2"/>
  <c r="EN19" i="2"/>
  <c r="EN187" i="2"/>
  <c r="BH187" i="2"/>
  <c r="EN30" i="2"/>
  <c r="BH30" i="2"/>
  <c r="EM193" i="2"/>
  <c r="BD193" i="2"/>
  <c r="BH79" i="2"/>
  <c r="EN79" i="2"/>
  <c r="EO7" i="21"/>
  <c r="EO33" i="2"/>
  <c r="BL33" i="2"/>
  <c r="EP33" i="2" s="1"/>
  <c r="EO31" i="2"/>
  <c r="BL31" i="2"/>
  <c r="EP31" i="2" s="1"/>
  <c r="EO44" i="2"/>
  <c r="BL44" i="2"/>
  <c r="EP44" i="2" s="1"/>
  <c r="EO153" i="2"/>
  <c r="BL153" i="2"/>
  <c r="EO72" i="2"/>
  <c r="BL72" i="2"/>
  <c r="EO123" i="2"/>
  <c r="BL123" i="2"/>
  <c r="EO10" i="2"/>
  <c r="BL10" i="2"/>
  <c r="EP10" i="2" s="1"/>
  <c r="EO165" i="2"/>
  <c r="BL165" i="2"/>
  <c r="CB3" i="21" l="1"/>
  <c r="EU3" i="21" s="1"/>
  <c r="DK179" i="5"/>
  <c r="AZ179" i="5"/>
  <c r="DK187" i="5"/>
  <c r="AZ187" i="5"/>
  <c r="AZ184" i="5"/>
  <c r="DK184" i="5"/>
  <c r="AZ174" i="5"/>
  <c r="DK174" i="5"/>
  <c r="AZ162" i="5"/>
  <c r="DK162" i="5"/>
  <c r="AZ186" i="5"/>
  <c r="DK186" i="5"/>
  <c r="AZ128" i="5"/>
  <c r="DK128" i="5"/>
  <c r="AZ172" i="5"/>
  <c r="DK172" i="5"/>
  <c r="AZ177" i="5"/>
  <c r="DK177" i="5"/>
  <c r="AZ122" i="5"/>
  <c r="DK122" i="5"/>
  <c r="AZ133" i="5"/>
  <c r="DK133" i="5"/>
  <c r="AZ105" i="5"/>
  <c r="DK105" i="5"/>
  <c r="AZ170" i="5"/>
  <c r="DK170" i="5"/>
  <c r="AZ123" i="5"/>
  <c r="DK123" i="5"/>
  <c r="AZ141" i="5"/>
  <c r="DK141" i="5"/>
  <c r="AZ180" i="5"/>
  <c r="BC180" i="5" s="1"/>
  <c r="DK180" i="5"/>
  <c r="AZ168" i="5"/>
  <c r="DK168" i="5"/>
  <c r="AZ185" i="5"/>
  <c r="DK185" i="5"/>
  <c r="AZ161" i="5"/>
  <c r="DK161" i="5"/>
  <c r="DK175" i="5"/>
  <c r="AZ175" i="5"/>
  <c r="DK183" i="5"/>
  <c r="AZ183" i="5"/>
  <c r="AZ201" i="5"/>
  <c r="DK201" i="5"/>
  <c r="DK171" i="5"/>
  <c r="AZ171" i="5"/>
  <c r="AZ125" i="5"/>
  <c r="DK125" i="5"/>
  <c r="AZ121" i="5"/>
  <c r="DK121" i="5"/>
  <c r="AZ142" i="5"/>
  <c r="DK142" i="5"/>
  <c r="AZ178" i="5"/>
  <c r="DK178" i="5"/>
  <c r="AZ181" i="5"/>
  <c r="DK181" i="5"/>
  <c r="AZ124" i="5"/>
  <c r="DK124" i="5"/>
  <c r="AZ176" i="5"/>
  <c r="DK176" i="5"/>
  <c r="AZ137" i="5"/>
  <c r="DK137" i="5"/>
  <c r="AZ143" i="5"/>
  <c r="DK143" i="5"/>
  <c r="AZ126" i="5"/>
  <c r="DK126" i="5"/>
  <c r="AZ182" i="5"/>
  <c r="DK182" i="5"/>
  <c r="AZ169" i="5"/>
  <c r="DK169" i="5"/>
  <c r="AZ140" i="5"/>
  <c r="DK140" i="5"/>
  <c r="AZ163" i="5"/>
  <c r="DK163" i="5"/>
  <c r="AZ138" i="5"/>
  <c r="DK138" i="5"/>
  <c r="DI3" i="5"/>
  <c r="DI203" i="5" s="1"/>
  <c r="P67" i="19" s="1"/>
  <c r="AT3" i="5"/>
  <c r="BX28" i="2"/>
  <c r="ER28" i="2"/>
  <c r="BX125" i="2"/>
  <c r="ER125" i="2"/>
  <c r="BX78" i="2"/>
  <c r="ER78" i="2"/>
  <c r="BX82" i="2"/>
  <c r="ER82" i="2"/>
  <c r="BX50" i="2"/>
  <c r="ER50" i="2"/>
  <c r="BX196" i="2"/>
  <c r="ER196" i="2"/>
  <c r="CB145" i="2"/>
  <c r="ES145" i="2"/>
  <c r="BX179" i="2"/>
  <c r="ER179" i="2"/>
  <c r="BX150" i="2"/>
  <c r="ER150" i="2"/>
  <c r="CB70" i="2"/>
  <c r="ES70" i="2"/>
  <c r="CB192" i="2"/>
  <c r="ES192" i="2"/>
  <c r="BX156" i="2"/>
  <c r="ER156" i="2"/>
  <c r="BX26" i="2"/>
  <c r="ER26" i="2"/>
  <c r="BX155" i="2"/>
  <c r="ER155" i="2"/>
  <c r="BX147" i="2"/>
  <c r="ER147" i="2"/>
  <c r="BX88" i="2"/>
  <c r="ER88" i="2"/>
  <c r="BX66" i="2"/>
  <c r="ER66" i="2"/>
  <c r="BX173" i="2"/>
  <c r="ER173" i="2"/>
  <c r="CB27" i="2"/>
  <c r="ES27" i="2"/>
  <c r="BX175" i="2"/>
  <c r="ER175" i="2"/>
  <c r="BT163" i="2"/>
  <c r="EQ163" i="2"/>
  <c r="BT202" i="2"/>
  <c r="EQ202" i="2"/>
  <c r="CB116" i="2"/>
  <c r="ES116" i="2"/>
  <c r="CF104" i="2"/>
  <c r="ET104" i="2"/>
  <c r="BT108" i="2"/>
  <c r="EQ108" i="2"/>
  <c r="BT98" i="2"/>
  <c r="EQ98" i="2"/>
  <c r="BT21" i="2"/>
  <c r="EQ21" i="2"/>
  <c r="BT117" i="2"/>
  <c r="EQ117" i="2"/>
  <c r="BT152" i="2"/>
  <c r="EQ152" i="2"/>
  <c r="BT131" i="2"/>
  <c r="EQ131" i="2"/>
  <c r="BT198" i="2"/>
  <c r="EQ198" i="2"/>
  <c r="BT60" i="2"/>
  <c r="EQ60" i="2"/>
  <c r="BT41" i="2"/>
  <c r="EQ41" i="2"/>
  <c r="BT71" i="2"/>
  <c r="EQ71" i="2"/>
  <c r="BT11" i="2"/>
  <c r="EQ11" i="2"/>
  <c r="BT174" i="2"/>
  <c r="EQ174" i="2"/>
  <c r="BT86" i="2"/>
  <c r="EQ86" i="2"/>
  <c r="BT186" i="2"/>
  <c r="EQ186" i="2"/>
  <c r="BT3" i="2"/>
  <c r="EQ3" i="2"/>
  <c r="BT24" i="2"/>
  <c r="EQ24" i="2"/>
  <c r="BT95" i="2"/>
  <c r="EQ95" i="2"/>
  <c r="BT140" i="2"/>
  <c r="EQ140" i="2"/>
  <c r="BT144" i="2"/>
  <c r="EQ144" i="2"/>
  <c r="BT199" i="2"/>
  <c r="EQ199" i="2"/>
  <c r="BX36" i="2"/>
  <c r="ER36" i="2"/>
  <c r="BX195" i="2"/>
  <c r="ER195" i="2"/>
  <c r="BX159" i="2"/>
  <c r="ER159" i="2"/>
  <c r="BX101" i="2"/>
  <c r="ER101" i="2"/>
  <c r="BX53" i="2"/>
  <c r="ER53" i="2"/>
  <c r="CB121" i="2"/>
  <c r="ES121" i="2"/>
  <c r="BX143" i="2"/>
  <c r="ER143" i="2"/>
  <c r="BX172" i="2"/>
  <c r="ER172" i="2"/>
  <c r="BX87" i="2"/>
  <c r="ER87" i="2"/>
  <c r="CB160" i="2"/>
  <c r="ES160" i="2"/>
  <c r="BX81" i="2"/>
  <c r="ER81" i="2"/>
  <c r="BX96" i="2"/>
  <c r="ER96" i="2"/>
  <c r="BX188" i="2"/>
  <c r="ER188" i="2"/>
  <c r="BX168" i="2"/>
  <c r="ER168" i="2"/>
  <c r="BX92" i="2"/>
  <c r="ER92" i="2"/>
  <c r="BX130" i="2"/>
  <c r="ER130" i="2"/>
  <c r="BX45" i="2"/>
  <c r="ER45" i="2"/>
  <c r="CB114" i="2"/>
  <c r="ES114" i="2"/>
  <c r="BX183" i="2"/>
  <c r="ER183" i="2"/>
  <c r="BX171" i="2"/>
  <c r="ER171" i="2"/>
  <c r="BT194" i="2"/>
  <c r="EQ194" i="2"/>
  <c r="BT29" i="2"/>
  <c r="EQ29" i="2"/>
  <c r="BT178" i="2"/>
  <c r="EQ178" i="2"/>
  <c r="CB63" i="2"/>
  <c r="ES63" i="2"/>
  <c r="BP153" i="2"/>
  <c r="EP153" i="2"/>
  <c r="BT59" i="2"/>
  <c r="EQ59" i="2"/>
  <c r="BT40" i="2"/>
  <c r="EQ40" i="2"/>
  <c r="BT200" i="2"/>
  <c r="EQ200" i="2"/>
  <c r="BT124" i="2"/>
  <c r="EQ124" i="2"/>
  <c r="BT89" i="2"/>
  <c r="EQ89" i="2"/>
  <c r="BT164" i="2"/>
  <c r="EQ164" i="2"/>
  <c r="BT7" i="2"/>
  <c r="EQ7" i="2"/>
  <c r="BT134" i="2"/>
  <c r="EQ134" i="2"/>
  <c r="BT111" i="2"/>
  <c r="EQ111" i="2"/>
  <c r="BT137" i="2"/>
  <c r="EQ137" i="2"/>
  <c r="BT83" i="2"/>
  <c r="EQ83" i="2"/>
  <c r="BT161" i="2"/>
  <c r="EQ161" i="2"/>
  <c r="BT133" i="2"/>
  <c r="EQ133" i="2"/>
  <c r="BT185" i="2"/>
  <c r="EQ185" i="2"/>
  <c r="BT129" i="2"/>
  <c r="EQ129" i="2"/>
  <c r="BT169" i="2"/>
  <c r="EQ169" i="2"/>
  <c r="BT68" i="2"/>
  <c r="EQ68" i="2"/>
  <c r="BT109" i="2"/>
  <c r="EQ109" i="2"/>
  <c r="BT127" i="2"/>
  <c r="EQ127" i="2"/>
  <c r="BP165" i="2"/>
  <c r="EP165" i="2"/>
  <c r="BT136" i="2"/>
  <c r="EQ136" i="2"/>
  <c r="BX77" i="2"/>
  <c r="ER77" i="2"/>
  <c r="BX166" i="2"/>
  <c r="ER166" i="2"/>
  <c r="BX58" i="2"/>
  <c r="ER58" i="2"/>
  <c r="BX170" i="2"/>
  <c r="ER170" i="2"/>
  <c r="BX197" i="2"/>
  <c r="ER197" i="2"/>
  <c r="CF141" i="2"/>
  <c r="ET141" i="2"/>
  <c r="BX154" i="2"/>
  <c r="ER154" i="2"/>
  <c r="BX65" i="2"/>
  <c r="ER65" i="2"/>
  <c r="BX85" i="2"/>
  <c r="ER85" i="2"/>
  <c r="CB20" i="2"/>
  <c r="ES20" i="2"/>
  <c r="BX122" i="2"/>
  <c r="ER122" i="2"/>
  <c r="BX69" i="2"/>
  <c r="ER69" i="2"/>
  <c r="BX62" i="2"/>
  <c r="ER62" i="2"/>
  <c r="BX49" i="2"/>
  <c r="ER49" i="2"/>
  <c r="BX54" i="2"/>
  <c r="ER54" i="2"/>
  <c r="BX162" i="2"/>
  <c r="ER162" i="2"/>
  <c r="BX74" i="2"/>
  <c r="ER74" i="2"/>
  <c r="CB90" i="2"/>
  <c r="ES90" i="2"/>
  <c r="CB157" i="2"/>
  <c r="ES157" i="2"/>
  <c r="BX158" i="2"/>
  <c r="ER158" i="2"/>
  <c r="BT142" i="2"/>
  <c r="EQ142" i="2"/>
  <c r="BT42" i="2"/>
  <c r="EQ42" i="2"/>
  <c r="CB112" i="2"/>
  <c r="ES112" i="2"/>
  <c r="BT55" i="2"/>
  <c r="EQ55" i="2"/>
  <c r="BT110" i="2"/>
  <c r="EQ110" i="2"/>
  <c r="BT180" i="2"/>
  <c r="EQ180" i="2"/>
  <c r="BT106" i="2"/>
  <c r="EQ106" i="2"/>
  <c r="BT64" i="2"/>
  <c r="EQ64" i="2"/>
  <c r="BT190" i="2"/>
  <c r="EQ190" i="2"/>
  <c r="BT52" i="2"/>
  <c r="EQ52" i="2"/>
  <c r="BT84" i="2"/>
  <c r="EQ84" i="2"/>
  <c r="BT15" i="2"/>
  <c r="EQ15" i="2"/>
  <c r="BT115" i="2"/>
  <c r="EQ115" i="2"/>
  <c r="BT126" i="2"/>
  <c r="EQ126" i="2"/>
  <c r="BT22" i="2"/>
  <c r="EQ22" i="2"/>
  <c r="BT76" i="2"/>
  <c r="EQ76" i="2"/>
  <c r="BT181" i="2"/>
  <c r="EQ181" i="2"/>
  <c r="BT128" i="2"/>
  <c r="EQ128" i="2"/>
  <c r="BT23" i="2"/>
  <c r="EQ23" i="2"/>
  <c r="BT56" i="2"/>
  <c r="EQ56" i="2"/>
  <c r="BT91" i="2"/>
  <c r="EQ91" i="2"/>
  <c r="BT46" i="2"/>
  <c r="EQ46" i="2"/>
  <c r="BT47" i="2"/>
  <c r="EQ47" i="2"/>
  <c r="BX12" i="2"/>
  <c r="ER12" i="2"/>
  <c r="BX5" i="2"/>
  <c r="ER5" i="2"/>
  <c r="BX135" i="2"/>
  <c r="ER135" i="2"/>
  <c r="BX61" i="2"/>
  <c r="ER61" i="2"/>
  <c r="BX118" i="2"/>
  <c r="ER118" i="2"/>
  <c r="BX138" i="2"/>
  <c r="ER138" i="2"/>
  <c r="CB100" i="2"/>
  <c r="ES100" i="2"/>
  <c r="BX191" i="2"/>
  <c r="ER191" i="2"/>
  <c r="BX176" i="2"/>
  <c r="ER176" i="2"/>
  <c r="CB67" i="2"/>
  <c r="ES67" i="2"/>
  <c r="CB94" i="2"/>
  <c r="ES94" i="2"/>
  <c r="BX97" i="2"/>
  <c r="ER97" i="2"/>
  <c r="BX139" i="2"/>
  <c r="ER139" i="2"/>
  <c r="BX38" i="2"/>
  <c r="ER38" i="2"/>
  <c r="BX51" i="2"/>
  <c r="ER51" i="2"/>
  <c r="BX48" i="2"/>
  <c r="ER48" i="2"/>
  <c r="BX34" i="2"/>
  <c r="ER34" i="2"/>
  <c r="BX167" i="2"/>
  <c r="ER167" i="2"/>
  <c r="CB119" i="2"/>
  <c r="ES119" i="2"/>
  <c r="BX57" i="2"/>
  <c r="ER57" i="2"/>
  <c r="BT177" i="2"/>
  <c r="EQ177" i="2"/>
  <c r="BT182" i="2"/>
  <c r="EQ182" i="2"/>
  <c r="BT184" i="2"/>
  <c r="EQ184" i="2"/>
  <c r="BT201" i="2"/>
  <c r="EQ201" i="2"/>
  <c r="CB151" i="2"/>
  <c r="ES151" i="2"/>
  <c r="BP123" i="2"/>
  <c r="EP123" i="2"/>
  <c r="BP72" i="2"/>
  <c r="EP72" i="2"/>
  <c r="BT148" i="2"/>
  <c r="EQ148" i="2"/>
  <c r="BT37" i="2"/>
  <c r="EQ37" i="2"/>
  <c r="BT93" i="2"/>
  <c r="EQ93" i="2"/>
  <c r="BT75" i="2"/>
  <c r="EQ75" i="2"/>
  <c r="BT18" i="2"/>
  <c r="EQ18" i="2"/>
  <c r="BT107" i="2"/>
  <c r="EQ107" i="2"/>
  <c r="BT32" i="2"/>
  <c r="EQ32" i="2"/>
  <c r="BT146" i="2"/>
  <c r="EQ146" i="2"/>
  <c r="BT120" i="2"/>
  <c r="EQ120" i="2"/>
  <c r="BT99" i="2"/>
  <c r="EQ99" i="2"/>
  <c r="BT113" i="2"/>
  <c r="EQ113" i="2"/>
  <c r="BT25" i="2"/>
  <c r="EQ25" i="2"/>
  <c r="BT39" i="2"/>
  <c r="EQ39" i="2"/>
  <c r="BT16" i="2"/>
  <c r="EQ16" i="2"/>
  <c r="BT105" i="2"/>
  <c r="EQ105" i="2"/>
  <c r="BT17" i="2"/>
  <c r="EQ17" i="2"/>
  <c r="BT149" i="2"/>
  <c r="EQ149" i="2"/>
  <c r="BT80" i="2"/>
  <c r="EQ80" i="2"/>
  <c r="BT35" i="2"/>
  <c r="EQ35" i="2"/>
  <c r="BP33" i="2"/>
  <c r="BP10" i="2"/>
  <c r="BP31" i="2"/>
  <c r="BP44" i="2"/>
  <c r="BL187" i="2"/>
  <c r="EP187" i="2" s="1"/>
  <c r="EO187" i="2"/>
  <c r="BH14" i="2"/>
  <c r="EN14" i="2"/>
  <c r="EO73" i="2"/>
  <c r="BL73" i="2"/>
  <c r="BL13" i="2"/>
  <c r="EO13" i="2"/>
  <c r="BL79" i="2"/>
  <c r="EP79" i="2" s="1"/>
  <c r="EO79" i="2"/>
  <c r="EN102" i="2"/>
  <c r="BH102" i="2"/>
  <c r="BL19" i="2"/>
  <c r="EP19" i="2" s="1"/>
  <c r="EO19" i="2"/>
  <c r="EO8" i="2"/>
  <c r="BL8" i="2"/>
  <c r="EP8" i="2" s="1"/>
  <c r="EN193" i="2"/>
  <c r="BH193" i="2"/>
  <c r="EN9" i="2"/>
  <c r="BH9" i="2"/>
  <c r="BL4" i="2"/>
  <c r="EP4" i="2" s="1"/>
  <c r="EO4" i="2"/>
  <c r="EN189" i="2"/>
  <c r="BH189" i="2"/>
  <c r="BH43" i="2"/>
  <c r="EN43" i="2"/>
  <c r="BL30" i="2"/>
  <c r="EP30" i="2" s="1"/>
  <c r="EO30" i="2"/>
  <c r="BH132" i="2"/>
  <c r="EN132" i="2"/>
  <c r="EO103" i="2"/>
  <c r="BL103" i="2"/>
  <c r="EP103" i="2" s="1"/>
  <c r="BL6" i="2"/>
  <c r="EP6" i="2" s="1"/>
  <c r="EO6" i="2"/>
  <c r="EP7" i="21"/>
  <c r="CF3" i="21" l="1"/>
  <c r="EV3" i="21" s="1"/>
  <c r="DL175" i="5"/>
  <c r="BC175" i="5"/>
  <c r="BC187" i="5"/>
  <c r="DL187" i="5"/>
  <c r="BC138" i="5"/>
  <c r="DL138" i="5"/>
  <c r="BC140" i="5"/>
  <c r="DL140" i="5"/>
  <c r="DL182" i="5"/>
  <c r="BC182" i="5"/>
  <c r="BC143" i="5"/>
  <c r="DL143" i="5"/>
  <c r="BC176" i="5"/>
  <c r="DL176" i="5"/>
  <c r="BC181" i="5"/>
  <c r="DL181" i="5"/>
  <c r="BC142" i="5"/>
  <c r="DL142" i="5"/>
  <c r="BC125" i="5"/>
  <c r="DL125" i="5"/>
  <c r="BC201" i="5"/>
  <c r="DL201" i="5"/>
  <c r="BC185" i="5"/>
  <c r="DL185" i="5"/>
  <c r="DL180" i="5"/>
  <c r="BC123" i="5"/>
  <c r="DL123" i="5"/>
  <c r="DL105" i="5"/>
  <c r="BC105" i="5"/>
  <c r="BC122" i="5"/>
  <c r="DL122" i="5"/>
  <c r="BC172" i="5"/>
  <c r="DL172" i="5"/>
  <c r="DL186" i="5"/>
  <c r="BC186" i="5"/>
  <c r="DL174" i="5"/>
  <c r="BC174" i="5"/>
  <c r="DL171" i="5"/>
  <c r="BC171" i="5"/>
  <c r="BC183" i="5"/>
  <c r="DL183" i="5"/>
  <c r="BC179" i="5"/>
  <c r="DL179" i="5"/>
  <c r="BC163" i="5"/>
  <c r="DL163" i="5"/>
  <c r="BC169" i="5"/>
  <c r="DL169" i="5"/>
  <c r="BC126" i="5"/>
  <c r="DL126" i="5"/>
  <c r="BC137" i="5"/>
  <c r="DL137" i="5"/>
  <c r="BC124" i="5"/>
  <c r="DL124" i="5"/>
  <c r="DL178" i="5"/>
  <c r="BC178" i="5"/>
  <c r="BC121" i="5"/>
  <c r="DL121" i="5"/>
  <c r="BC161" i="5"/>
  <c r="DL161" i="5"/>
  <c r="BC168" i="5"/>
  <c r="DL168" i="5"/>
  <c r="BC141" i="5"/>
  <c r="DL141" i="5"/>
  <c r="DL170" i="5"/>
  <c r="BC170" i="5"/>
  <c r="BC133" i="5"/>
  <c r="DL133" i="5"/>
  <c r="BC177" i="5"/>
  <c r="DL177" i="5"/>
  <c r="BC128" i="5"/>
  <c r="DL128" i="5"/>
  <c r="BC162" i="5"/>
  <c r="DL162" i="5"/>
  <c r="BC184" i="5"/>
  <c r="DL184" i="5"/>
  <c r="DJ3" i="5"/>
  <c r="DJ203" i="5" s="1"/>
  <c r="Q67" i="19" s="1"/>
  <c r="AW3" i="5"/>
  <c r="BP73" i="2"/>
  <c r="EP73" i="2"/>
  <c r="BT33" i="2"/>
  <c r="EQ33" i="2"/>
  <c r="BX80" i="2"/>
  <c r="ER80" i="2"/>
  <c r="BX17" i="2"/>
  <c r="ER17" i="2"/>
  <c r="BX16" i="2"/>
  <c r="ER16" i="2"/>
  <c r="BX25" i="2"/>
  <c r="ER25" i="2"/>
  <c r="BX99" i="2"/>
  <c r="ER99" i="2"/>
  <c r="BX146" i="2"/>
  <c r="ER146" i="2"/>
  <c r="BX107" i="2"/>
  <c r="ER107" i="2"/>
  <c r="BX75" i="2"/>
  <c r="ER75" i="2"/>
  <c r="BX37" i="2"/>
  <c r="ER37" i="2"/>
  <c r="BT72" i="2"/>
  <c r="EQ72" i="2"/>
  <c r="CF151" i="2"/>
  <c r="ET151" i="2"/>
  <c r="BX184" i="2"/>
  <c r="ER184" i="2"/>
  <c r="BX177" i="2"/>
  <c r="ER177" i="2"/>
  <c r="CF119" i="2"/>
  <c r="ET119" i="2"/>
  <c r="CB34" i="2"/>
  <c r="ES34" i="2"/>
  <c r="CB51" i="2"/>
  <c r="ES51" i="2"/>
  <c r="CB139" i="2"/>
  <c r="ES139" i="2"/>
  <c r="CF94" i="2"/>
  <c r="ET94" i="2"/>
  <c r="CB176" i="2"/>
  <c r="ES176" i="2"/>
  <c r="CF100" i="2"/>
  <c r="ET100" i="2"/>
  <c r="CB118" i="2"/>
  <c r="ES118" i="2"/>
  <c r="CB135" i="2"/>
  <c r="ES135" i="2"/>
  <c r="CB12" i="2"/>
  <c r="ES12" i="2"/>
  <c r="BX46" i="2"/>
  <c r="ER46" i="2"/>
  <c r="BX56" i="2"/>
  <c r="ER56" i="2"/>
  <c r="BX128" i="2"/>
  <c r="ER128" i="2"/>
  <c r="BX76" i="2"/>
  <c r="ER76" i="2"/>
  <c r="BX126" i="2"/>
  <c r="ER126" i="2"/>
  <c r="BX15" i="2"/>
  <c r="ER15" i="2"/>
  <c r="BX52" i="2"/>
  <c r="ER52" i="2"/>
  <c r="BX64" i="2"/>
  <c r="ER64" i="2"/>
  <c r="BX180" i="2"/>
  <c r="ER180" i="2"/>
  <c r="BX55" i="2"/>
  <c r="ER55" i="2"/>
  <c r="BX42" i="2"/>
  <c r="ER42" i="2"/>
  <c r="CB158" i="2"/>
  <c r="ES158" i="2"/>
  <c r="CF90" i="2"/>
  <c r="ET90" i="2"/>
  <c r="CB162" i="2"/>
  <c r="ES162" i="2"/>
  <c r="CB49" i="2"/>
  <c r="ES49" i="2"/>
  <c r="CB69" i="2"/>
  <c r="ES69" i="2"/>
  <c r="CF20" i="2"/>
  <c r="ET20" i="2"/>
  <c r="CB65" i="2"/>
  <c r="ES65" i="2"/>
  <c r="CJ141" i="2"/>
  <c r="EU141" i="2"/>
  <c r="CB170" i="2"/>
  <c r="ES170" i="2"/>
  <c r="CB166" i="2"/>
  <c r="ES166" i="2"/>
  <c r="BX136" i="2"/>
  <c r="ER136" i="2"/>
  <c r="BX127" i="2"/>
  <c r="ER127" i="2"/>
  <c r="BX68" i="2"/>
  <c r="ER68" i="2"/>
  <c r="BX129" i="2"/>
  <c r="ER129" i="2"/>
  <c r="BX133" i="2"/>
  <c r="ER133" i="2"/>
  <c r="BX83" i="2"/>
  <c r="ER83" i="2"/>
  <c r="BX111" i="2"/>
  <c r="ER111" i="2"/>
  <c r="BX7" i="2"/>
  <c r="ER7" i="2"/>
  <c r="BX89" i="2"/>
  <c r="ER89" i="2"/>
  <c r="BX200" i="2"/>
  <c r="ER200" i="2"/>
  <c r="BX59" i="2"/>
  <c r="ER59" i="2"/>
  <c r="BT44" i="2"/>
  <c r="EQ44" i="2"/>
  <c r="CF63" i="2"/>
  <c r="ET63" i="2"/>
  <c r="BX29" i="2"/>
  <c r="ER29" i="2"/>
  <c r="CB171" i="2"/>
  <c r="ES171" i="2"/>
  <c r="CF114" i="2"/>
  <c r="ET114" i="2"/>
  <c r="CB130" i="2"/>
  <c r="ES130" i="2"/>
  <c r="CB168" i="2"/>
  <c r="ES168" i="2"/>
  <c r="CB96" i="2"/>
  <c r="ES96" i="2"/>
  <c r="CF160" i="2"/>
  <c r="ET160" i="2"/>
  <c r="CB172" i="2"/>
  <c r="ES172" i="2"/>
  <c r="CF121" i="2"/>
  <c r="ET121" i="2"/>
  <c r="CB101" i="2"/>
  <c r="ES101" i="2"/>
  <c r="CB195" i="2"/>
  <c r="ES195" i="2"/>
  <c r="BX199" i="2"/>
  <c r="ER199" i="2"/>
  <c r="BX140" i="2"/>
  <c r="ER140" i="2"/>
  <c r="BX24" i="2"/>
  <c r="ER24" i="2"/>
  <c r="BX186" i="2"/>
  <c r="ER186" i="2"/>
  <c r="BX174" i="2"/>
  <c r="ER174" i="2"/>
  <c r="BX71" i="2"/>
  <c r="ER71" i="2"/>
  <c r="BX60" i="2"/>
  <c r="ER60" i="2"/>
  <c r="BX131" i="2"/>
  <c r="ER131" i="2"/>
  <c r="BX117" i="2"/>
  <c r="ER117" i="2"/>
  <c r="BX98" i="2"/>
  <c r="ER98" i="2"/>
  <c r="CJ104" i="2"/>
  <c r="EU104" i="2"/>
  <c r="BX202" i="2"/>
  <c r="ER202" i="2"/>
  <c r="CB175" i="2"/>
  <c r="ES175" i="2"/>
  <c r="CB173" i="2"/>
  <c r="ES173" i="2"/>
  <c r="CB88" i="2"/>
  <c r="ES88" i="2"/>
  <c r="CB155" i="2"/>
  <c r="ES155" i="2"/>
  <c r="CB156" i="2"/>
  <c r="ES156" i="2"/>
  <c r="CF70" i="2"/>
  <c r="ET70" i="2"/>
  <c r="CB179" i="2"/>
  <c r="ES179" i="2"/>
  <c r="CB196" i="2"/>
  <c r="ES196" i="2"/>
  <c r="CB82" i="2"/>
  <c r="ES82" i="2"/>
  <c r="CB125" i="2"/>
  <c r="ES125" i="2"/>
  <c r="BT31" i="2"/>
  <c r="EQ31" i="2"/>
  <c r="BX35" i="2"/>
  <c r="ER35" i="2"/>
  <c r="BX149" i="2"/>
  <c r="ER149" i="2"/>
  <c r="BX105" i="2"/>
  <c r="ER105" i="2"/>
  <c r="BX39" i="2"/>
  <c r="ER39" i="2"/>
  <c r="BX113" i="2"/>
  <c r="ER113" i="2"/>
  <c r="BX120" i="2"/>
  <c r="ER120" i="2"/>
  <c r="BX32" i="2"/>
  <c r="ER32" i="2"/>
  <c r="BX18" i="2"/>
  <c r="ER18" i="2"/>
  <c r="BX93" i="2"/>
  <c r="ER93" i="2"/>
  <c r="BX148" i="2"/>
  <c r="ER148" i="2"/>
  <c r="BT123" i="2"/>
  <c r="EQ123" i="2"/>
  <c r="BX201" i="2"/>
  <c r="ER201" i="2"/>
  <c r="BX182" i="2"/>
  <c r="ER182" i="2"/>
  <c r="CB57" i="2"/>
  <c r="ES57" i="2"/>
  <c r="CB167" i="2"/>
  <c r="ES167" i="2"/>
  <c r="CB48" i="2"/>
  <c r="ES48" i="2"/>
  <c r="CB38" i="2"/>
  <c r="ES38" i="2"/>
  <c r="CB97" i="2"/>
  <c r="ES97" i="2"/>
  <c r="CF67" i="2"/>
  <c r="ET67" i="2"/>
  <c r="CB191" i="2"/>
  <c r="ES191" i="2"/>
  <c r="CB138" i="2"/>
  <c r="ES138" i="2"/>
  <c r="CB61" i="2"/>
  <c r="ES61" i="2"/>
  <c r="CB5" i="2"/>
  <c r="ES5" i="2"/>
  <c r="BX47" i="2"/>
  <c r="ER47" i="2"/>
  <c r="BX91" i="2"/>
  <c r="ER91" i="2"/>
  <c r="BX23" i="2"/>
  <c r="ER23" i="2"/>
  <c r="BX181" i="2"/>
  <c r="ER181" i="2"/>
  <c r="BX22" i="2"/>
  <c r="ER22" i="2"/>
  <c r="BX115" i="2"/>
  <c r="ER115" i="2"/>
  <c r="BX84" i="2"/>
  <c r="ER84" i="2"/>
  <c r="BX190" i="2"/>
  <c r="ER190" i="2"/>
  <c r="BX106" i="2"/>
  <c r="ER106" i="2"/>
  <c r="BX110" i="2"/>
  <c r="ER110" i="2"/>
  <c r="CF112" i="2"/>
  <c r="ET112" i="2"/>
  <c r="BX142" i="2"/>
  <c r="ER142" i="2"/>
  <c r="CF157" i="2"/>
  <c r="ET157" i="2"/>
  <c r="CB74" i="2"/>
  <c r="ES74" i="2"/>
  <c r="CB54" i="2"/>
  <c r="ES54" i="2"/>
  <c r="CB62" i="2"/>
  <c r="ES62" i="2"/>
  <c r="CB122" i="2"/>
  <c r="ES122" i="2"/>
  <c r="CB85" i="2"/>
  <c r="ES85" i="2"/>
  <c r="CB154" i="2"/>
  <c r="ES154" i="2"/>
  <c r="CB197" i="2"/>
  <c r="ES197" i="2"/>
  <c r="CB58" i="2"/>
  <c r="ES58" i="2"/>
  <c r="CB77" i="2"/>
  <c r="ES77" i="2"/>
  <c r="BT165" i="2"/>
  <c r="EQ165" i="2"/>
  <c r="BX109" i="2"/>
  <c r="ER109" i="2"/>
  <c r="BX169" i="2"/>
  <c r="ER169" i="2"/>
  <c r="BX185" i="2"/>
  <c r="ER185" i="2"/>
  <c r="BX161" i="2"/>
  <c r="ER161" i="2"/>
  <c r="BX137" i="2"/>
  <c r="ER137" i="2"/>
  <c r="BX134" i="2"/>
  <c r="ER134" i="2"/>
  <c r="BX164" i="2"/>
  <c r="ER164" i="2"/>
  <c r="BX124" i="2"/>
  <c r="ER124" i="2"/>
  <c r="BX40" i="2"/>
  <c r="ER40" i="2"/>
  <c r="BP13" i="2"/>
  <c r="EP13" i="2"/>
  <c r="BT10" i="2"/>
  <c r="EQ10" i="2"/>
  <c r="BT153" i="2"/>
  <c r="EQ153" i="2"/>
  <c r="BX178" i="2"/>
  <c r="ER178" i="2"/>
  <c r="BX194" i="2"/>
  <c r="ER194" i="2"/>
  <c r="CB183" i="2"/>
  <c r="ES183" i="2"/>
  <c r="CB45" i="2"/>
  <c r="ES45" i="2"/>
  <c r="CB92" i="2"/>
  <c r="ES92" i="2"/>
  <c r="CB188" i="2"/>
  <c r="ES188" i="2"/>
  <c r="CB81" i="2"/>
  <c r="ES81" i="2"/>
  <c r="CB87" i="2"/>
  <c r="ES87" i="2"/>
  <c r="CB143" i="2"/>
  <c r="ES143" i="2"/>
  <c r="CB53" i="2"/>
  <c r="ES53" i="2"/>
  <c r="CB159" i="2"/>
  <c r="ES159" i="2"/>
  <c r="CB36" i="2"/>
  <c r="ES36" i="2"/>
  <c r="BX144" i="2"/>
  <c r="ER144" i="2"/>
  <c r="BX95" i="2"/>
  <c r="ER95" i="2"/>
  <c r="BX3" i="2"/>
  <c r="ER3" i="2"/>
  <c r="BX86" i="2"/>
  <c r="ER86" i="2"/>
  <c r="BX11" i="2"/>
  <c r="ER11" i="2"/>
  <c r="BX41" i="2"/>
  <c r="ER41" i="2"/>
  <c r="BX198" i="2"/>
  <c r="ER198" i="2"/>
  <c r="BX152" i="2"/>
  <c r="ER152" i="2"/>
  <c r="BX21" i="2"/>
  <c r="ER21" i="2"/>
  <c r="BX108" i="2"/>
  <c r="ER108" i="2"/>
  <c r="CF116" i="2"/>
  <c r="ET116" i="2"/>
  <c r="BX163" i="2"/>
  <c r="ER163" i="2"/>
  <c r="CF27" i="2"/>
  <c r="ET27" i="2"/>
  <c r="CB66" i="2"/>
  <c r="ES66" i="2"/>
  <c r="CB147" i="2"/>
  <c r="ES147" i="2"/>
  <c r="CB26" i="2"/>
  <c r="ES26" i="2"/>
  <c r="CF192" i="2"/>
  <c r="ET192" i="2"/>
  <c r="CB150" i="2"/>
  <c r="ES150" i="2"/>
  <c r="CF145" i="2"/>
  <c r="ET145" i="2"/>
  <c r="CB50" i="2"/>
  <c r="ES50" i="2"/>
  <c r="CB78" i="2"/>
  <c r="ES78" i="2"/>
  <c r="CB28" i="2"/>
  <c r="ES28" i="2"/>
  <c r="BP6" i="2"/>
  <c r="BP8" i="2"/>
  <c r="BP103" i="2"/>
  <c r="BP4" i="2"/>
  <c r="BP19" i="2"/>
  <c r="BP187" i="2"/>
  <c r="BP30" i="2"/>
  <c r="BP79" i="2"/>
  <c r="EO132" i="2"/>
  <c r="BL132" i="2"/>
  <c r="EP132" i="2" s="1"/>
  <c r="EO193" i="2"/>
  <c r="BL193" i="2"/>
  <c r="EP193" i="2" s="1"/>
  <c r="EO102" i="2"/>
  <c r="BL102" i="2"/>
  <c r="EP102" i="2" s="1"/>
  <c r="BL43" i="2"/>
  <c r="EP43" i="2" s="1"/>
  <c r="EO43" i="2"/>
  <c r="EO14" i="2"/>
  <c r="BL14" i="2"/>
  <c r="EP14" i="2" s="1"/>
  <c r="BL189" i="2"/>
  <c r="EP189" i="2" s="1"/>
  <c r="EO189" i="2"/>
  <c r="EO9" i="2"/>
  <c r="BL9" i="2"/>
  <c r="EP9" i="2" s="1"/>
  <c r="EX56" i="21"/>
  <c r="EX54" i="21"/>
  <c r="EX155" i="21"/>
  <c r="EX46" i="21"/>
  <c r="EX58" i="21"/>
  <c r="EX30" i="21"/>
  <c r="CJ3" i="21" l="1"/>
  <c r="EW3" i="21" s="1"/>
  <c r="DM178" i="5"/>
  <c r="BF178" i="5"/>
  <c r="DM171" i="5"/>
  <c r="BF171" i="5"/>
  <c r="DM186" i="5"/>
  <c r="BF186" i="5"/>
  <c r="BF184" i="5"/>
  <c r="DM184" i="5"/>
  <c r="BF128" i="5"/>
  <c r="DM128" i="5"/>
  <c r="BF133" i="5"/>
  <c r="DM133" i="5"/>
  <c r="BF141" i="5"/>
  <c r="DM141" i="5"/>
  <c r="BF161" i="5"/>
  <c r="DM161" i="5"/>
  <c r="BF137" i="5"/>
  <c r="DM137" i="5"/>
  <c r="BF169" i="5"/>
  <c r="DM169" i="5"/>
  <c r="DM179" i="5"/>
  <c r="BF179" i="5"/>
  <c r="BF122" i="5"/>
  <c r="DM122" i="5"/>
  <c r="BF123" i="5"/>
  <c r="DM123" i="5"/>
  <c r="BF185" i="5"/>
  <c r="DM185" i="5"/>
  <c r="BF125" i="5"/>
  <c r="DM125" i="5"/>
  <c r="BF181" i="5"/>
  <c r="DM181" i="5"/>
  <c r="BF143" i="5"/>
  <c r="DM143" i="5"/>
  <c r="BF140" i="5"/>
  <c r="DM140" i="5"/>
  <c r="DM187" i="5"/>
  <c r="BF187" i="5"/>
  <c r="DM170" i="5"/>
  <c r="BF170" i="5"/>
  <c r="DM174" i="5"/>
  <c r="BF174" i="5"/>
  <c r="DM105" i="5"/>
  <c r="BF105" i="5"/>
  <c r="DM182" i="5"/>
  <c r="BF182" i="5"/>
  <c r="DM175" i="5"/>
  <c r="BF175" i="5"/>
  <c r="BF162" i="5"/>
  <c r="DM162" i="5"/>
  <c r="BF177" i="5"/>
  <c r="DM177" i="5"/>
  <c r="BF168" i="5"/>
  <c r="DM168" i="5"/>
  <c r="BF121" i="5"/>
  <c r="DM121" i="5"/>
  <c r="BF124" i="5"/>
  <c r="DM124" i="5"/>
  <c r="BF126" i="5"/>
  <c r="DM126" i="5"/>
  <c r="BF163" i="5"/>
  <c r="DM163" i="5"/>
  <c r="DM183" i="5"/>
  <c r="BF183" i="5"/>
  <c r="BF172" i="5"/>
  <c r="DM172" i="5"/>
  <c r="BF180" i="5"/>
  <c r="DM180" i="5"/>
  <c r="BF201" i="5"/>
  <c r="DM201" i="5"/>
  <c r="BF142" i="5"/>
  <c r="DM142" i="5"/>
  <c r="BF176" i="5"/>
  <c r="DM176" i="5"/>
  <c r="BF138" i="5"/>
  <c r="DM138" i="5"/>
  <c r="DK3" i="5"/>
  <c r="DK203" i="5" s="1"/>
  <c r="R67" i="19" s="1"/>
  <c r="AZ3" i="5"/>
  <c r="BT79" i="2"/>
  <c r="EQ79" i="2"/>
  <c r="BT4" i="2"/>
  <c r="EQ4" i="2"/>
  <c r="CB40" i="2"/>
  <c r="ES40" i="2"/>
  <c r="CB164" i="2"/>
  <c r="ES164" i="2"/>
  <c r="CB137" i="2"/>
  <c r="ES137" i="2"/>
  <c r="CB185" i="2"/>
  <c r="ES185" i="2"/>
  <c r="CB109" i="2"/>
  <c r="ES109" i="2"/>
  <c r="CF77" i="2"/>
  <c r="ET77" i="2"/>
  <c r="CF197" i="2"/>
  <c r="ET197" i="2"/>
  <c r="CF85" i="2"/>
  <c r="ET85" i="2"/>
  <c r="CF62" i="2"/>
  <c r="ET62" i="2"/>
  <c r="CF74" i="2"/>
  <c r="ET74" i="2"/>
  <c r="CB142" i="2"/>
  <c r="ES142" i="2"/>
  <c r="CB110" i="2"/>
  <c r="ES110" i="2"/>
  <c r="CB190" i="2"/>
  <c r="ES190" i="2"/>
  <c r="CB115" i="2"/>
  <c r="ES115" i="2"/>
  <c r="CB181" i="2"/>
  <c r="ES181" i="2"/>
  <c r="CB91" i="2"/>
  <c r="ES91" i="2"/>
  <c r="CF5" i="2"/>
  <c r="ET5" i="2"/>
  <c r="CF138" i="2"/>
  <c r="ET138" i="2"/>
  <c r="CJ67" i="2"/>
  <c r="EU67" i="2"/>
  <c r="CF38" i="2"/>
  <c r="ET38" i="2"/>
  <c r="CF167" i="2"/>
  <c r="ET167" i="2"/>
  <c r="CB182" i="2"/>
  <c r="ES182" i="2"/>
  <c r="BX123" i="2"/>
  <c r="ER123" i="2"/>
  <c r="CB93" i="2"/>
  <c r="ES93" i="2"/>
  <c r="CB32" i="2"/>
  <c r="ES32" i="2"/>
  <c r="CB113" i="2"/>
  <c r="ES113" i="2"/>
  <c r="CB105" i="2"/>
  <c r="ES105" i="2"/>
  <c r="CB35" i="2"/>
  <c r="ES35" i="2"/>
  <c r="CF125" i="2"/>
  <c r="ET125" i="2"/>
  <c r="CF196" i="2"/>
  <c r="ET196" i="2"/>
  <c r="CJ70" i="2"/>
  <c r="EU70" i="2"/>
  <c r="CF155" i="2"/>
  <c r="ET155" i="2"/>
  <c r="CF173" i="2"/>
  <c r="ET173" i="2"/>
  <c r="CB202" i="2"/>
  <c r="ES202" i="2"/>
  <c r="CB98" i="2"/>
  <c r="ES98" i="2"/>
  <c r="CB131" i="2"/>
  <c r="ES131" i="2"/>
  <c r="CB71" i="2"/>
  <c r="ES71" i="2"/>
  <c r="CB186" i="2"/>
  <c r="ES186" i="2"/>
  <c r="CB140" i="2"/>
  <c r="ES140" i="2"/>
  <c r="CF195" i="2"/>
  <c r="ET195" i="2"/>
  <c r="CJ121" i="2"/>
  <c r="EU121" i="2"/>
  <c r="CJ160" i="2"/>
  <c r="EU160" i="2"/>
  <c r="CF168" i="2"/>
  <c r="ET168" i="2"/>
  <c r="CJ114" i="2"/>
  <c r="EU114" i="2"/>
  <c r="CB29" i="2"/>
  <c r="ES29" i="2"/>
  <c r="BX44" i="2"/>
  <c r="ER44" i="2"/>
  <c r="CB200" i="2"/>
  <c r="ES200" i="2"/>
  <c r="CB7" i="2"/>
  <c r="ES7" i="2"/>
  <c r="CB83" i="2"/>
  <c r="ES83" i="2"/>
  <c r="CB129" i="2"/>
  <c r="ES129" i="2"/>
  <c r="CB127" i="2"/>
  <c r="ES127" i="2"/>
  <c r="CF166" i="2"/>
  <c r="ET166" i="2"/>
  <c r="CN141" i="2"/>
  <c r="EV141" i="2"/>
  <c r="CJ20" i="2"/>
  <c r="EU20" i="2"/>
  <c r="CF49" i="2"/>
  <c r="ET49" i="2"/>
  <c r="CJ90" i="2"/>
  <c r="EU90" i="2"/>
  <c r="CB42" i="2"/>
  <c r="ES42" i="2"/>
  <c r="CB180" i="2"/>
  <c r="ES180" i="2"/>
  <c r="CB52" i="2"/>
  <c r="ES52" i="2"/>
  <c r="CB126" i="2"/>
  <c r="ES126" i="2"/>
  <c r="CB128" i="2"/>
  <c r="ES128" i="2"/>
  <c r="CB46" i="2"/>
  <c r="ES46" i="2"/>
  <c r="CF135" i="2"/>
  <c r="ET135" i="2"/>
  <c r="CJ100" i="2"/>
  <c r="EU100" i="2"/>
  <c r="CJ94" i="2"/>
  <c r="EU94" i="2"/>
  <c r="CF51" i="2"/>
  <c r="ET51" i="2"/>
  <c r="CJ119" i="2"/>
  <c r="EU119" i="2"/>
  <c r="CB184" i="2"/>
  <c r="ES184" i="2"/>
  <c r="BX72" i="2"/>
  <c r="ER72" i="2"/>
  <c r="CB75" i="2"/>
  <c r="ES75" i="2"/>
  <c r="CB146" i="2"/>
  <c r="ES146" i="2"/>
  <c r="CB25" i="2"/>
  <c r="ES25" i="2"/>
  <c r="CB17" i="2"/>
  <c r="ES17" i="2"/>
  <c r="BX33" i="2"/>
  <c r="ER33" i="2"/>
  <c r="BT30" i="2"/>
  <c r="EQ30" i="2"/>
  <c r="BT103" i="2"/>
  <c r="EQ103" i="2"/>
  <c r="CF28" i="2"/>
  <c r="ET28" i="2"/>
  <c r="CF50" i="2"/>
  <c r="ET50" i="2"/>
  <c r="CF150" i="2"/>
  <c r="ET150" i="2"/>
  <c r="CF26" i="2"/>
  <c r="ET26" i="2"/>
  <c r="CF66" i="2"/>
  <c r="ET66" i="2"/>
  <c r="CB163" i="2"/>
  <c r="ES163" i="2"/>
  <c r="CB108" i="2"/>
  <c r="ES108" i="2"/>
  <c r="CB152" i="2"/>
  <c r="ES152" i="2"/>
  <c r="CB41" i="2"/>
  <c r="ES41" i="2"/>
  <c r="CB86" i="2"/>
  <c r="ES86" i="2"/>
  <c r="CB95" i="2"/>
  <c r="ES95" i="2"/>
  <c r="CF36" i="2"/>
  <c r="ET36" i="2"/>
  <c r="CF53" i="2"/>
  <c r="ET53" i="2"/>
  <c r="CF87" i="2"/>
  <c r="ET87" i="2"/>
  <c r="CF188" i="2"/>
  <c r="ET188" i="2"/>
  <c r="CF45" i="2"/>
  <c r="ET45" i="2"/>
  <c r="CB194" i="2"/>
  <c r="ES194" i="2"/>
  <c r="BX153" i="2"/>
  <c r="ER153" i="2"/>
  <c r="BT13" i="2"/>
  <c r="EQ13" i="2"/>
  <c r="BT187" i="2"/>
  <c r="EQ187" i="2"/>
  <c r="BT8" i="2"/>
  <c r="EQ8" i="2"/>
  <c r="CB124" i="2"/>
  <c r="ES124" i="2"/>
  <c r="CB134" i="2"/>
  <c r="ES134" i="2"/>
  <c r="CB161" i="2"/>
  <c r="ES161" i="2"/>
  <c r="CB169" i="2"/>
  <c r="ES169" i="2"/>
  <c r="BX165" i="2"/>
  <c r="ER165" i="2"/>
  <c r="CF58" i="2"/>
  <c r="ET58" i="2"/>
  <c r="CF154" i="2"/>
  <c r="ET154" i="2"/>
  <c r="CF122" i="2"/>
  <c r="ET122" i="2"/>
  <c r="CF54" i="2"/>
  <c r="ET54" i="2"/>
  <c r="CJ157" i="2"/>
  <c r="EU157" i="2"/>
  <c r="CJ112" i="2"/>
  <c r="EU112" i="2"/>
  <c r="CB106" i="2"/>
  <c r="ES106" i="2"/>
  <c r="CB84" i="2"/>
  <c r="ES84" i="2"/>
  <c r="CB22" i="2"/>
  <c r="ES22" i="2"/>
  <c r="CB23" i="2"/>
  <c r="ES23" i="2"/>
  <c r="CB47" i="2"/>
  <c r="ES47" i="2"/>
  <c r="CF61" i="2"/>
  <c r="ET61" i="2"/>
  <c r="CF191" i="2"/>
  <c r="ET191" i="2"/>
  <c r="CF97" i="2"/>
  <c r="ET97" i="2"/>
  <c r="CF48" i="2"/>
  <c r="ET48" i="2"/>
  <c r="CF57" i="2"/>
  <c r="ET57" i="2"/>
  <c r="CB201" i="2"/>
  <c r="ES201" i="2"/>
  <c r="CB148" i="2"/>
  <c r="ES148" i="2"/>
  <c r="CB18" i="2"/>
  <c r="ES18" i="2"/>
  <c r="CB120" i="2"/>
  <c r="ES120" i="2"/>
  <c r="CB39" i="2"/>
  <c r="ES39" i="2"/>
  <c r="CB149" i="2"/>
  <c r="ES149" i="2"/>
  <c r="BX31" i="2"/>
  <c r="ER31" i="2"/>
  <c r="CF82" i="2"/>
  <c r="ET82" i="2"/>
  <c r="CF179" i="2"/>
  <c r="ET179" i="2"/>
  <c r="CF156" i="2"/>
  <c r="ET156" i="2"/>
  <c r="CF88" i="2"/>
  <c r="ET88" i="2"/>
  <c r="CF175" i="2"/>
  <c r="ET175" i="2"/>
  <c r="CN104" i="2"/>
  <c r="EV104" i="2"/>
  <c r="CB117" i="2"/>
  <c r="ES117" i="2"/>
  <c r="CB60" i="2"/>
  <c r="ES60" i="2"/>
  <c r="CB174" i="2"/>
  <c r="ES174" i="2"/>
  <c r="CB24" i="2"/>
  <c r="ES24" i="2"/>
  <c r="CB199" i="2"/>
  <c r="ES199" i="2"/>
  <c r="CF101" i="2"/>
  <c r="ET101" i="2"/>
  <c r="CF172" i="2"/>
  <c r="ET172" i="2"/>
  <c r="CF96" i="2"/>
  <c r="ET96" i="2"/>
  <c r="CF130" i="2"/>
  <c r="ET130" i="2"/>
  <c r="CF171" i="2"/>
  <c r="ET171" i="2"/>
  <c r="CJ63" i="2"/>
  <c r="EU63" i="2"/>
  <c r="CB59" i="2"/>
  <c r="ES59" i="2"/>
  <c r="CB89" i="2"/>
  <c r="ES89" i="2"/>
  <c r="CB111" i="2"/>
  <c r="ES111" i="2"/>
  <c r="CB133" i="2"/>
  <c r="ES133" i="2"/>
  <c r="CB68" i="2"/>
  <c r="ES68" i="2"/>
  <c r="CB136" i="2"/>
  <c r="ES136" i="2"/>
  <c r="CF170" i="2"/>
  <c r="ET170" i="2"/>
  <c r="CF65" i="2"/>
  <c r="ET65" i="2"/>
  <c r="CF69" i="2"/>
  <c r="ET69" i="2"/>
  <c r="CF162" i="2"/>
  <c r="ET162" i="2"/>
  <c r="CF158" i="2"/>
  <c r="ET158" i="2"/>
  <c r="CB55" i="2"/>
  <c r="ES55" i="2"/>
  <c r="CB64" i="2"/>
  <c r="ES64" i="2"/>
  <c r="CB15" i="2"/>
  <c r="ES15" i="2"/>
  <c r="CB76" i="2"/>
  <c r="ES76" i="2"/>
  <c r="CB56" i="2"/>
  <c r="ES56" i="2"/>
  <c r="CF12" i="2"/>
  <c r="ET12" i="2"/>
  <c r="CF118" i="2"/>
  <c r="ET118" i="2"/>
  <c r="CF176" i="2"/>
  <c r="ET176" i="2"/>
  <c r="CF139" i="2"/>
  <c r="ET139" i="2"/>
  <c r="CF34" i="2"/>
  <c r="ET34" i="2"/>
  <c r="CB177" i="2"/>
  <c r="ES177" i="2"/>
  <c r="CJ151" i="2"/>
  <c r="EU151" i="2"/>
  <c r="CB37" i="2"/>
  <c r="ES37" i="2"/>
  <c r="CB107" i="2"/>
  <c r="ES107" i="2"/>
  <c r="CB99" i="2"/>
  <c r="ES99" i="2"/>
  <c r="CB16" i="2"/>
  <c r="ES16" i="2"/>
  <c r="CB80" i="2"/>
  <c r="ES80" i="2"/>
  <c r="BT19" i="2"/>
  <c r="EQ19" i="2"/>
  <c r="BT6" i="2"/>
  <c r="EQ6" i="2"/>
  <c r="CF78" i="2"/>
  <c r="ET78" i="2"/>
  <c r="CJ145" i="2"/>
  <c r="EU145" i="2"/>
  <c r="CJ192" i="2"/>
  <c r="EU192" i="2"/>
  <c r="CF147" i="2"/>
  <c r="ET147" i="2"/>
  <c r="CJ27" i="2"/>
  <c r="EU27" i="2"/>
  <c r="CJ116" i="2"/>
  <c r="EU116" i="2"/>
  <c r="CB21" i="2"/>
  <c r="ES21" i="2"/>
  <c r="CB198" i="2"/>
  <c r="ES198" i="2"/>
  <c r="CB11" i="2"/>
  <c r="ES11" i="2"/>
  <c r="CB3" i="2"/>
  <c r="ES3" i="2"/>
  <c r="CB144" i="2"/>
  <c r="ES144" i="2"/>
  <c r="CF159" i="2"/>
  <c r="ET159" i="2"/>
  <c r="CF143" i="2"/>
  <c r="ET143" i="2"/>
  <c r="CF81" i="2"/>
  <c r="ET81" i="2"/>
  <c r="CF92" i="2"/>
  <c r="ET92" i="2"/>
  <c r="CF183" i="2"/>
  <c r="ET183" i="2"/>
  <c r="CB178" i="2"/>
  <c r="ES178" i="2"/>
  <c r="BX10" i="2"/>
  <c r="ER10" i="2"/>
  <c r="BT73" i="2"/>
  <c r="EQ73" i="2"/>
  <c r="BP43" i="2"/>
  <c r="BP9" i="2"/>
  <c r="BP193" i="2"/>
  <c r="BP102" i="2"/>
  <c r="BP132" i="2"/>
  <c r="BP189" i="2"/>
  <c r="BP14" i="2"/>
  <c r="EZ46" i="21"/>
  <c r="EZ54" i="21"/>
  <c r="EZ30" i="21"/>
  <c r="EZ58" i="21"/>
  <c r="EZ155" i="21"/>
  <c r="EZ56" i="21"/>
  <c r="EX118" i="21"/>
  <c r="EX150" i="21"/>
  <c r="EX187" i="21"/>
  <c r="EX115" i="21"/>
  <c r="EX163" i="21"/>
  <c r="EX109" i="21"/>
  <c r="EX48" i="21"/>
  <c r="EX22" i="21"/>
  <c r="EX33" i="21"/>
  <c r="EX50" i="21"/>
  <c r="EX164" i="21"/>
  <c r="EX196" i="21"/>
  <c r="EX140" i="21"/>
  <c r="EX8" i="21"/>
  <c r="EX141" i="21"/>
  <c r="EX152" i="21"/>
  <c r="EX55" i="21"/>
  <c r="EX145" i="21"/>
  <c r="EX113" i="21"/>
  <c r="EX4" i="21"/>
  <c r="EX147" i="21"/>
  <c r="EX197" i="21"/>
  <c r="EX127" i="21"/>
  <c r="EX52" i="21"/>
  <c r="EX47" i="21"/>
  <c r="EX53" i="21"/>
  <c r="EX44" i="21"/>
  <c r="EX166" i="21"/>
  <c r="EX45" i="21"/>
  <c r="EX6" i="21"/>
  <c r="EX128" i="21"/>
  <c r="EX139" i="21"/>
  <c r="EX120" i="21"/>
  <c r="EX112" i="21"/>
  <c r="EX29" i="21"/>
  <c r="EX154" i="21"/>
  <c r="EX188" i="21"/>
  <c r="CN3" i="21" l="1"/>
  <c r="EX3" i="21" s="1"/>
  <c r="DN183" i="5"/>
  <c r="BI183" i="5"/>
  <c r="DN175" i="5"/>
  <c r="BI175" i="5"/>
  <c r="BI105" i="5"/>
  <c r="DN105" i="5"/>
  <c r="DN170" i="5"/>
  <c r="BI170" i="5"/>
  <c r="DN171" i="5"/>
  <c r="BI171" i="5"/>
  <c r="BI138" i="5"/>
  <c r="DN138" i="5"/>
  <c r="BI142" i="5"/>
  <c r="DN142" i="5"/>
  <c r="BI180" i="5"/>
  <c r="DN180" i="5"/>
  <c r="BI126" i="5"/>
  <c r="DN126" i="5"/>
  <c r="BI121" i="5"/>
  <c r="DN121" i="5"/>
  <c r="DN177" i="5"/>
  <c r="BI177" i="5"/>
  <c r="BI140" i="5"/>
  <c r="DN140" i="5"/>
  <c r="DN181" i="5"/>
  <c r="BI181" i="5"/>
  <c r="DN185" i="5"/>
  <c r="BI185" i="5"/>
  <c r="BI122" i="5"/>
  <c r="DN122" i="5"/>
  <c r="DN169" i="5"/>
  <c r="BI169" i="5"/>
  <c r="BI161" i="5"/>
  <c r="DN161" i="5"/>
  <c r="BI133" i="5"/>
  <c r="DN133" i="5"/>
  <c r="BI184" i="5"/>
  <c r="DN184" i="5"/>
  <c r="BI182" i="5"/>
  <c r="DN182" i="5"/>
  <c r="DN174" i="5"/>
  <c r="BI174" i="5"/>
  <c r="BI187" i="5"/>
  <c r="DN187" i="5"/>
  <c r="DN179" i="5"/>
  <c r="BI179" i="5"/>
  <c r="BI186" i="5"/>
  <c r="DN186" i="5"/>
  <c r="DN178" i="5"/>
  <c r="BI178" i="5"/>
  <c r="BI176" i="5"/>
  <c r="DN176" i="5"/>
  <c r="BI201" i="5"/>
  <c r="DN201" i="5"/>
  <c r="BI172" i="5"/>
  <c r="DN172" i="5"/>
  <c r="BI163" i="5"/>
  <c r="DN163" i="5"/>
  <c r="BI124" i="5"/>
  <c r="DN124" i="5"/>
  <c r="BI168" i="5"/>
  <c r="DN168" i="5"/>
  <c r="BI162" i="5"/>
  <c r="DN162" i="5"/>
  <c r="BI143" i="5"/>
  <c r="DN143" i="5"/>
  <c r="BI125" i="5"/>
  <c r="DN125" i="5"/>
  <c r="BI123" i="5"/>
  <c r="DN123" i="5"/>
  <c r="BI137" i="5"/>
  <c r="DN137" i="5"/>
  <c r="BI141" i="5"/>
  <c r="DN141" i="5"/>
  <c r="BI128" i="5"/>
  <c r="DN128" i="5"/>
  <c r="DL3" i="5"/>
  <c r="DL203" i="5" s="1"/>
  <c r="S67" i="19" s="1"/>
  <c r="BC3" i="5"/>
  <c r="BT102" i="2"/>
  <c r="EQ102" i="2"/>
  <c r="CF80" i="2"/>
  <c r="ET80" i="2"/>
  <c r="CF99" i="2"/>
  <c r="ET99" i="2"/>
  <c r="CF37" i="2"/>
  <c r="ET37" i="2"/>
  <c r="CF177" i="2"/>
  <c r="ET177" i="2"/>
  <c r="CJ139" i="2"/>
  <c r="EU139" i="2"/>
  <c r="CJ118" i="2"/>
  <c r="EU118" i="2"/>
  <c r="CF56" i="2"/>
  <c r="ET56" i="2"/>
  <c r="CF15" i="2"/>
  <c r="ET15" i="2"/>
  <c r="CF55" i="2"/>
  <c r="ET55" i="2"/>
  <c r="CJ162" i="2"/>
  <c r="EU162" i="2"/>
  <c r="CJ65" i="2"/>
  <c r="EU65" i="2"/>
  <c r="CF136" i="2"/>
  <c r="ET136" i="2"/>
  <c r="CF133" i="2"/>
  <c r="ET133" i="2"/>
  <c r="CF89" i="2"/>
  <c r="ET89" i="2"/>
  <c r="CN63" i="2"/>
  <c r="EV63" i="2"/>
  <c r="CJ130" i="2"/>
  <c r="EU130" i="2"/>
  <c r="CJ172" i="2"/>
  <c r="EU172" i="2"/>
  <c r="CF199" i="2"/>
  <c r="ET199" i="2"/>
  <c r="CF174" i="2"/>
  <c r="ET174" i="2"/>
  <c r="CF117" i="2"/>
  <c r="ET117" i="2"/>
  <c r="CJ175" i="2"/>
  <c r="EU175" i="2"/>
  <c r="CJ156" i="2"/>
  <c r="EU156" i="2"/>
  <c r="CJ82" i="2"/>
  <c r="EU82" i="2"/>
  <c r="CF149" i="2"/>
  <c r="ET149" i="2"/>
  <c r="CF120" i="2"/>
  <c r="ET120" i="2"/>
  <c r="CF148" i="2"/>
  <c r="ET148" i="2"/>
  <c r="CJ57" i="2"/>
  <c r="EU57" i="2"/>
  <c r="CJ97" i="2"/>
  <c r="EU97" i="2"/>
  <c r="CJ61" i="2"/>
  <c r="EU61" i="2"/>
  <c r="CF23" i="2"/>
  <c r="ET23" i="2"/>
  <c r="CF84" i="2"/>
  <c r="ET84" i="2"/>
  <c r="CN112" i="2"/>
  <c r="EV112" i="2"/>
  <c r="CJ54" i="2"/>
  <c r="EU54" i="2"/>
  <c r="CJ154" i="2"/>
  <c r="EU154" i="2"/>
  <c r="CB165" i="2"/>
  <c r="ES165" i="2"/>
  <c r="CF161" i="2"/>
  <c r="ET161" i="2"/>
  <c r="CF124" i="2"/>
  <c r="ET124" i="2"/>
  <c r="BT14" i="2"/>
  <c r="EQ14" i="2"/>
  <c r="BT193" i="2"/>
  <c r="EQ193" i="2"/>
  <c r="BX73" i="2"/>
  <c r="ER73" i="2"/>
  <c r="CF178" i="2"/>
  <c r="ET178" i="2"/>
  <c r="CJ92" i="2"/>
  <c r="EU92" i="2"/>
  <c r="CJ143" i="2"/>
  <c r="EU143" i="2"/>
  <c r="CF144" i="2"/>
  <c r="ET144" i="2"/>
  <c r="CF11" i="2"/>
  <c r="ET11" i="2"/>
  <c r="CF21" i="2"/>
  <c r="ET21" i="2"/>
  <c r="CN27" i="2"/>
  <c r="EV27" i="2"/>
  <c r="CN192" i="2"/>
  <c r="EV192" i="2"/>
  <c r="CJ78" i="2"/>
  <c r="EU78" i="2"/>
  <c r="BX19" i="2"/>
  <c r="ER19" i="2"/>
  <c r="BX187" i="2"/>
  <c r="ER187" i="2"/>
  <c r="CB153" i="2"/>
  <c r="ES153" i="2"/>
  <c r="CJ45" i="2"/>
  <c r="EU45" i="2"/>
  <c r="CJ87" i="2"/>
  <c r="EU87" i="2"/>
  <c r="CJ36" i="2"/>
  <c r="EU36" i="2"/>
  <c r="CF86" i="2"/>
  <c r="ET86" i="2"/>
  <c r="CF152" i="2"/>
  <c r="ET152" i="2"/>
  <c r="CF163" i="2"/>
  <c r="ET163" i="2"/>
  <c r="CJ26" i="2"/>
  <c r="EU26" i="2"/>
  <c r="CJ50" i="2"/>
  <c r="EU50" i="2"/>
  <c r="BX103" i="2"/>
  <c r="ER103" i="2"/>
  <c r="CB33" i="2"/>
  <c r="ES33" i="2"/>
  <c r="CF25" i="2"/>
  <c r="ET25" i="2"/>
  <c r="CF75" i="2"/>
  <c r="ET75" i="2"/>
  <c r="CF184" i="2"/>
  <c r="ET184" i="2"/>
  <c r="CJ51" i="2"/>
  <c r="EU51" i="2"/>
  <c r="CN100" i="2"/>
  <c r="EV100" i="2"/>
  <c r="CF46" i="2"/>
  <c r="ET46" i="2"/>
  <c r="CF126" i="2"/>
  <c r="ET126" i="2"/>
  <c r="CF180" i="2"/>
  <c r="ET180" i="2"/>
  <c r="CN90" i="2"/>
  <c r="EV90" i="2"/>
  <c r="CN20" i="2"/>
  <c r="EV20" i="2"/>
  <c r="CJ166" i="2"/>
  <c r="EU166" i="2"/>
  <c r="CF129" i="2"/>
  <c r="ET129" i="2"/>
  <c r="CF7" i="2"/>
  <c r="ET7" i="2"/>
  <c r="CB44" i="2"/>
  <c r="ES44" i="2"/>
  <c r="CN114" i="2"/>
  <c r="EV114" i="2"/>
  <c r="CN160" i="2"/>
  <c r="EV160" i="2"/>
  <c r="CJ195" i="2"/>
  <c r="EU195" i="2"/>
  <c r="CF186" i="2"/>
  <c r="ET186" i="2"/>
  <c r="CF131" i="2"/>
  <c r="ET131" i="2"/>
  <c r="CF202" i="2"/>
  <c r="ET202" i="2"/>
  <c r="CJ155" i="2"/>
  <c r="EU155" i="2"/>
  <c r="CJ196" i="2"/>
  <c r="EU196" i="2"/>
  <c r="CF35" i="2"/>
  <c r="ET35" i="2"/>
  <c r="CF113" i="2"/>
  <c r="ET113" i="2"/>
  <c r="CF93" i="2"/>
  <c r="ET93" i="2"/>
  <c r="CF182" i="2"/>
  <c r="ET182" i="2"/>
  <c r="CJ38" i="2"/>
  <c r="EU38" i="2"/>
  <c r="CJ138" i="2"/>
  <c r="EU138" i="2"/>
  <c r="CF91" i="2"/>
  <c r="ET91" i="2"/>
  <c r="CF115" i="2"/>
  <c r="ET115" i="2"/>
  <c r="CF110" i="2"/>
  <c r="ET110" i="2"/>
  <c r="CJ74" i="2"/>
  <c r="EU74" i="2"/>
  <c r="CJ85" i="2"/>
  <c r="EU85" i="2"/>
  <c r="CJ77" i="2"/>
  <c r="EU77" i="2"/>
  <c r="CF185" i="2"/>
  <c r="ET185" i="2"/>
  <c r="CF164" i="2"/>
  <c r="ET164" i="2"/>
  <c r="BX4" i="2"/>
  <c r="ER4" i="2"/>
  <c r="BT189" i="2"/>
  <c r="EQ189" i="2"/>
  <c r="BT9" i="2"/>
  <c r="EQ9" i="2"/>
  <c r="CF16" i="2"/>
  <c r="ET16" i="2"/>
  <c r="CF107" i="2"/>
  <c r="ET107" i="2"/>
  <c r="CN151" i="2"/>
  <c r="EV151" i="2"/>
  <c r="CJ34" i="2"/>
  <c r="EU34" i="2"/>
  <c r="CJ176" i="2"/>
  <c r="EU176" i="2"/>
  <c r="CJ12" i="2"/>
  <c r="EU12" i="2"/>
  <c r="CF76" i="2"/>
  <c r="ET76" i="2"/>
  <c r="CF64" i="2"/>
  <c r="ET64" i="2"/>
  <c r="CJ158" i="2"/>
  <c r="EU158" i="2"/>
  <c r="CJ69" i="2"/>
  <c r="EU69" i="2"/>
  <c r="CJ170" i="2"/>
  <c r="EU170" i="2"/>
  <c r="CF68" i="2"/>
  <c r="ET68" i="2"/>
  <c r="CF111" i="2"/>
  <c r="ET111" i="2"/>
  <c r="CF59" i="2"/>
  <c r="ET59" i="2"/>
  <c r="CJ171" i="2"/>
  <c r="EU171" i="2"/>
  <c r="CJ96" i="2"/>
  <c r="EU96" i="2"/>
  <c r="CJ101" i="2"/>
  <c r="EU101" i="2"/>
  <c r="CF24" i="2"/>
  <c r="ET24" i="2"/>
  <c r="CF60" i="2"/>
  <c r="ET60" i="2"/>
  <c r="CR104" i="2"/>
  <c r="EW104" i="2"/>
  <c r="CJ88" i="2"/>
  <c r="EU88" i="2"/>
  <c r="CJ179" i="2"/>
  <c r="EU179" i="2"/>
  <c r="CB31" i="2"/>
  <c r="ES31" i="2"/>
  <c r="CF39" i="2"/>
  <c r="ET39" i="2"/>
  <c r="CF18" i="2"/>
  <c r="ET18" i="2"/>
  <c r="CF201" i="2"/>
  <c r="ET201" i="2"/>
  <c r="CJ48" i="2"/>
  <c r="EU48" i="2"/>
  <c r="CJ191" i="2"/>
  <c r="EU191" i="2"/>
  <c r="CF47" i="2"/>
  <c r="ET47" i="2"/>
  <c r="CF22" i="2"/>
  <c r="ET22" i="2"/>
  <c r="CF106" i="2"/>
  <c r="ET106" i="2"/>
  <c r="CN157" i="2"/>
  <c r="EV157" i="2"/>
  <c r="CJ122" i="2"/>
  <c r="EU122" i="2"/>
  <c r="CJ58" i="2"/>
  <c r="EU58" i="2"/>
  <c r="CF169" i="2"/>
  <c r="ET169" i="2"/>
  <c r="CF134" i="2"/>
  <c r="ET134" i="2"/>
  <c r="BT132" i="2"/>
  <c r="EQ132" i="2"/>
  <c r="BT43" i="2"/>
  <c r="EQ43" i="2"/>
  <c r="CB10" i="2"/>
  <c r="ES10" i="2"/>
  <c r="CJ183" i="2"/>
  <c r="EU183" i="2"/>
  <c r="CJ81" i="2"/>
  <c r="EU81" i="2"/>
  <c r="CJ159" i="2"/>
  <c r="EU159" i="2"/>
  <c r="CF3" i="2"/>
  <c r="ET3" i="2"/>
  <c r="CF198" i="2"/>
  <c r="ET198" i="2"/>
  <c r="CN116" i="2"/>
  <c r="EV116" i="2"/>
  <c r="CJ147" i="2"/>
  <c r="EU147" i="2"/>
  <c r="CN145" i="2"/>
  <c r="EV145" i="2"/>
  <c r="BX6" i="2"/>
  <c r="ER6" i="2"/>
  <c r="BX8" i="2"/>
  <c r="ER8" i="2"/>
  <c r="BX13" i="2"/>
  <c r="ER13" i="2"/>
  <c r="CF194" i="2"/>
  <c r="ET194" i="2"/>
  <c r="CJ188" i="2"/>
  <c r="EU188" i="2"/>
  <c r="CJ53" i="2"/>
  <c r="EU53" i="2"/>
  <c r="CF95" i="2"/>
  <c r="ET95" i="2"/>
  <c r="CF41" i="2"/>
  <c r="ET41" i="2"/>
  <c r="CF108" i="2"/>
  <c r="ET108" i="2"/>
  <c r="CJ66" i="2"/>
  <c r="EU66" i="2"/>
  <c r="CJ150" i="2"/>
  <c r="EU150" i="2"/>
  <c r="CJ28" i="2"/>
  <c r="EU28" i="2"/>
  <c r="BX30" i="2"/>
  <c r="ER30" i="2"/>
  <c r="CF17" i="2"/>
  <c r="ET17" i="2"/>
  <c r="CF146" i="2"/>
  <c r="ET146" i="2"/>
  <c r="CB72" i="2"/>
  <c r="ES72" i="2"/>
  <c r="CN119" i="2"/>
  <c r="EV119" i="2"/>
  <c r="CN94" i="2"/>
  <c r="EV94" i="2"/>
  <c r="CJ135" i="2"/>
  <c r="EU135" i="2"/>
  <c r="CF128" i="2"/>
  <c r="ET128" i="2"/>
  <c r="CF52" i="2"/>
  <c r="ET52" i="2"/>
  <c r="CF42" i="2"/>
  <c r="ET42" i="2"/>
  <c r="CJ49" i="2"/>
  <c r="EU49" i="2"/>
  <c r="CR141" i="2"/>
  <c r="EW141" i="2"/>
  <c r="CF127" i="2"/>
  <c r="ET127" i="2"/>
  <c r="CF83" i="2"/>
  <c r="ET83" i="2"/>
  <c r="CF200" i="2"/>
  <c r="ET200" i="2"/>
  <c r="CF29" i="2"/>
  <c r="ET29" i="2"/>
  <c r="CJ168" i="2"/>
  <c r="EU168" i="2"/>
  <c r="CN121" i="2"/>
  <c r="EV121" i="2"/>
  <c r="CF140" i="2"/>
  <c r="ET140" i="2"/>
  <c r="CF71" i="2"/>
  <c r="ET71" i="2"/>
  <c r="CF98" i="2"/>
  <c r="ET98" i="2"/>
  <c r="CJ173" i="2"/>
  <c r="EU173" i="2"/>
  <c r="CN70" i="2"/>
  <c r="EV70" i="2"/>
  <c r="CJ125" i="2"/>
  <c r="EU125" i="2"/>
  <c r="CF105" i="2"/>
  <c r="ET105" i="2"/>
  <c r="CF32" i="2"/>
  <c r="ET32" i="2"/>
  <c r="CB123" i="2"/>
  <c r="ES123" i="2"/>
  <c r="CJ167" i="2"/>
  <c r="EU167" i="2"/>
  <c r="CN67" i="2"/>
  <c r="EV67" i="2"/>
  <c r="CJ5" i="2"/>
  <c r="EU5" i="2"/>
  <c r="CF181" i="2"/>
  <c r="ET181" i="2"/>
  <c r="CF190" i="2"/>
  <c r="ET190" i="2"/>
  <c r="CF142" i="2"/>
  <c r="ET142" i="2"/>
  <c r="CJ62" i="2"/>
  <c r="EU62" i="2"/>
  <c r="CJ197" i="2"/>
  <c r="EU197" i="2"/>
  <c r="CF109" i="2"/>
  <c r="ET109" i="2"/>
  <c r="CF137" i="2"/>
  <c r="ET137" i="2"/>
  <c r="CF40" i="2"/>
  <c r="ET40" i="2"/>
  <c r="BX79" i="2"/>
  <c r="ER79" i="2"/>
  <c r="FA56" i="21"/>
  <c r="EY56" i="21"/>
  <c r="FA58" i="21"/>
  <c r="EY58" i="21"/>
  <c r="FA54" i="21"/>
  <c r="EY54" i="21"/>
  <c r="FA155" i="21"/>
  <c r="EY155" i="21"/>
  <c r="FA30" i="21"/>
  <c r="EY30" i="21"/>
  <c r="FA46" i="21"/>
  <c r="EY46" i="21"/>
  <c r="EZ188" i="21"/>
  <c r="EZ29" i="21"/>
  <c r="EZ120" i="21"/>
  <c r="EZ128" i="21"/>
  <c r="EZ45" i="21"/>
  <c r="CR3" i="21"/>
  <c r="CV3" i="21" s="1"/>
  <c r="EZ3" i="21" s="1"/>
  <c r="EZ53" i="21"/>
  <c r="EZ52" i="21"/>
  <c r="EZ197" i="21"/>
  <c r="EZ4" i="21"/>
  <c r="EZ145" i="21"/>
  <c r="EZ152" i="21"/>
  <c r="EZ8" i="21"/>
  <c r="EZ196" i="21"/>
  <c r="EZ50" i="21"/>
  <c r="EZ22" i="21"/>
  <c r="EZ109" i="21"/>
  <c r="EZ115" i="21"/>
  <c r="EZ150" i="21"/>
  <c r="EZ154" i="21"/>
  <c r="EZ112" i="21"/>
  <c r="EZ139" i="21"/>
  <c r="EZ6" i="21"/>
  <c r="EZ166" i="21"/>
  <c r="EZ44" i="21"/>
  <c r="EZ47" i="21"/>
  <c r="EZ127" i="21"/>
  <c r="EZ147" i="21"/>
  <c r="EZ113" i="21"/>
  <c r="EZ55" i="21"/>
  <c r="EZ141" i="21"/>
  <c r="EZ140" i="21"/>
  <c r="EZ164" i="21"/>
  <c r="EZ33" i="21"/>
  <c r="EZ48" i="21"/>
  <c r="EZ163" i="21"/>
  <c r="EZ187" i="21"/>
  <c r="EZ118" i="21"/>
  <c r="EX97" i="21"/>
  <c r="EX43" i="21"/>
  <c r="EX70" i="21"/>
  <c r="EX116" i="21"/>
  <c r="EX74" i="21"/>
  <c r="EX5" i="21"/>
  <c r="EX124" i="21"/>
  <c r="EX125" i="21"/>
  <c r="EX114" i="21"/>
  <c r="EX195" i="21"/>
  <c r="EX80" i="21"/>
  <c r="EX174" i="21"/>
  <c r="EX191" i="21"/>
  <c r="EX171" i="21"/>
  <c r="EX143" i="21"/>
  <c r="EX138" i="21"/>
  <c r="EX105" i="21"/>
  <c r="EX87" i="21"/>
  <c r="EX9" i="21"/>
  <c r="EX42" i="21"/>
  <c r="EX149" i="21"/>
  <c r="EX107" i="21"/>
  <c r="EX122" i="21"/>
  <c r="EX41" i="21"/>
  <c r="EX121" i="21"/>
  <c r="EX165" i="21"/>
  <c r="EX180" i="21"/>
  <c r="EX170" i="21"/>
  <c r="EX117" i="21"/>
  <c r="EX104" i="21"/>
  <c r="EX119" i="21"/>
  <c r="EX28" i="21"/>
  <c r="EX200" i="21"/>
  <c r="EX132" i="21"/>
  <c r="EX73" i="21"/>
  <c r="EX21" i="21"/>
  <c r="EX173" i="21"/>
  <c r="EX142" i="21"/>
  <c r="EX10" i="21"/>
  <c r="EX148" i="21"/>
  <c r="EX79" i="21"/>
  <c r="EX38" i="21"/>
  <c r="EX202" i="21"/>
  <c r="EX153" i="21"/>
  <c r="EX111" i="21"/>
  <c r="EX137" i="21"/>
  <c r="EX90" i="21"/>
  <c r="EX82" i="21"/>
  <c r="EX172" i="21"/>
  <c r="EX37" i="21"/>
  <c r="EX161" i="21"/>
  <c r="EX77" i="21"/>
  <c r="EX123" i="21"/>
  <c r="EX135" i="21"/>
  <c r="EX18" i="21"/>
  <c r="EX179" i="21"/>
  <c r="EX133" i="21"/>
  <c r="EX106" i="21"/>
  <c r="EX59" i="21"/>
  <c r="EX184" i="21"/>
  <c r="EX130" i="21"/>
  <c r="EX181" i="21"/>
  <c r="EX65" i="21"/>
  <c r="EX136" i="21"/>
  <c r="EX51" i="21"/>
  <c r="EX60" i="21"/>
  <c r="EX156" i="21"/>
  <c r="EX49" i="21"/>
  <c r="EX83" i="21"/>
  <c r="EX146" i="21"/>
  <c r="EX57" i="21"/>
  <c r="EX178" i="21"/>
  <c r="EX110" i="21"/>
  <c r="EX24" i="21"/>
  <c r="EX129" i="21"/>
  <c r="EX134" i="21"/>
  <c r="EX71" i="21"/>
  <c r="EX189" i="21"/>
  <c r="DO169" i="5" l="1"/>
  <c r="BL169" i="5"/>
  <c r="DO185" i="5"/>
  <c r="BL185" i="5"/>
  <c r="DO170" i="5"/>
  <c r="BL170" i="5"/>
  <c r="DO175" i="5"/>
  <c r="BL175" i="5"/>
  <c r="BL128" i="5"/>
  <c r="DO128" i="5"/>
  <c r="BL137" i="5"/>
  <c r="DO137" i="5"/>
  <c r="BL125" i="5"/>
  <c r="DO125" i="5"/>
  <c r="BL162" i="5"/>
  <c r="DO162" i="5"/>
  <c r="BL124" i="5"/>
  <c r="DO124" i="5"/>
  <c r="BL172" i="5"/>
  <c r="DO172" i="5"/>
  <c r="BL176" i="5"/>
  <c r="DO176" i="5"/>
  <c r="DO186" i="5"/>
  <c r="BL186" i="5"/>
  <c r="DO187" i="5"/>
  <c r="BL187" i="5"/>
  <c r="DO182" i="5"/>
  <c r="BL182" i="5"/>
  <c r="BL133" i="5"/>
  <c r="DO133" i="5"/>
  <c r="BL140" i="5"/>
  <c r="DO140" i="5"/>
  <c r="BL121" i="5"/>
  <c r="DO121" i="5"/>
  <c r="BL180" i="5"/>
  <c r="DO180" i="5"/>
  <c r="BL138" i="5"/>
  <c r="DO138" i="5"/>
  <c r="DO178" i="5"/>
  <c r="BL178" i="5"/>
  <c r="DO179" i="5"/>
  <c r="BL179" i="5"/>
  <c r="DO174" i="5"/>
  <c r="BL174" i="5"/>
  <c r="DO181" i="5"/>
  <c r="BL181" i="5"/>
  <c r="DO177" i="5"/>
  <c r="BL177" i="5"/>
  <c r="DO171" i="5"/>
  <c r="BL171" i="5"/>
  <c r="DO183" i="5"/>
  <c r="BL183" i="5"/>
  <c r="BL141" i="5"/>
  <c r="DO141" i="5"/>
  <c r="BL123" i="5"/>
  <c r="DO123" i="5"/>
  <c r="BL143" i="5"/>
  <c r="DO143" i="5"/>
  <c r="BL168" i="5"/>
  <c r="DO168" i="5"/>
  <c r="BL163" i="5"/>
  <c r="DO163" i="5"/>
  <c r="BL201" i="5"/>
  <c r="DO201" i="5"/>
  <c r="BL184" i="5"/>
  <c r="DO184" i="5"/>
  <c r="BL161" i="5"/>
  <c r="DO161" i="5"/>
  <c r="BL122" i="5"/>
  <c r="DO122" i="5"/>
  <c r="BL126" i="5"/>
  <c r="DO126" i="5"/>
  <c r="BL142" i="5"/>
  <c r="DO142" i="5"/>
  <c r="BL105" i="5"/>
  <c r="DO105" i="5"/>
  <c r="DM3" i="5"/>
  <c r="BF3" i="5"/>
  <c r="CB79" i="2"/>
  <c r="ES79" i="2"/>
  <c r="CJ137" i="2"/>
  <c r="EU137" i="2"/>
  <c r="CN197" i="2"/>
  <c r="EV197" i="2"/>
  <c r="CJ142" i="2"/>
  <c r="EU142" i="2"/>
  <c r="CJ181" i="2"/>
  <c r="EU181" i="2"/>
  <c r="CR67" i="2"/>
  <c r="EW67" i="2"/>
  <c r="CF123" i="2"/>
  <c r="ET123" i="2"/>
  <c r="CJ105" i="2"/>
  <c r="EU105" i="2"/>
  <c r="CR70" i="2"/>
  <c r="EW70" i="2"/>
  <c r="CJ98" i="2"/>
  <c r="EU98" i="2"/>
  <c r="CJ140" i="2"/>
  <c r="EU140" i="2"/>
  <c r="CN168" i="2"/>
  <c r="EV168" i="2"/>
  <c r="CJ200" i="2"/>
  <c r="EU200" i="2"/>
  <c r="CJ127" i="2"/>
  <c r="EU127" i="2"/>
  <c r="CN49" i="2"/>
  <c r="EV49" i="2"/>
  <c r="CJ52" i="2"/>
  <c r="EU52" i="2"/>
  <c r="CN135" i="2"/>
  <c r="EV135" i="2"/>
  <c r="CR119" i="2"/>
  <c r="EW119" i="2"/>
  <c r="CJ146" i="2"/>
  <c r="EU146" i="2"/>
  <c r="CB30" i="2"/>
  <c r="ES30" i="2"/>
  <c r="CN150" i="2"/>
  <c r="EV150" i="2"/>
  <c r="CJ108" i="2"/>
  <c r="EU108" i="2"/>
  <c r="CJ95" i="2"/>
  <c r="EU95" i="2"/>
  <c r="CN188" i="2"/>
  <c r="EV188" i="2"/>
  <c r="CB13" i="2"/>
  <c r="ES13" i="2"/>
  <c r="CB6" i="2"/>
  <c r="ES6" i="2"/>
  <c r="CN147" i="2"/>
  <c r="EV147" i="2"/>
  <c r="CJ198" i="2"/>
  <c r="EU198" i="2"/>
  <c r="CN159" i="2"/>
  <c r="EV159" i="2"/>
  <c r="CN183" i="2"/>
  <c r="EV183" i="2"/>
  <c r="BX43" i="2"/>
  <c r="ER43" i="2"/>
  <c r="BX189" i="2"/>
  <c r="ER189" i="2"/>
  <c r="CJ164" i="2"/>
  <c r="EU164" i="2"/>
  <c r="CN77" i="2"/>
  <c r="EV77" i="2"/>
  <c r="CN74" i="2"/>
  <c r="EV74" i="2"/>
  <c r="CJ115" i="2"/>
  <c r="EU115" i="2"/>
  <c r="CN138" i="2"/>
  <c r="EV138" i="2"/>
  <c r="CJ182" i="2"/>
  <c r="EU182" i="2"/>
  <c r="CJ113" i="2"/>
  <c r="EU113" i="2"/>
  <c r="CN196" i="2"/>
  <c r="EV196" i="2"/>
  <c r="CJ202" i="2"/>
  <c r="EU202" i="2"/>
  <c r="CJ186" i="2"/>
  <c r="EU186" i="2"/>
  <c r="CR160" i="2"/>
  <c r="EW160" i="2"/>
  <c r="CF44" i="2"/>
  <c r="ET44" i="2"/>
  <c r="CJ129" i="2"/>
  <c r="EU129" i="2"/>
  <c r="CR20" i="2"/>
  <c r="EW20" i="2"/>
  <c r="CJ180" i="2"/>
  <c r="EU180" i="2"/>
  <c r="CJ46" i="2"/>
  <c r="EU46" i="2"/>
  <c r="CN51" i="2"/>
  <c r="EV51" i="2"/>
  <c r="CJ75" i="2"/>
  <c r="EU75" i="2"/>
  <c r="CF33" i="2"/>
  <c r="ET33" i="2"/>
  <c r="CN50" i="2"/>
  <c r="EV50" i="2"/>
  <c r="CJ163" i="2"/>
  <c r="EU163" i="2"/>
  <c r="CJ86" i="2"/>
  <c r="EU86" i="2"/>
  <c r="CN87" i="2"/>
  <c r="EV87" i="2"/>
  <c r="CF153" i="2"/>
  <c r="ET153" i="2"/>
  <c r="CB19" i="2"/>
  <c r="ES19" i="2"/>
  <c r="CR192" i="2"/>
  <c r="EW192" i="2"/>
  <c r="CJ21" i="2"/>
  <c r="EU21" i="2"/>
  <c r="CJ144" i="2"/>
  <c r="EU144" i="2"/>
  <c r="CN92" i="2"/>
  <c r="EV92" i="2"/>
  <c r="CB73" i="2"/>
  <c r="ES73" i="2"/>
  <c r="BX14" i="2"/>
  <c r="ER14" i="2"/>
  <c r="CJ134" i="2"/>
  <c r="EU134" i="2"/>
  <c r="CN58" i="2"/>
  <c r="EV58" i="2"/>
  <c r="CR157" i="2"/>
  <c r="EW157" i="2"/>
  <c r="CJ22" i="2"/>
  <c r="EU22" i="2"/>
  <c r="CN191" i="2"/>
  <c r="EV191" i="2"/>
  <c r="CJ201" i="2"/>
  <c r="EU201" i="2"/>
  <c r="CJ39" i="2"/>
  <c r="EU39" i="2"/>
  <c r="CN179" i="2"/>
  <c r="EV179" i="2"/>
  <c r="CV104" i="2"/>
  <c r="EY104" i="2"/>
  <c r="EX104" i="2"/>
  <c r="CJ24" i="2"/>
  <c r="EU24" i="2"/>
  <c r="CN96" i="2"/>
  <c r="EV96" i="2"/>
  <c r="CJ59" i="2"/>
  <c r="EU59" i="2"/>
  <c r="CJ68" i="2"/>
  <c r="EU68" i="2"/>
  <c r="CN69" i="2"/>
  <c r="EV69" i="2"/>
  <c r="CJ64" i="2"/>
  <c r="EU64" i="2"/>
  <c r="CN12" i="2"/>
  <c r="EV12" i="2"/>
  <c r="CN34" i="2"/>
  <c r="EV34" i="2"/>
  <c r="CJ107" i="2"/>
  <c r="EU107" i="2"/>
  <c r="CJ161" i="2"/>
  <c r="EU161" i="2"/>
  <c r="CN154" i="2"/>
  <c r="EV154" i="2"/>
  <c r="CR112" i="2"/>
  <c r="EW112" i="2"/>
  <c r="CJ23" i="2"/>
  <c r="EU23" i="2"/>
  <c r="CN97" i="2"/>
  <c r="EV97" i="2"/>
  <c r="CJ148" i="2"/>
  <c r="EU148" i="2"/>
  <c r="CJ149" i="2"/>
  <c r="EU149" i="2"/>
  <c r="CN156" i="2"/>
  <c r="EV156" i="2"/>
  <c r="CJ117" i="2"/>
  <c r="EU117" i="2"/>
  <c r="CJ199" i="2"/>
  <c r="EU199" i="2"/>
  <c r="CN130" i="2"/>
  <c r="EV130" i="2"/>
  <c r="CJ89" i="2"/>
  <c r="EU89" i="2"/>
  <c r="CJ136" i="2"/>
  <c r="EU136" i="2"/>
  <c r="CN162" i="2"/>
  <c r="EV162" i="2"/>
  <c r="CJ15" i="2"/>
  <c r="EU15" i="2"/>
  <c r="CN118" i="2"/>
  <c r="EV118" i="2"/>
  <c r="CJ177" i="2"/>
  <c r="EU177" i="2"/>
  <c r="CJ99" i="2"/>
  <c r="EU99" i="2"/>
  <c r="BX102" i="2"/>
  <c r="ER102" i="2"/>
  <c r="CJ40" i="2"/>
  <c r="EU40" i="2"/>
  <c r="CJ109" i="2"/>
  <c r="EU109" i="2"/>
  <c r="CN62" i="2"/>
  <c r="EV62" i="2"/>
  <c r="CJ190" i="2"/>
  <c r="EU190" i="2"/>
  <c r="CN5" i="2"/>
  <c r="EV5" i="2"/>
  <c r="CN167" i="2"/>
  <c r="EV167" i="2"/>
  <c r="CJ32" i="2"/>
  <c r="EU32" i="2"/>
  <c r="CN125" i="2"/>
  <c r="EV125" i="2"/>
  <c r="CN173" i="2"/>
  <c r="EV173" i="2"/>
  <c r="CJ71" i="2"/>
  <c r="EU71" i="2"/>
  <c r="CR121" i="2"/>
  <c r="EW121" i="2"/>
  <c r="CJ29" i="2"/>
  <c r="EU29" i="2"/>
  <c r="CJ83" i="2"/>
  <c r="EU83" i="2"/>
  <c r="CV141" i="2"/>
  <c r="EX141" i="2"/>
  <c r="EY141" i="2"/>
  <c r="CJ42" i="2"/>
  <c r="EU42" i="2"/>
  <c r="CJ128" i="2"/>
  <c r="EU128" i="2"/>
  <c r="CR94" i="2"/>
  <c r="EW94" i="2"/>
  <c r="CF72" i="2"/>
  <c r="ET72" i="2"/>
  <c r="CJ17" i="2"/>
  <c r="EU17" i="2"/>
  <c r="CN28" i="2"/>
  <c r="EV28" i="2"/>
  <c r="CN66" i="2"/>
  <c r="EV66" i="2"/>
  <c r="CJ41" i="2"/>
  <c r="EU41" i="2"/>
  <c r="CN53" i="2"/>
  <c r="EV53" i="2"/>
  <c r="CJ194" i="2"/>
  <c r="EU194" i="2"/>
  <c r="CB8" i="2"/>
  <c r="ES8" i="2"/>
  <c r="CR145" i="2"/>
  <c r="EW145" i="2"/>
  <c r="CR116" i="2"/>
  <c r="EW116" i="2"/>
  <c r="CJ3" i="2"/>
  <c r="EU3" i="2"/>
  <c r="CN81" i="2"/>
  <c r="EV81" i="2"/>
  <c r="CF10" i="2"/>
  <c r="ET10" i="2"/>
  <c r="BX132" i="2"/>
  <c r="ER132" i="2"/>
  <c r="BX9" i="2"/>
  <c r="ER9" i="2"/>
  <c r="CB4" i="2"/>
  <c r="ES4" i="2"/>
  <c r="CJ185" i="2"/>
  <c r="EU185" i="2"/>
  <c r="CN85" i="2"/>
  <c r="EV85" i="2"/>
  <c r="CJ110" i="2"/>
  <c r="EU110" i="2"/>
  <c r="CJ91" i="2"/>
  <c r="EU91" i="2"/>
  <c r="CN38" i="2"/>
  <c r="EV38" i="2"/>
  <c r="CJ93" i="2"/>
  <c r="EU93" i="2"/>
  <c r="CJ35" i="2"/>
  <c r="EU35" i="2"/>
  <c r="CN155" i="2"/>
  <c r="EV155" i="2"/>
  <c r="CJ131" i="2"/>
  <c r="EU131" i="2"/>
  <c r="CN195" i="2"/>
  <c r="EV195" i="2"/>
  <c r="CR114" i="2"/>
  <c r="EW114" i="2"/>
  <c r="CJ7" i="2"/>
  <c r="EU7" i="2"/>
  <c r="CN166" i="2"/>
  <c r="EV166" i="2"/>
  <c r="CR90" i="2"/>
  <c r="EW90" i="2"/>
  <c r="CJ126" i="2"/>
  <c r="EU126" i="2"/>
  <c r="CR100" i="2"/>
  <c r="EW100" i="2"/>
  <c r="CJ184" i="2"/>
  <c r="EU184" i="2"/>
  <c r="CJ25" i="2"/>
  <c r="EU25" i="2"/>
  <c r="CB103" i="2"/>
  <c r="ES103" i="2"/>
  <c r="CN26" i="2"/>
  <c r="EV26" i="2"/>
  <c r="CJ152" i="2"/>
  <c r="EU152" i="2"/>
  <c r="CN36" i="2"/>
  <c r="EV36" i="2"/>
  <c r="CN45" i="2"/>
  <c r="EV45" i="2"/>
  <c r="CB187" i="2"/>
  <c r="ES187" i="2"/>
  <c r="CN78" i="2"/>
  <c r="EV78" i="2"/>
  <c r="CR27" i="2"/>
  <c r="EW27" i="2"/>
  <c r="CJ11" i="2"/>
  <c r="EU11" i="2"/>
  <c r="CN143" i="2"/>
  <c r="EV143" i="2"/>
  <c r="CJ178" i="2"/>
  <c r="EU178" i="2"/>
  <c r="BX193" i="2"/>
  <c r="ER193" i="2"/>
  <c r="CJ169" i="2"/>
  <c r="EU169" i="2"/>
  <c r="CN122" i="2"/>
  <c r="EV122" i="2"/>
  <c r="CJ106" i="2"/>
  <c r="EU106" i="2"/>
  <c r="CJ47" i="2"/>
  <c r="EU47" i="2"/>
  <c r="CN48" i="2"/>
  <c r="EV48" i="2"/>
  <c r="CJ18" i="2"/>
  <c r="EU18" i="2"/>
  <c r="CF31" i="2"/>
  <c r="ET31" i="2"/>
  <c r="CN88" i="2"/>
  <c r="EV88" i="2"/>
  <c r="CJ60" i="2"/>
  <c r="EU60" i="2"/>
  <c r="CN101" i="2"/>
  <c r="EV101" i="2"/>
  <c r="CN171" i="2"/>
  <c r="EV171" i="2"/>
  <c r="CJ111" i="2"/>
  <c r="EU111" i="2"/>
  <c r="CN170" i="2"/>
  <c r="EV170" i="2"/>
  <c r="CN158" i="2"/>
  <c r="EV158" i="2"/>
  <c r="CJ76" i="2"/>
  <c r="EU76" i="2"/>
  <c r="CN176" i="2"/>
  <c r="EV176" i="2"/>
  <c r="CR151" i="2"/>
  <c r="EW151" i="2"/>
  <c r="CJ16" i="2"/>
  <c r="EU16" i="2"/>
  <c r="CJ124" i="2"/>
  <c r="EU124" i="2"/>
  <c r="CF165" i="2"/>
  <c r="ET165" i="2"/>
  <c r="CN54" i="2"/>
  <c r="EV54" i="2"/>
  <c r="CJ84" i="2"/>
  <c r="EU84" i="2"/>
  <c r="CN61" i="2"/>
  <c r="EV61" i="2"/>
  <c r="CN57" i="2"/>
  <c r="EV57" i="2"/>
  <c r="CJ120" i="2"/>
  <c r="EU120" i="2"/>
  <c r="CN82" i="2"/>
  <c r="EV82" i="2"/>
  <c r="CN175" i="2"/>
  <c r="EV175" i="2"/>
  <c r="CJ174" i="2"/>
  <c r="EU174" i="2"/>
  <c r="CN172" i="2"/>
  <c r="EV172" i="2"/>
  <c r="CR63" i="2"/>
  <c r="EW63" i="2"/>
  <c r="CJ133" i="2"/>
  <c r="EU133" i="2"/>
  <c r="CN65" i="2"/>
  <c r="EV65" i="2"/>
  <c r="CJ55" i="2"/>
  <c r="EU55" i="2"/>
  <c r="CJ56" i="2"/>
  <c r="EU56" i="2"/>
  <c r="CN139" i="2"/>
  <c r="EV139" i="2"/>
  <c r="CJ37" i="2"/>
  <c r="EU37" i="2"/>
  <c r="CJ80" i="2"/>
  <c r="EU80" i="2"/>
  <c r="FA118" i="21"/>
  <c r="EY118" i="21"/>
  <c r="FA163" i="21"/>
  <c r="EY163" i="21"/>
  <c r="FA33" i="21"/>
  <c r="EY33" i="21"/>
  <c r="FA140" i="21"/>
  <c r="EY140" i="21"/>
  <c r="FA55" i="21"/>
  <c r="EY55" i="21"/>
  <c r="FA147" i="21"/>
  <c r="EY147" i="21"/>
  <c r="FA47" i="21"/>
  <c r="EY47" i="21"/>
  <c r="FA166" i="21"/>
  <c r="EY166" i="21"/>
  <c r="FA139" i="21"/>
  <c r="EY139" i="21"/>
  <c r="FA154" i="21"/>
  <c r="EY154" i="21"/>
  <c r="FA115" i="21"/>
  <c r="EY115" i="21"/>
  <c r="FA22" i="21"/>
  <c r="EY22" i="21"/>
  <c r="FA196" i="21"/>
  <c r="EY196" i="21"/>
  <c r="FA152" i="21"/>
  <c r="EY152" i="21"/>
  <c r="FA4" i="21"/>
  <c r="EY4" i="21"/>
  <c r="FA52" i="21"/>
  <c r="EY52" i="21"/>
  <c r="CZ3" i="21"/>
  <c r="FA3" i="21" s="1"/>
  <c r="EY3" i="21"/>
  <c r="FA128" i="21"/>
  <c r="EY128" i="21"/>
  <c r="FA29" i="21"/>
  <c r="EY29" i="21"/>
  <c r="FA187" i="21"/>
  <c r="EY187" i="21"/>
  <c r="FA48" i="21"/>
  <c r="EY48" i="21"/>
  <c r="FA164" i="21"/>
  <c r="EY164" i="21"/>
  <c r="FA141" i="21"/>
  <c r="EY141" i="21"/>
  <c r="FA113" i="21"/>
  <c r="EY113" i="21"/>
  <c r="FA127" i="21"/>
  <c r="EY127" i="21"/>
  <c r="FA44" i="21"/>
  <c r="EY44" i="21"/>
  <c r="FA6" i="21"/>
  <c r="EY6" i="21"/>
  <c r="FA112" i="21"/>
  <c r="EY112" i="21"/>
  <c r="FA150" i="21"/>
  <c r="EY150" i="21"/>
  <c r="FA109" i="21"/>
  <c r="EY109" i="21"/>
  <c r="FA50" i="21"/>
  <c r="EY50" i="21"/>
  <c r="FA8" i="21"/>
  <c r="EY8" i="21"/>
  <c r="FA145" i="21"/>
  <c r="EY145" i="21"/>
  <c r="FA197" i="21"/>
  <c r="EY197" i="21"/>
  <c r="FA53" i="21"/>
  <c r="EY53" i="21"/>
  <c r="FA45" i="21"/>
  <c r="EY45" i="21"/>
  <c r="FA120" i="21"/>
  <c r="EY120" i="21"/>
  <c r="FA188" i="21"/>
  <c r="EY188" i="21"/>
  <c r="EZ189" i="21"/>
  <c r="EZ134" i="21"/>
  <c r="EZ24" i="21"/>
  <c r="EZ178" i="21"/>
  <c r="EZ146" i="21"/>
  <c r="EZ49" i="21"/>
  <c r="EZ60" i="21"/>
  <c r="EZ136" i="21"/>
  <c r="EZ181" i="21"/>
  <c r="EZ184" i="21"/>
  <c r="EZ106" i="21"/>
  <c r="EZ179" i="21"/>
  <c r="EZ135" i="21"/>
  <c r="EZ77" i="21"/>
  <c r="EZ37" i="21"/>
  <c r="EZ82" i="21"/>
  <c r="EZ137" i="21"/>
  <c r="EZ153" i="21"/>
  <c r="EZ38" i="21"/>
  <c r="EZ148" i="21"/>
  <c r="EZ142" i="21"/>
  <c r="EZ21" i="21"/>
  <c r="EZ132" i="21"/>
  <c r="EZ28" i="21"/>
  <c r="EZ104" i="21"/>
  <c r="EZ170" i="21"/>
  <c r="EZ165" i="21"/>
  <c r="EZ41" i="21"/>
  <c r="EZ107" i="21"/>
  <c r="EZ42" i="21"/>
  <c r="EZ87" i="21"/>
  <c r="EZ138" i="21"/>
  <c r="EZ171" i="21"/>
  <c r="EZ174" i="21"/>
  <c r="EZ195" i="21"/>
  <c r="EZ125" i="21"/>
  <c r="EZ5" i="21"/>
  <c r="EZ116" i="21"/>
  <c r="EZ43" i="21"/>
  <c r="EZ71" i="21"/>
  <c r="EZ129" i="21"/>
  <c r="EZ110" i="21"/>
  <c r="EZ57" i="21"/>
  <c r="EZ83" i="21"/>
  <c r="EZ156" i="21"/>
  <c r="EZ51" i="21"/>
  <c r="EZ65" i="21"/>
  <c r="EZ130" i="21"/>
  <c r="EZ59" i="21"/>
  <c r="EZ133" i="21"/>
  <c r="EZ18" i="21"/>
  <c r="EZ123" i="21"/>
  <c r="EZ161" i="21"/>
  <c r="EZ172" i="21"/>
  <c r="EZ90" i="21"/>
  <c r="EZ111" i="21"/>
  <c r="EZ202" i="21"/>
  <c r="EZ79" i="21"/>
  <c r="EZ10" i="21"/>
  <c r="EZ173" i="21"/>
  <c r="EZ73" i="21"/>
  <c r="EZ200" i="21"/>
  <c r="EZ119" i="21"/>
  <c r="EZ117" i="21"/>
  <c r="EZ180" i="21"/>
  <c r="EZ121" i="21"/>
  <c r="EZ122" i="21"/>
  <c r="EZ149" i="21"/>
  <c r="EZ9" i="21"/>
  <c r="EZ105" i="21"/>
  <c r="EZ143" i="21"/>
  <c r="EZ191" i="21"/>
  <c r="EZ80" i="21"/>
  <c r="EZ114" i="21"/>
  <c r="EZ124" i="21"/>
  <c r="EZ74" i="21"/>
  <c r="EZ70" i="21"/>
  <c r="EZ97" i="21"/>
  <c r="EX101" i="21"/>
  <c r="EX23" i="21"/>
  <c r="EX175" i="21"/>
  <c r="EX198" i="21"/>
  <c r="EX151" i="21"/>
  <c r="EX63" i="21"/>
  <c r="EX72" i="21"/>
  <c r="EX93" i="21"/>
  <c r="EX16" i="21"/>
  <c r="EX25" i="21"/>
  <c r="EX100" i="21"/>
  <c r="EX169" i="21"/>
  <c r="EX201" i="21"/>
  <c r="EX15" i="21"/>
  <c r="EX108" i="21"/>
  <c r="EX183" i="21"/>
  <c r="EX95" i="21"/>
  <c r="EX78" i="21"/>
  <c r="EX89" i="21"/>
  <c r="EX84" i="21"/>
  <c r="EX20" i="21"/>
  <c r="EX69" i="21"/>
  <c r="EX67" i="21"/>
  <c r="EX182" i="21"/>
  <c r="EX91" i="21"/>
  <c r="EX98" i="21"/>
  <c r="EX131" i="21"/>
  <c r="EX17" i="21"/>
  <c r="EX185" i="21"/>
  <c r="EX62" i="21"/>
  <c r="EX92" i="21"/>
  <c r="EX94" i="21"/>
  <c r="EX186" i="21"/>
  <c r="EX12" i="21"/>
  <c r="EX39" i="21"/>
  <c r="EX26" i="21"/>
  <c r="EX35" i="21"/>
  <c r="EX75" i="21"/>
  <c r="EX176" i="21"/>
  <c r="EX27" i="21"/>
  <c r="EX66" i="21"/>
  <c r="EX85" i="21"/>
  <c r="EX34" i="21"/>
  <c r="EX76" i="21"/>
  <c r="EX144" i="21"/>
  <c r="EX199" i="21"/>
  <c r="EX64" i="21"/>
  <c r="EX86" i="21"/>
  <c r="EX158" i="21"/>
  <c r="EX159" i="21"/>
  <c r="EX32" i="21"/>
  <c r="EX14" i="21"/>
  <c r="EX193" i="21"/>
  <c r="EX36" i="21"/>
  <c r="EX13" i="21"/>
  <c r="EX40" i="21"/>
  <c r="EX162" i="21"/>
  <c r="EX168" i="21"/>
  <c r="EX99" i="21"/>
  <c r="EX167" i="21"/>
  <c r="EX157" i="21"/>
  <c r="EX192" i="21"/>
  <c r="EX190" i="21"/>
  <c r="EX103" i="21"/>
  <c r="EX102" i="21"/>
  <c r="EX96" i="21"/>
  <c r="EX126" i="21"/>
  <c r="EX160" i="21"/>
  <c r="EX68" i="21"/>
  <c r="EX177" i="21"/>
  <c r="EX61" i="21"/>
  <c r="EX81" i="21"/>
  <c r="EX31" i="21"/>
  <c r="EX88" i="21"/>
  <c r="EX194" i="21"/>
  <c r="EX19" i="21"/>
  <c r="DP183" i="5" l="1"/>
  <c r="BO183" i="5"/>
  <c r="DP177" i="5"/>
  <c r="BO177" i="5"/>
  <c r="DP174" i="5"/>
  <c r="BO174" i="5"/>
  <c r="DP178" i="5"/>
  <c r="BO178" i="5"/>
  <c r="DP182" i="5"/>
  <c r="BO182" i="5"/>
  <c r="BO186" i="5"/>
  <c r="DP186" i="5"/>
  <c r="DP175" i="5"/>
  <c r="BO175" i="5"/>
  <c r="BO185" i="5"/>
  <c r="DP185" i="5"/>
  <c r="DP105" i="5"/>
  <c r="BO105" i="5"/>
  <c r="BO126" i="5"/>
  <c r="DP126" i="5"/>
  <c r="BO161" i="5"/>
  <c r="DP161" i="5"/>
  <c r="BO201" i="5"/>
  <c r="DP201" i="5"/>
  <c r="DP168" i="5"/>
  <c r="BO168" i="5"/>
  <c r="BO123" i="5"/>
  <c r="DP123" i="5"/>
  <c r="DP180" i="5"/>
  <c r="BO180" i="5"/>
  <c r="BO140" i="5"/>
  <c r="DP140" i="5"/>
  <c r="DP172" i="5"/>
  <c r="BO172" i="5"/>
  <c r="BO162" i="5"/>
  <c r="DP162" i="5"/>
  <c r="BO137" i="5"/>
  <c r="DP137" i="5"/>
  <c r="DP171" i="5"/>
  <c r="BO171" i="5"/>
  <c r="BO181" i="5"/>
  <c r="DP181" i="5"/>
  <c r="DP179" i="5"/>
  <c r="BO179" i="5"/>
  <c r="DP187" i="5"/>
  <c r="BO187" i="5"/>
  <c r="DP170" i="5"/>
  <c r="BO170" i="5"/>
  <c r="DP169" i="5"/>
  <c r="BO169" i="5"/>
  <c r="BO142" i="5"/>
  <c r="DP142" i="5"/>
  <c r="BO122" i="5"/>
  <c r="DP122" i="5"/>
  <c r="DP184" i="5"/>
  <c r="BO184" i="5"/>
  <c r="BO163" i="5"/>
  <c r="DP163" i="5"/>
  <c r="BO143" i="5"/>
  <c r="DP143" i="5"/>
  <c r="BO141" i="5"/>
  <c r="DP141" i="5"/>
  <c r="BO138" i="5"/>
  <c r="DP138" i="5"/>
  <c r="BO121" i="5"/>
  <c r="DP121" i="5"/>
  <c r="BO133" i="5"/>
  <c r="DP133" i="5"/>
  <c r="DP176" i="5"/>
  <c r="BO176" i="5"/>
  <c r="BO124" i="5"/>
  <c r="DP124" i="5"/>
  <c r="BO125" i="5"/>
  <c r="DP125" i="5"/>
  <c r="BO128" i="5"/>
  <c r="DP128" i="5"/>
  <c r="DN3" i="5"/>
  <c r="BI3" i="5"/>
  <c r="FC46" i="21"/>
  <c r="FB46" i="21"/>
  <c r="FC54" i="21"/>
  <c r="FB54" i="21"/>
  <c r="FC155" i="21"/>
  <c r="FB155" i="21"/>
  <c r="FC56" i="21"/>
  <c r="FB56" i="21"/>
  <c r="FC30" i="21"/>
  <c r="FB30" i="21"/>
  <c r="FC58" i="21"/>
  <c r="FB58" i="21"/>
  <c r="CN83" i="2"/>
  <c r="EV83" i="2"/>
  <c r="CV121" i="2"/>
  <c r="EX121" i="2"/>
  <c r="EY121" i="2"/>
  <c r="CR173" i="2"/>
  <c r="EW173" i="2"/>
  <c r="CN32" i="2"/>
  <c r="EV32" i="2"/>
  <c r="CR5" i="2"/>
  <c r="EW5" i="2"/>
  <c r="CR62" i="2"/>
  <c r="EW62" i="2"/>
  <c r="CN40" i="2"/>
  <c r="EV40" i="2"/>
  <c r="CN99" i="2"/>
  <c r="EV99" i="2"/>
  <c r="CR118" i="2"/>
  <c r="EW118" i="2"/>
  <c r="CR162" i="2"/>
  <c r="EW162" i="2"/>
  <c r="CN89" i="2"/>
  <c r="EV89" i="2"/>
  <c r="CN199" i="2"/>
  <c r="EV199" i="2"/>
  <c r="CR156" i="2"/>
  <c r="EW156" i="2"/>
  <c r="CN148" i="2"/>
  <c r="EV148" i="2"/>
  <c r="CN23" i="2"/>
  <c r="EV23" i="2"/>
  <c r="CR154" i="2"/>
  <c r="EW154" i="2"/>
  <c r="CZ104" i="2"/>
  <c r="EZ104" i="2"/>
  <c r="CN39" i="2"/>
  <c r="EV39" i="2"/>
  <c r="CR191" i="2"/>
  <c r="EW191" i="2"/>
  <c r="CV157" i="2"/>
  <c r="EX157" i="2"/>
  <c r="EY157" i="2"/>
  <c r="CN134" i="2"/>
  <c r="EV134" i="2"/>
  <c r="CN80" i="2"/>
  <c r="EV80" i="2"/>
  <c r="CR139" i="2"/>
  <c r="EW139" i="2"/>
  <c r="CN55" i="2"/>
  <c r="EV55" i="2"/>
  <c r="CN133" i="2"/>
  <c r="EV133" i="2"/>
  <c r="CR172" i="2"/>
  <c r="EW172" i="2"/>
  <c r="CR175" i="2"/>
  <c r="EW175" i="2"/>
  <c r="CN120" i="2"/>
  <c r="EV120" i="2"/>
  <c r="CR61" i="2"/>
  <c r="EW61" i="2"/>
  <c r="CR54" i="2"/>
  <c r="EW54" i="2"/>
  <c r="CN124" i="2"/>
  <c r="EV124" i="2"/>
  <c r="CV151" i="2"/>
  <c r="EX151" i="2"/>
  <c r="EY151" i="2"/>
  <c r="CN76" i="2"/>
  <c r="EV76" i="2"/>
  <c r="CR170" i="2"/>
  <c r="EW170" i="2"/>
  <c r="CR171" i="2"/>
  <c r="EW171" i="2"/>
  <c r="CN60" i="2"/>
  <c r="EV60" i="2"/>
  <c r="CJ31" i="2"/>
  <c r="EU31" i="2"/>
  <c r="CR48" i="2"/>
  <c r="EW48" i="2"/>
  <c r="CN106" i="2"/>
  <c r="EV106" i="2"/>
  <c r="CN169" i="2"/>
  <c r="EV169" i="2"/>
  <c r="CN178" i="2"/>
  <c r="EV178" i="2"/>
  <c r="CN11" i="2"/>
  <c r="EV11" i="2"/>
  <c r="CR78" i="2"/>
  <c r="EW78" i="2"/>
  <c r="CR45" i="2"/>
  <c r="EW45" i="2"/>
  <c r="CN152" i="2"/>
  <c r="EV152" i="2"/>
  <c r="CF103" i="2"/>
  <c r="ET103" i="2"/>
  <c r="CN184" i="2"/>
  <c r="EV184" i="2"/>
  <c r="CN126" i="2"/>
  <c r="EV126" i="2"/>
  <c r="CR166" i="2"/>
  <c r="EW166" i="2"/>
  <c r="CV114" i="2"/>
  <c r="EX114" i="2"/>
  <c r="EY114" i="2"/>
  <c r="CN131" i="2"/>
  <c r="EV131" i="2"/>
  <c r="CN35" i="2"/>
  <c r="EV35" i="2"/>
  <c r="CR38" i="2"/>
  <c r="EW38" i="2"/>
  <c r="CN110" i="2"/>
  <c r="EV110" i="2"/>
  <c r="CN185" i="2"/>
  <c r="EV185" i="2"/>
  <c r="CB9" i="2"/>
  <c r="ES9" i="2"/>
  <c r="CJ10" i="2"/>
  <c r="EU10" i="2"/>
  <c r="CN3" i="2"/>
  <c r="EV3" i="2"/>
  <c r="CV145" i="2"/>
  <c r="EX145" i="2"/>
  <c r="EY145" i="2"/>
  <c r="CN194" i="2"/>
  <c r="EV194" i="2"/>
  <c r="CN41" i="2"/>
  <c r="EV41" i="2"/>
  <c r="CR28" i="2"/>
  <c r="EW28" i="2"/>
  <c r="CJ72" i="2"/>
  <c r="EU72" i="2"/>
  <c r="CN128" i="2"/>
  <c r="EV128" i="2"/>
  <c r="CN107" i="2"/>
  <c r="EV107" i="2"/>
  <c r="CR12" i="2"/>
  <c r="EW12" i="2"/>
  <c r="CR69" i="2"/>
  <c r="EW69" i="2"/>
  <c r="CN59" i="2"/>
  <c r="EV59" i="2"/>
  <c r="CN24" i="2"/>
  <c r="EV24" i="2"/>
  <c r="CB14" i="2"/>
  <c r="ES14" i="2"/>
  <c r="CR92" i="2"/>
  <c r="EW92" i="2"/>
  <c r="CN21" i="2"/>
  <c r="EV21" i="2"/>
  <c r="CF19" i="2"/>
  <c r="ET19" i="2"/>
  <c r="CR87" i="2"/>
  <c r="EW87" i="2"/>
  <c r="CN163" i="2"/>
  <c r="EV163" i="2"/>
  <c r="CJ33" i="2"/>
  <c r="EU33" i="2"/>
  <c r="CR51" i="2"/>
  <c r="EW51" i="2"/>
  <c r="CN180" i="2"/>
  <c r="EV180" i="2"/>
  <c r="CN129" i="2"/>
  <c r="EV129" i="2"/>
  <c r="CV160" i="2"/>
  <c r="EY160" i="2"/>
  <c r="EX160" i="2"/>
  <c r="CN202" i="2"/>
  <c r="EV202" i="2"/>
  <c r="CN113" i="2"/>
  <c r="EV113" i="2"/>
  <c r="CR138" i="2"/>
  <c r="EW138" i="2"/>
  <c r="CR74" i="2"/>
  <c r="EW74" i="2"/>
  <c r="CN164" i="2"/>
  <c r="EV164" i="2"/>
  <c r="CB43" i="2"/>
  <c r="ES43" i="2"/>
  <c r="CR159" i="2"/>
  <c r="EW159" i="2"/>
  <c r="CR147" i="2"/>
  <c r="EW147" i="2"/>
  <c r="CF13" i="2"/>
  <c r="ET13" i="2"/>
  <c r="CN95" i="2"/>
  <c r="EV95" i="2"/>
  <c r="CR150" i="2"/>
  <c r="EW150" i="2"/>
  <c r="CN146" i="2"/>
  <c r="EV146" i="2"/>
  <c r="CR135" i="2"/>
  <c r="EW135" i="2"/>
  <c r="CR49" i="2"/>
  <c r="EW49" i="2"/>
  <c r="CN200" i="2"/>
  <c r="EV200" i="2"/>
  <c r="CN140" i="2"/>
  <c r="EV140" i="2"/>
  <c r="CV70" i="2"/>
  <c r="EX70" i="2"/>
  <c r="EY70" i="2"/>
  <c r="CJ123" i="2"/>
  <c r="EU123" i="2"/>
  <c r="CN181" i="2"/>
  <c r="EV181" i="2"/>
  <c r="CR197" i="2"/>
  <c r="EW197" i="2"/>
  <c r="CF79" i="2"/>
  <c r="ET79" i="2"/>
  <c r="CZ141" i="2"/>
  <c r="EZ141" i="2"/>
  <c r="CN29" i="2"/>
  <c r="EV29" i="2"/>
  <c r="CN71" i="2"/>
  <c r="EV71" i="2"/>
  <c r="CR125" i="2"/>
  <c r="EW125" i="2"/>
  <c r="CR167" i="2"/>
  <c r="EW167" i="2"/>
  <c r="CN190" i="2"/>
  <c r="EV190" i="2"/>
  <c r="CN109" i="2"/>
  <c r="EV109" i="2"/>
  <c r="CB102" i="2"/>
  <c r="ES102" i="2"/>
  <c r="CN177" i="2"/>
  <c r="EV177" i="2"/>
  <c r="CN15" i="2"/>
  <c r="EV15" i="2"/>
  <c r="CN136" i="2"/>
  <c r="EV136" i="2"/>
  <c r="CR130" i="2"/>
  <c r="EW130" i="2"/>
  <c r="CN117" i="2"/>
  <c r="EV117" i="2"/>
  <c r="CN149" i="2"/>
  <c r="EV149" i="2"/>
  <c r="CR97" i="2"/>
  <c r="EW97" i="2"/>
  <c r="CV112" i="2"/>
  <c r="EY112" i="2"/>
  <c r="EX112" i="2"/>
  <c r="CN161" i="2"/>
  <c r="EV161" i="2"/>
  <c r="CR179" i="2"/>
  <c r="EW179" i="2"/>
  <c r="CN201" i="2"/>
  <c r="EV201" i="2"/>
  <c r="CN22" i="2"/>
  <c r="EV22" i="2"/>
  <c r="CR58" i="2"/>
  <c r="EW58" i="2"/>
  <c r="CN37" i="2"/>
  <c r="EV37" i="2"/>
  <c r="CN56" i="2"/>
  <c r="EV56" i="2"/>
  <c r="CR65" i="2"/>
  <c r="EW65" i="2"/>
  <c r="CV63" i="2"/>
  <c r="EX63" i="2"/>
  <c r="EY63" i="2"/>
  <c r="CN174" i="2"/>
  <c r="EV174" i="2"/>
  <c r="CR82" i="2"/>
  <c r="EW82" i="2"/>
  <c r="CR57" i="2"/>
  <c r="EW57" i="2"/>
  <c r="CN84" i="2"/>
  <c r="EV84" i="2"/>
  <c r="CJ165" i="2"/>
  <c r="EU165" i="2"/>
  <c r="CN16" i="2"/>
  <c r="EV16" i="2"/>
  <c r="CR176" i="2"/>
  <c r="EW176" i="2"/>
  <c r="CR158" i="2"/>
  <c r="EW158" i="2"/>
  <c r="CN111" i="2"/>
  <c r="EV111" i="2"/>
  <c r="CR101" i="2"/>
  <c r="EW101" i="2"/>
  <c r="CR88" i="2"/>
  <c r="EW88" i="2"/>
  <c r="CN18" i="2"/>
  <c r="EV18" i="2"/>
  <c r="CN47" i="2"/>
  <c r="EV47" i="2"/>
  <c r="EW122" i="2"/>
  <c r="CB193" i="2"/>
  <c r="ES193" i="2"/>
  <c r="CR143" i="2"/>
  <c r="EW143" i="2"/>
  <c r="CV27" i="2"/>
  <c r="EX27" i="2"/>
  <c r="EY27" i="2"/>
  <c r="CF187" i="2"/>
  <c r="ET187" i="2"/>
  <c r="CR36" i="2"/>
  <c r="EW36" i="2"/>
  <c r="CR26" i="2"/>
  <c r="EW26" i="2"/>
  <c r="CN25" i="2"/>
  <c r="EV25" i="2"/>
  <c r="CV100" i="2"/>
  <c r="EY100" i="2"/>
  <c r="EX100" i="2"/>
  <c r="CV90" i="2"/>
  <c r="EY90" i="2"/>
  <c r="EX90" i="2"/>
  <c r="CN7" i="2"/>
  <c r="EV7" i="2"/>
  <c r="CR195" i="2"/>
  <c r="EW195" i="2"/>
  <c r="CR155" i="2"/>
  <c r="EW155" i="2"/>
  <c r="CN93" i="2"/>
  <c r="EV93" i="2"/>
  <c r="CN91" i="2"/>
  <c r="EV91" i="2"/>
  <c r="CR85" i="2"/>
  <c r="EW85" i="2"/>
  <c r="CF4" i="2"/>
  <c r="ET4" i="2"/>
  <c r="CB132" i="2"/>
  <c r="ES132" i="2"/>
  <c r="CR81" i="2"/>
  <c r="EW81" i="2"/>
  <c r="CV116" i="2"/>
  <c r="EY116" i="2"/>
  <c r="EX116" i="2"/>
  <c r="CF8" i="2"/>
  <c r="ET8" i="2"/>
  <c r="CR53" i="2"/>
  <c r="EW53" i="2"/>
  <c r="CR66" i="2"/>
  <c r="EW66" i="2"/>
  <c r="CN17" i="2"/>
  <c r="EV17" i="2"/>
  <c r="CV94" i="2"/>
  <c r="EX94" i="2"/>
  <c r="EY94" i="2"/>
  <c r="CN42" i="2"/>
  <c r="EV42" i="2"/>
  <c r="CR34" i="2"/>
  <c r="EW34" i="2"/>
  <c r="CN64" i="2"/>
  <c r="EV64" i="2"/>
  <c r="CN68" i="2"/>
  <c r="EV68" i="2"/>
  <c r="CR96" i="2"/>
  <c r="EW96" i="2"/>
  <c r="CF73" i="2"/>
  <c r="ET73" i="2"/>
  <c r="CN144" i="2"/>
  <c r="EV144" i="2"/>
  <c r="CV192" i="2"/>
  <c r="EY192" i="2"/>
  <c r="EX192" i="2"/>
  <c r="CJ153" i="2"/>
  <c r="EU153" i="2"/>
  <c r="CN86" i="2"/>
  <c r="EV86" i="2"/>
  <c r="CR50" i="2"/>
  <c r="EW50" i="2"/>
  <c r="CN75" i="2"/>
  <c r="EV75" i="2"/>
  <c r="CN46" i="2"/>
  <c r="EV46" i="2"/>
  <c r="CV20" i="2"/>
  <c r="EY20" i="2"/>
  <c r="EX20" i="2"/>
  <c r="CJ44" i="2"/>
  <c r="EU44" i="2"/>
  <c r="CN186" i="2"/>
  <c r="EV186" i="2"/>
  <c r="CR196" i="2"/>
  <c r="EW196" i="2"/>
  <c r="CN182" i="2"/>
  <c r="EV182" i="2"/>
  <c r="CN115" i="2"/>
  <c r="EV115" i="2"/>
  <c r="CR77" i="2"/>
  <c r="EW77" i="2"/>
  <c r="CB189" i="2"/>
  <c r="ES189" i="2"/>
  <c r="CR183" i="2"/>
  <c r="EW183" i="2"/>
  <c r="CN198" i="2"/>
  <c r="EV198" i="2"/>
  <c r="CF6" i="2"/>
  <c r="ET6" i="2"/>
  <c r="CR188" i="2"/>
  <c r="EW188" i="2"/>
  <c r="CN108" i="2"/>
  <c r="EV108" i="2"/>
  <c r="CF30" i="2"/>
  <c r="ET30" i="2"/>
  <c r="CV119" i="2"/>
  <c r="EX119" i="2"/>
  <c r="EY119" i="2"/>
  <c r="CN52" i="2"/>
  <c r="EV52" i="2"/>
  <c r="CN127" i="2"/>
  <c r="EV127" i="2"/>
  <c r="CR168" i="2"/>
  <c r="EW168" i="2"/>
  <c r="CN98" i="2"/>
  <c r="EV98" i="2"/>
  <c r="CN105" i="2"/>
  <c r="EV105" i="2"/>
  <c r="CV67" i="2"/>
  <c r="EY67" i="2"/>
  <c r="EX67" i="2"/>
  <c r="CN142" i="2"/>
  <c r="EV142" i="2"/>
  <c r="CN137" i="2"/>
  <c r="EV137" i="2"/>
  <c r="DD3" i="21"/>
  <c r="FA125" i="21"/>
  <c r="EY125" i="21"/>
  <c r="FA41" i="21"/>
  <c r="EY41" i="21"/>
  <c r="FA148" i="21"/>
  <c r="EY148" i="21"/>
  <c r="FA77" i="21"/>
  <c r="EY77" i="21"/>
  <c r="FA49" i="21"/>
  <c r="EY49" i="21"/>
  <c r="FA74" i="21"/>
  <c r="EY74" i="21"/>
  <c r="FA191" i="21"/>
  <c r="EY191" i="21"/>
  <c r="FA149" i="21"/>
  <c r="EY149" i="21"/>
  <c r="FA117" i="21"/>
  <c r="EY117" i="21"/>
  <c r="FA173" i="21"/>
  <c r="EY173" i="21"/>
  <c r="FA111" i="21"/>
  <c r="EY111" i="21"/>
  <c r="FA123" i="21"/>
  <c r="EY123" i="21"/>
  <c r="FA130" i="21"/>
  <c r="EY130" i="21"/>
  <c r="FA83" i="21"/>
  <c r="EY83" i="21"/>
  <c r="FA71" i="21"/>
  <c r="EY71" i="21"/>
  <c r="FA174" i="21"/>
  <c r="EY174" i="21"/>
  <c r="FA42" i="21"/>
  <c r="EY42" i="21"/>
  <c r="FA28" i="21"/>
  <c r="EY28" i="21"/>
  <c r="FA82" i="21"/>
  <c r="EY82" i="21"/>
  <c r="FA179" i="21"/>
  <c r="EY179" i="21"/>
  <c r="FA136" i="21"/>
  <c r="EY136" i="21"/>
  <c r="FA178" i="21"/>
  <c r="EY178" i="21"/>
  <c r="FA134" i="21"/>
  <c r="EY134" i="21"/>
  <c r="FA97" i="21"/>
  <c r="EY97" i="21"/>
  <c r="FA114" i="21"/>
  <c r="EY114" i="21"/>
  <c r="FA105" i="21"/>
  <c r="EY105" i="21"/>
  <c r="FA121" i="21"/>
  <c r="EY121" i="21"/>
  <c r="FA200" i="21"/>
  <c r="EY200" i="21"/>
  <c r="FA79" i="21"/>
  <c r="EY79" i="21"/>
  <c r="FA172" i="21"/>
  <c r="EY172" i="21"/>
  <c r="FA133" i="21"/>
  <c r="EY133" i="21"/>
  <c r="FA51" i="21"/>
  <c r="EY51" i="21"/>
  <c r="FA110" i="21"/>
  <c r="EY110" i="21"/>
  <c r="FA116" i="21"/>
  <c r="EY116" i="21"/>
  <c r="FA138" i="21"/>
  <c r="EY138" i="21"/>
  <c r="FA170" i="21"/>
  <c r="EY170" i="21"/>
  <c r="FA21" i="21"/>
  <c r="EY21" i="21"/>
  <c r="FA153" i="21"/>
  <c r="EY153" i="21"/>
  <c r="FA184" i="21"/>
  <c r="EY184" i="21"/>
  <c r="FA70" i="21"/>
  <c r="EY70" i="21"/>
  <c r="FA124" i="21"/>
  <c r="EY124" i="21"/>
  <c r="FA80" i="21"/>
  <c r="EY80" i="21"/>
  <c r="FA143" i="21"/>
  <c r="EY143" i="21"/>
  <c r="FA9" i="21"/>
  <c r="EY9" i="21"/>
  <c r="FA122" i="21"/>
  <c r="EY122" i="21"/>
  <c r="FA180" i="21"/>
  <c r="EY180" i="21"/>
  <c r="FA119" i="21"/>
  <c r="EY119" i="21"/>
  <c r="FA73" i="21"/>
  <c r="EY73" i="21"/>
  <c r="FA10" i="21"/>
  <c r="EY10" i="21"/>
  <c r="FA202" i="21"/>
  <c r="EY202" i="21"/>
  <c r="FA90" i="21"/>
  <c r="EY90" i="21"/>
  <c r="FA161" i="21"/>
  <c r="EY161" i="21"/>
  <c r="FA18" i="21"/>
  <c r="EY18" i="21"/>
  <c r="FA59" i="21"/>
  <c r="EY59" i="21"/>
  <c r="FA65" i="21"/>
  <c r="EY65" i="21"/>
  <c r="FA156" i="21"/>
  <c r="EY156" i="21"/>
  <c r="FA57" i="21"/>
  <c r="EY57" i="21"/>
  <c r="FA129" i="21"/>
  <c r="EY129" i="21"/>
  <c r="FA43" i="21"/>
  <c r="EY43" i="21"/>
  <c r="FA5" i="21"/>
  <c r="EY5" i="21"/>
  <c r="FA195" i="21"/>
  <c r="EY195" i="21"/>
  <c r="FA171" i="21"/>
  <c r="EY171" i="21"/>
  <c r="FA87" i="21"/>
  <c r="EY87" i="21"/>
  <c r="FA107" i="21"/>
  <c r="EY107" i="21"/>
  <c r="FA165" i="21"/>
  <c r="EY165" i="21"/>
  <c r="FA104" i="21"/>
  <c r="EY104" i="21"/>
  <c r="FA132" i="21"/>
  <c r="EY132" i="21"/>
  <c r="FA142" i="21"/>
  <c r="EY142" i="21"/>
  <c r="FA38" i="21"/>
  <c r="EY38" i="21"/>
  <c r="FA137" i="21"/>
  <c r="EY137" i="21"/>
  <c r="FA37" i="21"/>
  <c r="EY37" i="21"/>
  <c r="FA135" i="21"/>
  <c r="EY135" i="21"/>
  <c r="FA106" i="21"/>
  <c r="EY106" i="21"/>
  <c r="FA181" i="21"/>
  <c r="EY181" i="21"/>
  <c r="FA60" i="21"/>
  <c r="EY60" i="21"/>
  <c r="FA146" i="21"/>
  <c r="EY146" i="21"/>
  <c r="FA24" i="21"/>
  <c r="EY24" i="21"/>
  <c r="FA189" i="21"/>
  <c r="EY189" i="21"/>
  <c r="EZ81" i="21"/>
  <c r="EZ96" i="21"/>
  <c r="EZ167" i="21"/>
  <c r="EZ14" i="21"/>
  <c r="EZ85" i="21"/>
  <c r="EZ98" i="21"/>
  <c r="EZ88" i="21"/>
  <c r="EZ160" i="21"/>
  <c r="EZ192" i="21"/>
  <c r="EZ40" i="21"/>
  <c r="EZ159" i="21"/>
  <c r="EZ199" i="21"/>
  <c r="EZ27" i="21"/>
  <c r="EZ26" i="21"/>
  <c r="EZ94" i="21"/>
  <c r="EZ17" i="21"/>
  <c r="EZ182" i="21"/>
  <c r="EZ84" i="21"/>
  <c r="EZ183" i="21"/>
  <c r="EZ169" i="21"/>
  <c r="EZ93" i="21"/>
  <c r="EZ198" i="21"/>
  <c r="EZ194" i="21"/>
  <c r="EZ31" i="21"/>
  <c r="EZ61" i="21"/>
  <c r="EZ68" i="21"/>
  <c r="EZ126" i="21"/>
  <c r="EZ102" i="21"/>
  <c r="EZ190" i="21"/>
  <c r="EZ157" i="21"/>
  <c r="EZ99" i="21"/>
  <c r="EZ162" i="21"/>
  <c r="EZ13" i="21"/>
  <c r="EZ193" i="21"/>
  <c r="EZ32" i="21"/>
  <c r="EZ158" i="21"/>
  <c r="EZ64" i="21"/>
  <c r="EZ144" i="21"/>
  <c r="EZ34" i="21"/>
  <c r="EZ66" i="21"/>
  <c r="EZ176" i="21"/>
  <c r="EZ35" i="21"/>
  <c r="EZ39" i="21"/>
  <c r="EZ186" i="21"/>
  <c r="EZ92" i="21"/>
  <c r="EZ185" i="21"/>
  <c r="EZ131" i="21"/>
  <c r="EZ91" i="21"/>
  <c r="EZ67" i="21"/>
  <c r="EZ20" i="21"/>
  <c r="EZ89" i="21"/>
  <c r="EZ95" i="21"/>
  <c r="EZ108" i="21"/>
  <c r="EZ201" i="21"/>
  <c r="EZ100" i="21"/>
  <c r="EZ16" i="21"/>
  <c r="EZ72" i="21"/>
  <c r="EZ151" i="21"/>
  <c r="EZ175" i="21"/>
  <c r="EZ101" i="21"/>
  <c r="EZ19" i="21"/>
  <c r="EZ177" i="21"/>
  <c r="EZ103" i="21"/>
  <c r="EZ168" i="21"/>
  <c r="EZ36" i="21"/>
  <c r="EZ86" i="21"/>
  <c r="EZ76" i="21"/>
  <c r="EZ75" i="21"/>
  <c r="EZ12" i="21"/>
  <c r="EZ62" i="21"/>
  <c r="EZ69" i="21"/>
  <c r="EZ78" i="21"/>
  <c r="EZ15" i="21"/>
  <c r="EZ25" i="21"/>
  <c r="EZ63" i="21"/>
  <c r="EZ23" i="21"/>
  <c r="BR184" i="5" l="1"/>
  <c r="DQ184" i="5"/>
  <c r="BR170" i="5"/>
  <c r="DQ170" i="5"/>
  <c r="BR179" i="5"/>
  <c r="DQ179" i="5"/>
  <c r="BR171" i="5"/>
  <c r="DQ171" i="5"/>
  <c r="BR178" i="5"/>
  <c r="DQ178" i="5"/>
  <c r="BR177" i="5"/>
  <c r="DQ177" i="5"/>
  <c r="BR128" i="5"/>
  <c r="DQ128" i="5"/>
  <c r="BR124" i="5"/>
  <c r="DQ124" i="5"/>
  <c r="BR133" i="5"/>
  <c r="DQ133" i="5"/>
  <c r="BR138" i="5"/>
  <c r="DQ138" i="5"/>
  <c r="BR143" i="5"/>
  <c r="DQ143" i="5"/>
  <c r="BR142" i="5"/>
  <c r="DQ142" i="5"/>
  <c r="BR162" i="5"/>
  <c r="DQ162" i="5"/>
  <c r="BR140" i="5"/>
  <c r="DQ140" i="5"/>
  <c r="BR123" i="5"/>
  <c r="DQ123" i="5"/>
  <c r="BR201" i="5"/>
  <c r="DQ201" i="5"/>
  <c r="BR126" i="5"/>
  <c r="DQ126" i="5"/>
  <c r="BR185" i="5"/>
  <c r="DQ185" i="5"/>
  <c r="BR186" i="5"/>
  <c r="DQ186" i="5"/>
  <c r="BR176" i="5"/>
  <c r="DQ176" i="5"/>
  <c r="BR169" i="5"/>
  <c r="DQ169" i="5"/>
  <c r="BR187" i="5"/>
  <c r="DQ187" i="5"/>
  <c r="BR172" i="5"/>
  <c r="DQ172" i="5"/>
  <c r="BR180" i="5"/>
  <c r="DQ180" i="5"/>
  <c r="BR168" i="5"/>
  <c r="DQ168" i="5"/>
  <c r="DQ105" i="5"/>
  <c r="BR105" i="5"/>
  <c r="BR175" i="5"/>
  <c r="DQ175" i="5"/>
  <c r="BR182" i="5"/>
  <c r="DQ182" i="5"/>
  <c r="BR174" i="5"/>
  <c r="DQ174" i="5"/>
  <c r="BR183" i="5"/>
  <c r="DQ183" i="5"/>
  <c r="BR125" i="5"/>
  <c r="DQ125" i="5"/>
  <c r="BR121" i="5"/>
  <c r="DQ121" i="5"/>
  <c r="BR141" i="5"/>
  <c r="DQ141" i="5"/>
  <c r="BR163" i="5"/>
  <c r="DQ163" i="5"/>
  <c r="BR122" i="5"/>
  <c r="DQ122" i="5"/>
  <c r="BR181" i="5"/>
  <c r="DQ181" i="5"/>
  <c r="BR137" i="5"/>
  <c r="DQ137" i="5"/>
  <c r="BR161" i="5"/>
  <c r="DQ161" i="5"/>
  <c r="DO3" i="5"/>
  <c r="BL3" i="5"/>
  <c r="FD58" i="21"/>
  <c r="FD56" i="21"/>
  <c r="FD30" i="21"/>
  <c r="FC141" i="21"/>
  <c r="FB141" i="21"/>
  <c r="FC187" i="21"/>
  <c r="FB187" i="21"/>
  <c r="FC196" i="21"/>
  <c r="FB196" i="21"/>
  <c r="FC147" i="21"/>
  <c r="FB147" i="21"/>
  <c r="FC188" i="21"/>
  <c r="FB188" i="21"/>
  <c r="FC6" i="21"/>
  <c r="FB6" i="21"/>
  <c r="FC113" i="21"/>
  <c r="FB113" i="21"/>
  <c r="DH3" i="21"/>
  <c r="FC3" i="21" s="1"/>
  <c r="FB3" i="21"/>
  <c r="FC154" i="21"/>
  <c r="FB154" i="21"/>
  <c r="FD155" i="21"/>
  <c r="FC50" i="21"/>
  <c r="FB50" i="21"/>
  <c r="FC112" i="21"/>
  <c r="FB112" i="21"/>
  <c r="FC48" i="21"/>
  <c r="FB48" i="21"/>
  <c r="FC152" i="21"/>
  <c r="FB152" i="21"/>
  <c r="FD46" i="21"/>
  <c r="FC33" i="21"/>
  <c r="FB33" i="21"/>
  <c r="FC53" i="21"/>
  <c r="FB53" i="21"/>
  <c r="FC8" i="21"/>
  <c r="FB8" i="21"/>
  <c r="FC127" i="21"/>
  <c r="FB127" i="21"/>
  <c r="FC128" i="21"/>
  <c r="FB128" i="21"/>
  <c r="FC47" i="21"/>
  <c r="FB47" i="21"/>
  <c r="FC140" i="21"/>
  <c r="FB140" i="21"/>
  <c r="FC45" i="21"/>
  <c r="FB45" i="21"/>
  <c r="FC150" i="21"/>
  <c r="FB150" i="21"/>
  <c r="FC164" i="21"/>
  <c r="FB164" i="21"/>
  <c r="FC115" i="21"/>
  <c r="FB115" i="21"/>
  <c r="FC166" i="21"/>
  <c r="FB166" i="21"/>
  <c r="FC118" i="21"/>
  <c r="FB118" i="21"/>
  <c r="FC145" i="21"/>
  <c r="FB145" i="21"/>
  <c r="FC44" i="21"/>
  <c r="FB44" i="21"/>
  <c r="FC4" i="21"/>
  <c r="FB4" i="21"/>
  <c r="FC22" i="21"/>
  <c r="FB22" i="21"/>
  <c r="FC55" i="21"/>
  <c r="FB55" i="21"/>
  <c r="FC120" i="21"/>
  <c r="FB120" i="21"/>
  <c r="FC109" i="21"/>
  <c r="FB109" i="21"/>
  <c r="FC29" i="21"/>
  <c r="FB29" i="21"/>
  <c r="FC52" i="21"/>
  <c r="FB52" i="21"/>
  <c r="FC139" i="21"/>
  <c r="FB139" i="21"/>
  <c r="FC163" i="21"/>
  <c r="FB163" i="21"/>
  <c r="FC197" i="21"/>
  <c r="FB197" i="21"/>
  <c r="CR105" i="2"/>
  <c r="EW105" i="2"/>
  <c r="CV168" i="2"/>
  <c r="EY168" i="2"/>
  <c r="EX168" i="2"/>
  <c r="CR52" i="2"/>
  <c r="EW52" i="2"/>
  <c r="CZ20" i="2"/>
  <c r="EZ20" i="2"/>
  <c r="CR75" i="2"/>
  <c r="EW75" i="2"/>
  <c r="CR86" i="2"/>
  <c r="EW86" i="2"/>
  <c r="CR17" i="2"/>
  <c r="EW17" i="2"/>
  <c r="CV53" i="2"/>
  <c r="EX53" i="2"/>
  <c r="EY53" i="2"/>
  <c r="CZ27" i="2"/>
  <c r="EZ27" i="2"/>
  <c r="CF193" i="2"/>
  <c r="ET193" i="2"/>
  <c r="CR47" i="2"/>
  <c r="EW47" i="2"/>
  <c r="CV88" i="2"/>
  <c r="EY88" i="2"/>
  <c r="EX88" i="2"/>
  <c r="CR111" i="2"/>
  <c r="EW111" i="2"/>
  <c r="CV176" i="2"/>
  <c r="EY176" i="2"/>
  <c r="EX176" i="2"/>
  <c r="CN165" i="2"/>
  <c r="EV165" i="2"/>
  <c r="CV57" i="2"/>
  <c r="EX57" i="2"/>
  <c r="EY57" i="2"/>
  <c r="CR174" i="2"/>
  <c r="EW174" i="2"/>
  <c r="CV58" i="2"/>
  <c r="EX58" i="2"/>
  <c r="EY58" i="2"/>
  <c r="CR201" i="2"/>
  <c r="EW201" i="2"/>
  <c r="CR161" i="2"/>
  <c r="EW161" i="2"/>
  <c r="CR140" i="2"/>
  <c r="EW140" i="2"/>
  <c r="CV49" i="2"/>
  <c r="EY49" i="2"/>
  <c r="EX49" i="2"/>
  <c r="CR146" i="2"/>
  <c r="EW146" i="2"/>
  <c r="CR95" i="2"/>
  <c r="EW95" i="2"/>
  <c r="CV147" i="2"/>
  <c r="EX147" i="2"/>
  <c r="EY147" i="2"/>
  <c r="CF43" i="2"/>
  <c r="ET43" i="2"/>
  <c r="CV74" i="2"/>
  <c r="EX74" i="2"/>
  <c r="EY74" i="2"/>
  <c r="CR113" i="2"/>
  <c r="EW113" i="2"/>
  <c r="CZ145" i="2"/>
  <c r="EZ145" i="2"/>
  <c r="CN10" i="2"/>
  <c r="EV10" i="2"/>
  <c r="CR185" i="2"/>
  <c r="EW185" i="2"/>
  <c r="CV38" i="2"/>
  <c r="EX38" i="2"/>
  <c r="EY38" i="2"/>
  <c r="CR131" i="2"/>
  <c r="EW131" i="2"/>
  <c r="CZ151" i="2"/>
  <c r="EZ151" i="2"/>
  <c r="CV54" i="2"/>
  <c r="EX54" i="2"/>
  <c r="EY54" i="2"/>
  <c r="CR120" i="2"/>
  <c r="EW120" i="2"/>
  <c r="CV172" i="2"/>
  <c r="EY172" i="2"/>
  <c r="EX172" i="2"/>
  <c r="CR55" i="2"/>
  <c r="EW55" i="2"/>
  <c r="CR80" i="2"/>
  <c r="EW80" i="2"/>
  <c r="CV191" i="2"/>
  <c r="EX191" i="2"/>
  <c r="EY191" i="2"/>
  <c r="DD104" i="2"/>
  <c r="FA104" i="2"/>
  <c r="CR23" i="2"/>
  <c r="EW23" i="2"/>
  <c r="CV156" i="2"/>
  <c r="EY156" i="2"/>
  <c r="EX156" i="2"/>
  <c r="CR89" i="2"/>
  <c r="EW89" i="2"/>
  <c r="CV118" i="2"/>
  <c r="EX118" i="2"/>
  <c r="EY118" i="2"/>
  <c r="CR40" i="2"/>
  <c r="EW40" i="2"/>
  <c r="CV5" i="2"/>
  <c r="EY5" i="2"/>
  <c r="EX5" i="2"/>
  <c r="CV173" i="2"/>
  <c r="EX173" i="2"/>
  <c r="EY173" i="2"/>
  <c r="CR137" i="2"/>
  <c r="EW137" i="2"/>
  <c r="CJ30" i="2"/>
  <c r="EU30" i="2"/>
  <c r="CV188" i="2"/>
  <c r="EY188" i="2"/>
  <c r="EX188" i="2"/>
  <c r="CR198" i="2"/>
  <c r="EW198" i="2"/>
  <c r="CF189" i="2"/>
  <c r="ET189" i="2"/>
  <c r="CR115" i="2"/>
  <c r="EW115" i="2"/>
  <c r="CV196" i="2"/>
  <c r="EY196" i="2"/>
  <c r="EX196" i="2"/>
  <c r="CN44" i="2"/>
  <c r="EV44" i="2"/>
  <c r="CZ192" i="2"/>
  <c r="EZ192" i="2"/>
  <c r="CJ73" i="2"/>
  <c r="EU73" i="2"/>
  <c r="CR68" i="2"/>
  <c r="EW68" i="2"/>
  <c r="CV34" i="2"/>
  <c r="EX34" i="2"/>
  <c r="EY34" i="2"/>
  <c r="CZ116" i="2"/>
  <c r="EZ116" i="2"/>
  <c r="CF132" i="2"/>
  <c r="ET132" i="2"/>
  <c r="CV85" i="2"/>
  <c r="EX85" i="2"/>
  <c r="EY85" i="2"/>
  <c r="CR93" i="2"/>
  <c r="EW93" i="2"/>
  <c r="CV195" i="2"/>
  <c r="EX195" i="2"/>
  <c r="EY195" i="2"/>
  <c r="CZ100" i="2"/>
  <c r="EZ100" i="2"/>
  <c r="CV26" i="2"/>
  <c r="EX26" i="2"/>
  <c r="EY26" i="2"/>
  <c r="CJ187" i="2"/>
  <c r="EU187" i="2"/>
  <c r="CV65" i="2"/>
  <c r="EX65" i="2"/>
  <c r="EY65" i="2"/>
  <c r="CR37" i="2"/>
  <c r="EW37" i="2"/>
  <c r="CV97" i="2"/>
  <c r="EX97" i="2"/>
  <c r="EY97" i="2"/>
  <c r="CR117" i="2"/>
  <c r="EW117" i="2"/>
  <c r="CR136" i="2"/>
  <c r="EW136" i="2"/>
  <c r="CR177" i="2"/>
  <c r="EW177" i="2"/>
  <c r="CR109" i="2"/>
  <c r="EW109" i="2"/>
  <c r="CV167" i="2"/>
  <c r="EX167" i="2"/>
  <c r="EY167" i="2"/>
  <c r="CR71" i="2"/>
  <c r="EW71" i="2"/>
  <c r="DD141" i="2"/>
  <c r="FA141" i="2"/>
  <c r="CJ79" i="2"/>
  <c r="EU79" i="2"/>
  <c r="CR181" i="2"/>
  <c r="EW181" i="2"/>
  <c r="CZ160" i="2"/>
  <c r="EZ160" i="2"/>
  <c r="CR180" i="2"/>
  <c r="EW180" i="2"/>
  <c r="CN33" i="2"/>
  <c r="EV33" i="2"/>
  <c r="CV87" i="2"/>
  <c r="EX87" i="2"/>
  <c r="EY87" i="2"/>
  <c r="CR21" i="2"/>
  <c r="EW21" i="2"/>
  <c r="CF14" i="2"/>
  <c r="ET14" i="2"/>
  <c r="CR59" i="2"/>
  <c r="EW59" i="2"/>
  <c r="CV12" i="2"/>
  <c r="EX12" i="2"/>
  <c r="EY12" i="2"/>
  <c r="CR128" i="2"/>
  <c r="EW128" i="2"/>
  <c r="CV28" i="2"/>
  <c r="EX28" i="2"/>
  <c r="EY28" i="2"/>
  <c r="CR194" i="2"/>
  <c r="EW194" i="2"/>
  <c r="CV166" i="2"/>
  <c r="EX166" i="2"/>
  <c r="EY166" i="2"/>
  <c r="CR184" i="2"/>
  <c r="EW184" i="2"/>
  <c r="CR152" i="2"/>
  <c r="EW152" i="2"/>
  <c r="CV78" i="2"/>
  <c r="EX78" i="2"/>
  <c r="EY78" i="2"/>
  <c r="CR178" i="2"/>
  <c r="EW178" i="2"/>
  <c r="CR106" i="2"/>
  <c r="EW106" i="2"/>
  <c r="CN31" i="2"/>
  <c r="EV31" i="2"/>
  <c r="CV171" i="2"/>
  <c r="EX171" i="2"/>
  <c r="EY171" i="2"/>
  <c r="CR76" i="2"/>
  <c r="EW76" i="2"/>
  <c r="CR83" i="2"/>
  <c r="EW83" i="2"/>
  <c r="CZ67" i="2"/>
  <c r="EZ67" i="2"/>
  <c r="CR98" i="2"/>
  <c r="EW98" i="2"/>
  <c r="CR127" i="2"/>
  <c r="EW127" i="2"/>
  <c r="CR46" i="2"/>
  <c r="EW46" i="2"/>
  <c r="CV50" i="2"/>
  <c r="EX50" i="2"/>
  <c r="EY50" i="2"/>
  <c r="CN153" i="2"/>
  <c r="EV153" i="2"/>
  <c r="CZ94" i="2"/>
  <c r="EZ94" i="2"/>
  <c r="CV66" i="2"/>
  <c r="EY66" i="2"/>
  <c r="EX66" i="2"/>
  <c r="CJ8" i="2"/>
  <c r="EU8" i="2"/>
  <c r="CZ90" i="2"/>
  <c r="EZ90" i="2"/>
  <c r="CV143" i="2"/>
  <c r="EX143" i="2"/>
  <c r="EY143" i="2"/>
  <c r="CR18" i="2"/>
  <c r="EW18" i="2"/>
  <c r="CV101" i="2"/>
  <c r="EX101" i="2"/>
  <c r="EY101" i="2"/>
  <c r="CV158" i="2"/>
  <c r="EX158" i="2"/>
  <c r="EY158" i="2"/>
  <c r="CR16" i="2"/>
  <c r="EW16" i="2"/>
  <c r="CR84" i="2"/>
  <c r="EW84" i="2"/>
  <c r="CV82" i="2"/>
  <c r="EY82" i="2"/>
  <c r="EX82" i="2"/>
  <c r="CR22" i="2"/>
  <c r="EW22" i="2"/>
  <c r="CV179" i="2"/>
  <c r="EX179" i="2"/>
  <c r="EY179" i="2"/>
  <c r="CZ70" i="2"/>
  <c r="EZ70" i="2"/>
  <c r="CR200" i="2"/>
  <c r="EW200" i="2"/>
  <c r="CV135" i="2"/>
  <c r="EX135" i="2"/>
  <c r="EY135" i="2"/>
  <c r="CV150" i="2"/>
  <c r="EX150" i="2"/>
  <c r="EY150" i="2"/>
  <c r="CJ13" i="2"/>
  <c r="EU13" i="2"/>
  <c r="CV159" i="2"/>
  <c r="EX159" i="2"/>
  <c r="EY159" i="2"/>
  <c r="CR164" i="2"/>
  <c r="EW164" i="2"/>
  <c r="CV138" i="2"/>
  <c r="EX138" i="2"/>
  <c r="EY138" i="2"/>
  <c r="CR202" i="2"/>
  <c r="EW202" i="2"/>
  <c r="CR3" i="2"/>
  <c r="EW3" i="2"/>
  <c r="CF9" i="2"/>
  <c r="ET9" i="2"/>
  <c r="CR110" i="2"/>
  <c r="EW110" i="2"/>
  <c r="CR35" i="2"/>
  <c r="EW35" i="2"/>
  <c r="CR124" i="2"/>
  <c r="EW124" i="2"/>
  <c r="CV61" i="2"/>
  <c r="EX61" i="2"/>
  <c r="EY61" i="2"/>
  <c r="CV175" i="2"/>
  <c r="EX175" i="2"/>
  <c r="EY175" i="2"/>
  <c r="CR133" i="2"/>
  <c r="EW133" i="2"/>
  <c r="CV139" i="2"/>
  <c r="EX139" i="2"/>
  <c r="EY139" i="2"/>
  <c r="CZ157" i="2"/>
  <c r="EZ157" i="2"/>
  <c r="CR39" i="2"/>
  <c r="EW39" i="2"/>
  <c r="CV154" i="2"/>
  <c r="EX154" i="2"/>
  <c r="EY154" i="2"/>
  <c r="CR148" i="2"/>
  <c r="EW148" i="2"/>
  <c r="CR199" i="2"/>
  <c r="EW199" i="2"/>
  <c r="CV162" i="2"/>
  <c r="EX162" i="2"/>
  <c r="EY162" i="2"/>
  <c r="CR99" i="2"/>
  <c r="EW99" i="2"/>
  <c r="CV62" i="2"/>
  <c r="EX62" i="2"/>
  <c r="EY62" i="2"/>
  <c r="CR32" i="2"/>
  <c r="EW32" i="2"/>
  <c r="CR142" i="2"/>
  <c r="EW142" i="2"/>
  <c r="CZ119" i="2"/>
  <c r="EZ119" i="2"/>
  <c r="CR108" i="2"/>
  <c r="EW108" i="2"/>
  <c r="CJ6" i="2"/>
  <c r="EU6" i="2"/>
  <c r="CV183" i="2"/>
  <c r="EX183" i="2"/>
  <c r="EY183" i="2"/>
  <c r="CV77" i="2"/>
  <c r="EX77" i="2"/>
  <c r="EY77" i="2"/>
  <c r="CR182" i="2"/>
  <c r="EW182" i="2"/>
  <c r="CR186" i="2"/>
  <c r="EW186" i="2"/>
  <c r="CR144" i="2"/>
  <c r="EW144" i="2"/>
  <c r="CV96" i="2"/>
  <c r="EY96" i="2"/>
  <c r="EX96" i="2"/>
  <c r="CR64" i="2"/>
  <c r="EW64" i="2"/>
  <c r="CR42" i="2"/>
  <c r="EW42" i="2"/>
  <c r="CV81" i="2"/>
  <c r="EX81" i="2"/>
  <c r="EY81" i="2"/>
  <c r="CJ4" i="2"/>
  <c r="EU4" i="2"/>
  <c r="CR91" i="2"/>
  <c r="EW91" i="2"/>
  <c r="CV155" i="2"/>
  <c r="EX155" i="2"/>
  <c r="EY155" i="2"/>
  <c r="CR7" i="2"/>
  <c r="EW7" i="2"/>
  <c r="CR25" i="2"/>
  <c r="EW25" i="2"/>
  <c r="CV36" i="2"/>
  <c r="EY36" i="2"/>
  <c r="EX36" i="2"/>
  <c r="CZ63" i="2"/>
  <c r="EZ63" i="2"/>
  <c r="CR56" i="2"/>
  <c r="EW56" i="2"/>
  <c r="CZ112" i="2"/>
  <c r="EZ112" i="2"/>
  <c r="CR149" i="2"/>
  <c r="EW149" i="2"/>
  <c r="CV130" i="2"/>
  <c r="EX130" i="2"/>
  <c r="EY130" i="2"/>
  <c r="CR15" i="2"/>
  <c r="EW15" i="2"/>
  <c r="CF102" i="2"/>
  <c r="ET102" i="2"/>
  <c r="CR190" i="2"/>
  <c r="EW190" i="2"/>
  <c r="CV125" i="2"/>
  <c r="EX125" i="2"/>
  <c r="EY125" i="2"/>
  <c r="CR29" i="2"/>
  <c r="EW29" i="2"/>
  <c r="CV197" i="2"/>
  <c r="EX197" i="2"/>
  <c r="EY197" i="2"/>
  <c r="CN123" i="2"/>
  <c r="EV123" i="2"/>
  <c r="CR129" i="2"/>
  <c r="EW129" i="2"/>
  <c r="CV51" i="2"/>
  <c r="EY51" i="2"/>
  <c r="EX51" i="2"/>
  <c r="CR163" i="2"/>
  <c r="EW163" i="2"/>
  <c r="CJ19" i="2"/>
  <c r="EU19" i="2"/>
  <c r="CV92" i="2"/>
  <c r="EY92" i="2"/>
  <c r="EX92" i="2"/>
  <c r="CR24" i="2"/>
  <c r="EW24" i="2"/>
  <c r="CV69" i="2"/>
  <c r="EX69" i="2"/>
  <c r="EY69" i="2"/>
  <c r="CR107" i="2"/>
  <c r="EW107" i="2"/>
  <c r="CN72" i="2"/>
  <c r="EV72" i="2"/>
  <c r="CR41" i="2"/>
  <c r="EW41" i="2"/>
  <c r="CZ114" i="2"/>
  <c r="EZ114" i="2"/>
  <c r="CR126" i="2"/>
  <c r="EW126" i="2"/>
  <c r="CJ103" i="2"/>
  <c r="EU103" i="2"/>
  <c r="CV45" i="2"/>
  <c r="EY45" i="2"/>
  <c r="EX45" i="2"/>
  <c r="CR11" i="2"/>
  <c r="EW11" i="2"/>
  <c r="CR169" i="2"/>
  <c r="EW169" i="2"/>
  <c r="CV48" i="2"/>
  <c r="EX48" i="2"/>
  <c r="EY48" i="2"/>
  <c r="CR60" i="2"/>
  <c r="EW60" i="2"/>
  <c r="CV170" i="2"/>
  <c r="EX170" i="2"/>
  <c r="EY170" i="2"/>
  <c r="CR134" i="2"/>
  <c r="EW134" i="2"/>
  <c r="CZ121" i="2"/>
  <c r="EZ121" i="2"/>
  <c r="FD6" i="21"/>
  <c r="FA25" i="21"/>
  <c r="EY25" i="21"/>
  <c r="FA75" i="21"/>
  <c r="EY75" i="21"/>
  <c r="FA168" i="21"/>
  <c r="EY168" i="21"/>
  <c r="FA101" i="21"/>
  <c r="EY101" i="21"/>
  <c r="FA16" i="21"/>
  <c r="EY16" i="21"/>
  <c r="FA201" i="21"/>
  <c r="EY201" i="21"/>
  <c r="FA20" i="21"/>
  <c r="EY20" i="21"/>
  <c r="FA185" i="21"/>
  <c r="EY185" i="21"/>
  <c r="FA35" i="21"/>
  <c r="EY35" i="21"/>
  <c r="FA144" i="21"/>
  <c r="EY144" i="21"/>
  <c r="FA193" i="21"/>
  <c r="EY193" i="21"/>
  <c r="FA157" i="21"/>
  <c r="EY157" i="21"/>
  <c r="FA68" i="21"/>
  <c r="EY68" i="21"/>
  <c r="FA198" i="21"/>
  <c r="EY198" i="21"/>
  <c r="FA84" i="21"/>
  <c r="EY84" i="21"/>
  <c r="FA26" i="21"/>
  <c r="EY26" i="21"/>
  <c r="FA40" i="21"/>
  <c r="EY40" i="21"/>
  <c r="FA98" i="21"/>
  <c r="EY98" i="21"/>
  <c r="FA14" i="21"/>
  <c r="EY14" i="21"/>
  <c r="FA96" i="21"/>
  <c r="EY96" i="21"/>
  <c r="FA23" i="21"/>
  <c r="EY23" i="21"/>
  <c r="FA78" i="21"/>
  <c r="EY78" i="21"/>
  <c r="FA62" i="21"/>
  <c r="EY62" i="21"/>
  <c r="FA86" i="21"/>
  <c r="EY86" i="21"/>
  <c r="FA177" i="21"/>
  <c r="EY177" i="21"/>
  <c r="FA151" i="21"/>
  <c r="EY151" i="21"/>
  <c r="FA95" i="21"/>
  <c r="EY95" i="21"/>
  <c r="FA91" i="21"/>
  <c r="EY91" i="21"/>
  <c r="FA186" i="21"/>
  <c r="EY186" i="21"/>
  <c r="FA66" i="21"/>
  <c r="EY66" i="21"/>
  <c r="FA158" i="21"/>
  <c r="EY158" i="21"/>
  <c r="FA162" i="21"/>
  <c r="EY162" i="21"/>
  <c r="FA102" i="21"/>
  <c r="EY102" i="21"/>
  <c r="FA31" i="21"/>
  <c r="EY31" i="21"/>
  <c r="FA169" i="21"/>
  <c r="EY169" i="21"/>
  <c r="FA17" i="21"/>
  <c r="EY17" i="21"/>
  <c r="FA199" i="21"/>
  <c r="EY199" i="21"/>
  <c r="FA160" i="21"/>
  <c r="EY160" i="21"/>
  <c r="FA63" i="21"/>
  <c r="EY63" i="21"/>
  <c r="FA15" i="21"/>
  <c r="EY15" i="21"/>
  <c r="FA69" i="21"/>
  <c r="EY69" i="21"/>
  <c r="FA12" i="21"/>
  <c r="EY12" i="21"/>
  <c r="FA76" i="21"/>
  <c r="EY76" i="21"/>
  <c r="FA36" i="21"/>
  <c r="EY36" i="21"/>
  <c r="FA103" i="21"/>
  <c r="EY103" i="21"/>
  <c r="FA19" i="21"/>
  <c r="EY19" i="21"/>
  <c r="FA175" i="21"/>
  <c r="EY175" i="21"/>
  <c r="FA72" i="21"/>
  <c r="EY72" i="21"/>
  <c r="FA100" i="21"/>
  <c r="EY100" i="21"/>
  <c r="FA108" i="21"/>
  <c r="EY108" i="21"/>
  <c r="FA89" i="21"/>
  <c r="EY89" i="21"/>
  <c r="FA67" i="21"/>
  <c r="EY67" i="21"/>
  <c r="FA131" i="21"/>
  <c r="EY131" i="21"/>
  <c r="FA92" i="21"/>
  <c r="EY92" i="21"/>
  <c r="FA39" i="21"/>
  <c r="EY39" i="21"/>
  <c r="FA176" i="21"/>
  <c r="EY176" i="21"/>
  <c r="FA34" i="21"/>
  <c r="EY34" i="21"/>
  <c r="FA64" i="21"/>
  <c r="EY64" i="21"/>
  <c r="FA32" i="21"/>
  <c r="EY32" i="21"/>
  <c r="FA13" i="21"/>
  <c r="EY13" i="21"/>
  <c r="FA99" i="21"/>
  <c r="EY99" i="21"/>
  <c r="FA190" i="21"/>
  <c r="EY190" i="21"/>
  <c r="FA126" i="21"/>
  <c r="EY126" i="21"/>
  <c r="FA61" i="21"/>
  <c r="EY61" i="21"/>
  <c r="FA194" i="21"/>
  <c r="EY194" i="21"/>
  <c r="FA93" i="21"/>
  <c r="EY93" i="21"/>
  <c r="FA183" i="21"/>
  <c r="EY183" i="21"/>
  <c r="FA182" i="21"/>
  <c r="EY182" i="21"/>
  <c r="FA94" i="21"/>
  <c r="EY94" i="21"/>
  <c r="FA27" i="21"/>
  <c r="EY27" i="21"/>
  <c r="FA159" i="21"/>
  <c r="EY159" i="21"/>
  <c r="FA192" i="21"/>
  <c r="EY192" i="21"/>
  <c r="FA88" i="21"/>
  <c r="EY88" i="21"/>
  <c r="FA85" i="21"/>
  <c r="EY85" i="21"/>
  <c r="FA167" i="21"/>
  <c r="EY167" i="21"/>
  <c r="FA81" i="21"/>
  <c r="EY81" i="21"/>
  <c r="EX7" i="21"/>
  <c r="BU105" i="5" l="1"/>
  <c r="DR105" i="5"/>
  <c r="BU161" i="5"/>
  <c r="DR161" i="5"/>
  <c r="BU181" i="5"/>
  <c r="DR181" i="5"/>
  <c r="BU163" i="5"/>
  <c r="DR163" i="5"/>
  <c r="BU121" i="5"/>
  <c r="DR121" i="5"/>
  <c r="DR183" i="5"/>
  <c r="BU183" i="5"/>
  <c r="BU182" i="5"/>
  <c r="DR182" i="5"/>
  <c r="BU180" i="5"/>
  <c r="DR180" i="5"/>
  <c r="BU187" i="5"/>
  <c r="DR187" i="5"/>
  <c r="BU176" i="5"/>
  <c r="DR176" i="5"/>
  <c r="BU185" i="5"/>
  <c r="DR185" i="5"/>
  <c r="DR201" i="5"/>
  <c r="BU201" i="5"/>
  <c r="BU140" i="5"/>
  <c r="DR140" i="5"/>
  <c r="BU142" i="5"/>
  <c r="DR142" i="5"/>
  <c r="BU138" i="5"/>
  <c r="DR138" i="5"/>
  <c r="BU124" i="5"/>
  <c r="DR124" i="5"/>
  <c r="BU177" i="5"/>
  <c r="DR177" i="5"/>
  <c r="DR171" i="5"/>
  <c r="BU171" i="5"/>
  <c r="BU170" i="5"/>
  <c r="DR170" i="5"/>
  <c r="BU137" i="5"/>
  <c r="DR137" i="5"/>
  <c r="BU122" i="5"/>
  <c r="DR122" i="5"/>
  <c r="BU141" i="5"/>
  <c r="DR141" i="5"/>
  <c r="BU125" i="5"/>
  <c r="DR125" i="5"/>
  <c r="BU174" i="5"/>
  <c r="DR174" i="5"/>
  <c r="DR175" i="5"/>
  <c r="BU175" i="5"/>
  <c r="BU168" i="5"/>
  <c r="DR168" i="5"/>
  <c r="BU172" i="5"/>
  <c r="DR172" i="5"/>
  <c r="BU169" i="5"/>
  <c r="DR169" i="5"/>
  <c r="BU186" i="5"/>
  <c r="DR186" i="5"/>
  <c r="BU126" i="5"/>
  <c r="DR126" i="5"/>
  <c r="BU123" i="5"/>
  <c r="DR123" i="5"/>
  <c r="BU162" i="5"/>
  <c r="DR162" i="5"/>
  <c r="BU143" i="5"/>
  <c r="DR143" i="5"/>
  <c r="BU133" i="5"/>
  <c r="DR133" i="5"/>
  <c r="BU128" i="5"/>
  <c r="DR128" i="5"/>
  <c r="BU178" i="5"/>
  <c r="DR178" i="5"/>
  <c r="BU179" i="5"/>
  <c r="DR179" i="5"/>
  <c r="BU184" i="5"/>
  <c r="DR184" i="5"/>
  <c r="BO3" i="5"/>
  <c r="DP3" i="5"/>
  <c r="FD54" i="21"/>
  <c r="FD154" i="21"/>
  <c r="FD163" i="21"/>
  <c r="FD55" i="21"/>
  <c r="FD127" i="21"/>
  <c r="FD52" i="21"/>
  <c r="FD187" i="21"/>
  <c r="FD166" i="21"/>
  <c r="FD53" i="21"/>
  <c r="FD197" i="21"/>
  <c r="FD164" i="21"/>
  <c r="FD145" i="21"/>
  <c r="FD29" i="21"/>
  <c r="FD147" i="21"/>
  <c r="FD50" i="21"/>
  <c r="DL3" i="21"/>
  <c r="FD3" i="21" s="1"/>
  <c r="FD150" i="21"/>
  <c r="FD47" i="21"/>
  <c r="FD113" i="21"/>
  <c r="FC121" i="21"/>
  <c r="FB121" i="21"/>
  <c r="FC43" i="21"/>
  <c r="FB43" i="21"/>
  <c r="FC174" i="21"/>
  <c r="FB174" i="21"/>
  <c r="FC73" i="21"/>
  <c r="FB73" i="21"/>
  <c r="FC125" i="21"/>
  <c r="FB125" i="21"/>
  <c r="FC110" i="21"/>
  <c r="FB110" i="21"/>
  <c r="FC165" i="21"/>
  <c r="FB165" i="21"/>
  <c r="FC28" i="21"/>
  <c r="FB28" i="21"/>
  <c r="FC202" i="21"/>
  <c r="FB202" i="21"/>
  <c r="FD188" i="21"/>
  <c r="FD196" i="21"/>
  <c r="FD141" i="21"/>
  <c r="FC133" i="21"/>
  <c r="FB133" i="21"/>
  <c r="FC87" i="21"/>
  <c r="FB87" i="21"/>
  <c r="FC179" i="21"/>
  <c r="FB179" i="21"/>
  <c r="FC161" i="21"/>
  <c r="FB161" i="21"/>
  <c r="FC49" i="21"/>
  <c r="FB49" i="21"/>
  <c r="FC21" i="21"/>
  <c r="FB21" i="21"/>
  <c r="FC38" i="21"/>
  <c r="FB38" i="21"/>
  <c r="FC178" i="21"/>
  <c r="FB178" i="21"/>
  <c r="FC59" i="21"/>
  <c r="FB59" i="21"/>
  <c r="FC148" i="21"/>
  <c r="FB148" i="21"/>
  <c r="FC138" i="21"/>
  <c r="FB138" i="21"/>
  <c r="FC132" i="21"/>
  <c r="FB132" i="21"/>
  <c r="FC97" i="21"/>
  <c r="FB97" i="21"/>
  <c r="FC156" i="21"/>
  <c r="FB156" i="21"/>
  <c r="FC117" i="21"/>
  <c r="FB117" i="21"/>
  <c r="FC124" i="21"/>
  <c r="FB124" i="21"/>
  <c r="FC106" i="21"/>
  <c r="FB106" i="21"/>
  <c r="FC105" i="21"/>
  <c r="FB105" i="21"/>
  <c r="FC129" i="21"/>
  <c r="FB129" i="21"/>
  <c r="FC191" i="21"/>
  <c r="FB191" i="21"/>
  <c r="FC184" i="21"/>
  <c r="FB184" i="21"/>
  <c r="FC37" i="21"/>
  <c r="FB37" i="21"/>
  <c r="FC200" i="21"/>
  <c r="FB200" i="21"/>
  <c r="FC5" i="21"/>
  <c r="FB5" i="21"/>
  <c r="FC130" i="21"/>
  <c r="FB130" i="21"/>
  <c r="FC122" i="21"/>
  <c r="FB122" i="21"/>
  <c r="FC24" i="21"/>
  <c r="FB24" i="21"/>
  <c r="FC172" i="21"/>
  <c r="FB172" i="21"/>
  <c r="FC171" i="21"/>
  <c r="FB171" i="21"/>
  <c r="FC111" i="21"/>
  <c r="FB111" i="21"/>
  <c r="FC143" i="21"/>
  <c r="FB143" i="21"/>
  <c r="FC60" i="21"/>
  <c r="FB60" i="21"/>
  <c r="FC51" i="21"/>
  <c r="FB51" i="21"/>
  <c r="FC107" i="21"/>
  <c r="FB107" i="21"/>
  <c r="FC42" i="21"/>
  <c r="FB42" i="21"/>
  <c r="FC10" i="21"/>
  <c r="FB10" i="21"/>
  <c r="FC41" i="21"/>
  <c r="FB41" i="21"/>
  <c r="FC116" i="21"/>
  <c r="FB116" i="21"/>
  <c r="FC104" i="21"/>
  <c r="FB104" i="21"/>
  <c r="FD44" i="21"/>
  <c r="FD118" i="21"/>
  <c r="FD115" i="21"/>
  <c r="FC71" i="21"/>
  <c r="FB71" i="21"/>
  <c r="FC119" i="21"/>
  <c r="FB119" i="21"/>
  <c r="FC77" i="21"/>
  <c r="FB77" i="21"/>
  <c r="FC170" i="21"/>
  <c r="FB170" i="21"/>
  <c r="FC142" i="21"/>
  <c r="FB142" i="21"/>
  <c r="FC136" i="21"/>
  <c r="FB136" i="21"/>
  <c r="FC18" i="21"/>
  <c r="FB18" i="21"/>
  <c r="FC74" i="21"/>
  <c r="FB74" i="21"/>
  <c r="FC153" i="21"/>
  <c r="FB153" i="21"/>
  <c r="FC137" i="21"/>
  <c r="FB137" i="21"/>
  <c r="FD120" i="21"/>
  <c r="FD22" i="21"/>
  <c r="FD128" i="21"/>
  <c r="FD8" i="21"/>
  <c r="FD33" i="21"/>
  <c r="FC82" i="21"/>
  <c r="FB82" i="21"/>
  <c r="FC90" i="21"/>
  <c r="FB90" i="21"/>
  <c r="FC149" i="21"/>
  <c r="FB149" i="21"/>
  <c r="FC70" i="21"/>
  <c r="FB70" i="21"/>
  <c r="FC135" i="21"/>
  <c r="FB135" i="21"/>
  <c r="FC114" i="21"/>
  <c r="FB114" i="21"/>
  <c r="FC57" i="21"/>
  <c r="FB57" i="21"/>
  <c r="FC173" i="21"/>
  <c r="FB173" i="21"/>
  <c r="FC80" i="21"/>
  <c r="FB80" i="21"/>
  <c r="FC181" i="21"/>
  <c r="FB181" i="21"/>
  <c r="FC134" i="21"/>
  <c r="FB134" i="21"/>
  <c r="FC65" i="21"/>
  <c r="FB65" i="21"/>
  <c r="FC123" i="21"/>
  <c r="FB123" i="21"/>
  <c r="FC9" i="21"/>
  <c r="FB9" i="21"/>
  <c r="FC146" i="21"/>
  <c r="FB146" i="21"/>
  <c r="FC79" i="21"/>
  <c r="FB79" i="21"/>
  <c r="FC195" i="21"/>
  <c r="FB195" i="21"/>
  <c r="FC83" i="21"/>
  <c r="FB83" i="21"/>
  <c r="FC180" i="21"/>
  <c r="FB180" i="21"/>
  <c r="FC189" i="21"/>
  <c r="FB189" i="21"/>
  <c r="CV60" i="2"/>
  <c r="EY60" i="2"/>
  <c r="EX60" i="2"/>
  <c r="CN103" i="2"/>
  <c r="EV103" i="2"/>
  <c r="DD114" i="2"/>
  <c r="FA114" i="2"/>
  <c r="CR72" i="2"/>
  <c r="EW72" i="2"/>
  <c r="CN19" i="2"/>
  <c r="EV19" i="2"/>
  <c r="CZ197" i="2"/>
  <c r="EZ197" i="2"/>
  <c r="CV149" i="2"/>
  <c r="EX149" i="2"/>
  <c r="EY149" i="2"/>
  <c r="CV56" i="2"/>
  <c r="EY56" i="2"/>
  <c r="EX56" i="2"/>
  <c r="CZ155" i="2"/>
  <c r="EZ155" i="2"/>
  <c r="CN4" i="2"/>
  <c r="EV4" i="2"/>
  <c r="CV144" i="2"/>
  <c r="EY144" i="2"/>
  <c r="EX144" i="2"/>
  <c r="CV182" i="2"/>
  <c r="EX182" i="2"/>
  <c r="EY182" i="2"/>
  <c r="CN6" i="2"/>
  <c r="EV6" i="2"/>
  <c r="DD119" i="2"/>
  <c r="FA119" i="2"/>
  <c r="CV199" i="2"/>
  <c r="EX199" i="2"/>
  <c r="EY199" i="2"/>
  <c r="CZ139" i="2"/>
  <c r="EZ139" i="2"/>
  <c r="CZ61" i="2"/>
  <c r="EZ61" i="2"/>
  <c r="CV35" i="2"/>
  <c r="EY35" i="2"/>
  <c r="EX35" i="2"/>
  <c r="CJ9" i="2"/>
  <c r="EU9" i="2"/>
  <c r="CV202" i="2"/>
  <c r="EX202" i="2"/>
  <c r="EY202" i="2"/>
  <c r="CZ159" i="2"/>
  <c r="EZ159" i="2"/>
  <c r="CZ135" i="2"/>
  <c r="EZ135" i="2"/>
  <c r="DD70" i="2"/>
  <c r="FA70" i="2"/>
  <c r="CZ82" i="2"/>
  <c r="EZ82" i="2"/>
  <c r="CV16" i="2"/>
  <c r="EX16" i="2"/>
  <c r="EY16" i="2"/>
  <c r="CV18" i="2"/>
  <c r="EX18" i="2"/>
  <c r="EY18" i="2"/>
  <c r="DD90" i="2"/>
  <c r="FA90" i="2"/>
  <c r="DD94" i="2"/>
  <c r="FA94" i="2"/>
  <c r="CZ171" i="2"/>
  <c r="EZ171" i="2"/>
  <c r="CV106" i="2"/>
  <c r="EX106" i="2"/>
  <c r="EY106" i="2"/>
  <c r="CZ166" i="2"/>
  <c r="EZ166" i="2"/>
  <c r="CV128" i="2"/>
  <c r="EY128" i="2"/>
  <c r="EX128" i="2"/>
  <c r="CZ87" i="2"/>
  <c r="EZ87" i="2"/>
  <c r="CV180" i="2"/>
  <c r="EY180" i="2"/>
  <c r="EX180" i="2"/>
  <c r="CV181" i="2"/>
  <c r="EX181" i="2"/>
  <c r="EY181" i="2"/>
  <c r="DH141" i="2"/>
  <c r="DL141" i="2" s="1"/>
  <c r="DP141" i="2" s="1"/>
  <c r="DT141" i="2" s="1"/>
  <c r="DX141" i="2" s="1"/>
  <c r="FB141" i="2"/>
  <c r="CZ97" i="2"/>
  <c r="EZ97" i="2"/>
  <c r="DD100" i="2"/>
  <c r="FA100" i="2"/>
  <c r="CZ85" i="2"/>
  <c r="EZ85" i="2"/>
  <c r="DD116" i="2"/>
  <c r="FA116" i="2"/>
  <c r="CV115" i="2"/>
  <c r="EX115" i="2"/>
  <c r="EY115" i="2"/>
  <c r="CV198" i="2"/>
  <c r="EX198" i="2"/>
  <c r="EY198" i="2"/>
  <c r="CV89" i="2"/>
  <c r="EX89" i="2"/>
  <c r="EY89" i="2"/>
  <c r="CV80" i="2"/>
  <c r="EX80" i="2"/>
  <c r="EY80" i="2"/>
  <c r="DD151" i="2"/>
  <c r="FA151" i="2"/>
  <c r="CZ74" i="2"/>
  <c r="EZ74" i="2"/>
  <c r="CZ49" i="2"/>
  <c r="EZ49" i="2"/>
  <c r="CV161" i="2"/>
  <c r="EX161" i="2"/>
  <c r="EY161" i="2"/>
  <c r="EW165" i="2"/>
  <c r="CZ88" i="2"/>
  <c r="EZ88" i="2"/>
  <c r="CJ193" i="2"/>
  <c r="EU193" i="2"/>
  <c r="CV105" i="2"/>
  <c r="EX105" i="2"/>
  <c r="EY105" i="2"/>
  <c r="DD121" i="2"/>
  <c r="FA121" i="2"/>
  <c r="CV169" i="2"/>
  <c r="EX169" i="2"/>
  <c r="EY169" i="2"/>
  <c r="CZ69" i="2"/>
  <c r="EZ69" i="2"/>
  <c r="CZ51" i="2"/>
  <c r="EZ51" i="2"/>
  <c r="CR123" i="2"/>
  <c r="EW123" i="2"/>
  <c r="CZ125" i="2"/>
  <c r="EZ125" i="2"/>
  <c r="CJ102" i="2"/>
  <c r="EU102" i="2"/>
  <c r="CZ36" i="2"/>
  <c r="EZ36" i="2"/>
  <c r="CV7" i="2"/>
  <c r="EX7" i="2"/>
  <c r="EY7" i="2"/>
  <c r="CV42" i="2"/>
  <c r="EX42" i="2"/>
  <c r="EY42" i="2"/>
  <c r="CZ62" i="2"/>
  <c r="EZ62" i="2"/>
  <c r="CZ154" i="2"/>
  <c r="EZ154" i="2"/>
  <c r="DD157" i="2"/>
  <c r="FA157" i="2"/>
  <c r="CZ175" i="2"/>
  <c r="EZ175" i="2"/>
  <c r="CV164" i="2"/>
  <c r="EY164" i="2"/>
  <c r="EX164" i="2"/>
  <c r="CZ150" i="2"/>
  <c r="EZ150" i="2"/>
  <c r="CV22" i="2"/>
  <c r="EX22" i="2"/>
  <c r="EY22" i="2"/>
  <c r="CZ50" i="2"/>
  <c r="EZ50" i="2"/>
  <c r="CV127" i="2"/>
  <c r="EX127" i="2"/>
  <c r="EY127" i="2"/>
  <c r="DD67" i="2"/>
  <c r="FA67" i="2"/>
  <c r="CV76" i="2"/>
  <c r="EY76" i="2"/>
  <c r="EX76" i="2"/>
  <c r="CZ78" i="2"/>
  <c r="EZ78" i="2"/>
  <c r="CV184" i="2"/>
  <c r="EY184" i="2"/>
  <c r="EX184" i="2"/>
  <c r="CV59" i="2"/>
  <c r="EX59" i="2"/>
  <c r="EY59" i="2"/>
  <c r="CV21" i="2"/>
  <c r="EY21" i="2"/>
  <c r="EX21" i="2"/>
  <c r="CZ167" i="2"/>
  <c r="EZ167" i="2"/>
  <c r="CV177" i="2"/>
  <c r="EX177" i="2"/>
  <c r="EY177" i="2"/>
  <c r="CV117" i="2"/>
  <c r="EX117" i="2"/>
  <c r="EY117" i="2"/>
  <c r="CZ65" i="2"/>
  <c r="EZ65" i="2"/>
  <c r="CV93" i="2"/>
  <c r="EX93" i="2"/>
  <c r="EY93" i="2"/>
  <c r="CV68" i="2"/>
  <c r="EY68" i="2"/>
  <c r="EX68" i="2"/>
  <c r="DD192" i="2"/>
  <c r="FA192" i="2"/>
  <c r="CN30" i="2"/>
  <c r="EV30" i="2"/>
  <c r="CZ5" i="2"/>
  <c r="EZ5" i="2"/>
  <c r="CV23" i="2"/>
  <c r="EY23" i="2"/>
  <c r="EX23" i="2"/>
  <c r="CZ172" i="2"/>
  <c r="EZ172" i="2"/>
  <c r="CZ38" i="2"/>
  <c r="EZ38" i="2"/>
  <c r="CR10" i="2"/>
  <c r="EW10" i="2"/>
  <c r="CV113" i="2"/>
  <c r="EX113" i="2"/>
  <c r="EY113" i="2"/>
  <c r="CZ147" i="2"/>
  <c r="EZ147" i="2"/>
  <c r="CV146" i="2"/>
  <c r="EX146" i="2"/>
  <c r="EY146" i="2"/>
  <c r="CZ58" i="2"/>
  <c r="EZ58" i="2"/>
  <c r="CV111" i="2"/>
  <c r="EX111" i="2"/>
  <c r="EY111" i="2"/>
  <c r="CZ53" i="2"/>
  <c r="EZ53" i="2"/>
  <c r="CV86" i="2"/>
  <c r="EY86" i="2"/>
  <c r="EX86" i="2"/>
  <c r="DD20" i="2"/>
  <c r="FA20" i="2"/>
  <c r="CZ170" i="2"/>
  <c r="EZ170" i="2"/>
  <c r="CZ45" i="2"/>
  <c r="EZ45" i="2"/>
  <c r="CV126" i="2"/>
  <c r="EX126" i="2"/>
  <c r="EY126" i="2"/>
  <c r="CV41" i="2"/>
  <c r="EY41" i="2"/>
  <c r="EX41" i="2"/>
  <c r="CV107" i="2"/>
  <c r="EX107" i="2"/>
  <c r="EY107" i="2"/>
  <c r="CZ92" i="2"/>
  <c r="EZ92" i="2"/>
  <c r="CV163" i="2"/>
  <c r="EX163" i="2"/>
  <c r="EY163" i="2"/>
  <c r="CV29" i="2"/>
  <c r="EY29" i="2"/>
  <c r="EX29" i="2"/>
  <c r="CZ130" i="2"/>
  <c r="EZ130" i="2"/>
  <c r="DD112" i="2"/>
  <c r="FA112" i="2"/>
  <c r="DD63" i="2"/>
  <c r="FA63" i="2"/>
  <c r="CV91" i="2"/>
  <c r="EX91" i="2"/>
  <c r="EY91" i="2"/>
  <c r="CZ96" i="2"/>
  <c r="EZ96" i="2"/>
  <c r="CV186" i="2"/>
  <c r="EX186" i="2"/>
  <c r="EY186" i="2"/>
  <c r="CZ183" i="2"/>
  <c r="EZ183" i="2"/>
  <c r="CV108" i="2"/>
  <c r="EY108" i="2"/>
  <c r="EX108" i="2"/>
  <c r="CV142" i="2"/>
  <c r="EX142" i="2"/>
  <c r="EY142" i="2"/>
  <c r="CV32" i="2"/>
  <c r="EX32" i="2"/>
  <c r="EY32" i="2"/>
  <c r="CZ162" i="2"/>
  <c r="EZ162" i="2"/>
  <c r="CV148" i="2"/>
  <c r="EY148" i="2"/>
  <c r="EX148" i="2"/>
  <c r="CV133" i="2"/>
  <c r="EX133" i="2"/>
  <c r="EY133" i="2"/>
  <c r="CV124" i="2"/>
  <c r="EY124" i="2"/>
  <c r="EX124" i="2"/>
  <c r="CV110" i="2"/>
  <c r="EX110" i="2"/>
  <c r="EY110" i="2"/>
  <c r="CV3" i="2"/>
  <c r="CZ3" i="2" s="1"/>
  <c r="EY3" i="2"/>
  <c r="EX3" i="2"/>
  <c r="CN13" i="2"/>
  <c r="EV13" i="2"/>
  <c r="CV200" i="2"/>
  <c r="EY200" i="2"/>
  <c r="EX200" i="2"/>
  <c r="CV84" i="2"/>
  <c r="EY84" i="2"/>
  <c r="EX84" i="2"/>
  <c r="CZ101" i="2"/>
  <c r="EZ101" i="2"/>
  <c r="CZ143" i="2"/>
  <c r="EZ143" i="2"/>
  <c r="CZ66" i="2"/>
  <c r="EZ66" i="2"/>
  <c r="CR153" i="2"/>
  <c r="EW153" i="2"/>
  <c r="CR31" i="2"/>
  <c r="EW31" i="2"/>
  <c r="CV178" i="2"/>
  <c r="EX178" i="2"/>
  <c r="EY178" i="2"/>
  <c r="CZ28" i="2"/>
  <c r="EZ28" i="2"/>
  <c r="CR33" i="2"/>
  <c r="EW33" i="2"/>
  <c r="DD160" i="2"/>
  <c r="FA160" i="2"/>
  <c r="CN79" i="2"/>
  <c r="EV79" i="2"/>
  <c r="CV71" i="2"/>
  <c r="EX71" i="2"/>
  <c r="EY71" i="2"/>
  <c r="CV37" i="2"/>
  <c r="EY37" i="2"/>
  <c r="EX37" i="2"/>
  <c r="CZ26" i="2"/>
  <c r="EZ26" i="2"/>
  <c r="CJ132" i="2"/>
  <c r="EU132" i="2"/>
  <c r="CZ196" i="2"/>
  <c r="EZ196" i="2"/>
  <c r="CJ189" i="2"/>
  <c r="EU189" i="2"/>
  <c r="CZ173" i="2"/>
  <c r="EZ173" i="2"/>
  <c r="CZ118" i="2"/>
  <c r="EZ118" i="2"/>
  <c r="CZ191" i="2"/>
  <c r="EZ191" i="2"/>
  <c r="CV55" i="2"/>
  <c r="EX55" i="2"/>
  <c r="EY55" i="2"/>
  <c r="CZ54" i="2"/>
  <c r="EZ54" i="2"/>
  <c r="CV131" i="2"/>
  <c r="EX131" i="2"/>
  <c r="EY131" i="2"/>
  <c r="CJ43" i="2"/>
  <c r="EU43" i="2"/>
  <c r="CV140" i="2"/>
  <c r="EY140" i="2"/>
  <c r="EX140" i="2"/>
  <c r="CV201" i="2"/>
  <c r="EX201" i="2"/>
  <c r="EY201" i="2"/>
  <c r="CZ57" i="2"/>
  <c r="EZ57" i="2"/>
  <c r="CV47" i="2"/>
  <c r="EX47" i="2"/>
  <c r="EY47" i="2"/>
  <c r="DD27" i="2"/>
  <c r="FA27" i="2"/>
  <c r="CZ168" i="2"/>
  <c r="EZ168" i="2"/>
  <c r="CV134" i="2"/>
  <c r="EX134" i="2"/>
  <c r="EY134" i="2"/>
  <c r="CZ48" i="2"/>
  <c r="EZ48" i="2"/>
  <c r="CV11" i="2"/>
  <c r="EX11" i="2"/>
  <c r="EY11" i="2"/>
  <c r="CV24" i="2"/>
  <c r="EX24" i="2"/>
  <c r="EY24" i="2"/>
  <c r="CV129" i="2"/>
  <c r="EX129" i="2"/>
  <c r="EY129" i="2"/>
  <c r="CV190" i="2"/>
  <c r="EX190" i="2"/>
  <c r="EY190" i="2"/>
  <c r="CV15" i="2"/>
  <c r="EX15" i="2"/>
  <c r="EY15" i="2"/>
  <c r="CV25" i="2"/>
  <c r="EY25" i="2"/>
  <c r="EX25" i="2"/>
  <c r="CZ81" i="2"/>
  <c r="EZ81" i="2"/>
  <c r="CV64" i="2"/>
  <c r="EY64" i="2"/>
  <c r="EX64" i="2"/>
  <c r="CZ77" i="2"/>
  <c r="EZ77" i="2"/>
  <c r="CV99" i="2"/>
  <c r="EX99" i="2"/>
  <c r="EY99" i="2"/>
  <c r="CV39" i="2"/>
  <c r="EX39" i="2"/>
  <c r="EY39" i="2"/>
  <c r="CZ138" i="2"/>
  <c r="EZ138" i="2"/>
  <c r="CZ179" i="2"/>
  <c r="EZ179" i="2"/>
  <c r="CZ158" i="2"/>
  <c r="EZ158" i="2"/>
  <c r="CN8" i="2"/>
  <c r="EV8" i="2"/>
  <c r="CV46" i="2"/>
  <c r="EX46" i="2"/>
  <c r="EY46" i="2"/>
  <c r="CV98" i="2"/>
  <c r="EX98" i="2"/>
  <c r="EY98" i="2"/>
  <c r="CV83" i="2"/>
  <c r="EX83" i="2"/>
  <c r="EY83" i="2"/>
  <c r="CV152" i="2"/>
  <c r="EY152" i="2"/>
  <c r="EX152" i="2"/>
  <c r="CV194" i="2"/>
  <c r="EX194" i="2"/>
  <c r="EY194" i="2"/>
  <c r="CZ12" i="2"/>
  <c r="EZ12" i="2"/>
  <c r="CJ14" i="2"/>
  <c r="EU14" i="2"/>
  <c r="CV109" i="2"/>
  <c r="EX109" i="2"/>
  <c r="EY109" i="2"/>
  <c r="CV136" i="2"/>
  <c r="EY136" i="2"/>
  <c r="EX136" i="2"/>
  <c r="CN187" i="2"/>
  <c r="EV187" i="2"/>
  <c r="CZ195" i="2"/>
  <c r="EZ195" i="2"/>
  <c r="CZ34" i="2"/>
  <c r="EZ34" i="2"/>
  <c r="CN73" i="2"/>
  <c r="EV73" i="2"/>
  <c r="CR44" i="2"/>
  <c r="EW44" i="2"/>
  <c r="CZ188" i="2"/>
  <c r="EZ188" i="2"/>
  <c r="CV137" i="2"/>
  <c r="EX137" i="2"/>
  <c r="EY137" i="2"/>
  <c r="CV40" i="2"/>
  <c r="EX40" i="2"/>
  <c r="EY40" i="2"/>
  <c r="CZ156" i="2"/>
  <c r="EZ156" i="2"/>
  <c r="DH104" i="2"/>
  <c r="DL104" i="2" s="1"/>
  <c r="DP104" i="2" s="1"/>
  <c r="DT104" i="2" s="1"/>
  <c r="DX104" i="2" s="1"/>
  <c r="FB104" i="2"/>
  <c r="CV120" i="2"/>
  <c r="EY120" i="2"/>
  <c r="EX120" i="2"/>
  <c r="CV185" i="2"/>
  <c r="EX185" i="2"/>
  <c r="EY185" i="2"/>
  <c r="DD145" i="2"/>
  <c r="FA145" i="2"/>
  <c r="CV95" i="2"/>
  <c r="EX95" i="2"/>
  <c r="EY95" i="2"/>
  <c r="CV174" i="2"/>
  <c r="EX174" i="2"/>
  <c r="EY174" i="2"/>
  <c r="CZ176" i="2"/>
  <c r="EZ176" i="2"/>
  <c r="CV17" i="2"/>
  <c r="EY17" i="2"/>
  <c r="EX17" i="2"/>
  <c r="CV75" i="2"/>
  <c r="EX75" i="2"/>
  <c r="EY75" i="2"/>
  <c r="CV52" i="2"/>
  <c r="EY52" i="2"/>
  <c r="EX52" i="2"/>
  <c r="EZ7" i="21"/>
  <c r="DS171" i="5" l="1"/>
  <c r="BX171" i="5"/>
  <c r="BX201" i="5"/>
  <c r="DS201" i="5"/>
  <c r="DS183" i="5"/>
  <c r="BX183" i="5"/>
  <c r="BX184" i="5"/>
  <c r="DS184" i="5"/>
  <c r="BX178" i="5"/>
  <c r="DS178" i="5"/>
  <c r="BX133" i="5"/>
  <c r="DS133" i="5"/>
  <c r="BX162" i="5"/>
  <c r="DS162" i="5"/>
  <c r="BX126" i="5"/>
  <c r="DS126" i="5"/>
  <c r="BX169" i="5"/>
  <c r="DS169" i="5"/>
  <c r="BX168" i="5"/>
  <c r="DS168" i="5"/>
  <c r="BX174" i="5"/>
  <c r="DS174" i="5"/>
  <c r="BX141" i="5"/>
  <c r="DS141" i="5"/>
  <c r="BX137" i="5"/>
  <c r="DS137" i="5"/>
  <c r="BX124" i="5"/>
  <c r="DS124" i="5"/>
  <c r="BX142" i="5"/>
  <c r="DS142" i="5"/>
  <c r="BX176" i="5"/>
  <c r="DS176" i="5"/>
  <c r="BX180" i="5"/>
  <c r="DS180" i="5"/>
  <c r="BX163" i="5"/>
  <c r="DS163" i="5"/>
  <c r="BX161" i="5"/>
  <c r="DS161" i="5"/>
  <c r="DS175" i="5"/>
  <c r="BX175" i="5"/>
  <c r="DS179" i="5"/>
  <c r="BX179" i="5"/>
  <c r="BX128" i="5"/>
  <c r="DS128" i="5"/>
  <c r="BX143" i="5"/>
  <c r="DS143" i="5"/>
  <c r="BX123" i="5"/>
  <c r="DS123" i="5"/>
  <c r="BX186" i="5"/>
  <c r="DS186" i="5"/>
  <c r="BX172" i="5"/>
  <c r="DS172" i="5"/>
  <c r="BX125" i="5"/>
  <c r="DS125" i="5"/>
  <c r="BX122" i="5"/>
  <c r="DS122" i="5"/>
  <c r="BX170" i="5"/>
  <c r="DS170" i="5"/>
  <c r="BX177" i="5"/>
  <c r="DS177" i="5"/>
  <c r="BX138" i="5"/>
  <c r="DS138" i="5"/>
  <c r="BX140" i="5"/>
  <c r="DS140" i="5"/>
  <c r="BX185" i="5"/>
  <c r="DS185" i="5"/>
  <c r="DS187" i="5"/>
  <c r="BX187" i="5"/>
  <c r="BX182" i="5"/>
  <c r="DS182" i="5"/>
  <c r="BX121" i="5"/>
  <c r="DS121" i="5"/>
  <c r="BX181" i="5"/>
  <c r="DS181" i="5"/>
  <c r="BX105" i="5"/>
  <c r="DS105" i="5"/>
  <c r="BR3" i="5"/>
  <c r="DQ3" i="5"/>
  <c r="FE6" i="21"/>
  <c r="FE58" i="21"/>
  <c r="FE46" i="21"/>
  <c r="FE56" i="21"/>
  <c r="FE155" i="21"/>
  <c r="FE54" i="21"/>
  <c r="FE30" i="21"/>
  <c r="FD112" i="21"/>
  <c r="FD4" i="21"/>
  <c r="FD152" i="21"/>
  <c r="FD45" i="21"/>
  <c r="FD109" i="21"/>
  <c r="FD48" i="21"/>
  <c r="FD139" i="21"/>
  <c r="FD140" i="21"/>
  <c r="FD119" i="21"/>
  <c r="FD138" i="21"/>
  <c r="FD80" i="21"/>
  <c r="FD124" i="21"/>
  <c r="DP3" i="21"/>
  <c r="FD180" i="21"/>
  <c r="FD134" i="21"/>
  <c r="FD60" i="21"/>
  <c r="FD74" i="21"/>
  <c r="FD110" i="21"/>
  <c r="FD18" i="21"/>
  <c r="FD43" i="21"/>
  <c r="FD77" i="21"/>
  <c r="FD170" i="21"/>
  <c r="FD51" i="21"/>
  <c r="FD41" i="21"/>
  <c r="FD97" i="21"/>
  <c r="FD79" i="21"/>
  <c r="FD65" i="21"/>
  <c r="FD106" i="21"/>
  <c r="FD189" i="21"/>
  <c r="FD195" i="21"/>
  <c r="FD5" i="21"/>
  <c r="FD116" i="21"/>
  <c r="FD111" i="21"/>
  <c r="FD161" i="21"/>
  <c r="FD105" i="21"/>
  <c r="FD149" i="21"/>
  <c r="FD148" i="21"/>
  <c r="FD153" i="21"/>
  <c r="FD21" i="21"/>
  <c r="FD71" i="21"/>
  <c r="FD135" i="21"/>
  <c r="FD132" i="21"/>
  <c r="FD172" i="21"/>
  <c r="FD123" i="21"/>
  <c r="FD191" i="21"/>
  <c r="FD107" i="21"/>
  <c r="FD178" i="21"/>
  <c r="FD57" i="21"/>
  <c r="FD156" i="21"/>
  <c r="FD146" i="21"/>
  <c r="FD10" i="21"/>
  <c r="FC15" i="21"/>
  <c r="FB15" i="21"/>
  <c r="FC34" i="21"/>
  <c r="FB34" i="21"/>
  <c r="FC198" i="21"/>
  <c r="FB198" i="21"/>
  <c r="FC19" i="21"/>
  <c r="FB19" i="21"/>
  <c r="FC14" i="21"/>
  <c r="FB14" i="21"/>
  <c r="FC36" i="21"/>
  <c r="FB36" i="21"/>
  <c r="FC99" i="21"/>
  <c r="FB99" i="21"/>
  <c r="FC62" i="21"/>
  <c r="FB62" i="21"/>
  <c r="FC32" i="21"/>
  <c r="FB32" i="21"/>
  <c r="FC26" i="21"/>
  <c r="FB26" i="21"/>
  <c r="FC72" i="21"/>
  <c r="FB72" i="21"/>
  <c r="FC69" i="21"/>
  <c r="FB69" i="21"/>
  <c r="FC186" i="21"/>
  <c r="FB186" i="21"/>
  <c r="FC194" i="21"/>
  <c r="FB194" i="21"/>
  <c r="FC78" i="21"/>
  <c r="FB78" i="21"/>
  <c r="FC92" i="21"/>
  <c r="FB92" i="21"/>
  <c r="FD171" i="21"/>
  <c r="FD24" i="21"/>
  <c r="FD130" i="21"/>
  <c r="FD200" i="21"/>
  <c r="FD184" i="21"/>
  <c r="FD202" i="21"/>
  <c r="FD165" i="21"/>
  <c r="FD125" i="21"/>
  <c r="FD174" i="21"/>
  <c r="FD121" i="21"/>
  <c r="FC84" i="21"/>
  <c r="FB84" i="21"/>
  <c r="FC185" i="21"/>
  <c r="FB185" i="21"/>
  <c r="FC39" i="21"/>
  <c r="FB39" i="21"/>
  <c r="FC81" i="21"/>
  <c r="FB81" i="21"/>
  <c r="FC98" i="21"/>
  <c r="FB98" i="21"/>
  <c r="FC158" i="21"/>
  <c r="FB158" i="21"/>
  <c r="FC126" i="21"/>
  <c r="FB126" i="21"/>
  <c r="FC96" i="21"/>
  <c r="FB96" i="21"/>
  <c r="FC67" i="21"/>
  <c r="FB67" i="21"/>
  <c r="FC25" i="21"/>
  <c r="FB25" i="21"/>
  <c r="FC102" i="21"/>
  <c r="FB102" i="21"/>
  <c r="FC94" i="21"/>
  <c r="FB94" i="21"/>
  <c r="FC151" i="21"/>
  <c r="FB151" i="21"/>
  <c r="FC64" i="21"/>
  <c r="FB64" i="21"/>
  <c r="FD59" i="21"/>
  <c r="FD38" i="21"/>
  <c r="FD49" i="21"/>
  <c r="FD179" i="21"/>
  <c r="FD133" i="21"/>
  <c r="FC86" i="21"/>
  <c r="FB86" i="21"/>
  <c r="FC88" i="21"/>
  <c r="FB88" i="21"/>
  <c r="FC190" i="21"/>
  <c r="FB190" i="21"/>
  <c r="FC176" i="21"/>
  <c r="FB176" i="21"/>
  <c r="FC63" i="21"/>
  <c r="FB63" i="21"/>
  <c r="FC103" i="21"/>
  <c r="FB103" i="21"/>
  <c r="FC93" i="21"/>
  <c r="FB93" i="21"/>
  <c r="FC95" i="21"/>
  <c r="FB95" i="21"/>
  <c r="FC183" i="21"/>
  <c r="FB183" i="21"/>
  <c r="FC16" i="21"/>
  <c r="FB16" i="21"/>
  <c r="FC66" i="21"/>
  <c r="FB66" i="21"/>
  <c r="FC159" i="21"/>
  <c r="FB159" i="21"/>
  <c r="FC13" i="21"/>
  <c r="FB13" i="21"/>
  <c r="FC75" i="21"/>
  <c r="FB75" i="21"/>
  <c r="FC31" i="21"/>
  <c r="FB31" i="21"/>
  <c r="FC20" i="21"/>
  <c r="FB20" i="21"/>
  <c r="FC76" i="21"/>
  <c r="FB76" i="21"/>
  <c r="FC167" i="21"/>
  <c r="FB167" i="21"/>
  <c r="FC162" i="21"/>
  <c r="FB162" i="21"/>
  <c r="FC61" i="21"/>
  <c r="FB61" i="21"/>
  <c r="FC68" i="21"/>
  <c r="FB68" i="21"/>
  <c r="FC100" i="21"/>
  <c r="FB100" i="21"/>
  <c r="FC201" i="21"/>
  <c r="FB201" i="21"/>
  <c r="FC160" i="21"/>
  <c r="FB160" i="21"/>
  <c r="FC27" i="21"/>
  <c r="FB27" i="21"/>
  <c r="FC169" i="21"/>
  <c r="FB169" i="21"/>
  <c r="FC199" i="21"/>
  <c r="FB199" i="21"/>
  <c r="FC168" i="21"/>
  <c r="FB168" i="21"/>
  <c r="FC91" i="21"/>
  <c r="FB91" i="21"/>
  <c r="FC35" i="21"/>
  <c r="FB35" i="21"/>
  <c r="FC193" i="21"/>
  <c r="FB193" i="21"/>
  <c r="FC175" i="21"/>
  <c r="FB175" i="21"/>
  <c r="FC101" i="21"/>
  <c r="FB101" i="21"/>
  <c r="FC17" i="21"/>
  <c r="FB17" i="21"/>
  <c r="FC182" i="21"/>
  <c r="FB182" i="21"/>
  <c r="FC40" i="21"/>
  <c r="FB40" i="21"/>
  <c r="FC131" i="21"/>
  <c r="FB131" i="21"/>
  <c r="FC144" i="21"/>
  <c r="FB144" i="21"/>
  <c r="FC12" i="21"/>
  <c r="FB12" i="21"/>
  <c r="FC85" i="21"/>
  <c r="FB85" i="21"/>
  <c r="FD181" i="21"/>
  <c r="FD173" i="21"/>
  <c r="FD114" i="21"/>
  <c r="FD70" i="21"/>
  <c r="FD90" i="21"/>
  <c r="FC89" i="21"/>
  <c r="FB89" i="21"/>
  <c r="FC23" i="21"/>
  <c r="FB23" i="21"/>
  <c r="FC192" i="21"/>
  <c r="FB192" i="21"/>
  <c r="FC157" i="21"/>
  <c r="FB157" i="21"/>
  <c r="FC177" i="21"/>
  <c r="FB177" i="21"/>
  <c r="FC108" i="21"/>
  <c r="FB108" i="21"/>
  <c r="CZ40" i="2"/>
  <c r="EZ40" i="2"/>
  <c r="CZ194" i="2"/>
  <c r="EZ194" i="2"/>
  <c r="CZ46" i="2"/>
  <c r="EZ46" i="2"/>
  <c r="DD179" i="2"/>
  <c r="FA179" i="2"/>
  <c r="CZ99" i="2"/>
  <c r="EZ99" i="2"/>
  <c r="CZ129" i="2"/>
  <c r="EZ129" i="2"/>
  <c r="DD48" i="2"/>
  <c r="FA48" i="2"/>
  <c r="CZ47" i="2"/>
  <c r="EZ47" i="2"/>
  <c r="CZ140" i="2"/>
  <c r="EZ140" i="2"/>
  <c r="DD191" i="2"/>
  <c r="FA191" i="2"/>
  <c r="DD173" i="2"/>
  <c r="FA173" i="2"/>
  <c r="DD196" i="2"/>
  <c r="FA196" i="2"/>
  <c r="DD26" i="2"/>
  <c r="FA26" i="2"/>
  <c r="CR79" i="2"/>
  <c r="EW79" i="2"/>
  <c r="CV33" i="2"/>
  <c r="EY33" i="2"/>
  <c r="EX33" i="2"/>
  <c r="CZ124" i="2"/>
  <c r="EZ124" i="2"/>
  <c r="DD162" i="2"/>
  <c r="FA162" i="2"/>
  <c r="DD96" i="2"/>
  <c r="FA96" i="2"/>
  <c r="CZ29" i="2"/>
  <c r="EZ29" i="2"/>
  <c r="CZ107" i="2"/>
  <c r="EZ107" i="2"/>
  <c r="DD45" i="2"/>
  <c r="FA45" i="2"/>
  <c r="CZ86" i="2"/>
  <c r="EZ86" i="2"/>
  <c r="DD147" i="2"/>
  <c r="FA147" i="2"/>
  <c r="CZ23" i="2"/>
  <c r="EZ23" i="2"/>
  <c r="CR30" i="2"/>
  <c r="EW30" i="2"/>
  <c r="CZ93" i="2"/>
  <c r="EZ93" i="2"/>
  <c r="CZ177" i="2"/>
  <c r="EZ177" i="2"/>
  <c r="CZ59" i="2"/>
  <c r="EZ59" i="2"/>
  <c r="CZ76" i="2"/>
  <c r="EZ76" i="2"/>
  <c r="DD150" i="2"/>
  <c r="FA150" i="2"/>
  <c r="DH157" i="2"/>
  <c r="DL157" i="2" s="1"/>
  <c r="DP157" i="2" s="1"/>
  <c r="DT157" i="2" s="1"/>
  <c r="DX157" i="2" s="1"/>
  <c r="FB157" i="2"/>
  <c r="DD62" i="2"/>
  <c r="FA62" i="2"/>
  <c r="DD36" i="2"/>
  <c r="FA36" i="2"/>
  <c r="DD125" i="2"/>
  <c r="FA125" i="2"/>
  <c r="DD51" i="2"/>
  <c r="FA51" i="2"/>
  <c r="CZ161" i="2"/>
  <c r="EZ161" i="2"/>
  <c r="DD74" i="2"/>
  <c r="FA74" i="2"/>
  <c r="CZ89" i="2"/>
  <c r="EZ89" i="2"/>
  <c r="DH116" i="2"/>
  <c r="DL116" i="2" s="1"/>
  <c r="DP116" i="2" s="1"/>
  <c r="DT116" i="2" s="1"/>
  <c r="DX116" i="2" s="1"/>
  <c r="FB116" i="2"/>
  <c r="DH100" i="2"/>
  <c r="DL100" i="2" s="1"/>
  <c r="DP100" i="2" s="1"/>
  <c r="DT100" i="2" s="1"/>
  <c r="DX100" i="2" s="1"/>
  <c r="FB100" i="2"/>
  <c r="DD87" i="2"/>
  <c r="FA87" i="2"/>
  <c r="CZ106" i="2"/>
  <c r="EZ106" i="2"/>
  <c r="DH94" i="2"/>
  <c r="DL94" i="2" s="1"/>
  <c r="DP94" i="2" s="1"/>
  <c r="DT94" i="2" s="1"/>
  <c r="DX94" i="2" s="1"/>
  <c r="FB94" i="2"/>
  <c r="CZ16" i="2"/>
  <c r="EZ16" i="2"/>
  <c r="DH70" i="2"/>
  <c r="DL70" i="2" s="1"/>
  <c r="DP70" i="2" s="1"/>
  <c r="DT70" i="2" s="1"/>
  <c r="DX70" i="2" s="1"/>
  <c r="FB70" i="2"/>
  <c r="DD159" i="2"/>
  <c r="FA159" i="2"/>
  <c r="CZ35" i="2"/>
  <c r="EZ35" i="2"/>
  <c r="DD139" i="2"/>
  <c r="FA139" i="2"/>
  <c r="CZ56" i="2"/>
  <c r="EZ56" i="2"/>
  <c r="CZ60" i="2"/>
  <c r="EZ60" i="2"/>
  <c r="CZ17" i="2"/>
  <c r="EZ17" i="2"/>
  <c r="CZ95" i="2"/>
  <c r="EZ95" i="2"/>
  <c r="CZ120" i="2"/>
  <c r="EZ120" i="2"/>
  <c r="DD156" i="2"/>
  <c r="FA156" i="2"/>
  <c r="DD188" i="2"/>
  <c r="FA188" i="2"/>
  <c r="CR73" i="2"/>
  <c r="EW73" i="2"/>
  <c r="DD195" i="2"/>
  <c r="FA195" i="2"/>
  <c r="CZ109" i="2"/>
  <c r="EZ109" i="2"/>
  <c r="DD12" i="2"/>
  <c r="FA12" i="2"/>
  <c r="CZ98" i="2"/>
  <c r="EZ98" i="2"/>
  <c r="CZ39" i="2"/>
  <c r="EZ39" i="2"/>
  <c r="CZ64" i="2"/>
  <c r="EZ64" i="2"/>
  <c r="CZ190" i="2"/>
  <c r="EZ190" i="2"/>
  <c r="DH27" i="2"/>
  <c r="DL27" i="2" s="1"/>
  <c r="DP27" i="2" s="1"/>
  <c r="DT27" i="2" s="1"/>
  <c r="DX27" i="2" s="1"/>
  <c r="FB27" i="2"/>
  <c r="CZ201" i="2"/>
  <c r="EZ201" i="2"/>
  <c r="CZ131" i="2"/>
  <c r="EZ131" i="2"/>
  <c r="CZ178" i="2"/>
  <c r="EZ178" i="2"/>
  <c r="CV153" i="2"/>
  <c r="EX153" i="2"/>
  <c r="EY153" i="2"/>
  <c r="DD143" i="2"/>
  <c r="FA143" i="2"/>
  <c r="CZ200" i="2"/>
  <c r="EZ200" i="2"/>
  <c r="CZ110" i="2"/>
  <c r="EZ110" i="2"/>
  <c r="CZ108" i="2"/>
  <c r="EZ108" i="2"/>
  <c r="DH63" i="2"/>
  <c r="DL63" i="2" s="1"/>
  <c r="DP63" i="2" s="1"/>
  <c r="DT63" i="2" s="1"/>
  <c r="DX63" i="2" s="1"/>
  <c r="FB63" i="2"/>
  <c r="DD130" i="2"/>
  <c r="FA130" i="2"/>
  <c r="DD92" i="2"/>
  <c r="FA92" i="2"/>
  <c r="DH20" i="2"/>
  <c r="DL20" i="2" s="1"/>
  <c r="DP20" i="2" s="1"/>
  <c r="DT20" i="2" s="1"/>
  <c r="DX20" i="2" s="1"/>
  <c r="FB20" i="2"/>
  <c r="CZ111" i="2"/>
  <c r="EZ111" i="2"/>
  <c r="CV10" i="2"/>
  <c r="EX10" i="2"/>
  <c r="EY10" i="2"/>
  <c r="DD172" i="2"/>
  <c r="FA172" i="2"/>
  <c r="CZ68" i="2"/>
  <c r="EZ68" i="2"/>
  <c r="CZ117" i="2"/>
  <c r="EZ117" i="2"/>
  <c r="CZ21" i="2"/>
  <c r="EZ21" i="2"/>
  <c r="DD78" i="2"/>
  <c r="FA78" i="2"/>
  <c r="CZ127" i="2"/>
  <c r="EZ127" i="2"/>
  <c r="CZ169" i="2"/>
  <c r="EZ169" i="2"/>
  <c r="CN193" i="2"/>
  <c r="EV193" i="2"/>
  <c r="CZ80" i="2"/>
  <c r="EZ80" i="2"/>
  <c r="DD166" i="2"/>
  <c r="FA166" i="2"/>
  <c r="CZ18" i="2"/>
  <c r="EZ18" i="2"/>
  <c r="CN9" i="2"/>
  <c r="EV9" i="2"/>
  <c r="DH119" i="2"/>
  <c r="DL119" i="2" s="1"/>
  <c r="DP119" i="2" s="1"/>
  <c r="DT119" i="2" s="1"/>
  <c r="DX119" i="2" s="1"/>
  <c r="FB119" i="2"/>
  <c r="CZ144" i="2"/>
  <c r="EZ144" i="2"/>
  <c r="DD155" i="2"/>
  <c r="FA155" i="2"/>
  <c r="DD197" i="2"/>
  <c r="FA197" i="2"/>
  <c r="CV72" i="2"/>
  <c r="EY72" i="2"/>
  <c r="EX72" i="2"/>
  <c r="CR103" i="2"/>
  <c r="EW103" i="2"/>
  <c r="CZ75" i="2"/>
  <c r="EZ75" i="2"/>
  <c r="CZ174" i="2"/>
  <c r="EZ174" i="2"/>
  <c r="CZ185" i="2"/>
  <c r="EZ185" i="2"/>
  <c r="CZ136" i="2"/>
  <c r="EZ136" i="2"/>
  <c r="CZ83" i="2"/>
  <c r="EZ83" i="2"/>
  <c r="CR8" i="2"/>
  <c r="EW8" i="2"/>
  <c r="DD158" i="2"/>
  <c r="FA158" i="2"/>
  <c r="DD138" i="2"/>
  <c r="FA138" i="2"/>
  <c r="DD77" i="2"/>
  <c r="FA77" i="2"/>
  <c r="CZ15" i="2"/>
  <c r="EZ15" i="2"/>
  <c r="CZ11" i="2"/>
  <c r="EZ11" i="2"/>
  <c r="DD57" i="2"/>
  <c r="FA57" i="2"/>
  <c r="CN43" i="2"/>
  <c r="EV43" i="2"/>
  <c r="CZ55" i="2"/>
  <c r="EZ55" i="2"/>
  <c r="DD118" i="2"/>
  <c r="FA118" i="2"/>
  <c r="CN189" i="2"/>
  <c r="EV189" i="2"/>
  <c r="CN132" i="2"/>
  <c r="EV132" i="2"/>
  <c r="CZ71" i="2"/>
  <c r="EZ71" i="2"/>
  <c r="DH160" i="2"/>
  <c r="DL160" i="2" s="1"/>
  <c r="DP160" i="2" s="1"/>
  <c r="DT160" i="2" s="1"/>
  <c r="DX160" i="2" s="1"/>
  <c r="FB160" i="2"/>
  <c r="DD28" i="2"/>
  <c r="FA28" i="2"/>
  <c r="CZ84" i="2"/>
  <c r="EZ84" i="2"/>
  <c r="EZ3" i="2"/>
  <c r="CZ148" i="2"/>
  <c r="EZ148" i="2"/>
  <c r="CZ142" i="2"/>
  <c r="EZ142" i="2"/>
  <c r="CZ186" i="2"/>
  <c r="EZ186" i="2"/>
  <c r="CZ126" i="2"/>
  <c r="EZ126" i="2"/>
  <c r="DD170" i="2"/>
  <c r="FA170" i="2"/>
  <c r="DD53" i="2"/>
  <c r="FA53" i="2"/>
  <c r="CZ146" i="2"/>
  <c r="EZ146" i="2"/>
  <c r="DD5" i="2"/>
  <c r="FA5" i="2"/>
  <c r="DH192" i="2"/>
  <c r="DL192" i="2" s="1"/>
  <c r="DP192" i="2" s="1"/>
  <c r="DT192" i="2" s="1"/>
  <c r="DX192" i="2" s="1"/>
  <c r="FB192" i="2"/>
  <c r="DD65" i="2"/>
  <c r="FA65" i="2"/>
  <c r="DD167" i="2"/>
  <c r="FA167" i="2"/>
  <c r="DH67" i="2"/>
  <c r="DL67" i="2" s="1"/>
  <c r="DP67" i="2" s="1"/>
  <c r="DT67" i="2" s="1"/>
  <c r="DX67" i="2" s="1"/>
  <c r="FB67" i="2"/>
  <c r="CZ22" i="2"/>
  <c r="EZ22" i="2"/>
  <c r="DD175" i="2"/>
  <c r="FA175" i="2"/>
  <c r="DD154" i="2"/>
  <c r="FA154" i="2"/>
  <c r="CZ7" i="2"/>
  <c r="EZ7" i="2"/>
  <c r="CN102" i="2"/>
  <c r="EV102" i="2"/>
  <c r="CV123" i="2"/>
  <c r="EX123" i="2"/>
  <c r="EY123" i="2"/>
  <c r="DD69" i="2"/>
  <c r="FA69" i="2"/>
  <c r="DD49" i="2"/>
  <c r="FA49" i="2"/>
  <c r="DH151" i="2"/>
  <c r="DL151" i="2" s="1"/>
  <c r="DP151" i="2" s="1"/>
  <c r="DT151" i="2" s="1"/>
  <c r="DX151" i="2" s="1"/>
  <c r="FB151" i="2"/>
  <c r="CZ115" i="2"/>
  <c r="EZ115" i="2"/>
  <c r="DD85" i="2"/>
  <c r="FA85" i="2"/>
  <c r="DD97" i="2"/>
  <c r="FA97" i="2"/>
  <c r="CZ180" i="2"/>
  <c r="EZ180" i="2"/>
  <c r="DD171" i="2"/>
  <c r="FA171" i="2"/>
  <c r="DH90" i="2"/>
  <c r="DL90" i="2" s="1"/>
  <c r="DP90" i="2" s="1"/>
  <c r="DT90" i="2" s="1"/>
  <c r="DX90" i="2" s="1"/>
  <c r="FB90" i="2"/>
  <c r="DD82" i="2"/>
  <c r="FA82" i="2"/>
  <c r="DD135" i="2"/>
  <c r="FA135" i="2"/>
  <c r="DD61" i="2"/>
  <c r="FA61" i="2"/>
  <c r="CZ182" i="2"/>
  <c r="EZ182" i="2"/>
  <c r="CZ52" i="2"/>
  <c r="EZ52" i="2"/>
  <c r="DD176" i="2"/>
  <c r="FA176" i="2"/>
  <c r="DH145" i="2"/>
  <c r="DL145" i="2" s="1"/>
  <c r="DP145" i="2" s="1"/>
  <c r="DT145" i="2" s="1"/>
  <c r="DX145" i="2" s="1"/>
  <c r="FB145" i="2"/>
  <c r="CZ137" i="2"/>
  <c r="EZ137" i="2"/>
  <c r="CV44" i="2"/>
  <c r="EX44" i="2"/>
  <c r="EY44" i="2"/>
  <c r="DD34" i="2"/>
  <c r="FA34" i="2"/>
  <c r="CR187" i="2"/>
  <c r="EW187" i="2"/>
  <c r="CN14" i="2"/>
  <c r="EV14" i="2"/>
  <c r="CZ152" i="2"/>
  <c r="EZ152" i="2"/>
  <c r="DD81" i="2"/>
  <c r="FA81" i="2"/>
  <c r="CZ25" i="2"/>
  <c r="EZ25" i="2"/>
  <c r="CZ24" i="2"/>
  <c r="EZ24" i="2"/>
  <c r="CZ134" i="2"/>
  <c r="EZ134" i="2"/>
  <c r="DD168" i="2"/>
  <c r="FA168" i="2"/>
  <c r="DD54" i="2"/>
  <c r="FA54" i="2"/>
  <c r="CZ37" i="2"/>
  <c r="EZ37" i="2"/>
  <c r="CV31" i="2"/>
  <c r="EX31" i="2"/>
  <c r="EY31" i="2"/>
  <c r="DD66" i="2"/>
  <c r="FA66" i="2"/>
  <c r="DD101" i="2"/>
  <c r="FA101" i="2"/>
  <c r="CR13" i="2"/>
  <c r="EW13" i="2"/>
  <c r="CZ133" i="2"/>
  <c r="EZ133" i="2"/>
  <c r="CZ32" i="2"/>
  <c r="EZ32" i="2"/>
  <c r="DD183" i="2"/>
  <c r="FA183" i="2"/>
  <c r="CZ91" i="2"/>
  <c r="EZ91" i="2"/>
  <c r="DH112" i="2"/>
  <c r="DL112" i="2" s="1"/>
  <c r="DP112" i="2" s="1"/>
  <c r="DT112" i="2" s="1"/>
  <c r="DX112" i="2" s="1"/>
  <c r="FB112" i="2"/>
  <c r="CZ163" i="2"/>
  <c r="EZ163" i="2"/>
  <c r="CZ41" i="2"/>
  <c r="EZ41" i="2"/>
  <c r="DD58" i="2"/>
  <c r="FA58" i="2"/>
  <c r="CZ113" i="2"/>
  <c r="EZ113" i="2"/>
  <c r="DD38" i="2"/>
  <c r="FA38" i="2"/>
  <c r="CZ184" i="2"/>
  <c r="EZ184" i="2"/>
  <c r="DD50" i="2"/>
  <c r="FA50" i="2"/>
  <c r="CZ164" i="2"/>
  <c r="EZ164" i="2"/>
  <c r="CZ42" i="2"/>
  <c r="EZ42" i="2"/>
  <c r="DH121" i="2"/>
  <c r="DL121" i="2" s="1"/>
  <c r="DP121" i="2" s="1"/>
  <c r="DT121" i="2" s="1"/>
  <c r="DX121" i="2" s="1"/>
  <c r="E121" i="1" s="1"/>
  <c r="FB121" i="2"/>
  <c r="CZ105" i="2"/>
  <c r="EZ105" i="2"/>
  <c r="DD88" i="2"/>
  <c r="FA88" i="2"/>
  <c r="CZ198" i="2"/>
  <c r="EZ198" i="2"/>
  <c r="CZ181" i="2"/>
  <c r="EZ181" i="2"/>
  <c r="CZ128" i="2"/>
  <c r="EZ128" i="2"/>
  <c r="CZ202" i="2"/>
  <c r="EZ202" i="2"/>
  <c r="CZ199" i="2"/>
  <c r="EZ199" i="2"/>
  <c r="CR6" i="2"/>
  <c r="EW6" i="2"/>
  <c r="CR4" i="2"/>
  <c r="EW4" i="2"/>
  <c r="CZ149" i="2"/>
  <c r="EZ149" i="2"/>
  <c r="CR19" i="2"/>
  <c r="EW19" i="2"/>
  <c r="DH114" i="2"/>
  <c r="DL114" i="2" s="1"/>
  <c r="DP114" i="2" s="1"/>
  <c r="DT114" i="2" s="1"/>
  <c r="DX114" i="2" s="1"/>
  <c r="FB114" i="2"/>
  <c r="FD84" i="21"/>
  <c r="FA7" i="21"/>
  <c r="EY7" i="21"/>
  <c r="CA187" i="5" l="1"/>
  <c r="DT187" i="5"/>
  <c r="DT175" i="5"/>
  <c r="CA175" i="5"/>
  <c r="DT105" i="5"/>
  <c r="CA105" i="5"/>
  <c r="CA121" i="5"/>
  <c r="DT121" i="5"/>
  <c r="DT140" i="5"/>
  <c r="CA140" i="5"/>
  <c r="CA177" i="5"/>
  <c r="DT177" i="5"/>
  <c r="CA122" i="5"/>
  <c r="DT122" i="5"/>
  <c r="CA172" i="5"/>
  <c r="DT172" i="5"/>
  <c r="CA123" i="5"/>
  <c r="DT123" i="5"/>
  <c r="CA128" i="5"/>
  <c r="DT128" i="5"/>
  <c r="CA163" i="5"/>
  <c r="DT163" i="5"/>
  <c r="DT176" i="5"/>
  <c r="CA176" i="5"/>
  <c r="CA124" i="5"/>
  <c r="DT124" i="5"/>
  <c r="CA141" i="5"/>
  <c r="DT141" i="5"/>
  <c r="DT168" i="5"/>
  <c r="CA168" i="5"/>
  <c r="CA126" i="5"/>
  <c r="DT126" i="5"/>
  <c r="DT133" i="5"/>
  <c r="CA133" i="5"/>
  <c r="CA184" i="5"/>
  <c r="DT184" i="5"/>
  <c r="CA201" i="5"/>
  <c r="DT201" i="5"/>
  <c r="DT179" i="5"/>
  <c r="CA179" i="5"/>
  <c r="CA183" i="5"/>
  <c r="DT183" i="5"/>
  <c r="DT171" i="5"/>
  <c r="CA171" i="5"/>
  <c r="CA181" i="5"/>
  <c r="DT181" i="5"/>
  <c r="DT182" i="5"/>
  <c r="CA182" i="5"/>
  <c r="DT185" i="5"/>
  <c r="CA185" i="5"/>
  <c r="CA138" i="5"/>
  <c r="DT138" i="5"/>
  <c r="DT170" i="5"/>
  <c r="CA170" i="5"/>
  <c r="CA125" i="5"/>
  <c r="DT125" i="5"/>
  <c r="DT186" i="5"/>
  <c r="CA186" i="5"/>
  <c r="DT143" i="5"/>
  <c r="CA143" i="5"/>
  <c r="CA161" i="5"/>
  <c r="DT161" i="5"/>
  <c r="CA180" i="5"/>
  <c r="DT180" i="5"/>
  <c r="CA142" i="5"/>
  <c r="DT142" i="5"/>
  <c r="CA137" i="5"/>
  <c r="DT137" i="5"/>
  <c r="DT174" i="5"/>
  <c r="CA174" i="5"/>
  <c r="DT169" i="5"/>
  <c r="CA169" i="5"/>
  <c r="CA162" i="5"/>
  <c r="DT162" i="5"/>
  <c r="CA178" i="5"/>
  <c r="DT178" i="5"/>
  <c r="BU3" i="5"/>
  <c r="DR3" i="5"/>
  <c r="FE150" i="21"/>
  <c r="FE163" i="21"/>
  <c r="FE141" i="21"/>
  <c r="FE115" i="21"/>
  <c r="FE113" i="21"/>
  <c r="FE53" i="21"/>
  <c r="FE118" i="21"/>
  <c r="FE112" i="21"/>
  <c r="FE8" i="21"/>
  <c r="FE166" i="21"/>
  <c r="FE50" i="21"/>
  <c r="FE128" i="21"/>
  <c r="FE52" i="21"/>
  <c r="FE145" i="21"/>
  <c r="FE196" i="21"/>
  <c r="FE154" i="21"/>
  <c r="FE140" i="21"/>
  <c r="FE45" i="21"/>
  <c r="FE197" i="21"/>
  <c r="FE29" i="21"/>
  <c r="FE44" i="21"/>
  <c r="FE47" i="21"/>
  <c r="FE147" i="21"/>
  <c r="FE22" i="21"/>
  <c r="FE139" i="21"/>
  <c r="FE152" i="21"/>
  <c r="FE33" i="21"/>
  <c r="FE188" i="21"/>
  <c r="FE55" i="21"/>
  <c r="FE127" i="21"/>
  <c r="FE187" i="21"/>
  <c r="FE120" i="21"/>
  <c r="DT3" i="21"/>
  <c r="FE3" i="21"/>
  <c r="FE48" i="21"/>
  <c r="FE4" i="21"/>
  <c r="FE164" i="21"/>
  <c r="FE109" i="21"/>
  <c r="FD143" i="21"/>
  <c r="FD136" i="21"/>
  <c r="FD87" i="21"/>
  <c r="FD83" i="21"/>
  <c r="FD82" i="21"/>
  <c r="FD9" i="21"/>
  <c r="FD73" i="21"/>
  <c r="FD122" i="21"/>
  <c r="FD117" i="21"/>
  <c r="FD28" i="21"/>
  <c r="FD37" i="21"/>
  <c r="FD42" i="21"/>
  <c r="FD142" i="21"/>
  <c r="FD129" i="21"/>
  <c r="FD137" i="21"/>
  <c r="FD104" i="21"/>
  <c r="E119" i="1"/>
  <c r="E104" i="1"/>
  <c r="FD151" i="21"/>
  <c r="FD67" i="21"/>
  <c r="FD92" i="21"/>
  <c r="FD186" i="21"/>
  <c r="FD40" i="21"/>
  <c r="FD72" i="21"/>
  <c r="FD78" i="21"/>
  <c r="FD198" i="21"/>
  <c r="FD185" i="21"/>
  <c r="FD85" i="21"/>
  <c r="FD175" i="21"/>
  <c r="FD81" i="21"/>
  <c r="FD86" i="21"/>
  <c r="FD13" i="21"/>
  <c r="FD99" i="21"/>
  <c r="FD27" i="21"/>
  <c r="FD68" i="21"/>
  <c r="FD183" i="21"/>
  <c r="FD131" i="21"/>
  <c r="FD32" i="21"/>
  <c r="FD91" i="21"/>
  <c r="FD192" i="21"/>
  <c r="FD89" i="21"/>
  <c r="FD177" i="21"/>
  <c r="FD182" i="21"/>
  <c r="FD66" i="21"/>
  <c r="FD23" i="21"/>
  <c r="FD93" i="21"/>
  <c r="FD193" i="21"/>
  <c r="FD201" i="21"/>
  <c r="FD108" i="21"/>
  <c r="FD12" i="21"/>
  <c r="FD190" i="21"/>
  <c r="FD31" i="21"/>
  <c r="FD199" i="21"/>
  <c r="FD162" i="21"/>
  <c r="FD168" i="21"/>
  <c r="FD103" i="21"/>
  <c r="FD159" i="21"/>
  <c r="FD88" i="21"/>
  <c r="FD16" i="21"/>
  <c r="FD169" i="21"/>
  <c r="FD75" i="21"/>
  <c r="FD35" i="21"/>
  <c r="FD158" i="21"/>
  <c r="FD160" i="21"/>
  <c r="FD100" i="21"/>
  <c r="FD61" i="21"/>
  <c r="FD167" i="21"/>
  <c r="FD20" i="21"/>
  <c r="FD64" i="21"/>
  <c r="FD94" i="21"/>
  <c r="FD25" i="21"/>
  <c r="FD96" i="21"/>
  <c r="FD14" i="21"/>
  <c r="FD176" i="21"/>
  <c r="FD95" i="21"/>
  <c r="CZ31" i="2"/>
  <c r="EZ31" i="2"/>
  <c r="DH54" i="2"/>
  <c r="DL54" i="2" s="1"/>
  <c r="DP54" i="2" s="1"/>
  <c r="DT54" i="2" s="1"/>
  <c r="DX54" i="2" s="1"/>
  <c r="FB54" i="2"/>
  <c r="DD134" i="2"/>
  <c r="FA134" i="2"/>
  <c r="DD25" i="2"/>
  <c r="FA25" i="2"/>
  <c r="DD152" i="2"/>
  <c r="FA152" i="2"/>
  <c r="CV187" i="2"/>
  <c r="EX187" i="2"/>
  <c r="EY187" i="2"/>
  <c r="DD182" i="2"/>
  <c r="FA182" i="2"/>
  <c r="DH135" i="2"/>
  <c r="DL135" i="2" s="1"/>
  <c r="DP135" i="2" s="1"/>
  <c r="DT135" i="2" s="1"/>
  <c r="DX135" i="2" s="1"/>
  <c r="FB135" i="2"/>
  <c r="DD180" i="2"/>
  <c r="FA180" i="2"/>
  <c r="DH85" i="2"/>
  <c r="DL85" i="2" s="1"/>
  <c r="DP85" i="2" s="1"/>
  <c r="DT85" i="2" s="1"/>
  <c r="DX85" i="2" s="1"/>
  <c r="FB85" i="2"/>
  <c r="DH69" i="2"/>
  <c r="DL69" i="2" s="1"/>
  <c r="DP69" i="2" s="1"/>
  <c r="DT69" i="2" s="1"/>
  <c r="DX69" i="2" s="1"/>
  <c r="FB69" i="2"/>
  <c r="CV103" i="2"/>
  <c r="EX103" i="2"/>
  <c r="EY103" i="2"/>
  <c r="CR193" i="2"/>
  <c r="EW193" i="2"/>
  <c r="DD127" i="2"/>
  <c r="FA127" i="2"/>
  <c r="DD21" i="2"/>
  <c r="FA21" i="2"/>
  <c r="DD68" i="2"/>
  <c r="FA68" i="2"/>
  <c r="DH143" i="2"/>
  <c r="DL143" i="2" s="1"/>
  <c r="DP143" i="2" s="1"/>
  <c r="DT143" i="2" s="1"/>
  <c r="DX143" i="2" s="1"/>
  <c r="FB143" i="2"/>
  <c r="CV19" i="2"/>
  <c r="EY19" i="2"/>
  <c r="EX19" i="2"/>
  <c r="CV4" i="2"/>
  <c r="EY4" i="2"/>
  <c r="EX4" i="2"/>
  <c r="DD199" i="2"/>
  <c r="FA199" i="2"/>
  <c r="DD128" i="2"/>
  <c r="FA128" i="2"/>
  <c r="DD198" i="2"/>
  <c r="FA198" i="2"/>
  <c r="DD105" i="2"/>
  <c r="FA105" i="2"/>
  <c r="DD42" i="2"/>
  <c r="FA42" i="2"/>
  <c r="DH50" i="2"/>
  <c r="DL50" i="2" s="1"/>
  <c r="DP50" i="2" s="1"/>
  <c r="DT50" i="2" s="1"/>
  <c r="DX50" i="2" s="1"/>
  <c r="E50" i="1" s="1"/>
  <c r="FB50" i="2"/>
  <c r="DH38" i="2"/>
  <c r="DL38" i="2" s="1"/>
  <c r="DP38" i="2" s="1"/>
  <c r="DT38" i="2" s="1"/>
  <c r="DX38" i="2" s="1"/>
  <c r="FB38" i="2"/>
  <c r="DH58" i="2"/>
  <c r="DL58" i="2" s="1"/>
  <c r="DP58" i="2" s="1"/>
  <c r="DT58" i="2" s="1"/>
  <c r="DX58" i="2" s="1"/>
  <c r="E58" i="1" s="1"/>
  <c r="FB58" i="2"/>
  <c r="DD163" i="2"/>
  <c r="FA163" i="2"/>
  <c r="DD91" i="2"/>
  <c r="FA91" i="2"/>
  <c r="DD32" i="2"/>
  <c r="FA32" i="2"/>
  <c r="CV13" i="2"/>
  <c r="EY13" i="2"/>
  <c r="EX13" i="2"/>
  <c r="DH66" i="2"/>
  <c r="DL66" i="2" s="1"/>
  <c r="DP66" i="2" s="1"/>
  <c r="DT66" i="2" s="1"/>
  <c r="DX66" i="2" s="1"/>
  <c r="FB66" i="2"/>
  <c r="CZ44" i="2"/>
  <c r="EZ44" i="2"/>
  <c r="DD52" i="2"/>
  <c r="FA52" i="2"/>
  <c r="CR102" i="2"/>
  <c r="EW102" i="2"/>
  <c r="DH154" i="2"/>
  <c r="DL154" i="2" s="1"/>
  <c r="DP154" i="2" s="1"/>
  <c r="DT154" i="2" s="1"/>
  <c r="DX154" i="2" s="1"/>
  <c r="E154" i="1" s="1"/>
  <c r="FB154" i="2"/>
  <c r="DD22" i="2"/>
  <c r="FA22" i="2"/>
  <c r="DH167" i="2"/>
  <c r="DL167" i="2" s="1"/>
  <c r="DP167" i="2" s="1"/>
  <c r="DT167" i="2" s="1"/>
  <c r="DX167" i="2" s="1"/>
  <c r="FB167" i="2"/>
  <c r="DD146" i="2"/>
  <c r="FA146" i="2"/>
  <c r="DH170" i="2"/>
  <c r="DL170" i="2" s="1"/>
  <c r="DP170" i="2" s="1"/>
  <c r="DT170" i="2" s="1"/>
  <c r="DX170" i="2" s="1"/>
  <c r="E170" i="1" s="1"/>
  <c r="FB170" i="2"/>
  <c r="DD186" i="2"/>
  <c r="FA186" i="2"/>
  <c r="DD148" i="2"/>
  <c r="FA148" i="2"/>
  <c r="DD84" i="2"/>
  <c r="FA84" i="2"/>
  <c r="CR132" i="2"/>
  <c r="EW132" i="2"/>
  <c r="DH118" i="2"/>
  <c r="DL118" i="2" s="1"/>
  <c r="DP118" i="2" s="1"/>
  <c r="DT118" i="2" s="1"/>
  <c r="DX118" i="2" s="1"/>
  <c r="FB118" i="2"/>
  <c r="CR43" i="2"/>
  <c r="EW43" i="2"/>
  <c r="DD11" i="2"/>
  <c r="FA11" i="2"/>
  <c r="DH77" i="2"/>
  <c r="DL77" i="2" s="1"/>
  <c r="DP77" i="2" s="1"/>
  <c r="DT77" i="2" s="1"/>
  <c r="DX77" i="2" s="1"/>
  <c r="FB77" i="2"/>
  <c r="DH158" i="2"/>
  <c r="DL158" i="2" s="1"/>
  <c r="DP158" i="2" s="1"/>
  <c r="DT158" i="2" s="1"/>
  <c r="DX158" i="2" s="1"/>
  <c r="E158" i="1" s="1"/>
  <c r="FB158" i="2"/>
  <c r="DD83" i="2"/>
  <c r="FA83" i="2"/>
  <c r="DD185" i="2"/>
  <c r="FA185" i="2"/>
  <c r="DD75" i="2"/>
  <c r="FA75" i="2"/>
  <c r="DH197" i="2"/>
  <c r="DL197" i="2" s="1"/>
  <c r="DP197" i="2" s="1"/>
  <c r="DT197" i="2" s="1"/>
  <c r="DX197" i="2" s="1"/>
  <c r="FB197" i="2"/>
  <c r="DD144" i="2"/>
  <c r="FA144" i="2"/>
  <c r="CR9" i="2"/>
  <c r="EW9" i="2"/>
  <c r="DH166" i="2"/>
  <c r="DL166" i="2" s="1"/>
  <c r="DP166" i="2" s="1"/>
  <c r="DT166" i="2" s="1"/>
  <c r="DX166" i="2" s="1"/>
  <c r="FB166" i="2"/>
  <c r="CZ10" i="2"/>
  <c r="EZ10" i="2"/>
  <c r="DH130" i="2"/>
  <c r="DL130" i="2" s="1"/>
  <c r="DP130" i="2" s="1"/>
  <c r="DT130" i="2" s="1"/>
  <c r="DX130" i="2" s="1"/>
  <c r="FB130" i="2"/>
  <c r="DD108" i="2"/>
  <c r="FA108" i="2"/>
  <c r="DD178" i="2"/>
  <c r="FA178" i="2"/>
  <c r="DD201" i="2"/>
  <c r="FA201" i="2"/>
  <c r="DD190" i="2"/>
  <c r="FA190" i="2"/>
  <c r="DD39" i="2"/>
  <c r="FA39" i="2"/>
  <c r="DH12" i="2"/>
  <c r="DL12" i="2" s="1"/>
  <c r="DP12" i="2" s="1"/>
  <c r="DT12" i="2" s="1"/>
  <c r="DX12" i="2" s="1"/>
  <c r="E12" i="1" s="1"/>
  <c r="FB12" i="2"/>
  <c r="DH195" i="2"/>
  <c r="DL195" i="2" s="1"/>
  <c r="DP195" i="2" s="1"/>
  <c r="DT195" i="2" s="1"/>
  <c r="DX195" i="2" s="1"/>
  <c r="FB195" i="2"/>
  <c r="DH188" i="2"/>
  <c r="DL188" i="2" s="1"/>
  <c r="DP188" i="2" s="1"/>
  <c r="DT188" i="2" s="1"/>
  <c r="DX188" i="2" s="1"/>
  <c r="FB188" i="2"/>
  <c r="DD120" i="2"/>
  <c r="FA120" i="2"/>
  <c r="DD17" i="2"/>
  <c r="FA17" i="2"/>
  <c r="DD56" i="2"/>
  <c r="FA56" i="2"/>
  <c r="DD35" i="2"/>
  <c r="FA35" i="2"/>
  <c r="DH87" i="2"/>
  <c r="DL87" i="2" s="1"/>
  <c r="DP87" i="2" s="1"/>
  <c r="DT87" i="2" s="1"/>
  <c r="DX87" i="2" s="1"/>
  <c r="FB87" i="2"/>
  <c r="DH74" i="2"/>
  <c r="DL74" i="2" s="1"/>
  <c r="DP74" i="2" s="1"/>
  <c r="DT74" i="2" s="1"/>
  <c r="DX74" i="2" s="1"/>
  <c r="E74" i="1" s="1"/>
  <c r="FB74" i="2"/>
  <c r="DH51" i="2"/>
  <c r="DL51" i="2" s="1"/>
  <c r="DP51" i="2" s="1"/>
  <c r="DT51" i="2" s="1"/>
  <c r="DX51" i="2" s="1"/>
  <c r="FB51" i="2"/>
  <c r="DH36" i="2"/>
  <c r="DL36" i="2" s="1"/>
  <c r="DP36" i="2" s="1"/>
  <c r="DT36" i="2" s="1"/>
  <c r="DX36" i="2" s="1"/>
  <c r="FB36" i="2"/>
  <c r="DD76" i="2"/>
  <c r="FA76" i="2"/>
  <c r="DD177" i="2"/>
  <c r="FA177" i="2"/>
  <c r="CV30" i="2"/>
  <c r="EX30" i="2"/>
  <c r="EY30" i="2"/>
  <c r="DH147" i="2"/>
  <c r="DL147" i="2" s="1"/>
  <c r="DP147" i="2" s="1"/>
  <c r="DT147" i="2" s="1"/>
  <c r="DX147" i="2" s="1"/>
  <c r="FB147" i="2"/>
  <c r="DH45" i="2"/>
  <c r="DL45" i="2" s="1"/>
  <c r="DP45" i="2" s="1"/>
  <c r="DT45" i="2" s="1"/>
  <c r="DX45" i="2" s="1"/>
  <c r="FB45" i="2"/>
  <c r="DD29" i="2"/>
  <c r="FA29" i="2"/>
  <c r="DH162" i="2"/>
  <c r="DL162" i="2" s="1"/>
  <c r="DP162" i="2" s="1"/>
  <c r="DT162" i="2" s="1"/>
  <c r="DX162" i="2" s="1"/>
  <c r="FB162" i="2"/>
  <c r="CV79" i="2"/>
  <c r="EX79" i="2"/>
  <c r="EY79" i="2"/>
  <c r="DH196" i="2"/>
  <c r="DL196" i="2" s="1"/>
  <c r="DP196" i="2" s="1"/>
  <c r="DT196" i="2" s="1"/>
  <c r="DX196" i="2" s="1"/>
  <c r="FB196" i="2"/>
  <c r="DH191" i="2"/>
  <c r="DL191" i="2" s="1"/>
  <c r="DP191" i="2" s="1"/>
  <c r="DT191" i="2" s="1"/>
  <c r="DX191" i="2" s="1"/>
  <c r="FB191" i="2"/>
  <c r="DD47" i="2"/>
  <c r="FA47" i="2"/>
  <c r="DD129" i="2"/>
  <c r="FA129" i="2"/>
  <c r="DH179" i="2"/>
  <c r="DL179" i="2" s="1"/>
  <c r="DP179" i="2" s="1"/>
  <c r="DT179" i="2" s="1"/>
  <c r="DX179" i="2" s="1"/>
  <c r="FB179" i="2"/>
  <c r="DD46" i="2"/>
  <c r="FA46" i="2"/>
  <c r="DD40" i="2"/>
  <c r="FA40" i="2"/>
  <c r="DD37" i="2"/>
  <c r="FA37" i="2"/>
  <c r="DH168" i="2"/>
  <c r="DL168" i="2" s="1"/>
  <c r="DP168" i="2" s="1"/>
  <c r="DT168" i="2" s="1"/>
  <c r="DX168" i="2" s="1"/>
  <c r="FB168" i="2"/>
  <c r="DD24" i="2"/>
  <c r="FA24" i="2"/>
  <c r="DH81" i="2"/>
  <c r="DL81" i="2" s="1"/>
  <c r="DP81" i="2" s="1"/>
  <c r="DT81" i="2" s="1"/>
  <c r="DX81" i="2" s="1"/>
  <c r="FB81" i="2"/>
  <c r="CR14" i="2"/>
  <c r="EW14" i="2"/>
  <c r="DH34" i="2"/>
  <c r="DL34" i="2" s="1"/>
  <c r="DP34" i="2" s="1"/>
  <c r="DT34" i="2" s="1"/>
  <c r="DX34" i="2" s="1"/>
  <c r="E34" i="1" s="1"/>
  <c r="FB34" i="2"/>
  <c r="DH61" i="2"/>
  <c r="DL61" i="2" s="1"/>
  <c r="DP61" i="2" s="1"/>
  <c r="DT61" i="2" s="1"/>
  <c r="DX61" i="2" s="1"/>
  <c r="FB61" i="2"/>
  <c r="DH82" i="2"/>
  <c r="DL82" i="2" s="1"/>
  <c r="DP82" i="2" s="1"/>
  <c r="DT82" i="2" s="1"/>
  <c r="DX82" i="2" s="1"/>
  <c r="FB82" i="2"/>
  <c r="DH171" i="2"/>
  <c r="DL171" i="2" s="1"/>
  <c r="DP171" i="2" s="1"/>
  <c r="DT171" i="2" s="1"/>
  <c r="DX171" i="2" s="1"/>
  <c r="FB171" i="2"/>
  <c r="DH97" i="2"/>
  <c r="DL97" i="2" s="1"/>
  <c r="DP97" i="2" s="1"/>
  <c r="DT97" i="2" s="1"/>
  <c r="DX97" i="2" s="1"/>
  <c r="FB97" i="2"/>
  <c r="DD115" i="2"/>
  <c r="FA115" i="2"/>
  <c r="DH49" i="2"/>
  <c r="DL49" i="2" s="1"/>
  <c r="DP49" i="2" s="1"/>
  <c r="DT49" i="2" s="1"/>
  <c r="DX49" i="2" s="1"/>
  <c r="FB49" i="2"/>
  <c r="DD169" i="2"/>
  <c r="FA169" i="2"/>
  <c r="DH78" i="2"/>
  <c r="DL78" i="2" s="1"/>
  <c r="DP78" i="2" s="1"/>
  <c r="DT78" i="2" s="1"/>
  <c r="DX78" i="2" s="1"/>
  <c r="FB78" i="2"/>
  <c r="DD117" i="2"/>
  <c r="FA117" i="2"/>
  <c r="DH172" i="2"/>
  <c r="DL172" i="2" s="1"/>
  <c r="DP172" i="2" s="1"/>
  <c r="DT172" i="2" s="1"/>
  <c r="DX172" i="2" s="1"/>
  <c r="FB172" i="2"/>
  <c r="DD200" i="2"/>
  <c r="FA200" i="2"/>
  <c r="DD149" i="2"/>
  <c r="FA149" i="2"/>
  <c r="CV6" i="2"/>
  <c r="EX6" i="2"/>
  <c r="EY6" i="2"/>
  <c r="DD202" i="2"/>
  <c r="FA202" i="2"/>
  <c r="DD181" i="2"/>
  <c r="FA181" i="2"/>
  <c r="DH88" i="2"/>
  <c r="DL88" i="2" s="1"/>
  <c r="DP88" i="2" s="1"/>
  <c r="DT88" i="2" s="1"/>
  <c r="DX88" i="2" s="1"/>
  <c r="FB88" i="2"/>
  <c r="DD164" i="2"/>
  <c r="FA164" i="2"/>
  <c r="DD184" i="2"/>
  <c r="FA184" i="2"/>
  <c r="DD113" i="2"/>
  <c r="FA113" i="2"/>
  <c r="DD41" i="2"/>
  <c r="FA41" i="2"/>
  <c r="DH183" i="2"/>
  <c r="DL183" i="2" s="1"/>
  <c r="DP183" i="2" s="1"/>
  <c r="DT183" i="2" s="1"/>
  <c r="DX183" i="2" s="1"/>
  <c r="FB183" i="2"/>
  <c r="DD133" i="2"/>
  <c r="FA133" i="2"/>
  <c r="DH101" i="2"/>
  <c r="DL101" i="2" s="1"/>
  <c r="DP101" i="2" s="1"/>
  <c r="DT101" i="2" s="1"/>
  <c r="DX101" i="2" s="1"/>
  <c r="FB101" i="2"/>
  <c r="DD137" i="2"/>
  <c r="FA137" i="2"/>
  <c r="DH176" i="2"/>
  <c r="DL176" i="2" s="1"/>
  <c r="DP176" i="2" s="1"/>
  <c r="DT176" i="2" s="1"/>
  <c r="DX176" i="2" s="1"/>
  <c r="FB176" i="2"/>
  <c r="CZ123" i="2"/>
  <c r="EZ123" i="2"/>
  <c r="DD7" i="2"/>
  <c r="FA7" i="2"/>
  <c r="DH175" i="2"/>
  <c r="DL175" i="2" s="1"/>
  <c r="DP175" i="2" s="1"/>
  <c r="DT175" i="2" s="1"/>
  <c r="DX175" i="2" s="1"/>
  <c r="FB175" i="2"/>
  <c r="DH65" i="2"/>
  <c r="DL65" i="2" s="1"/>
  <c r="DP65" i="2" s="1"/>
  <c r="DT65" i="2" s="1"/>
  <c r="DX65" i="2" s="1"/>
  <c r="E65" i="1" s="1"/>
  <c r="FB65" i="2"/>
  <c r="DH5" i="2"/>
  <c r="DL5" i="2" s="1"/>
  <c r="DP5" i="2" s="1"/>
  <c r="DT5" i="2" s="1"/>
  <c r="DX5" i="2" s="1"/>
  <c r="E5" i="1" s="1"/>
  <c r="FB5" i="2"/>
  <c r="DH53" i="2"/>
  <c r="DL53" i="2" s="1"/>
  <c r="DP53" i="2" s="1"/>
  <c r="DT53" i="2" s="1"/>
  <c r="DX53" i="2" s="1"/>
  <c r="FB53" i="2"/>
  <c r="DD126" i="2"/>
  <c r="FA126" i="2"/>
  <c r="DD142" i="2"/>
  <c r="FA142" i="2"/>
  <c r="DD3" i="2"/>
  <c r="FA3" i="2"/>
  <c r="DH28" i="2"/>
  <c r="DL28" i="2" s="1"/>
  <c r="DP28" i="2" s="1"/>
  <c r="DT28" i="2" s="1"/>
  <c r="DX28" i="2" s="1"/>
  <c r="FB28" i="2"/>
  <c r="DD71" i="2"/>
  <c r="FA71" i="2"/>
  <c r="CR189" i="2"/>
  <c r="EW189" i="2"/>
  <c r="DD55" i="2"/>
  <c r="FA55" i="2"/>
  <c r="DH57" i="2"/>
  <c r="DL57" i="2" s="1"/>
  <c r="DP57" i="2" s="1"/>
  <c r="DT57" i="2" s="1"/>
  <c r="DX57" i="2" s="1"/>
  <c r="FB57" i="2"/>
  <c r="DD15" i="2"/>
  <c r="FA15" i="2"/>
  <c r="DH138" i="2"/>
  <c r="DL138" i="2" s="1"/>
  <c r="DP138" i="2" s="1"/>
  <c r="DT138" i="2" s="1"/>
  <c r="DX138" i="2" s="1"/>
  <c r="E138" i="1" s="1"/>
  <c r="FB138" i="2"/>
  <c r="CV8" i="2"/>
  <c r="EY8" i="2"/>
  <c r="EX8" i="2"/>
  <c r="DD136" i="2"/>
  <c r="FA136" i="2"/>
  <c r="DD174" i="2"/>
  <c r="FA174" i="2"/>
  <c r="CZ72" i="2"/>
  <c r="EZ72" i="2"/>
  <c r="DH155" i="2"/>
  <c r="DL155" i="2" s="1"/>
  <c r="DP155" i="2" s="1"/>
  <c r="DT155" i="2" s="1"/>
  <c r="DX155" i="2" s="1"/>
  <c r="E155" i="1" s="1"/>
  <c r="FB155" i="2"/>
  <c r="DD18" i="2"/>
  <c r="FA18" i="2"/>
  <c r="DD80" i="2"/>
  <c r="FA80" i="2"/>
  <c r="DD111" i="2"/>
  <c r="FA111" i="2"/>
  <c r="DH92" i="2"/>
  <c r="DL92" i="2" s="1"/>
  <c r="DP92" i="2" s="1"/>
  <c r="DT92" i="2" s="1"/>
  <c r="DX92" i="2" s="1"/>
  <c r="E92" i="1" s="1"/>
  <c r="FB92" i="2"/>
  <c r="DD110" i="2"/>
  <c r="FA110" i="2"/>
  <c r="CZ153" i="2"/>
  <c r="EZ153" i="2"/>
  <c r="DD131" i="2"/>
  <c r="FA131" i="2"/>
  <c r="DD64" i="2"/>
  <c r="FA64" i="2"/>
  <c r="DD98" i="2"/>
  <c r="FA98" i="2"/>
  <c r="DD109" i="2"/>
  <c r="FA109" i="2"/>
  <c r="CV73" i="2"/>
  <c r="EX73" i="2"/>
  <c r="EY73" i="2"/>
  <c r="DH156" i="2"/>
  <c r="DL156" i="2" s="1"/>
  <c r="DP156" i="2" s="1"/>
  <c r="DT156" i="2" s="1"/>
  <c r="DX156" i="2" s="1"/>
  <c r="FB156" i="2"/>
  <c r="DD95" i="2"/>
  <c r="FA95" i="2"/>
  <c r="DD60" i="2"/>
  <c r="FA60" i="2"/>
  <c r="DH139" i="2"/>
  <c r="DL139" i="2" s="1"/>
  <c r="DP139" i="2" s="1"/>
  <c r="DT139" i="2" s="1"/>
  <c r="DX139" i="2" s="1"/>
  <c r="E139" i="1" s="1"/>
  <c r="FB139" i="2"/>
  <c r="DH159" i="2"/>
  <c r="DL159" i="2" s="1"/>
  <c r="DP159" i="2" s="1"/>
  <c r="DT159" i="2" s="1"/>
  <c r="DX159" i="2" s="1"/>
  <c r="E159" i="1" s="1"/>
  <c r="FB159" i="2"/>
  <c r="DD16" i="2"/>
  <c r="FA16" i="2"/>
  <c r="DD106" i="2"/>
  <c r="FA106" i="2"/>
  <c r="DD89" i="2"/>
  <c r="FA89" i="2"/>
  <c r="DD161" i="2"/>
  <c r="FA161" i="2"/>
  <c r="DH125" i="2"/>
  <c r="DL125" i="2" s="1"/>
  <c r="DP125" i="2" s="1"/>
  <c r="DT125" i="2" s="1"/>
  <c r="DX125" i="2" s="1"/>
  <c r="E114" i="1" s="1"/>
  <c r="FB125" i="2"/>
  <c r="DH62" i="2"/>
  <c r="DL62" i="2" s="1"/>
  <c r="DP62" i="2" s="1"/>
  <c r="DT62" i="2" s="1"/>
  <c r="DX62" i="2" s="1"/>
  <c r="E62" i="1" s="1"/>
  <c r="FB62" i="2"/>
  <c r="DH150" i="2"/>
  <c r="DL150" i="2" s="1"/>
  <c r="DP150" i="2" s="1"/>
  <c r="DT150" i="2" s="1"/>
  <c r="DX150" i="2" s="1"/>
  <c r="FB150" i="2"/>
  <c r="DD59" i="2"/>
  <c r="FA59" i="2"/>
  <c r="DD93" i="2"/>
  <c r="FA93" i="2"/>
  <c r="DD23" i="2"/>
  <c r="FA23" i="2"/>
  <c r="DD86" i="2"/>
  <c r="FA86" i="2"/>
  <c r="DD107" i="2"/>
  <c r="FA107" i="2"/>
  <c r="DH96" i="2"/>
  <c r="DL96" i="2" s="1"/>
  <c r="DP96" i="2" s="1"/>
  <c r="DT96" i="2" s="1"/>
  <c r="DX96" i="2" s="1"/>
  <c r="FB96" i="2"/>
  <c r="DD124" i="2"/>
  <c r="FA124" i="2"/>
  <c r="CZ33" i="2"/>
  <c r="EZ33" i="2"/>
  <c r="DH26" i="2"/>
  <c r="DL26" i="2" s="1"/>
  <c r="DP26" i="2" s="1"/>
  <c r="DT26" i="2" s="1"/>
  <c r="DX26" i="2" s="1"/>
  <c r="E26" i="1" s="1"/>
  <c r="FB26" i="2"/>
  <c r="DH173" i="2"/>
  <c r="DL173" i="2" s="1"/>
  <c r="DP173" i="2" s="1"/>
  <c r="DT173" i="2" s="1"/>
  <c r="DX173" i="2" s="1"/>
  <c r="E160" i="1" s="1"/>
  <c r="FB173" i="2"/>
  <c r="DD140" i="2"/>
  <c r="FA140" i="2"/>
  <c r="DH48" i="2"/>
  <c r="DL48" i="2" s="1"/>
  <c r="DP48" i="2" s="1"/>
  <c r="DT48" i="2" s="1"/>
  <c r="DX48" i="2" s="1"/>
  <c r="FB48" i="2"/>
  <c r="DD99" i="2"/>
  <c r="FA99" i="2"/>
  <c r="DD194" i="2"/>
  <c r="FA194" i="2"/>
  <c r="EC203" i="21"/>
  <c r="D66" i="19" s="1"/>
  <c r="CD169" i="5" l="1"/>
  <c r="DU169" i="5"/>
  <c r="CD143" i="5"/>
  <c r="DU143" i="5"/>
  <c r="DU182" i="5"/>
  <c r="CD182" i="5"/>
  <c r="DU171" i="5"/>
  <c r="CD171" i="5"/>
  <c r="DU179" i="5"/>
  <c r="CD179" i="5"/>
  <c r="CD176" i="5"/>
  <c r="DU176" i="5"/>
  <c r="DU175" i="5"/>
  <c r="CD175" i="5"/>
  <c r="DU178" i="5"/>
  <c r="CD178" i="5"/>
  <c r="CD137" i="5"/>
  <c r="DU137" i="5"/>
  <c r="DU180" i="5"/>
  <c r="CD180" i="5"/>
  <c r="CD125" i="5"/>
  <c r="DU125" i="5"/>
  <c r="DU138" i="5"/>
  <c r="CD138" i="5"/>
  <c r="CD184" i="5"/>
  <c r="DU184" i="5"/>
  <c r="CD126" i="5"/>
  <c r="DU126" i="5"/>
  <c r="CD141" i="5"/>
  <c r="DU141" i="5"/>
  <c r="CD128" i="5"/>
  <c r="DU128" i="5"/>
  <c r="CD172" i="5"/>
  <c r="DU172" i="5"/>
  <c r="CD177" i="5"/>
  <c r="DU177" i="5"/>
  <c r="DU121" i="5"/>
  <c r="CD121" i="5"/>
  <c r="DU174" i="5"/>
  <c r="CD174" i="5"/>
  <c r="DU186" i="5"/>
  <c r="CD186" i="5"/>
  <c r="DU170" i="5"/>
  <c r="CD170" i="5"/>
  <c r="CD185" i="5"/>
  <c r="DU185" i="5"/>
  <c r="CD133" i="5"/>
  <c r="DU133" i="5"/>
  <c r="CD168" i="5"/>
  <c r="DU168" i="5"/>
  <c r="DU140" i="5"/>
  <c r="CD140" i="5"/>
  <c r="DU105" i="5"/>
  <c r="CD105" i="5"/>
  <c r="CD162" i="5"/>
  <c r="DU162" i="5"/>
  <c r="CD142" i="5"/>
  <c r="DU142" i="5"/>
  <c r="CD161" i="5"/>
  <c r="DU161" i="5"/>
  <c r="CD181" i="5"/>
  <c r="DU181" i="5"/>
  <c r="DU183" i="5"/>
  <c r="CD183" i="5"/>
  <c r="CD201" i="5"/>
  <c r="DU201" i="5"/>
  <c r="DU124" i="5"/>
  <c r="CD124" i="5"/>
  <c r="CD163" i="5"/>
  <c r="DU163" i="5"/>
  <c r="CD123" i="5"/>
  <c r="DU123" i="5"/>
  <c r="DU122" i="5"/>
  <c r="CD122" i="5"/>
  <c r="DU187" i="5"/>
  <c r="CD187" i="5"/>
  <c r="DS3" i="5"/>
  <c r="BX3" i="5"/>
  <c r="DX3" i="21"/>
  <c r="FG3" i="21" s="1"/>
  <c r="FG203" i="21" s="1"/>
  <c r="AH66" i="19" s="1"/>
  <c r="FF3" i="21"/>
  <c r="FF203" i="21" s="1"/>
  <c r="AG66" i="19" s="1"/>
  <c r="FE107" i="21"/>
  <c r="FE178" i="21"/>
  <c r="FE184" i="21"/>
  <c r="FE114" i="21"/>
  <c r="FE70" i="21"/>
  <c r="FE90" i="21"/>
  <c r="FE77" i="21"/>
  <c r="FE130" i="21"/>
  <c r="FE200" i="21"/>
  <c r="FE173" i="21"/>
  <c r="FE18" i="21"/>
  <c r="FE43" i="21"/>
  <c r="FE189" i="21"/>
  <c r="FE138" i="21"/>
  <c r="FE137" i="21"/>
  <c r="FE37" i="21"/>
  <c r="FE73" i="21"/>
  <c r="FE87" i="21"/>
  <c r="FE133" i="21"/>
  <c r="FE181" i="21"/>
  <c r="FE74" i="21"/>
  <c r="FE79" i="21"/>
  <c r="FE65" i="21"/>
  <c r="FE106" i="21"/>
  <c r="FE148" i="21"/>
  <c r="FE124" i="21"/>
  <c r="FE119" i="21"/>
  <c r="FE84" i="21"/>
  <c r="FE60" i="21"/>
  <c r="FE161" i="21"/>
  <c r="FE105" i="21"/>
  <c r="FE149" i="21"/>
  <c r="FE191" i="21"/>
  <c r="FE129" i="21"/>
  <c r="FE28" i="21"/>
  <c r="FE9" i="21"/>
  <c r="FE136" i="21"/>
  <c r="FE180" i="21"/>
  <c r="FE134" i="21"/>
  <c r="FE41" i="21"/>
  <c r="FE111" i="21"/>
  <c r="FE132" i="21"/>
  <c r="FE172" i="21"/>
  <c r="FE123" i="21"/>
  <c r="FE24" i="21"/>
  <c r="FE170" i="21"/>
  <c r="FE51" i="21"/>
  <c r="FE135" i="21"/>
  <c r="FE146" i="21"/>
  <c r="FE10" i="21"/>
  <c r="FE171" i="21"/>
  <c r="FE121" i="21"/>
  <c r="FE142" i="21"/>
  <c r="FE117" i="21"/>
  <c r="FE82" i="21"/>
  <c r="FE143" i="21"/>
  <c r="FE195" i="21"/>
  <c r="FE5" i="21"/>
  <c r="FE71" i="21"/>
  <c r="FE156" i="21"/>
  <c r="FE165" i="21"/>
  <c r="FE125" i="21"/>
  <c r="FE174" i="21"/>
  <c r="FE179" i="21"/>
  <c r="FE80" i="21"/>
  <c r="FE153" i="21"/>
  <c r="FE57" i="21"/>
  <c r="FE202" i="21"/>
  <c r="FE59" i="21"/>
  <c r="FE38" i="21"/>
  <c r="FE49" i="21"/>
  <c r="FE104" i="21"/>
  <c r="FE42" i="21"/>
  <c r="FE122" i="21"/>
  <c r="FE83" i="21"/>
  <c r="FE116" i="21"/>
  <c r="FE21" i="21"/>
  <c r="FE110" i="21"/>
  <c r="FE97" i="21"/>
  <c r="FD101" i="21"/>
  <c r="FD126" i="21"/>
  <c r="FD15" i="21"/>
  <c r="FD17" i="21"/>
  <c r="FD144" i="21"/>
  <c r="FD36" i="21"/>
  <c r="FD98" i="21"/>
  <c r="FD26" i="21"/>
  <c r="FD102" i="21"/>
  <c r="FD34" i="21"/>
  <c r="FD62" i="21"/>
  <c r="FD63" i="21"/>
  <c r="FD76" i="21"/>
  <c r="FD69" i="21"/>
  <c r="FD19" i="21"/>
  <c r="FD39" i="21"/>
  <c r="FD194" i="21"/>
  <c r="FD157" i="21"/>
  <c r="E77" i="1"/>
  <c r="E150" i="1"/>
  <c r="E45" i="1"/>
  <c r="E143" i="1"/>
  <c r="E54" i="1"/>
  <c r="E66" i="1"/>
  <c r="E183" i="1"/>
  <c r="E147" i="1"/>
  <c r="E166" i="1"/>
  <c r="E49" i="1"/>
  <c r="E81" i="1"/>
  <c r="E36" i="1"/>
  <c r="E188" i="1"/>
  <c r="E167" i="1"/>
  <c r="E135" i="1"/>
  <c r="E88" i="1"/>
  <c r="E162" i="1"/>
  <c r="E38" i="1"/>
  <c r="E157" i="1"/>
  <c r="E78" i="1"/>
  <c r="E61" i="1"/>
  <c r="E51" i="1"/>
  <c r="E118" i="1"/>
  <c r="E67" i="1"/>
  <c r="E57" i="1"/>
  <c r="E53" i="1"/>
  <c r="E70" i="1"/>
  <c r="FC7" i="21"/>
  <c r="FB7" i="21"/>
  <c r="DH109" i="2"/>
  <c r="DL109" i="2" s="1"/>
  <c r="DP109" i="2" s="1"/>
  <c r="DT109" i="2" s="1"/>
  <c r="DX109" i="2" s="1"/>
  <c r="E109" i="1" s="1"/>
  <c r="FB109" i="2"/>
  <c r="DH64" i="2"/>
  <c r="DL64" i="2" s="1"/>
  <c r="DP64" i="2" s="1"/>
  <c r="DT64" i="2" s="1"/>
  <c r="DX64" i="2" s="1"/>
  <c r="E64" i="1" s="1"/>
  <c r="FB64" i="2"/>
  <c r="DD153" i="2"/>
  <c r="FA153" i="2"/>
  <c r="DH80" i="2"/>
  <c r="DL80" i="2" s="1"/>
  <c r="DP80" i="2" s="1"/>
  <c r="DT80" i="2" s="1"/>
  <c r="DX80" i="2" s="1"/>
  <c r="E80" i="1" s="1"/>
  <c r="FB80" i="2"/>
  <c r="DH174" i="2"/>
  <c r="DL174" i="2" s="1"/>
  <c r="DP174" i="2" s="1"/>
  <c r="DT174" i="2" s="1"/>
  <c r="DX174" i="2" s="1"/>
  <c r="E174" i="1" s="1"/>
  <c r="FB174" i="2"/>
  <c r="CZ6" i="2"/>
  <c r="EZ6" i="2"/>
  <c r="DH200" i="2"/>
  <c r="DL200" i="2" s="1"/>
  <c r="DP200" i="2" s="1"/>
  <c r="DT200" i="2" s="1"/>
  <c r="DX200" i="2" s="1"/>
  <c r="FB200" i="2"/>
  <c r="DH117" i="2"/>
  <c r="DL117" i="2" s="1"/>
  <c r="DP117" i="2" s="1"/>
  <c r="DT117" i="2" s="1"/>
  <c r="DX117" i="2" s="1"/>
  <c r="FB117" i="2"/>
  <c r="DH169" i="2"/>
  <c r="DL169" i="2" s="1"/>
  <c r="DP169" i="2" s="1"/>
  <c r="DT169" i="2" s="1"/>
  <c r="DX169" i="2" s="1"/>
  <c r="E169" i="1" s="1"/>
  <c r="FB169" i="2"/>
  <c r="DH46" i="2"/>
  <c r="DL46" i="2" s="1"/>
  <c r="DP46" i="2" s="1"/>
  <c r="DT46" i="2" s="1"/>
  <c r="DX46" i="2" s="1"/>
  <c r="E46" i="1" s="1"/>
  <c r="FB46" i="2"/>
  <c r="DH129" i="2"/>
  <c r="DL129" i="2" s="1"/>
  <c r="DP129" i="2" s="1"/>
  <c r="DT129" i="2" s="1"/>
  <c r="DX129" i="2" s="1"/>
  <c r="E129" i="1" s="1"/>
  <c r="FB129" i="2"/>
  <c r="CZ30" i="2"/>
  <c r="EZ30" i="2"/>
  <c r="DH76" i="2"/>
  <c r="DL76" i="2" s="1"/>
  <c r="DP76" i="2" s="1"/>
  <c r="DT76" i="2" s="1"/>
  <c r="DX76" i="2" s="1"/>
  <c r="E69" i="1" s="1"/>
  <c r="FB76" i="2"/>
  <c r="DH56" i="2"/>
  <c r="DL56" i="2" s="1"/>
  <c r="DP56" i="2" s="1"/>
  <c r="DT56" i="2" s="1"/>
  <c r="DX56" i="2" s="1"/>
  <c r="FB56" i="2"/>
  <c r="DH120" i="2"/>
  <c r="DL120" i="2" s="1"/>
  <c r="DP120" i="2" s="1"/>
  <c r="DT120" i="2" s="1"/>
  <c r="DX120" i="2" s="1"/>
  <c r="FB120" i="2"/>
  <c r="DH39" i="2"/>
  <c r="DL39" i="2" s="1"/>
  <c r="DP39" i="2" s="1"/>
  <c r="DT39" i="2" s="1"/>
  <c r="DX39" i="2" s="1"/>
  <c r="E39" i="1" s="1"/>
  <c r="FB39" i="2"/>
  <c r="DH201" i="2"/>
  <c r="DL201" i="2" s="1"/>
  <c r="DP201" i="2" s="1"/>
  <c r="DT201" i="2" s="1"/>
  <c r="DX201" i="2" s="1"/>
  <c r="FB201" i="2"/>
  <c r="DH108" i="2"/>
  <c r="DL108" i="2" s="1"/>
  <c r="DP108" i="2" s="1"/>
  <c r="DT108" i="2" s="1"/>
  <c r="DX108" i="2" s="1"/>
  <c r="E108" i="1" s="1"/>
  <c r="FB108" i="2"/>
  <c r="DD10" i="2"/>
  <c r="FA10" i="2"/>
  <c r="CV9" i="2"/>
  <c r="EY9" i="2"/>
  <c r="EX9" i="2"/>
  <c r="DH185" i="2"/>
  <c r="DL185" i="2" s="1"/>
  <c r="DP185" i="2" s="1"/>
  <c r="DT185" i="2" s="1"/>
  <c r="DX185" i="2" s="1"/>
  <c r="FB185" i="2"/>
  <c r="DH11" i="2"/>
  <c r="DL11" i="2" s="1"/>
  <c r="DP11" i="2" s="1"/>
  <c r="DT11" i="2" s="1"/>
  <c r="DX11" i="2" s="1"/>
  <c r="E11" i="1" s="1"/>
  <c r="FB11" i="2"/>
  <c r="DH84" i="2"/>
  <c r="DL84" i="2" s="1"/>
  <c r="DP84" i="2" s="1"/>
  <c r="DT84" i="2" s="1"/>
  <c r="DX84" i="2" s="1"/>
  <c r="E84" i="1" s="1"/>
  <c r="FB84" i="2"/>
  <c r="DH186" i="2"/>
  <c r="DL186" i="2" s="1"/>
  <c r="DP186" i="2" s="1"/>
  <c r="DT186" i="2" s="1"/>
  <c r="DX186" i="2" s="1"/>
  <c r="E186" i="1" s="1"/>
  <c r="FB186" i="2"/>
  <c r="DH146" i="2"/>
  <c r="DL146" i="2" s="1"/>
  <c r="DP146" i="2" s="1"/>
  <c r="DT146" i="2" s="1"/>
  <c r="DX146" i="2" s="1"/>
  <c r="E146" i="1" s="1"/>
  <c r="FB146" i="2"/>
  <c r="DH22" i="2"/>
  <c r="DL22" i="2" s="1"/>
  <c r="DP22" i="2" s="1"/>
  <c r="DT22" i="2" s="1"/>
  <c r="DX22" i="2" s="1"/>
  <c r="FB22" i="2"/>
  <c r="CV102" i="2"/>
  <c r="EX102" i="2"/>
  <c r="EY102" i="2"/>
  <c r="DD44" i="2"/>
  <c r="FA44" i="2"/>
  <c r="DH21" i="2"/>
  <c r="DL21" i="2" s="1"/>
  <c r="DP21" i="2" s="1"/>
  <c r="DT21" i="2" s="1"/>
  <c r="DX21" i="2" s="1"/>
  <c r="FB21" i="2"/>
  <c r="CV193" i="2"/>
  <c r="EX193" i="2"/>
  <c r="EY193" i="2"/>
  <c r="CZ187" i="2"/>
  <c r="EZ187" i="2"/>
  <c r="DH25" i="2"/>
  <c r="DL25" i="2" s="1"/>
  <c r="DP25" i="2" s="1"/>
  <c r="DT25" i="2" s="1"/>
  <c r="DX25" i="2" s="1"/>
  <c r="E25" i="1" s="1"/>
  <c r="FB25" i="2"/>
  <c r="DD33" i="2"/>
  <c r="FA33" i="2"/>
  <c r="DH86" i="2"/>
  <c r="DL86" i="2" s="1"/>
  <c r="DP86" i="2" s="1"/>
  <c r="DT86" i="2" s="1"/>
  <c r="DX86" i="2" s="1"/>
  <c r="E86" i="1" s="1"/>
  <c r="FB86" i="2"/>
  <c r="DH93" i="2"/>
  <c r="DL93" i="2" s="1"/>
  <c r="DP93" i="2" s="1"/>
  <c r="DT93" i="2" s="1"/>
  <c r="DX93" i="2" s="1"/>
  <c r="E93" i="1" s="1"/>
  <c r="FB93" i="2"/>
  <c r="DH89" i="2"/>
  <c r="DL89" i="2" s="1"/>
  <c r="DP89" i="2" s="1"/>
  <c r="DT89" i="2" s="1"/>
  <c r="DX89" i="2" s="1"/>
  <c r="E89" i="1" s="1"/>
  <c r="FB89" i="2"/>
  <c r="DH16" i="2"/>
  <c r="DL16" i="2" s="1"/>
  <c r="DP16" i="2" s="1"/>
  <c r="DT16" i="2" s="1"/>
  <c r="DX16" i="2" s="1"/>
  <c r="E16" i="1" s="1"/>
  <c r="FB16" i="2"/>
  <c r="DH95" i="2"/>
  <c r="DL95" i="2" s="1"/>
  <c r="DP95" i="2" s="1"/>
  <c r="DT95" i="2" s="1"/>
  <c r="DX95" i="2" s="1"/>
  <c r="E95" i="1" s="1"/>
  <c r="FB95" i="2"/>
  <c r="CZ8" i="2"/>
  <c r="EZ8" i="2"/>
  <c r="DH15" i="2"/>
  <c r="DL15" i="2" s="1"/>
  <c r="DP15" i="2" s="1"/>
  <c r="DT15" i="2" s="1"/>
  <c r="DX15" i="2" s="1"/>
  <c r="E15" i="1" s="1"/>
  <c r="FB15" i="2"/>
  <c r="DH55" i="2"/>
  <c r="DL55" i="2" s="1"/>
  <c r="DP55" i="2" s="1"/>
  <c r="DT55" i="2" s="1"/>
  <c r="DX55" i="2" s="1"/>
  <c r="FB55" i="2"/>
  <c r="DH71" i="2"/>
  <c r="DL71" i="2" s="1"/>
  <c r="DP71" i="2" s="1"/>
  <c r="DT71" i="2" s="1"/>
  <c r="DX71" i="2" s="1"/>
  <c r="E71" i="1" s="1"/>
  <c r="FB71" i="2"/>
  <c r="DH3" i="2"/>
  <c r="DL3" i="2" s="1"/>
  <c r="DP3" i="2" s="1"/>
  <c r="DT3" i="2" s="1"/>
  <c r="DX3" i="2" s="1"/>
  <c r="E3" i="1" s="1"/>
  <c r="FB3" i="2"/>
  <c r="DH126" i="2"/>
  <c r="DL126" i="2" s="1"/>
  <c r="DP126" i="2" s="1"/>
  <c r="DT126" i="2" s="1"/>
  <c r="DX126" i="2" s="1"/>
  <c r="E126" i="1" s="1"/>
  <c r="FB126" i="2"/>
  <c r="DD123" i="2"/>
  <c r="FA123" i="2"/>
  <c r="DH137" i="2"/>
  <c r="DL137" i="2" s="1"/>
  <c r="DP137" i="2" s="1"/>
  <c r="DT137" i="2" s="1"/>
  <c r="DX137" i="2" s="1"/>
  <c r="FB137" i="2"/>
  <c r="DH133" i="2"/>
  <c r="DL133" i="2" s="1"/>
  <c r="DP133" i="2" s="1"/>
  <c r="DT133" i="2" s="1"/>
  <c r="DX133" i="2" s="1"/>
  <c r="E133" i="1" s="1"/>
  <c r="FB133" i="2"/>
  <c r="DH41" i="2"/>
  <c r="DL41" i="2" s="1"/>
  <c r="DP41" i="2" s="1"/>
  <c r="DT41" i="2" s="1"/>
  <c r="DX41" i="2" s="1"/>
  <c r="E41" i="1" s="1"/>
  <c r="FB41" i="2"/>
  <c r="DH184" i="2"/>
  <c r="DL184" i="2" s="1"/>
  <c r="DP184" i="2" s="1"/>
  <c r="DT184" i="2" s="1"/>
  <c r="DX184" i="2" s="1"/>
  <c r="FB184" i="2"/>
  <c r="DH202" i="2"/>
  <c r="DL202" i="2" s="1"/>
  <c r="DP202" i="2" s="1"/>
  <c r="DT202" i="2" s="1"/>
  <c r="DX202" i="2" s="1"/>
  <c r="E202" i="1" s="1"/>
  <c r="FB202" i="2"/>
  <c r="CZ79" i="2"/>
  <c r="EZ79" i="2"/>
  <c r="DH29" i="2"/>
  <c r="DL29" i="2" s="1"/>
  <c r="DP29" i="2" s="1"/>
  <c r="DT29" i="2" s="1"/>
  <c r="DX29" i="2" s="1"/>
  <c r="FB29" i="2"/>
  <c r="CZ13" i="2"/>
  <c r="EZ13" i="2"/>
  <c r="DH91" i="2"/>
  <c r="DL91" i="2" s="1"/>
  <c r="DP91" i="2" s="1"/>
  <c r="DT91" i="2" s="1"/>
  <c r="DX91" i="2" s="1"/>
  <c r="E145" i="1" s="1"/>
  <c r="FB91" i="2"/>
  <c r="DH105" i="2"/>
  <c r="DL105" i="2" s="1"/>
  <c r="DP105" i="2" s="1"/>
  <c r="DT105" i="2" s="1"/>
  <c r="DX105" i="2" s="1"/>
  <c r="E96" i="1" s="1"/>
  <c r="FB105" i="2"/>
  <c r="DH128" i="2"/>
  <c r="DL128" i="2" s="1"/>
  <c r="DP128" i="2" s="1"/>
  <c r="DT128" i="2" s="1"/>
  <c r="DX128" i="2" s="1"/>
  <c r="E128" i="1" s="1"/>
  <c r="FB128" i="2"/>
  <c r="CZ19" i="2"/>
  <c r="EZ19" i="2"/>
  <c r="DH180" i="2"/>
  <c r="DL180" i="2" s="1"/>
  <c r="DP180" i="2" s="1"/>
  <c r="DT180" i="2" s="1"/>
  <c r="DX180" i="2" s="1"/>
  <c r="FB180" i="2"/>
  <c r="DH182" i="2"/>
  <c r="DL182" i="2" s="1"/>
  <c r="DP182" i="2" s="1"/>
  <c r="DT182" i="2" s="1"/>
  <c r="DX182" i="2" s="1"/>
  <c r="E182" i="1" s="1"/>
  <c r="FB182" i="2"/>
  <c r="CZ73" i="2"/>
  <c r="EZ73" i="2"/>
  <c r="DH98" i="2"/>
  <c r="DL98" i="2" s="1"/>
  <c r="DP98" i="2" s="1"/>
  <c r="DT98" i="2" s="1"/>
  <c r="DX98" i="2" s="1"/>
  <c r="FB98" i="2"/>
  <c r="DH131" i="2"/>
  <c r="DL131" i="2" s="1"/>
  <c r="DP131" i="2" s="1"/>
  <c r="DT131" i="2" s="1"/>
  <c r="DX131" i="2" s="1"/>
  <c r="E131" i="1" s="1"/>
  <c r="FB131" i="2"/>
  <c r="DH110" i="2"/>
  <c r="DL110" i="2" s="1"/>
  <c r="DP110" i="2" s="1"/>
  <c r="DT110" i="2" s="1"/>
  <c r="DX110" i="2" s="1"/>
  <c r="FB110" i="2"/>
  <c r="DH111" i="2"/>
  <c r="DL111" i="2" s="1"/>
  <c r="DP111" i="2" s="1"/>
  <c r="DT111" i="2" s="1"/>
  <c r="DX111" i="2" s="1"/>
  <c r="E111" i="1" s="1"/>
  <c r="FB111" i="2"/>
  <c r="DH18" i="2"/>
  <c r="DL18" i="2" s="1"/>
  <c r="DP18" i="2" s="1"/>
  <c r="DT18" i="2" s="1"/>
  <c r="DX18" i="2" s="1"/>
  <c r="E18" i="1" s="1"/>
  <c r="FB18" i="2"/>
  <c r="DD72" i="2"/>
  <c r="FA72" i="2"/>
  <c r="DH136" i="2"/>
  <c r="DL136" i="2" s="1"/>
  <c r="DP136" i="2" s="1"/>
  <c r="DT136" i="2" s="1"/>
  <c r="DX136" i="2" s="1"/>
  <c r="FB136" i="2"/>
  <c r="DH149" i="2"/>
  <c r="DL149" i="2" s="1"/>
  <c r="DP149" i="2" s="1"/>
  <c r="DT149" i="2" s="1"/>
  <c r="DX149" i="2" s="1"/>
  <c r="E149" i="1" s="1"/>
  <c r="FB149" i="2"/>
  <c r="DH40" i="2"/>
  <c r="DL40" i="2" s="1"/>
  <c r="DP40" i="2" s="1"/>
  <c r="DT40" i="2" s="1"/>
  <c r="DX40" i="2" s="1"/>
  <c r="FB40" i="2"/>
  <c r="DH47" i="2"/>
  <c r="DL47" i="2" s="1"/>
  <c r="DP47" i="2" s="1"/>
  <c r="DT47" i="2" s="1"/>
  <c r="DX47" i="2" s="1"/>
  <c r="E47" i="1" s="1"/>
  <c r="FB47" i="2"/>
  <c r="DH177" i="2"/>
  <c r="DL177" i="2" s="1"/>
  <c r="DP177" i="2" s="1"/>
  <c r="DT177" i="2" s="1"/>
  <c r="DX177" i="2" s="1"/>
  <c r="E177" i="1" s="1"/>
  <c r="FB177" i="2"/>
  <c r="DH35" i="2"/>
  <c r="DL35" i="2" s="1"/>
  <c r="DP35" i="2" s="1"/>
  <c r="DT35" i="2" s="1"/>
  <c r="DX35" i="2" s="1"/>
  <c r="FB35" i="2"/>
  <c r="DH17" i="2"/>
  <c r="DL17" i="2" s="1"/>
  <c r="DP17" i="2" s="1"/>
  <c r="DT17" i="2" s="1"/>
  <c r="DX17" i="2" s="1"/>
  <c r="E17" i="1" s="1"/>
  <c r="FB17" i="2"/>
  <c r="DH190" i="2"/>
  <c r="DL190" i="2" s="1"/>
  <c r="DP190" i="2" s="1"/>
  <c r="DT190" i="2" s="1"/>
  <c r="DX190" i="2" s="1"/>
  <c r="E190" i="1" s="1"/>
  <c r="FB190" i="2"/>
  <c r="DH178" i="2"/>
  <c r="DL178" i="2" s="1"/>
  <c r="DP178" i="2" s="1"/>
  <c r="DT178" i="2" s="1"/>
  <c r="DX178" i="2" s="1"/>
  <c r="E178" i="1" s="1"/>
  <c r="FB178" i="2"/>
  <c r="DH144" i="2"/>
  <c r="DL144" i="2" s="1"/>
  <c r="DP144" i="2" s="1"/>
  <c r="DT144" i="2" s="1"/>
  <c r="DX144" i="2" s="1"/>
  <c r="E144" i="1" s="1"/>
  <c r="FB144" i="2"/>
  <c r="DH75" i="2"/>
  <c r="DL75" i="2" s="1"/>
  <c r="DP75" i="2" s="1"/>
  <c r="DT75" i="2" s="1"/>
  <c r="DX75" i="2" s="1"/>
  <c r="E75" i="1" s="1"/>
  <c r="FB75" i="2"/>
  <c r="DH83" i="2"/>
  <c r="DL83" i="2" s="1"/>
  <c r="DP83" i="2" s="1"/>
  <c r="DT83" i="2" s="1"/>
  <c r="DX83" i="2" s="1"/>
  <c r="E83" i="1" s="1"/>
  <c r="FB83" i="2"/>
  <c r="CV43" i="2"/>
  <c r="EX43" i="2"/>
  <c r="EY43" i="2"/>
  <c r="CV132" i="2"/>
  <c r="EY132" i="2"/>
  <c r="EX132" i="2"/>
  <c r="DH148" i="2"/>
  <c r="DL148" i="2" s="1"/>
  <c r="DP148" i="2" s="1"/>
  <c r="DT148" i="2" s="1"/>
  <c r="DX148" i="2" s="1"/>
  <c r="E148" i="1" s="1"/>
  <c r="FB148" i="2"/>
  <c r="DH52" i="2"/>
  <c r="DL52" i="2" s="1"/>
  <c r="DP52" i="2" s="1"/>
  <c r="DT52" i="2" s="1"/>
  <c r="DX52" i="2" s="1"/>
  <c r="E52" i="1" s="1"/>
  <c r="FB52" i="2"/>
  <c r="CZ4" i="2"/>
  <c r="EZ4" i="2"/>
  <c r="DH68" i="2"/>
  <c r="DL68" i="2" s="1"/>
  <c r="DP68" i="2" s="1"/>
  <c r="DT68" i="2" s="1"/>
  <c r="DX68" i="2" s="1"/>
  <c r="FB68" i="2"/>
  <c r="DH127" i="2"/>
  <c r="DL127" i="2" s="1"/>
  <c r="DP127" i="2" s="1"/>
  <c r="DT127" i="2" s="1"/>
  <c r="DX127" i="2" s="1"/>
  <c r="E127" i="1" s="1"/>
  <c r="FB127" i="2"/>
  <c r="DH152" i="2"/>
  <c r="DL152" i="2" s="1"/>
  <c r="DP152" i="2" s="1"/>
  <c r="DT152" i="2" s="1"/>
  <c r="DX152" i="2" s="1"/>
  <c r="FB152" i="2"/>
  <c r="DH134" i="2"/>
  <c r="DL134" i="2" s="1"/>
  <c r="DP134" i="2" s="1"/>
  <c r="DT134" i="2" s="1"/>
  <c r="DX134" i="2" s="1"/>
  <c r="E134" i="1" s="1"/>
  <c r="FB134" i="2"/>
  <c r="DD31" i="2"/>
  <c r="FA31" i="2"/>
  <c r="DH194" i="2"/>
  <c r="DL194" i="2" s="1"/>
  <c r="DP194" i="2" s="1"/>
  <c r="DT194" i="2" s="1"/>
  <c r="DX194" i="2" s="1"/>
  <c r="FB194" i="2"/>
  <c r="DH99" i="2"/>
  <c r="DL99" i="2" s="1"/>
  <c r="DP99" i="2" s="1"/>
  <c r="DT99" i="2" s="1"/>
  <c r="DX99" i="2" s="1"/>
  <c r="E99" i="1" s="1"/>
  <c r="FB99" i="2"/>
  <c r="DH140" i="2"/>
  <c r="DL140" i="2" s="1"/>
  <c r="DP140" i="2" s="1"/>
  <c r="DT140" i="2" s="1"/>
  <c r="DX140" i="2" s="1"/>
  <c r="FB140" i="2"/>
  <c r="DH124" i="2"/>
  <c r="DL124" i="2" s="1"/>
  <c r="DP124" i="2" s="1"/>
  <c r="DT124" i="2" s="1"/>
  <c r="DX124" i="2" s="1"/>
  <c r="E124" i="1" s="1"/>
  <c r="FB124" i="2"/>
  <c r="DH107" i="2"/>
  <c r="DL107" i="2" s="1"/>
  <c r="DP107" i="2" s="1"/>
  <c r="DT107" i="2" s="1"/>
  <c r="DX107" i="2" s="1"/>
  <c r="E107" i="1" s="1"/>
  <c r="FB107" i="2"/>
  <c r="DH23" i="2"/>
  <c r="DL23" i="2" s="1"/>
  <c r="DP23" i="2" s="1"/>
  <c r="DT23" i="2" s="1"/>
  <c r="DX23" i="2" s="1"/>
  <c r="E23" i="1" s="1"/>
  <c r="FB23" i="2"/>
  <c r="DH59" i="2"/>
  <c r="DL59" i="2" s="1"/>
  <c r="DP59" i="2" s="1"/>
  <c r="DT59" i="2" s="1"/>
  <c r="DX59" i="2" s="1"/>
  <c r="E59" i="1" s="1"/>
  <c r="FB59" i="2"/>
  <c r="DH161" i="2"/>
  <c r="DL161" i="2" s="1"/>
  <c r="DP161" i="2" s="1"/>
  <c r="DT161" i="2" s="1"/>
  <c r="DX161" i="2" s="1"/>
  <c r="FB161" i="2"/>
  <c r="DH106" i="2"/>
  <c r="DL106" i="2" s="1"/>
  <c r="DP106" i="2" s="1"/>
  <c r="DT106" i="2" s="1"/>
  <c r="DX106" i="2" s="1"/>
  <c r="E106" i="1" s="1"/>
  <c r="FB106" i="2"/>
  <c r="DH60" i="2"/>
  <c r="DL60" i="2" s="1"/>
  <c r="DP60" i="2" s="1"/>
  <c r="DT60" i="2" s="1"/>
  <c r="DX60" i="2" s="1"/>
  <c r="E60" i="1" s="1"/>
  <c r="FB60" i="2"/>
  <c r="CV189" i="2"/>
  <c r="EX189" i="2"/>
  <c r="EY189" i="2"/>
  <c r="DH142" i="2"/>
  <c r="DL142" i="2" s="1"/>
  <c r="DP142" i="2" s="1"/>
  <c r="DT142" i="2" s="1"/>
  <c r="DX142" i="2" s="1"/>
  <c r="E142" i="1" s="1"/>
  <c r="FB142" i="2"/>
  <c r="DH7" i="2"/>
  <c r="DL7" i="2" s="1"/>
  <c r="DP7" i="2" s="1"/>
  <c r="DT7" i="2" s="1"/>
  <c r="DX7" i="2" s="1"/>
  <c r="E7" i="1" s="1"/>
  <c r="FB7" i="2"/>
  <c r="DH113" i="2"/>
  <c r="DL113" i="2" s="1"/>
  <c r="DP113" i="2" s="1"/>
  <c r="DT113" i="2" s="1"/>
  <c r="DX113" i="2" s="1"/>
  <c r="FB113" i="2"/>
  <c r="DH164" i="2"/>
  <c r="DL164" i="2" s="1"/>
  <c r="DP164" i="2" s="1"/>
  <c r="DT164" i="2" s="1"/>
  <c r="DX164" i="2" s="1"/>
  <c r="E191" i="1" s="1"/>
  <c r="FB164" i="2"/>
  <c r="DH181" i="2"/>
  <c r="DL181" i="2" s="1"/>
  <c r="DP181" i="2" s="1"/>
  <c r="DT181" i="2" s="1"/>
  <c r="DX181" i="2" s="1"/>
  <c r="E181" i="1" s="1"/>
  <c r="FB181" i="2"/>
  <c r="DH115" i="2"/>
  <c r="DL115" i="2" s="1"/>
  <c r="DP115" i="2" s="1"/>
  <c r="DT115" i="2" s="1"/>
  <c r="DX115" i="2" s="1"/>
  <c r="E115" i="1" s="1"/>
  <c r="FB115" i="2"/>
  <c r="CV14" i="2"/>
  <c r="EX14" i="2"/>
  <c r="EY14" i="2"/>
  <c r="DH24" i="2"/>
  <c r="DL24" i="2" s="1"/>
  <c r="DP24" i="2" s="1"/>
  <c r="DT24" i="2" s="1"/>
  <c r="DX24" i="2" s="1"/>
  <c r="FB24" i="2"/>
  <c r="DH37" i="2"/>
  <c r="DL37" i="2" s="1"/>
  <c r="DP37" i="2" s="1"/>
  <c r="DT37" i="2" s="1"/>
  <c r="DX37" i="2" s="1"/>
  <c r="E37" i="1" s="1"/>
  <c r="FB37" i="2"/>
  <c r="DH32" i="2"/>
  <c r="DL32" i="2" s="1"/>
  <c r="DP32" i="2" s="1"/>
  <c r="DT32" i="2" s="1"/>
  <c r="DX32" i="2" s="1"/>
  <c r="E32" i="1" s="1"/>
  <c r="FB32" i="2"/>
  <c r="DH163" i="2"/>
  <c r="DL163" i="2" s="1"/>
  <c r="DP163" i="2" s="1"/>
  <c r="DT163" i="2" s="1"/>
  <c r="DX163" i="2" s="1"/>
  <c r="FB163" i="2"/>
  <c r="DH42" i="2"/>
  <c r="DL42" i="2" s="1"/>
  <c r="DP42" i="2" s="1"/>
  <c r="DT42" i="2" s="1"/>
  <c r="DX42" i="2" s="1"/>
  <c r="E42" i="1" s="1"/>
  <c r="FB42" i="2"/>
  <c r="DH198" i="2"/>
  <c r="DL198" i="2" s="1"/>
  <c r="DP198" i="2" s="1"/>
  <c r="DT198" i="2" s="1"/>
  <c r="DX198" i="2" s="1"/>
  <c r="E198" i="1" s="1"/>
  <c r="FB198" i="2"/>
  <c r="DH199" i="2"/>
  <c r="DL199" i="2" s="1"/>
  <c r="DP199" i="2" s="1"/>
  <c r="DT199" i="2" s="1"/>
  <c r="DX199" i="2" s="1"/>
  <c r="E199" i="1" s="1"/>
  <c r="FB199" i="2"/>
  <c r="CZ103" i="2"/>
  <c r="EZ103" i="2"/>
  <c r="CG187" i="5" l="1"/>
  <c r="DV187" i="5"/>
  <c r="CG124" i="5"/>
  <c r="DV124" i="5"/>
  <c r="DV183" i="5"/>
  <c r="CG183" i="5"/>
  <c r="CG140" i="5"/>
  <c r="DV140" i="5"/>
  <c r="CG170" i="5"/>
  <c r="DV170" i="5"/>
  <c r="DV174" i="5"/>
  <c r="CG174" i="5"/>
  <c r="CG138" i="5"/>
  <c r="DV138" i="5"/>
  <c r="CG180" i="5"/>
  <c r="DV180" i="5"/>
  <c r="CG178" i="5"/>
  <c r="DV178" i="5"/>
  <c r="DV171" i="5"/>
  <c r="CG171" i="5"/>
  <c r="CG123" i="5"/>
  <c r="DV123" i="5"/>
  <c r="CG161" i="5"/>
  <c r="DV161" i="5"/>
  <c r="CG162" i="5"/>
  <c r="DV162" i="5"/>
  <c r="DV133" i="5"/>
  <c r="CG133" i="5"/>
  <c r="DV177" i="5"/>
  <c r="CG177" i="5"/>
  <c r="DV128" i="5"/>
  <c r="CG128" i="5"/>
  <c r="CG126" i="5"/>
  <c r="DV126" i="5"/>
  <c r="CG176" i="5"/>
  <c r="DV176" i="5"/>
  <c r="CG143" i="5"/>
  <c r="DV143" i="5"/>
  <c r="CG122" i="5"/>
  <c r="DV122" i="5"/>
  <c r="CG105" i="5"/>
  <c r="DV105" i="5"/>
  <c r="CG186" i="5"/>
  <c r="DV186" i="5"/>
  <c r="DV121" i="5"/>
  <c r="CG121" i="5"/>
  <c r="DV175" i="5"/>
  <c r="CG175" i="5"/>
  <c r="DV179" i="5"/>
  <c r="CG179" i="5"/>
  <c r="CG182" i="5"/>
  <c r="DV182" i="5"/>
  <c r="CG163" i="5"/>
  <c r="DV163" i="5"/>
  <c r="CG201" i="5"/>
  <c r="DV201" i="5"/>
  <c r="DV181" i="5"/>
  <c r="CG181" i="5"/>
  <c r="CG142" i="5"/>
  <c r="DV142" i="5"/>
  <c r="CG168" i="5"/>
  <c r="DV168" i="5"/>
  <c r="DV185" i="5"/>
  <c r="CG185" i="5"/>
  <c r="CG172" i="5"/>
  <c r="DV172" i="5"/>
  <c r="CG141" i="5"/>
  <c r="DV141" i="5"/>
  <c r="CG184" i="5"/>
  <c r="DV184" i="5"/>
  <c r="DV125" i="5"/>
  <c r="CG125" i="5"/>
  <c r="DV137" i="5"/>
  <c r="CG137" i="5"/>
  <c r="DV169" i="5"/>
  <c r="CG169" i="5"/>
  <c r="DT3" i="5"/>
  <c r="CA3" i="5"/>
  <c r="FE66" i="21"/>
  <c r="FE75" i="21"/>
  <c r="FE40" i="21"/>
  <c r="FE13" i="21"/>
  <c r="FE89" i="21"/>
  <c r="FE12" i="21"/>
  <c r="FE16" i="21"/>
  <c r="FE31" i="21"/>
  <c r="FE64" i="21"/>
  <c r="FE86" i="21"/>
  <c r="FE192" i="21"/>
  <c r="FE108" i="21"/>
  <c r="FE88" i="21"/>
  <c r="FE167" i="21"/>
  <c r="FE194" i="21"/>
  <c r="FE76" i="21"/>
  <c r="FE102" i="21"/>
  <c r="FE144" i="21"/>
  <c r="FE101" i="21"/>
  <c r="FE169" i="21"/>
  <c r="FE81" i="21"/>
  <c r="FE91" i="21"/>
  <c r="FE201" i="21"/>
  <c r="FE159" i="21"/>
  <c r="FE61" i="21"/>
  <c r="FE95" i="21"/>
  <c r="FE20" i="21"/>
  <c r="FE32" i="21"/>
  <c r="FE193" i="21"/>
  <c r="FE100" i="21"/>
  <c r="FE176" i="21"/>
  <c r="FE92" i="21"/>
  <c r="FE39" i="21"/>
  <c r="FE63" i="21"/>
  <c r="FE175" i="21"/>
  <c r="FE93" i="21"/>
  <c r="FE168" i="21"/>
  <c r="FE160" i="21"/>
  <c r="FE14" i="21"/>
  <c r="FE185" i="21"/>
  <c r="FE186" i="21"/>
  <c r="FE151" i="21"/>
  <c r="FE131" i="21"/>
  <c r="FE162" i="21"/>
  <c r="FE158" i="21"/>
  <c r="FE96" i="21"/>
  <c r="FE198" i="21"/>
  <c r="FE68" i="21"/>
  <c r="FE67" i="21"/>
  <c r="FE19" i="21"/>
  <c r="FE62" i="21"/>
  <c r="FE98" i="21"/>
  <c r="FE15" i="21"/>
  <c r="FE85" i="21"/>
  <c r="FE23" i="21"/>
  <c r="FE35" i="21"/>
  <c r="FE25" i="21"/>
  <c r="FE78" i="21"/>
  <c r="FE27" i="21"/>
  <c r="FE182" i="21"/>
  <c r="FE183" i="21"/>
  <c r="FE199" i="21"/>
  <c r="FE94" i="21"/>
  <c r="FE72" i="21"/>
  <c r="FE99" i="21"/>
  <c r="FE177" i="21"/>
  <c r="FE190" i="21"/>
  <c r="FE157" i="21"/>
  <c r="FE69" i="21"/>
  <c r="FE36" i="21"/>
  <c r="FE126" i="21"/>
  <c r="ED11" i="21"/>
  <c r="ED203" i="21" s="1"/>
  <c r="E66" i="19" s="1"/>
  <c r="FE103" i="21"/>
  <c r="FE26" i="21"/>
  <c r="FE17" i="21"/>
  <c r="FE34" i="21"/>
  <c r="E24" i="1"/>
  <c r="E161" i="1"/>
  <c r="E68" i="1"/>
  <c r="E63" i="1"/>
  <c r="E40" i="1"/>
  <c r="E180" i="1"/>
  <c r="E91" i="1"/>
  <c r="E137" i="1"/>
  <c r="E125" i="1"/>
  <c r="E164" i="1"/>
  <c r="E120" i="1"/>
  <c r="E156" i="1"/>
  <c r="E176" i="1"/>
  <c r="E117" i="1"/>
  <c r="E192" i="1"/>
  <c r="E35" i="1"/>
  <c r="E98" i="1"/>
  <c r="E90" i="1"/>
  <c r="E184" i="1"/>
  <c r="E55" i="1"/>
  <c r="E22" i="1"/>
  <c r="E173" i="1"/>
  <c r="E82" i="1"/>
  <c r="E168" i="1"/>
  <c r="E163" i="1"/>
  <c r="E151" i="1"/>
  <c r="E140" i="1"/>
  <c r="E113" i="1"/>
  <c r="E21" i="1"/>
  <c r="E20" i="1"/>
  <c r="E56" i="1"/>
  <c r="E87" i="1"/>
  <c r="E48" i="1"/>
  <c r="E27" i="1"/>
  <c r="E185" i="1"/>
  <c r="E171" i="1"/>
  <c r="E85" i="1"/>
  <c r="E76" i="1"/>
  <c r="E101" i="1"/>
  <c r="E172" i="1"/>
  <c r="E116" i="1"/>
  <c r="E136" i="1"/>
  <c r="E110" i="1"/>
  <c r="E100" i="1"/>
  <c r="E105" i="1"/>
  <c r="E130" i="1"/>
  <c r="E97" i="1"/>
  <c r="FD7" i="21"/>
  <c r="DD19" i="2"/>
  <c r="FA19" i="2"/>
  <c r="CZ193" i="2"/>
  <c r="EZ193" i="2"/>
  <c r="CZ102" i="2"/>
  <c r="EZ102" i="2"/>
  <c r="DH31" i="2"/>
  <c r="DL31" i="2" s="1"/>
  <c r="DP31" i="2" s="1"/>
  <c r="DT31" i="2" s="1"/>
  <c r="DX31" i="2" s="1"/>
  <c r="FB31" i="2"/>
  <c r="CZ43" i="2"/>
  <c r="EZ43" i="2"/>
  <c r="DH72" i="2"/>
  <c r="DL72" i="2" s="1"/>
  <c r="DP72" i="2" s="1"/>
  <c r="DT72" i="2" s="1"/>
  <c r="DX72" i="2" s="1"/>
  <c r="FB72" i="2"/>
  <c r="DD73" i="2"/>
  <c r="FA73" i="2"/>
  <c r="DD13" i="2"/>
  <c r="FA13" i="2"/>
  <c r="DD79" i="2"/>
  <c r="FA79" i="2"/>
  <c r="DH123" i="2"/>
  <c r="DL123" i="2" s="1"/>
  <c r="DP123" i="2" s="1"/>
  <c r="DT123" i="2" s="1"/>
  <c r="DX123" i="2" s="1"/>
  <c r="FB123" i="2"/>
  <c r="DD8" i="2"/>
  <c r="FA8" i="2"/>
  <c r="DH33" i="2"/>
  <c r="DL33" i="2" s="1"/>
  <c r="DP33" i="2" s="1"/>
  <c r="DT33" i="2" s="1"/>
  <c r="DX33" i="2" s="1"/>
  <c r="E33" i="1" s="1"/>
  <c r="FB33" i="2"/>
  <c r="DD187" i="2"/>
  <c r="FA187" i="2"/>
  <c r="DH44" i="2"/>
  <c r="DL44" i="2" s="1"/>
  <c r="DP44" i="2" s="1"/>
  <c r="DT44" i="2" s="1"/>
  <c r="DX44" i="2" s="1"/>
  <c r="FB44" i="2"/>
  <c r="DH10" i="2"/>
  <c r="DL10" i="2" s="1"/>
  <c r="DP10" i="2" s="1"/>
  <c r="DT10" i="2" s="1"/>
  <c r="DX10" i="2" s="1"/>
  <c r="E10" i="1" s="1"/>
  <c r="FB10" i="2"/>
  <c r="DD103" i="2"/>
  <c r="FA103" i="2"/>
  <c r="CZ189" i="2"/>
  <c r="EZ189" i="2"/>
  <c r="CZ132" i="2"/>
  <c r="EZ132" i="2"/>
  <c r="DH153" i="2"/>
  <c r="DL153" i="2" s="1"/>
  <c r="DP153" i="2" s="1"/>
  <c r="DT153" i="2" s="1"/>
  <c r="DX153" i="2" s="1"/>
  <c r="FB153" i="2"/>
  <c r="CZ14" i="2"/>
  <c r="EZ14" i="2"/>
  <c r="DD4" i="2"/>
  <c r="FA4" i="2"/>
  <c r="CZ9" i="2"/>
  <c r="EZ9" i="2"/>
  <c r="DD30" i="2"/>
  <c r="FA30" i="2"/>
  <c r="DD6" i="2"/>
  <c r="FA6" i="2"/>
  <c r="DW169" i="5" l="1"/>
  <c r="CJ169" i="5"/>
  <c r="CJ125" i="5"/>
  <c r="DW125" i="5"/>
  <c r="DW185" i="5"/>
  <c r="CJ185" i="5"/>
  <c r="DW175" i="5"/>
  <c r="CJ175" i="5"/>
  <c r="DW128" i="5"/>
  <c r="CJ128" i="5"/>
  <c r="CJ133" i="5"/>
  <c r="DW133" i="5"/>
  <c r="DW171" i="5"/>
  <c r="CJ171" i="5"/>
  <c r="DW174" i="5"/>
  <c r="CJ174" i="5"/>
  <c r="CJ141" i="5"/>
  <c r="DW141" i="5"/>
  <c r="CJ142" i="5"/>
  <c r="DW142" i="5"/>
  <c r="CJ201" i="5"/>
  <c r="DW201" i="5"/>
  <c r="DW182" i="5"/>
  <c r="CJ182" i="5"/>
  <c r="DW186" i="5"/>
  <c r="CJ186" i="5"/>
  <c r="DW122" i="5"/>
  <c r="CJ122" i="5"/>
  <c r="CJ176" i="5"/>
  <c r="DW176" i="5"/>
  <c r="CJ161" i="5"/>
  <c r="DW161" i="5"/>
  <c r="CJ180" i="5"/>
  <c r="DW180" i="5"/>
  <c r="CJ140" i="5"/>
  <c r="DW140" i="5"/>
  <c r="CJ124" i="5"/>
  <c r="DW124" i="5"/>
  <c r="CJ137" i="5"/>
  <c r="DW137" i="5"/>
  <c r="DW181" i="5"/>
  <c r="CJ181" i="5"/>
  <c r="DW179" i="5"/>
  <c r="CJ179" i="5"/>
  <c r="CJ121" i="5"/>
  <c r="DW121" i="5"/>
  <c r="DW177" i="5"/>
  <c r="CJ177" i="5"/>
  <c r="DW183" i="5"/>
  <c r="CJ183" i="5"/>
  <c r="CJ184" i="5"/>
  <c r="DW184" i="5"/>
  <c r="CJ172" i="5"/>
  <c r="DW172" i="5"/>
  <c r="CJ168" i="5"/>
  <c r="DW168" i="5"/>
  <c r="CJ163" i="5"/>
  <c r="DW163" i="5"/>
  <c r="CJ105" i="5"/>
  <c r="DW105" i="5"/>
  <c r="CJ143" i="5"/>
  <c r="DW143" i="5"/>
  <c r="CJ126" i="5"/>
  <c r="DW126" i="5"/>
  <c r="DW162" i="5"/>
  <c r="CJ162" i="5"/>
  <c r="CJ123" i="5"/>
  <c r="DW123" i="5"/>
  <c r="DW178" i="5"/>
  <c r="CJ178" i="5"/>
  <c r="DW138" i="5"/>
  <c r="CJ138" i="5"/>
  <c r="DW170" i="5"/>
  <c r="CJ170" i="5"/>
  <c r="DW187" i="5"/>
  <c r="CJ187" i="5"/>
  <c r="DU3" i="5"/>
  <c r="CD3" i="5"/>
  <c r="E29" i="1"/>
  <c r="E153" i="1"/>
  <c r="E141" i="1"/>
  <c r="E152" i="1"/>
  <c r="E44" i="1"/>
  <c r="E195" i="1"/>
  <c r="E123" i="1"/>
  <c r="E112" i="1"/>
  <c r="E201" i="1"/>
  <c r="G116" i="1"/>
  <c r="EE11" i="21"/>
  <c r="EE203" i="21" s="1"/>
  <c r="F66" i="19" s="1"/>
  <c r="DD189" i="2"/>
  <c r="FA189" i="2"/>
  <c r="DH30" i="2"/>
  <c r="DL30" i="2" s="1"/>
  <c r="DP30" i="2" s="1"/>
  <c r="DT30" i="2" s="1"/>
  <c r="DX30" i="2" s="1"/>
  <c r="FB30" i="2"/>
  <c r="DD14" i="2"/>
  <c r="FA14" i="2"/>
  <c r="DD132" i="2"/>
  <c r="FA132" i="2"/>
  <c r="DH187" i="2"/>
  <c r="DL187" i="2" s="1"/>
  <c r="DP187" i="2" s="1"/>
  <c r="DT187" i="2" s="1"/>
  <c r="DX187" i="2" s="1"/>
  <c r="FB187" i="2"/>
  <c r="DH8" i="2"/>
  <c r="DL8" i="2" s="1"/>
  <c r="DP8" i="2" s="1"/>
  <c r="DT8" i="2" s="1"/>
  <c r="DX8" i="2" s="1"/>
  <c r="E8" i="1" s="1"/>
  <c r="FB8" i="2"/>
  <c r="DH79" i="2"/>
  <c r="DL79" i="2" s="1"/>
  <c r="DP79" i="2" s="1"/>
  <c r="DT79" i="2" s="1"/>
  <c r="DX79" i="2" s="1"/>
  <c r="E79" i="1" s="1"/>
  <c r="FB79" i="2"/>
  <c r="DH73" i="2"/>
  <c r="DL73" i="2" s="1"/>
  <c r="DP73" i="2" s="1"/>
  <c r="DT73" i="2" s="1"/>
  <c r="DX73" i="2" s="1"/>
  <c r="FB73" i="2"/>
  <c r="DD43" i="2"/>
  <c r="FA43" i="2"/>
  <c r="DD102" i="2"/>
  <c r="FA102" i="2"/>
  <c r="DH103" i="2"/>
  <c r="DL103" i="2" s="1"/>
  <c r="DP103" i="2" s="1"/>
  <c r="DT103" i="2" s="1"/>
  <c r="DX103" i="2" s="1"/>
  <c r="FB103" i="2"/>
  <c r="DH19" i="2"/>
  <c r="DL19" i="2" s="1"/>
  <c r="DP19" i="2" s="1"/>
  <c r="DT19" i="2" s="1"/>
  <c r="DX19" i="2" s="1"/>
  <c r="FB19" i="2"/>
  <c r="DH6" i="2"/>
  <c r="DL6" i="2" s="1"/>
  <c r="DP6" i="2" s="1"/>
  <c r="DT6" i="2" s="1"/>
  <c r="DX6" i="2" s="1"/>
  <c r="E6" i="1" s="1"/>
  <c r="FB6" i="2"/>
  <c r="DD9" i="2"/>
  <c r="FA9" i="2"/>
  <c r="DH4" i="2"/>
  <c r="DL4" i="2" s="1"/>
  <c r="DP4" i="2" s="1"/>
  <c r="DT4" i="2" s="1"/>
  <c r="DX4" i="2" s="1"/>
  <c r="E4" i="1" s="1"/>
  <c r="FB4" i="2"/>
  <c r="DH13" i="2"/>
  <c r="DL13" i="2" s="1"/>
  <c r="DP13" i="2" s="1"/>
  <c r="DT13" i="2" s="1"/>
  <c r="DX13" i="2" s="1"/>
  <c r="E13" i="1" s="1"/>
  <c r="FB13" i="2"/>
  <c r="DD193" i="2"/>
  <c r="FA193" i="2"/>
  <c r="G166" i="1"/>
  <c r="G111" i="1"/>
  <c r="G47" i="1"/>
  <c r="G196" i="1"/>
  <c r="G109" i="1"/>
  <c r="G48" i="1"/>
  <c r="G189" i="1"/>
  <c r="DX187" i="5" l="1"/>
  <c r="CM187" i="5"/>
  <c r="CM138" i="5"/>
  <c r="DX138" i="5"/>
  <c r="DX177" i="5"/>
  <c r="CM177" i="5"/>
  <c r="CM179" i="5"/>
  <c r="DX179" i="5"/>
  <c r="CM122" i="5"/>
  <c r="DX122" i="5"/>
  <c r="DX182" i="5"/>
  <c r="CM182" i="5"/>
  <c r="CM174" i="5"/>
  <c r="DX174" i="5"/>
  <c r="DX175" i="5"/>
  <c r="CM175" i="5"/>
  <c r="CM163" i="5"/>
  <c r="DX163" i="5"/>
  <c r="CM123" i="5"/>
  <c r="DX123" i="5"/>
  <c r="DX126" i="5"/>
  <c r="CM126" i="5"/>
  <c r="CM105" i="5"/>
  <c r="DX105" i="5"/>
  <c r="CM168" i="5"/>
  <c r="DX168" i="5"/>
  <c r="DX184" i="5"/>
  <c r="CM184" i="5"/>
  <c r="CM137" i="5"/>
  <c r="DX137" i="5"/>
  <c r="CM140" i="5"/>
  <c r="DX140" i="5"/>
  <c r="CM161" i="5"/>
  <c r="DX161" i="5"/>
  <c r="DX142" i="5"/>
  <c r="CM142" i="5"/>
  <c r="CM133" i="5"/>
  <c r="DX133" i="5"/>
  <c r="CM125" i="5"/>
  <c r="DX125" i="5"/>
  <c r="DX170" i="5"/>
  <c r="CM170" i="5"/>
  <c r="CM178" i="5"/>
  <c r="DX178" i="5"/>
  <c r="CM162" i="5"/>
  <c r="DX162" i="5"/>
  <c r="DX183" i="5"/>
  <c r="CM183" i="5"/>
  <c r="CM181" i="5"/>
  <c r="DX181" i="5"/>
  <c r="CM186" i="5"/>
  <c r="DX186" i="5"/>
  <c r="CM171" i="5"/>
  <c r="DX171" i="5"/>
  <c r="CM128" i="5"/>
  <c r="DX128" i="5"/>
  <c r="CM185" i="5"/>
  <c r="DX185" i="5"/>
  <c r="DX169" i="5"/>
  <c r="CM169" i="5"/>
  <c r="DX143" i="5"/>
  <c r="CM143" i="5"/>
  <c r="DX172" i="5"/>
  <c r="CM172" i="5"/>
  <c r="DX121" i="5"/>
  <c r="CM121" i="5"/>
  <c r="CM124" i="5"/>
  <c r="DX124" i="5"/>
  <c r="DX180" i="5"/>
  <c r="CM180" i="5"/>
  <c r="DX176" i="5"/>
  <c r="CM176" i="5"/>
  <c r="CM201" i="5"/>
  <c r="DX201" i="5"/>
  <c r="DX141" i="5"/>
  <c r="CM141" i="5"/>
  <c r="DV3" i="5"/>
  <c r="CG3" i="5"/>
  <c r="FE7" i="21"/>
  <c r="E103" i="1"/>
  <c r="E94" i="1"/>
  <c r="E30" i="1"/>
  <c r="E28" i="1"/>
  <c r="E187" i="1"/>
  <c r="E196" i="1"/>
  <c r="E72" i="1"/>
  <c r="E19" i="1"/>
  <c r="E200" i="1"/>
  <c r="E73" i="1"/>
  <c r="E197" i="1"/>
  <c r="G84" i="1"/>
  <c r="G101" i="1"/>
  <c r="G13" i="1"/>
  <c r="G61" i="1"/>
  <c r="G40" i="1"/>
  <c r="G73" i="1"/>
  <c r="G139" i="1"/>
  <c r="G80" i="1"/>
  <c r="EF11" i="21"/>
  <c r="EF203" i="21" s="1"/>
  <c r="G66" i="19" s="1"/>
  <c r="DH102" i="2"/>
  <c r="DL102" i="2" s="1"/>
  <c r="DP102" i="2" s="1"/>
  <c r="DT102" i="2" s="1"/>
  <c r="DX102" i="2" s="1"/>
  <c r="FB102" i="2"/>
  <c r="DH132" i="2"/>
  <c r="DL132" i="2" s="1"/>
  <c r="DP132" i="2" s="1"/>
  <c r="DT132" i="2" s="1"/>
  <c r="DX132" i="2" s="1"/>
  <c r="E31" i="1" s="1"/>
  <c r="FB132" i="2"/>
  <c r="DH193" i="2"/>
  <c r="DL193" i="2" s="1"/>
  <c r="DP193" i="2" s="1"/>
  <c r="DT193" i="2" s="1"/>
  <c r="DX193" i="2" s="1"/>
  <c r="FB193" i="2"/>
  <c r="DH43" i="2"/>
  <c r="DL43" i="2" s="1"/>
  <c r="DP43" i="2" s="1"/>
  <c r="DT43" i="2" s="1"/>
  <c r="DX43" i="2" s="1"/>
  <c r="FB43" i="2"/>
  <c r="DH14" i="2"/>
  <c r="DL14" i="2" s="1"/>
  <c r="DP14" i="2" s="1"/>
  <c r="DT14" i="2" s="1"/>
  <c r="DX14" i="2" s="1"/>
  <c r="E14" i="1" s="1"/>
  <c r="FB14" i="2"/>
  <c r="DH189" i="2"/>
  <c r="DL189" i="2" s="1"/>
  <c r="DP189" i="2" s="1"/>
  <c r="DT189" i="2" s="1"/>
  <c r="DX189" i="2" s="1"/>
  <c r="FB189" i="2"/>
  <c r="DH9" i="2"/>
  <c r="DL9" i="2" s="1"/>
  <c r="DP9" i="2" s="1"/>
  <c r="DT9" i="2" s="1"/>
  <c r="DX9" i="2" s="1"/>
  <c r="E9" i="1" s="1"/>
  <c r="FB9" i="2"/>
  <c r="G150" i="1"/>
  <c r="G200" i="1"/>
  <c r="G114" i="1"/>
  <c r="G192" i="1"/>
  <c r="G57" i="1"/>
  <c r="G115" i="1"/>
  <c r="G93" i="1"/>
  <c r="G17" i="1"/>
  <c r="G69" i="1"/>
  <c r="G154" i="1"/>
  <c r="G33" i="1"/>
  <c r="G191" i="1"/>
  <c r="G79" i="1"/>
  <c r="G127" i="1"/>
  <c r="G193" i="1"/>
  <c r="G146" i="1"/>
  <c r="G70" i="1"/>
  <c r="G29" i="1"/>
  <c r="G107" i="1"/>
  <c r="G188" i="1"/>
  <c r="G104" i="1"/>
  <c r="G195" i="1"/>
  <c r="G100" i="1"/>
  <c r="G130" i="1"/>
  <c r="G39" i="1"/>
  <c r="G28" i="1"/>
  <c r="G96" i="1"/>
  <c r="G197" i="1"/>
  <c r="CP141" i="5" l="1"/>
  <c r="DY141" i="5"/>
  <c r="DY176" i="5"/>
  <c r="CP176" i="5"/>
  <c r="DY172" i="5"/>
  <c r="CP172" i="5"/>
  <c r="DY169" i="5"/>
  <c r="CP169" i="5"/>
  <c r="CP183" i="5"/>
  <c r="DY183" i="5"/>
  <c r="DY142" i="5"/>
  <c r="CP142" i="5"/>
  <c r="DY184" i="5"/>
  <c r="CP184" i="5"/>
  <c r="DY175" i="5"/>
  <c r="CP175" i="5"/>
  <c r="DY182" i="5"/>
  <c r="CP182" i="5"/>
  <c r="DY124" i="5"/>
  <c r="CP124" i="5"/>
  <c r="CP128" i="5"/>
  <c r="DY128" i="5"/>
  <c r="CP186" i="5"/>
  <c r="DY186" i="5"/>
  <c r="CP178" i="5"/>
  <c r="DY178" i="5"/>
  <c r="CP125" i="5"/>
  <c r="DY125" i="5"/>
  <c r="CP140" i="5"/>
  <c r="DY140" i="5"/>
  <c r="CP105" i="5"/>
  <c r="DY105" i="5"/>
  <c r="DY123" i="5"/>
  <c r="CP123" i="5"/>
  <c r="CP179" i="5"/>
  <c r="DY179" i="5"/>
  <c r="CP138" i="5"/>
  <c r="DY138" i="5"/>
  <c r="CP180" i="5"/>
  <c r="DY180" i="5"/>
  <c r="CP121" i="5"/>
  <c r="DY121" i="5"/>
  <c r="CP143" i="5"/>
  <c r="DY143" i="5"/>
  <c r="DY170" i="5"/>
  <c r="CP170" i="5"/>
  <c r="DY126" i="5"/>
  <c r="CP126" i="5"/>
  <c r="DY177" i="5"/>
  <c r="CP177" i="5"/>
  <c r="CP187" i="5"/>
  <c r="DY187" i="5"/>
  <c r="DY201" i="5"/>
  <c r="CP201" i="5"/>
  <c r="CP185" i="5"/>
  <c r="DY185" i="5"/>
  <c r="DY171" i="5"/>
  <c r="CP171" i="5"/>
  <c r="DY181" i="5"/>
  <c r="CP181" i="5"/>
  <c r="DY162" i="5"/>
  <c r="CP162" i="5"/>
  <c r="CP133" i="5"/>
  <c r="DY133" i="5"/>
  <c r="DY161" i="5"/>
  <c r="CP161" i="5"/>
  <c r="DY137" i="5"/>
  <c r="CP137" i="5"/>
  <c r="CP168" i="5"/>
  <c r="DY168" i="5"/>
  <c r="DY163" i="5"/>
  <c r="CP163" i="5"/>
  <c r="DY174" i="5"/>
  <c r="CP174" i="5"/>
  <c r="CP122" i="5"/>
  <c r="DY122" i="5"/>
  <c r="DW3" i="5"/>
  <c r="CJ3" i="5"/>
  <c r="E43" i="1"/>
  <c r="E194" i="1"/>
  <c r="E193" i="1"/>
  <c r="E179" i="1"/>
  <c r="E189" i="1"/>
  <c r="E175" i="1"/>
  <c r="E132" i="1"/>
  <c r="E102" i="1"/>
  <c r="G64" i="1"/>
  <c r="G31" i="1"/>
  <c r="G86" i="1"/>
  <c r="G32" i="1"/>
  <c r="G65" i="1"/>
  <c r="G60" i="1"/>
  <c r="G113" i="1"/>
  <c r="G21" i="1"/>
  <c r="G74" i="1"/>
  <c r="G147" i="1"/>
  <c r="G63" i="1"/>
  <c r="G132" i="1"/>
  <c r="G153" i="1"/>
  <c r="G82" i="1"/>
  <c r="G135" i="1"/>
  <c r="G9" i="1"/>
  <c r="G62" i="1"/>
  <c r="G106" i="1"/>
  <c r="G159" i="1"/>
  <c r="G118" i="1"/>
  <c r="G165" i="1"/>
  <c r="G12" i="1"/>
  <c r="G91" i="1"/>
  <c r="G103" i="1"/>
  <c r="G157" i="1"/>
  <c r="G16" i="1"/>
  <c r="G58" i="1"/>
  <c r="G110" i="1"/>
  <c r="G98" i="1"/>
  <c r="G151" i="1"/>
  <c r="G149" i="1"/>
  <c r="G77" i="1"/>
  <c r="G27" i="1"/>
  <c r="G85" i="1"/>
  <c r="G68" i="1"/>
  <c r="G71" i="1"/>
  <c r="EG11" i="21"/>
  <c r="EG203" i="21" s="1"/>
  <c r="H66" i="19" s="1"/>
  <c r="G164" i="1"/>
  <c r="G199" i="1"/>
  <c r="G66" i="1"/>
  <c r="G99" i="1"/>
  <c r="G41" i="1"/>
  <c r="G194" i="1"/>
  <c r="G156" i="1"/>
  <c r="G59" i="1"/>
  <c r="G120" i="1"/>
  <c r="G36" i="1"/>
  <c r="G87" i="1"/>
  <c r="G136" i="1"/>
  <c r="G92" i="1"/>
  <c r="G81" i="1"/>
  <c r="G190" i="1"/>
  <c r="G167" i="1"/>
  <c r="G160" i="1"/>
  <c r="G198" i="1"/>
  <c r="CS161" i="5" l="1"/>
  <c r="G43" i="1" s="1"/>
  <c r="DZ161" i="5"/>
  <c r="DZ171" i="5"/>
  <c r="CS171" i="5"/>
  <c r="G53" i="1" s="1"/>
  <c r="DZ123" i="5"/>
  <c r="CS123" i="5"/>
  <c r="CS163" i="5"/>
  <c r="DZ163" i="5"/>
  <c r="DZ137" i="5"/>
  <c r="CS137" i="5"/>
  <c r="CS181" i="5"/>
  <c r="DZ181" i="5"/>
  <c r="CS126" i="5"/>
  <c r="DZ126" i="5"/>
  <c r="DZ124" i="5"/>
  <c r="CS124" i="5"/>
  <c r="CS175" i="5"/>
  <c r="DZ175" i="5"/>
  <c r="CS142" i="5"/>
  <c r="DZ142" i="5"/>
  <c r="CS169" i="5"/>
  <c r="G51" i="1" s="1"/>
  <c r="DZ169" i="5"/>
  <c r="CS176" i="5"/>
  <c r="DZ176" i="5"/>
  <c r="CS174" i="5"/>
  <c r="DZ174" i="5"/>
  <c r="CS201" i="5"/>
  <c r="DZ201" i="5"/>
  <c r="DZ122" i="5"/>
  <c r="CS122" i="5"/>
  <c r="DZ133" i="5"/>
  <c r="CS133" i="5"/>
  <c r="CS185" i="5"/>
  <c r="DZ185" i="5"/>
  <c r="DZ187" i="5"/>
  <c r="CS187" i="5"/>
  <c r="DZ143" i="5"/>
  <c r="CS143" i="5"/>
  <c r="CS180" i="5"/>
  <c r="DZ180" i="5"/>
  <c r="DZ179" i="5"/>
  <c r="CS179" i="5"/>
  <c r="DZ105" i="5"/>
  <c r="CS105" i="5"/>
  <c r="G158" i="1" s="1"/>
  <c r="DZ125" i="5"/>
  <c r="CS125" i="5"/>
  <c r="CS186" i="5"/>
  <c r="DZ186" i="5"/>
  <c r="DZ162" i="5"/>
  <c r="CS162" i="5"/>
  <c r="CS177" i="5"/>
  <c r="DZ177" i="5"/>
  <c r="CS170" i="5"/>
  <c r="DZ170" i="5"/>
  <c r="CS182" i="5"/>
  <c r="DZ182" i="5"/>
  <c r="CS184" i="5"/>
  <c r="DZ184" i="5"/>
  <c r="CS172" i="5"/>
  <c r="DZ172" i="5"/>
  <c r="CS168" i="5"/>
  <c r="DZ168" i="5"/>
  <c r="DZ121" i="5"/>
  <c r="CS121" i="5"/>
  <c r="CS138" i="5"/>
  <c r="G20" i="1" s="1"/>
  <c r="DZ138" i="5"/>
  <c r="DZ140" i="5"/>
  <c r="CS140" i="5"/>
  <c r="CS178" i="5"/>
  <c r="DZ178" i="5"/>
  <c r="DZ128" i="5"/>
  <c r="CS128" i="5"/>
  <c r="DZ183" i="5"/>
  <c r="CS183" i="5"/>
  <c r="DZ141" i="5"/>
  <c r="CS141" i="5"/>
  <c r="CM3" i="5"/>
  <c r="DX3" i="5"/>
  <c r="G42" i="1"/>
  <c r="G49" i="1"/>
  <c r="G46" i="1"/>
  <c r="G119" i="1"/>
  <c r="G89" i="1"/>
  <c r="G95" i="1"/>
  <c r="G129" i="1"/>
  <c r="G11" i="1"/>
  <c r="G52" i="1"/>
  <c r="G108" i="1"/>
  <c r="G145" i="1"/>
  <c r="G94" i="1"/>
  <c r="G78" i="1"/>
  <c r="G131" i="1"/>
  <c r="G35" i="1"/>
  <c r="G88" i="1"/>
  <c r="G14" i="1"/>
  <c r="G67" i="1"/>
  <c r="G75" i="1"/>
  <c r="G144" i="1"/>
  <c r="G26" i="1"/>
  <c r="G50" i="1"/>
  <c r="G30" i="1"/>
  <c r="G83" i="1"/>
  <c r="G76" i="1"/>
  <c r="G102" i="1"/>
  <c r="G155" i="1"/>
  <c r="G37" i="1"/>
  <c r="G90" i="1"/>
  <c r="G117" i="1"/>
  <c r="G148" i="1"/>
  <c r="G54" i="1"/>
  <c r="G7" i="1"/>
  <c r="G134" i="1"/>
  <c r="G72" i="1"/>
  <c r="G112" i="1"/>
  <c r="G152" i="1"/>
  <c r="G34" i="1"/>
  <c r="G18" i="1"/>
  <c r="G38" i="1"/>
  <c r="G173" i="1"/>
  <c r="EH11" i="21"/>
  <c r="EH203" i="21" s="1"/>
  <c r="I66" i="19" s="1"/>
  <c r="G15" i="1" l="1"/>
  <c r="G6" i="1"/>
  <c r="G45" i="1"/>
  <c r="G25" i="1"/>
  <c r="G4" i="1"/>
  <c r="G5" i="1"/>
  <c r="G8" i="1"/>
  <c r="G10" i="1"/>
  <c r="G23" i="1"/>
  <c r="G22" i="1"/>
  <c r="G24" i="1"/>
  <c r="G44" i="1"/>
  <c r="G19" i="1"/>
  <c r="G128" i="1"/>
  <c r="EA128" i="5"/>
  <c r="G124" i="1"/>
  <c r="EA124" i="5"/>
  <c r="G171" i="1"/>
  <c r="EA171" i="5"/>
  <c r="G172" i="1"/>
  <c r="EA172" i="5"/>
  <c r="G182" i="1"/>
  <c r="EA182" i="5"/>
  <c r="G177" i="1"/>
  <c r="EA177" i="5"/>
  <c r="G186" i="1"/>
  <c r="EA186" i="5"/>
  <c r="G180" i="1"/>
  <c r="EA180" i="5"/>
  <c r="G201" i="1"/>
  <c r="EA201" i="5"/>
  <c r="G176" i="1"/>
  <c r="EA176" i="5"/>
  <c r="G142" i="1"/>
  <c r="EA142" i="5"/>
  <c r="G181" i="1"/>
  <c r="EA181" i="5"/>
  <c r="G163" i="1"/>
  <c r="EA163" i="5"/>
  <c r="G121" i="1"/>
  <c r="EA121" i="5"/>
  <c r="G133" i="1"/>
  <c r="EA133" i="5"/>
  <c r="G183" i="1"/>
  <c r="EA183" i="5"/>
  <c r="G162" i="1"/>
  <c r="EA162" i="5"/>
  <c r="G125" i="1"/>
  <c r="EA125" i="5"/>
  <c r="G179" i="1"/>
  <c r="EA179" i="5"/>
  <c r="G143" i="1"/>
  <c r="EA143" i="5"/>
  <c r="G122" i="1"/>
  <c r="EA122" i="5"/>
  <c r="G137" i="1"/>
  <c r="EA137" i="5"/>
  <c r="G123" i="1"/>
  <c r="EA123" i="5"/>
  <c r="G141" i="1"/>
  <c r="EA141" i="5"/>
  <c r="G140" i="1"/>
  <c r="EA140" i="5"/>
  <c r="G105" i="1"/>
  <c r="EA105" i="5"/>
  <c r="G187" i="1"/>
  <c r="EA187" i="5"/>
  <c r="G178" i="1"/>
  <c r="EA178" i="5"/>
  <c r="G138" i="1"/>
  <c r="EA138" i="5"/>
  <c r="G168" i="1"/>
  <c r="EA168" i="5"/>
  <c r="G184" i="1"/>
  <c r="EA184" i="5"/>
  <c r="G170" i="1"/>
  <c r="EA170" i="5"/>
  <c r="G185" i="1"/>
  <c r="EA185" i="5"/>
  <c r="G174" i="1"/>
  <c r="EA174" i="5"/>
  <c r="G169" i="1"/>
  <c r="EA169" i="5"/>
  <c r="G175" i="1"/>
  <c r="EA175" i="5"/>
  <c r="G126" i="1"/>
  <c r="EA126" i="5"/>
  <c r="G161" i="1"/>
  <c r="EA161" i="5"/>
  <c r="CP3" i="5"/>
  <c r="DY3" i="5"/>
  <c r="EI11" i="21"/>
  <c r="EI203" i="21" s="1"/>
  <c r="J66" i="19" s="1"/>
  <c r="CS3" i="5" l="1"/>
  <c r="G56" i="1" s="1"/>
  <c r="DZ3" i="5"/>
  <c r="EJ11" i="21"/>
  <c r="EJ203" i="21" s="1"/>
  <c r="K66" i="19" s="1"/>
  <c r="G3" i="1" l="1"/>
  <c r="EA3" i="5"/>
  <c r="EK11" i="21"/>
  <c r="EK203" i="21" s="1"/>
  <c r="L66" i="19" s="1"/>
  <c r="EL11" i="21" l="1"/>
  <c r="EL203" i="21" s="1"/>
  <c r="M66" i="19" s="1"/>
  <c r="EM11" i="21" l="1"/>
  <c r="EM203" i="21" s="1"/>
  <c r="N66" i="19" s="1"/>
  <c r="EN11" i="21" l="1"/>
  <c r="EN203" i="21" s="1"/>
  <c r="O66" i="19" s="1"/>
  <c r="EO11" i="21" l="1"/>
  <c r="EO203" i="21" s="1"/>
  <c r="P66" i="19" s="1"/>
  <c r="EP11" i="21" l="1"/>
  <c r="EP203" i="21" s="1"/>
  <c r="Q66" i="19" s="1"/>
  <c r="EQ203" i="21" l="1"/>
  <c r="R66" i="19" s="1"/>
  <c r="ER203" i="21" l="1"/>
  <c r="S66" i="19" s="1"/>
  <c r="ES203" i="21" l="1"/>
  <c r="T66" i="19" s="1"/>
  <c r="ET203" i="21" l="1"/>
  <c r="U66" i="19" s="1"/>
  <c r="EU203" i="21" l="1"/>
  <c r="V66" i="19" s="1"/>
  <c r="EV203" i="21" l="1"/>
  <c r="W66" i="19" s="1"/>
  <c r="EX11" i="21" l="1"/>
  <c r="EX203" i="21" s="1"/>
  <c r="Y66" i="19" s="1"/>
  <c r="EW203" i="21"/>
  <c r="X66" i="19" s="1"/>
  <c r="EZ11" i="21" l="1"/>
  <c r="EZ203" i="21" s="1"/>
  <c r="AA66" i="19" s="1"/>
  <c r="EY11" i="21"/>
  <c r="EY203" i="21" s="1"/>
  <c r="Z66" i="19" s="1"/>
  <c r="FA11" i="21" l="1"/>
  <c r="FA203" i="21" s="1"/>
  <c r="AB66" i="19" s="1"/>
  <c r="FB11" i="21" l="1"/>
  <c r="FB203" i="21" s="1"/>
  <c r="AC66" i="19" s="1"/>
  <c r="FD11" i="21" l="1"/>
  <c r="FC11" i="21"/>
  <c r="FC203" i="21" s="1"/>
  <c r="AD66" i="19" s="1"/>
  <c r="FD203" i="21" l="1"/>
  <c r="AE66" i="19" s="1"/>
  <c r="FE11" i="21" l="1"/>
  <c r="FE203" i="21" s="1"/>
  <c r="AF66" i="19" s="1"/>
  <c r="DZ122" i="2" l="1"/>
  <c r="CR122" i="2"/>
  <c r="EX122" i="2" l="1"/>
  <c r="CV122" i="2"/>
  <c r="EY122" i="2"/>
  <c r="CO122" i="3"/>
  <c r="DY122" i="3" l="1"/>
  <c r="EZ122" i="2"/>
  <c r="CZ122" i="2"/>
  <c r="FA122" i="2" l="1"/>
  <c r="DD122" i="2"/>
  <c r="DH122" i="2" l="1"/>
  <c r="DL122" i="2" s="1"/>
  <c r="DP122" i="2" s="1"/>
  <c r="DT122" i="2" s="1"/>
  <c r="DX122" i="2" s="1"/>
  <c r="E122" i="1" s="1"/>
  <c r="FB122" i="2"/>
  <c r="DZ165" i="2" l="1"/>
  <c r="CR165" i="2"/>
  <c r="CO165" i="3" l="1"/>
  <c r="EX165" i="2"/>
  <c r="CV165" i="2"/>
  <c r="EZ165" i="2" s="1"/>
  <c r="EY165" i="2"/>
  <c r="DY165" i="3" l="1"/>
  <c r="CZ165" i="2"/>
  <c r="FA165" i="2" s="1"/>
  <c r="DD165" i="2" l="1"/>
  <c r="DH165" i="2" s="1"/>
  <c r="DL165" i="2" s="1"/>
  <c r="DP165" i="2" s="1"/>
  <c r="DT165" i="2" s="1"/>
  <c r="DX165" i="2" s="1"/>
  <c r="E165" i="1" s="1"/>
  <c r="FB165" i="2" l="1"/>
  <c r="H114" i="3" l="1"/>
  <c r="EB114" i="3"/>
  <c r="H90" i="3"/>
  <c r="EB90" i="3"/>
  <c r="H58" i="3"/>
  <c r="EB58" i="3"/>
  <c r="H105" i="3"/>
  <c r="EB105" i="3"/>
  <c r="H73" i="3"/>
  <c r="EB73" i="3"/>
  <c r="H41" i="3"/>
  <c r="EB41" i="3"/>
  <c r="H13" i="3"/>
  <c r="EB13" i="3"/>
  <c r="H116" i="3"/>
  <c r="EB116" i="3"/>
  <c r="H100" i="3"/>
  <c r="EB100" i="3"/>
  <c r="H84" i="3"/>
  <c r="EB84" i="3"/>
  <c r="H68" i="3"/>
  <c r="EB68" i="3"/>
  <c r="H52" i="3"/>
  <c r="EB52" i="3"/>
  <c r="H36" i="3"/>
  <c r="EB36" i="3"/>
  <c r="H20" i="3"/>
  <c r="EB20" i="3"/>
  <c r="H4" i="3"/>
  <c r="EB4" i="3"/>
  <c r="H118" i="3"/>
  <c r="EB118" i="3"/>
  <c r="H86" i="3"/>
  <c r="EB86" i="3"/>
  <c r="H54" i="3"/>
  <c r="EB54" i="3"/>
  <c r="H26" i="3"/>
  <c r="EB26" i="3"/>
  <c r="H10" i="3"/>
  <c r="EB10" i="3"/>
  <c r="H191" i="3"/>
  <c r="EB191" i="3"/>
  <c r="H109" i="3"/>
  <c r="EB109" i="3"/>
  <c r="H77" i="3"/>
  <c r="EB77" i="3"/>
  <c r="H45" i="3"/>
  <c r="EB45" i="3"/>
  <c r="H9" i="3"/>
  <c r="EB9" i="3"/>
  <c r="H115" i="3"/>
  <c r="EB115" i="3"/>
  <c r="H99" i="3"/>
  <c r="EB99" i="3"/>
  <c r="H83" i="3"/>
  <c r="EB83" i="3"/>
  <c r="H67" i="3"/>
  <c r="EB67" i="3"/>
  <c r="H51" i="3"/>
  <c r="EB51" i="3"/>
  <c r="H35" i="3"/>
  <c r="EB35" i="3"/>
  <c r="H19" i="3"/>
  <c r="EB19" i="3"/>
  <c r="H200" i="3"/>
  <c r="EB200" i="3"/>
  <c r="H82" i="3"/>
  <c r="EB82" i="3"/>
  <c r="H50" i="3"/>
  <c r="EB50" i="3"/>
  <c r="H97" i="3"/>
  <c r="EB97" i="3"/>
  <c r="H65" i="3"/>
  <c r="EB65" i="3"/>
  <c r="H33" i="3"/>
  <c r="EB33" i="3"/>
  <c r="H5" i="3"/>
  <c r="EB5" i="3"/>
  <c r="H112" i="3"/>
  <c r="EB112" i="3"/>
  <c r="H96" i="3"/>
  <c r="EB96" i="3"/>
  <c r="H80" i="3"/>
  <c r="EB80" i="3"/>
  <c r="H64" i="3"/>
  <c r="EB64" i="3"/>
  <c r="H48" i="3"/>
  <c r="EB48" i="3"/>
  <c r="H32" i="3"/>
  <c r="EB32" i="3"/>
  <c r="H16" i="3"/>
  <c r="EB16" i="3"/>
  <c r="H197" i="3"/>
  <c r="EB197" i="3"/>
  <c r="H110" i="3"/>
  <c r="EB110" i="3"/>
  <c r="H78" i="3"/>
  <c r="EB78" i="3"/>
  <c r="H46" i="3"/>
  <c r="EB46" i="3"/>
  <c r="H22" i="3"/>
  <c r="EB22" i="3"/>
  <c r="H6" i="3"/>
  <c r="EB6" i="3"/>
  <c r="EB3" i="3"/>
  <c r="H3" i="3"/>
  <c r="H101" i="3"/>
  <c r="EB101" i="3"/>
  <c r="H69" i="3"/>
  <c r="EB69" i="3"/>
  <c r="H37" i="3"/>
  <c r="EB37" i="3"/>
  <c r="H198" i="3"/>
  <c r="EB198" i="3"/>
  <c r="H111" i="3"/>
  <c r="EB111" i="3"/>
  <c r="H95" i="3"/>
  <c r="EB95" i="3"/>
  <c r="H79" i="3"/>
  <c r="EB79" i="3"/>
  <c r="H63" i="3"/>
  <c r="EB63" i="3"/>
  <c r="H47" i="3"/>
  <c r="EB47" i="3"/>
  <c r="H31" i="3"/>
  <c r="EB31" i="3"/>
  <c r="H15" i="3"/>
  <c r="EB15" i="3"/>
  <c r="H196" i="3"/>
  <c r="EB196" i="3"/>
  <c r="H106" i="3"/>
  <c r="EB106" i="3"/>
  <c r="H74" i="3"/>
  <c r="EB74" i="3"/>
  <c r="H42" i="3"/>
  <c r="EB42" i="3"/>
  <c r="H89" i="3"/>
  <c r="EB89" i="3"/>
  <c r="H57" i="3"/>
  <c r="EB57" i="3"/>
  <c r="H25" i="3"/>
  <c r="EB25" i="3"/>
  <c r="H190" i="3"/>
  <c r="EB190" i="3"/>
  <c r="H108" i="3"/>
  <c r="EB108" i="3"/>
  <c r="H92" i="3"/>
  <c r="EB92" i="3"/>
  <c r="H76" i="3"/>
  <c r="EB76" i="3"/>
  <c r="H60" i="3"/>
  <c r="EB60" i="3"/>
  <c r="H44" i="3"/>
  <c r="EB44" i="3"/>
  <c r="H28" i="3"/>
  <c r="EB28" i="3"/>
  <c r="H12" i="3"/>
  <c r="EB12" i="3"/>
  <c r="H193" i="3"/>
  <c r="EB193" i="3"/>
  <c r="H102" i="3"/>
  <c r="EB102" i="3"/>
  <c r="H70" i="3"/>
  <c r="EB70" i="3"/>
  <c r="H38" i="3"/>
  <c r="EB38" i="3"/>
  <c r="H18" i="3"/>
  <c r="EB18" i="3"/>
  <c r="H199" i="3"/>
  <c r="EB199" i="3"/>
  <c r="H117" i="3"/>
  <c r="EB117" i="3"/>
  <c r="H93" i="3"/>
  <c r="EB93" i="3"/>
  <c r="H61" i="3"/>
  <c r="EB61" i="3"/>
  <c r="H29" i="3"/>
  <c r="EB29" i="3"/>
  <c r="H194" i="3"/>
  <c r="EB194" i="3"/>
  <c r="H107" i="3"/>
  <c r="EB107" i="3"/>
  <c r="H91" i="3"/>
  <c r="EB91" i="3"/>
  <c r="H75" i="3"/>
  <c r="EB75" i="3"/>
  <c r="H59" i="3"/>
  <c r="EB59" i="3"/>
  <c r="H43" i="3"/>
  <c r="EB43" i="3"/>
  <c r="H27" i="3"/>
  <c r="EB27" i="3"/>
  <c r="H11" i="3"/>
  <c r="EB11" i="3"/>
  <c r="H192" i="3"/>
  <c r="EB192" i="3"/>
  <c r="H98" i="3"/>
  <c r="EB98" i="3"/>
  <c r="H66" i="3"/>
  <c r="EB66" i="3"/>
  <c r="H30" i="3"/>
  <c r="EB30" i="3"/>
  <c r="H81" i="3"/>
  <c r="EB81" i="3"/>
  <c r="H49" i="3"/>
  <c r="EB49" i="3"/>
  <c r="H21" i="3"/>
  <c r="EB21" i="3"/>
  <c r="H120" i="3"/>
  <c r="EB120" i="3"/>
  <c r="H104" i="3"/>
  <c r="EB104" i="3"/>
  <c r="H88" i="3"/>
  <c r="EB88" i="3"/>
  <c r="H72" i="3"/>
  <c r="EB72" i="3"/>
  <c r="H56" i="3"/>
  <c r="EB56" i="3"/>
  <c r="H40" i="3"/>
  <c r="EB40" i="3"/>
  <c r="H24" i="3"/>
  <c r="EB24" i="3"/>
  <c r="H8" i="3"/>
  <c r="EB8" i="3"/>
  <c r="H189" i="3"/>
  <c r="EB189" i="3"/>
  <c r="H94" i="3"/>
  <c r="EB94" i="3"/>
  <c r="H62" i="3"/>
  <c r="EB62" i="3"/>
  <c r="H34" i="3"/>
  <c r="EB34" i="3"/>
  <c r="EB14" i="3"/>
  <c r="H195" i="3"/>
  <c r="EB195" i="3"/>
  <c r="H113" i="3"/>
  <c r="EB113" i="3"/>
  <c r="H85" i="3"/>
  <c r="EB85" i="3"/>
  <c r="H53" i="3"/>
  <c r="EB53" i="3"/>
  <c r="H17" i="3"/>
  <c r="EB17" i="3"/>
  <c r="H119" i="3"/>
  <c r="EB119" i="3"/>
  <c r="H103" i="3"/>
  <c r="EB103" i="3"/>
  <c r="H87" i="3"/>
  <c r="EB87" i="3"/>
  <c r="H71" i="3"/>
  <c r="EB71" i="3"/>
  <c r="H55" i="3"/>
  <c r="EB55" i="3"/>
  <c r="H39" i="3"/>
  <c r="EB39" i="3"/>
  <c r="H23" i="3"/>
  <c r="EB23" i="3"/>
  <c r="H7" i="3"/>
  <c r="EB7" i="3"/>
  <c r="H188" i="3"/>
  <c r="EB188" i="3"/>
  <c r="EB203" i="3" l="1"/>
  <c r="C65" i="19" s="1"/>
  <c r="L188" i="3"/>
  <c r="EC188" i="3"/>
  <c r="L55" i="3"/>
  <c r="EC55" i="3"/>
  <c r="L119" i="3"/>
  <c r="EC119" i="3"/>
  <c r="L7" i="3"/>
  <c r="EC7" i="3"/>
  <c r="L39" i="3"/>
  <c r="EC39" i="3"/>
  <c r="L71" i="3"/>
  <c r="EC71" i="3"/>
  <c r="L103" i="3"/>
  <c r="EC103" i="3"/>
  <c r="L17" i="3"/>
  <c r="EC17" i="3"/>
  <c r="L85" i="3"/>
  <c r="EC85" i="3"/>
  <c r="L195" i="3"/>
  <c r="EC195" i="3"/>
  <c r="L34" i="3"/>
  <c r="EC34" i="3"/>
  <c r="L94" i="3"/>
  <c r="EC94" i="3"/>
  <c r="L8" i="3"/>
  <c r="EC8" i="3"/>
  <c r="L40" i="3"/>
  <c r="EC40" i="3"/>
  <c r="L72" i="3"/>
  <c r="EC72" i="3"/>
  <c r="L104" i="3"/>
  <c r="EC104" i="3"/>
  <c r="L21" i="3"/>
  <c r="EC21" i="3"/>
  <c r="L81" i="3"/>
  <c r="EC81" i="3"/>
  <c r="L66" i="3"/>
  <c r="EC66" i="3"/>
  <c r="L192" i="3"/>
  <c r="EC192" i="3"/>
  <c r="L27" i="3"/>
  <c r="EC27" i="3"/>
  <c r="L59" i="3"/>
  <c r="EC59" i="3"/>
  <c r="L91" i="3"/>
  <c r="EC91" i="3"/>
  <c r="L194" i="3"/>
  <c r="EC194" i="3"/>
  <c r="L61" i="3"/>
  <c r="EC61" i="3"/>
  <c r="L117" i="3"/>
  <c r="EC117" i="3"/>
  <c r="L18" i="3"/>
  <c r="EC18" i="3"/>
  <c r="L70" i="3"/>
  <c r="EC70" i="3"/>
  <c r="L193" i="3"/>
  <c r="EC193" i="3"/>
  <c r="L28" i="3"/>
  <c r="EC28" i="3"/>
  <c r="L60" i="3"/>
  <c r="EC60" i="3"/>
  <c r="L92" i="3"/>
  <c r="EC92" i="3"/>
  <c r="L190" i="3"/>
  <c r="EC190" i="3"/>
  <c r="L57" i="3"/>
  <c r="EC57" i="3"/>
  <c r="L42" i="3"/>
  <c r="EC42" i="3"/>
  <c r="L106" i="3"/>
  <c r="EC106" i="3"/>
  <c r="L15" i="3"/>
  <c r="EC15" i="3"/>
  <c r="L47" i="3"/>
  <c r="EC47" i="3"/>
  <c r="L79" i="3"/>
  <c r="EC79" i="3"/>
  <c r="L111" i="3"/>
  <c r="EC111" i="3"/>
  <c r="L37" i="3"/>
  <c r="EC37" i="3"/>
  <c r="L101" i="3"/>
  <c r="EC101" i="3"/>
  <c r="L6" i="3"/>
  <c r="EC6" i="3"/>
  <c r="L46" i="3"/>
  <c r="EC46" i="3"/>
  <c r="L110" i="3"/>
  <c r="EC110" i="3"/>
  <c r="L16" i="3"/>
  <c r="EC16" i="3"/>
  <c r="L48" i="3"/>
  <c r="EC48" i="3"/>
  <c r="L80" i="3"/>
  <c r="EC80" i="3"/>
  <c r="L112" i="3"/>
  <c r="EC112" i="3"/>
  <c r="L33" i="3"/>
  <c r="EC33" i="3"/>
  <c r="L97" i="3"/>
  <c r="EC97" i="3"/>
  <c r="L82" i="3"/>
  <c r="EC82" i="3"/>
  <c r="L19" i="3"/>
  <c r="EC19" i="3"/>
  <c r="L51" i="3"/>
  <c r="EC51" i="3"/>
  <c r="L83" i="3"/>
  <c r="EC83" i="3"/>
  <c r="L115" i="3"/>
  <c r="EC115" i="3"/>
  <c r="L45" i="3"/>
  <c r="EC45" i="3"/>
  <c r="L109" i="3"/>
  <c r="EC109" i="3"/>
  <c r="L10" i="3"/>
  <c r="EC10" i="3"/>
  <c r="L54" i="3"/>
  <c r="EC54" i="3"/>
  <c r="L118" i="3"/>
  <c r="EC118" i="3"/>
  <c r="L20" i="3"/>
  <c r="EC20" i="3"/>
  <c r="L52" i="3"/>
  <c r="EC52" i="3"/>
  <c r="L84" i="3"/>
  <c r="EC84" i="3"/>
  <c r="L116" i="3"/>
  <c r="EC116" i="3"/>
  <c r="L41" i="3"/>
  <c r="EC41" i="3"/>
  <c r="L105" i="3"/>
  <c r="EC105" i="3"/>
  <c r="L90" i="3"/>
  <c r="EC90" i="3"/>
  <c r="EC3" i="3"/>
  <c r="L3" i="3"/>
  <c r="L23" i="3"/>
  <c r="EC23" i="3"/>
  <c r="L87" i="3"/>
  <c r="EC87" i="3"/>
  <c r="L53" i="3"/>
  <c r="EC53" i="3"/>
  <c r="L113" i="3"/>
  <c r="EC113" i="3"/>
  <c r="EC14" i="3"/>
  <c r="L62" i="3"/>
  <c r="EC62" i="3"/>
  <c r="L189" i="3"/>
  <c r="EC189" i="3"/>
  <c r="L24" i="3"/>
  <c r="EC24" i="3"/>
  <c r="L56" i="3"/>
  <c r="EC56" i="3"/>
  <c r="L88" i="3"/>
  <c r="EC88" i="3"/>
  <c r="L120" i="3"/>
  <c r="EC120" i="3"/>
  <c r="L49" i="3"/>
  <c r="EC49" i="3"/>
  <c r="L30" i="3"/>
  <c r="EC30" i="3"/>
  <c r="L98" i="3"/>
  <c r="EC98" i="3"/>
  <c r="L11" i="3"/>
  <c r="EC11" i="3"/>
  <c r="L43" i="3"/>
  <c r="EC43" i="3"/>
  <c r="L75" i="3"/>
  <c r="EC75" i="3"/>
  <c r="L107" i="3"/>
  <c r="EC107" i="3"/>
  <c r="L29" i="3"/>
  <c r="EC29" i="3"/>
  <c r="L93" i="3"/>
  <c r="EC93" i="3"/>
  <c r="L199" i="3"/>
  <c r="EC199" i="3"/>
  <c r="L38" i="3"/>
  <c r="EC38" i="3"/>
  <c r="L102" i="3"/>
  <c r="EC102" i="3"/>
  <c r="L12" i="3"/>
  <c r="EC12" i="3"/>
  <c r="L44" i="3"/>
  <c r="EC44" i="3"/>
  <c r="L76" i="3"/>
  <c r="EC76" i="3"/>
  <c r="L108" i="3"/>
  <c r="EC108" i="3"/>
  <c r="L25" i="3"/>
  <c r="EC25" i="3"/>
  <c r="L89" i="3"/>
  <c r="EC89" i="3"/>
  <c r="L74" i="3"/>
  <c r="EC74" i="3"/>
  <c r="L196" i="3"/>
  <c r="EC196" i="3"/>
  <c r="L31" i="3"/>
  <c r="EC31" i="3"/>
  <c r="L63" i="3"/>
  <c r="EC63" i="3"/>
  <c r="L95" i="3"/>
  <c r="EC95" i="3"/>
  <c r="L198" i="3"/>
  <c r="EC198" i="3"/>
  <c r="L69" i="3"/>
  <c r="EC69" i="3"/>
  <c r="L22" i="3"/>
  <c r="EC22" i="3"/>
  <c r="L78" i="3"/>
  <c r="EC78" i="3"/>
  <c r="L197" i="3"/>
  <c r="EC197" i="3"/>
  <c r="L32" i="3"/>
  <c r="EC32" i="3"/>
  <c r="L64" i="3"/>
  <c r="EC64" i="3"/>
  <c r="L96" i="3"/>
  <c r="EC96" i="3"/>
  <c r="L5" i="3"/>
  <c r="EC5" i="3"/>
  <c r="L65" i="3"/>
  <c r="EC65" i="3"/>
  <c r="L50" i="3"/>
  <c r="EC50" i="3"/>
  <c r="L200" i="3"/>
  <c r="EC200" i="3"/>
  <c r="L35" i="3"/>
  <c r="EC35" i="3"/>
  <c r="L67" i="3"/>
  <c r="EC67" i="3"/>
  <c r="L99" i="3"/>
  <c r="EC99" i="3"/>
  <c r="L9" i="3"/>
  <c r="EC9" i="3"/>
  <c r="L77" i="3"/>
  <c r="EC77" i="3"/>
  <c r="L191" i="3"/>
  <c r="EC191" i="3"/>
  <c r="L26" i="3"/>
  <c r="EC26" i="3"/>
  <c r="L86" i="3"/>
  <c r="EC86" i="3"/>
  <c r="L4" i="3"/>
  <c r="EC4" i="3"/>
  <c r="L36" i="3"/>
  <c r="EC36" i="3"/>
  <c r="L68" i="3"/>
  <c r="EC68" i="3"/>
  <c r="L100" i="3"/>
  <c r="EC100" i="3"/>
  <c r="L13" i="3"/>
  <c r="EC13" i="3"/>
  <c r="L73" i="3"/>
  <c r="EC73" i="3"/>
  <c r="L58" i="3"/>
  <c r="EC58" i="3"/>
  <c r="L114" i="3"/>
  <c r="EC114" i="3"/>
  <c r="EC203" i="3" l="1"/>
  <c r="D65" i="19" s="1"/>
  <c r="P73" i="3"/>
  <c r="ED73" i="3"/>
  <c r="P36" i="3"/>
  <c r="ED36" i="3"/>
  <c r="P86" i="3"/>
  <c r="ED86" i="3"/>
  <c r="P95" i="3"/>
  <c r="ED95" i="3"/>
  <c r="P58" i="3"/>
  <c r="ED58" i="3"/>
  <c r="P13" i="3"/>
  <c r="ED13" i="3"/>
  <c r="P68" i="3"/>
  <c r="ED68" i="3"/>
  <c r="P4" i="3"/>
  <c r="ED4" i="3"/>
  <c r="P26" i="3"/>
  <c r="ED26" i="3"/>
  <c r="P77" i="3"/>
  <c r="ED77" i="3"/>
  <c r="P99" i="3"/>
  <c r="ED99" i="3"/>
  <c r="P35" i="3"/>
  <c r="ED35" i="3"/>
  <c r="P50" i="3"/>
  <c r="ED50" i="3"/>
  <c r="P5" i="3"/>
  <c r="ED5" i="3"/>
  <c r="P64" i="3"/>
  <c r="ED64" i="3"/>
  <c r="P197" i="3"/>
  <c r="ED197" i="3"/>
  <c r="P22" i="3"/>
  <c r="ED22" i="3"/>
  <c r="P198" i="3"/>
  <c r="ED198" i="3"/>
  <c r="P63" i="3"/>
  <c r="ED63" i="3"/>
  <c r="P196" i="3"/>
  <c r="ED196" i="3"/>
  <c r="P89" i="3"/>
  <c r="ED89" i="3"/>
  <c r="P108" i="3"/>
  <c r="ED108" i="3"/>
  <c r="P44" i="3"/>
  <c r="ED44" i="3"/>
  <c r="P102" i="3"/>
  <c r="ED102" i="3"/>
  <c r="P199" i="3"/>
  <c r="ED199" i="3"/>
  <c r="P29" i="3"/>
  <c r="ED29" i="3"/>
  <c r="P75" i="3"/>
  <c r="ED75" i="3"/>
  <c r="P11" i="3"/>
  <c r="ED11" i="3"/>
  <c r="P30" i="3"/>
  <c r="ED30" i="3"/>
  <c r="P120" i="3"/>
  <c r="ED120" i="3"/>
  <c r="P56" i="3"/>
  <c r="ED56" i="3"/>
  <c r="P189" i="3"/>
  <c r="ED189" i="3"/>
  <c r="ED14" i="3"/>
  <c r="P53" i="3"/>
  <c r="ED53" i="3"/>
  <c r="P23" i="3"/>
  <c r="ED23" i="3"/>
  <c r="P90" i="3"/>
  <c r="ED90" i="3"/>
  <c r="P41" i="3"/>
  <c r="ED41" i="3"/>
  <c r="P84" i="3"/>
  <c r="ED84" i="3"/>
  <c r="P20" i="3"/>
  <c r="ED20" i="3"/>
  <c r="P54" i="3"/>
  <c r="ED54" i="3"/>
  <c r="P109" i="3"/>
  <c r="ED109" i="3"/>
  <c r="P115" i="3"/>
  <c r="ED115" i="3"/>
  <c r="P51" i="3"/>
  <c r="ED51" i="3"/>
  <c r="P82" i="3"/>
  <c r="ED82" i="3"/>
  <c r="P33" i="3"/>
  <c r="ED33" i="3"/>
  <c r="P80" i="3"/>
  <c r="ED80" i="3"/>
  <c r="P16" i="3"/>
  <c r="ED16" i="3"/>
  <c r="P46" i="3"/>
  <c r="ED46" i="3"/>
  <c r="P101" i="3"/>
  <c r="ED101" i="3"/>
  <c r="P111" i="3"/>
  <c r="ED111" i="3"/>
  <c r="P47" i="3"/>
  <c r="ED47" i="3"/>
  <c r="P106" i="3"/>
  <c r="ED106" i="3"/>
  <c r="P57" i="3"/>
  <c r="ED57" i="3"/>
  <c r="P92" i="3"/>
  <c r="ED92" i="3"/>
  <c r="P28" i="3"/>
  <c r="ED28" i="3"/>
  <c r="P70" i="3"/>
  <c r="ED70" i="3"/>
  <c r="P117" i="3"/>
  <c r="ED117" i="3"/>
  <c r="P194" i="3"/>
  <c r="ED194" i="3"/>
  <c r="P59" i="3"/>
  <c r="ED59" i="3"/>
  <c r="P192" i="3"/>
  <c r="ED192" i="3"/>
  <c r="P81" i="3"/>
  <c r="ED81" i="3"/>
  <c r="P104" i="3"/>
  <c r="ED104" i="3"/>
  <c r="P40" i="3"/>
  <c r="ED40" i="3"/>
  <c r="P94" i="3"/>
  <c r="ED94" i="3"/>
  <c r="P195" i="3"/>
  <c r="ED195" i="3"/>
  <c r="P17" i="3"/>
  <c r="ED17" i="3"/>
  <c r="P71" i="3"/>
  <c r="ED71" i="3"/>
  <c r="P7" i="3"/>
  <c r="ED7" i="3"/>
  <c r="P55" i="3"/>
  <c r="ED55" i="3"/>
  <c r="P100" i="3"/>
  <c r="ED100" i="3"/>
  <c r="P191" i="3"/>
  <c r="ED191" i="3"/>
  <c r="P9" i="3"/>
  <c r="ED9" i="3"/>
  <c r="P67" i="3"/>
  <c r="ED67" i="3"/>
  <c r="P200" i="3"/>
  <c r="ED200" i="3"/>
  <c r="P65" i="3"/>
  <c r="ED65" i="3"/>
  <c r="P96" i="3"/>
  <c r="ED96" i="3"/>
  <c r="P32" i="3"/>
  <c r="ED32" i="3"/>
  <c r="P78" i="3"/>
  <c r="ED78" i="3"/>
  <c r="ED3" i="3"/>
  <c r="P3" i="3"/>
  <c r="P114" i="3"/>
  <c r="ED114" i="3"/>
  <c r="P69" i="3"/>
  <c r="ED69" i="3"/>
  <c r="P31" i="3"/>
  <c r="ED31" i="3"/>
  <c r="P74" i="3"/>
  <c r="ED74" i="3"/>
  <c r="P25" i="3"/>
  <c r="ED25" i="3"/>
  <c r="P76" i="3"/>
  <c r="ED76" i="3"/>
  <c r="P12" i="3"/>
  <c r="ED12" i="3"/>
  <c r="P38" i="3"/>
  <c r="ED38" i="3"/>
  <c r="P93" i="3"/>
  <c r="ED93" i="3"/>
  <c r="P107" i="3"/>
  <c r="ED107" i="3"/>
  <c r="P43" i="3"/>
  <c r="ED43" i="3"/>
  <c r="P98" i="3"/>
  <c r="ED98" i="3"/>
  <c r="P49" i="3"/>
  <c r="ED49" i="3"/>
  <c r="P88" i="3"/>
  <c r="ED88" i="3"/>
  <c r="P24" i="3"/>
  <c r="ED24" i="3"/>
  <c r="P62" i="3"/>
  <c r="ED62" i="3"/>
  <c r="P113" i="3"/>
  <c r="ED113" i="3"/>
  <c r="P87" i="3"/>
  <c r="ED87" i="3"/>
  <c r="P105" i="3"/>
  <c r="ED105" i="3"/>
  <c r="P116" i="3"/>
  <c r="ED116" i="3"/>
  <c r="P52" i="3"/>
  <c r="ED52" i="3"/>
  <c r="P118" i="3"/>
  <c r="ED118" i="3"/>
  <c r="P10" i="3"/>
  <c r="ED10" i="3"/>
  <c r="P45" i="3"/>
  <c r="ED45" i="3"/>
  <c r="P83" i="3"/>
  <c r="ED83" i="3"/>
  <c r="P19" i="3"/>
  <c r="ED19" i="3"/>
  <c r="P97" i="3"/>
  <c r="ED97" i="3"/>
  <c r="P112" i="3"/>
  <c r="ED112" i="3"/>
  <c r="P48" i="3"/>
  <c r="ED48" i="3"/>
  <c r="P110" i="3"/>
  <c r="ED110" i="3"/>
  <c r="P6" i="3"/>
  <c r="ED6" i="3"/>
  <c r="P37" i="3"/>
  <c r="ED37" i="3"/>
  <c r="P79" i="3"/>
  <c r="ED79" i="3"/>
  <c r="P15" i="3"/>
  <c r="ED15" i="3"/>
  <c r="P42" i="3"/>
  <c r="ED42" i="3"/>
  <c r="P190" i="3"/>
  <c r="ED190" i="3"/>
  <c r="P60" i="3"/>
  <c r="ED60" i="3"/>
  <c r="P193" i="3"/>
  <c r="ED193" i="3"/>
  <c r="P18" i="3"/>
  <c r="ED18" i="3"/>
  <c r="P61" i="3"/>
  <c r="ED61" i="3"/>
  <c r="P91" i="3"/>
  <c r="ED91" i="3"/>
  <c r="P27" i="3"/>
  <c r="ED27" i="3"/>
  <c r="P66" i="3"/>
  <c r="ED66" i="3"/>
  <c r="P21" i="3"/>
  <c r="ED21" i="3"/>
  <c r="P72" i="3"/>
  <c r="ED72" i="3"/>
  <c r="P8" i="3"/>
  <c r="ED8" i="3"/>
  <c r="P34" i="3"/>
  <c r="ED34" i="3"/>
  <c r="P85" i="3"/>
  <c r="ED85" i="3"/>
  <c r="P103" i="3"/>
  <c r="ED103" i="3"/>
  <c r="P39" i="3"/>
  <c r="ED39" i="3"/>
  <c r="P119" i="3"/>
  <c r="ED119" i="3"/>
  <c r="P188" i="3"/>
  <c r="ED188" i="3"/>
  <c r="ED203" i="3" l="1"/>
  <c r="E65" i="19" s="1"/>
  <c r="T188" i="3"/>
  <c r="EE188" i="3"/>
  <c r="T85" i="3"/>
  <c r="EE85" i="3"/>
  <c r="T21" i="3"/>
  <c r="EE21" i="3"/>
  <c r="T119" i="3"/>
  <c r="EE119" i="3"/>
  <c r="T103" i="3"/>
  <c r="EE103" i="3"/>
  <c r="T34" i="3"/>
  <c r="EE34" i="3"/>
  <c r="T72" i="3"/>
  <c r="EE72" i="3"/>
  <c r="T66" i="3"/>
  <c r="EE66" i="3"/>
  <c r="T91" i="3"/>
  <c r="EE91" i="3"/>
  <c r="T18" i="3"/>
  <c r="EE18" i="3"/>
  <c r="T60" i="3"/>
  <c r="EE60" i="3"/>
  <c r="T42" i="3"/>
  <c r="EE42" i="3"/>
  <c r="T79" i="3"/>
  <c r="EE79" i="3"/>
  <c r="T6" i="3"/>
  <c r="EE6" i="3"/>
  <c r="T48" i="3"/>
  <c r="EE48" i="3"/>
  <c r="T97" i="3"/>
  <c r="EE97" i="3"/>
  <c r="T83" i="3"/>
  <c r="EE83" i="3"/>
  <c r="T10" i="3"/>
  <c r="EE10" i="3"/>
  <c r="T52" i="3"/>
  <c r="EE52" i="3"/>
  <c r="T105" i="3"/>
  <c r="EE105" i="3"/>
  <c r="T113" i="3"/>
  <c r="EE113" i="3"/>
  <c r="T24" i="3"/>
  <c r="EE24" i="3"/>
  <c r="T49" i="3"/>
  <c r="EE49" i="3"/>
  <c r="T43" i="3"/>
  <c r="EE43" i="3"/>
  <c r="T93" i="3"/>
  <c r="EE93" i="3"/>
  <c r="T12" i="3"/>
  <c r="EE12" i="3"/>
  <c r="T25" i="3"/>
  <c r="EE25" i="3"/>
  <c r="T31" i="3"/>
  <c r="EE31" i="3"/>
  <c r="T114" i="3"/>
  <c r="EE114" i="3"/>
  <c r="T78" i="3"/>
  <c r="EE78" i="3"/>
  <c r="T96" i="3"/>
  <c r="EE96" i="3"/>
  <c r="T200" i="3"/>
  <c r="EE200" i="3"/>
  <c r="T9" i="3"/>
  <c r="EE9" i="3"/>
  <c r="T100" i="3"/>
  <c r="EE100" i="3"/>
  <c r="T7" i="3"/>
  <c r="EE7" i="3"/>
  <c r="T17" i="3"/>
  <c r="EE17" i="3"/>
  <c r="T94" i="3"/>
  <c r="EE94" i="3"/>
  <c r="T104" i="3"/>
  <c r="EE104" i="3"/>
  <c r="T192" i="3"/>
  <c r="EE192" i="3"/>
  <c r="T194" i="3"/>
  <c r="EE194" i="3"/>
  <c r="T70" i="3"/>
  <c r="EE70" i="3"/>
  <c r="T92" i="3"/>
  <c r="EE92" i="3"/>
  <c r="T106" i="3"/>
  <c r="EE106" i="3"/>
  <c r="T111" i="3"/>
  <c r="EE111" i="3"/>
  <c r="T46" i="3"/>
  <c r="EE46" i="3"/>
  <c r="T80" i="3"/>
  <c r="EE80" i="3"/>
  <c r="T82" i="3"/>
  <c r="EE82" i="3"/>
  <c r="T115" i="3"/>
  <c r="EE115" i="3"/>
  <c r="T54" i="3"/>
  <c r="EE54" i="3"/>
  <c r="T84" i="3"/>
  <c r="EE84" i="3"/>
  <c r="T90" i="3"/>
  <c r="EE90" i="3"/>
  <c r="T53" i="3"/>
  <c r="EE53" i="3"/>
  <c r="T189" i="3"/>
  <c r="EE189" i="3"/>
  <c r="T120" i="3"/>
  <c r="EE120" i="3"/>
  <c r="T11" i="3"/>
  <c r="EE11" i="3"/>
  <c r="T29" i="3"/>
  <c r="EE29" i="3"/>
  <c r="T102" i="3"/>
  <c r="EE102" i="3"/>
  <c r="T108" i="3"/>
  <c r="EE108" i="3"/>
  <c r="T196" i="3"/>
  <c r="EE196" i="3"/>
  <c r="T198" i="3"/>
  <c r="EE198" i="3"/>
  <c r="T197" i="3"/>
  <c r="EE197" i="3"/>
  <c r="T5" i="3"/>
  <c r="EE5" i="3"/>
  <c r="T35" i="3"/>
  <c r="EE35" i="3"/>
  <c r="T77" i="3"/>
  <c r="EE77" i="3"/>
  <c r="T4" i="3"/>
  <c r="EE4" i="3"/>
  <c r="T13" i="3"/>
  <c r="EE13" i="3"/>
  <c r="T95" i="3"/>
  <c r="EE95" i="3"/>
  <c r="T36" i="3"/>
  <c r="EE36" i="3"/>
  <c r="T39" i="3"/>
  <c r="EE39" i="3"/>
  <c r="T8" i="3"/>
  <c r="EE8" i="3"/>
  <c r="T27" i="3"/>
  <c r="EE27" i="3"/>
  <c r="T61" i="3"/>
  <c r="EE61" i="3"/>
  <c r="T193" i="3"/>
  <c r="EE193" i="3"/>
  <c r="T190" i="3"/>
  <c r="EE190" i="3"/>
  <c r="T15" i="3"/>
  <c r="EE15" i="3"/>
  <c r="T37" i="3"/>
  <c r="EE37" i="3"/>
  <c r="T110" i="3"/>
  <c r="EE110" i="3"/>
  <c r="T112" i="3"/>
  <c r="EE112" i="3"/>
  <c r="T19" i="3"/>
  <c r="EE19" i="3"/>
  <c r="T45" i="3"/>
  <c r="EE45" i="3"/>
  <c r="T118" i="3"/>
  <c r="EE118" i="3"/>
  <c r="T116" i="3"/>
  <c r="EE116" i="3"/>
  <c r="T3" i="3"/>
  <c r="EE3" i="3"/>
  <c r="T87" i="3"/>
  <c r="EE87" i="3"/>
  <c r="T62" i="3"/>
  <c r="EE62" i="3"/>
  <c r="T88" i="3"/>
  <c r="EE88" i="3"/>
  <c r="T98" i="3"/>
  <c r="EE98" i="3"/>
  <c r="T107" i="3"/>
  <c r="EE107" i="3"/>
  <c r="T38" i="3"/>
  <c r="EE38" i="3"/>
  <c r="T76" i="3"/>
  <c r="EE76" i="3"/>
  <c r="T74" i="3"/>
  <c r="EE74" i="3"/>
  <c r="T69" i="3"/>
  <c r="EE69" i="3"/>
  <c r="T32" i="3"/>
  <c r="EE32" i="3"/>
  <c r="T65" i="3"/>
  <c r="EE65" i="3"/>
  <c r="T67" i="3"/>
  <c r="EE67" i="3"/>
  <c r="T191" i="3"/>
  <c r="EE191" i="3"/>
  <c r="T55" i="3"/>
  <c r="EE55" i="3"/>
  <c r="T71" i="3"/>
  <c r="EE71" i="3"/>
  <c r="T195" i="3"/>
  <c r="EE195" i="3"/>
  <c r="T40" i="3"/>
  <c r="EE40" i="3"/>
  <c r="T81" i="3"/>
  <c r="EE81" i="3"/>
  <c r="T59" i="3"/>
  <c r="EE59" i="3"/>
  <c r="T117" i="3"/>
  <c r="EE117" i="3"/>
  <c r="T28" i="3"/>
  <c r="EE28" i="3"/>
  <c r="T57" i="3"/>
  <c r="EE57" i="3"/>
  <c r="T47" i="3"/>
  <c r="EE47" i="3"/>
  <c r="T101" i="3"/>
  <c r="EE101" i="3"/>
  <c r="T16" i="3"/>
  <c r="EE16" i="3"/>
  <c r="T33" i="3"/>
  <c r="EE33" i="3"/>
  <c r="T51" i="3"/>
  <c r="EE51" i="3"/>
  <c r="T109" i="3"/>
  <c r="EE109" i="3"/>
  <c r="T20" i="3"/>
  <c r="EE20" i="3"/>
  <c r="T41" i="3"/>
  <c r="EE41" i="3"/>
  <c r="T23" i="3"/>
  <c r="EE23" i="3"/>
  <c r="EE14" i="3"/>
  <c r="T56" i="3"/>
  <c r="EE56" i="3"/>
  <c r="T30" i="3"/>
  <c r="EE30" i="3"/>
  <c r="T75" i="3"/>
  <c r="EE75" i="3"/>
  <c r="T199" i="3"/>
  <c r="EE199" i="3"/>
  <c r="T44" i="3"/>
  <c r="EE44" i="3"/>
  <c r="T89" i="3"/>
  <c r="EE89" i="3"/>
  <c r="T63" i="3"/>
  <c r="EE63" i="3"/>
  <c r="T22" i="3"/>
  <c r="EE22" i="3"/>
  <c r="T64" i="3"/>
  <c r="EE64" i="3"/>
  <c r="T50" i="3"/>
  <c r="EE50" i="3"/>
  <c r="T99" i="3"/>
  <c r="EE99" i="3"/>
  <c r="T26" i="3"/>
  <c r="EE26" i="3"/>
  <c r="T68" i="3"/>
  <c r="EE68" i="3"/>
  <c r="T58" i="3"/>
  <c r="EE58" i="3"/>
  <c r="T86" i="3"/>
  <c r="EE86" i="3"/>
  <c r="T73" i="3"/>
  <c r="EE73" i="3"/>
  <c r="EE203" i="3" l="1"/>
  <c r="F65" i="19" s="1"/>
  <c r="X73" i="3"/>
  <c r="EF73" i="3"/>
  <c r="X58" i="3"/>
  <c r="EF58" i="3"/>
  <c r="X86" i="3"/>
  <c r="EF86" i="3"/>
  <c r="X68" i="3"/>
  <c r="EF68" i="3"/>
  <c r="X99" i="3"/>
  <c r="EF99" i="3"/>
  <c r="X64" i="3"/>
  <c r="EF64" i="3"/>
  <c r="X63" i="3"/>
  <c r="EF63" i="3"/>
  <c r="X44" i="3"/>
  <c r="EF44" i="3"/>
  <c r="X75" i="3"/>
  <c r="EF75" i="3"/>
  <c r="X56" i="3"/>
  <c r="EF56" i="3"/>
  <c r="X23" i="3"/>
  <c r="EF23" i="3"/>
  <c r="X20" i="3"/>
  <c r="EF20" i="3"/>
  <c r="X51" i="3"/>
  <c r="EF51" i="3"/>
  <c r="X16" i="3"/>
  <c r="EF16" i="3"/>
  <c r="X47" i="3"/>
  <c r="EF47" i="3"/>
  <c r="X28" i="3"/>
  <c r="EF28" i="3"/>
  <c r="X59" i="3"/>
  <c r="EF59" i="3"/>
  <c r="X40" i="3"/>
  <c r="EF40" i="3"/>
  <c r="X71" i="3"/>
  <c r="EF71" i="3"/>
  <c r="X191" i="3"/>
  <c r="EF191" i="3"/>
  <c r="X65" i="3"/>
  <c r="EF65" i="3"/>
  <c r="X69" i="3"/>
  <c r="EF69" i="3"/>
  <c r="X76" i="3"/>
  <c r="EF76" i="3"/>
  <c r="X107" i="3"/>
  <c r="EF107" i="3"/>
  <c r="X88" i="3"/>
  <c r="EF88" i="3"/>
  <c r="X87" i="3"/>
  <c r="EF87" i="3"/>
  <c r="X116" i="3"/>
  <c r="EF116" i="3"/>
  <c r="X45" i="3"/>
  <c r="EF45" i="3"/>
  <c r="X112" i="3"/>
  <c r="EF112" i="3"/>
  <c r="X37" i="3"/>
  <c r="EF37" i="3"/>
  <c r="X190" i="3"/>
  <c r="EF190" i="3"/>
  <c r="X61" i="3"/>
  <c r="EF61" i="3"/>
  <c r="X8" i="3"/>
  <c r="EF8" i="3"/>
  <c r="X36" i="3"/>
  <c r="EF36" i="3"/>
  <c r="X13" i="3"/>
  <c r="EF13" i="3"/>
  <c r="X77" i="3"/>
  <c r="EF77" i="3"/>
  <c r="X5" i="3"/>
  <c r="EF5" i="3"/>
  <c r="X198" i="3"/>
  <c r="EF198" i="3"/>
  <c r="X108" i="3"/>
  <c r="EF108" i="3"/>
  <c r="X29" i="3"/>
  <c r="EF29" i="3"/>
  <c r="X120" i="3"/>
  <c r="EF120" i="3"/>
  <c r="X53" i="3"/>
  <c r="EF53" i="3"/>
  <c r="X84" i="3"/>
  <c r="EF84" i="3"/>
  <c r="X115" i="3"/>
  <c r="EF115" i="3"/>
  <c r="X80" i="3"/>
  <c r="EF80" i="3"/>
  <c r="X111" i="3"/>
  <c r="EF111" i="3"/>
  <c r="X92" i="3"/>
  <c r="EF92" i="3"/>
  <c r="X194" i="3"/>
  <c r="EF194" i="3"/>
  <c r="X104" i="3"/>
  <c r="EF104" i="3"/>
  <c r="X17" i="3"/>
  <c r="EF17" i="3"/>
  <c r="X100" i="3"/>
  <c r="EF100" i="3"/>
  <c r="X200" i="3"/>
  <c r="EF200" i="3"/>
  <c r="X78" i="3"/>
  <c r="EF78" i="3"/>
  <c r="X31" i="3"/>
  <c r="EF31" i="3"/>
  <c r="X12" i="3"/>
  <c r="EF12" i="3"/>
  <c r="X43" i="3"/>
  <c r="EF43" i="3"/>
  <c r="X24" i="3"/>
  <c r="EF24" i="3"/>
  <c r="X105" i="3"/>
  <c r="EF105" i="3"/>
  <c r="X10" i="3"/>
  <c r="EF10" i="3"/>
  <c r="X97" i="3"/>
  <c r="EF97" i="3"/>
  <c r="X6" i="3"/>
  <c r="EF6" i="3"/>
  <c r="X42" i="3"/>
  <c r="EF42" i="3"/>
  <c r="X18" i="3"/>
  <c r="EF18" i="3"/>
  <c r="X66" i="3"/>
  <c r="EF66" i="3"/>
  <c r="X34" i="3"/>
  <c r="EF34" i="3"/>
  <c r="X119" i="3"/>
  <c r="EF119" i="3"/>
  <c r="X85" i="3"/>
  <c r="EF85" i="3"/>
  <c r="X26" i="3"/>
  <c r="EF26" i="3"/>
  <c r="X50" i="3"/>
  <c r="EF50" i="3"/>
  <c r="X22" i="3"/>
  <c r="EF22" i="3"/>
  <c r="X89" i="3"/>
  <c r="EF89" i="3"/>
  <c r="X199" i="3"/>
  <c r="EF199" i="3"/>
  <c r="X30" i="3"/>
  <c r="EF30" i="3"/>
  <c r="EF14" i="3"/>
  <c r="X41" i="3"/>
  <c r="EF41" i="3"/>
  <c r="X109" i="3"/>
  <c r="EF109" i="3"/>
  <c r="X33" i="3"/>
  <c r="EF33" i="3"/>
  <c r="X101" i="3"/>
  <c r="EF101" i="3"/>
  <c r="X57" i="3"/>
  <c r="EF57" i="3"/>
  <c r="X117" i="3"/>
  <c r="EF117" i="3"/>
  <c r="X81" i="3"/>
  <c r="EF81" i="3"/>
  <c r="X195" i="3"/>
  <c r="EF195" i="3"/>
  <c r="X55" i="3"/>
  <c r="EF55" i="3"/>
  <c r="X67" i="3"/>
  <c r="EF67" i="3"/>
  <c r="X32" i="3"/>
  <c r="EF32" i="3"/>
  <c r="X74" i="3"/>
  <c r="EF74" i="3"/>
  <c r="X38" i="3"/>
  <c r="EF38" i="3"/>
  <c r="X98" i="3"/>
  <c r="EF98" i="3"/>
  <c r="X62" i="3"/>
  <c r="EF62" i="3"/>
  <c r="EF3" i="3"/>
  <c r="X3" i="3"/>
  <c r="X118" i="3"/>
  <c r="EF118" i="3"/>
  <c r="X19" i="3"/>
  <c r="EF19" i="3"/>
  <c r="X110" i="3"/>
  <c r="EF110" i="3"/>
  <c r="X15" i="3"/>
  <c r="EF15" i="3"/>
  <c r="X193" i="3"/>
  <c r="EF193" i="3"/>
  <c r="X27" i="3"/>
  <c r="EF27" i="3"/>
  <c r="X39" i="3"/>
  <c r="EF39" i="3"/>
  <c r="X95" i="3"/>
  <c r="EF95" i="3"/>
  <c r="X4" i="3"/>
  <c r="EF4" i="3"/>
  <c r="X35" i="3"/>
  <c r="EF35" i="3"/>
  <c r="X197" i="3"/>
  <c r="EF197" i="3"/>
  <c r="X196" i="3"/>
  <c r="EF196" i="3"/>
  <c r="X102" i="3"/>
  <c r="EF102" i="3"/>
  <c r="X11" i="3"/>
  <c r="EF11" i="3"/>
  <c r="X189" i="3"/>
  <c r="EF189" i="3"/>
  <c r="X90" i="3"/>
  <c r="EF90" i="3"/>
  <c r="X54" i="3"/>
  <c r="EF54" i="3"/>
  <c r="X82" i="3"/>
  <c r="EF82" i="3"/>
  <c r="X46" i="3"/>
  <c r="EF46" i="3"/>
  <c r="X106" i="3"/>
  <c r="EF106" i="3"/>
  <c r="X70" i="3"/>
  <c r="EF70" i="3"/>
  <c r="X192" i="3"/>
  <c r="EF192" i="3"/>
  <c r="X94" i="3"/>
  <c r="EF94" i="3"/>
  <c r="X7" i="3"/>
  <c r="EF7" i="3"/>
  <c r="X9" i="3"/>
  <c r="EF9" i="3"/>
  <c r="X96" i="3"/>
  <c r="EF96" i="3"/>
  <c r="X114" i="3"/>
  <c r="EF114" i="3"/>
  <c r="X25" i="3"/>
  <c r="EF25" i="3"/>
  <c r="X93" i="3"/>
  <c r="EF93" i="3"/>
  <c r="X49" i="3"/>
  <c r="EF49" i="3"/>
  <c r="X113" i="3"/>
  <c r="EF113" i="3"/>
  <c r="X52" i="3"/>
  <c r="EF52" i="3"/>
  <c r="X83" i="3"/>
  <c r="EF83" i="3"/>
  <c r="X48" i="3"/>
  <c r="EF48" i="3"/>
  <c r="X79" i="3"/>
  <c r="EF79" i="3"/>
  <c r="X60" i="3"/>
  <c r="EF60" i="3"/>
  <c r="X91" i="3"/>
  <c r="EF91" i="3"/>
  <c r="X72" i="3"/>
  <c r="EF72" i="3"/>
  <c r="X103" i="3"/>
  <c r="EF103" i="3"/>
  <c r="X21" i="3"/>
  <c r="EF21" i="3"/>
  <c r="X188" i="3"/>
  <c r="EF188" i="3"/>
  <c r="EF203" i="3" l="1"/>
  <c r="G65" i="19" s="1"/>
  <c r="AB188" i="3"/>
  <c r="EG188" i="3"/>
  <c r="AB103" i="3"/>
  <c r="EG103" i="3"/>
  <c r="AB21" i="3"/>
  <c r="EG21" i="3"/>
  <c r="AB72" i="3"/>
  <c r="EG72" i="3"/>
  <c r="AB60" i="3"/>
  <c r="EG60" i="3"/>
  <c r="AB48" i="3"/>
  <c r="EG48" i="3"/>
  <c r="AB52" i="3"/>
  <c r="EG52" i="3"/>
  <c r="AB49" i="3"/>
  <c r="EG49" i="3"/>
  <c r="AB25" i="3"/>
  <c r="EG25" i="3"/>
  <c r="AB96" i="3"/>
  <c r="EG96" i="3"/>
  <c r="AB7" i="3"/>
  <c r="EG7" i="3"/>
  <c r="AB192" i="3"/>
  <c r="EG192" i="3"/>
  <c r="AB106" i="3"/>
  <c r="EG106" i="3"/>
  <c r="AB82" i="3"/>
  <c r="EG82" i="3"/>
  <c r="AB90" i="3"/>
  <c r="EG90" i="3"/>
  <c r="AB11" i="3"/>
  <c r="EG11" i="3"/>
  <c r="AB196" i="3"/>
  <c r="EG196" i="3"/>
  <c r="AB35" i="3"/>
  <c r="EG35" i="3"/>
  <c r="AB95" i="3"/>
  <c r="EG95" i="3"/>
  <c r="AB27" i="3"/>
  <c r="EG27" i="3"/>
  <c r="AB15" i="3"/>
  <c r="EG15" i="3"/>
  <c r="AB19" i="3"/>
  <c r="EG19" i="3"/>
  <c r="AB98" i="3"/>
  <c r="EG98" i="3"/>
  <c r="AB74" i="3"/>
  <c r="EG74" i="3"/>
  <c r="AB67" i="3"/>
  <c r="EG67" i="3"/>
  <c r="AB195" i="3"/>
  <c r="EG195" i="3"/>
  <c r="AB117" i="3"/>
  <c r="EG117" i="3"/>
  <c r="AB101" i="3"/>
  <c r="EG101" i="3"/>
  <c r="AB109" i="3"/>
  <c r="EG109" i="3"/>
  <c r="EG14" i="3"/>
  <c r="AB199" i="3"/>
  <c r="EG199" i="3"/>
  <c r="AB22" i="3"/>
  <c r="EG22" i="3"/>
  <c r="AB26" i="3"/>
  <c r="EG26" i="3"/>
  <c r="AB119" i="3"/>
  <c r="EG119" i="3"/>
  <c r="AB66" i="3"/>
  <c r="EG66" i="3"/>
  <c r="AB42" i="3"/>
  <c r="EG42" i="3"/>
  <c r="AB97" i="3"/>
  <c r="EG97" i="3"/>
  <c r="AB105" i="3"/>
  <c r="EG105" i="3"/>
  <c r="AB43" i="3"/>
  <c r="EG43" i="3"/>
  <c r="AB31" i="3"/>
  <c r="EG31" i="3"/>
  <c r="AB200" i="3"/>
  <c r="EG200" i="3"/>
  <c r="AB17" i="3"/>
  <c r="EG17" i="3"/>
  <c r="AB194" i="3"/>
  <c r="EG194" i="3"/>
  <c r="AB111" i="3"/>
  <c r="EG111" i="3"/>
  <c r="AB115" i="3"/>
  <c r="EG115" i="3"/>
  <c r="AB53" i="3"/>
  <c r="EG53" i="3"/>
  <c r="AB29" i="3"/>
  <c r="EG29" i="3"/>
  <c r="AB198" i="3"/>
  <c r="EG198" i="3"/>
  <c r="AB77" i="3"/>
  <c r="EG77" i="3"/>
  <c r="AB36" i="3"/>
  <c r="EG36" i="3"/>
  <c r="AB61" i="3"/>
  <c r="EG61" i="3"/>
  <c r="AB37" i="3"/>
  <c r="EG37" i="3"/>
  <c r="AB45" i="3"/>
  <c r="EG45" i="3"/>
  <c r="AB87" i="3"/>
  <c r="EG87" i="3"/>
  <c r="AB107" i="3"/>
  <c r="EG107" i="3"/>
  <c r="AB69" i="3"/>
  <c r="EG69" i="3"/>
  <c r="AB191" i="3"/>
  <c r="EG191" i="3"/>
  <c r="AB40" i="3"/>
  <c r="EG40" i="3"/>
  <c r="AB28" i="3"/>
  <c r="EG28" i="3"/>
  <c r="AB16" i="3"/>
  <c r="EG16" i="3"/>
  <c r="AB20" i="3"/>
  <c r="EG20" i="3"/>
  <c r="AB56" i="3"/>
  <c r="EG56" i="3"/>
  <c r="AB44" i="3"/>
  <c r="EG44" i="3"/>
  <c r="AB64" i="3"/>
  <c r="EG64" i="3"/>
  <c r="AB68" i="3"/>
  <c r="EG68" i="3"/>
  <c r="AB58" i="3"/>
  <c r="EG58" i="3"/>
  <c r="AB91" i="3"/>
  <c r="EG91" i="3"/>
  <c r="AB79" i="3"/>
  <c r="EG79" i="3"/>
  <c r="AB83" i="3"/>
  <c r="EG83" i="3"/>
  <c r="AB113" i="3"/>
  <c r="EG113" i="3"/>
  <c r="AB93" i="3"/>
  <c r="EG93" i="3"/>
  <c r="AB114" i="3"/>
  <c r="EG114" i="3"/>
  <c r="AB9" i="3"/>
  <c r="EG9" i="3"/>
  <c r="AB94" i="3"/>
  <c r="EG94" i="3"/>
  <c r="AB70" i="3"/>
  <c r="EG70" i="3"/>
  <c r="AB46" i="3"/>
  <c r="EG46" i="3"/>
  <c r="AB54" i="3"/>
  <c r="EG54" i="3"/>
  <c r="AB189" i="3"/>
  <c r="EG189" i="3"/>
  <c r="AB102" i="3"/>
  <c r="EG102" i="3"/>
  <c r="AB197" i="3"/>
  <c r="EG197" i="3"/>
  <c r="AB4" i="3"/>
  <c r="EG4" i="3"/>
  <c r="AB39" i="3"/>
  <c r="EG39" i="3"/>
  <c r="AB193" i="3"/>
  <c r="EG193" i="3"/>
  <c r="AB110" i="3"/>
  <c r="EG110" i="3"/>
  <c r="AB118" i="3"/>
  <c r="EG118" i="3"/>
  <c r="AB62" i="3"/>
  <c r="EG62" i="3"/>
  <c r="AB38" i="3"/>
  <c r="EG38" i="3"/>
  <c r="AB3" i="3"/>
  <c r="EG3" i="3"/>
  <c r="AB32" i="3"/>
  <c r="EG32" i="3"/>
  <c r="AB55" i="3"/>
  <c r="EG55" i="3"/>
  <c r="AB81" i="3"/>
  <c r="EG81" i="3"/>
  <c r="AB57" i="3"/>
  <c r="EG57" i="3"/>
  <c r="AB33" i="3"/>
  <c r="EG33" i="3"/>
  <c r="AB41" i="3"/>
  <c r="EG41" i="3"/>
  <c r="AB30" i="3"/>
  <c r="EG30" i="3"/>
  <c r="AB89" i="3"/>
  <c r="EG89" i="3"/>
  <c r="AB50" i="3"/>
  <c r="EG50" i="3"/>
  <c r="AB85" i="3"/>
  <c r="EG85" i="3"/>
  <c r="AB34" i="3"/>
  <c r="EG34" i="3"/>
  <c r="AB18" i="3"/>
  <c r="EG18" i="3"/>
  <c r="AB6" i="3"/>
  <c r="EG6" i="3"/>
  <c r="AB10" i="3"/>
  <c r="EG10" i="3"/>
  <c r="AB24" i="3"/>
  <c r="EG24" i="3"/>
  <c r="AB12" i="3"/>
  <c r="EG12" i="3"/>
  <c r="AB78" i="3"/>
  <c r="EG78" i="3"/>
  <c r="AB100" i="3"/>
  <c r="EG100" i="3"/>
  <c r="AB104" i="3"/>
  <c r="EG104" i="3"/>
  <c r="AB92" i="3"/>
  <c r="EG92" i="3"/>
  <c r="AB80" i="3"/>
  <c r="EG80" i="3"/>
  <c r="AB84" i="3"/>
  <c r="EG84" i="3"/>
  <c r="AB120" i="3"/>
  <c r="EG120" i="3"/>
  <c r="AB108" i="3"/>
  <c r="EG108" i="3"/>
  <c r="AB5" i="3"/>
  <c r="EG5" i="3"/>
  <c r="AB13" i="3"/>
  <c r="EG13" i="3"/>
  <c r="AB8" i="3"/>
  <c r="EG8" i="3"/>
  <c r="AB190" i="3"/>
  <c r="EG190" i="3"/>
  <c r="AB112" i="3"/>
  <c r="EG112" i="3"/>
  <c r="AB116" i="3"/>
  <c r="EG116" i="3"/>
  <c r="AB88" i="3"/>
  <c r="EG88" i="3"/>
  <c r="AB76" i="3"/>
  <c r="EG76" i="3"/>
  <c r="AB65" i="3"/>
  <c r="EG65" i="3"/>
  <c r="AB71" i="3"/>
  <c r="EG71" i="3"/>
  <c r="AB59" i="3"/>
  <c r="EG59" i="3"/>
  <c r="AB47" i="3"/>
  <c r="EG47" i="3"/>
  <c r="AB51" i="3"/>
  <c r="EG51" i="3"/>
  <c r="AB23" i="3"/>
  <c r="EG23" i="3"/>
  <c r="AB75" i="3"/>
  <c r="EG75" i="3"/>
  <c r="AB63" i="3"/>
  <c r="EG63" i="3"/>
  <c r="AB99" i="3"/>
  <c r="EG99" i="3"/>
  <c r="AB86" i="3"/>
  <c r="EG86" i="3"/>
  <c r="AB73" i="3"/>
  <c r="EG73" i="3"/>
  <c r="EG203" i="3" l="1"/>
  <c r="H65" i="19" s="1"/>
  <c r="AF86" i="3"/>
  <c r="EH86" i="3"/>
  <c r="AF63" i="3"/>
  <c r="EH63" i="3"/>
  <c r="AF23" i="3"/>
  <c r="EH23" i="3"/>
  <c r="AF47" i="3"/>
  <c r="EH47" i="3"/>
  <c r="AF71" i="3"/>
  <c r="EH71" i="3"/>
  <c r="AF76" i="3"/>
  <c r="EH76" i="3"/>
  <c r="AF116" i="3"/>
  <c r="EH116" i="3"/>
  <c r="AF190" i="3"/>
  <c r="EH190" i="3"/>
  <c r="AF13" i="3"/>
  <c r="EH13" i="3"/>
  <c r="AF108" i="3"/>
  <c r="EH108" i="3"/>
  <c r="AF84" i="3"/>
  <c r="EH84" i="3"/>
  <c r="AF92" i="3"/>
  <c r="EH92" i="3"/>
  <c r="AF100" i="3"/>
  <c r="EH100" i="3"/>
  <c r="AF12" i="3"/>
  <c r="EH12" i="3"/>
  <c r="AF10" i="3"/>
  <c r="EH10" i="3"/>
  <c r="AF18" i="3"/>
  <c r="EH18" i="3"/>
  <c r="AF85" i="3"/>
  <c r="EH85" i="3"/>
  <c r="AF89" i="3"/>
  <c r="EH89" i="3"/>
  <c r="AF41" i="3"/>
  <c r="EH41" i="3"/>
  <c r="AF57" i="3"/>
  <c r="EH57" i="3"/>
  <c r="AF55" i="3"/>
  <c r="EH55" i="3"/>
  <c r="EH3" i="3"/>
  <c r="AF3" i="3"/>
  <c r="AF62" i="3"/>
  <c r="EH62" i="3"/>
  <c r="AF110" i="3"/>
  <c r="EH110" i="3"/>
  <c r="AF39" i="3"/>
  <c r="EH39" i="3"/>
  <c r="AF197" i="3"/>
  <c r="EH197" i="3"/>
  <c r="AF189" i="3"/>
  <c r="EH189" i="3"/>
  <c r="AF46" i="3"/>
  <c r="EH46" i="3"/>
  <c r="AF94" i="3"/>
  <c r="EH94" i="3"/>
  <c r="AF114" i="3"/>
  <c r="EH114" i="3"/>
  <c r="AF113" i="3"/>
  <c r="EH113" i="3"/>
  <c r="AF79" i="3"/>
  <c r="EH79" i="3"/>
  <c r="AF58" i="3"/>
  <c r="EH58" i="3"/>
  <c r="AF64" i="3"/>
  <c r="EH64" i="3"/>
  <c r="AF56" i="3"/>
  <c r="EH56" i="3"/>
  <c r="AF16" i="3"/>
  <c r="EH16" i="3"/>
  <c r="AF40" i="3"/>
  <c r="EH40" i="3"/>
  <c r="AF69" i="3"/>
  <c r="EH69" i="3"/>
  <c r="AF87" i="3"/>
  <c r="EH87" i="3"/>
  <c r="AF37" i="3"/>
  <c r="EH37" i="3"/>
  <c r="AF36" i="3"/>
  <c r="EH36" i="3"/>
  <c r="AF198" i="3"/>
  <c r="EH198" i="3"/>
  <c r="AF53" i="3"/>
  <c r="EH53" i="3"/>
  <c r="AF111" i="3"/>
  <c r="EH111" i="3"/>
  <c r="AF17" i="3"/>
  <c r="EH17" i="3"/>
  <c r="AF31" i="3"/>
  <c r="EH31" i="3"/>
  <c r="AF105" i="3"/>
  <c r="EH105" i="3"/>
  <c r="AF42" i="3"/>
  <c r="EH42" i="3"/>
  <c r="AF119" i="3"/>
  <c r="EH119" i="3"/>
  <c r="AF22" i="3"/>
  <c r="EH22" i="3"/>
  <c r="AF14" i="3"/>
  <c r="EH14" i="3"/>
  <c r="AF101" i="3"/>
  <c r="EH101" i="3"/>
  <c r="AF195" i="3"/>
  <c r="EH195" i="3"/>
  <c r="AF74" i="3"/>
  <c r="EH74" i="3"/>
  <c r="AF19" i="3"/>
  <c r="EH19" i="3"/>
  <c r="AF27" i="3"/>
  <c r="EH27" i="3"/>
  <c r="AF35" i="3"/>
  <c r="EH35" i="3"/>
  <c r="AF11" i="3"/>
  <c r="EH11" i="3"/>
  <c r="AF82" i="3"/>
  <c r="EH82" i="3"/>
  <c r="AF192" i="3"/>
  <c r="EH192" i="3"/>
  <c r="AF96" i="3"/>
  <c r="EH96" i="3"/>
  <c r="AF49" i="3"/>
  <c r="EH49" i="3"/>
  <c r="AF48" i="3"/>
  <c r="EH48" i="3"/>
  <c r="AF72" i="3"/>
  <c r="EH72" i="3"/>
  <c r="AF103" i="3"/>
  <c r="EH103" i="3"/>
  <c r="AF73" i="3"/>
  <c r="EH73" i="3"/>
  <c r="AF99" i="3"/>
  <c r="EH99" i="3"/>
  <c r="AF75" i="3"/>
  <c r="EH75" i="3"/>
  <c r="AF51" i="3"/>
  <c r="EH51" i="3"/>
  <c r="AF59" i="3"/>
  <c r="EH59" i="3"/>
  <c r="AF65" i="3"/>
  <c r="EH65" i="3"/>
  <c r="AF88" i="3"/>
  <c r="EH88" i="3"/>
  <c r="AF112" i="3"/>
  <c r="EH112" i="3"/>
  <c r="AF8" i="3"/>
  <c r="EH8" i="3"/>
  <c r="AF5" i="3"/>
  <c r="EH5" i="3"/>
  <c r="AF120" i="3"/>
  <c r="EH120" i="3"/>
  <c r="AF80" i="3"/>
  <c r="EH80" i="3"/>
  <c r="AF104" i="3"/>
  <c r="EH104" i="3"/>
  <c r="AF78" i="3"/>
  <c r="EH78" i="3"/>
  <c r="AF24" i="3"/>
  <c r="EH24" i="3"/>
  <c r="AF6" i="3"/>
  <c r="EH6" i="3"/>
  <c r="AF34" i="3"/>
  <c r="EH34" i="3"/>
  <c r="AF50" i="3"/>
  <c r="EH50" i="3"/>
  <c r="AF30" i="3"/>
  <c r="EH30" i="3"/>
  <c r="AF33" i="3"/>
  <c r="EH33" i="3"/>
  <c r="AF81" i="3"/>
  <c r="EH81" i="3"/>
  <c r="AF32" i="3"/>
  <c r="EH32" i="3"/>
  <c r="AF38" i="3"/>
  <c r="EH38" i="3"/>
  <c r="AF118" i="3"/>
  <c r="EH118" i="3"/>
  <c r="AF193" i="3"/>
  <c r="EH193" i="3"/>
  <c r="AF4" i="3"/>
  <c r="EH4" i="3"/>
  <c r="AF102" i="3"/>
  <c r="EH102" i="3"/>
  <c r="AF54" i="3"/>
  <c r="EH54" i="3"/>
  <c r="AF70" i="3"/>
  <c r="EH70" i="3"/>
  <c r="AF9" i="3"/>
  <c r="EH9" i="3"/>
  <c r="AF93" i="3"/>
  <c r="EH93" i="3"/>
  <c r="AF83" i="3"/>
  <c r="EH83" i="3"/>
  <c r="AF91" i="3"/>
  <c r="EH91" i="3"/>
  <c r="AF68" i="3"/>
  <c r="EH68" i="3"/>
  <c r="AF44" i="3"/>
  <c r="EH44" i="3"/>
  <c r="AF20" i="3"/>
  <c r="EH20" i="3"/>
  <c r="AF28" i="3"/>
  <c r="EH28" i="3"/>
  <c r="AF191" i="3"/>
  <c r="EH191" i="3"/>
  <c r="AF107" i="3"/>
  <c r="EH107" i="3"/>
  <c r="AF45" i="3"/>
  <c r="EH45" i="3"/>
  <c r="AF61" i="3"/>
  <c r="EH61" i="3"/>
  <c r="AF77" i="3"/>
  <c r="EH77" i="3"/>
  <c r="AF29" i="3"/>
  <c r="EH29" i="3"/>
  <c r="AF115" i="3"/>
  <c r="EH115" i="3"/>
  <c r="AF194" i="3"/>
  <c r="EH194" i="3"/>
  <c r="AF200" i="3"/>
  <c r="EH200" i="3"/>
  <c r="AF43" i="3"/>
  <c r="EH43" i="3"/>
  <c r="AF97" i="3"/>
  <c r="EH97" i="3"/>
  <c r="AF66" i="3"/>
  <c r="EH66" i="3"/>
  <c r="AF26" i="3"/>
  <c r="EH26" i="3"/>
  <c r="AF199" i="3"/>
  <c r="EH199" i="3"/>
  <c r="AF109" i="3"/>
  <c r="EH109" i="3"/>
  <c r="AF117" i="3"/>
  <c r="EH117" i="3"/>
  <c r="AF67" i="3"/>
  <c r="EH67" i="3"/>
  <c r="AF98" i="3"/>
  <c r="EH98" i="3"/>
  <c r="AF15" i="3"/>
  <c r="EH15" i="3"/>
  <c r="AF95" i="3"/>
  <c r="EH95" i="3"/>
  <c r="AF196" i="3"/>
  <c r="EH196" i="3"/>
  <c r="AF90" i="3"/>
  <c r="EH90" i="3"/>
  <c r="AF106" i="3"/>
  <c r="EH106" i="3"/>
  <c r="AF7" i="3"/>
  <c r="EH7" i="3"/>
  <c r="AF25" i="3"/>
  <c r="EH25" i="3"/>
  <c r="AF52" i="3"/>
  <c r="EH52" i="3"/>
  <c r="AF60" i="3"/>
  <c r="EH60" i="3"/>
  <c r="AF21" i="3"/>
  <c r="EH21" i="3"/>
  <c r="AF188" i="3"/>
  <c r="EH188" i="3"/>
  <c r="EH203" i="3" l="1"/>
  <c r="I65" i="19" s="1"/>
  <c r="AJ98" i="3"/>
  <c r="EI98" i="3"/>
  <c r="AJ66" i="3"/>
  <c r="EI66" i="3"/>
  <c r="AJ188" i="3"/>
  <c r="EI188" i="3"/>
  <c r="AJ25" i="3"/>
  <c r="EI25" i="3"/>
  <c r="AJ67" i="3"/>
  <c r="EI67" i="3"/>
  <c r="AJ109" i="3"/>
  <c r="EI109" i="3"/>
  <c r="AJ97" i="3"/>
  <c r="EI97" i="3"/>
  <c r="AJ115" i="3"/>
  <c r="EI115" i="3"/>
  <c r="AJ21" i="3"/>
  <c r="EI21" i="3"/>
  <c r="AJ52" i="3"/>
  <c r="EI52" i="3"/>
  <c r="AJ7" i="3"/>
  <c r="EI7" i="3"/>
  <c r="AJ90" i="3"/>
  <c r="EI90" i="3"/>
  <c r="AJ95" i="3"/>
  <c r="EI95" i="3"/>
  <c r="AJ3" i="3"/>
  <c r="EI3" i="3"/>
  <c r="AJ199" i="3"/>
  <c r="EI199" i="3"/>
  <c r="AJ43" i="3"/>
  <c r="EI43" i="3"/>
  <c r="AJ194" i="3"/>
  <c r="EI194" i="3"/>
  <c r="AJ29" i="3"/>
  <c r="EI29" i="3"/>
  <c r="AJ61" i="3"/>
  <c r="EI61" i="3"/>
  <c r="AJ107" i="3"/>
  <c r="EI107" i="3"/>
  <c r="AJ28" i="3"/>
  <c r="EI28" i="3"/>
  <c r="AJ44" i="3"/>
  <c r="EI44" i="3"/>
  <c r="AJ91" i="3"/>
  <c r="EI91" i="3"/>
  <c r="AJ93" i="3"/>
  <c r="EI93" i="3"/>
  <c r="AJ70" i="3"/>
  <c r="EI70" i="3"/>
  <c r="AJ102" i="3"/>
  <c r="EI102" i="3"/>
  <c r="AJ193" i="3"/>
  <c r="EI193" i="3"/>
  <c r="AJ38" i="3"/>
  <c r="EI38" i="3"/>
  <c r="AJ81" i="3"/>
  <c r="EI81" i="3"/>
  <c r="AJ30" i="3"/>
  <c r="EI30" i="3"/>
  <c r="AJ34" i="3"/>
  <c r="EI34" i="3"/>
  <c r="AJ24" i="3"/>
  <c r="EI24" i="3"/>
  <c r="AJ104" i="3"/>
  <c r="EI104" i="3"/>
  <c r="AJ120" i="3"/>
  <c r="EI120" i="3"/>
  <c r="AJ8" i="3"/>
  <c r="EI8" i="3"/>
  <c r="AJ88" i="3"/>
  <c r="EI88" i="3"/>
  <c r="AJ59" i="3"/>
  <c r="EI59" i="3"/>
  <c r="AJ75" i="3"/>
  <c r="EI75" i="3"/>
  <c r="AJ73" i="3"/>
  <c r="EI73" i="3"/>
  <c r="AJ72" i="3"/>
  <c r="EI72" i="3"/>
  <c r="AJ49" i="3"/>
  <c r="EI49" i="3"/>
  <c r="AJ192" i="3"/>
  <c r="EI192" i="3"/>
  <c r="AJ11" i="3"/>
  <c r="EI11" i="3"/>
  <c r="AJ27" i="3"/>
  <c r="EI27" i="3"/>
  <c r="AJ74" i="3"/>
  <c r="EI74" i="3"/>
  <c r="AJ101" i="3"/>
  <c r="EI101" i="3"/>
  <c r="AJ22" i="3"/>
  <c r="EI22" i="3"/>
  <c r="AJ42" i="3"/>
  <c r="EI42" i="3"/>
  <c r="AJ31" i="3"/>
  <c r="EI31" i="3"/>
  <c r="AJ111" i="3"/>
  <c r="EI111" i="3"/>
  <c r="AJ198" i="3"/>
  <c r="EI198" i="3"/>
  <c r="AJ37" i="3"/>
  <c r="EI37" i="3"/>
  <c r="AJ69" i="3"/>
  <c r="EI69" i="3"/>
  <c r="AJ16" i="3"/>
  <c r="EI16" i="3"/>
  <c r="AJ64" i="3"/>
  <c r="EI64" i="3"/>
  <c r="AJ79" i="3"/>
  <c r="EI79" i="3"/>
  <c r="AJ114" i="3"/>
  <c r="EI114" i="3"/>
  <c r="AJ46" i="3"/>
  <c r="EI46" i="3"/>
  <c r="AJ197" i="3"/>
  <c r="EI197" i="3"/>
  <c r="AJ110" i="3"/>
  <c r="EI110" i="3"/>
  <c r="AJ57" i="3"/>
  <c r="EI57" i="3"/>
  <c r="AJ89" i="3"/>
  <c r="EI89" i="3"/>
  <c r="AJ18" i="3"/>
  <c r="EI18" i="3"/>
  <c r="AJ12" i="3"/>
  <c r="EI12" i="3"/>
  <c r="AJ92" i="3"/>
  <c r="EI92" i="3"/>
  <c r="AJ108" i="3"/>
  <c r="EI108" i="3"/>
  <c r="AJ190" i="3"/>
  <c r="EI190" i="3"/>
  <c r="AJ76" i="3"/>
  <c r="EI76" i="3"/>
  <c r="AJ47" i="3"/>
  <c r="EI47" i="3"/>
  <c r="AJ63" i="3"/>
  <c r="EI63" i="3"/>
  <c r="AJ117" i="3"/>
  <c r="EI117" i="3"/>
  <c r="AJ60" i="3"/>
  <c r="EI60" i="3"/>
  <c r="AJ106" i="3"/>
  <c r="EI106" i="3"/>
  <c r="AJ196" i="3"/>
  <c r="EI196" i="3"/>
  <c r="AJ15" i="3"/>
  <c r="EI15" i="3"/>
  <c r="AJ26" i="3"/>
  <c r="EI26" i="3"/>
  <c r="AJ200" i="3"/>
  <c r="EI200" i="3"/>
  <c r="AJ77" i="3"/>
  <c r="EI77" i="3"/>
  <c r="AJ45" i="3"/>
  <c r="EI45" i="3"/>
  <c r="AJ191" i="3"/>
  <c r="EI191" i="3"/>
  <c r="AJ20" i="3"/>
  <c r="EI20" i="3"/>
  <c r="AJ68" i="3"/>
  <c r="EI68" i="3"/>
  <c r="AJ83" i="3"/>
  <c r="EI83" i="3"/>
  <c r="AJ9" i="3"/>
  <c r="EI9" i="3"/>
  <c r="AJ54" i="3"/>
  <c r="EI54" i="3"/>
  <c r="AJ4" i="3"/>
  <c r="EI4" i="3"/>
  <c r="AJ118" i="3"/>
  <c r="EI118" i="3"/>
  <c r="AJ32" i="3"/>
  <c r="EI32" i="3"/>
  <c r="AJ33" i="3"/>
  <c r="EI33" i="3"/>
  <c r="AJ50" i="3"/>
  <c r="EI50" i="3"/>
  <c r="AJ6" i="3"/>
  <c r="EI6" i="3"/>
  <c r="AJ78" i="3"/>
  <c r="EI78" i="3"/>
  <c r="AJ80" i="3"/>
  <c r="EI80" i="3"/>
  <c r="AJ5" i="3"/>
  <c r="EI5" i="3"/>
  <c r="AJ112" i="3"/>
  <c r="EI112" i="3"/>
  <c r="AJ65" i="3"/>
  <c r="EI65" i="3"/>
  <c r="AJ51" i="3"/>
  <c r="EI51" i="3"/>
  <c r="AJ99" i="3"/>
  <c r="EI99" i="3"/>
  <c r="AJ103" i="3"/>
  <c r="EI103" i="3"/>
  <c r="AJ48" i="3"/>
  <c r="EI48" i="3"/>
  <c r="AJ96" i="3"/>
  <c r="EI96" i="3"/>
  <c r="AJ82" i="3"/>
  <c r="EI82" i="3"/>
  <c r="AJ35" i="3"/>
  <c r="EI35" i="3"/>
  <c r="AJ19" i="3"/>
  <c r="EI19" i="3"/>
  <c r="AJ195" i="3"/>
  <c r="EI195" i="3"/>
  <c r="AJ14" i="3"/>
  <c r="EI14" i="3"/>
  <c r="AJ119" i="3"/>
  <c r="EI119" i="3"/>
  <c r="AJ105" i="3"/>
  <c r="EI105" i="3"/>
  <c r="AJ17" i="3"/>
  <c r="EI17" i="3"/>
  <c r="AJ53" i="3"/>
  <c r="EI53" i="3"/>
  <c r="AJ36" i="3"/>
  <c r="EI36" i="3"/>
  <c r="AJ87" i="3"/>
  <c r="EI87" i="3"/>
  <c r="AJ40" i="3"/>
  <c r="EI40" i="3"/>
  <c r="AJ56" i="3"/>
  <c r="EI56" i="3"/>
  <c r="AJ58" i="3"/>
  <c r="EI58" i="3"/>
  <c r="AJ113" i="3"/>
  <c r="EI113" i="3"/>
  <c r="AJ94" i="3"/>
  <c r="EI94" i="3"/>
  <c r="AJ189" i="3"/>
  <c r="EI189" i="3"/>
  <c r="AJ39" i="3"/>
  <c r="EI39" i="3"/>
  <c r="AJ62" i="3"/>
  <c r="EI62" i="3"/>
  <c r="AJ55" i="3"/>
  <c r="EI55" i="3"/>
  <c r="AJ41" i="3"/>
  <c r="EI41" i="3"/>
  <c r="AJ85" i="3"/>
  <c r="EI85" i="3"/>
  <c r="AJ10" i="3"/>
  <c r="EI10" i="3"/>
  <c r="AJ100" i="3"/>
  <c r="EI100" i="3"/>
  <c r="AJ84" i="3"/>
  <c r="EI84" i="3"/>
  <c r="AJ13" i="3"/>
  <c r="EI13" i="3"/>
  <c r="AJ116" i="3"/>
  <c r="EI116" i="3"/>
  <c r="AJ71" i="3"/>
  <c r="EI71" i="3"/>
  <c r="AJ23" i="3"/>
  <c r="EI23" i="3"/>
  <c r="AJ86" i="3"/>
  <c r="EI86" i="3"/>
  <c r="EI203" i="3" l="1"/>
  <c r="J65" i="19" s="1"/>
  <c r="AN23" i="3"/>
  <c r="EJ23" i="3"/>
  <c r="AN116" i="3"/>
  <c r="EJ116" i="3"/>
  <c r="AN84" i="3"/>
  <c r="EJ84" i="3"/>
  <c r="AN10" i="3"/>
  <c r="EJ10" i="3"/>
  <c r="AN41" i="3"/>
  <c r="EJ41" i="3"/>
  <c r="AN62" i="3"/>
  <c r="EJ62" i="3"/>
  <c r="AN189" i="3"/>
  <c r="EJ189" i="3"/>
  <c r="AN113" i="3"/>
  <c r="EJ113" i="3"/>
  <c r="AN56" i="3"/>
  <c r="EJ56" i="3"/>
  <c r="AN87" i="3"/>
  <c r="EJ87" i="3"/>
  <c r="AN53" i="3"/>
  <c r="EJ53" i="3"/>
  <c r="AN105" i="3"/>
  <c r="EJ105" i="3"/>
  <c r="AN14" i="3"/>
  <c r="EJ14" i="3"/>
  <c r="AN19" i="3"/>
  <c r="EJ19" i="3"/>
  <c r="AN82" i="3"/>
  <c r="EJ82" i="3"/>
  <c r="AN48" i="3"/>
  <c r="EJ48" i="3"/>
  <c r="AN99" i="3"/>
  <c r="EJ99" i="3"/>
  <c r="AN65" i="3"/>
  <c r="EJ65" i="3"/>
  <c r="AN5" i="3"/>
  <c r="EJ5" i="3"/>
  <c r="AN78" i="3"/>
  <c r="EJ78" i="3"/>
  <c r="AN50" i="3"/>
  <c r="EJ50" i="3"/>
  <c r="AN32" i="3"/>
  <c r="EJ32" i="3"/>
  <c r="AN4" i="3"/>
  <c r="EJ4" i="3"/>
  <c r="AN9" i="3"/>
  <c r="EJ9" i="3"/>
  <c r="AN68" i="3"/>
  <c r="EJ68" i="3"/>
  <c r="AN191" i="3"/>
  <c r="EJ191" i="3"/>
  <c r="AN77" i="3"/>
  <c r="EJ77" i="3"/>
  <c r="AN26" i="3"/>
  <c r="EJ26" i="3"/>
  <c r="AN196" i="3"/>
  <c r="EJ196" i="3"/>
  <c r="AN60" i="3"/>
  <c r="EJ60" i="3"/>
  <c r="AN63" i="3"/>
  <c r="EJ63" i="3"/>
  <c r="AN76" i="3"/>
  <c r="EJ76" i="3"/>
  <c r="AN108" i="3"/>
  <c r="EJ108" i="3"/>
  <c r="AN12" i="3"/>
  <c r="EJ12" i="3"/>
  <c r="AN89" i="3"/>
  <c r="EJ89" i="3"/>
  <c r="AN110" i="3"/>
  <c r="EJ110" i="3"/>
  <c r="AN46" i="3"/>
  <c r="EJ46" i="3"/>
  <c r="AN79" i="3"/>
  <c r="EJ79" i="3"/>
  <c r="AN16" i="3"/>
  <c r="EJ16" i="3"/>
  <c r="AN37" i="3"/>
  <c r="EJ37" i="3"/>
  <c r="AN111" i="3"/>
  <c r="EJ111" i="3"/>
  <c r="AN42" i="3"/>
  <c r="EJ42" i="3"/>
  <c r="AN101" i="3"/>
  <c r="EJ101" i="3"/>
  <c r="AN27" i="3"/>
  <c r="EJ27" i="3"/>
  <c r="AN192" i="3"/>
  <c r="EJ192" i="3"/>
  <c r="AN72" i="3"/>
  <c r="EJ72" i="3"/>
  <c r="AN75" i="3"/>
  <c r="EJ75" i="3"/>
  <c r="AN88" i="3"/>
  <c r="EJ88" i="3"/>
  <c r="AN120" i="3"/>
  <c r="EJ120" i="3"/>
  <c r="AN24" i="3"/>
  <c r="EJ24" i="3"/>
  <c r="AN30" i="3"/>
  <c r="EJ30" i="3"/>
  <c r="AN38" i="3"/>
  <c r="EJ38" i="3"/>
  <c r="AN102" i="3"/>
  <c r="EJ102" i="3"/>
  <c r="AN93" i="3"/>
  <c r="EJ93" i="3"/>
  <c r="AN44" i="3"/>
  <c r="EJ44" i="3"/>
  <c r="AN107" i="3"/>
  <c r="EJ107" i="3"/>
  <c r="AN29" i="3"/>
  <c r="EJ29" i="3"/>
  <c r="AN43" i="3"/>
  <c r="EJ43" i="3"/>
  <c r="EJ3" i="3"/>
  <c r="AN3" i="3"/>
  <c r="AN90" i="3"/>
  <c r="EJ90" i="3"/>
  <c r="AN52" i="3"/>
  <c r="EJ52" i="3"/>
  <c r="AN115" i="3"/>
  <c r="EJ115" i="3"/>
  <c r="AN109" i="3"/>
  <c r="EJ109" i="3"/>
  <c r="AN25" i="3"/>
  <c r="EJ25" i="3"/>
  <c r="AN66" i="3"/>
  <c r="EJ66" i="3"/>
  <c r="AN86" i="3"/>
  <c r="EJ86" i="3"/>
  <c r="AN71" i="3"/>
  <c r="EJ71" i="3"/>
  <c r="AN13" i="3"/>
  <c r="EJ13" i="3"/>
  <c r="AN100" i="3"/>
  <c r="EJ100" i="3"/>
  <c r="AN85" i="3"/>
  <c r="EJ85" i="3"/>
  <c r="AN55" i="3"/>
  <c r="EJ55" i="3"/>
  <c r="AN39" i="3"/>
  <c r="EJ39" i="3"/>
  <c r="AN94" i="3"/>
  <c r="EJ94" i="3"/>
  <c r="AN58" i="3"/>
  <c r="EJ58" i="3"/>
  <c r="AN40" i="3"/>
  <c r="EJ40" i="3"/>
  <c r="AN36" i="3"/>
  <c r="EJ36" i="3"/>
  <c r="AN17" i="3"/>
  <c r="EJ17" i="3"/>
  <c r="AN119" i="3"/>
  <c r="EJ119" i="3"/>
  <c r="AN195" i="3"/>
  <c r="EJ195" i="3"/>
  <c r="AN35" i="3"/>
  <c r="EJ35" i="3"/>
  <c r="AN96" i="3"/>
  <c r="EJ96" i="3"/>
  <c r="AN103" i="3"/>
  <c r="EJ103" i="3"/>
  <c r="AN51" i="3"/>
  <c r="EJ51" i="3"/>
  <c r="AN112" i="3"/>
  <c r="EJ112" i="3"/>
  <c r="AN80" i="3"/>
  <c r="EJ80" i="3"/>
  <c r="AN6" i="3"/>
  <c r="EJ6" i="3"/>
  <c r="AN33" i="3"/>
  <c r="EJ33" i="3"/>
  <c r="AN118" i="3"/>
  <c r="EJ118" i="3"/>
  <c r="AN54" i="3"/>
  <c r="EJ54" i="3"/>
  <c r="AN83" i="3"/>
  <c r="EJ83" i="3"/>
  <c r="AN20" i="3"/>
  <c r="EJ20" i="3"/>
  <c r="AN45" i="3"/>
  <c r="EJ45" i="3"/>
  <c r="AN200" i="3"/>
  <c r="EJ200" i="3"/>
  <c r="AN15" i="3"/>
  <c r="EJ15" i="3"/>
  <c r="AN106" i="3"/>
  <c r="EJ106" i="3"/>
  <c r="AN117" i="3"/>
  <c r="EJ117" i="3"/>
  <c r="AN47" i="3"/>
  <c r="EJ47" i="3"/>
  <c r="AN190" i="3"/>
  <c r="EJ190" i="3"/>
  <c r="AN92" i="3"/>
  <c r="EJ92" i="3"/>
  <c r="AN18" i="3"/>
  <c r="EJ18" i="3"/>
  <c r="AN57" i="3"/>
  <c r="EJ57" i="3"/>
  <c r="AN197" i="3"/>
  <c r="EJ197" i="3"/>
  <c r="AN114" i="3"/>
  <c r="EJ114" i="3"/>
  <c r="AN64" i="3"/>
  <c r="EJ64" i="3"/>
  <c r="AN69" i="3"/>
  <c r="EJ69" i="3"/>
  <c r="AN198" i="3"/>
  <c r="EJ198" i="3"/>
  <c r="AN31" i="3"/>
  <c r="EJ31" i="3"/>
  <c r="AN22" i="3"/>
  <c r="EJ22" i="3"/>
  <c r="AN74" i="3"/>
  <c r="EJ74" i="3"/>
  <c r="AN11" i="3"/>
  <c r="EJ11" i="3"/>
  <c r="AN49" i="3"/>
  <c r="EJ49" i="3"/>
  <c r="AN73" i="3"/>
  <c r="EJ73" i="3"/>
  <c r="AN59" i="3"/>
  <c r="EJ59" i="3"/>
  <c r="AN8" i="3"/>
  <c r="EJ8" i="3"/>
  <c r="AN104" i="3"/>
  <c r="EJ104" i="3"/>
  <c r="AN34" i="3"/>
  <c r="EJ34" i="3"/>
  <c r="AN81" i="3"/>
  <c r="EJ81" i="3"/>
  <c r="AN193" i="3"/>
  <c r="EJ193" i="3"/>
  <c r="AN70" i="3"/>
  <c r="EJ70" i="3"/>
  <c r="AN91" i="3"/>
  <c r="EJ91" i="3"/>
  <c r="AN28" i="3"/>
  <c r="EJ28" i="3"/>
  <c r="AN61" i="3"/>
  <c r="EJ61" i="3"/>
  <c r="AN194" i="3"/>
  <c r="EJ194" i="3"/>
  <c r="AN199" i="3"/>
  <c r="EJ199" i="3"/>
  <c r="AN95" i="3"/>
  <c r="EJ95" i="3"/>
  <c r="AN7" i="3"/>
  <c r="EJ7" i="3"/>
  <c r="AN21" i="3"/>
  <c r="EJ21" i="3"/>
  <c r="AN97" i="3"/>
  <c r="EJ97" i="3"/>
  <c r="AN67" i="3"/>
  <c r="EJ67" i="3"/>
  <c r="AN188" i="3"/>
  <c r="EJ188" i="3"/>
  <c r="AN98" i="3"/>
  <c r="EJ98" i="3"/>
  <c r="EJ203" i="3" l="1"/>
  <c r="K65" i="19" s="1"/>
  <c r="AR67" i="3"/>
  <c r="EK67" i="3"/>
  <c r="AR194" i="3"/>
  <c r="EK194" i="3"/>
  <c r="AR70" i="3"/>
  <c r="EK70" i="3"/>
  <c r="AR188" i="3"/>
  <c r="EK188" i="3"/>
  <c r="AR97" i="3"/>
  <c r="EK97" i="3"/>
  <c r="AR7" i="3"/>
  <c r="EK7" i="3"/>
  <c r="AR199" i="3"/>
  <c r="EK199" i="3"/>
  <c r="AR61" i="3"/>
  <c r="EK61" i="3"/>
  <c r="AR91" i="3"/>
  <c r="EK91" i="3"/>
  <c r="AR193" i="3"/>
  <c r="EK193" i="3"/>
  <c r="AR34" i="3"/>
  <c r="EK34" i="3"/>
  <c r="AR8" i="3"/>
  <c r="EK8" i="3"/>
  <c r="AR73" i="3"/>
  <c r="EK73" i="3"/>
  <c r="AR11" i="3"/>
  <c r="EK11" i="3"/>
  <c r="AR22" i="3"/>
  <c r="EK22" i="3"/>
  <c r="AR198" i="3"/>
  <c r="EK198" i="3"/>
  <c r="AR64" i="3"/>
  <c r="EK64" i="3"/>
  <c r="AR197" i="3"/>
  <c r="EK197" i="3"/>
  <c r="AR18" i="3"/>
  <c r="EK18" i="3"/>
  <c r="AR190" i="3"/>
  <c r="EK190" i="3"/>
  <c r="AR117" i="3"/>
  <c r="EK117" i="3"/>
  <c r="AR15" i="3"/>
  <c r="EK15" i="3"/>
  <c r="AR45" i="3"/>
  <c r="EK45" i="3"/>
  <c r="AR83" i="3"/>
  <c r="EK83" i="3"/>
  <c r="AR118" i="3"/>
  <c r="EK118" i="3"/>
  <c r="AR6" i="3"/>
  <c r="EK6" i="3"/>
  <c r="AR112" i="3"/>
  <c r="EK112" i="3"/>
  <c r="AR103" i="3"/>
  <c r="EK103" i="3"/>
  <c r="AR35" i="3"/>
  <c r="EK35" i="3"/>
  <c r="AR119" i="3"/>
  <c r="EK119" i="3"/>
  <c r="AR36" i="3"/>
  <c r="EK36" i="3"/>
  <c r="AR58" i="3"/>
  <c r="EK58" i="3"/>
  <c r="AR39" i="3"/>
  <c r="EK39" i="3"/>
  <c r="AR85" i="3"/>
  <c r="EK85" i="3"/>
  <c r="AR13" i="3"/>
  <c r="EK13" i="3"/>
  <c r="AR86" i="3"/>
  <c r="EK86" i="3"/>
  <c r="AR25" i="3"/>
  <c r="EK25" i="3"/>
  <c r="AR115" i="3"/>
  <c r="EK115" i="3"/>
  <c r="AR90" i="3"/>
  <c r="EK90" i="3"/>
  <c r="AR43" i="3"/>
  <c r="EK43" i="3"/>
  <c r="AR107" i="3"/>
  <c r="EK107" i="3"/>
  <c r="AR93" i="3"/>
  <c r="EK93" i="3"/>
  <c r="AR38" i="3"/>
  <c r="EK38" i="3"/>
  <c r="AR24" i="3"/>
  <c r="EK24" i="3"/>
  <c r="AR88" i="3"/>
  <c r="EK88" i="3"/>
  <c r="AR72" i="3"/>
  <c r="EK72" i="3"/>
  <c r="AR27" i="3"/>
  <c r="EK27" i="3"/>
  <c r="AR42" i="3"/>
  <c r="EK42" i="3"/>
  <c r="AR37" i="3"/>
  <c r="EK37" i="3"/>
  <c r="AR79" i="3"/>
  <c r="EK79" i="3"/>
  <c r="AR110" i="3"/>
  <c r="EK110" i="3"/>
  <c r="AR3" i="3"/>
  <c r="EK3" i="3"/>
  <c r="AR12" i="3"/>
  <c r="EK12" i="3"/>
  <c r="AR76" i="3"/>
  <c r="EK76" i="3"/>
  <c r="AR60" i="3"/>
  <c r="EK60" i="3"/>
  <c r="AR26" i="3"/>
  <c r="EK26" i="3"/>
  <c r="AR191" i="3"/>
  <c r="EK191" i="3"/>
  <c r="AR9" i="3"/>
  <c r="EK9" i="3"/>
  <c r="AR32" i="3"/>
  <c r="EK32" i="3"/>
  <c r="AR78" i="3"/>
  <c r="EK78" i="3"/>
  <c r="AR65" i="3"/>
  <c r="EK65" i="3"/>
  <c r="AR48" i="3"/>
  <c r="EK48" i="3"/>
  <c r="AR19" i="3"/>
  <c r="EK19" i="3"/>
  <c r="AR105" i="3"/>
  <c r="EK105" i="3"/>
  <c r="AR87" i="3"/>
  <c r="EK87" i="3"/>
  <c r="AR113" i="3"/>
  <c r="EK113" i="3"/>
  <c r="AR62" i="3"/>
  <c r="EK62" i="3"/>
  <c r="AR10" i="3"/>
  <c r="EK10" i="3"/>
  <c r="AR116" i="3"/>
  <c r="EK116" i="3"/>
  <c r="AR21" i="3"/>
  <c r="EK21" i="3"/>
  <c r="AR28" i="3"/>
  <c r="EK28" i="3"/>
  <c r="AR81" i="3"/>
  <c r="EK81" i="3"/>
  <c r="AR104" i="3"/>
  <c r="EK104" i="3"/>
  <c r="AR59" i="3"/>
  <c r="EK59" i="3"/>
  <c r="AR49" i="3"/>
  <c r="EK49" i="3"/>
  <c r="AR74" i="3"/>
  <c r="EK74" i="3"/>
  <c r="AR31" i="3"/>
  <c r="EK31" i="3"/>
  <c r="AR69" i="3"/>
  <c r="EK69" i="3"/>
  <c r="AR114" i="3"/>
  <c r="EK114" i="3"/>
  <c r="AR57" i="3"/>
  <c r="EK57" i="3"/>
  <c r="AR92" i="3"/>
  <c r="EK92" i="3"/>
  <c r="AR47" i="3"/>
  <c r="EK47" i="3"/>
  <c r="AR106" i="3"/>
  <c r="EK106" i="3"/>
  <c r="AR200" i="3"/>
  <c r="EK200" i="3"/>
  <c r="AR20" i="3"/>
  <c r="EK20" i="3"/>
  <c r="AR54" i="3"/>
  <c r="EK54" i="3"/>
  <c r="AR33" i="3"/>
  <c r="EK33" i="3"/>
  <c r="AR80" i="3"/>
  <c r="EK80" i="3"/>
  <c r="AR51" i="3"/>
  <c r="EK51" i="3"/>
  <c r="AR96" i="3"/>
  <c r="EK96" i="3"/>
  <c r="AR195" i="3"/>
  <c r="EK195" i="3"/>
  <c r="AR17" i="3"/>
  <c r="EK17" i="3"/>
  <c r="AR40" i="3"/>
  <c r="EK40" i="3"/>
  <c r="AR94" i="3"/>
  <c r="EK94" i="3"/>
  <c r="AR55" i="3"/>
  <c r="EK55" i="3"/>
  <c r="AR100" i="3"/>
  <c r="EK100" i="3"/>
  <c r="AR71" i="3"/>
  <c r="EK71" i="3"/>
  <c r="AR66" i="3"/>
  <c r="EK66" i="3"/>
  <c r="AR109" i="3"/>
  <c r="EK109" i="3"/>
  <c r="AR52" i="3"/>
  <c r="EK52" i="3"/>
  <c r="AR29" i="3"/>
  <c r="EK29" i="3"/>
  <c r="AR44" i="3"/>
  <c r="EK44" i="3"/>
  <c r="AR102" i="3"/>
  <c r="EK102" i="3"/>
  <c r="AR30" i="3"/>
  <c r="EK30" i="3"/>
  <c r="AR120" i="3"/>
  <c r="EK120" i="3"/>
  <c r="AR75" i="3"/>
  <c r="EK75" i="3"/>
  <c r="AR192" i="3"/>
  <c r="EK192" i="3"/>
  <c r="AR101" i="3"/>
  <c r="EK101" i="3"/>
  <c r="AR111" i="3"/>
  <c r="EK111" i="3"/>
  <c r="AR16" i="3"/>
  <c r="EK16" i="3"/>
  <c r="AR46" i="3"/>
  <c r="EK46" i="3"/>
  <c r="AR98" i="3"/>
  <c r="EK98" i="3"/>
  <c r="AR95" i="3"/>
  <c r="EK95" i="3"/>
  <c r="AR89" i="3"/>
  <c r="EK89" i="3"/>
  <c r="AR108" i="3"/>
  <c r="EK108" i="3"/>
  <c r="AR63" i="3"/>
  <c r="EK63" i="3"/>
  <c r="AR196" i="3"/>
  <c r="EK196" i="3"/>
  <c r="AR77" i="3"/>
  <c r="EK77" i="3"/>
  <c r="AR68" i="3"/>
  <c r="EK68" i="3"/>
  <c r="AR4" i="3"/>
  <c r="EK4" i="3"/>
  <c r="AR50" i="3"/>
  <c r="EK50" i="3"/>
  <c r="AR5" i="3"/>
  <c r="EK5" i="3"/>
  <c r="AR99" i="3"/>
  <c r="EK99" i="3"/>
  <c r="AR82" i="3"/>
  <c r="EK82" i="3"/>
  <c r="AR14" i="3"/>
  <c r="EK14" i="3"/>
  <c r="AR53" i="3"/>
  <c r="EK53" i="3"/>
  <c r="AR56" i="3"/>
  <c r="EK56" i="3"/>
  <c r="AR189" i="3"/>
  <c r="EK189" i="3"/>
  <c r="AR41" i="3"/>
  <c r="EK41" i="3"/>
  <c r="AR84" i="3"/>
  <c r="EK84" i="3"/>
  <c r="AR23" i="3"/>
  <c r="EK23" i="3"/>
  <c r="EK203" i="3" l="1"/>
  <c r="L65" i="19" s="1"/>
  <c r="AV84" i="3"/>
  <c r="EL84" i="3"/>
  <c r="AV189" i="3"/>
  <c r="EL189" i="3"/>
  <c r="AV53" i="3"/>
  <c r="EL53" i="3"/>
  <c r="AV82" i="3"/>
  <c r="EL82" i="3"/>
  <c r="AV5" i="3"/>
  <c r="EL5" i="3"/>
  <c r="AV4" i="3"/>
  <c r="EL4" i="3"/>
  <c r="AV77" i="3"/>
  <c r="EL77" i="3"/>
  <c r="AV63" i="3"/>
  <c r="EL63" i="3"/>
  <c r="AV89" i="3"/>
  <c r="EL89" i="3"/>
  <c r="AV98" i="3"/>
  <c r="EL98" i="3"/>
  <c r="AV16" i="3"/>
  <c r="EL16" i="3"/>
  <c r="AV101" i="3"/>
  <c r="EL101" i="3"/>
  <c r="AV75" i="3"/>
  <c r="EL75" i="3"/>
  <c r="AV30" i="3"/>
  <c r="EL30" i="3"/>
  <c r="AV44" i="3"/>
  <c r="EL44" i="3"/>
  <c r="AV52" i="3"/>
  <c r="EL52" i="3"/>
  <c r="AV66" i="3"/>
  <c r="EL66" i="3"/>
  <c r="AV100" i="3"/>
  <c r="EL100" i="3"/>
  <c r="AV94" i="3"/>
  <c r="EL94" i="3"/>
  <c r="AV17" i="3"/>
  <c r="EL17" i="3"/>
  <c r="AV96" i="3"/>
  <c r="EL96" i="3"/>
  <c r="AV80" i="3"/>
  <c r="EL80" i="3"/>
  <c r="AV54" i="3"/>
  <c r="EL54" i="3"/>
  <c r="AV200" i="3"/>
  <c r="EL200" i="3"/>
  <c r="AV47" i="3"/>
  <c r="EL47" i="3"/>
  <c r="AV57" i="3"/>
  <c r="EL57" i="3"/>
  <c r="AV69" i="3"/>
  <c r="EL69" i="3"/>
  <c r="AV74" i="3"/>
  <c r="EL74" i="3"/>
  <c r="AV59" i="3"/>
  <c r="EL59" i="3"/>
  <c r="AV81" i="3"/>
  <c r="EL81" i="3"/>
  <c r="AV21" i="3"/>
  <c r="EL21" i="3"/>
  <c r="AV10" i="3"/>
  <c r="EL10" i="3"/>
  <c r="AV113" i="3"/>
  <c r="EL113" i="3"/>
  <c r="AV105" i="3"/>
  <c r="EL105" i="3"/>
  <c r="AV48" i="3"/>
  <c r="EL48" i="3"/>
  <c r="AV78" i="3"/>
  <c r="EL78" i="3"/>
  <c r="AV9" i="3"/>
  <c r="EL9" i="3"/>
  <c r="AV26" i="3"/>
  <c r="EL26" i="3"/>
  <c r="AV76" i="3"/>
  <c r="EL76" i="3"/>
  <c r="EL3" i="3"/>
  <c r="AV3" i="3"/>
  <c r="AV79" i="3"/>
  <c r="EL79" i="3"/>
  <c r="AV42" i="3"/>
  <c r="EL42" i="3"/>
  <c r="AV72" i="3"/>
  <c r="EL72" i="3"/>
  <c r="AV24" i="3"/>
  <c r="EL24" i="3"/>
  <c r="AV93" i="3"/>
  <c r="EL93" i="3"/>
  <c r="AV43" i="3"/>
  <c r="EL43" i="3"/>
  <c r="AV115" i="3"/>
  <c r="EL115" i="3"/>
  <c r="AV86" i="3"/>
  <c r="EL86" i="3"/>
  <c r="AV85" i="3"/>
  <c r="EL85" i="3"/>
  <c r="AV58" i="3"/>
  <c r="EL58" i="3"/>
  <c r="AV119" i="3"/>
  <c r="EL119" i="3"/>
  <c r="AV103" i="3"/>
  <c r="EL103" i="3"/>
  <c r="AV6" i="3"/>
  <c r="EL6" i="3"/>
  <c r="AV83" i="3"/>
  <c r="EL83" i="3"/>
  <c r="AV15" i="3"/>
  <c r="EL15" i="3"/>
  <c r="AV190" i="3"/>
  <c r="EL190" i="3"/>
  <c r="AV197" i="3"/>
  <c r="EL197" i="3"/>
  <c r="AV198" i="3"/>
  <c r="EL198" i="3"/>
  <c r="AV11" i="3"/>
  <c r="EL11" i="3"/>
  <c r="AV8" i="3"/>
  <c r="EL8" i="3"/>
  <c r="AV193" i="3"/>
  <c r="EL193" i="3"/>
  <c r="AV61" i="3"/>
  <c r="EL61" i="3"/>
  <c r="AV7" i="3"/>
  <c r="EL7" i="3"/>
  <c r="AV188" i="3"/>
  <c r="EL188" i="3"/>
  <c r="AV194" i="3"/>
  <c r="EL194" i="3"/>
  <c r="AV23" i="3"/>
  <c r="EL23" i="3"/>
  <c r="AV41" i="3"/>
  <c r="EL41" i="3"/>
  <c r="AV56" i="3"/>
  <c r="EL56" i="3"/>
  <c r="AV14" i="3"/>
  <c r="EL14" i="3"/>
  <c r="AV99" i="3"/>
  <c r="EL99" i="3"/>
  <c r="AV50" i="3"/>
  <c r="EL50" i="3"/>
  <c r="AV68" i="3"/>
  <c r="EL68" i="3"/>
  <c r="AV196" i="3"/>
  <c r="EL196" i="3"/>
  <c r="AV108" i="3"/>
  <c r="EL108" i="3"/>
  <c r="AV95" i="3"/>
  <c r="EL95" i="3"/>
  <c r="AV46" i="3"/>
  <c r="EL46" i="3"/>
  <c r="AV111" i="3"/>
  <c r="EL111" i="3"/>
  <c r="AV192" i="3"/>
  <c r="EL192" i="3"/>
  <c r="AV120" i="3"/>
  <c r="EL120" i="3"/>
  <c r="AV102" i="3"/>
  <c r="EL102" i="3"/>
  <c r="AV29" i="3"/>
  <c r="EL29" i="3"/>
  <c r="AV109" i="3"/>
  <c r="EL109" i="3"/>
  <c r="AV71" i="3"/>
  <c r="EL71" i="3"/>
  <c r="AV55" i="3"/>
  <c r="EL55" i="3"/>
  <c r="AV40" i="3"/>
  <c r="EL40" i="3"/>
  <c r="AV195" i="3"/>
  <c r="EL195" i="3"/>
  <c r="AV51" i="3"/>
  <c r="EL51" i="3"/>
  <c r="AV33" i="3"/>
  <c r="EL33" i="3"/>
  <c r="AV20" i="3"/>
  <c r="EL20" i="3"/>
  <c r="AV106" i="3"/>
  <c r="EL106" i="3"/>
  <c r="AV92" i="3"/>
  <c r="EL92" i="3"/>
  <c r="AV114" i="3"/>
  <c r="EL114" i="3"/>
  <c r="AV31" i="3"/>
  <c r="EL31" i="3"/>
  <c r="AV49" i="3"/>
  <c r="EL49" i="3"/>
  <c r="AV104" i="3"/>
  <c r="EL104" i="3"/>
  <c r="AV28" i="3"/>
  <c r="EL28" i="3"/>
  <c r="AV116" i="3"/>
  <c r="EL116" i="3"/>
  <c r="AV62" i="3"/>
  <c r="EL62" i="3"/>
  <c r="AV87" i="3"/>
  <c r="EL87" i="3"/>
  <c r="AV19" i="3"/>
  <c r="EL19" i="3"/>
  <c r="AV65" i="3"/>
  <c r="EL65" i="3"/>
  <c r="AV32" i="3"/>
  <c r="EL32" i="3"/>
  <c r="AV191" i="3"/>
  <c r="EL191" i="3"/>
  <c r="AV60" i="3"/>
  <c r="EL60" i="3"/>
  <c r="AV12" i="3"/>
  <c r="EL12" i="3"/>
  <c r="AV110" i="3"/>
  <c r="EL110" i="3"/>
  <c r="AV37" i="3"/>
  <c r="EL37" i="3"/>
  <c r="AV27" i="3"/>
  <c r="EL27" i="3"/>
  <c r="AV88" i="3"/>
  <c r="EL88" i="3"/>
  <c r="AV38" i="3"/>
  <c r="EL38" i="3"/>
  <c r="AV107" i="3"/>
  <c r="EL107" i="3"/>
  <c r="AV90" i="3"/>
  <c r="EL90" i="3"/>
  <c r="AV25" i="3"/>
  <c r="EL25" i="3"/>
  <c r="AV13" i="3"/>
  <c r="EL13" i="3"/>
  <c r="AV39" i="3"/>
  <c r="EL39" i="3"/>
  <c r="AV36" i="3"/>
  <c r="EL36" i="3"/>
  <c r="AV35" i="3"/>
  <c r="EL35" i="3"/>
  <c r="AV112" i="3"/>
  <c r="EL112" i="3"/>
  <c r="AV118" i="3"/>
  <c r="EL118" i="3"/>
  <c r="AV45" i="3"/>
  <c r="EL45" i="3"/>
  <c r="AV117" i="3"/>
  <c r="EL117" i="3"/>
  <c r="AV18" i="3"/>
  <c r="EL18" i="3"/>
  <c r="AV64" i="3"/>
  <c r="EL64" i="3"/>
  <c r="AV22" i="3"/>
  <c r="EL22" i="3"/>
  <c r="AV73" i="3"/>
  <c r="EL73" i="3"/>
  <c r="AV34" i="3"/>
  <c r="EL34" i="3"/>
  <c r="AV91" i="3"/>
  <c r="EL91" i="3"/>
  <c r="AV199" i="3"/>
  <c r="EL199" i="3"/>
  <c r="AV97" i="3"/>
  <c r="EL97" i="3"/>
  <c r="AV70" i="3"/>
  <c r="EL70" i="3"/>
  <c r="AV67" i="3"/>
  <c r="EL67" i="3"/>
  <c r="EL203" i="3" l="1"/>
  <c r="M65" i="19" s="1"/>
  <c r="AZ67" i="3"/>
  <c r="EM67" i="3"/>
  <c r="AZ73" i="3"/>
  <c r="EM73" i="3"/>
  <c r="AZ70" i="3"/>
  <c r="EM70" i="3"/>
  <c r="AZ199" i="3"/>
  <c r="EM199" i="3"/>
  <c r="AZ34" i="3"/>
  <c r="EM34" i="3"/>
  <c r="AZ22" i="3"/>
  <c r="EM22" i="3"/>
  <c r="AZ18" i="3"/>
  <c r="EM18" i="3"/>
  <c r="AZ45" i="3"/>
  <c r="EM45" i="3"/>
  <c r="AZ112" i="3"/>
  <c r="EM112" i="3"/>
  <c r="AZ36" i="3"/>
  <c r="EM36" i="3"/>
  <c r="AZ13" i="3"/>
  <c r="EM13" i="3"/>
  <c r="AZ90" i="3"/>
  <c r="EM90" i="3"/>
  <c r="AZ38" i="3"/>
  <c r="EM38" i="3"/>
  <c r="AZ27" i="3"/>
  <c r="EM27" i="3"/>
  <c r="AZ110" i="3"/>
  <c r="EM110" i="3"/>
  <c r="AZ60" i="3"/>
  <c r="EM60" i="3"/>
  <c r="AZ32" i="3"/>
  <c r="EM32" i="3"/>
  <c r="AZ19" i="3"/>
  <c r="EM19" i="3"/>
  <c r="AZ62" i="3"/>
  <c r="EM62" i="3"/>
  <c r="AZ28" i="3"/>
  <c r="EM28" i="3"/>
  <c r="AZ49" i="3"/>
  <c r="EM49" i="3"/>
  <c r="AZ114" i="3"/>
  <c r="EM114" i="3"/>
  <c r="AZ106" i="3"/>
  <c r="EM106" i="3"/>
  <c r="AZ33" i="3"/>
  <c r="EM33" i="3"/>
  <c r="AZ195" i="3"/>
  <c r="EM195" i="3"/>
  <c r="AZ55" i="3"/>
  <c r="EM55" i="3"/>
  <c r="AZ109" i="3"/>
  <c r="EM109" i="3"/>
  <c r="AZ102" i="3"/>
  <c r="EM102" i="3"/>
  <c r="AZ192" i="3"/>
  <c r="EM192" i="3"/>
  <c r="AZ46" i="3"/>
  <c r="EM46" i="3"/>
  <c r="AZ108" i="3"/>
  <c r="EM108" i="3"/>
  <c r="AZ68" i="3"/>
  <c r="EM68" i="3"/>
  <c r="AZ99" i="3"/>
  <c r="EM99" i="3"/>
  <c r="AZ56" i="3"/>
  <c r="EM56" i="3"/>
  <c r="AZ23" i="3"/>
  <c r="EM23" i="3"/>
  <c r="AZ188" i="3"/>
  <c r="EM188" i="3"/>
  <c r="AZ61" i="3"/>
  <c r="EM61" i="3"/>
  <c r="AZ8" i="3"/>
  <c r="EM8" i="3"/>
  <c r="AZ198" i="3"/>
  <c r="EM198" i="3"/>
  <c r="AZ190" i="3"/>
  <c r="EM190" i="3"/>
  <c r="AZ83" i="3"/>
  <c r="EM83" i="3"/>
  <c r="AZ103" i="3"/>
  <c r="EM103" i="3"/>
  <c r="AZ58" i="3"/>
  <c r="EM58" i="3"/>
  <c r="AZ86" i="3"/>
  <c r="EM86" i="3"/>
  <c r="AZ43" i="3"/>
  <c r="EM43" i="3"/>
  <c r="AZ24" i="3"/>
  <c r="EM24" i="3"/>
  <c r="AZ42" i="3"/>
  <c r="EM42" i="3"/>
  <c r="AZ26" i="3"/>
  <c r="EM26" i="3"/>
  <c r="AZ78" i="3"/>
  <c r="EM78" i="3"/>
  <c r="AZ105" i="3"/>
  <c r="EM105" i="3"/>
  <c r="AZ10" i="3"/>
  <c r="EM10" i="3"/>
  <c r="AZ81" i="3"/>
  <c r="EM81" i="3"/>
  <c r="AZ74" i="3"/>
  <c r="EM74" i="3"/>
  <c r="AZ57" i="3"/>
  <c r="EM57" i="3"/>
  <c r="AZ200" i="3"/>
  <c r="EM200" i="3"/>
  <c r="AZ80" i="3"/>
  <c r="EM80" i="3"/>
  <c r="AZ17" i="3"/>
  <c r="EM17" i="3"/>
  <c r="AZ100" i="3"/>
  <c r="EM100" i="3"/>
  <c r="AZ52" i="3"/>
  <c r="EM52" i="3"/>
  <c r="AZ30" i="3"/>
  <c r="EM30" i="3"/>
  <c r="AZ101" i="3"/>
  <c r="EM101" i="3"/>
  <c r="AZ98" i="3"/>
  <c r="EM98" i="3"/>
  <c r="AZ63" i="3"/>
  <c r="EM63" i="3"/>
  <c r="AZ4" i="3"/>
  <c r="EM4" i="3"/>
  <c r="AZ82" i="3"/>
  <c r="EM82" i="3"/>
  <c r="AZ189" i="3"/>
  <c r="EM189" i="3"/>
  <c r="AZ97" i="3"/>
  <c r="EM97" i="3"/>
  <c r="AZ64" i="3"/>
  <c r="EM64" i="3"/>
  <c r="AZ118" i="3"/>
  <c r="EM118" i="3"/>
  <c r="AZ35" i="3"/>
  <c r="EM35" i="3"/>
  <c r="AZ39" i="3"/>
  <c r="EM39" i="3"/>
  <c r="AZ25" i="3"/>
  <c r="EM25" i="3"/>
  <c r="AZ107" i="3"/>
  <c r="EM107" i="3"/>
  <c r="AZ88" i="3"/>
  <c r="EM88" i="3"/>
  <c r="AZ37" i="3"/>
  <c r="EM37" i="3"/>
  <c r="AZ12" i="3"/>
  <c r="EM12" i="3"/>
  <c r="AZ191" i="3"/>
  <c r="EM191" i="3"/>
  <c r="AZ65" i="3"/>
  <c r="EM65" i="3"/>
  <c r="AZ87" i="3"/>
  <c r="EM87" i="3"/>
  <c r="AZ116" i="3"/>
  <c r="EM116" i="3"/>
  <c r="AZ104" i="3"/>
  <c r="EM104" i="3"/>
  <c r="AZ31" i="3"/>
  <c r="EM31" i="3"/>
  <c r="AZ92" i="3"/>
  <c r="EM92" i="3"/>
  <c r="AZ20" i="3"/>
  <c r="EM20" i="3"/>
  <c r="AZ51" i="3"/>
  <c r="EM51" i="3"/>
  <c r="AZ40" i="3"/>
  <c r="EM40" i="3"/>
  <c r="AZ71" i="3"/>
  <c r="EM71" i="3"/>
  <c r="AZ29" i="3"/>
  <c r="EM29" i="3"/>
  <c r="AZ120" i="3"/>
  <c r="EM120" i="3"/>
  <c r="AZ111" i="3"/>
  <c r="EM111" i="3"/>
  <c r="AZ95" i="3"/>
  <c r="EM95" i="3"/>
  <c r="AZ196" i="3"/>
  <c r="EM196" i="3"/>
  <c r="AZ50" i="3"/>
  <c r="EM50" i="3"/>
  <c r="AZ14" i="3"/>
  <c r="EM14" i="3"/>
  <c r="AZ41" i="3"/>
  <c r="EM41" i="3"/>
  <c r="AZ194" i="3"/>
  <c r="EM194" i="3"/>
  <c r="AZ7" i="3"/>
  <c r="EM7" i="3"/>
  <c r="AZ193" i="3"/>
  <c r="EM193" i="3"/>
  <c r="AZ11" i="3"/>
  <c r="EM11" i="3"/>
  <c r="AZ197" i="3"/>
  <c r="EM197" i="3"/>
  <c r="AZ15" i="3"/>
  <c r="EM15" i="3"/>
  <c r="AZ6" i="3"/>
  <c r="EM6" i="3"/>
  <c r="AZ119" i="3"/>
  <c r="EM119" i="3"/>
  <c r="AZ85" i="3"/>
  <c r="EM85" i="3"/>
  <c r="AZ115" i="3"/>
  <c r="EM115" i="3"/>
  <c r="AZ93" i="3"/>
  <c r="EM93" i="3"/>
  <c r="AZ72" i="3"/>
  <c r="EM72" i="3"/>
  <c r="AZ79" i="3"/>
  <c r="EM79" i="3"/>
  <c r="AZ76" i="3"/>
  <c r="EM76" i="3"/>
  <c r="AZ9" i="3"/>
  <c r="EM9" i="3"/>
  <c r="AZ48" i="3"/>
  <c r="EM48" i="3"/>
  <c r="AZ113" i="3"/>
  <c r="EM113" i="3"/>
  <c r="AZ21" i="3"/>
  <c r="EM21" i="3"/>
  <c r="AZ59" i="3"/>
  <c r="EM59" i="3"/>
  <c r="AZ69" i="3"/>
  <c r="EM69" i="3"/>
  <c r="AZ47" i="3"/>
  <c r="EM47" i="3"/>
  <c r="AZ54" i="3"/>
  <c r="EM54" i="3"/>
  <c r="AZ96" i="3"/>
  <c r="EM96" i="3"/>
  <c r="AZ94" i="3"/>
  <c r="EM94" i="3"/>
  <c r="AZ66" i="3"/>
  <c r="EM66" i="3"/>
  <c r="AZ91" i="3"/>
  <c r="EM91" i="3"/>
  <c r="AZ117" i="3"/>
  <c r="EM117" i="3"/>
  <c r="EM3" i="3"/>
  <c r="AZ3" i="3"/>
  <c r="AZ44" i="3"/>
  <c r="EM44" i="3"/>
  <c r="AZ75" i="3"/>
  <c r="EM75" i="3"/>
  <c r="AZ16" i="3"/>
  <c r="EM16" i="3"/>
  <c r="AZ89" i="3"/>
  <c r="EM89" i="3"/>
  <c r="AZ77" i="3"/>
  <c r="EM77" i="3"/>
  <c r="AZ5" i="3"/>
  <c r="EM5" i="3"/>
  <c r="AZ53" i="3"/>
  <c r="EM53" i="3"/>
  <c r="AZ84" i="3"/>
  <c r="EM84" i="3"/>
  <c r="EM203" i="3" l="1"/>
  <c r="N65" i="19" s="1"/>
  <c r="EN5" i="3"/>
  <c r="EN75" i="3"/>
  <c r="EN94" i="3"/>
  <c r="EN53" i="3"/>
  <c r="EN77" i="3"/>
  <c r="EN16" i="3"/>
  <c r="EN44" i="3"/>
  <c r="EN117" i="3"/>
  <c r="EN66" i="3"/>
  <c r="EN96" i="3"/>
  <c r="EN47" i="3"/>
  <c r="EN59" i="3"/>
  <c r="EN113" i="3"/>
  <c r="EN9" i="3"/>
  <c r="EN79" i="3"/>
  <c r="EN93" i="3"/>
  <c r="EN85" i="3"/>
  <c r="EN6" i="3"/>
  <c r="EN197" i="3"/>
  <c r="EN193" i="3"/>
  <c r="EN194" i="3"/>
  <c r="EN14" i="3"/>
  <c r="EN196" i="3"/>
  <c r="EN111" i="3"/>
  <c r="EN29" i="3"/>
  <c r="EN40" i="3"/>
  <c r="EN20" i="3"/>
  <c r="EN31" i="3"/>
  <c r="EN116" i="3"/>
  <c r="EN65" i="3"/>
  <c r="EN12" i="3"/>
  <c r="EN88" i="3"/>
  <c r="EN25" i="3"/>
  <c r="EN35" i="3"/>
  <c r="EN64" i="3"/>
  <c r="EN189" i="3"/>
  <c r="EN4" i="3"/>
  <c r="EN98" i="3"/>
  <c r="EN30" i="3"/>
  <c r="EN100" i="3"/>
  <c r="EN80" i="3"/>
  <c r="EN57" i="3"/>
  <c r="EN81" i="3"/>
  <c r="EN105" i="3"/>
  <c r="EN26" i="3"/>
  <c r="EN24" i="3"/>
  <c r="EN86" i="3"/>
  <c r="EN103" i="3"/>
  <c r="EN190" i="3"/>
  <c r="EN8" i="3"/>
  <c r="EN188" i="3"/>
  <c r="EN56" i="3"/>
  <c r="EN68" i="3"/>
  <c r="EN46" i="3"/>
  <c r="EN102" i="3"/>
  <c r="EN55" i="3"/>
  <c r="EN33" i="3"/>
  <c r="EN114" i="3"/>
  <c r="EN28" i="3"/>
  <c r="EN19" i="3"/>
  <c r="EN60" i="3"/>
  <c r="EN27" i="3"/>
  <c r="EN90" i="3"/>
  <c r="EN36" i="3"/>
  <c r="EN45" i="3"/>
  <c r="EN22" i="3"/>
  <c r="EN199" i="3"/>
  <c r="EN73" i="3"/>
  <c r="EN91" i="3"/>
  <c r="EN54" i="3"/>
  <c r="EN69" i="3"/>
  <c r="EN21" i="3"/>
  <c r="EN48" i="3"/>
  <c r="EN76" i="3"/>
  <c r="EN72" i="3"/>
  <c r="EN115" i="3"/>
  <c r="EN119" i="3"/>
  <c r="EN15" i="3"/>
  <c r="EN11" i="3"/>
  <c r="EN7" i="3"/>
  <c r="EN41" i="3"/>
  <c r="EN50" i="3"/>
  <c r="EN95" i="3"/>
  <c r="EN120" i="3"/>
  <c r="EN71" i="3"/>
  <c r="EN51" i="3"/>
  <c r="EN92" i="3"/>
  <c r="EN104" i="3"/>
  <c r="EN87" i="3"/>
  <c r="EN191" i="3"/>
  <c r="EN37" i="3"/>
  <c r="EN107" i="3"/>
  <c r="EN39" i="3"/>
  <c r="EN118" i="3"/>
  <c r="EN97" i="3"/>
  <c r="EN82" i="3"/>
  <c r="EN63" i="3"/>
  <c r="EN101" i="3"/>
  <c r="EN52" i="3"/>
  <c r="EN17" i="3"/>
  <c r="EN200" i="3"/>
  <c r="EN74" i="3"/>
  <c r="EN10" i="3"/>
  <c r="EN78" i="3"/>
  <c r="EN3" i="3"/>
  <c r="EN84" i="3"/>
  <c r="EN89" i="3"/>
  <c r="EN42" i="3"/>
  <c r="EN43" i="3"/>
  <c r="EN58" i="3"/>
  <c r="EN83" i="3"/>
  <c r="EN198" i="3"/>
  <c r="EN61" i="3"/>
  <c r="EN23" i="3"/>
  <c r="EN99" i="3"/>
  <c r="EN108" i="3"/>
  <c r="EN192" i="3"/>
  <c r="EN109" i="3"/>
  <c r="EN195" i="3"/>
  <c r="EN106" i="3"/>
  <c r="EN49" i="3"/>
  <c r="EN62" i="3"/>
  <c r="EN32" i="3"/>
  <c r="EN110" i="3"/>
  <c r="EN38" i="3"/>
  <c r="EN13" i="3"/>
  <c r="EN112" i="3"/>
  <c r="EN18" i="3"/>
  <c r="EN34" i="3"/>
  <c r="EN70" i="3"/>
  <c r="EN67" i="3"/>
  <c r="EN203" i="3" l="1"/>
  <c r="O65" i="19" s="1"/>
  <c r="BD193" i="3"/>
  <c r="EA199" i="3"/>
  <c r="BD199" i="3"/>
  <c r="EA123" i="3"/>
  <c r="BD123" i="3"/>
  <c r="EA75" i="3"/>
  <c r="BD75" i="3"/>
  <c r="EA43" i="3"/>
  <c r="BD43" i="3"/>
  <c r="EA27" i="3"/>
  <c r="BD27" i="3"/>
  <c r="EA11" i="3"/>
  <c r="BD11" i="3"/>
  <c r="EA194" i="3"/>
  <c r="BD194" i="3"/>
  <c r="EA162" i="3"/>
  <c r="BD162" i="3"/>
  <c r="EA146" i="3"/>
  <c r="BD146" i="3"/>
  <c r="EA130" i="3"/>
  <c r="BD130" i="3"/>
  <c r="EA114" i="3"/>
  <c r="BD114" i="3"/>
  <c r="EA98" i="3"/>
  <c r="BD98" i="3"/>
  <c r="EA82" i="3"/>
  <c r="BD82" i="3"/>
  <c r="EA66" i="3"/>
  <c r="BD66" i="3"/>
  <c r="EA50" i="3"/>
  <c r="BD50" i="3"/>
  <c r="EA34" i="3"/>
  <c r="BD34" i="3"/>
  <c r="EA18" i="3"/>
  <c r="BD18" i="3"/>
  <c r="EA3" i="3"/>
  <c r="BD3" i="3"/>
  <c r="EA147" i="3"/>
  <c r="BD147" i="3"/>
  <c r="EA103" i="3"/>
  <c r="BD103" i="3"/>
  <c r="EA51" i="3"/>
  <c r="BD51" i="3"/>
  <c r="EA161" i="3"/>
  <c r="BD161" i="3"/>
  <c r="EA133" i="3"/>
  <c r="BD133" i="3"/>
  <c r="EA117" i="3"/>
  <c r="BD117" i="3"/>
  <c r="EA101" i="3"/>
  <c r="BD101" i="3"/>
  <c r="EA85" i="3"/>
  <c r="BD85" i="3"/>
  <c r="EA69" i="3"/>
  <c r="BD69" i="3"/>
  <c r="EA53" i="3"/>
  <c r="BD53" i="3"/>
  <c r="EA37" i="3"/>
  <c r="BD37" i="3"/>
  <c r="EA21" i="3"/>
  <c r="BD21" i="3"/>
  <c r="EA5" i="3"/>
  <c r="BD5" i="3"/>
  <c r="EA151" i="3"/>
  <c r="BD151" i="3"/>
  <c r="EA107" i="3"/>
  <c r="BD107" i="3"/>
  <c r="EA55" i="3"/>
  <c r="BD55" i="3"/>
  <c r="EA165" i="3"/>
  <c r="BD165" i="3"/>
  <c r="EA200" i="3"/>
  <c r="BD200" i="3"/>
  <c r="EA172" i="3"/>
  <c r="BD172" i="3"/>
  <c r="EA156" i="3"/>
  <c r="BD156" i="3"/>
  <c r="EA140" i="3"/>
  <c r="BD140" i="3"/>
  <c r="EA124" i="3"/>
  <c r="BD124" i="3"/>
  <c r="EA108" i="3"/>
  <c r="BD108" i="3"/>
  <c r="EA92" i="3"/>
  <c r="BD92" i="3"/>
  <c r="EA76" i="3"/>
  <c r="BD76" i="3"/>
  <c r="EA60" i="3"/>
  <c r="BD60" i="3"/>
  <c r="EA44" i="3"/>
  <c r="BD44" i="3"/>
  <c r="EA28" i="3"/>
  <c r="BD28" i="3"/>
  <c r="EA12" i="3"/>
  <c r="BD12" i="3"/>
  <c r="EA63" i="3"/>
  <c r="BD63" i="3"/>
  <c r="EA23" i="3"/>
  <c r="BD23" i="3"/>
  <c r="EA158" i="3"/>
  <c r="BD158" i="3"/>
  <c r="EA142" i="3"/>
  <c r="BD142" i="3"/>
  <c r="EA126" i="3"/>
  <c r="BD126" i="3"/>
  <c r="EA94" i="3"/>
  <c r="BD94" i="3"/>
  <c r="EA78" i="3"/>
  <c r="BD78" i="3"/>
  <c r="EA62" i="3"/>
  <c r="BD62" i="3"/>
  <c r="EA46" i="3"/>
  <c r="BD46" i="3"/>
  <c r="EA30" i="3"/>
  <c r="BD30" i="3"/>
  <c r="EA14" i="3"/>
  <c r="BD14" i="3"/>
  <c r="EA195" i="3"/>
  <c r="BD195" i="3"/>
  <c r="EA135" i="3"/>
  <c r="BD135" i="3"/>
  <c r="EA91" i="3"/>
  <c r="BD91" i="3"/>
  <c r="EA197" i="3"/>
  <c r="BD197" i="3"/>
  <c r="EA153" i="3"/>
  <c r="BD153" i="3"/>
  <c r="EA129" i="3"/>
  <c r="BD129" i="3"/>
  <c r="EA113" i="3"/>
  <c r="BD113" i="3"/>
  <c r="EA97" i="3"/>
  <c r="BD97" i="3"/>
  <c r="EA81" i="3"/>
  <c r="BD81" i="3"/>
  <c r="EA65" i="3"/>
  <c r="BD65" i="3"/>
  <c r="EA49" i="3"/>
  <c r="BD49" i="3"/>
  <c r="EA33" i="3"/>
  <c r="BD33" i="3"/>
  <c r="EA17" i="3"/>
  <c r="BD17" i="3"/>
  <c r="EA187" i="3"/>
  <c r="BD187" i="3"/>
  <c r="EA139" i="3"/>
  <c r="BD139" i="3"/>
  <c r="EA95" i="3"/>
  <c r="BD95" i="3"/>
  <c r="EA201" i="3"/>
  <c r="BD201" i="3"/>
  <c r="EA157" i="3"/>
  <c r="BD157" i="3"/>
  <c r="EA196" i="3"/>
  <c r="BD196" i="3"/>
  <c r="EA168" i="3"/>
  <c r="BD168" i="3"/>
  <c r="EA152" i="3"/>
  <c r="BD152" i="3"/>
  <c r="EA136" i="3"/>
  <c r="BD136" i="3"/>
  <c r="EA120" i="3"/>
  <c r="BD120" i="3"/>
  <c r="EA104" i="3"/>
  <c r="BD104" i="3"/>
  <c r="EA88" i="3"/>
  <c r="BD88" i="3"/>
  <c r="EA72" i="3"/>
  <c r="BD72" i="3"/>
  <c r="EA56" i="3"/>
  <c r="BD56" i="3"/>
  <c r="EA40" i="3"/>
  <c r="BD40" i="3"/>
  <c r="EA24" i="3"/>
  <c r="BD24" i="3"/>
  <c r="EA8" i="3"/>
  <c r="BD8" i="3"/>
  <c r="EA111" i="3"/>
  <c r="BD111" i="3"/>
  <c r="EA39" i="3"/>
  <c r="BD39" i="3"/>
  <c r="EA190" i="3"/>
  <c r="BD190" i="3"/>
  <c r="EA110" i="3"/>
  <c r="BD110" i="3"/>
  <c r="EA163" i="3"/>
  <c r="BD163" i="3"/>
  <c r="EA99" i="3"/>
  <c r="BD99" i="3"/>
  <c r="EA59" i="3"/>
  <c r="BD59" i="3"/>
  <c r="EA35" i="3"/>
  <c r="BD35" i="3"/>
  <c r="EA19" i="3"/>
  <c r="BD19" i="3"/>
  <c r="EA202" i="3"/>
  <c r="BD202" i="3"/>
  <c r="EA170" i="3"/>
  <c r="BD170" i="3"/>
  <c r="EA154" i="3"/>
  <c r="BD154" i="3"/>
  <c r="EA138" i="3"/>
  <c r="BD138" i="3"/>
  <c r="EA122" i="3"/>
  <c r="BD122" i="3"/>
  <c r="EA106" i="3"/>
  <c r="BD106" i="3"/>
  <c r="EA90" i="3"/>
  <c r="BD90" i="3"/>
  <c r="EA74" i="3"/>
  <c r="BD74" i="3"/>
  <c r="EA58" i="3"/>
  <c r="BD58" i="3"/>
  <c r="EA42" i="3"/>
  <c r="BD42" i="3"/>
  <c r="EA26" i="3"/>
  <c r="BD26" i="3"/>
  <c r="EA10" i="3"/>
  <c r="BD10" i="3"/>
  <c r="EA167" i="3"/>
  <c r="BD167" i="3"/>
  <c r="EA127" i="3"/>
  <c r="BD127" i="3"/>
  <c r="EA79" i="3"/>
  <c r="BD79" i="3"/>
  <c r="EA189" i="3"/>
  <c r="BD189" i="3"/>
  <c r="EA141" i="3"/>
  <c r="BD141" i="3"/>
  <c r="EA125" i="3"/>
  <c r="BD125" i="3"/>
  <c r="EA109" i="3"/>
  <c r="BD109" i="3"/>
  <c r="EA93" i="3"/>
  <c r="BD93" i="3"/>
  <c r="EA77" i="3"/>
  <c r="BD77" i="3"/>
  <c r="EA61" i="3"/>
  <c r="BD61" i="3"/>
  <c r="EA45" i="3"/>
  <c r="BD45" i="3"/>
  <c r="EA29" i="3"/>
  <c r="BD29" i="3"/>
  <c r="EA13" i="3"/>
  <c r="BD13" i="3"/>
  <c r="EA171" i="3"/>
  <c r="BD171" i="3"/>
  <c r="EA131" i="3"/>
  <c r="BD131" i="3"/>
  <c r="EA83" i="3"/>
  <c r="BD83" i="3"/>
  <c r="EA149" i="3"/>
  <c r="BD149" i="3"/>
  <c r="EA192" i="3"/>
  <c r="BD192" i="3"/>
  <c r="EA164" i="3"/>
  <c r="BD164" i="3"/>
  <c r="EA148" i="3"/>
  <c r="BD148" i="3"/>
  <c r="EA132" i="3"/>
  <c r="BD132" i="3"/>
  <c r="EA116" i="3"/>
  <c r="BD116" i="3"/>
  <c r="EA100" i="3"/>
  <c r="BD100" i="3"/>
  <c r="EA84" i="3"/>
  <c r="BD84" i="3"/>
  <c r="EA68" i="3"/>
  <c r="BD68" i="3"/>
  <c r="EA52" i="3"/>
  <c r="BD52" i="3"/>
  <c r="EA36" i="3"/>
  <c r="BD36" i="3"/>
  <c r="EA20" i="3"/>
  <c r="BD20" i="3"/>
  <c r="EA4" i="3"/>
  <c r="BD4" i="3"/>
  <c r="EA191" i="3"/>
  <c r="BD191" i="3"/>
  <c r="EA7" i="3"/>
  <c r="BD7" i="3"/>
  <c r="EA143" i="3"/>
  <c r="BD143" i="3"/>
  <c r="EA87" i="3"/>
  <c r="BD87" i="3"/>
  <c r="EA47" i="3"/>
  <c r="BD47" i="3"/>
  <c r="EA31" i="3"/>
  <c r="BD31" i="3"/>
  <c r="EA15" i="3"/>
  <c r="BD15" i="3"/>
  <c r="EA198" i="3"/>
  <c r="BD198" i="3"/>
  <c r="EA166" i="3"/>
  <c r="BD166" i="3"/>
  <c r="EA150" i="3"/>
  <c r="BD150" i="3"/>
  <c r="EA134" i="3"/>
  <c r="BD134" i="3"/>
  <c r="EA118" i="3"/>
  <c r="BD118" i="3"/>
  <c r="EA102" i="3"/>
  <c r="BD102" i="3"/>
  <c r="EA86" i="3"/>
  <c r="BD86" i="3"/>
  <c r="EA70" i="3"/>
  <c r="BD70" i="3"/>
  <c r="EA54" i="3"/>
  <c r="BD54" i="3"/>
  <c r="EA38" i="3"/>
  <c r="BD38" i="3"/>
  <c r="EA22" i="3"/>
  <c r="BD22" i="3"/>
  <c r="EA6" i="3"/>
  <c r="BD6" i="3"/>
  <c r="EA155" i="3"/>
  <c r="BD155" i="3"/>
  <c r="EA115" i="3"/>
  <c r="BD115" i="3"/>
  <c r="EA67" i="3"/>
  <c r="BD67" i="3"/>
  <c r="EA173" i="3"/>
  <c r="BD173" i="3"/>
  <c r="EA137" i="3"/>
  <c r="BD137" i="3"/>
  <c r="EA121" i="3"/>
  <c r="BD121" i="3"/>
  <c r="EA105" i="3"/>
  <c r="BD105" i="3"/>
  <c r="EA89" i="3"/>
  <c r="BD89" i="3"/>
  <c r="EA73" i="3"/>
  <c r="BD73" i="3"/>
  <c r="EA57" i="3"/>
  <c r="BD57" i="3"/>
  <c r="EA41" i="3"/>
  <c r="BD41" i="3"/>
  <c r="EA25" i="3"/>
  <c r="BD25" i="3"/>
  <c r="EA9" i="3"/>
  <c r="BD9" i="3"/>
  <c r="EA159" i="3"/>
  <c r="BD159" i="3"/>
  <c r="EA119" i="3"/>
  <c r="BD119" i="3"/>
  <c r="EA71" i="3"/>
  <c r="BD71" i="3"/>
  <c r="EA169" i="3"/>
  <c r="BD169" i="3"/>
  <c r="EA145" i="3"/>
  <c r="BD145" i="3"/>
  <c r="EA188" i="3"/>
  <c r="BD188" i="3"/>
  <c r="EA160" i="3"/>
  <c r="BD160" i="3"/>
  <c r="EA144" i="3"/>
  <c r="BD144" i="3"/>
  <c r="EA128" i="3"/>
  <c r="BD128" i="3"/>
  <c r="EA112" i="3"/>
  <c r="BD112" i="3"/>
  <c r="EA96" i="3"/>
  <c r="BD96" i="3"/>
  <c r="EA80" i="3"/>
  <c r="BD80" i="3"/>
  <c r="EA64" i="3"/>
  <c r="BD64" i="3"/>
  <c r="EA48" i="3"/>
  <c r="BD48" i="3"/>
  <c r="EA32" i="3"/>
  <c r="BD32" i="3"/>
  <c r="EA16" i="3"/>
  <c r="BD16" i="3"/>
  <c r="EA193" i="3" l="1"/>
  <c r="BH112" i="3"/>
  <c r="EO112" i="3"/>
  <c r="BH9" i="3"/>
  <c r="EO9" i="3"/>
  <c r="BH137" i="3"/>
  <c r="EO137" i="3"/>
  <c r="BH54" i="3"/>
  <c r="EO54" i="3"/>
  <c r="BH31" i="3"/>
  <c r="EO31" i="3"/>
  <c r="BH68" i="3"/>
  <c r="EO68" i="3"/>
  <c r="BH83" i="3"/>
  <c r="EO83" i="3"/>
  <c r="BH93" i="3"/>
  <c r="EO93" i="3"/>
  <c r="BH189" i="3"/>
  <c r="EO189" i="3"/>
  <c r="BH127" i="3"/>
  <c r="EO127" i="3"/>
  <c r="EO10" i="3"/>
  <c r="BH10" i="3"/>
  <c r="BH106" i="3"/>
  <c r="EO106" i="3"/>
  <c r="BH138" i="3"/>
  <c r="EO138" i="3"/>
  <c r="BH19" i="3"/>
  <c r="EO19" i="3"/>
  <c r="BH59" i="3"/>
  <c r="EO59" i="3"/>
  <c r="BH163" i="3"/>
  <c r="EO163" i="3"/>
  <c r="EA174" i="3"/>
  <c r="BD174" i="3"/>
  <c r="BH190" i="3"/>
  <c r="EO190" i="3"/>
  <c r="BH111" i="3"/>
  <c r="EO111" i="3"/>
  <c r="EO28" i="3"/>
  <c r="BH28" i="3"/>
  <c r="BH60" i="3"/>
  <c r="EO60" i="3"/>
  <c r="EO92" i="3"/>
  <c r="BH92" i="3"/>
  <c r="BH124" i="3"/>
  <c r="EO124" i="3"/>
  <c r="BH156" i="3"/>
  <c r="EO156" i="3"/>
  <c r="BH200" i="3"/>
  <c r="EO200" i="3"/>
  <c r="BH55" i="3"/>
  <c r="EO55" i="3"/>
  <c r="BH151" i="3"/>
  <c r="EO151" i="3"/>
  <c r="BH21" i="3"/>
  <c r="EO21" i="3"/>
  <c r="BH53" i="3"/>
  <c r="EO53" i="3"/>
  <c r="BH85" i="3"/>
  <c r="EO85" i="3"/>
  <c r="BH117" i="3"/>
  <c r="EO117" i="3"/>
  <c r="BH161" i="3"/>
  <c r="EO161" i="3"/>
  <c r="BH103" i="3"/>
  <c r="EO103" i="3"/>
  <c r="BH3" i="3"/>
  <c r="EO3" i="3"/>
  <c r="BH34" i="3"/>
  <c r="EO34" i="3"/>
  <c r="BH66" i="3"/>
  <c r="EO66" i="3"/>
  <c r="BH98" i="3"/>
  <c r="EO98" i="3"/>
  <c r="BH130" i="3"/>
  <c r="EO130" i="3"/>
  <c r="BH162" i="3"/>
  <c r="EO162" i="3"/>
  <c r="EO11" i="3"/>
  <c r="BH11" i="3"/>
  <c r="BH43" i="3"/>
  <c r="EO43" i="3"/>
  <c r="BH123" i="3"/>
  <c r="EO123" i="3"/>
  <c r="EA184" i="3"/>
  <c r="BD184" i="3"/>
  <c r="BH48" i="3"/>
  <c r="EO48" i="3"/>
  <c r="EO188" i="3"/>
  <c r="BH188" i="3"/>
  <c r="BH119" i="3"/>
  <c r="EO119" i="3"/>
  <c r="BH73" i="3"/>
  <c r="EO73" i="3"/>
  <c r="BH67" i="3"/>
  <c r="EO67" i="3"/>
  <c r="BH22" i="3"/>
  <c r="EO22" i="3"/>
  <c r="EO86" i="3"/>
  <c r="BH86" i="3"/>
  <c r="BH150" i="3"/>
  <c r="EO150" i="3"/>
  <c r="BH87" i="3"/>
  <c r="EO87" i="3"/>
  <c r="BH4" i="3"/>
  <c r="EO4" i="3"/>
  <c r="BH100" i="3"/>
  <c r="EO100" i="3"/>
  <c r="BH149" i="3"/>
  <c r="EO149" i="3"/>
  <c r="BH61" i="3"/>
  <c r="EO61" i="3"/>
  <c r="BH125" i="3"/>
  <c r="EO125" i="3"/>
  <c r="BH170" i="3"/>
  <c r="EO170" i="3"/>
  <c r="BH191" i="3"/>
  <c r="EO191" i="3"/>
  <c r="EA179" i="3"/>
  <c r="BD179" i="3"/>
  <c r="BH56" i="3"/>
  <c r="EO56" i="3"/>
  <c r="BH120" i="3"/>
  <c r="EO120" i="3"/>
  <c r="BH152" i="3"/>
  <c r="EO152" i="3"/>
  <c r="EO196" i="3"/>
  <c r="BH196" i="3"/>
  <c r="BH201" i="3"/>
  <c r="EO201" i="3"/>
  <c r="BH139" i="3"/>
  <c r="EO139" i="3"/>
  <c r="BH17" i="3"/>
  <c r="EO17" i="3"/>
  <c r="BH49" i="3"/>
  <c r="EO49" i="3"/>
  <c r="BH113" i="3"/>
  <c r="EO113" i="3"/>
  <c r="BH153" i="3"/>
  <c r="EO153" i="3"/>
  <c r="BH91" i="3"/>
  <c r="EO91" i="3"/>
  <c r="BH195" i="3"/>
  <c r="EO195" i="3"/>
  <c r="EO30" i="3"/>
  <c r="BH30" i="3"/>
  <c r="BH62" i="3"/>
  <c r="EO62" i="3"/>
  <c r="EO94" i="3"/>
  <c r="BH94" i="3"/>
  <c r="BH142" i="3"/>
  <c r="EO142" i="3"/>
  <c r="BH23" i="3"/>
  <c r="EO23" i="3"/>
  <c r="EA180" i="3"/>
  <c r="BD180" i="3"/>
  <c r="EA175" i="3"/>
  <c r="BD175" i="3"/>
  <c r="BH16" i="3"/>
  <c r="EO16" i="3"/>
  <c r="BH144" i="3"/>
  <c r="EO144" i="3"/>
  <c r="BH169" i="3"/>
  <c r="EO169" i="3"/>
  <c r="BH41" i="3"/>
  <c r="EO41" i="3"/>
  <c r="BH105" i="3"/>
  <c r="EO105" i="3"/>
  <c r="BH155" i="3"/>
  <c r="EO155" i="3"/>
  <c r="BH118" i="3"/>
  <c r="EO118" i="3"/>
  <c r="BH198" i="3"/>
  <c r="EO198" i="3"/>
  <c r="BH132" i="3"/>
  <c r="EO132" i="3"/>
  <c r="BH171" i="3"/>
  <c r="EO171" i="3"/>
  <c r="BH42" i="3"/>
  <c r="EO42" i="3"/>
  <c r="BH24" i="3"/>
  <c r="EO24" i="3"/>
  <c r="BH88" i="3"/>
  <c r="EO88" i="3"/>
  <c r="EO81" i="3"/>
  <c r="BH81" i="3"/>
  <c r="BH32" i="3"/>
  <c r="EO32" i="3"/>
  <c r="EO64" i="3"/>
  <c r="BH64" i="3"/>
  <c r="BH96" i="3"/>
  <c r="EO96" i="3"/>
  <c r="BH128" i="3"/>
  <c r="EO128" i="3"/>
  <c r="BH160" i="3"/>
  <c r="EO160" i="3"/>
  <c r="BH145" i="3"/>
  <c r="EO145" i="3"/>
  <c r="BH71" i="3"/>
  <c r="EO71" i="3"/>
  <c r="BH159" i="3"/>
  <c r="EO159" i="3"/>
  <c r="BH25" i="3"/>
  <c r="EO25" i="3"/>
  <c r="BH57" i="3"/>
  <c r="EO57" i="3"/>
  <c r="BH89" i="3"/>
  <c r="EO89" i="3"/>
  <c r="BH121" i="3"/>
  <c r="EO121" i="3"/>
  <c r="BH173" i="3"/>
  <c r="EO173" i="3"/>
  <c r="BH115" i="3"/>
  <c r="EO115" i="3"/>
  <c r="BH6" i="3"/>
  <c r="EO6" i="3"/>
  <c r="BH38" i="3"/>
  <c r="EO38" i="3"/>
  <c r="BH70" i="3"/>
  <c r="EO70" i="3"/>
  <c r="EO102" i="3"/>
  <c r="BH102" i="3"/>
  <c r="BH134" i="3"/>
  <c r="EO134" i="3"/>
  <c r="BH166" i="3"/>
  <c r="EO166" i="3"/>
  <c r="BH15" i="3"/>
  <c r="EO15" i="3"/>
  <c r="EO47" i="3"/>
  <c r="BH47" i="3"/>
  <c r="BH143" i="3"/>
  <c r="EO143" i="3"/>
  <c r="EA186" i="3"/>
  <c r="BD186" i="3"/>
  <c r="EO20" i="3"/>
  <c r="BH20" i="3"/>
  <c r="EO52" i="3"/>
  <c r="BH52" i="3"/>
  <c r="BH84" i="3"/>
  <c r="EO84" i="3"/>
  <c r="BH116" i="3"/>
  <c r="EO116" i="3"/>
  <c r="BH148" i="3"/>
  <c r="EO148" i="3"/>
  <c r="BH192" i="3"/>
  <c r="EO192" i="3"/>
  <c r="BH193" i="3"/>
  <c r="EO193" i="3"/>
  <c r="BH131" i="3"/>
  <c r="EO131" i="3"/>
  <c r="BH13" i="3"/>
  <c r="EO13" i="3"/>
  <c r="BH45" i="3"/>
  <c r="EO45" i="3"/>
  <c r="BH77" i="3"/>
  <c r="EO77" i="3"/>
  <c r="BH109" i="3"/>
  <c r="EO109" i="3"/>
  <c r="BH141" i="3"/>
  <c r="EO141" i="3"/>
  <c r="EO79" i="3"/>
  <c r="BH79" i="3"/>
  <c r="BH167" i="3"/>
  <c r="EO167" i="3"/>
  <c r="BH26" i="3"/>
  <c r="EO26" i="3"/>
  <c r="BH58" i="3"/>
  <c r="EO58" i="3"/>
  <c r="EO90" i="3"/>
  <c r="BH90" i="3"/>
  <c r="BH122" i="3"/>
  <c r="EO122" i="3"/>
  <c r="BH154" i="3"/>
  <c r="EO154" i="3"/>
  <c r="BH202" i="3"/>
  <c r="EO202" i="3"/>
  <c r="BH35" i="3"/>
  <c r="EO35" i="3"/>
  <c r="BH99" i="3"/>
  <c r="EO99" i="3"/>
  <c r="EA176" i="3"/>
  <c r="BD176" i="3"/>
  <c r="BH110" i="3"/>
  <c r="EO110" i="3"/>
  <c r="BH39" i="3"/>
  <c r="EO39" i="3"/>
  <c r="EA181" i="3"/>
  <c r="BD181" i="3"/>
  <c r="EO12" i="3"/>
  <c r="BH12" i="3"/>
  <c r="EO44" i="3"/>
  <c r="BH44" i="3"/>
  <c r="BH76" i="3"/>
  <c r="EO76" i="3"/>
  <c r="BH108" i="3"/>
  <c r="EO108" i="3"/>
  <c r="BH140" i="3"/>
  <c r="EO140" i="3"/>
  <c r="BH172" i="3"/>
  <c r="EO172" i="3"/>
  <c r="BH165" i="3"/>
  <c r="EO165" i="3"/>
  <c r="BH107" i="3"/>
  <c r="EO107" i="3"/>
  <c r="BH5" i="3"/>
  <c r="EO5" i="3"/>
  <c r="EO37" i="3"/>
  <c r="BH37" i="3"/>
  <c r="EO69" i="3"/>
  <c r="BH69" i="3"/>
  <c r="BH101" i="3"/>
  <c r="EO101" i="3"/>
  <c r="BH133" i="3"/>
  <c r="EO133" i="3"/>
  <c r="BH51" i="3"/>
  <c r="EO51" i="3"/>
  <c r="BH147" i="3"/>
  <c r="EO147" i="3"/>
  <c r="BH18" i="3"/>
  <c r="EO18" i="3"/>
  <c r="BH50" i="3"/>
  <c r="EO50" i="3"/>
  <c r="BH82" i="3"/>
  <c r="EO82" i="3"/>
  <c r="BH114" i="3"/>
  <c r="EO114" i="3"/>
  <c r="BH146" i="3"/>
  <c r="EO146" i="3"/>
  <c r="BH194" i="3"/>
  <c r="EO194" i="3"/>
  <c r="BH27" i="3"/>
  <c r="EO27" i="3"/>
  <c r="BH75" i="3"/>
  <c r="EO75" i="3"/>
  <c r="EO199" i="3"/>
  <c r="BH199" i="3"/>
  <c r="EA182" i="3"/>
  <c r="BD182" i="3"/>
  <c r="BH80" i="3"/>
  <c r="EO80" i="3"/>
  <c r="EA177" i="3"/>
  <c r="BD177" i="3"/>
  <c r="BH36" i="3"/>
  <c r="EO36" i="3"/>
  <c r="BH164" i="3"/>
  <c r="EO164" i="3"/>
  <c r="BH29" i="3"/>
  <c r="EO29" i="3"/>
  <c r="BH74" i="3"/>
  <c r="EO74" i="3"/>
  <c r="EA183" i="3"/>
  <c r="BD183" i="3"/>
  <c r="BH7" i="3"/>
  <c r="EO7" i="3"/>
  <c r="EA178" i="3"/>
  <c r="BD178" i="3"/>
  <c r="EA185" i="3"/>
  <c r="BD185" i="3"/>
  <c r="BH8" i="3"/>
  <c r="EO8" i="3"/>
  <c r="BH40" i="3"/>
  <c r="EO40" i="3"/>
  <c r="EO72" i="3"/>
  <c r="BH72" i="3"/>
  <c r="BH104" i="3"/>
  <c r="EO104" i="3"/>
  <c r="BH136" i="3"/>
  <c r="EO136" i="3"/>
  <c r="BH168" i="3"/>
  <c r="EO168" i="3"/>
  <c r="BH157" i="3"/>
  <c r="EO157" i="3"/>
  <c r="EO95" i="3"/>
  <c r="BH95" i="3"/>
  <c r="BH187" i="3"/>
  <c r="EO187" i="3"/>
  <c r="BH33" i="3"/>
  <c r="EO33" i="3"/>
  <c r="BH65" i="3"/>
  <c r="EO65" i="3"/>
  <c r="EO97" i="3"/>
  <c r="BH97" i="3"/>
  <c r="BH129" i="3"/>
  <c r="EO129" i="3"/>
  <c r="EO197" i="3"/>
  <c r="BH197" i="3"/>
  <c r="BH135" i="3"/>
  <c r="EO135" i="3"/>
  <c r="BH14" i="3"/>
  <c r="EO14" i="3"/>
  <c r="BH46" i="3"/>
  <c r="EO46" i="3"/>
  <c r="BH78" i="3"/>
  <c r="EO78" i="3"/>
  <c r="BH126" i="3"/>
  <c r="EO126" i="3"/>
  <c r="BH158" i="3"/>
  <c r="EO158" i="3"/>
  <c r="BH63" i="3"/>
  <c r="EO63" i="3"/>
  <c r="EP97" i="3" l="1"/>
  <c r="BL97" i="3"/>
  <c r="BL12" i="3"/>
  <c r="EP12" i="3"/>
  <c r="EP90" i="3"/>
  <c r="BL90" i="3"/>
  <c r="EP79" i="3"/>
  <c r="BL79" i="3"/>
  <c r="BH186" i="3"/>
  <c r="EO186" i="3"/>
  <c r="BL75" i="3"/>
  <c r="EP75" i="3"/>
  <c r="BL50" i="3"/>
  <c r="EP50" i="3"/>
  <c r="BL147" i="3"/>
  <c r="EP147" i="3"/>
  <c r="EP5" i="3"/>
  <c r="BL5" i="3"/>
  <c r="BL140" i="3"/>
  <c r="EP140" i="3"/>
  <c r="BL76" i="3"/>
  <c r="EP76" i="3"/>
  <c r="EP39" i="3"/>
  <c r="BL39" i="3"/>
  <c r="BL35" i="3"/>
  <c r="EP35" i="3"/>
  <c r="EP45" i="3"/>
  <c r="BL45" i="3"/>
  <c r="EP192" i="3"/>
  <c r="BL192" i="3"/>
  <c r="EP128" i="3"/>
  <c r="BL128" i="3"/>
  <c r="EP72" i="3"/>
  <c r="BL72" i="3"/>
  <c r="BH178" i="3"/>
  <c r="EO178" i="3"/>
  <c r="BH183" i="3"/>
  <c r="EO183" i="3"/>
  <c r="EP199" i="3"/>
  <c r="BL199" i="3"/>
  <c r="BL37" i="3"/>
  <c r="EP37" i="3"/>
  <c r="EP44" i="3"/>
  <c r="BL44" i="3"/>
  <c r="BH181" i="3"/>
  <c r="EO181" i="3"/>
  <c r="BL20" i="3"/>
  <c r="EP20" i="3"/>
  <c r="BH180" i="3"/>
  <c r="EO180" i="3"/>
  <c r="BL196" i="3"/>
  <c r="EP196" i="3"/>
  <c r="BH179" i="3"/>
  <c r="EO179" i="3"/>
  <c r="EP86" i="3"/>
  <c r="BL86" i="3"/>
  <c r="EP11" i="3"/>
  <c r="BL11" i="3"/>
  <c r="BL92" i="3"/>
  <c r="EP92" i="3"/>
  <c r="EP28" i="3"/>
  <c r="BL28" i="3"/>
  <c r="BL197" i="3"/>
  <c r="EP197" i="3"/>
  <c r="BL95" i="3"/>
  <c r="EP95" i="3"/>
  <c r="BH177" i="3"/>
  <c r="EO177" i="3"/>
  <c r="BL158" i="3"/>
  <c r="EP158" i="3"/>
  <c r="BL14" i="3"/>
  <c r="EP14" i="3"/>
  <c r="BL33" i="3"/>
  <c r="EP33" i="3"/>
  <c r="BL168" i="3"/>
  <c r="EP168" i="3"/>
  <c r="EP104" i="3"/>
  <c r="BL104" i="3"/>
  <c r="EP40" i="3"/>
  <c r="BL40" i="3"/>
  <c r="EP7" i="3"/>
  <c r="BL7" i="3"/>
  <c r="BL74" i="3"/>
  <c r="EP74" i="3"/>
  <c r="BL164" i="3"/>
  <c r="EP164" i="3"/>
  <c r="EP194" i="3"/>
  <c r="BL194" i="3"/>
  <c r="BL63" i="3"/>
  <c r="EP63" i="3"/>
  <c r="BL126" i="3"/>
  <c r="EP126" i="3"/>
  <c r="EP46" i="3"/>
  <c r="BL46" i="3"/>
  <c r="BL135" i="3"/>
  <c r="EP135" i="3"/>
  <c r="EP129" i="3"/>
  <c r="BL129" i="3"/>
  <c r="EP65" i="3"/>
  <c r="BL65" i="3"/>
  <c r="EP187" i="3"/>
  <c r="BL187" i="3"/>
  <c r="BL157" i="3"/>
  <c r="EP157" i="3"/>
  <c r="EP136" i="3"/>
  <c r="BL136" i="3"/>
  <c r="BL8" i="3"/>
  <c r="EP8" i="3"/>
  <c r="BL29" i="3"/>
  <c r="EP29" i="3"/>
  <c r="EP36" i="3"/>
  <c r="BL36" i="3"/>
  <c r="EP80" i="3"/>
  <c r="BL80" i="3"/>
  <c r="EP27" i="3"/>
  <c r="BL27" i="3"/>
  <c r="EP146" i="3"/>
  <c r="BL146" i="3"/>
  <c r="EP82" i="3"/>
  <c r="BL82" i="3"/>
  <c r="EP18" i="3"/>
  <c r="BL18" i="3"/>
  <c r="EP51" i="3"/>
  <c r="BL51" i="3"/>
  <c r="BL101" i="3"/>
  <c r="EP101" i="3"/>
  <c r="EP107" i="3"/>
  <c r="BL107" i="3"/>
  <c r="BL172" i="3"/>
  <c r="EP172" i="3"/>
  <c r="EP108" i="3"/>
  <c r="BL108" i="3"/>
  <c r="EP110" i="3"/>
  <c r="BL110" i="3"/>
  <c r="BL99" i="3"/>
  <c r="EP99" i="3"/>
  <c r="BL202" i="3"/>
  <c r="EP202" i="3"/>
  <c r="BL122" i="3"/>
  <c r="EP122" i="3"/>
  <c r="BL58" i="3"/>
  <c r="EP58" i="3"/>
  <c r="BL167" i="3"/>
  <c r="EP167" i="3"/>
  <c r="EP141" i="3"/>
  <c r="BL141" i="3"/>
  <c r="BL77" i="3"/>
  <c r="EP77" i="3"/>
  <c r="BL13" i="3"/>
  <c r="EP13" i="3"/>
  <c r="EP193" i="3"/>
  <c r="BL193" i="3"/>
  <c r="EP148" i="3"/>
  <c r="BL148" i="3"/>
  <c r="BL84" i="3"/>
  <c r="EP84" i="3"/>
  <c r="EP143" i="3"/>
  <c r="BL143" i="3"/>
  <c r="BL15" i="3"/>
  <c r="EP15" i="3"/>
  <c r="BL134" i="3"/>
  <c r="EP134" i="3"/>
  <c r="BL70" i="3"/>
  <c r="EP70" i="3"/>
  <c r="BL6" i="3"/>
  <c r="EP6" i="3"/>
  <c r="EP173" i="3"/>
  <c r="BL173" i="3"/>
  <c r="BL89" i="3"/>
  <c r="EP89" i="3"/>
  <c r="BL25" i="3"/>
  <c r="EP25" i="3"/>
  <c r="EP71" i="3"/>
  <c r="BL71" i="3"/>
  <c r="EP160" i="3"/>
  <c r="BL160" i="3"/>
  <c r="BL96" i="3"/>
  <c r="EP96" i="3"/>
  <c r="EP32" i="3"/>
  <c r="BL32" i="3"/>
  <c r="BL88" i="3"/>
  <c r="EP88" i="3"/>
  <c r="EP42" i="3"/>
  <c r="BL42" i="3"/>
  <c r="BL132" i="3"/>
  <c r="EP132" i="3"/>
  <c r="EP118" i="3"/>
  <c r="BL118" i="3"/>
  <c r="BL105" i="3"/>
  <c r="EP105" i="3"/>
  <c r="BL169" i="3"/>
  <c r="EP169" i="3"/>
  <c r="BL16" i="3"/>
  <c r="EP16" i="3"/>
  <c r="BL142" i="3"/>
  <c r="EP142" i="3"/>
  <c r="EP62" i="3"/>
  <c r="BL62" i="3"/>
  <c r="BL195" i="3"/>
  <c r="EP195" i="3"/>
  <c r="EP153" i="3"/>
  <c r="BL153" i="3"/>
  <c r="BL49" i="3"/>
  <c r="EP49" i="3"/>
  <c r="EP139" i="3"/>
  <c r="BL139" i="3"/>
  <c r="EP120" i="3"/>
  <c r="BL120" i="3"/>
  <c r="BL170" i="3"/>
  <c r="EP170" i="3"/>
  <c r="BL61" i="3"/>
  <c r="EP61" i="3"/>
  <c r="EP100" i="3"/>
  <c r="BL100" i="3"/>
  <c r="EP87" i="3"/>
  <c r="BL87" i="3"/>
  <c r="EP67" i="3"/>
  <c r="BL67" i="3"/>
  <c r="EP119" i="3"/>
  <c r="BL119" i="3"/>
  <c r="BL48" i="3"/>
  <c r="EP48" i="3"/>
  <c r="EP123" i="3"/>
  <c r="BL123" i="3"/>
  <c r="EP130" i="3"/>
  <c r="BL130" i="3"/>
  <c r="EP66" i="3"/>
  <c r="BL66" i="3"/>
  <c r="EP3" i="3"/>
  <c r="BL3" i="3"/>
  <c r="EP161" i="3"/>
  <c r="BL161" i="3"/>
  <c r="EP85" i="3"/>
  <c r="BL85" i="3"/>
  <c r="EP21" i="3"/>
  <c r="BL21" i="3"/>
  <c r="BL55" i="3"/>
  <c r="EP55" i="3"/>
  <c r="EP156" i="3"/>
  <c r="BL156" i="3"/>
  <c r="EP190" i="3"/>
  <c r="BL190" i="3"/>
  <c r="EP163" i="3"/>
  <c r="BL163" i="3"/>
  <c r="EP19" i="3"/>
  <c r="BL19" i="3"/>
  <c r="EP106" i="3"/>
  <c r="BL106" i="3"/>
  <c r="BL127" i="3"/>
  <c r="EP127" i="3"/>
  <c r="EP93" i="3"/>
  <c r="BL93" i="3"/>
  <c r="EP68" i="3"/>
  <c r="BL68" i="3"/>
  <c r="EP54" i="3"/>
  <c r="BL54" i="3"/>
  <c r="EP9" i="3"/>
  <c r="BL9" i="3"/>
  <c r="BH185" i="3"/>
  <c r="EO185" i="3"/>
  <c r="EP52" i="3"/>
  <c r="BL52" i="3"/>
  <c r="EP47" i="3"/>
  <c r="BL47" i="3"/>
  <c r="EP102" i="3"/>
  <c r="BL102" i="3"/>
  <c r="BL64" i="3"/>
  <c r="EP64" i="3"/>
  <c r="BL81" i="3"/>
  <c r="EP81" i="3"/>
  <c r="BH175" i="3"/>
  <c r="EO175" i="3"/>
  <c r="BL94" i="3"/>
  <c r="EP94" i="3"/>
  <c r="BL30" i="3"/>
  <c r="EP30" i="3"/>
  <c r="BL188" i="3"/>
  <c r="EP188" i="3"/>
  <c r="BH184" i="3"/>
  <c r="EO184" i="3"/>
  <c r="BH174" i="3"/>
  <c r="EO174" i="3"/>
  <c r="EP10" i="3"/>
  <c r="BL10" i="3"/>
  <c r="BH182" i="3"/>
  <c r="EO182" i="3"/>
  <c r="BL69" i="3"/>
  <c r="EP69" i="3"/>
  <c r="BH176" i="3"/>
  <c r="EO176" i="3"/>
  <c r="EP78" i="3"/>
  <c r="BL78" i="3"/>
  <c r="EP114" i="3"/>
  <c r="BL114" i="3"/>
  <c r="EP133" i="3"/>
  <c r="BL133" i="3"/>
  <c r="EP165" i="3"/>
  <c r="BL165" i="3"/>
  <c r="EP154" i="3"/>
  <c r="BL154" i="3"/>
  <c r="EP26" i="3"/>
  <c r="BL26" i="3"/>
  <c r="BL109" i="3"/>
  <c r="EP109" i="3"/>
  <c r="BL131" i="3"/>
  <c r="EP131" i="3"/>
  <c r="EP116" i="3"/>
  <c r="BL116" i="3"/>
  <c r="BL166" i="3"/>
  <c r="EP166" i="3"/>
  <c r="BL38" i="3"/>
  <c r="EP38" i="3"/>
  <c r="EP115" i="3"/>
  <c r="BL115" i="3"/>
  <c r="EP121" i="3"/>
  <c r="BL121" i="3"/>
  <c r="EP57" i="3"/>
  <c r="BL57" i="3"/>
  <c r="BL159" i="3"/>
  <c r="EP159" i="3"/>
  <c r="BL145" i="3"/>
  <c r="EP145" i="3"/>
  <c r="BL24" i="3"/>
  <c r="EP24" i="3"/>
  <c r="BL171" i="3"/>
  <c r="EP171" i="3"/>
  <c r="BL198" i="3"/>
  <c r="EP198" i="3"/>
  <c r="BL155" i="3"/>
  <c r="EP155" i="3"/>
  <c r="EP41" i="3"/>
  <c r="BL41" i="3"/>
  <c r="EP144" i="3"/>
  <c r="BL144" i="3"/>
  <c r="EP23" i="3"/>
  <c r="BL23" i="3"/>
  <c r="EP91" i="3"/>
  <c r="BL91" i="3"/>
  <c r="EP113" i="3"/>
  <c r="BL113" i="3"/>
  <c r="BL17" i="3"/>
  <c r="EP17" i="3"/>
  <c r="BL201" i="3"/>
  <c r="EP201" i="3"/>
  <c r="BL152" i="3"/>
  <c r="EP152" i="3"/>
  <c r="EP56" i="3"/>
  <c r="BL56" i="3"/>
  <c r="BL191" i="3"/>
  <c r="EP191" i="3"/>
  <c r="EP125" i="3"/>
  <c r="BL125" i="3"/>
  <c r="EP149" i="3"/>
  <c r="BL149" i="3"/>
  <c r="BL4" i="3"/>
  <c r="EP4" i="3"/>
  <c r="EP150" i="3"/>
  <c r="BL150" i="3"/>
  <c r="BL22" i="3"/>
  <c r="EP22" i="3"/>
  <c r="BL73" i="3"/>
  <c r="EP73" i="3"/>
  <c r="EP43" i="3"/>
  <c r="BL43" i="3"/>
  <c r="EP162" i="3"/>
  <c r="BL162" i="3"/>
  <c r="BL98" i="3"/>
  <c r="EP98" i="3"/>
  <c r="EP34" i="3"/>
  <c r="BL34" i="3"/>
  <c r="EP103" i="3"/>
  <c r="BL103" i="3"/>
  <c r="BL117" i="3"/>
  <c r="EP117" i="3"/>
  <c r="EP53" i="3"/>
  <c r="BL53" i="3"/>
  <c r="EP151" i="3"/>
  <c r="BL151" i="3"/>
  <c r="BL200" i="3"/>
  <c r="EP200" i="3"/>
  <c r="BL124" i="3"/>
  <c r="EP124" i="3"/>
  <c r="BL60" i="3"/>
  <c r="EP60" i="3"/>
  <c r="EP111" i="3"/>
  <c r="BL111" i="3"/>
  <c r="BL59" i="3"/>
  <c r="EP59" i="3"/>
  <c r="EP138" i="3"/>
  <c r="BL138" i="3"/>
  <c r="BL189" i="3"/>
  <c r="EP189" i="3"/>
  <c r="EP83" i="3"/>
  <c r="BL83" i="3"/>
  <c r="BL31" i="3"/>
  <c r="EP31" i="3"/>
  <c r="BL137" i="3"/>
  <c r="EP137" i="3"/>
  <c r="EP112" i="3"/>
  <c r="BL112" i="3"/>
  <c r="EO203" i="3" l="1"/>
  <c r="P65" i="19" s="1"/>
  <c r="BP189" i="3"/>
  <c r="EQ189" i="3"/>
  <c r="BP159" i="3"/>
  <c r="EQ159" i="3"/>
  <c r="BP109" i="3"/>
  <c r="EQ109" i="3"/>
  <c r="BL184" i="3"/>
  <c r="EP184" i="3"/>
  <c r="BP64" i="3"/>
  <c r="EQ64" i="3"/>
  <c r="BL185" i="3"/>
  <c r="EP185" i="3"/>
  <c r="EQ49" i="3"/>
  <c r="BP49" i="3"/>
  <c r="BP142" i="3"/>
  <c r="EQ142" i="3"/>
  <c r="BP15" i="3"/>
  <c r="EQ15" i="3"/>
  <c r="BP167" i="3"/>
  <c r="EQ167" i="3"/>
  <c r="EQ99" i="3"/>
  <c r="BP99" i="3"/>
  <c r="BP157" i="3"/>
  <c r="EQ157" i="3"/>
  <c r="BP135" i="3"/>
  <c r="EQ135" i="3"/>
  <c r="EQ14" i="3"/>
  <c r="BP14" i="3"/>
  <c r="BP92" i="3"/>
  <c r="EQ92" i="3"/>
  <c r="EQ44" i="3"/>
  <c r="BP44" i="3"/>
  <c r="BP128" i="3"/>
  <c r="EQ128" i="3"/>
  <c r="BP39" i="3"/>
  <c r="EQ39" i="3"/>
  <c r="EQ79" i="3"/>
  <c r="BP79" i="3"/>
  <c r="BP111" i="3"/>
  <c r="EQ111" i="3"/>
  <c r="BP162" i="3"/>
  <c r="EQ162" i="3"/>
  <c r="BP26" i="3"/>
  <c r="EQ26" i="3"/>
  <c r="BP52" i="3"/>
  <c r="EQ52" i="3"/>
  <c r="BP190" i="3"/>
  <c r="EQ190" i="3"/>
  <c r="BP100" i="3"/>
  <c r="EQ100" i="3"/>
  <c r="BP141" i="3"/>
  <c r="EQ141" i="3"/>
  <c r="BP7" i="3"/>
  <c r="EQ7" i="3"/>
  <c r="BP59" i="3"/>
  <c r="EQ59" i="3"/>
  <c r="EQ22" i="3"/>
  <c r="BP22" i="3"/>
  <c r="BP201" i="3"/>
  <c r="EQ201" i="3"/>
  <c r="EQ198" i="3"/>
  <c r="BP198" i="3"/>
  <c r="EQ38" i="3"/>
  <c r="BP38" i="3"/>
  <c r="EQ69" i="3"/>
  <c r="BP69" i="3"/>
  <c r="BP30" i="3"/>
  <c r="EQ30" i="3"/>
  <c r="EQ61" i="3"/>
  <c r="BP61" i="3"/>
  <c r="BP195" i="3"/>
  <c r="EQ195" i="3"/>
  <c r="BP169" i="3"/>
  <c r="EQ169" i="3"/>
  <c r="BP25" i="3"/>
  <c r="EQ25" i="3"/>
  <c r="BP70" i="3"/>
  <c r="EQ70" i="3"/>
  <c r="BP84" i="3"/>
  <c r="EQ84" i="3"/>
  <c r="EQ77" i="3"/>
  <c r="BP77" i="3"/>
  <c r="BP122" i="3"/>
  <c r="EQ122" i="3"/>
  <c r="EQ8" i="3"/>
  <c r="BP8" i="3"/>
  <c r="BP126" i="3"/>
  <c r="EQ126" i="3"/>
  <c r="BP74" i="3"/>
  <c r="EQ74" i="3"/>
  <c r="BP168" i="3"/>
  <c r="EQ168" i="3"/>
  <c r="BL177" i="3"/>
  <c r="EP177" i="3"/>
  <c r="BP197" i="3"/>
  <c r="EQ197" i="3"/>
  <c r="EQ86" i="3"/>
  <c r="BP86" i="3"/>
  <c r="BP199" i="3"/>
  <c r="EQ199" i="3"/>
  <c r="BP45" i="3"/>
  <c r="EQ45" i="3"/>
  <c r="EQ83" i="3"/>
  <c r="BP83" i="3"/>
  <c r="BP138" i="3"/>
  <c r="EQ138" i="3"/>
  <c r="BP151" i="3"/>
  <c r="EQ151" i="3"/>
  <c r="BP34" i="3"/>
  <c r="EQ34" i="3"/>
  <c r="BP150" i="3"/>
  <c r="EQ150" i="3"/>
  <c r="BP149" i="3"/>
  <c r="EQ149" i="3"/>
  <c r="BP91" i="3"/>
  <c r="EQ91" i="3"/>
  <c r="BP144" i="3"/>
  <c r="EQ144" i="3"/>
  <c r="BP57" i="3"/>
  <c r="EQ57" i="3"/>
  <c r="BP115" i="3"/>
  <c r="EQ115" i="3"/>
  <c r="BP165" i="3"/>
  <c r="EQ165" i="3"/>
  <c r="BP114" i="3"/>
  <c r="EQ114" i="3"/>
  <c r="EQ102" i="3"/>
  <c r="BP102" i="3"/>
  <c r="BP9" i="3"/>
  <c r="EQ9" i="3"/>
  <c r="BP68" i="3"/>
  <c r="EQ68" i="3"/>
  <c r="BP19" i="3"/>
  <c r="EQ19" i="3"/>
  <c r="BP85" i="3"/>
  <c r="EQ85" i="3"/>
  <c r="BP3" i="3"/>
  <c r="EQ3" i="3"/>
  <c r="BP130" i="3"/>
  <c r="EQ130" i="3"/>
  <c r="BP67" i="3"/>
  <c r="EQ67" i="3"/>
  <c r="BP139" i="3"/>
  <c r="EQ139" i="3"/>
  <c r="BP153" i="3"/>
  <c r="EQ153" i="3"/>
  <c r="BP62" i="3"/>
  <c r="EQ62" i="3"/>
  <c r="BP71" i="3"/>
  <c r="EQ71" i="3"/>
  <c r="BP143" i="3"/>
  <c r="EQ143" i="3"/>
  <c r="BP148" i="3"/>
  <c r="EQ148" i="3"/>
  <c r="BP110" i="3"/>
  <c r="EQ110" i="3"/>
  <c r="BP18" i="3"/>
  <c r="EQ18" i="3"/>
  <c r="BP146" i="3"/>
  <c r="EQ146" i="3"/>
  <c r="BP80" i="3"/>
  <c r="EQ80" i="3"/>
  <c r="BP136" i="3"/>
  <c r="EQ136" i="3"/>
  <c r="BP187" i="3"/>
  <c r="EQ187" i="3"/>
  <c r="BP129" i="3"/>
  <c r="EQ129" i="3"/>
  <c r="BP46" i="3"/>
  <c r="EQ46" i="3"/>
  <c r="BP104" i="3"/>
  <c r="EQ104" i="3"/>
  <c r="BP28" i="3"/>
  <c r="EQ28" i="3"/>
  <c r="BP196" i="3"/>
  <c r="EQ196" i="3"/>
  <c r="BP20" i="3"/>
  <c r="EQ20" i="3"/>
  <c r="BL178" i="3"/>
  <c r="EP178" i="3"/>
  <c r="BP140" i="3"/>
  <c r="EQ140" i="3"/>
  <c r="BP147" i="3"/>
  <c r="EQ147" i="3"/>
  <c r="EQ75" i="3"/>
  <c r="BP75" i="3"/>
  <c r="EQ12" i="3"/>
  <c r="BP12" i="3"/>
  <c r="BP137" i="3"/>
  <c r="EQ137" i="3"/>
  <c r="BP124" i="3"/>
  <c r="EQ124" i="3"/>
  <c r="EQ117" i="3"/>
  <c r="BP117" i="3"/>
  <c r="BP73" i="3"/>
  <c r="EQ73" i="3"/>
  <c r="BP191" i="3"/>
  <c r="EQ191" i="3"/>
  <c r="BP152" i="3"/>
  <c r="EQ152" i="3"/>
  <c r="BP17" i="3"/>
  <c r="EQ17" i="3"/>
  <c r="BP155" i="3"/>
  <c r="EQ155" i="3"/>
  <c r="BP171" i="3"/>
  <c r="EQ171" i="3"/>
  <c r="BP145" i="3"/>
  <c r="EQ145" i="3"/>
  <c r="BP166" i="3"/>
  <c r="EQ166" i="3"/>
  <c r="BP131" i="3"/>
  <c r="EQ131" i="3"/>
  <c r="BL176" i="3"/>
  <c r="EP176" i="3"/>
  <c r="BL182" i="3"/>
  <c r="EP182" i="3"/>
  <c r="BL174" i="3"/>
  <c r="EP174" i="3"/>
  <c r="BP188" i="3"/>
  <c r="EQ188" i="3"/>
  <c r="BP94" i="3"/>
  <c r="EQ94" i="3"/>
  <c r="BP81" i="3"/>
  <c r="EQ81" i="3"/>
  <c r="BP127" i="3"/>
  <c r="EQ127" i="3"/>
  <c r="BP55" i="3"/>
  <c r="EQ55" i="3"/>
  <c r="BP48" i="3"/>
  <c r="EQ48" i="3"/>
  <c r="BP170" i="3"/>
  <c r="EQ170" i="3"/>
  <c r="EQ16" i="3"/>
  <c r="BP16" i="3"/>
  <c r="BP105" i="3"/>
  <c r="EQ105" i="3"/>
  <c r="BP132" i="3"/>
  <c r="EQ132" i="3"/>
  <c r="EQ88" i="3"/>
  <c r="BP88" i="3"/>
  <c r="EQ96" i="3"/>
  <c r="BP96" i="3"/>
  <c r="EQ89" i="3"/>
  <c r="BP89" i="3"/>
  <c r="BP6" i="3"/>
  <c r="EQ6" i="3"/>
  <c r="BP134" i="3"/>
  <c r="EQ134" i="3"/>
  <c r="EQ13" i="3"/>
  <c r="BP13" i="3"/>
  <c r="BP58" i="3"/>
  <c r="EQ58" i="3"/>
  <c r="BP202" i="3"/>
  <c r="EQ202" i="3"/>
  <c r="BP172" i="3"/>
  <c r="EQ172" i="3"/>
  <c r="BP101" i="3"/>
  <c r="EQ101" i="3"/>
  <c r="BP29" i="3"/>
  <c r="EQ29" i="3"/>
  <c r="BP63" i="3"/>
  <c r="EQ63" i="3"/>
  <c r="BP164" i="3"/>
  <c r="EQ164" i="3"/>
  <c r="BP33" i="3"/>
  <c r="EQ33" i="3"/>
  <c r="BP158" i="3"/>
  <c r="EQ158" i="3"/>
  <c r="BP95" i="3"/>
  <c r="EQ95" i="3"/>
  <c r="EQ11" i="3"/>
  <c r="BP11" i="3"/>
  <c r="BP72" i="3"/>
  <c r="EQ72" i="3"/>
  <c r="BP192" i="3"/>
  <c r="EQ192" i="3"/>
  <c r="BP5" i="3"/>
  <c r="EQ5" i="3"/>
  <c r="EQ90" i="3"/>
  <c r="BP90" i="3"/>
  <c r="EQ97" i="3"/>
  <c r="BP97" i="3"/>
  <c r="BP31" i="3"/>
  <c r="EQ31" i="3"/>
  <c r="EQ60" i="3"/>
  <c r="BP60" i="3"/>
  <c r="EQ200" i="3"/>
  <c r="BP200" i="3"/>
  <c r="EQ98" i="3"/>
  <c r="BP98" i="3"/>
  <c r="EQ4" i="3"/>
  <c r="BP4" i="3"/>
  <c r="EQ24" i="3"/>
  <c r="BP24" i="3"/>
  <c r="BL175" i="3"/>
  <c r="EP175" i="3"/>
  <c r="BP112" i="3"/>
  <c r="EQ112" i="3"/>
  <c r="BP53" i="3"/>
  <c r="EQ53" i="3"/>
  <c r="BP103" i="3"/>
  <c r="EQ103" i="3"/>
  <c r="BP43" i="3"/>
  <c r="EQ43" i="3"/>
  <c r="BP125" i="3"/>
  <c r="EQ125" i="3"/>
  <c r="BP56" i="3"/>
  <c r="EQ56" i="3"/>
  <c r="BP113" i="3"/>
  <c r="EQ113" i="3"/>
  <c r="BP23" i="3"/>
  <c r="EQ23" i="3"/>
  <c r="BP41" i="3"/>
  <c r="EQ41" i="3"/>
  <c r="BP121" i="3"/>
  <c r="EQ121" i="3"/>
  <c r="BP116" i="3"/>
  <c r="EQ116" i="3"/>
  <c r="BP154" i="3"/>
  <c r="EQ154" i="3"/>
  <c r="BP133" i="3"/>
  <c r="EQ133" i="3"/>
  <c r="BP78" i="3"/>
  <c r="EQ78" i="3"/>
  <c r="EQ10" i="3"/>
  <c r="BP10" i="3"/>
  <c r="BP47" i="3"/>
  <c r="EQ47" i="3"/>
  <c r="EQ54" i="3"/>
  <c r="BP54" i="3"/>
  <c r="BP93" i="3"/>
  <c r="EQ93" i="3"/>
  <c r="BP106" i="3"/>
  <c r="EQ106" i="3"/>
  <c r="BP163" i="3"/>
  <c r="EQ163" i="3"/>
  <c r="BP156" i="3"/>
  <c r="EQ156" i="3"/>
  <c r="BP21" i="3"/>
  <c r="EQ21" i="3"/>
  <c r="BP161" i="3"/>
  <c r="EQ161" i="3"/>
  <c r="BP66" i="3"/>
  <c r="EQ66" i="3"/>
  <c r="BP123" i="3"/>
  <c r="EQ123" i="3"/>
  <c r="BP119" i="3"/>
  <c r="EQ119" i="3"/>
  <c r="BP87" i="3"/>
  <c r="EQ87" i="3"/>
  <c r="BP120" i="3"/>
  <c r="EQ120" i="3"/>
  <c r="EQ118" i="3"/>
  <c r="BP118" i="3"/>
  <c r="BP42" i="3"/>
  <c r="EQ42" i="3"/>
  <c r="BP32" i="3"/>
  <c r="EQ32" i="3"/>
  <c r="BP160" i="3"/>
  <c r="EQ160" i="3"/>
  <c r="BP173" i="3"/>
  <c r="EQ173" i="3"/>
  <c r="BP193" i="3"/>
  <c r="EQ193" i="3"/>
  <c r="BP108" i="3"/>
  <c r="EQ108" i="3"/>
  <c r="BP107" i="3"/>
  <c r="EQ107" i="3"/>
  <c r="BP51" i="3"/>
  <c r="EQ51" i="3"/>
  <c r="BP82" i="3"/>
  <c r="EQ82" i="3"/>
  <c r="BP27" i="3"/>
  <c r="EQ27" i="3"/>
  <c r="BP36" i="3"/>
  <c r="EQ36" i="3"/>
  <c r="BP65" i="3"/>
  <c r="EQ65" i="3"/>
  <c r="EQ194" i="3"/>
  <c r="BP194" i="3"/>
  <c r="BP40" i="3"/>
  <c r="EQ40" i="3"/>
  <c r="BL179" i="3"/>
  <c r="EP179" i="3"/>
  <c r="BL180" i="3"/>
  <c r="EP180" i="3"/>
  <c r="BL181" i="3"/>
  <c r="EP181" i="3"/>
  <c r="BP37" i="3"/>
  <c r="EQ37" i="3"/>
  <c r="BL183" i="3"/>
  <c r="EP183" i="3"/>
  <c r="EQ35" i="3"/>
  <c r="BP35" i="3"/>
  <c r="BP76" i="3"/>
  <c r="EQ76" i="3"/>
  <c r="BP50" i="3"/>
  <c r="EQ50" i="3"/>
  <c r="BL186" i="3"/>
  <c r="EP186" i="3"/>
  <c r="EP203" i="3" l="1"/>
  <c r="Q65" i="19" s="1"/>
  <c r="ER37" i="3"/>
  <c r="BT37" i="3"/>
  <c r="BX37" i="3" s="1"/>
  <c r="ER40" i="3"/>
  <c r="BT40" i="3"/>
  <c r="BX40" i="3" s="1"/>
  <c r="ER27" i="3"/>
  <c r="BT27" i="3"/>
  <c r="BX27" i="3" s="1"/>
  <c r="BT108" i="3"/>
  <c r="BX108" i="3" s="1"/>
  <c r="ER108" i="3"/>
  <c r="ER32" i="3"/>
  <c r="BT32" i="3"/>
  <c r="BX32" i="3" s="1"/>
  <c r="BT87" i="3"/>
  <c r="BX87" i="3" s="1"/>
  <c r="ER87" i="3"/>
  <c r="BT156" i="3"/>
  <c r="BX156" i="3" s="1"/>
  <c r="ER156" i="3"/>
  <c r="ER41" i="3"/>
  <c r="BT41" i="3"/>
  <c r="BX41" i="3" s="1"/>
  <c r="BT125" i="3"/>
  <c r="BX125" i="3" s="1"/>
  <c r="ER125" i="3"/>
  <c r="BT63" i="3"/>
  <c r="BX63" i="3" s="1"/>
  <c r="ER63" i="3"/>
  <c r="ER4" i="3"/>
  <c r="BT4" i="3"/>
  <c r="BX4" i="3" s="1"/>
  <c r="ER200" i="3"/>
  <c r="BT200" i="3"/>
  <c r="BX200" i="3" s="1"/>
  <c r="ER90" i="3"/>
  <c r="BT90" i="3"/>
  <c r="BX90" i="3" s="1"/>
  <c r="BT11" i="3"/>
  <c r="BX11" i="3" s="1"/>
  <c r="ER11" i="3"/>
  <c r="BT89" i="3"/>
  <c r="BX89" i="3" s="1"/>
  <c r="ER89" i="3"/>
  <c r="BT88" i="3"/>
  <c r="BX88" i="3" s="1"/>
  <c r="ER88" i="3"/>
  <c r="BP186" i="3"/>
  <c r="EQ186" i="3"/>
  <c r="ER76" i="3"/>
  <c r="BT76" i="3"/>
  <c r="BX76" i="3" s="1"/>
  <c r="BP183" i="3"/>
  <c r="EQ183" i="3"/>
  <c r="BP181" i="3"/>
  <c r="EQ181" i="3"/>
  <c r="BP179" i="3"/>
  <c r="EQ179" i="3"/>
  <c r="BT36" i="3"/>
  <c r="BX36" i="3" s="1"/>
  <c r="ER36" i="3"/>
  <c r="ER82" i="3"/>
  <c r="BT82" i="3"/>
  <c r="BX82" i="3" s="1"/>
  <c r="ER107" i="3"/>
  <c r="BT107" i="3"/>
  <c r="BX107" i="3" s="1"/>
  <c r="ER193" i="3"/>
  <c r="BT193" i="3"/>
  <c r="BX193" i="3" s="1"/>
  <c r="BT160" i="3"/>
  <c r="BX160" i="3" s="1"/>
  <c r="ER160" i="3"/>
  <c r="BT42" i="3"/>
  <c r="BX42" i="3" s="1"/>
  <c r="ER42" i="3"/>
  <c r="ER120" i="3"/>
  <c r="BT120" i="3"/>
  <c r="BX120" i="3" s="1"/>
  <c r="ER119" i="3"/>
  <c r="BT119" i="3"/>
  <c r="BX119" i="3" s="1"/>
  <c r="BT66" i="3"/>
  <c r="BX66" i="3" s="1"/>
  <c r="ER66" i="3"/>
  <c r="ER21" i="3"/>
  <c r="BT21" i="3"/>
  <c r="BX21" i="3" s="1"/>
  <c r="BT163" i="3"/>
  <c r="BX163" i="3" s="1"/>
  <c r="ER163" i="3"/>
  <c r="ER93" i="3"/>
  <c r="BT93" i="3"/>
  <c r="BX93" i="3" s="1"/>
  <c r="BT47" i="3"/>
  <c r="BX47" i="3" s="1"/>
  <c r="ER47" i="3"/>
  <c r="ER78" i="3"/>
  <c r="BT78" i="3"/>
  <c r="BX78" i="3" s="1"/>
  <c r="BT154" i="3"/>
  <c r="BX154" i="3" s="1"/>
  <c r="ER154" i="3"/>
  <c r="BT121" i="3"/>
  <c r="BX121" i="3" s="1"/>
  <c r="ER121" i="3"/>
  <c r="BT23" i="3"/>
  <c r="BX23" i="3" s="1"/>
  <c r="ER23" i="3"/>
  <c r="BT56" i="3"/>
  <c r="BX56" i="3" s="1"/>
  <c r="ER56" i="3"/>
  <c r="ER43" i="3"/>
  <c r="BT43" i="3"/>
  <c r="BX43" i="3" s="1"/>
  <c r="ER53" i="3"/>
  <c r="BT53" i="3"/>
  <c r="BX53" i="3" s="1"/>
  <c r="BP175" i="3"/>
  <c r="EQ175" i="3"/>
  <c r="ER31" i="3"/>
  <c r="BT31" i="3"/>
  <c r="BX31" i="3" s="1"/>
  <c r="ER192" i="3"/>
  <c r="BT192" i="3"/>
  <c r="BX192" i="3" s="1"/>
  <c r="BT158" i="3"/>
  <c r="BX158" i="3" s="1"/>
  <c r="ER158" i="3"/>
  <c r="BT164" i="3"/>
  <c r="BX164" i="3" s="1"/>
  <c r="ER164" i="3"/>
  <c r="BT29" i="3"/>
  <c r="BX29" i="3" s="1"/>
  <c r="ER29" i="3"/>
  <c r="BT172" i="3"/>
  <c r="BX172" i="3" s="1"/>
  <c r="ER172" i="3"/>
  <c r="BT58" i="3"/>
  <c r="BX58" i="3" s="1"/>
  <c r="ER58" i="3"/>
  <c r="BT134" i="3"/>
  <c r="BX134" i="3" s="1"/>
  <c r="ER134" i="3"/>
  <c r="ER105" i="3"/>
  <c r="BT105" i="3"/>
  <c r="BX105" i="3" s="1"/>
  <c r="BT170" i="3"/>
  <c r="BX170" i="3" s="1"/>
  <c r="ER170" i="3"/>
  <c r="BT12" i="3"/>
  <c r="BX12" i="3" s="1"/>
  <c r="ER12" i="3"/>
  <c r="BT102" i="3"/>
  <c r="BX102" i="3" s="1"/>
  <c r="ER102" i="3"/>
  <c r="ER83" i="3"/>
  <c r="BT83" i="3"/>
  <c r="BX83" i="3" s="1"/>
  <c r="ER38" i="3"/>
  <c r="BT38" i="3"/>
  <c r="BX38" i="3" s="1"/>
  <c r="ER44" i="3"/>
  <c r="BT44" i="3"/>
  <c r="BX44" i="3" s="1"/>
  <c r="BT14" i="3"/>
  <c r="BX14" i="3" s="1"/>
  <c r="ER14" i="3"/>
  <c r="ER35" i="3"/>
  <c r="BT35" i="3"/>
  <c r="BX35" i="3" s="1"/>
  <c r="ER118" i="3"/>
  <c r="BT118" i="3"/>
  <c r="BX118" i="3" s="1"/>
  <c r="BT54" i="3"/>
  <c r="BX54" i="3" s="1"/>
  <c r="ER54" i="3"/>
  <c r="BT10" i="3"/>
  <c r="BX10" i="3" s="1"/>
  <c r="ER10" i="3"/>
  <c r="BT24" i="3"/>
  <c r="BX24" i="3" s="1"/>
  <c r="ER24" i="3"/>
  <c r="ER98" i="3"/>
  <c r="BT98" i="3"/>
  <c r="BX98" i="3" s="1"/>
  <c r="BT60" i="3"/>
  <c r="BX60" i="3" s="1"/>
  <c r="ER60" i="3"/>
  <c r="ER97" i="3"/>
  <c r="BT13" i="3"/>
  <c r="BX13" i="3" s="1"/>
  <c r="ER13" i="3"/>
  <c r="BT96" i="3"/>
  <c r="BX96" i="3" s="1"/>
  <c r="ER96" i="3"/>
  <c r="BT16" i="3"/>
  <c r="BX16" i="3" s="1"/>
  <c r="ER16" i="3"/>
  <c r="BT55" i="3"/>
  <c r="BX55" i="3" s="1"/>
  <c r="ER55" i="3"/>
  <c r="ER81" i="3"/>
  <c r="BT81" i="3"/>
  <c r="BX81" i="3" s="1"/>
  <c r="BT188" i="3"/>
  <c r="BX188" i="3" s="1"/>
  <c r="ER188" i="3"/>
  <c r="BP182" i="3"/>
  <c r="EQ182" i="3"/>
  <c r="BT131" i="3"/>
  <c r="BX131" i="3" s="1"/>
  <c r="ER131" i="3"/>
  <c r="BT145" i="3"/>
  <c r="BX145" i="3" s="1"/>
  <c r="ER145" i="3"/>
  <c r="BT155" i="3"/>
  <c r="BX155" i="3" s="1"/>
  <c r="ER155" i="3"/>
  <c r="BT152" i="3"/>
  <c r="BX152" i="3" s="1"/>
  <c r="ER152" i="3"/>
  <c r="ER73" i="3"/>
  <c r="BT73" i="3"/>
  <c r="BX73" i="3" s="1"/>
  <c r="BT124" i="3"/>
  <c r="BX124" i="3" s="1"/>
  <c r="ER124" i="3"/>
  <c r="BT147" i="3"/>
  <c r="BX147" i="3" s="1"/>
  <c r="ER147" i="3"/>
  <c r="BP178" i="3"/>
  <c r="EQ178" i="3"/>
  <c r="BT196" i="3"/>
  <c r="BX196" i="3" s="1"/>
  <c r="ER196" i="3"/>
  <c r="BT104" i="3"/>
  <c r="BX104" i="3" s="1"/>
  <c r="ER104" i="3"/>
  <c r="BT129" i="3"/>
  <c r="BX129" i="3" s="1"/>
  <c r="ER129" i="3"/>
  <c r="BT136" i="3"/>
  <c r="BX136" i="3" s="1"/>
  <c r="ER136" i="3"/>
  <c r="BT146" i="3"/>
  <c r="BX146" i="3" s="1"/>
  <c r="ER146" i="3"/>
  <c r="ER110" i="3"/>
  <c r="BT110" i="3"/>
  <c r="BX110" i="3" s="1"/>
  <c r="BT143" i="3"/>
  <c r="BX143" i="3" s="1"/>
  <c r="ER143" i="3"/>
  <c r="BT62" i="3"/>
  <c r="BX62" i="3" s="1"/>
  <c r="ER62" i="3"/>
  <c r="BT139" i="3"/>
  <c r="BX139" i="3" s="1"/>
  <c r="ER139" i="3"/>
  <c r="BT130" i="3"/>
  <c r="BX130" i="3" s="1"/>
  <c r="ER130" i="3"/>
  <c r="ER85" i="3"/>
  <c r="BT85" i="3"/>
  <c r="BX85" i="3" s="1"/>
  <c r="BT68" i="3"/>
  <c r="BX68" i="3" s="1"/>
  <c r="ER68" i="3"/>
  <c r="BT165" i="3"/>
  <c r="BX165" i="3" s="1"/>
  <c r="ER165" i="3"/>
  <c r="BT57" i="3"/>
  <c r="BX57" i="3" s="1"/>
  <c r="ER57" i="3"/>
  <c r="ER91" i="3"/>
  <c r="BT91" i="3"/>
  <c r="BX91" i="3" s="1"/>
  <c r="BT150" i="3"/>
  <c r="BX150" i="3" s="1"/>
  <c r="ER150" i="3"/>
  <c r="BT151" i="3"/>
  <c r="BX151" i="3" s="1"/>
  <c r="ER151" i="3"/>
  <c r="ER199" i="3"/>
  <c r="BT199" i="3"/>
  <c r="BX199" i="3" s="1"/>
  <c r="BT197" i="3"/>
  <c r="BX197" i="3" s="1"/>
  <c r="ER197" i="3"/>
  <c r="BT168" i="3"/>
  <c r="BX168" i="3" s="1"/>
  <c r="ER168" i="3"/>
  <c r="BT126" i="3"/>
  <c r="BX126" i="3" s="1"/>
  <c r="ER126" i="3"/>
  <c r="BT122" i="3"/>
  <c r="BX122" i="3" s="1"/>
  <c r="ER122" i="3"/>
  <c r="ER84" i="3"/>
  <c r="BT84" i="3"/>
  <c r="BX84" i="3" s="1"/>
  <c r="BT25" i="3"/>
  <c r="BX25" i="3" s="1"/>
  <c r="ER25" i="3"/>
  <c r="BT195" i="3"/>
  <c r="BX195" i="3" s="1"/>
  <c r="ER195" i="3"/>
  <c r="BT30" i="3"/>
  <c r="BX30" i="3" s="1"/>
  <c r="ER30" i="3"/>
  <c r="BT201" i="3"/>
  <c r="BX201" i="3" s="1"/>
  <c r="ER201" i="3"/>
  <c r="ER59" i="3"/>
  <c r="BT59" i="3"/>
  <c r="BX59" i="3" s="1"/>
  <c r="BT141" i="3"/>
  <c r="BX141" i="3" s="1"/>
  <c r="ER141" i="3"/>
  <c r="BT190" i="3"/>
  <c r="BX190" i="3" s="1"/>
  <c r="ER190" i="3"/>
  <c r="ER26" i="3"/>
  <c r="BT26" i="3"/>
  <c r="BX26" i="3" s="1"/>
  <c r="BT111" i="3"/>
  <c r="BX111" i="3" s="1"/>
  <c r="ER111" i="3"/>
  <c r="BT39" i="3"/>
  <c r="BX39" i="3" s="1"/>
  <c r="ER39" i="3"/>
  <c r="BT157" i="3"/>
  <c r="BX157" i="3" s="1"/>
  <c r="ER157" i="3"/>
  <c r="BT167" i="3"/>
  <c r="BX167" i="3" s="1"/>
  <c r="ER167" i="3"/>
  <c r="BT142" i="3"/>
  <c r="BX142" i="3" s="1"/>
  <c r="ER142" i="3"/>
  <c r="BP185" i="3"/>
  <c r="EQ185" i="3"/>
  <c r="BP184" i="3"/>
  <c r="EQ184" i="3"/>
  <c r="BT159" i="3"/>
  <c r="BX159" i="3" s="1"/>
  <c r="ER159" i="3"/>
  <c r="BT50" i="3"/>
  <c r="BX50" i="3" s="1"/>
  <c r="ER50" i="3"/>
  <c r="ER51" i="3"/>
  <c r="BT51" i="3"/>
  <c r="BX51" i="3" s="1"/>
  <c r="BT161" i="3"/>
  <c r="BX161" i="3" s="1"/>
  <c r="ER161" i="3"/>
  <c r="BT133" i="3"/>
  <c r="BX133" i="3" s="1"/>
  <c r="ER133" i="3"/>
  <c r="ER103" i="3"/>
  <c r="BT103" i="3"/>
  <c r="BX103" i="3" s="1"/>
  <c r="ER5" i="3"/>
  <c r="BT5" i="3"/>
  <c r="BX5" i="3" s="1"/>
  <c r="BT72" i="3"/>
  <c r="BX72" i="3" s="1"/>
  <c r="ER72" i="3"/>
  <c r="ER33" i="3"/>
  <c r="BT33" i="3"/>
  <c r="BX33" i="3" s="1"/>
  <c r="ER101" i="3"/>
  <c r="BT101" i="3"/>
  <c r="BX101" i="3" s="1"/>
  <c r="BT202" i="3"/>
  <c r="BX202" i="3" s="1"/>
  <c r="ER202" i="3"/>
  <c r="BT6" i="3"/>
  <c r="BX6" i="3" s="1"/>
  <c r="ER6" i="3"/>
  <c r="BT132" i="3"/>
  <c r="BX132" i="3" s="1"/>
  <c r="ER132" i="3"/>
  <c r="ER48" i="3"/>
  <c r="BT48" i="3"/>
  <c r="BX48" i="3" s="1"/>
  <c r="BT117" i="3"/>
  <c r="BX117" i="3" s="1"/>
  <c r="ER117" i="3"/>
  <c r="BT75" i="3"/>
  <c r="BX75" i="3" s="1"/>
  <c r="ER75" i="3"/>
  <c r="BT86" i="3"/>
  <c r="BX86" i="3" s="1"/>
  <c r="ER86" i="3"/>
  <c r="BT8" i="3"/>
  <c r="BX8" i="3" s="1"/>
  <c r="ER8" i="3"/>
  <c r="ER77" i="3"/>
  <c r="BT77" i="3"/>
  <c r="BX77" i="3" s="1"/>
  <c r="ER61" i="3"/>
  <c r="BT61" i="3"/>
  <c r="BX61" i="3" s="1"/>
  <c r="ER69" i="3"/>
  <c r="BT69" i="3"/>
  <c r="BX69" i="3" s="1"/>
  <c r="BT198" i="3"/>
  <c r="BX198" i="3" s="1"/>
  <c r="ER198" i="3"/>
  <c r="BT22" i="3"/>
  <c r="BX22" i="3" s="1"/>
  <c r="ER22" i="3"/>
  <c r="BT79" i="3"/>
  <c r="BX79" i="3" s="1"/>
  <c r="ER79" i="3"/>
  <c r="ER99" i="3"/>
  <c r="BT99" i="3"/>
  <c r="BX99" i="3" s="1"/>
  <c r="BT49" i="3"/>
  <c r="BX49" i="3" s="1"/>
  <c r="ER49" i="3"/>
  <c r="BP180" i="3"/>
  <c r="EQ180" i="3"/>
  <c r="BT65" i="3"/>
  <c r="BX65" i="3" s="1"/>
  <c r="ER65" i="3"/>
  <c r="BT173" i="3"/>
  <c r="BX173" i="3" s="1"/>
  <c r="ER173" i="3"/>
  <c r="BT123" i="3"/>
  <c r="BX123" i="3" s="1"/>
  <c r="ER123" i="3"/>
  <c r="BT106" i="3"/>
  <c r="BX106" i="3" s="1"/>
  <c r="ER106" i="3"/>
  <c r="ER116" i="3"/>
  <c r="BT116" i="3"/>
  <c r="BX116" i="3" s="1"/>
  <c r="ER113" i="3"/>
  <c r="BT113" i="3"/>
  <c r="BX113" i="3" s="1"/>
  <c r="ER112" i="3"/>
  <c r="BT112" i="3"/>
  <c r="BX112" i="3" s="1"/>
  <c r="BT95" i="3"/>
  <c r="BX95" i="3" s="1"/>
  <c r="ER95" i="3"/>
  <c r="BT194" i="3"/>
  <c r="BX194" i="3" s="1"/>
  <c r="ER194" i="3"/>
  <c r="BT127" i="3"/>
  <c r="BX127" i="3" s="1"/>
  <c r="ER127" i="3"/>
  <c r="ER94" i="3"/>
  <c r="BT94" i="3"/>
  <c r="BX94" i="3" s="1"/>
  <c r="BP174" i="3"/>
  <c r="EQ174" i="3"/>
  <c r="BP176" i="3"/>
  <c r="EQ176" i="3"/>
  <c r="BT166" i="3"/>
  <c r="BX166" i="3" s="1"/>
  <c r="ER166" i="3"/>
  <c r="BT171" i="3"/>
  <c r="BX171" i="3" s="1"/>
  <c r="ER171" i="3"/>
  <c r="ER17" i="3"/>
  <c r="BT17" i="3"/>
  <c r="BX17" i="3" s="1"/>
  <c r="BT191" i="3"/>
  <c r="BX191" i="3" s="1"/>
  <c r="ER191" i="3"/>
  <c r="BT137" i="3"/>
  <c r="BX137" i="3" s="1"/>
  <c r="ER137" i="3"/>
  <c r="BT140" i="3"/>
  <c r="BX140" i="3" s="1"/>
  <c r="ER140" i="3"/>
  <c r="BT20" i="3"/>
  <c r="BX20" i="3" s="1"/>
  <c r="ER20" i="3"/>
  <c r="ER28" i="3"/>
  <c r="BT28" i="3"/>
  <c r="BX28" i="3" s="1"/>
  <c r="ER46" i="3"/>
  <c r="BT46" i="3"/>
  <c r="BX46" i="3" s="1"/>
  <c r="BT187" i="3"/>
  <c r="BX187" i="3" s="1"/>
  <c r="ER187" i="3"/>
  <c r="BT80" i="3"/>
  <c r="BX80" i="3" s="1"/>
  <c r="ER80" i="3"/>
  <c r="BT18" i="3"/>
  <c r="BX18" i="3" s="1"/>
  <c r="ER18" i="3"/>
  <c r="BT148" i="3"/>
  <c r="BX148" i="3" s="1"/>
  <c r="ER148" i="3"/>
  <c r="BT71" i="3"/>
  <c r="BX71" i="3" s="1"/>
  <c r="ER71" i="3"/>
  <c r="BT153" i="3"/>
  <c r="BX153" i="3" s="1"/>
  <c r="ER153" i="3"/>
  <c r="ER67" i="3"/>
  <c r="BT67" i="3"/>
  <c r="BX67" i="3" s="1"/>
  <c r="ER3" i="3"/>
  <c r="BT3" i="3"/>
  <c r="ER19" i="3"/>
  <c r="BT19" i="3"/>
  <c r="BX19" i="3" s="1"/>
  <c r="BT9" i="3"/>
  <c r="BX9" i="3" s="1"/>
  <c r="ER9" i="3"/>
  <c r="ER114" i="3"/>
  <c r="BT114" i="3"/>
  <c r="BX114" i="3" s="1"/>
  <c r="BT115" i="3"/>
  <c r="BX115" i="3" s="1"/>
  <c r="ER115" i="3"/>
  <c r="BT144" i="3"/>
  <c r="BX144" i="3" s="1"/>
  <c r="ER144" i="3"/>
  <c r="BT149" i="3"/>
  <c r="BX149" i="3" s="1"/>
  <c r="ER149" i="3"/>
  <c r="ER34" i="3"/>
  <c r="BT34" i="3"/>
  <c r="BX34" i="3" s="1"/>
  <c r="BT138" i="3"/>
  <c r="BX138" i="3" s="1"/>
  <c r="ER138" i="3"/>
  <c r="ER45" i="3"/>
  <c r="BT45" i="3"/>
  <c r="BX45" i="3" s="1"/>
  <c r="BP177" i="3"/>
  <c r="EQ177" i="3"/>
  <c r="ER74" i="3"/>
  <c r="BT74" i="3"/>
  <c r="BX74" i="3" s="1"/>
  <c r="ER70" i="3"/>
  <c r="BT70" i="3"/>
  <c r="BX70" i="3" s="1"/>
  <c r="BT169" i="3"/>
  <c r="BX169" i="3" s="1"/>
  <c r="ER169" i="3"/>
  <c r="BT7" i="3"/>
  <c r="BX7" i="3" s="1"/>
  <c r="ER7" i="3"/>
  <c r="ER100" i="3"/>
  <c r="BT100" i="3"/>
  <c r="BX100" i="3" s="1"/>
  <c r="BT52" i="3"/>
  <c r="BX52" i="3" s="1"/>
  <c r="ER52" i="3"/>
  <c r="BT162" i="3"/>
  <c r="BX162" i="3" s="1"/>
  <c r="ER162" i="3"/>
  <c r="BT128" i="3"/>
  <c r="BX128" i="3" s="1"/>
  <c r="ER128" i="3"/>
  <c r="BT92" i="3"/>
  <c r="BX92" i="3" s="1"/>
  <c r="ER92" i="3"/>
  <c r="BT135" i="3"/>
  <c r="BX135" i="3" s="1"/>
  <c r="ER135" i="3"/>
  <c r="ER15" i="3"/>
  <c r="BT15" i="3"/>
  <c r="BX15" i="3" s="1"/>
  <c r="ER64" i="3"/>
  <c r="BT64" i="3"/>
  <c r="BX64" i="3" s="1"/>
  <c r="ER109" i="3"/>
  <c r="BT109" i="3"/>
  <c r="BX109" i="3" s="1"/>
  <c r="BT189" i="3"/>
  <c r="BX189" i="3" s="1"/>
  <c r="ER189" i="3"/>
  <c r="EQ203" i="3" l="1"/>
  <c r="R65" i="19" s="1"/>
  <c r="ES162" i="3"/>
  <c r="ES169" i="3"/>
  <c r="ES144" i="3"/>
  <c r="ES18" i="3"/>
  <c r="ES140" i="3"/>
  <c r="ES64" i="3"/>
  <c r="ES70" i="3"/>
  <c r="ES189" i="3"/>
  <c r="ES135" i="3"/>
  <c r="ES128" i="3"/>
  <c r="ES52" i="3"/>
  <c r="ES7" i="3"/>
  <c r="BT177" i="3"/>
  <c r="BX177" i="3" s="1"/>
  <c r="ER177" i="3"/>
  <c r="ES138" i="3"/>
  <c r="ES149" i="3"/>
  <c r="ES115" i="3"/>
  <c r="ES9" i="3"/>
  <c r="ES153" i="3"/>
  <c r="ES148" i="3"/>
  <c r="ES80" i="3"/>
  <c r="ES20" i="3"/>
  <c r="ES137" i="3"/>
  <c r="ES166" i="3"/>
  <c r="BT174" i="3"/>
  <c r="BX174" i="3" s="1"/>
  <c r="ER174" i="3"/>
  <c r="ES127" i="3"/>
  <c r="ES95" i="3"/>
  <c r="ES106" i="3"/>
  <c r="ES173" i="3"/>
  <c r="BT180" i="3"/>
  <c r="BX180" i="3" s="1"/>
  <c r="ER180" i="3"/>
  <c r="ES22" i="3"/>
  <c r="ES86" i="3"/>
  <c r="ES33" i="3"/>
  <c r="ES5" i="3"/>
  <c r="ES51" i="3"/>
  <c r="ES26" i="3"/>
  <c r="ES84" i="3"/>
  <c r="ES91" i="3"/>
  <c r="ES85" i="3"/>
  <c r="ES73" i="3"/>
  <c r="ES98" i="3"/>
  <c r="ES118" i="3"/>
  <c r="ES38" i="3"/>
  <c r="ES192" i="3"/>
  <c r="ES43" i="3"/>
  <c r="ES120" i="3"/>
  <c r="ES107" i="3"/>
  <c r="ES76" i="3"/>
  <c r="ES200" i="3"/>
  <c r="ES41" i="3"/>
  <c r="ES40" i="3"/>
  <c r="ES109" i="3"/>
  <c r="ES15" i="3"/>
  <c r="ES100" i="3"/>
  <c r="ES74" i="3"/>
  <c r="ES45" i="3"/>
  <c r="ES34" i="3"/>
  <c r="ES114" i="3"/>
  <c r="ES19" i="3"/>
  <c r="ES67" i="3"/>
  <c r="ES28" i="3"/>
  <c r="ES94" i="3"/>
  <c r="ES112" i="3"/>
  <c r="ES116" i="3"/>
  <c r="ES61" i="3"/>
  <c r="ES117" i="3"/>
  <c r="ES132" i="3"/>
  <c r="ES202" i="3"/>
  <c r="ES133" i="3"/>
  <c r="ES159" i="3"/>
  <c r="BT185" i="3"/>
  <c r="BX185" i="3" s="1"/>
  <c r="ER185" i="3"/>
  <c r="ES167" i="3"/>
  <c r="ES39" i="3"/>
  <c r="ES141" i="3"/>
  <c r="ES201" i="3"/>
  <c r="ES195" i="3"/>
  <c r="ES126" i="3"/>
  <c r="ES197" i="3"/>
  <c r="ES151" i="3"/>
  <c r="ES165" i="3"/>
  <c r="ES139" i="3"/>
  <c r="ES143" i="3"/>
  <c r="ES146" i="3"/>
  <c r="ES129" i="3"/>
  <c r="ES196" i="3"/>
  <c r="ES147" i="3"/>
  <c r="ES155" i="3"/>
  <c r="ES131" i="3"/>
  <c r="ES188" i="3"/>
  <c r="ES55" i="3"/>
  <c r="ES96" i="3"/>
  <c r="ES10" i="3"/>
  <c r="ES14" i="3"/>
  <c r="ES102" i="3"/>
  <c r="ES170" i="3"/>
  <c r="ES134" i="3"/>
  <c r="ES172" i="3"/>
  <c r="ES164" i="3"/>
  <c r="BT175" i="3"/>
  <c r="BX175" i="3" s="1"/>
  <c r="ER175" i="3"/>
  <c r="ES23" i="3"/>
  <c r="ES154" i="3"/>
  <c r="ES47" i="3"/>
  <c r="ES163" i="3"/>
  <c r="ES66" i="3"/>
  <c r="ES160" i="3"/>
  <c r="ES36" i="3"/>
  <c r="BT181" i="3"/>
  <c r="BX181" i="3" s="1"/>
  <c r="ER181" i="3"/>
  <c r="ES88" i="3"/>
  <c r="ES11" i="3"/>
  <c r="ES63" i="3"/>
  <c r="ES87" i="3"/>
  <c r="ES108" i="3"/>
  <c r="ES92" i="3"/>
  <c r="ES71" i="3"/>
  <c r="ES191" i="3"/>
  <c r="BT176" i="3"/>
  <c r="BX176" i="3" s="1"/>
  <c r="ER176" i="3"/>
  <c r="ES194" i="3"/>
  <c r="ES123" i="3"/>
  <c r="ES65" i="3"/>
  <c r="ES49" i="3"/>
  <c r="ES79" i="3"/>
  <c r="ES198" i="3"/>
  <c r="ES8" i="3"/>
  <c r="ES48" i="3"/>
  <c r="ES101" i="3"/>
  <c r="ES103" i="3"/>
  <c r="ES59" i="3"/>
  <c r="ES199" i="3"/>
  <c r="ES110" i="3"/>
  <c r="ES81" i="3"/>
  <c r="ES35" i="3"/>
  <c r="ES44" i="3"/>
  <c r="ES83" i="3"/>
  <c r="ES105" i="3"/>
  <c r="ES31" i="3"/>
  <c r="ES53" i="3"/>
  <c r="ES78" i="3"/>
  <c r="ES93" i="3"/>
  <c r="ES21" i="3"/>
  <c r="ES119" i="3"/>
  <c r="ES193" i="3"/>
  <c r="ES82" i="3"/>
  <c r="ES90" i="3"/>
  <c r="ES4" i="3"/>
  <c r="ES32" i="3"/>
  <c r="ES27" i="3"/>
  <c r="ES37" i="3"/>
  <c r="ES187" i="3"/>
  <c r="ES171" i="3"/>
  <c r="BX3" i="3"/>
  <c r="ES3" i="3"/>
  <c r="ES46" i="3"/>
  <c r="ES17" i="3"/>
  <c r="ES113" i="3"/>
  <c r="ES99" i="3"/>
  <c r="ES69" i="3"/>
  <c r="ES77" i="3"/>
  <c r="ES75" i="3"/>
  <c r="ES6" i="3"/>
  <c r="ES72" i="3"/>
  <c r="ES161" i="3"/>
  <c r="ES50" i="3"/>
  <c r="BT184" i="3"/>
  <c r="BX184" i="3" s="1"/>
  <c r="ER184" i="3"/>
  <c r="ES142" i="3"/>
  <c r="ES157" i="3"/>
  <c r="ES111" i="3"/>
  <c r="ES190" i="3"/>
  <c r="ES30" i="3"/>
  <c r="ES25" i="3"/>
  <c r="ES122" i="3"/>
  <c r="ES168" i="3"/>
  <c r="ES150" i="3"/>
  <c r="ES57" i="3"/>
  <c r="ES68" i="3"/>
  <c r="ES130" i="3"/>
  <c r="ES62" i="3"/>
  <c r="ES136" i="3"/>
  <c r="ES104" i="3"/>
  <c r="BT178" i="3"/>
  <c r="BX178" i="3" s="1"/>
  <c r="ER178" i="3"/>
  <c r="ES124" i="3"/>
  <c r="ES152" i="3"/>
  <c r="ES145" i="3"/>
  <c r="BT182" i="3"/>
  <c r="BX182" i="3" s="1"/>
  <c r="ER182" i="3"/>
  <c r="ES16" i="3"/>
  <c r="ES13" i="3"/>
  <c r="ES60" i="3"/>
  <c r="ES24" i="3"/>
  <c r="ES54" i="3"/>
  <c r="ES12" i="3"/>
  <c r="ES58" i="3"/>
  <c r="ES29" i="3"/>
  <c r="ES158" i="3"/>
  <c r="ES56" i="3"/>
  <c r="ES121" i="3"/>
  <c r="ES42" i="3"/>
  <c r="BT179" i="3"/>
  <c r="BX179" i="3" s="1"/>
  <c r="ER179" i="3"/>
  <c r="BT183" i="3"/>
  <c r="BX183" i="3" s="1"/>
  <c r="ER183" i="3"/>
  <c r="BT186" i="3"/>
  <c r="BX186" i="3" s="1"/>
  <c r="ER186" i="3"/>
  <c r="ES89" i="3"/>
  <c r="ES125" i="3"/>
  <c r="ES156" i="3"/>
  <c r="ER203" i="3" l="1"/>
  <c r="S65" i="19" s="1"/>
  <c r="CB13" i="3"/>
  <c r="ET13" i="3"/>
  <c r="CB136" i="3"/>
  <c r="ET136" i="3"/>
  <c r="CB168" i="3"/>
  <c r="ET168" i="3"/>
  <c r="CB157" i="3"/>
  <c r="ET157" i="3"/>
  <c r="CB161" i="3"/>
  <c r="ET161" i="3"/>
  <c r="CB99" i="3"/>
  <c r="ET99" i="3"/>
  <c r="CB4" i="3"/>
  <c r="ET4" i="3"/>
  <c r="ET105" i="3"/>
  <c r="CB105" i="3"/>
  <c r="CB103" i="3"/>
  <c r="ET103" i="3"/>
  <c r="CB49" i="3"/>
  <c r="ET49" i="3"/>
  <c r="CB71" i="3"/>
  <c r="ET71" i="3"/>
  <c r="CB88" i="3"/>
  <c r="ET88" i="3"/>
  <c r="ET23" i="3"/>
  <c r="CB23" i="3"/>
  <c r="CB102" i="3"/>
  <c r="ET102" i="3"/>
  <c r="CB147" i="3"/>
  <c r="ET147" i="3"/>
  <c r="CB197" i="3"/>
  <c r="ET197" i="3"/>
  <c r="CB167" i="3"/>
  <c r="ET167" i="3"/>
  <c r="CB117" i="3"/>
  <c r="ET117" i="3"/>
  <c r="CB67" i="3"/>
  <c r="ET67" i="3"/>
  <c r="CB100" i="3"/>
  <c r="ET100" i="3"/>
  <c r="CB76" i="3"/>
  <c r="ET76" i="3"/>
  <c r="CB51" i="3"/>
  <c r="ET51" i="3"/>
  <c r="ET95" i="3"/>
  <c r="CB95" i="3"/>
  <c r="CB153" i="3"/>
  <c r="ET153" i="3"/>
  <c r="CB189" i="3"/>
  <c r="ET189" i="3"/>
  <c r="ES183" i="3"/>
  <c r="CB56" i="3"/>
  <c r="ET56" i="3"/>
  <c r="CB24" i="3"/>
  <c r="ET24" i="3"/>
  <c r="CB152" i="3"/>
  <c r="ET152" i="3"/>
  <c r="CB130" i="3"/>
  <c r="ET130" i="3"/>
  <c r="ET190" i="3"/>
  <c r="CB190" i="3"/>
  <c r="ET3" i="3"/>
  <c r="CB3" i="3"/>
  <c r="CB27" i="3"/>
  <c r="ET27" i="3"/>
  <c r="ET119" i="3"/>
  <c r="CB119" i="3"/>
  <c r="CB53" i="3"/>
  <c r="ET53" i="3"/>
  <c r="CB81" i="3"/>
  <c r="ET81" i="3"/>
  <c r="ES176" i="3"/>
  <c r="CB63" i="3"/>
  <c r="ET63" i="3"/>
  <c r="CB66" i="3"/>
  <c r="ET66" i="3"/>
  <c r="CB164" i="3"/>
  <c r="ET164" i="3"/>
  <c r="CB131" i="3"/>
  <c r="ET131" i="3"/>
  <c r="CB143" i="3"/>
  <c r="ET143" i="3"/>
  <c r="CB195" i="3"/>
  <c r="ET195" i="3"/>
  <c r="CB159" i="3"/>
  <c r="ET159" i="3"/>
  <c r="CB94" i="3"/>
  <c r="ET94" i="3"/>
  <c r="CB45" i="3"/>
  <c r="ET45" i="3"/>
  <c r="CB41" i="3"/>
  <c r="ET41" i="3"/>
  <c r="CB192" i="3"/>
  <c r="ET192" i="3"/>
  <c r="CB85" i="3"/>
  <c r="ET85" i="3"/>
  <c r="CB33" i="3"/>
  <c r="ET33" i="3"/>
  <c r="CB173" i="3"/>
  <c r="ET173" i="3"/>
  <c r="CB137" i="3"/>
  <c r="ET137" i="3"/>
  <c r="CB54" i="3"/>
  <c r="ET54" i="3"/>
  <c r="CB194" i="3"/>
  <c r="ET194" i="3"/>
  <c r="CB18" i="3"/>
  <c r="ET18" i="3"/>
  <c r="CB125" i="3"/>
  <c r="ET125" i="3"/>
  <c r="ES186" i="3"/>
  <c r="ES179" i="3"/>
  <c r="CB121" i="3"/>
  <c r="ET121" i="3"/>
  <c r="CB158" i="3"/>
  <c r="ET158" i="3"/>
  <c r="CB58" i="3"/>
  <c r="ET58" i="3"/>
  <c r="CB60" i="3"/>
  <c r="ET60" i="3"/>
  <c r="ET16" i="3"/>
  <c r="CB16" i="3"/>
  <c r="CB145" i="3"/>
  <c r="ET145" i="3"/>
  <c r="CB124" i="3"/>
  <c r="ET124" i="3"/>
  <c r="CB104" i="3"/>
  <c r="ET104" i="3"/>
  <c r="ET62" i="3"/>
  <c r="CB62" i="3"/>
  <c r="CB68" i="3"/>
  <c r="ET68" i="3"/>
  <c r="CB150" i="3"/>
  <c r="ET150" i="3"/>
  <c r="CB122" i="3"/>
  <c r="ET122" i="3"/>
  <c r="CB30" i="3"/>
  <c r="ET30" i="3"/>
  <c r="CB111" i="3"/>
  <c r="ET111" i="3"/>
  <c r="CB142" i="3"/>
  <c r="ET142" i="3"/>
  <c r="CB50" i="3"/>
  <c r="ET50" i="3"/>
  <c r="CB72" i="3"/>
  <c r="ET72" i="3"/>
  <c r="CB75" i="3"/>
  <c r="ET75" i="3"/>
  <c r="CB69" i="3"/>
  <c r="ET69" i="3"/>
  <c r="ET113" i="3"/>
  <c r="CB113" i="3"/>
  <c r="ET46" i="3"/>
  <c r="CB46" i="3"/>
  <c r="CB171" i="3"/>
  <c r="ET171" i="3"/>
  <c r="CB37" i="3"/>
  <c r="ET37" i="3"/>
  <c r="CB32" i="3"/>
  <c r="ET32" i="3"/>
  <c r="CB90" i="3"/>
  <c r="ET90" i="3"/>
  <c r="CB21" i="3"/>
  <c r="ET21" i="3"/>
  <c r="CB78" i="3"/>
  <c r="ET78" i="3"/>
  <c r="CB31" i="3"/>
  <c r="ET31" i="3"/>
  <c r="CB83" i="3"/>
  <c r="ET83" i="3"/>
  <c r="ET35" i="3"/>
  <c r="CB35" i="3"/>
  <c r="CB110" i="3"/>
  <c r="ET110" i="3"/>
  <c r="CB59" i="3"/>
  <c r="ET59" i="3"/>
  <c r="ET101" i="3"/>
  <c r="CB101" i="3"/>
  <c r="ET8" i="3"/>
  <c r="CB8" i="3"/>
  <c r="ET79" i="3"/>
  <c r="CB79" i="3"/>
  <c r="CB65" i="3"/>
  <c r="ET65" i="3"/>
  <c r="CB191" i="3"/>
  <c r="ET191" i="3"/>
  <c r="CB92" i="3"/>
  <c r="ET92" i="3"/>
  <c r="CB87" i="3"/>
  <c r="ET87" i="3"/>
  <c r="CB11" i="3"/>
  <c r="ET11" i="3"/>
  <c r="ES181" i="3"/>
  <c r="CB160" i="3"/>
  <c r="ET160" i="3"/>
  <c r="CB163" i="3"/>
  <c r="ET163" i="3"/>
  <c r="CB154" i="3"/>
  <c r="ET154" i="3"/>
  <c r="ES175" i="3"/>
  <c r="CB172" i="3"/>
  <c r="ET172" i="3"/>
  <c r="CB170" i="3"/>
  <c r="ET170" i="3"/>
  <c r="CB14" i="3"/>
  <c r="CF14" i="3" s="1"/>
  <c r="CJ14" i="3" s="1"/>
  <c r="CN14" i="3" s="1"/>
  <c r="CR14" i="3" s="1"/>
  <c r="CV14" i="3" s="1"/>
  <c r="ET14" i="3"/>
  <c r="CB96" i="3"/>
  <c r="ET96" i="3"/>
  <c r="CB155" i="3"/>
  <c r="ET155" i="3"/>
  <c r="CB196" i="3"/>
  <c r="ET196" i="3"/>
  <c r="CB146" i="3"/>
  <c r="ET146" i="3"/>
  <c r="CB139" i="3"/>
  <c r="ET139" i="3"/>
  <c r="CB151" i="3"/>
  <c r="ET151" i="3"/>
  <c r="CB126" i="3"/>
  <c r="ET126" i="3"/>
  <c r="CB201" i="3"/>
  <c r="ET201" i="3"/>
  <c r="ET39" i="3"/>
  <c r="CB39" i="3"/>
  <c r="ES185" i="3"/>
  <c r="CB133" i="3"/>
  <c r="ET133" i="3"/>
  <c r="CB132" i="3"/>
  <c r="ET132" i="3"/>
  <c r="CB61" i="3"/>
  <c r="ET61" i="3"/>
  <c r="ET112" i="3"/>
  <c r="CB112" i="3"/>
  <c r="CB28" i="3"/>
  <c r="ET28" i="3"/>
  <c r="ET19" i="3"/>
  <c r="CB19" i="3"/>
  <c r="CB34" i="3"/>
  <c r="ET34" i="3"/>
  <c r="CB74" i="3"/>
  <c r="ET74" i="3"/>
  <c r="CB15" i="3"/>
  <c r="ET15" i="3"/>
  <c r="CB40" i="3"/>
  <c r="ET40" i="3"/>
  <c r="CB200" i="3"/>
  <c r="ET200" i="3"/>
  <c r="CB107" i="3"/>
  <c r="ET107" i="3"/>
  <c r="CB43" i="3"/>
  <c r="ET43" i="3"/>
  <c r="CB38" i="3"/>
  <c r="ET38" i="3"/>
  <c r="CB98" i="3"/>
  <c r="ET98" i="3"/>
  <c r="CB73" i="3"/>
  <c r="ET73" i="3"/>
  <c r="CB91" i="3"/>
  <c r="ET91" i="3"/>
  <c r="CB26" i="3"/>
  <c r="ET26" i="3"/>
  <c r="CB5" i="3"/>
  <c r="ET5" i="3"/>
  <c r="CB86" i="3"/>
  <c r="ET86" i="3"/>
  <c r="ES180" i="3"/>
  <c r="CB106" i="3"/>
  <c r="ET106" i="3"/>
  <c r="CB127" i="3"/>
  <c r="ET127" i="3"/>
  <c r="CB166" i="3"/>
  <c r="ET166" i="3"/>
  <c r="CB20" i="3"/>
  <c r="ET20" i="3"/>
  <c r="CB148" i="3"/>
  <c r="ET148" i="3"/>
  <c r="CB156" i="3"/>
  <c r="ET156" i="3"/>
  <c r="CB42" i="3"/>
  <c r="ET42" i="3"/>
  <c r="ES182" i="3"/>
  <c r="ES178" i="3"/>
  <c r="ET57" i="3"/>
  <c r="CB57" i="3"/>
  <c r="CB25" i="3"/>
  <c r="ET25" i="3"/>
  <c r="ES184" i="3"/>
  <c r="CB77" i="3"/>
  <c r="ET77" i="3"/>
  <c r="ET17" i="3"/>
  <c r="CB17" i="3"/>
  <c r="CB187" i="3"/>
  <c r="ET187" i="3"/>
  <c r="ET82" i="3"/>
  <c r="CB82" i="3"/>
  <c r="CB93" i="3"/>
  <c r="ET93" i="3"/>
  <c r="CB44" i="3"/>
  <c r="ET44" i="3"/>
  <c r="CB199" i="3"/>
  <c r="ET199" i="3"/>
  <c r="CB48" i="3"/>
  <c r="ET48" i="3"/>
  <c r="CB123" i="3"/>
  <c r="ET123" i="3"/>
  <c r="CB108" i="3"/>
  <c r="ET108" i="3"/>
  <c r="CB36" i="3"/>
  <c r="ET36" i="3"/>
  <c r="CB47" i="3"/>
  <c r="ET47" i="3"/>
  <c r="CB134" i="3"/>
  <c r="ET134" i="3"/>
  <c r="CB55" i="3"/>
  <c r="ET55" i="3"/>
  <c r="CB129" i="3"/>
  <c r="ET129" i="3"/>
  <c r="CB165" i="3"/>
  <c r="ET165" i="3"/>
  <c r="CB141" i="3"/>
  <c r="ET141" i="3"/>
  <c r="CB202" i="3"/>
  <c r="ET202" i="3"/>
  <c r="CB116" i="3"/>
  <c r="ET116" i="3"/>
  <c r="CB114" i="3"/>
  <c r="ET114" i="3"/>
  <c r="CB109" i="3"/>
  <c r="ET109" i="3"/>
  <c r="CB120" i="3"/>
  <c r="ET120" i="3"/>
  <c r="CB118" i="3"/>
  <c r="ET118" i="3"/>
  <c r="ET84" i="3"/>
  <c r="CB84" i="3"/>
  <c r="CB22" i="3"/>
  <c r="ET22" i="3"/>
  <c r="ES174" i="3"/>
  <c r="CB80" i="3"/>
  <c r="ET80" i="3"/>
  <c r="CB193" i="3"/>
  <c r="ET193" i="3"/>
  <c r="CB188" i="3"/>
  <c r="ET188" i="3"/>
  <c r="CB115" i="3"/>
  <c r="ET115" i="3"/>
  <c r="CB138" i="3"/>
  <c r="ET138" i="3"/>
  <c r="CB7" i="3"/>
  <c r="ET7" i="3"/>
  <c r="CB128" i="3"/>
  <c r="ET128" i="3"/>
  <c r="CB64" i="3"/>
  <c r="ET64" i="3"/>
  <c r="CB169" i="3"/>
  <c r="ET169" i="3"/>
  <c r="CB89" i="3"/>
  <c r="ET89" i="3"/>
  <c r="CB29" i="3"/>
  <c r="ET29" i="3"/>
  <c r="CB12" i="3"/>
  <c r="ET12" i="3"/>
  <c r="CB6" i="3"/>
  <c r="ET6" i="3"/>
  <c r="CB198" i="3"/>
  <c r="ET198" i="3"/>
  <c r="CB10" i="3"/>
  <c r="ET10" i="3"/>
  <c r="CB9" i="3"/>
  <c r="ET9" i="3"/>
  <c r="CB149" i="3"/>
  <c r="ET149" i="3"/>
  <c r="ES177" i="3"/>
  <c r="CB52" i="3"/>
  <c r="ET52" i="3"/>
  <c r="CB135" i="3"/>
  <c r="ET135" i="3"/>
  <c r="CB70" i="3"/>
  <c r="ET70" i="3"/>
  <c r="CB140" i="3"/>
  <c r="ET140" i="3"/>
  <c r="CB144" i="3"/>
  <c r="ET144" i="3"/>
  <c r="CB162" i="3"/>
  <c r="ET162" i="3"/>
  <c r="CF144" i="3" l="1"/>
  <c r="CJ144" i="3" s="1"/>
  <c r="CN144" i="3" s="1"/>
  <c r="CR144" i="3" s="1"/>
  <c r="CV144" i="3" s="1"/>
  <c r="EU144" i="3"/>
  <c r="CF162" i="3"/>
  <c r="CJ162" i="3" s="1"/>
  <c r="CN162" i="3" s="1"/>
  <c r="CR162" i="3" s="1"/>
  <c r="CV162" i="3" s="1"/>
  <c r="EU162" i="3"/>
  <c r="CF140" i="3"/>
  <c r="CJ140" i="3" s="1"/>
  <c r="CN140" i="3" s="1"/>
  <c r="CR140" i="3" s="1"/>
  <c r="CV140" i="3" s="1"/>
  <c r="EU140" i="3"/>
  <c r="CF135" i="3"/>
  <c r="CJ135" i="3" s="1"/>
  <c r="CN135" i="3" s="1"/>
  <c r="CR135" i="3" s="1"/>
  <c r="CV135" i="3" s="1"/>
  <c r="EU135" i="3"/>
  <c r="CB177" i="3"/>
  <c r="ET177" i="3"/>
  <c r="CF9" i="3"/>
  <c r="CJ9" i="3" s="1"/>
  <c r="CN9" i="3" s="1"/>
  <c r="CR9" i="3" s="1"/>
  <c r="CV9" i="3" s="1"/>
  <c r="EU9" i="3"/>
  <c r="CF198" i="3"/>
  <c r="CJ198" i="3" s="1"/>
  <c r="CN198" i="3" s="1"/>
  <c r="CR198" i="3" s="1"/>
  <c r="CV198" i="3" s="1"/>
  <c r="EU198" i="3"/>
  <c r="CF84" i="3"/>
  <c r="CJ84" i="3" s="1"/>
  <c r="CN84" i="3" s="1"/>
  <c r="CR84" i="3" s="1"/>
  <c r="CV84" i="3" s="1"/>
  <c r="EU84" i="3"/>
  <c r="CF82" i="3"/>
  <c r="CJ82" i="3" s="1"/>
  <c r="CN82" i="3" s="1"/>
  <c r="CR82" i="3" s="1"/>
  <c r="CV82" i="3" s="1"/>
  <c r="EU82" i="3"/>
  <c r="CF17" i="3"/>
  <c r="CJ17" i="3" s="1"/>
  <c r="CN17" i="3" s="1"/>
  <c r="CR17" i="3" s="1"/>
  <c r="CV17" i="3" s="1"/>
  <c r="EU17" i="3"/>
  <c r="CF57" i="3"/>
  <c r="CJ57" i="3" s="1"/>
  <c r="CN57" i="3" s="1"/>
  <c r="CR57" i="3" s="1"/>
  <c r="CV57" i="3" s="1"/>
  <c r="EU57" i="3"/>
  <c r="CF39" i="3"/>
  <c r="CJ39" i="3" s="1"/>
  <c r="CN39" i="3" s="1"/>
  <c r="CR39" i="3" s="1"/>
  <c r="CV39" i="3" s="1"/>
  <c r="EU39" i="3"/>
  <c r="CF79" i="3"/>
  <c r="CJ79" i="3" s="1"/>
  <c r="CN79" i="3" s="1"/>
  <c r="CR79" i="3" s="1"/>
  <c r="CV79" i="3" s="1"/>
  <c r="EU79" i="3"/>
  <c r="CF101" i="3"/>
  <c r="CJ101" i="3" s="1"/>
  <c r="CN101" i="3" s="1"/>
  <c r="CR101" i="3" s="1"/>
  <c r="CV101" i="3" s="1"/>
  <c r="EU101" i="3"/>
  <c r="CF46" i="3"/>
  <c r="CJ46" i="3" s="1"/>
  <c r="CN46" i="3" s="1"/>
  <c r="CR46" i="3" s="1"/>
  <c r="CV46" i="3" s="1"/>
  <c r="EU46" i="3"/>
  <c r="CF62" i="3"/>
  <c r="CJ62" i="3" s="1"/>
  <c r="CN62" i="3" s="1"/>
  <c r="CR62" i="3" s="1"/>
  <c r="CV62" i="3" s="1"/>
  <c r="EU62" i="3"/>
  <c r="CF16" i="3"/>
  <c r="CJ16" i="3" s="1"/>
  <c r="CN16" i="3" s="1"/>
  <c r="CR16" i="3" s="1"/>
  <c r="CV16" i="3" s="1"/>
  <c r="EU16" i="3"/>
  <c r="CF190" i="3"/>
  <c r="CJ190" i="3" s="1"/>
  <c r="CN190" i="3" s="1"/>
  <c r="CR190" i="3" s="1"/>
  <c r="CV190" i="3" s="1"/>
  <c r="EU190" i="3"/>
  <c r="CF95" i="3"/>
  <c r="CJ95" i="3" s="1"/>
  <c r="CN95" i="3" s="1"/>
  <c r="CR95" i="3" s="1"/>
  <c r="CV95" i="3" s="1"/>
  <c r="EU95" i="3"/>
  <c r="CF105" i="3"/>
  <c r="CJ105" i="3" s="1"/>
  <c r="CN105" i="3" s="1"/>
  <c r="CR105" i="3" s="1"/>
  <c r="CV105" i="3" s="1"/>
  <c r="EU105" i="3"/>
  <c r="CF12" i="3"/>
  <c r="CJ12" i="3" s="1"/>
  <c r="CN12" i="3" s="1"/>
  <c r="CR12" i="3" s="1"/>
  <c r="CV12" i="3" s="1"/>
  <c r="EU12" i="3"/>
  <c r="EU89" i="3"/>
  <c r="CF89" i="3"/>
  <c r="CJ89" i="3" s="1"/>
  <c r="CN89" i="3" s="1"/>
  <c r="CR89" i="3" s="1"/>
  <c r="CV89" i="3" s="1"/>
  <c r="CF64" i="3"/>
  <c r="CJ64" i="3" s="1"/>
  <c r="CN64" i="3" s="1"/>
  <c r="CR64" i="3" s="1"/>
  <c r="CV64" i="3" s="1"/>
  <c r="EU64" i="3"/>
  <c r="CF7" i="3"/>
  <c r="CJ7" i="3" s="1"/>
  <c r="CN7" i="3" s="1"/>
  <c r="CR7" i="3" s="1"/>
  <c r="CV7" i="3" s="1"/>
  <c r="EU7" i="3"/>
  <c r="CF115" i="3"/>
  <c r="CJ115" i="3" s="1"/>
  <c r="CN115" i="3" s="1"/>
  <c r="CR115" i="3" s="1"/>
  <c r="CV115" i="3" s="1"/>
  <c r="EU115" i="3"/>
  <c r="CF193" i="3"/>
  <c r="CJ193" i="3" s="1"/>
  <c r="CN193" i="3" s="1"/>
  <c r="CR193" i="3" s="1"/>
  <c r="CV193" i="3" s="1"/>
  <c r="EU193" i="3"/>
  <c r="CB174" i="3"/>
  <c r="ET174" i="3"/>
  <c r="CF120" i="3"/>
  <c r="CJ120" i="3" s="1"/>
  <c r="CN120" i="3" s="1"/>
  <c r="CR120" i="3" s="1"/>
  <c r="CV120" i="3" s="1"/>
  <c r="EU120" i="3"/>
  <c r="CF114" i="3"/>
  <c r="CJ114" i="3" s="1"/>
  <c r="CN114" i="3" s="1"/>
  <c r="CR114" i="3" s="1"/>
  <c r="CV114" i="3" s="1"/>
  <c r="EU114" i="3"/>
  <c r="CF202" i="3"/>
  <c r="CJ202" i="3" s="1"/>
  <c r="CN202" i="3" s="1"/>
  <c r="CR202" i="3" s="1"/>
  <c r="CV202" i="3" s="1"/>
  <c r="EU202" i="3"/>
  <c r="CF165" i="3"/>
  <c r="CJ165" i="3" s="1"/>
  <c r="CN165" i="3" s="1"/>
  <c r="CR165" i="3" s="1"/>
  <c r="CV165" i="3" s="1"/>
  <c r="EU165" i="3"/>
  <c r="CF55" i="3"/>
  <c r="CJ55" i="3" s="1"/>
  <c r="CN55" i="3" s="1"/>
  <c r="CR55" i="3" s="1"/>
  <c r="CV55" i="3" s="1"/>
  <c r="EU55" i="3"/>
  <c r="CF47" i="3"/>
  <c r="CJ47" i="3" s="1"/>
  <c r="CN47" i="3" s="1"/>
  <c r="CR47" i="3" s="1"/>
  <c r="CV47" i="3" s="1"/>
  <c r="EU47" i="3"/>
  <c r="CF108" i="3"/>
  <c r="CJ108" i="3" s="1"/>
  <c r="CN108" i="3" s="1"/>
  <c r="CR108" i="3" s="1"/>
  <c r="CV108" i="3" s="1"/>
  <c r="EU108" i="3"/>
  <c r="CF48" i="3"/>
  <c r="CJ48" i="3" s="1"/>
  <c r="CN48" i="3" s="1"/>
  <c r="CR48" i="3" s="1"/>
  <c r="CV48" i="3" s="1"/>
  <c r="EU48" i="3"/>
  <c r="CF44" i="3"/>
  <c r="CJ44" i="3" s="1"/>
  <c r="CN44" i="3" s="1"/>
  <c r="CR44" i="3" s="1"/>
  <c r="CV44" i="3" s="1"/>
  <c r="EU44" i="3"/>
  <c r="CB184" i="3"/>
  <c r="ET184" i="3"/>
  <c r="CB182" i="3"/>
  <c r="ET182" i="3"/>
  <c r="CF156" i="3"/>
  <c r="CJ156" i="3" s="1"/>
  <c r="CN156" i="3" s="1"/>
  <c r="CR156" i="3" s="1"/>
  <c r="CV156" i="3" s="1"/>
  <c r="EU156" i="3"/>
  <c r="CF20" i="3"/>
  <c r="CJ20" i="3" s="1"/>
  <c r="CN20" i="3" s="1"/>
  <c r="CR20" i="3" s="1"/>
  <c r="CV20" i="3" s="1"/>
  <c r="EU20" i="3"/>
  <c r="CF127" i="3"/>
  <c r="CJ127" i="3" s="1"/>
  <c r="CN127" i="3" s="1"/>
  <c r="CR127" i="3" s="1"/>
  <c r="CV127" i="3" s="1"/>
  <c r="EU127" i="3"/>
  <c r="CB180" i="3"/>
  <c r="ET180" i="3"/>
  <c r="CF5" i="3"/>
  <c r="CJ5" i="3" s="1"/>
  <c r="CN5" i="3" s="1"/>
  <c r="CR5" i="3" s="1"/>
  <c r="CV5" i="3" s="1"/>
  <c r="EU5" i="3"/>
  <c r="CF91" i="3"/>
  <c r="CJ91" i="3" s="1"/>
  <c r="CN91" i="3" s="1"/>
  <c r="CR91" i="3" s="1"/>
  <c r="CV91" i="3" s="1"/>
  <c r="EU91" i="3"/>
  <c r="CF98" i="3"/>
  <c r="CJ98" i="3" s="1"/>
  <c r="CN98" i="3" s="1"/>
  <c r="CR98" i="3" s="1"/>
  <c r="CV98" i="3" s="1"/>
  <c r="EU98" i="3"/>
  <c r="CF43" i="3"/>
  <c r="CJ43" i="3" s="1"/>
  <c r="CN43" i="3" s="1"/>
  <c r="CR43" i="3" s="1"/>
  <c r="CV43" i="3" s="1"/>
  <c r="EU43" i="3"/>
  <c r="CF200" i="3"/>
  <c r="CJ200" i="3" s="1"/>
  <c r="CN200" i="3" s="1"/>
  <c r="CR200" i="3" s="1"/>
  <c r="CV200" i="3" s="1"/>
  <c r="EU200" i="3"/>
  <c r="EU15" i="3"/>
  <c r="CF15" i="3"/>
  <c r="CJ15" i="3" s="1"/>
  <c r="CN15" i="3" s="1"/>
  <c r="CR15" i="3" s="1"/>
  <c r="CV15" i="3" s="1"/>
  <c r="CF34" i="3"/>
  <c r="CJ34" i="3" s="1"/>
  <c r="CN34" i="3" s="1"/>
  <c r="CR34" i="3" s="1"/>
  <c r="CV34" i="3" s="1"/>
  <c r="EU34" i="3"/>
  <c r="EU28" i="3"/>
  <c r="CF28" i="3"/>
  <c r="CJ28" i="3" s="1"/>
  <c r="CN28" i="3" s="1"/>
  <c r="CR28" i="3" s="1"/>
  <c r="CV28" i="3" s="1"/>
  <c r="CF61" i="3"/>
  <c r="CJ61" i="3" s="1"/>
  <c r="CN61" i="3" s="1"/>
  <c r="CR61" i="3" s="1"/>
  <c r="CV61" i="3" s="1"/>
  <c r="EU61" i="3"/>
  <c r="CF133" i="3"/>
  <c r="CJ133" i="3" s="1"/>
  <c r="CN133" i="3" s="1"/>
  <c r="CR133" i="3" s="1"/>
  <c r="CV133" i="3" s="1"/>
  <c r="EU133" i="3"/>
  <c r="CF126" i="3"/>
  <c r="CJ126" i="3" s="1"/>
  <c r="CN126" i="3" s="1"/>
  <c r="CR126" i="3" s="1"/>
  <c r="CV126" i="3" s="1"/>
  <c r="EU126" i="3"/>
  <c r="CF139" i="3"/>
  <c r="CJ139" i="3" s="1"/>
  <c r="CN139" i="3" s="1"/>
  <c r="CR139" i="3" s="1"/>
  <c r="CV139" i="3" s="1"/>
  <c r="EU139" i="3"/>
  <c r="CF196" i="3"/>
  <c r="CJ196" i="3" s="1"/>
  <c r="CN196" i="3" s="1"/>
  <c r="CR196" i="3" s="1"/>
  <c r="CV196" i="3" s="1"/>
  <c r="EU196" i="3"/>
  <c r="EU96" i="3"/>
  <c r="CF96" i="3"/>
  <c r="CJ96" i="3" s="1"/>
  <c r="CN96" i="3" s="1"/>
  <c r="CR96" i="3" s="1"/>
  <c r="CV96" i="3" s="1"/>
  <c r="CF170" i="3"/>
  <c r="CJ170" i="3" s="1"/>
  <c r="CN170" i="3" s="1"/>
  <c r="CR170" i="3" s="1"/>
  <c r="CV170" i="3" s="1"/>
  <c r="EU170" i="3"/>
  <c r="CB175" i="3"/>
  <c r="ET175" i="3"/>
  <c r="CF163" i="3"/>
  <c r="CJ163" i="3" s="1"/>
  <c r="CN163" i="3" s="1"/>
  <c r="CR163" i="3" s="1"/>
  <c r="CV163" i="3" s="1"/>
  <c r="EU163" i="3"/>
  <c r="CB181" i="3"/>
  <c r="ET181" i="3"/>
  <c r="CF87" i="3"/>
  <c r="CJ87" i="3" s="1"/>
  <c r="CN87" i="3" s="1"/>
  <c r="CR87" i="3" s="1"/>
  <c r="CV87" i="3" s="1"/>
  <c r="EU87" i="3"/>
  <c r="CF191" i="3"/>
  <c r="CJ191" i="3" s="1"/>
  <c r="CN191" i="3" s="1"/>
  <c r="CR191" i="3" s="1"/>
  <c r="CV191" i="3" s="1"/>
  <c r="EU191" i="3"/>
  <c r="CF110" i="3"/>
  <c r="CJ110" i="3" s="1"/>
  <c r="CN110" i="3" s="1"/>
  <c r="CR110" i="3" s="1"/>
  <c r="CV110" i="3" s="1"/>
  <c r="EU110" i="3"/>
  <c r="CF83" i="3"/>
  <c r="CJ83" i="3" s="1"/>
  <c r="CN83" i="3" s="1"/>
  <c r="CR83" i="3" s="1"/>
  <c r="CV83" i="3" s="1"/>
  <c r="EU83" i="3"/>
  <c r="CF78" i="3"/>
  <c r="CJ78" i="3" s="1"/>
  <c r="CN78" i="3" s="1"/>
  <c r="CR78" i="3" s="1"/>
  <c r="CV78" i="3" s="1"/>
  <c r="EU78" i="3"/>
  <c r="EU90" i="3"/>
  <c r="CF90" i="3"/>
  <c r="CJ90" i="3" s="1"/>
  <c r="CN90" i="3" s="1"/>
  <c r="CR90" i="3" s="1"/>
  <c r="CV90" i="3" s="1"/>
  <c r="CF37" i="3"/>
  <c r="CJ37" i="3" s="1"/>
  <c r="CN37" i="3" s="1"/>
  <c r="CR37" i="3" s="1"/>
  <c r="CV37" i="3" s="1"/>
  <c r="EU37" i="3"/>
  <c r="CF69" i="3"/>
  <c r="CJ69" i="3" s="1"/>
  <c r="CN69" i="3" s="1"/>
  <c r="CR69" i="3" s="1"/>
  <c r="CV69" i="3" s="1"/>
  <c r="EU69" i="3"/>
  <c r="CF72" i="3"/>
  <c r="CJ72" i="3" s="1"/>
  <c r="CN72" i="3" s="1"/>
  <c r="CR72" i="3" s="1"/>
  <c r="CV72" i="3" s="1"/>
  <c r="EU72" i="3"/>
  <c r="CF142" i="3"/>
  <c r="CJ142" i="3" s="1"/>
  <c r="CN142" i="3" s="1"/>
  <c r="CR142" i="3" s="1"/>
  <c r="CV142" i="3" s="1"/>
  <c r="EU142" i="3"/>
  <c r="CF30" i="3"/>
  <c r="CJ30" i="3" s="1"/>
  <c r="CN30" i="3" s="1"/>
  <c r="CR30" i="3" s="1"/>
  <c r="CV30" i="3" s="1"/>
  <c r="EU30" i="3"/>
  <c r="CF150" i="3"/>
  <c r="CJ150" i="3" s="1"/>
  <c r="CN150" i="3" s="1"/>
  <c r="CR150" i="3" s="1"/>
  <c r="CV150" i="3" s="1"/>
  <c r="EU150" i="3"/>
  <c r="CF124" i="3"/>
  <c r="CJ124" i="3" s="1"/>
  <c r="CN124" i="3" s="1"/>
  <c r="CR124" i="3" s="1"/>
  <c r="CV124" i="3" s="1"/>
  <c r="EU124" i="3"/>
  <c r="CF58" i="3"/>
  <c r="CJ58" i="3" s="1"/>
  <c r="CN58" i="3" s="1"/>
  <c r="CR58" i="3" s="1"/>
  <c r="CV58" i="3" s="1"/>
  <c r="EU58" i="3"/>
  <c r="CF121" i="3"/>
  <c r="CJ121" i="3" s="1"/>
  <c r="CN121" i="3" s="1"/>
  <c r="CR121" i="3" s="1"/>
  <c r="CV121" i="3" s="1"/>
  <c r="EU121" i="3"/>
  <c r="CB186" i="3"/>
  <c r="ET186" i="3"/>
  <c r="CF18" i="3"/>
  <c r="CJ18" i="3" s="1"/>
  <c r="CN18" i="3" s="1"/>
  <c r="CR18" i="3" s="1"/>
  <c r="CV18" i="3" s="1"/>
  <c r="EU18" i="3"/>
  <c r="EU54" i="3"/>
  <c r="CF54" i="3"/>
  <c r="CJ54" i="3" s="1"/>
  <c r="CN54" i="3" s="1"/>
  <c r="CR54" i="3" s="1"/>
  <c r="CV54" i="3" s="1"/>
  <c r="CF173" i="3"/>
  <c r="CJ173" i="3" s="1"/>
  <c r="CN173" i="3" s="1"/>
  <c r="CR173" i="3" s="1"/>
  <c r="CV173" i="3" s="1"/>
  <c r="EU173" i="3"/>
  <c r="CF85" i="3"/>
  <c r="CJ85" i="3" s="1"/>
  <c r="CN85" i="3" s="1"/>
  <c r="CR85" i="3" s="1"/>
  <c r="CV85" i="3" s="1"/>
  <c r="EU85" i="3"/>
  <c r="CF41" i="3"/>
  <c r="CJ41" i="3" s="1"/>
  <c r="CN41" i="3" s="1"/>
  <c r="CR41" i="3" s="1"/>
  <c r="CV41" i="3" s="1"/>
  <c r="EU41" i="3"/>
  <c r="EU94" i="3"/>
  <c r="CF94" i="3"/>
  <c r="CJ94" i="3" s="1"/>
  <c r="CN94" i="3" s="1"/>
  <c r="CR94" i="3" s="1"/>
  <c r="CV94" i="3" s="1"/>
  <c r="CF195" i="3"/>
  <c r="CJ195" i="3" s="1"/>
  <c r="CN195" i="3" s="1"/>
  <c r="CR195" i="3" s="1"/>
  <c r="CV195" i="3" s="1"/>
  <c r="EU195" i="3"/>
  <c r="CF131" i="3"/>
  <c r="CJ131" i="3" s="1"/>
  <c r="CN131" i="3" s="1"/>
  <c r="CR131" i="3" s="1"/>
  <c r="CV131" i="3" s="1"/>
  <c r="EU131" i="3"/>
  <c r="CF66" i="3"/>
  <c r="CJ66" i="3" s="1"/>
  <c r="CN66" i="3" s="1"/>
  <c r="CR66" i="3" s="1"/>
  <c r="CV66" i="3" s="1"/>
  <c r="EU66" i="3"/>
  <c r="CB176" i="3"/>
  <c r="ET176" i="3"/>
  <c r="CF53" i="3"/>
  <c r="CJ53" i="3" s="1"/>
  <c r="CN53" i="3" s="1"/>
  <c r="CR53" i="3" s="1"/>
  <c r="CV53" i="3" s="1"/>
  <c r="EU53" i="3"/>
  <c r="CF27" i="3"/>
  <c r="CJ27" i="3" s="1"/>
  <c r="CN27" i="3" s="1"/>
  <c r="CR27" i="3" s="1"/>
  <c r="CV27" i="3" s="1"/>
  <c r="EU27" i="3"/>
  <c r="CF152" i="3"/>
  <c r="CJ152" i="3" s="1"/>
  <c r="CN152" i="3" s="1"/>
  <c r="CR152" i="3" s="1"/>
  <c r="CV152" i="3" s="1"/>
  <c r="EU152" i="3"/>
  <c r="CF56" i="3"/>
  <c r="CJ56" i="3" s="1"/>
  <c r="CN56" i="3" s="1"/>
  <c r="CR56" i="3" s="1"/>
  <c r="CV56" i="3" s="1"/>
  <c r="EU56" i="3"/>
  <c r="EU189" i="3"/>
  <c r="CF189" i="3"/>
  <c r="CJ189" i="3" s="1"/>
  <c r="CN189" i="3" s="1"/>
  <c r="CR189" i="3" s="1"/>
  <c r="CV189" i="3" s="1"/>
  <c r="CF100" i="3"/>
  <c r="CJ100" i="3" s="1"/>
  <c r="CN100" i="3" s="1"/>
  <c r="CR100" i="3" s="1"/>
  <c r="CV100" i="3" s="1"/>
  <c r="EU100" i="3"/>
  <c r="CF117" i="3"/>
  <c r="CJ117" i="3" s="1"/>
  <c r="CN117" i="3" s="1"/>
  <c r="CR117" i="3" s="1"/>
  <c r="CV117" i="3" s="1"/>
  <c r="EU117" i="3"/>
  <c r="CF197" i="3"/>
  <c r="CJ197" i="3" s="1"/>
  <c r="CN197" i="3" s="1"/>
  <c r="CR197" i="3" s="1"/>
  <c r="CV197" i="3" s="1"/>
  <c r="EU197" i="3"/>
  <c r="CF102" i="3"/>
  <c r="CJ102" i="3" s="1"/>
  <c r="CN102" i="3" s="1"/>
  <c r="CR102" i="3" s="1"/>
  <c r="CV102" i="3" s="1"/>
  <c r="EU102" i="3"/>
  <c r="CF88" i="3"/>
  <c r="CJ88" i="3" s="1"/>
  <c r="CN88" i="3" s="1"/>
  <c r="CR88" i="3" s="1"/>
  <c r="CV88" i="3" s="1"/>
  <c r="EU88" i="3"/>
  <c r="CF49" i="3"/>
  <c r="CJ49" i="3" s="1"/>
  <c r="CN49" i="3" s="1"/>
  <c r="CR49" i="3" s="1"/>
  <c r="CV49" i="3" s="1"/>
  <c r="EU49" i="3"/>
  <c r="CF99" i="3"/>
  <c r="CJ99" i="3" s="1"/>
  <c r="CN99" i="3" s="1"/>
  <c r="CR99" i="3" s="1"/>
  <c r="CV99" i="3" s="1"/>
  <c r="EU99" i="3"/>
  <c r="CF157" i="3"/>
  <c r="CJ157" i="3" s="1"/>
  <c r="CN157" i="3" s="1"/>
  <c r="CR157" i="3" s="1"/>
  <c r="CV157" i="3" s="1"/>
  <c r="EU157" i="3"/>
  <c r="CF136" i="3"/>
  <c r="CJ136" i="3" s="1"/>
  <c r="CN136" i="3" s="1"/>
  <c r="CR136" i="3" s="1"/>
  <c r="CV136" i="3" s="1"/>
  <c r="EU136" i="3"/>
  <c r="EU70" i="3"/>
  <c r="CF70" i="3"/>
  <c r="CJ70" i="3" s="1"/>
  <c r="CN70" i="3" s="1"/>
  <c r="CR70" i="3" s="1"/>
  <c r="CV70" i="3" s="1"/>
  <c r="CF52" i="3"/>
  <c r="CJ52" i="3" s="1"/>
  <c r="CN52" i="3" s="1"/>
  <c r="CR52" i="3" s="1"/>
  <c r="CV52" i="3" s="1"/>
  <c r="EU52" i="3"/>
  <c r="CF149" i="3"/>
  <c r="CJ149" i="3" s="1"/>
  <c r="CN149" i="3" s="1"/>
  <c r="CR149" i="3" s="1"/>
  <c r="CV149" i="3" s="1"/>
  <c r="EU149" i="3"/>
  <c r="CF10" i="3"/>
  <c r="CJ10" i="3" s="1"/>
  <c r="CN10" i="3" s="1"/>
  <c r="CR10" i="3" s="1"/>
  <c r="CV10" i="3" s="1"/>
  <c r="EU10" i="3"/>
  <c r="CF19" i="3"/>
  <c r="CJ19" i="3" s="1"/>
  <c r="CN19" i="3" s="1"/>
  <c r="CR19" i="3" s="1"/>
  <c r="CV19" i="3" s="1"/>
  <c r="EU19" i="3"/>
  <c r="CF112" i="3"/>
  <c r="CJ112" i="3" s="1"/>
  <c r="CN112" i="3" s="1"/>
  <c r="CR112" i="3" s="1"/>
  <c r="CV112" i="3" s="1"/>
  <c r="EU112" i="3"/>
  <c r="CF8" i="3"/>
  <c r="CJ8" i="3" s="1"/>
  <c r="CN8" i="3" s="1"/>
  <c r="CR8" i="3" s="1"/>
  <c r="CV8" i="3" s="1"/>
  <c r="EU8" i="3"/>
  <c r="CF35" i="3"/>
  <c r="CJ35" i="3" s="1"/>
  <c r="CN35" i="3" s="1"/>
  <c r="CR35" i="3" s="1"/>
  <c r="CV35" i="3" s="1"/>
  <c r="EU35" i="3"/>
  <c r="CF113" i="3"/>
  <c r="CJ113" i="3" s="1"/>
  <c r="CN113" i="3" s="1"/>
  <c r="CR113" i="3" s="1"/>
  <c r="CV113" i="3" s="1"/>
  <c r="EU113" i="3"/>
  <c r="CF119" i="3"/>
  <c r="CJ119" i="3" s="1"/>
  <c r="CN119" i="3" s="1"/>
  <c r="CR119" i="3" s="1"/>
  <c r="CV119" i="3" s="1"/>
  <c r="EU119" i="3"/>
  <c r="CF3" i="3"/>
  <c r="EU3" i="3"/>
  <c r="CF23" i="3"/>
  <c r="CJ23" i="3" s="1"/>
  <c r="CN23" i="3" s="1"/>
  <c r="CR23" i="3" s="1"/>
  <c r="CV23" i="3" s="1"/>
  <c r="EU23" i="3"/>
  <c r="CF6" i="3"/>
  <c r="CJ6" i="3" s="1"/>
  <c r="CN6" i="3" s="1"/>
  <c r="CR6" i="3" s="1"/>
  <c r="CV6" i="3" s="1"/>
  <c r="EU6" i="3"/>
  <c r="CF29" i="3"/>
  <c r="CJ29" i="3" s="1"/>
  <c r="CN29" i="3" s="1"/>
  <c r="CR29" i="3" s="1"/>
  <c r="CV29" i="3" s="1"/>
  <c r="EU29" i="3"/>
  <c r="CF169" i="3"/>
  <c r="CJ169" i="3" s="1"/>
  <c r="CN169" i="3" s="1"/>
  <c r="CR169" i="3" s="1"/>
  <c r="CV169" i="3" s="1"/>
  <c r="EU169" i="3"/>
  <c r="CF128" i="3"/>
  <c r="CJ128" i="3" s="1"/>
  <c r="CN128" i="3" s="1"/>
  <c r="CR128" i="3" s="1"/>
  <c r="CV128" i="3" s="1"/>
  <c r="EU128" i="3"/>
  <c r="CF138" i="3"/>
  <c r="CJ138" i="3" s="1"/>
  <c r="CN138" i="3" s="1"/>
  <c r="CR138" i="3" s="1"/>
  <c r="CV138" i="3" s="1"/>
  <c r="EU138" i="3"/>
  <c r="EU188" i="3"/>
  <c r="CF188" i="3"/>
  <c r="CJ188" i="3" s="1"/>
  <c r="CN188" i="3" s="1"/>
  <c r="CR188" i="3" s="1"/>
  <c r="CV188" i="3" s="1"/>
  <c r="CF80" i="3"/>
  <c r="CJ80" i="3" s="1"/>
  <c r="CN80" i="3" s="1"/>
  <c r="CR80" i="3" s="1"/>
  <c r="CV80" i="3" s="1"/>
  <c r="EU80" i="3"/>
  <c r="EU22" i="3"/>
  <c r="CF22" i="3"/>
  <c r="CJ22" i="3" s="1"/>
  <c r="CN22" i="3" s="1"/>
  <c r="CR22" i="3" s="1"/>
  <c r="CV22" i="3" s="1"/>
  <c r="CF118" i="3"/>
  <c r="CJ118" i="3" s="1"/>
  <c r="CN118" i="3" s="1"/>
  <c r="CR118" i="3" s="1"/>
  <c r="CV118" i="3" s="1"/>
  <c r="EU118" i="3"/>
  <c r="CF109" i="3"/>
  <c r="CJ109" i="3" s="1"/>
  <c r="CN109" i="3" s="1"/>
  <c r="CR109" i="3" s="1"/>
  <c r="CV109" i="3" s="1"/>
  <c r="EU109" i="3"/>
  <c r="CF116" i="3"/>
  <c r="CJ116" i="3" s="1"/>
  <c r="CN116" i="3" s="1"/>
  <c r="CR116" i="3" s="1"/>
  <c r="CV116" i="3" s="1"/>
  <c r="EU116" i="3"/>
  <c r="CF141" i="3"/>
  <c r="CJ141" i="3" s="1"/>
  <c r="CN141" i="3" s="1"/>
  <c r="CR141" i="3" s="1"/>
  <c r="CV141" i="3" s="1"/>
  <c r="EU141" i="3"/>
  <c r="CF129" i="3"/>
  <c r="CJ129" i="3" s="1"/>
  <c r="CN129" i="3" s="1"/>
  <c r="CR129" i="3" s="1"/>
  <c r="CV129" i="3" s="1"/>
  <c r="EU129" i="3"/>
  <c r="CF134" i="3"/>
  <c r="CJ134" i="3" s="1"/>
  <c r="CN134" i="3" s="1"/>
  <c r="CR134" i="3" s="1"/>
  <c r="CV134" i="3" s="1"/>
  <c r="EU134" i="3"/>
  <c r="CF36" i="3"/>
  <c r="CJ36" i="3" s="1"/>
  <c r="CN36" i="3" s="1"/>
  <c r="CR36" i="3" s="1"/>
  <c r="CV36" i="3" s="1"/>
  <c r="EU36" i="3"/>
  <c r="CF123" i="3"/>
  <c r="CJ123" i="3" s="1"/>
  <c r="CN123" i="3" s="1"/>
  <c r="CR123" i="3" s="1"/>
  <c r="CV123" i="3" s="1"/>
  <c r="EU123" i="3"/>
  <c r="EU199" i="3"/>
  <c r="CF199" i="3"/>
  <c r="CJ199" i="3" s="1"/>
  <c r="CN199" i="3" s="1"/>
  <c r="CR199" i="3" s="1"/>
  <c r="CV199" i="3" s="1"/>
  <c r="CF93" i="3"/>
  <c r="CJ93" i="3" s="1"/>
  <c r="CN93" i="3" s="1"/>
  <c r="CR93" i="3" s="1"/>
  <c r="CV93" i="3" s="1"/>
  <c r="EU93" i="3"/>
  <c r="CF187" i="3"/>
  <c r="CJ187" i="3" s="1"/>
  <c r="CN187" i="3" s="1"/>
  <c r="CR187" i="3" s="1"/>
  <c r="CV187" i="3" s="1"/>
  <c r="EU187" i="3"/>
  <c r="CF77" i="3"/>
  <c r="CJ77" i="3" s="1"/>
  <c r="CN77" i="3" s="1"/>
  <c r="CR77" i="3" s="1"/>
  <c r="CV77" i="3" s="1"/>
  <c r="EU77" i="3"/>
  <c r="CF25" i="3"/>
  <c r="CJ25" i="3" s="1"/>
  <c r="CN25" i="3" s="1"/>
  <c r="CR25" i="3" s="1"/>
  <c r="CV25" i="3" s="1"/>
  <c r="EU25" i="3"/>
  <c r="CB178" i="3"/>
  <c r="ET178" i="3"/>
  <c r="CF42" i="3"/>
  <c r="CJ42" i="3" s="1"/>
  <c r="CN42" i="3" s="1"/>
  <c r="CR42" i="3" s="1"/>
  <c r="CV42" i="3" s="1"/>
  <c r="EU42" i="3"/>
  <c r="CF148" i="3"/>
  <c r="CJ148" i="3" s="1"/>
  <c r="CN148" i="3" s="1"/>
  <c r="CR148" i="3" s="1"/>
  <c r="CV148" i="3" s="1"/>
  <c r="EU148" i="3"/>
  <c r="CF166" i="3"/>
  <c r="CJ166" i="3" s="1"/>
  <c r="CN166" i="3" s="1"/>
  <c r="CR166" i="3" s="1"/>
  <c r="CV166" i="3" s="1"/>
  <c r="EU166" i="3"/>
  <c r="CF106" i="3"/>
  <c r="CJ106" i="3" s="1"/>
  <c r="CN106" i="3" s="1"/>
  <c r="CR106" i="3" s="1"/>
  <c r="CV106" i="3" s="1"/>
  <c r="EU106" i="3"/>
  <c r="CF86" i="3"/>
  <c r="CJ86" i="3" s="1"/>
  <c r="CN86" i="3" s="1"/>
  <c r="CR86" i="3" s="1"/>
  <c r="CV86" i="3" s="1"/>
  <c r="EU86" i="3"/>
  <c r="CF26" i="3"/>
  <c r="CJ26" i="3" s="1"/>
  <c r="CN26" i="3" s="1"/>
  <c r="CR26" i="3" s="1"/>
  <c r="CV26" i="3" s="1"/>
  <c r="EU26" i="3"/>
  <c r="CF73" i="3"/>
  <c r="CJ73" i="3" s="1"/>
  <c r="CN73" i="3" s="1"/>
  <c r="CR73" i="3" s="1"/>
  <c r="CV73" i="3" s="1"/>
  <c r="EU73" i="3"/>
  <c r="CF38" i="3"/>
  <c r="CJ38" i="3" s="1"/>
  <c r="CN38" i="3" s="1"/>
  <c r="CR38" i="3" s="1"/>
  <c r="CV38" i="3" s="1"/>
  <c r="EU38" i="3"/>
  <c r="CF107" i="3"/>
  <c r="CJ107" i="3" s="1"/>
  <c r="CN107" i="3" s="1"/>
  <c r="CR107" i="3" s="1"/>
  <c r="CV107" i="3" s="1"/>
  <c r="EU107" i="3"/>
  <c r="CF40" i="3"/>
  <c r="CJ40" i="3" s="1"/>
  <c r="CN40" i="3" s="1"/>
  <c r="CR40" i="3" s="1"/>
  <c r="CV40" i="3" s="1"/>
  <c r="EU40" i="3"/>
  <c r="CF74" i="3"/>
  <c r="CJ74" i="3" s="1"/>
  <c r="CN74" i="3" s="1"/>
  <c r="CR74" i="3" s="1"/>
  <c r="CV74" i="3" s="1"/>
  <c r="EU74" i="3"/>
  <c r="CF132" i="3"/>
  <c r="CJ132" i="3" s="1"/>
  <c r="CN132" i="3" s="1"/>
  <c r="CR132" i="3" s="1"/>
  <c r="CV132" i="3" s="1"/>
  <c r="EU132" i="3"/>
  <c r="CB185" i="3"/>
  <c r="ET185" i="3"/>
  <c r="CF201" i="3"/>
  <c r="CJ201" i="3" s="1"/>
  <c r="CN201" i="3" s="1"/>
  <c r="CR201" i="3" s="1"/>
  <c r="CV201" i="3" s="1"/>
  <c r="EU201" i="3"/>
  <c r="CF151" i="3"/>
  <c r="CJ151" i="3" s="1"/>
  <c r="CN151" i="3" s="1"/>
  <c r="CR151" i="3" s="1"/>
  <c r="CV151" i="3" s="1"/>
  <c r="EU151" i="3"/>
  <c r="CF146" i="3"/>
  <c r="CJ146" i="3" s="1"/>
  <c r="CN146" i="3" s="1"/>
  <c r="CR146" i="3" s="1"/>
  <c r="CV146" i="3" s="1"/>
  <c r="EU146" i="3"/>
  <c r="CF155" i="3"/>
  <c r="CJ155" i="3" s="1"/>
  <c r="CN155" i="3" s="1"/>
  <c r="CR155" i="3" s="1"/>
  <c r="CV155" i="3" s="1"/>
  <c r="EU155" i="3"/>
  <c r="EU14" i="3"/>
  <c r="CF172" i="3"/>
  <c r="CJ172" i="3" s="1"/>
  <c r="CN172" i="3" s="1"/>
  <c r="CR172" i="3" s="1"/>
  <c r="CV172" i="3" s="1"/>
  <c r="EU172" i="3"/>
  <c r="CF154" i="3"/>
  <c r="CJ154" i="3" s="1"/>
  <c r="CN154" i="3" s="1"/>
  <c r="CR154" i="3" s="1"/>
  <c r="CV154" i="3" s="1"/>
  <c r="EU154" i="3"/>
  <c r="CF160" i="3"/>
  <c r="CJ160" i="3" s="1"/>
  <c r="CN160" i="3" s="1"/>
  <c r="CR160" i="3" s="1"/>
  <c r="CV160" i="3" s="1"/>
  <c r="EU160" i="3"/>
  <c r="EU11" i="3"/>
  <c r="CF11" i="3"/>
  <c r="CJ11" i="3" s="1"/>
  <c r="CN11" i="3" s="1"/>
  <c r="CR11" i="3" s="1"/>
  <c r="CV11" i="3" s="1"/>
  <c r="CF92" i="3"/>
  <c r="CJ92" i="3" s="1"/>
  <c r="CN92" i="3" s="1"/>
  <c r="CR92" i="3" s="1"/>
  <c r="CV92" i="3" s="1"/>
  <c r="EU92" i="3"/>
  <c r="EU65" i="3"/>
  <c r="CF65" i="3"/>
  <c r="CJ65" i="3" s="1"/>
  <c r="CN65" i="3" s="1"/>
  <c r="CR65" i="3" s="1"/>
  <c r="CV65" i="3" s="1"/>
  <c r="CF59" i="3"/>
  <c r="CJ59" i="3" s="1"/>
  <c r="CN59" i="3" s="1"/>
  <c r="CR59" i="3" s="1"/>
  <c r="CV59" i="3" s="1"/>
  <c r="EU59" i="3"/>
  <c r="CF31" i="3"/>
  <c r="CJ31" i="3" s="1"/>
  <c r="CN31" i="3" s="1"/>
  <c r="CR31" i="3" s="1"/>
  <c r="CV31" i="3" s="1"/>
  <c r="EU31" i="3"/>
  <c r="CF21" i="3"/>
  <c r="CJ21" i="3" s="1"/>
  <c r="CN21" i="3" s="1"/>
  <c r="CR21" i="3" s="1"/>
  <c r="CV21" i="3" s="1"/>
  <c r="EU21" i="3"/>
  <c r="CF32" i="3"/>
  <c r="CJ32" i="3" s="1"/>
  <c r="CN32" i="3" s="1"/>
  <c r="CR32" i="3" s="1"/>
  <c r="CV32" i="3" s="1"/>
  <c r="EU32" i="3"/>
  <c r="CF171" i="3"/>
  <c r="CJ171" i="3" s="1"/>
  <c r="CN171" i="3" s="1"/>
  <c r="CR171" i="3" s="1"/>
  <c r="CV171" i="3" s="1"/>
  <c r="EU171" i="3"/>
  <c r="CF75" i="3"/>
  <c r="CJ75" i="3" s="1"/>
  <c r="CN75" i="3" s="1"/>
  <c r="CR75" i="3" s="1"/>
  <c r="CV75" i="3" s="1"/>
  <c r="EU75" i="3"/>
  <c r="EU50" i="3"/>
  <c r="CF50" i="3"/>
  <c r="CJ50" i="3" s="1"/>
  <c r="CN50" i="3" s="1"/>
  <c r="CR50" i="3" s="1"/>
  <c r="CV50" i="3" s="1"/>
  <c r="CF111" i="3"/>
  <c r="CJ111" i="3" s="1"/>
  <c r="CN111" i="3" s="1"/>
  <c r="CR111" i="3" s="1"/>
  <c r="CV111" i="3" s="1"/>
  <c r="EU111" i="3"/>
  <c r="CF122" i="3"/>
  <c r="CJ122" i="3" s="1"/>
  <c r="CN122" i="3" s="1"/>
  <c r="CR122" i="3" s="1"/>
  <c r="CV122" i="3" s="1"/>
  <c r="EU122" i="3"/>
  <c r="CF68" i="3"/>
  <c r="CJ68" i="3" s="1"/>
  <c r="CN68" i="3" s="1"/>
  <c r="CR68" i="3" s="1"/>
  <c r="CV68" i="3" s="1"/>
  <c r="EU68" i="3"/>
  <c r="EU104" i="3"/>
  <c r="CF104" i="3"/>
  <c r="CJ104" i="3" s="1"/>
  <c r="CN104" i="3" s="1"/>
  <c r="CR104" i="3" s="1"/>
  <c r="CV104" i="3" s="1"/>
  <c r="CF145" i="3"/>
  <c r="CJ145" i="3" s="1"/>
  <c r="CN145" i="3" s="1"/>
  <c r="CR145" i="3" s="1"/>
  <c r="CV145" i="3" s="1"/>
  <c r="EU145" i="3"/>
  <c r="CF60" i="3"/>
  <c r="CJ60" i="3" s="1"/>
  <c r="CN60" i="3" s="1"/>
  <c r="CR60" i="3" s="1"/>
  <c r="CV60" i="3" s="1"/>
  <c r="EU60" i="3"/>
  <c r="CF158" i="3"/>
  <c r="CJ158" i="3" s="1"/>
  <c r="CN158" i="3" s="1"/>
  <c r="CR158" i="3" s="1"/>
  <c r="CV158" i="3" s="1"/>
  <c r="EU158" i="3"/>
  <c r="CB179" i="3"/>
  <c r="ET179" i="3"/>
  <c r="CF125" i="3"/>
  <c r="CJ125" i="3" s="1"/>
  <c r="CN125" i="3" s="1"/>
  <c r="CR125" i="3" s="1"/>
  <c r="CV125" i="3" s="1"/>
  <c r="EU125" i="3"/>
  <c r="CF194" i="3"/>
  <c r="CJ194" i="3" s="1"/>
  <c r="CN194" i="3" s="1"/>
  <c r="CR194" i="3" s="1"/>
  <c r="CV194" i="3" s="1"/>
  <c r="EU194" i="3"/>
  <c r="CF137" i="3"/>
  <c r="CJ137" i="3" s="1"/>
  <c r="CN137" i="3" s="1"/>
  <c r="CR137" i="3" s="1"/>
  <c r="CV137" i="3" s="1"/>
  <c r="EU137" i="3"/>
  <c r="CF33" i="3"/>
  <c r="CJ33" i="3" s="1"/>
  <c r="CN33" i="3" s="1"/>
  <c r="CR33" i="3" s="1"/>
  <c r="CV33" i="3" s="1"/>
  <c r="EU33" i="3"/>
  <c r="CF192" i="3"/>
  <c r="CJ192" i="3" s="1"/>
  <c r="CN192" i="3" s="1"/>
  <c r="CR192" i="3" s="1"/>
  <c r="CV192" i="3" s="1"/>
  <c r="EU192" i="3"/>
  <c r="CF45" i="3"/>
  <c r="CJ45" i="3" s="1"/>
  <c r="CN45" i="3" s="1"/>
  <c r="CR45" i="3" s="1"/>
  <c r="CV45" i="3" s="1"/>
  <c r="EU45" i="3"/>
  <c r="CF159" i="3"/>
  <c r="CJ159" i="3" s="1"/>
  <c r="CN159" i="3" s="1"/>
  <c r="CR159" i="3" s="1"/>
  <c r="CV159" i="3" s="1"/>
  <c r="EU159" i="3"/>
  <c r="CF143" i="3"/>
  <c r="CJ143" i="3" s="1"/>
  <c r="CN143" i="3" s="1"/>
  <c r="CR143" i="3" s="1"/>
  <c r="CV143" i="3" s="1"/>
  <c r="EU143" i="3"/>
  <c r="CF164" i="3"/>
  <c r="CJ164" i="3" s="1"/>
  <c r="CN164" i="3" s="1"/>
  <c r="CR164" i="3" s="1"/>
  <c r="CV164" i="3" s="1"/>
  <c r="EU164" i="3"/>
  <c r="CF63" i="3"/>
  <c r="CJ63" i="3" s="1"/>
  <c r="CN63" i="3" s="1"/>
  <c r="CR63" i="3" s="1"/>
  <c r="CV63" i="3" s="1"/>
  <c r="EU63" i="3"/>
  <c r="CF81" i="3"/>
  <c r="CJ81" i="3" s="1"/>
  <c r="CN81" i="3" s="1"/>
  <c r="CR81" i="3" s="1"/>
  <c r="CV81" i="3" s="1"/>
  <c r="EU81" i="3"/>
  <c r="CF130" i="3"/>
  <c r="CJ130" i="3" s="1"/>
  <c r="CN130" i="3" s="1"/>
  <c r="CR130" i="3" s="1"/>
  <c r="CV130" i="3" s="1"/>
  <c r="EU130" i="3"/>
  <c r="CF24" i="3"/>
  <c r="CJ24" i="3" s="1"/>
  <c r="CN24" i="3" s="1"/>
  <c r="CR24" i="3" s="1"/>
  <c r="CV24" i="3" s="1"/>
  <c r="EU24" i="3"/>
  <c r="CB183" i="3"/>
  <c r="ET183" i="3"/>
  <c r="CF153" i="3"/>
  <c r="CJ153" i="3" s="1"/>
  <c r="CN153" i="3" s="1"/>
  <c r="CR153" i="3" s="1"/>
  <c r="CV153" i="3" s="1"/>
  <c r="EU153" i="3"/>
  <c r="EU51" i="3"/>
  <c r="CF51" i="3"/>
  <c r="CJ51" i="3" s="1"/>
  <c r="CN51" i="3" s="1"/>
  <c r="CR51" i="3" s="1"/>
  <c r="CV51" i="3" s="1"/>
  <c r="CF76" i="3"/>
  <c r="CJ76" i="3" s="1"/>
  <c r="CN76" i="3" s="1"/>
  <c r="CR76" i="3" s="1"/>
  <c r="CV76" i="3" s="1"/>
  <c r="EU76" i="3"/>
  <c r="CF67" i="3"/>
  <c r="CJ67" i="3" s="1"/>
  <c r="CN67" i="3" s="1"/>
  <c r="CR67" i="3" s="1"/>
  <c r="CV67" i="3" s="1"/>
  <c r="EU67" i="3"/>
  <c r="CF167" i="3"/>
  <c r="CJ167" i="3" s="1"/>
  <c r="CN167" i="3" s="1"/>
  <c r="CR167" i="3" s="1"/>
  <c r="CV167" i="3" s="1"/>
  <c r="EU167" i="3"/>
  <c r="CF147" i="3"/>
  <c r="CJ147" i="3" s="1"/>
  <c r="CN147" i="3" s="1"/>
  <c r="CR147" i="3" s="1"/>
  <c r="CV147" i="3" s="1"/>
  <c r="EU147" i="3"/>
  <c r="CF71" i="3"/>
  <c r="CJ71" i="3" s="1"/>
  <c r="CN71" i="3" s="1"/>
  <c r="CR71" i="3" s="1"/>
  <c r="CV71" i="3" s="1"/>
  <c r="EU71" i="3"/>
  <c r="CF103" i="3"/>
  <c r="CJ103" i="3" s="1"/>
  <c r="CN103" i="3" s="1"/>
  <c r="CR103" i="3" s="1"/>
  <c r="CV103" i="3" s="1"/>
  <c r="EU103" i="3"/>
  <c r="CF4" i="3"/>
  <c r="CJ4" i="3" s="1"/>
  <c r="CN4" i="3" s="1"/>
  <c r="CR4" i="3" s="1"/>
  <c r="CV4" i="3" s="1"/>
  <c r="EU4" i="3"/>
  <c r="CF161" i="3"/>
  <c r="CJ161" i="3" s="1"/>
  <c r="CN161" i="3" s="1"/>
  <c r="CR161" i="3" s="1"/>
  <c r="CV161" i="3" s="1"/>
  <c r="EU161" i="3"/>
  <c r="CF168" i="3"/>
  <c r="CJ168" i="3" s="1"/>
  <c r="CN168" i="3" s="1"/>
  <c r="CR168" i="3" s="1"/>
  <c r="CV168" i="3" s="1"/>
  <c r="EU168" i="3"/>
  <c r="CF13" i="3"/>
  <c r="CJ13" i="3" s="1"/>
  <c r="CN13" i="3" s="1"/>
  <c r="CR13" i="3" s="1"/>
  <c r="CV13" i="3" s="1"/>
  <c r="EU13" i="3"/>
  <c r="EV161" i="3" l="1"/>
  <c r="EV67" i="3"/>
  <c r="CF183" i="3"/>
  <c r="CJ183" i="3" s="1"/>
  <c r="CN183" i="3" s="1"/>
  <c r="CR183" i="3" s="1"/>
  <c r="CV183" i="3" s="1"/>
  <c r="EU183" i="3"/>
  <c r="EV15" i="3"/>
  <c r="EV89" i="3"/>
  <c r="EV63" i="3"/>
  <c r="EV143" i="3"/>
  <c r="EV45" i="3"/>
  <c r="EV33" i="3"/>
  <c r="EV194" i="3"/>
  <c r="CF179" i="3"/>
  <c r="CJ179" i="3" s="1"/>
  <c r="CN179" i="3" s="1"/>
  <c r="CR179" i="3" s="1"/>
  <c r="CV179" i="3" s="1"/>
  <c r="EU179" i="3"/>
  <c r="EV60" i="3"/>
  <c r="EV122" i="3"/>
  <c r="EV171" i="3"/>
  <c r="EV21" i="3"/>
  <c r="EV59" i="3"/>
  <c r="EV92" i="3"/>
  <c r="EV160" i="3"/>
  <c r="EV172" i="3"/>
  <c r="EV155" i="3"/>
  <c r="EV151" i="3"/>
  <c r="CF185" i="3"/>
  <c r="CJ185" i="3" s="1"/>
  <c r="CN185" i="3" s="1"/>
  <c r="CR185" i="3" s="1"/>
  <c r="CV185" i="3" s="1"/>
  <c r="EU185" i="3"/>
  <c r="EV74" i="3"/>
  <c r="EV107" i="3"/>
  <c r="EV73" i="3"/>
  <c r="EV86" i="3"/>
  <c r="EV166" i="3"/>
  <c r="EV42" i="3"/>
  <c r="EV25" i="3"/>
  <c r="EV187" i="3"/>
  <c r="EV36" i="3"/>
  <c r="EV129" i="3"/>
  <c r="EV116" i="3"/>
  <c r="EV118" i="3"/>
  <c r="EV80" i="3"/>
  <c r="EV138" i="3"/>
  <c r="EV169" i="3"/>
  <c r="EV6" i="3"/>
  <c r="CJ3" i="3"/>
  <c r="EV3" i="3"/>
  <c r="EV113" i="3"/>
  <c r="EV8" i="3"/>
  <c r="EV19" i="3"/>
  <c r="EV149" i="3"/>
  <c r="EV157" i="3"/>
  <c r="EV49" i="3"/>
  <c r="EV102" i="3"/>
  <c r="EV117" i="3"/>
  <c r="EV56" i="3"/>
  <c r="EV27" i="3"/>
  <c r="CF176" i="3"/>
  <c r="CJ176" i="3" s="1"/>
  <c r="CN176" i="3" s="1"/>
  <c r="CR176" i="3" s="1"/>
  <c r="CV176" i="3" s="1"/>
  <c r="EU176" i="3"/>
  <c r="EV131" i="3"/>
  <c r="EV85" i="3"/>
  <c r="CF186" i="3"/>
  <c r="CJ186" i="3" s="1"/>
  <c r="CN186" i="3" s="1"/>
  <c r="CR186" i="3" s="1"/>
  <c r="CV186" i="3" s="1"/>
  <c r="EU186" i="3"/>
  <c r="EV58" i="3"/>
  <c r="EV150" i="3"/>
  <c r="EV142" i="3"/>
  <c r="EV69" i="3"/>
  <c r="EV83" i="3"/>
  <c r="EV191" i="3"/>
  <c r="CF181" i="3"/>
  <c r="CJ181" i="3" s="1"/>
  <c r="CN181" i="3" s="1"/>
  <c r="CR181" i="3" s="1"/>
  <c r="CV181" i="3" s="1"/>
  <c r="EU181" i="3"/>
  <c r="CF175" i="3"/>
  <c r="CJ175" i="3" s="1"/>
  <c r="CN175" i="3" s="1"/>
  <c r="CR175" i="3" s="1"/>
  <c r="CV175" i="3" s="1"/>
  <c r="EU175" i="3"/>
  <c r="EV139" i="3"/>
  <c r="EV133" i="3"/>
  <c r="EV43" i="3"/>
  <c r="EV91" i="3"/>
  <c r="CF180" i="3"/>
  <c r="CJ180" i="3" s="1"/>
  <c r="CN180" i="3" s="1"/>
  <c r="CR180" i="3" s="1"/>
  <c r="CV180" i="3" s="1"/>
  <c r="EU180" i="3"/>
  <c r="EV20" i="3"/>
  <c r="CF182" i="3"/>
  <c r="CJ182" i="3" s="1"/>
  <c r="CN182" i="3" s="1"/>
  <c r="CR182" i="3" s="1"/>
  <c r="CV182" i="3" s="1"/>
  <c r="EU182" i="3"/>
  <c r="EV44" i="3"/>
  <c r="EV108" i="3"/>
  <c r="EV55" i="3"/>
  <c r="EV202" i="3"/>
  <c r="EV120" i="3"/>
  <c r="EV193" i="3"/>
  <c r="EV7" i="3"/>
  <c r="EV105" i="3"/>
  <c r="EV190" i="3"/>
  <c r="EV62" i="3"/>
  <c r="EV101" i="3"/>
  <c r="EV39" i="3"/>
  <c r="EV17" i="3"/>
  <c r="EV84" i="3"/>
  <c r="EV9" i="3"/>
  <c r="EV135" i="3"/>
  <c r="EV162" i="3"/>
  <c r="EV147" i="3"/>
  <c r="EV130" i="3"/>
  <c r="EV104" i="3"/>
  <c r="EV54" i="3"/>
  <c r="EV90" i="3"/>
  <c r="EV71" i="3"/>
  <c r="EV153" i="3"/>
  <c r="EV65" i="3"/>
  <c r="EV22" i="3"/>
  <c r="EV189" i="3"/>
  <c r="EV13" i="3"/>
  <c r="EV103" i="3"/>
  <c r="EV50" i="3"/>
  <c r="EV199" i="3"/>
  <c r="EV70" i="3"/>
  <c r="EV94" i="3"/>
  <c r="EV96" i="3"/>
  <c r="EV28" i="3"/>
  <c r="EV168" i="3"/>
  <c r="EV4" i="3"/>
  <c r="EV167" i="3"/>
  <c r="EV76" i="3"/>
  <c r="EV24" i="3"/>
  <c r="EV11" i="3"/>
  <c r="EV188" i="3"/>
  <c r="EV51" i="3"/>
  <c r="EV81" i="3"/>
  <c r="EV164" i="3"/>
  <c r="EV159" i="3"/>
  <c r="EV192" i="3"/>
  <c r="EV137" i="3"/>
  <c r="EV125" i="3"/>
  <c r="EV158" i="3"/>
  <c r="EV145" i="3"/>
  <c r="EV68" i="3"/>
  <c r="EV111" i="3"/>
  <c r="EV75" i="3"/>
  <c r="EV32" i="3"/>
  <c r="EV31" i="3"/>
  <c r="EV154" i="3"/>
  <c r="EV14" i="3"/>
  <c r="EV146" i="3"/>
  <c r="EV201" i="3"/>
  <c r="EV132" i="3"/>
  <c r="EV40" i="3"/>
  <c r="EV38" i="3"/>
  <c r="EV26" i="3"/>
  <c r="EV106" i="3"/>
  <c r="EV148" i="3"/>
  <c r="CF178" i="3"/>
  <c r="CJ178" i="3" s="1"/>
  <c r="CN178" i="3" s="1"/>
  <c r="CR178" i="3" s="1"/>
  <c r="CV178" i="3" s="1"/>
  <c r="EU178" i="3"/>
  <c r="EV77" i="3"/>
  <c r="EV93" i="3"/>
  <c r="EV123" i="3"/>
  <c r="EV134" i="3"/>
  <c r="EV141" i="3"/>
  <c r="EV109" i="3"/>
  <c r="EV128" i="3"/>
  <c r="EV29" i="3"/>
  <c r="EV23" i="3"/>
  <c r="EV119" i="3"/>
  <c r="EV35" i="3"/>
  <c r="EV112" i="3"/>
  <c r="EV10" i="3"/>
  <c r="EV52" i="3"/>
  <c r="EV136" i="3"/>
  <c r="EV99" i="3"/>
  <c r="EV88" i="3"/>
  <c r="EV197" i="3"/>
  <c r="EV100" i="3"/>
  <c r="EV152" i="3"/>
  <c r="EV53" i="3"/>
  <c r="EV66" i="3"/>
  <c r="EV195" i="3"/>
  <c r="EV41" i="3"/>
  <c r="EV173" i="3"/>
  <c r="EV18" i="3"/>
  <c r="EV121" i="3"/>
  <c r="EV124" i="3"/>
  <c r="EV30" i="3"/>
  <c r="EV72" i="3"/>
  <c r="EV37" i="3"/>
  <c r="EV78" i="3"/>
  <c r="EV110" i="3"/>
  <c r="EV87" i="3"/>
  <c r="EV163" i="3"/>
  <c r="EV170" i="3"/>
  <c r="EV196" i="3"/>
  <c r="EV126" i="3"/>
  <c r="EV61" i="3"/>
  <c r="EV34" i="3"/>
  <c r="EV200" i="3"/>
  <c r="EV98" i="3"/>
  <c r="EV5" i="3"/>
  <c r="EV127" i="3"/>
  <c r="EV156" i="3"/>
  <c r="CF184" i="3"/>
  <c r="CJ184" i="3" s="1"/>
  <c r="CN184" i="3" s="1"/>
  <c r="CR184" i="3" s="1"/>
  <c r="CV184" i="3" s="1"/>
  <c r="EU184" i="3"/>
  <c r="EV48" i="3"/>
  <c r="EV47" i="3"/>
  <c r="EV165" i="3"/>
  <c r="EV114" i="3"/>
  <c r="CF174" i="3"/>
  <c r="CJ174" i="3" s="1"/>
  <c r="CN174" i="3" s="1"/>
  <c r="CR174" i="3" s="1"/>
  <c r="CV174" i="3" s="1"/>
  <c r="EU174" i="3"/>
  <c r="EV115" i="3"/>
  <c r="EV64" i="3"/>
  <c r="EV12" i="3"/>
  <c r="EV95" i="3"/>
  <c r="EV16" i="3"/>
  <c r="EV46" i="3"/>
  <c r="EV79" i="3"/>
  <c r="EV57" i="3"/>
  <c r="EV82" i="3"/>
  <c r="EV198" i="3"/>
  <c r="CF177" i="3"/>
  <c r="CJ177" i="3" s="1"/>
  <c r="CN177" i="3" s="1"/>
  <c r="CR177" i="3" s="1"/>
  <c r="CV177" i="3" s="1"/>
  <c r="EU177" i="3"/>
  <c r="EV140" i="3"/>
  <c r="EV144" i="3"/>
  <c r="EW82" i="3" l="1"/>
  <c r="EW144" i="3"/>
  <c r="EW16" i="3"/>
  <c r="EW115" i="3"/>
  <c r="EW47" i="3"/>
  <c r="EW98" i="3"/>
  <c r="EW126" i="3"/>
  <c r="EW87" i="3"/>
  <c r="EW72" i="3"/>
  <c r="EW18" i="3"/>
  <c r="EW66" i="3"/>
  <c r="EW197" i="3"/>
  <c r="EW52" i="3"/>
  <c r="EW119" i="3"/>
  <c r="EW109" i="3"/>
  <c r="EW93" i="3"/>
  <c r="EW38" i="3"/>
  <c r="EW146" i="3"/>
  <c r="EW32" i="3"/>
  <c r="EW145" i="3"/>
  <c r="EW164" i="3"/>
  <c r="EW11" i="3"/>
  <c r="EW4" i="3"/>
  <c r="EW94" i="3"/>
  <c r="EW103" i="3"/>
  <c r="EW65" i="3"/>
  <c r="EW54" i="3"/>
  <c r="EW9" i="3"/>
  <c r="EW101" i="3"/>
  <c r="EW7" i="3"/>
  <c r="EW20" i="3"/>
  <c r="EW133" i="3"/>
  <c r="EW191" i="3"/>
  <c r="EW150" i="3"/>
  <c r="EW131" i="3"/>
  <c r="EW157" i="3"/>
  <c r="EW113" i="3"/>
  <c r="EW138" i="3"/>
  <c r="EW129" i="3"/>
  <c r="EW42" i="3"/>
  <c r="EW86" i="3"/>
  <c r="EV185" i="3"/>
  <c r="EW155" i="3"/>
  <c r="EW160" i="3"/>
  <c r="EW171" i="3"/>
  <c r="EW60" i="3"/>
  <c r="EW194" i="3"/>
  <c r="EW45" i="3"/>
  <c r="EW63" i="3"/>
  <c r="EW15" i="3"/>
  <c r="EW195" i="3"/>
  <c r="EW26" i="3"/>
  <c r="EW31" i="3"/>
  <c r="EW81" i="3"/>
  <c r="EW24" i="3"/>
  <c r="EW56" i="3"/>
  <c r="EW8" i="3"/>
  <c r="EW36" i="3"/>
  <c r="EW21" i="3"/>
  <c r="EW67" i="3"/>
  <c r="EW29" i="3"/>
  <c r="EV177" i="3"/>
  <c r="EW79" i="3"/>
  <c r="EW12" i="3"/>
  <c r="EW114" i="3"/>
  <c r="EV184" i="3"/>
  <c r="EW127" i="3"/>
  <c r="EW34" i="3"/>
  <c r="EW170" i="3"/>
  <c r="EW78" i="3"/>
  <c r="EW124" i="3"/>
  <c r="EW41" i="3"/>
  <c r="EW152" i="3"/>
  <c r="EW99" i="3"/>
  <c r="EW134" i="3"/>
  <c r="EV178" i="3"/>
  <c r="EW106" i="3"/>
  <c r="EW132" i="3"/>
  <c r="EW154" i="3"/>
  <c r="EW111" i="3"/>
  <c r="EW125" i="3"/>
  <c r="EW192" i="3"/>
  <c r="EW51" i="3"/>
  <c r="EW76" i="3"/>
  <c r="EW28" i="3"/>
  <c r="EW199" i="3"/>
  <c r="EW189" i="3"/>
  <c r="EW71" i="3"/>
  <c r="EW130" i="3"/>
  <c r="EW162" i="3"/>
  <c r="EW17" i="3"/>
  <c r="EW190" i="3"/>
  <c r="EW120" i="3"/>
  <c r="EW44" i="3"/>
  <c r="EV175" i="3"/>
  <c r="EW69" i="3"/>
  <c r="EV186" i="3"/>
  <c r="EW27" i="3"/>
  <c r="EW102" i="3"/>
  <c r="EW19" i="3"/>
  <c r="EW6" i="3"/>
  <c r="EW118" i="3"/>
  <c r="EW187" i="3"/>
  <c r="EW107" i="3"/>
  <c r="EW140" i="3"/>
  <c r="EW198" i="3"/>
  <c r="EW57" i="3"/>
  <c r="EW46" i="3"/>
  <c r="EW95" i="3"/>
  <c r="EW64" i="3"/>
  <c r="EV174" i="3"/>
  <c r="EW165" i="3"/>
  <c r="EW48" i="3"/>
  <c r="EW156" i="3"/>
  <c r="EW5" i="3"/>
  <c r="EW200" i="3"/>
  <c r="EW61" i="3"/>
  <c r="EW196" i="3"/>
  <c r="EW163" i="3"/>
  <c r="EW110" i="3"/>
  <c r="EW37" i="3"/>
  <c r="EW30" i="3"/>
  <c r="EW121" i="3"/>
  <c r="EW173" i="3"/>
  <c r="EW53" i="3"/>
  <c r="EW100" i="3"/>
  <c r="EW88" i="3"/>
  <c r="EW136" i="3"/>
  <c r="EW10" i="3"/>
  <c r="EW35" i="3"/>
  <c r="EW23" i="3"/>
  <c r="EW128" i="3"/>
  <c r="EW141" i="3"/>
  <c r="EW123" i="3"/>
  <c r="EW77" i="3"/>
  <c r="EW148" i="3"/>
  <c r="EW40" i="3"/>
  <c r="EW201" i="3"/>
  <c r="EW14" i="3"/>
  <c r="EW75" i="3"/>
  <c r="EW68" i="3"/>
  <c r="EW158" i="3"/>
  <c r="EW137" i="3"/>
  <c r="EW159" i="3"/>
  <c r="EW188" i="3"/>
  <c r="EW167" i="3"/>
  <c r="EW168" i="3"/>
  <c r="EW96" i="3"/>
  <c r="EW70" i="3"/>
  <c r="EW50" i="3"/>
  <c r="EW13" i="3"/>
  <c r="EW22" i="3"/>
  <c r="EW153" i="3"/>
  <c r="EW90" i="3"/>
  <c r="EW104" i="3"/>
  <c r="EW147" i="3"/>
  <c r="EW135" i="3"/>
  <c r="EW84" i="3"/>
  <c r="EW39" i="3"/>
  <c r="EW62" i="3"/>
  <c r="EW105" i="3"/>
  <c r="EW193" i="3"/>
  <c r="EW202" i="3"/>
  <c r="EW108" i="3"/>
  <c r="EV182" i="3"/>
  <c r="EV180" i="3"/>
  <c r="EW43" i="3"/>
  <c r="EW139" i="3"/>
  <c r="EV181" i="3"/>
  <c r="EW83" i="3"/>
  <c r="EW142" i="3"/>
  <c r="EW58" i="3"/>
  <c r="EW85" i="3"/>
  <c r="EV176" i="3"/>
  <c r="EW117" i="3"/>
  <c r="EW49" i="3"/>
  <c r="EW149" i="3"/>
  <c r="EW3" i="3"/>
  <c r="CN3" i="3"/>
  <c r="EW169" i="3"/>
  <c r="EW80" i="3"/>
  <c r="EW116" i="3"/>
  <c r="EW25" i="3"/>
  <c r="EW166" i="3"/>
  <c r="EW73" i="3"/>
  <c r="EW74" i="3"/>
  <c r="EW151" i="3"/>
  <c r="EW172" i="3"/>
  <c r="EW92" i="3"/>
  <c r="EW122" i="3"/>
  <c r="EV179" i="3"/>
  <c r="EW33" i="3"/>
  <c r="EW143" i="3"/>
  <c r="EW89" i="3"/>
  <c r="EW112" i="3"/>
  <c r="EW55" i="3"/>
  <c r="EW91" i="3"/>
  <c r="EW59" i="3"/>
  <c r="EV183" i="3"/>
  <c r="EW161" i="3"/>
  <c r="EX169" i="3" l="1"/>
  <c r="EX85" i="3"/>
  <c r="EX153" i="3"/>
  <c r="EX168" i="3"/>
  <c r="EX137" i="3"/>
  <c r="EX77" i="3"/>
  <c r="EX10" i="3"/>
  <c r="EX53" i="3"/>
  <c r="EX163" i="3"/>
  <c r="EW174" i="3"/>
  <c r="EX187" i="3"/>
  <c r="EW175" i="3"/>
  <c r="EX130" i="3"/>
  <c r="EX51" i="3"/>
  <c r="EX154" i="3"/>
  <c r="EX152" i="3"/>
  <c r="EX170" i="3"/>
  <c r="EX79" i="3"/>
  <c r="EX8" i="3"/>
  <c r="EX195" i="3"/>
  <c r="EX9" i="3"/>
  <c r="EX119" i="3"/>
  <c r="EX18" i="3"/>
  <c r="EX112" i="3"/>
  <c r="EX92" i="3"/>
  <c r="EX25" i="3"/>
  <c r="EX80" i="3"/>
  <c r="EX3" i="3"/>
  <c r="CR3" i="3"/>
  <c r="EX58" i="3"/>
  <c r="EX83" i="3"/>
  <c r="EX108" i="3"/>
  <c r="EX62" i="3"/>
  <c r="EX22" i="3"/>
  <c r="EX50" i="3"/>
  <c r="EX75" i="3"/>
  <c r="EX100" i="3"/>
  <c r="EX30" i="3"/>
  <c r="EX110" i="3"/>
  <c r="EX200" i="3"/>
  <c r="EX46" i="3"/>
  <c r="EX198" i="3"/>
  <c r="EX27" i="3"/>
  <c r="EX69" i="3"/>
  <c r="EX44" i="3"/>
  <c r="EX190" i="3"/>
  <c r="EX71" i="3"/>
  <c r="EX192" i="3"/>
  <c r="EX111" i="3"/>
  <c r="EX99" i="3"/>
  <c r="EX41" i="3"/>
  <c r="EX78" i="3"/>
  <c r="EX12" i="3"/>
  <c r="EX67" i="3"/>
  <c r="EX36" i="3"/>
  <c r="EX63" i="3"/>
  <c r="EX171" i="3"/>
  <c r="EX155" i="3"/>
  <c r="EX86" i="3"/>
  <c r="EX129" i="3"/>
  <c r="EX150" i="3"/>
  <c r="EX133" i="3"/>
  <c r="EX11" i="3"/>
  <c r="EX145" i="3"/>
  <c r="EX146" i="3"/>
  <c r="EX93" i="3"/>
  <c r="EX87" i="3"/>
  <c r="EX115" i="3"/>
  <c r="EX144" i="3"/>
  <c r="EX122" i="3"/>
  <c r="EX166" i="3"/>
  <c r="EX149" i="3"/>
  <c r="EX142" i="3"/>
  <c r="EW182" i="3"/>
  <c r="EX135" i="3"/>
  <c r="EX141" i="3"/>
  <c r="EX5" i="3"/>
  <c r="EX95" i="3"/>
  <c r="EX140" i="3"/>
  <c r="EW186" i="3"/>
  <c r="EX106" i="3"/>
  <c r="EX124" i="3"/>
  <c r="EX31" i="3"/>
  <c r="EX194" i="3"/>
  <c r="EX113" i="3"/>
  <c r="EX7" i="3"/>
  <c r="EX94" i="3"/>
  <c r="EX197" i="3"/>
  <c r="EX98" i="3"/>
  <c r="EX91" i="3"/>
  <c r="EW179" i="3"/>
  <c r="EX73" i="3"/>
  <c r="EX49" i="3"/>
  <c r="EW180" i="3"/>
  <c r="EX90" i="3"/>
  <c r="EX159" i="3"/>
  <c r="EX201" i="3"/>
  <c r="EX128" i="3"/>
  <c r="EX136" i="3"/>
  <c r="EX173" i="3"/>
  <c r="EX196" i="3"/>
  <c r="EX156" i="3"/>
  <c r="EX165" i="3"/>
  <c r="EX107" i="3"/>
  <c r="EX118" i="3"/>
  <c r="EX19" i="3"/>
  <c r="EX162" i="3"/>
  <c r="EX199" i="3"/>
  <c r="EX76" i="3"/>
  <c r="EX132" i="3"/>
  <c r="EW178" i="3"/>
  <c r="EX34" i="3"/>
  <c r="EW184" i="3"/>
  <c r="EW177" i="3"/>
  <c r="EX56" i="3"/>
  <c r="EX81" i="3"/>
  <c r="EX26" i="3"/>
  <c r="EX15" i="3"/>
  <c r="EX45" i="3"/>
  <c r="EX60" i="3"/>
  <c r="EX191" i="3"/>
  <c r="EX20" i="3"/>
  <c r="EX101" i="3"/>
  <c r="EX54" i="3"/>
  <c r="EX103" i="3"/>
  <c r="EX4" i="3"/>
  <c r="EX38" i="3"/>
  <c r="EX109" i="3"/>
  <c r="EX52" i="3"/>
  <c r="EX66" i="3"/>
  <c r="EX72" i="3"/>
  <c r="EX16" i="3"/>
  <c r="EX82" i="3"/>
  <c r="EX161" i="3"/>
  <c r="EX172" i="3"/>
  <c r="EW181" i="3"/>
  <c r="EX202" i="3"/>
  <c r="EX39" i="3"/>
  <c r="EX121" i="3"/>
  <c r="EX48" i="3"/>
  <c r="EX189" i="3"/>
  <c r="EX125" i="3"/>
  <c r="EX134" i="3"/>
  <c r="EX127" i="3"/>
  <c r="EX24" i="3"/>
  <c r="EX65" i="3"/>
  <c r="EW183" i="3"/>
  <c r="EX143" i="3"/>
  <c r="EX151" i="3"/>
  <c r="EW176" i="3"/>
  <c r="EX139" i="3"/>
  <c r="EX193" i="3"/>
  <c r="EX84" i="3"/>
  <c r="EX147" i="3"/>
  <c r="EX96" i="3"/>
  <c r="EX167" i="3"/>
  <c r="EX158" i="3"/>
  <c r="EX148" i="3"/>
  <c r="EX123" i="3"/>
  <c r="EX35" i="3"/>
  <c r="EX64" i="3"/>
  <c r="EX59" i="3"/>
  <c r="EX55" i="3"/>
  <c r="EX89" i="3"/>
  <c r="EX33" i="3"/>
  <c r="EX74" i="3"/>
  <c r="EX116" i="3"/>
  <c r="EX117" i="3"/>
  <c r="EX43" i="3"/>
  <c r="EX105" i="3"/>
  <c r="EX104" i="3"/>
  <c r="EX13" i="3"/>
  <c r="EX70" i="3"/>
  <c r="EX188" i="3"/>
  <c r="EX68" i="3"/>
  <c r="EX14" i="3"/>
  <c r="EX40" i="3"/>
  <c r="EX23" i="3"/>
  <c r="EX88" i="3"/>
  <c r="EX37" i="3"/>
  <c r="EX61" i="3"/>
  <c r="EX57" i="3"/>
  <c r="EX6" i="3"/>
  <c r="EX102" i="3"/>
  <c r="EX120" i="3"/>
  <c r="EX17" i="3"/>
  <c r="EX28" i="3"/>
  <c r="EX114" i="3"/>
  <c r="EX29" i="3"/>
  <c r="EX21" i="3"/>
  <c r="EX160" i="3"/>
  <c r="EW185" i="3"/>
  <c r="EX42" i="3"/>
  <c r="EX138" i="3"/>
  <c r="EX157" i="3"/>
  <c r="EX131" i="3"/>
  <c r="EX164" i="3"/>
  <c r="EX32" i="3"/>
  <c r="EX126" i="3"/>
  <c r="EX47" i="3"/>
  <c r="EY138" i="3" l="1"/>
  <c r="EY17" i="3"/>
  <c r="EY13" i="3"/>
  <c r="EY147" i="3"/>
  <c r="EX176" i="3"/>
  <c r="EY48" i="3"/>
  <c r="EY16" i="3"/>
  <c r="EY54" i="3"/>
  <c r="EY19" i="3"/>
  <c r="EY91" i="3"/>
  <c r="EY12" i="3"/>
  <c r="EY111" i="3"/>
  <c r="EY62" i="3"/>
  <c r="CV3" i="3"/>
  <c r="EY3" i="3"/>
  <c r="EY112" i="3"/>
  <c r="EY195" i="3"/>
  <c r="EY77" i="3"/>
  <c r="EY6" i="3"/>
  <c r="EY104" i="3"/>
  <c r="EY116" i="3"/>
  <c r="EY143" i="3"/>
  <c r="EY125" i="3"/>
  <c r="EX181" i="3"/>
  <c r="EY161" i="3"/>
  <c r="EY66" i="3"/>
  <c r="EY109" i="3"/>
  <c r="EY60" i="3"/>
  <c r="EY81" i="3"/>
  <c r="EX177" i="3"/>
  <c r="EY132" i="3"/>
  <c r="EY199" i="3"/>
  <c r="EY107" i="3"/>
  <c r="EY156" i="3"/>
  <c r="EY173" i="3"/>
  <c r="EY128" i="3"/>
  <c r="EY159" i="3"/>
  <c r="EX180" i="3"/>
  <c r="EY73" i="3"/>
  <c r="EY197" i="3"/>
  <c r="EY7" i="3"/>
  <c r="EY194" i="3"/>
  <c r="EY124" i="3"/>
  <c r="EX186" i="3"/>
  <c r="EY141" i="3"/>
  <c r="EX182" i="3"/>
  <c r="EY149" i="3"/>
  <c r="EY115" i="3"/>
  <c r="EY93" i="3"/>
  <c r="EY145" i="3"/>
  <c r="EY133" i="3"/>
  <c r="EY86" i="3"/>
  <c r="EY171" i="3"/>
  <c r="EY36" i="3"/>
  <c r="EY71" i="3"/>
  <c r="EY44" i="3"/>
  <c r="EY46" i="3"/>
  <c r="EY110" i="3"/>
  <c r="EY100" i="3"/>
  <c r="EY50" i="3"/>
  <c r="EY79" i="3"/>
  <c r="EY152" i="3"/>
  <c r="EY51" i="3"/>
  <c r="EX175" i="3"/>
  <c r="EX174" i="3"/>
  <c r="EY168" i="3"/>
  <c r="EY85" i="3"/>
  <c r="EY32" i="3"/>
  <c r="EY21" i="3"/>
  <c r="EY57" i="3"/>
  <c r="CZ14" i="3"/>
  <c r="EY14" i="3"/>
  <c r="EY59" i="3"/>
  <c r="EY167" i="3"/>
  <c r="EY193" i="3"/>
  <c r="EY65" i="3"/>
  <c r="EY39" i="3"/>
  <c r="EY4" i="3"/>
  <c r="EY20" i="3"/>
  <c r="EY15" i="3"/>
  <c r="EY34" i="3"/>
  <c r="EY95" i="3"/>
  <c r="EY122" i="3"/>
  <c r="EY41" i="3"/>
  <c r="EY27" i="3"/>
  <c r="EY83" i="3"/>
  <c r="EY25" i="3"/>
  <c r="EY119" i="3"/>
  <c r="EY53" i="3"/>
  <c r="EY28" i="3"/>
  <c r="EY120" i="3"/>
  <c r="EY61" i="3"/>
  <c r="EY40" i="3"/>
  <c r="EY127" i="3"/>
  <c r="EY126" i="3"/>
  <c r="EY164" i="3"/>
  <c r="EY157" i="3"/>
  <c r="EY42" i="3"/>
  <c r="EY160" i="3"/>
  <c r="EY29" i="3"/>
  <c r="EY88" i="3"/>
  <c r="EY68" i="3"/>
  <c r="EY70" i="3"/>
  <c r="EY43" i="3"/>
  <c r="EY33" i="3"/>
  <c r="EY55" i="3"/>
  <c r="EY64" i="3"/>
  <c r="EY123" i="3"/>
  <c r="EY158" i="3"/>
  <c r="EY96" i="3"/>
  <c r="EY84" i="3"/>
  <c r="EY139" i="3"/>
  <c r="EY52" i="3"/>
  <c r="EY38" i="3"/>
  <c r="EY103" i="3"/>
  <c r="EY191" i="3"/>
  <c r="EY26" i="3"/>
  <c r="EY56" i="3"/>
  <c r="EY118" i="3"/>
  <c r="EY165" i="3"/>
  <c r="EY90" i="3"/>
  <c r="EY98" i="3"/>
  <c r="EY94" i="3"/>
  <c r="EY31" i="3"/>
  <c r="EY106" i="3"/>
  <c r="EY87" i="3"/>
  <c r="EY63" i="3"/>
  <c r="EY67" i="3"/>
  <c r="EY78" i="3"/>
  <c r="EY192" i="3"/>
  <c r="EY190" i="3"/>
  <c r="EY75" i="3"/>
  <c r="EY22" i="3"/>
  <c r="EY108" i="3"/>
  <c r="EY18" i="3"/>
  <c r="EY9" i="3"/>
  <c r="EY131" i="3"/>
  <c r="EX185" i="3"/>
  <c r="EY102" i="3"/>
  <c r="EY37" i="3"/>
  <c r="EY188" i="3"/>
  <c r="EY105" i="3"/>
  <c r="EY89" i="3"/>
  <c r="EY148" i="3"/>
  <c r="EY47" i="3"/>
  <c r="EY114" i="3"/>
  <c r="EY23" i="3"/>
  <c r="EY117" i="3"/>
  <c r="EY74" i="3"/>
  <c r="EY35" i="3"/>
  <c r="EY151" i="3"/>
  <c r="EX183" i="3"/>
  <c r="EY24" i="3"/>
  <c r="EY134" i="3"/>
  <c r="EY189" i="3"/>
  <c r="EY121" i="3"/>
  <c r="EY202" i="3"/>
  <c r="EY172" i="3"/>
  <c r="EY82" i="3"/>
  <c r="EY72" i="3"/>
  <c r="EY101" i="3"/>
  <c r="EY45" i="3"/>
  <c r="EX184" i="3"/>
  <c r="EX178" i="3"/>
  <c r="EY76" i="3"/>
  <c r="EY162" i="3"/>
  <c r="EY196" i="3"/>
  <c r="EY136" i="3"/>
  <c r="EY201" i="3"/>
  <c r="EY49" i="3"/>
  <c r="EX179" i="3"/>
  <c r="EY113" i="3"/>
  <c r="EY140" i="3"/>
  <c r="EY5" i="3"/>
  <c r="EY135" i="3"/>
  <c r="EY142" i="3"/>
  <c r="EY166" i="3"/>
  <c r="EY144" i="3"/>
  <c r="EY146" i="3"/>
  <c r="EY11" i="3"/>
  <c r="EY150" i="3"/>
  <c r="EY129" i="3"/>
  <c r="EY155" i="3"/>
  <c r="EY99" i="3"/>
  <c r="EY69" i="3"/>
  <c r="EY198" i="3"/>
  <c r="EY200" i="3"/>
  <c r="EY30" i="3"/>
  <c r="EY58" i="3"/>
  <c r="EY80" i="3"/>
  <c r="EY92" i="3"/>
  <c r="EY8" i="3"/>
  <c r="EY170" i="3"/>
  <c r="EY154" i="3"/>
  <c r="EY130" i="3"/>
  <c r="EY187" i="3"/>
  <c r="EY163" i="3"/>
  <c r="EY10" i="3"/>
  <c r="EY137" i="3"/>
  <c r="EY153" i="3"/>
  <c r="EY169" i="3"/>
  <c r="CZ169" i="3" l="1"/>
  <c r="EZ169" i="3"/>
  <c r="CZ163" i="3"/>
  <c r="EZ163" i="3"/>
  <c r="CZ130" i="3"/>
  <c r="EZ130" i="3"/>
  <c r="CZ170" i="3"/>
  <c r="EZ170" i="3"/>
  <c r="CZ92" i="3"/>
  <c r="EZ92" i="3"/>
  <c r="CZ200" i="3"/>
  <c r="EZ200" i="3"/>
  <c r="CZ69" i="3"/>
  <c r="EZ69" i="3"/>
  <c r="CZ155" i="3"/>
  <c r="EZ155" i="3"/>
  <c r="CZ150" i="3"/>
  <c r="EZ150" i="3"/>
  <c r="CZ146" i="3"/>
  <c r="EZ146" i="3"/>
  <c r="CZ166" i="3"/>
  <c r="EZ166" i="3"/>
  <c r="CZ135" i="3"/>
  <c r="EZ135" i="3"/>
  <c r="CZ140" i="3"/>
  <c r="EZ140" i="3"/>
  <c r="EY179" i="3"/>
  <c r="CZ201" i="3"/>
  <c r="EZ201" i="3"/>
  <c r="EZ196" i="3"/>
  <c r="CZ196" i="3"/>
  <c r="CZ76" i="3"/>
  <c r="EZ76" i="3"/>
  <c r="EY184" i="3"/>
  <c r="CZ101" i="3"/>
  <c r="EZ101" i="3"/>
  <c r="CZ82" i="3"/>
  <c r="EZ82" i="3"/>
  <c r="CZ202" i="3"/>
  <c r="EZ202" i="3"/>
  <c r="CZ189" i="3"/>
  <c r="EZ189" i="3"/>
  <c r="CZ24" i="3"/>
  <c r="EZ24" i="3"/>
  <c r="CZ151" i="3"/>
  <c r="EZ151" i="3"/>
  <c r="CZ74" i="3"/>
  <c r="EZ74" i="3"/>
  <c r="CZ23" i="3"/>
  <c r="EZ23" i="3"/>
  <c r="CZ47" i="3"/>
  <c r="EZ47" i="3"/>
  <c r="EZ89" i="3"/>
  <c r="CZ89" i="3"/>
  <c r="CZ188" i="3"/>
  <c r="EZ188" i="3"/>
  <c r="CZ102" i="3"/>
  <c r="EZ102" i="3"/>
  <c r="CZ131" i="3"/>
  <c r="EZ131" i="3"/>
  <c r="EZ18" i="3"/>
  <c r="CZ18" i="3"/>
  <c r="CZ22" i="3"/>
  <c r="EZ22" i="3"/>
  <c r="CZ190" i="3"/>
  <c r="EZ190" i="3"/>
  <c r="CZ78" i="3"/>
  <c r="EZ78" i="3"/>
  <c r="CZ63" i="3"/>
  <c r="EZ63" i="3"/>
  <c r="EZ106" i="3"/>
  <c r="CZ106" i="3"/>
  <c r="CZ94" i="3"/>
  <c r="EZ94" i="3"/>
  <c r="CZ90" i="3"/>
  <c r="EZ90" i="3"/>
  <c r="CZ118" i="3"/>
  <c r="EZ118" i="3"/>
  <c r="CZ26" i="3"/>
  <c r="EZ26" i="3"/>
  <c r="CZ103" i="3"/>
  <c r="EZ103" i="3"/>
  <c r="CZ52" i="3"/>
  <c r="EZ52" i="3"/>
  <c r="CZ84" i="3"/>
  <c r="EZ84" i="3"/>
  <c r="CZ158" i="3"/>
  <c r="EZ158" i="3"/>
  <c r="CZ64" i="3"/>
  <c r="EZ64" i="3"/>
  <c r="CZ33" i="3"/>
  <c r="EZ33" i="3"/>
  <c r="CZ70" i="3"/>
  <c r="EZ70" i="3"/>
  <c r="CZ88" i="3"/>
  <c r="EZ88" i="3"/>
  <c r="CZ160" i="3"/>
  <c r="EZ160" i="3"/>
  <c r="CZ157" i="3"/>
  <c r="EZ157" i="3"/>
  <c r="CZ126" i="3"/>
  <c r="EZ126" i="3"/>
  <c r="CZ40" i="3"/>
  <c r="EZ40" i="3"/>
  <c r="CZ120" i="3"/>
  <c r="EZ120" i="3"/>
  <c r="CZ53" i="3"/>
  <c r="EZ53" i="3"/>
  <c r="EZ25" i="3"/>
  <c r="CZ25" i="3"/>
  <c r="CZ27" i="3"/>
  <c r="EZ27" i="3"/>
  <c r="CZ95" i="3"/>
  <c r="EZ95" i="3"/>
  <c r="CZ15" i="3"/>
  <c r="EZ15" i="3"/>
  <c r="CZ4" i="3"/>
  <c r="EZ4" i="3"/>
  <c r="CZ65" i="3"/>
  <c r="EZ65" i="3"/>
  <c r="CZ167" i="3"/>
  <c r="EZ167" i="3"/>
  <c r="EZ14" i="3"/>
  <c r="CZ21" i="3"/>
  <c r="EZ21" i="3"/>
  <c r="CZ85" i="3"/>
  <c r="EZ85" i="3"/>
  <c r="EY174" i="3"/>
  <c r="CZ51" i="3"/>
  <c r="EZ51" i="3"/>
  <c r="CZ79" i="3"/>
  <c r="EZ79" i="3"/>
  <c r="CZ73" i="3"/>
  <c r="EZ73" i="3"/>
  <c r="CZ165" i="3"/>
  <c r="EZ165" i="3"/>
  <c r="CZ100" i="3"/>
  <c r="EZ100" i="3"/>
  <c r="CZ46" i="3"/>
  <c r="EZ46" i="3"/>
  <c r="CZ71" i="3"/>
  <c r="EZ71" i="3"/>
  <c r="CZ171" i="3"/>
  <c r="EZ171" i="3"/>
  <c r="CZ133" i="3"/>
  <c r="EZ133" i="3"/>
  <c r="EZ93" i="3"/>
  <c r="CZ93" i="3"/>
  <c r="CZ149" i="3"/>
  <c r="EZ149" i="3"/>
  <c r="CZ141" i="3"/>
  <c r="EZ141" i="3"/>
  <c r="CZ124" i="3"/>
  <c r="EZ124" i="3"/>
  <c r="CZ7" i="3"/>
  <c r="EZ7" i="3"/>
  <c r="CZ159" i="3"/>
  <c r="EZ159" i="3"/>
  <c r="CZ173" i="3"/>
  <c r="EZ173" i="3"/>
  <c r="CZ107" i="3"/>
  <c r="EZ107" i="3"/>
  <c r="CZ132" i="3"/>
  <c r="EZ132" i="3"/>
  <c r="CZ81" i="3"/>
  <c r="EZ81" i="3"/>
  <c r="CZ109" i="3"/>
  <c r="EZ109" i="3"/>
  <c r="CZ161" i="3"/>
  <c r="EZ161" i="3"/>
  <c r="CZ125" i="3"/>
  <c r="EZ125" i="3"/>
  <c r="CZ116" i="3"/>
  <c r="EZ116" i="3"/>
  <c r="CZ6" i="3"/>
  <c r="EZ6" i="3"/>
  <c r="CZ195" i="3"/>
  <c r="EZ195" i="3"/>
  <c r="CZ3" i="3"/>
  <c r="EZ3" i="3"/>
  <c r="CZ111" i="3"/>
  <c r="EZ111" i="3"/>
  <c r="CZ91" i="3"/>
  <c r="EZ91" i="3"/>
  <c r="CZ54" i="3"/>
  <c r="EZ54" i="3"/>
  <c r="CZ48" i="3"/>
  <c r="EZ48" i="3"/>
  <c r="CZ147" i="3"/>
  <c r="EZ147" i="3"/>
  <c r="CZ17" i="3"/>
  <c r="EZ17" i="3"/>
  <c r="CZ153" i="3"/>
  <c r="EZ153" i="3"/>
  <c r="CZ154" i="3"/>
  <c r="EZ154" i="3"/>
  <c r="CZ30" i="3"/>
  <c r="EZ30" i="3"/>
  <c r="CZ99" i="3"/>
  <c r="EZ99" i="3"/>
  <c r="CZ144" i="3"/>
  <c r="EZ144" i="3"/>
  <c r="CZ113" i="3"/>
  <c r="EZ113" i="3"/>
  <c r="CZ136" i="3"/>
  <c r="EZ136" i="3"/>
  <c r="CZ45" i="3"/>
  <c r="EZ45" i="3"/>
  <c r="CZ121" i="3"/>
  <c r="EZ121" i="3"/>
  <c r="EY183" i="3"/>
  <c r="CZ114" i="3"/>
  <c r="EZ114" i="3"/>
  <c r="CZ37" i="3"/>
  <c r="EZ37" i="3"/>
  <c r="CZ9" i="3"/>
  <c r="EZ9" i="3"/>
  <c r="CZ192" i="3"/>
  <c r="EZ192" i="3"/>
  <c r="CZ31" i="3"/>
  <c r="EZ31" i="3"/>
  <c r="CZ38" i="3"/>
  <c r="EZ38" i="3"/>
  <c r="CZ123" i="3"/>
  <c r="EZ123" i="3"/>
  <c r="CZ68" i="3"/>
  <c r="EZ68" i="3"/>
  <c r="CZ164" i="3"/>
  <c r="EZ164" i="3"/>
  <c r="CZ61" i="3"/>
  <c r="EZ61" i="3"/>
  <c r="CZ119" i="3"/>
  <c r="EZ119" i="3"/>
  <c r="CZ41" i="3"/>
  <c r="EZ41" i="3"/>
  <c r="EZ122" i="3"/>
  <c r="CZ122" i="3"/>
  <c r="CZ34" i="3"/>
  <c r="EZ34" i="3"/>
  <c r="CZ20" i="3"/>
  <c r="EZ20" i="3"/>
  <c r="CZ39" i="3"/>
  <c r="EZ39" i="3"/>
  <c r="CZ193" i="3"/>
  <c r="EZ193" i="3"/>
  <c r="CZ59" i="3"/>
  <c r="EZ59" i="3"/>
  <c r="CZ32" i="3"/>
  <c r="EZ32" i="3"/>
  <c r="CZ168" i="3"/>
  <c r="EZ168" i="3"/>
  <c r="EY175" i="3"/>
  <c r="CZ152" i="3"/>
  <c r="EZ152" i="3"/>
  <c r="CZ199" i="3"/>
  <c r="EZ199" i="3"/>
  <c r="CZ137" i="3"/>
  <c r="EZ137" i="3"/>
  <c r="CZ10" i="3"/>
  <c r="EZ10" i="3"/>
  <c r="CZ187" i="3"/>
  <c r="EZ187" i="3"/>
  <c r="EZ8" i="3"/>
  <c r="CZ8" i="3"/>
  <c r="EZ80" i="3"/>
  <c r="CZ80" i="3"/>
  <c r="CZ198" i="3"/>
  <c r="EZ198" i="3"/>
  <c r="CZ129" i="3"/>
  <c r="EZ129" i="3"/>
  <c r="CZ11" i="3"/>
  <c r="EZ11" i="3"/>
  <c r="CZ142" i="3"/>
  <c r="EZ142" i="3"/>
  <c r="EZ5" i="3"/>
  <c r="CZ5" i="3"/>
  <c r="CZ49" i="3"/>
  <c r="EZ49" i="3"/>
  <c r="CZ162" i="3"/>
  <c r="EZ162" i="3"/>
  <c r="EY178" i="3"/>
  <c r="CZ72" i="3"/>
  <c r="EZ72" i="3"/>
  <c r="CZ172" i="3"/>
  <c r="EZ172" i="3"/>
  <c r="CZ134" i="3"/>
  <c r="EZ134" i="3"/>
  <c r="CZ35" i="3"/>
  <c r="EZ35" i="3"/>
  <c r="EZ117" i="3"/>
  <c r="CZ117" i="3"/>
  <c r="CZ148" i="3"/>
  <c r="EZ148" i="3"/>
  <c r="CZ105" i="3"/>
  <c r="EZ105" i="3"/>
  <c r="EY185" i="3"/>
  <c r="EZ108" i="3"/>
  <c r="CZ108" i="3"/>
  <c r="CZ75" i="3"/>
  <c r="EZ75" i="3"/>
  <c r="EZ67" i="3"/>
  <c r="CZ67" i="3"/>
  <c r="CZ87" i="3"/>
  <c r="EZ87" i="3"/>
  <c r="CZ98" i="3"/>
  <c r="EZ98" i="3"/>
  <c r="EZ56" i="3"/>
  <c r="CZ56" i="3"/>
  <c r="CZ191" i="3"/>
  <c r="EZ191" i="3"/>
  <c r="CZ139" i="3"/>
  <c r="EZ139" i="3"/>
  <c r="CZ96" i="3"/>
  <c r="EZ96" i="3"/>
  <c r="CZ55" i="3"/>
  <c r="EZ55" i="3"/>
  <c r="CZ43" i="3"/>
  <c r="EZ43" i="3"/>
  <c r="CZ29" i="3"/>
  <c r="EZ29" i="3"/>
  <c r="CZ42" i="3"/>
  <c r="EZ42" i="3"/>
  <c r="CZ127" i="3"/>
  <c r="EZ127" i="3"/>
  <c r="CZ28" i="3"/>
  <c r="EZ28" i="3"/>
  <c r="CZ83" i="3"/>
  <c r="EZ83" i="3"/>
  <c r="CZ57" i="3"/>
  <c r="EZ57" i="3"/>
  <c r="CZ58" i="3"/>
  <c r="EZ58" i="3"/>
  <c r="CZ50" i="3"/>
  <c r="EZ50" i="3"/>
  <c r="CZ110" i="3"/>
  <c r="EZ110" i="3"/>
  <c r="CZ44" i="3"/>
  <c r="EZ44" i="3"/>
  <c r="CZ36" i="3"/>
  <c r="EZ36" i="3"/>
  <c r="CZ86" i="3"/>
  <c r="EZ86" i="3"/>
  <c r="CZ145" i="3"/>
  <c r="EZ145" i="3"/>
  <c r="CZ115" i="3"/>
  <c r="EZ115" i="3"/>
  <c r="EY182" i="3"/>
  <c r="EY186" i="3"/>
  <c r="EZ194" i="3"/>
  <c r="CZ194" i="3"/>
  <c r="CZ197" i="3"/>
  <c r="EZ197" i="3"/>
  <c r="EY180" i="3"/>
  <c r="CZ128" i="3"/>
  <c r="EZ128" i="3"/>
  <c r="CZ156" i="3"/>
  <c r="EZ156" i="3"/>
  <c r="EY177" i="3"/>
  <c r="CZ60" i="3"/>
  <c r="EZ60" i="3"/>
  <c r="EZ66" i="3"/>
  <c r="CZ66" i="3"/>
  <c r="EY181" i="3"/>
  <c r="CZ143" i="3"/>
  <c r="EZ143" i="3"/>
  <c r="CZ104" i="3"/>
  <c r="EZ104" i="3"/>
  <c r="CZ77" i="3"/>
  <c r="EZ77" i="3"/>
  <c r="CZ112" i="3"/>
  <c r="EZ112" i="3"/>
  <c r="CZ62" i="3"/>
  <c r="EZ62" i="3"/>
  <c r="CZ12" i="3"/>
  <c r="EZ12" i="3"/>
  <c r="EZ19" i="3"/>
  <c r="CZ19" i="3"/>
  <c r="CZ16" i="3"/>
  <c r="EZ16" i="3"/>
  <c r="EY176" i="3"/>
  <c r="CZ13" i="3"/>
  <c r="EZ13" i="3"/>
  <c r="CZ138" i="3"/>
  <c r="EZ138" i="3"/>
  <c r="DD67" i="3" l="1"/>
  <c r="FA67" i="3"/>
  <c r="DD117" i="3"/>
  <c r="FA117" i="3"/>
  <c r="DD122" i="3"/>
  <c r="FA122" i="3"/>
  <c r="CZ174" i="3"/>
  <c r="EZ174" i="3"/>
  <c r="FA21" i="3"/>
  <c r="DD21" i="3"/>
  <c r="DD4" i="3"/>
  <c r="FA4" i="3"/>
  <c r="FA95" i="3"/>
  <c r="DD95" i="3"/>
  <c r="FA53" i="3"/>
  <c r="DD53" i="3"/>
  <c r="DD40" i="3"/>
  <c r="FA40" i="3"/>
  <c r="DD157" i="3"/>
  <c r="FA157" i="3"/>
  <c r="DD33" i="3"/>
  <c r="FA33" i="3"/>
  <c r="DD158" i="3"/>
  <c r="FA158" i="3"/>
  <c r="FA52" i="3"/>
  <c r="DD52" i="3"/>
  <c r="DD26" i="3"/>
  <c r="FA26" i="3"/>
  <c r="DD90" i="3"/>
  <c r="FA90" i="3"/>
  <c r="FA78" i="3"/>
  <c r="DD78" i="3"/>
  <c r="DD22" i="3"/>
  <c r="FA22" i="3"/>
  <c r="DD131" i="3"/>
  <c r="FA131" i="3"/>
  <c r="DD47" i="3"/>
  <c r="FA47" i="3"/>
  <c r="DD74" i="3"/>
  <c r="FA74" i="3"/>
  <c r="DD24" i="3"/>
  <c r="FA24" i="3"/>
  <c r="DD202" i="3"/>
  <c r="FA202" i="3"/>
  <c r="FA76" i="3"/>
  <c r="DD76" i="3"/>
  <c r="DD201" i="3"/>
  <c r="FA201" i="3"/>
  <c r="DD140" i="3"/>
  <c r="FA140" i="3"/>
  <c r="DD166" i="3"/>
  <c r="FA166" i="3"/>
  <c r="DD150" i="3"/>
  <c r="FA150" i="3"/>
  <c r="DD69" i="3"/>
  <c r="FA69" i="3"/>
  <c r="DD130" i="3"/>
  <c r="FA130" i="3"/>
  <c r="DD169" i="3"/>
  <c r="FA169" i="3"/>
  <c r="DD138" i="3"/>
  <c r="FA138" i="3"/>
  <c r="DD62" i="3"/>
  <c r="FA62" i="3"/>
  <c r="DD77" i="3"/>
  <c r="FA77" i="3"/>
  <c r="DD143" i="3"/>
  <c r="FA143" i="3"/>
  <c r="CZ177" i="3"/>
  <c r="EZ177" i="3"/>
  <c r="DD128" i="3"/>
  <c r="FA128" i="3"/>
  <c r="DD197" i="3"/>
  <c r="FA197" i="3"/>
  <c r="CZ186" i="3"/>
  <c r="EZ186" i="3"/>
  <c r="FA115" i="3"/>
  <c r="DD115" i="3"/>
  <c r="DD86" i="3"/>
  <c r="FA86" i="3"/>
  <c r="FA44" i="3"/>
  <c r="DD44" i="3"/>
  <c r="DD50" i="3"/>
  <c r="FA50" i="3"/>
  <c r="DD57" i="3"/>
  <c r="FA57" i="3"/>
  <c r="DD28" i="3"/>
  <c r="FA28" i="3"/>
  <c r="DD42" i="3"/>
  <c r="FA42" i="3"/>
  <c r="DD43" i="3"/>
  <c r="FA43" i="3"/>
  <c r="DD96" i="3"/>
  <c r="FA96" i="3"/>
  <c r="DD191" i="3"/>
  <c r="FA191" i="3"/>
  <c r="FA98" i="3"/>
  <c r="DD98" i="3"/>
  <c r="DD105" i="3"/>
  <c r="FA105" i="3"/>
  <c r="DD134" i="3"/>
  <c r="FA134" i="3"/>
  <c r="DD72" i="3"/>
  <c r="FA72" i="3"/>
  <c r="DD162" i="3"/>
  <c r="FA162" i="3"/>
  <c r="DD11" i="3"/>
  <c r="FA11" i="3"/>
  <c r="DD198" i="3"/>
  <c r="FA198" i="3"/>
  <c r="DD10" i="3"/>
  <c r="FA10" i="3"/>
  <c r="FA199" i="3"/>
  <c r="DD199" i="3"/>
  <c r="CZ175" i="3"/>
  <c r="EZ175" i="3"/>
  <c r="FA32" i="3"/>
  <c r="DD32" i="3"/>
  <c r="FA193" i="3"/>
  <c r="DD193" i="3"/>
  <c r="FA20" i="3"/>
  <c r="DD20" i="3"/>
  <c r="DD119" i="3"/>
  <c r="FA119" i="3"/>
  <c r="DD164" i="3"/>
  <c r="FA164" i="3"/>
  <c r="DD123" i="3"/>
  <c r="FA123" i="3"/>
  <c r="DD31" i="3"/>
  <c r="FA31" i="3"/>
  <c r="DD9" i="3"/>
  <c r="FA9" i="3"/>
  <c r="DD114" i="3"/>
  <c r="FA114" i="3"/>
  <c r="DD121" i="3"/>
  <c r="FA121" i="3"/>
  <c r="DD136" i="3"/>
  <c r="FA136" i="3"/>
  <c r="DD144" i="3"/>
  <c r="FA144" i="3"/>
  <c r="FA30" i="3"/>
  <c r="DD30" i="3"/>
  <c r="DD153" i="3"/>
  <c r="FA153" i="3"/>
  <c r="DD147" i="3"/>
  <c r="FA147" i="3"/>
  <c r="DD54" i="3"/>
  <c r="FA54" i="3"/>
  <c r="DD111" i="3"/>
  <c r="FA111" i="3"/>
  <c r="FA195" i="3"/>
  <c r="DD195" i="3"/>
  <c r="DD116" i="3"/>
  <c r="FA116" i="3"/>
  <c r="DD161" i="3"/>
  <c r="FA161" i="3"/>
  <c r="DD81" i="3"/>
  <c r="FA81" i="3"/>
  <c r="DD107" i="3"/>
  <c r="FA107" i="3"/>
  <c r="DD159" i="3"/>
  <c r="FA159" i="3"/>
  <c r="DD124" i="3"/>
  <c r="FA124" i="3"/>
  <c r="DD149" i="3"/>
  <c r="FA149" i="3"/>
  <c r="DD133" i="3"/>
  <c r="FA133" i="3"/>
  <c r="DD71" i="3"/>
  <c r="FA71" i="3"/>
  <c r="FA100" i="3"/>
  <c r="DD100" i="3"/>
  <c r="FA14" i="3"/>
  <c r="DD14" i="3"/>
  <c r="DD25" i="3"/>
  <c r="FA25" i="3"/>
  <c r="DD18" i="3"/>
  <c r="FA18" i="3"/>
  <c r="FA89" i="3"/>
  <c r="DD89" i="3"/>
  <c r="DD196" i="3"/>
  <c r="FA196" i="3"/>
  <c r="DD66" i="3"/>
  <c r="FA66" i="3"/>
  <c r="DD108" i="3"/>
  <c r="FA108" i="3"/>
  <c r="DD8" i="3"/>
  <c r="FA8" i="3"/>
  <c r="FA19" i="3"/>
  <c r="DD19" i="3"/>
  <c r="DD5" i="3"/>
  <c r="FA5" i="3"/>
  <c r="FA194" i="3"/>
  <c r="DD194" i="3"/>
  <c r="DD56" i="3"/>
  <c r="FA56" i="3"/>
  <c r="DD80" i="3"/>
  <c r="FA80" i="3"/>
  <c r="DD93" i="3"/>
  <c r="FA93" i="3"/>
  <c r="DD73" i="3"/>
  <c r="FA73" i="3"/>
  <c r="FA51" i="3"/>
  <c r="DD51" i="3"/>
  <c r="DD85" i="3"/>
  <c r="FA85" i="3"/>
  <c r="DD65" i="3"/>
  <c r="FA65" i="3"/>
  <c r="FA15" i="3"/>
  <c r="DD15" i="3"/>
  <c r="FA120" i="3"/>
  <c r="DD120" i="3"/>
  <c r="DD126" i="3"/>
  <c r="FA126" i="3"/>
  <c r="DD160" i="3"/>
  <c r="FA160" i="3"/>
  <c r="FA70" i="3"/>
  <c r="DD70" i="3"/>
  <c r="DD64" i="3"/>
  <c r="FA64" i="3"/>
  <c r="DD84" i="3"/>
  <c r="FA84" i="3"/>
  <c r="DD103" i="3"/>
  <c r="FA103" i="3"/>
  <c r="DD118" i="3"/>
  <c r="FA118" i="3"/>
  <c r="DD94" i="3"/>
  <c r="FA94" i="3"/>
  <c r="FA63" i="3"/>
  <c r="DD63" i="3"/>
  <c r="DD190" i="3"/>
  <c r="FA190" i="3"/>
  <c r="DD102" i="3"/>
  <c r="FA102" i="3"/>
  <c r="DD23" i="3"/>
  <c r="FA23" i="3"/>
  <c r="DD151" i="3"/>
  <c r="FA151" i="3"/>
  <c r="FA189" i="3"/>
  <c r="DD189" i="3"/>
  <c r="DD82" i="3"/>
  <c r="FA82" i="3"/>
  <c r="CZ184" i="3"/>
  <c r="EZ184" i="3"/>
  <c r="CZ179" i="3"/>
  <c r="EZ179" i="3"/>
  <c r="DD135" i="3"/>
  <c r="FA135" i="3"/>
  <c r="DD146" i="3"/>
  <c r="FA146" i="3"/>
  <c r="DD155" i="3"/>
  <c r="FA155" i="3"/>
  <c r="FA200" i="3"/>
  <c r="DD200" i="3"/>
  <c r="DD170" i="3"/>
  <c r="FA170" i="3"/>
  <c r="DD163" i="3"/>
  <c r="FA163" i="3"/>
  <c r="DD13" i="3"/>
  <c r="FA13" i="3"/>
  <c r="DD16" i="3"/>
  <c r="FA16" i="3"/>
  <c r="FA12" i="3"/>
  <c r="DD12" i="3"/>
  <c r="FA112" i="3"/>
  <c r="DD112" i="3"/>
  <c r="FA104" i="3"/>
  <c r="DD104" i="3"/>
  <c r="CZ181" i="3"/>
  <c r="EZ181" i="3"/>
  <c r="FA60" i="3"/>
  <c r="DD60" i="3"/>
  <c r="DD156" i="3"/>
  <c r="FA156" i="3"/>
  <c r="CZ180" i="3"/>
  <c r="EZ180" i="3"/>
  <c r="CZ182" i="3"/>
  <c r="EZ182" i="3"/>
  <c r="DD145" i="3"/>
  <c r="FA145" i="3"/>
  <c r="DD36" i="3"/>
  <c r="FA36" i="3"/>
  <c r="FA110" i="3"/>
  <c r="DD110" i="3"/>
  <c r="FA58" i="3"/>
  <c r="DD58" i="3"/>
  <c r="DD83" i="3"/>
  <c r="FA83" i="3"/>
  <c r="DD127" i="3"/>
  <c r="FA127" i="3"/>
  <c r="DD29" i="3"/>
  <c r="FA29" i="3"/>
  <c r="FA55" i="3"/>
  <c r="DD55" i="3"/>
  <c r="DD139" i="3"/>
  <c r="FA139" i="3"/>
  <c r="DD87" i="3"/>
  <c r="FA87" i="3"/>
  <c r="FA75" i="3"/>
  <c r="DD75" i="3"/>
  <c r="CZ185" i="3"/>
  <c r="EZ185" i="3"/>
  <c r="DD148" i="3"/>
  <c r="FA148" i="3"/>
  <c r="FA35" i="3"/>
  <c r="DD35" i="3"/>
  <c r="DD172" i="3"/>
  <c r="FA172" i="3"/>
  <c r="CZ178" i="3"/>
  <c r="EZ178" i="3"/>
  <c r="FA49" i="3"/>
  <c r="DD49" i="3"/>
  <c r="DD142" i="3"/>
  <c r="FA142" i="3"/>
  <c r="DD129" i="3"/>
  <c r="FA129" i="3"/>
  <c r="DD187" i="3"/>
  <c r="FA187" i="3"/>
  <c r="DD137" i="3"/>
  <c r="FA137" i="3"/>
  <c r="DD152" i="3"/>
  <c r="FA152" i="3"/>
  <c r="DD168" i="3"/>
  <c r="FA168" i="3"/>
  <c r="DD59" i="3"/>
  <c r="FA59" i="3"/>
  <c r="FA39" i="3"/>
  <c r="DD39" i="3"/>
  <c r="DD34" i="3"/>
  <c r="FA34" i="3"/>
  <c r="FA41" i="3"/>
  <c r="DD41" i="3"/>
  <c r="DD61" i="3"/>
  <c r="FA61" i="3"/>
  <c r="FA68" i="3"/>
  <c r="DD68" i="3"/>
  <c r="DD38" i="3"/>
  <c r="FA38" i="3"/>
  <c r="FA192" i="3"/>
  <c r="DD192" i="3"/>
  <c r="DD37" i="3"/>
  <c r="FA37" i="3"/>
  <c r="CZ183" i="3"/>
  <c r="EZ183" i="3"/>
  <c r="DD45" i="3"/>
  <c r="FA45" i="3"/>
  <c r="FA113" i="3"/>
  <c r="DD113" i="3"/>
  <c r="DD99" i="3"/>
  <c r="FA99" i="3"/>
  <c r="DD154" i="3"/>
  <c r="FA154" i="3"/>
  <c r="DD17" i="3"/>
  <c r="FA17" i="3"/>
  <c r="FA48" i="3"/>
  <c r="DD48" i="3"/>
  <c r="DD91" i="3"/>
  <c r="FA91" i="3"/>
  <c r="DD3" i="3"/>
  <c r="FA3" i="3"/>
  <c r="DD6" i="3"/>
  <c r="FA6" i="3"/>
  <c r="DD125" i="3"/>
  <c r="FA125" i="3"/>
  <c r="FA109" i="3"/>
  <c r="DD109" i="3"/>
  <c r="DD132" i="3"/>
  <c r="FA132" i="3"/>
  <c r="DD173" i="3"/>
  <c r="FA173" i="3"/>
  <c r="FA7" i="3"/>
  <c r="DD7" i="3"/>
  <c r="DD141" i="3"/>
  <c r="FA141" i="3"/>
  <c r="DD171" i="3"/>
  <c r="FA171" i="3"/>
  <c r="DD46" i="3"/>
  <c r="FA46" i="3"/>
  <c r="DD165" i="3"/>
  <c r="FA165" i="3"/>
  <c r="FA106" i="3"/>
  <c r="DD106" i="3"/>
  <c r="DD79" i="3"/>
  <c r="FA79" i="3"/>
  <c r="DD167" i="3"/>
  <c r="FA167" i="3"/>
  <c r="FA27" i="3"/>
  <c r="DD27" i="3"/>
  <c r="DD88" i="3"/>
  <c r="FA88" i="3"/>
  <c r="FA188" i="3"/>
  <c r="DD188" i="3"/>
  <c r="DD101" i="3"/>
  <c r="FA101" i="3"/>
  <c r="FA92" i="3"/>
  <c r="DD92" i="3"/>
  <c r="DH106" i="3" l="1"/>
  <c r="FB106" i="3"/>
  <c r="DH188" i="3"/>
  <c r="FB188" i="3"/>
  <c r="DH27" i="3"/>
  <c r="FB27" i="3"/>
  <c r="DH7" i="3"/>
  <c r="FB7" i="3"/>
  <c r="DH48" i="3"/>
  <c r="FB48" i="3"/>
  <c r="DH192" i="3"/>
  <c r="FB192" i="3"/>
  <c r="DH41" i="3"/>
  <c r="FB41" i="3"/>
  <c r="DH39" i="3"/>
  <c r="FB39" i="3"/>
  <c r="DH49" i="3"/>
  <c r="FB49" i="3"/>
  <c r="DH60" i="3"/>
  <c r="FB60" i="3"/>
  <c r="DH12" i="3"/>
  <c r="FB12" i="3"/>
  <c r="DH189" i="3"/>
  <c r="FB189" i="3"/>
  <c r="DH194" i="3"/>
  <c r="FB194" i="3"/>
  <c r="FB79" i="3"/>
  <c r="DH79" i="3"/>
  <c r="FB165" i="3"/>
  <c r="DH165" i="3"/>
  <c r="DH171" i="3"/>
  <c r="FB171" i="3"/>
  <c r="DH132" i="3"/>
  <c r="FB132" i="3"/>
  <c r="DH125" i="3"/>
  <c r="FB125" i="3"/>
  <c r="DH3" i="3"/>
  <c r="FB3" i="3"/>
  <c r="DH154" i="3"/>
  <c r="FB154" i="3"/>
  <c r="DD183" i="3"/>
  <c r="FA183" i="3"/>
  <c r="DH168" i="3"/>
  <c r="FB168" i="3"/>
  <c r="DH137" i="3"/>
  <c r="FB137" i="3"/>
  <c r="DH129" i="3"/>
  <c r="FB129" i="3"/>
  <c r="DH172" i="3"/>
  <c r="FB172" i="3"/>
  <c r="DH148" i="3"/>
  <c r="FB148" i="3"/>
  <c r="DH139" i="3"/>
  <c r="FB139" i="3"/>
  <c r="DH29" i="3"/>
  <c r="FB29" i="3"/>
  <c r="DH83" i="3"/>
  <c r="FB83" i="3"/>
  <c r="DH145" i="3"/>
  <c r="FB145" i="3"/>
  <c r="DD180" i="3"/>
  <c r="FA180" i="3"/>
  <c r="DH13" i="3"/>
  <c r="FB13" i="3"/>
  <c r="DH170" i="3"/>
  <c r="FB170" i="3"/>
  <c r="DH155" i="3"/>
  <c r="FB155" i="3"/>
  <c r="DH135" i="3"/>
  <c r="FB135" i="3"/>
  <c r="DD184" i="3"/>
  <c r="FA184" i="3"/>
  <c r="FB23" i="3"/>
  <c r="DH23" i="3"/>
  <c r="DH190" i="3"/>
  <c r="FB190" i="3"/>
  <c r="DH94" i="3"/>
  <c r="FB94" i="3"/>
  <c r="DH103" i="3"/>
  <c r="FB103" i="3"/>
  <c r="DH64" i="3"/>
  <c r="FB64" i="3"/>
  <c r="DH160" i="3"/>
  <c r="FB160" i="3"/>
  <c r="FB85" i="3"/>
  <c r="DH85" i="3"/>
  <c r="FB73" i="3"/>
  <c r="DH73" i="3"/>
  <c r="DH80" i="3"/>
  <c r="FB80" i="3"/>
  <c r="DH14" i="3"/>
  <c r="FB14" i="3"/>
  <c r="DH30" i="3"/>
  <c r="FB30" i="3"/>
  <c r="DH20" i="3"/>
  <c r="FB20" i="3"/>
  <c r="DH32" i="3"/>
  <c r="FB32" i="3"/>
  <c r="DH199" i="3"/>
  <c r="FB199" i="3"/>
  <c r="DH98" i="3"/>
  <c r="FB98" i="3"/>
  <c r="DH44" i="3"/>
  <c r="FB44" i="3"/>
  <c r="DH115" i="3"/>
  <c r="FB115" i="3"/>
  <c r="DH78" i="3"/>
  <c r="FB78" i="3"/>
  <c r="DH53" i="3"/>
  <c r="FB53" i="3"/>
  <c r="DH109" i="3"/>
  <c r="FB109" i="3"/>
  <c r="DH149" i="3"/>
  <c r="FB149" i="3"/>
  <c r="DH111" i="3"/>
  <c r="FB111" i="3"/>
  <c r="DH31" i="3"/>
  <c r="FB31" i="3"/>
  <c r="DH162" i="3"/>
  <c r="FB162" i="3"/>
  <c r="FB77" i="3"/>
  <c r="DH77" i="3"/>
  <c r="DH35" i="3"/>
  <c r="FB35" i="3"/>
  <c r="DH55" i="3"/>
  <c r="FB55" i="3"/>
  <c r="DH58" i="3"/>
  <c r="FB58" i="3"/>
  <c r="DH112" i="3"/>
  <c r="FB112" i="3"/>
  <c r="DH200" i="3"/>
  <c r="FB200" i="3"/>
  <c r="DH63" i="3"/>
  <c r="FB63" i="3"/>
  <c r="DH70" i="3"/>
  <c r="FB70" i="3"/>
  <c r="DH51" i="3"/>
  <c r="FB51" i="3"/>
  <c r="DH108" i="3"/>
  <c r="FB108" i="3"/>
  <c r="FB196" i="3"/>
  <c r="DH196" i="3"/>
  <c r="FB18" i="3"/>
  <c r="DH18" i="3"/>
  <c r="FB71" i="3"/>
  <c r="DH71" i="3"/>
  <c r="DH159" i="3"/>
  <c r="FB159" i="3"/>
  <c r="DH81" i="3"/>
  <c r="FB81" i="3"/>
  <c r="DH116" i="3"/>
  <c r="FB116" i="3"/>
  <c r="DH147" i="3"/>
  <c r="FB147" i="3"/>
  <c r="DH136" i="3"/>
  <c r="FB136" i="3"/>
  <c r="DH114" i="3"/>
  <c r="FB114" i="3"/>
  <c r="DH164" i="3"/>
  <c r="FB164" i="3"/>
  <c r="DH198" i="3"/>
  <c r="FB198" i="3"/>
  <c r="DH134" i="3"/>
  <c r="FB134" i="3"/>
  <c r="FB96" i="3"/>
  <c r="DH96" i="3"/>
  <c r="DH42" i="3"/>
  <c r="FB42" i="3"/>
  <c r="DH57" i="3"/>
  <c r="FB57" i="3"/>
  <c r="FB197" i="3"/>
  <c r="DH197" i="3"/>
  <c r="DD177" i="3"/>
  <c r="FA177" i="3"/>
  <c r="DH169" i="3"/>
  <c r="FB169" i="3"/>
  <c r="DH69" i="3"/>
  <c r="FB69" i="3"/>
  <c r="DH166" i="3"/>
  <c r="FB166" i="3"/>
  <c r="DH201" i="3"/>
  <c r="FB201" i="3"/>
  <c r="DH202" i="3"/>
  <c r="FB202" i="3"/>
  <c r="FB74" i="3"/>
  <c r="DH74" i="3"/>
  <c r="DH131" i="3"/>
  <c r="FB131" i="3"/>
  <c r="DH26" i="3"/>
  <c r="FB26" i="3"/>
  <c r="DH158" i="3"/>
  <c r="FB158" i="3"/>
  <c r="DH157" i="3"/>
  <c r="FB157" i="3"/>
  <c r="FB4" i="3"/>
  <c r="DH4" i="3"/>
  <c r="DD174" i="3"/>
  <c r="FA174" i="3"/>
  <c r="DH117" i="3"/>
  <c r="FB117" i="3"/>
  <c r="FB101" i="3"/>
  <c r="DH101" i="3"/>
  <c r="FB88" i="3"/>
  <c r="DH88" i="3"/>
  <c r="DH167" i="3"/>
  <c r="FB167" i="3"/>
  <c r="FB46" i="3"/>
  <c r="DH46" i="3"/>
  <c r="DH141" i="3"/>
  <c r="FB141" i="3"/>
  <c r="DH173" i="3"/>
  <c r="FB173" i="3"/>
  <c r="DH6" i="3"/>
  <c r="FB6" i="3"/>
  <c r="DH91" i="3"/>
  <c r="FB91" i="3"/>
  <c r="FB17" i="3"/>
  <c r="DH17" i="3"/>
  <c r="DH99" i="3"/>
  <c r="FB99" i="3"/>
  <c r="FB45" i="3"/>
  <c r="DH45" i="3"/>
  <c r="DH37" i="3"/>
  <c r="FB37" i="3"/>
  <c r="FB38" i="3"/>
  <c r="DH38" i="3"/>
  <c r="DH61" i="3"/>
  <c r="FB61" i="3"/>
  <c r="DH34" i="3"/>
  <c r="FB34" i="3"/>
  <c r="DH59" i="3"/>
  <c r="FB59" i="3"/>
  <c r="DH152" i="3"/>
  <c r="FB152" i="3"/>
  <c r="DH187" i="3"/>
  <c r="FB187" i="3"/>
  <c r="DH142" i="3"/>
  <c r="FB142" i="3"/>
  <c r="DD178" i="3"/>
  <c r="FA178" i="3"/>
  <c r="DD185" i="3"/>
  <c r="FA185" i="3"/>
  <c r="DH87" i="3"/>
  <c r="FB87" i="3"/>
  <c r="DH127" i="3"/>
  <c r="FB127" i="3"/>
  <c r="FB36" i="3"/>
  <c r="DH36" i="3"/>
  <c r="DD182" i="3"/>
  <c r="FA182" i="3"/>
  <c r="DH156" i="3"/>
  <c r="FB156" i="3"/>
  <c r="DD181" i="3"/>
  <c r="FA181" i="3"/>
  <c r="FB16" i="3"/>
  <c r="DH16" i="3"/>
  <c r="DH163" i="3"/>
  <c r="FB163" i="3"/>
  <c r="DH146" i="3"/>
  <c r="FB146" i="3"/>
  <c r="DD179" i="3"/>
  <c r="FA179" i="3"/>
  <c r="DH82" i="3"/>
  <c r="FB82" i="3"/>
  <c r="DH151" i="3"/>
  <c r="FB151" i="3"/>
  <c r="DH102" i="3"/>
  <c r="FB102" i="3"/>
  <c r="FB118" i="3"/>
  <c r="DH118" i="3"/>
  <c r="DH84" i="3"/>
  <c r="FB84" i="3"/>
  <c r="DH126" i="3"/>
  <c r="FB126" i="3"/>
  <c r="FB65" i="3"/>
  <c r="DH65" i="3"/>
  <c r="DH93" i="3"/>
  <c r="FB93" i="3"/>
  <c r="DH56" i="3"/>
  <c r="FB56" i="3"/>
  <c r="DH5" i="3"/>
  <c r="FB5" i="3"/>
  <c r="DH89" i="3"/>
  <c r="FB89" i="3"/>
  <c r="DH100" i="3"/>
  <c r="FB100" i="3"/>
  <c r="DH195" i="3"/>
  <c r="FB195" i="3"/>
  <c r="DH193" i="3"/>
  <c r="FB193" i="3"/>
  <c r="DH76" i="3"/>
  <c r="FB76" i="3"/>
  <c r="DH52" i="3"/>
  <c r="FB52" i="3"/>
  <c r="DH95" i="3"/>
  <c r="FB95" i="3"/>
  <c r="DH21" i="3"/>
  <c r="FB21" i="3"/>
  <c r="DH92" i="3"/>
  <c r="FB92" i="3"/>
  <c r="DH113" i="3"/>
  <c r="FB113" i="3"/>
  <c r="DH68" i="3"/>
  <c r="FB68" i="3"/>
  <c r="DH75" i="3"/>
  <c r="FB75" i="3"/>
  <c r="DH110" i="3"/>
  <c r="FB110" i="3"/>
  <c r="DH104" i="3"/>
  <c r="FB104" i="3"/>
  <c r="DH120" i="3"/>
  <c r="FB120" i="3"/>
  <c r="DH15" i="3"/>
  <c r="FB15" i="3"/>
  <c r="DH19" i="3"/>
  <c r="FB19" i="3"/>
  <c r="DH8" i="3"/>
  <c r="FB8" i="3"/>
  <c r="DH66" i="3"/>
  <c r="FB66" i="3"/>
  <c r="DH25" i="3"/>
  <c r="FB25" i="3"/>
  <c r="DH133" i="3"/>
  <c r="FB133" i="3"/>
  <c r="DH124" i="3"/>
  <c r="FB124" i="3"/>
  <c r="DH107" i="3"/>
  <c r="FB107" i="3"/>
  <c r="DH161" i="3"/>
  <c r="FB161" i="3"/>
  <c r="FB54" i="3"/>
  <c r="DH54" i="3"/>
  <c r="DH153" i="3"/>
  <c r="FB153" i="3"/>
  <c r="DH144" i="3"/>
  <c r="FB144" i="3"/>
  <c r="DH121" i="3"/>
  <c r="FB121" i="3"/>
  <c r="DH9" i="3"/>
  <c r="FB9" i="3"/>
  <c r="DH123" i="3"/>
  <c r="FB123" i="3"/>
  <c r="DH119" i="3"/>
  <c r="FB119" i="3"/>
  <c r="DD175" i="3"/>
  <c r="FA175" i="3"/>
  <c r="FB10" i="3"/>
  <c r="DH10" i="3"/>
  <c r="FB11" i="3"/>
  <c r="DH11" i="3"/>
  <c r="DH72" i="3"/>
  <c r="FB72" i="3"/>
  <c r="DH105" i="3"/>
  <c r="FB105" i="3"/>
  <c r="DH191" i="3"/>
  <c r="FB191" i="3"/>
  <c r="DH43" i="3"/>
  <c r="FB43" i="3"/>
  <c r="FB28" i="3"/>
  <c r="DH28" i="3"/>
  <c r="FB50" i="3"/>
  <c r="DH50" i="3"/>
  <c r="DH86" i="3"/>
  <c r="FB86" i="3"/>
  <c r="DD186" i="3"/>
  <c r="FA186" i="3"/>
  <c r="DH128" i="3"/>
  <c r="FB128" i="3"/>
  <c r="DH143" i="3"/>
  <c r="FB143" i="3"/>
  <c r="DH62" i="3"/>
  <c r="FB62" i="3"/>
  <c r="DH138" i="3"/>
  <c r="FB138" i="3"/>
  <c r="DH130" i="3"/>
  <c r="FB130" i="3"/>
  <c r="DH150" i="3"/>
  <c r="FB150" i="3"/>
  <c r="DH140" i="3"/>
  <c r="FB140" i="3"/>
  <c r="DH24" i="3"/>
  <c r="FB24" i="3"/>
  <c r="FB47" i="3"/>
  <c r="DH47" i="3"/>
  <c r="DH22" i="3"/>
  <c r="FB22" i="3"/>
  <c r="DH90" i="3"/>
  <c r="FB90" i="3"/>
  <c r="DH33" i="3"/>
  <c r="FB33" i="3"/>
  <c r="FB40" i="3"/>
  <c r="DH40" i="3"/>
  <c r="DH122" i="3"/>
  <c r="FB122" i="3"/>
  <c r="DH67" i="3"/>
  <c r="FB67" i="3"/>
  <c r="DL50" i="3" l="1"/>
  <c r="FC50" i="3"/>
  <c r="DL11" i="3"/>
  <c r="FC11" i="3"/>
  <c r="DL40" i="3"/>
  <c r="FC40" i="3"/>
  <c r="DL28" i="3"/>
  <c r="FC28" i="3"/>
  <c r="DL10" i="3"/>
  <c r="FC10" i="3"/>
  <c r="DL65" i="3"/>
  <c r="FC65" i="3"/>
  <c r="DL118" i="3"/>
  <c r="FC118" i="3"/>
  <c r="DL38" i="3"/>
  <c r="FC38" i="3"/>
  <c r="DL45" i="3"/>
  <c r="FC45" i="3"/>
  <c r="DL101" i="3"/>
  <c r="FC101" i="3"/>
  <c r="DL67" i="3"/>
  <c r="FC67" i="3"/>
  <c r="DL90" i="3"/>
  <c r="FC90" i="3"/>
  <c r="DL140" i="3"/>
  <c r="FC140" i="3"/>
  <c r="DL130" i="3"/>
  <c r="FC130" i="3"/>
  <c r="DL62" i="3"/>
  <c r="FC62" i="3"/>
  <c r="DL128" i="3"/>
  <c r="FC128" i="3"/>
  <c r="FC86" i="3"/>
  <c r="DL86" i="3"/>
  <c r="DL191" i="3"/>
  <c r="FC191" i="3"/>
  <c r="FC72" i="3"/>
  <c r="DL72" i="3"/>
  <c r="DL119" i="3"/>
  <c r="FC119" i="3"/>
  <c r="FC9" i="3"/>
  <c r="DL9" i="3"/>
  <c r="DL144" i="3"/>
  <c r="FC144" i="3"/>
  <c r="FC107" i="3"/>
  <c r="DL107" i="3"/>
  <c r="DL133" i="3"/>
  <c r="FC133" i="3"/>
  <c r="FC66" i="3"/>
  <c r="DL66" i="3"/>
  <c r="DL19" i="3"/>
  <c r="FC19" i="3"/>
  <c r="DL120" i="3"/>
  <c r="FC120" i="3"/>
  <c r="FC110" i="3"/>
  <c r="DL110" i="3"/>
  <c r="DL68" i="3"/>
  <c r="FC68" i="3"/>
  <c r="DL92" i="3"/>
  <c r="FC92" i="3"/>
  <c r="DL95" i="3"/>
  <c r="FC95" i="3"/>
  <c r="DL76" i="3"/>
  <c r="FC76" i="3"/>
  <c r="DL195" i="3"/>
  <c r="FC195" i="3"/>
  <c r="FC89" i="3"/>
  <c r="DL89" i="3"/>
  <c r="DL56" i="3"/>
  <c r="FC56" i="3"/>
  <c r="DL126" i="3"/>
  <c r="FC126" i="3"/>
  <c r="DL151" i="3"/>
  <c r="FC151" i="3"/>
  <c r="DH179" i="3"/>
  <c r="FB179" i="3"/>
  <c r="DL163" i="3"/>
  <c r="FC163" i="3"/>
  <c r="DH181" i="3"/>
  <c r="FB181" i="3"/>
  <c r="DH182" i="3"/>
  <c r="FB182" i="3"/>
  <c r="DL127" i="3"/>
  <c r="FC127" i="3"/>
  <c r="DH185" i="3"/>
  <c r="FB185" i="3"/>
  <c r="DL142" i="3"/>
  <c r="FC142" i="3"/>
  <c r="DL152" i="3"/>
  <c r="FC152" i="3"/>
  <c r="FC34" i="3"/>
  <c r="DL34" i="3"/>
  <c r="DL6" i="3"/>
  <c r="FC6" i="3"/>
  <c r="DL141" i="3"/>
  <c r="FC141" i="3"/>
  <c r="DL167" i="3"/>
  <c r="FC167" i="3"/>
  <c r="DH174" i="3"/>
  <c r="FB174" i="3"/>
  <c r="DL157" i="3"/>
  <c r="FC157" i="3"/>
  <c r="FC26" i="3"/>
  <c r="DL26" i="3"/>
  <c r="DL201" i="3"/>
  <c r="FC201" i="3"/>
  <c r="DL69" i="3"/>
  <c r="FC69" i="3"/>
  <c r="FC42" i="3"/>
  <c r="DL42" i="3"/>
  <c r="DL134" i="3"/>
  <c r="FC134" i="3"/>
  <c r="DL164" i="3"/>
  <c r="FC164" i="3"/>
  <c r="DL136" i="3"/>
  <c r="FC136" i="3"/>
  <c r="DL116" i="3"/>
  <c r="FC116" i="3"/>
  <c r="DL159" i="3"/>
  <c r="FC159" i="3"/>
  <c r="FC108" i="3"/>
  <c r="DL108" i="3"/>
  <c r="DL70" i="3"/>
  <c r="FC70" i="3"/>
  <c r="DL200" i="3"/>
  <c r="FC200" i="3"/>
  <c r="FC58" i="3"/>
  <c r="DL58" i="3"/>
  <c r="FC35" i="3"/>
  <c r="DL35" i="3"/>
  <c r="DL162" i="3"/>
  <c r="FC162" i="3"/>
  <c r="FC111" i="3"/>
  <c r="DL111" i="3"/>
  <c r="FC109" i="3"/>
  <c r="DL109" i="3"/>
  <c r="FC78" i="3"/>
  <c r="DL78" i="3"/>
  <c r="FC44" i="3"/>
  <c r="DL44" i="3"/>
  <c r="DL199" i="3"/>
  <c r="FC199" i="3"/>
  <c r="DL20" i="3"/>
  <c r="FC20" i="3"/>
  <c r="DL14" i="3"/>
  <c r="FC14" i="3"/>
  <c r="DL160" i="3"/>
  <c r="FC160" i="3"/>
  <c r="DL103" i="3"/>
  <c r="FC103" i="3"/>
  <c r="FC190" i="3"/>
  <c r="DL190" i="3"/>
  <c r="DH184" i="3"/>
  <c r="FB184" i="3"/>
  <c r="DL155" i="3"/>
  <c r="FC155" i="3"/>
  <c r="DL13" i="3"/>
  <c r="FC13" i="3"/>
  <c r="DL145" i="3"/>
  <c r="FC145" i="3"/>
  <c r="FC29" i="3"/>
  <c r="DL29" i="3"/>
  <c r="DL148" i="3"/>
  <c r="FC148" i="3"/>
  <c r="DL129" i="3"/>
  <c r="FC129" i="3"/>
  <c r="DL168" i="3"/>
  <c r="FC168" i="3"/>
  <c r="DL154" i="3"/>
  <c r="FC154" i="3"/>
  <c r="DL125" i="3"/>
  <c r="FC125" i="3"/>
  <c r="DL171" i="3"/>
  <c r="FC171" i="3"/>
  <c r="DL189" i="3"/>
  <c r="FC189" i="3"/>
  <c r="FC60" i="3"/>
  <c r="DL60" i="3"/>
  <c r="DL39" i="3"/>
  <c r="FC39" i="3"/>
  <c r="DL192" i="3"/>
  <c r="FC192" i="3"/>
  <c r="DL36" i="3"/>
  <c r="FC36" i="3"/>
  <c r="DL88" i="3"/>
  <c r="FC88" i="3"/>
  <c r="DL96" i="3"/>
  <c r="FC96" i="3"/>
  <c r="DL71" i="3"/>
  <c r="FC71" i="3"/>
  <c r="DL77" i="3"/>
  <c r="FC77" i="3"/>
  <c r="DL85" i="3"/>
  <c r="FC85" i="3"/>
  <c r="DL23" i="3"/>
  <c r="FC23" i="3"/>
  <c r="FC165" i="3"/>
  <c r="DL165" i="3"/>
  <c r="DL7" i="3"/>
  <c r="FC7" i="3"/>
  <c r="FC188" i="3"/>
  <c r="DL188" i="3"/>
  <c r="DL16" i="3"/>
  <c r="FC16" i="3"/>
  <c r="DL46" i="3"/>
  <c r="FC46" i="3"/>
  <c r="DL4" i="3"/>
  <c r="FC4" i="3"/>
  <c r="DL196" i="3"/>
  <c r="FC196" i="3"/>
  <c r="DL122" i="3"/>
  <c r="FC122" i="3"/>
  <c r="FC33" i="3"/>
  <c r="DL33" i="3"/>
  <c r="FC22" i="3"/>
  <c r="DL22" i="3"/>
  <c r="FC24" i="3"/>
  <c r="DL24" i="3"/>
  <c r="DL150" i="3"/>
  <c r="FC150" i="3"/>
  <c r="DL138" i="3"/>
  <c r="FC138" i="3"/>
  <c r="DL143" i="3"/>
  <c r="FC143" i="3"/>
  <c r="DH186" i="3"/>
  <c r="FB186" i="3"/>
  <c r="DL43" i="3"/>
  <c r="FC43" i="3"/>
  <c r="FC105" i="3"/>
  <c r="DL105" i="3"/>
  <c r="DH175" i="3"/>
  <c r="FB175" i="3"/>
  <c r="DL123" i="3"/>
  <c r="FC123" i="3"/>
  <c r="DL121" i="3"/>
  <c r="FC121" i="3"/>
  <c r="DL153" i="3"/>
  <c r="FC153" i="3"/>
  <c r="DL161" i="3"/>
  <c r="FC161" i="3"/>
  <c r="DL124" i="3"/>
  <c r="FC124" i="3"/>
  <c r="FC25" i="3"/>
  <c r="DL25" i="3"/>
  <c r="FC8" i="3"/>
  <c r="DL8" i="3"/>
  <c r="DL15" i="3"/>
  <c r="FC15" i="3"/>
  <c r="DL104" i="3"/>
  <c r="FC104" i="3"/>
  <c r="DL75" i="3"/>
  <c r="FC75" i="3"/>
  <c r="DL113" i="3"/>
  <c r="FC113" i="3"/>
  <c r="DL21" i="3"/>
  <c r="FC21" i="3"/>
  <c r="FC52" i="3"/>
  <c r="DL52" i="3"/>
  <c r="DL193" i="3"/>
  <c r="FC193" i="3"/>
  <c r="FC100" i="3"/>
  <c r="DL100" i="3"/>
  <c r="FC5" i="3"/>
  <c r="DL5" i="3"/>
  <c r="DL93" i="3"/>
  <c r="FC93" i="3"/>
  <c r="DL84" i="3"/>
  <c r="FC84" i="3"/>
  <c r="FC102" i="3"/>
  <c r="DL102" i="3"/>
  <c r="FC82" i="3"/>
  <c r="DL82" i="3"/>
  <c r="DL146" i="3"/>
  <c r="FC146" i="3"/>
  <c r="DL156" i="3"/>
  <c r="FC156" i="3"/>
  <c r="DL87" i="3"/>
  <c r="FC87" i="3"/>
  <c r="DH178" i="3"/>
  <c r="FB178" i="3"/>
  <c r="DL187" i="3"/>
  <c r="FC187" i="3"/>
  <c r="DL59" i="3"/>
  <c r="FC59" i="3"/>
  <c r="FC61" i="3"/>
  <c r="DL61" i="3"/>
  <c r="DL37" i="3"/>
  <c r="FC37" i="3"/>
  <c r="DL99" i="3"/>
  <c r="FC99" i="3"/>
  <c r="DL91" i="3"/>
  <c r="FC91" i="3"/>
  <c r="DL173" i="3"/>
  <c r="FC173" i="3"/>
  <c r="DL117" i="3"/>
  <c r="FC117" i="3"/>
  <c r="DL158" i="3"/>
  <c r="FC158" i="3"/>
  <c r="DL131" i="3"/>
  <c r="FC131" i="3"/>
  <c r="DL202" i="3"/>
  <c r="FC202" i="3"/>
  <c r="DL166" i="3"/>
  <c r="FC166" i="3"/>
  <c r="DL169" i="3"/>
  <c r="FC169" i="3"/>
  <c r="DH177" i="3"/>
  <c r="FB177" i="3"/>
  <c r="FC57" i="3"/>
  <c r="DL57" i="3"/>
  <c r="DL198" i="3"/>
  <c r="FC198" i="3"/>
  <c r="FC114" i="3"/>
  <c r="DL114" i="3"/>
  <c r="DL147" i="3"/>
  <c r="FC147" i="3"/>
  <c r="DL81" i="3"/>
  <c r="FC81" i="3"/>
  <c r="FC51" i="3"/>
  <c r="DL51" i="3"/>
  <c r="DL63" i="3"/>
  <c r="FC63" i="3"/>
  <c r="DL112" i="3"/>
  <c r="FC112" i="3"/>
  <c r="DL55" i="3"/>
  <c r="FC55" i="3"/>
  <c r="FC31" i="3"/>
  <c r="DL31" i="3"/>
  <c r="DL149" i="3"/>
  <c r="FC149" i="3"/>
  <c r="DL53" i="3"/>
  <c r="FC53" i="3"/>
  <c r="DL115" i="3"/>
  <c r="FC115" i="3"/>
  <c r="FC98" i="3"/>
  <c r="DL98" i="3"/>
  <c r="DL32" i="3"/>
  <c r="FC32" i="3"/>
  <c r="FC30" i="3"/>
  <c r="DL30" i="3"/>
  <c r="DL80" i="3"/>
  <c r="FC80" i="3"/>
  <c r="DL64" i="3"/>
  <c r="FC64" i="3"/>
  <c r="FC94" i="3"/>
  <c r="DL94" i="3"/>
  <c r="DL135" i="3"/>
  <c r="FC135" i="3"/>
  <c r="DL170" i="3"/>
  <c r="FC170" i="3"/>
  <c r="DH180" i="3"/>
  <c r="FB180" i="3"/>
  <c r="FC83" i="3"/>
  <c r="DL83" i="3"/>
  <c r="DL139" i="3"/>
  <c r="FC139" i="3"/>
  <c r="DL172" i="3"/>
  <c r="FC172" i="3"/>
  <c r="DL137" i="3"/>
  <c r="FC137" i="3"/>
  <c r="DH183" i="3"/>
  <c r="FB183" i="3"/>
  <c r="DL3" i="3"/>
  <c r="FC3" i="3"/>
  <c r="DL132" i="3"/>
  <c r="FC132" i="3"/>
  <c r="FC194" i="3"/>
  <c r="DL194" i="3"/>
  <c r="DL12" i="3"/>
  <c r="FC12" i="3"/>
  <c r="DL49" i="3"/>
  <c r="FC49" i="3"/>
  <c r="DL41" i="3"/>
  <c r="FC41" i="3"/>
  <c r="DL48" i="3"/>
  <c r="FC48" i="3"/>
  <c r="DL47" i="3"/>
  <c r="FC47" i="3"/>
  <c r="DL54" i="3"/>
  <c r="FC54" i="3"/>
  <c r="DL17" i="3"/>
  <c r="FC17" i="3"/>
  <c r="DL74" i="3"/>
  <c r="FC74" i="3"/>
  <c r="DL197" i="3"/>
  <c r="FC197" i="3"/>
  <c r="DL18" i="3"/>
  <c r="FC18" i="3"/>
  <c r="DL73" i="3"/>
  <c r="FC73" i="3"/>
  <c r="DL79" i="3"/>
  <c r="FC79" i="3"/>
  <c r="DL27" i="3"/>
  <c r="FC27" i="3"/>
  <c r="DL106" i="3"/>
  <c r="FC106" i="3"/>
  <c r="DP31" i="3" l="1"/>
  <c r="FD31" i="3"/>
  <c r="FD82" i="3"/>
  <c r="DP82" i="3"/>
  <c r="FD79" i="3"/>
  <c r="DP79" i="3"/>
  <c r="FD18" i="3"/>
  <c r="DP18" i="3"/>
  <c r="FD74" i="3"/>
  <c r="DP74" i="3"/>
  <c r="DP54" i="3"/>
  <c r="FD54" i="3"/>
  <c r="FD48" i="3"/>
  <c r="DP48" i="3"/>
  <c r="FD49" i="3"/>
  <c r="DP49" i="3"/>
  <c r="FD3" i="3"/>
  <c r="DP3" i="3"/>
  <c r="DP137" i="3"/>
  <c r="FD137" i="3"/>
  <c r="DP139" i="3"/>
  <c r="FD139" i="3"/>
  <c r="DL180" i="3"/>
  <c r="FC180" i="3"/>
  <c r="DP135" i="3"/>
  <c r="FD135" i="3"/>
  <c r="DP64" i="3"/>
  <c r="FD64" i="3"/>
  <c r="FD53" i="3"/>
  <c r="DP53" i="3"/>
  <c r="FD112" i="3"/>
  <c r="DP112" i="3"/>
  <c r="DP147" i="3"/>
  <c r="FD147" i="3"/>
  <c r="FD198" i="3"/>
  <c r="DP198" i="3"/>
  <c r="DL177" i="3"/>
  <c r="FC177" i="3"/>
  <c r="DP166" i="3"/>
  <c r="FD166" i="3"/>
  <c r="DP131" i="3"/>
  <c r="FD131" i="3"/>
  <c r="DP117" i="3"/>
  <c r="FD117" i="3"/>
  <c r="DP91" i="3"/>
  <c r="FD91" i="3"/>
  <c r="FD37" i="3"/>
  <c r="DP37" i="3"/>
  <c r="DP59" i="3"/>
  <c r="FD59" i="3"/>
  <c r="DL178" i="3"/>
  <c r="FC178" i="3"/>
  <c r="DP156" i="3"/>
  <c r="FD156" i="3"/>
  <c r="FD84" i="3"/>
  <c r="DP84" i="3"/>
  <c r="DP193" i="3"/>
  <c r="FD193" i="3"/>
  <c r="DP21" i="3"/>
  <c r="FD21" i="3"/>
  <c r="DP75" i="3"/>
  <c r="FD75" i="3"/>
  <c r="FD15" i="3"/>
  <c r="DP15" i="3"/>
  <c r="DP161" i="3"/>
  <c r="FD161" i="3"/>
  <c r="DP121" i="3"/>
  <c r="FD121" i="3"/>
  <c r="DL175" i="3"/>
  <c r="FC175" i="3"/>
  <c r="DP43" i="3"/>
  <c r="FD43" i="3"/>
  <c r="DP143" i="3"/>
  <c r="FD143" i="3"/>
  <c r="DP150" i="3"/>
  <c r="FD150" i="3"/>
  <c r="FD122" i="3"/>
  <c r="DP122" i="3"/>
  <c r="DP4" i="3"/>
  <c r="FD4" i="3"/>
  <c r="DP16" i="3"/>
  <c r="FD16" i="3"/>
  <c r="DP60" i="3"/>
  <c r="FD60" i="3"/>
  <c r="DP29" i="3"/>
  <c r="FD29" i="3"/>
  <c r="DP78" i="3"/>
  <c r="FD78" i="3"/>
  <c r="DP111" i="3"/>
  <c r="FD111" i="3"/>
  <c r="DP35" i="3"/>
  <c r="FD35" i="3"/>
  <c r="DP108" i="3"/>
  <c r="FD108" i="3"/>
  <c r="DP42" i="3"/>
  <c r="FD42" i="3"/>
  <c r="DP26" i="3"/>
  <c r="FD26" i="3"/>
  <c r="DP34" i="3"/>
  <c r="FD34" i="3"/>
  <c r="DP89" i="3"/>
  <c r="FD89" i="3"/>
  <c r="DP110" i="3"/>
  <c r="FD110" i="3"/>
  <c r="DP194" i="3"/>
  <c r="FD194" i="3"/>
  <c r="DP30" i="3"/>
  <c r="FD30" i="3"/>
  <c r="DP51" i="3"/>
  <c r="FD51" i="3"/>
  <c r="DP106" i="3"/>
  <c r="FD106" i="3"/>
  <c r="DP83" i="3"/>
  <c r="FD83" i="3"/>
  <c r="DP114" i="3"/>
  <c r="FD114" i="3"/>
  <c r="DP61" i="3"/>
  <c r="FD61" i="3"/>
  <c r="DP102" i="3"/>
  <c r="FD102" i="3"/>
  <c r="DP100" i="3"/>
  <c r="FD100" i="3"/>
  <c r="DP52" i="3"/>
  <c r="FD52" i="3"/>
  <c r="DP8" i="3"/>
  <c r="FD8" i="3"/>
  <c r="DP105" i="3"/>
  <c r="FD105" i="3"/>
  <c r="DP24" i="3"/>
  <c r="FD24" i="3"/>
  <c r="DP33" i="3"/>
  <c r="FD33" i="3"/>
  <c r="FD85" i="3"/>
  <c r="DP85" i="3"/>
  <c r="DP71" i="3"/>
  <c r="FD71" i="3"/>
  <c r="DP88" i="3"/>
  <c r="FD88" i="3"/>
  <c r="DP192" i="3"/>
  <c r="FD192" i="3"/>
  <c r="DP171" i="3"/>
  <c r="FD171" i="3"/>
  <c r="DP154" i="3"/>
  <c r="FD154" i="3"/>
  <c r="DP129" i="3"/>
  <c r="FD129" i="3"/>
  <c r="DP13" i="3"/>
  <c r="FD13" i="3"/>
  <c r="DL184" i="3"/>
  <c r="FC184" i="3"/>
  <c r="DP103" i="3"/>
  <c r="FD103" i="3"/>
  <c r="FD14" i="3"/>
  <c r="DP14" i="3"/>
  <c r="DP199" i="3"/>
  <c r="FD199" i="3"/>
  <c r="FD200" i="3"/>
  <c r="DP200" i="3"/>
  <c r="FD116" i="3"/>
  <c r="DP116" i="3"/>
  <c r="DP164" i="3"/>
  <c r="FD164" i="3"/>
  <c r="DP69" i="3"/>
  <c r="FD69" i="3"/>
  <c r="DL174" i="3"/>
  <c r="FC174" i="3"/>
  <c r="DP141" i="3"/>
  <c r="FD141" i="3"/>
  <c r="DP142" i="3"/>
  <c r="FD142" i="3"/>
  <c r="DP127" i="3"/>
  <c r="FD127" i="3"/>
  <c r="DL181" i="3"/>
  <c r="FC181" i="3"/>
  <c r="DL179" i="3"/>
  <c r="FC179" i="3"/>
  <c r="DP126" i="3"/>
  <c r="FD126" i="3"/>
  <c r="DP76" i="3"/>
  <c r="FD76" i="3"/>
  <c r="DP92" i="3"/>
  <c r="FD92" i="3"/>
  <c r="DP19" i="3"/>
  <c r="FD19" i="3"/>
  <c r="DP133" i="3"/>
  <c r="FD133" i="3"/>
  <c r="DP144" i="3"/>
  <c r="FD144" i="3"/>
  <c r="FD119" i="3"/>
  <c r="DP119" i="3"/>
  <c r="FD191" i="3"/>
  <c r="DP191" i="3"/>
  <c r="DP128" i="3"/>
  <c r="FD128" i="3"/>
  <c r="DP130" i="3"/>
  <c r="FD130" i="3"/>
  <c r="DP90" i="3"/>
  <c r="FD90" i="3"/>
  <c r="DP101" i="3"/>
  <c r="FD101" i="3"/>
  <c r="FD38" i="3"/>
  <c r="DP38" i="3"/>
  <c r="FD65" i="3"/>
  <c r="DP65" i="3"/>
  <c r="DP28" i="3"/>
  <c r="FD28" i="3"/>
  <c r="FD11" i="3"/>
  <c r="DP11" i="3"/>
  <c r="DP98" i="3"/>
  <c r="FD98" i="3"/>
  <c r="DP94" i="3"/>
  <c r="FD94" i="3"/>
  <c r="FD57" i="3"/>
  <c r="DP57" i="3"/>
  <c r="DP27" i="3"/>
  <c r="FD27" i="3"/>
  <c r="FD73" i="3"/>
  <c r="DP73" i="3"/>
  <c r="FD197" i="3"/>
  <c r="DP197" i="3"/>
  <c r="DP17" i="3"/>
  <c r="FD17" i="3"/>
  <c r="FD47" i="3"/>
  <c r="DP47" i="3"/>
  <c r="FD41" i="3"/>
  <c r="DP41" i="3"/>
  <c r="DP12" i="3"/>
  <c r="FD12" i="3"/>
  <c r="DP132" i="3"/>
  <c r="FD132" i="3"/>
  <c r="DL183" i="3"/>
  <c r="FC183" i="3"/>
  <c r="DP172" i="3"/>
  <c r="FD172" i="3"/>
  <c r="DP170" i="3"/>
  <c r="FD170" i="3"/>
  <c r="FD80" i="3"/>
  <c r="DP80" i="3"/>
  <c r="DP32" i="3"/>
  <c r="FD32" i="3"/>
  <c r="DP115" i="3"/>
  <c r="FD115" i="3"/>
  <c r="DP149" i="3"/>
  <c r="FD149" i="3"/>
  <c r="DP55" i="3"/>
  <c r="FD55" i="3"/>
  <c r="DP63" i="3"/>
  <c r="FD63" i="3"/>
  <c r="FD81" i="3"/>
  <c r="DP81" i="3"/>
  <c r="DP169" i="3"/>
  <c r="FD169" i="3"/>
  <c r="DP202" i="3"/>
  <c r="FD202" i="3"/>
  <c r="DP158" i="3"/>
  <c r="FD158" i="3"/>
  <c r="DP173" i="3"/>
  <c r="FD173" i="3"/>
  <c r="DP99" i="3"/>
  <c r="FD99" i="3"/>
  <c r="DP187" i="3"/>
  <c r="FD187" i="3"/>
  <c r="DP87" i="3"/>
  <c r="FD87" i="3"/>
  <c r="DP146" i="3"/>
  <c r="FD146" i="3"/>
  <c r="FD93" i="3"/>
  <c r="DP93" i="3"/>
  <c r="DP113" i="3"/>
  <c r="FD113" i="3"/>
  <c r="DP104" i="3"/>
  <c r="FD104" i="3"/>
  <c r="DP124" i="3"/>
  <c r="FD124" i="3"/>
  <c r="DP153" i="3"/>
  <c r="FD153" i="3"/>
  <c r="DP123" i="3"/>
  <c r="FD123" i="3"/>
  <c r="DL186" i="3"/>
  <c r="FC186" i="3"/>
  <c r="DP138" i="3"/>
  <c r="FD138" i="3"/>
  <c r="DP196" i="3"/>
  <c r="FD196" i="3"/>
  <c r="FD46" i="3"/>
  <c r="DP46" i="3"/>
  <c r="DP7" i="3"/>
  <c r="FD7" i="3"/>
  <c r="DP190" i="3"/>
  <c r="FD190" i="3"/>
  <c r="DP44" i="3"/>
  <c r="FD44" i="3"/>
  <c r="DP109" i="3"/>
  <c r="FD109" i="3"/>
  <c r="DP58" i="3"/>
  <c r="FD58" i="3"/>
  <c r="DP66" i="3"/>
  <c r="FD66" i="3"/>
  <c r="DP107" i="3"/>
  <c r="FD107" i="3"/>
  <c r="DP9" i="3"/>
  <c r="FD9" i="3"/>
  <c r="DP72" i="3"/>
  <c r="FD72" i="3"/>
  <c r="DP86" i="3"/>
  <c r="FD86" i="3"/>
  <c r="DP5" i="3"/>
  <c r="FD5" i="3"/>
  <c r="DP25" i="3"/>
  <c r="FD25" i="3"/>
  <c r="DP22" i="3"/>
  <c r="FD22" i="3"/>
  <c r="DP188" i="3"/>
  <c r="FD188" i="3"/>
  <c r="FD165" i="3"/>
  <c r="DP165" i="3"/>
  <c r="DP23" i="3"/>
  <c r="FD23" i="3"/>
  <c r="FD77" i="3"/>
  <c r="DP77" i="3"/>
  <c r="DP96" i="3"/>
  <c r="FD96" i="3"/>
  <c r="FD36" i="3"/>
  <c r="DP36" i="3"/>
  <c r="DP39" i="3"/>
  <c r="FD39" i="3"/>
  <c r="DP189" i="3"/>
  <c r="FD189" i="3"/>
  <c r="DP125" i="3"/>
  <c r="FD125" i="3"/>
  <c r="DP168" i="3"/>
  <c r="FD168" i="3"/>
  <c r="DP148" i="3"/>
  <c r="FD148" i="3"/>
  <c r="DP145" i="3"/>
  <c r="FD145" i="3"/>
  <c r="DP155" i="3"/>
  <c r="FD155" i="3"/>
  <c r="DP160" i="3"/>
  <c r="FD160" i="3"/>
  <c r="DP20" i="3"/>
  <c r="FD20" i="3"/>
  <c r="DP162" i="3"/>
  <c r="FD162" i="3"/>
  <c r="FD70" i="3"/>
  <c r="DP70" i="3"/>
  <c r="DP159" i="3"/>
  <c r="FD159" i="3"/>
  <c r="DP136" i="3"/>
  <c r="FD136" i="3"/>
  <c r="DP134" i="3"/>
  <c r="FD134" i="3"/>
  <c r="DP201" i="3"/>
  <c r="FD201" i="3"/>
  <c r="DP157" i="3"/>
  <c r="FD157" i="3"/>
  <c r="DP167" i="3"/>
  <c r="FD167" i="3"/>
  <c r="DP6" i="3"/>
  <c r="FD6" i="3"/>
  <c r="DP152" i="3"/>
  <c r="FD152" i="3"/>
  <c r="DL185" i="3"/>
  <c r="FC185" i="3"/>
  <c r="DL182" i="3"/>
  <c r="FC182" i="3"/>
  <c r="DP163" i="3"/>
  <c r="FD163" i="3"/>
  <c r="DP151" i="3"/>
  <c r="FD151" i="3"/>
  <c r="DP56" i="3"/>
  <c r="FD56" i="3"/>
  <c r="FD195" i="3"/>
  <c r="DP195" i="3"/>
  <c r="FD95" i="3"/>
  <c r="DP95" i="3"/>
  <c r="FD68" i="3"/>
  <c r="DP68" i="3"/>
  <c r="DP120" i="3"/>
  <c r="FD120" i="3"/>
  <c r="DP62" i="3"/>
  <c r="FD62" i="3"/>
  <c r="DP140" i="3"/>
  <c r="FD140" i="3"/>
  <c r="FD67" i="3"/>
  <c r="DP67" i="3"/>
  <c r="DP45" i="3"/>
  <c r="FD45" i="3"/>
  <c r="DP118" i="3"/>
  <c r="FD118" i="3"/>
  <c r="FD10" i="3"/>
  <c r="DP10" i="3"/>
  <c r="DP40" i="3"/>
  <c r="FD40" i="3"/>
  <c r="DP50" i="3"/>
  <c r="FD50" i="3"/>
  <c r="DT70" i="3" l="1"/>
  <c r="FE70" i="3"/>
  <c r="FE50" i="3"/>
  <c r="DT50" i="3"/>
  <c r="DT157" i="3"/>
  <c r="FE157" i="3"/>
  <c r="DT155" i="3"/>
  <c r="FE155" i="3"/>
  <c r="DT148" i="3"/>
  <c r="FE148" i="3"/>
  <c r="FE39" i="3"/>
  <c r="DT39" i="3"/>
  <c r="DT96" i="3"/>
  <c r="FE96" i="3"/>
  <c r="DT23" i="3"/>
  <c r="FE23" i="3"/>
  <c r="DT188" i="3"/>
  <c r="FE188" i="3"/>
  <c r="DT25" i="3"/>
  <c r="FE25" i="3"/>
  <c r="DT86" i="3"/>
  <c r="FE86" i="3"/>
  <c r="FE9" i="3"/>
  <c r="DT9" i="3"/>
  <c r="FE66" i="3"/>
  <c r="DT66" i="3"/>
  <c r="FE109" i="3"/>
  <c r="DT109" i="3"/>
  <c r="DT190" i="3"/>
  <c r="FE190" i="3"/>
  <c r="DT196" i="3"/>
  <c r="FE196" i="3"/>
  <c r="DP186" i="3"/>
  <c r="FD186" i="3"/>
  <c r="DT153" i="3"/>
  <c r="FE153" i="3"/>
  <c r="DT104" i="3"/>
  <c r="FE104" i="3"/>
  <c r="FE87" i="3"/>
  <c r="DT87" i="3"/>
  <c r="DT99" i="3"/>
  <c r="FE99" i="3"/>
  <c r="DT158" i="3"/>
  <c r="FE158" i="3"/>
  <c r="DT169" i="3"/>
  <c r="FE169" i="3"/>
  <c r="DT63" i="3"/>
  <c r="FE63" i="3"/>
  <c r="DT149" i="3"/>
  <c r="FE149" i="3"/>
  <c r="FE32" i="3"/>
  <c r="DT32" i="3"/>
  <c r="DT170" i="3"/>
  <c r="FE170" i="3"/>
  <c r="DP183" i="3"/>
  <c r="FD183" i="3"/>
  <c r="DT12" i="3"/>
  <c r="FE12" i="3"/>
  <c r="DT27" i="3"/>
  <c r="FE27" i="3"/>
  <c r="FE94" i="3"/>
  <c r="DT94" i="3"/>
  <c r="FE11" i="3"/>
  <c r="DT11" i="3"/>
  <c r="DT65" i="3"/>
  <c r="FE65" i="3"/>
  <c r="DT191" i="3"/>
  <c r="FE191" i="3"/>
  <c r="DT116" i="3"/>
  <c r="FE116" i="3"/>
  <c r="FE15" i="3"/>
  <c r="DT15" i="3"/>
  <c r="DT84" i="3"/>
  <c r="FE84" i="3"/>
  <c r="DT37" i="3"/>
  <c r="FE37" i="3"/>
  <c r="DT198" i="3"/>
  <c r="FE198" i="3"/>
  <c r="DT112" i="3"/>
  <c r="FE112" i="3"/>
  <c r="DT49" i="3"/>
  <c r="FE49" i="3"/>
  <c r="DT18" i="3"/>
  <c r="FE18" i="3"/>
  <c r="DT82" i="3"/>
  <c r="FE82" i="3"/>
  <c r="DT45" i="3"/>
  <c r="FE45" i="3"/>
  <c r="DT140" i="3"/>
  <c r="FE140" i="3"/>
  <c r="DT56" i="3"/>
  <c r="FE56" i="3"/>
  <c r="DP185" i="3"/>
  <c r="FD185" i="3"/>
  <c r="DT20" i="3"/>
  <c r="FE20" i="3"/>
  <c r="DT67" i="3"/>
  <c r="FE67" i="3"/>
  <c r="DT195" i="3"/>
  <c r="FE195" i="3"/>
  <c r="FE36" i="3"/>
  <c r="DT36" i="3"/>
  <c r="DT77" i="3"/>
  <c r="FE77" i="3"/>
  <c r="FE165" i="3"/>
  <c r="DT165" i="3"/>
  <c r="DT46" i="3"/>
  <c r="FE46" i="3"/>
  <c r="DT81" i="3"/>
  <c r="FE81" i="3"/>
  <c r="DT80" i="3"/>
  <c r="FE80" i="3"/>
  <c r="DT41" i="3"/>
  <c r="FE41" i="3"/>
  <c r="DT73" i="3"/>
  <c r="FE73" i="3"/>
  <c r="DT57" i="3"/>
  <c r="FE57" i="3"/>
  <c r="DT101" i="3"/>
  <c r="FE101" i="3"/>
  <c r="DT130" i="3"/>
  <c r="FE130" i="3"/>
  <c r="DT144" i="3"/>
  <c r="FE144" i="3"/>
  <c r="FE19" i="3"/>
  <c r="DT19" i="3"/>
  <c r="FE76" i="3"/>
  <c r="DT76" i="3"/>
  <c r="DP179" i="3"/>
  <c r="FD179" i="3"/>
  <c r="DT127" i="3"/>
  <c r="FE127" i="3"/>
  <c r="DT141" i="3"/>
  <c r="FE141" i="3"/>
  <c r="FE69" i="3"/>
  <c r="DT69" i="3"/>
  <c r="DT199" i="3"/>
  <c r="FE199" i="3"/>
  <c r="FE103" i="3"/>
  <c r="DT103" i="3"/>
  <c r="DT13" i="3"/>
  <c r="FE13" i="3"/>
  <c r="DT154" i="3"/>
  <c r="FE154" i="3"/>
  <c r="FE192" i="3"/>
  <c r="DT192" i="3"/>
  <c r="DT71" i="3"/>
  <c r="FE71" i="3"/>
  <c r="DT33" i="3"/>
  <c r="FE33" i="3"/>
  <c r="DT105" i="3"/>
  <c r="FE105" i="3"/>
  <c r="FE52" i="3"/>
  <c r="DT52" i="3"/>
  <c r="FE102" i="3"/>
  <c r="DT102" i="3"/>
  <c r="DT114" i="3"/>
  <c r="FE114" i="3"/>
  <c r="DT106" i="3"/>
  <c r="FE106" i="3"/>
  <c r="FE30" i="3"/>
  <c r="DT30" i="3"/>
  <c r="FE110" i="3"/>
  <c r="DT110" i="3"/>
  <c r="FE34" i="3"/>
  <c r="DT34" i="3"/>
  <c r="DT42" i="3"/>
  <c r="FE42" i="3"/>
  <c r="DT35" i="3"/>
  <c r="FE35" i="3"/>
  <c r="DT78" i="3"/>
  <c r="FE78" i="3"/>
  <c r="DT60" i="3"/>
  <c r="FE60" i="3"/>
  <c r="FE4" i="3"/>
  <c r="DT4" i="3"/>
  <c r="DT150" i="3"/>
  <c r="FE150" i="3"/>
  <c r="DT43" i="3"/>
  <c r="FE43" i="3"/>
  <c r="DT121" i="3"/>
  <c r="FE121" i="3"/>
  <c r="DT21" i="3"/>
  <c r="FE21" i="3"/>
  <c r="DP178" i="3"/>
  <c r="FD178" i="3"/>
  <c r="DT117" i="3"/>
  <c r="FE117" i="3"/>
  <c r="DT166" i="3"/>
  <c r="FE166" i="3"/>
  <c r="FE64" i="3"/>
  <c r="DT64" i="3"/>
  <c r="DP180" i="3"/>
  <c r="FD180" i="3"/>
  <c r="DT137" i="3"/>
  <c r="FE137" i="3"/>
  <c r="FE54" i="3"/>
  <c r="DT54" i="3"/>
  <c r="DT10" i="3"/>
  <c r="FE10" i="3"/>
  <c r="DT95" i="3"/>
  <c r="FE95" i="3"/>
  <c r="FE120" i="3"/>
  <c r="DT120" i="3"/>
  <c r="DT163" i="3"/>
  <c r="FE163" i="3"/>
  <c r="DT6" i="3"/>
  <c r="FE6" i="3"/>
  <c r="DT136" i="3"/>
  <c r="FE136" i="3"/>
  <c r="DT125" i="3"/>
  <c r="FE125" i="3"/>
  <c r="DT68" i="3"/>
  <c r="FE68" i="3"/>
  <c r="FE40" i="3"/>
  <c r="DT40" i="3"/>
  <c r="FE118" i="3"/>
  <c r="DT118" i="3"/>
  <c r="DT62" i="3"/>
  <c r="FE62" i="3"/>
  <c r="DT151" i="3"/>
  <c r="FE151" i="3"/>
  <c r="DP182" i="3"/>
  <c r="FD182" i="3"/>
  <c r="DT152" i="3"/>
  <c r="FE152" i="3"/>
  <c r="DT167" i="3"/>
  <c r="FE167" i="3"/>
  <c r="DT201" i="3"/>
  <c r="FE201" i="3"/>
  <c r="DT134" i="3"/>
  <c r="FE134" i="3"/>
  <c r="DT159" i="3"/>
  <c r="FE159" i="3"/>
  <c r="DT162" i="3"/>
  <c r="FE162" i="3"/>
  <c r="DT160" i="3"/>
  <c r="FE160" i="3"/>
  <c r="DT145" i="3"/>
  <c r="FE145" i="3"/>
  <c r="DT168" i="3"/>
  <c r="FE168" i="3"/>
  <c r="DT189" i="3"/>
  <c r="FE189" i="3"/>
  <c r="DT22" i="3"/>
  <c r="FE22" i="3"/>
  <c r="DT5" i="3"/>
  <c r="FE5" i="3"/>
  <c r="FE72" i="3"/>
  <c r="DT72" i="3"/>
  <c r="FE107" i="3"/>
  <c r="DT107" i="3"/>
  <c r="DT58" i="3"/>
  <c r="FE58" i="3"/>
  <c r="FE44" i="3"/>
  <c r="DT44" i="3"/>
  <c r="FE7" i="3"/>
  <c r="DT7" i="3"/>
  <c r="DT138" i="3"/>
  <c r="FE138" i="3"/>
  <c r="DT123" i="3"/>
  <c r="FE123" i="3"/>
  <c r="DT124" i="3"/>
  <c r="FE124" i="3"/>
  <c r="FE113" i="3"/>
  <c r="DT113" i="3"/>
  <c r="DT146" i="3"/>
  <c r="FE146" i="3"/>
  <c r="DT187" i="3"/>
  <c r="FE187" i="3"/>
  <c r="DT173" i="3"/>
  <c r="FE173" i="3"/>
  <c r="DT202" i="3"/>
  <c r="FE202" i="3"/>
  <c r="FE55" i="3"/>
  <c r="DT55" i="3"/>
  <c r="DT115" i="3"/>
  <c r="FE115" i="3"/>
  <c r="DT172" i="3"/>
  <c r="FE172" i="3"/>
  <c r="DT132" i="3"/>
  <c r="FE132" i="3"/>
  <c r="DT17" i="3"/>
  <c r="FE17" i="3"/>
  <c r="FE98" i="3"/>
  <c r="DT98" i="3"/>
  <c r="FE38" i="3"/>
  <c r="DT38" i="3"/>
  <c r="DT119" i="3"/>
  <c r="FE119" i="3"/>
  <c r="FE200" i="3"/>
  <c r="DT200" i="3"/>
  <c r="DT14" i="3"/>
  <c r="FE14" i="3"/>
  <c r="DT85" i="3"/>
  <c r="FE85" i="3"/>
  <c r="FE122" i="3"/>
  <c r="DT122" i="3"/>
  <c r="FE53" i="3"/>
  <c r="DT53" i="3"/>
  <c r="FE3" i="3"/>
  <c r="DT3" i="3"/>
  <c r="DT48" i="3"/>
  <c r="FE48" i="3"/>
  <c r="FE74" i="3"/>
  <c r="DT74" i="3"/>
  <c r="DT79" i="3"/>
  <c r="FE79" i="3"/>
  <c r="DT93" i="3"/>
  <c r="FE93" i="3"/>
  <c r="DT47" i="3"/>
  <c r="FE47" i="3"/>
  <c r="DT197" i="3"/>
  <c r="FE197" i="3"/>
  <c r="DT28" i="3"/>
  <c r="FE28" i="3"/>
  <c r="FE90" i="3"/>
  <c r="DT90" i="3"/>
  <c r="DT128" i="3"/>
  <c r="FE128" i="3"/>
  <c r="DT133" i="3"/>
  <c r="FE133" i="3"/>
  <c r="FE92" i="3"/>
  <c r="DT92" i="3"/>
  <c r="DT126" i="3"/>
  <c r="FE126" i="3"/>
  <c r="DP181" i="3"/>
  <c r="FD181" i="3"/>
  <c r="DT142" i="3"/>
  <c r="FE142" i="3"/>
  <c r="DP174" i="3"/>
  <c r="FD174" i="3"/>
  <c r="DT164" i="3"/>
  <c r="FE164" i="3"/>
  <c r="DP184" i="3"/>
  <c r="FD184" i="3"/>
  <c r="DT129" i="3"/>
  <c r="FE129" i="3"/>
  <c r="DT171" i="3"/>
  <c r="FE171" i="3"/>
  <c r="FE88" i="3"/>
  <c r="DT88" i="3"/>
  <c r="FE24" i="3"/>
  <c r="DT24" i="3"/>
  <c r="DT8" i="3"/>
  <c r="FE8" i="3"/>
  <c r="FE100" i="3"/>
  <c r="DT100" i="3"/>
  <c r="DT61" i="3"/>
  <c r="FE61" i="3"/>
  <c r="FE83" i="3"/>
  <c r="DT83" i="3"/>
  <c r="DT51" i="3"/>
  <c r="FE51" i="3"/>
  <c r="DT194" i="3"/>
  <c r="FE194" i="3"/>
  <c r="DT89" i="3"/>
  <c r="FE89" i="3"/>
  <c r="DT26" i="3"/>
  <c r="FE26" i="3"/>
  <c r="DT108" i="3"/>
  <c r="FE108" i="3"/>
  <c r="DT111" i="3"/>
  <c r="FE111" i="3"/>
  <c r="DT29" i="3"/>
  <c r="FE29" i="3"/>
  <c r="FE16" i="3"/>
  <c r="DT16" i="3"/>
  <c r="DT143" i="3"/>
  <c r="FE143" i="3"/>
  <c r="DP175" i="3"/>
  <c r="FD175" i="3"/>
  <c r="DT161" i="3"/>
  <c r="FE161" i="3"/>
  <c r="DT75" i="3"/>
  <c r="FE75" i="3"/>
  <c r="DT193" i="3"/>
  <c r="FE193" i="3"/>
  <c r="DT156" i="3"/>
  <c r="FE156" i="3"/>
  <c r="DT59" i="3"/>
  <c r="FE59" i="3"/>
  <c r="FE91" i="3"/>
  <c r="DT91" i="3"/>
  <c r="DT131" i="3"/>
  <c r="FE131" i="3"/>
  <c r="DP177" i="3"/>
  <c r="FD177" i="3"/>
  <c r="DT147" i="3"/>
  <c r="FE147" i="3"/>
  <c r="DT135" i="3"/>
  <c r="FE135" i="3"/>
  <c r="DT139" i="3"/>
  <c r="FE139" i="3"/>
  <c r="DT31" i="3"/>
  <c r="FE31" i="3"/>
  <c r="DX91" i="3" l="1"/>
  <c r="FF91" i="3"/>
  <c r="FF16" i="3"/>
  <c r="DX16" i="3"/>
  <c r="FF83" i="3"/>
  <c r="DX83" i="3"/>
  <c r="FF100" i="3"/>
  <c r="DX100" i="3"/>
  <c r="FF24" i="3"/>
  <c r="DX24" i="3"/>
  <c r="FF92" i="3"/>
  <c r="DX92" i="3"/>
  <c r="DX74" i="3"/>
  <c r="FF74" i="3"/>
  <c r="DX3" i="3"/>
  <c r="FF3" i="3"/>
  <c r="FF122" i="3"/>
  <c r="DX122" i="3"/>
  <c r="DX98" i="3"/>
  <c r="FF98" i="3"/>
  <c r="DX113" i="3"/>
  <c r="FF113" i="3"/>
  <c r="DX7" i="3"/>
  <c r="FF7" i="3"/>
  <c r="FF72" i="3"/>
  <c r="DX72" i="3"/>
  <c r="DX118" i="3"/>
  <c r="FF118" i="3"/>
  <c r="FF54" i="3"/>
  <c r="DX54" i="3"/>
  <c r="FF34" i="3"/>
  <c r="DX34" i="3"/>
  <c r="FF30" i="3"/>
  <c r="DX30" i="3"/>
  <c r="DX52" i="3"/>
  <c r="FF52" i="3"/>
  <c r="FF192" i="3"/>
  <c r="DX192" i="3"/>
  <c r="DX19" i="3"/>
  <c r="FF19" i="3"/>
  <c r="FF165" i="3"/>
  <c r="DX165" i="3"/>
  <c r="FF36" i="3"/>
  <c r="DX36" i="3"/>
  <c r="FF15" i="3"/>
  <c r="DX15" i="3"/>
  <c r="FF11" i="3"/>
  <c r="DX11" i="3"/>
  <c r="FF32" i="3"/>
  <c r="DX32" i="3"/>
  <c r="DX87" i="3"/>
  <c r="FF87" i="3"/>
  <c r="FF109" i="3"/>
  <c r="DX109" i="3"/>
  <c r="DX9" i="3"/>
  <c r="FF9" i="3"/>
  <c r="FF39" i="3"/>
  <c r="DX39" i="3"/>
  <c r="FF50" i="3"/>
  <c r="DX50" i="3"/>
  <c r="FF135" i="3"/>
  <c r="DX135" i="3"/>
  <c r="FF75" i="3"/>
  <c r="DX75" i="3"/>
  <c r="DX111" i="3"/>
  <c r="FF111" i="3"/>
  <c r="FF26" i="3"/>
  <c r="DX26" i="3"/>
  <c r="FF194" i="3"/>
  <c r="DX194" i="3"/>
  <c r="FF171" i="3"/>
  <c r="DX171" i="3"/>
  <c r="DT184" i="3"/>
  <c r="FE184" i="3"/>
  <c r="DT174" i="3"/>
  <c r="FE174" i="3"/>
  <c r="DT181" i="3"/>
  <c r="FE181" i="3"/>
  <c r="DX128" i="3"/>
  <c r="FF128" i="3"/>
  <c r="DX28" i="3"/>
  <c r="FF28" i="3"/>
  <c r="FF47" i="3"/>
  <c r="DX47" i="3"/>
  <c r="FF14" i="3"/>
  <c r="DX14" i="3"/>
  <c r="DX119" i="3"/>
  <c r="FF119" i="3"/>
  <c r="DX132" i="3"/>
  <c r="FF132" i="3"/>
  <c r="FF115" i="3"/>
  <c r="DX115" i="3"/>
  <c r="FF202" i="3"/>
  <c r="DX202" i="3"/>
  <c r="F202" i="1" s="1"/>
  <c r="H202" i="1" s="1"/>
  <c r="DX187" i="3"/>
  <c r="FF187" i="3"/>
  <c r="FF123" i="3"/>
  <c r="DX123" i="3"/>
  <c r="DX58" i="3"/>
  <c r="FF58" i="3"/>
  <c r="FF22" i="3"/>
  <c r="DX22" i="3"/>
  <c r="FF168" i="3"/>
  <c r="DX168" i="3"/>
  <c r="FF160" i="3"/>
  <c r="DX160" i="3"/>
  <c r="FF159" i="3"/>
  <c r="DX159" i="3"/>
  <c r="FF201" i="3"/>
  <c r="DX201" i="3"/>
  <c r="DX152" i="3"/>
  <c r="FF152" i="3"/>
  <c r="FF151" i="3"/>
  <c r="DX151" i="3"/>
  <c r="DX68" i="3"/>
  <c r="FF68" i="3"/>
  <c r="FF136" i="3"/>
  <c r="DX136" i="3"/>
  <c r="FF163" i="3"/>
  <c r="DX163" i="3"/>
  <c r="FF95" i="3"/>
  <c r="DX95" i="3"/>
  <c r="DT180" i="3"/>
  <c r="FE180" i="3"/>
  <c r="DX166" i="3"/>
  <c r="FF166" i="3"/>
  <c r="DT178" i="3"/>
  <c r="FE178" i="3"/>
  <c r="DX121" i="3"/>
  <c r="FF121" i="3"/>
  <c r="FF150" i="3"/>
  <c r="DX150" i="3"/>
  <c r="FF60" i="3"/>
  <c r="DX60" i="3"/>
  <c r="FF35" i="3"/>
  <c r="DX35" i="3"/>
  <c r="FF114" i="3"/>
  <c r="DX114" i="3"/>
  <c r="DX33" i="3"/>
  <c r="FF33" i="3"/>
  <c r="DX13" i="3"/>
  <c r="FF13" i="3"/>
  <c r="DX199" i="3"/>
  <c r="FF199" i="3"/>
  <c r="FF141" i="3"/>
  <c r="DX141" i="3"/>
  <c r="DT179" i="3"/>
  <c r="FE179" i="3"/>
  <c r="FF130" i="3"/>
  <c r="DX130" i="3"/>
  <c r="DX57" i="3"/>
  <c r="FF57" i="3"/>
  <c r="FF41" i="3"/>
  <c r="DX41" i="3"/>
  <c r="DX81" i="3"/>
  <c r="FF81" i="3"/>
  <c r="FF67" i="3"/>
  <c r="DX67" i="3"/>
  <c r="DX56" i="3"/>
  <c r="FF56" i="3"/>
  <c r="FF45" i="3"/>
  <c r="DX45" i="3"/>
  <c r="DX18" i="3"/>
  <c r="FF18" i="3"/>
  <c r="FF112" i="3"/>
  <c r="DX112" i="3"/>
  <c r="DX37" i="3"/>
  <c r="FF37" i="3"/>
  <c r="FF191" i="3"/>
  <c r="DX191" i="3"/>
  <c r="DX27" i="3"/>
  <c r="FF27" i="3"/>
  <c r="DT183" i="3"/>
  <c r="FE183" i="3"/>
  <c r="FF63" i="3"/>
  <c r="DX63" i="3"/>
  <c r="DX158" i="3"/>
  <c r="FF158" i="3"/>
  <c r="FF153" i="3"/>
  <c r="DX153" i="3"/>
  <c r="FF196" i="3"/>
  <c r="DX196" i="3"/>
  <c r="FF25" i="3"/>
  <c r="DX25" i="3"/>
  <c r="FF23" i="3"/>
  <c r="DX23" i="3"/>
  <c r="FF155" i="3"/>
  <c r="DX155" i="3"/>
  <c r="DX31" i="3"/>
  <c r="FF31" i="3"/>
  <c r="DT177" i="3"/>
  <c r="FE177" i="3"/>
  <c r="DT175" i="3"/>
  <c r="FE175" i="3"/>
  <c r="FF88" i="3"/>
  <c r="DX88" i="3"/>
  <c r="FF90" i="3"/>
  <c r="DX90" i="3"/>
  <c r="FF53" i="3"/>
  <c r="DX53" i="3"/>
  <c r="FF200" i="3"/>
  <c r="DX200" i="3"/>
  <c r="FF38" i="3"/>
  <c r="DX38" i="3"/>
  <c r="FF55" i="3"/>
  <c r="DX55" i="3"/>
  <c r="FF44" i="3"/>
  <c r="DX44" i="3"/>
  <c r="FF107" i="3"/>
  <c r="DX107" i="3"/>
  <c r="DX40" i="3"/>
  <c r="FF40" i="3"/>
  <c r="FF120" i="3"/>
  <c r="DX120" i="3"/>
  <c r="DX64" i="3"/>
  <c r="FF64" i="3"/>
  <c r="DX4" i="3"/>
  <c r="FF4" i="3"/>
  <c r="FF110" i="3"/>
  <c r="DX110" i="3"/>
  <c r="DX102" i="3"/>
  <c r="FF102" i="3"/>
  <c r="DX103" i="3"/>
  <c r="FF103" i="3"/>
  <c r="FF69" i="3"/>
  <c r="DX69" i="3"/>
  <c r="FF76" i="3"/>
  <c r="DX76" i="3"/>
  <c r="FF94" i="3"/>
  <c r="DX94" i="3"/>
  <c r="DX66" i="3"/>
  <c r="FF66" i="3"/>
  <c r="FF156" i="3"/>
  <c r="DX156" i="3"/>
  <c r="DX139" i="3"/>
  <c r="FF139" i="3"/>
  <c r="DX147" i="3"/>
  <c r="FF147" i="3"/>
  <c r="FF131" i="3"/>
  <c r="DX131" i="3"/>
  <c r="FF59" i="3"/>
  <c r="DX59" i="3"/>
  <c r="FF193" i="3"/>
  <c r="DX193" i="3"/>
  <c r="FF161" i="3"/>
  <c r="DX161" i="3"/>
  <c r="FF143" i="3"/>
  <c r="DX143" i="3"/>
  <c r="FF29" i="3"/>
  <c r="DX29" i="3"/>
  <c r="FF108" i="3"/>
  <c r="DX108" i="3"/>
  <c r="DX89" i="3"/>
  <c r="FF89" i="3"/>
  <c r="FF51" i="3"/>
  <c r="DX51" i="3"/>
  <c r="FF61" i="3"/>
  <c r="DX61" i="3"/>
  <c r="DX8" i="3"/>
  <c r="FF8" i="3"/>
  <c r="FF129" i="3"/>
  <c r="DX129" i="3"/>
  <c r="FF164" i="3"/>
  <c r="DX164" i="3"/>
  <c r="FF142" i="3"/>
  <c r="DX142" i="3"/>
  <c r="FF126" i="3"/>
  <c r="DX126" i="3"/>
  <c r="FF133" i="3"/>
  <c r="DX133" i="3"/>
  <c r="FF197" i="3"/>
  <c r="DX197" i="3"/>
  <c r="FF93" i="3"/>
  <c r="DX93" i="3"/>
  <c r="DX79" i="3"/>
  <c r="FF79" i="3"/>
  <c r="FF48" i="3"/>
  <c r="DX48" i="3"/>
  <c r="FF85" i="3"/>
  <c r="DX85" i="3"/>
  <c r="DX17" i="3"/>
  <c r="FF17" i="3"/>
  <c r="FF172" i="3"/>
  <c r="DX172" i="3"/>
  <c r="FF173" i="3"/>
  <c r="DX173" i="3"/>
  <c r="FF146" i="3"/>
  <c r="DX146" i="3"/>
  <c r="FF124" i="3"/>
  <c r="DX124" i="3"/>
  <c r="FF138" i="3"/>
  <c r="DX138" i="3"/>
  <c r="DX5" i="3"/>
  <c r="FF5" i="3"/>
  <c r="FF189" i="3"/>
  <c r="DX189" i="3"/>
  <c r="DX145" i="3"/>
  <c r="FF145" i="3"/>
  <c r="FF162" i="3"/>
  <c r="DX162" i="3"/>
  <c r="DX134" i="3"/>
  <c r="FF134" i="3"/>
  <c r="FF167" i="3"/>
  <c r="DX167" i="3"/>
  <c r="DT182" i="3"/>
  <c r="FE182" i="3"/>
  <c r="DX62" i="3"/>
  <c r="FF62" i="3"/>
  <c r="DX125" i="3"/>
  <c r="FF125" i="3"/>
  <c r="FF6" i="3"/>
  <c r="DX6" i="3"/>
  <c r="DX10" i="3"/>
  <c r="FF10" i="3"/>
  <c r="FF137" i="3"/>
  <c r="DX137" i="3"/>
  <c r="FF117" i="3"/>
  <c r="DX117" i="3"/>
  <c r="DX21" i="3"/>
  <c r="FF21" i="3"/>
  <c r="FF43" i="3"/>
  <c r="DX43" i="3"/>
  <c r="DX78" i="3"/>
  <c r="FF78" i="3"/>
  <c r="FF42" i="3"/>
  <c r="DX42" i="3"/>
  <c r="FF106" i="3"/>
  <c r="DX106" i="3"/>
  <c r="DX105" i="3"/>
  <c r="FF105" i="3"/>
  <c r="FF71" i="3"/>
  <c r="DX71" i="3"/>
  <c r="FF154" i="3"/>
  <c r="DX154" i="3"/>
  <c r="FF127" i="3"/>
  <c r="DX127" i="3"/>
  <c r="FF144" i="3"/>
  <c r="DX144" i="3"/>
  <c r="FF101" i="3"/>
  <c r="DX101" i="3"/>
  <c r="FF73" i="3"/>
  <c r="DX73" i="3"/>
  <c r="DX80" i="3"/>
  <c r="FF80" i="3"/>
  <c r="FF46" i="3"/>
  <c r="DX46" i="3"/>
  <c r="FF77" i="3"/>
  <c r="DX77" i="3"/>
  <c r="FF195" i="3"/>
  <c r="DX195" i="3"/>
  <c r="DX20" i="3"/>
  <c r="FF20" i="3"/>
  <c r="DT185" i="3"/>
  <c r="FE185" i="3"/>
  <c r="DX140" i="3"/>
  <c r="FF140" i="3"/>
  <c r="FF82" i="3"/>
  <c r="DX82" i="3"/>
  <c r="FF49" i="3"/>
  <c r="DX49" i="3"/>
  <c r="FF198" i="3"/>
  <c r="DX198" i="3"/>
  <c r="DX84" i="3"/>
  <c r="FF84" i="3"/>
  <c r="FF116" i="3"/>
  <c r="DX116" i="3"/>
  <c r="DX65" i="3"/>
  <c r="FF65" i="3"/>
  <c r="FF12" i="3"/>
  <c r="DX12" i="3"/>
  <c r="FF170" i="3"/>
  <c r="DX170" i="3"/>
  <c r="FF149" i="3"/>
  <c r="DX149" i="3"/>
  <c r="DX169" i="3"/>
  <c r="FF169" i="3"/>
  <c r="DX99" i="3"/>
  <c r="FF99" i="3"/>
  <c r="FF104" i="3"/>
  <c r="DX104" i="3"/>
  <c r="DT186" i="3"/>
  <c r="FE186" i="3"/>
  <c r="FF190" i="3"/>
  <c r="DX190" i="3"/>
  <c r="FF86" i="3"/>
  <c r="DX86" i="3"/>
  <c r="FF188" i="3"/>
  <c r="DX188" i="3"/>
  <c r="FF96" i="3"/>
  <c r="DX96" i="3"/>
  <c r="FF148" i="3"/>
  <c r="DX148" i="3"/>
  <c r="FF157" i="3"/>
  <c r="DX157" i="3"/>
  <c r="DX70" i="3"/>
  <c r="FF70" i="3"/>
  <c r="FG140" i="3" l="1"/>
  <c r="FG139" i="3"/>
  <c r="FG128" i="3"/>
  <c r="FG144" i="3"/>
  <c r="FG142" i="3"/>
  <c r="FG156" i="3"/>
  <c r="FG150" i="3"/>
  <c r="FG135" i="3"/>
  <c r="FG158" i="3"/>
  <c r="FG148" i="3"/>
  <c r="FG146" i="3"/>
  <c r="FG164" i="3"/>
  <c r="FG143" i="3"/>
  <c r="FG131" i="3"/>
  <c r="FG141" i="3"/>
  <c r="FG151" i="3"/>
  <c r="FG160" i="3"/>
  <c r="FG123" i="3"/>
  <c r="FG132" i="3"/>
  <c r="FG154" i="3"/>
  <c r="FG173" i="3"/>
  <c r="FG133" i="3"/>
  <c r="FG163" i="3"/>
  <c r="FG165" i="3"/>
  <c r="FG122" i="3"/>
  <c r="FG157" i="3"/>
  <c r="FG125" i="3"/>
  <c r="FG134" i="3"/>
  <c r="FG147" i="3"/>
  <c r="FG152" i="3"/>
  <c r="FG137" i="3"/>
  <c r="FG162" i="3"/>
  <c r="FG126" i="3"/>
  <c r="FG155" i="3"/>
  <c r="FG153" i="3"/>
  <c r="FG130" i="3"/>
  <c r="FG136" i="3"/>
  <c r="FG145" i="3"/>
  <c r="FG121" i="3"/>
  <c r="F103" i="1"/>
  <c r="H103" i="1" s="1"/>
  <c r="FG103" i="3"/>
  <c r="F109" i="1"/>
  <c r="H109" i="1" s="1"/>
  <c r="FG109" i="3"/>
  <c r="F110" i="1"/>
  <c r="H110" i="1" s="1"/>
  <c r="FG110" i="3"/>
  <c r="F27" i="1"/>
  <c r="H27" i="1" s="1"/>
  <c r="FG27" i="3"/>
  <c r="F9" i="1"/>
  <c r="FG9" i="3"/>
  <c r="F87" i="1"/>
  <c r="H87" i="1" s="1"/>
  <c r="FG87" i="3"/>
  <c r="F52" i="1"/>
  <c r="H52" i="1" s="1"/>
  <c r="FG52" i="3"/>
  <c r="F118" i="1"/>
  <c r="H118" i="1" s="1"/>
  <c r="FG118" i="3"/>
  <c r="F7" i="1"/>
  <c r="FG7" i="3"/>
  <c r="F98" i="1"/>
  <c r="H98" i="1" s="1"/>
  <c r="FG98" i="3"/>
  <c r="F3" i="1"/>
  <c r="FG3" i="3"/>
  <c r="F70" i="1"/>
  <c r="FG70" i="3"/>
  <c r="F84" i="1"/>
  <c r="H84" i="1" s="1"/>
  <c r="FG84" i="3"/>
  <c r="F20" i="1"/>
  <c r="FG20" i="3"/>
  <c r="F78" i="1"/>
  <c r="H78" i="1" s="1"/>
  <c r="FG78" i="3"/>
  <c r="F79" i="1"/>
  <c r="FG79" i="3"/>
  <c r="F8" i="1"/>
  <c r="FG8" i="3"/>
  <c r="F66" i="1"/>
  <c r="H66" i="1" s="1"/>
  <c r="FG66" i="3"/>
  <c r="F40" i="1"/>
  <c r="H40" i="1" s="1"/>
  <c r="FG40" i="3"/>
  <c r="F37" i="1"/>
  <c r="H37" i="1" s="1"/>
  <c r="FG37" i="3"/>
  <c r="F19" i="1"/>
  <c r="FG19" i="3"/>
  <c r="F96" i="1"/>
  <c r="FG96" i="3"/>
  <c r="F198" i="1"/>
  <c r="FG198" i="3"/>
  <c r="F195" i="1"/>
  <c r="H195" i="1" s="1"/>
  <c r="FG195" i="3"/>
  <c r="F73" i="1"/>
  <c r="FG73" i="3"/>
  <c r="F42" i="1"/>
  <c r="H42" i="1" s="1"/>
  <c r="FG42" i="3"/>
  <c r="F43" i="1"/>
  <c r="FG43" i="3"/>
  <c r="F117" i="1"/>
  <c r="FG117" i="3"/>
  <c r="F124" i="1"/>
  <c r="FG124" i="3"/>
  <c r="F48" i="1"/>
  <c r="H48" i="1" s="1"/>
  <c r="FG48" i="3"/>
  <c r="F93" i="1"/>
  <c r="H93" i="1" s="1"/>
  <c r="FG93" i="3"/>
  <c r="F129" i="1"/>
  <c r="H129" i="1" s="1"/>
  <c r="FG129" i="3"/>
  <c r="F61" i="1"/>
  <c r="FG61" i="3"/>
  <c r="F29" i="1"/>
  <c r="FG29" i="3"/>
  <c r="F161" i="1"/>
  <c r="H161" i="1" s="1"/>
  <c r="FG161" i="3"/>
  <c r="F59" i="1"/>
  <c r="H59" i="1" s="1"/>
  <c r="FG59" i="3"/>
  <c r="F94" i="1"/>
  <c r="FG94" i="3"/>
  <c r="F69" i="1"/>
  <c r="FG69" i="3"/>
  <c r="F120" i="1"/>
  <c r="H120" i="1" s="1"/>
  <c r="FG120" i="3"/>
  <c r="F107" i="1"/>
  <c r="H107" i="1" s="1"/>
  <c r="FG107" i="3"/>
  <c r="F55" i="1"/>
  <c r="H55" i="1" s="1"/>
  <c r="FG55" i="3"/>
  <c r="F200" i="1"/>
  <c r="H200" i="1" s="1"/>
  <c r="FG200" i="3"/>
  <c r="F90" i="1"/>
  <c r="FG90" i="3"/>
  <c r="F23" i="1"/>
  <c r="H23" i="1" s="1"/>
  <c r="FG23" i="3"/>
  <c r="F196" i="1"/>
  <c r="H196" i="1" s="1"/>
  <c r="FG196" i="3"/>
  <c r="F191" i="1"/>
  <c r="H191" i="1" s="1"/>
  <c r="FG191" i="3"/>
  <c r="F112" i="1"/>
  <c r="H112" i="1" s="1"/>
  <c r="FG112" i="3"/>
  <c r="F45" i="1"/>
  <c r="H45" i="1" s="1"/>
  <c r="FG45" i="3"/>
  <c r="F35" i="1"/>
  <c r="FG35" i="3"/>
  <c r="F159" i="1"/>
  <c r="H159" i="1" s="1"/>
  <c r="FG159" i="3"/>
  <c r="F168" i="1"/>
  <c r="H168" i="1" s="1"/>
  <c r="FG168" i="3"/>
  <c r="F115" i="1"/>
  <c r="H115" i="1" s="1"/>
  <c r="FG115" i="3"/>
  <c r="F194" i="1"/>
  <c r="H194" i="1" s="1"/>
  <c r="FG194" i="3"/>
  <c r="F39" i="1"/>
  <c r="H39" i="1" s="1"/>
  <c r="FG39" i="3"/>
  <c r="F32" i="1"/>
  <c r="H32" i="1" s="1"/>
  <c r="FG32" i="3"/>
  <c r="F15" i="1"/>
  <c r="FG15" i="3"/>
  <c r="F192" i="1"/>
  <c r="H192" i="1" s="1"/>
  <c r="FG192" i="3"/>
  <c r="F30" i="1"/>
  <c r="FG30" i="3"/>
  <c r="F54" i="1"/>
  <c r="FG54" i="3"/>
  <c r="F72" i="1"/>
  <c r="H72" i="1" s="1"/>
  <c r="FG72" i="3"/>
  <c r="F24" i="1"/>
  <c r="H24" i="1" s="1"/>
  <c r="FG24" i="3"/>
  <c r="F83" i="1"/>
  <c r="H83" i="1" s="1"/>
  <c r="FG83" i="3"/>
  <c r="F65" i="1"/>
  <c r="H65" i="1" s="1"/>
  <c r="FG65" i="3"/>
  <c r="F64" i="1"/>
  <c r="H64" i="1" s="1"/>
  <c r="FG64" i="3"/>
  <c r="F18" i="1"/>
  <c r="H18" i="1" s="1"/>
  <c r="FG18" i="3"/>
  <c r="F13" i="1"/>
  <c r="FG13" i="3"/>
  <c r="F166" i="1"/>
  <c r="H166" i="1" s="1"/>
  <c r="FG166" i="3"/>
  <c r="F86" i="1"/>
  <c r="FG86" i="3"/>
  <c r="F149" i="1"/>
  <c r="H149" i="1" s="1"/>
  <c r="FG149" i="3"/>
  <c r="F12" i="1"/>
  <c r="H12" i="1" s="1"/>
  <c r="FG12" i="3"/>
  <c r="F116" i="1"/>
  <c r="FG116" i="3"/>
  <c r="F82" i="1"/>
  <c r="H82" i="1" s="1"/>
  <c r="FG82" i="3"/>
  <c r="F46" i="1"/>
  <c r="H46" i="1" s="1"/>
  <c r="FG46" i="3"/>
  <c r="F99" i="1"/>
  <c r="H99" i="1" s="1"/>
  <c r="FG99" i="3"/>
  <c r="F105" i="1"/>
  <c r="H105" i="1" s="1"/>
  <c r="FG105" i="3"/>
  <c r="F10" i="1"/>
  <c r="FG10" i="3"/>
  <c r="F5" i="1"/>
  <c r="FG5" i="3"/>
  <c r="F17" i="1"/>
  <c r="H17" i="1" s="1"/>
  <c r="FG17" i="3"/>
  <c r="F89" i="1"/>
  <c r="H89" i="1" s="1"/>
  <c r="FG89" i="3"/>
  <c r="F102" i="1"/>
  <c r="FG102" i="3"/>
  <c r="F4" i="1"/>
  <c r="H4" i="1" s="1"/>
  <c r="FG4" i="3"/>
  <c r="F31" i="1"/>
  <c r="FG31" i="3"/>
  <c r="F81" i="1"/>
  <c r="H81" i="1" s="1"/>
  <c r="FG81" i="3"/>
  <c r="F57" i="1"/>
  <c r="H57" i="1" s="1"/>
  <c r="FG57" i="3"/>
  <c r="F199" i="1"/>
  <c r="H199" i="1" s="1"/>
  <c r="FG199" i="3"/>
  <c r="F33" i="1"/>
  <c r="FG33" i="3"/>
  <c r="F68" i="1"/>
  <c r="H68" i="1" s="1"/>
  <c r="FG68" i="3"/>
  <c r="F58" i="1"/>
  <c r="H58" i="1" s="1"/>
  <c r="FG58" i="3"/>
  <c r="F187" i="1"/>
  <c r="H187" i="1" s="1"/>
  <c r="FG187" i="3"/>
  <c r="F119" i="1"/>
  <c r="H119" i="1" s="1"/>
  <c r="FG119" i="3"/>
  <c r="F28" i="1"/>
  <c r="H28" i="1" s="1"/>
  <c r="FG28" i="3"/>
  <c r="F111" i="1"/>
  <c r="FG111" i="3"/>
  <c r="F113" i="1"/>
  <c r="H113" i="1" s="1"/>
  <c r="FG113" i="3"/>
  <c r="F74" i="1"/>
  <c r="FG74" i="3"/>
  <c r="F91" i="1"/>
  <c r="FG91" i="3"/>
  <c r="F169" i="1"/>
  <c r="H169" i="1" s="1"/>
  <c r="FG169" i="3"/>
  <c r="F80" i="1"/>
  <c r="FG80" i="3"/>
  <c r="F21" i="1"/>
  <c r="FG21" i="3"/>
  <c r="F62" i="1"/>
  <c r="H62" i="1" s="1"/>
  <c r="FG62" i="3"/>
  <c r="F56" i="1"/>
  <c r="H56" i="1" s="1"/>
  <c r="FG56" i="3"/>
  <c r="F188" i="1"/>
  <c r="H188" i="1" s="1"/>
  <c r="FG188" i="3"/>
  <c r="F190" i="1"/>
  <c r="H190" i="1" s="1"/>
  <c r="FG190" i="3"/>
  <c r="F104" i="1"/>
  <c r="H104" i="1" s="1"/>
  <c r="FG104" i="3"/>
  <c r="F170" i="1"/>
  <c r="H170" i="1" s="1"/>
  <c r="FG170" i="3"/>
  <c r="F49" i="1"/>
  <c r="FG49" i="3"/>
  <c r="F77" i="1"/>
  <c r="H77" i="1" s="1"/>
  <c r="FG77" i="3"/>
  <c r="F101" i="1"/>
  <c r="FG101" i="3"/>
  <c r="F127" i="1"/>
  <c r="H127" i="1" s="1"/>
  <c r="FG127" i="3"/>
  <c r="F71" i="1"/>
  <c r="H71" i="1" s="1"/>
  <c r="FG71" i="3"/>
  <c r="F106" i="1"/>
  <c r="H106" i="1" s="1"/>
  <c r="FG106" i="3"/>
  <c r="F6" i="1"/>
  <c r="FG6" i="3"/>
  <c r="F167" i="1"/>
  <c r="H167" i="1" s="1"/>
  <c r="FG167" i="3"/>
  <c r="F189" i="1"/>
  <c r="H189" i="1" s="1"/>
  <c r="FG189" i="3"/>
  <c r="F138" i="1"/>
  <c r="H138" i="1" s="1"/>
  <c r="FG138" i="3"/>
  <c r="F172" i="1"/>
  <c r="H172" i="1" s="1"/>
  <c r="FG172" i="3"/>
  <c r="F85" i="1"/>
  <c r="FG85" i="3"/>
  <c r="F197" i="1"/>
  <c r="H197" i="1" s="1"/>
  <c r="FG197" i="3"/>
  <c r="F51" i="1"/>
  <c r="H51" i="1" s="1"/>
  <c r="FG51" i="3"/>
  <c r="F108" i="1"/>
  <c r="H108" i="1" s="1"/>
  <c r="FG108" i="3"/>
  <c r="F193" i="1"/>
  <c r="H193" i="1" s="1"/>
  <c r="FG193" i="3"/>
  <c r="F76" i="1"/>
  <c r="H76" i="1" s="1"/>
  <c r="FG76" i="3"/>
  <c r="F44" i="1"/>
  <c r="FG44" i="3"/>
  <c r="F38" i="1"/>
  <c r="H38" i="1" s="1"/>
  <c r="FG38" i="3"/>
  <c r="F53" i="1"/>
  <c r="H53" i="1" s="1"/>
  <c r="FG53" i="3"/>
  <c r="F88" i="1"/>
  <c r="FG88" i="3"/>
  <c r="F25" i="1"/>
  <c r="FG25" i="3"/>
  <c r="F63" i="1"/>
  <c r="H63" i="1" s="1"/>
  <c r="FG63" i="3"/>
  <c r="F67" i="1"/>
  <c r="FG67" i="3"/>
  <c r="F41" i="1"/>
  <c r="H41" i="1" s="1"/>
  <c r="FG41" i="3"/>
  <c r="F114" i="1"/>
  <c r="H114" i="1" s="1"/>
  <c r="FG114" i="3"/>
  <c r="F60" i="1"/>
  <c r="H60" i="1" s="1"/>
  <c r="FG60" i="3"/>
  <c r="F95" i="1"/>
  <c r="FG95" i="3"/>
  <c r="F201" i="1"/>
  <c r="FG201" i="3"/>
  <c r="F22" i="1"/>
  <c r="H22" i="1" s="1"/>
  <c r="FG22" i="3"/>
  <c r="FG202" i="3"/>
  <c r="F14" i="1"/>
  <c r="FG14" i="3"/>
  <c r="F47" i="1"/>
  <c r="FG47" i="3"/>
  <c r="F171" i="1"/>
  <c r="H171" i="1" s="1"/>
  <c r="FG171" i="3"/>
  <c r="F26" i="1"/>
  <c r="FG26" i="3"/>
  <c r="F75" i="1"/>
  <c r="H75" i="1" s="1"/>
  <c r="FG75" i="3"/>
  <c r="F50" i="1"/>
  <c r="FG50" i="3"/>
  <c r="F11" i="1"/>
  <c r="FG11" i="3"/>
  <c r="F36" i="1"/>
  <c r="H36" i="1" s="1"/>
  <c r="FG36" i="3"/>
  <c r="F34" i="1"/>
  <c r="FG34" i="3"/>
  <c r="F92" i="1"/>
  <c r="H92" i="1" s="1"/>
  <c r="FG92" i="3"/>
  <c r="F100" i="1"/>
  <c r="FG100" i="3"/>
  <c r="F16" i="1"/>
  <c r="FG16" i="3"/>
  <c r="F157" i="1"/>
  <c r="F140" i="1"/>
  <c r="F139" i="1"/>
  <c r="H139" i="1" s="1"/>
  <c r="F121" i="1"/>
  <c r="F132" i="1"/>
  <c r="F128" i="1"/>
  <c r="F144" i="1"/>
  <c r="F154" i="1"/>
  <c r="F173" i="1"/>
  <c r="F133" i="1"/>
  <c r="F142" i="1"/>
  <c r="F156" i="1"/>
  <c r="H156" i="1" s="1"/>
  <c r="F150" i="1"/>
  <c r="F163" i="1"/>
  <c r="F135" i="1"/>
  <c r="F165" i="1"/>
  <c r="F122" i="1"/>
  <c r="F125" i="1"/>
  <c r="F134" i="1"/>
  <c r="F145" i="1"/>
  <c r="F147" i="1"/>
  <c r="F158" i="1"/>
  <c r="F152" i="1"/>
  <c r="H152" i="1" s="1"/>
  <c r="F148" i="1"/>
  <c r="F137" i="1"/>
  <c r="F162" i="1"/>
  <c r="F146" i="1"/>
  <c r="F126" i="1"/>
  <c r="F164" i="1"/>
  <c r="F143" i="1"/>
  <c r="F131" i="1"/>
  <c r="H131" i="1" s="1"/>
  <c r="F155" i="1"/>
  <c r="H155" i="1" s="1"/>
  <c r="F153" i="1"/>
  <c r="F130" i="1"/>
  <c r="H130" i="1" s="1"/>
  <c r="F141" i="1"/>
  <c r="F136" i="1"/>
  <c r="F151" i="1"/>
  <c r="H151" i="1" s="1"/>
  <c r="F160" i="1"/>
  <c r="F123" i="1"/>
  <c r="FF177" i="3"/>
  <c r="DX177" i="3"/>
  <c r="FF174" i="3"/>
  <c r="DX174" i="3"/>
  <c r="FF186" i="3"/>
  <c r="DX186" i="3"/>
  <c r="FF185" i="3"/>
  <c r="DX185" i="3"/>
  <c r="FF182" i="3"/>
  <c r="DX182" i="3"/>
  <c r="FF175" i="3"/>
  <c r="DX175" i="3"/>
  <c r="FF183" i="3"/>
  <c r="DX183" i="3"/>
  <c r="DX179" i="3"/>
  <c r="FF179" i="3"/>
  <c r="FF178" i="3"/>
  <c r="DX178" i="3"/>
  <c r="FF180" i="3"/>
  <c r="DX180" i="3"/>
  <c r="FF181" i="3"/>
  <c r="DX181" i="3"/>
  <c r="FF184" i="3"/>
  <c r="DX184" i="3"/>
  <c r="H141" i="1" l="1"/>
  <c r="H146" i="1"/>
  <c r="H134" i="1"/>
  <c r="H142" i="1"/>
  <c r="H162" i="1"/>
  <c r="H125" i="1"/>
  <c r="H133" i="1"/>
  <c r="H140" i="1"/>
  <c r="H121" i="1"/>
  <c r="H153" i="1"/>
  <c r="H137" i="1"/>
  <c r="H122" i="1"/>
  <c r="H173" i="1"/>
  <c r="H157" i="1"/>
  <c r="H145" i="1"/>
  <c r="H124" i="1"/>
  <c r="H148" i="1"/>
  <c r="H165" i="1"/>
  <c r="H154" i="1"/>
  <c r="H136" i="1"/>
  <c r="H123" i="1"/>
  <c r="H135" i="1"/>
  <c r="H144" i="1"/>
  <c r="H160" i="1"/>
  <c r="H143" i="1"/>
  <c r="H158" i="1"/>
  <c r="H163" i="1"/>
  <c r="H128" i="1"/>
  <c r="H126" i="1"/>
  <c r="H164" i="1"/>
  <c r="H147" i="1"/>
  <c r="H150" i="1"/>
  <c r="H132" i="1"/>
  <c r="H94" i="1"/>
  <c r="H95" i="1"/>
  <c r="H96" i="1"/>
  <c r="H20" i="1"/>
  <c r="H5" i="1"/>
  <c r="H50" i="1"/>
  <c r="H86" i="1"/>
  <c r="H34" i="1"/>
  <c r="H198" i="1"/>
  <c r="H16" i="1"/>
  <c r="H44" i="1"/>
  <c r="H88" i="1"/>
  <c r="H9" i="1"/>
  <c r="H201" i="1"/>
  <c r="H111" i="1"/>
  <c r="H10" i="1"/>
  <c r="H15" i="1"/>
  <c r="H117" i="1"/>
  <c r="H116" i="1"/>
  <c r="H43" i="1"/>
  <c r="H3" i="1"/>
  <c r="H49" i="1"/>
  <c r="H80" i="1"/>
  <c r="H35" i="1"/>
  <c r="H61" i="1"/>
  <c r="H73" i="1"/>
  <c r="H19" i="1"/>
  <c r="H8" i="1"/>
  <c r="H7" i="1"/>
  <c r="H47" i="1"/>
  <c r="H67" i="1"/>
  <c r="H85" i="1"/>
  <c r="H102" i="1"/>
  <c r="H79" i="1"/>
  <c r="H70" i="1"/>
  <c r="H14" i="1"/>
  <c r="H6" i="1"/>
  <c r="H101" i="1"/>
  <c r="H91" i="1"/>
  <c r="H54" i="1"/>
  <c r="H90" i="1"/>
  <c r="H26" i="1"/>
  <c r="H25" i="1"/>
  <c r="H21" i="1"/>
  <c r="H74" i="1"/>
  <c r="H33" i="1"/>
  <c r="H31" i="1"/>
  <c r="H13" i="1"/>
  <c r="H30" i="1"/>
  <c r="H69" i="1"/>
  <c r="H29" i="1"/>
  <c r="H100" i="1"/>
  <c r="H11" i="1"/>
  <c r="F184" i="1"/>
  <c r="FG184" i="3"/>
  <c r="F180" i="1"/>
  <c r="FG180" i="3"/>
  <c r="F183" i="1"/>
  <c r="H183" i="1" s="1"/>
  <c r="FG183" i="3"/>
  <c r="F182" i="1"/>
  <c r="FG182" i="3"/>
  <c r="F186" i="1"/>
  <c r="FG186" i="3"/>
  <c r="F177" i="1"/>
  <c r="H177" i="1" s="1"/>
  <c r="FG177" i="3"/>
  <c r="F179" i="1"/>
  <c r="FG179" i="3"/>
  <c r="F181" i="1"/>
  <c r="FG181" i="3"/>
  <c r="F178" i="1"/>
  <c r="FG178" i="3"/>
  <c r="F175" i="1"/>
  <c r="FG175" i="3"/>
  <c r="F185" i="1"/>
  <c r="FG185" i="3"/>
  <c r="F174" i="1"/>
  <c r="FG174" i="3"/>
  <c r="H181" i="1" l="1"/>
  <c r="H178" i="1"/>
  <c r="H182" i="1"/>
  <c r="H174" i="1"/>
  <c r="H179" i="1"/>
  <c r="H175" i="1"/>
  <c r="H180" i="1"/>
  <c r="H185" i="1"/>
  <c r="H186" i="1"/>
  <c r="H184" i="1"/>
  <c r="DZ97" i="3"/>
  <c r="BA97" i="5"/>
  <c r="CT97" i="5" s="1"/>
  <c r="BT97" i="3"/>
  <c r="ES97" i="3" l="1"/>
  <c r="ES203" i="3" s="1"/>
  <c r="T65" i="19" s="1"/>
  <c r="BX97" i="3"/>
  <c r="CB97" i="3" s="1"/>
  <c r="EU97" i="3" s="1"/>
  <c r="EU203" i="3" s="1"/>
  <c r="V65" i="19" s="1"/>
  <c r="BC97" i="5"/>
  <c r="DM97" i="5" s="1"/>
  <c r="DM203" i="5" s="1"/>
  <c r="T67" i="19" s="1"/>
  <c r="BF97" i="5" l="1"/>
  <c r="DN97" i="5" s="1"/>
  <c r="DN203" i="5" s="1"/>
  <c r="U67" i="19" s="1"/>
  <c r="ET97" i="3"/>
  <c r="ET203" i="3" s="1"/>
  <c r="U65" i="19" s="1"/>
  <c r="CF97" i="3"/>
  <c r="CJ97" i="3" s="1"/>
  <c r="CN97" i="3" s="1"/>
  <c r="CR97" i="3" s="1"/>
  <c r="CV97" i="3" s="1"/>
  <c r="BI97" i="5" l="1"/>
  <c r="DO97" i="5" s="1"/>
  <c r="DO203" i="5" s="1"/>
  <c r="V67" i="19" s="1"/>
  <c r="EV97" i="3"/>
  <c r="EV203" i="3" s="1"/>
  <c r="W65" i="19" s="1"/>
  <c r="EW97" i="3"/>
  <c r="EW203" i="3" s="1"/>
  <c r="X65" i="19" s="1"/>
  <c r="BL97" i="5" l="1"/>
  <c r="DP97" i="5" s="1"/>
  <c r="DP203" i="5" s="1"/>
  <c r="W67" i="19" s="1"/>
  <c r="EX97" i="3"/>
  <c r="EX203" i="3" s="1"/>
  <c r="Y65" i="19" s="1"/>
  <c r="BO97" i="5" l="1"/>
  <c r="DQ97" i="5" s="1"/>
  <c r="DQ203" i="5" s="1"/>
  <c r="X67" i="19" s="1"/>
  <c r="EY97" i="3"/>
  <c r="EY203" i="3" s="1"/>
  <c r="Z65" i="19" s="1"/>
  <c r="BR97" i="5" l="1"/>
  <c r="BU97" i="5" s="1"/>
  <c r="EZ97" i="3"/>
  <c r="CZ97" i="3"/>
  <c r="DR97" i="5" l="1"/>
  <c r="DR203" i="5" s="1"/>
  <c r="Y67" i="19" s="1"/>
  <c r="BX97" i="5"/>
  <c r="DS97" i="5"/>
  <c r="DS203" i="5" s="1"/>
  <c r="Z67" i="19" s="1"/>
  <c r="DD97" i="3"/>
  <c r="FA97" i="3"/>
  <c r="CA97" i="5" l="1"/>
  <c r="DT97" i="5"/>
  <c r="DT203" i="5" s="1"/>
  <c r="AA67" i="19" s="1"/>
  <c r="FB97" i="3"/>
  <c r="DH97" i="3"/>
  <c r="FC97" i="3" l="1"/>
  <c r="DL97" i="3"/>
  <c r="DU97" i="5"/>
  <c r="DU203" i="5" s="1"/>
  <c r="AB67" i="19" s="1"/>
  <c r="CD97" i="5"/>
  <c r="CG97" i="5" l="1"/>
  <c r="DV97" i="5"/>
  <c r="DV203" i="5" s="1"/>
  <c r="AC67" i="19" s="1"/>
  <c r="FD97" i="3"/>
  <c r="DP97" i="3"/>
  <c r="FE97" i="3" l="1"/>
  <c r="DT97" i="3"/>
  <c r="CJ97" i="5"/>
  <c r="DW97" i="5"/>
  <c r="DW203" i="5" s="1"/>
  <c r="AD67" i="19" s="1"/>
  <c r="CM97" i="5" l="1"/>
  <c r="DX97" i="5"/>
  <c r="DX203" i="5" s="1"/>
  <c r="AE67" i="19" s="1"/>
  <c r="FF97" i="3"/>
  <c r="DX97" i="3"/>
  <c r="FG97" i="3" l="1"/>
  <c r="F97" i="1"/>
  <c r="DY97" i="5"/>
  <c r="DY203" i="5" s="1"/>
  <c r="AF67" i="19" s="1"/>
  <c r="CP97" i="5"/>
  <c r="CS97" i="5" l="1"/>
  <c r="DZ97" i="5"/>
  <c r="DZ203" i="5" s="1"/>
  <c r="AG67" i="19" s="1"/>
  <c r="EA97" i="5" l="1"/>
  <c r="EA203" i="5" s="1"/>
  <c r="AH67" i="19" s="1"/>
  <c r="G97" i="1"/>
  <c r="H97" i="1" l="1"/>
  <c r="X69" i="19" l="1"/>
  <c r="Y69" i="19" l="1"/>
  <c r="Z69" i="19" l="1"/>
  <c r="C69" i="19" l="1"/>
  <c r="D69" i="19" l="1"/>
  <c r="E69" i="19" l="1"/>
  <c r="F69" i="19" l="1"/>
  <c r="G69" i="19" l="1"/>
  <c r="H69" i="19" l="1"/>
  <c r="I69" i="19" l="1"/>
  <c r="J69" i="19" l="1"/>
  <c r="K69" i="19" l="1"/>
  <c r="L69" i="19" l="1"/>
  <c r="M69" i="19" l="1"/>
  <c r="N69" i="19" l="1"/>
  <c r="O69" i="19" l="1"/>
  <c r="P69" i="19" l="1"/>
  <c r="Q69" i="19" l="1"/>
  <c r="R69" i="19" l="1"/>
  <c r="S69" i="19" l="1"/>
  <c r="T69" i="19" l="1"/>
  <c r="U69" i="19" l="1"/>
  <c r="V69" i="19" l="1"/>
  <c r="W69" i="19" l="1"/>
  <c r="DY176" i="3"/>
  <c r="EZ176" i="3"/>
  <c r="EZ203" i="3" s="1"/>
  <c r="AA65" i="19" s="1"/>
  <c r="AA69" i="19" s="1"/>
  <c r="CZ176" i="3" l="1"/>
  <c r="DD176" i="3" s="1"/>
  <c r="FB176" i="3" s="1"/>
  <c r="FB203" i="3" s="1"/>
  <c r="AC65" i="19" s="1"/>
  <c r="AC69" i="19" s="1"/>
  <c r="FA176" i="3" l="1"/>
  <c r="FA203" i="3" s="1"/>
  <c r="AB65" i="19" s="1"/>
  <c r="AB69" i="19" s="1"/>
  <c r="DH176" i="3"/>
  <c r="FC176" i="3" s="1"/>
  <c r="FC203" i="3" s="1"/>
  <c r="AD65" i="19" s="1"/>
  <c r="AD69" i="19" s="1"/>
  <c r="DL176" i="3" l="1"/>
  <c r="DP176" i="3" s="1"/>
  <c r="FD176" i="3" l="1"/>
  <c r="FD203" i="3" s="1"/>
  <c r="AE65" i="19" s="1"/>
  <c r="AE69" i="19" s="1"/>
  <c r="DT176" i="3"/>
  <c r="FE176" i="3"/>
  <c r="FE203" i="3" s="1"/>
  <c r="AF65" i="19" s="1"/>
  <c r="AF69" i="19" s="1"/>
  <c r="FF176" i="3" l="1"/>
  <c r="FF203" i="3" s="1"/>
  <c r="AG65" i="19" s="1"/>
  <c r="AG69" i="19" s="1"/>
  <c r="DX176" i="3"/>
  <c r="FG176" i="3" l="1"/>
  <c r="FG203" i="3" s="1"/>
  <c r="AH65" i="19" s="1"/>
  <c r="AH69" i="19" s="1"/>
  <c r="F176" i="1"/>
  <c r="H176" i="1" s="1"/>
</calcChain>
</file>

<file path=xl/comments1.xml><?xml version="1.0" encoding="utf-8"?>
<comments xmlns="http://schemas.openxmlformats.org/spreadsheetml/2006/main">
  <authors>
    <author>Admin1</author>
  </authors>
  <commentList>
    <comment ref="BF49" authorId="0" shapeId="0">
      <text>
        <r>
          <rPr>
            <b/>
            <sz val="9"/>
            <color indexed="81"/>
            <rFont val="Tahoma"/>
            <family val="2"/>
          </rPr>
          <t>TRANSFER FROM FG</t>
        </r>
      </text>
    </comment>
  </commentList>
</comments>
</file>

<file path=xl/comments2.xml><?xml version="1.0" encoding="utf-8"?>
<comments xmlns="http://schemas.openxmlformats.org/spreadsheetml/2006/main">
  <authors>
    <author>Admin1</author>
  </authors>
  <commentList>
    <comment ref="D86" authorId="0" shapeId="0">
      <text>
        <r>
          <rPr>
            <b/>
            <sz val="9"/>
            <color indexed="81"/>
            <rFont val="Tahoma"/>
            <family val="2"/>
          </rPr>
          <t>STOCK TAKER INTRODUCE IT IS REJECTION</t>
        </r>
      </text>
    </comment>
  </commentList>
</comments>
</file>

<file path=xl/comments3.xml><?xml version="1.0" encoding="utf-8"?>
<comments xmlns="http://schemas.openxmlformats.org/spreadsheetml/2006/main">
  <authors>
    <author>Admin1</author>
  </authors>
  <commentList>
    <comment ref="AS49" authorId="0" shapeId="0">
      <text>
        <r>
          <rPr>
            <b/>
            <sz val="9"/>
            <color indexed="81"/>
            <rFont val="Tahoma"/>
            <family val="2"/>
          </rPr>
          <t>TRANSFER TO WIP</t>
        </r>
      </text>
    </comment>
  </commentList>
</comments>
</file>

<file path=xl/sharedStrings.xml><?xml version="1.0" encoding="utf-8"?>
<sst xmlns="http://schemas.openxmlformats.org/spreadsheetml/2006/main" count="730" uniqueCount="198">
  <si>
    <t>SR NO</t>
  </si>
  <si>
    <t>PART DISCRIPTION</t>
  </si>
  <si>
    <t>PART NO</t>
  </si>
  <si>
    <t>TOTAL DISPATCH</t>
  </si>
  <si>
    <t>BASE HOUSING CRANKCASE</t>
  </si>
  <si>
    <t>TOP COVER</t>
  </si>
  <si>
    <t>BOTTOM COVER</t>
  </si>
  <si>
    <t>DISC</t>
  </si>
  <si>
    <t>BASE HOUSING</t>
  </si>
  <si>
    <t>CDR CAP</t>
  </si>
  <si>
    <t>ENDPLATE</t>
  </si>
  <si>
    <t>END PLATE PLASTIC</t>
  </si>
  <si>
    <t>PIPE PLASTIC</t>
  </si>
  <si>
    <t>PRECLEANER</t>
  </si>
  <si>
    <t>LID HOUSING</t>
  </si>
  <si>
    <t>LOUVER PLASTIC</t>
  </si>
  <si>
    <t xml:space="preserve">ENDPLATE ASY, PLASTIC </t>
  </si>
  <si>
    <t xml:space="preserve">END PLATE PLASTIC </t>
  </si>
  <si>
    <t>VALVE BODY, PLASTIC</t>
  </si>
  <si>
    <t>CENTER TUBE</t>
  </si>
  <si>
    <t>HYDROPHOBIC SCREEN</t>
  </si>
  <si>
    <t>SHELL PLASTIC ASY</t>
  </si>
  <si>
    <t xml:space="preserve">SHELL PLASTIC </t>
  </si>
  <si>
    <t>CENTER TUBE PLASTIC</t>
  </si>
  <si>
    <t>LID HOUSING CRANKCASE</t>
  </si>
  <si>
    <t>CENTERTUBE</t>
  </si>
  <si>
    <t>CENTERTUBE PLASTIC</t>
  </si>
  <si>
    <t>PRECLEANER, PLASTIC</t>
  </si>
  <si>
    <t>FIN ASSEMBLY</t>
  </si>
  <si>
    <t>ENDPLATE ASY, PLASTIC</t>
  </si>
  <si>
    <t xml:space="preserve">BASE. HOUSING </t>
  </si>
  <si>
    <t>VALVE COVER</t>
  </si>
  <si>
    <t>EICHER COVER PLATE</t>
  </si>
  <si>
    <t>PIPE ASY PLASTIC</t>
  </si>
  <si>
    <t>CAP PLASTIC</t>
  </si>
  <si>
    <t>BASE HOUSING ASSYM</t>
  </si>
  <si>
    <t>PIPE, PLASTIC</t>
  </si>
  <si>
    <t xml:space="preserve">CDR HOUSING </t>
  </si>
  <si>
    <t>COVER PLATE</t>
  </si>
  <si>
    <t>SHELL, PLASTIC</t>
  </si>
  <si>
    <t>NOZZLE PLATE</t>
  </si>
  <si>
    <t>SMALL PIPE</t>
  </si>
  <si>
    <t>HOUSING PLASTIC</t>
  </si>
  <si>
    <t>FRAME COVER</t>
  </si>
  <si>
    <t>ENDPLATE, PLASTIC</t>
  </si>
  <si>
    <t>COVER TOP ASSEMBLY</t>
  </si>
  <si>
    <t>RING PLASTIC</t>
  </si>
  <si>
    <t>SHELL PLASTIC</t>
  </si>
  <si>
    <t>BASE HOUSING CV</t>
  </si>
  <si>
    <t>LID HOUSING CV</t>
  </si>
  <si>
    <t>MBP PIPE</t>
  </si>
  <si>
    <t>LID, HOUSING CRANKCASE VENTILATION</t>
  </si>
  <si>
    <t>SHELL, PLASTIC,   (9880)</t>
  </si>
  <si>
    <t>TUBE OVER FLOW HOSUR</t>
  </si>
  <si>
    <t>LALITPUR GREY</t>
  </si>
  <si>
    <t>KOTA GREY</t>
  </si>
  <si>
    <t>JA00004142</t>
  </si>
  <si>
    <t xml:space="preserve">GRANITE BLACK </t>
  </si>
  <si>
    <t>JA00003924</t>
  </si>
  <si>
    <t>KNOB LH</t>
  </si>
  <si>
    <t>CB0000557500</t>
  </si>
  <si>
    <t>KNOB RH</t>
  </si>
  <si>
    <t>CC0000557600</t>
  </si>
  <si>
    <t>DUMMY LOCK</t>
  </si>
  <si>
    <t>BD00003423</t>
  </si>
  <si>
    <t>3 WAY CLAMP</t>
  </si>
  <si>
    <t>NUT</t>
  </si>
  <si>
    <t>WBASE CLIP</t>
  </si>
  <si>
    <t>GRAPPING HOOK</t>
  </si>
  <si>
    <t>ODH ACTUATOR RH</t>
  </si>
  <si>
    <t>BE00003048</t>
  </si>
  <si>
    <t>2TG CLIP DRAIN TUBE LH</t>
  </si>
  <si>
    <t>2TG CLIP DRAIN TUBE RH</t>
  </si>
  <si>
    <t>GROMMET</t>
  </si>
  <si>
    <t>ODH BUMP STOP FOR MOTOR ACTUATOR</t>
  </si>
  <si>
    <t>BA00005305</t>
  </si>
  <si>
    <t>AIR EXTRACTOR HOUSING</t>
  </si>
  <si>
    <t>W601 ODH CAP FOR DOOR LOCK</t>
  </si>
  <si>
    <t>BA00005294</t>
  </si>
  <si>
    <t>W601 HOUSING FOR PUSH PUSH</t>
  </si>
  <si>
    <t>BB00004913</t>
  </si>
  <si>
    <t>W601 HOUSING SEAL LH</t>
  </si>
  <si>
    <t>W601 HOUSING SEAL RH</t>
  </si>
  <si>
    <t>BC00005292</t>
  </si>
  <si>
    <t>CLAMP BRAKE PIPE</t>
  </si>
  <si>
    <t>CLAMP BK PIPE DASH TRIPLE</t>
  </si>
  <si>
    <t>CLAMP CNG PIPE</t>
  </si>
  <si>
    <t>CLAMP VACCUME PIPE</t>
  </si>
  <si>
    <t>DIA 10MM PLUG</t>
  </si>
  <si>
    <t>CLAMP</t>
  </si>
  <si>
    <t>CLIP PIN</t>
  </si>
  <si>
    <t>CLAMP D,FUEL PIPE</t>
  </si>
  <si>
    <t>CLAMP B,FUEL PIPE</t>
  </si>
  <si>
    <t>CAP</t>
  </si>
  <si>
    <t>CLAMP HEATER NOSE</t>
  </si>
  <si>
    <t>CAP TAIL MEMBER</t>
  </si>
  <si>
    <t>FILTER AIR SUNCTION</t>
  </si>
  <si>
    <t>VF36 ACTUATOR</t>
  </si>
  <si>
    <t>BB00006043</t>
  </si>
  <si>
    <t>DUMMY CAP LH</t>
  </si>
  <si>
    <t>CB00004193</t>
  </si>
  <si>
    <t>FDUMMY CAP RH</t>
  </si>
  <si>
    <t>CC00004189</t>
  </si>
  <si>
    <t>RIBLOK</t>
  </si>
  <si>
    <t>DESCRIPSION</t>
  </si>
  <si>
    <t>OPENING STOCK</t>
  </si>
  <si>
    <t>TOTAL OUT</t>
  </si>
  <si>
    <t>TOTAL BALANCE</t>
  </si>
  <si>
    <t>OUT TO WIP</t>
  </si>
  <si>
    <t>OUT TO REJECTION</t>
  </si>
  <si>
    <t>TOTAL IN</t>
  </si>
  <si>
    <t>JA00002476</t>
  </si>
  <si>
    <t>BALANCE STOCK VALUE</t>
  </si>
  <si>
    <t>TOTAL VAL</t>
  </si>
  <si>
    <t>BALANCE STOCK</t>
  </si>
  <si>
    <t>FIREWALL REJ.</t>
  </si>
  <si>
    <t xml:space="preserve">TOTAL IN </t>
  </si>
  <si>
    <t>TOTAL REJ</t>
  </si>
  <si>
    <t>ASSLY IN</t>
  </si>
  <si>
    <t>RATE</t>
  </si>
  <si>
    <t>TOTAL IN ASSLY</t>
  </si>
  <si>
    <t>ENDPLATE PLASTIC</t>
  </si>
  <si>
    <t>INNER RING PLASTIC</t>
  </si>
  <si>
    <t>FS3200000A</t>
  </si>
  <si>
    <t>Mesh Plastic</t>
  </si>
  <si>
    <t>BASE, HOUSING CRANKCASE VENTILATION</t>
  </si>
  <si>
    <t>COVER TOP, PLASTIC</t>
  </si>
  <si>
    <t>3-MBP Pipe--CV</t>
  </si>
  <si>
    <t>PLATE, NOZZEL</t>
  </si>
  <si>
    <t xml:space="preserve">ENDPLATE </t>
  </si>
  <si>
    <t>PIPE PLASTIC LONI</t>
  </si>
  <si>
    <t>WIREMESH</t>
  </si>
  <si>
    <t>END Plate</t>
  </si>
  <si>
    <t>Hood Stay Rod</t>
  </si>
  <si>
    <t>KINETIC SHROUD</t>
  </si>
  <si>
    <t>PREMIER SEALS</t>
  </si>
  <si>
    <t>END PLATE</t>
  </si>
  <si>
    <t>TUBE OVER FLOW</t>
  </si>
  <si>
    <t>BB00005299</t>
  </si>
  <si>
    <t>GROMMET ASSY.</t>
  </si>
  <si>
    <t>BB00006046</t>
  </si>
  <si>
    <t>PIVOT PIN LH</t>
  </si>
  <si>
    <t>BC00006047</t>
  </si>
  <si>
    <t>PIVOT PIN RH</t>
  </si>
  <si>
    <t>BB00006044</t>
  </si>
  <si>
    <t xml:space="preserve"> BELL CRANK LH</t>
  </si>
  <si>
    <t>BC00006045</t>
  </si>
  <si>
    <t>BELL CRANK RH</t>
  </si>
  <si>
    <t>BA00005304</t>
  </si>
  <si>
    <t>ACTUATOR PLUNGER</t>
  </si>
  <si>
    <t>PHONIX PIPE</t>
  </si>
  <si>
    <t>TODAYS PRODUCTION LINE QTY</t>
  </si>
  <si>
    <t>TODAYS TOTAL BALENCE STOCK</t>
  </si>
  <si>
    <t>TOTAL OUT TO FG</t>
  </si>
  <si>
    <t>TOTAL OUT WIP</t>
  </si>
  <si>
    <t>TOTAL PRODUCE QTY</t>
  </si>
  <si>
    <t>FUEL STAINER</t>
  </si>
  <si>
    <t>IN HOUSE WIP QTY</t>
  </si>
  <si>
    <t>IN HOUSE FG QTY</t>
  </si>
  <si>
    <t>CAGE ASSY.</t>
  </si>
  <si>
    <t xml:space="preserve">CENTER TUBE  </t>
  </si>
  <si>
    <t xml:space="preserve"> MBP N6 PRECLEANER</t>
  </si>
  <si>
    <t>W BASE TRIM CLIP</t>
  </si>
  <si>
    <t xml:space="preserve"> </t>
  </si>
  <si>
    <t>BOWL PLASTIC</t>
  </si>
  <si>
    <t>WIP VAL.(LAC)</t>
  </si>
  <si>
    <t>SUPLY. SIDE WIP (LAC)</t>
  </si>
  <si>
    <t>FG VAL. (LAC)</t>
  </si>
  <si>
    <t>RM VAL. (LAC)</t>
  </si>
  <si>
    <t>GREEN LAVEL VALUE₹</t>
  </si>
  <si>
    <t>GRAND TOTAL PROD'N</t>
  </si>
  <si>
    <t>TOP COVER ASSY.</t>
  </si>
  <si>
    <t>PIPE ASSLY. PLASTIC</t>
  </si>
  <si>
    <t>COVER PLASTIC</t>
  </si>
  <si>
    <t>CENTERTUBE, PLASTIC</t>
  </si>
  <si>
    <t>HYDROPHOBIC SCREEN, ASY</t>
  </si>
  <si>
    <t>GA00007422</t>
  </si>
  <si>
    <t>YOM HRSKNOBASSY INSERT MOLDING5 PK</t>
  </si>
  <si>
    <t>SPACER PLASTIC</t>
  </si>
  <si>
    <t>GA00007775</t>
  </si>
  <si>
    <t>CLAMP ASSY_3 WAY MODULAR</t>
  </si>
  <si>
    <t>YOM_YHC_ HRS_KNOB INSERT MOLDING V6N</t>
  </si>
  <si>
    <t>GA00002917</t>
  </si>
  <si>
    <t>X451 RR BAZEL PASSIVE</t>
  </si>
  <si>
    <t>GA00002914</t>
  </si>
  <si>
    <t>X451 RR BAZEL ACTIVE</t>
  </si>
  <si>
    <t>W601 ODH SUPPORT PLANK</t>
  </si>
  <si>
    <t>BC00004915</t>
  </si>
  <si>
    <t>CB00004717</t>
  </si>
  <si>
    <t>TIAGO MCE IDH HOUSING LH</t>
  </si>
  <si>
    <t>CC00004721</t>
  </si>
  <si>
    <t>TIAGO MCE IDH HOUSING RH</t>
  </si>
  <si>
    <t>TIAGO MCE IDH LEVER GRAINED LH</t>
  </si>
  <si>
    <t>CB00004725</t>
  </si>
  <si>
    <t>TIAGO MCE IDH LEVER GRAINED RH</t>
  </si>
  <si>
    <t>CC00004728</t>
  </si>
  <si>
    <t>FLANGE ASY, PLASTIC</t>
  </si>
  <si>
    <t>FLANGE ASS.,PLASTIC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</si>
</sst>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color theme="1"/>
      <name val="Times New Roman"/>
      <family val="1"/>
    </font>
    <font>
      <b/>
      <sz val="14"/>
      <color theme="1"/>
      <name val="Times New Roman"/>
      <family val="1"/>
    </font>
    <font>
      <sz val="16"/>
      <color theme="1"/>
      <name val="Calibri"/>
      <family val="2"/>
      <scheme val="minor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Arial Rounded MT Bold"/>
      <family val="2"/>
    </font>
    <font>
      <sz val="16"/>
      <color theme="1"/>
      <name val="Times New Roman"/>
      <family val="1"/>
    </font>
    <font>
      <sz val="45"/>
      <color theme="1"/>
      <name val="Calibri"/>
      <family val="2"/>
      <scheme val="minor"/>
    </font>
    <font>
      <b/>
      <sz val="45"/>
      <color theme="1"/>
      <name val="Calibri"/>
      <family val="2"/>
      <scheme val="minor"/>
    </font>
    <font>
      <b/>
      <sz val="45"/>
      <color rgb="FFFF0000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DEBA9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  <bgColor theme="0"/>
      </patternFill>
    </fill>
    <fill>
      <patternFill patternType="solid">
        <fgColor rgb="FF00CC99"/>
        <bgColor indexed="64"/>
      </patternFill>
    </fill>
    <fill>
      <patternFill patternType="solid">
        <fgColor rgb="FFEBE6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9" fillId="0" borderId="0" applyFont="0" applyFill="0" applyBorder="0" applyAlignment="0" applyProtection="0"/>
    <xf numFmtId="0" fontId="10" fillId="0" borderId="0"/>
    <xf numFmtId="43" fontId="9" fillId="0" borderId="0" applyFont="0" applyFill="0" applyBorder="0" applyAlignment="0" applyProtection="0"/>
  </cellStyleXfs>
  <cellXfs count="17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Fill="1" applyAlignment="1">
      <alignment horizontal="center"/>
    </xf>
    <xf numFmtId="0" fontId="3" fillId="0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/>
    <xf numFmtId="0" fontId="0" fillId="0" borderId="0" xfId="0" applyFill="1" applyBorder="1"/>
    <xf numFmtId="0" fontId="8" fillId="0" borderId="0" xfId="0" applyFont="1" applyFill="1" applyBorder="1"/>
    <xf numFmtId="0" fontId="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Border="1" applyProtection="1">
      <protection locked="0"/>
    </xf>
    <xf numFmtId="0" fontId="6" fillId="0" borderId="0" xfId="0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1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applyFont="1" applyFill="1" applyBorder="1" applyProtection="1">
      <protection locked="0"/>
    </xf>
    <xf numFmtId="0" fontId="0" fillId="9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1" fontId="0" fillId="0" borderId="0" xfId="0" applyNumberFormat="1" applyFill="1" applyBorder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1" fontId="0" fillId="2" borderId="0" xfId="0" applyNumberFormat="1" applyFill="1" applyAlignment="1">
      <alignment horizontal="center"/>
    </xf>
    <xf numFmtId="0" fontId="0" fillId="0" borderId="1" xfId="0" applyFill="1" applyBorder="1" applyAlignment="1" applyProtection="1">
      <alignment horizontal="center"/>
      <protection locked="0"/>
    </xf>
    <xf numFmtId="0" fontId="3" fillId="5" borderId="1" xfId="0" applyNumberFormat="1" applyFont="1" applyFill="1" applyBorder="1" applyAlignment="1" applyProtection="1">
      <alignment horizontal="left" vertical="center"/>
      <protection locked="0"/>
    </xf>
    <xf numFmtId="1" fontId="3" fillId="5" borderId="1" xfId="0" applyNumberFormat="1" applyFont="1" applyFill="1" applyBorder="1" applyAlignment="1" applyProtection="1">
      <alignment horizontal="center" vertical="center"/>
    </xf>
    <xf numFmtId="1" fontId="6" fillId="0" borderId="1" xfId="0" applyNumberFormat="1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1" fontId="2" fillId="0" borderId="1" xfId="0" applyNumberFormat="1" applyFont="1" applyBorder="1" applyAlignment="1" applyProtection="1">
      <alignment horizontal="center" vertical="center"/>
      <protection locked="0"/>
    </xf>
    <xf numFmtId="1" fontId="0" fillId="0" borderId="1" xfId="0" applyNumberFormat="1" applyBorder="1"/>
    <xf numFmtId="0" fontId="3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3" fillId="11" borderId="1" xfId="0" applyFont="1" applyFill="1" applyBorder="1" applyAlignment="1">
      <alignment horizontal="left" vertical="center"/>
    </xf>
    <xf numFmtId="0" fontId="7" fillId="13" borderId="1" xfId="0" applyFont="1" applyFill="1" applyBorder="1" applyAlignment="1" applyProtection="1">
      <alignment horizontal="center" vertical="center" wrapText="1"/>
      <protection locked="0"/>
    </xf>
    <xf numFmtId="0" fontId="5" fillId="6" borderId="1" xfId="0" applyFont="1" applyFill="1" applyBorder="1" applyAlignment="1" applyProtection="1">
      <alignment horizontal="center" vertical="center" wrapText="1"/>
      <protection locked="0"/>
    </xf>
    <xf numFmtId="0" fontId="7" fillId="6" borderId="1" xfId="0" applyFont="1" applyFill="1" applyBorder="1" applyAlignment="1" applyProtection="1">
      <alignment horizontal="center" vertical="center" wrapText="1"/>
      <protection locked="0"/>
    </xf>
    <xf numFmtId="0" fontId="5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5" fillId="10" borderId="2" xfId="0" applyFont="1" applyFill="1" applyBorder="1" applyAlignment="1" applyProtection="1">
      <alignment horizontal="center" vertical="center"/>
      <protection locked="0"/>
    </xf>
    <xf numFmtId="0" fontId="0" fillId="10" borderId="6" xfId="0" applyFill="1" applyBorder="1" applyAlignment="1" applyProtection="1">
      <alignment horizontal="center" vertic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0" fillId="0" borderId="9" xfId="0" applyFill="1" applyBorder="1" applyAlignment="1" applyProtection="1">
      <alignment horizontal="center"/>
      <protection locked="0"/>
    </xf>
    <xf numFmtId="0" fontId="0" fillId="0" borderId="1" xfId="0" applyFill="1" applyBorder="1" applyProtection="1">
      <protection locked="0"/>
    </xf>
    <xf numFmtId="0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1" xfId="0" applyNumberFormat="1" applyFont="1" applyFill="1" applyBorder="1" applyAlignment="1" applyProtection="1">
      <alignment horizontal="center" vertical="center" wrapText="1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3" fillId="14" borderId="1" xfId="0" applyNumberFormat="1" applyFont="1" applyFill="1" applyBorder="1" applyAlignment="1" applyProtection="1">
      <alignment horizontal="left" vertical="center"/>
      <protection locked="0"/>
    </xf>
    <xf numFmtId="0" fontId="2" fillId="13" borderId="5" xfId="0" applyNumberFormat="1" applyFont="1" applyFill="1" applyBorder="1" applyAlignment="1" applyProtection="1">
      <alignment horizontal="center" vertical="center" wrapText="1"/>
      <protection locked="0"/>
    </xf>
    <xf numFmtId="1" fontId="0" fillId="0" borderId="5" xfId="0" applyNumberFormat="1" applyFill="1" applyBorder="1" applyAlignment="1" applyProtection="1">
      <alignment horizontal="center"/>
      <protection locked="0"/>
    </xf>
    <xf numFmtId="0" fontId="2" fillId="10" borderId="2" xfId="0" applyFont="1" applyFill="1" applyBorder="1" applyAlignment="1" applyProtection="1">
      <alignment horizontal="center" vertical="center" wrapText="1"/>
      <protection locked="0"/>
    </xf>
    <xf numFmtId="0" fontId="2" fillId="10" borderId="6" xfId="0" applyNumberFormat="1" applyFont="1" applyFill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  <protection locked="0"/>
    </xf>
    <xf numFmtId="0" fontId="7" fillId="4" borderId="1" xfId="0" applyFont="1" applyFill="1" applyBorder="1" applyAlignment="1" applyProtection="1">
      <alignment horizontal="center" vertical="center" wrapText="1"/>
      <protection locked="0"/>
    </xf>
    <xf numFmtId="0" fontId="2" fillId="2" borderId="1" xfId="0" applyNumberFormat="1" applyFont="1" applyFill="1" applyBorder="1" applyAlignment="1" applyProtection="1">
      <alignment horizontal="center" vertical="center"/>
      <protection locked="0"/>
    </xf>
    <xf numFmtId="1" fontId="6" fillId="2" borderId="1" xfId="0" applyNumberFormat="1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 applyProtection="1">
      <alignment horizontal="center" vertical="center"/>
      <protection locked="0"/>
    </xf>
    <xf numFmtId="1" fontId="2" fillId="5" borderId="1" xfId="0" applyNumberFormat="1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5" fillId="10" borderId="1" xfId="0" applyFont="1" applyFill="1" applyBorder="1" applyAlignment="1" applyProtection="1">
      <alignment horizontal="center" vertical="center" wrapText="1"/>
      <protection locked="0"/>
    </xf>
    <xf numFmtId="0" fontId="7" fillId="13" borderId="4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5" borderId="10" xfId="0" applyNumberFormat="1" applyFont="1" applyFill="1" applyBorder="1" applyAlignment="1" applyProtection="1">
      <alignment horizontal="center" vertical="center"/>
      <protection locked="0"/>
    </xf>
    <xf numFmtId="0" fontId="12" fillId="3" borderId="1" xfId="0" applyNumberFormat="1" applyFont="1" applyFill="1" applyBorder="1" applyAlignment="1">
      <alignment horizontal="center" vertical="center"/>
    </xf>
    <xf numFmtId="2" fontId="12" fillId="3" borderId="1" xfId="0" applyNumberFormat="1" applyFont="1" applyFill="1" applyBorder="1" applyAlignment="1">
      <alignment horizontal="center" vertical="center"/>
    </xf>
    <xf numFmtId="1" fontId="5" fillId="0" borderId="1" xfId="0" applyNumberFormat="1" applyFont="1" applyFill="1" applyBorder="1" applyAlignment="1">
      <alignment horizontal="center"/>
    </xf>
    <xf numFmtId="1" fontId="12" fillId="3" borderId="1" xfId="0" applyNumberFormat="1" applyFont="1" applyFill="1" applyBorder="1" applyAlignment="1">
      <alignment horizontal="center" vertical="center"/>
    </xf>
    <xf numFmtId="1" fontId="12" fillId="0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 applyProtection="1">
      <alignment horizontal="center" vertical="center"/>
      <protection locked="0"/>
    </xf>
    <xf numFmtId="0" fontId="13" fillId="10" borderId="1" xfId="0" applyFont="1" applyFill="1" applyBorder="1" applyAlignment="1" applyProtection="1">
      <alignment horizontal="center" vertical="center"/>
      <protection locked="0"/>
    </xf>
    <xf numFmtId="1" fontId="11" fillId="5" borderId="1" xfId="0" applyNumberFormat="1" applyFont="1" applyFill="1" applyBorder="1" applyAlignment="1" applyProtection="1">
      <alignment horizontal="center" vertical="center"/>
    </xf>
    <xf numFmtId="0" fontId="13" fillId="0" borderId="0" xfId="0" applyFont="1"/>
    <xf numFmtId="0" fontId="13" fillId="0" borderId="0" xfId="0" applyFont="1" applyBorder="1" applyAlignment="1" applyProtection="1">
      <alignment horizontal="center" vertical="center"/>
      <protection locked="0"/>
    </xf>
    <xf numFmtId="0" fontId="13" fillId="10" borderId="11" xfId="0" applyFont="1" applyFill="1" applyBorder="1" applyAlignment="1" applyProtection="1">
      <alignment horizontal="center" vertical="center"/>
      <protection locked="0"/>
    </xf>
    <xf numFmtId="1" fontId="11" fillId="5" borderId="3" xfId="0" applyNumberFormat="1" applyFont="1" applyFill="1" applyBorder="1" applyAlignment="1" applyProtection="1">
      <alignment horizontal="center" vertical="center"/>
    </xf>
    <xf numFmtId="1" fontId="11" fillId="5" borderId="12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  <protection locked="0"/>
    </xf>
    <xf numFmtId="0" fontId="7" fillId="10" borderId="7" xfId="0" applyNumberFormat="1" applyFont="1" applyFill="1" applyBorder="1" applyAlignment="1" applyProtection="1">
      <alignment horizontal="center" vertical="center" wrapText="1"/>
      <protection locked="0"/>
    </xf>
    <xf numFmtId="1" fontId="12" fillId="14" borderId="8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Protection="1">
      <protection locked="0"/>
    </xf>
    <xf numFmtId="1" fontId="12" fillId="11" borderId="1" xfId="0" applyNumberFormat="1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15" fillId="0" borderId="1" xfId="0" applyFont="1" applyBorder="1" applyAlignment="1">
      <alignment horizontal="left" vertical="center"/>
    </xf>
    <xf numFmtId="0" fontId="14" fillId="0" borderId="1" xfId="0" applyFont="1" applyFill="1" applyBorder="1" applyAlignment="1">
      <alignment horizontal="left" vertical="center"/>
    </xf>
    <xf numFmtId="0" fontId="14" fillId="11" borderId="1" xfId="0" applyFont="1" applyFill="1" applyBorder="1" applyAlignment="1">
      <alignment horizontal="left" vertical="center"/>
    </xf>
    <xf numFmtId="0" fontId="17" fillId="3" borderId="1" xfId="0" applyNumberFormat="1" applyFont="1" applyFill="1" applyBorder="1" applyAlignment="1">
      <alignment horizontal="center" vertical="center"/>
    </xf>
    <xf numFmtId="1" fontId="17" fillId="3" borderId="1" xfId="0" applyNumberFormat="1" applyFont="1" applyFill="1" applyBorder="1" applyAlignment="1">
      <alignment horizontal="center" vertical="center"/>
    </xf>
    <xf numFmtId="0" fontId="17" fillId="0" borderId="1" xfId="0" applyNumberFormat="1" applyFont="1" applyFill="1" applyBorder="1" applyAlignment="1">
      <alignment horizontal="center" vertical="center"/>
    </xf>
    <xf numFmtId="1" fontId="17" fillId="12" borderId="1" xfId="0" applyNumberFormat="1" applyFont="1" applyFill="1" applyBorder="1" applyAlignment="1">
      <alignment horizontal="left" vertical="center"/>
    </xf>
    <xf numFmtId="0" fontId="17" fillId="12" borderId="1" xfId="0" applyNumberFormat="1" applyFont="1" applyFill="1" applyBorder="1" applyAlignment="1">
      <alignment horizontal="left" vertical="center"/>
    </xf>
    <xf numFmtId="1" fontId="17" fillId="11" borderId="1" xfId="0" applyNumberFormat="1" applyFont="1" applyFill="1" applyBorder="1" applyAlignment="1">
      <alignment horizontal="left" vertical="center"/>
    </xf>
    <xf numFmtId="0" fontId="17" fillId="11" borderId="1" xfId="0" applyNumberFormat="1" applyFont="1" applyFill="1" applyBorder="1" applyAlignment="1">
      <alignment horizontal="left" vertical="center"/>
    </xf>
    <xf numFmtId="1" fontId="17" fillId="0" borderId="1" xfId="0" applyNumberFormat="1" applyFont="1" applyFill="1" applyBorder="1" applyAlignment="1">
      <alignment horizontal="left" vertical="center"/>
    </xf>
    <xf numFmtId="1" fontId="17" fillId="0" borderId="1" xfId="0" applyNumberFormat="1" applyFont="1" applyFill="1" applyBorder="1" applyAlignment="1">
      <alignment horizontal="center" vertical="center"/>
    </xf>
    <xf numFmtId="16" fontId="0" fillId="0" borderId="0" xfId="0" applyNumberFormat="1" applyFill="1" applyBorder="1" applyAlignment="1">
      <alignment horizontal="center" vertical="center"/>
    </xf>
    <xf numFmtId="16" fontId="0" fillId="0" borderId="0" xfId="0" applyNumberFormat="1" applyBorder="1" applyAlignment="1">
      <alignment horizontal="center" vertical="center"/>
    </xf>
    <xf numFmtId="2" fontId="0" fillId="0" borderId="0" xfId="0" applyNumberFormat="1" applyBorder="1"/>
    <xf numFmtId="16" fontId="6" fillId="0" borderId="0" xfId="0" applyNumberFormat="1" applyFont="1" applyFill="1" applyBorder="1" applyAlignment="1" applyProtection="1">
      <alignment horizontal="center" vertical="center"/>
      <protection locked="0"/>
    </xf>
    <xf numFmtId="14" fontId="6" fillId="0" borderId="2" xfId="0" applyNumberFormat="1" applyFont="1" applyBorder="1" applyAlignment="1" applyProtection="1">
      <alignment vertical="center"/>
      <protection locked="0"/>
    </xf>
    <xf numFmtId="14" fontId="6" fillId="0" borderId="6" xfId="0" applyNumberFormat="1" applyFont="1" applyBorder="1" applyAlignment="1" applyProtection="1">
      <alignment vertical="center"/>
      <protection locked="0"/>
    </xf>
    <xf numFmtId="14" fontId="6" fillId="0" borderId="11" xfId="0" applyNumberFormat="1" applyFont="1" applyBorder="1" applyAlignment="1" applyProtection="1">
      <alignment vertical="center"/>
      <protection locked="0"/>
    </xf>
    <xf numFmtId="0" fontId="5" fillId="6" borderId="13" xfId="0" applyFont="1" applyFill="1" applyBorder="1" applyAlignment="1" applyProtection="1">
      <alignment horizontal="center" vertical="center" wrapText="1"/>
      <protection locked="0"/>
    </xf>
    <xf numFmtId="0" fontId="5" fillId="6" borderId="14" xfId="0" applyFont="1" applyFill="1" applyBorder="1" applyAlignment="1" applyProtection="1">
      <alignment horizontal="center" vertical="center" wrapText="1"/>
      <protection locked="0"/>
    </xf>
    <xf numFmtId="0" fontId="7" fillId="13" borderId="15" xfId="0" applyFont="1" applyFill="1" applyBorder="1" applyAlignment="1" applyProtection="1">
      <alignment horizontal="center" vertical="center" wrapText="1"/>
      <protection locked="0"/>
    </xf>
    <xf numFmtId="1" fontId="8" fillId="0" borderId="5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/>
    <xf numFmtId="0" fontId="6" fillId="2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/>
    <xf numFmtId="2" fontId="0" fillId="0" borderId="0" xfId="0" applyNumberFormat="1" applyFill="1" applyBorder="1"/>
    <xf numFmtId="0" fontId="1" fillId="10" borderId="2" xfId="0" applyFont="1" applyFill="1" applyBorder="1" applyAlignment="1">
      <alignment horizontal="center" vertical="center" wrapText="1"/>
    </xf>
    <xf numFmtId="0" fontId="13" fillId="10" borderId="6" xfId="0" applyFont="1" applyFill="1" applyBorder="1" applyAlignment="1">
      <alignment horizontal="center" vertical="center" wrapText="1"/>
    </xf>
    <xf numFmtId="0" fontId="13" fillId="10" borderId="6" xfId="0" applyFont="1" applyFill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 wrapText="1"/>
    </xf>
    <xf numFmtId="0" fontId="1" fillId="10" borderId="6" xfId="0" applyFont="1" applyFill="1" applyBorder="1" applyAlignment="1">
      <alignment horizontal="center" vertical="center" wrapText="1"/>
    </xf>
    <xf numFmtId="0" fontId="1" fillId="10" borderId="7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" fontId="16" fillId="0" borderId="8" xfId="0" applyNumberFormat="1" applyFont="1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10" xfId="0" applyFont="1" applyFill="1" applyBorder="1" applyAlignment="1">
      <alignment horizontal="left" vertical="center"/>
    </xf>
    <xf numFmtId="1" fontId="12" fillId="0" borderId="10" xfId="0" applyNumberFormat="1" applyFont="1" applyFill="1" applyBorder="1" applyAlignment="1">
      <alignment horizontal="center" vertical="center"/>
    </xf>
    <xf numFmtId="2" fontId="0" fillId="0" borderId="0" xfId="0" applyNumberFormat="1"/>
    <xf numFmtId="0" fontId="6" fillId="0" borderId="0" xfId="0" applyFont="1"/>
    <xf numFmtId="0" fontId="18" fillId="0" borderId="0" xfId="0" applyFont="1" applyAlignment="1">
      <alignment horizontal="center" vertical="center"/>
    </xf>
    <xf numFmtId="14" fontId="19" fillId="15" borderId="2" xfId="0" applyNumberFormat="1" applyFont="1" applyFill="1" applyBorder="1" applyAlignment="1">
      <alignment horizontal="center" vertical="center"/>
    </xf>
    <xf numFmtId="0" fontId="19" fillId="7" borderId="4" xfId="0" applyFont="1" applyFill="1" applyBorder="1" applyAlignment="1" applyProtection="1">
      <alignment horizontal="center" vertical="center"/>
      <protection locked="0"/>
    </xf>
    <xf numFmtId="2" fontId="19" fillId="0" borderId="1" xfId="0" applyNumberFormat="1" applyFont="1" applyBorder="1" applyAlignment="1">
      <alignment horizontal="center" vertical="center"/>
    </xf>
    <xf numFmtId="2" fontId="20" fillId="8" borderId="9" xfId="0" applyNumberFormat="1" applyFont="1" applyFill="1" applyBorder="1" applyAlignment="1">
      <alignment horizontal="center" vertical="center"/>
    </xf>
    <xf numFmtId="2" fontId="19" fillId="8" borderId="10" xfId="0" applyNumberFormat="1" applyFont="1" applyFill="1" applyBorder="1" applyAlignment="1">
      <alignment horizontal="center" vertical="center"/>
    </xf>
    <xf numFmtId="16" fontId="21" fillId="16" borderId="6" xfId="0" applyNumberFormat="1" applyFont="1" applyFill="1" applyBorder="1" applyAlignment="1">
      <alignment horizontal="center" vertical="center"/>
    </xf>
    <xf numFmtId="1" fontId="22" fillId="0" borderId="5" xfId="0" applyNumberFormat="1" applyFont="1" applyFill="1" applyBorder="1" applyAlignment="1" applyProtection="1">
      <alignment horizontal="center"/>
      <protection locked="0"/>
    </xf>
    <xf numFmtId="14" fontId="0" fillId="0" borderId="0" xfId="0" applyNumberFormat="1" applyFill="1" applyBorder="1"/>
    <xf numFmtId="0" fontId="12" fillId="11" borderId="1" xfId="0" applyNumberFormat="1" applyFont="1" applyFill="1" applyBorder="1" applyAlignment="1">
      <alignment horizontal="left" vertical="center"/>
    </xf>
    <xf numFmtId="1" fontId="0" fillId="0" borderId="1" xfId="0" applyNumberFormat="1" applyFill="1" applyBorder="1"/>
    <xf numFmtId="16" fontId="23" fillId="17" borderId="0" xfId="0" applyNumberFormat="1" applyFont="1" applyFill="1" applyBorder="1" applyAlignment="1">
      <alignment horizontal="center" vertical="center" wrapText="1"/>
    </xf>
    <xf numFmtId="0" fontId="0" fillId="18" borderId="0" xfId="0" applyFill="1" applyBorder="1"/>
    <xf numFmtId="14" fontId="0" fillId="0" borderId="0" xfId="0" applyNumberFormat="1" applyFill="1" applyBorder="1" applyProtection="1">
      <protection locked="0"/>
    </xf>
    <xf numFmtId="14" fontId="0" fillId="0" borderId="0" xfId="0" applyNumberFormat="1" applyBorder="1"/>
    <xf numFmtId="1" fontId="24" fillId="0" borderId="1" xfId="0" applyNumberFormat="1" applyFont="1" applyBorder="1" applyAlignment="1" applyProtection="1">
      <alignment horizontal="center" vertical="center"/>
      <protection locked="0"/>
    </xf>
    <xf numFmtId="1" fontId="25" fillId="0" borderId="1" xfId="0" applyNumberFormat="1" applyFont="1" applyBorder="1" applyAlignment="1" applyProtection="1">
      <alignment horizontal="center" vertical="center"/>
      <protection locked="0"/>
    </xf>
    <xf numFmtId="1" fontId="2" fillId="0" borderId="4" xfId="0" applyNumberFormat="1" applyFont="1" applyBorder="1" applyAlignment="1" applyProtection="1">
      <alignment horizontal="center" vertical="center"/>
      <protection locked="0"/>
    </xf>
    <xf numFmtId="0" fontId="0" fillId="0" borderId="0" xfId="0" applyFont="1" applyBorder="1"/>
    <xf numFmtId="1" fontId="6" fillId="15" borderId="1" xfId="0" applyNumberFormat="1" applyFont="1" applyFill="1" applyBorder="1" applyAlignment="1" applyProtection="1">
      <alignment horizontal="center" vertical="center"/>
      <protection locked="0"/>
    </xf>
    <xf numFmtId="1" fontId="6" fillId="0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Fill="1" applyBorder="1" applyAlignment="1" applyProtection="1">
      <alignment horizontal="center" vertical="center"/>
      <protection locked="0"/>
    </xf>
    <xf numFmtId="1" fontId="24" fillId="0" borderId="1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Border="1" applyAlignment="1" applyProtection="1">
      <alignment vertical="center"/>
      <protection locked="0"/>
    </xf>
    <xf numFmtId="1" fontId="6" fillId="8" borderId="1" xfId="0" applyNumberFormat="1" applyFont="1" applyFill="1" applyBorder="1" applyAlignment="1" applyProtection="1">
      <alignment horizontal="center" vertical="center"/>
      <protection locked="0"/>
    </xf>
    <xf numFmtId="0" fontId="24" fillId="0" borderId="8" xfId="0" applyFont="1" applyBorder="1" applyAlignment="1" applyProtection="1">
      <alignment horizontal="center" vertical="center"/>
      <protection locked="0"/>
    </xf>
    <xf numFmtId="1" fontId="27" fillId="0" borderId="1" xfId="0" applyNumberFormat="1" applyFont="1" applyFill="1" applyBorder="1" applyAlignment="1" applyProtection="1">
      <alignment horizontal="center" vertical="center"/>
      <protection locked="0"/>
    </xf>
    <xf numFmtId="1" fontId="28" fillId="0" borderId="1" xfId="0" applyNumberFormat="1" applyFont="1" applyBorder="1" applyAlignment="1" applyProtection="1">
      <alignment horizontal="center" vertical="center"/>
      <protection locked="0"/>
    </xf>
    <xf numFmtId="0" fontId="26" fillId="2" borderId="1" xfId="0" applyFont="1" applyFill="1" applyBorder="1" applyAlignment="1" applyProtection="1">
      <alignment horizontal="center" vertical="center"/>
      <protection locked="0"/>
    </xf>
    <xf numFmtId="1" fontId="24" fillId="15" borderId="1" xfId="0" applyNumberFormat="1" applyFont="1" applyFill="1" applyBorder="1" applyAlignment="1" applyProtection="1">
      <alignment horizontal="center" vertical="center"/>
      <protection locked="0"/>
    </xf>
    <xf numFmtId="1" fontId="25" fillId="15" borderId="1" xfId="0" applyNumberFormat="1" applyFont="1" applyFill="1" applyBorder="1" applyAlignment="1" applyProtection="1">
      <alignment horizontal="center" vertical="center"/>
    </xf>
    <xf numFmtId="1" fontId="2" fillId="15" borderId="1" xfId="0" applyNumberFormat="1" applyFont="1" applyFill="1" applyBorder="1" applyAlignment="1" applyProtection="1">
      <alignment horizontal="center" vertical="center"/>
    </xf>
    <xf numFmtId="0" fontId="25" fillId="2" borderId="1" xfId="0" applyFont="1" applyFill="1" applyBorder="1" applyAlignment="1" applyProtection="1">
      <alignment horizontal="center" vertical="center"/>
      <protection locked="0"/>
    </xf>
    <xf numFmtId="0" fontId="3" fillId="19" borderId="1" xfId="0" applyNumberFormat="1" applyFont="1" applyFill="1" applyBorder="1" applyAlignment="1" applyProtection="1">
      <alignment horizontal="left" vertical="center"/>
      <protection locked="0"/>
    </xf>
    <xf numFmtId="1" fontId="3" fillId="19" borderId="1" xfId="0" applyNumberFormat="1" applyFont="1" applyFill="1" applyBorder="1" applyAlignment="1" applyProtection="1">
      <alignment horizontal="center" vertical="center"/>
    </xf>
    <xf numFmtId="1" fontId="22" fillId="0" borderId="1" xfId="0" applyNumberFormat="1" applyFont="1" applyFill="1" applyBorder="1" applyAlignment="1" applyProtection="1">
      <alignment horizontal="center"/>
      <protection locked="0"/>
    </xf>
    <xf numFmtId="0" fontId="25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0" borderId="1" xfId="0" applyNumberFormat="1" applyFont="1" applyFill="1" applyBorder="1" applyAlignment="1" applyProtection="1">
      <alignment horizontal="left" vertical="center"/>
      <protection locked="0"/>
    </xf>
    <xf numFmtId="1" fontId="11" fillId="20" borderId="1" xfId="0" applyNumberFormat="1" applyFont="1" applyFill="1" applyBorder="1" applyAlignment="1" applyProtection="1">
      <alignment horizontal="center" vertical="center"/>
    </xf>
    <xf numFmtId="0" fontId="25" fillId="0" borderId="4" xfId="0" applyFont="1" applyBorder="1" applyAlignment="1" applyProtection="1">
      <alignment horizontal="center" vertical="center"/>
      <protection locked="0"/>
    </xf>
    <xf numFmtId="14" fontId="6" fillId="0" borderId="16" xfId="0" applyNumberFormat="1" applyFont="1" applyBorder="1" applyAlignment="1" applyProtection="1">
      <alignment horizontal="center" vertical="center"/>
      <protection locked="0"/>
    </xf>
    <xf numFmtId="14" fontId="6" fillId="0" borderId="17" xfId="0" applyNumberFormat="1" applyFont="1" applyBorder="1" applyAlignment="1" applyProtection="1">
      <alignment horizontal="center" vertical="center"/>
      <protection locked="0"/>
    </xf>
    <xf numFmtId="14" fontId="6" fillId="0" borderId="18" xfId="0" applyNumberFormat="1" applyFont="1" applyBorder="1" applyAlignment="1" applyProtection="1">
      <alignment horizontal="center" vertical="center"/>
      <protection locked="0"/>
    </xf>
    <xf numFmtId="14" fontId="6" fillId="0" borderId="1" xfId="0" applyNumberFormat="1" applyFont="1" applyFill="1" applyBorder="1" applyAlignment="1" applyProtection="1">
      <alignment horizontal="center" vertical="center"/>
      <protection locked="0"/>
    </xf>
    <xf numFmtId="14" fontId="6" fillId="0" borderId="1" xfId="0" applyNumberFormat="1" applyFont="1" applyBorder="1" applyAlignment="1" applyProtection="1">
      <alignment horizontal="center" vertical="center"/>
      <protection locked="0"/>
    </xf>
  </cellXfs>
  <cellStyles count="4">
    <cellStyle name="Comma 2" xfId="1"/>
    <cellStyle name="Comma 3" xfId="3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FDEBA9"/>
      <color rgb="FFEBE6FE"/>
      <color rgb="FFD1F7FB"/>
      <color rgb="FF00CC99"/>
      <color rgb="FFFFCCFF"/>
      <color rgb="FFFFFFC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 WISE RECORD OCT-2024'!$B$65</c:f>
              <c:strCache>
                <c:ptCount val="1"/>
                <c:pt idx="0">
                  <c:v>WIP VAL.(LAC)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'DAY WISE RECORD OCT-2024'!$C$64:$AF$64</c:f>
              <c:numCache>
                <c:formatCode>d\-mmm</c:formatCode>
                <c:ptCount val="3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  <c:pt idx="10">
                  <c:v>46092</c:v>
                </c:pt>
                <c:pt idx="11">
                  <c:v>46093</c:v>
                </c:pt>
                <c:pt idx="12">
                  <c:v>46094</c:v>
                </c:pt>
                <c:pt idx="13">
                  <c:v>46095</c:v>
                </c:pt>
                <c:pt idx="14">
                  <c:v>46096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  <c:pt idx="20">
                  <c:v>46102</c:v>
                </c:pt>
                <c:pt idx="21">
                  <c:v>46103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46109</c:v>
                </c:pt>
                <c:pt idx="28">
                  <c:v>46110</c:v>
                </c:pt>
                <c:pt idx="29">
                  <c:v>46111</c:v>
                </c:pt>
              </c:numCache>
            </c:numRef>
          </c:cat>
          <c:val>
            <c:numRef>
              <c:f>'DAY WISE RECORD OCT-2024'!$C$65:$AF$65</c:f>
              <c:numCache>
                <c:formatCode>0.00</c:formatCode>
                <c:ptCount val="30"/>
                <c:pt idx="0">
                  <c:v>29.483853799999999</c:v>
                </c:pt>
                <c:pt idx="1">
                  <c:v>32.3351945</c:v>
                </c:pt>
                <c:pt idx="2">
                  <c:v>33.576993400000028</c:v>
                </c:pt>
                <c:pt idx="3">
                  <c:v>33.576993400000028</c:v>
                </c:pt>
                <c:pt idx="4">
                  <c:v>32.696243300000006</c:v>
                </c:pt>
                <c:pt idx="5">
                  <c:v>31.828271000000015</c:v>
                </c:pt>
                <c:pt idx="6">
                  <c:v>31.572168900000019</c:v>
                </c:pt>
                <c:pt idx="7">
                  <c:v>32.399320200000005</c:v>
                </c:pt>
                <c:pt idx="8">
                  <c:v>32.56173549999999</c:v>
                </c:pt>
                <c:pt idx="9">
                  <c:v>34.341139899999995</c:v>
                </c:pt>
                <c:pt idx="10">
                  <c:v>36.004630799999994</c:v>
                </c:pt>
                <c:pt idx="11">
                  <c:v>36.203355100000003</c:v>
                </c:pt>
                <c:pt idx="12">
                  <c:v>37.839080699999997</c:v>
                </c:pt>
                <c:pt idx="13">
                  <c:v>38.282442500000023</c:v>
                </c:pt>
                <c:pt idx="14">
                  <c:v>38.621103600000005</c:v>
                </c:pt>
                <c:pt idx="15">
                  <c:v>40.515791499999999</c:v>
                </c:pt>
                <c:pt idx="16">
                  <c:v>41.920158399999991</c:v>
                </c:pt>
                <c:pt idx="17">
                  <c:v>40.3405591</c:v>
                </c:pt>
                <c:pt idx="18">
                  <c:v>40.285825399999993</c:v>
                </c:pt>
                <c:pt idx="19">
                  <c:v>40.166455099999993</c:v>
                </c:pt>
                <c:pt idx="20">
                  <c:v>43.687790799999995</c:v>
                </c:pt>
                <c:pt idx="21">
                  <c:v>44.873748599999992</c:v>
                </c:pt>
                <c:pt idx="22">
                  <c:v>46.141209299999986</c:v>
                </c:pt>
                <c:pt idx="23">
                  <c:v>44.499784199999993</c:v>
                </c:pt>
                <c:pt idx="24">
                  <c:v>41.603626799999986</c:v>
                </c:pt>
                <c:pt idx="25">
                  <c:v>44.7869259</c:v>
                </c:pt>
                <c:pt idx="26">
                  <c:v>43.819919799999994</c:v>
                </c:pt>
                <c:pt idx="27">
                  <c:v>42.610567299999992</c:v>
                </c:pt>
                <c:pt idx="28">
                  <c:v>37.844597899999989</c:v>
                </c:pt>
                <c:pt idx="29">
                  <c:v>37.961203899999994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CD-40A9-8B6F-819B9984C7F6}"/>
            </c:ext>
          </c:extLst>
        </c:ser>
        <c:ser>
          <c:idx val="1"/>
          <c:order val="1"/>
          <c:tx>
            <c:strRef>
              <c:f>'DAY WISE RECORD OCT-2024'!$B$66</c:f>
              <c:strCache>
                <c:ptCount val="1"/>
                <c:pt idx="0">
                  <c:v>SUPLY. SIDE WIP (LAC)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'DAY WISE RECORD OCT-2024'!$C$64:$AF$64</c:f>
              <c:numCache>
                <c:formatCode>d\-mmm</c:formatCode>
                <c:ptCount val="3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  <c:pt idx="10">
                  <c:v>46092</c:v>
                </c:pt>
                <c:pt idx="11">
                  <c:v>46093</c:v>
                </c:pt>
                <c:pt idx="12">
                  <c:v>46094</c:v>
                </c:pt>
                <c:pt idx="13">
                  <c:v>46095</c:v>
                </c:pt>
                <c:pt idx="14">
                  <c:v>46096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  <c:pt idx="20">
                  <c:v>46102</c:v>
                </c:pt>
                <c:pt idx="21">
                  <c:v>46103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46109</c:v>
                </c:pt>
                <c:pt idx="28">
                  <c:v>46110</c:v>
                </c:pt>
                <c:pt idx="29">
                  <c:v>46111</c:v>
                </c:pt>
              </c:numCache>
            </c:numRef>
          </c:cat>
          <c:val>
            <c:numRef>
              <c:f>'DAY WISE RECORD OCT-2024'!$C$66:$AF$66</c:f>
              <c:numCache>
                <c:formatCode>0.00</c:formatCode>
                <c:ptCount val="30"/>
                <c:pt idx="0">
                  <c:v>2.1304218000000001</c:v>
                </c:pt>
                <c:pt idx="1">
                  <c:v>1.9733318</c:v>
                </c:pt>
                <c:pt idx="2">
                  <c:v>1.8642138000000001</c:v>
                </c:pt>
                <c:pt idx="3">
                  <c:v>1.8642138000000001</c:v>
                </c:pt>
                <c:pt idx="4">
                  <c:v>1.8304199999999999</c:v>
                </c:pt>
                <c:pt idx="5">
                  <c:v>1.8304199999999999</c:v>
                </c:pt>
                <c:pt idx="6">
                  <c:v>1.8207599999999999</c:v>
                </c:pt>
                <c:pt idx="7">
                  <c:v>1.9019135999999999</c:v>
                </c:pt>
                <c:pt idx="8">
                  <c:v>1.9734844</c:v>
                </c:pt>
                <c:pt idx="9">
                  <c:v>2.2408443999999998</c:v>
                </c:pt>
                <c:pt idx="10">
                  <c:v>2.1279444000000001</c:v>
                </c:pt>
                <c:pt idx="11">
                  <c:v>2.0255944000000001</c:v>
                </c:pt>
                <c:pt idx="12">
                  <c:v>2.0255944000000001</c:v>
                </c:pt>
                <c:pt idx="13">
                  <c:v>1.6675944</c:v>
                </c:pt>
                <c:pt idx="14">
                  <c:v>1.6984167999999999</c:v>
                </c:pt>
                <c:pt idx="15">
                  <c:v>1.6180167999999999</c:v>
                </c:pt>
                <c:pt idx="16">
                  <c:v>1.5108067999999999</c:v>
                </c:pt>
                <c:pt idx="17">
                  <c:v>1.5523266</c:v>
                </c:pt>
                <c:pt idx="18">
                  <c:v>1.6490466000000004</c:v>
                </c:pt>
                <c:pt idx="19">
                  <c:v>1.6490466000000004</c:v>
                </c:pt>
                <c:pt idx="20">
                  <c:v>1.826775</c:v>
                </c:pt>
                <c:pt idx="21">
                  <c:v>1.9655750000000001</c:v>
                </c:pt>
                <c:pt idx="22">
                  <c:v>2.8861849999999998</c:v>
                </c:pt>
                <c:pt idx="23">
                  <c:v>3.1082649999999998</c:v>
                </c:pt>
                <c:pt idx="24">
                  <c:v>3.1082649999999998</c:v>
                </c:pt>
                <c:pt idx="25">
                  <c:v>3.0871673999999998</c:v>
                </c:pt>
                <c:pt idx="26">
                  <c:v>3.2442074000000001</c:v>
                </c:pt>
                <c:pt idx="27">
                  <c:v>3.7683249999999999</c:v>
                </c:pt>
                <c:pt idx="28">
                  <c:v>3.7132977999999999</c:v>
                </c:pt>
                <c:pt idx="29">
                  <c:v>3.8906777999999997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CD-40A9-8B6F-819B9984C7F6}"/>
            </c:ext>
          </c:extLst>
        </c:ser>
        <c:ser>
          <c:idx val="2"/>
          <c:order val="2"/>
          <c:tx>
            <c:strRef>
              <c:f>'DAY WISE RECORD OCT-2024'!$B$67</c:f>
              <c:strCache>
                <c:ptCount val="1"/>
                <c:pt idx="0">
                  <c:v>FG VAL. (LAC)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'DAY WISE RECORD OCT-2024'!$C$64:$AF$64</c:f>
              <c:numCache>
                <c:formatCode>d\-mmm</c:formatCode>
                <c:ptCount val="3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  <c:pt idx="10">
                  <c:v>46092</c:v>
                </c:pt>
                <c:pt idx="11">
                  <c:v>46093</c:v>
                </c:pt>
                <c:pt idx="12">
                  <c:v>46094</c:v>
                </c:pt>
                <c:pt idx="13">
                  <c:v>46095</c:v>
                </c:pt>
                <c:pt idx="14">
                  <c:v>46096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  <c:pt idx="20">
                  <c:v>46102</c:v>
                </c:pt>
                <c:pt idx="21">
                  <c:v>46103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46109</c:v>
                </c:pt>
                <c:pt idx="28">
                  <c:v>46110</c:v>
                </c:pt>
                <c:pt idx="29">
                  <c:v>46111</c:v>
                </c:pt>
              </c:numCache>
            </c:numRef>
          </c:cat>
          <c:val>
            <c:numRef>
              <c:f>'DAY WISE RECORD OCT-2024'!$C$67:$AF$67</c:f>
              <c:numCache>
                <c:formatCode>0.00</c:formatCode>
                <c:ptCount val="30"/>
                <c:pt idx="0">
                  <c:v>15.022210600000001</c:v>
                </c:pt>
                <c:pt idx="1">
                  <c:v>12.582630700000001</c:v>
                </c:pt>
                <c:pt idx="2">
                  <c:v>14.27877</c:v>
                </c:pt>
                <c:pt idx="3">
                  <c:v>14.27877</c:v>
                </c:pt>
                <c:pt idx="4">
                  <c:v>13.195711199999998</c:v>
                </c:pt>
                <c:pt idx="5">
                  <c:v>11.347503300000001</c:v>
                </c:pt>
                <c:pt idx="6">
                  <c:v>11.917532899999998</c:v>
                </c:pt>
                <c:pt idx="7">
                  <c:v>12.120307499999997</c:v>
                </c:pt>
                <c:pt idx="8">
                  <c:v>13.196738999999997</c:v>
                </c:pt>
                <c:pt idx="9">
                  <c:v>13.927048000000001</c:v>
                </c:pt>
                <c:pt idx="10">
                  <c:v>12.409194999999997</c:v>
                </c:pt>
                <c:pt idx="11">
                  <c:v>11.830026299999997</c:v>
                </c:pt>
                <c:pt idx="12">
                  <c:v>11.830026299999997</c:v>
                </c:pt>
                <c:pt idx="13">
                  <c:v>10.758148299999998</c:v>
                </c:pt>
                <c:pt idx="14">
                  <c:v>9.3346055000000003</c:v>
                </c:pt>
                <c:pt idx="15">
                  <c:v>9.7551509000000003</c:v>
                </c:pt>
                <c:pt idx="16">
                  <c:v>11.0225452</c:v>
                </c:pt>
                <c:pt idx="17">
                  <c:v>9.1930442999999986</c:v>
                </c:pt>
                <c:pt idx="18">
                  <c:v>9.9627789</c:v>
                </c:pt>
                <c:pt idx="19">
                  <c:v>9.9627789</c:v>
                </c:pt>
                <c:pt idx="20">
                  <c:v>9.1972807000000021</c:v>
                </c:pt>
                <c:pt idx="21">
                  <c:v>8.2491661000000018</c:v>
                </c:pt>
                <c:pt idx="22">
                  <c:v>9.0839556999999989</c:v>
                </c:pt>
                <c:pt idx="23">
                  <c:v>9.1797858999999988</c:v>
                </c:pt>
                <c:pt idx="24">
                  <c:v>11.720508299999999</c:v>
                </c:pt>
                <c:pt idx="25">
                  <c:v>9.8920110999999995</c:v>
                </c:pt>
                <c:pt idx="26">
                  <c:v>9.9019435000000016</c:v>
                </c:pt>
                <c:pt idx="27">
                  <c:v>10.909584600000002</c:v>
                </c:pt>
                <c:pt idx="28">
                  <c:v>10.709558500000002</c:v>
                </c:pt>
                <c:pt idx="29">
                  <c:v>15.024818099999997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CD-40A9-8B6F-819B9984C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664776"/>
        <c:axId val="219492032"/>
      </c:barChart>
      <c:lineChart>
        <c:grouping val="standard"/>
        <c:varyColors val="0"/>
        <c:ser>
          <c:idx val="3"/>
          <c:order val="3"/>
          <c:tx>
            <c:strRef>
              <c:f>'DAY WISE RECORD OCT-2024'!$B$68</c:f>
              <c:strCache>
                <c:ptCount val="1"/>
                <c:pt idx="0">
                  <c:v>RM VAL. (LAC)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'DAY WISE RECORD OCT-2024'!$C$64:$AF$64</c:f>
              <c:numCache>
                <c:formatCode>d\-mmm</c:formatCode>
                <c:ptCount val="3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  <c:pt idx="10">
                  <c:v>46092</c:v>
                </c:pt>
                <c:pt idx="11">
                  <c:v>46093</c:v>
                </c:pt>
                <c:pt idx="12">
                  <c:v>46094</c:v>
                </c:pt>
                <c:pt idx="13">
                  <c:v>46095</c:v>
                </c:pt>
                <c:pt idx="14">
                  <c:v>46096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  <c:pt idx="20">
                  <c:v>46102</c:v>
                </c:pt>
                <c:pt idx="21">
                  <c:v>46103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46109</c:v>
                </c:pt>
                <c:pt idx="28">
                  <c:v>46110</c:v>
                </c:pt>
                <c:pt idx="29">
                  <c:v>46111</c:v>
                </c:pt>
              </c:numCache>
            </c:numRef>
          </c:cat>
          <c:val>
            <c:numRef>
              <c:f>'DAY WISE RECORD OCT-2024'!$C$68:$AF$68</c:f>
              <c:numCache>
                <c:formatCode>0.00</c:formatCode>
                <c:ptCount val="30"/>
                <c:pt idx="0">
                  <c:v>53.840911549999994</c:v>
                </c:pt>
                <c:pt idx="1">
                  <c:v>50.369323899999991</c:v>
                </c:pt>
                <c:pt idx="2">
                  <c:v>50.369323899999991</c:v>
                </c:pt>
                <c:pt idx="3">
                  <c:v>51.354619799999988</c:v>
                </c:pt>
                <c:pt idx="4">
                  <c:v>52.604782849999992</c:v>
                </c:pt>
                <c:pt idx="5">
                  <c:v>51.182010099999985</c:v>
                </c:pt>
                <c:pt idx="6">
                  <c:v>51.25815699999999</c:v>
                </c:pt>
                <c:pt idx="7">
                  <c:v>53.355392399999985</c:v>
                </c:pt>
                <c:pt idx="8">
                  <c:v>65.318621099999987</c:v>
                </c:pt>
                <c:pt idx="9">
                  <c:v>59.339073699999993</c:v>
                </c:pt>
                <c:pt idx="10">
                  <c:v>57.861874699999987</c:v>
                </c:pt>
                <c:pt idx="11">
                  <c:v>59.626714699999987</c:v>
                </c:pt>
                <c:pt idx="12">
                  <c:v>55.486562700000007</c:v>
                </c:pt>
                <c:pt idx="13">
                  <c:v>56.803653100000005</c:v>
                </c:pt>
                <c:pt idx="14">
                  <c:v>53.008464599999996</c:v>
                </c:pt>
                <c:pt idx="15">
                  <c:v>51.952258000000008</c:v>
                </c:pt>
                <c:pt idx="16">
                  <c:v>53.922132999999995</c:v>
                </c:pt>
                <c:pt idx="17">
                  <c:v>55.964262599999991</c:v>
                </c:pt>
                <c:pt idx="18">
                  <c:v>60.224262599999989</c:v>
                </c:pt>
                <c:pt idx="19">
                  <c:v>55.4588234</c:v>
                </c:pt>
                <c:pt idx="20">
                  <c:v>62.776972199999996</c:v>
                </c:pt>
                <c:pt idx="21">
                  <c:v>60.600858699999982</c:v>
                </c:pt>
                <c:pt idx="22">
                  <c:v>56.943170199999983</c:v>
                </c:pt>
                <c:pt idx="23">
                  <c:v>56.283967099999991</c:v>
                </c:pt>
                <c:pt idx="24">
                  <c:v>54.992060599999988</c:v>
                </c:pt>
                <c:pt idx="25">
                  <c:v>54.992060599999988</c:v>
                </c:pt>
                <c:pt idx="26">
                  <c:v>48.104270599999992</c:v>
                </c:pt>
                <c:pt idx="27">
                  <c:v>54.850853599999994</c:v>
                </c:pt>
                <c:pt idx="28">
                  <c:v>56.839674599999988</c:v>
                </c:pt>
                <c:pt idx="29">
                  <c:v>56.839674599999988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CD-40A9-8B6F-819B9984C7F6}"/>
            </c:ext>
          </c:extLst>
        </c:ser>
        <c:ser>
          <c:idx val="4"/>
          <c:order val="4"/>
          <c:tx>
            <c:strRef>
              <c:f>'DAY WISE RECORD OCT-2024'!$B$69</c:f>
              <c:strCache>
                <c:ptCount val="1"/>
                <c:pt idx="0">
                  <c:v>TOTAL VAL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'DAY WISE RECORD OCT-2024'!$C$64:$AF$64</c:f>
              <c:numCache>
                <c:formatCode>d\-mmm</c:formatCode>
                <c:ptCount val="3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  <c:pt idx="10">
                  <c:v>46092</c:v>
                </c:pt>
                <c:pt idx="11">
                  <c:v>46093</c:v>
                </c:pt>
                <c:pt idx="12">
                  <c:v>46094</c:v>
                </c:pt>
                <c:pt idx="13">
                  <c:v>46095</c:v>
                </c:pt>
                <c:pt idx="14">
                  <c:v>46096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  <c:pt idx="20">
                  <c:v>46102</c:v>
                </c:pt>
                <c:pt idx="21">
                  <c:v>46103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46109</c:v>
                </c:pt>
                <c:pt idx="28">
                  <c:v>46110</c:v>
                </c:pt>
                <c:pt idx="29">
                  <c:v>46111</c:v>
                </c:pt>
              </c:numCache>
            </c:numRef>
          </c:cat>
          <c:val>
            <c:numRef>
              <c:f>'DAY WISE RECORD OCT-2024'!$C$69:$AF$69</c:f>
              <c:numCache>
                <c:formatCode>0.00</c:formatCode>
                <c:ptCount val="30"/>
                <c:pt idx="0">
                  <c:v>100.47739774999999</c:v>
                </c:pt>
                <c:pt idx="1">
                  <c:v>97.26048089999999</c:v>
                </c:pt>
                <c:pt idx="2">
                  <c:v>100.08930110000003</c:v>
                </c:pt>
                <c:pt idx="3">
                  <c:v>101.07459700000001</c:v>
                </c:pt>
                <c:pt idx="4">
                  <c:v>100.32715734999999</c:v>
                </c:pt>
                <c:pt idx="5">
                  <c:v>96.188204399999989</c:v>
                </c:pt>
                <c:pt idx="6">
                  <c:v>96.568618799999996</c:v>
                </c:pt>
                <c:pt idx="7">
                  <c:v>99.776933699999987</c:v>
                </c:pt>
                <c:pt idx="8">
                  <c:v>113.05057999999997</c:v>
                </c:pt>
                <c:pt idx="9">
                  <c:v>109.84810599999999</c:v>
                </c:pt>
                <c:pt idx="10">
                  <c:v>108.40364489999997</c:v>
                </c:pt>
                <c:pt idx="11">
                  <c:v>109.68569049999999</c:v>
                </c:pt>
                <c:pt idx="12">
                  <c:v>107.18126410000001</c:v>
                </c:pt>
                <c:pt idx="13">
                  <c:v>107.51183830000002</c:v>
                </c:pt>
                <c:pt idx="14">
                  <c:v>102.66259049999999</c:v>
                </c:pt>
                <c:pt idx="15">
                  <c:v>103.84121720000002</c:v>
                </c:pt>
                <c:pt idx="16">
                  <c:v>108.37564339999997</c:v>
                </c:pt>
                <c:pt idx="17">
                  <c:v>107.05019259999999</c:v>
                </c:pt>
                <c:pt idx="18">
                  <c:v>112.12191349999998</c:v>
                </c:pt>
                <c:pt idx="19">
                  <c:v>107.23710399999999</c:v>
                </c:pt>
                <c:pt idx="20">
                  <c:v>117.4888187</c:v>
                </c:pt>
                <c:pt idx="21">
                  <c:v>115.68934839999997</c:v>
                </c:pt>
                <c:pt idx="22">
                  <c:v>115.05452019999996</c:v>
                </c:pt>
                <c:pt idx="23">
                  <c:v>113.07180219999998</c:v>
                </c:pt>
                <c:pt idx="24">
                  <c:v>111.42446069999997</c:v>
                </c:pt>
                <c:pt idx="25">
                  <c:v>112.75816499999999</c:v>
                </c:pt>
                <c:pt idx="26">
                  <c:v>105.0703413</c:v>
                </c:pt>
                <c:pt idx="27">
                  <c:v>112.13933049999999</c:v>
                </c:pt>
                <c:pt idx="28">
                  <c:v>109.10712879999997</c:v>
                </c:pt>
                <c:pt idx="29">
                  <c:v>113.71637439999998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9CD-40A9-8B6F-819B9984C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664776"/>
        <c:axId val="219492032"/>
      </c:lineChart>
      <c:dateAx>
        <c:axId val="122664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492032"/>
        <c:crosses val="autoZero"/>
        <c:auto val="1"/>
        <c:lblOffset val="100"/>
        <c:baseTimeUnit val="days"/>
      </c:dateAx>
      <c:valAx>
        <c:axId val="21949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664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0</xdr:row>
      <xdr:rowOff>0</xdr:rowOff>
    </xdr:from>
    <xdr:to>
      <xdr:col>26</xdr:col>
      <xdr:colOff>1524000</xdr:colOff>
      <xdr:row>60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d\HR%20-%20DEPARTMENT\DASH%20BOARD%202025-2026\April%202025\DASHBOARD-April-2025-STOR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g\MLD%20radiance\MIS%20STORE\MIS%20-MAR-202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"/>
      <sheetName val="DASHBOARD"/>
      <sheetName val="MACHINE STOPAGE"/>
      <sheetName val="EXTRA FRIEGHT"/>
      <sheetName val="RED PARTS"/>
      <sheetName val="ITR"/>
      <sheetName val="GREEN LEV.₹"/>
      <sheetName val="STORE-GRAPH1"/>
      <sheetName val="ACTION PLANFOR INVENTORY REDUCT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I2">
            <v>5009573</v>
          </cell>
          <cell r="J2" t="str">
            <v>BASE HOUSING CRANKCASE</v>
          </cell>
          <cell r="K2">
            <v>600</v>
          </cell>
        </row>
        <row r="3">
          <cell r="I3">
            <v>5009576</v>
          </cell>
          <cell r="J3" t="str">
            <v>DISC</v>
          </cell>
          <cell r="K3">
            <v>1000</v>
          </cell>
        </row>
        <row r="4">
          <cell r="I4">
            <v>5009579</v>
          </cell>
          <cell r="J4" t="str">
            <v>BASE HOUSING</v>
          </cell>
          <cell r="K4">
            <v>450</v>
          </cell>
        </row>
        <row r="5">
          <cell r="I5">
            <v>5009583</v>
          </cell>
          <cell r="J5" t="str">
            <v>CDR CAP</v>
          </cell>
          <cell r="K5">
            <v>1000</v>
          </cell>
        </row>
        <row r="6">
          <cell r="I6">
            <v>5011413</v>
          </cell>
          <cell r="J6" t="str">
            <v>ENDPLATE</v>
          </cell>
          <cell r="K6">
            <v>1000</v>
          </cell>
        </row>
        <row r="7">
          <cell r="I7">
            <v>5011769</v>
          </cell>
          <cell r="J7" t="str">
            <v>END PLATE PLASTIC</v>
          </cell>
          <cell r="K7">
            <v>3000</v>
          </cell>
        </row>
        <row r="8">
          <cell r="I8">
            <v>5013518</v>
          </cell>
          <cell r="J8" t="str">
            <v>LID HOUSING</v>
          </cell>
          <cell r="K8">
            <v>2500</v>
          </cell>
        </row>
        <row r="9">
          <cell r="I9">
            <v>5013520</v>
          </cell>
          <cell r="J9" t="str">
            <v>LID HOUSING</v>
          </cell>
          <cell r="K9">
            <v>2500</v>
          </cell>
        </row>
        <row r="10">
          <cell r="I10">
            <v>5014445</v>
          </cell>
          <cell r="J10" t="str">
            <v xml:space="preserve">ENDPLATE ASY, PLASTIC </v>
          </cell>
          <cell r="K10">
            <v>10000</v>
          </cell>
        </row>
        <row r="11">
          <cell r="I11">
            <v>5015494</v>
          </cell>
          <cell r="J11" t="str">
            <v>LID HOUSING</v>
          </cell>
          <cell r="K11">
            <v>300</v>
          </cell>
        </row>
        <row r="12">
          <cell r="I12">
            <v>5015499</v>
          </cell>
          <cell r="J12" t="str">
            <v>LID HOUSING</v>
          </cell>
          <cell r="K12">
            <v>450</v>
          </cell>
        </row>
        <row r="13">
          <cell r="I13">
            <v>5015855</v>
          </cell>
          <cell r="J13" t="str">
            <v xml:space="preserve">END PLATE PLASTIC </v>
          </cell>
          <cell r="K13">
            <v>8000</v>
          </cell>
        </row>
        <row r="14">
          <cell r="I14">
            <v>5015903</v>
          </cell>
          <cell r="J14" t="str">
            <v>VALVE BODY, PLASTIC</v>
          </cell>
          <cell r="K14">
            <v>2000</v>
          </cell>
        </row>
        <row r="15">
          <cell r="I15">
            <v>5015904</v>
          </cell>
          <cell r="J15" t="str">
            <v>VALVE BODY, PLASTIC</v>
          </cell>
          <cell r="K15">
            <v>2000</v>
          </cell>
        </row>
        <row r="16">
          <cell r="I16">
            <v>5016817</v>
          </cell>
          <cell r="J16" t="str">
            <v>HYDROPHOBIC SCREEN</v>
          </cell>
          <cell r="K16">
            <v>14000</v>
          </cell>
        </row>
        <row r="17">
          <cell r="I17">
            <v>5016821</v>
          </cell>
          <cell r="J17" t="str">
            <v>END PLATE PLASTIC</v>
          </cell>
          <cell r="K17">
            <v>3000</v>
          </cell>
        </row>
        <row r="18">
          <cell r="I18">
            <v>5017886</v>
          </cell>
          <cell r="J18" t="str">
            <v>CENTER TUBE</v>
          </cell>
          <cell r="K18">
            <v>7000</v>
          </cell>
        </row>
        <row r="19">
          <cell r="I19">
            <v>5022550</v>
          </cell>
          <cell r="J19" t="str">
            <v>LID HOUSING CRANKCASE</v>
          </cell>
          <cell r="K19">
            <v>150</v>
          </cell>
        </row>
        <row r="20">
          <cell r="I20">
            <v>5023380</v>
          </cell>
          <cell r="J20" t="str">
            <v>END PLATE PLASTIC</v>
          </cell>
          <cell r="K20">
            <v>8000</v>
          </cell>
        </row>
        <row r="21">
          <cell r="I21">
            <v>5023573</v>
          </cell>
          <cell r="J21" t="str">
            <v>CENTERTUBE PLASTIC</v>
          </cell>
          <cell r="K21">
            <v>6400</v>
          </cell>
        </row>
        <row r="22">
          <cell r="I22">
            <v>5025761</v>
          </cell>
          <cell r="J22" t="str">
            <v>HYDROPHOBIC SCREEN</v>
          </cell>
          <cell r="K22">
            <v>6000</v>
          </cell>
        </row>
        <row r="23">
          <cell r="I23">
            <v>5025960</v>
          </cell>
          <cell r="J23" t="str">
            <v>ENDPLATE ASY, PLASTIC</v>
          </cell>
          <cell r="K23">
            <v>1000</v>
          </cell>
        </row>
        <row r="24">
          <cell r="I24">
            <v>5026154</v>
          </cell>
          <cell r="J24" t="str">
            <v>LID HOUSING</v>
          </cell>
          <cell r="K24">
            <v>150</v>
          </cell>
        </row>
        <row r="25">
          <cell r="I25">
            <v>5027239</v>
          </cell>
          <cell r="J25" t="str">
            <v>EICHER COVER PLATE</v>
          </cell>
          <cell r="K25">
            <v>100</v>
          </cell>
        </row>
        <row r="26">
          <cell r="I26">
            <v>5028386</v>
          </cell>
          <cell r="J26" t="str">
            <v>CAP PLASTIC</v>
          </cell>
          <cell r="K26">
            <v>2700</v>
          </cell>
        </row>
        <row r="27">
          <cell r="I27">
            <v>5028536</v>
          </cell>
          <cell r="J27" t="str">
            <v>BASE HOUSING ASSYM</v>
          </cell>
          <cell r="K27">
            <v>2500</v>
          </cell>
        </row>
        <row r="28">
          <cell r="I28">
            <v>5029356</v>
          </cell>
          <cell r="J28" t="str">
            <v>END PLATE PLASTIC</v>
          </cell>
          <cell r="K28">
            <v>200</v>
          </cell>
        </row>
        <row r="29">
          <cell r="I29">
            <v>5029357</v>
          </cell>
          <cell r="J29" t="str">
            <v>END PLATE PLASTIC</v>
          </cell>
          <cell r="K29">
            <v>200</v>
          </cell>
        </row>
        <row r="30">
          <cell r="I30">
            <v>5029358</v>
          </cell>
          <cell r="J30" t="str">
            <v>CENTERTUBE PLASTIC</v>
          </cell>
          <cell r="K30">
            <v>200</v>
          </cell>
        </row>
        <row r="31">
          <cell r="I31">
            <v>5029411</v>
          </cell>
          <cell r="J31" t="str">
            <v>PIPE PLASTIC</v>
          </cell>
          <cell r="K31">
            <v>100</v>
          </cell>
        </row>
        <row r="32">
          <cell r="I32">
            <v>5030020</v>
          </cell>
          <cell r="J32" t="str">
            <v>CDR CAP</v>
          </cell>
          <cell r="K32">
            <v>500</v>
          </cell>
        </row>
        <row r="33">
          <cell r="I33">
            <v>5030021</v>
          </cell>
          <cell r="J33" t="str">
            <v xml:space="preserve">CDR HOUSING </v>
          </cell>
          <cell r="K33">
            <v>200</v>
          </cell>
        </row>
        <row r="34">
          <cell r="I34">
            <v>5030022</v>
          </cell>
          <cell r="J34" t="str">
            <v>COVER PLATE</v>
          </cell>
          <cell r="K34">
            <v>200</v>
          </cell>
        </row>
        <row r="35">
          <cell r="I35">
            <v>5030146</v>
          </cell>
          <cell r="J35" t="str">
            <v>NOZZLE PLATE</v>
          </cell>
          <cell r="K35">
            <v>200</v>
          </cell>
        </row>
        <row r="36">
          <cell r="I36">
            <v>5031751</v>
          </cell>
          <cell r="J36" t="str">
            <v>RING PLASTIC</v>
          </cell>
          <cell r="K36">
            <v>300</v>
          </cell>
        </row>
        <row r="37">
          <cell r="I37">
            <v>5025752</v>
          </cell>
          <cell r="J37" t="str">
            <v>PIPE PLASTIC</v>
          </cell>
          <cell r="K37">
            <v>100</v>
          </cell>
        </row>
        <row r="38">
          <cell r="I38">
            <v>5032201</v>
          </cell>
          <cell r="J38" t="str">
            <v>ENDPLATE, PLASTIC</v>
          </cell>
          <cell r="K38">
            <v>500</v>
          </cell>
        </row>
        <row r="39">
          <cell r="I39">
            <v>5037987</v>
          </cell>
          <cell r="J39" t="str">
            <v>HYDROPHOBIC SCREEN</v>
          </cell>
          <cell r="K39">
            <v>200</v>
          </cell>
        </row>
        <row r="40">
          <cell r="I40">
            <v>5038940</v>
          </cell>
          <cell r="J40" t="str">
            <v>CENTERTUBE</v>
          </cell>
          <cell r="K40">
            <v>1600</v>
          </cell>
        </row>
        <row r="41">
          <cell r="I41">
            <v>5038950</v>
          </cell>
          <cell r="J41" t="str">
            <v>CENTERTUBE</v>
          </cell>
          <cell r="K41">
            <v>3000</v>
          </cell>
        </row>
        <row r="42">
          <cell r="I42">
            <v>5017139</v>
          </cell>
          <cell r="J42" t="str">
            <v xml:space="preserve">WIREMESH </v>
          </cell>
          <cell r="K42">
            <v>5000</v>
          </cell>
        </row>
        <row r="43">
          <cell r="I43">
            <v>5012394</v>
          </cell>
          <cell r="J43" t="str">
            <v>PRECLEANER</v>
          </cell>
          <cell r="K43">
            <v>100</v>
          </cell>
        </row>
        <row r="44">
          <cell r="I44">
            <v>5036677</v>
          </cell>
          <cell r="J44" t="str">
            <v>TOP COVER</v>
          </cell>
          <cell r="K44">
            <v>100</v>
          </cell>
        </row>
        <row r="45">
          <cell r="I45">
            <v>5026515</v>
          </cell>
          <cell r="J45" t="str">
            <v>OVERFLOW</v>
          </cell>
          <cell r="K45">
            <v>500</v>
          </cell>
        </row>
        <row r="46">
          <cell r="I46">
            <v>5030786</v>
          </cell>
          <cell r="J46" t="str">
            <v xml:space="preserve">TUBE OVERFLOW </v>
          </cell>
          <cell r="K46">
            <v>1000</v>
          </cell>
        </row>
        <row r="47">
          <cell r="I47">
            <v>5032202</v>
          </cell>
          <cell r="J47" t="str">
            <v>ENDPLATE, PLASTIC</v>
          </cell>
          <cell r="K47">
            <v>1000</v>
          </cell>
        </row>
        <row r="48">
          <cell r="I48">
            <v>5032512</v>
          </cell>
          <cell r="J48" t="str">
            <v>BASE HOUSING</v>
          </cell>
          <cell r="K48">
            <v>500</v>
          </cell>
        </row>
        <row r="49">
          <cell r="I49">
            <v>5032514</v>
          </cell>
          <cell r="J49" t="str">
            <v>VALVE DRAIN</v>
          </cell>
          <cell r="K49">
            <v>500</v>
          </cell>
        </row>
        <row r="50">
          <cell r="I50">
            <v>5039586</v>
          </cell>
          <cell r="J50" t="str">
            <v>CENTERTUBE PLASTIC</v>
          </cell>
          <cell r="K50">
            <v>2000</v>
          </cell>
        </row>
        <row r="51">
          <cell r="I51">
            <v>5024345</v>
          </cell>
          <cell r="J51" t="str">
            <v>PRECLEANER, PLASTIC</v>
          </cell>
          <cell r="K51">
            <v>100</v>
          </cell>
        </row>
        <row r="52">
          <cell r="I52">
            <v>5024347</v>
          </cell>
          <cell r="J52" t="str">
            <v>LOUVER PLASTIC</v>
          </cell>
          <cell r="K52">
            <v>600</v>
          </cell>
        </row>
        <row r="53">
          <cell r="I53">
            <v>5025607</v>
          </cell>
          <cell r="J53" t="str">
            <v>FIN ASSEMBLY</v>
          </cell>
          <cell r="K53">
            <v>100</v>
          </cell>
        </row>
        <row r="54">
          <cell r="I54">
            <v>5025642</v>
          </cell>
          <cell r="J54" t="str">
            <v>OVERFLOW</v>
          </cell>
          <cell r="K54">
            <v>1000</v>
          </cell>
        </row>
      </sheetData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UE "/>
      <sheetName val="DAILY STORE STOCK ISSUE"/>
      <sheetName val="DAILY RECIPTS 2026"/>
      <sheetName val="FEB GRINDDING STOCK"/>
      <sheetName val="GREEN LEV.₹"/>
    </sheetNames>
    <sheetDataSet>
      <sheetData sheetId="0" refreshError="1"/>
      <sheetData sheetId="1">
        <row r="220">
          <cell r="DG220">
            <v>53.840911549999994</v>
          </cell>
          <cell r="DH220">
            <v>50.369323899999991</v>
          </cell>
          <cell r="DI220">
            <v>50.369323899999991</v>
          </cell>
          <cell r="DJ220">
            <v>51.354619799999988</v>
          </cell>
          <cell r="DK220">
            <v>52.604782849999992</v>
          </cell>
          <cell r="DL220">
            <v>51.182010099999985</v>
          </cell>
          <cell r="DM220">
            <v>51.25815699999999</v>
          </cell>
          <cell r="DN220">
            <v>53.355392399999985</v>
          </cell>
          <cell r="DO220">
            <v>65.318621099999987</v>
          </cell>
          <cell r="DP220">
            <v>59.339073699999993</v>
          </cell>
          <cell r="DQ220">
            <v>57.861874699999987</v>
          </cell>
          <cell r="DR220">
            <v>59.626714699999987</v>
          </cell>
          <cell r="DS220">
            <v>55.486562700000007</v>
          </cell>
          <cell r="DT220">
            <v>56.803653100000005</v>
          </cell>
          <cell r="DU220">
            <v>53.008464599999996</v>
          </cell>
          <cell r="DV220">
            <v>51.952258000000008</v>
          </cell>
          <cell r="DW220">
            <v>53.922132999999995</v>
          </cell>
          <cell r="DX220">
            <v>55.964262599999991</v>
          </cell>
          <cell r="DY220">
            <v>60.224262599999989</v>
          </cell>
          <cell r="DZ220">
            <v>55.4588234</v>
          </cell>
          <cell r="EA220">
            <v>62.776972199999996</v>
          </cell>
          <cell r="EB220">
            <v>60.600858699999982</v>
          </cell>
          <cell r="EC220">
            <v>56.943170199999983</v>
          </cell>
          <cell r="ED220">
            <v>56.283967099999991</v>
          </cell>
          <cell r="EE220">
            <v>54.992060599999988</v>
          </cell>
          <cell r="EF220">
            <v>54.992060599999988</v>
          </cell>
          <cell r="EG220">
            <v>48.104270599999992</v>
          </cell>
          <cell r="EH220">
            <v>54.850853599999994</v>
          </cell>
          <cell r="EI220">
            <v>56.839674599999988</v>
          </cell>
          <cell r="EJ220">
            <v>56.839674599999988</v>
          </cell>
          <cell r="EK220">
            <v>56.839674599999988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204"/>
  <sheetViews>
    <sheetView showGridLines="0" view="pageBreakPreview" zoomScaleNormal="90" zoomScaleSheetLayoutView="100" workbookViewId="0">
      <pane ySplit="2" topLeftCell="A3" activePane="bottomLeft" state="frozen"/>
      <selection pane="bottomLeft" activeCell="D5" sqref="D5"/>
    </sheetView>
  </sheetViews>
  <sheetFormatPr defaultRowHeight="15" x14ac:dyDescent="0.25"/>
  <cols>
    <col min="1" max="1" width="6.42578125" style="1" bestFit="1" customWidth="1"/>
    <col min="2" max="2" width="23.7109375" style="8" customWidth="1"/>
    <col min="3" max="3" width="21.28515625" style="8" bestFit="1" customWidth="1"/>
    <col min="4" max="4" width="11.85546875" style="8" customWidth="1"/>
    <col min="5" max="6" width="13.28515625" style="2" customWidth="1"/>
    <col min="7" max="7" width="9.85546875" style="2" customWidth="1"/>
    <col min="8" max="8" width="16.28515625" style="6" customWidth="1"/>
    <col min="9" max="9" width="9.140625" style="9"/>
    <col min="10" max="16384" width="9.140625" style="8"/>
  </cols>
  <sheetData>
    <row r="1" spans="1:8" ht="15.75" thickBot="1" x14ac:dyDescent="0.3"/>
    <row r="2" spans="1:8" ht="84" x14ac:dyDescent="0.25">
      <c r="A2" s="117" t="s">
        <v>0</v>
      </c>
      <c r="B2" s="118" t="s">
        <v>1</v>
      </c>
      <c r="C2" s="119" t="s">
        <v>2</v>
      </c>
      <c r="D2" s="120" t="s">
        <v>119</v>
      </c>
      <c r="E2" s="121" t="s">
        <v>151</v>
      </c>
      <c r="F2" s="121" t="s">
        <v>157</v>
      </c>
      <c r="G2" s="121" t="s">
        <v>158</v>
      </c>
      <c r="H2" s="122" t="s">
        <v>152</v>
      </c>
    </row>
    <row r="3" spans="1:8" ht="20.25" x14ac:dyDescent="0.3">
      <c r="A3" s="123">
        <v>1</v>
      </c>
      <c r="B3" s="89" t="s">
        <v>4</v>
      </c>
      <c r="C3" s="93">
        <v>5009573</v>
      </c>
      <c r="D3" s="72">
        <v>32.82</v>
      </c>
      <c r="E3" s="73">
        <f>PRODUCTION!DX3</f>
        <v>0</v>
      </c>
      <c r="F3" s="73">
        <f>' WIP '!DX3</f>
        <v>1033</v>
      </c>
      <c r="G3" s="73">
        <f>' FG'!CS3</f>
        <v>500</v>
      </c>
      <c r="H3" s="124">
        <f t="shared" ref="H3:H34" si="0">SUM(E3:G3)</f>
        <v>1533</v>
      </c>
    </row>
    <row r="4" spans="1:8" ht="20.25" x14ac:dyDescent="0.3">
      <c r="A4" s="123">
        <v>2</v>
      </c>
      <c r="B4" s="90" t="s">
        <v>7</v>
      </c>
      <c r="C4" s="93">
        <v>5009576</v>
      </c>
      <c r="D4" s="72">
        <v>11.58</v>
      </c>
      <c r="E4" s="73">
        <f>PRODUCTION!DX4</f>
        <v>0</v>
      </c>
      <c r="F4" s="73">
        <f>' WIP '!DX4</f>
        <v>531</v>
      </c>
      <c r="G4" s="73">
        <f>' FG'!CS4</f>
        <v>12162</v>
      </c>
      <c r="H4" s="124">
        <f t="shared" si="0"/>
        <v>12693</v>
      </c>
    </row>
    <row r="5" spans="1:8" ht="20.25" x14ac:dyDescent="0.3">
      <c r="A5" s="123">
        <v>3</v>
      </c>
      <c r="B5" s="90" t="s">
        <v>8</v>
      </c>
      <c r="C5" s="93">
        <v>5009579</v>
      </c>
      <c r="D5" s="72">
        <v>40.19</v>
      </c>
      <c r="E5" s="73">
        <f>PRODUCTION!DX5</f>
        <v>0</v>
      </c>
      <c r="F5" s="73">
        <f>' WIP '!DX5</f>
        <v>110</v>
      </c>
      <c r="G5" s="73">
        <f>' FG'!CS5</f>
        <v>0</v>
      </c>
      <c r="H5" s="124">
        <f t="shared" si="0"/>
        <v>110</v>
      </c>
    </row>
    <row r="6" spans="1:8" ht="20.25" x14ac:dyDescent="0.3">
      <c r="A6" s="123">
        <v>4</v>
      </c>
      <c r="B6" s="89" t="s">
        <v>9</v>
      </c>
      <c r="C6" s="93">
        <v>5009583</v>
      </c>
      <c r="D6" s="72">
        <v>7.69</v>
      </c>
      <c r="E6" s="73">
        <f>PRODUCTION!DX6</f>
        <v>0</v>
      </c>
      <c r="F6" s="73">
        <f>' WIP '!DX6</f>
        <v>3213</v>
      </c>
      <c r="G6" s="73">
        <f>' FG'!CS6</f>
        <v>650</v>
      </c>
      <c r="H6" s="124">
        <f t="shared" si="0"/>
        <v>3863</v>
      </c>
    </row>
    <row r="7" spans="1:8" ht="20.25" x14ac:dyDescent="0.3">
      <c r="A7" s="123">
        <v>5</v>
      </c>
      <c r="B7" s="89" t="s">
        <v>10</v>
      </c>
      <c r="C7" s="94">
        <v>5011413</v>
      </c>
      <c r="D7" s="72">
        <v>26.03</v>
      </c>
      <c r="E7" s="73">
        <f>PRODUCTION!DX7</f>
        <v>0</v>
      </c>
      <c r="F7" s="73">
        <f>' WIP '!DX7</f>
        <v>11</v>
      </c>
      <c r="G7" s="73">
        <f>' FG'!CS7</f>
        <v>700</v>
      </c>
      <c r="H7" s="124">
        <f t="shared" si="0"/>
        <v>711</v>
      </c>
    </row>
    <row r="8" spans="1:8" ht="20.25" x14ac:dyDescent="0.3">
      <c r="A8" s="123">
        <v>6</v>
      </c>
      <c r="B8" s="89" t="s">
        <v>11</v>
      </c>
      <c r="C8" s="93">
        <v>5011769</v>
      </c>
      <c r="D8" s="72">
        <v>11.84</v>
      </c>
      <c r="E8" s="73">
        <f>PRODUCTION!DX8</f>
        <v>0</v>
      </c>
      <c r="F8" s="73">
        <f>' WIP '!DX8</f>
        <v>14542</v>
      </c>
      <c r="G8" s="73">
        <f>' FG'!CS8</f>
        <v>2296</v>
      </c>
      <c r="H8" s="124">
        <f t="shared" si="0"/>
        <v>16838</v>
      </c>
    </row>
    <row r="9" spans="1:8" ht="20.25" x14ac:dyDescent="0.3">
      <c r="A9" s="123">
        <v>7</v>
      </c>
      <c r="B9" s="89" t="s">
        <v>14</v>
      </c>
      <c r="C9" s="93">
        <v>5013518</v>
      </c>
      <c r="D9" s="72">
        <v>41.47</v>
      </c>
      <c r="E9" s="73">
        <f>PRODUCTION!DX9</f>
        <v>0</v>
      </c>
      <c r="F9" s="73">
        <f>' WIP '!DX9</f>
        <v>1572</v>
      </c>
      <c r="G9" s="73">
        <f>' FG'!CS9</f>
        <v>600</v>
      </c>
      <c r="H9" s="124">
        <f t="shared" si="0"/>
        <v>2172</v>
      </c>
    </row>
    <row r="10" spans="1:8" ht="20.25" x14ac:dyDescent="0.3">
      <c r="A10" s="123">
        <v>8</v>
      </c>
      <c r="B10" s="89" t="s">
        <v>14</v>
      </c>
      <c r="C10" s="93">
        <v>5013520</v>
      </c>
      <c r="D10" s="72">
        <v>39.049999999999997</v>
      </c>
      <c r="E10" s="73">
        <f>PRODUCTION!DX10</f>
        <v>0</v>
      </c>
      <c r="F10" s="73">
        <f>' WIP '!DX10</f>
        <v>517</v>
      </c>
      <c r="G10" s="73">
        <f>' FG'!CS10</f>
        <v>250</v>
      </c>
      <c r="H10" s="124">
        <f t="shared" si="0"/>
        <v>767</v>
      </c>
    </row>
    <row r="11" spans="1:8" ht="20.25" x14ac:dyDescent="0.3">
      <c r="A11" s="123">
        <v>9</v>
      </c>
      <c r="B11" s="89" t="s">
        <v>16</v>
      </c>
      <c r="C11" s="93">
        <v>5014445</v>
      </c>
      <c r="D11" s="72">
        <v>80.209999999999994</v>
      </c>
      <c r="E11" s="73">
        <f>PRODUCTION!DX11</f>
        <v>0</v>
      </c>
      <c r="F11" s="73">
        <f>' WIP '!DX11</f>
        <v>603</v>
      </c>
      <c r="G11" s="73">
        <f>' FG'!CS11</f>
        <v>752</v>
      </c>
      <c r="H11" s="124">
        <f t="shared" si="0"/>
        <v>1355</v>
      </c>
    </row>
    <row r="12" spans="1:8" ht="20.25" x14ac:dyDescent="0.3">
      <c r="A12" s="123">
        <v>10</v>
      </c>
      <c r="B12" s="89" t="s">
        <v>14</v>
      </c>
      <c r="C12" s="93">
        <v>5015494</v>
      </c>
      <c r="D12" s="72">
        <v>37.74</v>
      </c>
      <c r="E12" s="73">
        <f>PRODUCTION!DX12</f>
        <v>0</v>
      </c>
      <c r="F12" s="73">
        <f>' WIP '!DX12</f>
        <v>165</v>
      </c>
      <c r="G12" s="73">
        <f>' FG'!CS12</f>
        <v>168</v>
      </c>
      <c r="H12" s="124">
        <f t="shared" si="0"/>
        <v>333</v>
      </c>
    </row>
    <row r="13" spans="1:8" ht="20.25" x14ac:dyDescent="0.3">
      <c r="A13" s="125">
        <v>11</v>
      </c>
      <c r="B13" s="91" t="s">
        <v>14</v>
      </c>
      <c r="C13" s="95">
        <v>5015499</v>
      </c>
      <c r="D13" s="72">
        <v>27.85</v>
      </c>
      <c r="E13" s="73">
        <f>PRODUCTION!DX13</f>
        <v>0</v>
      </c>
      <c r="F13" s="73">
        <f>' WIP '!DX13</f>
        <v>1645</v>
      </c>
      <c r="G13" s="73">
        <f>' FG'!CS13</f>
        <v>250</v>
      </c>
      <c r="H13" s="124">
        <f t="shared" si="0"/>
        <v>1895</v>
      </c>
    </row>
    <row r="14" spans="1:8" ht="20.25" x14ac:dyDescent="0.3">
      <c r="A14" s="123">
        <v>12</v>
      </c>
      <c r="B14" s="89" t="s">
        <v>17</v>
      </c>
      <c r="C14" s="93">
        <v>5015855</v>
      </c>
      <c r="D14" s="72">
        <v>14.37</v>
      </c>
      <c r="E14" s="73">
        <f>PRODUCTION!DX14</f>
        <v>0</v>
      </c>
      <c r="F14" s="73">
        <f>' WIP '!DX14</f>
        <v>6865</v>
      </c>
      <c r="G14" s="73">
        <f>' FG'!CS14</f>
        <v>1500</v>
      </c>
      <c r="H14" s="124">
        <f t="shared" si="0"/>
        <v>8365</v>
      </c>
    </row>
    <row r="15" spans="1:8" ht="20.25" x14ac:dyDescent="0.3">
      <c r="A15" s="123">
        <v>13</v>
      </c>
      <c r="B15" s="90" t="s">
        <v>18</v>
      </c>
      <c r="C15" s="93">
        <v>5015903</v>
      </c>
      <c r="D15" s="72">
        <v>2.38</v>
      </c>
      <c r="E15" s="73">
        <f>PRODUCTION!DX15</f>
        <v>0</v>
      </c>
      <c r="F15" s="73">
        <f>' WIP '!DX15</f>
        <v>10267</v>
      </c>
      <c r="G15" s="73">
        <f>' FG'!CS15</f>
        <v>4000</v>
      </c>
      <c r="H15" s="124">
        <f t="shared" si="0"/>
        <v>14267</v>
      </c>
    </row>
    <row r="16" spans="1:8" ht="20.25" x14ac:dyDescent="0.3">
      <c r="A16" s="123">
        <v>14</v>
      </c>
      <c r="B16" s="89" t="s">
        <v>18</v>
      </c>
      <c r="C16" s="93">
        <v>5015904</v>
      </c>
      <c r="D16" s="72">
        <v>2.38</v>
      </c>
      <c r="E16" s="73">
        <f>PRODUCTION!DX16</f>
        <v>0</v>
      </c>
      <c r="F16" s="73">
        <f>' WIP '!DX16</f>
        <v>8941</v>
      </c>
      <c r="G16" s="73">
        <f>' FG'!CS16</f>
        <v>4000</v>
      </c>
      <c r="H16" s="124">
        <f t="shared" si="0"/>
        <v>12941</v>
      </c>
    </row>
    <row r="17" spans="1:8" ht="20.25" x14ac:dyDescent="0.3">
      <c r="A17" s="123">
        <v>15</v>
      </c>
      <c r="B17" s="89" t="s">
        <v>11</v>
      </c>
      <c r="C17" s="93">
        <v>5016812</v>
      </c>
      <c r="D17" s="72">
        <v>20.67</v>
      </c>
      <c r="E17" s="73">
        <f>PRODUCTION!DX17</f>
        <v>0</v>
      </c>
      <c r="F17" s="73">
        <f>' WIP '!DX17</f>
        <v>20</v>
      </c>
      <c r="G17" s="73">
        <f>' FG'!CS17</f>
        <v>0</v>
      </c>
      <c r="H17" s="124">
        <f t="shared" si="0"/>
        <v>20</v>
      </c>
    </row>
    <row r="18" spans="1:8" ht="20.25" x14ac:dyDescent="0.3">
      <c r="A18" s="123">
        <v>16</v>
      </c>
      <c r="B18" s="90" t="s">
        <v>19</v>
      </c>
      <c r="C18" s="93">
        <v>5016815</v>
      </c>
      <c r="D18" s="72">
        <v>27.79</v>
      </c>
      <c r="E18" s="73">
        <f>PRODUCTION!DX18</f>
        <v>0</v>
      </c>
      <c r="F18" s="73">
        <f>' WIP '!DX18</f>
        <v>7781</v>
      </c>
      <c r="G18" s="73">
        <f>' FG'!CS18</f>
        <v>0</v>
      </c>
      <c r="H18" s="124">
        <f t="shared" si="0"/>
        <v>7781</v>
      </c>
    </row>
    <row r="19" spans="1:8" ht="20.25" x14ac:dyDescent="0.3">
      <c r="A19" s="123">
        <v>17</v>
      </c>
      <c r="B19" s="90" t="s">
        <v>20</v>
      </c>
      <c r="C19" s="93">
        <v>5016817</v>
      </c>
      <c r="D19" s="72">
        <v>49.12</v>
      </c>
      <c r="E19" s="73">
        <f>PRODUCTION!DX19</f>
        <v>0</v>
      </c>
      <c r="F19" s="73">
        <f>' WIP '!DX19</f>
        <v>6399</v>
      </c>
      <c r="G19" s="73">
        <f>' FG'!CS19</f>
        <v>1188</v>
      </c>
      <c r="H19" s="124">
        <f t="shared" si="0"/>
        <v>7587</v>
      </c>
    </row>
    <row r="20" spans="1:8" ht="20.25" x14ac:dyDescent="0.3">
      <c r="A20" s="123">
        <v>18</v>
      </c>
      <c r="B20" s="90" t="s">
        <v>21</v>
      </c>
      <c r="C20" s="93">
        <v>5016820</v>
      </c>
      <c r="D20" s="72">
        <v>262.26</v>
      </c>
      <c r="E20" s="73">
        <f>PRODUCTION!DX20</f>
        <v>0</v>
      </c>
      <c r="F20" s="73">
        <f>' WIP '!DX20</f>
        <v>48</v>
      </c>
      <c r="G20" s="73">
        <f>' FG'!CS20</f>
        <v>340</v>
      </c>
      <c r="H20" s="124">
        <f t="shared" si="0"/>
        <v>388</v>
      </c>
    </row>
    <row r="21" spans="1:8" ht="20.25" x14ac:dyDescent="0.3">
      <c r="A21" s="123">
        <v>19</v>
      </c>
      <c r="B21" s="89" t="s">
        <v>11</v>
      </c>
      <c r="C21" s="93">
        <v>5016821</v>
      </c>
      <c r="D21" s="72">
        <v>27.21</v>
      </c>
      <c r="E21" s="73">
        <f>PRODUCTION!DX21</f>
        <v>0</v>
      </c>
      <c r="F21" s="73">
        <f>' WIP '!DX21</f>
        <v>2</v>
      </c>
      <c r="G21" s="73">
        <f>' FG'!CS21</f>
        <v>0</v>
      </c>
      <c r="H21" s="124">
        <f t="shared" si="0"/>
        <v>2</v>
      </c>
    </row>
    <row r="22" spans="1:8" ht="20.25" x14ac:dyDescent="0.3">
      <c r="A22" s="123">
        <v>20</v>
      </c>
      <c r="B22" s="32" t="s">
        <v>22</v>
      </c>
      <c r="C22" s="71">
        <v>5016985</v>
      </c>
      <c r="D22" s="72">
        <v>241.1</v>
      </c>
      <c r="E22" s="73">
        <f>PRODUCTION!DX22</f>
        <v>0</v>
      </c>
      <c r="F22" s="73">
        <f>' WIP '!DX22</f>
        <v>0</v>
      </c>
      <c r="G22" s="73">
        <f>' FG'!CS22</f>
        <v>0</v>
      </c>
      <c r="H22" s="124">
        <f t="shared" si="0"/>
        <v>0</v>
      </c>
    </row>
    <row r="23" spans="1:8" ht="20.25" x14ac:dyDescent="0.3">
      <c r="A23" s="123">
        <v>21</v>
      </c>
      <c r="B23" s="89" t="s">
        <v>23</v>
      </c>
      <c r="C23" s="93">
        <v>5016989</v>
      </c>
      <c r="D23" s="72">
        <v>22.56</v>
      </c>
      <c r="E23" s="73">
        <f>PRODUCTION!DX23</f>
        <v>0</v>
      </c>
      <c r="F23" s="73">
        <f>' WIP '!DX23</f>
        <v>0</v>
      </c>
      <c r="G23" s="73">
        <f>' FG'!CS23</f>
        <v>0</v>
      </c>
      <c r="H23" s="124">
        <f t="shared" si="0"/>
        <v>0</v>
      </c>
    </row>
    <row r="24" spans="1:8" ht="20.25" x14ac:dyDescent="0.3">
      <c r="A24" s="123">
        <v>22</v>
      </c>
      <c r="B24" s="32" t="s">
        <v>8</v>
      </c>
      <c r="C24" s="71">
        <v>5017101</v>
      </c>
      <c r="D24" s="72">
        <v>106.01</v>
      </c>
      <c r="E24" s="73">
        <f>PRODUCTION!DX24</f>
        <v>0</v>
      </c>
      <c r="F24" s="73">
        <f>' WIP '!DX24</f>
        <v>0</v>
      </c>
      <c r="G24" s="73">
        <f>' FG'!CS24</f>
        <v>0</v>
      </c>
      <c r="H24" s="124">
        <f t="shared" si="0"/>
        <v>0</v>
      </c>
    </row>
    <row r="25" spans="1:8" ht="20.25" x14ac:dyDescent="0.3">
      <c r="A25" s="123">
        <v>23</v>
      </c>
      <c r="B25" s="89" t="s">
        <v>24</v>
      </c>
      <c r="C25" s="93">
        <v>5017102</v>
      </c>
      <c r="D25" s="72">
        <v>28.29</v>
      </c>
      <c r="E25" s="73">
        <f>PRODUCTION!DX25</f>
        <v>0</v>
      </c>
      <c r="F25" s="73">
        <f>' WIP '!DX25</f>
        <v>1585</v>
      </c>
      <c r="G25" s="73">
        <f>' FG'!CS25</f>
        <v>164</v>
      </c>
      <c r="H25" s="124">
        <f t="shared" si="0"/>
        <v>1749</v>
      </c>
    </row>
    <row r="26" spans="1:8" ht="20.25" x14ac:dyDescent="0.3">
      <c r="A26" s="123">
        <v>24</v>
      </c>
      <c r="B26" s="89" t="s">
        <v>19</v>
      </c>
      <c r="C26" s="93">
        <v>5017886</v>
      </c>
      <c r="D26" s="72">
        <v>25.49</v>
      </c>
      <c r="E26" s="73">
        <f>PRODUCTION!DX26</f>
        <v>0</v>
      </c>
      <c r="F26" s="73">
        <f>' WIP '!DX26</f>
        <v>8761</v>
      </c>
      <c r="G26" s="73">
        <f>' FG'!CS26</f>
        <v>4720</v>
      </c>
      <c r="H26" s="124">
        <f t="shared" si="0"/>
        <v>13481</v>
      </c>
    </row>
    <row r="27" spans="1:8" ht="20.25" x14ac:dyDescent="0.3">
      <c r="A27" s="123">
        <v>25</v>
      </c>
      <c r="B27" s="90" t="s">
        <v>160</v>
      </c>
      <c r="C27" s="93">
        <v>5017887</v>
      </c>
      <c r="D27" s="72">
        <v>26.49</v>
      </c>
      <c r="E27" s="73">
        <f>PRODUCTION!DX27</f>
        <v>0</v>
      </c>
      <c r="F27" s="73">
        <f>' WIP '!DX27</f>
        <v>597</v>
      </c>
      <c r="G27" s="73">
        <f>' FG'!CS27</f>
        <v>67</v>
      </c>
      <c r="H27" s="124">
        <f t="shared" si="0"/>
        <v>664</v>
      </c>
    </row>
    <row r="28" spans="1:8" ht="20.25" x14ac:dyDescent="0.3">
      <c r="A28" s="123">
        <v>26</v>
      </c>
      <c r="B28" s="32" t="s">
        <v>25</v>
      </c>
      <c r="C28" s="71">
        <v>5019991</v>
      </c>
      <c r="D28" s="72">
        <v>11.47</v>
      </c>
      <c r="E28" s="73">
        <f>PRODUCTION!DX28</f>
        <v>0</v>
      </c>
      <c r="F28" s="73">
        <f>' WIP '!DX28</f>
        <v>97</v>
      </c>
      <c r="G28" s="73">
        <f>' FG'!CS28</f>
        <v>419</v>
      </c>
      <c r="H28" s="124">
        <f t="shared" si="0"/>
        <v>516</v>
      </c>
    </row>
    <row r="29" spans="1:8" ht="20.25" x14ac:dyDescent="0.3">
      <c r="A29" s="123">
        <v>27</v>
      </c>
      <c r="B29" s="89" t="s">
        <v>24</v>
      </c>
      <c r="C29" s="93">
        <v>5022550</v>
      </c>
      <c r="D29" s="72">
        <v>40.19</v>
      </c>
      <c r="E29" s="73">
        <f>PRODUCTION!DX29</f>
        <v>0</v>
      </c>
      <c r="F29" s="73">
        <f>' WIP '!DX29</f>
        <v>161</v>
      </c>
      <c r="G29" s="73">
        <f>' FG'!CS29</f>
        <v>0</v>
      </c>
      <c r="H29" s="124">
        <f t="shared" si="0"/>
        <v>161</v>
      </c>
    </row>
    <row r="30" spans="1:8" ht="20.25" x14ac:dyDescent="0.3">
      <c r="A30" s="123">
        <v>28</v>
      </c>
      <c r="B30" s="89" t="s">
        <v>11</v>
      </c>
      <c r="C30" s="93">
        <v>5023380</v>
      </c>
      <c r="D30" s="72">
        <v>17.739999999999998</v>
      </c>
      <c r="E30" s="73">
        <f>PRODUCTION!DX30</f>
        <v>0</v>
      </c>
      <c r="F30" s="73">
        <f>' WIP '!DX30</f>
        <v>14396</v>
      </c>
      <c r="G30" s="73">
        <f>' FG'!CS30</f>
        <v>500</v>
      </c>
      <c r="H30" s="124">
        <f t="shared" si="0"/>
        <v>14896</v>
      </c>
    </row>
    <row r="31" spans="1:8" ht="20.25" x14ac:dyDescent="0.3">
      <c r="A31" s="123">
        <v>29</v>
      </c>
      <c r="B31" s="89" t="s">
        <v>26</v>
      </c>
      <c r="C31" s="93">
        <v>5023573</v>
      </c>
      <c r="D31" s="72">
        <v>19.43</v>
      </c>
      <c r="E31" s="73">
        <f>PRODUCTION!DX31</f>
        <v>0</v>
      </c>
      <c r="F31" s="73">
        <f>' WIP '!DX31</f>
        <v>3213</v>
      </c>
      <c r="G31" s="73">
        <f>' FG'!CS31</f>
        <v>1040</v>
      </c>
      <c r="H31" s="124">
        <f t="shared" si="0"/>
        <v>4253</v>
      </c>
    </row>
    <row r="32" spans="1:8" ht="20.25" x14ac:dyDescent="0.3">
      <c r="A32" s="123">
        <v>30</v>
      </c>
      <c r="B32" s="32" t="s">
        <v>36</v>
      </c>
      <c r="C32" s="71">
        <v>5023934</v>
      </c>
      <c r="D32" s="72"/>
      <c r="E32" s="73">
        <f>PRODUCTION!DX32</f>
        <v>0</v>
      </c>
      <c r="F32" s="73">
        <f>' WIP '!DX32</f>
        <v>0</v>
      </c>
      <c r="G32" s="73">
        <f>' FG'!CS32</f>
        <v>0</v>
      </c>
      <c r="H32" s="124">
        <f t="shared" si="0"/>
        <v>0</v>
      </c>
    </row>
    <row r="33" spans="1:8" ht="20.25" x14ac:dyDescent="0.3">
      <c r="A33" s="123">
        <v>31</v>
      </c>
      <c r="B33" s="89" t="s">
        <v>20</v>
      </c>
      <c r="C33" s="93">
        <v>5025761</v>
      </c>
      <c r="D33" s="72">
        <v>24.7</v>
      </c>
      <c r="E33" s="73">
        <f>PRODUCTION!DX33</f>
        <v>0</v>
      </c>
      <c r="F33" s="73">
        <f>' WIP '!DX33</f>
        <v>3551</v>
      </c>
      <c r="G33" s="73">
        <f>' FG'!CS33</f>
        <v>0</v>
      </c>
      <c r="H33" s="124">
        <f t="shared" si="0"/>
        <v>3551</v>
      </c>
    </row>
    <row r="34" spans="1:8" ht="20.25" x14ac:dyDescent="0.3">
      <c r="A34" s="123">
        <v>32</v>
      </c>
      <c r="B34" s="89" t="s">
        <v>29</v>
      </c>
      <c r="C34" s="93">
        <v>5025960</v>
      </c>
      <c r="D34" s="72">
        <v>66.56</v>
      </c>
      <c r="E34" s="73">
        <f>PRODUCTION!DX34</f>
        <v>0</v>
      </c>
      <c r="F34" s="73">
        <f>' WIP '!DX34</f>
        <v>83</v>
      </c>
      <c r="G34" s="73">
        <f>' FG'!CS34</f>
        <v>1100</v>
      </c>
      <c r="H34" s="124">
        <f t="shared" si="0"/>
        <v>1183</v>
      </c>
    </row>
    <row r="35" spans="1:8" ht="20.25" x14ac:dyDescent="0.3">
      <c r="A35" s="123">
        <v>33</v>
      </c>
      <c r="B35" s="89" t="s">
        <v>14</v>
      </c>
      <c r="C35" s="93">
        <v>5026154</v>
      </c>
      <c r="D35" s="72">
        <v>41.03</v>
      </c>
      <c r="E35" s="73">
        <f>PRODUCTION!DX35</f>
        <v>0</v>
      </c>
      <c r="F35" s="73">
        <f>' WIP '!DX35</f>
        <v>57</v>
      </c>
      <c r="G35" s="73">
        <f>' FG'!CS35</f>
        <v>0</v>
      </c>
      <c r="H35" s="124">
        <f t="shared" ref="H35:H66" si="1">SUM(E35:G35)</f>
        <v>57</v>
      </c>
    </row>
    <row r="36" spans="1:8" ht="20.25" x14ac:dyDescent="0.3">
      <c r="A36" s="123">
        <v>34</v>
      </c>
      <c r="B36" s="89" t="s">
        <v>30</v>
      </c>
      <c r="C36" s="93">
        <v>5026669</v>
      </c>
      <c r="D36" s="72">
        <v>39.99</v>
      </c>
      <c r="E36" s="73">
        <f>PRODUCTION!DX36</f>
        <v>0</v>
      </c>
      <c r="F36" s="73">
        <f>' WIP '!DX36</f>
        <v>39</v>
      </c>
      <c r="G36" s="73">
        <f>' FG'!CS36</f>
        <v>975</v>
      </c>
      <c r="H36" s="124">
        <f t="shared" si="1"/>
        <v>1014</v>
      </c>
    </row>
    <row r="37" spans="1:8" ht="20.25" x14ac:dyDescent="0.3">
      <c r="A37" s="123">
        <v>35</v>
      </c>
      <c r="B37" s="33" t="s">
        <v>31</v>
      </c>
      <c r="C37" s="71">
        <v>5041697</v>
      </c>
      <c r="D37" s="72">
        <v>701.62</v>
      </c>
      <c r="E37" s="73">
        <f>PRODUCTION!DX37</f>
        <v>0</v>
      </c>
      <c r="F37" s="73">
        <f>' WIP '!DX37</f>
        <v>0</v>
      </c>
      <c r="G37" s="73">
        <f>' FG'!CS37</f>
        <v>0</v>
      </c>
      <c r="H37" s="124">
        <f t="shared" si="1"/>
        <v>0</v>
      </c>
    </row>
    <row r="38" spans="1:8" ht="20.25" x14ac:dyDescent="0.3">
      <c r="A38" s="123">
        <v>36</v>
      </c>
      <c r="B38" s="32" t="s">
        <v>30</v>
      </c>
      <c r="C38" s="71">
        <v>5027236</v>
      </c>
      <c r="D38" s="72">
        <v>142.57</v>
      </c>
      <c r="E38" s="73">
        <f>PRODUCTION!DX38</f>
        <v>0</v>
      </c>
      <c r="F38" s="73">
        <f>' WIP '!DX38</f>
        <v>0</v>
      </c>
      <c r="G38" s="73">
        <f>' FG'!CS38</f>
        <v>0</v>
      </c>
      <c r="H38" s="124">
        <f t="shared" si="1"/>
        <v>0</v>
      </c>
    </row>
    <row r="39" spans="1:8" ht="20.25" x14ac:dyDescent="0.3">
      <c r="A39" s="123">
        <v>37</v>
      </c>
      <c r="B39" s="32" t="s">
        <v>32</v>
      </c>
      <c r="C39" s="71">
        <v>5027239</v>
      </c>
      <c r="D39" s="72">
        <v>19.77</v>
      </c>
      <c r="E39" s="73">
        <f>PRODUCTION!DX39</f>
        <v>0</v>
      </c>
      <c r="F39" s="73">
        <f>' WIP '!DX39</f>
        <v>59</v>
      </c>
      <c r="G39" s="73">
        <f>' FG'!CS39</f>
        <v>0</v>
      </c>
      <c r="H39" s="124">
        <f t="shared" si="1"/>
        <v>59</v>
      </c>
    </row>
    <row r="40" spans="1:8" ht="20.25" x14ac:dyDescent="0.3">
      <c r="A40" s="123">
        <v>38</v>
      </c>
      <c r="B40" s="32" t="s">
        <v>33</v>
      </c>
      <c r="C40" s="71">
        <v>5027831</v>
      </c>
      <c r="D40" s="72">
        <v>150.05000000000001</v>
      </c>
      <c r="E40" s="73">
        <f>PRODUCTION!DX40</f>
        <v>0</v>
      </c>
      <c r="F40" s="73">
        <f>' WIP '!DX40</f>
        <v>0</v>
      </c>
      <c r="G40" s="73">
        <f>' FG'!CS40</f>
        <v>0</v>
      </c>
      <c r="H40" s="124">
        <f t="shared" si="1"/>
        <v>0</v>
      </c>
    </row>
    <row r="41" spans="1:8" ht="20.25" x14ac:dyDescent="0.3">
      <c r="A41" s="123">
        <v>39</v>
      </c>
      <c r="B41" s="32" t="s">
        <v>33</v>
      </c>
      <c r="C41" s="71">
        <v>5027832</v>
      </c>
      <c r="D41" s="72">
        <v>150.81</v>
      </c>
      <c r="E41" s="73">
        <f>PRODUCTION!DX41</f>
        <v>0</v>
      </c>
      <c r="F41" s="73">
        <f>' WIP '!DX41</f>
        <v>0</v>
      </c>
      <c r="G41" s="73">
        <f>' FG'!CS41</f>
        <v>0</v>
      </c>
      <c r="H41" s="124">
        <f t="shared" si="1"/>
        <v>0</v>
      </c>
    </row>
    <row r="42" spans="1:8" ht="20.25" x14ac:dyDescent="0.3">
      <c r="A42" s="123">
        <v>40</v>
      </c>
      <c r="B42" s="32" t="s">
        <v>33</v>
      </c>
      <c r="C42" s="71">
        <v>5027833</v>
      </c>
      <c r="D42" s="72">
        <v>139.02000000000001</v>
      </c>
      <c r="E42" s="73">
        <f>PRODUCTION!DX42</f>
        <v>0</v>
      </c>
      <c r="F42" s="73">
        <f>' WIP '!DX42</f>
        <v>0</v>
      </c>
      <c r="G42" s="73">
        <f>' FG'!CS42</f>
        <v>0</v>
      </c>
      <c r="H42" s="124">
        <f t="shared" si="1"/>
        <v>0</v>
      </c>
    </row>
    <row r="43" spans="1:8" ht="20.25" x14ac:dyDescent="0.3">
      <c r="A43" s="123">
        <v>41</v>
      </c>
      <c r="B43" s="89" t="s">
        <v>34</v>
      </c>
      <c r="C43" s="93">
        <v>5028386</v>
      </c>
      <c r="D43" s="72">
        <v>7.09</v>
      </c>
      <c r="E43" s="73">
        <f>PRODUCTION!DX43</f>
        <v>0</v>
      </c>
      <c r="F43" s="73">
        <f>' WIP '!DX43</f>
        <v>1543</v>
      </c>
      <c r="G43" s="73">
        <f>' FG'!CS43</f>
        <v>421</v>
      </c>
      <c r="H43" s="124">
        <f t="shared" si="1"/>
        <v>1964</v>
      </c>
    </row>
    <row r="44" spans="1:8" ht="20.25" x14ac:dyDescent="0.3">
      <c r="A44" s="123">
        <v>42</v>
      </c>
      <c r="B44" s="90" t="s">
        <v>35</v>
      </c>
      <c r="C44" s="93">
        <v>5028536</v>
      </c>
      <c r="D44" s="72">
        <v>126.19</v>
      </c>
      <c r="E44" s="73">
        <f>PRODUCTION!DX44</f>
        <v>0</v>
      </c>
      <c r="F44" s="73">
        <f>' WIP '!DX44</f>
        <v>0</v>
      </c>
      <c r="G44" s="73">
        <f>' FG'!CS44</f>
        <v>0</v>
      </c>
      <c r="H44" s="124">
        <f t="shared" si="1"/>
        <v>0</v>
      </c>
    </row>
    <row r="45" spans="1:8" ht="20.25" x14ac:dyDescent="0.3">
      <c r="A45" s="123">
        <v>43</v>
      </c>
      <c r="B45" s="90" t="s">
        <v>11</v>
      </c>
      <c r="C45" s="93">
        <v>5029050</v>
      </c>
      <c r="D45" s="72">
        <v>8.82</v>
      </c>
      <c r="E45" s="73">
        <f>PRODUCTION!DX45</f>
        <v>0</v>
      </c>
      <c r="F45" s="73">
        <f>' WIP '!DX45</f>
        <v>1544</v>
      </c>
      <c r="G45" s="73">
        <f>' FG'!CS45</f>
        <v>0</v>
      </c>
      <c r="H45" s="124">
        <f t="shared" si="1"/>
        <v>1544</v>
      </c>
    </row>
    <row r="46" spans="1:8" ht="20.25" x14ac:dyDescent="0.3">
      <c r="A46" s="123">
        <v>44</v>
      </c>
      <c r="B46" s="90" t="s">
        <v>11</v>
      </c>
      <c r="C46" s="93">
        <v>5029356</v>
      </c>
      <c r="D46" s="72">
        <v>13.68</v>
      </c>
      <c r="E46" s="73">
        <f>PRODUCTION!DX46</f>
        <v>0</v>
      </c>
      <c r="F46" s="73">
        <f>' WIP '!DX46</f>
        <v>42</v>
      </c>
      <c r="G46" s="73">
        <f>' FG'!CS46</f>
        <v>500</v>
      </c>
      <c r="H46" s="124">
        <f t="shared" si="1"/>
        <v>542</v>
      </c>
    </row>
    <row r="47" spans="1:8" ht="20.25" x14ac:dyDescent="0.3">
      <c r="A47" s="123">
        <v>45</v>
      </c>
      <c r="B47" s="90" t="s">
        <v>11</v>
      </c>
      <c r="C47" s="93">
        <v>5029357</v>
      </c>
      <c r="D47" s="72">
        <v>12.15</v>
      </c>
      <c r="E47" s="73">
        <f>PRODUCTION!DX47</f>
        <v>0</v>
      </c>
      <c r="F47" s="73">
        <f>' WIP '!DX47</f>
        <v>0</v>
      </c>
      <c r="G47" s="73">
        <f>' FG'!CS47</f>
        <v>2900</v>
      </c>
      <c r="H47" s="124">
        <f t="shared" si="1"/>
        <v>2900</v>
      </c>
    </row>
    <row r="48" spans="1:8" ht="20.25" x14ac:dyDescent="0.3">
      <c r="A48" s="123">
        <v>46</v>
      </c>
      <c r="B48" s="89" t="s">
        <v>26</v>
      </c>
      <c r="C48" s="93">
        <v>5029358</v>
      </c>
      <c r="D48" s="72">
        <v>11.34</v>
      </c>
      <c r="E48" s="73">
        <f>PRODUCTION!DX48</f>
        <v>0</v>
      </c>
      <c r="F48" s="73">
        <f>' WIP '!DX48</f>
        <v>55</v>
      </c>
      <c r="G48" s="73">
        <f>' FG'!CS48</f>
        <v>960</v>
      </c>
      <c r="H48" s="124">
        <f t="shared" si="1"/>
        <v>1015</v>
      </c>
    </row>
    <row r="49" spans="1:8" ht="20.25" x14ac:dyDescent="0.3">
      <c r="A49" s="123">
        <v>47</v>
      </c>
      <c r="B49" s="90" t="s">
        <v>9</v>
      </c>
      <c r="C49" s="93">
        <v>5030020</v>
      </c>
      <c r="D49" s="72">
        <v>9.86</v>
      </c>
      <c r="E49" s="73">
        <f>PRODUCTION!DX49</f>
        <v>0</v>
      </c>
      <c r="F49" s="73">
        <f>' WIP '!DX49</f>
        <v>1794</v>
      </c>
      <c r="G49" s="73">
        <f>' FG'!CS49</f>
        <v>0</v>
      </c>
      <c r="H49" s="124">
        <f t="shared" si="1"/>
        <v>1794</v>
      </c>
    </row>
    <row r="50" spans="1:8" ht="20.25" x14ac:dyDescent="0.3">
      <c r="A50" s="123">
        <v>48</v>
      </c>
      <c r="B50" s="33" t="s">
        <v>37</v>
      </c>
      <c r="C50" s="71">
        <v>5030021</v>
      </c>
      <c r="D50" s="72">
        <v>7.86</v>
      </c>
      <c r="E50" s="73">
        <f>PRODUCTION!DX50</f>
        <v>0</v>
      </c>
      <c r="F50" s="73">
        <f>' WIP '!DX50</f>
        <v>0</v>
      </c>
      <c r="G50" s="73">
        <f>' FG'!CS50</f>
        <v>0</v>
      </c>
      <c r="H50" s="124">
        <f t="shared" si="1"/>
        <v>0</v>
      </c>
    </row>
    <row r="51" spans="1:8" ht="20.25" x14ac:dyDescent="0.3">
      <c r="A51" s="123">
        <v>49</v>
      </c>
      <c r="B51" s="90" t="s">
        <v>38</v>
      </c>
      <c r="C51" s="93">
        <v>5030022</v>
      </c>
      <c r="D51" s="72">
        <v>10.5</v>
      </c>
      <c r="E51" s="73">
        <f>PRODUCTION!DX51</f>
        <v>0</v>
      </c>
      <c r="F51" s="73">
        <f>' WIP '!DX51</f>
        <v>539</v>
      </c>
      <c r="G51" s="73">
        <f>' FG'!CS51</f>
        <v>1540</v>
      </c>
      <c r="H51" s="124">
        <f t="shared" si="1"/>
        <v>2079</v>
      </c>
    </row>
    <row r="52" spans="1:8" ht="20.25" x14ac:dyDescent="0.3">
      <c r="A52" s="123">
        <v>50</v>
      </c>
      <c r="B52" s="32" t="s">
        <v>39</v>
      </c>
      <c r="C52" s="71">
        <v>5030061</v>
      </c>
      <c r="D52" s="72">
        <v>241.1</v>
      </c>
      <c r="E52" s="73">
        <f>PRODUCTION!DX52</f>
        <v>0</v>
      </c>
      <c r="F52" s="73">
        <f>' WIP '!DX52</f>
        <v>0</v>
      </c>
      <c r="G52" s="73">
        <f>' FG'!CS52</f>
        <v>0</v>
      </c>
      <c r="H52" s="124">
        <f t="shared" si="1"/>
        <v>0</v>
      </c>
    </row>
    <row r="53" spans="1:8" ht="20.25" x14ac:dyDescent="0.3">
      <c r="A53" s="123">
        <v>51</v>
      </c>
      <c r="B53" s="89" t="s">
        <v>40</v>
      </c>
      <c r="C53" s="93">
        <v>5030146</v>
      </c>
      <c r="D53" s="72">
        <v>5.3</v>
      </c>
      <c r="E53" s="73">
        <f>PRODUCTION!DX53</f>
        <v>0</v>
      </c>
      <c r="F53" s="73">
        <f>' WIP '!DX53</f>
        <v>1072</v>
      </c>
      <c r="G53" s="73">
        <f>' FG'!CS53</f>
        <v>200</v>
      </c>
      <c r="H53" s="124">
        <f t="shared" si="1"/>
        <v>1272</v>
      </c>
    </row>
    <row r="54" spans="1:8" ht="20.25" x14ac:dyDescent="0.3">
      <c r="A54" s="123">
        <v>52</v>
      </c>
      <c r="B54" s="90" t="s">
        <v>41</v>
      </c>
      <c r="C54" s="93">
        <v>5030167</v>
      </c>
      <c r="D54" s="72">
        <v>40.89</v>
      </c>
      <c r="E54" s="73">
        <f>PRODUCTION!DX54</f>
        <v>0</v>
      </c>
      <c r="F54" s="73">
        <f>' WIP '!DX54</f>
        <v>0</v>
      </c>
      <c r="G54" s="73">
        <f>' FG'!CS54</f>
        <v>0</v>
      </c>
      <c r="H54" s="124">
        <f t="shared" si="1"/>
        <v>0</v>
      </c>
    </row>
    <row r="55" spans="1:8" ht="20.25" x14ac:dyDescent="0.3">
      <c r="A55" s="123">
        <v>53</v>
      </c>
      <c r="B55" s="33" t="s">
        <v>124</v>
      </c>
      <c r="C55" s="71">
        <v>5030573</v>
      </c>
      <c r="D55" s="72">
        <v>4.3600000000000003</v>
      </c>
      <c r="E55" s="73">
        <f>PRODUCTION!DX55</f>
        <v>0</v>
      </c>
      <c r="F55" s="73">
        <f>' WIP '!DX55</f>
        <v>0</v>
      </c>
      <c r="G55" s="73">
        <f>' FG'!CS55</f>
        <v>3465</v>
      </c>
      <c r="H55" s="124">
        <f t="shared" si="1"/>
        <v>3465</v>
      </c>
    </row>
    <row r="56" spans="1:8" ht="20.25" x14ac:dyDescent="0.3">
      <c r="A56" s="123">
        <v>54</v>
      </c>
      <c r="B56" s="89" t="s">
        <v>8</v>
      </c>
      <c r="C56" s="93">
        <v>5030721</v>
      </c>
      <c r="D56" s="72">
        <v>45.8</v>
      </c>
      <c r="E56" s="73">
        <f>PRODUCTION!DX56</f>
        <v>0</v>
      </c>
      <c r="F56" s="73">
        <f>' WIP '!DX56</f>
        <v>0</v>
      </c>
      <c r="G56" s="73">
        <f>' FG'!CS56</f>
        <v>0</v>
      </c>
      <c r="H56" s="124">
        <f t="shared" si="1"/>
        <v>0</v>
      </c>
    </row>
    <row r="57" spans="1:8" ht="20.25" x14ac:dyDescent="0.3">
      <c r="A57" s="123">
        <v>55</v>
      </c>
      <c r="B57" s="33" t="s">
        <v>42</v>
      </c>
      <c r="C57" s="71">
        <v>5030557</v>
      </c>
      <c r="D57" s="72">
        <v>14.35</v>
      </c>
      <c r="E57" s="73">
        <f>PRODUCTION!DX57</f>
        <v>0</v>
      </c>
      <c r="F57" s="73">
        <f>' WIP '!DX57</f>
        <v>0</v>
      </c>
      <c r="G57" s="73">
        <f>' FG'!CS57</f>
        <v>900</v>
      </c>
      <c r="H57" s="124">
        <f t="shared" si="1"/>
        <v>900</v>
      </c>
    </row>
    <row r="58" spans="1:8" ht="20.25" x14ac:dyDescent="0.3">
      <c r="A58" s="123">
        <v>56</v>
      </c>
      <c r="B58" s="89" t="s">
        <v>45</v>
      </c>
      <c r="C58" s="93">
        <v>5031657</v>
      </c>
      <c r="D58" s="72">
        <v>33.380000000000003</v>
      </c>
      <c r="E58" s="73">
        <f>PRODUCTION!DX58</f>
        <v>0</v>
      </c>
      <c r="F58" s="73">
        <f>' WIP '!DX58</f>
        <v>0</v>
      </c>
      <c r="G58" s="73">
        <f>' FG'!CS58</f>
        <v>1680</v>
      </c>
      <c r="H58" s="124">
        <f t="shared" si="1"/>
        <v>1680</v>
      </c>
    </row>
    <row r="59" spans="1:8" ht="20.25" x14ac:dyDescent="0.3">
      <c r="A59" s="123">
        <v>57</v>
      </c>
      <c r="B59" s="90" t="s">
        <v>43</v>
      </c>
      <c r="C59" s="93">
        <v>5031102</v>
      </c>
      <c r="D59" s="72">
        <v>459.49</v>
      </c>
      <c r="E59" s="73">
        <f>PRODUCTION!DX59</f>
        <v>0</v>
      </c>
      <c r="F59" s="73">
        <f>' WIP '!DX59</f>
        <v>0</v>
      </c>
      <c r="G59" s="73">
        <f>' FG'!CS59</f>
        <v>0</v>
      </c>
      <c r="H59" s="124">
        <f t="shared" si="1"/>
        <v>0</v>
      </c>
    </row>
    <row r="60" spans="1:8" ht="20.25" x14ac:dyDescent="0.3">
      <c r="A60" s="123">
        <v>58</v>
      </c>
      <c r="B60" s="33" t="s">
        <v>125</v>
      </c>
      <c r="C60" s="71">
        <v>5032453</v>
      </c>
      <c r="D60" s="72"/>
      <c r="E60" s="73">
        <f>PRODUCTION!DX60</f>
        <v>0</v>
      </c>
      <c r="F60" s="73">
        <f>' WIP '!DX60</f>
        <v>0</v>
      </c>
      <c r="G60" s="73">
        <f>' FG'!CS60</f>
        <v>0</v>
      </c>
      <c r="H60" s="124">
        <f t="shared" si="1"/>
        <v>0</v>
      </c>
    </row>
    <row r="61" spans="1:8" ht="20.25" x14ac:dyDescent="0.3">
      <c r="A61" s="123">
        <v>59</v>
      </c>
      <c r="B61" s="89" t="s">
        <v>8</v>
      </c>
      <c r="C61" s="93">
        <v>5032512</v>
      </c>
      <c r="D61" s="72">
        <v>54.03</v>
      </c>
      <c r="E61" s="73">
        <f>PRODUCTION!DX61</f>
        <v>0</v>
      </c>
      <c r="F61" s="73">
        <f>' WIP '!DX61</f>
        <v>493</v>
      </c>
      <c r="G61" s="73">
        <f>' FG'!CS61</f>
        <v>200</v>
      </c>
      <c r="H61" s="124">
        <f t="shared" si="1"/>
        <v>693</v>
      </c>
    </row>
    <row r="62" spans="1:8" ht="20.25" x14ac:dyDescent="0.3">
      <c r="A62" s="123">
        <v>60</v>
      </c>
      <c r="B62" s="32" t="s">
        <v>25</v>
      </c>
      <c r="C62" s="71">
        <v>5033843</v>
      </c>
      <c r="D62" s="72">
        <v>99.64</v>
      </c>
      <c r="E62" s="73">
        <f>PRODUCTION!DX62</f>
        <v>0</v>
      </c>
      <c r="F62" s="73">
        <f>' WIP '!DX62</f>
        <v>0</v>
      </c>
      <c r="G62" s="73">
        <f>' FG'!CS62</f>
        <v>0</v>
      </c>
      <c r="H62" s="124">
        <f t="shared" si="1"/>
        <v>0</v>
      </c>
    </row>
    <row r="63" spans="1:8" ht="20.25" x14ac:dyDescent="0.3">
      <c r="A63" s="123">
        <v>61</v>
      </c>
      <c r="B63" s="89" t="s">
        <v>44</v>
      </c>
      <c r="C63" s="93">
        <v>5032201</v>
      </c>
      <c r="D63" s="72">
        <v>8.5299999999999994</v>
      </c>
      <c r="E63" s="73">
        <f>PRODUCTION!DX63</f>
        <v>0</v>
      </c>
      <c r="F63" s="73">
        <f>' WIP '!DX63</f>
        <v>0</v>
      </c>
      <c r="G63" s="73">
        <f>' FG'!CS63</f>
        <v>3000</v>
      </c>
      <c r="H63" s="124">
        <f t="shared" si="1"/>
        <v>3000</v>
      </c>
    </row>
    <row r="64" spans="1:8" ht="20.25" x14ac:dyDescent="0.3">
      <c r="A64" s="123">
        <v>62</v>
      </c>
      <c r="B64" s="89" t="s">
        <v>44</v>
      </c>
      <c r="C64" s="93">
        <v>5032202</v>
      </c>
      <c r="D64" s="72">
        <v>8.6300000000000008</v>
      </c>
      <c r="E64" s="73">
        <f>PRODUCTION!DX64</f>
        <v>0</v>
      </c>
      <c r="F64" s="73">
        <f>' WIP '!DX64</f>
        <v>0</v>
      </c>
      <c r="G64" s="73">
        <f>' FG'!CS64</f>
        <v>0</v>
      </c>
      <c r="H64" s="124">
        <f t="shared" si="1"/>
        <v>0</v>
      </c>
    </row>
    <row r="65" spans="1:8" ht="20.25" x14ac:dyDescent="0.3">
      <c r="A65" s="123">
        <v>63</v>
      </c>
      <c r="B65" s="32" t="s">
        <v>48</v>
      </c>
      <c r="C65" s="71">
        <v>5032452</v>
      </c>
      <c r="D65" s="72">
        <v>126.14</v>
      </c>
      <c r="E65" s="73">
        <f>PRODUCTION!DX65</f>
        <v>0</v>
      </c>
      <c r="F65" s="73">
        <f>' WIP '!DX65</f>
        <v>0</v>
      </c>
      <c r="G65" s="73">
        <f>' FG'!CS65</f>
        <v>0</v>
      </c>
      <c r="H65" s="124">
        <f t="shared" si="1"/>
        <v>0</v>
      </c>
    </row>
    <row r="66" spans="1:8" ht="20.25" x14ac:dyDescent="0.3">
      <c r="A66" s="123">
        <v>64</v>
      </c>
      <c r="B66" s="89" t="s">
        <v>49</v>
      </c>
      <c r="C66" s="93">
        <v>5032459</v>
      </c>
      <c r="D66" s="72">
        <v>103.68</v>
      </c>
      <c r="E66" s="73">
        <f>PRODUCTION!DX66</f>
        <v>0</v>
      </c>
      <c r="F66" s="73">
        <f>' WIP '!DX66</f>
        <v>0</v>
      </c>
      <c r="G66" s="73">
        <f>' FG'!CS66</f>
        <v>0</v>
      </c>
      <c r="H66" s="124">
        <f t="shared" si="1"/>
        <v>0</v>
      </c>
    </row>
    <row r="67" spans="1:8" ht="20.25" x14ac:dyDescent="0.3">
      <c r="A67" s="123">
        <v>65</v>
      </c>
      <c r="B67" s="89" t="s">
        <v>50</v>
      </c>
      <c r="C67" s="93">
        <v>5032473</v>
      </c>
      <c r="D67" s="72">
        <v>165.73</v>
      </c>
      <c r="E67" s="73">
        <f>PRODUCTION!DX67</f>
        <v>0</v>
      </c>
      <c r="F67" s="73">
        <f>' WIP '!DX67</f>
        <v>36</v>
      </c>
      <c r="G67" s="73">
        <f>' FG'!CS67</f>
        <v>44</v>
      </c>
      <c r="H67" s="124">
        <f t="shared" ref="H67:H98" si="2">SUM(E67:G67)</f>
        <v>80</v>
      </c>
    </row>
    <row r="68" spans="1:8" ht="20.25" x14ac:dyDescent="0.3">
      <c r="A68" s="123">
        <v>66</v>
      </c>
      <c r="B68" s="32" t="s">
        <v>8</v>
      </c>
      <c r="C68" s="71">
        <v>5034048</v>
      </c>
      <c r="D68" s="72">
        <v>111.12</v>
      </c>
      <c r="E68" s="73">
        <f>PRODUCTION!DX68</f>
        <v>0</v>
      </c>
      <c r="F68" s="73">
        <f>' WIP '!DX68</f>
        <v>0</v>
      </c>
      <c r="G68" s="73">
        <f>' FG'!CS68</f>
        <v>0</v>
      </c>
      <c r="H68" s="124">
        <f t="shared" si="2"/>
        <v>0</v>
      </c>
    </row>
    <row r="69" spans="1:8" ht="20.25" x14ac:dyDescent="0.3">
      <c r="A69" s="123">
        <v>67</v>
      </c>
      <c r="B69" s="89" t="s">
        <v>8</v>
      </c>
      <c r="C69" s="93">
        <v>5034683</v>
      </c>
      <c r="D69" s="72">
        <v>39.99</v>
      </c>
      <c r="E69" s="73">
        <f>PRODUCTION!DX69</f>
        <v>0</v>
      </c>
      <c r="F69" s="73">
        <f>' WIP '!DX69</f>
        <v>0</v>
      </c>
      <c r="G69" s="73">
        <f>' FG'!CS69</f>
        <v>4</v>
      </c>
      <c r="H69" s="124">
        <f t="shared" si="2"/>
        <v>4</v>
      </c>
    </row>
    <row r="70" spans="1:8" ht="20.25" x14ac:dyDescent="0.3">
      <c r="A70" s="123">
        <v>68</v>
      </c>
      <c r="B70" s="89" t="s">
        <v>47</v>
      </c>
      <c r="C70" s="93">
        <v>5035269</v>
      </c>
      <c r="D70" s="72">
        <v>242.9</v>
      </c>
      <c r="E70" s="73">
        <f>PRODUCTION!DX70</f>
        <v>0</v>
      </c>
      <c r="F70" s="73">
        <f>' WIP '!DX70</f>
        <v>0</v>
      </c>
      <c r="G70" s="73">
        <f>' FG'!CS70</f>
        <v>0</v>
      </c>
      <c r="H70" s="124">
        <f t="shared" si="2"/>
        <v>0</v>
      </c>
    </row>
    <row r="71" spans="1:8" ht="20.25" x14ac:dyDescent="0.3">
      <c r="A71" s="123">
        <v>69</v>
      </c>
      <c r="B71" s="32" t="s">
        <v>51</v>
      </c>
      <c r="C71" s="71">
        <v>5035729</v>
      </c>
      <c r="D71" s="72">
        <v>59.68</v>
      </c>
      <c r="E71" s="73">
        <f>PRODUCTION!DX71</f>
        <v>0</v>
      </c>
      <c r="F71" s="73">
        <f>' WIP '!DX71</f>
        <v>0</v>
      </c>
      <c r="G71" s="73">
        <f>' FG'!CS71</f>
        <v>0</v>
      </c>
      <c r="H71" s="124">
        <f t="shared" si="2"/>
        <v>0</v>
      </c>
    </row>
    <row r="72" spans="1:8" ht="20.25" x14ac:dyDescent="0.3">
      <c r="A72" s="123">
        <v>70</v>
      </c>
      <c r="B72" s="90" t="s">
        <v>20</v>
      </c>
      <c r="C72" s="93">
        <v>5037987</v>
      </c>
      <c r="D72" s="72">
        <v>32.380000000000003</v>
      </c>
      <c r="E72" s="73">
        <f>PRODUCTION!DX72</f>
        <v>0</v>
      </c>
      <c r="F72" s="73">
        <f>' WIP '!DX72</f>
        <v>225</v>
      </c>
      <c r="G72" s="73">
        <f>' FG'!CS72</f>
        <v>496</v>
      </c>
      <c r="H72" s="124">
        <f t="shared" si="2"/>
        <v>721</v>
      </c>
    </row>
    <row r="73" spans="1:8" ht="20.25" x14ac:dyDescent="0.3">
      <c r="A73" s="123">
        <v>71</v>
      </c>
      <c r="B73" s="90" t="s">
        <v>25</v>
      </c>
      <c r="C73" s="93">
        <v>5038940</v>
      </c>
      <c r="D73" s="72">
        <v>18.66</v>
      </c>
      <c r="E73" s="73">
        <f>PRODUCTION!DX73</f>
        <v>0</v>
      </c>
      <c r="F73" s="73">
        <f>' WIP '!DX73</f>
        <v>5037</v>
      </c>
      <c r="G73" s="73">
        <f>' FG'!CS73</f>
        <v>0</v>
      </c>
      <c r="H73" s="124">
        <f t="shared" si="2"/>
        <v>5037</v>
      </c>
    </row>
    <row r="74" spans="1:8" ht="20.25" x14ac:dyDescent="0.3">
      <c r="A74" s="123">
        <v>72</v>
      </c>
      <c r="B74" s="89" t="s">
        <v>25</v>
      </c>
      <c r="C74" s="93">
        <v>5038950</v>
      </c>
      <c r="D74" s="72">
        <v>9.93</v>
      </c>
      <c r="E74" s="73">
        <f>PRODUCTION!DX74</f>
        <v>0</v>
      </c>
      <c r="F74" s="73">
        <f>' WIP '!DX74</f>
        <v>12065</v>
      </c>
      <c r="G74" s="73">
        <f>' FG'!CS74</f>
        <v>0</v>
      </c>
      <c r="H74" s="124">
        <f t="shared" si="2"/>
        <v>12065</v>
      </c>
    </row>
    <row r="75" spans="1:8" ht="20.25" x14ac:dyDescent="0.3">
      <c r="A75" s="123">
        <v>73</v>
      </c>
      <c r="B75" s="32" t="s">
        <v>52</v>
      </c>
      <c r="C75" s="71">
        <v>5036297</v>
      </c>
      <c r="D75" s="72">
        <v>221.98</v>
      </c>
      <c r="E75" s="73">
        <f>PRODUCTION!DX75</f>
        <v>0</v>
      </c>
      <c r="F75" s="73">
        <f>' WIP '!DX75</f>
        <v>0</v>
      </c>
      <c r="G75" s="73">
        <f>' FG'!CS75</f>
        <v>0</v>
      </c>
      <c r="H75" s="124">
        <f t="shared" si="2"/>
        <v>0</v>
      </c>
    </row>
    <row r="76" spans="1:8" ht="20.25" x14ac:dyDescent="0.3">
      <c r="A76" s="123">
        <v>74</v>
      </c>
      <c r="B76" s="32" t="s">
        <v>53</v>
      </c>
      <c r="C76" s="71">
        <v>832000299</v>
      </c>
      <c r="D76" s="72">
        <v>3.37</v>
      </c>
      <c r="E76" s="73">
        <f>PRODUCTION!DX76</f>
        <v>0</v>
      </c>
      <c r="F76" s="73">
        <f>' WIP '!DX76</f>
        <v>0</v>
      </c>
      <c r="G76" s="73">
        <f>' FG'!CS76</f>
        <v>0</v>
      </c>
      <c r="H76" s="124">
        <f t="shared" si="2"/>
        <v>0</v>
      </c>
    </row>
    <row r="77" spans="1:8" ht="20.25" x14ac:dyDescent="0.3">
      <c r="A77" s="123">
        <v>75</v>
      </c>
      <c r="B77" s="89" t="s">
        <v>34</v>
      </c>
      <c r="C77" s="93">
        <v>5037040</v>
      </c>
      <c r="D77" s="72">
        <v>9.42</v>
      </c>
      <c r="E77" s="73">
        <f>PRODUCTION!DX77</f>
        <v>0</v>
      </c>
      <c r="F77" s="73">
        <f>' WIP '!DX77</f>
        <v>0</v>
      </c>
      <c r="G77" s="73">
        <f>' FG'!CS77</f>
        <v>0</v>
      </c>
      <c r="H77" s="124">
        <f t="shared" si="2"/>
        <v>0</v>
      </c>
    </row>
    <row r="78" spans="1:8" ht="20.25" x14ac:dyDescent="0.3">
      <c r="A78" s="123">
        <v>76</v>
      </c>
      <c r="B78" s="89" t="s">
        <v>4</v>
      </c>
      <c r="C78" s="93">
        <v>5024978</v>
      </c>
      <c r="D78" s="72">
        <v>76.94</v>
      </c>
      <c r="E78" s="73">
        <f>PRODUCTION!DX78</f>
        <v>0</v>
      </c>
      <c r="F78" s="73">
        <f>' WIP '!DX78</f>
        <v>243</v>
      </c>
      <c r="G78" s="73">
        <f>' FG'!CS78</f>
        <v>0</v>
      </c>
      <c r="H78" s="124">
        <f t="shared" si="2"/>
        <v>243</v>
      </c>
    </row>
    <row r="79" spans="1:8" ht="20.25" x14ac:dyDescent="0.3">
      <c r="A79" s="123">
        <v>77</v>
      </c>
      <c r="B79" s="32"/>
      <c r="C79" s="71">
        <v>5032514</v>
      </c>
      <c r="D79" s="72">
        <v>2.57</v>
      </c>
      <c r="E79" s="73">
        <f>PRODUCTION!DX79</f>
        <v>0</v>
      </c>
      <c r="F79" s="73">
        <f>' WIP '!DX79</f>
        <v>783</v>
      </c>
      <c r="G79" s="73">
        <f>' FG'!CS79</f>
        <v>0</v>
      </c>
      <c r="H79" s="124">
        <f t="shared" si="2"/>
        <v>783</v>
      </c>
    </row>
    <row r="80" spans="1:8" ht="20.25" x14ac:dyDescent="0.3">
      <c r="A80" s="123">
        <v>78</v>
      </c>
      <c r="B80" s="89"/>
      <c r="C80" s="93">
        <v>5031194</v>
      </c>
      <c r="D80" s="72">
        <v>19.510000000000002</v>
      </c>
      <c r="E80" s="73">
        <f>PRODUCTION!DX80</f>
        <v>0</v>
      </c>
      <c r="F80" s="73">
        <f>' WIP '!DX80</f>
        <v>43</v>
      </c>
      <c r="G80" s="73">
        <f>' FG'!CS80</f>
        <v>500</v>
      </c>
      <c r="H80" s="124">
        <f t="shared" si="2"/>
        <v>543</v>
      </c>
    </row>
    <row r="81" spans="1:8" ht="20.25" x14ac:dyDescent="0.3">
      <c r="A81" s="123">
        <v>79</v>
      </c>
      <c r="B81" s="89" t="s">
        <v>126</v>
      </c>
      <c r="C81" s="93">
        <v>5040709</v>
      </c>
      <c r="D81" s="72">
        <v>38.96</v>
      </c>
      <c r="E81" s="73">
        <f>PRODUCTION!DX81</f>
        <v>0</v>
      </c>
      <c r="F81" s="73">
        <f>' WIP '!DX81</f>
        <v>0</v>
      </c>
      <c r="G81" s="73">
        <f>' FG'!CS81</f>
        <v>400</v>
      </c>
      <c r="H81" s="124">
        <f t="shared" si="2"/>
        <v>400</v>
      </c>
    </row>
    <row r="82" spans="1:8" ht="20.25" x14ac:dyDescent="0.3">
      <c r="A82" s="123">
        <v>80</v>
      </c>
      <c r="B82" s="32" t="s">
        <v>18</v>
      </c>
      <c r="C82" s="71">
        <v>5040058</v>
      </c>
      <c r="D82" s="72">
        <v>9.34</v>
      </c>
      <c r="E82" s="73">
        <f>PRODUCTION!DX82</f>
        <v>0</v>
      </c>
      <c r="F82" s="73">
        <f>' WIP '!DX82</f>
        <v>0</v>
      </c>
      <c r="G82" s="73">
        <f>' FG'!CS82</f>
        <v>0</v>
      </c>
      <c r="H82" s="124">
        <f t="shared" si="2"/>
        <v>0</v>
      </c>
    </row>
    <row r="83" spans="1:8" ht="20.25" x14ac:dyDescent="0.3">
      <c r="A83" s="123">
        <v>81</v>
      </c>
      <c r="B83" s="32" t="s">
        <v>127</v>
      </c>
      <c r="C83" s="71">
        <v>5030173</v>
      </c>
      <c r="D83" s="72">
        <v>16.72</v>
      </c>
      <c r="E83" s="73">
        <f>PRODUCTION!DX83</f>
        <v>0</v>
      </c>
      <c r="F83" s="73">
        <f>' WIP '!DX83</f>
        <v>37</v>
      </c>
      <c r="G83" s="73">
        <f>' FG'!CS83</f>
        <v>0</v>
      </c>
      <c r="H83" s="124">
        <f t="shared" si="2"/>
        <v>37</v>
      </c>
    </row>
    <row r="84" spans="1:8" ht="20.25" x14ac:dyDescent="0.3">
      <c r="A84" s="123">
        <v>82</v>
      </c>
      <c r="B84" s="33" t="s">
        <v>127</v>
      </c>
      <c r="C84" s="71">
        <v>5037374</v>
      </c>
      <c r="D84" s="72">
        <v>136.25</v>
      </c>
      <c r="E84" s="73">
        <f>PRODUCTION!DX84</f>
        <v>0</v>
      </c>
      <c r="F84" s="73">
        <f>' WIP '!DX84</f>
        <v>0</v>
      </c>
      <c r="G84" s="73">
        <f>' FG'!CS84</f>
        <v>0</v>
      </c>
      <c r="H84" s="124">
        <f t="shared" si="2"/>
        <v>0</v>
      </c>
    </row>
    <row r="85" spans="1:8" ht="20.25" x14ac:dyDescent="0.3">
      <c r="A85" s="123">
        <v>83</v>
      </c>
      <c r="B85" s="90" t="s">
        <v>128</v>
      </c>
      <c r="C85" s="93">
        <v>5044037</v>
      </c>
      <c r="D85" s="72">
        <v>5.63</v>
      </c>
      <c r="E85" s="73">
        <f>PRODUCTION!DX85</f>
        <v>0</v>
      </c>
      <c r="F85" s="73">
        <f>' WIP '!DX85</f>
        <v>1488</v>
      </c>
      <c r="G85" s="73">
        <f>' FG'!CS85</f>
        <v>10</v>
      </c>
      <c r="H85" s="124">
        <f t="shared" si="2"/>
        <v>1498</v>
      </c>
    </row>
    <row r="86" spans="1:8" ht="20.25" x14ac:dyDescent="0.3">
      <c r="A86" s="123">
        <v>84</v>
      </c>
      <c r="B86" s="89" t="s">
        <v>4</v>
      </c>
      <c r="C86" s="93">
        <v>5044040</v>
      </c>
      <c r="D86" s="72">
        <v>47.84</v>
      </c>
      <c r="E86" s="73">
        <f>PRODUCTION!DX86</f>
        <v>0</v>
      </c>
      <c r="F86" s="73">
        <f>' WIP '!DX86</f>
        <v>19</v>
      </c>
      <c r="G86" s="73">
        <f>' FG'!CS86</f>
        <v>0</v>
      </c>
      <c r="H86" s="124">
        <f t="shared" si="2"/>
        <v>19</v>
      </c>
    </row>
    <row r="87" spans="1:8" ht="20.25" x14ac:dyDescent="0.3">
      <c r="A87" s="123">
        <v>85</v>
      </c>
      <c r="B87" s="89" t="s">
        <v>121</v>
      </c>
      <c r="C87" s="95">
        <v>5028374</v>
      </c>
      <c r="D87" s="72">
        <v>12.01</v>
      </c>
      <c r="E87" s="73">
        <f>PRODUCTION!DX87</f>
        <v>0</v>
      </c>
      <c r="F87" s="73">
        <f>' WIP '!DX87</f>
        <v>0</v>
      </c>
      <c r="G87" s="73">
        <f>' FG'!CS87</f>
        <v>573</v>
      </c>
      <c r="H87" s="124">
        <f t="shared" si="2"/>
        <v>573</v>
      </c>
    </row>
    <row r="88" spans="1:8" ht="20.25" x14ac:dyDescent="0.3">
      <c r="A88" s="123">
        <v>86</v>
      </c>
      <c r="B88" s="89" t="s">
        <v>129</v>
      </c>
      <c r="C88" s="93">
        <v>5040212</v>
      </c>
      <c r="D88" s="72">
        <v>110.1</v>
      </c>
      <c r="E88" s="73">
        <f>PRODUCTION!DX88</f>
        <v>0</v>
      </c>
      <c r="F88" s="73">
        <f>' WIP '!DX88</f>
        <v>0</v>
      </c>
      <c r="G88" s="73">
        <f>' FG'!CS88</f>
        <v>50</v>
      </c>
      <c r="H88" s="124">
        <f t="shared" si="2"/>
        <v>50</v>
      </c>
    </row>
    <row r="89" spans="1:8" ht="20.25" x14ac:dyDescent="0.3">
      <c r="A89" s="123">
        <v>87</v>
      </c>
      <c r="B89" s="33" t="s">
        <v>47</v>
      </c>
      <c r="C89" s="71">
        <v>5043828</v>
      </c>
      <c r="D89" s="72">
        <v>197.61</v>
      </c>
      <c r="E89" s="73">
        <f>PRODUCTION!DX89</f>
        <v>0</v>
      </c>
      <c r="F89" s="73">
        <f>' WIP '!DX89</f>
        <v>0</v>
      </c>
      <c r="G89" s="73">
        <f>' FG'!CS89</f>
        <v>0</v>
      </c>
      <c r="H89" s="124">
        <f t="shared" si="2"/>
        <v>0</v>
      </c>
    </row>
    <row r="90" spans="1:8" ht="20.25" x14ac:dyDescent="0.3">
      <c r="A90" s="123">
        <v>88</v>
      </c>
      <c r="B90" s="89" t="s">
        <v>13</v>
      </c>
      <c r="C90" s="93">
        <v>5012394</v>
      </c>
      <c r="D90" s="72">
        <v>150.49</v>
      </c>
      <c r="E90" s="73">
        <f>PRODUCTION!DX90</f>
        <v>0</v>
      </c>
      <c r="F90" s="73">
        <f>' WIP '!DX90</f>
        <v>36</v>
      </c>
      <c r="G90" s="73">
        <f>' FG'!CS90</f>
        <v>210</v>
      </c>
      <c r="H90" s="124">
        <f t="shared" si="2"/>
        <v>246</v>
      </c>
    </row>
    <row r="91" spans="1:8" ht="20.25" x14ac:dyDescent="0.3">
      <c r="A91" s="123">
        <v>89</v>
      </c>
      <c r="B91" s="89" t="s">
        <v>5</v>
      </c>
      <c r="C91" s="93">
        <v>5036677</v>
      </c>
      <c r="D91" s="72">
        <v>134.79</v>
      </c>
      <c r="E91" s="73">
        <f>PRODUCTION!DX91</f>
        <v>0</v>
      </c>
      <c r="F91" s="73">
        <f>' WIP '!DX91</f>
        <v>570</v>
      </c>
      <c r="G91" s="73">
        <f>' FG'!CS91</f>
        <v>0</v>
      </c>
      <c r="H91" s="124">
        <f t="shared" si="2"/>
        <v>570</v>
      </c>
    </row>
    <row r="92" spans="1:8" ht="20.25" x14ac:dyDescent="0.3">
      <c r="A92" s="123">
        <v>90</v>
      </c>
      <c r="B92" s="32" t="s">
        <v>5</v>
      </c>
      <c r="C92" s="71">
        <v>5012083</v>
      </c>
      <c r="D92" s="72">
        <v>115.31</v>
      </c>
      <c r="E92" s="73">
        <f>PRODUCTION!DX92</f>
        <v>0</v>
      </c>
      <c r="F92" s="73">
        <f>' WIP '!DX92</f>
        <v>0</v>
      </c>
      <c r="G92" s="73">
        <f>' FG'!CS92</f>
        <v>0</v>
      </c>
      <c r="H92" s="124">
        <f t="shared" si="2"/>
        <v>0</v>
      </c>
    </row>
    <row r="93" spans="1:8" ht="20.25" x14ac:dyDescent="0.3">
      <c r="A93" s="123">
        <v>91</v>
      </c>
      <c r="B93" s="32" t="s">
        <v>130</v>
      </c>
      <c r="C93" s="71">
        <v>5010647</v>
      </c>
      <c r="D93" s="72">
        <v>188.39</v>
      </c>
      <c r="E93" s="73">
        <f>PRODUCTION!DX93</f>
        <v>0</v>
      </c>
      <c r="F93" s="73">
        <f>' WIP '!DX93</f>
        <v>0</v>
      </c>
      <c r="G93" s="73">
        <f>' FG'!CS93</f>
        <v>0</v>
      </c>
      <c r="H93" s="124">
        <f t="shared" si="2"/>
        <v>0</v>
      </c>
    </row>
    <row r="94" spans="1:8" ht="20.25" x14ac:dyDescent="0.3">
      <c r="A94" s="123">
        <v>92</v>
      </c>
      <c r="B94" s="89" t="s">
        <v>5</v>
      </c>
      <c r="C94" s="93">
        <v>5007581</v>
      </c>
      <c r="D94" s="72">
        <v>60.43</v>
      </c>
      <c r="E94" s="73">
        <f>PRODUCTION!DX94</f>
        <v>0</v>
      </c>
      <c r="F94" s="73">
        <f>' WIP '!DX94</f>
        <v>995</v>
      </c>
      <c r="G94" s="73">
        <f>' FG'!CS94</f>
        <v>0</v>
      </c>
      <c r="H94" s="124">
        <f t="shared" si="2"/>
        <v>995</v>
      </c>
    </row>
    <row r="95" spans="1:8" ht="20.25" x14ac:dyDescent="0.3">
      <c r="A95" s="123">
        <v>93</v>
      </c>
      <c r="B95" s="32" t="s">
        <v>6</v>
      </c>
      <c r="C95" s="71">
        <v>5007582</v>
      </c>
      <c r="D95" s="72">
        <v>64.13</v>
      </c>
      <c r="E95" s="73">
        <f>PRODUCTION!DX95</f>
        <v>0</v>
      </c>
      <c r="F95" s="73">
        <f>' WIP '!DX95</f>
        <v>96</v>
      </c>
      <c r="G95" s="73">
        <f>' FG'!CS95</f>
        <v>0</v>
      </c>
      <c r="H95" s="124">
        <f t="shared" si="2"/>
        <v>96</v>
      </c>
    </row>
    <row r="96" spans="1:8" ht="20.25" x14ac:dyDescent="0.3">
      <c r="A96" s="123">
        <v>94</v>
      </c>
      <c r="B96" s="89" t="s">
        <v>15</v>
      </c>
      <c r="C96" s="93">
        <v>5024347</v>
      </c>
      <c r="D96" s="72">
        <v>13.35</v>
      </c>
      <c r="E96" s="73">
        <f>PRODUCTION!DX96</f>
        <v>0</v>
      </c>
      <c r="F96" s="73">
        <f>' WIP '!DX96</f>
        <v>633</v>
      </c>
      <c r="G96" s="73">
        <f>' FG'!CS96</f>
        <v>200</v>
      </c>
      <c r="H96" s="124">
        <f t="shared" si="2"/>
        <v>833</v>
      </c>
    </row>
    <row r="97" spans="1:8" ht="20.25" x14ac:dyDescent="0.3">
      <c r="A97" s="123">
        <v>95</v>
      </c>
      <c r="B97" s="89" t="s">
        <v>27</v>
      </c>
      <c r="C97" s="93">
        <v>5024345</v>
      </c>
      <c r="D97" s="72">
        <v>494.74</v>
      </c>
      <c r="E97" s="73">
        <f>PRODUCTION!DX97</f>
        <v>0</v>
      </c>
      <c r="F97" s="73">
        <f>' WIP '!DX97</f>
        <v>1</v>
      </c>
      <c r="G97" s="73">
        <f>' FG'!CS97</f>
        <v>88</v>
      </c>
      <c r="H97" s="124">
        <f t="shared" si="2"/>
        <v>89</v>
      </c>
    </row>
    <row r="98" spans="1:8" ht="20.25" x14ac:dyDescent="0.3">
      <c r="A98" s="123">
        <v>96</v>
      </c>
      <c r="B98" s="89" t="s">
        <v>12</v>
      </c>
      <c r="C98" s="93">
        <v>5025752</v>
      </c>
      <c r="D98" s="72">
        <v>54.99</v>
      </c>
      <c r="E98" s="73">
        <f>PRODUCTION!DX98</f>
        <v>0</v>
      </c>
      <c r="F98" s="73">
        <f>' WIP '!DX98</f>
        <v>416</v>
      </c>
      <c r="G98" s="73">
        <f>' FG'!CS98</f>
        <v>6</v>
      </c>
      <c r="H98" s="124">
        <f t="shared" si="2"/>
        <v>422</v>
      </c>
    </row>
    <row r="99" spans="1:8" ht="20.25" x14ac:dyDescent="0.3">
      <c r="A99" s="123">
        <v>97</v>
      </c>
      <c r="B99" s="90" t="s">
        <v>28</v>
      </c>
      <c r="C99" s="93">
        <v>5025607</v>
      </c>
      <c r="D99" s="72">
        <v>106.28</v>
      </c>
      <c r="E99" s="73">
        <f>PRODUCTION!DX99</f>
        <v>0</v>
      </c>
      <c r="F99" s="73">
        <f>' WIP '!DX99</f>
        <v>0</v>
      </c>
      <c r="G99" s="73">
        <f>' FG'!CS99</f>
        <v>0</v>
      </c>
      <c r="H99" s="124">
        <f t="shared" ref="H99:H130" si="3">SUM(E99:G99)</f>
        <v>0</v>
      </c>
    </row>
    <row r="100" spans="1:8" ht="20.25" x14ac:dyDescent="0.3">
      <c r="A100" s="123">
        <v>98</v>
      </c>
      <c r="B100" s="90" t="s">
        <v>12</v>
      </c>
      <c r="C100" s="93">
        <v>5029411</v>
      </c>
      <c r="D100" s="72">
        <v>106.57</v>
      </c>
      <c r="E100" s="73">
        <f>PRODUCTION!DX100</f>
        <v>0</v>
      </c>
      <c r="F100" s="73">
        <f>' WIP '!DX100</f>
        <v>170</v>
      </c>
      <c r="G100" s="73">
        <f>' FG'!CS100</f>
        <v>0</v>
      </c>
      <c r="H100" s="124">
        <f t="shared" si="3"/>
        <v>170</v>
      </c>
    </row>
    <row r="101" spans="1:8" ht="20.25" x14ac:dyDescent="0.3">
      <c r="A101" s="123">
        <v>99</v>
      </c>
      <c r="B101" s="90" t="s">
        <v>46</v>
      </c>
      <c r="C101" s="93">
        <v>5031751</v>
      </c>
      <c r="D101" s="72">
        <v>2.46</v>
      </c>
      <c r="E101" s="73">
        <f>PRODUCTION!DX101</f>
        <v>0</v>
      </c>
      <c r="F101" s="73">
        <f>' WIP '!DX101</f>
        <v>0</v>
      </c>
      <c r="G101" s="73">
        <f>' FG'!CS101</f>
        <v>1150</v>
      </c>
      <c r="H101" s="124">
        <f t="shared" si="3"/>
        <v>1150</v>
      </c>
    </row>
    <row r="102" spans="1:8" ht="20.25" x14ac:dyDescent="0.3">
      <c r="A102" s="123">
        <v>100</v>
      </c>
      <c r="B102" s="89" t="s">
        <v>131</v>
      </c>
      <c r="C102" s="93">
        <v>5017139</v>
      </c>
      <c r="D102" s="72">
        <v>19.850000000000001</v>
      </c>
      <c r="E102" s="73">
        <f>PRODUCTION!DX102</f>
        <v>0</v>
      </c>
      <c r="F102" s="73">
        <f>' WIP '!DX102</f>
        <v>452</v>
      </c>
      <c r="G102" s="73">
        <f>' FG'!CS102</f>
        <v>0</v>
      </c>
      <c r="H102" s="124">
        <f t="shared" si="3"/>
        <v>452</v>
      </c>
    </row>
    <row r="103" spans="1:8" ht="20.25" x14ac:dyDescent="0.3">
      <c r="A103" s="123">
        <v>101</v>
      </c>
      <c r="B103" s="89" t="s">
        <v>132</v>
      </c>
      <c r="C103" s="93">
        <v>5014444</v>
      </c>
      <c r="D103" s="72">
        <v>13.88</v>
      </c>
      <c r="E103" s="73">
        <f>PRODUCTION!DX103</f>
        <v>0</v>
      </c>
      <c r="F103" s="73">
        <f>' WIP '!DX103</f>
        <v>4353</v>
      </c>
      <c r="G103" s="73">
        <f>' FG'!CS103</f>
        <v>0</v>
      </c>
      <c r="H103" s="124">
        <f t="shared" si="3"/>
        <v>4353</v>
      </c>
    </row>
    <row r="104" spans="1:8" ht="20.25" x14ac:dyDescent="0.3">
      <c r="A104" s="123">
        <v>102</v>
      </c>
      <c r="B104" s="89" t="s">
        <v>122</v>
      </c>
      <c r="C104" s="93">
        <v>5046070</v>
      </c>
      <c r="D104" s="72">
        <v>89.64</v>
      </c>
      <c r="E104" s="73">
        <f>PRODUCTION!DX104</f>
        <v>0</v>
      </c>
      <c r="F104" s="73">
        <f>' WIP '!DX104</f>
        <v>0</v>
      </c>
      <c r="G104" s="73">
        <f>' FG'!CS104</f>
        <v>0</v>
      </c>
      <c r="H104" s="124">
        <f t="shared" si="3"/>
        <v>0</v>
      </c>
    </row>
    <row r="105" spans="1:8" ht="20.25" x14ac:dyDescent="0.3">
      <c r="A105" s="123">
        <v>103</v>
      </c>
      <c r="B105" s="32" t="s">
        <v>5</v>
      </c>
      <c r="C105" s="74">
        <v>5060364</v>
      </c>
      <c r="D105" s="72">
        <v>212.7</v>
      </c>
      <c r="E105" s="73">
        <f>PRODUCTION!DX105</f>
        <v>0</v>
      </c>
      <c r="F105" s="73">
        <f>' WIP '!DX105</f>
        <v>19</v>
      </c>
      <c r="G105" s="73">
        <f>' FG'!CS105</f>
        <v>10</v>
      </c>
      <c r="H105" s="124">
        <f t="shared" si="3"/>
        <v>29</v>
      </c>
    </row>
    <row r="106" spans="1:8" ht="20.25" x14ac:dyDescent="0.3">
      <c r="A106" s="123">
        <v>104</v>
      </c>
      <c r="B106" s="89" t="s">
        <v>15</v>
      </c>
      <c r="C106" s="93">
        <v>5042399</v>
      </c>
      <c r="D106" s="72">
        <v>18.440000000000001</v>
      </c>
      <c r="E106" s="73">
        <f>PRODUCTION!DX106</f>
        <v>0</v>
      </c>
      <c r="F106" s="73">
        <f>' WIP '!DX106</f>
        <v>0</v>
      </c>
      <c r="G106" s="73">
        <f>' FG'!CS106</f>
        <v>0</v>
      </c>
      <c r="H106" s="124">
        <f t="shared" si="3"/>
        <v>0</v>
      </c>
    </row>
    <row r="107" spans="1:8" ht="20.25" x14ac:dyDescent="0.3">
      <c r="A107" s="123">
        <v>105</v>
      </c>
      <c r="B107" s="32" t="s">
        <v>132</v>
      </c>
      <c r="C107" s="71">
        <v>5027149</v>
      </c>
      <c r="D107" s="72">
        <v>3.74</v>
      </c>
      <c r="E107" s="73">
        <f>PRODUCTION!DX107</f>
        <v>0</v>
      </c>
      <c r="F107" s="73">
        <f>' WIP '!DX107</f>
        <v>0</v>
      </c>
      <c r="G107" s="73">
        <f>' FG'!CS107</f>
        <v>0</v>
      </c>
      <c r="H107" s="124">
        <f t="shared" si="3"/>
        <v>0</v>
      </c>
    </row>
    <row r="108" spans="1:8" ht="20.25" x14ac:dyDescent="0.3">
      <c r="A108" s="123">
        <v>106</v>
      </c>
      <c r="B108" s="33" t="s">
        <v>19</v>
      </c>
      <c r="C108" s="71">
        <v>5027150</v>
      </c>
      <c r="D108" s="72">
        <v>4.03</v>
      </c>
      <c r="E108" s="73">
        <f>PRODUCTION!DX108</f>
        <v>0</v>
      </c>
      <c r="F108" s="73">
        <f>' WIP '!DX108</f>
        <v>0</v>
      </c>
      <c r="G108" s="73">
        <f>' FG'!CS108</f>
        <v>0</v>
      </c>
      <c r="H108" s="124">
        <f t="shared" si="3"/>
        <v>0</v>
      </c>
    </row>
    <row r="109" spans="1:8" ht="20.25" x14ac:dyDescent="0.3">
      <c r="A109" s="123">
        <v>107</v>
      </c>
      <c r="B109" s="89" t="s">
        <v>136</v>
      </c>
      <c r="C109" s="94">
        <v>5011415</v>
      </c>
      <c r="D109" s="72">
        <v>8.0399999999999991</v>
      </c>
      <c r="E109" s="73">
        <f>PRODUCTION!DX109</f>
        <v>0</v>
      </c>
      <c r="F109" s="73">
        <f>' WIP '!DX109</f>
        <v>0</v>
      </c>
      <c r="G109" s="73">
        <f>' FG'!CS109</f>
        <v>0</v>
      </c>
      <c r="H109" s="124">
        <f t="shared" si="3"/>
        <v>0</v>
      </c>
    </row>
    <row r="110" spans="1:8" ht="20.25" x14ac:dyDescent="0.3">
      <c r="A110" s="123">
        <v>108</v>
      </c>
      <c r="B110" s="89" t="s">
        <v>136</v>
      </c>
      <c r="C110" s="94">
        <v>5016811</v>
      </c>
      <c r="D110" s="72">
        <v>12.58</v>
      </c>
      <c r="E110" s="73">
        <f>PRODUCTION!DX110</f>
        <v>0</v>
      </c>
      <c r="F110" s="73">
        <f>' WIP '!DX110</f>
        <v>0</v>
      </c>
      <c r="G110" s="73">
        <f>' FG'!CS110</f>
        <v>0</v>
      </c>
      <c r="H110" s="124">
        <f t="shared" si="3"/>
        <v>0</v>
      </c>
    </row>
    <row r="111" spans="1:8" ht="20.25" x14ac:dyDescent="0.3">
      <c r="A111" s="123">
        <v>109</v>
      </c>
      <c r="B111" s="89" t="s">
        <v>137</v>
      </c>
      <c r="C111" s="94">
        <v>5030786</v>
      </c>
      <c r="D111" s="72">
        <v>6.66</v>
      </c>
      <c r="E111" s="73">
        <f>PRODUCTION!DX111</f>
        <v>0</v>
      </c>
      <c r="F111" s="73">
        <f>' WIP '!DX111</f>
        <v>440</v>
      </c>
      <c r="G111" s="73">
        <f>' FG'!CS111</f>
        <v>1</v>
      </c>
      <c r="H111" s="124">
        <f t="shared" si="3"/>
        <v>441</v>
      </c>
    </row>
    <row r="112" spans="1:8" ht="20.25" x14ac:dyDescent="0.3">
      <c r="A112" s="123">
        <v>110</v>
      </c>
      <c r="B112" s="89" t="s">
        <v>172</v>
      </c>
      <c r="C112" s="94">
        <v>5033855</v>
      </c>
      <c r="D112" s="72">
        <v>103.65</v>
      </c>
      <c r="E112" s="73">
        <f>PRODUCTION!DX112</f>
        <v>0</v>
      </c>
      <c r="F112" s="73">
        <f>' WIP '!DX112</f>
        <v>0</v>
      </c>
      <c r="G112" s="73">
        <f>' FG'!CS112</f>
        <v>0</v>
      </c>
      <c r="H112" s="124">
        <f t="shared" si="3"/>
        <v>0</v>
      </c>
    </row>
    <row r="113" spans="1:8" ht="20.25" x14ac:dyDescent="0.3">
      <c r="A113" s="123">
        <v>111</v>
      </c>
      <c r="B113" s="89" t="s">
        <v>12</v>
      </c>
      <c r="C113" s="94">
        <v>5029670</v>
      </c>
      <c r="D113" s="72">
        <v>59.32</v>
      </c>
      <c r="E113" s="73">
        <f>PRODUCTION!DX113</f>
        <v>0</v>
      </c>
      <c r="F113" s="73">
        <f>' WIP '!DX113</f>
        <v>0</v>
      </c>
      <c r="G113" s="73">
        <f>' FG'!CS113</f>
        <v>0</v>
      </c>
      <c r="H113" s="124">
        <f t="shared" si="3"/>
        <v>0</v>
      </c>
    </row>
    <row r="114" spans="1:8" ht="20.25" x14ac:dyDescent="0.3">
      <c r="A114" s="123">
        <v>112</v>
      </c>
      <c r="B114" s="32" t="s">
        <v>131</v>
      </c>
      <c r="C114" s="74">
        <v>5007007</v>
      </c>
      <c r="D114" s="72">
        <v>7.95</v>
      </c>
      <c r="E114" s="73">
        <f>PRODUCTION!DX114</f>
        <v>0</v>
      </c>
      <c r="F114" s="73">
        <f>' WIP '!DX114</f>
        <v>0</v>
      </c>
      <c r="G114" s="73">
        <f>' FG'!CS114</f>
        <v>0</v>
      </c>
      <c r="H114" s="124">
        <f t="shared" si="3"/>
        <v>0</v>
      </c>
    </row>
    <row r="115" spans="1:8" ht="20.25" x14ac:dyDescent="0.3">
      <c r="A115" s="123">
        <v>113</v>
      </c>
      <c r="B115" s="89" t="s">
        <v>150</v>
      </c>
      <c r="C115" s="94">
        <v>5026025</v>
      </c>
      <c r="D115" s="72">
        <v>92.29</v>
      </c>
      <c r="E115" s="73">
        <f>PRODUCTION!DX115</f>
        <v>0</v>
      </c>
      <c r="F115" s="73">
        <f>' WIP '!DX115</f>
        <v>0</v>
      </c>
      <c r="G115" s="73">
        <f>' FG'!CS115</f>
        <v>0</v>
      </c>
      <c r="H115" s="124">
        <f t="shared" si="3"/>
        <v>0</v>
      </c>
    </row>
    <row r="116" spans="1:8" ht="20.25" x14ac:dyDescent="0.3">
      <c r="A116" s="123">
        <v>114</v>
      </c>
      <c r="B116" s="89"/>
      <c r="C116" s="94">
        <v>5026515</v>
      </c>
      <c r="D116" s="72">
        <v>18.48</v>
      </c>
      <c r="E116" s="73">
        <f>PRODUCTION!DX116</f>
        <v>0</v>
      </c>
      <c r="F116" s="73">
        <f>' WIP '!DX116</f>
        <v>60</v>
      </c>
      <c r="G116" s="73">
        <f>' FG'!CS116</f>
        <v>2960</v>
      </c>
      <c r="H116" s="124">
        <f t="shared" si="3"/>
        <v>3020</v>
      </c>
    </row>
    <row r="117" spans="1:8" ht="20.25" x14ac:dyDescent="0.3">
      <c r="A117" s="123">
        <v>115</v>
      </c>
      <c r="B117" s="89"/>
      <c r="C117" s="94">
        <v>5025642</v>
      </c>
      <c r="D117" s="72">
        <v>27.79</v>
      </c>
      <c r="E117" s="73">
        <f>PRODUCTION!DX117</f>
        <v>0</v>
      </c>
      <c r="F117" s="73">
        <f>' WIP '!DX117</f>
        <v>2080</v>
      </c>
      <c r="G117" s="73">
        <f>' FG'!CS117</f>
        <v>50</v>
      </c>
      <c r="H117" s="124">
        <f t="shared" si="3"/>
        <v>2130</v>
      </c>
    </row>
    <row r="118" spans="1:8" ht="20.25" x14ac:dyDescent="0.3">
      <c r="A118" s="123">
        <v>116</v>
      </c>
      <c r="B118" s="89" t="s">
        <v>156</v>
      </c>
      <c r="C118" s="94">
        <v>5030878</v>
      </c>
      <c r="D118" s="72">
        <v>64.59</v>
      </c>
      <c r="E118" s="73">
        <f>PRODUCTION!DX118</f>
        <v>0</v>
      </c>
      <c r="F118" s="73">
        <f>' WIP '!DX118</f>
        <v>702</v>
      </c>
      <c r="G118" s="73">
        <f>' FG'!CS118</f>
        <v>0</v>
      </c>
      <c r="H118" s="124">
        <f t="shared" si="3"/>
        <v>702</v>
      </c>
    </row>
    <row r="119" spans="1:8" ht="20.25" x14ac:dyDescent="0.3">
      <c r="A119" s="123">
        <v>117</v>
      </c>
      <c r="B119" s="32" t="s">
        <v>197</v>
      </c>
      <c r="C119" s="74">
        <v>5049200</v>
      </c>
      <c r="D119" s="72">
        <v>32.729999999999997</v>
      </c>
      <c r="E119" s="73">
        <f>PRODUCTION!DX119</f>
        <v>0</v>
      </c>
      <c r="F119" s="73">
        <f>' WIP '!DX119</f>
        <v>0</v>
      </c>
      <c r="G119" s="73">
        <f>' FG'!CS119</f>
        <v>0</v>
      </c>
      <c r="H119" s="124">
        <f t="shared" si="3"/>
        <v>0</v>
      </c>
    </row>
    <row r="120" spans="1:8" ht="20.25" x14ac:dyDescent="0.3">
      <c r="A120" s="123">
        <v>118</v>
      </c>
      <c r="B120" s="92" t="s">
        <v>89</v>
      </c>
      <c r="C120" s="96">
        <v>65254</v>
      </c>
      <c r="D120" s="72"/>
      <c r="E120" s="73">
        <f>PRODUCTION!DX120</f>
        <v>0</v>
      </c>
      <c r="F120" s="73">
        <f>' WIP '!DX120</f>
        <v>10</v>
      </c>
      <c r="G120" s="73">
        <f>' FG'!CS120</f>
        <v>0</v>
      </c>
      <c r="H120" s="124">
        <f t="shared" si="3"/>
        <v>10</v>
      </c>
    </row>
    <row r="121" spans="1:8" ht="20.25" x14ac:dyDescent="0.3">
      <c r="A121" s="123">
        <v>119</v>
      </c>
      <c r="B121" s="92" t="s">
        <v>54</v>
      </c>
      <c r="C121" s="96" t="s">
        <v>111</v>
      </c>
      <c r="D121" s="72">
        <v>5</v>
      </c>
      <c r="E121" s="73">
        <f>PRODUCTION!DX121</f>
        <v>0</v>
      </c>
      <c r="F121" s="73">
        <f>' WIP '!DX121</f>
        <v>12714</v>
      </c>
      <c r="G121" s="73">
        <f>' FG'!CS121</f>
        <v>0</v>
      </c>
      <c r="H121" s="124">
        <f t="shared" si="3"/>
        <v>12714</v>
      </c>
    </row>
    <row r="122" spans="1:8" ht="20.25" x14ac:dyDescent="0.3">
      <c r="A122" s="123">
        <v>120</v>
      </c>
      <c r="B122" s="92" t="s">
        <v>55</v>
      </c>
      <c r="C122" s="96" t="s">
        <v>56</v>
      </c>
      <c r="D122" s="72">
        <v>5.2</v>
      </c>
      <c r="E122" s="73">
        <f>PRODUCTION!DX122</f>
        <v>0</v>
      </c>
      <c r="F122" s="73">
        <f>' WIP '!DX122</f>
        <v>19328</v>
      </c>
      <c r="G122" s="73">
        <f>' FG'!CS122</f>
        <v>0</v>
      </c>
      <c r="H122" s="124">
        <f t="shared" si="3"/>
        <v>19328</v>
      </c>
    </row>
    <row r="123" spans="1:8" ht="20.25" x14ac:dyDescent="0.3">
      <c r="A123" s="123">
        <v>121</v>
      </c>
      <c r="B123" s="92" t="s">
        <v>57</v>
      </c>
      <c r="C123" s="96" t="s">
        <v>58</v>
      </c>
      <c r="D123" s="72">
        <v>4.76</v>
      </c>
      <c r="E123" s="73">
        <f>PRODUCTION!DX123</f>
        <v>0</v>
      </c>
      <c r="F123" s="73">
        <f>' WIP '!DX123</f>
        <v>4080</v>
      </c>
      <c r="G123" s="73">
        <f>' FG'!CS123</f>
        <v>0</v>
      </c>
      <c r="H123" s="124">
        <f t="shared" si="3"/>
        <v>4080</v>
      </c>
    </row>
    <row r="124" spans="1:8" ht="20.25" x14ac:dyDescent="0.3">
      <c r="A124" s="123">
        <v>122</v>
      </c>
      <c r="B124" s="92" t="s">
        <v>177</v>
      </c>
      <c r="C124" s="96" t="s">
        <v>176</v>
      </c>
      <c r="D124" s="72">
        <v>2.5499999999999998</v>
      </c>
      <c r="E124" s="73">
        <f>PRODUCTION!DX124</f>
        <v>0</v>
      </c>
      <c r="F124" s="73">
        <f>' WIP '!DX124</f>
        <v>-4950</v>
      </c>
      <c r="G124" s="73">
        <f>' FG'!CS124</f>
        <v>0</v>
      </c>
      <c r="H124" s="124">
        <f t="shared" si="3"/>
        <v>-4950</v>
      </c>
    </row>
    <row r="125" spans="1:8" ht="20.25" x14ac:dyDescent="0.3">
      <c r="A125" s="123">
        <v>123</v>
      </c>
      <c r="B125" s="92" t="s">
        <v>59</v>
      </c>
      <c r="C125" s="96" t="s">
        <v>60</v>
      </c>
      <c r="D125" s="72">
        <v>5.65</v>
      </c>
      <c r="E125" s="73">
        <f>PRODUCTION!DX125</f>
        <v>0</v>
      </c>
      <c r="F125" s="73">
        <f>' WIP '!DX125</f>
        <v>213</v>
      </c>
      <c r="G125" s="73">
        <f>' FG'!CS125</f>
        <v>0</v>
      </c>
      <c r="H125" s="124">
        <f t="shared" si="3"/>
        <v>213</v>
      </c>
    </row>
    <row r="126" spans="1:8" ht="20.25" x14ac:dyDescent="0.3">
      <c r="A126" s="123">
        <v>124</v>
      </c>
      <c r="B126" s="92" t="s">
        <v>61</v>
      </c>
      <c r="C126" s="96" t="s">
        <v>62</v>
      </c>
      <c r="D126" s="72">
        <v>5.65</v>
      </c>
      <c r="E126" s="73">
        <f>PRODUCTION!DX126</f>
        <v>0</v>
      </c>
      <c r="F126" s="73">
        <f>' WIP '!DX126</f>
        <v>1194</v>
      </c>
      <c r="G126" s="73">
        <f>' FG'!CS126</f>
        <v>0</v>
      </c>
      <c r="H126" s="124">
        <f t="shared" si="3"/>
        <v>1194</v>
      </c>
    </row>
    <row r="127" spans="1:8" ht="20.25" x14ac:dyDescent="0.3">
      <c r="A127" s="123">
        <v>125</v>
      </c>
      <c r="B127" s="35" t="s">
        <v>194</v>
      </c>
      <c r="C127" s="96" t="s">
        <v>195</v>
      </c>
      <c r="D127" s="72">
        <v>13.35</v>
      </c>
      <c r="E127" s="73">
        <f>PRODUCTION!DX127</f>
        <v>0</v>
      </c>
      <c r="F127" s="73">
        <f>' WIP '!DX127</f>
        <v>1836</v>
      </c>
      <c r="G127" s="73">
        <f>' FG'!CS127</f>
        <v>0</v>
      </c>
      <c r="H127" s="124">
        <f t="shared" si="3"/>
        <v>1836</v>
      </c>
    </row>
    <row r="128" spans="1:8" ht="20.25" x14ac:dyDescent="0.3">
      <c r="A128" s="123">
        <v>126</v>
      </c>
      <c r="B128" s="92" t="s">
        <v>63</v>
      </c>
      <c r="C128" s="96" t="s">
        <v>64</v>
      </c>
      <c r="D128" s="72">
        <v>3.61</v>
      </c>
      <c r="E128" s="73">
        <f>PRODUCTION!DX128</f>
        <v>0</v>
      </c>
      <c r="F128" s="73">
        <f>' WIP '!DX128</f>
        <v>7685</v>
      </c>
      <c r="G128" s="73">
        <f>' FG'!CS128</f>
        <v>0</v>
      </c>
      <c r="H128" s="124">
        <f t="shared" si="3"/>
        <v>7685</v>
      </c>
    </row>
    <row r="129" spans="1:8" ht="20.25" x14ac:dyDescent="0.3">
      <c r="A129" s="123">
        <v>127</v>
      </c>
      <c r="B129" s="35" t="s">
        <v>65</v>
      </c>
      <c r="C129" s="96">
        <v>62207</v>
      </c>
      <c r="D129" s="72">
        <v>8.41</v>
      </c>
      <c r="E129" s="73">
        <f>PRODUCTION!DX129</f>
        <v>0</v>
      </c>
      <c r="F129" s="73">
        <f>' WIP '!DX129</f>
        <v>0</v>
      </c>
      <c r="G129" s="73">
        <f>' FG'!CS129</f>
        <v>0</v>
      </c>
      <c r="H129" s="124">
        <f t="shared" si="3"/>
        <v>0</v>
      </c>
    </row>
    <row r="130" spans="1:8" ht="20.25" x14ac:dyDescent="0.3">
      <c r="A130" s="123">
        <v>128</v>
      </c>
      <c r="B130" s="92" t="s">
        <v>66</v>
      </c>
      <c r="C130" s="97">
        <v>61577</v>
      </c>
      <c r="D130" s="72">
        <v>1.69</v>
      </c>
      <c r="E130" s="73">
        <f>PRODUCTION!DX130</f>
        <v>0</v>
      </c>
      <c r="F130" s="73">
        <f>' WIP '!DX130</f>
        <v>19807</v>
      </c>
      <c r="G130" s="73">
        <f>' FG'!CS130</f>
        <v>0</v>
      </c>
      <c r="H130" s="124">
        <f t="shared" si="3"/>
        <v>19807</v>
      </c>
    </row>
    <row r="131" spans="1:8" ht="20.25" x14ac:dyDescent="0.3">
      <c r="A131" s="123">
        <v>129</v>
      </c>
      <c r="B131" s="92" t="s">
        <v>67</v>
      </c>
      <c r="C131" s="97">
        <v>62153</v>
      </c>
      <c r="D131" s="72">
        <v>1.22</v>
      </c>
      <c r="E131" s="73">
        <f>PRODUCTION!DX131</f>
        <v>0</v>
      </c>
      <c r="F131" s="73">
        <f>' WIP '!DX131</f>
        <v>513</v>
      </c>
      <c r="G131" s="73">
        <f>' FG'!CS131</f>
        <v>10000</v>
      </c>
      <c r="H131" s="124">
        <f t="shared" ref="H131:H162" si="4">SUM(E131:G131)</f>
        <v>10513</v>
      </c>
    </row>
    <row r="132" spans="1:8" ht="20.25" x14ac:dyDescent="0.3">
      <c r="A132" s="123">
        <v>130</v>
      </c>
      <c r="B132" s="92" t="s">
        <v>68</v>
      </c>
      <c r="C132" s="97">
        <v>62286</v>
      </c>
      <c r="D132" s="72">
        <v>3.09</v>
      </c>
      <c r="E132" s="73">
        <f>PRODUCTION!DX132</f>
        <v>0</v>
      </c>
      <c r="F132" s="73">
        <f>' WIP '!DX132</f>
        <v>-1901</v>
      </c>
      <c r="G132" s="73">
        <f>' FG'!CS132</f>
        <v>0</v>
      </c>
      <c r="H132" s="124">
        <f t="shared" si="4"/>
        <v>-1901</v>
      </c>
    </row>
    <row r="133" spans="1:8" ht="20.25" x14ac:dyDescent="0.3">
      <c r="A133" s="123">
        <v>131</v>
      </c>
      <c r="B133" s="92" t="s">
        <v>69</v>
      </c>
      <c r="C133" s="96" t="s">
        <v>70</v>
      </c>
      <c r="D133" s="72">
        <v>0.98</v>
      </c>
      <c r="E133" s="73">
        <f>PRODUCTION!DX133</f>
        <v>0</v>
      </c>
      <c r="F133" s="73">
        <f>' WIP '!DX133</f>
        <v>8685</v>
      </c>
      <c r="G133" s="73">
        <f>' FG'!CS133</f>
        <v>0</v>
      </c>
      <c r="H133" s="124">
        <f t="shared" si="4"/>
        <v>8685</v>
      </c>
    </row>
    <row r="134" spans="1:8" ht="20.25" x14ac:dyDescent="0.3">
      <c r="A134" s="123">
        <v>132</v>
      </c>
      <c r="B134" s="92" t="s">
        <v>71</v>
      </c>
      <c r="C134" s="97">
        <v>62311</v>
      </c>
      <c r="D134" s="72">
        <v>2.46</v>
      </c>
      <c r="E134" s="73">
        <f>PRODUCTION!DX134</f>
        <v>0</v>
      </c>
      <c r="F134" s="73">
        <f>' WIP '!DX134</f>
        <v>2445</v>
      </c>
      <c r="G134" s="73">
        <f>' FG'!CS134</f>
        <v>0</v>
      </c>
      <c r="H134" s="124">
        <f t="shared" si="4"/>
        <v>2445</v>
      </c>
    </row>
    <row r="135" spans="1:8" ht="20.25" x14ac:dyDescent="0.3">
      <c r="A135" s="123">
        <v>133</v>
      </c>
      <c r="B135" s="92" t="s">
        <v>72</v>
      </c>
      <c r="C135" s="97">
        <v>62368</v>
      </c>
      <c r="D135" s="72">
        <v>2.46</v>
      </c>
      <c r="E135" s="73">
        <f>PRODUCTION!DX135</f>
        <v>0</v>
      </c>
      <c r="F135" s="73">
        <f>' WIP '!DX135</f>
        <v>2404</v>
      </c>
      <c r="G135" s="73">
        <f>' FG'!CS135</f>
        <v>0</v>
      </c>
      <c r="H135" s="124">
        <f t="shared" si="4"/>
        <v>2404</v>
      </c>
    </row>
    <row r="136" spans="1:8" ht="20.25" x14ac:dyDescent="0.3">
      <c r="A136" s="123">
        <v>134</v>
      </c>
      <c r="B136" s="92" t="s">
        <v>73</v>
      </c>
      <c r="C136" s="97">
        <v>61984</v>
      </c>
      <c r="D136" s="72">
        <v>1.69</v>
      </c>
      <c r="E136" s="73">
        <f>PRODUCTION!DX136</f>
        <v>0</v>
      </c>
      <c r="F136" s="73">
        <f>' WIP '!DX136</f>
        <v>21009</v>
      </c>
      <c r="G136" s="73">
        <f>' FG'!CS136</f>
        <v>0</v>
      </c>
      <c r="H136" s="124">
        <f t="shared" si="4"/>
        <v>21009</v>
      </c>
    </row>
    <row r="137" spans="1:8" ht="20.25" x14ac:dyDescent="0.3">
      <c r="A137" s="123">
        <v>135</v>
      </c>
      <c r="B137" s="92" t="s">
        <v>74</v>
      </c>
      <c r="C137" s="98" t="s">
        <v>75</v>
      </c>
      <c r="D137" s="72">
        <v>1.69</v>
      </c>
      <c r="E137" s="73">
        <f>PRODUCTION!DX137</f>
        <v>0</v>
      </c>
      <c r="F137" s="73">
        <f>' WIP '!DX137</f>
        <v>30425</v>
      </c>
      <c r="G137" s="73">
        <f>' FG'!CS137</f>
        <v>0</v>
      </c>
      <c r="H137" s="124">
        <f t="shared" si="4"/>
        <v>30425</v>
      </c>
    </row>
    <row r="138" spans="1:8" ht="20.25" x14ac:dyDescent="0.3">
      <c r="A138" s="123">
        <v>136</v>
      </c>
      <c r="B138" s="92" t="s">
        <v>192</v>
      </c>
      <c r="C138" s="98" t="s">
        <v>193</v>
      </c>
      <c r="D138" s="72">
        <v>13.35</v>
      </c>
      <c r="E138" s="73">
        <f>PRODUCTION!DX138</f>
        <v>0</v>
      </c>
      <c r="F138" s="73">
        <f>' WIP '!DX138</f>
        <v>1836</v>
      </c>
      <c r="G138" s="73">
        <f>' FG'!CS138</f>
        <v>0</v>
      </c>
      <c r="H138" s="124">
        <f t="shared" si="4"/>
        <v>1836</v>
      </c>
    </row>
    <row r="139" spans="1:8" ht="20.25" x14ac:dyDescent="0.3">
      <c r="A139" s="123">
        <v>137</v>
      </c>
      <c r="B139" s="92" t="s">
        <v>76</v>
      </c>
      <c r="C139" s="99">
        <v>62185</v>
      </c>
      <c r="D139" s="72">
        <v>16.48</v>
      </c>
      <c r="E139" s="73">
        <f>PRODUCTION!DX139</f>
        <v>0</v>
      </c>
      <c r="F139" s="73">
        <f>' WIP '!DX139</f>
        <v>0</v>
      </c>
      <c r="G139" s="73">
        <f>' FG'!CS139</f>
        <v>0</v>
      </c>
      <c r="H139" s="124">
        <f t="shared" si="4"/>
        <v>0</v>
      </c>
    </row>
    <row r="140" spans="1:8" ht="20.25" x14ac:dyDescent="0.3">
      <c r="A140" s="123">
        <v>138</v>
      </c>
      <c r="B140" s="92" t="s">
        <v>77</v>
      </c>
      <c r="C140" s="98" t="s">
        <v>78</v>
      </c>
      <c r="D140" s="72">
        <v>2.42</v>
      </c>
      <c r="E140" s="73">
        <f>PRODUCTION!DX140</f>
        <v>0</v>
      </c>
      <c r="F140" s="73">
        <f>' WIP '!DX140</f>
        <v>3094</v>
      </c>
      <c r="G140" s="73">
        <f>' FG'!CS140</f>
        <v>0</v>
      </c>
      <c r="H140" s="124">
        <f t="shared" si="4"/>
        <v>3094</v>
      </c>
    </row>
    <row r="141" spans="1:8" ht="20.25" x14ac:dyDescent="0.3">
      <c r="A141" s="123">
        <v>139</v>
      </c>
      <c r="B141" s="92" t="s">
        <v>79</v>
      </c>
      <c r="C141" s="98" t="s">
        <v>80</v>
      </c>
      <c r="D141" s="72">
        <v>16.329999999999998</v>
      </c>
      <c r="E141" s="73">
        <f>PRODUCTION!DX141</f>
        <v>0</v>
      </c>
      <c r="F141" s="73">
        <f>' WIP '!DX141</f>
        <v>2417</v>
      </c>
      <c r="G141" s="73">
        <f>' FG'!CS141</f>
        <v>0</v>
      </c>
      <c r="H141" s="124">
        <f t="shared" si="4"/>
        <v>2417</v>
      </c>
    </row>
    <row r="142" spans="1:8" ht="20.25" x14ac:dyDescent="0.3">
      <c r="A142" s="123">
        <v>140</v>
      </c>
      <c r="B142" s="92" t="s">
        <v>81</v>
      </c>
      <c r="C142" s="98" t="s">
        <v>138</v>
      </c>
      <c r="D142" s="72">
        <v>5.18</v>
      </c>
      <c r="E142" s="73">
        <f>PRODUCTION!DX142</f>
        <v>0</v>
      </c>
      <c r="F142" s="73">
        <f>' WIP '!DX142</f>
        <v>5351</v>
      </c>
      <c r="G142" s="73">
        <f>' FG'!CS142</f>
        <v>0</v>
      </c>
      <c r="H142" s="124">
        <f t="shared" si="4"/>
        <v>5351</v>
      </c>
    </row>
    <row r="143" spans="1:8" ht="20.25" x14ac:dyDescent="0.3">
      <c r="A143" s="123">
        <v>141</v>
      </c>
      <c r="B143" s="92" t="s">
        <v>82</v>
      </c>
      <c r="C143" s="98" t="s">
        <v>83</v>
      </c>
      <c r="D143" s="72">
        <v>5.18</v>
      </c>
      <c r="E143" s="73">
        <f>PRODUCTION!DX143</f>
        <v>0</v>
      </c>
      <c r="F143" s="73">
        <f>' WIP '!DX143</f>
        <v>2274</v>
      </c>
      <c r="G143" s="73">
        <f>' FG'!CS143</f>
        <v>0</v>
      </c>
      <c r="H143" s="124">
        <f t="shared" si="4"/>
        <v>2274</v>
      </c>
    </row>
    <row r="144" spans="1:8" ht="20.25" x14ac:dyDescent="0.3">
      <c r="A144" s="123">
        <v>142</v>
      </c>
      <c r="B144" s="92" t="s">
        <v>84</v>
      </c>
      <c r="C144" s="99">
        <v>62598</v>
      </c>
      <c r="D144" s="72">
        <v>0.63</v>
      </c>
      <c r="E144" s="73">
        <f>PRODUCTION!DX144</f>
        <v>0</v>
      </c>
      <c r="F144" s="73">
        <f>' WIP '!DX144</f>
        <v>960</v>
      </c>
      <c r="G144" s="73">
        <f>' FG'!CS144</f>
        <v>0</v>
      </c>
      <c r="H144" s="124">
        <f t="shared" si="4"/>
        <v>960</v>
      </c>
    </row>
    <row r="145" spans="1:8" ht="20.25" x14ac:dyDescent="0.3">
      <c r="A145" s="123">
        <v>143</v>
      </c>
      <c r="B145" s="92" t="s">
        <v>84</v>
      </c>
      <c r="C145" s="99">
        <v>62129</v>
      </c>
      <c r="D145" s="72">
        <v>1.7</v>
      </c>
      <c r="E145" s="73">
        <f>PRODUCTION!DX145</f>
        <v>0</v>
      </c>
      <c r="F145" s="73">
        <f>' WIP '!DX145</f>
        <v>10010</v>
      </c>
      <c r="G145" s="73">
        <f>' FG'!CS145</f>
        <v>0</v>
      </c>
      <c r="H145" s="124">
        <f t="shared" si="4"/>
        <v>10010</v>
      </c>
    </row>
    <row r="146" spans="1:8" ht="20.25" x14ac:dyDescent="0.3">
      <c r="A146" s="123">
        <v>144</v>
      </c>
      <c r="B146" s="92" t="s">
        <v>85</v>
      </c>
      <c r="C146" s="99">
        <v>62437</v>
      </c>
      <c r="D146" s="72">
        <v>2.11</v>
      </c>
      <c r="E146" s="73">
        <f>PRODUCTION!DX146</f>
        <v>0</v>
      </c>
      <c r="F146" s="73">
        <f>' WIP '!DX146</f>
        <v>8159</v>
      </c>
      <c r="G146" s="73">
        <f>' FG'!CS146</f>
        <v>0</v>
      </c>
      <c r="H146" s="124">
        <f t="shared" si="4"/>
        <v>8159</v>
      </c>
    </row>
    <row r="147" spans="1:8" ht="20.25" x14ac:dyDescent="0.3">
      <c r="A147" s="123">
        <v>145</v>
      </c>
      <c r="B147" s="92" t="s">
        <v>86</v>
      </c>
      <c r="C147" s="99">
        <v>62438</v>
      </c>
      <c r="D147" s="72">
        <v>0.88</v>
      </c>
      <c r="E147" s="73">
        <f>PRODUCTION!DX147</f>
        <v>0</v>
      </c>
      <c r="F147" s="73">
        <f>' WIP '!DX147</f>
        <v>10201</v>
      </c>
      <c r="G147" s="73">
        <f>' FG'!CS147</f>
        <v>0</v>
      </c>
      <c r="H147" s="124">
        <f t="shared" si="4"/>
        <v>10201</v>
      </c>
    </row>
    <row r="148" spans="1:8" ht="20.25" x14ac:dyDescent="0.3">
      <c r="A148" s="123">
        <v>146</v>
      </c>
      <c r="B148" s="92" t="s">
        <v>87</v>
      </c>
      <c r="C148" s="99">
        <v>62481</v>
      </c>
      <c r="D148" s="72">
        <v>1.22</v>
      </c>
      <c r="E148" s="73">
        <f>PRODUCTION!DX148</f>
        <v>0</v>
      </c>
      <c r="F148" s="73">
        <f>' WIP '!DX148</f>
        <v>3506</v>
      </c>
      <c r="G148" s="73">
        <f>' FG'!CS148</f>
        <v>0</v>
      </c>
      <c r="H148" s="124">
        <f t="shared" si="4"/>
        <v>3506</v>
      </c>
    </row>
    <row r="149" spans="1:8" ht="20.25" x14ac:dyDescent="0.3">
      <c r="A149" s="123">
        <v>147</v>
      </c>
      <c r="B149" s="35" t="s">
        <v>88</v>
      </c>
      <c r="C149" s="140">
        <v>62486</v>
      </c>
      <c r="D149" s="72">
        <v>0.27</v>
      </c>
      <c r="E149" s="73">
        <f>PRODUCTION!DX149</f>
        <v>0</v>
      </c>
      <c r="F149" s="73">
        <f>' WIP '!DX149</f>
        <v>0</v>
      </c>
      <c r="G149" s="73">
        <f>' FG'!CS149</f>
        <v>0</v>
      </c>
      <c r="H149" s="124">
        <f t="shared" si="4"/>
        <v>0</v>
      </c>
    </row>
    <row r="150" spans="1:8" ht="20.25" x14ac:dyDescent="0.3">
      <c r="A150" s="123">
        <v>148</v>
      </c>
      <c r="B150" s="92" t="s">
        <v>89</v>
      </c>
      <c r="C150" s="99">
        <v>62487</v>
      </c>
      <c r="D150" s="72">
        <v>0.28999999999999998</v>
      </c>
      <c r="E150" s="73">
        <f>PRODUCTION!DX150</f>
        <v>0</v>
      </c>
      <c r="F150" s="73">
        <f>' WIP '!DX150</f>
        <v>2737</v>
      </c>
      <c r="G150" s="73">
        <f>' FG'!CS150</f>
        <v>0</v>
      </c>
      <c r="H150" s="124">
        <f t="shared" si="4"/>
        <v>2737</v>
      </c>
    </row>
    <row r="151" spans="1:8" ht="20.25" x14ac:dyDescent="0.3">
      <c r="A151" s="123">
        <v>149</v>
      </c>
      <c r="B151" s="92" t="s">
        <v>90</v>
      </c>
      <c r="C151" s="99">
        <v>70025</v>
      </c>
      <c r="D151" s="72">
        <v>2.04</v>
      </c>
      <c r="E151" s="73">
        <f>PRODUCTION!DX151</f>
        <v>0</v>
      </c>
      <c r="F151" s="73">
        <f>' WIP '!DX151</f>
        <v>375</v>
      </c>
      <c r="G151" s="73">
        <f>' FG'!CS151</f>
        <v>3600</v>
      </c>
      <c r="H151" s="124">
        <f t="shared" si="4"/>
        <v>3975</v>
      </c>
    </row>
    <row r="152" spans="1:8" ht="20.25" x14ac:dyDescent="0.3">
      <c r="A152" s="123">
        <v>150</v>
      </c>
      <c r="B152" s="92" t="s">
        <v>90</v>
      </c>
      <c r="C152" s="99">
        <v>70026</v>
      </c>
      <c r="D152" s="72">
        <v>1.23</v>
      </c>
      <c r="E152" s="73">
        <f>PRODUCTION!DX152</f>
        <v>0</v>
      </c>
      <c r="F152" s="73">
        <f>' WIP '!DX152</f>
        <v>427</v>
      </c>
      <c r="G152" s="73">
        <f>' FG'!CS152</f>
        <v>0</v>
      </c>
      <c r="H152" s="124">
        <f t="shared" si="4"/>
        <v>427</v>
      </c>
    </row>
    <row r="153" spans="1:8" ht="20.25" x14ac:dyDescent="0.3">
      <c r="A153" s="123">
        <v>151</v>
      </c>
      <c r="B153" s="92" t="s">
        <v>91</v>
      </c>
      <c r="C153" s="99">
        <v>70007</v>
      </c>
      <c r="D153" s="72">
        <v>5.58</v>
      </c>
      <c r="E153" s="73">
        <f>PRODUCTION!DX153</f>
        <v>0</v>
      </c>
      <c r="F153" s="73">
        <f>' WIP '!DX153</f>
        <v>1822</v>
      </c>
      <c r="G153" s="73">
        <f>' FG'!CS153</f>
        <v>0</v>
      </c>
      <c r="H153" s="124">
        <f t="shared" si="4"/>
        <v>1822</v>
      </c>
    </row>
    <row r="154" spans="1:8" ht="20.25" x14ac:dyDescent="0.3">
      <c r="A154" s="123">
        <v>152</v>
      </c>
      <c r="B154" s="92" t="s">
        <v>92</v>
      </c>
      <c r="C154" s="99">
        <v>70005</v>
      </c>
      <c r="D154" s="72">
        <v>7.29</v>
      </c>
      <c r="E154" s="73">
        <f>PRODUCTION!DX154</f>
        <v>0</v>
      </c>
      <c r="F154" s="73">
        <f>' WIP '!DX154</f>
        <v>3944</v>
      </c>
      <c r="G154" s="73">
        <f>' FG'!CS154</f>
        <v>0</v>
      </c>
      <c r="H154" s="124">
        <f t="shared" si="4"/>
        <v>3944</v>
      </c>
    </row>
    <row r="155" spans="1:8" ht="20.25" x14ac:dyDescent="0.3">
      <c r="A155" s="123">
        <v>153</v>
      </c>
      <c r="B155" s="92" t="s">
        <v>89</v>
      </c>
      <c r="C155" s="99">
        <v>62543</v>
      </c>
      <c r="D155" s="72">
        <v>0.96</v>
      </c>
      <c r="E155" s="73">
        <f>PRODUCTION!DX155</f>
        <v>0</v>
      </c>
      <c r="F155" s="73">
        <f>' WIP '!DX155</f>
        <v>1000</v>
      </c>
      <c r="G155" s="73">
        <f>' FG'!CS155</f>
        <v>0</v>
      </c>
      <c r="H155" s="124">
        <f t="shared" si="4"/>
        <v>1000</v>
      </c>
    </row>
    <row r="156" spans="1:8" ht="20.25" x14ac:dyDescent="0.3">
      <c r="A156" s="123">
        <v>154</v>
      </c>
      <c r="B156" s="92" t="s">
        <v>93</v>
      </c>
      <c r="C156" s="99">
        <v>62620</v>
      </c>
      <c r="D156" s="72"/>
      <c r="E156" s="73">
        <f>PRODUCTION!DX156</f>
        <v>0</v>
      </c>
      <c r="F156" s="73">
        <f>' WIP '!DX156</f>
        <v>698</v>
      </c>
      <c r="G156" s="73">
        <f>' FG'!CS156</f>
        <v>0</v>
      </c>
      <c r="H156" s="124">
        <f t="shared" si="4"/>
        <v>698</v>
      </c>
    </row>
    <row r="157" spans="1:8" ht="20.25" x14ac:dyDescent="0.3">
      <c r="A157" s="123">
        <v>155</v>
      </c>
      <c r="B157" s="92" t="s">
        <v>94</v>
      </c>
      <c r="C157" s="99">
        <v>62625</v>
      </c>
      <c r="D157" s="72">
        <v>1.21</v>
      </c>
      <c r="E157" s="73">
        <f>PRODUCTION!DX157</f>
        <v>0</v>
      </c>
      <c r="F157" s="73">
        <f>' WIP '!DX157</f>
        <v>537</v>
      </c>
      <c r="G157" s="73">
        <f>' FG'!CS157</f>
        <v>0</v>
      </c>
      <c r="H157" s="124">
        <f t="shared" si="4"/>
        <v>537</v>
      </c>
    </row>
    <row r="158" spans="1:8" ht="20.25" x14ac:dyDescent="0.3">
      <c r="A158" s="123">
        <v>156</v>
      </c>
      <c r="B158" s="92" t="s">
        <v>89</v>
      </c>
      <c r="C158" s="99">
        <v>62591</v>
      </c>
      <c r="D158" s="72">
        <v>1.21</v>
      </c>
      <c r="E158" s="73">
        <f>PRODUCTION!DX158</f>
        <v>0</v>
      </c>
      <c r="F158" s="73">
        <f>' WIP '!DX158</f>
        <v>6730</v>
      </c>
      <c r="G158" s="73">
        <f>' FG'!CS158</f>
        <v>0</v>
      </c>
      <c r="H158" s="124">
        <f t="shared" si="4"/>
        <v>6730</v>
      </c>
    </row>
    <row r="159" spans="1:8" ht="20.25" x14ac:dyDescent="0.3">
      <c r="A159" s="123">
        <v>157</v>
      </c>
      <c r="B159" s="92" t="s">
        <v>95</v>
      </c>
      <c r="C159" s="99">
        <v>62479</v>
      </c>
      <c r="D159" s="72">
        <v>2.33</v>
      </c>
      <c r="E159" s="73">
        <f>PRODUCTION!DX159</f>
        <v>0</v>
      </c>
      <c r="F159" s="73">
        <f>' WIP '!DX159</f>
        <v>0</v>
      </c>
      <c r="G159" s="73">
        <f>' FG'!CS159</f>
        <v>0</v>
      </c>
      <c r="H159" s="124">
        <f t="shared" si="4"/>
        <v>0</v>
      </c>
    </row>
    <row r="160" spans="1:8" ht="20.25" x14ac:dyDescent="0.3">
      <c r="A160" s="123">
        <v>158</v>
      </c>
      <c r="B160" s="92" t="s">
        <v>96</v>
      </c>
      <c r="C160" s="99">
        <v>62624</v>
      </c>
      <c r="D160" s="72">
        <v>0.72</v>
      </c>
      <c r="E160" s="73">
        <f>PRODUCTION!DX160</f>
        <v>0</v>
      </c>
      <c r="F160" s="73">
        <f>' WIP '!DX160</f>
        <v>7373</v>
      </c>
      <c r="G160" s="73">
        <f>' FG'!CS160</f>
        <v>0</v>
      </c>
      <c r="H160" s="124">
        <f t="shared" si="4"/>
        <v>7373</v>
      </c>
    </row>
    <row r="161" spans="1:8" ht="20.25" x14ac:dyDescent="0.3">
      <c r="A161" s="123">
        <v>159</v>
      </c>
      <c r="B161" s="35" t="s">
        <v>97</v>
      </c>
      <c r="C161" s="88" t="s">
        <v>98</v>
      </c>
      <c r="D161" s="72">
        <v>14.19</v>
      </c>
      <c r="E161" s="73">
        <f>PRODUCTION!DX161</f>
        <v>0</v>
      </c>
      <c r="F161" s="73">
        <f>' WIP '!DX161</f>
        <v>0</v>
      </c>
      <c r="G161" s="73">
        <f>' FG'!CS161</f>
        <v>0</v>
      </c>
      <c r="H161" s="124">
        <f t="shared" si="4"/>
        <v>0</v>
      </c>
    </row>
    <row r="162" spans="1:8" ht="20.25" x14ac:dyDescent="0.3">
      <c r="A162" s="123">
        <v>160</v>
      </c>
      <c r="B162" s="92" t="s">
        <v>99</v>
      </c>
      <c r="C162" s="98" t="s">
        <v>100</v>
      </c>
      <c r="D162" s="72">
        <v>1.63</v>
      </c>
      <c r="E162" s="73">
        <f>PRODUCTION!DX162</f>
        <v>0</v>
      </c>
      <c r="F162" s="73">
        <f>' WIP '!DX162</f>
        <v>14208</v>
      </c>
      <c r="G162" s="73">
        <f>' FG'!CS162</f>
        <v>0</v>
      </c>
      <c r="H162" s="124">
        <f t="shared" si="4"/>
        <v>14208</v>
      </c>
    </row>
    <row r="163" spans="1:8" ht="20.25" x14ac:dyDescent="0.3">
      <c r="A163" s="123">
        <v>161</v>
      </c>
      <c r="B163" s="92" t="s">
        <v>101</v>
      </c>
      <c r="C163" s="98" t="s">
        <v>102</v>
      </c>
      <c r="D163" s="72">
        <v>1.63</v>
      </c>
      <c r="E163" s="73">
        <f>PRODUCTION!DX163</f>
        <v>0</v>
      </c>
      <c r="F163" s="73">
        <f>' WIP '!DX163</f>
        <v>-2313</v>
      </c>
      <c r="G163" s="73">
        <f>' FG'!CS163</f>
        <v>0</v>
      </c>
      <c r="H163" s="124">
        <f t="shared" ref="H163:H194" si="5">SUM(E163:G163)</f>
        <v>-2313</v>
      </c>
    </row>
    <row r="164" spans="1:8" ht="20.25" x14ac:dyDescent="0.3">
      <c r="A164" s="123">
        <v>162</v>
      </c>
      <c r="B164" s="92" t="s">
        <v>133</v>
      </c>
      <c r="C164" s="99">
        <v>62124</v>
      </c>
      <c r="D164" s="72">
        <v>2.76</v>
      </c>
      <c r="E164" s="73">
        <f>PRODUCTION!DX164</f>
        <v>0</v>
      </c>
      <c r="F164" s="73">
        <f>' WIP '!DX164</f>
        <v>13580</v>
      </c>
      <c r="G164" s="73">
        <f>' FG'!CS164</f>
        <v>0</v>
      </c>
      <c r="H164" s="124">
        <f t="shared" si="5"/>
        <v>13580</v>
      </c>
    </row>
    <row r="165" spans="1:8" ht="20.25" x14ac:dyDescent="0.3">
      <c r="A165" s="123">
        <v>163</v>
      </c>
      <c r="B165" s="92" t="s">
        <v>103</v>
      </c>
      <c r="C165" s="99">
        <v>60250</v>
      </c>
      <c r="D165" s="72">
        <v>0.84</v>
      </c>
      <c r="E165" s="73">
        <f>PRODUCTION!DX165</f>
        <v>0</v>
      </c>
      <c r="F165" s="73">
        <f>' WIP '!DX165</f>
        <v>52600</v>
      </c>
      <c r="G165" s="73">
        <f>' FG'!CS165</f>
        <v>0</v>
      </c>
      <c r="H165" s="124">
        <f t="shared" si="5"/>
        <v>52600</v>
      </c>
    </row>
    <row r="166" spans="1:8" ht="20.25" x14ac:dyDescent="0.3">
      <c r="A166" s="123">
        <v>164</v>
      </c>
      <c r="B166" s="35" t="s">
        <v>76</v>
      </c>
      <c r="C166" s="88">
        <v>62182</v>
      </c>
      <c r="D166" s="72">
        <v>16.850000000000001</v>
      </c>
      <c r="E166" s="73">
        <f>PRODUCTION!DX166</f>
        <v>0</v>
      </c>
      <c r="F166" s="73">
        <f>' WIP '!DX166</f>
        <v>3505</v>
      </c>
      <c r="G166" s="73">
        <f>' FG'!CS166</f>
        <v>0</v>
      </c>
      <c r="H166" s="124">
        <f t="shared" si="5"/>
        <v>3505</v>
      </c>
    </row>
    <row r="167" spans="1:8" ht="20.25" x14ac:dyDescent="0.3">
      <c r="A167" s="123">
        <v>165</v>
      </c>
      <c r="B167" s="92" t="s">
        <v>139</v>
      </c>
      <c r="C167" s="98">
        <v>626778</v>
      </c>
      <c r="D167" s="72">
        <v>1.69</v>
      </c>
      <c r="E167" s="73">
        <f>PRODUCTION!DX167</f>
        <v>0</v>
      </c>
      <c r="F167" s="73">
        <f>' WIP '!DX167</f>
        <v>2553</v>
      </c>
      <c r="G167" s="73">
        <f>' FG'!CS167</f>
        <v>0</v>
      </c>
      <c r="H167" s="124">
        <f t="shared" si="5"/>
        <v>2553</v>
      </c>
    </row>
    <row r="168" spans="1:8" ht="20.25" x14ac:dyDescent="0.3">
      <c r="A168" s="123">
        <v>166</v>
      </c>
      <c r="B168" s="92" t="s">
        <v>141</v>
      </c>
      <c r="C168" s="98" t="s">
        <v>140</v>
      </c>
      <c r="D168" s="72">
        <v>4.4800000000000004</v>
      </c>
      <c r="E168" s="73">
        <f>PRODUCTION!DX168</f>
        <v>0</v>
      </c>
      <c r="F168" s="73">
        <f>' WIP '!DX168</f>
        <v>171</v>
      </c>
      <c r="G168" s="73">
        <f>' FG'!CS168</f>
        <v>10000</v>
      </c>
      <c r="H168" s="124">
        <f t="shared" si="5"/>
        <v>10171</v>
      </c>
    </row>
    <row r="169" spans="1:8" ht="20.25" x14ac:dyDescent="0.3">
      <c r="A169" s="123">
        <v>167</v>
      </c>
      <c r="B169" s="92" t="s">
        <v>143</v>
      </c>
      <c r="C169" s="98" t="s">
        <v>142</v>
      </c>
      <c r="D169" s="72">
        <v>4.4800000000000004</v>
      </c>
      <c r="E169" s="73">
        <f>PRODUCTION!DX169</f>
        <v>0</v>
      </c>
      <c r="F169" s="73">
        <f>' WIP '!DX169</f>
        <v>168</v>
      </c>
      <c r="G169" s="73">
        <f>' FG'!CS169</f>
        <v>1000</v>
      </c>
      <c r="H169" s="124">
        <f t="shared" si="5"/>
        <v>1168</v>
      </c>
    </row>
    <row r="170" spans="1:8" ht="20.25" x14ac:dyDescent="0.3">
      <c r="A170" s="123">
        <v>168</v>
      </c>
      <c r="B170" s="92" t="s">
        <v>145</v>
      </c>
      <c r="C170" s="98" t="s">
        <v>144</v>
      </c>
      <c r="D170" s="72">
        <v>8.36</v>
      </c>
      <c r="E170" s="73">
        <f>PRODUCTION!DX170</f>
        <v>0</v>
      </c>
      <c r="F170" s="73">
        <f>' WIP '!DX170</f>
        <v>525</v>
      </c>
      <c r="G170" s="73">
        <f>' FG'!CS170</f>
        <v>0</v>
      </c>
      <c r="H170" s="124">
        <f t="shared" si="5"/>
        <v>525</v>
      </c>
    </row>
    <row r="171" spans="1:8" ht="20.25" x14ac:dyDescent="0.3">
      <c r="A171" s="123">
        <v>169</v>
      </c>
      <c r="B171" s="92" t="s">
        <v>147</v>
      </c>
      <c r="C171" s="98" t="s">
        <v>146</v>
      </c>
      <c r="D171" s="72">
        <v>8.36</v>
      </c>
      <c r="E171" s="73">
        <f>PRODUCTION!DX171</f>
        <v>0</v>
      </c>
      <c r="F171" s="73">
        <f>' WIP '!DX171</f>
        <v>493</v>
      </c>
      <c r="G171" s="73">
        <f>' FG'!CS171</f>
        <v>0</v>
      </c>
      <c r="H171" s="124">
        <f t="shared" si="5"/>
        <v>493</v>
      </c>
    </row>
    <row r="172" spans="1:8" ht="20.25" x14ac:dyDescent="0.3">
      <c r="A172" s="123">
        <v>170</v>
      </c>
      <c r="B172" s="92" t="s">
        <v>149</v>
      </c>
      <c r="C172" s="98" t="s">
        <v>148</v>
      </c>
      <c r="D172" s="72">
        <v>1.81</v>
      </c>
      <c r="E172" s="73">
        <f>PRODUCTION!DX172</f>
        <v>0</v>
      </c>
      <c r="F172" s="73">
        <f>' WIP '!DX172</f>
        <v>428</v>
      </c>
      <c r="G172" s="73">
        <f>' FG'!CS172</f>
        <v>0</v>
      </c>
      <c r="H172" s="124">
        <f t="shared" si="5"/>
        <v>428</v>
      </c>
    </row>
    <row r="173" spans="1:8" ht="20.25" x14ac:dyDescent="0.3">
      <c r="A173" s="123">
        <v>171</v>
      </c>
      <c r="B173" s="92" t="s">
        <v>162</v>
      </c>
      <c r="C173" s="98">
        <v>62802</v>
      </c>
      <c r="D173" s="72">
        <v>0.16</v>
      </c>
      <c r="E173" s="73">
        <f>PRODUCTION!DX173</f>
        <v>0</v>
      </c>
      <c r="F173" s="73">
        <f>' WIP '!DX173</f>
        <v>50500</v>
      </c>
      <c r="G173" s="73">
        <f>' FG'!CS173</f>
        <v>0</v>
      </c>
      <c r="H173" s="124">
        <f t="shared" si="5"/>
        <v>50500</v>
      </c>
    </row>
    <row r="174" spans="1:8" ht="20.25" x14ac:dyDescent="0.3">
      <c r="A174" s="123">
        <v>172</v>
      </c>
      <c r="B174" s="92" t="s">
        <v>181</v>
      </c>
      <c r="C174" s="98" t="s">
        <v>179</v>
      </c>
      <c r="D174" s="72">
        <v>2.5499999999999998</v>
      </c>
      <c r="E174" s="73">
        <f>PRODUCTION!DX174</f>
        <v>0</v>
      </c>
      <c r="F174" s="73">
        <f>' WIP '!DX174</f>
        <v>18088</v>
      </c>
      <c r="G174" s="73">
        <f>' FG'!CS174</f>
        <v>0</v>
      </c>
      <c r="H174" s="124">
        <f t="shared" si="5"/>
        <v>18088</v>
      </c>
    </row>
    <row r="175" spans="1:8" ht="20.25" x14ac:dyDescent="0.3">
      <c r="A175" s="123">
        <v>173</v>
      </c>
      <c r="B175" s="92" t="s">
        <v>180</v>
      </c>
      <c r="C175" s="98">
        <v>65062</v>
      </c>
      <c r="D175" s="72"/>
      <c r="E175" s="73">
        <f>PRODUCTION!DX175</f>
        <v>0</v>
      </c>
      <c r="F175" s="73">
        <f>' WIP '!DX175</f>
        <v>0</v>
      </c>
      <c r="G175" s="73">
        <f>' FG'!CS175</f>
        <v>0</v>
      </c>
      <c r="H175" s="124">
        <f t="shared" si="5"/>
        <v>0</v>
      </c>
    </row>
    <row r="176" spans="1:8" ht="20.25" x14ac:dyDescent="0.3">
      <c r="A176" s="123">
        <v>174</v>
      </c>
      <c r="B176" s="92" t="s">
        <v>89</v>
      </c>
      <c r="C176" s="98">
        <v>65060</v>
      </c>
      <c r="D176" s="72"/>
      <c r="E176" s="73">
        <f>PRODUCTION!DX176</f>
        <v>0</v>
      </c>
      <c r="F176" s="73">
        <f>' WIP '!DX176</f>
        <v>25422</v>
      </c>
      <c r="G176" s="73">
        <f>' FG'!CS176</f>
        <v>0</v>
      </c>
      <c r="H176" s="124">
        <f t="shared" si="5"/>
        <v>25422</v>
      </c>
    </row>
    <row r="177" spans="1:8" ht="20.25" x14ac:dyDescent="0.3">
      <c r="A177" s="123">
        <v>175</v>
      </c>
      <c r="B177" s="92" t="s">
        <v>89</v>
      </c>
      <c r="C177" s="98">
        <v>65061</v>
      </c>
      <c r="D177" s="72"/>
      <c r="E177" s="73">
        <f>PRODUCTION!DX177</f>
        <v>0</v>
      </c>
      <c r="F177" s="73">
        <f>' WIP '!DX177</f>
        <v>12879</v>
      </c>
      <c r="G177" s="73">
        <f>' FG'!CS177</f>
        <v>0</v>
      </c>
      <c r="H177" s="124">
        <f t="shared" si="5"/>
        <v>12879</v>
      </c>
    </row>
    <row r="178" spans="1:8" ht="20.25" x14ac:dyDescent="0.3">
      <c r="A178" s="123">
        <v>176</v>
      </c>
      <c r="B178" s="92" t="s">
        <v>183</v>
      </c>
      <c r="C178" s="98" t="s">
        <v>182</v>
      </c>
      <c r="D178" s="72">
        <v>4.26</v>
      </c>
      <c r="E178" s="73">
        <f>PRODUCTION!DX178</f>
        <v>0</v>
      </c>
      <c r="F178" s="73">
        <f>' WIP '!DX178</f>
        <v>8245</v>
      </c>
      <c r="G178" s="73">
        <f>' FG'!CS178</f>
        <v>0</v>
      </c>
      <c r="H178" s="124">
        <f t="shared" si="5"/>
        <v>8245</v>
      </c>
    </row>
    <row r="179" spans="1:8" ht="20.25" x14ac:dyDescent="0.3">
      <c r="A179" s="123">
        <v>177</v>
      </c>
      <c r="B179" s="92" t="s">
        <v>185</v>
      </c>
      <c r="C179" s="98" t="s">
        <v>184</v>
      </c>
      <c r="D179" s="72">
        <v>4.26</v>
      </c>
      <c r="E179" s="73">
        <f>PRODUCTION!DX179</f>
        <v>0</v>
      </c>
      <c r="F179" s="73">
        <f>' WIP '!DX179</f>
        <v>8844</v>
      </c>
      <c r="G179" s="73">
        <f>' FG'!CS179</f>
        <v>0</v>
      </c>
      <c r="H179" s="124">
        <f t="shared" si="5"/>
        <v>8844</v>
      </c>
    </row>
    <row r="180" spans="1:8" ht="20.25" x14ac:dyDescent="0.3">
      <c r="A180" s="123">
        <v>178</v>
      </c>
      <c r="B180" s="92" t="s">
        <v>186</v>
      </c>
      <c r="C180" s="98" t="s">
        <v>187</v>
      </c>
      <c r="D180" s="72">
        <v>2.1800000000000002</v>
      </c>
      <c r="E180" s="73">
        <f>PRODUCTION!DX180</f>
        <v>0</v>
      </c>
      <c r="F180" s="73">
        <f>' WIP '!DX180</f>
        <v>11363</v>
      </c>
      <c r="G180" s="73">
        <f>' FG'!CS180</f>
        <v>0</v>
      </c>
      <c r="H180" s="124">
        <f t="shared" si="5"/>
        <v>11363</v>
      </c>
    </row>
    <row r="181" spans="1:8" ht="20.25" x14ac:dyDescent="0.3">
      <c r="A181" s="123">
        <v>179</v>
      </c>
      <c r="B181" s="92" t="s">
        <v>189</v>
      </c>
      <c r="C181" s="98" t="s">
        <v>188</v>
      </c>
      <c r="D181" s="72">
        <v>22.52</v>
      </c>
      <c r="E181" s="73">
        <f>PRODUCTION!DX181</f>
        <v>0</v>
      </c>
      <c r="F181" s="73">
        <f>' WIP '!DX181</f>
        <v>4500</v>
      </c>
      <c r="G181" s="73">
        <f>' FG'!CS181</f>
        <v>0</v>
      </c>
      <c r="H181" s="124">
        <f t="shared" si="5"/>
        <v>4500</v>
      </c>
    </row>
    <row r="182" spans="1:8" ht="20.25" x14ac:dyDescent="0.3">
      <c r="A182" s="123">
        <v>180</v>
      </c>
      <c r="B182" s="92" t="s">
        <v>191</v>
      </c>
      <c r="C182" s="98" t="s">
        <v>190</v>
      </c>
      <c r="D182" s="72">
        <v>22.52</v>
      </c>
      <c r="E182" s="73">
        <f>PRODUCTION!DX182</f>
        <v>0</v>
      </c>
      <c r="F182" s="73">
        <f>' WIP '!DX182</f>
        <v>4730</v>
      </c>
      <c r="G182" s="73">
        <f>' FG'!CS182</f>
        <v>0</v>
      </c>
      <c r="H182" s="124">
        <f t="shared" si="5"/>
        <v>4730</v>
      </c>
    </row>
    <row r="183" spans="1:8" ht="20.25" x14ac:dyDescent="0.3">
      <c r="A183" s="123">
        <v>181</v>
      </c>
      <c r="B183" s="34" t="s">
        <v>178</v>
      </c>
      <c r="C183" s="95">
        <v>5061537</v>
      </c>
      <c r="D183" s="72">
        <v>14</v>
      </c>
      <c r="E183" s="73">
        <f>PRODUCTION!DX183</f>
        <v>0</v>
      </c>
      <c r="F183" s="73">
        <f>' WIP '!DX183</f>
        <v>0</v>
      </c>
      <c r="G183" s="73">
        <f>' FG'!CS183</f>
        <v>0</v>
      </c>
      <c r="H183" s="124">
        <f t="shared" si="5"/>
        <v>0</v>
      </c>
    </row>
    <row r="184" spans="1:8" ht="20.25" x14ac:dyDescent="0.3">
      <c r="A184" s="123">
        <v>182</v>
      </c>
      <c r="B184" s="34" t="s">
        <v>44</v>
      </c>
      <c r="C184" s="95">
        <v>5046448</v>
      </c>
      <c r="D184" s="72">
        <v>14.71</v>
      </c>
      <c r="E184" s="73">
        <f>PRODUCTION!DX184</f>
        <v>0</v>
      </c>
      <c r="F184" s="73">
        <f>' WIP '!DX184</f>
        <v>12</v>
      </c>
      <c r="G184" s="73">
        <f>' FG'!CS184</f>
        <v>800</v>
      </c>
      <c r="H184" s="124">
        <f t="shared" si="5"/>
        <v>812</v>
      </c>
    </row>
    <row r="185" spans="1:8" ht="20.25" x14ac:dyDescent="0.3">
      <c r="A185" s="123">
        <v>183</v>
      </c>
      <c r="B185" s="34" t="s">
        <v>175</v>
      </c>
      <c r="C185" s="95">
        <v>5046453</v>
      </c>
      <c r="D185" s="72">
        <v>89.82</v>
      </c>
      <c r="E185" s="73">
        <f>PRODUCTION!DX185</f>
        <v>0</v>
      </c>
      <c r="F185" s="73">
        <f>' WIP '!DX185</f>
        <v>26</v>
      </c>
      <c r="G185" s="73">
        <f>' FG'!CS185</f>
        <v>80</v>
      </c>
      <c r="H185" s="124">
        <f t="shared" si="5"/>
        <v>106</v>
      </c>
    </row>
    <row r="186" spans="1:8" ht="20.25" x14ac:dyDescent="0.3">
      <c r="A186" s="123">
        <v>184</v>
      </c>
      <c r="B186" s="34" t="s">
        <v>174</v>
      </c>
      <c r="C186" s="95">
        <v>5046456</v>
      </c>
      <c r="D186" s="72">
        <v>13.91</v>
      </c>
      <c r="E186" s="73">
        <f>PRODUCTION!DX186</f>
        <v>0</v>
      </c>
      <c r="F186" s="73">
        <f>' WIP '!DX186</f>
        <v>0</v>
      </c>
      <c r="G186" s="73">
        <f>' FG'!CS186</f>
        <v>1840</v>
      </c>
      <c r="H186" s="124">
        <f t="shared" si="5"/>
        <v>1840</v>
      </c>
    </row>
    <row r="187" spans="1:8" ht="20.25" x14ac:dyDescent="0.3">
      <c r="A187" s="123">
        <v>185</v>
      </c>
      <c r="B187" s="91" t="s">
        <v>134</v>
      </c>
      <c r="C187" s="100" t="s">
        <v>123</v>
      </c>
      <c r="D187" s="72">
        <v>159.88</v>
      </c>
      <c r="E187" s="73">
        <f>PRODUCTION!DX187</f>
        <v>0</v>
      </c>
      <c r="F187" s="73">
        <f>' WIP '!DX187</f>
        <v>150</v>
      </c>
      <c r="G187" s="73">
        <f>' FG'!CS187</f>
        <v>18</v>
      </c>
      <c r="H187" s="124">
        <f t="shared" si="5"/>
        <v>168</v>
      </c>
    </row>
    <row r="188" spans="1:8" ht="20.25" x14ac:dyDescent="0.3">
      <c r="A188" s="123">
        <v>186</v>
      </c>
      <c r="B188" s="91" t="s">
        <v>135</v>
      </c>
      <c r="C188" s="95">
        <v>5024440</v>
      </c>
      <c r="D188" s="72">
        <v>83.21</v>
      </c>
      <c r="E188" s="73">
        <f>PRODUCTION!DX188</f>
        <v>0</v>
      </c>
      <c r="F188" s="73">
        <f>' WIP '!DX188</f>
        <v>12</v>
      </c>
      <c r="G188" s="73">
        <f>' FG'!CS188</f>
        <v>76</v>
      </c>
      <c r="H188" s="124">
        <f t="shared" si="5"/>
        <v>88</v>
      </c>
    </row>
    <row r="189" spans="1:8" ht="20.25" x14ac:dyDescent="0.3">
      <c r="A189" s="123">
        <v>187</v>
      </c>
      <c r="B189" s="91"/>
      <c r="C189" s="101">
        <v>5038799</v>
      </c>
      <c r="D189" s="72">
        <v>95.14</v>
      </c>
      <c r="E189" s="73">
        <f>PRODUCTION!DX189</f>
        <v>0</v>
      </c>
      <c r="F189" s="73">
        <f>' WIP '!DX189</f>
        <v>0</v>
      </c>
      <c r="G189" s="73">
        <f>' FG'!CS189</f>
        <v>7</v>
      </c>
      <c r="H189" s="124">
        <f t="shared" si="5"/>
        <v>7</v>
      </c>
    </row>
    <row r="190" spans="1:8" ht="20.25" x14ac:dyDescent="0.3">
      <c r="A190" s="123">
        <v>188</v>
      </c>
      <c r="B190" s="91" t="s">
        <v>173</v>
      </c>
      <c r="C190" s="101">
        <v>5013929</v>
      </c>
      <c r="D190" s="72">
        <v>35.04</v>
      </c>
      <c r="E190" s="73">
        <f>PRODUCTION!DX190</f>
        <v>0</v>
      </c>
      <c r="F190" s="73">
        <f>' WIP '!DX190</f>
        <v>0</v>
      </c>
      <c r="G190" s="73">
        <f>' FG'!CS190</f>
        <v>0</v>
      </c>
      <c r="H190" s="124">
        <f t="shared" si="5"/>
        <v>0</v>
      </c>
    </row>
    <row r="191" spans="1:8" ht="20.25" x14ac:dyDescent="0.3">
      <c r="A191" s="123">
        <v>189</v>
      </c>
      <c r="B191" s="34"/>
      <c r="C191" s="75">
        <v>5045480</v>
      </c>
      <c r="D191" s="72">
        <v>7.42</v>
      </c>
      <c r="E191" s="73">
        <f>PRODUCTION!DX191</f>
        <v>0</v>
      </c>
      <c r="F191" s="73">
        <f>' WIP '!DX191</f>
        <v>0</v>
      </c>
      <c r="G191" s="73">
        <f>' FG'!CS191</f>
        <v>0</v>
      </c>
      <c r="H191" s="124">
        <f t="shared" si="5"/>
        <v>0</v>
      </c>
    </row>
    <row r="192" spans="1:8" ht="20.25" x14ac:dyDescent="0.3">
      <c r="A192" s="123">
        <v>190</v>
      </c>
      <c r="B192" s="34" t="s">
        <v>159</v>
      </c>
      <c r="C192" s="75">
        <v>5043164</v>
      </c>
      <c r="D192" s="72">
        <v>13.72</v>
      </c>
      <c r="E192" s="73">
        <f>PRODUCTION!DX192</f>
        <v>0</v>
      </c>
      <c r="F192" s="73">
        <f>' WIP '!DX192</f>
        <v>0</v>
      </c>
      <c r="G192" s="73">
        <f>' FG'!CS192</f>
        <v>0</v>
      </c>
      <c r="H192" s="124">
        <f t="shared" si="5"/>
        <v>0</v>
      </c>
    </row>
    <row r="193" spans="1:8" ht="20.25" x14ac:dyDescent="0.3">
      <c r="A193" s="123">
        <v>191</v>
      </c>
      <c r="B193" s="34" t="s">
        <v>34</v>
      </c>
      <c r="C193" s="75">
        <v>5039586</v>
      </c>
      <c r="D193" s="72">
        <v>5.43</v>
      </c>
      <c r="E193" s="73">
        <f>PRODUCTION!DX193</f>
        <v>0</v>
      </c>
      <c r="F193" s="73">
        <f>' WIP '!DX193</f>
        <v>2635</v>
      </c>
      <c r="G193" s="73">
        <f>' FG'!CS193</f>
        <v>0</v>
      </c>
      <c r="H193" s="124">
        <f t="shared" si="5"/>
        <v>2635</v>
      </c>
    </row>
    <row r="194" spans="1:8" ht="20.25" x14ac:dyDescent="0.3">
      <c r="A194" s="123">
        <v>192</v>
      </c>
      <c r="B194" s="34" t="s">
        <v>161</v>
      </c>
      <c r="C194" s="75">
        <v>5033867</v>
      </c>
      <c r="D194" s="72">
        <v>348.91</v>
      </c>
      <c r="E194" s="73">
        <f>PRODUCTION!DX194</f>
        <v>0</v>
      </c>
      <c r="F194" s="73">
        <f>' WIP '!DX194</f>
        <v>0</v>
      </c>
      <c r="G194" s="73">
        <f>' FG'!CS194</f>
        <v>0</v>
      </c>
      <c r="H194" s="124">
        <f t="shared" si="5"/>
        <v>0</v>
      </c>
    </row>
    <row r="195" spans="1:8" ht="20.25" x14ac:dyDescent="0.3">
      <c r="A195" s="123">
        <v>193</v>
      </c>
      <c r="B195" s="34" t="s">
        <v>164</v>
      </c>
      <c r="C195" s="75">
        <v>5011024</v>
      </c>
      <c r="D195" s="72">
        <v>45.37</v>
      </c>
      <c r="E195" s="73">
        <f>PRODUCTION!DX195</f>
        <v>0</v>
      </c>
      <c r="F195" s="73">
        <f>' WIP '!DX195</f>
        <v>16</v>
      </c>
      <c r="G195" s="73">
        <f>' FG'!CS195</f>
        <v>0</v>
      </c>
      <c r="H195" s="124">
        <f t="shared" ref="H195:H201" si="6">SUM(E195:G195)</f>
        <v>16</v>
      </c>
    </row>
    <row r="196" spans="1:8" ht="20.25" x14ac:dyDescent="0.3">
      <c r="A196" s="123">
        <v>194</v>
      </c>
      <c r="B196" s="34"/>
      <c r="C196" s="75">
        <v>5038801</v>
      </c>
      <c r="D196" s="72"/>
      <c r="E196" s="73">
        <f>PRODUCTION!DX196</f>
        <v>0</v>
      </c>
      <c r="F196" s="73">
        <f>' WIP '!DX196</f>
        <v>15</v>
      </c>
      <c r="G196" s="73">
        <f>' FG'!CS196</f>
        <v>0</v>
      </c>
      <c r="H196" s="124">
        <f t="shared" si="6"/>
        <v>15</v>
      </c>
    </row>
    <row r="197" spans="1:8" ht="20.25" x14ac:dyDescent="0.3">
      <c r="A197" s="123">
        <v>195</v>
      </c>
      <c r="B197" s="34" t="s">
        <v>11</v>
      </c>
      <c r="C197" s="75">
        <v>5006637</v>
      </c>
      <c r="D197" s="72">
        <v>29.15</v>
      </c>
      <c r="E197" s="73">
        <f>PRODUCTION!DX197</f>
        <v>0</v>
      </c>
      <c r="F197" s="73">
        <f>' WIP '!DX197</f>
        <v>0</v>
      </c>
      <c r="G197" s="73">
        <f>' FG'!CS197</f>
        <v>0</v>
      </c>
      <c r="H197" s="124">
        <f t="shared" si="6"/>
        <v>0</v>
      </c>
    </row>
    <row r="198" spans="1:8" ht="20.25" x14ac:dyDescent="0.3">
      <c r="A198" s="123">
        <v>196</v>
      </c>
      <c r="B198" s="34" t="s">
        <v>6</v>
      </c>
      <c r="C198" s="75">
        <v>5037943</v>
      </c>
      <c r="D198" s="72">
        <v>1447.41</v>
      </c>
      <c r="E198" s="73">
        <f>PRODUCTION!DX198</f>
        <v>0</v>
      </c>
      <c r="F198" s="73">
        <f>' WIP '!DX198</f>
        <v>41</v>
      </c>
      <c r="G198" s="73">
        <f>' FG'!CS198</f>
        <v>126</v>
      </c>
      <c r="H198" s="124">
        <f t="shared" si="6"/>
        <v>167</v>
      </c>
    </row>
    <row r="199" spans="1:8" ht="20.25" x14ac:dyDescent="0.3">
      <c r="A199" s="123">
        <v>197</v>
      </c>
      <c r="B199" s="34" t="s">
        <v>136</v>
      </c>
      <c r="C199" s="75">
        <v>5045083</v>
      </c>
      <c r="D199" s="72">
        <v>25.87</v>
      </c>
      <c r="E199" s="73">
        <f>PRODUCTION!DX199</f>
        <v>0</v>
      </c>
      <c r="F199" s="73">
        <f>' WIP '!DX199</f>
        <v>447</v>
      </c>
      <c r="G199" s="73">
        <f>' FG'!CS199</f>
        <v>0</v>
      </c>
      <c r="H199" s="124">
        <f t="shared" si="6"/>
        <v>447</v>
      </c>
    </row>
    <row r="200" spans="1:8" ht="20.25" x14ac:dyDescent="0.3">
      <c r="A200" s="123">
        <v>198</v>
      </c>
      <c r="B200" s="34" t="s">
        <v>171</v>
      </c>
      <c r="C200" s="75">
        <v>5039553</v>
      </c>
      <c r="D200" s="72">
        <v>189.25</v>
      </c>
      <c r="E200" s="73">
        <f>PRODUCTION!DX200</f>
        <v>0</v>
      </c>
      <c r="F200" s="73">
        <f>' WIP '!DX200</f>
        <v>6</v>
      </c>
      <c r="G200" s="73">
        <f>' FG'!CS200</f>
        <v>126</v>
      </c>
      <c r="H200" s="124">
        <f t="shared" si="6"/>
        <v>132</v>
      </c>
    </row>
    <row r="201" spans="1:8" ht="20.25" x14ac:dyDescent="0.3">
      <c r="A201" s="123">
        <v>199</v>
      </c>
      <c r="B201" s="34" t="s">
        <v>42</v>
      </c>
      <c r="C201" s="75">
        <v>5039047</v>
      </c>
      <c r="D201" s="72">
        <v>15.48</v>
      </c>
      <c r="E201" s="73">
        <f>PRODUCTION!DX201</f>
        <v>0</v>
      </c>
      <c r="F201" s="73">
        <f>' WIP '!DX201</f>
        <v>609</v>
      </c>
      <c r="G201" s="73">
        <f>' FG'!CS201</f>
        <v>130</v>
      </c>
      <c r="H201" s="124">
        <f t="shared" si="6"/>
        <v>739</v>
      </c>
    </row>
    <row r="202" spans="1:8" ht="21" thickBot="1" x14ac:dyDescent="0.35">
      <c r="A202" s="126">
        <v>200</v>
      </c>
      <c r="B202" s="127" t="s">
        <v>196</v>
      </c>
      <c r="C202" s="128">
        <v>5049200</v>
      </c>
      <c r="D202" s="72">
        <v>32.729999999999997</v>
      </c>
      <c r="E202" s="73">
        <f>PRODUCTION!DX202</f>
        <v>0</v>
      </c>
      <c r="F202" s="73">
        <f>' WIP '!DX202</f>
        <v>409</v>
      </c>
      <c r="G202" s="73">
        <f>' FG'!CS202</f>
        <v>0</v>
      </c>
      <c r="H202" s="124">
        <f t="shared" ref="H202" si="7">SUM(E202:G202)</f>
        <v>409</v>
      </c>
    </row>
    <row r="203" spans="1:8" x14ac:dyDescent="0.25">
      <c r="E203" s="24"/>
      <c r="F203" s="9"/>
      <c r="G203" s="9"/>
      <c r="H203" s="24"/>
    </row>
    <row r="204" spans="1:8" x14ac:dyDescent="0.25">
      <c r="E204" s="24"/>
      <c r="F204" s="24"/>
      <c r="G204" s="24"/>
      <c r="H204" s="24"/>
    </row>
  </sheetData>
  <sheetProtection formatCells="0" formatColumns="0" formatRows="0" insertColumns="0" insertRows="0" insertHyperlinks="0" deleteColumns="0" deleteRows="0" autoFilter="0" pivotTables="0"/>
  <autoFilter ref="A2:H203"/>
  <pageMargins left="0.70866141732283472" right="0" top="0" bottom="0" header="0.31496062992125984" footer="0.17"/>
  <pageSetup paperSize="9" scale="81" fitToHeight="0" orientation="portrait" r:id="rId1"/>
  <rowBreaks count="2" manualBreakCount="2">
    <brk id="206" max="8" man="1"/>
    <brk id="207" max="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G203"/>
  <sheetViews>
    <sheetView showGridLines="0" tabSelected="1" view="pageBreakPreview" zoomScale="85" zoomScaleNormal="80" zoomScaleSheetLayoutView="85" workbookViewId="0">
      <pane xSplit="3" ySplit="2" topLeftCell="DL4" activePane="bottomRight" state="frozen"/>
      <selection pane="topRight" activeCell="D1" sqref="D1"/>
      <selection pane="bottomLeft" activeCell="A3" sqref="A3"/>
      <selection pane="bottomRight" activeCell="DL2" sqref="DK2:DL2"/>
    </sheetView>
  </sheetViews>
  <sheetFormatPr defaultRowHeight="21" x14ac:dyDescent="0.35"/>
  <cols>
    <col min="1" max="1" width="9.140625" style="3"/>
    <col min="2" max="2" width="28.7109375" style="3" customWidth="1"/>
    <col min="3" max="3" width="20" style="79" customWidth="1"/>
    <col min="4" max="4" width="9.140625" style="5"/>
    <col min="5" max="7" width="9.140625" style="3"/>
    <col min="8" max="8" width="9.140625" style="66"/>
    <col min="9" max="11" width="9.140625" style="3"/>
    <col min="12" max="12" width="9.140625" style="66"/>
    <col min="13" max="123" width="9.140625" style="3"/>
    <col min="124" max="124" width="11.85546875" style="3" bestFit="1" customWidth="1"/>
    <col min="125" max="131" width="9.140625" style="3"/>
    <col min="132" max="156" width="16.28515625" style="9" bestFit="1" customWidth="1"/>
    <col min="157" max="157" width="18.85546875" style="9" bestFit="1" customWidth="1"/>
    <col min="158" max="162" width="16.28515625" style="9" bestFit="1" customWidth="1"/>
    <col min="163" max="16384" width="9.140625" style="9"/>
  </cols>
  <sheetData>
    <row r="1" spans="1:163" ht="21.75" thickBot="1" x14ac:dyDescent="0.3">
      <c r="A1" s="22"/>
      <c r="B1" s="22"/>
      <c r="C1" s="80"/>
      <c r="D1" s="106"/>
      <c r="E1" s="171">
        <v>46082</v>
      </c>
      <c r="F1" s="172"/>
      <c r="G1" s="172"/>
      <c r="H1" s="173"/>
      <c r="I1" s="171">
        <f>+E1+1</f>
        <v>46083</v>
      </c>
      <c r="J1" s="172"/>
      <c r="K1" s="172"/>
      <c r="L1" s="173"/>
      <c r="M1" s="171">
        <f t="shared" ref="M1" si="0">+I1+1</f>
        <v>46084</v>
      </c>
      <c r="N1" s="172"/>
      <c r="O1" s="172"/>
      <c r="P1" s="173"/>
      <c r="Q1" s="171">
        <f t="shared" ref="Q1" si="1">+M1+1</f>
        <v>46085</v>
      </c>
      <c r="R1" s="172"/>
      <c r="S1" s="172"/>
      <c r="T1" s="173"/>
      <c r="U1" s="171">
        <f t="shared" ref="U1" si="2">+Q1+1</f>
        <v>46086</v>
      </c>
      <c r="V1" s="172"/>
      <c r="W1" s="172"/>
      <c r="X1" s="173"/>
      <c r="Y1" s="171">
        <f t="shared" ref="Y1" si="3">+U1+1</f>
        <v>46087</v>
      </c>
      <c r="Z1" s="172"/>
      <c r="AA1" s="172"/>
      <c r="AB1" s="173"/>
      <c r="AC1" s="171">
        <f t="shared" ref="AC1" si="4">+Y1+1</f>
        <v>46088</v>
      </c>
      <c r="AD1" s="172"/>
      <c r="AE1" s="172"/>
      <c r="AF1" s="173"/>
      <c r="AG1" s="171">
        <f t="shared" ref="AG1" si="5">+AC1+1</f>
        <v>46089</v>
      </c>
      <c r="AH1" s="172"/>
      <c r="AI1" s="172"/>
      <c r="AJ1" s="173"/>
      <c r="AK1" s="171">
        <f t="shared" ref="AK1" si="6">+AG1+1</f>
        <v>46090</v>
      </c>
      <c r="AL1" s="172"/>
      <c r="AM1" s="172"/>
      <c r="AN1" s="173"/>
      <c r="AO1" s="171">
        <f t="shared" ref="AO1" si="7">+AK1+1</f>
        <v>46091</v>
      </c>
      <c r="AP1" s="172"/>
      <c r="AQ1" s="172"/>
      <c r="AR1" s="173"/>
      <c r="AS1" s="171">
        <f t="shared" ref="AS1" si="8">+AO1+1</f>
        <v>46092</v>
      </c>
      <c r="AT1" s="172"/>
      <c r="AU1" s="172"/>
      <c r="AV1" s="173"/>
      <c r="AW1" s="171">
        <f t="shared" ref="AW1" si="9">+AS1+1</f>
        <v>46093</v>
      </c>
      <c r="AX1" s="172"/>
      <c r="AY1" s="172"/>
      <c r="AZ1" s="173"/>
      <c r="BA1" s="171">
        <f t="shared" ref="BA1" si="10">+AW1+1</f>
        <v>46094</v>
      </c>
      <c r="BB1" s="172"/>
      <c r="BC1" s="172"/>
      <c r="BD1" s="173"/>
      <c r="BE1" s="171">
        <f t="shared" ref="BE1" si="11">+BA1+1</f>
        <v>46095</v>
      </c>
      <c r="BF1" s="172"/>
      <c r="BG1" s="172"/>
      <c r="BH1" s="173"/>
      <c r="BI1" s="171">
        <f t="shared" ref="BI1" si="12">+BE1+1</f>
        <v>46096</v>
      </c>
      <c r="BJ1" s="172"/>
      <c r="BK1" s="172"/>
      <c r="BL1" s="173"/>
      <c r="BM1" s="171">
        <f t="shared" ref="BM1" si="13">+BI1+1</f>
        <v>46097</v>
      </c>
      <c r="BN1" s="172"/>
      <c r="BO1" s="172"/>
      <c r="BP1" s="173"/>
      <c r="BQ1" s="171">
        <f t="shared" ref="BQ1" si="14">+BM1+1</f>
        <v>46098</v>
      </c>
      <c r="BR1" s="172"/>
      <c r="BS1" s="172"/>
      <c r="BT1" s="173"/>
      <c r="BU1" s="171">
        <f t="shared" ref="BU1" si="15">+BQ1+1</f>
        <v>46099</v>
      </c>
      <c r="BV1" s="172"/>
      <c r="BW1" s="172"/>
      <c r="BX1" s="173"/>
      <c r="BY1" s="171">
        <f t="shared" ref="BY1" si="16">+BU1+1</f>
        <v>46100</v>
      </c>
      <c r="BZ1" s="172"/>
      <c r="CA1" s="172"/>
      <c r="CB1" s="173"/>
      <c r="CC1" s="171">
        <f t="shared" ref="CC1" si="17">+BY1+1</f>
        <v>46101</v>
      </c>
      <c r="CD1" s="172"/>
      <c r="CE1" s="172"/>
      <c r="CF1" s="173"/>
      <c r="CG1" s="171">
        <f t="shared" ref="CG1" si="18">+CC1+1</f>
        <v>46102</v>
      </c>
      <c r="CH1" s="172"/>
      <c r="CI1" s="172"/>
      <c r="CJ1" s="173"/>
      <c r="CK1" s="171">
        <f t="shared" ref="CK1" si="19">+CG1+1</f>
        <v>46103</v>
      </c>
      <c r="CL1" s="172"/>
      <c r="CM1" s="172"/>
      <c r="CN1" s="173"/>
      <c r="CO1" s="171">
        <f t="shared" ref="CO1" si="20">+CK1+1</f>
        <v>46104</v>
      </c>
      <c r="CP1" s="172"/>
      <c r="CQ1" s="172"/>
      <c r="CR1" s="173"/>
      <c r="CS1" s="171">
        <f t="shared" ref="CS1" si="21">+CO1+1</f>
        <v>46105</v>
      </c>
      <c r="CT1" s="172"/>
      <c r="CU1" s="172"/>
      <c r="CV1" s="173"/>
      <c r="CW1" s="171">
        <f t="shared" ref="CW1" si="22">+CS1+1</f>
        <v>46106</v>
      </c>
      <c r="CX1" s="172"/>
      <c r="CY1" s="172"/>
      <c r="CZ1" s="173"/>
      <c r="DA1" s="171">
        <f t="shared" ref="DA1" si="23">+CW1+1</f>
        <v>46107</v>
      </c>
      <c r="DB1" s="172"/>
      <c r="DC1" s="172"/>
      <c r="DD1" s="173"/>
      <c r="DE1" s="171">
        <f t="shared" ref="DE1" si="24">+DA1+1</f>
        <v>46108</v>
      </c>
      <c r="DF1" s="172"/>
      <c r="DG1" s="172"/>
      <c r="DH1" s="173"/>
      <c r="DI1" s="171">
        <f t="shared" ref="DI1" si="25">+DE1+1</f>
        <v>46109</v>
      </c>
      <c r="DJ1" s="172"/>
      <c r="DK1" s="172"/>
      <c r="DL1" s="173"/>
      <c r="DM1" s="171">
        <f t="shared" ref="DM1" si="26">+DI1+1</f>
        <v>46110</v>
      </c>
      <c r="DN1" s="172"/>
      <c r="DO1" s="172"/>
      <c r="DP1" s="173"/>
      <c r="DQ1" s="171">
        <f t="shared" ref="DQ1" si="27">+DM1+1</f>
        <v>46111</v>
      </c>
      <c r="DR1" s="172"/>
      <c r="DS1" s="172"/>
      <c r="DT1" s="173"/>
      <c r="DU1" s="171">
        <f t="shared" ref="DU1" si="28">+DQ1+1</f>
        <v>46112</v>
      </c>
      <c r="DV1" s="172"/>
      <c r="DW1" s="172"/>
      <c r="DX1" s="173"/>
      <c r="DY1" s="107"/>
      <c r="DZ1" s="107"/>
      <c r="EA1" s="108"/>
      <c r="EB1" s="154"/>
      <c r="EC1" s="154"/>
      <c r="ED1" s="154"/>
      <c r="EE1" s="154"/>
      <c r="EF1" s="154"/>
      <c r="EG1" s="154"/>
      <c r="EH1" s="154"/>
      <c r="EI1" s="154"/>
      <c r="EJ1" s="154"/>
      <c r="EK1" s="154"/>
      <c r="EL1" s="154"/>
      <c r="EM1" s="154"/>
      <c r="EN1" s="154"/>
      <c r="EO1" s="154"/>
      <c r="EP1" s="154"/>
      <c r="EQ1" s="154"/>
      <c r="ER1" s="154"/>
      <c r="ES1" s="154"/>
      <c r="ET1" s="154"/>
      <c r="EU1" s="154"/>
      <c r="EV1" s="154"/>
      <c r="EW1" s="154"/>
      <c r="EX1" s="154"/>
      <c r="EY1" s="154"/>
      <c r="EZ1" s="154"/>
      <c r="FA1" s="154"/>
      <c r="FB1" s="154"/>
      <c r="FC1" s="154"/>
      <c r="FD1" s="154"/>
      <c r="FE1" s="154"/>
    </row>
    <row r="2" spans="1:163" s="139" customFormat="1" ht="56.25" x14ac:dyDescent="0.25">
      <c r="A2" s="41" t="s">
        <v>0</v>
      </c>
      <c r="B2" s="42" t="s">
        <v>104</v>
      </c>
      <c r="C2" s="81" t="s">
        <v>2</v>
      </c>
      <c r="D2" s="62" t="s">
        <v>105</v>
      </c>
      <c r="E2" s="109" t="s">
        <v>110</v>
      </c>
      <c r="F2" s="109" t="s">
        <v>154</v>
      </c>
      <c r="G2" s="110" t="s">
        <v>115</v>
      </c>
      <c r="H2" s="111" t="s">
        <v>114</v>
      </c>
      <c r="I2" s="37" t="s">
        <v>110</v>
      </c>
      <c r="J2" s="37" t="s">
        <v>154</v>
      </c>
      <c r="K2" s="63" t="s">
        <v>115</v>
      </c>
      <c r="L2" s="62" t="s">
        <v>114</v>
      </c>
      <c r="M2" s="37" t="s">
        <v>110</v>
      </c>
      <c r="N2" s="37" t="s">
        <v>154</v>
      </c>
      <c r="O2" s="63" t="s">
        <v>115</v>
      </c>
      <c r="P2" s="62" t="s">
        <v>114</v>
      </c>
      <c r="Q2" s="37" t="s">
        <v>110</v>
      </c>
      <c r="R2" s="37" t="s">
        <v>154</v>
      </c>
      <c r="S2" s="63" t="s">
        <v>115</v>
      </c>
      <c r="T2" s="62" t="s">
        <v>114</v>
      </c>
      <c r="U2" s="37" t="s">
        <v>110</v>
      </c>
      <c r="V2" s="37" t="s">
        <v>154</v>
      </c>
      <c r="W2" s="63" t="s">
        <v>115</v>
      </c>
      <c r="X2" s="62" t="s">
        <v>114</v>
      </c>
      <c r="Y2" s="37" t="s">
        <v>110</v>
      </c>
      <c r="Z2" s="37" t="s">
        <v>154</v>
      </c>
      <c r="AA2" s="63" t="s">
        <v>115</v>
      </c>
      <c r="AB2" s="62" t="s">
        <v>114</v>
      </c>
      <c r="AC2" s="37" t="s">
        <v>110</v>
      </c>
      <c r="AD2" s="37" t="s">
        <v>154</v>
      </c>
      <c r="AE2" s="63" t="s">
        <v>115</v>
      </c>
      <c r="AF2" s="62" t="s">
        <v>114</v>
      </c>
      <c r="AG2" s="37" t="s">
        <v>110</v>
      </c>
      <c r="AH2" s="37" t="s">
        <v>154</v>
      </c>
      <c r="AI2" s="63" t="s">
        <v>115</v>
      </c>
      <c r="AJ2" s="62" t="s">
        <v>114</v>
      </c>
      <c r="AK2" s="37" t="s">
        <v>110</v>
      </c>
      <c r="AL2" s="37" t="s">
        <v>154</v>
      </c>
      <c r="AM2" s="63" t="s">
        <v>115</v>
      </c>
      <c r="AN2" s="62" t="s">
        <v>114</v>
      </c>
      <c r="AO2" s="37" t="s">
        <v>110</v>
      </c>
      <c r="AP2" s="37" t="s">
        <v>154</v>
      </c>
      <c r="AQ2" s="63" t="s">
        <v>115</v>
      </c>
      <c r="AR2" s="62" t="s">
        <v>114</v>
      </c>
      <c r="AS2" s="37" t="s">
        <v>110</v>
      </c>
      <c r="AT2" s="37" t="s">
        <v>154</v>
      </c>
      <c r="AU2" s="63" t="s">
        <v>115</v>
      </c>
      <c r="AV2" s="62" t="s">
        <v>114</v>
      </c>
      <c r="AW2" s="37" t="s">
        <v>110</v>
      </c>
      <c r="AX2" s="37" t="s">
        <v>154</v>
      </c>
      <c r="AY2" s="63" t="s">
        <v>115</v>
      </c>
      <c r="AZ2" s="62" t="s">
        <v>114</v>
      </c>
      <c r="BA2" s="37" t="s">
        <v>110</v>
      </c>
      <c r="BB2" s="37" t="s">
        <v>154</v>
      </c>
      <c r="BC2" s="63" t="s">
        <v>115</v>
      </c>
      <c r="BD2" s="62" t="s">
        <v>114</v>
      </c>
      <c r="BE2" s="37" t="s">
        <v>110</v>
      </c>
      <c r="BF2" s="37" t="s">
        <v>154</v>
      </c>
      <c r="BG2" s="63" t="s">
        <v>115</v>
      </c>
      <c r="BH2" s="62" t="s">
        <v>114</v>
      </c>
      <c r="BI2" s="37" t="s">
        <v>110</v>
      </c>
      <c r="BJ2" s="37" t="s">
        <v>154</v>
      </c>
      <c r="BK2" s="63" t="s">
        <v>115</v>
      </c>
      <c r="BL2" s="62" t="s">
        <v>114</v>
      </c>
      <c r="BM2" s="37" t="s">
        <v>110</v>
      </c>
      <c r="BN2" s="37" t="s">
        <v>154</v>
      </c>
      <c r="BO2" s="63" t="s">
        <v>115</v>
      </c>
      <c r="BP2" s="62" t="s">
        <v>114</v>
      </c>
      <c r="BQ2" s="37" t="s">
        <v>110</v>
      </c>
      <c r="BR2" s="37" t="s">
        <v>154</v>
      </c>
      <c r="BS2" s="63" t="s">
        <v>115</v>
      </c>
      <c r="BT2" s="62" t="s">
        <v>114</v>
      </c>
      <c r="BU2" s="37" t="s">
        <v>110</v>
      </c>
      <c r="BV2" s="37" t="s">
        <v>154</v>
      </c>
      <c r="BW2" s="63" t="s">
        <v>115</v>
      </c>
      <c r="BX2" s="62" t="s">
        <v>114</v>
      </c>
      <c r="BY2" s="37" t="s">
        <v>110</v>
      </c>
      <c r="BZ2" s="37" t="s">
        <v>154</v>
      </c>
      <c r="CA2" s="63" t="s">
        <v>115</v>
      </c>
      <c r="CB2" s="62" t="s">
        <v>114</v>
      </c>
      <c r="CC2" s="37" t="s">
        <v>110</v>
      </c>
      <c r="CD2" s="37" t="s">
        <v>154</v>
      </c>
      <c r="CE2" s="63" t="s">
        <v>115</v>
      </c>
      <c r="CF2" s="62" t="s">
        <v>114</v>
      </c>
      <c r="CG2" s="37" t="s">
        <v>110</v>
      </c>
      <c r="CH2" s="37" t="s">
        <v>154</v>
      </c>
      <c r="CI2" s="63" t="s">
        <v>115</v>
      </c>
      <c r="CJ2" s="62" t="s">
        <v>114</v>
      </c>
      <c r="CK2" s="37" t="s">
        <v>110</v>
      </c>
      <c r="CL2" s="37" t="s">
        <v>154</v>
      </c>
      <c r="CM2" s="63" t="s">
        <v>115</v>
      </c>
      <c r="CN2" s="62" t="s">
        <v>114</v>
      </c>
      <c r="CO2" s="37" t="s">
        <v>110</v>
      </c>
      <c r="CP2" s="37" t="s">
        <v>154</v>
      </c>
      <c r="CQ2" s="63" t="s">
        <v>115</v>
      </c>
      <c r="CR2" s="62" t="s">
        <v>114</v>
      </c>
      <c r="CS2" s="37" t="s">
        <v>110</v>
      </c>
      <c r="CT2" s="37" t="s">
        <v>154</v>
      </c>
      <c r="CU2" s="63" t="s">
        <v>115</v>
      </c>
      <c r="CV2" s="62" t="s">
        <v>114</v>
      </c>
      <c r="CW2" s="37" t="s">
        <v>110</v>
      </c>
      <c r="CX2" s="37" t="s">
        <v>154</v>
      </c>
      <c r="CY2" s="63" t="s">
        <v>115</v>
      </c>
      <c r="CZ2" s="62" t="s">
        <v>114</v>
      </c>
      <c r="DA2" s="37" t="s">
        <v>110</v>
      </c>
      <c r="DB2" s="37" t="s">
        <v>154</v>
      </c>
      <c r="DC2" s="63" t="s">
        <v>115</v>
      </c>
      <c r="DD2" s="62" t="s">
        <v>114</v>
      </c>
      <c r="DE2" s="37" t="s">
        <v>110</v>
      </c>
      <c r="DF2" s="37" t="s">
        <v>154</v>
      </c>
      <c r="DG2" s="63" t="s">
        <v>115</v>
      </c>
      <c r="DH2" s="62" t="s">
        <v>114</v>
      </c>
      <c r="DI2" s="37" t="s">
        <v>110</v>
      </c>
      <c r="DJ2" s="37" t="s">
        <v>154</v>
      </c>
      <c r="DK2" s="63" t="s">
        <v>115</v>
      </c>
      <c r="DL2" s="62" t="s">
        <v>114</v>
      </c>
      <c r="DM2" s="37" t="s">
        <v>110</v>
      </c>
      <c r="DN2" s="37" t="s">
        <v>154</v>
      </c>
      <c r="DO2" s="63" t="s">
        <v>115</v>
      </c>
      <c r="DP2" s="62" t="s">
        <v>114</v>
      </c>
      <c r="DQ2" s="37" t="s">
        <v>110</v>
      </c>
      <c r="DR2" s="37" t="s">
        <v>154</v>
      </c>
      <c r="DS2" s="63" t="s">
        <v>115</v>
      </c>
      <c r="DT2" s="62" t="s">
        <v>114</v>
      </c>
      <c r="DU2" s="37" t="s">
        <v>110</v>
      </c>
      <c r="DV2" s="37" t="s">
        <v>154</v>
      </c>
      <c r="DW2" s="63" t="s">
        <v>115</v>
      </c>
      <c r="DX2" s="62" t="s">
        <v>114</v>
      </c>
      <c r="DY2" s="37" t="s">
        <v>116</v>
      </c>
      <c r="DZ2" s="37" t="s">
        <v>106</v>
      </c>
      <c r="EA2" s="37" t="s">
        <v>117</v>
      </c>
      <c r="EB2" s="102"/>
      <c r="EC2" s="102">
        <f>+EB2+1</f>
        <v>1</v>
      </c>
      <c r="ED2" s="102">
        <f t="shared" ref="ED2:FG2" si="29">+EC2+1</f>
        <v>2</v>
      </c>
      <c r="EE2" s="102">
        <f t="shared" si="29"/>
        <v>3</v>
      </c>
      <c r="EF2" s="102">
        <f t="shared" si="29"/>
        <v>4</v>
      </c>
      <c r="EG2" s="102">
        <f t="shared" si="29"/>
        <v>5</v>
      </c>
      <c r="EH2" s="102">
        <f t="shared" si="29"/>
        <v>6</v>
      </c>
      <c r="EI2" s="102">
        <f t="shared" si="29"/>
        <v>7</v>
      </c>
      <c r="EJ2" s="102">
        <f t="shared" si="29"/>
        <v>8</v>
      </c>
      <c r="EK2" s="102">
        <f t="shared" si="29"/>
        <v>9</v>
      </c>
      <c r="EL2" s="102">
        <f t="shared" si="29"/>
        <v>10</v>
      </c>
      <c r="EM2" s="102">
        <f t="shared" si="29"/>
        <v>11</v>
      </c>
      <c r="EN2" s="102">
        <f t="shared" si="29"/>
        <v>12</v>
      </c>
      <c r="EO2" s="102">
        <f t="shared" si="29"/>
        <v>13</v>
      </c>
      <c r="EP2" s="102">
        <f t="shared" si="29"/>
        <v>14</v>
      </c>
      <c r="EQ2" s="102">
        <f t="shared" si="29"/>
        <v>15</v>
      </c>
      <c r="ER2" s="102">
        <f t="shared" si="29"/>
        <v>16</v>
      </c>
      <c r="ES2" s="102">
        <f t="shared" si="29"/>
        <v>17</v>
      </c>
      <c r="ET2" s="102">
        <f t="shared" si="29"/>
        <v>18</v>
      </c>
      <c r="EU2" s="102">
        <f t="shared" si="29"/>
        <v>19</v>
      </c>
      <c r="EV2" s="102">
        <f t="shared" si="29"/>
        <v>20</v>
      </c>
      <c r="EW2" s="102">
        <f t="shared" si="29"/>
        <v>21</v>
      </c>
      <c r="EX2" s="102">
        <f t="shared" si="29"/>
        <v>22</v>
      </c>
      <c r="EY2" s="102">
        <f t="shared" si="29"/>
        <v>23</v>
      </c>
      <c r="EZ2" s="102">
        <f t="shared" si="29"/>
        <v>24</v>
      </c>
      <c r="FA2" s="102">
        <f t="shared" si="29"/>
        <v>25</v>
      </c>
      <c r="FB2" s="102">
        <f t="shared" si="29"/>
        <v>26</v>
      </c>
      <c r="FC2" s="102">
        <f t="shared" si="29"/>
        <v>27</v>
      </c>
      <c r="FD2" s="102">
        <f t="shared" si="29"/>
        <v>28</v>
      </c>
      <c r="FE2" s="102">
        <f t="shared" si="29"/>
        <v>29</v>
      </c>
      <c r="FF2" s="102">
        <f t="shared" si="29"/>
        <v>30</v>
      </c>
      <c r="FG2" s="102">
        <f t="shared" si="29"/>
        <v>31</v>
      </c>
    </row>
    <row r="3" spans="1:163" ht="20.25" x14ac:dyDescent="0.25">
      <c r="A3" s="43">
        <f>'MASTER SHEET'!A3</f>
        <v>1</v>
      </c>
      <c r="B3" s="26" t="str">
        <f>'MASTER SHEET'!B3</f>
        <v>BASE HOUSING CRANKCASE</v>
      </c>
      <c r="C3" s="82">
        <f>'MASTER SHEET'!C3</f>
        <v>5009573</v>
      </c>
      <c r="D3" s="64"/>
      <c r="E3" s="28"/>
      <c r="F3" s="28"/>
      <c r="G3" s="65"/>
      <c r="H3" s="64">
        <f t="shared" ref="H3" si="30">D3+E3-F3-G3</f>
        <v>0</v>
      </c>
      <c r="I3" s="28"/>
      <c r="J3" s="28"/>
      <c r="K3" s="65"/>
      <c r="L3" s="64">
        <f t="shared" ref="L3" si="31">H3+I3-J3-K3</f>
        <v>0</v>
      </c>
      <c r="M3" s="28"/>
      <c r="N3" s="28"/>
      <c r="O3" s="65"/>
      <c r="P3" s="64">
        <f>L3+M3-N3-O3</f>
        <v>0</v>
      </c>
      <c r="Q3" s="28"/>
      <c r="R3" s="28"/>
      <c r="S3" s="65"/>
      <c r="T3" s="64">
        <f>P3+Q3-R3-S3</f>
        <v>0</v>
      </c>
      <c r="U3" s="28"/>
      <c r="V3" s="28"/>
      <c r="W3" s="65"/>
      <c r="X3" s="64">
        <f>T3+U3-V3-W3</f>
        <v>0</v>
      </c>
      <c r="Y3" s="28"/>
      <c r="Z3" s="28"/>
      <c r="AA3" s="65"/>
      <c r="AB3" s="64">
        <f>X3+Y3-Z3-AA3</f>
        <v>0</v>
      </c>
      <c r="AC3" s="28"/>
      <c r="AD3" s="28"/>
      <c r="AE3" s="65"/>
      <c r="AF3" s="64">
        <f>AB3+AC3-AD3-AE3</f>
        <v>0</v>
      </c>
      <c r="AG3" s="28"/>
      <c r="AH3" s="28"/>
      <c r="AI3" s="65"/>
      <c r="AJ3" s="64">
        <f>AF3+AG3-AH3-AI3</f>
        <v>0</v>
      </c>
      <c r="AK3" s="28"/>
      <c r="AL3" s="28"/>
      <c r="AM3" s="65"/>
      <c r="AN3" s="64">
        <f>AJ3+AK3-AL3-AM3</f>
        <v>0</v>
      </c>
      <c r="AO3" s="28"/>
      <c r="AP3" s="28"/>
      <c r="AQ3" s="65"/>
      <c r="AR3" s="64">
        <f>AN3+AO3-AP3-AQ3</f>
        <v>0</v>
      </c>
      <c r="AS3" s="28"/>
      <c r="AT3" s="28"/>
      <c r="AU3" s="65"/>
      <c r="AV3" s="64">
        <f>AR3+AS3-AT3-AU3</f>
        <v>0</v>
      </c>
      <c r="AW3" s="28"/>
      <c r="AX3" s="28"/>
      <c r="AY3" s="65"/>
      <c r="AZ3" s="64">
        <f>AV3+AW3-AX3-AY3</f>
        <v>0</v>
      </c>
      <c r="BA3" s="28"/>
      <c r="BB3" s="28"/>
      <c r="BC3" s="65"/>
      <c r="BD3" s="64">
        <f>AZ3+BA3-BB3-BC3</f>
        <v>0</v>
      </c>
      <c r="BE3" s="28"/>
      <c r="BF3" s="28"/>
      <c r="BG3" s="65"/>
      <c r="BH3" s="64">
        <f>BD3+BE3-BF3-BG3</f>
        <v>0</v>
      </c>
      <c r="BI3" s="28"/>
      <c r="BJ3" s="28"/>
      <c r="BK3" s="65"/>
      <c r="BL3" s="64">
        <f>BH3+BI3-BJ3-BK3</f>
        <v>0</v>
      </c>
      <c r="BM3" s="28"/>
      <c r="BN3" s="28"/>
      <c r="BO3" s="65"/>
      <c r="BP3" s="64">
        <f>BL3+BM3-BN3-BO3</f>
        <v>0</v>
      </c>
      <c r="BQ3" s="28"/>
      <c r="BR3" s="28"/>
      <c r="BS3" s="65"/>
      <c r="BT3" s="64">
        <f>BP3+BQ3-BR3-BS3</f>
        <v>0</v>
      </c>
      <c r="BU3" s="28"/>
      <c r="BV3" s="28"/>
      <c r="BW3" s="65"/>
      <c r="BX3" s="64">
        <f>BT3+BU3-BV3-BW3</f>
        <v>0</v>
      </c>
      <c r="BY3" s="28"/>
      <c r="BZ3" s="28"/>
      <c r="CA3" s="65"/>
      <c r="CB3" s="64">
        <f>BX3+BY3-BZ3-CA3</f>
        <v>0</v>
      </c>
      <c r="CC3" s="28"/>
      <c r="CD3" s="28"/>
      <c r="CE3" s="65"/>
      <c r="CF3" s="64">
        <f>CB3+CC3-CD3-CE3</f>
        <v>0</v>
      </c>
      <c r="CG3" s="28"/>
      <c r="CH3" s="28"/>
      <c r="CI3" s="65"/>
      <c r="CJ3" s="64">
        <f>CF3+CG3-CH3-CI3</f>
        <v>0</v>
      </c>
      <c r="CK3" s="28"/>
      <c r="CL3" s="28"/>
      <c r="CM3" s="65"/>
      <c r="CN3" s="64">
        <f>CJ3+CK3-CL3-CM3</f>
        <v>0</v>
      </c>
      <c r="CO3" s="28"/>
      <c r="CP3" s="28"/>
      <c r="CQ3" s="65"/>
      <c r="CR3" s="64">
        <f>CN3+CO3-CP3-CQ3</f>
        <v>0</v>
      </c>
      <c r="CS3" s="28"/>
      <c r="CT3" s="28"/>
      <c r="CU3" s="65"/>
      <c r="CV3" s="64">
        <f>CR3+CS3-CT3-CU3</f>
        <v>0</v>
      </c>
      <c r="CW3" s="28"/>
      <c r="CX3" s="28"/>
      <c r="CY3" s="65"/>
      <c r="CZ3" s="64">
        <f>CV3+CW3-CX3-CY3</f>
        <v>0</v>
      </c>
      <c r="DA3" s="28"/>
      <c r="DB3" s="28"/>
      <c r="DC3" s="65"/>
      <c r="DD3" s="64">
        <f>CZ3+DA3-DB3-DC3</f>
        <v>0</v>
      </c>
      <c r="DE3" s="28"/>
      <c r="DF3" s="28"/>
      <c r="DG3" s="65"/>
      <c r="DH3" s="64">
        <f>DD3+DE3-DF3-DG3</f>
        <v>0</v>
      </c>
      <c r="DI3" s="28"/>
      <c r="DJ3" s="28"/>
      <c r="DK3" s="65"/>
      <c r="DL3" s="64">
        <f>DH3+DI3-DJ3-DK3</f>
        <v>0</v>
      </c>
      <c r="DM3" s="28"/>
      <c r="DN3" s="28"/>
      <c r="DO3" s="65"/>
      <c r="DP3" s="64">
        <f>DL3+DM3-DN3-DO3</f>
        <v>0</v>
      </c>
      <c r="DQ3" s="28"/>
      <c r="DR3" s="28"/>
      <c r="DS3" s="65"/>
      <c r="DT3" s="64">
        <f>DP3+DQ3-DR3-DS3</f>
        <v>0</v>
      </c>
      <c r="DU3" s="28"/>
      <c r="DV3" s="28"/>
      <c r="DW3" s="65"/>
      <c r="DX3" s="30">
        <f>DT3+DU3-DV3-DW3</f>
        <v>0</v>
      </c>
      <c r="DY3" s="31">
        <f t="shared" ref="DY3:DY34" si="32">D3+E3+I3+M3+Q3+U3+Y3+AC3+AG3+AK3+AO3+AS3+AW3+BA3+BE3+BI3+BM3+BQ3+BU3+BY3+CC3+CG3+CK3+CO3+CS3+CW3+DA3+DE3+DI3+DM3+DQ3+DU3</f>
        <v>0</v>
      </c>
      <c r="DZ3" s="31">
        <f t="shared" ref="DZ3:DZ34" si="33">F3+J3+N3+R3+V3+Z3+AD3+AH3+AL3+AP3+AT3+AX3+BB3+BF3+BJ3+BN3+BR3+BV3+BZ3+CD3+CH3+CL3+CP3+CT3+CX3+DB3+DF3+DJ3+DN3+DR3+DV3</f>
        <v>0</v>
      </c>
      <c r="EA3" s="4">
        <f t="shared" ref="EA3:EA34" si="34">G3+K3+O3+S3+W3+AA3+AE3+AI3+AM3+AQ3+AU3+AY3+BC3+BG3+BK3+BO3+BS3+BW3+CA3+CE3+CI3+CM3+CQ3+CU3+CY3+DC3+DG3+DK3+DO3+DS3+DW3</f>
        <v>0</v>
      </c>
      <c r="EB3" s="9">
        <f>D3*'MASTER SHEET'!D3</f>
        <v>0</v>
      </c>
      <c r="EC3" s="9">
        <f>H3*'MASTER SHEET'!D3</f>
        <v>0</v>
      </c>
      <c r="ED3" s="9">
        <f>L3*'MASTER SHEET'!D3</f>
        <v>0</v>
      </c>
      <c r="EE3" s="9">
        <f>P3*'MASTER SHEET'!D3</f>
        <v>0</v>
      </c>
      <c r="EF3" s="9">
        <f>T3*'MASTER SHEET'!D3</f>
        <v>0</v>
      </c>
      <c r="EG3" s="9">
        <f>X3*'MASTER SHEET'!D3</f>
        <v>0</v>
      </c>
      <c r="EH3" s="9">
        <f>AB3*'MASTER SHEET'!D3</f>
        <v>0</v>
      </c>
      <c r="EI3" s="9">
        <f>AF3*'MASTER SHEET'!D3</f>
        <v>0</v>
      </c>
      <c r="EJ3" s="9">
        <f>AJ3*'MASTER SHEET'!D3</f>
        <v>0</v>
      </c>
      <c r="EK3" s="9">
        <f>AN3*'MASTER SHEET'!D3</f>
        <v>0</v>
      </c>
      <c r="EL3" s="9">
        <f>AR3*'MASTER SHEET'!D3</f>
        <v>0</v>
      </c>
      <c r="EM3" s="9">
        <f>AV3*'MASTER SHEET'!D3</f>
        <v>0</v>
      </c>
      <c r="EN3" s="9">
        <f>AZ3*'MASTER SHEET'!D3</f>
        <v>0</v>
      </c>
      <c r="EO3" s="9">
        <f>BD3*'MASTER SHEET'!D3</f>
        <v>0</v>
      </c>
      <c r="EP3" s="9">
        <f>BH3*'MASTER SHEET'!D3</f>
        <v>0</v>
      </c>
      <c r="EQ3" s="9">
        <f>BL3*'MASTER SHEET'!D3</f>
        <v>0</v>
      </c>
      <c r="ER3" s="9">
        <f>BP3*'MASTER SHEET'!D3</f>
        <v>0</v>
      </c>
      <c r="ES3" s="9">
        <f>BT3*'MASTER SHEET'!D3</f>
        <v>0</v>
      </c>
      <c r="ET3" s="9">
        <f>BX3*'MASTER SHEET'!D3</f>
        <v>0</v>
      </c>
      <c r="EU3" s="9">
        <f>CB3*'MASTER SHEET'!D3</f>
        <v>0</v>
      </c>
      <c r="EV3" s="9">
        <f>CF3*'MASTER SHEET'!D3</f>
        <v>0</v>
      </c>
      <c r="EW3" s="9">
        <f>CJ3*'MASTER SHEET'!D3</f>
        <v>0</v>
      </c>
      <c r="EX3" s="9">
        <f>CN3*'MASTER SHEET'!D3</f>
        <v>0</v>
      </c>
      <c r="EY3" s="9">
        <f>CV3*'MASTER SHEET'!D3</f>
        <v>0</v>
      </c>
      <c r="EZ3" s="9">
        <f>CV3*'MASTER SHEET'!D3</f>
        <v>0</v>
      </c>
      <c r="FA3" s="9">
        <f>CZ3*'MASTER SHEET'!D3</f>
        <v>0</v>
      </c>
      <c r="FB3" s="9">
        <f>DD3*'MASTER SHEET'!D3</f>
        <v>0</v>
      </c>
      <c r="FC3" s="9">
        <f>DH3*'MASTER SHEET'!D3</f>
        <v>0</v>
      </c>
      <c r="FD3" s="9">
        <f>DL3*'MASTER SHEET'!D3</f>
        <v>0</v>
      </c>
      <c r="FE3" s="9">
        <f>DP3*'MASTER SHEET'!D3</f>
        <v>0</v>
      </c>
      <c r="FF3" s="9">
        <f>DT3*'MASTER SHEET'!D3</f>
        <v>0</v>
      </c>
      <c r="FG3" s="9">
        <f>DX3*'MASTER SHEET'!D3</f>
        <v>0</v>
      </c>
    </row>
    <row r="4" spans="1:163" ht="20.25" x14ac:dyDescent="0.25">
      <c r="A4" s="43">
        <f>'MASTER SHEET'!A4</f>
        <v>2</v>
      </c>
      <c r="B4" s="26" t="str">
        <f>'MASTER SHEET'!B4</f>
        <v>DISC</v>
      </c>
      <c r="C4" s="82">
        <f>'MASTER SHEET'!C4</f>
        <v>5009576</v>
      </c>
      <c r="D4" s="64">
        <v>3913</v>
      </c>
      <c r="E4" s="28"/>
      <c r="F4" s="28">
        <v>500</v>
      </c>
      <c r="G4" s="65"/>
      <c r="H4" s="64">
        <f t="shared" ref="H4:H67" si="35">D4+E4-F4-G4</f>
        <v>3413</v>
      </c>
      <c r="I4" s="28"/>
      <c r="J4" s="28">
        <v>810</v>
      </c>
      <c r="K4" s="65"/>
      <c r="L4" s="64">
        <f t="shared" ref="L4:L67" si="36">H4+I4-J4-K4</f>
        <v>2603</v>
      </c>
      <c r="M4" s="28"/>
      <c r="N4" s="28"/>
      <c r="O4" s="65"/>
      <c r="P4" s="64">
        <f t="shared" ref="P4:P67" si="37">L4+M4-N4-O4</f>
        <v>2603</v>
      </c>
      <c r="Q4" s="28"/>
      <c r="R4" s="28">
        <v>500</v>
      </c>
      <c r="S4" s="65"/>
      <c r="T4" s="64">
        <f t="shared" ref="T4:T67" si="38">P4+Q4-R4-S4</f>
        <v>2103</v>
      </c>
      <c r="U4" s="28"/>
      <c r="V4" s="28"/>
      <c r="W4" s="65"/>
      <c r="X4" s="64">
        <f t="shared" ref="X4:X67" si="39">T4+U4-V4-W4</f>
        <v>2103</v>
      </c>
      <c r="Y4" s="28"/>
      <c r="Z4" s="28">
        <v>500</v>
      </c>
      <c r="AA4" s="65"/>
      <c r="AB4" s="64">
        <f t="shared" ref="AB4:AB67" si="40">X4+Y4-Z4-AA4</f>
        <v>1603</v>
      </c>
      <c r="AC4" s="28"/>
      <c r="AD4" s="28">
        <v>230</v>
      </c>
      <c r="AE4" s="65"/>
      <c r="AF4" s="64">
        <f t="shared" ref="AF4:AF67" si="41">AB4+AC4-AD4-AE4</f>
        <v>1373</v>
      </c>
      <c r="AG4" s="28"/>
      <c r="AH4" s="28"/>
      <c r="AI4" s="65"/>
      <c r="AJ4" s="64">
        <f t="shared" ref="AJ4:AJ67" si="42">AF4+AG4-AH4-AI4</f>
        <v>1373</v>
      </c>
      <c r="AK4" s="28"/>
      <c r="AL4" s="28"/>
      <c r="AM4" s="65"/>
      <c r="AN4" s="64">
        <f t="shared" ref="AN4:AN67" si="43">AJ4+AK4-AL4-AM4</f>
        <v>1373</v>
      </c>
      <c r="AO4" s="28"/>
      <c r="AP4" s="28"/>
      <c r="AQ4" s="65"/>
      <c r="AR4" s="64">
        <f t="shared" ref="AR4:AR67" si="44">AN4+AO4-AP4-AQ4</f>
        <v>1373</v>
      </c>
      <c r="AS4" s="28"/>
      <c r="AT4" s="28"/>
      <c r="AU4" s="65"/>
      <c r="AV4" s="64">
        <f t="shared" ref="AV4:AV67" si="45">AR4+AS4-AT4-AU4</f>
        <v>1373</v>
      </c>
      <c r="AW4" s="28"/>
      <c r="AX4" s="28"/>
      <c r="AY4" s="65"/>
      <c r="AZ4" s="64">
        <f t="shared" ref="AZ4:AZ67" si="46">AV4+AW4-AX4-AY4</f>
        <v>1373</v>
      </c>
      <c r="BA4" s="28"/>
      <c r="BB4" s="28"/>
      <c r="BC4" s="65"/>
      <c r="BD4" s="64">
        <f t="shared" ref="BD4:BD67" si="47">AZ4+BA4-BB4-BC4</f>
        <v>1373</v>
      </c>
      <c r="BE4" s="28"/>
      <c r="BF4" s="28"/>
      <c r="BG4" s="65"/>
      <c r="BH4" s="64">
        <f t="shared" ref="BH4:BH67" si="48">BD4+BE4-BF4-BG4</f>
        <v>1373</v>
      </c>
      <c r="BI4" s="28"/>
      <c r="BJ4" s="28"/>
      <c r="BK4" s="65"/>
      <c r="BL4" s="64">
        <f t="shared" ref="BL4:BL67" si="49">BH4+BI4-BJ4-BK4</f>
        <v>1373</v>
      </c>
      <c r="BM4" s="28"/>
      <c r="BN4" s="28"/>
      <c r="BO4" s="65"/>
      <c r="BP4" s="64">
        <f t="shared" ref="BP4:BP67" si="50">BL4+BM4-BN4-BO4</f>
        <v>1373</v>
      </c>
      <c r="BQ4" s="28"/>
      <c r="BR4" s="28"/>
      <c r="BS4" s="65"/>
      <c r="BT4" s="64">
        <f t="shared" ref="BT4:BT67" si="51">BP4+BQ4-BR4-BS4</f>
        <v>1373</v>
      </c>
      <c r="BU4" s="28"/>
      <c r="BV4" s="28"/>
      <c r="BW4" s="65"/>
      <c r="BX4" s="64">
        <f t="shared" ref="BX4:BX67" si="52">BT4+BU4-BV4-BW4</f>
        <v>1373</v>
      </c>
      <c r="BY4" s="28"/>
      <c r="BZ4" s="28"/>
      <c r="CA4" s="65"/>
      <c r="CB4" s="64">
        <f t="shared" ref="CB4:CB67" si="53">BX4+BY4-BZ4-CA4</f>
        <v>1373</v>
      </c>
      <c r="CC4" s="28"/>
      <c r="CD4" s="28"/>
      <c r="CE4" s="65"/>
      <c r="CF4" s="64">
        <f t="shared" ref="CF4:CF67" si="54">CB4+CC4-CD4-CE4</f>
        <v>1373</v>
      </c>
      <c r="CG4" s="28"/>
      <c r="CH4" s="28"/>
      <c r="CI4" s="65"/>
      <c r="CJ4" s="64">
        <f t="shared" ref="CJ4:CJ67" si="55">CF4+CG4-CH4-CI4</f>
        <v>1373</v>
      </c>
      <c r="CK4" s="28">
        <v>7950</v>
      </c>
      <c r="CL4" s="28"/>
      <c r="CM4" s="65"/>
      <c r="CN4" s="64">
        <f t="shared" ref="CN4:CN67" si="56">CJ4+CK4-CL4-CM4</f>
        <v>9323</v>
      </c>
      <c r="CO4" s="28"/>
      <c r="CP4" s="28"/>
      <c r="CQ4" s="65"/>
      <c r="CR4" s="64">
        <f t="shared" ref="CR4:CR67" si="57">CN4+CO4-CP4-CQ4</f>
        <v>9323</v>
      </c>
      <c r="CS4" s="28"/>
      <c r="CT4" s="28"/>
      <c r="CU4" s="65"/>
      <c r="CV4" s="64">
        <f t="shared" ref="CV4:CV67" si="58">CR4+CS4-CT4-CU4</f>
        <v>9323</v>
      </c>
      <c r="CW4" s="28"/>
      <c r="CX4" s="28"/>
      <c r="CY4" s="65"/>
      <c r="CZ4" s="64">
        <f t="shared" ref="CZ4:CZ67" si="59">CV4+CW4-CX4-CY4</f>
        <v>9323</v>
      </c>
      <c r="DA4" s="28"/>
      <c r="DB4" s="28"/>
      <c r="DC4" s="65"/>
      <c r="DD4" s="64">
        <f t="shared" ref="DD4:DD67" si="60">CZ4+DA4-DB4-DC4</f>
        <v>9323</v>
      </c>
      <c r="DE4" s="28"/>
      <c r="DF4" s="28">
        <v>200</v>
      </c>
      <c r="DG4" s="65"/>
      <c r="DH4" s="64">
        <f t="shared" ref="DH4:DH67" si="61">DD4+DE4-DF4-DG4</f>
        <v>9123</v>
      </c>
      <c r="DI4" s="28"/>
      <c r="DJ4" s="28">
        <v>500</v>
      </c>
      <c r="DK4" s="65"/>
      <c r="DL4" s="64">
        <f t="shared" ref="DL4:DL67" si="62">DH4+DI4-DJ4-DK4</f>
        <v>8623</v>
      </c>
      <c r="DM4" s="28"/>
      <c r="DN4" s="28">
        <v>500</v>
      </c>
      <c r="DO4" s="65"/>
      <c r="DP4" s="64">
        <f t="shared" ref="DP4:DP67" si="63">DL4+DM4-DN4-DO4</f>
        <v>8123</v>
      </c>
      <c r="DQ4" s="28"/>
      <c r="DR4" s="28"/>
      <c r="DS4" s="65"/>
      <c r="DT4" s="64">
        <f t="shared" ref="DT4:DT67" si="64">DP4+DQ4-DR4-DS4</f>
        <v>8123</v>
      </c>
      <c r="DU4" s="28"/>
      <c r="DV4" s="28"/>
      <c r="DW4" s="65"/>
      <c r="DX4" s="30">
        <f t="shared" ref="DX4:DX67" si="65">DT4+DU4-DV4-DW4</f>
        <v>8123</v>
      </c>
      <c r="DY4" s="31">
        <f t="shared" si="32"/>
        <v>11863</v>
      </c>
      <c r="DZ4" s="31">
        <f t="shared" si="33"/>
        <v>3740</v>
      </c>
      <c r="EA4" s="4">
        <f t="shared" si="34"/>
        <v>0</v>
      </c>
      <c r="EB4" s="9">
        <f>D4*'MASTER SHEET'!D4</f>
        <v>45312.54</v>
      </c>
      <c r="EC4" s="9">
        <f>H4*'MASTER SHEET'!D4</f>
        <v>39522.54</v>
      </c>
      <c r="ED4" s="9">
        <f>L4*'MASTER SHEET'!D4</f>
        <v>30142.74</v>
      </c>
      <c r="EE4" s="9">
        <f>P4*'MASTER SHEET'!D4</f>
        <v>30142.74</v>
      </c>
      <c r="EF4" s="9">
        <f>T4*'MASTER SHEET'!D4</f>
        <v>24352.74</v>
      </c>
      <c r="EG4" s="9">
        <f>X4*'MASTER SHEET'!D4</f>
        <v>24352.74</v>
      </c>
      <c r="EH4" s="9">
        <f>AB4*'MASTER SHEET'!D4</f>
        <v>18562.740000000002</v>
      </c>
      <c r="EI4" s="9">
        <f>AF4*'MASTER SHEET'!D4</f>
        <v>15899.34</v>
      </c>
      <c r="EJ4" s="9">
        <f>AJ4*'MASTER SHEET'!D4</f>
        <v>15899.34</v>
      </c>
      <c r="EK4" s="9">
        <f>AN4*'MASTER SHEET'!D4</f>
        <v>15899.34</v>
      </c>
      <c r="EL4" s="9">
        <f>AR4*'MASTER SHEET'!D4</f>
        <v>15899.34</v>
      </c>
      <c r="EM4" s="9">
        <f>AV4*'MASTER SHEET'!D4</f>
        <v>15899.34</v>
      </c>
      <c r="EN4" s="9">
        <f>AZ4*'MASTER SHEET'!D4</f>
        <v>15899.34</v>
      </c>
      <c r="EO4" s="9">
        <f>BD4*'MASTER SHEET'!D4</f>
        <v>15899.34</v>
      </c>
      <c r="EP4" s="9">
        <f>BH4*'MASTER SHEET'!D4</f>
        <v>15899.34</v>
      </c>
      <c r="EQ4" s="9">
        <f>BL4*'MASTER SHEET'!D4</f>
        <v>15899.34</v>
      </c>
      <c r="ER4" s="9">
        <f>BP4*'MASTER SHEET'!D4</f>
        <v>15899.34</v>
      </c>
      <c r="ES4" s="9">
        <f>BT4*'MASTER SHEET'!D4</f>
        <v>15899.34</v>
      </c>
      <c r="ET4" s="9">
        <f>BX4*'MASTER SHEET'!D4</f>
        <v>15899.34</v>
      </c>
      <c r="EU4" s="9">
        <f>CB4*'MASTER SHEET'!D4</f>
        <v>15899.34</v>
      </c>
      <c r="EV4" s="9">
        <f>CF4*'MASTER SHEET'!D4</f>
        <v>15899.34</v>
      </c>
      <c r="EW4" s="9">
        <f>CJ4*'MASTER SHEET'!D4</f>
        <v>15899.34</v>
      </c>
      <c r="EX4" s="9">
        <f>CN4*'MASTER SHEET'!D4</f>
        <v>107960.34</v>
      </c>
      <c r="EY4" s="9">
        <f>CV4*'MASTER SHEET'!D4</f>
        <v>107960.34</v>
      </c>
      <c r="EZ4" s="9">
        <f>CV4*'MASTER SHEET'!D4</f>
        <v>107960.34</v>
      </c>
      <c r="FA4" s="9">
        <f>CZ4*'MASTER SHEET'!D4</f>
        <v>107960.34</v>
      </c>
      <c r="FB4" s="9">
        <f>DD4*'MASTER SHEET'!D4</f>
        <v>107960.34</v>
      </c>
      <c r="FC4" s="9">
        <f>DH4*'MASTER SHEET'!D4</f>
        <v>105644.34</v>
      </c>
      <c r="FD4" s="9">
        <f>DL4*'MASTER SHEET'!D4</f>
        <v>99854.34</v>
      </c>
      <c r="FE4" s="9">
        <f>DP4*'MASTER SHEET'!D4</f>
        <v>94064.34</v>
      </c>
      <c r="FF4" s="9">
        <f>DT4*'MASTER SHEET'!D4</f>
        <v>94064.34</v>
      </c>
      <c r="FG4" s="9">
        <f>DX4*'MASTER SHEET'!D4</f>
        <v>94064.34</v>
      </c>
    </row>
    <row r="5" spans="1:163" ht="20.25" x14ac:dyDescent="0.25">
      <c r="A5" s="43">
        <f>'MASTER SHEET'!A5</f>
        <v>3</v>
      </c>
      <c r="B5" s="26" t="str">
        <f>'MASTER SHEET'!B5</f>
        <v>BASE HOUSING</v>
      </c>
      <c r="C5" s="82">
        <f>'MASTER SHEET'!C5</f>
        <v>5009579</v>
      </c>
      <c r="D5" s="64"/>
      <c r="E5" s="28"/>
      <c r="F5" s="28"/>
      <c r="G5" s="65"/>
      <c r="H5" s="64">
        <f t="shared" si="35"/>
        <v>0</v>
      </c>
      <c r="I5" s="28"/>
      <c r="J5" s="28"/>
      <c r="K5" s="65"/>
      <c r="L5" s="64">
        <f t="shared" si="36"/>
        <v>0</v>
      </c>
      <c r="M5" s="28"/>
      <c r="N5" s="28"/>
      <c r="O5" s="65"/>
      <c r="P5" s="64">
        <f t="shared" si="37"/>
        <v>0</v>
      </c>
      <c r="Q5" s="28"/>
      <c r="R5" s="28"/>
      <c r="S5" s="65"/>
      <c r="T5" s="64">
        <f t="shared" si="38"/>
        <v>0</v>
      </c>
      <c r="U5" s="28"/>
      <c r="V5" s="28"/>
      <c r="W5" s="65"/>
      <c r="X5" s="64">
        <f t="shared" si="39"/>
        <v>0</v>
      </c>
      <c r="Y5" s="28"/>
      <c r="Z5" s="28"/>
      <c r="AA5" s="65"/>
      <c r="AB5" s="64">
        <f t="shared" si="40"/>
        <v>0</v>
      </c>
      <c r="AC5" s="28"/>
      <c r="AD5" s="28"/>
      <c r="AE5" s="65"/>
      <c r="AF5" s="64">
        <f t="shared" si="41"/>
        <v>0</v>
      </c>
      <c r="AG5" s="28"/>
      <c r="AH5" s="28"/>
      <c r="AI5" s="65"/>
      <c r="AJ5" s="64">
        <f t="shared" si="42"/>
        <v>0</v>
      </c>
      <c r="AK5" s="28"/>
      <c r="AL5" s="28"/>
      <c r="AM5" s="65"/>
      <c r="AN5" s="64">
        <f t="shared" si="43"/>
        <v>0</v>
      </c>
      <c r="AO5" s="28"/>
      <c r="AP5" s="28"/>
      <c r="AQ5" s="65"/>
      <c r="AR5" s="64">
        <f t="shared" si="44"/>
        <v>0</v>
      </c>
      <c r="AS5" s="28"/>
      <c r="AT5" s="28"/>
      <c r="AU5" s="65"/>
      <c r="AV5" s="64">
        <f t="shared" si="45"/>
        <v>0</v>
      </c>
      <c r="AW5" s="28"/>
      <c r="AX5" s="28"/>
      <c r="AY5" s="65"/>
      <c r="AZ5" s="64">
        <f t="shared" si="46"/>
        <v>0</v>
      </c>
      <c r="BA5" s="28"/>
      <c r="BB5" s="28"/>
      <c r="BC5" s="65"/>
      <c r="BD5" s="64">
        <f t="shared" si="47"/>
        <v>0</v>
      </c>
      <c r="BE5" s="28"/>
      <c r="BF5" s="28"/>
      <c r="BG5" s="65"/>
      <c r="BH5" s="64">
        <f t="shared" si="48"/>
        <v>0</v>
      </c>
      <c r="BI5" s="28"/>
      <c r="BJ5" s="28"/>
      <c r="BK5" s="65"/>
      <c r="BL5" s="64">
        <f t="shared" si="49"/>
        <v>0</v>
      </c>
      <c r="BM5" s="28"/>
      <c r="BN5" s="28"/>
      <c r="BO5" s="65"/>
      <c r="BP5" s="64">
        <f t="shared" si="50"/>
        <v>0</v>
      </c>
      <c r="BQ5" s="28"/>
      <c r="BR5" s="28"/>
      <c r="BS5" s="65"/>
      <c r="BT5" s="64">
        <f t="shared" si="51"/>
        <v>0</v>
      </c>
      <c r="BU5" s="28"/>
      <c r="BV5" s="28"/>
      <c r="BW5" s="65"/>
      <c r="BX5" s="64">
        <f t="shared" si="52"/>
        <v>0</v>
      </c>
      <c r="BY5" s="28"/>
      <c r="BZ5" s="28"/>
      <c r="CA5" s="65"/>
      <c r="CB5" s="64">
        <f t="shared" si="53"/>
        <v>0</v>
      </c>
      <c r="CC5" s="28"/>
      <c r="CD5" s="28"/>
      <c r="CE5" s="65"/>
      <c r="CF5" s="64">
        <f t="shared" si="54"/>
        <v>0</v>
      </c>
      <c r="CG5" s="28"/>
      <c r="CH5" s="28"/>
      <c r="CI5" s="65"/>
      <c r="CJ5" s="64">
        <f t="shared" si="55"/>
        <v>0</v>
      </c>
      <c r="CK5" s="28"/>
      <c r="CL5" s="28"/>
      <c r="CM5" s="65"/>
      <c r="CN5" s="64">
        <f t="shared" si="56"/>
        <v>0</v>
      </c>
      <c r="CO5" s="28"/>
      <c r="CP5" s="28"/>
      <c r="CQ5" s="65"/>
      <c r="CR5" s="64">
        <f t="shared" si="57"/>
        <v>0</v>
      </c>
      <c r="CS5" s="28"/>
      <c r="CT5" s="28"/>
      <c r="CU5" s="65"/>
      <c r="CV5" s="64">
        <f t="shared" si="58"/>
        <v>0</v>
      </c>
      <c r="CW5" s="28"/>
      <c r="CX5" s="28"/>
      <c r="CY5" s="65"/>
      <c r="CZ5" s="64">
        <f t="shared" si="59"/>
        <v>0</v>
      </c>
      <c r="DA5" s="28"/>
      <c r="DB5" s="28"/>
      <c r="DC5" s="65"/>
      <c r="DD5" s="64">
        <f t="shared" si="60"/>
        <v>0</v>
      </c>
      <c r="DE5" s="28"/>
      <c r="DF5" s="28"/>
      <c r="DG5" s="65"/>
      <c r="DH5" s="64">
        <f t="shared" si="61"/>
        <v>0</v>
      </c>
      <c r="DI5" s="28"/>
      <c r="DJ5" s="28"/>
      <c r="DK5" s="65"/>
      <c r="DL5" s="64">
        <f t="shared" si="62"/>
        <v>0</v>
      </c>
      <c r="DM5" s="28"/>
      <c r="DN5" s="28"/>
      <c r="DO5" s="65"/>
      <c r="DP5" s="64">
        <f t="shared" si="63"/>
        <v>0</v>
      </c>
      <c r="DQ5" s="28"/>
      <c r="DR5" s="28"/>
      <c r="DS5" s="65"/>
      <c r="DT5" s="64">
        <f t="shared" si="64"/>
        <v>0</v>
      </c>
      <c r="DU5" s="28"/>
      <c r="DV5" s="28"/>
      <c r="DW5" s="65"/>
      <c r="DX5" s="30">
        <f t="shared" si="65"/>
        <v>0</v>
      </c>
      <c r="DY5" s="31">
        <f t="shared" si="32"/>
        <v>0</v>
      </c>
      <c r="DZ5" s="31">
        <f t="shared" si="33"/>
        <v>0</v>
      </c>
      <c r="EA5" s="4">
        <f t="shared" si="34"/>
        <v>0</v>
      </c>
      <c r="EB5" s="9">
        <f>D5*'MASTER SHEET'!D5</f>
        <v>0</v>
      </c>
      <c r="EC5" s="9">
        <f>H5*'MASTER SHEET'!D5</f>
        <v>0</v>
      </c>
      <c r="ED5" s="9">
        <f>L5*'MASTER SHEET'!D5</f>
        <v>0</v>
      </c>
      <c r="EE5" s="9">
        <f>P5*'MASTER SHEET'!D5</f>
        <v>0</v>
      </c>
      <c r="EF5" s="9">
        <f>T5*'MASTER SHEET'!D5</f>
        <v>0</v>
      </c>
      <c r="EG5" s="9">
        <f>X5*'MASTER SHEET'!D5</f>
        <v>0</v>
      </c>
      <c r="EH5" s="9">
        <f>AB5*'MASTER SHEET'!D5</f>
        <v>0</v>
      </c>
      <c r="EI5" s="9">
        <f>AF5*'MASTER SHEET'!D5</f>
        <v>0</v>
      </c>
      <c r="EJ5" s="9">
        <f>AJ5*'MASTER SHEET'!D5</f>
        <v>0</v>
      </c>
      <c r="EK5" s="9">
        <f>AN5*'MASTER SHEET'!D5</f>
        <v>0</v>
      </c>
      <c r="EL5" s="9">
        <f>AR5*'MASTER SHEET'!D5</f>
        <v>0</v>
      </c>
      <c r="EM5" s="9">
        <f>AV5*'MASTER SHEET'!D5</f>
        <v>0</v>
      </c>
      <c r="EN5" s="9">
        <f>AZ5*'MASTER SHEET'!D5</f>
        <v>0</v>
      </c>
      <c r="EO5" s="9">
        <f>BD5*'MASTER SHEET'!D5</f>
        <v>0</v>
      </c>
      <c r="EP5" s="9">
        <f>BH5*'MASTER SHEET'!D5</f>
        <v>0</v>
      </c>
      <c r="EQ5" s="9">
        <f>BL5*'MASTER SHEET'!D5</f>
        <v>0</v>
      </c>
      <c r="ER5" s="9">
        <f>BP5*'MASTER SHEET'!D5</f>
        <v>0</v>
      </c>
      <c r="ES5" s="9">
        <f>BT5*'MASTER SHEET'!D5</f>
        <v>0</v>
      </c>
      <c r="ET5" s="9">
        <f>BX5*'MASTER SHEET'!D5</f>
        <v>0</v>
      </c>
      <c r="EU5" s="9">
        <f>CB5*'MASTER SHEET'!D5</f>
        <v>0</v>
      </c>
      <c r="EV5" s="9">
        <f>CF5*'MASTER SHEET'!D5</f>
        <v>0</v>
      </c>
      <c r="EW5" s="9">
        <f>CJ5*'MASTER SHEET'!D5</f>
        <v>0</v>
      </c>
      <c r="EX5" s="9">
        <f>CN5*'MASTER SHEET'!D5</f>
        <v>0</v>
      </c>
      <c r="EY5" s="9">
        <f>CV5*'MASTER SHEET'!D5</f>
        <v>0</v>
      </c>
      <c r="EZ5" s="9">
        <f>CV5*'MASTER SHEET'!D5</f>
        <v>0</v>
      </c>
      <c r="FA5" s="9">
        <f>CZ5*'MASTER SHEET'!D5</f>
        <v>0</v>
      </c>
      <c r="FB5" s="9">
        <f>DD5*'MASTER SHEET'!D5</f>
        <v>0</v>
      </c>
      <c r="FC5" s="9">
        <f>DH5*'MASTER SHEET'!D5</f>
        <v>0</v>
      </c>
      <c r="FD5" s="9">
        <f>DL5*'MASTER SHEET'!D5</f>
        <v>0</v>
      </c>
      <c r="FE5" s="9">
        <f>DP5*'MASTER SHEET'!D5</f>
        <v>0</v>
      </c>
      <c r="FF5" s="9">
        <f>DT5*'MASTER SHEET'!D5</f>
        <v>0</v>
      </c>
      <c r="FG5" s="9">
        <f>DX5*'MASTER SHEET'!D5</f>
        <v>0</v>
      </c>
    </row>
    <row r="6" spans="1:163" ht="20.25" x14ac:dyDescent="0.25">
      <c r="A6" s="43">
        <f>'MASTER SHEET'!A6</f>
        <v>4</v>
      </c>
      <c r="B6" s="26" t="str">
        <f>'MASTER SHEET'!B6</f>
        <v>CDR CAP</v>
      </c>
      <c r="C6" s="82">
        <f>'MASTER SHEET'!C6</f>
        <v>5009583</v>
      </c>
      <c r="D6" s="64"/>
      <c r="E6" s="28"/>
      <c r="F6" s="28"/>
      <c r="G6" s="65"/>
      <c r="H6" s="64">
        <f t="shared" si="35"/>
        <v>0</v>
      </c>
      <c r="I6" s="28"/>
      <c r="J6" s="28"/>
      <c r="K6" s="65"/>
      <c r="L6" s="64">
        <f t="shared" si="36"/>
        <v>0</v>
      </c>
      <c r="M6" s="28"/>
      <c r="N6" s="28"/>
      <c r="O6" s="65"/>
      <c r="P6" s="64">
        <f t="shared" si="37"/>
        <v>0</v>
      </c>
      <c r="Q6" s="28"/>
      <c r="R6" s="28"/>
      <c r="S6" s="65"/>
      <c r="T6" s="64">
        <f t="shared" si="38"/>
        <v>0</v>
      </c>
      <c r="U6" s="28"/>
      <c r="V6" s="28"/>
      <c r="W6" s="65"/>
      <c r="X6" s="64">
        <f t="shared" si="39"/>
        <v>0</v>
      </c>
      <c r="Y6" s="28"/>
      <c r="Z6" s="28"/>
      <c r="AA6" s="65"/>
      <c r="AB6" s="64">
        <f t="shared" si="40"/>
        <v>0</v>
      </c>
      <c r="AC6" s="28"/>
      <c r="AD6" s="28"/>
      <c r="AE6" s="65"/>
      <c r="AF6" s="64">
        <f t="shared" si="41"/>
        <v>0</v>
      </c>
      <c r="AG6" s="28"/>
      <c r="AH6" s="28"/>
      <c r="AI6" s="65"/>
      <c r="AJ6" s="64">
        <f t="shared" si="42"/>
        <v>0</v>
      </c>
      <c r="AK6" s="28"/>
      <c r="AL6" s="28"/>
      <c r="AM6" s="65"/>
      <c r="AN6" s="64">
        <f t="shared" si="43"/>
        <v>0</v>
      </c>
      <c r="AO6" s="28"/>
      <c r="AP6" s="28"/>
      <c r="AQ6" s="65"/>
      <c r="AR6" s="64">
        <f t="shared" si="44"/>
        <v>0</v>
      </c>
      <c r="AS6" s="28"/>
      <c r="AT6" s="28"/>
      <c r="AU6" s="65"/>
      <c r="AV6" s="64">
        <f t="shared" si="45"/>
        <v>0</v>
      </c>
      <c r="AW6" s="28"/>
      <c r="AX6" s="28"/>
      <c r="AY6" s="65"/>
      <c r="AZ6" s="64">
        <f t="shared" si="46"/>
        <v>0</v>
      </c>
      <c r="BA6" s="28"/>
      <c r="BB6" s="28"/>
      <c r="BC6" s="65"/>
      <c r="BD6" s="64">
        <f t="shared" si="47"/>
        <v>0</v>
      </c>
      <c r="BE6" s="28"/>
      <c r="BF6" s="28"/>
      <c r="BG6" s="65"/>
      <c r="BH6" s="64">
        <f t="shared" si="48"/>
        <v>0</v>
      </c>
      <c r="BI6" s="28"/>
      <c r="BJ6" s="28"/>
      <c r="BK6" s="65"/>
      <c r="BL6" s="64">
        <f t="shared" si="49"/>
        <v>0</v>
      </c>
      <c r="BM6" s="28"/>
      <c r="BN6" s="28"/>
      <c r="BO6" s="65"/>
      <c r="BP6" s="64">
        <f t="shared" si="50"/>
        <v>0</v>
      </c>
      <c r="BQ6" s="28"/>
      <c r="BR6" s="28"/>
      <c r="BS6" s="65"/>
      <c r="BT6" s="64">
        <f t="shared" si="51"/>
        <v>0</v>
      </c>
      <c r="BU6" s="28"/>
      <c r="BV6" s="28"/>
      <c r="BW6" s="65"/>
      <c r="BX6" s="64">
        <f t="shared" si="52"/>
        <v>0</v>
      </c>
      <c r="BY6" s="28"/>
      <c r="BZ6" s="28"/>
      <c r="CA6" s="65"/>
      <c r="CB6" s="64">
        <f t="shared" si="53"/>
        <v>0</v>
      </c>
      <c r="CC6" s="28"/>
      <c r="CD6" s="28"/>
      <c r="CE6" s="65"/>
      <c r="CF6" s="64">
        <f t="shared" si="54"/>
        <v>0</v>
      </c>
      <c r="CG6" s="28"/>
      <c r="CH6" s="28"/>
      <c r="CI6" s="65"/>
      <c r="CJ6" s="64">
        <f t="shared" si="55"/>
        <v>0</v>
      </c>
      <c r="CK6" s="28"/>
      <c r="CL6" s="28"/>
      <c r="CM6" s="65"/>
      <c r="CN6" s="64">
        <f t="shared" si="56"/>
        <v>0</v>
      </c>
      <c r="CO6" s="28"/>
      <c r="CP6" s="28"/>
      <c r="CQ6" s="65"/>
      <c r="CR6" s="64">
        <f t="shared" si="57"/>
        <v>0</v>
      </c>
      <c r="CS6" s="28"/>
      <c r="CT6" s="28"/>
      <c r="CU6" s="65"/>
      <c r="CV6" s="64">
        <f t="shared" si="58"/>
        <v>0</v>
      </c>
      <c r="CW6" s="28"/>
      <c r="CX6" s="28"/>
      <c r="CY6" s="65"/>
      <c r="CZ6" s="64">
        <f t="shared" si="59"/>
        <v>0</v>
      </c>
      <c r="DA6" s="28"/>
      <c r="DB6" s="28"/>
      <c r="DC6" s="65"/>
      <c r="DD6" s="64">
        <f t="shared" si="60"/>
        <v>0</v>
      </c>
      <c r="DE6" s="28"/>
      <c r="DF6" s="28"/>
      <c r="DG6" s="65"/>
      <c r="DH6" s="64">
        <f t="shared" si="61"/>
        <v>0</v>
      </c>
      <c r="DI6" s="28"/>
      <c r="DJ6" s="28"/>
      <c r="DK6" s="65"/>
      <c r="DL6" s="64">
        <f t="shared" si="62"/>
        <v>0</v>
      </c>
      <c r="DM6" s="28"/>
      <c r="DN6" s="28"/>
      <c r="DO6" s="65"/>
      <c r="DP6" s="64">
        <f t="shared" si="63"/>
        <v>0</v>
      </c>
      <c r="DQ6" s="28"/>
      <c r="DR6" s="28"/>
      <c r="DS6" s="65"/>
      <c r="DT6" s="64">
        <f t="shared" si="64"/>
        <v>0</v>
      </c>
      <c r="DU6" s="28"/>
      <c r="DV6" s="28"/>
      <c r="DW6" s="65"/>
      <c r="DX6" s="30">
        <f t="shared" si="65"/>
        <v>0</v>
      </c>
      <c r="DY6" s="31">
        <f t="shared" si="32"/>
        <v>0</v>
      </c>
      <c r="DZ6" s="31">
        <f t="shared" si="33"/>
        <v>0</v>
      </c>
      <c r="EA6" s="4">
        <f t="shared" si="34"/>
        <v>0</v>
      </c>
      <c r="EB6" s="9">
        <f>D6*'MASTER SHEET'!D6</f>
        <v>0</v>
      </c>
      <c r="EC6" s="9">
        <f>H6*'MASTER SHEET'!D6</f>
        <v>0</v>
      </c>
      <c r="ED6" s="9">
        <f>L6*'MASTER SHEET'!D6</f>
        <v>0</v>
      </c>
      <c r="EE6" s="9">
        <f>P6*'MASTER SHEET'!D6</f>
        <v>0</v>
      </c>
      <c r="EF6" s="9">
        <f>T6*'MASTER SHEET'!D6</f>
        <v>0</v>
      </c>
      <c r="EG6" s="9">
        <f>X6*'MASTER SHEET'!D6</f>
        <v>0</v>
      </c>
      <c r="EH6" s="9">
        <f>AB6*'MASTER SHEET'!D6</f>
        <v>0</v>
      </c>
      <c r="EI6" s="9">
        <f>AF6*'MASTER SHEET'!D6</f>
        <v>0</v>
      </c>
      <c r="EJ6" s="9">
        <f>AJ6*'MASTER SHEET'!D6</f>
        <v>0</v>
      </c>
      <c r="EK6" s="9">
        <f>AN6*'MASTER SHEET'!D6</f>
        <v>0</v>
      </c>
      <c r="EL6" s="9">
        <f>AR6*'MASTER SHEET'!D6</f>
        <v>0</v>
      </c>
      <c r="EM6" s="9">
        <f>AV6*'MASTER SHEET'!D6</f>
        <v>0</v>
      </c>
      <c r="EN6" s="9">
        <f>AZ6*'MASTER SHEET'!D6</f>
        <v>0</v>
      </c>
      <c r="EO6" s="9">
        <f>BD6*'MASTER SHEET'!D6</f>
        <v>0</v>
      </c>
      <c r="EP6" s="9">
        <f>BH6*'MASTER SHEET'!D6</f>
        <v>0</v>
      </c>
      <c r="EQ6" s="9">
        <f>BL6*'MASTER SHEET'!D6</f>
        <v>0</v>
      </c>
      <c r="ER6" s="9">
        <f>BP6*'MASTER SHEET'!D6</f>
        <v>0</v>
      </c>
      <c r="ES6" s="9">
        <f>BT6*'MASTER SHEET'!D6</f>
        <v>0</v>
      </c>
      <c r="ET6" s="9">
        <f>BX6*'MASTER SHEET'!D6</f>
        <v>0</v>
      </c>
      <c r="EU6" s="9">
        <f>CB6*'MASTER SHEET'!D6</f>
        <v>0</v>
      </c>
      <c r="EV6" s="9">
        <f>CF6*'MASTER SHEET'!D6</f>
        <v>0</v>
      </c>
      <c r="EW6" s="9">
        <f>CJ6*'MASTER SHEET'!D6</f>
        <v>0</v>
      </c>
      <c r="EX6" s="9">
        <f>CN6*'MASTER SHEET'!D6</f>
        <v>0</v>
      </c>
      <c r="EY6" s="9">
        <f>CV6*'MASTER SHEET'!D6</f>
        <v>0</v>
      </c>
      <c r="EZ6" s="9">
        <f>CV6*'MASTER SHEET'!D6</f>
        <v>0</v>
      </c>
      <c r="FA6" s="9">
        <f>CZ6*'MASTER SHEET'!D6</f>
        <v>0</v>
      </c>
      <c r="FB6" s="9">
        <f>DD6*'MASTER SHEET'!D6</f>
        <v>0</v>
      </c>
      <c r="FC6" s="9">
        <f>DH6*'MASTER SHEET'!D6</f>
        <v>0</v>
      </c>
      <c r="FD6" s="9">
        <f>DL6*'MASTER SHEET'!D6</f>
        <v>0</v>
      </c>
      <c r="FE6" s="9">
        <f>DP6*'MASTER SHEET'!D6</f>
        <v>0</v>
      </c>
      <c r="FF6" s="9">
        <f>DT6*'MASTER SHEET'!D6</f>
        <v>0</v>
      </c>
      <c r="FG6" s="9">
        <f>DX6*'MASTER SHEET'!D6</f>
        <v>0</v>
      </c>
    </row>
    <row r="7" spans="1:163" ht="20.25" x14ac:dyDescent="0.25">
      <c r="A7" s="43">
        <f>'MASTER SHEET'!A7</f>
        <v>5</v>
      </c>
      <c r="B7" s="26" t="str">
        <f>'MASTER SHEET'!B7</f>
        <v>ENDPLATE</v>
      </c>
      <c r="C7" s="82">
        <f>'MASTER SHEET'!C7</f>
        <v>5011413</v>
      </c>
      <c r="D7" s="64"/>
      <c r="E7" s="28">
        <v>1100</v>
      </c>
      <c r="F7" s="28">
        <v>1100</v>
      </c>
      <c r="G7" s="65"/>
      <c r="H7" s="64">
        <f t="shared" si="35"/>
        <v>0</v>
      </c>
      <c r="I7" s="28">
        <v>1100</v>
      </c>
      <c r="J7" s="28">
        <v>1100</v>
      </c>
      <c r="K7" s="65"/>
      <c r="L7" s="64">
        <f t="shared" si="36"/>
        <v>0</v>
      </c>
      <c r="M7" s="28"/>
      <c r="N7" s="28"/>
      <c r="O7" s="65"/>
      <c r="P7" s="64">
        <f t="shared" si="37"/>
        <v>0</v>
      </c>
      <c r="Q7" s="28">
        <v>2000</v>
      </c>
      <c r="R7" s="28">
        <v>2000</v>
      </c>
      <c r="S7" s="65"/>
      <c r="T7" s="64">
        <f t="shared" si="38"/>
        <v>0</v>
      </c>
      <c r="U7" s="28"/>
      <c r="V7" s="28"/>
      <c r="W7" s="65"/>
      <c r="X7" s="64">
        <f t="shared" si="39"/>
        <v>0</v>
      </c>
      <c r="Y7" s="28">
        <v>1000</v>
      </c>
      <c r="Z7" s="28">
        <v>1000</v>
      </c>
      <c r="AA7" s="65"/>
      <c r="AB7" s="64">
        <f t="shared" si="40"/>
        <v>0</v>
      </c>
      <c r="AC7" s="28">
        <v>1000</v>
      </c>
      <c r="AD7" s="28">
        <v>1000</v>
      </c>
      <c r="AE7" s="65"/>
      <c r="AF7" s="64">
        <f t="shared" si="41"/>
        <v>0</v>
      </c>
      <c r="AG7" s="28">
        <v>1000</v>
      </c>
      <c r="AH7" s="28">
        <v>1000</v>
      </c>
      <c r="AI7" s="65"/>
      <c r="AJ7" s="64">
        <f t="shared" si="42"/>
        <v>0</v>
      </c>
      <c r="AK7" s="28">
        <v>1000</v>
      </c>
      <c r="AL7" s="28">
        <v>1000</v>
      </c>
      <c r="AM7" s="65"/>
      <c r="AN7" s="64">
        <f t="shared" si="43"/>
        <v>0</v>
      </c>
      <c r="AO7" s="28">
        <v>800</v>
      </c>
      <c r="AP7" s="28">
        <v>800</v>
      </c>
      <c r="AQ7" s="65"/>
      <c r="AR7" s="64">
        <f t="shared" si="44"/>
        <v>0</v>
      </c>
      <c r="AS7" s="28">
        <v>1000</v>
      </c>
      <c r="AT7" s="28">
        <v>1000</v>
      </c>
      <c r="AU7" s="65"/>
      <c r="AV7" s="64">
        <f t="shared" si="45"/>
        <v>0</v>
      </c>
      <c r="AW7" s="28"/>
      <c r="AX7" s="28"/>
      <c r="AY7" s="65"/>
      <c r="AZ7" s="64">
        <f t="shared" si="46"/>
        <v>0</v>
      </c>
      <c r="BA7" s="28">
        <v>1000</v>
      </c>
      <c r="BB7" s="28">
        <v>1000</v>
      </c>
      <c r="BC7" s="65"/>
      <c r="BD7" s="64">
        <f t="shared" si="47"/>
        <v>0</v>
      </c>
      <c r="BE7" s="28">
        <v>1000</v>
      </c>
      <c r="BF7" s="28">
        <v>1000</v>
      </c>
      <c r="BG7" s="65"/>
      <c r="BH7" s="64">
        <f t="shared" si="48"/>
        <v>0</v>
      </c>
      <c r="BI7" s="28">
        <v>1000</v>
      </c>
      <c r="BJ7" s="28">
        <v>1000</v>
      </c>
      <c r="BK7" s="65"/>
      <c r="BL7" s="64">
        <f t="shared" si="49"/>
        <v>0</v>
      </c>
      <c r="BM7" s="28"/>
      <c r="BN7" s="28"/>
      <c r="BO7" s="65"/>
      <c r="BP7" s="64">
        <f t="shared" si="50"/>
        <v>0</v>
      </c>
      <c r="BQ7" s="28"/>
      <c r="BR7" s="28"/>
      <c r="BS7" s="65"/>
      <c r="BT7" s="64">
        <f t="shared" si="51"/>
        <v>0</v>
      </c>
      <c r="BU7" s="28"/>
      <c r="BV7" s="28"/>
      <c r="BW7" s="65"/>
      <c r="BX7" s="64">
        <f t="shared" si="52"/>
        <v>0</v>
      </c>
      <c r="BY7" s="28"/>
      <c r="BZ7" s="28"/>
      <c r="CA7" s="65"/>
      <c r="CB7" s="64">
        <f t="shared" si="53"/>
        <v>0</v>
      </c>
      <c r="CC7" s="28"/>
      <c r="CD7" s="28"/>
      <c r="CE7" s="65"/>
      <c r="CF7" s="64">
        <f t="shared" si="54"/>
        <v>0</v>
      </c>
      <c r="CG7" s="28"/>
      <c r="CH7" s="28"/>
      <c r="CI7" s="65"/>
      <c r="CJ7" s="64">
        <f t="shared" si="55"/>
        <v>0</v>
      </c>
      <c r="CK7" s="28"/>
      <c r="CL7" s="28"/>
      <c r="CM7" s="65"/>
      <c r="CN7" s="64">
        <f t="shared" si="56"/>
        <v>0</v>
      </c>
      <c r="CO7" s="28"/>
      <c r="CP7" s="28"/>
      <c r="CQ7" s="65"/>
      <c r="CR7" s="64">
        <f t="shared" si="57"/>
        <v>0</v>
      </c>
      <c r="CS7" s="28"/>
      <c r="CT7" s="28"/>
      <c r="CU7" s="65"/>
      <c r="CV7" s="64">
        <f t="shared" si="58"/>
        <v>0</v>
      </c>
      <c r="CW7" s="28"/>
      <c r="CX7" s="28"/>
      <c r="CY7" s="65"/>
      <c r="CZ7" s="64">
        <f t="shared" si="59"/>
        <v>0</v>
      </c>
      <c r="DA7" s="28"/>
      <c r="DB7" s="28"/>
      <c r="DC7" s="65"/>
      <c r="DD7" s="64">
        <f t="shared" si="60"/>
        <v>0</v>
      </c>
      <c r="DE7" s="28"/>
      <c r="DF7" s="28"/>
      <c r="DG7" s="65"/>
      <c r="DH7" s="64">
        <f t="shared" si="61"/>
        <v>0</v>
      </c>
      <c r="DI7" s="28"/>
      <c r="DJ7" s="28"/>
      <c r="DK7" s="65"/>
      <c r="DL7" s="64">
        <f t="shared" si="62"/>
        <v>0</v>
      </c>
      <c r="DM7" s="28"/>
      <c r="DN7" s="28"/>
      <c r="DO7" s="65"/>
      <c r="DP7" s="64">
        <f t="shared" si="63"/>
        <v>0</v>
      </c>
      <c r="DQ7" s="28"/>
      <c r="DR7" s="28"/>
      <c r="DS7" s="65"/>
      <c r="DT7" s="64">
        <f t="shared" si="64"/>
        <v>0</v>
      </c>
      <c r="DU7" s="28"/>
      <c r="DV7" s="28"/>
      <c r="DW7" s="65"/>
      <c r="DX7" s="30">
        <f t="shared" si="65"/>
        <v>0</v>
      </c>
      <c r="DY7" s="31">
        <f t="shared" si="32"/>
        <v>13000</v>
      </c>
      <c r="DZ7" s="31">
        <f t="shared" si="33"/>
        <v>13000</v>
      </c>
      <c r="EA7" s="4">
        <f t="shared" si="34"/>
        <v>0</v>
      </c>
      <c r="EB7" s="9">
        <f>D7*'MASTER SHEET'!D7</f>
        <v>0</v>
      </c>
      <c r="EC7" s="9">
        <f>H7*'MASTER SHEET'!D7</f>
        <v>0</v>
      </c>
      <c r="ED7" s="9">
        <f>L7*'MASTER SHEET'!D7</f>
        <v>0</v>
      </c>
      <c r="EE7" s="9">
        <f>P7*'MASTER SHEET'!D7</f>
        <v>0</v>
      </c>
      <c r="EF7" s="9">
        <f>T7*'MASTER SHEET'!D7</f>
        <v>0</v>
      </c>
      <c r="EG7" s="9">
        <f>X7*'MASTER SHEET'!D7</f>
        <v>0</v>
      </c>
      <c r="EH7" s="9">
        <f>AB7*'MASTER SHEET'!D7</f>
        <v>0</v>
      </c>
      <c r="EI7" s="9">
        <f>AF7*'MASTER SHEET'!D7</f>
        <v>0</v>
      </c>
      <c r="EJ7" s="9">
        <f>AJ7*'MASTER SHEET'!D7</f>
        <v>0</v>
      </c>
      <c r="EK7" s="9">
        <f>AN7*'MASTER SHEET'!D7</f>
        <v>0</v>
      </c>
      <c r="EL7" s="9">
        <f>AR7*'MASTER SHEET'!D7</f>
        <v>0</v>
      </c>
      <c r="EM7" s="9">
        <f>AV7*'MASTER SHEET'!D7</f>
        <v>0</v>
      </c>
      <c r="EN7" s="9">
        <f>AZ7*'MASTER SHEET'!D7</f>
        <v>0</v>
      </c>
      <c r="EO7" s="9">
        <f>BD7*'MASTER SHEET'!D7</f>
        <v>0</v>
      </c>
      <c r="EP7" s="9">
        <f>BH7*'MASTER SHEET'!D7</f>
        <v>0</v>
      </c>
      <c r="EQ7" s="9">
        <f>BL7*'MASTER SHEET'!D7</f>
        <v>0</v>
      </c>
      <c r="ER7" s="9">
        <f>BP7*'MASTER SHEET'!D7</f>
        <v>0</v>
      </c>
      <c r="ES7" s="9">
        <f>BT7*'MASTER SHEET'!D7</f>
        <v>0</v>
      </c>
      <c r="ET7" s="9">
        <f>BX7*'MASTER SHEET'!D7</f>
        <v>0</v>
      </c>
      <c r="EU7" s="9">
        <f>CB7*'MASTER SHEET'!D7</f>
        <v>0</v>
      </c>
      <c r="EV7" s="9">
        <f>CF7*'MASTER SHEET'!D7</f>
        <v>0</v>
      </c>
      <c r="EW7" s="9">
        <f>CJ7*'MASTER SHEET'!D7</f>
        <v>0</v>
      </c>
      <c r="EX7" s="9">
        <f>CN7*'MASTER SHEET'!D7</f>
        <v>0</v>
      </c>
      <c r="EY7" s="9">
        <f>CV7*'MASTER SHEET'!D7</f>
        <v>0</v>
      </c>
      <c r="EZ7" s="9">
        <f>CV7*'MASTER SHEET'!D7</f>
        <v>0</v>
      </c>
      <c r="FA7" s="9">
        <f>CZ7*'MASTER SHEET'!D7</f>
        <v>0</v>
      </c>
      <c r="FB7" s="9">
        <f>DD7*'MASTER SHEET'!D7</f>
        <v>0</v>
      </c>
      <c r="FC7" s="9">
        <f>DH7*'MASTER SHEET'!D7</f>
        <v>0</v>
      </c>
      <c r="FD7" s="9">
        <f>DL7*'MASTER SHEET'!D7</f>
        <v>0</v>
      </c>
      <c r="FE7" s="9">
        <f>DP7*'MASTER SHEET'!D7</f>
        <v>0</v>
      </c>
      <c r="FF7" s="9">
        <f>DT7*'MASTER SHEET'!D7</f>
        <v>0</v>
      </c>
      <c r="FG7" s="9">
        <f>DX7*'MASTER SHEET'!D7</f>
        <v>0</v>
      </c>
    </row>
    <row r="8" spans="1:163" ht="20.25" x14ac:dyDescent="0.25">
      <c r="A8" s="43">
        <f>'MASTER SHEET'!A8</f>
        <v>6</v>
      </c>
      <c r="B8" s="26" t="str">
        <f>'MASTER SHEET'!B8</f>
        <v>END PLATE PLASTIC</v>
      </c>
      <c r="C8" s="82">
        <f>'MASTER SHEET'!C8</f>
        <v>5011769</v>
      </c>
      <c r="D8" s="64"/>
      <c r="E8" s="28"/>
      <c r="F8" s="28"/>
      <c r="G8" s="65"/>
      <c r="H8" s="64">
        <f t="shared" si="35"/>
        <v>0</v>
      </c>
      <c r="I8" s="28">
        <v>4000</v>
      </c>
      <c r="J8" s="28">
        <v>4000</v>
      </c>
      <c r="K8" s="65"/>
      <c r="L8" s="64">
        <f t="shared" si="36"/>
        <v>0</v>
      </c>
      <c r="M8" s="28"/>
      <c r="N8" s="28"/>
      <c r="O8" s="65"/>
      <c r="P8" s="64">
        <f t="shared" si="37"/>
        <v>0</v>
      </c>
      <c r="Q8" s="28">
        <v>4000</v>
      </c>
      <c r="R8" s="28">
        <v>4000</v>
      </c>
      <c r="S8" s="65"/>
      <c r="T8" s="64">
        <f t="shared" si="38"/>
        <v>0</v>
      </c>
      <c r="U8" s="28"/>
      <c r="V8" s="28"/>
      <c r="W8" s="65"/>
      <c r="X8" s="64">
        <f t="shared" si="39"/>
        <v>0</v>
      </c>
      <c r="Y8" s="28">
        <v>4000</v>
      </c>
      <c r="Z8" s="28">
        <v>4000</v>
      </c>
      <c r="AA8" s="65"/>
      <c r="AB8" s="64">
        <f t="shared" si="40"/>
        <v>0</v>
      </c>
      <c r="AC8" s="28">
        <v>2800</v>
      </c>
      <c r="AD8" s="28">
        <v>2800</v>
      </c>
      <c r="AE8" s="65"/>
      <c r="AF8" s="64">
        <f t="shared" si="41"/>
        <v>0</v>
      </c>
      <c r="AG8" s="28"/>
      <c r="AH8" s="28"/>
      <c r="AI8" s="65"/>
      <c r="AJ8" s="64">
        <f t="shared" si="42"/>
        <v>0</v>
      </c>
      <c r="AK8" s="28">
        <v>2400</v>
      </c>
      <c r="AL8" s="28">
        <v>2400</v>
      </c>
      <c r="AM8" s="65"/>
      <c r="AN8" s="64">
        <f t="shared" si="43"/>
        <v>0</v>
      </c>
      <c r="AO8" s="28"/>
      <c r="AP8" s="28"/>
      <c r="AQ8" s="65"/>
      <c r="AR8" s="64">
        <f t="shared" si="44"/>
        <v>0</v>
      </c>
      <c r="AS8" s="28">
        <v>3200</v>
      </c>
      <c r="AT8" s="28">
        <v>3200</v>
      </c>
      <c r="AU8" s="65"/>
      <c r="AV8" s="64">
        <f t="shared" si="45"/>
        <v>0</v>
      </c>
      <c r="AW8" s="28"/>
      <c r="AX8" s="28"/>
      <c r="AY8" s="65"/>
      <c r="AZ8" s="64">
        <f t="shared" si="46"/>
        <v>0</v>
      </c>
      <c r="BA8" s="28">
        <v>5200</v>
      </c>
      <c r="BB8" s="28">
        <v>5200</v>
      </c>
      <c r="BC8" s="65"/>
      <c r="BD8" s="64">
        <f t="shared" si="47"/>
        <v>0</v>
      </c>
      <c r="BE8" s="28">
        <v>5200</v>
      </c>
      <c r="BF8" s="28">
        <v>5200</v>
      </c>
      <c r="BG8" s="65"/>
      <c r="BH8" s="64">
        <f t="shared" si="48"/>
        <v>0</v>
      </c>
      <c r="BI8" s="28"/>
      <c r="BJ8" s="28"/>
      <c r="BK8" s="65"/>
      <c r="BL8" s="64">
        <f t="shared" si="49"/>
        <v>0</v>
      </c>
      <c r="BM8" s="28"/>
      <c r="BN8" s="28"/>
      <c r="BO8" s="65"/>
      <c r="BP8" s="64">
        <f t="shared" si="50"/>
        <v>0</v>
      </c>
      <c r="BQ8" s="28">
        <v>1200</v>
      </c>
      <c r="BR8" s="28">
        <v>1200</v>
      </c>
      <c r="BS8" s="65"/>
      <c r="BT8" s="64">
        <f t="shared" si="51"/>
        <v>0</v>
      </c>
      <c r="BU8" s="28"/>
      <c r="BV8" s="28"/>
      <c r="BW8" s="65"/>
      <c r="BX8" s="64">
        <f t="shared" si="52"/>
        <v>0</v>
      </c>
      <c r="BY8" s="28"/>
      <c r="BZ8" s="28"/>
      <c r="CA8" s="65"/>
      <c r="CB8" s="64">
        <f t="shared" si="53"/>
        <v>0</v>
      </c>
      <c r="CC8" s="28"/>
      <c r="CD8" s="28"/>
      <c r="CE8" s="65"/>
      <c r="CF8" s="64">
        <f t="shared" si="54"/>
        <v>0</v>
      </c>
      <c r="CG8" s="28"/>
      <c r="CH8" s="28"/>
      <c r="CI8" s="65"/>
      <c r="CJ8" s="64">
        <f t="shared" si="55"/>
        <v>0</v>
      </c>
      <c r="CK8" s="28"/>
      <c r="CL8" s="28"/>
      <c r="CM8" s="65"/>
      <c r="CN8" s="64">
        <f t="shared" si="56"/>
        <v>0</v>
      </c>
      <c r="CO8" s="28"/>
      <c r="CP8" s="28"/>
      <c r="CQ8" s="65"/>
      <c r="CR8" s="64">
        <f t="shared" si="57"/>
        <v>0</v>
      </c>
      <c r="CS8" s="28">
        <v>1200</v>
      </c>
      <c r="CT8" s="28">
        <v>1200</v>
      </c>
      <c r="CU8" s="65"/>
      <c r="CV8" s="64">
        <f t="shared" si="58"/>
        <v>0</v>
      </c>
      <c r="CW8" s="28">
        <v>5600</v>
      </c>
      <c r="CX8" s="28">
        <v>5600</v>
      </c>
      <c r="CY8" s="65"/>
      <c r="CZ8" s="64">
        <f t="shared" si="59"/>
        <v>0</v>
      </c>
      <c r="DA8" s="28"/>
      <c r="DB8" s="28"/>
      <c r="DC8" s="65"/>
      <c r="DD8" s="64">
        <f t="shared" si="60"/>
        <v>0</v>
      </c>
      <c r="DE8" s="28">
        <v>8400</v>
      </c>
      <c r="DF8" s="28">
        <v>8400</v>
      </c>
      <c r="DG8" s="65"/>
      <c r="DH8" s="64">
        <f t="shared" si="61"/>
        <v>0</v>
      </c>
      <c r="DI8" s="28"/>
      <c r="DJ8" s="28"/>
      <c r="DK8" s="65"/>
      <c r="DL8" s="64">
        <f t="shared" si="62"/>
        <v>0</v>
      </c>
      <c r="DM8" s="28">
        <v>4000</v>
      </c>
      <c r="DN8" s="28">
        <v>4000</v>
      </c>
      <c r="DO8" s="65"/>
      <c r="DP8" s="64">
        <f t="shared" si="63"/>
        <v>0</v>
      </c>
      <c r="DQ8" s="28"/>
      <c r="DR8" s="28"/>
      <c r="DS8" s="65"/>
      <c r="DT8" s="64">
        <f t="shared" si="64"/>
        <v>0</v>
      </c>
      <c r="DU8" s="28"/>
      <c r="DV8" s="28"/>
      <c r="DW8" s="65"/>
      <c r="DX8" s="30">
        <f t="shared" si="65"/>
        <v>0</v>
      </c>
      <c r="DY8" s="31">
        <f t="shared" si="32"/>
        <v>51200</v>
      </c>
      <c r="DZ8" s="31">
        <f t="shared" si="33"/>
        <v>51200</v>
      </c>
      <c r="EA8" s="4">
        <f t="shared" si="34"/>
        <v>0</v>
      </c>
      <c r="EB8" s="9">
        <f>D8*'MASTER SHEET'!D8</f>
        <v>0</v>
      </c>
      <c r="EC8" s="9">
        <f>H8*'MASTER SHEET'!D8</f>
        <v>0</v>
      </c>
      <c r="ED8" s="9">
        <f>L8*'MASTER SHEET'!D8</f>
        <v>0</v>
      </c>
      <c r="EE8" s="9">
        <f>P8*'MASTER SHEET'!D8</f>
        <v>0</v>
      </c>
      <c r="EF8" s="9">
        <f>T8*'MASTER SHEET'!D8</f>
        <v>0</v>
      </c>
      <c r="EG8" s="9">
        <f>X8*'MASTER SHEET'!D8</f>
        <v>0</v>
      </c>
      <c r="EH8" s="9">
        <f>AB8*'MASTER SHEET'!D8</f>
        <v>0</v>
      </c>
      <c r="EI8" s="9">
        <f>AF8*'MASTER SHEET'!D8</f>
        <v>0</v>
      </c>
      <c r="EJ8" s="9">
        <f>AJ8*'MASTER SHEET'!D8</f>
        <v>0</v>
      </c>
      <c r="EK8" s="9">
        <f>AN8*'MASTER SHEET'!D8</f>
        <v>0</v>
      </c>
      <c r="EL8" s="9">
        <f>AR8*'MASTER SHEET'!D8</f>
        <v>0</v>
      </c>
      <c r="EM8" s="9">
        <f>AV8*'MASTER SHEET'!D8</f>
        <v>0</v>
      </c>
      <c r="EN8" s="9">
        <f>AZ8*'MASTER SHEET'!D8</f>
        <v>0</v>
      </c>
      <c r="EO8" s="9">
        <f>BD8*'MASTER SHEET'!D8</f>
        <v>0</v>
      </c>
      <c r="EP8" s="9">
        <f>BH8*'MASTER SHEET'!D8</f>
        <v>0</v>
      </c>
      <c r="EQ8" s="9">
        <f>BL8*'MASTER SHEET'!D8</f>
        <v>0</v>
      </c>
      <c r="ER8" s="9">
        <f>BP8*'MASTER SHEET'!D8</f>
        <v>0</v>
      </c>
      <c r="ES8" s="9">
        <f>BT8*'MASTER SHEET'!D8</f>
        <v>0</v>
      </c>
      <c r="ET8" s="9">
        <f>BX8*'MASTER SHEET'!D8</f>
        <v>0</v>
      </c>
      <c r="EU8" s="9">
        <f>CB8*'MASTER SHEET'!D8</f>
        <v>0</v>
      </c>
      <c r="EV8" s="9">
        <f>CF8*'MASTER SHEET'!D8</f>
        <v>0</v>
      </c>
      <c r="EW8" s="9">
        <f>CJ8*'MASTER SHEET'!D8</f>
        <v>0</v>
      </c>
      <c r="EX8" s="9">
        <f>CN8*'MASTER SHEET'!D8</f>
        <v>0</v>
      </c>
      <c r="EY8" s="9">
        <f>CV8*'MASTER SHEET'!D8</f>
        <v>0</v>
      </c>
      <c r="EZ8" s="9">
        <f>CV8*'MASTER SHEET'!D8</f>
        <v>0</v>
      </c>
      <c r="FA8" s="9">
        <f>CZ8*'MASTER SHEET'!D8</f>
        <v>0</v>
      </c>
      <c r="FB8" s="9">
        <f>DD8*'MASTER SHEET'!D8</f>
        <v>0</v>
      </c>
      <c r="FC8" s="9">
        <f>DH8*'MASTER SHEET'!D8</f>
        <v>0</v>
      </c>
      <c r="FD8" s="9">
        <f>DL8*'MASTER SHEET'!D8</f>
        <v>0</v>
      </c>
      <c r="FE8" s="9">
        <f>DP8*'MASTER SHEET'!D8</f>
        <v>0</v>
      </c>
      <c r="FF8" s="9">
        <f>DT8*'MASTER SHEET'!D8</f>
        <v>0</v>
      </c>
      <c r="FG8" s="9">
        <f>DX8*'MASTER SHEET'!D8</f>
        <v>0</v>
      </c>
    </row>
    <row r="9" spans="1:163" ht="20.25" x14ac:dyDescent="0.25">
      <c r="A9" s="43">
        <f>'MASTER SHEET'!A9</f>
        <v>7</v>
      </c>
      <c r="B9" s="26" t="str">
        <f>'MASTER SHEET'!B9</f>
        <v>LID HOUSING</v>
      </c>
      <c r="C9" s="82">
        <f>'MASTER SHEET'!C9</f>
        <v>5013518</v>
      </c>
      <c r="D9" s="64"/>
      <c r="E9" s="28"/>
      <c r="F9" s="28"/>
      <c r="G9" s="65"/>
      <c r="H9" s="64">
        <f t="shared" si="35"/>
        <v>0</v>
      </c>
      <c r="I9" s="28"/>
      <c r="J9" s="28"/>
      <c r="K9" s="65"/>
      <c r="L9" s="64">
        <f t="shared" si="36"/>
        <v>0</v>
      </c>
      <c r="M9" s="28"/>
      <c r="N9" s="28"/>
      <c r="O9" s="65"/>
      <c r="P9" s="64">
        <f t="shared" si="37"/>
        <v>0</v>
      </c>
      <c r="Q9" s="28"/>
      <c r="R9" s="28"/>
      <c r="S9" s="65"/>
      <c r="T9" s="64">
        <f t="shared" si="38"/>
        <v>0</v>
      </c>
      <c r="U9" s="28"/>
      <c r="V9" s="28"/>
      <c r="W9" s="65"/>
      <c r="X9" s="64">
        <f t="shared" si="39"/>
        <v>0</v>
      </c>
      <c r="Y9" s="28"/>
      <c r="Z9" s="28"/>
      <c r="AA9" s="65"/>
      <c r="AB9" s="64">
        <f t="shared" si="40"/>
        <v>0</v>
      </c>
      <c r="AC9" s="28"/>
      <c r="AD9" s="28"/>
      <c r="AE9" s="65"/>
      <c r="AF9" s="64">
        <f t="shared" si="41"/>
        <v>0</v>
      </c>
      <c r="AG9" s="28"/>
      <c r="AH9" s="28"/>
      <c r="AI9" s="65"/>
      <c r="AJ9" s="64">
        <f t="shared" si="42"/>
        <v>0</v>
      </c>
      <c r="AK9" s="28"/>
      <c r="AL9" s="28"/>
      <c r="AM9" s="65"/>
      <c r="AN9" s="64">
        <f t="shared" si="43"/>
        <v>0</v>
      </c>
      <c r="AO9" s="28"/>
      <c r="AP9" s="28"/>
      <c r="AQ9" s="65"/>
      <c r="AR9" s="64">
        <f t="shared" si="44"/>
        <v>0</v>
      </c>
      <c r="AS9" s="28"/>
      <c r="AT9" s="28"/>
      <c r="AU9" s="65"/>
      <c r="AV9" s="64">
        <f t="shared" si="45"/>
        <v>0</v>
      </c>
      <c r="AW9" s="28"/>
      <c r="AX9" s="28"/>
      <c r="AY9" s="65"/>
      <c r="AZ9" s="64">
        <f t="shared" si="46"/>
        <v>0</v>
      </c>
      <c r="BA9" s="28"/>
      <c r="BB9" s="28"/>
      <c r="BC9" s="65"/>
      <c r="BD9" s="64">
        <f t="shared" si="47"/>
        <v>0</v>
      </c>
      <c r="BE9" s="28"/>
      <c r="BF9" s="28"/>
      <c r="BG9" s="65"/>
      <c r="BH9" s="64">
        <f t="shared" si="48"/>
        <v>0</v>
      </c>
      <c r="BI9" s="28"/>
      <c r="BJ9" s="28"/>
      <c r="BK9" s="65"/>
      <c r="BL9" s="148">
        <f>BH9+BI9-BJ9-BK9</f>
        <v>0</v>
      </c>
      <c r="BM9" s="28"/>
      <c r="BN9" s="28"/>
      <c r="BO9" s="65"/>
      <c r="BP9" s="64">
        <f t="shared" si="50"/>
        <v>0</v>
      </c>
      <c r="BQ9" s="28"/>
      <c r="BR9" s="28"/>
      <c r="BS9" s="65"/>
      <c r="BT9" s="64">
        <f t="shared" si="51"/>
        <v>0</v>
      </c>
      <c r="BU9" s="28"/>
      <c r="BV9" s="28"/>
      <c r="BW9" s="65"/>
      <c r="BX9" s="64">
        <f t="shared" si="52"/>
        <v>0</v>
      </c>
      <c r="BY9" s="28"/>
      <c r="BZ9" s="28"/>
      <c r="CA9" s="65"/>
      <c r="CB9" s="64">
        <f t="shared" si="53"/>
        <v>0</v>
      </c>
      <c r="CC9" s="28"/>
      <c r="CD9" s="28"/>
      <c r="CE9" s="65"/>
      <c r="CF9" s="64">
        <f t="shared" si="54"/>
        <v>0</v>
      </c>
      <c r="CG9" s="28"/>
      <c r="CH9" s="28"/>
      <c r="CI9" s="65"/>
      <c r="CJ9" s="64">
        <f t="shared" si="55"/>
        <v>0</v>
      </c>
      <c r="CK9" s="28"/>
      <c r="CL9" s="28"/>
      <c r="CM9" s="65"/>
      <c r="CN9" s="64">
        <f t="shared" si="56"/>
        <v>0</v>
      </c>
      <c r="CO9" s="28"/>
      <c r="CP9" s="28"/>
      <c r="CQ9" s="65"/>
      <c r="CR9" s="64">
        <f t="shared" si="57"/>
        <v>0</v>
      </c>
      <c r="CS9" s="28"/>
      <c r="CT9" s="28"/>
      <c r="CU9" s="65"/>
      <c r="CV9" s="64">
        <f t="shared" si="58"/>
        <v>0</v>
      </c>
      <c r="CW9" s="28"/>
      <c r="CX9" s="28"/>
      <c r="CY9" s="65"/>
      <c r="CZ9" s="64">
        <f t="shared" si="59"/>
        <v>0</v>
      </c>
      <c r="DA9" s="28"/>
      <c r="DB9" s="28"/>
      <c r="DC9" s="65"/>
      <c r="DD9" s="64">
        <f t="shared" si="60"/>
        <v>0</v>
      </c>
      <c r="DE9" s="28"/>
      <c r="DF9" s="28"/>
      <c r="DG9" s="65"/>
      <c r="DH9" s="64">
        <f t="shared" si="61"/>
        <v>0</v>
      </c>
      <c r="DI9" s="28"/>
      <c r="DJ9" s="28"/>
      <c r="DK9" s="65"/>
      <c r="DL9" s="64">
        <f t="shared" si="62"/>
        <v>0</v>
      </c>
      <c r="DM9" s="28"/>
      <c r="DN9" s="28"/>
      <c r="DO9" s="65"/>
      <c r="DP9" s="64">
        <f t="shared" si="63"/>
        <v>0</v>
      </c>
      <c r="DQ9" s="28"/>
      <c r="DR9" s="28"/>
      <c r="DS9" s="65"/>
      <c r="DT9" s="64">
        <f t="shared" si="64"/>
        <v>0</v>
      </c>
      <c r="DU9" s="28"/>
      <c r="DV9" s="28"/>
      <c r="DW9" s="65"/>
      <c r="DX9" s="30">
        <f t="shared" si="65"/>
        <v>0</v>
      </c>
      <c r="DY9" s="31">
        <f t="shared" si="32"/>
        <v>0</v>
      </c>
      <c r="DZ9" s="31">
        <f t="shared" si="33"/>
        <v>0</v>
      </c>
      <c r="EA9" s="4">
        <f t="shared" si="34"/>
        <v>0</v>
      </c>
      <c r="EB9" s="9">
        <f>D9*'MASTER SHEET'!D9</f>
        <v>0</v>
      </c>
      <c r="EC9" s="9">
        <f>H9*'MASTER SHEET'!D9</f>
        <v>0</v>
      </c>
      <c r="ED9" s="9">
        <f>L9*'MASTER SHEET'!D9</f>
        <v>0</v>
      </c>
      <c r="EE9" s="9">
        <f>P9*'MASTER SHEET'!D9</f>
        <v>0</v>
      </c>
      <c r="EF9" s="9">
        <f>T9*'MASTER SHEET'!D9</f>
        <v>0</v>
      </c>
      <c r="EG9" s="9">
        <f>X9*'MASTER SHEET'!D9</f>
        <v>0</v>
      </c>
      <c r="EH9" s="9">
        <f>AB9*'MASTER SHEET'!D9</f>
        <v>0</v>
      </c>
      <c r="EI9" s="9">
        <f>AF9*'MASTER SHEET'!D9</f>
        <v>0</v>
      </c>
      <c r="EJ9" s="9">
        <f>AJ9*'MASTER SHEET'!D9</f>
        <v>0</v>
      </c>
      <c r="EK9" s="9">
        <f>AN9*'MASTER SHEET'!D9</f>
        <v>0</v>
      </c>
      <c r="EL9" s="9">
        <f>AR9*'MASTER SHEET'!D9</f>
        <v>0</v>
      </c>
      <c r="EM9" s="9">
        <f>AV9*'MASTER SHEET'!D9</f>
        <v>0</v>
      </c>
      <c r="EN9" s="9">
        <f>AZ9*'MASTER SHEET'!D9</f>
        <v>0</v>
      </c>
      <c r="EO9" s="9">
        <f>BD9*'MASTER SHEET'!D9</f>
        <v>0</v>
      </c>
      <c r="EP9" s="9">
        <f>BH9*'MASTER SHEET'!D9</f>
        <v>0</v>
      </c>
      <c r="EQ9" s="9">
        <f>BL9*'MASTER SHEET'!D9</f>
        <v>0</v>
      </c>
      <c r="ER9" s="9">
        <f>BP9*'MASTER SHEET'!D9</f>
        <v>0</v>
      </c>
      <c r="ES9" s="9">
        <f>BT9*'MASTER SHEET'!D9</f>
        <v>0</v>
      </c>
      <c r="ET9" s="9">
        <f>BX9*'MASTER SHEET'!D9</f>
        <v>0</v>
      </c>
      <c r="EU9" s="9">
        <f>CB9*'MASTER SHEET'!D9</f>
        <v>0</v>
      </c>
      <c r="EV9" s="9">
        <f>CF9*'MASTER SHEET'!D9</f>
        <v>0</v>
      </c>
      <c r="EW9" s="9">
        <f>CJ9*'MASTER SHEET'!D9</f>
        <v>0</v>
      </c>
      <c r="EX9" s="9">
        <f>CN9*'MASTER SHEET'!D9</f>
        <v>0</v>
      </c>
      <c r="EY9" s="9">
        <f>CV9*'MASTER SHEET'!D9</f>
        <v>0</v>
      </c>
      <c r="EZ9" s="9">
        <f>CV9*'MASTER SHEET'!D9</f>
        <v>0</v>
      </c>
      <c r="FA9" s="9">
        <f>CZ9*'MASTER SHEET'!D9</f>
        <v>0</v>
      </c>
      <c r="FB9" s="9">
        <f>DD9*'MASTER SHEET'!D9</f>
        <v>0</v>
      </c>
      <c r="FC9" s="9">
        <f>DH9*'MASTER SHEET'!D9</f>
        <v>0</v>
      </c>
      <c r="FD9" s="9">
        <f>DL9*'MASTER SHEET'!D9</f>
        <v>0</v>
      </c>
      <c r="FE9" s="9">
        <f>DP9*'MASTER SHEET'!D9</f>
        <v>0</v>
      </c>
      <c r="FF9" s="9">
        <f>DT9*'MASTER SHEET'!D9</f>
        <v>0</v>
      </c>
      <c r="FG9" s="9">
        <f>DX9*'MASTER SHEET'!D9</f>
        <v>0</v>
      </c>
    </row>
    <row r="10" spans="1:163" ht="20.25" x14ac:dyDescent="0.25">
      <c r="A10" s="43">
        <f>'MASTER SHEET'!A10</f>
        <v>8</v>
      </c>
      <c r="B10" s="26" t="str">
        <f>'MASTER SHEET'!B10</f>
        <v>LID HOUSING</v>
      </c>
      <c r="C10" s="82">
        <f>'MASTER SHEET'!C10</f>
        <v>5013520</v>
      </c>
      <c r="D10" s="64"/>
      <c r="E10" s="28"/>
      <c r="F10" s="28"/>
      <c r="G10" s="65"/>
      <c r="H10" s="64">
        <f t="shared" si="35"/>
        <v>0</v>
      </c>
      <c r="I10" s="28"/>
      <c r="J10" s="28"/>
      <c r="K10" s="65"/>
      <c r="L10" s="64">
        <f t="shared" si="36"/>
        <v>0</v>
      </c>
      <c r="M10" s="28"/>
      <c r="N10" s="28"/>
      <c r="O10" s="65"/>
      <c r="P10" s="64">
        <f t="shared" si="37"/>
        <v>0</v>
      </c>
      <c r="Q10" s="28"/>
      <c r="R10" s="28"/>
      <c r="S10" s="65"/>
      <c r="T10" s="64">
        <f t="shared" si="38"/>
        <v>0</v>
      </c>
      <c r="U10" s="28"/>
      <c r="V10" s="28"/>
      <c r="W10" s="65"/>
      <c r="X10" s="64">
        <f t="shared" si="39"/>
        <v>0</v>
      </c>
      <c r="Y10" s="28"/>
      <c r="Z10" s="28"/>
      <c r="AA10" s="65"/>
      <c r="AB10" s="64">
        <f t="shared" si="40"/>
        <v>0</v>
      </c>
      <c r="AC10" s="28"/>
      <c r="AD10" s="28"/>
      <c r="AE10" s="65"/>
      <c r="AF10" s="64">
        <f t="shared" si="41"/>
        <v>0</v>
      </c>
      <c r="AG10" s="28"/>
      <c r="AH10" s="28"/>
      <c r="AI10" s="65"/>
      <c r="AJ10" s="64">
        <f t="shared" si="42"/>
        <v>0</v>
      </c>
      <c r="AK10" s="28"/>
      <c r="AL10" s="28"/>
      <c r="AM10" s="65"/>
      <c r="AN10" s="64">
        <f t="shared" si="43"/>
        <v>0</v>
      </c>
      <c r="AO10" s="28"/>
      <c r="AP10" s="28"/>
      <c r="AQ10" s="65"/>
      <c r="AR10" s="64">
        <f t="shared" si="44"/>
        <v>0</v>
      </c>
      <c r="AS10" s="28"/>
      <c r="AT10" s="28"/>
      <c r="AU10" s="65"/>
      <c r="AV10" s="64">
        <f t="shared" si="45"/>
        <v>0</v>
      </c>
      <c r="AW10" s="28"/>
      <c r="AX10" s="28"/>
      <c r="AY10" s="65"/>
      <c r="AZ10" s="64">
        <f t="shared" si="46"/>
        <v>0</v>
      </c>
      <c r="BA10" s="28"/>
      <c r="BB10" s="28"/>
      <c r="BC10" s="65"/>
      <c r="BD10" s="64">
        <f t="shared" si="47"/>
        <v>0</v>
      </c>
      <c r="BE10" s="28"/>
      <c r="BF10" s="28"/>
      <c r="BG10" s="65"/>
      <c r="BH10" s="64">
        <f t="shared" si="48"/>
        <v>0</v>
      </c>
      <c r="BI10" s="28"/>
      <c r="BJ10" s="28"/>
      <c r="BK10" s="65"/>
      <c r="BL10" s="64">
        <f t="shared" si="49"/>
        <v>0</v>
      </c>
      <c r="BM10" s="28"/>
      <c r="BN10" s="28"/>
      <c r="BO10" s="65"/>
      <c r="BP10" s="64">
        <f t="shared" si="50"/>
        <v>0</v>
      </c>
      <c r="BQ10" s="28"/>
      <c r="BR10" s="28"/>
      <c r="BS10" s="65"/>
      <c r="BT10" s="64">
        <f t="shared" si="51"/>
        <v>0</v>
      </c>
      <c r="BU10" s="28"/>
      <c r="BV10" s="28"/>
      <c r="BW10" s="65"/>
      <c r="BX10" s="64">
        <f t="shared" si="52"/>
        <v>0</v>
      </c>
      <c r="BY10" s="28"/>
      <c r="BZ10" s="28"/>
      <c r="CA10" s="65"/>
      <c r="CB10" s="64">
        <f t="shared" si="53"/>
        <v>0</v>
      </c>
      <c r="CC10" s="28"/>
      <c r="CD10" s="28"/>
      <c r="CE10" s="65"/>
      <c r="CF10" s="64">
        <f t="shared" si="54"/>
        <v>0</v>
      </c>
      <c r="CG10" s="28"/>
      <c r="CH10" s="28"/>
      <c r="CI10" s="65"/>
      <c r="CJ10" s="64">
        <f t="shared" si="55"/>
        <v>0</v>
      </c>
      <c r="CK10" s="28"/>
      <c r="CL10" s="28"/>
      <c r="CM10" s="65"/>
      <c r="CN10" s="64">
        <f t="shared" si="56"/>
        <v>0</v>
      </c>
      <c r="CO10" s="28"/>
      <c r="CP10" s="28"/>
      <c r="CQ10" s="65"/>
      <c r="CR10" s="64">
        <f t="shared" si="57"/>
        <v>0</v>
      </c>
      <c r="CS10" s="28"/>
      <c r="CT10" s="28"/>
      <c r="CU10" s="65"/>
      <c r="CV10" s="64">
        <f t="shared" si="58"/>
        <v>0</v>
      </c>
      <c r="CW10" s="28"/>
      <c r="CX10" s="28"/>
      <c r="CY10" s="65"/>
      <c r="CZ10" s="64">
        <f t="shared" si="59"/>
        <v>0</v>
      </c>
      <c r="DA10" s="28"/>
      <c r="DB10" s="28"/>
      <c r="DC10" s="65"/>
      <c r="DD10" s="64">
        <f t="shared" si="60"/>
        <v>0</v>
      </c>
      <c r="DE10" s="28"/>
      <c r="DF10" s="28"/>
      <c r="DG10" s="65"/>
      <c r="DH10" s="64">
        <f t="shared" si="61"/>
        <v>0</v>
      </c>
      <c r="DI10" s="28"/>
      <c r="DJ10" s="28"/>
      <c r="DK10" s="65"/>
      <c r="DL10" s="64">
        <f t="shared" si="62"/>
        <v>0</v>
      </c>
      <c r="DM10" s="28"/>
      <c r="DN10" s="28"/>
      <c r="DO10" s="65"/>
      <c r="DP10" s="64">
        <f t="shared" si="63"/>
        <v>0</v>
      </c>
      <c r="DQ10" s="28"/>
      <c r="DR10" s="28"/>
      <c r="DS10" s="65"/>
      <c r="DT10" s="64">
        <f t="shared" si="64"/>
        <v>0</v>
      </c>
      <c r="DU10" s="28"/>
      <c r="DV10" s="28"/>
      <c r="DW10" s="65"/>
      <c r="DX10" s="30">
        <f t="shared" si="65"/>
        <v>0</v>
      </c>
      <c r="DY10" s="31">
        <f t="shared" si="32"/>
        <v>0</v>
      </c>
      <c r="DZ10" s="31">
        <f t="shared" si="33"/>
        <v>0</v>
      </c>
      <c r="EA10" s="4">
        <f t="shared" si="34"/>
        <v>0</v>
      </c>
      <c r="EB10" s="9">
        <f>D10*'MASTER SHEET'!D10</f>
        <v>0</v>
      </c>
      <c r="EC10" s="9">
        <f>H10*'MASTER SHEET'!D10</f>
        <v>0</v>
      </c>
      <c r="ED10" s="9">
        <f>L10*'MASTER SHEET'!D10</f>
        <v>0</v>
      </c>
      <c r="EE10" s="9">
        <f>P10*'MASTER SHEET'!D10</f>
        <v>0</v>
      </c>
      <c r="EF10" s="9">
        <f>T10*'MASTER SHEET'!D10</f>
        <v>0</v>
      </c>
      <c r="EG10" s="9">
        <f>X10*'MASTER SHEET'!D10</f>
        <v>0</v>
      </c>
      <c r="EH10" s="9">
        <f>AB10*'MASTER SHEET'!D10</f>
        <v>0</v>
      </c>
      <c r="EI10" s="9">
        <f>AF10*'MASTER SHEET'!D10</f>
        <v>0</v>
      </c>
      <c r="EJ10" s="9">
        <f>AJ10*'MASTER SHEET'!D10</f>
        <v>0</v>
      </c>
      <c r="EK10" s="9">
        <f>AN10*'MASTER SHEET'!D10</f>
        <v>0</v>
      </c>
      <c r="EL10" s="9">
        <f>AR10*'MASTER SHEET'!D10</f>
        <v>0</v>
      </c>
      <c r="EM10" s="9">
        <f>AV10*'MASTER SHEET'!D10</f>
        <v>0</v>
      </c>
      <c r="EN10" s="9">
        <f>AZ10*'MASTER SHEET'!D10</f>
        <v>0</v>
      </c>
      <c r="EO10" s="9">
        <f>BD10*'MASTER SHEET'!D10</f>
        <v>0</v>
      </c>
      <c r="EP10" s="9">
        <f>BH10*'MASTER SHEET'!D10</f>
        <v>0</v>
      </c>
      <c r="EQ10" s="9">
        <f>BL10*'MASTER SHEET'!D10</f>
        <v>0</v>
      </c>
      <c r="ER10" s="9">
        <f>BP10*'MASTER SHEET'!D10</f>
        <v>0</v>
      </c>
      <c r="ES10" s="9">
        <f>BT10*'MASTER SHEET'!D10</f>
        <v>0</v>
      </c>
      <c r="ET10" s="9">
        <f>BX10*'MASTER SHEET'!D10</f>
        <v>0</v>
      </c>
      <c r="EU10" s="9">
        <f>CB10*'MASTER SHEET'!D10</f>
        <v>0</v>
      </c>
      <c r="EV10" s="9">
        <f>CF10*'MASTER SHEET'!D10</f>
        <v>0</v>
      </c>
      <c r="EW10" s="9">
        <f>CJ10*'MASTER SHEET'!D10</f>
        <v>0</v>
      </c>
      <c r="EX10" s="9">
        <f>CN10*'MASTER SHEET'!D10</f>
        <v>0</v>
      </c>
      <c r="EY10" s="9">
        <f>CV10*'MASTER SHEET'!D10</f>
        <v>0</v>
      </c>
      <c r="EZ10" s="9">
        <f>CV10*'MASTER SHEET'!D10</f>
        <v>0</v>
      </c>
      <c r="FA10" s="9">
        <f>CZ10*'MASTER SHEET'!D10</f>
        <v>0</v>
      </c>
      <c r="FB10" s="9">
        <f>DD10*'MASTER SHEET'!D10</f>
        <v>0</v>
      </c>
      <c r="FC10" s="9">
        <f>DH10*'MASTER SHEET'!D10</f>
        <v>0</v>
      </c>
      <c r="FD10" s="9">
        <f>DL10*'MASTER SHEET'!D10</f>
        <v>0</v>
      </c>
      <c r="FE10" s="9">
        <f>DP10*'MASTER SHEET'!D10</f>
        <v>0</v>
      </c>
      <c r="FF10" s="9">
        <f>DT10*'MASTER SHEET'!D10</f>
        <v>0</v>
      </c>
      <c r="FG10" s="9">
        <f>DX10*'MASTER SHEET'!D10</f>
        <v>0</v>
      </c>
    </row>
    <row r="11" spans="1:163" s="10" customFormat="1" ht="20.25" x14ac:dyDescent="0.25">
      <c r="A11" s="43">
        <f>'MASTER SHEET'!A11</f>
        <v>9</v>
      </c>
      <c r="B11" s="26" t="str">
        <f>'MASTER SHEET'!B11</f>
        <v xml:space="preserve">ENDPLATE ASY, PLASTIC </v>
      </c>
      <c r="C11" s="82">
        <f>'MASTER SHEET'!C11</f>
        <v>5014445</v>
      </c>
      <c r="D11" s="64"/>
      <c r="E11" s="28">
        <v>1100</v>
      </c>
      <c r="F11" s="28">
        <v>1100</v>
      </c>
      <c r="G11" s="65"/>
      <c r="H11" s="64">
        <f t="shared" si="35"/>
        <v>0</v>
      </c>
      <c r="I11" s="28">
        <v>400</v>
      </c>
      <c r="J11" s="28">
        <v>400</v>
      </c>
      <c r="K11" s="65"/>
      <c r="L11" s="64">
        <f t="shared" si="36"/>
        <v>0</v>
      </c>
      <c r="M11" s="28"/>
      <c r="N11" s="28"/>
      <c r="O11" s="65"/>
      <c r="P11" s="64">
        <f t="shared" si="37"/>
        <v>0</v>
      </c>
      <c r="Q11" s="28"/>
      <c r="R11" s="28"/>
      <c r="S11" s="65"/>
      <c r="T11" s="64">
        <f t="shared" si="38"/>
        <v>0</v>
      </c>
      <c r="U11" s="28"/>
      <c r="V11" s="28"/>
      <c r="W11" s="65"/>
      <c r="X11" s="64">
        <f t="shared" si="39"/>
        <v>0</v>
      </c>
      <c r="Y11" s="28"/>
      <c r="Z11" s="28"/>
      <c r="AA11" s="65"/>
      <c r="AB11" s="64">
        <f t="shared" si="40"/>
        <v>0</v>
      </c>
      <c r="AC11" s="28">
        <v>600</v>
      </c>
      <c r="AD11" s="28">
        <v>600</v>
      </c>
      <c r="AE11" s="65"/>
      <c r="AF11" s="64">
        <f t="shared" si="41"/>
        <v>0</v>
      </c>
      <c r="AG11" s="28">
        <v>500</v>
      </c>
      <c r="AH11" s="28">
        <v>500</v>
      </c>
      <c r="AI11" s="65"/>
      <c r="AJ11" s="64">
        <f t="shared" si="42"/>
        <v>0</v>
      </c>
      <c r="AK11" s="28">
        <v>1500</v>
      </c>
      <c r="AL11" s="28">
        <v>1500</v>
      </c>
      <c r="AM11" s="65"/>
      <c r="AN11" s="64">
        <f t="shared" si="43"/>
        <v>0</v>
      </c>
      <c r="AO11" s="28">
        <v>2000</v>
      </c>
      <c r="AP11" s="28">
        <v>2000</v>
      </c>
      <c r="AQ11" s="65"/>
      <c r="AR11" s="64">
        <f t="shared" si="44"/>
        <v>0</v>
      </c>
      <c r="AS11" s="28">
        <v>2000</v>
      </c>
      <c r="AT11" s="28">
        <v>2000</v>
      </c>
      <c r="AU11" s="65"/>
      <c r="AV11" s="64">
        <f t="shared" si="45"/>
        <v>0</v>
      </c>
      <c r="AW11" s="28"/>
      <c r="AX11" s="28"/>
      <c r="AY11" s="65"/>
      <c r="AZ11" s="64">
        <f t="shared" si="46"/>
        <v>0</v>
      </c>
      <c r="BA11" s="28">
        <v>2000</v>
      </c>
      <c r="BB11" s="28">
        <v>2000</v>
      </c>
      <c r="BC11" s="65"/>
      <c r="BD11" s="64">
        <f t="shared" si="47"/>
        <v>0</v>
      </c>
      <c r="BE11" s="28">
        <v>2324</v>
      </c>
      <c r="BF11" s="28">
        <v>2324</v>
      </c>
      <c r="BG11" s="65"/>
      <c r="BH11" s="64">
        <f t="shared" si="48"/>
        <v>0</v>
      </c>
      <c r="BI11" s="28">
        <v>1000</v>
      </c>
      <c r="BJ11" s="28">
        <v>1000</v>
      </c>
      <c r="BK11" s="65"/>
      <c r="BL11" s="64">
        <f t="shared" si="49"/>
        <v>0</v>
      </c>
      <c r="BM11" s="28">
        <v>700</v>
      </c>
      <c r="BN11" s="28">
        <v>700</v>
      </c>
      <c r="BO11" s="65"/>
      <c r="BP11" s="64">
        <f t="shared" si="50"/>
        <v>0</v>
      </c>
      <c r="BQ11" s="28">
        <v>1350</v>
      </c>
      <c r="BR11" s="28">
        <v>1350</v>
      </c>
      <c r="BS11" s="65"/>
      <c r="BT11" s="64">
        <f t="shared" si="51"/>
        <v>0</v>
      </c>
      <c r="BU11" s="28">
        <v>800</v>
      </c>
      <c r="BV11" s="28">
        <v>800</v>
      </c>
      <c r="BW11" s="65"/>
      <c r="BX11" s="64">
        <f t="shared" si="52"/>
        <v>0</v>
      </c>
      <c r="BY11" s="28"/>
      <c r="BZ11" s="28"/>
      <c r="CA11" s="65"/>
      <c r="CB11" s="64">
        <f t="shared" si="53"/>
        <v>0</v>
      </c>
      <c r="CC11" s="28">
        <v>1839</v>
      </c>
      <c r="CD11" s="28">
        <v>1839</v>
      </c>
      <c r="CE11" s="65"/>
      <c r="CF11" s="64">
        <f t="shared" si="54"/>
        <v>0</v>
      </c>
      <c r="CG11" s="28">
        <v>1500</v>
      </c>
      <c r="CH11" s="28">
        <v>1500</v>
      </c>
      <c r="CI11" s="65"/>
      <c r="CJ11" s="64">
        <f t="shared" si="55"/>
        <v>0</v>
      </c>
      <c r="CK11" s="28">
        <f>600+500+700+200</f>
        <v>2000</v>
      </c>
      <c r="CL11" s="28">
        <v>2000</v>
      </c>
      <c r="CM11" s="65"/>
      <c r="CN11" s="64">
        <f t="shared" si="56"/>
        <v>0</v>
      </c>
      <c r="CO11" s="28">
        <v>2210</v>
      </c>
      <c r="CP11" s="28">
        <v>2210</v>
      </c>
      <c r="CQ11" s="65"/>
      <c r="CR11" s="64">
        <f t="shared" si="57"/>
        <v>0</v>
      </c>
      <c r="CS11" s="28">
        <v>2000</v>
      </c>
      <c r="CT11" s="28">
        <v>2000</v>
      </c>
      <c r="CU11" s="65"/>
      <c r="CV11" s="64">
        <f t="shared" si="58"/>
        <v>0</v>
      </c>
      <c r="CW11" s="28">
        <v>3152</v>
      </c>
      <c r="CX11" s="28">
        <v>3152</v>
      </c>
      <c r="CY11" s="65"/>
      <c r="CZ11" s="64">
        <f t="shared" si="59"/>
        <v>0</v>
      </c>
      <c r="DA11" s="28">
        <v>500</v>
      </c>
      <c r="DB11" s="28">
        <v>500</v>
      </c>
      <c r="DC11" s="65"/>
      <c r="DD11" s="64">
        <f t="shared" si="60"/>
        <v>0</v>
      </c>
      <c r="DE11" s="28">
        <v>2048</v>
      </c>
      <c r="DF11" s="28">
        <v>2048</v>
      </c>
      <c r="DG11" s="65"/>
      <c r="DH11" s="64">
        <f t="shared" si="61"/>
        <v>0</v>
      </c>
      <c r="DI11" s="28">
        <v>3344</v>
      </c>
      <c r="DJ11" s="28">
        <v>3344</v>
      </c>
      <c r="DK11" s="65"/>
      <c r="DL11" s="64">
        <f t="shared" si="62"/>
        <v>0</v>
      </c>
      <c r="DM11" s="28">
        <v>2000</v>
      </c>
      <c r="DN11" s="28">
        <v>2000</v>
      </c>
      <c r="DO11" s="65"/>
      <c r="DP11" s="64">
        <f t="shared" si="63"/>
        <v>0</v>
      </c>
      <c r="DQ11" s="28"/>
      <c r="DR11" s="28"/>
      <c r="DS11" s="65"/>
      <c r="DT11" s="64">
        <f t="shared" si="64"/>
        <v>0</v>
      </c>
      <c r="DU11" s="28"/>
      <c r="DV11" s="28"/>
      <c r="DW11" s="65"/>
      <c r="DX11" s="30">
        <f t="shared" si="65"/>
        <v>0</v>
      </c>
      <c r="DY11" s="31">
        <f t="shared" si="32"/>
        <v>36867</v>
      </c>
      <c r="DZ11" s="31">
        <f t="shared" si="33"/>
        <v>36867</v>
      </c>
      <c r="EA11" s="4">
        <f t="shared" si="34"/>
        <v>0</v>
      </c>
      <c r="EB11" s="9">
        <f>D11*'MASTER SHEET'!D11</f>
        <v>0</v>
      </c>
      <c r="EC11" s="9">
        <f>H11*'MASTER SHEET'!D11</f>
        <v>0</v>
      </c>
      <c r="ED11" s="9">
        <f>L11*'MASTER SHEET'!D11</f>
        <v>0</v>
      </c>
      <c r="EE11" s="9">
        <f>P11*'MASTER SHEET'!D11</f>
        <v>0</v>
      </c>
      <c r="EF11" s="9">
        <f>T11*'MASTER SHEET'!D11</f>
        <v>0</v>
      </c>
      <c r="EG11" s="9">
        <f>X11*'MASTER SHEET'!D11</f>
        <v>0</v>
      </c>
      <c r="EH11" s="9">
        <f>AB11*'MASTER SHEET'!D11</f>
        <v>0</v>
      </c>
      <c r="EI11" s="9">
        <f>AF11*'MASTER SHEET'!D11</f>
        <v>0</v>
      </c>
      <c r="EJ11" s="9">
        <f>AJ11*'MASTER SHEET'!D11</f>
        <v>0</v>
      </c>
      <c r="EK11" s="9">
        <f>AN11*'MASTER SHEET'!D11</f>
        <v>0</v>
      </c>
      <c r="EL11" s="9">
        <f>AR11*'MASTER SHEET'!D11</f>
        <v>0</v>
      </c>
      <c r="EM11" s="9">
        <f>AV11*'MASTER SHEET'!D11</f>
        <v>0</v>
      </c>
      <c r="EN11" s="9">
        <f>AZ11*'MASTER SHEET'!D11</f>
        <v>0</v>
      </c>
      <c r="EO11" s="9">
        <f>BD11*'MASTER SHEET'!D11</f>
        <v>0</v>
      </c>
      <c r="EP11" s="9">
        <f>BH11*'MASTER SHEET'!D11</f>
        <v>0</v>
      </c>
      <c r="EQ11" s="9">
        <f>BL11*'MASTER SHEET'!D11</f>
        <v>0</v>
      </c>
      <c r="ER11" s="9">
        <f>BP11*'MASTER SHEET'!D11</f>
        <v>0</v>
      </c>
      <c r="ES11" s="9">
        <f>BT11*'MASTER SHEET'!D11</f>
        <v>0</v>
      </c>
      <c r="ET11" s="9">
        <f>BX11*'MASTER SHEET'!D11</f>
        <v>0</v>
      </c>
      <c r="EU11" s="9">
        <f>CB11*'MASTER SHEET'!D11</f>
        <v>0</v>
      </c>
      <c r="EV11" s="9">
        <f>CF11*'MASTER SHEET'!D11</f>
        <v>0</v>
      </c>
      <c r="EW11" s="9">
        <f>CJ11*'MASTER SHEET'!D11</f>
        <v>0</v>
      </c>
      <c r="EX11" s="9">
        <f>CN11*'MASTER SHEET'!D11</f>
        <v>0</v>
      </c>
      <c r="EY11" s="9">
        <f>CV11*'MASTER SHEET'!D11</f>
        <v>0</v>
      </c>
      <c r="EZ11" s="9">
        <f>CV11*'MASTER SHEET'!D11</f>
        <v>0</v>
      </c>
      <c r="FA11" s="9">
        <f>CZ11*'MASTER SHEET'!D11</f>
        <v>0</v>
      </c>
      <c r="FB11" s="9">
        <f>DD11*'MASTER SHEET'!D11</f>
        <v>0</v>
      </c>
      <c r="FC11" s="9">
        <f>DH11*'MASTER SHEET'!D11</f>
        <v>0</v>
      </c>
      <c r="FD11" s="9">
        <f>DL11*'MASTER SHEET'!D11</f>
        <v>0</v>
      </c>
      <c r="FE11" s="9">
        <f>DP11*'MASTER SHEET'!D11</f>
        <v>0</v>
      </c>
      <c r="FF11" s="9">
        <f>DT11*'MASTER SHEET'!D11</f>
        <v>0</v>
      </c>
      <c r="FG11" s="9">
        <f>DX11*'MASTER SHEET'!D11</f>
        <v>0</v>
      </c>
    </row>
    <row r="12" spans="1:163" s="10" customFormat="1" ht="20.25" x14ac:dyDescent="0.25">
      <c r="A12" s="43">
        <f>'MASTER SHEET'!A12</f>
        <v>10</v>
      </c>
      <c r="B12" s="26" t="str">
        <f>'MASTER SHEET'!B12</f>
        <v>LID HOUSING</v>
      </c>
      <c r="C12" s="82">
        <f>'MASTER SHEET'!C12</f>
        <v>5015494</v>
      </c>
      <c r="D12" s="64"/>
      <c r="E12" s="28"/>
      <c r="F12" s="28"/>
      <c r="G12" s="65"/>
      <c r="H12" s="64">
        <f t="shared" si="35"/>
        <v>0</v>
      </c>
      <c r="I12" s="28"/>
      <c r="J12" s="28"/>
      <c r="K12" s="65"/>
      <c r="L12" s="64">
        <f t="shared" si="36"/>
        <v>0</v>
      </c>
      <c r="M12" s="28"/>
      <c r="N12" s="28"/>
      <c r="O12" s="65"/>
      <c r="P12" s="64">
        <f t="shared" si="37"/>
        <v>0</v>
      </c>
      <c r="Q12" s="28"/>
      <c r="R12" s="28"/>
      <c r="S12" s="65"/>
      <c r="T12" s="64">
        <f t="shared" si="38"/>
        <v>0</v>
      </c>
      <c r="U12" s="28"/>
      <c r="V12" s="28"/>
      <c r="W12" s="65"/>
      <c r="X12" s="64">
        <f t="shared" si="39"/>
        <v>0</v>
      </c>
      <c r="Y12" s="28"/>
      <c r="Z12" s="28"/>
      <c r="AA12" s="65"/>
      <c r="AB12" s="64">
        <f t="shared" si="40"/>
        <v>0</v>
      </c>
      <c r="AC12" s="28"/>
      <c r="AD12" s="28"/>
      <c r="AE12" s="65"/>
      <c r="AF12" s="64">
        <f t="shared" si="41"/>
        <v>0</v>
      </c>
      <c r="AG12" s="28"/>
      <c r="AH12" s="28"/>
      <c r="AI12" s="65"/>
      <c r="AJ12" s="64">
        <f t="shared" si="42"/>
        <v>0</v>
      </c>
      <c r="AK12" s="28"/>
      <c r="AL12" s="28"/>
      <c r="AM12" s="65"/>
      <c r="AN12" s="64">
        <f t="shared" si="43"/>
        <v>0</v>
      </c>
      <c r="AO12" s="28"/>
      <c r="AP12" s="28"/>
      <c r="AQ12" s="65"/>
      <c r="AR12" s="64">
        <f t="shared" si="44"/>
        <v>0</v>
      </c>
      <c r="AS12" s="28"/>
      <c r="AT12" s="28"/>
      <c r="AU12" s="65"/>
      <c r="AV12" s="64">
        <f t="shared" si="45"/>
        <v>0</v>
      </c>
      <c r="AW12" s="28"/>
      <c r="AX12" s="28"/>
      <c r="AY12" s="65"/>
      <c r="AZ12" s="64">
        <f t="shared" si="46"/>
        <v>0</v>
      </c>
      <c r="BA12" s="28"/>
      <c r="BB12" s="28"/>
      <c r="BC12" s="65"/>
      <c r="BD12" s="64">
        <f t="shared" si="47"/>
        <v>0</v>
      </c>
      <c r="BE12" s="28"/>
      <c r="BF12" s="28"/>
      <c r="BG12" s="65"/>
      <c r="BH12" s="64">
        <f t="shared" si="48"/>
        <v>0</v>
      </c>
      <c r="BI12" s="28"/>
      <c r="BJ12" s="28"/>
      <c r="BK12" s="65"/>
      <c r="BL12" s="64">
        <f t="shared" si="49"/>
        <v>0</v>
      </c>
      <c r="BM12" s="28"/>
      <c r="BN12" s="28"/>
      <c r="BO12" s="65"/>
      <c r="BP12" s="64">
        <f t="shared" si="50"/>
        <v>0</v>
      </c>
      <c r="BQ12" s="28"/>
      <c r="BR12" s="28"/>
      <c r="BS12" s="65"/>
      <c r="BT12" s="64">
        <f t="shared" si="51"/>
        <v>0</v>
      </c>
      <c r="BU12" s="28"/>
      <c r="BV12" s="28"/>
      <c r="BW12" s="65"/>
      <c r="BX12" s="64">
        <f t="shared" si="52"/>
        <v>0</v>
      </c>
      <c r="BY12" s="28"/>
      <c r="BZ12" s="28"/>
      <c r="CA12" s="65"/>
      <c r="CB12" s="64">
        <f t="shared" si="53"/>
        <v>0</v>
      </c>
      <c r="CC12" s="28"/>
      <c r="CD12" s="28"/>
      <c r="CE12" s="65"/>
      <c r="CF12" s="64">
        <f t="shared" si="54"/>
        <v>0</v>
      </c>
      <c r="CG12" s="28"/>
      <c r="CH12" s="28"/>
      <c r="CI12" s="65"/>
      <c r="CJ12" s="64">
        <f t="shared" si="55"/>
        <v>0</v>
      </c>
      <c r="CK12" s="28"/>
      <c r="CL12" s="28"/>
      <c r="CM12" s="65"/>
      <c r="CN12" s="64">
        <f t="shared" si="56"/>
        <v>0</v>
      </c>
      <c r="CO12" s="28"/>
      <c r="CP12" s="28"/>
      <c r="CQ12" s="65"/>
      <c r="CR12" s="64">
        <f t="shared" si="57"/>
        <v>0</v>
      </c>
      <c r="CS12" s="28"/>
      <c r="CT12" s="28"/>
      <c r="CU12" s="65"/>
      <c r="CV12" s="64">
        <f t="shared" si="58"/>
        <v>0</v>
      </c>
      <c r="CW12" s="28"/>
      <c r="CX12" s="28"/>
      <c r="CY12" s="65"/>
      <c r="CZ12" s="64">
        <f t="shared" si="59"/>
        <v>0</v>
      </c>
      <c r="DA12" s="28"/>
      <c r="DB12" s="28"/>
      <c r="DC12" s="65"/>
      <c r="DD12" s="64">
        <f t="shared" si="60"/>
        <v>0</v>
      </c>
      <c r="DE12" s="28"/>
      <c r="DF12" s="28"/>
      <c r="DG12" s="65"/>
      <c r="DH12" s="64">
        <f t="shared" si="61"/>
        <v>0</v>
      </c>
      <c r="DI12" s="28"/>
      <c r="DJ12" s="28"/>
      <c r="DK12" s="65"/>
      <c r="DL12" s="64">
        <f t="shared" si="62"/>
        <v>0</v>
      </c>
      <c r="DM12" s="28"/>
      <c r="DN12" s="28"/>
      <c r="DO12" s="65"/>
      <c r="DP12" s="64">
        <f t="shared" si="63"/>
        <v>0</v>
      </c>
      <c r="DQ12" s="28"/>
      <c r="DR12" s="28"/>
      <c r="DS12" s="65"/>
      <c r="DT12" s="64">
        <f t="shared" si="64"/>
        <v>0</v>
      </c>
      <c r="DU12" s="28"/>
      <c r="DV12" s="28"/>
      <c r="DW12" s="65"/>
      <c r="DX12" s="30">
        <f t="shared" si="65"/>
        <v>0</v>
      </c>
      <c r="DY12" s="31">
        <f t="shared" si="32"/>
        <v>0</v>
      </c>
      <c r="DZ12" s="31">
        <f t="shared" si="33"/>
        <v>0</v>
      </c>
      <c r="EA12" s="4">
        <f t="shared" si="34"/>
        <v>0</v>
      </c>
      <c r="EB12" s="9">
        <f>D12*'MASTER SHEET'!D12</f>
        <v>0</v>
      </c>
      <c r="EC12" s="9">
        <f>H12*'MASTER SHEET'!D12</f>
        <v>0</v>
      </c>
      <c r="ED12" s="9">
        <f>L12*'MASTER SHEET'!D12</f>
        <v>0</v>
      </c>
      <c r="EE12" s="9">
        <f>P12*'MASTER SHEET'!D12</f>
        <v>0</v>
      </c>
      <c r="EF12" s="9">
        <f>T12*'MASTER SHEET'!D12</f>
        <v>0</v>
      </c>
      <c r="EG12" s="9">
        <f>X12*'MASTER SHEET'!D12</f>
        <v>0</v>
      </c>
      <c r="EH12" s="9">
        <f>AB12*'MASTER SHEET'!D12</f>
        <v>0</v>
      </c>
      <c r="EI12" s="9">
        <f>AF12*'MASTER SHEET'!D12</f>
        <v>0</v>
      </c>
      <c r="EJ12" s="9">
        <f>AJ12*'MASTER SHEET'!D12</f>
        <v>0</v>
      </c>
      <c r="EK12" s="9">
        <f>AN12*'MASTER SHEET'!D12</f>
        <v>0</v>
      </c>
      <c r="EL12" s="9">
        <f>AR12*'MASTER SHEET'!D12</f>
        <v>0</v>
      </c>
      <c r="EM12" s="9">
        <f>AV12*'MASTER SHEET'!D12</f>
        <v>0</v>
      </c>
      <c r="EN12" s="9">
        <f>AZ12*'MASTER SHEET'!D12</f>
        <v>0</v>
      </c>
      <c r="EO12" s="9">
        <f>BD12*'MASTER SHEET'!D12</f>
        <v>0</v>
      </c>
      <c r="EP12" s="9">
        <f>BH12*'MASTER SHEET'!D12</f>
        <v>0</v>
      </c>
      <c r="EQ12" s="9">
        <f>BL12*'MASTER SHEET'!D12</f>
        <v>0</v>
      </c>
      <c r="ER12" s="9">
        <f>BP12*'MASTER SHEET'!D12</f>
        <v>0</v>
      </c>
      <c r="ES12" s="9">
        <f>BT12*'MASTER SHEET'!D12</f>
        <v>0</v>
      </c>
      <c r="ET12" s="9">
        <f>BX12*'MASTER SHEET'!D12</f>
        <v>0</v>
      </c>
      <c r="EU12" s="9">
        <f>CB12*'MASTER SHEET'!D12</f>
        <v>0</v>
      </c>
      <c r="EV12" s="9">
        <f>CF12*'MASTER SHEET'!D12</f>
        <v>0</v>
      </c>
      <c r="EW12" s="9">
        <f>CJ12*'MASTER SHEET'!D12</f>
        <v>0</v>
      </c>
      <c r="EX12" s="9">
        <f>CN12*'MASTER SHEET'!D12</f>
        <v>0</v>
      </c>
      <c r="EY12" s="9">
        <f>CV12*'MASTER SHEET'!D12</f>
        <v>0</v>
      </c>
      <c r="EZ12" s="9">
        <f>CV12*'MASTER SHEET'!D12</f>
        <v>0</v>
      </c>
      <c r="FA12" s="9">
        <f>CZ12*'MASTER SHEET'!D12</f>
        <v>0</v>
      </c>
      <c r="FB12" s="9">
        <f>DD12*'MASTER SHEET'!D12</f>
        <v>0</v>
      </c>
      <c r="FC12" s="9">
        <f>DH12*'MASTER SHEET'!D12</f>
        <v>0</v>
      </c>
      <c r="FD12" s="9">
        <f>DL12*'MASTER SHEET'!D12</f>
        <v>0</v>
      </c>
      <c r="FE12" s="9">
        <f>DP12*'MASTER SHEET'!D12</f>
        <v>0</v>
      </c>
      <c r="FF12" s="9">
        <f>DT12*'MASTER SHEET'!D12</f>
        <v>0</v>
      </c>
      <c r="FG12" s="9">
        <f>DX12*'MASTER SHEET'!D12</f>
        <v>0</v>
      </c>
    </row>
    <row r="13" spans="1:163" ht="20.25" x14ac:dyDescent="0.25">
      <c r="A13" s="43">
        <f>'MASTER SHEET'!A13</f>
        <v>11</v>
      </c>
      <c r="B13" s="26" t="str">
        <f>'MASTER SHEET'!B13</f>
        <v>LID HOUSING</v>
      </c>
      <c r="C13" s="82">
        <f>'MASTER SHEET'!C13</f>
        <v>5015499</v>
      </c>
      <c r="D13" s="64"/>
      <c r="E13" s="28"/>
      <c r="F13" s="28"/>
      <c r="G13" s="65"/>
      <c r="H13" s="64">
        <f t="shared" si="35"/>
        <v>0</v>
      </c>
      <c r="I13" s="28"/>
      <c r="J13" s="28"/>
      <c r="K13" s="65"/>
      <c r="L13" s="64">
        <f t="shared" si="36"/>
        <v>0</v>
      </c>
      <c r="M13" s="28"/>
      <c r="N13" s="28"/>
      <c r="O13" s="65"/>
      <c r="P13" s="64">
        <f t="shared" si="37"/>
        <v>0</v>
      </c>
      <c r="Q13" s="28"/>
      <c r="R13" s="28"/>
      <c r="S13" s="65"/>
      <c r="T13" s="64">
        <f t="shared" si="38"/>
        <v>0</v>
      </c>
      <c r="U13" s="28"/>
      <c r="V13" s="28"/>
      <c r="W13" s="65"/>
      <c r="X13" s="64">
        <f t="shared" si="39"/>
        <v>0</v>
      </c>
      <c r="Y13" s="28"/>
      <c r="Z13" s="28"/>
      <c r="AA13" s="65"/>
      <c r="AB13" s="64">
        <f t="shared" si="40"/>
        <v>0</v>
      </c>
      <c r="AC13" s="28"/>
      <c r="AD13" s="28"/>
      <c r="AE13" s="65"/>
      <c r="AF13" s="64">
        <f t="shared" si="41"/>
        <v>0</v>
      </c>
      <c r="AG13" s="28"/>
      <c r="AH13" s="28"/>
      <c r="AI13" s="65"/>
      <c r="AJ13" s="64">
        <f t="shared" si="42"/>
        <v>0</v>
      </c>
      <c r="AK13" s="28"/>
      <c r="AL13" s="28"/>
      <c r="AM13" s="65"/>
      <c r="AN13" s="64">
        <f t="shared" si="43"/>
        <v>0</v>
      </c>
      <c r="AO13" s="28"/>
      <c r="AP13" s="28"/>
      <c r="AQ13" s="65"/>
      <c r="AR13" s="64">
        <f t="shared" si="44"/>
        <v>0</v>
      </c>
      <c r="AS13" s="28"/>
      <c r="AT13" s="28"/>
      <c r="AU13" s="65"/>
      <c r="AV13" s="64">
        <f t="shared" si="45"/>
        <v>0</v>
      </c>
      <c r="AW13" s="28"/>
      <c r="AX13" s="28"/>
      <c r="AY13" s="65"/>
      <c r="AZ13" s="64">
        <f t="shared" si="46"/>
        <v>0</v>
      </c>
      <c r="BA13" s="28">
        <v>150</v>
      </c>
      <c r="BB13" s="28">
        <v>150</v>
      </c>
      <c r="BC13" s="65"/>
      <c r="BD13" s="64">
        <f t="shared" si="47"/>
        <v>0</v>
      </c>
      <c r="BE13" s="28">
        <v>188</v>
      </c>
      <c r="BF13" s="28">
        <v>188</v>
      </c>
      <c r="BG13" s="65"/>
      <c r="BH13" s="64">
        <f t="shared" si="48"/>
        <v>0</v>
      </c>
      <c r="BI13" s="28"/>
      <c r="BJ13" s="28"/>
      <c r="BK13" s="65"/>
      <c r="BL13" s="64">
        <f t="shared" si="49"/>
        <v>0</v>
      </c>
      <c r="BM13" s="28"/>
      <c r="BN13" s="28"/>
      <c r="BO13" s="65"/>
      <c r="BP13" s="64">
        <f t="shared" si="50"/>
        <v>0</v>
      </c>
      <c r="BQ13" s="28"/>
      <c r="BR13" s="28"/>
      <c r="BS13" s="65"/>
      <c r="BT13" s="64">
        <f t="shared" si="51"/>
        <v>0</v>
      </c>
      <c r="BU13" s="28"/>
      <c r="BV13" s="28"/>
      <c r="BW13" s="65"/>
      <c r="BX13" s="64">
        <f t="shared" si="52"/>
        <v>0</v>
      </c>
      <c r="BY13" s="28"/>
      <c r="BZ13" s="28"/>
      <c r="CA13" s="65"/>
      <c r="CB13" s="64">
        <f t="shared" si="53"/>
        <v>0</v>
      </c>
      <c r="CC13" s="28"/>
      <c r="CD13" s="28"/>
      <c r="CE13" s="65"/>
      <c r="CF13" s="64">
        <f t="shared" si="54"/>
        <v>0</v>
      </c>
      <c r="CG13" s="28"/>
      <c r="CH13" s="28"/>
      <c r="CI13" s="65"/>
      <c r="CJ13" s="64">
        <f t="shared" si="55"/>
        <v>0</v>
      </c>
      <c r="CK13" s="28"/>
      <c r="CL13" s="28"/>
      <c r="CM13" s="65"/>
      <c r="CN13" s="64">
        <f t="shared" si="56"/>
        <v>0</v>
      </c>
      <c r="CO13" s="28"/>
      <c r="CP13" s="28"/>
      <c r="CQ13" s="65"/>
      <c r="CR13" s="64">
        <f t="shared" si="57"/>
        <v>0</v>
      </c>
      <c r="CS13" s="28"/>
      <c r="CT13" s="28"/>
      <c r="CU13" s="65"/>
      <c r="CV13" s="64">
        <f t="shared" si="58"/>
        <v>0</v>
      </c>
      <c r="CW13" s="28"/>
      <c r="CX13" s="28"/>
      <c r="CY13" s="65"/>
      <c r="CZ13" s="64">
        <f t="shared" si="59"/>
        <v>0</v>
      </c>
      <c r="DA13" s="28"/>
      <c r="DB13" s="28"/>
      <c r="DC13" s="65"/>
      <c r="DD13" s="64">
        <f t="shared" si="60"/>
        <v>0</v>
      </c>
      <c r="DE13" s="28"/>
      <c r="DF13" s="28"/>
      <c r="DG13" s="65"/>
      <c r="DH13" s="64">
        <f t="shared" si="61"/>
        <v>0</v>
      </c>
      <c r="DI13" s="28"/>
      <c r="DJ13" s="28"/>
      <c r="DK13" s="65"/>
      <c r="DL13" s="64">
        <f t="shared" si="62"/>
        <v>0</v>
      </c>
      <c r="DM13" s="28"/>
      <c r="DN13" s="28"/>
      <c r="DO13" s="65"/>
      <c r="DP13" s="64">
        <f t="shared" si="63"/>
        <v>0</v>
      </c>
      <c r="DQ13" s="28"/>
      <c r="DR13" s="28"/>
      <c r="DS13" s="65"/>
      <c r="DT13" s="64">
        <f t="shared" si="64"/>
        <v>0</v>
      </c>
      <c r="DU13" s="28"/>
      <c r="DV13" s="28"/>
      <c r="DW13" s="65"/>
      <c r="DX13" s="30">
        <f t="shared" si="65"/>
        <v>0</v>
      </c>
      <c r="DY13" s="31">
        <f t="shared" si="32"/>
        <v>338</v>
      </c>
      <c r="DZ13" s="31">
        <f t="shared" si="33"/>
        <v>338</v>
      </c>
      <c r="EA13" s="4">
        <f t="shared" si="34"/>
        <v>0</v>
      </c>
      <c r="EB13" s="9">
        <f>D13*'MASTER SHEET'!D13</f>
        <v>0</v>
      </c>
      <c r="EC13" s="9">
        <f>H13*'MASTER SHEET'!D13</f>
        <v>0</v>
      </c>
      <c r="ED13" s="9">
        <f>L13*'MASTER SHEET'!D13</f>
        <v>0</v>
      </c>
      <c r="EE13" s="9">
        <f>P13*'MASTER SHEET'!D13</f>
        <v>0</v>
      </c>
      <c r="EF13" s="9">
        <f>T13*'MASTER SHEET'!D13</f>
        <v>0</v>
      </c>
      <c r="EG13" s="9">
        <f>X13*'MASTER SHEET'!D13</f>
        <v>0</v>
      </c>
      <c r="EH13" s="9">
        <f>AB13*'MASTER SHEET'!D13</f>
        <v>0</v>
      </c>
      <c r="EI13" s="9">
        <f>AF13*'MASTER SHEET'!D13</f>
        <v>0</v>
      </c>
      <c r="EJ13" s="9">
        <f>AJ13*'MASTER SHEET'!D13</f>
        <v>0</v>
      </c>
      <c r="EK13" s="9">
        <f>AN13*'MASTER SHEET'!D13</f>
        <v>0</v>
      </c>
      <c r="EL13" s="9">
        <f>AR13*'MASTER SHEET'!D13</f>
        <v>0</v>
      </c>
      <c r="EM13" s="9">
        <f>AV13*'MASTER SHEET'!D13</f>
        <v>0</v>
      </c>
      <c r="EN13" s="9">
        <f>AZ13*'MASTER SHEET'!D13</f>
        <v>0</v>
      </c>
      <c r="EO13" s="9">
        <f>BD13*'MASTER SHEET'!D13</f>
        <v>0</v>
      </c>
      <c r="EP13" s="9">
        <f>BH13*'MASTER SHEET'!D13</f>
        <v>0</v>
      </c>
      <c r="EQ13" s="9">
        <f>BL13*'MASTER SHEET'!D13</f>
        <v>0</v>
      </c>
      <c r="ER13" s="9">
        <f>BP13*'MASTER SHEET'!D13</f>
        <v>0</v>
      </c>
      <c r="ES13" s="9">
        <f>BT13*'MASTER SHEET'!D13</f>
        <v>0</v>
      </c>
      <c r="ET13" s="9">
        <f>BX13*'MASTER SHEET'!D13</f>
        <v>0</v>
      </c>
      <c r="EU13" s="9">
        <f>CB13*'MASTER SHEET'!D13</f>
        <v>0</v>
      </c>
      <c r="EV13" s="9">
        <f>CF13*'MASTER SHEET'!D13</f>
        <v>0</v>
      </c>
      <c r="EW13" s="9">
        <f>CJ13*'MASTER SHEET'!D13</f>
        <v>0</v>
      </c>
      <c r="EX13" s="9">
        <f>CN13*'MASTER SHEET'!D13</f>
        <v>0</v>
      </c>
      <c r="EY13" s="9">
        <f>CV13*'MASTER SHEET'!D13</f>
        <v>0</v>
      </c>
      <c r="EZ13" s="9">
        <f>CV13*'MASTER SHEET'!D13</f>
        <v>0</v>
      </c>
      <c r="FA13" s="9">
        <f>CZ13*'MASTER SHEET'!D13</f>
        <v>0</v>
      </c>
      <c r="FB13" s="9">
        <f>DD13*'MASTER SHEET'!D13</f>
        <v>0</v>
      </c>
      <c r="FC13" s="9">
        <f>DH13*'MASTER SHEET'!D13</f>
        <v>0</v>
      </c>
      <c r="FD13" s="9">
        <f>DL13*'MASTER SHEET'!D13</f>
        <v>0</v>
      </c>
      <c r="FE13" s="9">
        <f>DP13*'MASTER SHEET'!D13</f>
        <v>0</v>
      </c>
      <c r="FF13" s="9">
        <f>DT13*'MASTER SHEET'!D13</f>
        <v>0</v>
      </c>
      <c r="FG13" s="9">
        <f>DX13*'MASTER SHEET'!D13</f>
        <v>0</v>
      </c>
    </row>
    <row r="14" spans="1:163" ht="20.25" x14ac:dyDescent="0.25">
      <c r="A14" s="43">
        <f>'MASTER SHEET'!A14</f>
        <v>12</v>
      </c>
      <c r="B14" s="26" t="str">
        <f>'MASTER SHEET'!B14</f>
        <v xml:space="preserve">END PLATE PLASTIC </v>
      </c>
      <c r="C14" s="82">
        <f>'MASTER SHEET'!C14</f>
        <v>5015855</v>
      </c>
      <c r="D14" s="64"/>
      <c r="E14" s="28">
        <v>5000</v>
      </c>
      <c r="F14" s="28">
        <v>5000</v>
      </c>
      <c r="G14" s="65"/>
      <c r="H14" s="64">
        <f t="shared" si="35"/>
        <v>0</v>
      </c>
      <c r="I14" s="28">
        <v>4000</v>
      </c>
      <c r="J14" s="28">
        <v>4000</v>
      </c>
      <c r="K14" s="65"/>
      <c r="L14" s="64">
        <f t="shared" si="36"/>
        <v>0</v>
      </c>
      <c r="M14" s="28"/>
      <c r="N14" s="28"/>
      <c r="O14" s="65"/>
      <c r="P14" s="64">
        <f t="shared" si="37"/>
        <v>0</v>
      </c>
      <c r="Q14" s="28">
        <v>5000</v>
      </c>
      <c r="R14" s="28">
        <v>5000</v>
      </c>
      <c r="S14" s="65"/>
      <c r="T14" s="64">
        <f t="shared" si="38"/>
        <v>0</v>
      </c>
      <c r="U14" s="28"/>
      <c r="V14" s="28"/>
      <c r="W14" s="65"/>
      <c r="X14" s="64">
        <f t="shared" si="39"/>
        <v>0</v>
      </c>
      <c r="Y14" s="28">
        <v>4000</v>
      </c>
      <c r="Z14" s="28">
        <v>4000</v>
      </c>
      <c r="AA14" s="65"/>
      <c r="AB14" s="64">
        <f t="shared" si="40"/>
        <v>0</v>
      </c>
      <c r="AC14" s="28">
        <v>4000</v>
      </c>
      <c r="AD14" s="28">
        <v>4000</v>
      </c>
      <c r="AE14" s="65"/>
      <c r="AF14" s="64">
        <f t="shared" si="41"/>
        <v>0</v>
      </c>
      <c r="AG14" s="28">
        <v>4000</v>
      </c>
      <c r="AH14" s="28">
        <v>4000</v>
      </c>
      <c r="AI14" s="65"/>
      <c r="AJ14" s="64">
        <f t="shared" si="42"/>
        <v>0</v>
      </c>
      <c r="AK14" s="28">
        <f>9500-4000</f>
        <v>5500</v>
      </c>
      <c r="AL14" s="28">
        <v>5500</v>
      </c>
      <c r="AM14" s="65"/>
      <c r="AN14" s="64">
        <f t="shared" si="43"/>
        <v>0</v>
      </c>
      <c r="AO14" s="28"/>
      <c r="AP14" s="28"/>
      <c r="AQ14" s="65"/>
      <c r="AR14" s="64">
        <f t="shared" si="44"/>
        <v>0</v>
      </c>
      <c r="AS14" s="28">
        <v>3000</v>
      </c>
      <c r="AT14" s="28">
        <v>3000</v>
      </c>
      <c r="AU14" s="65"/>
      <c r="AV14" s="64">
        <f t="shared" si="45"/>
        <v>0</v>
      </c>
      <c r="AW14" s="28"/>
      <c r="AX14" s="28"/>
      <c r="AY14" s="65"/>
      <c r="AZ14" s="64">
        <f t="shared" si="46"/>
        <v>0</v>
      </c>
      <c r="BA14" s="28">
        <v>4500</v>
      </c>
      <c r="BB14" s="28">
        <v>4500</v>
      </c>
      <c r="BC14" s="65"/>
      <c r="BD14" s="64">
        <f t="shared" si="47"/>
        <v>0</v>
      </c>
      <c r="BE14" s="28"/>
      <c r="BF14" s="28"/>
      <c r="BG14" s="65"/>
      <c r="BH14" s="64">
        <f t="shared" si="48"/>
        <v>0</v>
      </c>
      <c r="BI14" s="28"/>
      <c r="BJ14" s="28"/>
      <c r="BK14" s="65"/>
      <c r="BL14" s="64">
        <f t="shared" si="49"/>
        <v>0</v>
      </c>
      <c r="BM14" s="28"/>
      <c r="BN14" s="28"/>
      <c r="BO14" s="65"/>
      <c r="BP14" s="64">
        <f t="shared" si="50"/>
        <v>0</v>
      </c>
      <c r="BQ14" s="28">
        <v>3000</v>
      </c>
      <c r="BR14" s="28">
        <v>3000</v>
      </c>
      <c r="BS14" s="65"/>
      <c r="BT14" s="64">
        <f t="shared" si="51"/>
        <v>0</v>
      </c>
      <c r="BU14" s="28">
        <v>5157</v>
      </c>
      <c r="BV14" s="28">
        <v>5157</v>
      </c>
      <c r="BW14" s="65"/>
      <c r="BX14" s="64">
        <f t="shared" si="52"/>
        <v>0</v>
      </c>
      <c r="BY14" s="28"/>
      <c r="BZ14" s="28"/>
      <c r="CA14" s="65"/>
      <c r="CB14" s="64">
        <f t="shared" si="53"/>
        <v>0</v>
      </c>
      <c r="CC14" s="28">
        <v>4000</v>
      </c>
      <c r="CD14" s="28">
        <v>4000</v>
      </c>
      <c r="CE14" s="65"/>
      <c r="CF14" s="64">
        <f t="shared" si="54"/>
        <v>0</v>
      </c>
      <c r="CG14" s="28">
        <v>3000</v>
      </c>
      <c r="CH14" s="28">
        <v>3000</v>
      </c>
      <c r="CI14" s="65"/>
      <c r="CJ14" s="64">
        <f t="shared" si="55"/>
        <v>0</v>
      </c>
      <c r="CK14" s="28">
        <v>3000</v>
      </c>
      <c r="CL14" s="28">
        <v>3000</v>
      </c>
      <c r="CM14" s="65"/>
      <c r="CN14" s="64">
        <f t="shared" si="56"/>
        <v>0</v>
      </c>
      <c r="CO14" s="28">
        <v>2500</v>
      </c>
      <c r="CP14" s="28">
        <v>2500</v>
      </c>
      <c r="CQ14" s="65"/>
      <c r="CR14" s="64">
        <f t="shared" si="57"/>
        <v>0</v>
      </c>
      <c r="CS14" s="28">
        <v>1500</v>
      </c>
      <c r="CT14" s="28">
        <v>1500</v>
      </c>
      <c r="CU14" s="65"/>
      <c r="CV14" s="64">
        <f t="shared" si="58"/>
        <v>0</v>
      </c>
      <c r="CW14" s="28">
        <v>2500</v>
      </c>
      <c r="CX14" s="28">
        <v>2500</v>
      </c>
      <c r="CY14" s="65"/>
      <c r="CZ14" s="64">
        <f t="shared" si="59"/>
        <v>0</v>
      </c>
      <c r="DA14" s="28">
        <v>4500</v>
      </c>
      <c r="DB14" s="28">
        <v>4500</v>
      </c>
      <c r="DC14" s="65"/>
      <c r="DD14" s="64">
        <f t="shared" si="60"/>
        <v>0</v>
      </c>
      <c r="DE14" s="28">
        <v>1500</v>
      </c>
      <c r="DF14" s="28">
        <v>1500</v>
      </c>
      <c r="DG14" s="65"/>
      <c r="DH14" s="64">
        <f t="shared" si="61"/>
        <v>0</v>
      </c>
      <c r="DI14" s="28">
        <v>2000</v>
      </c>
      <c r="DJ14" s="28">
        <v>2000</v>
      </c>
      <c r="DK14" s="65"/>
      <c r="DL14" s="64">
        <f t="shared" si="62"/>
        <v>0</v>
      </c>
      <c r="DM14" s="28">
        <v>5500</v>
      </c>
      <c r="DN14" s="28">
        <v>5500</v>
      </c>
      <c r="DO14" s="65"/>
      <c r="DP14" s="64">
        <f t="shared" si="63"/>
        <v>0</v>
      </c>
      <c r="DQ14" s="28"/>
      <c r="DR14" s="28"/>
      <c r="DS14" s="65"/>
      <c r="DT14" s="64">
        <f t="shared" si="64"/>
        <v>0</v>
      </c>
      <c r="DU14" s="28"/>
      <c r="DV14" s="28"/>
      <c r="DW14" s="65"/>
      <c r="DX14" s="30">
        <f t="shared" si="65"/>
        <v>0</v>
      </c>
      <c r="DY14" s="31">
        <f t="shared" si="32"/>
        <v>77157</v>
      </c>
      <c r="DZ14" s="31">
        <f t="shared" si="33"/>
        <v>77157</v>
      </c>
      <c r="EA14" s="4">
        <f t="shared" si="34"/>
        <v>0</v>
      </c>
      <c r="EB14" s="9">
        <f>D14*'MASTER SHEET'!D14</f>
        <v>0</v>
      </c>
      <c r="EC14" s="9">
        <f>H14*'MASTER SHEET'!D14</f>
        <v>0</v>
      </c>
      <c r="ED14" s="9">
        <f>L14*'MASTER SHEET'!D14</f>
        <v>0</v>
      </c>
      <c r="EE14" s="9">
        <f>P14*'MASTER SHEET'!D14</f>
        <v>0</v>
      </c>
      <c r="EF14" s="9">
        <f>T14*'MASTER SHEET'!D14</f>
        <v>0</v>
      </c>
      <c r="EG14" s="9">
        <f>X14*'MASTER SHEET'!D14</f>
        <v>0</v>
      </c>
      <c r="EH14" s="9">
        <f>AB14*'MASTER SHEET'!D14</f>
        <v>0</v>
      </c>
      <c r="EI14" s="9">
        <f>AF14*'MASTER SHEET'!D14</f>
        <v>0</v>
      </c>
      <c r="EJ14" s="9">
        <f>AJ14*'MASTER SHEET'!D14</f>
        <v>0</v>
      </c>
      <c r="EK14" s="9">
        <f>AN14*'MASTER SHEET'!D14</f>
        <v>0</v>
      </c>
      <c r="EL14" s="9">
        <f>AR14*'MASTER SHEET'!D14</f>
        <v>0</v>
      </c>
      <c r="EM14" s="9">
        <f>AV14*'MASTER SHEET'!D14</f>
        <v>0</v>
      </c>
      <c r="EN14" s="9">
        <f>AZ14*'MASTER SHEET'!D14</f>
        <v>0</v>
      </c>
      <c r="EO14" s="9">
        <f>BD14*'MASTER SHEET'!D14</f>
        <v>0</v>
      </c>
      <c r="EP14" s="9">
        <f>BH14*'MASTER SHEET'!D14</f>
        <v>0</v>
      </c>
      <c r="EQ14" s="9">
        <f>BL14*'MASTER SHEET'!D14</f>
        <v>0</v>
      </c>
      <c r="ER14" s="9">
        <f>BP14*'MASTER SHEET'!D14</f>
        <v>0</v>
      </c>
      <c r="ES14" s="9">
        <f>BT14*'MASTER SHEET'!D14</f>
        <v>0</v>
      </c>
      <c r="ET14" s="9">
        <f>BX14*'MASTER SHEET'!D14</f>
        <v>0</v>
      </c>
      <c r="EU14" s="9">
        <f>CB14*'MASTER SHEET'!D14</f>
        <v>0</v>
      </c>
      <c r="EV14" s="9">
        <f>CF14*'MASTER SHEET'!D14</f>
        <v>0</v>
      </c>
      <c r="EW14" s="9">
        <f>CJ14*'MASTER SHEET'!D14</f>
        <v>0</v>
      </c>
      <c r="EX14" s="9">
        <f>CN14*'MASTER SHEET'!D14</f>
        <v>0</v>
      </c>
      <c r="EY14" s="9">
        <f>CV14*'MASTER SHEET'!D14</f>
        <v>0</v>
      </c>
      <c r="EZ14" s="9">
        <f>CV14*'MASTER SHEET'!D14</f>
        <v>0</v>
      </c>
      <c r="FA14" s="9">
        <f>CZ14*'MASTER SHEET'!D14</f>
        <v>0</v>
      </c>
      <c r="FB14" s="9">
        <f>DD14*'MASTER SHEET'!D14</f>
        <v>0</v>
      </c>
      <c r="FC14" s="9">
        <f>DH14*'MASTER SHEET'!D14</f>
        <v>0</v>
      </c>
      <c r="FD14" s="9">
        <f>DL14*'MASTER SHEET'!D14</f>
        <v>0</v>
      </c>
      <c r="FE14" s="9">
        <f>DP14*'MASTER SHEET'!D14</f>
        <v>0</v>
      </c>
      <c r="FF14" s="9">
        <f>DT14*'MASTER SHEET'!D14</f>
        <v>0</v>
      </c>
      <c r="FG14" s="9">
        <f>DX14*'MASTER SHEET'!D14</f>
        <v>0</v>
      </c>
    </row>
    <row r="15" spans="1:163" ht="20.25" x14ac:dyDescent="0.25">
      <c r="A15" s="43">
        <f>'MASTER SHEET'!A15</f>
        <v>13</v>
      </c>
      <c r="B15" s="26" t="str">
        <f>'MASTER SHEET'!B15</f>
        <v>VALVE BODY, PLASTIC</v>
      </c>
      <c r="C15" s="82">
        <f>'MASTER SHEET'!C15</f>
        <v>5015903</v>
      </c>
      <c r="D15" s="64"/>
      <c r="E15" s="28"/>
      <c r="F15" s="28"/>
      <c r="G15" s="65"/>
      <c r="H15" s="64">
        <f t="shared" si="35"/>
        <v>0</v>
      </c>
      <c r="I15" s="28"/>
      <c r="J15" s="28"/>
      <c r="K15" s="65"/>
      <c r="L15" s="64">
        <f t="shared" si="36"/>
        <v>0</v>
      </c>
      <c r="M15" s="28"/>
      <c r="N15" s="28"/>
      <c r="O15" s="65"/>
      <c r="P15" s="64">
        <f t="shared" si="37"/>
        <v>0</v>
      </c>
      <c r="Q15" s="28"/>
      <c r="R15" s="28"/>
      <c r="S15" s="65"/>
      <c r="T15" s="64">
        <f t="shared" si="38"/>
        <v>0</v>
      </c>
      <c r="U15" s="28"/>
      <c r="V15" s="28"/>
      <c r="W15" s="65"/>
      <c r="X15" s="64">
        <f t="shared" si="39"/>
        <v>0</v>
      </c>
      <c r="Y15" s="28"/>
      <c r="Z15" s="28"/>
      <c r="AA15" s="65"/>
      <c r="AB15" s="64">
        <f t="shared" si="40"/>
        <v>0</v>
      </c>
      <c r="AC15" s="28"/>
      <c r="AD15" s="28"/>
      <c r="AE15" s="65"/>
      <c r="AF15" s="64">
        <f t="shared" si="41"/>
        <v>0</v>
      </c>
      <c r="AG15" s="28"/>
      <c r="AH15" s="28"/>
      <c r="AI15" s="65"/>
      <c r="AJ15" s="64">
        <f t="shared" si="42"/>
        <v>0</v>
      </c>
      <c r="AK15" s="28"/>
      <c r="AL15" s="28"/>
      <c r="AM15" s="65"/>
      <c r="AN15" s="64">
        <f t="shared" si="43"/>
        <v>0</v>
      </c>
      <c r="AO15" s="28"/>
      <c r="AP15" s="28"/>
      <c r="AQ15" s="65"/>
      <c r="AR15" s="64">
        <f t="shared" si="44"/>
        <v>0</v>
      </c>
      <c r="AS15" s="28"/>
      <c r="AT15" s="28"/>
      <c r="AU15" s="65"/>
      <c r="AV15" s="64">
        <f t="shared" si="45"/>
        <v>0</v>
      </c>
      <c r="AW15" s="28"/>
      <c r="AX15" s="28"/>
      <c r="AY15" s="65"/>
      <c r="AZ15" s="64">
        <f t="shared" si="46"/>
        <v>0</v>
      </c>
      <c r="BA15" s="28"/>
      <c r="BB15" s="28"/>
      <c r="BC15" s="65"/>
      <c r="BD15" s="64">
        <f t="shared" si="47"/>
        <v>0</v>
      </c>
      <c r="BE15" s="28"/>
      <c r="BF15" s="28"/>
      <c r="BG15" s="65"/>
      <c r="BH15" s="64">
        <f t="shared" si="48"/>
        <v>0</v>
      </c>
      <c r="BI15" s="28"/>
      <c r="BJ15" s="28"/>
      <c r="BK15" s="65"/>
      <c r="BL15" s="64">
        <f t="shared" si="49"/>
        <v>0</v>
      </c>
      <c r="BM15" s="28"/>
      <c r="BN15" s="28"/>
      <c r="BO15" s="65"/>
      <c r="BP15" s="64">
        <f t="shared" si="50"/>
        <v>0</v>
      </c>
      <c r="BQ15" s="28"/>
      <c r="BR15" s="28"/>
      <c r="BS15" s="65"/>
      <c r="BT15" s="64">
        <f t="shared" si="51"/>
        <v>0</v>
      </c>
      <c r="BU15" s="28"/>
      <c r="BV15" s="28"/>
      <c r="BW15" s="65"/>
      <c r="BX15" s="64">
        <f t="shared" si="52"/>
        <v>0</v>
      </c>
      <c r="BY15" s="28"/>
      <c r="BZ15" s="28"/>
      <c r="CA15" s="65"/>
      <c r="CB15" s="64">
        <f t="shared" si="53"/>
        <v>0</v>
      </c>
      <c r="CC15" s="28"/>
      <c r="CD15" s="28"/>
      <c r="CE15" s="65"/>
      <c r="CF15" s="64">
        <f t="shared" si="54"/>
        <v>0</v>
      </c>
      <c r="CG15" s="28"/>
      <c r="CH15" s="28"/>
      <c r="CI15" s="65"/>
      <c r="CJ15" s="64">
        <f t="shared" si="55"/>
        <v>0</v>
      </c>
      <c r="CK15" s="28"/>
      <c r="CL15" s="28"/>
      <c r="CM15" s="65"/>
      <c r="CN15" s="64">
        <f t="shared" si="56"/>
        <v>0</v>
      </c>
      <c r="CO15" s="28"/>
      <c r="CP15" s="28"/>
      <c r="CQ15" s="65"/>
      <c r="CR15" s="64">
        <f t="shared" si="57"/>
        <v>0</v>
      </c>
      <c r="CS15" s="28"/>
      <c r="CT15" s="28"/>
      <c r="CU15" s="65"/>
      <c r="CV15" s="64">
        <f t="shared" si="58"/>
        <v>0</v>
      </c>
      <c r="CW15" s="28"/>
      <c r="CX15" s="28"/>
      <c r="CY15" s="65"/>
      <c r="CZ15" s="64">
        <f t="shared" si="59"/>
        <v>0</v>
      </c>
      <c r="DA15" s="28"/>
      <c r="DB15" s="28"/>
      <c r="DC15" s="65"/>
      <c r="DD15" s="64">
        <f t="shared" si="60"/>
        <v>0</v>
      </c>
      <c r="DE15" s="28"/>
      <c r="DF15" s="28"/>
      <c r="DG15" s="65"/>
      <c r="DH15" s="64">
        <f t="shared" si="61"/>
        <v>0</v>
      </c>
      <c r="DI15" s="28"/>
      <c r="DJ15" s="28"/>
      <c r="DK15" s="65"/>
      <c r="DL15" s="64">
        <f t="shared" si="62"/>
        <v>0</v>
      </c>
      <c r="DM15" s="28"/>
      <c r="DN15" s="28"/>
      <c r="DO15" s="65"/>
      <c r="DP15" s="64">
        <f t="shared" si="63"/>
        <v>0</v>
      </c>
      <c r="DQ15" s="28"/>
      <c r="DR15" s="28"/>
      <c r="DS15" s="65"/>
      <c r="DT15" s="64">
        <f t="shared" si="64"/>
        <v>0</v>
      </c>
      <c r="DU15" s="28"/>
      <c r="DV15" s="28"/>
      <c r="DW15" s="65"/>
      <c r="DX15" s="30">
        <f t="shared" si="65"/>
        <v>0</v>
      </c>
      <c r="DY15" s="31">
        <f t="shared" si="32"/>
        <v>0</v>
      </c>
      <c r="DZ15" s="31">
        <f t="shared" si="33"/>
        <v>0</v>
      </c>
      <c r="EA15" s="4">
        <f t="shared" si="34"/>
        <v>0</v>
      </c>
      <c r="EB15" s="9">
        <f>D15*'MASTER SHEET'!D15</f>
        <v>0</v>
      </c>
      <c r="EC15" s="9">
        <f>H15*'MASTER SHEET'!D15</f>
        <v>0</v>
      </c>
      <c r="ED15" s="9">
        <f>L15*'MASTER SHEET'!D15</f>
        <v>0</v>
      </c>
      <c r="EE15" s="9">
        <f>P15*'MASTER SHEET'!D15</f>
        <v>0</v>
      </c>
      <c r="EF15" s="9">
        <f>T15*'MASTER SHEET'!D15</f>
        <v>0</v>
      </c>
      <c r="EG15" s="9">
        <f>X15*'MASTER SHEET'!D15</f>
        <v>0</v>
      </c>
      <c r="EH15" s="9">
        <f>AB15*'MASTER SHEET'!D15</f>
        <v>0</v>
      </c>
      <c r="EI15" s="9">
        <f>AF15*'MASTER SHEET'!D15</f>
        <v>0</v>
      </c>
      <c r="EJ15" s="9">
        <f>AJ15*'MASTER SHEET'!D15</f>
        <v>0</v>
      </c>
      <c r="EK15" s="9">
        <f>AN15*'MASTER SHEET'!D15</f>
        <v>0</v>
      </c>
      <c r="EL15" s="9">
        <f>AR15*'MASTER SHEET'!D15</f>
        <v>0</v>
      </c>
      <c r="EM15" s="9">
        <f>AV15*'MASTER SHEET'!D15</f>
        <v>0</v>
      </c>
      <c r="EN15" s="9">
        <f>AZ15*'MASTER SHEET'!D15</f>
        <v>0</v>
      </c>
      <c r="EO15" s="9">
        <f>BD15*'MASTER SHEET'!D15</f>
        <v>0</v>
      </c>
      <c r="EP15" s="9">
        <f>BH15*'MASTER SHEET'!D15</f>
        <v>0</v>
      </c>
      <c r="EQ15" s="9">
        <f>BL15*'MASTER SHEET'!D15</f>
        <v>0</v>
      </c>
      <c r="ER15" s="9">
        <f>BP15*'MASTER SHEET'!D15</f>
        <v>0</v>
      </c>
      <c r="ES15" s="9">
        <f>BT15*'MASTER SHEET'!D15</f>
        <v>0</v>
      </c>
      <c r="ET15" s="9">
        <f>BX15*'MASTER SHEET'!D15</f>
        <v>0</v>
      </c>
      <c r="EU15" s="9">
        <f>CB15*'MASTER SHEET'!D15</f>
        <v>0</v>
      </c>
      <c r="EV15" s="9">
        <f>CF15*'MASTER SHEET'!D15</f>
        <v>0</v>
      </c>
      <c r="EW15" s="9">
        <f>CJ15*'MASTER SHEET'!D15</f>
        <v>0</v>
      </c>
      <c r="EX15" s="9">
        <f>CN15*'MASTER SHEET'!D15</f>
        <v>0</v>
      </c>
      <c r="EY15" s="9">
        <f>CV15*'MASTER SHEET'!D15</f>
        <v>0</v>
      </c>
      <c r="EZ15" s="9">
        <f>CV15*'MASTER SHEET'!D15</f>
        <v>0</v>
      </c>
      <c r="FA15" s="9">
        <f>CZ15*'MASTER SHEET'!D15</f>
        <v>0</v>
      </c>
      <c r="FB15" s="9">
        <f>DD15*'MASTER SHEET'!D15</f>
        <v>0</v>
      </c>
      <c r="FC15" s="9">
        <f>DH15*'MASTER SHEET'!D15</f>
        <v>0</v>
      </c>
      <c r="FD15" s="9">
        <f>DL15*'MASTER SHEET'!D15</f>
        <v>0</v>
      </c>
      <c r="FE15" s="9">
        <f>DP15*'MASTER SHEET'!D15</f>
        <v>0</v>
      </c>
      <c r="FF15" s="9">
        <f>DT15*'MASTER SHEET'!D15</f>
        <v>0</v>
      </c>
      <c r="FG15" s="9">
        <f>DX15*'MASTER SHEET'!D15</f>
        <v>0</v>
      </c>
    </row>
    <row r="16" spans="1:163" ht="20.25" x14ac:dyDescent="0.25">
      <c r="A16" s="43">
        <f>'MASTER SHEET'!A16</f>
        <v>14</v>
      </c>
      <c r="B16" s="26" t="str">
        <f>'MASTER SHEET'!B16</f>
        <v>VALVE BODY, PLASTIC</v>
      </c>
      <c r="C16" s="82">
        <f>'MASTER SHEET'!C16</f>
        <v>5015904</v>
      </c>
      <c r="D16" s="64"/>
      <c r="E16" s="28"/>
      <c r="F16" s="28"/>
      <c r="G16" s="65"/>
      <c r="H16" s="64">
        <f t="shared" si="35"/>
        <v>0</v>
      </c>
      <c r="I16" s="28"/>
      <c r="J16" s="28"/>
      <c r="K16" s="65"/>
      <c r="L16" s="64">
        <f t="shared" si="36"/>
        <v>0</v>
      </c>
      <c r="M16" s="28"/>
      <c r="N16" s="28"/>
      <c r="O16" s="65"/>
      <c r="P16" s="64">
        <f t="shared" si="37"/>
        <v>0</v>
      </c>
      <c r="Q16" s="28"/>
      <c r="R16" s="28"/>
      <c r="S16" s="65"/>
      <c r="T16" s="64">
        <f t="shared" si="38"/>
        <v>0</v>
      </c>
      <c r="U16" s="28"/>
      <c r="V16" s="28"/>
      <c r="W16" s="65"/>
      <c r="X16" s="64">
        <f t="shared" si="39"/>
        <v>0</v>
      </c>
      <c r="Y16" s="28"/>
      <c r="Z16" s="28"/>
      <c r="AA16" s="65"/>
      <c r="AB16" s="64">
        <f t="shared" si="40"/>
        <v>0</v>
      </c>
      <c r="AC16" s="28"/>
      <c r="AD16" s="28"/>
      <c r="AE16" s="65"/>
      <c r="AF16" s="64">
        <f t="shared" si="41"/>
        <v>0</v>
      </c>
      <c r="AG16" s="28"/>
      <c r="AH16" s="28"/>
      <c r="AI16" s="65"/>
      <c r="AJ16" s="64">
        <f t="shared" si="42"/>
        <v>0</v>
      </c>
      <c r="AK16" s="28"/>
      <c r="AL16" s="28"/>
      <c r="AM16" s="65"/>
      <c r="AN16" s="64">
        <f t="shared" si="43"/>
        <v>0</v>
      </c>
      <c r="AO16" s="28"/>
      <c r="AP16" s="28"/>
      <c r="AQ16" s="65"/>
      <c r="AR16" s="64">
        <f t="shared" si="44"/>
        <v>0</v>
      </c>
      <c r="AS16" s="28"/>
      <c r="AT16" s="28"/>
      <c r="AU16" s="65"/>
      <c r="AV16" s="64">
        <f t="shared" si="45"/>
        <v>0</v>
      </c>
      <c r="AW16" s="28"/>
      <c r="AX16" s="28"/>
      <c r="AY16" s="65"/>
      <c r="AZ16" s="64">
        <f t="shared" si="46"/>
        <v>0</v>
      </c>
      <c r="BA16" s="28"/>
      <c r="BB16" s="28"/>
      <c r="BC16" s="65"/>
      <c r="BD16" s="64">
        <f t="shared" si="47"/>
        <v>0</v>
      </c>
      <c r="BE16" s="28"/>
      <c r="BF16" s="28"/>
      <c r="BG16" s="65"/>
      <c r="BH16" s="64">
        <f t="shared" si="48"/>
        <v>0</v>
      </c>
      <c r="BI16" s="28"/>
      <c r="BJ16" s="28"/>
      <c r="BK16" s="65"/>
      <c r="BL16" s="64">
        <f t="shared" si="49"/>
        <v>0</v>
      </c>
      <c r="BM16" s="28"/>
      <c r="BN16" s="28"/>
      <c r="BO16" s="65"/>
      <c r="BP16" s="64">
        <f t="shared" si="50"/>
        <v>0</v>
      </c>
      <c r="BQ16" s="28"/>
      <c r="BR16" s="28"/>
      <c r="BS16" s="65"/>
      <c r="BT16" s="64">
        <f t="shared" si="51"/>
        <v>0</v>
      </c>
      <c r="BU16" s="28"/>
      <c r="BV16" s="28"/>
      <c r="BW16" s="65"/>
      <c r="BX16" s="64">
        <f t="shared" si="52"/>
        <v>0</v>
      </c>
      <c r="BY16" s="28"/>
      <c r="BZ16" s="28"/>
      <c r="CA16" s="65"/>
      <c r="CB16" s="64">
        <f t="shared" si="53"/>
        <v>0</v>
      </c>
      <c r="CC16" s="28"/>
      <c r="CD16" s="28"/>
      <c r="CE16" s="65"/>
      <c r="CF16" s="64">
        <f t="shared" si="54"/>
        <v>0</v>
      </c>
      <c r="CG16" s="28"/>
      <c r="CH16" s="28"/>
      <c r="CI16" s="65"/>
      <c r="CJ16" s="64">
        <f t="shared" si="55"/>
        <v>0</v>
      </c>
      <c r="CK16" s="28"/>
      <c r="CL16" s="28"/>
      <c r="CM16" s="65"/>
      <c r="CN16" s="64">
        <f t="shared" si="56"/>
        <v>0</v>
      </c>
      <c r="CO16" s="28"/>
      <c r="CP16" s="28"/>
      <c r="CQ16" s="65"/>
      <c r="CR16" s="64">
        <f t="shared" si="57"/>
        <v>0</v>
      </c>
      <c r="CS16" s="28"/>
      <c r="CT16" s="28"/>
      <c r="CU16" s="65"/>
      <c r="CV16" s="64">
        <f t="shared" si="58"/>
        <v>0</v>
      </c>
      <c r="CW16" s="28"/>
      <c r="CX16" s="28"/>
      <c r="CY16" s="65"/>
      <c r="CZ16" s="64">
        <f t="shared" si="59"/>
        <v>0</v>
      </c>
      <c r="DA16" s="28"/>
      <c r="DB16" s="28"/>
      <c r="DC16" s="65"/>
      <c r="DD16" s="64">
        <f t="shared" si="60"/>
        <v>0</v>
      </c>
      <c r="DE16" s="28"/>
      <c r="DF16" s="28"/>
      <c r="DG16" s="65"/>
      <c r="DH16" s="64">
        <f t="shared" si="61"/>
        <v>0</v>
      </c>
      <c r="DI16" s="28"/>
      <c r="DJ16" s="28"/>
      <c r="DK16" s="65"/>
      <c r="DL16" s="64">
        <f t="shared" si="62"/>
        <v>0</v>
      </c>
      <c r="DM16" s="28"/>
      <c r="DN16" s="28"/>
      <c r="DO16" s="65"/>
      <c r="DP16" s="64">
        <f t="shared" si="63"/>
        <v>0</v>
      </c>
      <c r="DQ16" s="28"/>
      <c r="DR16" s="28"/>
      <c r="DS16" s="65"/>
      <c r="DT16" s="64">
        <f t="shared" si="64"/>
        <v>0</v>
      </c>
      <c r="DU16" s="28"/>
      <c r="DV16" s="28"/>
      <c r="DW16" s="65"/>
      <c r="DX16" s="30">
        <f t="shared" si="65"/>
        <v>0</v>
      </c>
      <c r="DY16" s="31">
        <f t="shared" si="32"/>
        <v>0</v>
      </c>
      <c r="DZ16" s="31">
        <f t="shared" si="33"/>
        <v>0</v>
      </c>
      <c r="EA16" s="4">
        <f t="shared" si="34"/>
        <v>0</v>
      </c>
      <c r="EB16" s="9">
        <f>D16*'MASTER SHEET'!D16</f>
        <v>0</v>
      </c>
      <c r="EC16" s="9">
        <f>H16*'MASTER SHEET'!D16</f>
        <v>0</v>
      </c>
      <c r="ED16" s="9">
        <f>L16*'MASTER SHEET'!D16</f>
        <v>0</v>
      </c>
      <c r="EE16" s="9">
        <f>P16*'MASTER SHEET'!D16</f>
        <v>0</v>
      </c>
      <c r="EF16" s="9">
        <f>T16*'MASTER SHEET'!D16</f>
        <v>0</v>
      </c>
      <c r="EG16" s="9">
        <f>X16*'MASTER SHEET'!D16</f>
        <v>0</v>
      </c>
      <c r="EH16" s="9">
        <f>AB16*'MASTER SHEET'!D16</f>
        <v>0</v>
      </c>
      <c r="EI16" s="9">
        <f>AF16*'MASTER SHEET'!D16</f>
        <v>0</v>
      </c>
      <c r="EJ16" s="9">
        <f>AJ16*'MASTER SHEET'!D16</f>
        <v>0</v>
      </c>
      <c r="EK16" s="9">
        <f>AN16*'MASTER SHEET'!D16</f>
        <v>0</v>
      </c>
      <c r="EL16" s="9">
        <f>AR16*'MASTER SHEET'!D16</f>
        <v>0</v>
      </c>
      <c r="EM16" s="9">
        <f>AV16*'MASTER SHEET'!D16</f>
        <v>0</v>
      </c>
      <c r="EN16" s="9">
        <f>AZ16*'MASTER SHEET'!D16</f>
        <v>0</v>
      </c>
      <c r="EO16" s="9">
        <f>BD16*'MASTER SHEET'!D16</f>
        <v>0</v>
      </c>
      <c r="EP16" s="9">
        <f>BH16*'MASTER SHEET'!D16</f>
        <v>0</v>
      </c>
      <c r="EQ16" s="9">
        <f>BL16*'MASTER SHEET'!D16</f>
        <v>0</v>
      </c>
      <c r="ER16" s="9">
        <f>BP16*'MASTER SHEET'!D16</f>
        <v>0</v>
      </c>
      <c r="ES16" s="9">
        <f>BT16*'MASTER SHEET'!D16</f>
        <v>0</v>
      </c>
      <c r="ET16" s="9">
        <f>BX16*'MASTER SHEET'!D16</f>
        <v>0</v>
      </c>
      <c r="EU16" s="9">
        <f>CB16*'MASTER SHEET'!D16</f>
        <v>0</v>
      </c>
      <c r="EV16" s="9">
        <f>CF16*'MASTER SHEET'!D16</f>
        <v>0</v>
      </c>
      <c r="EW16" s="9">
        <f>CJ16*'MASTER SHEET'!D16</f>
        <v>0</v>
      </c>
      <c r="EX16" s="9">
        <f>CN16*'MASTER SHEET'!D16</f>
        <v>0</v>
      </c>
      <c r="EY16" s="9">
        <f>CV16*'MASTER SHEET'!D16</f>
        <v>0</v>
      </c>
      <c r="EZ16" s="9">
        <f>CV16*'MASTER SHEET'!D16</f>
        <v>0</v>
      </c>
      <c r="FA16" s="9">
        <f>CZ16*'MASTER SHEET'!D16</f>
        <v>0</v>
      </c>
      <c r="FB16" s="9">
        <f>DD16*'MASTER SHEET'!D16</f>
        <v>0</v>
      </c>
      <c r="FC16" s="9">
        <f>DH16*'MASTER SHEET'!D16</f>
        <v>0</v>
      </c>
      <c r="FD16" s="9">
        <f>DL16*'MASTER SHEET'!D16</f>
        <v>0</v>
      </c>
      <c r="FE16" s="9">
        <f>DP16*'MASTER SHEET'!D16</f>
        <v>0</v>
      </c>
      <c r="FF16" s="9">
        <f>DT16*'MASTER SHEET'!D16</f>
        <v>0</v>
      </c>
      <c r="FG16" s="9">
        <f>DX16*'MASTER SHEET'!D16</f>
        <v>0</v>
      </c>
    </row>
    <row r="17" spans="1:163" ht="20.25" x14ac:dyDescent="0.25">
      <c r="A17" s="43">
        <f>'MASTER SHEET'!A17</f>
        <v>15</v>
      </c>
      <c r="B17" s="26" t="str">
        <f>'MASTER SHEET'!B17</f>
        <v>END PLATE PLASTIC</v>
      </c>
      <c r="C17" s="82">
        <f>'MASTER SHEET'!C17</f>
        <v>5016812</v>
      </c>
      <c r="D17" s="64"/>
      <c r="E17" s="28"/>
      <c r="F17" s="28"/>
      <c r="G17" s="65"/>
      <c r="H17" s="64">
        <f t="shared" si="35"/>
        <v>0</v>
      </c>
      <c r="I17" s="28"/>
      <c r="J17" s="28"/>
      <c r="K17" s="65"/>
      <c r="L17" s="64">
        <f t="shared" si="36"/>
        <v>0</v>
      </c>
      <c r="M17" s="28"/>
      <c r="N17" s="28"/>
      <c r="O17" s="65"/>
      <c r="P17" s="64">
        <f t="shared" si="37"/>
        <v>0</v>
      </c>
      <c r="Q17" s="28"/>
      <c r="R17" s="28"/>
      <c r="S17" s="65"/>
      <c r="T17" s="64">
        <f t="shared" si="38"/>
        <v>0</v>
      </c>
      <c r="U17" s="28"/>
      <c r="V17" s="28"/>
      <c r="W17" s="65"/>
      <c r="X17" s="64">
        <f t="shared" si="39"/>
        <v>0</v>
      </c>
      <c r="Y17" s="28"/>
      <c r="Z17" s="28"/>
      <c r="AA17" s="65"/>
      <c r="AB17" s="64">
        <f t="shared" si="40"/>
        <v>0</v>
      </c>
      <c r="AC17" s="28"/>
      <c r="AD17" s="28"/>
      <c r="AE17" s="65"/>
      <c r="AF17" s="64">
        <f t="shared" si="41"/>
        <v>0</v>
      </c>
      <c r="AG17" s="28"/>
      <c r="AH17" s="28"/>
      <c r="AI17" s="65"/>
      <c r="AJ17" s="64">
        <f t="shared" si="42"/>
        <v>0</v>
      </c>
      <c r="AK17" s="28"/>
      <c r="AL17" s="28"/>
      <c r="AM17" s="65"/>
      <c r="AN17" s="64">
        <f t="shared" si="43"/>
        <v>0</v>
      </c>
      <c r="AO17" s="28"/>
      <c r="AP17" s="28"/>
      <c r="AQ17" s="65"/>
      <c r="AR17" s="64">
        <f t="shared" si="44"/>
        <v>0</v>
      </c>
      <c r="AS17" s="28"/>
      <c r="AT17" s="28"/>
      <c r="AU17" s="65"/>
      <c r="AV17" s="64">
        <f t="shared" si="45"/>
        <v>0</v>
      </c>
      <c r="AW17" s="28"/>
      <c r="AX17" s="28"/>
      <c r="AY17" s="65"/>
      <c r="AZ17" s="64">
        <f t="shared" si="46"/>
        <v>0</v>
      </c>
      <c r="BA17" s="28"/>
      <c r="BB17" s="28"/>
      <c r="BC17" s="65"/>
      <c r="BD17" s="64">
        <f t="shared" si="47"/>
        <v>0</v>
      </c>
      <c r="BE17" s="28"/>
      <c r="BF17" s="28"/>
      <c r="BG17" s="65"/>
      <c r="BH17" s="64">
        <f t="shared" si="48"/>
        <v>0</v>
      </c>
      <c r="BI17" s="28"/>
      <c r="BJ17" s="28"/>
      <c r="BK17" s="65"/>
      <c r="BL17" s="64">
        <f t="shared" si="49"/>
        <v>0</v>
      </c>
      <c r="BM17" s="28"/>
      <c r="BN17" s="28"/>
      <c r="BO17" s="65"/>
      <c r="BP17" s="64">
        <f t="shared" si="50"/>
        <v>0</v>
      </c>
      <c r="BQ17" s="28"/>
      <c r="BR17" s="28"/>
      <c r="BS17" s="65"/>
      <c r="BT17" s="64">
        <f t="shared" si="51"/>
        <v>0</v>
      </c>
      <c r="BU17" s="28"/>
      <c r="BV17" s="28"/>
      <c r="BW17" s="65"/>
      <c r="BX17" s="64">
        <f t="shared" si="52"/>
        <v>0</v>
      </c>
      <c r="BY17" s="28"/>
      <c r="BZ17" s="28"/>
      <c r="CA17" s="65"/>
      <c r="CB17" s="64">
        <f t="shared" si="53"/>
        <v>0</v>
      </c>
      <c r="CC17" s="28"/>
      <c r="CD17" s="28"/>
      <c r="CE17" s="65"/>
      <c r="CF17" s="64">
        <f t="shared" si="54"/>
        <v>0</v>
      </c>
      <c r="CG17" s="28"/>
      <c r="CH17" s="28"/>
      <c r="CI17" s="65"/>
      <c r="CJ17" s="64">
        <f t="shared" si="55"/>
        <v>0</v>
      </c>
      <c r="CK17" s="28"/>
      <c r="CL17" s="28"/>
      <c r="CM17" s="65"/>
      <c r="CN17" s="64">
        <f t="shared" si="56"/>
        <v>0</v>
      </c>
      <c r="CO17" s="28"/>
      <c r="CP17" s="28"/>
      <c r="CQ17" s="65"/>
      <c r="CR17" s="64">
        <f t="shared" si="57"/>
        <v>0</v>
      </c>
      <c r="CS17" s="28"/>
      <c r="CT17" s="28"/>
      <c r="CU17" s="65"/>
      <c r="CV17" s="64">
        <f t="shared" si="58"/>
        <v>0</v>
      </c>
      <c r="CW17" s="28"/>
      <c r="CX17" s="28"/>
      <c r="CY17" s="65"/>
      <c r="CZ17" s="64">
        <f t="shared" si="59"/>
        <v>0</v>
      </c>
      <c r="DA17" s="28"/>
      <c r="DB17" s="28"/>
      <c r="DC17" s="65"/>
      <c r="DD17" s="64">
        <f t="shared" si="60"/>
        <v>0</v>
      </c>
      <c r="DE17" s="28"/>
      <c r="DF17" s="28"/>
      <c r="DG17" s="65"/>
      <c r="DH17" s="64">
        <f t="shared" si="61"/>
        <v>0</v>
      </c>
      <c r="DI17" s="28"/>
      <c r="DJ17" s="28"/>
      <c r="DK17" s="65"/>
      <c r="DL17" s="64">
        <f t="shared" si="62"/>
        <v>0</v>
      </c>
      <c r="DM17" s="28"/>
      <c r="DN17" s="28"/>
      <c r="DO17" s="65"/>
      <c r="DP17" s="64">
        <f t="shared" si="63"/>
        <v>0</v>
      </c>
      <c r="DQ17" s="28"/>
      <c r="DR17" s="28"/>
      <c r="DS17" s="65"/>
      <c r="DT17" s="64">
        <f t="shared" si="64"/>
        <v>0</v>
      </c>
      <c r="DU17" s="28"/>
      <c r="DV17" s="28"/>
      <c r="DW17" s="65"/>
      <c r="DX17" s="30">
        <f t="shared" si="65"/>
        <v>0</v>
      </c>
      <c r="DY17" s="31">
        <f t="shared" si="32"/>
        <v>0</v>
      </c>
      <c r="DZ17" s="31">
        <f t="shared" si="33"/>
        <v>0</v>
      </c>
      <c r="EA17" s="4">
        <f t="shared" si="34"/>
        <v>0</v>
      </c>
      <c r="EB17" s="9">
        <f>D17*'MASTER SHEET'!D17</f>
        <v>0</v>
      </c>
      <c r="EC17" s="9">
        <f>H17*'MASTER SHEET'!D17</f>
        <v>0</v>
      </c>
      <c r="ED17" s="9">
        <f>L17*'MASTER SHEET'!D17</f>
        <v>0</v>
      </c>
      <c r="EE17" s="9">
        <f>P17*'MASTER SHEET'!D17</f>
        <v>0</v>
      </c>
      <c r="EF17" s="9">
        <f>T17*'MASTER SHEET'!D17</f>
        <v>0</v>
      </c>
      <c r="EG17" s="9">
        <f>X17*'MASTER SHEET'!D17</f>
        <v>0</v>
      </c>
      <c r="EH17" s="9">
        <f>AB17*'MASTER SHEET'!D17</f>
        <v>0</v>
      </c>
      <c r="EI17" s="9">
        <f>AF17*'MASTER SHEET'!D17</f>
        <v>0</v>
      </c>
      <c r="EJ17" s="9">
        <f>AJ17*'MASTER SHEET'!D17</f>
        <v>0</v>
      </c>
      <c r="EK17" s="9">
        <f>AN17*'MASTER SHEET'!D17</f>
        <v>0</v>
      </c>
      <c r="EL17" s="9">
        <f>AR17*'MASTER SHEET'!D17</f>
        <v>0</v>
      </c>
      <c r="EM17" s="9">
        <f>AV17*'MASTER SHEET'!D17</f>
        <v>0</v>
      </c>
      <c r="EN17" s="9">
        <f>AZ17*'MASTER SHEET'!D17</f>
        <v>0</v>
      </c>
      <c r="EO17" s="9">
        <f>BD17*'MASTER SHEET'!D17</f>
        <v>0</v>
      </c>
      <c r="EP17" s="9">
        <f>BH17*'MASTER SHEET'!D17</f>
        <v>0</v>
      </c>
      <c r="EQ17" s="9">
        <f>BL17*'MASTER SHEET'!D17</f>
        <v>0</v>
      </c>
      <c r="ER17" s="9">
        <f>BP17*'MASTER SHEET'!D17</f>
        <v>0</v>
      </c>
      <c r="ES17" s="9">
        <f>BT17*'MASTER SHEET'!D17</f>
        <v>0</v>
      </c>
      <c r="ET17" s="9">
        <f>BX17*'MASTER SHEET'!D17</f>
        <v>0</v>
      </c>
      <c r="EU17" s="9">
        <f>CB17*'MASTER SHEET'!D17</f>
        <v>0</v>
      </c>
      <c r="EV17" s="9">
        <f>CF17*'MASTER SHEET'!D17</f>
        <v>0</v>
      </c>
      <c r="EW17" s="9">
        <f>CJ17*'MASTER SHEET'!D17</f>
        <v>0</v>
      </c>
      <c r="EX17" s="9">
        <f>CN17*'MASTER SHEET'!D17</f>
        <v>0</v>
      </c>
      <c r="EY17" s="9">
        <f>CV17*'MASTER SHEET'!D17</f>
        <v>0</v>
      </c>
      <c r="EZ17" s="9">
        <f>CV17*'MASTER SHEET'!D17</f>
        <v>0</v>
      </c>
      <c r="FA17" s="9">
        <f>CZ17*'MASTER SHEET'!D17</f>
        <v>0</v>
      </c>
      <c r="FB17" s="9">
        <f>DD17*'MASTER SHEET'!D17</f>
        <v>0</v>
      </c>
      <c r="FC17" s="9">
        <f>DH17*'MASTER SHEET'!D17</f>
        <v>0</v>
      </c>
      <c r="FD17" s="9">
        <f>DL17*'MASTER SHEET'!D17</f>
        <v>0</v>
      </c>
      <c r="FE17" s="9">
        <f>DP17*'MASTER SHEET'!D17</f>
        <v>0</v>
      </c>
      <c r="FF17" s="9">
        <f>DT17*'MASTER SHEET'!D17</f>
        <v>0</v>
      </c>
      <c r="FG17" s="9">
        <f>DX17*'MASTER SHEET'!D17</f>
        <v>0</v>
      </c>
    </row>
    <row r="18" spans="1:163" ht="20.25" x14ac:dyDescent="0.25">
      <c r="A18" s="43">
        <f>'MASTER SHEET'!A18</f>
        <v>16</v>
      </c>
      <c r="B18" s="26" t="str">
        <f>'MASTER SHEET'!B18</f>
        <v>CENTER TUBE</v>
      </c>
      <c r="C18" s="82">
        <f>'MASTER SHEET'!C18</f>
        <v>5016815</v>
      </c>
      <c r="D18" s="64"/>
      <c r="E18" s="28"/>
      <c r="F18" s="28"/>
      <c r="G18" s="65"/>
      <c r="H18" s="64">
        <f t="shared" si="35"/>
        <v>0</v>
      </c>
      <c r="I18" s="28"/>
      <c r="J18" s="28"/>
      <c r="K18" s="65"/>
      <c r="L18" s="64">
        <f t="shared" si="36"/>
        <v>0</v>
      </c>
      <c r="M18" s="28"/>
      <c r="N18" s="28"/>
      <c r="O18" s="65"/>
      <c r="P18" s="64">
        <f t="shared" si="37"/>
        <v>0</v>
      </c>
      <c r="Q18" s="28"/>
      <c r="R18" s="28"/>
      <c r="S18" s="65"/>
      <c r="T18" s="64">
        <f t="shared" si="38"/>
        <v>0</v>
      </c>
      <c r="U18" s="28"/>
      <c r="V18" s="28"/>
      <c r="W18" s="65"/>
      <c r="X18" s="64">
        <f t="shared" si="39"/>
        <v>0</v>
      </c>
      <c r="Y18" s="28"/>
      <c r="Z18" s="28"/>
      <c r="AA18" s="65"/>
      <c r="AB18" s="64">
        <f t="shared" si="40"/>
        <v>0</v>
      </c>
      <c r="AC18" s="28"/>
      <c r="AD18" s="28"/>
      <c r="AE18" s="65"/>
      <c r="AF18" s="64">
        <f t="shared" si="41"/>
        <v>0</v>
      </c>
      <c r="AG18" s="28"/>
      <c r="AH18" s="28"/>
      <c r="AI18" s="65"/>
      <c r="AJ18" s="64">
        <f t="shared" si="42"/>
        <v>0</v>
      </c>
      <c r="AK18" s="28"/>
      <c r="AL18" s="28"/>
      <c r="AM18" s="65"/>
      <c r="AN18" s="64">
        <f t="shared" si="43"/>
        <v>0</v>
      </c>
      <c r="AO18" s="28"/>
      <c r="AP18" s="28"/>
      <c r="AQ18" s="65"/>
      <c r="AR18" s="64">
        <f t="shared" si="44"/>
        <v>0</v>
      </c>
      <c r="AS18" s="28"/>
      <c r="AT18" s="28"/>
      <c r="AU18" s="65"/>
      <c r="AV18" s="64">
        <f t="shared" si="45"/>
        <v>0</v>
      </c>
      <c r="AW18" s="28"/>
      <c r="AX18" s="28"/>
      <c r="AY18" s="65"/>
      <c r="AZ18" s="64">
        <f t="shared" si="46"/>
        <v>0</v>
      </c>
      <c r="BA18" s="28"/>
      <c r="BB18" s="28"/>
      <c r="BC18" s="65"/>
      <c r="BD18" s="64">
        <f t="shared" si="47"/>
        <v>0</v>
      </c>
      <c r="BE18" s="28"/>
      <c r="BF18" s="28"/>
      <c r="BG18" s="65"/>
      <c r="BH18" s="64">
        <f t="shared" si="48"/>
        <v>0</v>
      </c>
      <c r="BI18" s="28"/>
      <c r="BJ18" s="28"/>
      <c r="BK18" s="65"/>
      <c r="BL18" s="64">
        <f t="shared" si="49"/>
        <v>0</v>
      </c>
      <c r="BM18" s="28"/>
      <c r="BN18" s="28"/>
      <c r="BO18" s="65"/>
      <c r="BP18" s="64">
        <f t="shared" si="50"/>
        <v>0</v>
      </c>
      <c r="BQ18" s="28"/>
      <c r="BR18" s="28"/>
      <c r="BS18" s="65"/>
      <c r="BT18" s="64">
        <f t="shared" si="51"/>
        <v>0</v>
      </c>
      <c r="BU18" s="28"/>
      <c r="BV18" s="28"/>
      <c r="BW18" s="65"/>
      <c r="BX18" s="64">
        <f t="shared" si="52"/>
        <v>0</v>
      </c>
      <c r="BY18" s="28"/>
      <c r="BZ18" s="28"/>
      <c r="CA18" s="65"/>
      <c r="CB18" s="64">
        <f t="shared" si="53"/>
        <v>0</v>
      </c>
      <c r="CC18" s="28"/>
      <c r="CD18" s="28"/>
      <c r="CE18" s="65"/>
      <c r="CF18" s="64">
        <f t="shared" si="54"/>
        <v>0</v>
      </c>
      <c r="CG18" s="28"/>
      <c r="CH18" s="28"/>
      <c r="CI18" s="65"/>
      <c r="CJ18" s="64">
        <f t="shared" si="55"/>
        <v>0</v>
      </c>
      <c r="CK18" s="28"/>
      <c r="CL18" s="28"/>
      <c r="CM18" s="65"/>
      <c r="CN18" s="64">
        <f t="shared" si="56"/>
        <v>0</v>
      </c>
      <c r="CO18" s="28"/>
      <c r="CP18" s="28"/>
      <c r="CQ18" s="65"/>
      <c r="CR18" s="64">
        <f t="shared" si="57"/>
        <v>0</v>
      </c>
      <c r="CS18" s="28"/>
      <c r="CT18" s="28"/>
      <c r="CU18" s="65"/>
      <c r="CV18" s="64">
        <f t="shared" si="58"/>
        <v>0</v>
      </c>
      <c r="CW18" s="28">
        <v>1040</v>
      </c>
      <c r="CX18" s="28">
        <v>1040</v>
      </c>
      <c r="CY18" s="65"/>
      <c r="CZ18" s="64">
        <f t="shared" si="59"/>
        <v>0</v>
      </c>
      <c r="DA18" s="28"/>
      <c r="DB18" s="28"/>
      <c r="DC18" s="65"/>
      <c r="DD18" s="64">
        <f t="shared" si="60"/>
        <v>0</v>
      </c>
      <c r="DE18" s="28">
        <v>1760</v>
      </c>
      <c r="DF18" s="28">
        <v>1760</v>
      </c>
      <c r="DG18" s="65"/>
      <c r="DH18" s="64">
        <f t="shared" si="61"/>
        <v>0</v>
      </c>
      <c r="DI18" s="28"/>
      <c r="DJ18" s="28"/>
      <c r="DK18" s="65"/>
      <c r="DL18" s="64">
        <f t="shared" si="62"/>
        <v>0</v>
      </c>
      <c r="DM18" s="28"/>
      <c r="DN18" s="28"/>
      <c r="DO18" s="65"/>
      <c r="DP18" s="64">
        <f t="shared" si="63"/>
        <v>0</v>
      </c>
      <c r="DQ18" s="28"/>
      <c r="DR18" s="28"/>
      <c r="DS18" s="65"/>
      <c r="DT18" s="64">
        <f t="shared" si="64"/>
        <v>0</v>
      </c>
      <c r="DU18" s="28"/>
      <c r="DV18" s="28"/>
      <c r="DW18" s="65"/>
      <c r="DX18" s="30">
        <f t="shared" si="65"/>
        <v>0</v>
      </c>
      <c r="DY18" s="31">
        <f t="shared" si="32"/>
        <v>2800</v>
      </c>
      <c r="DZ18" s="31">
        <f t="shared" si="33"/>
        <v>2800</v>
      </c>
      <c r="EA18" s="4">
        <f t="shared" si="34"/>
        <v>0</v>
      </c>
      <c r="EB18" s="9">
        <f>D18*'MASTER SHEET'!D18</f>
        <v>0</v>
      </c>
      <c r="EC18" s="9">
        <f>H18*'MASTER SHEET'!D18</f>
        <v>0</v>
      </c>
      <c r="ED18" s="9">
        <f>L18*'MASTER SHEET'!D18</f>
        <v>0</v>
      </c>
      <c r="EE18" s="9">
        <f>P18*'MASTER SHEET'!D18</f>
        <v>0</v>
      </c>
      <c r="EF18" s="9">
        <f>T18*'MASTER SHEET'!D18</f>
        <v>0</v>
      </c>
      <c r="EG18" s="9">
        <f>X18*'MASTER SHEET'!D18</f>
        <v>0</v>
      </c>
      <c r="EH18" s="9">
        <f>AB18*'MASTER SHEET'!D18</f>
        <v>0</v>
      </c>
      <c r="EI18" s="9">
        <f>AF18*'MASTER SHEET'!D18</f>
        <v>0</v>
      </c>
      <c r="EJ18" s="9">
        <f>AJ18*'MASTER SHEET'!D18</f>
        <v>0</v>
      </c>
      <c r="EK18" s="9">
        <f>AN18*'MASTER SHEET'!D18</f>
        <v>0</v>
      </c>
      <c r="EL18" s="9">
        <f>AR18*'MASTER SHEET'!D18</f>
        <v>0</v>
      </c>
      <c r="EM18" s="9">
        <f>AV18*'MASTER SHEET'!D18</f>
        <v>0</v>
      </c>
      <c r="EN18" s="9">
        <f>AZ18*'MASTER SHEET'!D18</f>
        <v>0</v>
      </c>
      <c r="EO18" s="9">
        <f>BD18*'MASTER SHEET'!D18</f>
        <v>0</v>
      </c>
      <c r="EP18" s="9">
        <f>BH18*'MASTER SHEET'!D18</f>
        <v>0</v>
      </c>
      <c r="EQ18" s="9">
        <f>BL18*'MASTER SHEET'!D18</f>
        <v>0</v>
      </c>
      <c r="ER18" s="9">
        <f>BP18*'MASTER SHEET'!D18</f>
        <v>0</v>
      </c>
      <c r="ES18" s="9">
        <f>BT18*'MASTER SHEET'!D18</f>
        <v>0</v>
      </c>
      <c r="ET18" s="9">
        <f>BX18*'MASTER SHEET'!D18</f>
        <v>0</v>
      </c>
      <c r="EU18" s="9">
        <f>CB18*'MASTER SHEET'!D18</f>
        <v>0</v>
      </c>
      <c r="EV18" s="9">
        <f>CF18*'MASTER SHEET'!D18</f>
        <v>0</v>
      </c>
      <c r="EW18" s="9">
        <f>CJ18*'MASTER SHEET'!D18</f>
        <v>0</v>
      </c>
      <c r="EX18" s="9">
        <f>CN18*'MASTER SHEET'!D18</f>
        <v>0</v>
      </c>
      <c r="EY18" s="9">
        <f>CV18*'MASTER SHEET'!D18</f>
        <v>0</v>
      </c>
      <c r="EZ18" s="9">
        <f>CV18*'MASTER SHEET'!D18</f>
        <v>0</v>
      </c>
      <c r="FA18" s="9">
        <f>CZ18*'MASTER SHEET'!D18</f>
        <v>0</v>
      </c>
      <c r="FB18" s="9">
        <f>DD18*'MASTER SHEET'!D18</f>
        <v>0</v>
      </c>
      <c r="FC18" s="9">
        <f>DH18*'MASTER SHEET'!D18</f>
        <v>0</v>
      </c>
      <c r="FD18" s="9">
        <f>DL18*'MASTER SHEET'!D18</f>
        <v>0</v>
      </c>
      <c r="FE18" s="9">
        <f>DP18*'MASTER SHEET'!D18</f>
        <v>0</v>
      </c>
      <c r="FF18" s="9">
        <f>DT18*'MASTER SHEET'!D18</f>
        <v>0</v>
      </c>
      <c r="FG18" s="9">
        <f>DX18*'MASTER SHEET'!D18</f>
        <v>0</v>
      </c>
    </row>
    <row r="19" spans="1:163" ht="20.25" x14ac:dyDescent="0.25">
      <c r="A19" s="43">
        <f>'MASTER SHEET'!A19</f>
        <v>17</v>
      </c>
      <c r="B19" s="26" t="str">
        <f>'MASTER SHEET'!B19</f>
        <v>HYDROPHOBIC SCREEN</v>
      </c>
      <c r="C19" s="82">
        <f>'MASTER SHEET'!C19</f>
        <v>5016817</v>
      </c>
      <c r="D19" s="64"/>
      <c r="E19" s="28"/>
      <c r="F19" s="28"/>
      <c r="G19" s="65"/>
      <c r="H19" s="64">
        <f t="shared" si="35"/>
        <v>0</v>
      </c>
      <c r="I19" s="28"/>
      <c r="J19" s="28"/>
      <c r="K19" s="65"/>
      <c r="L19" s="64">
        <f t="shared" si="36"/>
        <v>0</v>
      </c>
      <c r="M19" s="28"/>
      <c r="N19" s="28"/>
      <c r="O19" s="65"/>
      <c r="P19" s="64">
        <f t="shared" si="37"/>
        <v>0</v>
      </c>
      <c r="Q19" s="28"/>
      <c r="R19" s="28"/>
      <c r="S19" s="65"/>
      <c r="T19" s="64">
        <f t="shared" si="38"/>
        <v>0</v>
      </c>
      <c r="U19" s="28"/>
      <c r="V19" s="28"/>
      <c r="W19" s="65"/>
      <c r="X19" s="64">
        <f t="shared" si="39"/>
        <v>0</v>
      </c>
      <c r="Y19" s="28"/>
      <c r="Z19" s="28"/>
      <c r="AA19" s="65"/>
      <c r="AB19" s="64">
        <f t="shared" si="40"/>
        <v>0</v>
      </c>
      <c r="AC19" s="28"/>
      <c r="AD19" s="28"/>
      <c r="AE19" s="65"/>
      <c r="AF19" s="64">
        <f t="shared" si="41"/>
        <v>0</v>
      </c>
      <c r="AG19" s="28"/>
      <c r="AH19" s="28"/>
      <c r="AI19" s="65"/>
      <c r="AJ19" s="64">
        <f t="shared" si="42"/>
        <v>0</v>
      </c>
      <c r="AK19" s="28"/>
      <c r="AL19" s="28"/>
      <c r="AM19" s="65"/>
      <c r="AN19" s="64">
        <f t="shared" si="43"/>
        <v>0</v>
      </c>
      <c r="AO19" s="28"/>
      <c r="AP19" s="28"/>
      <c r="AQ19" s="65"/>
      <c r="AR19" s="64">
        <f t="shared" si="44"/>
        <v>0</v>
      </c>
      <c r="AS19" s="28"/>
      <c r="AT19" s="28"/>
      <c r="AU19" s="65"/>
      <c r="AV19" s="64">
        <f t="shared" si="45"/>
        <v>0</v>
      </c>
      <c r="AW19" s="28"/>
      <c r="AX19" s="28"/>
      <c r="AY19" s="65"/>
      <c r="AZ19" s="64">
        <f t="shared" si="46"/>
        <v>0</v>
      </c>
      <c r="BA19" s="28"/>
      <c r="BB19" s="28"/>
      <c r="BC19" s="65"/>
      <c r="BD19" s="64">
        <f t="shared" si="47"/>
        <v>0</v>
      </c>
      <c r="BE19" s="28"/>
      <c r="BF19" s="28"/>
      <c r="BG19" s="65"/>
      <c r="BH19" s="64">
        <f t="shared" si="48"/>
        <v>0</v>
      </c>
      <c r="BI19" s="28"/>
      <c r="BJ19" s="28"/>
      <c r="BK19" s="65"/>
      <c r="BL19" s="64">
        <f t="shared" si="49"/>
        <v>0</v>
      </c>
      <c r="BM19" s="28"/>
      <c r="BN19" s="28"/>
      <c r="BO19" s="65"/>
      <c r="BP19" s="64">
        <f t="shared" si="50"/>
        <v>0</v>
      </c>
      <c r="BQ19" s="28"/>
      <c r="BR19" s="28"/>
      <c r="BS19" s="65"/>
      <c r="BT19" s="64">
        <f t="shared" si="51"/>
        <v>0</v>
      </c>
      <c r="BU19" s="28"/>
      <c r="BV19" s="28"/>
      <c r="BW19" s="65"/>
      <c r="BX19" s="64">
        <f t="shared" si="52"/>
        <v>0</v>
      </c>
      <c r="BY19" s="28"/>
      <c r="BZ19" s="28"/>
      <c r="CA19" s="65"/>
      <c r="CB19" s="64">
        <f t="shared" si="53"/>
        <v>0</v>
      </c>
      <c r="CC19" s="28"/>
      <c r="CD19" s="28"/>
      <c r="CE19" s="65"/>
      <c r="CF19" s="64">
        <f t="shared" si="54"/>
        <v>0</v>
      </c>
      <c r="CG19" s="28"/>
      <c r="CH19" s="28"/>
      <c r="CI19" s="65"/>
      <c r="CJ19" s="64">
        <f t="shared" si="55"/>
        <v>0</v>
      </c>
      <c r="CK19" s="28"/>
      <c r="CL19" s="28"/>
      <c r="CM19" s="65"/>
      <c r="CN19" s="64">
        <f t="shared" si="56"/>
        <v>0</v>
      </c>
      <c r="CO19" s="28"/>
      <c r="CP19" s="28"/>
      <c r="CQ19" s="65"/>
      <c r="CR19" s="64">
        <f t="shared" si="57"/>
        <v>0</v>
      </c>
      <c r="CS19" s="28"/>
      <c r="CT19" s="28"/>
      <c r="CU19" s="65"/>
      <c r="CV19" s="64">
        <f t="shared" si="58"/>
        <v>0</v>
      </c>
      <c r="CW19" s="28"/>
      <c r="CX19" s="28"/>
      <c r="CY19" s="65"/>
      <c r="CZ19" s="64">
        <f t="shared" si="59"/>
        <v>0</v>
      </c>
      <c r="DA19" s="28"/>
      <c r="DB19" s="28"/>
      <c r="DC19" s="65"/>
      <c r="DD19" s="64">
        <f t="shared" si="60"/>
        <v>0</v>
      </c>
      <c r="DE19" s="28"/>
      <c r="DF19" s="28"/>
      <c r="DG19" s="65"/>
      <c r="DH19" s="64">
        <f t="shared" si="61"/>
        <v>0</v>
      </c>
      <c r="DI19" s="28"/>
      <c r="DJ19" s="28"/>
      <c r="DK19" s="65"/>
      <c r="DL19" s="64">
        <f t="shared" si="62"/>
        <v>0</v>
      </c>
      <c r="DM19" s="28"/>
      <c r="DN19" s="28"/>
      <c r="DO19" s="65"/>
      <c r="DP19" s="64">
        <f t="shared" si="63"/>
        <v>0</v>
      </c>
      <c r="DQ19" s="28"/>
      <c r="DR19" s="28"/>
      <c r="DS19" s="65"/>
      <c r="DT19" s="64">
        <f t="shared" si="64"/>
        <v>0</v>
      </c>
      <c r="DU19" s="28"/>
      <c r="DV19" s="28"/>
      <c r="DW19" s="65"/>
      <c r="DX19" s="30">
        <f t="shared" si="65"/>
        <v>0</v>
      </c>
      <c r="DY19" s="31">
        <f t="shared" si="32"/>
        <v>0</v>
      </c>
      <c r="DZ19" s="31">
        <f t="shared" si="33"/>
        <v>0</v>
      </c>
      <c r="EA19" s="4">
        <f t="shared" si="34"/>
        <v>0</v>
      </c>
      <c r="EB19" s="9">
        <f>D19*'MASTER SHEET'!D19</f>
        <v>0</v>
      </c>
      <c r="EC19" s="9">
        <f>H19*'MASTER SHEET'!D19</f>
        <v>0</v>
      </c>
      <c r="ED19" s="9">
        <f>L19*'MASTER SHEET'!D19</f>
        <v>0</v>
      </c>
      <c r="EE19" s="9">
        <f>P19*'MASTER SHEET'!D19</f>
        <v>0</v>
      </c>
      <c r="EF19" s="9">
        <f>T19*'MASTER SHEET'!D19</f>
        <v>0</v>
      </c>
      <c r="EG19" s="9">
        <f>X19*'MASTER SHEET'!D19</f>
        <v>0</v>
      </c>
      <c r="EH19" s="9">
        <f>AB19*'MASTER SHEET'!D19</f>
        <v>0</v>
      </c>
      <c r="EI19" s="9">
        <f>AF19*'MASTER SHEET'!D19</f>
        <v>0</v>
      </c>
      <c r="EJ19" s="9">
        <f>AJ19*'MASTER SHEET'!D19</f>
        <v>0</v>
      </c>
      <c r="EK19" s="9">
        <f>AN19*'MASTER SHEET'!D19</f>
        <v>0</v>
      </c>
      <c r="EL19" s="9">
        <f>AR19*'MASTER SHEET'!D19</f>
        <v>0</v>
      </c>
      <c r="EM19" s="9">
        <f>AV19*'MASTER SHEET'!D19</f>
        <v>0</v>
      </c>
      <c r="EN19" s="9">
        <f>AZ19*'MASTER SHEET'!D19</f>
        <v>0</v>
      </c>
      <c r="EO19" s="9">
        <f>BD19*'MASTER SHEET'!D19</f>
        <v>0</v>
      </c>
      <c r="EP19" s="9">
        <f>BH19*'MASTER SHEET'!D19</f>
        <v>0</v>
      </c>
      <c r="EQ19" s="9">
        <f>BL19*'MASTER SHEET'!D19</f>
        <v>0</v>
      </c>
      <c r="ER19" s="9">
        <f>BP19*'MASTER SHEET'!D19</f>
        <v>0</v>
      </c>
      <c r="ES19" s="9">
        <f>BT19*'MASTER SHEET'!D19</f>
        <v>0</v>
      </c>
      <c r="ET19" s="9">
        <f>BX19*'MASTER SHEET'!D19</f>
        <v>0</v>
      </c>
      <c r="EU19" s="9">
        <f>CB19*'MASTER SHEET'!D19</f>
        <v>0</v>
      </c>
      <c r="EV19" s="9">
        <f>CF19*'MASTER SHEET'!D19</f>
        <v>0</v>
      </c>
      <c r="EW19" s="9">
        <f>CJ19*'MASTER SHEET'!D19</f>
        <v>0</v>
      </c>
      <c r="EX19" s="9">
        <f>CN19*'MASTER SHEET'!D19</f>
        <v>0</v>
      </c>
      <c r="EY19" s="9">
        <f>CV19*'MASTER SHEET'!D19</f>
        <v>0</v>
      </c>
      <c r="EZ19" s="9">
        <f>CV19*'MASTER SHEET'!D19</f>
        <v>0</v>
      </c>
      <c r="FA19" s="9">
        <f>CZ19*'MASTER SHEET'!D19</f>
        <v>0</v>
      </c>
      <c r="FB19" s="9">
        <f>DD19*'MASTER SHEET'!D19</f>
        <v>0</v>
      </c>
      <c r="FC19" s="9">
        <f>DH19*'MASTER SHEET'!D19</f>
        <v>0</v>
      </c>
      <c r="FD19" s="9">
        <f>DL19*'MASTER SHEET'!D19</f>
        <v>0</v>
      </c>
      <c r="FE19" s="9">
        <f>DP19*'MASTER SHEET'!D19</f>
        <v>0</v>
      </c>
      <c r="FF19" s="9">
        <f>DT19*'MASTER SHEET'!D19</f>
        <v>0</v>
      </c>
      <c r="FG19" s="9">
        <f>DX19*'MASTER SHEET'!D19</f>
        <v>0</v>
      </c>
    </row>
    <row r="20" spans="1:163" s="10" customFormat="1" ht="20.25" x14ac:dyDescent="0.25">
      <c r="A20" s="43">
        <f>'MASTER SHEET'!A20</f>
        <v>18</v>
      </c>
      <c r="B20" s="26" t="str">
        <f>'MASTER SHEET'!B20</f>
        <v>SHELL PLASTIC ASY</v>
      </c>
      <c r="C20" s="82">
        <f>'MASTER SHEET'!C20</f>
        <v>5016820</v>
      </c>
      <c r="D20" s="64"/>
      <c r="E20" s="28"/>
      <c r="F20" s="28"/>
      <c r="G20" s="65"/>
      <c r="H20" s="64">
        <f t="shared" si="35"/>
        <v>0</v>
      </c>
      <c r="I20" s="28"/>
      <c r="J20" s="28"/>
      <c r="K20" s="65"/>
      <c r="L20" s="64">
        <f t="shared" si="36"/>
        <v>0</v>
      </c>
      <c r="M20" s="28"/>
      <c r="N20" s="28"/>
      <c r="O20" s="65"/>
      <c r="P20" s="64">
        <f t="shared" si="37"/>
        <v>0</v>
      </c>
      <c r="Q20" s="28"/>
      <c r="R20" s="28"/>
      <c r="S20" s="65"/>
      <c r="T20" s="64">
        <f t="shared" si="38"/>
        <v>0</v>
      </c>
      <c r="U20" s="28"/>
      <c r="V20" s="28"/>
      <c r="W20" s="65"/>
      <c r="X20" s="64">
        <f t="shared" si="39"/>
        <v>0</v>
      </c>
      <c r="Y20" s="28"/>
      <c r="Z20" s="28"/>
      <c r="AA20" s="65"/>
      <c r="AB20" s="64">
        <f t="shared" si="40"/>
        <v>0</v>
      </c>
      <c r="AC20" s="28"/>
      <c r="AD20" s="28"/>
      <c r="AE20" s="65"/>
      <c r="AF20" s="64">
        <f t="shared" si="41"/>
        <v>0</v>
      </c>
      <c r="AG20" s="28"/>
      <c r="AH20" s="28"/>
      <c r="AI20" s="65"/>
      <c r="AJ20" s="64">
        <f t="shared" si="42"/>
        <v>0</v>
      </c>
      <c r="AK20" s="28"/>
      <c r="AL20" s="28"/>
      <c r="AM20" s="65"/>
      <c r="AN20" s="64">
        <f t="shared" si="43"/>
        <v>0</v>
      </c>
      <c r="AO20" s="28"/>
      <c r="AP20" s="28"/>
      <c r="AQ20" s="65"/>
      <c r="AR20" s="64">
        <f t="shared" si="44"/>
        <v>0</v>
      </c>
      <c r="AS20" s="28"/>
      <c r="AT20" s="28"/>
      <c r="AU20" s="65"/>
      <c r="AV20" s="64">
        <f t="shared" si="45"/>
        <v>0</v>
      </c>
      <c r="AW20" s="28"/>
      <c r="AX20" s="28"/>
      <c r="AY20" s="65"/>
      <c r="AZ20" s="64">
        <f t="shared" si="46"/>
        <v>0</v>
      </c>
      <c r="BA20" s="28"/>
      <c r="BB20" s="28"/>
      <c r="BC20" s="65"/>
      <c r="BD20" s="64">
        <f t="shared" si="47"/>
        <v>0</v>
      </c>
      <c r="BE20" s="28"/>
      <c r="BF20" s="28"/>
      <c r="BG20" s="65"/>
      <c r="BH20" s="64">
        <f t="shared" si="48"/>
        <v>0</v>
      </c>
      <c r="BI20" s="28"/>
      <c r="BJ20" s="28"/>
      <c r="BK20" s="65"/>
      <c r="BL20" s="64">
        <f t="shared" si="49"/>
        <v>0</v>
      </c>
      <c r="BM20" s="28"/>
      <c r="BN20" s="28"/>
      <c r="BO20" s="65"/>
      <c r="BP20" s="64">
        <f t="shared" si="50"/>
        <v>0</v>
      </c>
      <c r="BQ20" s="28"/>
      <c r="BR20" s="28"/>
      <c r="BS20" s="65"/>
      <c r="BT20" s="64">
        <f t="shared" si="51"/>
        <v>0</v>
      </c>
      <c r="BU20" s="28"/>
      <c r="BV20" s="28"/>
      <c r="BW20" s="65"/>
      <c r="BX20" s="64">
        <f t="shared" si="52"/>
        <v>0</v>
      </c>
      <c r="BY20" s="28"/>
      <c r="BZ20" s="28"/>
      <c r="CA20" s="65"/>
      <c r="CB20" s="64">
        <f t="shared" si="53"/>
        <v>0</v>
      </c>
      <c r="CC20" s="28"/>
      <c r="CD20" s="28"/>
      <c r="CE20" s="65"/>
      <c r="CF20" s="64">
        <f t="shared" si="54"/>
        <v>0</v>
      </c>
      <c r="CG20" s="28"/>
      <c r="CH20" s="28"/>
      <c r="CI20" s="65"/>
      <c r="CJ20" s="64">
        <f t="shared" si="55"/>
        <v>0</v>
      </c>
      <c r="CK20" s="28"/>
      <c r="CL20" s="28"/>
      <c r="CM20" s="65"/>
      <c r="CN20" s="64">
        <f t="shared" si="56"/>
        <v>0</v>
      </c>
      <c r="CO20" s="28"/>
      <c r="CP20" s="28"/>
      <c r="CQ20" s="65"/>
      <c r="CR20" s="64">
        <f t="shared" si="57"/>
        <v>0</v>
      </c>
      <c r="CS20" s="28"/>
      <c r="CT20" s="28"/>
      <c r="CU20" s="65"/>
      <c r="CV20" s="64">
        <f t="shared" si="58"/>
        <v>0</v>
      </c>
      <c r="CW20" s="28"/>
      <c r="CX20" s="28"/>
      <c r="CY20" s="65"/>
      <c r="CZ20" s="64">
        <f t="shared" si="59"/>
        <v>0</v>
      </c>
      <c r="DA20" s="28"/>
      <c r="DB20" s="28"/>
      <c r="DC20" s="65"/>
      <c r="DD20" s="64">
        <f t="shared" si="60"/>
        <v>0</v>
      </c>
      <c r="DE20" s="28"/>
      <c r="DF20" s="28"/>
      <c r="DG20" s="65"/>
      <c r="DH20" s="64">
        <f t="shared" si="61"/>
        <v>0</v>
      </c>
      <c r="DI20" s="28"/>
      <c r="DJ20" s="28"/>
      <c r="DK20" s="65"/>
      <c r="DL20" s="64">
        <f t="shared" si="62"/>
        <v>0</v>
      </c>
      <c r="DM20" s="28"/>
      <c r="DN20" s="28"/>
      <c r="DO20" s="65"/>
      <c r="DP20" s="64">
        <f t="shared" si="63"/>
        <v>0</v>
      </c>
      <c r="DQ20" s="28"/>
      <c r="DR20" s="28"/>
      <c r="DS20" s="65"/>
      <c r="DT20" s="64">
        <f t="shared" si="64"/>
        <v>0</v>
      </c>
      <c r="DU20" s="28"/>
      <c r="DV20" s="28"/>
      <c r="DW20" s="65"/>
      <c r="DX20" s="30">
        <f t="shared" si="65"/>
        <v>0</v>
      </c>
      <c r="DY20" s="31">
        <f t="shared" si="32"/>
        <v>0</v>
      </c>
      <c r="DZ20" s="31">
        <f t="shared" si="33"/>
        <v>0</v>
      </c>
      <c r="EA20" s="4">
        <f t="shared" si="34"/>
        <v>0</v>
      </c>
      <c r="EB20" s="9">
        <f>D20*'MASTER SHEET'!D20</f>
        <v>0</v>
      </c>
      <c r="EC20" s="9">
        <f>H20*'MASTER SHEET'!D20</f>
        <v>0</v>
      </c>
      <c r="ED20" s="9">
        <f>L20*'MASTER SHEET'!D20</f>
        <v>0</v>
      </c>
      <c r="EE20" s="9">
        <f>P20*'MASTER SHEET'!D20</f>
        <v>0</v>
      </c>
      <c r="EF20" s="9">
        <f>T20*'MASTER SHEET'!D20</f>
        <v>0</v>
      </c>
      <c r="EG20" s="9">
        <f>X20*'MASTER SHEET'!D20</f>
        <v>0</v>
      </c>
      <c r="EH20" s="9">
        <f>AB20*'MASTER SHEET'!D20</f>
        <v>0</v>
      </c>
      <c r="EI20" s="9">
        <f>AF20*'MASTER SHEET'!D20</f>
        <v>0</v>
      </c>
      <c r="EJ20" s="9">
        <f>AJ20*'MASTER SHEET'!D20</f>
        <v>0</v>
      </c>
      <c r="EK20" s="9">
        <f>AN20*'MASTER SHEET'!D20</f>
        <v>0</v>
      </c>
      <c r="EL20" s="9">
        <f>AR20*'MASTER SHEET'!D20</f>
        <v>0</v>
      </c>
      <c r="EM20" s="9">
        <f>AV20*'MASTER SHEET'!D20</f>
        <v>0</v>
      </c>
      <c r="EN20" s="9">
        <f>AZ20*'MASTER SHEET'!D20</f>
        <v>0</v>
      </c>
      <c r="EO20" s="9">
        <f>BD20*'MASTER SHEET'!D20</f>
        <v>0</v>
      </c>
      <c r="EP20" s="9">
        <f>BH20*'MASTER SHEET'!D20</f>
        <v>0</v>
      </c>
      <c r="EQ20" s="9">
        <f>BL20*'MASTER SHEET'!D20</f>
        <v>0</v>
      </c>
      <c r="ER20" s="9">
        <f>BP20*'MASTER SHEET'!D20</f>
        <v>0</v>
      </c>
      <c r="ES20" s="9">
        <f>BT20*'MASTER SHEET'!D20</f>
        <v>0</v>
      </c>
      <c r="ET20" s="9">
        <f>BX20*'MASTER SHEET'!D20</f>
        <v>0</v>
      </c>
      <c r="EU20" s="9">
        <f>CB20*'MASTER SHEET'!D20</f>
        <v>0</v>
      </c>
      <c r="EV20" s="9">
        <f>CF20*'MASTER SHEET'!D20</f>
        <v>0</v>
      </c>
      <c r="EW20" s="9">
        <f>CJ20*'MASTER SHEET'!D20</f>
        <v>0</v>
      </c>
      <c r="EX20" s="9">
        <f>CN20*'MASTER SHEET'!D20</f>
        <v>0</v>
      </c>
      <c r="EY20" s="9">
        <f>CV20*'MASTER SHEET'!D20</f>
        <v>0</v>
      </c>
      <c r="EZ20" s="9">
        <f>CV20*'MASTER SHEET'!D20</f>
        <v>0</v>
      </c>
      <c r="FA20" s="9">
        <f>CZ20*'MASTER SHEET'!D20</f>
        <v>0</v>
      </c>
      <c r="FB20" s="9">
        <f>DD20*'MASTER SHEET'!D20</f>
        <v>0</v>
      </c>
      <c r="FC20" s="9">
        <f>DH20*'MASTER SHEET'!D20</f>
        <v>0</v>
      </c>
      <c r="FD20" s="9">
        <f>DL20*'MASTER SHEET'!D20</f>
        <v>0</v>
      </c>
      <c r="FE20" s="9">
        <f>DP20*'MASTER SHEET'!D20</f>
        <v>0</v>
      </c>
      <c r="FF20" s="9">
        <f>DT20*'MASTER SHEET'!D20</f>
        <v>0</v>
      </c>
      <c r="FG20" s="9">
        <f>DX20*'MASTER SHEET'!D20</f>
        <v>0</v>
      </c>
    </row>
    <row r="21" spans="1:163" s="11" customFormat="1" ht="20.25" x14ac:dyDescent="0.25">
      <c r="A21" s="43">
        <f>'MASTER SHEET'!A21</f>
        <v>19</v>
      </c>
      <c r="B21" s="26" t="str">
        <f>'MASTER SHEET'!B21</f>
        <v>END PLATE PLASTIC</v>
      </c>
      <c r="C21" s="82">
        <f>'MASTER SHEET'!C21</f>
        <v>5016821</v>
      </c>
      <c r="D21" s="64"/>
      <c r="E21" s="28">
        <v>150</v>
      </c>
      <c r="F21" s="28">
        <v>150</v>
      </c>
      <c r="G21" s="65"/>
      <c r="H21" s="64">
        <f t="shared" si="35"/>
        <v>0</v>
      </c>
      <c r="I21" s="28"/>
      <c r="J21" s="28"/>
      <c r="K21" s="65"/>
      <c r="L21" s="64">
        <f t="shared" si="36"/>
        <v>0</v>
      </c>
      <c r="M21" s="28"/>
      <c r="N21" s="28"/>
      <c r="O21" s="65"/>
      <c r="P21" s="64">
        <f t="shared" si="37"/>
        <v>0</v>
      </c>
      <c r="Q21" s="28"/>
      <c r="R21" s="28"/>
      <c r="S21" s="65"/>
      <c r="T21" s="64">
        <f t="shared" si="38"/>
        <v>0</v>
      </c>
      <c r="U21" s="28"/>
      <c r="V21" s="28"/>
      <c r="W21" s="65"/>
      <c r="X21" s="64">
        <f t="shared" si="39"/>
        <v>0</v>
      </c>
      <c r="Y21" s="28"/>
      <c r="Z21" s="28"/>
      <c r="AA21" s="65"/>
      <c r="AB21" s="64">
        <f t="shared" si="40"/>
        <v>0</v>
      </c>
      <c r="AC21" s="28"/>
      <c r="AD21" s="28"/>
      <c r="AE21" s="65"/>
      <c r="AF21" s="64">
        <f t="shared" si="41"/>
        <v>0</v>
      </c>
      <c r="AG21" s="28"/>
      <c r="AH21" s="28"/>
      <c r="AI21" s="65"/>
      <c r="AJ21" s="64">
        <f t="shared" si="42"/>
        <v>0</v>
      </c>
      <c r="AK21" s="28"/>
      <c r="AL21" s="28"/>
      <c r="AM21" s="65"/>
      <c r="AN21" s="64">
        <f t="shared" si="43"/>
        <v>0</v>
      </c>
      <c r="AO21" s="28"/>
      <c r="AP21" s="28"/>
      <c r="AQ21" s="65"/>
      <c r="AR21" s="64">
        <f t="shared" si="44"/>
        <v>0</v>
      </c>
      <c r="AS21" s="28"/>
      <c r="AT21" s="28"/>
      <c r="AU21" s="65"/>
      <c r="AV21" s="64">
        <f t="shared" si="45"/>
        <v>0</v>
      </c>
      <c r="AW21" s="28"/>
      <c r="AX21" s="28"/>
      <c r="AY21" s="65"/>
      <c r="AZ21" s="64">
        <f t="shared" si="46"/>
        <v>0</v>
      </c>
      <c r="BA21" s="28"/>
      <c r="BB21" s="28"/>
      <c r="BC21" s="65"/>
      <c r="BD21" s="64">
        <f t="shared" si="47"/>
        <v>0</v>
      </c>
      <c r="BE21" s="28"/>
      <c r="BF21" s="146"/>
      <c r="BG21" s="65"/>
      <c r="BH21" s="64">
        <f t="shared" si="48"/>
        <v>0</v>
      </c>
      <c r="BI21" s="28"/>
      <c r="BJ21" s="28"/>
      <c r="BK21" s="65"/>
      <c r="BL21" s="64">
        <f t="shared" si="49"/>
        <v>0</v>
      </c>
      <c r="BM21" s="28"/>
      <c r="BN21" s="28"/>
      <c r="BO21" s="65"/>
      <c r="BP21" s="64">
        <f t="shared" si="50"/>
        <v>0</v>
      </c>
      <c r="BQ21" s="28">
        <v>450</v>
      </c>
      <c r="BR21" s="28">
        <v>450</v>
      </c>
      <c r="BS21" s="65"/>
      <c r="BT21" s="64">
        <f t="shared" si="51"/>
        <v>0</v>
      </c>
      <c r="BU21" s="28">
        <v>500</v>
      </c>
      <c r="BV21" s="28">
        <v>500</v>
      </c>
      <c r="BW21" s="65"/>
      <c r="BX21" s="64">
        <f t="shared" si="52"/>
        <v>0</v>
      </c>
      <c r="BY21" s="28"/>
      <c r="BZ21" s="28"/>
      <c r="CA21" s="65"/>
      <c r="CB21" s="64">
        <f t="shared" si="53"/>
        <v>0</v>
      </c>
      <c r="CC21" s="28">
        <v>400</v>
      </c>
      <c r="CD21" s="28">
        <v>400</v>
      </c>
      <c r="CE21" s="65"/>
      <c r="CF21" s="64">
        <f t="shared" si="54"/>
        <v>0</v>
      </c>
      <c r="CG21" s="28"/>
      <c r="CH21" s="28"/>
      <c r="CI21" s="65"/>
      <c r="CJ21" s="64">
        <f t="shared" si="55"/>
        <v>0</v>
      </c>
      <c r="CK21" s="28"/>
      <c r="CL21" s="28"/>
      <c r="CM21" s="65"/>
      <c r="CN21" s="64">
        <f t="shared" si="56"/>
        <v>0</v>
      </c>
      <c r="CO21" s="28"/>
      <c r="CP21" s="28"/>
      <c r="CQ21" s="65"/>
      <c r="CR21" s="64">
        <f t="shared" si="57"/>
        <v>0</v>
      </c>
      <c r="CS21" s="28"/>
      <c r="CT21" s="28"/>
      <c r="CU21" s="65"/>
      <c r="CV21" s="64">
        <f t="shared" si="58"/>
        <v>0</v>
      </c>
      <c r="CW21" s="28"/>
      <c r="CX21" s="28"/>
      <c r="CY21" s="65"/>
      <c r="CZ21" s="64">
        <f t="shared" si="59"/>
        <v>0</v>
      </c>
      <c r="DA21" s="28"/>
      <c r="DB21" s="28"/>
      <c r="DC21" s="65"/>
      <c r="DD21" s="64">
        <f t="shared" si="60"/>
        <v>0</v>
      </c>
      <c r="DE21" s="28"/>
      <c r="DF21" s="28"/>
      <c r="DG21" s="65"/>
      <c r="DH21" s="64">
        <f t="shared" si="61"/>
        <v>0</v>
      </c>
      <c r="DI21" s="28">
        <v>600</v>
      </c>
      <c r="DJ21" s="28">
        <v>600</v>
      </c>
      <c r="DK21" s="65"/>
      <c r="DL21" s="64">
        <f t="shared" si="62"/>
        <v>0</v>
      </c>
      <c r="DM21" s="28"/>
      <c r="DN21" s="28"/>
      <c r="DO21" s="65"/>
      <c r="DP21" s="64">
        <f t="shared" si="63"/>
        <v>0</v>
      </c>
      <c r="DQ21" s="28"/>
      <c r="DR21" s="28"/>
      <c r="DS21" s="65"/>
      <c r="DT21" s="64">
        <f t="shared" si="64"/>
        <v>0</v>
      </c>
      <c r="DU21" s="28"/>
      <c r="DV21" s="28"/>
      <c r="DW21" s="65"/>
      <c r="DX21" s="30">
        <f t="shared" si="65"/>
        <v>0</v>
      </c>
      <c r="DY21" s="31">
        <f t="shared" si="32"/>
        <v>2100</v>
      </c>
      <c r="DZ21" s="31">
        <f t="shared" si="33"/>
        <v>2100</v>
      </c>
      <c r="EA21" s="4">
        <f t="shared" si="34"/>
        <v>0</v>
      </c>
      <c r="EB21" s="9">
        <f>D21*'MASTER SHEET'!D21</f>
        <v>0</v>
      </c>
      <c r="EC21" s="9">
        <f>H21*'MASTER SHEET'!D21</f>
        <v>0</v>
      </c>
      <c r="ED21" s="9">
        <f>L21*'MASTER SHEET'!D21</f>
        <v>0</v>
      </c>
      <c r="EE21" s="9">
        <f>P21*'MASTER SHEET'!D21</f>
        <v>0</v>
      </c>
      <c r="EF21" s="9">
        <f>T21*'MASTER SHEET'!D21</f>
        <v>0</v>
      </c>
      <c r="EG21" s="9">
        <f>X21*'MASTER SHEET'!D21</f>
        <v>0</v>
      </c>
      <c r="EH21" s="9">
        <f>AB21*'MASTER SHEET'!D21</f>
        <v>0</v>
      </c>
      <c r="EI21" s="9">
        <f>AF21*'MASTER SHEET'!D21</f>
        <v>0</v>
      </c>
      <c r="EJ21" s="9">
        <f>AJ21*'MASTER SHEET'!D21</f>
        <v>0</v>
      </c>
      <c r="EK21" s="9">
        <f>AN21*'MASTER SHEET'!D21</f>
        <v>0</v>
      </c>
      <c r="EL21" s="9">
        <f>AR21*'MASTER SHEET'!D21</f>
        <v>0</v>
      </c>
      <c r="EM21" s="9">
        <f>AV21*'MASTER SHEET'!D21</f>
        <v>0</v>
      </c>
      <c r="EN21" s="9">
        <f>AZ21*'MASTER SHEET'!D21</f>
        <v>0</v>
      </c>
      <c r="EO21" s="9">
        <f>BD21*'MASTER SHEET'!D21</f>
        <v>0</v>
      </c>
      <c r="EP21" s="9">
        <f>BH21*'MASTER SHEET'!D21</f>
        <v>0</v>
      </c>
      <c r="EQ21" s="9">
        <f>BL21*'MASTER SHEET'!D21</f>
        <v>0</v>
      </c>
      <c r="ER21" s="9">
        <f>BP21*'MASTER SHEET'!D21</f>
        <v>0</v>
      </c>
      <c r="ES21" s="9">
        <f>BT21*'MASTER SHEET'!D21</f>
        <v>0</v>
      </c>
      <c r="ET21" s="9">
        <f>BX21*'MASTER SHEET'!D21</f>
        <v>0</v>
      </c>
      <c r="EU21" s="9">
        <f>CB21*'MASTER SHEET'!D21</f>
        <v>0</v>
      </c>
      <c r="EV21" s="9">
        <f>CF21*'MASTER SHEET'!D21</f>
        <v>0</v>
      </c>
      <c r="EW21" s="9">
        <f>CJ21*'MASTER SHEET'!D21</f>
        <v>0</v>
      </c>
      <c r="EX21" s="9">
        <f>CN21*'MASTER SHEET'!D21</f>
        <v>0</v>
      </c>
      <c r="EY21" s="9">
        <f>CV21*'MASTER SHEET'!D21</f>
        <v>0</v>
      </c>
      <c r="EZ21" s="9">
        <f>CV21*'MASTER SHEET'!D21</f>
        <v>0</v>
      </c>
      <c r="FA21" s="9">
        <f>CZ21*'MASTER SHEET'!D21</f>
        <v>0</v>
      </c>
      <c r="FB21" s="9">
        <f>DD21*'MASTER SHEET'!D21</f>
        <v>0</v>
      </c>
      <c r="FC21" s="9">
        <f>DH21*'MASTER SHEET'!D21</f>
        <v>0</v>
      </c>
      <c r="FD21" s="9">
        <f>DL21*'MASTER SHEET'!D21</f>
        <v>0</v>
      </c>
      <c r="FE21" s="9">
        <f>DP21*'MASTER SHEET'!D21</f>
        <v>0</v>
      </c>
      <c r="FF21" s="9">
        <f>DT21*'MASTER SHEET'!D21</f>
        <v>0</v>
      </c>
      <c r="FG21" s="9">
        <f>DX21*'MASTER SHEET'!D21</f>
        <v>0</v>
      </c>
    </row>
    <row r="22" spans="1:163" ht="20.25" x14ac:dyDescent="0.25">
      <c r="A22" s="43">
        <f>'MASTER SHEET'!A22</f>
        <v>20</v>
      </c>
      <c r="B22" s="26" t="str">
        <f>'MASTER SHEET'!B22</f>
        <v xml:space="preserve">SHELL PLASTIC </v>
      </c>
      <c r="C22" s="82">
        <f>'MASTER SHEET'!C22</f>
        <v>5016985</v>
      </c>
      <c r="D22" s="64"/>
      <c r="E22" s="28"/>
      <c r="F22" s="28"/>
      <c r="G22" s="65"/>
      <c r="H22" s="64">
        <f t="shared" si="35"/>
        <v>0</v>
      </c>
      <c r="I22" s="28"/>
      <c r="J22" s="28"/>
      <c r="K22" s="65"/>
      <c r="L22" s="64">
        <f t="shared" si="36"/>
        <v>0</v>
      </c>
      <c r="M22" s="28"/>
      <c r="N22" s="28"/>
      <c r="O22" s="65"/>
      <c r="P22" s="64">
        <f t="shared" si="37"/>
        <v>0</v>
      </c>
      <c r="Q22" s="28"/>
      <c r="R22" s="28"/>
      <c r="S22" s="65"/>
      <c r="T22" s="64">
        <f t="shared" si="38"/>
        <v>0</v>
      </c>
      <c r="U22" s="28"/>
      <c r="V22" s="28"/>
      <c r="W22" s="65"/>
      <c r="X22" s="64">
        <f t="shared" si="39"/>
        <v>0</v>
      </c>
      <c r="Y22" s="28"/>
      <c r="Z22" s="28"/>
      <c r="AA22" s="65"/>
      <c r="AB22" s="64">
        <f t="shared" si="40"/>
        <v>0</v>
      </c>
      <c r="AC22" s="28"/>
      <c r="AD22" s="28"/>
      <c r="AE22" s="65"/>
      <c r="AF22" s="64">
        <f t="shared" si="41"/>
        <v>0</v>
      </c>
      <c r="AG22" s="28"/>
      <c r="AH22" s="28"/>
      <c r="AI22" s="65"/>
      <c r="AJ22" s="64">
        <f t="shared" si="42"/>
        <v>0</v>
      </c>
      <c r="AK22" s="28"/>
      <c r="AL22" s="28"/>
      <c r="AM22" s="65"/>
      <c r="AN22" s="64">
        <f t="shared" si="43"/>
        <v>0</v>
      </c>
      <c r="AO22" s="28"/>
      <c r="AP22" s="28"/>
      <c r="AQ22" s="65"/>
      <c r="AR22" s="64">
        <f t="shared" si="44"/>
        <v>0</v>
      </c>
      <c r="AS22" s="28"/>
      <c r="AT22" s="28"/>
      <c r="AU22" s="65"/>
      <c r="AV22" s="64">
        <f t="shared" si="45"/>
        <v>0</v>
      </c>
      <c r="AW22" s="28"/>
      <c r="AX22" s="28"/>
      <c r="AY22" s="65"/>
      <c r="AZ22" s="64">
        <f t="shared" si="46"/>
        <v>0</v>
      </c>
      <c r="BA22" s="28"/>
      <c r="BB22" s="28"/>
      <c r="BC22" s="65"/>
      <c r="BD22" s="64">
        <f t="shared" si="47"/>
        <v>0</v>
      </c>
      <c r="BE22" s="28"/>
      <c r="BF22" s="28"/>
      <c r="BG22" s="65"/>
      <c r="BH22" s="64">
        <f t="shared" si="48"/>
        <v>0</v>
      </c>
      <c r="BI22" s="28"/>
      <c r="BJ22" s="28"/>
      <c r="BK22" s="65"/>
      <c r="BL22" s="64">
        <f t="shared" si="49"/>
        <v>0</v>
      </c>
      <c r="BM22" s="28"/>
      <c r="BN22" s="28"/>
      <c r="BO22" s="65"/>
      <c r="BP22" s="64">
        <f t="shared" si="50"/>
        <v>0</v>
      </c>
      <c r="BQ22" s="28"/>
      <c r="BR22" s="28"/>
      <c r="BS22" s="65"/>
      <c r="BT22" s="64">
        <f t="shared" si="51"/>
        <v>0</v>
      </c>
      <c r="BU22" s="28"/>
      <c r="BV22" s="28"/>
      <c r="BW22" s="65"/>
      <c r="BX22" s="64">
        <f t="shared" si="52"/>
        <v>0</v>
      </c>
      <c r="BY22" s="28"/>
      <c r="BZ22" s="28"/>
      <c r="CA22" s="65"/>
      <c r="CB22" s="64">
        <f t="shared" si="53"/>
        <v>0</v>
      </c>
      <c r="CC22" s="28"/>
      <c r="CD22" s="28"/>
      <c r="CE22" s="65"/>
      <c r="CF22" s="64">
        <f t="shared" si="54"/>
        <v>0</v>
      </c>
      <c r="CG22" s="28"/>
      <c r="CH22" s="28"/>
      <c r="CI22" s="65"/>
      <c r="CJ22" s="64">
        <f t="shared" si="55"/>
        <v>0</v>
      </c>
      <c r="CK22" s="28"/>
      <c r="CL22" s="28"/>
      <c r="CM22" s="65"/>
      <c r="CN22" s="64">
        <f t="shared" si="56"/>
        <v>0</v>
      </c>
      <c r="CO22" s="28"/>
      <c r="CP22" s="28"/>
      <c r="CQ22" s="65"/>
      <c r="CR22" s="64">
        <f t="shared" si="57"/>
        <v>0</v>
      </c>
      <c r="CS22" s="28"/>
      <c r="CT22" s="28"/>
      <c r="CU22" s="65"/>
      <c r="CV22" s="64">
        <f t="shared" si="58"/>
        <v>0</v>
      </c>
      <c r="CW22" s="28"/>
      <c r="CX22" s="28"/>
      <c r="CY22" s="65"/>
      <c r="CZ22" s="64">
        <f t="shared" si="59"/>
        <v>0</v>
      </c>
      <c r="DA22" s="28"/>
      <c r="DB22" s="28"/>
      <c r="DC22" s="65"/>
      <c r="DD22" s="64">
        <f t="shared" si="60"/>
        <v>0</v>
      </c>
      <c r="DE22" s="28"/>
      <c r="DF22" s="28"/>
      <c r="DG22" s="65"/>
      <c r="DH22" s="64">
        <f t="shared" si="61"/>
        <v>0</v>
      </c>
      <c r="DI22" s="28"/>
      <c r="DJ22" s="28"/>
      <c r="DK22" s="65"/>
      <c r="DL22" s="64">
        <f t="shared" si="62"/>
        <v>0</v>
      </c>
      <c r="DM22" s="28"/>
      <c r="DN22" s="28"/>
      <c r="DO22" s="65"/>
      <c r="DP22" s="64">
        <f t="shared" si="63"/>
        <v>0</v>
      </c>
      <c r="DQ22" s="28"/>
      <c r="DR22" s="28"/>
      <c r="DS22" s="65"/>
      <c r="DT22" s="64">
        <f t="shared" si="64"/>
        <v>0</v>
      </c>
      <c r="DU22" s="28"/>
      <c r="DV22" s="28"/>
      <c r="DW22" s="65"/>
      <c r="DX22" s="30">
        <f t="shared" si="65"/>
        <v>0</v>
      </c>
      <c r="DY22" s="31">
        <f t="shared" si="32"/>
        <v>0</v>
      </c>
      <c r="DZ22" s="31">
        <f t="shared" si="33"/>
        <v>0</v>
      </c>
      <c r="EA22" s="4">
        <f t="shared" si="34"/>
        <v>0</v>
      </c>
      <c r="EB22" s="9">
        <f>D22*'MASTER SHEET'!D22</f>
        <v>0</v>
      </c>
      <c r="EC22" s="9">
        <f>H22*'MASTER SHEET'!D22</f>
        <v>0</v>
      </c>
      <c r="ED22" s="9">
        <f>L22*'MASTER SHEET'!D22</f>
        <v>0</v>
      </c>
      <c r="EE22" s="9">
        <f>P22*'MASTER SHEET'!D22</f>
        <v>0</v>
      </c>
      <c r="EF22" s="9">
        <f>T22*'MASTER SHEET'!D22</f>
        <v>0</v>
      </c>
      <c r="EG22" s="9">
        <f>X22*'MASTER SHEET'!D22</f>
        <v>0</v>
      </c>
      <c r="EH22" s="9">
        <f>AB22*'MASTER SHEET'!D22</f>
        <v>0</v>
      </c>
      <c r="EI22" s="9">
        <f>AF22*'MASTER SHEET'!D22</f>
        <v>0</v>
      </c>
      <c r="EJ22" s="9">
        <f>AJ22*'MASTER SHEET'!D22</f>
        <v>0</v>
      </c>
      <c r="EK22" s="9">
        <f>AN22*'MASTER SHEET'!D22</f>
        <v>0</v>
      </c>
      <c r="EL22" s="9">
        <f>AR22*'MASTER SHEET'!D22</f>
        <v>0</v>
      </c>
      <c r="EM22" s="9">
        <f>AV22*'MASTER SHEET'!D22</f>
        <v>0</v>
      </c>
      <c r="EN22" s="9">
        <f>AZ22*'MASTER SHEET'!D22</f>
        <v>0</v>
      </c>
      <c r="EO22" s="9">
        <f>BD22*'MASTER SHEET'!D22</f>
        <v>0</v>
      </c>
      <c r="EP22" s="9">
        <f>BH22*'MASTER SHEET'!D22</f>
        <v>0</v>
      </c>
      <c r="EQ22" s="9">
        <f>BL22*'MASTER SHEET'!D22</f>
        <v>0</v>
      </c>
      <c r="ER22" s="9">
        <f>BP22*'MASTER SHEET'!D22</f>
        <v>0</v>
      </c>
      <c r="ES22" s="9">
        <f>BT22*'MASTER SHEET'!D22</f>
        <v>0</v>
      </c>
      <c r="ET22" s="9">
        <f>BX22*'MASTER SHEET'!D22</f>
        <v>0</v>
      </c>
      <c r="EU22" s="9">
        <f>CB22*'MASTER SHEET'!D22</f>
        <v>0</v>
      </c>
      <c r="EV22" s="9">
        <f>CF22*'MASTER SHEET'!D22</f>
        <v>0</v>
      </c>
      <c r="EW22" s="9">
        <f>CJ22*'MASTER SHEET'!D22</f>
        <v>0</v>
      </c>
      <c r="EX22" s="9">
        <f>CN22*'MASTER SHEET'!D22</f>
        <v>0</v>
      </c>
      <c r="EY22" s="9">
        <f>CV22*'MASTER SHEET'!D22</f>
        <v>0</v>
      </c>
      <c r="EZ22" s="9">
        <f>CV22*'MASTER SHEET'!D22</f>
        <v>0</v>
      </c>
      <c r="FA22" s="9">
        <f>CZ22*'MASTER SHEET'!D22</f>
        <v>0</v>
      </c>
      <c r="FB22" s="9">
        <f>DD22*'MASTER SHEET'!D22</f>
        <v>0</v>
      </c>
      <c r="FC22" s="9">
        <f>DH22*'MASTER SHEET'!D22</f>
        <v>0</v>
      </c>
      <c r="FD22" s="9">
        <f>DL22*'MASTER SHEET'!D22</f>
        <v>0</v>
      </c>
      <c r="FE22" s="9">
        <f>DP22*'MASTER SHEET'!D22</f>
        <v>0</v>
      </c>
      <c r="FF22" s="9">
        <f>DT22*'MASTER SHEET'!D22</f>
        <v>0</v>
      </c>
      <c r="FG22" s="9">
        <f>DX22*'MASTER SHEET'!D22</f>
        <v>0</v>
      </c>
    </row>
    <row r="23" spans="1:163" s="10" customFormat="1" ht="20.25" x14ac:dyDescent="0.25">
      <c r="A23" s="43">
        <f>'MASTER SHEET'!A23</f>
        <v>21</v>
      </c>
      <c r="B23" s="26" t="str">
        <f>'MASTER SHEET'!B23</f>
        <v>CENTER TUBE PLASTIC</v>
      </c>
      <c r="C23" s="82">
        <f>'MASTER SHEET'!C23</f>
        <v>5016989</v>
      </c>
      <c r="D23" s="64"/>
      <c r="E23" s="28"/>
      <c r="F23" s="28"/>
      <c r="G23" s="65"/>
      <c r="H23" s="64">
        <f t="shared" si="35"/>
        <v>0</v>
      </c>
      <c r="I23" s="28"/>
      <c r="J23" s="28"/>
      <c r="K23" s="65"/>
      <c r="L23" s="64">
        <f t="shared" si="36"/>
        <v>0</v>
      </c>
      <c r="M23" s="28"/>
      <c r="N23" s="28"/>
      <c r="O23" s="65"/>
      <c r="P23" s="64">
        <f t="shared" si="37"/>
        <v>0</v>
      </c>
      <c r="Q23" s="28"/>
      <c r="R23" s="28"/>
      <c r="S23" s="65"/>
      <c r="T23" s="64">
        <f t="shared" si="38"/>
        <v>0</v>
      </c>
      <c r="U23" s="28"/>
      <c r="V23" s="28"/>
      <c r="W23" s="65"/>
      <c r="X23" s="64">
        <f t="shared" si="39"/>
        <v>0</v>
      </c>
      <c r="Y23" s="28"/>
      <c r="Z23" s="28"/>
      <c r="AA23" s="65"/>
      <c r="AB23" s="64">
        <f t="shared" si="40"/>
        <v>0</v>
      </c>
      <c r="AC23" s="28"/>
      <c r="AD23" s="28"/>
      <c r="AE23" s="65"/>
      <c r="AF23" s="64">
        <f t="shared" si="41"/>
        <v>0</v>
      </c>
      <c r="AG23" s="28"/>
      <c r="AH23" s="28"/>
      <c r="AI23" s="65"/>
      <c r="AJ23" s="64">
        <f t="shared" si="42"/>
        <v>0</v>
      </c>
      <c r="AK23" s="28"/>
      <c r="AL23" s="28"/>
      <c r="AM23" s="65"/>
      <c r="AN23" s="64">
        <f t="shared" si="43"/>
        <v>0</v>
      </c>
      <c r="AO23" s="28"/>
      <c r="AP23" s="28"/>
      <c r="AQ23" s="65"/>
      <c r="AR23" s="64">
        <f t="shared" si="44"/>
        <v>0</v>
      </c>
      <c r="AS23" s="28"/>
      <c r="AT23" s="28"/>
      <c r="AU23" s="65"/>
      <c r="AV23" s="64">
        <f t="shared" si="45"/>
        <v>0</v>
      </c>
      <c r="AW23" s="28"/>
      <c r="AX23" s="28"/>
      <c r="AY23" s="65"/>
      <c r="AZ23" s="64">
        <f t="shared" si="46"/>
        <v>0</v>
      </c>
      <c r="BA23" s="28"/>
      <c r="BB23" s="28"/>
      <c r="BC23" s="65"/>
      <c r="BD23" s="64">
        <f t="shared" si="47"/>
        <v>0</v>
      </c>
      <c r="BE23" s="28"/>
      <c r="BF23" s="28"/>
      <c r="BG23" s="65"/>
      <c r="BH23" s="64">
        <f t="shared" si="48"/>
        <v>0</v>
      </c>
      <c r="BI23" s="28"/>
      <c r="BJ23" s="28"/>
      <c r="BK23" s="65"/>
      <c r="BL23" s="64">
        <f t="shared" si="49"/>
        <v>0</v>
      </c>
      <c r="BM23" s="28"/>
      <c r="BN23" s="28"/>
      <c r="BO23" s="65"/>
      <c r="BP23" s="64">
        <f t="shared" si="50"/>
        <v>0</v>
      </c>
      <c r="BQ23" s="28"/>
      <c r="BR23" s="28"/>
      <c r="BS23" s="65"/>
      <c r="BT23" s="64">
        <f t="shared" si="51"/>
        <v>0</v>
      </c>
      <c r="BU23" s="28"/>
      <c r="BV23" s="28"/>
      <c r="BW23" s="65"/>
      <c r="BX23" s="64">
        <f t="shared" si="52"/>
        <v>0</v>
      </c>
      <c r="BY23" s="28"/>
      <c r="BZ23" s="28"/>
      <c r="CA23" s="65"/>
      <c r="CB23" s="64">
        <f t="shared" si="53"/>
        <v>0</v>
      </c>
      <c r="CC23" s="28"/>
      <c r="CD23" s="28"/>
      <c r="CE23" s="65"/>
      <c r="CF23" s="64">
        <f t="shared" si="54"/>
        <v>0</v>
      </c>
      <c r="CG23" s="28"/>
      <c r="CH23" s="28"/>
      <c r="CI23" s="65"/>
      <c r="CJ23" s="64">
        <f t="shared" si="55"/>
        <v>0</v>
      </c>
      <c r="CK23" s="28"/>
      <c r="CL23" s="28"/>
      <c r="CM23" s="65"/>
      <c r="CN23" s="64">
        <f t="shared" si="56"/>
        <v>0</v>
      </c>
      <c r="CO23" s="28"/>
      <c r="CP23" s="28"/>
      <c r="CQ23" s="65"/>
      <c r="CR23" s="64">
        <f t="shared" si="57"/>
        <v>0</v>
      </c>
      <c r="CS23" s="28"/>
      <c r="CT23" s="28"/>
      <c r="CU23" s="65"/>
      <c r="CV23" s="64">
        <f t="shared" si="58"/>
        <v>0</v>
      </c>
      <c r="CW23" s="28"/>
      <c r="CX23" s="28"/>
      <c r="CY23" s="65"/>
      <c r="CZ23" s="64">
        <f t="shared" si="59"/>
        <v>0</v>
      </c>
      <c r="DA23" s="28"/>
      <c r="DB23" s="28"/>
      <c r="DC23" s="65"/>
      <c r="DD23" s="64">
        <f t="shared" si="60"/>
        <v>0</v>
      </c>
      <c r="DE23" s="28"/>
      <c r="DF23" s="28"/>
      <c r="DG23" s="65"/>
      <c r="DH23" s="64">
        <f t="shared" si="61"/>
        <v>0</v>
      </c>
      <c r="DI23" s="28"/>
      <c r="DJ23" s="28"/>
      <c r="DK23" s="65"/>
      <c r="DL23" s="64">
        <f t="shared" si="62"/>
        <v>0</v>
      </c>
      <c r="DM23" s="28"/>
      <c r="DN23" s="28"/>
      <c r="DO23" s="65"/>
      <c r="DP23" s="64">
        <f t="shared" si="63"/>
        <v>0</v>
      </c>
      <c r="DQ23" s="28"/>
      <c r="DR23" s="28"/>
      <c r="DS23" s="65"/>
      <c r="DT23" s="64">
        <f t="shared" si="64"/>
        <v>0</v>
      </c>
      <c r="DU23" s="28"/>
      <c r="DV23" s="28"/>
      <c r="DW23" s="65"/>
      <c r="DX23" s="30">
        <f t="shared" si="65"/>
        <v>0</v>
      </c>
      <c r="DY23" s="31">
        <f t="shared" si="32"/>
        <v>0</v>
      </c>
      <c r="DZ23" s="31">
        <f t="shared" si="33"/>
        <v>0</v>
      </c>
      <c r="EA23" s="4">
        <f t="shared" si="34"/>
        <v>0</v>
      </c>
      <c r="EB23" s="9">
        <f>D23*'MASTER SHEET'!D23</f>
        <v>0</v>
      </c>
      <c r="EC23" s="9">
        <f>H23*'MASTER SHEET'!D23</f>
        <v>0</v>
      </c>
      <c r="ED23" s="9">
        <f>L23*'MASTER SHEET'!D23</f>
        <v>0</v>
      </c>
      <c r="EE23" s="9">
        <f>P23*'MASTER SHEET'!D23</f>
        <v>0</v>
      </c>
      <c r="EF23" s="9">
        <f>T23*'MASTER SHEET'!D23</f>
        <v>0</v>
      </c>
      <c r="EG23" s="9">
        <f>X23*'MASTER SHEET'!D23</f>
        <v>0</v>
      </c>
      <c r="EH23" s="9">
        <f>AB23*'MASTER SHEET'!D23</f>
        <v>0</v>
      </c>
      <c r="EI23" s="9">
        <f>AF23*'MASTER SHEET'!D23</f>
        <v>0</v>
      </c>
      <c r="EJ23" s="9">
        <f>AJ23*'MASTER SHEET'!D23</f>
        <v>0</v>
      </c>
      <c r="EK23" s="9">
        <f>AN23*'MASTER SHEET'!D23</f>
        <v>0</v>
      </c>
      <c r="EL23" s="9">
        <f>AR23*'MASTER SHEET'!D23</f>
        <v>0</v>
      </c>
      <c r="EM23" s="9">
        <f>AV23*'MASTER SHEET'!D23</f>
        <v>0</v>
      </c>
      <c r="EN23" s="9">
        <f>AZ23*'MASTER SHEET'!D23</f>
        <v>0</v>
      </c>
      <c r="EO23" s="9">
        <f>BD23*'MASTER SHEET'!D23</f>
        <v>0</v>
      </c>
      <c r="EP23" s="9">
        <f>BH23*'MASTER SHEET'!D23</f>
        <v>0</v>
      </c>
      <c r="EQ23" s="9">
        <f>BL23*'MASTER SHEET'!D23</f>
        <v>0</v>
      </c>
      <c r="ER23" s="9">
        <f>BP23*'MASTER SHEET'!D23</f>
        <v>0</v>
      </c>
      <c r="ES23" s="9">
        <f>BT23*'MASTER SHEET'!D23</f>
        <v>0</v>
      </c>
      <c r="ET23" s="9">
        <f>BX23*'MASTER SHEET'!D23</f>
        <v>0</v>
      </c>
      <c r="EU23" s="9">
        <f>CB23*'MASTER SHEET'!D23</f>
        <v>0</v>
      </c>
      <c r="EV23" s="9">
        <f>CF23*'MASTER SHEET'!D23</f>
        <v>0</v>
      </c>
      <c r="EW23" s="9">
        <f>CJ23*'MASTER SHEET'!D23</f>
        <v>0</v>
      </c>
      <c r="EX23" s="9">
        <f>CN23*'MASTER SHEET'!D23</f>
        <v>0</v>
      </c>
      <c r="EY23" s="9">
        <f>CV23*'MASTER SHEET'!D23</f>
        <v>0</v>
      </c>
      <c r="EZ23" s="9">
        <f>CV23*'MASTER SHEET'!D23</f>
        <v>0</v>
      </c>
      <c r="FA23" s="9">
        <f>CZ23*'MASTER SHEET'!D23</f>
        <v>0</v>
      </c>
      <c r="FB23" s="9">
        <f>DD23*'MASTER SHEET'!D23</f>
        <v>0</v>
      </c>
      <c r="FC23" s="9">
        <f>DH23*'MASTER SHEET'!D23</f>
        <v>0</v>
      </c>
      <c r="FD23" s="9">
        <f>DL23*'MASTER SHEET'!D23</f>
        <v>0</v>
      </c>
      <c r="FE23" s="9">
        <f>DP23*'MASTER SHEET'!D23</f>
        <v>0</v>
      </c>
      <c r="FF23" s="9">
        <f>DT23*'MASTER SHEET'!D23</f>
        <v>0</v>
      </c>
      <c r="FG23" s="9">
        <f>DX23*'MASTER SHEET'!D23</f>
        <v>0</v>
      </c>
    </row>
    <row r="24" spans="1:163" s="10" customFormat="1" ht="20.25" x14ac:dyDescent="0.25">
      <c r="A24" s="43">
        <f>'MASTER SHEET'!A24</f>
        <v>22</v>
      </c>
      <c r="B24" s="26" t="str">
        <f>'MASTER SHEET'!B24</f>
        <v>BASE HOUSING</v>
      </c>
      <c r="C24" s="82">
        <f>'MASTER SHEET'!C24</f>
        <v>5017101</v>
      </c>
      <c r="D24" s="64"/>
      <c r="E24" s="28"/>
      <c r="F24" s="28"/>
      <c r="G24" s="65"/>
      <c r="H24" s="64">
        <f t="shared" si="35"/>
        <v>0</v>
      </c>
      <c r="I24" s="28"/>
      <c r="J24" s="28"/>
      <c r="K24" s="65"/>
      <c r="L24" s="64">
        <f t="shared" si="36"/>
        <v>0</v>
      </c>
      <c r="M24" s="28"/>
      <c r="N24" s="28"/>
      <c r="O24" s="65"/>
      <c r="P24" s="64">
        <f t="shared" si="37"/>
        <v>0</v>
      </c>
      <c r="Q24" s="28"/>
      <c r="R24" s="28"/>
      <c r="S24" s="65"/>
      <c r="T24" s="64">
        <f t="shared" si="38"/>
        <v>0</v>
      </c>
      <c r="U24" s="28"/>
      <c r="V24" s="28"/>
      <c r="W24" s="65"/>
      <c r="X24" s="64">
        <f t="shared" si="39"/>
        <v>0</v>
      </c>
      <c r="Y24" s="28"/>
      <c r="Z24" s="28"/>
      <c r="AA24" s="65"/>
      <c r="AB24" s="64">
        <f t="shared" si="40"/>
        <v>0</v>
      </c>
      <c r="AC24" s="28"/>
      <c r="AD24" s="28"/>
      <c r="AE24" s="65"/>
      <c r="AF24" s="64">
        <f t="shared" si="41"/>
        <v>0</v>
      </c>
      <c r="AG24" s="28"/>
      <c r="AH24" s="28"/>
      <c r="AI24" s="65"/>
      <c r="AJ24" s="64">
        <f t="shared" si="42"/>
        <v>0</v>
      </c>
      <c r="AK24" s="28"/>
      <c r="AL24" s="28"/>
      <c r="AM24" s="65"/>
      <c r="AN24" s="64">
        <f t="shared" si="43"/>
        <v>0</v>
      </c>
      <c r="AO24" s="28"/>
      <c r="AP24" s="28"/>
      <c r="AQ24" s="65"/>
      <c r="AR24" s="64">
        <f t="shared" si="44"/>
        <v>0</v>
      </c>
      <c r="AS24" s="28"/>
      <c r="AT24" s="28"/>
      <c r="AU24" s="65"/>
      <c r="AV24" s="64">
        <f t="shared" si="45"/>
        <v>0</v>
      </c>
      <c r="AW24" s="28"/>
      <c r="AX24" s="28"/>
      <c r="AY24" s="65"/>
      <c r="AZ24" s="64">
        <f t="shared" si="46"/>
        <v>0</v>
      </c>
      <c r="BA24" s="28"/>
      <c r="BB24" s="28"/>
      <c r="BC24" s="65"/>
      <c r="BD24" s="64">
        <f t="shared" si="47"/>
        <v>0</v>
      </c>
      <c r="BE24" s="28"/>
      <c r="BF24" s="28"/>
      <c r="BG24" s="65"/>
      <c r="BH24" s="64">
        <f t="shared" si="48"/>
        <v>0</v>
      </c>
      <c r="BI24" s="28"/>
      <c r="BJ24" s="28"/>
      <c r="BK24" s="65"/>
      <c r="BL24" s="64">
        <f t="shared" si="49"/>
        <v>0</v>
      </c>
      <c r="BM24" s="28"/>
      <c r="BN24" s="28"/>
      <c r="BO24" s="65"/>
      <c r="BP24" s="64">
        <f t="shared" si="50"/>
        <v>0</v>
      </c>
      <c r="BQ24" s="28"/>
      <c r="BR24" s="28"/>
      <c r="BS24" s="65"/>
      <c r="BT24" s="64">
        <f t="shared" si="51"/>
        <v>0</v>
      </c>
      <c r="BU24" s="28"/>
      <c r="BV24" s="28"/>
      <c r="BW24" s="65"/>
      <c r="BX24" s="64">
        <f t="shared" si="52"/>
        <v>0</v>
      </c>
      <c r="BY24" s="28"/>
      <c r="BZ24" s="28"/>
      <c r="CA24" s="65"/>
      <c r="CB24" s="64">
        <f t="shared" si="53"/>
        <v>0</v>
      </c>
      <c r="CC24" s="28"/>
      <c r="CD24" s="28"/>
      <c r="CE24" s="65"/>
      <c r="CF24" s="64">
        <f t="shared" si="54"/>
        <v>0</v>
      </c>
      <c r="CG24" s="28"/>
      <c r="CH24" s="28"/>
      <c r="CI24" s="65"/>
      <c r="CJ24" s="64">
        <f t="shared" si="55"/>
        <v>0</v>
      </c>
      <c r="CK24" s="28"/>
      <c r="CL24" s="28"/>
      <c r="CM24" s="65"/>
      <c r="CN24" s="64">
        <f t="shared" si="56"/>
        <v>0</v>
      </c>
      <c r="CO24" s="28"/>
      <c r="CP24" s="28"/>
      <c r="CQ24" s="65"/>
      <c r="CR24" s="64">
        <f t="shared" si="57"/>
        <v>0</v>
      </c>
      <c r="CS24" s="28"/>
      <c r="CT24" s="28"/>
      <c r="CU24" s="65"/>
      <c r="CV24" s="64">
        <f t="shared" si="58"/>
        <v>0</v>
      </c>
      <c r="CW24" s="28"/>
      <c r="CX24" s="28"/>
      <c r="CY24" s="65"/>
      <c r="CZ24" s="64">
        <f t="shared" si="59"/>
        <v>0</v>
      </c>
      <c r="DA24" s="28"/>
      <c r="DB24" s="28"/>
      <c r="DC24" s="65"/>
      <c r="DD24" s="64">
        <f t="shared" si="60"/>
        <v>0</v>
      </c>
      <c r="DE24" s="28"/>
      <c r="DF24" s="28"/>
      <c r="DG24" s="65"/>
      <c r="DH24" s="64">
        <f t="shared" si="61"/>
        <v>0</v>
      </c>
      <c r="DI24" s="28"/>
      <c r="DJ24" s="28"/>
      <c r="DK24" s="65"/>
      <c r="DL24" s="64">
        <f t="shared" si="62"/>
        <v>0</v>
      </c>
      <c r="DM24" s="28"/>
      <c r="DN24" s="28"/>
      <c r="DO24" s="65"/>
      <c r="DP24" s="64">
        <f t="shared" si="63"/>
        <v>0</v>
      </c>
      <c r="DQ24" s="28"/>
      <c r="DR24" s="28"/>
      <c r="DS24" s="65"/>
      <c r="DT24" s="64">
        <f t="shared" si="64"/>
        <v>0</v>
      </c>
      <c r="DU24" s="28"/>
      <c r="DV24" s="28"/>
      <c r="DW24" s="65"/>
      <c r="DX24" s="30">
        <f t="shared" si="65"/>
        <v>0</v>
      </c>
      <c r="DY24" s="31">
        <f t="shared" si="32"/>
        <v>0</v>
      </c>
      <c r="DZ24" s="31">
        <f t="shared" si="33"/>
        <v>0</v>
      </c>
      <c r="EA24" s="4">
        <f t="shared" si="34"/>
        <v>0</v>
      </c>
      <c r="EB24" s="9">
        <f>D24*'MASTER SHEET'!D24</f>
        <v>0</v>
      </c>
      <c r="EC24" s="9">
        <f>H24*'MASTER SHEET'!D24</f>
        <v>0</v>
      </c>
      <c r="ED24" s="9">
        <f>L24*'MASTER SHEET'!D24</f>
        <v>0</v>
      </c>
      <c r="EE24" s="9">
        <f>P24*'MASTER SHEET'!D24</f>
        <v>0</v>
      </c>
      <c r="EF24" s="9">
        <f>T24*'MASTER SHEET'!D24</f>
        <v>0</v>
      </c>
      <c r="EG24" s="9">
        <f>X24*'MASTER SHEET'!D24</f>
        <v>0</v>
      </c>
      <c r="EH24" s="9">
        <f>AB24*'MASTER SHEET'!D24</f>
        <v>0</v>
      </c>
      <c r="EI24" s="9">
        <f>AF24*'MASTER SHEET'!D24</f>
        <v>0</v>
      </c>
      <c r="EJ24" s="9">
        <f>AJ24*'MASTER SHEET'!D24</f>
        <v>0</v>
      </c>
      <c r="EK24" s="9">
        <f>AN24*'MASTER SHEET'!D24</f>
        <v>0</v>
      </c>
      <c r="EL24" s="9">
        <f>AR24*'MASTER SHEET'!D24</f>
        <v>0</v>
      </c>
      <c r="EM24" s="9">
        <f>AV24*'MASTER SHEET'!D24</f>
        <v>0</v>
      </c>
      <c r="EN24" s="9">
        <f>AZ24*'MASTER SHEET'!D24</f>
        <v>0</v>
      </c>
      <c r="EO24" s="9">
        <f>BD24*'MASTER SHEET'!D24</f>
        <v>0</v>
      </c>
      <c r="EP24" s="9">
        <f>BH24*'MASTER SHEET'!D24</f>
        <v>0</v>
      </c>
      <c r="EQ24" s="9">
        <f>BL24*'MASTER SHEET'!D24</f>
        <v>0</v>
      </c>
      <c r="ER24" s="9">
        <f>BP24*'MASTER SHEET'!D24</f>
        <v>0</v>
      </c>
      <c r="ES24" s="9">
        <f>BT24*'MASTER SHEET'!D24</f>
        <v>0</v>
      </c>
      <c r="ET24" s="9">
        <f>BX24*'MASTER SHEET'!D24</f>
        <v>0</v>
      </c>
      <c r="EU24" s="9">
        <f>CB24*'MASTER SHEET'!D24</f>
        <v>0</v>
      </c>
      <c r="EV24" s="9">
        <f>CF24*'MASTER SHEET'!D24</f>
        <v>0</v>
      </c>
      <c r="EW24" s="9">
        <f>CJ24*'MASTER SHEET'!D24</f>
        <v>0</v>
      </c>
      <c r="EX24" s="9">
        <f>CN24*'MASTER SHEET'!D24</f>
        <v>0</v>
      </c>
      <c r="EY24" s="9">
        <f>CV24*'MASTER SHEET'!D24</f>
        <v>0</v>
      </c>
      <c r="EZ24" s="9">
        <f>CV24*'MASTER SHEET'!D24</f>
        <v>0</v>
      </c>
      <c r="FA24" s="9">
        <f>CZ24*'MASTER SHEET'!D24</f>
        <v>0</v>
      </c>
      <c r="FB24" s="9">
        <f>DD24*'MASTER SHEET'!D24</f>
        <v>0</v>
      </c>
      <c r="FC24" s="9">
        <f>DH24*'MASTER SHEET'!D24</f>
        <v>0</v>
      </c>
      <c r="FD24" s="9">
        <f>DL24*'MASTER SHEET'!D24</f>
        <v>0</v>
      </c>
      <c r="FE24" s="9">
        <f>DP24*'MASTER SHEET'!D24</f>
        <v>0</v>
      </c>
      <c r="FF24" s="9">
        <f>DT24*'MASTER SHEET'!D24</f>
        <v>0</v>
      </c>
      <c r="FG24" s="9">
        <f>DX24*'MASTER SHEET'!D24</f>
        <v>0</v>
      </c>
    </row>
    <row r="25" spans="1:163" s="10" customFormat="1" ht="20.25" x14ac:dyDescent="0.25">
      <c r="A25" s="43">
        <f>'MASTER SHEET'!A25</f>
        <v>23</v>
      </c>
      <c r="B25" s="26" t="str">
        <f>'MASTER SHEET'!B25</f>
        <v>LID HOUSING CRANKCASE</v>
      </c>
      <c r="C25" s="82">
        <f>'MASTER SHEET'!C25</f>
        <v>5017102</v>
      </c>
      <c r="D25" s="64"/>
      <c r="E25" s="28"/>
      <c r="F25" s="28"/>
      <c r="G25" s="65"/>
      <c r="H25" s="64">
        <f t="shared" si="35"/>
        <v>0</v>
      </c>
      <c r="I25" s="28"/>
      <c r="J25" s="28"/>
      <c r="K25" s="65"/>
      <c r="L25" s="64">
        <f t="shared" si="36"/>
        <v>0</v>
      </c>
      <c r="M25" s="28"/>
      <c r="N25" s="28"/>
      <c r="O25" s="65"/>
      <c r="P25" s="64">
        <f t="shared" si="37"/>
        <v>0</v>
      </c>
      <c r="Q25" s="28"/>
      <c r="R25" s="28"/>
      <c r="S25" s="65"/>
      <c r="T25" s="64">
        <f t="shared" si="38"/>
        <v>0</v>
      </c>
      <c r="U25" s="28"/>
      <c r="V25" s="28"/>
      <c r="W25" s="65"/>
      <c r="X25" s="64">
        <f t="shared" si="39"/>
        <v>0</v>
      </c>
      <c r="Y25" s="28"/>
      <c r="Z25" s="28"/>
      <c r="AA25" s="65"/>
      <c r="AB25" s="64">
        <f t="shared" si="40"/>
        <v>0</v>
      </c>
      <c r="AC25" s="28"/>
      <c r="AD25" s="28"/>
      <c r="AE25" s="65"/>
      <c r="AF25" s="64">
        <f t="shared" si="41"/>
        <v>0</v>
      </c>
      <c r="AG25" s="28"/>
      <c r="AH25" s="28"/>
      <c r="AI25" s="65"/>
      <c r="AJ25" s="64">
        <f t="shared" si="42"/>
        <v>0</v>
      </c>
      <c r="AK25" s="28"/>
      <c r="AL25" s="28"/>
      <c r="AM25" s="65"/>
      <c r="AN25" s="64">
        <f t="shared" si="43"/>
        <v>0</v>
      </c>
      <c r="AO25" s="28"/>
      <c r="AP25" s="28"/>
      <c r="AQ25" s="65"/>
      <c r="AR25" s="64">
        <f t="shared" si="44"/>
        <v>0</v>
      </c>
      <c r="AS25" s="28"/>
      <c r="AT25" s="28"/>
      <c r="AU25" s="65"/>
      <c r="AV25" s="64">
        <f t="shared" si="45"/>
        <v>0</v>
      </c>
      <c r="AW25" s="28"/>
      <c r="AX25" s="28"/>
      <c r="AY25" s="65"/>
      <c r="AZ25" s="64">
        <f t="shared" si="46"/>
        <v>0</v>
      </c>
      <c r="BA25" s="28"/>
      <c r="BB25" s="28"/>
      <c r="BC25" s="65"/>
      <c r="BD25" s="64">
        <f t="shared" si="47"/>
        <v>0</v>
      </c>
      <c r="BE25" s="28">
        <v>235</v>
      </c>
      <c r="BF25" s="28">
        <v>235</v>
      </c>
      <c r="BG25" s="65"/>
      <c r="BH25" s="64">
        <f t="shared" si="48"/>
        <v>0</v>
      </c>
      <c r="BI25" s="28"/>
      <c r="BJ25" s="28"/>
      <c r="BK25" s="65"/>
      <c r="BL25" s="64">
        <f t="shared" si="49"/>
        <v>0</v>
      </c>
      <c r="BM25" s="28"/>
      <c r="BN25" s="28"/>
      <c r="BO25" s="65"/>
      <c r="BP25" s="64">
        <f t="shared" si="50"/>
        <v>0</v>
      </c>
      <c r="BQ25" s="28">
        <v>750</v>
      </c>
      <c r="BR25" s="28">
        <v>750</v>
      </c>
      <c r="BS25" s="65"/>
      <c r="BT25" s="64">
        <f t="shared" si="51"/>
        <v>0</v>
      </c>
      <c r="BU25" s="28"/>
      <c r="BV25" s="28"/>
      <c r="BW25" s="65"/>
      <c r="BX25" s="64">
        <f t="shared" si="52"/>
        <v>0</v>
      </c>
      <c r="BY25" s="28"/>
      <c r="BZ25" s="28"/>
      <c r="CA25" s="65"/>
      <c r="CB25" s="64">
        <f t="shared" si="53"/>
        <v>0</v>
      </c>
      <c r="CC25" s="28"/>
      <c r="CD25" s="28"/>
      <c r="CE25" s="65"/>
      <c r="CF25" s="64">
        <f t="shared" si="54"/>
        <v>0</v>
      </c>
      <c r="CG25" s="28"/>
      <c r="CH25" s="28"/>
      <c r="CI25" s="65"/>
      <c r="CJ25" s="64">
        <f t="shared" si="55"/>
        <v>0</v>
      </c>
      <c r="CK25" s="28">
        <v>1550</v>
      </c>
      <c r="CL25" s="28">
        <v>1550</v>
      </c>
      <c r="CM25" s="65"/>
      <c r="CN25" s="64">
        <f t="shared" si="56"/>
        <v>0</v>
      </c>
      <c r="CO25" s="28"/>
      <c r="CP25" s="28"/>
      <c r="CQ25" s="65"/>
      <c r="CR25" s="64">
        <f t="shared" si="57"/>
        <v>0</v>
      </c>
      <c r="CS25" s="28"/>
      <c r="CT25" s="28"/>
      <c r="CU25" s="65"/>
      <c r="CV25" s="64">
        <f t="shared" si="58"/>
        <v>0</v>
      </c>
      <c r="CW25" s="28"/>
      <c r="CX25" s="28"/>
      <c r="CY25" s="65"/>
      <c r="CZ25" s="64">
        <f t="shared" si="59"/>
        <v>0</v>
      </c>
      <c r="DA25" s="28"/>
      <c r="DB25" s="28"/>
      <c r="DC25" s="65"/>
      <c r="DD25" s="64">
        <f t="shared" si="60"/>
        <v>0</v>
      </c>
      <c r="DE25" s="28"/>
      <c r="DF25" s="28"/>
      <c r="DG25" s="65"/>
      <c r="DH25" s="64">
        <f t="shared" si="61"/>
        <v>0</v>
      </c>
      <c r="DI25" s="28"/>
      <c r="DJ25" s="28"/>
      <c r="DK25" s="65"/>
      <c r="DL25" s="64">
        <f t="shared" si="62"/>
        <v>0</v>
      </c>
      <c r="DM25" s="28"/>
      <c r="DN25" s="28"/>
      <c r="DO25" s="65"/>
      <c r="DP25" s="64">
        <f t="shared" si="63"/>
        <v>0</v>
      </c>
      <c r="DQ25" s="28"/>
      <c r="DR25" s="28"/>
      <c r="DS25" s="65"/>
      <c r="DT25" s="64">
        <f t="shared" si="64"/>
        <v>0</v>
      </c>
      <c r="DU25" s="28"/>
      <c r="DV25" s="28"/>
      <c r="DW25" s="65"/>
      <c r="DX25" s="30">
        <f t="shared" si="65"/>
        <v>0</v>
      </c>
      <c r="DY25" s="31">
        <f t="shared" si="32"/>
        <v>2535</v>
      </c>
      <c r="DZ25" s="31">
        <f t="shared" si="33"/>
        <v>2535</v>
      </c>
      <c r="EA25" s="4">
        <f t="shared" si="34"/>
        <v>0</v>
      </c>
      <c r="EB25" s="9">
        <f>D25*'MASTER SHEET'!D25</f>
        <v>0</v>
      </c>
      <c r="EC25" s="9">
        <f>H25*'MASTER SHEET'!D25</f>
        <v>0</v>
      </c>
      <c r="ED25" s="9">
        <f>L25*'MASTER SHEET'!D25</f>
        <v>0</v>
      </c>
      <c r="EE25" s="9">
        <f>P25*'MASTER SHEET'!D25</f>
        <v>0</v>
      </c>
      <c r="EF25" s="9">
        <f>T25*'MASTER SHEET'!D25</f>
        <v>0</v>
      </c>
      <c r="EG25" s="9">
        <f>X25*'MASTER SHEET'!D25</f>
        <v>0</v>
      </c>
      <c r="EH25" s="9">
        <f>AB25*'MASTER SHEET'!D25</f>
        <v>0</v>
      </c>
      <c r="EI25" s="9">
        <f>AF25*'MASTER SHEET'!D25</f>
        <v>0</v>
      </c>
      <c r="EJ25" s="9">
        <f>AJ25*'MASTER SHEET'!D25</f>
        <v>0</v>
      </c>
      <c r="EK25" s="9">
        <f>AN25*'MASTER SHEET'!D25</f>
        <v>0</v>
      </c>
      <c r="EL25" s="9">
        <f>AR25*'MASTER SHEET'!D25</f>
        <v>0</v>
      </c>
      <c r="EM25" s="9">
        <f>AV25*'MASTER SHEET'!D25</f>
        <v>0</v>
      </c>
      <c r="EN25" s="9">
        <f>AZ25*'MASTER SHEET'!D25</f>
        <v>0</v>
      </c>
      <c r="EO25" s="9">
        <f>BD25*'MASTER SHEET'!D25</f>
        <v>0</v>
      </c>
      <c r="EP25" s="9">
        <f>BH25*'MASTER SHEET'!D25</f>
        <v>0</v>
      </c>
      <c r="EQ25" s="9">
        <f>BL25*'MASTER SHEET'!D25</f>
        <v>0</v>
      </c>
      <c r="ER25" s="9">
        <f>BP25*'MASTER SHEET'!D25</f>
        <v>0</v>
      </c>
      <c r="ES25" s="9">
        <f>BT25*'MASTER SHEET'!D25</f>
        <v>0</v>
      </c>
      <c r="ET25" s="9">
        <f>BX25*'MASTER SHEET'!D25</f>
        <v>0</v>
      </c>
      <c r="EU25" s="9">
        <f>CB25*'MASTER SHEET'!D25</f>
        <v>0</v>
      </c>
      <c r="EV25" s="9">
        <f>CF25*'MASTER SHEET'!D25</f>
        <v>0</v>
      </c>
      <c r="EW25" s="9">
        <f>CJ25*'MASTER SHEET'!D25</f>
        <v>0</v>
      </c>
      <c r="EX25" s="9">
        <f>CN25*'MASTER SHEET'!D25</f>
        <v>0</v>
      </c>
      <c r="EY25" s="9">
        <f>CV25*'MASTER SHEET'!D25</f>
        <v>0</v>
      </c>
      <c r="EZ25" s="9">
        <f>CV25*'MASTER SHEET'!D25</f>
        <v>0</v>
      </c>
      <c r="FA25" s="9">
        <f>CZ25*'MASTER SHEET'!D25</f>
        <v>0</v>
      </c>
      <c r="FB25" s="9">
        <f>DD25*'MASTER SHEET'!D25</f>
        <v>0</v>
      </c>
      <c r="FC25" s="9">
        <f>DH25*'MASTER SHEET'!D25</f>
        <v>0</v>
      </c>
      <c r="FD25" s="9">
        <f>DL25*'MASTER SHEET'!D25</f>
        <v>0</v>
      </c>
      <c r="FE25" s="9">
        <f>DP25*'MASTER SHEET'!D25</f>
        <v>0</v>
      </c>
      <c r="FF25" s="9">
        <f>DT25*'MASTER SHEET'!D25</f>
        <v>0</v>
      </c>
      <c r="FG25" s="9">
        <f>DX25*'MASTER SHEET'!D25</f>
        <v>0</v>
      </c>
    </row>
    <row r="26" spans="1:163" s="10" customFormat="1" ht="20.25" x14ac:dyDescent="0.25">
      <c r="A26" s="43">
        <f>'MASTER SHEET'!A26</f>
        <v>24</v>
      </c>
      <c r="B26" s="26" t="str">
        <f>'MASTER SHEET'!B26</f>
        <v>CENTER TUBE</v>
      </c>
      <c r="C26" s="82">
        <f>'MASTER SHEET'!C26</f>
        <v>5017886</v>
      </c>
      <c r="D26" s="64"/>
      <c r="E26" s="28">
        <v>3000</v>
      </c>
      <c r="F26" s="28">
        <v>3000</v>
      </c>
      <c r="G26" s="65"/>
      <c r="H26" s="64">
        <f t="shared" si="35"/>
        <v>0</v>
      </c>
      <c r="I26" s="28">
        <v>2880</v>
      </c>
      <c r="J26" s="28">
        <v>2880</v>
      </c>
      <c r="K26" s="65"/>
      <c r="L26" s="64">
        <f t="shared" si="36"/>
        <v>0</v>
      </c>
      <c r="M26" s="28"/>
      <c r="N26" s="28"/>
      <c r="O26" s="65"/>
      <c r="P26" s="64">
        <f t="shared" si="37"/>
        <v>0</v>
      </c>
      <c r="Q26" s="28"/>
      <c r="R26" s="28"/>
      <c r="S26" s="65"/>
      <c r="T26" s="64">
        <f t="shared" si="38"/>
        <v>0</v>
      </c>
      <c r="U26" s="28"/>
      <c r="V26" s="28"/>
      <c r="W26" s="65"/>
      <c r="X26" s="64">
        <f t="shared" si="39"/>
        <v>0</v>
      </c>
      <c r="Y26" s="28"/>
      <c r="Z26" s="28"/>
      <c r="AA26" s="65"/>
      <c r="AB26" s="64">
        <f t="shared" si="40"/>
        <v>0</v>
      </c>
      <c r="AC26" s="28">
        <v>1800</v>
      </c>
      <c r="AD26" s="28">
        <v>1800</v>
      </c>
      <c r="AE26" s="65"/>
      <c r="AF26" s="64">
        <f t="shared" si="41"/>
        <v>0</v>
      </c>
      <c r="AG26" s="28">
        <v>2640</v>
      </c>
      <c r="AH26" s="28">
        <v>2640</v>
      </c>
      <c r="AI26" s="65"/>
      <c r="AJ26" s="64">
        <f t="shared" si="42"/>
        <v>0</v>
      </c>
      <c r="AK26" s="28">
        <v>2640</v>
      </c>
      <c r="AL26" s="28">
        <v>2640</v>
      </c>
      <c r="AM26" s="65"/>
      <c r="AN26" s="64">
        <f t="shared" si="43"/>
        <v>0</v>
      </c>
      <c r="AO26" s="28">
        <v>3600</v>
      </c>
      <c r="AP26" s="28">
        <v>3600</v>
      </c>
      <c r="AQ26" s="65"/>
      <c r="AR26" s="64">
        <f t="shared" si="44"/>
        <v>0</v>
      </c>
      <c r="AS26" s="28">
        <v>3000</v>
      </c>
      <c r="AT26" s="28">
        <v>3000</v>
      </c>
      <c r="AU26" s="65"/>
      <c r="AV26" s="64">
        <f t="shared" si="45"/>
        <v>0</v>
      </c>
      <c r="AW26" s="28"/>
      <c r="AX26" s="28"/>
      <c r="AY26" s="65"/>
      <c r="AZ26" s="64">
        <f t="shared" si="46"/>
        <v>0</v>
      </c>
      <c r="BA26" s="28">
        <v>4680</v>
      </c>
      <c r="BB26" s="28">
        <v>3017</v>
      </c>
      <c r="BC26" s="65">
        <v>1663</v>
      </c>
      <c r="BD26" s="64">
        <f t="shared" si="47"/>
        <v>0</v>
      </c>
      <c r="BE26" s="28">
        <v>3600</v>
      </c>
      <c r="BF26" s="28">
        <v>3600</v>
      </c>
      <c r="BG26" s="65"/>
      <c r="BH26" s="64">
        <f t="shared" si="48"/>
        <v>0</v>
      </c>
      <c r="BI26" s="28"/>
      <c r="BJ26" s="28"/>
      <c r="BK26" s="65"/>
      <c r="BL26" s="64">
        <f t="shared" si="49"/>
        <v>0</v>
      </c>
      <c r="BM26" s="28">
        <v>3000</v>
      </c>
      <c r="BN26" s="28">
        <v>3000</v>
      </c>
      <c r="BO26" s="65"/>
      <c r="BP26" s="64">
        <f t="shared" si="50"/>
        <v>0</v>
      </c>
      <c r="BQ26" s="28"/>
      <c r="BR26" s="28"/>
      <c r="BS26" s="65"/>
      <c r="BT26" s="64">
        <f t="shared" si="51"/>
        <v>0</v>
      </c>
      <c r="BU26" s="28">
        <v>3480</v>
      </c>
      <c r="BV26" s="28">
        <v>3480</v>
      </c>
      <c r="BW26" s="65"/>
      <c r="BX26" s="64">
        <f t="shared" si="52"/>
        <v>0</v>
      </c>
      <c r="BY26" s="28"/>
      <c r="BZ26" s="28"/>
      <c r="CA26" s="65"/>
      <c r="CB26" s="64">
        <f t="shared" si="53"/>
        <v>0</v>
      </c>
      <c r="CC26" s="28">
        <v>3480</v>
      </c>
      <c r="CD26" s="28">
        <v>3480</v>
      </c>
      <c r="CE26" s="65"/>
      <c r="CF26" s="64">
        <f t="shared" si="54"/>
        <v>0</v>
      </c>
      <c r="CG26" s="28">
        <v>1440</v>
      </c>
      <c r="CH26" s="28">
        <v>1440</v>
      </c>
      <c r="CI26" s="65"/>
      <c r="CJ26" s="64">
        <f t="shared" si="55"/>
        <v>0</v>
      </c>
      <c r="CK26" s="28">
        <v>3720</v>
      </c>
      <c r="CL26" s="28">
        <v>3720</v>
      </c>
      <c r="CM26" s="65"/>
      <c r="CN26" s="64">
        <f t="shared" si="56"/>
        <v>0</v>
      </c>
      <c r="CO26" s="28">
        <v>3600</v>
      </c>
      <c r="CP26" s="28">
        <v>3600</v>
      </c>
      <c r="CQ26" s="65"/>
      <c r="CR26" s="64">
        <f t="shared" si="57"/>
        <v>0</v>
      </c>
      <c r="CS26" s="28">
        <v>4080</v>
      </c>
      <c r="CT26" s="28">
        <v>4080</v>
      </c>
      <c r="CU26" s="65"/>
      <c r="CV26" s="64">
        <f t="shared" si="58"/>
        <v>0</v>
      </c>
      <c r="CW26" s="28">
        <v>4800</v>
      </c>
      <c r="CX26" s="28">
        <v>4800</v>
      </c>
      <c r="CY26" s="65"/>
      <c r="CZ26" s="64">
        <f t="shared" si="59"/>
        <v>0</v>
      </c>
      <c r="DA26" s="28"/>
      <c r="DB26" s="28"/>
      <c r="DC26" s="65"/>
      <c r="DD26" s="64">
        <f t="shared" si="60"/>
        <v>0</v>
      </c>
      <c r="DE26" s="28">
        <v>3720</v>
      </c>
      <c r="DF26" s="28">
        <v>3720</v>
      </c>
      <c r="DG26" s="65"/>
      <c r="DH26" s="64">
        <f t="shared" si="61"/>
        <v>0</v>
      </c>
      <c r="DI26" s="28">
        <v>3360</v>
      </c>
      <c r="DJ26" s="28">
        <v>3360</v>
      </c>
      <c r="DK26" s="65"/>
      <c r="DL26" s="64">
        <f t="shared" si="62"/>
        <v>0</v>
      </c>
      <c r="DM26" s="28">
        <v>3600</v>
      </c>
      <c r="DN26" s="28">
        <v>3600</v>
      </c>
      <c r="DO26" s="65"/>
      <c r="DP26" s="64">
        <f t="shared" si="63"/>
        <v>0</v>
      </c>
      <c r="DQ26" s="28"/>
      <c r="DR26" s="28"/>
      <c r="DS26" s="65"/>
      <c r="DT26" s="64">
        <f t="shared" si="64"/>
        <v>0</v>
      </c>
      <c r="DU26" s="28"/>
      <c r="DV26" s="28"/>
      <c r="DW26" s="65"/>
      <c r="DX26" s="30">
        <f t="shared" si="65"/>
        <v>0</v>
      </c>
      <c r="DY26" s="31">
        <f t="shared" si="32"/>
        <v>66120</v>
      </c>
      <c r="DZ26" s="31">
        <f t="shared" si="33"/>
        <v>64457</v>
      </c>
      <c r="EA26" s="4">
        <f t="shared" si="34"/>
        <v>1663</v>
      </c>
      <c r="EB26" s="9">
        <f>D26*'MASTER SHEET'!D26</f>
        <v>0</v>
      </c>
      <c r="EC26" s="9">
        <f>H26*'MASTER SHEET'!D26</f>
        <v>0</v>
      </c>
      <c r="ED26" s="9">
        <f>L26*'MASTER SHEET'!D26</f>
        <v>0</v>
      </c>
      <c r="EE26" s="9">
        <f>P26*'MASTER SHEET'!D26</f>
        <v>0</v>
      </c>
      <c r="EF26" s="9">
        <f>T26*'MASTER SHEET'!D26</f>
        <v>0</v>
      </c>
      <c r="EG26" s="9">
        <f>X26*'MASTER SHEET'!D26</f>
        <v>0</v>
      </c>
      <c r="EH26" s="9">
        <f>AB26*'MASTER SHEET'!D26</f>
        <v>0</v>
      </c>
      <c r="EI26" s="9">
        <f>AF26*'MASTER SHEET'!D26</f>
        <v>0</v>
      </c>
      <c r="EJ26" s="9">
        <f>AJ26*'MASTER SHEET'!D26</f>
        <v>0</v>
      </c>
      <c r="EK26" s="9">
        <f>AN26*'MASTER SHEET'!D26</f>
        <v>0</v>
      </c>
      <c r="EL26" s="9">
        <f>AR26*'MASTER SHEET'!D26</f>
        <v>0</v>
      </c>
      <c r="EM26" s="9">
        <f>AV26*'MASTER SHEET'!D26</f>
        <v>0</v>
      </c>
      <c r="EN26" s="9">
        <f>AZ26*'MASTER SHEET'!D26</f>
        <v>0</v>
      </c>
      <c r="EO26" s="9">
        <f>BD26*'MASTER SHEET'!D26</f>
        <v>0</v>
      </c>
      <c r="EP26" s="9">
        <f>BH26*'MASTER SHEET'!D26</f>
        <v>0</v>
      </c>
      <c r="EQ26" s="9">
        <f>BL26*'MASTER SHEET'!D26</f>
        <v>0</v>
      </c>
      <c r="ER26" s="9">
        <f>BP26*'MASTER SHEET'!D26</f>
        <v>0</v>
      </c>
      <c r="ES26" s="9">
        <f>BT26*'MASTER SHEET'!D26</f>
        <v>0</v>
      </c>
      <c r="ET26" s="9">
        <f>BX26*'MASTER SHEET'!D26</f>
        <v>0</v>
      </c>
      <c r="EU26" s="9">
        <f>CB26*'MASTER SHEET'!D26</f>
        <v>0</v>
      </c>
      <c r="EV26" s="9">
        <f>CF26*'MASTER SHEET'!D26</f>
        <v>0</v>
      </c>
      <c r="EW26" s="9">
        <f>CJ26*'MASTER SHEET'!D26</f>
        <v>0</v>
      </c>
      <c r="EX26" s="9">
        <f>CN26*'MASTER SHEET'!D26</f>
        <v>0</v>
      </c>
      <c r="EY26" s="9">
        <f>CV26*'MASTER SHEET'!D26</f>
        <v>0</v>
      </c>
      <c r="EZ26" s="9">
        <f>CV26*'MASTER SHEET'!D26</f>
        <v>0</v>
      </c>
      <c r="FA26" s="9">
        <f>CZ26*'MASTER SHEET'!D26</f>
        <v>0</v>
      </c>
      <c r="FB26" s="9">
        <f>DD26*'MASTER SHEET'!D26</f>
        <v>0</v>
      </c>
      <c r="FC26" s="9">
        <f>DH26*'MASTER SHEET'!D26</f>
        <v>0</v>
      </c>
      <c r="FD26" s="9">
        <f>DL26*'MASTER SHEET'!D26</f>
        <v>0</v>
      </c>
      <c r="FE26" s="9">
        <f>DP26*'MASTER SHEET'!D26</f>
        <v>0</v>
      </c>
      <c r="FF26" s="9">
        <f>DT26*'MASTER SHEET'!D26</f>
        <v>0</v>
      </c>
      <c r="FG26" s="9">
        <f>DX26*'MASTER SHEET'!D26</f>
        <v>0</v>
      </c>
    </row>
    <row r="27" spans="1:163" s="10" customFormat="1" ht="20.25" x14ac:dyDescent="0.25">
      <c r="A27" s="43">
        <f>'MASTER SHEET'!A27</f>
        <v>25</v>
      </c>
      <c r="B27" s="26" t="str">
        <f>'MASTER SHEET'!B27</f>
        <v xml:space="preserve">CENTER TUBE  </v>
      </c>
      <c r="C27" s="82">
        <f>'MASTER SHEET'!C27</f>
        <v>5017887</v>
      </c>
      <c r="D27" s="64"/>
      <c r="E27" s="28"/>
      <c r="F27" s="28"/>
      <c r="G27" s="65"/>
      <c r="H27" s="64">
        <f t="shared" si="35"/>
        <v>0</v>
      </c>
      <c r="I27" s="28"/>
      <c r="J27" s="28"/>
      <c r="K27" s="65"/>
      <c r="L27" s="64">
        <f t="shared" si="36"/>
        <v>0</v>
      </c>
      <c r="M27" s="28"/>
      <c r="N27" s="28"/>
      <c r="O27" s="65"/>
      <c r="P27" s="64">
        <f t="shared" si="37"/>
        <v>0</v>
      </c>
      <c r="Q27" s="28"/>
      <c r="R27" s="28"/>
      <c r="S27" s="65"/>
      <c r="T27" s="64">
        <f t="shared" si="38"/>
        <v>0</v>
      </c>
      <c r="U27" s="28"/>
      <c r="V27" s="28"/>
      <c r="W27" s="65"/>
      <c r="X27" s="64">
        <f t="shared" si="39"/>
        <v>0</v>
      </c>
      <c r="Y27" s="28"/>
      <c r="Z27" s="28"/>
      <c r="AA27" s="65"/>
      <c r="AB27" s="64">
        <f t="shared" si="40"/>
        <v>0</v>
      </c>
      <c r="AC27" s="28"/>
      <c r="AD27" s="28"/>
      <c r="AE27" s="65"/>
      <c r="AF27" s="64">
        <f t="shared" si="41"/>
        <v>0</v>
      </c>
      <c r="AG27" s="28"/>
      <c r="AH27" s="28"/>
      <c r="AI27" s="65"/>
      <c r="AJ27" s="64">
        <f t="shared" si="42"/>
        <v>0</v>
      </c>
      <c r="AK27" s="28"/>
      <c r="AL27" s="28"/>
      <c r="AM27" s="65"/>
      <c r="AN27" s="64">
        <f t="shared" si="43"/>
        <v>0</v>
      </c>
      <c r="AO27" s="28"/>
      <c r="AP27" s="28"/>
      <c r="AQ27" s="65"/>
      <c r="AR27" s="64">
        <f t="shared" si="44"/>
        <v>0</v>
      </c>
      <c r="AS27" s="28"/>
      <c r="AT27" s="28"/>
      <c r="AU27" s="65"/>
      <c r="AV27" s="64">
        <f t="shared" si="45"/>
        <v>0</v>
      </c>
      <c r="AW27" s="28"/>
      <c r="AX27" s="28"/>
      <c r="AY27" s="65"/>
      <c r="AZ27" s="64">
        <f t="shared" si="46"/>
        <v>0</v>
      </c>
      <c r="BA27" s="28"/>
      <c r="BB27" s="28"/>
      <c r="BC27" s="65"/>
      <c r="BD27" s="64">
        <f t="shared" si="47"/>
        <v>0</v>
      </c>
      <c r="BE27" s="28"/>
      <c r="BF27" s="28"/>
      <c r="BG27" s="65"/>
      <c r="BH27" s="64">
        <f t="shared" si="48"/>
        <v>0</v>
      </c>
      <c r="BI27" s="28"/>
      <c r="BJ27" s="28"/>
      <c r="BK27" s="65"/>
      <c r="BL27" s="64">
        <f t="shared" si="49"/>
        <v>0</v>
      </c>
      <c r="BM27" s="28"/>
      <c r="BN27" s="28"/>
      <c r="BO27" s="65"/>
      <c r="BP27" s="64">
        <f t="shared" si="50"/>
        <v>0</v>
      </c>
      <c r="BQ27" s="28"/>
      <c r="BR27" s="28"/>
      <c r="BS27" s="65"/>
      <c r="BT27" s="64">
        <f t="shared" si="51"/>
        <v>0</v>
      </c>
      <c r="BU27" s="28"/>
      <c r="BV27" s="28"/>
      <c r="BW27" s="65"/>
      <c r="BX27" s="64">
        <f t="shared" si="52"/>
        <v>0</v>
      </c>
      <c r="BY27" s="28"/>
      <c r="BZ27" s="28"/>
      <c r="CA27" s="65"/>
      <c r="CB27" s="64">
        <f t="shared" si="53"/>
        <v>0</v>
      </c>
      <c r="CC27" s="28"/>
      <c r="CD27" s="28"/>
      <c r="CE27" s="65"/>
      <c r="CF27" s="64">
        <f t="shared" si="54"/>
        <v>0</v>
      </c>
      <c r="CG27" s="28"/>
      <c r="CH27" s="28"/>
      <c r="CI27" s="65"/>
      <c r="CJ27" s="64">
        <f t="shared" si="55"/>
        <v>0</v>
      </c>
      <c r="CK27" s="28"/>
      <c r="CL27" s="28"/>
      <c r="CM27" s="65"/>
      <c r="CN27" s="64">
        <f t="shared" si="56"/>
        <v>0</v>
      </c>
      <c r="CO27" s="28"/>
      <c r="CP27" s="28"/>
      <c r="CQ27" s="65"/>
      <c r="CR27" s="64">
        <f t="shared" si="57"/>
        <v>0</v>
      </c>
      <c r="CS27" s="28"/>
      <c r="CT27" s="28"/>
      <c r="CU27" s="65"/>
      <c r="CV27" s="64">
        <f t="shared" si="58"/>
        <v>0</v>
      </c>
      <c r="CW27" s="28"/>
      <c r="CX27" s="28"/>
      <c r="CY27" s="65"/>
      <c r="CZ27" s="64">
        <f t="shared" si="59"/>
        <v>0</v>
      </c>
      <c r="DA27" s="28"/>
      <c r="DB27" s="28"/>
      <c r="DC27" s="65"/>
      <c r="DD27" s="64">
        <f t="shared" si="60"/>
        <v>0</v>
      </c>
      <c r="DE27" s="28"/>
      <c r="DF27" s="28"/>
      <c r="DG27" s="65"/>
      <c r="DH27" s="64">
        <f t="shared" si="61"/>
        <v>0</v>
      </c>
      <c r="DI27" s="28"/>
      <c r="DJ27" s="28"/>
      <c r="DK27" s="65"/>
      <c r="DL27" s="64">
        <f t="shared" si="62"/>
        <v>0</v>
      </c>
      <c r="DM27" s="28"/>
      <c r="DN27" s="28"/>
      <c r="DO27" s="65"/>
      <c r="DP27" s="64">
        <f t="shared" si="63"/>
        <v>0</v>
      </c>
      <c r="DQ27" s="28"/>
      <c r="DR27" s="28"/>
      <c r="DS27" s="65"/>
      <c r="DT27" s="64">
        <f t="shared" si="64"/>
        <v>0</v>
      </c>
      <c r="DU27" s="28"/>
      <c r="DV27" s="28"/>
      <c r="DW27" s="65"/>
      <c r="DX27" s="30">
        <f t="shared" si="65"/>
        <v>0</v>
      </c>
      <c r="DY27" s="31">
        <f t="shared" si="32"/>
        <v>0</v>
      </c>
      <c r="DZ27" s="31">
        <f t="shared" si="33"/>
        <v>0</v>
      </c>
      <c r="EA27" s="4">
        <f t="shared" si="34"/>
        <v>0</v>
      </c>
      <c r="EB27" s="9">
        <f>D27*'MASTER SHEET'!D27</f>
        <v>0</v>
      </c>
      <c r="EC27" s="9">
        <f>H27*'MASTER SHEET'!D27</f>
        <v>0</v>
      </c>
      <c r="ED27" s="9">
        <f>L27*'MASTER SHEET'!D27</f>
        <v>0</v>
      </c>
      <c r="EE27" s="9">
        <f>P27*'MASTER SHEET'!D27</f>
        <v>0</v>
      </c>
      <c r="EF27" s="9">
        <f>T27*'MASTER SHEET'!D27</f>
        <v>0</v>
      </c>
      <c r="EG27" s="9">
        <f>X27*'MASTER SHEET'!D27</f>
        <v>0</v>
      </c>
      <c r="EH27" s="9">
        <f>AB27*'MASTER SHEET'!D27</f>
        <v>0</v>
      </c>
      <c r="EI27" s="9">
        <f>AF27*'MASTER SHEET'!D27</f>
        <v>0</v>
      </c>
      <c r="EJ27" s="9">
        <f>AJ27*'MASTER SHEET'!D27</f>
        <v>0</v>
      </c>
      <c r="EK27" s="9">
        <f>AN27*'MASTER SHEET'!D27</f>
        <v>0</v>
      </c>
      <c r="EL27" s="9">
        <f>AR27*'MASTER SHEET'!D27</f>
        <v>0</v>
      </c>
      <c r="EM27" s="9">
        <f>AV27*'MASTER SHEET'!D27</f>
        <v>0</v>
      </c>
      <c r="EN27" s="9">
        <f>AZ27*'MASTER SHEET'!D27</f>
        <v>0</v>
      </c>
      <c r="EO27" s="9">
        <f>BD27*'MASTER SHEET'!D27</f>
        <v>0</v>
      </c>
      <c r="EP27" s="9">
        <f>BH27*'MASTER SHEET'!D27</f>
        <v>0</v>
      </c>
      <c r="EQ27" s="9">
        <f>BL27*'MASTER SHEET'!D27</f>
        <v>0</v>
      </c>
      <c r="ER27" s="9">
        <f>BP27*'MASTER SHEET'!D27</f>
        <v>0</v>
      </c>
      <c r="ES27" s="9">
        <f>BT27*'MASTER SHEET'!D27</f>
        <v>0</v>
      </c>
      <c r="ET27" s="9">
        <f>BX27*'MASTER SHEET'!D27</f>
        <v>0</v>
      </c>
      <c r="EU27" s="9">
        <f>CB27*'MASTER SHEET'!D27</f>
        <v>0</v>
      </c>
      <c r="EV27" s="9">
        <f>CF27*'MASTER SHEET'!D27</f>
        <v>0</v>
      </c>
      <c r="EW27" s="9">
        <f>CJ27*'MASTER SHEET'!D27</f>
        <v>0</v>
      </c>
      <c r="EX27" s="9">
        <f>CN27*'MASTER SHEET'!D27</f>
        <v>0</v>
      </c>
      <c r="EY27" s="9">
        <f>CV27*'MASTER SHEET'!D27</f>
        <v>0</v>
      </c>
      <c r="EZ27" s="9">
        <f>CV27*'MASTER SHEET'!D27</f>
        <v>0</v>
      </c>
      <c r="FA27" s="9">
        <f>CZ27*'MASTER SHEET'!D27</f>
        <v>0</v>
      </c>
      <c r="FB27" s="9">
        <f>DD27*'MASTER SHEET'!D27</f>
        <v>0</v>
      </c>
      <c r="FC27" s="9">
        <f>DH27*'MASTER SHEET'!D27</f>
        <v>0</v>
      </c>
      <c r="FD27" s="9">
        <f>DL27*'MASTER SHEET'!D27</f>
        <v>0</v>
      </c>
      <c r="FE27" s="9">
        <f>DP27*'MASTER SHEET'!D27</f>
        <v>0</v>
      </c>
      <c r="FF27" s="9">
        <f>DT27*'MASTER SHEET'!D27</f>
        <v>0</v>
      </c>
      <c r="FG27" s="9">
        <f>DX27*'MASTER SHEET'!D27</f>
        <v>0</v>
      </c>
    </row>
    <row r="28" spans="1:163" s="10" customFormat="1" ht="20.25" x14ac:dyDescent="0.25">
      <c r="A28" s="43">
        <f>'MASTER SHEET'!A28</f>
        <v>26</v>
      </c>
      <c r="B28" s="26" t="str">
        <f>'MASTER SHEET'!B28</f>
        <v>CENTERTUBE</v>
      </c>
      <c r="C28" s="82">
        <f>'MASTER SHEET'!C28</f>
        <v>5019991</v>
      </c>
      <c r="D28" s="64"/>
      <c r="E28" s="28"/>
      <c r="F28" s="28"/>
      <c r="G28" s="65"/>
      <c r="H28" s="64">
        <f t="shared" si="35"/>
        <v>0</v>
      </c>
      <c r="I28" s="28"/>
      <c r="J28" s="28"/>
      <c r="K28" s="65"/>
      <c r="L28" s="64">
        <f t="shared" si="36"/>
        <v>0</v>
      </c>
      <c r="M28" s="28"/>
      <c r="N28" s="28"/>
      <c r="O28" s="65"/>
      <c r="P28" s="64">
        <f t="shared" si="37"/>
        <v>0</v>
      </c>
      <c r="Q28" s="28"/>
      <c r="R28" s="28"/>
      <c r="S28" s="65"/>
      <c r="T28" s="64">
        <f t="shared" si="38"/>
        <v>0</v>
      </c>
      <c r="U28" s="28"/>
      <c r="V28" s="28"/>
      <c r="W28" s="65"/>
      <c r="X28" s="64">
        <f t="shared" si="39"/>
        <v>0</v>
      </c>
      <c r="Y28" s="28"/>
      <c r="Z28" s="28"/>
      <c r="AA28" s="65"/>
      <c r="AB28" s="64">
        <f t="shared" si="40"/>
        <v>0</v>
      </c>
      <c r="AC28" s="28"/>
      <c r="AD28" s="28"/>
      <c r="AE28" s="65"/>
      <c r="AF28" s="64">
        <f t="shared" si="41"/>
        <v>0</v>
      </c>
      <c r="AG28" s="28"/>
      <c r="AH28" s="28"/>
      <c r="AI28" s="65"/>
      <c r="AJ28" s="64">
        <f t="shared" si="42"/>
        <v>0</v>
      </c>
      <c r="AK28" s="28"/>
      <c r="AL28" s="28"/>
      <c r="AM28" s="65"/>
      <c r="AN28" s="64">
        <f t="shared" si="43"/>
        <v>0</v>
      </c>
      <c r="AO28" s="28"/>
      <c r="AP28" s="28"/>
      <c r="AQ28" s="65"/>
      <c r="AR28" s="64">
        <f t="shared" si="44"/>
        <v>0</v>
      </c>
      <c r="AS28" s="28"/>
      <c r="AT28" s="28"/>
      <c r="AU28" s="65"/>
      <c r="AV28" s="64">
        <f t="shared" si="45"/>
        <v>0</v>
      </c>
      <c r="AW28" s="28"/>
      <c r="AX28" s="28"/>
      <c r="AY28" s="65"/>
      <c r="AZ28" s="64">
        <f t="shared" si="46"/>
        <v>0</v>
      </c>
      <c r="BA28" s="28"/>
      <c r="BB28" s="28"/>
      <c r="BC28" s="65"/>
      <c r="BD28" s="64">
        <f t="shared" si="47"/>
        <v>0</v>
      </c>
      <c r="BE28" s="28"/>
      <c r="BF28" s="28"/>
      <c r="BG28" s="65"/>
      <c r="BH28" s="64">
        <f t="shared" si="48"/>
        <v>0</v>
      </c>
      <c r="BI28" s="28"/>
      <c r="BJ28" s="28"/>
      <c r="BK28" s="65"/>
      <c r="BL28" s="64">
        <f t="shared" si="49"/>
        <v>0</v>
      </c>
      <c r="BM28" s="28"/>
      <c r="BN28" s="28"/>
      <c r="BO28" s="65"/>
      <c r="BP28" s="64">
        <f t="shared" si="50"/>
        <v>0</v>
      </c>
      <c r="BQ28" s="28"/>
      <c r="BR28" s="28"/>
      <c r="BS28" s="65"/>
      <c r="BT28" s="64">
        <f t="shared" si="51"/>
        <v>0</v>
      </c>
      <c r="BU28" s="28"/>
      <c r="BV28" s="28"/>
      <c r="BW28" s="65"/>
      <c r="BX28" s="64">
        <f t="shared" si="52"/>
        <v>0</v>
      </c>
      <c r="BY28" s="28"/>
      <c r="BZ28" s="28"/>
      <c r="CA28" s="65"/>
      <c r="CB28" s="64">
        <f t="shared" si="53"/>
        <v>0</v>
      </c>
      <c r="CC28" s="28"/>
      <c r="CD28" s="28"/>
      <c r="CE28" s="65"/>
      <c r="CF28" s="64">
        <f t="shared" si="54"/>
        <v>0</v>
      </c>
      <c r="CG28" s="28"/>
      <c r="CH28" s="28"/>
      <c r="CI28" s="65"/>
      <c r="CJ28" s="64">
        <f t="shared" si="55"/>
        <v>0</v>
      </c>
      <c r="CK28" s="28"/>
      <c r="CL28" s="28"/>
      <c r="CM28" s="65"/>
      <c r="CN28" s="64">
        <f t="shared" si="56"/>
        <v>0</v>
      </c>
      <c r="CO28" s="28"/>
      <c r="CP28" s="28"/>
      <c r="CQ28" s="65"/>
      <c r="CR28" s="64">
        <f t="shared" si="57"/>
        <v>0</v>
      </c>
      <c r="CS28" s="28"/>
      <c r="CT28" s="28"/>
      <c r="CU28" s="65"/>
      <c r="CV28" s="64">
        <f t="shared" si="58"/>
        <v>0</v>
      </c>
      <c r="CW28" s="28"/>
      <c r="CX28" s="28"/>
      <c r="CY28" s="65"/>
      <c r="CZ28" s="64">
        <f t="shared" si="59"/>
        <v>0</v>
      </c>
      <c r="DA28" s="28"/>
      <c r="DB28" s="28"/>
      <c r="DC28" s="65"/>
      <c r="DD28" s="64">
        <f t="shared" si="60"/>
        <v>0</v>
      </c>
      <c r="DE28" s="28"/>
      <c r="DF28" s="28"/>
      <c r="DG28" s="65"/>
      <c r="DH28" s="64">
        <f t="shared" si="61"/>
        <v>0</v>
      </c>
      <c r="DI28" s="28"/>
      <c r="DJ28" s="28"/>
      <c r="DK28" s="65"/>
      <c r="DL28" s="64">
        <f t="shared" si="62"/>
        <v>0</v>
      </c>
      <c r="DM28" s="28"/>
      <c r="DN28" s="28"/>
      <c r="DO28" s="65"/>
      <c r="DP28" s="64">
        <f t="shared" si="63"/>
        <v>0</v>
      </c>
      <c r="DQ28" s="28"/>
      <c r="DR28" s="28"/>
      <c r="DS28" s="65"/>
      <c r="DT28" s="64">
        <f t="shared" si="64"/>
        <v>0</v>
      </c>
      <c r="DU28" s="28"/>
      <c r="DV28" s="28"/>
      <c r="DW28" s="65"/>
      <c r="DX28" s="30">
        <f t="shared" si="65"/>
        <v>0</v>
      </c>
      <c r="DY28" s="31">
        <f t="shared" si="32"/>
        <v>0</v>
      </c>
      <c r="DZ28" s="31">
        <f t="shared" si="33"/>
        <v>0</v>
      </c>
      <c r="EA28" s="4">
        <f t="shared" si="34"/>
        <v>0</v>
      </c>
      <c r="EB28" s="9">
        <f>D28*'MASTER SHEET'!D28</f>
        <v>0</v>
      </c>
      <c r="EC28" s="9">
        <f>H28*'MASTER SHEET'!D28</f>
        <v>0</v>
      </c>
      <c r="ED28" s="9">
        <f>L28*'MASTER SHEET'!D28</f>
        <v>0</v>
      </c>
      <c r="EE28" s="9">
        <f>P28*'MASTER SHEET'!D28</f>
        <v>0</v>
      </c>
      <c r="EF28" s="9">
        <f>T28*'MASTER SHEET'!D28</f>
        <v>0</v>
      </c>
      <c r="EG28" s="9">
        <f>X28*'MASTER SHEET'!D28</f>
        <v>0</v>
      </c>
      <c r="EH28" s="9">
        <f>AB28*'MASTER SHEET'!D28</f>
        <v>0</v>
      </c>
      <c r="EI28" s="9">
        <f>AF28*'MASTER SHEET'!D28</f>
        <v>0</v>
      </c>
      <c r="EJ28" s="9">
        <f>AJ28*'MASTER SHEET'!D28</f>
        <v>0</v>
      </c>
      <c r="EK28" s="9">
        <f>AN28*'MASTER SHEET'!D28</f>
        <v>0</v>
      </c>
      <c r="EL28" s="9">
        <f>AR28*'MASTER SHEET'!D28</f>
        <v>0</v>
      </c>
      <c r="EM28" s="9">
        <f>AV28*'MASTER SHEET'!D28</f>
        <v>0</v>
      </c>
      <c r="EN28" s="9">
        <f>AZ28*'MASTER SHEET'!D28</f>
        <v>0</v>
      </c>
      <c r="EO28" s="9">
        <f>BD28*'MASTER SHEET'!D28</f>
        <v>0</v>
      </c>
      <c r="EP28" s="9">
        <f>BH28*'MASTER SHEET'!D28</f>
        <v>0</v>
      </c>
      <c r="EQ28" s="9">
        <f>BL28*'MASTER SHEET'!D28</f>
        <v>0</v>
      </c>
      <c r="ER28" s="9">
        <f>BP28*'MASTER SHEET'!D28</f>
        <v>0</v>
      </c>
      <c r="ES28" s="9">
        <f>BT28*'MASTER SHEET'!D28</f>
        <v>0</v>
      </c>
      <c r="ET28" s="9">
        <f>BX28*'MASTER SHEET'!D28</f>
        <v>0</v>
      </c>
      <c r="EU28" s="9">
        <f>CB28*'MASTER SHEET'!D28</f>
        <v>0</v>
      </c>
      <c r="EV28" s="9">
        <f>CF28*'MASTER SHEET'!D28</f>
        <v>0</v>
      </c>
      <c r="EW28" s="9">
        <f>CJ28*'MASTER SHEET'!D28</f>
        <v>0</v>
      </c>
      <c r="EX28" s="9">
        <f>CN28*'MASTER SHEET'!D28</f>
        <v>0</v>
      </c>
      <c r="EY28" s="9">
        <f>CV28*'MASTER SHEET'!D28</f>
        <v>0</v>
      </c>
      <c r="EZ28" s="9">
        <f>CV28*'MASTER SHEET'!D28</f>
        <v>0</v>
      </c>
      <c r="FA28" s="9">
        <f>CZ28*'MASTER SHEET'!D28</f>
        <v>0</v>
      </c>
      <c r="FB28" s="9">
        <f>DD28*'MASTER SHEET'!D28</f>
        <v>0</v>
      </c>
      <c r="FC28" s="9">
        <f>DH28*'MASTER SHEET'!D28</f>
        <v>0</v>
      </c>
      <c r="FD28" s="9">
        <f>DL28*'MASTER SHEET'!D28</f>
        <v>0</v>
      </c>
      <c r="FE28" s="9">
        <f>DP28*'MASTER SHEET'!D28</f>
        <v>0</v>
      </c>
      <c r="FF28" s="9">
        <f>DT28*'MASTER SHEET'!D28</f>
        <v>0</v>
      </c>
      <c r="FG28" s="9">
        <f>DX28*'MASTER SHEET'!D28</f>
        <v>0</v>
      </c>
    </row>
    <row r="29" spans="1:163" ht="20.25" x14ac:dyDescent="0.25">
      <c r="A29" s="43">
        <f>'MASTER SHEET'!A29</f>
        <v>27</v>
      </c>
      <c r="B29" s="26" t="str">
        <f>'MASTER SHEET'!B29</f>
        <v>LID HOUSING CRANKCASE</v>
      </c>
      <c r="C29" s="82">
        <f>'MASTER SHEET'!C29</f>
        <v>5022550</v>
      </c>
      <c r="D29" s="64"/>
      <c r="E29" s="28"/>
      <c r="F29" s="28"/>
      <c r="G29" s="65"/>
      <c r="H29" s="64">
        <f t="shared" si="35"/>
        <v>0</v>
      </c>
      <c r="I29" s="28"/>
      <c r="J29" s="28"/>
      <c r="K29" s="65"/>
      <c r="L29" s="64">
        <f t="shared" si="36"/>
        <v>0</v>
      </c>
      <c r="M29" s="28"/>
      <c r="N29" s="28"/>
      <c r="O29" s="65"/>
      <c r="P29" s="64">
        <f t="shared" si="37"/>
        <v>0</v>
      </c>
      <c r="Q29" s="28"/>
      <c r="R29" s="28"/>
      <c r="S29" s="65"/>
      <c r="T29" s="64">
        <f t="shared" si="38"/>
        <v>0</v>
      </c>
      <c r="U29" s="28"/>
      <c r="V29" s="28"/>
      <c r="W29" s="65"/>
      <c r="X29" s="64">
        <f t="shared" si="39"/>
        <v>0</v>
      </c>
      <c r="Y29" s="28"/>
      <c r="Z29" s="28"/>
      <c r="AA29" s="65"/>
      <c r="AB29" s="64">
        <f t="shared" si="40"/>
        <v>0</v>
      </c>
      <c r="AC29" s="28"/>
      <c r="AD29" s="28"/>
      <c r="AE29" s="65"/>
      <c r="AF29" s="64">
        <f t="shared" si="41"/>
        <v>0</v>
      </c>
      <c r="AG29" s="28"/>
      <c r="AH29" s="28"/>
      <c r="AI29" s="65"/>
      <c r="AJ29" s="64">
        <f t="shared" si="42"/>
        <v>0</v>
      </c>
      <c r="AK29" s="28"/>
      <c r="AL29" s="28"/>
      <c r="AM29" s="65"/>
      <c r="AN29" s="64">
        <f t="shared" si="43"/>
        <v>0</v>
      </c>
      <c r="AO29" s="28"/>
      <c r="AP29" s="28"/>
      <c r="AQ29" s="65"/>
      <c r="AR29" s="64">
        <f t="shared" si="44"/>
        <v>0</v>
      </c>
      <c r="AS29" s="28"/>
      <c r="AT29" s="28"/>
      <c r="AU29" s="65"/>
      <c r="AV29" s="64">
        <f t="shared" si="45"/>
        <v>0</v>
      </c>
      <c r="AW29" s="28"/>
      <c r="AX29" s="28"/>
      <c r="AY29" s="65"/>
      <c r="AZ29" s="64">
        <f t="shared" si="46"/>
        <v>0</v>
      </c>
      <c r="BA29" s="28"/>
      <c r="BB29" s="28"/>
      <c r="BC29" s="65"/>
      <c r="BD29" s="64">
        <f t="shared" si="47"/>
        <v>0</v>
      </c>
      <c r="BE29" s="28"/>
      <c r="BF29" s="28"/>
      <c r="BG29" s="65"/>
      <c r="BH29" s="64">
        <f t="shared" si="48"/>
        <v>0</v>
      </c>
      <c r="BI29" s="28"/>
      <c r="BJ29" s="28"/>
      <c r="BK29" s="65"/>
      <c r="BL29" s="64">
        <f t="shared" si="49"/>
        <v>0</v>
      </c>
      <c r="BM29" s="28"/>
      <c r="BN29" s="28"/>
      <c r="BO29" s="65"/>
      <c r="BP29" s="64">
        <f t="shared" si="50"/>
        <v>0</v>
      </c>
      <c r="BQ29" s="28"/>
      <c r="BR29" s="28"/>
      <c r="BS29" s="65"/>
      <c r="BT29" s="64">
        <f t="shared" si="51"/>
        <v>0</v>
      </c>
      <c r="BU29" s="28"/>
      <c r="BV29" s="28"/>
      <c r="BW29" s="65"/>
      <c r="BX29" s="64">
        <f t="shared" si="52"/>
        <v>0</v>
      </c>
      <c r="BY29" s="28"/>
      <c r="BZ29" s="28"/>
      <c r="CA29" s="65"/>
      <c r="CB29" s="64">
        <f t="shared" si="53"/>
        <v>0</v>
      </c>
      <c r="CC29" s="28"/>
      <c r="CD29" s="28"/>
      <c r="CE29" s="65"/>
      <c r="CF29" s="64">
        <f t="shared" si="54"/>
        <v>0</v>
      </c>
      <c r="CG29" s="28"/>
      <c r="CH29" s="28"/>
      <c r="CI29" s="65"/>
      <c r="CJ29" s="64">
        <f t="shared" si="55"/>
        <v>0</v>
      </c>
      <c r="CK29" s="28"/>
      <c r="CL29" s="28"/>
      <c r="CM29" s="65"/>
      <c r="CN29" s="64">
        <f t="shared" si="56"/>
        <v>0</v>
      </c>
      <c r="CO29" s="28"/>
      <c r="CP29" s="28"/>
      <c r="CQ29" s="65"/>
      <c r="CR29" s="64">
        <f t="shared" si="57"/>
        <v>0</v>
      </c>
      <c r="CS29" s="28"/>
      <c r="CT29" s="28"/>
      <c r="CU29" s="65"/>
      <c r="CV29" s="64">
        <f t="shared" si="58"/>
        <v>0</v>
      </c>
      <c r="CW29" s="28"/>
      <c r="CX29" s="28"/>
      <c r="CY29" s="65"/>
      <c r="CZ29" s="64">
        <f t="shared" si="59"/>
        <v>0</v>
      </c>
      <c r="DA29" s="28"/>
      <c r="DB29" s="28"/>
      <c r="DC29" s="65"/>
      <c r="DD29" s="64">
        <f t="shared" si="60"/>
        <v>0</v>
      </c>
      <c r="DE29" s="28"/>
      <c r="DF29" s="28"/>
      <c r="DG29" s="65"/>
      <c r="DH29" s="64">
        <f t="shared" si="61"/>
        <v>0</v>
      </c>
      <c r="DI29" s="28"/>
      <c r="DJ29" s="28"/>
      <c r="DK29" s="65"/>
      <c r="DL29" s="64">
        <f t="shared" si="62"/>
        <v>0</v>
      </c>
      <c r="DM29" s="28"/>
      <c r="DN29" s="28"/>
      <c r="DO29" s="65"/>
      <c r="DP29" s="64">
        <f t="shared" si="63"/>
        <v>0</v>
      </c>
      <c r="DQ29" s="28"/>
      <c r="DR29" s="28"/>
      <c r="DS29" s="65"/>
      <c r="DT29" s="64">
        <f t="shared" si="64"/>
        <v>0</v>
      </c>
      <c r="DU29" s="28"/>
      <c r="DV29" s="28"/>
      <c r="DW29" s="65"/>
      <c r="DX29" s="30">
        <f t="shared" si="65"/>
        <v>0</v>
      </c>
      <c r="DY29" s="31">
        <f t="shared" si="32"/>
        <v>0</v>
      </c>
      <c r="DZ29" s="31">
        <f t="shared" si="33"/>
        <v>0</v>
      </c>
      <c r="EA29" s="4">
        <f t="shared" si="34"/>
        <v>0</v>
      </c>
      <c r="EB29" s="9">
        <f>D29*'MASTER SHEET'!D29</f>
        <v>0</v>
      </c>
      <c r="EC29" s="9">
        <f>H29*'MASTER SHEET'!D29</f>
        <v>0</v>
      </c>
      <c r="ED29" s="9">
        <f>L29*'MASTER SHEET'!D29</f>
        <v>0</v>
      </c>
      <c r="EE29" s="9">
        <f>P29*'MASTER SHEET'!D29</f>
        <v>0</v>
      </c>
      <c r="EF29" s="9">
        <f>T29*'MASTER SHEET'!D29</f>
        <v>0</v>
      </c>
      <c r="EG29" s="9">
        <f>X29*'MASTER SHEET'!D29</f>
        <v>0</v>
      </c>
      <c r="EH29" s="9">
        <f>AB29*'MASTER SHEET'!D29</f>
        <v>0</v>
      </c>
      <c r="EI29" s="9">
        <f>AF29*'MASTER SHEET'!D29</f>
        <v>0</v>
      </c>
      <c r="EJ29" s="9">
        <f>AJ29*'MASTER SHEET'!D29</f>
        <v>0</v>
      </c>
      <c r="EK29" s="9">
        <f>AN29*'MASTER SHEET'!D29</f>
        <v>0</v>
      </c>
      <c r="EL29" s="9">
        <f>AR29*'MASTER SHEET'!D29</f>
        <v>0</v>
      </c>
      <c r="EM29" s="9">
        <f>AV29*'MASTER SHEET'!D29</f>
        <v>0</v>
      </c>
      <c r="EN29" s="9">
        <f>AZ29*'MASTER SHEET'!D29</f>
        <v>0</v>
      </c>
      <c r="EO29" s="9">
        <f>BD29*'MASTER SHEET'!D29</f>
        <v>0</v>
      </c>
      <c r="EP29" s="9">
        <f>BH29*'MASTER SHEET'!D29</f>
        <v>0</v>
      </c>
      <c r="EQ29" s="9">
        <f>BL29*'MASTER SHEET'!D29</f>
        <v>0</v>
      </c>
      <c r="ER29" s="9">
        <f>BP29*'MASTER SHEET'!D29</f>
        <v>0</v>
      </c>
      <c r="ES29" s="9">
        <f>BT29*'MASTER SHEET'!D29</f>
        <v>0</v>
      </c>
      <c r="ET29" s="9">
        <f>BX29*'MASTER SHEET'!D29</f>
        <v>0</v>
      </c>
      <c r="EU29" s="9">
        <f>CB29*'MASTER SHEET'!D29</f>
        <v>0</v>
      </c>
      <c r="EV29" s="9">
        <f>CF29*'MASTER SHEET'!D29</f>
        <v>0</v>
      </c>
      <c r="EW29" s="9">
        <f>CJ29*'MASTER SHEET'!D29</f>
        <v>0</v>
      </c>
      <c r="EX29" s="9">
        <f>CN29*'MASTER SHEET'!D29</f>
        <v>0</v>
      </c>
      <c r="EY29" s="9">
        <f>CV29*'MASTER SHEET'!D29</f>
        <v>0</v>
      </c>
      <c r="EZ29" s="9">
        <f>CV29*'MASTER SHEET'!D29</f>
        <v>0</v>
      </c>
      <c r="FA29" s="9">
        <f>CZ29*'MASTER SHEET'!D29</f>
        <v>0</v>
      </c>
      <c r="FB29" s="9">
        <f>DD29*'MASTER SHEET'!D29</f>
        <v>0</v>
      </c>
      <c r="FC29" s="9">
        <f>DH29*'MASTER SHEET'!D29</f>
        <v>0</v>
      </c>
      <c r="FD29" s="9">
        <f>DL29*'MASTER SHEET'!D29</f>
        <v>0</v>
      </c>
      <c r="FE29" s="9">
        <f>DP29*'MASTER SHEET'!D29</f>
        <v>0</v>
      </c>
      <c r="FF29" s="9">
        <f>DT29*'MASTER SHEET'!D29</f>
        <v>0</v>
      </c>
      <c r="FG29" s="9">
        <f>DX29*'MASTER SHEET'!D29</f>
        <v>0</v>
      </c>
    </row>
    <row r="30" spans="1:163" ht="20.25" x14ac:dyDescent="0.25">
      <c r="A30" s="43">
        <f>'MASTER SHEET'!A30</f>
        <v>28</v>
      </c>
      <c r="B30" s="26" t="str">
        <f>'MASTER SHEET'!B30</f>
        <v>END PLATE PLASTIC</v>
      </c>
      <c r="C30" s="82">
        <f>'MASTER SHEET'!C30</f>
        <v>5023380</v>
      </c>
      <c r="D30" s="64"/>
      <c r="E30" s="28"/>
      <c r="F30" s="28"/>
      <c r="G30" s="65"/>
      <c r="H30" s="64">
        <f t="shared" si="35"/>
        <v>0</v>
      </c>
      <c r="I30" s="28"/>
      <c r="J30" s="28"/>
      <c r="K30" s="65"/>
      <c r="L30" s="64">
        <f t="shared" si="36"/>
        <v>0</v>
      </c>
      <c r="M30" s="28"/>
      <c r="N30" s="28"/>
      <c r="O30" s="65"/>
      <c r="P30" s="64">
        <f t="shared" si="37"/>
        <v>0</v>
      </c>
      <c r="Q30" s="28"/>
      <c r="R30" s="28"/>
      <c r="S30" s="65"/>
      <c r="T30" s="64">
        <f t="shared" si="38"/>
        <v>0</v>
      </c>
      <c r="U30" s="28"/>
      <c r="V30" s="28"/>
      <c r="W30" s="65"/>
      <c r="X30" s="64">
        <f t="shared" si="39"/>
        <v>0</v>
      </c>
      <c r="Y30" s="28"/>
      <c r="Z30" s="28"/>
      <c r="AA30" s="65"/>
      <c r="AB30" s="64">
        <f t="shared" si="40"/>
        <v>0</v>
      </c>
      <c r="AC30" s="28"/>
      <c r="AD30" s="28"/>
      <c r="AE30" s="65"/>
      <c r="AF30" s="64">
        <f t="shared" si="41"/>
        <v>0</v>
      </c>
      <c r="AG30" s="28"/>
      <c r="AH30" s="28"/>
      <c r="AI30" s="65"/>
      <c r="AJ30" s="64">
        <f t="shared" si="42"/>
        <v>0</v>
      </c>
      <c r="AK30" s="28"/>
      <c r="AL30" s="28"/>
      <c r="AM30" s="65"/>
      <c r="AN30" s="64">
        <f t="shared" si="43"/>
        <v>0</v>
      </c>
      <c r="AO30" s="28"/>
      <c r="AP30" s="28"/>
      <c r="AQ30" s="65"/>
      <c r="AR30" s="64">
        <f t="shared" si="44"/>
        <v>0</v>
      </c>
      <c r="AS30" s="28"/>
      <c r="AT30" s="28"/>
      <c r="AU30" s="65"/>
      <c r="AV30" s="64">
        <f t="shared" si="45"/>
        <v>0</v>
      </c>
      <c r="AW30" s="28"/>
      <c r="AX30" s="28"/>
      <c r="AY30" s="65"/>
      <c r="AZ30" s="64">
        <f t="shared" si="46"/>
        <v>0</v>
      </c>
      <c r="BA30" s="28"/>
      <c r="BB30" s="28"/>
      <c r="BC30" s="65"/>
      <c r="BD30" s="64">
        <f t="shared" si="47"/>
        <v>0</v>
      </c>
      <c r="BE30" s="28"/>
      <c r="BF30" s="28"/>
      <c r="BG30" s="65"/>
      <c r="BH30" s="64">
        <f t="shared" si="48"/>
        <v>0</v>
      </c>
      <c r="BI30" s="28"/>
      <c r="BJ30" s="28"/>
      <c r="BK30" s="65"/>
      <c r="BL30" s="64">
        <f t="shared" si="49"/>
        <v>0</v>
      </c>
      <c r="BM30" s="28"/>
      <c r="BN30" s="28"/>
      <c r="BO30" s="65"/>
      <c r="BP30" s="64">
        <f t="shared" si="50"/>
        <v>0</v>
      </c>
      <c r="BQ30" s="28"/>
      <c r="BR30" s="28"/>
      <c r="BS30" s="65"/>
      <c r="BT30" s="64">
        <f t="shared" si="51"/>
        <v>0</v>
      </c>
      <c r="BU30" s="28"/>
      <c r="BV30" s="28"/>
      <c r="BW30" s="65"/>
      <c r="BX30" s="64">
        <f t="shared" si="52"/>
        <v>0</v>
      </c>
      <c r="BY30" s="28"/>
      <c r="BZ30" s="28"/>
      <c r="CA30" s="65"/>
      <c r="CB30" s="64">
        <f t="shared" si="53"/>
        <v>0</v>
      </c>
      <c r="CC30" s="28"/>
      <c r="CD30" s="28"/>
      <c r="CE30" s="65"/>
      <c r="CF30" s="64">
        <f t="shared" si="54"/>
        <v>0</v>
      </c>
      <c r="CG30" s="28"/>
      <c r="CH30" s="28"/>
      <c r="CI30" s="65"/>
      <c r="CJ30" s="64">
        <f t="shared" si="55"/>
        <v>0</v>
      </c>
      <c r="CK30" s="28"/>
      <c r="CL30" s="28"/>
      <c r="CM30" s="65"/>
      <c r="CN30" s="64">
        <f t="shared" si="56"/>
        <v>0</v>
      </c>
      <c r="CO30" s="28"/>
      <c r="CP30" s="28"/>
      <c r="CQ30" s="65"/>
      <c r="CR30" s="64">
        <f t="shared" si="57"/>
        <v>0</v>
      </c>
      <c r="CS30" s="28"/>
      <c r="CT30" s="28"/>
      <c r="CU30" s="65"/>
      <c r="CV30" s="64">
        <f t="shared" si="58"/>
        <v>0</v>
      </c>
      <c r="CW30" s="28"/>
      <c r="CX30" s="28"/>
      <c r="CY30" s="65"/>
      <c r="CZ30" s="64">
        <f t="shared" si="59"/>
        <v>0</v>
      </c>
      <c r="DA30" s="28"/>
      <c r="DB30" s="28"/>
      <c r="DC30" s="65"/>
      <c r="DD30" s="64">
        <f t="shared" si="60"/>
        <v>0</v>
      </c>
      <c r="DE30" s="28"/>
      <c r="DF30" s="28"/>
      <c r="DG30" s="65"/>
      <c r="DH30" s="64">
        <f t="shared" si="61"/>
        <v>0</v>
      </c>
      <c r="DI30" s="28"/>
      <c r="DJ30" s="28"/>
      <c r="DK30" s="65"/>
      <c r="DL30" s="64">
        <f t="shared" si="62"/>
        <v>0</v>
      </c>
      <c r="DM30" s="28"/>
      <c r="DN30" s="28"/>
      <c r="DO30" s="65"/>
      <c r="DP30" s="64">
        <f t="shared" si="63"/>
        <v>0</v>
      </c>
      <c r="DQ30" s="28"/>
      <c r="DR30" s="28"/>
      <c r="DS30" s="65"/>
      <c r="DT30" s="64">
        <f t="shared" si="64"/>
        <v>0</v>
      </c>
      <c r="DU30" s="28"/>
      <c r="DV30" s="28"/>
      <c r="DW30" s="65"/>
      <c r="DX30" s="30">
        <f t="shared" si="65"/>
        <v>0</v>
      </c>
      <c r="DY30" s="31">
        <f t="shared" si="32"/>
        <v>0</v>
      </c>
      <c r="DZ30" s="31">
        <f t="shared" si="33"/>
        <v>0</v>
      </c>
      <c r="EA30" s="4">
        <f t="shared" si="34"/>
        <v>0</v>
      </c>
      <c r="EB30" s="9">
        <f>D30*'MASTER SHEET'!D30</f>
        <v>0</v>
      </c>
      <c r="EC30" s="9">
        <f>H30*'MASTER SHEET'!D30</f>
        <v>0</v>
      </c>
      <c r="ED30" s="9">
        <f>L30*'MASTER SHEET'!D30</f>
        <v>0</v>
      </c>
      <c r="EE30" s="9">
        <f>P30*'MASTER SHEET'!D30</f>
        <v>0</v>
      </c>
      <c r="EF30" s="9">
        <f>T30*'MASTER SHEET'!D30</f>
        <v>0</v>
      </c>
      <c r="EG30" s="9">
        <f>X30*'MASTER SHEET'!D30</f>
        <v>0</v>
      </c>
      <c r="EH30" s="9">
        <f>AB30*'MASTER SHEET'!D30</f>
        <v>0</v>
      </c>
      <c r="EI30" s="9">
        <f>AF30*'MASTER SHEET'!D30</f>
        <v>0</v>
      </c>
      <c r="EJ30" s="9">
        <f>AJ30*'MASTER SHEET'!D30</f>
        <v>0</v>
      </c>
      <c r="EK30" s="9">
        <f>AN30*'MASTER SHEET'!D30</f>
        <v>0</v>
      </c>
      <c r="EL30" s="9">
        <f>AR30*'MASTER SHEET'!D30</f>
        <v>0</v>
      </c>
      <c r="EM30" s="9">
        <f>AV30*'MASTER SHEET'!D30</f>
        <v>0</v>
      </c>
      <c r="EN30" s="9">
        <f>AZ30*'MASTER SHEET'!D30</f>
        <v>0</v>
      </c>
      <c r="EO30" s="9">
        <f>BD30*'MASTER SHEET'!D30</f>
        <v>0</v>
      </c>
      <c r="EP30" s="9">
        <f>BH30*'MASTER SHEET'!D30</f>
        <v>0</v>
      </c>
      <c r="EQ30" s="9">
        <f>BL30*'MASTER SHEET'!D30</f>
        <v>0</v>
      </c>
      <c r="ER30" s="9">
        <f>BP30*'MASTER SHEET'!D30</f>
        <v>0</v>
      </c>
      <c r="ES30" s="9">
        <f>BT30*'MASTER SHEET'!D30</f>
        <v>0</v>
      </c>
      <c r="ET30" s="9">
        <f>BX30*'MASTER SHEET'!D30</f>
        <v>0</v>
      </c>
      <c r="EU30" s="9">
        <f>CB30*'MASTER SHEET'!D30</f>
        <v>0</v>
      </c>
      <c r="EV30" s="9">
        <f>CF30*'MASTER SHEET'!D30</f>
        <v>0</v>
      </c>
      <c r="EW30" s="9">
        <f>CJ30*'MASTER SHEET'!D30</f>
        <v>0</v>
      </c>
      <c r="EX30" s="9">
        <f>CN30*'MASTER SHEET'!D30</f>
        <v>0</v>
      </c>
      <c r="EY30" s="9">
        <f>CV30*'MASTER SHEET'!D30</f>
        <v>0</v>
      </c>
      <c r="EZ30" s="9">
        <f>CV30*'MASTER SHEET'!D30</f>
        <v>0</v>
      </c>
      <c r="FA30" s="9">
        <f>CZ30*'MASTER SHEET'!D30</f>
        <v>0</v>
      </c>
      <c r="FB30" s="9">
        <f>DD30*'MASTER SHEET'!D30</f>
        <v>0</v>
      </c>
      <c r="FC30" s="9">
        <f>DH30*'MASTER SHEET'!D30</f>
        <v>0</v>
      </c>
      <c r="FD30" s="9">
        <f>DL30*'MASTER SHEET'!D30</f>
        <v>0</v>
      </c>
      <c r="FE30" s="9">
        <f>DP30*'MASTER SHEET'!D30</f>
        <v>0</v>
      </c>
      <c r="FF30" s="9">
        <f>DT30*'MASTER SHEET'!D30</f>
        <v>0</v>
      </c>
      <c r="FG30" s="9">
        <f>DX30*'MASTER SHEET'!D30</f>
        <v>0</v>
      </c>
    </row>
    <row r="31" spans="1:163" ht="20.25" x14ac:dyDescent="0.25">
      <c r="A31" s="43">
        <f>'MASTER SHEET'!A31</f>
        <v>29</v>
      </c>
      <c r="B31" s="26" t="str">
        <f>'MASTER SHEET'!B31</f>
        <v>CENTERTUBE PLASTIC</v>
      </c>
      <c r="C31" s="82">
        <f>'MASTER SHEET'!C31</f>
        <v>5023573</v>
      </c>
      <c r="D31" s="64"/>
      <c r="E31" s="28"/>
      <c r="F31" s="28"/>
      <c r="G31" s="65"/>
      <c r="H31" s="64">
        <f t="shared" si="35"/>
        <v>0</v>
      </c>
      <c r="I31" s="28"/>
      <c r="J31" s="28"/>
      <c r="K31" s="65"/>
      <c r="L31" s="64">
        <f t="shared" si="36"/>
        <v>0</v>
      </c>
      <c r="M31" s="28"/>
      <c r="N31" s="28"/>
      <c r="O31" s="65"/>
      <c r="P31" s="64">
        <f t="shared" si="37"/>
        <v>0</v>
      </c>
      <c r="Q31" s="28"/>
      <c r="R31" s="28"/>
      <c r="S31" s="65"/>
      <c r="T31" s="64">
        <f t="shared" si="38"/>
        <v>0</v>
      </c>
      <c r="U31" s="28"/>
      <c r="V31" s="28"/>
      <c r="W31" s="65"/>
      <c r="X31" s="64">
        <f t="shared" si="39"/>
        <v>0</v>
      </c>
      <c r="Y31" s="28"/>
      <c r="Z31" s="28"/>
      <c r="AA31" s="65"/>
      <c r="AB31" s="64">
        <f t="shared" si="40"/>
        <v>0</v>
      </c>
      <c r="AC31" s="28"/>
      <c r="AD31" s="28"/>
      <c r="AE31" s="65"/>
      <c r="AF31" s="64">
        <f t="shared" si="41"/>
        <v>0</v>
      </c>
      <c r="AG31" s="28"/>
      <c r="AH31" s="28"/>
      <c r="AI31" s="65"/>
      <c r="AJ31" s="64">
        <f t="shared" si="42"/>
        <v>0</v>
      </c>
      <c r="AK31" s="28"/>
      <c r="AL31" s="28"/>
      <c r="AM31" s="65"/>
      <c r="AN31" s="64">
        <f t="shared" si="43"/>
        <v>0</v>
      </c>
      <c r="AO31" s="28"/>
      <c r="AP31" s="28"/>
      <c r="AQ31" s="65"/>
      <c r="AR31" s="64">
        <f t="shared" si="44"/>
        <v>0</v>
      </c>
      <c r="AS31" s="28"/>
      <c r="AT31" s="28"/>
      <c r="AU31" s="65"/>
      <c r="AV31" s="64">
        <f t="shared" si="45"/>
        <v>0</v>
      </c>
      <c r="AW31" s="28"/>
      <c r="AX31" s="28"/>
      <c r="AY31" s="65"/>
      <c r="AZ31" s="64">
        <f t="shared" si="46"/>
        <v>0</v>
      </c>
      <c r="BA31" s="28"/>
      <c r="BB31" s="28"/>
      <c r="BC31" s="65"/>
      <c r="BD31" s="64">
        <f t="shared" si="47"/>
        <v>0</v>
      </c>
      <c r="BE31" s="28"/>
      <c r="BF31" s="28"/>
      <c r="BG31" s="65"/>
      <c r="BH31" s="64">
        <f t="shared" si="48"/>
        <v>0</v>
      </c>
      <c r="BI31" s="28"/>
      <c r="BJ31" s="28"/>
      <c r="BK31" s="65"/>
      <c r="BL31" s="64">
        <f t="shared" si="49"/>
        <v>0</v>
      </c>
      <c r="BM31" s="28"/>
      <c r="BN31" s="28"/>
      <c r="BO31" s="65"/>
      <c r="BP31" s="64">
        <f t="shared" si="50"/>
        <v>0</v>
      </c>
      <c r="BQ31" s="28"/>
      <c r="BR31" s="28"/>
      <c r="BS31" s="65"/>
      <c r="BT31" s="64">
        <f t="shared" si="51"/>
        <v>0</v>
      </c>
      <c r="BU31" s="28"/>
      <c r="BV31" s="28"/>
      <c r="BW31" s="65"/>
      <c r="BX31" s="64">
        <f t="shared" si="52"/>
        <v>0</v>
      </c>
      <c r="BY31" s="28"/>
      <c r="BZ31" s="28"/>
      <c r="CA31" s="65"/>
      <c r="CB31" s="64">
        <f t="shared" si="53"/>
        <v>0</v>
      </c>
      <c r="CC31" s="28"/>
      <c r="CD31" s="28"/>
      <c r="CE31" s="65"/>
      <c r="CF31" s="64">
        <f t="shared" si="54"/>
        <v>0</v>
      </c>
      <c r="CG31" s="28"/>
      <c r="CH31" s="28"/>
      <c r="CI31" s="65"/>
      <c r="CJ31" s="64">
        <f t="shared" si="55"/>
        <v>0</v>
      </c>
      <c r="CK31" s="28"/>
      <c r="CL31" s="28"/>
      <c r="CM31" s="65"/>
      <c r="CN31" s="64">
        <f t="shared" si="56"/>
        <v>0</v>
      </c>
      <c r="CO31" s="28">
        <v>900</v>
      </c>
      <c r="CP31" s="28">
        <v>900</v>
      </c>
      <c r="CQ31" s="65"/>
      <c r="CR31" s="64">
        <f t="shared" si="57"/>
        <v>0</v>
      </c>
      <c r="CS31" s="28">
        <v>2000</v>
      </c>
      <c r="CT31" s="28">
        <v>2000</v>
      </c>
      <c r="CU31" s="65"/>
      <c r="CV31" s="64">
        <f t="shared" si="58"/>
        <v>0</v>
      </c>
      <c r="CW31" s="28"/>
      <c r="CX31" s="28"/>
      <c r="CY31" s="65"/>
      <c r="CZ31" s="64">
        <f t="shared" si="59"/>
        <v>0</v>
      </c>
      <c r="DA31" s="28"/>
      <c r="DB31" s="28"/>
      <c r="DC31" s="65"/>
      <c r="DD31" s="64">
        <f t="shared" si="60"/>
        <v>0</v>
      </c>
      <c r="DE31" s="28">
        <v>2000</v>
      </c>
      <c r="DF31" s="28">
        <v>2000</v>
      </c>
      <c r="DG31" s="65"/>
      <c r="DH31" s="64">
        <f t="shared" si="61"/>
        <v>0</v>
      </c>
      <c r="DI31" s="28">
        <v>1400</v>
      </c>
      <c r="DJ31" s="28">
        <v>1400</v>
      </c>
      <c r="DK31" s="65"/>
      <c r="DL31" s="64">
        <f t="shared" si="62"/>
        <v>0</v>
      </c>
      <c r="DM31" s="28">
        <v>2000</v>
      </c>
      <c r="DN31" s="28">
        <v>2000</v>
      </c>
      <c r="DO31" s="65"/>
      <c r="DP31" s="64">
        <f t="shared" si="63"/>
        <v>0</v>
      </c>
      <c r="DQ31" s="28"/>
      <c r="DR31" s="28"/>
      <c r="DS31" s="65"/>
      <c r="DT31" s="64">
        <f t="shared" si="64"/>
        <v>0</v>
      </c>
      <c r="DU31" s="28"/>
      <c r="DV31" s="28"/>
      <c r="DW31" s="65"/>
      <c r="DX31" s="30">
        <f t="shared" si="65"/>
        <v>0</v>
      </c>
      <c r="DY31" s="31">
        <f t="shared" si="32"/>
        <v>8300</v>
      </c>
      <c r="DZ31" s="31">
        <f t="shared" si="33"/>
        <v>8300</v>
      </c>
      <c r="EA31" s="4">
        <f t="shared" si="34"/>
        <v>0</v>
      </c>
      <c r="EB31" s="9">
        <f>D31*'MASTER SHEET'!D31</f>
        <v>0</v>
      </c>
      <c r="EC31" s="9">
        <f>H31*'MASTER SHEET'!D31</f>
        <v>0</v>
      </c>
      <c r="ED31" s="9">
        <f>L31*'MASTER SHEET'!D31</f>
        <v>0</v>
      </c>
      <c r="EE31" s="9">
        <f>P31*'MASTER SHEET'!D31</f>
        <v>0</v>
      </c>
      <c r="EF31" s="9">
        <f>T31*'MASTER SHEET'!D31</f>
        <v>0</v>
      </c>
      <c r="EG31" s="9">
        <f>X31*'MASTER SHEET'!D31</f>
        <v>0</v>
      </c>
      <c r="EH31" s="9">
        <f>AB31*'MASTER SHEET'!D31</f>
        <v>0</v>
      </c>
      <c r="EI31" s="9">
        <f>AF31*'MASTER SHEET'!D31</f>
        <v>0</v>
      </c>
      <c r="EJ31" s="9">
        <f>AJ31*'MASTER SHEET'!D31</f>
        <v>0</v>
      </c>
      <c r="EK31" s="9">
        <f>AN31*'MASTER SHEET'!D31</f>
        <v>0</v>
      </c>
      <c r="EL31" s="9">
        <f>AR31*'MASTER SHEET'!D31</f>
        <v>0</v>
      </c>
      <c r="EM31" s="9">
        <f>AV31*'MASTER SHEET'!D31</f>
        <v>0</v>
      </c>
      <c r="EN31" s="9">
        <f>AZ31*'MASTER SHEET'!D31</f>
        <v>0</v>
      </c>
      <c r="EO31" s="9">
        <f>BD31*'MASTER SHEET'!D31</f>
        <v>0</v>
      </c>
      <c r="EP31" s="9">
        <f>BH31*'MASTER SHEET'!D31</f>
        <v>0</v>
      </c>
      <c r="EQ31" s="9">
        <f>BL31*'MASTER SHEET'!D31</f>
        <v>0</v>
      </c>
      <c r="ER31" s="9">
        <f>BP31*'MASTER SHEET'!D31</f>
        <v>0</v>
      </c>
      <c r="ES31" s="9">
        <f>BT31*'MASTER SHEET'!D31</f>
        <v>0</v>
      </c>
      <c r="ET31" s="9">
        <f>BX31*'MASTER SHEET'!D31</f>
        <v>0</v>
      </c>
      <c r="EU31" s="9">
        <f>CB31*'MASTER SHEET'!D31</f>
        <v>0</v>
      </c>
      <c r="EV31" s="9">
        <f>CF31*'MASTER SHEET'!D31</f>
        <v>0</v>
      </c>
      <c r="EW31" s="9">
        <f>CJ31*'MASTER SHEET'!D31</f>
        <v>0</v>
      </c>
      <c r="EX31" s="9">
        <f>CN31*'MASTER SHEET'!D31</f>
        <v>0</v>
      </c>
      <c r="EY31" s="9">
        <f>CV31*'MASTER SHEET'!D31</f>
        <v>0</v>
      </c>
      <c r="EZ31" s="9">
        <f>CV31*'MASTER SHEET'!D31</f>
        <v>0</v>
      </c>
      <c r="FA31" s="9">
        <f>CZ31*'MASTER SHEET'!D31</f>
        <v>0</v>
      </c>
      <c r="FB31" s="9">
        <f>DD31*'MASTER SHEET'!D31</f>
        <v>0</v>
      </c>
      <c r="FC31" s="9">
        <f>DH31*'MASTER SHEET'!D31</f>
        <v>0</v>
      </c>
      <c r="FD31" s="9">
        <f>DL31*'MASTER SHEET'!D31</f>
        <v>0</v>
      </c>
      <c r="FE31" s="9">
        <f>DP31*'MASTER SHEET'!D31</f>
        <v>0</v>
      </c>
      <c r="FF31" s="9">
        <f>DT31*'MASTER SHEET'!D31</f>
        <v>0</v>
      </c>
      <c r="FG31" s="9">
        <f>DX31*'MASTER SHEET'!D31</f>
        <v>0</v>
      </c>
    </row>
    <row r="32" spans="1:163" s="10" customFormat="1" ht="20.25" x14ac:dyDescent="0.25">
      <c r="A32" s="43">
        <f>'MASTER SHEET'!A32</f>
        <v>30</v>
      </c>
      <c r="B32" s="26" t="str">
        <f>'MASTER SHEET'!B32</f>
        <v>PIPE, PLASTIC</v>
      </c>
      <c r="C32" s="82">
        <f>'MASTER SHEET'!C32</f>
        <v>5023934</v>
      </c>
      <c r="D32" s="64"/>
      <c r="E32" s="28"/>
      <c r="F32" s="28"/>
      <c r="G32" s="65"/>
      <c r="H32" s="64">
        <f t="shared" si="35"/>
        <v>0</v>
      </c>
      <c r="I32" s="28"/>
      <c r="J32" s="28"/>
      <c r="K32" s="65"/>
      <c r="L32" s="64">
        <f t="shared" si="36"/>
        <v>0</v>
      </c>
      <c r="M32" s="28"/>
      <c r="N32" s="28"/>
      <c r="O32" s="65"/>
      <c r="P32" s="64">
        <f t="shared" si="37"/>
        <v>0</v>
      </c>
      <c r="Q32" s="28"/>
      <c r="R32" s="28"/>
      <c r="S32" s="65"/>
      <c r="T32" s="64">
        <f t="shared" si="38"/>
        <v>0</v>
      </c>
      <c r="U32" s="28"/>
      <c r="V32" s="28"/>
      <c r="W32" s="65"/>
      <c r="X32" s="64">
        <f t="shared" si="39"/>
        <v>0</v>
      </c>
      <c r="Y32" s="28"/>
      <c r="Z32" s="28"/>
      <c r="AA32" s="65"/>
      <c r="AB32" s="64">
        <f t="shared" si="40"/>
        <v>0</v>
      </c>
      <c r="AC32" s="28"/>
      <c r="AD32" s="28"/>
      <c r="AE32" s="65"/>
      <c r="AF32" s="64">
        <f t="shared" si="41"/>
        <v>0</v>
      </c>
      <c r="AG32" s="28"/>
      <c r="AH32" s="28"/>
      <c r="AI32" s="65"/>
      <c r="AJ32" s="64">
        <f t="shared" si="42"/>
        <v>0</v>
      </c>
      <c r="AK32" s="28"/>
      <c r="AL32" s="28"/>
      <c r="AM32" s="65"/>
      <c r="AN32" s="64">
        <f t="shared" si="43"/>
        <v>0</v>
      </c>
      <c r="AO32" s="28"/>
      <c r="AP32" s="28"/>
      <c r="AQ32" s="65"/>
      <c r="AR32" s="64">
        <f t="shared" si="44"/>
        <v>0</v>
      </c>
      <c r="AS32" s="28"/>
      <c r="AT32" s="28"/>
      <c r="AU32" s="65"/>
      <c r="AV32" s="64">
        <f t="shared" si="45"/>
        <v>0</v>
      </c>
      <c r="AW32" s="28"/>
      <c r="AX32" s="28"/>
      <c r="AY32" s="65"/>
      <c r="AZ32" s="64">
        <f t="shared" si="46"/>
        <v>0</v>
      </c>
      <c r="BA32" s="28"/>
      <c r="BB32" s="28"/>
      <c r="BC32" s="65"/>
      <c r="BD32" s="64">
        <f t="shared" si="47"/>
        <v>0</v>
      </c>
      <c r="BE32" s="28"/>
      <c r="BF32" s="28"/>
      <c r="BG32" s="65"/>
      <c r="BH32" s="64">
        <f t="shared" si="48"/>
        <v>0</v>
      </c>
      <c r="BI32" s="28"/>
      <c r="BJ32" s="28"/>
      <c r="BK32" s="65"/>
      <c r="BL32" s="64">
        <f t="shared" si="49"/>
        <v>0</v>
      </c>
      <c r="BM32" s="28"/>
      <c r="BN32" s="28"/>
      <c r="BO32" s="65"/>
      <c r="BP32" s="64">
        <f t="shared" si="50"/>
        <v>0</v>
      </c>
      <c r="BQ32" s="28"/>
      <c r="BR32" s="28"/>
      <c r="BS32" s="65"/>
      <c r="BT32" s="64">
        <f t="shared" si="51"/>
        <v>0</v>
      </c>
      <c r="BU32" s="28"/>
      <c r="BV32" s="28"/>
      <c r="BW32" s="65"/>
      <c r="BX32" s="64">
        <f t="shared" si="52"/>
        <v>0</v>
      </c>
      <c r="BY32" s="28"/>
      <c r="BZ32" s="28"/>
      <c r="CA32" s="65"/>
      <c r="CB32" s="64">
        <f t="shared" si="53"/>
        <v>0</v>
      </c>
      <c r="CC32" s="28"/>
      <c r="CD32" s="28"/>
      <c r="CE32" s="65"/>
      <c r="CF32" s="64">
        <f t="shared" si="54"/>
        <v>0</v>
      </c>
      <c r="CG32" s="28"/>
      <c r="CH32" s="28"/>
      <c r="CI32" s="65"/>
      <c r="CJ32" s="64">
        <f t="shared" si="55"/>
        <v>0</v>
      </c>
      <c r="CK32" s="28"/>
      <c r="CL32" s="28"/>
      <c r="CM32" s="65"/>
      <c r="CN32" s="64">
        <f t="shared" si="56"/>
        <v>0</v>
      </c>
      <c r="CO32" s="28"/>
      <c r="CP32" s="28"/>
      <c r="CQ32" s="65"/>
      <c r="CR32" s="64">
        <f t="shared" si="57"/>
        <v>0</v>
      </c>
      <c r="CS32" s="28"/>
      <c r="CT32" s="28"/>
      <c r="CU32" s="65"/>
      <c r="CV32" s="64">
        <f t="shared" si="58"/>
        <v>0</v>
      </c>
      <c r="CW32" s="28"/>
      <c r="CX32" s="28"/>
      <c r="CY32" s="65"/>
      <c r="CZ32" s="64">
        <f t="shared" si="59"/>
        <v>0</v>
      </c>
      <c r="DA32" s="28"/>
      <c r="DB32" s="28"/>
      <c r="DC32" s="65"/>
      <c r="DD32" s="64">
        <f t="shared" si="60"/>
        <v>0</v>
      </c>
      <c r="DE32" s="28"/>
      <c r="DF32" s="28"/>
      <c r="DG32" s="65"/>
      <c r="DH32" s="64">
        <f t="shared" si="61"/>
        <v>0</v>
      </c>
      <c r="DI32" s="28"/>
      <c r="DJ32" s="28"/>
      <c r="DK32" s="65"/>
      <c r="DL32" s="64">
        <f t="shared" si="62"/>
        <v>0</v>
      </c>
      <c r="DM32" s="28"/>
      <c r="DN32" s="28"/>
      <c r="DO32" s="65"/>
      <c r="DP32" s="64">
        <f t="shared" si="63"/>
        <v>0</v>
      </c>
      <c r="DQ32" s="28"/>
      <c r="DR32" s="28"/>
      <c r="DS32" s="65"/>
      <c r="DT32" s="64">
        <f t="shared" si="64"/>
        <v>0</v>
      </c>
      <c r="DU32" s="28"/>
      <c r="DV32" s="28"/>
      <c r="DW32" s="65"/>
      <c r="DX32" s="30">
        <f t="shared" si="65"/>
        <v>0</v>
      </c>
      <c r="DY32" s="31">
        <f t="shared" si="32"/>
        <v>0</v>
      </c>
      <c r="DZ32" s="31">
        <f t="shared" si="33"/>
        <v>0</v>
      </c>
      <c r="EA32" s="4">
        <f t="shared" si="34"/>
        <v>0</v>
      </c>
      <c r="EB32" s="9">
        <f>D32*'MASTER SHEET'!D32</f>
        <v>0</v>
      </c>
      <c r="EC32" s="9">
        <f>H32*'MASTER SHEET'!D32</f>
        <v>0</v>
      </c>
      <c r="ED32" s="9">
        <f>L32*'MASTER SHEET'!D32</f>
        <v>0</v>
      </c>
      <c r="EE32" s="9">
        <f>P32*'MASTER SHEET'!D32</f>
        <v>0</v>
      </c>
      <c r="EF32" s="9">
        <f>T32*'MASTER SHEET'!D32</f>
        <v>0</v>
      </c>
      <c r="EG32" s="9">
        <f>X32*'MASTER SHEET'!D32</f>
        <v>0</v>
      </c>
      <c r="EH32" s="9">
        <f>AB32*'MASTER SHEET'!D32</f>
        <v>0</v>
      </c>
      <c r="EI32" s="9">
        <f>AF32*'MASTER SHEET'!D32</f>
        <v>0</v>
      </c>
      <c r="EJ32" s="9">
        <f>AJ32*'MASTER SHEET'!D32</f>
        <v>0</v>
      </c>
      <c r="EK32" s="9">
        <f>AN32*'MASTER SHEET'!D32</f>
        <v>0</v>
      </c>
      <c r="EL32" s="9">
        <f>AR32*'MASTER SHEET'!D32</f>
        <v>0</v>
      </c>
      <c r="EM32" s="9">
        <f>AV32*'MASTER SHEET'!D32</f>
        <v>0</v>
      </c>
      <c r="EN32" s="9">
        <f>AZ32*'MASTER SHEET'!D32</f>
        <v>0</v>
      </c>
      <c r="EO32" s="9">
        <f>BD32*'MASTER SHEET'!D32</f>
        <v>0</v>
      </c>
      <c r="EP32" s="9">
        <f>BH32*'MASTER SHEET'!D32</f>
        <v>0</v>
      </c>
      <c r="EQ32" s="9">
        <f>BL32*'MASTER SHEET'!D32</f>
        <v>0</v>
      </c>
      <c r="ER32" s="9">
        <f>BP32*'MASTER SHEET'!D32</f>
        <v>0</v>
      </c>
      <c r="ES32" s="9">
        <f>BT32*'MASTER SHEET'!D32</f>
        <v>0</v>
      </c>
      <c r="ET32" s="9">
        <f>BX32*'MASTER SHEET'!D32</f>
        <v>0</v>
      </c>
      <c r="EU32" s="9">
        <f>CB32*'MASTER SHEET'!D32</f>
        <v>0</v>
      </c>
      <c r="EV32" s="9">
        <f>CF32*'MASTER SHEET'!D32</f>
        <v>0</v>
      </c>
      <c r="EW32" s="9">
        <f>CJ32*'MASTER SHEET'!D32</f>
        <v>0</v>
      </c>
      <c r="EX32" s="9">
        <f>CN32*'MASTER SHEET'!D32</f>
        <v>0</v>
      </c>
      <c r="EY32" s="9">
        <f>CV32*'MASTER SHEET'!D32</f>
        <v>0</v>
      </c>
      <c r="EZ32" s="9">
        <f>CV32*'MASTER SHEET'!D32</f>
        <v>0</v>
      </c>
      <c r="FA32" s="9">
        <f>CZ32*'MASTER SHEET'!D32</f>
        <v>0</v>
      </c>
      <c r="FB32" s="9">
        <f>DD32*'MASTER SHEET'!D32</f>
        <v>0</v>
      </c>
      <c r="FC32" s="9">
        <f>DH32*'MASTER SHEET'!D32</f>
        <v>0</v>
      </c>
      <c r="FD32" s="9">
        <f>DL32*'MASTER SHEET'!D32</f>
        <v>0</v>
      </c>
      <c r="FE32" s="9">
        <f>DP32*'MASTER SHEET'!D32</f>
        <v>0</v>
      </c>
      <c r="FF32" s="9">
        <f>DT32*'MASTER SHEET'!D32</f>
        <v>0</v>
      </c>
      <c r="FG32" s="9">
        <f>DX32*'MASTER SHEET'!D32</f>
        <v>0</v>
      </c>
    </row>
    <row r="33" spans="1:163" ht="20.25" x14ac:dyDescent="0.25">
      <c r="A33" s="43">
        <f>'MASTER SHEET'!A33</f>
        <v>31</v>
      </c>
      <c r="B33" s="26" t="str">
        <f>'MASTER SHEET'!B33</f>
        <v>HYDROPHOBIC SCREEN</v>
      </c>
      <c r="C33" s="82">
        <f>'MASTER SHEET'!C33</f>
        <v>5025761</v>
      </c>
      <c r="D33" s="64"/>
      <c r="E33" s="28"/>
      <c r="F33" s="28"/>
      <c r="G33" s="65"/>
      <c r="H33" s="64">
        <f t="shared" si="35"/>
        <v>0</v>
      </c>
      <c r="I33" s="28"/>
      <c r="J33" s="28"/>
      <c r="K33" s="65"/>
      <c r="L33" s="64">
        <f t="shared" si="36"/>
        <v>0</v>
      </c>
      <c r="M33" s="28"/>
      <c r="N33" s="28"/>
      <c r="O33" s="65"/>
      <c r="P33" s="64">
        <f t="shared" si="37"/>
        <v>0</v>
      </c>
      <c r="Q33" s="28"/>
      <c r="R33" s="28"/>
      <c r="S33" s="65"/>
      <c r="T33" s="64">
        <f t="shared" si="38"/>
        <v>0</v>
      </c>
      <c r="U33" s="28"/>
      <c r="V33" s="28"/>
      <c r="W33" s="65"/>
      <c r="X33" s="64">
        <f t="shared" si="39"/>
        <v>0</v>
      </c>
      <c r="Y33" s="28"/>
      <c r="Z33" s="28"/>
      <c r="AA33" s="65"/>
      <c r="AB33" s="64">
        <f t="shared" si="40"/>
        <v>0</v>
      </c>
      <c r="AC33" s="28"/>
      <c r="AD33" s="28"/>
      <c r="AE33" s="65"/>
      <c r="AF33" s="64">
        <f t="shared" si="41"/>
        <v>0</v>
      </c>
      <c r="AG33" s="28"/>
      <c r="AH33" s="28"/>
      <c r="AI33" s="65"/>
      <c r="AJ33" s="64">
        <f t="shared" si="42"/>
        <v>0</v>
      </c>
      <c r="AK33" s="28"/>
      <c r="AL33" s="28"/>
      <c r="AM33" s="65"/>
      <c r="AN33" s="64">
        <f t="shared" si="43"/>
        <v>0</v>
      </c>
      <c r="AO33" s="28"/>
      <c r="AP33" s="28"/>
      <c r="AQ33" s="65"/>
      <c r="AR33" s="64">
        <f t="shared" si="44"/>
        <v>0</v>
      </c>
      <c r="AS33" s="28"/>
      <c r="AT33" s="28"/>
      <c r="AU33" s="65"/>
      <c r="AV33" s="64">
        <f t="shared" si="45"/>
        <v>0</v>
      </c>
      <c r="AW33" s="28"/>
      <c r="AX33" s="28"/>
      <c r="AY33" s="65"/>
      <c r="AZ33" s="64">
        <f t="shared" si="46"/>
        <v>0</v>
      </c>
      <c r="BA33" s="28"/>
      <c r="BB33" s="28"/>
      <c r="BC33" s="65"/>
      <c r="BD33" s="64">
        <f t="shared" si="47"/>
        <v>0</v>
      </c>
      <c r="BE33" s="28"/>
      <c r="BF33" s="28"/>
      <c r="BG33" s="65"/>
      <c r="BH33" s="64">
        <f t="shared" si="48"/>
        <v>0</v>
      </c>
      <c r="BI33" s="28"/>
      <c r="BJ33" s="28"/>
      <c r="BK33" s="65"/>
      <c r="BL33" s="64">
        <f t="shared" si="49"/>
        <v>0</v>
      </c>
      <c r="BM33" s="28"/>
      <c r="BN33" s="28"/>
      <c r="BO33" s="65"/>
      <c r="BP33" s="64">
        <f t="shared" si="50"/>
        <v>0</v>
      </c>
      <c r="BQ33" s="28"/>
      <c r="BR33" s="28"/>
      <c r="BS33" s="65"/>
      <c r="BT33" s="64">
        <f t="shared" si="51"/>
        <v>0</v>
      </c>
      <c r="BU33" s="28"/>
      <c r="BV33" s="28"/>
      <c r="BW33" s="65"/>
      <c r="BX33" s="64">
        <f t="shared" si="52"/>
        <v>0</v>
      </c>
      <c r="BY33" s="28"/>
      <c r="BZ33" s="28"/>
      <c r="CA33" s="65"/>
      <c r="CB33" s="64">
        <f t="shared" si="53"/>
        <v>0</v>
      </c>
      <c r="CC33" s="28"/>
      <c r="CD33" s="28"/>
      <c r="CE33" s="65"/>
      <c r="CF33" s="64">
        <f t="shared" si="54"/>
        <v>0</v>
      </c>
      <c r="CG33" s="28"/>
      <c r="CH33" s="28"/>
      <c r="CI33" s="65"/>
      <c r="CJ33" s="64">
        <f t="shared" si="55"/>
        <v>0</v>
      </c>
      <c r="CK33" s="28"/>
      <c r="CL33" s="28"/>
      <c r="CM33" s="65"/>
      <c r="CN33" s="64">
        <f t="shared" si="56"/>
        <v>0</v>
      </c>
      <c r="CO33" s="28"/>
      <c r="CP33" s="28"/>
      <c r="CQ33" s="65"/>
      <c r="CR33" s="64">
        <f t="shared" si="57"/>
        <v>0</v>
      </c>
      <c r="CS33" s="28"/>
      <c r="CT33" s="28"/>
      <c r="CU33" s="65"/>
      <c r="CV33" s="64">
        <f t="shared" si="58"/>
        <v>0</v>
      </c>
      <c r="CW33" s="28"/>
      <c r="CX33" s="28"/>
      <c r="CY33" s="65"/>
      <c r="CZ33" s="64">
        <f t="shared" si="59"/>
        <v>0</v>
      </c>
      <c r="DA33" s="28"/>
      <c r="DB33" s="28"/>
      <c r="DC33" s="65"/>
      <c r="DD33" s="64">
        <f t="shared" si="60"/>
        <v>0</v>
      </c>
      <c r="DE33" s="28"/>
      <c r="DF33" s="28"/>
      <c r="DG33" s="65"/>
      <c r="DH33" s="64">
        <f t="shared" si="61"/>
        <v>0</v>
      </c>
      <c r="DI33" s="28"/>
      <c r="DJ33" s="28"/>
      <c r="DK33" s="65"/>
      <c r="DL33" s="64">
        <f t="shared" si="62"/>
        <v>0</v>
      </c>
      <c r="DM33" s="28"/>
      <c r="DN33" s="28"/>
      <c r="DO33" s="65"/>
      <c r="DP33" s="64">
        <f t="shared" si="63"/>
        <v>0</v>
      </c>
      <c r="DQ33" s="28"/>
      <c r="DR33" s="28"/>
      <c r="DS33" s="65"/>
      <c r="DT33" s="64">
        <f t="shared" si="64"/>
        <v>0</v>
      </c>
      <c r="DU33" s="28"/>
      <c r="DV33" s="28"/>
      <c r="DW33" s="65"/>
      <c r="DX33" s="30">
        <f t="shared" si="65"/>
        <v>0</v>
      </c>
      <c r="DY33" s="31">
        <f t="shared" si="32"/>
        <v>0</v>
      </c>
      <c r="DZ33" s="31">
        <f t="shared" si="33"/>
        <v>0</v>
      </c>
      <c r="EA33" s="4">
        <f t="shared" si="34"/>
        <v>0</v>
      </c>
      <c r="EB33" s="9">
        <f>D33*'MASTER SHEET'!D33</f>
        <v>0</v>
      </c>
      <c r="EC33" s="9">
        <f>H33*'MASTER SHEET'!D33</f>
        <v>0</v>
      </c>
      <c r="ED33" s="9">
        <f>L33*'MASTER SHEET'!D33</f>
        <v>0</v>
      </c>
      <c r="EE33" s="9">
        <f>P33*'MASTER SHEET'!D33</f>
        <v>0</v>
      </c>
      <c r="EF33" s="9">
        <f>T33*'MASTER SHEET'!D33</f>
        <v>0</v>
      </c>
      <c r="EG33" s="9">
        <f>X33*'MASTER SHEET'!D33</f>
        <v>0</v>
      </c>
      <c r="EH33" s="9">
        <f>AB33*'MASTER SHEET'!D33</f>
        <v>0</v>
      </c>
      <c r="EI33" s="9">
        <f>AF33*'MASTER SHEET'!D33</f>
        <v>0</v>
      </c>
      <c r="EJ33" s="9">
        <f>AJ33*'MASTER SHEET'!D33</f>
        <v>0</v>
      </c>
      <c r="EK33" s="9">
        <f>AN33*'MASTER SHEET'!D33</f>
        <v>0</v>
      </c>
      <c r="EL33" s="9">
        <f>AR33*'MASTER SHEET'!D33</f>
        <v>0</v>
      </c>
      <c r="EM33" s="9">
        <f>AV33*'MASTER SHEET'!D33</f>
        <v>0</v>
      </c>
      <c r="EN33" s="9">
        <f>AZ33*'MASTER SHEET'!D33</f>
        <v>0</v>
      </c>
      <c r="EO33" s="9">
        <f>BD33*'MASTER SHEET'!D33</f>
        <v>0</v>
      </c>
      <c r="EP33" s="9">
        <f>BH33*'MASTER SHEET'!D33</f>
        <v>0</v>
      </c>
      <c r="EQ33" s="9">
        <f>BL33*'MASTER SHEET'!D33</f>
        <v>0</v>
      </c>
      <c r="ER33" s="9">
        <f>BP33*'MASTER SHEET'!D33</f>
        <v>0</v>
      </c>
      <c r="ES33" s="9">
        <f>BT33*'MASTER SHEET'!D33</f>
        <v>0</v>
      </c>
      <c r="ET33" s="9">
        <f>BX33*'MASTER SHEET'!D33</f>
        <v>0</v>
      </c>
      <c r="EU33" s="9">
        <f>CB33*'MASTER SHEET'!D33</f>
        <v>0</v>
      </c>
      <c r="EV33" s="9">
        <f>CF33*'MASTER SHEET'!D33</f>
        <v>0</v>
      </c>
      <c r="EW33" s="9">
        <f>CJ33*'MASTER SHEET'!D33</f>
        <v>0</v>
      </c>
      <c r="EX33" s="9">
        <f>CN33*'MASTER SHEET'!D33</f>
        <v>0</v>
      </c>
      <c r="EY33" s="9">
        <f>CV33*'MASTER SHEET'!D33</f>
        <v>0</v>
      </c>
      <c r="EZ33" s="9">
        <f>CV33*'MASTER SHEET'!D33</f>
        <v>0</v>
      </c>
      <c r="FA33" s="9">
        <f>CZ33*'MASTER SHEET'!D33</f>
        <v>0</v>
      </c>
      <c r="FB33" s="9">
        <f>DD33*'MASTER SHEET'!D33</f>
        <v>0</v>
      </c>
      <c r="FC33" s="9">
        <f>DH33*'MASTER SHEET'!D33</f>
        <v>0</v>
      </c>
      <c r="FD33" s="9">
        <f>DL33*'MASTER SHEET'!D33</f>
        <v>0</v>
      </c>
      <c r="FE33" s="9">
        <f>DP33*'MASTER SHEET'!D33</f>
        <v>0</v>
      </c>
      <c r="FF33" s="9">
        <f>DT33*'MASTER SHEET'!D33</f>
        <v>0</v>
      </c>
      <c r="FG33" s="9">
        <f>DX33*'MASTER SHEET'!D33</f>
        <v>0</v>
      </c>
    </row>
    <row r="34" spans="1:163" ht="20.25" x14ac:dyDescent="0.25">
      <c r="A34" s="43">
        <f>'MASTER SHEET'!A34</f>
        <v>32</v>
      </c>
      <c r="B34" s="26" t="str">
        <f>'MASTER SHEET'!B34</f>
        <v>ENDPLATE ASY, PLASTIC</v>
      </c>
      <c r="C34" s="82">
        <f>'MASTER SHEET'!C34</f>
        <v>5025960</v>
      </c>
      <c r="D34" s="64"/>
      <c r="E34" s="28"/>
      <c r="F34" s="28"/>
      <c r="G34" s="65"/>
      <c r="H34" s="64">
        <f t="shared" si="35"/>
        <v>0</v>
      </c>
      <c r="I34" s="28"/>
      <c r="J34" s="28"/>
      <c r="K34" s="65"/>
      <c r="L34" s="64">
        <f t="shared" si="36"/>
        <v>0</v>
      </c>
      <c r="M34" s="28"/>
      <c r="N34" s="28"/>
      <c r="O34" s="65"/>
      <c r="P34" s="64">
        <f t="shared" si="37"/>
        <v>0</v>
      </c>
      <c r="Q34" s="28"/>
      <c r="R34" s="28"/>
      <c r="S34" s="65"/>
      <c r="T34" s="64">
        <f t="shared" si="38"/>
        <v>0</v>
      </c>
      <c r="U34" s="28"/>
      <c r="V34" s="28"/>
      <c r="W34" s="65"/>
      <c r="X34" s="64">
        <f t="shared" si="39"/>
        <v>0</v>
      </c>
      <c r="Y34" s="28"/>
      <c r="Z34" s="28"/>
      <c r="AA34" s="65"/>
      <c r="AB34" s="64">
        <f t="shared" si="40"/>
        <v>0</v>
      </c>
      <c r="AC34" s="28"/>
      <c r="AD34" s="28"/>
      <c r="AE34" s="65"/>
      <c r="AF34" s="64">
        <f t="shared" si="41"/>
        <v>0</v>
      </c>
      <c r="AG34" s="28"/>
      <c r="AH34" s="28"/>
      <c r="AI34" s="65"/>
      <c r="AJ34" s="64">
        <f t="shared" si="42"/>
        <v>0</v>
      </c>
      <c r="AK34" s="28"/>
      <c r="AL34" s="28"/>
      <c r="AM34" s="65"/>
      <c r="AN34" s="64">
        <f t="shared" si="43"/>
        <v>0</v>
      </c>
      <c r="AO34" s="28"/>
      <c r="AP34" s="28"/>
      <c r="AQ34" s="65"/>
      <c r="AR34" s="64">
        <f t="shared" si="44"/>
        <v>0</v>
      </c>
      <c r="AS34" s="28"/>
      <c r="AT34" s="28"/>
      <c r="AU34" s="65"/>
      <c r="AV34" s="64">
        <f t="shared" si="45"/>
        <v>0</v>
      </c>
      <c r="AW34" s="28"/>
      <c r="AX34" s="28"/>
      <c r="AY34" s="65"/>
      <c r="AZ34" s="64">
        <f t="shared" si="46"/>
        <v>0</v>
      </c>
      <c r="BA34" s="28"/>
      <c r="BB34" s="28"/>
      <c r="BC34" s="65"/>
      <c r="BD34" s="64">
        <f t="shared" si="47"/>
        <v>0</v>
      </c>
      <c r="BE34" s="28"/>
      <c r="BF34" s="28"/>
      <c r="BG34" s="65"/>
      <c r="BH34" s="64">
        <f t="shared" si="48"/>
        <v>0</v>
      </c>
      <c r="BI34" s="28"/>
      <c r="BJ34" s="28"/>
      <c r="BK34" s="65"/>
      <c r="BL34" s="64">
        <f t="shared" si="49"/>
        <v>0</v>
      </c>
      <c r="BM34" s="28">
        <v>125</v>
      </c>
      <c r="BN34" s="28">
        <v>125</v>
      </c>
      <c r="BO34" s="65"/>
      <c r="BP34" s="64">
        <f t="shared" si="50"/>
        <v>0</v>
      </c>
      <c r="BQ34" s="28"/>
      <c r="BR34" s="28"/>
      <c r="BS34" s="65"/>
      <c r="BT34" s="64">
        <f t="shared" si="51"/>
        <v>0</v>
      </c>
      <c r="BU34" s="28"/>
      <c r="BV34" s="28"/>
      <c r="BW34" s="65"/>
      <c r="BX34" s="64">
        <f t="shared" si="52"/>
        <v>0</v>
      </c>
      <c r="BY34" s="28"/>
      <c r="BZ34" s="28"/>
      <c r="CA34" s="65"/>
      <c r="CB34" s="64">
        <f t="shared" si="53"/>
        <v>0</v>
      </c>
      <c r="CC34" s="28"/>
      <c r="CD34" s="28"/>
      <c r="CE34" s="65"/>
      <c r="CF34" s="64">
        <f t="shared" si="54"/>
        <v>0</v>
      </c>
      <c r="CG34" s="28"/>
      <c r="CH34" s="28"/>
      <c r="CI34" s="65"/>
      <c r="CJ34" s="64">
        <f t="shared" si="55"/>
        <v>0</v>
      </c>
      <c r="CK34" s="28"/>
      <c r="CL34" s="28"/>
      <c r="CM34" s="65"/>
      <c r="CN34" s="64">
        <f t="shared" si="56"/>
        <v>0</v>
      </c>
      <c r="CO34" s="28"/>
      <c r="CP34" s="28"/>
      <c r="CQ34" s="65"/>
      <c r="CR34" s="64">
        <f t="shared" si="57"/>
        <v>0</v>
      </c>
      <c r="CS34" s="28"/>
      <c r="CT34" s="28"/>
      <c r="CU34" s="65"/>
      <c r="CV34" s="64">
        <f t="shared" si="58"/>
        <v>0</v>
      </c>
      <c r="CW34" s="28"/>
      <c r="CX34" s="28"/>
      <c r="CY34" s="65"/>
      <c r="CZ34" s="64">
        <f t="shared" si="59"/>
        <v>0</v>
      </c>
      <c r="DA34" s="28"/>
      <c r="DB34" s="28"/>
      <c r="DC34" s="65"/>
      <c r="DD34" s="64">
        <f t="shared" si="60"/>
        <v>0</v>
      </c>
      <c r="DE34" s="28"/>
      <c r="DF34" s="28"/>
      <c r="DG34" s="65"/>
      <c r="DH34" s="64">
        <f t="shared" si="61"/>
        <v>0</v>
      </c>
      <c r="DI34" s="28"/>
      <c r="DJ34" s="28"/>
      <c r="DK34" s="65"/>
      <c r="DL34" s="64">
        <f t="shared" si="62"/>
        <v>0</v>
      </c>
      <c r="DM34" s="28"/>
      <c r="DN34" s="28"/>
      <c r="DO34" s="65"/>
      <c r="DP34" s="64">
        <f t="shared" si="63"/>
        <v>0</v>
      </c>
      <c r="DQ34" s="28"/>
      <c r="DR34" s="28"/>
      <c r="DS34" s="65"/>
      <c r="DT34" s="64">
        <f t="shared" si="64"/>
        <v>0</v>
      </c>
      <c r="DU34" s="28"/>
      <c r="DV34" s="28"/>
      <c r="DW34" s="65"/>
      <c r="DX34" s="30">
        <f t="shared" si="65"/>
        <v>0</v>
      </c>
      <c r="DY34" s="31">
        <f t="shared" si="32"/>
        <v>125</v>
      </c>
      <c r="DZ34" s="31">
        <f t="shared" si="33"/>
        <v>125</v>
      </c>
      <c r="EA34" s="4">
        <f t="shared" si="34"/>
        <v>0</v>
      </c>
      <c r="EB34" s="9">
        <f>D34*'MASTER SHEET'!D34</f>
        <v>0</v>
      </c>
      <c r="EC34" s="9">
        <f>H34*'MASTER SHEET'!D34</f>
        <v>0</v>
      </c>
      <c r="ED34" s="9">
        <f>L34*'MASTER SHEET'!D34</f>
        <v>0</v>
      </c>
      <c r="EE34" s="9">
        <f>P34*'MASTER SHEET'!D34</f>
        <v>0</v>
      </c>
      <c r="EF34" s="9">
        <f>T34*'MASTER SHEET'!D34</f>
        <v>0</v>
      </c>
      <c r="EG34" s="9">
        <f>X34*'MASTER SHEET'!D34</f>
        <v>0</v>
      </c>
      <c r="EH34" s="9">
        <f>AB34*'MASTER SHEET'!D34</f>
        <v>0</v>
      </c>
      <c r="EI34" s="9">
        <f>AF34*'MASTER SHEET'!D34</f>
        <v>0</v>
      </c>
      <c r="EJ34" s="9">
        <f>AJ34*'MASTER SHEET'!D34</f>
        <v>0</v>
      </c>
      <c r="EK34" s="9">
        <f>AN34*'MASTER SHEET'!D34</f>
        <v>0</v>
      </c>
      <c r="EL34" s="9">
        <f>AR34*'MASTER SHEET'!D34</f>
        <v>0</v>
      </c>
      <c r="EM34" s="9">
        <f>AV34*'MASTER SHEET'!D34</f>
        <v>0</v>
      </c>
      <c r="EN34" s="9">
        <f>AZ34*'MASTER SHEET'!D34</f>
        <v>0</v>
      </c>
      <c r="EO34" s="9">
        <f>BD34*'MASTER SHEET'!D34</f>
        <v>0</v>
      </c>
      <c r="EP34" s="9">
        <f>BH34*'MASTER SHEET'!D34</f>
        <v>0</v>
      </c>
      <c r="EQ34" s="9">
        <f>BL34*'MASTER SHEET'!D34</f>
        <v>0</v>
      </c>
      <c r="ER34" s="9">
        <f>BP34*'MASTER SHEET'!D34</f>
        <v>0</v>
      </c>
      <c r="ES34" s="9">
        <f>BT34*'MASTER SHEET'!D34</f>
        <v>0</v>
      </c>
      <c r="ET34" s="9">
        <f>BX34*'MASTER SHEET'!D34</f>
        <v>0</v>
      </c>
      <c r="EU34" s="9">
        <f>CB34*'MASTER SHEET'!D34</f>
        <v>0</v>
      </c>
      <c r="EV34" s="9">
        <f>CF34*'MASTER SHEET'!D34</f>
        <v>0</v>
      </c>
      <c r="EW34" s="9">
        <f>CJ34*'MASTER SHEET'!D34</f>
        <v>0</v>
      </c>
      <c r="EX34" s="9">
        <f>CN34*'MASTER SHEET'!D34</f>
        <v>0</v>
      </c>
      <c r="EY34" s="9">
        <f>CV34*'MASTER SHEET'!D34</f>
        <v>0</v>
      </c>
      <c r="EZ34" s="9">
        <f>CV34*'MASTER SHEET'!D34</f>
        <v>0</v>
      </c>
      <c r="FA34" s="9">
        <f>CZ34*'MASTER SHEET'!D34</f>
        <v>0</v>
      </c>
      <c r="FB34" s="9">
        <f>DD34*'MASTER SHEET'!D34</f>
        <v>0</v>
      </c>
      <c r="FC34" s="9">
        <f>DH34*'MASTER SHEET'!D34</f>
        <v>0</v>
      </c>
      <c r="FD34" s="9">
        <f>DL34*'MASTER SHEET'!D34</f>
        <v>0</v>
      </c>
      <c r="FE34" s="9">
        <f>DP34*'MASTER SHEET'!D34</f>
        <v>0</v>
      </c>
      <c r="FF34" s="9">
        <f>DT34*'MASTER SHEET'!D34</f>
        <v>0</v>
      </c>
      <c r="FG34" s="9">
        <f>DX34*'MASTER SHEET'!D34</f>
        <v>0</v>
      </c>
    </row>
    <row r="35" spans="1:163" ht="20.25" x14ac:dyDescent="0.25">
      <c r="A35" s="43">
        <f>'MASTER SHEET'!A35</f>
        <v>33</v>
      </c>
      <c r="B35" s="26" t="str">
        <f>'MASTER SHEET'!B35</f>
        <v>LID HOUSING</v>
      </c>
      <c r="C35" s="82">
        <f>'MASTER SHEET'!C35</f>
        <v>5026154</v>
      </c>
      <c r="D35" s="64"/>
      <c r="E35" s="28"/>
      <c r="F35" s="28"/>
      <c r="G35" s="65"/>
      <c r="H35" s="64">
        <f t="shared" si="35"/>
        <v>0</v>
      </c>
      <c r="I35" s="28"/>
      <c r="J35" s="28"/>
      <c r="K35" s="65"/>
      <c r="L35" s="64">
        <f t="shared" si="36"/>
        <v>0</v>
      </c>
      <c r="M35" s="28"/>
      <c r="N35" s="28"/>
      <c r="O35" s="65"/>
      <c r="P35" s="64">
        <f t="shared" si="37"/>
        <v>0</v>
      </c>
      <c r="Q35" s="28"/>
      <c r="R35" s="28"/>
      <c r="S35" s="65"/>
      <c r="T35" s="64">
        <f t="shared" si="38"/>
        <v>0</v>
      </c>
      <c r="U35" s="28"/>
      <c r="V35" s="28"/>
      <c r="W35" s="65"/>
      <c r="X35" s="64">
        <f t="shared" si="39"/>
        <v>0</v>
      </c>
      <c r="Y35" s="28"/>
      <c r="Z35" s="28"/>
      <c r="AA35" s="65"/>
      <c r="AB35" s="64">
        <f t="shared" si="40"/>
        <v>0</v>
      </c>
      <c r="AC35" s="28"/>
      <c r="AD35" s="28"/>
      <c r="AE35" s="65"/>
      <c r="AF35" s="64">
        <f t="shared" si="41"/>
        <v>0</v>
      </c>
      <c r="AG35" s="28"/>
      <c r="AH35" s="28"/>
      <c r="AI35" s="65"/>
      <c r="AJ35" s="64">
        <f t="shared" si="42"/>
        <v>0</v>
      </c>
      <c r="AK35" s="28"/>
      <c r="AL35" s="28"/>
      <c r="AM35" s="65"/>
      <c r="AN35" s="64">
        <f t="shared" si="43"/>
        <v>0</v>
      </c>
      <c r="AO35" s="28"/>
      <c r="AP35" s="28"/>
      <c r="AQ35" s="65"/>
      <c r="AR35" s="64">
        <f t="shared" si="44"/>
        <v>0</v>
      </c>
      <c r="AS35" s="28"/>
      <c r="AT35" s="28"/>
      <c r="AU35" s="65"/>
      <c r="AV35" s="64">
        <f t="shared" si="45"/>
        <v>0</v>
      </c>
      <c r="AW35" s="28"/>
      <c r="AX35" s="28"/>
      <c r="AY35" s="65"/>
      <c r="AZ35" s="64">
        <f t="shared" si="46"/>
        <v>0</v>
      </c>
      <c r="BA35" s="28"/>
      <c r="BB35" s="28"/>
      <c r="BC35" s="65"/>
      <c r="BD35" s="64">
        <f t="shared" si="47"/>
        <v>0</v>
      </c>
      <c r="BE35" s="28"/>
      <c r="BF35" s="28"/>
      <c r="BG35" s="65"/>
      <c r="BH35" s="64">
        <f t="shared" si="48"/>
        <v>0</v>
      </c>
      <c r="BI35" s="28"/>
      <c r="BJ35" s="28"/>
      <c r="BK35" s="65"/>
      <c r="BL35" s="64">
        <f t="shared" si="49"/>
        <v>0</v>
      </c>
      <c r="BM35" s="28"/>
      <c r="BN35" s="28"/>
      <c r="BO35" s="65"/>
      <c r="BP35" s="64">
        <f t="shared" si="50"/>
        <v>0</v>
      </c>
      <c r="BQ35" s="28"/>
      <c r="BR35" s="28"/>
      <c r="BS35" s="65"/>
      <c r="BT35" s="64">
        <f t="shared" si="51"/>
        <v>0</v>
      </c>
      <c r="BU35" s="28"/>
      <c r="BV35" s="28"/>
      <c r="BW35" s="65"/>
      <c r="BX35" s="64">
        <f t="shared" si="52"/>
        <v>0</v>
      </c>
      <c r="BY35" s="28"/>
      <c r="BZ35" s="28"/>
      <c r="CA35" s="65"/>
      <c r="CB35" s="64">
        <f t="shared" si="53"/>
        <v>0</v>
      </c>
      <c r="CC35" s="28"/>
      <c r="CD35" s="28"/>
      <c r="CE35" s="65"/>
      <c r="CF35" s="64">
        <f t="shared" si="54"/>
        <v>0</v>
      </c>
      <c r="CG35" s="28"/>
      <c r="CH35" s="28"/>
      <c r="CI35" s="65"/>
      <c r="CJ35" s="64">
        <f t="shared" si="55"/>
        <v>0</v>
      </c>
      <c r="CK35" s="28"/>
      <c r="CL35" s="28"/>
      <c r="CM35" s="65"/>
      <c r="CN35" s="64">
        <f t="shared" si="56"/>
        <v>0</v>
      </c>
      <c r="CO35" s="28"/>
      <c r="CP35" s="28"/>
      <c r="CQ35" s="65"/>
      <c r="CR35" s="64">
        <f t="shared" si="57"/>
        <v>0</v>
      </c>
      <c r="CS35" s="28"/>
      <c r="CT35" s="28"/>
      <c r="CU35" s="65"/>
      <c r="CV35" s="64">
        <f t="shared" si="58"/>
        <v>0</v>
      </c>
      <c r="CW35" s="28"/>
      <c r="CX35" s="28"/>
      <c r="CY35" s="65"/>
      <c r="CZ35" s="64">
        <f t="shared" si="59"/>
        <v>0</v>
      </c>
      <c r="DA35" s="28"/>
      <c r="DB35" s="28"/>
      <c r="DC35" s="65"/>
      <c r="DD35" s="64">
        <f t="shared" si="60"/>
        <v>0</v>
      </c>
      <c r="DE35" s="28"/>
      <c r="DF35" s="28"/>
      <c r="DG35" s="65"/>
      <c r="DH35" s="64">
        <f t="shared" si="61"/>
        <v>0</v>
      </c>
      <c r="DI35" s="28"/>
      <c r="DJ35" s="28"/>
      <c r="DK35" s="65"/>
      <c r="DL35" s="64">
        <f t="shared" si="62"/>
        <v>0</v>
      </c>
      <c r="DM35" s="28"/>
      <c r="DN35" s="28"/>
      <c r="DO35" s="65"/>
      <c r="DP35" s="64">
        <f t="shared" si="63"/>
        <v>0</v>
      </c>
      <c r="DQ35" s="28"/>
      <c r="DR35" s="28"/>
      <c r="DS35" s="65"/>
      <c r="DT35" s="64">
        <f t="shared" si="64"/>
        <v>0</v>
      </c>
      <c r="DU35" s="28"/>
      <c r="DV35" s="28"/>
      <c r="DW35" s="65"/>
      <c r="DX35" s="30">
        <f t="shared" si="65"/>
        <v>0</v>
      </c>
      <c r="DY35" s="31">
        <f t="shared" ref="DY35:DY66" si="66">D35+E35+I35+M35+Q35+U35+Y35+AC35+AG35+AK35+AO35+AS35+AW35+BA35+BE35+BI35+BM35+BQ35+BU35+BY35+CC35+CG35+CK35+CO35+CS35+CW35+DA35+DE35+DI35+DM35+DQ35+DU35</f>
        <v>0</v>
      </c>
      <c r="DZ35" s="31">
        <f t="shared" ref="DZ35:DZ66" si="67">F35+J35+N35+R35+V35+Z35+AD35+AH35+AL35+AP35+AT35+AX35+BB35+BF35+BJ35+BN35+BR35+BV35+BZ35+CD35+CH35+CL35+CP35+CT35+CX35+DB35+DF35+DJ35+DN35+DR35+DV35</f>
        <v>0</v>
      </c>
      <c r="EA35" s="4">
        <f t="shared" ref="EA35:EA66" si="68">G35+K35+O35+S35+W35+AA35+AE35+AI35+AM35+AQ35+AU35+AY35+BC35+BG35+BK35+BO35+BS35+BW35+CA35+CE35+CI35+CM35+CQ35+CU35+CY35+DC35+DG35+DK35+DO35+DS35+DW35</f>
        <v>0</v>
      </c>
      <c r="EB35" s="9">
        <f>D35*'MASTER SHEET'!D35</f>
        <v>0</v>
      </c>
      <c r="EC35" s="9">
        <f>H35*'MASTER SHEET'!D35</f>
        <v>0</v>
      </c>
      <c r="ED35" s="9">
        <f>L35*'MASTER SHEET'!D35</f>
        <v>0</v>
      </c>
      <c r="EE35" s="9">
        <f>P35*'MASTER SHEET'!D35</f>
        <v>0</v>
      </c>
      <c r="EF35" s="9">
        <f>T35*'MASTER SHEET'!D35</f>
        <v>0</v>
      </c>
      <c r="EG35" s="9">
        <f>X35*'MASTER SHEET'!D35</f>
        <v>0</v>
      </c>
      <c r="EH35" s="9">
        <f>AB35*'MASTER SHEET'!D35</f>
        <v>0</v>
      </c>
      <c r="EI35" s="9">
        <f>AF35*'MASTER SHEET'!D35</f>
        <v>0</v>
      </c>
      <c r="EJ35" s="9">
        <f>AJ35*'MASTER SHEET'!D35</f>
        <v>0</v>
      </c>
      <c r="EK35" s="9">
        <f>AN35*'MASTER SHEET'!D35</f>
        <v>0</v>
      </c>
      <c r="EL35" s="9">
        <f>AR35*'MASTER SHEET'!D35</f>
        <v>0</v>
      </c>
      <c r="EM35" s="9">
        <f>AV35*'MASTER SHEET'!D35</f>
        <v>0</v>
      </c>
      <c r="EN35" s="9">
        <f>AZ35*'MASTER SHEET'!D35</f>
        <v>0</v>
      </c>
      <c r="EO35" s="9">
        <f>BD35*'MASTER SHEET'!D35</f>
        <v>0</v>
      </c>
      <c r="EP35" s="9">
        <f>BH35*'MASTER SHEET'!D35</f>
        <v>0</v>
      </c>
      <c r="EQ35" s="9">
        <f>BL35*'MASTER SHEET'!D35</f>
        <v>0</v>
      </c>
      <c r="ER35" s="9">
        <f>BP35*'MASTER SHEET'!D35</f>
        <v>0</v>
      </c>
      <c r="ES35" s="9">
        <f>BT35*'MASTER SHEET'!D35</f>
        <v>0</v>
      </c>
      <c r="ET35" s="9">
        <f>BX35*'MASTER SHEET'!D35</f>
        <v>0</v>
      </c>
      <c r="EU35" s="9">
        <f>CB35*'MASTER SHEET'!D35</f>
        <v>0</v>
      </c>
      <c r="EV35" s="9">
        <f>CF35*'MASTER SHEET'!D35</f>
        <v>0</v>
      </c>
      <c r="EW35" s="9">
        <f>CJ35*'MASTER SHEET'!D35</f>
        <v>0</v>
      </c>
      <c r="EX35" s="9">
        <f>CN35*'MASTER SHEET'!D35</f>
        <v>0</v>
      </c>
      <c r="EY35" s="9">
        <f>CV35*'MASTER SHEET'!D35</f>
        <v>0</v>
      </c>
      <c r="EZ35" s="9">
        <f>CV35*'MASTER SHEET'!D35</f>
        <v>0</v>
      </c>
      <c r="FA35" s="9">
        <f>CZ35*'MASTER SHEET'!D35</f>
        <v>0</v>
      </c>
      <c r="FB35" s="9">
        <f>DD35*'MASTER SHEET'!D35</f>
        <v>0</v>
      </c>
      <c r="FC35" s="9">
        <f>DH35*'MASTER SHEET'!D35</f>
        <v>0</v>
      </c>
      <c r="FD35" s="9">
        <f>DL35*'MASTER SHEET'!D35</f>
        <v>0</v>
      </c>
      <c r="FE35" s="9">
        <f>DP35*'MASTER SHEET'!D35</f>
        <v>0</v>
      </c>
      <c r="FF35" s="9">
        <f>DT35*'MASTER SHEET'!D35</f>
        <v>0</v>
      </c>
      <c r="FG35" s="9">
        <f>DX35*'MASTER SHEET'!D35</f>
        <v>0</v>
      </c>
    </row>
    <row r="36" spans="1:163" ht="20.25" x14ac:dyDescent="0.25">
      <c r="A36" s="43">
        <f>'MASTER SHEET'!A36</f>
        <v>34</v>
      </c>
      <c r="B36" s="26" t="str">
        <f>'MASTER SHEET'!B36</f>
        <v xml:space="preserve">BASE. HOUSING </v>
      </c>
      <c r="C36" s="82">
        <f>'MASTER SHEET'!C36</f>
        <v>5026669</v>
      </c>
      <c r="D36" s="64"/>
      <c r="E36" s="28"/>
      <c r="F36" s="28"/>
      <c r="G36" s="65"/>
      <c r="H36" s="64">
        <f t="shared" si="35"/>
        <v>0</v>
      </c>
      <c r="I36" s="28"/>
      <c r="J36" s="28"/>
      <c r="K36" s="65"/>
      <c r="L36" s="64">
        <f t="shared" si="36"/>
        <v>0</v>
      </c>
      <c r="M36" s="28"/>
      <c r="N36" s="28"/>
      <c r="O36" s="65"/>
      <c r="P36" s="64">
        <f t="shared" si="37"/>
        <v>0</v>
      </c>
      <c r="Q36" s="28"/>
      <c r="R36" s="28"/>
      <c r="S36" s="65"/>
      <c r="T36" s="64">
        <f t="shared" si="38"/>
        <v>0</v>
      </c>
      <c r="U36" s="28"/>
      <c r="V36" s="28"/>
      <c r="W36" s="65"/>
      <c r="X36" s="64">
        <f t="shared" si="39"/>
        <v>0</v>
      </c>
      <c r="Y36" s="28"/>
      <c r="Z36" s="28"/>
      <c r="AA36" s="65"/>
      <c r="AB36" s="64">
        <f t="shared" si="40"/>
        <v>0</v>
      </c>
      <c r="AC36" s="28"/>
      <c r="AD36" s="28"/>
      <c r="AE36" s="65"/>
      <c r="AF36" s="64">
        <f t="shared" si="41"/>
        <v>0</v>
      </c>
      <c r="AG36" s="28"/>
      <c r="AH36" s="28"/>
      <c r="AI36" s="65"/>
      <c r="AJ36" s="64">
        <f t="shared" si="42"/>
        <v>0</v>
      </c>
      <c r="AK36" s="28"/>
      <c r="AL36" s="28"/>
      <c r="AM36" s="65"/>
      <c r="AN36" s="64">
        <f t="shared" si="43"/>
        <v>0</v>
      </c>
      <c r="AO36" s="28"/>
      <c r="AP36" s="28"/>
      <c r="AQ36" s="65"/>
      <c r="AR36" s="64">
        <f t="shared" si="44"/>
        <v>0</v>
      </c>
      <c r="AS36" s="28"/>
      <c r="AT36" s="28"/>
      <c r="AU36" s="65"/>
      <c r="AV36" s="64">
        <f t="shared" si="45"/>
        <v>0</v>
      </c>
      <c r="AW36" s="28"/>
      <c r="AX36" s="28"/>
      <c r="AY36" s="65"/>
      <c r="AZ36" s="64">
        <f t="shared" si="46"/>
        <v>0</v>
      </c>
      <c r="BA36" s="28"/>
      <c r="BB36" s="28"/>
      <c r="BC36" s="65"/>
      <c r="BD36" s="64">
        <f t="shared" si="47"/>
        <v>0</v>
      </c>
      <c r="BE36" s="28"/>
      <c r="BF36" s="28"/>
      <c r="BG36" s="65"/>
      <c r="BH36" s="64">
        <f t="shared" si="48"/>
        <v>0</v>
      </c>
      <c r="BI36" s="28"/>
      <c r="BJ36" s="28"/>
      <c r="BK36" s="65"/>
      <c r="BL36" s="64">
        <f t="shared" si="49"/>
        <v>0</v>
      </c>
      <c r="BM36" s="28"/>
      <c r="BN36" s="28"/>
      <c r="BO36" s="65"/>
      <c r="BP36" s="64">
        <f t="shared" si="50"/>
        <v>0</v>
      </c>
      <c r="BQ36" s="28"/>
      <c r="BR36" s="28"/>
      <c r="BS36" s="65"/>
      <c r="BT36" s="64">
        <f t="shared" si="51"/>
        <v>0</v>
      </c>
      <c r="BU36" s="28"/>
      <c r="BV36" s="28"/>
      <c r="BW36" s="65"/>
      <c r="BX36" s="64">
        <f t="shared" si="52"/>
        <v>0</v>
      </c>
      <c r="BY36" s="28"/>
      <c r="BZ36" s="28"/>
      <c r="CA36" s="65"/>
      <c r="CB36" s="64">
        <f t="shared" si="53"/>
        <v>0</v>
      </c>
      <c r="CC36" s="28"/>
      <c r="CD36" s="28"/>
      <c r="CE36" s="65"/>
      <c r="CF36" s="64">
        <f t="shared" si="54"/>
        <v>0</v>
      </c>
      <c r="CG36" s="28"/>
      <c r="CH36" s="28"/>
      <c r="CI36" s="65"/>
      <c r="CJ36" s="64">
        <f t="shared" si="55"/>
        <v>0</v>
      </c>
      <c r="CK36" s="28"/>
      <c r="CL36" s="28"/>
      <c r="CM36" s="65"/>
      <c r="CN36" s="64">
        <f t="shared" si="56"/>
        <v>0</v>
      </c>
      <c r="CO36" s="28"/>
      <c r="CP36" s="28"/>
      <c r="CQ36" s="65"/>
      <c r="CR36" s="64">
        <f t="shared" si="57"/>
        <v>0</v>
      </c>
      <c r="CS36" s="28"/>
      <c r="CT36" s="28"/>
      <c r="CU36" s="65"/>
      <c r="CV36" s="64">
        <f t="shared" si="58"/>
        <v>0</v>
      </c>
      <c r="CW36" s="28"/>
      <c r="CX36" s="28"/>
      <c r="CY36" s="65"/>
      <c r="CZ36" s="64">
        <f t="shared" si="59"/>
        <v>0</v>
      </c>
      <c r="DA36" s="28"/>
      <c r="DB36" s="28"/>
      <c r="DC36" s="65"/>
      <c r="DD36" s="64">
        <f t="shared" si="60"/>
        <v>0</v>
      </c>
      <c r="DE36" s="28"/>
      <c r="DF36" s="28"/>
      <c r="DG36" s="65"/>
      <c r="DH36" s="64">
        <f t="shared" si="61"/>
        <v>0</v>
      </c>
      <c r="DI36" s="28"/>
      <c r="DJ36" s="28"/>
      <c r="DK36" s="65"/>
      <c r="DL36" s="64">
        <f t="shared" si="62"/>
        <v>0</v>
      </c>
      <c r="DM36" s="28"/>
      <c r="DN36" s="28"/>
      <c r="DO36" s="65"/>
      <c r="DP36" s="64">
        <f t="shared" si="63"/>
        <v>0</v>
      </c>
      <c r="DQ36" s="28"/>
      <c r="DR36" s="28"/>
      <c r="DS36" s="65"/>
      <c r="DT36" s="64">
        <f t="shared" si="64"/>
        <v>0</v>
      </c>
      <c r="DU36" s="28"/>
      <c r="DV36" s="28"/>
      <c r="DW36" s="65"/>
      <c r="DX36" s="30">
        <f t="shared" si="65"/>
        <v>0</v>
      </c>
      <c r="DY36" s="31">
        <f t="shared" si="66"/>
        <v>0</v>
      </c>
      <c r="DZ36" s="31">
        <f t="shared" si="67"/>
        <v>0</v>
      </c>
      <c r="EA36" s="4">
        <f t="shared" si="68"/>
        <v>0</v>
      </c>
      <c r="EB36" s="9">
        <f>D36*'MASTER SHEET'!D36</f>
        <v>0</v>
      </c>
      <c r="EC36" s="9">
        <f>H36*'MASTER SHEET'!D36</f>
        <v>0</v>
      </c>
      <c r="ED36" s="9">
        <f>L36*'MASTER SHEET'!D36</f>
        <v>0</v>
      </c>
      <c r="EE36" s="9">
        <f>P36*'MASTER SHEET'!D36</f>
        <v>0</v>
      </c>
      <c r="EF36" s="9">
        <f>T36*'MASTER SHEET'!D36</f>
        <v>0</v>
      </c>
      <c r="EG36" s="9">
        <f>X36*'MASTER SHEET'!D36</f>
        <v>0</v>
      </c>
      <c r="EH36" s="9">
        <f>AB36*'MASTER SHEET'!D36</f>
        <v>0</v>
      </c>
      <c r="EI36" s="9">
        <f>AF36*'MASTER SHEET'!D36</f>
        <v>0</v>
      </c>
      <c r="EJ36" s="9">
        <f>AJ36*'MASTER SHEET'!D36</f>
        <v>0</v>
      </c>
      <c r="EK36" s="9">
        <f>AN36*'MASTER SHEET'!D36</f>
        <v>0</v>
      </c>
      <c r="EL36" s="9">
        <f>AR36*'MASTER SHEET'!D36</f>
        <v>0</v>
      </c>
      <c r="EM36" s="9">
        <f>AV36*'MASTER SHEET'!D36</f>
        <v>0</v>
      </c>
      <c r="EN36" s="9">
        <f>AZ36*'MASTER SHEET'!D36</f>
        <v>0</v>
      </c>
      <c r="EO36" s="9">
        <f>BD36*'MASTER SHEET'!D36</f>
        <v>0</v>
      </c>
      <c r="EP36" s="9">
        <f>BH36*'MASTER SHEET'!D36</f>
        <v>0</v>
      </c>
      <c r="EQ36" s="9">
        <f>BL36*'MASTER SHEET'!D36</f>
        <v>0</v>
      </c>
      <c r="ER36" s="9">
        <f>BP36*'MASTER SHEET'!D36</f>
        <v>0</v>
      </c>
      <c r="ES36" s="9">
        <f>BT36*'MASTER SHEET'!D36</f>
        <v>0</v>
      </c>
      <c r="ET36" s="9">
        <f>BX36*'MASTER SHEET'!D36</f>
        <v>0</v>
      </c>
      <c r="EU36" s="9">
        <f>CB36*'MASTER SHEET'!D36</f>
        <v>0</v>
      </c>
      <c r="EV36" s="9">
        <f>CF36*'MASTER SHEET'!D36</f>
        <v>0</v>
      </c>
      <c r="EW36" s="9">
        <f>CJ36*'MASTER SHEET'!D36</f>
        <v>0</v>
      </c>
      <c r="EX36" s="9">
        <f>CN36*'MASTER SHEET'!D36</f>
        <v>0</v>
      </c>
      <c r="EY36" s="9">
        <f>CV36*'MASTER SHEET'!D36</f>
        <v>0</v>
      </c>
      <c r="EZ36" s="9">
        <f>CV36*'MASTER SHEET'!D36</f>
        <v>0</v>
      </c>
      <c r="FA36" s="9">
        <f>CZ36*'MASTER SHEET'!D36</f>
        <v>0</v>
      </c>
      <c r="FB36" s="9">
        <f>DD36*'MASTER SHEET'!D36</f>
        <v>0</v>
      </c>
      <c r="FC36" s="9">
        <f>DH36*'MASTER SHEET'!D36</f>
        <v>0</v>
      </c>
      <c r="FD36" s="9">
        <f>DL36*'MASTER SHEET'!D36</f>
        <v>0</v>
      </c>
      <c r="FE36" s="9">
        <f>DP36*'MASTER SHEET'!D36</f>
        <v>0</v>
      </c>
      <c r="FF36" s="9">
        <f>DT36*'MASTER SHEET'!D36</f>
        <v>0</v>
      </c>
      <c r="FG36" s="9">
        <f>DX36*'MASTER SHEET'!D36</f>
        <v>0</v>
      </c>
    </row>
    <row r="37" spans="1:163" ht="20.25" x14ac:dyDescent="0.25">
      <c r="A37" s="43">
        <f>'MASTER SHEET'!A37</f>
        <v>35</v>
      </c>
      <c r="B37" s="26" t="str">
        <f>'MASTER SHEET'!B37</f>
        <v>VALVE COVER</v>
      </c>
      <c r="C37" s="82">
        <f>'MASTER SHEET'!C37</f>
        <v>5041697</v>
      </c>
      <c r="D37" s="64"/>
      <c r="E37" s="28"/>
      <c r="F37" s="28"/>
      <c r="G37" s="65"/>
      <c r="H37" s="64">
        <f t="shared" si="35"/>
        <v>0</v>
      </c>
      <c r="I37" s="28"/>
      <c r="J37" s="28"/>
      <c r="K37" s="65"/>
      <c r="L37" s="64">
        <f t="shared" si="36"/>
        <v>0</v>
      </c>
      <c r="M37" s="28"/>
      <c r="N37" s="28"/>
      <c r="O37" s="65"/>
      <c r="P37" s="64">
        <f t="shared" si="37"/>
        <v>0</v>
      </c>
      <c r="Q37" s="28"/>
      <c r="R37" s="28"/>
      <c r="S37" s="65"/>
      <c r="T37" s="64">
        <f t="shared" si="38"/>
        <v>0</v>
      </c>
      <c r="U37" s="28"/>
      <c r="V37" s="28"/>
      <c r="W37" s="65"/>
      <c r="X37" s="64">
        <f t="shared" si="39"/>
        <v>0</v>
      </c>
      <c r="Y37" s="28"/>
      <c r="Z37" s="28"/>
      <c r="AA37" s="65"/>
      <c r="AB37" s="64">
        <f t="shared" si="40"/>
        <v>0</v>
      </c>
      <c r="AC37" s="28"/>
      <c r="AD37" s="28"/>
      <c r="AE37" s="65"/>
      <c r="AF37" s="64">
        <f t="shared" si="41"/>
        <v>0</v>
      </c>
      <c r="AG37" s="28"/>
      <c r="AH37" s="28"/>
      <c r="AI37" s="65"/>
      <c r="AJ37" s="64">
        <f t="shared" si="42"/>
        <v>0</v>
      </c>
      <c r="AK37" s="28"/>
      <c r="AL37" s="28"/>
      <c r="AM37" s="65"/>
      <c r="AN37" s="64">
        <f t="shared" si="43"/>
        <v>0</v>
      </c>
      <c r="AO37" s="28"/>
      <c r="AP37" s="28"/>
      <c r="AQ37" s="65"/>
      <c r="AR37" s="64">
        <f t="shared" si="44"/>
        <v>0</v>
      </c>
      <c r="AS37" s="28"/>
      <c r="AT37" s="28"/>
      <c r="AU37" s="65"/>
      <c r="AV37" s="64">
        <f t="shared" si="45"/>
        <v>0</v>
      </c>
      <c r="AW37" s="28"/>
      <c r="AX37" s="28"/>
      <c r="AY37" s="65"/>
      <c r="AZ37" s="64">
        <f t="shared" si="46"/>
        <v>0</v>
      </c>
      <c r="BA37" s="28"/>
      <c r="BB37" s="28"/>
      <c r="BC37" s="65"/>
      <c r="BD37" s="64">
        <f t="shared" si="47"/>
        <v>0</v>
      </c>
      <c r="BE37" s="28"/>
      <c r="BF37" s="28"/>
      <c r="BG37" s="65"/>
      <c r="BH37" s="64">
        <f t="shared" si="48"/>
        <v>0</v>
      </c>
      <c r="BI37" s="28"/>
      <c r="BJ37" s="28"/>
      <c r="BK37" s="65"/>
      <c r="BL37" s="64">
        <f t="shared" si="49"/>
        <v>0</v>
      </c>
      <c r="BM37" s="28"/>
      <c r="BN37" s="28"/>
      <c r="BO37" s="65"/>
      <c r="BP37" s="64">
        <f t="shared" si="50"/>
        <v>0</v>
      </c>
      <c r="BQ37" s="28"/>
      <c r="BR37" s="28"/>
      <c r="BS37" s="65"/>
      <c r="BT37" s="64">
        <f t="shared" si="51"/>
        <v>0</v>
      </c>
      <c r="BU37" s="28"/>
      <c r="BV37" s="28"/>
      <c r="BW37" s="65"/>
      <c r="BX37" s="64">
        <f t="shared" si="52"/>
        <v>0</v>
      </c>
      <c r="BY37" s="28"/>
      <c r="BZ37" s="28"/>
      <c r="CA37" s="65"/>
      <c r="CB37" s="64">
        <f t="shared" si="53"/>
        <v>0</v>
      </c>
      <c r="CC37" s="28"/>
      <c r="CD37" s="28"/>
      <c r="CE37" s="65"/>
      <c r="CF37" s="64">
        <f t="shared" si="54"/>
        <v>0</v>
      </c>
      <c r="CG37" s="28"/>
      <c r="CH37" s="28"/>
      <c r="CI37" s="65"/>
      <c r="CJ37" s="64">
        <f t="shared" si="55"/>
        <v>0</v>
      </c>
      <c r="CK37" s="28"/>
      <c r="CL37" s="28"/>
      <c r="CM37" s="65"/>
      <c r="CN37" s="64">
        <f t="shared" si="56"/>
        <v>0</v>
      </c>
      <c r="CO37" s="28"/>
      <c r="CP37" s="28"/>
      <c r="CQ37" s="65"/>
      <c r="CR37" s="64">
        <f t="shared" si="57"/>
        <v>0</v>
      </c>
      <c r="CS37" s="28"/>
      <c r="CT37" s="28"/>
      <c r="CU37" s="65"/>
      <c r="CV37" s="64">
        <f t="shared" si="58"/>
        <v>0</v>
      </c>
      <c r="CW37" s="28"/>
      <c r="CX37" s="28"/>
      <c r="CY37" s="65"/>
      <c r="CZ37" s="64">
        <f t="shared" si="59"/>
        <v>0</v>
      </c>
      <c r="DA37" s="28"/>
      <c r="DB37" s="28"/>
      <c r="DC37" s="65"/>
      <c r="DD37" s="64">
        <f t="shared" si="60"/>
        <v>0</v>
      </c>
      <c r="DE37" s="28"/>
      <c r="DF37" s="28"/>
      <c r="DG37" s="65"/>
      <c r="DH37" s="64">
        <f t="shared" si="61"/>
        <v>0</v>
      </c>
      <c r="DI37" s="28"/>
      <c r="DJ37" s="28"/>
      <c r="DK37" s="65"/>
      <c r="DL37" s="64">
        <f t="shared" si="62"/>
        <v>0</v>
      </c>
      <c r="DM37" s="28"/>
      <c r="DN37" s="28"/>
      <c r="DO37" s="65"/>
      <c r="DP37" s="64">
        <f t="shared" si="63"/>
        <v>0</v>
      </c>
      <c r="DQ37" s="28"/>
      <c r="DR37" s="28"/>
      <c r="DS37" s="65"/>
      <c r="DT37" s="64">
        <f t="shared" si="64"/>
        <v>0</v>
      </c>
      <c r="DU37" s="28"/>
      <c r="DV37" s="28"/>
      <c r="DW37" s="65"/>
      <c r="DX37" s="30">
        <f t="shared" si="65"/>
        <v>0</v>
      </c>
      <c r="DY37" s="31">
        <f t="shared" si="66"/>
        <v>0</v>
      </c>
      <c r="DZ37" s="31">
        <f t="shared" si="67"/>
        <v>0</v>
      </c>
      <c r="EA37" s="4">
        <f t="shared" si="68"/>
        <v>0</v>
      </c>
      <c r="EB37" s="9">
        <f>D37*'MASTER SHEET'!D37</f>
        <v>0</v>
      </c>
      <c r="EC37" s="9">
        <f>H37*'MASTER SHEET'!D37</f>
        <v>0</v>
      </c>
      <c r="ED37" s="9">
        <f>L37*'MASTER SHEET'!D37</f>
        <v>0</v>
      </c>
      <c r="EE37" s="9">
        <f>P37*'MASTER SHEET'!D37</f>
        <v>0</v>
      </c>
      <c r="EF37" s="9">
        <f>T37*'MASTER SHEET'!D37</f>
        <v>0</v>
      </c>
      <c r="EG37" s="9">
        <f>X37*'MASTER SHEET'!D37</f>
        <v>0</v>
      </c>
      <c r="EH37" s="9">
        <f>AB37*'MASTER SHEET'!D37</f>
        <v>0</v>
      </c>
      <c r="EI37" s="9">
        <f>AF37*'MASTER SHEET'!D37</f>
        <v>0</v>
      </c>
      <c r="EJ37" s="9">
        <f>AJ37*'MASTER SHEET'!D37</f>
        <v>0</v>
      </c>
      <c r="EK37" s="9">
        <f>AN37*'MASTER SHEET'!D37</f>
        <v>0</v>
      </c>
      <c r="EL37" s="9">
        <f>AR37*'MASTER SHEET'!D37</f>
        <v>0</v>
      </c>
      <c r="EM37" s="9">
        <f>AV37*'MASTER SHEET'!D37</f>
        <v>0</v>
      </c>
      <c r="EN37" s="9">
        <f>AZ37*'MASTER SHEET'!D37</f>
        <v>0</v>
      </c>
      <c r="EO37" s="9">
        <f>BD37*'MASTER SHEET'!D37</f>
        <v>0</v>
      </c>
      <c r="EP37" s="9">
        <f>BH37*'MASTER SHEET'!D37</f>
        <v>0</v>
      </c>
      <c r="EQ37" s="9">
        <f>BL37*'MASTER SHEET'!D37</f>
        <v>0</v>
      </c>
      <c r="ER37" s="9">
        <f>BP37*'MASTER SHEET'!D37</f>
        <v>0</v>
      </c>
      <c r="ES37" s="9">
        <f>BT37*'MASTER SHEET'!D37</f>
        <v>0</v>
      </c>
      <c r="ET37" s="9">
        <f>BX37*'MASTER SHEET'!D37</f>
        <v>0</v>
      </c>
      <c r="EU37" s="9">
        <f>CB37*'MASTER SHEET'!D37</f>
        <v>0</v>
      </c>
      <c r="EV37" s="9">
        <f>CF37*'MASTER SHEET'!D37</f>
        <v>0</v>
      </c>
      <c r="EW37" s="9">
        <f>CJ37*'MASTER SHEET'!D37</f>
        <v>0</v>
      </c>
      <c r="EX37" s="9">
        <f>CN37*'MASTER SHEET'!D37</f>
        <v>0</v>
      </c>
      <c r="EY37" s="9">
        <f>CV37*'MASTER SHEET'!D37</f>
        <v>0</v>
      </c>
      <c r="EZ37" s="9">
        <f>CV37*'MASTER SHEET'!D37</f>
        <v>0</v>
      </c>
      <c r="FA37" s="9">
        <f>CZ37*'MASTER SHEET'!D37</f>
        <v>0</v>
      </c>
      <c r="FB37" s="9">
        <f>DD37*'MASTER SHEET'!D37</f>
        <v>0</v>
      </c>
      <c r="FC37" s="9">
        <f>DH37*'MASTER SHEET'!D37</f>
        <v>0</v>
      </c>
      <c r="FD37" s="9">
        <f>DL37*'MASTER SHEET'!D37</f>
        <v>0</v>
      </c>
      <c r="FE37" s="9">
        <f>DP37*'MASTER SHEET'!D37</f>
        <v>0</v>
      </c>
      <c r="FF37" s="9">
        <f>DT37*'MASTER SHEET'!D37</f>
        <v>0</v>
      </c>
      <c r="FG37" s="9">
        <f>DX37*'MASTER SHEET'!D37</f>
        <v>0</v>
      </c>
    </row>
    <row r="38" spans="1:163" ht="20.25" x14ac:dyDescent="0.25">
      <c r="A38" s="43">
        <f>'MASTER SHEET'!A38</f>
        <v>36</v>
      </c>
      <c r="B38" s="26" t="str">
        <f>'MASTER SHEET'!B38</f>
        <v xml:space="preserve">BASE. HOUSING </v>
      </c>
      <c r="C38" s="82">
        <f>'MASTER SHEET'!C38</f>
        <v>5027236</v>
      </c>
      <c r="D38" s="64"/>
      <c r="E38" s="28"/>
      <c r="F38" s="28"/>
      <c r="G38" s="65"/>
      <c r="H38" s="64">
        <f t="shared" si="35"/>
        <v>0</v>
      </c>
      <c r="I38" s="28"/>
      <c r="J38" s="28"/>
      <c r="K38" s="65"/>
      <c r="L38" s="64">
        <f t="shared" si="36"/>
        <v>0</v>
      </c>
      <c r="M38" s="28"/>
      <c r="N38" s="28"/>
      <c r="O38" s="65"/>
      <c r="P38" s="64">
        <f t="shared" si="37"/>
        <v>0</v>
      </c>
      <c r="Q38" s="28"/>
      <c r="R38" s="28"/>
      <c r="S38" s="65"/>
      <c r="T38" s="64">
        <f t="shared" si="38"/>
        <v>0</v>
      </c>
      <c r="U38" s="28"/>
      <c r="V38" s="28"/>
      <c r="W38" s="65"/>
      <c r="X38" s="64">
        <f t="shared" si="39"/>
        <v>0</v>
      </c>
      <c r="Y38" s="28"/>
      <c r="Z38" s="28"/>
      <c r="AA38" s="65"/>
      <c r="AB38" s="64">
        <f t="shared" si="40"/>
        <v>0</v>
      </c>
      <c r="AC38" s="28"/>
      <c r="AD38" s="28"/>
      <c r="AE38" s="65"/>
      <c r="AF38" s="64">
        <f t="shared" si="41"/>
        <v>0</v>
      </c>
      <c r="AG38" s="28"/>
      <c r="AH38" s="28"/>
      <c r="AI38" s="65"/>
      <c r="AJ38" s="64">
        <f t="shared" si="42"/>
        <v>0</v>
      </c>
      <c r="AK38" s="28"/>
      <c r="AL38" s="28"/>
      <c r="AM38" s="65"/>
      <c r="AN38" s="64">
        <f t="shared" si="43"/>
        <v>0</v>
      </c>
      <c r="AO38" s="28"/>
      <c r="AP38" s="28"/>
      <c r="AQ38" s="65"/>
      <c r="AR38" s="64">
        <f t="shared" si="44"/>
        <v>0</v>
      </c>
      <c r="AS38" s="28"/>
      <c r="AT38" s="28"/>
      <c r="AU38" s="65"/>
      <c r="AV38" s="64">
        <f t="shared" si="45"/>
        <v>0</v>
      </c>
      <c r="AW38" s="28"/>
      <c r="AX38" s="28"/>
      <c r="AY38" s="65"/>
      <c r="AZ38" s="64">
        <f t="shared" si="46"/>
        <v>0</v>
      </c>
      <c r="BA38" s="28"/>
      <c r="BB38" s="28"/>
      <c r="BC38" s="65"/>
      <c r="BD38" s="64">
        <f t="shared" si="47"/>
        <v>0</v>
      </c>
      <c r="BE38" s="28"/>
      <c r="BF38" s="28"/>
      <c r="BG38" s="65"/>
      <c r="BH38" s="64">
        <f t="shared" si="48"/>
        <v>0</v>
      </c>
      <c r="BI38" s="28"/>
      <c r="BJ38" s="28"/>
      <c r="BK38" s="65"/>
      <c r="BL38" s="64">
        <f t="shared" si="49"/>
        <v>0</v>
      </c>
      <c r="BM38" s="28"/>
      <c r="BN38" s="28"/>
      <c r="BO38" s="65"/>
      <c r="BP38" s="64">
        <f t="shared" si="50"/>
        <v>0</v>
      </c>
      <c r="BQ38" s="28"/>
      <c r="BR38" s="28"/>
      <c r="BS38" s="65"/>
      <c r="BT38" s="64">
        <f t="shared" si="51"/>
        <v>0</v>
      </c>
      <c r="BU38" s="28"/>
      <c r="BV38" s="28"/>
      <c r="BW38" s="65"/>
      <c r="BX38" s="64">
        <f t="shared" si="52"/>
        <v>0</v>
      </c>
      <c r="BY38" s="28"/>
      <c r="BZ38" s="28"/>
      <c r="CA38" s="65"/>
      <c r="CB38" s="64">
        <f t="shared" si="53"/>
        <v>0</v>
      </c>
      <c r="CC38" s="28"/>
      <c r="CD38" s="28"/>
      <c r="CE38" s="65"/>
      <c r="CF38" s="64">
        <f t="shared" si="54"/>
        <v>0</v>
      </c>
      <c r="CG38" s="28"/>
      <c r="CH38" s="28"/>
      <c r="CI38" s="65"/>
      <c r="CJ38" s="64">
        <f t="shared" si="55"/>
        <v>0</v>
      </c>
      <c r="CK38" s="28"/>
      <c r="CL38" s="28"/>
      <c r="CM38" s="65"/>
      <c r="CN38" s="64">
        <f t="shared" si="56"/>
        <v>0</v>
      </c>
      <c r="CO38" s="28"/>
      <c r="CP38" s="28"/>
      <c r="CQ38" s="65"/>
      <c r="CR38" s="64">
        <f t="shared" si="57"/>
        <v>0</v>
      </c>
      <c r="CS38" s="28"/>
      <c r="CT38" s="28"/>
      <c r="CU38" s="65"/>
      <c r="CV38" s="64">
        <f t="shared" si="58"/>
        <v>0</v>
      </c>
      <c r="CW38" s="28"/>
      <c r="CX38" s="28"/>
      <c r="CY38" s="65"/>
      <c r="CZ38" s="64">
        <f t="shared" si="59"/>
        <v>0</v>
      </c>
      <c r="DA38" s="28"/>
      <c r="DB38" s="28"/>
      <c r="DC38" s="65"/>
      <c r="DD38" s="64">
        <f t="shared" si="60"/>
        <v>0</v>
      </c>
      <c r="DE38" s="28"/>
      <c r="DF38" s="28"/>
      <c r="DG38" s="65"/>
      <c r="DH38" s="64">
        <f t="shared" si="61"/>
        <v>0</v>
      </c>
      <c r="DI38" s="28"/>
      <c r="DJ38" s="28"/>
      <c r="DK38" s="65"/>
      <c r="DL38" s="64">
        <f t="shared" si="62"/>
        <v>0</v>
      </c>
      <c r="DM38" s="28"/>
      <c r="DN38" s="28"/>
      <c r="DO38" s="65"/>
      <c r="DP38" s="64">
        <f t="shared" si="63"/>
        <v>0</v>
      </c>
      <c r="DQ38" s="28"/>
      <c r="DR38" s="28"/>
      <c r="DS38" s="65"/>
      <c r="DT38" s="64">
        <f t="shared" si="64"/>
        <v>0</v>
      </c>
      <c r="DU38" s="28"/>
      <c r="DV38" s="28"/>
      <c r="DW38" s="65"/>
      <c r="DX38" s="30">
        <f t="shared" si="65"/>
        <v>0</v>
      </c>
      <c r="DY38" s="31">
        <f t="shared" si="66"/>
        <v>0</v>
      </c>
      <c r="DZ38" s="31">
        <f t="shared" si="67"/>
        <v>0</v>
      </c>
      <c r="EA38" s="4">
        <f t="shared" si="68"/>
        <v>0</v>
      </c>
      <c r="EB38" s="9">
        <f>D38*'MASTER SHEET'!D38</f>
        <v>0</v>
      </c>
      <c r="EC38" s="9">
        <f>H38*'MASTER SHEET'!D38</f>
        <v>0</v>
      </c>
      <c r="ED38" s="9">
        <f>L38*'MASTER SHEET'!D38</f>
        <v>0</v>
      </c>
      <c r="EE38" s="9">
        <f>P38*'MASTER SHEET'!D38</f>
        <v>0</v>
      </c>
      <c r="EF38" s="9">
        <f>T38*'MASTER SHEET'!D38</f>
        <v>0</v>
      </c>
      <c r="EG38" s="9">
        <f>X38*'MASTER SHEET'!D38</f>
        <v>0</v>
      </c>
      <c r="EH38" s="9">
        <f>AB38*'MASTER SHEET'!D38</f>
        <v>0</v>
      </c>
      <c r="EI38" s="9">
        <f>AF38*'MASTER SHEET'!D38</f>
        <v>0</v>
      </c>
      <c r="EJ38" s="9">
        <f>AJ38*'MASTER SHEET'!D38</f>
        <v>0</v>
      </c>
      <c r="EK38" s="9">
        <f>AN38*'MASTER SHEET'!D38</f>
        <v>0</v>
      </c>
      <c r="EL38" s="9">
        <f>AR38*'MASTER SHEET'!D38</f>
        <v>0</v>
      </c>
      <c r="EM38" s="9">
        <f>AV38*'MASTER SHEET'!D38</f>
        <v>0</v>
      </c>
      <c r="EN38" s="9">
        <f>AZ38*'MASTER SHEET'!D38</f>
        <v>0</v>
      </c>
      <c r="EO38" s="9">
        <f>BD38*'MASTER SHEET'!D38</f>
        <v>0</v>
      </c>
      <c r="EP38" s="9">
        <f>BH38*'MASTER SHEET'!D38</f>
        <v>0</v>
      </c>
      <c r="EQ38" s="9">
        <f>BL38*'MASTER SHEET'!D38</f>
        <v>0</v>
      </c>
      <c r="ER38" s="9">
        <f>BP38*'MASTER SHEET'!D38</f>
        <v>0</v>
      </c>
      <c r="ES38" s="9">
        <f>BT38*'MASTER SHEET'!D38</f>
        <v>0</v>
      </c>
      <c r="ET38" s="9">
        <f>BX38*'MASTER SHEET'!D38</f>
        <v>0</v>
      </c>
      <c r="EU38" s="9">
        <f>CB38*'MASTER SHEET'!D38</f>
        <v>0</v>
      </c>
      <c r="EV38" s="9">
        <f>CF38*'MASTER SHEET'!D38</f>
        <v>0</v>
      </c>
      <c r="EW38" s="9">
        <f>CJ38*'MASTER SHEET'!D38</f>
        <v>0</v>
      </c>
      <c r="EX38" s="9">
        <f>CN38*'MASTER SHEET'!D38</f>
        <v>0</v>
      </c>
      <c r="EY38" s="9">
        <f>CV38*'MASTER SHEET'!D38</f>
        <v>0</v>
      </c>
      <c r="EZ38" s="9">
        <f>CV38*'MASTER SHEET'!D38</f>
        <v>0</v>
      </c>
      <c r="FA38" s="9">
        <f>CZ38*'MASTER SHEET'!D38</f>
        <v>0</v>
      </c>
      <c r="FB38" s="9">
        <f>DD38*'MASTER SHEET'!D38</f>
        <v>0</v>
      </c>
      <c r="FC38" s="9">
        <f>DH38*'MASTER SHEET'!D38</f>
        <v>0</v>
      </c>
      <c r="FD38" s="9">
        <f>DL38*'MASTER SHEET'!D38</f>
        <v>0</v>
      </c>
      <c r="FE38" s="9">
        <f>DP38*'MASTER SHEET'!D38</f>
        <v>0</v>
      </c>
      <c r="FF38" s="9">
        <f>DT38*'MASTER SHEET'!D38</f>
        <v>0</v>
      </c>
      <c r="FG38" s="9">
        <f>DX38*'MASTER SHEET'!D38</f>
        <v>0</v>
      </c>
    </row>
    <row r="39" spans="1:163" ht="20.25" x14ac:dyDescent="0.25">
      <c r="A39" s="43">
        <f>'MASTER SHEET'!A39</f>
        <v>37</v>
      </c>
      <c r="B39" s="26" t="str">
        <f>'MASTER SHEET'!B39</f>
        <v>EICHER COVER PLATE</v>
      </c>
      <c r="C39" s="82">
        <f>'MASTER SHEET'!C39</f>
        <v>5027239</v>
      </c>
      <c r="D39" s="64"/>
      <c r="E39" s="28"/>
      <c r="F39" s="28"/>
      <c r="G39" s="65"/>
      <c r="H39" s="64">
        <f t="shared" si="35"/>
        <v>0</v>
      </c>
      <c r="I39" s="28"/>
      <c r="J39" s="28"/>
      <c r="K39" s="65"/>
      <c r="L39" s="64">
        <f t="shared" si="36"/>
        <v>0</v>
      </c>
      <c r="M39" s="28"/>
      <c r="N39" s="28"/>
      <c r="O39" s="65"/>
      <c r="P39" s="64">
        <f t="shared" si="37"/>
        <v>0</v>
      </c>
      <c r="Q39" s="28"/>
      <c r="R39" s="28"/>
      <c r="S39" s="65"/>
      <c r="T39" s="64">
        <f t="shared" si="38"/>
        <v>0</v>
      </c>
      <c r="U39" s="28"/>
      <c r="V39" s="28"/>
      <c r="W39" s="65"/>
      <c r="X39" s="64">
        <f t="shared" si="39"/>
        <v>0</v>
      </c>
      <c r="Y39" s="28"/>
      <c r="Z39" s="28"/>
      <c r="AA39" s="65"/>
      <c r="AB39" s="64">
        <f t="shared" si="40"/>
        <v>0</v>
      </c>
      <c r="AC39" s="28"/>
      <c r="AD39" s="28"/>
      <c r="AE39" s="65"/>
      <c r="AF39" s="64">
        <f t="shared" si="41"/>
        <v>0</v>
      </c>
      <c r="AG39" s="28"/>
      <c r="AH39" s="28"/>
      <c r="AI39" s="65"/>
      <c r="AJ39" s="64">
        <f t="shared" si="42"/>
        <v>0</v>
      </c>
      <c r="AK39" s="28"/>
      <c r="AL39" s="28"/>
      <c r="AM39" s="65"/>
      <c r="AN39" s="64">
        <f t="shared" si="43"/>
        <v>0</v>
      </c>
      <c r="AO39" s="28"/>
      <c r="AP39" s="28"/>
      <c r="AQ39" s="65"/>
      <c r="AR39" s="64">
        <f t="shared" si="44"/>
        <v>0</v>
      </c>
      <c r="AS39" s="28"/>
      <c r="AT39" s="28"/>
      <c r="AU39" s="65"/>
      <c r="AV39" s="64">
        <f t="shared" si="45"/>
        <v>0</v>
      </c>
      <c r="AW39" s="28"/>
      <c r="AX39" s="28"/>
      <c r="AY39" s="65"/>
      <c r="AZ39" s="64">
        <f t="shared" si="46"/>
        <v>0</v>
      </c>
      <c r="BA39" s="28"/>
      <c r="BB39" s="28"/>
      <c r="BC39" s="65"/>
      <c r="BD39" s="64">
        <f t="shared" si="47"/>
        <v>0</v>
      </c>
      <c r="BE39" s="28"/>
      <c r="BF39" s="28"/>
      <c r="BG39" s="65"/>
      <c r="BH39" s="64">
        <f t="shared" si="48"/>
        <v>0</v>
      </c>
      <c r="BI39" s="28"/>
      <c r="BJ39" s="28"/>
      <c r="BK39" s="65"/>
      <c r="BL39" s="64">
        <f t="shared" si="49"/>
        <v>0</v>
      </c>
      <c r="BM39" s="28"/>
      <c r="BN39" s="28"/>
      <c r="BO39" s="65"/>
      <c r="BP39" s="64">
        <f t="shared" si="50"/>
        <v>0</v>
      </c>
      <c r="BQ39" s="28"/>
      <c r="BR39" s="28"/>
      <c r="BS39" s="65"/>
      <c r="BT39" s="64">
        <f t="shared" si="51"/>
        <v>0</v>
      </c>
      <c r="BU39" s="28"/>
      <c r="BV39" s="28"/>
      <c r="BW39" s="65"/>
      <c r="BX39" s="64">
        <f t="shared" si="52"/>
        <v>0</v>
      </c>
      <c r="BY39" s="28"/>
      <c r="BZ39" s="28"/>
      <c r="CA39" s="65"/>
      <c r="CB39" s="64">
        <f t="shared" si="53"/>
        <v>0</v>
      </c>
      <c r="CC39" s="28"/>
      <c r="CD39" s="28"/>
      <c r="CE39" s="65"/>
      <c r="CF39" s="64">
        <f t="shared" si="54"/>
        <v>0</v>
      </c>
      <c r="CG39" s="28"/>
      <c r="CH39" s="28"/>
      <c r="CI39" s="65"/>
      <c r="CJ39" s="64">
        <f t="shared" si="55"/>
        <v>0</v>
      </c>
      <c r="CK39" s="28"/>
      <c r="CL39" s="28"/>
      <c r="CM39" s="65"/>
      <c r="CN39" s="64">
        <f t="shared" si="56"/>
        <v>0</v>
      </c>
      <c r="CO39" s="28"/>
      <c r="CP39" s="28"/>
      <c r="CQ39" s="65"/>
      <c r="CR39" s="64">
        <f t="shared" si="57"/>
        <v>0</v>
      </c>
      <c r="CS39" s="28"/>
      <c r="CT39" s="28"/>
      <c r="CU39" s="65"/>
      <c r="CV39" s="64">
        <f t="shared" si="58"/>
        <v>0</v>
      </c>
      <c r="CW39" s="28"/>
      <c r="CX39" s="28"/>
      <c r="CY39" s="65"/>
      <c r="CZ39" s="64">
        <f t="shared" si="59"/>
        <v>0</v>
      </c>
      <c r="DA39" s="28"/>
      <c r="DB39" s="28"/>
      <c r="DC39" s="65"/>
      <c r="DD39" s="64">
        <f t="shared" si="60"/>
        <v>0</v>
      </c>
      <c r="DE39" s="28"/>
      <c r="DF39" s="28"/>
      <c r="DG39" s="65"/>
      <c r="DH39" s="64">
        <f t="shared" si="61"/>
        <v>0</v>
      </c>
      <c r="DI39" s="28"/>
      <c r="DJ39" s="28"/>
      <c r="DK39" s="65"/>
      <c r="DL39" s="64">
        <f t="shared" si="62"/>
        <v>0</v>
      </c>
      <c r="DM39" s="28"/>
      <c r="DN39" s="28"/>
      <c r="DO39" s="65"/>
      <c r="DP39" s="64">
        <f t="shared" si="63"/>
        <v>0</v>
      </c>
      <c r="DQ39" s="28"/>
      <c r="DR39" s="28"/>
      <c r="DS39" s="65"/>
      <c r="DT39" s="64">
        <f t="shared" si="64"/>
        <v>0</v>
      </c>
      <c r="DU39" s="28"/>
      <c r="DV39" s="28"/>
      <c r="DW39" s="65"/>
      <c r="DX39" s="30">
        <f t="shared" si="65"/>
        <v>0</v>
      </c>
      <c r="DY39" s="31">
        <f t="shared" si="66"/>
        <v>0</v>
      </c>
      <c r="DZ39" s="31">
        <f t="shared" si="67"/>
        <v>0</v>
      </c>
      <c r="EA39" s="4">
        <f t="shared" si="68"/>
        <v>0</v>
      </c>
      <c r="EB39" s="9">
        <f>D39*'MASTER SHEET'!D39</f>
        <v>0</v>
      </c>
      <c r="EC39" s="9">
        <f>H39*'MASTER SHEET'!D39</f>
        <v>0</v>
      </c>
      <c r="ED39" s="9">
        <f>L39*'MASTER SHEET'!D39</f>
        <v>0</v>
      </c>
      <c r="EE39" s="9">
        <f>P39*'MASTER SHEET'!D39</f>
        <v>0</v>
      </c>
      <c r="EF39" s="9">
        <f>T39*'MASTER SHEET'!D39</f>
        <v>0</v>
      </c>
      <c r="EG39" s="9">
        <f>X39*'MASTER SHEET'!D39</f>
        <v>0</v>
      </c>
      <c r="EH39" s="9">
        <f>AB39*'MASTER SHEET'!D39</f>
        <v>0</v>
      </c>
      <c r="EI39" s="9">
        <f>AF39*'MASTER SHEET'!D39</f>
        <v>0</v>
      </c>
      <c r="EJ39" s="9">
        <f>AJ39*'MASTER SHEET'!D39</f>
        <v>0</v>
      </c>
      <c r="EK39" s="9">
        <f>AN39*'MASTER SHEET'!D39</f>
        <v>0</v>
      </c>
      <c r="EL39" s="9">
        <f>AR39*'MASTER SHEET'!D39</f>
        <v>0</v>
      </c>
      <c r="EM39" s="9">
        <f>AV39*'MASTER SHEET'!D39</f>
        <v>0</v>
      </c>
      <c r="EN39" s="9">
        <f>AZ39*'MASTER SHEET'!D39</f>
        <v>0</v>
      </c>
      <c r="EO39" s="9">
        <f>BD39*'MASTER SHEET'!D39</f>
        <v>0</v>
      </c>
      <c r="EP39" s="9">
        <f>BH39*'MASTER SHEET'!D39</f>
        <v>0</v>
      </c>
      <c r="EQ39" s="9">
        <f>BL39*'MASTER SHEET'!D39</f>
        <v>0</v>
      </c>
      <c r="ER39" s="9">
        <f>BP39*'MASTER SHEET'!D39</f>
        <v>0</v>
      </c>
      <c r="ES39" s="9">
        <f>BT39*'MASTER SHEET'!D39</f>
        <v>0</v>
      </c>
      <c r="ET39" s="9">
        <f>BX39*'MASTER SHEET'!D39</f>
        <v>0</v>
      </c>
      <c r="EU39" s="9">
        <f>CB39*'MASTER SHEET'!D39</f>
        <v>0</v>
      </c>
      <c r="EV39" s="9">
        <f>CF39*'MASTER SHEET'!D39</f>
        <v>0</v>
      </c>
      <c r="EW39" s="9">
        <f>CJ39*'MASTER SHEET'!D39</f>
        <v>0</v>
      </c>
      <c r="EX39" s="9">
        <f>CN39*'MASTER SHEET'!D39</f>
        <v>0</v>
      </c>
      <c r="EY39" s="9">
        <f>CV39*'MASTER SHEET'!D39</f>
        <v>0</v>
      </c>
      <c r="EZ39" s="9">
        <f>CV39*'MASTER SHEET'!D39</f>
        <v>0</v>
      </c>
      <c r="FA39" s="9">
        <f>CZ39*'MASTER SHEET'!D39</f>
        <v>0</v>
      </c>
      <c r="FB39" s="9">
        <f>DD39*'MASTER SHEET'!D39</f>
        <v>0</v>
      </c>
      <c r="FC39" s="9">
        <f>DH39*'MASTER SHEET'!D39</f>
        <v>0</v>
      </c>
      <c r="FD39" s="9">
        <f>DL39*'MASTER SHEET'!D39</f>
        <v>0</v>
      </c>
      <c r="FE39" s="9">
        <f>DP39*'MASTER SHEET'!D39</f>
        <v>0</v>
      </c>
      <c r="FF39" s="9">
        <f>DT39*'MASTER SHEET'!D39</f>
        <v>0</v>
      </c>
      <c r="FG39" s="9">
        <f>DX39*'MASTER SHEET'!D39</f>
        <v>0</v>
      </c>
    </row>
    <row r="40" spans="1:163" ht="20.25" x14ac:dyDescent="0.25">
      <c r="A40" s="43">
        <f>'MASTER SHEET'!A40</f>
        <v>38</v>
      </c>
      <c r="B40" s="26" t="str">
        <f>'MASTER SHEET'!B40</f>
        <v>PIPE ASY PLASTIC</v>
      </c>
      <c r="C40" s="82">
        <f>'MASTER SHEET'!C40</f>
        <v>5027831</v>
      </c>
      <c r="D40" s="64"/>
      <c r="E40" s="28"/>
      <c r="F40" s="28"/>
      <c r="G40" s="65"/>
      <c r="H40" s="64">
        <f t="shared" si="35"/>
        <v>0</v>
      </c>
      <c r="I40" s="28"/>
      <c r="J40" s="28"/>
      <c r="K40" s="65"/>
      <c r="L40" s="64">
        <f t="shared" si="36"/>
        <v>0</v>
      </c>
      <c r="M40" s="28"/>
      <c r="N40" s="28"/>
      <c r="O40" s="65"/>
      <c r="P40" s="64">
        <f t="shared" si="37"/>
        <v>0</v>
      </c>
      <c r="Q40" s="28"/>
      <c r="R40" s="28"/>
      <c r="S40" s="65"/>
      <c r="T40" s="64">
        <f t="shared" si="38"/>
        <v>0</v>
      </c>
      <c r="U40" s="28"/>
      <c r="V40" s="28"/>
      <c r="W40" s="65"/>
      <c r="X40" s="64">
        <f t="shared" si="39"/>
        <v>0</v>
      </c>
      <c r="Y40" s="28"/>
      <c r="Z40" s="28"/>
      <c r="AA40" s="65"/>
      <c r="AB40" s="64">
        <f t="shared" si="40"/>
        <v>0</v>
      </c>
      <c r="AC40" s="28"/>
      <c r="AD40" s="28"/>
      <c r="AE40" s="65"/>
      <c r="AF40" s="64">
        <f t="shared" si="41"/>
        <v>0</v>
      </c>
      <c r="AG40" s="28"/>
      <c r="AH40" s="28"/>
      <c r="AI40" s="65"/>
      <c r="AJ40" s="64">
        <f t="shared" si="42"/>
        <v>0</v>
      </c>
      <c r="AK40" s="28"/>
      <c r="AL40" s="28"/>
      <c r="AM40" s="65"/>
      <c r="AN40" s="64">
        <f t="shared" si="43"/>
        <v>0</v>
      </c>
      <c r="AO40" s="28"/>
      <c r="AP40" s="28"/>
      <c r="AQ40" s="65"/>
      <c r="AR40" s="64">
        <f t="shared" si="44"/>
        <v>0</v>
      </c>
      <c r="AS40" s="28"/>
      <c r="AT40" s="28"/>
      <c r="AU40" s="65"/>
      <c r="AV40" s="64">
        <f t="shared" si="45"/>
        <v>0</v>
      </c>
      <c r="AW40" s="28"/>
      <c r="AX40" s="28"/>
      <c r="AY40" s="65"/>
      <c r="AZ40" s="64">
        <f t="shared" si="46"/>
        <v>0</v>
      </c>
      <c r="BA40" s="28"/>
      <c r="BB40" s="28"/>
      <c r="BC40" s="65"/>
      <c r="BD40" s="64">
        <f t="shared" si="47"/>
        <v>0</v>
      </c>
      <c r="BE40" s="28"/>
      <c r="BF40" s="28"/>
      <c r="BG40" s="65"/>
      <c r="BH40" s="64">
        <f t="shared" si="48"/>
        <v>0</v>
      </c>
      <c r="BI40" s="28"/>
      <c r="BJ40" s="28"/>
      <c r="BK40" s="65"/>
      <c r="BL40" s="64">
        <f t="shared" si="49"/>
        <v>0</v>
      </c>
      <c r="BM40" s="28"/>
      <c r="BN40" s="28"/>
      <c r="BO40" s="65"/>
      <c r="BP40" s="64">
        <f t="shared" si="50"/>
        <v>0</v>
      </c>
      <c r="BQ40" s="28"/>
      <c r="BR40" s="28"/>
      <c r="BS40" s="65"/>
      <c r="BT40" s="64">
        <f t="shared" si="51"/>
        <v>0</v>
      </c>
      <c r="BU40" s="28"/>
      <c r="BV40" s="28"/>
      <c r="BW40" s="65"/>
      <c r="BX40" s="64">
        <f t="shared" si="52"/>
        <v>0</v>
      </c>
      <c r="BY40" s="28"/>
      <c r="BZ40" s="28"/>
      <c r="CA40" s="65"/>
      <c r="CB40" s="64">
        <f t="shared" si="53"/>
        <v>0</v>
      </c>
      <c r="CC40" s="28"/>
      <c r="CD40" s="28"/>
      <c r="CE40" s="65"/>
      <c r="CF40" s="64">
        <f t="shared" si="54"/>
        <v>0</v>
      </c>
      <c r="CG40" s="28"/>
      <c r="CH40" s="28"/>
      <c r="CI40" s="65"/>
      <c r="CJ40" s="64">
        <f t="shared" si="55"/>
        <v>0</v>
      </c>
      <c r="CK40" s="28"/>
      <c r="CL40" s="28"/>
      <c r="CM40" s="65"/>
      <c r="CN40" s="64">
        <f t="shared" si="56"/>
        <v>0</v>
      </c>
      <c r="CO40" s="28"/>
      <c r="CP40" s="28"/>
      <c r="CQ40" s="65"/>
      <c r="CR40" s="64">
        <f t="shared" si="57"/>
        <v>0</v>
      </c>
      <c r="CS40" s="28"/>
      <c r="CT40" s="28"/>
      <c r="CU40" s="65"/>
      <c r="CV40" s="64">
        <f t="shared" si="58"/>
        <v>0</v>
      </c>
      <c r="CW40" s="28"/>
      <c r="CX40" s="28"/>
      <c r="CY40" s="65"/>
      <c r="CZ40" s="64">
        <f t="shared" si="59"/>
        <v>0</v>
      </c>
      <c r="DA40" s="28"/>
      <c r="DB40" s="28"/>
      <c r="DC40" s="65"/>
      <c r="DD40" s="64">
        <f t="shared" si="60"/>
        <v>0</v>
      </c>
      <c r="DE40" s="28"/>
      <c r="DF40" s="28"/>
      <c r="DG40" s="65"/>
      <c r="DH40" s="64">
        <f t="shared" si="61"/>
        <v>0</v>
      </c>
      <c r="DI40" s="28"/>
      <c r="DJ40" s="28"/>
      <c r="DK40" s="65"/>
      <c r="DL40" s="64">
        <f t="shared" si="62"/>
        <v>0</v>
      </c>
      <c r="DM40" s="28"/>
      <c r="DN40" s="28"/>
      <c r="DO40" s="65"/>
      <c r="DP40" s="64">
        <f t="shared" si="63"/>
        <v>0</v>
      </c>
      <c r="DQ40" s="28"/>
      <c r="DR40" s="28"/>
      <c r="DS40" s="65"/>
      <c r="DT40" s="64">
        <f t="shared" si="64"/>
        <v>0</v>
      </c>
      <c r="DU40" s="28"/>
      <c r="DV40" s="28"/>
      <c r="DW40" s="65"/>
      <c r="DX40" s="30">
        <f t="shared" si="65"/>
        <v>0</v>
      </c>
      <c r="DY40" s="31">
        <f t="shared" si="66"/>
        <v>0</v>
      </c>
      <c r="DZ40" s="31">
        <f t="shared" si="67"/>
        <v>0</v>
      </c>
      <c r="EA40" s="4">
        <f t="shared" si="68"/>
        <v>0</v>
      </c>
      <c r="EB40" s="9">
        <f>D40*'MASTER SHEET'!D40</f>
        <v>0</v>
      </c>
      <c r="EC40" s="9">
        <f>H40*'MASTER SHEET'!D40</f>
        <v>0</v>
      </c>
      <c r="ED40" s="9">
        <f>L40*'MASTER SHEET'!D40</f>
        <v>0</v>
      </c>
      <c r="EE40" s="9">
        <f>P40*'MASTER SHEET'!D40</f>
        <v>0</v>
      </c>
      <c r="EF40" s="9">
        <f>T40*'MASTER SHEET'!D40</f>
        <v>0</v>
      </c>
      <c r="EG40" s="9">
        <f>X40*'MASTER SHEET'!D40</f>
        <v>0</v>
      </c>
      <c r="EH40" s="9">
        <f>AB40*'MASTER SHEET'!D40</f>
        <v>0</v>
      </c>
      <c r="EI40" s="9">
        <f>AF40*'MASTER SHEET'!D40</f>
        <v>0</v>
      </c>
      <c r="EJ40" s="9">
        <f>AJ40*'MASTER SHEET'!D40</f>
        <v>0</v>
      </c>
      <c r="EK40" s="9">
        <f>AN40*'MASTER SHEET'!D40</f>
        <v>0</v>
      </c>
      <c r="EL40" s="9">
        <f>AR40*'MASTER SHEET'!D40</f>
        <v>0</v>
      </c>
      <c r="EM40" s="9">
        <f>AV40*'MASTER SHEET'!D40</f>
        <v>0</v>
      </c>
      <c r="EN40" s="9">
        <f>AZ40*'MASTER SHEET'!D40</f>
        <v>0</v>
      </c>
      <c r="EO40" s="9">
        <f>BD40*'MASTER SHEET'!D40</f>
        <v>0</v>
      </c>
      <c r="EP40" s="9">
        <f>BH40*'MASTER SHEET'!D40</f>
        <v>0</v>
      </c>
      <c r="EQ40" s="9">
        <f>BL40*'MASTER SHEET'!D40</f>
        <v>0</v>
      </c>
      <c r="ER40" s="9">
        <f>BP40*'MASTER SHEET'!D40</f>
        <v>0</v>
      </c>
      <c r="ES40" s="9">
        <f>BT40*'MASTER SHEET'!D40</f>
        <v>0</v>
      </c>
      <c r="ET40" s="9">
        <f>BX40*'MASTER SHEET'!D40</f>
        <v>0</v>
      </c>
      <c r="EU40" s="9">
        <f>CB40*'MASTER SHEET'!D40</f>
        <v>0</v>
      </c>
      <c r="EV40" s="9">
        <f>CF40*'MASTER SHEET'!D40</f>
        <v>0</v>
      </c>
      <c r="EW40" s="9">
        <f>CJ40*'MASTER SHEET'!D40</f>
        <v>0</v>
      </c>
      <c r="EX40" s="9">
        <f>CN40*'MASTER SHEET'!D40</f>
        <v>0</v>
      </c>
      <c r="EY40" s="9">
        <f>CV40*'MASTER SHEET'!D40</f>
        <v>0</v>
      </c>
      <c r="EZ40" s="9">
        <f>CV40*'MASTER SHEET'!D40</f>
        <v>0</v>
      </c>
      <c r="FA40" s="9">
        <f>CZ40*'MASTER SHEET'!D40</f>
        <v>0</v>
      </c>
      <c r="FB40" s="9">
        <f>DD40*'MASTER SHEET'!D40</f>
        <v>0</v>
      </c>
      <c r="FC40" s="9">
        <f>DH40*'MASTER SHEET'!D40</f>
        <v>0</v>
      </c>
      <c r="FD40" s="9">
        <f>DL40*'MASTER SHEET'!D40</f>
        <v>0</v>
      </c>
      <c r="FE40" s="9">
        <f>DP40*'MASTER SHEET'!D40</f>
        <v>0</v>
      </c>
      <c r="FF40" s="9">
        <f>DT40*'MASTER SHEET'!D40</f>
        <v>0</v>
      </c>
      <c r="FG40" s="9">
        <f>DX40*'MASTER SHEET'!D40</f>
        <v>0</v>
      </c>
    </row>
    <row r="41" spans="1:163" ht="20.25" x14ac:dyDescent="0.25">
      <c r="A41" s="43">
        <f>'MASTER SHEET'!A41</f>
        <v>39</v>
      </c>
      <c r="B41" s="26" t="str">
        <f>'MASTER SHEET'!B41</f>
        <v>PIPE ASY PLASTIC</v>
      </c>
      <c r="C41" s="82">
        <f>'MASTER SHEET'!C41</f>
        <v>5027832</v>
      </c>
      <c r="D41" s="64"/>
      <c r="E41" s="28"/>
      <c r="F41" s="28"/>
      <c r="G41" s="65"/>
      <c r="H41" s="64">
        <f t="shared" si="35"/>
        <v>0</v>
      </c>
      <c r="I41" s="28"/>
      <c r="J41" s="28"/>
      <c r="K41" s="65"/>
      <c r="L41" s="64">
        <f t="shared" si="36"/>
        <v>0</v>
      </c>
      <c r="M41" s="28"/>
      <c r="N41" s="28"/>
      <c r="O41" s="65"/>
      <c r="P41" s="64">
        <f t="shared" si="37"/>
        <v>0</v>
      </c>
      <c r="Q41" s="28"/>
      <c r="R41" s="28"/>
      <c r="S41" s="65"/>
      <c r="T41" s="64">
        <f t="shared" si="38"/>
        <v>0</v>
      </c>
      <c r="U41" s="28"/>
      <c r="V41" s="28"/>
      <c r="W41" s="65"/>
      <c r="X41" s="64">
        <f t="shared" si="39"/>
        <v>0</v>
      </c>
      <c r="Y41" s="28"/>
      <c r="Z41" s="28"/>
      <c r="AA41" s="65"/>
      <c r="AB41" s="64">
        <f t="shared" si="40"/>
        <v>0</v>
      </c>
      <c r="AC41" s="28"/>
      <c r="AD41" s="28"/>
      <c r="AE41" s="65"/>
      <c r="AF41" s="64">
        <f t="shared" si="41"/>
        <v>0</v>
      </c>
      <c r="AG41" s="28"/>
      <c r="AH41" s="28"/>
      <c r="AI41" s="65"/>
      <c r="AJ41" s="64">
        <f t="shared" si="42"/>
        <v>0</v>
      </c>
      <c r="AK41" s="28"/>
      <c r="AL41" s="28"/>
      <c r="AM41" s="65"/>
      <c r="AN41" s="64">
        <f t="shared" si="43"/>
        <v>0</v>
      </c>
      <c r="AO41" s="28"/>
      <c r="AP41" s="28"/>
      <c r="AQ41" s="65"/>
      <c r="AR41" s="64">
        <f t="shared" si="44"/>
        <v>0</v>
      </c>
      <c r="AS41" s="28"/>
      <c r="AT41" s="28"/>
      <c r="AU41" s="65"/>
      <c r="AV41" s="64">
        <f t="shared" si="45"/>
        <v>0</v>
      </c>
      <c r="AW41" s="28"/>
      <c r="AX41" s="28"/>
      <c r="AY41" s="65"/>
      <c r="AZ41" s="64">
        <f t="shared" si="46"/>
        <v>0</v>
      </c>
      <c r="BA41" s="28"/>
      <c r="BB41" s="28"/>
      <c r="BC41" s="65"/>
      <c r="BD41" s="64">
        <f t="shared" si="47"/>
        <v>0</v>
      </c>
      <c r="BE41" s="28"/>
      <c r="BF41" s="28"/>
      <c r="BG41" s="65"/>
      <c r="BH41" s="64">
        <f t="shared" si="48"/>
        <v>0</v>
      </c>
      <c r="BI41" s="28"/>
      <c r="BJ41" s="28"/>
      <c r="BK41" s="65"/>
      <c r="BL41" s="64">
        <f t="shared" si="49"/>
        <v>0</v>
      </c>
      <c r="BM41" s="28"/>
      <c r="BN41" s="28"/>
      <c r="BO41" s="65"/>
      <c r="BP41" s="64">
        <f t="shared" si="50"/>
        <v>0</v>
      </c>
      <c r="BQ41" s="28"/>
      <c r="BR41" s="28"/>
      <c r="BS41" s="65"/>
      <c r="BT41" s="64">
        <f t="shared" si="51"/>
        <v>0</v>
      </c>
      <c r="BU41" s="28"/>
      <c r="BV41" s="28"/>
      <c r="BW41" s="65"/>
      <c r="BX41" s="64">
        <f t="shared" si="52"/>
        <v>0</v>
      </c>
      <c r="BY41" s="28"/>
      <c r="BZ41" s="28"/>
      <c r="CA41" s="65"/>
      <c r="CB41" s="64">
        <f t="shared" si="53"/>
        <v>0</v>
      </c>
      <c r="CC41" s="28"/>
      <c r="CD41" s="28"/>
      <c r="CE41" s="65"/>
      <c r="CF41" s="64">
        <f t="shared" si="54"/>
        <v>0</v>
      </c>
      <c r="CG41" s="28"/>
      <c r="CH41" s="28"/>
      <c r="CI41" s="65"/>
      <c r="CJ41" s="64">
        <f t="shared" si="55"/>
        <v>0</v>
      </c>
      <c r="CK41" s="28"/>
      <c r="CL41" s="28"/>
      <c r="CM41" s="65"/>
      <c r="CN41" s="64">
        <f t="shared" si="56"/>
        <v>0</v>
      </c>
      <c r="CO41" s="28"/>
      <c r="CP41" s="28"/>
      <c r="CQ41" s="65"/>
      <c r="CR41" s="64">
        <f t="shared" si="57"/>
        <v>0</v>
      </c>
      <c r="CS41" s="28"/>
      <c r="CT41" s="28"/>
      <c r="CU41" s="65"/>
      <c r="CV41" s="64">
        <f t="shared" si="58"/>
        <v>0</v>
      </c>
      <c r="CW41" s="28"/>
      <c r="CX41" s="28"/>
      <c r="CY41" s="65"/>
      <c r="CZ41" s="64">
        <f t="shared" si="59"/>
        <v>0</v>
      </c>
      <c r="DA41" s="28"/>
      <c r="DB41" s="28"/>
      <c r="DC41" s="65"/>
      <c r="DD41" s="64">
        <f t="shared" si="60"/>
        <v>0</v>
      </c>
      <c r="DE41" s="28"/>
      <c r="DF41" s="28"/>
      <c r="DG41" s="65"/>
      <c r="DH41" s="64">
        <f t="shared" si="61"/>
        <v>0</v>
      </c>
      <c r="DI41" s="28"/>
      <c r="DJ41" s="28"/>
      <c r="DK41" s="65"/>
      <c r="DL41" s="64">
        <f t="shared" si="62"/>
        <v>0</v>
      </c>
      <c r="DM41" s="28"/>
      <c r="DN41" s="28"/>
      <c r="DO41" s="65"/>
      <c r="DP41" s="64">
        <f t="shared" si="63"/>
        <v>0</v>
      </c>
      <c r="DQ41" s="28"/>
      <c r="DR41" s="28"/>
      <c r="DS41" s="65"/>
      <c r="DT41" s="64">
        <f t="shared" si="64"/>
        <v>0</v>
      </c>
      <c r="DU41" s="28"/>
      <c r="DV41" s="28"/>
      <c r="DW41" s="65"/>
      <c r="DX41" s="30">
        <f t="shared" si="65"/>
        <v>0</v>
      </c>
      <c r="DY41" s="31">
        <f t="shared" si="66"/>
        <v>0</v>
      </c>
      <c r="DZ41" s="31">
        <f t="shared" si="67"/>
        <v>0</v>
      </c>
      <c r="EA41" s="4">
        <f t="shared" si="68"/>
        <v>0</v>
      </c>
      <c r="EB41" s="9">
        <f>D41*'MASTER SHEET'!D41</f>
        <v>0</v>
      </c>
      <c r="EC41" s="9">
        <f>H41*'MASTER SHEET'!D41</f>
        <v>0</v>
      </c>
      <c r="ED41" s="9">
        <f>L41*'MASTER SHEET'!D41</f>
        <v>0</v>
      </c>
      <c r="EE41" s="9">
        <f>P41*'MASTER SHEET'!D41</f>
        <v>0</v>
      </c>
      <c r="EF41" s="9">
        <f>T41*'MASTER SHEET'!D41</f>
        <v>0</v>
      </c>
      <c r="EG41" s="9">
        <f>X41*'MASTER SHEET'!D41</f>
        <v>0</v>
      </c>
      <c r="EH41" s="9">
        <f>AB41*'MASTER SHEET'!D41</f>
        <v>0</v>
      </c>
      <c r="EI41" s="9">
        <f>AF41*'MASTER SHEET'!D41</f>
        <v>0</v>
      </c>
      <c r="EJ41" s="9">
        <f>AJ41*'MASTER SHEET'!D41</f>
        <v>0</v>
      </c>
      <c r="EK41" s="9">
        <f>AN41*'MASTER SHEET'!D41</f>
        <v>0</v>
      </c>
      <c r="EL41" s="9">
        <f>AR41*'MASTER SHEET'!D41</f>
        <v>0</v>
      </c>
      <c r="EM41" s="9">
        <f>AV41*'MASTER SHEET'!D41</f>
        <v>0</v>
      </c>
      <c r="EN41" s="9">
        <f>AZ41*'MASTER SHEET'!D41</f>
        <v>0</v>
      </c>
      <c r="EO41" s="9">
        <f>BD41*'MASTER SHEET'!D41</f>
        <v>0</v>
      </c>
      <c r="EP41" s="9">
        <f>BH41*'MASTER SHEET'!D41</f>
        <v>0</v>
      </c>
      <c r="EQ41" s="9">
        <f>BL41*'MASTER SHEET'!D41</f>
        <v>0</v>
      </c>
      <c r="ER41" s="9">
        <f>BP41*'MASTER SHEET'!D41</f>
        <v>0</v>
      </c>
      <c r="ES41" s="9">
        <f>BT41*'MASTER SHEET'!D41</f>
        <v>0</v>
      </c>
      <c r="ET41" s="9">
        <f>BX41*'MASTER SHEET'!D41</f>
        <v>0</v>
      </c>
      <c r="EU41" s="9">
        <f>CB41*'MASTER SHEET'!D41</f>
        <v>0</v>
      </c>
      <c r="EV41" s="9">
        <f>CF41*'MASTER SHEET'!D41</f>
        <v>0</v>
      </c>
      <c r="EW41" s="9">
        <f>CJ41*'MASTER SHEET'!D41</f>
        <v>0</v>
      </c>
      <c r="EX41" s="9">
        <f>CN41*'MASTER SHEET'!D41</f>
        <v>0</v>
      </c>
      <c r="EY41" s="9">
        <f>CV41*'MASTER SHEET'!D41</f>
        <v>0</v>
      </c>
      <c r="EZ41" s="9">
        <f>CV41*'MASTER SHEET'!D41</f>
        <v>0</v>
      </c>
      <c r="FA41" s="9">
        <f>CZ41*'MASTER SHEET'!D41</f>
        <v>0</v>
      </c>
      <c r="FB41" s="9">
        <f>DD41*'MASTER SHEET'!D41</f>
        <v>0</v>
      </c>
      <c r="FC41" s="9">
        <f>DH41*'MASTER SHEET'!D41</f>
        <v>0</v>
      </c>
      <c r="FD41" s="9">
        <f>DL41*'MASTER SHEET'!D41</f>
        <v>0</v>
      </c>
      <c r="FE41" s="9">
        <f>DP41*'MASTER SHEET'!D41</f>
        <v>0</v>
      </c>
      <c r="FF41" s="9">
        <f>DT41*'MASTER SHEET'!D41</f>
        <v>0</v>
      </c>
      <c r="FG41" s="9">
        <f>DX41*'MASTER SHEET'!D41</f>
        <v>0</v>
      </c>
    </row>
    <row r="42" spans="1:163" ht="20.25" x14ac:dyDescent="0.25">
      <c r="A42" s="43">
        <f>'MASTER SHEET'!A42</f>
        <v>40</v>
      </c>
      <c r="B42" s="26" t="str">
        <f>'MASTER SHEET'!B42</f>
        <v>PIPE ASY PLASTIC</v>
      </c>
      <c r="C42" s="82">
        <f>'MASTER SHEET'!C42</f>
        <v>5027833</v>
      </c>
      <c r="D42" s="64"/>
      <c r="E42" s="28"/>
      <c r="F42" s="28"/>
      <c r="G42" s="65"/>
      <c r="H42" s="64">
        <f t="shared" si="35"/>
        <v>0</v>
      </c>
      <c r="I42" s="28"/>
      <c r="J42" s="28"/>
      <c r="K42" s="65"/>
      <c r="L42" s="64">
        <f t="shared" si="36"/>
        <v>0</v>
      </c>
      <c r="M42" s="28"/>
      <c r="N42" s="28"/>
      <c r="O42" s="65"/>
      <c r="P42" s="64">
        <f t="shared" si="37"/>
        <v>0</v>
      </c>
      <c r="Q42" s="28"/>
      <c r="R42" s="28"/>
      <c r="S42" s="65"/>
      <c r="T42" s="64">
        <f t="shared" si="38"/>
        <v>0</v>
      </c>
      <c r="U42" s="28"/>
      <c r="V42" s="28"/>
      <c r="W42" s="65"/>
      <c r="X42" s="64">
        <f t="shared" si="39"/>
        <v>0</v>
      </c>
      <c r="Y42" s="28"/>
      <c r="Z42" s="28"/>
      <c r="AA42" s="65"/>
      <c r="AB42" s="64">
        <f t="shared" si="40"/>
        <v>0</v>
      </c>
      <c r="AC42" s="28"/>
      <c r="AD42" s="28"/>
      <c r="AE42" s="65"/>
      <c r="AF42" s="64">
        <f t="shared" si="41"/>
        <v>0</v>
      </c>
      <c r="AG42" s="28"/>
      <c r="AH42" s="28"/>
      <c r="AI42" s="65"/>
      <c r="AJ42" s="64">
        <f t="shared" si="42"/>
        <v>0</v>
      </c>
      <c r="AK42" s="28"/>
      <c r="AL42" s="28"/>
      <c r="AM42" s="65"/>
      <c r="AN42" s="64">
        <f t="shared" si="43"/>
        <v>0</v>
      </c>
      <c r="AO42" s="28"/>
      <c r="AP42" s="28"/>
      <c r="AQ42" s="65"/>
      <c r="AR42" s="64">
        <f t="shared" si="44"/>
        <v>0</v>
      </c>
      <c r="AS42" s="28"/>
      <c r="AT42" s="28"/>
      <c r="AU42" s="65"/>
      <c r="AV42" s="64">
        <f t="shared" si="45"/>
        <v>0</v>
      </c>
      <c r="AW42" s="28"/>
      <c r="AX42" s="28"/>
      <c r="AY42" s="65"/>
      <c r="AZ42" s="64">
        <f t="shared" si="46"/>
        <v>0</v>
      </c>
      <c r="BA42" s="28"/>
      <c r="BB42" s="28"/>
      <c r="BC42" s="65"/>
      <c r="BD42" s="64">
        <f t="shared" si="47"/>
        <v>0</v>
      </c>
      <c r="BE42" s="28"/>
      <c r="BF42" s="28"/>
      <c r="BG42" s="65"/>
      <c r="BH42" s="64">
        <f t="shared" si="48"/>
        <v>0</v>
      </c>
      <c r="BI42" s="28"/>
      <c r="BJ42" s="28"/>
      <c r="BK42" s="65"/>
      <c r="BL42" s="64">
        <f t="shared" si="49"/>
        <v>0</v>
      </c>
      <c r="BM42" s="28"/>
      <c r="BN42" s="28"/>
      <c r="BO42" s="65"/>
      <c r="BP42" s="64">
        <f t="shared" si="50"/>
        <v>0</v>
      </c>
      <c r="BQ42" s="28"/>
      <c r="BR42" s="28"/>
      <c r="BS42" s="65"/>
      <c r="BT42" s="64">
        <f t="shared" si="51"/>
        <v>0</v>
      </c>
      <c r="BU42" s="28"/>
      <c r="BV42" s="28"/>
      <c r="BW42" s="65"/>
      <c r="BX42" s="64">
        <f t="shared" si="52"/>
        <v>0</v>
      </c>
      <c r="BY42" s="28"/>
      <c r="BZ42" s="28"/>
      <c r="CA42" s="65"/>
      <c r="CB42" s="64">
        <f t="shared" si="53"/>
        <v>0</v>
      </c>
      <c r="CC42" s="28"/>
      <c r="CD42" s="28"/>
      <c r="CE42" s="65"/>
      <c r="CF42" s="64">
        <f t="shared" si="54"/>
        <v>0</v>
      </c>
      <c r="CG42" s="28"/>
      <c r="CH42" s="28"/>
      <c r="CI42" s="65"/>
      <c r="CJ42" s="64">
        <f t="shared" si="55"/>
        <v>0</v>
      </c>
      <c r="CK42" s="28"/>
      <c r="CL42" s="28"/>
      <c r="CM42" s="65"/>
      <c r="CN42" s="64">
        <f t="shared" si="56"/>
        <v>0</v>
      </c>
      <c r="CO42" s="28"/>
      <c r="CP42" s="28"/>
      <c r="CQ42" s="65"/>
      <c r="CR42" s="64">
        <f t="shared" si="57"/>
        <v>0</v>
      </c>
      <c r="CS42" s="28"/>
      <c r="CT42" s="28"/>
      <c r="CU42" s="65"/>
      <c r="CV42" s="64">
        <f t="shared" si="58"/>
        <v>0</v>
      </c>
      <c r="CW42" s="28"/>
      <c r="CX42" s="28"/>
      <c r="CY42" s="65"/>
      <c r="CZ42" s="64">
        <f t="shared" si="59"/>
        <v>0</v>
      </c>
      <c r="DA42" s="28"/>
      <c r="DB42" s="28"/>
      <c r="DC42" s="65"/>
      <c r="DD42" s="64">
        <f t="shared" si="60"/>
        <v>0</v>
      </c>
      <c r="DE42" s="28"/>
      <c r="DF42" s="28"/>
      <c r="DG42" s="65"/>
      <c r="DH42" s="64">
        <f t="shared" si="61"/>
        <v>0</v>
      </c>
      <c r="DI42" s="28"/>
      <c r="DJ42" s="28"/>
      <c r="DK42" s="65"/>
      <c r="DL42" s="64">
        <f t="shared" si="62"/>
        <v>0</v>
      </c>
      <c r="DM42" s="28"/>
      <c r="DN42" s="28"/>
      <c r="DO42" s="65"/>
      <c r="DP42" s="64">
        <f t="shared" si="63"/>
        <v>0</v>
      </c>
      <c r="DQ42" s="28"/>
      <c r="DR42" s="28"/>
      <c r="DS42" s="65"/>
      <c r="DT42" s="64">
        <f t="shared" si="64"/>
        <v>0</v>
      </c>
      <c r="DU42" s="28"/>
      <c r="DV42" s="28"/>
      <c r="DW42" s="65"/>
      <c r="DX42" s="30">
        <f t="shared" si="65"/>
        <v>0</v>
      </c>
      <c r="DY42" s="31">
        <f t="shared" si="66"/>
        <v>0</v>
      </c>
      <c r="DZ42" s="31">
        <f t="shared" si="67"/>
        <v>0</v>
      </c>
      <c r="EA42" s="4">
        <f t="shared" si="68"/>
        <v>0</v>
      </c>
      <c r="EB42" s="9">
        <f>D42*'MASTER SHEET'!D42</f>
        <v>0</v>
      </c>
      <c r="EC42" s="9">
        <f>H42*'MASTER SHEET'!D42</f>
        <v>0</v>
      </c>
      <c r="ED42" s="9">
        <f>L42*'MASTER SHEET'!D42</f>
        <v>0</v>
      </c>
      <c r="EE42" s="9">
        <f>P42*'MASTER SHEET'!D42</f>
        <v>0</v>
      </c>
      <c r="EF42" s="9">
        <f>T42*'MASTER SHEET'!D42</f>
        <v>0</v>
      </c>
      <c r="EG42" s="9">
        <f>X42*'MASTER SHEET'!D42</f>
        <v>0</v>
      </c>
      <c r="EH42" s="9">
        <f>AB42*'MASTER SHEET'!D42</f>
        <v>0</v>
      </c>
      <c r="EI42" s="9">
        <f>AF42*'MASTER SHEET'!D42</f>
        <v>0</v>
      </c>
      <c r="EJ42" s="9">
        <f>AJ42*'MASTER SHEET'!D42</f>
        <v>0</v>
      </c>
      <c r="EK42" s="9">
        <f>AN42*'MASTER SHEET'!D42</f>
        <v>0</v>
      </c>
      <c r="EL42" s="9">
        <f>AR42*'MASTER SHEET'!D42</f>
        <v>0</v>
      </c>
      <c r="EM42" s="9">
        <f>AV42*'MASTER SHEET'!D42</f>
        <v>0</v>
      </c>
      <c r="EN42" s="9">
        <f>AZ42*'MASTER SHEET'!D42</f>
        <v>0</v>
      </c>
      <c r="EO42" s="9">
        <f>BD42*'MASTER SHEET'!D42</f>
        <v>0</v>
      </c>
      <c r="EP42" s="9">
        <f>BH42*'MASTER SHEET'!D42</f>
        <v>0</v>
      </c>
      <c r="EQ42" s="9">
        <f>BL42*'MASTER SHEET'!D42</f>
        <v>0</v>
      </c>
      <c r="ER42" s="9">
        <f>BP42*'MASTER SHEET'!D42</f>
        <v>0</v>
      </c>
      <c r="ES42" s="9">
        <f>BT42*'MASTER SHEET'!D42</f>
        <v>0</v>
      </c>
      <c r="ET42" s="9">
        <f>BX42*'MASTER SHEET'!D42</f>
        <v>0</v>
      </c>
      <c r="EU42" s="9">
        <f>CB42*'MASTER SHEET'!D42</f>
        <v>0</v>
      </c>
      <c r="EV42" s="9">
        <f>CF42*'MASTER SHEET'!D42</f>
        <v>0</v>
      </c>
      <c r="EW42" s="9">
        <f>CJ42*'MASTER SHEET'!D42</f>
        <v>0</v>
      </c>
      <c r="EX42" s="9">
        <f>CN42*'MASTER SHEET'!D42</f>
        <v>0</v>
      </c>
      <c r="EY42" s="9">
        <f>CV42*'MASTER SHEET'!D42</f>
        <v>0</v>
      </c>
      <c r="EZ42" s="9">
        <f>CV42*'MASTER SHEET'!D42</f>
        <v>0</v>
      </c>
      <c r="FA42" s="9">
        <f>CZ42*'MASTER SHEET'!D42</f>
        <v>0</v>
      </c>
      <c r="FB42" s="9">
        <f>DD42*'MASTER SHEET'!D42</f>
        <v>0</v>
      </c>
      <c r="FC42" s="9">
        <f>DH42*'MASTER SHEET'!D42</f>
        <v>0</v>
      </c>
      <c r="FD42" s="9">
        <f>DL42*'MASTER SHEET'!D42</f>
        <v>0</v>
      </c>
      <c r="FE42" s="9">
        <f>DP42*'MASTER SHEET'!D42</f>
        <v>0</v>
      </c>
      <c r="FF42" s="9">
        <f>DT42*'MASTER SHEET'!D42</f>
        <v>0</v>
      </c>
      <c r="FG42" s="9">
        <f>DX42*'MASTER SHEET'!D42</f>
        <v>0</v>
      </c>
    </row>
    <row r="43" spans="1:163" s="10" customFormat="1" ht="20.25" x14ac:dyDescent="0.25">
      <c r="A43" s="43">
        <f>'MASTER SHEET'!A43</f>
        <v>41</v>
      </c>
      <c r="B43" s="26" t="str">
        <f>'MASTER SHEET'!B43</f>
        <v>CAP PLASTIC</v>
      </c>
      <c r="C43" s="82">
        <f>'MASTER SHEET'!C43</f>
        <v>5028386</v>
      </c>
      <c r="D43" s="64"/>
      <c r="E43" s="28"/>
      <c r="F43" s="28"/>
      <c r="G43" s="65"/>
      <c r="H43" s="64">
        <f t="shared" si="35"/>
        <v>0</v>
      </c>
      <c r="I43" s="28"/>
      <c r="J43" s="28"/>
      <c r="K43" s="65"/>
      <c r="L43" s="64">
        <f t="shared" si="36"/>
        <v>0</v>
      </c>
      <c r="M43" s="28"/>
      <c r="N43" s="28"/>
      <c r="O43" s="65"/>
      <c r="P43" s="64">
        <f t="shared" si="37"/>
        <v>0</v>
      </c>
      <c r="Q43" s="28"/>
      <c r="R43" s="28"/>
      <c r="S43" s="65"/>
      <c r="T43" s="64">
        <f t="shared" si="38"/>
        <v>0</v>
      </c>
      <c r="U43" s="28"/>
      <c r="V43" s="28"/>
      <c r="W43" s="65"/>
      <c r="X43" s="64">
        <f t="shared" si="39"/>
        <v>0</v>
      </c>
      <c r="Y43" s="28"/>
      <c r="Z43" s="28"/>
      <c r="AA43" s="65"/>
      <c r="AB43" s="64">
        <f t="shared" si="40"/>
        <v>0</v>
      </c>
      <c r="AC43" s="28"/>
      <c r="AD43" s="28"/>
      <c r="AE43" s="65"/>
      <c r="AF43" s="64">
        <f t="shared" si="41"/>
        <v>0</v>
      </c>
      <c r="AG43" s="28"/>
      <c r="AH43" s="28"/>
      <c r="AI43" s="65"/>
      <c r="AJ43" s="64">
        <f t="shared" si="42"/>
        <v>0</v>
      </c>
      <c r="AK43" s="28"/>
      <c r="AL43" s="28"/>
      <c r="AM43" s="65"/>
      <c r="AN43" s="64">
        <f t="shared" si="43"/>
        <v>0</v>
      </c>
      <c r="AO43" s="28"/>
      <c r="AP43" s="28"/>
      <c r="AQ43" s="65"/>
      <c r="AR43" s="64">
        <f t="shared" si="44"/>
        <v>0</v>
      </c>
      <c r="AS43" s="28"/>
      <c r="AT43" s="28"/>
      <c r="AU43" s="65"/>
      <c r="AV43" s="64">
        <f t="shared" si="45"/>
        <v>0</v>
      </c>
      <c r="AW43" s="28"/>
      <c r="AX43" s="28"/>
      <c r="AY43" s="65"/>
      <c r="AZ43" s="64">
        <f t="shared" si="46"/>
        <v>0</v>
      </c>
      <c r="BA43" s="28"/>
      <c r="BB43" s="28"/>
      <c r="BC43" s="65"/>
      <c r="BD43" s="64">
        <f t="shared" si="47"/>
        <v>0</v>
      </c>
      <c r="BE43" s="28"/>
      <c r="BF43" s="28"/>
      <c r="BG43" s="65"/>
      <c r="BH43" s="64">
        <f t="shared" si="48"/>
        <v>0</v>
      </c>
      <c r="BI43" s="28"/>
      <c r="BJ43" s="28"/>
      <c r="BK43" s="65"/>
      <c r="BL43" s="64">
        <f t="shared" si="49"/>
        <v>0</v>
      </c>
      <c r="BM43" s="28"/>
      <c r="BN43" s="28"/>
      <c r="BO43" s="65"/>
      <c r="BP43" s="64">
        <f t="shared" si="50"/>
        <v>0</v>
      </c>
      <c r="BQ43" s="28"/>
      <c r="BR43" s="28"/>
      <c r="BS43" s="65"/>
      <c r="BT43" s="64">
        <f t="shared" si="51"/>
        <v>0</v>
      </c>
      <c r="BU43" s="28"/>
      <c r="BV43" s="28"/>
      <c r="BW43" s="65"/>
      <c r="BX43" s="64">
        <f t="shared" si="52"/>
        <v>0</v>
      </c>
      <c r="BY43" s="28"/>
      <c r="BZ43" s="28"/>
      <c r="CA43" s="65"/>
      <c r="CB43" s="64">
        <f t="shared" si="53"/>
        <v>0</v>
      </c>
      <c r="CC43" s="28"/>
      <c r="CD43" s="28"/>
      <c r="CE43" s="65"/>
      <c r="CF43" s="64">
        <f t="shared" si="54"/>
        <v>0</v>
      </c>
      <c r="CG43" s="28"/>
      <c r="CH43" s="28"/>
      <c r="CI43" s="65"/>
      <c r="CJ43" s="64">
        <f t="shared" si="55"/>
        <v>0</v>
      </c>
      <c r="CK43" s="28"/>
      <c r="CL43" s="28"/>
      <c r="CM43" s="65"/>
      <c r="CN43" s="64">
        <f t="shared" si="56"/>
        <v>0</v>
      </c>
      <c r="CO43" s="28"/>
      <c r="CP43" s="28"/>
      <c r="CQ43" s="65"/>
      <c r="CR43" s="64">
        <f t="shared" si="57"/>
        <v>0</v>
      </c>
      <c r="CS43" s="28"/>
      <c r="CT43" s="28"/>
      <c r="CU43" s="65"/>
      <c r="CV43" s="64">
        <f t="shared" si="58"/>
        <v>0</v>
      </c>
      <c r="CW43" s="28"/>
      <c r="CX43" s="28"/>
      <c r="CY43" s="65"/>
      <c r="CZ43" s="64">
        <f t="shared" si="59"/>
        <v>0</v>
      </c>
      <c r="DA43" s="28"/>
      <c r="DB43" s="28"/>
      <c r="DC43" s="65"/>
      <c r="DD43" s="64">
        <f t="shared" si="60"/>
        <v>0</v>
      </c>
      <c r="DE43" s="28"/>
      <c r="DF43" s="28"/>
      <c r="DG43" s="65"/>
      <c r="DH43" s="64">
        <f t="shared" si="61"/>
        <v>0</v>
      </c>
      <c r="DI43" s="28"/>
      <c r="DJ43" s="28"/>
      <c r="DK43" s="65"/>
      <c r="DL43" s="64">
        <f t="shared" si="62"/>
        <v>0</v>
      </c>
      <c r="DM43" s="28"/>
      <c r="DN43" s="28"/>
      <c r="DO43" s="65"/>
      <c r="DP43" s="64">
        <f t="shared" si="63"/>
        <v>0</v>
      </c>
      <c r="DQ43" s="28"/>
      <c r="DR43" s="28"/>
      <c r="DS43" s="65"/>
      <c r="DT43" s="64">
        <f t="shared" si="64"/>
        <v>0</v>
      </c>
      <c r="DU43" s="28"/>
      <c r="DV43" s="28"/>
      <c r="DW43" s="65"/>
      <c r="DX43" s="30">
        <f t="shared" si="65"/>
        <v>0</v>
      </c>
      <c r="DY43" s="31">
        <f t="shared" si="66"/>
        <v>0</v>
      </c>
      <c r="DZ43" s="31">
        <f t="shared" si="67"/>
        <v>0</v>
      </c>
      <c r="EA43" s="4">
        <f t="shared" si="68"/>
        <v>0</v>
      </c>
      <c r="EB43" s="9">
        <f>D43*'MASTER SHEET'!D43</f>
        <v>0</v>
      </c>
      <c r="EC43" s="9">
        <f>H43*'MASTER SHEET'!D43</f>
        <v>0</v>
      </c>
      <c r="ED43" s="9">
        <f>L43*'MASTER SHEET'!D43</f>
        <v>0</v>
      </c>
      <c r="EE43" s="9">
        <f>P43*'MASTER SHEET'!D43</f>
        <v>0</v>
      </c>
      <c r="EF43" s="9">
        <f>T43*'MASTER SHEET'!D43</f>
        <v>0</v>
      </c>
      <c r="EG43" s="9">
        <f>X43*'MASTER SHEET'!D43</f>
        <v>0</v>
      </c>
      <c r="EH43" s="9">
        <f>AB43*'MASTER SHEET'!D43</f>
        <v>0</v>
      </c>
      <c r="EI43" s="9">
        <f>AF43*'MASTER SHEET'!D43</f>
        <v>0</v>
      </c>
      <c r="EJ43" s="9">
        <f>AJ43*'MASTER SHEET'!D43</f>
        <v>0</v>
      </c>
      <c r="EK43" s="9">
        <f>AN43*'MASTER SHEET'!D43</f>
        <v>0</v>
      </c>
      <c r="EL43" s="9">
        <f>AR43*'MASTER SHEET'!D43</f>
        <v>0</v>
      </c>
      <c r="EM43" s="9">
        <f>AV43*'MASTER SHEET'!D43</f>
        <v>0</v>
      </c>
      <c r="EN43" s="9">
        <f>AZ43*'MASTER SHEET'!D43</f>
        <v>0</v>
      </c>
      <c r="EO43" s="9">
        <f>BD43*'MASTER SHEET'!D43</f>
        <v>0</v>
      </c>
      <c r="EP43" s="9">
        <f>BH43*'MASTER SHEET'!D43</f>
        <v>0</v>
      </c>
      <c r="EQ43" s="9">
        <f>BL43*'MASTER SHEET'!D43</f>
        <v>0</v>
      </c>
      <c r="ER43" s="9">
        <f>BP43*'MASTER SHEET'!D43</f>
        <v>0</v>
      </c>
      <c r="ES43" s="9">
        <f>BT43*'MASTER SHEET'!D43</f>
        <v>0</v>
      </c>
      <c r="ET43" s="9">
        <f>BX43*'MASTER SHEET'!D43</f>
        <v>0</v>
      </c>
      <c r="EU43" s="9">
        <f>CB43*'MASTER SHEET'!D43</f>
        <v>0</v>
      </c>
      <c r="EV43" s="9">
        <f>CF43*'MASTER SHEET'!D43</f>
        <v>0</v>
      </c>
      <c r="EW43" s="9">
        <f>CJ43*'MASTER SHEET'!D43</f>
        <v>0</v>
      </c>
      <c r="EX43" s="9">
        <f>CN43*'MASTER SHEET'!D43</f>
        <v>0</v>
      </c>
      <c r="EY43" s="9">
        <f>CV43*'MASTER SHEET'!D43</f>
        <v>0</v>
      </c>
      <c r="EZ43" s="9">
        <f>CV43*'MASTER SHEET'!D43</f>
        <v>0</v>
      </c>
      <c r="FA43" s="9">
        <f>CZ43*'MASTER SHEET'!D43</f>
        <v>0</v>
      </c>
      <c r="FB43" s="9">
        <f>DD43*'MASTER SHEET'!D43</f>
        <v>0</v>
      </c>
      <c r="FC43" s="9">
        <f>DH43*'MASTER SHEET'!D43</f>
        <v>0</v>
      </c>
      <c r="FD43" s="9">
        <f>DL43*'MASTER SHEET'!D43</f>
        <v>0</v>
      </c>
      <c r="FE43" s="9">
        <f>DP43*'MASTER SHEET'!D43</f>
        <v>0</v>
      </c>
      <c r="FF43" s="9">
        <f>DT43*'MASTER SHEET'!D43</f>
        <v>0</v>
      </c>
      <c r="FG43" s="9">
        <f>DX43*'MASTER SHEET'!D43</f>
        <v>0</v>
      </c>
    </row>
    <row r="44" spans="1:163" ht="20.25" x14ac:dyDescent="0.25">
      <c r="A44" s="43">
        <f>'MASTER SHEET'!A44</f>
        <v>42</v>
      </c>
      <c r="B44" s="26" t="str">
        <f>'MASTER SHEET'!B44</f>
        <v>BASE HOUSING ASSYM</v>
      </c>
      <c r="C44" s="82">
        <f>'MASTER SHEET'!C44</f>
        <v>5028536</v>
      </c>
      <c r="D44" s="64"/>
      <c r="E44" s="28"/>
      <c r="F44" s="28"/>
      <c r="G44" s="65"/>
      <c r="H44" s="64">
        <f t="shared" si="35"/>
        <v>0</v>
      </c>
      <c r="I44" s="28"/>
      <c r="J44" s="28"/>
      <c r="K44" s="65"/>
      <c r="L44" s="64">
        <f t="shared" si="36"/>
        <v>0</v>
      </c>
      <c r="M44" s="28"/>
      <c r="N44" s="28"/>
      <c r="O44" s="65"/>
      <c r="P44" s="64">
        <f t="shared" si="37"/>
        <v>0</v>
      </c>
      <c r="Q44" s="28"/>
      <c r="R44" s="28"/>
      <c r="S44" s="65"/>
      <c r="T44" s="64">
        <f t="shared" si="38"/>
        <v>0</v>
      </c>
      <c r="U44" s="28"/>
      <c r="V44" s="28"/>
      <c r="W44" s="65"/>
      <c r="X44" s="64">
        <f t="shared" si="39"/>
        <v>0</v>
      </c>
      <c r="Y44" s="28"/>
      <c r="Z44" s="28"/>
      <c r="AA44" s="65"/>
      <c r="AB44" s="64">
        <f t="shared" si="40"/>
        <v>0</v>
      </c>
      <c r="AC44" s="28"/>
      <c r="AD44" s="28"/>
      <c r="AE44" s="65"/>
      <c r="AF44" s="64">
        <f t="shared" si="41"/>
        <v>0</v>
      </c>
      <c r="AG44" s="28"/>
      <c r="AH44" s="28"/>
      <c r="AI44" s="65"/>
      <c r="AJ44" s="64">
        <f t="shared" si="42"/>
        <v>0</v>
      </c>
      <c r="AK44" s="28"/>
      <c r="AL44" s="28"/>
      <c r="AM44" s="65"/>
      <c r="AN44" s="64">
        <f t="shared" si="43"/>
        <v>0</v>
      </c>
      <c r="AO44" s="28"/>
      <c r="AP44" s="28"/>
      <c r="AQ44" s="65"/>
      <c r="AR44" s="64">
        <f t="shared" si="44"/>
        <v>0</v>
      </c>
      <c r="AS44" s="28"/>
      <c r="AT44" s="28"/>
      <c r="AU44" s="65"/>
      <c r="AV44" s="64">
        <f t="shared" si="45"/>
        <v>0</v>
      </c>
      <c r="AW44" s="28"/>
      <c r="AX44" s="28"/>
      <c r="AY44" s="65"/>
      <c r="AZ44" s="64">
        <f t="shared" si="46"/>
        <v>0</v>
      </c>
      <c r="BA44" s="28"/>
      <c r="BB44" s="28"/>
      <c r="BC44" s="65"/>
      <c r="BD44" s="64">
        <f t="shared" si="47"/>
        <v>0</v>
      </c>
      <c r="BE44" s="28"/>
      <c r="BF44" s="28"/>
      <c r="BG44" s="65"/>
      <c r="BH44" s="64">
        <f t="shared" si="48"/>
        <v>0</v>
      </c>
      <c r="BI44" s="28"/>
      <c r="BJ44" s="28"/>
      <c r="BK44" s="65"/>
      <c r="BL44" s="64">
        <f t="shared" si="49"/>
        <v>0</v>
      </c>
      <c r="BM44" s="28"/>
      <c r="BN44" s="28"/>
      <c r="BO44" s="65"/>
      <c r="BP44" s="64">
        <f t="shared" si="50"/>
        <v>0</v>
      </c>
      <c r="BQ44" s="28"/>
      <c r="BR44" s="28"/>
      <c r="BS44" s="65"/>
      <c r="BT44" s="64">
        <f t="shared" si="51"/>
        <v>0</v>
      </c>
      <c r="BU44" s="28"/>
      <c r="BV44" s="28"/>
      <c r="BW44" s="65"/>
      <c r="BX44" s="64">
        <f t="shared" si="52"/>
        <v>0</v>
      </c>
      <c r="BY44" s="28"/>
      <c r="BZ44" s="28"/>
      <c r="CA44" s="65"/>
      <c r="CB44" s="64">
        <f t="shared" si="53"/>
        <v>0</v>
      </c>
      <c r="CC44" s="28"/>
      <c r="CD44" s="28"/>
      <c r="CE44" s="65"/>
      <c r="CF44" s="64">
        <f t="shared" si="54"/>
        <v>0</v>
      </c>
      <c r="CG44" s="28"/>
      <c r="CH44" s="28"/>
      <c r="CI44" s="65"/>
      <c r="CJ44" s="64">
        <f t="shared" si="55"/>
        <v>0</v>
      </c>
      <c r="CK44" s="28"/>
      <c r="CL44" s="28"/>
      <c r="CM44" s="65"/>
      <c r="CN44" s="64">
        <f t="shared" si="56"/>
        <v>0</v>
      </c>
      <c r="CO44" s="28"/>
      <c r="CP44" s="28"/>
      <c r="CQ44" s="65"/>
      <c r="CR44" s="64">
        <f t="shared" si="57"/>
        <v>0</v>
      </c>
      <c r="CS44" s="28"/>
      <c r="CT44" s="28"/>
      <c r="CU44" s="65"/>
      <c r="CV44" s="64">
        <f t="shared" si="58"/>
        <v>0</v>
      </c>
      <c r="CW44" s="28"/>
      <c r="CX44" s="28"/>
      <c r="CY44" s="65"/>
      <c r="CZ44" s="64">
        <f t="shared" si="59"/>
        <v>0</v>
      </c>
      <c r="DA44" s="28"/>
      <c r="DB44" s="28"/>
      <c r="DC44" s="65"/>
      <c r="DD44" s="64">
        <f t="shared" si="60"/>
        <v>0</v>
      </c>
      <c r="DE44" s="28"/>
      <c r="DF44" s="28"/>
      <c r="DG44" s="65"/>
      <c r="DH44" s="64">
        <f t="shared" si="61"/>
        <v>0</v>
      </c>
      <c r="DI44" s="28"/>
      <c r="DJ44" s="28"/>
      <c r="DK44" s="65"/>
      <c r="DL44" s="64">
        <f t="shared" si="62"/>
        <v>0</v>
      </c>
      <c r="DM44" s="28"/>
      <c r="DN44" s="28"/>
      <c r="DO44" s="65"/>
      <c r="DP44" s="64">
        <f t="shared" si="63"/>
        <v>0</v>
      </c>
      <c r="DQ44" s="28"/>
      <c r="DR44" s="28"/>
      <c r="DS44" s="65"/>
      <c r="DT44" s="64">
        <f t="shared" si="64"/>
        <v>0</v>
      </c>
      <c r="DU44" s="28"/>
      <c r="DV44" s="28"/>
      <c r="DW44" s="65"/>
      <c r="DX44" s="30">
        <f t="shared" si="65"/>
        <v>0</v>
      </c>
      <c r="DY44" s="31">
        <f t="shared" si="66"/>
        <v>0</v>
      </c>
      <c r="DZ44" s="31">
        <f t="shared" si="67"/>
        <v>0</v>
      </c>
      <c r="EA44" s="4">
        <f t="shared" si="68"/>
        <v>0</v>
      </c>
      <c r="EB44" s="9">
        <f>D44*'MASTER SHEET'!D44</f>
        <v>0</v>
      </c>
      <c r="EC44" s="9">
        <f>H44*'MASTER SHEET'!D44</f>
        <v>0</v>
      </c>
      <c r="ED44" s="9">
        <f>L44*'MASTER SHEET'!D44</f>
        <v>0</v>
      </c>
      <c r="EE44" s="9">
        <f>P44*'MASTER SHEET'!D44</f>
        <v>0</v>
      </c>
      <c r="EF44" s="9">
        <f>T44*'MASTER SHEET'!D44</f>
        <v>0</v>
      </c>
      <c r="EG44" s="9">
        <f>X44*'MASTER SHEET'!D44</f>
        <v>0</v>
      </c>
      <c r="EH44" s="9">
        <f>AB44*'MASTER SHEET'!D44</f>
        <v>0</v>
      </c>
      <c r="EI44" s="9">
        <f>AF44*'MASTER SHEET'!D44</f>
        <v>0</v>
      </c>
      <c r="EJ44" s="9">
        <f>AJ44*'MASTER SHEET'!D44</f>
        <v>0</v>
      </c>
      <c r="EK44" s="9">
        <f>AN44*'MASTER SHEET'!D44</f>
        <v>0</v>
      </c>
      <c r="EL44" s="9">
        <f>AR44*'MASTER SHEET'!D44</f>
        <v>0</v>
      </c>
      <c r="EM44" s="9">
        <f>AV44*'MASTER SHEET'!D44</f>
        <v>0</v>
      </c>
      <c r="EN44" s="9">
        <f>AZ44*'MASTER SHEET'!D44</f>
        <v>0</v>
      </c>
      <c r="EO44" s="9">
        <f>BD44*'MASTER SHEET'!D44</f>
        <v>0</v>
      </c>
      <c r="EP44" s="9">
        <f>BH44*'MASTER SHEET'!D44</f>
        <v>0</v>
      </c>
      <c r="EQ44" s="9">
        <f>BL44*'MASTER SHEET'!D44</f>
        <v>0</v>
      </c>
      <c r="ER44" s="9">
        <f>BP44*'MASTER SHEET'!D44</f>
        <v>0</v>
      </c>
      <c r="ES44" s="9">
        <f>BT44*'MASTER SHEET'!D44</f>
        <v>0</v>
      </c>
      <c r="ET44" s="9">
        <f>BX44*'MASTER SHEET'!D44</f>
        <v>0</v>
      </c>
      <c r="EU44" s="9">
        <f>CB44*'MASTER SHEET'!D44</f>
        <v>0</v>
      </c>
      <c r="EV44" s="9">
        <f>CF44*'MASTER SHEET'!D44</f>
        <v>0</v>
      </c>
      <c r="EW44" s="9">
        <f>CJ44*'MASTER SHEET'!D44</f>
        <v>0</v>
      </c>
      <c r="EX44" s="9">
        <f>CN44*'MASTER SHEET'!D44</f>
        <v>0</v>
      </c>
      <c r="EY44" s="9">
        <f>CV44*'MASTER SHEET'!D44</f>
        <v>0</v>
      </c>
      <c r="EZ44" s="9">
        <f>CV44*'MASTER SHEET'!D44</f>
        <v>0</v>
      </c>
      <c r="FA44" s="9">
        <f>CZ44*'MASTER SHEET'!D44</f>
        <v>0</v>
      </c>
      <c r="FB44" s="9">
        <f>DD44*'MASTER SHEET'!D44</f>
        <v>0</v>
      </c>
      <c r="FC44" s="9">
        <f>DH44*'MASTER SHEET'!D44</f>
        <v>0</v>
      </c>
      <c r="FD44" s="9">
        <f>DL44*'MASTER SHEET'!D44</f>
        <v>0</v>
      </c>
      <c r="FE44" s="9">
        <f>DP44*'MASTER SHEET'!D44</f>
        <v>0</v>
      </c>
      <c r="FF44" s="9">
        <f>DT44*'MASTER SHEET'!D44</f>
        <v>0</v>
      </c>
      <c r="FG44" s="9">
        <f>DX44*'MASTER SHEET'!D44</f>
        <v>0</v>
      </c>
    </row>
    <row r="45" spans="1:163" s="10" customFormat="1" ht="20.25" x14ac:dyDescent="0.25">
      <c r="A45" s="43">
        <f>'MASTER SHEET'!A45</f>
        <v>43</v>
      </c>
      <c r="B45" s="26" t="str">
        <f>'MASTER SHEET'!B45</f>
        <v>END PLATE PLASTIC</v>
      </c>
      <c r="C45" s="82">
        <f>'MASTER SHEET'!C45</f>
        <v>5029050</v>
      </c>
      <c r="D45" s="64"/>
      <c r="E45" s="28"/>
      <c r="F45" s="28"/>
      <c r="G45" s="65"/>
      <c r="H45" s="64">
        <f t="shared" si="35"/>
        <v>0</v>
      </c>
      <c r="I45" s="28"/>
      <c r="J45" s="28"/>
      <c r="K45" s="65"/>
      <c r="L45" s="64">
        <f t="shared" si="36"/>
        <v>0</v>
      </c>
      <c r="M45" s="28"/>
      <c r="N45" s="28"/>
      <c r="O45" s="65"/>
      <c r="P45" s="64">
        <f t="shared" si="37"/>
        <v>0</v>
      </c>
      <c r="Q45" s="28"/>
      <c r="R45" s="28"/>
      <c r="S45" s="65"/>
      <c r="T45" s="64">
        <f t="shared" si="38"/>
        <v>0</v>
      </c>
      <c r="U45" s="28"/>
      <c r="V45" s="28"/>
      <c r="W45" s="65"/>
      <c r="X45" s="64">
        <f t="shared" si="39"/>
        <v>0</v>
      </c>
      <c r="Y45" s="28"/>
      <c r="Z45" s="28"/>
      <c r="AA45" s="65"/>
      <c r="AB45" s="64">
        <f t="shared" si="40"/>
        <v>0</v>
      </c>
      <c r="AC45" s="28"/>
      <c r="AD45" s="28"/>
      <c r="AE45" s="65"/>
      <c r="AF45" s="64">
        <f t="shared" si="41"/>
        <v>0</v>
      </c>
      <c r="AG45" s="28"/>
      <c r="AH45" s="28"/>
      <c r="AI45" s="65"/>
      <c r="AJ45" s="64">
        <f t="shared" si="42"/>
        <v>0</v>
      </c>
      <c r="AK45" s="28"/>
      <c r="AL45" s="28"/>
      <c r="AM45" s="65"/>
      <c r="AN45" s="64">
        <f t="shared" si="43"/>
        <v>0</v>
      </c>
      <c r="AO45" s="28"/>
      <c r="AP45" s="28"/>
      <c r="AQ45" s="65"/>
      <c r="AR45" s="64">
        <f t="shared" si="44"/>
        <v>0</v>
      </c>
      <c r="AS45" s="28"/>
      <c r="AT45" s="28"/>
      <c r="AU45" s="65"/>
      <c r="AV45" s="64">
        <f t="shared" si="45"/>
        <v>0</v>
      </c>
      <c r="AW45" s="28"/>
      <c r="AX45" s="28"/>
      <c r="AY45" s="65"/>
      <c r="AZ45" s="64">
        <f t="shared" si="46"/>
        <v>0</v>
      </c>
      <c r="BA45" s="28"/>
      <c r="BB45" s="28"/>
      <c r="BC45" s="65"/>
      <c r="BD45" s="64">
        <f t="shared" si="47"/>
        <v>0</v>
      </c>
      <c r="BE45" s="28"/>
      <c r="BF45" s="28"/>
      <c r="BG45" s="65"/>
      <c r="BH45" s="64">
        <f t="shared" si="48"/>
        <v>0</v>
      </c>
      <c r="BI45" s="28"/>
      <c r="BJ45" s="28"/>
      <c r="BK45" s="65"/>
      <c r="BL45" s="64">
        <f t="shared" si="49"/>
        <v>0</v>
      </c>
      <c r="BM45" s="28"/>
      <c r="BN45" s="28"/>
      <c r="BO45" s="65"/>
      <c r="BP45" s="64">
        <f t="shared" si="50"/>
        <v>0</v>
      </c>
      <c r="BQ45" s="28"/>
      <c r="BR45" s="28"/>
      <c r="BS45" s="65"/>
      <c r="BT45" s="64">
        <f t="shared" si="51"/>
        <v>0</v>
      </c>
      <c r="BU45" s="28"/>
      <c r="BV45" s="28"/>
      <c r="BW45" s="65"/>
      <c r="BX45" s="64">
        <f t="shared" si="52"/>
        <v>0</v>
      </c>
      <c r="BY45" s="28"/>
      <c r="BZ45" s="28"/>
      <c r="CA45" s="65"/>
      <c r="CB45" s="64">
        <f t="shared" si="53"/>
        <v>0</v>
      </c>
      <c r="CC45" s="28"/>
      <c r="CD45" s="28"/>
      <c r="CE45" s="65"/>
      <c r="CF45" s="64">
        <f t="shared" si="54"/>
        <v>0</v>
      </c>
      <c r="CG45" s="28"/>
      <c r="CH45" s="28"/>
      <c r="CI45" s="65"/>
      <c r="CJ45" s="64">
        <f t="shared" si="55"/>
        <v>0</v>
      </c>
      <c r="CK45" s="28"/>
      <c r="CL45" s="28"/>
      <c r="CM45" s="65"/>
      <c r="CN45" s="64">
        <f t="shared" si="56"/>
        <v>0</v>
      </c>
      <c r="CO45" s="28"/>
      <c r="CP45" s="28"/>
      <c r="CQ45" s="65"/>
      <c r="CR45" s="64">
        <f t="shared" si="57"/>
        <v>0</v>
      </c>
      <c r="CS45" s="28"/>
      <c r="CT45" s="28"/>
      <c r="CU45" s="65"/>
      <c r="CV45" s="64">
        <f t="shared" si="58"/>
        <v>0</v>
      </c>
      <c r="CW45" s="28"/>
      <c r="CX45" s="28"/>
      <c r="CY45" s="65"/>
      <c r="CZ45" s="64">
        <f t="shared" si="59"/>
        <v>0</v>
      </c>
      <c r="DA45" s="28"/>
      <c r="DB45" s="28"/>
      <c r="DC45" s="65"/>
      <c r="DD45" s="64">
        <f t="shared" si="60"/>
        <v>0</v>
      </c>
      <c r="DE45" s="28"/>
      <c r="DF45" s="28"/>
      <c r="DG45" s="65"/>
      <c r="DH45" s="64">
        <f t="shared" si="61"/>
        <v>0</v>
      </c>
      <c r="DI45" s="28"/>
      <c r="DJ45" s="28"/>
      <c r="DK45" s="65"/>
      <c r="DL45" s="64">
        <f t="shared" si="62"/>
        <v>0</v>
      </c>
      <c r="DM45" s="28">
        <v>1372</v>
      </c>
      <c r="DN45" s="28">
        <v>1372</v>
      </c>
      <c r="DO45" s="65"/>
      <c r="DP45" s="64">
        <f t="shared" si="63"/>
        <v>0</v>
      </c>
      <c r="DQ45" s="28"/>
      <c r="DR45" s="28"/>
      <c r="DS45" s="65"/>
      <c r="DT45" s="64">
        <f t="shared" si="64"/>
        <v>0</v>
      </c>
      <c r="DU45" s="28"/>
      <c r="DV45" s="28"/>
      <c r="DW45" s="65"/>
      <c r="DX45" s="30">
        <f t="shared" si="65"/>
        <v>0</v>
      </c>
      <c r="DY45" s="31">
        <f t="shared" si="66"/>
        <v>1372</v>
      </c>
      <c r="DZ45" s="31">
        <f t="shared" si="67"/>
        <v>1372</v>
      </c>
      <c r="EA45" s="4">
        <f t="shared" si="68"/>
        <v>0</v>
      </c>
      <c r="EB45" s="9">
        <f>D45*'MASTER SHEET'!D45</f>
        <v>0</v>
      </c>
      <c r="EC45" s="9">
        <f>H45*'MASTER SHEET'!D45</f>
        <v>0</v>
      </c>
      <c r="ED45" s="9">
        <f>L45*'MASTER SHEET'!D45</f>
        <v>0</v>
      </c>
      <c r="EE45" s="9">
        <f>P45*'MASTER SHEET'!D45</f>
        <v>0</v>
      </c>
      <c r="EF45" s="9">
        <f>T45*'MASTER SHEET'!D45</f>
        <v>0</v>
      </c>
      <c r="EG45" s="9">
        <f>X45*'MASTER SHEET'!D45</f>
        <v>0</v>
      </c>
      <c r="EH45" s="9">
        <f>AB45*'MASTER SHEET'!D45</f>
        <v>0</v>
      </c>
      <c r="EI45" s="9">
        <f>AF45*'MASTER SHEET'!D45</f>
        <v>0</v>
      </c>
      <c r="EJ45" s="9">
        <f>AJ45*'MASTER SHEET'!D45</f>
        <v>0</v>
      </c>
      <c r="EK45" s="9">
        <f>AN45*'MASTER SHEET'!D45</f>
        <v>0</v>
      </c>
      <c r="EL45" s="9">
        <f>AR45*'MASTER SHEET'!D45</f>
        <v>0</v>
      </c>
      <c r="EM45" s="9">
        <f>AV45*'MASTER SHEET'!D45</f>
        <v>0</v>
      </c>
      <c r="EN45" s="9">
        <f>AZ45*'MASTER SHEET'!D45</f>
        <v>0</v>
      </c>
      <c r="EO45" s="9">
        <f>BD45*'MASTER SHEET'!D45</f>
        <v>0</v>
      </c>
      <c r="EP45" s="9">
        <f>BH45*'MASTER SHEET'!D45</f>
        <v>0</v>
      </c>
      <c r="EQ45" s="9">
        <f>BL45*'MASTER SHEET'!D45</f>
        <v>0</v>
      </c>
      <c r="ER45" s="9">
        <f>BP45*'MASTER SHEET'!D45</f>
        <v>0</v>
      </c>
      <c r="ES45" s="9">
        <f>BT45*'MASTER SHEET'!D45</f>
        <v>0</v>
      </c>
      <c r="ET45" s="9">
        <f>BX45*'MASTER SHEET'!D45</f>
        <v>0</v>
      </c>
      <c r="EU45" s="9">
        <f>CB45*'MASTER SHEET'!D45</f>
        <v>0</v>
      </c>
      <c r="EV45" s="9">
        <f>CF45*'MASTER SHEET'!D45</f>
        <v>0</v>
      </c>
      <c r="EW45" s="9">
        <f>CJ45*'MASTER SHEET'!D45</f>
        <v>0</v>
      </c>
      <c r="EX45" s="9">
        <f>CN45*'MASTER SHEET'!D45</f>
        <v>0</v>
      </c>
      <c r="EY45" s="9">
        <f>CV45*'MASTER SHEET'!D45</f>
        <v>0</v>
      </c>
      <c r="EZ45" s="9">
        <f>CV45*'MASTER SHEET'!D45</f>
        <v>0</v>
      </c>
      <c r="FA45" s="9">
        <f>CZ45*'MASTER SHEET'!D45</f>
        <v>0</v>
      </c>
      <c r="FB45" s="9">
        <f>DD45*'MASTER SHEET'!D45</f>
        <v>0</v>
      </c>
      <c r="FC45" s="9">
        <f>DH45*'MASTER SHEET'!D45</f>
        <v>0</v>
      </c>
      <c r="FD45" s="9">
        <f>DL45*'MASTER SHEET'!D45</f>
        <v>0</v>
      </c>
      <c r="FE45" s="9">
        <f>DP45*'MASTER SHEET'!D45</f>
        <v>0</v>
      </c>
      <c r="FF45" s="9">
        <f>DT45*'MASTER SHEET'!D45</f>
        <v>0</v>
      </c>
      <c r="FG45" s="9">
        <f>DX45*'MASTER SHEET'!D45</f>
        <v>0</v>
      </c>
    </row>
    <row r="46" spans="1:163" ht="20.25" x14ac:dyDescent="0.25">
      <c r="A46" s="43">
        <f>'MASTER SHEET'!A46</f>
        <v>44</v>
      </c>
      <c r="B46" s="26" t="str">
        <f>'MASTER SHEET'!B46</f>
        <v>END PLATE PLASTIC</v>
      </c>
      <c r="C46" s="82">
        <f>'MASTER SHEET'!C46</f>
        <v>5029356</v>
      </c>
      <c r="D46" s="64"/>
      <c r="E46" s="28"/>
      <c r="F46" s="28"/>
      <c r="G46" s="65"/>
      <c r="H46" s="64">
        <f t="shared" si="35"/>
        <v>0</v>
      </c>
      <c r="I46" s="28"/>
      <c r="J46" s="28"/>
      <c r="K46" s="65"/>
      <c r="L46" s="64">
        <f t="shared" si="36"/>
        <v>0</v>
      </c>
      <c r="M46" s="28"/>
      <c r="N46" s="28"/>
      <c r="O46" s="65"/>
      <c r="P46" s="64">
        <f t="shared" si="37"/>
        <v>0</v>
      </c>
      <c r="Q46" s="28"/>
      <c r="R46" s="28"/>
      <c r="S46" s="65"/>
      <c r="T46" s="64">
        <f t="shared" si="38"/>
        <v>0</v>
      </c>
      <c r="U46" s="28"/>
      <c r="V46" s="28"/>
      <c r="W46" s="65"/>
      <c r="X46" s="64">
        <f t="shared" si="39"/>
        <v>0</v>
      </c>
      <c r="Y46" s="28"/>
      <c r="Z46" s="28"/>
      <c r="AA46" s="65"/>
      <c r="AB46" s="64">
        <f t="shared" si="40"/>
        <v>0</v>
      </c>
      <c r="AC46" s="28"/>
      <c r="AD46" s="28"/>
      <c r="AE46" s="65"/>
      <c r="AF46" s="64">
        <f t="shared" si="41"/>
        <v>0</v>
      </c>
      <c r="AG46" s="28"/>
      <c r="AH46" s="28"/>
      <c r="AI46" s="65"/>
      <c r="AJ46" s="64">
        <f t="shared" si="42"/>
        <v>0</v>
      </c>
      <c r="AK46" s="28"/>
      <c r="AL46" s="28"/>
      <c r="AM46" s="65"/>
      <c r="AN46" s="64">
        <f t="shared" si="43"/>
        <v>0</v>
      </c>
      <c r="AO46" s="28"/>
      <c r="AP46" s="28"/>
      <c r="AQ46" s="65"/>
      <c r="AR46" s="64">
        <f t="shared" si="44"/>
        <v>0</v>
      </c>
      <c r="AS46" s="28"/>
      <c r="AT46" s="28"/>
      <c r="AU46" s="65"/>
      <c r="AV46" s="64">
        <f t="shared" si="45"/>
        <v>0</v>
      </c>
      <c r="AW46" s="28"/>
      <c r="AX46" s="28"/>
      <c r="AY46" s="65"/>
      <c r="AZ46" s="64">
        <f t="shared" si="46"/>
        <v>0</v>
      </c>
      <c r="BA46" s="28"/>
      <c r="BB46" s="28"/>
      <c r="BC46" s="65"/>
      <c r="BD46" s="64">
        <f t="shared" si="47"/>
        <v>0</v>
      </c>
      <c r="BE46" s="28"/>
      <c r="BF46" s="28"/>
      <c r="BG46" s="65"/>
      <c r="BH46" s="64">
        <f t="shared" si="48"/>
        <v>0</v>
      </c>
      <c r="BI46" s="28"/>
      <c r="BJ46" s="28"/>
      <c r="BK46" s="65"/>
      <c r="BL46" s="64">
        <f t="shared" si="49"/>
        <v>0</v>
      </c>
      <c r="BM46" s="28"/>
      <c r="BN46" s="28"/>
      <c r="BO46" s="65"/>
      <c r="BP46" s="64">
        <f t="shared" si="50"/>
        <v>0</v>
      </c>
      <c r="BQ46" s="28"/>
      <c r="BR46" s="28"/>
      <c r="BS46" s="65"/>
      <c r="BT46" s="64">
        <f t="shared" si="51"/>
        <v>0</v>
      </c>
      <c r="BU46" s="28"/>
      <c r="BV46" s="28"/>
      <c r="BW46" s="65"/>
      <c r="BX46" s="64">
        <f t="shared" si="52"/>
        <v>0</v>
      </c>
      <c r="BY46" s="28"/>
      <c r="BZ46" s="28"/>
      <c r="CA46" s="65"/>
      <c r="CB46" s="64">
        <f t="shared" si="53"/>
        <v>0</v>
      </c>
      <c r="CC46" s="28"/>
      <c r="CD46" s="28"/>
      <c r="CE46" s="65"/>
      <c r="CF46" s="64">
        <f t="shared" si="54"/>
        <v>0</v>
      </c>
      <c r="CG46" s="28"/>
      <c r="CH46" s="28"/>
      <c r="CI46" s="65"/>
      <c r="CJ46" s="64">
        <f t="shared" si="55"/>
        <v>0</v>
      </c>
      <c r="CK46" s="28"/>
      <c r="CL46" s="28"/>
      <c r="CM46" s="65"/>
      <c r="CN46" s="64">
        <f t="shared" si="56"/>
        <v>0</v>
      </c>
      <c r="CO46" s="28"/>
      <c r="CP46" s="28"/>
      <c r="CQ46" s="65"/>
      <c r="CR46" s="64">
        <f t="shared" si="57"/>
        <v>0</v>
      </c>
      <c r="CS46" s="28"/>
      <c r="CT46" s="28"/>
      <c r="CU46" s="65"/>
      <c r="CV46" s="64">
        <f t="shared" si="58"/>
        <v>0</v>
      </c>
      <c r="CW46" s="28"/>
      <c r="CX46" s="28"/>
      <c r="CY46" s="65"/>
      <c r="CZ46" s="64">
        <f t="shared" si="59"/>
        <v>0</v>
      </c>
      <c r="DA46" s="28"/>
      <c r="DB46" s="28"/>
      <c r="DC46" s="65"/>
      <c r="DD46" s="64">
        <f t="shared" si="60"/>
        <v>0</v>
      </c>
      <c r="DE46" s="28"/>
      <c r="DF46" s="28"/>
      <c r="DG46" s="65"/>
      <c r="DH46" s="64">
        <f t="shared" si="61"/>
        <v>0</v>
      </c>
      <c r="DI46" s="28"/>
      <c r="DJ46" s="28"/>
      <c r="DK46" s="65"/>
      <c r="DL46" s="64">
        <f t="shared" si="62"/>
        <v>0</v>
      </c>
      <c r="DM46" s="28"/>
      <c r="DN46" s="28"/>
      <c r="DO46" s="65"/>
      <c r="DP46" s="64">
        <f t="shared" si="63"/>
        <v>0</v>
      </c>
      <c r="DQ46" s="28"/>
      <c r="DR46" s="28"/>
      <c r="DS46" s="65"/>
      <c r="DT46" s="64">
        <f t="shared" si="64"/>
        <v>0</v>
      </c>
      <c r="DU46" s="28"/>
      <c r="DV46" s="28"/>
      <c r="DW46" s="65"/>
      <c r="DX46" s="30">
        <f t="shared" si="65"/>
        <v>0</v>
      </c>
      <c r="DY46" s="31">
        <f t="shared" si="66"/>
        <v>0</v>
      </c>
      <c r="DZ46" s="31">
        <f t="shared" si="67"/>
        <v>0</v>
      </c>
      <c r="EA46" s="4">
        <f t="shared" si="68"/>
        <v>0</v>
      </c>
      <c r="EB46" s="9">
        <f>D46*'MASTER SHEET'!D46</f>
        <v>0</v>
      </c>
      <c r="EC46" s="9">
        <f>H46*'MASTER SHEET'!D46</f>
        <v>0</v>
      </c>
      <c r="ED46" s="9">
        <f>L46*'MASTER SHEET'!D46</f>
        <v>0</v>
      </c>
      <c r="EE46" s="9">
        <f>P46*'MASTER SHEET'!D46</f>
        <v>0</v>
      </c>
      <c r="EF46" s="9">
        <f>T46*'MASTER SHEET'!D46</f>
        <v>0</v>
      </c>
      <c r="EG46" s="9">
        <f>X46*'MASTER SHEET'!D46</f>
        <v>0</v>
      </c>
      <c r="EH46" s="9">
        <f>AB46*'MASTER SHEET'!D46</f>
        <v>0</v>
      </c>
      <c r="EI46" s="9">
        <f>AF46*'MASTER SHEET'!D46</f>
        <v>0</v>
      </c>
      <c r="EJ46" s="9">
        <f>AJ46*'MASTER SHEET'!D46</f>
        <v>0</v>
      </c>
      <c r="EK46" s="9">
        <f>AN46*'MASTER SHEET'!D46</f>
        <v>0</v>
      </c>
      <c r="EL46" s="9">
        <f>AR46*'MASTER SHEET'!D46</f>
        <v>0</v>
      </c>
      <c r="EM46" s="9">
        <f>AV46*'MASTER SHEET'!D46</f>
        <v>0</v>
      </c>
      <c r="EN46" s="9">
        <f>AZ46*'MASTER SHEET'!D46</f>
        <v>0</v>
      </c>
      <c r="EO46" s="9">
        <f>BD46*'MASTER SHEET'!D46</f>
        <v>0</v>
      </c>
      <c r="EP46" s="9">
        <f>BH46*'MASTER SHEET'!D46</f>
        <v>0</v>
      </c>
      <c r="EQ46" s="9">
        <f>BL46*'MASTER SHEET'!D46</f>
        <v>0</v>
      </c>
      <c r="ER46" s="9">
        <f>BP46*'MASTER SHEET'!D46</f>
        <v>0</v>
      </c>
      <c r="ES46" s="9">
        <f>BT46*'MASTER SHEET'!D46</f>
        <v>0</v>
      </c>
      <c r="ET46" s="9">
        <f>BX46*'MASTER SHEET'!D46</f>
        <v>0</v>
      </c>
      <c r="EU46" s="9">
        <f>CB46*'MASTER SHEET'!D46</f>
        <v>0</v>
      </c>
      <c r="EV46" s="9">
        <f>CF46*'MASTER SHEET'!D46</f>
        <v>0</v>
      </c>
      <c r="EW46" s="9">
        <f>CJ46*'MASTER SHEET'!D46</f>
        <v>0</v>
      </c>
      <c r="EX46" s="9">
        <f>CN46*'MASTER SHEET'!D46</f>
        <v>0</v>
      </c>
      <c r="EY46" s="9">
        <f>CV46*'MASTER SHEET'!D46</f>
        <v>0</v>
      </c>
      <c r="EZ46" s="9">
        <f>CV46*'MASTER SHEET'!D46</f>
        <v>0</v>
      </c>
      <c r="FA46" s="9">
        <f>CZ46*'MASTER SHEET'!D46</f>
        <v>0</v>
      </c>
      <c r="FB46" s="9">
        <f>DD46*'MASTER SHEET'!D46</f>
        <v>0</v>
      </c>
      <c r="FC46" s="9">
        <f>DH46*'MASTER SHEET'!D46</f>
        <v>0</v>
      </c>
      <c r="FD46" s="9">
        <f>DL46*'MASTER SHEET'!D46</f>
        <v>0</v>
      </c>
      <c r="FE46" s="9">
        <f>DP46*'MASTER SHEET'!D46</f>
        <v>0</v>
      </c>
      <c r="FF46" s="9">
        <f>DT46*'MASTER SHEET'!D46</f>
        <v>0</v>
      </c>
      <c r="FG46" s="9">
        <f>DX46*'MASTER SHEET'!D46</f>
        <v>0</v>
      </c>
    </row>
    <row r="47" spans="1:163" ht="20.25" x14ac:dyDescent="0.25">
      <c r="A47" s="43">
        <f>'MASTER SHEET'!A47</f>
        <v>45</v>
      </c>
      <c r="B47" s="26" t="str">
        <f>'MASTER SHEET'!B47</f>
        <v>END PLATE PLASTIC</v>
      </c>
      <c r="C47" s="82">
        <f>'MASTER SHEET'!C47</f>
        <v>5029357</v>
      </c>
      <c r="D47" s="64"/>
      <c r="E47" s="28"/>
      <c r="F47" s="28"/>
      <c r="G47" s="65"/>
      <c r="H47" s="64">
        <f t="shared" si="35"/>
        <v>0</v>
      </c>
      <c r="I47" s="28"/>
      <c r="J47" s="28"/>
      <c r="K47" s="65"/>
      <c r="L47" s="64">
        <f t="shared" si="36"/>
        <v>0</v>
      </c>
      <c r="M47" s="28"/>
      <c r="N47" s="28"/>
      <c r="O47" s="65"/>
      <c r="P47" s="64">
        <f t="shared" si="37"/>
        <v>0</v>
      </c>
      <c r="Q47" s="28"/>
      <c r="R47" s="28"/>
      <c r="S47" s="65"/>
      <c r="T47" s="64">
        <f t="shared" si="38"/>
        <v>0</v>
      </c>
      <c r="U47" s="28"/>
      <c r="V47" s="28"/>
      <c r="W47" s="65"/>
      <c r="X47" s="64">
        <f t="shared" si="39"/>
        <v>0</v>
      </c>
      <c r="Y47" s="28"/>
      <c r="Z47" s="28"/>
      <c r="AA47" s="65"/>
      <c r="AB47" s="64">
        <f t="shared" si="40"/>
        <v>0</v>
      </c>
      <c r="AC47" s="28"/>
      <c r="AD47" s="28"/>
      <c r="AE47" s="65"/>
      <c r="AF47" s="64">
        <f t="shared" si="41"/>
        <v>0</v>
      </c>
      <c r="AG47" s="28"/>
      <c r="AH47" s="28"/>
      <c r="AI47" s="65"/>
      <c r="AJ47" s="64">
        <f t="shared" si="42"/>
        <v>0</v>
      </c>
      <c r="AK47" s="28"/>
      <c r="AL47" s="28"/>
      <c r="AM47" s="65"/>
      <c r="AN47" s="64">
        <f t="shared" si="43"/>
        <v>0</v>
      </c>
      <c r="AO47" s="28"/>
      <c r="AP47" s="28"/>
      <c r="AQ47" s="65"/>
      <c r="AR47" s="64">
        <f t="shared" si="44"/>
        <v>0</v>
      </c>
      <c r="AS47" s="28"/>
      <c r="AT47" s="28"/>
      <c r="AU47" s="65"/>
      <c r="AV47" s="64">
        <f t="shared" si="45"/>
        <v>0</v>
      </c>
      <c r="AW47" s="28"/>
      <c r="AX47" s="28"/>
      <c r="AY47" s="65"/>
      <c r="AZ47" s="64">
        <f t="shared" si="46"/>
        <v>0</v>
      </c>
      <c r="BA47" s="28"/>
      <c r="BB47" s="28"/>
      <c r="BC47" s="65"/>
      <c r="BD47" s="64">
        <f t="shared" si="47"/>
        <v>0</v>
      </c>
      <c r="BE47" s="28"/>
      <c r="BF47" s="28"/>
      <c r="BG47" s="65"/>
      <c r="BH47" s="64">
        <f t="shared" si="48"/>
        <v>0</v>
      </c>
      <c r="BI47" s="28"/>
      <c r="BJ47" s="28"/>
      <c r="BK47" s="65"/>
      <c r="BL47" s="64">
        <f t="shared" si="49"/>
        <v>0</v>
      </c>
      <c r="BM47" s="28"/>
      <c r="BN47" s="28"/>
      <c r="BO47" s="65"/>
      <c r="BP47" s="64">
        <f t="shared" si="50"/>
        <v>0</v>
      </c>
      <c r="BQ47" s="28"/>
      <c r="BR47" s="28"/>
      <c r="BS47" s="65"/>
      <c r="BT47" s="64">
        <f t="shared" si="51"/>
        <v>0</v>
      </c>
      <c r="BU47" s="28"/>
      <c r="BV47" s="28"/>
      <c r="BW47" s="65"/>
      <c r="BX47" s="64">
        <f t="shared" si="52"/>
        <v>0</v>
      </c>
      <c r="BY47" s="28"/>
      <c r="BZ47" s="28"/>
      <c r="CA47" s="65"/>
      <c r="CB47" s="64">
        <f t="shared" si="53"/>
        <v>0</v>
      </c>
      <c r="CC47" s="28"/>
      <c r="CD47" s="28"/>
      <c r="CE47" s="65"/>
      <c r="CF47" s="64">
        <f t="shared" si="54"/>
        <v>0</v>
      </c>
      <c r="CG47" s="28"/>
      <c r="CH47" s="28"/>
      <c r="CI47" s="65"/>
      <c r="CJ47" s="64">
        <f t="shared" si="55"/>
        <v>0</v>
      </c>
      <c r="CK47" s="28"/>
      <c r="CL47" s="28"/>
      <c r="CM47" s="65"/>
      <c r="CN47" s="64">
        <f t="shared" si="56"/>
        <v>0</v>
      </c>
      <c r="CO47" s="28"/>
      <c r="CP47" s="28"/>
      <c r="CQ47" s="65"/>
      <c r="CR47" s="64">
        <f t="shared" si="57"/>
        <v>0</v>
      </c>
      <c r="CS47" s="28"/>
      <c r="CT47" s="28"/>
      <c r="CU47" s="65"/>
      <c r="CV47" s="64">
        <f t="shared" si="58"/>
        <v>0</v>
      </c>
      <c r="CW47" s="28"/>
      <c r="CX47" s="28"/>
      <c r="CY47" s="65"/>
      <c r="CZ47" s="64">
        <f t="shared" si="59"/>
        <v>0</v>
      </c>
      <c r="DA47" s="28"/>
      <c r="DB47" s="28"/>
      <c r="DC47" s="65"/>
      <c r="DD47" s="64">
        <f t="shared" si="60"/>
        <v>0</v>
      </c>
      <c r="DE47" s="28"/>
      <c r="DF47" s="28"/>
      <c r="DG47" s="65"/>
      <c r="DH47" s="64">
        <f t="shared" si="61"/>
        <v>0</v>
      </c>
      <c r="DI47" s="28"/>
      <c r="DJ47" s="28"/>
      <c r="DK47" s="65"/>
      <c r="DL47" s="64">
        <f t="shared" si="62"/>
        <v>0</v>
      </c>
      <c r="DM47" s="28"/>
      <c r="DN47" s="28"/>
      <c r="DO47" s="65"/>
      <c r="DP47" s="64">
        <f t="shared" si="63"/>
        <v>0</v>
      </c>
      <c r="DQ47" s="28"/>
      <c r="DR47" s="28"/>
      <c r="DS47" s="65"/>
      <c r="DT47" s="64">
        <f t="shared" si="64"/>
        <v>0</v>
      </c>
      <c r="DU47" s="28"/>
      <c r="DV47" s="28"/>
      <c r="DW47" s="65"/>
      <c r="DX47" s="30">
        <f t="shared" si="65"/>
        <v>0</v>
      </c>
      <c r="DY47" s="31">
        <f t="shared" si="66"/>
        <v>0</v>
      </c>
      <c r="DZ47" s="31">
        <f t="shared" si="67"/>
        <v>0</v>
      </c>
      <c r="EA47" s="4">
        <f t="shared" si="68"/>
        <v>0</v>
      </c>
      <c r="EB47" s="9">
        <f>D47*'MASTER SHEET'!D47</f>
        <v>0</v>
      </c>
      <c r="EC47" s="9">
        <f>H47*'MASTER SHEET'!D47</f>
        <v>0</v>
      </c>
      <c r="ED47" s="9">
        <f>L47*'MASTER SHEET'!D47</f>
        <v>0</v>
      </c>
      <c r="EE47" s="9">
        <f>P47*'MASTER SHEET'!D47</f>
        <v>0</v>
      </c>
      <c r="EF47" s="9">
        <f>T47*'MASTER SHEET'!D47</f>
        <v>0</v>
      </c>
      <c r="EG47" s="9">
        <f>X47*'MASTER SHEET'!D47</f>
        <v>0</v>
      </c>
      <c r="EH47" s="9">
        <f>AB47*'MASTER SHEET'!D47</f>
        <v>0</v>
      </c>
      <c r="EI47" s="9">
        <f>AF47*'MASTER SHEET'!D47</f>
        <v>0</v>
      </c>
      <c r="EJ47" s="9">
        <f>AJ47*'MASTER SHEET'!D47</f>
        <v>0</v>
      </c>
      <c r="EK47" s="9">
        <f>AN47*'MASTER SHEET'!D47</f>
        <v>0</v>
      </c>
      <c r="EL47" s="9">
        <f>AR47*'MASTER SHEET'!D47</f>
        <v>0</v>
      </c>
      <c r="EM47" s="9">
        <f>AV47*'MASTER SHEET'!D47</f>
        <v>0</v>
      </c>
      <c r="EN47" s="9">
        <f>AZ47*'MASTER SHEET'!D47</f>
        <v>0</v>
      </c>
      <c r="EO47" s="9">
        <f>BD47*'MASTER SHEET'!D47</f>
        <v>0</v>
      </c>
      <c r="EP47" s="9">
        <f>BH47*'MASTER SHEET'!D47</f>
        <v>0</v>
      </c>
      <c r="EQ47" s="9">
        <f>BL47*'MASTER SHEET'!D47</f>
        <v>0</v>
      </c>
      <c r="ER47" s="9">
        <f>BP47*'MASTER SHEET'!D47</f>
        <v>0</v>
      </c>
      <c r="ES47" s="9">
        <f>BT47*'MASTER SHEET'!D47</f>
        <v>0</v>
      </c>
      <c r="ET47" s="9">
        <f>BX47*'MASTER SHEET'!D47</f>
        <v>0</v>
      </c>
      <c r="EU47" s="9">
        <f>CB47*'MASTER SHEET'!D47</f>
        <v>0</v>
      </c>
      <c r="EV47" s="9">
        <f>CF47*'MASTER SHEET'!D47</f>
        <v>0</v>
      </c>
      <c r="EW47" s="9">
        <f>CJ47*'MASTER SHEET'!D47</f>
        <v>0</v>
      </c>
      <c r="EX47" s="9">
        <f>CN47*'MASTER SHEET'!D47</f>
        <v>0</v>
      </c>
      <c r="EY47" s="9">
        <f>CV47*'MASTER SHEET'!D47</f>
        <v>0</v>
      </c>
      <c r="EZ47" s="9">
        <f>CV47*'MASTER SHEET'!D47</f>
        <v>0</v>
      </c>
      <c r="FA47" s="9">
        <f>CZ47*'MASTER SHEET'!D47</f>
        <v>0</v>
      </c>
      <c r="FB47" s="9">
        <f>DD47*'MASTER SHEET'!D47</f>
        <v>0</v>
      </c>
      <c r="FC47" s="9">
        <f>DH47*'MASTER SHEET'!D47</f>
        <v>0</v>
      </c>
      <c r="FD47" s="9">
        <f>DL47*'MASTER SHEET'!D47</f>
        <v>0</v>
      </c>
      <c r="FE47" s="9">
        <f>DP47*'MASTER SHEET'!D47</f>
        <v>0</v>
      </c>
      <c r="FF47" s="9">
        <f>DT47*'MASTER SHEET'!D47</f>
        <v>0</v>
      </c>
      <c r="FG47" s="9">
        <f>DX47*'MASTER SHEET'!D47</f>
        <v>0</v>
      </c>
    </row>
    <row r="48" spans="1:163" s="10" customFormat="1" ht="20.25" x14ac:dyDescent="0.25">
      <c r="A48" s="43">
        <f>'MASTER SHEET'!A48</f>
        <v>46</v>
      </c>
      <c r="B48" s="26" t="str">
        <f>'MASTER SHEET'!B48</f>
        <v>CENTERTUBE PLASTIC</v>
      </c>
      <c r="C48" s="82">
        <f>'MASTER SHEET'!C48</f>
        <v>5029358</v>
      </c>
      <c r="D48" s="64"/>
      <c r="E48" s="28"/>
      <c r="F48" s="28"/>
      <c r="G48" s="65"/>
      <c r="H48" s="64">
        <f t="shared" si="35"/>
        <v>0</v>
      </c>
      <c r="I48" s="28"/>
      <c r="J48" s="28"/>
      <c r="K48" s="65"/>
      <c r="L48" s="64">
        <f t="shared" si="36"/>
        <v>0</v>
      </c>
      <c r="M48" s="28"/>
      <c r="N48" s="28"/>
      <c r="O48" s="65"/>
      <c r="P48" s="64">
        <f t="shared" si="37"/>
        <v>0</v>
      </c>
      <c r="Q48" s="28"/>
      <c r="R48" s="28"/>
      <c r="S48" s="65"/>
      <c r="T48" s="64">
        <f t="shared" si="38"/>
        <v>0</v>
      </c>
      <c r="U48" s="28"/>
      <c r="V48" s="28"/>
      <c r="W48" s="65"/>
      <c r="X48" s="64">
        <f t="shared" si="39"/>
        <v>0</v>
      </c>
      <c r="Y48" s="28"/>
      <c r="Z48" s="28"/>
      <c r="AA48" s="65"/>
      <c r="AB48" s="64">
        <f t="shared" si="40"/>
        <v>0</v>
      </c>
      <c r="AC48" s="28"/>
      <c r="AD48" s="28"/>
      <c r="AE48" s="65"/>
      <c r="AF48" s="64">
        <f t="shared" si="41"/>
        <v>0</v>
      </c>
      <c r="AG48" s="28"/>
      <c r="AH48" s="28"/>
      <c r="AI48" s="65"/>
      <c r="AJ48" s="64">
        <f t="shared" si="42"/>
        <v>0</v>
      </c>
      <c r="AK48" s="28"/>
      <c r="AL48" s="28"/>
      <c r="AM48" s="65"/>
      <c r="AN48" s="64">
        <f t="shared" si="43"/>
        <v>0</v>
      </c>
      <c r="AO48" s="28"/>
      <c r="AP48" s="28"/>
      <c r="AQ48" s="65"/>
      <c r="AR48" s="64">
        <f t="shared" si="44"/>
        <v>0</v>
      </c>
      <c r="AS48" s="28"/>
      <c r="AT48" s="28"/>
      <c r="AU48" s="65"/>
      <c r="AV48" s="64">
        <f t="shared" si="45"/>
        <v>0</v>
      </c>
      <c r="AW48" s="28"/>
      <c r="AX48" s="28"/>
      <c r="AY48" s="65"/>
      <c r="AZ48" s="64">
        <f t="shared" si="46"/>
        <v>0</v>
      </c>
      <c r="BA48" s="28"/>
      <c r="BB48" s="28"/>
      <c r="BC48" s="65"/>
      <c r="BD48" s="64">
        <f t="shared" si="47"/>
        <v>0</v>
      </c>
      <c r="BE48" s="28"/>
      <c r="BF48" s="28"/>
      <c r="BG48" s="65"/>
      <c r="BH48" s="64">
        <f t="shared" si="48"/>
        <v>0</v>
      </c>
      <c r="BI48" s="28"/>
      <c r="BJ48" s="28"/>
      <c r="BK48" s="65"/>
      <c r="BL48" s="64">
        <f t="shared" si="49"/>
        <v>0</v>
      </c>
      <c r="BM48" s="28"/>
      <c r="BN48" s="28"/>
      <c r="BO48" s="65"/>
      <c r="BP48" s="64">
        <f t="shared" si="50"/>
        <v>0</v>
      </c>
      <c r="BQ48" s="28"/>
      <c r="BR48" s="28"/>
      <c r="BS48" s="65"/>
      <c r="BT48" s="64">
        <f t="shared" si="51"/>
        <v>0</v>
      </c>
      <c r="BU48" s="28"/>
      <c r="BV48" s="28"/>
      <c r="BW48" s="65"/>
      <c r="BX48" s="64">
        <f t="shared" si="52"/>
        <v>0</v>
      </c>
      <c r="BY48" s="28"/>
      <c r="BZ48" s="28"/>
      <c r="CA48" s="65"/>
      <c r="CB48" s="64">
        <f t="shared" si="53"/>
        <v>0</v>
      </c>
      <c r="CC48" s="28"/>
      <c r="CD48" s="28"/>
      <c r="CE48" s="65"/>
      <c r="CF48" s="64">
        <f t="shared" si="54"/>
        <v>0</v>
      </c>
      <c r="CG48" s="28"/>
      <c r="CH48" s="28"/>
      <c r="CI48" s="65"/>
      <c r="CJ48" s="64">
        <f t="shared" si="55"/>
        <v>0</v>
      </c>
      <c r="CK48" s="28"/>
      <c r="CL48" s="28"/>
      <c r="CM48" s="65"/>
      <c r="CN48" s="64">
        <f t="shared" si="56"/>
        <v>0</v>
      </c>
      <c r="CO48" s="28"/>
      <c r="CP48" s="28"/>
      <c r="CQ48" s="65"/>
      <c r="CR48" s="64">
        <f t="shared" si="57"/>
        <v>0</v>
      </c>
      <c r="CS48" s="28"/>
      <c r="CT48" s="28"/>
      <c r="CU48" s="65"/>
      <c r="CV48" s="64">
        <f t="shared" si="58"/>
        <v>0</v>
      </c>
      <c r="CW48" s="28"/>
      <c r="CX48" s="28"/>
      <c r="CY48" s="65"/>
      <c r="CZ48" s="64">
        <f t="shared" si="59"/>
        <v>0</v>
      </c>
      <c r="DA48" s="28"/>
      <c r="DB48" s="28"/>
      <c r="DC48" s="65"/>
      <c r="DD48" s="64">
        <f t="shared" si="60"/>
        <v>0</v>
      </c>
      <c r="DE48" s="28"/>
      <c r="DF48" s="28"/>
      <c r="DG48" s="65"/>
      <c r="DH48" s="64">
        <f t="shared" si="61"/>
        <v>0</v>
      </c>
      <c r="DI48" s="28"/>
      <c r="DJ48" s="28"/>
      <c r="DK48" s="65"/>
      <c r="DL48" s="64">
        <f t="shared" si="62"/>
        <v>0</v>
      </c>
      <c r="DM48" s="28"/>
      <c r="DN48" s="28"/>
      <c r="DO48" s="65"/>
      <c r="DP48" s="64">
        <f t="shared" si="63"/>
        <v>0</v>
      </c>
      <c r="DQ48" s="28"/>
      <c r="DR48" s="28"/>
      <c r="DS48" s="65"/>
      <c r="DT48" s="64">
        <f t="shared" si="64"/>
        <v>0</v>
      </c>
      <c r="DU48" s="28"/>
      <c r="DV48" s="28"/>
      <c r="DW48" s="65"/>
      <c r="DX48" s="30">
        <f t="shared" si="65"/>
        <v>0</v>
      </c>
      <c r="DY48" s="31">
        <f t="shared" si="66"/>
        <v>0</v>
      </c>
      <c r="DZ48" s="31">
        <f t="shared" si="67"/>
        <v>0</v>
      </c>
      <c r="EA48" s="4">
        <f t="shared" si="68"/>
        <v>0</v>
      </c>
      <c r="EB48" s="9">
        <f>D48*'MASTER SHEET'!D48</f>
        <v>0</v>
      </c>
      <c r="EC48" s="9">
        <f>H48*'MASTER SHEET'!D48</f>
        <v>0</v>
      </c>
      <c r="ED48" s="9">
        <f>L48*'MASTER SHEET'!D48</f>
        <v>0</v>
      </c>
      <c r="EE48" s="9">
        <f>P48*'MASTER SHEET'!D48</f>
        <v>0</v>
      </c>
      <c r="EF48" s="9">
        <f>T48*'MASTER SHEET'!D48</f>
        <v>0</v>
      </c>
      <c r="EG48" s="9">
        <f>X48*'MASTER SHEET'!D48</f>
        <v>0</v>
      </c>
      <c r="EH48" s="9">
        <f>AB48*'MASTER SHEET'!D48</f>
        <v>0</v>
      </c>
      <c r="EI48" s="9">
        <f>AF48*'MASTER SHEET'!D48</f>
        <v>0</v>
      </c>
      <c r="EJ48" s="9">
        <f>AJ48*'MASTER SHEET'!D48</f>
        <v>0</v>
      </c>
      <c r="EK48" s="9">
        <f>AN48*'MASTER SHEET'!D48</f>
        <v>0</v>
      </c>
      <c r="EL48" s="9">
        <f>AR48*'MASTER SHEET'!D48</f>
        <v>0</v>
      </c>
      <c r="EM48" s="9">
        <f>AV48*'MASTER SHEET'!D48</f>
        <v>0</v>
      </c>
      <c r="EN48" s="9">
        <f>AZ48*'MASTER SHEET'!D48</f>
        <v>0</v>
      </c>
      <c r="EO48" s="9">
        <f>BD48*'MASTER SHEET'!D48</f>
        <v>0</v>
      </c>
      <c r="EP48" s="9">
        <f>BH48*'MASTER SHEET'!D48</f>
        <v>0</v>
      </c>
      <c r="EQ48" s="9">
        <f>BL48*'MASTER SHEET'!D48</f>
        <v>0</v>
      </c>
      <c r="ER48" s="9">
        <f>BP48*'MASTER SHEET'!D48</f>
        <v>0</v>
      </c>
      <c r="ES48" s="9">
        <f>BT48*'MASTER SHEET'!D48</f>
        <v>0</v>
      </c>
      <c r="ET48" s="9">
        <f>BX48*'MASTER SHEET'!D48</f>
        <v>0</v>
      </c>
      <c r="EU48" s="9">
        <f>CB48*'MASTER SHEET'!D48</f>
        <v>0</v>
      </c>
      <c r="EV48" s="9">
        <f>CF48*'MASTER SHEET'!D48</f>
        <v>0</v>
      </c>
      <c r="EW48" s="9">
        <f>CJ48*'MASTER SHEET'!D48</f>
        <v>0</v>
      </c>
      <c r="EX48" s="9">
        <f>CN48*'MASTER SHEET'!D48</f>
        <v>0</v>
      </c>
      <c r="EY48" s="9">
        <f>CV48*'MASTER SHEET'!D48</f>
        <v>0</v>
      </c>
      <c r="EZ48" s="9">
        <f>CV48*'MASTER SHEET'!D48</f>
        <v>0</v>
      </c>
      <c r="FA48" s="9">
        <f>CZ48*'MASTER SHEET'!D48</f>
        <v>0</v>
      </c>
      <c r="FB48" s="9">
        <f>DD48*'MASTER SHEET'!D48</f>
        <v>0</v>
      </c>
      <c r="FC48" s="9">
        <f>DH48*'MASTER SHEET'!D48</f>
        <v>0</v>
      </c>
      <c r="FD48" s="9">
        <f>DL48*'MASTER SHEET'!D48</f>
        <v>0</v>
      </c>
      <c r="FE48" s="9">
        <f>DP48*'MASTER SHEET'!D48</f>
        <v>0</v>
      </c>
      <c r="FF48" s="9">
        <f>DT48*'MASTER SHEET'!D48</f>
        <v>0</v>
      </c>
      <c r="FG48" s="9">
        <f>DX48*'MASTER SHEET'!D48</f>
        <v>0</v>
      </c>
    </row>
    <row r="49" spans="1:163" ht="20.25" x14ac:dyDescent="0.25">
      <c r="A49" s="43">
        <f>'MASTER SHEET'!A49</f>
        <v>47</v>
      </c>
      <c r="B49" s="26" t="str">
        <f>'MASTER SHEET'!B49</f>
        <v>CDR CAP</v>
      </c>
      <c r="C49" s="82">
        <f>'MASTER SHEET'!C49</f>
        <v>5030020</v>
      </c>
      <c r="D49" s="64"/>
      <c r="E49" s="28"/>
      <c r="F49" s="28"/>
      <c r="G49" s="65"/>
      <c r="H49" s="64">
        <f t="shared" si="35"/>
        <v>0</v>
      </c>
      <c r="I49" s="28"/>
      <c r="J49" s="28"/>
      <c r="K49" s="65"/>
      <c r="L49" s="64">
        <f t="shared" si="36"/>
        <v>0</v>
      </c>
      <c r="M49" s="28"/>
      <c r="N49" s="28"/>
      <c r="O49" s="65"/>
      <c r="P49" s="64">
        <f t="shared" si="37"/>
        <v>0</v>
      </c>
      <c r="Q49" s="28"/>
      <c r="R49" s="28"/>
      <c r="S49" s="65"/>
      <c r="T49" s="64">
        <f t="shared" si="38"/>
        <v>0</v>
      </c>
      <c r="U49" s="28"/>
      <c r="V49" s="28"/>
      <c r="W49" s="65"/>
      <c r="X49" s="64">
        <f t="shared" si="39"/>
        <v>0</v>
      </c>
      <c r="Y49" s="28"/>
      <c r="Z49" s="28"/>
      <c r="AA49" s="65"/>
      <c r="AB49" s="64">
        <f t="shared" si="40"/>
        <v>0</v>
      </c>
      <c r="AC49" s="28"/>
      <c r="AD49" s="28"/>
      <c r="AE49" s="65"/>
      <c r="AF49" s="64">
        <f t="shared" si="41"/>
        <v>0</v>
      </c>
      <c r="AG49" s="28"/>
      <c r="AH49" s="28"/>
      <c r="AI49" s="65"/>
      <c r="AJ49" s="64">
        <f t="shared" si="42"/>
        <v>0</v>
      </c>
      <c r="AK49" s="28"/>
      <c r="AL49" s="28"/>
      <c r="AM49" s="65"/>
      <c r="AN49" s="64">
        <f t="shared" si="43"/>
        <v>0</v>
      </c>
      <c r="AO49" s="28"/>
      <c r="AP49" s="28"/>
      <c r="AQ49" s="65"/>
      <c r="AR49" s="64">
        <f t="shared" si="44"/>
        <v>0</v>
      </c>
      <c r="AS49" s="28"/>
      <c r="AT49" s="28"/>
      <c r="AU49" s="65"/>
      <c r="AV49" s="64">
        <f t="shared" si="45"/>
        <v>0</v>
      </c>
      <c r="AW49" s="28"/>
      <c r="AX49" s="28"/>
      <c r="AY49" s="65"/>
      <c r="AZ49" s="64">
        <f t="shared" si="46"/>
        <v>0</v>
      </c>
      <c r="BA49" s="28"/>
      <c r="BB49" s="28"/>
      <c r="BC49" s="65"/>
      <c r="BD49" s="64">
        <f t="shared" si="47"/>
        <v>0</v>
      </c>
      <c r="BE49" s="28"/>
      <c r="BF49" s="28"/>
      <c r="BG49" s="65"/>
      <c r="BH49" s="64">
        <f t="shared" si="48"/>
        <v>0</v>
      </c>
      <c r="BI49" s="28"/>
      <c r="BJ49" s="28"/>
      <c r="BK49" s="65"/>
      <c r="BL49" s="64">
        <f t="shared" si="49"/>
        <v>0</v>
      </c>
      <c r="BM49" s="28"/>
      <c r="BN49" s="28"/>
      <c r="BO49" s="65"/>
      <c r="BP49" s="64">
        <f t="shared" si="50"/>
        <v>0</v>
      </c>
      <c r="BQ49" s="28"/>
      <c r="BR49" s="28"/>
      <c r="BS49" s="65"/>
      <c r="BT49" s="64">
        <f t="shared" si="51"/>
        <v>0</v>
      </c>
      <c r="BU49" s="28"/>
      <c r="BV49" s="28"/>
      <c r="BW49" s="65"/>
      <c r="BX49" s="64">
        <f t="shared" si="52"/>
        <v>0</v>
      </c>
      <c r="BY49" s="28"/>
      <c r="BZ49" s="28"/>
      <c r="CA49" s="65"/>
      <c r="CB49" s="64">
        <f t="shared" si="53"/>
        <v>0</v>
      </c>
      <c r="CC49" s="28"/>
      <c r="CD49" s="28"/>
      <c r="CE49" s="65"/>
      <c r="CF49" s="64">
        <f t="shared" si="54"/>
        <v>0</v>
      </c>
      <c r="CG49" s="28"/>
      <c r="CH49" s="28"/>
      <c r="CI49" s="65"/>
      <c r="CJ49" s="64">
        <f t="shared" si="55"/>
        <v>0</v>
      </c>
      <c r="CK49" s="28"/>
      <c r="CL49" s="28"/>
      <c r="CM49" s="65"/>
      <c r="CN49" s="64">
        <f t="shared" si="56"/>
        <v>0</v>
      </c>
      <c r="CO49" s="28"/>
      <c r="CP49" s="28"/>
      <c r="CQ49" s="65"/>
      <c r="CR49" s="64">
        <f t="shared" si="57"/>
        <v>0</v>
      </c>
      <c r="CS49" s="28"/>
      <c r="CT49" s="28"/>
      <c r="CU49" s="65"/>
      <c r="CV49" s="64">
        <f t="shared" si="58"/>
        <v>0</v>
      </c>
      <c r="CW49" s="28"/>
      <c r="CX49" s="28"/>
      <c r="CY49" s="65"/>
      <c r="CZ49" s="64">
        <f t="shared" si="59"/>
        <v>0</v>
      </c>
      <c r="DA49" s="28"/>
      <c r="DB49" s="28"/>
      <c r="DC49" s="65"/>
      <c r="DD49" s="64">
        <f t="shared" si="60"/>
        <v>0</v>
      </c>
      <c r="DE49" s="28"/>
      <c r="DF49" s="28"/>
      <c r="DG49" s="65"/>
      <c r="DH49" s="64">
        <f t="shared" si="61"/>
        <v>0</v>
      </c>
      <c r="DI49" s="28"/>
      <c r="DJ49" s="28"/>
      <c r="DK49" s="65"/>
      <c r="DL49" s="64">
        <f t="shared" si="62"/>
        <v>0</v>
      </c>
      <c r="DM49" s="28"/>
      <c r="DN49" s="28"/>
      <c r="DO49" s="65"/>
      <c r="DP49" s="64">
        <f t="shared" si="63"/>
        <v>0</v>
      </c>
      <c r="DQ49" s="28"/>
      <c r="DR49" s="28"/>
      <c r="DS49" s="65"/>
      <c r="DT49" s="64">
        <f t="shared" si="64"/>
        <v>0</v>
      </c>
      <c r="DU49" s="28"/>
      <c r="DV49" s="28"/>
      <c r="DW49" s="65"/>
      <c r="DX49" s="30">
        <f t="shared" si="65"/>
        <v>0</v>
      </c>
      <c r="DY49" s="31">
        <f t="shared" si="66"/>
        <v>0</v>
      </c>
      <c r="DZ49" s="31">
        <f t="shared" si="67"/>
        <v>0</v>
      </c>
      <c r="EA49" s="4">
        <f t="shared" si="68"/>
        <v>0</v>
      </c>
      <c r="EB49" s="9">
        <f>D49*'MASTER SHEET'!D49</f>
        <v>0</v>
      </c>
      <c r="EC49" s="9">
        <f>H49*'MASTER SHEET'!D49</f>
        <v>0</v>
      </c>
      <c r="ED49" s="9">
        <f>L49*'MASTER SHEET'!D49</f>
        <v>0</v>
      </c>
      <c r="EE49" s="9">
        <f>P49*'MASTER SHEET'!D49</f>
        <v>0</v>
      </c>
      <c r="EF49" s="9">
        <f>T49*'MASTER SHEET'!D49</f>
        <v>0</v>
      </c>
      <c r="EG49" s="9">
        <f>X49*'MASTER SHEET'!D49</f>
        <v>0</v>
      </c>
      <c r="EH49" s="9">
        <f>AB49*'MASTER SHEET'!D49</f>
        <v>0</v>
      </c>
      <c r="EI49" s="9">
        <f>AF49*'MASTER SHEET'!D49</f>
        <v>0</v>
      </c>
      <c r="EJ49" s="9">
        <f>AJ49*'MASTER SHEET'!D49</f>
        <v>0</v>
      </c>
      <c r="EK49" s="9">
        <f>AN49*'MASTER SHEET'!D49</f>
        <v>0</v>
      </c>
      <c r="EL49" s="9">
        <f>AR49*'MASTER SHEET'!D49</f>
        <v>0</v>
      </c>
      <c r="EM49" s="9">
        <f>AV49*'MASTER SHEET'!D49</f>
        <v>0</v>
      </c>
      <c r="EN49" s="9">
        <f>AZ49*'MASTER SHEET'!D49</f>
        <v>0</v>
      </c>
      <c r="EO49" s="9">
        <f>BD49*'MASTER SHEET'!D49</f>
        <v>0</v>
      </c>
      <c r="EP49" s="9">
        <f>BH49*'MASTER SHEET'!D49</f>
        <v>0</v>
      </c>
      <c r="EQ49" s="9">
        <f>BL49*'MASTER SHEET'!D49</f>
        <v>0</v>
      </c>
      <c r="ER49" s="9">
        <f>BP49*'MASTER SHEET'!D49</f>
        <v>0</v>
      </c>
      <c r="ES49" s="9">
        <f>BT49*'MASTER SHEET'!D49</f>
        <v>0</v>
      </c>
      <c r="ET49" s="9">
        <f>BX49*'MASTER SHEET'!D49</f>
        <v>0</v>
      </c>
      <c r="EU49" s="9">
        <f>CB49*'MASTER SHEET'!D49</f>
        <v>0</v>
      </c>
      <c r="EV49" s="9">
        <f>CF49*'MASTER SHEET'!D49</f>
        <v>0</v>
      </c>
      <c r="EW49" s="9">
        <f>CJ49*'MASTER SHEET'!D49</f>
        <v>0</v>
      </c>
      <c r="EX49" s="9">
        <f>CN49*'MASTER SHEET'!D49</f>
        <v>0</v>
      </c>
      <c r="EY49" s="9">
        <f>CV49*'MASTER SHEET'!D49</f>
        <v>0</v>
      </c>
      <c r="EZ49" s="9">
        <f>CV49*'MASTER SHEET'!D49</f>
        <v>0</v>
      </c>
      <c r="FA49" s="9">
        <f>CZ49*'MASTER SHEET'!D49</f>
        <v>0</v>
      </c>
      <c r="FB49" s="9">
        <f>DD49*'MASTER SHEET'!D49</f>
        <v>0</v>
      </c>
      <c r="FC49" s="9">
        <f>DH49*'MASTER SHEET'!D49</f>
        <v>0</v>
      </c>
      <c r="FD49" s="9">
        <f>DL49*'MASTER SHEET'!D49</f>
        <v>0</v>
      </c>
      <c r="FE49" s="9">
        <f>DP49*'MASTER SHEET'!D49</f>
        <v>0</v>
      </c>
      <c r="FF49" s="9">
        <f>DT49*'MASTER SHEET'!D49</f>
        <v>0</v>
      </c>
      <c r="FG49" s="9">
        <f>DX49*'MASTER SHEET'!D49</f>
        <v>0</v>
      </c>
    </row>
    <row r="50" spans="1:163" s="10" customFormat="1" ht="20.25" x14ac:dyDescent="0.25">
      <c r="A50" s="43">
        <f>'MASTER SHEET'!A50</f>
        <v>48</v>
      </c>
      <c r="B50" s="26" t="str">
        <f>'MASTER SHEET'!B50</f>
        <v xml:space="preserve">CDR HOUSING </v>
      </c>
      <c r="C50" s="82">
        <f>'MASTER SHEET'!C50</f>
        <v>5030021</v>
      </c>
      <c r="D50" s="64"/>
      <c r="E50" s="28"/>
      <c r="F50" s="28"/>
      <c r="G50" s="65"/>
      <c r="H50" s="64">
        <f t="shared" si="35"/>
        <v>0</v>
      </c>
      <c r="I50" s="28"/>
      <c r="J50" s="28"/>
      <c r="K50" s="65"/>
      <c r="L50" s="64">
        <f t="shared" si="36"/>
        <v>0</v>
      </c>
      <c r="M50" s="28"/>
      <c r="N50" s="28"/>
      <c r="O50" s="65"/>
      <c r="P50" s="64">
        <f t="shared" si="37"/>
        <v>0</v>
      </c>
      <c r="Q50" s="28"/>
      <c r="R50" s="28"/>
      <c r="S50" s="65"/>
      <c r="T50" s="64">
        <f t="shared" si="38"/>
        <v>0</v>
      </c>
      <c r="U50" s="28"/>
      <c r="V50" s="28"/>
      <c r="W50" s="65"/>
      <c r="X50" s="64">
        <f t="shared" si="39"/>
        <v>0</v>
      </c>
      <c r="Y50" s="28"/>
      <c r="Z50" s="28"/>
      <c r="AA50" s="65"/>
      <c r="AB50" s="64">
        <f t="shared" si="40"/>
        <v>0</v>
      </c>
      <c r="AC50" s="28"/>
      <c r="AD50" s="28"/>
      <c r="AE50" s="65"/>
      <c r="AF50" s="64">
        <f t="shared" si="41"/>
        <v>0</v>
      </c>
      <c r="AG50" s="28"/>
      <c r="AH50" s="28"/>
      <c r="AI50" s="65"/>
      <c r="AJ50" s="64">
        <f t="shared" si="42"/>
        <v>0</v>
      </c>
      <c r="AK50" s="28"/>
      <c r="AL50" s="28"/>
      <c r="AM50" s="65"/>
      <c r="AN50" s="64">
        <f t="shared" si="43"/>
        <v>0</v>
      </c>
      <c r="AO50" s="28"/>
      <c r="AP50" s="28"/>
      <c r="AQ50" s="65"/>
      <c r="AR50" s="64">
        <f t="shared" si="44"/>
        <v>0</v>
      </c>
      <c r="AS50" s="28"/>
      <c r="AT50" s="28"/>
      <c r="AU50" s="65"/>
      <c r="AV50" s="64">
        <f t="shared" si="45"/>
        <v>0</v>
      </c>
      <c r="AW50" s="28"/>
      <c r="AX50" s="28"/>
      <c r="AY50" s="65"/>
      <c r="AZ50" s="64">
        <f t="shared" si="46"/>
        <v>0</v>
      </c>
      <c r="BA50" s="28"/>
      <c r="BB50" s="28"/>
      <c r="BC50" s="65"/>
      <c r="BD50" s="64">
        <f t="shared" si="47"/>
        <v>0</v>
      </c>
      <c r="BE50" s="28"/>
      <c r="BF50" s="28"/>
      <c r="BG50" s="65"/>
      <c r="BH50" s="64">
        <f t="shared" si="48"/>
        <v>0</v>
      </c>
      <c r="BI50" s="28"/>
      <c r="BJ50" s="28"/>
      <c r="BK50" s="65"/>
      <c r="BL50" s="64">
        <f t="shared" si="49"/>
        <v>0</v>
      </c>
      <c r="BM50" s="28"/>
      <c r="BN50" s="28"/>
      <c r="BO50" s="65"/>
      <c r="BP50" s="64">
        <f t="shared" si="50"/>
        <v>0</v>
      </c>
      <c r="BQ50" s="28"/>
      <c r="BR50" s="28"/>
      <c r="BS50" s="65"/>
      <c r="BT50" s="64">
        <f t="shared" si="51"/>
        <v>0</v>
      </c>
      <c r="BU50" s="28"/>
      <c r="BV50" s="28"/>
      <c r="BW50" s="65"/>
      <c r="BX50" s="64">
        <f t="shared" si="52"/>
        <v>0</v>
      </c>
      <c r="BY50" s="28"/>
      <c r="BZ50" s="28"/>
      <c r="CA50" s="65"/>
      <c r="CB50" s="64">
        <f t="shared" si="53"/>
        <v>0</v>
      </c>
      <c r="CC50" s="28"/>
      <c r="CD50" s="28"/>
      <c r="CE50" s="65"/>
      <c r="CF50" s="64">
        <f t="shared" si="54"/>
        <v>0</v>
      </c>
      <c r="CG50" s="28"/>
      <c r="CH50" s="28"/>
      <c r="CI50" s="65"/>
      <c r="CJ50" s="64">
        <f t="shared" si="55"/>
        <v>0</v>
      </c>
      <c r="CK50" s="28"/>
      <c r="CL50" s="28"/>
      <c r="CM50" s="65"/>
      <c r="CN50" s="64">
        <f t="shared" si="56"/>
        <v>0</v>
      </c>
      <c r="CO50" s="28"/>
      <c r="CP50" s="28"/>
      <c r="CQ50" s="65"/>
      <c r="CR50" s="64">
        <f t="shared" si="57"/>
        <v>0</v>
      </c>
      <c r="CS50" s="28"/>
      <c r="CT50" s="28"/>
      <c r="CU50" s="65"/>
      <c r="CV50" s="64">
        <f t="shared" si="58"/>
        <v>0</v>
      </c>
      <c r="CW50" s="28"/>
      <c r="CX50" s="28"/>
      <c r="CY50" s="65"/>
      <c r="CZ50" s="64">
        <f t="shared" si="59"/>
        <v>0</v>
      </c>
      <c r="DA50" s="28"/>
      <c r="DB50" s="28"/>
      <c r="DC50" s="65"/>
      <c r="DD50" s="64">
        <f t="shared" si="60"/>
        <v>0</v>
      </c>
      <c r="DE50" s="28"/>
      <c r="DF50" s="28"/>
      <c r="DG50" s="65"/>
      <c r="DH50" s="64">
        <f t="shared" si="61"/>
        <v>0</v>
      </c>
      <c r="DI50" s="28"/>
      <c r="DJ50" s="28"/>
      <c r="DK50" s="65"/>
      <c r="DL50" s="64">
        <f t="shared" si="62"/>
        <v>0</v>
      </c>
      <c r="DM50" s="28"/>
      <c r="DN50" s="28"/>
      <c r="DO50" s="65"/>
      <c r="DP50" s="64">
        <f t="shared" si="63"/>
        <v>0</v>
      </c>
      <c r="DQ50" s="28"/>
      <c r="DR50" s="28"/>
      <c r="DS50" s="65"/>
      <c r="DT50" s="64">
        <f t="shared" si="64"/>
        <v>0</v>
      </c>
      <c r="DU50" s="28"/>
      <c r="DV50" s="28"/>
      <c r="DW50" s="65"/>
      <c r="DX50" s="30">
        <f t="shared" si="65"/>
        <v>0</v>
      </c>
      <c r="DY50" s="31">
        <f t="shared" si="66"/>
        <v>0</v>
      </c>
      <c r="DZ50" s="31">
        <f t="shared" si="67"/>
        <v>0</v>
      </c>
      <c r="EA50" s="4">
        <f t="shared" si="68"/>
        <v>0</v>
      </c>
      <c r="EB50" s="9">
        <f>D50*'MASTER SHEET'!D50</f>
        <v>0</v>
      </c>
      <c r="EC50" s="9">
        <f>H50*'MASTER SHEET'!D50</f>
        <v>0</v>
      </c>
      <c r="ED50" s="9">
        <f>L50*'MASTER SHEET'!D50</f>
        <v>0</v>
      </c>
      <c r="EE50" s="9">
        <f>P50*'MASTER SHEET'!D50</f>
        <v>0</v>
      </c>
      <c r="EF50" s="9">
        <f>T50*'MASTER SHEET'!D50</f>
        <v>0</v>
      </c>
      <c r="EG50" s="9">
        <f>X50*'MASTER SHEET'!D50</f>
        <v>0</v>
      </c>
      <c r="EH50" s="9">
        <f>AB50*'MASTER SHEET'!D50</f>
        <v>0</v>
      </c>
      <c r="EI50" s="9">
        <f>AF50*'MASTER SHEET'!D50</f>
        <v>0</v>
      </c>
      <c r="EJ50" s="9">
        <f>AJ50*'MASTER SHEET'!D50</f>
        <v>0</v>
      </c>
      <c r="EK50" s="9">
        <f>AN50*'MASTER SHEET'!D50</f>
        <v>0</v>
      </c>
      <c r="EL50" s="9">
        <f>AR50*'MASTER SHEET'!D50</f>
        <v>0</v>
      </c>
      <c r="EM50" s="9">
        <f>AV50*'MASTER SHEET'!D50</f>
        <v>0</v>
      </c>
      <c r="EN50" s="9">
        <f>AZ50*'MASTER SHEET'!D50</f>
        <v>0</v>
      </c>
      <c r="EO50" s="9">
        <f>BD50*'MASTER SHEET'!D50</f>
        <v>0</v>
      </c>
      <c r="EP50" s="9">
        <f>BH50*'MASTER SHEET'!D50</f>
        <v>0</v>
      </c>
      <c r="EQ50" s="9">
        <f>BL50*'MASTER SHEET'!D50</f>
        <v>0</v>
      </c>
      <c r="ER50" s="9">
        <f>BP50*'MASTER SHEET'!D50</f>
        <v>0</v>
      </c>
      <c r="ES50" s="9">
        <f>BT50*'MASTER SHEET'!D50</f>
        <v>0</v>
      </c>
      <c r="ET50" s="9">
        <f>BX50*'MASTER SHEET'!D50</f>
        <v>0</v>
      </c>
      <c r="EU50" s="9">
        <f>CB50*'MASTER SHEET'!D50</f>
        <v>0</v>
      </c>
      <c r="EV50" s="9">
        <f>CF50*'MASTER SHEET'!D50</f>
        <v>0</v>
      </c>
      <c r="EW50" s="9">
        <f>CJ50*'MASTER SHEET'!D50</f>
        <v>0</v>
      </c>
      <c r="EX50" s="9">
        <f>CN50*'MASTER SHEET'!D50</f>
        <v>0</v>
      </c>
      <c r="EY50" s="9">
        <f>CV50*'MASTER SHEET'!D50</f>
        <v>0</v>
      </c>
      <c r="EZ50" s="9">
        <f>CV50*'MASTER SHEET'!D50</f>
        <v>0</v>
      </c>
      <c r="FA50" s="9">
        <f>CZ50*'MASTER SHEET'!D50</f>
        <v>0</v>
      </c>
      <c r="FB50" s="9">
        <f>DD50*'MASTER SHEET'!D50</f>
        <v>0</v>
      </c>
      <c r="FC50" s="9">
        <f>DH50*'MASTER SHEET'!D50</f>
        <v>0</v>
      </c>
      <c r="FD50" s="9">
        <f>DL50*'MASTER SHEET'!D50</f>
        <v>0</v>
      </c>
      <c r="FE50" s="9">
        <f>DP50*'MASTER SHEET'!D50</f>
        <v>0</v>
      </c>
      <c r="FF50" s="9">
        <f>DT50*'MASTER SHEET'!D50</f>
        <v>0</v>
      </c>
      <c r="FG50" s="9">
        <f>DX50*'MASTER SHEET'!D50</f>
        <v>0</v>
      </c>
    </row>
    <row r="51" spans="1:163" ht="20.25" x14ac:dyDescent="0.25">
      <c r="A51" s="43">
        <f>'MASTER SHEET'!A51</f>
        <v>49</v>
      </c>
      <c r="B51" s="26" t="str">
        <f>'MASTER SHEET'!B51</f>
        <v>COVER PLATE</v>
      </c>
      <c r="C51" s="82">
        <f>'MASTER SHEET'!C51</f>
        <v>5030022</v>
      </c>
      <c r="D51" s="64"/>
      <c r="E51" s="28"/>
      <c r="F51" s="28"/>
      <c r="G51" s="65"/>
      <c r="H51" s="64">
        <f t="shared" si="35"/>
        <v>0</v>
      </c>
      <c r="I51" s="28"/>
      <c r="J51" s="28"/>
      <c r="K51" s="65"/>
      <c r="L51" s="64">
        <f t="shared" si="36"/>
        <v>0</v>
      </c>
      <c r="M51" s="28"/>
      <c r="N51" s="28"/>
      <c r="O51" s="65"/>
      <c r="P51" s="64">
        <f t="shared" si="37"/>
        <v>0</v>
      </c>
      <c r="Q51" s="28"/>
      <c r="R51" s="28"/>
      <c r="S51" s="65"/>
      <c r="T51" s="64">
        <f t="shared" si="38"/>
        <v>0</v>
      </c>
      <c r="U51" s="28"/>
      <c r="V51" s="28"/>
      <c r="W51" s="65"/>
      <c r="X51" s="64">
        <f t="shared" si="39"/>
        <v>0</v>
      </c>
      <c r="Y51" s="28"/>
      <c r="Z51" s="28"/>
      <c r="AA51" s="65"/>
      <c r="AB51" s="64">
        <f t="shared" si="40"/>
        <v>0</v>
      </c>
      <c r="AC51" s="28"/>
      <c r="AD51" s="28"/>
      <c r="AE51" s="65"/>
      <c r="AF51" s="64">
        <f t="shared" si="41"/>
        <v>0</v>
      </c>
      <c r="AG51" s="28"/>
      <c r="AH51" s="28"/>
      <c r="AI51" s="65"/>
      <c r="AJ51" s="64">
        <f t="shared" si="42"/>
        <v>0</v>
      </c>
      <c r="AK51" s="28"/>
      <c r="AL51" s="28"/>
      <c r="AM51" s="65"/>
      <c r="AN51" s="64">
        <f t="shared" si="43"/>
        <v>0</v>
      </c>
      <c r="AO51" s="28"/>
      <c r="AP51" s="28"/>
      <c r="AQ51" s="65"/>
      <c r="AR51" s="64">
        <f t="shared" si="44"/>
        <v>0</v>
      </c>
      <c r="AS51" s="28"/>
      <c r="AT51" s="28"/>
      <c r="AU51" s="65"/>
      <c r="AV51" s="64">
        <f t="shared" si="45"/>
        <v>0</v>
      </c>
      <c r="AW51" s="28"/>
      <c r="AX51" s="28"/>
      <c r="AY51" s="65"/>
      <c r="AZ51" s="64">
        <f t="shared" si="46"/>
        <v>0</v>
      </c>
      <c r="BA51" s="28"/>
      <c r="BB51" s="28"/>
      <c r="BC51" s="65"/>
      <c r="BD51" s="64">
        <f t="shared" si="47"/>
        <v>0</v>
      </c>
      <c r="BE51" s="28"/>
      <c r="BF51" s="28"/>
      <c r="BG51" s="65"/>
      <c r="BH51" s="64">
        <f t="shared" si="48"/>
        <v>0</v>
      </c>
      <c r="BI51" s="28"/>
      <c r="BJ51" s="28"/>
      <c r="BK51" s="65"/>
      <c r="BL51" s="64">
        <f t="shared" si="49"/>
        <v>0</v>
      </c>
      <c r="BM51" s="28"/>
      <c r="BN51" s="28"/>
      <c r="BO51" s="65"/>
      <c r="BP51" s="64">
        <f t="shared" si="50"/>
        <v>0</v>
      </c>
      <c r="BQ51" s="28"/>
      <c r="BR51" s="28"/>
      <c r="BS51" s="65"/>
      <c r="BT51" s="64">
        <f t="shared" si="51"/>
        <v>0</v>
      </c>
      <c r="BU51" s="28"/>
      <c r="BV51" s="28"/>
      <c r="BW51" s="65"/>
      <c r="BX51" s="64">
        <f t="shared" si="52"/>
        <v>0</v>
      </c>
      <c r="BY51" s="28"/>
      <c r="BZ51" s="28"/>
      <c r="CA51" s="65"/>
      <c r="CB51" s="64">
        <f t="shared" si="53"/>
        <v>0</v>
      </c>
      <c r="CC51" s="28"/>
      <c r="CD51" s="28"/>
      <c r="CE51" s="65"/>
      <c r="CF51" s="64">
        <f t="shared" si="54"/>
        <v>0</v>
      </c>
      <c r="CG51" s="28"/>
      <c r="CH51" s="28"/>
      <c r="CI51" s="65"/>
      <c r="CJ51" s="64">
        <f t="shared" si="55"/>
        <v>0</v>
      </c>
      <c r="CK51" s="28"/>
      <c r="CL51" s="28"/>
      <c r="CM51" s="65"/>
      <c r="CN51" s="64">
        <f t="shared" si="56"/>
        <v>0</v>
      </c>
      <c r="CO51" s="28"/>
      <c r="CP51" s="28"/>
      <c r="CQ51" s="65"/>
      <c r="CR51" s="64">
        <f t="shared" si="57"/>
        <v>0</v>
      </c>
      <c r="CS51" s="28"/>
      <c r="CT51" s="28"/>
      <c r="CU51" s="65"/>
      <c r="CV51" s="64">
        <f t="shared" si="58"/>
        <v>0</v>
      </c>
      <c r="CW51" s="28"/>
      <c r="CX51" s="28"/>
      <c r="CY51" s="65"/>
      <c r="CZ51" s="64">
        <f t="shared" si="59"/>
        <v>0</v>
      </c>
      <c r="DA51" s="28"/>
      <c r="DB51" s="28"/>
      <c r="DC51" s="65"/>
      <c r="DD51" s="64">
        <f t="shared" si="60"/>
        <v>0</v>
      </c>
      <c r="DE51" s="28"/>
      <c r="DF51" s="28"/>
      <c r="DG51" s="65"/>
      <c r="DH51" s="64">
        <f t="shared" si="61"/>
        <v>0</v>
      </c>
      <c r="DI51" s="28"/>
      <c r="DJ51" s="28"/>
      <c r="DK51" s="65"/>
      <c r="DL51" s="64">
        <f t="shared" si="62"/>
        <v>0</v>
      </c>
      <c r="DM51" s="28"/>
      <c r="DN51" s="28"/>
      <c r="DO51" s="65"/>
      <c r="DP51" s="64">
        <f t="shared" si="63"/>
        <v>0</v>
      </c>
      <c r="DQ51" s="28"/>
      <c r="DR51" s="28"/>
      <c r="DS51" s="65"/>
      <c r="DT51" s="64">
        <f t="shared" si="64"/>
        <v>0</v>
      </c>
      <c r="DU51" s="28"/>
      <c r="DV51" s="28"/>
      <c r="DW51" s="65"/>
      <c r="DX51" s="30">
        <f t="shared" si="65"/>
        <v>0</v>
      </c>
      <c r="DY51" s="31">
        <f t="shared" si="66"/>
        <v>0</v>
      </c>
      <c r="DZ51" s="31">
        <f t="shared" si="67"/>
        <v>0</v>
      </c>
      <c r="EA51" s="4">
        <f t="shared" si="68"/>
        <v>0</v>
      </c>
      <c r="EB51" s="9">
        <f>D51*'MASTER SHEET'!D51</f>
        <v>0</v>
      </c>
      <c r="EC51" s="9">
        <f>H51*'MASTER SHEET'!D51</f>
        <v>0</v>
      </c>
      <c r="ED51" s="9">
        <f>L51*'MASTER SHEET'!D51</f>
        <v>0</v>
      </c>
      <c r="EE51" s="9">
        <f>P51*'MASTER SHEET'!D51</f>
        <v>0</v>
      </c>
      <c r="EF51" s="9">
        <f>T51*'MASTER SHEET'!D51</f>
        <v>0</v>
      </c>
      <c r="EG51" s="9">
        <f>X51*'MASTER SHEET'!D51</f>
        <v>0</v>
      </c>
      <c r="EH51" s="9">
        <f>AB51*'MASTER SHEET'!D51</f>
        <v>0</v>
      </c>
      <c r="EI51" s="9">
        <f>AF51*'MASTER SHEET'!D51</f>
        <v>0</v>
      </c>
      <c r="EJ51" s="9">
        <f>AJ51*'MASTER SHEET'!D51</f>
        <v>0</v>
      </c>
      <c r="EK51" s="9">
        <f>AN51*'MASTER SHEET'!D51</f>
        <v>0</v>
      </c>
      <c r="EL51" s="9">
        <f>AR51*'MASTER SHEET'!D51</f>
        <v>0</v>
      </c>
      <c r="EM51" s="9">
        <f>AV51*'MASTER SHEET'!D51</f>
        <v>0</v>
      </c>
      <c r="EN51" s="9">
        <f>AZ51*'MASTER SHEET'!D51</f>
        <v>0</v>
      </c>
      <c r="EO51" s="9">
        <f>BD51*'MASTER SHEET'!D51</f>
        <v>0</v>
      </c>
      <c r="EP51" s="9">
        <f>BH51*'MASTER SHEET'!D51</f>
        <v>0</v>
      </c>
      <c r="EQ51" s="9">
        <f>BL51*'MASTER SHEET'!D51</f>
        <v>0</v>
      </c>
      <c r="ER51" s="9">
        <f>BP51*'MASTER SHEET'!D51</f>
        <v>0</v>
      </c>
      <c r="ES51" s="9">
        <f>BT51*'MASTER SHEET'!D51</f>
        <v>0</v>
      </c>
      <c r="ET51" s="9">
        <f>BX51*'MASTER SHEET'!D51</f>
        <v>0</v>
      </c>
      <c r="EU51" s="9">
        <f>CB51*'MASTER SHEET'!D51</f>
        <v>0</v>
      </c>
      <c r="EV51" s="9">
        <f>CF51*'MASTER SHEET'!D51</f>
        <v>0</v>
      </c>
      <c r="EW51" s="9">
        <f>CJ51*'MASTER SHEET'!D51</f>
        <v>0</v>
      </c>
      <c r="EX51" s="9">
        <f>CN51*'MASTER SHEET'!D51</f>
        <v>0</v>
      </c>
      <c r="EY51" s="9">
        <f>CV51*'MASTER SHEET'!D51</f>
        <v>0</v>
      </c>
      <c r="EZ51" s="9">
        <f>CV51*'MASTER SHEET'!D51</f>
        <v>0</v>
      </c>
      <c r="FA51" s="9">
        <f>CZ51*'MASTER SHEET'!D51</f>
        <v>0</v>
      </c>
      <c r="FB51" s="9">
        <f>DD51*'MASTER SHEET'!D51</f>
        <v>0</v>
      </c>
      <c r="FC51" s="9">
        <f>DH51*'MASTER SHEET'!D51</f>
        <v>0</v>
      </c>
      <c r="FD51" s="9">
        <f>DL51*'MASTER SHEET'!D51</f>
        <v>0</v>
      </c>
      <c r="FE51" s="9">
        <f>DP51*'MASTER SHEET'!D51</f>
        <v>0</v>
      </c>
      <c r="FF51" s="9">
        <f>DT51*'MASTER SHEET'!D51</f>
        <v>0</v>
      </c>
      <c r="FG51" s="9">
        <f>DX51*'MASTER SHEET'!D51</f>
        <v>0</v>
      </c>
    </row>
    <row r="52" spans="1:163" ht="20.25" x14ac:dyDescent="0.25">
      <c r="A52" s="43">
        <f>'MASTER SHEET'!A52</f>
        <v>50</v>
      </c>
      <c r="B52" s="26" t="str">
        <f>'MASTER SHEET'!B52</f>
        <v>SHELL, PLASTIC</v>
      </c>
      <c r="C52" s="82">
        <f>'MASTER SHEET'!C52</f>
        <v>5030061</v>
      </c>
      <c r="D52" s="64"/>
      <c r="E52" s="28"/>
      <c r="F52" s="28"/>
      <c r="G52" s="65"/>
      <c r="H52" s="64">
        <f t="shared" si="35"/>
        <v>0</v>
      </c>
      <c r="I52" s="28"/>
      <c r="J52" s="28"/>
      <c r="K52" s="65"/>
      <c r="L52" s="64">
        <f t="shared" si="36"/>
        <v>0</v>
      </c>
      <c r="M52" s="28"/>
      <c r="N52" s="28"/>
      <c r="O52" s="65"/>
      <c r="P52" s="64">
        <f t="shared" si="37"/>
        <v>0</v>
      </c>
      <c r="Q52" s="28"/>
      <c r="R52" s="28"/>
      <c r="S52" s="65"/>
      <c r="T52" s="64">
        <f t="shared" si="38"/>
        <v>0</v>
      </c>
      <c r="U52" s="28"/>
      <c r="V52" s="28"/>
      <c r="W52" s="65"/>
      <c r="X52" s="64">
        <f t="shared" si="39"/>
        <v>0</v>
      </c>
      <c r="Y52" s="28"/>
      <c r="Z52" s="28"/>
      <c r="AA52" s="65"/>
      <c r="AB52" s="64">
        <f t="shared" si="40"/>
        <v>0</v>
      </c>
      <c r="AC52" s="28"/>
      <c r="AD52" s="28"/>
      <c r="AE52" s="65"/>
      <c r="AF52" s="64">
        <f t="shared" si="41"/>
        <v>0</v>
      </c>
      <c r="AG52" s="28"/>
      <c r="AH52" s="28"/>
      <c r="AI52" s="65"/>
      <c r="AJ52" s="64">
        <f t="shared" si="42"/>
        <v>0</v>
      </c>
      <c r="AK52" s="28"/>
      <c r="AL52" s="28"/>
      <c r="AM52" s="65"/>
      <c r="AN52" s="64">
        <f t="shared" si="43"/>
        <v>0</v>
      </c>
      <c r="AO52" s="28"/>
      <c r="AP52" s="28"/>
      <c r="AQ52" s="65"/>
      <c r="AR52" s="64">
        <f t="shared" si="44"/>
        <v>0</v>
      </c>
      <c r="AS52" s="28"/>
      <c r="AT52" s="28"/>
      <c r="AU52" s="65"/>
      <c r="AV52" s="64">
        <f t="shared" si="45"/>
        <v>0</v>
      </c>
      <c r="AW52" s="28"/>
      <c r="AX52" s="28"/>
      <c r="AY52" s="65"/>
      <c r="AZ52" s="64">
        <f t="shared" si="46"/>
        <v>0</v>
      </c>
      <c r="BA52" s="28"/>
      <c r="BB52" s="28"/>
      <c r="BC52" s="65"/>
      <c r="BD52" s="64">
        <f t="shared" si="47"/>
        <v>0</v>
      </c>
      <c r="BE52" s="28"/>
      <c r="BF52" s="28"/>
      <c r="BG52" s="65"/>
      <c r="BH52" s="64">
        <f t="shared" si="48"/>
        <v>0</v>
      </c>
      <c r="BI52" s="28"/>
      <c r="BJ52" s="28"/>
      <c r="BK52" s="65"/>
      <c r="BL52" s="64">
        <f t="shared" si="49"/>
        <v>0</v>
      </c>
      <c r="BM52" s="28"/>
      <c r="BN52" s="28"/>
      <c r="BO52" s="65"/>
      <c r="BP52" s="64">
        <f t="shared" si="50"/>
        <v>0</v>
      </c>
      <c r="BQ52" s="28"/>
      <c r="BR52" s="28"/>
      <c r="BS52" s="65"/>
      <c r="BT52" s="64">
        <f t="shared" si="51"/>
        <v>0</v>
      </c>
      <c r="BU52" s="28"/>
      <c r="BV52" s="28"/>
      <c r="BW52" s="65"/>
      <c r="BX52" s="64">
        <f t="shared" si="52"/>
        <v>0</v>
      </c>
      <c r="BY52" s="28"/>
      <c r="BZ52" s="28"/>
      <c r="CA52" s="65"/>
      <c r="CB52" s="64">
        <f t="shared" si="53"/>
        <v>0</v>
      </c>
      <c r="CC52" s="28"/>
      <c r="CD52" s="28"/>
      <c r="CE52" s="65"/>
      <c r="CF52" s="64">
        <f t="shared" si="54"/>
        <v>0</v>
      </c>
      <c r="CG52" s="28"/>
      <c r="CH52" s="28"/>
      <c r="CI52" s="65"/>
      <c r="CJ52" s="64">
        <f t="shared" si="55"/>
        <v>0</v>
      </c>
      <c r="CK52" s="28"/>
      <c r="CL52" s="28"/>
      <c r="CM52" s="65"/>
      <c r="CN52" s="64">
        <f t="shared" si="56"/>
        <v>0</v>
      </c>
      <c r="CO52" s="28"/>
      <c r="CP52" s="28"/>
      <c r="CQ52" s="65"/>
      <c r="CR52" s="64">
        <f t="shared" si="57"/>
        <v>0</v>
      </c>
      <c r="CS52" s="28"/>
      <c r="CT52" s="28"/>
      <c r="CU52" s="65"/>
      <c r="CV52" s="64">
        <f t="shared" si="58"/>
        <v>0</v>
      </c>
      <c r="CW52" s="28"/>
      <c r="CX52" s="28"/>
      <c r="CY52" s="65"/>
      <c r="CZ52" s="64">
        <f t="shared" si="59"/>
        <v>0</v>
      </c>
      <c r="DA52" s="28"/>
      <c r="DB52" s="28"/>
      <c r="DC52" s="65"/>
      <c r="DD52" s="64">
        <f t="shared" si="60"/>
        <v>0</v>
      </c>
      <c r="DE52" s="28"/>
      <c r="DF52" s="28"/>
      <c r="DG52" s="65"/>
      <c r="DH52" s="64">
        <f t="shared" si="61"/>
        <v>0</v>
      </c>
      <c r="DI52" s="28"/>
      <c r="DJ52" s="28"/>
      <c r="DK52" s="65"/>
      <c r="DL52" s="64">
        <f t="shared" si="62"/>
        <v>0</v>
      </c>
      <c r="DM52" s="28"/>
      <c r="DN52" s="28"/>
      <c r="DO52" s="65"/>
      <c r="DP52" s="64">
        <f t="shared" si="63"/>
        <v>0</v>
      </c>
      <c r="DQ52" s="28"/>
      <c r="DR52" s="28"/>
      <c r="DS52" s="65"/>
      <c r="DT52" s="64">
        <f t="shared" si="64"/>
        <v>0</v>
      </c>
      <c r="DU52" s="28"/>
      <c r="DV52" s="28"/>
      <c r="DW52" s="65"/>
      <c r="DX52" s="30">
        <f t="shared" si="65"/>
        <v>0</v>
      </c>
      <c r="DY52" s="31">
        <f t="shared" si="66"/>
        <v>0</v>
      </c>
      <c r="DZ52" s="31">
        <f t="shared" si="67"/>
        <v>0</v>
      </c>
      <c r="EA52" s="4">
        <f t="shared" si="68"/>
        <v>0</v>
      </c>
      <c r="EB52" s="9">
        <f>D52*'MASTER SHEET'!D52</f>
        <v>0</v>
      </c>
      <c r="EC52" s="9">
        <f>H52*'MASTER SHEET'!D52</f>
        <v>0</v>
      </c>
      <c r="ED52" s="9">
        <f>L52*'MASTER SHEET'!D52</f>
        <v>0</v>
      </c>
      <c r="EE52" s="9">
        <f>P52*'MASTER SHEET'!D52</f>
        <v>0</v>
      </c>
      <c r="EF52" s="9">
        <f>T52*'MASTER SHEET'!D52</f>
        <v>0</v>
      </c>
      <c r="EG52" s="9">
        <f>X52*'MASTER SHEET'!D52</f>
        <v>0</v>
      </c>
      <c r="EH52" s="9">
        <f>AB52*'MASTER SHEET'!D52</f>
        <v>0</v>
      </c>
      <c r="EI52" s="9">
        <f>AF52*'MASTER SHEET'!D52</f>
        <v>0</v>
      </c>
      <c r="EJ52" s="9">
        <f>AJ52*'MASTER SHEET'!D52</f>
        <v>0</v>
      </c>
      <c r="EK52" s="9">
        <f>AN52*'MASTER SHEET'!D52</f>
        <v>0</v>
      </c>
      <c r="EL52" s="9">
        <f>AR52*'MASTER SHEET'!D52</f>
        <v>0</v>
      </c>
      <c r="EM52" s="9">
        <f>AV52*'MASTER SHEET'!D52</f>
        <v>0</v>
      </c>
      <c r="EN52" s="9">
        <f>AZ52*'MASTER SHEET'!D52</f>
        <v>0</v>
      </c>
      <c r="EO52" s="9">
        <f>BD52*'MASTER SHEET'!D52</f>
        <v>0</v>
      </c>
      <c r="EP52" s="9">
        <f>BH52*'MASTER SHEET'!D52</f>
        <v>0</v>
      </c>
      <c r="EQ52" s="9">
        <f>BL52*'MASTER SHEET'!D52</f>
        <v>0</v>
      </c>
      <c r="ER52" s="9">
        <f>BP52*'MASTER SHEET'!D52</f>
        <v>0</v>
      </c>
      <c r="ES52" s="9">
        <f>BT52*'MASTER SHEET'!D52</f>
        <v>0</v>
      </c>
      <c r="ET52" s="9">
        <f>BX52*'MASTER SHEET'!D52</f>
        <v>0</v>
      </c>
      <c r="EU52" s="9">
        <f>CB52*'MASTER SHEET'!D52</f>
        <v>0</v>
      </c>
      <c r="EV52" s="9">
        <f>CF52*'MASTER SHEET'!D52</f>
        <v>0</v>
      </c>
      <c r="EW52" s="9">
        <f>CJ52*'MASTER SHEET'!D52</f>
        <v>0</v>
      </c>
      <c r="EX52" s="9">
        <f>CN52*'MASTER SHEET'!D52</f>
        <v>0</v>
      </c>
      <c r="EY52" s="9">
        <f>CV52*'MASTER SHEET'!D52</f>
        <v>0</v>
      </c>
      <c r="EZ52" s="9">
        <f>CV52*'MASTER SHEET'!D52</f>
        <v>0</v>
      </c>
      <c r="FA52" s="9">
        <f>CZ52*'MASTER SHEET'!D52</f>
        <v>0</v>
      </c>
      <c r="FB52" s="9">
        <f>DD52*'MASTER SHEET'!D52</f>
        <v>0</v>
      </c>
      <c r="FC52" s="9">
        <f>DH52*'MASTER SHEET'!D52</f>
        <v>0</v>
      </c>
      <c r="FD52" s="9">
        <f>DL52*'MASTER SHEET'!D52</f>
        <v>0</v>
      </c>
      <c r="FE52" s="9">
        <f>DP52*'MASTER SHEET'!D52</f>
        <v>0</v>
      </c>
      <c r="FF52" s="9">
        <f>DT52*'MASTER SHEET'!D52</f>
        <v>0</v>
      </c>
      <c r="FG52" s="9">
        <f>DX52*'MASTER SHEET'!D52</f>
        <v>0</v>
      </c>
    </row>
    <row r="53" spans="1:163" s="10" customFormat="1" ht="20.25" x14ac:dyDescent="0.25">
      <c r="A53" s="43">
        <f>'MASTER SHEET'!A53</f>
        <v>51</v>
      </c>
      <c r="B53" s="26" t="str">
        <f>'MASTER SHEET'!B53</f>
        <v>NOZZLE PLATE</v>
      </c>
      <c r="C53" s="82">
        <f>'MASTER SHEET'!C53</f>
        <v>5030146</v>
      </c>
      <c r="D53" s="64"/>
      <c r="E53" s="28"/>
      <c r="F53" s="28"/>
      <c r="G53" s="65"/>
      <c r="H53" s="64">
        <f t="shared" si="35"/>
        <v>0</v>
      </c>
      <c r="I53" s="28"/>
      <c r="J53" s="28"/>
      <c r="K53" s="65"/>
      <c r="L53" s="64">
        <f t="shared" si="36"/>
        <v>0</v>
      </c>
      <c r="M53" s="28"/>
      <c r="N53" s="28"/>
      <c r="O53" s="65"/>
      <c r="P53" s="64">
        <f t="shared" si="37"/>
        <v>0</v>
      </c>
      <c r="Q53" s="28"/>
      <c r="R53" s="28"/>
      <c r="S53" s="65"/>
      <c r="T53" s="64">
        <f t="shared" si="38"/>
        <v>0</v>
      </c>
      <c r="U53" s="28"/>
      <c r="V53" s="28"/>
      <c r="W53" s="65"/>
      <c r="X53" s="64">
        <f t="shared" si="39"/>
        <v>0</v>
      </c>
      <c r="Y53" s="28"/>
      <c r="Z53" s="28"/>
      <c r="AA53" s="65"/>
      <c r="AB53" s="64">
        <f t="shared" si="40"/>
        <v>0</v>
      </c>
      <c r="AC53" s="28"/>
      <c r="AD53" s="28"/>
      <c r="AE53" s="65"/>
      <c r="AF53" s="64">
        <f t="shared" si="41"/>
        <v>0</v>
      </c>
      <c r="AG53" s="28"/>
      <c r="AH53" s="28"/>
      <c r="AI53" s="65"/>
      <c r="AJ53" s="64">
        <f t="shared" si="42"/>
        <v>0</v>
      </c>
      <c r="AK53" s="28"/>
      <c r="AL53" s="28"/>
      <c r="AM53" s="65"/>
      <c r="AN53" s="64">
        <f t="shared" si="43"/>
        <v>0</v>
      </c>
      <c r="AO53" s="28"/>
      <c r="AP53" s="28"/>
      <c r="AQ53" s="65"/>
      <c r="AR53" s="64">
        <f t="shared" si="44"/>
        <v>0</v>
      </c>
      <c r="AS53" s="28"/>
      <c r="AT53" s="28"/>
      <c r="AU53" s="65"/>
      <c r="AV53" s="64">
        <f t="shared" si="45"/>
        <v>0</v>
      </c>
      <c r="AW53" s="28"/>
      <c r="AX53" s="28"/>
      <c r="AY53" s="65"/>
      <c r="AZ53" s="64">
        <f t="shared" si="46"/>
        <v>0</v>
      </c>
      <c r="BA53" s="28"/>
      <c r="BB53" s="28"/>
      <c r="BC53" s="65"/>
      <c r="BD53" s="64">
        <f t="shared" si="47"/>
        <v>0</v>
      </c>
      <c r="BE53" s="28"/>
      <c r="BF53" s="28"/>
      <c r="BG53" s="65"/>
      <c r="BH53" s="64">
        <f t="shared" si="48"/>
        <v>0</v>
      </c>
      <c r="BI53" s="28"/>
      <c r="BJ53" s="28"/>
      <c r="BK53" s="65"/>
      <c r="BL53" s="64">
        <f t="shared" si="49"/>
        <v>0</v>
      </c>
      <c r="BM53" s="28"/>
      <c r="BN53" s="28"/>
      <c r="BO53" s="65"/>
      <c r="BP53" s="64">
        <f t="shared" si="50"/>
        <v>0</v>
      </c>
      <c r="BQ53" s="28"/>
      <c r="BR53" s="28"/>
      <c r="BS53" s="65"/>
      <c r="BT53" s="64">
        <f t="shared" si="51"/>
        <v>0</v>
      </c>
      <c r="BU53" s="28"/>
      <c r="BV53" s="28"/>
      <c r="BW53" s="65"/>
      <c r="BX53" s="64">
        <f t="shared" si="52"/>
        <v>0</v>
      </c>
      <c r="BY53" s="28"/>
      <c r="BZ53" s="28"/>
      <c r="CA53" s="65"/>
      <c r="CB53" s="64">
        <f t="shared" si="53"/>
        <v>0</v>
      </c>
      <c r="CC53" s="28"/>
      <c r="CD53" s="28"/>
      <c r="CE53" s="65"/>
      <c r="CF53" s="64">
        <f t="shared" si="54"/>
        <v>0</v>
      </c>
      <c r="CG53" s="28"/>
      <c r="CH53" s="28"/>
      <c r="CI53" s="65"/>
      <c r="CJ53" s="64">
        <f t="shared" si="55"/>
        <v>0</v>
      </c>
      <c r="CK53" s="28"/>
      <c r="CL53" s="28"/>
      <c r="CM53" s="65"/>
      <c r="CN53" s="64">
        <f t="shared" si="56"/>
        <v>0</v>
      </c>
      <c r="CO53" s="28"/>
      <c r="CP53" s="28"/>
      <c r="CQ53" s="65"/>
      <c r="CR53" s="64">
        <f t="shared" si="57"/>
        <v>0</v>
      </c>
      <c r="CS53" s="28"/>
      <c r="CT53" s="28"/>
      <c r="CU53" s="65"/>
      <c r="CV53" s="64">
        <f t="shared" si="58"/>
        <v>0</v>
      </c>
      <c r="CW53" s="28"/>
      <c r="CX53" s="28"/>
      <c r="CY53" s="65"/>
      <c r="CZ53" s="64">
        <f t="shared" si="59"/>
        <v>0</v>
      </c>
      <c r="DA53" s="28"/>
      <c r="DB53" s="28"/>
      <c r="DC53" s="65"/>
      <c r="DD53" s="64">
        <f t="shared" si="60"/>
        <v>0</v>
      </c>
      <c r="DE53" s="28"/>
      <c r="DF53" s="28"/>
      <c r="DG53" s="65"/>
      <c r="DH53" s="64">
        <f t="shared" si="61"/>
        <v>0</v>
      </c>
      <c r="DI53" s="28"/>
      <c r="DJ53" s="28"/>
      <c r="DK53" s="65"/>
      <c r="DL53" s="64">
        <f t="shared" si="62"/>
        <v>0</v>
      </c>
      <c r="DM53" s="28"/>
      <c r="DN53" s="28"/>
      <c r="DO53" s="65"/>
      <c r="DP53" s="64">
        <f t="shared" si="63"/>
        <v>0</v>
      </c>
      <c r="DQ53" s="28"/>
      <c r="DR53" s="28"/>
      <c r="DS53" s="65"/>
      <c r="DT53" s="64">
        <f t="shared" si="64"/>
        <v>0</v>
      </c>
      <c r="DU53" s="28"/>
      <c r="DV53" s="28"/>
      <c r="DW53" s="65"/>
      <c r="DX53" s="30">
        <f t="shared" si="65"/>
        <v>0</v>
      </c>
      <c r="DY53" s="31">
        <f t="shared" si="66"/>
        <v>0</v>
      </c>
      <c r="DZ53" s="31">
        <f t="shared" si="67"/>
        <v>0</v>
      </c>
      <c r="EA53" s="4">
        <f t="shared" si="68"/>
        <v>0</v>
      </c>
      <c r="EB53" s="9">
        <f>D53*'MASTER SHEET'!D53</f>
        <v>0</v>
      </c>
      <c r="EC53" s="9">
        <f>H53*'MASTER SHEET'!D53</f>
        <v>0</v>
      </c>
      <c r="ED53" s="9">
        <f>L53*'MASTER SHEET'!D53</f>
        <v>0</v>
      </c>
      <c r="EE53" s="9">
        <f>P53*'MASTER SHEET'!D53</f>
        <v>0</v>
      </c>
      <c r="EF53" s="9">
        <f>T53*'MASTER SHEET'!D53</f>
        <v>0</v>
      </c>
      <c r="EG53" s="9">
        <f>X53*'MASTER SHEET'!D53</f>
        <v>0</v>
      </c>
      <c r="EH53" s="9">
        <f>AB53*'MASTER SHEET'!D53</f>
        <v>0</v>
      </c>
      <c r="EI53" s="9">
        <f>AF53*'MASTER SHEET'!D53</f>
        <v>0</v>
      </c>
      <c r="EJ53" s="9">
        <f>AJ53*'MASTER SHEET'!D53</f>
        <v>0</v>
      </c>
      <c r="EK53" s="9">
        <f>AN53*'MASTER SHEET'!D53</f>
        <v>0</v>
      </c>
      <c r="EL53" s="9">
        <f>AR53*'MASTER SHEET'!D53</f>
        <v>0</v>
      </c>
      <c r="EM53" s="9">
        <f>AV53*'MASTER SHEET'!D53</f>
        <v>0</v>
      </c>
      <c r="EN53" s="9">
        <f>AZ53*'MASTER SHEET'!D53</f>
        <v>0</v>
      </c>
      <c r="EO53" s="9">
        <f>BD53*'MASTER SHEET'!D53</f>
        <v>0</v>
      </c>
      <c r="EP53" s="9">
        <f>BH53*'MASTER SHEET'!D53</f>
        <v>0</v>
      </c>
      <c r="EQ53" s="9">
        <f>BL53*'MASTER SHEET'!D53</f>
        <v>0</v>
      </c>
      <c r="ER53" s="9">
        <f>BP53*'MASTER SHEET'!D53</f>
        <v>0</v>
      </c>
      <c r="ES53" s="9">
        <f>BT53*'MASTER SHEET'!D53</f>
        <v>0</v>
      </c>
      <c r="ET53" s="9">
        <f>BX53*'MASTER SHEET'!D53</f>
        <v>0</v>
      </c>
      <c r="EU53" s="9">
        <f>CB53*'MASTER SHEET'!D53</f>
        <v>0</v>
      </c>
      <c r="EV53" s="9">
        <f>CF53*'MASTER SHEET'!D53</f>
        <v>0</v>
      </c>
      <c r="EW53" s="9">
        <f>CJ53*'MASTER SHEET'!D53</f>
        <v>0</v>
      </c>
      <c r="EX53" s="9">
        <f>CN53*'MASTER SHEET'!D53</f>
        <v>0</v>
      </c>
      <c r="EY53" s="9">
        <f>CV53*'MASTER SHEET'!D53</f>
        <v>0</v>
      </c>
      <c r="EZ53" s="9">
        <f>CV53*'MASTER SHEET'!D53</f>
        <v>0</v>
      </c>
      <c r="FA53" s="9">
        <f>CZ53*'MASTER SHEET'!D53</f>
        <v>0</v>
      </c>
      <c r="FB53" s="9">
        <f>DD53*'MASTER SHEET'!D53</f>
        <v>0</v>
      </c>
      <c r="FC53" s="9">
        <f>DH53*'MASTER SHEET'!D53</f>
        <v>0</v>
      </c>
      <c r="FD53" s="9">
        <f>DL53*'MASTER SHEET'!D53</f>
        <v>0</v>
      </c>
      <c r="FE53" s="9">
        <f>DP53*'MASTER SHEET'!D53</f>
        <v>0</v>
      </c>
      <c r="FF53" s="9">
        <f>DT53*'MASTER SHEET'!D53</f>
        <v>0</v>
      </c>
      <c r="FG53" s="9">
        <f>DX53*'MASTER SHEET'!D53</f>
        <v>0</v>
      </c>
    </row>
    <row r="54" spans="1:163" ht="20.25" x14ac:dyDescent="0.25">
      <c r="A54" s="43">
        <f>'MASTER SHEET'!A54</f>
        <v>52</v>
      </c>
      <c r="B54" s="26" t="str">
        <f>'MASTER SHEET'!B54</f>
        <v>SMALL PIPE</v>
      </c>
      <c r="C54" s="82">
        <f>'MASTER SHEET'!C54</f>
        <v>5030167</v>
      </c>
      <c r="D54" s="64"/>
      <c r="E54" s="28"/>
      <c r="F54" s="28"/>
      <c r="G54" s="65"/>
      <c r="H54" s="64">
        <f t="shared" si="35"/>
        <v>0</v>
      </c>
      <c r="I54" s="28"/>
      <c r="J54" s="28"/>
      <c r="K54" s="65"/>
      <c r="L54" s="64">
        <f t="shared" si="36"/>
        <v>0</v>
      </c>
      <c r="M54" s="28"/>
      <c r="N54" s="28"/>
      <c r="O54" s="65"/>
      <c r="P54" s="64">
        <f t="shared" si="37"/>
        <v>0</v>
      </c>
      <c r="Q54" s="28"/>
      <c r="R54" s="28"/>
      <c r="S54" s="65"/>
      <c r="T54" s="64">
        <f t="shared" si="38"/>
        <v>0</v>
      </c>
      <c r="U54" s="28"/>
      <c r="V54" s="28"/>
      <c r="W54" s="65"/>
      <c r="X54" s="64">
        <f t="shared" si="39"/>
        <v>0</v>
      </c>
      <c r="Y54" s="28"/>
      <c r="Z54" s="28"/>
      <c r="AA54" s="65"/>
      <c r="AB54" s="64">
        <f t="shared" si="40"/>
        <v>0</v>
      </c>
      <c r="AC54" s="28"/>
      <c r="AD54" s="28"/>
      <c r="AE54" s="65"/>
      <c r="AF54" s="64">
        <f t="shared" si="41"/>
        <v>0</v>
      </c>
      <c r="AG54" s="28"/>
      <c r="AH54" s="28"/>
      <c r="AI54" s="65"/>
      <c r="AJ54" s="64">
        <f t="shared" si="42"/>
        <v>0</v>
      </c>
      <c r="AK54" s="28"/>
      <c r="AL54" s="28"/>
      <c r="AM54" s="65"/>
      <c r="AN54" s="64">
        <f t="shared" si="43"/>
        <v>0</v>
      </c>
      <c r="AO54" s="28"/>
      <c r="AP54" s="28"/>
      <c r="AQ54" s="65"/>
      <c r="AR54" s="64">
        <f t="shared" si="44"/>
        <v>0</v>
      </c>
      <c r="AS54" s="28"/>
      <c r="AT54" s="28"/>
      <c r="AU54" s="65"/>
      <c r="AV54" s="64">
        <f t="shared" si="45"/>
        <v>0</v>
      </c>
      <c r="AW54" s="28"/>
      <c r="AX54" s="28"/>
      <c r="AY54" s="65"/>
      <c r="AZ54" s="64">
        <f t="shared" si="46"/>
        <v>0</v>
      </c>
      <c r="BA54" s="28"/>
      <c r="BB54" s="28"/>
      <c r="BC54" s="65"/>
      <c r="BD54" s="64">
        <f t="shared" si="47"/>
        <v>0</v>
      </c>
      <c r="BE54" s="28"/>
      <c r="BF54" s="28"/>
      <c r="BG54" s="65"/>
      <c r="BH54" s="64">
        <f t="shared" si="48"/>
        <v>0</v>
      </c>
      <c r="BI54" s="28"/>
      <c r="BJ54" s="28"/>
      <c r="BK54" s="65"/>
      <c r="BL54" s="64">
        <f t="shared" si="49"/>
        <v>0</v>
      </c>
      <c r="BM54" s="28"/>
      <c r="BN54" s="28"/>
      <c r="BO54" s="65"/>
      <c r="BP54" s="64">
        <f t="shared" si="50"/>
        <v>0</v>
      </c>
      <c r="BQ54" s="28"/>
      <c r="BR54" s="28"/>
      <c r="BS54" s="65"/>
      <c r="BT54" s="64">
        <f t="shared" si="51"/>
        <v>0</v>
      </c>
      <c r="BU54" s="28"/>
      <c r="BV54" s="28"/>
      <c r="BW54" s="65"/>
      <c r="BX54" s="64">
        <f t="shared" si="52"/>
        <v>0</v>
      </c>
      <c r="BY54" s="28"/>
      <c r="BZ54" s="28"/>
      <c r="CA54" s="65"/>
      <c r="CB54" s="64">
        <f t="shared" si="53"/>
        <v>0</v>
      </c>
      <c r="CC54" s="28"/>
      <c r="CD54" s="28"/>
      <c r="CE54" s="65"/>
      <c r="CF54" s="64">
        <f t="shared" si="54"/>
        <v>0</v>
      </c>
      <c r="CG54" s="28"/>
      <c r="CH54" s="28"/>
      <c r="CI54" s="65"/>
      <c r="CJ54" s="64">
        <f t="shared" si="55"/>
        <v>0</v>
      </c>
      <c r="CK54" s="28"/>
      <c r="CL54" s="28"/>
      <c r="CM54" s="65"/>
      <c r="CN54" s="64">
        <f t="shared" si="56"/>
        <v>0</v>
      </c>
      <c r="CO54" s="28"/>
      <c r="CP54" s="28"/>
      <c r="CQ54" s="65"/>
      <c r="CR54" s="64">
        <f t="shared" si="57"/>
        <v>0</v>
      </c>
      <c r="CS54" s="28"/>
      <c r="CT54" s="28"/>
      <c r="CU54" s="65"/>
      <c r="CV54" s="64">
        <f t="shared" si="58"/>
        <v>0</v>
      </c>
      <c r="CW54" s="28"/>
      <c r="CX54" s="28"/>
      <c r="CY54" s="65"/>
      <c r="CZ54" s="64">
        <f t="shared" si="59"/>
        <v>0</v>
      </c>
      <c r="DA54" s="28"/>
      <c r="DB54" s="28"/>
      <c r="DC54" s="65"/>
      <c r="DD54" s="64">
        <f t="shared" si="60"/>
        <v>0</v>
      </c>
      <c r="DE54" s="28"/>
      <c r="DF54" s="28"/>
      <c r="DG54" s="65"/>
      <c r="DH54" s="64">
        <f t="shared" si="61"/>
        <v>0</v>
      </c>
      <c r="DI54" s="28"/>
      <c r="DJ54" s="28"/>
      <c r="DK54" s="65"/>
      <c r="DL54" s="64">
        <f t="shared" si="62"/>
        <v>0</v>
      </c>
      <c r="DM54" s="28"/>
      <c r="DN54" s="28"/>
      <c r="DO54" s="65"/>
      <c r="DP54" s="64">
        <f t="shared" si="63"/>
        <v>0</v>
      </c>
      <c r="DQ54" s="28"/>
      <c r="DR54" s="28"/>
      <c r="DS54" s="65"/>
      <c r="DT54" s="64">
        <f t="shared" si="64"/>
        <v>0</v>
      </c>
      <c r="DU54" s="28"/>
      <c r="DV54" s="28"/>
      <c r="DW54" s="65"/>
      <c r="DX54" s="30">
        <f t="shared" si="65"/>
        <v>0</v>
      </c>
      <c r="DY54" s="31">
        <f t="shared" si="66"/>
        <v>0</v>
      </c>
      <c r="DZ54" s="31">
        <f t="shared" si="67"/>
        <v>0</v>
      </c>
      <c r="EA54" s="4">
        <f t="shared" si="68"/>
        <v>0</v>
      </c>
      <c r="EB54" s="9">
        <f>D54*'MASTER SHEET'!D54</f>
        <v>0</v>
      </c>
      <c r="EC54" s="9">
        <f>H54*'MASTER SHEET'!D54</f>
        <v>0</v>
      </c>
      <c r="ED54" s="9">
        <f>L54*'MASTER SHEET'!D54</f>
        <v>0</v>
      </c>
      <c r="EE54" s="9">
        <f>P54*'MASTER SHEET'!D54</f>
        <v>0</v>
      </c>
      <c r="EF54" s="9">
        <f>T54*'MASTER SHEET'!D54</f>
        <v>0</v>
      </c>
      <c r="EG54" s="9">
        <f>X54*'MASTER SHEET'!D54</f>
        <v>0</v>
      </c>
      <c r="EH54" s="9">
        <f>AB54*'MASTER SHEET'!D54</f>
        <v>0</v>
      </c>
      <c r="EI54" s="9">
        <f>AF54*'MASTER SHEET'!D54</f>
        <v>0</v>
      </c>
      <c r="EJ54" s="9">
        <f>AJ54*'MASTER SHEET'!D54</f>
        <v>0</v>
      </c>
      <c r="EK54" s="9">
        <f>AN54*'MASTER SHEET'!D54</f>
        <v>0</v>
      </c>
      <c r="EL54" s="9">
        <f>AR54*'MASTER SHEET'!D54</f>
        <v>0</v>
      </c>
      <c r="EM54" s="9">
        <f>AV54*'MASTER SHEET'!D54</f>
        <v>0</v>
      </c>
      <c r="EN54" s="9">
        <f>AZ54*'MASTER SHEET'!D54</f>
        <v>0</v>
      </c>
      <c r="EO54" s="9">
        <f>BD54*'MASTER SHEET'!D54</f>
        <v>0</v>
      </c>
      <c r="EP54" s="9">
        <f>BH54*'MASTER SHEET'!D54</f>
        <v>0</v>
      </c>
      <c r="EQ54" s="9">
        <f>BL54*'MASTER SHEET'!D54</f>
        <v>0</v>
      </c>
      <c r="ER54" s="9">
        <f>BP54*'MASTER SHEET'!D54</f>
        <v>0</v>
      </c>
      <c r="ES54" s="9">
        <f>BT54*'MASTER SHEET'!D54</f>
        <v>0</v>
      </c>
      <c r="ET54" s="9">
        <f>BX54*'MASTER SHEET'!D54</f>
        <v>0</v>
      </c>
      <c r="EU54" s="9">
        <f>CB54*'MASTER SHEET'!D54</f>
        <v>0</v>
      </c>
      <c r="EV54" s="9">
        <f>CF54*'MASTER SHEET'!D54</f>
        <v>0</v>
      </c>
      <c r="EW54" s="9">
        <f>CJ54*'MASTER SHEET'!D54</f>
        <v>0</v>
      </c>
      <c r="EX54" s="9">
        <f>CN54*'MASTER SHEET'!D54</f>
        <v>0</v>
      </c>
      <c r="EY54" s="9">
        <f>CV54*'MASTER SHEET'!D54</f>
        <v>0</v>
      </c>
      <c r="EZ54" s="9">
        <f>CV54*'MASTER SHEET'!D54</f>
        <v>0</v>
      </c>
      <c r="FA54" s="9">
        <f>CZ54*'MASTER SHEET'!D54</f>
        <v>0</v>
      </c>
      <c r="FB54" s="9">
        <f>DD54*'MASTER SHEET'!D54</f>
        <v>0</v>
      </c>
      <c r="FC54" s="9">
        <f>DH54*'MASTER SHEET'!D54</f>
        <v>0</v>
      </c>
      <c r="FD54" s="9">
        <f>DL54*'MASTER SHEET'!D54</f>
        <v>0</v>
      </c>
      <c r="FE54" s="9">
        <f>DP54*'MASTER SHEET'!D54</f>
        <v>0</v>
      </c>
      <c r="FF54" s="9">
        <f>DT54*'MASTER SHEET'!D54</f>
        <v>0</v>
      </c>
      <c r="FG54" s="9">
        <f>DX54*'MASTER SHEET'!D54</f>
        <v>0</v>
      </c>
    </row>
    <row r="55" spans="1:163" ht="20.25" x14ac:dyDescent="0.25">
      <c r="A55" s="43">
        <f>'MASTER SHEET'!A55</f>
        <v>53</v>
      </c>
      <c r="B55" s="26" t="str">
        <f>'MASTER SHEET'!B55</f>
        <v>Mesh Plastic</v>
      </c>
      <c r="C55" s="82">
        <f>'MASTER SHEET'!C55</f>
        <v>5030573</v>
      </c>
      <c r="D55" s="64"/>
      <c r="E55" s="28"/>
      <c r="F55" s="28"/>
      <c r="G55" s="65"/>
      <c r="H55" s="64">
        <f t="shared" si="35"/>
        <v>0</v>
      </c>
      <c r="I55" s="28"/>
      <c r="J55" s="28"/>
      <c r="K55" s="65"/>
      <c r="L55" s="64">
        <f t="shared" si="36"/>
        <v>0</v>
      </c>
      <c r="M55" s="28"/>
      <c r="N55" s="28"/>
      <c r="O55" s="65"/>
      <c r="P55" s="64">
        <f t="shared" si="37"/>
        <v>0</v>
      </c>
      <c r="Q55" s="28"/>
      <c r="R55" s="28"/>
      <c r="S55" s="65"/>
      <c r="T55" s="64">
        <f t="shared" si="38"/>
        <v>0</v>
      </c>
      <c r="U55" s="28"/>
      <c r="V55" s="28"/>
      <c r="W55" s="65"/>
      <c r="X55" s="64">
        <f t="shared" si="39"/>
        <v>0</v>
      </c>
      <c r="Y55" s="28"/>
      <c r="Z55" s="28"/>
      <c r="AA55" s="65"/>
      <c r="AB55" s="64">
        <f t="shared" si="40"/>
        <v>0</v>
      </c>
      <c r="AC55" s="28"/>
      <c r="AD55" s="28"/>
      <c r="AE55" s="65"/>
      <c r="AF55" s="64">
        <f t="shared" si="41"/>
        <v>0</v>
      </c>
      <c r="AG55" s="28"/>
      <c r="AH55" s="28"/>
      <c r="AI55" s="65"/>
      <c r="AJ55" s="64">
        <f t="shared" si="42"/>
        <v>0</v>
      </c>
      <c r="AK55" s="28"/>
      <c r="AL55" s="28"/>
      <c r="AM55" s="65"/>
      <c r="AN55" s="64">
        <f t="shared" si="43"/>
        <v>0</v>
      </c>
      <c r="AO55" s="28"/>
      <c r="AP55" s="28"/>
      <c r="AQ55" s="65"/>
      <c r="AR55" s="64">
        <f t="shared" si="44"/>
        <v>0</v>
      </c>
      <c r="AS55" s="28"/>
      <c r="AT55" s="28"/>
      <c r="AU55" s="65"/>
      <c r="AV55" s="64">
        <f t="shared" si="45"/>
        <v>0</v>
      </c>
      <c r="AW55" s="28"/>
      <c r="AX55" s="28"/>
      <c r="AY55" s="65"/>
      <c r="AZ55" s="64">
        <f t="shared" si="46"/>
        <v>0</v>
      </c>
      <c r="BA55" s="28"/>
      <c r="BB55" s="28"/>
      <c r="BC55" s="65"/>
      <c r="BD55" s="64">
        <f t="shared" si="47"/>
        <v>0</v>
      </c>
      <c r="BE55" s="28"/>
      <c r="BF55" s="28"/>
      <c r="BG55" s="65"/>
      <c r="BH55" s="64">
        <f t="shared" si="48"/>
        <v>0</v>
      </c>
      <c r="BI55" s="28"/>
      <c r="BJ55" s="28"/>
      <c r="BK55" s="65"/>
      <c r="BL55" s="64">
        <f t="shared" si="49"/>
        <v>0</v>
      </c>
      <c r="BM55" s="28"/>
      <c r="BN55" s="28"/>
      <c r="BO55" s="65"/>
      <c r="BP55" s="64">
        <f t="shared" si="50"/>
        <v>0</v>
      </c>
      <c r="BQ55" s="28"/>
      <c r="BR55" s="28"/>
      <c r="BS55" s="65"/>
      <c r="BT55" s="64">
        <f t="shared" si="51"/>
        <v>0</v>
      </c>
      <c r="BU55" s="28"/>
      <c r="BV55" s="28"/>
      <c r="BW55" s="65"/>
      <c r="BX55" s="64">
        <f t="shared" si="52"/>
        <v>0</v>
      </c>
      <c r="BY55" s="28"/>
      <c r="BZ55" s="28"/>
      <c r="CA55" s="65"/>
      <c r="CB55" s="64">
        <f t="shared" si="53"/>
        <v>0</v>
      </c>
      <c r="CC55" s="28"/>
      <c r="CD55" s="28"/>
      <c r="CE55" s="65"/>
      <c r="CF55" s="64">
        <f t="shared" si="54"/>
        <v>0</v>
      </c>
      <c r="CG55" s="28"/>
      <c r="CH55" s="28"/>
      <c r="CI55" s="65"/>
      <c r="CJ55" s="64">
        <f t="shared" si="55"/>
        <v>0</v>
      </c>
      <c r="CK55" s="28"/>
      <c r="CL55" s="28"/>
      <c r="CM55" s="65"/>
      <c r="CN55" s="64">
        <f t="shared" si="56"/>
        <v>0</v>
      </c>
      <c r="CO55" s="28"/>
      <c r="CP55" s="28"/>
      <c r="CQ55" s="65"/>
      <c r="CR55" s="64">
        <f t="shared" si="57"/>
        <v>0</v>
      </c>
      <c r="CS55" s="28"/>
      <c r="CT55" s="28"/>
      <c r="CU55" s="65"/>
      <c r="CV55" s="64">
        <f t="shared" si="58"/>
        <v>0</v>
      </c>
      <c r="CW55" s="28"/>
      <c r="CX55" s="28"/>
      <c r="CY55" s="65"/>
      <c r="CZ55" s="64">
        <f t="shared" si="59"/>
        <v>0</v>
      </c>
      <c r="DA55" s="28"/>
      <c r="DB55" s="28"/>
      <c r="DC55" s="65"/>
      <c r="DD55" s="64">
        <f t="shared" si="60"/>
        <v>0</v>
      </c>
      <c r="DE55" s="28"/>
      <c r="DF55" s="28"/>
      <c r="DG55" s="65"/>
      <c r="DH55" s="64">
        <f t="shared" si="61"/>
        <v>0</v>
      </c>
      <c r="DI55" s="28"/>
      <c r="DJ55" s="28"/>
      <c r="DK55" s="65"/>
      <c r="DL55" s="64">
        <f t="shared" si="62"/>
        <v>0</v>
      </c>
      <c r="DM55" s="28"/>
      <c r="DN55" s="28"/>
      <c r="DO55" s="65"/>
      <c r="DP55" s="64">
        <f t="shared" si="63"/>
        <v>0</v>
      </c>
      <c r="DQ55" s="28"/>
      <c r="DR55" s="28"/>
      <c r="DS55" s="65"/>
      <c r="DT55" s="64">
        <f t="shared" si="64"/>
        <v>0</v>
      </c>
      <c r="DU55" s="28"/>
      <c r="DV55" s="28"/>
      <c r="DW55" s="65"/>
      <c r="DX55" s="30">
        <f t="shared" si="65"/>
        <v>0</v>
      </c>
      <c r="DY55" s="31">
        <f t="shared" si="66"/>
        <v>0</v>
      </c>
      <c r="DZ55" s="31">
        <f t="shared" si="67"/>
        <v>0</v>
      </c>
      <c r="EA55" s="4">
        <f t="shared" si="68"/>
        <v>0</v>
      </c>
      <c r="EB55" s="9">
        <f>D55*'MASTER SHEET'!D55</f>
        <v>0</v>
      </c>
      <c r="EC55" s="9">
        <f>H55*'MASTER SHEET'!D55</f>
        <v>0</v>
      </c>
      <c r="ED55" s="9">
        <f>L55*'MASTER SHEET'!D55</f>
        <v>0</v>
      </c>
      <c r="EE55" s="9">
        <f>P55*'MASTER SHEET'!D55</f>
        <v>0</v>
      </c>
      <c r="EF55" s="9">
        <f>T55*'MASTER SHEET'!D55</f>
        <v>0</v>
      </c>
      <c r="EG55" s="9">
        <f>X55*'MASTER SHEET'!D55</f>
        <v>0</v>
      </c>
      <c r="EH55" s="9">
        <f>AB55*'MASTER SHEET'!D55</f>
        <v>0</v>
      </c>
      <c r="EI55" s="9">
        <f>AF55*'MASTER SHEET'!D55</f>
        <v>0</v>
      </c>
      <c r="EJ55" s="9">
        <f>AJ55*'MASTER SHEET'!D55</f>
        <v>0</v>
      </c>
      <c r="EK55" s="9">
        <f>AN55*'MASTER SHEET'!D55</f>
        <v>0</v>
      </c>
      <c r="EL55" s="9">
        <f>AR55*'MASTER SHEET'!D55</f>
        <v>0</v>
      </c>
      <c r="EM55" s="9">
        <f>AV55*'MASTER SHEET'!D55</f>
        <v>0</v>
      </c>
      <c r="EN55" s="9">
        <f>AZ55*'MASTER SHEET'!D55</f>
        <v>0</v>
      </c>
      <c r="EO55" s="9">
        <f>BD55*'MASTER SHEET'!D55</f>
        <v>0</v>
      </c>
      <c r="EP55" s="9">
        <f>BH55*'MASTER SHEET'!D55</f>
        <v>0</v>
      </c>
      <c r="EQ55" s="9">
        <f>BL55*'MASTER SHEET'!D55</f>
        <v>0</v>
      </c>
      <c r="ER55" s="9">
        <f>BP55*'MASTER SHEET'!D55</f>
        <v>0</v>
      </c>
      <c r="ES55" s="9">
        <f>BT55*'MASTER SHEET'!D55</f>
        <v>0</v>
      </c>
      <c r="ET55" s="9">
        <f>BX55*'MASTER SHEET'!D55</f>
        <v>0</v>
      </c>
      <c r="EU55" s="9">
        <f>CB55*'MASTER SHEET'!D55</f>
        <v>0</v>
      </c>
      <c r="EV55" s="9">
        <f>CF55*'MASTER SHEET'!D55</f>
        <v>0</v>
      </c>
      <c r="EW55" s="9">
        <f>CJ55*'MASTER SHEET'!D55</f>
        <v>0</v>
      </c>
      <c r="EX55" s="9">
        <f>CN55*'MASTER SHEET'!D55</f>
        <v>0</v>
      </c>
      <c r="EY55" s="9">
        <f>CV55*'MASTER SHEET'!D55</f>
        <v>0</v>
      </c>
      <c r="EZ55" s="9">
        <f>CV55*'MASTER SHEET'!D55</f>
        <v>0</v>
      </c>
      <c r="FA55" s="9">
        <f>CZ55*'MASTER SHEET'!D55</f>
        <v>0</v>
      </c>
      <c r="FB55" s="9">
        <f>DD55*'MASTER SHEET'!D55</f>
        <v>0</v>
      </c>
      <c r="FC55" s="9">
        <f>DH55*'MASTER SHEET'!D55</f>
        <v>0</v>
      </c>
      <c r="FD55" s="9">
        <f>DL55*'MASTER SHEET'!D55</f>
        <v>0</v>
      </c>
      <c r="FE55" s="9">
        <f>DP55*'MASTER SHEET'!D55</f>
        <v>0</v>
      </c>
      <c r="FF55" s="9">
        <f>DT55*'MASTER SHEET'!D55</f>
        <v>0</v>
      </c>
      <c r="FG55" s="9">
        <f>DX55*'MASTER SHEET'!D55</f>
        <v>0</v>
      </c>
    </row>
    <row r="56" spans="1:163" ht="20.25" x14ac:dyDescent="0.25">
      <c r="A56" s="43">
        <f>'MASTER SHEET'!A56</f>
        <v>54</v>
      </c>
      <c r="B56" s="26" t="str">
        <f>'MASTER SHEET'!B56</f>
        <v>BASE HOUSING</v>
      </c>
      <c r="C56" s="82">
        <f>'MASTER SHEET'!C56</f>
        <v>5030721</v>
      </c>
      <c r="D56" s="64"/>
      <c r="E56" s="28"/>
      <c r="F56" s="28"/>
      <c r="G56" s="65"/>
      <c r="H56" s="64">
        <f t="shared" si="35"/>
        <v>0</v>
      </c>
      <c r="I56" s="28"/>
      <c r="J56" s="28"/>
      <c r="K56" s="65"/>
      <c r="L56" s="64">
        <f t="shared" si="36"/>
        <v>0</v>
      </c>
      <c r="M56" s="28"/>
      <c r="N56" s="28"/>
      <c r="O56" s="65"/>
      <c r="P56" s="64">
        <f t="shared" si="37"/>
        <v>0</v>
      </c>
      <c r="Q56" s="28"/>
      <c r="R56" s="28"/>
      <c r="S56" s="65"/>
      <c r="T56" s="64">
        <f t="shared" si="38"/>
        <v>0</v>
      </c>
      <c r="U56" s="28"/>
      <c r="V56" s="28"/>
      <c r="W56" s="65"/>
      <c r="X56" s="64">
        <f t="shared" si="39"/>
        <v>0</v>
      </c>
      <c r="Y56" s="28"/>
      <c r="Z56" s="28"/>
      <c r="AA56" s="65"/>
      <c r="AB56" s="64">
        <f t="shared" si="40"/>
        <v>0</v>
      </c>
      <c r="AC56" s="28"/>
      <c r="AD56" s="28"/>
      <c r="AE56" s="65"/>
      <c r="AF56" s="64">
        <f t="shared" si="41"/>
        <v>0</v>
      </c>
      <c r="AG56" s="28"/>
      <c r="AH56" s="28"/>
      <c r="AI56" s="65"/>
      <c r="AJ56" s="64">
        <f t="shared" si="42"/>
        <v>0</v>
      </c>
      <c r="AK56" s="28"/>
      <c r="AL56" s="28"/>
      <c r="AM56" s="65"/>
      <c r="AN56" s="64">
        <f t="shared" si="43"/>
        <v>0</v>
      </c>
      <c r="AO56" s="28"/>
      <c r="AP56" s="28"/>
      <c r="AQ56" s="65"/>
      <c r="AR56" s="64">
        <f t="shared" si="44"/>
        <v>0</v>
      </c>
      <c r="AS56" s="28"/>
      <c r="AT56" s="28"/>
      <c r="AU56" s="65"/>
      <c r="AV56" s="64">
        <f t="shared" si="45"/>
        <v>0</v>
      </c>
      <c r="AW56" s="28"/>
      <c r="AX56" s="28"/>
      <c r="AY56" s="65"/>
      <c r="AZ56" s="64">
        <f t="shared" si="46"/>
        <v>0</v>
      </c>
      <c r="BA56" s="28"/>
      <c r="BB56" s="28"/>
      <c r="BC56" s="65"/>
      <c r="BD56" s="64">
        <f t="shared" si="47"/>
        <v>0</v>
      </c>
      <c r="BE56" s="28"/>
      <c r="BF56" s="28"/>
      <c r="BG56" s="65"/>
      <c r="BH56" s="64">
        <f t="shared" si="48"/>
        <v>0</v>
      </c>
      <c r="BI56" s="28"/>
      <c r="BJ56" s="28"/>
      <c r="BK56" s="65"/>
      <c r="BL56" s="64">
        <f t="shared" si="49"/>
        <v>0</v>
      </c>
      <c r="BM56" s="28"/>
      <c r="BN56" s="28"/>
      <c r="BO56" s="65"/>
      <c r="BP56" s="64">
        <f t="shared" si="50"/>
        <v>0</v>
      </c>
      <c r="BQ56" s="28"/>
      <c r="BR56" s="28"/>
      <c r="BS56" s="65"/>
      <c r="BT56" s="64">
        <f t="shared" si="51"/>
        <v>0</v>
      </c>
      <c r="BU56" s="28"/>
      <c r="BV56" s="28"/>
      <c r="BW56" s="65"/>
      <c r="BX56" s="64">
        <f t="shared" si="52"/>
        <v>0</v>
      </c>
      <c r="BY56" s="28"/>
      <c r="BZ56" s="28"/>
      <c r="CA56" s="65"/>
      <c r="CB56" s="64">
        <f t="shared" si="53"/>
        <v>0</v>
      </c>
      <c r="CC56" s="28"/>
      <c r="CD56" s="28"/>
      <c r="CE56" s="65"/>
      <c r="CF56" s="64">
        <f t="shared" si="54"/>
        <v>0</v>
      </c>
      <c r="CG56" s="28"/>
      <c r="CH56" s="28"/>
      <c r="CI56" s="65"/>
      <c r="CJ56" s="64">
        <f t="shared" si="55"/>
        <v>0</v>
      </c>
      <c r="CK56" s="28"/>
      <c r="CL56" s="28"/>
      <c r="CM56" s="65"/>
      <c r="CN56" s="64">
        <f t="shared" si="56"/>
        <v>0</v>
      </c>
      <c r="CO56" s="28"/>
      <c r="CP56" s="28"/>
      <c r="CQ56" s="65"/>
      <c r="CR56" s="64">
        <f t="shared" si="57"/>
        <v>0</v>
      </c>
      <c r="CS56" s="28"/>
      <c r="CT56" s="28"/>
      <c r="CU56" s="65"/>
      <c r="CV56" s="64">
        <f t="shared" si="58"/>
        <v>0</v>
      </c>
      <c r="CW56" s="28"/>
      <c r="CX56" s="28"/>
      <c r="CY56" s="65"/>
      <c r="CZ56" s="64">
        <f t="shared" si="59"/>
        <v>0</v>
      </c>
      <c r="DA56" s="28"/>
      <c r="DB56" s="28"/>
      <c r="DC56" s="65"/>
      <c r="DD56" s="64">
        <f t="shared" si="60"/>
        <v>0</v>
      </c>
      <c r="DE56" s="28"/>
      <c r="DF56" s="28"/>
      <c r="DG56" s="65"/>
      <c r="DH56" s="64">
        <f t="shared" si="61"/>
        <v>0</v>
      </c>
      <c r="DI56" s="28"/>
      <c r="DJ56" s="28"/>
      <c r="DK56" s="65"/>
      <c r="DL56" s="64">
        <f t="shared" si="62"/>
        <v>0</v>
      </c>
      <c r="DM56" s="28"/>
      <c r="DN56" s="28"/>
      <c r="DO56" s="65"/>
      <c r="DP56" s="64">
        <f t="shared" si="63"/>
        <v>0</v>
      </c>
      <c r="DQ56" s="28"/>
      <c r="DR56" s="28"/>
      <c r="DS56" s="65"/>
      <c r="DT56" s="64">
        <f t="shared" si="64"/>
        <v>0</v>
      </c>
      <c r="DU56" s="28"/>
      <c r="DV56" s="28"/>
      <c r="DW56" s="65"/>
      <c r="DX56" s="30">
        <f t="shared" si="65"/>
        <v>0</v>
      </c>
      <c r="DY56" s="31">
        <f t="shared" si="66"/>
        <v>0</v>
      </c>
      <c r="DZ56" s="31">
        <f t="shared" si="67"/>
        <v>0</v>
      </c>
      <c r="EA56" s="4">
        <f t="shared" si="68"/>
        <v>0</v>
      </c>
      <c r="EB56" s="9">
        <f>D56*'MASTER SHEET'!D56</f>
        <v>0</v>
      </c>
      <c r="EC56" s="9">
        <f>H56*'MASTER SHEET'!D56</f>
        <v>0</v>
      </c>
      <c r="ED56" s="9">
        <f>L56*'MASTER SHEET'!D56</f>
        <v>0</v>
      </c>
      <c r="EE56" s="9">
        <f>P56*'MASTER SHEET'!D56</f>
        <v>0</v>
      </c>
      <c r="EF56" s="9">
        <f>T56*'MASTER SHEET'!D56</f>
        <v>0</v>
      </c>
      <c r="EG56" s="9">
        <f>X56*'MASTER SHEET'!D56</f>
        <v>0</v>
      </c>
      <c r="EH56" s="9">
        <f>AB56*'MASTER SHEET'!D56</f>
        <v>0</v>
      </c>
      <c r="EI56" s="9">
        <f>AF56*'MASTER SHEET'!D56</f>
        <v>0</v>
      </c>
      <c r="EJ56" s="9">
        <f>AJ56*'MASTER SHEET'!D56</f>
        <v>0</v>
      </c>
      <c r="EK56" s="9">
        <f>AN56*'MASTER SHEET'!D56</f>
        <v>0</v>
      </c>
      <c r="EL56" s="9">
        <f>AR56*'MASTER SHEET'!D56</f>
        <v>0</v>
      </c>
      <c r="EM56" s="9">
        <f>AV56*'MASTER SHEET'!D56</f>
        <v>0</v>
      </c>
      <c r="EN56" s="9">
        <f>AZ56*'MASTER SHEET'!D56</f>
        <v>0</v>
      </c>
      <c r="EO56" s="9">
        <f>BD56*'MASTER SHEET'!D56</f>
        <v>0</v>
      </c>
      <c r="EP56" s="9">
        <f>BH56*'MASTER SHEET'!D56</f>
        <v>0</v>
      </c>
      <c r="EQ56" s="9">
        <f>BL56*'MASTER SHEET'!D56</f>
        <v>0</v>
      </c>
      <c r="ER56" s="9">
        <f>BP56*'MASTER SHEET'!D56</f>
        <v>0</v>
      </c>
      <c r="ES56" s="9">
        <f>BT56*'MASTER SHEET'!D56</f>
        <v>0</v>
      </c>
      <c r="ET56" s="9">
        <f>BX56*'MASTER SHEET'!D56</f>
        <v>0</v>
      </c>
      <c r="EU56" s="9">
        <f>CB56*'MASTER SHEET'!D56</f>
        <v>0</v>
      </c>
      <c r="EV56" s="9">
        <f>CF56*'MASTER SHEET'!D56</f>
        <v>0</v>
      </c>
      <c r="EW56" s="9">
        <f>CJ56*'MASTER SHEET'!D56</f>
        <v>0</v>
      </c>
      <c r="EX56" s="9">
        <f>CN56*'MASTER SHEET'!D56</f>
        <v>0</v>
      </c>
      <c r="EY56" s="9">
        <f>CV56*'MASTER SHEET'!D56</f>
        <v>0</v>
      </c>
      <c r="EZ56" s="9">
        <f>CV56*'MASTER SHEET'!D56</f>
        <v>0</v>
      </c>
      <c r="FA56" s="9">
        <f>CZ56*'MASTER SHEET'!D56</f>
        <v>0</v>
      </c>
      <c r="FB56" s="9">
        <f>DD56*'MASTER SHEET'!D56</f>
        <v>0</v>
      </c>
      <c r="FC56" s="9">
        <f>DH56*'MASTER SHEET'!D56</f>
        <v>0</v>
      </c>
      <c r="FD56" s="9">
        <f>DL56*'MASTER SHEET'!D56</f>
        <v>0</v>
      </c>
      <c r="FE56" s="9">
        <f>DP56*'MASTER SHEET'!D56</f>
        <v>0</v>
      </c>
      <c r="FF56" s="9">
        <f>DT56*'MASTER SHEET'!D56</f>
        <v>0</v>
      </c>
      <c r="FG56" s="9">
        <f>DX56*'MASTER SHEET'!D56</f>
        <v>0</v>
      </c>
    </row>
    <row r="57" spans="1:163" s="10" customFormat="1" ht="20.25" x14ac:dyDescent="0.25">
      <c r="A57" s="43">
        <f>'MASTER SHEET'!A57</f>
        <v>55</v>
      </c>
      <c r="B57" s="26" t="str">
        <f>'MASTER SHEET'!B57</f>
        <v>HOUSING PLASTIC</v>
      </c>
      <c r="C57" s="82">
        <f>'MASTER SHEET'!C57</f>
        <v>5030557</v>
      </c>
      <c r="D57" s="64"/>
      <c r="E57" s="28"/>
      <c r="F57" s="28"/>
      <c r="G57" s="65"/>
      <c r="H57" s="64">
        <f t="shared" si="35"/>
        <v>0</v>
      </c>
      <c r="I57" s="28"/>
      <c r="J57" s="28"/>
      <c r="K57" s="65"/>
      <c r="L57" s="64">
        <f t="shared" si="36"/>
        <v>0</v>
      </c>
      <c r="M57" s="28"/>
      <c r="N57" s="28"/>
      <c r="O57" s="65"/>
      <c r="P57" s="64">
        <f t="shared" si="37"/>
        <v>0</v>
      </c>
      <c r="Q57" s="28"/>
      <c r="R57" s="28"/>
      <c r="S57" s="65"/>
      <c r="T57" s="64">
        <f t="shared" si="38"/>
        <v>0</v>
      </c>
      <c r="U57" s="28"/>
      <c r="V57" s="28"/>
      <c r="W57" s="65"/>
      <c r="X57" s="64">
        <f t="shared" si="39"/>
        <v>0</v>
      </c>
      <c r="Y57" s="28"/>
      <c r="Z57" s="28"/>
      <c r="AA57" s="65"/>
      <c r="AB57" s="64">
        <f t="shared" si="40"/>
        <v>0</v>
      </c>
      <c r="AC57" s="28"/>
      <c r="AD57" s="28"/>
      <c r="AE57" s="65"/>
      <c r="AF57" s="64">
        <f t="shared" si="41"/>
        <v>0</v>
      </c>
      <c r="AG57" s="28"/>
      <c r="AH57" s="28"/>
      <c r="AI57" s="65"/>
      <c r="AJ57" s="64">
        <f t="shared" si="42"/>
        <v>0</v>
      </c>
      <c r="AK57" s="28"/>
      <c r="AL57" s="28"/>
      <c r="AM57" s="65"/>
      <c r="AN57" s="64">
        <f t="shared" si="43"/>
        <v>0</v>
      </c>
      <c r="AO57" s="28"/>
      <c r="AP57" s="28"/>
      <c r="AQ57" s="65"/>
      <c r="AR57" s="64">
        <f t="shared" si="44"/>
        <v>0</v>
      </c>
      <c r="AS57" s="28"/>
      <c r="AT57" s="28"/>
      <c r="AU57" s="65"/>
      <c r="AV57" s="64">
        <f t="shared" si="45"/>
        <v>0</v>
      </c>
      <c r="AW57" s="28"/>
      <c r="AX57" s="28"/>
      <c r="AY57" s="65"/>
      <c r="AZ57" s="64">
        <f t="shared" si="46"/>
        <v>0</v>
      </c>
      <c r="BA57" s="28"/>
      <c r="BB57" s="28"/>
      <c r="BC57" s="65"/>
      <c r="BD57" s="64">
        <f t="shared" si="47"/>
        <v>0</v>
      </c>
      <c r="BE57" s="28"/>
      <c r="BF57" s="28"/>
      <c r="BG57" s="65"/>
      <c r="BH57" s="64">
        <f t="shared" si="48"/>
        <v>0</v>
      </c>
      <c r="BI57" s="28"/>
      <c r="BJ57" s="28"/>
      <c r="BK57" s="65"/>
      <c r="BL57" s="64">
        <f t="shared" si="49"/>
        <v>0</v>
      </c>
      <c r="BM57" s="28"/>
      <c r="BN57" s="28"/>
      <c r="BO57" s="65"/>
      <c r="BP57" s="64">
        <f t="shared" si="50"/>
        <v>0</v>
      </c>
      <c r="BQ57" s="28"/>
      <c r="BR57" s="28"/>
      <c r="BS57" s="65"/>
      <c r="BT57" s="64">
        <f t="shared" si="51"/>
        <v>0</v>
      </c>
      <c r="BU57" s="28"/>
      <c r="BV57" s="28"/>
      <c r="BW57" s="65"/>
      <c r="BX57" s="64">
        <f t="shared" si="52"/>
        <v>0</v>
      </c>
      <c r="BY57" s="28"/>
      <c r="BZ57" s="28"/>
      <c r="CA57" s="65"/>
      <c r="CB57" s="64">
        <f t="shared" si="53"/>
        <v>0</v>
      </c>
      <c r="CC57" s="28"/>
      <c r="CD57" s="28"/>
      <c r="CE57" s="65"/>
      <c r="CF57" s="64">
        <f t="shared" si="54"/>
        <v>0</v>
      </c>
      <c r="CG57" s="28"/>
      <c r="CH57" s="28"/>
      <c r="CI57" s="65"/>
      <c r="CJ57" s="64">
        <f t="shared" si="55"/>
        <v>0</v>
      </c>
      <c r="CK57" s="28"/>
      <c r="CL57" s="28"/>
      <c r="CM57" s="65"/>
      <c r="CN57" s="64">
        <f t="shared" si="56"/>
        <v>0</v>
      </c>
      <c r="CO57" s="28"/>
      <c r="CP57" s="28"/>
      <c r="CQ57" s="65"/>
      <c r="CR57" s="64">
        <f t="shared" si="57"/>
        <v>0</v>
      </c>
      <c r="CS57" s="28"/>
      <c r="CT57" s="28"/>
      <c r="CU57" s="65"/>
      <c r="CV57" s="64">
        <f t="shared" si="58"/>
        <v>0</v>
      </c>
      <c r="CW57" s="28"/>
      <c r="CX57" s="28"/>
      <c r="CY57" s="65"/>
      <c r="CZ57" s="64">
        <f t="shared" si="59"/>
        <v>0</v>
      </c>
      <c r="DA57" s="28"/>
      <c r="DB57" s="28"/>
      <c r="DC57" s="65"/>
      <c r="DD57" s="64">
        <f t="shared" si="60"/>
        <v>0</v>
      </c>
      <c r="DE57" s="28"/>
      <c r="DF57" s="28"/>
      <c r="DG57" s="65"/>
      <c r="DH57" s="64">
        <f t="shared" si="61"/>
        <v>0</v>
      </c>
      <c r="DI57" s="28"/>
      <c r="DJ57" s="28"/>
      <c r="DK57" s="65"/>
      <c r="DL57" s="64">
        <f t="shared" si="62"/>
        <v>0</v>
      </c>
      <c r="DM57" s="28"/>
      <c r="DN57" s="28"/>
      <c r="DO57" s="65"/>
      <c r="DP57" s="64">
        <f t="shared" si="63"/>
        <v>0</v>
      </c>
      <c r="DQ57" s="28"/>
      <c r="DR57" s="28"/>
      <c r="DS57" s="65"/>
      <c r="DT57" s="64">
        <f t="shared" si="64"/>
        <v>0</v>
      </c>
      <c r="DU57" s="28"/>
      <c r="DV57" s="28"/>
      <c r="DW57" s="65"/>
      <c r="DX57" s="30">
        <f t="shared" si="65"/>
        <v>0</v>
      </c>
      <c r="DY57" s="31">
        <f t="shared" si="66"/>
        <v>0</v>
      </c>
      <c r="DZ57" s="31">
        <f t="shared" si="67"/>
        <v>0</v>
      </c>
      <c r="EA57" s="4">
        <f t="shared" si="68"/>
        <v>0</v>
      </c>
      <c r="EB57" s="9">
        <f>D57*'MASTER SHEET'!D57</f>
        <v>0</v>
      </c>
      <c r="EC57" s="9">
        <f>H57*'MASTER SHEET'!D57</f>
        <v>0</v>
      </c>
      <c r="ED57" s="9">
        <f>L57*'MASTER SHEET'!D57</f>
        <v>0</v>
      </c>
      <c r="EE57" s="9">
        <f>P57*'MASTER SHEET'!D57</f>
        <v>0</v>
      </c>
      <c r="EF57" s="9">
        <f>T57*'MASTER SHEET'!D57</f>
        <v>0</v>
      </c>
      <c r="EG57" s="9">
        <f>X57*'MASTER SHEET'!D57</f>
        <v>0</v>
      </c>
      <c r="EH57" s="9">
        <f>AB57*'MASTER SHEET'!D57</f>
        <v>0</v>
      </c>
      <c r="EI57" s="9">
        <f>AF57*'MASTER SHEET'!D57</f>
        <v>0</v>
      </c>
      <c r="EJ57" s="9">
        <f>AJ57*'MASTER SHEET'!D57</f>
        <v>0</v>
      </c>
      <c r="EK57" s="9">
        <f>AN57*'MASTER SHEET'!D57</f>
        <v>0</v>
      </c>
      <c r="EL57" s="9">
        <f>AR57*'MASTER SHEET'!D57</f>
        <v>0</v>
      </c>
      <c r="EM57" s="9">
        <f>AV57*'MASTER SHEET'!D57</f>
        <v>0</v>
      </c>
      <c r="EN57" s="9">
        <f>AZ57*'MASTER SHEET'!D57</f>
        <v>0</v>
      </c>
      <c r="EO57" s="9">
        <f>BD57*'MASTER SHEET'!D57</f>
        <v>0</v>
      </c>
      <c r="EP57" s="9">
        <f>BH57*'MASTER SHEET'!D57</f>
        <v>0</v>
      </c>
      <c r="EQ57" s="9">
        <f>BL57*'MASTER SHEET'!D57</f>
        <v>0</v>
      </c>
      <c r="ER57" s="9">
        <f>BP57*'MASTER SHEET'!D57</f>
        <v>0</v>
      </c>
      <c r="ES57" s="9">
        <f>BT57*'MASTER SHEET'!D57</f>
        <v>0</v>
      </c>
      <c r="ET57" s="9">
        <f>BX57*'MASTER SHEET'!D57</f>
        <v>0</v>
      </c>
      <c r="EU57" s="9">
        <f>CB57*'MASTER SHEET'!D57</f>
        <v>0</v>
      </c>
      <c r="EV57" s="9">
        <f>CF57*'MASTER SHEET'!D57</f>
        <v>0</v>
      </c>
      <c r="EW57" s="9">
        <f>CJ57*'MASTER SHEET'!D57</f>
        <v>0</v>
      </c>
      <c r="EX57" s="9">
        <f>CN57*'MASTER SHEET'!D57</f>
        <v>0</v>
      </c>
      <c r="EY57" s="9">
        <f>CV57*'MASTER SHEET'!D57</f>
        <v>0</v>
      </c>
      <c r="EZ57" s="9">
        <f>CV57*'MASTER SHEET'!D57</f>
        <v>0</v>
      </c>
      <c r="FA57" s="9">
        <f>CZ57*'MASTER SHEET'!D57</f>
        <v>0</v>
      </c>
      <c r="FB57" s="9">
        <f>DD57*'MASTER SHEET'!D57</f>
        <v>0</v>
      </c>
      <c r="FC57" s="9">
        <f>DH57*'MASTER SHEET'!D57</f>
        <v>0</v>
      </c>
      <c r="FD57" s="9">
        <f>DL57*'MASTER SHEET'!D57</f>
        <v>0</v>
      </c>
      <c r="FE57" s="9">
        <f>DP57*'MASTER SHEET'!D57</f>
        <v>0</v>
      </c>
      <c r="FF57" s="9">
        <f>DT57*'MASTER SHEET'!D57</f>
        <v>0</v>
      </c>
      <c r="FG57" s="9">
        <f>DX57*'MASTER SHEET'!D57</f>
        <v>0</v>
      </c>
    </row>
    <row r="58" spans="1:163" ht="20.25" x14ac:dyDescent="0.25">
      <c r="A58" s="43">
        <f>'MASTER SHEET'!A58</f>
        <v>56</v>
      </c>
      <c r="B58" s="26" t="str">
        <f>'MASTER SHEET'!B58</f>
        <v>COVER TOP ASSEMBLY</v>
      </c>
      <c r="C58" s="82">
        <f>'MASTER SHEET'!C58</f>
        <v>5031657</v>
      </c>
      <c r="D58" s="64"/>
      <c r="E58" s="28"/>
      <c r="F58" s="28"/>
      <c r="G58" s="65"/>
      <c r="H58" s="64">
        <f t="shared" si="35"/>
        <v>0</v>
      </c>
      <c r="I58" s="28"/>
      <c r="J58" s="28"/>
      <c r="K58" s="65"/>
      <c r="L58" s="64">
        <f t="shared" si="36"/>
        <v>0</v>
      </c>
      <c r="M58" s="28"/>
      <c r="N58" s="28"/>
      <c r="O58" s="65"/>
      <c r="P58" s="64">
        <f t="shared" si="37"/>
        <v>0</v>
      </c>
      <c r="Q58" s="28"/>
      <c r="R58" s="28"/>
      <c r="S58" s="65"/>
      <c r="T58" s="64">
        <f t="shared" si="38"/>
        <v>0</v>
      </c>
      <c r="U58" s="28"/>
      <c r="V58" s="28"/>
      <c r="W58" s="65"/>
      <c r="X58" s="64">
        <f t="shared" si="39"/>
        <v>0</v>
      </c>
      <c r="Y58" s="28"/>
      <c r="Z58" s="28"/>
      <c r="AA58" s="65"/>
      <c r="AB58" s="64">
        <f t="shared" si="40"/>
        <v>0</v>
      </c>
      <c r="AC58" s="28"/>
      <c r="AD58" s="28"/>
      <c r="AE58" s="65"/>
      <c r="AF58" s="64">
        <f t="shared" si="41"/>
        <v>0</v>
      </c>
      <c r="AG58" s="28"/>
      <c r="AH58" s="28"/>
      <c r="AI58" s="65"/>
      <c r="AJ58" s="64">
        <f t="shared" si="42"/>
        <v>0</v>
      </c>
      <c r="AK58" s="28"/>
      <c r="AL58" s="28"/>
      <c r="AM58" s="65"/>
      <c r="AN58" s="64">
        <f t="shared" si="43"/>
        <v>0</v>
      </c>
      <c r="AO58" s="28"/>
      <c r="AP58" s="28"/>
      <c r="AQ58" s="65"/>
      <c r="AR58" s="64">
        <f t="shared" si="44"/>
        <v>0</v>
      </c>
      <c r="AS58" s="28"/>
      <c r="AT58" s="28"/>
      <c r="AU58" s="65"/>
      <c r="AV58" s="64">
        <f t="shared" si="45"/>
        <v>0</v>
      </c>
      <c r="AW58" s="28"/>
      <c r="AX58" s="28"/>
      <c r="AY58" s="65"/>
      <c r="AZ58" s="64">
        <f t="shared" si="46"/>
        <v>0</v>
      </c>
      <c r="BA58" s="28"/>
      <c r="BB58" s="28"/>
      <c r="BC58" s="65"/>
      <c r="BD58" s="64">
        <f t="shared" si="47"/>
        <v>0</v>
      </c>
      <c r="BE58" s="28"/>
      <c r="BF58" s="28"/>
      <c r="BG58" s="65"/>
      <c r="BH58" s="64">
        <f t="shared" si="48"/>
        <v>0</v>
      </c>
      <c r="BI58" s="28"/>
      <c r="BJ58" s="28"/>
      <c r="BK58" s="65"/>
      <c r="BL58" s="64">
        <f t="shared" si="49"/>
        <v>0</v>
      </c>
      <c r="BM58" s="28"/>
      <c r="BN58" s="28"/>
      <c r="BO58" s="65"/>
      <c r="BP58" s="64">
        <f t="shared" si="50"/>
        <v>0</v>
      </c>
      <c r="BQ58" s="28"/>
      <c r="BR58" s="28"/>
      <c r="BS58" s="65"/>
      <c r="BT58" s="64">
        <f t="shared" si="51"/>
        <v>0</v>
      </c>
      <c r="BU58" s="28"/>
      <c r="BV58" s="28"/>
      <c r="BW58" s="65"/>
      <c r="BX58" s="64">
        <f t="shared" si="52"/>
        <v>0</v>
      </c>
      <c r="BY58" s="28"/>
      <c r="BZ58" s="28"/>
      <c r="CA58" s="65"/>
      <c r="CB58" s="64">
        <f t="shared" si="53"/>
        <v>0</v>
      </c>
      <c r="CC58" s="28"/>
      <c r="CD58" s="28"/>
      <c r="CE58" s="65"/>
      <c r="CF58" s="64">
        <f t="shared" si="54"/>
        <v>0</v>
      </c>
      <c r="CG58" s="28"/>
      <c r="CH58" s="28"/>
      <c r="CI58" s="65"/>
      <c r="CJ58" s="64">
        <f t="shared" si="55"/>
        <v>0</v>
      </c>
      <c r="CK58" s="28"/>
      <c r="CL58" s="28"/>
      <c r="CM58" s="65"/>
      <c r="CN58" s="64">
        <f t="shared" si="56"/>
        <v>0</v>
      </c>
      <c r="CO58" s="28"/>
      <c r="CP58" s="28"/>
      <c r="CQ58" s="65"/>
      <c r="CR58" s="64">
        <f t="shared" si="57"/>
        <v>0</v>
      </c>
      <c r="CS58" s="28"/>
      <c r="CT58" s="28"/>
      <c r="CU58" s="65"/>
      <c r="CV58" s="64">
        <f t="shared" si="58"/>
        <v>0</v>
      </c>
      <c r="CW58" s="28"/>
      <c r="CX58" s="28"/>
      <c r="CY58" s="65"/>
      <c r="CZ58" s="64">
        <f t="shared" si="59"/>
        <v>0</v>
      </c>
      <c r="DA58" s="28"/>
      <c r="DB58" s="28"/>
      <c r="DC58" s="65"/>
      <c r="DD58" s="64">
        <f t="shared" si="60"/>
        <v>0</v>
      </c>
      <c r="DE58" s="28"/>
      <c r="DF58" s="28"/>
      <c r="DG58" s="65"/>
      <c r="DH58" s="64">
        <f t="shared" si="61"/>
        <v>0</v>
      </c>
      <c r="DI58" s="28"/>
      <c r="DJ58" s="28"/>
      <c r="DK58" s="65"/>
      <c r="DL58" s="64">
        <f t="shared" si="62"/>
        <v>0</v>
      </c>
      <c r="DM58" s="28"/>
      <c r="DN58" s="28"/>
      <c r="DO58" s="65"/>
      <c r="DP58" s="64">
        <f t="shared" si="63"/>
        <v>0</v>
      </c>
      <c r="DQ58" s="28"/>
      <c r="DR58" s="28"/>
      <c r="DS58" s="65"/>
      <c r="DT58" s="64">
        <f t="shared" si="64"/>
        <v>0</v>
      </c>
      <c r="DU58" s="28"/>
      <c r="DV58" s="28"/>
      <c r="DW58" s="65"/>
      <c r="DX58" s="30">
        <f t="shared" si="65"/>
        <v>0</v>
      </c>
      <c r="DY58" s="31">
        <f t="shared" si="66"/>
        <v>0</v>
      </c>
      <c r="DZ58" s="31">
        <f t="shared" si="67"/>
        <v>0</v>
      </c>
      <c r="EA58" s="4">
        <f t="shared" si="68"/>
        <v>0</v>
      </c>
      <c r="EB58" s="9">
        <f>D58*'MASTER SHEET'!D58</f>
        <v>0</v>
      </c>
      <c r="EC58" s="9">
        <f>H58*'MASTER SHEET'!D58</f>
        <v>0</v>
      </c>
      <c r="ED58" s="9">
        <f>L58*'MASTER SHEET'!D58</f>
        <v>0</v>
      </c>
      <c r="EE58" s="9">
        <f>P58*'MASTER SHEET'!D58</f>
        <v>0</v>
      </c>
      <c r="EF58" s="9">
        <f>T58*'MASTER SHEET'!D58</f>
        <v>0</v>
      </c>
      <c r="EG58" s="9">
        <f>X58*'MASTER SHEET'!D58</f>
        <v>0</v>
      </c>
      <c r="EH58" s="9">
        <f>AB58*'MASTER SHEET'!D58</f>
        <v>0</v>
      </c>
      <c r="EI58" s="9">
        <f>AF58*'MASTER SHEET'!D58</f>
        <v>0</v>
      </c>
      <c r="EJ58" s="9">
        <f>AJ58*'MASTER SHEET'!D58</f>
        <v>0</v>
      </c>
      <c r="EK58" s="9">
        <f>AN58*'MASTER SHEET'!D58</f>
        <v>0</v>
      </c>
      <c r="EL58" s="9">
        <f>AR58*'MASTER SHEET'!D58</f>
        <v>0</v>
      </c>
      <c r="EM58" s="9">
        <f>AV58*'MASTER SHEET'!D58</f>
        <v>0</v>
      </c>
      <c r="EN58" s="9">
        <f>AZ58*'MASTER SHEET'!D58</f>
        <v>0</v>
      </c>
      <c r="EO58" s="9">
        <f>BD58*'MASTER SHEET'!D58</f>
        <v>0</v>
      </c>
      <c r="EP58" s="9">
        <f>BH58*'MASTER SHEET'!D58</f>
        <v>0</v>
      </c>
      <c r="EQ58" s="9">
        <f>BL58*'MASTER SHEET'!D58</f>
        <v>0</v>
      </c>
      <c r="ER58" s="9">
        <f>BP58*'MASTER SHEET'!D58</f>
        <v>0</v>
      </c>
      <c r="ES58" s="9">
        <f>BT58*'MASTER SHEET'!D58</f>
        <v>0</v>
      </c>
      <c r="ET58" s="9">
        <f>BX58*'MASTER SHEET'!D58</f>
        <v>0</v>
      </c>
      <c r="EU58" s="9">
        <f>CB58*'MASTER SHEET'!D58</f>
        <v>0</v>
      </c>
      <c r="EV58" s="9">
        <f>CF58*'MASTER SHEET'!D58</f>
        <v>0</v>
      </c>
      <c r="EW58" s="9">
        <f>CJ58*'MASTER SHEET'!D58</f>
        <v>0</v>
      </c>
      <c r="EX58" s="9">
        <f>CN58*'MASTER SHEET'!D58</f>
        <v>0</v>
      </c>
      <c r="EY58" s="9">
        <f>CV58*'MASTER SHEET'!D58</f>
        <v>0</v>
      </c>
      <c r="EZ58" s="9">
        <f>CV58*'MASTER SHEET'!D58</f>
        <v>0</v>
      </c>
      <c r="FA58" s="9">
        <f>CZ58*'MASTER SHEET'!D58</f>
        <v>0</v>
      </c>
      <c r="FB58" s="9">
        <f>DD58*'MASTER SHEET'!D58</f>
        <v>0</v>
      </c>
      <c r="FC58" s="9">
        <f>DH58*'MASTER SHEET'!D58</f>
        <v>0</v>
      </c>
      <c r="FD58" s="9">
        <f>DL58*'MASTER SHEET'!D58</f>
        <v>0</v>
      </c>
      <c r="FE58" s="9">
        <f>DP58*'MASTER SHEET'!D58</f>
        <v>0</v>
      </c>
      <c r="FF58" s="9">
        <f>DT58*'MASTER SHEET'!D58</f>
        <v>0</v>
      </c>
      <c r="FG58" s="9">
        <f>DX58*'MASTER SHEET'!D58</f>
        <v>0</v>
      </c>
    </row>
    <row r="59" spans="1:163" s="10" customFormat="1" ht="20.25" x14ac:dyDescent="0.25">
      <c r="A59" s="43">
        <f>'MASTER SHEET'!A59</f>
        <v>57</v>
      </c>
      <c r="B59" s="26" t="str">
        <f>'MASTER SHEET'!B59</f>
        <v>FRAME COVER</v>
      </c>
      <c r="C59" s="82">
        <f>'MASTER SHEET'!C59</f>
        <v>5031102</v>
      </c>
      <c r="D59" s="64"/>
      <c r="E59" s="28"/>
      <c r="F59" s="28"/>
      <c r="G59" s="65"/>
      <c r="H59" s="64">
        <f t="shared" si="35"/>
        <v>0</v>
      </c>
      <c r="I59" s="28"/>
      <c r="J59" s="28"/>
      <c r="K59" s="65"/>
      <c r="L59" s="64">
        <f t="shared" si="36"/>
        <v>0</v>
      </c>
      <c r="M59" s="28"/>
      <c r="N59" s="28"/>
      <c r="O59" s="65"/>
      <c r="P59" s="64">
        <f t="shared" si="37"/>
        <v>0</v>
      </c>
      <c r="Q59" s="28"/>
      <c r="R59" s="28"/>
      <c r="S59" s="65"/>
      <c r="T59" s="64">
        <f t="shared" si="38"/>
        <v>0</v>
      </c>
      <c r="U59" s="28"/>
      <c r="V59" s="28"/>
      <c r="W59" s="65"/>
      <c r="X59" s="64">
        <f t="shared" si="39"/>
        <v>0</v>
      </c>
      <c r="Y59" s="28"/>
      <c r="Z59" s="28"/>
      <c r="AA59" s="65"/>
      <c r="AB59" s="64">
        <f t="shared" si="40"/>
        <v>0</v>
      </c>
      <c r="AC59" s="28"/>
      <c r="AD59" s="28"/>
      <c r="AE59" s="65"/>
      <c r="AF59" s="64">
        <f t="shared" si="41"/>
        <v>0</v>
      </c>
      <c r="AG59" s="28"/>
      <c r="AH59" s="28"/>
      <c r="AI59" s="65"/>
      <c r="AJ59" s="64">
        <f t="shared" si="42"/>
        <v>0</v>
      </c>
      <c r="AK59" s="28"/>
      <c r="AL59" s="28"/>
      <c r="AM59" s="65"/>
      <c r="AN59" s="64">
        <f t="shared" si="43"/>
        <v>0</v>
      </c>
      <c r="AO59" s="28"/>
      <c r="AP59" s="28"/>
      <c r="AQ59" s="65"/>
      <c r="AR59" s="64">
        <f t="shared" si="44"/>
        <v>0</v>
      </c>
      <c r="AS59" s="28"/>
      <c r="AT59" s="28"/>
      <c r="AU59" s="65"/>
      <c r="AV59" s="64">
        <f t="shared" si="45"/>
        <v>0</v>
      </c>
      <c r="AW59" s="28"/>
      <c r="AX59" s="28"/>
      <c r="AY59" s="65"/>
      <c r="AZ59" s="64">
        <f t="shared" si="46"/>
        <v>0</v>
      </c>
      <c r="BA59" s="28"/>
      <c r="BB59" s="28"/>
      <c r="BC59" s="65"/>
      <c r="BD59" s="64">
        <f t="shared" si="47"/>
        <v>0</v>
      </c>
      <c r="BE59" s="28"/>
      <c r="BF59" s="28"/>
      <c r="BG59" s="65"/>
      <c r="BH59" s="64">
        <f t="shared" si="48"/>
        <v>0</v>
      </c>
      <c r="BI59" s="28"/>
      <c r="BJ59" s="28"/>
      <c r="BK59" s="65"/>
      <c r="BL59" s="64">
        <f t="shared" si="49"/>
        <v>0</v>
      </c>
      <c r="BM59" s="28"/>
      <c r="BN59" s="28"/>
      <c r="BO59" s="65"/>
      <c r="BP59" s="64">
        <f t="shared" si="50"/>
        <v>0</v>
      </c>
      <c r="BQ59" s="28"/>
      <c r="BR59" s="28"/>
      <c r="BS59" s="65"/>
      <c r="BT59" s="64">
        <f t="shared" si="51"/>
        <v>0</v>
      </c>
      <c r="BU59" s="28"/>
      <c r="BV59" s="28"/>
      <c r="BW59" s="65"/>
      <c r="BX59" s="64">
        <f t="shared" si="52"/>
        <v>0</v>
      </c>
      <c r="BY59" s="28"/>
      <c r="BZ59" s="28"/>
      <c r="CA59" s="65"/>
      <c r="CB59" s="64">
        <f t="shared" si="53"/>
        <v>0</v>
      </c>
      <c r="CC59" s="28"/>
      <c r="CD59" s="28"/>
      <c r="CE59" s="65"/>
      <c r="CF59" s="64">
        <f t="shared" si="54"/>
        <v>0</v>
      </c>
      <c r="CG59" s="28"/>
      <c r="CH59" s="28"/>
      <c r="CI59" s="65"/>
      <c r="CJ59" s="64">
        <f t="shared" si="55"/>
        <v>0</v>
      </c>
      <c r="CK59" s="28"/>
      <c r="CL59" s="28"/>
      <c r="CM59" s="65"/>
      <c r="CN59" s="64">
        <f t="shared" si="56"/>
        <v>0</v>
      </c>
      <c r="CO59" s="28"/>
      <c r="CP59" s="28"/>
      <c r="CQ59" s="65"/>
      <c r="CR59" s="64">
        <f t="shared" si="57"/>
        <v>0</v>
      </c>
      <c r="CS59" s="28"/>
      <c r="CT59" s="28"/>
      <c r="CU59" s="65"/>
      <c r="CV59" s="64">
        <f t="shared" si="58"/>
        <v>0</v>
      </c>
      <c r="CW59" s="28"/>
      <c r="CX59" s="28"/>
      <c r="CY59" s="65"/>
      <c r="CZ59" s="64">
        <f t="shared" si="59"/>
        <v>0</v>
      </c>
      <c r="DA59" s="28"/>
      <c r="DB59" s="28"/>
      <c r="DC59" s="65"/>
      <c r="DD59" s="64">
        <f t="shared" si="60"/>
        <v>0</v>
      </c>
      <c r="DE59" s="28"/>
      <c r="DF59" s="28"/>
      <c r="DG59" s="65"/>
      <c r="DH59" s="64">
        <f t="shared" si="61"/>
        <v>0</v>
      </c>
      <c r="DI59" s="28"/>
      <c r="DJ59" s="28"/>
      <c r="DK59" s="65"/>
      <c r="DL59" s="64">
        <f t="shared" si="62"/>
        <v>0</v>
      </c>
      <c r="DM59" s="28"/>
      <c r="DN59" s="28"/>
      <c r="DO59" s="65"/>
      <c r="DP59" s="64">
        <f t="shared" si="63"/>
        <v>0</v>
      </c>
      <c r="DQ59" s="28"/>
      <c r="DR59" s="28"/>
      <c r="DS59" s="65"/>
      <c r="DT59" s="64">
        <f t="shared" si="64"/>
        <v>0</v>
      </c>
      <c r="DU59" s="28"/>
      <c r="DV59" s="28"/>
      <c r="DW59" s="65"/>
      <c r="DX59" s="30">
        <f t="shared" si="65"/>
        <v>0</v>
      </c>
      <c r="DY59" s="31">
        <f t="shared" si="66"/>
        <v>0</v>
      </c>
      <c r="DZ59" s="31">
        <f t="shared" si="67"/>
        <v>0</v>
      </c>
      <c r="EA59" s="4">
        <f t="shared" si="68"/>
        <v>0</v>
      </c>
      <c r="EB59" s="9">
        <f>D59*'MASTER SHEET'!D59</f>
        <v>0</v>
      </c>
      <c r="EC59" s="9">
        <f>H59*'MASTER SHEET'!D59</f>
        <v>0</v>
      </c>
      <c r="ED59" s="9">
        <f>L59*'MASTER SHEET'!D59</f>
        <v>0</v>
      </c>
      <c r="EE59" s="9">
        <f>P59*'MASTER SHEET'!D59</f>
        <v>0</v>
      </c>
      <c r="EF59" s="9">
        <f>T59*'MASTER SHEET'!D59</f>
        <v>0</v>
      </c>
      <c r="EG59" s="9">
        <f>X59*'MASTER SHEET'!D59</f>
        <v>0</v>
      </c>
      <c r="EH59" s="9">
        <f>AB59*'MASTER SHEET'!D59</f>
        <v>0</v>
      </c>
      <c r="EI59" s="9">
        <f>AF59*'MASTER SHEET'!D59</f>
        <v>0</v>
      </c>
      <c r="EJ59" s="9">
        <f>AJ59*'MASTER SHEET'!D59</f>
        <v>0</v>
      </c>
      <c r="EK59" s="9">
        <f>AN59*'MASTER SHEET'!D59</f>
        <v>0</v>
      </c>
      <c r="EL59" s="9">
        <f>AR59*'MASTER SHEET'!D59</f>
        <v>0</v>
      </c>
      <c r="EM59" s="9">
        <f>AV59*'MASTER SHEET'!D59</f>
        <v>0</v>
      </c>
      <c r="EN59" s="9">
        <f>AZ59*'MASTER SHEET'!D59</f>
        <v>0</v>
      </c>
      <c r="EO59" s="9">
        <f>BD59*'MASTER SHEET'!D59</f>
        <v>0</v>
      </c>
      <c r="EP59" s="9">
        <f>BH59*'MASTER SHEET'!D59</f>
        <v>0</v>
      </c>
      <c r="EQ59" s="9">
        <f>BL59*'MASTER SHEET'!D59</f>
        <v>0</v>
      </c>
      <c r="ER59" s="9">
        <f>BP59*'MASTER SHEET'!D59</f>
        <v>0</v>
      </c>
      <c r="ES59" s="9">
        <f>BT59*'MASTER SHEET'!D59</f>
        <v>0</v>
      </c>
      <c r="ET59" s="9">
        <f>BX59*'MASTER SHEET'!D59</f>
        <v>0</v>
      </c>
      <c r="EU59" s="9">
        <f>CB59*'MASTER SHEET'!D59</f>
        <v>0</v>
      </c>
      <c r="EV59" s="9">
        <f>CF59*'MASTER SHEET'!D59</f>
        <v>0</v>
      </c>
      <c r="EW59" s="9">
        <f>CJ59*'MASTER SHEET'!D59</f>
        <v>0</v>
      </c>
      <c r="EX59" s="9">
        <f>CN59*'MASTER SHEET'!D59</f>
        <v>0</v>
      </c>
      <c r="EY59" s="9">
        <f>CV59*'MASTER SHEET'!D59</f>
        <v>0</v>
      </c>
      <c r="EZ59" s="9">
        <f>CV59*'MASTER SHEET'!D59</f>
        <v>0</v>
      </c>
      <c r="FA59" s="9">
        <f>CZ59*'MASTER SHEET'!D59</f>
        <v>0</v>
      </c>
      <c r="FB59" s="9">
        <f>DD59*'MASTER SHEET'!D59</f>
        <v>0</v>
      </c>
      <c r="FC59" s="9">
        <f>DH59*'MASTER SHEET'!D59</f>
        <v>0</v>
      </c>
      <c r="FD59" s="9">
        <f>DL59*'MASTER SHEET'!D59</f>
        <v>0</v>
      </c>
      <c r="FE59" s="9">
        <f>DP59*'MASTER SHEET'!D59</f>
        <v>0</v>
      </c>
      <c r="FF59" s="9">
        <f>DT59*'MASTER SHEET'!D59</f>
        <v>0</v>
      </c>
      <c r="FG59" s="9">
        <f>DX59*'MASTER SHEET'!D59</f>
        <v>0</v>
      </c>
    </row>
    <row r="60" spans="1:163" ht="20.25" x14ac:dyDescent="0.25">
      <c r="A60" s="43">
        <f>'MASTER SHEET'!A60</f>
        <v>58</v>
      </c>
      <c r="B60" s="26" t="str">
        <f>'MASTER SHEET'!B60</f>
        <v>BASE, HOUSING CRANKCASE VENTILATION</v>
      </c>
      <c r="C60" s="82">
        <f>'MASTER SHEET'!C60</f>
        <v>5032453</v>
      </c>
      <c r="D60" s="64"/>
      <c r="E60" s="28"/>
      <c r="F60" s="28"/>
      <c r="G60" s="65"/>
      <c r="H60" s="64">
        <f t="shared" si="35"/>
        <v>0</v>
      </c>
      <c r="I60" s="28"/>
      <c r="J60" s="28"/>
      <c r="K60" s="65"/>
      <c r="L60" s="64">
        <f t="shared" si="36"/>
        <v>0</v>
      </c>
      <c r="M60" s="28"/>
      <c r="N60" s="28"/>
      <c r="O60" s="65"/>
      <c r="P60" s="64">
        <f t="shared" si="37"/>
        <v>0</v>
      </c>
      <c r="Q60" s="28"/>
      <c r="R60" s="28"/>
      <c r="S60" s="65"/>
      <c r="T60" s="64">
        <f t="shared" si="38"/>
        <v>0</v>
      </c>
      <c r="U60" s="28"/>
      <c r="V60" s="28"/>
      <c r="W60" s="65"/>
      <c r="X60" s="64">
        <f t="shared" si="39"/>
        <v>0</v>
      </c>
      <c r="Y60" s="28"/>
      <c r="Z60" s="28"/>
      <c r="AA60" s="65"/>
      <c r="AB60" s="64">
        <f t="shared" si="40"/>
        <v>0</v>
      </c>
      <c r="AC60" s="28"/>
      <c r="AD60" s="28"/>
      <c r="AE60" s="65"/>
      <c r="AF60" s="64">
        <f t="shared" si="41"/>
        <v>0</v>
      </c>
      <c r="AG60" s="28"/>
      <c r="AH60" s="28"/>
      <c r="AI60" s="65"/>
      <c r="AJ60" s="64">
        <f t="shared" si="42"/>
        <v>0</v>
      </c>
      <c r="AK60" s="28"/>
      <c r="AL60" s="28"/>
      <c r="AM60" s="65"/>
      <c r="AN60" s="64">
        <f t="shared" si="43"/>
        <v>0</v>
      </c>
      <c r="AO60" s="28"/>
      <c r="AP60" s="28"/>
      <c r="AQ60" s="65"/>
      <c r="AR60" s="64">
        <f t="shared" si="44"/>
        <v>0</v>
      </c>
      <c r="AS60" s="28"/>
      <c r="AT60" s="28"/>
      <c r="AU60" s="65"/>
      <c r="AV60" s="64">
        <f t="shared" si="45"/>
        <v>0</v>
      </c>
      <c r="AW60" s="28"/>
      <c r="AX60" s="28"/>
      <c r="AY60" s="65"/>
      <c r="AZ60" s="64">
        <f t="shared" si="46"/>
        <v>0</v>
      </c>
      <c r="BA60" s="28"/>
      <c r="BB60" s="28"/>
      <c r="BC60" s="65"/>
      <c r="BD60" s="64">
        <f t="shared" si="47"/>
        <v>0</v>
      </c>
      <c r="BE60" s="28"/>
      <c r="BF60" s="28"/>
      <c r="BG60" s="65"/>
      <c r="BH60" s="64">
        <f t="shared" si="48"/>
        <v>0</v>
      </c>
      <c r="BI60" s="28"/>
      <c r="BJ60" s="28"/>
      <c r="BK60" s="65"/>
      <c r="BL60" s="64">
        <f t="shared" si="49"/>
        <v>0</v>
      </c>
      <c r="BM60" s="28"/>
      <c r="BN60" s="28"/>
      <c r="BO60" s="65"/>
      <c r="BP60" s="64">
        <f t="shared" si="50"/>
        <v>0</v>
      </c>
      <c r="BQ60" s="28"/>
      <c r="BR60" s="28"/>
      <c r="BS60" s="65"/>
      <c r="BT60" s="64">
        <f t="shared" si="51"/>
        <v>0</v>
      </c>
      <c r="BU60" s="28"/>
      <c r="BV60" s="28"/>
      <c r="BW60" s="65"/>
      <c r="BX60" s="64">
        <f t="shared" si="52"/>
        <v>0</v>
      </c>
      <c r="BY60" s="28"/>
      <c r="BZ60" s="28"/>
      <c r="CA60" s="65"/>
      <c r="CB60" s="64">
        <f t="shared" si="53"/>
        <v>0</v>
      </c>
      <c r="CC60" s="28"/>
      <c r="CD60" s="28"/>
      <c r="CE60" s="65"/>
      <c r="CF60" s="64">
        <f t="shared" si="54"/>
        <v>0</v>
      </c>
      <c r="CG60" s="28"/>
      <c r="CH60" s="28"/>
      <c r="CI60" s="65"/>
      <c r="CJ60" s="64">
        <f t="shared" si="55"/>
        <v>0</v>
      </c>
      <c r="CK60" s="28"/>
      <c r="CL60" s="28"/>
      <c r="CM60" s="65"/>
      <c r="CN60" s="64">
        <f t="shared" si="56"/>
        <v>0</v>
      </c>
      <c r="CO60" s="28"/>
      <c r="CP60" s="28"/>
      <c r="CQ60" s="65"/>
      <c r="CR60" s="64">
        <f t="shared" si="57"/>
        <v>0</v>
      </c>
      <c r="CS60" s="28"/>
      <c r="CT60" s="28"/>
      <c r="CU60" s="65"/>
      <c r="CV60" s="64">
        <f t="shared" si="58"/>
        <v>0</v>
      </c>
      <c r="CW60" s="28"/>
      <c r="CX60" s="28"/>
      <c r="CY60" s="65"/>
      <c r="CZ60" s="64">
        <f t="shared" si="59"/>
        <v>0</v>
      </c>
      <c r="DA60" s="28"/>
      <c r="DB60" s="28"/>
      <c r="DC60" s="65"/>
      <c r="DD60" s="64">
        <f t="shared" si="60"/>
        <v>0</v>
      </c>
      <c r="DE60" s="28"/>
      <c r="DF60" s="28"/>
      <c r="DG60" s="65"/>
      <c r="DH60" s="64">
        <f t="shared" si="61"/>
        <v>0</v>
      </c>
      <c r="DI60" s="28"/>
      <c r="DJ60" s="28"/>
      <c r="DK60" s="65"/>
      <c r="DL60" s="64">
        <f t="shared" si="62"/>
        <v>0</v>
      </c>
      <c r="DM60" s="28"/>
      <c r="DN60" s="28"/>
      <c r="DO60" s="65"/>
      <c r="DP60" s="64">
        <f t="shared" si="63"/>
        <v>0</v>
      </c>
      <c r="DQ60" s="28"/>
      <c r="DR60" s="28"/>
      <c r="DS60" s="65"/>
      <c r="DT60" s="64">
        <f t="shared" si="64"/>
        <v>0</v>
      </c>
      <c r="DU60" s="28"/>
      <c r="DV60" s="28"/>
      <c r="DW60" s="65"/>
      <c r="DX60" s="30">
        <f t="shared" si="65"/>
        <v>0</v>
      </c>
      <c r="DY60" s="31">
        <f t="shared" si="66"/>
        <v>0</v>
      </c>
      <c r="DZ60" s="31">
        <f t="shared" si="67"/>
        <v>0</v>
      </c>
      <c r="EA60" s="4">
        <f t="shared" si="68"/>
        <v>0</v>
      </c>
      <c r="EB60" s="9">
        <f>D60*'MASTER SHEET'!D60</f>
        <v>0</v>
      </c>
      <c r="EC60" s="9">
        <f>H60*'MASTER SHEET'!D60</f>
        <v>0</v>
      </c>
      <c r="ED60" s="9">
        <f>L60*'MASTER SHEET'!D60</f>
        <v>0</v>
      </c>
      <c r="EE60" s="9">
        <f>P60*'MASTER SHEET'!D60</f>
        <v>0</v>
      </c>
      <c r="EF60" s="9">
        <f>T60*'MASTER SHEET'!D60</f>
        <v>0</v>
      </c>
      <c r="EG60" s="9">
        <f>X60*'MASTER SHEET'!D60</f>
        <v>0</v>
      </c>
      <c r="EH60" s="9">
        <f>AB60*'MASTER SHEET'!D60</f>
        <v>0</v>
      </c>
      <c r="EI60" s="9">
        <f>AF60*'MASTER SHEET'!D60</f>
        <v>0</v>
      </c>
      <c r="EJ60" s="9">
        <f>AJ60*'MASTER SHEET'!D60</f>
        <v>0</v>
      </c>
      <c r="EK60" s="9">
        <f>AN60*'MASTER SHEET'!D60</f>
        <v>0</v>
      </c>
      <c r="EL60" s="9">
        <f>AR60*'MASTER SHEET'!D60</f>
        <v>0</v>
      </c>
      <c r="EM60" s="9">
        <f>AV60*'MASTER SHEET'!D60</f>
        <v>0</v>
      </c>
      <c r="EN60" s="9">
        <f>AZ60*'MASTER SHEET'!D60</f>
        <v>0</v>
      </c>
      <c r="EO60" s="9">
        <f>BD60*'MASTER SHEET'!D60</f>
        <v>0</v>
      </c>
      <c r="EP60" s="9">
        <f>BH60*'MASTER SHEET'!D60</f>
        <v>0</v>
      </c>
      <c r="EQ60" s="9">
        <f>BL60*'MASTER SHEET'!D60</f>
        <v>0</v>
      </c>
      <c r="ER60" s="9">
        <f>BP60*'MASTER SHEET'!D60</f>
        <v>0</v>
      </c>
      <c r="ES60" s="9">
        <f>BT60*'MASTER SHEET'!D60</f>
        <v>0</v>
      </c>
      <c r="ET60" s="9">
        <f>BX60*'MASTER SHEET'!D60</f>
        <v>0</v>
      </c>
      <c r="EU60" s="9">
        <f>CB60*'MASTER SHEET'!D60</f>
        <v>0</v>
      </c>
      <c r="EV60" s="9">
        <f>CF60*'MASTER SHEET'!D60</f>
        <v>0</v>
      </c>
      <c r="EW60" s="9">
        <f>CJ60*'MASTER SHEET'!D60</f>
        <v>0</v>
      </c>
      <c r="EX60" s="9">
        <f>CN60*'MASTER SHEET'!D60</f>
        <v>0</v>
      </c>
      <c r="EY60" s="9">
        <f>CV60*'MASTER SHEET'!D60</f>
        <v>0</v>
      </c>
      <c r="EZ60" s="9">
        <f>CV60*'MASTER SHEET'!D60</f>
        <v>0</v>
      </c>
      <c r="FA60" s="9">
        <f>CZ60*'MASTER SHEET'!D60</f>
        <v>0</v>
      </c>
      <c r="FB60" s="9">
        <f>DD60*'MASTER SHEET'!D60</f>
        <v>0</v>
      </c>
      <c r="FC60" s="9">
        <f>DH60*'MASTER SHEET'!D60</f>
        <v>0</v>
      </c>
      <c r="FD60" s="9">
        <f>DL60*'MASTER SHEET'!D60</f>
        <v>0</v>
      </c>
      <c r="FE60" s="9">
        <f>DP60*'MASTER SHEET'!D60</f>
        <v>0</v>
      </c>
      <c r="FF60" s="9">
        <f>DT60*'MASTER SHEET'!D60</f>
        <v>0</v>
      </c>
      <c r="FG60" s="9">
        <f>DX60*'MASTER SHEET'!D60</f>
        <v>0</v>
      </c>
    </row>
    <row r="61" spans="1:163" ht="20.25" x14ac:dyDescent="0.25">
      <c r="A61" s="43">
        <f>'MASTER SHEET'!A61</f>
        <v>59</v>
      </c>
      <c r="B61" s="26" t="str">
        <f>'MASTER SHEET'!B61</f>
        <v>BASE HOUSING</v>
      </c>
      <c r="C61" s="82">
        <f>'MASTER SHEET'!C61</f>
        <v>5032512</v>
      </c>
      <c r="D61" s="64"/>
      <c r="E61" s="28"/>
      <c r="F61" s="28"/>
      <c r="G61" s="65"/>
      <c r="H61" s="64">
        <f t="shared" si="35"/>
        <v>0</v>
      </c>
      <c r="I61" s="28"/>
      <c r="J61" s="28"/>
      <c r="K61" s="65"/>
      <c r="L61" s="64">
        <f t="shared" si="36"/>
        <v>0</v>
      </c>
      <c r="M61" s="28"/>
      <c r="N61" s="28"/>
      <c r="O61" s="65"/>
      <c r="P61" s="64">
        <f t="shared" si="37"/>
        <v>0</v>
      </c>
      <c r="Q61" s="28"/>
      <c r="R61" s="28"/>
      <c r="S61" s="65"/>
      <c r="T61" s="64">
        <f t="shared" si="38"/>
        <v>0</v>
      </c>
      <c r="U61" s="28"/>
      <c r="V61" s="28"/>
      <c r="W61" s="65"/>
      <c r="X61" s="64">
        <f t="shared" si="39"/>
        <v>0</v>
      </c>
      <c r="Y61" s="28"/>
      <c r="Z61" s="28"/>
      <c r="AA61" s="65"/>
      <c r="AB61" s="64">
        <f t="shared" si="40"/>
        <v>0</v>
      </c>
      <c r="AC61" s="28"/>
      <c r="AD61" s="28"/>
      <c r="AE61" s="65"/>
      <c r="AF61" s="64">
        <f t="shared" si="41"/>
        <v>0</v>
      </c>
      <c r="AG61" s="28"/>
      <c r="AH61" s="28"/>
      <c r="AI61" s="65"/>
      <c r="AJ61" s="64">
        <f t="shared" si="42"/>
        <v>0</v>
      </c>
      <c r="AK61" s="28"/>
      <c r="AL61" s="28"/>
      <c r="AM61" s="65"/>
      <c r="AN61" s="64">
        <f t="shared" si="43"/>
        <v>0</v>
      </c>
      <c r="AO61" s="28"/>
      <c r="AP61" s="28"/>
      <c r="AQ61" s="65"/>
      <c r="AR61" s="64">
        <f t="shared" si="44"/>
        <v>0</v>
      </c>
      <c r="AS61" s="28"/>
      <c r="AT61" s="28"/>
      <c r="AU61" s="65"/>
      <c r="AV61" s="64">
        <f t="shared" si="45"/>
        <v>0</v>
      </c>
      <c r="AW61" s="28"/>
      <c r="AX61" s="28"/>
      <c r="AY61" s="65"/>
      <c r="AZ61" s="64">
        <f t="shared" si="46"/>
        <v>0</v>
      </c>
      <c r="BA61" s="28"/>
      <c r="BB61" s="28"/>
      <c r="BC61" s="65"/>
      <c r="BD61" s="64">
        <f t="shared" si="47"/>
        <v>0</v>
      </c>
      <c r="BE61" s="28"/>
      <c r="BF61" s="28"/>
      <c r="BG61" s="65"/>
      <c r="BH61" s="64">
        <f t="shared" si="48"/>
        <v>0</v>
      </c>
      <c r="BI61" s="28"/>
      <c r="BJ61" s="28"/>
      <c r="BK61" s="65"/>
      <c r="BL61" s="64">
        <f t="shared" si="49"/>
        <v>0</v>
      </c>
      <c r="BM61" s="28"/>
      <c r="BN61" s="28"/>
      <c r="BO61" s="65"/>
      <c r="BP61" s="64">
        <f t="shared" si="50"/>
        <v>0</v>
      </c>
      <c r="BQ61" s="28"/>
      <c r="BR61" s="28"/>
      <c r="BS61" s="65"/>
      <c r="BT61" s="64">
        <f t="shared" si="51"/>
        <v>0</v>
      </c>
      <c r="BU61" s="28"/>
      <c r="BV61" s="28"/>
      <c r="BW61" s="65"/>
      <c r="BX61" s="64">
        <f t="shared" si="52"/>
        <v>0</v>
      </c>
      <c r="BY61" s="28"/>
      <c r="BZ61" s="28"/>
      <c r="CA61" s="65"/>
      <c r="CB61" s="64">
        <f t="shared" si="53"/>
        <v>0</v>
      </c>
      <c r="CC61" s="28"/>
      <c r="CD61" s="28"/>
      <c r="CE61" s="65"/>
      <c r="CF61" s="64">
        <f t="shared" si="54"/>
        <v>0</v>
      </c>
      <c r="CG61" s="28"/>
      <c r="CH61" s="28"/>
      <c r="CI61" s="65"/>
      <c r="CJ61" s="64">
        <f t="shared" si="55"/>
        <v>0</v>
      </c>
      <c r="CK61" s="28"/>
      <c r="CL61" s="28"/>
      <c r="CM61" s="65"/>
      <c r="CN61" s="64">
        <f t="shared" si="56"/>
        <v>0</v>
      </c>
      <c r="CO61" s="28"/>
      <c r="CP61" s="28"/>
      <c r="CQ61" s="65"/>
      <c r="CR61" s="64">
        <f t="shared" si="57"/>
        <v>0</v>
      </c>
      <c r="CS61" s="28"/>
      <c r="CT61" s="28"/>
      <c r="CU61" s="65"/>
      <c r="CV61" s="64">
        <f t="shared" si="58"/>
        <v>0</v>
      </c>
      <c r="CW61" s="28"/>
      <c r="CX61" s="28"/>
      <c r="CY61" s="65"/>
      <c r="CZ61" s="64">
        <f t="shared" si="59"/>
        <v>0</v>
      </c>
      <c r="DA61" s="28"/>
      <c r="DB61" s="28"/>
      <c r="DC61" s="65"/>
      <c r="DD61" s="64">
        <f t="shared" si="60"/>
        <v>0</v>
      </c>
      <c r="DE61" s="28"/>
      <c r="DF61" s="28"/>
      <c r="DG61" s="65"/>
      <c r="DH61" s="64">
        <f t="shared" si="61"/>
        <v>0</v>
      </c>
      <c r="DI61" s="28"/>
      <c r="DJ61" s="28"/>
      <c r="DK61" s="65"/>
      <c r="DL61" s="64">
        <f t="shared" si="62"/>
        <v>0</v>
      </c>
      <c r="DM61" s="28"/>
      <c r="DN61" s="28"/>
      <c r="DO61" s="65"/>
      <c r="DP61" s="64">
        <f t="shared" si="63"/>
        <v>0</v>
      </c>
      <c r="DQ61" s="28"/>
      <c r="DR61" s="28"/>
      <c r="DS61" s="65"/>
      <c r="DT61" s="64">
        <f t="shared" si="64"/>
        <v>0</v>
      </c>
      <c r="DU61" s="28"/>
      <c r="DV61" s="28"/>
      <c r="DW61" s="65"/>
      <c r="DX61" s="30">
        <f t="shared" si="65"/>
        <v>0</v>
      </c>
      <c r="DY61" s="31">
        <f t="shared" si="66"/>
        <v>0</v>
      </c>
      <c r="DZ61" s="31">
        <f t="shared" si="67"/>
        <v>0</v>
      </c>
      <c r="EA61" s="4">
        <f t="shared" si="68"/>
        <v>0</v>
      </c>
      <c r="EB61" s="9">
        <f>D61*'MASTER SHEET'!D61</f>
        <v>0</v>
      </c>
      <c r="EC61" s="9">
        <f>H61*'MASTER SHEET'!D61</f>
        <v>0</v>
      </c>
      <c r="ED61" s="9">
        <f>L61*'MASTER SHEET'!D61</f>
        <v>0</v>
      </c>
      <c r="EE61" s="9">
        <f>P61*'MASTER SHEET'!D61</f>
        <v>0</v>
      </c>
      <c r="EF61" s="9">
        <f>T61*'MASTER SHEET'!D61</f>
        <v>0</v>
      </c>
      <c r="EG61" s="9">
        <f>X61*'MASTER SHEET'!D61</f>
        <v>0</v>
      </c>
      <c r="EH61" s="9">
        <f>AB61*'MASTER SHEET'!D61</f>
        <v>0</v>
      </c>
      <c r="EI61" s="9">
        <f>AF61*'MASTER SHEET'!D61</f>
        <v>0</v>
      </c>
      <c r="EJ61" s="9">
        <f>AJ61*'MASTER SHEET'!D61</f>
        <v>0</v>
      </c>
      <c r="EK61" s="9">
        <f>AN61*'MASTER SHEET'!D61</f>
        <v>0</v>
      </c>
      <c r="EL61" s="9">
        <f>AR61*'MASTER SHEET'!D61</f>
        <v>0</v>
      </c>
      <c r="EM61" s="9">
        <f>AV61*'MASTER SHEET'!D61</f>
        <v>0</v>
      </c>
      <c r="EN61" s="9">
        <f>AZ61*'MASTER SHEET'!D61</f>
        <v>0</v>
      </c>
      <c r="EO61" s="9">
        <f>BD61*'MASTER SHEET'!D61</f>
        <v>0</v>
      </c>
      <c r="EP61" s="9">
        <f>BH61*'MASTER SHEET'!D61</f>
        <v>0</v>
      </c>
      <c r="EQ61" s="9">
        <f>BL61*'MASTER SHEET'!D61</f>
        <v>0</v>
      </c>
      <c r="ER61" s="9">
        <f>BP61*'MASTER SHEET'!D61</f>
        <v>0</v>
      </c>
      <c r="ES61" s="9">
        <f>BT61*'MASTER SHEET'!D61</f>
        <v>0</v>
      </c>
      <c r="ET61" s="9">
        <f>BX61*'MASTER SHEET'!D61</f>
        <v>0</v>
      </c>
      <c r="EU61" s="9">
        <f>CB61*'MASTER SHEET'!D61</f>
        <v>0</v>
      </c>
      <c r="EV61" s="9">
        <f>CF61*'MASTER SHEET'!D61</f>
        <v>0</v>
      </c>
      <c r="EW61" s="9">
        <f>CJ61*'MASTER SHEET'!D61</f>
        <v>0</v>
      </c>
      <c r="EX61" s="9">
        <f>CN61*'MASTER SHEET'!D61</f>
        <v>0</v>
      </c>
      <c r="EY61" s="9">
        <f>CV61*'MASTER SHEET'!D61</f>
        <v>0</v>
      </c>
      <c r="EZ61" s="9">
        <f>CV61*'MASTER SHEET'!D61</f>
        <v>0</v>
      </c>
      <c r="FA61" s="9">
        <f>CZ61*'MASTER SHEET'!D61</f>
        <v>0</v>
      </c>
      <c r="FB61" s="9">
        <f>DD61*'MASTER SHEET'!D61</f>
        <v>0</v>
      </c>
      <c r="FC61" s="9">
        <f>DH61*'MASTER SHEET'!D61</f>
        <v>0</v>
      </c>
      <c r="FD61" s="9">
        <f>DL61*'MASTER SHEET'!D61</f>
        <v>0</v>
      </c>
      <c r="FE61" s="9">
        <f>DP61*'MASTER SHEET'!D61</f>
        <v>0</v>
      </c>
      <c r="FF61" s="9">
        <f>DT61*'MASTER SHEET'!D61</f>
        <v>0</v>
      </c>
      <c r="FG61" s="9">
        <f>DX61*'MASTER SHEET'!D61</f>
        <v>0</v>
      </c>
    </row>
    <row r="62" spans="1:163" ht="20.25" x14ac:dyDescent="0.25">
      <c r="A62" s="43">
        <f>'MASTER SHEET'!A62</f>
        <v>60</v>
      </c>
      <c r="B62" s="26" t="str">
        <f>'MASTER SHEET'!B62</f>
        <v>CENTERTUBE</v>
      </c>
      <c r="C62" s="82">
        <f>'MASTER SHEET'!C62</f>
        <v>5033843</v>
      </c>
      <c r="D62" s="64"/>
      <c r="E62" s="28"/>
      <c r="F62" s="28"/>
      <c r="G62" s="65"/>
      <c r="H62" s="64">
        <f t="shared" si="35"/>
        <v>0</v>
      </c>
      <c r="I62" s="28"/>
      <c r="J62" s="28"/>
      <c r="K62" s="65"/>
      <c r="L62" s="64">
        <f t="shared" si="36"/>
        <v>0</v>
      </c>
      <c r="M62" s="28"/>
      <c r="N62" s="28"/>
      <c r="O62" s="65"/>
      <c r="P62" s="64">
        <f t="shared" si="37"/>
        <v>0</v>
      </c>
      <c r="Q62" s="28"/>
      <c r="R62" s="28"/>
      <c r="S62" s="65"/>
      <c r="T62" s="64">
        <f t="shared" si="38"/>
        <v>0</v>
      </c>
      <c r="U62" s="28"/>
      <c r="V62" s="28"/>
      <c r="W62" s="65"/>
      <c r="X62" s="64">
        <f t="shared" si="39"/>
        <v>0</v>
      </c>
      <c r="Y62" s="28"/>
      <c r="Z62" s="28"/>
      <c r="AA62" s="65"/>
      <c r="AB62" s="64">
        <f t="shared" si="40"/>
        <v>0</v>
      </c>
      <c r="AC62" s="28"/>
      <c r="AD62" s="28"/>
      <c r="AE62" s="65"/>
      <c r="AF62" s="64">
        <f t="shared" si="41"/>
        <v>0</v>
      </c>
      <c r="AG62" s="28"/>
      <c r="AH62" s="28"/>
      <c r="AI62" s="65"/>
      <c r="AJ62" s="64">
        <f t="shared" si="42"/>
        <v>0</v>
      </c>
      <c r="AK62" s="28"/>
      <c r="AL62" s="28"/>
      <c r="AM62" s="65"/>
      <c r="AN62" s="64">
        <f t="shared" si="43"/>
        <v>0</v>
      </c>
      <c r="AO62" s="28"/>
      <c r="AP62" s="28"/>
      <c r="AQ62" s="65"/>
      <c r="AR62" s="64">
        <f t="shared" si="44"/>
        <v>0</v>
      </c>
      <c r="AS62" s="28"/>
      <c r="AT62" s="28"/>
      <c r="AU62" s="65"/>
      <c r="AV62" s="64">
        <f t="shared" si="45"/>
        <v>0</v>
      </c>
      <c r="AW62" s="28"/>
      <c r="AX62" s="28"/>
      <c r="AY62" s="65"/>
      <c r="AZ62" s="64">
        <f t="shared" si="46"/>
        <v>0</v>
      </c>
      <c r="BA62" s="28"/>
      <c r="BB62" s="28"/>
      <c r="BC62" s="65"/>
      <c r="BD62" s="64">
        <f t="shared" si="47"/>
        <v>0</v>
      </c>
      <c r="BE62" s="28"/>
      <c r="BF62" s="28"/>
      <c r="BG62" s="65"/>
      <c r="BH62" s="64">
        <f t="shared" si="48"/>
        <v>0</v>
      </c>
      <c r="BI62" s="28"/>
      <c r="BJ62" s="28"/>
      <c r="BK62" s="65"/>
      <c r="BL62" s="64">
        <f t="shared" si="49"/>
        <v>0</v>
      </c>
      <c r="BM62" s="28"/>
      <c r="BN62" s="28"/>
      <c r="BO62" s="65"/>
      <c r="BP62" s="64">
        <f t="shared" si="50"/>
        <v>0</v>
      </c>
      <c r="BQ62" s="28"/>
      <c r="BR62" s="28"/>
      <c r="BS62" s="65"/>
      <c r="BT62" s="64">
        <f t="shared" si="51"/>
        <v>0</v>
      </c>
      <c r="BU62" s="28"/>
      <c r="BV62" s="28"/>
      <c r="BW62" s="65"/>
      <c r="BX62" s="64">
        <f t="shared" si="52"/>
        <v>0</v>
      </c>
      <c r="BY62" s="28"/>
      <c r="BZ62" s="28"/>
      <c r="CA62" s="65"/>
      <c r="CB62" s="64">
        <f t="shared" si="53"/>
        <v>0</v>
      </c>
      <c r="CC62" s="28"/>
      <c r="CD62" s="28"/>
      <c r="CE62" s="65"/>
      <c r="CF62" s="64">
        <f t="shared" si="54"/>
        <v>0</v>
      </c>
      <c r="CG62" s="28"/>
      <c r="CH62" s="28"/>
      <c r="CI62" s="65"/>
      <c r="CJ62" s="64">
        <f t="shared" si="55"/>
        <v>0</v>
      </c>
      <c r="CK62" s="28"/>
      <c r="CL62" s="28"/>
      <c r="CM62" s="65"/>
      <c r="CN62" s="64">
        <f t="shared" si="56"/>
        <v>0</v>
      </c>
      <c r="CO62" s="28"/>
      <c r="CP62" s="28"/>
      <c r="CQ62" s="65"/>
      <c r="CR62" s="64">
        <f t="shared" si="57"/>
        <v>0</v>
      </c>
      <c r="CS62" s="28"/>
      <c r="CT62" s="28"/>
      <c r="CU62" s="65"/>
      <c r="CV62" s="64">
        <f t="shared" si="58"/>
        <v>0</v>
      </c>
      <c r="CW62" s="28"/>
      <c r="CX62" s="28"/>
      <c r="CY62" s="65"/>
      <c r="CZ62" s="64">
        <f t="shared" si="59"/>
        <v>0</v>
      </c>
      <c r="DA62" s="28"/>
      <c r="DB62" s="28"/>
      <c r="DC62" s="65"/>
      <c r="DD62" s="64">
        <f t="shared" si="60"/>
        <v>0</v>
      </c>
      <c r="DE62" s="28"/>
      <c r="DF62" s="28"/>
      <c r="DG62" s="65"/>
      <c r="DH62" s="64">
        <f t="shared" si="61"/>
        <v>0</v>
      </c>
      <c r="DI62" s="28"/>
      <c r="DJ62" s="28"/>
      <c r="DK62" s="65"/>
      <c r="DL62" s="64">
        <f t="shared" si="62"/>
        <v>0</v>
      </c>
      <c r="DM62" s="28"/>
      <c r="DN62" s="28"/>
      <c r="DO62" s="65"/>
      <c r="DP62" s="64">
        <f t="shared" si="63"/>
        <v>0</v>
      </c>
      <c r="DQ62" s="28"/>
      <c r="DR62" s="28"/>
      <c r="DS62" s="65"/>
      <c r="DT62" s="64">
        <f t="shared" si="64"/>
        <v>0</v>
      </c>
      <c r="DU62" s="28"/>
      <c r="DV62" s="28"/>
      <c r="DW62" s="65"/>
      <c r="DX62" s="30">
        <f t="shared" si="65"/>
        <v>0</v>
      </c>
      <c r="DY62" s="31">
        <f t="shared" si="66"/>
        <v>0</v>
      </c>
      <c r="DZ62" s="31">
        <f t="shared" si="67"/>
        <v>0</v>
      </c>
      <c r="EA62" s="4">
        <f t="shared" si="68"/>
        <v>0</v>
      </c>
      <c r="EB62" s="9">
        <f>D62*'MASTER SHEET'!D62</f>
        <v>0</v>
      </c>
      <c r="EC62" s="9">
        <f>H62*'MASTER SHEET'!D62</f>
        <v>0</v>
      </c>
      <c r="ED62" s="9">
        <f>L62*'MASTER SHEET'!D62</f>
        <v>0</v>
      </c>
      <c r="EE62" s="9">
        <f>P62*'MASTER SHEET'!D62</f>
        <v>0</v>
      </c>
      <c r="EF62" s="9">
        <f>T62*'MASTER SHEET'!D62</f>
        <v>0</v>
      </c>
      <c r="EG62" s="9">
        <f>X62*'MASTER SHEET'!D62</f>
        <v>0</v>
      </c>
      <c r="EH62" s="9">
        <f>AB62*'MASTER SHEET'!D62</f>
        <v>0</v>
      </c>
      <c r="EI62" s="9">
        <f>AF62*'MASTER SHEET'!D62</f>
        <v>0</v>
      </c>
      <c r="EJ62" s="9">
        <f>AJ62*'MASTER SHEET'!D62</f>
        <v>0</v>
      </c>
      <c r="EK62" s="9">
        <f>AN62*'MASTER SHEET'!D62</f>
        <v>0</v>
      </c>
      <c r="EL62" s="9">
        <f>AR62*'MASTER SHEET'!D62</f>
        <v>0</v>
      </c>
      <c r="EM62" s="9">
        <f>AV62*'MASTER SHEET'!D62</f>
        <v>0</v>
      </c>
      <c r="EN62" s="9">
        <f>AZ62*'MASTER SHEET'!D62</f>
        <v>0</v>
      </c>
      <c r="EO62" s="9">
        <f>BD62*'MASTER SHEET'!D62</f>
        <v>0</v>
      </c>
      <c r="EP62" s="9">
        <f>BH62*'MASTER SHEET'!D62</f>
        <v>0</v>
      </c>
      <c r="EQ62" s="9">
        <f>BL62*'MASTER SHEET'!D62</f>
        <v>0</v>
      </c>
      <c r="ER62" s="9">
        <f>BP62*'MASTER SHEET'!D62</f>
        <v>0</v>
      </c>
      <c r="ES62" s="9">
        <f>BT62*'MASTER SHEET'!D62</f>
        <v>0</v>
      </c>
      <c r="ET62" s="9">
        <f>BX62*'MASTER SHEET'!D62</f>
        <v>0</v>
      </c>
      <c r="EU62" s="9">
        <f>CB62*'MASTER SHEET'!D62</f>
        <v>0</v>
      </c>
      <c r="EV62" s="9">
        <f>CF62*'MASTER SHEET'!D62</f>
        <v>0</v>
      </c>
      <c r="EW62" s="9">
        <f>CJ62*'MASTER SHEET'!D62</f>
        <v>0</v>
      </c>
      <c r="EX62" s="9">
        <f>CN62*'MASTER SHEET'!D62</f>
        <v>0</v>
      </c>
      <c r="EY62" s="9">
        <f>CV62*'MASTER SHEET'!D62</f>
        <v>0</v>
      </c>
      <c r="EZ62" s="9">
        <f>CV62*'MASTER SHEET'!D62</f>
        <v>0</v>
      </c>
      <c r="FA62" s="9">
        <f>CZ62*'MASTER SHEET'!D62</f>
        <v>0</v>
      </c>
      <c r="FB62" s="9">
        <f>DD62*'MASTER SHEET'!D62</f>
        <v>0</v>
      </c>
      <c r="FC62" s="9">
        <f>DH62*'MASTER SHEET'!D62</f>
        <v>0</v>
      </c>
      <c r="FD62" s="9">
        <f>DL62*'MASTER SHEET'!D62</f>
        <v>0</v>
      </c>
      <c r="FE62" s="9">
        <f>DP62*'MASTER SHEET'!D62</f>
        <v>0</v>
      </c>
      <c r="FF62" s="9">
        <f>DT62*'MASTER SHEET'!D62</f>
        <v>0</v>
      </c>
      <c r="FG62" s="9">
        <f>DX62*'MASTER SHEET'!D62</f>
        <v>0</v>
      </c>
    </row>
    <row r="63" spans="1:163" ht="20.25" x14ac:dyDescent="0.25">
      <c r="A63" s="43">
        <f>'MASTER SHEET'!A63</f>
        <v>61</v>
      </c>
      <c r="B63" s="26" t="str">
        <f>'MASTER SHEET'!B63</f>
        <v>ENDPLATE, PLASTIC</v>
      </c>
      <c r="C63" s="82">
        <f>'MASTER SHEET'!C63</f>
        <v>5032201</v>
      </c>
      <c r="D63" s="64"/>
      <c r="E63" s="28"/>
      <c r="F63" s="28"/>
      <c r="G63" s="65"/>
      <c r="H63" s="64">
        <f t="shared" si="35"/>
        <v>0</v>
      </c>
      <c r="I63" s="28"/>
      <c r="J63" s="28"/>
      <c r="K63" s="65"/>
      <c r="L63" s="64">
        <f t="shared" si="36"/>
        <v>0</v>
      </c>
      <c r="M63" s="28"/>
      <c r="N63" s="28"/>
      <c r="O63" s="65"/>
      <c r="P63" s="64">
        <f t="shared" si="37"/>
        <v>0</v>
      </c>
      <c r="Q63" s="28"/>
      <c r="R63" s="28"/>
      <c r="S63" s="65"/>
      <c r="T63" s="64">
        <f t="shared" si="38"/>
        <v>0</v>
      </c>
      <c r="U63" s="28"/>
      <c r="V63" s="28"/>
      <c r="W63" s="65"/>
      <c r="X63" s="64">
        <f t="shared" si="39"/>
        <v>0</v>
      </c>
      <c r="Y63" s="28"/>
      <c r="Z63" s="28"/>
      <c r="AA63" s="65"/>
      <c r="AB63" s="64">
        <f t="shared" si="40"/>
        <v>0</v>
      </c>
      <c r="AC63" s="28"/>
      <c r="AD63" s="28"/>
      <c r="AE63" s="65"/>
      <c r="AF63" s="64">
        <f t="shared" si="41"/>
        <v>0</v>
      </c>
      <c r="AG63" s="28"/>
      <c r="AH63" s="28"/>
      <c r="AI63" s="65"/>
      <c r="AJ63" s="64">
        <f t="shared" si="42"/>
        <v>0</v>
      </c>
      <c r="AK63" s="28"/>
      <c r="AL63" s="28"/>
      <c r="AM63" s="65"/>
      <c r="AN63" s="64">
        <f t="shared" si="43"/>
        <v>0</v>
      </c>
      <c r="AO63" s="28"/>
      <c r="AP63" s="28"/>
      <c r="AQ63" s="65"/>
      <c r="AR63" s="64">
        <f t="shared" si="44"/>
        <v>0</v>
      </c>
      <c r="AS63" s="28"/>
      <c r="AT63" s="28"/>
      <c r="AU63" s="65"/>
      <c r="AV63" s="64">
        <f t="shared" si="45"/>
        <v>0</v>
      </c>
      <c r="AW63" s="28"/>
      <c r="AX63" s="28"/>
      <c r="AY63" s="65"/>
      <c r="AZ63" s="64">
        <f t="shared" si="46"/>
        <v>0</v>
      </c>
      <c r="BA63" s="28"/>
      <c r="BB63" s="28"/>
      <c r="BC63" s="65"/>
      <c r="BD63" s="64">
        <f t="shared" si="47"/>
        <v>0</v>
      </c>
      <c r="BE63" s="28"/>
      <c r="BF63" s="28"/>
      <c r="BG63" s="65"/>
      <c r="BH63" s="64">
        <f t="shared" si="48"/>
        <v>0</v>
      </c>
      <c r="BI63" s="28"/>
      <c r="BJ63" s="28"/>
      <c r="BK63" s="65"/>
      <c r="BL63" s="64">
        <f t="shared" si="49"/>
        <v>0</v>
      </c>
      <c r="BM63" s="28"/>
      <c r="BN63" s="28"/>
      <c r="BO63" s="65"/>
      <c r="BP63" s="64">
        <f t="shared" si="50"/>
        <v>0</v>
      </c>
      <c r="BQ63" s="28"/>
      <c r="BR63" s="28"/>
      <c r="BS63" s="65"/>
      <c r="BT63" s="64">
        <f t="shared" si="51"/>
        <v>0</v>
      </c>
      <c r="BU63" s="28"/>
      <c r="BV63" s="28"/>
      <c r="BW63" s="65"/>
      <c r="BX63" s="64">
        <f t="shared" si="52"/>
        <v>0</v>
      </c>
      <c r="BY63" s="28"/>
      <c r="BZ63" s="28"/>
      <c r="CA63" s="65"/>
      <c r="CB63" s="64">
        <f t="shared" si="53"/>
        <v>0</v>
      </c>
      <c r="CC63" s="28"/>
      <c r="CD63" s="28"/>
      <c r="CE63" s="65"/>
      <c r="CF63" s="64">
        <f t="shared" si="54"/>
        <v>0</v>
      </c>
      <c r="CG63" s="28"/>
      <c r="CH63" s="28"/>
      <c r="CI63" s="65"/>
      <c r="CJ63" s="64">
        <f t="shared" si="55"/>
        <v>0</v>
      </c>
      <c r="CK63" s="28"/>
      <c r="CL63" s="28"/>
      <c r="CM63" s="65"/>
      <c r="CN63" s="64">
        <f t="shared" si="56"/>
        <v>0</v>
      </c>
      <c r="CO63" s="28"/>
      <c r="CP63" s="28"/>
      <c r="CQ63" s="65"/>
      <c r="CR63" s="64">
        <f t="shared" si="57"/>
        <v>0</v>
      </c>
      <c r="CS63" s="28"/>
      <c r="CT63" s="28"/>
      <c r="CU63" s="65"/>
      <c r="CV63" s="64">
        <f t="shared" si="58"/>
        <v>0</v>
      </c>
      <c r="CW63" s="28"/>
      <c r="CX63" s="28"/>
      <c r="CY63" s="65"/>
      <c r="CZ63" s="64">
        <f t="shared" si="59"/>
        <v>0</v>
      </c>
      <c r="DA63" s="28"/>
      <c r="DB63" s="28"/>
      <c r="DC63" s="65"/>
      <c r="DD63" s="64">
        <f t="shared" si="60"/>
        <v>0</v>
      </c>
      <c r="DE63" s="28"/>
      <c r="DF63" s="28"/>
      <c r="DG63" s="65"/>
      <c r="DH63" s="64">
        <f t="shared" si="61"/>
        <v>0</v>
      </c>
      <c r="DI63" s="28"/>
      <c r="DJ63" s="28"/>
      <c r="DK63" s="65"/>
      <c r="DL63" s="64">
        <f t="shared" si="62"/>
        <v>0</v>
      </c>
      <c r="DM63" s="28"/>
      <c r="DN63" s="28"/>
      <c r="DO63" s="65"/>
      <c r="DP63" s="64">
        <f t="shared" si="63"/>
        <v>0</v>
      </c>
      <c r="DQ63" s="28"/>
      <c r="DR63" s="28"/>
      <c r="DS63" s="65"/>
      <c r="DT63" s="64">
        <f t="shared" si="64"/>
        <v>0</v>
      </c>
      <c r="DU63" s="28"/>
      <c r="DV63" s="28"/>
      <c r="DW63" s="65"/>
      <c r="DX63" s="30">
        <f t="shared" si="65"/>
        <v>0</v>
      </c>
      <c r="DY63" s="31">
        <f t="shared" si="66"/>
        <v>0</v>
      </c>
      <c r="DZ63" s="31">
        <f t="shared" si="67"/>
        <v>0</v>
      </c>
      <c r="EA63" s="4">
        <f t="shared" si="68"/>
        <v>0</v>
      </c>
      <c r="EB63" s="9">
        <f>D63*'MASTER SHEET'!D63</f>
        <v>0</v>
      </c>
      <c r="EC63" s="9">
        <f>H63*'MASTER SHEET'!D63</f>
        <v>0</v>
      </c>
      <c r="ED63" s="9">
        <f>L63*'MASTER SHEET'!D63</f>
        <v>0</v>
      </c>
      <c r="EE63" s="9">
        <f>P63*'MASTER SHEET'!D63</f>
        <v>0</v>
      </c>
      <c r="EF63" s="9">
        <f>T63*'MASTER SHEET'!D63</f>
        <v>0</v>
      </c>
      <c r="EG63" s="9">
        <f>X63*'MASTER SHEET'!D63</f>
        <v>0</v>
      </c>
      <c r="EH63" s="9">
        <f>AB63*'MASTER SHEET'!D63</f>
        <v>0</v>
      </c>
      <c r="EI63" s="9">
        <f>AF63*'MASTER SHEET'!D63</f>
        <v>0</v>
      </c>
      <c r="EJ63" s="9">
        <f>AJ63*'MASTER SHEET'!D63</f>
        <v>0</v>
      </c>
      <c r="EK63" s="9">
        <f>AN63*'MASTER SHEET'!D63</f>
        <v>0</v>
      </c>
      <c r="EL63" s="9">
        <f>AR63*'MASTER SHEET'!D63</f>
        <v>0</v>
      </c>
      <c r="EM63" s="9">
        <f>AV63*'MASTER SHEET'!D63</f>
        <v>0</v>
      </c>
      <c r="EN63" s="9">
        <f>AZ63*'MASTER SHEET'!D63</f>
        <v>0</v>
      </c>
      <c r="EO63" s="9">
        <f>BD63*'MASTER SHEET'!D63</f>
        <v>0</v>
      </c>
      <c r="EP63" s="9">
        <f>BH63*'MASTER SHEET'!D63</f>
        <v>0</v>
      </c>
      <c r="EQ63" s="9">
        <f>BL63*'MASTER SHEET'!D63</f>
        <v>0</v>
      </c>
      <c r="ER63" s="9">
        <f>BP63*'MASTER SHEET'!D63</f>
        <v>0</v>
      </c>
      <c r="ES63" s="9">
        <f>BT63*'MASTER SHEET'!D63</f>
        <v>0</v>
      </c>
      <c r="ET63" s="9">
        <f>BX63*'MASTER SHEET'!D63</f>
        <v>0</v>
      </c>
      <c r="EU63" s="9">
        <f>CB63*'MASTER SHEET'!D63</f>
        <v>0</v>
      </c>
      <c r="EV63" s="9">
        <f>CF63*'MASTER SHEET'!D63</f>
        <v>0</v>
      </c>
      <c r="EW63" s="9">
        <f>CJ63*'MASTER SHEET'!D63</f>
        <v>0</v>
      </c>
      <c r="EX63" s="9">
        <f>CN63*'MASTER SHEET'!D63</f>
        <v>0</v>
      </c>
      <c r="EY63" s="9">
        <f>CV63*'MASTER SHEET'!D63</f>
        <v>0</v>
      </c>
      <c r="EZ63" s="9">
        <f>CV63*'MASTER SHEET'!D63</f>
        <v>0</v>
      </c>
      <c r="FA63" s="9">
        <f>CZ63*'MASTER SHEET'!D63</f>
        <v>0</v>
      </c>
      <c r="FB63" s="9">
        <f>DD63*'MASTER SHEET'!D63</f>
        <v>0</v>
      </c>
      <c r="FC63" s="9">
        <f>DH63*'MASTER SHEET'!D63</f>
        <v>0</v>
      </c>
      <c r="FD63" s="9">
        <f>DL63*'MASTER SHEET'!D63</f>
        <v>0</v>
      </c>
      <c r="FE63" s="9">
        <f>DP63*'MASTER SHEET'!D63</f>
        <v>0</v>
      </c>
      <c r="FF63" s="9">
        <f>DT63*'MASTER SHEET'!D63</f>
        <v>0</v>
      </c>
      <c r="FG63" s="9">
        <f>DX63*'MASTER SHEET'!D63</f>
        <v>0</v>
      </c>
    </row>
    <row r="64" spans="1:163" ht="20.25" x14ac:dyDescent="0.25">
      <c r="A64" s="43">
        <f>'MASTER SHEET'!A64</f>
        <v>62</v>
      </c>
      <c r="B64" s="26" t="str">
        <f>'MASTER SHEET'!B64</f>
        <v>ENDPLATE, PLASTIC</v>
      </c>
      <c r="C64" s="82">
        <f>'MASTER SHEET'!C64</f>
        <v>5032202</v>
      </c>
      <c r="D64" s="64"/>
      <c r="E64" s="28"/>
      <c r="F64" s="28"/>
      <c r="G64" s="65"/>
      <c r="H64" s="64">
        <f t="shared" si="35"/>
        <v>0</v>
      </c>
      <c r="I64" s="28"/>
      <c r="J64" s="28"/>
      <c r="K64" s="65"/>
      <c r="L64" s="64">
        <f t="shared" si="36"/>
        <v>0</v>
      </c>
      <c r="M64" s="28"/>
      <c r="N64" s="28"/>
      <c r="O64" s="65"/>
      <c r="P64" s="64">
        <f t="shared" si="37"/>
        <v>0</v>
      </c>
      <c r="Q64" s="28"/>
      <c r="R64" s="28"/>
      <c r="S64" s="65"/>
      <c r="T64" s="64">
        <f t="shared" si="38"/>
        <v>0</v>
      </c>
      <c r="U64" s="28"/>
      <c r="V64" s="28"/>
      <c r="W64" s="65"/>
      <c r="X64" s="64">
        <f t="shared" si="39"/>
        <v>0</v>
      </c>
      <c r="Y64" s="28"/>
      <c r="Z64" s="28"/>
      <c r="AA64" s="65"/>
      <c r="AB64" s="64">
        <f t="shared" si="40"/>
        <v>0</v>
      </c>
      <c r="AC64" s="28"/>
      <c r="AD64" s="28"/>
      <c r="AE64" s="65"/>
      <c r="AF64" s="64">
        <f t="shared" si="41"/>
        <v>0</v>
      </c>
      <c r="AG64" s="28"/>
      <c r="AH64" s="28"/>
      <c r="AI64" s="65"/>
      <c r="AJ64" s="64">
        <f t="shared" si="42"/>
        <v>0</v>
      </c>
      <c r="AK64" s="28"/>
      <c r="AL64" s="28"/>
      <c r="AM64" s="65"/>
      <c r="AN64" s="64">
        <f t="shared" si="43"/>
        <v>0</v>
      </c>
      <c r="AO64" s="28"/>
      <c r="AP64" s="28"/>
      <c r="AQ64" s="65"/>
      <c r="AR64" s="64">
        <f t="shared" si="44"/>
        <v>0</v>
      </c>
      <c r="AS64" s="28"/>
      <c r="AT64" s="28"/>
      <c r="AU64" s="65"/>
      <c r="AV64" s="64">
        <f t="shared" si="45"/>
        <v>0</v>
      </c>
      <c r="AW64" s="28"/>
      <c r="AX64" s="28"/>
      <c r="AY64" s="65"/>
      <c r="AZ64" s="64">
        <f t="shared" si="46"/>
        <v>0</v>
      </c>
      <c r="BA64" s="28"/>
      <c r="BB64" s="28"/>
      <c r="BC64" s="65"/>
      <c r="BD64" s="64">
        <f t="shared" si="47"/>
        <v>0</v>
      </c>
      <c r="BE64" s="28"/>
      <c r="BF64" s="28"/>
      <c r="BG64" s="65"/>
      <c r="BH64" s="64">
        <f t="shared" si="48"/>
        <v>0</v>
      </c>
      <c r="BI64" s="28"/>
      <c r="BJ64" s="28"/>
      <c r="BK64" s="65"/>
      <c r="BL64" s="64">
        <f t="shared" si="49"/>
        <v>0</v>
      </c>
      <c r="BM64" s="28"/>
      <c r="BN64" s="28"/>
      <c r="BO64" s="65"/>
      <c r="BP64" s="64">
        <f t="shared" si="50"/>
        <v>0</v>
      </c>
      <c r="BQ64" s="28"/>
      <c r="BR64" s="28"/>
      <c r="BS64" s="65"/>
      <c r="BT64" s="64">
        <f t="shared" si="51"/>
        <v>0</v>
      </c>
      <c r="BU64" s="28"/>
      <c r="BV64" s="28"/>
      <c r="BW64" s="65"/>
      <c r="BX64" s="64">
        <f t="shared" si="52"/>
        <v>0</v>
      </c>
      <c r="BY64" s="28"/>
      <c r="BZ64" s="28"/>
      <c r="CA64" s="65"/>
      <c r="CB64" s="64">
        <f t="shared" si="53"/>
        <v>0</v>
      </c>
      <c r="CC64" s="28"/>
      <c r="CD64" s="28"/>
      <c r="CE64" s="65"/>
      <c r="CF64" s="64">
        <f t="shared" si="54"/>
        <v>0</v>
      </c>
      <c r="CG64" s="28"/>
      <c r="CH64" s="28"/>
      <c r="CI64" s="65"/>
      <c r="CJ64" s="64">
        <f t="shared" si="55"/>
        <v>0</v>
      </c>
      <c r="CK64" s="28"/>
      <c r="CL64" s="28"/>
      <c r="CM64" s="65"/>
      <c r="CN64" s="64">
        <f t="shared" si="56"/>
        <v>0</v>
      </c>
      <c r="CO64" s="28"/>
      <c r="CP64" s="28"/>
      <c r="CQ64" s="65"/>
      <c r="CR64" s="64">
        <f t="shared" si="57"/>
        <v>0</v>
      </c>
      <c r="CS64" s="28"/>
      <c r="CT64" s="28"/>
      <c r="CU64" s="65"/>
      <c r="CV64" s="64">
        <f t="shared" si="58"/>
        <v>0</v>
      </c>
      <c r="CW64" s="28"/>
      <c r="CX64" s="28"/>
      <c r="CY64" s="65"/>
      <c r="CZ64" s="64">
        <f t="shared" si="59"/>
        <v>0</v>
      </c>
      <c r="DA64" s="28"/>
      <c r="DB64" s="28"/>
      <c r="DC64" s="65"/>
      <c r="DD64" s="64">
        <f t="shared" si="60"/>
        <v>0</v>
      </c>
      <c r="DE64" s="28"/>
      <c r="DF64" s="28"/>
      <c r="DG64" s="65"/>
      <c r="DH64" s="64">
        <f t="shared" si="61"/>
        <v>0</v>
      </c>
      <c r="DI64" s="28"/>
      <c r="DJ64" s="28"/>
      <c r="DK64" s="65"/>
      <c r="DL64" s="64">
        <f t="shared" si="62"/>
        <v>0</v>
      </c>
      <c r="DM64" s="28"/>
      <c r="DN64" s="28"/>
      <c r="DO64" s="65"/>
      <c r="DP64" s="64">
        <f t="shared" si="63"/>
        <v>0</v>
      </c>
      <c r="DQ64" s="28"/>
      <c r="DR64" s="28"/>
      <c r="DS64" s="65"/>
      <c r="DT64" s="64">
        <f t="shared" si="64"/>
        <v>0</v>
      </c>
      <c r="DU64" s="28"/>
      <c r="DV64" s="28"/>
      <c r="DW64" s="65"/>
      <c r="DX64" s="30">
        <f t="shared" si="65"/>
        <v>0</v>
      </c>
      <c r="DY64" s="31">
        <f t="shared" si="66"/>
        <v>0</v>
      </c>
      <c r="DZ64" s="31">
        <f t="shared" si="67"/>
        <v>0</v>
      </c>
      <c r="EA64" s="4">
        <f t="shared" si="68"/>
        <v>0</v>
      </c>
      <c r="EB64" s="9">
        <f>D64*'MASTER SHEET'!D64</f>
        <v>0</v>
      </c>
      <c r="EC64" s="9">
        <f>H64*'MASTER SHEET'!D64</f>
        <v>0</v>
      </c>
      <c r="ED64" s="9">
        <f>L64*'MASTER SHEET'!D64</f>
        <v>0</v>
      </c>
      <c r="EE64" s="9">
        <f>P64*'MASTER SHEET'!D64</f>
        <v>0</v>
      </c>
      <c r="EF64" s="9">
        <f>T64*'MASTER SHEET'!D64</f>
        <v>0</v>
      </c>
      <c r="EG64" s="9">
        <f>X64*'MASTER SHEET'!D64</f>
        <v>0</v>
      </c>
      <c r="EH64" s="9">
        <f>AB64*'MASTER SHEET'!D64</f>
        <v>0</v>
      </c>
      <c r="EI64" s="9">
        <f>AF64*'MASTER SHEET'!D64</f>
        <v>0</v>
      </c>
      <c r="EJ64" s="9">
        <f>AJ64*'MASTER SHEET'!D64</f>
        <v>0</v>
      </c>
      <c r="EK64" s="9">
        <f>AN64*'MASTER SHEET'!D64</f>
        <v>0</v>
      </c>
      <c r="EL64" s="9">
        <f>AR64*'MASTER SHEET'!D64</f>
        <v>0</v>
      </c>
      <c r="EM64" s="9">
        <f>AV64*'MASTER SHEET'!D64</f>
        <v>0</v>
      </c>
      <c r="EN64" s="9">
        <f>AZ64*'MASTER SHEET'!D64</f>
        <v>0</v>
      </c>
      <c r="EO64" s="9">
        <f>BD64*'MASTER SHEET'!D64</f>
        <v>0</v>
      </c>
      <c r="EP64" s="9">
        <f>BH64*'MASTER SHEET'!D64</f>
        <v>0</v>
      </c>
      <c r="EQ64" s="9">
        <f>BL64*'MASTER SHEET'!D64</f>
        <v>0</v>
      </c>
      <c r="ER64" s="9">
        <f>BP64*'MASTER SHEET'!D64</f>
        <v>0</v>
      </c>
      <c r="ES64" s="9">
        <f>BT64*'MASTER SHEET'!D64</f>
        <v>0</v>
      </c>
      <c r="ET64" s="9">
        <f>BX64*'MASTER SHEET'!D64</f>
        <v>0</v>
      </c>
      <c r="EU64" s="9">
        <f>CB64*'MASTER SHEET'!D64</f>
        <v>0</v>
      </c>
      <c r="EV64" s="9">
        <f>CF64*'MASTER SHEET'!D64</f>
        <v>0</v>
      </c>
      <c r="EW64" s="9">
        <f>CJ64*'MASTER SHEET'!D64</f>
        <v>0</v>
      </c>
      <c r="EX64" s="9">
        <f>CN64*'MASTER SHEET'!D64</f>
        <v>0</v>
      </c>
      <c r="EY64" s="9">
        <f>CV64*'MASTER SHEET'!D64</f>
        <v>0</v>
      </c>
      <c r="EZ64" s="9">
        <f>CV64*'MASTER SHEET'!D64</f>
        <v>0</v>
      </c>
      <c r="FA64" s="9">
        <f>CZ64*'MASTER SHEET'!D64</f>
        <v>0</v>
      </c>
      <c r="FB64" s="9">
        <f>DD64*'MASTER SHEET'!D64</f>
        <v>0</v>
      </c>
      <c r="FC64" s="9">
        <f>DH64*'MASTER SHEET'!D64</f>
        <v>0</v>
      </c>
      <c r="FD64" s="9">
        <f>DL64*'MASTER SHEET'!D64</f>
        <v>0</v>
      </c>
      <c r="FE64" s="9">
        <f>DP64*'MASTER SHEET'!D64</f>
        <v>0</v>
      </c>
      <c r="FF64" s="9">
        <f>DT64*'MASTER SHEET'!D64</f>
        <v>0</v>
      </c>
      <c r="FG64" s="9">
        <f>DX64*'MASTER SHEET'!D64</f>
        <v>0</v>
      </c>
    </row>
    <row r="65" spans="1:163" ht="20.25" x14ac:dyDescent="0.25">
      <c r="A65" s="43">
        <f>'MASTER SHEET'!A65</f>
        <v>63</v>
      </c>
      <c r="B65" s="26" t="str">
        <f>'MASTER SHEET'!B65</f>
        <v>BASE HOUSING CV</v>
      </c>
      <c r="C65" s="82">
        <f>'MASTER SHEET'!C65</f>
        <v>5032452</v>
      </c>
      <c r="D65" s="64"/>
      <c r="E65" s="28"/>
      <c r="F65" s="28"/>
      <c r="G65" s="65"/>
      <c r="H65" s="64">
        <f t="shared" si="35"/>
        <v>0</v>
      </c>
      <c r="I65" s="28"/>
      <c r="J65" s="28"/>
      <c r="K65" s="65"/>
      <c r="L65" s="64">
        <f t="shared" si="36"/>
        <v>0</v>
      </c>
      <c r="M65" s="28"/>
      <c r="N65" s="28"/>
      <c r="O65" s="65"/>
      <c r="P65" s="64">
        <f t="shared" si="37"/>
        <v>0</v>
      </c>
      <c r="Q65" s="28"/>
      <c r="R65" s="28"/>
      <c r="S65" s="65"/>
      <c r="T65" s="64">
        <f t="shared" si="38"/>
        <v>0</v>
      </c>
      <c r="U65" s="28"/>
      <c r="V65" s="28"/>
      <c r="W65" s="65"/>
      <c r="X65" s="64">
        <f t="shared" si="39"/>
        <v>0</v>
      </c>
      <c r="Y65" s="28"/>
      <c r="Z65" s="28"/>
      <c r="AA65" s="65"/>
      <c r="AB65" s="64">
        <f t="shared" si="40"/>
        <v>0</v>
      </c>
      <c r="AC65" s="28"/>
      <c r="AD65" s="28"/>
      <c r="AE65" s="65"/>
      <c r="AF65" s="64">
        <f t="shared" si="41"/>
        <v>0</v>
      </c>
      <c r="AG65" s="28"/>
      <c r="AH65" s="28"/>
      <c r="AI65" s="65"/>
      <c r="AJ65" s="64">
        <f t="shared" si="42"/>
        <v>0</v>
      </c>
      <c r="AK65" s="28"/>
      <c r="AL65" s="28"/>
      <c r="AM65" s="65"/>
      <c r="AN65" s="64">
        <f t="shared" si="43"/>
        <v>0</v>
      </c>
      <c r="AO65" s="28"/>
      <c r="AP65" s="28"/>
      <c r="AQ65" s="65"/>
      <c r="AR65" s="64">
        <f t="shared" si="44"/>
        <v>0</v>
      </c>
      <c r="AS65" s="28"/>
      <c r="AT65" s="28"/>
      <c r="AU65" s="65"/>
      <c r="AV65" s="64">
        <f t="shared" si="45"/>
        <v>0</v>
      </c>
      <c r="AW65" s="28"/>
      <c r="AX65" s="28"/>
      <c r="AY65" s="65"/>
      <c r="AZ65" s="64">
        <f t="shared" si="46"/>
        <v>0</v>
      </c>
      <c r="BA65" s="28"/>
      <c r="BB65" s="28"/>
      <c r="BC65" s="65"/>
      <c r="BD65" s="64">
        <f t="shared" si="47"/>
        <v>0</v>
      </c>
      <c r="BE65" s="28"/>
      <c r="BF65" s="28"/>
      <c r="BG65" s="65"/>
      <c r="BH65" s="64">
        <f t="shared" si="48"/>
        <v>0</v>
      </c>
      <c r="BI65" s="28"/>
      <c r="BJ65" s="28"/>
      <c r="BK65" s="65"/>
      <c r="BL65" s="64">
        <f t="shared" si="49"/>
        <v>0</v>
      </c>
      <c r="BM65" s="28"/>
      <c r="BN65" s="28"/>
      <c r="BO65" s="65"/>
      <c r="BP65" s="64">
        <f t="shared" si="50"/>
        <v>0</v>
      </c>
      <c r="BQ65" s="28"/>
      <c r="BR65" s="28"/>
      <c r="BS65" s="65"/>
      <c r="BT65" s="64">
        <f t="shared" si="51"/>
        <v>0</v>
      </c>
      <c r="BU65" s="28"/>
      <c r="BV65" s="28"/>
      <c r="BW65" s="65"/>
      <c r="BX65" s="64">
        <f t="shared" si="52"/>
        <v>0</v>
      </c>
      <c r="BY65" s="28"/>
      <c r="BZ65" s="28"/>
      <c r="CA65" s="65"/>
      <c r="CB65" s="64">
        <f t="shared" si="53"/>
        <v>0</v>
      </c>
      <c r="CC65" s="28"/>
      <c r="CD65" s="28"/>
      <c r="CE65" s="65"/>
      <c r="CF65" s="64">
        <f t="shared" si="54"/>
        <v>0</v>
      </c>
      <c r="CG65" s="28"/>
      <c r="CH65" s="28"/>
      <c r="CI65" s="65"/>
      <c r="CJ65" s="64">
        <f t="shared" si="55"/>
        <v>0</v>
      </c>
      <c r="CK65" s="28"/>
      <c r="CL65" s="28"/>
      <c r="CM65" s="65"/>
      <c r="CN65" s="64">
        <f t="shared" si="56"/>
        <v>0</v>
      </c>
      <c r="CO65" s="28"/>
      <c r="CP65" s="28"/>
      <c r="CQ65" s="65"/>
      <c r="CR65" s="64">
        <f t="shared" si="57"/>
        <v>0</v>
      </c>
      <c r="CS65" s="28"/>
      <c r="CT65" s="28"/>
      <c r="CU65" s="65"/>
      <c r="CV65" s="64">
        <f t="shared" si="58"/>
        <v>0</v>
      </c>
      <c r="CW65" s="28"/>
      <c r="CX65" s="28"/>
      <c r="CY65" s="65"/>
      <c r="CZ65" s="64">
        <f t="shared" si="59"/>
        <v>0</v>
      </c>
      <c r="DA65" s="28"/>
      <c r="DB65" s="28"/>
      <c r="DC65" s="65"/>
      <c r="DD65" s="64">
        <f t="shared" si="60"/>
        <v>0</v>
      </c>
      <c r="DE65" s="28"/>
      <c r="DF65" s="28"/>
      <c r="DG65" s="65"/>
      <c r="DH65" s="64">
        <f t="shared" si="61"/>
        <v>0</v>
      </c>
      <c r="DI65" s="28"/>
      <c r="DJ65" s="28"/>
      <c r="DK65" s="65"/>
      <c r="DL65" s="64">
        <f t="shared" si="62"/>
        <v>0</v>
      </c>
      <c r="DM65" s="28"/>
      <c r="DN65" s="28"/>
      <c r="DO65" s="65"/>
      <c r="DP65" s="64">
        <f t="shared" si="63"/>
        <v>0</v>
      </c>
      <c r="DQ65" s="28"/>
      <c r="DR65" s="28"/>
      <c r="DS65" s="65"/>
      <c r="DT65" s="64">
        <f t="shared" si="64"/>
        <v>0</v>
      </c>
      <c r="DU65" s="28"/>
      <c r="DV65" s="28"/>
      <c r="DW65" s="65"/>
      <c r="DX65" s="30">
        <f t="shared" si="65"/>
        <v>0</v>
      </c>
      <c r="DY65" s="31">
        <f t="shared" si="66"/>
        <v>0</v>
      </c>
      <c r="DZ65" s="31">
        <f t="shared" si="67"/>
        <v>0</v>
      </c>
      <c r="EA65" s="4">
        <f t="shared" si="68"/>
        <v>0</v>
      </c>
      <c r="EB65" s="9">
        <f>D65*'MASTER SHEET'!D65</f>
        <v>0</v>
      </c>
      <c r="EC65" s="9">
        <f>H65*'MASTER SHEET'!D65</f>
        <v>0</v>
      </c>
      <c r="ED65" s="9">
        <f>L65*'MASTER SHEET'!D65</f>
        <v>0</v>
      </c>
      <c r="EE65" s="9">
        <f>P65*'MASTER SHEET'!D65</f>
        <v>0</v>
      </c>
      <c r="EF65" s="9">
        <f>T65*'MASTER SHEET'!D65</f>
        <v>0</v>
      </c>
      <c r="EG65" s="9">
        <f>X65*'MASTER SHEET'!D65</f>
        <v>0</v>
      </c>
      <c r="EH65" s="9">
        <f>AB65*'MASTER SHEET'!D65</f>
        <v>0</v>
      </c>
      <c r="EI65" s="9">
        <f>AF65*'MASTER SHEET'!D65</f>
        <v>0</v>
      </c>
      <c r="EJ65" s="9">
        <f>AJ65*'MASTER SHEET'!D65</f>
        <v>0</v>
      </c>
      <c r="EK65" s="9">
        <f>AN65*'MASTER SHEET'!D65</f>
        <v>0</v>
      </c>
      <c r="EL65" s="9">
        <f>AR65*'MASTER SHEET'!D65</f>
        <v>0</v>
      </c>
      <c r="EM65" s="9">
        <f>AV65*'MASTER SHEET'!D65</f>
        <v>0</v>
      </c>
      <c r="EN65" s="9">
        <f>AZ65*'MASTER SHEET'!D65</f>
        <v>0</v>
      </c>
      <c r="EO65" s="9">
        <f>BD65*'MASTER SHEET'!D65</f>
        <v>0</v>
      </c>
      <c r="EP65" s="9">
        <f>BH65*'MASTER SHEET'!D65</f>
        <v>0</v>
      </c>
      <c r="EQ65" s="9">
        <f>BL65*'MASTER SHEET'!D65</f>
        <v>0</v>
      </c>
      <c r="ER65" s="9">
        <f>BP65*'MASTER SHEET'!D65</f>
        <v>0</v>
      </c>
      <c r="ES65" s="9">
        <f>BT65*'MASTER SHEET'!D65</f>
        <v>0</v>
      </c>
      <c r="ET65" s="9">
        <f>BX65*'MASTER SHEET'!D65</f>
        <v>0</v>
      </c>
      <c r="EU65" s="9">
        <f>CB65*'MASTER SHEET'!D65</f>
        <v>0</v>
      </c>
      <c r="EV65" s="9">
        <f>CF65*'MASTER SHEET'!D65</f>
        <v>0</v>
      </c>
      <c r="EW65" s="9">
        <f>CJ65*'MASTER SHEET'!D65</f>
        <v>0</v>
      </c>
      <c r="EX65" s="9">
        <f>CN65*'MASTER SHEET'!D65</f>
        <v>0</v>
      </c>
      <c r="EY65" s="9">
        <f>CV65*'MASTER SHEET'!D65</f>
        <v>0</v>
      </c>
      <c r="EZ65" s="9">
        <f>CV65*'MASTER SHEET'!D65</f>
        <v>0</v>
      </c>
      <c r="FA65" s="9">
        <f>CZ65*'MASTER SHEET'!D65</f>
        <v>0</v>
      </c>
      <c r="FB65" s="9">
        <f>DD65*'MASTER SHEET'!D65</f>
        <v>0</v>
      </c>
      <c r="FC65" s="9">
        <f>DH65*'MASTER SHEET'!D65</f>
        <v>0</v>
      </c>
      <c r="FD65" s="9">
        <f>DL65*'MASTER SHEET'!D65</f>
        <v>0</v>
      </c>
      <c r="FE65" s="9">
        <f>DP65*'MASTER SHEET'!D65</f>
        <v>0</v>
      </c>
      <c r="FF65" s="9">
        <f>DT65*'MASTER SHEET'!D65</f>
        <v>0</v>
      </c>
      <c r="FG65" s="9">
        <f>DX65*'MASTER SHEET'!D65</f>
        <v>0</v>
      </c>
    </row>
    <row r="66" spans="1:163" ht="20.25" x14ac:dyDescent="0.25">
      <c r="A66" s="43">
        <f>'MASTER SHEET'!A66</f>
        <v>64</v>
      </c>
      <c r="B66" s="26" t="str">
        <f>'MASTER SHEET'!B66</f>
        <v>LID HOUSING CV</v>
      </c>
      <c r="C66" s="82">
        <f>'MASTER SHEET'!C66</f>
        <v>5032459</v>
      </c>
      <c r="D66" s="64"/>
      <c r="E66" s="28"/>
      <c r="F66" s="28"/>
      <c r="G66" s="65"/>
      <c r="H66" s="64">
        <f t="shared" si="35"/>
        <v>0</v>
      </c>
      <c r="I66" s="28"/>
      <c r="J66" s="28"/>
      <c r="K66" s="65"/>
      <c r="L66" s="64">
        <f t="shared" si="36"/>
        <v>0</v>
      </c>
      <c r="M66" s="28"/>
      <c r="N66" s="28"/>
      <c r="O66" s="65"/>
      <c r="P66" s="64">
        <f t="shared" si="37"/>
        <v>0</v>
      </c>
      <c r="Q66" s="28"/>
      <c r="R66" s="28"/>
      <c r="S66" s="65"/>
      <c r="T66" s="64">
        <f t="shared" si="38"/>
        <v>0</v>
      </c>
      <c r="U66" s="28"/>
      <c r="V66" s="28"/>
      <c r="W66" s="65"/>
      <c r="X66" s="64">
        <f t="shared" si="39"/>
        <v>0</v>
      </c>
      <c r="Y66" s="28"/>
      <c r="Z66" s="28"/>
      <c r="AA66" s="65"/>
      <c r="AB66" s="64">
        <f t="shared" si="40"/>
        <v>0</v>
      </c>
      <c r="AC66" s="28"/>
      <c r="AD66" s="28"/>
      <c r="AE66" s="65"/>
      <c r="AF66" s="64">
        <f t="shared" si="41"/>
        <v>0</v>
      </c>
      <c r="AG66" s="28"/>
      <c r="AH66" s="28"/>
      <c r="AI66" s="65"/>
      <c r="AJ66" s="64">
        <f t="shared" si="42"/>
        <v>0</v>
      </c>
      <c r="AK66" s="28"/>
      <c r="AL66" s="28"/>
      <c r="AM66" s="65"/>
      <c r="AN66" s="64">
        <f t="shared" si="43"/>
        <v>0</v>
      </c>
      <c r="AO66" s="28"/>
      <c r="AP66" s="28"/>
      <c r="AQ66" s="65"/>
      <c r="AR66" s="64">
        <f t="shared" si="44"/>
        <v>0</v>
      </c>
      <c r="AS66" s="28"/>
      <c r="AT66" s="28"/>
      <c r="AU66" s="65"/>
      <c r="AV66" s="64">
        <f t="shared" si="45"/>
        <v>0</v>
      </c>
      <c r="AW66" s="28"/>
      <c r="AX66" s="28"/>
      <c r="AY66" s="65"/>
      <c r="AZ66" s="64">
        <f t="shared" si="46"/>
        <v>0</v>
      </c>
      <c r="BA66" s="28"/>
      <c r="BB66" s="28"/>
      <c r="BC66" s="65"/>
      <c r="BD66" s="64">
        <f t="shared" si="47"/>
        <v>0</v>
      </c>
      <c r="BE66" s="28"/>
      <c r="BF66" s="28"/>
      <c r="BG66" s="65"/>
      <c r="BH66" s="64">
        <f t="shared" si="48"/>
        <v>0</v>
      </c>
      <c r="BI66" s="28"/>
      <c r="BJ66" s="28"/>
      <c r="BK66" s="65"/>
      <c r="BL66" s="64">
        <f t="shared" si="49"/>
        <v>0</v>
      </c>
      <c r="BM66" s="28"/>
      <c r="BN66" s="28"/>
      <c r="BO66" s="65"/>
      <c r="BP66" s="64">
        <f t="shared" si="50"/>
        <v>0</v>
      </c>
      <c r="BQ66" s="28"/>
      <c r="BR66" s="28"/>
      <c r="BS66" s="65"/>
      <c r="BT66" s="64">
        <f t="shared" si="51"/>
        <v>0</v>
      </c>
      <c r="BU66" s="28"/>
      <c r="BV66" s="28"/>
      <c r="BW66" s="65"/>
      <c r="BX66" s="64">
        <f t="shared" si="52"/>
        <v>0</v>
      </c>
      <c r="BY66" s="28"/>
      <c r="BZ66" s="28"/>
      <c r="CA66" s="65"/>
      <c r="CB66" s="64">
        <f t="shared" si="53"/>
        <v>0</v>
      </c>
      <c r="CC66" s="28"/>
      <c r="CD66" s="28"/>
      <c r="CE66" s="65"/>
      <c r="CF66" s="64">
        <f t="shared" si="54"/>
        <v>0</v>
      </c>
      <c r="CG66" s="28"/>
      <c r="CH66" s="28"/>
      <c r="CI66" s="65"/>
      <c r="CJ66" s="64">
        <f t="shared" si="55"/>
        <v>0</v>
      </c>
      <c r="CK66" s="28"/>
      <c r="CL66" s="28"/>
      <c r="CM66" s="65"/>
      <c r="CN66" s="64">
        <f t="shared" si="56"/>
        <v>0</v>
      </c>
      <c r="CO66" s="28"/>
      <c r="CP66" s="28"/>
      <c r="CQ66" s="65"/>
      <c r="CR66" s="64">
        <f t="shared" si="57"/>
        <v>0</v>
      </c>
      <c r="CS66" s="28"/>
      <c r="CT66" s="28"/>
      <c r="CU66" s="65"/>
      <c r="CV66" s="64">
        <f t="shared" si="58"/>
        <v>0</v>
      </c>
      <c r="CW66" s="28"/>
      <c r="CX66" s="28"/>
      <c r="CY66" s="65"/>
      <c r="CZ66" s="64">
        <f t="shared" si="59"/>
        <v>0</v>
      </c>
      <c r="DA66" s="28"/>
      <c r="DB66" s="28"/>
      <c r="DC66" s="65"/>
      <c r="DD66" s="64">
        <f t="shared" si="60"/>
        <v>0</v>
      </c>
      <c r="DE66" s="28"/>
      <c r="DF66" s="28"/>
      <c r="DG66" s="65"/>
      <c r="DH66" s="64">
        <f t="shared" si="61"/>
        <v>0</v>
      </c>
      <c r="DI66" s="28"/>
      <c r="DJ66" s="28"/>
      <c r="DK66" s="65"/>
      <c r="DL66" s="64">
        <f t="shared" si="62"/>
        <v>0</v>
      </c>
      <c r="DM66" s="28"/>
      <c r="DN66" s="28"/>
      <c r="DO66" s="65"/>
      <c r="DP66" s="64">
        <f t="shared" si="63"/>
        <v>0</v>
      </c>
      <c r="DQ66" s="28"/>
      <c r="DR66" s="28"/>
      <c r="DS66" s="65"/>
      <c r="DT66" s="64">
        <f t="shared" si="64"/>
        <v>0</v>
      </c>
      <c r="DU66" s="28"/>
      <c r="DV66" s="28"/>
      <c r="DW66" s="65"/>
      <c r="DX66" s="30">
        <f t="shared" si="65"/>
        <v>0</v>
      </c>
      <c r="DY66" s="31">
        <f t="shared" si="66"/>
        <v>0</v>
      </c>
      <c r="DZ66" s="31">
        <f t="shared" si="67"/>
        <v>0</v>
      </c>
      <c r="EA66" s="4">
        <f t="shared" si="68"/>
        <v>0</v>
      </c>
      <c r="EB66" s="9">
        <f>D66*'MASTER SHEET'!D66</f>
        <v>0</v>
      </c>
      <c r="EC66" s="9">
        <f>H66*'MASTER SHEET'!D66</f>
        <v>0</v>
      </c>
      <c r="ED66" s="9">
        <f>L66*'MASTER SHEET'!D66</f>
        <v>0</v>
      </c>
      <c r="EE66" s="9">
        <f>P66*'MASTER SHEET'!D66</f>
        <v>0</v>
      </c>
      <c r="EF66" s="9">
        <f>T66*'MASTER SHEET'!D66</f>
        <v>0</v>
      </c>
      <c r="EG66" s="9">
        <f>X66*'MASTER SHEET'!D66</f>
        <v>0</v>
      </c>
      <c r="EH66" s="9">
        <f>AB66*'MASTER SHEET'!D66</f>
        <v>0</v>
      </c>
      <c r="EI66" s="9">
        <f>AF66*'MASTER SHEET'!D66</f>
        <v>0</v>
      </c>
      <c r="EJ66" s="9">
        <f>AJ66*'MASTER SHEET'!D66</f>
        <v>0</v>
      </c>
      <c r="EK66" s="9">
        <f>AN66*'MASTER SHEET'!D66</f>
        <v>0</v>
      </c>
      <c r="EL66" s="9">
        <f>AR66*'MASTER SHEET'!D66</f>
        <v>0</v>
      </c>
      <c r="EM66" s="9">
        <f>AV66*'MASTER SHEET'!D66</f>
        <v>0</v>
      </c>
      <c r="EN66" s="9">
        <f>AZ66*'MASTER SHEET'!D66</f>
        <v>0</v>
      </c>
      <c r="EO66" s="9">
        <f>BD66*'MASTER SHEET'!D66</f>
        <v>0</v>
      </c>
      <c r="EP66" s="9">
        <f>BH66*'MASTER SHEET'!D66</f>
        <v>0</v>
      </c>
      <c r="EQ66" s="9">
        <f>BL66*'MASTER SHEET'!D66</f>
        <v>0</v>
      </c>
      <c r="ER66" s="9">
        <f>BP66*'MASTER SHEET'!D66</f>
        <v>0</v>
      </c>
      <c r="ES66" s="9">
        <f>BT66*'MASTER SHEET'!D66</f>
        <v>0</v>
      </c>
      <c r="ET66" s="9">
        <f>BX66*'MASTER SHEET'!D66</f>
        <v>0</v>
      </c>
      <c r="EU66" s="9">
        <f>CB66*'MASTER SHEET'!D66</f>
        <v>0</v>
      </c>
      <c r="EV66" s="9">
        <f>CF66*'MASTER SHEET'!D66</f>
        <v>0</v>
      </c>
      <c r="EW66" s="9">
        <f>CJ66*'MASTER SHEET'!D66</f>
        <v>0</v>
      </c>
      <c r="EX66" s="9">
        <f>CN66*'MASTER SHEET'!D66</f>
        <v>0</v>
      </c>
      <c r="EY66" s="9">
        <f>CV66*'MASTER SHEET'!D66</f>
        <v>0</v>
      </c>
      <c r="EZ66" s="9">
        <f>CV66*'MASTER SHEET'!D66</f>
        <v>0</v>
      </c>
      <c r="FA66" s="9">
        <f>CZ66*'MASTER SHEET'!D66</f>
        <v>0</v>
      </c>
      <c r="FB66" s="9">
        <f>DD66*'MASTER SHEET'!D66</f>
        <v>0</v>
      </c>
      <c r="FC66" s="9">
        <f>DH66*'MASTER SHEET'!D66</f>
        <v>0</v>
      </c>
      <c r="FD66" s="9">
        <f>DL66*'MASTER SHEET'!D66</f>
        <v>0</v>
      </c>
      <c r="FE66" s="9">
        <f>DP66*'MASTER SHEET'!D66</f>
        <v>0</v>
      </c>
      <c r="FF66" s="9">
        <f>DT66*'MASTER SHEET'!D66</f>
        <v>0</v>
      </c>
      <c r="FG66" s="9">
        <f>DX66*'MASTER SHEET'!D66</f>
        <v>0</v>
      </c>
    </row>
    <row r="67" spans="1:163" ht="20.25" x14ac:dyDescent="0.25">
      <c r="A67" s="43">
        <f>'MASTER SHEET'!A67</f>
        <v>65</v>
      </c>
      <c r="B67" s="26" t="str">
        <f>'MASTER SHEET'!B67</f>
        <v>MBP PIPE</v>
      </c>
      <c r="C67" s="82">
        <f>'MASTER SHEET'!C67</f>
        <v>5032473</v>
      </c>
      <c r="D67" s="64"/>
      <c r="E67" s="28"/>
      <c r="F67" s="28"/>
      <c r="G67" s="65"/>
      <c r="H67" s="64">
        <f t="shared" si="35"/>
        <v>0</v>
      </c>
      <c r="I67" s="28"/>
      <c r="J67" s="28"/>
      <c r="K67" s="65"/>
      <c r="L67" s="64">
        <f t="shared" si="36"/>
        <v>0</v>
      </c>
      <c r="M67" s="28"/>
      <c r="N67" s="28"/>
      <c r="O67" s="65"/>
      <c r="P67" s="64">
        <f t="shared" si="37"/>
        <v>0</v>
      </c>
      <c r="Q67" s="28"/>
      <c r="R67" s="28"/>
      <c r="S67" s="65"/>
      <c r="T67" s="64">
        <f t="shared" si="38"/>
        <v>0</v>
      </c>
      <c r="U67" s="28"/>
      <c r="V67" s="28"/>
      <c r="W67" s="65"/>
      <c r="X67" s="64">
        <f t="shared" si="39"/>
        <v>0</v>
      </c>
      <c r="Y67" s="28"/>
      <c r="Z67" s="28"/>
      <c r="AA67" s="65"/>
      <c r="AB67" s="64">
        <f t="shared" si="40"/>
        <v>0</v>
      </c>
      <c r="AC67" s="28"/>
      <c r="AD67" s="28"/>
      <c r="AE67" s="65"/>
      <c r="AF67" s="64">
        <f t="shared" si="41"/>
        <v>0</v>
      </c>
      <c r="AG67" s="28"/>
      <c r="AH67" s="28"/>
      <c r="AI67" s="65"/>
      <c r="AJ67" s="64">
        <f t="shared" si="42"/>
        <v>0</v>
      </c>
      <c r="AK67" s="28"/>
      <c r="AL67" s="28"/>
      <c r="AM67" s="65"/>
      <c r="AN67" s="64">
        <f t="shared" si="43"/>
        <v>0</v>
      </c>
      <c r="AO67" s="28"/>
      <c r="AP67" s="28"/>
      <c r="AQ67" s="65"/>
      <c r="AR67" s="64">
        <f t="shared" si="44"/>
        <v>0</v>
      </c>
      <c r="AS67" s="28"/>
      <c r="AT67" s="28"/>
      <c r="AU67" s="65"/>
      <c r="AV67" s="64">
        <f t="shared" si="45"/>
        <v>0</v>
      </c>
      <c r="AW67" s="28"/>
      <c r="AX67" s="28"/>
      <c r="AY67" s="65"/>
      <c r="AZ67" s="64">
        <f t="shared" si="46"/>
        <v>0</v>
      </c>
      <c r="BA67" s="28"/>
      <c r="BB67" s="28"/>
      <c r="BC67" s="65"/>
      <c r="BD67" s="64">
        <f t="shared" si="47"/>
        <v>0</v>
      </c>
      <c r="BE67" s="28"/>
      <c r="BF67" s="28"/>
      <c r="BG67" s="65"/>
      <c r="BH67" s="64">
        <f t="shared" si="48"/>
        <v>0</v>
      </c>
      <c r="BI67" s="28"/>
      <c r="BJ67" s="28"/>
      <c r="BK67" s="65"/>
      <c r="BL67" s="64">
        <f t="shared" si="49"/>
        <v>0</v>
      </c>
      <c r="BM67" s="28"/>
      <c r="BN67" s="28"/>
      <c r="BO67" s="65"/>
      <c r="BP67" s="64">
        <f t="shared" si="50"/>
        <v>0</v>
      </c>
      <c r="BQ67" s="28"/>
      <c r="BR67" s="28"/>
      <c r="BS67" s="65"/>
      <c r="BT67" s="64">
        <f t="shared" si="51"/>
        <v>0</v>
      </c>
      <c r="BU67" s="28"/>
      <c r="BV67" s="28"/>
      <c r="BW67" s="65"/>
      <c r="BX67" s="64">
        <f t="shared" si="52"/>
        <v>0</v>
      </c>
      <c r="BY67" s="28"/>
      <c r="BZ67" s="28"/>
      <c r="CA67" s="65"/>
      <c r="CB67" s="64">
        <f t="shared" si="53"/>
        <v>0</v>
      </c>
      <c r="CC67" s="28"/>
      <c r="CD67" s="28"/>
      <c r="CE67" s="65"/>
      <c r="CF67" s="64">
        <f t="shared" si="54"/>
        <v>0</v>
      </c>
      <c r="CG67" s="28"/>
      <c r="CH67" s="28"/>
      <c r="CI67" s="65"/>
      <c r="CJ67" s="64">
        <f t="shared" si="55"/>
        <v>0</v>
      </c>
      <c r="CK67" s="28"/>
      <c r="CL67" s="28"/>
      <c r="CM67" s="65"/>
      <c r="CN67" s="64">
        <f t="shared" si="56"/>
        <v>0</v>
      </c>
      <c r="CO67" s="28"/>
      <c r="CP67" s="28"/>
      <c r="CQ67" s="65"/>
      <c r="CR67" s="64">
        <f t="shared" si="57"/>
        <v>0</v>
      </c>
      <c r="CS67" s="28"/>
      <c r="CT67" s="28"/>
      <c r="CU67" s="65"/>
      <c r="CV67" s="64">
        <f t="shared" si="58"/>
        <v>0</v>
      </c>
      <c r="CW67" s="28"/>
      <c r="CX67" s="28"/>
      <c r="CY67" s="65"/>
      <c r="CZ67" s="64">
        <f t="shared" si="59"/>
        <v>0</v>
      </c>
      <c r="DA67" s="28"/>
      <c r="DB67" s="28"/>
      <c r="DC67" s="65"/>
      <c r="DD67" s="64">
        <f t="shared" si="60"/>
        <v>0</v>
      </c>
      <c r="DE67" s="28"/>
      <c r="DF67" s="28"/>
      <c r="DG67" s="65"/>
      <c r="DH67" s="64">
        <f t="shared" si="61"/>
        <v>0</v>
      </c>
      <c r="DI67" s="28"/>
      <c r="DJ67" s="28"/>
      <c r="DK67" s="65"/>
      <c r="DL67" s="64">
        <f t="shared" si="62"/>
        <v>0</v>
      </c>
      <c r="DM67" s="28"/>
      <c r="DN67" s="28"/>
      <c r="DO67" s="65"/>
      <c r="DP67" s="64">
        <f t="shared" si="63"/>
        <v>0</v>
      </c>
      <c r="DQ67" s="28"/>
      <c r="DR67" s="28"/>
      <c r="DS67" s="65"/>
      <c r="DT67" s="64">
        <f t="shared" si="64"/>
        <v>0</v>
      </c>
      <c r="DU67" s="28"/>
      <c r="DV67" s="28"/>
      <c r="DW67" s="65"/>
      <c r="DX67" s="30">
        <f t="shared" si="65"/>
        <v>0</v>
      </c>
      <c r="DY67" s="31">
        <f t="shared" ref="DY67:DY98" si="69">D67+E67+I67+M67+Q67+U67+Y67+AC67+AG67+AK67+AO67+AS67+AW67+BA67+BE67+BI67+BM67+BQ67+BU67+BY67+CC67+CG67+CK67+CO67+CS67+CW67+DA67+DE67+DI67+DM67+DQ67+DU67</f>
        <v>0</v>
      </c>
      <c r="DZ67" s="31">
        <f t="shared" ref="DZ67:DZ98" si="70">F67+J67+N67+R67+V67+Z67+AD67+AH67+AL67+AP67+AT67+AX67+BB67+BF67+BJ67+BN67+BR67+BV67+BZ67+CD67+CH67+CL67+CP67+CT67+CX67+DB67+DF67+DJ67+DN67+DR67+DV67</f>
        <v>0</v>
      </c>
      <c r="EA67" s="4">
        <f t="shared" ref="EA67:EA98" si="71">G67+K67+O67+S67+W67+AA67+AE67+AI67+AM67+AQ67+AU67+AY67+BC67+BG67+BK67+BO67+BS67+BW67+CA67+CE67+CI67+CM67+CQ67+CU67+CY67+DC67+DG67+DK67+DO67+DS67+DW67</f>
        <v>0</v>
      </c>
      <c r="EB67" s="9">
        <f>D67*'MASTER SHEET'!D67</f>
        <v>0</v>
      </c>
      <c r="EC67" s="9">
        <f>H67*'MASTER SHEET'!D67</f>
        <v>0</v>
      </c>
      <c r="ED67" s="9">
        <f>L67*'MASTER SHEET'!D67</f>
        <v>0</v>
      </c>
      <c r="EE67" s="9">
        <f>P67*'MASTER SHEET'!D67</f>
        <v>0</v>
      </c>
      <c r="EF67" s="9">
        <f>T67*'MASTER SHEET'!D67</f>
        <v>0</v>
      </c>
      <c r="EG67" s="9">
        <f>X67*'MASTER SHEET'!D67</f>
        <v>0</v>
      </c>
      <c r="EH67" s="9">
        <f>AB67*'MASTER SHEET'!D67</f>
        <v>0</v>
      </c>
      <c r="EI67" s="9">
        <f>AF67*'MASTER SHEET'!D67</f>
        <v>0</v>
      </c>
      <c r="EJ67" s="9">
        <f>AJ67*'MASTER SHEET'!D67</f>
        <v>0</v>
      </c>
      <c r="EK67" s="9">
        <f>AN67*'MASTER SHEET'!D67</f>
        <v>0</v>
      </c>
      <c r="EL67" s="9">
        <f>AR67*'MASTER SHEET'!D67</f>
        <v>0</v>
      </c>
      <c r="EM67" s="9">
        <f>AV67*'MASTER SHEET'!D67</f>
        <v>0</v>
      </c>
      <c r="EN67" s="9">
        <f>AZ67*'MASTER SHEET'!D67</f>
        <v>0</v>
      </c>
      <c r="EO67" s="9">
        <f>BD67*'MASTER SHEET'!D67</f>
        <v>0</v>
      </c>
      <c r="EP67" s="9">
        <f>BH67*'MASTER SHEET'!D67</f>
        <v>0</v>
      </c>
      <c r="EQ67" s="9">
        <f>BL67*'MASTER SHEET'!D67</f>
        <v>0</v>
      </c>
      <c r="ER67" s="9">
        <f>BP67*'MASTER SHEET'!D67</f>
        <v>0</v>
      </c>
      <c r="ES67" s="9">
        <f>BT67*'MASTER SHEET'!D67</f>
        <v>0</v>
      </c>
      <c r="ET67" s="9">
        <f>BX67*'MASTER SHEET'!D67</f>
        <v>0</v>
      </c>
      <c r="EU67" s="9">
        <f>CB67*'MASTER SHEET'!D67</f>
        <v>0</v>
      </c>
      <c r="EV67" s="9">
        <f>CF67*'MASTER SHEET'!D67</f>
        <v>0</v>
      </c>
      <c r="EW67" s="9">
        <f>CJ67*'MASTER SHEET'!D67</f>
        <v>0</v>
      </c>
      <c r="EX67" s="9">
        <f>CN67*'MASTER SHEET'!D67</f>
        <v>0</v>
      </c>
      <c r="EY67" s="9">
        <f>CV67*'MASTER SHEET'!D67</f>
        <v>0</v>
      </c>
      <c r="EZ67" s="9">
        <f>CV67*'MASTER SHEET'!D67</f>
        <v>0</v>
      </c>
      <c r="FA67" s="9">
        <f>CZ67*'MASTER SHEET'!D67</f>
        <v>0</v>
      </c>
      <c r="FB67" s="9">
        <f>DD67*'MASTER SHEET'!D67</f>
        <v>0</v>
      </c>
      <c r="FC67" s="9">
        <f>DH67*'MASTER SHEET'!D67</f>
        <v>0</v>
      </c>
      <c r="FD67" s="9">
        <f>DL67*'MASTER SHEET'!D67</f>
        <v>0</v>
      </c>
      <c r="FE67" s="9">
        <f>DP67*'MASTER SHEET'!D67</f>
        <v>0</v>
      </c>
      <c r="FF67" s="9">
        <f>DT67*'MASTER SHEET'!D67</f>
        <v>0</v>
      </c>
      <c r="FG67" s="9">
        <f>DX67*'MASTER SHEET'!D67</f>
        <v>0</v>
      </c>
    </row>
    <row r="68" spans="1:163" s="10" customFormat="1" ht="20.25" x14ac:dyDescent="0.25">
      <c r="A68" s="43">
        <f>'MASTER SHEET'!A68</f>
        <v>66</v>
      </c>
      <c r="B68" s="26" t="str">
        <f>'MASTER SHEET'!B68</f>
        <v>BASE HOUSING</v>
      </c>
      <c r="C68" s="82">
        <f>'MASTER SHEET'!C68</f>
        <v>5034048</v>
      </c>
      <c r="D68" s="64"/>
      <c r="E68" s="28"/>
      <c r="F68" s="28"/>
      <c r="G68" s="65"/>
      <c r="H68" s="64">
        <f t="shared" ref="H68:H131" si="72">D68+E68-F68-G68</f>
        <v>0</v>
      </c>
      <c r="I68" s="28"/>
      <c r="J68" s="28"/>
      <c r="K68" s="65"/>
      <c r="L68" s="64">
        <f t="shared" ref="L68:L131" si="73">H68+I68-J68-K68</f>
        <v>0</v>
      </c>
      <c r="M68" s="28"/>
      <c r="N68" s="28"/>
      <c r="O68" s="65"/>
      <c r="P68" s="64">
        <f t="shared" ref="P68:P131" si="74">L68+M68-N68-O68</f>
        <v>0</v>
      </c>
      <c r="Q68" s="28"/>
      <c r="R68" s="28"/>
      <c r="S68" s="65"/>
      <c r="T68" s="64">
        <f t="shared" ref="T68:T131" si="75">P68+Q68-R68-S68</f>
        <v>0</v>
      </c>
      <c r="U68" s="28"/>
      <c r="V68" s="28"/>
      <c r="W68" s="65"/>
      <c r="X68" s="64">
        <f t="shared" ref="X68:X131" si="76">T68+U68-V68-W68</f>
        <v>0</v>
      </c>
      <c r="Y68" s="28"/>
      <c r="Z68" s="28"/>
      <c r="AA68" s="65"/>
      <c r="AB68" s="64">
        <f t="shared" ref="AB68:AB131" si="77">X68+Y68-Z68-AA68</f>
        <v>0</v>
      </c>
      <c r="AC68" s="28"/>
      <c r="AD68" s="28"/>
      <c r="AE68" s="65"/>
      <c r="AF68" s="64">
        <f t="shared" ref="AF68:AF131" si="78">AB68+AC68-AD68-AE68</f>
        <v>0</v>
      </c>
      <c r="AG68" s="28"/>
      <c r="AH68" s="28"/>
      <c r="AI68" s="65"/>
      <c r="AJ68" s="64">
        <f t="shared" ref="AJ68:AJ131" si="79">AF68+AG68-AH68-AI68</f>
        <v>0</v>
      </c>
      <c r="AK68" s="28"/>
      <c r="AL68" s="28"/>
      <c r="AM68" s="65"/>
      <c r="AN68" s="64">
        <f t="shared" ref="AN68:AN131" si="80">AJ68+AK68-AL68-AM68</f>
        <v>0</v>
      </c>
      <c r="AO68" s="28"/>
      <c r="AP68" s="28"/>
      <c r="AQ68" s="65"/>
      <c r="AR68" s="64">
        <f t="shared" ref="AR68:AR131" si="81">AN68+AO68-AP68-AQ68</f>
        <v>0</v>
      </c>
      <c r="AS68" s="28"/>
      <c r="AT68" s="28"/>
      <c r="AU68" s="65"/>
      <c r="AV68" s="64">
        <f t="shared" ref="AV68:AV131" si="82">AR68+AS68-AT68-AU68</f>
        <v>0</v>
      </c>
      <c r="AW68" s="28"/>
      <c r="AX68" s="28"/>
      <c r="AY68" s="65"/>
      <c r="AZ68" s="64">
        <f t="shared" ref="AZ68:AZ131" si="83">AV68+AW68-AX68-AY68</f>
        <v>0</v>
      </c>
      <c r="BA68" s="28"/>
      <c r="BB68" s="28"/>
      <c r="BC68" s="65"/>
      <c r="BD68" s="64">
        <f t="shared" ref="BD68:BD131" si="84">AZ68+BA68-BB68-BC68</f>
        <v>0</v>
      </c>
      <c r="BE68" s="28"/>
      <c r="BF68" s="28"/>
      <c r="BG68" s="65"/>
      <c r="BH68" s="64">
        <f t="shared" ref="BH68:BH131" si="85">BD68+BE68-BF68-BG68</f>
        <v>0</v>
      </c>
      <c r="BI68" s="28"/>
      <c r="BJ68" s="28"/>
      <c r="BK68" s="65"/>
      <c r="BL68" s="64">
        <f t="shared" ref="BL68:BL131" si="86">BH68+BI68-BJ68-BK68</f>
        <v>0</v>
      </c>
      <c r="BM68" s="28"/>
      <c r="BN68" s="28"/>
      <c r="BO68" s="65"/>
      <c r="BP68" s="64">
        <f t="shared" ref="BP68:BP131" si="87">BL68+BM68-BN68-BO68</f>
        <v>0</v>
      </c>
      <c r="BQ68" s="28"/>
      <c r="BR68" s="28"/>
      <c r="BS68" s="65"/>
      <c r="BT68" s="64">
        <f t="shared" ref="BT68:BT131" si="88">BP68+BQ68-BR68-BS68</f>
        <v>0</v>
      </c>
      <c r="BU68" s="28"/>
      <c r="BV68" s="28"/>
      <c r="BW68" s="65"/>
      <c r="BX68" s="64">
        <f t="shared" ref="BX68:BX131" si="89">BT68+BU68-BV68-BW68</f>
        <v>0</v>
      </c>
      <c r="BY68" s="28"/>
      <c r="BZ68" s="28"/>
      <c r="CA68" s="65"/>
      <c r="CB68" s="64">
        <f t="shared" ref="CB68:CB131" si="90">BX68+BY68-BZ68-CA68</f>
        <v>0</v>
      </c>
      <c r="CC68" s="28"/>
      <c r="CD68" s="28"/>
      <c r="CE68" s="65"/>
      <c r="CF68" s="64">
        <f t="shared" ref="CF68:CF131" si="91">CB68+CC68-CD68-CE68</f>
        <v>0</v>
      </c>
      <c r="CG68" s="28"/>
      <c r="CH68" s="28"/>
      <c r="CI68" s="65"/>
      <c r="CJ68" s="64">
        <f t="shared" ref="CJ68:CJ131" si="92">CF68+CG68-CH68-CI68</f>
        <v>0</v>
      </c>
      <c r="CK68" s="28"/>
      <c r="CL68" s="28"/>
      <c r="CM68" s="65"/>
      <c r="CN68" s="64">
        <f t="shared" ref="CN68:CN131" si="93">CJ68+CK68-CL68-CM68</f>
        <v>0</v>
      </c>
      <c r="CO68" s="28"/>
      <c r="CP68" s="28"/>
      <c r="CQ68" s="65"/>
      <c r="CR68" s="64">
        <f t="shared" ref="CR68:CR131" si="94">CN68+CO68-CP68-CQ68</f>
        <v>0</v>
      </c>
      <c r="CS68" s="28"/>
      <c r="CT68" s="28"/>
      <c r="CU68" s="65"/>
      <c r="CV68" s="64">
        <f t="shared" ref="CV68:CV131" si="95">CR68+CS68-CT68-CU68</f>
        <v>0</v>
      </c>
      <c r="CW68" s="28"/>
      <c r="CX68" s="28"/>
      <c r="CY68" s="65"/>
      <c r="CZ68" s="64">
        <f t="shared" ref="CZ68:CZ131" si="96">CV68+CW68-CX68-CY68</f>
        <v>0</v>
      </c>
      <c r="DA68" s="28"/>
      <c r="DB68" s="28"/>
      <c r="DC68" s="65"/>
      <c r="DD68" s="64">
        <f t="shared" ref="DD68:DD131" si="97">CZ68+DA68-DB68-DC68</f>
        <v>0</v>
      </c>
      <c r="DE68" s="28"/>
      <c r="DF68" s="28"/>
      <c r="DG68" s="65"/>
      <c r="DH68" s="64">
        <f t="shared" ref="DH68:DH131" si="98">DD68+DE68-DF68-DG68</f>
        <v>0</v>
      </c>
      <c r="DI68" s="28"/>
      <c r="DJ68" s="28"/>
      <c r="DK68" s="65"/>
      <c r="DL68" s="64">
        <f t="shared" ref="DL68:DL131" si="99">DH68+DI68-DJ68-DK68</f>
        <v>0</v>
      </c>
      <c r="DM68" s="28"/>
      <c r="DN68" s="28"/>
      <c r="DO68" s="65"/>
      <c r="DP68" s="64">
        <f t="shared" ref="DP68:DP131" si="100">DL68+DM68-DN68-DO68</f>
        <v>0</v>
      </c>
      <c r="DQ68" s="28"/>
      <c r="DR68" s="28"/>
      <c r="DS68" s="65"/>
      <c r="DT68" s="64">
        <f t="shared" ref="DT68:DT131" si="101">DP68+DQ68-DR68-DS68</f>
        <v>0</v>
      </c>
      <c r="DU68" s="28"/>
      <c r="DV68" s="28"/>
      <c r="DW68" s="65"/>
      <c r="DX68" s="30">
        <f t="shared" ref="DX68:DX131" si="102">DT68+DU68-DV68-DW68</f>
        <v>0</v>
      </c>
      <c r="DY68" s="31">
        <f t="shared" si="69"/>
        <v>0</v>
      </c>
      <c r="DZ68" s="31">
        <f t="shared" si="70"/>
        <v>0</v>
      </c>
      <c r="EA68" s="4">
        <f t="shared" si="71"/>
        <v>0</v>
      </c>
      <c r="EB68" s="9">
        <f>D68*'MASTER SHEET'!D68</f>
        <v>0</v>
      </c>
      <c r="EC68" s="9">
        <f>H68*'MASTER SHEET'!D68</f>
        <v>0</v>
      </c>
      <c r="ED68" s="9">
        <f>L68*'MASTER SHEET'!D68</f>
        <v>0</v>
      </c>
      <c r="EE68" s="9">
        <f>P68*'MASTER SHEET'!D68</f>
        <v>0</v>
      </c>
      <c r="EF68" s="9">
        <f>T68*'MASTER SHEET'!D68</f>
        <v>0</v>
      </c>
      <c r="EG68" s="9">
        <f>X68*'MASTER SHEET'!D68</f>
        <v>0</v>
      </c>
      <c r="EH68" s="9">
        <f>AB68*'MASTER SHEET'!D68</f>
        <v>0</v>
      </c>
      <c r="EI68" s="9">
        <f>AF68*'MASTER SHEET'!D68</f>
        <v>0</v>
      </c>
      <c r="EJ68" s="9">
        <f>AJ68*'MASTER SHEET'!D68</f>
        <v>0</v>
      </c>
      <c r="EK68" s="9">
        <f>AN68*'MASTER SHEET'!D68</f>
        <v>0</v>
      </c>
      <c r="EL68" s="9">
        <f>AR68*'MASTER SHEET'!D68</f>
        <v>0</v>
      </c>
      <c r="EM68" s="9">
        <f>AV68*'MASTER SHEET'!D68</f>
        <v>0</v>
      </c>
      <c r="EN68" s="9">
        <f>AZ68*'MASTER SHEET'!D68</f>
        <v>0</v>
      </c>
      <c r="EO68" s="9">
        <f>BD68*'MASTER SHEET'!D68</f>
        <v>0</v>
      </c>
      <c r="EP68" s="9">
        <f>BH68*'MASTER SHEET'!D68</f>
        <v>0</v>
      </c>
      <c r="EQ68" s="9">
        <f>BL68*'MASTER SHEET'!D68</f>
        <v>0</v>
      </c>
      <c r="ER68" s="9">
        <f>BP68*'MASTER SHEET'!D68</f>
        <v>0</v>
      </c>
      <c r="ES68" s="9">
        <f>BT68*'MASTER SHEET'!D68</f>
        <v>0</v>
      </c>
      <c r="ET68" s="9">
        <f>BX68*'MASTER SHEET'!D68</f>
        <v>0</v>
      </c>
      <c r="EU68" s="9">
        <f>CB68*'MASTER SHEET'!D68</f>
        <v>0</v>
      </c>
      <c r="EV68" s="9">
        <f>CF68*'MASTER SHEET'!D68</f>
        <v>0</v>
      </c>
      <c r="EW68" s="9">
        <f>CJ68*'MASTER SHEET'!D68</f>
        <v>0</v>
      </c>
      <c r="EX68" s="9">
        <f>CN68*'MASTER SHEET'!D68</f>
        <v>0</v>
      </c>
      <c r="EY68" s="9">
        <f>CV68*'MASTER SHEET'!D68</f>
        <v>0</v>
      </c>
      <c r="EZ68" s="9">
        <f>CV68*'MASTER SHEET'!D68</f>
        <v>0</v>
      </c>
      <c r="FA68" s="9">
        <f>CZ68*'MASTER SHEET'!D68</f>
        <v>0</v>
      </c>
      <c r="FB68" s="9">
        <f>DD68*'MASTER SHEET'!D68</f>
        <v>0</v>
      </c>
      <c r="FC68" s="9">
        <f>DH68*'MASTER SHEET'!D68</f>
        <v>0</v>
      </c>
      <c r="FD68" s="9">
        <f>DL68*'MASTER SHEET'!D68</f>
        <v>0</v>
      </c>
      <c r="FE68" s="9">
        <f>DP68*'MASTER SHEET'!D68</f>
        <v>0</v>
      </c>
      <c r="FF68" s="9">
        <f>DT68*'MASTER SHEET'!D68</f>
        <v>0</v>
      </c>
      <c r="FG68" s="9">
        <f>DX68*'MASTER SHEET'!D68</f>
        <v>0</v>
      </c>
    </row>
    <row r="69" spans="1:163" ht="20.25" x14ac:dyDescent="0.25">
      <c r="A69" s="43">
        <f>'MASTER SHEET'!A69</f>
        <v>67</v>
      </c>
      <c r="B69" s="26" t="str">
        <f>'MASTER SHEET'!B69</f>
        <v>BASE HOUSING</v>
      </c>
      <c r="C69" s="82">
        <f>'MASTER SHEET'!C69</f>
        <v>5034683</v>
      </c>
      <c r="D69" s="64"/>
      <c r="E69" s="28"/>
      <c r="F69" s="28"/>
      <c r="G69" s="65"/>
      <c r="H69" s="64">
        <f t="shared" si="72"/>
        <v>0</v>
      </c>
      <c r="I69" s="28"/>
      <c r="J69" s="28"/>
      <c r="K69" s="65"/>
      <c r="L69" s="64">
        <f t="shared" si="73"/>
        <v>0</v>
      </c>
      <c r="M69" s="28"/>
      <c r="N69" s="28"/>
      <c r="O69" s="65"/>
      <c r="P69" s="64">
        <f t="shared" si="74"/>
        <v>0</v>
      </c>
      <c r="Q69" s="28"/>
      <c r="R69" s="28"/>
      <c r="S69" s="65"/>
      <c r="T69" s="64">
        <f t="shared" si="75"/>
        <v>0</v>
      </c>
      <c r="U69" s="28"/>
      <c r="V69" s="28"/>
      <c r="W69" s="65"/>
      <c r="X69" s="64">
        <f t="shared" si="76"/>
        <v>0</v>
      </c>
      <c r="Y69" s="28"/>
      <c r="Z69" s="28"/>
      <c r="AA69" s="65"/>
      <c r="AB69" s="64">
        <f t="shared" si="77"/>
        <v>0</v>
      </c>
      <c r="AC69" s="28"/>
      <c r="AD69" s="28"/>
      <c r="AE69" s="65"/>
      <c r="AF69" s="64">
        <f t="shared" si="78"/>
        <v>0</v>
      </c>
      <c r="AG69" s="28"/>
      <c r="AH69" s="28"/>
      <c r="AI69" s="65"/>
      <c r="AJ69" s="64">
        <f t="shared" si="79"/>
        <v>0</v>
      </c>
      <c r="AK69" s="28"/>
      <c r="AL69" s="28"/>
      <c r="AM69" s="65"/>
      <c r="AN69" s="64">
        <f t="shared" si="80"/>
        <v>0</v>
      </c>
      <c r="AO69" s="28"/>
      <c r="AP69" s="28"/>
      <c r="AQ69" s="65"/>
      <c r="AR69" s="64">
        <f t="shared" si="81"/>
        <v>0</v>
      </c>
      <c r="AS69" s="28"/>
      <c r="AT69" s="28"/>
      <c r="AU69" s="65"/>
      <c r="AV69" s="64">
        <f t="shared" si="82"/>
        <v>0</v>
      </c>
      <c r="AW69" s="28"/>
      <c r="AX69" s="28"/>
      <c r="AY69" s="65"/>
      <c r="AZ69" s="64">
        <f t="shared" si="83"/>
        <v>0</v>
      </c>
      <c r="BA69" s="28"/>
      <c r="BB69" s="28"/>
      <c r="BC69" s="65"/>
      <c r="BD69" s="64">
        <f t="shared" si="84"/>
        <v>0</v>
      </c>
      <c r="BE69" s="28"/>
      <c r="BF69" s="28"/>
      <c r="BG69" s="65"/>
      <c r="BH69" s="64">
        <f t="shared" si="85"/>
        <v>0</v>
      </c>
      <c r="BI69" s="28"/>
      <c r="BJ69" s="28"/>
      <c r="BK69" s="65"/>
      <c r="BL69" s="64">
        <f t="shared" si="86"/>
        <v>0</v>
      </c>
      <c r="BM69" s="28"/>
      <c r="BN69" s="28"/>
      <c r="BO69" s="65"/>
      <c r="BP69" s="64">
        <f t="shared" si="87"/>
        <v>0</v>
      </c>
      <c r="BQ69" s="28"/>
      <c r="BR69" s="28"/>
      <c r="BS69" s="65"/>
      <c r="BT69" s="64">
        <f t="shared" si="88"/>
        <v>0</v>
      </c>
      <c r="BU69" s="28"/>
      <c r="BV69" s="28"/>
      <c r="BW69" s="65"/>
      <c r="BX69" s="64">
        <f t="shared" si="89"/>
        <v>0</v>
      </c>
      <c r="BY69" s="28"/>
      <c r="BZ69" s="28"/>
      <c r="CA69" s="65"/>
      <c r="CB69" s="64">
        <f t="shared" si="90"/>
        <v>0</v>
      </c>
      <c r="CC69" s="28"/>
      <c r="CD69" s="28"/>
      <c r="CE69" s="65"/>
      <c r="CF69" s="64">
        <f t="shared" si="91"/>
        <v>0</v>
      </c>
      <c r="CG69" s="28"/>
      <c r="CH69" s="28"/>
      <c r="CI69" s="65"/>
      <c r="CJ69" s="64">
        <f t="shared" si="92"/>
        <v>0</v>
      </c>
      <c r="CK69" s="28"/>
      <c r="CL69" s="28"/>
      <c r="CM69" s="65"/>
      <c r="CN69" s="64">
        <f t="shared" si="93"/>
        <v>0</v>
      </c>
      <c r="CO69" s="28"/>
      <c r="CP69" s="28"/>
      <c r="CQ69" s="65"/>
      <c r="CR69" s="64">
        <f t="shared" si="94"/>
        <v>0</v>
      </c>
      <c r="CS69" s="28"/>
      <c r="CT69" s="28"/>
      <c r="CU69" s="65"/>
      <c r="CV69" s="64">
        <f t="shared" si="95"/>
        <v>0</v>
      </c>
      <c r="CW69" s="28"/>
      <c r="CX69" s="28"/>
      <c r="CY69" s="65"/>
      <c r="CZ69" s="64">
        <f t="shared" si="96"/>
        <v>0</v>
      </c>
      <c r="DA69" s="28"/>
      <c r="DB69" s="28"/>
      <c r="DC69" s="65"/>
      <c r="DD69" s="64">
        <f t="shared" si="97"/>
        <v>0</v>
      </c>
      <c r="DE69" s="28"/>
      <c r="DF69" s="28"/>
      <c r="DG69" s="65"/>
      <c r="DH69" s="64">
        <f t="shared" si="98"/>
        <v>0</v>
      </c>
      <c r="DI69" s="28"/>
      <c r="DJ69" s="28"/>
      <c r="DK69" s="65"/>
      <c r="DL69" s="64">
        <f t="shared" si="99"/>
        <v>0</v>
      </c>
      <c r="DM69" s="28"/>
      <c r="DN69" s="28"/>
      <c r="DO69" s="65"/>
      <c r="DP69" s="64">
        <f t="shared" si="100"/>
        <v>0</v>
      </c>
      <c r="DQ69" s="28"/>
      <c r="DR69" s="28"/>
      <c r="DS69" s="65"/>
      <c r="DT69" s="64">
        <f t="shared" si="101"/>
        <v>0</v>
      </c>
      <c r="DU69" s="28"/>
      <c r="DV69" s="28"/>
      <c r="DW69" s="65"/>
      <c r="DX69" s="30">
        <f t="shared" si="102"/>
        <v>0</v>
      </c>
      <c r="DY69" s="31">
        <f t="shared" si="69"/>
        <v>0</v>
      </c>
      <c r="DZ69" s="31">
        <f t="shared" si="70"/>
        <v>0</v>
      </c>
      <c r="EA69" s="4">
        <f t="shared" si="71"/>
        <v>0</v>
      </c>
      <c r="EB69" s="9">
        <f>D69*'MASTER SHEET'!D69</f>
        <v>0</v>
      </c>
      <c r="EC69" s="9">
        <f>H69*'MASTER SHEET'!D69</f>
        <v>0</v>
      </c>
      <c r="ED69" s="9">
        <f>L69*'MASTER SHEET'!D69</f>
        <v>0</v>
      </c>
      <c r="EE69" s="9">
        <f>P69*'MASTER SHEET'!D69</f>
        <v>0</v>
      </c>
      <c r="EF69" s="9">
        <f>T69*'MASTER SHEET'!D69</f>
        <v>0</v>
      </c>
      <c r="EG69" s="9">
        <f>X69*'MASTER SHEET'!D69</f>
        <v>0</v>
      </c>
      <c r="EH69" s="9">
        <f>AB69*'MASTER SHEET'!D69</f>
        <v>0</v>
      </c>
      <c r="EI69" s="9">
        <f>AF69*'MASTER SHEET'!D69</f>
        <v>0</v>
      </c>
      <c r="EJ69" s="9">
        <f>AJ69*'MASTER SHEET'!D69</f>
        <v>0</v>
      </c>
      <c r="EK69" s="9">
        <f>AN69*'MASTER SHEET'!D69</f>
        <v>0</v>
      </c>
      <c r="EL69" s="9">
        <f>AR69*'MASTER SHEET'!D69</f>
        <v>0</v>
      </c>
      <c r="EM69" s="9">
        <f>AV69*'MASTER SHEET'!D69</f>
        <v>0</v>
      </c>
      <c r="EN69" s="9">
        <f>AZ69*'MASTER SHEET'!D69</f>
        <v>0</v>
      </c>
      <c r="EO69" s="9">
        <f>BD69*'MASTER SHEET'!D69</f>
        <v>0</v>
      </c>
      <c r="EP69" s="9">
        <f>BH69*'MASTER SHEET'!D69</f>
        <v>0</v>
      </c>
      <c r="EQ69" s="9">
        <f>BL69*'MASTER SHEET'!D69</f>
        <v>0</v>
      </c>
      <c r="ER69" s="9">
        <f>BP69*'MASTER SHEET'!D69</f>
        <v>0</v>
      </c>
      <c r="ES69" s="9">
        <f>BT69*'MASTER SHEET'!D69</f>
        <v>0</v>
      </c>
      <c r="ET69" s="9">
        <f>BX69*'MASTER SHEET'!D69</f>
        <v>0</v>
      </c>
      <c r="EU69" s="9">
        <f>CB69*'MASTER SHEET'!D69</f>
        <v>0</v>
      </c>
      <c r="EV69" s="9">
        <f>CF69*'MASTER SHEET'!D69</f>
        <v>0</v>
      </c>
      <c r="EW69" s="9">
        <f>CJ69*'MASTER SHEET'!D69</f>
        <v>0</v>
      </c>
      <c r="EX69" s="9">
        <f>CN69*'MASTER SHEET'!D69</f>
        <v>0</v>
      </c>
      <c r="EY69" s="9">
        <f>CV69*'MASTER SHEET'!D69</f>
        <v>0</v>
      </c>
      <c r="EZ69" s="9">
        <f>CV69*'MASTER SHEET'!D69</f>
        <v>0</v>
      </c>
      <c r="FA69" s="9">
        <f>CZ69*'MASTER SHEET'!D69</f>
        <v>0</v>
      </c>
      <c r="FB69" s="9">
        <f>DD69*'MASTER SHEET'!D69</f>
        <v>0</v>
      </c>
      <c r="FC69" s="9">
        <f>DH69*'MASTER SHEET'!D69</f>
        <v>0</v>
      </c>
      <c r="FD69" s="9">
        <f>DL69*'MASTER SHEET'!D69</f>
        <v>0</v>
      </c>
      <c r="FE69" s="9">
        <f>DP69*'MASTER SHEET'!D69</f>
        <v>0</v>
      </c>
      <c r="FF69" s="9">
        <f>DT69*'MASTER SHEET'!D69</f>
        <v>0</v>
      </c>
      <c r="FG69" s="9">
        <f>DX69*'MASTER SHEET'!D69</f>
        <v>0</v>
      </c>
    </row>
    <row r="70" spans="1:163" ht="20.25" x14ac:dyDescent="0.25">
      <c r="A70" s="43">
        <f>'MASTER SHEET'!A70</f>
        <v>68</v>
      </c>
      <c r="B70" s="26" t="str">
        <f>'MASTER SHEET'!B70</f>
        <v>SHELL PLASTIC</v>
      </c>
      <c r="C70" s="82">
        <f>'MASTER SHEET'!C70</f>
        <v>5035269</v>
      </c>
      <c r="D70" s="64"/>
      <c r="E70" s="28"/>
      <c r="F70" s="28"/>
      <c r="G70" s="65"/>
      <c r="H70" s="64">
        <f t="shared" si="72"/>
        <v>0</v>
      </c>
      <c r="I70" s="28"/>
      <c r="J70" s="28"/>
      <c r="K70" s="65"/>
      <c r="L70" s="64">
        <f t="shared" si="73"/>
        <v>0</v>
      </c>
      <c r="M70" s="28"/>
      <c r="N70" s="28"/>
      <c r="O70" s="65"/>
      <c r="P70" s="64">
        <f t="shared" si="74"/>
        <v>0</v>
      </c>
      <c r="Q70" s="28"/>
      <c r="R70" s="28"/>
      <c r="S70" s="65"/>
      <c r="T70" s="64">
        <f t="shared" si="75"/>
        <v>0</v>
      </c>
      <c r="U70" s="28"/>
      <c r="V70" s="28"/>
      <c r="W70" s="65"/>
      <c r="X70" s="64">
        <f t="shared" si="76"/>
        <v>0</v>
      </c>
      <c r="Y70" s="28"/>
      <c r="Z70" s="28"/>
      <c r="AA70" s="65"/>
      <c r="AB70" s="64">
        <f t="shared" si="77"/>
        <v>0</v>
      </c>
      <c r="AC70" s="28"/>
      <c r="AD70" s="28"/>
      <c r="AE70" s="65"/>
      <c r="AF70" s="64">
        <f t="shared" si="78"/>
        <v>0</v>
      </c>
      <c r="AG70" s="28"/>
      <c r="AH70" s="28"/>
      <c r="AI70" s="65"/>
      <c r="AJ70" s="64">
        <f t="shared" si="79"/>
        <v>0</v>
      </c>
      <c r="AK70" s="28"/>
      <c r="AL70" s="28"/>
      <c r="AM70" s="65"/>
      <c r="AN70" s="64">
        <f t="shared" si="80"/>
        <v>0</v>
      </c>
      <c r="AO70" s="28"/>
      <c r="AP70" s="28"/>
      <c r="AQ70" s="65"/>
      <c r="AR70" s="64">
        <f t="shared" si="81"/>
        <v>0</v>
      </c>
      <c r="AS70" s="28"/>
      <c r="AT70" s="28"/>
      <c r="AU70" s="65"/>
      <c r="AV70" s="64">
        <f t="shared" si="82"/>
        <v>0</v>
      </c>
      <c r="AW70" s="28"/>
      <c r="AX70" s="28"/>
      <c r="AY70" s="65"/>
      <c r="AZ70" s="64">
        <f t="shared" si="83"/>
        <v>0</v>
      </c>
      <c r="BA70" s="28"/>
      <c r="BB70" s="28"/>
      <c r="BC70" s="65"/>
      <c r="BD70" s="64">
        <f t="shared" si="84"/>
        <v>0</v>
      </c>
      <c r="BE70" s="28"/>
      <c r="BF70" s="28"/>
      <c r="BG70" s="65"/>
      <c r="BH70" s="64">
        <f t="shared" si="85"/>
        <v>0</v>
      </c>
      <c r="BI70" s="28"/>
      <c r="BJ70" s="28"/>
      <c r="BK70" s="65"/>
      <c r="BL70" s="64">
        <f t="shared" si="86"/>
        <v>0</v>
      </c>
      <c r="BM70" s="28"/>
      <c r="BN70" s="28"/>
      <c r="BO70" s="65"/>
      <c r="BP70" s="64">
        <f t="shared" si="87"/>
        <v>0</v>
      </c>
      <c r="BQ70" s="28"/>
      <c r="BR70" s="28"/>
      <c r="BS70" s="65"/>
      <c r="BT70" s="64">
        <f t="shared" si="88"/>
        <v>0</v>
      </c>
      <c r="BU70" s="28"/>
      <c r="BV70" s="28"/>
      <c r="BW70" s="65"/>
      <c r="BX70" s="64">
        <f t="shared" si="89"/>
        <v>0</v>
      </c>
      <c r="BY70" s="28"/>
      <c r="BZ70" s="28"/>
      <c r="CA70" s="65"/>
      <c r="CB70" s="64">
        <f t="shared" si="90"/>
        <v>0</v>
      </c>
      <c r="CC70" s="28"/>
      <c r="CD70" s="28"/>
      <c r="CE70" s="65"/>
      <c r="CF70" s="64">
        <f t="shared" si="91"/>
        <v>0</v>
      </c>
      <c r="CG70" s="28"/>
      <c r="CH70" s="28"/>
      <c r="CI70" s="65"/>
      <c r="CJ70" s="64">
        <f t="shared" si="92"/>
        <v>0</v>
      </c>
      <c r="CK70" s="28"/>
      <c r="CL70" s="28"/>
      <c r="CM70" s="65"/>
      <c r="CN70" s="64">
        <f t="shared" si="93"/>
        <v>0</v>
      </c>
      <c r="CO70" s="28"/>
      <c r="CP70" s="28"/>
      <c r="CQ70" s="65"/>
      <c r="CR70" s="64">
        <f t="shared" si="94"/>
        <v>0</v>
      </c>
      <c r="CS70" s="28"/>
      <c r="CT70" s="28"/>
      <c r="CU70" s="65"/>
      <c r="CV70" s="64">
        <f t="shared" si="95"/>
        <v>0</v>
      </c>
      <c r="CW70" s="28"/>
      <c r="CX70" s="28"/>
      <c r="CY70" s="65"/>
      <c r="CZ70" s="64">
        <f t="shared" si="96"/>
        <v>0</v>
      </c>
      <c r="DA70" s="28"/>
      <c r="DB70" s="28"/>
      <c r="DC70" s="65"/>
      <c r="DD70" s="64">
        <f t="shared" si="97"/>
        <v>0</v>
      </c>
      <c r="DE70" s="28"/>
      <c r="DF70" s="28"/>
      <c r="DG70" s="65"/>
      <c r="DH70" s="64">
        <f t="shared" si="98"/>
        <v>0</v>
      </c>
      <c r="DI70" s="28"/>
      <c r="DJ70" s="28"/>
      <c r="DK70" s="65"/>
      <c r="DL70" s="64">
        <f t="shared" si="99"/>
        <v>0</v>
      </c>
      <c r="DM70" s="28"/>
      <c r="DN70" s="28"/>
      <c r="DO70" s="65"/>
      <c r="DP70" s="64">
        <f t="shared" si="100"/>
        <v>0</v>
      </c>
      <c r="DQ70" s="28"/>
      <c r="DR70" s="28"/>
      <c r="DS70" s="65"/>
      <c r="DT70" s="64">
        <f t="shared" si="101"/>
        <v>0</v>
      </c>
      <c r="DU70" s="28"/>
      <c r="DV70" s="28"/>
      <c r="DW70" s="65"/>
      <c r="DX70" s="30">
        <f t="shared" si="102"/>
        <v>0</v>
      </c>
      <c r="DY70" s="31">
        <f t="shared" si="69"/>
        <v>0</v>
      </c>
      <c r="DZ70" s="31">
        <f t="shared" si="70"/>
        <v>0</v>
      </c>
      <c r="EA70" s="4">
        <f t="shared" si="71"/>
        <v>0</v>
      </c>
      <c r="EB70" s="9">
        <f>D70*'MASTER SHEET'!D70</f>
        <v>0</v>
      </c>
      <c r="EC70" s="9">
        <f>H70*'MASTER SHEET'!D70</f>
        <v>0</v>
      </c>
      <c r="ED70" s="9">
        <f>L70*'MASTER SHEET'!D70</f>
        <v>0</v>
      </c>
      <c r="EE70" s="9">
        <f>P70*'MASTER SHEET'!D70</f>
        <v>0</v>
      </c>
      <c r="EF70" s="9">
        <f>T70*'MASTER SHEET'!D70</f>
        <v>0</v>
      </c>
      <c r="EG70" s="9">
        <f>X70*'MASTER SHEET'!D70</f>
        <v>0</v>
      </c>
      <c r="EH70" s="9">
        <f>AB70*'MASTER SHEET'!D70</f>
        <v>0</v>
      </c>
      <c r="EI70" s="9">
        <f>AF70*'MASTER SHEET'!D70</f>
        <v>0</v>
      </c>
      <c r="EJ70" s="9">
        <f>AJ70*'MASTER SHEET'!D70</f>
        <v>0</v>
      </c>
      <c r="EK70" s="9">
        <f>AN70*'MASTER SHEET'!D70</f>
        <v>0</v>
      </c>
      <c r="EL70" s="9">
        <f>AR70*'MASTER SHEET'!D70</f>
        <v>0</v>
      </c>
      <c r="EM70" s="9">
        <f>AV70*'MASTER SHEET'!D70</f>
        <v>0</v>
      </c>
      <c r="EN70" s="9">
        <f>AZ70*'MASTER SHEET'!D70</f>
        <v>0</v>
      </c>
      <c r="EO70" s="9">
        <f>BD70*'MASTER SHEET'!D70</f>
        <v>0</v>
      </c>
      <c r="EP70" s="9">
        <f>BH70*'MASTER SHEET'!D70</f>
        <v>0</v>
      </c>
      <c r="EQ70" s="9">
        <f>BL70*'MASTER SHEET'!D70</f>
        <v>0</v>
      </c>
      <c r="ER70" s="9">
        <f>BP70*'MASTER SHEET'!D70</f>
        <v>0</v>
      </c>
      <c r="ES70" s="9">
        <f>BT70*'MASTER SHEET'!D70</f>
        <v>0</v>
      </c>
      <c r="ET70" s="9">
        <f>BX70*'MASTER SHEET'!D70</f>
        <v>0</v>
      </c>
      <c r="EU70" s="9">
        <f>CB70*'MASTER SHEET'!D70</f>
        <v>0</v>
      </c>
      <c r="EV70" s="9">
        <f>CF70*'MASTER SHEET'!D70</f>
        <v>0</v>
      </c>
      <c r="EW70" s="9">
        <f>CJ70*'MASTER SHEET'!D70</f>
        <v>0</v>
      </c>
      <c r="EX70" s="9">
        <f>CN70*'MASTER SHEET'!D70</f>
        <v>0</v>
      </c>
      <c r="EY70" s="9">
        <f>CV70*'MASTER SHEET'!D70</f>
        <v>0</v>
      </c>
      <c r="EZ70" s="9">
        <f>CV70*'MASTER SHEET'!D70</f>
        <v>0</v>
      </c>
      <c r="FA70" s="9">
        <f>CZ70*'MASTER SHEET'!D70</f>
        <v>0</v>
      </c>
      <c r="FB70" s="9">
        <f>DD70*'MASTER SHEET'!D70</f>
        <v>0</v>
      </c>
      <c r="FC70" s="9">
        <f>DH70*'MASTER SHEET'!D70</f>
        <v>0</v>
      </c>
      <c r="FD70" s="9">
        <f>DL70*'MASTER SHEET'!D70</f>
        <v>0</v>
      </c>
      <c r="FE70" s="9">
        <f>DP70*'MASTER SHEET'!D70</f>
        <v>0</v>
      </c>
      <c r="FF70" s="9">
        <f>DT70*'MASTER SHEET'!D70</f>
        <v>0</v>
      </c>
      <c r="FG70" s="9">
        <f>DX70*'MASTER SHEET'!D70</f>
        <v>0</v>
      </c>
    </row>
    <row r="71" spans="1:163" ht="20.25" x14ac:dyDescent="0.25">
      <c r="A71" s="43">
        <f>'MASTER SHEET'!A71</f>
        <v>69</v>
      </c>
      <c r="B71" s="26" t="str">
        <f>'MASTER SHEET'!B71</f>
        <v>LID, HOUSING CRANKCASE VENTILATION</v>
      </c>
      <c r="C71" s="82">
        <f>'MASTER SHEET'!C71</f>
        <v>5035729</v>
      </c>
      <c r="D71" s="64"/>
      <c r="E71" s="28"/>
      <c r="F71" s="28"/>
      <c r="G71" s="65"/>
      <c r="H71" s="64">
        <f t="shared" si="72"/>
        <v>0</v>
      </c>
      <c r="I71" s="28"/>
      <c r="J71" s="28"/>
      <c r="K71" s="65"/>
      <c r="L71" s="64">
        <f t="shared" si="73"/>
        <v>0</v>
      </c>
      <c r="M71" s="28"/>
      <c r="N71" s="28"/>
      <c r="O71" s="65"/>
      <c r="P71" s="64">
        <f t="shared" si="74"/>
        <v>0</v>
      </c>
      <c r="Q71" s="28"/>
      <c r="R71" s="28"/>
      <c r="S71" s="65"/>
      <c r="T71" s="64">
        <f t="shared" si="75"/>
        <v>0</v>
      </c>
      <c r="U71" s="28"/>
      <c r="V71" s="28"/>
      <c r="W71" s="65"/>
      <c r="X71" s="64">
        <f t="shared" si="76"/>
        <v>0</v>
      </c>
      <c r="Y71" s="28"/>
      <c r="Z71" s="28"/>
      <c r="AA71" s="65"/>
      <c r="AB71" s="64">
        <f t="shared" si="77"/>
        <v>0</v>
      </c>
      <c r="AC71" s="28"/>
      <c r="AD71" s="28"/>
      <c r="AE71" s="65"/>
      <c r="AF71" s="64">
        <f t="shared" si="78"/>
        <v>0</v>
      </c>
      <c r="AG71" s="28"/>
      <c r="AH71" s="28"/>
      <c r="AI71" s="65"/>
      <c r="AJ71" s="64">
        <f t="shared" si="79"/>
        <v>0</v>
      </c>
      <c r="AK71" s="28"/>
      <c r="AL71" s="28"/>
      <c r="AM71" s="65"/>
      <c r="AN71" s="64">
        <f t="shared" si="80"/>
        <v>0</v>
      </c>
      <c r="AO71" s="28"/>
      <c r="AP71" s="28"/>
      <c r="AQ71" s="65"/>
      <c r="AR71" s="64">
        <f t="shared" si="81"/>
        <v>0</v>
      </c>
      <c r="AS71" s="28"/>
      <c r="AT71" s="28"/>
      <c r="AU71" s="65"/>
      <c r="AV71" s="64">
        <f t="shared" si="82"/>
        <v>0</v>
      </c>
      <c r="AW71" s="28"/>
      <c r="AX71" s="28"/>
      <c r="AY71" s="65"/>
      <c r="AZ71" s="64">
        <f t="shared" si="83"/>
        <v>0</v>
      </c>
      <c r="BA71" s="28"/>
      <c r="BB71" s="28"/>
      <c r="BC71" s="65"/>
      <c r="BD71" s="64">
        <f t="shared" si="84"/>
        <v>0</v>
      </c>
      <c r="BE71" s="28"/>
      <c r="BF71" s="28"/>
      <c r="BG71" s="65"/>
      <c r="BH71" s="64">
        <f t="shared" si="85"/>
        <v>0</v>
      </c>
      <c r="BI71" s="28"/>
      <c r="BJ71" s="28"/>
      <c r="BK71" s="65"/>
      <c r="BL71" s="64">
        <f t="shared" si="86"/>
        <v>0</v>
      </c>
      <c r="BM71" s="28"/>
      <c r="BN71" s="28"/>
      <c r="BO71" s="65"/>
      <c r="BP71" s="64">
        <f t="shared" si="87"/>
        <v>0</v>
      </c>
      <c r="BQ71" s="28"/>
      <c r="BR71" s="28"/>
      <c r="BS71" s="65"/>
      <c r="BT71" s="64">
        <f t="shared" si="88"/>
        <v>0</v>
      </c>
      <c r="BU71" s="28"/>
      <c r="BV71" s="28"/>
      <c r="BW71" s="65"/>
      <c r="BX71" s="64">
        <f t="shared" si="89"/>
        <v>0</v>
      </c>
      <c r="BY71" s="28"/>
      <c r="BZ71" s="28"/>
      <c r="CA71" s="65"/>
      <c r="CB71" s="64">
        <f t="shared" si="90"/>
        <v>0</v>
      </c>
      <c r="CC71" s="28"/>
      <c r="CD71" s="28"/>
      <c r="CE71" s="65"/>
      <c r="CF71" s="64">
        <f t="shared" si="91"/>
        <v>0</v>
      </c>
      <c r="CG71" s="28"/>
      <c r="CH71" s="28"/>
      <c r="CI71" s="65"/>
      <c r="CJ71" s="64">
        <f t="shared" si="92"/>
        <v>0</v>
      </c>
      <c r="CK71" s="28"/>
      <c r="CL71" s="28"/>
      <c r="CM71" s="65"/>
      <c r="CN71" s="64">
        <f t="shared" si="93"/>
        <v>0</v>
      </c>
      <c r="CO71" s="28"/>
      <c r="CP71" s="28"/>
      <c r="CQ71" s="65"/>
      <c r="CR71" s="64">
        <f t="shared" si="94"/>
        <v>0</v>
      </c>
      <c r="CS71" s="28"/>
      <c r="CT71" s="28"/>
      <c r="CU71" s="65"/>
      <c r="CV71" s="64">
        <f t="shared" si="95"/>
        <v>0</v>
      </c>
      <c r="CW71" s="28"/>
      <c r="CX71" s="28"/>
      <c r="CY71" s="65"/>
      <c r="CZ71" s="64">
        <f t="shared" si="96"/>
        <v>0</v>
      </c>
      <c r="DA71" s="28"/>
      <c r="DB71" s="28"/>
      <c r="DC71" s="65"/>
      <c r="DD71" s="64">
        <f t="shared" si="97"/>
        <v>0</v>
      </c>
      <c r="DE71" s="28"/>
      <c r="DF71" s="28"/>
      <c r="DG71" s="65"/>
      <c r="DH71" s="64">
        <f t="shared" si="98"/>
        <v>0</v>
      </c>
      <c r="DI71" s="28"/>
      <c r="DJ71" s="28"/>
      <c r="DK71" s="65"/>
      <c r="DL71" s="64">
        <f t="shared" si="99"/>
        <v>0</v>
      </c>
      <c r="DM71" s="28"/>
      <c r="DN71" s="28"/>
      <c r="DO71" s="65"/>
      <c r="DP71" s="64">
        <f t="shared" si="100"/>
        <v>0</v>
      </c>
      <c r="DQ71" s="28"/>
      <c r="DR71" s="28"/>
      <c r="DS71" s="65"/>
      <c r="DT71" s="64">
        <f t="shared" si="101"/>
        <v>0</v>
      </c>
      <c r="DU71" s="28"/>
      <c r="DV71" s="28"/>
      <c r="DW71" s="65"/>
      <c r="DX71" s="30">
        <f t="shared" si="102"/>
        <v>0</v>
      </c>
      <c r="DY71" s="31">
        <f t="shared" si="69"/>
        <v>0</v>
      </c>
      <c r="DZ71" s="31">
        <f t="shared" si="70"/>
        <v>0</v>
      </c>
      <c r="EA71" s="4">
        <f t="shared" si="71"/>
        <v>0</v>
      </c>
      <c r="EB71" s="9">
        <f>D71*'MASTER SHEET'!D71</f>
        <v>0</v>
      </c>
      <c r="EC71" s="9">
        <f>H71*'MASTER SHEET'!D71</f>
        <v>0</v>
      </c>
      <c r="ED71" s="9">
        <f>L71*'MASTER SHEET'!D71</f>
        <v>0</v>
      </c>
      <c r="EE71" s="9">
        <f>P71*'MASTER SHEET'!D71</f>
        <v>0</v>
      </c>
      <c r="EF71" s="9">
        <f>T71*'MASTER SHEET'!D71</f>
        <v>0</v>
      </c>
      <c r="EG71" s="9">
        <f>X71*'MASTER SHEET'!D71</f>
        <v>0</v>
      </c>
      <c r="EH71" s="9">
        <f>AB71*'MASTER SHEET'!D71</f>
        <v>0</v>
      </c>
      <c r="EI71" s="9">
        <f>AF71*'MASTER SHEET'!D71</f>
        <v>0</v>
      </c>
      <c r="EJ71" s="9">
        <f>AJ71*'MASTER SHEET'!D71</f>
        <v>0</v>
      </c>
      <c r="EK71" s="9">
        <f>AN71*'MASTER SHEET'!D71</f>
        <v>0</v>
      </c>
      <c r="EL71" s="9">
        <f>AR71*'MASTER SHEET'!D71</f>
        <v>0</v>
      </c>
      <c r="EM71" s="9">
        <f>AV71*'MASTER SHEET'!D71</f>
        <v>0</v>
      </c>
      <c r="EN71" s="9">
        <f>AZ71*'MASTER SHEET'!D71</f>
        <v>0</v>
      </c>
      <c r="EO71" s="9">
        <f>BD71*'MASTER SHEET'!D71</f>
        <v>0</v>
      </c>
      <c r="EP71" s="9">
        <f>BH71*'MASTER SHEET'!D71</f>
        <v>0</v>
      </c>
      <c r="EQ71" s="9">
        <f>BL71*'MASTER SHEET'!D71</f>
        <v>0</v>
      </c>
      <c r="ER71" s="9">
        <f>BP71*'MASTER SHEET'!D71</f>
        <v>0</v>
      </c>
      <c r="ES71" s="9">
        <f>BT71*'MASTER SHEET'!D71</f>
        <v>0</v>
      </c>
      <c r="ET71" s="9">
        <f>BX71*'MASTER SHEET'!D71</f>
        <v>0</v>
      </c>
      <c r="EU71" s="9">
        <f>CB71*'MASTER SHEET'!D71</f>
        <v>0</v>
      </c>
      <c r="EV71" s="9">
        <f>CF71*'MASTER SHEET'!D71</f>
        <v>0</v>
      </c>
      <c r="EW71" s="9">
        <f>CJ71*'MASTER SHEET'!D71</f>
        <v>0</v>
      </c>
      <c r="EX71" s="9">
        <f>CN71*'MASTER SHEET'!D71</f>
        <v>0</v>
      </c>
      <c r="EY71" s="9">
        <f>CV71*'MASTER SHEET'!D71</f>
        <v>0</v>
      </c>
      <c r="EZ71" s="9">
        <f>CV71*'MASTER SHEET'!D71</f>
        <v>0</v>
      </c>
      <c r="FA71" s="9">
        <f>CZ71*'MASTER SHEET'!D71</f>
        <v>0</v>
      </c>
      <c r="FB71" s="9">
        <f>DD71*'MASTER SHEET'!D71</f>
        <v>0</v>
      </c>
      <c r="FC71" s="9">
        <f>DH71*'MASTER SHEET'!D71</f>
        <v>0</v>
      </c>
      <c r="FD71" s="9">
        <f>DL71*'MASTER SHEET'!D71</f>
        <v>0</v>
      </c>
      <c r="FE71" s="9">
        <f>DP71*'MASTER SHEET'!D71</f>
        <v>0</v>
      </c>
      <c r="FF71" s="9">
        <f>DT71*'MASTER SHEET'!D71</f>
        <v>0</v>
      </c>
      <c r="FG71" s="9">
        <f>DX71*'MASTER SHEET'!D71</f>
        <v>0</v>
      </c>
    </row>
    <row r="72" spans="1:163" ht="20.25" x14ac:dyDescent="0.25">
      <c r="A72" s="43">
        <f>'MASTER SHEET'!A72</f>
        <v>70</v>
      </c>
      <c r="B72" s="26" t="str">
        <f>'MASTER SHEET'!B72</f>
        <v>HYDROPHOBIC SCREEN</v>
      </c>
      <c r="C72" s="82">
        <f>'MASTER SHEET'!C72</f>
        <v>5037987</v>
      </c>
      <c r="D72" s="64"/>
      <c r="E72" s="28"/>
      <c r="F72" s="28"/>
      <c r="G72" s="65"/>
      <c r="H72" s="64">
        <f t="shared" si="72"/>
        <v>0</v>
      </c>
      <c r="I72" s="28"/>
      <c r="J72" s="28"/>
      <c r="K72" s="65"/>
      <c r="L72" s="64">
        <f t="shared" si="73"/>
        <v>0</v>
      </c>
      <c r="M72" s="28"/>
      <c r="N72" s="28"/>
      <c r="O72" s="65"/>
      <c r="P72" s="64">
        <f t="shared" si="74"/>
        <v>0</v>
      </c>
      <c r="Q72" s="28"/>
      <c r="R72" s="28"/>
      <c r="S72" s="65"/>
      <c r="T72" s="64">
        <f t="shared" si="75"/>
        <v>0</v>
      </c>
      <c r="U72" s="28"/>
      <c r="V72" s="28"/>
      <c r="W72" s="65"/>
      <c r="X72" s="64">
        <f t="shared" si="76"/>
        <v>0</v>
      </c>
      <c r="Y72" s="28"/>
      <c r="Z72" s="28"/>
      <c r="AA72" s="65"/>
      <c r="AB72" s="64">
        <f t="shared" si="77"/>
        <v>0</v>
      </c>
      <c r="AC72" s="28"/>
      <c r="AD72" s="28"/>
      <c r="AE72" s="65"/>
      <c r="AF72" s="64">
        <f t="shared" si="78"/>
        <v>0</v>
      </c>
      <c r="AG72" s="28"/>
      <c r="AH72" s="28"/>
      <c r="AI72" s="65"/>
      <c r="AJ72" s="64">
        <f t="shared" si="79"/>
        <v>0</v>
      </c>
      <c r="AK72" s="28"/>
      <c r="AL72" s="28"/>
      <c r="AM72" s="65"/>
      <c r="AN72" s="64">
        <f t="shared" si="80"/>
        <v>0</v>
      </c>
      <c r="AO72" s="28"/>
      <c r="AP72" s="28"/>
      <c r="AQ72" s="65"/>
      <c r="AR72" s="64">
        <f t="shared" si="81"/>
        <v>0</v>
      </c>
      <c r="AS72" s="28"/>
      <c r="AT72" s="28"/>
      <c r="AU72" s="65"/>
      <c r="AV72" s="64">
        <f t="shared" si="82"/>
        <v>0</v>
      </c>
      <c r="AW72" s="28"/>
      <c r="AX72" s="28"/>
      <c r="AY72" s="65"/>
      <c r="AZ72" s="64">
        <f t="shared" si="83"/>
        <v>0</v>
      </c>
      <c r="BA72" s="28"/>
      <c r="BB72" s="28"/>
      <c r="BC72" s="65"/>
      <c r="BD72" s="64">
        <f t="shared" si="84"/>
        <v>0</v>
      </c>
      <c r="BE72" s="28"/>
      <c r="BF72" s="28"/>
      <c r="BG72" s="65"/>
      <c r="BH72" s="64">
        <f t="shared" si="85"/>
        <v>0</v>
      </c>
      <c r="BI72" s="28"/>
      <c r="BJ72" s="28"/>
      <c r="BK72" s="65"/>
      <c r="BL72" s="64">
        <f t="shared" si="86"/>
        <v>0</v>
      </c>
      <c r="BM72" s="28"/>
      <c r="BN72" s="28"/>
      <c r="BO72" s="65"/>
      <c r="BP72" s="64">
        <f t="shared" si="87"/>
        <v>0</v>
      </c>
      <c r="BQ72" s="28"/>
      <c r="BR72" s="28"/>
      <c r="BS72" s="65"/>
      <c r="BT72" s="64">
        <f t="shared" si="88"/>
        <v>0</v>
      </c>
      <c r="BU72" s="28"/>
      <c r="BV72" s="28"/>
      <c r="BW72" s="65"/>
      <c r="BX72" s="64">
        <f t="shared" si="89"/>
        <v>0</v>
      </c>
      <c r="BY72" s="28"/>
      <c r="BZ72" s="28"/>
      <c r="CA72" s="65"/>
      <c r="CB72" s="64">
        <f t="shared" si="90"/>
        <v>0</v>
      </c>
      <c r="CC72" s="28"/>
      <c r="CD72" s="28"/>
      <c r="CE72" s="65"/>
      <c r="CF72" s="64">
        <f t="shared" si="91"/>
        <v>0</v>
      </c>
      <c r="CG72" s="28"/>
      <c r="CH72" s="28"/>
      <c r="CI72" s="65"/>
      <c r="CJ72" s="64">
        <f t="shared" si="92"/>
        <v>0</v>
      </c>
      <c r="CK72" s="28"/>
      <c r="CL72" s="28"/>
      <c r="CM72" s="65"/>
      <c r="CN72" s="64">
        <f t="shared" si="93"/>
        <v>0</v>
      </c>
      <c r="CO72" s="28"/>
      <c r="CP72" s="28"/>
      <c r="CQ72" s="65"/>
      <c r="CR72" s="64">
        <f t="shared" si="94"/>
        <v>0</v>
      </c>
      <c r="CS72" s="28"/>
      <c r="CT72" s="28"/>
      <c r="CU72" s="65"/>
      <c r="CV72" s="64">
        <f t="shared" si="95"/>
        <v>0</v>
      </c>
      <c r="CW72" s="28"/>
      <c r="CX72" s="28"/>
      <c r="CY72" s="65"/>
      <c r="CZ72" s="64">
        <f t="shared" si="96"/>
        <v>0</v>
      </c>
      <c r="DA72" s="28"/>
      <c r="DB72" s="28"/>
      <c r="DC72" s="65"/>
      <c r="DD72" s="64">
        <f t="shared" si="97"/>
        <v>0</v>
      </c>
      <c r="DE72" s="28"/>
      <c r="DF72" s="28"/>
      <c r="DG72" s="65"/>
      <c r="DH72" s="64">
        <f t="shared" si="98"/>
        <v>0</v>
      </c>
      <c r="DI72" s="28"/>
      <c r="DJ72" s="28"/>
      <c r="DK72" s="65"/>
      <c r="DL72" s="64">
        <f t="shared" si="99"/>
        <v>0</v>
      </c>
      <c r="DM72" s="28"/>
      <c r="DN72" s="28"/>
      <c r="DO72" s="65"/>
      <c r="DP72" s="64">
        <f t="shared" si="100"/>
        <v>0</v>
      </c>
      <c r="DQ72" s="28"/>
      <c r="DR72" s="28"/>
      <c r="DS72" s="65"/>
      <c r="DT72" s="64">
        <f t="shared" si="101"/>
        <v>0</v>
      </c>
      <c r="DU72" s="28"/>
      <c r="DV72" s="28"/>
      <c r="DW72" s="65"/>
      <c r="DX72" s="30">
        <f t="shared" si="102"/>
        <v>0</v>
      </c>
      <c r="DY72" s="31">
        <f t="shared" si="69"/>
        <v>0</v>
      </c>
      <c r="DZ72" s="31">
        <f t="shared" si="70"/>
        <v>0</v>
      </c>
      <c r="EA72" s="4">
        <f t="shared" si="71"/>
        <v>0</v>
      </c>
      <c r="EB72" s="9">
        <f>D72*'MASTER SHEET'!D72</f>
        <v>0</v>
      </c>
      <c r="EC72" s="9">
        <f>H72*'MASTER SHEET'!D72</f>
        <v>0</v>
      </c>
      <c r="ED72" s="9">
        <f>L72*'MASTER SHEET'!D72</f>
        <v>0</v>
      </c>
      <c r="EE72" s="9">
        <f>P72*'MASTER SHEET'!D72</f>
        <v>0</v>
      </c>
      <c r="EF72" s="9">
        <f>T72*'MASTER SHEET'!D72</f>
        <v>0</v>
      </c>
      <c r="EG72" s="9">
        <f>X72*'MASTER SHEET'!D72</f>
        <v>0</v>
      </c>
      <c r="EH72" s="9">
        <f>AB72*'MASTER SHEET'!D72</f>
        <v>0</v>
      </c>
      <c r="EI72" s="9">
        <f>AF72*'MASTER SHEET'!D72</f>
        <v>0</v>
      </c>
      <c r="EJ72" s="9">
        <f>AJ72*'MASTER SHEET'!D72</f>
        <v>0</v>
      </c>
      <c r="EK72" s="9">
        <f>AN72*'MASTER SHEET'!D72</f>
        <v>0</v>
      </c>
      <c r="EL72" s="9">
        <f>AR72*'MASTER SHEET'!D72</f>
        <v>0</v>
      </c>
      <c r="EM72" s="9">
        <f>AV72*'MASTER SHEET'!D72</f>
        <v>0</v>
      </c>
      <c r="EN72" s="9">
        <f>AZ72*'MASTER SHEET'!D72</f>
        <v>0</v>
      </c>
      <c r="EO72" s="9">
        <f>BD72*'MASTER SHEET'!D72</f>
        <v>0</v>
      </c>
      <c r="EP72" s="9">
        <f>BH72*'MASTER SHEET'!D72</f>
        <v>0</v>
      </c>
      <c r="EQ72" s="9">
        <f>BL72*'MASTER SHEET'!D72</f>
        <v>0</v>
      </c>
      <c r="ER72" s="9">
        <f>BP72*'MASTER SHEET'!D72</f>
        <v>0</v>
      </c>
      <c r="ES72" s="9">
        <f>BT72*'MASTER SHEET'!D72</f>
        <v>0</v>
      </c>
      <c r="ET72" s="9">
        <f>BX72*'MASTER SHEET'!D72</f>
        <v>0</v>
      </c>
      <c r="EU72" s="9">
        <f>CB72*'MASTER SHEET'!D72</f>
        <v>0</v>
      </c>
      <c r="EV72" s="9">
        <f>CF72*'MASTER SHEET'!D72</f>
        <v>0</v>
      </c>
      <c r="EW72" s="9">
        <f>CJ72*'MASTER SHEET'!D72</f>
        <v>0</v>
      </c>
      <c r="EX72" s="9">
        <f>CN72*'MASTER SHEET'!D72</f>
        <v>0</v>
      </c>
      <c r="EY72" s="9">
        <f>CV72*'MASTER SHEET'!D72</f>
        <v>0</v>
      </c>
      <c r="EZ72" s="9">
        <f>CV72*'MASTER SHEET'!D72</f>
        <v>0</v>
      </c>
      <c r="FA72" s="9">
        <f>CZ72*'MASTER SHEET'!D72</f>
        <v>0</v>
      </c>
      <c r="FB72" s="9">
        <f>DD72*'MASTER SHEET'!D72</f>
        <v>0</v>
      </c>
      <c r="FC72" s="9">
        <f>DH72*'MASTER SHEET'!D72</f>
        <v>0</v>
      </c>
      <c r="FD72" s="9">
        <f>DL72*'MASTER SHEET'!D72</f>
        <v>0</v>
      </c>
      <c r="FE72" s="9">
        <f>DP72*'MASTER SHEET'!D72</f>
        <v>0</v>
      </c>
      <c r="FF72" s="9">
        <f>DT72*'MASTER SHEET'!D72</f>
        <v>0</v>
      </c>
      <c r="FG72" s="9">
        <f>DX72*'MASTER SHEET'!D72</f>
        <v>0</v>
      </c>
    </row>
    <row r="73" spans="1:163" ht="20.25" x14ac:dyDescent="0.25">
      <c r="A73" s="43">
        <f>'MASTER SHEET'!A73</f>
        <v>71</v>
      </c>
      <c r="B73" s="26" t="str">
        <f>'MASTER SHEET'!B73</f>
        <v>CENTERTUBE</v>
      </c>
      <c r="C73" s="82">
        <f>'MASTER SHEET'!C73</f>
        <v>5038940</v>
      </c>
      <c r="D73" s="64"/>
      <c r="E73" s="28"/>
      <c r="F73" s="28"/>
      <c r="G73" s="65"/>
      <c r="H73" s="64">
        <f t="shared" si="72"/>
        <v>0</v>
      </c>
      <c r="I73" s="28"/>
      <c r="J73" s="28"/>
      <c r="K73" s="65"/>
      <c r="L73" s="64">
        <f t="shared" si="73"/>
        <v>0</v>
      </c>
      <c r="M73" s="28"/>
      <c r="N73" s="28"/>
      <c r="O73" s="65"/>
      <c r="P73" s="64">
        <f t="shared" si="74"/>
        <v>0</v>
      </c>
      <c r="Q73" s="28"/>
      <c r="R73" s="28"/>
      <c r="S73" s="65"/>
      <c r="T73" s="64">
        <f t="shared" si="75"/>
        <v>0</v>
      </c>
      <c r="U73" s="28"/>
      <c r="V73" s="28"/>
      <c r="W73" s="65"/>
      <c r="X73" s="64">
        <f t="shared" si="76"/>
        <v>0</v>
      </c>
      <c r="Y73" s="28">
        <v>3840</v>
      </c>
      <c r="Z73" s="28">
        <v>3840</v>
      </c>
      <c r="AA73" s="65"/>
      <c r="AB73" s="64">
        <f t="shared" si="77"/>
        <v>0</v>
      </c>
      <c r="AC73" s="28"/>
      <c r="AD73" s="28"/>
      <c r="AE73" s="65"/>
      <c r="AF73" s="64">
        <f t="shared" si="78"/>
        <v>0</v>
      </c>
      <c r="AG73" s="28"/>
      <c r="AH73" s="28"/>
      <c r="AI73" s="65"/>
      <c r="AJ73" s="64">
        <f t="shared" si="79"/>
        <v>0</v>
      </c>
      <c r="AK73" s="28"/>
      <c r="AL73" s="28"/>
      <c r="AM73" s="65"/>
      <c r="AN73" s="64">
        <f t="shared" si="80"/>
        <v>0</v>
      </c>
      <c r="AO73" s="28"/>
      <c r="AP73" s="28"/>
      <c r="AQ73" s="65"/>
      <c r="AR73" s="64">
        <f t="shared" si="81"/>
        <v>0</v>
      </c>
      <c r="AS73" s="28"/>
      <c r="AT73" s="28"/>
      <c r="AU73" s="65"/>
      <c r="AV73" s="64">
        <f t="shared" si="82"/>
        <v>0</v>
      </c>
      <c r="AW73" s="28"/>
      <c r="AX73" s="28"/>
      <c r="AY73" s="65"/>
      <c r="AZ73" s="64">
        <f t="shared" si="83"/>
        <v>0</v>
      </c>
      <c r="BA73" s="28"/>
      <c r="BB73" s="28"/>
      <c r="BC73" s="65"/>
      <c r="BD73" s="64">
        <f t="shared" si="84"/>
        <v>0</v>
      </c>
      <c r="BE73" s="28"/>
      <c r="BF73" s="28"/>
      <c r="BG73" s="65"/>
      <c r="BH73" s="64">
        <f t="shared" si="85"/>
        <v>0</v>
      </c>
      <c r="BI73" s="28"/>
      <c r="BJ73" s="28"/>
      <c r="BK73" s="65"/>
      <c r="BL73" s="64">
        <f t="shared" si="86"/>
        <v>0</v>
      </c>
      <c r="BM73" s="28"/>
      <c r="BN73" s="28"/>
      <c r="BO73" s="65"/>
      <c r="BP73" s="64">
        <f t="shared" si="87"/>
        <v>0</v>
      </c>
      <c r="BQ73" s="28">
        <v>1600</v>
      </c>
      <c r="BR73" s="28">
        <v>1600</v>
      </c>
      <c r="BS73" s="65"/>
      <c r="BT73" s="64">
        <f t="shared" si="88"/>
        <v>0</v>
      </c>
      <c r="BU73" s="28">
        <v>1000</v>
      </c>
      <c r="BV73" s="28">
        <v>1000</v>
      </c>
      <c r="BW73" s="65"/>
      <c r="BX73" s="64">
        <f t="shared" si="89"/>
        <v>0</v>
      </c>
      <c r="BY73" s="28"/>
      <c r="BZ73" s="28"/>
      <c r="CA73" s="65"/>
      <c r="CB73" s="64">
        <f t="shared" si="90"/>
        <v>0</v>
      </c>
      <c r="CC73" s="28">
        <v>2000</v>
      </c>
      <c r="CD73" s="28">
        <v>2000</v>
      </c>
      <c r="CE73" s="65"/>
      <c r="CF73" s="64">
        <f t="shared" si="91"/>
        <v>0</v>
      </c>
      <c r="CG73" s="28">
        <v>1600</v>
      </c>
      <c r="CH73" s="28">
        <v>1600</v>
      </c>
      <c r="CI73" s="65"/>
      <c r="CJ73" s="64">
        <f t="shared" si="92"/>
        <v>0</v>
      </c>
      <c r="CK73" s="28"/>
      <c r="CL73" s="28"/>
      <c r="CM73" s="65"/>
      <c r="CN73" s="64">
        <f t="shared" si="93"/>
        <v>0</v>
      </c>
      <c r="CO73" s="28"/>
      <c r="CP73" s="28"/>
      <c r="CQ73" s="65"/>
      <c r="CR73" s="64">
        <f t="shared" si="94"/>
        <v>0</v>
      </c>
      <c r="CS73" s="28">
        <v>800</v>
      </c>
      <c r="CT73" s="28">
        <v>800</v>
      </c>
      <c r="CU73" s="65"/>
      <c r="CV73" s="64">
        <f t="shared" si="95"/>
        <v>0</v>
      </c>
      <c r="CW73" s="28"/>
      <c r="CX73" s="28"/>
      <c r="CY73" s="65"/>
      <c r="CZ73" s="64">
        <f t="shared" si="96"/>
        <v>0</v>
      </c>
      <c r="DA73" s="28"/>
      <c r="DB73" s="28"/>
      <c r="DC73" s="65"/>
      <c r="DD73" s="64">
        <f t="shared" si="97"/>
        <v>0</v>
      </c>
      <c r="DE73" s="28"/>
      <c r="DF73" s="28"/>
      <c r="DG73" s="65"/>
      <c r="DH73" s="64">
        <f t="shared" si="98"/>
        <v>0</v>
      </c>
      <c r="DI73" s="28"/>
      <c r="DJ73" s="28"/>
      <c r="DK73" s="65"/>
      <c r="DL73" s="64">
        <f t="shared" si="99"/>
        <v>0</v>
      </c>
      <c r="DM73" s="28"/>
      <c r="DN73" s="28"/>
      <c r="DO73" s="65"/>
      <c r="DP73" s="64">
        <f t="shared" si="100"/>
        <v>0</v>
      </c>
      <c r="DQ73" s="28"/>
      <c r="DR73" s="28"/>
      <c r="DS73" s="65"/>
      <c r="DT73" s="64">
        <f t="shared" si="101"/>
        <v>0</v>
      </c>
      <c r="DU73" s="28"/>
      <c r="DV73" s="28"/>
      <c r="DW73" s="65"/>
      <c r="DX73" s="30">
        <f t="shared" si="102"/>
        <v>0</v>
      </c>
      <c r="DY73" s="31">
        <f t="shared" si="69"/>
        <v>10840</v>
      </c>
      <c r="DZ73" s="31">
        <f t="shared" si="70"/>
        <v>10840</v>
      </c>
      <c r="EA73" s="4">
        <f t="shared" si="71"/>
        <v>0</v>
      </c>
      <c r="EB73" s="9">
        <f>D73*'MASTER SHEET'!D73</f>
        <v>0</v>
      </c>
      <c r="EC73" s="9">
        <f>H73*'MASTER SHEET'!D73</f>
        <v>0</v>
      </c>
      <c r="ED73" s="9">
        <f>L73*'MASTER SHEET'!D73</f>
        <v>0</v>
      </c>
      <c r="EE73" s="9">
        <f>P73*'MASTER SHEET'!D73</f>
        <v>0</v>
      </c>
      <c r="EF73" s="9">
        <f>T73*'MASTER SHEET'!D73</f>
        <v>0</v>
      </c>
      <c r="EG73" s="9">
        <f>X73*'MASTER SHEET'!D73</f>
        <v>0</v>
      </c>
      <c r="EH73" s="9">
        <f>AB73*'MASTER SHEET'!D73</f>
        <v>0</v>
      </c>
      <c r="EI73" s="9">
        <f>AF73*'MASTER SHEET'!D73</f>
        <v>0</v>
      </c>
      <c r="EJ73" s="9">
        <f>AJ73*'MASTER SHEET'!D73</f>
        <v>0</v>
      </c>
      <c r="EK73" s="9">
        <f>AN73*'MASTER SHEET'!D73</f>
        <v>0</v>
      </c>
      <c r="EL73" s="9">
        <f>AR73*'MASTER SHEET'!D73</f>
        <v>0</v>
      </c>
      <c r="EM73" s="9">
        <f>AV73*'MASTER SHEET'!D73</f>
        <v>0</v>
      </c>
      <c r="EN73" s="9">
        <f>AZ73*'MASTER SHEET'!D73</f>
        <v>0</v>
      </c>
      <c r="EO73" s="9">
        <f>BD73*'MASTER SHEET'!D73</f>
        <v>0</v>
      </c>
      <c r="EP73" s="9">
        <f>BH73*'MASTER SHEET'!D73</f>
        <v>0</v>
      </c>
      <c r="EQ73" s="9">
        <f>BL73*'MASTER SHEET'!D73</f>
        <v>0</v>
      </c>
      <c r="ER73" s="9">
        <f>BP73*'MASTER SHEET'!D73</f>
        <v>0</v>
      </c>
      <c r="ES73" s="9">
        <f>BT73*'MASTER SHEET'!D73</f>
        <v>0</v>
      </c>
      <c r="ET73" s="9">
        <f>BX73*'MASTER SHEET'!D73</f>
        <v>0</v>
      </c>
      <c r="EU73" s="9">
        <f>CB73*'MASTER SHEET'!D73</f>
        <v>0</v>
      </c>
      <c r="EV73" s="9">
        <f>CF73*'MASTER SHEET'!D73</f>
        <v>0</v>
      </c>
      <c r="EW73" s="9">
        <f>CJ73*'MASTER SHEET'!D73</f>
        <v>0</v>
      </c>
      <c r="EX73" s="9">
        <f>CN73*'MASTER SHEET'!D73</f>
        <v>0</v>
      </c>
      <c r="EY73" s="9">
        <f>CV73*'MASTER SHEET'!D73</f>
        <v>0</v>
      </c>
      <c r="EZ73" s="9">
        <f>CV73*'MASTER SHEET'!D73</f>
        <v>0</v>
      </c>
      <c r="FA73" s="9">
        <f>CZ73*'MASTER SHEET'!D73</f>
        <v>0</v>
      </c>
      <c r="FB73" s="9">
        <f>DD73*'MASTER SHEET'!D73</f>
        <v>0</v>
      </c>
      <c r="FC73" s="9">
        <f>DH73*'MASTER SHEET'!D73</f>
        <v>0</v>
      </c>
      <c r="FD73" s="9">
        <f>DL73*'MASTER SHEET'!D73</f>
        <v>0</v>
      </c>
      <c r="FE73" s="9">
        <f>DP73*'MASTER SHEET'!D73</f>
        <v>0</v>
      </c>
      <c r="FF73" s="9">
        <f>DT73*'MASTER SHEET'!D73</f>
        <v>0</v>
      </c>
      <c r="FG73" s="9">
        <f>DX73*'MASTER SHEET'!D73</f>
        <v>0</v>
      </c>
    </row>
    <row r="74" spans="1:163" ht="20.25" x14ac:dyDescent="0.25">
      <c r="A74" s="43">
        <f>'MASTER SHEET'!A74</f>
        <v>72</v>
      </c>
      <c r="B74" s="26" t="str">
        <f>'MASTER SHEET'!B74</f>
        <v>CENTERTUBE</v>
      </c>
      <c r="C74" s="82">
        <f>'MASTER SHEET'!C74</f>
        <v>5038950</v>
      </c>
      <c r="D74" s="64"/>
      <c r="E74" s="28"/>
      <c r="F74" s="28"/>
      <c r="G74" s="65"/>
      <c r="H74" s="64">
        <f t="shared" si="72"/>
        <v>0</v>
      </c>
      <c r="I74" s="28"/>
      <c r="J74" s="28"/>
      <c r="K74" s="65"/>
      <c r="L74" s="64">
        <f t="shared" si="73"/>
        <v>0</v>
      </c>
      <c r="M74" s="28"/>
      <c r="N74" s="28"/>
      <c r="O74" s="65"/>
      <c r="P74" s="64">
        <f t="shared" si="74"/>
        <v>0</v>
      </c>
      <c r="Q74" s="28"/>
      <c r="R74" s="28"/>
      <c r="S74" s="65"/>
      <c r="T74" s="64">
        <f t="shared" si="75"/>
        <v>0</v>
      </c>
      <c r="U74" s="28"/>
      <c r="V74" s="28"/>
      <c r="W74" s="65"/>
      <c r="X74" s="64">
        <f t="shared" si="76"/>
        <v>0</v>
      </c>
      <c r="Y74" s="28"/>
      <c r="Z74" s="28"/>
      <c r="AA74" s="65"/>
      <c r="AB74" s="64">
        <f t="shared" si="77"/>
        <v>0</v>
      </c>
      <c r="AC74" s="28"/>
      <c r="AD74" s="28"/>
      <c r="AE74" s="65"/>
      <c r="AF74" s="64">
        <f t="shared" si="78"/>
        <v>0</v>
      </c>
      <c r="AG74" s="28"/>
      <c r="AH74" s="28"/>
      <c r="AI74" s="65"/>
      <c r="AJ74" s="64">
        <f t="shared" si="79"/>
        <v>0</v>
      </c>
      <c r="AK74" s="28"/>
      <c r="AL74" s="28"/>
      <c r="AM74" s="65"/>
      <c r="AN74" s="64">
        <f t="shared" si="80"/>
        <v>0</v>
      </c>
      <c r="AO74" s="28"/>
      <c r="AP74" s="28"/>
      <c r="AQ74" s="65"/>
      <c r="AR74" s="64">
        <f t="shared" si="81"/>
        <v>0</v>
      </c>
      <c r="AS74" s="28"/>
      <c r="AT74" s="28"/>
      <c r="AU74" s="65"/>
      <c r="AV74" s="64">
        <f t="shared" si="82"/>
        <v>0</v>
      </c>
      <c r="AW74" s="28"/>
      <c r="AX74" s="28"/>
      <c r="AY74" s="65"/>
      <c r="AZ74" s="64">
        <f t="shared" si="83"/>
        <v>0</v>
      </c>
      <c r="BA74" s="28"/>
      <c r="BB74" s="28"/>
      <c r="BC74" s="65"/>
      <c r="BD74" s="64">
        <f t="shared" si="84"/>
        <v>0</v>
      </c>
      <c r="BE74" s="28"/>
      <c r="BF74" s="28"/>
      <c r="BG74" s="65"/>
      <c r="BH74" s="64">
        <f t="shared" si="85"/>
        <v>0</v>
      </c>
      <c r="BI74" s="28"/>
      <c r="BJ74" s="28"/>
      <c r="BK74" s="65"/>
      <c r="BL74" s="64">
        <f t="shared" si="86"/>
        <v>0</v>
      </c>
      <c r="BM74" s="28"/>
      <c r="BN74" s="28"/>
      <c r="BO74" s="65"/>
      <c r="BP74" s="64">
        <f t="shared" si="87"/>
        <v>0</v>
      </c>
      <c r="BQ74" s="28"/>
      <c r="BR74" s="28"/>
      <c r="BS74" s="65"/>
      <c r="BT74" s="64">
        <f t="shared" si="88"/>
        <v>0</v>
      </c>
      <c r="BU74" s="28"/>
      <c r="BV74" s="28"/>
      <c r="BW74" s="65"/>
      <c r="BX74" s="64">
        <f t="shared" si="89"/>
        <v>0</v>
      </c>
      <c r="BY74" s="28"/>
      <c r="BZ74" s="28"/>
      <c r="CA74" s="65"/>
      <c r="CB74" s="64">
        <f t="shared" si="90"/>
        <v>0</v>
      </c>
      <c r="CC74" s="28">
        <v>1400</v>
      </c>
      <c r="CD74" s="28">
        <v>1400</v>
      </c>
      <c r="CE74" s="65"/>
      <c r="CF74" s="64">
        <f t="shared" si="91"/>
        <v>0</v>
      </c>
      <c r="CG74" s="28">
        <v>2800</v>
      </c>
      <c r="CH74" s="28">
        <v>2800</v>
      </c>
      <c r="CI74" s="65"/>
      <c r="CJ74" s="64">
        <f t="shared" si="92"/>
        <v>0</v>
      </c>
      <c r="CK74" s="28">
        <v>2400</v>
      </c>
      <c r="CL74" s="28">
        <v>2400</v>
      </c>
      <c r="CM74" s="65"/>
      <c r="CN74" s="64">
        <f t="shared" si="93"/>
        <v>0</v>
      </c>
      <c r="CO74" s="28">
        <v>3000</v>
      </c>
      <c r="CP74" s="28">
        <v>3000</v>
      </c>
      <c r="CQ74" s="65"/>
      <c r="CR74" s="64">
        <f t="shared" si="94"/>
        <v>0</v>
      </c>
      <c r="CS74" s="28">
        <v>2000</v>
      </c>
      <c r="CT74" s="28">
        <v>2000</v>
      </c>
      <c r="CU74" s="65"/>
      <c r="CV74" s="64">
        <f t="shared" si="95"/>
        <v>0</v>
      </c>
      <c r="CW74" s="28">
        <v>2000</v>
      </c>
      <c r="CX74" s="28">
        <v>2000</v>
      </c>
      <c r="CY74" s="65"/>
      <c r="CZ74" s="64">
        <f t="shared" si="96"/>
        <v>0</v>
      </c>
      <c r="DA74" s="28"/>
      <c r="DB74" s="28"/>
      <c r="DC74" s="65"/>
      <c r="DD74" s="64">
        <f t="shared" si="97"/>
        <v>0</v>
      </c>
      <c r="DE74" s="28">
        <v>1400</v>
      </c>
      <c r="DF74" s="28">
        <v>1400</v>
      </c>
      <c r="DG74" s="65"/>
      <c r="DH74" s="64">
        <f t="shared" si="98"/>
        <v>0</v>
      </c>
      <c r="DI74" s="28"/>
      <c r="DJ74" s="28"/>
      <c r="DK74" s="65"/>
      <c r="DL74" s="64">
        <f t="shared" si="99"/>
        <v>0</v>
      </c>
      <c r="DM74" s="28"/>
      <c r="DN74" s="28"/>
      <c r="DO74" s="65"/>
      <c r="DP74" s="64">
        <f t="shared" si="100"/>
        <v>0</v>
      </c>
      <c r="DQ74" s="28"/>
      <c r="DR74" s="28"/>
      <c r="DS74" s="65"/>
      <c r="DT74" s="64">
        <f t="shared" si="101"/>
        <v>0</v>
      </c>
      <c r="DU74" s="28"/>
      <c r="DV74" s="28"/>
      <c r="DW74" s="65"/>
      <c r="DX74" s="30">
        <f t="shared" si="102"/>
        <v>0</v>
      </c>
      <c r="DY74" s="31">
        <f t="shared" si="69"/>
        <v>15000</v>
      </c>
      <c r="DZ74" s="31">
        <f t="shared" si="70"/>
        <v>15000</v>
      </c>
      <c r="EA74" s="4">
        <f t="shared" si="71"/>
        <v>0</v>
      </c>
      <c r="EB74" s="9">
        <f>D74*'MASTER SHEET'!D74</f>
        <v>0</v>
      </c>
      <c r="EC74" s="9">
        <f>H74*'MASTER SHEET'!D74</f>
        <v>0</v>
      </c>
      <c r="ED74" s="9">
        <f>L74*'MASTER SHEET'!D74</f>
        <v>0</v>
      </c>
      <c r="EE74" s="9">
        <f>P74*'MASTER SHEET'!D74</f>
        <v>0</v>
      </c>
      <c r="EF74" s="9">
        <f>T74*'MASTER SHEET'!D74</f>
        <v>0</v>
      </c>
      <c r="EG74" s="9">
        <f>X74*'MASTER SHEET'!D74</f>
        <v>0</v>
      </c>
      <c r="EH74" s="9">
        <f>AB74*'MASTER SHEET'!D74</f>
        <v>0</v>
      </c>
      <c r="EI74" s="9">
        <f>AF74*'MASTER SHEET'!D74</f>
        <v>0</v>
      </c>
      <c r="EJ74" s="9">
        <f>AJ74*'MASTER SHEET'!D74</f>
        <v>0</v>
      </c>
      <c r="EK74" s="9">
        <f>AN74*'MASTER SHEET'!D74</f>
        <v>0</v>
      </c>
      <c r="EL74" s="9">
        <f>AR74*'MASTER SHEET'!D74</f>
        <v>0</v>
      </c>
      <c r="EM74" s="9">
        <f>AV74*'MASTER SHEET'!D74</f>
        <v>0</v>
      </c>
      <c r="EN74" s="9">
        <f>AZ74*'MASTER SHEET'!D74</f>
        <v>0</v>
      </c>
      <c r="EO74" s="9">
        <f>BD74*'MASTER SHEET'!D74</f>
        <v>0</v>
      </c>
      <c r="EP74" s="9">
        <f>BH74*'MASTER SHEET'!D74</f>
        <v>0</v>
      </c>
      <c r="EQ74" s="9">
        <f>BL74*'MASTER SHEET'!D74</f>
        <v>0</v>
      </c>
      <c r="ER74" s="9">
        <f>BP74*'MASTER SHEET'!D74</f>
        <v>0</v>
      </c>
      <c r="ES74" s="9">
        <f>BT74*'MASTER SHEET'!D74</f>
        <v>0</v>
      </c>
      <c r="ET74" s="9">
        <f>BX74*'MASTER SHEET'!D74</f>
        <v>0</v>
      </c>
      <c r="EU74" s="9">
        <f>CB74*'MASTER SHEET'!D74</f>
        <v>0</v>
      </c>
      <c r="EV74" s="9">
        <f>CF74*'MASTER SHEET'!D74</f>
        <v>0</v>
      </c>
      <c r="EW74" s="9">
        <f>CJ74*'MASTER SHEET'!D74</f>
        <v>0</v>
      </c>
      <c r="EX74" s="9">
        <f>CN74*'MASTER SHEET'!D74</f>
        <v>0</v>
      </c>
      <c r="EY74" s="9">
        <f>CV74*'MASTER SHEET'!D74</f>
        <v>0</v>
      </c>
      <c r="EZ74" s="9">
        <f>CV74*'MASTER SHEET'!D74</f>
        <v>0</v>
      </c>
      <c r="FA74" s="9">
        <f>CZ74*'MASTER SHEET'!D74</f>
        <v>0</v>
      </c>
      <c r="FB74" s="9">
        <f>DD74*'MASTER SHEET'!D74</f>
        <v>0</v>
      </c>
      <c r="FC74" s="9">
        <f>DH74*'MASTER SHEET'!D74</f>
        <v>0</v>
      </c>
      <c r="FD74" s="9">
        <f>DL74*'MASTER SHEET'!D74</f>
        <v>0</v>
      </c>
      <c r="FE74" s="9">
        <f>DP74*'MASTER SHEET'!D74</f>
        <v>0</v>
      </c>
      <c r="FF74" s="9">
        <f>DT74*'MASTER SHEET'!D74</f>
        <v>0</v>
      </c>
      <c r="FG74" s="9">
        <f>DX74*'MASTER SHEET'!D74</f>
        <v>0</v>
      </c>
    </row>
    <row r="75" spans="1:163" ht="20.25" x14ac:dyDescent="0.25">
      <c r="A75" s="43">
        <f>'MASTER SHEET'!A75</f>
        <v>73</v>
      </c>
      <c r="B75" s="26" t="str">
        <f>'MASTER SHEET'!B75</f>
        <v>SHELL, PLASTIC,   (9880)</v>
      </c>
      <c r="C75" s="82">
        <f>'MASTER SHEET'!C75</f>
        <v>5036297</v>
      </c>
      <c r="D75" s="64"/>
      <c r="E75" s="28"/>
      <c r="F75" s="28"/>
      <c r="G75" s="65"/>
      <c r="H75" s="64">
        <f t="shared" si="72"/>
        <v>0</v>
      </c>
      <c r="I75" s="28"/>
      <c r="J75" s="28"/>
      <c r="K75" s="65"/>
      <c r="L75" s="64">
        <f t="shared" si="73"/>
        <v>0</v>
      </c>
      <c r="M75" s="28"/>
      <c r="N75" s="28"/>
      <c r="O75" s="65"/>
      <c r="P75" s="64">
        <f t="shared" si="74"/>
        <v>0</v>
      </c>
      <c r="Q75" s="28"/>
      <c r="R75" s="28"/>
      <c r="S75" s="65"/>
      <c r="T75" s="64">
        <f t="shared" si="75"/>
        <v>0</v>
      </c>
      <c r="U75" s="28"/>
      <c r="V75" s="28"/>
      <c r="W75" s="65"/>
      <c r="X75" s="64">
        <f t="shared" si="76"/>
        <v>0</v>
      </c>
      <c r="Y75" s="28"/>
      <c r="Z75" s="28"/>
      <c r="AA75" s="65"/>
      <c r="AB75" s="64">
        <f t="shared" si="77"/>
        <v>0</v>
      </c>
      <c r="AC75" s="28"/>
      <c r="AD75" s="28"/>
      <c r="AE75" s="65"/>
      <c r="AF75" s="64">
        <f t="shared" si="78"/>
        <v>0</v>
      </c>
      <c r="AG75" s="28"/>
      <c r="AH75" s="28"/>
      <c r="AI75" s="65"/>
      <c r="AJ75" s="64">
        <f t="shared" si="79"/>
        <v>0</v>
      </c>
      <c r="AK75" s="28"/>
      <c r="AL75" s="28"/>
      <c r="AM75" s="65"/>
      <c r="AN75" s="64">
        <f t="shared" si="80"/>
        <v>0</v>
      </c>
      <c r="AO75" s="28"/>
      <c r="AP75" s="28"/>
      <c r="AQ75" s="65"/>
      <c r="AR75" s="64">
        <f t="shared" si="81"/>
        <v>0</v>
      </c>
      <c r="AS75" s="28"/>
      <c r="AT75" s="28"/>
      <c r="AU75" s="65"/>
      <c r="AV75" s="64">
        <f t="shared" si="82"/>
        <v>0</v>
      </c>
      <c r="AW75" s="28"/>
      <c r="AX75" s="28"/>
      <c r="AY75" s="65"/>
      <c r="AZ75" s="64">
        <f t="shared" si="83"/>
        <v>0</v>
      </c>
      <c r="BA75" s="28"/>
      <c r="BB75" s="28"/>
      <c r="BC75" s="65"/>
      <c r="BD75" s="64">
        <f t="shared" si="84"/>
        <v>0</v>
      </c>
      <c r="BE75" s="28"/>
      <c r="BF75" s="28"/>
      <c r="BG75" s="65"/>
      <c r="BH75" s="64">
        <f t="shared" si="85"/>
        <v>0</v>
      </c>
      <c r="BI75" s="28"/>
      <c r="BJ75" s="28"/>
      <c r="BK75" s="65"/>
      <c r="BL75" s="64">
        <f t="shared" si="86"/>
        <v>0</v>
      </c>
      <c r="BM75" s="28"/>
      <c r="BN75" s="28"/>
      <c r="BO75" s="65"/>
      <c r="BP75" s="64">
        <f t="shared" si="87"/>
        <v>0</v>
      </c>
      <c r="BQ75" s="28"/>
      <c r="BR75" s="28"/>
      <c r="BS75" s="65"/>
      <c r="BT75" s="64">
        <f t="shared" si="88"/>
        <v>0</v>
      </c>
      <c r="BU75" s="28"/>
      <c r="BV75" s="28"/>
      <c r="BW75" s="65"/>
      <c r="BX75" s="64">
        <f t="shared" si="89"/>
        <v>0</v>
      </c>
      <c r="BY75" s="28"/>
      <c r="BZ75" s="28"/>
      <c r="CA75" s="65"/>
      <c r="CB75" s="64">
        <f t="shared" si="90"/>
        <v>0</v>
      </c>
      <c r="CC75" s="28"/>
      <c r="CD75" s="28"/>
      <c r="CE75" s="65"/>
      <c r="CF75" s="64">
        <f t="shared" si="91"/>
        <v>0</v>
      </c>
      <c r="CG75" s="28"/>
      <c r="CH75" s="28"/>
      <c r="CI75" s="65"/>
      <c r="CJ75" s="64">
        <f t="shared" si="92"/>
        <v>0</v>
      </c>
      <c r="CK75" s="28"/>
      <c r="CL75" s="28"/>
      <c r="CM75" s="65"/>
      <c r="CN75" s="64">
        <f t="shared" si="93"/>
        <v>0</v>
      </c>
      <c r="CO75" s="28"/>
      <c r="CP75" s="28"/>
      <c r="CQ75" s="65"/>
      <c r="CR75" s="64">
        <f t="shared" si="94"/>
        <v>0</v>
      </c>
      <c r="CS75" s="28"/>
      <c r="CT75" s="28"/>
      <c r="CU75" s="65"/>
      <c r="CV75" s="64">
        <f t="shared" si="95"/>
        <v>0</v>
      </c>
      <c r="CW75" s="28"/>
      <c r="CX75" s="28"/>
      <c r="CY75" s="65"/>
      <c r="CZ75" s="64">
        <f t="shared" si="96"/>
        <v>0</v>
      </c>
      <c r="DA75" s="28"/>
      <c r="DB75" s="28"/>
      <c r="DC75" s="65"/>
      <c r="DD75" s="64">
        <f t="shared" si="97"/>
        <v>0</v>
      </c>
      <c r="DE75" s="28"/>
      <c r="DF75" s="28"/>
      <c r="DG75" s="65"/>
      <c r="DH75" s="64">
        <f t="shared" si="98"/>
        <v>0</v>
      </c>
      <c r="DI75" s="28"/>
      <c r="DJ75" s="28"/>
      <c r="DK75" s="65"/>
      <c r="DL75" s="64">
        <f t="shared" si="99"/>
        <v>0</v>
      </c>
      <c r="DM75" s="28"/>
      <c r="DN75" s="28"/>
      <c r="DO75" s="65"/>
      <c r="DP75" s="64">
        <f t="shared" si="100"/>
        <v>0</v>
      </c>
      <c r="DQ75" s="28"/>
      <c r="DR75" s="28"/>
      <c r="DS75" s="65"/>
      <c r="DT75" s="64">
        <f t="shared" si="101"/>
        <v>0</v>
      </c>
      <c r="DU75" s="28"/>
      <c r="DV75" s="28"/>
      <c r="DW75" s="65"/>
      <c r="DX75" s="30">
        <f t="shared" si="102"/>
        <v>0</v>
      </c>
      <c r="DY75" s="31">
        <f t="shared" si="69"/>
        <v>0</v>
      </c>
      <c r="DZ75" s="31">
        <f t="shared" si="70"/>
        <v>0</v>
      </c>
      <c r="EA75" s="4">
        <f t="shared" si="71"/>
        <v>0</v>
      </c>
      <c r="EB75" s="9">
        <f>D75*'MASTER SHEET'!D75</f>
        <v>0</v>
      </c>
      <c r="EC75" s="9">
        <f>H75*'MASTER SHEET'!D75</f>
        <v>0</v>
      </c>
      <c r="ED75" s="9">
        <f>L75*'MASTER SHEET'!D75</f>
        <v>0</v>
      </c>
      <c r="EE75" s="9">
        <f>P75*'MASTER SHEET'!D75</f>
        <v>0</v>
      </c>
      <c r="EF75" s="9">
        <f>T75*'MASTER SHEET'!D75</f>
        <v>0</v>
      </c>
      <c r="EG75" s="9">
        <f>X75*'MASTER SHEET'!D75</f>
        <v>0</v>
      </c>
      <c r="EH75" s="9">
        <f>AB75*'MASTER SHEET'!D75</f>
        <v>0</v>
      </c>
      <c r="EI75" s="9">
        <f>AF75*'MASTER SHEET'!D75</f>
        <v>0</v>
      </c>
      <c r="EJ75" s="9">
        <f>AJ75*'MASTER SHEET'!D75</f>
        <v>0</v>
      </c>
      <c r="EK75" s="9">
        <f>AN75*'MASTER SHEET'!D75</f>
        <v>0</v>
      </c>
      <c r="EL75" s="9">
        <f>AR75*'MASTER SHEET'!D75</f>
        <v>0</v>
      </c>
      <c r="EM75" s="9">
        <f>AV75*'MASTER SHEET'!D75</f>
        <v>0</v>
      </c>
      <c r="EN75" s="9">
        <f>AZ75*'MASTER SHEET'!D75</f>
        <v>0</v>
      </c>
      <c r="EO75" s="9">
        <f>BD75*'MASTER SHEET'!D75</f>
        <v>0</v>
      </c>
      <c r="EP75" s="9">
        <f>BH75*'MASTER SHEET'!D75</f>
        <v>0</v>
      </c>
      <c r="EQ75" s="9">
        <f>BL75*'MASTER SHEET'!D75</f>
        <v>0</v>
      </c>
      <c r="ER75" s="9">
        <f>BP75*'MASTER SHEET'!D75</f>
        <v>0</v>
      </c>
      <c r="ES75" s="9">
        <f>BT75*'MASTER SHEET'!D75</f>
        <v>0</v>
      </c>
      <c r="ET75" s="9">
        <f>BX75*'MASTER SHEET'!D75</f>
        <v>0</v>
      </c>
      <c r="EU75" s="9">
        <f>CB75*'MASTER SHEET'!D75</f>
        <v>0</v>
      </c>
      <c r="EV75" s="9">
        <f>CF75*'MASTER SHEET'!D75</f>
        <v>0</v>
      </c>
      <c r="EW75" s="9">
        <f>CJ75*'MASTER SHEET'!D75</f>
        <v>0</v>
      </c>
      <c r="EX75" s="9">
        <f>CN75*'MASTER SHEET'!D75</f>
        <v>0</v>
      </c>
      <c r="EY75" s="9">
        <f>CV75*'MASTER SHEET'!D75</f>
        <v>0</v>
      </c>
      <c r="EZ75" s="9">
        <f>CV75*'MASTER SHEET'!D75</f>
        <v>0</v>
      </c>
      <c r="FA75" s="9">
        <f>CZ75*'MASTER SHEET'!D75</f>
        <v>0</v>
      </c>
      <c r="FB75" s="9">
        <f>DD75*'MASTER SHEET'!D75</f>
        <v>0</v>
      </c>
      <c r="FC75" s="9">
        <f>DH75*'MASTER SHEET'!D75</f>
        <v>0</v>
      </c>
      <c r="FD75" s="9">
        <f>DL75*'MASTER SHEET'!D75</f>
        <v>0</v>
      </c>
      <c r="FE75" s="9">
        <f>DP75*'MASTER SHEET'!D75</f>
        <v>0</v>
      </c>
      <c r="FF75" s="9">
        <f>DT75*'MASTER SHEET'!D75</f>
        <v>0</v>
      </c>
      <c r="FG75" s="9">
        <f>DX75*'MASTER SHEET'!D75</f>
        <v>0</v>
      </c>
    </row>
    <row r="76" spans="1:163" ht="20.25" x14ac:dyDescent="0.25">
      <c r="A76" s="43">
        <f>'MASTER SHEET'!A76</f>
        <v>74</v>
      </c>
      <c r="B76" s="26" t="str">
        <f>'MASTER SHEET'!B76</f>
        <v>TUBE OVER FLOW HOSUR</v>
      </c>
      <c r="C76" s="82">
        <f>'MASTER SHEET'!C76</f>
        <v>832000299</v>
      </c>
      <c r="D76" s="64"/>
      <c r="E76" s="28"/>
      <c r="F76" s="28"/>
      <c r="G76" s="65"/>
      <c r="H76" s="64">
        <f t="shared" si="72"/>
        <v>0</v>
      </c>
      <c r="I76" s="28"/>
      <c r="J76" s="28"/>
      <c r="K76" s="65"/>
      <c r="L76" s="64">
        <f t="shared" si="73"/>
        <v>0</v>
      </c>
      <c r="M76" s="28"/>
      <c r="N76" s="28"/>
      <c r="O76" s="65"/>
      <c r="P76" s="64">
        <f t="shared" si="74"/>
        <v>0</v>
      </c>
      <c r="Q76" s="28"/>
      <c r="R76" s="28"/>
      <c r="S76" s="65"/>
      <c r="T76" s="64">
        <f t="shared" si="75"/>
        <v>0</v>
      </c>
      <c r="U76" s="28"/>
      <c r="V76" s="28"/>
      <c r="W76" s="65"/>
      <c r="X76" s="64">
        <f t="shared" si="76"/>
        <v>0</v>
      </c>
      <c r="Y76" s="28"/>
      <c r="Z76" s="28"/>
      <c r="AA76" s="65"/>
      <c r="AB76" s="64">
        <f t="shared" si="77"/>
        <v>0</v>
      </c>
      <c r="AC76" s="28"/>
      <c r="AD76" s="28"/>
      <c r="AE76" s="65"/>
      <c r="AF76" s="64">
        <f t="shared" si="78"/>
        <v>0</v>
      </c>
      <c r="AG76" s="28"/>
      <c r="AH76" s="28"/>
      <c r="AI76" s="65"/>
      <c r="AJ76" s="64">
        <f t="shared" si="79"/>
        <v>0</v>
      </c>
      <c r="AK76" s="28"/>
      <c r="AL76" s="28"/>
      <c r="AM76" s="65"/>
      <c r="AN76" s="64">
        <f t="shared" si="80"/>
        <v>0</v>
      </c>
      <c r="AO76" s="28"/>
      <c r="AP76" s="28"/>
      <c r="AQ76" s="65"/>
      <c r="AR76" s="64">
        <f t="shared" si="81"/>
        <v>0</v>
      </c>
      <c r="AS76" s="28"/>
      <c r="AT76" s="28"/>
      <c r="AU76" s="65"/>
      <c r="AV76" s="64">
        <f t="shared" si="82"/>
        <v>0</v>
      </c>
      <c r="AW76" s="28"/>
      <c r="AX76" s="28"/>
      <c r="AY76" s="65"/>
      <c r="AZ76" s="64">
        <f t="shared" si="83"/>
        <v>0</v>
      </c>
      <c r="BA76" s="28"/>
      <c r="BB76" s="28"/>
      <c r="BC76" s="65"/>
      <c r="BD76" s="64">
        <f t="shared" si="84"/>
        <v>0</v>
      </c>
      <c r="BE76" s="28"/>
      <c r="BF76" s="28"/>
      <c r="BG76" s="65"/>
      <c r="BH76" s="64">
        <f t="shared" si="85"/>
        <v>0</v>
      </c>
      <c r="BI76" s="28"/>
      <c r="BJ76" s="28"/>
      <c r="BK76" s="65"/>
      <c r="BL76" s="64">
        <f t="shared" si="86"/>
        <v>0</v>
      </c>
      <c r="BM76" s="28"/>
      <c r="BN76" s="28"/>
      <c r="BO76" s="65"/>
      <c r="BP76" s="64">
        <f t="shared" si="87"/>
        <v>0</v>
      </c>
      <c r="BQ76" s="28"/>
      <c r="BR76" s="28"/>
      <c r="BS76" s="65"/>
      <c r="BT76" s="64">
        <f t="shared" si="88"/>
        <v>0</v>
      </c>
      <c r="BU76" s="28"/>
      <c r="BV76" s="28"/>
      <c r="BW76" s="65"/>
      <c r="BX76" s="64">
        <f t="shared" si="89"/>
        <v>0</v>
      </c>
      <c r="BY76" s="28"/>
      <c r="BZ76" s="28"/>
      <c r="CA76" s="65"/>
      <c r="CB76" s="64">
        <f t="shared" si="90"/>
        <v>0</v>
      </c>
      <c r="CC76" s="28"/>
      <c r="CD76" s="28"/>
      <c r="CE76" s="65"/>
      <c r="CF76" s="64">
        <f t="shared" si="91"/>
        <v>0</v>
      </c>
      <c r="CG76" s="28"/>
      <c r="CH76" s="28"/>
      <c r="CI76" s="65"/>
      <c r="CJ76" s="64">
        <f t="shared" si="92"/>
        <v>0</v>
      </c>
      <c r="CK76" s="28"/>
      <c r="CL76" s="28"/>
      <c r="CM76" s="65"/>
      <c r="CN76" s="64">
        <f t="shared" si="93"/>
        <v>0</v>
      </c>
      <c r="CO76" s="28"/>
      <c r="CP76" s="28"/>
      <c r="CQ76" s="65"/>
      <c r="CR76" s="64">
        <f t="shared" si="94"/>
        <v>0</v>
      </c>
      <c r="CS76" s="28"/>
      <c r="CT76" s="28"/>
      <c r="CU76" s="65"/>
      <c r="CV76" s="64">
        <f t="shared" si="95"/>
        <v>0</v>
      </c>
      <c r="CW76" s="28"/>
      <c r="CX76" s="28"/>
      <c r="CY76" s="65"/>
      <c r="CZ76" s="64">
        <f t="shared" si="96"/>
        <v>0</v>
      </c>
      <c r="DA76" s="28"/>
      <c r="DB76" s="28"/>
      <c r="DC76" s="65"/>
      <c r="DD76" s="64">
        <f t="shared" si="97"/>
        <v>0</v>
      </c>
      <c r="DE76" s="28"/>
      <c r="DF76" s="28"/>
      <c r="DG76" s="65"/>
      <c r="DH76" s="64">
        <f t="shared" si="98"/>
        <v>0</v>
      </c>
      <c r="DI76" s="28"/>
      <c r="DJ76" s="28"/>
      <c r="DK76" s="65"/>
      <c r="DL76" s="64">
        <f t="shared" si="99"/>
        <v>0</v>
      </c>
      <c r="DM76" s="28"/>
      <c r="DN76" s="28"/>
      <c r="DO76" s="65"/>
      <c r="DP76" s="64">
        <f t="shared" si="100"/>
        <v>0</v>
      </c>
      <c r="DQ76" s="28"/>
      <c r="DR76" s="28"/>
      <c r="DS76" s="65"/>
      <c r="DT76" s="64">
        <f t="shared" si="101"/>
        <v>0</v>
      </c>
      <c r="DU76" s="28"/>
      <c r="DV76" s="28"/>
      <c r="DW76" s="65"/>
      <c r="DX76" s="30">
        <f t="shared" si="102"/>
        <v>0</v>
      </c>
      <c r="DY76" s="31">
        <f t="shared" si="69"/>
        <v>0</v>
      </c>
      <c r="DZ76" s="31">
        <f t="shared" si="70"/>
        <v>0</v>
      </c>
      <c r="EA76" s="4">
        <f t="shared" si="71"/>
        <v>0</v>
      </c>
      <c r="EB76" s="9">
        <f>D76*'MASTER SHEET'!D76</f>
        <v>0</v>
      </c>
      <c r="EC76" s="9">
        <f>H76*'MASTER SHEET'!D76</f>
        <v>0</v>
      </c>
      <c r="ED76" s="9">
        <f>L76*'MASTER SHEET'!D76</f>
        <v>0</v>
      </c>
      <c r="EE76" s="9">
        <f>P76*'MASTER SHEET'!D76</f>
        <v>0</v>
      </c>
      <c r="EF76" s="9">
        <f>T76*'MASTER SHEET'!D76</f>
        <v>0</v>
      </c>
      <c r="EG76" s="9">
        <f>X76*'MASTER SHEET'!D76</f>
        <v>0</v>
      </c>
      <c r="EH76" s="9">
        <f>AB76*'MASTER SHEET'!D76</f>
        <v>0</v>
      </c>
      <c r="EI76" s="9">
        <f>AF76*'MASTER SHEET'!D76</f>
        <v>0</v>
      </c>
      <c r="EJ76" s="9">
        <f>AJ76*'MASTER SHEET'!D76</f>
        <v>0</v>
      </c>
      <c r="EK76" s="9">
        <f>AN76*'MASTER SHEET'!D76</f>
        <v>0</v>
      </c>
      <c r="EL76" s="9">
        <f>AR76*'MASTER SHEET'!D76</f>
        <v>0</v>
      </c>
      <c r="EM76" s="9">
        <f>AV76*'MASTER SHEET'!D76</f>
        <v>0</v>
      </c>
      <c r="EN76" s="9">
        <f>AZ76*'MASTER SHEET'!D76</f>
        <v>0</v>
      </c>
      <c r="EO76" s="9">
        <f>BD76*'MASTER SHEET'!D76</f>
        <v>0</v>
      </c>
      <c r="EP76" s="9">
        <f>BH76*'MASTER SHEET'!D76</f>
        <v>0</v>
      </c>
      <c r="EQ76" s="9">
        <f>BL76*'MASTER SHEET'!D76</f>
        <v>0</v>
      </c>
      <c r="ER76" s="9">
        <f>BP76*'MASTER SHEET'!D76</f>
        <v>0</v>
      </c>
      <c r="ES76" s="9">
        <f>BT76*'MASTER SHEET'!D76</f>
        <v>0</v>
      </c>
      <c r="ET76" s="9">
        <f>BX76*'MASTER SHEET'!D76</f>
        <v>0</v>
      </c>
      <c r="EU76" s="9">
        <f>CB76*'MASTER SHEET'!D76</f>
        <v>0</v>
      </c>
      <c r="EV76" s="9">
        <f>CF76*'MASTER SHEET'!D76</f>
        <v>0</v>
      </c>
      <c r="EW76" s="9">
        <f>CJ76*'MASTER SHEET'!D76</f>
        <v>0</v>
      </c>
      <c r="EX76" s="9">
        <f>CN76*'MASTER SHEET'!D76</f>
        <v>0</v>
      </c>
      <c r="EY76" s="9">
        <f>CV76*'MASTER SHEET'!D76</f>
        <v>0</v>
      </c>
      <c r="EZ76" s="9">
        <f>CV76*'MASTER SHEET'!D76</f>
        <v>0</v>
      </c>
      <c r="FA76" s="9">
        <f>CZ76*'MASTER SHEET'!D76</f>
        <v>0</v>
      </c>
      <c r="FB76" s="9">
        <f>DD76*'MASTER SHEET'!D76</f>
        <v>0</v>
      </c>
      <c r="FC76" s="9">
        <f>DH76*'MASTER SHEET'!D76</f>
        <v>0</v>
      </c>
      <c r="FD76" s="9">
        <f>DL76*'MASTER SHEET'!D76</f>
        <v>0</v>
      </c>
      <c r="FE76" s="9">
        <f>DP76*'MASTER SHEET'!D76</f>
        <v>0</v>
      </c>
      <c r="FF76" s="9">
        <f>DT76*'MASTER SHEET'!D76</f>
        <v>0</v>
      </c>
      <c r="FG76" s="9">
        <f>DX76*'MASTER SHEET'!D76</f>
        <v>0</v>
      </c>
    </row>
    <row r="77" spans="1:163" ht="20.25" x14ac:dyDescent="0.25">
      <c r="A77" s="43">
        <f>'MASTER SHEET'!A77</f>
        <v>75</v>
      </c>
      <c r="B77" s="26" t="str">
        <f>'MASTER SHEET'!B77</f>
        <v>CAP PLASTIC</v>
      </c>
      <c r="C77" s="82">
        <f>'MASTER SHEET'!C77</f>
        <v>5037040</v>
      </c>
      <c r="D77" s="64"/>
      <c r="E77" s="28"/>
      <c r="F77" s="28"/>
      <c r="G77" s="65"/>
      <c r="H77" s="64">
        <f t="shared" si="72"/>
        <v>0</v>
      </c>
      <c r="I77" s="28"/>
      <c r="J77" s="28"/>
      <c r="K77" s="65"/>
      <c r="L77" s="64">
        <f t="shared" si="73"/>
        <v>0</v>
      </c>
      <c r="M77" s="28"/>
      <c r="N77" s="28"/>
      <c r="O77" s="65"/>
      <c r="P77" s="64">
        <f t="shared" si="74"/>
        <v>0</v>
      </c>
      <c r="Q77" s="28"/>
      <c r="R77" s="28"/>
      <c r="S77" s="65"/>
      <c r="T77" s="64">
        <f t="shared" si="75"/>
        <v>0</v>
      </c>
      <c r="U77" s="28"/>
      <c r="V77" s="28"/>
      <c r="W77" s="65"/>
      <c r="X77" s="64">
        <f t="shared" si="76"/>
        <v>0</v>
      </c>
      <c r="Y77" s="28"/>
      <c r="Z77" s="28"/>
      <c r="AA77" s="65"/>
      <c r="AB77" s="64">
        <f t="shared" si="77"/>
        <v>0</v>
      </c>
      <c r="AC77" s="28"/>
      <c r="AD77" s="28"/>
      <c r="AE77" s="65"/>
      <c r="AF77" s="64">
        <f t="shared" si="78"/>
        <v>0</v>
      </c>
      <c r="AG77" s="28"/>
      <c r="AH77" s="28"/>
      <c r="AI77" s="65"/>
      <c r="AJ77" s="64">
        <f t="shared" si="79"/>
        <v>0</v>
      </c>
      <c r="AK77" s="28"/>
      <c r="AL77" s="28"/>
      <c r="AM77" s="65"/>
      <c r="AN77" s="64">
        <f t="shared" si="80"/>
        <v>0</v>
      </c>
      <c r="AO77" s="28"/>
      <c r="AP77" s="28"/>
      <c r="AQ77" s="65"/>
      <c r="AR77" s="64">
        <f t="shared" si="81"/>
        <v>0</v>
      </c>
      <c r="AS77" s="28"/>
      <c r="AT77" s="28"/>
      <c r="AU77" s="65"/>
      <c r="AV77" s="64">
        <f t="shared" si="82"/>
        <v>0</v>
      </c>
      <c r="AW77" s="28"/>
      <c r="AX77" s="28"/>
      <c r="AY77" s="65"/>
      <c r="AZ77" s="64">
        <f t="shared" si="83"/>
        <v>0</v>
      </c>
      <c r="BA77" s="28"/>
      <c r="BB77" s="28"/>
      <c r="BC77" s="65"/>
      <c r="BD77" s="64">
        <f t="shared" si="84"/>
        <v>0</v>
      </c>
      <c r="BE77" s="28"/>
      <c r="BF77" s="28"/>
      <c r="BG77" s="65"/>
      <c r="BH77" s="64">
        <f t="shared" si="85"/>
        <v>0</v>
      </c>
      <c r="BI77" s="28"/>
      <c r="BJ77" s="28"/>
      <c r="BK77" s="65"/>
      <c r="BL77" s="64">
        <f t="shared" si="86"/>
        <v>0</v>
      </c>
      <c r="BM77" s="28"/>
      <c r="BN77" s="28"/>
      <c r="BO77" s="65"/>
      <c r="BP77" s="64">
        <f t="shared" si="87"/>
        <v>0</v>
      </c>
      <c r="BQ77" s="28"/>
      <c r="BR77" s="28"/>
      <c r="BS77" s="65"/>
      <c r="BT77" s="64">
        <f t="shared" si="88"/>
        <v>0</v>
      </c>
      <c r="BU77" s="28"/>
      <c r="BV77" s="28"/>
      <c r="BW77" s="65"/>
      <c r="BX77" s="64">
        <f t="shared" si="89"/>
        <v>0</v>
      </c>
      <c r="BY77" s="28"/>
      <c r="BZ77" s="28"/>
      <c r="CA77" s="65"/>
      <c r="CB77" s="64">
        <f t="shared" si="90"/>
        <v>0</v>
      </c>
      <c r="CC77" s="28"/>
      <c r="CD77" s="28"/>
      <c r="CE77" s="65"/>
      <c r="CF77" s="64">
        <f t="shared" si="91"/>
        <v>0</v>
      </c>
      <c r="CG77" s="28"/>
      <c r="CH77" s="28"/>
      <c r="CI77" s="65"/>
      <c r="CJ77" s="64">
        <f t="shared" si="92"/>
        <v>0</v>
      </c>
      <c r="CK77" s="28"/>
      <c r="CL77" s="28"/>
      <c r="CM77" s="65"/>
      <c r="CN77" s="64">
        <f t="shared" si="93"/>
        <v>0</v>
      </c>
      <c r="CO77" s="28"/>
      <c r="CP77" s="28"/>
      <c r="CQ77" s="65"/>
      <c r="CR77" s="64">
        <f t="shared" si="94"/>
        <v>0</v>
      </c>
      <c r="CS77" s="28"/>
      <c r="CT77" s="28"/>
      <c r="CU77" s="65"/>
      <c r="CV77" s="64">
        <f t="shared" si="95"/>
        <v>0</v>
      </c>
      <c r="CW77" s="28"/>
      <c r="CX77" s="28"/>
      <c r="CY77" s="65"/>
      <c r="CZ77" s="64">
        <f t="shared" si="96"/>
        <v>0</v>
      </c>
      <c r="DA77" s="28"/>
      <c r="DB77" s="28"/>
      <c r="DC77" s="65"/>
      <c r="DD77" s="64">
        <f t="shared" si="97"/>
        <v>0</v>
      </c>
      <c r="DE77" s="28"/>
      <c r="DF77" s="28"/>
      <c r="DG77" s="65"/>
      <c r="DH77" s="64">
        <f t="shared" si="98"/>
        <v>0</v>
      </c>
      <c r="DI77" s="28"/>
      <c r="DJ77" s="28"/>
      <c r="DK77" s="65"/>
      <c r="DL77" s="64">
        <f t="shared" si="99"/>
        <v>0</v>
      </c>
      <c r="DM77" s="28"/>
      <c r="DN77" s="28"/>
      <c r="DO77" s="65"/>
      <c r="DP77" s="64">
        <f t="shared" si="100"/>
        <v>0</v>
      </c>
      <c r="DQ77" s="28"/>
      <c r="DR77" s="28"/>
      <c r="DS77" s="65"/>
      <c r="DT77" s="64">
        <f t="shared" si="101"/>
        <v>0</v>
      </c>
      <c r="DU77" s="28"/>
      <c r="DV77" s="28"/>
      <c r="DW77" s="65"/>
      <c r="DX77" s="30">
        <f t="shared" si="102"/>
        <v>0</v>
      </c>
      <c r="DY77" s="31">
        <f t="shared" si="69"/>
        <v>0</v>
      </c>
      <c r="DZ77" s="31">
        <f t="shared" si="70"/>
        <v>0</v>
      </c>
      <c r="EA77" s="4">
        <f t="shared" si="71"/>
        <v>0</v>
      </c>
      <c r="EB77" s="9">
        <f>D77*'MASTER SHEET'!D77</f>
        <v>0</v>
      </c>
      <c r="EC77" s="9">
        <f>H77*'MASTER SHEET'!D77</f>
        <v>0</v>
      </c>
      <c r="ED77" s="9">
        <f>L77*'MASTER SHEET'!D77</f>
        <v>0</v>
      </c>
      <c r="EE77" s="9">
        <f>P77*'MASTER SHEET'!D77</f>
        <v>0</v>
      </c>
      <c r="EF77" s="9">
        <f>T77*'MASTER SHEET'!D77</f>
        <v>0</v>
      </c>
      <c r="EG77" s="9">
        <f>X77*'MASTER SHEET'!D77</f>
        <v>0</v>
      </c>
      <c r="EH77" s="9">
        <f>AB77*'MASTER SHEET'!D77</f>
        <v>0</v>
      </c>
      <c r="EI77" s="9">
        <f>AF77*'MASTER SHEET'!D77</f>
        <v>0</v>
      </c>
      <c r="EJ77" s="9">
        <f>AJ77*'MASTER SHEET'!D77</f>
        <v>0</v>
      </c>
      <c r="EK77" s="9">
        <f>AN77*'MASTER SHEET'!D77</f>
        <v>0</v>
      </c>
      <c r="EL77" s="9">
        <f>AR77*'MASTER SHEET'!D77</f>
        <v>0</v>
      </c>
      <c r="EM77" s="9">
        <f>AV77*'MASTER SHEET'!D77</f>
        <v>0</v>
      </c>
      <c r="EN77" s="9">
        <f>AZ77*'MASTER SHEET'!D77</f>
        <v>0</v>
      </c>
      <c r="EO77" s="9">
        <f>BD77*'MASTER SHEET'!D77</f>
        <v>0</v>
      </c>
      <c r="EP77" s="9">
        <f>BH77*'MASTER SHEET'!D77</f>
        <v>0</v>
      </c>
      <c r="EQ77" s="9">
        <f>BL77*'MASTER SHEET'!D77</f>
        <v>0</v>
      </c>
      <c r="ER77" s="9">
        <f>BP77*'MASTER SHEET'!D77</f>
        <v>0</v>
      </c>
      <c r="ES77" s="9">
        <f>BT77*'MASTER SHEET'!D77</f>
        <v>0</v>
      </c>
      <c r="ET77" s="9">
        <f>BX77*'MASTER SHEET'!D77</f>
        <v>0</v>
      </c>
      <c r="EU77" s="9">
        <f>CB77*'MASTER SHEET'!D77</f>
        <v>0</v>
      </c>
      <c r="EV77" s="9">
        <f>CF77*'MASTER SHEET'!D77</f>
        <v>0</v>
      </c>
      <c r="EW77" s="9">
        <f>CJ77*'MASTER SHEET'!D77</f>
        <v>0</v>
      </c>
      <c r="EX77" s="9">
        <f>CN77*'MASTER SHEET'!D77</f>
        <v>0</v>
      </c>
      <c r="EY77" s="9">
        <f>CV77*'MASTER SHEET'!D77</f>
        <v>0</v>
      </c>
      <c r="EZ77" s="9">
        <f>CV77*'MASTER SHEET'!D77</f>
        <v>0</v>
      </c>
      <c r="FA77" s="9">
        <f>CZ77*'MASTER SHEET'!D77</f>
        <v>0</v>
      </c>
      <c r="FB77" s="9">
        <f>DD77*'MASTER SHEET'!D77</f>
        <v>0</v>
      </c>
      <c r="FC77" s="9">
        <f>DH77*'MASTER SHEET'!D77</f>
        <v>0</v>
      </c>
      <c r="FD77" s="9">
        <f>DL77*'MASTER SHEET'!D77</f>
        <v>0</v>
      </c>
      <c r="FE77" s="9">
        <f>DP77*'MASTER SHEET'!D77</f>
        <v>0</v>
      </c>
      <c r="FF77" s="9">
        <f>DT77*'MASTER SHEET'!D77</f>
        <v>0</v>
      </c>
      <c r="FG77" s="9">
        <f>DX77*'MASTER SHEET'!D77</f>
        <v>0</v>
      </c>
    </row>
    <row r="78" spans="1:163" ht="20.25" x14ac:dyDescent="0.25">
      <c r="A78" s="43">
        <f>'MASTER SHEET'!A78</f>
        <v>76</v>
      </c>
      <c r="B78" s="26" t="str">
        <f>'MASTER SHEET'!B78</f>
        <v>BASE HOUSING CRANKCASE</v>
      </c>
      <c r="C78" s="82">
        <f>'MASTER SHEET'!C78</f>
        <v>5024978</v>
      </c>
      <c r="D78" s="64"/>
      <c r="E78" s="28"/>
      <c r="F78" s="28"/>
      <c r="G78" s="65"/>
      <c r="H78" s="64">
        <f t="shared" si="72"/>
        <v>0</v>
      </c>
      <c r="I78" s="28"/>
      <c r="J78" s="28"/>
      <c r="K78" s="65"/>
      <c r="L78" s="64">
        <f t="shared" si="73"/>
        <v>0</v>
      </c>
      <c r="M78" s="28"/>
      <c r="N78" s="28"/>
      <c r="O78" s="65"/>
      <c r="P78" s="64">
        <f t="shared" si="74"/>
        <v>0</v>
      </c>
      <c r="Q78" s="28"/>
      <c r="R78" s="28"/>
      <c r="S78" s="65"/>
      <c r="T78" s="64">
        <f t="shared" si="75"/>
        <v>0</v>
      </c>
      <c r="U78" s="28"/>
      <c r="V78" s="28"/>
      <c r="W78" s="65"/>
      <c r="X78" s="64">
        <f t="shared" si="76"/>
        <v>0</v>
      </c>
      <c r="Y78" s="28"/>
      <c r="Z78" s="28"/>
      <c r="AA78" s="65"/>
      <c r="AB78" s="64">
        <f t="shared" si="77"/>
        <v>0</v>
      </c>
      <c r="AC78" s="28"/>
      <c r="AD78" s="28"/>
      <c r="AE78" s="65"/>
      <c r="AF78" s="64">
        <f t="shared" si="78"/>
        <v>0</v>
      </c>
      <c r="AG78" s="28"/>
      <c r="AH78" s="28"/>
      <c r="AI78" s="65"/>
      <c r="AJ78" s="64">
        <f t="shared" si="79"/>
        <v>0</v>
      </c>
      <c r="AK78" s="28"/>
      <c r="AL78" s="28"/>
      <c r="AM78" s="65"/>
      <c r="AN78" s="64">
        <f t="shared" si="80"/>
        <v>0</v>
      </c>
      <c r="AO78" s="28"/>
      <c r="AP78" s="28"/>
      <c r="AQ78" s="65"/>
      <c r="AR78" s="64">
        <f t="shared" si="81"/>
        <v>0</v>
      </c>
      <c r="AS78" s="28"/>
      <c r="AT78" s="28"/>
      <c r="AU78" s="65"/>
      <c r="AV78" s="64">
        <f t="shared" si="82"/>
        <v>0</v>
      </c>
      <c r="AW78" s="28"/>
      <c r="AX78" s="28"/>
      <c r="AY78" s="65"/>
      <c r="AZ78" s="64">
        <f t="shared" si="83"/>
        <v>0</v>
      </c>
      <c r="BA78" s="28"/>
      <c r="BB78" s="28"/>
      <c r="BC78" s="65"/>
      <c r="BD78" s="64">
        <f t="shared" si="84"/>
        <v>0</v>
      </c>
      <c r="BE78" s="28"/>
      <c r="BF78" s="28"/>
      <c r="BG78" s="65"/>
      <c r="BH78" s="64">
        <f t="shared" si="85"/>
        <v>0</v>
      </c>
      <c r="BI78" s="28"/>
      <c r="BJ78" s="28"/>
      <c r="BK78" s="65"/>
      <c r="BL78" s="64">
        <f t="shared" si="86"/>
        <v>0</v>
      </c>
      <c r="BM78" s="28"/>
      <c r="BN78" s="28"/>
      <c r="BO78" s="65"/>
      <c r="BP78" s="64">
        <f t="shared" si="87"/>
        <v>0</v>
      </c>
      <c r="BQ78" s="28"/>
      <c r="BR78" s="28"/>
      <c r="BS78" s="65"/>
      <c r="BT78" s="64">
        <f t="shared" si="88"/>
        <v>0</v>
      </c>
      <c r="BU78" s="28"/>
      <c r="BV78" s="28"/>
      <c r="BW78" s="65"/>
      <c r="BX78" s="64">
        <f t="shared" si="89"/>
        <v>0</v>
      </c>
      <c r="BY78" s="28"/>
      <c r="BZ78" s="28"/>
      <c r="CA78" s="65"/>
      <c r="CB78" s="64">
        <f t="shared" si="90"/>
        <v>0</v>
      </c>
      <c r="CC78" s="28"/>
      <c r="CD78" s="28"/>
      <c r="CE78" s="65"/>
      <c r="CF78" s="64">
        <f t="shared" si="91"/>
        <v>0</v>
      </c>
      <c r="CG78" s="28"/>
      <c r="CH78" s="28"/>
      <c r="CI78" s="65"/>
      <c r="CJ78" s="64">
        <f t="shared" si="92"/>
        <v>0</v>
      </c>
      <c r="CK78" s="28"/>
      <c r="CL78" s="28"/>
      <c r="CM78" s="65"/>
      <c r="CN78" s="64">
        <f t="shared" si="93"/>
        <v>0</v>
      </c>
      <c r="CO78" s="28"/>
      <c r="CP78" s="28"/>
      <c r="CQ78" s="65"/>
      <c r="CR78" s="64">
        <f t="shared" si="94"/>
        <v>0</v>
      </c>
      <c r="CS78" s="28"/>
      <c r="CT78" s="28"/>
      <c r="CU78" s="65"/>
      <c r="CV78" s="64">
        <f t="shared" si="95"/>
        <v>0</v>
      </c>
      <c r="CW78" s="28"/>
      <c r="CX78" s="28"/>
      <c r="CY78" s="65"/>
      <c r="CZ78" s="64">
        <f t="shared" si="96"/>
        <v>0</v>
      </c>
      <c r="DA78" s="28"/>
      <c r="DB78" s="28"/>
      <c r="DC78" s="65"/>
      <c r="DD78" s="64">
        <f t="shared" si="97"/>
        <v>0</v>
      </c>
      <c r="DE78" s="28"/>
      <c r="DF78" s="28"/>
      <c r="DG78" s="65"/>
      <c r="DH78" s="64">
        <f t="shared" si="98"/>
        <v>0</v>
      </c>
      <c r="DI78" s="28"/>
      <c r="DJ78" s="28"/>
      <c r="DK78" s="65"/>
      <c r="DL78" s="64">
        <f t="shared" si="99"/>
        <v>0</v>
      </c>
      <c r="DM78" s="28"/>
      <c r="DN78" s="28"/>
      <c r="DO78" s="65"/>
      <c r="DP78" s="64">
        <f t="shared" si="100"/>
        <v>0</v>
      </c>
      <c r="DQ78" s="28"/>
      <c r="DR78" s="28"/>
      <c r="DS78" s="65"/>
      <c r="DT78" s="64">
        <f t="shared" si="101"/>
        <v>0</v>
      </c>
      <c r="DU78" s="28"/>
      <c r="DV78" s="28"/>
      <c r="DW78" s="65"/>
      <c r="DX78" s="30">
        <f t="shared" si="102"/>
        <v>0</v>
      </c>
      <c r="DY78" s="31">
        <f t="shared" si="69"/>
        <v>0</v>
      </c>
      <c r="DZ78" s="31">
        <f t="shared" si="70"/>
        <v>0</v>
      </c>
      <c r="EA78" s="4">
        <f t="shared" si="71"/>
        <v>0</v>
      </c>
      <c r="EB78" s="9">
        <f>D78*'MASTER SHEET'!D78</f>
        <v>0</v>
      </c>
      <c r="EC78" s="9">
        <f>H78*'MASTER SHEET'!D78</f>
        <v>0</v>
      </c>
      <c r="ED78" s="9">
        <f>L78*'MASTER SHEET'!D78</f>
        <v>0</v>
      </c>
      <c r="EE78" s="9">
        <f>P78*'MASTER SHEET'!D78</f>
        <v>0</v>
      </c>
      <c r="EF78" s="9">
        <f>T78*'MASTER SHEET'!D78</f>
        <v>0</v>
      </c>
      <c r="EG78" s="9">
        <f>X78*'MASTER SHEET'!D78</f>
        <v>0</v>
      </c>
      <c r="EH78" s="9">
        <f>AB78*'MASTER SHEET'!D78</f>
        <v>0</v>
      </c>
      <c r="EI78" s="9">
        <f>AF78*'MASTER SHEET'!D78</f>
        <v>0</v>
      </c>
      <c r="EJ78" s="9">
        <f>AJ78*'MASTER SHEET'!D78</f>
        <v>0</v>
      </c>
      <c r="EK78" s="9">
        <f>AN78*'MASTER SHEET'!D78</f>
        <v>0</v>
      </c>
      <c r="EL78" s="9">
        <f>AR78*'MASTER SHEET'!D78</f>
        <v>0</v>
      </c>
      <c r="EM78" s="9">
        <f>AV78*'MASTER SHEET'!D78</f>
        <v>0</v>
      </c>
      <c r="EN78" s="9">
        <f>AZ78*'MASTER SHEET'!D78</f>
        <v>0</v>
      </c>
      <c r="EO78" s="9">
        <f>BD78*'MASTER SHEET'!D78</f>
        <v>0</v>
      </c>
      <c r="EP78" s="9">
        <f>BH78*'MASTER SHEET'!D78</f>
        <v>0</v>
      </c>
      <c r="EQ78" s="9">
        <f>BL78*'MASTER SHEET'!D78</f>
        <v>0</v>
      </c>
      <c r="ER78" s="9">
        <f>BP78*'MASTER SHEET'!D78</f>
        <v>0</v>
      </c>
      <c r="ES78" s="9">
        <f>BT78*'MASTER SHEET'!D78</f>
        <v>0</v>
      </c>
      <c r="ET78" s="9">
        <f>BX78*'MASTER SHEET'!D78</f>
        <v>0</v>
      </c>
      <c r="EU78" s="9">
        <f>CB78*'MASTER SHEET'!D78</f>
        <v>0</v>
      </c>
      <c r="EV78" s="9">
        <f>CF78*'MASTER SHEET'!D78</f>
        <v>0</v>
      </c>
      <c r="EW78" s="9">
        <f>CJ78*'MASTER SHEET'!D78</f>
        <v>0</v>
      </c>
      <c r="EX78" s="9">
        <f>CN78*'MASTER SHEET'!D78</f>
        <v>0</v>
      </c>
      <c r="EY78" s="9">
        <f>CV78*'MASTER SHEET'!D78</f>
        <v>0</v>
      </c>
      <c r="EZ78" s="9">
        <f>CV78*'MASTER SHEET'!D78</f>
        <v>0</v>
      </c>
      <c r="FA78" s="9">
        <f>CZ78*'MASTER SHEET'!D78</f>
        <v>0</v>
      </c>
      <c r="FB78" s="9">
        <f>DD78*'MASTER SHEET'!D78</f>
        <v>0</v>
      </c>
      <c r="FC78" s="9">
        <f>DH78*'MASTER SHEET'!D78</f>
        <v>0</v>
      </c>
      <c r="FD78" s="9">
        <f>DL78*'MASTER SHEET'!D78</f>
        <v>0</v>
      </c>
      <c r="FE78" s="9">
        <f>DP78*'MASTER SHEET'!D78</f>
        <v>0</v>
      </c>
      <c r="FF78" s="9">
        <f>DT78*'MASTER SHEET'!D78</f>
        <v>0</v>
      </c>
      <c r="FG78" s="9">
        <f>DX78*'MASTER SHEET'!D78</f>
        <v>0</v>
      </c>
    </row>
    <row r="79" spans="1:163" ht="20.25" x14ac:dyDescent="0.25">
      <c r="A79" s="43">
        <f>'MASTER SHEET'!A79</f>
        <v>77</v>
      </c>
      <c r="B79" s="26">
        <f>'MASTER SHEET'!B79</f>
        <v>0</v>
      </c>
      <c r="C79" s="82">
        <f>'MASTER SHEET'!C79</f>
        <v>5032514</v>
      </c>
      <c r="D79" s="64"/>
      <c r="E79" s="28"/>
      <c r="F79" s="28"/>
      <c r="G79" s="65"/>
      <c r="H79" s="64">
        <f t="shared" si="72"/>
        <v>0</v>
      </c>
      <c r="I79" s="28"/>
      <c r="J79" s="28"/>
      <c r="K79" s="65"/>
      <c r="L79" s="64">
        <f t="shared" si="73"/>
        <v>0</v>
      </c>
      <c r="M79" s="28"/>
      <c r="N79" s="28"/>
      <c r="O79" s="65"/>
      <c r="P79" s="64">
        <f t="shared" si="74"/>
        <v>0</v>
      </c>
      <c r="Q79" s="28"/>
      <c r="R79" s="28"/>
      <c r="S79" s="65"/>
      <c r="T79" s="64">
        <f t="shared" si="75"/>
        <v>0</v>
      </c>
      <c r="U79" s="28"/>
      <c r="V79" s="28"/>
      <c r="W79" s="65"/>
      <c r="X79" s="64">
        <f t="shared" si="76"/>
        <v>0</v>
      </c>
      <c r="Y79" s="28"/>
      <c r="Z79" s="28"/>
      <c r="AA79" s="65"/>
      <c r="AB79" s="64">
        <f t="shared" si="77"/>
        <v>0</v>
      </c>
      <c r="AC79" s="28"/>
      <c r="AD79" s="28"/>
      <c r="AE79" s="65"/>
      <c r="AF79" s="64">
        <f t="shared" si="78"/>
        <v>0</v>
      </c>
      <c r="AG79" s="28"/>
      <c r="AH79" s="28"/>
      <c r="AI79" s="65"/>
      <c r="AJ79" s="64">
        <f t="shared" si="79"/>
        <v>0</v>
      </c>
      <c r="AK79" s="28"/>
      <c r="AL79" s="28"/>
      <c r="AM79" s="65"/>
      <c r="AN79" s="64">
        <f t="shared" si="80"/>
        <v>0</v>
      </c>
      <c r="AO79" s="28"/>
      <c r="AP79" s="28"/>
      <c r="AQ79" s="65"/>
      <c r="AR79" s="64">
        <f t="shared" si="81"/>
        <v>0</v>
      </c>
      <c r="AS79" s="28"/>
      <c r="AT79" s="28"/>
      <c r="AU79" s="65"/>
      <c r="AV79" s="64">
        <f t="shared" si="82"/>
        <v>0</v>
      </c>
      <c r="AW79" s="28"/>
      <c r="AX79" s="28"/>
      <c r="AY79" s="65"/>
      <c r="AZ79" s="64">
        <f t="shared" si="83"/>
        <v>0</v>
      </c>
      <c r="BA79" s="28"/>
      <c r="BB79" s="28"/>
      <c r="BC79" s="65"/>
      <c r="BD79" s="64">
        <f t="shared" si="84"/>
        <v>0</v>
      </c>
      <c r="BE79" s="28"/>
      <c r="BF79" s="28"/>
      <c r="BG79" s="65"/>
      <c r="BH79" s="64">
        <f t="shared" si="85"/>
        <v>0</v>
      </c>
      <c r="BI79" s="28"/>
      <c r="BJ79" s="28"/>
      <c r="BK79" s="65"/>
      <c r="BL79" s="64">
        <f t="shared" si="86"/>
        <v>0</v>
      </c>
      <c r="BM79" s="28"/>
      <c r="BN79" s="28"/>
      <c r="BO79" s="65"/>
      <c r="BP79" s="64">
        <f t="shared" si="87"/>
        <v>0</v>
      </c>
      <c r="BQ79" s="28"/>
      <c r="BR79" s="28"/>
      <c r="BS79" s="65"/>
      <c r="BT79" s="64">
        <f t="shared" si="88"/>
        <v>0</v>
      </c>
      <c r="BU79" s="28"/>
      <c r="BV79" s="28"/>
      <c r="BW79" s="65"/>
      <c r="BX79" s="64">
        <f t="shared" si="89"/>
        <v>0</v>
      </c>
      <c r="BY79" s="28"/>
      <c r="BZ79" s="28"/>
      <c r="CA79" s="65"/>
      <c r="CB79" s="64">
        <f t="shared" si="90"/>
        <v>0</v>
      </c>
      <c r="CC79" s="28"/>
      <c r="CD79" s="28"/>
      <c r="CE79" s="65"/>
      <c r="CF79" s="64">
        <f t="shared" si="91"/>
        <v>0</v>
      </c>
      <c r="CG79" s="28"/>
      <c r="CH79" s="28"/>
      <c r="CI79" s="65"/>
      <c r="CJ79" s="64">
        <f t="shared" si="92"/>
        <v>0</v>
      </c>
      <c r="CK79" s="28"/>
      <c r="CL79" s="28"/>
      <c r="CM79" s="65"/>
      <c r="CN79" s="64">
        <f t="shared" si="93"/>
        <v>0</v>
      </c>
      <c r="CO79" s="28"/>
      <c r="CP79" s="28"/>
      <c r="CQ79" s="65"/>
      <c r="CR79" s="64">
        <f t="shared" si="94"/>
        <v>0</v>
      </c>
      <c r="CS79" s="28"/>
      <c r="CT79" s="28"/>
      <c r="CU79" s="65"/>
      <c r="CV79" s="64">
        <f t="shared" si="95"/>
        <v>0</v>
      </c>
      <c r="CW79" s="28"/>
      <c r="CX79" s="28"/>
      <c r="CY79" s="65"/>
      <c r="CZ79" s="64">
        <f t="shared" si="96"/>
        <v>0</v>
      </c>
      <c r="DA79" s="28"/>
      <c r="DB79" s="28"/>
      <c r="DC79" s="65"/>
      <c r="DD79" s="64">
        <f t="shared" si="97"/>
        <v>0</v>
      </c>
      <c r="DE79" s="28"/>
      <c r="DF79" s="28"/>
      <c r="DG79" s="65"/>
      <c r="DH79" s="64">
        <f t="shared" si="98"/>
        <v>0</v>
      </c>
      <c r="DI79" s="28"/>
      <c r="DJ79" s="28"/>
      <c r="DK79" s="65"/>
      <c r="DL79" s="64">
        <f t="shared" si="99"/>
        <v>0</v>
      </c>
      <c r="DM79" s="28"/>
      <c r="DN79" s="28"/>
      <c r="DO79" s="65"/>
      <c r="DP79" s="64">
        <f t="shared" si="100"/>
        <v>0</v>
      </c>
      <c r="DQ79" s="28"/>
      <c r="DR79" s="28"/>
      <c r="DS79" s="65"/>
      <c r="DT79" s="64">
        <f t="shared" si="101"/>
        <v>0</v>
      </c>
      <c r="DU79" s="28"/>
      <c r="DV79" s="28"/>
      <c r="DW79" s="65"/>
      <c r="DX79" s="30">
        <f t="shared" si="102"/>
        <v>0</v>
      </c>
      <c r="DY79" s="31">
        <f t="shared" si="69"/>
        <v>0</v>
      </c>
      <c r="DZ79" s="31">
        <f t="shared" si="70"/>
        <v>0</v>
      </c>
      <c r="EA79" s="4">
        <f t="shared" si="71"/>
        <v>0</v>
      </c>
      <c r="EB79" s="9">
        <f>D79*'MASTER SHEET'!D79</f>
        <v>0</v>
      </c>
      <c r="EC79" s="9">
        <f>H79*'MASTER SHEET'!D79</f>
        <v>0</v>
      </c>
      <c r="ED79" s="9">
        <f>L79*'MASTER SHEET'!D79</f>
        <v>0</v>
      </c>
      <c r="EE79" s="9">
        <f>P79*'MASTER SHEET'!D79</f>
        <v>0</v>
      </c>
      <c r="EF79" s="9">
        <f>T79*'MASTER SHEET'!D79</f>
        <v>0</v>
      </c>
      <c r="EG79" s="9">
        <f>X79*'MASTER SHEET'!D79</f>
        <v>0</v>
      </c>
      <c r="EH79" s="9">
        <f>AB79*'MASTER SHEET'!D79</f>
        <v>0</v>
      </c>
      <c r="EI79" s="9">
        <f>AF79*'MASTER SHEET'!D79</f>
        <v>0</v>
      </c>
      <c r="EJ79" s="9">
        <f>AJ79*'MASTER SHEET'!D79</f>
        <v>0</v>
      </c>
      <c r="EK79" s="9">
        <f>AN79*'MASTER SHEET'!D79</f>
        <v>0</v>
      </c>
      <c r="EL79" s="9">
        <f>AR79*'MASTER SHEET'!D79</f>
        <v>0</v>
      </c>
      <c r="EM79" s="9">
        <f>AV79*'MASTER SHEET'!D79</f>
        <v>0</v>
      </c>
      <c r="EN79" s="9">
        <f>AZ79*'MASTER SHEET'!D79</f>
        <v>0</v>
      </c>
      <c r="EO79" s="9">
        <f>BD79*'MASTER SHEET'!D79</f>
        <v>0</v>
      </c>
      <c r="EP79" s="9">
        <f>BH79*'MASTER SHEET'!D79</f>
        <v>0</v>
      </c>
      <c r="EQ79" s="9">
        <f>BL79*'MASTER SHEET'!D79</f>
        <v>0</v>
      </c>
      <c r="ER79" s="9">
        <f>BP79*'MASTER SHEET'!D79</f>
        <v>0</v>
      </c>
      <c r="ES79" s="9">
        <f>BT79*'MASTER SHEET'!D79</f>
        <v>0</v>
      </c>
      <c r="ET79" s="9">
        <f>BX79*'MASTER SHEET'!D79</f>
        <v>0</v>
      </c>
      <c r="EU79" s="9">
        <f>CB79*'MASTER SHEET'!D79</f>
        <v>0</v>
      </c>
      <c r="EV79" s="9">
        <f>CF79*'MASTER SHEET'!D79</f>
        <v>0</v>
      </c>
      <c r="EW79" s="9">
        <f>CJ79*'MASTER SHEET'!D79</f>
        <v>0</v>
      </c>
      <c r="EX79" s="9">
        <f>CN79*'MASTER SHEET'!D79</f>
        <v>0</v>
      </c>
      <c r="EY79" s="9">
        <f>CV79*'MASTER SHEET'!D79</f>
        <v>0</v>
      </c>
      <c r="EZ79" s="9">
        <f>CV79*'MASTER SHEET'!D79</f>
        <v>0</v>
      </c>
      <c r="FA79" s="9">
        <f>CZ79*'MASTER SHEET'!D79</f>
        <v>0</v>
      </c>
      <c r="FB79" s="9">
        <f>DD79*'MASTER SHEET'!D79</f>
        <v>0</v>
      </c>
      <c r="FC79" s="9">
        <f>DH79*'MASTER SHEET'!D79</f>
        <v>0</v>
      </c>
      <c r="FD79" s="9">
        <f>DL79*'MASTER SHEET'!D79</f>
        <v>0</v>
      </c>
      <c r="FE79" s="9">
        <f>DP79*'MASTER SHEET'!D79</f>
        <v>0</v>
      </c>
      <c r="FF79" s="9">
        <f>DT79*'MASTER SHEET'!D79</f>
        <v>0</v>
      </c>
      <c r="FG79" s="9">
        <f>DX79*'MASTER SHEET'!D79</f>
        <v>0</v>
      </c>
    </row>
    <row r="80" spans="1:163" ht="20.25" x14ac:dyDescent="0.25">
      <c r="A80" s="43">
        <f>'MASTER SHEET'!A80</f>
        <v>78</v>
      </c>
      <c r="B80" s="26">
        <f>'MASTER SHEET'!B80</f>
        <v>0</v>
      </c>
      <c r="C80" s="82">
        <f>'MASTER SHEET'!C80</f>
        <v>5031194</v>
      </c>
      <c r="D80" s="64"/>
      <c r="E80" s="28"/>
      <c r="F80" s="28"/>
      <c r="G80" s="65"/>
      <c r="H80" s="64">
        <f t="shared" si="72"/>
        <v>0</v>
      </c>
      <c r="I80" s="28"/>
      <c r="J80" s="28"/>
      <c r="K80" s="65"/>
      <c r="L80" s="64">
        <f t="shared" si="73"/>
        <v>0</v>
      </c>
      <c r="M80" s="28"/>
      <c r="N80" s="28"/>
      <c r="O80" s="65"/>
      <c r="P80" s="64">
        <f t="shared" si="74"/>
        <v>0</v>
      </c>
      <c r="Q80" s="28"/>
      <c r="R80" s="28"/>
      <c r="S80" s="65"/>
      <c r="T80" s="64">
        <f t="shared" si="75"/>
        <v>0</v>
      </c>
      <c r="U80" s="28"/>
      <c r="V80" s="28"/>
      <c r="W80" s="65"/>
      <c r="X80" s="64">
        <f t="shared" si="76"/>
        <v>0</v>
      </c>
      <c r="Y80" s="28"/>
      <c r="Z80" s="28"/>
      <c r="AA80" s="65"/>
      <c r="AB80" s="64">
        <f t="shared" si="77"/>
        <v>0</v>
      </c>
      <c r="AC80" s="28"/>
      <c r="AD80" s="28"/>
      <c r="AE80" s="65"/>
      <c r="AF80" s="64">
        <f t="shared" si="78"/>
        <v>0</v>
      </c>
      <c r="AG80" s="28"/>
      <c r="AH80" s="28"/>
      <c r="AI80" s="65"/>
      <c r="AJ80" s="64">
        <f t="shared" si="79"/>
        <v>0</v>
      </c>
      <c r="AK80" s="28"/>
      <c r="AL80" s="28"/>
      <c r="AM80" s="65"/>
      <c r="AN80" s="64">
        <f t="shared" si="80"/>
        <v>0</v>
      </c>
      <c r="AO80" s="28"/>
      <c r="AP80" s="28"/>
      <c r="AQ80" s="65"/>
      <c r="AR80" s="64">
        <f t="shared" si="81"/>
        <v>0</v>
      </c>
      <c r="AS80" s="28"/>
      <c r="AT80" s="28"/>
      <c r="AU80" s="65"/>
      <c r="AV80" s="64">
        <f t="shared" si="82"/>
        <v>0</v>
      </c>
      <c r="AW80" s="28"/>
      <c r="AX80" s="28"/>
      <c r="AY80" s="65"/>
      <c r="AZ80" s="64">
        <f t="shared" si="83"/>
        <v>0</v>
      </c>
      <c r="BA80" s="28"/>
      <c r="BB80" s="28"/>
      <c r="BC80" s="65"/>
      <c r="BD80" s="64">
        <f t="shared" si="84"/>
        <v>0</v>
      </c>
      <c r="BE80" s="28"/>
      <c r="BF80" s="28"/>
      <c r="BG80" s="65"/>
      <c r="BH80" s="64">
        <f t="shared" si="85"/>
        <v>0</v>
      </c>
      <c r="BI80" s="28"/>
      <c r="BJ80" s="28"/>
      <c r="BK80" s="65"/>
      <c r="BL80" s="64">
        <f t="shared" si="86"/>
        <v>0</v>
      </c>
      <c r="BM80" s="28"/>
      <c r="BN80" s="28"/>
      <c r="BO80" s="65"/>
      <c r="BP80" s="64">
        <f t="shared" si="87"/>
        <v>0</v>
      </c>
      <c r="BQ80" s="28"/>
      <c r="BR80" s="28"/>
      <c r="BS80" s="65"/>
      <c r="BT80" s="64">
        <f t="shared" si="88"/>
        <v>0</v>
      </c>
      <c r="BU80" s="28"/>
      <c r="BV80" s="28"/>
      <c r="BW80" s="65"/>
      <c r="BX80" s="64">
        <f t="shared" si="89"/>
        <v>0</v>
      </c>
      <c r="BY80" s="28"/>
      <c r="BZ80" s="28"/>
      <c r="CA80" s="65"/>
      <c r="CB80" s="64">
        <f t="shared" si="90"/>
        <v>0</v>
      </c>
      <c r="CC80" s="28"/>
      <c r="CD80" s="28"/>
      <c r="CE80" s="65"/>
      <c r="CF80" s="64">
        <f t="shared" si="91"/>
        <v>0</v>
      </c>
      <c r="CG80" s="28"/>
      <c r="CH80" s="28"/>
      <c r="CI80" s="65"/>
      <c r="CJ80" s="64">
        <f t="shared" si="92"/>
        <v>0</v>
      </c>
      <c r="CK80" s="28"/>
      <c r="CL80" s="28"/>
      <c r="CM80" s="65"/>
      <c r="CN80" s="64">
        <f t="shared" si="93"/>
        <v>0</v>
      </c>
      <c r="CO80" s="28"/>
      <c r="CP80" s="28"/>
      <c r="CQ80" s="65"/>
      <c r="CR80" s="64">
        <f t="shared" si="94"/>
        <v>0</v>
      </c>
      <c r="CS80" s="28"/>
      <c r="CT80" s="28"/>
      <c r="CU80" s="65"/>
      <c r="CV80" s="64">
        <f t="shared" si="95"/>
        <v>0</v>
      </c>
      <c r="CW80" s="28"/>
      <c r="CX80" s="28"/>
      <c r="CY80" s="65"/>
      <c r="CZ80" s="64">
        <f t="shared" si="96"/>
        <v>0</v>
      </c>
      <c r="DA80" s="28"/>
      <c r="DB80" s="28"/>
      <c r="DC80" s="65"/>
      <c r="DD80" s="64">
        <f t="shared" si="97"/>
        <v>0</v>
      </c>
      <c r="DE80" s="28"/>
      <c r="DF80" s="28"/>
      <c r="DG80" s="65"/>
      <c r="DH80" s="64">
        <f t="shared" si="98"/>
        <v>0</v>
      </c>
      <c r="DI80" s="28"/>
      <c r="DJ80" s="28"/>
      <c r="DK80" s="65"/>
      <c r="DL80" s="64">
        <f t="shared" si="99"/>
        <v>0</v>
      </c>
      <c r="DM80" s="28"/>
      <c r="DN80" s="28"/>
      <c r="DO80" s="65"/>
      <c r="DP80" s="64">
        <f t="shared" si="100"/>
        <v>0</v>
      </c>
      <c r="DQ80" s="28"/>
      <c r="DR80" s="28"/>
      <c r="DS80" s="65"/>
      <c r="DT80" s="64">
        <f t="shared" si="101"/>
        <v>0</v>
      </c>
      <c r="DU80" s="28"/>
      <c r="DV80" s="28"/>
      <c r="DW80" s="65"/>
      <c r="DX80" s="30">
        <f t="shared" si="102"/>
        <v>0</v>
      </c>
      <c r="DY80" s="31">
        <f t="shared" si="69"/>
        <v>0</v>
      </c>
      <c r="DZ80" s="31">
        <f t="shared" si="70"/>
        <v>0</v>
      </c>
      <c r="EA80" s="4">
        <f t="shared" si="71"/>
        <v>0</v>
      </c>
      <c r="EB80" s="9">
        <f>D80*'MASTER SHEET'!D80</f>
        <v>0</v>
      </c>
      <c r="EC80" s="9">
        <f>H80*'MASTER SHEET'!D80</f>
        <v>0</v>
      </c>
      <c r="ED80" s="9">
        <f>L80*'MASTER SHEET'!D80</f>
        <v>0</v>
      </c>
      <c r="EE80" s="9">
        <f>P80*'MASTER SHEET'!D80</f>
        <v>0</v>
      </c>
      <c r="EF80" s="9">
        <f>T80*'MASTER SHEET'!D80</f>
        <v>0</v>
      </c>
      <c r="EG80" s="9">
        <f>X80*'MASTER SHEET'!D80</f>
        <v>0</v>
      </c>
      <c r="EH80" s="9">
        <f>AB80*'MASTER SHEET'!D80</f>
        <v>0</v>
      </c>
      <c r="EI80" s="9">
        <f>AF80*'MASTER SHEET'!D80</f>
        <v>0</v>
      </c>
      <c r="EJ80" s="9">
        <f>AJ80*'MASTER SHEET'!D80</f>
        <v>0</v>
      </c>
      <c r="EK80" s="9">
        <f>AN80*'MASTER SHEET'!D80</f>
        <v>0</v>
      </c>
      <c r="EL80" s="9">
        <f>AR80*'MASTER SHEET'!D80</f>
        <v>0</v>
      </c>
      <c r="EM80" s="9">
        <f>AV80*'MASTER SHEET'!D80</f>
        <v>0</v>
      </c>
      <c r="EN80" s="9">
        <f>AZ80*'MASTER SHEET'!D80</f>
        <v>0</v>
      </c>
      <c r="EO80" s="9">
        <f>BD80*'MASTER SHEET'!D80</f>
        <v>0</v>
      </c>
      <c r="EP80" s="9">
        <f>BH80*'MASTER SHEET'!D80</f>
        <v>0</v>
      </c>
      <c r="EQ80" s="9">
        <f>BL80*'MASTER SHEET'!D80</f>
        <v>0</v>
      </c>
      <c r="ER80" s="9">
        <f>BP80*'MASTER SHEET'!D80</f>
        <v>0</v>
      </c>
      <c r="ES80" s="9">
        <f>BT80*'MASTER SHEET'!D80</f>
        <v>0</v>
      </c>
      <c r="ET80" s="9">
        <f>BX80*'MASTER SHEET'!D80</f>
        <v>0</v>
      </c>
      <c r="EU80" s="9">
        <f>CB80*'MASTER SHEET'!D80</f>
        <v>0</v>
      </c>
      <c r="EV80" s="9">
        <f>CF80*'MASTER SHEET'!D80</f>
        <v>0</v>
      </c>
      <c r="EW80" s="9">
        <f>CJ80*'MASTER SHEET'!D80</f>
        <v>0</v>
      </c>
      <c r="EX80" s="9">
        <f>CN80*'MASTER SHEET'!D80</f>
        <v>0</v>
      </c>
      <c r="EY80" s="9">
        <f>CV80*'MASTER SHEET'!D80</f>
        <v>0</v>
      </c>
      <c r="EZ80" s="9">
        <f>CV80*'MASTER SHEET'!D80</f>
        <v>0</v>
      </c>
      <c r="FA80" s="9">
        <f>CZ80*'MASTER SHEET'!D80</f>
        <v>0</v>
      </c>
      <c r="FB80" s="9">
        <f>DD80*'MASTER SHEET'!D80</f>
        <v>0</v>
      </c>
      <c r="FC80" s="9">
        <f>DH80*'MASTER SHEET'!D80</f>
        <v>0</v>
      </c>
      <c r="FD80" s="9">
        <f>DL80*'MASTER SHEET'!D80</f>
        <v>0</v>
      </c>
      <c r="FE80" s="9">
        <f>DP80*'MASTER SHEET'!D80</f>
        <v>0</v>
      </c>
      <c r="FF80" s="9">
        <f>DT80*'MASTER SHEET'!D80</f>
        <v>0</v>
      </c>
      <c r="FG80" s="9">
        <f>DX80*'MASTER SHEET'!D80</f>
        <v>0</v>
      </c>
    </row>
    <row r="81" spans="1:163" ht="20.25" x14ac:dyDescent="0.25">
      <c r="A81" s="43">
        <f>'MASTER SHEET'!A81</f>
        <v>79</v>
      </c>
      <c r="B81" s="26" t="str">
        <f>'MASTER SHEET'!B81</f>
        <v>COVER TOP, PLASTIC</v>
      </c>
      <c r="C81" s="82">
        <f>'MASTER SHEET'!C81</f>
        <v>5040709</v>
      </c>
      <c r="D81" s="64"/>
      <c r="E81" s="28"/>
      <c r="F81" s="28"/>
      <c r="G81" s="65"/>
      <c r="H81" s="64">
        <f t="shared" si="72"/>
        <v>0</v>
      </c>
      <c r="I81" s="28"/>
      <c r="J81" s="28"/>
      <c r="K81" s="65"/>
      <c r="L81" s="64">
        <f t="shared" si="73"/>
        <v>0</v>
      </c>
      <c r="M81" s="28"/>
      <c r="N81" s="28"/>
      <c r="O81" s="65"/>
      <c r="P81" s="64">
        <f t="shared" si="74"/>
        <v>0</v>
      </c>
      <c r="Q81" s="28"/>
      <c r="R81" s="28"/>
      <c r="S81" s="65"/>
      <c r="T81" s="64">
        <f t="shared" si="75"/>
        <v>0</v>
      </c>
      <c r="U81" s="28"/>
      <c r="V81" s="28"/>
      <c r="W81" s="65"/>
      <c r="X81" s="64">
        <f t="shared" si="76"/>
        <v>0</v>
      </c>
      <c r="Y81" s="28"/>
      <c r="Z81" s="28"/>
      <c r="AA81" s="65"/>
      <c r="AB81" s="64">
        <f t="shared" si="77"/>
        <v>0</v>
      </c>
      <c r="AC81" s="28"/>
      <c r="AD81" s="28"/>
      <c r="AE81" s="65"/>
      <c r="AF81" s="64">
        <f t="shared" si="78"/>
        <v>0</v>
      </c>
      <c r="AG81" s="28"/>
      <c r="AH81" s="28"/>
      <c r="AI81" s="65"/>
      <c r="AJ81" s="64">
        <f t="shared" si="79"/>
        <v>0</v>
      </c>
      <c r="AK81" s="28"/>
      <c r="AL81" s="28"/>
      <c r="AM81" s="65"/>
      <c r="AN81" s="64">
        <f t="shared" si="80"/>
        <v>0</v>
      </c>
      <c r="AO81" s="28"/>
      <c r="AP81" s="28"/>
      <c r="AQ81" s="65"/>
      <c r="AR81" s="64">
        <f t="shared" si="81"/>
        <v>0</v>
      </c>
      <c r="AS81" s="28"/>
      <c r="AT81" s="28"/>
      <c r="AU81" s="65"/>
      <c r="AV81" s="64">
        <f t="shared" si="82"/>
        <v>0</v>
      </c>
      <c r="AW81" s="28"/>
      <c r="AX81" s="28"/>
      <c r="AY81" s="65"/>
      <c r="AZ81" s="64">
        <f t="shared" si="83"/>
        <v>0</v>
      </c>
      <c r="BA81" s="28"/>
      <c r="BB81" s="28"/>
      <c r="BC81" s="65"/>
      <c r="BD81" s="64">
        <f t="shared" si="84"/>
        <v>0</v>
      </c>
      <c r="BE81" s="28"/>
      <c r="BF81" s="28"/>
      <c r="BG81" s="65"/>
      <c r="BH81" s="64">
        <f t="shared" si="85"/>
        <v>0</v>
      </c>
      <c r="BI81" s="28"/>
      <c r="BJ81" s="28"/>
      <c r="BK81" s="65"/>
      <c r="BL81" s="64">
        <f t="shared" si="86"/>
        <v>0</v>
      </c>
      <c r="BM81" s="28"/>
      <c r="BN81" s="28"/>
      <c r="BO81" s="65"/>
      <c r="BP81" s="64">
        <f t="shared" si="87"/>
        <v>0</v>
      </c>
      <c r="BQ81" s="28"/>
      <c r="BR81" s="28"/>
      <c r="BS81" s="65"/>
      <c r="BT81" s="64">
        <f t="shared" si="88"/>
        <v>0</v>
      </c>
      <c r="BU81" s="28"/>
      <c r="BV81" s="28"/>
      <c r="BW81" s="65"/>
      <c r="BX81" s="64">
        <f t="shared" si="89"/>
        <v>0</v>
      </c>
      <c r="BY81" s="28"/>
      <c r="BZ81" s="28"/>
      <c r="CA81" s="65"/>
      <c r="CB81" s="64">
        <f t="shared" si="90"/>
        <v>0</v>
      </c>
      <c r="CC81" s="28"/>
      <c r="CD81" s="28"/>
      <c r="CE81" s="65"/>
      <c r="CF81" s="64">
        <f t="shared" si="91"/>
        <v>0</v>
      </c>
      <c r="CG81" s="28"/>
      <c r="CH81" s="28"/>
      <c r="CI81" s="65"/>
      <c r="CJ81" s="64">
        <f t="shared" si="92"/>
        <v>0</v>
      </c>
      <c r="CK81" s="28"/>
      <c r="CL81" s="28"/>
      <c r="CM81" s="65"/>
      <c r="CN81" s="64">
        <f t="shared" si="93"/>
        <v>0</v>
      </c>
      <c r="CO81" s="28"/>
      <c r="CP81" s="28"/>
      <c r="CQ81" s="65"/>
      <c r="CR81" s="64">
        <f t="shared" si="94"/>
        <v>0</v>
      </c>
      <c r="CS81" s="28"/>
      <c r="CT81" s="28"/>
      <c r="CU81" s="65"/>
      <c r="CV81" s="64">
        <f t="shared" si="95"/>
        <v>0</v>
      </c>
      <c r="CW81" s="28"/>
      <c r="CX81" s="28"/>
      <c r="CY81" s="65"/>
      <c r="CZ81" s="64">
        <f t="shared" si="96"/>
        <v>0</v>
      </c>
      <c r="DA81" s="28"/>
      <c r="DB81" s="28"/>
      <c r="DC81" s="65"/>
      <c r="DD81" s="64">
        <f t="shared" si="97"/>
        <v>0</v>
      </c>
      <c r="DE81" s="28"/>
      <c r="DF81" s="28"/>
      <c r="DG81" s="65"/>
      <c r="DH81" s="64">
        <f t="shared" si="98"/>
        <v>0</v>
      </c>
      <c r="DI81" s="28"/>
      <c r="DJ81" s="28"/>
      <c r="DK81" s="65"/>
      <c r="DL81" s="64">
        <f t="shared" si="99"/>
        <v>0</v>
      </c>
      <c r="DM81" s="28"/>
      <c r="DN81" s="28"/>
      <c r="DO81" s="65"/>
      <c r="DP81" s="64">
        <f t="shared" si="100"/>
        <v>0</v>
      </c>
      <c r="DQ81" s="28"/>
      <c r="DR81" s="28"/>
      <c r="DS81" s="65"/>
      <c r="DT81" s="64">
        <f t="shared" si="101"/>
        <v>0</v>
      </c>
      <c r="DU81" s="28"/>
      <c r="DV81" s="28"/>
      <c r="DW81" s="65"/>
      <c r="DX81" s="30">
        <f t="shared" si="102"/>
        <v>0</v>
      </c>
      <c r="DY81" s="31">
        <f t="shared" si="69"/>
        <v>0</v>
      </c>
      <c r="DZ81" s="31">
        <f t="shared" si="70"/>
        <v>0</v>
      </c>
      <c r="EA81" s="4">
        <f t="shared" si="71"/>
        <v>0</v>
      </c>
      <c r="EB81" s="9">
        <f>D81*'MASTER SHEET'!D81</f>
        <v>0</v>
      </c>
      <c r="EC81" s="9">
        <f>H81*'MASTER SHEET'!D81</f>
        <v>0</v>
      </c>
      <c r="ED81" s="9">
        <f>L81*'MASTER SHEET'!D81</f>
        <v>0</v>
      </c>
      <c r="EE81" s="9">
        <f>P81*'MASTER SHEET'!D81</f>
        <v>0</v>
      </c>
      <c r="EF81" s="9">
        <f>T81*'MASTER SHEET'!D81</f>
        <v>0</v>
      </c>
      <c r="EG81" s="9">
        <f>X81*'MASTER SHEET'!D81</f>
        <v>0</v>
      </c>
      <c r="EH81" s="9">
        <f>AB81*'MASTER SHEET'!D81</f>
        <v>0</v>
      </c>
      <c r="EI81" s="9">
        <f>AF81*'MASTER SHEET'!D81</f>
        <v>0</v>
      </c>
      <c r="EJ81" s="9">
        <f>AJ81*'MASTER SHEET'!D81</f>
        <v>0</v>
      </c>
      <c r="EK81" s="9">
        <f>AN81*'MASTER SHEET'!D81</f>
        <v>0</v>
      </c>
      <c r="EL81" s="9">
        <f>AR81*'MASTER SHEET'!D81</f>
        <v>0</v>
      </c>
      <c r="EM81" s="9">
        <f>AV81*'MASTER SHEET'!D81</f>
        <v>0</v>
      </c>
      <c r="EN81" s="9">
        <f>AZ81*'MASTER SHEET'!D81</f>
        <v>0</v>
      </c>
      <c r="EO81" s="9">
        <f>BD81*'MASTER SHEET'!D81</f>
        <v>0</v>
      </c>
      <c r="EP81" s="9">
        <f>BH81*'MASTER SHEET'!D81</f>
        <v>0</v>
      </c>
      <c r="EQ81" s="9">
        <f>BL81*'MASTER SHEET'!D81</f>
        <v>0</v>
      </c>
      <c r="ER81" s="9">
        <f>BP81*'MASTER SHEET'!D81</f>
        <v>0</v>
      </c>
      <c r="ES81" s="9">
        <f>BT81*'MASTER SHEET'!D81</f>
        <v>0</v>
      </c>
      <c r="ET81" s="9">
        <f>BX81*'MASTER SHEET'!D81</f>
        <v>0</v>
      </c>
      <c r="EU81" s="9">
        <f>CB81*'MASTER SHEET'!D81</f>
        <v>0</v>
      </c>
      <c r="EV81" s="9">
        <f>CF81*'MASTER SHEET'!D81</f>
        <v>0</v>
      </c>
      <c r="EW81" s="9">
        <f>CJ81*'MASTER SHEET'!D81</f>
        <v>0</v>
      </c>
      <c r="EX81" s="9">
        <f>CN81*'MASTER SHEET'!D81</f>
        <v>0</v>
      </c>
      <c r="EY81" s="9">
        <f>CV81*'MASTER SHEET'!D81</f>
        <v>0</v>
      </c>
      <c r="EZ81" s="9">
        <f>CV81*'MASTER SHEET'!D81</f>
        <v>0</v>
      </c>
      <c r="FA81" s="9">
        <f>CZ81*'MASTER SHEET'!D81</f>
        <v>0</v>
      </c>
      <c r="FB81" s="9">
        <f>DD81*'MASTER SHEET'!D81</f>
        <v>0</v>
      </c>
      <c r="FC81" s="9">
        <f>DH81*'MASTER SHEET'!D81</f>
        <v>0</v>
      </c>
      <c r="FD81" s="9">
        <f>DL81*'MASTER SHEET'!D81</f>
        <v>0</v>
      </c>
      <c r="FE81" s="9">
        <f>DP81*'MASTER SHEET'!D81</f>
        <v>0</v>
      </c>
      <c r="FF81" s="9">
        <f>DT81*'MASTER SHEET'!D81</f>
        <v>0</v>
      </c>
      <c r="FG81" s="9">
        <f>DX81*'MASTER SHEET'!D81</f>
        <v>0</v>
      </c>
    </row>
    <row r="82" spans="1:163" ht="20.25" x14ac:dyDescent="0.25">
      <c r="A82" s="43">
        <f>'MASTER SHEET'!A82</f>
        <v>80</v>
      </c>
      <c r="B82" s="26" t="str">
        <f>'MASTER SHEET'!B82</f>
        <v>VALVE BODY, PLASTIC</v>
      </c>
      <c r="C82" s="82">
        <f>'MASTER SHEET'!C82</f>
        <v>5040058</v>
      </c>
      <c r="D82" s="64"/>
      <c r="E82" s="28"/>
      <c r="F82" s="28"/>
      <c r="G82" s="65"/>
      <c r="H82" s="64">
        <f t="shared" si="72"/>
        <v>0</v>
      </c>
      <c r="I82" s="28"/>
      <c r="J82" s="28"/>
      <c r="K82" s="65"/>
      <c r="L82" s="64">
        <f t="shared" si="73"/>
        <v>0</v>
      </c>
      <c r="M82" s="28"/>
      <c r="N82" s="28"/>
      <c r="O82" s="65"/>
      <c r="P82" s="64">
        <f t="shared" si="74"/>
        <v>0</v>
      </c>
      <c r="Q82" s="28"/>
      <c r="R82" s="28"/>
      <c r="S82" s="65"/>
      <c r="T82" s="64">
        <f t="shared" si="75"/>
        <v>0</v>
      </c>
      <c r="U82" s="28"/>
      <c r="V82" s="28"/>
      <c r="W82" s="65"/>
      <c r="X82" s="64">
        <f t="shared" si="76"/>
        <v>0</v>
      </c>
      <c r="Y82" s="28"/>
      <c r="Z82" s="28"/>
      <c r="AA82" s="65"/>
      <c r="AB82" s="64">
        <f t="shared" si="77"/>
        <v>0</v>
      </c>
      <c r="AC82" s="28"/>
      <c r="AD82" s="28"/>
      <c r="AE82" s="65"/>
      <c r="AF82" s="64">
        <f t="shared" si="78"/>
        <v>0</v>
      </c>
      <c r="AG82" s="28"/>
      <c r="AH82" s="28"/>
      <c r="AI82" s="65"/>
      <c r="AJ82" s="64">
        <f t="shared" si="79"/>
        <v>0</v>
      </c>
      <c r="AK82" s="28"/>
      <c r="AL82" s="28"/>
      <c r="AM82" s="65"/>
      <c r="AN82" s="64">
        <f t="shared" si="80"/>
        <v>0</v>
      </c>
      <c r="AO82" s="28"/>
      <c r="AP82" s="28"/>
      <c r="AQ82" s="65"/>
      <c r="AR82" s="64">
        <f t="shared" si="81"/>
        <v>0</v>
      </c>
      <c r="AS82" s="28"/>
      <c r="AT82" s="28"/>
      <c r="AU82" s="65"/>
      <c r="AV82" s="64">
        <f t="shared" si="82"/>
        <v>0</v>
      </c>
      <c r="AW82" s="28"/>
      <c r="AX82" s="28"/>
      <c r="AY82" s="65"/>
      <c r="AZ82" s="64">
        <f t="shared" si="83"/>
        <v>0</v>
      </c>
      <c r="BA82" s="28"/>
      <c r="BB82" s="28"/>
      <c r="BC82" s="65"/>
      <c r="BD82" s="64">
        <f t="shared" si="84"/>
        <v>0</v>
      </c>
      <c r="BE82" s="28"/>
      <c r="BF82" s="28"/>
      <c r="BG82" s="65"/>
      <c r="BH82" s="64">
        <f t="shared" si="85"/>
        <v>0</v>
      </c>
      <c r="BI82" s="28"/>
      <c r="BJ82" s="28"/>
      <c r="BK82" s="65"/>
      <c r="BL82" s="64">
        <f t="shared" si="86"/>
        <v>0</v>
      </c>
      <c r="BM82" s="28"/>
      <c r="BN82" s="28"/>
      <c r="BO82" s="65"/>
      <c r="BP82" s="64">
        <f t="shared" si="87"/>
        <v>0</v>
      </c>
      <c r="BQ82" s="28"/>
      <c r="BR82" s="28"/>
      <c r="BS82" s="65"/>
      <c r="BT82" s="64">
        <f t="shared" si="88"/>
        <v>0</v>
      </c>
      <c r="BU82" s="28"/>
      <c r="BV82" s="28"/>
      <c r="BW82" s="65"/>
      <c r="BX82" s="64">
        <f t="shared" si="89"/>
        <v>0</v>
      </c>
      <c r="BY82" s="28"/>
      <c r="BZ82" s="28"/>
      <c r="CA82" s="65"/>
      <c r="CB82" s="64">
        <f t="shared" si="90"/>
        <v>0</v>
      </c>
      <c r="CC82" s="28"/>
      <c r="CD82" s="28"/>
      <c r="CE82" s="65"/>
      <c r="CF82" s="64">
        <f t="shared" si="91"/>
        <v>0</v>
      </c>
      <c r="CG82" s="28"/>
      <c r="CH82" s="28"/>
      <c r="CI82" s="65"/>
      <c r="CJ82" s="64">
        <f t="shared" si="92"/>
        <v>0</v>
      </c>
      <c r="CK82" s="28"/>
      <c r="CL82" s="28"/>
      <c r="CM82" s="65"/>
      <c r="CN82" s="64">
        <f t="shared" si="93"/>
        <v>0</v>
      </c>
      <c r="CO82" s="28"/>
      <c r="CP82" s="28"/>
      <c r="CQ82" s="65"/>
      <c r="CR82" s="64">
        <f t="shared" si="94"/>
        <v>0</v>
      </c>
      <c r="CS82" s="28"/>
      <c r="CT82" s="28"/>
      <c r="CU82" s="65"/>
      <c r="CV82" s="64">
        <f t="shared" si="95"/>
        <v>0</v>
      </c>
      <c r="CW82" s="28"/>
      <c r="CX82" s="28"/>
      <c r="CY82" s="65"/>
      <c r="CZ82" s="64">
        <f t="shared" si="96"/>
        <v>0</v>
      </c>
      <c r="DA82" s="28"/>
      <c r="DB82" s="28"/>
      <c r="DC82" s="65"/>
      <c r="DD82" s="64">
        <f t="shared" si="97"/>
        <v>0</v>
      </c>
      <c r="DE82" s="28"/>
      <c r="DF82" s="28"/>
      <c r="DG82" s="65"/>
      <c r="DH82" s="64">
        <f t="shared" si="98"/>
        <v>0</v>
      </c>
      <c r="DI82" s="28"/>
      <c r="DJ82" s="28"/>
      <c r="DK82" s="65"/>
      <c r="DL82" s="64">
        <f t="shared" si="99"/>
        <v>0</v>
      </c>
      <c r="DM82" s="28"/>
      <c r="DN82" s="28"/>
      <c r="DO82" s="65"/>
      <c r="DP82" s="64">
        <f t="shared" si="100"/>
        <v>0</v>
      </c>
      <c r="DQ82" s="28"/>
      <c r="DR82" s="28"/>
      <c r="DS82" s="65"/>
      <c r="DT82" s="64">
        <f t="shared" si="101"/>
        <v>0</v>
      </c>
      <c r="DU82" s="28"/>
      <c r="DV82" s="28"/>
      <c r="DW82" s="65"/>
      <c r="DX82" s="30">
        <f t="shared" si="102"/>
        <v>0</v>
      </c>
      <c r="DY82" s="31">
        <f t="shared" si="69"/>
        <v>0</v>
      </c>
      <c r="DZ82" s="31">
        <f t="shared" si="70"/>
        <v>0</v>
      </c>
      <c r="EA82" s="4">
        <f t="shared" si="71"/>
        <v>0</v>
      </c>
      <c r="EB82" s="9">
        <f>D82*'MASTER SHEET'!D82</f>
        <v>0</v>
      </c>
      <c r="EC82" s="9">
        <f>H82*'MASTER SHEET'!D82</f>
        <v>0</v>
      </c>
      <c r="ED82" s="9">
        <f>L82*'MASTER SHEET'!D82</f>
        <v>0</v>
      </c>
      <c r="EE82" s="9">
        <f>P82*'MASTER SHEET'!D82</f>
        <v>0</v>
      </c>
      <c r="EF82" s="9">
        <f>T82*'MASTER SHEET'!D82</f>
        <v>0</v>
      </c>
      <c r="EG82" s="9">
        <f>X82*'MASTER SHEET'!D82</f>
        <v>0</v>
      </c>
      <c r="EH82" s="9">
        <f>AB82*'MASTER SHEET'!D82</f>
        <v>0</v>
      </c>
      <c r="EI82" s="9">
        <f>AF82*'MASTER SHEET'!D82</f>
        <v>0</v>
      </c>
      <c r="EJ82" s="9">
        <f>AJ82*'MASTER SHEET'!D82</f>
        <v>0</v>
      </c>
      <c r="EK82" s="9">
        <f>AN82*'MASTER SHEET'!D82</f>
        <v>0</v>
      </c>
      <c r="EL82" s="9">
        <f>AR82*'MASTER SHEET'!D82</f>
        <v>0</v>
      </c>
      <c r="EM82" s="9">
        <f>AV82*'MASTER SHEET'!D82</f>
        <v>0</v>
      </c>
      <c r="EN82" s="9">
        <f>AZ82*'MASTER SHEET'!D82</f>
        <v>0</v>
      </c>
      <c r="EO82" s="9">
        <f>BD82*'MASTER SHEET'!D82</f>
        <v>0</v>
      </c>
      <c r="EP82" s="9">
        <f>BH82*'MASTER SHEET'!D82</f>
        <v>0</v>
      </c>
      <c r="EQ82" s="9">
        <f>BL82*'MASTER SHEET'!D82</f>
        <v>0</v>
      </c>
      <c r="ER82" s="9">
        <f>BP82*'MASTER SHEET'!D82</f>
        <v>0</v>
      </c>
      <c r="ES82" s="9">
        <f>BT82*'MASTER SHEET'!D82</f>
        <v>0</v>
      </c>
      <c r="ET82" s="9">
        <f>BX82*'MASTER SHEET'!D82</f>
        <v>0</v>
      </c>
      <c r="EU82" s="9">
        <f>CB82*'MASTER SHEET'!D82</f>
        <v>0</v>
      </c>
      <c r="EV82" s="9">
        <f>CF82*'MASTER SHEET'!D82</f>
        <v>0</v>
      </c>
      <c r="EW82" s="9">
        <f>CJ82*'MASTER SHEET'!D82</f>
        <v>0</v>
      </c>
      <c r="EX82" s="9">
        <f>CN82*'MASTER SHEET'!D82</f>
        <v>0</v>
      </c>
      <c r="EY82" s="9">
        <f>CV82*'MASTER SHEET'!D82</f>
        <v>0</v>
      </c>
      <c r="EZ82" s="9">
        <f>CV82*'MASTER SHEET'!D82</f>
        <v>0</v>
      </c>
      <c r="FA82" s="9">
        <f>CZ82*'MASTER SHEET'!D82</f>
        <v>0</v>
      </c>
      <c r="FB82" s="9">
        <f>DD82*'MASTER SHEET'!D82</f>
        <v>0</v>
      </c>
      <c r="FC82" s="9">
        <f>DH82*'MASTER SHEET'!D82</f>
        <v>0</v>
      </c>
      <c r="FD82" s="9">
        <f>DL82*'MASTER SHEET'!D82</f>
        <v>0</v>
      </c>
      <c r="FE82" s="9">
        <f>DP82*'MASTER SHEET'!D82</f>
        <v>0</v>
      </c>
      <c r="FF82" s="9">
        <f>DT82*'MASTER SHEET'!D82</f>
        <v>0</v>
      </c>
      <c r="FG82" s="9">
        <f>DX82*'MASTER SHEET'!D82</f>
        <v>0</v>
      </c>
    </row>
    <row r="83" spans="1:163" ht="20.25" x14ac:dyDescent="0.25">
      <c r="A83" s="43">
        <f>'MASTER SHEET'!A83</f>
        <v>81</v>
      </c>
      <c r="B83" s="26" t="str">
        <f>'MASTER SHEET'!B83</f>
        <v>3-MBP Pipe--CV</v>
      </c>
      <c r="C83" s="82">
        <f>'MASTER SHEET'!C83</f>
        <v>5030173</v>
      </c>
      <c r="D83" s="64"/>
      <c r="E83" s="28"/>
      <c r="F83" s="28"/>
      <c r="G83" s="65"/>
      <c r="H83" s="64">
        <f t="shared" si="72"/>
        <v>0</v>
      </c>
      <c r="I83" s="28"/>
      <c r="J83" s="28"/>
      <c r="K83" s="65"/>
      <c r="L83" s="64">
        <f t="shared" si="73"/>
        <v>0</v>
      </c>
      <c r="M83" s="28"/>
      <c r="N83" s="28"/>
      <c r="O83" s="65"/>
      <c r="P83" s="64">
        <f t="shared" si="74"/>
        <v>0</v>
      </c>
      <c r="Q83" s="28"/>
      <c r="R83" s="28"/>
      <c r="S83" s="65"/>
      <c r="T83" s="64">
        <f t="shared" si="75"/>
        <v>0</v>
      </c>
      <c r="U83" s="28"/>
      <c r="V83" s="28"/>
      <c r="W83" s="65"/>
      <c r="X83" s="64">
        <f t="shared" si="76"/>
        <v>0</v>
      </c>
      <c r="Y83" s="28"/>
      <c r="Z83" s="28"/>
      <c r="AA83" s="65"/>
      <c r="AB83" s="64">
        <f t="shared" si="77"/>
        <v>0</v>
      </c>
      <c r="AC83" s="28"/>
      <c r="AD83" s="28"/>
      <c r="AE83" s="65"/>
      <c r="AF83" s="64">
        <f t="shared" si="78"/>
        <v>0</v>
      </c>
      <c r="AG83" s="28"/>
      <c r="AH83" s="28"/>
      <c r="AI83" s="65"/>
      <c r="AJ83" s="64">
        <f t="shared" si="79"/>
        <v>0</v>
      </c>
      <c r="AK83" s="28"/>
      <c r="AL83" s="28"/>
      <c r="AM83" s="65"/>
      <c r="AN83" s="64">
        <f t="shared" si="80"/>
        <v>0</v>
      </c>
      <c r="AO83" s="28"/>
      <c r="AP83" s="28"/>
      <c r="AQ83" s="65"/>
      <c r="AR83" s="64">
        <f t="shared" si="81"/>
        <v>0</v>
      </c>
      <c r="AS83" s="28"/>
      <c r="AT83" s="28"/>
      <c r="AU83" s="65"/>
      <c r="AV83" s="64">
        <f t="shared" si="82"/>
        <v>0</v>
      </c>
      <c r="AW83" s="28"/>
      <c r="AX83" s="28"/>
      <c r="AY83" s="65"/>
      <c r="AZ83" s="64">
        <f t="shared" si="83"/>
        <v>0</v>
      </c>
      <c r="BA83" s="28"/>
      <c r="BB83" s="28"/>
      <c r="BC83" s="65"/>
      <c r="BD83" s="64">
        <f t="shared" si="84"/>
        <v>0</v>
      </c>
      <c r="BE83" s="28"/>
      <c r="BF83" s="28"/>
      <c r="BG83" s="65"/>
      <c r="BH83" s="64">
        <f t="shared" si="85"/>
        <v>0</v>
      </c>
      <c r="BI83" s="28"/>
      <c r="BJ83" s="28"/>
      <c r="BK83" s="65"/>
      <c r="BL83" s="64">
        <f t="shared" si="86"/>
        <v>0</v>
      </c>
      <c r="BM83" s="28"/>
      <c r="BN83" s="28"/>
      <c r="BO83" s="65"/>
      <c r="BP83" s="64">
        <f t="shared" si="87"/>
        <v>0</v>
      </c>
      <c r="BQ83" s="28"/>
      <c r="BR83" s="28"/>
      <c r="BS83" s="65"/>
      <c r="BT83" s="64">
        <f t="shared" si="88"/>
        <v>0</v>
      </c>
      <c r="BU83" s="28"/>
      <c r="BV83" s="28"/>
      <c r="BW83" s="65"/>
      <c r="BX83" s="64">
        <f t="shared" si="89"/>
        <v>0</v>
      </c>
      <c r="BY83" s="28"/>
      <c r="BZ83" s="28"/>
      <c r="CA83" s="65"/>
      <c r="CB83" s="64">
        <f t="shared" si="90"/>
        <v>0</v>
      </c>
      <c r="CC83" s="28"/>
      <c r="CD83" s="28"/>
      <c r="CE83" s="65"/>
      <c r="CF83" s="64">
        <f t="shared" si="91"/>
        <v>0</v>
      </c>
      <c r="CG83" s="28"/>
      <c r="CH83" s="28"/>
      <c r="CI83" s="65"/>
      <c r="CJ83" s="64">
        <f t="shared" si="92"/>
        <v>0</v>
      </c>
      <c r="CK83" s="28"/>
      <c r="CL83" s="28"/>
      <c r="CM83" s="65"/>
      <c r="CN83" s="64">
        <f t="shared" si="93"/>
        <v>0</v>
      </c>
      <c r="CO83" s="28"/>
      <c r="CP83" s="28"/>
      <c r="CQ83" s="65"/>
      <c r="CR83" s="64">
        <f t="shared" si="94"/>
        <v>0</v>
      </c>
      <c r="CS83" s="28"/>
      <c r="CT83" s="28"/>
      <c r="CU83" s="65"/>
      <c r="CV83" s="64">
        <f t="shared" si="95"/>
        <v>0</v>
      </c>
      <c r="CW83" s="28"/>
      <c r="CX83" s="28"/>
      <c r="CY83" s="65"/>
      <c r="CZ83" s="64">
        <f t="shared" si="96"/>
        <v>0</v>
      </c>
      <c r="DA83" s="28"/>
      <c r="DB83" s="28"/>
      <c r="DC83" s="65"/>
      <c r="DD83" s="64">
        <f t="shared" si="97"/>
        <v>0</v>
      </c>
      <c r="DE83" s="28"/>
      <c r="DF83" s="28"/>
      <c r="DG83" s="65"/>
      <c r="DH83" s="64">
        <f t="shared" si="98"/>
        <v>0</v>
      </c>
      <c r="DI83" s="28"/>
      <c r="DJ83" s="28"/>
      <c r="DK83" s="65"/>
      <c r="DL83" s="64">
        <f t="shared" si="99"/>
        <v>0</v>
      </c>
      <c r="DM83" s="28"/>
      <c r="DN83" s="28"/>
      <c r="DO83" s="65"/>
      <c r="DP83" s="64">
        <f t="shared" si="100"/>
        <v>0</v>
      </c>
      <c r="DQ83" s="28"/>
      <c r="DR83" s="28"/>
      <c r="DS83" s="65"/>
      <c r="DT83" s="64">
        <f t="shared" si="101"/>
        <v>0</v>
      </c>
      <c r="DU83" s="28"/>
      <c r="DV83" s="28"/>
      <c r="DW83" s="65"/>
      <c r="DX83" s="30">
        <f t="shared" si="102"/>
        <v>0</v>
      </c>
      <c r="DY83" s="31">
        <f t="shared" si="69"/>
        <v>0</v>
      </c>
      <c r="DZ83" s="31">
        <f t="shared" si="70"/>
        <v>0</v>
      </c>
      <c r="EA83" s="4">
        <f t="shared" si="71"/>
        <v>0</v>
      </c>
      <c r="EB83" s="9">
        <f>D83*'MASTER SHEET'!D83</f>
        <v>0</v>
      </c>
      <c r="EC83" s="9">
        <f>H83*'MASTER SHEET'!D83</f>
        <v>0</v>
      </c>
      <c r="ED83" s="9">
        <f>L83*'MASTER SHEET'!D83</f>
        <v>0</v>
      </c>
      <c r="EE83" s="9">
        <f>P83*'MASTER SHEET'!D83</f>
        <v>0</v>
      </c>
      <c r="EF83" s="9">
        <f>T83*'MASTER SHEET'!D83</f>
        <v>0</v>
      </c>
      <c r="EG83" s="9">
        <f>X83*'MASTER SHEET'!D83</f>
        <v>0</v>
      </c>
      <c r="EH83" s="9">
        <f>AB83*'MASTER SHEET'!D83</f>
        <v>0</v>
      </c>
      <c r="EI83" s="9">
        <f>AF83*'MASTER SHEET'!D83</f>
        <v>0</v>
      </c>
      <c r="EJ83" s="9">
        <f>AJ83*'MASTER SHEET'!D83</f>
        <v>0</v>
      </c>
      <c r="EK83" s="9">
        <f>AN83*'MASTER SHEET'!D83</f>
        <v>0</v>
      </c>
      <c r="EL83" s="9">
        <f>AR83*'MASTER SHEET'!D83</f>
        <v>0</v>
      </c>
      <c r="EM83" s="9">
        <f>AV83*'MASTER SHEET'!D83</f>
        <v>0</v>
      </c>
      <c r="EN83" s="9">
        <f>AZ83*'MASTER SHEET'!D83</f>
        <v>0</v>
      </c>
      <c r="EO83" s="9">
        <f>BD83*'MASTER SHEET'!D83</f>
        <v>0</v>
      </c>
      <c r="EP83" s="9">
        <f>BH83*'MASTER SHEET'!D83</f>
        <v>0</v>
      </c>
      <c r="EQ83" s="9">
        <f>BL83*'MASTER SHEET'!D83</f>
        <v>0</v>
      </c>
      <c r="ER83" s="9">
        <f>BP83*'MASTER SHEET'!D83</f>
        <v>0</v>
      </c>
      <c r="ES83" s="9">
        <f>BT83*'MASTER SHEET'!D83</f>
        <v>0</v>
      </c>
      <c r="ET83" s="9">
        <f>BX83*'MASTER SHEET'!D83</f>
        <v>0</v>
      </c>
      <c r="EU83" s="9">
        <f>CB83*'MASTER SHEET'!D83</f>
        <v>0</v>
      </c>
      <c r="EV83" s="9">
        <f>CF83*'MASTER SHEET'!D83</f>
        <v>0</v>
      </c>
      <c r="EW83" s="9">
        <f>CJ83*'MASTER SHEET'!D83</f>
        <v>0</v>
      </c>
      <c r="EX83" s="9">
        <f>CN83*'MASTER SHEET'!D83</f>
        <v>0</v>
      </c>
      <c r="EY83" s="9">
        <f>CV83*'MASTER SHEET'!D83</f>
        <v>0</v>
      </c>
      <c r="EZ83" s="9">
        <f>CV83*'MASTER SHEET'!D83</f>
        <v>0</v>
      </c>
      <c r="FA83" s="9">
        <f>CZ83*'MASTER SHEET'!D83</f>
        <v>0</v>
      </c>
      <c r="FB83" s="9">
        <f>DD83*'MASTER SHEET'!D83</f>
        <v>0</v>
      </c>
      <c r="FC83" s="9">
        <f>DH83*'MASTER SHEET'!D83</f>
        <v>0</v>
      </c>
      <c r="FD83" s="9">
        <f>DL83*'MASTER SHEET'!D83</f>
        <v>0</v>
      </c>
      <c r="FE83" s="9">
        <f>DP83*'MASTER SHEET'!D83</f>
        <v>0</v>
      </c>
      <c r="FF83" s="9">
        <f>DT83*'MASTER SHEET'!D83</f>
        <v>0</v>
      </c>
      <c r="FG83" s="9">
        <f>DX83*'MASTER SHEET'!D83</f>
        <v>0</v>
      </c>
    </row>
    <row r="84" spans="1:163" s="10" customFormat="1" ht="20.25" x14ac:dyDescent="0.25">
      <c r="A84" s="43">
        <f>'MASTER SHEET'!A84</f>
        <v>82</v>
      </c>
      <c r="B84" s="26" t="str">
        <f>'MASTER SHEET'!B84</f>
        <v>3-MBP Pipe--CV</v>
      </c>
      <c r="C84" s="82">
        <f>'MASTER SHEET'!C84</f>
        <v>5037374</v>
      </c>
      <c r="D84" s="64"/>
      <c r="E84" s="28"/>
      <c r="F84" s="28"/>
      <c r="G84" s="65"/>
      <c r="H84" s="64">
        <f t="shared" si="72"/>
        <v>0</v>
      </c>
      <c r="I84" s="28"/>
      <c r="J84" s="28"/>
      <c r="K84" s="65"/>
      <c r="L84" s="64">
        <f t="shared" si="73"/>
        <v>0</v>
      </c>
      <c r="M84" s="28"/>
      <c r="N84" s="28"/>
      <c r="O84" s="65"/>
      <c r="P84" s="64">
        <f t="shared" si="74"/>
        <v>0</v>
      </c>
      <c r="Q84" s="28"/>
      <c r="R84" s="28"/>
      <c r="S84" s="65"/>
      <c r="T84" s="64">
        <f t="shared" si="75"/>
        <v>0</v>
      </c>
      <c r="U84" s="28"/>
      <c r="V84" s="28"/>
      <c r="W84" s="65"/>
      <c r="X84" s="64">
        <f t="shared" si="76"/>
        <v>0</v>
      </c>
      <c r="Y84" s="28"/>
      <c r="Z84" s="28"/>
      <c r="AA84" s="65"/>
      <c r="AB84" s="64">
        <f t="shared" si="77"/>
        <v>0</v>
      </c>
      <c r="AC84" s="28"/>
      <c r="AD84" s="28"/>
      <c r="AE84" s="65"/>
      <c r="AF84" s="64">
        <f t="shared" si="78"/>
        <v>0</v>
      </c>
      <c r="AG84" s="28"/>
      <c r="AH84" s="28"/>
      <c r="AI84" s="65"/>
      <c r="AJ84" s="64">
        <f t="shared" si="79"/>
        <v>0</v>
      </c>
      <c r="AK84" s="28"/>
      <c r="AL84" s="28"/>
      <c r="AM84" s="65"/>
      <c r="AN84" s="64">
        <f t="shared" si="80"/>
        <v>0</v>
      </c>
      <c r="AO84" s="28"/>
      <c r="AP84" s="28"/>
      <c r="AQ84" s="65"/>
      <c r="AR84" s="64">
        <f t="shared" si="81"/>
        <v>0</v>
      </c>
      <c r="AS84" s="28"/>
      <c r="AT84" s="28"/>
      <c r="AU84" s="65"/>
      <c r="AV84" s="64">
        <f t="shared" si="82"/>
        <v>0</v>
      </c>
      <c r="AW84" s="28"/>
      <c r="AX84" s="28"/>
      <c r="AY84" s="65"/>
      <c r="AZ84" s="64">
        <f t="shared" si="83"/>
        <v>0</v>
      </c>
      <c r="BA84" s="28"/>
      <c r="BB84" s="28"/>
      <c r="BC84" s="65"/>
      <c r="BD84" s="64">
        <f t="shared" si="84"/>
        <v>0</v>
      </c>
      <c r="BE84" s="28"/>
      <c r="BF84" s="28"/>
      <c r="BG84" s="65"/>
      <c r="BH84" s="64">
        <f t="shared" si="85"/>
        <v>0</v>
      </c>
      <c r="BI84" s="28"/>
      <c r="BJ84" s="28"/>
      <c r="BK84" s="65"/>
      <c r="BL84" s="64">
        <f t="shared" si="86"/>
        <v>0</v>
      </c>
      <c r="BM84" s="28"/>
      <c r="BN84" s="28"/>
      <c r="BO84" s="65"/>
      <c r="BP84" s="64">
        <f t="shared" si="87"/>
        <v>0</v>
      </c>
      <c r="BQ84" s="28"/>
      <c r="BR84" s="28"/>
      <c r="BS84" s="65"/>
      <c r="BT84" s="64">
        <f t="shared" si="88"/>
        <v>0</v>
      </c>
      <c r="BU84" s="28"/>
      <c r="BV84" s="28"/>
      <c r="BW84" s="65"/>
      <c r="BX84" s="64">
        <f t="shared" si="89"/>
        <v>0</v>
      </c>
      <c r="BY84" s="28"/>
      <c r="BZ84" s="28"/>
      <c r="CA84" s="65"/>
      <c r="CB84" s="64">
        <f t="shared" si="90"/>
        <v>0</v>
      </c>
      <c r="CC84" s="28"/>
      <c r="CD84" s="28"/>
      <c r="CE84" s="65"/>
      <c r="CF84" s="64">
        <f t="shared" si="91"/>
        <v>0</v>
      </c>
      <c r="CG84" s="28"/>
      <c r="CH84" s="28"/>
      <c r="CI84" s="65"/>
      <c r="CJ84" s="64">
        <f t="shared" si="92"/>
        <v>0</v>
      </c>
      <c r="CK84" s="28"/>
      <c r="CL84" s="28"/>
      <c r="CM84" s="65"/>
      <c r="CN84" s="64">
        <f t="shared" si="93"/>
        <v>0</v>
      </c>
      <c r="CO84" s="28"/>
      <c r="CP84" s="28"/>
      <c r="CQ84" s="65"/>
      <c r="CR84" s="64">
        <f t="shared" si="94"/>
        <v>0</v>
      </c>
      <c r="CS84" s="28"/>
      <c r="CT84" s="28"/>
      <c r="CU84" s="65"/>
      <c r="CV84" s="64">
        <f t="shared" si="95"/>
        <v>0</v>
      </c>
      <c r="CW84" s="28"/>
      <c r="CX84" s="28"/>
      <c r="CY84" s="65"/>
      <c r="CZ84" s="64">
        <f t="shared" si="96"/>
        <v>0</v>
      </c>
      <c r="DA84" s="28"/>
      <c r="DB84" s="28"/>
      <c r="DC84" s="65"/>
      <c r="DD84" s="64">
        <f t="shared" si="97"/>
        <v>0</v>
      </c>
      <c r="DE84" s="28"/>
      <c r="DF84" s="28"/>
      <c r="DG84" s="65"/>
      <c r="DH84" s="64">
        <f t="shared" si="98"/>
        <v>0</v>
      </c>
      <c r="DI84" s="28"/>
      <c r="DJ84" s="28"/>
      <c r="DK84" s="65"/>
      <c r="DL84" s="64">
        <f t="shared" si="99"/>
        <v>0</v>
      </c>
      <c r="DM84" s="28"/>
      <c r="DN84" s="28"/>
      <c r="DO84" s="65"/>
      <c r="DP84" s="64">
        <f t="shared" si="100"/>
        <v>0</v>
      </c>
      <c r="DQ84" s="28"/>
      <c r="DR84" s="28"/>
      <c r="DS84" s="65"/>
      <c r="DT84" s="64">
        <f t="shared" si="101"/>
        <v>0</v>
      </c>
      <c r="DU84" s="28"/>
      <c r="DV84" s="28"/>
      <c r="DW84" s="65"/>
      <c r="DX84" s="30">
        <f t="shared" si="102"/>
        <v>0</v>
      </c>
      <c r="DY84" s="31">
        <f t="shared" si="69"/>
        <v>0</v>
      </c>
      <c r="DZ84" s="31">
        <f t="shared" si="70"/>
        <v>0</v>
      </c>
      <c r="EA84" s="4">
        <f t="shared" si="71"/>
        <v>0</v>
      </c>
      <c r="EB84" s="9">
        <f>D84*'MASTER SHEET'!D84</f>
        <v>0</v>
      </c>
      <c r="EC84" s="9">
        <f>H84*'MASTER SHEET'!D84</f>
        <v>0</v>
      </c>
      <c r="ED84" s="9">
        <f>L84*'MASTER SHEET'!D84</f>
        <v>0</v>
      </c>
      <c r="EE84" s="9">
        <f>P84*'MASTER SHEET'!D84</f>
        <v>0</v>
      </c>
      <c r="EF84" s="9">
        <f>T84*'MASTER SHEET'!D84</f>
        <v>0</v>
      </c>
      <c r="EG84" s="9">
        <f>X84*'MASTER SHEET'!D84</f>
        <v>0</v>
      </c>
      <c r="EH84" s="9">
        <f>AB84*'MASTER SHEET'!D84</f>
        <v>0</v>
      </c>
      <c r="EI84" s="9">
        <f>AF84*'MASTER SHEET'!D84</f>
        <v>0</v>
      </c>
      <c r="EJ84" s="9">
        <f>AJ84*'MASTER SHEET'!D84</f>
        <v>0</v>
      </c>
      <c r="EK84" s="9">
        <f>AN84*'MASTER SHEET'!D84</f>
        <v>0</v>
      </c>
      <c r="EL84" s="9">
        <f>AR84*'MASTER SHEET'!D84</f>
        <v>0</v>
      </c>
      <c r="EM84" s="9">
        <f>AV84*'MASTER SHEET'!D84</f>
        <v>0</v>
      </c>
      <c r="EN84" s="9">
        <f>AZ84*'MASTER SHEET'!D84</f>
        <v>0</v>
      </c>
      <c r="EO84" s="9">
        <f>BD84*'MASTER SHEET'!D84</f>
        <v>0</v>
      </c>
      <c r="EP84" s="9">
        <f>BH84*'MASTER SHEET'!D84</f>
        <v>0</v>
      </c>
      <c r="EQ84" s="9">
        <f>BL84*'MASTER SHEET'!D84</f>
        <v>0</v>
      </c>
      <c r="ER84" s="9">
        <f>BP84*'MASTER SHEET'!D84</f>
        <v>0</v>
      </c>
      <c r="ES84" s="9">
        <f>BT84*'MASTER SHEET'!D84</f>
        <v>0</v>
      </c>
      <c r="ET84" s="9">
        <f>BX84*'MASTER SHEET'!D84</f>
        <v>0</v>
      </c>
      <c r="EU84" s="9">
        <f>CB84*'MASTER SHEET'!D84</f>
        <v>0</v>
      </c>
      <c r="EV84" s="9">
        <f>CF84*'MASTER SHEET'!D84</f>
        <v>0</v>
      </c>
      <c r="EW84" s="9">
        <f>CJ84*'MASTER SHEET'!D84</f>
        <v>0</v>
      </c>
      <c r="EX84" s="9">
        <f>CN84*'MASTER SHEET'!D84</f>
        <v>0</v>
      </c>
      <c r="EY84" s="9">
        <f>CV84*'MASTER SHEET'!D84</f>
        <v>0</v>
      </c>
      <c r="EZ84" s="9">
        <f>CV84*'MASTER SHEET'!D84</f>
        <v>0</v>
      </c>
      <c r="FA84" s="9">
        <f>CZ84*'MASTER SHEET'!D84</f>
        <v>0</v>
      </c>
      <c r="FB84" s="9">
        <f>DD84*'MASTER SHEET'!D84</f>
        <v>0</v>
      </c>
      <c r="FC84" s="9">
        <f>DH84*'MASTER SHEET'!D84</f>
        <v>0</v>
      </c>
      <c r="FD84" s="9">
        <f>DL84*'MASTER SHEET'!D84</f>
        <v>0</v>
      </c>
      <c r="FE84" s="9">
        <f>DP84*'MASTER SHEET'!D84</f>
        <v>0</v>
      </c>
      <c r="FF84" s="9">
        <f>DT84*'MASTER SHEET'!D84</f>
        <v>0</v>
      </c>
      <c r="FG84" s="9">
        <f>DX84*'MASTER SHEET'!D84</f>
        <v>0</v>
      </c>
    </row>
    <row r="85" spans="1:163" s="11" customFormat="1" ht="20.25" x14ac:dyDescent="0.25">
      <c r="A85" s="43">
        <f>'MASTER SHEET'!A85</f>
        <v>83</v>
      </c>
      <c r="B85" s="26" t="str">
        <f>'MASTER SHEET'!B85</f>
        <v>PLATE, NOZZEL</v>
      </c>
      <c r="C85" s="82">
        <f>'MASTER SHEET'!C85</f>
        <v>5044037</v>
      </c>
      <c r="D85" s="64"/>
      <c r="E85" s="28"/>
      <c r="F85" s="28"/>
      <c r="G85" s="65"/>
      <c r="H85" s="64">
        <f t="shared" si="72"/>
        <v>0</v>
      </c>
      <c r="I85" s="28"/>
      <c r="J85" s="28"/>
      <c r="K85" s="65"/>
      <c r="L85" s="64">
        <f t="shared" si="73"/>
        <v>0</v>
      </c>
      <c r="M85" s="28"/>
      <c r="N85" s="28"/>
      <c r="O85" s="65"/>
      <c r="P85" s="64">
        <f t="shared" si="74"/>
        <v>0</v>
      </c>
      <c r="Q85" s="28"/>
      <c r="R85" s="28"/>
      <c r="S85" s="65"/>
      <c r="T85" s="64">
        <f t="shared" si="75"/>
        <v>0</v>
      </c>
      <c r="U85" s="28"/>
      <c r="V85" s="28"/>
      <c r="W85" s="65"/>
      <c r="X85" s="64">
        <f t="shared" si="76"/>
        <v>0</v>
      </c>
      <c r="Y85" s="28"/>
      <c r="Z85" s="28"/>
      <c r="AA85" s="65"/>
      <c r="AB85" s="64">
        <f t="shared" si="77"/>
        <v>0</v>
      </c>
      <c r="AC85" s="28"/>
      <c r="AD85" s="28"/>
      <c r="AE85" s="65"/>
      <c r="AF85" s="64">
        <f t="shared" si="78"/>
        <v>0</v>
      </c>
      <c r="AG85" s="28"/>
      <c r="AH85" s="28"/>
      <c r="AI85" s="65"/>
      <c r="AJ85" s="64">
        <f t="shared" si="79"/>
        <v>0</v>
      </c>
      <c r="AK85" s="28"/>
      <c r="AL85" s="28"/>
      <c r="AM85" s="65"/>
      <c r="AN85" s="64">
        <f t="shared" si="80"/>
        <v>0</v>
      </c>
      <c r="AO85" s="28"/>
      <c r="AP85" s="28"/>
      <c r="AQ85" s="65"/>
      <c r="AR85" s="64">
        <f t="shared" si="81"/>
        <v>0</v>
      </c>
      <c r="AS85" s="28"/>
      <c r="AT85" s="28"/>
      <c r="AU85" s="65"/>
      <c r="AV85" s="64">
        <f t="shared" si="82"/>
        <v>0</v>
      </c>
      <c r="AW85" s="28"/>
      <c r="AX85" s="28"/>
      <c r="AY85" s="65"/>
      <c r="AZ85" s="64">
        <f t="shared" si="83"/>
        <v>0</v>
      </c>
      <c r="BA85" s="28"/>
      <c r="BB85" s="28"/>
      <c r="BC85" s="65"/>
      <c r="BD85" s="64">
        <f t="shared" si="84"/>
        <v>0</v>
      </c>
      <c r="BE85" s="28"/>
      <c r="BF85" s="28"/>
      <c r="BG85" s="65"/>
      <c r="BH85" s="64">
        <f t="shared" si="85"/>
        <v>0</v>
      </c>
      <c r="BI85" s="28"/>
      <c r="BJ85" s="28"/>
      <c r="BK85" s="65"/>
      <c r="BL85" s="64">
        <f t="shared" si="86"/>
        <v>0</v>
      </c>
      <c r="BM85" s="28"/>
      <c r="BN85" s="28"/>
      <c r="BO85" s="65"/>
      <c r="BP85" s="64">
        <f t="shared" si="87"/>
        <v>0</v>
      </c>
      <c r="BQ85" s="28"/>
      <c r="BR85" s="28"/>
      <c r="BS85" s="65"/>
      <c r="BT85" s="64">
        <f t="shared" si="88"/>
        <v>0</v>
      </c>
      <c r="BU85" s="28"/>
      <c r="BV85" s="28"/>
      <c r="BW85" s="65"/>
      <c r="BX85" s="64">
        <f t="shared" si="89"/>
        <v>0</v>
      </c>
      <c r="BY85" s="28"/>
      <c r="BZ85" s="28"/>
      <c r="CA85" s="65"/>
      <c r="CB85" s="64">
        <f t="shared" si="90"/>
        <v>0</v>
      </c>
      <c r="CC85" s="28"/>
      <c r="CD85" s="28"/>
      <c r="CE85" s="65"/>
      <c r="CF85" s="64">
        <f t="shared" si="91"/>
        <v>0</v>
      </c>
      <c r="CG85" s="28"/>
      <c r="CH85" s="28"/>
      <c r="CI85" s="65"/>
      <c r="CJ85" s="64">
        <f t="shared" si="92"/>
        <v>0</v>
      </c>
      <c r="CK85" s="28"/>
      <c r="CL85" s="28"/>
      <c r="CM85" s="65"/>
      <c r="CN85" s="64">
        <f t="shared" si="93"/>
        <v>0</v>
      </c>
      <c r="CO85" s="28"/>
      <c r="CP85" s="28"/>
      <c r="CQ85" s="65"/>
      <c r="CR85" s="64">
        <f t="shared" si="94"/>
        <v>0</v>
      </c>
      <c r="CS85" s="28"/>
      <c r="CT85" s="28"/>
      <c r="CU85" s="65"/>
      <c r="CV85" s="64">
        <f t="shared" si="95"/>
        <v>0</v>
      </c>
      <c r="CW85" s="28"/>
      <c r="CX85" s="28"/>
      <c r="CY85" s="65"/>
      <c r="CZ85" s="64">
        <f t="shared" si="96"/>
        <v>0</v>
      </c>
      <c r="DA85" s="28"/>
      <c r="DB85" s="28"/>
      <c r="DC85" s="65"/>
      <c r="DD85" s="64">
        <f t="shared" si="97"/>
        <v>0</v>
      </c>
      <c r="DE85" s="28"/>
      <c r="DF85" s="28"/>
      <c r="DG85" s="65"/>
      <c r="DH85" s="64">
        <f t="shared" si="98"/>
        <v>0</v>
      </c>
      <c r="DI85" s="28"/>
      <c r="DJ85" s="28"/>
      <c r="DK85" s="65"/>
      <c r="DL85" s="64">
        <f t="shared" si="99"/>
        <v>0</v>
      </c>
      <c r="DM85" s="28"/>
      <c r="DN85" s="28"/>
      <c r="DO85" s="65"/>
      <c r="DP85" s="64">
        <f t="shared" si="100"/>
        <v>0</v>
      </c>
      <c r="DQ85" s="28"/>
      <c r="DR85" s="28"/>
      <c r="DS85" s="65"/>
      <c r="DT85" s="64">
        <f t="shared" si="101"/>
        <v>0</v>
      </c>
      <c r="DU85" s="28"/>
      <c r="DV85" s="28"/>
      <c r="DW85" s="65"/>
      <c r="DX85" s="30">
        <f t="shared" si="102"/>
        <v>0</v>
      </c>
      <c r="DY85" s="31">
        <f t="shared" si="69"/>
        <v>0</v>
      </c>
      <c r="DZ85" s="31">
        <f t="shared" si="70"/>
        <v>0</v>
      </c>
      <c r="EA85" s="4">
        <f t="shared" si="71"/>
        <v>0</v>
      </c>
      <c r="EB85" s="9">
        <f>D85*'MASTER SHEET'!D85</f>
        <v>0</v>
      </c>
      <c r="EC85" s="9">
        <f>H85*'MASTER SHEET'!D85</f>
        <v>0</v>
      </c>
      <c r="ED85" s="9">
        <f>L85*'MASTER SHEET'!D85</f>
        <v>0</v>
      </c>
      <c r="EE85" s="9">
        <f>P85*'MASTER SHEET'!D85</f>
        <v>0</v>
      </c>
      <c r="EF85" s="9">
        <f>T85*'MASTER SHEET'!D85</f>
        <v>0</v>
      </c>
      <c r="EG85" s="9">
        <f>X85*'MASTER SHEET'!D85</f>
        <v>0</v>
      </c>
      <c r="EH85" s="9">
        <f>AB85*'MASTER SHEET'!D85</f>
        <v>0</v>
      </c>
      <c r="EI85" s="9">
        <f>AF85*'MASTER SHEET'!D85</f>
        <v>0</v>
      </c>
      <c r="EJ85" s="9">
        <f>AJ85*'MASTER SHEET'!D85</f>
        <v>0</v>
      </c>
      <c r="EK85" s="9">
        <f>AN85*'MASTER SHEET'!D85</f>
        <v>0</v>
      </c>
      <c r="EL85" s="9">
        <f>AR85*'MASTER SHEET'!D85</f>
        <v>0</v>
      </c>
      <c r="EM85" s="9">
        <f>AV85*'MASTER SHEET'!D85</f>
        <v>0</v>
      </c>
      <c r="EN85" s="9">
        <f>AZ85*'MASTER SHEET'!D85</f>
        <v>0</v>
      </c>
      <c r="EO85" s="9">
        <f>BD85*'MASTER SHEET'!D85</f>
        <v>0</v>
      </c>
      <c r="EP85" s="9">
        <f>BH85*'MASTER SHEET'!D85</f>
        <v>0</v>
      </c>
      <c r="EQ85" s="9">
        <f>BL85*'MASTER SHEET'!D85</f>
        <v>0</v>
      </c>
      <c r="ER85" s="9">
        <f>BP85*'MASTER SHEET'!D85</f>
        <v>0</v>
      </c>
      <c r="ES85" s="9">
        <f>BT85*'MASTER SHEET'!D85</f>
        <v>0</v>
      </c>
      <c r="ET85" s="9">
        <f>BX85*'MASTER SHEET'!D85</f>
        <v>0</v>
      </c>
      <c r="EU85" s="9">
        <f>CB85*'MASTER SHEET'!D85</f>
        <v>0</v>
      </c>
      <c r="EV85" s="9">
        <f>CF85*'MASTER SHEET'!D85</f>
        <v>0</v>
      </c>
      <c r="EW85" s="9">
        <f>CJ85*'MASTER SHEET'!D85</f>
        <v>0</v>
      </c>
      <c r="EX85" s="9">
        <f>CN85*'MASTER SHEET'!D85</f>
        <v>0</v>
      </c>
      <c r="EY85" s="9">
        <f>CV85*'MASTER SHEET'!D85</f>
        <v>0</v>
      </c>
      <c r="EZ85" s="9">
        <f>CV85*'MASTER SHEET'!D85</f>
        <v>0</v>
      </c>
      <c r="FA85" s="9">
        <f>CZ85*'MASTER SHEET'!D85</f>
        <v>0</v>
      </c>
      <c r="FB85" s="9">
        <f>DD85*'MASTER SHEET'!D85</f>
        <v>0</v>
      </c>
      <c r="FC85" s="9">
        <f>DH85*'MASTER SHEET'!D85</f>
        <v>0</v>
      </c>
      <c r="FD85" s="9">
        <f>DL85*'MASTER SHEET'!D85</f>
        <v>0</v>
      </c>
      <c r="FE85" s="9">
        <f>DP85*'MASTER SHEET'!D85</f>
        <v>0</v>
      </c>
      <c r="FF85" s="9">
        <f>DT85*'MASTER SHEET'!D85</f>
        <v>0</v>
      </c>
      <c r="FG85" s="9">
        <f>DX85*'MASTER SHEET'!D85</f>
        <v>0</v>
      </c>
    </row>
    <row r="86" spans="1:163" ht="20.25" x14ac:dyDescent="0.25">
      <c r="A86" s="43">
        <f>'MASTER SHEET'!A86</f>
        <v>84</v>
      </c>
      <c r="B86" s="26" t="str">
        <f>'MASTER SHEET'!B86</f>
        <v>BASE HOUSING CRANKCASE</v>
      </c>
      <c r="C86" s="82">
        <f>'MASTER SHEET'!C86</f>
        <v>5044040</v>
      </c>
      <c r="D86" s="64"/>
      <c r="E86" s="28"/>
      <c r="F86" s="28"/>
      <c r="G86" s="65"/>
      <c r="H86" s="64">
        <f t="shared" si="72"/>
        <v>0</v>
      </c>
      <c r="I86" s="28"/>
      <c r="J86" s="28"/>
      <c r="K86" s="65"/>
      <c r="L86" s="64">
        <f t="shared" si="73"/>
        <v>0</v>
      </c>
      <c r="M86" s="28"/>
      <c r="N86" s="28"/>
      <c r="O86" s="65"/>
      <c r="P86" s="64">
        <f t="shared" si="74"/>
        <v>0</v>
      </c>
      <c r="Q86" s="28"/>
      <c r="R86" s="28"/>
      <c r="S86" s="65"/>
      <c r="T86" s="64">
        <f t="shared" si="75"/>
        <v>0</v>
      </c>
      <c r="U86" s="28"/>
      <c r="V86" s="28"/>
      <c r="W86" s="65"/>
      <c r="X86" s="64">
        <f t="shared" si="76"/>
        <v>0</v>
      </c>
      <c r="Y86" s="28"/>
      <c r="Z86" s="28"/>
      <c r="AA86" s="65"/>
      <c r="AB86" s="64">
        <f t="shared" si="77"/>
        <v>0</v>
      </c>
      <c r="AC86" s="28"/>
      <c r="AD86" s="28"/>
      <c r="AE86" s="65"/>
      <c r="AF86" s="64">
        <f t="shared" si="78"/>
        <v>0</v>
      </c>
      <c r="AG86" s="28"/>
      <c r="AH86" s="28"/>
      <c r="AI86" s="65"/>
      <c r="AJ86" s="64">
        <f t="shared" si="79"/>
        <v>0</v>
      </c>
      <c r="AK86" s="28"/>
      <c r="AL86" s="28"/>
      <c r="AM86" s="65"/>
      <c r="AN86" s="64">
        <f t="shared" si="80"/>
        <v>0</v>
      </c>
      <c r="AO86" s="28"/>
      <c r="AP86" s="28"/>
      <c r="AQ86" s="65"/>
      <c r="AR86" s="64">
        <f t="shared" si="81"/>
        <v>0</v>
      </c>
      <c r="AS86" s="28"/>
      <c r="AT86" s="28"/>
      <c r="AU86" s="65"/>
      <c r="AV86" s="64">
        <f t="shared" si="82"/>
        <v>0</v>
      </c>
      <c r="AW86" s="28"/>
      <c r="AX86" s="28"/>
      <c r="AY86" s="65"/>
      <c r="AZ86" s="64">
        <f t="shared" si="83"/>
        <v>0</v>
      </c>
      <c r="BA86" s="28"/>
      <c r="BB86" s="28"/>
      <c r="BC86" s="65"/>
      <c r="BD86" s="64">
        <f t="shared" si="84"/>
        <v>0</v>
      </c>
      <c r="BE86" s="28"/>
      <c r="BF86" s="28"/>
      <c r="BG86" s="65"/>
      <c r="BH86" s="64">
        <f t="shared" si="85"/>
        <v>0</v>
      </c>
      <c r="BI86" s="28"/>
      <c r="BJ86" s="28"/>
      <c r="BK86" s="65"/>
      <c r="BL86" s="64">
        <f t="shared" si="86"/>
        <v>0</v>
      </c>
      <c r="BM86" s="28"/>
      <c r="BN86" s="28"/>
      <c r="BO86" s="65"/>
      <c r="BP86" s="64">
        <f t="shared" si="87"/>
        <v>0</v>
      </c>
      <c r="BQ86" s="28"/>
      <c r="BR86" s="28"/>
      <c r="BS86" s="65"/>
      <c r="BT86" s="64">
        <f t="shared" si="88"/>
        <v>0</v>
      </c>
      <c r="BU86" s="28"/>
      <c r="BV86" s="28"/>
      <c r="BW86" s="65"/>
      <c r="BX86" s="64">
        <f t="shared" si="89"/>
        <v>0</v>
      </c>
      <c r="BY86" s="28"/>
      <c r="BZ86" s="28"/>
      <c r="CA86" s="65"/>
      <c r="CB86" s="64">
        <f t="shared" si="90"/>
        <v>0</v>
      </c>
      <c r="CC86" s="28"/>
      <c r="CD86" s="28"/>
      <c r="CE86" s="65"/>
      <c r="CF86" s="64">
        <f t="shared" si="91"/>
        <v>0</v>
      </c>
      <c r="CG86" s="28"/>
      <c r="CH86" s="28"/>
      <c r="CI86" s="65"/>
      <c r="CJ86" s="64">
        <f t="shared" si="92"/>
        <v>0</v>
      </c>
      <c r="CK86" s="28"/>
      <c r="CL86" s="28"/>
      <c r="CM86" s="65"/>
      <c r="CN86" s="64">
        <f t="shared" si="93"/>
        <v>0</v>
      </c>
      <c r="CO86" s="28"/>
      <c r="CP86" s="28"/>
      <c r="CQ86" s="65"/>
      <c r="CR86" s="64">
        <f t="shared" si="94"/>
        <v>0</v>
      </c>
      <c r="CS86" s="28"/>
      <c r="CT86" s="28"/>
      <c r="CU86" s="65"/>
      <c r="CV86" s="64">
        <f t="shared" si="95"/>
        <v>0</v>
      </c>
      <c r="CW86" s="28"/>
      <c r="CX86" s="28"/>
      <c r="CY86" s="65"/>
      <c r="CZ86" s="64">
        <f t="shared" si="96"/>
        <v>0</v>
      </c>
      <c r="DA86" s="28"/>
      <c r="DB86" s="28"/>
      <c r="DC86" s="65"/>
      <c r="DD86" s="64">
        <f t="shared" si="97"/>
        <v>0</v>
      </c>
      <c r="DE86" s="28"/>
      <c r="DF86" s="28"/>
      <c r="DG86" s="65"/>
      <c r="DH86" s="64">
        <f t="shared" si="98"/>
        <v>0</v>
      </c>
      <c r="DI86" s="28"/>
      <c r="DJ86" s="28"/>
      <c r="DK86" s="65"/>
      <c r="DL86" s="64">
        <f t="shared" si="99"/>
        <v>0</v>
      </c>
      <c r="DM86" s="28"/>
      <c r="DN86" s="28"/>
      <c r="DO86" s="65"/>
      <c r="DP86" s="64">
        <f t="shared" si="100"/>
        <v>0</v>
      </c>
      <c r="DQ86" s="28"/>
      <c r="DR86" s="28"/>
      <c r="DS86" s="65"/>
      <c r="DT86" s="64">
        <f t="shared" si="101"/>
        <v>0</v>
      </c>
      <c r="DU86" s="28"/>
      <c r="DV86" s="28"/>
      <c r="DW86" s="65"/>
      <c r="DX86" s="30">
        <f t="shared" si="102"/>
        <v>0</v>
      </c>
      <c r="DY86" s="31">
        <f t="shared" si="69"/>
        <v>0</v>
      </c>
      <c r="DZ86" s="31">
        <f t="shared" si="70"/>
        <v>0</v>
      </c>
      <c r="EA86" s="4">
        <f t="shared" si="71"/>
        <v>0</v>
      </c>
      <c r="EB86" s="9">
        <f>D86*'MASTER SHEET'!D86</f>
        <v>0</v>
      </c>
      <c r="EC86" s="9">
        <f>H86*'MASTER SHEET'!D86</f>
        <v>0</v>
      </c>
      <c r="ED86" s="9">
        <f>L86*'MASTER SHEET'!D86</f>
        <v>0</v>
      </c>
      <c r="EE86" s="9">
        <f>P86*'MASTER SHEET'!D86</f>
        <v>0</v>
      </c>
      <c r="EF86" s="9">
        <f>T86*'MASTER SHEET'!D86</f>
        <v>0</v>
      </c>
      <c r="EG86" s="9">
        <f>X86*'MASTER SHEET'!D86</f>
        <v>0</v>
      </c>
      <c r="EH86" s="9">
        <f>AB86*'MASTER SHEET'!D86</f>
        <v>0</v>
      </c>
      <c r="EI86" s="9">
        <f>AF86*'MASTER SHEET'!D86</f>
        <v>0</v>
      </c>
      <c r="EJ86" s="9">
        <f>AJ86*'MASTER SHEET'!D86</f>
        <v>0</v>
      </c>
      <c r="EK86" s="9">
        <f>AN86*'MASTER SHEET'!D86</f>
        <v>0</v>
      </c>
      <c r="EL86" s="9">
        <f>AR86*'MASTER SHEET'!D86</f>
        <v>0</v>
      </c>
      <c r="EM86" s="9">
        <f>AV86*'MASTER SHEET'!D86</f>
        <v>0</v>
      </c>
      <c r="EN86" s="9">
        <f>AZ86*'MASTER SHEET'!D86</f>
        <v>0</v>
      </c>
      <c r="EO86" s="9">
        <f>BD86*'MASTER SHEET'!D86</f>
        <v>0</v>
      </c>
      <c r="EP86" s="9">
        <f>BH86*'MASTER SHEET'!D86</f>
        <v>0</v>
      </c>
      <c r="EQ86" s="9">
        <f>BL86*'MASTER SHEET'!D86</f>
        <v>0</v>
      </c>
      <c r="ER86" s="9">
        <f>BP86*'MASTER SHEET'!D86</f>
        <v>0</v>
      </c>
      <c r="ES86" s="9">
        <f>BT86*'MASTER SHEET'!D86</f>
        <v>0</v>
      </c>
      <c r="ET86" s="9">
        <f>BX86*'MASTER SHEET'!D86</f>
        <v>0</v>
      </c>
      <c r="EU86" s="9">
        <f>CB86*'MASTER SHEET'!D86</f>
        <v>0</v>
      </c>
      <c r="EV86" s="9">
        <f>CF86*'MASTER SHEET'!D86</f>
        <v>0</v>
      </c>
      <c r="EW86" s="9">
        <f>CJ86*'MASTER SHEET'!D86</f>
        <v>0</v>
      </c>
      <c r="EX86" s="9">
        <f>CN86*'MASTER SHEET'!D86</f>
        <v>0</v>
      </c>
      <c r="EY86" s="9">
        <f>CV86*'MASTER SHEET'!D86</f>
        <v>0</v>
      </c>
      <c r="EZ86" s="9">
        <f>CV86*'MASTER SHEET'!D86</f>
        <v>0</v>
      </c>
      <c r="FA86" s="9">
        <f>CZ86*'MASTER SHEET'!D86</f>
        <v>0</v>
      </c>
      <c r="FB86" s="9">
        <f>DD86*'MASTER SHEET'!D86</f>
        <v>0</v>
      </c>
      <c r="FC86" s="9">
        <f>DH86*'MASTER SHEET'!D86</f>
        <v>0</v>
      </c>
      <c r="FD86" s="9">
        <f>DL86*'MASTER SHEET'!D86</f>
        <v>0</v>
      </c>
      <c r="FE86" s="9">
        <f>DP86*'MASTER SHEET'!D86</f>
        <v>0</v>
      </c>
      <c r="FF86" s="9">
        <f>DT86*'MASTER SHEET'!D86</f>
        <v>0</v>
      </c>
      <c r="FG86" s="9">
        <f>DX86*'MASTER SHEET'!D86</f>
        <v>0</v>
      </c>
    </row>
    <row r="87" spans="1:163" ht="20.25" x14ac:dyDescent="0.25">
      <c r="A87" s="43">
        <f>'MASTER SHEET'!A87</f>
        <v>85</v>
      </c>
      <c r="B87" s="26" t="str">
        <f>'MASTER SHEET'!B87</f>
        <v>ENDPLATE PLASTIC</v>
      </c>
      <c r="C87" s="82">
        <f>'MASTER SHEET'!C87</f>
        <v>5028374</v>
      </c>
      <c r="D87" s="64"/>
      <c r="E87" s="28"/>
      <c r="F87" s="28"/>
      <c r="G87" s="65"/>
      <c r="H87" s="64">
        <f t="shared" si="72"/>
        <v>0</v>
      </c>
      <c r="I87" s="28"/>
      <c r="J87" s="28"/>
      <c r="K87" s="65"/>
      <c r="L87" s="64">
        <f t="shared" si="73"/>
        <v>0</v>
      </c>
      <c r="M87" s="28"/>
      <c r="N87" s="28"/>
      <c r="O87" s="65"/>
      <c r="P87" s="64">
        <f t="shared" si="74"/>
        <v>0</v>
      </c>
      <c r="Q87" s="28"/>
      <c r="R87" s="28"/>
      <c r="S87" s="65"/>
      <c r="T87" s="64">
        <f t="shared" si="75"/>
        <v>0</v>
      </c>
      <c r="U87" s="28"/>
      <c r="V87" s="28"/>
      <c r="W87" s="65"/>
      <c r="X87" s="64">
        <f t="shared" si="76"/>
        <v>0</v>
      </c>
      <c r="Y87" s="28"/>
      <c r="Z87" s="28"/>
      <c r="AA87" s="65"/>
      <c r="AB87" s="64">
        <f t="shared" si="77"/>
        <v>0</v>
      </c>
      <c r="AC87" s="28"/>
      <c r="AD87" s="28"/>
      <c r="AE87" s="65"/>
      <c r="AF87" s="64">
        <f t="shared" si="78"/>
        <v>0</v>
      </c>
      <c r="AG87" s="28"/>
      <c r="AH87" s="28"/>
      <c r="AI87" s="65"/>
      <c r="AJ87" s="64">
        <f t="shared" si="79"/>
        <v>0</v>
      </c>
      <c r="AK87" s="28"/>
      <c r="AL87" s="28"/>
      <c r="AM87" s="65"/>
      <c r="AN87" s="64">
        <f t="shared" si="80"/>
        <v>0</v>
      </c>
      <c r="AO87" s="28"/>
      <c r="AP87" s="28"/>
      <c r="AQ87" s="65"/>
      <c r="AR87" s="64">
        <f t="shared" si="81"/>
        <v>0</v>
      </c>
      <c r="AS87" s="28"/>
      <c r="AT87" s="28"/>
      <c r="AU87" s="65"/>
      <c r="AV87" s="64">
        <f t="shared" si="82"/>
        <v>0</v>
      </c>
      <c r="AW87" s="28"/>
      <c r="AX87" s="28"/>
      <c r="AY87" s="65"/>
      <c r="AZ87" s="64">
        <f t="shared" si="83"/>
        <v>0</v>
      </c>
      <c r="BA87" s="28"/>
      <c r="BB87" s="28"/>
      <c r="BC87" s="65"/>
      <c r="BD87" s="64">
        <f t="shared" si="84"/>
        <v>0</v>
      </c>
      <c r="BE87" s="28"/>
      <c r="BF87" s="28"/>
      <c r="BG87" s="65"/>
      <c r="BH87" s="64">
        <f t="shared" si="85"/>
        <v>0</v>
      </c>
      <c r="BI87" s="28"/>
      <c r="BJ87" s="28"/>
      <c r="BK87" s="65"/>
      <c r="BL87" s="64">
        <f t="shared" si="86"/>
        <v>0</v>
      </c>
      <c r="BM87" s="28"/>
      <c r="BN87" s="28"/>
      <c r="BO87" s="65"/>
      <c r="BP87" s="64">
        <f t="shared" si="87"/>
        <v>0</v>
      </c>
      <c r="BQ87" s="28"/>
      <c r="BR87" s="28"/>
      <c r="BS87" s="65"/>
      <c r="BT87" s="64">
        <f t="shared" si="88"/>
        <v>0</v>
      </c>
      <c r="BU87" s="28"/>
      <c r="BV87" s="28"/>
      <c r="BW87" s="65"/>
      <c r="BX87" s="64">
        <f t="shared" si="89"/>
        <v>0</v>
      </c>
      <c r="BY87" s="28"/>
      <c r="BZ87" s="28"/>
      <c r="CA87" s="65"/>
      <c r="CB87" s="64">
        <f t="shared" si="90"/>
        <v>0</v>
      </c>
      <c r="CC87" s="28"/>
      <c r="CD87" s="28"/>
      <c r="CE87" s="65"/>
      <c r="CF87" s="64">
        <f t="shared" si="91"/>
        <v>0</v>
      </c>
      <c r="CG87" s="28"/>
      <c r="CH87" s="28"/>
      <c r="CI87" s="65"/>
      <c r="CJ87" s="64">
        <f t="shared" si="92"/>
        <v>0</v>
      </c>
      <c r="CK87" s="28"/>
      <c r="CL87" s="28"/>
      <c r="CM87" s="65"/>
      <c r="CN87" s="64">
        <f t="shared" si="93"/>
        <v>0</v>
      </c>
      <c r="CO87" s="28"/>
      <c r="CP87" s="28"/>
      <c r="CQ87" s="65"/>
      <c r="CR87" s="64">
        <f t="shared" si="94"/>
        <v>0</v>
      </c>
      <c r="CS87" s="28"/>
      <c r="CT87" s="28"/>
      <c r="CU87" s="65"/>
      <c r="CV87" s="64">
        <f t="shared" si="95"/>
        <v>0</v>
      </c>
      <c r="CW87" s="28"/>
      <c r="CX87" s="28"/>
      <c r="CY87" s="65"/>
      <c r="CZ87" s="64">
        <f t="shared" si="96"/>
        <v>0</v>
      </c>
      <c r="DA87" s="28"/>
      <c r="DB87" s="28"/>
      <c r="DC87" s="65"/>
      <c r="DD87" s="64">
        <f t="shared" si="97"/>
        <v>0</v>
      </c>
      <c r="DE87" s="28"/>
      <c r="DF87" s="28"/>
      <c r="DG87" s="65"/>
      <c r="DH87" s="64">
        <f t="shared" si="98"/>
        <v>0</v>
      </c>
      <c r="DI87" s="28"/>
      <c r="DJ87" s="28"/>
      <c r="DK87" s="65"/>
      <c r="DL87" s="64">
        <f t="shared" si="99"/>
        <v>0</v>
      </c>
      <c r="DM87" s="28"/>
      <c r="DN87" s="28"/>
      <c r="DO87" s="65"/>
      <c r="DP87" s="64">
        <f t="shared" si="100"/>
        <v>0</v>
      </c>
      <c r="DQ87" s="28"/>
      <c r="DR87" s="28"/>
      <c r="DS87" s="65"/>
      <c r="DT87" s="64">
        <f t="shared" si="101"/>
        <v>0</v>
      </c>
      <c r="DU87" s="28"/>
      <c r="DV87" s="28"/>
      <c r="DW87" s="65"/>
      <c r="DX87" s="30">
        <f t="shared" si="102"/>
        <v>0</v>
      </c>
      <c r="DY87" s="31">
        <f t="shared" si="69"/>
        <v>0</v>
      </c>
      <c r="DZ87" s="31">
        <f t="shared" si="70"/>
        <v>0</v>
      </c>
      <c r="EA87" s="4">
        <f t="shared" si="71"/>
        <v>0</v>
      </c>
      <c r="EB87" s="9">
        <f>D87*'MASTER SHEET'!D87</f>
        <v>0</v>
      </c>
      <c r="EC87" s="9">
        <f>H87*'MASTER SHEET'!D87</f>
        <v>0</v>
      </c>
      <c r="ED87" s="9">
        <f>L87*'MASTER SHEET'!D87</f>
        <v>0</v>
      </c>
      <c r="EE87" s="9">
        <f>P87*'MASTER SHEET'!D87</f>
        <v>0</v>
      </c>
      <c r="EF87" s="9">
        <f>T87*'MASTER SHEET'!D87</f>
        <v>0</v>
      </c>
      <c r="EG87" s="9">
        <f>X87*'MASTER SHEET'!D87</f>
        <v>0</v>
      </c>
      <c r="EH87" s="9">
        <f>AB87*'MASTER SHEET'!D87</f>
        <v>0</v>
      </c>
      <c r="EI87" s="9">
        <f>AF87*'MASTER SHEET'!D87</f>
        <v>0</v>
      </c>
      <c r="EJ87" s="9">
        <f>AJ87*'MASTER SHEET'!D87</f>
        <v>0</v>
      </c>
      <c r="EK87" s="9">
        <f>AN87*'MASTER SHEET'!D87</f>
        <v>0</v>
      </c>
      <c r="EL87" s="9">
        <f>AR87*'MASTER SHEET'!D87</f>
        <v>0</v>
      </c>
      <c r="EM87" s="9">
        <f>AV87*'MASTER SHEET'!D87</f>
        <v>0</v>
      </c>
      <c r="EN87" s="9">
        <f>AZ87*'MASTER SHEET'!D87</f>
        <v>0</v>
      </c>
      <c r="EO87" s="9">
        <f>BD87*'MASTER SHEET'!D87</f>
        <v>0</v>
      </c>
      <c r="EP87" s="9">
        <f>BH87*'MASTER SHEET'!D87</f>
        <v>0</v>
      </c>
      <c r="EQ87" s="9">
        <f>BL87*'MASTER SHEET'!D87</f>
        <v>0</v>
      </c>
      <c r="ER87" s="9">
        <f>BP87*'MASTER SHEET'!D87</f>
        <v>0</v>
      </c>
      <c r="ES87" s="9">
        <f>BT87*'MASTER SHEET'!D87</f>
        <v>0</v>
      </c>
      <c r="ET87" s="9">
        <f>BX87*'MASTER SHEET'!D87</f>
        <v>0</v>
      </c>
      <c r="EU87" s="9">
        <f>CB87*'MASTER SHEET'!D87</f>
        <v>0</v>
      </c>
      <c r="EV87" s="9">
        <f>CF87*'MASTER SHEET'!D87</f>
        <v>0</v>
      </c>
      <c r="EW87" s="9">
        <f>CJ87*'MASTER SHEET'!D87</f>
        <v>0</v>
      </c>
      <c r="EX87" s="9">
        <f>CN87*'MASTER SHEET'!D87</f>
        <v>0</v>
      </c>
      <c r="EY87" s="9">
        <f>CV87*'MASTER SHEET'!D87</f>
        <v>0</v>
      </c>
      <c r="EZ87" s="9">
        <f>CV87*'MASTER SHEET'!D87</f>
        <v>0</v>
      </c>
      <c r="FA87" s="9">
        <f>CZ87*'MASTER SHEET'!D87</f>
        <v>0</v>
      </c>
      <c r="FB87" s="9">
        <f>DD87*'MASTER SHEET'!D87</f>
        <v>0</v>
      </c>
      <c r="FC87" s="9">
        <f>DH87*'MASTER SHEET'!D87</f>
        <v>0</v>
      </c>
      <c r="FD87" s="9">
        <f>DL87*'MASTER SHEET'!D87</f>
        <v>0</v>
      </c>
      <c r="FE87" s="9">
        <f>DP87*'MASTER SHEET'!D87</f>
        <v>0</v>
      </c>
      <c r="FF87" s="9">
        <f>DT87*'MASTER SHEET'!D87</f>
        <v>0</v>
      </c>
      <c r="FG87" s="9">
        <f>DX87*'MASTER SHEET'!D87</f>
        <v>0</v>
      </c>
    </row>
    <row r="88" spans="1:163" ht="20.25" x14ac:dyDescent="0.25">
      <c r="A88" s="43">
        <f>'MASTER SHEET'!A88</f>
        <v>86</v>
      </c>
      <c r="B88" s="26" t="str">
        <f>'MASTER SHEET'!B88</f>
        <v xml:space="preserve">ENDPLATE </v>
      </c>
      <c r="C88" s="82">
        <f>'MASTER SHEET'!C88</f>
        <v>5040212</v>
      </c>
      <c r="D88" s="64"/>
      <c r="E88" s="28"/>
      <c r="F88" s="28"/>
      <c r="G88" s="65"/>
      <c r="H88" s="64">
        <f t="shared" si="72"/>
        <v>0</v>
      </c>
      <c r="I88" s="28"/>
      <c r="J88" s="28"/>
      <c r="K88" s="65"/>
      <c r="L88" s="64">
        <f t="shared" si="73"/>
        <v>0</v>
      </c>
      <c r="M88" s="28"/>
      <c r="N88" s="28"/>
      <c r="O88" s="65"/>
      <c r="P88" s="64">
        <f t="shared" si="74"/>
        <v>0</v>
      </c>
      <c r="Q88" s="28"/>
      <c r="R88" s="28"/>
      <c r="S88" s="65"/>
      <c r="T88" s="64">
        <f t="shared" si="75"/>
        <v>0</v>
      </c>
      <c r="U88" s="28"/>
      <c r="V88" s="28"/>
      <c r="W88" s="65"/>
      <c r="X88" s="64">
        <f t="shared" si="76"/>
        <v>0</v>
      </c>
      <c r="Y88" s="28"/>
      <c r="Z88" s="28"/>
      <c r="AA88" s="65"/>
      <c r="AB88" s="64">
        <f t="shared" si="77"/>
        <v>0</v>
      </c>
      <c r="AC88" s="28"/>
      <c r="AD88" s="28"/>
      <c r="AE88" s="65"/>
      <c r="AF88" s="64">
        <f t="shared" si="78"/>
        <v>0</v>
      </c>
      <c r="AG88" s="28"/>
      <c r="AH88" s="28"/>
      <c r="AI88" s="65"/>
      <c r="AJ88" s="64">
        <f t="shared" si="79"/>
        <v>0</v>
      </c>
      <c r="AK88" s="28"/>
      <c r="AL88" s="28"/>
      <c r="AM88" s="65"/>
      <c r="AN88" s="64">
        <f t="shared" si="80"/>
        <v>0</v>
      </c>
      <c r="AO88" s="28"/>
      <c r="AP88" s="28"/>
      <c r="AQ88" s="65"/>
      <c r="AR88" s="64">
        <f t="shared" si="81"/>
        <v>0</v>
      </c>
      <c r="AS88" s="28"/>
      <c r="AT88" s="28"/>
      <c r="AU88" s="65"/>
      <c r="AV88" s="64">
        <f t="shared" si="82"/>
        <v>0</v>
      </c>
      <c r="AW88" s="28"/>
      <c r="AX88" s="28"/>
      <c r="AY88" s="65"/>
      <c r="AZ88" s="64">
        <f t="shared" si="83"/>
        <v>0</v>
      </c>
      <c r="BA88" s="28"/>
      <c r="BB88" s="28"/>
      <c r="BC88" s="65"/>
      <c r="BD88" s="64">
        <f t="shared" si="84"/>
        <v>0</v>
      </c>
      <c r="BE88" s="28"/>
      <c r="BF88" s="28"/>
      <c r="BG88" s="65"/>
      <c r="BH88" s="64">
        <f t="shared" si="85"/>
        <v>0</v>
      </c>
      <c r="BI88" s="28"/>
      <c r="BJ88" s="28"/>
      <c r="BK88" s="65"/>
      <c r="BL88" s="64">
        <f t="shared" si="86"/>
        <v>0</v>
      </c>
      <c r="BM88" s="28"/>
      <c r="BN88" s="28"/>
      <c r="BO88" s="65"/>
      <c r="BP88" s="64">
        <f t="shared" si="87"/>
        <v>0</v>
      </c>
      <c r="BQ88" s="28"/>
      <c r="BR88" s="28"/>
      <c r="BS88" s="65"/>
      <c r="BT88" s="64">
        <f t="shared" si="88"/>
        <v>0</v>
      </c>
      <c r="BU88" s="28"/>
      <c r="BV88" s="28"/>
      <c r="BW88" s="65"/>
      <c r="BX88" s="64">
        <f t="shared" si="89"/>
        <v>0</v>
      </c>
      <c r="BY88" s="28"/>
      <c r="BZ88" s="28"/>
      <c r="CA88" s="65"/>
      <c r="CB88" s="64">
        <f t="shared" si="90"/>
        <v>0</v>
      </c>
      <c r="CC88" s="28"/>
      <c r="CD88" s="28"/>
      <c r="CE88" s="65"/>
      <c r="CF88" s="64">
        <f t="shared" si="91"/>
        <v>0</v>
      </c>
      <c r="CG88" s="28"/>
      <c r="CH88" s="28"/>
      <c r="CI88" s="65"/>
      <c r="CJ88" s="64">
        <f t="shared" si="92"/>
        <v>0</v>
      </c>
      <c r="CK88" s="28"/>
      <c r="CL88" s="28"/>
      <c r="CM88" s="65"/>
      <c r="CN88" s="64">
        <f t="shared" si="93"/>
        <v>0</v>
      </c>
      <c r="CO88" s="28"/>
      <c r="CP88" s="28"/>
      <c r="CQ88" s="65"/>
      <c r="CR88" s="64">
        <f t="shared" si="94"/>
        <v>0</v>
      </c>
      <c r="CS88" s="28"/>
      <c r="CT88" s="28"/>
      <c r="CU88" s="65"/>
      <c r="CV88" s="64">
        <f t="shared" si="95"/>
        <v>0</v>
      </c>
      <c r="CW88" s="28"/>
      <c r="CX88" s="28"/>
      <c r="CY88" s="65"/>
      <c r="CZ88" s="64">
        <f t="shared" si="96"/>
        <v>0</v>
      </c>
      <c r="DA88" s="28"/>
      <c r="DB88" s="28"/>
      <c r="DC88" s="65"/>
      <c r="DD88" s="64">
        <f t="shared" si="97"/>
        <v>0</v>
      </c>
      <c r="DE88" s="28"/>
      <c r="DF88" s="28"/>
      <c r="DG88" s="65"/>
      <c r="DH88" s="64">
        <f t="shared" si="98"/>
        <v>0</v>
      </c>
      <c r="DI88" s="28"/>
      <c r="DJ88" s="28"/>
      <c r="DK88" s="65"/>
      <c r="DL88" s="64">
        <f t="shared" si="99"/>
        <v>0</v>
      </c>
      <c r="DM88" s="28"/>
      <c r="DN88" s="28"/>
      <c r="DO88" s="65"/>
      <c r="DP88" s="64">
        <f t="shared" si="100"/>
        <v>0</v>
      </c>
      <c r="DQ88" s="28"/>
      <c r="DR88" s="28"/>
      <c r="DS88" s="65"/>
      <c r="DT88" s="64">
        <f t="shared" si="101"/>
        <v>0</v>
      </c>
      <c r="DU88" s="28"/>
      <c r="DV88" s="28"/>
      <c r="DW88" s="65"/>
      <c r="DX88" s="30">
        <f t="shared" si="102"/>
        <v>0</v>
      </c>
      <c r="DY88" s="31">
        <f t="shared" si="69"/>
        <v>0</v>
      </c>
      <c r="DZ88" s="31">
        <f t="shared" si="70"/>
        <v>0</v>
      </c>
      <c r="EA88" s="4">
        <f t="shared" si="71"/>
        <v>0</v>
      </c>
      <c r="EB88" s="9">
        <f>D88*'MASTER SHEET'!D88</f>
        <v>0</v>
      </c>
      <c r="EC88" s="9">
        <f>H88*'MASTER SHEET'!D88</f>
        <v>0</v>
      </c>
      <c r="ED88" s="9">
        <f>L88*'MASTER SHEET'!D88</f>
        <v>0</v>
      </c>
      <c r="EE88" s="9">
        <f>P88*'MASTER SHEET'!D88</f>
        <v>0</v>
      </c>
      <c r="EF88" s="9">
        <f>T88*'MASTER SHEET'!D88</f>
        <v>0</v>
      </c>
      <c r="EG88" s="9">
        <f>X88*'MASTER SHEET'!D88</f>
        <v>0</v>
      </c>
      <c r="EH88" s="9">
        <f>AB88*'MASTER SHEET'!D88</f>
        <v>0</v>
      </c>
      <c r="EI88" s="9">
        <f>AF88*'MASTER SHEET'!D88</f>
        <v>0</v>
      </c>
      <c r="EJ88" s="9">
        <f>AJ88*'MASTER SHEET'!D88</f>
        <v>0</v>
      </c>
      <c r="EK88" s="9">
        <f>AN88*'MASTER SHEET'!D88</f>
        <v>0</v>
      </c>
      <c r="EL88" s="9">
        <f>AR88*'MASTER SHEET'!D88</f>
        <v>0</v>
      </c>
      <c r="EM88" s="9">
        <f>AV88*'MASTER SHEET'!D88</f>
        <v>0</v>
      </c>
      <c r="EN88" s="9">
        <f>AZ88*'MASTER SHEET'!D88</f>
        <v>0</v>
      </c>
      <c r="EO88" s="9">
        <f>BD88*'MASTER SHEET'!D88</f>
        <v>0</v>
      </c>
      <c r="EP88" s="9">
        <f>BH88*'MASTER SHEET'!D88</f>
        <v>0</v>
      </c>
      <c r="EQ88" s="9">
        <f>BL88*'MASTER SHEET'!D88</f>
        <v>0</v>
      </c>
      <c r="ER88" s="9">
        <f>BP88*'MASTER SHEET'!D88</f>
        <v>0</v>
      </c>
      <c r="ES88" s="9">
        <f>BT88*'MASTER SHEET'!D88</f>
        <v>0</v>
      </c>
      <c r="ET88" s="9">
        <f>BX88*'MASTER SHEET'!D88</f>
        <v>0</v>
      </c>
      <c r="EU88" s="9">
        <f>CB88*'MASTER SHEET'!D88</f>
        <v>0</v>
      </c>
      <c r="EV88" s="9">
        <f>CF88*'MASTER SHEET'!D88</f>
        <v>0</v>
      </c>
      <c r="EW88" s="9">
        <f>CJ88*'MASTER SHEET'!D88</f>
        <v>0</v>
      </c>
      <c r="EX88" s="9">
        <f>CN88*'MASTER SHEET'!D88</f>
        <v>0</v>
      </c>
      <c r="EY88" s="9">
        <f>CV88*'MASTER SHEET'!D88</f>
        <v>0</v>
      </c>
      <c r="EZ88" s="9">
        <f>CV88*'MASTER SHEET'!D88</f>
        <v>0</v>
      </c>
      <c r="FA88" s="9">
        <f>CZ88*'MASTER SHEET'!D88</f>
        <v>0</v>
      </c>
      <c r="FB88" s="9">
        <f>DD88*'MASTER SHEET'!D88</f>
        <v>0</v>
      </c>
      <c r="FC88" s="9">
        <f>DH88*'MASTER SHEET'!D88</f>
        <v>0</v>
      </c>
      <c r="FD88" s="9">
        <f>DL88*'MASTER SHEET'!D88</f>
        <v>0</v>
      </c>
      <c r="FE88" s="9">
        <f>DP88*'MASTER SHEET'!D88</f>
        <v>0</v>
      </c>
      <c r="FF88" s="9">
        <f>DT88*'MASTER SHEET'!D88</f>
        <v>0</v>
      </c>
      <c r="FG88" s="9">
        <f>DX88*'MASTER SHEET'!D88</f>
        <v>0</v>
      </c>
    </row>
    <row r="89" spans="1:163" ht="20.25" x14ac:dyDescent="0.25">
      <c r="A89" s="43">
        <f>'MASTER SHEET'!A89</f>
        <v>87</v>
      </c>
      <c r="B89" s="26" t="str">
        <f>'MASTER SHEET'!B89</f>
        <v>SHELL PLASTIC</v>
      </c>
      <c r="C89" s="82">
        <f>'MASTER SHEET'!C89</f>
        <v>5043828</v>
      </c>
      <c r="D89" s="64"/>
      <c r="E89" s="28"/>
      <c r="F89" s="28"/>
      <c r="G89" s="65"/>
      <c r="H89" s="64">
        <f t="shared" si="72"/>
        <v>0</v>
      </c>
      <c r="I89" s="28"/>
      <c r="J89" s="28"/>
      <c r="K89" s="65"/>
      <c r="L89" s="64">
        <f t="shared" si="73"/>
        <v>0</v>
      </c>
      <c r="M89" s="28"/>
      <c r="N89" s="28"/>
      <c r="O89" s="65"/>
      <c r="P89" s="64">
        <f t="shared" si="74"/>
        <v>0</v>
      </c>
      <c r="Q89" s="28"/>
      <c r="R89" s="28"/>
      <c r="S89" s="65"/>
      <c r="T89" s="64">
        <f t="shared" si="75"/>
        <v>0</v>
      </c>
      <c r="U89" s="28"/>
      <c r="V89" s="28"/>
      <c r="W89" s="65"/>
      <c r="X89" s="64">
        <f t="shared" si="76"/>
        <v>0</v>
      </c>
      <c r="Y89" s="28"/>
      <c r="Z89" s="28"/>
      <c r="AA89" s="65"/>
      <c r="AB89" s="64">
        <f t="shared" si="77"/>
        <v>0</v>
      </c>
      <c r="AC89" s="28"/>
      <c r="AD89" s="28"/>
      <c r="AE89" s="65"/>
      <c r="AF89" s="64">
        <f t="shared" si="78"/>
        <v>0</v>
      </c>
      <c r="AG89" s="28"/>
      <c r="AH89" s="28"/>
      <c r="AI89" s="65"/>
      <c r="AJ89" s="64">
        <f t="shared" si="79"/>
        <v>0</v>
      </c>
      <c r="AK89" s="28"/>
      <c r="AL89" s="28"/>
      <c r="AM89" s="65"/>
      <c r="AN89" s="64">
        <f t="shared" si="80"/>
        <v>0</v>
      </c>
      <c r="AO89" s="28"/>
      <c r="AP89" s="28"/>
      <c r="AQ89" s="65"/>
      <c r="AR89" s="64">
        <f t="shared" si="81"/>
        <v>0</v>
      </c>
      <c r="AS89" s="28"/>
      <c r="AT89" s="28"/>
      <c r="AU89" s="65"/>
      <c r="AV89" s="64">
        <f t="shared" si="82"/>
        <v>0</v>
      </c>
      <c r="AW89" s="28"/>
      <c r="AX89" s="28"/>
      <c r="AY89" s="65"/>
      <c r="AZ89" s="64">
        <f t="shared" si="83"/>
        <v>0</v>
      </c>
      <c r="BA89" s="28"/>
      <c r="BB89" s="28"/>
      <c r="BC89" s="65"/>
      <c r="BD89" s="64">
        <f t="shared" si="84"/>
        <v>0</v>
      </c>
      <c r="BE89" s="28"/>
      <c r="BF89" s="28"/>
      <c r="BG89" s="65"/>
      <c r="BH89" s="64">
        <f t="shared" si="85"/>
        <v>0</v>
      </c>
      <c r="BI89" s="28"/>
      <c r="BJ89" s="28"/>
      <c r="BK89" s="65"/>
      <c r="BL89" s="64">
        <f t="shared" si="86"/>
        <v>0</v>
      </c>
      <c r="BM89" s="28"/>
      <c r="BN89" s="28"/>
      <c r="BO89" s="65"/>
      <c r="BP89" s="64">
        <f t="shared" si="87"/>
        <v>0</v>
      </c>
      <c r="BQ89" s="28"/>
      <c r="BR89" s="28"/>
      <c r="BS89" s="65"/>
      <c r="BT89" s="64">
        <f t="shared" si="88"/>
        <v>0</v>
      </c>
      <c r="BU89" s="28"/>
      <c r="BV89" s="28"/>
      <c r="BW89" s="65"/>
      <c r="BX89" s="64">
        <f t="shared" si="89"/>
        <v>0</v>
      </c>
      <c r="BY89" s="28"/>
      <c r="BZ89" s="28"/>
      <c r="CA89" s="65"/>
      <c r="CB89" s="64">
        <f t="shared" si="90"/>
        <v>0</v>
      </c>
      <c r="CC89" s="28"/>
      <c r="CD89" s="28"/>
      <c r="CE89" s="65"/>
      <c r="CF89" s="64">
        <f t="shared" si="91"/>
        <v>0</v>
      </c>
      <c r="CG89" s="28"/>
      <c r="CH89" s="28"/>
      <c r="CI89" s="65"/>
      <c r="CJ89" s="64">
        <f t="shared" si="92"/>
        <v>0</v>
      </c>
      <c r="CK89" s="28"/>
      <c r="CL89" s="28"/>
      <c r="CM89" s="65"/>
      <c r="CN89" s="64">
        <f t="shared" si="93"/>
        <v>0</v>
      </c>
      <c r="CO89" s="28"/>
      <c r="CP89" s="28"/>
      <c r="CQ89" s="65"/>
      <c r="CR89" s="64">
        <f t="shared" si="94"/>
        <v>0</v>
      </c>
      <c r="CS89" s="28"/>
      <c r="CT89" s="28"/>
      <c r="CU89" s="65"/>
      <c r="CV89" s="64">
        <f t="shared" si="95"/>
        <v>0</v>
      </c>
      <c r="CW89" s="28"/>
      <c r="CX89" s="28"/>
      <c r="CY89" s="65"/>
      <c r="CZ89" s="64">
        <f t="shared" si="96"/>
        <v>0</v>
      </c>
      <c r="DA89" s="28"/>
      <c r="DB89" s="28"/>
      <c r="DC89" s="65"/>
      <c r="DD89" s="64">
        <f t="shared" si="97"/>
        <v>0</v>
      </c>
      <c r="DE89" s="28"/>
      <c r="DF89" s="28"/>
      <c r="DG89" s="65"/>
      <c r="DH89" s="64">
        <f t="shared" si="98"/>
        <v>0</v>
      </c>
      <c r="DI89" s="28"/>
      <c r="DJ89" s="28"/>
      <c r="DK89" s="65"/>
      <c r="DL89" s="64">
        <f t="shared" si="99"/>
        <v>0</v>
      </c>
      <c r="DM89" s="28"/>
      <c r="DN89" s="28"/>
      <c r="DO89" s="65"/>
      <c r="DP89" s="64">
        <f t="shared" si="100"/>
        <v>0</v>
      </c>
      <c r="DQ89" s="28"/>
      <c r="DR89" s="28"/>
      <c r="DS89" s="65"/>
      <c r="DT89" s="64">
        <f t="shared" si="101"/>
        <v>0</v>
      </c>
      <c r="DU89" s="28"/>
      <c r="DV89" s="28"/>
      <c r="DW89" s="65"/>
      <c r="DX89" s="30">
        <f t="shared" si="102"/>
        <v>0</v>
      </c>
      <c r="DY89" s="31">
        <f t="shared" si="69"/>
        <v>0</v>
      </c>
      <c r="DZ89" s="31">
        <f t="shared" si="70"/>
        <v>0</v>
      </c>
      <c r="EA89" s="4">
        <f t="shared" si="71"/>
        <v>0</v>
      </c>
      <c r="EB89" s="9">
        <f>D89*'MASTER SHEET'!D89</f>
        <v>0</v>
      </c>
      <c r="EC89" s="9">
        <f>H89*'MASTER SHEET'!D89</f>
        <v>0</v>
      </c>
      <c r="ED89" s="9">
        <f>L89*'MASTER SHEET'!D89</f>
        <v>0</v>
      </c>
      <c r="EE89" s="9">
        <f>P89*'MASTER SHEET'!D89</f>
        <v>0</v>
      </c>
      <c r="EF89" s="9">
        <f>T89*'MASTER SHEET'!D89</f>
        <v>0</v>
      </c>
      <c r="EG89" s="9">
        <f>X89*'MASTER SHEET'!D89</f>
        <v>0</v>
      </c>
      <c r="EH89" s="9">
        <f>AB89*'MASTER SHEET'!D89</f>
        <v>0</v>
      </c>
      <c r="EI89" s="9">
        <f>AF89*'MASTER SHEET'!D89</f>
        <v>0</v>
      </c>
      <c r="EJ89" s="9">
        <f>AJ89*'MASTER SHEET'!D89</f>
        <v>0</v>
      </c>
      <c r="EK89" s="9">
        <f>AN89*'MASTER SHEET'!D89</f>
        <v>0</v>
      </c>
      <c r="EL89" s="9">
        <f>AR89*'MASTER SHEET'!D89</f>
        <v>0</v>
      </c>
      <c r="EM89" s="9">
        <f>AV89*'MASTER SHEET'!D89</f>
        <v>0</v>
      </c>
      <c r="EN89" s="9">
        <f>AZ89*'MASTER SHEET'!D89</f>
        <v>0</v>
      </c>
      <c r="EO89" s="9">
        <f>BD89*'MASTER SHEET'!D89</f>
        <v>0</v>
      </c>
      <c r="EP89" s="9">
        <f>BH89*'MASTER SHEET'!D89</f>
        <v>0</v>
      </c>
      <c r="EQ89" s="9">
        <f>BL89*'MASTER SHEET'!D89</f>
        <v>0</v>
      </c>
      <c r="ER89" s="9">
        <f>BP89*'MASTER SHEET'!D89</f>
        <v>0</v>
      </c>
      <c r="ES89" s="9">
        <f>BT89*'MASTER SHEET'!D89</f>
        <v>0</v>
      </c>
      <c r="ET89" s="9">
        <f>BX89*'MASTER SHEET'!D89</f>
        <v>0</v>
      </c>
      <c r="EU89" s="9">
        <f>CB89*'MASTER SHEET'!D89</f>
        <v>0</v>
      </c>
      <c r="EV89" s="9">
        <f>CF89*'MASTER SHEET'!D89</f>
        <v>0</v>
      </c>
      <c r="EW89" s="9">
        <f>CJ89*'MASTER SHEET'!D89</f>
        <v>0</v>
      </c>
      <c r="EX89" s="9">
        <f>CN89*'MASTER SHEET'!D89</f>
        <v>0</v>
      </c>
      <c r="EY89" s="9">
        <f>CV89*'MASTER SHEET'!D89</f>
        <v>0</v>
      </c>
      <c r="EZ89" s="9">
        <f>CV89*'MASTER SHEET'!D89</f>
        <v>0</v>
      </c>
      <c r="FA89" s="9">
        <f>CZ89*'MASTER SHEET'!D89</f>
        <v>0</v>
      </c>
      <c r="FB89" s="9">
        <f>DD89*'MASTER SHEET'!D89</f>
        <v>0</v>
      </c>
      <c r="FC89" s="9">
        <f>DH89*'MASTER SHEET'!D89</f>
        <v>0</v>
      </c>
      <c r="FD89" s="9">
        <f>DL89*'MASTER SHEET'!D89</f>
        <v>0</v>
      </c>
      <c r="FE89" s="9">
        <f>DP89*'MASTER SHEET'!D89</f>
        <v>0</v>
      </c>
      <c r="FF89" s="9">
        <f>DT89*'MASTER SHEET'!D89</f>
        <v>0</v>
      </c>
      <c r="FG89" s="9">
        <f>DX89*'MASTER SHEET'!D89</f>
        <v>0</v>
      </c>
    </row>
    <row r="90" spans="1:163" ht="20.25" x14ac:dyDescent="0.25">
      <c r="A90" s="43">
        <f>'MASTER SHEET'!A90</f>
        <v>88</v>
      </c>
      <c r="B90" s="26" t="str">
        <f>'MASTER SHEET'!B90</f>
        <v>PRECLEANER</v>
      </c>
      <c r="C90" s="82">
        <f>'MASTER SHEET'!C90</f>
        <v>5012394</v>
      </c>
      <c r="D90" s="64"/>
      <c r="E90" s="28"/>
      <c r="F90" s="28"/>
      <c r="G90" s="65"/>
      <c r="H90" s="64">
        <f t="shared" si="72"/>
        <v>0</v>
      </c>
      <c r="I90" s="28"/>
      <c r="J90" s="28"/>
      <c r="K90" s="65"/>
      <c r="L90" s="64">
        <f t="shared" si="73"/>
        <v>0</v>
      </c>
      <c r="M90" s="28"/>
      <c r="N90" s="28"/>
      <c r="O90" s="65"/>
      <c r="P90" s="64">
        <f t="shared" si="74"/>
        <v>0</v>
      </c>
      <c r="Q90" s="28"/>
      <c r="R90" s="28"/>
      <c r="S90" s="65"/>
      <c r="T90" s="64">
        <f t="shared" si="75"/>
        <v>0</v>
      </c>
      <c r="U90" s="28"/>
      <c r="V90" s="28"/>
      <c r="W90" s="65"/>
      <c r="X90" s="64">
        <f t="shared" si="76"/>
        <v>0</v>
      </c>
      <c r="Y90" s="28"/>
      <c r="Z90" s="28"/>
      <c r="AA90" s="65"/>
      <c r="AB90" s="64">
        <f t="shared" si="77"/>
        <v>0</v>
      </c>
      <c r="AC90" s="28"/>
      <c r="AD90" s="28"/>
      <c r="AE90" s="65"/>
      <c r="AF90" s="64">
        <f t="shared" si="78"/>
        <v>0</v>
      </c>
      <c r="AG90" s="28"/>
      <c r="AH90" s="28"/>
      <c r="AI90" s="65"/>
      <c r="AJ90" s="64">
        <f t="shared" si="79"/>
        <v>0</v>
      </c>
      <c r="AK90" s="28"/>
      <c r="AL90" s="28"/>
      <c r="AM90" s="65"/>
      <c r="AN90" s="64">
        <f t="shared" si="80"/>
        <v>0</v>
      </c>
      <c r="AO90" s="28"/>
      <c r="AP90" s="28"/>
      <c r="AQ90" s="65"/>
      <c r="AR90" s="64">
        <f t="shared" si="81"/>
        <v>0</v>
      </c>
      <c r="AS90" s="28"/>
      <c r="AT90" s="28"/>
      <c r="AU90" s="65"/>
      <c r="AV90" s="64">
        <f t="shared" si="82"/>
        <v>0</v>
      </c>
      <c r="AW90" s="28"/>
      <c r="AX90" s="28"/>
      <c r="AY90" s="65"/>
      <c r="AZ90" s="64">
        <f t="shared" si="83"/>
        <v>0</v>
      </c>
      <c r="BA90" s="28"/>
      <c r="BB90" s="28"/>
      <c r="BC90" s="65"/>
      <c r="BD90" s="64">
        <f t="shared" si="84"/>
        <v>0</v>
      </c>
      <c r="BE90" s="28"/>
      <c r="BF90" s="28"/>
      <c r="BG90" s="65"/>
      <c r="BH90" s="64">
        <f t="shared" si="85"/>
        <v>0</v>
      </c>
      <c r="BI90" s="28"/>
      <c r="BJ90" s="28"/>
      <c r="BK90" s="65"/>
      <c r="BL90" s="64">
        <f t="shared" si="86"/>
        <v>0</v>
      </c>
      <c r="BM90" s="28"/>
      <c r="BN90" s="28"/>
      <c r="BO90" s="65"/>
      <c r="BP90" s="64">
        <f t="shared" si="87"/>
        <v>0</v>
      </c>
      <c r="BQ90" s="28"/>
      <c r="BR90" s="28"/>
      <c r="BS90" s="65"/>
      <c r="BT90" s="64">
        <f t="shared" si="88"/>
        <v>0</v>
      </c>
      <c r="BU90" s="28"/>
      <c r="BV90" s="28"/>
      <c r="BW90" s="65"/>
      <c r="BX90" s="64">
        <f t="shared" si="89"/>
        <v>0</v>
      </c>
      <c r="BY90" s="28"/>
      <c r="BZ90" s="28"/>
      <c r="CA90" s="65"/>
      <c r="CB90" s="64">
        <f t="shared" si="90"/>
        <v>0</v>
      </c>
      <c r="CC90" s="28"/>
      <c r="CD90" s="28"/>
      <c r="CE90" s="65"/>
      <c r="CF90" s="64">
        <f t="shared" si="91"/>
        <v>0</v>
      </c>
      <c r="CG90" s="28"/>
      <c r="CH90" s="28"/>
      <c r="CI90" s="65"/>
      <c r="CJ90" s="64">
        <f t="shared" si="92"/>
        <v>0</v>
      </c>
      <c r="CK90" s="28"/>
      <c r="CL90" s="28"/>
      <c r="CM90" s="65"/>
      <c r="CN90" s="64">
        <f t="shared" si="93"/>
        <v>0</v>
      </c>
      <c r="CO90" s="28"/>
      <c r="CP90" s="28"/>
      <c r="CQ90" s="65"/>
      <c r="CR90" s="64">
        <f t="shared" si="94"/>
        <v>0</v>
      </c>
      <c r="CS90" s="28"/>
      <c r="CT90" s="28"/>
      <c r="CU90" s="65"/>
      <c r="CV90" s="64">
        <f t="shared" si="95"/>
        <v>0</v>
      </c>
      <c r="CW90" s="28"/>
      <c r="CX90" s="28"/>
      <c r="CY90" s="65"/>
      <c r="CZ90" s="64">
        <f t="shared" si="96"/>
        <v>0</v>
      </c>
      <c r="DA90" s="28"/>
      <c r="DB90" s="28"/>
      <c r="DC90" s="65"/>
      <c r="DD90" s="64">
        <f t="shared" si="97"/>
        <v>0</v>
      </c>
      <c r="DE90" s="28"/>
      <c r="DF90" s="28"/>
      <c r="DG90" s="65"/>
      <c r="DH90" s="64">
        <f t="shared" si="98"/>
        <v>0</v>
      </c>
      <c r="DI90" s="28"/>
      <c r="DJ90" s="28"/>
      <c r="DK90" s="65"/>
      <c r="DL90" s="64">
        <f t="shared" si="99"/>
        <v>0</v>
      </c>
      <c r="DM90" s="28"/>
      <c r="DN90" s="28"/>
      <c r="DO90" s="65"/>
      <c r="DP90" s="64">
        <f t="shared" si="100"/>
        <v>0</v>
      </c>
      <c r="DQ90" s="28"/>
      <c r="DR90" s="28"/>
      <c r="DS90" s="65"/>
      <c r="DT90" s="64">
        <f t="shared" si="101"/>
        <v>0</v>
      </c>
      <c r="DU90" s="28"/>
      <c r="DV90" s="28"/>
      <c r="DW90" s="65"/>
      <c r="DX90" s="30">
        <f t="shared" si="102"/>
        <v>0</v>
      </c>
      <c r="DY90" s="31">
        <f t="shared" si="69"/>
        <v>0</v>
      </c>
      <c r="DZ90" s="31">
        <f t="shared" si="70"/>
        <v>0</v>
      </c>
      <c r="EA90" s="4">
        <f t="shared" si="71"/>
        <v>0</v>
      </c>
      <c r="EB90" s="9">
        <f>D90*'MASTER SHEET'!D90</f>
        <v>0</v>
      </c>
      <c r="EC90" s="9">
        <f>H90*'MASTER SHEET'!D90</f>
        <v>0</v>
      </c>
      <c r="ED90" s="9">
        <f>L90*'MASTER SHEET'!D90</f>
        <v>0</v>
      </c>
      <c r="EE90" s="9">
        <f>P90*'MASTER SHEET'!D90</f>
        <v>0</v>
      </c>
      <c r="EF90" s="9">
        <f>T90*'MASTER SHEET'!D90</f>
        <v>0</v>
      </c>
      <c r="EG90" s="9">
        <f>X90*'MASTER SHEET'!D90</f>
        <v>0</v>
      </c>
      <c r="EH90" s="9">
        <f>AB90*'MASTER SHEET'!D90</f>
        <v>0</v>
      </c>
      <c r="EI90" s="9">
        <f>AF90*'MASTER SHEET'!D90</f>
        <v>0</v>
      </c>
      <c r="EJ90" s="9">
        <f>AJ90*'MASTER SHEET'!D90</f>
        <v>0</v>
      </c>
      <c r="EK90" s="9">
        <f>AN90*'MASTER SHEET'!D90</f>
        <v>0</v>
      </c>
      <c r="EL90" s="9">
        <f>AR90*'MASTER SHEET'!D90</f>
        <v>0</v>
      </c>
      <c r="EM90" s="9">
        <f>AV90*'MASTER SHEET'!D90</f>
        <v>0</v>
      </c>
      <c r="EN90" s="9">
        <f>AZ90*'MASTER SHEET'!D90</f>
        <v>0</v>
      </c>
      <c r="EO90" s="9">
        <f>BD90*'MASTER SHEET'!D90</f>
        <v>0</v>
      </c>
      <c r="EP90" s="9">
        <f>BH90*'MASTER SHEET'!D90</f>
        <v>0</v>
      </c>
      <c r="EQ90" s="9">
        <f>BL90*'MASTER SHEET'!D90</f>
        <v>0</v>
      </c>
      <c r="ER90" s="9">
        <f>BP90*'MASTER SHEET'!D90</f>
        <v>0</v>
      </c>
      <c r="ES90" s="9">
        <f>BT90*'MASTER SHEET'!D90</f>
        <v>0</v>
      </c>
      <c r="ET90" s="9">
        <f>BX90*'MASTER SHEET'!D90</f>
        <v>0</v>
      </c>
      <c r="EU90" s="9">
        <f>CB90*'MASTER SHEET'!D90</f>
        <v>0</v>
      </c>
      <c r="EV90" s="9">
        <f>CF90*'MASTER SHEET'!D90</f>
        <v>0</v>
      </c>
      <c r="EW90" s="9">
        <f>CJ90*'MASTER SHEET'!D90</f>
        <v>0</v>
      </c>
      <c r="EX90" s="9">
        <f>CN90*'MASTER SHEET'!D90</f>
        <v>0</v>
      </c>
      <c r="EY90" s="9">
        <f>CV90*'MASTER SHEET'!D90</f>
        <v>0</v>
      </c>
      <c r="EZ90" s="9">
        <f>CV90*'MASTER SHEET'!D90</f>
        <v>0</v>
      </c>
      <c r="FA90" s="9">
        <f>CZ90*'MASTER SHEET'!D90</f>
        <v>0</v>
      </c>
      <c r="FB90" s="9">
        <f>DD90*'MASTER SHEET'!D90</f>
        <v>0</v>
      </c>
      <c r="FC90" s="9">
        <f>DH90*'MASTER SHEET'!D90</f>
        <v>0</v>
      </c>
      <c r="FD90" s="9">
        <f>DL90*'MASTER SHEET'!D90</f>
        <v>0</v>
      </c>
      <c r="FE90" s="9">
        <f>DP90*'MASTER SHEET'!D90</f>
        <v>0</v>
      </c>
      <c r="FF90" s="9">
        <f>DT90*'MASTER SHEET'!D90</f>
        <v>0</v>
      </c>
      <c r="FG90" s="9">
        <f>DX90*'MASTER SHEET'!D90</f>
        <v>0</v>
      </c>
    </row>
    <row r="91" spans="1:163" ht="20.25" x14ac:dyDescent="0.25">
      <c r="A91" s="43">
        <f>'MASTER SHEET'!A91</f>
        <v>89</v>
      </c>
      <c r="B91" s="26" t="str">
        <f>'MASTER SHEET'!B91</f>
        <v>TOP COVER</v>
      </c>
      <c r="C91" s="82">
        <f>'MASTER SHEET'!C91</f>
        <v>5036677</v>
      </c>
      <c r="D91" s="64"/>
      <c r="E91" s="28"/>
      <c r="F91" s="28"/>
      <c r="G91" s="65"/>
      <c r="H91" s="64">
        <f t="shared" si="72"/>
        <v>0</v>
      </c>
      <c r="I91" s="28"/>
      <c r="J91" s="28"/>
      <c r="K91" s="65"/>
      <c r="L91" s="64">
        <f t="shared" si="73"/>
        <v>0</v>
      </c>
      <c r="M91" s="28"/>
      <c r="N91" s="28"/>
      <c r="O91" s="65"/>
      <c r="P91" s="64">
        <f t="shared" si="74"/>
        <v>0</v>
      </c>
      <c r="Q91" s="28"/>
      <c r="R91" s="28"/>
      <c r="S91" s="65"/>
      <c r="T91" s="64">
        <f t="shared" si="75"/>
        <v>0</v>
      </c>
      <c r="U91" s="28"/>
      <c r="V91" s="28"/>
      <c r="W91" s="65"/>
      <c r="X91" s="64">
        <f t="shared" si="76"/>
        <v>0</v>
      </c>
      <c r="Y91" s="28"/>
      <c r="Z91" s="28"/>
      <c r="AA91" s="65"/>
      <c r="AB91" s="64">
        <f t="shared" si="77"/>
        <v>0</v>
      </c>
      <c r="AC91" s="28"/>
      <c r="AD91" s="28"/>
      <c r="AE91" s="65"/>
      <c r="AF91" s="64">
        <f t="shared" si="78"/>
        <v>0</v>
      </c>
      <c r="AG91" s="28"/>
      <c r="AH91" s="28"/>
      <c r="AI91" s="65"/>
      <c r="AJ91" s="64">
        <f t="shared" si="79"/>
        <v>0</v>
      </c>
      <c r="AK91" s="28"/>
      <c r="AL91" s="28"/>
      <c r="AM91" s="65"/>
      <c r="AN91" s="64">
        <f t="shared" si="80"/>
        <v>0</v>
      </c>
      <c r="AO91" s="28"/>
      <c r="AP91" s="28"/>
      <c r="AQ91" s="65"/>
      <c r="AR91" s="64">
        <f t="shared" si="81"/>
        <v>0</v>
      </c>
      <c r="AS91" s="28"/>
      <c r="AT91" s="28"/>
      <c r="AU91" s="65"/>
      <c r="AV91" s="64">
        <f t="shared" si="82"/>
        <v>0</v>
      </c>
      <c r="AW91" s="28"/>
      <c r="AX91" s="28"/>
      <c r="AY91" s="65"/>
      <c r="AZ91" s="64">
        <f t="shared" si="83"/>
        <v>0</v>
      </c>
      <c r="BA91" s="28"/>
      <c r="BB91" s="28"/>
      <c r="BC91" s="65"/>
      <c r="BD91" s="64">
        <f t="shared" si="84"/>
        <v>0</v>
      </c>
      <c r="BE91" s="28"/>
      <c r="BF91" s="28"/>
      <c r="BG91" s="65"/>
      <c r="BH91" s="64">
        <f t="shared" si="85"/>
        <v>0</v>
      </c>
      <c r="BI91" s="28"/>
      <c r="BJ91" s="28"/>
      <c r="BK91" s="65"/>
      <c r="BL91" s="64">
        <f t="shared" si="86"/>
        <v>0</v>
      </c>
      <c r="BM91" s="28"/>
      <c r="BN91" s="28"/>
      <c r="BO91" s="65"/>
      <c r="BP91" s="64">
        <f t="shared" si="87"/>
        <v>0</v>
      </c>
      <c r="BQ91" s="28"/>
      <c r="BR91" s="28"/>
      <c r="BS91" s="65"/>
      <c r="BT91" s="64">
        <f t="shared" si="88"/>
        <v>0</v>
      </c>
      <c r="BU91" s="28"/>
      <c r="BV91" s="28"/>
      <c r="BW91" s="65"/>
      <c r="BX91" s="64">
        <f t="shared" si="89"/>
        <v>0</v>
      </c>
      <c r="BY91" s="28"/>
      <c r="BZ91" s="28"/>
      <c r="CA91" s="65"/>
      <c r="CB91" s="64">
        <f t="shared" si="90"/>
        <v>0</v>
      </c>
      <c r="CC91" s="28"/>
      <c r="CD91" s="28"/>
      <c r="CE91" s="65"/>
      <c r="CF91" s="64">
        <f t="shared" si="91"/>
        <v>0</v>
      </c>
      <c r="CG91" s="28"/>
      <c r="CH91" s="28"/>
      <c r="CI91" s="65"/>
      <c r="CJ91" s="64">
        <f t="shared" si="92"/>
        <v>0</v>
      </c>
      <c r="CK91" s="28"/>
      <c r="CL91" s="28"/>
      <c r="CM91" s="65"/>
      <c r="CN91" s="64">
        <f t="shared" si="93"/>
        <v>0</v>
      </c>
      <c r="CO91" s="28"/>
      <c r="CP91" s="28"/>
      <c r="CQ91" s="65"/>
      <c r="CR91" s="64">
        <f t="shared" si="94"/>
        <v>0</v>
      </c>
      <c r="CS91" s="28"/>
      <c r="CT91" s="28"/>
      <c r="CU91" s="65"/>
      <c r="CV91" s="64">
        <f t="shared" si="95"/>
        <v>0</v>
      </c>
      <c r="CW91" s="28"/>
      <c r="CX91" s="28"/>
      <c r="CY91" s="65"/>
      <c r="CZ91" s="64">
        <f t="shared" si="96"/>
        <v>0</v>
      </c>
      <c r="DA91" s="28"/>
      <c r="DB91" s="28"/>
      <c r="DC91" s="65"/>
      <c r="DD91" s="64">
        <f t="shared" si="97"/>
        <v>0</v>
      </c>
      <c r="DE91" s="28"/>
      <c r="DF91" s="28"/>
      <c r="DG91" s="65"/>
      <c r="DH91" s="64">
        <f t="shared" si="98"/>
        <v>0</v>
      </c>
      <c r="DI91" s="28"/>
      <c r="DJ91" s="28"/>
      <c r="DK91" s="65"/>
      <c r="DL91" s="64">
        <f t="shared" si="99"/>
        <v>0</v>
      </c>
      <c r="DM91" s="28"/>
      <c r="DN91" s="28"/>
      <c r="DO91" s="65"/>
      <c r="DP91" s="64">
        <f t="shared" si="100"/>
        <v>0</v>
      </c>
      <c r="DQ91" s="28"/>
      <c r="DR91" s="28"/>
      <c r="DS91" s="65"/>
      <c r="DT91" s="64">
        <f t="shared" si="101"/>
        <v>0</v>
      </c>
      <c r="DU91" s="28"/>
      <c r="DV91" s="28"/>
      <c r="DW91" s="65"/>
      <c r="DX91" s="30">
        <f t="shared" si="102"/>
        <v>0</v>
      </c>
      <c r="DY91" s="31">
        <f t="shared" si="69"/>
        <v>0</v>
      </c>
      <c r="DZ91" s="31">
        <f t="shared" si="70"/>
        <v>0</v>
      </c>
      <c r="EA91" s="4">
        <f t="shared" si="71"/>
        <v>0</v>
      </c>
      <c r="EB91" s="9">
        <f>D91*'MASTER SHEET'!D91</f>
        <v>0</v>
      </c>
      <c r="EC91" s="9">
        <f>H91*'MASTER SHEET'!D91</f>
        <v>0</v>
      </c>
      <c r="ED91" s="9">
        <f>L91*'MASTER SHEET'!D91</f>
        <v>0</v>
      </c>
      <c r="EE91" s="9">
        <f>P91*'MASTER SHEET'!D91</f>
        <v>0</v>
      </c>
      <c r="EF91" s="9">
        <f>T91*'MASTER SHEET'!D91</f>
        <v>0</v>
      </c>
      <c r="EG91" s="9">
        <f>X91*'MASTER SHEET'!D91</f>
        <v>0</v>
      </c>
      <c r="EH91" s="9">
        <f>AB91*'MASTER SHEET'!D91</f>
        <v>0</v>
      </c>
      <c r="EI91" s="9">
        <f>AF91*'MASTER SHEET'!D91</f>
        <v>0</v>
      </c>
      <c r="EJ91" s="9">
        <f>AJ91*'MASTER SHEET'!D91</f>
        <v>0</v>
      </c>
      <c r="EK91" s="9">
        <f>AN91*'MASTER SHEET'!D91</f>
        <v>0</v>
      </c>
      <c r="EL91" s="9">
        <f>AR91*'MASTER SHEET'!D91</f>
        <v>0</v>
      </c>
      <c r="EM91" s="9">
        <f>AV91*'MASTER SHEET'!D91</f>
        <v>0</v>
      </c>
      <c r="EN91" s="9">
        <f>AZ91*'MASTER SHEET'!D91</f>
        <v>0</v>
      </c>
      <c r="EO91" s="9">
        <f>BD91*'MASTER SHEET'!D91</f>
        <v>0</v>
      </c>
      <c r="EP91" s="9">
        <f>BH91*'MASTER SHEET'!D91</f>
        <v>0</v>
      </c>
      <c r="EQ91" s="9">
        <f>BL91*'MASTER SHEET'!D91</f>
        <v>0</v>
      </c>
      <c r="ER91" s="9">
        <f>BP91*'MASTER SHEET'!D91</f>
        <v>0</v>
      </c>
      <c r="ES91" s="9">
        <f>BT91*'MASTER SHEET'!D91</f>
        <v>0</v>
      </c>
      <c r="ET91" s="9">
        <f>BX91*'MASTER SHEET'!D91</f>
        <v>0</v>
      </c>
      <c r="EU91" s="9">
        <f>CB91*'MASTER SHEET'!D91</f>
        <v>0</v>
      </c>
      <c r="EV91" s="9">
        <f>CF91*'MASTER SHEET'!D91</f>
        <v>0</v>
      </c>
      <c r="EW91" s="9">
        <f>CJ91*'MASTER SHEET'!D91</f>
        <v>0</v>
      </c>
      <c r="EX91" s="9">
        <f>CN91*'MASTER SHEET'!D91</f>
        <v>0</v>
      </c>
      <c r="EY91" s="9">
        <f>CV91*'MASTER SHEET'!D91</f>
        <v>0</v>
      </c>
      <c r="EZ91" s="9">
        <f>CV91*'MASTER SHEET'!D91</f>
        <v>0</v>
      </c>
      <c r="FA91" s="9">
        <f>CZ91*'MASTER SHEET'!D91</f>
        <v>0</v>
      </c>
      <c r="FB91" s="9">
        <f>DD91*'MASTER SHEET'!D91</f>
        <v>0</v>
      </c>
      <c r="FC91" s="9">
        <f>DH91*'MASTER SHEET'!D91</f>
        <v>0</v>
      </c>
      <c r="FD91" s="9">
        <f>DL91*'MASTER SHEET'!D91</f>
        <v>0</v>
      </c>
      <c r="FE91" s="9">
        <f>DP91*'MASTER SHEET'!D91</f>
        <v>0</v>
      </c>
      <c r="FF91" s="9">
        <f>DT91*'MASTER SHEET'!D91</f>
        <v>0</v>
      </c>
      <c r="FG91" s="9">
        <f>DX91*'MASTER SHEET'!D91</f>
        <v>0</v>
      </c>
    </row>
    <row r="92" spans="1:163" ht="20.25" x14ac:dyDescent="0.25">
      <c r="A92" s="43">
        <f>'MASTER SHEET'!A92</f>
        <v>90</v>
      </c>
      <c r="B92" s="26" t="str">
        <f>'MASTER SHEET'!B92</f>
        <v>TOP COVER</v>
      </c>
      <c r="C92" s="82">
        <f>'MASTER SHEET'!C92</f>
        <v>5012083</v>
      </c>
      <c r="D92" s="64"/>
      <c r="E92" s="28"/>
      <c r="F92" s="28"/>
      <c r="G92" s="65"/>
      <c r="H92" s="64">
        <f t="shared" si="72"/>
        <v>0</v>
      </c>
      <c r="I92" s="28"/>
      <c r="J92" s="28"/>
      <c r="K92" s="65"/>
      <c r="L92" s="64">
        <f t="shared" si="73"/>
        <v>0</v>
      </c>
      <c r="M92" s="28"/>
      <c r="N92" s="28"/>
      <c r="O92" s="65"/>
      <c r="P92" s="64">
        <f t="shared" si="74"/>
        <v>0</v>
      </c>
      <c r="Q92" s="28"/>
      <c r="R92" s="28"/>
      <c r="S92" s="65"/>
      <c r="T92" s="64">
        <f t="shared" si="75"/>
        <v>0</v>
      </c>
      <c r="U92" s="28"/>
      <c r="V92" s="28"/>
      <c r="W92" s="65"/>
      <c r="X92" s="64">
        <f t="shared" si="76"/>
        <v>0</v>
      </c>
      <c r="Y92" s="28"/>
      <c r="Z92" s="28"/>
      <c r="AA92" s="65"/>
      <c r="AB92" s="64">
        <f t="shared" si="77"/>
        <v>0</v>
      </c>
      <c r="AC92" s="28"/>
      <c r="AD92" s="28"/>
      <c r="AE92" s="65"/>
      <c r="AF92" s="64">
        <f t="shared" si="78"/>
        <v>0</v>
      </c>
      <c r="AG92" s="28"/>
      <c r="AH92" s="28"/>
      <c r="AI92" s="65"/>
      <c r="AJ92" s="64">
        <f t="shared" si="79"/>
        <v>0</v>
      </c>
      <c r="AK92" s="28"/>
      <c r="AL92" s="28"/>
      <c r="AM92" s="65"/>
      <c r="AN92" s="64">
        <f t="shared" si="80"/>
        <v>0</v>
      </c>
      <c r="AO92" s="28"/>
      <c r="AP92" s="28"/>
      <c r="AQ92" s="65"/>
      <c r="AR92" s="64">
        <f t="shared" si="81"/>
        <v>0</v>
      </c>
      <c r="AS92" s="28"/>
      <c r="AT92" s="28"/>
      <c r="AU92" s="65"/>
      <c r="AV92" s="64">
        <f t="shared" si="82"/>
        <v>0</v>
      </c>
      <c r="AW92" s="28"/>
      <c r="AX92" s="28"/>
      <c r="AY92" s="65"/>
      <c r="AZ92" s="64">
        <f t="shared" si="83"/>
        <v>0</v>
      </c>
      <c r="BA92" s="28"/>
      <c r="BB92" s="28"/>
      <c r="BC92" s="65"/>
      <c r="BD92" s="64">
        <f t="shared" si="84"/>
        <v>0</v>
      </c>
      <c r="BE92" s="28"/>
      <c r="BF92" s="28"/>
      <c r="BG92" s="65"/>
      <c r="BH92" s="64">
        <f t="shared" si="85"/>
        <v>0</v>
      </c>
      <c r="BI92" s="28"/>
      <c r="BJ92" s="28"/>
      <c r="BK92" s="65"/>
      <c r="BL92" s="64">
        <f t="shared" si="86"/>
        <v>0</v>
      </c>
      <c r="BM92" s="28"/>
      <c r="BN92" s="28"/>
      <c r="BO92" s="65"/>
      <c r="BP92" s="64">
        <f t="shared" si="87"/>
        <v>0</v>
      </c>
      <c r="BQ92" s="28"/>
      <c r="BR92" s="28"/>
      <c r="BS92" s="65"/>
      <c r="BT92" s="64">
        <f t="shared" si="88"/>
        <v>0</v>
      </c>
      <c r="BU92" s="28"/>
      <c r="BV92" s="28"/>
      <c r="BW92" s="65"/>
      <c r="BX92" s="64">
        <f t="shared" si="89"/>
        <v>0</v>
      </c>
      <c r="BY92" s="28"/>
      <c r="BZ92" s="28"/>
      <c r="CA92" s="65"/>
      <c r="CB92" s="64">
        <f t="shared" si="90"/>
        <v>0</v>
      </c>
      <c r="CC92" s="28"/>
      <c r="CD92" s="28"/>
      <c r="CE92" s="65"/>
      <c r="CF92" s="64">
        <f t="shared" si="91"/>
        <v>0</v>
      </c>
      <c r="CG92" s="28"/>
      <c r="CH92" s="28"/>
      <c r="CI92" s="65"/>
      <c r="CJ92" s="64">
        <f t="shared" si="92"/>
        <v>0</v>
      </c>
      <c r="CK92" s="28"/>
      <c r="CL92" s="28"/>
      <c r="CM92" s="65"/>
      <c r="CN92" s="64">
        <f t="shared" si="93"/>
        <v>0</v>
      </c>
      <c r="CO92" s="28"/>
      <c r="CP92" s="28"/>
      <c r="CQ92" s="65"/>
      <c r="CR92" s="64">
        <f t="shared" si="94"/>
        <v>0</v>
      </c>
      <c r="CS92" s="28"/>
      <c r="CT92" s="28"/>
      <c r="CU92" s="65"/>
      <c r="CV92" s="64">
        <f t="shared" si="95"/>
        <v>0</v>
      </c>
      <c r="CW92" s="28"/>
      <c r="CX92" s="28"/>
      <c r="CY92" s="65"/>
      <c r="CZ92" s="64">
        <f t="shared" si="96"/>
        <v>0</v>
      </c>
      <c r="DA92" s="28"/>
      <c r="DB92" s="28"/>
      <c r="DC92" s="65"/>
      <c r="DD92" s="64">
        <f t="shared" si="97"/>
        <v>0</v>
      </c>
      <c r="DE92" s="28"/>
      <c r="DF92" s="28"/>
      <c r="DG92" s="65"/>
      <c r="DH92" s="64">
        <f t="shared" si="98"/>
        <v>0</v>
      </c>
      <c r="DI92" s="28"/>
      <c r="DJ92" s="28"/>
      <c r="DK92" s="65"/>
      <c r="DL92" s="64">
        <f t="shared" si="99"/>
        <v>0</v>
      </c>
      <c r="DM92" s="28"/>
      <c r="DN92" s="28"/>
      <c r="DO92" s="65"/>
      <c r="DP92" s="64">
        <f t="shared" si="100"/>
        <v>0</v>
      </c>
      <c r="DQ92" s="28"/>
      <c r="DR92" s="28"/>
      <c r="DS92" s="65"/>
      <c r="DT92" s="64">
        <f t="shared" si="101"/>
        <v>0</v>
      </c>
      <c r="DU92" s="28"/>
      <c r="DV92" s="28"/>
      <c r="DW92" s="65"/>
      <c r="DX92" s="30">
        <f t="shared" si="102"/>
        <v>0</v>
      </c>
      <c r="DY92" s="31">
        <f t="shared" si="69"/>
        <v>0</v>
      </c>
      <c r="DZ92" s="31">
        <f t="shared" si="70"/>
        <v>0</v>
      </c>
      <c r="EA92" s="4">
        <f t="shared" si="71"/>
        <v>0</v>
      </c>
      <c r="EB92" s="9">
        <f>D92*'MASTER SHEET'!D92</f>
        <v>0</v>
      </c>
      <c r="EC92" s="9">
        <f>H92*'MASTER SHEET'!D92</f>
        <v>0</v>
      </c>
      <c r="ED92" s="9">
        <f>L92*'MASTER SHEET'!D92</f>
        <v>0</v>
      </c>
      <c r="EE92" s="9">
        <f>P92*'MASTER SHEET'!D92</f>
        <v>0</v>
      </c>
      <c r="EF92" s="9">
        <f>T92*'MASTER SHEET'!D92</f>
        <v>0</v>
      </c>
      <c r="EG92" s="9">
        <f>X92*'MASTER SHEET'!D92</f>
        <v>0</v>
      </c>
      <c r="EH92" s="9">
        <f>AB92*'MASTER SHEET'!D92</f>
        <v>0</v>
      </c>
      <c r="EI92" s="9">
        <f>AF92*'MASTER SHEET'!D92</f>
        <v>0</v>
      </c>
      <c r="EJ92" s="9">
        <f>AJ92*'MASTER SHEET'!D92</f>
        <v>0</v>
      </c>
      <c r="EK92" s="9">
        <f>AN92*'MASTER SHEET'!D92</f>
        <v>0</v>
      </c>
      <c r="EL92" s="9">
        <f>AR92*'MASTER SHEET'!D92</f>
        <v>0</v>
      </c>
      <c r="EM92" s="9">
        <f>AV92*'MASTER SHEET'!D92</f>
        <v>0</v>
      </c>
      <c r="EN92" s="9">
        <f>AZ92*'MASTER SHEET'!D92</f>
        <v>0</v>
      </c>
      <c r="EO92" s="9">
        <f>BD92*'MASTER SHEET'!D92</f>
        <v>0</v>
      </c>
      <c r="EP92" s="9">
        <f>BH92*'MASTER SHEET'!D92</f>
        <v>0</v>
      </c>
      <c r="EQ92" s="9">
        <f>BL92*'MASTER SHEET'!D92</f>
        <v>0</v>
      </c>
      <c r="ER92" s="9">
        <f>BP92*'MASTER SHEET'!D92</f>
        <v>0</v>
      </c>
      <c r="ES92" s="9">
        <f>BT92*'MASTER SHEET'!D92</f>
        <v>0</v>
      </c>
      <c r="ET92" s="9">
        <f>BX92*'MASTER SHEET'!D92</f>
        <v>0</v>
      </c>
      <c r="EU92" s="9">
        <f>CB92*'MASTER SHEET'!D92</f>
        <v>0</v>
      </c>
      <c r="EV92" s="9">
        <f>CF92*'MASTER SHEET'!D92</f>
        <v>0</v>
      </c>
      <c r="EW92" s="9">
        <f>CJ92*'MASTER SHEET'!D92</f>
        <v>0</v>
      </c>
      <c r="EX92" s="9">
        <f>CN92*'MASTER SHEET'!D92</f>
        <v>0</v>
      </c>
      <c r="EY92" s="9">
        <f>CV92*'MASTER SHEET'!D92</f>
        <v>0</v>
      </c>
      <c r="EZ92" s="9">
        <f>CV92*'MASTER SHEET'!D92</f>
        <v>0</v>
      </c>
      <c r="FA92" s="9">
        <f>CZ92*'MASTER SHEET'!D92</f>
        <v>0</v>
      </c>
      <c r="FB92" s="9">
        <f>DD92*'MASTER SHEET'!D92</f>
        <v>0</v>
      </c>
      <c r="FC92" s="9">
        <f>DH92*'MASTER SHEET'!D92</f>
        <v>0</v>
      </c>
      <c r="FD92" s="9">
        <f>DL92*'MASTER SHEET'!D92</f>
        <v>0</v>
      </c>
      <c r="FE92" s="9">
        <f>DP92*'MASTER SHEET'!D92</f>
        <v>0</v>
      </c>
      <c r="FF92" s="9">
        <f>DT92*'MASTER SHEET'!D92</f>
        <v>0</v>
      </c>
      <c r="FG92" s="9">
        <f>DX92*'MASTER SHEET'!D92</f>
        <v>0</v>
      </c>
    </row>
    <row r="93" spans="1:163" s="10" customFormat="1" ht="20.25" x14ac:dyDescent="0.25">
      <c r="A93" s="43">
        <f>'MASTER SHEET'!A93</f>
        <v>91</v>
      </c>
      <c r="B93" s="26" t="str">
        <f>'MASTER SHEET'!B93</f>
        <v>PIPE PLASTIC LONI</v>
      </c>
      <c r="C93" s="82">
        <f>'MASTER SHEET'!C93</f>
        <v>5010647</v>
      </c>
      <c r="D93" s="64"/>
      <c r="E93" s="28"/>
      <c r="F93" s="28"/>
      <c r="G93" s="65"/>
      <c r="H93" s="64">
        <f t="shared" si="72"/>
        <v>0</v>
      </c>
      <c r="I93" s="28"/>
      <c r="J93" s="28"/>
      <c r="K93" s="65"/>
      <c r="L93" s="64">
        <f t="shared" si="73"/>
        <v>0</v>
      </c>
      <c r="M93" s="28"/>
      <c r="N93" s="28"/>
      <c r="O93" s="65"/>
      <c r="P93" s="64">
        <f t="shared" si="74"/>
        <v>0</v>
      </c>
      <c r="Q93" s="28"/>
      <c r="R93" s="28"/>
      <c r="S93" s="65"/>
      <c r="T93" s="64">
        <f t="shared" si="75"/>
        <v>0</v>
      </c>
      <c r="U93" s="28"/>
      <c r="V93" s="28"/>
      <c r="W93" s="65"/>
      <c r="X93" s="64">
        <f t="shared" si="76"/>
        <v>0</v>
      </c>
      <c r="Y93" s="28"/>
      <c r="Z93" s="28"/>
      <c r="AA93" s="65"/>
      <c r="AB93" s="64">
        <f t="shared" si="77"/>
        <v>0</v>
      </c>
      <c r="AC93" s="28"/>
      <c r="AD93" s="28"/>
      <c r="AE93" s="65"/>
      <c r="AF93" s="64">
        <f t="shared" si="78"/>
        <v>0</v>
      </c>
      <c r="AG93" s="28"/>
      <c r="AH93" s="28"/>
      <c r="AI93" s="65"/>
      <c r="AJ93" s="64">
        <f t="shared" si="79"/>
        <v>0</v>
      </c>
      <c r="AK93" s="28"/>
      <c r="AL93" s="28"/>
      <c r="AM93" s="65"/>
      <c r="AN93" s="64">
        <f t="shared" si="80"/>
        <v>0</v>
      </c>
      <c r="AO93" s="28"/>
      <c r="AP93" s="28"/>
      <c r="AQ93" s="65"/>
      <c r="AR93" s="64">
        <f t="shared" si="81"/>
        <v>0</v>
      </c>
      <c r="AS93" s="28"/>
      <c r="AT93" s="28"/>
      <c r="AU93" s="65"/>
      <c r="AV93" s="64">
        <f t="shared" si="82"/>
        <v>0</v>
      </c>
      <c r="AW93" s="28"/>
      <c r="AX93" s="28"/>
      <c r="AY93" s="65"/>
      <c r="AZ93" s="64">
        <f t="shared" si="83"/>
        <v>0</v>
      </c>
      <c r="BA93" s="28"/>
      <c r="BB93" s="28"/>
      <c r="BC93" s="65"/>
      <c r="BD93" s="64">
        <f t="shared" si="84"/>
        <v>0</v>
      </c>
      <c r="BE93" s="28"/>
      <c r="BF93" s="28"/>
      <c r="BG93" s="65"/>
      <c r="BH93" s="64">
        <f t="shared" si="85"/>
        <v>0</v>
      </c>
      <c r="BI93" s="28"/>
      <c r="BJ93" s="28"/>
      <c r="BK93" s="65"/>
      <c r="BL93" s="64">
        <f t="shared" si="86"/>
        <v>0</v>
      </c>
      <c r="BM93" s="28"/>
      <c r="BN93" s="28"/>
      <c r="BO93" s="65"/>
      <c r="BP93" s="64">
        <f t="shared" si="87"/>
        <v>0</v>
      </c>
      <c r="BQ93" s="28"/>
      <c r="BR93" s="28"/>
      <c r="BS93" s="65"/>
      <c r="BT93" s="64">
        <f t="shared" si="88"/>
        <v>0</v>
      </c>
      <c r="BU93" s="28"/>
      <c r="BV93" s="28"/>
      <c r="BW93" s="65"/>
      <c r="BX93" s="64">
        <f t="shared" si="89"/>
        <v>0</v>
      </c>
      <c r="BY93" s="28"/>
      <c r="BZ93" s="28"/>
      <c r="CA93" s="65"/>
      <c r="CB93" s="64">
        <f t="shared" si="90"/>
        <v>0</v>
      </c>
      <c r="CC93" s="28"/>
      <c r="CD93" s="28"/>
      <c r="CE93" s="65"/>
      <c r="CF93" s="64">
        <f t="shared" si="91"/>
        <v>0</v>
      </c>
      <c r="CG93" s="28"/>
      <c r="CH93" s="28"/>
      <c r="CI93" s="65"/>
      <c r="CJ93" s="64">
        <f t="shared" si="92"/>
        <v>0</v>
      </c>
      <c r="CK93" s="28"/>
      <c r="CL93" s="28"/>
      <c r="CM93" s="65"/>
      <c r="CN93" s="64">
        <f t="shared" si="93"/>
        <v>0</v>
      </c>
      <c r="CO93" s="28"/>
      <c r="CP93" s="28"/>
      <c r="CQ93" s="65"/>
      <c r="CR93" s="64">
        <f t="shared" si="94"/>
        <v>0</v>
      </c>
      <c r="CS93" s="28"/>
      <c r="CT93" s="28"/>
      <c r="CU93" s="65"/>
      <c r="CV93" s="64">
        <f t="shared" si="95"/>
        <v>0</v>
      </c>
      <c r="CW93" s="28"/>
      <c r="CX93" s="28"/>
      <c r="CY93" s="65"/>
      <c r="CZ93" s="64">
        <f t="shared" si="96"/>
        <v>0</v>
      </c>
      <c r="DA93" s="28"/>
      <c r="DB93" s="28"/>
      <c r="DC93" s="65"/>
      <c r="DD93" s="64">
        <f t="shared" si="97"/>
        <v>0</v>
      </c>
      <c r="DE93" s="28"/>
      <c r="DF93" s="28"/>
      <c r="DG93" s="65"/>
      <c r="DH93" s="64">
        <f t="shared" si="98"/>
        <v>0</v>
      </c>
      <c r="DI93" s="28"/>
      <c r="DJ93" s="28"/>
      <c r="DK93" s="65"/>
      <c r="DL93" s="64">
        <f t="shared" si="99"/>
        <v>0</v>
      </c>
      <c r="DM93" s="28"/>
      <c r="DN93" s="28"/>
      <c r="DO93" s="65"/>
      <c r="DP93" s="64">
        <f t="shared" si="100"/>
        <v>0</v>
      </c>
      <c r="DQ93" s="28"/>
      <c r="DR93" s="28"/>
      <c r="DS93" s="65"/>
      <c r="DT93" s="64">
        <f t="shared" si="101"/>
        <v>0</v>
      </c>
      <c r="DU93" s="28"/>
      <c r="DV93" s="28"/>
      <c r="DW93" s="65"/>
      <c r="DX93" s="30">
        <f t="shared" si="102"/>
        <v>0</v>
      </c>
      <c r="DY93" s="31">
        <f t="shared" si="69"/>
        <v>0</v>
      </c>
      <c r="DZ93" s="31">
        <f t="shared" si="70"/>
        <v>0</v>
      </c>
      <c r="EA93" s="4">
        <f t="shared" si="71"/>
        <v>0</v>
      </c>
      <c r="EB93" s="9">
        <f>D93*'MASTER SHEET'!D93</f>
        <v>0</v>
      </c>
      <c r="EC93" s="9">
        <f>H93*'MASTER SHEET'!D93</f>
        <v>0</v>
      </c>
      <c r="ED93" s="9">
        <f>L93*'MASTER SHEET'!D93</f>
        <v>0</v>
      </c>
      <c r="EE93" s="9">
        <f>P93*'MASTER SHEET'!D93</f>
        <v>0</v>
      </c>
      <c r="EF93" s="9">
        <f>T93*'MASTER SHEET'!D93</f>
        <v>0</v>
      </c>
      <c r="EG93" s="9">
        <f>X93*'MASTER SHEET'!D93</f>
        <v>0</v>
      </c>
      <c r="EH93" s="9">
        <f>AB93*'MASTER SHEET'!D93</f>
        <v>0</v>
      </c>
      <c r="EI93" s="9">
        <f>AF93*'MASTER SHEET'!D93</f>
        <v>0</v>
      </c>
      <c r="EJ93" s="9">
        <f>AJ93*'MASTER SHEET'!D93</f>
        <v>0</v>
      </c>
      <c r="EK93" s="9">
        <f>AN93*'MASTER SHEET'!D93</f>
        <v>0</v>
      </c>
      <c r="EL93" s="9">
        <f>AR93*'MASTER SHEET'!D93</f>
        <v>0</v>
      </c>
      <c r="EM93" s="9">
        <f>AV93*'MASTER SHEET'!D93</f>
        <v>0</v>
      </c>
      <c r="EN93" s="9">
        <f>AZ93*'MASTER SHEET'!D93</f>
        <v>0</v>
      </c>
      <c r="EO93" s="9">
        <f>BD93*'MASTER SHEET'!D93</f>
        <v>0</v>
      </c>
      <c r="EP93" s="9">
        <f>BH93*'MASTER SHEET'!D93</f>
        <v>0</v>
      </c>
      <c r="EQ93" s="9">
        <f>BL93*'MASTER SHEET'!D93</f>
        <v>0</v>
      </c>
      <c r="ER93" s="9">
        <f>BP93*'MASTER SHEET'!D93</f>
        <v>0</v>
      </c>
      <c r="ES93" s="9">
        <f>BT93*'MASTER SHEET'!D93</f>
        <v>0</v>
      </c>
      <c r="ET93" s="9">
        <f>BX93*'MASTER SHEET'!D93</f>
        <v>0</v>
      </c>
      <c r="EU93" s="9">
        <f>CB93*'MASTER SHEET'!D93</f>
        <v>0</v>
      </c>
      <c r="EV93" s="9">
        <f>CF93*'MASTER SHEET'!D93</f>
        <v>0</v>
      </c>
      <c r="EW93" s="9">
        <f>CJ93*'MASTER SHEET'!D93</f>
        <v>0</v>
      </c>
      <c r="EX93" s="9">
        <f>CN93*'MASTER SHEET'!D93</f>
        <v>0</v>
      </c>
      <c r="EY93" s="9">
        <f>CV93*'MASTER SHEET'!D93</f>
        <v>0</v>
      </c>
      <c r="EZ93" s="9">
        <f>CV93*'MASTER SHEET'!D93</f>
        <v>0</v>
      </c>
      <c r="FA93" s="9">
        <f>CZ93*'MASTER SHEET'!D93</f>
        <v>0</v>
      </c>
      <c r="FB93" s="9">
        <f>DD93*'MASTER SHEET'!D93</f>
        <v>0</v>
      </c>
      <c r="FC93" s="9">
        <f>DH93*'MASTER SHEET'!D93</f>
        <v>0</v>
      </c>
      <c r="FD93" s="9">
        <f>DL93*'MASTER SHEET'!D93</f>
        <v>0</v>
      </c>
      <c r="FE93" s="9">
        <f>DP93*'MASTER SHEET'!D93</f>
        <v>0</v>
      </c>
      <c r="FF93" s="9">
        <f>DT93*'MASTER SHEET'!D93</f>
        <v>0</v>
      </c>
      <c r="FG93" s="9">
        <f>DX93*'MASTER SHEET'!D93</f>
        <v>0</v>
      </c>
    </row>
    <row r="94" spans="1:163" s="10" customFormat="1" ht="20.25" x14ac:dyDescent="0.25">
      <c r="A94" s="43">
        <f>'MASTER SHEET'!A94</f>
        <v>92</v>
      </c>
      <c r="B94" s="26" t="str">
        <f>'MASTER SHEET'!B94</f>
        <v>TOP COVER</v>
      </c>
      <c r="C94" s="82">
        <f>'MASTER SHEET'!C94</f>
        <v>5007581</v>
      </c>
      <c r="D94" s="64"/>
      <c r="E94" s="28"/>
      <c r="F94" s="28"/>
      <c r="G94" s="65"/>
      <c r="H94" s="64">
        <f t="shared" si="72"/>
        <v>0</v>
      </c>
      <c r="I94" s="28"/>
      <c r="J94" s="28"/>
      <c r="K94" s="65"/>
      <c r="L94" s="64">
        <f t="shared" si="73"/>
        <v>0</v>
      </c>
      <c r="M94" s="28"/>
      <c r="N94" s="28"/>
      <c r="O94" s="65"/>
      <c r="P94" s="64">
        <f t="shared" si="74"/>
        <v>0</v>
      </c>
      <c r="Q94" s="28"/>
      <c r="R94" s="28"/>
      <c r="S94" s="65"/>
      <c r="T94" s="64">
        <f t="shared" si="75"/>
        <v>0</v>
      </c>
      <c r="U94" s="28"/>
      <c r="V94" s="28"/>
      <c r="W94" s="65"/>
      <c r="X94" s="64">
        <f t="shared" si="76"/>
        <v>0</v>
      </c>
      <c r="Y94" s="28"/>
      <c r="Z94" s="28"/>
      <c r="AA94" s="65"/>
      <c r="AB94" s="64">
        <f t="shared" si="77"/>
        <v>0</v>
      </c>
      <c r="AC94" s="28"/>
      <c r="AD94" s="28"/>
      <c r="AE94" s="65"/>
      <c r="AF94" s="64">
        <f t="shared" si="78"/>
        <v>0</v>
      </c>
      <c r="AG94" s="28"/>
      <c r="AH94" s="28"/>
      <c r="AI94" s="65"/>
      <c r="AJ94" s="64">
        <f t="shared" si="79"/>
        <v>0</v>
      </c>
      <c r="AK94" s="28"/>
      <c r="AL94" s="28"/>
      <c r="AM94" s="65"/>
      <c r="AN94" s="64">
        <f t="shared" si="80"/>
        <v>0</v>
      </c>
      <c r="AO94" s="28"/>
      <c r="AP94" s="28"/>
      <c r="AQ94" s="65"/>
      <c r="AR94" s="64">
        <f t="shared" si="81"/>
        <v>0</v>
      </c>
      <c r="AS94" s="28"/>
      <c r="AT94" s="28"/>
      <c r="AU94" s="65"/>
      <c r="AV94" s="64">
        <f t="shared" si="82"/>
        <v>0</v>
      </c>
      <c r="AW94" s="28"/>
      <c r="AX94" s="28"/>
      <c r="AY94" s="65"/>
      <c r="AZ94" s="64">
        <f t="shared" si="83"/>
        <v>0</v>
      </c>
      <c r="BA94" s="28"/>
      <c r="BB94" s="28"/>
      <c r="BC94" s="65"/>
      <c r="BD94" s="64">
        <f t="shared" si="84"/>
        <v>0</v>
      </c>
      <c r="BE94" s="28"/>
      <c r="BF94" s="28"/>
      <c r="BG94" s="65"/>
      <c r="BH94" s="64">
        <f t="shared" si="85"/>
        <v>0</v>
      </c>
      <c r="BI94" s="28"/>
      <c r="BJ94" s="28"/>
      <c r="BK94" s="65"/>
      <c r="BL94" s="64">
        <f t="shared" si="86"/>
        <v>0</v>
      </c>
      <c r="BM94" s="28"/>
      <c r="BN94" s="28"/>
      <c r="BO94" s="65"/>
      <c r="BP94" s="64">
        <f t="shared" si="87"/>
        <v>0</v>
      </c>
      <c r="BQ94" s="28"/>
      <c r="BR94" s="28"/>
      <c r="BS94" s="65"/>
      <c r="BT94" s="64">
        <f t="shared" si="88"/>
        <v>0</v>
      </c>
      <c r="BU94" s="28"/>
      <c r="BV94" s="28"/>
      <c r="BW94" s="65"/>
      <c r="BX94" s="64">
        <f t="shared" si="89"/>
        <v>0</v>
      </c>
      <c r="BY94" s="28"/>
      <c r="BZ94" s="28"/>
      <c r="CA94" s="65"/>
      <c r="CB94" s="64">
        <f t="shared" si="90"/>
        <v>0</v>
      </c>
      <c r="CC94" s="28"/>
      <c r="CD94" s="28"/>
      <c r="CE94" s="65"/>
      <c r="CF94" s="64">
        <f t="shared" si="91"/>
        <v>0</v>
      </c>
      <c r="CG94" s="28"/>
      <c r="CH94" s="28"/>
      <c r="CI94" s="65"/>
      <c r="CJ94" s="64">
        <f t="shared" si="92"/>
        <v>0</v>
      </c>
      <c r="CK94" s="28"/>
      <c r="CL94" s="28"/>
      <c r="CM94" s="65"/>
      <c r="CN94" s="64">
        <f t="shared" si="93"/>
        <v>0</v>
      </c>
      <c r="CO94" s="28"/>
      <c r="CP94" s="28"/>
      <c r="CQ94" s="65"/>
      <c r="CR94" s="64">
        <f t="shared" si="94"/>
        <v>0</v>
      </c>
      <c r="CS94" s="28"/>
      <c r="CT94" s="28"/>
      <c r="CU94" s="65"/>
      <c r="CV94" s="64">
        <f t="shared" si="95"/>
        <v>0</v>
      </c>
      <c r="CW94" s="28"/>
      <c r="CX94" s="28"/>
      <c r="CY94" s="65"/>
      <c r="CZ94" s="64">
        <f t="shared" si="96"/>
        <v>0</v>
      </c>
      <c r="DA94" s="28"/>
      <c r="DB94" s="28"/>
      <c r="DC94" s="65"/>
      <c r="DD94" s="64">
        <f t="shared" si="97"/>
        <v>0</v>
      </c>
      <c r="DE94" s="28"/>
      <c r="DF94" s="28"/>
      <c r="DG94" s="65"/>
      <c r="DH94" s="64">
        <f t="shared" si="98"/>
        <v>0</v>
      </c>
      <c r="DI94" s="28"/>
      <c r="DJ94" s="28"/>
      <c r="DK94" s="65"/>
      <c r="DL94" s="64">
        <f t="shared" si="99"/>
        <v>0</v>
      </c>
      <c r="DM94" s="28"/>
      <c r="DN94" s="28"/>
      <c r="DO94" s="65"/>
      <c r="DP94" s="64">
        <f t="shared" si="100"/>
        <v>0</v>
      </c>
      <c r="DQ94" s="28"/>
      <c r="DR94" s="28"/>
      <c r="DS94" s="65"/>
      <c r="DT94" s="64">
        <f t="shared" si="101"/>
        <v>0</v>
      </c>
      <c r="DU94" s="28"/>
      <c r="DV94" s="28"/>
      <c r="DW94" s="65"/>
      <c r="DX94" s="30">
        <f t="shared" si="102"/>
        <v>0</v>
      </c>
      <c r="DY94" s="31">
        <f t="shared" si="69"/>
        <v>0</v>
      </c>
      <c r="DZ94" s="31">
        <f t="shared" si="70"/>
        <v>0</v>
      </c>
      <c r="EA94" s="4">
        <f t="shared" si="71"/>
        <v>0</v>
      </c>
      <c r="EB94" s="9">
        <f>D94*'MASTER SHEET'!D94</f>
        <v>0</v>
      </c>
      <c r="EC94" s="9">
        <f>H94*'MASTER SHEET'!D94</f>
        <v>0</v>
      </c>
      <c r="ED94" s="9">
        <f>L94*'MASTER SHEET'!D94</f>
        <v>0</v>
      </c>
      <c r="EE94" s="9">
        <f>P94*'MASTER SHEET'!D94</f>
        <v>0</v>
      </c>
      <c r="EF94" s="9">
        <f>T94*'MASTER SHEET'!D94</f>
        <v>0</v>
      </c>
      <c r="EG94" s="9">
        <f>X94*'MASTER SHEET'!D94</f>
        <v>0</v>
      </c>
      <c r="EH94" s="9">
        <f>AB94*'MASTER SHEET'!D94</f>
        <v>0</v>
      </c>
      <c r="EI94" s="9">
        <f>AF94*'MASTER SHEET'!D94</f>
        <v>0</v>
      </c>
      <c r="EJ94" s="9">
        <f>AJ94*'MASTER SHEET'!D94</f>
        <v>0</v>
      </c>
      <c r="EK94" s="9">
        <f>AN94*'MASTER SHEET'!D94</f>
        <v>0</v>
      </c>
      <c r="EL94" s="9">
        <f>AR94*'MASTER SHEET'!D94</f>
        <v>0</v>
      </c>
      <c r="EM94" s="9">
        <f>AV94*'MASTER SHEET'!D94</f>
        <v>0</v>
      </c>
      <c r="EN94" s="9">
        <f>AZ94*'MASTER SHEET'!D94</f>
        <v>0</v>
      </c>
      <c r="EO94" s="9">
        <f>BD94*'MASTER SHEET'!D94</f>
        <v>0</v>
      </c>
      <c r="EP94" s="9">
        <f>BH94*'MASTER SHEET'!D94</f>
        <v>0</v>
      </c>
      <c r="EQ94" s="9">
        <f>BL94*'MASTER SHEET'!D94</f>
        <v>0</v>
      </c>
      <c r="ER94" s="9">
        <f>BP94*'MASTER SHEET'!D94</f>
        <v>0</v>
      </c>
      <c r="ES94" s="9">
        <f>BT94*'MASTER SHEET'!D94</f>
        <v>0</v>
      </c>
      <c r="ET94" s="9">
        <f>BX94*'MASTER SHEET'!D94</f>
        <v>0</v>
      </c>
      <c r="EU94" s="9">
        <f>CB94*'MASTER SHEET'!D94</f>
        <v>0</v>
      </c>
      <c r="EV94" s="9">
        <f>CF94*'MASTER SHEET'!D94</f>
        <v>0</v>
      </c>
      <c r="EW94" s="9">
        <f>CJ94*'MASTER SHEET'!D94</f>
        <v>0</v>
      </c>
      <c r="EX94" s="9">
        <f>CN94*'MASTER SHEET'!D94</f>
        <v>0</v>
      </c>
      <c r="EY94" s="9">
        <f>CV94*'MASTER SHEET'!D94</f>
        <v>0</v>
      </c>
      <c r="EZ94" s="9">
        <f>CV94*'MASTER SHEET'!D94</f>
        <v>0</v>
      </c>
      <c r="FA94" s="9">
        <f>CZ94*'MASTER SHEET'!D94</f>
        <v>0</v>
      </c>
      <c r="FB94" s="9">
        <f>DD94*'MASTER SHEET'!D94</f>
        <v>0</v>
      </c>
      <c r="FC94" s="9">
        <f>DH94*'MASTER SHEET'!D94</f>
        <v>0</v>
      </c>
      <c r="FD94" s="9">
        <f>DL94*'MASTER SHEET'!D94</f>
        <v>0</v>
      </c>
      <c r="FE94" s="9">
        <f>DP94*'MASTER SHEET'!D94</f>
        <v>0</v>
      </c>
      <c r="FF94" s="9">
        <f>DT94*'MASTER SHEET'!D94</f>
        <v>0</v>
      </c>
      <c r="FG94" s="9">
        <f>DX94*'MASTER SHEET'!D94</f>
        <v>0</v>
      </c>
    </row>
    <row r="95" spans="1:163" ht="20.25" x14ac:dyDescent="0.25">
      <c r="A95" s="43">
        <f>'MASTER SHEET'!A95</f>
        <v>93</v>
      </c>
      <c r="B95" s="26" t="str">
        <f>'MASTER SHEET'!B95</f>
        <v>BOTTOM COVER</v>
      </c>
      <c r="C95" s="82">
        <f>'MASTER SHEET'!C95</f>
        <v>5007582</v>
      </c>
      <c r="D95" s="64"/>
      <c r="E95" s="28"/>
      <c r="F95" s="28"/>
      <c r="G95" s="65"/>
      <c r="H95" s="64">
        <f t="shared" si="72"/>
        <v>0</v>
      </c>
      <c r="I95" s="28"/>
      <c r="J95" s="28"/>
      <c r="K95" s="65"/>
      <c r="L95" s="64">
        <f t="shared" si="73"/>
        <v>0</v>
      </c>
      <c r="M95" s="28"/>
      <c r="N95" s="28"/>
      <c r="O95" s="65"/>
      <c r="P95" s="64">
        <f t="shared" si="74"/>
        <v>0</v>
      </c>
      <c r="Q95" s="28"/>
      <c r="R95" s="28"/>
      <c r="S95" s="65"/>
      <c r="T95" s="64">
        <f t="shared" si="75"/>
        <v>0</v>
      </c>
      <c r="U95" s="28"/>
      <c r="V95" s="28"/>
      <c r="W95" s="65"/>
      <c r="X95" s="64">
        <f t="shared" si="76"/>
        <v>0</v>
      </c>
      <c r="Y95" s="28"/>
      <c r="Z95" s="28"/>
      <c r="AA95" s="65"/>
      <c r="AB95" s="64">
        <f t="shared" si="77"/>
        <v>0</v>
      </c>
      <c r="AC95" s="28"/>
      <c r="AD95" s="28"/>
      <c r="AE95" s="65"/>
      <c r="AF95" s="64">
        <f t="shared" si="78"/>
        <v>0</v>
      </c>
      <c r="AG95" s="28"/>
      <c r="AH95" s="28"/>
      <c r="AI95" s="65"/>
      <c r="AJ95" s="64">
        <f t="shared" si="79"/>
        <v>0</v>
      </c>
      <c r="AK95" s="28"/>
      <c r="AL95" s="28"/>
      <c r="AM95" s="65"/>
      <c r="AN95" s="64">
        <f t="shared" si="80"/>
        <v>0</v>
      </c>
      <c r="AO95" s="28"/>
      <c r="AP95" s="28"/>
      <c r="AQ95" s="65"/>
      <c r="AR95" s="64">
        <f t="shared" si="81"/>
        <v>0</v>
      </c>
      <c r="AS95" s="28"/>
      <c r="AT95" s="28"/>
      <c r="AU95" s="65"/>
      <c r="AV95" s="64">
        <f t="shared" si="82"/>
        <v>0</v>
      </c>
      <c r="AW95" s="28"/>
      <c r="AX95" s="28"/>
      <c r="AY95" s="65"/>
      <c r="AZ95" s="64">
        <f t="shared" si="83"/>
        <v>0</v>
      </c>
      <c r="BA95" s="28"/>
      <c r="BB95" s="28"/>
      <c r="BC95" s="65"/>
      <c r="BD95" s="64">
        <f t="shared" si="84"/>
        <v>0</v>
      </c>
      <c r="BE95" s="28"/>
      <c r="BF95" s="28"/>
      <c r="BG95" s="65"/>
      <c r="BH95" s="64">
        <f t="shared" si="85"/>
        <v>0</v>
      </c>
      <c r="BI95" s="28"/>
      <c r="BJ95" s="28"/>
      <c r="BK95" s="65"/>
      <c r="BL95" s="64">
        <f t="shared" si="86"/>
        <v>0</v>
      </c>
      <c r="BM95" s="28"/>
      <c r="BN95" s="28"/>
      <c r="BO95" s="65"/>
      <c r="BP95" s="64">
        <f t="shared" si="87"/>
        <v>0</v>
      </c>
      <c r="BQ95" s="28"/>
      <c r="BR95" s="28"/>
      <c r="BS95" s="65"/>
      <c r="BT95" s="64">
        <f t="shared" si="88"/>
        <v>0</v>
      </c>
      <c r="BU95" s="28"/>
      <c r="BV95" s="28"/>
      <c r="BW95" s="65"/>
      <c r="BX95" s="64">
        <f t="shared" si="89"/>
        <v>0</v>
      </c>
      <c r="BY95" s="28"/>
      <c r="BZ95" s="28"/>
      <c r="CA95" s="65"/>
      <c r="CB95" s="64">
        <f t="shared" si="90"/>
        <v>0</v>
      </c>
      <c r="CC95" s="28"/>
      <c r="CD95" s="28"/>
      <c r="CE95" s="65"/>
      <c r="CF95" s="64">
        <f t="shared" si="91"/>
        <v>0</v>
      </c>
      <c r="CG95" s="28"/>
      <c r="CH95" s="28"/>
      <c r="CI95" s="65"/>
      <c r="CJ95" s="64">
        <f t="shared" si="92"/>
        <v>0</v>
      </c>
      <c r="CK95" s="28"/>
      <c r="CL95" s="28"/>
      <c r="CM95" s="65"/>
      <c r="CN95" s="64">
        <f t="shared" si="93"/>
        <v>0</v>
      </c>
      <c r="CO95" s="28"/>
      <c r="CP95" s="28"/>
      <c r="CQ95" s="65"/>
      <c r="CR95" s="64">
        <f t="shared" si="94"/>
        <v>0</v>
      </c>
      <c r="CS95" s="28"/>
      <c r="CT95" s="28"/>
      <c r="CU95" s="65"/>
      <c r="CV95" s="64">
        <f t="shared" si="95"/>
        <v>0</v>
      </c>
      <c r="CW95" s="28"/>
      <c r="CX95" s="28"/>
      <c r="CY95" s="65"/>
      <c r="CZ95" s="64">
        <f t="shared" si="96"/>
        <v>0</v>
      </c>
      <c r="DA95" s="28"/>
      <c r="DB95" s="28"/>
      <c r="DC95" s="65"/>
      <c r="DD95" s="64">
        <f t="shared" si="97"/>
        <v>0</v>
      </c>
      <c r="DE95" s="28"/>
      <c r="DF95" s="28"/>
      <c r="DG95" s="65"/>
      <c r="DH95" s="64">
        <f t="shared" si="98"/>
        <v>0</v>
      </c>
      <c r="DI95" s="28"/>
      <c r="DJ95" s="28"/>
      <c r="DK95" s="65"/>
      <c r="DL95" s="64">
        <f t="shared" si="99"/>
        <v>0</v>
      </c>
      <c r="DM95" s="28"/>
      <c r="DN95" s="28"/>
      <c r="DO95" s="65"/>
      <c r="DP95" s="64">
        <f t="shared" si="100"/>
        <v>0</v>
      </c>
      <c r="DQ95" s="28"/>
      <c r="DR95" s="28"/>
      <c r="DS95" s="65"/>
      <c r="DT95" s="64">
        <f t="shared" si="101"/>
        <v>0</v>
      </c>
      <c r="DU95" s="28"/>
      <c r="DV95" s="28"/>
      <c r="DW95" s="65"/>
      <c r="DX95" s="30">
        <f t="shared" si="102"/>
        <v>0</v>
      </c>
      <c r="DY95" s="31">
        <f t="shared" si="69"/>
        <v>0</v>
      </c>
      <c r="DZ95" s="31">
        <f t="shared" si="70"/>
        <v>0</v>
      </c>
      <c r="EA95" s="4">
        <f t="shared" si="71"/>
        <v>0</v>
      </c>
      <c r="EB95" s="9">
        <f>D95*'MASTER SHEET'!D95</f>
        <v>0</v>
      </c>
      <c r="EC95" s="9">
        <f>H95*'MASTER SHEET'!D95</f>
        <v>0</v>
      </c>
      <c r="ED95" s="9">
        <f>L95*'MASTER SHEET'!D95</f>
        <v>0</v>
      </c>
      <c r="EE95" s="9">
        <f>P95*'MASTER SHEET'!D95</f>
        <v>0</v>
      </c>
      <c r="EF95" s="9">
        <f>T95*'MASTER SHEET'!D95</f>
        <v>0</v>
      </c>
      <c r="EG95" s="9">
        <f>X95*'MASTER SHEET'!D95</f>
        <v>0</v>
      </c>
      <c r="EH95" s="9">
        <f>AB95*'MASTER SHEET'!D95</f>
        <v>0</v>
      </c>
      <c r="EI95" s="9">
        <f>AF95*'MASTER SHEET'!D95</f>
        <v>0</v>
      </c>
      <c r="EJ95" s="9">
        <f>AJ95*'MASTER SHEET'!D95</f>
        <v>0</v>
      </c>
      <c r="EK95" s="9">
        <f>AN95*'MASTER SHEET'!D95</f>
        <v>0</v>
      </c>
      <c r="EL95" s="9">
        <f>AR95*'MASTER SHEET'!D95</f>
        <v>0</v>
      </c>
      <c r="EM95" s="9">
        <f>AV95*'MASTER SHEET'!D95</f>
        <v>0</v>
      </c>
      <c r="EN95" s="9">
        <f>AZ95*'MASTER SHEET'!D95</f>
        <v>0</v>
      </c>
      <c r="EO95" s="9">
        <f>BD95*'MASTER SHEET'!D95</f>
        <v>0</v>
      </c>
      <c r="EP95" s="9">
        <f>BH95*'MASTER SHEET'!D95</f>
        <v>0</v>
      </c>
      <c r="EQ95" s="9">
        <f>BL95*'MASTER SHEET'!D95</f>
        <v>0</v>
      </c>
      <c r="ER95" s="9">
        <f>BP95*'MASTER SHEET'!D95</f>
        <v>0</v>
      </c>
      <c r="ES95" s="9">
        <f>BT95*'MASTER SHEET'!D95</f>
        <v>0</v>
      </c>
      <c r="ET95" s="9">
        <f>BX95*'MASTER SHEET'!D95</f>
        <v>0</v>
      </c>
      <c r="EU95" s="9">
        <f>CB95*'MASTER SHEET'!D95</f>
        <v>0</v>
      </c>
      <c r="EV95" s="9">
        <f>CF95*'MASTER SHEET'!D95</f>
        <v>0</v>
      </c>
      <c r="EW95" s="9">
        <f>CJ95*'MASTER SHEET'!D95</f>
        <v>0</v>
      </c>
      <c r="EX95" s="9">
        <f>CN95*'MASTER SHEET'!D95</f>
        <v>0</v>
      </c>
      <c r="EY95" s="9">
        <f>CV95*'MASTER SHEET'!D95</f>
        <v>0</v>
      </c>
      <c r="EZ95" s="9">
        <f>CV95*'MASTER SHEET'!D95</f>
        <v>0</v>
      </c>
      <c r="FA95" s="9">
        <f>CZ95*'MASTER SHEET'!D95</f>
        <v>0</v>
      </c>
      <c r="FB95" s="9">
        <f>DD95*'MASTER SHEET'!D95</f>
        <v>0</v>
      </c>
      <c r="FC95" s="9">
        <f>DH95*'MASTER SHEET'!D95</f>
        <v>0</v>
      </c>
      <c r="FD95" s="9">
        <f>DL95*'MASTER SHEET'!D95</f>
        <v>0</v>
      </c>
      <c r="FE95" s="9">
        <f>DP95*'MASTER SHEET'!D95</f>
        <v>0</v>
      </c>
      <c r="FF95" s="9">
        <f>DT95*'MASTER SHEET'!D95</f>
        <v>0</v>
      </c>
      <c r="FG95" s="9">
        <f>DX95*'MASTER SHEET'!D95</f>
        <v>0</v>
      </c>
    </row>
    <row r="96" spans="1:163" ht="20.25" x14ac:dyDescent="0.25">
      <c r="A96" s="43">
        <f>'MASTER SHEET'!A96</f>
        <v>94</v>
      </c>
      <c r="B96" s="26" t="str">
        <f>'MASTER SHEET'!B96</f>
        <v>LOUVER PLASTIC</v>
      </c>
      <c r="C96" s="82">
        <f>'MASTER SHEET'!C96</f>
        <v>5024347</v>
      </c>
      <c r="D96" s="64"/>
      <c r="E96" s="28"/>
      <c r="F96" s="28"/>
      <c r="G96" s="65"/>
      <c r="H96" s="64">
        <f t="shared" si="72"/>
        <v>0</v>
      </c>
      <c r="I96" s="28"/>
      <c r="J96" s="28"/>
      <c r="K96" s="65"/>
      <c r="L96" s="64">
        <f t="shared" si="73"/>
        <v>0</v>
      </c>
      <c r="M96" s="28"/>
      <c r="N96" s="28"/>
      <c r="O96" s="65"/>
      <c r="P96" s="64">
        <f t="shared" si="74"/>
        <v>0</v>
      </c>
      <c r="Q96" s="28"/>
      <c r="R96" s="28"/>
      <c r="S96" s="65"/>
      <c r="T96" s="64">
        <f t="shared" si="75"/>
        <v>0</v>
      </c>
      <c r="U96" s="28"/>
      <c r="V96" s="28"/>
      <c r="W96" s="65"/>
      <c r="X96" s="64">
        <f t="shared" si="76"/>
        <v>0</v>
      </c>
      <c r="Y96" s="28"/>
      <c r="Z96" s="28"/>
      <c r="AA96" s="65"/>
      <c r="AB96" s="64">
        <f t="shared" si="77"/>
        <v>0</v>
      </c>
      <c r="AC96" s="28"/>
      <c r="AD96" s="28"/>
      <c r="AE96" s="65"/>
      <c r="AF96" s="64">
        <f t="shared" si="78"/>
        <v>0</v>
      </c>
      <c r="AG96" s="28"/>
      <c r="AH96" s="28"/>
      <c r="AI96" s="65"/>
      <c r="AJ96" s="64">
        <f t="shared" si="79"/>
        <v>0</v>
      </c>
      <c r="AK96" s="28"/>
      <c r="AL96" s="28"/>
      <c r="AM96" s="65"/>
      <c r="AN96" s="64">
        <f t="shared" si="80"/>
        <v>0</v>
      </c>
      <c r="AO96" s="28"/>
      <c r="AP96" s="28"/>
      <c r="AQ96" s="65"/>
      <c r="AR96" s="64">
        <f t="shared" si="81"/>
        <v>0</v>
      </c>
      <c r="AS96" s="28"/>
      <c r="AT96" s="28"/>
      <c r="AU96" s="65"/>
      <c r="AV96" s="64">
        <f t="shared" si="82"/>
        <v>0</v>
      </c>
      <c r="AW96" s="28"/>
      <c r="AX96" s="28"/>
      <c r="AY96" s="65"/>
      <c r="AZ96" s="64">
        <f t="shared" si="83"/>
        <v>0</v>
      </c>
      <c r="BA96" s="28"/>
      <c r="BB96" s="28"/>
      <c r="BC96" s="65"/>
      <c r="BD96" s="64">
        <f t="shared" si="84"/>
        <v>0</v>
      </c>
      <c r="BE96" s="28"/>
      <c r="BF96" s="28"/>
      <c r="BG96" s="65"/>
      <c r="BH96" s="64">
        <f t="shared" si="85"/>
        <v>0</v>
      </c>
      <c r="BI96" s="28"/>
      <c r="BJ96" s="28"/>
      <c r="BK96" s="65"/>
      <c r="BL96" s="64">
        <f t="shared" si="86"/>
        <v>0</v>
      </c>
      <c r="BM96" s="28"/>
      <c r="BN96" s="28"/>
      <c r="BO96" s="65"/>
      <c r="BP96" s="64">
        <f t="shared" si="87"/>
        <v>0</v>
      </c>
      <c r="BQ96" s="28"/>
      <c r="BR96" s="28"/>
      <c r="BS96" s="65"/>
      <c r="BT96" s="64">
        <f t="shared" si="88"/>
        <v>0</v>
      </c>
      <c r="BU96" s="28"/>
      <c r="BV96" s="28"/>
      <c r="BW96" s="65"/>
      <c r="BX96" s="64">
        <f t="shared" si="89"/>
        <v>0</v>
      </c>
      <c r="BY96" s="28"/>
      <c r="BZ96" s="28"/>
      <c r="CA96" s="65"/>
      <c r="CB96" s="64">
        <f t="shared" si="90"/>
        <v>0</v>
      </c>
      <c r="CC96" s="28"/>
      <c r="CD96" s="28"/>
      <c r="CE96" s="65"/>
      <c r="CF96" s="64">
        <f t="shared" si="91"/>
        <v>0</v>
      </c>
      <c r="CG96" s="28"/>
      <c r="CH96" s="28"/>
      <c r="CI96" s="65"/>
      <c r="CJ96" s="64">
        <f t="shared" si="92"/>
        <v>0</v>
      </c>
      <c r="CK96" s="28"/>
      <c r="CL96" s="28"/>
      <c r="CM96" s="65"/>
      <c r="CN96" s="64">
        <f t="shared" si="93"/>
        <v>0</v>
      </c>
      <c r="CO96" s="28"/>
      <c r="CP96" s="28"/>
      <c r="CQ96" s="65"/>
      <c r="CR96" s="64">
        <f t="shared" si="94"/>
        <v>0</v>
      </c>
      <c r="CS96" s="28"/>
      <c r="CT96" s="28"/>
      <c r="CU96" s="65"/>
      <c r="CV96" s="64">
        <f t="shared" si="95"/>
        <v>0</v>
      </c>
      <c r="CW96" s="28"/>
      <c r="CX96" s="28"/>
      <c r="CY96" s="65"/>
      <c r="CZ96" s="64">
        <f t="shared" si="96"/>
        <v>0</v>
      </c>
      <c r="DA96" s="28"/>
      <c r="DB96" s="28"/>
      <c r="DC96" s="65"/>
      <c r="DD96" s="64">
        <f t="shared" si="97"/>
        <v>0</v>
      </c>
      <c r="DE96" s="28"/>
      <c r="DF96" s="28"/>
      <c r="DG96" s="65"/>
      <c r="DH96" s="64">
        <f t="shared" si="98"/>
        <v>0</v>
      </c>
      <c r="DI96" s="28"/>
      <c r="DJ96" s="28"/>
      <c r="DK96" s="65"/>
      <c r="DL96" s="64">
        <f t="shared" si="99"/>
        <v>0</v>
      </c>
      <c r="DM96" s="28"/>
      <c r="DN96" s="28"/>
      <c r="DO96" s="65"/>
      <c r="DP96" s="64">
        <f t="shared" si="100"/>
        <v>0</v>
      </c>
      <c r="DQ96" s="28"/>
      <c r="DR96" s="28"/>
      <c r="DS96" s="65"/>
      <c r="DT96" s="64">
        <f t="shared" si="101"/>
        <v>0</v>
      </c>
      <c r="DU96" s="28"/>
      <c r="DV96" s="28"/>
      <c r="DW96" s="65"/>
      <c r="DX96" s="30">
        <f t="shared" si="102"/>
        <v>0</v>
      </c>
      <c r="DY96" s="31">
        <f t="shared" si="69"/>
        <v>0</v>
      </c>
      <c r="DZ96" s="31">
        <f t="shared" si="70"/>
        <v>0</v>
      </c>
      <c r="EA96" s="4">
        <f t="shared" si="71"/>
        <v>0</v>
      </c>
      <c r="EB96" s="9">
        <f>D96*'MASTER SHEET'!D96</f>
        <v>0</v>
      </c>
      <c r="EC96" s="9">
        <f>H96*'MASTER SHEET'!D96</f>
        <v>0</v>
      </c>
      <c r="ED96" s="9">
        <f>L96*'MASTER SHEET'!D96</f>
        <v>0</v>
      </c>
      <c r="EE96" s="9">
        <f>P96*'MASTER SHEET'!D96</f>
        <v>0</v>
      </c>
      <c r="EF96" s="9">
        <f>T96*'MASTER SHEET'!D96</f>
        <v>0</v>
      </c>
      <c r="EG96" s="9">
        <f>X96*'MASTER SHEET'!D96</f>
        <v>0</v>
      </c>
      <c r="EH96" s="9">
        <f>AB96*'MASTER SHEET'!D96</f>
        <v>0</v>
      </c>
      <c r="EI96" s="9">
        <f>AF96*'MASTER SHEET'!D96</f>
        <v>0</v>
      </c>
      <c r="EJ96" s="9">
        <f>AJ96*'MASTER SHEET'!D96</f>
        <v>0</v>
      </c>
      <c r="EK96" s="9">
        <f>AN96*'MASTER SHEET'!D96</f>
        <v>0</v>
      </c>
      <c r="EL96" s="9">
        <f>AR96*'MASTER SHEET'!D96</f>
        <v>0</v>
      </c>
      <c r="EM96" s="9">
        <f>AV96*'MASTER SHEET'!D96</f>
        <v>0</v>
      </c>
      <c r="EN96" s="9">
        <f>AZ96*'MASTER SHEET'!D96</f>
        <v>0</v>
      </c>
      <c r="EO96" s="9">
        <f>BD96*'MASTER SHEET'!D96</f>
        <v>0</v>
      </c>
      <c r="EP96" s="9">
        <f>BH96*'MASTER SHEET'!D96</f>
        <v>0</v>
      </c>
      <c r="EQ96" s="9">
        <f>BL96*'MASTER SHEET'!D96</f>
        <v>0</v>
      </c>
      <c r="ER96" s="9">
        <f>BP96*'MASTER SHEET'!D96</f>
        <v>0</v>
      </c>
      <c r="ES96" s="9">
        <f>BT96*'MASTER SHEET'!D96</f>
        <v>0</v>
      </c>
      <c r="ET96" s="9">
        <f>BX96*'MASTER SHEET'!D96</f>
        <v>0</v>
      </c>
      <c r="EU96" s="9">
        <f>CB96*'MASTER SHEET'!D96</f>
        <v>0</v>
      </c>
      <c r="EV96" s="9">
        <f>CF96*'MASTER SHEET'!D96</f>
        <v>0</v>
      </c>
      <c r="EW96" s="9">
        <f>CJ96*'MASTER SHEET'!D96</f>
        <v>0</v>
      </c>
      <c r="EX96" s="9">
        <f>CN96*'MASTER SHEET'!D96</f>
        <v>0</v>
      </c>
      <c r="EY96" s="9">
        <f>CV96*'MASTER SHEET'!D96</f>
        <v>0</v>
      </c>
      <c r="EZ96" s="9">
        <f>CV96*'MASTER SHEET'!D96</f>
        <v>0</v>
      </c>
      <c r="FA96" s="9">
        <f>CZ96*'MASTER SHEET'!D96</f>
        <v>0</v>
      </c>
      <c r="FB96" s="9">
        <f>DD96*'MASTER SHEET'!D96</f>
        <v>0</v>
      </c>
      <c r="FC96" s="9">
        <f>DH96*'MASTER SHEET'!D96</f>
        <v>0</v>
      </c>
      <c r="FD96" s="9">
        <f>DL96*'MASTER SHEET'!D96</f>
        <v>0</v>
      </c>
      <c r="FE96" s="9">
        <f>DP96*'MASTER SHEET'!D96</f>
        <v>0</v>
      </c>
      <c r="FF96" s="9">
        <f>DT96*'MASTER SHEET'!D96</f>
        <v>0</v>
      </c>
      <c r="FG96" s="9">
        <f>DX96*'MASTER SHEET'!D96</f>
        <v>0</v>
      </c>
    </row>
    <row r="97" spans="1:163" ht="20.25" x14ac:dyDescent="0.25">
      <c r="A97" s="43">
        <f>'MASTER SHEET'!A97</f>
        <v>95</v>
      </c>
      <c r="B97" s="26" t="str">
        <f>'MASTER SHEET'!B97</f>
        <v>PRECLEANER, PLASTIC</v>
      </c>
      <c r="C97" s="82">
        <f>'MASTER SHEET'!C97</f>
        <v>5024345</v>
      </c>
      <c r="D97" s="64"/>
      <c r="E97" s="28"/>
      <c r="F97" s="28"/>
      <c r="G97" s="65"/>
      <c r="H97" s="64">
        <f t="shared" si="72"/>
        <v>0</v>
      </c>
      <c r="I97" s="28"/>
      <c r="J97" s="28"/>
      <c r="K97" s="65"/>
      <c r="L97" s="64">
        <f t="shared" si="73"/>
        <v>0</v>
      </c>
      <c r="M97" s="28"/>
      <c r="N97" s="28"/>
      <c r="O97" s="65"/>
      <c r="P97" s="64">
        <f t="shared" si="74"/>
        <v>0</v>
      </c>
      <c r="Q97" s="28"/>
      <c r="R97" s="28"/>
      <c r="S97" s="65"/>
      <c r="T97" s="64">
        <f t="shared" si="75"/>
        <v>0</v>
      </c>
      <c r="U97" s="28"/>
      <c r="V97" s="28"/>
      <c r="W97" s="65"/>
      <c r="X97" s="64">
        <f t="shared" si="76"/>
        <v>0</v>
      </c>
      <c r="Y97" s="28"/>
      <c r="Z97" s="28"/>
      <c r="AA97" s="65"/>
      <c r="AB97" s="64">
        <f t="shared" si="77"/>
        <v>0</v>
      </c>
      <c r="AC97" s="28"/>
      <c r="AD97" s="28"/>
      <c r="AE97" s="65"/>
      <c r="AF97" s="64">
        <f t="shared" si="78"/>
        <v>0</v>
      </c>
      <c r="AG97" s="28"/>
      <c r="AH97" s="28"/>
      <c r="AI97" s="65"/>
      <c r="AJ97" s="64">
        <f t="shared" si="79"/>
        <v>0</v>
      </c>
      <c r="AK97" s="28"/>
      <c r="AL97" s="28"/>
      <c r="AM97" s="65"/>
      <c r="AN97" s="64">
        <f t="shared" si="80"/>
        <v>0</v>
      </c>
      <c r="AO97" s="28"/>
      <c r="AP97" s="28"/>
      <c r="AQ97" s="65"/>
      <c r="AR97" s="64">
        <f t="shared" si="81"/>
        <v>0</v>
      </c>
      <c r="AS97" s="28"/>
      <c r="AT97" s="28"/>
      <c r="AU97" s="65"/>
      <c r="AV97" s="64">
        <f t="shared" si="82"/>
        <v>0</v>
      </c>
      <c r="AW97" s="28"/>
      <c r="AX97" s="28"/>
      <c r="AY97" s="65"/>
      <c r="AZ97" s="64">
        <f t="shared" si="83"/>
        <v>0</v>
      </c>
      <c r="BA97" s="28"/>
      <c r="BB97" s="28"/>
      <c r="BC97" s="65"/>
      <c r="BD97" s="64">
        <f t="shared" si="84"/>
        <v>0</v>
      </c>
      <c r="BE97" s="28"/>
      <c r="BF97" s="28"/>
      <c r="BG97" s="65"/>
      <c r="BH97" s="64">
        <f t="shared" si="85"/>
        <v>0</v>
      </c>
      <c r="BI97" s="28"/>
      <c r="BJ97" s="28"/>
      <c r="BK97" s="65"/>
      <c r="BL97" s="64">
        <f t="shared" si="86"/>
        <v>0</v>
      </c>
      <c r="BM97" s="28"/>
      <c r="BN97" s="28"/>
      <c r="BO97" s="65"/>
      <c r="BP97" s="64">
        <f t="shared" si="87"/>
        <v>0</v>
      </c>
      <c r="BQ97" s="28"/>
      <c r="BR97" s="28"/>
      <c r="BS97" s="65"/>
      <c r="BT97" s="64">
        <f t="shared" si="88"/>
        <v>0</v>
      </c>
      <c r="BU97" s="28"/>
      <c r="BV97" s="28"/>
      <c r="BW97" s="65"/>
      <c r="BX97" s="64">
        <f t="shared" si="89"/>
        <v>0</v>
      </c>
      <c r="BY97" s="28"/>
      <c r="BZ97" s="28"/>
      <c r="CA97" s="65"/>
      <c r="CB97" s="64">
        <f t="shared" si="90"/>
        <v>0</v>
      </c>
      <c r="CC97" s="28"/>
      <c r="CD97" s="28"/>
      <c r="CE97" s="65"/>
      <c r="CF97" s="64">
        <f t="shared" si="91"/>
        <v>0</v>
      </c>
      <c r="CG97" s="28"/>
      <c r="CH97" s="28"/>
      <c r="CI97" s="65"/>
      <c r="CJ97" s="64">
        <f t="shared" si="92"/>
        <v>0</v>
      </c>
      <c r="CK97" s="28">
        <v>20</v>
      </c>
      <c r="CL97" s="28">
        <v>20</v>
      </c>
      <c r="CM97" s="65"/>
      <c r="CN97" s="64">
        <f t="shared" si="93"/>
        <v>0</v>
      </c>
      <c r="CO97" s="28"/>
      <c r="CP97" s="28"/>
      <c r="CQ97" s="65"/>
      <c r="CR97" s="64">
        <f t="shared" si="94"/>
        <v>0</v>
      </c>
      <c r="CS97" s="28"/>
      <c r="CT97" s="28"/>
      <c r="CU97" s="65"/>
      <c r="CV97" s="64">
        <f t="shared" si="95"/>
        <v>0</v>
      </c>
      <c r="CW97" s="28"/>
      <c r="CX97" s="28"/>
      <c r="CY97" s="65"/>
      <c r="CZ97" s="64">
        <f t="shared" si="96"/>
        <v>0</v>
      </c>
      <c r="DA97" s="28"/>
      <c r="DB97" s="28"/>
      <c r="DC97" s="65"/>
      <c r="DD97" s="64">
        <f t="shared" si="97"/>
        <v>0</v>
      </c>
      <c r="DE97" s="28"/>
      <c r="DF97" s="28"/>
      <c r="DG97" s="65"/>
      <c r="DH97" s="64">
        <f t="shared" si="98"/>
        <v>0</v>
      </c>
      <c r="DI97" s="28"/>
      <c r="DJ97" s="28"/>
      <c r="DK97" s="65"/>
      <c r="DL97" s="64">
        <f t="shared" si="99"/>
        <v>0</v>
      </c>
      <c r="DM97" s="28"/>
      <c r="DN97" s="28"/>
      <c r="DO97" s="65"/>
      <c r="DP97" s="64">
        <f t="shared" si="100"/>
        <v>0</v>
      </c>
      <c r="DQ97" s="28"/>
      <c r="DR97" s="28"/>
      <c r="DS97" s="65"/>
      <c r="DT97" s="64">
        <f t="shared" si="101"/>
        <v>0</v>
      </c>
      <c r="DU97" s="28"/>
      <c r="DV97" s="28"/>
      <c r="DW97" s="65"/>
      <c r="DX97" s="30">
        <f t="shared" si="102"/>
        <v>0</v>
      </c>
      <c r="DY97" s="31">
        <f t="shared" si="69"/>
        <v>20</v>
      </c>
      <c r="DZ97" s="31">
        <f t="shared" si="70"/>
        <v>20</v>
      </c>
      <c r="EA97" s="4">
        <f t="shared" si="71"/>
        <v>0</v>
      </c>
      <c r="EB97" s="9">
        <f>D97*'MASTER SHEET'!D97</f>
        <v>0</v>
      </c>
      <c r="EC97" s="9">
        <f>H97*'MASTER SHEET'!D97</f>
        <v>0</v>
      </c>
      <c r="ED97" s="9">
        <f>L97*'MASTER SHEET'!D97</f>
        <v>0</v>
      </c>
      <c r="EE97" s="9">
        <f>P97*'MASTER SHEET'!D97</f>
        <v>0</v>
      </c>
      <c r="EF97" s="9">
        <f>T97*'MASTER SHEET'!D97</f>
        <v>0</v>
      </c>
      <c r="EG97" s="9">
        <f>X97*'MASTER SHEET'!D97</f>
        <v>0</v>
      </c>
      <c r="EH97" s="9">
        <f>AB97*'MASTER SHEET'!D97</f>
        <v>0</v>
      </c>
      <c r="EI97" s="9">
        <f>AF97*'MASTER SHEET'!D97</f>
        <v>0</v>
      </c>
      <c r="EJ97" s="9">
        <f>AJ97*'MASTER SHEET'!D97</f>
        <v>0</v>
      </c>
      <c r="EK97" s="9">
        <f>AN97*'MASTER SHEET'!D97</f>
        <v>0</v>
      </c>
      <c r="EL97" s="9">
        <f>AR97*'MASTER SHEET'!D97</f>
        <v>0</v>
      </c>
      <c r="EM97" s="9">
        <f>AV97*'MASTER SHEET'!D97</f>
        <v>0</v>
      </c>
      <c r="EN97" s="9">
        <f>AZ97*'MASTER SHEET'!D97</f>
        <v>0</v>
      </c>
      <c r="EO97" s="9">
        <f>BD97*'MASTER SHEET'!D97</f>
        <v>0</v>
      </c>
      <c r="EP97" s="9">
        <f>BH97*'MASTER SHEET'!D97</f>
        <v>0</v>
      </c>
      <c r="EQ97" s="9">
        <f>BL97*'MASTER SHEET'!D97</f>
        <v>0</v>
      </c>
      <c r="ER97" s="9">
        <f>BP97*'MASTER SHEET'!D97</f>
        <v>0</v>
      </c>
      <c r="ES97" s="9">
        <f>BT97*'MASTER SHEET'!D97</f>
        <v>0</v>
      </c>
      <c r="ET97" s="9">
        <f>BX97*'MASTER SHEET'!D97</f>
        <v>0</v>
      </c>
      <c r="EU97" s="9">
        <f>CB97*'MASTER SHEET'!D97</f>
        <v>0</v>
      </c>
      <c r="EV97" s="9">
        <f>CF97*'MASTER SHEET'!D97</f>
        <v>0</v>
      </c>
      <c r="EW97" s="9">
        <f>CJ97*'MASTER SHEET'!D97</f>
        <v>0</v>
      </c>
      <c r="EX97" s="9">
        <f>CN97*'MASTER SHEET'!D97</f>
        <v>0</v>
      </c>
      <c r="EY97" s="9">
        <f>CV97*'MASTER SHEET'!D97</f>
        <v>0</v>
      </c>
      <c r="EZ97" s="9">
        <f>CV97*'MASTER SHEET'!D97</f>
        <v>0</v>
      </c>
      <c r="FA97" s="9">
        <f>CZ97*'MASTER SHEET'!D97</f>
        <v>0</v>
      </c>
      <c r="FB97" s="9">
        <f>DD97*'MASTER SHEET'!D97</f>
        <v>0</v>
      </c>
      <c r="FC97" s="9">
        <f>DH97*'MASTER SHEET'!D97</f>
        <v>0</v>
      </c>
      <c r="FD97" s="9">
        <f>DL97*'MASTER SHEET'!D97</f>
        <v>0</v>
      </c>
      <c r="FE97" s="9">
        <f>DP97*'MASTER SHEET'!D97</f>
        <v>0</v>
      </c>
      <c r="FF97" s="9">
        <f>DT97*'MASTER SHEET'!D97</f>
        <v>0</v>
      </c>
      <c r="FG97" s="9">
        <f>DX97*'MASTER SHEET'!D97</f>
        <v>0</v>
      </c>
    </row>
    <row r="98" spans="1:163" ht="20.25" x14ac:dyDescent="0.25">
      <c r="A98" s="43">
        <f>'MASTER SHEET'!A98</f>
        <v>96</v>
      </c>
      <c r="B98" s="26" t="str">
        <f>'MASTER SHEET'!B98</f>
        <v>PIPE PLASTIC</v>
      </c>
      <c r="C98" s="82">
        <f>'MASTER SHEET'!C98</f>
        <v>5025752</v>
      </c>
      <c r="D98" s="64"/>
      <c r="E98" s="28"/>
      <c r="F98" s="28"/>
      <c r="G98" s="65"/>
      <c r="H98" s="64">
        <f t="shared" si="72"/>
        <v>0</v>
      </c>
      <c r="I98" s="28"/>
      <c r="J98" s="28"/>
      <c r="K98" s="65"/>
      <c r="L98" s="64">
        <f t="shared" si="73"/>
        <v>0</v>
      </c>
      <c r="M98" s="28"/>
      <c r="N98" s="28"/>
      <c r="O98" s="65"/>
      <c r="P98" s="64">
        <f t="shared" si="74"/>
        <v>0</v>
      </c>
      <c r="Q98" s="28"/>
      <c r="R98" s="28"/>
      <c r="S98" s="65"/>
      <c r="T98" s="64">
        <f t="shared" si="75"/>
        <v>0</v>
      </c>
      <c r="U98" s="28"/>
      <c r="V98" s="28"/>
      <c r="W98" s="65"/>
      <c r="X98" s="64">
        <f t="shared" si="76"/>
        <v>0</v>
      </c>
      <c r="Y98" s="28"/>
      <c r="Z98" s="28"/>
      <c r="AA98" s="65"/>
      <c r="AB98" s="64">
        <f t="shared" si="77"/>
        <v>0</v>
      </c>
      <c r="AC98" s="28"/>
      <c r="AD98" s="28"/>
      <c r="AE98" s="65"/>
      <c r="AF98" s="64">
        <f t="shared" si="78"/>
        <v>0</v>
      </c>
      <c r="AG98" s="28"/>
      <c r="AH98" s="28"/>
      <c r="AI98" s="65"/>
      <c r="AJ98" s="64">
        <f t="shared" si="79"/>
        <v>0</v>
      </c>
      <c r="AK98" s="28"/>
      <c r="AL98" s="28"/>
      <c r="AM98" s="65"/>
      <c r="AN98" s="64">
        <f t="shared" si="80"/>
        <v>0</v>
      </c>
      <c r="AO98" s="28"/>
      <c r="AP98" s="28"/>
      <c r="AQ98" s="65"/>
      <c r="AR98" s="64">
        <f t="shared" si="81"/>
        <v>0</v>
      </c>
      <c r="AS98" s="28"/>
      <c r="AT98" s="28"/>
      <c r="AU98" s="65"/>
      <c r="AV98" s="64">
        <f t="shared" si="82"/>
        <v>0</v>
      </c>
      <c r="AW98" s="28"/>
      <c r="AX98" s="28"/>
      <c r="AY98" s="65"/>
      <c r="AZ98" s="64">
        <f t="shared" si="83"/>
        <v>0</v>
      </c>
      <c r="BA98" s="28"/>
      <c r="BB98" s="28"/>
      <c r="BC98" s="65"/>
      <c r="BD98" s="64">
        <f t="shared" si="84"/>
        <v>0</v>
      </c>
      <c r="BE98" s="28"/>
      <c r="BF98" s="28"/>
      <c r="BG98" s="65"/>
      <c r="BH98" s="64">
        <f t="shared" si="85"/>
        <v>0</v>
      </c>
      <c r="BI98" s="28"/>
      <c r="BJ98" s="28"/>
      <c r="BK98" s="65"/>
      <c r="BL98" s="64">
        <f t="shared" si="86"/>
        <v>0</v>
      </c>
      <c r="BM98" s="28"/>
      <c r="BN98" s="28"/>
      <c r="BO98" s="65"/>
      <c r="BP98" s="64">
        <f t="shared" si="87"/>
        <v>0</v>
      </c>
      <c r="BQ98" s="28"/>
      <c r="BR98" s="28"/>
      <c r="BS98" s="65"/>
      <c r="BT98" s="64">
        <f t="shared" si="88"/>
        <v>0</v>
      </c>
      <c r="BU98" s="28"/>
      <c r="BV98" s="28"/>
      <c r="BW98" s="65"/>
      <c r="BX98" s="64">
        <f t="shared" si="89"/>
        <v>0</v>
      </c>
      <c r="BY98" s="28"/>
      <c r="BZ98" s="28"/>
      <c r="CA98" s="65"/>
      <c r="CB98" s="64">
        <f t="shared" si="90"/>
        <v>0</v>
      </c>
      <c r="CC98" s="28"/>
      <c r="CD98" s="28"/>
      <c r="CE98" s="65"/>
      <c r="CF98" s="64">
        <f t="shared" si="91"/>
        <v>0</v>
      </c>
      <c r="CG98" s="28"/>
      <c r="CH98" s="28"/>
      <c r="CI98" s="65"/>
      <c r="CJ98" s="64">
        <f t="shared" si="92"/>
        <v>0</v>
      </c>
      <c r="CK98" s="28"/>
      <c r="CL98" s="28"/>
      <c r="CM98" s="65"/>
      <c r="CN98" s="64">
        <f t="shared" si="93"/>
        <v>0</v>
      </c>
      <c r="CO98" s="28"/>
      <c r="CP98" s="28"/>
      <c r="CQ98" s="65"/>
      <c r="CR98" s="64">
        <f t="shared" si="94"/>
        <v>0</v>
      </c>
      <c r="CS98" s="28"/>
      <c r="CT98" s="28"/>
      <c r="CU98" s="65"/>
      <c r="CV98" s="64">
        <f t="shared" si="95"/>
        <v>0</v>
      </c>
      <c r="CW98" s="28"/>
      <c r="CX98" s="28"/>
      <c r="CY98" s="65"/>
      <c r="CZ98" s="64">
        <f t="shared" si="96"/>
        <v>0</v>
      </c>
      <c r="DA98" s="28"/>
      <c r="DB98" s="28"/>
      <c r="DC98" s="65"/>
      <c r="DD98" s="64">
        <f t="shared" si="97"/>
        <v>0</v>
      </c>
      <c r="DE98" s="28"/>
      <c r="DF98" s="28"/>
      <c r="DG98" s="65"/>
      <c r="DH98" s="64">
        <f t="shared" si="98"/>
        <v>0</v>
      </c>
      <c r="DI98" s="28"/>
      <c r="DJ98" s="28"/>
      <c r="DK98" s="65"/>
      <c r="DL98" s="64">
        <f t="shared" si="99"/>
        <v>0</v>
      </c>
      <c r="DM98" s="28"/>
      <c r="DN98" s="28"/>
      <c r="DO98" s="65"/>
      <c r="DP98" s="64">
        <f t="shared" si="100"/>
        <v>0</v>
      </c>
      <c r="DQ98" s="28"/>
      <c r="DR98" s="28"/>
      <c r="DS98" s="65"/>
      <c r="DT98" s="64">
        <f t="shared" si="101"/>
        <v>0</v>
      </c>
      <c r="DU98" s="28"/>
      <c r="DV98" s="28"/>
      <c r="DW98" s="65"/>
      <c r="DX98" s="30">
        <f t="shared" si="102"/>
        <v>0</v>
      </c>
      <c r="DY98" s="31">
        <f t="shared" si="69"/>
        <v>0</v>
      </c>
      <c r="DZ98" s="31">
        <f t="shared" si="70"/>
        <v>0</v>
      </c>
      <c r="EA98" s="4">
        <f t="shared" si="71"/>
        <v>0</v>
      </c>
      <c r="EB98" s="9">
        <f>D98*'MASTER SHEET'!D98</f>
        <v>0</v>
      </c>
      <c r="EC98" s="9">
        <f>H98*'MASTER SHEET'!D98</f>
        <v>0</v>
      </c>
      <c r="ED98" s="9">
        <f>L98*'MASTER SHEET'!D98</f>
        <v>0</v>
      </c>
      <c r="EE98" s="9">
        <f>P98*'MASTER SHEET'!D98</f>
        <v>0</v>
      </c>
      <c r="EF98" s="9">
        <f>T98*'MASTER SHEET'!D98</f>
        <v>0</v>
      </c>
      <c r="EG98" s="9">
        <f>X98*'MASTER SHEET'!D98</f>
        <v>0</v>
      </c>
      <c r="EH98" s="9">
        <f>AB98*'MASTER SHEET'!D98</f>
        <v>0</v>
      </c>
      <c r="EI98" s="9">
        <f>AF98*'MASTER SHEET'!D98</f>
        <v>0</v>
      </c>
      <c r="EJ98" s="9">
        <f>AJ98*'MASTER SHEET'!D98</f>
        <v>0</v>
      </c>
      <c r="EK98" s="9">
        <f>AN98*'MASTER SHEET'!D98</f>
        <v>0</v>
      </c>
      <c r="EL98" s="9">
        <f>AR98*'MASTER SHEET'!D98</f>
        <v>0</v>
      </c>
      <c r="EM98" s="9">
        <f>AV98*'MASTER SHEET'!D98</f>
        <v>0</v>
      </c>
      <c r="EN98" s="9">
        <f>AZ98*'MASTER SHEET'!D98</f>
        <v>0</v>
      </c>
      <c r="EO98" s="9">
        <f>BD98*'MASTER SHEET'!D98</f>
        <v>0</v>
      </c>
      <c r="EP98" s="9">
        <f>BH98*'MASTER SHEET'!D98</f>
        <v>0</v>
      </c>
      <c r="EQ98" s="9">
        <f>BL98*'MASTER SHEET'!D98</f>
        <v>0</v>
      </c>
      <c r="ER98" s="9">
        <f>BP98*'MASTER SHEET'!D98</f>
        <v>0</v>
      </c>
      <c r="ES98" s="9">
        <f>BT98*'MASTER SHEET'!D98</f>
        <v>0</v>
      </c>
      <c r="ET98" s="9">
        <f>BX98*'MASTER SHEET'!D98</f>
        <v>0</v>
      </c>
      <c r="EU98" s="9">
        <f>CB98*'MASTER SHEET'!D98</f>
        <v>0</v>
      </c>
      <c r="EV98" s="9">
        <f>CF98*'MASTER SHEET'!D98</f>
        <v>0</v>
      </c>
      <c r="EW98" s="9">
        <f>CJ98*'MASTER SHEET'!D98</f>
        <v>0</v>
      </c>
      <c r="EX98" s="9">
        <f>CN98*'MASTER SHEET'!D98</f>
        <v>0</v>
      </c>
      <c r="EY98" s="9">
        <f>CV98*'MASTER SHEET'!D98</f>
        <v>0</v>
      </c>
      <c r="EZ98" s="9">
        <f>CV98*'MASTER SHEET'!D98</f>
        <v>0</v>
      </c>
      <c r="FA98" s="9">
        <f>CZ98*'MASTER SHEET'!D98</f>
        <v>0</v>
      </c>
      <c r="FB98" s="9">
        <f>DD98*'MASTER SHEET'!D98</f>
        <v>0</v>
      </c>
      <c r="FC98" s="9">
        <f>DH98*'MASTER SHEET'!D98</f>
        <v>0</v>
      </c>
      <c r="FD98" s="9">
        <f>DL98*'MASTER SHEET'!D98</f>
        <v>0</v>
      </c>
      <c r="FE98" s="9">
        <f>DP98*'MASTER SHEET'!D98</f>
        <v>0</v>
      </c>
      <c r="FF98" s="9">
        <f>DT98*'MASTER SHEET'!D98</f>
        <v>0</v>
      </c>
      <c r="FG98" s="9">
        <f>DX98*'MASTER SHEET'!D98</f>
        <v>0</v>
      </c>
    </row>
    <row r="99" spans="1:163" ht="20.25" x14ac:dyDescent="0.25">
      <c r="A99" s="43">
        <f>'MASTER SHEET'!A99</f>
        <v>97</v>
      </c>
      <c r="B99" s="26" t="str">
        <f>'MASTER SHEET'!B99</f>
        <v>FIN ASSEMBLY</v>
      </c>
      <c r="C99" s="82">
        <f>'MASTER SHEET'!C99</f>
        <v>5025607</v>
      </c>
      <c r="D99" s="64"/>
      <c r="E99" s="28"/>
      <c r="F99" s="28"/>
      <c r="G99" s="65"/>
      <c r="H99" s="64">
        <f t="shared" si="72"/>
        <v>0</v>
      </c>
      <c r="I99" s="28"/>
      <c r="J99" s="28"/>
      <c r="K99" s="65"/>
      <c r="L99" s="64">
        <f t="shared" si="73"/>
        <v>0</v>
      </c>
      <c r="M99" s="28"/>
      <c r="N99" s="28"/>
      <c r="O99" s="65"/>
      <c r="P99" s="64">
        <f t="shared" si="74"/>
        <v>0</v>
      </c>
      <c r="Q99" s="28"/>
      <c r="R99" s="28"/>
      <c r="S99" s="65"/>
      <c r="T99" s="64">
        <f t="shared" si="75"/>
        <v>0</v>
      </c>
      <c r="U99" s="28"/>
      <c r="V99" s="28"/>
      <c r="W99" s="65"/>
      <c r="X99" s="64">
        <f t="shared" si="76"/>
        <v>0</v>
      </c>
      <c r="Y99" s="28"/>
      <c r="Z99" s="28"/>
      <c r="AA99" s="65"/>
      <c r="AB99" s="64">
        <f t="shared" si="77"/>
        <v>0</v>
      </c>
      <c r="AC99" s="28"/>
      <c r="AD99" s="28"/>
      <c r="AE99" s="65"/>
      <c r="AF99" s="64">
        <f t="shared" si="78"/>
        <v>0</v>
      </c>
      <c r="AG99" s="28"/>
      <c r="AH99" s="28"/>
      <c r="AI99" s="65"/>
      <c r="AJ99" s="64">
        <f t="shared" si="79"/>
        <v>0</v>
      </c>
      <c r="AK99" s="28"/>
      <c r="AL99" s="28"/>
      <c r="AM99" s="65"/>
      <c r="AN99" s="64">
        <f t="shared" si="80"/>
        <v>0</v>
      </c>
      <c r="AO99" s="28"/>
      <c r="AP99" s="28"/>
      <c r="AQ99" s="65"/>
      <c r="AR99" s="64">
        <f t="shared" si="81"/>
        <v>0</v>
      </c>
      <c r="AS99" s="28"/>
      <c r="AT99" s="28"/>
      <c r="AU99" s="65"/>
      <c r="AV99" s="64">
        <f t="shared" si="82"/>
        <v>0</v>
      </c>
      <c r="AW99" s="28"/>
      <c r="AX99" s="28"/>
      <c r="AY99" s="65"/>
      <c r="AZ99" s="64">
        <f t="shared" si="83"/>
        <v>0</v>
      </c>
      <c r="BA99" s="28"/>
      <c r="BB99" s="28"/>
      <c r="BC99" s="65"/>
      <c r="BD99" s="64">
        <f t="shared" si="84"/>
        <v>0</v>
      </c>
      <c r="BE99" s="28"/>
      <c r="BF99" s="28"/>
      <c r="BG99" s="65"/>
      <c r="BH99" s="64">
        <f t="shared" si="85"/>
        <v>0</v>
      </c>
      <c r="BI99" s="28"/>
      <c r="BJ99" s="28"/>
      <c r="BK99" s="65"/>
      <c r="BL99" s="64">
        <f t="shared" si="86"/>
        <v>0</v>
      </c>
      <c r="BM99" s="28"/>
      <c r="BN99" s="28"/>
      <c r="BO99" s="65"/>
      <c r="BP99" s="64">
        <f t="shared" si="87"/>
        <v>0</v>
      </c>
      <c r="BQ99" s="28"/>
      <c r="BR99" s="28"/>
      <c r="BS99" s="65"/>
      <c r="BT99" s="64">
        <f t="shared" si="88"/>
        <v>0</v>
      </c>
      <c r="BU99" s="28"/>
      <c r="BV99" s="28"/>
      <c r="BW99" s="65"/>
      <c r="BX99" s="64">
        <f t="shared" si="89"/>
        <v>0</v>
      </c>
      <c r="BY99" s="28"/>
      <c r="BZ99" s="28"/>
      <c r="CA99" s="65"/>
      <c r="CB99" s="64">
        <f t="shared" si="90"/>
        <v>0</v>
      </c>
      <c r="CC99" s="28"/>
      <c r="CD99" s="28"/>
      <c r="CE99" s="65"/>
      <c r="CF99" s="64">
        <f t="shared" si="91"/>
        <v>0</v>
      </c>
      <c r="CG99" s="28"/>
      <c r="CH99" s="28"/>
      <c r="CI99" s="65"/>
      <c r="CJ99" s="64">
        <f t="shared" si="92"/>
        <v>0</v>
      </c>
      <c r="CK99" s="28"/>
      <c r="CL99" s="28"/>
      <c r="CM99" s="65"/>
      <c r="CN99" s="64">
        <f t="shared" si="93"/>
        <v>0</v>
      </c>
      <c r="CO99" s="28"/>
      <c r="CP99" s="28"/>
      <c r="CQ99" s="65"/>
      <c r="CR99" s="64">
        <f t="shared" si="94"/>
        <v>0</v>
      </c>
      <c r="CS99" s="28"/>
      <c r="CT99" s="28"/>
      <c r="CU99" s="65"/>
      <c r="CV99" s="64">
        <f t="shared" si="95"/>
        <v>0</v>
      </c>
      <c r="CW99" s="28"/>
      <c r="CX99" s="28"/>
      <c r="CY99" s="65"/>
      <c r="CZ99" s="64">
        <f t="shared" si="96"/>
        <v>0</v>
      </c>
      <c r="DA99" s="28"/>
      <c r="DB99" s="28"/>
      <c r="DC99" s="65"/>
      <c r="DD99" s="64">
        <f t="shared" si="97"/>
        <v>0</v>
      </c>
      <c r="DE99" s="28"/>
      <c r="DF99" s="28"/>
      <c r="DG99" s="65"/>
      <c r="DH99" s="64">
        <f t="shared" si="98"/>
        <v>0</v>
      </c>
      <c r="DI99" s="28"/>
      <c r="DJ99" s="28"/>
      <c r="DK99" s="65"/>
      <c r="DL99" s="64">
        <f t="shared" si="99"/>
        <v>0</v>
      </c>
      <c r="DM99" s="28"/>
      <c r="DN99" s="28"/>
      <c r="DO99" s="65"/>
      <c r="DP99" s="64">
        <f t="shared" si="100"/>
        <v>0</v>
      </c>
      <c r="DQ99" s="28"/>
      <c r="DR99" s="28"/>
      <c r="DS99" s="65"/>
      <c r="DT99" s="64">
        <f t="shared" si="101"/>
        <v>0</v>
      </c>
      <c r="DU99" s="28"/>
      <c r="DV99" s="28"/>
      <c r="DW99" s="65"/>
      <c r="DX99" s="30">
        <f t="shared" si="102"/>
        <v>0</v>
      </c>
      <c r="DY99" s="31">
        <f t="shared" ref="DY99:DY132" si="103">D99+E99+I99+M99+Q99+U99+Y99+AC99+AG99+AK99+AO99+AS99+AW99+BA99+BE99+BI99+BM99+BQ99+BU99+BY99+CC99+CG99+CK99+CO99+CS99+CW99+DA99+DE99+DI99+DM99+DQ99+DU99</f>
        <v>0</v>
      </c>
      <c r="DZ99" s="31">
        <f t="shared" ref="DZ99:DZ132" si="104">F99+J99+N99+R99+V99+Z99+AD99+AH99+AL99+AP99+AT99+AX99+BB99+BF99+BJ99+BN99+BR99+BV99+BZ99+CD99+CH99+CL99+CP99+CT99+CX99+DB99+DF99+DJ99+DN99+DR99+DV99</f>
        <v>0</v>
      </c>
      <c r="EA99" s="4">
        <f t="shared" ref="EA99:EA130" si="105">G99+K99+O99+S99+W99+AA99+AE99+AI99+AM99+AQ99+AU99+AY99+BC99+BG99+BK99+BO99+BS99+BW99+CA99+CE99+CI99+CM99+CQ99+CU99+CY99+DC99+DG99+DK99+DO99+DS99+DW99</f>
        <v>0</v>
      </c>
      <c r="EB99" s="9">
        <f>D99*'MASTER SHEET'!D99</f>
        <v>0</v>
      </c>
      <c r="EC99" s="9">
        <f>H99*'MASTER SHEET'!D99</f>
        <v>0</v>
      </c>
      <c r="ED99" s="9">
        <f>L99*'MASTER SHEET'!D99</f>
        <v>0</v>
      </c>
      <c r="EE99" s="9">
        <f>P99*'MASTER SHEET'!D99</f>
        <v>0</v>
      </c>
      <c r="EF99" s="9">
        <f>T99*'MASTER SHEET'!D99</f>
        <v>0</v>
      </c>
      <c r="EG99" s="9">
        <f>X99*'MASTER SHEET'!D99</f>
        <v>0</v>
      </c>
      <c r="EH99" s="9">
        <f>AB99*'MASTER SHEET'!D99</f>
        <v>0</v>
      </c>
      <c r="EI99" s="9">
        <f>AF99*'MASTER SHEET'!D99</f>
        <v>0</v>
      </c>
      <c r="EJ99" s="9">
        <f>AJ99*'MASTER SHEET'!D99</f>
        <v>0</v>
      </c>
      <c r="EK99" s="9">
        <f>AN99*'MASTER SHEET'!D99</f>
        <v>0</v>
      </c>
      <c r="EL99" s="9">
        <f>AR99*'MASTER SHEET'!D99</f>
        <v>0</v>
      </c>
      <c r="EM99" s="9">
        <f>AV99*'MASTER SHEET'!D99</f>
        <v>0</v>
      </c>
      <c r="EN99" s="9">
        <f>AZ99*'MASTER SHEET'!D99</f>
        <v>0</v>
      </c>
      <c r="EO99" s="9">
        <f>BD99*'MASTER SHEET'!D99</f>
        <v>0</v>
      </c>
      <c r="EP99" s="9">
        <f>BH99*'MASTER SHEET'!D99</f>
        <v>0</v>
      </c>
      <c r="EQ99" s="9">
        <f>BL99*'MASTER SHEET'!D99</f>
        <v>0</v>
      </c>
      <c r="ER99" s="9">
        <f>BP99*'MASTER SHEET'!D99</f>
        <v>0</v>
      </c>
      <c r="ES99" s="9">
        <f>BT99*'MASTER SHEET'!D99</f>
        <v>0</v>
      </c>
      <c r="ET99" s="9">
        <f>BX99*'MASTER SHEET'!D99</f>
        <v>0</v>
      </c>
      <c r="EU99" s="9">
        <f>CB99*'MASTER SHEET'!D99</f>
        <v>0</v>
      </c>
      <c r="EV99" s="9">
        <f>CF99*'MASTER SHEET'!D99</f>
        <v>0</v>
      </c>
      <c r="EW99" s="9">
        <f>CJ99*'MASTER SHEET'!D99</f>
        <v>0</v>
      </c>
      <c r="EX99" s="9">
        <f>CN99*'MASTER SHEET'!D99</f>
        <v>0</v>
      </c>
      <c r="EY99" s="9">
        <f>CV99*'MASTER SHEET'!D99</f>
        <v>0</v>
      </c>
      <c r="EZ99" s="9">
        <f>CV99*'MASTER SHEET'!D99</f>
        <v>0</v>
      </c>
      <c r="FA99" s="9">
        <f>CZ99*'MASTER SHEET'!D99</f>
        <v>0</v>
      </c>
      <c r="FB99" s="9">
        <f>DD99*'MASTER SHEET'!D99</f>
        <v>0</v>
      </c>
      <c r="FC99" s="9">
        <f>DH99*'MASTER SHEET'!D99</f>
        <v>0</v>
      </c>
      <c r="FD99" s="9">
        <f>DL99*'MASTER SHEET'!D99</f>
        <v>0</v>
      </c>
      <c r="FE99" s="9">
        <f>DP99*'MASTER SHEET'!D99</f>
        <v>0</v>
      </c>
      <c r="FF99" s="9">
        <f>DT99*'MASTER SHEET'!D99</f>
        <v>0</v>
      </c>
      <c r="FG99" s="9">
        <f>DX99*'MASTER SHEET'!D99</f>
        <v>0</v>
      </c>
    </row>
    <row r="100" spans="1:163" ht="20.25" x14ac:dyDescent="0.25">
      <c r="A100" s="43">
        <f>'MASTER SHEET'!A100</f>
        <v>98</v>
      </c>
      <c r="B100" s="26" t="str">
        <f>'MASTER SHEET'!B100</f>
        <v>PIPE PLASTIC</v>
      </c>
      <c r="C100" s="82">
        <f>'MASTER SHEET'!C100</f>
        <v>5029411</v>
      </c>
      <c r="D100" s="64"/>
      <c r="E100" s="28"/>
      <c r="F100" s="28"/>
      <c r="G100" s="65"/>
      <c r="H100" s="64">
        <f t="shared" si="72"/>
        <v>0</v>
      </c>
      <c r="I100" s="28"/>
      <c r="J100" s="28"/>
      <c r="K100" s="65"/>
      <c r="L100" s="64">
        <f t="shared" si="73"/>
        <v>0</v>
      </c>
      <c r="M100" s="28"/>
      <c r="N100" s="28"/>
      <c r="O100" s="65"/>
      <c r="P100" s="64">
        <f t="shared" si="74"/>
        <v>0</v>
      </c>
      <c r="Q100" s="28"/>
      <c r="R100" s="28"/>
      <c r="S100" s="65"/>
      <c r="T100" s="64">
        <f t="shared" si="75"/>
        <v>0</v>
      </c>
      <c r="U100" s="28"/>
      <c r="V100" s="28"/>
      <c r="W100" s="65"/>
      <c r="X100" s="64">
        <f t="shared" si="76"/>
        <v>0</v>
      </c>
      <c r="Y100" s="28"/>
      <c r="Z100" s="28"/>
      <c r="AA100" s="65"/>
      <c r="AB100" s="64">
        <f t="shared" si="77"/>
        <v>0</v>
      </c>
      <c r="AC100" s="28"/>
      <c r="AD100" s="28"/>
      <c r="AE100" s="65"/>
      <c r="AF100" s="64">
        <f t="shared" si="78"/>
        <v>0</v>
      </c>
      <c r="AG100" s="28"/>
      <c r="AH100" s="28"/>
      <c r="AI100" s="65"/>
      <c r="AJ100" s="64">
        <f t="shared" si="79"/>
        <v>0</v>
      </c>
      <c r="AK100" s="28"/>
      <c r="AL100" s="28"/>
      <c r="AM100" s="65"/>
      <c r="AN100" s="64">
        <f t="shared" si="80"/>
        <v>0</v>
      </c>
      <c r="AO100" s="28"/>
      <c r="AP100" s="28"/>
      <c r="AQ100" s="65"/>
      <c r="AR100" s="64">
        <f t="shared" si="81"/>
        <v>0</v>
      </c>
      <c r="AS100" s="28"/>
      <c r="AT100" s="28"/>
      <c r="AU100" s="65"/>
      <c r="AV100" s="64">
        <f t="shared" si="82"/>
        <v>0</v>
      </c>
      <c r="AW100" s="28"/>
      <c r="AX100" s="28"/>
      <c r="AY100" s="65"/>
      <c r="AZ100" s="64">
        <f t="shared" si="83"/>
        <v>0</v>
      </c>
      <c r="BA100" s="28"/>
      <c r="BB100" s="28"/>
      <c r="BC100" s="65"/>
      <c r="BD100" s="64">
        <f t="shared" si="84"/>
        <v>0</v>
      </c>
      <c r="BE100" s="28"/>
      <c r="BF100" s="28"/>
      <c r="BG100" s="65"/>
      <c r="BH100" s="64">
        <f t="shared" si="85"/>
        <v>0</v>
      </c>
      <c r="BI100" s="28"/>
      <c r="BJ100" s="28"/>
      <c r="BK100" s="65"/>
      <c r="BL100" s="64">
        <f t="shared" si="86"/>
        <v>0</v>
      </c>
      <c r="BM100" s="28"/>
      <c r="BN100" s="28"/>
      <c r="BO100" s="65"/>
      <c r="BP100" s="64">
        <f t="shared" si="87"/>
        <v>0</v>
      </c>
      <c r="BQ100" s="28"/>
      <c r="BR100" s="28"/>
      <c r="BS100" s="65"/>
      <c r="BT100" s="64">
        <f t="shared" si="88"/>
        <v>0</v>
      </c>
      <c r="BU100" s="28"/>
      <c r="BV100" s="28"/>
      <c r="BW100" s="65"/>
      <c r="BX100" s="64">
        <f t="shared" si="89"/>
        <v>0</v>
      </c>
      <c r="BY100" s="28"/>
      <c r="BZ100" s="28"/>
      <c r="CA100" s="65"/>
      <c r="CB100" s="64">
        <f t="shared" si="90"/>
        <v>0</v>
      </c>
      <c r="CC100" s="28"/>
      <c r="CD100" s="28"/>
      <c r="CE100" s="65"/>
      <c r="CF100" s="64">
        <f t="shared" si="91"/>
        <v>0</v>
      </c>
      <c r="CG100" s="28"/>
      <c r="CH100" s="28"/>
      <c r="CI100" s="65"/>
      <c r="CJ100" s="64">
        <f t="shared" si="92"/>
        <v>0</v>
      </c>
      <c r="CK100" s="28"/>
      <c r="CL100" s="28"/>
      <c r="CM100" s="65"/>
      <c r="CN100" s="64">
        <f t="shared" si="93"/>
        <v>0</v>
      </c>
      <c r="CO100" s="28"/>
      <c r="CP100" s="28"/>
      <c r="CQ100" s="65"/>
      <c r="CR100" s="64">
        <f t="shared" si="94"/>
        <v>0</v>
      </c>
      <c r="CS100" s="28"/>
      <c r="CT100" s="28"/>
      <c r="CU100" s="65"/>
      <c r="CV100" s="64">
        <f t="shared" si="95"/>
        <v>0</v>
      </c>
      <c r="CW100" s="28"/>
      <c r="CX100" s="28"/>
      <c r="CY100" s="65"/>
      <c r="CZ100" s="64">
        <f t="shared" si="96"/>
        <v>0</v>
      </c>
      <c r="DA100" s="28"/>
      <c r="DB100" s="28"/>
      <c r="DC100" s="65"/>
      <c r="DD100" s="64">
        <f t="shared" si="97"/>
        <v>0</v>
      </c>
      <c r="DE100" s="28"/>
      <c r="DF100" s="28"/>
      <c r="DG100" s="65"/>
      <c r="DH100" s="64">
        <f t="shared" si="98"/>
        <v>0</v>
      </c>
      <c r="DI100" s="28"/>
      <c r="DJ100" s="28"/>
      <c r="DK100" s="65"/>
      <c r="DL100" s="64">
        <f t="shared" si="99"/>
        <v>0</v>
      </c>
      <c r="DM100" s="28"/>
      <c r="DN100" s="28"/>
      <c r="DO100" s="65"/>
      <c r="DP100" s="64">
        <f t="shared" si="100"/>
        <v>0</v>
      </c>
      <c r="DQ100" s="28"/>
      <c r="DR100" s="28"/>
      <c r="DS100" s="65"/>
      <c r="DT100" s="64">
        <f t="shared" si="101"/>
        <v>0</v>
      </c>
      <c r="DU100" s="28"/>
      <c r="DV100" s="28"/>
      <c r="DW100" s="65"/>
      <c r="DX100" s="30">
        <f t="shared" si="102"/>
        <v>0</v>
      </c>
      <c r="DY100" s="31">
        <f t="shared" si="103"/>
        <v>0</v>
      </c>
      <c r="DZ100" s="31">
        <f t="shared" si="104"/>
        <v>0</v>
      </c>
      <c r="EA100" s="4">
        <f t="shared" si="105"/>
        <v>0</v>
      </c>
      <c r="EB100" s="9">
        <f>D100*'MASTER SHEET'!D100</f>
        <v>0</v>
      </c>
      <c r="EC100" s="9">
        <f>H100*'MASTER SHEET'!D100</f>
        <v>0</v>
      </c>
      <c r="ED100" s="9">
        <f>L100*'MASTER SHEET'!D100</f>
        <v>0</v>
      </c>
      <c r="EE100" s="9">
        <f>P100*'MASTER SHEET'!D100</f>
        <v>0</v>
      </c>
      <c r="EF100" s="9">
        <f>T100*'MASTER SHEET'!D100</f>
        <v>0</v>
      </c>
      <c r="EG100" s="9">
        <f>X100*'MASTER SHEET'!D100</f>
        <v>0</v>
      </c>
      <c r="EH100" s="9">
        <f>AB100*'MASTER SHEET'!D100</f>
        <v>0</v>
      </c>
      <c r="EI100" s="9">
        <f>AF100*'MASTER SHEET'!D100</f>
        <v>0</v>
      </c>
      <c r="EJ100" s="9">
        <f>AJ100*'MASTER SHEET'!D100</f>
        <v>0</v>
      </c>
      <c r="EK100" s="9">
        <f>AN100*'MASTER SHEET'!D100</f>
        <v>0</v>
      </c>
      <c r="EL100" s="9">
        <f>AR100*'MASTER SHEET'!D100</f>
        <v>0</v>
      </c>
      <c r="EM100" s="9">
        <f>AV100*'MASTER SHEET'!D100</f>
        <v>0</v>
      </c>
      <c r="EN100" s="9">
        <f>AZ100*'MASTER SHEET'!D100</f>
        <v>0</v>
      </c>
      <c r="EO100" s="9">
        <f>BD100*'MASTER SHEET'!D100</f>
        <v>0</v>
      </c>
      <c r="EP100" s="9">
        <f>BH100*'MASTER SHEET'!D100</f>
        <v>0</v>
      </c>
      <c r="EQ100" s="9">
        <f>BL100*'MASTER SHEET'!D100</f>
        <v>0</v>
      </c>
      <c r="ER100" s="9">
        <f>BP100*'MASTER SHEET'!D100</f>
        <v>0</v>
      </c>
      <c r="ES100" s="9">
        <f>BT100*'MASTER SHEET'!D100</f>
        <v>0</v>
      </c>
      <c r="ET100" s="9">
        <f>BX100*'MASTER SHEET'!D100</f>
        <v>0</v>
      </c>
      <c r="EU100" s="9">
        <f>CB100*'MASTER SHEET'!D100</f>
        <v>0</v>
      </c>
      <c r="EV100" s="9">
        <f>CF100*'MASTER SHEET'!D100</f>
        <v>0</v>
      </c>
      <c r="EW100" s="9">
        <f>CJ100*'MASTER SHEET'!D100</f>
        <v>0</v>
      </c>
      <c r="EX100" s="9">
        <f>CN100*'MASTER SHEET'!D100</f>
        <v>0</v>
      </c>
      <c r="EY100" s="9">
        <f>CV100*'MASTER SHEET'!D100</f>
        <v>0</v>
      </c>
      <c r="EZ100" s="9">
        <f>CV100*'MASTER SHEET'!D100</f>
        <v>0</v>
      </c>
      <c r="FA100" s="9">
        <f>CZ100*'MASTER SHEET'!D100</f>
        <v>0</v>
      </c>
      <c r="FB100" s="9">
        <f>DD100*'MASTER SHEET'!D100</f>
        <v>0</v>
      </c>
      <c r="FC100" s="9">
        <f>DH100*'MASTER SHEET'!D100</f>
        <v>0</v>
      </c>
      <c r="FD100" s="9">
        <f>DL100*'MASTER SHEET'!D100</f>
        <v>0</v>
      </c>
      <c r="FE100" s="9">
        <f>DP100*'MASTER SHEET'!D100</f>
        <v>0</v>
      </c>
      <c r="FF100" s="9">
        <f>DT100*'MASTER SHEET'!D100</f>
        <v>0</v>
      </c>
      <c r="FG100" s="9">
        <f>DX100*'MASTER SHEET'!D100</f>
        <v>0</v>
      </c>
    </row>
    <row r="101" spans="1:163" s="10" customFormat="1" ht="20.25" x14ac:dyDescent="0.25">
      <c r="A101" s="43">
        <f>'MASTER SHEET'!A101</f>
        <v>99</v>
      </c>
      <c r="B101" s="26" t="str">
        <f>'MASTER SHEET'!B101</f>
        <v>RING PLASTIC</v>
      </c>
      <c r="C101" s="82">
        <f>'MASTER SHEET'!C101</f>
        <v>5031751</v>
      </c>
      <c r="D101" s="64"/>
      <c r="E101" s="28"/>
      <c r="F101" s="28"/>
      <c r="G101" s="65"/>
      <c r="H101" s="64">
        <f t="shared" si="72"/>
        <v>0</v>
      </c>
      <c r="I101" s="28"/>
      <c r="J101" s="28"/>
      <c r="K101" s="65"/>
      <c r="L101" s="64">
        <f t="shared" si="73"/>
        <v>0</v>
      </c>
      <c r="M101" s="28"/>
      <c r="N101" s="28"/>
      <c r="O101" s="65"/>
      <c r="P101" s="64">
        <f t="shared" si="74"/>
        <v>0</v>
      </c>
      <c r="Q101" s="28"/>
      <c r="R101" s="28"/>
      <c r="S101" s="65"/>
      <c r="T101" s="64">
        <f t="shared" si="75"/>
        <v>0</v>
      </c>
      <c r="U101" s="28"/>
      <c r="V101" s="28"/>
      <c r="W101" s="65"/>
      <c r="X101" s="64">
        <f t="shared" si="76"/>
        <v>0</v>
      </c>
      <c r="Y101" s="28"/>
      <c r="Z101" s="28"/>
      <c r="AA101" s="65"/>
      <c r="AB101" s="64">
        <f t="shared" si="77"/>
        <v>0</v>
      </c>
      <c r="AC101" s="28"/>
      <c r="AD101" s="28"/>
      <c r="AE101" s="65"/>
      <c r="AF101" s="64">
        <f t="shared" si="78"/>
        <v>0</v>
      </c>
      <c r="AG101" s="28"/>
      <c r="AH101" s="28"/>
      <c r="AI101" s="65"/>
      <c r="AJ101" s="64">
        <f t="shared" si="79"/>
        <v>0</v>
      </c>
      <c r="AK101" s="28"/>
      <c r="AL101" s="28"/>
      <c r="AM101" s="65"/>
      <c r="AN101" s="64">
        <f t="shared" si="80"/>
        <v>0</v>
      </c>
      <c r="AO101" s="28"/>
      <c r="AP101" s="28"/>
      <c r="AQ101" s="65"/>
      <c r="AR101" s="64">
        <f t="shared" si="81"/>
        <v>0</v>
      </c>
      <c r="AS101" s="28"/>
      <c r="AT101" s="28"/>
      <c r="AU101" s="65"/>
      <c r="AV101" s="64">
        <f t="shared" si="82"/>
        <v>0</v>
      </c>
      <c r="AW101" s="28"/>
      <c r="AX101" s="28"/>
      <c r="AY101" s="65"/>
      <c r="AZ101" s="64">
        <f t="shared" si="83"/>
        <v>0</v>
      </c>
      <c r="BA101" s="28"/>
      <c r="BB101" s="28"/>
      <c r="BC101" s="65"/>
      <c r="BD101" s="64">
        <f t="shared" si="84"/>
        <v>0</v>
      </c>
      <c r="BE101" s="28"/>
      <c r="BF101" s="28"/>
      <c r="BG101" s="65"/>
      <c r="BH101" s="64">
        <f t="shared" si="85"/>
        <v>0</v>
      </c>
      <c r="BI101" s="28"/>
      <c r="BJ101" s="28"/>
      <c r="BK101" s="65"/>
      <c r="BL101" s="64">
        <f t="shared" si="86"/>
        <v>0</v>
      </c>
      <c r="BM101" s="28"/>
      <c r="BN101" s="28"/>
      <c r="BO101" s="65"/>
      <c r="BP101" s="64">
        <f t="shared" si="87"/>
        <v>0</v>
      </c>
      <c r="BQ101" s="28"/>
      <c r="BR101" s="28"/>
      <c r="BS101" s="65"/>
      <c r="BT101" s="64">
        <f t="shared" si="88"/>
        <v>0</v>
      </c>
      <c r="BU101" s="28"/>
      <c r="BV101" s="28"/>
      <c r="BW101" s="65"/>
      <c r="BX101" s="64">
        <f t="shared" si="89"/>
        <v>0</v>
      </c>
      <c r="BY101" s="28"/>
      <c r="BZ101" s="28"/>
      <c r="CA101" s="65"/>
      <c r="CB101" s="64">
        <f t="shared" si="90"/>
        <v>0</v>
      </c>
      <c r="CC101" s="28"/>
      <c r="CD101" s="28"/>
      <c r="CE101" s="65"/>
      <c r="CF101" s="64">
        <f t="shared" si="91"/>
        <v>0</v>
      </c>
      <c r="CG101" s="28"/>
      <c r="CH101" s="28"/>
      <c r="CI101" s="65"/>
      <c r="CJ101" s="64">
        <f t="shared" si="92"/>
        <v>0</v>
      </c>
      <c r="CK101" s="28"/>
      <c r="CL101" s="28"/>
      <c r="CM101" s="65"/>
      <c r="CN101" s="64">
        <f t="shared" si="93"/>
        <v>0</v>
      </c>
      <c r="CO101" s="28"/>
      <c r="CP101" s="28"/>
      <c r="CQ101" s="65"/>
      <c r="CR101" s="64">
        <f t="shared" si="94"/>
        <v>0</v>
      </c>
      <c r="CS101" s="28"/>
      <c r="CT101" s="28"/>
      <c r="CU101" s="65"/>
      <c r="CV101" s="64">
        <f t="shared" si="95"/>
        <v>0</v>
      </c>
      <c r="CW101" s="28"/>
      <c r="CX101" s="28"/>
      <c r="CY101" s="65"/>
      <c r="CZ101" s="64">
        <f t="shared" si="96"/>
        <v>0</v>
      </c>
      <c r="DA101" s="28"/>
      <c r="DB101" s="28"/>
      <c r="DC101" s="65"/>
      <c r="DD101" s="64">
        <f t="shared" si="97"/>
        <v>0</v>
      </c>
      <c r="DE101" s="28"/>
      <c r="DF101" s="28"/>
      <c r="DG101" s="65"/>
      <c r="DH101" s="64">
        <f t="shared" si="98"/>
        <v>0</v>
      </c>
      <c r="DI101" s="28"/>
      <c r="DJ101" s="28"/>
      <c r="DK101" s="65"/>
      <c r="DL101" s="64">
        <f t="shared" si="99"/>
        <v>0</v>
      </c>
      <c r="DM101" s="28"/>
      <c r="DN101" s="28"/>
      <c r="DO101" s="65"/>
      <c r="DP101" s="64">
        <f t="shared" si="100"/>
        <v>0</v>
      </c>
      <c r="DQ101" s="28"/>
      <c r="DR101" s="28"/>
      <c r="DS101" s="65"/>
      <c r="DT101" s="64">
        <f t="shared" si="101"/>
        <v>0</v>
      </c>
      <c r="DU101" s="28"/>
      <c r="DV101" s="28"/>
      <c r="DW101" s="65"/>
      <c r="DX101" s="30">
        <f t="shared" si="102"/>
        <v>0</v>
      </c>
      <c r="DY101" s="31">
        <f t="shared" si="103"/>
        <v>0</v>
      </c>
      <c r="DZ101" s="31">
        <f t="shared" si="104"/>
        <v>0</v>
      </c>
      <c r="EA101" s="4">
        <f t="shared" si="105"/>
        <v>0</v>
      </c>
      <c r="EB101" s="9">
        <f>D101*'MASTER SHEET'!D101</f>
        <v>0</v>
      </c>
      <c r="EC101" s="9">
        <f>H101*'MASTER SHEET'!D101</f>
        <v>0</v>
      </c>
      <c r="ED101" s="9">
        <f>L101*'MASTER SHEET'!D101</f>
        <v>0</v>
      </c>
      <c r="EE101" s="9">
        <f>P101*'MASTER SHEET'!D101</f>
        <v>0</v>
      </c>
      <c r="EF101" s="9">
        <f>T101*'MASTER SHEET'!D101</f>
        <v>0</v>
      </c>
      <c r="EG101" s="9">
        <f>X101*'MASTER SHEET'!D101</f>
        <v>0</v>
      </c>
      <c r="EH101" s="9">
        <f>AB101*'MASTER SHEET'!D101</f>
        <v>0</v>
      </c>
      <c r="EI101" s="9">
        <f>AF101*'MASTER SHEET'!D101</f>
        <v>0</v>
      </c>
      <c r="EJ101" s="9">
        <f>AJ101*'MASTER SHEET'!D101</f>
        <v>0</v>
      </c>
      <c r="EK101" s="9">
        <f>AN101*'MASTER SHEET'!D101</f>
        <v>0</v>
      </c>
      <c r="EL101" s="9">
        <f>AR101*'MASTER SHEET'!D101</f>
        <v>0</v>
      </c>
      <c r="EM101" s="9">
        <f>AV101*'MASTER SHEET'!D101</f>
        <v>0</v>
      </c>
      <c r="EN101" s="9">
        <f>AZ101*'MASTER SHEET'!D101</f>
        <v>0</v>
      </c>
      <c r="EO101" s="9">
        <f>BD101*'MASTER SHEET'!D101</f>
        <v>0</v>
      </c>
      <c r="EP101" s="9">
        <f>BH101*'MASTER SHEET'!D101</f>
        <v>0</v>
      </c>
      <c r="EQ101" s="9">
        <f>BL101*'MASTER SHEET'!D101</f>
        <v>0</v>
      </c>
      <c r="ER101" s="9">
        <f>BP101*'MASTER SHEET'!D101</f>
        <v>0</v>
      </c>
      <c r="ES101" s="9">
        <f>BT101*'MASTER SHEET'!D101</f>
        <v>0</v>
      </c>
      <c r="ET101" s="9">
        <f>BX101*'MASTER SHEET'!D101</f>
        <v>0</v>
      </c>
      <c r="EU101" s="9">
        <f>CB101*'MASTER SHEET'!D101</f>
        <v>0</v>
      </c>
      <c r="EV101" s="9">
        <f>CF101*'MASTER SHEET'!D101</f>
        <v>0</v>
      </c>
      <c r="EW101" s="9">
        <f>CJ101*'MASTER SHEET'!D101</f>
        <v>0</v>
      </c>
      <c r="EX101" s="9">
        <f>CN101*'MASTER SHEET'!D101</f>
        <v>0</v>
      </c>
      <c r="EY101" s="9">
        <f>CV101*'MASTER SHEET'!D101</f>
        <v>0</v>
      </c>
      <c r="EZ101" s="9">
        <f>CV101*'MASTER SHEET'!D101</f>
        <v>0</v>
      </c>
      <c r="FA101" s="9">
        <f>CZ101*'MASTER SHEET'!D101</f>
        <v>0</v>
      </c>
      <c r="FB101" s="9">
        <f>DD101*'MASTER SHEET'!D101</f>
        <v>0</v>
      </c>
      <c r="FC101" s="9">
        <f>DH101*'MASTER SHEET'!D101</f>
        <v>0</v>
      </c>
      <c r="FD101" s="9">
        <f>DL101*'MASTER SHEET'!D101</f>
        <v>0</v>
      </c>
      <c r="FE101" s="9">
        <f>DP101*'MASTER SHEET'!D101</f>
        <v>0</v>
      </c>
      <c r="FF101" s="9">
        <f>DT101*'MASTER SHEET'!D101</f>
        <v>0</v>
      </c>
      <c r="FG101" s="9">
        <f>DX101*'MASTER SHEET'!D101</f>
        <v>0</v>
      </c>
    </row>
    <row r="102" spans="1:163" ht="20.25" x14ac:dyDescent="0.25">
      <c r="A102" s="43">
        <f>'MASTER SHEET'!A102</f>
        <v>100</v>
      </c>
      <c r="B102" s="26" t="str">
        <f>'MASTER SHEET'!B102</f>
        <v>WIREMESH</v>
      </c>
      <c r="C102" s="82">
        <f>'MASTER SHEET'!C102</f>
        <v>5017139</v>
      </c>
      <c r="D102" s="64"/>
      <c r="E102" s="28"/>
      <c r="F102" s="28"/>
      <c r="G102" s="65"/>
      <c r="H102" s="64">
        <f t="shared" si="72"/>
        <v>0</v>
      </c>
      <c r="I102" s="28"/>
      <c r="J102" s="28"/>
      <c r="K102" s="65"/>
      <c r="L102" s="64">
        <f t="shared" si="73"/>
        <v>0</v>
      </c>
      <c r="M102" s="28"/>
      <c r="N102" s="28"/>
      <c r="O102" s="65"/>
      <c r="P102" s="64">
        <f t="shared" si="74"/>
        <v>0</v>
      </c>
      <c r="Q102" s="28"/>
      <c r="R102" s="28"/>
      <c r="S102" s="65"/>
      <c r="T102" s="64">
        <f t="shared" si="75"/>
        <v>0</v>
      </c>
      <c r="U102" s="28"/>
      <c r="V102" s="28"/>
      <c r="W102" s="65"/>
      <c r="X102" s="64">
        <f t="shared" si="76"/>
        <v>0</v>
      </c>
      <c r="Y102" s="28">
        <v>6122</v>
      </c>
      <c r="Z102" s="28">
        <v>6122</v>
      </c>
      <c r="AA102" s="65"/>
      <c r="AB102" s="64">
        <f t="shared" si="77"/>
        <v>0</v>
      </c>
      <c r="AC102" s="28"/>
      <c r="AD102" s="28"/>
      <c r="AE102" s="65"/>
      <c r="AF102" s="64">
        <f t="shared" si="78"/>
        <v>0</v>
      </c>
      <c r="AG102" s="28"/>
      <c r="AH102" s="28"/>
      <c r="AI102" s="65"/>
      <c r="AJ102" s="64">
        <f t="shared" si="79"/>
        <v>0</v>
      </c>
      <c r="AK102" s="28"/>
      <c r="AL102" s="28"/>
      <c r="AM102" s="65"/>
      <c r="AN102" s="64">
        <f t="shared" si="80"/>
        <v>0</v>
      </c>
      <c r="AO102" s="28"/>
      <c r="AP102" s="28"/>
      <c r="AQ102" s="65"/>
      <c r="AR102" s="64">
        <f t="shared" si="81"/>
        <v>0</v>
      </c>
      <c r="AS102" s="28"/>
      <c r="AT102" s="28"/>
      <c r="AU102" s="65"/>
      <c r="AV102" s="64">
        <f t="shared" si="82"/>
        <v>0</v>
      </c>
      <c r="AW102" s="28"/>
      <c r="AX102" s="28"/>
      <c r="AY102" s="65"/>
      <c r="AZ102" s="64">
        <f t="shared" si="83"/>
        <v>0</v>
      </c>
      <c r="BA102" s="28"/>
      <c r="BB102" s="28"/>
      <c r="BC102" s="65"/>
      <c r="BD102" s="64">
        <f t="shared" si="84"/>
        <v>0</v>
      </c>
      <c r="BE102" s="28"/>
      <c r="BF102" s="28"/>
      <c r="BG102" s="65"/>
      <c r="BH102" s="64">
        <f t="shared" si="85"/>
        <v>0</v>
      </c>
      <c r="BI102" s="28"/>
      <c r="BJ102" s="28"/>
      <c r="BK102" s="65"/>
      <c r="BL102" s="64">
        <f t="shared" si="86"/>
        <v>0</v>
      </c>
      <c r="BM102" s="28"/>
      <c r="BN102" s="28"/>
      <c r="BO102" s="65"/>
      <c r="BP102" s="64">
        <f t="shared" si="87"/>
        <v>0</v>
      </c>
      <c r="BQ102" s="28"/>
      <c r="BR102" s="28"/>
      <c r="BS102" s="65"/>
      <c r="BT102" s="64">
        <f t="shared" si="88"/>
        <v>0</v>
      </c>
      <c r="BU102" s="28"/>
      <c r="BV102" s="28"/>
      <c r="BW102" s="65"/>
      <c r="BX102" s="64">
        <f t="shared" si="89"/>
        <v>0</v>
      </c>
      <c r="BY102" s="28"/>
      <c r="BZ102" s="28"/>
      <c r="CA102" s="65"/>
      <c r="CB102" s="64">
        <f t="shared" si="90"/>
        <v>0</v>
      </c>
      <c r="CC102" s="28"/>
      <c r="CD102" s="28"/>
      <c r="CE102" s="65"/>
      <c r="CF102" s="64">
        <f t="shared" si="91"/>
        <v>0</v>
      </c>
      <c r="CG102" s="28"/>
      <c r="CH102" s="28"/>
      <c r="CI102" s="65"/>
      <c r="CJ102" s="64">
        <f t="shared" si="92"/>
        <v>0</v>
      </c>
      <c r="CK102" s="28"/>
      <c r="CL102" s="28"/>
      <c r="CM102" s="65"/>
      <c r="CN102" s="64">
        <f t="shared" si="93"/>
        <v>0</v>
      </c>
      <c r="CO102" s="28"/>
      <c r="CP102" s="28"/>
      <c r="CQ102" s="65"/>
      <c r="CR102" s="64">
        <f t="shared" si="94"/>
        <v>0</v>
      </c>
      <c r="CS102" s="28"/>
      <c r="CT102" s="28"/>
      <c r="CU102" s="65"/>
      <c r="CV102" s="64">
        <f t="shared" si="95"/>
        <v>0</v>
      </c>
      <c r="CW102" s="28"/>
      <c r="CX102" s="28"/>
      <c r="CY102" s="65"/>
      <c r="CZ102" s="64">
        <f t="shared" si="96"/>
        <v>0</v>
      </c>
      <c r="DA102" s="28"/>
      <c r="DB102" s="28"/>
      <c r="DC102" s="65"/>
      <c r="DD102" s="64">
        <f t="shared" si="97"/>
        <v>0</v>
      </c>
      <c r="DE102" s="28"/>
      <c r="DF102" s="28"/>
      <c r="DG102" s="65"/>
      <c r="DH102" s="64">
        <f t="shared" si="98"/>
        <v>0</v>
      </c>
      <c r="DI102" s="28"/>
      <c r="DJ102" s="28"/>
      <c r="DK102" s="65"/>
      <c r="DL102" s="64">
        <f t="shared" si="99"/>
        <v>0</v>
      </c>
      <c r="DM102" s="28"/>
      <c r="DN102" s="28"/>
      <c r="DO102" s="65"/>
      <c r="DP102" s="64">
        <f t="shared" si="100"/>
        <v>0</v>
      </c>
      <c r="DQ102" s="28"/>
      <c r="DR102" s="28"/>
      <c r="DS102" s="65"/>
      <c r="DT102" s="64">
        <f t="shared" si="101"/>
        <v>0</v>
      </c>
      <c r="DU102" s="28"/>
      <c r="DV102" s="28"/>
      <c r="DW102" s="65"/>
      <c r="DX102" s="30">
        <f t="shared" si="102"/>
        <v>0</v>
      </c>
      <c r="DY102" s="31">
        <f t="shared" si="103"/>
        <v>6122</v>
      </c>
      <c r="DZ102" s="31">
        <f t="shared" si="104"/>
        <v>6122</v>
      </c>
      <c r="EA102" s="4">
        <f t="shared" si="105"/>
        <v>0</v>
      </c>
      <c r="EB102" s="9">
        <f>D102*'MASTER SHEET'!D102</f>
        <v>0</v>
      </c>
      <c r="EC102" s="9">
        <f>H102*'MASTER SHEET'!D102</f>
        <v>0</v>
      </c>
      <c r="ED102" s="9">
        <f>L102*'MASTER SHEET'!D102</f>
        <v>0</v>
      </c>
      <c r="EE102" s="9">
        <f>P102*'MASTER SHEET'!D102</f>
        <v>0</v>
      </c>
      <c r="EF102" s="9">
        <f>T102*'MASTER SHEET'!D102</f>
        <v>0</v>
      </c>
      <c r="EG102" s="9">
        <f>X102*'MASTER SHEET'!D102</f>
        <v>0</v>
      </c>
      <c r="EH102" s="9">
        <f>AB102*'MASTER SHEET'!D102</f>
        <v>0</v>
      </c>
      <c r="EI102" s="9">
        <f>AF102*'MASTER SHEET'!D102</f>
        <v>0</v>
      </c>
      <c r="EJ102" s="9">
        <f>AJ102*'MASTER SHEET'!D102</f>
        <v>0</v>
      </c>
      <c r="EK102" s="9">
        <f>AN102*'MASTER SHEET'!D102</f>
        <v>0</v>
      </c>
      <c r="EL102" s="9">
        <f>AR102*'MASTER SHEET'!D102</f>
        <v>0</v>
      </c>
      <c r="EM102" s="9">
        <f>AV102*'MASTER SHEET'!D102</f>
        <v>0</v>
      </c>
      <c r="EN102" s="9">
        <f>AZ102*'MASTER SHEET'!D102</f>
        <v>0</v>
      </c>
      <c r="EO102" s="9">
        <f>BD102*'MASTER SHEET'!D102</f>
        <v>0</v>
      </c>
      <c r="EP102" s="9">
        <f>BH102*'MASTER SHEET'!D102</f>
        <v>0</v>
      </c>
      <c r="EQ102" s="9">
        <f>BL102*'MASTER SHEET'!D102</f>
        <v>0</v>
      </c>
      <c r="ER102" s="9">
        <f>BP102*'MASTER SHEET'!D102</f>
        <v>0</v>
      </c>
      <c r="ES102" s="9">
        <f>BT102*'MASTER SHEET'!D102</f>
        <v>0</v>
      </c>
      <c r="ET102" s="9">
        <f>BX102*'MASTER SHEET'!D102</f>
        <v>0</v>
      </c>
      <c r="EU102" s="9">
        <f>CB102*'MASTER SHEET'!D102</f>
        <v>0</v>
      </c>
      <c r="EV102" s="9">
        <f>CF102*'MASTER SHEET'!D102</f>
        <v>0</v>
      </c>
      <c r="EW102" s="9">
        <f>CJ102*'MASTER SHEET'!D102</f>
        <v>0</v>
      </c>
      <c r="EX102" s="9">
        <f>CN102*'MASTER SHEET'!D102</f>
        <v>0</v>
      </c>
      <c r="EY102" s="9">
        <f>CV102*'MASTER SHEET'!D102</f>
        <v>0</v>
      </c>
      <c r="EZ102" s="9">
        <f>CV102*'MASTER SHEET'!D102</f>
        <v>0</v>
      </c>
      <c r="FA102" s="9">
        <f>CZ102*'MASTER SHEET'!D102</f>
        <v>0</v>
      </c>
      <c r="FB102" s="9">
        <f>DD102*'MASTER SHEET'!D102</f>
        <v>0</v>
      </c>
      <c r="FC102" s="9">
        <f>DH102*'MASTER SHEET'!D102</f>
        <v>0</v>
      </c>
      <c r="FD102" s="9">
        <f>DL102*'MASTER SHEET'!D102</f>
        <v>0</v>
      </c>
      <c r="FE102" s="9">
        <f>DP102*'MASTER SHEET'!D102</f>
        <v>0</v>
      </c>
      <c r="FF102" s="9">
        <f>DT102*'MASTER SHEET'!D102</f>
        <v>0</v>
      </c>
      <c r="FG102" s="9">
        <f>DX102*'MASTER SHEET'!D102</f>
        <v>0</v>
      </c>
    </row>
    <row r="103" spans="1:163" ht="20.25" x14ac:dyDescent="0.25">
      <c r="A103" s="43">
        <f>'MASTER SHEET'!A103</f>
        <v>101</v>
      </c>
      <c r="B103" s="26" t="str">
        <f>'MASTER SHEET'!B103</f>
        <v>END Plate</v>
      </c>
      <c r="C103" s="82">
        <f>'MASTER SHEET'!C103</f>
        <v>5014444</v>
      </c>
      <c r="D103" s="170">
        <f>500+2982</f>
        <v>3482</v>
      </c>
      <c r="E103" s="28"/>
      <c r="F103" s="28">
        <v>1100</v>
      </c>
      <c r="G103" s="65"/>
      <c r="H103" s="64">
        <f t="shared" si="72"/>
        <v>2382</v>
      </c>
      <c r="I103" s="28"/>
      <c r="J103" s="28">
        <v>400</v>
      </c>
      <c r="K103" s="65"/>
      <c r="L103" s="64">
        <f t="shared" si="73"/>
        <v>1982</v>
      </c>
      <c r="M103" s="28"/>
      <c r="N103" s="28"/>
      <c r="O103" s="65"/>
      <c r="P103" s="64">
        <f t="shared" si="74"/>
        <v>1982</v>
      </c>
      <c r="Q103" s="28">
        <v>700</v>
      </c>
      <c r="R103" s="28"/>
      <c r="S103" s="65">
        <v>287</v>
      </c>
      <c r="T103" s="64">
        <f t="shared" si="75"/>
        <v>2395</v>
      </c>
      <c r="U103" s="28"/>
      <c r="V103" s="28"/>
      <c r="W103" s="65"/>
      <c r="X103" s="64">
        <f t="shared" si="76"/>
        <v>2395</v>
      </c>
      <c r="Y103" s="28"/>
      <c r="Z103" s="28"/>
      <c r="AA103" s="65"/>
      <c r="AB103" s="64">
        <f t="shared" si="77"/>
        <v>2395</v>
      </c>
      <c r="AC103" s="28">
        <v>1750</v>
      </c>
      <c r="AD103" s="28">
        <v>600</v>
      </c>
      <c r="AE103" s="65"/>
      <c r="AF103" s="64">
        <f t="shared" si="78"/>
        <v>3545</v>
      </c>
      <c r="AG103" s="28">
        <v>1000</v>
      </c>
      <c r="AH103" s="28">
        <v>500</v>
      </c>
      <c r="AI103" s="65"/>
      <c r="AJ103" s="64">
        <f t="shared" si="79"/>
        <v>4045</v>
      </c>
      <c r="AK103" s="28">
        <v>3600</v>
      </c>
      <c r="AL103" s="28">
        <v>1500</v>
      </c>
      <c r="AM103" s="65"/>
      <c r="AN103" s="64">
        <f t="shared" si="80"/>
        <v>6145</v>
      </c>
      <c r="AO103" s="28">
        <v>1650</v>
      </c>
      <c r="AP103" s="28">
        <v>2000</v>
      </c>
      <c r="AQ103" s="65"/>
      <c r="AR103" s="64">
        <f t="shared" si="81"/>
        <v>5795</v>
      </c>
      <c r="AS103" s="28">
        <v>1500</v>
      </c>
      <c r="AT103" s="155">
        <v>2000</v>
      </c>
      <c r="AU103" s="156">
        <f>195+98</f>
        <v>293</v>
      </c>
      <c r="AV103" s="64">
        <f t="shared" si="82"/>
        <v>5002</v>
      </c>
      <c r="AW103" s="28"/>
      <c r="AX103" s="151"/>
      <c r="AY103" s="65"/>
      <c r="AZ103" s="64">
        <f t="shared" si="83"/>
        <v>5002</v>
      </c>
      <c r="BA103" s="28"/>
      <c r="BB103" s="28">
        <v>2000</v>
      </c>
      <c r="BC103" s="65"/>
      <c r="BD103" s="64">
        <f t="shared" si="84"/>
        <v>3002</v>
      </c>
      <c r="BE103" s="28">
        <v>1700</v>
      </c>
      <c r="BF103" s="28">
        <v>2324</v>
      </c>
      <c r="BG103" s="65">
        <v>478</v>
      </c>
      <c r="BH103" s="64">
        <f t="shared" si="85"/>
        <v>1900</v>
      </c>
      <c r="BI103" s="28">
        <v>1000</v>
      </c>
      <c r="BJ103" s="28">
        <v>1000</v>
      </c>
      <c r="BK103" s="65"/>
      <c r="BL103" s="64">
        <f t="shared" si="86"/>
        <v>1900</v>
      </c>
      <c r="BM103" s="28"/>
      <c r="BN103" s="28">
        <v>700</v>
      </c>
      <c r="BO103" s="65"/>
      <c r="BP103" s="64">
        <f t="shared" si="87"/>
        <v>1200</v>
      </c>
      <c r="BQ103" s="28">
        <f>600+250</f>
        <v>850</v>
      </c>
      <c r="BR103" s="28">
        <v>1350</v>
      </c>
      <c r="BS103" s="65">
        <v>345</v>
      </c>
      <c r="BT103" s="64">
        <f t="shared" si="88"/>
        <v>355</v>
      </c>
      <c r="BU103" s="28">
        <v>1950</v>
      </c>
      <c r="BV103" s="28">
        <v>800</v>
      </c>
      <c r="BW103" s="65"/>
      <c r="BX103" s="64">
        <f t="shared" si="89"/>
        <v>1505</v>
      </c>
      <c r="BY103" s="28"/>
      <c r="BZ103" s="28"/>
      <c r="CA103" s="65"/>
      <c r="CB103" s="64">
        <f t="shared" si="90"/>
        <v>1505</v>
      </c>
      <c r="CC103" s="28">
        <v>3750</v>
      </c>
      <c r="CD103" s="28">
        <v>1839</v>
      </c>
      <c r="CE103" s="65">
        <v>268</v>
      </c>
      <c r="CF103" s="64">
        <f t="shared" si="91"/>
        <v>3148</v>
      </c>
      <c r="CG103" s="28">
        <v>2500</v>
      </c>
      <c r="CH103" s="28">
        <v>1500</v>
      </c>
      <c r="CI103" s="65"/>
      <c r="CJ103" s="64">
        <f t="shared" si="92"/>
        <v>4148</v>
      </c>
      <c r="CK103" s="28">
        <v>2500</v>
      </c>
      <c r="CL103" s="28">
        <v>2500</v>
      </c>
      <c r="CM103" s="65"/>
      <c r="CN103" s="64">
        <f t="shared" si="93"/>
        <v>4148</v>
      </c>
      <c r="CO103" s="28">
        <v>3000</v>
      </c>
      <c r="CP103" s="28">
        <v>2210</v>
      </c>
      <c r="CQ103" s="65"/>
      <c r="CR103" s="64">
        <f t="shared" si="94"/>
        <v>4938</v>
      </c>
      <c r="CS103" s="28">
        <v>3000</v>
      </c>
      <c r="CT103" s="28">
        <v>2000</v>
      </c>
      <c r="CU103" s="65">
        <v>190</v>
      </c>
      <c r="CV103" s="64">
        <f t="shared" si="95"/>
        <v>5748</v>
      </c>
      <c r="CW103" s="28">
        <v>3000</v>
      </c>
      <c r="CX103" s="28">
        <v>3152</v>
      </c>
      <c r="CY103" s="65"/>
      <c r="CZ103" s="64">
        <f t="shared" si="96"/>
        <v>5596</v>
      </c>
      <c r="DA103" s="28"/>
      <c r="DB103" s="28">
        <v>500</v>
      </c>
      <c r="DC103" s="65"/>
      <c r="DD103" s="64">
        <f t="shared" si="97"/>
        <v>5096</v>
      </c>
      <c r="DE103" s="28">
        <v>3000</v>
      </c>
      <c r="DF103" s="28">
        <v>2048</v>
      </c>
      <c r="DG103" s="65"/>
      <c r="DH103" s="64">
        <f t="shared" si="98"/>
        <v>6048</v>
      </c>
      <c r="DI103" s="28">
        <v>2750</v>
      </c>
      <c r="DJ103" s="28">
        <v>3344</v>
      </c>
      <c r="DK103" s="65"/>
      <c r="DL103" s="64">
        <f t="shared" si="99"/>
        <v>5454</v>
      </c>
      <c r="DM103" s="28">
        <v>3000</v>
      </c>
      <c r="DN103" s="28">
        <v>2000</v>
      </c>
      <c r="DO103" s="65"/>
      <c r="DP103" s="64">
        <f t="shared" si="100"/>
        <v>6454</v>
      </c>
      <c r="DQ103" s="28"/>
      <c r="DR103" s="28"/>
      <c r="DS103" s="65"/>
      <c r="DT103" s="64">
        <f t="shared" si="101"/>
        <v>6454</v>
      </c>
      <c r="DU103" s="28"/>
      <c r="DV103" s="28"/>
      <c r="DW103" s="65"/>
      <c r="DX103" s="30">
        <f t="shared" si="102"/>
        <v>6454</v>
      </c>
      <c r="DY103" s="31">
        <f>E103+I103+M103+Q103+U103+Y103+AC103+AG103+AK103+AO103+AS103+AW103+BA103+BE103+BI103+BM103+BQ103+BU103+BY103+CC103+CG103+CK103+CO103+CS103+CW103+DA103+DE103+DI103+DM103+DQ103+DU103</f>
        <v>42200</v>
      </c>
      <c r="DZ103" s="31">
        <f t="shared" si="104"/>
        <v>37367</v>
      </c>
      <c r="EA103" s="4">
        <f t="shared" si="105"/>
        <v>1861</v>
      </c>
      <c r="EB103" s="9">
        <f>D103*'MASTER SHEET'!D103</f>
        <v>48330.16</v>
      </c>
      <c r="EC103" s="9">
        <f>H103*'MASTER SHEET'!D103</f>
        <v>33062.160000000003</v>
      </c>
      <c r="ED103" s="9">
        <f>L103*'MASTER SHEET'!D103</f>
        <v>27510.16</v>
      </c>
      <c r="EE103" s="9">
        <f>P103*'MASTER SHEET'!D103</f>
        <v>27510.16</v>
      </c>
      <c r="EF103" s="9">
        <f>T103*'MASTER SHEET'!D103</f>
        <v>33242.6</v>
      </c>
      <c r="EG103" s="9">
        <f>X103*'MASTER SHEET'!D103</f>
        <v>33242.6</v>
      </c>
      <c r="EH103" s="9">
        <f>AB103*'MASTER SHEET'!D103</f>
        <v>33242.6</v>
      </c>
      <c r="EI103" s="9">
        <f>AF103*'MASTER SHEET'!D103</f>
        <v>49204.600000000006</v>
      </c>
      <c r="EJ103" s="9">
        <f>AJ103*'MASTER SHEET'!D103</f>
        <v>56144.600000000006</v>
      </c>
      <c r="EK103" s="9">
        <f>AN103*'MASTER SHEET'!D103</f>
        <v>85292.6</v>
      </c>
      <c r="EL103" s="9">
        <f>AR103*'MASTER SHEET'!D103</f>
        <v>80434.600000000006</v>
      </c>
      <c r="EM103" s="9">
        <f>AV103*'MASTER SHEET'!D103</f>
        <v>69427.760000000009</v>
      </c>
      <c r="EN103" s="9">
        <f>AZ103*'MASTER SHEET'!D103</f>
        <v>69427.760000000009</v>
      </c>
      <c r="EO103" s="9">
        <f>BD103*'MASTER SHEET'!D103</f>
        <v>41667.760000000002</v>
      </c>
      <c r="EP103" s="9">
        <f>BH103*'MASTER SHEET'!D103</f>
        <v>26372</v>
      </c>
      <c r="EQ103" s="9">
        <f>BL103*'MASTER SHEET'!D103</f>
        <v>26372</v>
      </c>
      <c r="ER103" s="9">
        <f>BP103*'MASTER SHEET'!D103</f>
        <v>16656</v>
      </c>
      <c r="ES103" s="9">
        <f>BT103*'MASTER SHEET'!D103</f>
        <v>4927.4000000000005</v>
      </c>
      <c r="ET103" s="9">
        <f>BX103*'MASTER SHEET'!D103</f>
        <v>20889.400000000001</v>
      </c>
      <c r="EU103" s="9">
        <f>CB103*'MASTER SHEET'!D103</f>
        <v>20889.400000000001</v>
      </c>
      <c r="EV103" s="9">
        <f>CF103*'MASTER SHEET'!D103</f>
        <v>43694.240000000005</v>
      </c>
      <c r="EW103" s="9">
        <f>CJ103*'MASTER SHEET'!D103</f>
        <v>57574.240000000005</v>
      </c>
      <c r="EX103" s="9">
        <f>CN103*'MASTER SHEET'!D103</f>
        <v>57574.240000000005</v>
      </c>
      <c r="EY103" s="9">
        <f>CV103*'MASTER SHEET'!D103</f>
        <v>79782.240000000005</v>
      </c>
      <c r="EZ103" s="9">
        <f>CV103*'MASTER SHEET'!D103</f>
        <v>79782.240000000005</v>
      </c>
      <c r="FA103" s="9">
        <f>CZ103*'MASTER SHEET'!D103</f>
        <v>77672.48000000001</v>
      </c>
      <c r="FB103" s="9">
        <f>DD103*'MASTER SHEET'!D103</f>
        <v>70732.48000000001</v>
      </c>
      <c r="FC103" s="9">
        <f>DH103*'MASTER SHEET'!D103</f>
        <v>83946.240000000005</v>
      </c>
      <c r="FD103" s="9">
        <f>DL103*'MASTER SHEET'!D103</f>
        <v>75701.52</v>
      </c>
      <c r="FE103" s="9">
        <f>DP103*'MASTER SHEET'!D103</f>
        <v>89581.52</v>
      </c>
      <c r="FF103" s="9">
        <f>DT103*'MASTER SHEET'!D103</f>
        <v>89581.52</v>
      </c>
      <c r="FG103" s="9">
        <f>DX103*'MASTER SHEET'!D103</f>
        <v>89581.52</v>
      </c>
    </row>
    <row r="104" spans="1:163" ht="20.25" x14ac:dyDescent="0.25">
      <c r="A104" s="43">
        <f>'MASTER SHEET'!A104</f>
        <v>102</v>
      </c>
      <c r="B104" s="26" t="str">
        <f>'MASTER SHEET'!B104</f>
        <v>INNER RING PLASTIC</v>
      </c>
      <c r="C104" s="82">
        <f>'MASTER SHEET'!C104</f>
        <v>5046070</v>
      </c>
      <c r="D104" s="64"/>
      <c r="E104" s="28"/>
      <c r="F104" s="28"/>
      <c r="G104" s="65"/>
      <c r="H104" s="64">
        <f t="shared" si="72"/>
        <v>0</v>
      </c>
      <c r="I104" s="28"/>
      <c r="J104" s="28"/>
      <c r="K104" s="65"/>
      <c r="L104" s="64">
        <f t="shared" si="73"/>
        <v>0</v>
      </c>
      <c r="M104" s="28"/>
      <c r="N104" s="28"/>
      <c r="O104" s="65"/>
      <c r="P104" s="64">
        <f t="shared" si="74"/>
        <v>0</v>
      </c>
      <c r="Q104" s="28"/>
      <c r="R104" s="28"/>
      <c r="S104" s="65"/>
      <c r="T104" s="64">
        <f t="shared" si="75"/>
        <v>0</v>
      </c>
      <c r="U104" s="28"/>
      <c r="V104" s="28"/>
      <c r="W104" s="65"/>
      <c r="X104" s="64">
        <f t="shared" si="76"/>
        <v>0</v>
      </c>
      <c r="Y104" s="28"/>
      <c r="Z104" s="28"/>
      <c r="AA104" s="65"/>
      <c r="AB104" s="64">
        <f t="shared" si="77"/>
        <v>0</v>
      </c>
      <c r="AC104" s="28"/>
      <c r="AD104" s="28"/>
      <c r="AE104" s="65"/>
      <c r="AF104" s="64">
        <f t="shared" si="78"/>
        <v>0</v>
      </c>
      <c r="AG104" s="28"/>
      <c r="AH104" s="28"/>
      <c r="AI104" s="65"/>
      <c r="AJ104" s="64">
        <f t="shared" si="79"/>
        <v>0</v>
      </c>
      <c r="AK104" s="28"/>
      <c r="AL104" s="28"/>
      <c r="AM104" s="65"/>
      <c r="AN104" s="64">
        <f t="shared" si="80"/>
        <v>0</v>
      </c>
      <c r="AO104" s="28"/>
      <c r="AP104" s="28"/>
      <c r="AQ104" s="65"/>
      <c r="AR104" s="64">
        <f t="shared" si="81"/>
        <v>0</v>
      </c>
      <c r="AS104" s="28"/>
      <c r="AT104" s="28"/>
      <c r="AU104" s="65"/>
      <c r="AV104" s="64">
        <f t="shared" si="82"/>
        <v>0</v>
      </c>
      <c r="AW104" s="28"/>
      <c r="AX104" s="28"/>
      <c r="AY104" s="65"/>
      <c r="AZ104" s="64">
        <f t="shared" si="83"/>
        <v>0</v>
      </c>
      <c r="BA104" s="28"/>
      <c r="BB104" s="28"/>
      <c r="BC104" s="65"/>
      <c r="BD104" s="64">
        <f t="shared" si="84"/>
        <v>0</v>
      </c>
      <c r="BE104" s="28"/>
      <c r="BF104" s="28"/>
      <c r="BG104" s="65"/>
      <c r="BH104" s="64">
        <f t="shared" si="85"/>
        <v>0</v>
      </c>
      <c r="BI104" s="28"/>
      <c r="BJ104" s="28"/>
      <c r="BK104" s="65"/>
      <c r="BL104" s="64">
        <f t="shared" si="86"/>
        <v>0</v>
      </c>
      <c r="BM104" s="28"/>
      <c r="BN104" s="28"/>
      <c r="BO104" s="65"/>
      <c r="BP104" s="64">
        <f t="shared" si="87"/>
        <v>0</v>
      </c>
      <c r="BQ104" s="28"/>
      <c r="BR104" s="28"/>
      <c r="BS104" s="65"/>
      <c r="BT104" s="64">
        <f t="shared" si="88"/>
        <v>0</v>
      </c>
      <c r="BU104" s="28"/>
      <c r="BV104" s="28"/>
      <c r="BW104" s="65"/>
      <c r="BX104" s="64">
        <f t="shared" si="89"/>
        <v>0</v>
      </c>
      <c r="BY104" s="28"/>
      <c r="BZ104" s="28"/>
      <c r="CA104" s="65"/>
      <c r="CB104" s="64">
        <f t="shared" si="90"/>
        <v>0</v>
      </c>
      <c r="CC104" s="28"/>
      <c r="CD104" s="28"/>
      <c r="CE104" s="65"/>
      <c r="CF104" s="64">
        <f t="shared" si="91"/>
        <v>0</v>
      </c>
      <c r="CG104" s="28"/>
      <c r="CH104" s="28"/>
      <c r="CI104" s="65"/>
      <c r="CJ104" s="64">
        <f t="shared" si="92"/>
        <v>0</v>
      </c>
      <c r="CK104" s="28"/>
      <c r="CL104" s="28"/>
      <c r="CM104" s="65"/>
      <c r="CN104" s="64">
        <f t="shared" si="93"/>
        <v>0</v>
      </c>
      <c r="CO104" s="28"/>
      <c r="CP104" s="28"/>
      <c r="CQ104" s="65"/>
      <c r="CR104" s="64">
        <f t="shared" si="94"/>
        <v>0</v>
      </c>
      <c r="CS104" s="28"/>
      <c r="CT104" s="28"/>
      <c r="CU104" s="65"/>
      <c r="CV104" s="64">
        <f t="shared" si="95"/>
        <v>0</v>
      </c>
      <c r="CW104" s="28"/>
      <c r="CX104" s="28"/>
      <c r="CY104" s="65"/>
      <c r="CZ104" s="64">
        <f t="shared" si="96"/>
        <v>0</v>
      </c>
      <c r="DA104" s="28"/>
      <c r="DB104" s="28"/>
      <c r="DC104" s="65"/>
      <c r="DD104" s="64">
        <f t="shared" si="97"/>
        <v>0</v>
      </c>
      <c r="DE104" s="28"/>
      <c r="DF104" s="28"/>
      <c r="DG104" s="65"/>
      <c r="DH104" s="64">
        <f t="shared" si="98"/>
        <v>0</v>
      </c>
      <c r="DI104" s="28"/>
      <c r="DJ104" s="28"/>
      <c r="DK104" s="65"/>
      <c r="DL104" s="64">
        <f t="shared" si="99"/>
        <v>0</v>
      </c>
      <c r="DM104" s="28"/>
      <c r="DN104" s="28"/>
      <c r="DO104" s="65"/>
      <c r="DP104" s="64">
        <f t="shared" si="100"/>
        <v>0</v>
      </c>
      <c r="DQ104" s="28"/>
      <c r="DR104" s="28"/>
      <c r="DS104" s="65"/>
      <c r="DT104" s="64">
        <f t="shared" si="101"/>
        <v>0</v>
      </c>
      <c r="DU104" s="28"/>
      <c r="DV104" s="28"/>
      <c r="DW104" s="65"/>
      <c r="DX104" s="30">
        <f t="shared" si="102"/>
        <v>0</v>
      </c>
      <c r="DY104" s="31">
        <f t="shared" si="103"/>
        <v>0</v>
      </c>
      <c r="DZ104" s="31">
        <f t="shared" si="104"/>
        <v>0</v>
      </c>
      <c r="EA104" s="4">
        <f t="shared" si="105"/>
        <v>0</v>
      </c>
      <c r="EB104" s="9">
        <f>D104*'MASTER SHEET'!D104</f>
        <v>0</v>
      </c>
      <c r="EC104" s="9">
        <f>H104*'MASTER SHEET'!D104</f>
        <v>0</v>
      </c>
      <c r="ED104" s="9">
        <f>L104*'MASTER SHEET'!D104</f>
        <v>0</v>
      </c>
      <c r="EE104" s="9">
        <f>P104*'MASTER SHEET'!D104</f>
        <v>0</v>
      </c>
      <c r="EF104" s="9">
        <f>T104*'MASTER SHEET'!D104</f>
        <v>0</v>
      </c>
      <c r="EG104" s="9">
        <f>X104*'MASTER SHEET'!D104</f>
        <v>0</v>
      </c>
      <c r="EH104" s="9">
        <f>AB104*'MASTER SHEET'!D104</f>
        <v>0</v>
      </c>
      <c r="EI104" s="9">
        <f>AF104*'MASTER SHEET'!D104</f>
        <v>0</v>
      </c>
      <c r="EJ104" s="9">
        <f>AJ104*'MASTER SHEET'!D104</f>
        <v>0</v>
      </c>
      <c r="EK104" s="9">
        <f>AN104*'MASTER SHEET'!D104</f>
        <v>0</v>
      </c>
      <c r="EL104" s="9">
        <f>AR104*'MASTER SHEET'!D104</f>
        <v>0</v>
      </c>
      <c r="EM104" s="9">
        <f>AV104*'MASTER SHEET'!D104</f>
        <v>0</v>
      </c>
      <c r="EN104" s="9">
        <f>AZ104*'MASTER SHEET'!D104</f>
        <v>0</v>
      </c>
      <c r="EO104" s="9">
        <f>BD104*'MASTER SHEET'!D104</f>
        <v>0</v>
      </c>
      <c r="EP104" s="9">
        <f>BH104*'MASTER SHEET'!D104</f>
        <v>0</v>
      </c>
      <c r="EQ104" s="9">
        <f>BL104*'MASTER SHEET'!D104</f>
        <v>0</v>
      </c>
      <c r="ER104" s="9">
        <f>BP104*'MASTER SHEET'!D104</f>
        <v>0</v>
      </c>
      <c r="ES104" s="9">
        <f>BT104*'MASTER SHEET'!D104</f>
        <v>0</v>
      </c>
      <c r="ET104" s="9">
        <f>BX104*'MASTER SHEET'!D104</f>
        <v>0</v>
      </c>
      <c r="EU104" s="9">
        <f>CB104*'MASTER SHEET'!D104</f>
        <v>0</v>
      </c>
      <c r="EV104" s="9">
        <f>CF104*'MASTER SHEET'!D104</f>
        <v>0</v>
      </c>
      <c r="EW104" s="9">
        <f>CJ104*'MASTER SHEET'!D104</f>
        <v>0</v>
      </c>
      <c r="EX104" s="9">
        <f>CN104*'MASTER SHEET'!D104</f>
        <v>0</v>
      </c>
      <c r="EY104" s="9">
        <f>CV104*'MASTER SHEET'!D104</f>
        <v>0</v>
      </c>
      <c r="EZ104" s="9">
        <f>CV104*'MASTER SHEET'!D104</f>
        <v>0</v>
      </c>
      <c r="FA104" s="9">
        <f>CZ104*'MASTER SHEET'!D104</f>
        <v>0</v>
      </c>
      <c r="FB104" s="9">
        <f>DD104*'MASTER SHEET'!D104</f>
        <v>0</v>
      </c>
      <c r="FC104" s="9">
        <f>DH104*'MASTER SHEET'!D104</f>
        <v>0</v>
      </c>
      <c r="FD104" s="9">
        <f>DL104*'MASTER SHEET'!D104</f>
        <v>0</v>
      </c>
      <c r="FE104" s="9">
        <f>DP104*'MASTER SHEET'!D104</f>
        <v>0</v>
      </c>
      <c r="FF104" s="9">
        <f>DT104*'MASTER SHEET'!D104</f>
        <v>0</v>
      </c>
      <c r="FG104" s="9">
        <f>DX104*'MASTER SHEET'!D104</f>
        <v>0</v>
      </c>
    </row>
    <row r="105" spans="1:163" ht="20.25" x14ac:dyDescent="0.25">
      <c r="A105" s="43">
        <f>'MASTER SHEET'!A105</f>
        <v>103</v>
      </c>
      <c r="B105" s="26" t="str">
        <f>'MASTER SHEET'!B105</f>
        <v>TOP COVER</v>
      </c>
      <c r="C105" s="82">
        <f>'MASTER SHEET'!C105</f>
        <v>5060364</v>
      </c>
      <c r="D105" s="64"/>
      <c r="E105" s="28"/>
      <c r="F105" s="28"/>
      <c r="G105" s="65"/>
      <c r="H105" s="64">
        <f t="shared" si="72"/>
        <v>0</v>
      </c>
      <c r="I105" s="28"/>
      <c r="J105" s="28"/>
      <c r="K105" s="65"/>
      <c r="L105" s="64">
        <f t="shared" si="73"/>
        <v>0</v>
      </c>
      <c r="M105" s="28"/>
      <c r="N105" s="28"/>
      <c r="O105" s="65"/>
      <c r="P105" s="64">
        <f t="shared" si="74"/>
        <v>0</v>
      </c>
      <c r="Q105" s="28"/>
      <c r="R105" s="28"/>
      <c r="S105" s="65"/>
      <c r="T105" s="64">
        <f t="shared" si="75"/>
        <v>0</v>
      </c>
      <c r="U105" s="28"/>
      <c r="V105" s="28"/>
      <c r="W105" s="65"/>
      <c r="X105" s="64">
        <f t="shared" si="76"/>
        <v>0</v>
      </c>
      <c r="Y105" s="28"/>
      <c r="Z105" s="28"/>
      <c r="AA105" s="65"/>
      <c r="AB105" s="64">
        <f t="shared" si="77"/>
        <v>0</v>
      </c>
      <c r="AC105" s="28"/>
      <c r="AD105" s="28"/>
      <c r="AE105" s="65"/>
      <c r="AF105" s="64">
        <f t="shared" si="78"/>
        <v>0</v>
      </c>
      <c r="AG105" s="28"/>
      <c r="AH105" s="28"/>
      <c r="AI105" s="65"/>
      <c r="AJ105" s="64">
        <f t="shared" si="79"/>
        <v>0</v>
      </c>
      <c r="AK105" s="28"/>
      <c r="AL105" s="28"/>
      <c r="AM105" s="65"/>
      <c r="AN105" s="64">
        <f t="shared" si="80"/>
        <v>0</v>
      </c>
      <c r="AO105" s="28"/>
      <c r="AP105" s="28"/>
      <c r="AQ105" s="65"/>
      <c r="AR105" s="64">
        <f t="shared" si="81"/>
        <v>0</v>
      </c>
      <c r="AS105" s="28"/>
      <c r="AT105" s="28"/>
      <c r="AU105" s="65"/>
      <c r="AV105" s="64">
        <f t="shared" si="82"/>
        <v>0</v>
      </c>
      <c r="AW105" s="28"/>
      <c r="AX105" s="28"/>
      <c r="AY105" s="65"/>
      <c r="AZ105" s="64">
        <f t="shared" si="83"/>
        <v>0</v>
      </c>
      <c r="BA105" s="28"/>
      <c r="BB105" s="28"/>
      <c r="BC105" s="65"/>
      <c r="BD105" s="64">
        <f t="shared" si="84"/>
        <v>0</v>
      </c>
      <c r="BE105" s="28"/>
      <c r="BF105" s="28"/>
      <c r="BG105" s="65"/>
      <c r="BH105" s="64">
        <f t="shared" si="85"/>
        <v>0</v>
      </c>
      <c r="BI105" s="28"/>
      <c r="BJ105" s="28"/>
      <c r="BK105" s="65"/>
      <c r="BL105" s="64">
        <f t="shared" si="86"/>
        <v>0</v>
      </c>
      <c r="BM105" s="28"/>
      <c r="BN105" s="28"/>
      <c r="BO105" s="65"/>
      <c r="BP105" s="64">
        <f t="shared" si="87"/>
        <v>0</v>
      </c>
      <c r="BQ105" s="28"/>
      <c r="BR105" s="28"/>
      <c r="BS105" s="65"/>
      <c r="BT105" s="64">
        <f t="shared" si="88"/>
        <v>0</v>
      </c>
      <c r="BU105" s="28"/>
      <c r="BV105" s="28"/>
      <c r="BW105" s="65"/>
      <c r="BX105" s="64">
        <f t="shared" si="89"/>
        <v>0</v>
      </c>
      <c r="BY105" s="28"/>
      <c r="BZ105" s="28"/>
      <c r="CA105" s="65"/>
      <c r="CB105" s="64">
        <f t="shared" si="90"/>
        <v>0</v>
      </c>
      <c r="CC105" s="28"/>
      <c r="CD105" s="28"/>
      <c r="CE105" s="65"/>
      <c r="CF105" s="64">
        <f t="shared" si="91"/>
        <v>0</v>
      </c>
      <c r="CG105" s="28"/>
      <c r="CH105" s="28"/>
      <c r="CI105" s="65"/>
      <c r="CJ105" s="64">
        <f t="shared" si="92"/>
        <v>0</v>
      </c>
      <c r="CK105" s="28"/>
      <c r="CL105" s="28"/>
      <c r="CM105" s="65"/>
      <c r="CN105" s="64">
        <f t="shared" si="93"/>
        <v>0</v>
      </c>
      <c r="CO105" s="28"/>
      <c r="CP105" s="28"/>
      <c r="CQ105" s="65"/>
      <c r="CR105" s="64">
        <f t="shared" si="94"/>
        <v>0</v>
      </c>
      <c r="CS105" s="28"/>
      <c r="CT105" s="28"/>
      <c r="CU105" s="65"/>
      <c r="CV105" s="64">
        <f t="shared" si="95"/>
        <v>0</v>
      </c>
      <c r="CW105" s="28"/>
      <c r="CX105" s="28"/>
      <c r="CY105" s="65"/>
      <c r="CZ105" s="64">
        <f t="shared" si="96"/>
        <v>0</v>
      </c>
      <c r="DA105" s="28"/>
      <c r="DB105" s="28"/>
      <c r="DC105" s="65"/>
      <c r="DD105" s="64">
        <f t="shared" si="97"/>
        <v>0</v>
      </c>
      <c r="DE105" s="28"/>
      <c r="DF105" s="28"/>
      <c r="DG105" s="65"/>
      <c r="DH105" s="64">
        <f t="shared" si="98"/>
        <v>0</v>
      </c>
      <c r="DI105" s="28"/>
      <c r="DJ105" s="28"/>
      <c r="DK105" s="65"/>
      <c r="DL105" s="64">
        <f t="shared" si="99"/>
        <v>0</v>
      </c>
      <c r="DM105" s="28"/>
      <c r="DN105" s="28"/>
      <c r="DO105" s="65"/>
      <c r="DP105" s="64">
        <f t="shared" si="100"/>
        <v>0</v>
      </c>
      <c r="DQ105" s="28"/>
      <c r="DR105" s="28"/>
      <c r="DS105" s="65"/>
      <c r="DT105" s="64">
        <f t="shared" si="101"/>
        <v>0</v>
      </c>
      <c r="DU105" s="28"/>
      <c r="DV105" s="28"/>
      <c r="DW105" s="65"/>
      <c r="DX105" s="30">
        <f t="shared" si="102"/>
        <v>0</v>
      </c>
      <c r="DY105" s="31">
        <f t="shared" si="103"/>
        <v>0</v>
      </c>
      <c r="DZ105" s="31">
        <f t="shared" si="104"/>
        <v>0</v>
      </c>
      <c r="EA105" s="4">
        <f t="shared" si="105"/>
        <v>0</v>
      </c>
      <c r="EB105" s="9">
        <f>D105*'MASTER SHEET'!D105</f>
        <v>0</v>
      </c>
      <c r="EC105" s="9">
        <f>H105*'MASTER SHEET'!D105</f>
        <v>0</v>
      </c>
      <c r="ED105" s="9">
        <f>L105*'MASTER SHEET'!D105</f>
        <v>0</v>
      </c>
      <c r="EE105" s="9">
        <f>P105*'MASTER SHEET'!D105</f>
        <v>0</v>
      </c>
      <c r="EF105" s="9">
        <f>T105*'MASTER SHEET'!D105</f>
        <v>0</v>
      </c>
      <c r="EG105" s="9">
        <f>X105*'MASTER SHEET'!D105</f>
        <v>0</v>
      </c>
      <c r="EH105" s="9">
        <f>AB105*'MASTER SHEET'!D105</f>
        <v>0</v>
      </c>
      <c r="EI105" s="9">
        <f>AF105*'MASTER SHEET'!D105</f>
        <v>0</v>
      </c>
      <c r="EJ105" s="9">
        <f>AJ105*'MASTER SHEET'!D105</f>
        <v>0</v>
      </c>
      <c r="EK105" s="9">
        <f>AN105*'MASTER SHEET'!D105</f>
        <v>0</v>
      </c>
      <c r="EL105" s="9">
        <f>AR105*'MASTER SHEET'!D105</f>
        <v>0</v>
      </c>
      <c r="EM105" s="9">
        <f>AV105*'MASTER SHEET'!D105</f>
        <v>0</v>
      </c>
      <c r="EN105" s="9">
        <f>AZ105*'MASTER SHEET'!D105</f>
        <v>0</v>
      </c>
      <c r="EO105" s="9">
        <f>BD105*'MASTER SHEET'!D105</f>
        <v>0</v>
      </c>
      <c r="EP105" s="9">
        <f>BH105*'MASTER SHEET'!D105</f>
        <v>0</v>
      </c>
      <c r="EQ105" s="9">
        <f>BL105*'MASTER SHEET'!D105</f>
        <v>0</v>
      </c>
      <c r="ER105" s="9">
        <f>BP105*'MASTER SHEET'!D105</f>
        <v>0</v>
      </c>
      <c r="ES105" s="9">
        <f>BT105*'MASTER SHEET'!D105</f>
        <v>0</v>
      </c>
      <c r="ET105" s="9">
        <f>BX105*'MASTER SHEET'!D105</f>
        <v>0</v>
      </c>
      <c r="EU105" s="9">
        <f>CB105*'MASTER SHEET'!D105</f>
        <v>0</v>
      </c>
      <c r="EV105" s="9">
        <f>CF105*'MASTER SHEET'!D105</f>
        <v>0</v>
      </c>
      <c r="EW105" s="9">
        <f>CJ105*'MASTER SHEET'!D105</f>
        <v>0</v>
      </c>
      <c r="EX105" s="9">
        <f>CN105*'MASTER SHEET'!D105</f>
        <v>0</v>
      </c>
      <c r="EY105" s="9">
        <f>CV105*'MASTER SHEET'!D105</f>
        <v>0</v>
      </c>
      <c r="EZ105" s="9">
        <f>CV105*'MASTER SHEET'!D105</f>
        <v>0</v>
      </c>
      <c r="FA105" s="9">
        <f>CZ105*'MASTER SHEET'!D105</f>
        <v>0</v>
      </c>
      <c r="FB105" s="9">
        <f>DD105*'MASTER SHEET'!D105</f>
        <v>0</v>
      </c>
      <c r="FC105" s="9">
        <f>DH105*'MASTER SHEET'!D105</f>
        <v>0</v>
      </c>
      <c r="FD105" s="9">
        <f>DL105*'MASTER SHEET'!D105</f>
        <v>0</v>
      </c>
      <c r="FE105" s="9">
        <f>DP105*'MASTER SHEET'!D105</f>
        <v>0</v>
      </c>
      <c r="FF105" s="9">
        <f>DT105*'MASTER SHEET'!D105</f>
        <v>0</v>
      </c>
      <c r="FG105" s="9">
        <f>DX105*'MASTER SHEET'!D105</f>
        <v>0</v>
      </c>
    </row>
    <row r="106" spans="1:163" ht="20.25" x14ac:dyDescent="0.25">
      <c r="A106" s="43">
        <f>'MASTER SHEET'!A106</f>
        <v>104</v>
      </c>
      <c r="B106" s="26" t="str">
        <f>'MASTER SHEET'!B106</f>
        <v>LOUVER PLASTIC</v>
      </c>
      <c r="C106" s="82">
        <f>'MASTER SHEET'!C106</f>
        <v>5042399</v>
      </c>
      <c r="D106" s="64"/>
      <c r="E106" s="28"/>
      <c r="F106" s="28"/>
      <c r="G106" s="65"/>
      <c r="H106" s="64">
        <f t="shared" si="72"/>
        <v>0</v>
      </c>
      <c r="I106" s="28"/>
      <c r="J106" s="28"/>
      <c r="K106" s="65"/>
      <c r="L106" s="64">
        <f t="shared" si="73"/>
        <v>0</v>
      </c>
      <c r="M106" s="28"/>
      <c r="N106" s="28"/>
      <c r="O106" s="65"/>
      <c r="P106" s="64">
        <f t="shared" si="74"/>
        <v>0</v>
      </c>
      <c r="Q106" s="28"/>
      <c r="R106" s="28"/>
      <c r="S106" s="65"/>
      <c r="T106" s="64">
        <f t="shared" si="75"/>
        <v>0</v>
      </c>
      <c r="U106" s="28"/>
      <c r="V106" s="28"/>
      <c r="W106" s="65"/>
      <c r="X106" s="64">
        <f t="shared" si="76"/>
        <v>0</v>
      </c>
      <c r="Y106" s="28"/>
      <c r="Z106" s="28"/>
      <c r="AA106" s="65"/>
      <c r="AB106" s="64">
        <f t="shared" si="77"/>
        <v>0</v>
      </c>
      <c r="AC106" s="28"/>
      <c r="AD106" s="28"/>
      <c r="AE106" s="65"/>
      <c r="AF106" s="64">
        <f t="shared" si="78"/>
        <v>0</v>
      </c>
      <c r="AG106" s="28"/>
      <c r="AH106" s="28"/>
      <c r="AI106" s="65"/>
      <c r="AJ106" s="64">
        <f t="shared" si="79"/>
        <v>0</v>
      </c>
      <c r="AK106" s="28"/>
      <c r="AL106" s="28"/>
      <c r="AM106" s="65"/>
      <c r="AN106" s="64">
        <f t="shared" si="80"/>
        <v>0</v>
      </c>
      <c r="AO106" s="28"/>
      <c r="AP106" s="28"/>
      <c r="AQ106" s="65"/>
      <c r="AR106" s="64">
        <f t="shared" si="81"/>
        <v>0</v>
      </c>
      <c r="AS106" s="28"/>
      <c r="AT106" s="28"/>
      <c r="AU106" s="65"/>
      <c r="AV106" s="64">
        <f t="shared" si="82"/>
        <v>0</v>
      </c>
      <c r="AW106" s="28"/>
      <c r="AX106" s="28"/>
      <c r="AY106" s="65"/>
      <c r="AZ106" s="64">
        <f t="shared" si="83"/>
        <v>0</v>
      </c>
      <c r="BA106" s="28"/>
      <c r="BB106" s="28"/>
      <c r="BC106" s="65"/>
      <c r="BD106" s="64">
        <f t="shared" si="84"/>
        <v>0</v>
      </c>
      <c r="BE106" s="28"/>
      <c r="BF106" s="28"/>
      <c r="BG106" s="65"/>
      <c r="BH106" s="64">
        <f t="shared" si="85"/>
        <v>0</v>
      </c>
      <c r="BI106" s="28"/>
      <c r="BJ106" s="28"/>
      <c r="BK106" s="65"/>
      <c r="BL106" s="64">
        <f t="shared" si="86"/>
        <v>0</v>
      </c>
      <c r="BM106" s="28"/>
      <c r="BN106" s="28"/>
      <c r="BO106" s="65"/>
      <c r="BP106" s="64">
        <f t="shared" si="87"/>
        <v>0</v>
      </c>
      <c r="BQ106" s="28"/>
      <c r="BR106" s="28"/>
      <c r="BS106" s="65"/>
      <c r="BT106" s="64">
        <f t="shared" si="88"/>
        <v>0</v>
      </c>
      <c r="BU106" s="28"/>
      <c r="BV106" s="28"/>
      <c r="BW106" s="65"/>
      <c r="BX106" s="64">
        <f t="shared" si="89"/>
        <v>0</v>
      </c>
      <c r="BY106" s="28"/>
      <c r="BZ106" s="28"/>
      <c r="CA106" s="65"/>
      <c r="CB106" s="64">
        <f t="shared" si="90"/>
        <v>0</v>
      </c>
      <c r="CC106" s="28"/>
      <c r="CD106" s="28"/>
      <c r="CE106" s="65"/>
      <c r="CF106" s="64">
        <f t="shared" si="91"/>
        <v>0</v>
      </c>
      <c r="CG106" s="28"/>
      <c r="CH106" s="28"/>
      <c r="CI106" s="65"/>
      <c r="CJ106" s="64">
        <f t="shared" si="92"/>
        <v>0</v>
      </c>
      <c r="CK106" s="28"/>
      <c r="CL106" s="28"/>
      <c r="CM106" s="65"/>
      <c r="CN106" s="64">
        <f t="shared" si="93"/>
        <v>0</v>
      </c>
      <c r="CO106" s="28"/>
      <c r="CP106" s="28"/>
      <c r="CQ106" s="65"/>
      <c r="CR106" s="64">
        <f t="shared" si="94"/>
        <v>0</v>
      </c>
      <c r="CS106" s="28"/>
      <c r="CT106" s="28"/>
      <c r="CU106" s="65"/>
      <c r="CV106" s="64">
        <f t="shared" si="95"/>
        <v>0</v>
      </c>
      <c r="CW106" s="28"/>
      <c r="CX106" s="28"/>
      <c r="CY106" s="65"/>
      <c r="CZ106" s="64">
        <f t="shared" si="96"/>
        <v>0</v>
      </c>
      <c r="DA106" s="28"/>
      <c r="DB106" s="28"/>
      <c r="DC106" s="65"/>
      <c r="DD106" s="64">
        <f t="shared" si="97"/>
        <v>0</v>
      </c>
      <c r="DE106" s="28"/>
      <c r="DF106" s="28"/>
      <c r="DG106" s="65"/>
      <c r="DH106" s="64">
        <f t="shared" si="98"/>
        <v>0</v>
      </c>
      <c r="DI106" s="28"/>
      <c r="DJ106" s="28"/>
      <c r="DK106" s="65"/>
      <c r="DL106" s="64">
        <f t="shared" si="99"/>
        <v>0</v>
      </c>
      <c r="DM106" s="28"/>
      <c r="DN106" s="28"/>
      <c r="DO106" s="65"/>
      <c r="DP106" s="64">
        <f t="shared" si="100"/>
        <v>0</v>
      </c>
      <c r="DQ106" s="28"/>
      <c r="DR106" s="28"/>
      <c r="DS106" s="65"/>
      <c r="DT106" s="64">
        <f t="shared" si="101"/>
        <v>0</v>
      </c>
      <c r="DU106" s="28"/>
      <c r="DV106" s="28"/>
      <c r="DW106" s="65"/>
      <c r="DX106" s="30">
        <f t="shared" si="102"/>
        <v>0</v>
      </c>
      <c r="DY106" s="31">
        <f t="shared" si="103"/>
        <v>0</v>
      </c>
      <c r="DZ106" s="31">
        <f t="shared" si="104"/>
        <v>0</v>
      </c>
      <c r="EA106" s="4">
        <f t="shared" si="105"/>
        <v>0</v>
      </c>
      <c r="EB106" s="9">
        <f>D106*'MASTER SHEET'!D106</f>
        <v>0</v>
      </c>
      <c r="EC106" s="9">
        <f>H106*'MASTER SHEET'!D106</f>
        <v>0</v>
      </c>
      <c r="ED106" s="9">
        <f>L106*'MASTER SHEET'!D106</f>
        <v>0</v>
      </c>
      <c r="EE106" s="9">
        <f>P106*'MASTER SHEET'!D106</f>
        <v>0</v>
      </c>
      <c r="EF106" s="9">
        <f>T106*'MASTER SHEET'!D106</f>
        <v>0</v>
      </c>
      <c r="EG106" s="9">
        <f>X106*'MASTER SHEET'!D106</f>
        <v>0</v>
      </c>
      <c r="EH106" s="9">
        <f>AB106*'MASTER SHEET'!D106</f>
        <v>0</v>
      </c>
      <c r="EI106" s="9">
        <f>AF106*'MASTER SHEET'!D106</f>
        <v>0</v>
      </c>
      <c r="EJ106" s="9">
        <f>AJ106*'MASTER SHEET'!D106</f>
        <v>0</v>
      </c>
      <c r="EK106" s="9">
        <f>AN106*'MASTER SHEET'!D106</f>
        <v>0</v>
      </c>
      <c r="EL106" s="9">
        <f>AR106*'MASTER SHEET'!D106</f>
        <v>0</v>
      </c>
      <c r="EM106" s="9">
        <f>AV106*'MASTER SHEET'!D106</f>
        <v>0</v>
      </c>
      <c r="EN106" s="9">
        <f>AZ106*'MASTER SHEET'!D106</f>
        <v>0</v>
      </c>
      <c r="EO106" s="9">
        <f>BD106*'MASTER SHEET'!D106</f>
        <v>0</v>
      </c>
      <c r="EP106" s="9">
        <f>BH106*'MASTER SHEET'!D106</f>
        <v>0</v>
      </c>
      <c r="EQ106" s="9">
        <f>BL106*'MASTER SHEET'!D106</f>
        <v>0</v>
      </c>
      <c r="ER106" s="9">
        <f>BP106*'MASTER SHEET'!D106</f>
        <v>0</v>
      </c>
      <c r="ES106" s="9">
        <f>BT106*'MASTER SHEET'!D106</f>
        <v>0</v>
      </c>
      <c r="ET106" s="9">
        <f>BX106*'MASTER SHEET'!D106</f>
        <v>0</v>
      </c>
      <c r="EU106" s="9">
        <f>CB106*'MASTER SHEET'!D106</f>
        <v>0</v>
      </c>
      <c r="EV106" s="9">
        <f>CF106*'MASTER SHEET'!D106</f>
        <v>0</v>
      </c>
      <c r="EW106" s="9">
        <f>CJ106*'MASTER SHEET'!D106</f>
        <v>0</v>
      </c>
      <c r="EX106" s="9">
        <f>CN106*'MASTER SHEET'!D106</f>
        <v>0</v>
      </c>
      <c r="EY106" s="9">
        <f>CV106*'MASTER SHEET'!D106</f>
        <v>0</v>
      </c>
      <c r="EZ106" s="9">
        <f>CV106*'MASTER SHEET'!D106</f>
        <v>0</v>
      </c>
      <c r="FA106" s="9">
        <f>CZ106*'MASTER SHEET'!D106</f>
        <v>0</v>
      </c>
      <c r="FB106" s="9">
        <f>DD106*'MASTER SHEET'!D106</f>
        <v>0</v>
      </c>
      <c r="FC106" s="9">
        <f>DH106*'MASTER SHEET'!D106</f>
        <v>0</v>
      </c>
      <c r="FD106" s="9">
        <f>DL106*'MASTER SHEET'!D106</f>
        <v>0</v>
      </c>
      <c r="FE106" s="9">
        <f>DP106*'MASTER SHEET'!D106</f>
        <v>0</v>
      </c>
      <c r="FF106" s="9">
        <f>DT106*'MASTER SHEET'!D106</f>
        <v>0</v>
      </c>
      <c r="FG106" s="9">
        <f>DX106*'MASTER SHEET'!D106</f>
        <v>0</v>
      </c>
    </row>
    <row r="107" spans="1:163" ht="20.25" x14ac:dyDescent="0.25">
      <c r="A107" s="43">
        <f>'MASTER SHEET'!A107</f>
        <v>105</v>
      </c>
      <c r="B107" s="26" t="str">
        <f>'MASTER SHEET'!B107</f>
        <v>END Plate</v>
      </c>
      <c r="C107" s="82">
        <f>'MASTER SHEET'!C107</f>
        <v>5027149</v>
      </c>
      <c r="D107" s="64"/>
      <c r="E107" s="28"/>
      <c r="F107" s="28"/>
      <c r="G107" s="65"/>
      <c r="H107" s="64">
        <f t="shared" si="72"/>
        <v>0</v>
      </c>
      <c r="I107" s="28"/>
      <c r="J107" s="28"/>
      <c r="K107" s="65"/>
      <c r="L107" s="64">
        <f t="shared" si="73"/>
        <v>0</v>
      </c>
      <c r="M107" s="28"/>
      <c r="N107" s="28"/>
      <c r="O107" s="65"/>
      <c r="P107" s="64">
        <f t="shared" si="74"/>
        <v>0</v>
      </c>
      <c r="Q107" s="28"/>
      <c r="R107" s="28"/>
      <c r="S107" s="65"/>
      <c r="T107" s="64">
        <f t="shared" si="75"/>
        <v>0</v>
      </c>
      <c r="U107" s="28"/>
      <c r="V107" s="28"/>
      <c r="W107" s="65"/>
      <c r="X107" s="64">
        <f t="shared" si="76"/>
        <v>0</v>
      </c>
      <c r="Y107" s="28"/>
      <c r="Z107" s="28"/>
      <c r="AA107" s="65"/>
      <c r="AB107" s="64">
        <f t="shared" si="77"/>
        <v>0</v>
      </c>
      <c r="AC107" s="28"/>
      <c r="AD107" s="28"/>
      <c r="AE107" s="65"/>
      <c r="AF107" s="64">
        <f t="shared" si="78"/>
        <v>0</v>
      </c>
      <c r="AG107" s="28"/>
      <c r="AH107" s="28"/>
      <c r="AI107" s="65"/>
      <c r="AJ107" s="64">
        <f t="shared" si="79"/>
        <v>0</v>
      </c>
      <c r="AK107" s="28"/>
      <c r="AL107" s="28"/>
      <c r="AM107" s="65"/>
      <c r="AN107" s="64">
        <f t="shared" si="80"/>
        <v>0</v>
      </c>
      <c r="AO107" s="28"/>
      <c r="AP107" s="28"/>
      <c r="AQ107" s="65"/>
      <c r="AR107" s="64">
        <f t="shared" si="81"/>
        <v>0</v>
      </c>
      <c r="AS107" s="28"/>
      <c r="AT107" s="28"/>
      <c r="AU107" s="65"/>
      <c r="AV107" s="64">
        <f t="shared" si="82"/>
        <v>0</v>
      </c>
      <c r="AW107" s="28"/>
      <c r="AX107" s="28"/>
      <c r="AY107" s="65"/>
      <c r="AZ107" s="64">
        <f t="shared" si="83"/>
        <v>0</v>
      </c>
      <c r="BA107" s="28"/>
      <c r="BB107" s="28"/>
      <c r="BC107" s="65"/>
      <c r="BD107" s="64">
        <f t="shared" si="84"/>
        <v>0</v>
      </c>
      <c r="BE107" s="28"/>
      <c r="BF107" s="28"/>
      <c r="BG107" s="65"/>
      <c r="BH107" s="64">
        <f t="shared" si="85"/>
        <v>0</v>
      </c>
      <c r="BI107" s="28"/>
      <c r="BJ107" s="28"/>
      <c r="BK107" s="65"/>
      <c r="BL107" s="64">
        <f t="shared" si="86"/>
        <v>0</v>
      </c>
      <c r="BM107" s="28"/>
      <c r="BN107" s="28"/>
      <c r="BO107" s="65"/>
      <c r="BP107" s="64">
        <f t="shared" si="87"/>
        <v>0</v>
      </c>
      <c r="BQ107" s="28"/>
      <c r="BR107" s="28"/>
      <c r="BS107" s="65"/>
      <c r="BT107" s="64">
        <f t="shared" si="88"/>
        <v>0</v>
      </c>
      <c r="BU107" s="28"/>
      <c r="BV107" s="28"/>
      <c r="BW107" s="65"/>
      <c r="BX107" s="64">
        <f t="shared" si="89"/>
        <v>0</v>
      </c>
      <c r="BY107" s="28"/>
      <c r="BZ107" s="28"/>
      <c r="CA107" s="65"/>
      <c r="CB107" s="64">
        <f t="shared" si="90"/>
        <v>0</v>
      </c>
      <c r="CC107" s="28"/>
      <c r="CD107" s="28"/>
      <c r="CE107" s="65"/>
      <c r="CF107" s="64">
        <f t="shared" si="91"/>
        <v>0</v>
      </c>
      <c r="CG107" s="28"/>
      <c r="CH107" s="28"/>
      <c r="CI107" s="65"/>
      <c r="CJ107" s="64">
        <f t="shared" si="92"/>
        <v>0</v>
      </c>
      <c r="CK107" s="28"/>
      <c r="CL107" s="28"/>
      <c r="CM107" s="65"/>
      <c r="CN107" s="64">
        <f t="shared" si="93"/>
        <v>0</v>
      </c>
      <c r="CO107" s="28"/>
      <c r="CP107" s="28"/>
      <c r="CQ107" s="65"/>
      <c r="CR107" s="64">
        <f t="shared" si="94"/>
        <v>0</v>
      </c>
      <c r="CS107" s="28"/>
      <c r="CT107" s="28"/>
      <c r="CU107" s="65"/>
      <c r="CV107" s="64">
        <f t="shared" si="95"/>
        <v>0</v>
      </c>
      <c r="CW107" s="28"/>
      <c r="CX107" s="28"/>
      <c r="CY107" s="65"/>
      <c r="CZ107" s="64">
        <f t="shared" si="96"/>
        <v>0</v>
      </c>
      <c r="DA107" s="28"/>
      <c r="DB107" s="28"/>
      <c r="DC107" s="65"/>
      <c r="DD107" s="64">
        <f t="shared" si="97"/>
        <v>0</v>
      </c>
      <c r="DE107" s="28"/>
      <c r="DF107" s="28"/>
      <c r="DG107" s="65"/>
      <c r="DH107" s="64">
        <f t="shared" si="98"/>
        <v>0</v>
      </c>
      <c r="DI107" s="28"/>
      <c r="DJ107" s="28"/>
      <c r="DK107" s="65"/>
      <c r="DL107" s="64">
        <f t="shared" si="99"/>
        <v>0</v>
      </c>
      <c r="DM107" s="28"/>
      <c r="DN107" s="28"/>
      <c r="DO107" s="65"/>
      <c r="DP107" s="64">
        <f t="shared" si="100"/>
        <v>0</v>
      </c>
      <c r="DQ107" s="28"/>
      <c r="DR107" s="28"/>
      <c r="DS107" s="65"/>
      <c r="DT107" s="64">
        <f t="shared" si="101"/>
        <v>0</v>
      </c>
      <c r="DU107" s="28"/>
      <c r="DV107" s="28"/>
      <c r="DW107" s="65"/>
      <c r="DX107" s="30">
        <f t="shared" si="102"/>
        <v>0</v>
      </c>
      <c r="DY107" s="31">
        <f t="shared" si="103"/>
        <v>0</v>
      </c>
      <c r="DZ107" s="31">
        <f t="shared" si="104"/>
        <v>0</v>
      </c>
      <c r="EA107" s="4">
        <f t="shared" si="105"/>
        <v>0</v>
      </c>
      <c r="EB107" s="9">
        <f>D107*'MASTER SHEET'!D107</f>
        <v>0</v>
      </c>
      <c r="EC107" s="9">
        <f>H107*'MASTER SHEET'!D107</f>
        <v>0</v>
      </c>
      <c r="ED107" s="9">
        <f>L107*'MASTER SHEET'!D107</f>
        <v>0</v>
      </c>
      <c r="EE107" s="9">
        <f>P107*'MASTER SHEET'!D107</f>
        <v>0</v>
      </c>
      <c r="EF107" s="9">
        <f>T107*'MASTER SHEET'!D107</f>
        <v>0</v>
      </c>
      <c r="EG107" s="9">
        <f>X107*'MASTER SHEET'!D107</f>
        <v>0</v>
      </c>
      <c r="EH107" s="9">
        <f>AB107*'MASTER SHEET'!D107</f>
        <v>0</v>
      </c>
      <c r="EI107" s="9">
        <f>AF107*'MASTER SHEET'!D107</f>
        <v>0</v>
      </c>
      <c r="EJ107" s="9">
        <f>AJ107*'MASTER SHEET'!D107</f>
        <v>0</v>
      </c>
      <c r="EK107" s="9">
        <f>AN107*'MASTER SHEET'!D107</f>
        <v>0</v>
      </c>
      <c r="EL107" s="9">
        <f>AR107*'MASTER SHEET'!D107</f>
        <v>0</v>
      </c>
      <c r="EM107" s="9">
        <f>AV107*'MASTER SHEET'!D107</f>
        <v>0</v>
      </c>
      <c r="EN107" s="9">
        <f>AZ107*'MASTER SHEET'!D107</f>
        <v>0</v>
      </c>
      <c r="EO107" s="9">
        <f>BD107*'MASTER SHEET'!D107</f>
        <v>0</v>
      </c>
      <c r="EP107" s="9">
        <f>BH107*'MASTER SHEET'!D107</f>
        <v>0</v>
      </c>
      <c r="EQ107" s="9">
        <f>BL107*'MASTER SHEET'!D107</f>
        <v>0</v>
      </c>
      <c r="ER107" s="9">
        <f>BP107*'MASTER SHEET'!D107</f>
        <v>0</v>
      </c>
      <c r="ES107" s="9">
        <f>BT107*'MASTER SHEET'!D107</f>
        <v>0</v>
      </c>
      <c r="ET107" s="9">
        <f>BX107*'MASTER SHEET'!D107</f>
        <v>0</v>
      </c>
      <c r="EU107" s="9">
        <f>CB107*'MASTER SHEET'!D107</f>
        <v>0</v>
      </c>
      <c r="EV107" s="9">
        <f>CF107*'MASTER SHEET'!D107</f>
        <v>0</v>
      </c>
      <c r="EW107" s="9">
        <f>CJ107*'MASTER SHEET'!D107</f>
        <v>0</v>
      </c>
      <c r="EX107" s="9">
        <f>CN107*'MASTER SHEET'!D107</f>
        <v>0</v>
      </c>
      <c r="EY107" s="9">
        <f>CV107*'MASTER SHEET'!D107</f>
        <v>0</v>
      </c>
      <c r="EZ107" s="9">
        <f>CV107*'MASTER SHEET'!D107</f>
        <v>0</v>
      </c>
      <c r="FA107" s="9">
        <f>CZ107*'MASTER SHEET'!D107</f>
        <v>0</v>
      </c>
      <c r="FB107" s="9">
        <f>DD107*'MASTER SHEET'!D107</f>
        <v>0</v>
      </c>
      <c r="FC107" s="9">
        <f>DH107*'MASTER SHEET'!D107</f>
        <v>0</v>
      </c>
      <c r="FD107" s="9">
        <f>DL107*'MASTER SHEET'!D107</f>
        <v>0</v>
      </c>
      <c r="FE107" s="9">
        <f>DP107*'MASTER SHEET'!D107</f>
        <v>0</v>
      </c>
      <c r="FF107" s="9">
        <f>DT107*'MASTER SHEET'!D107</f>
        <v>0</v>
      </c>
      <c r="FG107" s="9">
        <f>DX107*'MASTER SHEET'!D107</f>
        <v>0</v>
      </c>
    </row>
    <row r="108" spans="1:163" ht="20.25" x14ac:dyDescent="0.25">
      <c r="A108" s="43">
        <f>'MASTER SHEET'!A108</f>
        <v>106</v>
      </c>
      <c r="B108" s="26" t="str">
        <f>'MASTER SHEET'!B108</f>
        <v>CENTER TUBE</v>
      </c>
      <c r="C108" s="82">
        <f>'MASTER SHEET'!C108</f>
        <v>5027150</v>
      </c>
      <c r="D108" s="64"/>
      <c r="E108" s="28"/>
      <c r="F108" s="28"/>
      <c r="G108" s="65"/>
      <c r="H108" s="64">
        <f t="shared" si="72"/>
        <v>0</v>
      </c>
      <c r="I108" s="28"/>
      <c r="J108" s="28"/>
      <c r="K108" s="65"/>
      <c r="L108" s="64">
        <f t="shared" si="73"/>
        <v>0</v>
      </c>
      <c r="M108" s="28"/>
      <c r="N108" s="28"/>
      <c r="O108" s="65"/>
      <c r="P108" s="64">
        <f t="shared" si="74"/>
        <v>0</v>
      </c>
      <c r="Q108" s="28"/>
      <c r="R108" s="28"/>
      <c r="S108" s="65"/>
      <c r="T108" s="64">
        <f t="shared" si="75"/>
        <v>0</v>
      </c>
      <c r="U108" s="28"/>
      <c r="V108" s="28"/>
      <c r="W108" s="65"/>
      <c r="X108" s="64">
        <f t="shared" si="76"/>
        <v>0</v>
      </c>
      <c r="Y108" s="28"/>
      <c r="Z108" s="28"/>
      <c r="AA108" s="65"/>
      <c r="AB108" s="64">
        <f t="shared" si="77"/>
        <v>0</v>
      </c>
      <c r="AC108" s="28"/>
      <c r="AD108" s="28"/>
      <c r="AE108" s="65"/>
      <c r="AF108" s="64">
        <f t="shared" si="78"/>
        <v>0</v>
      </c>
      <c r="AG108" s="28"/>
      <c r="AH108" s="28"/>
      <c r="AI108" s="65"/>
      <c r="AJ108" s="64">
        <f t="shared" si="79"/>
        <v>0</v>
      </c>
      <c r="AK108" s="28"/>
      <c r="AL108" s="28"/>
      <c r="AM108" s="65"/>
      <c r="AN108" s="64">
        <f t="shared" si="80"/>
        <v>0</v>
      </c>
      <c r="AO108" s="28"/>
      <c r="AP108" s="28"/>
      <c r="AQ108" s="65"/>
      <c r="AR108" s="64">
        <f t="shared" si="81"/>
        <v>0</v>
      </c>
      <c r="AS108" s="28"/>
      <c r="AT108" s="28"/>
      <c r="AU108" s="65"/>
      <c r="AV108" s="64">
        <f t="shared" si="82"/>
        <v>0</v>
      </c>
      <c r="AW108" s="28"/>
      <c r="AX108" s="28"/>
      <c r="AY108" s="65"/>
      <c r="AZ108" s="64">
        <f t="shared" si="83"/>
        <v>0</v>
      </c>
      <c r="BA108" s="28"/>
      <c r="BB108" s="28"/>
      <c r="BC108" s="65"/>
      <c r="BD108" s="64">
        <f t="shared" si="84"/>
        <v>0</v>
      </c>
      <c r="BE108" s="28"/>
      <c r="BF108" s="28"/>
      <c r="BG108" s="65"/>
      <c r="BH108" s="64">
        <f t="shared" si="85"/>
        <v>0</v>
      </c>
      <c r="BI108" s="28"/>
      <c r="BJ108" s="28"/>
      <c r="BK108" s="65"/>
      <c r="BL108" s="64">
        <f t="shared" si="86"/>
        <v>0</v>
      </c>
      <c r="BM108" s="28"/>
      <c r="BN108" s="28"/>
      <c r="BO108" s="65"/>
      <c r="BP108" s="64">
        <f t="shared" si="87"/>
        <v>0</v>
      </c>
      <c r="BQ108" s="28"/>
      <c r="BR108" s="28"/>
      <c r="BS108" s="65"/>
      <c r="BT108" s="64">
        <f t="shared" si="88"/>
        <v>0</v>
      </c>
      <c r="BU108" s="28"/>
      <c r="BV108" s="28"/>
      <c r="BW108" s="65"/>
      <c r="BX108" s="64">
        <f t="shared" si="89"/>
        <v>0</v>
      </c>
      <c r="BY108" s="28"/>
      <c r="BZ108" s="28"/>
      <c r="CA108" s="65"/>
      <c r="CB108" s="64">
        <f t="shared" si="90"/>
        <v>0</v>
      </c>
      <c r="CC108" s="28"/>
      <c r="CD108" s="28"/>
      <c r="CE108" s="65"/>
      <c r="CF108" s="64">
        <f t="shared" si="91"/>
        <v>0</v>
      </c>
      <c r="CG108" s="28"/>
      <c r="CH108" s="28"/>
      <c r="CI108" s="65"/>
      <c r="CJ108" s="64">
        <f t="shared" si="92"/>
        <v>0</v>
      </c>
      <c r="CK108" s="28"/>
      <c r="CL108" s="28"/>
      <c r="CM108" s="65"/>
      <c r="CN108" s="64">
        <f t="shared" si="93"/>
        <v>0</v>
      </c>
      <c r="CO108" s="28"/>
      <c r="CP108" s="28"/>
      <c r="CQ108" s="65"/>
      <c r="CR108" s="64">
        <f t="shared" si="94"/>
        <v>0</v>
      </c>
      <c r="CS108" s="28"/>
      <c r="CT108" s="28"/>
      <c r="CU108" s="65"/>
      <c r="CV108" s="64">
        <f t="shared" si="95"/>
        <v>0</v>
      </c>
      <c r="CW108" s="28"/>
      <c r="CX108" s="28"/>
      <c r="CY108" s="65"/>
      <c r="CZ108" s="64">
        <f t="shared" si="96"/>
        <v>0</v>
      </c>
      <c r="DA108" s="28"/>
      <c r="DB108" s="28"/>
      <c r="DC108" s="65"/>
      <c r="DD108" s="64">
        <f t="shared" si="97"/>
        <v>0</v>
      </c>
      <c r="DE108" s="28"/>
      <c r="DF108" s="28"/>
      <c r="DG108" s="65"/>
      <c r="DH108" s="64">
        <f t="shared" si="98"/>
        <v>0</v>
      </c>
      <c r="DI108" s="28"/>
      <c r="DJ108" s="28"/>
      <c r="DK108" s="65"/>
      <c r="DL108" s="64">
        <f t="shared" si="99"/>
        <v>0</v>
      </c>
      <c r="DM108" s="28"/>
      <c r="DN108" s="28"/>
      <c r="DO108" s="65"/>
      <c r="DP108" s="64">
        <f t="shared" si="100"/>
        <v>0</v>
      </c>
      <c r="DQ108" s="28"/>
      <c r="DR108" s="28"/>
      <c r="DS108" s="65"/>
      <c r="DT108" s="64">
        <f t="shared" si="101"/>
        <v>0</v>
      </c>
      <c r="DU108" s="28"/>
      <c r="DV108" s="28"/>
      <c r="DW108" s="65"/>
      <c r="DX108" s="30">
        <f t="shared" si="102"/>
        <v>0</v>
      </c>
      <c r="DY108" s="31">
        <f t="shared" si="103"/>
        <v>0</v>
      </c>
      <c r="DZ108" s="31">
        <f t="shared" si="104"/>
        <v>0</v>
      </c>
      <c r="EA108" s="4">
        <f t="shared" si="105"/>
        <v>0</v>
      </c>
      <c r="EB108" s="9">
        <f>D108*'MASTER SHEET'!D108</f>
        <v>0</v>
      </c>
      <c r="EC108" s="9">
        <f>H108*'MASTER SHEET'!D108</f>
        <v>0</v>
      </c>
      <c r="ED108" s="9">
        <f>L108*'MASTER SHEET'!D108</f>
        <v>0</v>
      </c>
      <c r="EE108" s="9">
        <f>P108*'MASTER SHEET'!D108</f>
        <v>0</v>
      </c>
      <c r="EF108" s="9">
        <f>T108*'MASTER SHEET'!D108</f>
        <v>0</v>
      </c>
      <c r="EG108" s="9">
        <f>X108*'MASTER SHEET'!D108</f>
        <v>0</v>
      </c>
      <c r="EH108" s="9">
        <f>AB108*'MASTER SHEET'!D108</f>
        <v>0</v>
      </c>
      <c r="EI108" s="9">
        <f>AF108*'MASTER SHEET'!D108</f>
        <v>0</v>
      </c>
      <c r="EJ108" s="9">
        <f>AJ108*'MASTER SHEET'!D108</f>
        <v>0</v>
      </c>
      <c r="EK108" s="9">
        <f>AN108*'MASTER SHEET'!D108</f>
        <v>0</v>
      </c>
      <c r="EL108" s="9">
        <f>AR108*'MASTER SHEET'!D108</f>
        <v>0</v>
      </c>
      <c r="EM108" s="9">
        <f>AV108*'MASTER SHEET'!D108</f>
        <v>0</v>
      </c>
      <c r="EN108" s="9">
        <f>AZ108*'MASTER SHEET'!D108</f>
        <v>0</v>
      </c>
      <c r="EO108" s="9">
        <f>BD108*'MASTER SHEET'!D108</f>
        <v>0</v>
      </c>
      <c r="EP108" s="9">
        <f>BH108*'MASTER SHEET'!D108</f>
        <v>0</v>
      </c>
      <c r="EQ108" s="9">
        <f>BL108*'MASTER SHEET'!D108</f>
        <v>0</v>
      </c>
      <c r="ER108" s="9">
        <f>BP108*'MASTER SHEET'!D108</f>
        <v>0</v>
      </c>
      <c r="ES108" s="9">
        <f>BT108*'MASTER SHEET'!D108</f>
        <v>0</v>
      </c>
      <c r="ET108" s="9">
        <f>BX108*'MASTER SHEET'!D108</f>
        <v>0</v>
      </c>
      <c r="EU108" s="9">
        <f>CB108*'MASTER SHEET'!D108</f>
        <v>0</v>
      </c>
      <c r="EV108" s="9">
        <f>CF108*'MASTER SHEET'!D108</f>
        <v>0</v>
      </c>
      <c r="EW108" s="9">
        <f>CJ108*'MASTER SHEET'!D108</f>
        <v>0</v>
      </c>
      <c r="EX108" s="9">
        <f>CN108*'MASTER SHEET'!D108</f>
        <v>0</v>
      </c>
      <c r="EY108" s="9">
        <f>CV108*'MASTER SHEET'!D108</f>
        <v>0</v>
      </c>
      <c r="EZ108" s="9">
        <f>CV108*'MASTER SHEET'!D108</f>
        <v>0</v>
      </c>
      <c r="FA108" s="9">
        <f>CZ108*'MASTER SHEET'!D108</f>
        <v>0</v>
      </c>
      <c r="FB108" s="9">
        <f>DD108*'MASTER SHEET'!D108</f>
        <v>0</v>
      </c>
      <c r="FC108" s="9">
        <f>DH108*'MASTER SHEET'!D108</f>
        <v>0</v>
      </c>
      <c r="FD108" s="9">
        <f>DL108*'MASTER SHEET'!D108</f>
        <v>0</v>
      </c>
      <c r="FE108" s="9">
        <f>DP108*'MASTER SHEET'!D108</f>
        <v>0</v>
      </c>
      <c r="FF108" s="9">
        <f>DT108*'MASTER SHEET'!D108</f>
        <v>0</v>
      </c>
      <c r="FG108" s="9">
        <f>DX108*'MASTER SHEET'!D108</f>
        <v>0</v>
      </c>
    </row>
    <row r="109" spans="1:163" ht="20.25" x14ac:dyDescent="0.25">
      <c r="A109" s="43">
        <f>'MASTER SHEET'!A109</f>
        <v>107</v>
      </c>
      <c r="B109" s="26" t="str">
        <f>'MASTER SHEET'!B109</f>
        <v>END PLATE</v>
      </c>
      <c r="C109" s="82">
        <f>'MASTER SHEET'!C109</f>
        <v>5011415</v>
      </c>
      <c r="D109" s="64">
        <v>7262</v>
      </c>
      <c r="E109" s="28">
        <v>2000</v>
      </c>
      <c r="F109" s="28">
        <v>1100</v>
      </c>
      <c r="G109" s="65"/>
      <c r="H109" s="64">
        <f t="shared" si="72"/>
        <v>8162</v>
      </c>
      <c r="I109" s="28">
        <v>1600</v>
      </c>
      <c r="J109" s="28">
        <v>1100</v>
      </c>
      <c r="K109" s="65"/>
      <c r="L109" s="64">
        <f t="shared" si="73"/>
        <v>8662</v>
      </c>
      <c r="M109" s="28"/>
      <c r="N109" s="28"/>
      <c r="O109" s="65"/>
      <c r="P109" s="64">
        <f t="shared" si="74"/>
        <v>8662</v>
      </c>
      <c r="Q109" s="28">
        <v>2000</v>
      </c>
      <c r="R109" s="28">
        <v>2000</v>
      </c>
      <c r="S109" s="65">
        <f>20+232</f>
        <v>252</v>
      </c>
      <c r="T109" s="64">
        <f t="shared" si="75"/>
        <v>8410</v>
      </c>
      <c r="U109" s="28"/>
      <c r="V109" s="28"/>
      <c r="W109" s="65"/>
      <c r="X109" s="64">
        <f t="shared" si="76"/>
        <v>8410</v>
      </c>
      <c r="Y109" s="28">
        <v>1600</v>
      </c>
      <c r="Z109" s="28">
        <v>1000</v>
      </c>
      <c r="AA109" s="65"/>
      <c r="AB109" s="64">
        <f t="shared" si="77"/>
        <v>9010</v>
      </c>
      <c r="AC109" s="28">
        <v>1600</v>
      </c>
      <c r="AD109" s="28">
        <v>1000</v>
      </c>
      <c r="AE109" s="65">
        <v>1204</v>
      </c>
      <c r="AF109" s="64">
        <f t="shared" si="78"/>
        <v>8406</v>
      </c>
      <c r="AG109" s="28">
        <v>1200</v>
      </c>
      <c r="AH109" s="28">
        <v>1000</v>
      </c>
      <c r="AI109" s="65">
        <f>128+45</f>
        <v>173</v>
      </c>
      <c r="AJ109" s="64">
        <f t="shared" si="79"/>
        <v>8433</v>
      </c>
      <c r="AK109" s="28">
        <v>700</v>
      </c>
      <c r="AL109" s="28">
        <v>1000</v>
      </c>
      <c r="AM109" s="65"/>
      <c r="AN109" s="64">
        <f t="shared" si="80"/>
        <v>8133</v>
      </c>
      <c r="AO109" s="28"/>
      <c r="AP109" s="28">
        <v>800</v>
      </c>
      <c r="AQ109" s="65"/>
      <c r="AR109" s="64">
        <f t="shared" si="81"/>
        <v>7333</v>
      </c>
      <c r="AS109" s="28">
        <v>1200</v>
      </c>
      <c r="AT109" s="28">
        <v>1000</v>
      </c>
      <c r="AU109" s="65">
        <f>80+24</f>
        <v>104</v>
      </c>
      <c r="AV109" s="64">
        <f t="shared" si="82"/>
        <v>7429</v>
      </c>
      <c r="AW109" s="28"/>
      <c r="AX109" s="151"/>
      <c r="AY109" s="65"/>
      <c r="AZ109" s="64">
        <f t="shared" si="83"/>
        <v>7429</v>
      </c>
      <c r="BA109" s="28"/>
      <c r="BB109" s="28">
        <v>1000</v>
      </c>
      <c r="BC109" s="65"/>
      <c r="BD109" s="64">
        <f t="shared" si="84"/>
        <v>6429</v>
      </c>
      <c r="BE109" s="28"/>
      <c r="BF109" s="28">
        <v>1000</v>
      </c>
      <c r="BG109" s="65"/>
      <c r="BH109" s="64">
        <f t="shared" si="85"/>
        <v>5429</v>
      </c>
      <c r="BI109" s="28"/>
      <c r="BJ109" s="28">
        <v>1000</v>
      </c>
      <c r="BK109" s="65"/>
      <c r="BL109" s="64">
        <f t="shared" si="86"/>
        <v>4429</v>
      </c>
      <c r="BM109" s="28"/>
      <c r="BN109" s="28"/>
      <c r="BO109" s="65">
        <v>125</v>
      </c>
      <c r="BP109" s="64">
        <f t="shared" si="87"/>
        <v>4304</v>
      </c>
      <c r="BQ109" s="28"/>
      <c r="BR109" s="28"/>
      <c r="BS109" s="65">
        <f>82+16</f>
        <v>98</v>
      </c>
      <c r="BT109" s="64">
        <f t="shared" si="88"/>
        <v>4206</v>
      </c>
      <c r="BU109" s="28"/>
      <c r="BV109" s="28"/>
      <c r="BW109" s="65"/>
      <c r="BX109" s="64">
        <f t="shared" si="89"/>
        <v>4206</v>
      </c>
      <c r="BY109" s="28"/>
      <c r="BZ109" s="28"/>
      <c r="CA109" s="65"/>
      <c r="CB109" s="64">
        <f t="shared" si="90"/>
        <v>4206</v>
      </c>
      <c r="CC109" s="28"/>
      <c r="CD109" s="28"/>
      <c r="CE109" s="65"/>
      <c r="CF109" s="64">
        <f t="shared" si="91"/>
        <v>4206</v>
      </c>
      <c r="CG109" s="28"/>
      <c r="CH109" s="28"/>
      <c r="CI109" s="65"/>
      <c r="CJ109" s="64">
        <f t="shared" si="92"/>
        <v>4206</v>
      </c>
      <c r="CK109" s="28"/>
      <c r="CL109" s="28"/>
      <c r="CM109" s="65"/>
      <c r="CN109" s="64">
        <f t="shared" si="93"/>
        <v>4206</v>
      </c>
      <c r="CO109" s="28"/>
      <c r="CP109" s="28"/>
      <c r="CQ109" s="65"/>
      <c r="CR109" s="64">
        <f t="shared" si="94"/>
        <v>4206</v>
      </c>
      <c r="CS109" s="28"/>
      <c r="CT109" s="28"/>
      <c r="CU109" s="65"/>
      <c r="CV109" s="64">
        <f t="shared" si="95"/>
        <v>4206</v>
      </c>
      <c r="CW109" s="28"/>
      <c r="CX109" s="28"/>
      <c r="CY109" s="65"/>
      <c r="CZ109" s="64">
        <f t="shared" si="96"/>
        <v>4206</v>
      </c>
      <c r="DA109" s="28"/>
      <c r="DB109" s="28"/>
      <c r="DC109" s="65"/>
      <c r="DD109" s="64">
        <f t="shared" si="97"/>
        <v>4206</v>
      </c>
      <c r="DE109" s="28"/>
      <c r="DF109" s="28"/>
      <c r="DG109" s="65"/>
      <c r="DH109" s="64">
        <f t="shared" si="98"/>
        <v>4206</v>
      </c>
      <c r="DI109" s="28">
        <v>2000</v>
      </c>
      <c r="DJ109" s="28"/>
      <c r="DK109" s="65"/>
      <c r="DL109" s="64">
        <f t="shared" si="99"/>
        <v>6206</v>
      </c>
      <c r="DM109" s="28">
        <v>1200</v>
      </c>
      <c r="DN109" s="28"/>
      <c r="DO109" s="65"/>
      <c r="DP109" s="64">
        <f t="shared" si="100"/>
        <v>7406</v>
      </c>
      <c r="DQ109" s="28"/>
      <c r="DR109" s="28"/>
      <c r="DS109" s="65"/>
      <c r="DT109" s="64">
        <f t="shared" si="101"/>
        <v>7406</v>
      </c>
      <c r="DU109" s="28"/>
      <c r="DV109" s="28"/>
      <c r="DW109" s="65"/>
      <c r="DX109" s="30">
        <f t="shared" si="102"/>
        <v>7406</v>
      </c>
      <c r="DY109" s="31">
        <f t="shared" si="103"/>
        <v>22362</v>
      </c>
      <c r="DZ109" s="31">
        <f t="shared" si="104"/>
        <v>13000</v>
      </c>
      <c r="EA109" s="4">
        <f t="shared" si="105"/>
        <v>1956</v>
      </c>
      <c r="EB109" s="9">
        <f>D109*'MASTER SHEET'!D109</f>
        <v>58386.479999999996</v>
      </c>
      <c r="EC109" s="9">
        <f>H109*'MASTER SHEET'!D109</f>
        <v>65622.48</v>
      </c>
      <c r="ED109" s="9">
        <f>L109*'MASTER SHEET'!D109</f>
        <v>69642.48</v>
      </c>
      <c r="EE109" s="9">
        <f>P109*'MASTER SHEET'!D109</f>
        <v>69642.48</v>
      </c>
      <c r="EF109" s="9">
        <f>T109*'MASTER SHEET'!D109</f>
        <v>67616.399999999994</v>
      </c>
      <c r="EG109" s="9">
        <f>X109*'MASTER SHEET'!D109</f>
        <v>67616.399999999994</v>
      </c>
      <c r="EH109" s="9">
        <f>AB109*'MASTER SHEET'!D109</f>
        <v>72440.399999999994</v>
      </c>
      <c r="EI109" s="9">
        <f>AF109*'MASTER SHEET'!D109</f>
        <v>67584.239999999991</v>
      </c>
      <c r="EJ109" s="9">
        <f>AJ109*'MASTER SHEET'!D109</f>
        <v>67801.319999999992</v>
      </c>
      <c r="EK109" s="9">
        <f>AN109*'MASTER SHEET'!D109</f>
        <v>65389.319999999992</v>
      </c>
      <c r="EL109" s="9">
        <f>AR109*'MASTER SHEET'!D109</f>
        <v>58957.319999999992</v>
      </c>
      <c r="EM109" s="9">
        <f>AV109*'MASTER SHEET'!D109</f>
        <v>59729.159999999996</v>
      </c>
      <c r="EN109" s="9">
        <f>AZ109*'MASTER SHEET'!D109</f>
        <v>59729.159999999996</v>
      </c>
      <c r="EO109" s="9">
        <f>BD109*'MASTER SHEET'!D109</f>
        <v>51689.159999999996</v>
      </c>
      <c r="EP109" s="9">
        <f>BH109*'MASTER SHEET'!D109</f>
        <v>43649.159999999996</v>
      </c>
      <c r="EQ109" s="9">
        <f>BL109*'MASTER SHEET'!D109</f>
        <v>35609.159999999996</v>
      </c>
      <c r="ER109" s="9">
        <f>BP109*'MASTER SHEET'!D109</f>
        <v>34604.159999999996</v>
      </c>
      <c r="ES109" s="9">
        <f>BT109*'MASTER SHEET'!D109</f>
        <v>33816.239999999998</v>
      </c>
      <c r="ET109" s="9">
        <f>BX109*'MASTER SHEET'!D109</f>
        <v>33816.239999999998</v>
      </c>
      <c r="EU109" s="9">
        <f>CB109*'MASTER SHEET'!D109</f>
        <v>33816.239999999998</v>
      </c>
      <c r="EV109" s="9">
        <f>CF109*'MASTER SHEET'!D109</f>
        <v>33816.239999999998</v>
      </c>
      <c r="EW109" s="9">
        <f>CJ109*'MASTER SHEET'!D109</f>
        <v>33816.239999999998</v>
      </c>
      <c r="EX109" s="9">
        <f>CN109*'MASTER SHEET'!D109</f>
        <v>33816.239999999998</v>
      </c>
      <c r="EY109" s="9">
        <f>CV109*'MASTER SHEET'!D109</f>
        <v>33816.239999999998</v>
      </c>
      <c r="EZ109" s="9">
        <f>CV109*'MASTER SHEET'!D109</f>
        <v>33816.239999999998</v>
      </c>
      <c r="FA109" s="9">
        <f>CZ109*'MASTER SHEET'!D109</f>
        <v>33816.239999999998</v>
      </c>
      <c r="FB109" s="9">
        <f>DD109*'MASTER SHEET'!D109</f>
        <v>33816.239999999998</v>
      </c>
      <c r="FC109" s="9">
        <f>DH109*'MASTER SHEET'!D109</f>
        <v>33816.239999999998</v>
      </c>
      <c r="FD109" s="9">
        <f>DL109*'MASTER SHEET'!D109</f>
        <v>49896.24</v>
      </c>
      <c r="FE109" s="9">
        <f>DP109*'MASTER SHEET'!D109</f>
        <v>59544.239999999991</v>
      </c>
      <c r="FF109" s="9">
        <f>DT109*'MASTER SHEET'!D109</f>
        <v>59544.239999999991</v>
      </c>
      <c r="FG109" s="9">
        <f>DX109*'MASTER SHEET'!D109</f>
        <v>59544.239999999991</v>
      </c>
    </row>
    <row r="110" spans="1:163" ht="20.25" x14ac:dyDescent="0.25">
      <c r="A110" s="43">
        <f>'MASTER SHEET'!A110</f>
        <v>108</v>
      </c>
      <c r="B110" s="26" t="str">
        <f>'MASTER SHEET'!B110</f>
        <v>END PLATE</v>
      </c>
      <c r="C110" s="82">
        <f>'MASTER SHEET'!C110</f>
        <v>5016811</v>
      </c>
      <c r="D110" s="64">
        <v>4850</v>
      </c>
      <c r="E110" s="28"/>
      <c r="F110" s="28">
        <v>150</v>
      </c>
      <c r="G110" s="65"/>
      <c r="H110" s="64">
        <f t="shared" si="72"/>
        <v>4700</v>
      </c>
      <c r="I110" s="28"/>
      <c r="J110" s="28"/>
      <c r="K110" s="65"/>
      <c r="L110" s="64">
        <f t="shared" si="73"/>
        <v>4700</v>
      </c>
      <c r="M110" s="28"/>
      <c r="N110" s="28"/>
      <c r="O110" s="65"/>
      <c r="P110" s="64">
        <f t="shared" si="74"/>
        <v>4700</v>
      </c>
      <c r="Q110" s="28"/>
      <c r="R110" s="28"/>
      <c r="S110" s="65">
        <v>103</v>
      </c>
      <c r="T110" s="64">
        <f t="shared" si="75"/>
        <v>4597</v>
      </c>
      <c r="U110" s="28"/>
      <c r="V110" s="28"/>
      <c r="W110" s="65"/>
      <c r="X110" s="64">
        <f t="shared" si="76"/>
        <v>4597</v>
      </c>
      <c r="Y110" s="28"/>
      <c r="Z110" s="28"/>
      <c r="AA110" s="65"/>
      <c r="AB110" s="64">
        <f t="shared" si="77"/>
        <v>4597</v>
      </c>
      <c r="AC110" s="28"/>
      <c r="AD110" s="28"/>
      <c r="AE110" s="65">
        <v>26</v>
      </c>
      <c r="AF110" s="64">
        <f t="shared" si="78"/>
        <v>4571</v>
      </c>
      <c r="AG110" s="28"/>
      <c r="AH110" s="28"/>
      <c r="AI110" s="65"/>
      <c r="AJ110" s="64">
        <f t="shared" si="79"/>
        <v>4571</v>
      </c>
      <c r="AK110" s="28"/>
      <c r="AL110" s="28"/>
      <c r="AM110" s="65"/>
      <c r="AN110" s="64">
        <f t="shared" si="80"/>
        <v>4571</v>
      </c>
      <c r="AO110" s="28"/>
      <c r="AP110" s="28"/>
      <c r="AQ110" s="65"/>
      <c r="AR110" s="64">
        <f t="shared" si="81"/>
        <v>4571</v>
      </c>
      <c r="AS110" s="28"/>
      <c r="AT110" s="28"/>
      <c r="AU110" s="65"/>
      <c r="AV110" s="64">
        <f t="shared" si="82"/>
        <v>4571</v>
      </c>
      <c r="AW110" s="28"/>
      <c r="AX110" s="150"/>
      <c r="AY110" s="65"/>
      <c r="AZ110" s="64">
        <f t="shared" si="83"/>
        <v>4571</v>
      </c>
      <c r="BA110" s="28"/>
      <c r="BB110" s="28"/>
      <c r="BC110" s="65"/>
      <c r="BD110" s="64">
        <f t="shared" si="84"/>
        <v>4571</v>
      </c>
      <c r="BE110" s="28">
        <v>2100</v>
      </c>
      <c r="BF110" s="28"/>
      <c r="BG110" s="65"/>
      <c r="BH110" s="64">
        <f t="shared" si="85"/>
        <v>6671</v>
      </c>
      <c r="BI110" s="28"/>
      <c r="BJ110" s="28"/>
      <c r="BK110" s="65"/>
      <c r="BL110" s="64">
        <f t="shared" si="86"/>
        <v>6671</v>
      </c>
      <c r="BM110" s="28"/>
      <c r="BN110" s="28"/>
      <c r="BO110" s="65"/>
      <c r="BP110" s="64">
        <f t="shared" si="87"/>
        <v>6671</v>
      </c>
      <c r="BQ110" s="28">
        <v>1800</v>
      </c>
      <c r="BR110" s="28">
        <v>450</v>
      </c>
      <c r="BS110" s="65">
        <v>25</v>
      </c>
      <c r="BT110" s="64">
        <f t="shared" si="88"/>
        <v>7996</v>
      </c>
      <c r="BU110" s="28"/>
      <c r="BV110" s="28">
        <v>500</v>
      </c>
      <c r="BW110" s="65"/>
      <c r="BX110" s="64">
        <f t="shared" si="89"/>
        <v>7496</v>
      </c>
      <c r="BY110" s="28"/>
      <c r="BZ110" s="28"/>
      <c r="CA110" s="65"/>
      <c r="CB110" s="64">
        <f t="shared" si="90"/>
        <v>7496</v>
      </c>
      <c r="CC110" s="28"/>
      <c r="CD110" s="28">
        <v>400</v>
      </c>
      <c r="CE110" s="65"/>
      <c r="CF110" s="64">
        <f t="shared" si="91"/>
        <v>7096</v>
      </c>
      <c r="CG110" s="28"/>
      <c r="CH110" s="28"/>
      <c r="CI110" s="65"/>
      <c r="CJ110" s="64">
        <f t="shared" si="92"/>
        <v>7096</v>
      </c>
      <c r="CK110" s="28"/>
      <c r="CL110" s="28"/>
      <c r="CM110" s="65"/>
      <c r="CN110" s="64">
        <f t="shared" si="93"/>
        <v>7096</v>
      </c>
      <c r="CO110" s="28"/>
      <c r="CP110" s="28"/>
      <c r="CQ110" s="65"/>
      <c r="CR110" s="64">
        <f t="shared" si="94"/>
        <v>7096</v>
      </c>
      <c r="CS110" s="28"/>
      <c r="CT110" s="28"/>
      <c r="CU110" s="65"/>
      <c r="CV110" s="64">
        <f t="shared" si="95"/>
        <v>7096</v>
      </c>
      <c r="CW110" s="28"/>
      <c r="CX110" s="28"/>
      <c r="CY110" s="65"/>
      <c r="CZ110" s="64">
        <f t="shared" si="96"/>
        <v>7096</v>
      </c>
      <c r="DA110" s="28">
        <v>1800</v>
      </c>
      <c r="DB110" s="28"/>
      <c r="DC110" s="65"/>
      <c r="DD110" s="64">
        <f t="shared" si="97"/>
        <v>8896</v>
      </c>
      <c r="DE110" s="28">
        <v>3300</v>
      </c>
      <c r="DF110" s="28"/>
      <c r="DG110" s="65"/>
      <c r="DH110" s="64">
        <f t="shared" si="98"/>
        <v>12196</v>
      </c>
      <c r="DI110" s="28"/>
      <c r="DJ110" s="28">
        <v>600</v>
      </c>
      <c r="DK110" s="65"/>
      <c r="DL110" s="64">
        <f t="shared" si="99"/>
        <v>11596</v>
      </c>
      <c r="DM110" s="28"/>
      <c r="DN110" s="28"/>
      <c r="DO110" s="65"/>
      <c r="DP110" s="64">
        <f t="shared" si="100"/>
        <v>11596</v>
      </c>
      <c r="DQ110" s="28"/>
      <c r="DR110" s="28"/>
      <c r="DS110" s="65"/>
      <c r="DT110" s="64">
        <f t="shared" si="101"/>
        <v>11596</v>
      </c>
      <c r="DU110" s="28"/>
      <c r="DV110" s="28"/>
      <c r="DW110" s="65"/>
      <c r="DX110" s="30">
        <f t="shared" si="102"/>
        <v>11596</v>
      </c>
      <c r="DY110" s="31">
        <f t="shared" si="103"/>
        <v>13850</v>
      </c>
      <c r="DZ110" s="31">
        <f t="shared" si="104"/>
        <v>2100</v>
      </c>
      <c r="EA110" s="4">
        <f t="shared" si="105"/>
        <v>154</v>
      </c>
      <c r="EB110" s="9">
        <f>D110*'MASTER SHEET'!D110</f>
        <v>61013</v>
      </c>
      <c r="EC110" s="9">
        <f>H110*'MASTER SHEET'!D110</f>
        <v>59126</v>
      </c>
      <c r="ED110" s="9">
        <f>L110*'MASTER SHEET'!D110</f>
        <v>59126</v>
      </c>
      <c r="EE110" s="9">
        <f>P110*'MASTER SHEET'!D110</f>
        <v>59126</v>
      </c>
      <c r="EF110" s="9">
        <f>T110*'MASTER SHEET'!D110</f>
        <v>57830.26</v>
      </c>
      <c r="EG110" s="9">
        <f>X110*'MASTER SHEET'!D110</f>
        <v>57830.26</v>
      </c>
      <c r="EH110" s="9">
        <f>AB110*'MASTER SHEET'!D110</f>
        <v>57830.26</v>
      </c>
      <c r="EI110" s="9">
        <f>AF110*'MASTER SHEET'!D110</f>
        <v>57503.18</v>
      </c>
      <c r="EJ110" s="9">
        <f>AJ110*'MASTER SHEET'!D110</f>
        <v>57503.18</v>
      </c>
      <c r="EK110" s="9">
        <f>AN110*'MASTER SHEET'!D110</f>
        <v>57503.18</v>
      </c>
      <c r="EL110" s="9">
        <f>AR110*'MASTER SHEET'!D110</f>
        <v>57503.18</v>
      </c>
      <c r="EM110" s="9">
        <f>AV110*'MASTER SHEET'!D110</f>
        <v>57503.18</v>
      </c>
      <c r="EN110" s="9">
        <f>AZ110*'MASTER SHEET'!D110</f>
        <v>57503.18</v>
      </c>
      <c r="EO110" s="9">
        <f>BD110*'MASTER SHEET'!D110</f>
        <v>57503.18</v>
      </c>
      <c r="EP110" s="9">
        <f>BH110*'MASTER SHEET'!D110</f>
        <v>83921.180000000008</v>
      </c>
      <c r="EQ110" s="9">
        <f>BL110*'MASTER SHEET'!D110</f>
        <v>83921.180000000008</v>
      </c>
      <c r="ER110" s="9">
        <f>BP110*'MASTER SHEET'!D110</f>
        <v>83921.180000000008</v>
      </c>
      <c r="ES110" s="9">
        <f>BT110*'MASTER SHEET'!D110</f>
        <v>100589.68000000001</v>
      </c>
      <c r="ET110" s="9">
        <f>BX110*'MASTER SHEET'!D110</f>
        <v>94299.680000000008</v>
      </c>
      <c r="EU110" s="9">
        <f>CB110*'MASTER SHEET'!D110</f>
        <v>94299.680000000008</v>
      </c>
      <c r="EV110" s="9">
        <f>CF110*'MASTER SHEET'!D110</f>
        <v>89267.680000000008</v>
      </c>
      <c r="EW110" s="9">
        <f>CJ110*'MASTER SHEET'!D110</f>
        <v>89267.680000000008</v>
      </c>
      <c r="EX110" s="9">
        <f>CN110*'MASTER SHEET'!D110</f>
        <v>89267.680000000008</v>
      </c>
      <c r="EY110" s="9">
        <f>CV110*'MASTER SHEET'!D110</f>
        <v>89267.680000000008</v>
      </c>
      <c r="EZ110" s="9">
        <f>CV110*'MASTER SHEET'!D110</f>
        <v>89267.680000000008</v>
      </c>
      <c r="FA110" s="9">
        <f>CZ110*'MASTER SHEET'!D110</f>
        <v>89267.680000000008</v>
      </c>
      <c r="FB110" s="9">
        <f>DD110*'MASTER SHEET'!D110</f>
        <v>111911.68000000001</v>
      </c>
      <c r="FC110" s="9">
        <f>DH110*'MASTER SHEET'!D110</f>
        <v>153425.68</v>
      </c>
      <c r="FD110" s="9">
        <f>DL110*'MASTER SHEET'!D110</f>
        <v>145877.68</v>
      </c>
      <c r="FE110" s="9">
        <f>DP110*'MASTER SHEET'!D110</f>
        <v>145877.68</v>
      </c>
      <c r="FF110" s="9">
        <f>DT110*'MASTER SHEET'!D110</f>
        <v>145877.68</v>
      </c>
      <c r="FG110" s="9">
        <f>DX110*'MASTER SHEET'!D110</f>
        <v>145877.68</v>
      </c>
    </row>
    <row r="111" spans="1:163" ht="20.25" x14ac:dyDescent="0.25">
      <c r="A111" s="43">
        <f>'MASTER SHEET'!A111</f>
        <v>109</v>
      </c>
      <c r="B111" s="26" t="str">
        <f>'MASTER SHEET'!B111</f>
        <v>TUBE OVER FLOW</v>
      </c>
      <c r="C111" s="82">
        <f>'MASTER SHEET'!C111</f>
        <v>5030786</v>
      </c>
      <c r="D111" s="64"/>
      <c r="E111" s="28"/>
      <c r="F111" s="28"/>
      <c r="G111" s="65"/>
      <c r="H111" s="64">
        <f t="shared" si="72"/>
        <v>0</v>
      </c>
      <c r="I111" s="28"/>
      <c r="J111" s="28"/>
      <c r="K111" s="65"/>
      <c r="L111" s="64">
        <f t="shared" si="73"/>
        <v>0</v>
      </c>
      <c r="M111" s="28"/>
      <c r="N111" s="28"/>
      <c r="O111" s="65"/>
      <c r="P111" s="64">
        <f t="shared" si="74"/>
        <v>0</v>
      </c>
      <c r="Q111" s="28"/>
      <c r="R111" s="28"/>
      <c r="S111" s="65"/>
      <c r="T111" s="64">
        <f t="shared" si="75"/>
        <v>0</v>
      </c>
      <c r="U111" s="28"/>
      <c r="V111" s="28"/>
      <c r="W111" s="65"/>
      <c r="X111" s="64">
        <f t="shared" si="76"/>
        <v>0</v>
      </c>
      <c r="Y111" s="28"/>
      <c r="Z111" s="28"/>
      <c r="AA111" s="65"/>
      <c r="AB111" s="64">
        <f t="shared" si="77"/>
        <v>0</v>
      </c>
      <c r="AC111" s="28"/>
      <c r="AD111" s="28"/>
      <c r="AE111" s="65"/>
      <c r="AF111" s="64">
        <f t="shared" si="78"/>
        <v>0</v>
      </c>
      <c r="AG111" s="28"/>
      <c r="AH111" s="28"/>
      <c r="AI111" s="65"/>
      <c r="AJ111" s="64">
        <f t="shared" si="79"/>
        <v>0</v>
      </c>
      <c r="AK111" s="28"/>
      <c r="AL111" s="28"/>
      <c r="AM111" s="65"/>
      <c r="AN111" s="64">
        <f t="shared" si="80"/>
        <v>0</v>
      </c>
      <c r="AO111" s="28"/>
      <c r="AP111" s="28"/>
      <c r="AQ111" s="65"/>
      <c r="AR111" s="64">
        <f t="shared" si="81"/>
        <v>0</v>
      </c>
      <c r="AS111" s="28"/>
      <c r="AT111" s="28"/>
      <c r="AU111" s="65"/>
      <c r="AV111" s="64">
        <f t="shared" si="82"/>
        <v>0</v>
      </c>
      <c r="AW111" s="28"/>
      <c r="AX111" s="28"/>
      <c r="AY111" s="65"/>
      <c r="AZ111" s="64">
        <f t="shared" si="83"/>
        <v>0</v>
      </c>
      <c r="BA111" s="28"/>
      <c r="BB111" s="28"/>
      <c r="BC111" s="65"/>
      <c r="BD111" s="64">
        <f t="shared" si="84"/>
        <v>0</v>
      </c>
      <c r="BE111" s="28"/>
      <c r="BF111" s="28"/>
      <c r="BG111" s="65"/>
      <c r="BH111" s="64">
        <f t="shared" si="85"/>
        <v>0</v>
      </c>
      <c r="BI111" s="28"/>
      <c r="BJ111" s="28"/>
      <c r="BK111" s="65"/>
      <c r="BL111" s="64">
        <f t="shared" si="86"/>
        <v>0</v>
      </c>
      <c r="BM111" s="28"/>
      <c r="BN111" s="28"/>
      <c r="BO111" s="65"/>
      <c r="BP111" s="64">
        <f t="shared" si="87"/>
        <v>0</v>
      </c>
      <c r="BQ111" s="28"/>
      <c r="BR111" s="28"/>
      <c r="BS111" s="65"/>
      <c r="BT111" s="64">
        <f t="shared" si="88"/>
        <v>0</v>
      </c>
      <c r="BU111" s="28"/>
      <c r="BV111" s="28"/>
      <c r="BW111" s="65"/>
      <c r="BX111" s="64">
        <f t="shared" si="89"/>
        <v>0</v>
      </c>
      <c r="BY111" s="28"/>
      <c r="BZ111" s="28"/>
      <c r="CA111" s="65"/>
      <c r="CB111" s="64">
        <f t="shared" si="90"/>
        <v>0</v>
      </c>
      <c r="CC111" s="28"/>
      <c r="CD111" s="28"/>
      <c r="CE111" s="65"/>
      <c r="CF111" s="64">
        <f t="shared" si="91"/>
        <v>0</v>
      </c>
      <c r="CG111" s="28"/>
      <c r="CH111" s="28"/>
      <c r="CI111" s="65"/>
      <c r="CJ111" s="64">
        <f t="shared" si="92"/>
        <v>0</v>
      </c>
      <c r="CK111" s="28"/>
      <c r="CL111" s="28"/>
      <c r="CM111" s="65"/>
      <c r="CN111" s="64">
        <f t="shared" si="93"/>
        <v>0</v>
      </c>
      <c r="CO111" s="28"/>
      <c r="CP111" s="28"/>
      <c r="CQ111" s="65"/>
      <c r="CR111" s="64">
        <f t="shared" si="94"/>
        <v>0</v>
      </c>
      <c r="CS111" s="28"/>
      <c r="CT111" s="28"/>
      <c r="CU111" s="65"/>
      <c r="CV111" s="64">
        <f t="shared" si="95"/>
        <v>0</v>
      </c>
      <c r="CW111" s="28"/>
      <c r="CX111" s="28"/>
      <c r="CY111" s="65"/>
      <c r="CZ111" s="64">
        <f t="shared" si="96"/>
        <v>0</v>
      </c>
      <c r="DA111" s="28"/>
      <c r="DB111" s="28"/>
      <c r="DC111" s="65"/>
      <c r="DD111" s="64">
        <f t="shared" si="97"/>
        <v>0</v>
      </c>
      <c r="DE111" s="28"/>
      <c r="DF111" s="28"/>
      <c r="DG111" s="65"/>
      <c r="DH111" s="64">
        <f t="shared" si="98"/>
        <v>0</v>
      </c>
      <c r="DI111" s="28"/>
      <c r="DJ111" s="28"/>
      <c r="DK111" s="65"/>
      <c r="DL111" s="64">
        <f t="shared" si="99"/>
        <v>0</v>
      </c>
      <c r="DM111" s="28"/>
      <c r="DN111" s="28"/>
      <c r="DO111" s="65"/>
      <c r="DP111" s="64">
        <f t="shared" si="100"/>
        <v>0</v>
      </c>
      <c r="DQ111" s="28"/>
      <c r="DR111" s="28"/>
      <c r="DS111" s="65"/>
      <c r="DT111" s="64">
        <f t="shared" si="101"/>
        <v>0</v>
      </c>
      <c r="DU111" s="28"/>
      <c r="DV111" s="28"/>
      <c r="DW111" s="65"/>
      <c r="DX111" s="30">
        <f t="shared" si="102"/>
        <v>0</v>
      </c>
      <c r="DY111" s="31">
        <f t="shared" si="103"/>
        <v>0</v>
      </c>
      <c r="DZ111" s="31">
        <f t="shared" si="104"/>
        <v>0</v>
      </c>
      <c r="EA111" s="4">
        <f t="shared" si="105"/>
        <v>0</v>
      </c>
      <c r="EB111" s="9">
        <f>D111*'MASTER SHEET'!D111</f>
        <v>0</v>
      </c>
      <c r="EC111" s="9">
        <f>H111*'MASTER SHEET'!D111</f>
        <v>0</v>
      </c>
      <c r="ED111" s="9">
        <f>L111*'MASTER SHEET'!D111</f>
        <v>0</v>
      </c>
      <c r="EE111" s="9">
        <f>P111*'MASTER SHEET'!D111</f>
        <v>0</v>
      </c>
      <c r="EF111" s="9">
        <f>T111*'MASTER SHEET'!D111</f>
        <v>0</v>
      </c>
      <c r="EG111" s="9">
        <f>X111*'MASTER SHEET'!D111</f>
        <v>0</v>
      </c>
      <c r="EH111" s="9">
        <f>AB111*'MASTER SHEET'!D111</f>
        <v>0</v>
      </c>
      <c r="EI111" s="9">
        <f>AF111*'MASTER SHEET'!D111</f>
        <v>0</v>
      </c>
      <c r="EJ111" s="9">
        <f>AJ111*'MASTER SHEET'!D111</f>
        <v>0</v>
      </c>
      <c r="EK111" s="9">
        <f>AN111*'MASTER SHEET'!D111</f>
        <v>0</v>
      </c>
      <c r="EL111" s="9">
        <f>AR111*'MASTER SHEET'!D111</f>
        <v>0</v>
      </c>
      <c r="EM111" s="9">
        <f>AV111*'MASTER SHEET'!D111</f>
        <v>0</v>
      </c>
      <c r="EN111" s="9">
        <f>AZ111*'MASTER SHEET'!D111</f>
        <v>0</v>
      </c>
      <c r="EO111" s="9">
        <f>BD111*'MASTER SHEET'!D111</f>
        <v>0</v>
      </c>
      <c r="EP111" s="9">
        <f>BH111*'MASTER SHEET'!D111</f>
        <v>0</v>
      </c>
      <c r="EQ111" s="9">
        <f>BL111*'MASTER SHEET'!D111</f>
        <v>0</v>
      </c>
      <c r="ER111" s="9">
        <f>BP111*'MASTER SHEET'!D111</f>
        <v>0</v>
      </c>
      <c r="ES111" s="9">
        <f>BT111*'MASTER SHEET'!D111</f>
        <v>0</v>
      </c>
      <c r="ET111" s="9">
        <f>BX111*'MASTER SHEET'!D111</f>
        <v>0</v>
      </c>
      <c r="EU111" s="9">
        <f>CB111*'MASTER SHEET'!D111</f>
        <v>0</v>
      </c>
      <c r="EV111" s="9">
        <f>CF111*'MASTER SHEET'!D111</f>
        <v>0</v>
      </c>
      <c r="EW111" s="9">
        <f>CJ111*'MASTER SHEET'!D111</f>
        <v>0</v>
      </c>
      <c r="EX111" s="9">
        <f>CN111*'MASTER SHEET'!D111</f>
        <v>0</v>
      </c>
      <c r="EY111" s="9">
        <f>CV111*'MASTER SHEET'!D111</f>
        <v>0</v>
      </c>
      <c r="EZ111" s="9">
        <f>CV111*'MASTER SHEET'!D111</f>
        <v>0</v>
      </c>
      <c r="FA111" s="9">
        <f>CZ111*'MASTER SHEET'!D111</f>
        <v>0</v>
      </c>
      <c r="FB111" s="9">
        <f>DD111*'MASTER SHEET'!D111</f>
        <v>0</v>
      </c>
      <c r="FC111" s="9">
        <f>DH111*'MASTER SHEET'!D111</f>
        <v>0</v>
      </c>
      <c r="FD111" s="9">
        <f>DL111*'MASTER SHEET'!D111</f>
        <v>0</v>
      </c>
      <c r="FE111" s="9">
        <f>DP111*'MASTER SHEET'!D111</f>
        <v>0</v>
      </c>
      <c r="FF111" s="9">
        <f>DT111*'MASTER SHEET'!D111</f>
        <v>0</v>
      </c>
      <c r="FG111" s="9">
        <f>DX111*'MASTER SHEET'!D111</f>
        <v>0</v>
      </c>
    </row>
    <row r="112" spans="1:163" ht="20.25" x14ac:dyDescent="0.25">
      <c r="A112" s="43">
        <f>'MASTER SHEET'!A112</f>
        <v>110</v>
      </c>
      <c r="B112" s="26" t="str">
        <f>'MASTER SHEET'!B112</f>
        <v>PIPE ASSLY. PLASTIC</v>
      </c>
      <c r="C112" s="82">
        <f>'MASTER SHEET'!C112</f>
        <v>5033855</v>
      </c>
      <c r="D112" s="64"/>
      <c r="E112" s="28"/>
      <c r="F112" s="28"/>
      <c r="G112" s="65"/>
      <c r="H112" s="64">
        <f t="shared" si="72"/>
        <v>0</v>
      </c>
      <c r="I112" s="28"/>
      <c r="J112" s="28"/>
      <c r="K112" s="65"/>
      <c r="L112" s="64">
        <f t="shared" si="73"/>
        <v>0</v>
      </c>
      <c r="M112" s="28"/>
      <c r="N112" s="28"/>
      <c r="O112" s="65"/>
      <c r="P112" s="64">
        <f t="shared" si="74"/>
        <v>0</v>
      </c>
      <c r="Q112" s="28"/>
      <c r="R112" s="28"/>
      <c r="S112" s="65"/>
      <c r="T112" s="64">
        <f t="shared" si="75"/>
        <v>0</v>
      </c>
      <c r="U112" s="28"/>
      <c r="V112" s="28"/>
      <c r="W112" s="65"/>
      <c r="X112" s="64">
        <f t="shared" si="76"/>
        <v>0</v>
      </c>
      <c r="Y112" s="28"/>
      <c r="Z112" s="28"/>
      <c r="AA112" s="65"/>
      <c r="AB112" s="64">
        <f t="shared" si="77"/>
        <v>0</v>
      </c>
      <c r="AC112" s="28"/>
      <c r="AD112" s="28"/>
      <c r="AE112" s="65"/>
      <c r="AF112" s="64">
        <f t="shared" si="78"/>
        <v>0</v>
      </c>
      <c r="AG112" s="28"/>
      <c r="AH112" s="28"/>
      <c r="AI112" s="65"/>
      <c r="AJ112" s="64">
        <f t="shared" si="79"/>
        <v>0</v>
      </c>
      <c r="AK112" s="28"/>
      <c r="AL112" s="28"/>
      <c r="AM112" s="65"/>
      <c r="AN112" s="64">
        <f t="shared" si="80"/>
        <v>0</v>
      </c>
      <c r="AO112" s="28"/>
      <c r="AP112" s="28"/>
      <c r="AQ112" s="65"/>
      <c r="AR112" s="64">
        <f t="shared" si="81"/>
        <v>0</v>
      </c>
      <c r="AS112" s="28"/>
      <c r="AT112" s="28"/>
      <c r="AU112" s="65"/>
      <c r="AV112" s="64">
        <f t="shared" si="82"/>
        <v>0</v>
      </c>
      <c r="AW112" s="28"/>
      <c r="AX112" s="28"/>
      <c r="AY112" s="65"/>
      <c r="AZ112" s="64">
        <f t="shared" si="83"/>
        <v>0</v>
      </c>
      <c r="BA112" s="28"/>
      <c r="BB112" s="28"/>
      <c r="BC112" s="65"/>
      <c r="BD112" s="64">
        <f t="shared" si="84"/>
        <v>0</v>
      </c>
      <c r="BE112" s="28"/>
      <c r="BF112" s="28"/>
      <c r="BG112" s="65"/>
      <c r="BH112" s="64">
        <f t="shared" si="85"/>
        <v>0</v>
      </c>
      <c r="BI112" s="28"/>
      <c r="BJ112" s="28"/>
      <c r="BK112" s="65"/>
      <c r="BL112" s="64">
        <f t="shared" si="86"/>
        <v>0</v>
      </c>
      <c r="BM112" s="28"/>
      <c r="BN112" s="28"/>
      <c r="BO112" s="65"/>
      <c r="BP112" s="64">
        <f t="shared" si="87"/>
        <v>0</v>
      </c>
      <c r="BQ112" s="28"/>
      <c r="BR112" s="28"/>
      <c r="BS112" s="65"/>
      <c r="BT112" s="64">
        <f t="shared" si="88"/>
        <v>0</v>
      </c>
      <c r="BU112" s="28"/>
      <c r="BV112" s="28"/>
      <c r="BW112" s="65"/>
      <c r="BX112" s="64">
        <f t="shared" si="89"/>
        <v>0</v>
      </c>
      <c r="BY112" s="28"/>
      <c r="BZ112" s="28"/>
      <c r="CA112" s="65"/>
      <c r="CB112" s="64">
        <f t="shared" si="90"/>
        <v>0</v>
      </c>
      <c r="CC112" s="28"/>
      <c r="CD112" s="28"/>
      <c r="CE112" s="65"/>
      <c r="CF112" s="64">
        <f t="shared" si="91"/>
        <v>0</v>
      </c>
      <c r="CG112" s="28"/>
      <c r="CH112" s="28"/>
      <c r="CI112" s="65"/>
      <c r="CJ112" s="64">
        <f t="shared" si="92"/>
        <v>0</v>
      </c>
      <c r="CK112" s="28"/>
      <c r="CL112" s="28"/>
      <c r="CM112" s="65"/>
      <c r="CN112" s="64">
        <f t="shared" si="93"/>
        <v>0</v>
      </c>
      <c r="CO112" s="28"/>
      <c r="CP112" s="28"/>
      <c r="CQ112" s="65"/>
      <c r="CR112" s="64">
        <f t="shared" si="94"/>
        <v>0</v>
      </c>
      <c r="CS112" s="28"/>
      <c r="CT112" s="28"/>
      <c r="CU112" s="65"/>
      <c r="CV112" s="64">
        <f t="shared" si="95"/>
        <v>0</v>
      </c>
      <c r="CW112" s="28"/>
      <c r="CX112" s="28"/>
      <c r="CY112" s="65"/>
      <c r="CZ112" s="64">
        <f t="shared" si="96"/>
        <v>0</v>
      </c>
      <c r="DA112" s="28"/>
      <c r="DB112" s="28"/>
      <c r="DC112" s="65"/>
      <c r="DD112" s="64">
        <f t="shared" si="97"/>
        <v>0</v>
      </c>
      <c r="DE112" s="28"/>
      <c r="DF112" s="28"/>
      <c r="DG112" s="65"/>
      <c r="DH112" s="64">
        <f t="shared" si="98"/>
        <v>0</v>
      </c>
      <c r="DI112" s="28"/>
      <c r="DJ112" s="28"/>
      <c r="DK112" s="65"/>
      <c r="DL112" s="64">
        <f t="shared" si="99"/>
        <v>0</v>
      </c>
      <c r="DM112" s="28"/>
      <c r="DN112" s="28"/>
      <c r="DO112" s="65"/>
      <c r="DP112" s="64">
        <f t="shared" si="100"/>
        <v>0</v>
      </c>
      <c r="DQ112" s="28"/>
      <c r="DR112" s="28"/>
      <c r="DS112" s="65"/>
      <c r="DT112" s="64">
        <f t="shared" si="101"/>
        <v>0</v>
      </c>
      <c r="DU112" s="28"/>
      <c r="DV112" s="28"/>
      <c r="DW112" s="65"/>
      <c r="DX112" s="30">
        <f t="shared" si="102"/>
        <v>0</v>
      </c>
      <c r="DY112" s="31">
        <f t="shared" si="103"/>
        <v>0</v>
      </c>
      <c r="DZ112" s="31">
        <f t="shared" si="104"/>
        <v>0</v>
      </c>
      <c r="EA112" s="4">
        <f t="shared" si="105"/>
        <v>0</v>
      </c>
      <c r="EB112" s="9">
        <f>D112*'MASTER SHEET'!D112</f>
        <v>0</v>
      </c>
      <c r="EC112" s="9">
        <f>H112*'MASTER SHEET'!D112</f>
        <v>0</v>
      </c>
      <c r="ED112" s="9">
        <f>L112*'MASTER SHEET'!D112</f>
        <v>0</v>
      </c>
      <c r="EE112" s="9">
        <f>P112*'MASTER SHEET'!D112</f>
        <v>0</v>
      </c>
      <c r="EF112" s="9">
        <f>T112*'MASTER SHEET'!D112</f>
        <v>0</v>
      </c>
      <c r="EG112" s="9">
        <f>X112*'MASTER SHEET'!D112</f>
        <v>0</v>
      </c>
      <c r="EH112" s="9">
        <f>AB112*'MASTER SHEET'!D112</f>
        <v>0</v>
      </c>
      <c r="EI112" s="9">
        <f>AF112*'MASTER SHEET'!D112</f>
        <v>0</v>
      </c>
      <c r="EJ112" s="9">
        <f>AJ112*'MASTER SHEET'!D112</f>
        <v>0</v>
      </c>
      <c r="EK112" s="9">
        <f>AN112*'MASTER SHEET'!D112</f>
        <v>0</v>
      </c>
      <c r="EL112" s="9">
        <f>AR112*'MASTER SHEET'!D112</f>
        <v>0</v>
      </c>
      <c r="EM112" s="9">
        <f>AV112*'MASTER SHEET'!D112</f>
        <v>0</v>
      </c>
      <c r="EN112" s="9">
        <f>AZ112*'MASTER SHEET'!D112</f>
        <v>0</v>
      </c>
      <c r="EO112" s="9">
        <f>BD112*'MASTER SHEET'!D112</f>
        <v>0</v>
      </c>
      <c r="EP112" s="9">
        <f>BH112*'MASTER SHEET'!D112</f>
        <v>0</v>
      </c>
      <c r="EQ112" s="9">
        <f>BL112*'MASTER SHEET'!D112</f>
        <v>0</v>
      </c>
      <c r="ER112" s="9">
        <f>BP112*'MASTER SHEET'!D112</f>
        <v>0</v>
      </c>
      <c r="ES112" s="9">
        <f>BT112*'MASTER SHEET'!D112</f>
        <v>0</v>
      </c>
      <c r="ET112" s="9">
        <f>BX112*'MASTER SHEET'!D112</f>
        <v>0</v>
      </c>
      <c r="EU112" s="9">
        <f>CB112*'MASTER SHEET'!D112</f>
        <v>0</v>
      </c>
      <c r="EV112" s="9">
        <f>CF112*'MASTER SHEET'!D112</f>
        <v>0</v>
      </c>
      <c r="EW112" s="9">
        <f>CJ112*'MASTER SHEET'!D112</f>
        <v>0</v>
      </c>
      <c r="EX112" s="9">
        <f>CN112*'MASTER SHEET'!D112</f>
        <v>0</v>
      </c>
      <c r="EY112" s="9">
        <f>CV112*'MASTER SHEET'!D112</f>
        <v>0</v>
      </c>
      <c r="EZ112" s="9">
        <f>CV112*'MASTER SHEET'!D112</f>
        <v>0</v>
      </c>
      <c r="FA112" s="9">
        <f>CZ112*'MASTER SHEET'!D112</f>
        <v>0</v>
      </c>
      <c r="FB112" s="9">
        <f>DD112*'MASTER SHEET'!D112</f>
        <v>0</v>
      </c>
      <c r="FC112" s="9">
        <f>DH112*'MASTER SHEET'!D112</f>
        <v>0</v>
      </c>
      <c r="FD112" s="9">
        <f>DL112*'MASTER SHEET'!D112</f>
        <v>0</v>
      </c>
      <c r="FE112" s="9">
        <f>DP112*'MASTER SHEET'!D112</f>
        <v>0</v>
      </c>
      <c r="FF112" s="9">
        <f>DT112*'MASTER SHEET'!D112</f>
        <v>0</v>
      </c>
      <c r="FG112" s="9">
        <f>DX112*'MASTER SHEET'!D112</f>
        <v>0</v>
      </c>
    </row>
    <row r="113" spans="1:163" ht="20.25" x14ac:dyDescent="0.25">
      <c r="A113" s="43">
        <f>'MASTER SHEET'!A113</f>
        <v>111</v>
      </c>
      <c r="B113" s="26" t="str">
        <f>'MASTER SHEET'!B113</f>
        <v>PIPE PLASTIC</v>
      </c>
      <c r="C113" s="82">
        <f>'MASTER SHEET'!C113</f>
        <v>5029670</v>
      </c>
      <c r="D113" s="64"/>
      <c r="E113" s="28"/>
      <c r="F113" s="28"/>
      <c r="G113" s="65"/>
      <c r="H113" s="64">
        <f t="shared" si="72"/>
        <v>0</v>
      </c>
      <c r="I113" s="28"/>
      <c r="J113" s="28"/>
      <c r="K113" s="65"/>
      <c r="L113" s="64">
        <f t="shared" si="73"/>
        <v>0</v>
      </c>
      <c r="M113" s="28"/>
      <c r="N113" s="28"/>
      <c r="O113" s="65"/>
      <c r="P113" s="64">
        <f t="shared" si="74"/>
        <v>0</v>
      </c>
      <c r="Q113" s="28"/>
      <c r="R113" s="28"/>
      <c r="S113" s="65"/>
      <c r="T113" s="64">
        <f t="shared" si="75"/>
        <v>0</v>
      </c>
      <c r="U113" s="28"/>
      <c r="V113" s="28"/>
      <c r="W113" s="65"/>
      <c r="X113" s="64">
        <f t="shared" si="76"/>
        <v>0</v>
      </c>
      <c r="Y113" s="28"/>
      <c r="Z113" s="28"/>
      <c r="AA113" s="65"/>
      <c r="AB113" s="64">
        <f t="shared" si="77"/>
        <v>0</v>
      </c>
      <c r="AC113" s="28"/>
      <c r="AD113" s="28"/>
      <c r="AE113" s="65"/>
      <c r="AF113" s="64">
        <f t="shared" si="78"/>
        <v>0</v>
      </c>
      <c r="AG113" s="28"/>
      <c r="AH113" s="28"/>
      <c r="AI113" s="65"/>
      <c r="AJ113" s="64">
        <f t="shared" si="79"/>
        <v>0</v>
      </c>
      <c r="AK113" s="28"/>
      <c r="AL113" s="28"/>
      <c r="AM113" s="65"/>
      <c r="AN113" s="64">
        <f t="shared" si="80"/>
        <v>0</v>
      </c>
      <c r="AO113" s="28"/>
      <c r="AP113" s="28"/>
      <c r="AQ113" s="65"/>
      <c r="AR113" s="64">
        <f t="shared" si="81"/>
        <v>0</v>
      </c>
      <c r="AS113" s="28"/>
      <c r="AT113" s="28"/>
      <c r="AU113" s="65"/>
      <c r="AV113" s="64">
        <f t="shared" si="82"/>
        <v>0</v>
      </c>
      <c r="AW113" s="28"/>
      <c r="AX113" s="28"/>
      <c r="AY113" s="65"/>
      <c r="AZ113" s="64">
        <f t="shared" si="83"/>
        <v>0</v>
      </c>
      <c r="BA113" s="28"/>
      <c r="BB113" s="28"/>
      <c r="BC113" s="65"/>
      <c r="BD113" s="64">
        <f t="shared" si="84"/>
        <v>0</v>
      </c>
      <c r="BE113" s="28"/>
      <c r="BF113" s="28"/>
      <c r="BG113" s="65"/>
      <c r="BH113" s="64">
        <f t="shared" si="85"/>
        <v>0</v>
      </c>
      <c r="BI113" s="28"/>
      <c r="BJ113" s="28"/>
      <c r="BK113" s="65"/>
      <c r="BL113" s="64">
        <f t="shared" si="86"/>
        <v>0</v>
      </c>
      <c r="BM113" s="28"/>
      <c r="BN113" s="28"/>
      <c r="BO113" s="65"/>
      <c r="BP113" s="64">
        <f t="shared" si="87"/>
        <v>0</v>
      </c>
      <c r="BQ113" s="28"/>
      <c r="BR113" s="28"/>
      <c r="BS113" s="65"/>
      <c r="BT113" s="64">
        <f t="shared" si="88"/>
        <v>0</v>
      </c>
      <c r="BU113" s="28"/>
      <c r="BV113" s="28"/>
      <c r="BW113" s="65"/>
      <c r="BX113" s="64">
        <f t="shared" si="89"/>
        <v>0</v>
      </c>
      <c r="BY113" s="28"/>
      <c r="BZ113" s="28"/>
      <c r="CA113" s="65"/>
      <c r="CB113" s="64">
        <f t="shared" si="90"/>
        <v>0</v>
      </c>
      <c r="CC113" s="28"/>
      <c r="CD113" s="28"/>
      <c r="CE113" s="65"/>
      <c r="CF113" s="64">
        <f t="shared" si="91"/>
        <v>0</v>
      </c>
      <c r="CG113" s="28"/>
      <c r="CH113" s="28"/>
      <c r="CI113" s="65"/>
      <c r="CJ113" s="64">
        <f t="shared" si="92"/>
        <v>0</v>
      </c>
      <c r="CK113" s="28"/>
      <c r="CL113" s="28"/>
      <c r="CM113" s="65"/>
      <c r="CN113" s="64">
        <f t="shared" si="93"/>
        <v>0</v>
      </c>
      <c r="CO113" s="28"/>
      <c r="CP113" s="28"/>
      <c r="CQ113" s="65"/>
      <c r="CR113" s="64">
        <f t="shared" si="94"/>
        <v>0</v>
      </c>
      <c r="CS113" s="28"/>
      <c r="CT113" s="28"/>
      <c r="CU113" s="65"/>
      <c r="CV113" s="64">
        <f t="shared" si="95"/>
        <v>0</v>
      </c>
      <c r="CW113" s="28"/>
      <c r="CX113" s="28"/>
      <c r="CY113" s="65"/>
      <c r="CZ113" s="64">
        <f t="shared" si="96"/>
        <v>0</v>
      </c>
      <c r="DA113" s="28"/>
      <c r="DB113" s="28"/>
      <c r="DC113" s="65"/>
      <c r="DD113" s="64">
        <f t="shared" si="97"/>
        <v>0</v>
      </c>
      <c r="DE113" s="28"/>
      <c r="DF113" s="28"/>
      <c r="DG113" s="65"/>
      <c r="DH113" s="64">
        <f t="shared" si="98"/>
        <v>0</v>
      </c>
      <c r="DI113" s="28"/>
      <c r="DJ113" s="28"/>
      <c r="DK113" s="65"/>
      <c r="DL113" s="64">
        <f t="shared" si="99"/>
        <v>0</v>
      </c>
      <c r="DM113" s="28"/>
      <c r="DN113" s="28"/>
      <c r="DO113" s="65"/>
      <c r="DP113" s="64">
        <f t="shared" si="100"/>
        <v>0</v>
      </c>
      <c r="DQ113" s="28"/>
      <c r="DR113" s="28"/>
      <c r="DS113" s="65"/>
      <c r="DT113" s="64">
        <f t="shared" si="101"/>
        <v>0</v>
      </c>
      <c r="DU113" s="28"/>
      <c r="DV113" s="28"/>
      <c r="DW113" s="65"/>
      <c r="DX113" s="30">
        <f t="shared" si="102"/>
        <v>0</v>
      </c>
      <c r="DY113" s="31">
        <f t="shared" si="103"/>
        <v>0</v>
      </c>
      <c r="DZ113" s="31">
        <f t="shared" si="104"/>
        <v>0</v>
      </c>
      <c r="EA113" s="4">
        <f t="shared" si="105"/>
        <v>0</v>
      </c>
      <c r="EB113" s="9">
        <f>D113*'MASTER SHEET'!D113</f>
        <v>0</v>
      </c>
      <c r="EC113" s="9">
        <f>H113*'MASTER SHEET'!D113</f>
        <v>0</v>
      </c>
      <c r="ED113" s="9">
        <f>L113*'MASTER SHEET'!D113</f>
        <v>0</v>
      </c>
      <c r="EE113" s="9">
        <f>P113*'MASTER SHEET'!D113</f>
        <v>0</v>
      </c>
      <c r="EF113" s="9">
        <f>T113*'MASTER SHEET'!D113</f>
        <v>0</v>
      </c>
      <c r="EG113" s="9">
        <f>X113*'MASTER SHEET'!D113</f>
        <v>0</v>
      </c>
      <c r="EH113" s="9">
        <f>AB113*'MASTER SHEET'!D113</f>
        <v>0</v>
      </c>
      <c r="EI113" s="9">
        <f>AF113*'MASTER SHEET'!D113</f>
        <v>0</v>
      </c>
      <c r="EJ113" s="9">
        <f>AJ113*'MASTER SHEET'!D113</f>
        <v>0</v>
      </c>
      <c r="EK113" s="9">
        <f>AN113*'MASTER SHEET'!D113</f>
        <v>0</v>
      </c>
      <c r="EL113" s="9">
        <f>AR113*'MASTER SHEET'!D113</f>
        <v>0</v>
      </c>
      <c r="EM113" s="9">
        <f>AV113*'MASTER SHEET'!D113</f>
        <v>0</v>
      </c>
      <c r="EN113" s="9">
        <f>AZ113*'MASTER SHEET'!D113</f>
        <v>0</v>
      </c>
      <c r="EO113" s="9">
        <f>BD113*'MASTER SHEET'!D113</f>
        <v>0</v>
      </c>
      <c r="EP113" s="9">
        <f>BH113*'MASTER SHEET'!D113</f>
        <v>0</v>
      </c>
      <c r="EQ113" s="9">
        <f>BL113*'MASTER SHEET'!D113</f>
        <v>0</v>
      </c>
      <c r="ER113" s="9">
        <f>BP113*'MASTER SHEET'!D113</f>
        <v>0</v>
      </c>
      <c r="ES113" s="9">
        <f>BT113*'MASTER SHEET'!D113</f>
        <v>0</v>
      </c>
      <c r="ET113" s="9">
        <f>BX113*'MASTER SHEET'!D113</f>
        <v>0</v>
      </c>
      <c r="EU113" s="9">
        <f>CB113*'MASTER SHEET'!D113</f>
        <v>0</v>
      </c>
      <c r="EV113" s="9">
        <f>CF113*'MASTER SHEET'!D113</f>
        <v>0</v>
      </c>
      <c r="EW113" s="9">
        <f>CJ113*'MASTER SHEET'!D113</f>
        <v>0</v>
      </c>
      <c r="EX113" s="9">
        <f>CN113*'MASTER SHEET'!D113</f>
        <v>0</v>
      </c>
      <c r="EY113" s="9">
        <f>CV113*'MASTER SHEET'!D113</f>
        <v>0</v>
      </c>
      <c r="EZ113" s="9">
        <f>CV113*'MASTER SHEET'!D113</f>
        <v>0</v>
      </c>
      <c r="FA113" s="9">
        <f>CZ113*'MASTER SHEET'!D113</f>
        <v>0</v>
      </c>
      <c r="FB113" s="9">
        <f>DD113*'MASTER SHEET'!D113</f>
        <v>0</v>
      </c>
      <c r="FC113" s="9">
        <f>DH113*'MASTER SHEET'!D113</f>
        <v>0</v>
      </c>
      <c r="FD113" s="9">
        <f>DL113*'MASTER SHEET'!D113</f>
        <v>0</v>
      </c>
      <c r="FE113" s="9">
        <f>DP113*'MASTER SHEET'!D113</f>
        <v>0</v>
      </c>
      <c r="FF113" s="9">
        <f>DT113*'MASTER SHEET'!D113</f>
        <v>0</v>
      </c>
      <c r="FG113" s="9">
        <f>DX113*'MASTER SHEET'!D113</f>
        <v>0</v>
      </c>
    </row>
    <row r="114" spans="1:163" ht="20.25" x14ac:dyDescent="0.25">
      <c r="A114" s="43">
        <f>'MASTER SHEET'!A114</f>
        <v>112</v>
      </c>
      <c r="B114" s="26" t="str">
        <f>'MASTER SHEET'!B114</f>
        <v>WIREMESH</v>
      </c>
      <c r="C114" s="82">
        <f>'MASTER SHEET'!C114</f>
        <v>5007007</v>
      </c>
      <c r="D114" s="64"/>
      <c r="E114" s="28"/>
      <c r="F114" s="28"/>
      <c r="G114" s="65"/>
      <c r="H114" s="64">
        <f t="shared" si="72"/>
        <v>0</v>
      </c>
      <c r="I114" s="28"/>
      <c r="J114" s="28"/>
      <c r="K114" s="65"/>
      <c r="L114" s="64">
        <f t="shared" si="73"/>
        <v>0</v>
      </c>
      <c r="M114" s="28"/>
      <c r="N114" s="28"/>
      <c r="O114" s="65"/>
      <c r="P114" s="64">
        <f t="shared" si="74"/>
        <v>0</v>
      </c>
      <c r="Q114" s="28"/>
      <c r="R114" s="28"/>
      <c r="S114" s="65"/>
      <c r="T114" s="64">
        <f t="shared" si="75"/>
        <v>0</v>
      </c>
      <c r="U114" s="28"/>
      <c r="V114" s="28"/>
      <c r="W114" s="65"/>
      <c r="X114" s="64">
        <f t="shared" si="76"/>
        <v>0</v>
      </c>
      <c r="Y114" s="28"/>
      <c r="Z114" s="28"/>
      <c r="AA114" s="65"/>
      <c r="AB114" s="64">
        <f t="shared" si="77"/>
        <v>0</v>
      </c>
      <c r="AC114" s="28"/>
      <c r="AD114" s="28"/>
      <c r="AE114" s="65"/>
      <c r="AF114" s="64">
        <f t="shared" si="78"/>
        <v>0</v>
      </c>
      <c r="AG114" s="28"/>
      <c r="AH114" s="28"/>
      <c r="AI114" s="65"/>
      <c r="AJ114" s="64">
        <f t="shared" si="79"/>
        <v>0</v>
      </c>
      <c r="AK114" s="28"/>
      <c r="AL114" s="28"/>
      <c r="AM114" s="65"/>
      <c r="AN114" s="64">
        <f t="shared" si="80"/>
        <v>0</v>
      </c>
      <c r="AO114" s="28"/>
      <c r="AP114" s="28"/>
      <c r="AQ114" s="65"/>
      <c r="AR114" s="64">
        <f t="shared" si="81"/>
        <v>0</v>
      </c>
      <c r="AS114" s="28"/>
      <c r="AT114" s="28"/>
      <c r="AU114" s="65"/>
      <c r="AV114" s="64">
        <f t="shared" si="82"/>
        <v>0</v>
      </c>
      <c r="AW114" s="28"/>
      <c r="AX114" s="28"/>
      <c r="AY114" s="65"/>
      <c r="AZ114" s="64">
        <f t="shared" si="83"/>
        <v>0</v>
      </c>
      <c r="BA114" s="28"/>
      <c r="BB114" s="28"/>
      <c r="BC114" s="65"/>
      <c r="BD114" s="64">
        <f t="shared" si="84"/>
        <v>0</v>
      </c>
      <c r="BE114" s="28"/>
      <c r="BF114" s="28"/>
      <c r="BG114" s="65"/>
      <c r="BH114" s="64">
        <f t="shared" si="85"/>
        <v>0</v>
      </c>
      <c r="BI114" s="28"/>
      <c r="BJ114" s="28"/>
      <c r="BK114" s="65"/>
      <c r="BL114" s="64">
        <f t="shared" si="86"/>
        <v>0</v>
      </c>
      <c r="BM114" s="28"/>
      <c r="BN114" s="28"/>
      <c r="BO114" s="65"/>
      <c r="BP114" s="64">
        <f t="shared" si="87"/>
        <v>0</v>
      </c>
      <c r="BQ114" s="28"/>
      <c r="BR114" s="28"/>
      <c r="BS114" s="65"/>
      <c r="BT114" s="64">
        <f t="shared" si="88"/>
        <v>0</v>
      </c>
      <c r="BU114" s="28"/>
      <c r="BV114" s="28"/>
      <c r="BW114" s="65"/>
      <c r="BX114" s="64">
        <f t="shared" si="89"/>
        <v>0</v>
      </c>
      <c r="BY114" s="28"/>
      <c r="BZ114" s="28"/>
      <c r="CA114" s="65"/>
      <c r="CB114" s="64">
        <f t="shared" si="90"/>
        <v>0</v>
      </c>
      <c r="CC114" s="28"/>
      <c r="CD114" s="28"/>
      <c r="CE114" s="65"/>
      <c r="CF114" s="64">
        <f t="shared" si="91"/>
        <v>0</v>
      </c>
      <c r="CG114" s="28"/>
      <c r="CH114" s="28"/>
      <c r="CI114" s="65"/>
      <c r="CJ114" s="64">
        <f t="shared" si="92"/>
        <v>0</v>
      </c>
      <c r="CK114" s="28"/>
      <c r="CL114" s="28"/>
      <c r="CM114" s="65"/>
      <c r="CN114" s="64">
        <f t="shared" si="93"/>
        <v>0</v>
      </c>
      <c r="CO114" s="28"/>
      <c r="CP114" s="28"/>
      <c r="CQ114" s="65"/>
      <c r="CR114" s="64">
        <f t="shared" si="94"/>
        <v>0</v>
      </c>
      <c r="CS114" s="28"/>
      <c r="CT114" s="28"/>
      <c r="CU114" s="65"/>
      <c r="CV114" s="64">
        <f t="shared" si="95"/>
        <v>0</v>
      </c>
      <c r="CW114" s="28"/>
      <c r="CX114" s="28"/>
      <c r="CY114" s="65"/>
      <c r="CZ114" s="64">
        <f t="shared" si="96"/>
        <v>0</v>
      </c>
      <c r="DA114" s="28"/>
      <c r="DB114" s="28"/>
      <c r="DC114" s="65"/>
      <c r="DD114" s="64">
        <f t="shared" si="97"/>
        <v>0</v>
      </c>
      <c r="DE114" s="28"/>
      <c r="DF114" s="28"/>
      <c r="DG114" s="65"/>
      <c r="DH114" s="64">
        <f t="shared" si="98"/>
        <v>0</v>
      </c>
      <c r="DI114" s="28"/>
      <c r="DJ114" s="28"/>
      <c r="DK114" s="65"/>
      <c r="DL114" s="64">
        <f t="shared" si="99"/>
        <v>0</v>
      </c>
      <c r="DM114" s="28"/>
      <c r="DN114" s="28"/>
      <c r="DO114" s="65"/>
      <c r="DP114" s="64">
        <f t="shared" si="100"/>
        <v>0</v>
      </c>
      <c r="DQ114" s="28"/>
      <c r="DR114" s="28"/>
      <c r="DS114" s="65"/>
      <c r="DT114" s="64">
        <f t="shared" si="101"/>
        <v>0</v>
      </c>
      <c r="DU114" s="28"/>
      <c r="DV114" s="28"/>
      <c r="DW114" s="65"/>
      <c r="DX114" s="30">
        <f t="shared" si="102"/>
        <v>0</v>
      </c>
      <c r="DY114" s="31">
        <f t="shared" si="103"/>
        <v>0</v>
      </c>
      <c r="DZ114" s="31">
        <f t="shared" si="104"/>
        <v>0</v>
      </c>
      <c r="EA114" s="4">
        <f t="shared" si="105"/>
        <v>0</v>
      </c>
      <c r="EB114" s="9">
        <f>D114*'MASTER SHEET'!D114</f>
        <v>0</v>
      </c>
      <c r="EC114" s="9">
        <f>H114*'MASTER SHEET'!D114</f>
        <v>0</v>
      </c>
      <c r="ED114" s="9">
        <f>L114*'MASTER SHEET'!D114</f>
        <v>0</v>
      </c>
      <c r="EE114" s="9">
        <f>P114*'MASTER SHEET'!D114</f>
        <v>0</v>
      </c>
      <c r="EF114" s="9">
        <f>T114*'MASTER SHEET'!D114</f>
        <v>0</v>
      </c>
      <c r="EG114" s="9">
        <f>X114*'MASTER SHEET'!D114</f>
        <v>0</v>
      </c>
      <c r="EH114" s="9">
        <f>AB114*'MASTER SHEET'!D114</f>
        <v>0</v>
      </c>
      <c r="EI114" s="9">
        <f>AF114*'MASTER SHEET'!D114</f>
        <v>0</v>
      </c>
      <c r="EJ114" s="9">
        <f>AJ114*'MASTER SHEET'!D114</f>
        <v>0</v>
      </c>
      <c r="EK114" s="9">
        <f>AN114*'MASTER SHEET'!D114</f>
        <v>0</v>
      </c>
      <c r="EL114" s="9">
        <f>AR114*'MASTER SHEET'!D114</f>
        <v>0</v>
      </c>
      <c r="EM114" s="9">
        <f>AV114*'MASTER SHEET'!D114</f>
        <v>0</v>
      </c>
      <c r="EN114" s="9">
        <f>AZ114*'MASTER SHEET'!D114</f>
        <v>0</v>
      </c>
      <c r="EO114" s="9">
        <f>BD114*'MASTER SHEET'!D114</f>
        <v>0</v>
      </c>
      <c r="EP114" s="9">
        <f>BH114*'MASTER SHEET'!D114</f>
        <v>0</v>
      </c>
      <c r="EQ114" s="9">
        <f>BL114*'MASTER SHEET'!D114</f>
        <v>0</v>
      </c>
      <c r="ER114" s="9">
        <f>BP114*'MASTER SHEET'!D114</f>
        <v>0</v>
      </c>
      <c r="ES114" s="9">
        <f>BT114*'MASTER SHEET'!D114</f>
        <v>0</v>
      </c>
      <c r="ET114" s="9">
        <f>BX114*'MASTER SHEET'!D114</f>
        <v>0</v>
      </c>
      <c r="EU114" s="9">
        <f>CB114*'MASTER SHEET'!D114</f>
        <v>0</v>
      </c>
      <c r="EV114" s="9">
        <f>CF114*'MASTER SHEET'!D114</f>
        <v>0</v>
      </c>
      <c r="EW114" s="9">
        <f>CJ114*'MASTER SHEET'!D114</f>
        <v>0</v>
      </c>
      <c r="EX114" s="9">
        <f>CN114*'MASTER SHEET'!D114</f>
        <v>0</v>
      </c>
      <c r="EY114" s="9">
        <f>CV114*'MASTER SHEET'!D114</f>
        <v>0</v>
      </c>
      <c r="EZ114" s="9">
        <f>CV114*'MASTER SHEET'!D114</f>
        <v>0</v>
      </c>
      <c r="FA114" s="9">
        <f>CZ114*'MASTER SHEET'!D114</f>
        <v>0</v>
      </c>
      <c r="FB114" s="9">
        <f>DD114*'MASTER SHEET'!D114</f>
        <v>0</v>
      </c>
      <c r="FC114" s="9">
        <f>DH114*'MASTER SHEET'!D114</f>
        <v>0</v>
      </c>
      <c r="FD114" s="9">
        <f>DL114*'MASTER SHEET'!D114</f>
        <v>0</v>
      </c>
      <c r="FE114" s="9">
        <f>DP114*'MASTER SHEET'!D114</f>
        <v>0</v>
      </c>
      <c r="FF114" s="9">
        <f>DT114*'MASTER SHEET'!D114</f>
        <v>0</v>
      </c>
      <c r="FG114" s="9">
        <f>DX114*'MASTER SHEET'!D114</f>
        <v>0</v>
      </c>
    </row>
    <row r="115" spans="1:163" ht="20.25" x14ac:dyDescent="0.25">
      <c r="A115" s="43">
        <f>'MASTER SHEET'!A115</f>
        <v>113</v>
      </c>
      <c r="B115" s="26" t="str">
        <f>'MASTER SHEET'!B115</f>
        <v>PHONIX PIPE</v>
      </c>
      <c r="C115" s="82">
        <f>'MASTER SHEET'!C115</f>
        <v>5026025</v>
      </c>
      <c r="D115" s="64"/>
      <c r="E115" s="28"/>
      <c r="F115" s="28"/>
      <c r="G115" s="65"/>
      <c r="H115" s="64">
        <f t="shared" si="72"/>
        <v>0</v>
      </c>
      <c r="I115" s="28"/>
      <c r="J115" s="28"/>
      <c r="K115" s="65"/>
      <c r="L115" s="64">
        <f t="shared" si="73"/>
        <v>0</v>
      </c>
      <c r="M115" s="28"/>
      <c r="N115" s="28"/>
      <c r="O115" s="65"/>
      <c r="P115" s="64">
        <f t="shared" si="74"/>
        <v>0</v>
      </c>
      <c r="Q115" s="28"/>
      <c r="R115" s="28"/>
      <c r="S115" s="65"/>
      <c r="T115" s="64">
        <f t="shared" si="75"/>
        <v>0</v>
      </c>
      <c r="U115" s="28"/>
      <c r="V115" s="28"/>
      <c r="W115" s="65"/>
      <c r="X115" s="64">
        <f t="shared" si="76"/>
        <v>0</v>
      </c>
      <c r="Y115" s="28"/>
      <c r="Z115" s="28"/>
      <c r="AA115" s="65"/>
      <c r="AB115" s="64">
        <f t="shared" si="77"/>
        <v>0</v>
      </c>
      <c r="AC115" s="28"/>
      <c r="AD115" s="28"/>
      <c r="AE115" s="65"/>
      <c r="AF115" s="64">
        <f t="shared" si="78"/>
        <v>0</v>
      </c>
      <c r="AG115" s="28"/>
      <c r="AH115" s="28"/>
      <c r="AI115" s="65"/>
      <c r="AJ115" s="64">
        <f t="shared" si="79"/>
        <v>0</v>
      </c>
      <c r="AK115" s="28"/>
      <c r="AL115" s="28"/>
      <c r="AM115" s="65"/>
      <c r="AN115" s="64">
        <f t="shared" si="80"/>
        <v>0</v>
      </c>
      <c r="AO115" s="28"/>
      <c r="AP115" s="28"/>
      <c r="AQ115" s="65"/>
      <c r="AR115" s="64">
        <f t="shared" si="81"/>
        <v>0</v>
      </c>
      <c r="AS115" s="28"/>
      <c r="AT115" s="28"/>
      <c r="AU115" s="65"/>
      <c r="AV115" s="64">
        <f t="shared" si="82"/>
        <v>0</v>
      </c>
      <c r="AW115" s="28"/>
      <c r="AX115" s="28"/>
      <c r="AY115" s="65"/>
      <c r="AZ115" s="64">
        <f t="shared" si="83"/>
        <v>0</v>
      </c>
      <c r="BA115" s="28"/>
      <c r="BB115" s="28"/>
      <c r="BC115" s="65"/>
      <c r="BD115" s="64">
        <f t="shared" si="84"/>
        <v>0</v>
      </c>
      <c r="BE115" s="28"/>
      <c r="BF115" s="28"/>
      <c r="BG115" s="65"/>
      <c r="BH115" s="64">
        <f t="shared" si="85"/>
        <v>0</v>
      </c>
      <c r="BI115" s="28"/>
      <c r="BJ115" s="28"/>
      <c r="BK115" s="65"/>
      <c r="BL115" s="64">
        <f t="shared" si="86"/>
        <v>0</v>
      </c>
      <c r="BM115" s="28"/>
      <c r="BN115" s="28"/>
      <c r="BO115" s="65"/>
      <c r="BP115" s="64">
        <f t="shared" si="87"/>
        <v>0</v>
      </c>
      <c r="BQ115" s="28"/>
      <c r="BR115" s="28"/>
      <c r="BS115" s="65"/>
      <c r="BT115" s="64">
        <f t="shared" si="88"/>
        <v>0</v>
      </c>
      <c r="BU115" s="28"/>
      <c r="BV115" s="28"/>
      <c r="BW115" s="65"/>
      <c r="BX115" s="64">
        <f t="shared" si="89"/>
        <v>0</v>
      </c>
      <c r="BY115" s="28"/>
      <c r="BZ115" s="28"/>
      <c r="CA115" s="65"/>
      <c r="CB115" s="64">
        <f t="shared" si="90"/>
        <v>0</v>
      </c>
      <c r="CC115" s="28"/>
      <c r="CD115" s="28"/>
      <c r="CE115" s="65"/>
      <c r="CF115" s="64">
        <f t="shared" si="91"/>
        <v>0</v>
      </c>
      <c r="CG115" s="28"/>
      <c r="CH115" s="28"/>
      <c r="CI115" s="65"/>
      <c r="CJ115" s="64">
        <f t="shared" si="92"/>
        <v>0</v>
      </c>
      <c r="CK115" s="28"/>
      <c r="CL115" s="28"/>
      <c r="CM115" s="65"/>
      <c r="CN115" s="64">
        <f t="shared" si="93"/>
        <v>0</v>
      </c>
      <c r="CO115" s="28"/>
      <c r="CP115" s="28"/>
      <c r="CQ115" s="65"/>
      <c r="CR115" s="64">
        <f t="shared" si="94"/>
        <v>0</v>
      </c>
      <c r="CS115" s="28"/>
      <c r="CT115" s="28"/>
      <c r="CU115" s="65"/>
      <c r="CV115" s="64">
        <f t="shared" si="95"/>
        <v>0</v>
      </c>
      <c r="CW115" s="28"/>
      <c r="CX115" s="28"/>
      <c r="CY115" s="65"/>
      <c r="CZ115" s="64">
        <f t="shared" si="96"/>
        <v>0</v>
      </c>
      <c r="DA115" s="28"/>
      <c r="DB115" s="28"/>
      <c r="DC115" s="65"/>
      <c r="DD115" s="64">
        <f t="shared" si="97"/>
        <v>0</v>
      </c>
      <c r="DE115" s="28"/>
      <c r="DF115" s="28"/>
      <c r="DG115" s="65"/>
      <c r="DH115" s="64">
        <f t="shared" si="98"/>
        <v>0</v>
      </c>
      <c r="DI115" s="28"/>
      <c r="DJ115" s="28"/>
      <c r="DK115" s="65"/>
      <c r="DL115" s="64">
        <f t="shared" si="99"/>
        <v>0</v>
      </c>
      <c r="DM115" s="28"/>
      <c r="DN115" s="28"/>
      <c r="DO115" s="65"/>
      <c r="DP115" s="64">
        <f t="shared" si="100"/>
        <v>0</v>
      </c>
      <c r="DQ115" s="28"/>
      <c r="DR115" s="28"/>
      <c r="DS115" s="65"/>
      <c r="DT115" s="64">
        <f t="shared" si="101"/>
        <v>0</v>
      </c>
      <c r="DU115" s="28"/>
      <c r="DV115" s="28"/>
      <c r="DW115" s="65"/>
      <c r="DX115" s="30">
        <f t="shared" si="102"/>
        <v>0</v>
      </c>
      <c r="DY115" s="31">
        <f t="shared" si="103"/>
        <v>0</v>
      </c>
      <c r="DZ115" s="31">
        <f t="shared" si="104"/>
        <v>0</v>
      </c>
      <c r="EA115" s="4">
        <f t="shared" si="105"/>
        <v>0</v>
      </c>
      <c r="EB115" s="9">
        <f>D115*'MASTER SHEET'!D115</f>
        <v>0</v>
      </c>
      <c r="EC115" s="9">
        <f>H115*'MASTER SHEET'!D115</f>
        <v>0</v>
      </c>
      <c r="ED115" s="9">
        <f>L115*'MASTER SHEET'!D115</f>
        <v>0</v>
      </c>
      <c r="EE115" s="9">
        <f>P115*'MASTER SHEET'!D115</f>
        <v>0</v>
      </c>
      <c r="EF115" s="9">
        <f>T115*'MASTER SHEET'!D115</f>
        <v>0</v>
      </c>
      <c r="EG115" s="9">
        <f>X115*'MASTER SHEET'!D115</f>
        <v>0</v>
      </c>
      <c r="EH115" s="9">
        <f>AB115*'MASTER SHEET'!D115</f>
        <v>0</v>
      </c>
      <c r="EI115" s="9">
        <f>AF115*'MASTER SHEET'!D115</f>
        <v>0</v>
      </c>
      <c r="EJ115" s="9">
        <f>AJ115*'MASTER SHEET'!D115</f>
        <v>0</v>
      </c>
      <c r="EK115" s="9">
        <f>AN115*'MASTER SHEET'!D115</f>
        <v>0</v>
      </c>
      <c r="EL115" s="9">
        <f>AR115*'MASTER SHEET'!D115</f>
        <v>0</v>
      </c>
      <c r="EM115" s="9">
        <f>AV115*'MASTER SHEET'!D115</f>
        <v>0</v>
      </c>
      <c r="EN115" s="9">
        <f>AZ115*'MASTER SHEET'!D115</f>
        <v>0</v>
      </c>
      <c r="EO115" s="9">
        <f>BD115*'MASTER SHEET'!D115</f>
        <v>0</v>
      </c>
      <c r="EP115" s="9">
        <f>BH115*'MASTER SHEET'!D115</f>
        <v>0</v>
      </c>
      <c r="EQ115" s="9">
        <f>BL115*'MASTER SHEET'!D115</f>
        <v>0</v>
      </c>
      <c r="ER115" s="9">
        <f>BP115*'MASTER SHEET'!D115</f>
        <v>0</v>
      </c>
      <c r="ES115" s="9">
        <f>BT115*'MASTER SHEET'!D115</f>
        <v>0</v>
      </c>
      <c r="ET115" s="9">
        <f>BX115*'MASTER SHEET'!D115</f>
        <v>0</v>
      </c>
      <c r="EU115" s="9">
        <f>CB115*'MASTER SHEET'!D115</f>
        <v>0</v>
      </c>
      <c r="EV115" s="9">
        <f>CF115*'MASTER SHEET'!D115</f>
        <v>0</v>
      </c>
      <c r="EW115" s="9">
        <f>CJ115*'MASTER SHEET'!D115</f>
        <v>0</v>
      </c>
      <c r="EX115" s="9">
        <f>CN115*'MASTER SHEET'!D115</f>
        <v>0</v>
      </c>
      <c r="EY115" s="9">
        <f>CV115*'MASTER SHEET'!D115</f>
        <v>0</v>
      </c>
      <c r="EZ115" s="9">
        <f>CV115*'MASTER SHEET'!D115</f>
        <v>0</v>
      </c>
      <c r="FA115" s="9">
        <f>CZ115*'MASTER SHEET'!D115</f>
        <v>0</v>
      </c>
      <c r="FB115" s="9">
        <f>DD115*'MASTER SHEET'!D115</f>
        <v>0</v>
      </c>
      <c r="FC115" s="9">
        <f>DH115*'MASTER SHEET'!D115</f>
        <v>0</v>
      </c>
      <c r="FD115" s="9">
        <f>DL115*'MASTER SHEET'!D115</f>
        <v>0</v>
      </c>
      <c r="FE115" s="9">
        <f>DP115*'MASTER SHEET'!D115</f>
        <v>0</v>
      </c>
      <c r="FF115" s="9">
        <f>DT115*'MASTER SHEET'!D115</f>
        <v>0</v>
      </c>
      <c r="FG115" s="9">
        <f>DX115*'MASTER SHEET'!D115</f>
        <v>0</v>
      </c>
    </row>
    <row r="116" spans="1:163" s="10" customFormat="1" ht="20.25" x14ac:dyDescent="0.25">
      <c r="A116" s="43">
        <f>'MASTER SHEET'!A116</f>
        <v>114</v>
      </c>
      <c r="B116" s="26">
        <f>'MASTER SHEET'!B116</f>
        <v>0</v>
      </c>
      <c r="C116" s="82">
        <f>'MASTER SHEET'!C116</f>
        <v>5026515</v>
      </c>
      <c r="D116" s="64"/>
      <c r="E116" s="28"/>
      <c r="F116" s="28"/>
      <c r="G116" s="65"/>
      <c r="H116" s="64">
        <f t="shared" si="72"/>
        <v>0</v>
      </c>
      <c r="I116" s="28"/>
      <c r="J116" s="28"/>
      <c r="K116" s="65"/>
      <c r="L116" s="64">
        <f t="shared" si="73"/>
        <v>0</v>
      </c>
      <c r="M116" s="28"/>
      <c r="N116" s="28"/>
      <c r="O116" s="65"/>
      <c r="P116" s="64">
        <f t="shared" si="74"/>
        <v>0</v>
      </c>
      <c r="Q116" s="28"/>
      <c r="R116" s="28"/>
      <c r="S116" s="65"/>
      <c r="T116" s="64">
        <f t="shared" si="75"/>
        <v>0</v>
      </c>
      <c r="U116" s="28"/>
      <c r="V116" s="28"/>
      <c r="W116" s="65"/>
      <c r="X116" s="64">
        <f t="shared" si="76"/>
        <v>0</v>
      </c>
      <c r="Y116" s="28"/>
      <c r="Z116" s="28"/>
      <c r="AA116" s="65"/>
      <c r="AB116" s="64">
        <f t="shared" si="77"/>
        <v>0</v>
      </c>
      <c r="AC116" s="28"/>
      <c r="AD116" s="28"/>
      <c r="AE116" s="65"/>
      <c r="AF116" s="64">
        <f t="shared" si="78"/>
        <v>0</v>
      </c>
      <c r="AG116" s="28"/>
      <c r="AH116" s="28"/>
      <c r="AI116" s="65"/>
      <c r="AJ116" s="64">
        <f t="shared" si="79"/>
        <v>0</v>
      </c>
      <c r="AK116" s="28"/>
      <c r="AL116" s="28"/>
      <c r="AM116" s="65"/>
      <c r="AN116" s="64">
        <f t="shared" si="80"/>
        <v>0</v>
      </c>
      <c r="AO116" s="28"/>
      <c r="AP116" s="28"/>
      <c r="AQ116" s="65"/>
      <c r="AR116" s="64">
        <f t="shared" si="81"/>
        <v>0</v>
      </c>
      <c r="AS116" s="28"/>
      <c r="AT116" s="28"/>
      <c r="AU116" s="65"/>
      <c r="AV116" s="64">
        <f t="shared" si="82"/>
        <v>0</v>
      </c>
      <c r="AW116" s="28"/>
      <c r="AX116" s="28"/>
      <c r="AY116" s="65"/>
      <c r="AZ116" s="64">
        <f t="shared" si="83"/>
        <v>0</v>
      </c>
      <c r="BA116" s="28"/>
      <c r="BB116" s="28"/>
      <c r="BC116" s="65"/>
      <c r="BD116" s="64">
        <f t="shared" si="84"/>
        <v>0</v>
      </c>
      <c r="BE116" s="28"/>
      <c r="BF116" s="28"/>
      <c r="BG116" s="65"/>
      <c r="BH116" s="64">
        <f t="shared" si="85"/>
        <v>0</v>
      </c>
      <c r="BI116" s="28"/>
      <c r="BJ116" s="28"/>
      <c r="BK116" s="65"/>
      <c r="BL116" s="64">
        <f t="shared" si="86"/>
        <v>0</v>
      </c>
      <c r="BM116" s="28"/>
      <c r="BN116" s="28"/>
      <c r="BO116" s="65"/>
      <c r="BP116" s="64">
        <f t="shared" si="87"/>
        <v>0</v>
      </c>
      <c r="BQ116" s="28"/>
      <c r="BR116" s="28"/>
      <c r="BS116" s="65"/>
      <c r="BT116" s="64">
        <f t="shared" si="88"/>
        <v>0</v>
      </c>
      <c r="BU116" s="28"/>
      <c r="BV116" s="28"/>
      <c r="BW116" s="65"/>
      <c r="BX116" s="64">
        <f t="shared" si="89"/>
        <v>0</v>
      </c>
      <c r="BY116" s="28"/>
      <c r="BZ116" s="28"/>
      <c r="CA116" s="65"/>
      <c r="CB116" s="64">
        <f t="shared" si="90"/>
        <v>0</v>
      </c>
      <c r="CC116" s="28"/>
      <c r="CD116" s="28"/>
      <c r="CE116" s="65"/>
      <c r="CF116" s="64">
        <f t="shared" si="91"/>
        <v>0</v>
      </c>
      <c r="CG116" s="28"/>
      <c r="CH116" s="28"/>
      <c r="CI116" s="65"/>
      <c r="CJ116" s="64">
        <f t="shared" si="92"/>
        <v>0</v>
      </c>
      <c r="CK116" s="28"/>
      <c r="CL116" s="28"/>
      <c r="CM116" s="65"/>
      <c r="CN116" s="64">
        <f t="shared" si="93"/>
        <v>0</v>
      </c>
      <c r="CO116" s="28"/>
      <c r="CP116" s="28"/>
      <c r="CQ116" s="65"/>
      <c r="CR116" s="64">
        <f t="shared" si="94"/>
        <v>0</v>
      </c>
      <c r="CS116" s="28"/>
      <c r="CT116" s="28"/>
      <c r="CU116" s="65"/>
      <c r="CV116" s="64">
        <f t="shared" si="95"/>
        <v>0</v>
      </c>
      <c r="CW116" s="28"/>
      <c r="CX116" s="28"/>
      <c r="CY116" s="65"/>
      <c r="CZ116" s="64">
        <f t="shared" si="96"/>
        <v>0</v>
      </c>
      <c r="DA116" s="28"/>
      <c r="DB116" s="28"/>
      <c r="DC116" s="65"/>
      <c r="DD116" s="64">
        <f t="shared" si="97"/>
        <v>0</v>
      </c>
      <c r="DE116" s="28"/>
      <c r="DF116" s="28"/>
      <c r="DG116" s="65"/>
      <c r="DH116" s="64">
        <f t="shared" si="98"/>
        <v>0</v>
      </c>
      <c r="DI116" s="28"/>
      <c r="DJ116" s="28"/>
      <c r="DK116" s="65"/>
      <c r="DL116" s="64">
        <f t="shared" si="99"/>
        <v>0</v>
      </c>
      <c r="DM116" s="28"/>
      <c r="DN116" s="28"/>
      <c r="DO116" s="65"/>
      <c r="DP116" s="64">
        <f t="shared" si="100"/>
        <v>0</v>
      </c>
      <c r="DQ116" s="28"/>
      <c r="DR116" s="28"/>
      <c r="DS116" s="65"/>
      <c r="DT116" s="64">
        <f t="shared" si="101"/>
        <v>0</v>
      </c>
      <c r="DU116" s="28"/>
      <c r="DV116" s="28"/>
      <c r="DW116" s="65"/>
      <c r="DX116" s="30">
        <f t="shared" si="102"/>
        <v>0</v>
      </c>
      <c r="DY116" s="31">
        <f t="shared" si="103"/>
        <v>0</v>
      </c>
      <c r="DZ116" s="31">
        <f t="shared" si="104"/>
        <v>0</v>
      </c>
      <c r="EA116" s="4">
        <f t="shared" si="105"/>
        <v>0</v>
      </c>
      <c r="EB116" s="9">
        <f>D116*'MASTER SHEET'!D116</f>
        <v>0</v>
      </c>
      <c r="EC116" s="9">
        <f>H116*'MASTER SHEET'!D116</f>
        <v>0</v>
      </c>
      <c r="ED116" s="9">
        <f>L116*'MASTER SHEET'!D116</f>
        <v>0</v>
      </c>
      <c r="EE116" s="9">
        <f>P116*'MASTER SHEET'!D116</f>
        <v>0</v>
      </c>
      <c r="EF116" s="9">
        <f>T116*'MASTER SHEET'!D116</f>
        <v>0</v>
      </c>
      <c r="EG116" s="9">
        <f>X116*'MASTER SHEET'!D116</f>
        <v>0</v>
      </c>
      <c r="EH116" s="9">
        <f>AB116*'MASTER SHEET'!D116</f>
        <v>0</v>
      </c>
      <c r="EI116" s="9">
        <f>AF116*'MASTER SHEET'!D116</f>
        <v>0</v>
      </c>
      <c r="EJ116" s="9">
        <f>AJ116*'MASTER SHEET'!D116</f>
        <v>0</v>
      </c>
      <c r="EK116" s="9">
        <f>AN116*'MASTER SHEET'!D116</f>
        <v>0</v>
      </c>
      <c r="EL116" s="9">
        <f>AR116*'MASTER SHEET'!D116</f>
        <v>0</v>
      </c>
      <c r="EM116" s="9">
        <f>AV116*'MASTER SHEET'!D116</f>
        <v>0</v>
      </c>
      <c r="EN116" s="9">
        <f>AZ116*'MASTER SHEET'!D116</f>
        <v>0</v>
      </c>
      <c r="EO116" s="9">
        <f>BD116*'MASTER SHEET'!D116</f>
        <v>0</v>
      </c>
      <c r="EP116" s="9">
        <f>BH116*'MASTER SHEET'!D116</f>
        <v>0</v>
      </c>
      <c r="EQ116" s="9">
        <f>BL116*'MASTER SHEET'!D116</f>
        <v>0</v>
      </c>
      <c r="ER116" s="9">
        <f>BP116*'MASTER SHEET'!D116</f>
        <v>0</v>
      </c>
      <c r="ES116" s="9">
        <f>BT116*'MASTER SHEET'!D116</f>
        <v>0</v>
      </c>
      <c r="ET116" s="9">
        <f>BX116*'MASTER SHEET'!D116</f>
        <v>0</v>
      </c>
      <c r="EU116" s="9">
        <f>CB116*'MASTER SHEET'!D116</f>
        <v>0</v>
      </c>
      <c r="EV116" s="9">
        <f>CF116*'MASTER SHEET'!D116</f>
        <v>0</v>
      </c>
      <c r="EW116" s="9">
        <f>CJ116*'MASTER SHEET'!D116</f>
        <v>0</v>
      </c>
      <c r="EX116" s="9">
        <f>CN116*'MASTER SHEET'!D116</f>
        <v>0</v>
      </c>
      <c r="EY116" s="9">
        <f>CV116*'MASTER SHEET'!D116</f>
        <v>0</v>
      </c>
      <c r="EZ116" s="9">
        <f>CV116*'MASTER SHEET'!D116</f>
        <v>0</v>
      </c>
      <c r="FA116" s="9">
        <f>CZ116*'MASTER SHEET'!D116</f>
        <v>0</v>
      </c>
      <c r="FB116" s="9">
        <f>DD116*'MASTER SHEET'!D116</f>
        <v>0</v>
      </c>
      <c r="FC116" s="9">
        <f>DH116*'MASTER SHEET'!D116</f>
        <v>0</v>
      </c>
      <c r="FD116" s="9">
        <f>DL116*'MASTER SHEET'!D116</f>
        <v>0</v>
      </c>
      <c r="FE116" s="9">
        <f>DP116*'MASTER SHEET'!D116</f>
        <v>0</v>
      </c>
      <c r="FF116" s="9">
        <f>DT116*'MASTER SHEET'!D116</f>
        <v>0</v>
      </c>
      <c r="FG116" s="9">
        <f>DX116*'MASTER SHEET'!D116</f>
        <v>0</v>
      </c>
    </row>
    <row r="117" spans="1:163" ht="20.25" x14ac:dyDescent="0.25">
      <c r="A117" s="43">
        <f>'MASTER SHEET'!A117</f>
        <v>115</v>
      </c>
      <c r="B117" s="26">
        <f>'MASTER SHEET'!B117</f>
        <v>0</v>
      </c>
      <c r="C117" s="82">
        <f>'MASTER SHEET'!C117</f>
        <v>5025642</v>
      </c>
      <c r="D117" s="64"/>
      <c r="E117" s="28"/>
      <c r="F117" s="28"/>
      <c r="G117" s="65"/>
      <c r="H117" s="64">
        <f t="shared" si="72"/>
        <v>0</v>
      </c>
      <c r="I117" s="28">
        <v>1780</v>
      </c>
      <c r="J117" s="28">
        <v>1780</v>
      </c>
      <c r="K117" s="65"/>
      <c r="L117" s="64">
        <f t="shared" si="73"/>
        <v>0</v>
      </c>
      <c r="M117" s="28"/>
      <c r="N117" s="28"/>
      <c r="O117" s="65"/>
      <c r="P117" s="64">
        <f t="shared" si="74"/>
        <v>0</v>
      </c>
      <c r="Q117" s="28">
        <v>1200</v>
      </c>
      <c r="R117" s="28">
        <v>1200</v>
      </c>
      <c r="S117" s="65"/>
      <c r="T117" s="64">
        <f t="shared" si="75"/>
        <v>0</v>
      </c>
      <c r="U117" s="28"/>
      <c r="V117" s="28"/>
      <c r="W117" s="65"/>
      <c r="X117" s="64">
        <f t="shared" si="76"/>
        <v>0</v>
      </c>
      <c r="Y117" s="28"/>
      <c r="Z117" s="28"/>
      <c r="AA117" s="65"/>
      <c r="AB117" s="64">
        <f t="shared" si="77"/>
        <v>0</v>
      </c>
      <c r="AC117" s="28"/>
      <c r="AD117" s="28"/>
      <c r="AE117" s="65"/>
      <c r="AF117" s="64">
        <f t="shared" si="78"/>
        <v>0</v>
      </c>
      <c r="AG117" s="28">
        <v>1200</v>
      </c>
      <c r="AH117" s="28">
        <v>1200</v>
      </c>
      <c r="AI117" s="65"/>
      <c r="AJ117" s="64">
        <f t="shared" si="79"/>
        <v>0</v>
      </c>
      <c r="AK117" s="28"/>
      <c r="AL117" s="28"/>
      <c r="AM117" s="65"/>
      <c r="AN117" s="64">
        <f t="shared" si="80"/>
        <v>0</v>
      </c>
      <c r="AO117" s="28"/>
      <c r="AP117" s="28"/>
      <c r="AQ117" s="65"/>
      <c r="AR117" s="64">
        <f t="shared" si="81"/>
        <v>0</v>
      </c>
      <c r="AS117" s="28"/>
      <c r="AT117" s="28"/>
      <c r="AU117" s="65"/>
      <c r="AV117" s="64">
        <f t="shared" si="82"/>
        <v>0</v>
      </c>
      <c r="AW117" s="28"/>
      <c r="AX117" s="28"/>
      <c r="AY117" s="65"/>
      <c r="AZ117" s="64">
        <f t="shared" si="83"/>
        <v>0</v>
      </c>
      <c r="BA117" s="28"/>
      <c r="BB117" s="28"/>
      <c r="BC117" s="65"/>
      <c r="BD117" s="64">
        <f t="shared" si="84"/>
        <v>0</v>
      </c>
      <c r="BE117" s="28"/>
      <c r="BF117" s="28"/>
      <c r="BG117" s="65"/>
      <c r="BH117" s="64">
        <f t="shared" si="85"/>
        <v>0</v>
      </c>
      <c r="BI117" s="28"/>
      <c r="BJ117" s="28"/>
      <c r="BK117" s="65"/>
      <c r="BL117" s="64">
        <f t="shared" si="86"/>
        <v>0</v>
      </c>
      <c r="BM117" s="28"/>
      <c r="BN117" s="28"/>
      <c r="BO117" s="65"/>
      <c r="BP117" s="64">
        <f t="shared" si="87"/>
        <v>0</v>
      </c>
      <c r="BQ117" s="28"/>
      <c r="BR117" s="28"/>
      <c r="BS117" s="65"/>
      <c r="BT117" s="64">
        <f t="shared" si="88"/>
        <v>0</v>
      </c>
      <c r="BU117" s="28"/>
      <c r="BV117" s="28"/>
      <c r="BW117" s="65"/>
      <c r="BX117" s="64">
        <f t="shared" si="89"/>
        <v>0</v>
      </c>
      <c r="BY117" s="28"/>
      <c r="BZ117" s="28"/>
      <c r="CA117" s="65"/>
      <c r="CB117" s="64">
        <f t="shared" si="90"/>
        <v>0</v>
      </c>
      <c r="CC117" s="28"/>
      <c r="CD117" s="28"/>
      <c r="CE117" s="65"/>
      <c r="CF117" s="64">
        <f t="shared" si="91"/>
        <v>0</v>
      </c>
      <c r="CG117" s="28"/>
      <c r="CH117" s="28"/>
      <c r="CI117" s="65"/>
      <c r="CJ117" s="64">
        <f t="shared" si="92"/>
        <v>0</v>
      </c>
      <c r="CK117" s="28"/>
      <c r="CL117" s="28"/>
      <c r="CM117" s="65"/>
      <c r="CN117" s="64">
        <f t="shared" si="93"/>
        <v>0</v>
      </c>
      <c r="CO117" s="28"/>
      <c r="CP117" s="28"/>
      <c r="CQ117" s="65"/>
      <c r="CR117" s="64">
        <f t="shared" si="94"/>
        <v>0</v>
      </c>
      <c r="CS117" s="28"/>
      <c r="CT117" s="28"/>
      <c r="CU117" s="65"/>
      <c r="CV117" s="64">
        <f t="shared" si="95"/>
        <v>0</v>
      </c>
      <c r="CW117" s="28"/>
      <c r="CX117" s="28"/>
      <c r="CY117" s="65"/>
      <c r="CZ117" s="64">
        <f t="shared" si="96"/>
        <v>0</v>
      </c>
      <c r="DA117" s="28"/>
      <c r="DB117" s="28"/>
      <c r="DC117" s="65"/>
      <c r="DD117" s="64">
        <f t="shared" si="97"/>
        <v>0</v>
      </c>
      <c r="DE117" s="28"/>
      <c r="DF117" s="28"/>
      <c r="DG117" s="65"/>
      <c r="DH117" s="64">
        <f t="shared" si="98"/>
        <v>0</v>
      </c>
      <c r="DI117" s="28"/>
      <c r="DJ117" s="28"/>
      <c r="DK117" s="65"/>
      <c r="DL117" s="64">
        <f t="shared" si="99"/>
        <v>0</v>
      </c>
      <c r="DM117" s="28"/>
      <c r="DN117" s="28"/>
      <c r="DO117" s="65"/>
      <c r="DP117" s="64">
        <f t="shared" si="100"/>
        <v>0</v>
      </c>
      <c r="DQ117" s="28"/>
      <c r="DR117" s="28"/>
      <c r="DS117" s="65"/>
      <c r="DT117" s="64">
        <f t="shared" si="101"/>
        <v>0</v>
      </c>
      <c r="DU117" s="28"/>
      <c r="DV117" s="28"/>
      <c r="DW117" s="65"/>
      <c r="DX117" s="30">
        <f t="shared" si="102"/>
        <v>0</v>
      </c>
      <c r="DY117" s="31">
        <f t="shared" si="103"/>
        <v>4180</v>
      </c>
      <c r="DZ117" s="31">
        <f t="shared" si="104"/>
        <v>4180</v>
      </c>
      <c r="EA117" s="4">
        <f t="shared" si="105"/>
        <v>0</v>
      </c>
      <c r="EB117" s="9">
        <f>D117*'MASTER SHEET'!D117</f>
        <v>0</v>
      </c>
      <c r="EC117" s="9">
        <f>H117*'MASTER SHEET'!D117</f>
        <v>0</v>
      </c>
      <c r="ED117" s="9">
        <f>L117*'MASTER SHEET'!D117</f>
        <v>0</v>
      </c>
      <c r="EE117" s="9">
        <f>P117*'MASTER SHEET'!D117</f>
        <v>0</v>
      </c>
      <c r="EF117" s="9">
        <f>T117*'MASTER SHEET'!D117</f>
        <v>0</v>
      </c>
      <c r="EG117" s="9">
        <f>X117*'MASTER SHEET'!D117</f>
        <v>0</v>
      </c>
      <c r="EH117" s="9">
        <f>AB117*'MASTER SHEET'!D117</f>
        <v>0</v>
      </c>
      <c r="EI117" s="9">
        <f>AF117*'MASTER SHEET'!D117</f>
        <v>0</v>
      </c>
      <c r="EJ117" s="9">
        <f>AJ117*'MASTER SHEET'!D117</f>
        <v>0</v>
      </c>
      <c r="EK117" s="9">
        <f>AN117*'MASTER SHEET'!D117</f>
        <v>0</v>
      </c>
      <c r="EL117" s="9">
        <f>AR117*'MASTER SHEET'!D117</f>
        <v>0</v>
      </c>
      <c r="EM117" s="9">
        <f>AV117*'MASTER SHEET'!D117</f>
        <v>0</v>
      </c>
      <c r="EN117" s="9">
        <f>AZ117*'MASTER SHEET'!D117</f>
        <v>0</v>
      </c>
      <c r="EO117" s="9">
        <f>BD117*'MASTER SHEET'!D117</f>
        <v>0</v>
      </c>
      <c r="EP117" s="9">
        <f>BH117*'MASTER SHEET'!D117</f>
        <v>0</v>
      </c>
      <c r="EQ117" s="9">
        <f>BL117*'MASTER SHEET'!D117</f>
        <v>0</v>
      </c>
      <c r="ER117" s="9">
        <f>BP117*'MASTER SHEET'!D117</f>
        <v>0</v>
      </c>
      <c r="ES117" s="9">
        <f>BT117*'MASTER SHEET'!D117</f>
        <v>0</v>
      </c>
      <c r="ET117" s="9">
        <f>BX117*'MASTER SHEET'!D117</f>
        <v>0</v>
      </c>
      <c r="EU117" s="9">
        <f>CB117*'MASTER SHEET'!D117</f>
        <v>0</v>
      </c>
      <c r="EV117" s="9">
        <f>CF117*'MASTER SHEET'!D117</f>
        <v>0</v>
      </c>
      <c r="EW117" s="9">
        <f>CJ117*'MASTER SHEET'!D117</f>
        <v>0</v>
      </c>
      <c r="EX117" s="9">
        <f>CN117*'MASTER SHEET'!D117</f>
        <v>0</v>
      </c>
      <c r="EY117" s="9">
        <f>CV117*'MASTER SHEET'!D117</f>
        <v>0</v>
      </c>
      <c r="EZ117" s="9">
        <f>CV117*'MASTER SHEET'!D117</f>
        <v>0</v>
      </c>
      <c r="FA117" s="9">
        <f>CZ117*'MASTER SHEET'!D117</f>
        <v>0</v>
      </c>
      <c r="FB117" s="9">
        <f>DD117*'MASTER SHEET'!D117</f>
        <v>0</v>
      </c>
      <c r="FC117" s="9">
        <f>DH117*'MASTER SHEET'!D117</f>
        <v>0</v>
      </c>
      <c r="FD117" s="9">
        <f>DL117*'MASTER SHEET'!D117</f>
        <v>0</v>
      </c>
      <c r="FE117" s="9">
        <f>DP117*'MASTER SHEET'!D117</f>
        <v>0</v>
      </c>
      <c r="FF117" s="9">
        <f>DT117*'MASTER SHEET'!D117</f>
        <v>0</v>
      </c>
      <c r="FG117" s="9">
        <f>DX117*'MASTER SHEET'!D117</f>
        <v>0</v>
      </c>
    </row>
    <row r="118" spans="1:163" ht="20.25" x14ac:dyDescent="0.25">
      <c r="A118" s="43">
        <f>'MASTER SHEET'!A118</f>
        <v>116</v>
      </c>
      <c r="B118" s="26" t="str">
        <f>'MASTER SHEET'!B118</f>
        <v>FUEL STAINER</v>
      </c>
      <c r="C118" s="82">
        <f>'MASTER SHEET'!C118</f>
        <v>5030878</v>
      </c>
      <c r="D118" s="64"/>
      <c r="E118" s="28"/>
      <c r="F118" s="28"/>
      <c r="G118" s="65"/>
      <c r="H118" s="64">
        <f t="shared" si="72"/>
        <v>0</v>
      </c>
      <c r="I118" s="28"/>
      <c r="J118" s="28"/>
      <c r="K118" s="65"/>
      <c r="L118" s="64">
        <f t="shared" si="73"/>
        <v>0</v>
      </c>
      <c r="M118" s="28"/>
      <c r="N118" s="28"/>
      <c r="O118" s="65"/>
      <c r="P118" s="64">
        <f t="shared" si="74"/>
        <v>0</v>
      </c>
      <c r="Q118" s="28"/>
      <c r="R118" s="28"/>
      <c r="S118" s="65"/>
      <c r="T118" s="64">
        <f t="shared" si="75"/>
        <v>0</v>
      </c>
      <c r="U118" s="28"/>
      <c r="V118" s="28"/>
      <c r="W118" s="65"/>
      <c r="X118" s="64">
        <f t="shared" si="76"/>
        <v>0</v>
      </c>
      <c r="Y118" s="28"/>
      <c r="Z118" s="28"/>
      <c r="AA118" s="65"/>
      <c r="AB118" s="64">
        <f t="shared" si="77"/>
        <v>0</v>
      </c>
      <c r="AC118" s="28"/>
      <c r="AD118" s="28"/>
      <c r="AE118" s="65"/>
      <c r="AF118" s="64">
        <f t="shared" si="78"/>
        <v>0</v>
      </c>
      <c r="AG118" s="28"/>
      <c r="AH118" s="28"/>
      <c r="AI118" s="65"/>
      <c r="AJ118" s="64">
        <f t="shared" si="79"/>
        <v>0</v>
      </c>
      <c r="AK118" s="28"/>
      <c r="AL118" s="28"/>
      <c r="AM118" s="65"/>
      <c r="AN118" s="64">
        <f t="shared" si="80"/>
        <v>0</v>
      </c>
      <c r="AO118" s="28"/>
      <c r="AP118" s="28"/>
      <c r="AQ118" s="65"/>
      <c r="AR118" s="64">
        <f t="shared" si="81"/>
        <v>0</v>
      </c>
      <c r="AS118" s="28"/>
      <c r="AT118" s="28"/>
      <c r="AU118" s="65"/>
      <c r="AV118" s="64">
        <f t="shared" si="82"/>
        <v>0</v>
      </c>
      <c r="AW118" s="28"/>
      <c r="AX118" s="28"/>
      <c r="AY118" s="65"/>
      <c r="AZ118" s="64">
        <f t="shared" si="83"/>
        <v>0</v>
      </c>
      <c r="BA118" s="28"/>
      <c r="BB118" s="28"/>
      <c r="BC118" s="65"/>
      <c r="BD118" s="64">
        <f t="shared" si="84"/>
        <v>0</v>
      </c>
      <c r="BE118" s="28"/>
      <c r="BF118" s="28"/>
      <c r="BG118" s="65"/>
      <c r="BH118" s="64">
        <f t="shared" si="85"/>
        <v>0</v>
      </c>
      <c r="BI118" s="28"/>
      <c r="BJ118" s="28"/>
      <c r="BK118" s="65"/>
      <c r="BL118" s="64">
        <f t="shared" si="86"/>
        <v>0</v>
      </c>
      <c r="BM118" s="28"/>
      <c r="BN118" s="28"/>
      <c r="BO118" s="65"/>
      <c r="BP118" s="64">
        <f t="shared" si="87"/>
        <v>0</v>
      </c>
      <c r="BQ118" s="28"/>
      <c r="BR118" s="28"/>
      <c r="BS118" s="65"/>
      <c r="BT118" s="64">
        <f t="shared" si="88"/>
        <v>0</v>
      </c>
      <c r="BU118" s="28"/>
      <c r="BV118" s="28"/>
      <c r="BW118" s="65"/>
      <c r="BX118" s="64">
        <f t="shared" si="89"/>
        <v>0</v>
      </c>
      <c r="BY118" s="28"/>
      <c r="BZ118" s="28"/>
      <c r="CA118" s="65"/>
      <c r="CB118" s="64">
        <f t="shared" si="90"/>
        <v>0</v>
      </c>
      <c r="CC118" s="28"/>
      <c r="CD118" s="28"/>
      <c r="CE118" s="65"/>
      <c r="CF118" s="64">
        <f t="shared" si="91"/>
        <v>0</v>
      </c>
      <c r="CG118" s="28"/>
      <c r="CH118" s="28"/>
      <c r="CI118" s="65"/>
      <c r="CJ118" s="64">
        <f t="shared" si="92"/>
        <v>0</v>
      </c>
      <c r="CK118" s="28"/>
      <c r="CL118" s="28"/>
      <c r="CM118" s="65"/>
      <c r="CN118" s="64">
        <f t="shared" si="93"/>
        <v>0</v>
      </c>
      <c r="CO118" s="28"/>
      <c r="CP118" s="28"/>
      <c r="CQ118" s="65"/>
      <c r="CR118" s="64">
        <f t="shared" si="94"/>
        <v>0</v>
      </c>
      <c r="CS118" s="28"/>
      <c r="CT118" s="28"/>
      <c r="CU118" s="65"/>
      <c r="CV118" s="64">
        <f t="shared" si="95"/>
        <v>0</v>
      </c>
      <c r="CW118" s="28"/>
      <c r="CX118" s="28"/>
      <c r="CY118" s="65"/>
      <c r="CZ118" s="64">
        <f t="shared" si="96"/>
        <v>0</v>
      </c>
      <c r="DA118" s="28"/>
      <c r="DB118" s="28"/>
      <c r="DC118" s="65"/>
      <c r="DD118" s="64">
        <f t="shared" si="97"/>
        <v>0</v>
      </c>
      <c r="DE118" s="28"/>
      <c r="DF118" s="28"/>
      <c r="DG118" s="65"/>
      <c r="DH118" s="64">
        <f t="shared" si="98"/>
        <v>0</v>
      </c>
      <c r="DI118" s="28"/>
      <c r="DJ118" s="28"/>
      <c r="DK118" s="65"/>
      <c r="DL118" s="64">
        <f t="shared" si="99"/>
        <v>0</v>
      </c>
      <c r="DM118" s="28"/>
      <c r="DN118" s="28"/>
      <c r="DO118" s="65"/>
      <c r="DP118" s="64">
        <f t="shared" si="100"/>
        <v>0</v>
      </c>
      <c r="DQ118" s="28"/>
      <c r="DR118" s="28"/>
      <c r="DS118" s="65"/>
      <c r="DT118" s="64">
        <f t="shared" si="101"/>
        <v>0</v>
      </c>
      <c r="DU118" s="28"/>
      <c r="DV118" s="28"/>
      <c r="DW118" s="65"/>
      <c r="DX118" s="30">
        <f t="shared" si="102"/>
        <v>0</v>
      </c>
      <c r="DY118" s="31">
        <f t="shared" si="103"/>
        <v>0</v>
      </c>
      <c r="DZ118" s="31">
        <f t="shared" si="104"/>
        <v>0</v>
      </c>
      <c r="EA118" s="4">
        <f t="shared" si="105"/>
        <v>0</v>
      </c>
      <c r="EB118" s="9">
        <f>D118*'MASTER SHEET'!D118</f>
        <v>0</v>
      </c>
      <c r="EC118" s="9">
        <f>H118*'MASTER SHEET'!D118</f>
        <v>0</v>
      </c>
      <c r="ED118" s="9">
        <f>L118*'MASTER SHEET'!D118</f>
        <v>0</v>
      </c>
      <c r="EE118" s="9">
        <f>P118*'MASTER SHEET'!D118</f>
        <v>0</v>
      </c>
      <c r="EF118" s="9">
        <f>T118*'MASTER SHEET'!D118</f>
        <v>0</v>
      </c>
      <c r="EG118" s="9">
        <f>X118*'MASTER SHEET'!D118</f>
        <v>0</v>
      </c>
      <c r="EH118" s="9">
        <f>AB118*'MASTER SHEET'!D118</f>
        <v>0</v>
      </c>
      <c r="EI118" s="9">
        <f>AF118*'MASTER SHEET'!D118</f>
        <v>0</v>
      </c>
      <c r="EJ118" s="9">
        <f>AJ118*'MASTER SHEET'!D118</f>
        <v>0</v>
      </c>
      <c r="EK118" s="9">
        <f>AN118*'MASTER SHEET'!D118</f>
        <v>0</v>
      </c>
      <c r="EL118" s="9">
        <f>AR118*'MASTER SHEET'!D118</f>
        <v>0</v>
      </c>
      <c r="EM118" s="9">
        <f>AV118*'MASTER SHEET'!D118</f>
        <v>0</v>
      </c>
      <c r="EN118" s="9">
        <f>AZ118*'MASTER SHEET'!D118</f>
        <v>0</v>
      </c>
      <c r="EO118" s="9">
        <f>BD118*'MASTER SHEET'!D118</f>
        <v>0</v>
      </c>
      <c r="EP118" s="9">
        <f>BH118*'MASTER SHEET'!D118</f>
        <v>0</v>
      </c>
      <c r="EQ118" s="9">
        <f>BL118*'MASTER SHEET'!D118</f>
        <v>0</v>
      </c>
      <c r="ER118" s="9">
        <f>BP118*'MASTER SHEET'!D118</f>
        <v>0</v>
      </c>
      <c r="ES118" s="9">
        <f>BT118*'MASTER SHEET'!D118</f>
        <v>0</v>
      </c>
      <c r="ET118" s="9">
        <f>BX118*'MASTER SHEET'!D118</f>
        <v>0</v>
      </c>
      <c r="EU118" s="9">
        <f>CB118*'MASTER SHEET'!D118</f>
        <v>0</v>
      </c>
      <c r="EV118" s="9">
        <f>CF118*'MASTER SHEET'!D118</f>
        <v>0</v>
      </c>
      <c r="EW118" s="9">
        <f>CJ118*'MASTER SHEET'!D118</f>
        <v>0</v>
      </c>
      <c r="EX118" s="9">
        <f>CN118*'MASTER SHEET'!D118</f>
        <v>0</v>
      </c>
      <c r="EY118" s="9">
        <f>CV118*'MASTER SHEET'!D118</f>
        <v>0</v>
      </c>
      <c r="EZ118" s="9">
        <f>CV118*'MASTER SHEET'!D118</f>
        <v>0</v>
      </c>
      <c r="FA118" s="9">
        <f>CZ118*'MASTER SHEET'!D118</f>
        <v>0</v>
      </c>
      <c r="FB118" s="9">
        <f>DD118*'MASTER SHEET'!D118</f>
        <v>0</v>
      </c>
      <c r="FC118" s="9">
        <f>DH118*'MASTER SHEET'!D118</f>
        <v>0</v>
      </c>
      <c r="FD118" s="9">
        <f>DL118*'MASTER SHEET'!D118</f>
        <v>0</v>
      </c>
      <c r="FE118" s="9">
        <f>DP118*'MASTER SHEET'!D118</f>
        <v>0</v>
      </c>
      <c r="FF118" s="9">
        <f>DT118*'MASTER SHEET'!D118</f>
        <v>0</v>
      </c>
      <c r="FG118" s="9">
        <f>DX118*'MASTER SHEET'!D118</f>
        <v>0</v>
      </c>
    </row>
    <row r="119" spans="1:163" ht="20.25" x14ac:dyDescent="0.25">
      <c r="A119" s="43">
        <f>'MASTER SHEET'!A119</f>
        <v>117</v>
      </c>
      <c r="B119" s="26" t="str">
        <f>'MASTER SHEET'!B119</f>
        <v>FLANGE ASS.,PLASTIC</v>
      </c>
      <c r="C119" s="82">
        <f>'MASTER SHEET'!C119</f>
        <v>5049200</v>
      </c>
      <c r="D119" s="64"/>
      <c r="E119" s="28"/>
      <c r="F119" s="28"/>
      <c r="G119" s="65"/>
      <c r="H119" s="64">
        <f t="shared" si="72"/>
        <v>0</v>
      </c>
      <c r="I119" s="28"/>
      <c r="J119" s="28"/>
      <c r="K119" s="65"/>
      <c r="L119" s="64">
        <f t="shared" si="73"/>
        <v>0</v>
      </c>
      <c r="M119" s="28"/>
      <c r="N119" s="28"/>
      <c r="O119" s="65"/>
      <c r="P119" s="64">
        <f t="shared" si="74"/>
        <v>0</v>
      </c>
      <c r="Q119" s="28"/>
      <c r="R119" s="28"/>
      <c r="S119" s="65"/>
      <c r="T119" s="64">
        <f t="shared" si="75"/>
        <v>0</v>
      </c>
      <c r="U119" s="28"/>
      <c r="V119" s="28"/>
      <c r="W119" s="65"/>
      <c r="X119" s="64">
        <f t="shared" si="76"/>
        <v>0</v>
      </c>
      <c r="Y119" s="28"/>
      <c r="Z119" s="28"/>
      <c r="AA119" s="65"/>
      <c r="AB119" s="64">
        <f t="shared" si="77"/>
        <v>0</v>
      </c>
      <c r="AC119" s="28"/>
      <c r="AD119" s="28"/>
      <c r="AE119" s="65"/>
      <c r="AF119" s="64">
        <f t="shared" si="78"/>
        <v>0</v>
      </c>
      <c r="AG119" s="28"/>
      <c r="AH119" s="28"/>
      <c r="AI119" s="65"/>
      <c r="AJ119" s="64">
        <f t="shared" si="79"/>
        <v>0</v>
      </c>
      <c r="AK119" s="28"/>
      <c r="AL119" s="28"/>
      <c r="AM119" s="65"/>
      <c r="AN119" s="64">
        <f t="shared" si="80"/>
        <v>0</v>
      </c>
      <c r="AO119" s="28"/>
      <c r="AP119" s="28"/>
      <c r="AQ119" s="65"/>
      <c r="AR119" s="64">
        <f t="shared" si="81"/>
        <v>0</v>
      </c>
      <c r="AS119" s="28"/>
      <c r="AT119" s="28"/>
      <c r="AU119" s="65"/>
      <c r="AV119" s="64">
        <f t="shared" si="82"/>
        <v>0</v>
      </c>
      <c r="AW119" s="28"/>
      <c r="AX119" s="28"/>
      <c r="AY119" s="65"/>
      <c r="AZ119" s="64">
        <f t="shared" si="83"/>
        <v>0</v>
      </c>
      <c r="BA119" s="28"/>
      <c r="BB119" s="28"/>
      <c r="BC119" s="65"/>
      <c r="BD119" s="64">
        <f t="shared" si="84"/>
        <v>0</v>
      </c>
      <c r="BE119" s="28"/>
      <c r="BF119" s="28"/>
      <c r="BG119" s="65"/>
      <c r="BH119" s="64">
        <f t="shared" si="85"/>
        <v>0</v>
      </c>
      <c r="BI119" s="28"/>
      <c r="BJ119" s="28"/>
      <c r="BK119" s="65"/>
      <c r="BL119" s="64">
        <f t="shared" si="86"/>
        <v>0</v>
      </c>
      <c r="BM119" s="28"/>
      <c r="BN119" s="28"/>
      <c r="BO119" s="65"/>
      <c r="BP119" s="64">
        <f t="shared" si="87"/>
        <v>0</v>
      </c>
      <c r="BQ119" s="28"/>
      <c r="BR119" s="28"/>
      <c r="BS119" s="65"/>
      <c r="BT119" s="64">
        <f t="shared" si="88"/>
        <v>0</v>
      </c>
      <c r="BU119" s="28"/>
      <c r="BV119" s="28"/>
      <c r="BW119" s="65"/>
      <c r="BX119" s="64">
        <f t="shared" si="89"/>
        <v>0</v>
      </c>
      <c r="BY119" s="28"/>
      <c r="BZ119" s="28"/>
      <c r="CA119" s="65"/>
      <c r="CB119" s="64">
        <f t="shared" si="90"/>
        <v>0</v>
      </c>
      <c r="CC119" s="28"/>
      <c r="CD119" s="28"/>
      <c r="CE119" s="65"/>
      <c r="CF119" s="64">
        <f t="shared" si="91"/>
        <v>0</v>
      </c>
      <c r="CG119" s="28"/>
      <c r="CH119" s="28"/>
      <c r="CI119" s="65"/>
      <c r="CJ119" s="64">
        <f t="shared" si="92"/>
        <v>0</v>
      </c>
      <c r="CK119" s="28"/>
      <c r="CL119" s="28"/>
      <c r="CM119" s="65"/>
      <c r="CN119" s="64">
        <f t="shared" si="93"/>
        <v>0</v>
      </c>
      <c r="CO119" s="28"/>
      <c r="CP119" s="28"/>
      <c r="CQ119" s="65"/>
      <c r="CR119" s="64">
        <f t="shared" si="94"/>
        <v>0</v>
      </c>
      <c r="CS119" s="28"/>
      <c r="CT119" s="28"/>
      <c r="CU119" s="65"/>
      <c r="CV119" s="64">
        <f t="shared" si="95"/>
        <v>0</v>
      </c>
      <c r="CW119" s="28"/>
      <c r="CX119" s="28"/>
      <c r="CY119" s="65"/>
      <c r="CZ119" s="64">
        <f t="shared" si="96"/>
        <v>0</v>
      </c>
      <c r="DA119" s="28"/>
      <c r="DB119" s="28"/>
      <c r="DC119" s="65"/>
      <c r="DD119" s="64">
        <f t="shared" si="97"/>
        <v>0</v>
      </c>
      <c r="DE119" s="28"/>
      <c r="DF119" s="28"/>
      <c r="DG119" s="65"/>
      <c r="DH119" s="64">
        <f t="shared" si="98"/>
        <v>0</v>
      </c>
      <c r="DI119" s="28"/>
      <c r="DJ119" s="28"/>
      <c r="DK119" s="65"/>
      <c r="DL119" s="64">
        <f t="shared" si="99"/>
        <v>0</v>
      </c>
      <c r="DM119" s="28"/>
      <c r="DN119" s="28"/>
      <c r="DO119" s="65"/>
      <c r="DP119" s="64">
        <f t="shared" si="100"/>
        <v>0</v>
      </c>
      <c r="DQ119" s="28"/>
      <c r="DR119" s="28"/>
      <c r="DS119" s="65"/>
      <c r="DT119" s="64">
        <f t="shared" si="101"/>
        <v>0</v>
      </c>
      <c r="DU119" s="28"/>
      <c r="DV119" s="28"/>
      <c r="DW119" s="65"/>
      <c r="DX119" s="30">
        <f t="shared" si="102"/>
        <v>0</v>
      </c>
      <c r="DY119" s="31">
        <f t="shared" si="103"/>
        <v>0</v>
      </c>
      <c r="DZ119" s="31">
        <f t="shared" si="104"/>
        <v>0</v>
      </c>
      <c r="EA119" s="4">
        <f t="shared" si="105"/>
        <v>0</v>
      </c>
      <c r="EB119" s="9">
        <f>D119*'MASTER SHEET'!D119</f>
        <v>0</v>
      </c>
      <c r="EC119" s="9">
        <f>H119*'MASTER SHEET'!D119</f>
        <v>0</v>
      </c>
      <c r="ED119" s="9">
        <f>L119*'MASTER SHEET'!D119</f>
        <v>0</v>
      </c>
      <c r="EE119" s="9">
        <f>P119*'MASTER SHEET'!D119</f>
        <v>0</v>
      </c>
      <c r="EF119" s="9">
        <f>T119*'MASTER SHEET'!D119</f>
        <v>0</v>
      </c>
      <c r="EG119" s="9">
        <f>X119*'MASTER SHEET'!D119</f>
        <v>0</v>
      </c>
      <c r="EH119" s="9">
        <f>AB119*'MASTER SHEET'!D119</f>
        <v>0</v>
      </c>
      <c r="EI119" s="9">
        <f>AF119*'MASTER SHEET'!D119</f>
        <v>0</v>
      </c>
      <c r="EJ119" s="9">
        <f>AJ119*'MASTER SHEET'!D119</f>
        <v>0</v>
      </c>
      <c r="EK119" s="9">
        <f>AN119*'MASTER SHEET'!D119</f>
        <v>0</v>
      </c>
      <c r="EL119" s="9">
        <f>AR119*'MASTER SHEET'!D119</f>
        <v>0</v>
      </c>
      <c r="EM119" s="9">
        <f>AV119*'MASTER SHEET'!D119</f>
        <v>0</v>
      </c>
      <c r="EN119" s="9">
        <f>AZ119*'MASTER SHEET'!D119</f>
        <v>0</v>
      </c>
      <c r="EO119" s="9">
        <f>BD119*'MASTER SHEET'!D119</f>
        <v>0</v>
      </c>
      <c r="EP119" s="9">
        <f>BH119*'MASTER SHEET'!D119</f>
        <v>0</v>
      </c>
      <c r="EQ119" s="9">
        <f>BL119*'MASTER SHEET'!D119</f>
        <v>0</v>
      </c>
      <c r="ER119" s="9">
        <f>BP119*'MASTER SHEET'!D119</f>
        <v>0</v>
      </c>
      <c r="ES119" s="9">
        <f>BT119*'MASTER SHEET'!D119</f>
        <v>0</v>
      </c>
      <c r="ET119" s="9">
        <f>BX119*'MASTER SHEET'!D119</f>
        <v>0</v>
      </c>
      <c r="EU119" s="9">
        <f>CB119*'MASTER SHEET'!D119</f>
        <v>0</v>
      </c>
      <c r="EV119" s="9">
        <f>CF119*'MASTER SHEET'!D119</f>
        <v>0</v>
      </c>
      <c r="EW119" s="9">
        <f>CJ119*'MASTER SHEET'!D119</f>
        <v>0</v>
      </c>
      <c r="EX119" s="9">
        <f>CN119*'MASTER SHEET'!D119</f>
        <v>0</v>
      </c>
      <c r="EY119" s="9">
        <f>CV119*'MASTER SHEET'!D119</f>
        <v>0</v>
      </c>
      <c r="EZ119" s="9">
        <f>CV119*'MASTER SHEET'!D119</f>
        <v>0</v>
      </c>
      <c r="FA119" s="9">
        <f>CZ119*'MASTER SHEET'!D119</f>
        <v>0</v>
      </c>
      <c r="FB119" s="9">
        <f>DD119*'MASTER SHEET'!D119</f>
        <v>0</v>
      </c>
      <c r="FC119" s="9">
        <f>DH119*'MASTER SHEET'!D119</f>
        <v>0</v>
      </c>
      <c r="FD119" s="9">
        <f>DL119*'MASTER SHEET'!D119</f>
        <v>0</v>
      </c>
      <c r="FE119" s="9">
        <f>DP119*'MASTER SHEET'!D119</f>
        <v>0</v>
      </c>
      <c r="FF119" s="9">
        <f>DT119*'MASTER SHEET'!D119</f>
        <v>0</v>
      </c>
      <c r="FG119" s="9">
        <f>DX119*'MASTER SHEET'!D119</f>
        <v>0</v>
      </c>
    </row>
    <row r="120" spans="1:163" ht="20.25" x14ac:dyDescent="0.25">
      <c r="A120" s="43">
        <f>'MASTER SHEET'!A120</f>
        <v>118</v>
      </c>
      <c r="B120" s="26" t="str">
        <f>'MASTER SHEET'!B120</f>
        <v>CLAMP</v>
      </c>
      <c r="C120" s="82">
        <f>'MASTER SHEET'!C120</f>
        <v>65254</v>
      </c>
      <c r="D120" s="64"/>
      <c r="E120" s="28"/>
      <c r="F120" s="28"/>
      <c r="G120" s="65"/>
      <c r="H120" s="64">
        <f t="shared" si="72"/>
        <v>0</v>
      </c>
      <c r="I120" s="28"/>
      <c r="J120" s="28"/>
      <c r="K120" s="65"/>
      <c r="L120" s="64">
        <f t="shared" si="73"/>
        <v>0</v>
      </c>
      <c r="M120" s="28"/>
      <c r="N120" s="28"/>
      <c r="O120" s="65"/>
      <c r="P120" s="64">
        <f t="shared" si="74"/>
        <v>0</v>
      </c>
      <c r="Q120" s="28"/>
      <c r="R120" s="28"/>
      <c r="S120" s="65"/>
      <c r="T120" s="64">
        <f t="shared" si="75"/>
        <v>0</v>
      </c>
      <c r="U120" s="28"/>
      <c r="V120" s="28"/>
      <c r="W120" s="65"/>
      <c r="X120" s="64">
        <f t="shared" si="76"/>
        <v>0</v>
      </c>
      <c r="Y120" s="28"/>
      <c r="Z120" s="28"/>
      <c r="AA120" s="65"/>
      <c r="AB120" s="64">
        <f t="shared" si="77"/>
        <v>0</v>
      </c>
      <c r="AC120" s="28"/>
      <c r="AD120" s="28"/>
      <c r="AE120" s="65"/>
      <c r="AF120" s="64">
        <f t="shared" si="78"/>
        <v>0</v>
      </c>
      <c r="AG120" s="28"/>
      <c r="AH120" s="28"/>
      <c r="AI120" s="65"/>
      <c r="AJ120" s="64">
        <f t="shared" si="79"/>
        <v>0</v>
      </c>
      <c r="AK120" s="28"/>
      <c r="AL120" s="28"/>
      <c r="AM120" s="65"/>
      <c r="AN120" s="64">
        <f t="shared" si="80"/>
        <v>0</v>
      </c>
      <c r="AO120" s="28"/>
      <c r="AP120" s="28"/>
      <c r="AQ120" s="65"/>
      <c r="AR120" s="64">
        <f t="shared" si="81"/>
        <v>0</v>
      </c>
      <c r="AS120" s="28"/>
      <c r="AT120" s="28"/>
      <c r="AU120" s="65"/>
      <c r="AV120" s="64">
        <f t="shared" si="82"/>
        <v>0</v>
      </c>
      <c r="AW120" s="28"/>
      <c r="AX120" s="28"/>
      <c r="AY120" s="65"/>
      <c r="AZ120" s="64">
        <f t="shared" si="83"/>
        <v>0</v>
      </c>
      <c r="BA120" s="28"/>
      <c r="BB120" s="28"/>
      <c r="BC120" s="65"/>
      <c r="BD120" s="64">
        <f t="shared" si="84"/>
        <v>0</v>
      </c>
      <c r="BE120" s="28"/>
      <c r="BF120" s="28"/>
      <c r="BG120" s="65"/>
      <c r="BH120" s="64">
        <f t="shared" si="85"/>
        <v>0</v>
      </c>
      <c r="BI120" s="28"/>
      <c r="BJ120" s="28"/>
      <c r="BK120" s="65"/>
      <c r="BL120" s="64">
        <f t="shared" si="86"/>
        <v>0</v>
      </c>
      <c r="BM120" s="28"/>
      <c r="BN120" s="28"/>
      <c r="BO120" s="65"/>
      <c r="BP120" s="64">
        <f t="shared" si="87"/>
        <v>0</v>
      </c>
      <c r="BQ120" s="28"/>
      <c r="BR120" s="28"/>
      <c r="BS120" s="65"/>
      <c r="BT120" s="64">
        <f t="shared" si="88"/>
        <v>0</v>
      </c>
      <c r="BU120" s="28"/>
      <c r="BV120" s="28"/>
      <c r="BW120" s="65"/>
      <c r="BX120" s="64">
        <f t="shared" si="89"/>
        <v>0</v>
      </c>
      <c r="BY120" s="28"/>
      <c r="BZ120" s="28"/>
      <c r="CA120" s="65"/>
      <c r="CB120" s="64">
        <f t="shared" si="90"/>
        <v>0</v>
      </c>
      <c r="CC120" s="28"/>
      <c r="CD120" s="28"/>
      <c r="CE120" s="65"/>
      <c r="CF120" s="64">
        <f t="shared" si="91"/>
        <v>0</v>
      </c>
      <c r="CG120" s="28"/>
      <c r="CH120" s="28"/>
      <c r="CI120" s="65"/>
      <c r="CJ120" s="64">
        <f t="shared" si="92"/>
        <v>0</v>
      </c>
      <c r="CK120" s="28"/>
      <c r="CL120" s="28"/>
      <c r="CM120" s="65"/>
      <c r="CN120" s="64">
        <f t="shared" si="93"/>
        <v>0</v>
      </c>
      <c r="CO120" s="28"/>
      <c r="CP120" s="28"/>
      <c r="CQ120" s="65"/>
      <c r="CR120" s="64">
        <f t="shared" si="94"/>
        <v>0</v>
      </c>
      <c r="CS120" s="28"/>
      <c r="CT120" s="28"/>
      <c r="CU120" s="65"/>
      <c r="CV120" s="64">
        <f t="shared" si="95"/>
        <v>0</v>
      </c>
      <c r="CW120" s="28"/>
      <c r="CX120" s="28"/>
      <c r="CY120" s="65"/>
      <c r="CZ120" s="64">
        <f t="shared" si="96"/>
        <v>0</v>
      </c>
      <c r="DA120" s="28"/>
      <c r="DB120" s="28"/>
      <c r="DC120" s="65"/>
      <c r="DD120" s="64">
        <f t="shared" si="97"/>
        <v>0</v>
      </c>
      <c r="DE120" s="28"/>
      <c r="DF120" s="28"/>
      <c r="DG120" s="65"/>
      <c r="DH120" s="64">
        <f t="shared" si="98"/>
        <v>0</v>
      </c>
      <c r="DI120" s="28"/>
      <c r="DJ120" s="28"/>
      <c r="DK120" s="65"/>
      <c r="DL120" s="64">
        <f t="shared" si="99"/>
        <v>0</v>
      </c>
      <c r="DM120" s="28"/>
      <c r="DN120" s="28"/>
      <c r="DO120" s="65"/>
      <c r="DP120" s="64">
        <f t="shared" si="100"/>
        <v>0</v>
      </c>
      <c r="DQ120" s="28"/>
      <c r="DR120" s="28"/>
      <c r="DS120" s="65"/>
      <c r="DT120" s="64">
        <f t="shared" si="101"/>
        <v>0</v>
      </c>
      <c r="DU120" s="28"/>
      <c r="DV120" s="28"/>
      <c r="DW120" s="65"/>
      <c r="DX120" s="30">
        <f t="shared" si="102"/>
        <v>0</v>
      </c>
      <c r="DY120" s="31">
        <f t="shared" si="103"/>
        <v>0</v>
      </c>
      <c r="DZ120" s="31">
        <f t="shared" si="104"/>
        <v>0</v>
      </c>
      <c r="EA120" s="4">
        <f t="shared" si="105"/>
        <v>0</v>
      </c>
      <c r="EB120" s="9">
        <f>D120*'MASTER SHEET'!D120</f>
        <v>0</v>
      </c>
      <c r="EC120" s="9">
        <f>H120*'MASTER SHEET'!D120</f>
        <v>0</v>
      </c>
      <c r="ED120" s="9">
        <f>L120*'MASTER SHEET'!D120</f>
        <v>0</v>
      </c>
      <c r="EE120" s="9">
        <f>P120*'MASTER SHEET'!D120</f>
        <v>0</v>
      </c>
      <c r="EF120" s="9">
        <f>T120*'MASTER SHEET'!D120</f>
        <v>0</v>
      </c>
      <c r="EG120" s="9">
        <f>X120*'MASTER SHEET'!D120</f>
        <v>0</v>
      </c>
      <c r="EH120" s="9">
        <f>AB120*'MASTER SHEET'!D120</f>
        <v>0</v>
      </c>
      <c r="EI120" s="9">
        <f>AF120*'MASTER SHEET'!D120</f>
        <v>0</v>
      </c>
      <c r="EJ120" s="9">
        <f>AJ120*'MASTER SHEET'!D120</f>
        <v>0</v>
      </c>
      <c r="EK120" s="9">
        <f>AN120*'MASTER SHEET'!D120</f>
        <v>0</v>
      </c>
      <c r="EL120" s="9">
        <f>AR120*'MASTER SHEET'!D120</f>
        <v>0</v>
      </c>
      <c r="EM120" s="9">
        <f>AV120*'MASTER SHEET'!D120</f>
        <v>0</v>
      </c>
      <c r="EN120" s="9">
        <f>AZ120*'MASTER SHEET'!D120</f>
        <v>0</v>
      </c>
      <c r="EO120" s="9">
        <f>BD120*'MASTER SHEET'!D120</f>
        <v>0</v>
      </c>
      <c r="EP120" s="9">
        <f>BH120*'MASTER SHEET'!D120</f>
        <v>0</v>
      </c>
      <c r="EQ120" s="9">
        <f>BL120*'MASTER SHEET'!D120</f>
        <v>0</v>
      </c>
      <c r="ER120" s="9">
        <f>BP120*'MASTER SHEET'!D120</f>
        <v>0</v>
      </c>
      <c r="ES120" s="9">
        <f>BT120*'MASTER SHEET'!D120</f>
        <v>0</v>
      </c>
      <c r="ET120" s="9">
        <f>BX120*'MASTER SHEET'!D120</f>
        <v>0</v>
      </c>
      <c r="EU120" s="9">
        <f>CB120*'MASTER SHEET'!D120</f>
        <v>0</v>
      </c>
      <c r="EV120" s="9">
        <f>CF120*'MASTER SHEET'!D120</f>
        <v>0</v>
      </c>
      <c r="EW120" s="9">
        <f>CJ120*'MASTER SHEET'!D120</f>
        <v>0</v>
      </c>
      <c r="EX120" s="9">
        <f>CN120*'MASTER SHEET'!D120</f>
        <v>0</v>
      </c>
      <c r="EY120" s="9">
        <f>CV120*'MASTER SHEET'!D120</f>
        <v>0</v>
      </c>
      <c r="EZ120" s="9">
        <f>CV120*'MASTER SHEET'!D120</f>
        <v>0</v>
      </c>
      <c r="FA120" s="9">
        <f>CZ120*'MASTER SHEET'!D120</f>
        <v>0</v>
      </c>
      <c r="FB120" s="9">
        <f>DD120*'MASTER SHEET'!D120</f>
        <v>0</v>
      </c>
      <c r="FC120" s="9">
        <f>DH120*'MASTER SHEET'!D120</f>
        <v>0</v>
      </c>
      <c r="FD120" s="9">
        <f>DL120*'MASTER SHEET'!D120</f>
        <v>0</v>
      </c>
      <c r="FE120" s="9">
        <f>DP120*'MASTER SHEET'!D120</f>
        <v>0</v>
      </c>
      <c r="FF120" s="9">
        <f>DT120*'MASTER SHEET'!D120</f>
        <v>0</v>
      </c>
      <c r="FG120" s="9">
        <f>DX120*'MASTER SHEET'!D120</f>
        <v>0</v>
      </c>
    </row>
    <row r="121" spans="1:163" ht="20.25" x14ac:dyDescent="0.25">
      <c r="A121" s="43">
        <f>'MASTER SHEET'!A121</f>
        <v>119</v>
      </c>
      <c r="B121" s="26" t="str">
        <f>'MASTER SHEET'!B121</f>
        <v>LALITPUR GREY</v>
      </c>
      <c r="C121" s="82" t="str">
        <f>'MASTER SHEET'!C121</f>
        <v>JA00002476</v>
      </c>
      <c r="D121" s="64"/>
      <c r="E121" s="28"/>
      <c r="F121" s="28"/>
      <c r="G121" s="65"/>
      <c r="H121" s="64">
        <f t="shared" si="72"/>
        <v>0</v>
      </c>
      <c r="I121" s="28"/>
      <c r="J121" s="28"/>
      <c r="K121" s="65"/>
      <c r="L121" s="64">
        <f t="shared" si="73"/>
        <v>0</v>
      </c>
      <c r="M121" s="28"/>
      <c r="N121" s="28"/>
      <c r="O121" s="65"/>
      <c r="P121" s="64">
        <f t="shared" si="74"/>
        <v>0</v>
      </c>
      <c r="Q121" s="28"/>
      <c r="R121" s="28"/>
      <c r="S121" s="65"/>
      <c r="T121" s="64">
        <f t="shared" si="75"/>
        <v>0</v>
      </c>
      <c r="U121" s="28"/>
      <c r="V121" s="28"/>
      <c r="W121" s="65"/>
      <c r="X121" s="64">
        <f t="shared" si="76"/>
        <v>0</v>
      </c>
      <c r="Y121" s="28"/>
      <c r="Z121" s="28"/>
      <c r="AA121" s="65"/>
      <c r="AB121" s="64">
        <f t="shared" si="77"/>
        <v>0</v>
      </c>
      <c r="AC121" s="28"/>
      <c r="AD121" s="28"/>
      <c r="AE121" s="65"/>
      <c r="AF121" s="64">
        <f t="shared" si="78"/>
        <v>0</v>
      </c>
      <c r="AG121" s="28"/>
      <c r="AH121" s="28"/>
      <c r="AI121" s="65"/>
      <c r="AJ121" s="64">
        <f t="shared" si="79"/>
        <v>0</v>
      </c>
      <c r="AK121" s="28"/>
      <c r="AL121" s="28"/>
      <c r="AM121" s="65"/>
      <c r="AN121" s="64">
        <f t="shared" si="80"/>
        <v>0</v>
      </c>
      <c r="AO121" s="28"/>
      <c r="AP121" s="28"/>
      <c r="AQ121" s="65"/>
      <c r="AR121" s="64">
        <f t="shared" si="81"/>
        <v>0</v>
      </c>
      <c r="AS121" s="28"/>
      <c r="AT121" s="28"/>
      <c r="AU121" s="65"/>
      <c r="AV121" s="64">
        <f t="shared" si="82"/>
        <v>0</v>
      </c>
      <c r="AW121" s="28"/>
      <c r="AX121" s="28"/>
      <c r="AY121" s="65"/>
      <c r="AZ121" s="64">
        <f t="shared" si="83"/>
        <v>0</v>
      </c>
      <c r="BA121" s="28"/>
      <c r="BB121" s="28"/>
      <c r="BC121" s="65"/>
      <c r="BD121" s="64">
        <f t="shared" si="84"/>
        <v>0</v>
      </c>
      <c r="BE121" s="28"/>
      <c r="BF121" s="28"/>
      <c r="BG121" s="65"/>
      <c r="BH121" s="64">
        <f t="shared" si="85"/>
        <v>0</v>
      </c>
      <c r="BI121" s="28"/>
      <c r="BJ121" s="28"/>
      <c r="BK121" s="65"/>
      <c r="BL121" s="64">
        <f t="shared" si="86"/>
        <v>0</v>
      </c>
      <c r="BM121" s="28"/>
      <c r="BN121" s="28"/>
      <c r="BO121" s="65"/>
      <c r="BP121" s="64">
        <f t="shared" si="87"/>
        <v>0</v>
      </c>
      <c r="BQ121" s="28"/>
      <c r="BR121" s="28"/>
      <c r="BS121" s="65"/>
      <c r="BT121" s="64">
        <f t="shared" si="88"/>
        <v>0</v>
      </c>
      <c r="BU121" s="28"/>
      <c r="BV121" s="28"/>
      <c r="BW121" s="65"/>
      <c r="BX121" s="64">
        <f t="shared" si="89"/>
        <v>0</v>
      </c>
      <c r="BY121" s="28"/>
      <c r="BZ121" s="28"/>
      <c r="CA121" s="65"/>
      <c r="CB121" s="64">
        <f t="shared" si="90"/>
        <v>0</v>
      </c>
      <c r="CC121" s="28"/>
      <c r="CD121" s="28"/>
      <c r="CE121" s="65"/>
      <c r="CF121" s="64">
        <f t="shared" si="91"/>
        <v>0</v>
      </c>
      <c r="CG121" s="28"/>
      <c r="CH121" s="28"/>
      <c r="CI121" s="65"/>
      <c r="CJ121" s="64">
        <f t="shared" si="92"/>
        <v>0</v>
      </c>
      <c r="CK121" s="28"/>
      <c r="CL121" s="28"/>
      <c r="CM121" s="65"/>
      <c r="CN121" s="64">
        <f t="shared" si="93"/>
        <v>0</v>
      </c>
      <c r="CO121" s="28"/>
      <c r="CP121" s="28"/>
      <c r="CQ121" s="65"/>
      <c r="CR121" s="64">
        <f t="shared" si="94"/>
        <v>0</v>
      </c>
      <c r="CS121" s="28"/>
      <c r="CT121" s="28"/>
      <c r="CU121" s="65"/>
      <c r="CV121" s="64">
        <f t="shared" si="95"/>
        <v>0</v>
      </c>
      <c r="CW121" s="28"/>
      <c r="CX121" s="28"/>
      <c r="CY121" s="65"/>
      <c r="CZ121" s="64">
        <f t="shared" si="96"/>
        <v>0</v>
      </c>
      <c r="DA121" s="28"/>
      <c r="DB121" s="28"/>
      <c r="DC121" s="65"/>
      <c r="DD121" s="64">
        <f t="shared" si="97"/>
        <v>0</v>
      </c>
      <c r="DE121" s="28"/>
      <c r="DF121" s="28"/>
      <c r="DG121" s="65"/>
      <c r="DH121" s="64">
        <f t="shared" si="98"/>
        <v>0</v>
      </c>
      <c r="DI121" s="28"/>
      <c r="DJ121" s="28"/>
      <c r="DK121" s="65"/>
      <c r="DL121" s="64">
        <f t="shared" si="99"/>
        <v>0</v>
      </c>
      <c r="DM121" s="28"/>
      <c r="DN121" s="28"/>
      <c r="DO121" s="65"/>
      <c r="DP121" s="64">
        <f t="shared" si="100"/>
        <v>0</v>
      </c>
      <c r="DQ121" s="28"/>
      <c r="DR121" s="28"/>
      <c r="DS121" s="65"/>
      <c r="DT121" s="64">
        <f t="shared" si="101"/>
        <v>0</v>
      </c>
      <c r="DU121" s="28"/>
      <c r="DV121" s="28"/>
      <c r="DW121" s="65"/>
      <c r="DX121" s="30">
        <f t="shared" si="102"/>
        <v>0</v>
      </c>
      <c r="DY121" s="31">
        <f t="shared" si="103"/>
        <v>0</v>
      </c>
      <c r="DZ121" s="31">
        <f t="shared" si="104"/>
        <v>0</v>
      </c>
      <c r="EA121" s="4">
        <f t="shared" si="105"/>
        <v>0</v>
      </c>
      <c r="EB121" s="9">
        <f>D121*'MASTER SHEET'!D121</f>
        <v>0</v>
      </c>
      <c r="EC121" s="9">
        <f>H121*'MASTER SHEET'!D121</f>
        <v>0</v>
      </c>
      <c r="ED121" s="9">
        <f>L121*'MASTER SHEET'!D121</f>
        <v>0</v>
      </c>
      <c r="EE121" s="9">
        <f>P121*'MASTER SHEET'!D121</f>
        <v>0</v>
      </c>
      <c r="EF121" s="9">
        <f>T121*'MASTER SHEET'!D121</f>
        <v>0</v>
      </c>
      <c r="EG121" s="9">
        <f>X121*'MASTER SHEET'!D121</f>
        <v>0</v>
      </c>
      <c r="EH121" s="9">
        <f>AB121*'MASTER SHEET'!D121</f>
        <v>0</v>
      </c>
      <c r="EI121" s="9">
        <f>AF121*'MASTER SHEET'!D121</f>
        <v>0</v>
      </c>
      <c r="EJ121" s="9">
        <f>AJ121*'MASTER SHEET'!D121</f>
        <v>0</v>
      </c>
      <c r="EK121" s="9">
        <f>AN121*'MASTER SHEET'!D121</f>
        <v>0</v>
      </c>
      <c r="EL121" s="9">
        <f>AR121*'MASTER SHEET'!D121</f>
        <v>0</v>
      </c>
      <c r="EM121" s="9">
        <f>AV121*'MASTER SHEET'!D121</f>
        <v>0</v>
      </c>
      <c r="EN121" s="9">
        <f>AZ121*'MASTER SHEET'!D121</f>
        <v>0</v>
      </c>
      <c r="EO121" s="9">
        <f>BD121*'MASTER SHEET'!D121</f>
        <v>0</v>
      </c>
      <c r="EP121" s="9">
        <f>BH121*'MASTER SHEET'!D121</f>
        <v>0</v>
      </c>
      <c r="EQ121" s="9">
        <f>BL121*'MASTER SHEET'!D121</f>
        <v>0</v>
      </c>
      <c r="ER121" s="9">
        <f>BP121*'MASTER SHEET'!D121</f>
        <v>0</v>
      </c>
      <c r="ES121" s="9">
        <f>BT121*'MASTER SHEET'!D121</f>
        <v>0</v>
      </c>
      <c r="ET121" s="9">
        <f>BX121*'MASTER SHEET'!D121</f>
        <v>0</v>
      </c>
      <c r="EU121" s="9">
        <f>CB121*'MASTER SHEET'!D121</f>
        <v>0</v>
      </c>
      <c r="EV121" s="9">
        <f>CF121*'MASTER SHEET'!D121</f>
        <v>0</v>
      </c>
      <c r="EW121" s="9">
        <f>CJ121*'MASTER SHEET'!D121</f>
        <v>0</v>
      </c>
      <c r="EX121" s="9">
        <f>CN121*'MASTER SHEET'!D121</f>
        <v>0</v>
      </c>
      <c r="EY121" s="9">
        <f>CV121*'MASTER SHEET'!D121</f>
        <v>0</v>
      </c>
      <c r="EZ121" s="9">
        <f>CV121*'MASTER SHEET'!D121</f>
        <v>0</v>
      </c>
      <c r="FA121" s="9">
        <f>CZ121*'MASTER SHEET'!D121</f>
        <v>0</v>
      </c>
      <c r="FB121" s="9">
        <f>DD121*'MASTER SHEET'!D121</f>
        <v>0</v>
      </c>
      <c r="FC121" s="9">
        <f>DH121*'MASTER SHEET'!D121</f>
        <v>0</v>
      </c>
      <c r="FD121" s="9">
        <f>DL121*'MASTER SHEET'!D121</f>
        <v>0</v>
      </c>
      <c r="FE121" s="9">
        <f>DP121*'MASTER SHEET'!D121</f>
        <v>0</v>
      </c>
      <c r="FF121" s="9">
        <f>DT121*'MASTER SHEET'!D121</f>
        <v>0</v>
      </c>
      <c r="FG121" s="9">
        <f>DX121*'MASTER SHEET'!D121</f>
        <v>0</v>
      </c>
    </row>
    <row r="122" spans="1:163" ht="20.25" x14ac:dyDescent="0.25">
      <c r="A122" s="43">
        <f>'MASTER SHEET'!A122</f>
        <v>120</v>
      </c>
      <c r="B122" s="26" t="str">
        <f>'MASTER SHEET'!B122</f>
        <v>KOTA GREY</v>
      </c>
      <c r="C122" s="82" t="str">
        <f>'MASTER SHEET'!C122</f>
        <v>JA00004142</v>
      </c>
      <c r="D122" s="64"/>
      <c r="E122" s="28"/>
      <c r="F122" s="28"/>
      <c r="G122" s="65"/>
      <c r="H122" s="64">
        <f t="shared" si="72"/>
        <v>0</v>
      </c>
      <c r="I122" s="28"/>
      <c r="J122" s="28"/>
      <c r="K122" s="65"/>
      <c r="L122" s="64">
        <f t="shared" si="73"/>
        <v>0</v>
      </c>
      <c r="M122" s="28"/>
      <c r="N122" s="28"/>
      <c r="O122" s="65"/>
      <c r="P122" s="64">
        <f t="shared" si="74"/>
        <v>0</v>
      </c>
      <c r="Q122" s="28"/>
      <c r="R122" s="28"/>
      <c r="S122" s="65"/>
      <c r="T122" s="64">
        <f t="shared" si="75"/>
        <v>0</v>
      </c>
      <c r="U122" s="28"/>
      <c r="V122" s="28"/>
      <c r="W122" s="65"/>
      <c r="X122" s="64">
        <f t="shared" si="76"/>
        <v>0</v>
      </c>
      <c r="Y122" s="28"/>
      <c r="Z122" s="28"/>
      <c r="AA122" s="65"/>
      <c r="AB122" s="64">
        <f t="shared" si="77"/>
        <v>0</v>
      </c>
      <c r="AC122" s="28"/>
      <c r="AD122" s="28"/>
      <c r="AE122" s="65"/>
      <c r="AF122" s="64">
        <f t="shared" si="78"/>
        <v>0</v>
      </c>
      <c r="AG122" s="28"/>
      <c r="AH122" s="28"/>
      <c r="AI122" s="65"/>
      <c r="AJ122" s="64">
        <f t="shared" si="79"/>
        <v>0</v>
      </c>
      <c r="AK122" s="28"/>
      <c r="AL122" s="28"/>
      <c r="AM122" s="65"/>
      <c r="AN122" s="64">
        <f t="shared" si="80"/>
        <v>0</v>
      </c>
      <c r="AO122" s="28"/>
      <c r="AP122" s="28"/>
      <c r="AQ122" s="65"/>
      <c r="AR122" s="64">
        <f t="shared" si="81"/>
        <v>0</v>
      </c>
      <c r="AS122" s="28"/>
      <c r="AT122" s="28"/>
      <c r="AU122" s="65"/>
      <c r="AV122" s="64">
        <f t="shared" si="82"/>
        <v>0</v>
      </c>
      <c r="AW122" s="28"/>
      <c r="AX122" s="28"/>
      <c r="AY122" s="65"/>
      <c r="AZ122" s="64">
        <f t="shared" si="83"/>
        <v>0</v>
      </c>
      <c r="BA122" s="28"/>
      <c r="BB122" s="28"/>
      <c r="BC122" s="65"/>
      <c r="BD122" s="64">
        <f t="shared" si="84"/>
        <v>0</v>
      </c>
      <c r="BE122" s="28"/>
      <c r="BF122" s="28"/>
      <c r="BG122" s="65"/>
      <c r="BH122" s="64">
        <f t="shared" si="85"/>
        <v>0</v>
      </c>
      <c r="BI122" s="28"/>
      <c r="BJ122" s="28"/>
      <c r="BK122" s="65"/>
      <c r="BL122" s="64">
        <f t="shared" si="86"/>
        <v>0</v>
      </c>
      <c r="BM122" s="28"/>
      <c r="BN122" s="28"/>
      <c r="BO122" s="65"/>
      <c r="BP122" s="64">
        <f t="shared" si="87"/>
        <v>0</v>
      </c>
      <c r="BQ122" s="28"/>
      <c r="BR122" s="28"/>
      <c r="BS122" s="65"/>
      <c r="BT122" s="64">
        <f t="shared" si="88"/>
        <v>0</v>
      </c>
      <c r="BU122" s="28"/>
      <c r="BV122" s="28"/>
      <c r="BW122" s="65"/>
      <c r="BX122" s="64">
        <f t="shared" si="89"/>
        <v>0</v>
      </c>
      <c r="BY122" s="28"/>
      <c r="BZ122" s="28"/>
      <c r="CA122" s="65"/>
      <c r="CB122" s="64">
        <f t="shared" si="90"/>
        <v>0</v>
      </c>
      <c r="CC122" s="28"/>
      <c r="CD122" s="28"/>
      <c r="CE122" s="65"/>
      <c r="CF122" s="64">
        <f t="shared" si="91"/>
        <v>0</v>
      </c>
      <c r="CG122" s="28"/>
      <c r="CH122" s="28"/>
      <c r="CI122" s="65"/>
      <c r="CJ122" s="64">
        <f t="shared" si="92"/>
        <v>0</v>
      </c>
      <c r="CK122" s="28"/>
      <c r="CL122" s="28"/>
      <c r="CM122" s="65"/>
      <c r="CN122" s="64">
        <f t="shared" si="93"/>
        <v>0</v>
      </c>
      <c r="CO122" s="28"/>
      <c r="CP122" s="28"/>
      <c r="CQ122" s="65"/>
      <c r="CR122" s="64">
        <f t="shared" si="94"/>
        <v>0</v>
      </c>
      <c r="CS122" s="28"/>
      <c r="CT122" s="28"/>
      <c r="CU122" s="65"/>
      <c r="CV122" s="64">
        <f t="shared" si="95"/>
        <v>0</v>
      </c>
      <c r="CW122" s="28"/>
      <c r="CX122" s="28"/>
      <c r="CY122" s="65"/>
      <c r="CZ122" s="64">
        <f t="shared" si="96"/>
        <v>0</v>
      </c>
      <c r="DA122" s="28"/>
      <c r="DB122" s="28"/>
      <c r="DC122" s="65"/>
      <c r="DD122" s="64">
        <f t="shared" si="97"/>
        <v>0</v>
      </c>
      <c r="DE122" s="28"/>
      <c r="DF122" s="28"/>
      <c r="DG122" s="65"/>
      <c r="DH122" s="64">
        <f t="shared" si="98"/>
        <v>0</v>
      </c>
      <c r="DI122" s="28"/>
      <c r="DJ122" s="28"/>
      <c r="DK122" s="65"/>
      <c r="DL122" s="64">
        <f t="shared" si="99"/>
        <v>0</v>
      </c>
      <c r="DM122" s="28"/>
      <c r="DN122" s="28"/>
      <c r="DO122" s="65"/>
      <c r="DP122" s="64">
        <f t="shared" si="100"/>
        <v>0</v>
      </c>
      <c r="DQ122" s="28"/>
      <c r="DR122" s="28"/>
      <c r="DS122" s="65"/>
      <c r="DT122" s="64">
        <f t="shared" si="101"/>
        <v>0</v>
      </c>
      <c r="DU122" s="28"/>
      <c r="DV122" s="28"/>
      <c r="DW122" s="65"/>
      <c r="DX122" s="30">
        <f t="shared" si="102"/>
        <v>0</v>
      </c>
      <c r="DY122" s="31">
        <f t="shared" si="103"/>
        <v>0</v>
      </c>
      <c r="DZ122" s="31">
        <f t="shared" si="104"/>
        <v>0</v>
      </c>
      <c r="EA122" s="4">
        <f t="shared" si="105"/>
        <v>0</v>
      </c>
      <c r="EB122" s="9">
        <f>D122*'MASTER SHEET'!D122</f>
        <v>0</v>
      </c>
      <c r="EC122" s="9">
        <f>H122*'MASTER SHEET'!D122</f>
        <v>0</v>
      </c>
      <c r="ED122" s="9">
        <f>L122*'MASTER SHEET'!D122</f>
        <v>0</v>
      </c>
      <c r="EE122" s="9">
        <f>P122*'MASTER SHEET'!D122</f>
        <v>0</v>
      </c>
      <c r="EF122" s="9">
        <f>T122*'MASTER SHEET'!D122</f>
        <v>0</v>
      </c>
      <c r="EG122" s="9">
        <f>X122*'MASTER SHEET'!D122</f>
        <v>0</v>
      </c>
      <c r="EH122" s="9">
        <f>AB122*'MASTER SHEET'!D122</f>
        <v>0</v>
      </c>
      <c r="EI122" s="9">
        <f>AF122*'MASTER SHEET'!D122</f>
        <v>0</v>
      </c>
      <c r="EJ122" s="9">
        <f>AJ122*'MASTER SHEET'!D122</f>
        <v>0</v>
      </c>
      <c r="EK122" s="9">
        <f>AN122*'MASTER SHEET'!D122</f>
        <v>0</v>
      </c>
      <c r="EL122" s="9">
        <f>AR122*'MASTER SHEET'!D122</f>
        <v>0</v>
      </c>
      <c r="EM122" s="9">
        <f>AV122*'MASTER SHEET'!D122</f>
        <v>0</v>
      </c>
      <c r="EN122" s="9">
        <f>AZ122*'MASTER SHEET'!D122</f>
        <v>0</v>
      </c>
      <c r="EO122" s="9">
        <f>BD122*'MASTER SHEET'!D122</f>
        <v>0</v>
      </c>
      <c r="EP122" s="9">
        <f>BH122*'MASTER SHEET'!D122</f>
        <v>0</v>
      </c>
      <c r="EQ122" s="9">
        <f>BL122*'MASTER SHEET'!D122</f>
        <v>0</v>
      </c>
      <c r="ER122" s="9">
        <f>BP122*'MASTER SHEET'!D122</f>
        <v>0</v>
      </c>
      <c r="ES122" s="9">
        <f>BT122*'MASTER SHEET'!D122</f>
        <v>0</v>
      </c>
      <c r="ET122" s="9">
        <f>BX122*'MASTER SHEET'!D122</f>
        <v>0</v>
      </c>
      <c r="EU122" s="9">
        <f>CB122*'MASTER SHEET'!D122</f>
        <v>0</v>
      </c>
      <c r="EV122" s="9">
        <f>CF122*'MASTER SHEET'!D122</f>
        <v>0</v>
      </c>
      <c r="EW122" s="9">
        <f>CJ122*'MASTER SHEET'!D122</f>
        <v>0</v>
      </c>
      <c r="EX122" s="9">
        <f>CN122*'MASTER SHEET'!D122</f>
        <v>0</v>
      </c>
      <c r="EY122" s="9">
        <f>CV122*'MASTER SHEET'!D122</f>
        <v>0</v>
      </c>
      <c r="EZ122" s="9">
        <f>CV122*'MASTER SHEET'!D122</f>
        <v>0</v>
      </c>
      <c r="FA122" s="9">
        <f>CZ122*'MASTER SHEET'!D122</f>
        <v>0</v>
      </c>
      <c r="FB122" s="9">
        <f>DD122*'MASTER SHEET'!D122</f>
        <v>0</v>
      </c>
      <c r="FC122" s="9">
        <f>DH122*'MASTER SHEET'!D122</f>
        <v>0</v>
      </c>
      <c r="FD122" s="9">
        <f>DL122*'MASTER SHEET'!D122</f>
        <v>0</v>
      </c>
      <c r="FE122" s="9">
        <f>DP122*'MASTER SHEET'!D122</f>
        <v>0</v>
      </c>
      <c r="FF122" s="9">
        <f>DT122*'MASTER SHEET'!D122</f>
        <v>0</v>
      </c>
      <c r="FG122" s="9">
        <f>DX122*'MASTER SHEET'!D122</f>
        <v>0</v>
      </c>
    </row>
    <row r="123" spans="1:163" ht="20.25" x14ac:dyDescent="0.25">
      <c r="A123" s="43">
        <f>'MASTER SHEET'!A123</f>
        <v>121</v>
      </c>
      <c r="B123" s="26" t="str">
        <f>'MASTER SHEET'!B123</f>
        <v xml:space="preserve">GRANITE BLACK </v>
      </c>
      <c r="C123" s="82" t="str">
        <f>'MASTER SHEET'!C123</f>
        <v>JA00003924</v>
      </c>
      <c r="D123" s="64"/>
      <c r="E123" s="28"/>
      <c r="F123" s="28"/>
      <c r="G123" s="65"/>
      <c r="H123" s="64">
        <f t="shared" si="72"/>
        <v>0</v>
      </c>
      <c r="I123" s="28"/>
      <c r="J123" s="28"/>
      <c r="K123" s="65"/>
      <c r="L123" s="64">
        <f t="shared" si="73"/>
        <v>0</v>
      </c>
      <c r="M123" s="28"/>
      <c r="N123" s="28"/>
      <c r="O123" s="65"/>
      <c r="P123" s="64">
        <f t="shared" si="74"/>
        <v>0</v>
      </c>
      <c r="Q123" s="28"/>
      <c r="R123" s="28"/>
      <c r="S123" s="65"/>
      <c r="T123" s="64">
        <f t="shared" si="75"/>
        <v>0</v>
      </c>
      <c r="U123" s="28"/>
      <c r="V123" s="28"/>
      <c r="W123" s="65"/>
      <c r="X123" s="64">
        <f t="shared" si="76"/>
        <v>0</v>
      </c>
      <c r="Y123" s="28"/>
      <c r="Z123" s="28"/>
      <c r="AA123" s="65"/>
      <c r="AB123" s="64">
        <f t="shared" si="77"/>
        <v>0</v>
      </c>
      <c r="AC123" s="28"/>
      <c r="AD123" s="28"/>
      <c r="AE123" s="65"/>
      <c r="AF123" s="64">
        <f t="shared" si="78"/>
        <v>0</v>
      </c>
      <c r="AG123" s="28"/>
      <c r="AH123" s="28"/>
      <c r="AI123" s="65"/>
      <c r="AJ123" s="64">
        <f t="shared" si="79"/>
        <v>0</v>
      </c>
      <c r="AK123" s="28"/>
      <c r="AL123" s="28"/>
      <c r="AM123" s="65"/>
      <c r="AN123" s="64">
        <f t="shared" si="80"/>
        <v>0</v>
      </c>
      <c r="AO123" s="28"/>
      <c r="AP123" s="28"/>
      <c r="AQ123" s="65"/>
      <c r="AR123" s="64">
        <f t="shared" si="81"/>
        <v>0</v>
      </c>
      <c r="AS123" s="28"/>
      <c r="AT123" s="28"/>
      <c r="AU123" s="65"/>
      <c r="AV123" s="64">
        <f t="shared" si="82"/>
        <v>0</v>
      </c>
      <c r="AW123" s="28"/>
      <c r="AX123" s="28"/>
      <c r="AY123" s="65"/>
      <c r="AZ123" s="64">
        <f t="shared" si="83"/>
        <v>0</v>
      </c>
      <c r="BA123" s="28"/>
      <c r="BB123" s="28"/>
      <c r="BC123" s="65"/>
      <c r="BD123" s="64">
        <f t="shared" si="84"/>
        <v>0</v>
      </c>
      <c r="BE123" s="28"/>
      <c r="BF123" s="28"/>
      <c r="BG123" s="65"/>
      <c r="BH123" s="64">
        <f t="shared" si="85"/>
        <v>0</v>
      </c>
      <c r="BI123" s="28"/>
      <c r="BJ123" s="28"/>
      <c r="BK123" s="65"/>
      <c r="BL123" s="64">
        <f t="shared" si="86"/>
        <v>0</v>
      </c>
      <c r="BM123" s="28"/>
      <c r="BN123" s="28"/>
      <c r="BO123" s="65"/>
      <c r="BP123" s="64">
        <f t="shared" si="87"/>
        <v>0</v>
      </c>
      <c r="BQ123" s="28"/>
      <c r="BR123" s="28"/>
      <c r="BS123" s="65"/>
      <c r="BT123" s="64">
        <f t="shared" si="88"/>
        <v>0</v>
      </c>
      <c r="BU123" s="28"/>
      <c r="BV123" s="28"/>
      <c r="BW123" s="65"/>
      <c r="BX123" s="64">
        <f t="shared" si="89"/>
        <v>0</v>
      </c>
      <c r="BY123" s="28"/>
      <c r="BZ123" s="28"/>
      <c r="CA123" s="65"/>
      <c r="CB123" s="64">
        <f t="shared" si="90"/>
        <v>0</v>
      </c>
      <c r="CC123" s="28"/>
      <c r="CD123" s="28"/>
      <c r="CE123" s="65"/>
      <c r="CF123" s="64">
        <f t="shared" si="91"/>
        <v>0</v>
      </c>
      <c r="CG123" s="28"/>
      <c r="CH123" s="28"/>
      <c r="CI123" s="65"/>
      <c r="CJ123" s="64">
        <f t="shared" si="92"/>
        <v>0</v>
      </c>
      <c r="CK123" s="28"/>
      <c r="CL123" s="28"/>
      <c r="CM123" s="65"/>
      <c r="CN123" s="64">
        <f t="shared" si="93"/>
        <v>0</v>
      </c>
      <c r="CO123" s="28"/>
      <c r="CP123" s="28"/>
      <c r="CQ123" s="65"/>
      <c r="CR123" s="64">
        <f t="shared" si="94"/>
        <v>0</v>
      </c>
      <c r="CS123" s="28"/>
      <c r="CT123" s="28"/>
      <c r="CU123" s="65"/>
      <c r="CV123" s="64">
        <f t="shared" si="95"/>
        <v>0</v>
      </c>
      <c r="CW123" s="28"/>
      <c r="CX123" s="28"/>
      <c r="CY123" s="65"/>
      <c r="CZ123" s="64">
        <f t="shared" si="96"/>
        <v>0</v>
      </c>
      <c r="DA123" s="28"/>
      <c r="DB123" s="28"/>
      <c r="DC123" s="65"/>
      <c r="DD123" s="64">
        <f t="shared" si="97"/>
        <v>0</v>
      </c>
      <c r="DE123" s="28"/>
      <c r="DF123" s="28"/>
      <c r="DG123" s="65"/>
      <c r="DH123" s="64">
        <f t="shared" si="98"/>
        <v>0</v>
      </c>
      <c r="DI123" s="28"/>
      <c r="DJ123" s="28"/>
      <c r="DK123" s="65"/>
      <c r="DL123" s="64">
        <f t="shared" si="99"/>
        <v>0</v>
      </c>
      <c r="DM123" s="28"/>
      <c r="DN123" s="28"/>
      <c r="DO123" s="65"/>
      <c r="DP123" s="64">
        <f t="shared" si="100"/>
        <v>0</v>
      </c>
      <c r="DQ123" s="28"/>
      <c r="DR123" s="28"/>
      <c r="DS123" s="65"/>
      <c r="DT123" s="64">
        <f t="shared" si="101"/>
        <v>0</v>
      </c>
      <c r="DU123" s="28"/>
      <c r="DV123" s="28"/>
      <c r="DW123" s="65"/>
      <c r="DX123" s="30">
        <f t="shared" si="102"/>
        <v>0</v>
      </c>
      <c r="DY123" s="31">
        <f t="shared" si="103"/>
        <v>0</v>
      </c>
      <c r="DZ123" s="31">
        <f t="shared" si="104"/>
        <v>0</v>
      </c>
      <c r="EA123" s="4">
        <f t="shared" si="105"/>
        <v>0</v>
      </c>
      <c r="EB123" s="9">
        <f>D123*'MASTER SHEET'!D123</f>
        <v>0</v>
      </c>
      <c r="EC123" s="9">
        <f>H123*'MASTER SHEET'!D123</f>
        <v>0</v>
      </c>
      <c r="ED123" s="9">
        <f>L123*'MASTER SHEET'!D123</f>
        <v>0</v>
      </c>
      <c r="EE123" s="9">
        <f>P123*'MASTER SHEET'!D123</f>
        <v>0</v>
      </c>
      <c r="EF123" s="9">
        <f>T123*'MASTER SHEET'!D123</f>
        <v>0</v>
      </c>
      <c r="EG123" s="9">
        <f>X123*'MASTER SHEET'!D123</f>
        <v>0</v>
      </c>
      <c r="EH123" s="9">
        <f>AB123*'MASTER SHEET'!D123</f>
        <v>0</v>
      </c>
      <c r="EI123" s="9">
        <f>AF123*'MASTER SHEET'!D123</f>
        <v>0</v>
      </c>
      <c r="EJ123" s="9">
        <f>AJ123*'MASTER SHEET'!D123</f>
        <v>0</v>
      </c>
      <c r="EK123" s="9">
        <f>AN123*'MASTER SHEET'!D123</f>
        <v>0</v>
      </c>
      <c r="EL123" s="9">
        <f>AR123*'MASTER SHEET'!D123</f>
        <v>0</v>
      </c>
      <c r="EM123" s="9">
        <f>AV123*'MASTER SHEET'!D123</f>
        <v>0</v>
      </c>
      <c r="EN123" s="9">
        <f>AZ123*'MASTER SHEET'!D123</f>
        <v>0</v>
      </c>
      <c r="EO123" s="9">
        <f>BD123*'MASTER SHEET'!D123</f>
        <v>0</v>
      </c>
      <c r="EP123" s="9">
        <f>BH123*'MASTER SHEET'!D123</f>
        <v>0</v>
      </c>
      <c r="EQ123" s="9">
        <f>BL123*'MASTER SHEET'!D123</f>
        <v>0</v>
      </c>
      <c r="ER123" s="9">
        <f>BP123*'MASTER SHEET'!D123</f>
        <v>0</v>
      </c>
      <c r="ES123" s="9">
        <f>BT123*'MASTER SHEET'!D123</f>
        <v>0</v>
      </c>
      <c r="ET123" s="9">
        <f>BX123*'MASTER SHEET'!D123</f>
        <v>0</v>
      </c>
      <c r="EU123" s="9">
        <f>CB123*'MASTER SHEET'!D123</f>
        <v>0</v>
      </c>
      <c r="EV123" s="9">
        <f>CF123*'MASTER SHEET'!D123</f>
        <v>0</v>
      </c>
      <c r="EW123" s="9">
        <f>CJ123*'MASTER SHEET'!D123</f>
        <v>0</v>
      </c>
      <c r="EX123" s="9">
        <f>CN123*'MASTER SHEET'!D123</f>
        <v>0</v>
      </c>
      <c r="EY123" s="9">
        <f>CV123*'MASTER SHEET'!D123</f>
        <v>0</v>
      </c>
      <c r="EZ123" s="9">
        <f>CV123*'MASTER SHEET'!D123</f>
        <v>0</v>
      </c>
      <c r="FA123" s="9">
        <f>CZ123*'MASTER SHEET'!D123</f>
        <v>0</v>
      </c>
      <c r="FB123" s="9">
        <f>DD123*'MASTER SHEET'!D123</f>
        <v>0</v>
      </c>
      <c r="FC123" s="9">
        <f>DH123*'MASTER SHEET'!D123</f>
        <v>0</v>
      </c>
      <c r="FD123" s="9">
        <f>DL123*'MASTER SHEET'!D123</f>
        <v>0</v>
      </c>
      <c r="FE123" s="9">
        <f>DP123*'MASTER SHEET'!D123</f>
        <v>0</v>
      </c>
      <c r="FF123" s="9">
        <f>DT123*'MASTER SHEET'!D123</f>
        <v>0</v>
      </c>
      <c r="FG123" s="9">
        <f>DX123*'MASTER SHEET'!D123</f>
        <v>0</v>
      </c>
    </row>
    <row r="124" spans="1:163" ht="20.25" x14ac:dyDescent="0.25">
      <c r="A124" s="43">
        <f>'MASTER SHEET'!A124</f>
        <v>122</v>
      </c>
      <c r="B124" s="26" t="str">
        <f>'MASTER SHEET'!B124</f>
        <v>YOM HRSKNOBASSY INSERT MOLDING5 PK</v>
      </c>
      <c r="C124" s="82" t="str">
        <f>'MASTER SHEET'!C124</f>
        <v>GA00007422</v>
      </c>
      <c r="D124" s="64"/>
      <c r="E124" s="28"/>
      <c r="F124" s="28"/>
      <c r="G124" s="65"/>
      <c r="H124" s="64">
        <f t="shared" si="72"/>
        <v>0</v>
      </c>
      <c r="I124" s="28"/>
      <c r="J124" s="28"/>
      <c r="K124" s="65"/>
      <c r="L124" s="64">
        <f t="shared" si="73"/>
        <v>0</v>
      </c>
      <c r="M124" s="28"/>
      <c r="N124" s="28"/>
      <c r="O124" s="65"/>
      <c r="P124" s="64">
        <f t="shared" si="74"/>
        <v>0</v>
      </c>
      <c r="Q124" s="28"/>
      <c r="R124" s="28"/>
      <c r="S124" s="65"/>
      <c r="T124" s="64">
        <f t="shared" si="75"/>
        <v>0</v>
      </c>
      <c r="U124" s="28"/>
      <c r="V124" s="28"/>
      <c r="W124" s="65"/>
      <c r="X124" s="64">
        <f t="shared" si="76"/>
        <v>0</v>
      </c>
      <c r="Y124" s="28"/>
      <c r="Z124" s="28"/>
      <c r="AA124" s="65"/>
      <c r="AB124" s="64">
        <f t="shared" si="77"/>
        <v>0</v>
      </c>
      <c r="AC124" s="28"/>
      <c r="AD124" s="28"/>
      <c r="AE124" s="65"/>
      <c r="AF124" s="64">
        <f t="shared" si="78"/>
        <v>0</v>
      </c>
      <c r="AG124" s="28"/>
      <c r="AH124" s="28"/>
      <c r="AI124" s="65"/>
      <c r="AJ124" s="64">
        <f t="shared" si="79"/>
        <v>0</v>
      </c>
      <c r="AK124" s="28"/>
      <c r="AL124" s="28"/>
      <c r="AM124" s="65"/>
      <c r="AN124" s="64">
        <f t="shared" si="80"/>
        <v>0</v>
      </c>
      <c r="AO124" s="28"/>
      <c r="AP124" s="28"/>
      <c r="AQ124" s="65"/>
      <c r="AR124" s="64">
        <f t="shared" si="81"/>
        <v>0</v>
      </c>
      <c r="AS124" s="28"/>
      <c r="AT124" s="28"/>
      <c r="AU124" s="65"/>
      <c r="AV124" s="64">
        <f t="shared" si="82"/>
        <v>0</v>
      </c>
      <c r="AW124" s="28"/>
      <c r="AX124" s="28"/>
      <c r="AY124" s="65"/>
      <c r="AZ124" s="64">
        <f t="shared" si="83"/>
        <v>0</v>
      </c>
      <c r="BA124" s="28"/>
      <c r="BB124" s="28"/>
      <c r="BC124" s="65"/>
      <c r="BD124" s="64">
        <f t="shared" si="84"/>
        <v>0</v>
      </c>
      <c r="BE124" s="28"/>
      <c r="BF124" s="28"/>
      <c r="BG124" s="65"/>
      <c r="BH124" s="64">
        <f t="shared" si="85"/>
        <v>0</v>
      </c>
      <c r="BI124" s="28"/>
      <c r="BJ124" s="28"/>
      <c r="BK124" s="65"/>
      <c r="BL124" s="64">
        <f t="shared" si="86"/>
        <v>0</v>
      </c>
      <c r="BM124" s="28"/>
      <c r="BN124" s="28"/>
      <c r="BO124" s="65"/>
      <c r="BP124" s="64">
        <f t="shared" si="87"/>
        <v>0</v>
      </c>
      <c r="BQ124" s="28"/>
      <c r="BR124" s="28"/>
      <c r="BS124" s="65"/>
      <c r="BT124" s="64">
        <f t="shared" si="88"/>
        <v>0</v>
      </c>
      <c r="BU124" s="28"/>
      <c r="BV124" s="28"/>
      <c r="BW124" s="65"/>
      <c r="BX124" s="64">
        <f t="shared" si="89"/>
        <v>0</v>
      </c>
      <c r="BY124" s="28"/>
      <c r="BZ124" s="28"/>
      <c r="CA124" s="65"/>
      <c r="CB124" s="64">
        <f t="shared" si="90"/>
        <v>0</v>
      </c>
      <c r="CC124" s="28"/>
      <c r="CD124" s="28"/>
      <c r="CE124" s="65"/>
      <c r="CF124" s="64">
        <f t="shared" si="91"/>
        <v>0</v>
      </c>
      <c r="CG124" s="28"/>
      <c r="CH124" s="28"/>
      <c r="CI124" s="65"/>
      <c r="CJ124" s="64">
        <f t="shared" si="92"/>
        <v>0</v>
      </c>
      <c r="CK124" s="28"/>
      <c r="CL124" s="28"/>
      <c r="CM124" s="65"/>
      <c r="CN124" s="64">
        <f t="shared" si="93"/>
        <v>0</v>
      </c>
      <c r="CO124" s="28"/>
      <c r="CP124" s="28"/>
      <c r="CQ124" s="65"/>
      <c r="CR124" s="64">
        <f t="shared" si="94"/>
        <v>0</v>
      </c>
      <c r="CS124" s="28"/>
      <c r="CT124" s="28"/>
      <c r="CU124" s="65"/>
      <c r="CV124" s="64">
        <f t="shared" si="95"/>
        <v>0</v>
      </c>
      <c r="CW124" s="28"/>
      <c r="CX124" s="28"/>
      <c r="CY124" s="65"/>
      <c r="CZ124" s="64">
        <f t="shared" si="96"/>
        <v>0</v>
      </c>
      <c r="DA124" s="28"/>
      <c r="DB124" s="28"/>
      <c r="DC124" s="65"/>
      <c r="DD124" s="64">
        <f t="shared" si="97"/>
        <v>0</v>
      </c>
      <c r="DE124" s="28"/>
      <c r="DF124" s="28"/>
      <c r="DG124" s="65"/>
      <c r="DH124" s="64">
        <f t="shared" si="98"/>
        <v>0</v>
      </c>
      <c r="DI124" s="28"/>
      <c r="DJ124" s="28"/>
      <c r="DK124" s="65"/>
      <c r="DL124" s="64">
        <f t="shared" si="99"/>
        <v>0</v>
      </c>
      <c r="DM124" s="28"/>
      <c r="DN124" s="28"/>
      <c r="DO124" s="65"/>
      <c r="DP124" s="64">
        <f t="shared" si="100"/>
        <v>0</v>
      </c>
      <c r="DQ124" s="28"/>
      <c r="DR124" s="28"/>
      <c r="DS124" s="65"/>
      <c r="DT124" s="64">
        <f t="shared" si="101"/>
        <v>0</v>
      </c>
      <c r="DU124" s="28"/>
      <c r="DV124" s="28"/>
      <c r="DW124" s="65"/>
      <c r="DX124" s="30">
        <f t="shared" si="102"/>
        <v>0</v>
      </c>
      <c r="DY124" s="31">
        <f t="shared" si="103"/>
        <v>0</v>
      </c>
      <c r="DZ124" s="31">
        <f t="shared" si="104"/>
        <v>0</v>
      </c>
      <c r="EA124" s="4">
        <f t="shared" si="105"/>
        <v>0</v>
      </c>
      <c r="EB124" s="9">
        <f>D124*'MASTER SHEET'!D124</f>
        <v>0</v>
      </c>
      <c r="EC124" s="9">
        <f>H124*'MASTER SHEET'!D124</f>
        <v>0</v>
      </c>
      <c r="ED124" s="9">
        <f>L124*'MASTER SHEET'!D124</f>
        <v>0</v>
      </c>
      <c r="EE124" s="9">
        <f>P124*'MASTER SHEET'!D124</f>
        <v>0</v>
      </c>
      <c r="EF124" s="9">
        <f>T124*'MASTER SHEET'!D124</f>
        <v>0</v>
      </c>
      <c r="EG124" s="9">
        <f>X124*'MASTER SHEET'!D124</f>
        <v>0</v>
      </c>
      <c r="EH124" s="9">
        <f>AB124*'MASTER SHEET'!D124</f>
        <v>0</v>
      </c>
      <c r="EI124" s="9">
        <f>AF124*'MASTER SHEET'!D124</f>
        <v>0</v>
      </c>
      <c r="EJ124" s="9">
        <f>AJ124*'MASTER SHEET'!D124</f>
        <v>0</v>
      </c>
      <c r="EK124" s="9">
        <f>AN124*'MASTER SHEET'!D124</f>
        <v>0</v>
      </c>
      <c r="EL124" s="9">
        <f>AR124*'MASTER SHEET'!D124</f>
        <v>0</v>
      </c>
      <c r="EM124" s="9">
        <f>AV124*'MASTER SHEET'!D124</f>
        <v>0</v>
      </c>
      <c r="EN124" s="9">
        <f>AZ124*'MASTER SHEET'!D124</f>
        <v>0</v>
      </c>
      <c r="EO124" s="9">
        <f>BD124*'MASTER SHEET'!D124</f>
        <v>0</v>
      </c>
      <c r="EP124" s="9">
        <f>BH124*'MASTER SHEET'!D124</f>
        <v>0</v>
      </c>
      <c r="EQ124" s="9">
        <f>BL124*'MASTER SHEET'!D124</f>
        <v>0</v>
      </c>
      <c r="ER124" s="9">
        <f>BP124*'MASTER SHEET'!D124</f>
        <v>0</v>
      </c>
      <c r="ES124" s="9">
        <f>BT124*'MASTER SHEET'!D124</f>
        <v>0</v>
      </c>
      <c r="ET124" s="9">
        <f>BX124*'MASTER SHEET'!D124</f>
        <v>0</v>
      </c>
      <c r="EU124" s="9">
        <f>CB124*'MASTER SHEET'!D124</f>
        <v>0</v>
      </c>
      <c r="EV124" s="9">
        <f>CF124*'MASTER SHEET'!D124</f>
        <v>0</v>
      </c>
      <c r="EW124" s="9">
        <f>CJ124*'MASTER SHEET'!D124</f>
        <v>0</v>
      </c>
      <c r="EX124" s="9">
        <f>CN124*'MASTER SHEET'!D124</f>
        <v>0</v>
      </c>
      <c r="EY124" s="9">
        <f>CV124*'MASTER SHEET'!D124</f>
        <v>0</v>
      </c>
      <c r="EZ124" s="9">
        <f>CV124*'MASTER SHEET'!D124</f>
        <v>0</v>
      </c>
      <c r="FA124" s="9">
        <f>CZ124*'MASTER SHEET'!D124</f>
        <v>0</v>
      </c>
      <c r="FB124" s="9">
        <f>DD124*'MASTER SHEET'!D124</f>
        <v>0</v>
      </c>
      <c r="FC124" s="9">
        <f>DH124*'MASTER SHEET'!D124</f>
        <v>0</v>
      </c>
      <c r="FD124" s="9">
        <f>DL124*'MASTER SHEET'!D124</f>
        <v>0</v>
      </c>
      <c r="FE124" s="9">
        <f>DP124*'MASTER SHEET'!D124</f>
        <v>0</v>
      </c>
      <c r="FF124" s="9">
        <f>DT124*'MASTER SHEET'!D124</f>
        <v>0</v>
      </c>
      <c r="FG124" s="9">
        <f>DX124*'MASTER SHEET'!D124</f>
        <v>0</v>
      </c>
    </row>
    <row r="125" spans="1:163" ht="20.25" x14ac:dyDescent="0.25">
      <c r="A125" s="43">
        <f>'MASTER SHEET'!A125</f>
        <v>123</v>
      </c>
      <c r="B125" s="26" t="str">
        <f>'MASTER SHEET'!B125</f>
        <v>KNOB LH</v>
      </c>
      <c r="C125" s="82" t="str">
        <f>'MASTER SHEET'!C125</f>
        <v>CB0000557500</v>
      </c>
      <c r="D125" s="64"/>
      <c r="E125" s="28"/>
      <c r="F125" s="28"/>
      <c r="G125" s="65"/>
      <c r="H125" s="64">
        <f t="shared" si="72"/>
        <v>0</v>
      </c>
      <c r="I125" s="28"/>
      <c r="J125" s="28"/>
      <c r="K125" s="65"/>
      <c r="L125" s="64">
        <f t="shared" si="73"/>
        <v>0</v>
      </c>
      <c r="M125" s="28"/>
      <c r="N125" s="28"/>
      <c r="O125" s="65"/>
      <c r="P125" s="64">
        <f t="shared" si="74"/>
        <v>0</v>
      </c>
      <c r="Q125" s="28"/>
      <c r="R125" s="28"/>
      <c r="S125" s="65"/>
      <c r="T125" s="64">
        <f t="shared" si="75"/>
        <v>0</v>
      </c>
      <c r="U125" s="28"/>
      <c r="V125" s="28"/>
      <c r="W125" s="65"/>
      <c r="X125" s="64">
        <f t="shared" si="76"/>
        <v>0</v>
      </c>
      <c r="Y125" s="28"/>
      <c r="Z125" s="28"/>
      <c r="AA125" s="65"/>
      <c r="AB125" s="64">
        <f t="shared" si="77"/>
        <v>0</v>
      </c>
      <c r="AC125" s="28"/>
      <c r="AD125" s="28"/>
      <c r="AE125" s="65"/>
      <c r="AF125" s="64">
        <f t="shared" si="78"/>
        <v>0</v>
      </c>
      <c r="AG125" s="28"/>
      <c r="AH125" s="28"/>
      <c r="AI125" s="65"/>
      <c r="AJ125" s="64">
        <f t="shared" si="79"/>
        <v>0</v>
      </c>
      <c r="AK125" s="28"/>
      <c r="AL125" s="28"/>
      <c r="AM125" s="65"/>
      <c r="AN125" s="64">
        <f t="shared" si="80"/>
        <v>0</v>
      </c>
      <c r="AO125" s="28"/>
      <c r="AP125" s="28"/>
      <c r="AQ125" s="65"/>
      <c r="AR125" s="64">
        <f t="shared" si="81"/>
        <v>0</v>
      </c>
      <c r="AS125" s="28"/>
      <c r="AT125" s="28"/>
      <c r="AU125" s="65"/>
      <c r="AV125" s="64">
        <f t="shared" si="82"/>
        <v>0</v>
      </c>
      <c r="AW125" s="28"/>
      <c r="AX125" s="28"/>
      <c r="AY125" s="65"/>
      <c r="AZ125" s="64">
        <f t="shared" si="83"/>
        <v>0</v>
      </c>
      <c r="BA125" s="28"/>
      <c r="BB125" s="28"/>
      <c r="BC125" s="65"/>
      <c r="BD125" s="64">
        <f t="shared" si="84"/>
        <v>0</v>
      </c>
      <c r="BE125" s="28"/>
      <c r="BF125" s="28"/>
      <c r="BG125" s="65"/>
      <c r="BH125" s="64">
        <f t="shared" si="85"/>
        <v>0</v>
      </c>
      <c r="BI125" s="28"/>
      <c r="BJ125" s="28"/>
      <c r="BK125" s="65"/>
      <c r="BL125" s="64">
        <f t="shared" si="86"/>
        <v>0</v>
      </c>
      <c r="BM125" s="28"/>
      <c r="BN125" s="28"/>
      <c r="BO125" s="65"/>
      <c r="BP125" s="64">
        <f t="shared" si="87"/>
        <v>0</v>
      </c>
      <c r="BQ125" s="28"/>
      <c r="BR125" s="28"/>
      <c r="BS125" s="65"/>
      <c r="BT125" s="64">
        <f t="shared" si="88"/>
        <v>0</v>
      </c>
      <c r="BU125" s="28"/>
      <c r="BV125" s="28"/>
      <c r="BW125" s="65"/>
      <c r="BX125" s="64">
        <f t="shared" si="89"/>
        <v>0</v>
      </c>
      <c r="BY125" s="28"/>
      <c r="BZ125" s="28"/>
      <c r="CA125" s="65"/>
      <c r="CB125" s="64">
        <f t="shared" si="90"/>
        <v>0</v>
      </c>
      <c r="CC125" s="28"/>
      <c r="CD125" s="28"/>
      <c r="CE125" s="65"/>
      <c r="CF125" s="64">
        <f t="shared" si="91"/>
        <v>0</v>
      </c>
      <c r="CG125" s="28"/>
      <c r="CH125" s="28"/>
      <c r="CI125" s="65"/>
      <c r="CJ125" s="64">
        <f t="shared" si="92"/>
        <v>0</v>
      </c>
      <c r="CK125" s="28"/>
      <c r="CL125" s="28"/>
      <c r="CM125" s="65"/>
      <c r="CN125" s="64">
        <f t="shared" si="93"/>
        <v>0</v>
      </c>
      <c r="CO125" s="28"/>
      <c r="CP125" s="28"/>
      <c r="CQ125" s="65"/>
      <c r="CR125" s="64">
        <f t="shared" si="94"/>
        <v>0</v>
      </c>
      <c r="CS125" s="28"/>
      <c r="CT125" s="28"/>
      <c r="CU125" s="65"/>
      <c r="CV125" s="64">
        <f t="shared" si="95"/>
        <v>0</v>
      </c>
      <c r="CW125" s="28"/>
      <c r="CX125" s="28"/>
      <c r="CY125" s="65"/>
      <c r="CZ125" s="64">
        <f t="shared" si="96"/>
        <v>0</v>
      </c>
      <c r="DA125" s="28"/>
      <c r="DB125" s="28"/>
      <c r="DC125" s="65"/>
      <c r="DD125" s="64">
        <f t="shared" si="97"/>
        <v>0</v>
      </c>
      <c r="DE125" s="28"/>
      <c r="DF125" s="28"/>
      <c r="DG125" s="65"/>
      <c r="DH125" s="64">
        <f t="shared" si="98"/>
        <v>0</v>
      </c>
      <c r="DI125" s="28"/>
      <c r="DJ125" s="28"/>
      <c r="DK125" s="65"/>
      <c r="DL125" s="64">
        <f t="shared" si="99"/>
        <v>0</v>
      </c>
      <c r="DM125" s="28"/>
      <c r="DN125" s="28"/>
      <c r="DO125" s="65"/>
      <c r="DP125" s="64">
        <f t="shared" si="100"/>
        <v>0</v>
      </c>
      <c r="DQ125" s="28"/>
      <c r="DR125" s="28"/>
      <c r="DS125" s="65"/>
      <c r="DT125" s="64">
        <f t="shared" si="101"/>
        <v>0</v>
      </c>
      <c r="DU125" s="28"/>
      <c r="DV125" s="28"/>
      <c r="DW125" s="65"/>
      <c r="DX125" s="30">
        <f t="shared" si="102"/>
        <v>0</v>
      </c>
      <c r="DY125" s="31">
        <f t="shared" si="103"/>
        <v>0</v>
      </c>
      <c r="DZ125" s="31">
        <f t="shared" si="104"/>
        <v>0</v>
      </c>
      <c r="EA125" s="4">
        <f t="shared" si="105"/>
        <v>0</v>
      </c>
      <c r="EB125" s="9">
        <f>D125*'MASTER SHEET'!D125</f>
        <v>0</v>
      </c>
      <c r="EC125" s="9">
        <f>H125*'MASTER SHEET'!D125</f>
        <v>0</v>
      </c>
      <c r="ED125" s="9">
        <f>L125*'MASTER SHEET'!D125</f>
        <v>0</v>
      </c>
      <c r="EE125" s="9">
        <f>P125*'MASTER SHEET'!D125</f>
        <v>0</v>
      </c>
      <c r="EF125" s="9">
        <f>T125*'MASTER SHEET'!D125</f>
        <v>0</v>
      </c>
      <c r="EG125" s="9">
        <f>X125*'MASTER SHEET'!D125</f>
        <v>0</v>
      </c>
      <c r="EH125" s="9">
        <f>AB125*'MASTER SHEET'!D125</f>
        <v>0</v>
      </c>
      <c r="EI125" s="9">
        <f>AF125*'MASTER SHEET'!D125</f>
        <v>0</v>
      </c>
      <c r="EJ125" s="9">
        <f>AJ125*'MASTER SHEET'!D125</f>
        <v>0</v>
      </c>
      <c r="EK125" s="9">
        <f>AN125*'MASTER SHEET'!D125</f>
        <v>0</v>
      </c>
      <c r="EL125" s="9">
        <f>AR125*'MASTER SHEET'!D125</f>
        <v>0</v>
      </c>
      <c r="EM125" s="9">
        <f>AV125*'MASTER SHEET'!D125</f>
        <v>0</v>
      </c>
      <c r="EN125" s="9">
        <f>AZ125*'MASTER SHEET'!D125</f>
        <v>0</v>
      </c>
      <c r="EO125" s="9">
        <f>BD125*'MASTER SHEET'!D125</f>
        <v>0</v>
      </c>
      <c r="EP125" s="9">
        <f>BH125*'MASTER SHEET'!D125</f>
        <v>0</v>
      </c>
      <c r="EQ125" s="9">
        <f>BL125*'MASTER SHEET'!D125</f>
        <v>0</v>
      </c>
      <c r="ER125" s="9">
        <f>BP125*'MASTER SHEET'!D125</f>
        <v>0</v>
      </c>
      <c r="ES125" s="9">
        <f>BT125*'MASTER SHEET'!D125</f>
        <v>0</v>
      </c>
      <c r="ET125" s="9">
        <f>BX125*'MASTER SHEET'!D125</f>
        <v>0</v>
      </c>
      <c r="EU125" s="9">
        <f>CB125*'MASTER SHEET'!D125</f>
        <v>0</v>
      </c>
      <c r="EV125" s="9">
        <f>CF125*'MASTER SHEET'!D125</f>
        <v>0</v>
      </c>
      <c r="EW125" s="9">
        <f>CJ125*'MASTER SHEET'!D125</f>
        <v>0</v>
      </c>
      <c r="EX125" s="9">
        <f>CN125*'MASTER SHEET'!D125</f>
        <v>0</v>
      </c>
      <c r="EY125" s="9">
        <f>CV125*'MASTER SHEET'!D125</f>
        <v>0</v>
      </c>
      <c r="EZ125" s="9">
        <f>CV125*'MASTER SHEET'!D125</f>
        <v>0</v>
      </c>
      <c r="FA125" s="9">
        <f>CZ125*'MASTER SHEET'!D125</f>
        <v>0</v>
      </c>
      <c r="FB125" s="9">
        <f>DD125*'MASTER SHEET'!D125</f>
        <v>0</v>
      </c>
      <c r="FC125" s="9">
        <f>DH125*'MASTER SHEET'!D125</f>
        <v>0</v>
      </c>
      <c r="FD125" s="9">
        <f>DL125*'MASTER SHEET'!D125</f>
        <v>0</v>
      </c>
      <c r="FE125" s="9">
        <f>DP125*'MASTER SHEET'!D125</f>
        <v>0</v>
      </c>
      <c r="FF125" s="9">
        <f>DT125*'MASTER SHEET'!D125</f>
        <v>0</v>
      </c>
      <c r="FG125" s="9">
        <f>DX125*'MASTER SHEET'!D125</f>
        <v>0</v>
      </c>
    </row>
    <row r="126" spans="1:163" ht="20.25" x14ac:dyDescent="0.25">
      <c r="A126" s="43">
        <f>'MASTER SHEET'!A126</f>
        <v>124</v>
      </c>
      <c r="B126" s="26" t="str">
        <f>'MASTER SHEET'!B126</f>
        <v>KNOB RH</v>
      </c>
      <c r="C126" s="82" t="str">
        <f>'MASTER SHEET'!C126</f>
        <v>CC0000557600</v>
      </c>
      <c r="D126" s="64"/>
      <c r="E126" s="28"/>
      <c r="F126" s="28"/>
      <c r="G126" s="65"/>
      <c r="H126" s="64">
        <f t="shared" si="72"/>
        <v>0</v>
      </c>
      <c r="I126" s="28"/>
      <c r="J126" s="28"/>
      <c r="K126" s="65"/>
      <c r="L126" s="64">
        <f t="shared" si="73"/>
        <v>0</v>
      </c>
      <c r="M126" s="28"/>
      <c r="N126" s="28"/>
      <c r="O126" s="65"/>
      <c r="P126" s="64">
        <f t="shared" si="74"/>
        <v>0</v>
      </c>
      <c r="Q126" s="28"/>
      <c r="R126" s="28"/>
      <c r="S126" s="65"/>
      <c r="T126" s="64">
        <f t="shared" si="75"/>
        <v>0</v>
      </c>
      <c r="U126" s="28"/>
      <c r="V126" s="28"/>
      <c r="W126" s="65"/>
      <c r="X126" s="64">
        <f t="shared" si="76"/>
        <v>0</v>
      </c>
      <c r="Y126" s="28"/>
      <c r="Z126" s="28"/>
      <c r="AA126" s="65"/>
      <c r="AB126" s="64">
        <f t="shared" si="77"/>
        <v>0</v>
      </c>
      <c r="AC126" s="28"/>
      <c r="AD126" s="28"/>
      <c r="AE126" s="65"/>
      <c r="AF126" s="64">
        <f t="shared" si="78"/>
        <v>0</v>
      </c>
      <c r="AG126" s="28"/>
      <c r="AH126" s="28"/>
      <c r="AI126" s="65"/>
      <c r="AJ126" s="64">
        <f t="shared" si="79"/>
        <v>0</v>
      </c>
      <c r="AK126" s="28"/>
      <c r="AL126" s="28"/>
      <c r="AM126" s="65"/>
      <c r="AN126" s="64">
        <f t="shared" si="80"/>
        <v>0</v>
      </c>
      <c r="AO126" s="28"/>
      <c r="AP126" s="28"/>
      <c r="AQ126" s="65"/>
      <c r="AR126" s="64">
        <f t="shared" si="81"/>
        <v>0</v>
      </c>
      <c r="AS126" s="28"/>
      <c r="AT126" s="28"/>
      <c r="AU126" s="65"/>
      <c r="AV126" s="64">
        <f t="shared" si="82"/>
        <v>0</v>
      </c>
      <c r="AW126" s="28"/>
      <c r="AX126" s="28"/>
      <c r="AY126" s="65"/>
      <c r="AZ126" s="64">
        <f t="shared" si="83"/>
        <v>0</v>
      </c>
      <c r="BA126" s="28"/>
      <c r="BB126" s="28"/>
      <c r="BC126" s="65"/>
      <c r="BD126" s="64">
        <f t="shared" si="84"/>
        <v>0</v>
      </c>
      <c r="BE126" s="28"/>
      <c r="BF126" s="28"/>
      <c r="BG126" s="65"/>
      <c r="BH126" s="64">
        <f t="shared" si="85"/>
        <v>0</v>
      </c>
      <c r="BI126" s="28"/>
      <c r="BJ126" s="28"/>
      <c r="BK126" s="65"/>
      <c r="BL126" s="64">
        <f t="shared" si="86"/>
        <v>0</v>
      </c>
      <c r="BM126" s="28"/>
      <c r="BN126" s="28"/>
      <c r="BO126" s="65"/>
      <c r="BP126" s="64">
        <f t="shared" si="87"/>
        <v>0</v>
      </c>
      <c r="BQ126" s="28"/>
      <c r="BR126" s="28"/>
      <c r="BS126" s="65"/>
      <c r="BT126" s="64">
        <f t="shared" si="88"/>
        <v>0</v>
      </c>
      <c r="BU126" s="28"/>
      <c r="BV126" s="28"/>
      <c r="BW126" s="65"/>
      <c r="BX126" s="64">
        <f t="shared" si="89"/>
        <v>0</v>
      </c>
      <c r="BY126" s="28"/>
      <c r="BZ126" s="28"/>
      <c r="CA126" s="65"/>
      <c r="CB126" s="64">
        <f t="shared" si="90"/>
        <v>0</v>
      </c>
      <c r="CC126" s="28"/>
      <c r="CD126" s="28"/>
      <c r="CE126" s="65"/>
      <c r="CF126" s="64">
        <f t="shared" si="91"/>
        <v>0</v>
      </c>
      <c r="CG126" s="28"/>
      <c r="CH126" s="28"/>
      <c r="CI126" s="65"/>
      <c r="CJ126" s="64">
        <f t="shared" si="92"/>
        <v>0</v>
      </c>
      <c r="CK126" s="28"/>
      <c r="CL126" s="28"/>
      <c r="CM126" s="65"/>
      <c r="CN126" s="64">
        <f t="shared" si="93"/>
        <v>0</v>
      </c>
      <c r="CO126" s="28"/>
      <c r="CP126" s="28"/>
      <c r="CQ126" s="65"/>
      <c r="CR126" s="64">
        <f t="shared" si="94"/>
        <v>0</v>
      </c>
      <c r="CS126" s="28"/>
      <c r="CT126" s="28"/>
      <c r="CU126" s="65"/>
      <c r="CV126" s="64">
        <f t="shared" si="95"/>
        <v>0</v>
      </c>
      <c r="CW126" s="28"/>
      <c r="CX126" s="28"/>
      <c r="CY126" s="65"/>
      <c r="CZ126" s="64">
        <f t="shared" si="96"/>
        <v>0</v>
      </c>
      <c r="DA126" s="28"/>
      <c r="DB126" s="28"/>
      <c r="DC126" s="65"/>
      <c r="DD126" s="64">
        <f t="shared" si="97"/>
        <v>0</v>
      </c>
      <c r="DE126" s="28"/>
      <c r="DF126" s="28"/>
      <c r="DG126" s="65"/>
      <c r="DH126" s="64">
        <f t="shared" si="98"/>
        <v>0</v>
      </c>
      <c r="DI126" s="28"/>
      <c r="DJ126" s="28"/>
      <c r="DK126" s="65"/>
      <c r="DL126" s="64">
        <f t="shared" si="99"/>
        <v>0</v>
      </c>
      <c r="DM126" s="28"/>
      <c r="DN126" s="28"/>
      <c r="DO126" s="65"/>
      <c r="DP126" s="64">
        <f t="shared" si="100"/>
        <v>0</v>
      </c>
      <c r="DQ126" s="28"/>
      <c r="DR126" s="28"/>
      <c r="DS126" s="65"/>
      <c r="DT126" s="64">
        <f t="shared" si="101"/>
        <v>0</v>
      </c>
      <c r="DU126" s="28"/>
      <c r="DV126" s="28"/>
      <c r="DW126" s="65"/>
      <c r="DX126" s="30">
        <f t="shared" si="102"/>
        <v>0</v>
      </c>
      <c r="DY126" s="31">
        <f t="shared" si="103"/>
        <v>0</v>
      </c>
      <c r="DZ126" s="31">
        <f t="shared" si="104"/>
        <v>0</v>
      </c>
      <c r="EA126" s="4">
        <f t="shared" si="105"/>
        <v>0</v>
      </c>
      <c r="EB126" s="9">
        <f>D126*'MASTER SHEET'!D126</f>
        <v>0</v>
      </c>
      <c r="EC126" s="9">
        <f>H126*'MASTER SHEET'!D126</f>
        <v>0</v>
      </c>
      <c r="ED126" s="9">
        <f>L126*'MASTER SHEET'!D126</f>
        <v>0</v>
      </c>
      <c r="EE126" s="9">
        <f>P126*'MASTER SHEET'!D126</f>
        <v>0</v>
      </c>
      <c r="EF126" s="9">
        <f>T126*'MASTER SHEET'!D126</f>
        <v>0</v>
      </c>
      <c r="EG126" s="9">
        <f>X126*'MASTER SHEET'!D126</f>
        <v>0</v>
      </c>
      <c r="EH126" s="9">
        <f>AB126*'MASTER SHEET'!D126</f>
        <v>0</v>
      </c>
      <c r="EI126" s="9">
        <f>AF126*'MASTER SHEET'!D126</f>
        <v>0</v>
      </c>
      <c r="EJ126" s="9">
        <f>AJ126*'MASTER SHEET'!D126</f>
        <v>0</v>
      </c>
      <c r="EK126" s="9">
        <f>AN126*'MASTER SHEET'!D126</f>
        <v>0</v>
      </c>
      <c r="EL126" s="9">
        <f>AR126*'MASTER SHEET'!D126</f>
        <v>0</v>
      </c>
      <c r="EM126" s="9">
        <f>AV126*'MASTER SHEET'!D126</f>
        <v>0</v>
      </c>
      <c r="EN126" s="9">
        <f>AZ126*'MASTER SHEET'!D126</f>
        <v>0</v>
      </c>
      <c r="EO126" s="9">
        <f>BD126*'MASTER SHEET'!D126</f>
        <v>0</v>
      </c>
      <c r="EP126" s="9">
        <f>BH126*'MASTER SHEET'!D126</f>
        <v>0</v>
      </c>
      <c r="EQ126" s="9">
        <f>BL126*'MASTER SHEET'!D126</f>
        <v>0</v>
      </c>
      <c r="ER126" s="9">
        <f>BP126*'MASTER SHEET'!D126</f>
        <v>0</v>
      </c>
      <c r="ES126" s="9">
        <f>BT126*'MASTER SHEET'!D126</f>
        <v>0</v>
      </c>
      <c r="ET126" s="9">
        <f>BX126*'MASTER SHEET'!D126</f>
        <v>0</v>
      </c>
      <c r="EU126" s="9">
        <f>CB126*'MASTER SHEET'!D126</f>
        <v>0</v>
      </c>
      <c r="EV126" s="9">
        <f>CF126*'MASTER SHEET'!D126</f>
        <v>0</v>
      </c>
      <c r="EW126" s="9">
        <f>CJ126*'MASTER SHEET'!D126</f>
        <v>0</v>
      </c>
      <c r="EX126" s="9">
        <f>CN126*'MASTER SHEET'!D126</f>
        <v>0</v>
      </c>
      <c r="EY126" s="9">
        <f>CV126*'MASTER SHEET'!D126</f>
        <v>0</v>
      </c>
      <c r="EZ126" s="9">
        <f>CV126*'MASTER SHEET'!D126</f>
        <v>0</v>
      </c>
      <c r="FA126" s="9">
        <f>CZ126*'MASTER SHEET'!D126</f>
        <v>0</v>
      </c>
      <c r="FB126" s="9">
        <f>DD126*'MASTER SHEET'!D126</f>
        <v>0</v>
      </c>
      <c r="FC126" s="9">
        <f>DH126*'MASTER SHEET'!D126</f>
        <v>0</v>
      </c>
      <c r="FD126" s="9">
        <f>DL126*'MASTER SHEET'!D126</f>
        <v>0</v>
      </c>
      <c r="FE126" s="9">
        <f>DP126*'MASTER SHEET'!D126</f>
        <v>0</v>
      </c>
      <c r="FF126" s="9">
        <f>DT126*'MASTER SHEET'!D126</f>
        <v>0</v>
      </c>
      <c r="FG126" s="9">
        <f>DX126*'MASTER SHEET'!D126</f>
        <v>0</v>
      </c>
    </row>
    <row r="127" spans="1:163" ht="20.25" x14ac:dyDescent="0.25">
      <c r="A127" s="43">
        <f>'MASTER SHEET'!A127</f>
        <v>125</v>
      </c>
      <c r="B127" s="26" t="str">
        <f>'MASTER SHEET'!B127</f>
        <v>TIAGO MCE IDH LEVER GRAINED RH</v>
      </c>
      <c r="C127" s="82" t="str">
        <f>'MASTER SHEET'!C127</f>
        <v>CC00004728</v>
      </c>
      <c r="D127" s="64"/>
      <c r="E127" s="28"/>
      <c r="F127" s="28"/>
      <c r="G127" s="65"/>
      <c r="H127" s="64">
        <f t="shared" si="72"/>
        <v>0</v>
      </c>
      <c r="I127" s="28"/>
      <c r="J127" s="28"/>
      <c r="K127" s="65"/>
      <c r="L127" s="64">
        <f t="shared" si="73"/>
        <v>0</v>
      </c>
      <c r="M127" s="28"/>
      <c r="N127" s="28"/>
      <c r="O127" s="65"/>
      <c r="P127" s="64">
        <f t="shared" si="74"/>
        <v>0</v>
      </c>
      <c r="Q127" s="28"/>
      <c r="R127" s="28"/>
      <c r="S127" s="65"/>
      <c r="T127" s="64">
        <f t="shared" si="75"/>
        <v>0</v>
      </c>
      <c r="U127" s="28"/>
      <c r="V127" s="28"/>
      <c r="W127" s="65"/>
      <c r="X127" s="64">
        <f t="shared" si="76"/>
        <v>0</v>
      </c>
      <c r="Y127" s="28"/>
      <c r="Z127" s="28"/>
      <c r="AA127" s="65"/>
      <c r="AB127" s="64">
        <f t="shared" si="77"/>
        <v>0</v>
      </c>
      <c r="AC127" s="28"/>
      <c r="AD127" s="28"/>
      <c r="AE127" s="65"/>
      <c r="AF127" s="64">
        <f t="shared" si="78"/>
        <v>0</v>
      </c>
      <c r="AG127" s="28"/>
      <c r="AH127" s="28"/>
      <c r="AI127" s="65"/>
      <c r="AJ127" s="64">
        <f t="shared" si="79"/>
        <v>0</v>
      </c>
      <c r="AK127" s="28"/>
      <c r="AL127" s="28"/>
      <c r="AM127" s="65"/>
      <c r="AN127" s="64">
        <f t="shared" si="80"/>
        <v>0</v>
      </c>
      <c r="AO127" s="28"/>
      <c r="AP127" s="28"/>
      <c r="AQ127" s="65"/>
      <c r="AR127" s="64">
        <f t="shared" si="81"/>
        <v>0</v>
      </c>
      <c r="AS127" s="28"/>
      <c r="AT127" s="28"/>
      <c r="AU127" s="65"/>
      <c r="AV127" s="64">
        <f t="shared" si="82"/>
        <v>0</v>
      </c>
      <c r="AW127" s="28"/>
      <c r="AX127" s="28"/>
      <c r="AY127" s="65"/>
      <c r="AZ127" s="64">
        <f t="shared" si="83"/>
        <v>0</v>
      </c>
      <c r="BA127" s="28"/>
      <c r="BB127" s="28"/>
      <c r="BC127" s="65"/>
      <c r="BD127" s="64">
        <f t="shared" si="84"/>
        <v>0</v>
      </c>
      <c r="BE127" s="28"/>
      <c r="BF127" s="28"/>
      <c r="BG127" s="65"/>
      <c r="BH127" s="64">
        <f t="shared" si="85"/>
        <v>0</v>
      </c>
      <c r="BI127" s="28"/>
      <c r="BJ127" s="28"/>
      <c r="BK127" s="65"/>
      <c r="BL127" s="64">
        <f t="shared" si="86"/>
        <v>0</v>
      </c>
      <c r="BM127" s="28"/>
      <c r="BN127" s="28"/>
      <c r="BO127" s="65"/>
      <c r="BP127" s="64">
        <f t="shared" si="87"/>
        <v>0</v>
      </c>
      <c r="BQ127" s="28"/>
      <c r="BR127" s="28"/>
      <c r="BS127" s="65"/>
      <c r="BT127" s="64">
        <f t="shared" si="88"/>
        <v>0</v>
      </c>
      <c r="BU127" s="28"/>
      <c r="BV127" s="28"/>
      <c r="BW127" s="65"/>
      <c r="BX127" s="64">
        <f t="shared" si="89"/>
        <v>0</v>
      </c>
      <c r="BY127" s="28"/>
      <c r="BZ127" s="28"/>
      <c r="CA127" s="65"/>
      <c r="CB127" s="64">
        <f t="shared" si="90"/>
        <v>0</v>
      </c>
      <c r="CC127" s="28"/>
      <c r="CD127" s="28"/>
      <c r="CE127" s="65"/>
      <c r="CF127" s="64">
        <f t="shared" si="91"/>
        <v>0</v>
      </c>
      <c r="CG127" s="28"/>
      <c r="CH127" s="28"/>
      <c r="CI127" s="65"/>
      <c r="CJ127" s="64">
        <f t="shared" si="92"/>
        <v>0</v>
      </c>
      <c r="CK127" s="28"/>
      <c r="CL127" s="28"/>
      <c r="CM127" s="65"/>
      <c r="CN127" s="64">
        <f t="shared" si="93"/>
        <v>0</v>
      </c>
      <c r="CO127" s="28"/>
      <c r="CP127" s="28"/>
      <c r="CQ127" s="65"/>
      <c r="CR127" s="64">
        <f t="shared" si="94"/>
        <v>0</v>
      </c>
      <c r="CS127" s="28"/>
      <c r="CT127" s="28"/>
      <c r="CU127" s="65"/>
      <c r="CV127" s="64">
        <f t="shared" si="95"/>
        <v>0</v>
      </c>
      <c r="CW127" s="28"/>
      <c r="CX127" s="28"/>
      <c r="CY127" s="65"/>
      <c r="CZ127" s="64">
        <f t="shared" si="96"/>
        <v>0</v>
      </c>
      <c r="DA127" s="28"/>
      <c r="DB127" s="28"/>
      <c r="DC127" s="65"/>
      <c r="DD127" s="64">
        <f t="shared" si="97"/>
        <v>0</v>
      </c>
      <c r="DE127" s="28"/>
      <c r="DF127" s="28"/>
      <c r="DG127" s="65"/>
      <c r="DH127" s="64">
        <f t="shared" si="98"/>
        <v>0</v>
      </c>
      <c r="DI127" s="28"/>
      <c r="DJ127" s="28"/>
      <c r="DK127" s="65"/>
      <c r="DL127" s="64">
        <f t="shared" si="99"/>
        <v>0</v>
      </c>
      <c r="DM127" s="28"/>
      <c r="DN127" s="28"/>
      <c r="DO127" s="65"/>
      <c r="DP127" s="64">
        <f t="shared" si="100"/>
        <v>0</v>
      </c>
      <c r="DQ127" s="28"/>
      <c r="DR127" s="28"/>
      <c r="DS127" s="65"/>
      <c r="DT127" s="64">
        <f t="shared" si="101"/>
        <v>0</v>
      </c>
      <c r="DU127" s="28"/>
      <c r="DV127" s="28"/>
      <c r="DW127" s="65"/>
      <c r="DX127" s="30">
        <f t="shared" si="102"/>
        <v>0</v>
      </c>
      <c r="DY127" s="31">
        <f t="shared" si="103"/>
        <v>0</v>
      </c>
      <c r="DZ127" s="31">
        <f t="shared" si="104"/>
        <v>0</v>
      </c>
      <c r="EA127" s="4">
        <f t="shared" si="105"/>
        <v>0</v>
      </c>
      <c r="EB127" s="9">
        <f>D127*'MASTER SHEET'!D127</f>
        <v>0</v>
      </c>
      <c r="EC127" s="9">
        <f>H127*'MASTER SHEET'!D127</f>
        <v>0</v>
      </c>
      <c r="ED127" s="9">
        <f>L127*'MASTER SHEET'!D127</f>
        <v>0</v>
      </c>
      <c r="EE127" s="9">
        <f>P127*'MASTER SHEET'!D127</f>
        <v>0</v>
      </c>
      <c r="EF127" s="9">
        <f>T127*'MASTER SHEET'!D127</f>
        <v>0</v>
      </c>
      <c r="EG127" s="9">
        <f>X127*'MASTER SHEET'!D127</f>
        <v>0</v>
      </c>
      <c r="EH127" s="9">
        <f>AB127*'MASTER SHEET'!D127</f>
        <v>0</v>
      </c>
      <c r="EI127" s="9">
        <f>AF127*'MASTER SHEET'!D127</f>
        <v>0</v>
      </c>
      <c r="EJ127" s="9">
        <f>AJ127*'MASTER SHEET'!D127</f>
        <v>0</v>
      </c>
      <c r="EK127" s="9">
        <f>AN127*'MASTER SHEET'!D127</f>
        <v>0</v>
      </c>
      <c r="EL127" s="9">
        <f>AR127*'MASTER SHEET'!D127</f>
        <v>0</v>
      </c>
      <c r="EM127" s="9">
        <f>AV127*'MASTER SHEET'!D127</f>
        <v>0</v>
      </c>
      <c r="EN127" s="9">
        <f>AZ127*'MASTER SHEET'!D127</f>
        <v>0</v>
      </c>
      <c r="EO127" s="9">
        <f>BD127*'MASTER SHEET'!D127</f>
        <v>0</v>
      </c>
      <c r="EP127" s="9">
        <f>BH127*'MASTER SHEET'!D127</f>
        <v>0</v>
      </c>
      <c r="EQ127" s="9">
        <f>BL127*'MASTER SHEET'!D127</f>
        <v>0</v>
      </c>
      <c r="ER127" s="9">
        <f>BP127*'MASTER SHEET'!D127</f>
        <v>0</v>
      </c>
      <c r="ES127" s="9">
        <f>BT127*'MASTER SHEET'!D127</f>
        <v>0</v>
      </c>
      <c r="ET127" s="9">
        <f>BX127*'MASTER SHEET'!D127</f>
        <v>0</v>
      </c>
      <c r="EU127" s="9">
        <f>CB127*'MASTER SHEET'!D127</f>
        <v>0</v>
      </c>
      <c r="EV127" s="9">
        <f>CF127*'MASTER SHEET'!D127</f>
        <v>0</v>
      </c>
      <c r="EW127" s="9">
        <f>CJ127*'MASTER SHEET'!D127</f>
        <v>0</v>
      </c>
      <c r="EX127" s="9">
        <f>CN127*'MASTER SHEET'!D127</f>
        <v>0</v>
      </c>
      <c r="EY127" s="9">
        <f>CV127*'MASTER SHEET'!D127</f>
        <v>0</v>
      </c>
      <c r="EZ127" s="9">
        <f>CV127*'MASTER SHEET'!D127</f>
        <v>0</v>
      </c>
      <c r="FA127" s="9">
        <f>CZ127*'MASTER SHEET'!D127</f>
        <v>0</v>
      </c>
      <c r="FB127" s="9">
        <f>DD127*'MASTER SHEET'!D127</f>
        <v>0</v>
      </c>
      <c r="FC127" s="9">
        <f>DH127*'MASTER SHEET'!D127</f>
        <v>0</v>
      </c>
      <c r="FD127" s="9">
        <f>DL127*'MASTER SHEET'!D127</f>
        <v>0</v>
      </c>
      <c r="FE127" s="9">
        <f>DP127*'MASTER SHEET'!D127</f>
        <v>0</v>
      </c>
      <c r="FF127" s="9">
        <f>DT127*'MASTER SHEET'!D127</f>
        <v>0</v>
      </c>
      <c r="FG127" s="9">
        <f>DX127*'MASTER SHEET'!D127</f>
        <v>0</v>
      </c>
    </row>
    <row r="128" spans="1:163" ht="20.25" x14ac:dyDescent="0.25">
      <c r="A128" s="43">
        <f>'MASTER SHEET'!A128</f>
        <v>126</v>
      </c>
      <c r="B128" s="26" t="str">
        <f>'MASTER SHEET'!B128</f>
        <v>DUMMY LOCK</v>
      </c>
      <c r="C128" s="82" t="str">
        <f>'MASTER SHEET'!C128</f>
        <v>BD00003423</v>
      </c>
      <c r="D128" s="64"/>
      <c r="E128" s="28"/>
      <c r="F128" s="28"/>
      <c r="G128" s="65"/>
      <c r="H128" s="64">
        <f t="shared" si="72"/>
        <v>0</v>
      </c>
      <c r="I128" s="28"/>
      <c r="J128" s="28"/>
      <c r="K128" s="65"/>
      <c r="L128" s="64">
        <f t="shared" si="73"/>
        <v>0</v>
      </c>
      <c r="M128" s="28"/>
      <c r="N128" s="28"/>
      <c r="O128" s="65"/>
      <c r="P128" s="64">
        <f t="shared" si="74"/>
        <v>0</v>
      </c>
      <c r="Q128" s="28"/>
      <c r="R128" s="28"/>
      <c r="S128" s="65"/>
      <c r="T128" s="64">
        <f t="shared" si="75"/>
        <v>0</v>
      </c>
      <c r="U128" s="28"/>
      <c r="V128" s="28"/>
      <c r="W128" s="65"/>
      <c r="X128" s="64">
        <f t="shared" si="76"/>
        <v>0</v>
      </c>
      <c r="Y128" s="28"/>
      <c r="Z128" s="28"/>
      <c r="AA128" s="65"/>
      <c r="AB128" s="64">
        <f t="shared" si="77"/>
        <v>0</v>
      </c>
      <c r="AC128" s="28"/>
      <c r="AD128" s="28"/>
      <c r="AE128" s="65"/>
      <c r="AF128" s="64">
        <f t="shared" si="78"/>
        <v>0</v>
      </c>
      <c r="AG128" s="28"/>
      <c r="AH128" s="28"/>
      <c r="AI128" s="65"/>
      <c r="AJ128" s="64">
        <f t="shared" si="79"/>
        <v>0</v>
      </c>
      <c r="AK128" s="28"/>
      <c r="AL128" s="28"/>
      <c r="AM128" s="65"/>
      <c r="AN128" s="64">
        <f t="shared" si="80"/>
        <v>0</v>
      </c>
      <c r="AO128" s="28"/>
      <c r="AP128" s="28"/>
      <c r="AQ128" s="65"/>
      <c r="AR128" s="64">
        <f t="shared" si="81"/>
        <v>0</v>
      </c>
      <c r="AS128" s="28"/>
      <c r="AT128" s="28"/>
      <c r="AU128" s="65"/>
      <c r="AV128" s="64">
        <f t="shared" si="82"/>
        <v>0</v>
      </c>
      <c r="AW128" s="28"/>
      <c r="AX128" s="28"/>
      <c r="AY128" s="65"/>
      <c r="AZ128" s="64">
        <f t="shared" si="83"/>
        <v>0</v>
      </c>
      <c r="BA128" s="28"/>
      <c r="BB128" s="28"/>
      <c r="BC128" s="65"/>
      <c r="BD128" s="64">
        <f t="shared" si="84"/>
        <v>0</v>
      </c>
      <c r="BE128" s="28"/>
      <c r="BF128" s="28"/>
      <c r="BG128" s="65"/>
      <c r="BH128" s="64">
        <f t="shared" si="85"/>
        <v>0</v>
      </c>
      <c r="BI128" s="28"/>
      <c r="BJ128" s="28"/>
      <c r="BK128" s="65"/>
      <c r="BL128" s="64">
        <f t="shared" si="86"/>
        <v>0</v>
      </c>
      <c r="BM128" s="28"/>
      <c r="BN128" s="28"/>
      <c r="BO128" s="65"/>
      <c r="BP128" s="64">
        <f t="shared" si="87"/>
        <v>0</v>
      </c>
      <c r="BQ128" s="28"/>
      <c r="BR128" s="28"/>
      <c r="BS128" s="65"/>
      <c r="BT128" s="64">
        <f t="shared" si="88"/>
        <v>0</v>
      </c>
      <c r="BU128" s="28"/>
      <c r="BV128" s="28"/>
      <c r="BW128" s="65"/>
      <c r="BX128" s="64">
        <f t="shared" si="89"/>
        <v>0</v>
      </c>
      <c r="BY128" s="28"/>
      <c r="BZ128" s="28"/>
      <c r="CA128" s="65"/>
      <c r="CB128" s="64">
        <f t="shared" si="90"/>
        <v>0</v>
      </c>
      <c r="CC128" s="28"/>
      <c r="CD128" s="28"/>
      <c r="CE128" s="65"/>
      <c r="CF128" s="64">
        <f t="shared" si="91"/>
        <v>0</v>
      </c>
      <c r="CG128" s="28"/>
      <c r="CH128" s="28"/>
      <c r="CI128" s="65"/>
      <c r="CJ128" s="64">
        <f t="shared" si="92"/>
        <v>0</v>
      </c>
      <c r="CK128" s="28"/>
      <c r="CL128" s="28"/>
      <c r="CM128" s="65"/>
      <c r="CN128" s="64">
        <f t="shared" si="93"/>
        <v>0</v>
      </c>
      <c r="CO128" s="28"/>
      <c r="CP128" s="28"/>
      <c r="CQ128" s="65"/>
      <c r="CR128" s="64">
        <f t="shared" si="94"/>
        <v>0</v>
      </c>
      <c r="CS128" s="28"/>
      <c r="CT128" s="28"/>
      <c r="CU128" s="65"/>
      <c r="CV128" s="64">
        <f t="shared" si="95"/>
        <v>0</v>
      </c>
      <c r="CW128" s="28"/>
      <c r="CX128" s="28"/>
      <c r="CY128" s="65"/>
      <c r="CZ128" s="64">
        <f t="shared" si="96"/>
        <v>0</v>
      </c>
      <c r="DA128" s="28"/>
      <c r="DB128" s="28"/>
      <c r="DC128" s="65"/>
      <c r="DD128" s="64">
        <f t="shared" si="97"/>
        <v>0</v>
      </c>
      <c r="DE128" s="28"/>
      <c r="DF128" s="28"/>
      <c r="DG128" s="65"/>
      <c r="DH128" s="64">
        <f t="shared" si="98"/>
        <v>0</v>
      </c>
      <c r="DI128" s="28"/>
      <c r="DJ128" s="28"/>
      <c r="DK128" s="65"/>
      <c r="DL128" s="64">
        <f t="shared" si="99"/>
        <v>0</v>
      </c>
      <c r="DM128" s="28"/>
      <c r="DN128" s="28"/>
      <c r="DO128" s="65"/>
      <c r="DP128" s="64">
        <f t="shared" si="100"/>
        <v>0</v>
      </c>
      <c r="DQ128" s="28"/>
      <c r="DR128" s="28"/>
      <c r="DS128" s="65"/>
      <c r="DT128" s="64">
        <f t="shared" si="101"/>
        <v>0</v>
      </c>
      <c r="DU128" s="28"/>
      <c r="DV128" s="28"/>
      <c r="DW128" s="65"/>
      <c r="DX128" s="30">
        <f t="shared" si="102"/>
        <v>0</v>
      </c>
      <c r="DY128" s="31">
        <f t="shared" si="103"/>
        <v>0</v>
      </c>
      <c r="DZ128" s="31">
        <f t="shared" si="104"/>
        <v>0</v>
      </c>
      <c r="EA128" s="4">
        <f t="shared" si="105"/>
        <v>0</v>
      </c>
      <c r="EB128" s="9">
        <f>D128*'MASTER SHEET'!D128</f>
        <v>0</v>
      </c>
      <c r="EC128" s="9">
        <f>H128*'MASTER SHEET'!D128</f>
        <v>0</v>
      </c>
      <c r="ED128" s="9">
        <f>L128*'MASTER SHEET'!D128</f>
        <v>0</v>
      </c>
      <c r="EE128" s="9">
        <f>P128*'MASTER SHEET'!D128</f>
        <v>0</v>
      </c>
      <c r="EF128" s="9">
        <f>T128*'MASTER SHEET'!D128</f>
        <v>0</v>
      </c>
      <c r="EG128" s="9">
        <f>X128*'MASTER SHEET'!D128</f>
        <v>0</v>
      </c>
      <c r="EH128" s="9">
        <f>AB128*'MASTER SHEET'!D128</f>
        <v>0</v>
      </c>
      <c r="EI128" s="9">
        <f>AF128*'MASTER SHEET'!D128</f>
        <v>0</v>
      </c>
      <c r="EJ128" s="9">
        <f>AJ128*'MASTER SHEET'!D128</f>
        <v>0</v>
      </c>
      <c r="EK128" s="9">
        <f>AN128*'MASTER SHEET'!D128</f>
        <v>0</v>
      </c>
      <c r="EL128" s="9">
        <f>AR128*'MASTER SHEET'!D128</f>
        <v>0</v>
      </c>
      <c r="EM128" s="9">
        <f>AV128*'MASTER SHEET'!D128</f>
        <v>0</v>
      </c>
      <c r="EN128" s="9">
        <f>AZ128*'MASTER SHEET'!D128</f>
        <v>0</v>
      </c>
      <c r="EO128" s="9">
        <f>BD128*'MASTER SHEET'!D128</f>
        <v>0</v>
      </c>
      <c r="EP128" s="9">
        <f>BH128*'MASTER SHEET'!D128</f>
        <v>0</v>
      </c>
      <c r="EQ128" s="9">
        <f>BL128*'MASTER SHEET'!D128</f>
        <v>0</v>
      </c>
      <c r="ER128" s="9">
        <f>BP128*'MASTER SHEET'!D128</f>
        <v>0</v>
      </c>
      <c r="ES128" s="9">
        <f>BT128*'MASTER SHEET'!D128</f>
        <v>0</v>
      </c>
      <c r="ET128" s="9">
        <f>BX128*'MASTER SHEET'!D128</f>
        <v>0</v>
      </c>
      <c r="EU128" s="9">
        <f>CB128*'MASTER SHEET'!D128</f>
        <v>0</v>
      </c>
      <c r="EV128" s="9">
        <f>CF128*'MASTER SHEET'!D128</f>
        <v>0</v>
      </c>
      <c r="EW128" s="9">
        <f>CJ128*'MASTER SHEET'!D128</f>
        <v>0</v>
      </c>
      <c r="EX128" s="9">
        <f>CN128*'MASTER SHEET'!D128</f>
        <v>0</v>
      </c>
      <c r="EY128" s="9">
        <f>CV128*'MASTER SHEET'!D128</f>
        <v>0</v>
      </c>
      <c r="EZ128" s="9">
        <f>CV128*'MASTER SHEET'!D128</f>
        <v>0</v>
      </c>
      <c r="FA128" s="9">
        <f>CZ128*'MASTER SHEET'!D128</f>
        <v>0</v>
      </c>
      <c r="FB128" s="9">
        <f>DD128*'MASTER SHEET'!D128</f>
        <v>0</v>
      </c>
      <c r="FC128" s="9">
        <f>DH128*'MASTER SHEET'!D128</f>
        <v>0</v>
      </c>
      <c r="FD128" s="9">
        <f>DL128*'MASTER SHEET'!D128</f>
        <v>0</v>
      </c>
      <c r="FE128" s="9">
        <f>DP128*'MASTER SHEET'!D128</f>
        <v>0</v>
      </c>
      <c r="FF128" s="9">
        <f>DT128*'MASTER SHEET'!D128</f>
        <v>0</v>
      </c>
      <c r="FG128" s="9">
        <f>DX128*'MASTER SHEET'!D128</f>
        <v>0</v>
      </c>
    </row>
    <row r="129" spans="1:163" ht="20.25" x14ac:dyDescent="0.25">
      <c r="A129" s="43">
        <f>'MASTER SHEET'!A129</f>
        <v>127</v>
      </c>
      <c r="B129" s="26" t="str">
        <f>'MASTER SHEET'!B129</f>
        <v>3 WAY CLAMP</v>
      </c>
      <c r="C129" s="82">
        <f>'MASTER SHEET'!C129</f>
        <v>62207</v>
      </c>
      <c r="D129" s="64"/>
      <c r="E129" s="28"/>
      <c r="F129" s="28"/>
      <c r="G129" s="65"/>
      <c r="H129" s="64">
        <f t="shared" si="72"/>
        <v>0</v>
      </c>
      <c r="I129" s="28"/>
      <c r="J129" s="28"/>
      <c r="K129" s="65"/>
      <c r="L129" s="64">
        <f t="shared" si="73"/>
        <v>0</v>
      </c>
      <c r="M129" s="28"/>
      <c r="N129" s="28"/>
      <c r="O129" s="65"/>
      <c r="P129" s="64">
        <f t="shared" si="74"/>
        <v>0</v>
      </c>
      <c r="Q129" s="28"/>
      <c r="R129" s="28"/>
      <c r="S129" s="65"/>
      <c r="T129" s="64">
        <f t="shared" si="75"/>
        <v>0</v>
      </c>
      <c r="U129" s="28"/>
      <c r="V129" s="28"/>
      <c r="W129" s="65"/>
      <c r="X129" s="64">
        <f t="shared" si="76"/>
        <v>0</v>
      </c>
      <c r="Y129" s="28"/>
      <c r="Z129" s="28"/>
      <c r="AA129" s="65"/>
      <c r="AB129" s="64">
        <f t="shared" si="77"/>
        <v>0</v>
      </c>
      <c r="AC129" s="28"/>
      <c r="AD129" s="28"/>
      <c r="AE129" s="65"/>
      <c r="AF129" s="64">
        <f t="shared" si="78"/>
        <v>0</v>
      </c>
      <c r="AG129" s="28"/>
      <c r="AH129" s="28"/>
      <c r="AI129" s="65"/>
      <c r="AJ129" s="64">
        <f t="shared" si="79"/>
        <v>0</v>
      </c>
      <c r="AK129" s="28"/>
      <c r="AL129" s="28"/>
      <c r="AM129" s="65"/>
      <c r="AN129" s="64">
        <f t="shared" si="80"/>
        <v>0</v>
      </c>
      <c r="AO129" s="28"/>
      <c r="AP129" s="28"/>
      <c r="AQ129" s="65"/>
      <c r="AR129" s="64">
        <f t="shared" si="81"/>
        <v>0</v>
      </c>
      <c r="AS129" s="28"/>
      <c r="AT129" s="28"/>
      <c r="AU129" s="65"/>
      <c r="AV129" s="64">
        <f t="shared" si="82"/>
        <v>0</v>
      </c>
      <c r="AW129" s="28"/>
      <c r="AX129" s="28"/>
      <c r="AY129" s="65"/>
      <c r="AZ129" s="64">
        <f t="shared" si="83"/>
        <v>0</v>
      </c>
      <c r="BA129" s="28"/>
      <c r="BB129" s="28"/>
      <c r="BC129" s="65"/>
      <c r="BD129" s="64">
        <f t="shared" si="84"/>
        <v>0</v>
      </c>
      <c r="BE129" s="28"/>
      <c r="BF129" s="28"/>
      <c r="BG129" s="65"/>
      <c r="BH129" s="64">
        <f t="shared" si="85"/>
        <v>0</v>
      </c>
      <c r="BI129" s="28"/>
      <c r="BJ129" s="28"/>
      <c r="BK129" s="65"/>
      <c r="BL129" s="64">
        <f t="shared" si="86"/>
        <v>0</v>
      </c>
      <c r="BM129" s="28"/>
      <c r="BN129" s="28"/>
      <c r="BO129" s="65"/>
      <c r="BP129" s="64">
        <f t="shared" si="87"/>
        <v>0</v>
      </c>
      <c r="BQ129" s="28"/>
      <c r="BR129" s="28"/>
      <c r="BS129" s="65"/>
      <c r="BT129" s="64">
        <f t="shared" si="88"/>
        <v>0</v>
      </c>
      <c r="BU129" s="28"/>
      <c r="BV129" s="28"/>
      <c r="BW129" s="65"/>
      <c r="BX129" s="64">
        <f t="shared" si="89"/>
        <v>0</v>
      </c>
      <c r="BY129" s="28"/>
      <c r="BZ129" s="28"/>
      <c r="CA129" s="65"/>
      <c r="CB129" s="64">
        <f t="shared" si="90"/>
        <v>0</v>
      </c>
      <c r="CC129" s="28"/>
      <c r="CD129" s="28"/>
      <c r="CE129" s="65"/>
      <c r="CF129" s="64">
        <f t="shared" si="91"/>
        <v>0</v>
      </c>
      <c r="CG129" s="28"/>
      <c r="CH129" s="28"/>
      <c r="CI129" s="65"/>
      <c r="CJ129" s="64">
        <f t="shared" si="92"/>
        <v>0</v>
      </c>
      <c r="CK129" s="28"/>
      <c r="CL129" s="28"/>
      <c r="CM129" s="65"/>
      <c r="CN129" s="64">
        <f t="shared" si="93"/>
        <v>0</v>
      </c>
      <c r="CO129" s="28"/>
      <c r="CP129" s="28"/>
      <c r="CQ129" s="65"/>
      <c r="CR129" s="64">
        <f t="shared" si="94"/>
        <v>0</v>
      </c>
      <c r="CS129" s="28"/>
      <c r="CT129" s="28"/>
      <c r="CU129" s="65"/>
      <c r="CV129" s="64">
        <f t="shared" si="95"/>
        <v>0</v>
      </c>
      <c r="CW129" s="28"/>
      <c r="CX129" s="28"/>
      <c r="CY129" s="65"/>
      <c r="CZ129" s="64">
        <f t="shared" si="96"/>
        <v>0</v>
      </c>
      <c r="DA129" s="28"/>
      <c r="DB129" s="28"/>
      <c r="DC129" s="65"/>
      <c r="DD129" s="64">
        <f t="shared" si="97"/>
        <v>0</v>
      </c>
      <c r="DE129" s="28"/>
      <c r="DF129" s="28"/>
      <c r="DG129" s="65"/>
      <c r="DH129" s="64">
        <f t="shared" si="98"/>
        <v>0</v>
      </c>
      <c r="DI129" s="28"/>
      <c r="DJ129" s="28"/>
      <c r="DK129" s="65"/>
      <c r="DL129" s="64">
        <f t="shared" si="99"/>
        <v>0</v>
      </c>
      <c r="DM129" s="28"/>
      <c r="DN129" s="28"/>
      <c r="DO129" s="65"/>
      <c r="DP129" s="64">
        <f t="shared" si="100"/>
        <v>0</v>
      </c>
      <c r="DQ129" s="28"/>
      <c r="DR129" s="28"/>
      <c r="DS129" s="65"/>
      <c r="DT129" s="64">
        <f t="shared" si="101"/>
        <v>0</v>
      </c>
      <c r="DU129" s="28"/>
      <c r="DV129" s="28"/>
      <c r="DW129" s="65"/>
      <c r="DX129" s="30">
        <f t="shared" si="102"/>
        <v>0</v>
      </c>
      <c r="DY129" s="31">
        <f t="shared" si="103"/>
        <v>0</v>
      </c>
      <c r="DZ129" s="31">
        <f t="shared" si="104"/>
        <v>0</v>
      </c>
      <c r="EA129" s="4">
        <f t="shared" si="105"/>
        <v>0</v>
      </c>
      <c r="EB129" s="9">
        <f>D129*'MASTER SHEET'!D129</f>
        <v>0</v>
      </c>
      <c r="EC129" s="9">
        <f>H129*'MASTER SHEET'!D129</f>
        <v>0</v>
      </c>
      <c r="ED129" s="9">
        <f>L129*'MASTER SHEET'!D129</f>
        <v>0</v>
      </c>
      <c r="EE129" s="9">
        <f>P129*'MASTER SHEET'!D129</f>
        <v>0</v>
      </c>
      <c r="EF129" s="9">
        <f>T129*'MASTER SHEET'!D129</f>
        <v>0</v>
      </c>
      <c r="EG129" s="9">
        <f>X129*'MASTER SHEET'!D129</f>
        <v>0</v>
      </c>
      <c r="EH129" s="9">
        <f>AB129*'MASTER SHEET'!D129</f>
        <v>0</v>
      </c>
      <c r="EI129" s="9">
        <f>AF129*'MASTER SHEET'!D129</f>
        <v>0</v>
      </c>
      <c r="EJ129" s="9">
        <f>AJ129*'MASTER SHEET'!D129</f>
        <v>0</v>
      </c>
      <c r="EK129" s="9">
        <f>AN129*'MASTER SHEET'!D129</f>
        <v>0</v>
      </c>
      <c r="EL129" s="9">
        <f>AR129*'MASTER SHEET'!D129</f>
        <v>0</v>
      </c>
      <c r="EM129" s="9">
        <f>AV129*'MASTER SHEET'!D129</f>
        <v>0</v>
      </c>
      <c r="EN129" s="9">
        <f>AZ129*'MASTER SHEET'!D129</f>
        <v>0</v>
      </c>
      <c r="EO129" s="9">
        <f>BD129*'MASTER SHEET'!D129</f>
        <v>0</v>
      </c>
      <c r="EP129" s="9">
        <f>BH129*'MASTER SHEET'!D129</f>
        <v>0</v>
      </c>
      <c r="EQ129" s="9">
        <f>BL129*'MASTER SHEET'!D129</f>
        <v>0</v>
      </c>
      <c r="ER129" s="9">
        <f>BP129*'MASTER SHEET'!D129</f>
        <v>0</v>
      </c>
      <c r="ES129" s="9">
        <f>BT129*'MASTER SHEET'!D129</f>
        <v>0</v>
      </c>
      <c r="ET129" s="9">
        <f>BX129*'MASTER SHEET'!D129</f>
        <v>0</v>
      </c>
      <c r="EU129" s="9">
        <f>CB129*'MASTER SHEET'!D129</f>
        <v>0</v>
      </c>
      <c r="EV129" s="9">
        <f>CF129*'MASTER SHEET'!D129</f>
        <v>0</v>
      </c>
      <c r="EW129" s="9">
        <f>CJ129*'MASTER SHEET'!D129</f>
        <v>0</v>
      </c>
      <c r="EX129" s="9">
        <f>CN129*'MASTER SHEET'!D129</f>
        <v>0</v>
      </c>
      <c r="EY129" s="9">
        <f>CV129*'MASTER SHEET'!D129</f>
        <v>0</v>
      </c>
      <c r="EZ129" s="9">
        <f>CV129*'MASTER SHEET'!D129</f>
        <v>0</v>
      </c>
      <c r="FA129" s="9">
        <f>CZ129*'MASTER SHEET'!D129</f>
        <v>0</v>
      </c>
      <c r="FB129" s="9">
        <f>DD129*'MASTER SHEET'!D129</f>
        <v>0</v>
      </c>
      <c r="FC129" s="9">
        <f>DH129*'MASTER SHEET'!D129</f>
        <v>0</v>
      </c>
      <c r="FD129" s="9">
        <f>DL129*'MASTER SHEET'!D129</f>
        <v>0</v>
      </c>
      <c r="FE129" s="9">
        <f>DP129*'MASTER SHEET'!D129</f>
        <v>0</v>
      </c>
      <c r="FF129" s="9">
        <f>DT129*'MASTER SHEET'!D129</f>
        <v>0</v>
      </c>
      <c r="FG129" s="9">
        <f>DX129*'MASTER SHEET'!D129</f>
        <v>0</v>
      </c>
    </row>
    <row r="130" spans="1:163" ht="20.25" x14ac:dyDescent="0.25">
      <c r="A130" s="43">
        <f>'MASTER SHEET'!A130</f>
        <v>128</v>
      </c>
      <c r="B130" s="26" t="str">
        <f>'MASTER SHEET'!B130</f>
        <v>NUT</v>
      </c>
      <c r="C130" s="82">
        <f>'MASTER SHEET'!C130</f>
        <v>61577</v>
      </c>
      <c r="D130" s="64"/>
      <c r="E130" s="28"/>
      <c r="F130" s="28"/>
      <c r="G130" s="65"/>
      <c r="H130" s="64">
        <f t="shared" si="72"/>
        <v>0</v>
      </c>
      <c r="I130" s="28"/>
      <c r="J130" s="28"/>
      <c r="K130" s="65"/>
      <c r="L130" s="64">
        <f t="shared" si="73"/>
        <v>0</v>
      </c>
      <c r="M130" s="28"/>
      <c r="N130" s="28"/>
      <c r="O130" s="65"/>
      <c r="P130" s="64">
        <f t="shared" si="74"/>
        <v>0</v>
      </c>
      <c r="Q130" s="28"/>
      <c r="R130" s="28"/>
      <c r="S130" s="65"/>
      <c r="T130" s="64">
        <f t="shared" si="75"/>
        <v>0</v>
      </c>
      <c r="U130" s="28"/>
      <c r="V130" s="28"/>
      <c r="W130" s="65"/>
      <c r="X130" s="64">
        <f t="shared" si="76"/>
        <v>0</v>
      </c>
      <c r="Y130" s="28"/>
      <c r="Z130" s="28"/>
      <c r="AA130" s="65"/>
      <c r="AB130" s="64">
        <f t="shared" si="77"/>
        <v>0</v>
      </c>
      <c r="AC130" s="28"/>
      <c r="AD130" s="28"/>
      <c r="AE130" s="65"/>
      <c r="AF130" s="64">
        <f t="shared" si="78"/>
        <v>0</v>
      </c>
      <c r="AG130" s="28"/>
      <c r="AH130" s="28"/>
      <c r="AI130" s="65"/>
      <c r="AJ130" s="64">
        <f t="shared" si="79"/>
        <v>0</v>
      </c>
      <c r="AK130" s="28"/>
      <c r="AL130" s="28"/>
      <c r="AM130" s="65"/>
      <c r="AN130" s="64">
        <f t="shared" si="80"/>
        <v>0</v>
      </c>
      <c r="AO130" s="28"/>
      <c r="AP130" s="28"/>
      <c r="AQ130" s="65"/>
      <c r="AR130" s="64">
        <f t="shared" si="81"/>
        <v>0</v>
      </c>
      <c r="AS130" s="28"/>
      <c r="AT130" s="28"/>
      <c r="AU130" s="65"/>
      <c r="AV130" s="64">
        <f t="shared" si="82"/>
        <v>0</v>
      </c>
      <c r="AW130" s="28"/>
      <c r="AX130" s="28"/>
      <c r="AY130" s="65"/>
      <c r="AZ130" s="64">
        <f t="shared" si="83"/>
        <v>0</v>
      </c>
      <c r="BA130" s="28"/>
      <c r="BB130" s="28"/>
      <c r="BC130" s="65"/>
      <c r="BD130" s="64">
        <f t="shared" si="84"/>
        <v>0</v>
      </c>
      <c r="BE130" s="28"/>
      <c r="BF130" s="28"/>
      <c r="BG130" s="65"/>
      <c r="BH130" s="64">
        <f t="shared" si="85"/>
        <v>0</v>
      </c>
      <c r="BI130" s="28"/>
      <c r="BJ130" s="28"/>
      <c r="BK130" s="65"/>
      <c r="BL130" s="64">
        <f t="shared" si="86"/>
        <v>0</v>
      </c>
      <c r="BM130" s="28"/>
      <c r="BN130" s="28"/>
      <c r="BO130" s="65"/>
      <c r="BP130" s="64">
        <f t="shared" si="87"/>
        <v>0</v>
      </c>
      <c r="BQ130" s="28"/>
      <c r="BR130" s="28"/>
      <c r="BS130" s="65"/>
      <c r="BT130" s="64">
        <f t="shared" si="88"/>
        <v>0</v>
      </c>
      <c r="BU130" s="28"/>
      <c r="BV130" s="28"/>
      <c r="BW130" s="65"/>
      <c r="BX130" s="64">
        <f t="shared" si="89"/>
        <v>0</v>
      </c>
      <c r="BY130" s="28"/>
      <c r="BZ130" s="28"/>
      <c r="CA130" s="65"/>
      <c r="CB130" s="64">
        <f t="shared" si="90"/>
        <v>0</v>
      </c>
      <c r="CC130" s="28"/>
      <c r="CD130" s="28"/>
      <c r="CE130" s="65"/>
      <c r="CF130" s="64">
        <f t="shared" si="91"/>
        <v>0</v>
      </c>
      <c r="CG130" s="28"/>
      <c r="CH130" s="28"/>
      <c r="CI130" s="65"/>
      <c r="CJ130" s="64">
        <f t="shared" si="92"/>
        <v>0</v>
      </c>
      <c r="CK130" s="28"/>
      <c r="CL130" s="28"/>
      <c r="CM130" s="65"/>
      <c r="CN130" s="64">
        <f t="shared" si="93"/>
        <v>0</v>
      </c>
      <c r="CO130" s="28"/>
      <c r="CP130" s="28"/>
      <c r="CQ130" s="65"/>
      <c r="CR130" s="64">
        <f t="shared" si="94"/>
        <v>0</v>
      </c>
      <c r="CS130" s="28"/>
      <c r="CT130" s="28"/>
      <c r="CU130" s="65"/>
      <c r="CV130" s="64">
        <f t="shared" si="95"/>
        <v>0</v>
      </c>
      <c r="CW130" s="28"/>
      <c r="CX130" s="28"/>
      <c r="CY130" s="65"/>
      <c r="CZ130" s="64">
        <f t="shared" si="96"/>
        <v>0</v>
      </c>
      <c r="DA130" s="28"/>
      <c r="DB130" s="28"/>
      <c r="DC130" s="65"/>
      <c r="DD130" s="64">
        <f t="shared" si="97"/>
        <v>0</v>
      </c>
      <c r="DE130" s="28"/>
      <c r="DF130" s="28"/>
      <c r="DG130" s="65"/>
      <c r="DH130" s="64">
        <f t="shared" si="98"/>
        <v>0</v>
      </c>
      <c r="DI130" s="28"/>
      <c r="DJ130" s="28"/>
      <c r="DK130" s="65"/>
      <c r="DL130" s="64">
        <f t="shared" si="99"/>
        <v>0</v>
      </c>
      <c r="DM130" s="28"/>
      <c r="DN130" s="28"/>
      <c r="DO130" s="65"/>
      <c r="DP130" s="64">
        <f t="shared" si="100"/>
        <v>0</v>
      </c>
      <c r="DQ130" s="28"/>
      <c r="DR130" s="28"/>
      <c r="DS130" s="65"/>
      <c r="DT130" s="64">
        <f t="shared" si="101"/>
        <v>0</v>
      </c>
      <c r="DU130" s="28"/>
      <c r="DV130" s="28"/>
      <c r="DW130" s="65"/>
      <c r="DX130" s="30">
        <f t="shared" si="102"/>
        <v>0</v>
      </c>
      <c r="DY130" s="31">
        <f t="shared" si="103"/>
        <v>0</v>
      </c>
      <c r="DZ130" s="31">
        <f t="shared" si="104"/>
        <v>0</v>
      </c>
      <c r="EA130" s="4">
        <f t="shared" si="105"/>
        <v>0</v>
      </c>
      <c r="EB130" s="9">
        <f>D130*'MASTER SHEET'!D130</f>
        <v>0</v>
      </c>
      <c r="EC130" s="9">
        <f>H130*'MASTER SHEET'!D130</f>
        <v>0</v>
      </c>
      <c r="ED130" s="9">
        <f>L130*'MASTER SHEET'!D130</f>
        <v>0</v>
      </c>
      <c r="EE130" s="9">
        <f>P130*'MASTER SHEET'!D130</f>
        <v>0</v>
      </c>
      <c r="EF130" s="9">
        <f>T130*'MASTER SHEET'!D130</f>
        <v>0</v>
      </c>
      <c r="EG130" s="9">
        <f>X130*'MASTER SHEET'!D130</f>
        <v>0</v>
      </c>
      <c r="EH130" s="9">
        <f>AB130*'MASTER SHEET'!D130</f>
        <v>0</v>
      </c>
      <c r="EI130" s="9">
        <f>AF130*'MASTER SHEET'!D130</f>
        <v>0</v>
      </c>
      <c r="EJ130" s="9">
        <f>AJ130*'MASTER SHEET'!D130</f>
        <v>0</v>
      </c>
      <c r="EK130" s="9">
        <f>AN130*'MASTER SHEET'!D130</f>
        <v>0</v>
      </c>
      <c r="EL130" s="9">
        <f>AR130*'MASTER SHEET'!D130</f>
        <v>0</v>
      </c>
      <c r="EM130" s="9">
        <f>AV130*'MASTER SHEET'!D130</f>
        <v>0</v>
      </c>
      <c r="EN130" s="9">
        <f>AZ130*'MASTER SHEET'!D130</f>
        <v>0</v>
      </c>
      <c r="EO130" s="9">
        <f>BD130*'MASTER SHEET'!D130</f>
        <v>0</v>
      </c>
      <c r="EP130" s="9">
        <f>BH130*'MASTER SHEET'!D130</f>
        <v>0</v>
      </c>
      <c r="EQ130" s="9">
        <f>BL130*'MASTER SHEET'!D130</f>
        <v>0</v>
      </c>
      <c r="ER130" s="9">
        <f>BP130*'MASTER SHEET'!D130</f>
        <v>0</v>
      </c>
      <c r="ES130" s="9">
        <f>BT130*'MASTER SHEET'!D130</f>
        <v>0</v>
      </c>
      <c r="ET130" s="9">
        <f>BX130*'MASTER SHEET'!D130</f>
        <v>0</v>
      </c>
      <c r="EU130" s="9">
        <f>CB130*'MASTER SHEET'!D130</f>
        <v>0</v>
      </c>
      <c r="EV130" s="9">
        <f>CF130*'MASTER SHEET'!D130</f>
        <v>0</v>
      </c>
      <c r="EW130" s="9">
        <f>CJ130*'MASTER SHEET'!D130</f>
        <v>0</v>
      </c>
      <c r="EX130" s="9">
        <f>CN130*'MASTER SHEET'!D130</f>
        <v>0</v>
      </c>
      <c r="EY130" s="9">
        <f>CV130*'MASTER SHEET'!D130</f>
        <v>0</v>
      </c>
      <c r="EZ130" s="9">
        <f>CV130*'MASTER SHEET'!D130</f>
        <v>0</v>
      </c>
      <c r="FA130" s="9">
        <f>CZ130*'MASTER SHEET'!D130</f>
        <v>0</v>
      </c>
      <c r="FB130" s="9">
        <f>DD130*'MASTER SHEET'!D130</f>
        <v>0</v>
      </c>
      <c r="FC130" s="9">
        <f>DH130*'MASTER SHEET'!D130</f>
        <v>0</v>
      </c>
      <c r="FD130" s="9">
        <f>DL130*'MASTER SHEET'!D130</f>
        <v>0</v>
      </c>
      <c r="FE130" s="9">
        <f>DP130*'MASTER SHEET'!D130</f>
        <v>0</v>
      </c>
      <c r="FF130" s="9">
        <f>DT130*'MASTER SHEET'!D130</f>
        <v>0</v>
      </c>
      <c r="FG130" s="9">
        <f>DX130*'MASTER SHEET'!D130</f>
        <v>0</v>
      </c>
    </row>
    <row r="131" spans="1:163" ht="20.25" x14ac:dyDescent="0.25">
      <c r="A131" s="43">
        <f>'MASTER SHEET'!A131</f>
        <v>129</v>
      </c>
      <c r="B131" s="26" t="str">
        <f>'MASTER SHEET'!B131</f>
        <v>WBASE CLIP</v>
      </c>
      <c r="C131" s="82">
        <f>'MASTER SHEET'!C131</f>
        <v>62153</v>
      </c>
      <c r="D131" s="64"/>
      <c r="E131" s="28"/>
      <c r="F131" s="28"/>
      <c r="G131" s="65"/>
      <c r="H131" s="64">
        <f t="shared" si="72"/>
        <v>0</v>
      </c>
      <c r="I131" s="28"/>
      <c r="J131" s="28"/>
      <c r="K131" s="65"/>
      <c r="L131" s="64">
        <f t="shared" si="73"/>
        <v>0</v>
      </c>
      <c r="M131" s="28"/>
      <c r="N131" s="28"/>
      <c r="O131" s="65"/>
      <c r="P131" s="64">
        <f t="shared" si="74"/>
        <v>0</v>
      </c>
      <c r="Q131" s="28"/>
      <c r="R131" s="28"/>
      <c r="S131" s="65"/>
      <c r="T131" s="64">
        <f t="shared" si="75"/>
        <v>0</v>
      </c>
      <c r="U131" s="28"/>
      <c r="V131" s="28"/>
      <c r="W131" s="65"/>
      <c r="X131" s="64">
        <f t="shared" si="76"/>
        <v>0</v>
      </c>
      <c r="Y131" s="28"/>
      <c r="Z131" s="28"/>
      <c r="AA131" s="65"/>
      <c r="AB131" s="64">
        <f t="shared" si="77"/>
        <v>0</v>
      </c>
      <c r="AC131" s="28"/>
      <c r="AD131" s="28"/>
      <c r="AE131" s="65"/>
      <c r="AF131" s="64">
        <f t="shared" si="78"/>
        <v>0</v>
      </c>
      <c r="AG131" s="28"/>
      <c r="AH131" s="28"/>
      <c r="AI131" s="65"/>
      <c r="AJ131" s="64">
        <f t="shared" si="79"/>
        <v>0</v>
      </c>
      <c r="AK131" s="28"/>
      <c r="AL131" s="28"/>
      <c r="AM131" s="65"/>
      <c r="AN131" s="64">
        <f t="shared" si="80"/>
        <v>0</v>
      </c>
      <c r="AO131" s="28"/>
      <c r="AP131" s="28"/>
      <c r="AQ131" s="65"/>
      <c r="AR131" s="64">
        <f t="shared" si="81"/>
        <v>0</v>
      </c>
      <c r="AS131" s="28"/>
      <c r="AT131" s="28"/>
      <c r="AU131" s="65"/>
      <c r="AV131" s="64">
        <f t="shared" si="82"/>
        <v>0</v>
      </c>
      <c r="AW131" s="28"/>
      <c r="AX131" s="28"/>
      <c r="AY131" s="65"/>
      <c r="AZ131" s="64">
        <f t="shared" si="83"/>
        <v>0</v>
      </c>
      <c r="BA131" s="28"/>
      <c r="BB131" s="28"/>
      <c r="BC131" s="65"/>
      <c r="BD131" s="64">
        <f t="shared" si="84"/>
        <v>0</v>
      </c>
      <c r="BE131" s="28"/>
      <c r="BF131" s="28"/>
      <c r="BG131" s="65"/>
      <c r="BH131" s="64">
        <f t="shared" si="85"/>
        <v>0</v>
      </c>
      <c r="BI131" s="28"/>
      <c r="BJ131" s="28"/>
      <c r="BK131" s="65"/>
      <c r="BL131" s="64">
        <f t="shared" si="86"/>
        <v>0</v>
      </c>
      <c r="BM131" s="28"/>
      <c r="BN131" s="28"/>
      <c r="BO131" s="65"/>
      <c r="BP131" s="64">
        <f t="shared" si="87"/>
        <v>0</v>
      </c>
      <c r="BQ131" s="28"/>
      <c r="BR131" s="28"/>
      <c r="BS131" s="65"/>
      <c r="BT131" s="64">
        <f t="shared" si="88"/>
        <v>0</v>
      </c>
      <c r="BU131" s="28"/>
      <c r="BV131" s="28"/>
      <c r="BW131" s="65"/>
      <c r="BX131" s="64">
        <f t="shared" si="89"/>
        <v>0</v>
      </c>
      <c r="BY131" s="28"/>
      <c r="BZ131" s="28"/>
      <c r="CA131" s="65"/>
      <c r="CB131" s="64">
        <f t="shared" si="90"/>
        <v>0</v>
      </c>
      <c r="CC131" s="28"/>
      <c r="CD131" s="28"/>
      <c r="CE131" s="65"/>
      <c r="CF131" s="64">
        <f t="shared" si="91"/>
        <v>0</v>
      </c>
      <c r="CG131" s="28"/>
      <c r="CH131" s="28"/>
      <c r="CI131" s="65"/>
      <c r="CJ131" s="64">
        <f t="shared" si="92"/>
        <v>0</v>
      </c>
      <c r="CK131" s="28"/>
      <c r="CL131" s="28"/>
      <c r="CM131" s="65"/>
      <c r="CN131" s="64">
        <f t="shared" si="93"/>
        <v>0</v>
      </c>
      <c r="CO131" s="28"/>
      <c r="CP131" s="28"/>
      <c r="CQ131" s="65"/>
      <c r="CR131" s="64">
        <f t="shared" si="94"/>
        <v>0</v>
      </c>
      <c r="CS131" s="28"/>
      <c r="CT131" s="28"/>
      <c r="CU131" s="65"/>
      <c r="CV131" s="64">
        <f t="shared" si="95"/>
        <v>0</v>
      </c>
      <c r="CW131" s="28"/>
      <c r="CX131" s="28"/>
      <c r="CY131" s="65"/>
      <c r="CZ131" s="64">
        <f t="shared" si="96"/>
        <v>0</v>
      </c>
      <c r="DA131" s="28"/>
      <c r="DB131" s="28"/>
      <c r="DC131" s="65"/>
      <c r="DD131" s="64">
        <f t="shared" si="97"/>
        <v>0</v>
      </c>
      <c r="DE131" s="28"/>
      <c r="DF131" s="28"/>
      <c r="DG131" s="65"/>
      <c r="DH131" s="64">
        <f t="shared" si="98"/>
        <v>0</v>
      </c>
      <c r="DI131" s="28"/>
      <c r="DJ131" s="28"/>
      <c r="DK131" s="65"/>
      <c r="DL131" s="64">
        <f t="shared" si="99"/>
        <v>0</v>
      </c>
      <c r="DM131" s="28"/>
      <c r="DN131" s="28"/>
      <c r="DO131" s="65"/>
      <c r="DP131" s="64">
        <f t="shared" si="100"/>
        <v>0</v>
      </c>
      <c r="DQ131" s="28"/>
      <c r="DR131" s="28"/>
      <c r="DS131" s="65"/>
      <c r="DT131" s="64">
        <f t="shared" si="101"/>
        <v>0</v>
      </c>
      <c r="DU131" s="28"/>
      <c r="DV131" s="28"/>
      <c r="DW131" s="65"/>
      <c r="DX131" s="30">
        <f t="shared" si="102"/>
        <v>0</v>
      </c>
      <c r="DY131" s="31">
        <f t="shared" si="103"/>
        <v>0</v>
      </c>
      <c r="DZ131" s="31">
        <f t="shared" si="104"/>
        <v>0</v>
      </c>
      <c r="EA131" s="4">
        <f>G131+K131+O131+S131+W131+AA131+AE131+AI131+AM131+AQ131+AU131+AY131+BC131+BG131+BK131+BO131+BS131+BW131+CA131+CE131+CI131+CM131+CQ131+CU131+CY131+DC131+DG131+DK131+DO131+DS131+DW131</f>
        <v>0</v>
      </c>
      <c r="EB131" s="9">
        <f>D131*'MASTER SHEET'!D131</f>
        <v>0</v>
      </c>
      <c r="EC131" s="9">
        <f>H131*'MASTER SHEET'!D131</f>
        <v>0</v>
      </c>
      <c r="ED131" s="9">
        <f>L131*'MASTER SHEET'!D131</f>
        <v>0</v>
      </c>
      <c r="EE131" s="9">
        <f>P131*'MASTER SHEET'!D131</f>
        <v>0</v>
      </c>
      <c r="EF131" s="9">
        <f>T131*'MASTER SHEET'!D131</f>
        <v>0</v>
      </c>
      <c r="EG131" s="9">
        <f>X131*'MASTER SHEET'!D131</f>
        <v>0</v>
      </c>
      <c r="EH131" s="9">
        <f>AB131*'MASTER SHEET'!D131</f>
        <v>0</v>
      </c>
      <c r="EI131" s="9">
        <f>AF131*'MASTER SHEET'!D131</f>
        <v>0</v>
      </c>
      <c r="EJ131" s="9">
        <f>AJ131*'MASTER SHEET'!D131</f>
        <v>0</v>
      </c>
      <c r="EK131" s="9">
        <f>AN131*'MASTER SHEET'!D131</f>
        <v>0</v>
      </c>
      <c r="EL131" s="9">
        <f>AR131*'MASTER SHEET'!D131</f>
        <v>0</v>
      </c>
      <c r="EM131" s="9">
        <f>AV131*'MASTER SHEET'!D131</f>
        <v>0</v>
      </c>
      <c r="EN131" s="9">
        <f>AZ131*'MASTER SHEET'!D131</f>
        <v>0</v>
      </c>
      <c r="EO131" s="9">
        <f>BD131*'MASTER SHEET'!D131</f>
        <v>0</v>
      </c>
      <c r="EP131" s="9">
        <f>BH131*'MASTER SHEET'!D131</f>
        <v>0</v>
      </c>
      <c r="EQ131" s="9">
        <f>BL131*'MASTER SHEET'!D131</f>
        <v>0</v>
      </c>
      <c r="ER131" s="9">
        <f>BP131*'MASTER SHEET'!D131</f>
        <v>0</v>
      </c>
      <c r="ES131" s="9">
        <f>BT131*'MASTER SHEET'!D131</f>
        <v>0</v>
      </c>
      <c r="ET131" s="9">
        <f>BX131*'MASTER SHEET'!D131</f>
        <v>0</v>
      </c>
      <c r="EU131" s="9">
        <f>CB131*'MASTER SHEET'!D131</f>
        <v>0</v>
      </c>
      <c r="EV131" s="9">
        <f>CF131*'MASTER SHEET'!D131</f>
        <v>0</v>
      </c>
      <c r="EW131" s="9">
        <f>CJ131*'MASTER SHEET'!D131</f>
        <v>0</v>
      </c>
      <c r="EX131" s="9">
        <f>CN131*'MASTER SHEET'!D131</f>
        <v>0</v>
      </c>
      <c r="EY131" s="9">
        <f>CV131*'MASTER SHEET'!D131</f>
        <v>0</v>
      </c>
      <c r="EZ131" s="9">
        <f>CV131*'MASTER SHEET'!D131</f>
        <v>0</v>
      </c>
      <c r="FA131" s="9">
        <f>CZ131*'MASTER SHEET'!D131</f>
        <v>0</v>
      </c>
      <c r="FB131" s="9">
        <f>DD131*'MASTER SHEET'!D131</f>
        <v>0</v>
      </c>
      <c r="FC131" s="9">
        <f>DH131*'MASTER SHEET'!D131</f>
        <v>0</v>
      </c>
      <c r="FD131" s="9">
        <f>DL131*'MASTER SHEET'!D131</f>
        <v>0</v>
      </c>
      <c r="FE131" s="9">
        <f>DP131*'MASTER SHEET'!D131</f>
        <v>0</v>
      </c>
      <c r="FF131" s="9">
        <f>DT131*'MASTER SHEET'!D131</f>
        <v>0</v>
      </c>
      <c r="FG131" s="9">
        <f>DX131*'MASTER SHEET'!D131</f>
        <v>0</v>
      </c>
    </row>
    <row r="132" spans="1:163" ht="20.25" x14ac:dyDescent="0.25">
      <c r="A132" s="43">
        <f>'MASTER SHEET'!A132</f>
        <v>130</v>
      </c>
      <c r="B132" s="26" t="str">
        <f>'MASTER SHEET'!B132</f>
        <v>GRAPPING HOOK</v>
      </c>
      <c r="C132" s="82">
        <f>'MASTER SHEET'!C132</f>
        <v>62286</v>
      </c>
      <c r="D132" s="64"/>
      <c r="E132" s="28"/>
      <c r="F132" s="28"/>
      <c r="G132" s="65"/>
      <c r="H132" s="64">
        <f t="shared" ref="H132:H195" si="106">D132+E132-F132-G132</f>
        <v>0</v>
      </c>
      <c r="I132" s="28"/>
      <c r="J132" s="28"/>
      <c r="K132" s="65"/>
      <c r="L132" s="64">
        <f t="shared" ref="L132:L195" si="107">H132+I132-J132-K132</f>
        <v>0</v>
      </c>
      <c r="M132" s="28"/>
      <c r="N132" s="28"/>
      <c r="O132" s="65"/>
      <c r="P132" s="64">
        <f t="shared" ref="P132:P195" si="108">L132+M132-N132-O132</f>
        <v>0</v>
      </c>
      <c r="Q132" s="28"/>
      <c r="R132" s="28"/>
      <c r="S132" s="65"/>
      <c r="T132" s="64">
        <f t="shared" ref="T132:T195" si="109">P132+Q132-R132-S132</f>
        <v>0</v>
      </c>
      <c r="U132" s="28"/>
      <c r="V132" s="28"/>
      <c r="W132" s="65"/>
      <c r="X132" s="64">
        <f t="shared" ref="X132:X195" si="110">T132+U132-V132-W132</f>
        <v>0</v>
      </c>
      <c r="Y132" s="28"/>
      <c r="Z132" s="28"/>
      <c r="AA132" s="65"/>
      <c r="AB132" s="64">
        <f t="shared" ref="AB132:AB195" si="111">X132+Y132-Z132-AA132</f>
        <v>0</v>
      </c>
      <c r="AC132" s="28"/>
      <c r="AD132" s="28"/>
      <c r="AE132" s="65"/>
      <c r="AF132" s="64">
        <f t="shared" ref="AF132:AF195" si="112">AB132+AC132-AD132-AE132</f>
        <v>0</v>
      </c>
      <c r="AG132" s="28"/>
      <c r="AH132" s="28"/>
      <c r="AI132" s="65"/>
      <c r="AJ132" s="64">
        <f t="shared" ref="AJ132:AJ195" si="113">AF132+AG132-AH132-AI132</f>
        <v>0</v>
      </c>
      <c r="AK132" s="28"/>
      <c r="AL132" s="28"/>
      <c r="AM132" s="65"/>
      <c r="AN132" s="64">
        <f t="shared" ref="AN132:AN195" si="114">AJ132+AK132-AL132-AM132</f>
        <v>0</v>
      </c>
      <c r="AO132" s="28"/>
      <c r="AP132" s="28"/>
      <c r="AQ132" s="65"/>
      <c r="AR132" s="64">
        <f t="shared" ref="AR132:AR195" si="115">AN132+AO132-AP132-AQ132</f>
        <v>0</v>
      </c>
      <c r="AS132" s="28"/>
      <c r="AT132" s="28"/>
      <c r="AU132" s="65"/>
      <c r="AV132" s="64">
        <f t="shared" ref="AV132:AV195" si="116">AR132+AS132-AT132-AU132</f>
        <v>0</v>
      </c>
      <c r="AW132" s="28"/>
      <c r="AX132" s="28"/>
      <c r="AY132" s="65"/>
      <c r="AZ132" s="64">
        <f t="shared" ref="AZ132:AZ195" si="117">AV132+AW132-AX132-AY132</f>
        <v>0</v>
      </c>
      <c r="BA132" s="28"/>
      <c r="BB132" s="28"/>
      <c r="BC132" s="65"/>
      <c r="BD132" s="64">
        <f t="shared" ref="BD132:BD195" si="118">AZ132+BA132-BB132-BC132</f>
        <v>0</v>
      </c>
      <c r="BE132" s="28"/>
      <c r="BF132" s="28"/>
      <c r="BG132" s="65"/>
      <c r="BH132" s="64">
        <f t="shared" ref="BH132:BH195" si="119">BD132+BE132-BF132-BG132</f>
        <v>0</v>
      </c>
      <c r="BI132" s="28"/>
      <c r="BJ132" s="28"/>
      <c r="BK132" s="65"/>
      <c r="BL132" s="64">
        <f t="shared" ref="BL132:BL195" si="120">BH132+BI132-BJ132-BK132</f>
        <v>0</v>
      </c>
      <c r="BM132" s="28"/>
      <c r="BN132" s="28"/>
      <c r="BO132" s="65"/>
      <c r="BP132" s="64">
        <f t="shared" ref="BP132:BP195" si="121">BL132+BM132-BN132-BO132</f>
        <v>0</v>
      </c>
      <c r="BQ132" s="28"/>
      <c r="BR132" s="28"/>
      <c r="BS132" s="65"/>
      <c r="BT132" s="64">
        <f t="shared" ref="BT132:BT195" si="122">BP132+BQ132-BR132-BS132</f>
        <v>0</v>
      </c>
      <c r="BU132" s="28"/>
      <c r="BV132" s="28"/>
      <c r="BW132" s="65"/>
      <c r="BX132" s="64">
        <f t="shared" ref="BX132:BX195" si="123">BT132+BU132-BV132-BW132</f>
        <v>0</v>
      </c>
      <c r="BY132" s="28"/>
      <c r="BZ132" s="28"/>
      <c r="CA132" s="65"/>
      <c r="CB132" s="64">
        <f t="shared" ref="CB132:CB195" si="124">BX132+BY132-BZ132-CA132</f>
        <v>0</v>
      </c>
      <c r="CC132" s="28"/>
      <c r="CD132" s="28"/>
      <c r="CE132" s="65"/>
      <c r="CF132" s="64">
        <f t="shared" ref="CF132:CF195" si="125">CB132+CC132-CD132-CE132</f>
        <v>0</v>
      </c>
      <c r="CG132" s="28"/>
      <c r="CH132" s="28"/>
      <c r="CI132" s="65"/>
      <c r="CJ132" s="64">
        <f t="shared" ref="CJ132:CJ195" si="126">CF132+CG132-CH132-CI132</f>
        <v>0</v>
      </c>
      <c r="CK132" s="28"/>
      <c r="CL132" s="28"/>
      <c r="CM132" s="65"/>
      <c r="CN132" s="64">
        <f t="shared" ref="CN132:CN195" si="127">CJ132+CK132-CL132-CM132</f>
        <v>0</v>
      </c>
      <c r="CO132" s="28"/>
      <c r="CP132" s="28"/>
      <c r="CQ132" s="65"/>
      <c r="CR132" s="64">
        <f t="shared" ref="CR132:CR195" si="128">CN132+CO132-CP132-CQ132</f>
        <v>0</v>
      </c>
      <c r="CS132" s="28"/>
      <c r="CT132" s="28"/>
      <c r="CU132" s="65"/>
      <c r="CV132" s="64">
        <f t="shared" ref="CV132:CV195" si="129">CR132+CS132-CT132-CU132</f>
        <v>0</v>
      </c>
      <c r="CW132" s="28"/>
      <c r="CX132" s="28"/>
      <c r="CY132" s="65"/>
      <c r="CZ132" s="64">
        <f t="shared" ref="CZ132:CZ195" si="130">CV132+CW132-CX132-CY132</f>
        <v>0</v>
      </c>
      <c r="DA132" s="28"/>
      <c r="DB132" s="28"/>
      <c r="DC132" s="65"/>
      <c r="DD132" s="64">
        <f t="shared" ref="DD132:DD195" si="131">CZ132+DA132-DB132-DC132</f>
        <v>0</v>
      </c>
      <c r="DE132" s="28"/>
      <c r="DF132" s="28"/>
      <c r="DG132" s="65"/>
      <c r="DH132" s="64">
        <f t="shared" ref="DH132:DH195" si="132">DD132+DE132-DF132-DG132</f>
        <v>0</v>
      </c>
      <c r="DI132" s="28"/>
      <c r="DJ132" s="28"/>
      <c r="DK132" s="65"/>
      <c r="DL132" s="64">
        <f t="shared" ref="DL132:DL195" si="133">DH132+DI132-DJ132-DK132</f>
        <v>0</v>
      </c>
      <c r="DM132" s="28"/>
      <c r="DN132" s="28"/>
      <c r="DO132" s="65"/>
      <c r="DP132" s="64">
        <f t="shared" ref="DP132:DP195" si="134">DL132+DM132-DN132-DO132</f>
        <v>0</v>
      </c>
      <c r="DQ132" s="28"/>
      <c r="DR132" s="28"/>
      <c r="DS132" s="65"/>
      <c r="DT132" s="64">
        <f t="shared" ref="DT132:DT195" si="135">DP132+DQ132-DR132-DS132</f>
        <v>0</v>
      </c>
      <c r="DU132" s="28"/>
      <c r="DV132" s="28"/>
      <c r="DW132" s="65"/>
      <c r="DX132" s="30">
        <f t="shared" ref="DX132:DX195" si="136">DT132+DU132-DV132-DW132</f>
        <v>0</v>
      </c>
      <c r="DY132" s="31">
        <f t="shared" si="103"/>
        <v>0</v>
      </c>
      <c r="DZ132" s="31">
        <f t="shared" si="104"/>
        <v>0</v>
      </c>
      <c r="EA132" s="4">
        <f>G132+K132+O132+S132+W132+AA132+AE132+AI132+AM132+AQ132+AU132+AY132+BC132+BG132+BK132+BO132+BS132+BW132+CA132+CE132+CI132+CM132+CQ132+CU132+CY132+DC132+DG132+DK132+DO132+DS132+DW132</f>
        <v>0</v>
      </c>
      <c r="EB132" s="9">
        <f>D132*'MASTER SHEET'!D132</f>
        <v>0</v>
      </c>
      <c r="EC132" s="9">
        <f>H132*'MASTER SHEET'!D132</f>
        <v>0</v>
      </c>
      <c r="ED132" s="9">
        <f>L132*'MASTER SHEET'!D132</f>
        <v>0</v>
      </c>
      <c r="EE132" s="9">
        <f>P132*'MASTER SHEET'!D132</f>
        <v>0</v>
      </c>
      <c r="EF132" s="9">
        <f>T132*'MASTER SHEET'!D132</f>
        <v>0</v>
      </c>
      <c r="EG132" s="9">
        <f>X132*'MASTER SHEET'!D132</f>
        <v>0</v>
      </c>
      <c r="EH132" s="9">
        <f>AB132*'MASTER SHEET'!D132</f>
        <v>0</v>
      </c>
      <c r="EI132" s="9">
        <f>AF132*'MASTER SHEET'!D132</f>
        <v>0</v>
      </c>
      <c r="EJ132" s="9">
        <f>AJ132*'MASTER SHEET'!D132</f>
        <v>0</v>
      </c>
      <c r="EK132" s="9">
        <f>AN132*'MASTER SHEET'!D132</f>
        <v>0</v>
      </c>
      <c r="EL132" s="9">
        <f>AR132*'MASTER SHEET'!D132</f>
        <v>0</v>
      </c>
      <c r="EM132" s="9">
        <f>AV132*'MASTER SHEET'!D132</f>
        <v>0</v>
      </c>
      <c r="EN132" s="9">
        <f>AZ132*'MASTER SHEET'!D132</f>
        <v>0</v>
      </c>
      <c r="EO132" s="9">
        <f>BD132*'MASTER SHEET'!D132</f>
        <v>0</v>
      </c>
      <c r="EP132" s="9">
        <f>BH132*'MASTER SHEET'!D132</f>
        <v>0</v>
      </c>
      <c r="EQ132" s="9">
        <f>BL132*'MASTER SHEET'!D132</f>
        <v>0</v>
      </c>
      <c r="ER132" s="9">
        <f>BP132*'MASTER SHEET'!D132</f>
        <v>0</v>
      </c>
      <c r="ES132" s="9">
        <f>BT132*'MASTER SHEET'!D132</f>
        <v>0</v>
      </c>
      <c r="ET132" s="9">
        <f>BX132*'MASTER SHEET'!D132</f>
        <v>0</v>
      </c>
      <c r="EU132" s="9">
        <f>CB132*'MASTER SHEET'!D132</f>
        <v>0</v>
      </c>
      <c r="EV132" s="9">
        <f>CF132*'MASTER SHEET'!D132</f>
        <v>0</v>
      </c>
      <c r="EW132" s="9">
        <f>CJ132*'MASTER SHEET'!D132</f>
        <v>0</v>
      </c>
      <c r="EX132" s="9">
        <f>CN132*'MASTER SHEET'!D132</f>
        <v>0</v>
      </c>
      <c r="EY132" s="9">
        <f>CV132*'MASTER SHEET'!D132</f>
        <v>0</v>
      </c>
      <c r="EZ132" s="9">
        <f>CV132*'MASTER SHEET'!D132</f>
        <v>0</v>
      </c>
      <c r="FA132" s="9">
        <f>CZ132*'MASTER SHEET'!D132</f>
        <v>0</v>
      </c>
      <c r="FB132" s="9">
        <f>DD132*'MASTER SHEET'!D132</f>
        <v>0</v>
      </c>
      <c r="FC132" s="9">
        <f>DH132*'MASTER SHEET'!D132</f>
        <v>0</v>
      </c>
      <c r="FD132" s="9">
        <f>DL132*'MASTER SHEET'!D132</f>
        <v>0</v>
      </c>
      <c r="FE132" s="9">
        <f>DP132*'MASTER SHEET'!D132</f>
        <v>0</v>
      </c>
      <c r="FF132" s="9">
        <f>DT132*'MASTER SHEET'!D132</f>
        <v>0</v>
      </c>
      <c r="FG132" s="9">
        <f>DX132*'MASTER SHEET'!D132</f>
        <v>0</v>
      </c>
    </row>
    <row r="133" spans="1:163" ht="20.25" x14ac:dyDescent="0.25">
      <c r="A133" s="43">
        <f>'MASTER SHEET'!A133</f>
        <v>131</v>
      </c>
      <c r="B133" s="26" t="str">
        <f>'MASTER SHEET'!B133</f>
        <v>ODH ACTUATOR RH</v>
      </c>
      <c r="C133" s="82" t="str">
        <f>'MASTER SHEET'!C133</f>
        <v>BE00003048</v>
      </c>
      <c r="D133" s="64"/>
      <c r="E133" s="28"/>
      <c r="F133" s="28"/>
      <c r="G133" s="65"/>
      <c r="H133" s="64">
        <f t="shared" si="106"/>
        <v>0</v>
      </c>
      <c r="I133" s="28"/>
      <c r="J133" s="28"/>
      <c r="K133" s="65"/>
      <c r="L133" s="64">
        <f t="shared" si="107"/>
        <v>0</v>
      </c>
      <c r="M133" s="28"/>
      <c r="N133" s="28"/>
      <c r="O133" s="65"/>
      <c r="P133" s="64">
        <f t="shared" si="108"/>
        <v>0</v>
      </c>
      <c r="Q133" s="28"/>
      <c r="R133" s="28"/>
      <c r="S133" s="65"/>
      <c r="T133" s="64">
        <f t="shared" si="109"/>
        <v>0</v>
      </c>
      <c r="U133" s="28"/>
      <c r="V133" s="28"/>
      <c r="W133" s="65"/>
      <c r="X133" s="64">
        <f t="shared" si="110"/>
        <v>0</v>
      </c>
      <c r="Y133" s="28"/>
      <c r="Z133" s="28"/>
      <c r="AA133" s="65"/>
      <c r="AB133" s="64">
        <f t="shared" si="111"/>
        <v>0</v>
      </c>
      <c r="AC133" s="28"/>
      <c r="AD133" s="28"/>
      <c r="AE133" s="65"/>
      <c r="AF133" s="64">
        <f t="shared" si="112"/>
        <v>0</v>
      </c>
      <c r="AG133" s="28"/>
      <c r="AH133" s="28"/>
      <c r="AI133" s="65"/>
      <c r="AJ133" s="64">
        <f t="shared" si="113"/>
        <v>0</v>
      </c>
      <c r="AK133" s="28"/>
      <c r="AL133" s="28"/>
      <c r="AM133" s="65"/>
      <c r="AN133" s="64">
        <f t="shared" si="114"/>
        <v>0</v>
      </c>
      <c r="AO133" s="28"/>
      <c r="AP133" s="28"/>
      <c r="AQ133" s="65"/>
      <c r="AR133" s="64">
        <f t="shared" si="115"/>
        <v>0</v>
      </c>
      <c r="AS133" s="28"/>
      <c r="AT133" s="28"/>
      <c r="AU133" s="65"/>
      <c r="AV133" s="64">
        <f t="shared" si="116"/>
        <v>0</v>
      </c>
      <c r="AW133" s="28"/>
      <c r="AX133" s="28"/>
      <c r="AY133" s="65"/>
      <c r="AZ133" s="64">
        <f t="shared" si="117"/>
        <v>0</v>
      </c>
      <c r="BA133" s="28"/>
      <c r="BB133" s="28"/>
      <c r="BC133" s="65"/>
      <c r="BD133" s="64">
        <f t="shared" si="118"/>
        <v>0</v>
      </c>
      <c r="BE133" s="28"/>
      <c r="BF133" s="28"/>
      <c r="BG133" s="65"/>
      <c r="BH133" s="64">
        <f t="shared" si="119"/>
        <v>0</v>
      </c>
      <c r="BI133" s="28"/>
      <c r="BJ133" s="28"/>
      <c r="BK133" s="65"/>
      <c r="BL133" s="64">
        <f t="shared" si="120"/>
        <v>0</v>
      </c>
      <c r="BM133" s="28"/>
      <c r="BN133" s="28"/>
      <c r="BO133" s="65"/>
      <c r="BP133" s="64">
        <f t="shared" si="121"/>
        <v>0</v>
      </c>
      <c r="BQ133" s="28"/>
      <c r="BR133" s="28"/>
      <c r="BS133" s="65"/>
      <c r="BT133" s="64">
        <f t="shared" si="122"/>
        <v>0</v>
      </c>
      <c r="BU133" s="28"/>
      <c r="BV133" s="28"/>
      <c r="BW133" s="65"/>
      <c r="BX133" s="64">
        <f t="shared" si="123"/>
        <v>0</v>
      </c>
      <c r="BY133" s="28"/>
      <c r="BZ133" s="28"/>
      <c r="CA133" s="65"/>
      <c r="CB133" s="64">
        <f t="shared" si="124"/>
        <v>0</v>
      </c>
      <c r="CC133" s="28"/>
      <c r="CD133" s="28"/>
      <c r="CE133" s="65"/>
      <c r="CF133" s="64">
        <f t="shared" si="125"/>
        <v>0</v>
      </c>
      <c r="CG133" s="28"/>
      <c r="CH133" s="28"/>
      <c r="CI133" s="65"/>
      <c r="CJ133" s="64">
        <f t="shared" si="126"/>
        <v>0</v>
      </c>
      <c r="CK133" s="28"/>
      <c r="CL133" s="28"/>
      <c r="CM133" s="65"/>
      <c r="CN133" s="64">
        <f t="shared" si="127"/>
        <v>0</v>
      </c>
      <c r="CO133" s="28"/>
      <c r="CP133" s="28"/>
      <c r="CQ133" s="65"/>
      <c r="CR133" s="64">
        <f t="shared" si="128"/>
        <v>0</v>
      </c>
      <c r="CS133" s="28"/>
      <c r="CT133" s="28"/>
      <c r="CU133" s="65"/>
      <c r="CV133" s="64">
        <f t="shared" si="129"/>
        <v>0</v>
      </c>
      <c r="CW133" s="28"/>
      <c r="CX133" s="28"/>
      <c r="CY133" s="65"/>
      <c r="CZ133" s="64">
        <f t="shared" si="130"/>
        <v>0</v>
      </c>
      <c r="DA133" s="28"/>
      <c r="DB133" s="28"/>
      <c r="DC133" s="65"/>
      <c r="DD133" s="64">
        <f t="shared" si="131"/>
        <v>0</v>
      </c>
      <c r="DE133" s="28"/>
      <c r="DF133" s="28"/>
      <c r="DG133" s="65"/>
      <c r="DH133" s="64">
        <f t="shared" si="132"/>
        <v>0</v>
      </c>
      <c r="DI133" s="28"/>
      <c r="DJ133" s="28"/>
      <c r="DK133" s="65"/>
      <c r="DL133" s="64">
        <f t="shared" si="133"/>
        <v>0</v>
      </c>
      <c r="DM133" s="28"/>
      <c r="DN133" s="28"/>
      <c r="DO133" s="65"/>
      <c r="DP133" s="64">
        <f t="shared" si="134"/>
        <v>0</v>
      </c>
      <c r="DQ133" s="28"/>
      <c r="DR133" s="28"/>
      <c r="DS133" s="65"/>
      <c r="DT133" s="64">
        <f t="shared" si="135"/>
        <v>0</v>
      </c>
      <c r="DU133" s="28"/>
      <c r="DV133" s="28"/>
      <c r="DW133" s="65"/>
      <c r="DX133" s="30">
        <f t="shared" si="136"/>
        <v>0</v>
      </c>
      <c r="DY133" s="31"/>
      <c r="DZ133" s="31"/>
      <c r="EA133" s="4"/>
      <c r="EB133" s="9">
        <f>D133*'MASTER SHEET'!D133</f>
        <v>0</v>
      </c>
      <c r="EC133" s="9">
        <f>H133*'MASTER SHEET'!D133</f>
        <v>0</v>
      </c>
      <c r="ED133" s="9">
        <f>L133*'MASTER SHEET'!D133</f>
        <v>0</v>
      </c>
      <c r="EE133" s="9">
        <f>P133*'MASTER SHEET'!D133</f>
        <v>0</v>
      </c>
      <c r="EF133" s="9">
        <f>T133*'MASTER SHEET'!D133</f>
        <v>0</v>
      </c>
      <c r="EG133" s="9">
        <f>X133*'MASTER SHEET'!D133</f>
        <v>0</v>
      </c>
      <c r="EH133" s="9">
        <f>AB133*'MASTER SHEET'!D133</f>
        <v>0</v>
      </c>
      <c r="EI133" s="9">
        <f>AF133*'MASTER SHEET'!D133</f>
        <v>0</v>
      </c>
      <c r="EJ133" s="9">
        <f>AJ133*'MASTER SHEET'!D133</f>
        <v>0</v>
      </c>
      <c r="EK133" s="9">
        <f>AN133*'MASTER SHEET'!D133</f>
        <v>0</v>
      </c>
      <c r="EL133" s="9">
        <f>AR133*'MASTER SHEET'!D133</f>
        <v>0</v>
      </c>
      <c r="EM133" s="9">
        <f>AV133*'MASTER SHEET'!D133</f>
        <v>0</v>
      </c>
      <c r="EN133" s="9">
        <f>AZ133*'MASTER SHEET'!D133</f>
        <v>0</v>
      </c>
      <c r="EO133" s="9">
        <f>BD133*'MASTER SHEET'!D133</f>
        <v>0</v>
      </c>
      <c r="EP133" s="9">
        <f>BH133*'MASTER SHEET'!D133</f>
        <v>0</v>
      </c>
      <c r="EQ133" s="9">
        <f>BL133*'MASTER SHEET'!D133</f>
        <v>0</v>
      </c>
      <c r="ER133" s="9">
        <f>BP133*'MASTER SHEET'!D133</f>
        <v>0</v>
      </c>
      <c r="ES133" s="9">
        <f>BT133*'MASTER SHEET'!D133</f>
        <v>0</v>
      </c>
      <c r="ET133" s="9">
        <f>BX133*'MASTER SHEET'!D133</f>
        <v>0</v>
      </c>
      <c r="EU133" s="9">
        <f>CB133*'MASTER SHEET'!D133</f>
        <v>0</v>
      </c>
      <c r="EV133" s="9">
        <f>CF133*'MASTER SHEET'!D133</f>
        <v>0</v>
      </c>
      <c r="EW133" s="9">
        <f>CJ133*'MASTER SHEET'!D133</f>
        <v>0</v>
      </c>
      <c r="EX133" s="9">
        <f>CN133*'MASTER SHEET'!D133</f>
        <v>0</v>
      </c>
      <c r="EY133" s="9">
        <f>CV133*'MASTER SHEET'!D133</f>
        <v>0</v>
      </c>
      <c r="EZ133" s="9">
        <f>CV133*'MASTER SHEET'!D133</f>
        <v>0</v>
      </c>
      <c r="FA133" s="9">
        <f>CZ133*'MASTER SHEET'!D133</f>
        <v>0</v>
      </c>
      <c r="FB133" s="9">
        <f>DD133*'MASTER SHEET'!D133</f>
        <v>0</v>
      </c>
      <c r="FC133" s="9">
        <f>DH133*'MASTER SHEET'!D133</f>
        <v>0</v>
      </c>
      <c r="FD133" s="9">
        <f>DL133*'MASTER SHEET'!D133</f>
        <v>0</v>
      </c>
      <c r="FE133" s="9">
        <f>DP133*'MASTER SHEET'!D133</f>
        <v>0</v>
      </c>
      <c r="FF133" s="9">
        <f>DT133*'MASTER SHEET'!D133</f>
        <v>0</v>
      </c>
      <c r="FG133" s="9">
        <f>DX133*'MASTER SHEET'!D133</f>
        <v>0</v>
      </c>
    </row>
    <row r="134" spans="1:163" ht="20.25" x14ac:dyDescent="0.25">
      <c r="A134" s="43">
        <f>'MASTER SHEET'!A134</f>
        <v>132</v>
      </c>
      <c r="B134" s="26" t="str">
        <f>'MASTER SHEET'!B134</f>
        <v>2TG CLIP DRAIN TUBE LH</v>
      </c>
      <c r="C134" s="82">
        <f>'MASTER SHEET'!C134</f>
        <v>62311</v>
      </c>
      <c r="D134" s="64"/>
      <c r="E134" s="28"/>
      <c r="F134" s="28"/>
      <c r="G134" s="65"/>
      <c r="H134" s="64">
        <f t="shared" si="106"/>
        <v>0</v>
      </c>
      <c r="I134" s="28"/>
      <c r="J134" s="28"/>
      <c r="K134" s="65"/>
      <c r="L134" s="64">
        <f t="shared" si="107"/>
        <v>0</v>
      </c>
      <c r="M134" s="28"/>
      <c r="N134" s="28"/>
      <c r="O134" s="65"/>
      <c r="P134" s="64">
        <f t="shared" si="108"/>
        <v>0</v>
      </c>
      <c r="Q134" s="28"/>
      <c r="R134" s="28"/>
      <c r="S134" s="65"/>
      <c r="T134" s="64">
        <f t="shared" si="109"/>
        <v>0</v>
      </c>
      <c r="U134" s="28"/>
      <c r="V134" s="28"/>
      <c r="W134" s="65"/>
      <c r="X134" s="64">
        <f t="shared" si="110"/>
        <v>0</v>
      </c>
      <c r="Y134" s="28"/>
      <c r="Z134" s="28"/>
      <c r="AA134" s="65"/>
      <c r="AB134" s="64">
        <f t="shared" si="111"/>
        <v>0</v>
      </c>
      <c r="AC134" s="28"/>
      <c r="AD134" s="28"/>
      <c r="AE134" s="65"/>
      <c r="AF134" s="64">
        <f t="shared" si="112"/>
        <v>0</v>
      </c>
      <c r="AG134" s="28"/>
      <c r="AH134" s="28"/>
      <c r="AI134" s="65"/>
      <c r="AJ134" s="64">
        <f t="shared" si="113"/>
        <v>0</v>
      </c>
      <c r="AK134" s="28"/>
      <c r="AL134" s="28"/>
      <c r="AM134" s="65"/>
      <c r="AN134" s="64">
        <f t="shared" si="114"/>
        <v>0</v>
      </c>
      <c r="AO134" s="28"/>
      <c r="AP134" s="28"/>
      <c r="AQ134" s="65"/>
      <c r="AR134" s="64">
        <f t="shared" si="115"/>
        <v>0</v>
      </c>
      <c r="AS134" s="28"/>
      <c r="AT134" s="28"/>
      <c r="AU134" s="65"/>
      <c r="AV134" s="64">
        <f t="shared" si="116"/>
        <v>0</v>
      </c>
      <c r="AW134" s="28"/>
      <c r="AX134" s="28"/>
      <c r="AY134" s="65"/>
      <c r="AZ134" s="64">
        <f t="shared" si="117"/>
        <v>0</v>
      </c>
      <c r="BA134" s="28"/>
      <c r="BB134" s="28"/>
      <c r="BC134" s="65"/>
      <c r="BD134" s="64">
        <f t="shared" si="118"/>
        <v>0</v>
      </c>
      <c r="BE134" s="28"/>
      <c r="BF134" s="28"/>
      <c r="BG134" s="65"/>
      <c r="BH134" s="64">
        <f t="shared" si="119"/>
        <v>0</v>
      </c>
      <c r="BI134" s="28"/>
      <c r="BJ134" s="28"/>
      <c r="BK134" s="65"/>
      <c r="BL134" s="64">
        <f t="shared" si="120"/>
        <v>0</v>
      </c>
      <c r="BM134" s="28"/>
      <c r="BN134" s="28"/>
      <c r="BO134" s="65"/>
      <c r="BP134" s="64">
        <f t="shared" si="121"/>
        <v>0</v>
      </c>
      <c r="BQ134" s="28"/>
      <c r="BR134" s="28"/>
      <c r="BS134" s="65"/>
      <c r="BT134" s="64">
        <f t="shared" si="122"/>
        <v>0</v>
      </c>
      <c r="BU134" s="28"/>
      <c r="BV134" s="28"/>
      <c r="BW134" s="65"/>
      <c r="BX134" s="64">
        <f t="shared" si="123"/>
        <v>0</v>
      </c>
      <c r="BY134" s="28"/>
      <c r="BZ134" s="28"/>
      <c r="CA134" s="65"/>
      <c r="CB134" s="64">
        <f t="shared" si="124"/>
        <v>0</v>
      </c>
      <c r="CC134" s="28"/>
      <c r="CD134" s="28"/>
      <c r="CE134" s="65"/>
      <c r="CF134" s="64">
        <f t="shared" si="125"/>
        <v>0</v>
      </c>
      <c r="CG134" s="28"/>
      <c r="CH134" s="28"/>
      <c r="CI134" s="65"/>
      <c r="CJ134" s="64">
        <f t="shared" si="126"/>
        <v>0</v>
      </c>
      <c r="CK134" s="28"/>
      <c r="CL134" s="28"/>
      <c r="CM134" s="65"/>
      <c r="CN134" s="64">
        <f t="shared" si="127"/>
        <v>0</v>
      </c>
      <c r="CO134" s="28"/>
      <c r="CP134" s="28"/>
      <c r="CQ134" s="65"/>
      <c r="CR134" s="64">
        <f t="shared" si="128"/>
        <v>0</v>
      </c>
      <c r="CS134" s="28"/>
      <c r="CT134" s="28"/>
      <c r="CU134" s="65"/>
      <c r="CV134" s="64">
        <f t="shared" si="129"/>
        <v>0</v>
      </c>
      <c r="CW134" s="28"/>
      <c r="CX134" s="28"/>
      <c r="CY134" s="65"/>
      <c r="CZ134" s="64">
        <f t="shared" si="130"/>
        <v>0</v>
      </c>
      <c r="DA134" s="28"/>
      <c r="DB134" s="28"/>
      <c r="DC134" s="65"/>
      <c r="DD134" s="64">
        <f t="shared" si="131"/>
        <v>0</v>
      </c>
      <c r="DE134" s="28"/>
      <c r="DF134" s="28"/>
      <c r="DG134" s="65"/>
      <c r="DH134" s="64">
        <f t="shared" si="132"/>
        <v>0</v>
      </c>
      <c r="DI134" s="28"/>
      <c r="DJ134" s="28"/>
      <c r="DK134" s="65"/>
      <c r="DL134" s="64">
        <f t="shared" si="133"/>
        <v>0</v>
      </c>
      <c r="DM134" s="28"/>
      <c r="DN134" s="28"/>
      <c r="DO134" s="65"/>
      <c r="DP134" s="64">
        <f t="shared" si="134"/>
        <v>0</v>
      </c>
      <c r="DQ134" s="28"/>
      <c r="DR134" s="28"/>
      <c r="DS134" s="65"/>
      <c r="DT134" s="64">
        <f t="shared" si="135"/>
        <v>0</v>
      </c>
      <c r="DU134" s="28"/>
      <c r="DV134" s="28"/>
      <c r="DW134" s="65"/>
      <c r="DX134" s="30">
        <f t="shared" si="136"/>
        <v>0</v>
      </c>
      <c r="DY134" s="31"/>
      <c r="DZ134" s="31"/>
      <c r="EA134" s="4"/>
      <c r="EB134" s="9">
        <f>D134*'MASTER SHEET'!D134</f>
        <v>0</v>
      </c>
      <c r="EC134" s="9">
        <f>H134*'MASTER SHEET'!D134</f>
        <v>0</v>
      </c>
      <c r="ED134" s="9">
        <f>L134*'MASTER SHEET'!D134</f>
        <v>0</v>
      </c>
      <c r="EE134" s="9">
        <f>P134*'MASTER SHEET'!D134</f>
        <v>0</v>
      </c>
      <c r="EF134" s="9">
        <f>T134*'MASTER SHEET'!D134</f>
        <v>0</v>
      </c>
      <c r="EG134" s="9">
        <f>X134*'MASTER SHEET'!D134</f>
        <v>0</v>
      </c>
      <c r="EH134" s="9">
        <f>AB134*'MASTER SHEET'!D134</f>
        <v>0</v>
      </c>
      <c r="EI134" s="9">
        <f>AF134*'MASTER SHEET'!D134</f>
        <v>0</v>
      </c>
      <c r="EJ134" s="9">
        <f>AJ134*'MASTER SHEET'!D134</f>
        <v>0</v>
      </c>
      <c r="EK134" s="9">
        <f>AN134*'MASTER SHEET'!D134</f>
        <v>0</v>
      </c>
      <c r="EL134" s="9">
        <f>AR134*'MASTER SHEET'!D134</f>
        <v>0</v>
      </c>
      <c r="EM134" s="9">
        <f>AV134*'MASTER SHEET'!D134</f>
        <v>0</v>
      </c>
      <c r="EN134" s="9">
        <f>AZ134*'MASTER SHEET'!D134</f>
        <v>0</v>
      </c>
      <c r="EO134" s="9">
        <f>BD134*'MASTER SHEET'!D134</f>
        <v>0</v>
      </c>
      <c r="EP134" s="9">
        <f>BH134*'MASTER SHEET'!D134</f>
        <v>0</v>
      </c>
      <c r="EQ134" s="9">
        <f>BL134*'MASTER SHEET'!D134</f>
        <v>0</v>
      </c>
      <c r="ER134" s="9">
        <f>BP134*'MASTER SHEET'!D134</f>
        <v>0</v>
      </c>
      <c r="ES134" s="9">
        <f>BT134*'MASTER SHEET'!D134</f>
        <v>0</v>
      </c>
      <c r="ET134" s="9">
        <f>BX134*'MASTER SHEET'!D134</f>
        <v>0</v>
      </c>
      <c r="EU134" s="9">
        <f>CB134*'MASTER SHEET'!D134</f>
        <v>0</v>
      </c>
      <c r="EV134" s="9">
        <f>CF134*'MASTER SHEET'!D134</f>
        <v>0</v>
      </c>
      <c r="EW134" s="9">
        <f>CJ134*'MASTER SHEET'!D134</f>
        <v>0</v>
      </c>
      <c r="EX134" s="9">
        <f>CN134*'MASTER SHEET'!D134</f>
        <v>0</v>
      </c>
      <c r="EY134" s="9">
        <f>CV134*'MASTER SHEET'!D134</f>
        <v>0</v>
      </c>
      <c r="EZ134" s="9">
        <f>CV134*'MASTER SHEET'!D134</f>
        <v>0</v>
      </c>
      <c r="FA134" s="9">
        <f>CZ134*'MASTER SHEET'!D134</f>
        <v>0</v>
      </c>
      <c r="FB134" s="9">
        <f>DD134*'MASTER SHEET'!D134</f>
        <v>0</v>
      </c>
      <c r="FC134" s="9">
        <f>DH134*'MASTER SHEET'!D134</f>
        <v>0</v>
      </c>
      <c r="FD134" s="9">
        <f>DL134*'MASTER SHEET'!D134</f>
        <v>0</v>
      </c>
      <c r="FE134" s="9">
        <f>DP134*'MASTER SHEET'!D134</f>
        <v>0</v>
      </c>
      <c r="FF134" s="9">
        <f>DT134*'MASTER SHEET'!D134</f>
        <v>0</v>
      </c>
      <c r="FG134" s="9">
        <f>DX134*'MASTER SHEET'!D134</f>
        <v>0</v>
      </c>
    </row>
    <row r="135" spans="1:163" ht="20.25" x14ac:dyDescent="0.25">
      <c r="A135" s="43">
        <f>'MASTER SHEET'!A135</f>
        <v>133</v>
      </c>
      <c r="B135" s="26" t="str">
        <f>'MASTER SHEET'!B135</f>
        <v>2TG CLIP DRAIN TUBE RH</v>
      </c>
      <c r="C135" s="82">
        <f>'MASTER SHEET'!C135</f>
        <v>62368</v>
      </c>
      <c r="D135" s="64"/>
      <c r="E135" s="28"/>
      <c r="F135" s="28"/>
      <c r="G135" s="65"/>
      <c r="H135" s="64">
        <f t="shared" si="106"/>
        <v>0</v>
      </c>
      <c r="I135" s="28"/>
      <c r="J135" s="28"/>
      <c r="K135" s="65"/>
      <c r="L135" s="64">
        <f t="shared" si="107"/>
        <v>0</v>
      </c>
      <c r="M135" s="28"/>
      <c r="N135" s="28"/>
      <c r="O135" s="65"/>
      <c r="P135" s="64">
        <f t="shared" si="108"/>
        <v>0</v>
      </c>
      <c r="Q135" s="28"/>
      <c r="R135" s="28"/>
      <c r="S135" s="65"/>
      <c r="T135" s="64">
        <f t="shared" si="109"/>
        <v>0</v>
      </c>
      <c r="U135" s="28"/>
      <c r="V135" s="28"/>
      <c r="W135" s="65"/>
      <c r="X135" s="64">
        <f t="shared" si="110"/>
        <v>0</v>
      </c>
      <c r="Y135" s="28"/>
      <c r="Z135" s="28"/>
      <c r="AA135" s="65"/>
      <c r="AB135" s="64">
        <f t="shared" si="111"/>
        <v>0</v>
      </c>
      <c r="AC135" s="28"/>
      <c r="AD135" s="28"/>
      <c r="AE135" s="65"/>
      <c r="AF135" s="64">
        <f t="shared" si="112"/>
        <v>0</v>
      </c>
      <c r="AG135" s="28"/>
      <c r="AH135" s="28"/>
      <c r="AI135" s="65"/>
      <c r="AJ135" s="64">
        <f t="shared" si="113"/>
        <v>0</v>
      </c>
      <c r="AK135" s="28"/>
      <c r="AL135" s="28"/>
      <c r="AM135" s="65"/>
      <c r="AN135" s="64">
        <f t="shared" si="114"/>
        <v>0</v>
      </c>
      <c r="AO135" s="28"/>
      <c r="AP135" s="28"/>
      <c r="AQ135" s="65"/>
      <c r="AR135" s="64">
        <f t="shared" si="115"/>
        <v>0</v>
      </c>
      <c r="AS135" s="28"/>
      <c r="AT135" s="28"/>
      <c r="AU135" s="65"/>
      <c r="AV135" s="64">
        <f t="shared" si="116"/>
        <v>0</v>
      </c>
      <c r="AW135" s="28"/>
      <c r="AX135" s="28"/>
      <c r="AY135" s="65"/>
      <c r="AZ135" s="64">
        <f t="shared" si="117"/>
        <v>0</v>
      </c>
      <c r="BA135" s="28"/>
      <c r="BB135" s="28"/>
      <c r="BC135" s="65"/>
      <c r="BD135" s="64">
        <f t="shared" si="118"/>
        <v>0</v>
      </c>
      <c r="BE135" s="28"/>
      <c r="BF135" s="28"/>
      <c r="BG135" s="65"/>
      <c r="BH135" s="64">
        <f t="shared" si="119"/>
        <v>0</v>
      </c>
      <c r="BI135" s="28"/>
      <c r="BJ135" s="28"/>
      <c r="BK135" s="65"/>
      <c r="BL135" s="64">
        <f t="shared" si="120"/>
        <v>0</v>
      </c>
      <c r="BM135" s="28"/>
      <c r="BN135" s="28"/>
      <c r="BO135" s="65"/>
      <c r="BP135" s="64">
        <f t="shared" si="121"/>
        <v>0</v>
      </c>
      <c r="BQ135" s="28"/>
      <c r="BR135" s="28"/>
      <c r="BS135" s="65"/>
      <c r="BT135" s="64">
        <f t="shared" si="122"/>
        <v>0</v>
      </c>
      <c r="BU135" s="28"/>
      <c r="BV135" s="28"/>
      <c r="BW135" s="65"/>
      <c r="BX135" s="64">
        <f t="shared" si="123"/>
        <v>0</v>
      </c>
      <c r="BY135" s="28"/>
      <c r="BZ135" s="28"/>
      <c r="CA135" s="65"/>
      <c r="CB135" s="64">
        <f t="shared" si="124"/>
        <v>0</v>
      </c>
      <c r="CC135" s="28"/>
      <c r="CD135" s="28"/>
      <c r="CE135" s="65"/>
      <c r="CF135" s="64">
        <f t="shared" si="125"/>
        <v>0</v>
      </c>
      <c r="CG135" s="28"/>
      <c r="CH135" s="28"/>
      <c r="CI135" s="65"/>
      <c r="CJ135" s="64">
        <f t="shared" si="126"/>
        <v>0</v>
      </c>
      <c r="CK135" s="28"/>
      <c r="CL135" s="28"/>
      <c r="CM135" s="65"/>
      <c r="CN135" s="64">
        <f t="shared" si="127"/>
        <v>0</v>
      </c>
      <c r="CO135" s="28"/>
      <c r="CP135" s="28"/>
      <c r="CQ135" s="65"/>
      <c r="CR135" s="64">
        <f t="shared" si="128"/>
        <v>0</v>
      </c>
      <c r="CS135" s="28"/>
      <c r="CT135" s="28"/>
      <c r="CU135" s="65"/>
      <c r="CV135" s="64">
        <f t="shared" si="129"/>
        <v>0</v>
      </c>
      <c r="CW135" s="28"/>
      <c r="CX135" s="28"/>
      <c r="CY135" s="65"/>
      <c r="CZ135" s="64">
        <f t="shared" si="130"/>
        <v>0</v>
      </c>
      <c r="DA135" s="28"/>
      <c r="DB135" s="28"/>
      <c r="DC135" s="65"/>
      <c r="DD135" s="64">
        <f t="shared" si="131"/>
        <v>0</v>
      </c>
      <c r="DE135" s="28"/>
      <c r="DF135" s="28"/>
      <c r="DG135" s="65"/>
      <c r="DH135" s="64">
        <f t="shared" si="132"/>
        <v>0</v>
      </c>
      <c r="DI135" s="28"/>
      <c r="DJ135" s="28"/>
      <c r="DK135" s="65"/>
      <c r="DL135" s="64">
        <f t="shared" si="133"/>
        <v>0</v>
      </c>
      <c r="DM135" s="28"/>
      <c r="DN135" s="28"/>
      <c r="DO135" s="65"/>
      <c r="DP135" s="64">
        <f t="shared" si="134"/>
        <v>0</v>
      </c>
      <c r="DQ135" s="28"/>
      <c r="DR135" s="28"/>
      <c r="DS135" s="65"/>
      <c r="DT135" s="64">
        <f t="shared" si="135"/>
        <v>0</v>
      </c>
      <c r="DU135" s="28"/>
      <c r="DV135" s="28"/>
      <c r="DW135" s="65"/>
      <c r="DX135" s="30">
        <f t="shared" si="136"/>
        <v>0</v>
      </c>
      <c r="DY135" s="4"/>
      <c r="DZ135" s="4"/>
      <c r="EA135" s="4"/>
      <c r="EB135" s="9">
        <f>D135*'MASTER SHEET'!D135</f>
        <v>0</v>
      </c>
      <c r="EC135" s="9">
        <f>H135*'MASTER SHEET'!D135</f>
        <v>0</v>
      </c>
      <c r="ED135" s="9">
        <f>L135*'MASTER SHEET'!D135</f>
        <v>0</v>
      </c>
      <c r="EE135" s="9">
        <f>P135*'MASTER SHEET'!D135</f>
        <v>0</v>
      </c>
      <c r="EF135" s="9">
        <f>T135*'MASTER SHEET'!D135</f>
        <v>0</v>
      </c>
      <c r="EG135" s="9">
        <f>X135*'MASTER SHEET'!D135</f>
        <v>0</v>
      </c>
      <c r="EH135" s="9">
        <f>AB135*'MASTER SHEET'!D135</f>
        <v>0</v>
      </c>
      <c r="EI135" s="9">
        <f>AF135*'MASTER SHEET'!D135</f>
        <v>0</v>
      </c>
      <c r="EJ135" s="9">
        <f>AJ135*'MASTER SHEET'!D135</f>
        <v>0</v>
      </c>
      <c r="EK135" s="9">
        <f>AN135*'MASTER SHEET'!D135</f>
        <v>0</v>
      </c>
      <c r="EL135" s="9">
        <f>AR135*'MASTER SHEET'!D135</f>
        <v>0</v>
      </c>
      <c r="EM135" s="9">
        <f>AV135*'MASTER SHEET'!D135</f>
        <v>0</v>
      </c>
      <c r="EN135" s="9">
        <f>AZ135*'MASTER SHEET'!D135</f>
        <v>0</v>
      </c>
      <c r="EO135" s="9">
        <f>BD135*'MASTER SHEET'!D135</f>
        <v>0</v>
      </c>
      <c r="EP135" s="9">
        <f>BH135*'MASTER SHEET'!D135</f>
        <v>0</v>
      </c>
      <c r="EQ135" s="9">
        <f>BL135*'MASTER SHEET'!D135</f>
        <v>0</v>
      </c>
      <c r="ER135" s="9">
        <f>BP135*'MASTER SHEET'!D135</f>
        <v>0</v>
      </c>
      <c r="ES135" s="9">
        <f>BT135*'MASTER SHEET'!D135</f>
        <v>0</v>
      </c>
      <c r="ET135" s="9">
        <f>BX135*'MASTER SHEET'!D135</f>
        <v>0</v>
      </c>
      <c r="EU135" s="9">
        <f>CB135*'MASTER SHEET'!D135</f>
        <v>0</v>
      </c>
      <c r="EV135" s="9">
        <f>CF135*'MASTER SHEET'!D135</f>
        <v>0</v>
      </c>
      <c r="EW135" s="9">
        <f>CJ135*'MASTER SHEET'!D135</f>
        <v>0</v>
      </c>
      <c r="EX135" s="9">
        <f>CN135*'MASTER SHEET'!D135</f>
        <v>0</v>
      </c>
      <c r="EY135" s="9">
        <f>CV135*'MASTER SHEET'!D135</f>
        <v>0</v>
      </c>
      <c r="EZ135" s="9">
        <f>CV135*'MASTER SHEET'!D135</f>
        <v>0</v>
      </c>
      <c r="FA135" s="9">
        <f>CZ135*'MASTER SHEET'!D135</f>
        <v>0</v>
      </c>
      <c r="FB135" s="9">
        <f>DD135*'MASTER SHEET'!D135</f>
        <v>0</v>
      </c>
      <c r="FC135" s="9">
        <f>DH135*'MASTER SHEET'!D135</f>
        <v>0</v>
      </c>
      <c r="FD135" s="9">
        <f>DL135*'MASTER SHEET'!D135</f>
        <v>0</v>
      </c>
      <c r="FE135" s="9">
        <f>DP135*'MASTER SHEET'!D135</f>
        <v>0</v>
      </c>
      <c r="FF135" s="9">
        <f>DT135*'MASTER SHEET'!D135</f>
        <v>0</v>
      </c>
      <c r="FG135" s="9">
        <f>DX135*'MASTER SHEET'!D135</f>
        <v>0</v>
      </c>
    </row>
    <row r="136" spans="1:163" ht="20.25" x14ac:dyDescent="0.25">
      <c r="A136" s="43">
        <f>'MASTER SHEET'!A136</f>
        <v>134</v>
      </c>
      <c r="B136" s="26" t="str">
        <f>'MASTER SHEET'!B136</f>
        <v>GROMMET</v>
      </c>
      <c r="C136" s="82">
        <f>'MASTER SHEET'!C136</f>
        <v>61984</v>
      </c>
      <c r="D136" s="64"/>
      <c r="E136" s="28"/>
      <c r="F136" s="28"/>
      <c r="G136" s="65"/>
      <c r="H136" s="64">
        <f t="shared" si="106"/>
        <v>0</v>
      </c>
      <c r="I136" s="28"/>
      <c r="J136" s="28"/>
      <c r="K136" s="65"/>
      <c r="L136" s="64">
        <f t="shared" si="107"/>
        <v>0</v>
      </c>
      <c r="M136" s="28"/>
      <c r="N136" s="28"/>
      <c r="O136" s="65"/>
      <c r="P136" s="64">
        <f t="shared" si="108"/>
        <v>0</v>
      </c>
      <c r="Q136" s="28"/>
      <c r="R136" s="28"/>
      <c r="S136" s="65"/>
      <c r="T136" s="64">
        <f t="shared" si="109"/>
        <v>0</v>
      </c>
      <c r="U136" s="28"/>
      <c r="V136" s="28"/>
      <c r="W136" s="65"/>
      <c r="X136" s="64">
        <f t="shared" si="110"/>
        <v>0</v>
      </c>
      <c r="Y136" s="28"/>
      <c r="Z136" s="28"/>
      <c r="AA136" s="65"/>
      <c r="AB136" s="64">
        <f t="shared" si="111"/>
        <v>0</v>
      </c>
      <c r="AC136" s="28"/>
      <c r="AD136" s="28"/>
      <c r="AE136" s="65"/>
      <c r="AF136" s="64">
        <f t="shared" si="112"/>
        <v>0</v>
      </c>
      <c r="AG136" s="28"/>
      <c r="AH136" s="28"/>
      <c r="AI136" s="65"/>
      <c r="AJ136" s="64">
        <f t="shared" si="113"/>
        <v>0</v>
      </c>
      <c r="AK136" s="28"/>
      <c r="AL136" s="28"/>
      <c r="AM136" s="65"/>
      <c r="AN136" s="64">
        <f t="shared" si="114"/>
        <v>0</v>
      </c>
      <c r="AO136" s="28"/>
      <c r="AP136" s="28"/>
      <c r="AQ136" s="65"/>
      <c r="AR136" s="64">
        <f t="shared" si="115"/>
        <v>0</v>
      </c>
      <c r="AS136" s="28"/>
      <c r="AT136" s="28"/>
      <c r="AU136" s="65"/>
      <c r="AV136" s="64">
        <f t="shared" si="116"/>
        <v>0</v>
      </c>
      <c r="AW136" s="28"/>
      <c r="AX136" s="28"/>
      <c r="AY136" s="65"/>
      <c r="AZ136" s="64">
        <f t="shared" si="117"/>
        <v>0</v>
      </c>
      <c r="BA136" s="28"/>
      <c r="BB136" s="28"/>
      <c r="BC136" s="65"/>
      <c r="BD136" s="64">
        <f t="shared" si="118"/>
        <v>0</v>
      </c>
      <c r="BE136" s="28"/>
      <c r="BF136" s="28"/>
      <c r="BG136" s="65"/>
      <c r="BH136" s="64">
        <f t="shared" si="119"/>
        <v>0</v>
      </c>
      <c r="BI136" s="28"/>
      <c r="BJ136" s="28"/>
      <c r="BK136" s="65"/>
      <c r="BL136" s="64">
        <f t="shared" si="120"/>
        <v>0</v>
      </c>
      <c r="BM136" s="28"/>
      <c r="BN136" s="28"/>
      <c r="BO136" s="65"/>
      <c r="BP136" s="64">
        <f t="shared" si="121"/>
        <v>0</v>
      </c>
      <c r="BQ136" s="28"/>
      <c r="BR136" s="28"/>
      <c r="BS136" s="65"/>
      <c r="BT136" s="64">
        <f t="shared" si="122"/>
        <v>0</v>
      </c>
      <c r="BU136" s="28"/>
      <c r="BV136" s="28"/>
      <c r="BW136" s="65"/>
      <c r="BX136" s="64">
        <f t="shared" si="123"/>
        <v>0</v>
      </c>
      <c r="BY136" s="28"/>
      <c r="BZ136" s="28"/>
      <c r="CA136" s="65"/>
      <c r="CB136" s="64">
        <f t="shared" si="124"/>
        <v>0</v>
      </c>
      <c r="CC136" s="28"/>
      <c r="CD136" s="28"/>
      <c r="CE136" s="65"/>
      <c r="CF136" s="64">
        <f t="shared" si="125"/>
        <v>0</v>
      </c>
      <c r="CG136" s="28"/>
      <c r="CH136" s="28"/>
      <c r="CI136" s="65"/>
      <c r="CJ136" s="64">
        <f t="shared" si="126"/>
        <v>0</v>
      </c>
      <c r="CK136" s="28"/>
      <c r="CL136" s="28"/>
      <c r="CM136" s="65"/>
      <c r="CN136" s="64">
        <f t="shared" si="127"/>
        <v>0</v>
      </c>
      <c r="CO136" s="28"/>
      <c r="CP136" s="28"/>
      <c r="CQ136" s="65"/>
      <c r="CR136" s="64">
        <f t="shared" si="128"/>
        <v>0</v>
      </c>
      <c r="CS136" s="28"/>
      <c r="CT136" s="28"/>
      <c r="CU136" s="65"/>
      <c r="CV136" s="64">
        <f t="shared" si="129"/>
        <v>0</v>
      </c>
      <c r="CW136" s="28"/>
      <c r="CX136" s="28"/>
      <c r="CY136" s="65"/>
      <c r="CZ136" s="64">
        <f t="shared" si="130"/>
        <v>0</v>
      </c>
      <c r="DA136" s="28"/>
      <c r="DB136" s="28"/>
      <c r="DC136" s="65"/>
      <c r="DD136" s="64">
        <f t="shared" si="131"/>
        <v>0</v>
      </c>
      <c r="DE136" s="28"/>
      <c r="DF136" s="28"/>
      <c r="DG136" s="65"/>
      <c r="DH136" s="64">
        <f t="shared" si="132"/>
        <v>0</v>
      </c>
      <c r="DI136" s="28"/>
      <c r="DJ136" s="28"/>
      <c r="DK136" s="65"/>
      <c r="DL136" s="64">
        <f t="shared" si="133"/>
        <v>0</v>
      </c>
      <c r="DM136" s="28"/>
      <c r="DN136" s="28"/>
      <c r="DO136" s="65"/>
      <c r="DP136" s="64">
        <f t="shared" si="134"/>
        <v>0</v>
      </c>
      <c r="DQ136" s="28"/>
      <c r="DR136" s="28"/>
      <c r="DS136" s="65"/>
      <c r="DT136" s="64">
        <f t="shared" si="135"/>
        <v>0</v>
      </c>
      <c r="DU136" s="28"/>
      <c r="DV136" s="28"/>
      <c r="DW136" s="65"/>
      <c r="DX136" s="30">
        <f t="shared" si="136"/>
        <v>0</v>
      </c>
      <c r="DY136" s="4"/>
      <c r="DZ136" s="4"/>
      <c r="EA136" s="4"/>
      <c r="EB136" s="9">
        <f>D136*'MASTER SHEET'!D136</f>
        <v>0</v>
      </c>
      <c r="EC136" s="9">
        <f>H136*'MASTER SHEET'!D136</f>
        <v>0</v>
      </c>
      <c r="ED136" s="9">
        <f>L136*'MASTER SHEET'!D136</f>
        <v>0</v>
      </c>
      <c r="EE136" s="9">
        <f>P136*'MASTER SHEET'!D136</f>
        <v>0</v>
      </c>
      <c r="EF136" s="9">
        <f>T136*'MASTER SHEET'!D136</f>
        <v>0</v>
      </c>
      <c r="EG136" s="9">
        <f>X136*'MASTER SHEET'!D136</f>
        <v>0</v>
      </c>
      <c r="EH136" s="9">
        <f>AB136*'MASTER SHEET'!D136</f>
        <v>0</v>
      </c>
      <c r="EI136" s="9">
        <f>AF136*'MASTER SHEET'!D136</f>
        <v>0</v>
      </c>
      <c r="EJ136" s="9">
        <f>AJ136*'MASTER SHEET'!D136</f>
        <v>0</v>
      </c>
      <c r="EK136" s="9">
        <f>AN136*'MASTER SHEET'!D136</f>
        <v>0</v>
      </c>
      <c r="EL136" s="9">
        <f>AR136*'MASTER SHEET'!D136</f>
        <v>0</v>
      </c>
      <c r="EM136" s="9">
        <f>AV136*'MASTER SHEET'!D136</f>
        <v>0</v>
      </c>
      <c r="EN136" s="9">
        <f>AZ136*'MASTER SHEET'!D136</f>
        <v>0</v>
      </c>
      <c r="EO136" s="9">
        <f>BD136*'MASTER SHEET'!D136</f>
        <v>0</v>
      </c>
      <c r="EP136" s="9">
        <f>BH136*'MASTER SHEET'!D136</f>
        <v>0</v>
      </c>
      <c r="EQ136" s="9">
        <f>BL136*'MASTER SHEET'!D136</f>
        <v>0</v>
      </c>
      <c r="ER136" s="9">
        <f>BP136*'MASTER SHEET'!D136</f>
        <v>0</v>
      </c>
      <c r="ES136" s="9">
        <f>BT136*'MASTER SHEET'!D136</f>
        <v>0</v>
      </c>
      <c r="ET136" s="9">
        <f>BX136*'MASTER SHEET'!D136</f>
        <v>0</v>
      </c>
      <c r="EU136" s="9">
        <f>CB136*'MASTER SHEET'!D136</f>
        <v>0</v>
      </c>
      <c r="EV136" s="9">
        <f>CF136*'MASTER SHEET'!D136</f>
        <v>0</v>
      </c>
      <c r="EW136" s="9">
        <f>CJ136*'MASTER SHEET'!D136</f>
        <v>0</v>
      </c>
      <c r="EX136" s="9">
        <f>CN136*'MASTER SHEET'!D136</f>
        <v>0</v>
      </c>
      <c r="EY136" s="9">
        <f>CV136*'MASTER SHEET'!D136</f>
        <v>0</v>
      </c>
      <c r="EZ136" s="9">
        <f>CV136*'MASTER SHEET'!D136</f>
        <v>0</v>
      </c>
      <c r="FA136" s="9">
        <f>CZ136*'MASTER SHEET'!D136</f>
        <v>0</v>
      </c>
      <c r="FB136" s="9">
        <f>DD136*'MASTER SHEET'!D136</f>
        <v>0</v>
      </c>
      <c r="FC136" s="9">
        <f>DH136*'MASTER SHEET'!D136</f>
        <v>0</v>
      </c>
      <c r="FD136" s="9">
        <f>DL136*'MASTER SHEET'!D136</f>
        <v>0</v>
      </c>
      <c r="FE136" s="9">
        <f>DP136*'MASTER SHEET'!D136</f>
        <v>0</v>
      </c>
      <c r="FF136" s="9">
        <f>DT136*'MASTER SHEET'!D136</f>
        <v>0</v>
      </c>
      <c r="FG136" s="9">
        <f>DX136*'MASTER SHEET'!D136</f>
        <v>0</v>
      </c>
    </row>
    <row r="137" spans="1:163" ht="20.25" x14ac:dyDescent="0.25">
      <c r="A137" s="43">
        <f>'MASTER SHEET'!A137</f>
        <v>135</v>
      </c>
      <c r="B137" s="26" t="str">
        <f>'MASTER SHEET'!B137</f>
        <v>ODH BUMP STOP FOR MOTOR ACTUATOR</v>
      </c>
      <c r="C137" s="82" t="str">
        <f>'MASTER SHEET'!C137</f>
        <v>BA00005305</v>
      </c>
      <c r="D137" s="64"/>
      <c r="E137" s="28"/>
      <c r="F137" s="28"/>
      <c r="G137" s="65"/>
      <c r="H137" s="64">
        <f t="shared" si="106"/>
        <v>0</v>
      </c>
      <c r="I137" s="28"/>
      <c r="J137" s="28"/>
      <c r="K137" s="65"/>
      <c r="L137" s="64">
        <f t="shared" si="107"/>
        <v>0</v>
      </c>
      <c r="M137" s="28"/>
      <c r="N137" s="28"/>
      <c r="O137" s="65"/>
      <c r="P137" s="64">
        <f t="shared" si="108"/>
        <v>0</v>
      </c>
      <c r="Q137" s="28"/>
      <c r="R137" s="28"/>
      <c r="S137" s="65"/>
      <c r="T137" s="64">
        <f t="shared" si="109"/>
        <v>0</v>
      </c>
      <c r="U137" s="28"/>
      <c r="V137" s="28"/>
      <c r="W137" s="65"/>
      <c r="X137" s="64">
        <f t="shared" si="110"/>
        <v>0</v>
      </c>
      <c r="Y137" s="28"/>
      <c r="Z137" s="28"/>
      <c r="AA137" s="65"/>
      <c r="AB137" s="64">
        <f t="shared" si="111"/>
        <v>0</v>
      </c>
      <c r="AC137" s="28"/>
      <c r="AD137" s="28"/>
      <c r="AE137" s="65"/>
      <c r="AF137" s="64">
        <f t="shared" si="112"/>
        <v>0</v>
      </c>
      <c r="AG137" s="28"/>
      <c r="AH137" s="28"/>
      <c r="AI137" s="65"/>
      <c r="AJ137" s="64">
        <f t="shared" si="113"/>
        <v>0</v>
      </c>
      <c r="AK137" s="28"/>
      <c r="AL137" s="28"/>
      <c r="AM137" s="65"/>
      <c r="AN137" s="64">
        <f t="shared" si="114"/>
        <v>0</v>
      </c>
      <c r="AO137" s="28"/>
      <c r="AP137" s="28"/>
      <c r="AQ137" s="65"/>
      <c r="AR137" s="64">
        <f t="shared" si="115"/>
        <v>0</v>
      </c>
      <c r="AS137" s="28"/>
      <c r="AT137" s="28"/>
      <c r="AU137" s="65"/>
      <c r="AV137" s="64">
        <f t="shared" si="116"/>
        <v>0</v>
      </c>
      <c r="AW137" s="28"/>
      <c r="AX137" s="28"/>
      <c r="AY137" s="65"/>
      <c r="AZ137" s="64">
        <f t="shared" si="117"/>
        <v>0</v>
      </c>
      <c r="BA137" s="28"/>
      <c r="BB137" s="28"/>
      <c r="BC137" s="65"/>
      <c r="BD137" s="64">
        <f t="shared" si="118"/>
        <v>0</v>
      </c>
      <c r="BE137" s="28"/>
      <c r="BF137" s="28"/>
      <c r="BG137" s="65"/>
      <c r="BH137" s="64">
        <f t="shared" si="119"/>
        <v>0</v>
      </c>
      <c r="BI137" s="28"/>
      <c r="BJ137" s="28"/>
      <c r="BK137" s="65"/>
      <c r="BL137" s="64">
        <f t="shared" si="120"/>
        <v>0</v>
      </c>
      <c r="BM137" s="28"/>
      <c r="BN137" s="28"/>
      <c r="BO137" s="65"/>
      <c r="BP137" s="64">
        <f t="shared" si="121"/>
        <v>0</v>
      </c>
      <c r="BQ137" s="28"/>
      <c r="BR137" s="28"/>
      <c r="BS137" s="65"/>
      <c r="BT137" s="64">
        <f t="shared" si="122"/>
        <v>0</v>
      </c>
      <c r="BU137" s="28"/>
      <c r="BV137" s="28"/>
      <c r="BW137" s="65"/>
      <c r="BX137" s="64">
        <f t="shared" si="123"/>
        <v>0</v>
      </c>
      <c r="BY137" s="28"/>
      <c r="BZ137" s="28"/>
      <c r="CA137" s="65"/>
      <c r="CB137" s="64">
        <f t="shared" si="124"/>
        <v>0</v>
      </c>
      <c r="CC137" s="28"/>
      <c r="CD137" s="28"/>
      <c r="CE137" s="65"/>
      <c r="CF137" s="64">
        <f t="shared" si="125"/>
        <v>0</v>
      </c>
      <c r="CG137" s="28"/>
      <c r="CH137" s="28"/>
      <c r="CI137" s="65"/>
      <c r="CJ137" s="64">
        <f t="shared" si="126"/>
        <v>0</v>
      </c>
      <c r="CK137" s="28"/>
      <c r="CL137" s="28"/>
      <c r="CM137" s="65"/>
      <c r="CN137" s="64">
        <f t="shared" si="127"/>
        <v>0</v>
      </c>
      <c r="CO137" s="28"/>
      <c r="CP137" s="28"/>
      <c r="CQ137" s="65"/>
      <c r="CR137" s="64">
        <f t="shared" si="128"/>
        <v>0</v>
      </c>
      <c r="CS137" s="28"/>
      <c r="CT137" s="28"/>
      <c r="CU137" s="65"/>
      <c r="CV137" s="64">
        <f t="shared" si="129"/>
        <v>0</v>
      </c>
      <c r="CW137" s="28"/>
      <c r="CX137" s="28"/>
      <c r="CY137" s="65"/>
      <c r="CZ137" s="64">
        <f t="shared" si="130"/>
        <v>0</v>
      </c>
      <c r="DA137" s="28"/>
      <c r="DB137" s="28"/>
      <c r="DC137" s="65"/>
      <c r="DD137" s="64">
        <f t="shared" si="131"/>
        <v>0</v>
      </c>
      <c r="DE137" s="28"/>
      <c r="DF137" s="28"/>
      <c r="DG137" s="65"/>
      <c r="DH137" s="64">
        <f t="shared" si="132"/>
        <v>0</v>
      </c>
      <c r="DI137" s="28"/>
      <c r="DJ137" s="28"/>
      <c r="DK137" s="65"/>
      <c r="DL137" s="64">
        <f t="shared" si="133"/>
        <v>0</v>
      </c>
      <c r="DM137" s="28"/>
      <c r="DN137" s="28"/>
      <c r="DO137" s="65"/>
      <c r="DP137" s="64">
        <f t="shared" si="134"/>
        <v>0</v>
      </c>
      <c r="DQ137" s="28"/>
      <c r="DR137" s="28"/>
      <c r="DS137" s="65"/>
      <c r="DT137" s="64">
        <f t="shared" si="135"/>
        <v>0</v>
      </c>
      <c r="DU137" s="28"/>
      <c r="DV137" s="28"/>
      <c r="DW137" s="65"/>
      <c r="DX137" s="30">
        <f t="shared" si="136"/>
        <v>0</v>
      </c>
      <c r="DY137" s="4"/>
      <c r="DZ137" s="4"/>
      <c r="EA137" s="4"/>
      <c r="EB137" s="9">
        <f>D137*'MASTER SHEET'!D137</f>
        <v>0</v>
      </c>
      <c r="EC137" s="9">
        <f>H137*'MASTER SHEET'!D137</f>
        <v>0</v>
      </c>
      <c r="ED137" s="9">
        <f>L137*'MASTER SHEET'!D137</f>
        <v>0</v>
      </c>
      <c r="EE137" s="9">
        <f>P137*'MASTER SHEET'!D137</f>
        <v>0</v>
      </c>
      <c r="EF137" s="9">
        <f>T137*'MASTER SHEET'!D137</f>
        <v>0</v>
      </c>
      <c r="EG137" s="9">
        <f>X137*'MASTER SHEET'!D137</f>
        <v>0</v>
      </c>
      <c r="EH137" s="9">
        <f>AB137*'MASTER SHEET'!D137</f>
        <v>0</v>
      </c>
      <c r="EI137" s="9">
        <f>AF137*'MASTER SHEET'!D137</f>
        <v>0</v>
      </c>
      <c r="EJ137" s="9">
        <f>AJ137*'MASTER SHEET'!D137</f>
        <v>0</v>
      </c>
      <c r="EK137" s="9">
        <f>AN137*'MASTER SHEET'!D137</f>
        <v>0</v>
      </c>
      <c r="EL137" s="9">
        <f>AR137*'MASTER SHEET'!D137</f>
        <v>0</v>
      </c>
      <c r="EM137" s="9">
        <f>AV137*'MASTER SHEET'!D137</f>
        <v>0</v>
      </c>
      <c r="EN137" s="9">
        <f>AZ137*'MASTER SHEET'!D137</f>
        <v>0</v>
      </c>
      <c r="EO137" s="9">
        <f>BD137*'MASTER SHEET'!D137</f>
        <v>0</v>
      </c>
      <c r="EP137" s="9">
        <f>BH137*'MASTER SHEET'!D137</f>
        <v>0</v>
      </c>
      <c r="EQ137" s="9">
        <f>BL137*'MASTER SHEET'!D137</f>
        <v>0</v>
      </c>
      <c r="ER137" s="9">
        <f>BP137*'MASTER SHEET'!D137</f>
        <v>0</v>
      </c>
      <c r="ES137" s="9">
        <f>BT137*'MASTER SHEET'!D137</f>
        <v>0</v>
      </c>
      <c r="ET137" s="9">
        <f>BX137*'MASTER SHEET'!D137</f>
        <v>0</v>
      </c>
      <c r="EU137" s="9">
        <f>CB137*'MASTER SHEET'!D137</f>
        <v>0</v>
      </c>
      <c r="EV137" s="9">
        <f>CF137*'MASTER SHEET'!D137</f>
        <v>0</v>
      </c>
      <c r="EW137" s="9">
        <f>CJ137*'MASTER SHEET'!D137</f>
        <v>0</v>
      </c>
      <c r="EX137" s="9">
        <f>CN137*'MASTER SHEET'!D137</f>
        <v>0</v>
      </c>
      <c r="EY137" s="9">
        <f>CV137*'MASTER SHEET'!D137</f>
        <v>0</v>
      </c>
      <c r="EZ137" s="9">
        <f>CV137*'MASTER SHEET'!D137</f>
        <v>0</v>
      </c>
      <c r="FA137" s="9">
        <f>CZ137*'MASTER SHEET'!D137</f>
        <v>0</v>
      </c>
      <c r="FB137" s="9">
        <f>DD137*'MASTER SHEET'!D137</f>
        <v>0</v>
      </c>
      <c r="FC137" s="9">
        <f>DH137*'MASTER SHEET'!D137</f>
        <v>0</v>
      </c>
      <c r="FD137" s="9">
        <f>DL137*'MASTER SHEET'!D137</f>
        <v>0</v>
      </c>
      <c r="FE137" s="9">
        <f>DP137*'MASTER SHEET'!D137</f>
        <v>0</v>
      </c>
      <c r="FF137" s="9">
        <f>DT137*'MASTER SHEET'!D137</f>
        <v>0</v>
      </c>
      <c r="FG137" s="9">
        <f>DX137*'MASTER SHEET'!D137</f>
        <v>0</v>
      </c>
    </row>
    <row r="138" spans="1:163" ht="20.25" x14ac:dyDescent="0.25">
      <c r="A138" s="43">
        <f>'MASTER SHEET'!A138</f>
        <v>136</v>
      </c>
      <c r="B138" s="26" t="str">
        <f>'MASTER SHEET'!B138</f>
        <v>TIAGO MCE IDH LEVER GRAINED LH</v>
      </c>
      <c r="C138" s="82" t="str">
        <f>'MASTER SHEET'!C138</f>
        <v>CB00004725</v>
      </c>
      <c r="D138" s="64"/>
      <c r="E138" s="28"/>
      <c r="F138" s="28"/>
      <c r="G138" s="65"/>
      <c r="H138" s="64">
        <f t="shared" si="106"/>
        <v>0</v>
      </c>
      <c r="I138" s="28"/>
      <c r="J138" s="28"/>
      <c r="K138" s="65"/>
      <c r="L138" s="64">
        <f t="shared" si="107"/>
        <v>0</v>
      </c>
      <c r="M138" s="28"/>
      <c r="N138" s="28"/>
      <c r="O138" s="65"/>
      <c r="P138" s="64">
        <f t="shared" si="108"/>
        <v>0</v>
      </c>
      <c r="Q138" s="28"/>
      <c r="R138" s="28"/>
      <c r="S138" s="65"/>
      <c r="T138" s="64">
        <f t="shared" si="109"/>
        <v>0</v>
      </c>
      <c r="U138" s="28"/>
      <c r="V138" s="28"/>
      <c r="W138" s="65"/>
      <c r="X138" s="64">
        <f t="shared" si="110"/>
        <v>0</v>
      </c>
      <c r="Y138" s="28"/>
      <c r="Z138" s="28"/>
      <c r="AA138" s="65"/>
      <c r="AB138" s="64">
        <f t="shared" si="111"/>
        <v>0</v>
      </c>
      <c r="AC138" s="28"/>
      <c r="AD138" s="28"/>
      <c r="AE138" s="65"/>
      <c r="AF138" s="64">
        <f t="shared" si="112"/>
        <v>0</v>
      </c>
      <c r="AG138" s="28"/>
      <c r="AH138" s="28"/>
      <c r="AI138" s="65"/>
      <c r="AJ138" s="64">
        <f t="shared" si="113"/>
        <v>0</v>
      </c>
      <c r="AK138" s="28"/>
      <c r="AL138" s="28"/>
      <c r="AM138" s="65"/>
      <c r="AN138" s="64">
        <f t="shared" si="114"/>
        <v>0</v>
      </c>
      <c r="AO138" s="28"/>
      <c r="AP138" s="28"/>
      <c r="AQ138" s="65"/>
      <c r="AR138" s="64">
        <f t="shared" si="115"/>
        <v>0</v>
      </c>
      <c r="AS138" s="28"/>
      <c r="AT138" s="28"/>
      <c r="AU138" s="65"/>
      <c r="AV138" s="64">
        <f t="shared" si="116"/>
        <v>0</v>
      </c>
      <c r="AW138" s="28"/>
      <c r="AX138" s="28"/>
      <c r="AY138" s="65"/>
      <c r="AZ138" s="64">
        <f t="shared" si="117"/>
        <v>0</v>
      </c>
      <c r="BA138" s="28"/>
      <c r="BB138" s="28"/>
      <c r="BC138" s="65"/>
      <c r="BD138" s="64">
        <f t="shared" si="118"/>
        <v>0</v>
      </c>
      <c r="BE138" s="28"/>
      <c r="BF138" s="28"/>
      <c r="BG138" s="65"/>
      <c r="BH138" s="64">
        <f t="shared" si="119"/>
        <v>0</v>
      </c>
      <c r="BI138" s="28"/>
      <c r="BJ138" s="28"/>
      <c r="BK138" s="65"/>
      <c r="BL138" s="64">
        <f t="shared" si="120"/>
        <v>0</v>
      </c>
      <c r="BM138" s="28"/>
      <c r="BN138" s="28"/>
      <c r="BO138" s="65"/>
      <c r="BP138" s="64">
        <f t="shared" si="121"/>
        <v>0</v>
      </c>
      <c r="BQ138" s="28"/>
      <c r="BR138" s="28"/>
      <c r="BS138" s="65"/>
      <c r="BT138" s="64">
        <f t="shared" si="122"/>
        <v>0</v>
      </c>
      <c r="BU138" s="28"/>
      <c r="BV138" s="28"/>
      <c r="BW138" s="65"/>
      <c r="BX138" s="64">
        <f t="shared" si="123"/>
        <v>0</v>
      </c>
      <c r="BY138" s="28"/>
      <c r="BZ138" s="28"/>
      <c r="CA138" s="65"/>
      <c r="CB138" s="64">
        <f t="shared" si="124"/>
        <v>0</v>
      </c>
      <c r="CC138" s="28"/>
      <c r="CD138" s="28"/>
      <c r="CE138" s="65"/>
      <c r="CF138" s="64">
        <f t="shared" si="125"/>
        <v>0</v>
      </c>
      <c r="CG138" s="28"/>
      <c r="CH138" s="28"/>
      <c r="CI138" s="65"/>
      <c r="CJ138" s="64">
        <f t="shared" si="126"/>
        <v>0</v>
      </c>
      <c r="CK138" s="28"/>
      <c r="CL138" s="28"/>
      <c r="CM138" s="65"/>
      <c r="CN138" s="64">
        <f t="shared" si="127"/>
        <v>0</v>
      </c>
      <c r="CO138" s="28"/>
      <c r="CP138" s="28"/>
      <c r="CQ138" s="65"/>
      <c r="CR138" s="64">
        <f t="shared" si="128"/>
        <v>0</v>
      </c>
      <c r="CS138" s="28"/>
      <c r="CT138" s="28"/>
      <c r="CU138" s="65"/>
      <c r="CV138" s="64">
        <f t="shared" si="129"/>
        <v>0</v>
      </c>
      <c r="CW138" s="28"/>
      <c r="CX138" s="28"/>
      <c r="CY138" s="65"/>
      <c r="CZ138" s="64">
        <f t="shared" si="130"/>
        <v>0</v>
      </c>
      <c r="DA138" s="28"/>
      <c r="DB138" s="28"/>
      <c r="DC138" s="65"/>
      <c r="DD138" s="64">
        <f t="shared" si="131"/>
        <v>0</v>
      </c>
      <c r="DE138" s="28"/>
      <c r="DF138" s="28"/>
      <c r="DG138" s="65"/>
      <c r="DH138" s="64">
        <f t="shared" si="132"/>
        <v>0</v>
      </c>
      <c r="DI138" s="28"/>
      <c r="DJ138" s="28"/>
      <c r="DK138" s="65"/>
      <c r="DL138" s="64">
        <f t="shared" si="133"/>
        <v>0</v>
      </c>
      <c r="DM138" s="28"/>
      <c r="DN138" s="28"/>
      <c r="DO138" s="65"/>
      <c r="DP138" s="64">
        <f t="shared" si="134"/>
        <v>0</v>
      </c>
      <c r="DQ138" s="28"/>
      <c r="DR138" s="28"/>
      <c r="DS138" s="65"/>
      <c r="DT138" s="64">
        <f t="shared" si="135"/>
        <v>0</v>
      </c>
      <c r="DU138" s="28"/>
      <c r="DV138" s="28"/>
      <c r="DW138" s="65"/>
      <c r="DX138" s="30">
        <f t="shared" si="136"/>
        <v>0</v>
      </c>
      <c r="DY138" s="4"/>
      <c r="DZ138" s="4"/>
      <c r="EA138" s="4"/>
      <c r="EB138" s="9">
        <f>D138*'MASTER SHEET'!D138</f>
        <v>0</v>
      </c>
      <c r="EC138" s="9">
        <f>H138*'MASTER SHEET'!D138</f>
        <v>0</v>
      </c>
      <c r="ED138" s="9">
        <f>L138*'MASTER SHEET'!D138</f>
        <v>0</v>
      </c>
      <c r="EE138" s="9">
        <f>P138*'MASTER SHEET'!D138</f>
        <v>0</v>
      </c>
      <c r="EF138" s="9">
        <f>T138*'MASTER SHEET'!D138</f>
        <v>0</v>
      </c>
      <c r="EG138" s="9">
        <f>X138*'MASTER SHEET'!D138</f>
        <v>0</v>
      </c>
      <c r="EH138" s="9">
        <f>AB138*'MASTER SHEET'!D138</f>
        <v>0</v>
      </c>
      <c r="EI138" s="9">
        <f>AF138*'MASTER SHEET'!D138</f>
        <v>0</v>
      </c>
      <c r="EJ138" s="9">
        <f>AJ138*'MASTER SHEET'!D138</f>
        <v>0</v>
      </c>
      <c r="EK138" s="9">
        <f>AN138*'MASTER SHEET'!D138</f>
        <v>0</v>
      </c>
      <c r="EL138" s="9">
        <f>AR138*'MASTER SHEET'!D138</f>
        <v>0</v>
      </c>
      <c r="EM138" s="9">
        <f>AV138*'MASTER SHEET'!D138</f>
        <v>0</v>
      </c>
      <c r="EN138" s="9">
        <f>AZ138*'MASTER SHEET'!D138</f>
        <v>0</v>
      </c>
      <c r="EO138" s="9">
        <f>BD138*'MASTER SHEET'!D138</f>
        <v>0</v>
      </c>
      <c r="EP138" s="9">
        <f>BH138*'MASTER SHEET'!D138</f>
        <v>0</v>
      </c>
      <c r="EQ138" s="9">
        <f>BL138*'MASTER SHEET'!D138</f>
        <v>0</v>
      </c>
      <c r="ER138" s="9">
        <f>BP138*'MASTER SHEET'!D138</f>
        <v>0</v>
      </c>
      <c r="ES138" s="9">
        <f>BT138*'MASTER SHEET'!D138</f>
        <v>0</v>
      </c>
      <c r="ET138" s="9">
        <f>BX138*'MASTER SHEET'!D138</f>
        <v>0</v>
      </c>
      <c r="EU138" s="9">
        <f>CB138*'MASTER SHEET'!D138</f>
        <v>0</v>
      </c>
      <c r="EV138" s="9">
        <f>CF138*'MASTER SHEET'!D138</f>
        <v>0</v>
      </c>
      <c r="EW138" s="9">
        <f>CJ138*'MASTER SHEET'!D138</f>
        <v>0</v>
      </c>
      <c r="EX138" s="9">
        <f>CN138*'MASTER SHEET'!D138</f>
        <v>0</v>
      </c>
      <c r="EY138" s="9">
        <f>CV138*'MASTER SHEET'!D138</f>
        <v>0</v>
      </c>
      <c r="EZ138" s="9">
        <f>CV138*'MASTER SHEET'!D138</f>
        <v>0</v>
      </c>
      <c r="FA138" s="9">
        <f>CZ138*'MASTER SHEET'!D138</f>
        <v>0</v>
      </c>
      <c r="FB138" s="9">
        <f>DD138*'MASTER SHEET'!D138</f>
        <v>0</v>
      </c>
      <c r="FC138" s="9">
        <f>DH138*'MASTER SHEET'!D138</f>
        <v>0</v>
      </c>
      <c r="FD138" s="9">
        <f>DL138*'MASTER SHEET'!D138</f>
        <v>0</v>
      </c>
      <c r="FE138" s="9">
        <f>DP138*'MASTER SHEET'!D138</f>
        <v>0</v>
      </c>
      <c r="FF138" s="9">
        <f>DT138*'MASTER SHEET'!D138</f>
        <v>0</v>
      </c>
      <c r="FG138" s="9">
        <f>DX138*'MASTER SHEET'!D138</f>
        <v>0</v>
      </c>
    </row>
    <row r="139" spans="1:163" ht="20.25" x14ac:dyDescent="0.25">
      <c r="A139" s="43">
        <f>'MASTER SHEET'!A139</f>
        <v>137</v>
      </c>
      <c r="B139" s="26" t="str">
        <f>'MASTER SHEET'!B139</f>
        <v>AIR EXTRACTOR HOUSING</v>
      </c>
      <c r="C139" s="82">
        <f>'MASTER SHEET'!C139</f>
        <v>62185</v>
      </c>
      <c r="D139" s="64"/>
      <c r="E139" s="28"/>
      <c r="F139" s="28"/>
      <c r="G139" s="65"/>
      <c r="H139" s="64">
        <f t="shared" si="106"/>
        <v>0</v>
      </c>
      <c r="I139" s="28"/>
      <c r="J139" s="28"/>
      <c r="K139" s="65"/>
      <c r="L139" s="64">
        <f t="shared" si="107"/>
        <v>0</v>
      </c>
      <c r="M139" s="28"/>
      <c r="N139" s="28"/>
      <c r="O139" s="65"/>
      <c r="P139" s="64">
        <f t="shared" si="108"/>
        <v>0</v>
      </c>
      <c r="Q139" s="28"/>
      <c r="R139" s="28"/>
      <c r="S139" s="65"/>
      <c r="T139" s="64">
        <f t="shared" si="109"/>
        <v>0</v>
      </c>
      <c r="U139" s="28"/>
      <c r="V139" s="28"/>
      <c r="W139" s="65"/>
      <c r="X139" s="64">
        <f t="shared" si="110"/>
        <v>0</v>
      </c>
      <c r="Y139" s="28"/>
      <c r="Z139" s="28"/>
      <c r="AA139" s="65"/>
      <c r="AB139" s="64">
        <f t="shared" si="111"/>
        <v>0</v>
      </c>
      <c r="AC139" s="28"/>
      <c r="AD139" s="28"/>
      <c r="AE139" s="65"/>
      <c r="AF139" s="64">
        <f t="shared" si="112"/>
        <v>0</v>
      </c>
      <c r="AG139" s="28"/>
      <c r="AH139" s="28"/>
      <c r="AI139" s="65"/>
      <c r="AJ139" s="64">
        <f t="shared" si="113"/>
        <v>0</v>
      </c>
      <c r="AK139" s="28"/>
      <c r="AL139" s="28"/>
      <c r="AM139" s="65"/>
      <c r="AN139" s="64">
        <f t="shared" si="114"/>
        <v>0</v>
      </c>
      <c r="AO139" s="28"/>
      <c r="AP139" s="28"/>
      <c r="AQ139" s="65"/>
      <c r="AR139" s="64">
        <f t="shared" si="115"/>
        <v>0</v>
      </c>
      <c r="AS139" s="28"/>
      <c r="AT139" s="28"/>
      <c r="AU139" s="65"/>
      <c r="AV139" s="64">
        <f t="shared" si="116"/>
        <v>0</v>
      </c>
      <c r="AW139" s="28"/>
      <c r="AX139" s="28"/>
      <c r="AY139" s="65"/>
      <c r="AZ139" s="64">
        <f t="shared" si="117"/>
        <v>0</v>
      </c>
      <c r="BA139" s="28"/>
      <c r="BB139" s="28"/>
      <c r="BC139" s="65"/>
      <c r="BD139" s="64">
        <f t="shared" si="118"/>
        <v>0</v>
      </c>
      <c r="BE139" s="28"/>
      <c r="BF139" s="28"/>
      <c r="BG139" s="65"/>
      <c r="BH139" s="64">
        <f t="shared" si="119"/>
        <v>0</v>
      </c>
      <c r="BI139" s="28"/>
      <c r="BJ139" s="28"/>
      <c r="BK139" s="65"/>
      <c r="BL139" s="64">
        <f t="shared" si="120"/>
        <v>0</v>
      </c>
      <c r="BM139" s="28"/>
      <c r="BN139" s="28"/>
      <c r="BO139" s="65"/>
      <c r="BP139" s="64">
        <f t="shared" si="121"/>
        <v>0</v>
      </c>
      <c r="BQ139" s="28"/>
      <c r="BR139" s="28"/>
      <c r="BS139" s="65"/>
      <c r="BT139" s="64">
        <f t="shared" si="122"/>
        <v>0</v>
      </c>
      <c r="BU139" s="28"/>
      <c r="BV139" s="28"/>
      <c r="BW139" s="65"/>
      <c r="BX139" s="64">
        <f t="shared" si="123"/>
        <v>0</v>
      </c>
      <c r="BY139" s="28"/>
      <c r="BZ139" s="28"/>
      <c r="CA139" s="65"/>
      <c r="CB139" s="64">
        <f t="shared" si="124"/>
        <v>0</v>
      </c>
      <c r="CC139" s="28"/>
      <c r="CD139" s="28"/>
      <c r="CE139" s="65"/>
      <c r="CF139" s="64">
        <f t="shared" si="125"/>
        <v>0</v>
      </c>
      <c r="CG139" s="28"/>
      <c r="CH139" s="28"/>
      <c r="CI139" s="65"/>
      <c r="CJ139" s="64">
        <f t="shared" si="126"/>
        <v>0</v>
      </c>
      <c r="CK139" s="28"/>
      <c r="CL139" s="28"/>
      <c r="CM139" s="65"/>
      <c r="CN139" s="64">
        <f t="shared" si="127"/>
        <v>0</v>
      </c>
      <c r="CO139" s="28"/>
      <c r="CP139" s="28"/>
      <c r="CQ139" s="65"/>
      <c r="CR139" s="64">
        <f t="shared" si="128"/>
        <v>0</v>
      </c>
      <c r="CS139" s="28"/>
      <c r="CT139" s="28"/>
      <c r="CU139" s="65"/>
      <c r="CV139" s="64">
        <f t="shared" si="129"/>
        <v>0</v>
      </c>
      <c r="CW139" s="28"/>
      <c r="CX139" s="28"/>
      <c r="CY139" s="65"/>
      <c r="CZ139" s="64">
        <f t="shared" si="130"/>
        <v>0</v>
      </c>
      <c r="DA139" s="28"/>
      <c r="DB139" s="28"/>
      <c r="DC139" s="65"/>
      <c r="DD139" s="64">
        <f t="shared" si="131"/>
        <v>0</v>
      </c>
      <c r="DE139" s="28"/>
      <c r="DF139" s="28"/>
      <c r="DG139" s="65"/>
      <c r="DH139" s="64">
        <f t="shared" si="132"/>
        <v>0</v>
      </c>
      <c r="DI139" s="28"/>
      <c r="DJ139" s="28"/>
      <c r="DK139" s="65"/>
      <c r="DL139" s="64">
        <f t="shared" si="133"/>
        <v>0</v>
      </c>
      <c r="DM139" s="28"/>
      <c r="DN139" s="28"/>
      <c r="DO139" s="65"/>
      <c r="DP139" s="64">
        <f t="shared" si="134"/>
        <v>0</v>
      </c>
      <c r="DQ139" s="28"/>
      <c r="DR139" s="28"/>
      <c r="DS139" s="65"/>
      <c r="DT139" s="64">
        <f t="shared" si="135"/>
        <v>0</v>
      </c>
      <c r="DU139" s="28"/>
      <c r="DV139" s="28"/>
      <c r="DW139" s="65"/>
      <c r="DX139" s="30">
        <f t="shared" si="136"/>
        <v>0</v>
      </c>
      <c r="DY139" s="4"/>
      <c r="DZ139" s="4"/>
      <c r="EA139" s="4"/>
      <c r="EB139" s="9">
        <f>D139*'MASTER SHEET'!D139</f>
        <v>0</v>
      </c>
      <c r="EC139" s="9">
        <f>H139*'MASTER SHEET'!D139</f>
        <v>0</v>
      </c>
      <c r="ED139" s="9">
        <f>L139*'MASTER SHEET'!D139</f>
        <v>0</v>
      </c>
      <c r="EE139" s="9">
        <f>P139*'MASTER SHEET'!D139</f>
        <v>0</v>
      </c>
      <c r="EF139" s="9">
        <f>T139*'MASTER SHEET'!D139</f>
        <v>0</v>
      </c>
      <c r="EG139" s="9">
        <f>X139*'MASTER SHEET'!D139</f>
        <v>0</v>
      </c>
      <c r="EH139" s="9">
        <f>AB139*'MASTER SHEET'!D139</f>
        <v>0</v>
      </c>
      <c r="EI139" s="9">
        <f>AF139*'MASTER SHEET'!D139</f>
        <v>0</v>
      </c>
      <c r="EJ139" s="9">
        <f>AJ139*'MASTER SHEET'!D139</f>
        <v>0</v>
      </c>
      <c r="EK139" s="9">
        <f>AN139*'MASTER SHEET'!D139</f>
        <v>0</v>
      </c>
      <c r="EL139" s="9">
        <f>AR139*'MASTER SHEET'!D139</f>
        <v>0</v>
      </c>
      <c r="EM139" s="9">
        <f>AV139*'MASTER SHEET'!D139</f>
        <v>0</v>
      </c>
      <c r="EN139" s="9">
        <f>AZ139*'MASTER SHEET'!D139</f>
        <v>0</v>
      </c>
      <c r="EO139" s="9">
        <f>BD139*'MASTER SHEET'!D139</f>
        <v>0</v>
      </c>
      <c r="EP139" s="9">
        <f>BH139*'MASTER SHEET'!D139</f>
        <v>0</v>
      </c>
      <c r="EQ139" s="9">
        <f>BL139*'MASTER SHEET'!D139</f>
        <v>0</v>
      </c>
      <c r="ER139" s="9">
        <f>BP139*'MASTER SHEET'!D139</f>
        <v>0</v>
      </c>
      <c r="ES139" s="9">
        <f>BT139*'MASTER SHEET'!D139</f>
        <v>0</v>
      </c>
      <c r="ET139" s="9">
        <f>BX139*'MASTER SHEET'!D139</f>
        <v>0</v>
      </c>
      <c r="EU139" s="9">
        <f>CB139*'MASTER SHEET'!D139</f>
        <v>0</v>
      </c>
      <c r="EV139" s="9">
        <f>CF139*'MASTER SHEET'!D139</f>
        <v>0</v>
      </c>
      <c r="EW139" s="9">
        <f>CJ139*'MASTER SHEET'!D139</f>
        <v>0</v>
      </c>
      <c r="EX139" s="9">
        <f>CN139*'MASTER SHEET'!D139</f>
        <v>0</v>
      </c>
      <c r="EY139" s="9">
        <f>CV139*'MASTER SHEET'!D139</f>
        <v>0</v>
      </c>
      <c r="EZ139" s="9">
        <f>CV139*'MASTER SHEET'!D139</f>
        <v>0</v>
      </c>
      <c r="FA139" s="9">
        <f>CZ139*'MASTER SHEET'!D139</f>
        <v>0</v>
      </c>
      <c r="FB139" s="9">
        <f>DD139*'MASTER SHEET'!D139</f>
        <v>0</v>
      </c>
      <c r="FC139" s="9">
        <f>DH139*'MASTER SHEET'!D139</f>
        <v>0</v>
      </c>
      <c r="FD139" s="9">
        <f>DL139*'MASTER SHEET'!D139</f>
        <v>0</v>
      </c>
      <c r="FE139" s="9">
        <f>DP139*'MASTER SHEET'!D139</f>
        <v>0</v>
      </c>
      <c r="FF139" s="9">
        <f>DT139*'MASTER SHEET'!D139</f>
        <v>0</v>
      </c>
      <c r="FG139" s="9">
        <f>DX139*'MASTER SHEET'!D139</f>
        <v>0</v>
      </c>
    </row>
    <row r="140" spans="1:163" ht="20.25" x14ac:dyDescent="0.25">
      <c r="A140" s="43">
        <f>'MASTER SHEET'!A140</f>
        <v>138</v>
      </c>
      <c r="B140" s="26" t="str">
        <f>'MASTER SHEET'!B140</f>
        <v>W601 ODH CAP FOR DOOR LOCK</v>
      </c>
      <c r="C140" s="82" t="str">
        <f>'MASTER SHEET'!C140</f>
        <v>BA00005294</v>
      </c>
      <c r="D140" s="64"/>
      <c r="E140" s="28"/>
      <c r="F140" s="28"/>
      <c r="G140" s="65"/>
      <c r="H140" s="64">
        <f t="shared" si="106"/>
        <v>0</v>
      </c>
      <c r="I140" s="28"/>
      <c r="J140" s="28"/>
      <c r="K140" s="65"/>
      <c r="L140" s="64">
        <f t="shared" si="107"/>
        <v>0</v>
      </c>
      <c r="M140" s="28"/>
      <c r="N140" s="28"/>
      <c r="O140" s="65"/>
      <c r="P140" s="64">
        <f t="shared" si="108"/>
        <v>0</v>
      </c>
      <c r="Q140" s="28"/>
      <c r="R140" s="28"/>
      <c r="S140" s="65"/>
      <c r="T140" s="64">
        <f t="shared" si="109"/>
        <v>0</v>
      </c>
      <c r="U140" s="28"/>
      <c r="V140" s="28"/>
      <c r="W140" s="65"/>
      <c r="X140" s="64">
        <f t="shared" si="110"/>
        <v>0</v>
      </c>
      <c r="Y140" s="28"/>
      <c r="Z140" s="28"/>
      <c r="AA140" s="65"/>
      <c r="AB140" s="64">
        <f t="shared" si="111"/>
        <v>0</v>
      </c>
      <c r="AC140" s="28"/>
      <c r="AD140" s="28"/>
      <c r="AE140" s="65"/>
      <c r="AF140" s="64">
        <f t="shared" si="112"/>
        <v>0</v>
      </c>
      <c r="AG140" s="28"/>
      <c r="AH140" s="28"/>
      <c r="AI140" s="65"/>
      <c r="AJ140" s="64">
        <f t="shared" si="113"/>
        <v>0</v>
      </c>
      <c r="AK140" s="28">
        <v>8000</v>
      </c>
      <c r="AL140" s="28">
        <v>8000</v>
      </c>
      <c r="AM140" s="65"/>
      <c r="AN140" s="64">
        <f t="shared" si="114"/>
        <v>0</v>
      </c>
      <c r="AO140" s="28"/>
      <c r="AP140" s="28"/>
      <c r="AQ140" s="65"/>
      <c r="AR140" s="64">
        <f t="shared" si="115"/>
        <v>0</v>
      </c>
      <c r="AS140" s="28">
        <v>5000</v>
      </c>
      <c r="AT140" s="28">
        <v>5000</v>
      </c>
      <c r="AU140" s="65"/>
      <c r="AV140" s="64">
        <f t="shared" si="116"/>
        <v>0</v>
      </c>
      <c r="AW140" s="28"/>
      <c r="AX140" s="28"/>
      <c r="AY140" s="65"/>
      <c r="AZ140" s="64">
        <f t="shared" si="117"/>
        <v>0</v>
      </c>
      <c r="BA140" s="28">
        <v>9000</v>
      </c>
      <c r="BB140" s="28">
        <v>9000</v>
      </c>
      <c r="BC140" s="65"/>
      <c r="BD140" s="64">
        <f t="shared" si="118"/>
        <v>0</v>
      </c>
      <c r="BE140" s="28"/>
      <c r="BF140" s="28"/>
      <c r="BG140" s="65"/>
      <c r="BH140" s="64">
        <f t="shared" si="119"/>
        <v>0</v>
      </c>
      <c r="BI140" s="28"/>
      <c r="BJ140" s="28"/>
      <c r="BK140" s="65"/>
      <c r="BL140" s="64">
        <f t="shared" si="120"/>
        <v>0</v>
      </c>
      <c r="BM140" s="28"/>
      <c r="BN140" s="28"/>
      <c r="BO140" s="65"/>
      <c r="BP140" s="64">
        <f t="shared" si="121"/>
        <v>0</v>
      </c>
      <c r="BQ140" s="28"/>
      <c r="BR140" s="28"/>
      <c r="BS140" s="65"/>
      <c r="BT140" s="64">
        <f t="shared" si="122"/>
        <v>0</v>
      </c>
      <c r="BU140" s="28"/>
      <c r="BV140" s="28"/>
      <c r="BW140" s="65"/>
      <c r="BX140" s="64">
        <f t="shared" si="123"/>
        <v>0</v>
      </c>
      <c r="BY140" s="28"/>
      <c r="BZ140" s="28"/>
      <c r="CA140" s="65"/>
      <c r="CB140" s="64">
        <f t="shared" si="124"/>
        <v>0</v>
      </c>
      <c r="CC140" s="28"/>
      <c r="CD140" s="28"/>
      <c r="CE140" s="65"/>
      <c r="CF140" s="64">
        <f t="shared" si="125"/>
        <v>0</v>
      </c>
      <c r="CG140" s="28"/>
      <c r="CH140" s="28"/>
      <c r="CI140" s="65"/>
      <c r="CJ140" s="64">
        <f t="shared" si="126"/>
        <v>0</v>
      </c>
      <c r="CK140" s="28"/>
      <c r="CL140" s="28"/>
      <c r="CM140" s="65"/>
      <c r="CN140" s="64">
        <f t="shared" si="127"/>
        <v>0</v>
      </c>
      <c r="CO140" s="28"/>
      <c r="CP140" s="28"/>
      <c r="CQ140" s="65"/>
      <c r="CR140" s="64">
        <f t="shared" si="128"/>
        <v>0</v>
      </c>
      <c r="CS140" s="28"/>
      <c r="CT140" s="28"/>
      <c r="CU140" s="65"/>
      <c r="CV140" s="64">
        <f t="shared" si="129"/>
        <v>0</v>
      </c>
      <c r="CW140" s="28"/>
      <c r="CX140" s="28"/>
      <c r="CY140" s="65"/>
      <c r="CZ140" s="64">
        <f t="shared" si="130"/>
        <v>0</v>
      </c>
      <c r="DA140" s="28"/>
      <c r="DB140" s="28"/>
      <c r="DC140" s="65"/>
      <c r="DD140" s="64">
        <f t="shared" si="131"/>
        <v>0</v>
      </c>
      <c r="DE140" s="28"/>
      <c r="DF140" s="28"/>
      <c r="DG140" s="65"/>
      <c r="DH140" s="64">
        <f t="shared" si="132"/>
        <v>0</v>
      </c>
      <c r="DI140" s="28"/>
      <c r="DJ140" s="28"/>
      <c r="DK140" s="65"/>
      <c r="DL140" s="64">
        <f t="shared" si="133"/>
        <v>0</v>
      </c>
      <c r="DM140" s="28"/>
      <c r="DN140" s="28"/>
      <c r="DO140" s="65"/>
      <c r="DP140" s="64">
        <f t="shared" si="134"/>
        <v>0</v>
      </c>
      <c r="DQ140" s="28"/>
      <c r="DR140" s="28"/>
      <c r="DS140" s="65"/>
      <c r="DT140" s="64">
        <f t="shared" si="135"/>
        <v>0</v>
      </c>
      <c r="DU140" s="28"/>
      <c r="DV140" s="28"/>
      <c r="DW140" s="65"/>
      <c r="DX140" s="30">
        <f t="shared" si="136"/>
        <v>0</v>
      </c>
      <c r="DY140" s="4"/>
      <c r="DZ140" s="4"/>
      <c r="EA140" s="4"/>
      <c r="EB140" s="9">
        <f>D140*'MASTER SHEET'!D140</f>
        <v>0</v>
      </c>
      <c r="EC140" s="9">
        <f>H140*'MASTER SHEET'!D140</f>
        <v>0</v>
      </c>
      <c r="ED140" s="9">
        <f>L140*'MASTER SHEET'!D140</f>
        <v>0</v>
      </c>
      <c r="EE140" s="9">
        <f>P140*'MASTER SHEET'!D140</f>
        <v>0</v>
      </c>
      <c r="EF140" s="9">
        <f>T140*'MASTER SHEET'!D140</f>
        <v>0</v>
      </c>
      <c r="EG140" s="9">
        <f>X140*'MASTER SHEET'!D140</f>
        <v>0</v>
      </c>
      <c r="EH140" s="9">
        <f>AB140*'MASTER SHEET'!D140</f>
        <v>0</v>
      </c>
      <c r="EI140" s="9">
        <f>AF140*'MASTER SHEET'!D140</f>
        <v>0</v>
      </c>
      <c r="EJ140" s="9">
        <f>AJ140*'MASTER SHEET'!D140</f>
        <v>0</v>
      </c>
      <c r="EK140" s="9">
        <f>AN140*'MASTER SHEET'!D140</f>
        <v>0</v>
      </c>
      <c r="EL140" s="9">
        <f>AR140*'MASTER SHEET'!D140</f>
        <v>0</v>
      </c>
      <c r="EM140" s="9">
        <f>AV140*'MASTER SHEET'!D140</f>
        <v>0</v>
      </c>
      <c r="EN140" s="9">
        <f>AZ140*'MASTER SHEET'!D140</f>
        <v>0</v>
      </c>
      <c r="EO140" s="9">
        <f>BD140*'MASTER SHEET'!D140</f>
        <v>0</v>
      </c>
      <c r="EP140" s="9">
        <f>BH140*'MASTER SHEET'!D140</f>
        <v>0</v>
      </c>
      <c r="EQ140" s="9">
        <f>BL140*'MASTER SHEET'!D140</f>
        <v>0</v>
      </c>
      <c r="ER140" s="9">
        <f>BP140*'MASTER SHEET'!D140</f>
        <v>0</v>
      </c>
      <c r="ES140" s="9">
        <f>BT140*'MASTER SHEET'!D140</f>
        <v>0</v>
      </c>
      <c r="ET140" s="9">
        <f>BX140*'MASTER SHEET'!D140</f>
        <v>0</v>
      </c>
      <c r="EU140" s="9">
        <f>CB140*'MASTER SHEET'!D140</f>
        <v>0</v>
      </c>
      <c r="EV140" s="9">
        <f>CF140*'MASTER SHEET'!D140</f>
        <v>0</v>
      </c>
      <c r="EW140" s="9">
        <f>CJ140*'MASTER SHEET'!D140</f>
        <v>0</v>
      </c>
      <c r="EX140" s="9">
        <f>CN140*'MASTER SHEET'!D140</f>
        <v>0</v>
      </c>
      <c r="EY140" s="9">
        <f>CV140*'MASTER SHEET'!D140</f>
        <v>0</v>
      </c>
      <c r="EZ140" s="9">
        <f>CV140*'MASTER SHEET'!D140</f>
        <v>0</v>
      </c>
      <c r="FA140" s="9">
        <f>CZ140*'MASTER SHEET'!D140</f>
        <v>0</v>
      </c>
      <c r="FB140" s="9">
        <f>DD140*'MASTER SHEET'!D140</f>
        <v>0</v>
      </c>
      <c r="FC140" s="9">
        <f>DH140*'MASTER SHEET'!D140</f>
        <v>0</v>
      </c>
      <c r="FD140" s="9">
        <f>DL140*'MASTER SHEET'!D140</f>
        <v>0</v>
      </c>
      <c r="FE140" s="9">
        <f>DP140*'MASTER SHEET'!D140</f>
        <v>0</v>
      </c>
      <c r="FF140" s="9">
        <f>DT140*'MASTER SHEET'!D140</f>
        <v>0</v>
      </c>
      <c r="FG140" s="9">
        <f>DX140*'MASTER SHEET'!D140</f>
        <v>0</v>
      </c>
    </row>
    <row r="141" spans="1:163" ht="20.25" x14ac:dyDescent="0.25">
      <c r="A141" s="43">
        <f>'MASTER SHEET'!A141</f>
        <v>139</v>
      </c>
      <c r="B141" s="26" t="str">
        <f>'MASTER SHEET'!B141</f>
        <v>W601 HOUSING FOR PUSH PUSH</v>
      </c>
      <c r="C141" s="82" t="str">
        <f>'MASTER SHEET'!C141</f>
        <v>BB00004913</v>
      </c>
      <c r="D141" s="64"/>
      <c r="E141" s="28"/>
      <c r="F141" s="28"/>
      <c r="G141" s="65"/>
      <c r="H141" s="64">
        <f t="shared" si="106"/>
        <v>0</v>
      </c>
      <c r="I141" s="28"/>
      <c r="J141" s="28"/>
      <c r="K141" s="65"/>
      <c r="L141" s="64">
        <f t="shared" si="107"/>
        <v>0</v>
      </c>
      <c r="M141" s="28"/>
      <c r="N141" s="28"/>
      <c r="O141" s="65"/>
      <c r="P141" s="64">
        <f t="shared" si="108"/>
        <v>0</v>
      </c>
      <c r="Q141" s="28"/>
      <c r="R141" s="28"/>
      <c r="S141" s="65"/>
      <c r="T141" s="64">
        <f t="shared" si="109"/>
        <v>0</v>
      </c>
      <c r="U141" s="28"/>
      <c r="V141" s="28"/>
      <c r="W141" s="65"/>
      <c r="X141" s="64">
        <f t="shared" si="110"/>
        <v>0</v>
      </c>
      <c r="Y141" s="28"/>
      <c r="Z141" s="28"/>
      <c r="AA141" s="65"/>
      <c r="AB141" s="64">
        <f t="shared" si="111"/>
        <v>0</v>
      </c>
      <c r="AC141" s="28"/>
      <c r="AD141" s="28"/>
      <c r="AE141" s="65"/>
      <c r="AF141" s="64">
        <f t="shared" si="112"/>
        <v>0</v>
      </c>
      <c r="AG141" s="28"/>
      <c r="AH141" s="28"/>
      <c r="AI141" s="65"/>
      <c r="AJ141" s="64">
        <f t="shared" si="113"/>
        <v>0</v>
      </c>
      <c r="AK141" s="28"/>
      <c r="AL141" s="28"/>
      <c r="AM141" s="65"/>
      <c r="AN141" s="64">
        <f t="shared" si="114"/>
        <v>0</v>
      </c>
      <c r="AO141" s="28"/>
      <c r="AP141" s="28"/>
      <c r="AQ141" s="65"/>
      <c r="AR141" s="64">
        <f t="shared" si="115"/>
        <v>0</v>
      </c>
      <c r="AS141" s="28"/>
      <c r="AT141" s="28"/>
      <c r="AU141" s="65"/>
      <c r="AV141" s="64">
        <f t="shared" si="116"/>
        <v>0</v>
      </c>
      <c r="AW141" s="28"/>
      <c r="AX141" s="28"/>
      <c r="AY141" s="65"/>
      <c r="AZ141" s="64">
        <f t="shared" si="117"/>
        <v>0</v>
      </c>
      <c r="BA141" s="28"/>
      <c r="BB141" s="28"/>
      <c r="BC141" s="65"/>
      <c r="BD141" s="64">
        <f t="shared" si="118"/>
        <v>0</v>
      </c>
      <c r="BE141" s="28"/>
      <c r="BF141" s="28"/>
      <c r="BG141" s="65"/>
      <c r="BH141" s="64">
        <f t="shared" si="119"/>
        <v>0</v>
      </c>
      <c r="BI141" s="28"/>
      <c r="BJ141" s="28"/>
      <c r="BK141" s="65"/>
      <c r="BL141" s="64">
        <f t="shared" si="120"/>
        <v>0</v>
      </c>
      <c r="BM141" s="28"/>
      <c r="BN141" s="28"/>
      <c r="BO141" s="65"/>
      <c r="BP141" s="64">
        <f t="shared" si="121"/>
        <v>0</v>
      </c>
      <c r="BQ141" s="28"/>
      <c r="BR141" s="28"/>
      <c r="BS141" s="65"/>
      <c r="BT141" s="64">
        <f t="shared" si="122"/>
        <v>0</v>
      </c>
      <c r="BU141" s="28"/>
      <c r="BV141" s="28"/>
      <c r="BW141" s="65"/>
      <c r="BX141" s="64">
        <f t="shared" si="123"/>
        <v>0</v>
      </c>
      <c r="BY141" s="28"/>
      <c r="BZ141" s="28"/>
      <c r="CA141" s="65"/>
      <c r="CB141" s="64">
        <f t="shared" si="124"/>
        <v>0</v>
      </c>
      <c r="CC141" s="28"/>
      <c r="CD141" s="28"/>
      <c r="CE141" s="65"/>
      <c r="CF141" s="64">
        <f t="shared" si="125"/>
        <v>0</v>
      </c>
      <c r="CG141" s="28"/>
      <c r="CH141" s="28"/>
      <c r="CI141" s="65"/>
      <c r="CJ141" s="64">
        <f t="shared" si="126"/>
        <v>0</v>
      </c>
      <c r="CK141" s="28"/>
      <c r="CL141" s="28"/>
      <c r="CM141" s="65"/>
      <c r="CN141" s="64">
        <f t="shared" si="127"/>
        <v>0</v>
      </c>
      <c r="CO141" s="28"/>
      <c r="CP141" s="28"/>
      <c r="CQ141" s="65"/>
      <c r="CR141" s="64">
        <f t="shared" si="128"/>
        <v>0</v>
      </c>
      <c r="CS141" s="28"/>
      <c r="CT141" s="28"/>
      <c r="CU141" s="65"/>
      <c r="CV141" s="64">
        <f t="shared" si="129"/>
        <v>0</v>
      </c>
      <c r="CW141" s="28"/>
      <c r="CX141" s="28"/>
      <c r="CY141" s="65"/>
      <c r="CZ141" s="64">
        <f t="shared" si="130"/>
        <v>0</v>
      </c>
      <c r="DA141" s="28"/>
      <c r="DB141" s="28"/>
      <c r="DC141" s="65"/>
      <c r="DD141" s="64">
        <f t="shared" si="131"/>
        <v>0</v>
      </c>
      <c r="DE141" s="28"/>
      <c r="DF141" s="28"/>
      <c r="DG141" s="65"/>
      <c r="DH141" s="64">
        <f t="shared" si="132"/>
        <v>0</v>
      </c>
      <c r="DI141" s="28"/>
      <c r="DJ141" s="28"/>
      <c r="DK141" s="65"/>
      <c r="DL141" s="64">
        <f t="shared" si="133"/>
        <v>0</v>
      </c>
      <c r="DM141" s="28"/>
      <c r="DN141" s="28"/>
      <c r="DO141" s="65"/>
      <c r="DP141" s="64">
        <f t="shared" si="134"/>
        <v>0</v>
      </c>
      <c r="DQ141" s="28"/>
      <c r="DR141" s="28"/>
      <c r="DS141" s="65"/>
      <c r="DT141" s="64">
        <f t="shared" si="135"/>
        <v>0</v>
      </c>
      <c r="DU141" s="28"/>
      <c r="DV141" s="28"/>
      <c r="DW141" s="65"/>
      <c r="DX141" s="30">
        <f t="shared" si="136"/>
        <v>0</v>
      </c>
      <c r="DY141" s="4"/>
      <c r="DZ141" s="4"/>
      <c r="EA141" s="4"/>
      <c r="EB141" s="9">
        <f>D141*'MASTER SHEET'!D141</f>
        <v>0</v>
      </c>
      <c r="EC141" s="9">
        <f>H141*'MASTER SHEET'!D141</f>
        <v>0</v>
      </c>
      <c r="ED141" s="9">
        <f>L141*'MASTER SHEET'!D141</f>
        <v>0</v>
      </c>
      <c r="EE141" s="9">
        <f>P141*'MASTER SHEET'!D141</f>
        <v>0</v>
      </c>
      <c r="EF141" s="9">
        <f>T141*'MASTER SHEET'!D141</f>
        <v>0</v>
      </c>
      <c r="EG141" s="9">
        <f>X141*'MASTER SHEET'!D141</f>
        <v>0</v>
      </c>
      <c r="EH141" s="9">
        <f>AB141*'MASTER SHEET'!D141</f>
        <v>0</v>
      </c>
      <c r="EI141" s="9">
        <f>AF141*'MASTER SHEET'!D141</f>
        <v>0</v>
      </c>
      <c r="EJ141" s="9">
        <f>AJ141*'MASTER SHEET'!D141</f>
        <v>0</v>
      </c>
      <c r="EK141" s="9">
        <f>AN141*'MASTER SHEET'!D141</f>
        <v>0</v>
      </c>
      <c r="EL141" s="9">
        <f>AR141*'MASTER SHEET'!D141</f>
        <v>0</v>
      </c>
      <c r="EM141" s="9">
        <f>AV141*'MASTER SHEET'!D141</f>
        <v>0</v>
      </c>
      <c r="EN141" s="9">
        <f>AZ141*'MASTER SHEET'!D141</f>
        <v>0</v>
      </c>
      <c r="EO141" s="9">
        <f>BD141*'MASTER SHEET'!D141</f>
        <v>0</v>
      </c>
      <c r="EP141" s="9">
        <f>BH141*'MASTER SHEET'!D141</f>
        <v>0</v>
      </c>
      <c r="EQ141" s="9">
        <f>BL141*'MASTER SHEET'!D141</f>
        <v>0</v>
      </c>
      <c r="ER141" s="9">
        <f>BP141*'MASTER SHEET'!D141</f>
        <v>0</v>
      </c>
      <c r="ES141" s="9">
        <f>BT141*'MASTER SHEET'!D141</f>
        <v>0</v>
      </c>
      <c r="ET141" s="9">
        <f>BX141*'MASTER SHEET'!D141</f>
        <v>0</v>
      </c>
      <c r="EU141" s="9">
        <f>CB141*'MASTER SHEET'!D141</f>
        <v>0</v>
      </c>
      <c r="EV141" s="9">
        <f>CF141*'MASTER SHEET'!D141</f>
        <v>0</v>
      </c>
      <c r="EW141" s="9">
        <f>CJ141*'MASTER SHEET'!D141</f>
        <v>0</v>
      </c>
      <c r="EX141" s="9">
        <f>CN141*'MASTER SHEET'!D141</f>
        <v>0</v>
      </c>
      <c r="EY141" s="9">
        <f>CV141*'MASTER SHEET'!D141</f>
        <v>0</v>
      </c>
      <c r="EZ141" s="9">
        <f>CV141*'MASTER SHEET'!D141</f>
        <v>0</v>
      </c>
      <c r="FA141" s="9">
        <f>CZ141*'MASTER SHEET'!D141</f>
        <v>0</v>
      </c>
      <c r="FB141" s="9">
        <f>DD141*'MASTER SHEET'!D141</f>
        <v>0</v>
      </c>
      <c r="FC141" s="9">
        <f>DH141*'MASTER SHEET'!D141</f>
        <v>0</v>
      </c>
      <c r="FD141" s="9">
        <f>DL141*'MASTER SHEET'!D141</f>
        <v>0</v>
      </c>
      <c r="FE141" s="9">
        <f>DP141*'MASTER SHEET'!D141</f>
        <v>0</v>
      </c>
      <c r="FF141" s="9">
        <f>DT141*'MASTER SHEET'!D141</f>
        <v>0</v>
      </c>
      <c r="FG141" s="9">
        <f>DX141*'MASTER SHEET'!D141</f>
        <v>0</v>
      </c>
    </row>
    <row r="142" spans="1:163" ht="20.25" x14ac:dyDescent="0.25">
      <c r="A142" s="43">
        <f>'MASTER SHEET'!A142</f>
        <v>140</v>
      </c>
      <c r="B142" s="26" t="str">
        <f>'MASTER SHEET'!B142</f>
        <v>W601 HOUSING SEAL LH</v>
      </c>
      <c r="C142" s="82" t="str">
        <f>'MASTER SHEET'!C142</f>
        <v>BB00005299</v>
      </c>
      <c r="D142" s="64"/>
      <c r="E142" s="28"/>
      <c r="F142" s="28"/>
      <c r="G142" s="65"/>
      <c r="H142" s="64">
        <f t="shared" si="106"/>
        <v>0</v>
      </c>
      <c r="I142" s="28"/>
      <c r="J142" s="28"/>
      <c r="K142" s="65"/>
      <c r="L142" s="64">
        <f t="shared" si="107"/>
        <v>0</v>
      </c>
      <c r="M142" s="28"/>
      <c r="N142" s="28"/>
      <c r="O142" s="65"/>
      <c r="P142" s="64">
        <f t="shared" si="108"/>
        <v>0</v>
      </c>
      <c r="Q142" s="28"/>
      <c r="R142" s="28"/>
      <c r="S142" s="65"/>
      <c r="T142" s="64">
        <f t="shared" si="109"/>
        <v>0</v>
      </c>
      <c r="U142" s="28"/>
      <c r="V142" s="28"/>
      <c r="W142" s="65"/>
      <c r="X142" s="64">
        <f t="shared" si="110"/>
        <v>0</v>
      </c>
      <c r="Y142" s="28"/>
      <c r="Z142" s="28"/>
      <c r="AA142" s="65"/>
      <c r="AB142" s="64">
        <f t="shared" si="111"/>
        <v>0</v>
      </c>
      <c r="AC142" s="28"/>
      <c r="AD142" s="28"/>
      <c r="AE142" s="65"/>
      <c r="AF142" s="64">
        <f t="shared" si="112"/>
        <v>0</v>
      </c>
      <c r="AG142" s="28"/>
      <c r="AH142" s="28"/>
      <c r="AI142" s="65"/>
      <c r="AJ142" s="64">
        <f t="shared" si="113"/>
        <v>0</v>
      </c>
      <c r="AK142" s="28"/>
      <c r="AL142" s="28"/>
      <c r="AM142" s="65"/>
      <c r="AN142" s="64">
        <f t="shared" si="114"/>
        <v>0</v>
      </c>
      <c r="AO142" s="28"/>
      <c r="AP142" s="28"/>
      <c r="AQ142" s="65"/>
      <c r="AR142" s="64">
        <f t="shared" si="115"/>
        <v>0</v>
      </c>
      <c r="AS142" s="28"/>
      <c r="AT142" s="28"/>
      <c r="AU142" s="65"/>
      <c r="AV142" s="64">
        <f t="shared" si="116"/>
        <v>0</v>
      </c>
      <c r="AW142" s="28"/>
      <c r="AX142" s="28"/>
      <c r="AY142" s="65"/>
      <c r="AZ142" s="64">
        <f t="shared" si="117"/>
        <v>0</v>
      </c>
      <c r="BA142" s="28"/>
      <c r="BB142" s="28"/>
      <c r="BC142" s="65"/>
      <c r="BD142" s="64">
        <f t="shared" si="118"/>
        <v>0</v>
      </c>
      <c r="BE142" s="28"/>
      <c r="BF142" s="28"/>
      <c r="BG142" s="65"/>
      <c r="BH142" s="64">
        <f t="shared" si="119"/>
        <v>0</v>
      </c>
      <c r="BI142" s="28"/>
      <c r="BJ142" s="28"/>
      <c r="BK142" s="65"/>
      <c r="BL142" s="64">
        <f t="shared" si="120"/>
        <v>0</v>
      </c>
      <c r="BM142" s="28"/>
      <c r="BN142" s="28"/>
      <c r="BO142" s="65"/>
      <c r="BP142" s="64">
        <f t="shared" si="121"/>
        <v>0</v>
      </c>
      <c r="BQ142" s="28"/>
      <c r="BR142" s="28"/>
      <c r="BS142" s="65"/>
      <c r="BT142" s="64">
        <f t="shared" si="122"/>
        <v>0</v>
      </c>
      <c r="BU142" s="28"/>
      <c r="BV142" s="28"/>
      <c r="BW142" s="65"/>
      <c r="BX142" s="64">
        <f t="shared" si="123"/>
        <v>0</v>
      </c>
      <c r="BY142" s="28"/>
      <c r="BZ142" s="28"/>
      <c r="CA142" s="65"/>
      <c r="CB142" s="64">
        <f t="shared" si="124"/>
        <v>0</v>
      </c>
      <c r="CC142" s="28"/>
      <c r="CD142" s="28"/>
      <c r="CE142" s="65"/>
      <c r="CF142" s="64">
        <f t="shared" si="125"/>
        <v>0</v>
      </c>
      <c r="CG142" s="28"/>
      <c r="CH142" s="28"/>
      <c r="CI142" s="65"/>
      <c r="CJ142" s="64">
        <f t="shared" si="126"/>
        <v>0</v>
      </c>
      <c r="CK142" s="28"/>
      <c r="CL142" s="28"/>
      <c r="CM142" s="65"/>
      <c r="CN142" s="64">
        <f t="shared" si="127"/>
        <v>0</v>
      </c>
      <c r="CO142" s="28"/>
      <c r="CP142" s="28"/>
      <c r="CQ142" s="65"/>
      <c r="CR142" s="64">
        <f t="shared" si="128"/>
        <v>0</v>
      </c>
      <c r="CS142" s="28"/>
      <c r="CT142" s="28"/>
      <c r="CU142" s="65"/>
      <c r="CV142" s="64">
        <f t="shared" si="129"/>
        <v>0</v>
      </c>
      <c r="CW142" s="28"/>
      <c r="CX142" s="28"/>
      <c r="CY142" s="65"/>
      <c r="CZ142" s="64">
        <f t="shared" si="130"/>
        <v>0</v>
      </c>
      <c r="DA142" s="28"/>
      <c r="DB142" s="28"/>
      <c r="DC142" s="65"/>
      <c r="DD142" s="64">
        <f t="shared" si="131"/>
        <v>0</v>
      </c>
      <c r="DE142" s="28"/>
      <c r="DF142" s="28"/>
      <c r="DG142" s="65"/>
      <c r="DH142" s="64">
        <f t="shared" si="132"/>
        <v>0</v>
      </c>
      <c r="DI142" s="28"/>
      <c r="DJ142" s="28"/>
      <c r="DK142" s="65"/>
      <c r="DL142" s="64">
        <f t="shared" si="133"/>
        <v>0</v>
      </c>
      <c r="DM142" s="28"/>
      <c r="DN142" s="28"/>
      <c r="DO142" s="65"/>
      <c r="DP142" s="64">
        <f t="shared" si="134"/>
        <v>0</v>
      </c>
      <c r="DQ142" s="28"/>
      <c r="DR142" s="28"/>
      <c r="DS142" s="65"/>
      <c r="DT142" s="64">
        <f t="shared" si="135"/>
        <v>0</v>
      </c>
      <c r="DU142" s="28"/>
      <c r="DV142" s="28"/>
      <c r="DW142" s="65"/>
      <c r="DX142" s="30">
        <f t="shared" si="136"/>
        <v>0</v>
      </c>
      <c r="DY142" s="4"/>
      <c r="DZ142" s="4"/>
      <c r="EA142" s="4"/>
      <c r="EB142" s="9">
        <f>D142*'MASTER SHEET'!D142</f>
        <v>0</v>
      </c>
      <c r="EC142" s="9">
        <f>H142*'MASTER SHEET'!D142</f>
        <v>0</v>
      </c>
      <c r="ED142" s="9">
        <f>L142*'MASTER SHEET'!D142</f>
        <v>0</v>
      </c>
      <c r="EE142" s="9">
        <f>P142*'MASTER SHEET'!D142</f>
        <v>0</v>
      </c>
      <c r="EF142" s="9">
        <f>T142*'MASTER SHEET'!D142</f>
        <v>0</v>
      </c>
      <c r="EG142" s="9">
        <f>X142*'MASTER SHEET'!D142</f>
        <v>0</v>
      </c>
      <c r="EH142" s="9">
        <f>AB142*'MASTER SHEET'!D142</f>
        <v>0</v>
      </c>
      <c r="EI142" s="9">
        <f>AF142*'MASTER SHEET'!D142</f>
        <v>0</v>
      </c>
      <c r="EJ142" s="9">
        <f>AJ142*'MASTER SHEET'!D142</f>
        <v>0</v>
      </c>
      <c r="EK142" s="9">
        <f>AN142*'MASTER SHEET'!D142</f>
        <v>0</v>
      </c>
      <c r="EL142" s="9">
        <f>AR142*'MASTER SHEET'!D142</f>
        <v>0</v>
      </c>
      <c r="EM142" s="9">
        <f>AV142*'MASTER SHEET'!D142</f>
        <v>0</v>
      </c>
      <c r="EN142" s="9">
        <f>AZ142*'MASTER SHEET'!D142</f>
        <v>0</v>
      </c>
      <c r="EO142" s="9">
        <f>BD142*'MASTER SHEET'!D142</f>
        <v>0</v>
      </c>
      <c r="EP142" s="9">
        <f>BH142*'MASTER SHEET'!D142</f>
        <v>0</v>
      </c>
      <c r="EQ142" s="9">
        <f>BL142*'MASTER SHEET'!D142</f>
        <v>0</v>
      </c>
      <c r="ER142" s="9">
        <f>BP142*'MASTER SHEET'!D142</f>
        <v>0</v>
      </c>
      <c r="ES142" s="9">
        <f>BT142*'MASTER SHEET'!D142</f>
        <v>0</v>
      </c>
      <c r="ET142" s="9">
        <f>BX142*'MASTER SHEET'!D142</f>
        <v>0</v>
      </c>
      <c r="EU142" s="9">
        <f>CB142*'MASTER SHEET'!D142</f>
        <v>0</v>
      </c>
      <c r="EV142" s="9">
        <f>CF142*'MASTER SHEET'!D142</f>
        <v>0</v>
      </c>
      <c r="EW142" s="9">
        <f>CJ142*'MASTER SHEET'!D142</f>
        <v>0</v>
      </c>
      <c r="EX142" s="9">
        <f>CN142*'MASTER SHEET'!D142</f>
        <v>0</v>
      </c>
      <c r="EY142" s="9">
        <f>CV142*'MASTER SHEET'!D142</f>
        <v>0</v>
      </c>
      <c r="EZ142" s="9">
        <f>CV142*'MASTER SHEET'!D142</f>
        <v>0</v>
      </c>
      <c r="FA142" s="9">
        <f>CZ142*'MASTER SHEET'!D142</f>
        <v>0</v>
      </c>
      <c r="FB142" s="9">
        <f>DD142*'MASTER SHEET'!D142</f>
        <v>0</v>
      </c>
      <c r="FC142" s="9">
        <f>DH142*'MASTER SHEET'!D142</f>
        <v>0</v>
      </c>
      <c r="FD142" s="9">
        <f>DL142*'MASTER SHEET'!D142</f>
        <v>0</v>
      </c>
      <c r="FE142" s="9">
        <f>DP142*'MASTER SHEET'!D142</f>
        <v>0</v>
      </c>
      <c r="FF142" s="9">
        <f>DT142*'MASTER SHEET'!D142</f>
        <v>0</v>
      </c>
      <c r="FG142" s="9">
        <f>DX142*'MASTER SHEET'!D142</f>
        <v>0</v>
      </c>
    </row>
    <row r="143" spans="1:163" ht="20.25" x14ac:dyDescent="0.25">
      <c r="A143" s="43">
        <f>'MASTER SHEET'!A143</f>
        <v>141</v>
      </c>
      <c r="B143" s="26" t="str">
        <f>'MASTER SHEET'!B143</f>
        <v>W601 HOUSING SEAL RH</v>
      </c>
      <c r="C143" s="82" t="str">
        <f>'MASTER SHEET'!C143</f>
        <v>BC00005292</v>
      </c>
      <c r="D143" s="64"/>
      <c r="E143" s="28"/>
      <c r="F143" s="28"/>
      <c r="G143" s="65"/>
      <c r="H143" s="64">
        <f t="shared" si="106"/>
        <v>0</v>
      </c>
      <c r="I143" s="28"/>
      <c r="J143" s="28"/>
      <c r="K143" s="65"/>
      <c r="L143" s="64">
        <f t="shared" si="107"/>
        <v>0</v>
      </c>
      <c r="M143" s="28"/>
      <c r="N143" s="28"/>
      <c r="O143" s="65"/>
      <c r="P143" s="64">
        <f t="shared" si="108"/>
        <v>0</v>
      </c>
      <c r="Q143" s="28"/>
      <c r="R143" s="28"/>
      <c r="S143" s="65"/>
      <c r="T143" s="64">
        <f t="shared" si="109"/>
        <v>0</v>
      </c>
      <c r="U143" s="28"/>
      <c r="V143" s="28"/>
      <c r="W143" s="65"/>
      <c r="X143" s="64">
        <f t="shared" si="110"/>
        <v>0</v>
      </c>
      <c r="Y143" s="28"/>
      <c r="Z143" s="28"/>
      <c r="AA143" s="65"/>
      <c r="AB143" s="64">
        <f t="shared" si="111"/>
        <v>0</v>
      </c>
      <c r="AC143" s="28"/>
      <c r="AD143" s="28"/>
      <c r="AE143" s="65"/>
      <c r="AF143" s="64">
        <f t="shared" si="112"/>
        <v>0</v>
      </c>
      <c r="AG143" s="28"/>
      <c r="AH143" s="28"/>
      <c r="AI143" s="65"/>
      <c r="AJ143" s="64">
        <f t="shared" si="113"/>
        <v>0</v>
      </c>
      <c r="AK143" s="28"/>
      <c r="AL143" s="28"/>
      <c r="AM143" s="65"/>
      <c r="AN143" s="64">
        <f t="shared" si="114"/>
        <v>0</v>
      </c>
      <c r="AO143" s="28"/>
      <c r="AP143" s="28"/>
      <c r="AQ143" s="65"/>
      <c r="AR143" s="64">
        <f t="shared" si="115"/>
        <v>0</v>
      </c>
      <c r="AS143" s="28"/>
      <c r="AT143" s="28"/>
      <c r="AU143" s="65"/>
      <c r="AV143" s="64">
        <f t="shared" si="116"/>
        <v>0</v>
      </c>
      <c r="AW143" s="28"/>
      <c r="AX143" s="28"/>
      <c r="AY143" s="65"/>
      <c r="AZ143" s="64">
        <f t="shared" si="117"/>
        <v>0</v>
      </c>
      <c r="BA143" s="28"/>
      <c r="BB143" s="28"/>
      <c r="BC143" s="65"/>
      <c r="BD143" s="64">
        <f t="shared" si="118"/>
        <v>0</v>
      </c>
      <c r="BE143" s="28"/>
      <c r="BF143" s="28"/>
      <c r="BG143" s="65"/>
      <c r="BH143" s="64">
        <f t="shared" si="119"/>
        <v>0</v>
      </c>
      <c r="BI143" s="28"/>
      <c r="BJ143" s="28"/>
      <c r="BK143" s="65"/>
      <c r="BL143" s="64">
        <f t="shared" si="120"/>
        <v>0</v>
      </c>
      <c r="BM143" s="28"/>
      <c r="BN143" s="28"/>
      <c r="BO143" s="65"/>
      <c r="BP143" s="64">
        <f t="shared" si="121"/>
        <v>0</v>
      </c>
      <c r="BQ143" s="28"/>
      <c r="BR143" s="28"/>
      <c r="BS143" s="65"/>
      <c r="BT143" s="64">
        <f t="shared" si="122"/>
        <v>0</v>
      </c>
      <c r="BU143" s="28"/>
      <c r="BV143" s="28"/>
      <c r="BW143" s="65"/>
      <c r="BX143" s="64">
        <f t="shared" si="123"/>
        <v>0</v>
      </c>
      <c r="BY143" s="28"/>
      <c r="BZ143" s="28"/>
      <c r="CA143" s="65"/>
      <c r="CB143" s="64">
        <f t="shared" si="124"/>
        <v>0</v>
      </c>
      <c r="CC143" s="28"/>
      <c r="CD143" s="28"/>
      <c r="CE143" s="65"/>
      <c r="CF143" s="64">
        <f t="shared" si="125"/>
        <v>0</v>
      </c>
      <c r="CG143" s="28"/>
      <c r="CH143" s="28"/>
      <c r="CI143" s="65"/>
      <c r="CJ143" s="64">
        <f t="shared" si="126"/>
        <v>0</v>
      </c>
      <c r="CK143" s="28"/>
      <c r="CL143" s="28"/>
      <c r="CM143" s="65"/>
      <c r="CN143" s="64">
        <f t="shared" si="127"/>
        <v>0</v>
      </c>
      <c r="CO143" s="28"/>
      <c r="CP143" s="28"/>
      <c r="CQ143" s="65"/>
      <c r="CR143" s="64">
        <f t="shared" si="128"/>
        <v>0</v>
      </c>
      <c r="CS143" s="28"/>
      <c r="CT143" s="28"/>
      <c r="CU143" s="65"/>
      <c r="CV143" s="64">
        <f t="shared" si="129"/>
        <v>0</v>
      </c>
      <c r="CW143" s="28"/>
      <c r="CX143" s="28"/>
      <c r="CY143" s="65"/>
      <c r="CZ143" s="64">
        <f t="shared" si="130"/>
        <v>0</v>
      </c>
      <c r="DA143" s="28"/>
      <c r="DB143" s="28"/>
      <c r="DC143" s="65"/>
      <c r="DD143" s="64">
        <f t="shared" si="131"/>
        <v>0</v>
      </c>
      <c r="DE143" s="28"/>
      <c r="DF143" s="28"/>
      <c r="DG143" s="65"/>
      <c r="DH143" s="64">
        <f t="shared" si="132"/>
        <v>0</v>
      </c>
      <c r="DI143" s="28"/>
      <c r="DJ143" s="28"/>
      <c r="DK143" s="65"/>
      <c r="DL143" s="64">
        <f t="shared" si="133"/>
        <v>0</v>
      </c>
      <c r="DM143" s="28"/>
      <c r="DN143" s="28"/>
      <c r="DO143" s="65"/>
      <c r="DP143" s="64">
        <f t="shared" si="134"/>
        <v>0</v>
      </c>
      <c r="DQ143" s="28"/>
      <c r="DR143" s="28"/>
      <c r="DS143" s="65"/>
      <c r="DT143" s="64">
        <f t="shared" si="135"/>
        <v>0</v>
      </c>
      <c r="DU143" s="28"/>
      <c r="DV143" s="28"/>
      <c r="DW143" s="65"/>
      <c r="DX143" s="30">
        <f t="shared" si="136"/>
        <v>0</v>
      </c>
      <c r="DY143" s="4"/>
      <c r="DZ143" s="4"/>
      <c r="EA143" s="4"/>
      <c r="EB143" s="9">
        <f>D143*'MASTER SHEET'!D143</f>
        <v>0</v>
      </c>
      <c r="EC143" s="9">
        <f>H143*'MASTER SHEET'!D143</f>
        <v>0</v>
      </c>
      <c r="ED143" s="9">
        <f>L143*'MASTER SHEET'!D143</f>
        <v>0</v>
      </c>
      <c r="EE143" s="9">
        <f>P143*'MASTER SHEET'!D143</f>
        <v>0</v>
      </c>
      <c r="EF143" s="9">
        <f>T143*'MASTER SHEET'!D143</f>
        <v>0</v>
      </c>
      <c r="EG143" s="9">
        <f>X143*'MASTER SHEET'!D143</f>
        <v>0</v>
      </c>
      <c r="EH143" s="9">
        <f>AB143*'MASTER SHEET'!D143</f>
        <v>0</v>
      </c>
      <c r="EI143" s="9">
        <f>AF143*'MASTER SHEET'!D143</f>
        <v>0</v>
      </c>
      <c r="EJ143" s="9">
        <f>AJ143*'MASTER SHEET'!D143</f>
        <v>0</v>
      </c>
      <c r="EK143" s="9">
        <f>AN143*'MASTER SHEET'!D143</f>
        <v>0</v>
      </c>
      <c r="EL143" s="9">
        <f>AR143*'MASTER SHEET'!D143</f>
        <v>0</v>
      </c>
      <c r="EM143" s="9">
        <f>AV143*'MASTER SHEET'!D143</f>
        <v>0</v>
      </c>
      <c r="EN143" s="9">
        <f>AZ143*'MASTER SHEET'!D143</f>
        <v>0</v>
      </c>
      <c r="EO143" s="9">
        <f>BD143*'MASTER SHEET'!D143</f>
        <v>0</v>
      </c>
      <c r="EP143" s="9">
        <f>BH143*'MASTER SHEET'!D143</f>
        <v>0</v>
      </c>
      <c r="EQ143" s="9">
        <f>BL143*'MASTER SHEET'!D143</f>
        <v>0</v>
      </c>
      <c r="ER143" s="9">
        <f>BP143*'MASTER SHEET'!D143</f>
        <v>0</v>
      </c>
      <c r="ES143" s="9">
        <f>BT143*'MASTER SHEET'!D143</f>
        <v>0</v>
      </c>
      <c r="ET143" s="9">
        <f>BX143*'MASTER SHEET'!D143</f>
        <v>0</v>
      </c>
      <c r="EU143" s="9">
        <f>CB143*'MASTER SHEET'!D143</f>
        <v>0</v>
      </c>
      <c r="EV143" s="9">
        <f>CF143*'MASTER SHEET'!D143</f>
        <v>0</v>
      </c>
      <c r="EW143" s="9">
        <f>CJ143*'MASTER SHEET'!D143</f>
        <v>0</v>
      </c>
      <c r="EX143" s="9">
        <f>CN143*'MASTER SHEET'!D143</f>
        <v>0</v>
      </c>
      <c r="EY143" s="9">
        <f>CV143*'MASTER SHEET'!D143</f>
        <v>0</v>
      </c>
      <c r="EZ143" s="9">
        <f>CV143*'MASTER SHEET'!D143</f>
        <v>0</v>
      </c>
      <c r="FA143" s="9">
        <f>CZ143*'MASTER SHEET'!D143</f>
        <v>0</v>
      </c>
      <c r="FB143" s="9">
        <f>DD143*'MASTER SHEET'!D143</f>
        <v>0</v>
      </c>
      <c r="FC143" s="9">
        <f>DH143*'MASTER SHEET'!D143</f>
        <v>0</v>
      </c>
      <c r="FD143" s="9">
        <f>DL143*'MASTER SHEET'!D143</f>
        <v>0</v>
      </c>
      <c r="FE143" s="9">
        <f>DP143*'MASTER SHEET'!D143</f>
        <v>0</v>
      </c>
      <c r="FF143" s="9">
        <f>DT143*'MASTER SHEET'!D143</f>
        <v>0</v>
      </c>
      <c r="FG143" s="9">
        <f>DX143*'MASTER SHEET'!D143</f>
        <v>0</v>
      </c>
    </row>
    <row r="144" spans="1:163" ht="20.25" x14ac:dyDescent="0.25">
      <c r="A144" s="43">
        <f>'MASTER SHEET'!A144</f>
        <v>142</v>
      </c>
      <c r="B144" s="26" t="str">
        <f>'MASTER SHEET'!B144</f>
        <v>CLAMP BRAKE PIPE</v>
      </c>
      <c r="C144" s="82">
        <f>'MASTER SHEET'!C144</f>
        <v>62598</v>
      </c>
      <c r="D144" s="64"/>
      <c r="E144" s="28"/>
      <c r="F144" s="28"/>
      <c r="G144" s="65"/>
      <c r="H144" s="64">
        <f t="shared" si="106"/>
        <v>0</v>
      </c>
      <c r="I144" s="28"/>
      <c r="J144" s="28"/>
      <c r="K144" s="65"/>
      <c r="L144" s="64">
        <f t="shared" si="107"/>
        <v>0</v>
      </c>
      <c r="M144" s="28"/>
      <c r="N144" s="28"/>
      <c r="O144" s="65"/>
      <c r="P144" s="64">
        <f t="shared" si="108"/>
        <v>0</v>
      </c>
      <c r="Q144" s="28"/>
      <c r="R144" s="28"/>
      <c r="S144" s="65"/>
      <c r="T144" s="64">
        <f t="shared" si="109"/>
        <v>0</v>
      </c>
      <c r="U144" s="28"/>
      <c r="V144" s="28"/>
      <c r="W144" s="65"/>
      <c r="X144" s="64">
        <f t="shared" si="110"/>
        <v>0</v>
      </c>
      <c r="Y144" s="28"/>
      <c r="Z144" s="28"/>
      <c r="AA144" s="65"/>
      <c r="AB144" s="64">
        <f t="shared" si="111"/>
        <v>0</v>
      </c>
      <c r="AC144" s="28"/>
      <c r="AD144" s="28"/>
      <c r="AE144" s="65"/>
      <c r="AF144" s="64">
        <f t="shared" si="112"/>
        <v>0</v>
      </c>
      <c r="AG144" s="28"/>
      <c r="AH144" s="28"/>
      <c r="AI144" s="65"/>
      <c r="AJ144" s="64">
        <f t="shared" si="113"/>
        <v>0</v>
      </c>
      <c r="AK144" s="28"/>
      <c r="AL144" s="28"/>
      <c r="AM144" s="65"/>
      <c r="AN144" s="64">
        <f t="shared" si="114"/>
        <v>0</v>
      </c>
      <c r="AO144" s="28"/>
      <c r="AP144" s="28"/>
      <c r="AQ144" s="65"/>
      <c r="AR144" s="64">
        <f t="shared" si="115"/>
        <v>0</v>
      </c>
      <c r="AS144" s="28"/>
      <c r="AT144" s="28"/>
      <c r="AU144" s="65"/>
      <c r="AV144" s="64">
        <f t="shared" si="116"/>
        <v>0</v>
      </c>
      <c r="AW144" s="28"/>
      <c r="AX144" s="28"/>
      <c r="AY144" s="65"/>
      <c r="AZ144" s="64">
        <f t="shared" si="117"/>
        <v>0</v>
      </c>
      <c r="BA144" s="28"/>
      <c r="BB144" s="28"/>
      <c r="BC144" s="65"/>
      <c r="BD144" s="64">
        <f t="shared" si="118"/>
        <v>0</v>
      </c>
      <c r="BE144" s="28"/>
      <c r="BF144" s="28"/>
      <c r="BG144" s="65"/>
      <c r="BH144" s="64">
        <f t="shared" si="119"/>
        <v>0</v>
      </c>
      <c r="BI144" s="28"/>
      <c r="BJ144" s="28"/>
      <c r="BK144" s="65"/>
      <c r="BL144" s="64">
        <f t="shared" si="120"/>
        <v>0</v>
      </c>
      <c r="BM144" s="28"/>
      <c r="BN144" s="28"/>
      <c r="BO144" s="65"/>
      <c r="BP144" s="64">
        <f t="shared" si="121"/>
        <v>0</v>
      </c>
      <c r="BQ144" s="28"/>
      <c r="BR144" s="28"/>
      <c r="BS144" s="65"/>
      <c r="BT144" s="64">
        <f t="shared" si="122"/>
        <v>0</v>
      </c>
      <c r="BU144" s="28"/>
      <c r="BV144" s="28"/>
      <c r="BW144" s="65"/>
      <c r="BX144" s="64">
        <f t="shared" si="123"/>
        <v>0</v>
      </c>
      <c r="BY144" s="28"/>
      <c r="BZ144" s="28"/>
      <c r="CA144" s="65"/>
      <c r="CB144" s="64">
        <f t="shared" si="124"/>
        <v>0</v>
      </c>
      <c r="CC144" s="28"/>
      <c r="CD144" s="28"/>
      <c r="CE144" s="65"/>
      <c r="CF144" s="64">
        <f t="shared" si="125"/>
        <v>0</v>
      </c>
      <c r="CG144" s="28"/>
      <c r="CH144" s="28"/>
      <c r="CI144" s="65"/>
      <c r="CJ144" s="64">
        <f t="shared" si="126"/>
        <v>0</v>
      </c>
      <c r="CK144" s="28"/>
      <c r="CL144" s="28"/>
      <c r="CM144" s="65"/>
      <c r="CN144" s="64">
        <f t="shared" si="127"/>
        <v>0</v>
      </c>
      <c r="CO144" s="28"/>
      <c r="CP144" s="28"/>
      <c r="CQ144" s="65"/>
      <c r="CR144" s="64">
        <f t="shared" si="128"/>
        <v>0</v>
      </c>
      <c r="CS144" s="28"/>
      <c r="CT144" s="28"/>
      <c r="CU144" s="65"/>
      <c r="CV144" s="64">
        <f t="shared" si="129"/>
        <v>0</v>
      </c>
      <c r="CW144" s="28"/>
      <c r="CX144" s="28"/>
      <c r="CY144" s="65"/>
      <c r="CZ144" s="64">
        <f t="shared" si="130"/>
        <v>0</v>
      </c>
      <c r="DA144" s="28"/>
      <c r="DB144" s="28"/>
      <c r="DC144" s="65"/>
      <c r="DD144" s="64">
        <f t="shared" si="131"/>
        <v>0</v>
      </c>
      <c r="DE144" s="28"/>
      <c r="DF144" s="28"/>
      <c r="DG144" s="65"/>
      <c r="DH144" s="64">
        <f t="shared" si="132"/>
        <v>0</v>
      </c>
      <c r="DI144" s="28"/>
      <c r="DJ144" s="28"/>
      <c r="DK144" s="65"/>
      <c r="DL144" s="64">
        <f t="shared" si="133"/>
        <v>0</v>
      </c>
      <c r="DM144" s="28"/>
      <c r="DN144" s="28"/>
      <c r="DO144" s="65"/>
      <c r="DP144" s="64">
        <f t="shared" si="134"/>
        <v>0</v>
      </c>
      <c r="DQ144" s="28"/>
      <c r="DR144" s="28"/>
      <c r="DS144" s="65"/>
      <c r="DT144" s="64">
        <f t="shared" si="135"/>
        <v>0</v>
      </c>
      <c r="DU144" s="28"/>
      <c r="DV144" s="28"/>
      <c r="DW144" s="65"/>
      <c r="DX144" s="30">
        <f t="shared" si="136"/>
        <v>0</v>
      </c>
      <c r="DY144" s="4"/>
      <c r="DZ144" s="4"/>
      <c r="EA144" s="4"/>
      <c r="EB144" s="9">
        <f>D144*'MASTER SHEET'!D144</f>
        <v>0</v>
      </c>
      <c r="EC144" s="9">
        <f>H144*'MASTER SHEET'!D144</f>
        <v>0</v>
      </c>
      <c r="ED144" s="9">
        <f>L144*'MASTER SHEET'!D144</f>
        <v>0</v>
      </c>
      <c r="EE144" s="9">
        <f>P144*'MASTER SHEET'!D144</f>
        <v>0</v>
      </c>
      <c r="EF144" s="9">
        <f>T144*'MASTER SHEET'!D144</f>
        <v>0</v>
      </c>
      <c r="EG144" s="9">
        <f>X144*'MASTER SHEET'!D144</f>
        <v>0</v>
      </c>
      <c r="EH144" s="9">
        <f>AB144*'MASTER SHEET'!D144</f>
        <v>0</v>
      </c>
      <c r="EI144" s="9">
        <f>AF144*'MASTER SHEET'!D144</f>
        <v>0</v>
      </c>
      <c r="EJ144" s="9">
        <f>AJ144*'MASTER SHEET'!D144</f>
        <v>0</v>
      </c>
      <c r="EK144" s="9">
        <f>AN144*'MASTER SHEET'!D144</f>
        <v>0</v>
      </c>
      <c r="EL144" s="9">
        <f>AR144*'MASTER SHEET'!D144</f>
        <v>0</v>
      </c>
      <c r="EM144" s="9">
        <f>AV144*'MASTER SHEET'!D144</f>
        <v>0</v>
      </c>
      <c r="EN144" s="9">
        <f>AZ144*'MASTER SHEET'!D144</f>
        <v>0</v>
      </c>
      <c r="EO144" s="9">
        <f>BD144*'MASTER SHEET'!D144</f>
        <v>0</v>
      </c>
      <c r="EP144" s="9">
        <f>BH144*'MASTER SHEET'!D144</f>
        <v>0</v>
      </c>
      <c r="EQ144" s="9">
        <f>BL144*'MASTER SHEET'!D144</f>
        <v>0</v>
      </c>
      <c r="ER144" s="9">
        <f>BP144*'MASTER SHEET'!D144</f>
        <v>0</v>
      </c>
      <c r="ES144" s="9">
        <f>BT144*'MASTER SHEET'!D144</f>
        <v>0</v>
      </c>
      <c r="ET144" s="9">
        <f>BX144*'MASTER SHEET'!D144</f>
        <v>0</v>
      </c>
      <c r="EU144" s="9">
        <f>CB144*'MASTER SHEET'!D144</f>
        <v>0</v>
      </c>
      <c r="EV144" s="9">
        <f>CF144*'MASTER SHEET'!D144</f>
        <v>0</v>
      </c>
      <c r="EW144" s="9">
        <f>CJ144*'MASTER SHEET'!D144</f>
        <v>0</v>
      </c>
      <c r="EX144" s="9">
        <f>CN144*'MASTER SHEET'!D144</f>
        <v>0</v>
      </c>
      <c r="EY144" s="9">
        <f>CV144*'MASTER SHEET'!D144</f>
        <v>0</v>
      </c>
      <c r="EZ144" s="9">
        <f>CV144*'MASTER SHEET'!D144</f>
        <v>0</v>
      </c>
      <c r="FA144" s="9">
        <f>CZ144*'MASTER SHEET'!D144</f>
        <v>0</v>
      </c>
      <c r="FB144" s="9">
        <f>DD144*'MASTER SHEET'!D144</f>
        <v>0</v>
      </c>
      <c r="FC144" s="9">
        <f>DH144*'MASTER SHEET'!D144</f>
        <v>0</v>
      </c>
      <c r="FD144" s="9">
        <f>DL144*'MASTER SHEET'!D144</f>
        <v>0</v>
      </c>
      <c r="FE144" s="9">
        <f>DP144*'MASTER SHEET'!D144</f>
        <v>0</v>
      </c>
      <c r="FF144" s="9">
        <f>DT144*'MASTER SHEET'!D144</f>
        <v>0</v>
      </c>
      <c r="FG144" s="9">
        <f>DX144*'MASTER SHEET'!D144</f>
        <v>0</v>
      </c>
    </row>
    <row r="145" spans="1:163" ht="20.25" x14ac:dyDescent="0.25">
      <c r="A145" s="43">
        <f>'MASTER SHEET'!A145</f>
        <v>143</v>
      </c>
      <c r="B145" s="26" t="str">
        <f>'MASTER SHEET'!B145</f>
        <v>CLAMP BRAKE PIPE</v>
      </c>
      <c r="C145" s="82">
        <f>'MASTER SHEET'!C145</f>
        <v>62129</v>
      </c>
      <c r="D145" s="64"/>
      <c r="E145" s="28"/>
      <c r="F145" s="28"/>
      <c r="G145" s="65"/>
      <c r="H145" s="64">
        <f t="shared" si="106"/>
        <v>0</v>
      </c>
      <c r="I145" s="28"/>
      <c r="J145" s="28"/>
      <c r="K145" s="65"/>
      <c r="L145" s="64">
        <f t="shared" si="107"/>
        <v>0</v>
      </c>
      <c r="M145" s="28"/>
      <c r="N145" s="28"/>
      <c r="O145" s="65"/>
      <c r="P145" s="64">
        <f t="shared" si="108"/>
        <v>0</v>
      </c>
      <c r="Q145" s="28"/>
      <c r="R145" s="28"/>
      <c r="S145" s="65"/>
      <c r="T145" s="64">
        <f t="shared" si="109"/>
        <v>0</v>
      </c>
      <c r="U145" s="28"/>
      <c r="V145" s="28"/>
      <c r="W145" s="65"/>
      <c r="X145" s="64">
        <f t="shared" si="110"/>
        <v>0</v>
      </c>
      <c r="Y145" s="28"/>
      <c r="Z145" s="28"/>
      <c r="AA145" s="65"/>
      <c r="AB145" s="64">
        <f t="shared" si="111"/>
        <v>0</v>
      </c>
      <c r="AC145" s="28"/>
      <c r="AD145" s="28"/>
      <c r="AE145" s="65"/>
      <c r="AF145" s="64">
        <f t="shared" si="112"/>
        <v>0</v>
      </c>
      <c r="AG145" s="28"/>
      <c r="AH145" s="28"/>
      <c r="AI145" s="65"/>
      <c r="AJ145" s="64">
        <f t="shared" si="113"/>
        <v>0</v>
      </c>
      <c r="AK145" s="28"/>
      <c r="AL145" s="28"/>
      <c r="AM145" s="65"/>
      <c r="AN145" s="64">
        <f t="shared" si="114"/>
        <v>0</v>
      </c>
      <c r="AO145" s="28"/>
      <c r="AP145" s="28"/>
      <c r="AQ145" s="65"/>
      <c r="AR145" s="64">
        <f t="shared" si="115"/>
        <v>0</v>
      </c>
      <c r="AS145" s="28"/>
      <c r="AT145" s="28"/>
      <c r="AU145" s="65"/>
      <c r="AV145" s="64">
        <f t="shared" si="116"/>
        <v>0</v>
      </c>
      <c r="AW145" s="28"/>
      <c r="AX145" s="28"/>
      <c r="AY145" s="65"/>
      <c r="AZ145" s="64">
        <f t="shared" si="117"/>
        <v>0</v>
      </c>
      <c r="BA145" s="28"/>
      <c r="BB145" s="28"/>
      <c r="BC145" s="65"/>
      <c r="BD145" s="64">
        <f t="shared" si="118"/>
        <v>0</v>
      </c>
      <c r="BE145" s="28"/>
      <c r="BF145" s="28"/>
      <c r="BG145" s="65"/>
      <c r="BH145" s="64">
        <f t="shared" si="119"/>
        <v>0</v>
      </c>
      <c r="BI145" s="28"/>
      <c r="BJ145" s="28"/>
      <c r="BK145" s="65"/>
      <c r="BL145" s="64">
        <f t="shared" si="120"/>
        <v>0</v>
      </c>
      <c r="BM145" s="28"/>
      <c r="BN145" s="28"/>
      <c r="BO145" s="65"/>
      <c r="BP145" s="64">
        <f t="shared" si="121"/>
        <v>0</v>
      </c>
      <c r="BQ145" s="28"/>
      <c r="BR145" s="28"/>
      <c r="BS145" s="65"/>
      <c r="BT145" s="64">
        <f t="shared" si="122"/>
        <v>0</v>
      </c>
      <c r="BU145" s="28"/>
      <c r="BV145" s="28"/>
      <c r="BW145" s="65"/>
      <c r="BX145" s="64">
        <f t="shared" si="123"/>
        <v>0</v>
      </c>
      <c r="BY145" s="28"/>
      <c r="BZ145" s="28"/>
      <c r="CA145" s="65"/>
      <c r="CB145" s="64">
        <f t="shared" si="124"/>
        <v>0</v>
      </c>
      <c r="CC145" s="28"/>
      <c r="CD145" s="28"/>
      <c r="CE145" s="65"/>
      <c r="CF145" s="64">
        <f t="shared" si="125"/>
        <v>0</v>
      </c>
      <c r="CG145" s="28"/>
      <c r="CH145" s="28"/>
      <c r="CI145" s="65"/>
      <c r="CJ145" s="64">
        <f t="shared" si="126"/>
        <v>0</v>
      </c>
      <c r="CK145" s="28"/>
      <c r="CL145" s="28"/>
      <c r="CM145" s="65"/>
      <c r="CN145" s="64">
        <f t="shared" si="127"/>
        <v>0</v>
      </c>
      <c r="CO145" s="28"/>
      <c r="CP145" s="28"/>
      <c r="CQ145" s="65"/>
      <c r="CR145" s="64">
        <f t="shared" si="128"/>
        <v>0</v>
      </c>
      <c r="CS145" s="28"/>
      <c r="CT145" s="28"/>
      <c r="CU145" s="65"/>
      <c r="CV145" s="64">
        <f t="shared" si="129"/>
        <v>0</v>
      </c>
      <c r="CW145" s="28"/>
      <c r="CX145" s="28"/>
      <c r="CY145" s="65"/>
      <c r="CZ145" s="64">
        <f t="shared" si="130"/>
        <v>0</v>
      </c>
      <c r="DA145" s="28"/>
      <c r="DB145" s="28"/>
      <c r="DC145" s="65"/>
      <c r="DD145" s="64">
        <f t="shared" si="131"/>
        <v>0</v>
      </c>
      <c r="DE145" s="28"/>
      <c r="DF145" s="28"/>
      <c r="DG145" s="65"/>
      <c r="DH145" s="64">
        <f t="shared" si="132"/>
        <v>0</v>
      </c>
      <c r="DI145" s="28"/>
      <c r="DJ145" s="28"/>
      <c r="DK145" s="65"/>
      <c r="DL145" s="64">
        <f t="shared" si="133"/>
        <v>0</v>
      </c>
      <c r="DM145" s="28"/>
      <c r="DN145" s="28"/>
      <c r="DO145" s="65"/>
      <c r="DP145" s="64">
        <f t="shared" si="134"/>
        <v>0</v>
      </c>
      <c r="DQ145" s="28"/>
      <c r="DR145" s="28"/>
      <c r="DS145" s="65"/>
      <c r="DT145" s="64">
        <f t="shared" si="135"/>
        <v>0</v>
      </c>
      <c r="DU145" s="28"/>
      <c r="DV145" s="28"/>
      <c r="DW145" s="65"/>
      <c r="DX145" s="30">
        <f t="shared" si="136"/>
        <v>0</v>
      </c>
      <c r="DY145" s="4"/>
      <c r="DZ145" s="4"/>
      <c r="EA145" s="4"/>
      <c r="EB145" s="9">
        <f>D145*'MASTER SHEET'!D145</f>
        <v>0</v>
      </c>
      <c r="EC145" s="9">
        <f>H145*'MASTER SHEET'!D145</f>
        <v>0</v>
      </c>
      <c r="ED145" s="9">
        <f>L145*'MASTER SHEET'!D145</f>
        <v>0</v>
      </c>
      <c r="EE145" s="9">
        <f>P145*'MASTER SHEET'!D145</f>
        <v>0</v>
      </c>
      <c r="EF145" s="9">
        <f>T145*'MASTER SHEET'!D145</f>
        <v>0</v>
      </c>
      <c r="EG145" s="9">
        <f>X145*'MASTER SHEET'!D145</f>
        <v>0</v>
      </c>
      <c r="EH145" s="9">
        <f>AB145*'MASTER SHEET'!D145</f>
        <v>0</v>
      </c>
      <c r="EI145" s="9">
        <f>AF145*'MASTER SHEET'!D145</f>
        <v>0</v>
      </c>
      <c r="EJ145" s="9">
        <f>AJ145*'MASTER SHEET'!D145</f>
        <v>0</v>
      </c>
      <c r="EK145" s="9">
        <f>AN145*'MASTER SHEET'!D145</f>
        <v>0</v>
      </c>
      <c r="EL145" s="9">
        <f>AR145*'MASTER SHEET'!D145</f>
        <v>0</v>
      </c>
      <c r="EM145" s="9">
        <f>AV145*'MASTER SHEET'!D145</f>
        <v>0</v>
      </c>
      <c r="EN145" s="9">
        <f>AZ145*'MASTER SHEET'!D145</f>
        <v>0</v>
      </c>
      <c r="EO145" s="9">
        <f>BD145*'MASTER SHEET'!D145</f>
        <v>0</v>
      </c>
      <c r="EP145" s="9">
        <f>BH145*'MASTER SHEET'!D145</f>
        <v>0</v>
      </c>
      <c r="EQ145" s="9">
        <f>BL145*'MASTER SHEET'!D145</f>
        <v>0</v>
      </c>
      <c r="ER145" s="9">
        <f>BP145*'MASTER SHEET'!D145</f>
        <v>0</v>
      </c>
      <c r="ES145" s="9">
        <f>BT145*'MASTER SHEET'!D145</f>
        <v>0</v>
      </c>
      <c r="ET145" s="9">
        <f>BX145*'MASTER SHEET'!D145</f>
        <v>0</v>
      </c>
      <c r="EU145" s="9">
        <f>CB145*'MASTER SHEET'!D145</f>
        <v>0</v>
      </c>
      <c r="EV145" s="9">
        <f>CF145*'MASTER SHEET'!D145</f>
        <v>0</v>
      </c>
      <c r="EW145" s="9">
        <f>CJ145*'MASTER SHEET'!D145</f>
        <v>0</v>
      </c>
      <c r="EX145" s="9">
        <f>CN145*'MASTER SHEET'!D145</f>
        <v>0</v>
      </c>
      <c r="EY145" s="9">
        <f>CV145*'MASTER SHEET'!D145</f>
        <v>0</v>
      </c>
      <c r="EZ145" s="9">
        <f>CV145*'MASTER SHEET'!D145</f>
        <v>0</v>
      </c>
      <c r="FA145" s="9">
        <f>CZ145*'MASTER SHEET'!D145</f>
        <v>0</v>
      </c>
      <c r="FB145" s="9">
        <f>DD145*'MASTER SHEET'!D145</f>
        <v>0</v>
      </c>
      <c r="FC145" s="9">
        <f>DH145*'MASTER SHEET'!D145</f>
        <v>0</v>
      </c>
      <c r="FD145" s="9">
        <f>DL145*'MASTER SHEET'!D145</f>
        <v>0</v>
      </c>
      <c r="FE145" s="9">
        <f>DP145*'MASTER SHEET'!D145</f>
        <v>0</v>
      </c>
      <c r="FF145" s="9">
        <f>DT145*'MASTER SHEET'!D145</f>
        <v>0</v>
      </c>
      <c r="FG145" s="9">
        <f>DX145*'MASTER SHEET'!D145</f>
        <v>0</v>
      </c>
    </row>
    <row r="146" spans="1:163" ht="20.25" x14ac:dyDescent="0.25">
      <c r="A146" s="43">
        <f>'MASTER SHEET'!A146</f>
        <v>144</v>
      </c>
      <c r="B146" s="26" t="str">
        <f>'MASTER SHEET'!B146</f>
        <v>CLAMP BK PIPE DASH TRIPLE</v>
      </c>
      <c r="C146" s="82">
        <f>'MASTER SHEET'!C146</f>
        <v>62437</v>
      </c>
      <c r="D146" s="64"/>
      <c r="E146" s="28"/>
      <c r="F146" s="28"/>
      <c r="G146" s="65"/>
      <c r="H146" s="64">
        <f t="shared" si="106"/>
        <v>0</v>
      </c>
      <c r="I146" s="28"/>
      <c r="J146" s="28"/>
      <c r="K146" s="65"/>
      <c r="L146" s="64">
        <f t="shared" si="107"/>
        <v>0</v>
      </c>
      <c r="M146" s="28"/>
      <c r="N146" s="28"/>
      <c r="O146" s="65"/>
      <c r="P146" s="64">
        <f t="shared" si="108"/>
        <v>0</v>
      </c>
      <c r="Q146" s="28"/>
      <c r="R146" s="28"/>
      <c r="S146" s="65"/>
      <c r="T146" s="64">
        <f t="shared" si="109"/>
        <v>0</v>
      </c>
      <c r="U146" s="28"/>
      <c r="V146" s="28"/>
      <c r="W146" s="65"/>
      <c r="X146" s="64">
        <f t="shared" si="110"/>
        <v>0</v>
      </c>
      <c r="Y146" s="28"/>
      <c r="Z146" s="28"/>
      <c r="AA146" s="65"/>
      <c r="AB146" s="64">
        <f t="shared" si="111"/>
        <v>0</v>
      </c>
      <c r="AC146" s="28"/>
      <c r="AD146" s="28"/>
      <c r="AE146" s="65"/>
      <c r="AF146" s="64">
        <f t="shared" si="112"/>
        <v>0</v>
      </c>
      <c r="AG146" s="28"/>
      <c r="AH146" s="28"/>
      <c r="AI146" s="65"/>
      <c r="AJ146" s="64">
        <f t="shared" si="113"/>
        <v>0</v>
      </c>
      <c r="AK146" s="28"/>
      <c r="AL146" s="28"/>
      <c r="AM146" s="65"/>
      <c r="AN146" s="64">
        <f t="shared" si="114"/>
        <v>0</v>
      </c>
      <c r="AO146" s="28"/>
      <c r="AP146" s="28"/>
      <c r="AQ146" s="65"/>
      <c r="AR146" s="64">
        <f t="shared" si="115"/>
        <v>0</v>
      </c>
      <c r="AS146" s="28"/>
      <c r="AT146" s="28"/>
      <c r="AU146" s="65"/>
      <c r="AV146" s="64">
        <f t="shared" si="116"/>
        <v>0</v>
      </c>
      <c r="AW146" s="28"/>
      <c r="AX146" s="28"/>
      <c r="AY146" s="65"/>
      <c r="AZ146" s="64">
        <f t="shared" si="117"/>
        <v>0</v>
      </c>
      <c r="BA146" s="28"/>
      <c r="BB146" s="28"/>
      <c r="BC146" s="65"/>
      <c r="BD146" s="64">
        <f t="shared" si="118"/>
        <v>0</v>
      </c>
      <c r="BE146" s="28"/>
      <c r="BF146" s="28"/>
      <c r="BG146" s="65"/>
      <c r="BH146" s="64">
        <f t="shared" si="119"/>
        <v>0</v>
      </c>
      <c r="BI146" s="28"/>
      <c r="BJ146" s="28"/>
      <c r="BK146" s="65"/>
      <c r="BL146" s="64">
        <f t="shared" si="120"/>
        <v>0</v>
      </c>
      <c r="BM146" s="28"/>
      <c r="BN146" s="28"/>
      <c r="BO146" s="65"/>
      <c r="BP146" s="64">
        <f t="shared" si="121"/>
        <v>0</v>
      </c>
      <c r="BQ146" s="28"/>
      <c r="BR146" s="28"/>
      <c r="BS146" s="65"/>
      <c r="BT146" s="64">
        <f t="shared" si="122"/>
        <v>0</v>
      </c>
      <c r="BU146" s="28"/>
      <c r="BV146" s="28"/>
      <c r="BW146" s="65"/>
      <c r="BX146" s="64">
        <f t="shared" si="123"/>
        <v>0</v>
      </c>
      <c r="BY146" s="28"/>
      <c r="BZ146" s="28"/>
      <c r="CA146" s="65"/>
      <c r="CB146" s="64">
        <f t="shared" si="124"/>
        <v>0</v>
      </c>
      <c r="CC146" s="28"/>
      <c r="CD146" s="28"/>
      <c r="CE146" s="65"/>
      <c r="CF146" s="64">
        <f t="shared" si="125"/>
        <v>0</v>
      </c>
      <c r="CG146" s="28"/>
      <c r="CH146" s="28"/>
      <c r="CI146" s="65"/>
      <c r="CJ146" s="64">
        <f t="shared" si="126"/>
        <v>0</v>
      </c>
      <c r="CK146" s="28"/>
      <c r="CL146" s="28"/>
      <c r="CM146" s="65"/>
      <c r="CN146" s="64">
        <f t="shared" si="127"/>
        <v>0</v>
      </c>
      <c r="CO146" s="28"/>
      <c r="CP146" s="28"/>
      <c r="CQ146" s="65"/>
      <c r="CR146" s="64">
        <f t="shared" si="128"/>
        <v>0</v>
      </c>
      <c r="CS146" s="28"/>
      <c r="CT146" s="28"/>
      <c r="CU146" s="65"/>
      <c r="CV146" s="64">
        <f t="shared" si="129"/>
        <v>0</v>
      </c>
      <c r="CW146" s="28"/>
      <c r="CX146" s="28"/>
      <c r="CY146" s="65"/>
      <c r="CZ146" s="64">
        <f t="shared" si="130"/>
        <v>0</v>
      </c>
      <c r="DA146" s="28"/>
      <c r="DB146" s="28"/>
      <c r="DC146" s="65"/>
      <c r="DD146" s="64">
        <f t="shared" si="131"/>
        <v>0</v>
      </c>
      <c r="DE146" s="28"/>
      <c r="DF146" s="28"/>
      <c r="DG146" s="65"/>
      <c r="DH146" s="64">
        <f t="shared" si="132"/>
        <v>0</v>
      </c>
      <c r="DI146" s="28"/>
      <c r="DJ146" s="28"/>
      <c r="DK146" s="65"/>
      <c r="DL146" s="64">
        <f t="shared" si="133"/>
        <v>0</v>
      </c>
      <c r="DM146" s="28"/>
      <c r="DN146" s="28"/>
      <c r="DO146" s="65"/>
      <c r="DP146" s="64">
        <f t="shared" si="134"/>
        <v>0</v>
      </c>
      <c r="DQ146" s="28"/>
      <c r="DR146" s="28"/>
      <c r="DS146" s="65"/>
      <c r="DT146" s="64">
        <f t="shared" si="135"/>
        <v>0</v>
      </c>
      <c r="DU146" s="28"/>
      <c r="DV146" s="28"/>
      <c r="DW146" s="65"/>
      <c r="DX146" s="30">
        <f t="shared" si="136"/>
        <v>0</v>
      </c>
      <c r="DY146" s="4"/>
      <c r="DZ146" s="4"/>
      <c r="EA146" s="4"/>
      <c r="EB146" s="9">
        <f>D146*'MASTER SHEET'!D146</f>
        <v>0</v>
      </c>
      <c r="EC146" s="9">
        <f>H146*'MASTER SHEET'!D146</f>
        <v>0</v>
      </c>
      <c r="ED146" s="9">
        <f>L146*'MASTER SHEET'!D146</f>
        <v>0</v>
      </c>
      <c r="EE146" s="9">
        <f>P146*'MASTER SHEET'!D146</f>
        <v>0</v>
      </c>
      <c r="EF146" s="9">
        <f>T146*'MASTER SHEET'!D146</f>
        <v>0</v>
      </c>
      <c r="EG146" s="9">
        <f>X146*'MASTER SHEET'!D146</f>
        <v>0</v>
      </c>
      <c r="EH146" s="9">
        <f>AB146*'MASTER SHEET'!D146</f>
        <v>0</v>
      </c>
      <c r="EI146" s="9">
        <f>AF146*'MASTER SHEET'!D146</f>
        <v>0</v>
      </c>
      <c r="EJ146" s="9">
        <f>AJ146*'MASTER SHEET'!D146</f>
        <v>0</v>
      </c>
      <c r="EK146" s="9">
        <f>AN146*'MASTER SHEET'!D146</f>
        <v>0</v>
      </c>
      <c r="EL146" s="9">
        <f>AR146*'MASTER SHEET'!D146</f>
        <v>0</v>
      </c>
      <c r="EM146" s="9">
        <f>AV146*'MASTER SHEET'!D146</f>
        <v>0</v>
      </c>
      <c r="EN146" s="9">
        <f>AZ146*'MASTER SHEET'!D146</f>
        <v>0</v>
      </c>
      <c r="EO146" s="9">
        <f>BD146*'MASTER SHEET'!D146</f>
        <v>0</v>
      </c>
      <c r="EP146" s="9">
        <f>BH146*'MASTER SHEET'!D146</f>
        <v>0</v>
      </c>
      <c r="EQ146" s="9">
        <f>BL146*'MASTER SHEET'!D146</f>
        <v>0</v>
      </c>
      <c r="ER146" s="9">
        <f>BP146*'MASTER SHEET'!D146</f>
        <v>0</v>
      </c>
      <c r="ES146" s="9">
        <f>BT146*'MASTER SHEET'!D146</f>
        <v>0</v>
      </c>
      <c r="ET146" s="9">
        <f>BX146*'MASTER SHEET'!D146</f>
        <v>0</v>
      </c>
      <c r="EU146" s="9">
        <f>CB146*'MASTER SHEET'!D146</f>
        <v>0</v>
      </c>
      <c r="EV146" s="9">
        <f>CF146*'MASTER SHEET'!D146</f>
        <v>0</v>
      </c>
      <c r="EW146" s="9">
        <f>CJ146*'MASTER SHEET'!D146</f>
        <v>0</v>
      </c>
      <c r="EX146" s="9">
        <f>CN146*'MASTER SHEET'!D146</f>
        <v>0</v>
      </c>
      <c r="EY146" s="9">
        <f>CV146*'MASTER SHEET'!D146</f>
        <v>0</v>
      </c>
      <c r="EZ146" s="9">
        <f>CV146*'MASTER SHEET'!D146</f>
        <v>0</v>
      </c>
      <c r="FA146" s="9">
        <f>CZ146*'MASTER SHEET'!D146</f>
        <v>0</v>
      </c>
      <c r="FB146" s="9">
        <f>DD146*'MASTER SHEET'!D146</f>
        <v>0</v>
      </c>
      <c r="FC146" s="9">
        <f>DH146*'MASTER SHEET'!D146</f>
        <v>0</v>
      </c>
      <c r="FD146" s="9">
        <f>DL146*'MASTER SHEET'!D146</f>
        <v>0</v>
      </c>
      <c r="FE146" s="9">
        <f>DP146*'MASTER SHEET'!D146</f>
        <v>0</v>
      </c>
      <c r="FF146" s="9">
        <f>DT146*'MASTER SHEET'!D146</f>
        <v>0</v>
      </c>
      <c r="FG146" s="9">
        <f>DX146*'MASTER SHEET'!D146</f>
        <v>0</v>
      </c>
    </row>
    <row r="147" spans="1:163" ht="20.25" x14ac:dyDescent="0.25">
      <c r="A147" s="43">
        <f>'MASTER SHEET'!A147</f>
        <v>145</v>
      </c>
      <c r="B147" s="26" t="str">
        <f>'MASTER SHEET'!B147</f>
        <v>CLAMP CNG PIPE</v>
      </c>
      <c r="C147" s="82">
        <f>'MASTER SHEET'!C147</f>
        <v>62438</v>
      </c>
      <c r="D147" s="64"/>
      <c r="E147" s="28"/>
      <c r="F147" s="28"/>
      <c r="G147" s="65"/>
      <c r="H147" s="64">
        <f t="shared" si="106"/>
        <v>0</v>
      </c>
      <c r="I147" s="28"/>
      <c r="J147" s="28"/>
      <c r="K147" s="65"/>
      <c r="L147" s="64">
        <f t="shared" si="107"/>
        <v>0</v>
      </c>
      <c r="M147" s="28"/>
      <c r="N147" s="28"/>
      <c r="O147" s="65"/>
      <c r="P147" s="64">
        <f t="shared" si="108"/>
        <v>0</v>
      </c>
      <c r="Q147" s="28"/>
      <c r="R147" s="28"/>
      <c r="S147" s="65"/>
      <c r="T147" s="64">
        <f t="shared" si="109"/>
        <v>0</v>
      </c>
      <c r="U147" s="28"/>
      <c r="V147" s="28"/>
      <c r="W147" s="65"/>
      <c r="X147" s="64">
        <f t="shared" si="110"/>
        <v>0</v>
      </c>
      <c r="Y147" s="28"/>
      <c r="Z147" s="28"/>
      <c r="AA147" s="65"/>
      <c r="AB147" s="64">
        <f t="shared" si="111"/>
        <v>0</v>
      </c>
      <c r="AC147" s="28"/>
      <c r="AD147" s="28"/>
      <c r="AE147" s="65"/>
      <c r="AF147" s="64">
        <f t="shared" si="112"/>
        <v>0</v>
      </c>
      <c r="AG147" s="28"/>
      <c r="AH147" s="28"/>
      <c r="AI147" s="65"/>
      <c r="AJ147" s="64">
        <f t="shared" si="113"/>
        <v>0</v>
      </c>
      <c r="AK147" s="28"/>
      <c r="AL147" s="28"/>
      <c r="AM147" s="65"/>
      <c r="AN147" s="64">
        <f t="shared" si="114"/>
        <v>0</v>
      </c>
      <c r="AO147" s="28"/>
      <c r="AP147" s="28"/>
      <c r="AQ147" s="65"/>
      <c r="AR147" s="64">
        <f t="shared" si="115"/>
        <v>0</v>
      </c>
      <c r="AS147" s="28"/>
      <c r="AT147" s="28"/>
      <c r="AU147" s="65"/>
      <c r="AV147" s="64">
        <f t="shared" si="116"/>
        <v>0</v>
      </c>
      <c r="AW147" s="28"/>
      <c r="AX147" s="28"/>
      <c r="AY147" s="65"/>
      <c r="AZ147" s="64">
        <f t="shared" si="117"/>
        <v>0</v>
      </c>
      <c r="BA147" s="28"/>
      <c r="BB147" s="28"/>
      <c r="BC147" s="65"/>
      <c r="BD147" s="64">
        <f t="shared" si="118"/>
        <v>0</v>
      </c>
      <c r="BE147" s="28"/>
      <c r="BF147" s="28"/>
      <c r="BG147" s="65"/>
      <c r="BH147" s="64">
        <f t="shared" si="119"/>
        <v>0</v>
      </c>
      <c r="BI147" s="28"/>
      <c r="BJ147" s="28"/>
      <c r="BK147" s="65"/>
      <c r="BL147" s="64">
        <f t="shared" si="120"/>
        <v>0</v>
      </c>
      <c r="BM147" s="28"/>
      <c r="BN147" s="28"/>
      <c r="BO147" s="65"/>
      <c r="BP147" s="64">
        <f t="shared" si="121"/>
        <v>0</v>
      </c>
      <c r="BQ147" s="28"/>
      <c r="BR147" s="28"/>
      <c r="BS147" s="65"/>
      <c r="BT147" s="64">
        <f t="shared" si="122"/>
        <v>0</v>
      </c>
      <c r="BU147" s="28"/>
      <c r="BV147" s="28"/>
      <c r="BW147" s="65"/>
      <c r="BX147" s="64">
        <f t="shared" si="123"/>
        <v>0</v>
      </c>
      <c r="BY147" s="28"/>
      <c r="BZ147" s="28"/>
      <c r="CA147" s="65"/>
      <c r="CB147" s="64">
        <f t="shared" si="124"/>
        <v>0</v>
      </c>
      <c r="CC147" s="28"/>
      <c r="CD147" s="28"/>
      <c r="CE147" s="65"/>
      <c r="CF147" s="64">
        <f t="shared" si="125"/>
        <v>0</v>
      </c>
      <c r="CG147" s="28"/>
      <c r="CH147" s="28"/>
      <c r="CI147" s="65"/>
      <c r="CJ147" s="64">
        <f t="shared" si="126"/>
        <v>0</v>
      </c>
      <c r="CK147" s="28"/>
      <c r="CL147" s="28"/>
      <c r="CM147" s="65"/>
      <c r="CN147" s="64">
        <f t="shared" si="127"/>
        <v>0</v>
      </c>
      <c r="CO147" s="28"/>
      <c r="CP147" s="28"/>
      <c r="CQ147" s="65"/>
      <c r="CR147" s="64">
        <f t="shared" si="128"/>
        <v>0</v>
      </c>
      <c r="CS147" s="28"/>
      <c r="CT147" s="28"/>
      <c r="CU147" s="65"/>
      <c r="CV147" s="64">
        <f t="shared" si="129"/>
        <v>0</v>
      </c>
      <c r="CW147" s="28"/>
      <c r="CX147" s="28"/>
      <c r="CY147" s="65"/>
      <c r="CZ147" s="64">
        <f t="shared" si="130"/>
        <v>0</v>
      </c>
      <c r="DA147" s="28"/>
      <c r="DB147" s="28"/>
      <c r="DC147" s="65"/>
      <c r="DD147" s="64">
        <f t="shared" si="131"/>
        <v>0</v>
      </c>
      <c r="DE147" s="28"/>
      <c r="DF147" s="28"/>
      <c r="DG147" s="65"/>
      <c r="DH147" s="64">
        <f t="shared" si="132"/>
        <v>0</v>
      </c>
      <c r="DI147" s="28"/>
      <c r="DJ147" s="28"/>
      <c r="DK147" s="65"/>
      <c r="DL147" s="64">
        <f t="shared" si="133"/>
        <v>0</v>
      </c>
      <c r="DM147" s="28"/>
      <c r="DN147" s="28"/>
      <c r="DO147" s="65"/>
      <c r="DP147" s="64">
        <f t="shared" si="134"/>
        <v>0</v>
      </c>
      <c r="DQ147" s="28"/>
      <c r="DR147" s="28"/>
      <c r="DS147" s="65"/>
      <c r="DT147" s="64">
        <f t="shared" si="135"/>
        <v>0</v>
      </c>
      <c r="DU147" s="28"/>
      <c r="DV147" s="28"/>
      <c r="DW147" s="65"/>
      <c r="DX147" s="30">
        <f t="shared" si="136"/>
        <v>0</v>
      </c>
      <c r="DY147" s="4"/>
      <c r="DZ147" s="4"/>
      <c r="EA147" s="4"/>
      <c r="EB147" s="9">
        <f>D147*'MASTER SHEET'!D147</f>
        <v>0</v>
      </c>
      <c r="EC147" s="9">
        <f>H147*'MASTER SHEET'!D147</f>
        <v>0</v>
      </c>
      <c r="ED147" s="9">
        <f>L147*'MASTER SHEET'!D147</f>
        <v>0</v>
      </c>
      <c r="EE147" s="9">
        <f>P147*'MASTER SHEET'!D147</f>
        <v>0</v>
      </c>
      <c r="EF147" s="9">
        <f>T147*'MASTER SHEET'!D147</f>
        <v>0</v>
      </c>
      <c r="EG147" s="9">
        <f>X147*'MASTER SHEET'!D147</f>
        <v>0</v>
      </c>
      <c r="EH147" s="9">
        <f>AB147*'MASTER SHEET'!D147</f>
        <v>0</v>
      </c>
      <c r="EI147" s="9">
        <f>AF147*'MASTER SHEET'!D147</f>
        <v>0</v>
      </c>
      <c r="EJ147" s="9">
        <f>AJ147*'MASTER SHEET'!D147</f>
        <v>0</v>
      </c>
      <c r="EK147" s="9">
        <f>AN147*'MASTER SHEET'!D147</f>
        <v>0</v>
      </c>
      <c r="EL147" s="9">
        <f>AR147*'MASTER SHEET'!D147</f>
        <v>0</v>
      </c>
      <c r="EM147" s="9">
        <f>AV147*'MASTER SHEET'!D147</f>
        <v>0</v>
      </c>
      <c r="EN147" s="9">
        <f>AZ147*'MASTER SHEET'!D147</f>
        <v>0</v>
      </c>
      <c r="EO147" s="9">
        <f>BD147*'MASTER SHEET'!D147</f>
        <v>0</v>
      </c>
      <c r="EP147" s="9">
        <f>BH147*'MASTER SHEET'!D147</f>
        <v>0</v>
      </c>
      <c r="EQ147" s="9">
        <f>BL147*'MASTER SHEET'!D147</f>
        <v>0</v>
      </c>
      <c r="ER147" s="9">
        <f>BP147*'MASTER SHEET'!D147</f>
        <v>0</v>
      </c>
      <c r="ES147" s="9">
        <f>BT147*'MASTER SHEET'!D147</f>
        <v>0</v>
      </c>
      <c r="ET147" s="9">
        <f>BX147*'MASTER SHEET'!D147</f>
        <v>0</v>
      </c>
      <c r="EU147" s="9">
        <f>CB147*'MASTER SHEET'!D147</f>
        <v>0</v>
      </c>
      <c r="EV147" s="9">
        <f>CF147*'MASTER SHEET'!D147</f>
        <v>0</v>
      </c>
      <c r="EW147" s="9">
        <f>CJ147*'MASTER SHEET'!D147</f>
        <v>0</v>
      </c>
      <c r="EX147" s="9">
        <f>CN147*'MASTER SHEET'!D147</f>
        <v>0</v>
      </c>
      <c r="EY147" s="9">
        <f>CV147*'MASTER SHEET'!D147</f>
        <v>0</v>
      </c>
      <c r="EZ147" s="9">
        <f>CV147*'MASTER SHEET'!D147</f>
        <v>0</v>
      </c>
      <c r="FA147" s="9">
        <f>CZ147*'MASTER SHEET'!D147</f>
        <v>0</v>
      </c>
      <c r="FB147" s="9">
        <f>DD147*'MASTER SHEET'!D147</f>
        <v>0</v>
      </c>
      <c r="FC147" s="9">
        <f>DH147*'MASTER SHEET'!D147</f>
        <v>0</v>
      </c>
      <c r="FD147" s="9">
        <f>DL147*'MASTER SHEET'!D147</f>
        <v>0</v>
      </c>
      <c r="FE147" s="9">
        <f>DP147*'MASTER SHEET'!D147</f>
        <v>0</v>
      </c>
      <c r="FF147" s="9">
        <f>DT147*'MASTER SHEET'!D147</f>
        <v>0</v>
      </c>
      <c r="FG147" s="9">
        <f>DX147*'MASTER SHEET'!D147</f>
        <v>0</v>
      </c>
    </row>
    <row r="148" spans="1:163" ht="20.25" x14ac:dyDescent="0.25">
      <c r="A148" s="43">
        <f>'MASTER SHEET'!A148</f>
        <v>146</v>
      </c>
      <c r="B148" s="26" t="str">
        <f>'MASTER SHEET'!B148</f>
        <v>CLAMP VACCUME PIPE</v>
      </c>
      <c r="C148" s="82">
        <f>'MASTER SHEET'!C148</f>
        <v>62481</v>
      </c>
      <c r="D148" s="64"/>
      <c r="E148" s="28"/>
      <c r="F148" s="28"/>
      <c r="G148" s="65"/>
      <c r="H148" s="64">
        <f t="shared" si="106"/>
        <v>0</v>
      </c>
      <c r="I148" s="28"/>
      <c r="J148" s="28"/>
      <c r="K148" s="65"/>
      <c r="L148" s="64">
        <f t="shared" si="107"/>
        <v>0</v>
      </c>
      <c r="M148" s="28"/>
      <c r="N148" s="28"/>
      <c r="O148" s="65"/>
      <c r="P148" s="64">
        <f t="shared" si="108"/>
        <v>0</v>
      </c>
      <c r="Q148" s="28"/>
      <c r="R148" s="28"/>
      <c r="S148" s="65"/>
      <c r="T148" s="64">
        <f t="shared" si="109"/>
        <v>0</v>
      </c>
      <c r="U148" s="28"/>
      <c r="V148" s="28"/>
      <c r="W148" s="65"/>
      <c r="X148" s="64">
        <f t="shared" si="110"/>
        <v>0</v>
      </c>
      <c r="Y148" s="28"/>
      <c r="Z148" s="28"/>
      <c r="AA148" s="65"/>
      <c r="AB148" s="64">
        <f t="shared" si="111"/>
        <v>0</v>
      </c>
      <c r="AC148" s="28"/>
      <c r="AD148" s="28"/>
      <c r="AE148" s="65"/>
      <c r="AF148" s="64">
        <f t="shared" si="112"/>
        <v>0</v>
      </c>
      <c r="AG148" s="28"/>
      <c r="AH148" s="28"/>
      <c r="AI148" s="65"/>
      <c r="AJ148" s="64">
        <f t="shared" si="113"/>
        <v>0</v>
      </c>
      <c r="AK148" s="28"/>
      <c r="AL148" s="28"/>
      <c r="AM148" s="65"/>
      <c r="AN148" s="64">
        <f t="shared" si="114"/>
        <v>0</v>
      </c>
      <c r="AO148" s="28"/>
      <c r="AP148" s="28"/>
      <c r="AQ148" s="65"/>
      <c r="AR148" s="64">
        <f t="shared" si="115"/>
        <v>0</v>
      </c>
      <c r="AS148" s="28"/>
      <c r="AT148" s="28"/>
      <c r="AU148" s="65"/>
      <c r="AV148" s="64">
        <f t="shared" si="116"/>
        <v>0</v>
      </c>
      <c r="AW148" s="28"/>
      <c r="AX148" s="28"/>
      <c r="AY148" s="65"/>
      <c r="AZ148" s="64">
        <f t="shared" si="117"/>
        <v>0</v>
      </c>
      <c r="BA148" s="28"/>
      <c r="BB148" s="28"/>
      <c r="BC148" s="65"/>
      <c r="BD148" s="64">
        <f t="shared" si="118"/>
        <v>0</v>
      </c>
      <c r="BE148" s="28"/>
      <c r="BF148" s="28"/>
      <c r="BG148" s="65"/>
      <c r="BH148" s="64">
        <f t="shared" si="119"/>
        <v>0</v>
      </c>
      <c r="BI148" s="28"/>
      <c r="BJ148" s="28"/>
      <c r="BK148" s="65"/>
      <c r="BL148" s="64">
        <f t="shared" si="120"/>
        <v>0</v>
      </c>
      <c r="BM148" s="28"/>
      <c r="BN148" s="28"/>
      <c r="BO148" s="65"/>
      <c r="BP148" s="64">
        <f t="shared" si="121"/>
        <v>0</v>
      </c>
      <c r="BQ148" s="28"/>
      <c r="BR148" s="28"/>
      <c r="BS148" s="65"/>
      <c r="BT148" s="64">
        <f t="shared" si="122"/>
        <v>0</v>
      </c>
      <c r="BU148" s="28"/>
      <c r="BV148" s="28"/>
      <c r="BW148" s="65"/>
      <c r="BX148" s="64">
        <f t="shared" si="123"/>
        <v>0</v>
      </c>
      <c r="BY148" s="28"/>
      <c r="BZ148" s="28"/>
      <c r="CA148" s="65"/>
      <c r="CB148" s="64">
        <f t="shared" si="124"/>
        <v>0</v>
      </c>
      <c r="CC148" s="28"/>
      <c r="CD148" s="28"/>
      <c r="CE148" s="65"/>
      <c r="CF148" s="64">
        <f t="shared" si="125"/>
        <v>0</v>
      </c>
      <c r="CG148" s="28"/>
      <c r="CH148" s="28"/>
      <c r="CI148" s="65"/>
      <c r="CJ148" s="64">
        <f t="shared" si="126"/>
        <v>0</v>
      </c>
      <c r="CK148" s="28"/>
      <c r="CL148" s="28"/>
      <c r="CM148" s="65"/>
      <c r="CN148" s="64">
        <f t="shared" si="127"/>
        <v>0</v>
      </c>
      <c r="CO148" s="28"/>
      <c r="CP148" s="28"/>
      <c r="CQ148" s="65"/>
      <c r="CR148" s="64">
        <f t="shared" si="128"/>
        <v>0</v>
      </c>
      <c r="CS148" s="28"/>
      <c r="CT148" s="28"/>
      <c r="CU148" s="65"/>
      <c r="CV148" s="64">
        <f t="shared" si="129"/>
        <v>0</v>
      </c>
      <c r="CW148" s="28"/>
      <c r="CX148" s="28"/>
      <c r="CY148" s="65"/>
      <c r="CZ148" s="64">
        <f t="shared" si="130"/>
        <v>0</v>
      </c>
      <c r="DA148" s="28"/>
      <c r="DB148" s="28"/>
      <c r="DC148" s="65"/>
      <c r="DD148" s="64">
        <f t="shared" si="131"/>
        <v>0</v>
      </c>
      <c r="DE148" s="28"/>
      <c r="DF148" s="28"/>
      <c r="DG148" s="65"/>
      <c r="DH148" s="64">
        <f t="shared" si="132"/>
        <v>0</v>
      </c>
      <c r="DI148" s="28"/>
      <c r="DJ148" s="28"/>
      <c r="DK148" s="65"/>
      <c r="DL148" s="64">
        <f t="shared" si="133"/>
        <v>0</v>
      </c>
      <c r="DM148" s="28"/>
      <c r="DN148" s="28"/>
      <c r="DO148" s="65"/>
      <c r="DP148" s="64">
        <f t="shared" si="134"/>
        <v>0</v>
      </c>
      <c r="DQ148" s="28"/>
      <c r="DR148" s="28"/>
      <c r="DS148" s="65"/>
      <c r="DT148" s="64">
        <f t="shared" si="135"/>
        <v>0</v>
      </c>
      <c r="DU148" s="28"/>
      <c r="DV148" s="28"/>
      <c r="DW148" s="65"/>
      <c r="DX148" s="30">
        <f t="shared" si="136"/>
        <v>0</v>
      </c>
      <c r="DY148" s="4"/>
      <c r="DZ148" s="4"/>
      <c r="EA148" s="4"/>
      <c r="EB148" s="9">
        <f>D148*'MASTER SHEET'!D148</f>
        <v>0</v>
      </c>
      <c r="EC148" s="9">
        <f>H148*'MASTER SHEET'!D148</f>
        <v>0</v>
      </c>
      <c r="ED148" s="9">
        <f>L148*'MASTER SHEET'!D148</f>
        <v>0</v>
      </c>
      <c r="EE148" s="9">
        <f>P148*'MASTER SHEET'!D148</f>
        <v>0</v>
      </c>
      <c r="EF148" s="9">
        <f>T148*'MASTER SHEET'!D148</f>
        <v>0</v>
      </c>
      <c r="EG148" s="9">
        <f>X148*'MASTER SHEET'!D148</f>
        <v>0</v>
      </c>
      <c r="EH148" s="9">
        <f>AB148*'MASTER SHEET'!D148</f>
        <v>0</v>
      </c>
      <c r="EI148" s="9">
        <f>AF148*'MASTER SHEET'!D148</f>
        <v>0</v>
      </c>
      <c r="EJ148" s="9">
        <f>AJ148*'MASTER SHEET'!D148</f>
        <v>0</v>
      </c>
      <c r="EK148" s="9">
        <f>AN148*'MASTER SHEET'!D148</f>
        <v>0</v>
      </c>
      <c r="EL148" s="9">
        <f>AR148*'MASTER SHEET'!D148</f>
        <v>0</v>
      </c>
      <c r="EM148" s="9">
        <f>AV148*'MASTER SHEET'!D148</f>
        <v>0</v>
      </c>
      <c r="EN148" s="9">
        <f>AZ148*'MASTER SHEET'!D148</f>
        <v>0</v>
      </c>
      <c r="EO148" s="9">
        <f>BD148*'MASTER SHEET'!D148</f>
        <v>0</v>
      </c>
      <c r="EP148" s="9">
        <f>BH148*'MASTER SHEET'!D148</f>
        <v>0</v>
      </c>
      <c r="EQ148" s="9">
        <f>BL148*'MASTER SHEET'!D148</f>
        <v>0</v>
      </c>
      <c r="ER148" s="9">
        <f>BP148*'MASTER SHEET'!D148</f>
        <v>0</v>
      </c>
      <c r="ES148" s="9">
        <f>BT148*'MASTER SHEET'!D148</f>
        <v>0</v>
      </c>
      <c r="ET148" s="9">
        <f>BX148*'MASTER SHEET'!D148</f>
        <v>0</v>
      </c>
      <c r="EU148" s="9">
        <f>CB148*'MASTER SHEET'!D148</f>
        <v>0</v>
      </c>
      <c r="EV148" s="9">
        <f>CF148*'MASTER SHEET'!D148</f>
        <v>0</v>
      </c>
      <c r="EW148" s="9">
        <f>CJ148*'MASTER SHEET'!D148</f>
        <v>0</v>
      </c>
      <c r="EX148" s="9">
        <f>CN148*'MASTER SHEET'!D148</f>
        <v>0</v>
      </c>
      <c r="EY148" s="9">
        <f>CV148*'MASTER SHEET'!D148</f>
        <v>0</v>
      </c>
      <c r="EZ148" s="9">
        <f>CV148*'MASTER SHEET'!D148</f>
        <v>0</v>
      </c>
      <c r="FA148" s="9">
        <f>CZ148*'MASTER SHEET'!D148</f>
        <v>0</v>
      </c>
      <c r="FB148" s="9">
        <f>DD148*'MASTER SHEET'!D148</f>
        <v>0</v>
      </c>
      <c r="FC148" s="9">
        <f>DH148*'MASTER SHEET'!D148</f>
        <v>0</v>
      </c>
      <c r="FD148" s="9">
        <f>DL148*'MASTER SHEET'!D148</f>
        <v>0</v>
      </c>
      <c r="FE148" s="9">
        <f>DP148*'MASTER SHEET'!D148</f>
        <v>0</v>
      </c>
      <c r="FF148" s="9">
        <f>DT148*'MASTER SHEET'!D148</f>
        <v>0</v>
      </c>
      <c r="FG148" s="9">
        <f>DX148*'MASTER SHEET'!D148</f>
        <v>0</v>
      </c>
    </row>
    <row r="149" spans="1:163" ht="20.25" x14ac:dyDescent="0.25">
      <c r="A149" s="43">
        <f>'MASTER SHEET'!A149</f>
        <v>147</v>
      </c>
      <c r="B149" s="26" t="str">
        <f>'MASTER SHEET'!B149</f>
        <v>DIA 10MM PLUG</v>
      </c>
      <c r="C149" s="82">
        <f>'MASTER SHEET'!C149</f>
        <v>62486</v>
      </c>
      <c r="D149" s="64"/>
      <c r="E149" s="28"/>
      <c r="F149" s="28"/>
      <c r="G149" s="65"/>
      <c r="H149" s="64">
        <f t="shared" si="106"/>
        <v>0</v>
      </c>
      <c r="I149" s="28"/>
      <c r="J149" s="28"/>
      <c r="K149" s="65"/>
      <c r="L149" s="64">
        <f t="shared" si="107"/>
        <v>0</v>
      </c>
      <c r="M149" s="28"/>
      <c r="N149" s="28"/>
      <c r="O149" s="65"/>
      <c r="P149" s="64">
        <f t="shared" si="108"/>
        <v>0</v>
      </c>
      <c r="Q149" s="28"/>
      <c r="R149" s="28"/>
      <c r="S149" s="65"/>
      <c r="T149" s="64">
        <f t="shared" si="109"/>
        <v>0</v>
      </c>
      <c r="U149" s="28"/>
      <c r="V149" s="28"/>
      <c r="W149" s="65"/>
      <c r="X149" s="64">
        <f t="shared" si="110"/>
        <v>0</v>
      </c>
      <c r="Y149" s="28"/>
      <c r="Z149" s="28"/>
      <c r="AA149" s="65"/>
      <c r="AB149" s="64">
        <f t="shared" si="111"/>
        <v>0</v>
      </c>
      <c r="AC149" s="28"/>
      <c r="AD149" s="28"/>
      <c r="AE149" s="65"/>
      <c r="AF149" s="64">
        <f t="shared" si="112"/>
        <v>0</v>
      </c>
      <c r="AG149" s="28"/>
      <c r="AH149" s="28"/>
      <c r="AI149" s="65"/>
      <c r="AJ149" s="64">
        <f t="shared" si="113"/>
        <v>0</v>
      </c>
      <c r="AK149" s="28"/>
      <c r="AL149" s="28"/>
      <c r="AM149" s="65"/>
      <c r="AN149" s="64">
        <f t="shared" si="114"/>
        <v>0</v>
      </c>
      <c r="AO149" s="28"/>
      <c r="AP149" s="28"/>
      <c r="AQ149" s="65"/>
      <c r="AR149" s="64">
        <f t="shared" si="115"/>
        <v>0</v>
      </c>
      <c r="AS149" s="28"/>
      <c r="AT149" s="28"/>
      <c r="AU149" s="65"/>
      <c r="AV149" s="64">
        <f t="shared" si="116"/>
        <v>0</v>
      </c>
      <c r="AW149" s="28"/>
      <c r="AX149" s="28"/>
      <c r="AY149" s="65"/>
      <c r="AZ149" s="64">
        <f t="shared" si="117"/>
        <v>0</v>
      </c>
      <c r="BA149" s="28"/>
      <c r="BB149" s="28"/>
      <c r="BC149" s="65"/>
      <c r="BD149" s="64">
        <f t="shared" si="118"/>
        <v>0</v>
      </c>
      <c r="BE149" s="28"/>
      <c r="BF149" s="28"/>
      <c r="BG149" s="65"/>
      <c r="BH149" s="64">
        <f t="shared" si="119"/>
        <v>0</v>
      </c>
      <c r="BI149" s="28"/>
      <c r="BJ149" s="28"/>
      <c r="BK149" s="65"/>
      <c r="BL149" s="64">
        <f t="shared" si="120"/>
        <v>0</v>
      </c>
      <c r="BM149" s="28"/>
      <c r="BN149" s="28"/>
      <c r="BO149" s="65"/>
      <c r="BP149" s="64">
        <f t="shared" si="121"/>
        <v>0</v>
      </c>
      <c r="BQ149" s="28"/>
      <c r="BR149" s="28"/>
      <c r="BS149" s="65"/>
      <c r="BT149" s="64">
        <f t="shared" si="122"/>
        <v>0</v>
      </c>
      <c r="BU149" s="28"/>
      <c r="BV149" s="28"/>
      <c r="BW149" s="65"/>
      <c r="BX149" s="64">
        <f t="shared" si="123"/>
        <v>0</v>
      </c>
      <c r="BY149" s="28"/>
      <c r="BZ149" s="28"/>
      <c r="CA149" s="65"/>
      <c r="CB149" s="64">
        <f t="shared" si="124"/>
        <v>0</v>
      </c>
      <c r="CC149" s="28"/>
      <c r="CD149" s="28"/>
      <c r="CE149" s="65"/>
      <c r="CF149" s="64">
        <f t="shared" si="125"/>
        <v>0</v>
      </c>
      <c r="CG149" s="28"/>
      <c r="CH149" s="28"/>
      <c r="CI149" s="65"/>
      <c r="CJ149" s="64">
        <f t="shared" si="126"/>
        <v>0</v>
      </c>
      <c r="CK149" s="28"/>
      <c r="CL149" s="28"/>
      <c r="CM149" s="65"/>
      <c r="CN149" s="64">
        <f t="shared" si="127"/>
        <v>0</v>
      </c>
      <c r="CO149" s="28"/>
      <c r="CP149" s="28"/>
      <c r="CQ149" s="65"/>
      <c r="CR149" s="64">
        <f t="shared" si="128"/>
        <v>0</v>
      </c>
      <c r="CS149" s="28"/>
      <c r="CT149" s="28"/>
      <c r="CU149" s="65"/>
      <c r="CV149" s="64">
        <f t="shared" si="129"/>
        <v>0</v>
      </c>
      <c r="CW149" s="28"/>
      <c r="CX149" s="28"/>
      <c r="CY149" s="65"/>
      <c r="CZ149" s="64">
        <f t="shared" si="130"/>
        <v>0</v>
      </c>
      <c r="DA149" s="28"/>
      <c r="DB149" s="28"/>
      <c r="DC149" s="65"/>
      <c r="DD149" s="64">
        <f t="shared" si="131"/>
        <v>0</v>
      </c>
      <c r="DE149" s="28"/>
      <c r="DF149" s="28"/>
      <c r="DG149" s="65"/>
      <c r="DH149" s="64">
        <f t="shared" si="132"/>
        <v>0</v>
      </c>
      <c r="DI149" s="28"/>
      <c r="DJ149" s="28"/>
      <c r="DK149" s="65"/>
      <c r="DL149" s="64">
        <f t="shared" si="133"/>
        <v>0</v>
      </c>
      <c r="DM149" s="28"/>
      <c r="DN149" s="28"/>
      <c r="DO149" s="65"/>
      <c r="DP149" s="64">
        <f t="shared" si="134"/>
        <v>0</v>
      </c>
      <c r="DQ149" s="28"/>
      <c r="DR149" s="28"/>
      <c r="DS149" s="65"/>
      <c r="DT149" s="64">
        <f t="shared" si="135"/>
        <v>0</v>
      </c>
      <c r="DU149" s="28"/>
      <c r="DV149" s="28"/>
      <c r="DW149" s="65"/>
      <c r="DX149" s="30">
        <f t="shared" si="136"/>
        <v>0</v>
      </c>
      <c r="DY149" s="4"/>
      <c r="DZ149" s="4"/>
      <c r="EA149" s="4"/>
      <c r="EB149" s="9">
        <f>D149*'MASTER SHEET'!D149</f>
        <v>0</v>
      </c>
      <c r="EC149" s="9">
        <f>H149*'MASTER SHEET'!D149</f>
        <v>0</v>
      </c>
      <c r="ED149" s="9">
        <f>L149*'MASTER SHEET'!D149</f>
        <v>0</v>
      </c>
      <c r="EE149" s="9">
        <f>P149*'MASTER SHEET'!D149</f>
        <v>0</v>
      </c>
      <c r="EF149" s="9">
        <f>T149*'MASTER SHEET'!D149</f>
        <v>0</v>
      </c>
      <c r="EG149" s="9">
        <f>X149*'MASTER SHEET'!D149</f>
        <v>0</v>
      </c>
      <c r="EH149" s="9">
        <f>AB149*'MASTER SHEET'!D149</f>
        <v>0</v>
      </c>
      <c r="EI149" s="9">
        <f>AF149*'MASTER SHEET'!D149</f>
        <v>0</v>
      </c>
      <c r="EJ149" s="9">
        <f>AJ149*'MASTER SHEET'!D149</f>
        <v>0</v>
      </c>
      <c r="EK149" s="9">
        <f>AN149*'MASTER SHEET'!D149</f>
        <v>0</v>
      </c>
      <c r="EL149" s="9">
        <f>AR149*'MASTER SHEET'!D149</f>
        <v>0</v>
      </c>
      <c r="EM149" s="9">
        <f>AV149*'MASTER SHEET'!D149</f>
        <v>0</v>
      </c>
      <c r="EN149" s="9">
        <f>AZ149*'MASTER SHEET'!D149</f>
        <v>0</v>
      </c>
      <c r="EO149" s="9">
        <f>BD149*'MASTER SHEET'!D149</f>
        <v>0</v>
      </c>
      <c r="EP149" s="9">
        <f>BH149*'MASTER SHEET'!D149</f>
        <v>0</v>
      </c>
      <c r="EQ149" s="9">
        <f>BL149*'MASTER SHEET'!D149</f>
        <v>0</v>
      </c>
      <c r="ER149" s="9">
        <f>BP149*'MASTER SHEET'!D149</f>
        <v>0</v>
      </c>
      <c r="ES149" s="9">
        <f>BT149*'MASTER SHEET'!D149</f>
        <v>0</v>
      </c>
      <c r="ET149" s="9">
        <f>BX149*'MASTER SHEET'!D149</f>
        <v>0</v>
      </c>
      <c r="EU149" s="9">
        <f>CB149*'MASTER SHEET'!D149</f>
        <v>0</v>
      </c>
      <c r="EV149" s="9">
        <f>CF149*'MASTER SHEET'!D149</f>
        <v>0</v>
      </c>
      <c r="EW149" s="9">
        <f>CJ149*'MASTER SHEET'!D149</f>
        <v>0</v>
      </c>
      <c r="EX149" s="9">
        <f>CN149*'MASTER SHEET'!D149</f>
        <v>0</v>
      </c>
      <c r="EY149" s="9">
        <f>CV149*'MASTER SHEET'!D149</f>
        <v>0</v>
      </c>
      <c r="EZ149" s="9">
        <f>CV149*'MASTER SHEET'!D149</f>
        <v>0</v>
      </c>
      <c r="FA149" s="9">
        <f>CZ149*'MASTER SHEET'!D149</f>
        <v>0</v>
      </c>
      <c r="FB149" s="9">
        <f>DD149*'MASTER SHEET'!D149</f>
        <v>0</v>
      </c>
      <c r="FC149" s="9">
        <f>DH149*'MASTER SHEET'!D149</f>
        <v>0</v>
      </c>
      <c r="FD149" s="9">
        <f>DL149*'MASTER SHEET'!D149</f>
        <v>0</v>
      </c>
      <c r="FE149" s="9">
        <f>DP149*'MASTER SHEET'!D149</f>
        <v>0</v>
      </c>
      <c r="FF149" s="9">
        <f>DT149*'MASTER SHEET'!D149</f>
        <v>0</v>
      </c>
      <c r="FG149" s="9">
        <f>DX149*'MASTER SHEET'!D149</f>
        <v>0</v>
      </c>
    </row>
    <row r="150" spans="1:163" ht="20.25" x14ac:dyDescent="0.25">
      <c r="A150" s="43">
        <f>'MASTER SHEET'!A150</f>
        <v>148</v>
      </c>
      <c r="B150" s="26" t="str">
        <f>'MASTER SHEET'!B150</f>
        <v>CLAMP</v>
      </c>
      <c r="C150" s="82">
        <f>'MASTER SHEET'!C150</f>
        <v>62487</v>
      </c>
      <c r="D150" s="64"/>
      <c r="E150" s="28"/>
      <c r="F150" s="28"/>
      <c r="G150" s="65"/>
      <c r="H150" s="64">
        <f t="shared" si="106"/>
        <v>0</v>
      </c>
      <c r="I150" s="28"/>
      <c r="J150" s="28"/>
      <c r="K150" s="65"/>
      <c r="L150" s="64">
        <f t="shared" si="107"/>
        <v>0</v>
      </c>
      <c r="M150" s="28"/>
      <c r="N150" s="28"/>
      <c r="O150" s="65"/>
      <c r="P150" s="64">
        <f t="shared" si="108"/>
        <v>0</v>
      </c>
      <c r="Q150" s="28"/>
      <c r="R150" s="28"/>
      <c r="S150" s="65"/>
      <c r="T150" s="64">
        <f t="shared" si="109"/>
        <v>0</v>
      </c>
      <c r="U150" s="28"/>
      <c r="V150" s="28"/>
      <c r="W150" s="65"/>
      <c r="X150" s="64">
        <f t="shared" si="110"/>
        <v>0</v>
      </c>
      <c r="Y150" s="28"/>
      <c r="Z150" s="28"/>
      <c r="AA150" s="65"/>
      <c r="AB150" s="64">
        <f t="shared" si="111"/>
        <v>0</v>
      </c>
      <c r="AC150" s="28"/>
      <c r="AD150" s="28"/>
      <c r="AE150" s="65"/>
      <c r="AF150" s="64">
        <f t="shared" si="112"/>
        <v>0</v>
      </c>
      <c r="AG150" s="28"/>
      <c r="AH150" s="28"/>
      <c r="AI150" s="65"/>
      <c r="AJ150" s="64">
        <f t="shared" si="113"/>
        <v>0</v>
      </c>
      <c r="AK150" s="28"/>
      <c r="AL150" s="28"/>
      <c r="AM150" s="65"/>
      <c r="AN150" s="64">
        <f t="shared" si="114"/>
        <v>0</v>
      </c>
      <c r="AO150" s="28"/>
      <c r="AP150" s="28"/>
      <c r="AQ150" s="65"/>
      <c r="AR150" s="64">
        <f t="shared" si="115"/>
        <v>0</v>
      </c>
      <c r="AS150" s="28"/>
      <c r="AT150" s="28"/>
      <c r="AU150" s="65"/>
      <c r="AV150" s="64">
        <f t="shared" si="116"/>
        <v>0</v>
      </c>
      <c r="AW150" s="28"/>
      <c r="AX150" s="28"/>
      <c r="AY150" s="65"/>
      <c r="AZ150" s="64">
        <f t="shared" si="117"/>
        <v>0</v>
      </c>
      <c r="BA150" s="28"/>
      <c r="BB150" s="28"/>
      <c r="BC150" s="65"/>
      <c r="BD150" s="64">
        <f t="shared" si="118"/>
        <v>0</v>
      </c>
      <c r="BE150" s="28"/>
      <c r="BF150" s="28"/>
      <c r="BG150" s="65"/>
      <c r="BH150" s="64">
        <f t="shared" si="119"/>
        <v>0</v>
      </c>
      <c r="BI150" s="28"/>
      <c r="BJ150" s="28"/>
      <c r="BK150" s="65"/>
      <c r="BL150" s="64">
        <f t="shared" si="120"/>
        <v>0</v>
      </c>
      <c r="BM150" s="28"/>
      <c r="BN150" s="28"/>
      <c r="BO150" s="65"/>
      <c r="BP150" s="64">
        <f t="shared" si="121"/>
        <v>0</v>
      </c>
      <c r="BQ150" s="28"/>
      <c r="BR150" s="28"/>
      <c r="BS150" s="65"/>
      <c r="BT150" s="64">
        <f t="shared" si="122"/>
        <v>0</v>
      </c>
      <c r="BU150" s="28"/>
      <c r="BV150" s="28"/>
      <c r="BW150" s="65"/>
      <c r="BX150" s="64">
        <f t="shared" si="123"/>
        <v>0</v>
      </c>
      <c r="BY150" s="28"/>
      <c r="BZ150" s="28"/>
      <c r="CA150" s="65"/>
      <c r="CB150" s="64">
        <f t="shared" si="124"/>
        <v>0</v>
      </c>
      <c r="CC150" s="28"/>
      <c r="CD150" s="28"/>
      <c r="CE150" s="65"/>
      <c r="CF150" s="64">
        <f t="shared" si="125"/>
        <v>0</v>
      </c>
      <c r="CG150" s="28"/>
      <c r="CH150" s="28"/>
      <c r="CI150" s="65"/>
      <c r="CJ150" s="64">
        <f t="shared" si="126"/>
        <v>0</v>
      </c>
      <c r="CK150" s="28"/>
      <c r="CL150" s="28"/>
      <c r="CM150" s="65"/>
      <c r="CN150" s="64">
        <f t="shared" si="127"/>
        <v>0</v>
      </c>
      <c r="CO150" s="28"/>
      <c r="CP150" s="28"/>
      <c r="CQ150" s="65"/>
      <c r="CR150" s="64">
        <f t="shared" si="128"/>
        <v>0</v>
      </c>
      <c r="CS150" s="28"/>
      <c r="CT150" s="28"/>
      <c r="CU150" s="65"/>
      <c r="CV150" s="64">
        <f t="shared" si="129"/>
        <v>0</v>
      </c>
      <c r="CW150" s="28"/>
      <c r="CX150" s="28"/>
      <c r="CY150" s="65"/>
      <c r="CZ150" s="64">
        <f t="shared" si="130"/>
        <v>0</v>
      </c>
      <c r="DA150" s="28"/>
      <c r="DB150" s="28"/>
      <c r="DC150" s="65"/>
      <c r="DD150" s="64">
        <f t="shared" si="131"/>
        <v>0</v>
      </c>
      <c r="DE150" s="28"/>
      <c r="DF150" s="28"/>
      <c r="DG150" s="65"/>
      <c r="DH150" s="64">
        <f t="shared" si="132"/>
        <v>0</v>
      </c>
      <c r="DI150" s="28"/>
      <c r="DJ150" s="28"/>
      <c r="DK150" s="65"/>
      <c r="DL150" s="64">
        <f t="shared" si="133"/>
        <v>0</v>
      </c>
      <c r="DM150" s="28"/>
      <c r="DN150" s="28"/>
      <c r="DO150" s="65"/>
      <c r="DP150" s="64">
        <f t="shared" si="134"/>
        <v>0</v>
      </c>
      <c r="DQ150" s="28"/>
      <c r="DR150" s="28"/>
      <c r="DS150" s="65"/>
      <c r="DT150" s="64">
        <f t="shared" si="135"/>
        <v>0</v>
      </c>
      <c r="DU150" s="28"/>
      <c r="DV150" s="28"/>
      <c r="DW150" s="65"/>
      <c r="DX150" s="30">
        <f t="shared" si="136"/>
        <v>0</v>
      </c>
      <c r="DY150" s="4"/>
      <c r="DZ150" s="4"/>
      <c r="EA150" s="4"/>
      <c r="EB150" s="9">
        <f>D150*'MASTER SHEET'!D150</f>
        <v>0</v>
      </c>
      <c r="EC150" s="9">
        <f>H150*'MASTER SHEET'!D150</f>
        <v>0</v>
      </c>
      <c r="ED150" s="9">
        <f>L150*'MASTER SHEET'!D150</f>
        <v>0</v>
      </c>
      <c r="EE150" s="9">
        <f>P150*'MASTER SHEET'!D150</f>
        <v>0</v>
      </c>
      <c r="EF150" s="9">
        <f>T150*'MASTER SHEET'!D150</f>
        <v>0</v>
      </c>
      <c r="EG150" s="9">
        <f>X150*'MASTER SHEET'!D150</f>
        <v>0</v>
      </c>
      <c r="EH150" s="9">
        <f>AB150*'MASTER SHEET'!D150</f>
        <v>0</v>
      </c>
      <c r="EI150" s="9">
        <f>AF150*'MASTER SHEET'!D150</f>
        <v>0</v>
      </c>
      <c r="EJ150" s="9">
        <f>AJ150*'MASTER SHEET'!D150</f>
        <v>0</v>
      </c>
      <c r="EK150" s="9">
        <f>AN150*'MASTER SHEET'!D150</f>
        <v>0</v>
      </c>
      <c r="EL150" s="9">
        <f>AR150*'MASTER SHEET'!D150</f>
        <v>0</v>
      </c>
      <c r="EM150" s="9">
        <f>AV150*'MASTER SHEET'!D150</f>
        <v>0</v>
      </c>
      <c r="EN150" s="9">
        <f>AZ150*'MASTER SHEET'!D150</f>
        <v>0</v>
      </c>
      <c r="EO150" s="9">
        <f>BD150*'MASTER SHEET'!D150</f>
        <v>0</v>
      </c>
      <c r="EP150" s="9">
        <f>BH150*'MASTER SHEET'!D150</f>
        <v>0</v>
      </c>
      <c r="EQ150" s="9">
        <f>BL150*'MASTER SHEET'!D150</f>
        <v>0</v>
      </c>
      <c r="ER150" s="9">
        <f>BP150*'MASTER SHEET'!D150</f>
        <v>0</v>
      </c>
      <c r="ES150" s="9">
        <f>BT150*'MASTER SHEET'!D150</f>
        <v>0</v>
      </c>
      <c r="ET150" s="9">
        <f>BX150*'MASTER SHEET'!D150</f>
        <v>0</v>
      </c>
      <c r="EU150" s="9">
        <f>CB150*'MASTER SHEET'!D150</f>
        <v>0</v>
      </c>
      <c r="EV150" s="9">
        <f>CF150*'MASTER SHEET'!D150</f>
        <v>0</v>
      </c>
      <c r="EW150" s="9">
        <f>CJ150*'MASTER SHEET'!D150</f>
        <v>0</v>
      </c>
      <c r="EX150" s="9">
        <f>CN150*'MASTER SHEET'!D150</f>
        <v>0</v>
      </c>
      <c r="EY150" s="9">
        <f>CV150*'MASTER SHEET'!D150</f>
        <v>0</v>
      </c>
      <c r="EZ150" s="9">
        <f>CV150*'MASTER SHEET'!D150</f>
        <v>0</v>
      </c>
      <c r="FA150" s="9">
        <f>CZ150*'MASTER SHEET'!D150</f>
        <v>0</v>
      </c>
      <c r="FB150" s="9">
        <f>DD150*'MASTER SHEET'!D150</f>
        <v>0</v>
      </c>
      <c r="FC150" s="9">
        <f>DH150*'MASTER SHEET'!D150</f>
        <v>0</v>
      </c>
      <c r="FD150" s="9">
        <f>DL150*'MASTER SHEET'!D150</f>
        <v>0</v>
      </c>
      <c r="FE150" s="9">
        <f>DP150*'MASTER SHEET'!D150</f>
        <v>0</v>
      </c>
      <c r="FF150" s="9">
        <f>DT150*'MASTER SHEET'!D150</f>
        <v>0</v>
      </c>
      <c r="FG150" s="9">
        <f>DX150*'MASTER SHEET'!D150</f>
        <v>0</v>
      </c>
    </row>
    <row r="151" spans="1:163" ht="20.25" x14ac:dyDescent="0.25">
      <c r="A151" s="43">
        <f>'MASTER SHEET'!A151</f>
        <v>149</v>
      </c>
      <c r="B151" s="26" t="str">
        <f>'MASTER SHEET'!B151</f>
        <v>CLIP PIN</v>
      </c>
      <c r="C151" s="82">
        <f>'MASTER SHEET'!C151</f>
        <v>70025</v>
      </c>
      <c r="D151" s="64"/>
      <c r="E151" s="28"/>
      <c r="F151" s="28"/>
      <c r="G151" s="65"/>
      <c r="H151" s="64">
        <f t="shared" si="106"/>
        <v>0</v>
      </c>
      <c r="I151" s="28"/>
      <c r="J151" s="28"/>
      <c r="K151" s="65"/>
      <c r="L151" s="64">
        <f t="shared" si="107"/>
        <v>0</v>
      </c>
      <c r="M151" s="28"/>
      <c r="N151" s="28"/>
      <c r="O151" s="65"/>
      <c r="P151" s="64">
        <f t="shared" si="108"/>
        <v>0</v>
      </c>
      <c r="Q151" s="28"/>
      <c r="R151" s="28"/>
      <c r="S151" s="65"/>
      <c r="T151" s="64">
        <f t="shared" si="109"/>
        <v>0</v>
      </c>
      <c r="U151" s="28"/>
      <c r="V151" s="28"/>
      <c r="W151" s="65"/>
      <c r="X151" s="64">
        <f t="shared" si="110"/>
        <v>0</v>
      </c>
      <c r="Y151" s="28"/>
      <c r="Z151" s="28"/>
      <c r="AA151" s="65"/>
      <c r="AB151" s="64">
        <f t="shared" si="111"/>
        <v>0</v>
      </c>
      <c r="AC151" s="28"/>
      <c r="AD151" s="28"/>
      <c r="AE151" s="65"/>
      <c r="AF151" s="64">
        <f t="shared" si="112"/>
        <v>0</v>
      </c>
      <c r="AG151" s="28"/>
      <c r="AH151" s="28"/>
      <c r="AI151" s="65"/>
      <c r="AJ151" s="64">
        <f t="shared" si="113"/>
        <v>0</v>
      </c>
      <c r="AK151" s="28"/>
      <c r="AL151" s="28"/>
      <c r="AM151" s="65"/>
      <c r="AN151" s="64">
        <f t="shared" si="114"/>
        <v>0</v>
      </c>
      <c r="AO151" s="28"/>
      <c r="AP151" s="28"/>
      <c r="AQ151" s="65"/>
      <c r="AR151" s="64">
        <f t="shared" si="115"/>
        <v>0</v>
      </c>
      <c r="AS151" s="28"/>
      <c r="AT151" s="28"/>
      <c r="AU151" s="65"/>
      <c r="AV151" s="64">
        <f t="shared" si="116"/>
        <v>0</v>
      </c>
      <c r="AW151" s="28"/>
      <c r="AX151" s="28"/>
      <c r="AY151" s="65"/>
      <c r="AZ151" s="64">
        <f t="shared" si="117"/>
        <v>0</v>
      </c>
      <c r="BA151" s="28"/>
      <c r="BB151" s="28"/>
      <c r="BC151" s="65"/>
      <c r="BD151" s="64">
        <f t="shared" si="118"/>
        <v>0</v>
      </c>
      <c r="BE151" s="28"/>
      <c r="BF151" s="28"/>
      <c r="BG151" s="65"/>
      <c r="BH151" s="64">
        <f t="shared" si="119"/>
        <v>0</v>
      </c>
      <c r="BI151" s="28"/>
      <c r="BJ151" s="28"/>
      <c r="BK151" s="65"/>
      <c r="BL151" s="64">
        <f t="shared" si="120"/>
        <v>0</v>
      </c>
      <c r="BM151" s="28"/>
      <c r="BN151" s="28"/>
      <c r="BO151" s="65"/>
      <c r="BP151" s="64">
        <f t="shared" si="121"/>
        <v>0</v>
      </c>
      <c r="BQ151" s="28"/>
      <c r="BR151" s="28"/>
      <c r="BS151" s="65"/>
      <c r="BT151" s="64">
        <f t="shared" si="122"/>
        <v>0</v>
      </c>
      <c r="BU151" s="28"/>
      <c r="BV151" s="28"/>
      <c r="BW151" s="65"/>
      <c r="BX151" s="64">
        <f t="shared" si="123"/>
        <v>0</v>
      </c>
      <c r="BY151" s="28"/>
      <c r="BZ151" s="28"/>
      <c r="CA151" s="65"/>
      <c r="CB151" s="64">
        <f t="shared" si="124"/>
        <v>0</v>
      </c>
      <c r="CC151" s="28"/>
      <c r="CD151" s="28"/>
      <c r="CE151" s="65"/>
      <c r="CF151" s="64">
        <f t="shared" si="125"/>
        <v>0</v>
      </c>
      <c r="CG151" s="28"/>
      <c r="CH151" s="28"/>
      <c r="CI151" s="65"/>
      <c r="CJ151" s="64">
        <f t="shared" si="126"/>
        <v>0</v>
      </c>
      <c r="CK151" s="28"/>
      <c r="CL151" s="28"/>
      <c r="CM151" s="65"/>
      <c r="CN151" s="64">
        <f t="shared" si="127"/>
        <v>0</v>
      </c>
      <c r="CO151" s="28"/>
      <c r="CP151" s="28"/>
      <c r="CQ151" s="65"/>
      <c r="CR151" s="64">
        <f t="shared" si="128"/>
        <v>0</v>
      </c>
      <c r="CS151" s="28"/>
      <c r="CT151" s="28"/>
      <c r="CU151" s="65"/>
      <c r="CV151" s="64">
        <f t="shared" si="129"/>
        <v>0</v>
      </c>
      <c r="CW151" s="28"/>
      <c r="CX151" s="28"/>
      <c r="CY151" s="65"/>
      <c r="CZ151" s="64">
        <f t="shared" si="130"/>
        <v>0</v>
      </c>
      <c r="DA151" s="28"/>
      <c r="DB151" s="28"/>
      <c r="DC151" s="65"/>
      <c r="DD151" s="64">
        <f t="shared" si="131"/>
        <v>0</v>
      </c>
      <c r="DE151" s="28"/>
      <c r="DF151" s="28"/>
      <c r="DG151" s="65"/>
      <c r="DH151" s="64">
        <f t="shared" si="132"/>
        <v>0</v>
      </c>
      <c r="DI151" s="28"/>
      <c r="DJ151" s="28"/>
      <c r="DK151" s="65"/>
      <c r="DL151" s="64">
        <f t="shared" si="133"/>
        <v>0</v>
      </c>
      <c r="DM151" s="28"/>
      <c r="DN151" s="28"/>
      <c r="DO151" s="65"/>
      <c r="DP151" s="64">
        <f t="shared" si="134"/>
        <v>0</v>
      </c>
      <c r="DQ151" s="28"/>
      <c r="DR151" s="28"/>
      <c r="DS151" s="65"/>
      <c r="DT151" s="64">
        <f t="shared" si="135"/>
        <v>0</v>
      </c>
      <c r="DU151" s="28"/>
      <c r="DV151" s="28"/>
      <c r="DW151" s="65"/>
      <c r="DX151" s="30">
        <f t="shared" si="136"/>
        <v>0</v>
      </c>
      <c r="DY151" s="4"/>
      <c r="DZ151" s="4"/>
      <c r="EA151" s="4"/>
      <c r="EB151" s="9">
        <f>D151*'MASTER SHEET'!D151</f>
        <v>0</v>
      </c>
      <c r="EC151" s="9">
        <f>H151*'MASTER SHEET'!D151</f>
        <v>0</v>
      </c>
      <c r="ED151" s="9">
        <f>L151*'MASTER SHEET'!D151</f>
        <v>0</v>
      </c>
      <c r="EE151" s="9">
        <f>P151*'MASTER SHEET'!D151</f>
        <v>0</v>
      </c>
      <c r="EF151" s="9">
        <f>T151*'MASTER SHEET'!D151</f>
        <v>0</v>
      </c>
      <c r="EG151" s="9">
        <f>X151*'MASTER SHEET'!D151</f>
        <v>0</v>
      </c>
      <c r="EH151" s="9">
        <f>AB151*'MASTER SHEET'!D151</f>
        <v>0</v>
      </c>
      <c r="EI151" s="9">
        <f>AF151*'MASTER SHEET'!D151</f>
        <v>0</v>
      </c>
      <c r="EJ151" s="9">
        <f>AJ151*'MASTER SHEET'!D151</f>
        <v>0</v>
      </c>
      <c r="EK151" s="9">
        <f>AN151*'MASTER SHEET'!D151</f>
        <v>0</v>
      </c>
      <c r="EL151" s="9">
        <f>AR151*'MASTER SHEET'!D151</f>
        <v>0</v>
      </c>
      <c r="EM151" s="9">
        <f>AV151*'MASTER SHEET'!D151</f>
        <v>0</v>
      </c>
      <c r="EN151" s="9">
        <f>AZ151*'MASTER SHEET'!D151</f>
        <v>0</v>
      </c>
      <c r="EO151" s="9">
        <f>BD151*'MASTER SHEET'!D151</f>
        <v>0</v>
      </c>
      <c r="EP151" s="9">
        <f>BH151*'MASTER SHEET'!D151</f>
        <v>0</v>
      </c>
      <c r="EQ151" s="9">
        <f>BL151*'MASTER SHEET'!D151</f>
        <v>0</v>
      </c>
      <c r="ER151" s="9">
        <f>BP151*'MASTER SHEET'!D151</f>
        <v>0</v>
      </c>
      <c r="ES151" s="9">
        <f>BT151*'MASTER SHEET'!D151</f>
        <v>0</v>
      </c>
      <c r="ET151" s="9">
        <f>BX151*'MASTER SHEET'!D151</f>
        <v>0</v>
      </c>
      <c r="EU151" s="9">
        <f>CB151*'MASTER SHEET'!D151</f>
        <v>0</v>
      </c>
      <c r="EV151" s="9">
        <f>CF151*'MASTER SHEET'!D151</f>
        <v>0</v>
      </c>
      <c r="EW151" s="9">
        <f>CJ151*'MASTER SHEET'!D151</f>
        <v>0</v>
      </c>
      <c r="EX151" s="9">
        <f>CN151*'MASTER SHEET'!D151</f>
        <v>0</v>
      </c>
      <c r="EY151" s="9">
        <f>CV151*'MASTER SHEET'!D151</f>
        <v>0</v>
      </c>
      <c r="EZ151" s="9">
        <f>CV151*'MASTER SHEET'!D151</f>
        <v>0</v>
      </c>
      <c r="FA151" s="9">
        <f>CZ151*'MASTER SHEET'!D151</f>
        <v>0</v>
      </c>
      <c r="FB151" s="9">
        <f>DD151*'MASTER SHEET'!D151</f>
        <v>0</v>
      </c>
      <c r="FC151" s="9">
        <f>DH151*'MASTER SHEET'!D151</f>
        <v>0</v>
      </c>
      <c r="FD151" s="9">
        <f>DL151*'MASTER SHEET'!D151</f>
        <v>0</v>
      </c>
      <c r="FE151" s="9">
        <f>DP151*'MASTER SHEET'!D151</f>
        <v>0</v>
      </c>
      <c r="FF151" s="9">
        <f>DT151*'MASTER SHEET'!D151</f>
        <v>0</v>
      </c>
      <c r="FG151" s="9">
        <f>DX151*'MASTER SHEET'!D151</f>
        <v>0</v>
      </c>
    </row>
    <row r="152" spans="1:163" ht="20.25" x14ac:dyDescent="0.25">
      <c r="A152" s="43">
        <f>'MASTER SHEET'!A152</f>
        <v>150</v>
      </c>
      <c r="B152" s="26" t="str">
        <f>'MASTER SHEET'!B152</f>
        <v>CLIP PIN</v>
      </c>
      <c r="C152" s="82">
        <f>'MASTER SHEET'!C152</f>
        <v>70026</v>
      </c>
      <c r="D152" s="64"/>
      <c r="E152" s="28"/>
      <c r="F152" s="28"/>
      <c r="G152" s="65"/>
      <c r="H152" s="64">
        <f t="shared" si="106"/>
        <v>0</v>
      </c>
      <c r="I152" s="28"/>
      <c r="J152" s="28"/>
      <c r="K152" s="65"/>
      <c r="L152" s="64">
        <f t="shared" si="107"/>
        <v>0</v>
      </c>
      <c r="M152" s="28"/>
      <c r="N152" s="28"/>
      <c r="O152" s="65"/>
      <c r="P152" s="64">
        <f t="shared" si="108"/>
        <v>0</v>
      </c>
      <c r="Q152" s="28"/>
      <c r="R152" s="28"/>
      <c r="S152" s="65"/>
      <c r="T152" s="64">
        <f t="shared" si="109"/>
        <v>0</v>
      </c>
      <c r="U152" s="28"/>
      <c r="V152" s="28"/>
      <c r="W152" s="65"/>
      <c r="X152" s="64">
        <f t="shared" si="110"/>
        <v>0</v>
      </c>
      <c r="Y152" s="28"/>
      <c r="Z152" s="28"/>
      <c r="AA152" s="65"/>
      <c r="AB152" s="64">
        <f t="shared" si="111"/>
        <v>0</v>
      </c>
      <c r="AC152" s="28"/>
      <c r="AD152" s="28"/>
      <c r="AE152" s="65"/>
      <c r="AF152" s="64">
        <f t="shared" si="112"/>
        <v>0</v>
      </c>
      <c r="AG152" s="28"/>
      <c r="AH152" s="28"/>
      <c r="AI152" s="65"/>
      <c r="AJ152" s="64">
        <f t="shared" si="113"/>
        <v>0</v>
      </c>
      <c r="AK152" s="28"/>
      <c r="AL152" s="28"/>
      <c r="AM152" s="65"/>
      <c r="AN152" s="64">
        <f t="shared" si="114"/>
        <v>0</v>
      </c>
      <c r="AO152" s="28"/>
      <c r="AP152" s="28"/>
      <c r="AQ152" s="65"/>
      <c r="AR152" s="64">
        <f t="shared" si="115"/>
        <v>0</v>
      </c>
      <c r="AS152" s="28"/>
      <c r="AT152" s="28"/>
      <c r="AU152" s="65"/>
      <c r="AV152" s="64">
        <f t="shared" si="116"/>
        <v>0</v>
      </c>
      <c r="AW152" s="28"/>
      <c r="AX152" s="28"/>
      <c r="AY152" s="65"/>
      <c r="AZ152" s="64">
        <f t="shared" si="117"/>
        <v>0</v>
      </c>
      <c r="BA152" s="28"/>
      <c r="BB152" s="28"/>
      <c r="BC152" s="65"/>
      <c r="BD152" s="64">
        <f t="shared" si="118"/>
        <v>0</v>
      </c>
      <c r="BE152" s="28"/>
      <c r="BF152" s="28"/>
      <c r="BG152" s="65"/>
      <c r="BH152" s="64">
        <f t="shared" si="119"/>
        <v>0</v>
      </c>
      <c r="BI152" s="28"/>
      <c r="BJ152" s="28"/>
      <c r="BK152" s="65"/>
      <c r="BL152" s="64">
        <f t="shared" si="120"/>
        <v>0</v>
      </c>
      <c r="BM152" s="28"/>
      <c r="BN152" s="28"/>
      <c r="BO152" s="65"/>
      <c r="BP152" s="64">
        <f t="shared" si="121"/>
        <v>0</v>
      </c>
      <c r="BQ152" s="28"/>
      <c r="BR152" s="28"/>
      <c r="BS152" s="65"/>
      <c r="BT152" s="64">
        <f t="shared" si="122"/>
        <v>0</v>
      </c>
      <c r="BU152" s="28"/>
      <c r="BV152" s="28"/>
      <c r="BW152" s="65"/>
      <c r="BX152" s="64">
        <f t="shared" si="123"/>
        <v>0</v>
      </c>
      <c r="BY152" s="28"/>
      <c r="BZ152" s="28"/>
      <c r="CA152" s="65"/>
      <c r="CB152" s="64">
        <f t="shared" si="124"/>
        <v>0</v>
      </c>
      <c r="CC152" s="28"/>
      <c r="CD152" s="28"/>
      <c r="CE152" s="65"/>
      <c r="CF152" s="64">
        <f t="shared" si="125"/>
        <v>0</v>
      </c>
      <c r="CG152" s="28"/>
      <c r="CH152" s="28"/>
      <c r="CI152" s="65"/>
      <c r="CJ152" s="64">
        <f t="shared" si="126"/>
        <v>0</v>
      </c>
      <c r="CK152" s="28"/>
      <c r="CL152" s="28"/>
      <c r="CM152" s="65"/>
      <c r="CN152" s="64">
        <f t="shared" si="127"/>
        <v>0</v>
      </c>
      <c r="CO152" s="28"/>
      <c r="CP152" s="28"/>
      <c r="CQ152" s="65"/>
      <c r="CR152" s="64">
        <f t="shared" si="128"/>
        <v>0</v>
      </c>
      <c r="CS152" s="28"/>
      <c r="CT152" s="28"/>
      <c r="CU152" s="65"/>
      <c r="CV152" s="64">
        <f t="shared" si="129"/>
        <v>0</v>
      </c>
      <c r="CW152" s="28"/>
      <c r="CX152" s="28"/>
      <c r="CY152" s="65"/>
      <c r="CZ152" s="64">
        <f t="shared" si="130"/>
        <v>0</v>
      </c>
      <c r="DA152" s="28"/>
      <c r="DB152" s="28"/>
      <c r="DC152" s="65"/>
      <c r="DD152" s="64">
        <f t="shared" si="131"/>
        <v>0</v>
      </c>
      <c r="DE152" s="28"/>
      <c r="DF152" s="28"/>
      <c r="DG152" s="65"/>
      <c r="DH152" s="64">
        <f t="shared" si="132"/>
        <v>0</v>
      </c>
      <c r="DI152" s="28"/>
      <c r="DJ152" s="28"/>
      <c r="DK152" s="65"/>
      <c r="DL152" s="64">
        <f t="shared" si="133"/>
        <v>0</v>
      </c>
      <c r="DM152" s="28"/>
      <c r="DN152" s="28"/>
      <c r="DO152" s="65"/>
      <c r="DP152" s="64">
        <f t="shared" si="134"/>
        <v>0</v>
      </c>
      <c r="DQ152" s="28"/>
      <c r="DR152" s="28"/>
      <c r="DS152" s="65"/>
      <c r="DT152" s="64">
        <f t="shared" si="135"/>
        <v>0</v>
      </c>
      <c r="DU152" s="28"/>
      <c r="DV152" s="28"/>
      <c r="DW152" s="65"/>
      <c r="DX152" s="30">
        <f t="shared" si="136"/>
        <v>0</v>
      </c>
      <c r="DY152" s="4"/>
      <c r="DZ152" s="4"/>
      <c r="EA152" s="4"/>
      <c r="EB152" s="9">
        <f>D152*'MASTER SHEET'!D152</f>
        <v>0</v>
      </c>
      <c r="EC152" s="9">
        <f>H152*'MASTER SHEET'!D152</f>
        <v>0</v>
      </c>
      <c r="ED152" s="9">
        <f>L152*'MASTER SHEET'!D152</f>
        <v>0</v>
      </c>
      <c r="EE152" s="9">
        <f>P152*'MASTER SHEET'!D152</f>
        <v>0</v>
      </c>
      <c r="EF152" s="9">
        <f>T152*'MASTER SHEET'!D152</f>
        <v>0</v>
      </c>
      <c r="EG152" s="9">
        <f>X152*'MASTER SHEET'!D152</f>
        <v>0</v>
      </c>
      <c r="EH152" s="9">
        <f>AB152*'MASTER SHEET'!D152</f>
        <v>0</v>
      </c>
      <c r="EI152" s="9">
        <f>AF152*'MASTER SHEET'!D152</f>
        <v>0</v>
      </c>
      <c r="EJ152" s="9">
        <f>AJ152*'MASTER SHEET'!D152</f>
        <v>0</v>
      </c>
      <c r="EK152" s="9">
        <f>AN152*'MASTER SHEET'!D152</f>
        <v>0</v>
      </c>
      <c r="EL152" s="9">
        <f>AR152*'MASTER SHEET'!D152</f>
        <v>0</v>
      </c>
      <c r="EM152" s="9">
        <f>AV152*'MASTER SHEET'!D152</f>
        <v>0</v>
      </c>
      <c r="EN152" s="9">
        <f>AZ152*'MASTER SHEET'!D152</f>
        <v>0</v>
      </c>
      <c r="EO152" s="9">
        <f>BD152*'MASTER SHEET'!D152</f>
        <v>0</v>
      </c>
      <c r="EP152" s="9">
        <f>BH152*'MASTER SHEET'!D152</f>
        <v>0</v>
      </c>
      <c r="EQ152" s="9">
        <f>BL152*'MASTER SHEET'!D152</f>
        <v>0</v>
      </c>
      <c r="ER152" s="9">
        <f>BP152*'MASTER SHEET'!D152</f>
        <v>0</v>
      </c>
      <c r="ES152" s="9">
        <f>BT152*'MASTER SHEET'!D152</f>
        <v>0</v>
      </c>
      <c r="ET152" s="9">
        <f>BX152*'MASTER SHEET'!D152</f>
        <v>0</v>
      </c>
      <c r="EU152" s="9">
        <f>CB152*'MASTER SHEET'!D152</f>
        <v>0</v>
      </c>
      <c r="EV152" s="9">
        <f>CF152*'MASTER SHEET'!D152</f>
        <v>0</v>
      </c>
      <c r="EW152" s="9">
        <f>CJ152*'MASTER SHEET'!D152</f>
        <v>0</v>
      </c>
      <c r="EX152" s="9">
        <f>CN152*'MASTER SHEET'!D152</f>
        <v>0</v>
      </c>
      <c r="EY152" s="9">
        <f>CV152*'MASTER SHEET'!D152</f>
        <v>0</v>
      </c>
      <c r="EZ152" s="9">
        <f>CV152*'MASTER SHEET'!D152</f>
        <v>0</v>
      </c>
      <c r="FA152" s="9">
        <f>CZ152*'MASTER SHEET'!D152</f>
        <v>0</v>
      </c>
      <c r="FB152" s="9">
        <f>DD152*'MASTER SHEET'!D152</f>
        <v>0</v>
      </c>
      <c r="FC152" s="9">
        <f>DH152*'MASTER SHEET'!D152</f>
        <v>0</v>
      </c>
      <c r="FD152" s="9">
        <f>DL152*'MASTER SHEET'!D152</f>
        <v>0</v>
      </c>
      <c r="FE152" s="9">
        <f>DP152*'MASTER SHEET'!D152</f>
        <v>0</v>
      </c>
      <c r="FF152" s="9">
        <f>DT152*'MASTER SHEET'!D152</f>
        <v>0</v>
      </c>
      <c r="FG152" s="9">
        <f>DX152*'MASTER SHEET'!D152</f>
        <v>0</v>
      </c>
    </row>
    <row r="153" spans="1:163" ht="20.25" x14ac:dyDescent="0.25">
      <c r="A153" s="43">
        <f>'MASTER SHEET'!A153</f>
        <v>151</v>
      </c>
      <c r="B153" s="26" t="str">
        <f>'MASTER SHEET'!B153</f>
        <v>CLAMP D,FUEL PIPE</v>
      </c>
      <c r="C153" s="82">
        <f>'MASTER SHEET'!C153</f>
        <v>70007</v>
      </c>
      <c r="D153" s="64"/>
      <c r="E153" s="28"/>
      <c r="F153" s="28"/>
      <c r="G153" s="65"/>
      <c r="H153" s="64">
        <f t="shared" si="106"/>
        <v>0</v>
      </c>
      <c r="I153" s="28"/>
      <c r="J153" s="28"/>
      <c r="K153" s="65"/>
      <c r="L153" s="64">
        <f t="shared" si="107"/>
        <v>0</v>
      </c>
      <c r="M153" s="28"/>
      <c r="N153" s="28"/>
      <c r="O153" s="65"/>
      <c r="P153" s="64">
        <f t="shared" si="108"/>
        <v>0</v>
      </c>
      <c r="Q153" s="28"/>
      <c r="R153" s="28"/>
      <c r="S153" s="65"/>
      <c r="T153" s="64">
        <f t="shared" si="109"/>
        <v>0</v>
      </c>
      <c r="U153" s="28"/>
      <c r="V153" s="28"/>
      <c r="W153" s="65"/>
      <c r="X153" s="64">
        <f t="shared" si="110"/>
        <v>0</v>
      </c>
      <c r="Y153" s="28"/>
      <c r="Z153" s="28"/>
      <c r="AA153" s="65"/>
      <c r="AB153" s="64">
        <f t="shared" si="111"/>
        <v>0</v>
      </c>
      <c r="AC153" s="28"/>
      <c r="AD153" s="28"/>
      <c r="AE153" s="65"/>
      <c r="AF153" s="64">
        <f t="shared" si="112"/>
        <v>0</v>
      </c>
      <c r="AG153" s="28"/>
      <c r="AH153" s="28"/>
      <c r="AI153" s="65"/>
      <c r="AJ153" s="64">
        <f t="shared" si="113"/>
        <v>0</v>
      </c>
      <c r="AK153" s="28"/>
      <c r="AL153" s="28"/>
      <c r="AM153" s="65"/>
      <c r="AN153" s="64">
        <f t="shared" si="114"/>
        <v>0</v>
      </c>
      <c r="AO153" s="28"/>
      <c r="AP153" s="28"/>
      <c r="AQ153" s="65"/>
      <c r="AR153" s="64">
        <f t="shared" si="115"/>
        <v>0</v>
      </c>
      <c r="AS153" s="28"/>
      <c r="AT153" s="28"/>
      <c r="AU153" s="65"/>
      <c r="AV153" s="64">
        <f t="shared" si="116"/>
        <v>0</v>
      </c>
      <c r="AW153" s="28"/>
      <c r="AX153" s="28"/>
      <c r="AY153" s="65"/>
      <c r="AZ153" s="64">
        <f t="shared" si="117"/>
        <v>0</v>
      </c>
      <c r="BA153" s="28"/>
      <c r="BB153" s="28"/>
      <c r="BC153" s="65"/>
      <c r="BD153" s="64">
        <f t="shared" si="118"/>
        <v>0</v>
      </c>
      <c r="BE153" s="28"/>
      <c r="BF153" s="28"/>
      <c r="BG153" s="65"/>
      <c r="BH153" s="64">
        <f t="shared" si="119"/>
        <v>0</v>
      </c>
      <c r="BI153" s="28"/>
      <c r="BJ153" s="28"/>
      <c r="BK153" s="65"/>
      <c r="BL153" s="64">
        <f t="shared" si="120"/>
        <v>0</v>
      </c>
      <c r="BM153" s="28"/>
      <c r="BN153" s="28"/>
      <c r="BO153" s="65"/>
      <c r="BP153" s="64">
        <f t="shared" si="121"/>
        <v>0</v>
      </c>
      <c r="BQ153" s="28"/>
      <c r="BR153" s="28"/>
      <c r="BS153" s="65"/>
      <c r="BT153" s="64">
        <f t="shared" si="122"/>
        <v>0</v>
      </c>
      <c r="BU153" s="28"/>
      <c r="BV153" s="28"/>
      <c r="BW153" s="65"/>
      <c r="BX153" s="64">
        <f t="shared" si="123"/>
        <v>0</v>
      </c>
      <c r="BY153" s="28"/>
      <c r="BZ153" s="28"/>
      <c r="CA153" s="65"/>
      <c r="CB153" s="64">
        <f t="shared" si="124"/>
        <v>0</v>
      </c>
      <c r="CC153" s="28"/>
      <c r="CD153" s="28"/>
      <c r="CE153" s="65"/>
      <c r="CF153" s="64">
        <f t="shared" si="125"/>
        <v>0</v>
      </c>
      <c r="CG153" s="28"/>
      <c r="CH153" s="28"/>
      <c r="CI153" s="65"/>
      <c r="CJ153" s="64">
        <f t="shared" si="126"/>
        <v>0</v>
      </c>
      <c r="CK153" s="28"/>
      <c r="CL153" s="28"/>
      <c r="CM153" s="65"/>
      <c r="CN153" s="64">
        <f t="shared" si="127"/>
        <v>0</v>
      </c>
      <c r="CO153" s="28"/>
      <c r="CP153" s="28"/>
      <c r="CQ153" s="65"/>
      <c r="CR153" s="64">
        <f t="shared" si="128"/>
        <v>0</v>
      </c>
      <c r="CS153" s="28"/>
      <c r="CT153" s="28"/>
      <c r="CU153" s="65"/>
      <c r="CV153" s="64">
        <f t="shared" si="129"/>
        <v>0</v>
      </c>
      <c r="CW153" s="28"/>
      <c r="CX153" s="28"/>
      <c r="CY153" s="65"/>
      <c r="CZ153" s="64">
        <f t="shared" si="130"/>
        <v>0</v>
      </c>
      <c r="DA153" s="28"/>
      <c r="DB153" s="28"/>
      <c r="DC153" s="65"/>
      <c r="DD153" s="64">
        <f t="shared" si="131"/>
        <v>0</v>
      </c>
      <c r="DE153" s="28"/>
      <c r="DF153" s="28"/>
      <c r="DG153" s="65"/>
      <c r="DH153" s="64">
        <f t="shared" si="132"/>
        <v>0</v>
      </c>
      <c r="DI153" s="28"/>
      <c r="DJ153" s="28"/>
      <c r="DK153" s="65"/>
      <c r="DL153" s="64">
        <f t="shared" si="133"/>
        <v>0</v>
      </c>
      <c r="DM153" s="28"/>
      <c r="DN153" s="28"/>
      <c r="DO153" s="65"/>
      <c r="DP153" s="64">
        <f t="shared" si="134"/>
        <v>0</v>
      </c>
      <c r="DQ153" s="28"/>
      <c r="DR153" s="28"/>
      <c r="DS153" s="65"/>
      <c r="DT153" s="64">
        <f t="shared" si="135"/>
        <v>0</v>
      </c>
      <c r="DU153" s="28"/>
      <c r="DV153" s="28"/>
      <c r="DW153" s="65"/>
      <c r="DX153" s="30">
        <f t="shared" si="136"/>
        <v>0</v>
      </c>
      <c r="DY153" s="4"/>
      <c r="DZ153" s="4"/>
      <c r="EA153" s="4"/>
      <c r="EB153" s="9">
        <f>D153*'MASTER SHEET'!D153</f>
        <v>0</v>
      </c>
      <c r="EC153" s="9">
        <f>H153*'MASTER SHEET'!D153</f>
        <v>0</v>
      </c>
      <c r="ED153" s="9">
        <f>L153*'MASTER SHEET'!D153</f>
        <v>0</v>
      </c>
      <c r="EE153" s="9">
        <f>P153*'MASTER SHEET'!D153</f>
        <v>0</v>
      </c>
      <c r="EF153" s="9">
        <f>T153*'MASTER SHEET'!D153</f>
        <v>0</v>
      </c>
      <c r="EG153" s="9">
        <f>X153*'MASTER SHEET'!D153</f>
        <v>0</v>
      </c>
      <c r="EH153" s="9">
        <f>AB153*'MASTER SHEET'!D153</f>
        <v>0</v>
      </c>
      <c r="EI153" s="9">
        <f>AF153*'MASTER SHEET'!D153</f>
        <v>0</v>
      </c>
      <c r="EJ153" s="9">
        <f>AJ153*'MASTER SHEET'!D153</f>
        <v>0</v>
      </c>
      <c r="EK153" s="9">
        <f>AN153*'MASTER SHEET'!D153</f>
        <v>0</v>
      </c>
      <c r="EL153" s="9">
        <f>AR153*'MASTER SHEET'!D153</f>
        <v>0</v>
      </c>
      <c r="EM153" s="9">
        <f>AV153*'MASTER SHEET'!D153</f>
        <v>0</v>
      </c>
      <c r="EN153" s="9">
        <f>AZ153*'MASTER SHEET'!D153</f>
        <v>0</v>
      </c>
      <c r="EO153" s="9">
        <f>BD153*'MASTER SHEET'!D153</f>
        <v>0</v>
      </c>
      <c r="EP153" s="9">
        <f>BH153*'MASTER SHEET'!D153</f>
        <v>0</v>
      </c>
      <c r="EQ153" s="9">
        <f>BL153*'MASTER SHEET'!D153</f>
        <v>0</v>
      </c>
      <c r="ER153" s="9">
        <f>BP153*'MASTER SHEET'!D153</f>
        <v>0</v>
      </c>
      <c r="ES153" s="9">
        <f>BT153*'MASTER SHEET'!D153</f>
        <v>0</v>
      </c>
      <c r="ET153" s="9">
        <f>BX153*'MASTER SHEET'!D153</f>
        <v>0</v>
      </c>
      <c r="EU153" s="9">
        <f>CB153*'MASTER SHEET'!D153</f>
        <v>0</v>
      </c>
      <c r="EV153" s="9">
        <f>CF153*'MASTER SHEET'!D153</f>
        <v>0</v>
      </c>
      <c r="EW153" s="9">
        <f>CJ153*'MASTER SHEET'!D153</f>
        <v>0</v>
      </c>
      <c r="EX153" s="9">
        <f>CN153*'MASTER SHEET'!D153</f>
        <v>0</v>
      </c>
      <c r="EY153" s="9">
        <f>CV153*'MASTER SHEET'!D153</f>
        <v>0</v>
      </c>
      <c r="EZ153" s="9">
        <f>CV153*'MASTER SHEET'!D153</f>
        <v>0</v>
      </c>
      <c r="FA153" s="9">
        <f>CZ153*'MASTER SHEET'!D153</f>
        <v>0</v>
      </c>
      <c r="FB153" s="9">
        <f>DD153*'MASTER SHEET'!D153</f>
        <v>0</v>
      </c>
      <c r="FC153" s="9">
        <f>DH153*'MASTER SHEET'!D153</f>
        <v>0</v>
      </c>
      <c r="FD153" s="9">
        <f>DL153*'MASTER SHEET'!D153</f>
        <v>0</v>
      </c>
      <c r="FE153" s="9">
        <f>DP153*'MASTER SHEET'!D153</f>
        <v>0</v>
      </c>
      <c r="FF153" s="9">
        <f>DT153*'MASTER SHEET'!D153</f>
        <v>0</v>
      </c>
      <c r="FG153" s="9">
        <f>DX153*'MASTER SHEET'!D153</f>
        <v>0</v>
      </c>
    </row>
    <row r="154" spans="1:163" ht="20.25" x14ac:dyDescent="0.25">
      <c r="A154" s="43">
        <f>'MASTER SHEET'!A154</f>
        <v>152</v>
      </c>
      <c r="B154" s="26" t="str">
        <f>'MASTER SHEET'!B154</f>
        <v>CLAMP B,FUEL PIPE</v>
      </c>
      <c r="C154" s="82">
        <f>'MASTER SHEET'!C154</f>
        <v>70005</v>
      </c>
      <c r="D154" s="64"/>
      <c r="E154" s="28"/>
      <c r="F154" s="28"/>
      <c r="G154" s="65"/>
      <c r="H154" s="64">
        <f t="shared" si="106"/>
        <v>0</v>
      </c>
      <c r="I154" s="28"/>
      <c r="J154" s="28"/>
      <c r="K154" s="65"/>
      <c r="L154" s="64">
        <f t="shared" si="107"/>
        <v>0</v>
      </c>
      <c r="M154" s="28"/>
      <c r="N154" s="28"/>
      <c r="O154" s="65"/>
      <c r="P154" s="64">
        <f t="shared" si="108"/>
        <v>0</v>
      </c>
      <c r="Q154" s="28"/>
      <c r="R154" s="28"/>
      <c r="S154" s="65"/>
      <c r="T154" s="64">
        <f t="shared" si="109"/>
        <v>0</v>
      </c>
      <c r="U154" s="28"/>
      <c r="V154" s="28"/>
      <c r="W154" s="65"/>
      <c r="X154" s="64">
        <f t="shared" si="110"/>
        <v>0</v>
      </c>
      <c r="Y154" s="28"/>
      <c r="Z154" s="28"/>
      <c r="AA154" s="65"/>
      <c r="AB154" s="64">
        <f t="shared" si="111"/>
        <v>0</v>
      </c>
      <c r="AC154" s="28"/>
      <c r="AD154" s="28"/>
      <c r="AE154" s="65"/>
      <c r="AF154" s="64">
        <f t="shared" si="112"/>
        <v>0</v>
      </c>
      <c r="AG154" s="28"/>
      <c r="AH154" s="28"/>
      <c r="AI154" s="65"/>
      <c r="AJ154" s="64">
        <f t="shared" si="113"/>
        <v>0</v>
      </c>
      <c r="AK154" s="28"/>
      <c r="AL154" s="28"/>
      <c r="AM154" s="65"/>
      <c r="AN154" s="64">
        <f t="shared" si="114"/>
        <v>0</v>
      </c>
      <c r="AO154" s="28"/>
      <c r="AP154" s="28"/>
      <c r="AQ154" s="65"/>
      <c r="AR154" s="64">
        <f t="shared" si="115"/>
        <v>0</v>
      </c>
      <c r="AS154" s="28"/>
      <c r="AT154" s="28"/>
      <c r="AU154" s="65"/>
      <c r="AV154" s="64">
        <f t="shared" si="116"/>
        <v>0</v>
      </c>
      <c r="AW154" s="28"/>
      <c r="AX154" s="28"/>
      <c r="AY154" s="65"/>
      <c r="AZ154" s="64">
        <f t="shared" si="117"/>
        <v>0</v>
      </c>
      <c r="BA154" s="28"/>
      <c r="BB154" s="28"/>
      <c r="BC154" s="65"/>
      <c r="BD154" s="64">
        <f t="shared" si="118"/>
        <v>0</v>
      </c>
      <c r="BE154" s="28"/>
      <c r="BF154" s="28"/>
      <c r="BG154" s="65"/>
      <c r="BH154" s="64">
        <f t="shared" si="119"/>
        <v>0</v>
      </c>
      <c r="BI154" s="28"/>
      <c r="BJ154" s="28"/>
      <c r="BK154" s="65"/>
      <c r="BL154" s="64">
        <f t="shared" si="120"/>
        <v>0</v>
      </c>
      <c r="BM154" s="28"/>
      <c r="BN154" s="28"/>
      <c r="BO154" s="65"/>
      <c r="BP154" s="64">
        <f t="shared" si="121"/>
        <v>0</v>
      </c>
      <c r="BQ154" s="28"/>
      <c r="BR154" s="28"/>
      <c r="BS154" s="65"/>
      <c r="BT154" s="64">
        <f t="shared" si="122"/>
        <v>0</v>
      </c>
      <c r="BU154" s="28"/>
      <c r="BV154" s="28"/>
      <c r="BW154" s="65"/>
      <c r="BX154" s="64">
        <f t="shared" si="123"/>
        <v>0</v>
      </c>
      <c r="BY154" s="28"/>
      <c r="BZ154" s="28"/>
      <c r="CA154" s="65"/>
      <c r="CB154" s="64">
        <f t="shared" si="124"/>
        <v>0</v>
      </c>
      <c r="CC154" s="28"/>
      <c r="CD154" s="28"/>
      <c r="CE154" s="65"/>
      <c r="CF154" s="64">
        <f t="shared" si="125"/>
        <v>0</v>
      </c>
      <c r="CG154" s="28"/>
      <c r="CH154" s="28"/>
      <c r="CI154" s="65"/>
      <c r="CJ154" s="64">
        <f t="shared" si="126"/>
        <v>0</v>
      </c>
      <c r="CK154" s="28"/>
      <c r="CL154" s="28"/>
      <c r="CM154" s="65"/>
      <c r="CN154" s="64">
        <f t="shared" si="127"/>
        <v>0</v>
      </c>
      <c r="CO154" s="28"/>
      <c r="CP154" s="28"/>
      <c r="CQ154" s="65"/>
      <c r="CR154" s="64">
        <f t="shared" si="128"/>
        <v>0</v>
      </c>
      <c r="CS154" s="28"/>
      <c r="CT154" s="28"/>
      <c r="CU154" s="65"/>
      <c r="CV154" s="64">
        <f t="shared" si="129"/>
        <v>0</v>
      </c>
      <c r="CW154" s="28"/>
      <c r="CX154" s="28"/>
      <c r="CY154" s="65"/>
      <c r="CZ154" s="64">
        <f t="shared" si="130"/>
        <v>0</v>
      </c>
      <c r="DA154" s="28"/>
      <c r="DB154" s="28"/>
      <c r="DC154" s="65"/>
      <c r="DD154" s="64">
        <f t="shared" si="131"/>
        <v>0</v>
      </c>
      <c r="DE154" s="28"/>
      <c r="DF154" s="28"/>
      <c r="DG154" s="65"/>
      <c r="DH154" s="64">
        <f t="shared" si="132"/>
        <v>0</v>
      </c>
      <c r="DI154" s="28"/>
      <c r="DJ154" s="28"/>
      <c r="DK154" s="65"/>
      <c r="DL154" s="64">
        <f t="shared" si="133"/>
        <v>0</v>
      </c>
      <c r="DM154" s="28"/>
      <c r="DN154" s="28"/>
      <c r="DO154" s="65"/>
      <c r="DP154" s="64">
        <f t="shared" si="134"/>
        <v>0</v>
      </c>
      <c r="DQ154" s="28"/>
      <c r="DR154" s="28"/>
      <c r="DS154" s="65"/>
      <c r="DT154" s="64">
        <f t="shared" si="135"/>
        <v>0</v>
      </c>
      <c r="DU154" s="28"/>
      <c r="DV154" s="28"/>
      <c r="DW154" s="65"/>
      <c r="DX154" s="30">
        <f t="shared" si="136"/>
        <v>0</v>
      </c>
      <c r="DY154" s="4"/>
      <c r="DZ154" s="4"/>
      <c r="EA154" s="4"/>
      <c r="EB154" s="9">
        <f>D154*'MASTER SHEET'!D154</f>
        <v>0</v>
      </c>
      <c r="EC154" s="9">
        <f>H154*'MASTER SHEET'!D154</f>
        <v>0</v>
      </c>
      <c r="ED154" s="9">
        <f>L154*'MASTER SHEET'!D154</f>
        <v>0</v>
      </c>
      <c r="EE154" s="9">
        <f>P154*'MASTER SHEET'!D154</f>
        <v>0</v>
      </c>
      <c r="EF154" s="9">
        <f>T154*'MASTER SHEET'!D154</f>
        <v>0</v>
      </c>
      <c r="EG154" s="9">
        <f>X154*'MASTER SHEET'!D154</f>
        <v>0</v>
      </c>
      <c r="EH154" s="9">
        <f>AB154*'MASTER SHEET'!D154</f>
        <v>0</v>
      </c>
      <c r="EI154" s="9">
        <f>AF154*'MASTER SHEET'!D154</f>
        <v>0</v>
      </c>
      <c r="EJ154" s="9">
        <f>AJ154*'MASTER SHEET'!D154</f>
        <v>0</v>
      </c>
      <c r="EK154" s="9">
        <f>AN154*'MASTER SHEET'!D154</f>
        <v>0</v>
      </c>
      <c r="EL154" s="9">
        <f>AR154*'MASTER SHEET'!D154</f>
        <v>0</v>
      </c>
      <c r="EM154" s="9">
        <f>AV154*'MASTER SHEET'!D154</f>
        <v>0</v>
      </c>
      <c r="EN154" s="9">
        <f>AZ154*'MASTER SHEET'!D154</f>
        <v>0</v>
      </c>
      <c r="EO154" s="9">
        <f>BD154*'MASTER SHEET'!D154</f>
        <v>0</v>
      </c>
      <c r="EP154" s="9">
        <f>BH154*'MASTER SHEET'!D154</f>
        <v>0</v>
      </c>
      <c r="EQ154" s="9">
        <f>BL154*'MASTER SHEET'!D154</f>
        <v>0</v>
      </c>
      <c r="ER154" s="9">
        <f>BP154*'MASTER SHEET'!D154</f>
        <v>0</v>
      </c>
      <c r="ES154" s="9">
        <f>BT154*'MASTER SHEET'!D154</f>
        <v>0</v>
      </c>
      <c r="ET154" s="9">
        <f>BX154*'MASTER SHEET'!D154</f>
        <v>0</v>
      </c>
      <c r="EU154" s="9">
        <f>CB154*'MASTER SHEET'!D154</f>
        <v>0</v>
      </c>
      <c r="EV154" s="9">
        <f>CF154*'MASTER SHEET'!D154</f>
        <v>0</v>
      </c>
      <c r="EW154" s="9">
        <f>CJ154*'MASTER SHEET'!D154</f>
        <v>0</v>
      </c>
      <c r="EX154" s="9">
        <f>CN154*'MASTER SHEET'!D154</f>
        <v>0</v>
      </c>
      <c r="EY154" s="9">
        <f>CV154*'MASTER SHEET'!D154</f>
        <v>0</v>
      </c>
      <c r="EZ154" s="9">
        <f>CV154*'MASTER SHEET'!D154</f>
        <v>0</v>
      </c>
      <c r="FA154" s="9">
        <f>CZ154*'MASTER SHEET'!D154</f>
        <v>0</v>
      </c>
      <c r="FB154" s="9">
        <f>DD154*'MASTER SHEET'!D154</f>
        <v>0</v>
      </c>
      <c r="FC154" s="9">
        <f>DH154*'MASTER SHEET'!D154</f>
        <v>0</v>
      </c>
      <c r="FD154" s="9">
        <f>DL154*'MASTER SHEET'!D154</f>
        <v>0</v>
      </c>
      <c r="FE154" s="9">
        <f>DP154*'MASTER SHEET'!D154</f>
        <v>0</v>
      </c>
      <c r="FF154" s="9">
        <f>DT154*'MASTER SHEET'!D154</f>
        <v>0</v>
      </c>
      <c r="FG154" s="9">
        <f>DX154*'MASTER SHEET'!D154</f>
        <v>0</v>
      </c>
    </row>
    <row r="155" spans="1:163" ht="20.25" x14ac:dyDescent="0.25">
      <c r="A155" s="43">
        <f>'MASTER SHEET'!A155</f>
        <v>153</v>
      </c>
      <c r="B155" s="26" t="str">
        <f>'MASTER SHEET'!B155</f>
        <v>CLAMP</v>
      </c>
      <c r="C155" s="82">
        <f>'MASTER SHEET'!C155</f>
        <v>62543</v>
      </c>
      <c r="D155" s="64"/>
      <c r="E155" s="28"/>
      <c r="F155" s="28"/>
      <c r="G155" s="65"/>
      <c r="H155" s="64">
        <f t="shared" si="106"/>
        <v>0</v>
      </c>
      <c r="I155" s="28"/>
      <c r="J155" s="28"/>
      <c r="K155" s="65"/>
      <c r="L155" s="64">
        <f t="shared" si="107"/>
        <v>0</v>
      </c>
      <c r="M155" s="28"/>
      <c r="N155" s="28"/>
      <c r="O155" s="65"/>
      <c r="P155" s="64">
        <f t="shared" si="108"/>
        <v>0</v>
      </c>
      <c r="Q155" s="28"/>
      <c r="R155" s="28"/>
      <c r="S155" s="65"/>
      <c r="T155" s="64">
        <f t="shared" si="109"/>
        <v>0</v>
      </c>
      <c r="U155" s="28"/>
      <c r="V155" s="28"/>
      <c r="W155" s="65"/>
      <c r="X155" s="64">
        <f t="shared" si="110"/>
        <v>0</v>
      </c>
      <c r="Y155" s="28"/>
      <c r="Z155" s="28"/>
      <c r="AA155" s="65"/>
      <c r="AB155" s="64">
        <f t="shared" si="111"/>
        <v>0</v>
      </c>
      <c r="AC155" s="28"/>
      <c r="AD155" s="28"/>
      <c r="AE155" s="65"/>
      <c r="AF155" s="64">
        <f t="shared" si="112"/>
        <v>0</v>
      </c>
      <c r="AG155" s="28"/>
      <c r="AH155" s="28"/>
      <c r="AI155" s="65"/>
      <c r="AJ155" s="64">
        <f t="shared" si="113"/>
        <v>0</v>
      </c>
      <c r="AK155" s="28"/>
      <c r="AL155" s="28"/>
      <c r="AM155" s="65"/>
      <c r="AN155" s="64">
        <f t="shared" si="114"/>
        <v>0</v>
      </c>
      <c r="AO155" s="28"/>
      <c r="AP155" s="28"/>
      <c r="AQ155" s="65"/>
      <c r="AR155" s="64">
        <f t="shared" si="115"/>
        <v>0</v>
      </c>
      <c r="AS155" s="28"/>
      <c r="AT155" s="28"/>
      <c r="AU155" s="65"/>
      <c r="AV155" s="64">
        <f t="shared" si="116"/>
        <v>0</v>
      </c>
      <c r="AW155" s="28"/>
      <c r="AX155" s="28"/>
      <c r="AY155" s="65"/>
      <c r="AZ155" s="64">
        <f t="shared" si="117"/>
        <v>0</v>
      </c>
      <c r="BA155" s="28"/>
      <c r="BB155" s="28"/>
      <c r="BC155" s="65"/>
      <c r="BD155" s="64">
        <f t="shared" si="118"/>
        <v>0</v>
      </c>
      <c r="BE155" s="28"/>
      <c r="BF155" s="28"/>
      <c r="BG155" s="65"/>
      <c r="BH155" s="64">
        <f t="shared" si="119"/>
        <v>0</v>
      </c>
      <c r="BI155" s="28"/>
      <c r="BJ155" s="28"/>
      <c r="BK155" s="65"/>
      <c r="BL155" s="64">
        <f t="shared" si="120"/>
        <v>0</v>
      </c>
      <c r="BM155" s="28"/>
      <c r="BN155" s="28"/>
      <c r="BO155" s="65"/>
      <c r="BP155" s="64">
        <f t="shared" si="121"/>
        <v>0</v>
      </c>
      <c r="BQ155" s="28"/>
      <c r="BR155" s="28"/>
      <c r="BS155" s="65"/>
      <c r="BT155" s="64">
        <f t="shared" si="122"/>
        <v>0</v>
      </c>
      <c r="BU155" s="28"/>
      <c r="BV155" s="28"/>
      <c r="BW155" s="65"/>
      <c r="BX155" s="64">
        <f t="shared" si="123"/>
        <v>0</v>
      </c>
      <c r="BY155" s="28"/>
      <c r="BZ155" s="28"/>
      <c r="CA155" s="65"/>
      <c r="CB155" s="64">
        <f t="shared" si="124"/>
        <v>0</v>
      </c>
      <c r="CC155" s="28"/>
      <c r="CD155" s="28"/>
      <c r="CE155" s="65"/>
      <c r="CF155" s="64">
        <f t="shared" si="125"/>
        <v>0</v>
      </c>
      <c r="CG155" s="28"/>
      <c r="CH155" s="28"/>
      <c r="CI155" s="65"/>
      <c r="CJ155" s="64">
        <f t="shared" si="126"/>
        <v>0</v>
      </c>
      <c r="CK155" s="28"/>
      <c r="CL155" s="28"/>
      <c r="CM155" s="65"/>
      <c r="CN155" s="64">
        <f t="shared" si="127"/>
        <v>0</v>
      </c>
      <c r="CO155" s="28"/>
      <c r="CP155" s="28"/>
      <c r="CQ155" s="65"/>
      <c r="CR155" s="64">
        <f t="shared" si="128"/>
        <v>0</v>
      </c>
      <c r="CS155" s="28"/>
      <c r="CT155" s="28"/>
      <c r="CU155" s="65"/>
      <c r="CV155" s="64">
        <f t="shared" si="129"/>
        <v>0</v>
      </c>
      <c r="CW155" s="28"/>
      <c r="CX155" s="28"/>
      <c r="CY155" s="65"/>
      <c r="CZ155" s="64">
        <f t="shared" si="130"/>
        <v>0</v>
      </c>
      <c r="DA155" s="28"/>
      <c r="DB155" s="28"/>
      <c r="DC155" s="65"/>
      <c r="DD155" s="64">
        <f t="shared" si="131"/>
        <v>0</v>
      </c>
      <c r="DE155" s="28"/>
      <c r="DF155" s="28"/>
      <c r="DG155" s="65"/>
      <c r="DH155" s="64">
        <f t="shared" si="132"/>
        <v>0</v>
      </c>
      <c r="DI155" s="28"/>
      <c r="DJ155" s="28"/>
      <c r="DK155" s="65"/>
      <c r="DL155" s="64">
        <f t="shared" si="133"/>
        <v>0</v>
      </c>
      <c r="DM155" s="28"/>
      <c r="DN155" s="28"/>
      <c r="DO155" s="65"/>
      <c r="DP155" s="64">
        <f t="shared" si="134"/>
        <v>0</v>
      </c>
      <c r="DQ155" s="28"/>
      <c r="DR155" s="28"/>
      <c r="DS155" s="65"/>
      <c r="DT155" s="64">
        <f t="shared" si="135"/>
        <v>0</v>
      </c>
      <c r="DU155" s="28"/>
      <c r="DV155" s="28"/>
      <c r="DW155" s="65"/>
      <c r="DX155" s="30">
        <f t="shared" si="136"/>
        <v>0</v>
      </c>
      <c r="DY155" s="4"/>
      <c r="DZ155" s="4"/>
      <c r="EA155" s="4"/>
      <c r="EB155" s="9">
        <f>D155*'MASTER SHEET'!D155</f>
        <v>0</v>
      </c>
      <c r="EC155" s="9">
        <f>H155*'MASTER SHEET'!D155</f>
        <v>0</v>
      </c>
      <c r="ED155" s="9">
        <f>L155*'MASTER SHEET'!D155</f>
        <v>0</v>
      </c>
      <c r="EE155" s="9">
        <f>P155*'MASTER SHEET'!D155</f>
        <v>0</v>
      </c>
      <c r="EF155" s="9">
        <f>T155*'MASTER SHEET'!D155</f>
        <v>0</v>
      </c>
      <c r="EG155" s="9">
        <f>X155*'MASTER SHEET'!D155</f>
        <v>0</v>
      </c>
      <c r="EH155" s="9">
        <f>AB155*'MASTER SHEET'!D155</f>
        <v>0</v>
      </c>
      <c r="EI155" s="9">
        <f>AF155*'MASTER SHEET'!D155</f>
        <v>0</v>
      </c>
      <c r="EJ155" s="9">
        <f>AJ155*'MASTER SHEET'!D155</f>
        <v>0</v>
      </c>
      <c r="EK155" s="9">
        <f>AN155*'MASTER SHEET'!D155</f>
        <v>0</v>
      </c>
      <c r="EL155" s="9">
        <f>AR155*'MASTER SHEET'!D155</f>
        <v>0</v>
      </c>
      <c r="EM155" s="9">
        <f>AV155*'MASTER SHEET'!D155</f>
        <v>0</v>
      </c>
      <c r="EN155" s="9">
        <f>AZ155*'MASTER SHEET'!D155</f>
        <v>0</v>
      </c>
      <c r="EO155" s="9">
        <f>BD155*'MASTER SHEET'!D155</f>
        <v>0</v>
      </c>
      <c r="EP155" s="9">
        <f>BH155*'MASTER SHEET'!D155</f>
        <v>0</v>
      </c>
      <c r="EQ155" s="9">
        <f>BL155*'MASTER SHEET'!D155</f>
        <v>0</v>
      </c>
      <c r="ER155" s="9">
        <f>BP155*'MASTER SHEET'!D155</f>
        <v>0</v>
      </c>
      <c r="ES155" s="9">
        <f>BT155*'MASTER SHEET'!D155</f>
        <v>0</v>
      </c>
      <c r="ET155" s="9">
        <f>BX155*'MASTER SHEET'!D155</f>
        <v>0</v>
      </c>
      <c r="EU155" s="9">
        <f>CB155*'MASTER SHEET'!D155</f>
        <v>0</v>
      </c>
      <c r="EV155" s="9">
        <f>CF155*'MASTER SHEET'!D155</f>
        <v>0</v>
      </c>
      <c r="EW155" s="9">
        <f>CJ155*'MASTER SHEET'!D155</f>
        <v>0</v>
      </c>
      <c r="EX155" s="9">
        <f>CN155*'MASTER SHEET'!D155</f>
        <v>0</v>
      </c>
      <c r="EY155" s="9">
        <f>CV155*'MASTER SHEET'!D155</f>
        <v>0</v>
      </c>
      <c r="EZ155" s="9">
        <f>CV155*'MASTER SHEET'!D155</f>
        <v>0</v>
      </c>
      <c r="FA155" s="9">
        <f>CZ155*'MASTER SHEET'!D155</f>
        <v>0</v>
      </c>
      <c r="FB155" s="9">
        <f>DD155*'MASTER SHEET'!D155</f>
        <v>0</v>
      </c>
      <c r="FC155" s="9">
        <f>DH155*'MASTER SHEET'!D155</f>
        <v>0</v>
      </c>
      <c r="FD155" s="9">
        <f>DL155*'MASTER SHEET'!D155</f>
        <v>0</v>
      </c>
      <c r="FE155" s="9">
        <f>DP155*'MASTER SHEET'!D155</f>
        <v>0</v>
      </c>
      <c r="FF155" s="9">
        <f>DT155*'MASTER SHEET'!D155</f>
        <v>0</v>
      </c>
      <c r="FG155" s="9">
        <f>DX155*'MASTER SHEET'!D155</f>
        <v>0</v>
      </c>
    </row>
    <row r="156" spans="1:163" ht="20.25" x14ac:dyDescent="0.25">
      <c r="A156" s="43">
        <f>'MASTER SHEET'!A156</f>
        <v>154</v>
      </c>
      <c r="B156" s="26" t="str">
        <f>'MASTER SHEET'!B156</f>
        <v>CAP</v>
      </c>
      <c r="C156" s="82">
        <f>'MASTER SHEET'!C156</f>
        <v>62620</v>
      </c>
      <c r="D156" s="64"/>
      <c r="E156" s="28"/>
      <c r="F156" s="28"/>
      <c r="G156" s="65"/>
      <c r="H156" s="64">
        <f t="shared" si="106"/>
        <v>0</v>
      </c>
      <c r="I156" s="28"/>
      <c r="J156" s="28"/>
      <c r="K156" s="65"/>
      <c r="L156" s="64">
        <f t="shared" si="107"/>
        <v>0</v>
      </c>
      <c r="M156" s="28"/>
      <c r="N156" s="28"/>
      <c r="O156" s="65"/>
      <c r="P156" s="64">
        <f t="shared" si="108"/>
        <v>0</v>
      </c>
      <c r="Q156" s="28"/>
      <c r="R156" s="28"/>
      <c r="S156" s="65"/>
      <c r="T156" s="64">
        <f t="shared" si="109"/>
        <v>0</v>
      </c>
      <c r="U156" s="28"/>
      <c r="V156" s="28"/>
      <c r="W156" s="65"/>
      <c r="X156" s="64">
        <f t="shared" si="110"/>
        <v>0</v>
      </c>
      <c r="Y156" s="28"/>
      <c r="Z156" s="28"/>
      <c r="AA156" s="65"/>
      <c r="AB156" s="64">
        <f t="shared" si="111"/>
        <v>0</v>
      </c>
      <c r="AC156" s="28"/>
      <c r="AD156" s="28"/>
      <c r="AE156" s="65"/>
      <c r="AF156" s="64">
        <f t="shared" si="112"/>
        <v>0</v>
      </c>
      <c r="AG156" s="28"/>
      <c r="AH156" s="28"/>
      <c r="AI156" s="65"/>
      <c r="AJ156" s="64">
        <f t="shared" si="113"/>
        <v>0</v>
      </c>
      <c r="AK156" s="28"/>
      <c r="AL156" s="28"/>
      <c r="AM156" s="65"/>
      <c r="AN156" s="64">
        <f t="shared" si="114"/>
        <v>0</v>
      </c>
      <c r="AO156" s="28"/>
      <c r="AP156" s="28"/>
      <c r="AQ156" s="65"/>
      <c r="AR156" s="64">
        <f t="shared" si="115"/>
        <v>0</v>
      </c>
      <c r="AS156" s="28"/>
      <c r="AT156" s="28"/>
      <c r="AU156" s="65"/>
      <c r="AV156" s="64">
        <f t="shared" si="116"/>
        <v>0</v>
      </c>
      <c r="AW156" s="28"/>
      <c r="AX156" s="28"/>
      <c r="AY156" s="65"/>
      <c r="AZ156" s="64">
        <f t="shared" si="117"/>
        <v>0</v>
      </c>
      <c r="BA156" s="28"/>
      <c r="BB156" s="28"/>
      <c r="BC156" s="65"/>
      <c r="BD156" s="64">
        <f t="shared" si="118"/>
        <v>0</v>
      </c>
      <c r="BE156" s="28"/>
      <c r="BF156" s="28"/>
      <c r="BG156" s="65"/>
      <c r="BH156" s="64">
        <f t="shared" si="119"/>
        <v>0</v>
      </c>
      <c r="BI156" s="28"/>
      <c r="BJ156" s="28"/>
      <c r="BK156" s="65"/>
      <c r="BL156" s="64">
        <f t="shared" si="120"/>
        <v>0</v>
      </c>
      <c r="BM156" s="28"/>
      <c r="BN156" s="28"/>
      <c r="BO156" s="65"/>
      <c r="BP156" s="64">
        <f t="shared" si="121"/>
        <v>0</v>
      </c>
      <c r="BQ156" s="28"/>
      <c r="BR156" s="28"/>
      <c r="BS156" s="65"/>
      <c r="BT156" s="64">
        <f t="shared" si="122"/>
        <v>0</v>
      </c>
      <c r="BU156" s="28"/>
      <c r="BV156" s="28"/>
      <c r="BW156" s="65"/>
      <c r="BX156" s="64">
        <f t="shared" si="123"/>
        <v>0</v>
      </c>
      <c r="BY156" s="28"/>
      <c r="BZ156" s="28"/>
      <c r="CA156" s="65"/>
      <c r="CB156" s="64">
        <f t="shared" si="124"/>
        <v>0</v>
      </c>
      <c r="CC156" s="28"/>
      <c r="CD156" s="28"/>
      <c r="CE156" s="65"/>
      <c r="CF156" s="64">
        <f t="shared" si="125"/>
        <v>0</v>
      </c>
      <c r="CG156" s="28"/>
      <c r="CH156" s="28"/>
      <c r="CI156" s="65"/>
      <c r="CJ156" s="64">
        <f t="shared" si="126"/>
        <v>0</v>
      </c>
      <c r="CK156" s="28"/>
      <c r="CL156" s="28"/>
      <c r="CM156" s="65"/>
      <c r="CN156" s="64">
        <f t="shared" si="127"/>
        <v>0</v>
      </c>
      <c r="CO156" s="28"/>
      <c r="CP156" s="28"/>
      <c r="CQ156" s="65"/>
      <c r="CR156" s="64">
        <f t="shared" si="128"/>
        <v>0</v>
      </c>
      <c r="CS156" s="28"/>
      <c r="CT156" s="28"/>
      <c r="CU156" s="65"/>
      <c r="CV156" s="64">
        <f t="shared" si="129"/>
        <v>0</v>
      </c>
      <c r="CW156" s="28"/>
      <c r="CX156" s="28"/>
      <c r="CY156" s="65"/>
      <c r="CZ156" s="64">
        <f t="shared" si="130"/>
        <v>0</v>
      </c>
      <c r="DA156" s="28"/>
      <c r="DB156" s="28"/>
      <c r="DC156" s="65"/>
      <c r="DD156" s="64">
        <f t="shared" si="131"/>
        <v>0</v>
      </c>
      <c r="DE156" s="28"/>
      <c r="DF156" s="28"/>
      <c r="DG156" s="65"/>
      <c r="DH156" s="64">
        <f t="shared" si="132"/>
        <v>0</v>
      </c>
      <c r="DI156" s="28"/>
      <c r="DJ156" s="28"/>
      <c r="DK156" s="65"/>
      <c r="DL156" s="64">
        <f t="shared" si="133"/>
        <v>0</v>
      </c>
      <c r="DM156" s="28"/>
      <c r="DN156" s="28"/>
      <c r="DO156" s="65"/>
      <c r="DP156" s="64">
        <f t="shared" si="134"/>
        <v>0</v>
      </c>
      <c r="DQ156" s="28"/>
      <c r="DR156" s="28"/>
      <c r="DS156" s="65"/>
      <c r="DT156" s="64">
        <f t="shared" si="135"/>
        <v>0</v>
      </c>
      <c r="DU156" s="28"/>
      <c r="DV156" s="28"/>
      <c r="DW156" s="65"/>
      <c r="DX156" s="30">
        <f t="shared" si="136"/>
        <v>0</v>
      </c>
      <c r="DY156" s="4"/>
      <c r="DZ156" s="4"/>
      <c r="EA156" s="4"/>
      <c r="EB156" s="9">
        <f>D156*'MASTER SHEET'!D156</f>
        <v>0</v>
      </c>
      <c r="EC156" s="9">
        <f>H156*'MASTER SHEET'!D156</f>
        <v>0</v>
      </c>
      <c r="ED156" s="9">
        <f>L156*'MASTER SHEET'!D156</f>
        <v>0</v>
      </c>
      <c r="EE156" s="9">
        <f>P156*'MASTER SHEET'!D156</f>
        <v>0</v>
      </c>
      <c r="EF156" s="9">
        <f>T156*'MASTER SHEET'!D156</f>
        <v>0</v>
      </c>
      <c r="EG156" s="9">
        <f>X156*'MASTER SHEET'!D156</f>
        <v>0</v>
      </c>
      <c r="EH156" s="9">
        <f>AB156*'MASTER SHEET'!D156</f>
        <v>0</v>
      </c>
      <c r="EI156" s="9">
        <f>AF156*'MASTER SHEET'!D156</f>
        <v>0</v>
      </c>
      <c r="EJ156" s="9">
        <f>AJ156*'MASTER SHEET'!D156</f>
        <v>0</v>
      </c>
      <c r="EK156" s="9">
        <f>AN156*'MASTER SHEET'!D156</f>
        <v>0</v>
      </c>
      <c r="EL156" s="9">
        <f>AR156*'MASTER SHEET'!D156</f>
        <v>0</v>
      </c>
      <c r="EM156" s="9">
        <f>AV156*'MASTER SHEET'!D156</f>
        <v>0</v>
      </c>
      <c r="EN156" s="9">
        <f>AZ156*'MASTER SHEET'!D156</f>
        <v>0</v>
      </c>
      <c r="EO156" s="9">
        <f>BD156*'MASTER SHEET'!D156</f>
        <v>0</v>
      </c>
      <c r="EP156" s="9">
        <f>BH156*'MASTER SHEET'!D156</f>
        <v>0</v>
      </c>
      <c r="EQ156" s="9">
        <f>BL156*'MASTER SHEET'!D156</f>
        <v>0</v>
      </c>
      <c r="ER156" s="9">
        <f>BP156*'MASTER SHEET'!D156</f>
        <v>0</v>
      </c>
      <c r="ES156" s="9">
        <f>BT156*'MASTER SHEET'!D156</f>
        <v>0</v>
      </c>
      <c r="ET156" s="9">
        <f>BX156*'MASTER SHEET'!D156</f>
        <v>0</v>
      </c>
      <c r="EU156" s="9">
        <f>CB156*'MASTER SHEET'!D156</f>
        <v>0</v>
      </c>
      <c r="EV156" s="9">
        <f>CF156*'MASTER SHEET'!D156</f>
        <v>0</v>
      </c>
      <c r="EW156" s="9">
        <f>CJ156*'MASTER SHEET'!D156</f>
        <v>0</v>
      </c>
      <c r="EX156" s="9">
        <f>CN156*'MASTER SHEET'!D156</f>
        <v>0</v>
      </c>
      <c r="EY156" s="9">
        <f>CV156*'MASTER SHEET'!D156</f>
        <v>0</v>
      </c>
      <c r="EZ156" s="9">
        <f>CV156*'MASTER SHEET'!D156</f>
        <v>0</v>
      </c>
      <c r="FA156" s="9">
        <f>CZ156*'MASTER SHEET'!D156</f>
        <v>0</v>
      </c>
      <c r="FB156" s="9">
        <f>DD156*'MASTER SHEET'!D156</f>
        <v>0</v>
      </c>
      <c r="FC156" s="9">
        <f>DH156*'MASTER SHEET'!D156</f>
        <v>0</v>
      </c>
      <c r="FD156" s="9">
        <f>DL156*'MASTER SHEET'!D156</f>
        <v>0</v>
      </c>
      <c r="FE156" s="9">
        <f>DP156*'MASTER SHEET'!D156</f>
        <v>0</v>
      </c>
      <c r="FF156" s="9">
        <f>DT156*'MASTER SHEET'!D156</f>
        <v>0</v>
      </c>
      <c r="FG156" s="9">
        <f>DX156*'MASTER SHEET'!D156</f>
        <v>0</v>
      </c>
    </row>
    <row r="157" spans="1:163" ht="20.25" x14ac:dyDescent="0.25">
      <c r="A157" s="43">
        <f>'MASTER SHEET'!A157</f>
        <v>155</v>
      </c>
      <c r="B157" s="26" t="str">
        <f>'MASTER SHEET'!B157</f>
        <v>CLAMP HEATER NOSE</v>
      </c>
      <c r="C157" s="82">
        <f>'MASTER SHEET'!C157</f>
        <v>62625</v>
      </c>
      <c r="D157" s="64"/>
      <c r="E157" s="28"/>
      <c r="F157" s="28"/>
      <c r="G157" s="65"/>
      <c r="H157" s="64">
        <f t="shared" si="106"/>
        <v>0</v>
      </c>
      <c r="I157" s="28"/>
      <c r="J157" s="28"/>
      <c r="K157" s="65"/>
      <c r="L157" s="64">
        <f t="shared" si="107"/>
        <v>0</v>
      </c>
      <c r="M157" s="28"/>
      <c r="N157" s="28"/>
      <c r="O157" s="65"/>
      <c r="P157" s="64">
        <f t="shared" si="108"/>
        <v>0</v>
      </c>
      <c r="Q157" s="28"/>
      <c r="R157" s="28"/>
      <c r="S157" s="65"/>
      <c r="T157" s="64">
        <f t="shared" si="109"/>
        <v>0</v>
      </c>
      <c r="U157" s="28"/>
      <c r="V157" s="28"/>
      <c r="W157" s="65"/>
      <c r="X157" s="64">
        <f t="shared" si="110"/>
        <v>0</v>
      </c>
      <c r="Y157" s="28"/>
      <c r="Z157" s="28"/>
      <c r="AA157" s="65"/>
      <c r="AB157" s="64">
        <f t="shared" si="111"/>
        <v>0</v>
      </c>
      <c r="AC157" s="28"/>
      <c r="AD157" s="28"/>
      <c r="AE157" s="65"/>
      <c r="AF157" s="64">
        <f t="shared" si="112"/>
        <v>0</v>
      </c>
      <c r="AG157" s="28"/>
      <c r="AH157" s="28"/>
      <c r="AI157" s="65"/>
      <c r="AJ157" s="64">
        <f t="shared" si="113"/>
        <v>0</v>
      </c>
      <c r="AK157" s="28"/>
      <c r="AL157" s="28"/>
      <c r="AM157" s="65"/>
      <c r="AN157" s="64">
        <f t="shared" si="114"/>
        <v>0</v>
      </c>
      <c r="AO157" s="28"/>
      <c r="AP157" s="28"/>
      <c r="AQ157" s="65"/>
      <c r="AR157" s="64">
        <f t="shared" si="115"/>
        <v>0</v>
      </c>
      <c r="AS157" s="28"/>
      <c r="AT157" s="28"/>
      <c r="AU157" s="65"/>
      <c r="AV157" s="64">
        <f t="shared" si="116"/>
        <v>0</v>
      </c>
      <c r="AW157" s="28"/>
      <c r="AX157" s="28"/>
      <c r="AY157" s="65"/>
      <c r="AZ157" s="64">
        <f t="shared" si="117"/>
        <v>0</v>
      </c>
      <c r="BA157" s="28"/>
      <c r="BB157" s="28"/>
      <c r="BC157" s="65"/>
      <c r="BD157" s="64">
        <f t="shared" si="118"/>
        <v>0</v>
      </c>
      <c r="BE157" s="28"/>
      <c r="BF157" s="28"/>
      <c r="BG157" s="65"/>
      <c r="BH157" s="64">
        <f t="shared" si="119"/>
        <v>0</v>
      </c>
      <c r="BI157" s="28"/>
      <c r="BJ157" s="28"/>
      <c r="BK157" s="65"/>
      <c r="BL157" s="64">
        <f t="shared" si="120"/>
        <v>0</v>
      </c>
      <c r="BM157" s="28"/>
      <c r="BN157" s="28"/>
      <c r="BO157" s="65"/>
      <c r="BP157" s="64">
        <f t="shared" si="121"/>
        <v>0</v>
      </c>
      <c r="BQ157" s="28"/>
      <c r="BR157" s="28"/>
      <c r="BS157" s="65"/>
      <c r="BT157" s="64">
        <f t="shared" si="122"/>
        <v>0</v>
      </c>
      <c r="BU157" s="28"/>
      <c r="BV157" s="28"/>
      <c r="BW157" s="65"/>
      <c r="BX157" s="64">
        <f t="shared" si="123"/>
        <v>0</v>
      </c>
      <c r="BY157" s="28"/>
      <c r="BZ157" s="28"/>
      <c r="CA157" s="65"/>
      <c r="CB157" s="64">
        <f t="shared" si="124"/>
        <v>0</v>
      </c>
      <c r="CC157" s="28"/>
      <c r="CD157" s="28"/>
      <c r="CE157" s="65"/>
      <c r="CF157" s="64">
        <f t="shared" si="125"/>
        <v>0</v>
      </c>
      <c r="CG157" s="28"/>
      <c r="CH157" s="28"/>
      <c r="CI157" s="65"/>
      <c r="CJ157" s="64">
        <f t="shared" si="126"/>
        <v>0</v>
      </c>
      <c r="CK157" s="28"/>
      <c r="CL157" s="28"/>
      <c r="CM157" s="65"/>
      <c r="CN157" s="64">
        <f t="shared" si="127"/>
        <v>0</v>
      </c>
      <c r="CO157" s="28"/>
      <c r="CP157" s="28"/>
      <c r="CQ157" s="65"/>
      <c r="CR157" s="64">
        <f t="shared" si="128"/>
        <v>0</v>
      </c>
      <c r="CS157" s="28"/>
      <c r="CT157" s="28"/>
      <c r="CU157" s="65"/>
      <c r="CV157" s="64">
        <f t="shared" si="129"/>
        <v>0</v>
      </c>
      <c r="CW157" s="28"/>
      <c r="CX157" s="28"/>
      <c r="CY157" s="65"/>
      <c r="CZ157" s="64">
        <f t="shared" si="130"/>
        <v>0</v>
      </c>
      <c r="DA157" s="28"/>
      <c r="DB157" s="28"/>
      <c r="DC157" s="65"/>
      <c r="DD157" s="64">
        <f t="shared" si="131"/>
        <v>0</v>
      </c>
      <c r="DE157" s="28"/>
      <c r="DF157" s="28"/>
      <c r="DG157" s="65"/>
      <c r="DH157" s="64">
        <f t="shared" si="132"/>
        <v>0</v>
      </c>
      <c r="DI157" s="28"/>
      <c r="DJ157" s="28"/>
      <c r="DK157" s="65"/>
      <c r="DL157" s="64">
        <f t="shared" si="133"/>
        <v>0</v>
      </c>
      <c r="DM157" s="28"/>
      <c r="DN157" s="28"/>
      <c r="DO157" s="65"/>
      <c r="DP157" s="64">
        <f t="shared" si="134"/>
        <v>0</v>
      </c>
      <c r="DQ157" s="28"/>
      <c r="DR157" s="28"/>
      <c r="DS157" s="65"/>
      <c r="DT157" s="64">
        <f t="shared" si="135"/>
        <v>0</v>
      </c>
      <c r="DU157" s="28"/>
      <c r="DV157" s="28"/>
      <c r="DW157" s="65"/>
      <c r="DX157" s="30">
        <f t="shared" si="136"/>
        <v>0</v>
      </c>
      <c r="DY157" s="4"/>
      <c r="DZ157" s="4"/>
      <c r="EA157" s="4"/>
      <c r="EB157" s="9">
        <f>D157*'MASTER SHEET'!D157</f>
        <v>0</v>
      </c>
      <c r="EC157" s="9">
        <f>H157*'MASTER SHEET'!D157</f>
        <v>0</v>
      </c>
      <c r="ED157" s="9">
        <f>L157*'MASTER SHEET'!D157</f>
        <v>0</v>
      </c>
      <c r="EE157" s="9">
        <f>P157*'MASTER SHEET'!D157</f>
        <v>0</v>
      </c>
      <c r="EF157" s="9">
        <f>T157*'MASTER SHEET'!D157</f>
        <v>0</v>
      </c>
      <c r="EG157" s="9">
        <f>X157*'MASTER SHEET'!D157</f>
        <v>0</v>
      </c>
      <c r="EH157" s="9">
        <f>AB157*'MASTER SHEET'!D157</f>
        <v>0</v>
      </c>
      <c r="EI157" s="9">
        <f>AF157*'MASTER SHEET'!D157</f>
        <v>0</v>
      </c>
      <c r="EJ157" s="9">
        <f>AJ157*'MASTER SHEET'!D157</f>
        <v>0</v>
      </c>
      <c r="EK157" s="9">
        <f>AN157*'MASTER SHEET'!D157</f>
        <v>0</v>
      </c>
      <c r="EL157" s="9">
        <f>AR157*'MASTER SHEET'!D157</f>
        <v>0</v>
      </c>
      <c r="EM157" s="9">
        <f>AV157*'MASTER SHEET'!D157</f>
        <v>0</v>
      </c>
      <c r="EN157" s="9">
        <f>AZ157*'MASTER SHEET'!D157</f>
        <v>0</v>
      </c>
      <c r="EO157" s="9">
        <f>BD157*'MASTER SHEET'!D157</f>
        <v>0</v>
      </c>
      <c r="EP157" s="9">
        <f>BH157*'MASTER SHEET'!D157</f>
        <v>0</v>
      </c>
      <c r="EQ157" s="9">
        <f>BL157*'MASTER SHEET'!D157</f>
        <v>0</v>
      </c>
      <c r="ER157" s="9">
        <f>BP157*'MASTER SHEET'!D157</f>
        <v>0</v>
      </c>
      <c r="ES157" s="9">
        <f>BT157*'MASTER SHEET'!D157</f>
        <v>0</v>
      </c>
      <c r="ET157" s="9">
        <f>BX157*'MASTER SHEET'!D157</f>
        <v>0</v>
      </c>
      <c r="EU157" s="9">
        <f>CB157*'MASTER SHEET'!D157</f>
        <v>0</v>
      </c>
      <c r="EV157" s="9">
        <f>CF157*'MASTER SHEET'!D157</f>
        <v>0</v>
      </c>
      <c r="EW157" s="9">
        <f>CJ157*'MASTER SHEET'!D157</f>
        <v>0</v>
      </c>
      <c r="EX157" s="9">
        <f>CN157*'MASTER SHEET'!D157</f>
        <v>0</v>
      </c>
      <c r="EY157" s="9">
        <f>CV157*'MASTER SHEET'!D157</f>
        <v>0</v>
      </c>
      <c r="EZ157" s="9">
        <f>CV157*'MASTER SHEET'!D157</f>
        <v>0</v>
      </c>
      <c r="FA157" s="9">
        <f>CZ157*'MASTER SHEET'!D157</f>
        <v>0</v>
      </c>
      <c r="FB157" s="9">
        <f>DD157*'MASTER SHEET'!D157</f>
        <v>0</v>
      </c>
      <c r="FC157" s="9">
        <f>DH157*'MASTER SHEET'!D157</f>
        <v>0</v>
      </c>
      <c r="FD157" s="9">
        <f>DL157*'MASTER SHEET'!D157</f>
        <v>0</v>
      </c>
      <c r="FE157" s="9">
        <f>DP157*'MASTER SHEET'!D157</f>
        <v>0</v>
      </c>
      <c r="FF157" s="9">
        <f>DT157*'MASTER SHEET'!D157</f>
        <v>0</v>
      </c>
      <c r="FG157" s="9">
        <f>DX157*'MASTER SHEET'!D157</f>
        <v>0</v>
      </c>
    </row>
    <row r="158" spans="1:163" ht="20.25" x14ac:dyDescent="0.25">
      <c r="A158" s="43">
        <f>'MASTER SHEET'!A158</f>
        <v>156</v>
      </c>
      <c r="B158" s="26" t="str">
        <f>'MASTER SHEET'!B158</f>
        <v>CLAMP</v>
      </c>
      <c r="C158" s="82">
        <f>'MASTER SHEET'!C158</f>
        <v>62591</v>
      </c>
      <c r="D158" s="64"/>
      <c r="E158" s="28"/>
      <c r="F158" s="28"/>
      <c r="G158" s="65"/>
      <c r="H158" s="64">
        <f t="shared" si="106"/>
        <v>0</v>
      </c>
      <c r="I158" s="28"/>
      <c r="J158" s="28"/>
      <c r="K158" s="65"/>
      <c r="L158" s="64">
        <f t="shared" si="107"/>
        <v>0</v>
      </c>
      <c r="M158" s="28"/>
      <c r="N158" s="28"/>
      <c r="O158" s="65"/>
      <c r="P158" s="64">
        <f t="shared" si="108"/>
        <v>0</v>
      </c>
      <c r="Q158" s="28"/>
      <c r="R158" s="28"/>
      <c r="S158" s="65"/>
      <c r="T158" s="64">
        <f t="shared" si="109"/>
        <v>0</v>
      </c>
      <c r="U158" s="28"/>
      <c r="V158" s="28"/>
      <c r="W158" s="65"/>
      <c r="X158" s="64">
        <f t="shared" si="110"/>
        <v>0</v>
      </c>
      <c r="Y158" s="28"/>
      <c r="Z158" s="28"/>
      <c r="AA158" s="65"/>
      <c r="AB158" s="64">
        <f t="shared" si="111"/>
        <v>0</v>
      </c>
      <c r="AC158" s="28"/>
      <c r="AD158" s="28"/>
      <c r="AE158" s="65"/>
      <c r="AF158" s="64">
        <f t="shared" si="112"/>
        <v>0</v>
      </c>
      <c r="AG158" s="28"/>
      <c r="AH158" s="28"/>
      <c r="AI158" s="65"/>
      <c r="AJ158" s="64">
        <f t="shared" si="113"/>
        <v>0</v>
      </c>
      <c r="AK158" s="28"/>
      <c r="AL158" s="28"/>
      <c r="AM158" s="65"/>
      <c r="AN158" s="64">
        <f t="shared" si="114"/>
        <v>0</v>
      </c>
      <c r="AO158" s="28"/>
      <c r="AP158" s="28"/>
      <c r="AQ158" s="65"/>
      <c r="AR158" s="64">
        <f t="shared" si="115"/>
        <v>0</v>
      </c>
      <c r="AS158" s="28"/>
      <c r="AT158" s="28"/>
      <c r="AU158" s="65"/>
      <c r="AV158" s="64">
        <f t="shared" si="116"/>
        <v>0</v>
      </c>
      <c r="AW158" s="28"/>
      <c r="AX158" s="28"/>
      <c r="AY158" s="65"/>
      <c r="AZ158" s="64">
        <f t="shared" si="117"/>
        <v>0</v>
      </c>
      <c r="BA158" s="28"/>
      <c r="BB158" s="28"/>
      <c r="BC158" s="65"/>
      <c r="BD158" s="64">
        <f t="shared" si="118"/>
        <v>0</v>
      </c>
      <c r="BE158" s="28"/>
      <c r="BF158" s="28"/>
      <c r="BG158" s="65"/>
      <c r="BH158" s="64">
        <f t="shared" si="119"/>
        <v>0</v>
      </c>
      <c r="BI158" s="28"/>
      <c r="BJ158" s="28"/>
      <c r="BK158" s="65"/>
      <c r="BL158" s="64">
        <f t="shared" si="120"/>
        <v>0</v>
      </c>
      <c r="BM158" s="28"/>
      <c r="BN158" s="28"/>
      <c r="BO158" s="65"/>
      <c r="BP158" s="64">
        <f t="shared" si="121"/>
        <v>0</v>
      </c>
      <c r="BQ158" s="28"/>
      <c r="BR158" s="28"/>
      <c r="BS158" s="65"/>
      <c r="BT158" s="64">
        <f t="shared" si="122"/>
        <v>0</v>
      </c>
      <c r="BU158" s="28"/>
      <c r="BV158" s="28"/>
      <c r="BW158" s="65"/>
      <c r="BX158" s="64">
        <f t="shared" si="123"/>
        <v>0</v>
      </c>
      <c r="BY158" s="28"/>
      <c r="BZ158" s="28"/>
      <c r="CA158" s="65"/>
      <c r="CB158" s="64">
        <f t="shared" si="124"/>
        <v>0</v>
      </c>
      <c r="CC158" s="28"/>
      <c r="CD158" s="28"/>
      <c r="CE158" s="65"/>
      <c r="CF158" s="64">
        <f t="shared" si="125"/>
        <v>0</v>
      </c>
      <c r="CG158" s="28"/>
      <c r="CH158" s="28"/>
      <c r="CI158" s="65"/>
      <c r="CJ158" s="64">
        <f t="shared" si="126"/>
        <v>0</v>
      </c>
      <c r="CK158" s="28"/>
      <c r="CL158" s="28"/>
      <c r="CM158" s="65"/>
      <c r="CN158" s="64">
        <f t="shared" si="127"/>
        <v>0</v>
      </c>
      <c r="CO158" s="28"/>
      <c r="CP158" s="28"/>
      <c r="CQ158" s="65"/>
      <c r="CR158" s="64">
        <f t="shared" si="128"/>
        <v>0</v>
      </c>
      <c r="CS158" s="28"/>
      <c r="CT158" s="28"/>
      <c r="CU158" s="65"/>
      <c r="CV158" s="64">
        <f t="shared" si="129"/>
        <v>0</v>
      </c>
      <c r="CW158" s="28"/>
      <c r="CX158" s="28"/>
      <c r="CY158" s="65"/>
      <c r="CZ158" s="64">
        <f t="shared" si="130"/>
        <v>0</v>
      </c>
      <c r="DA158" s="28"/>
      <c r="DB158" s="28"/>
      <c r="DC158" s="65"/>
      <c r="DD158" s="64">
        <f t="shared" si="131"/>
        <v>0</v>
      </c>
      <c r="DE158" s="28"/>
      <c r="DF158" s="28"/>
      <c r="DG158" s="65"/>
      <c r="DH158" s="64">
        <f t="shared" si="132"/>
        <v>0</v>
      </c>
      <c r="DI158" s="28"/>
      <c r="DJ158" s="28"/>
      <c r="DK158" s="65"/>
      <c r="DL158" s="64">
        <f t="shared" si="133"/>
        <v>0</v>
      </c>
      <c r="DM158" s="28"/>
      <c r="DN158" s="28"/>
      <c r="DO158" s="65"/>
      <c r="DP158" s="64">
        <f t="shared" si="134"/>
        <v>0</v>
      </c>
      <c r="DQ158" s="28"/>
      <c r="DR158" s="28"/>
      <c r="DS158" s="65"/>
      <c r="DT158" s="64">
        <f t="shared" si="135"/>
        <v>0</v>
      </c>
      <c r="DU158" s="28"/>
      <c r="DV158" s="28"/>
      <c r="DW158" s="65"/>
      <c r="DX158" s="30">
        <f t="shared" si="136"/>
        <v>0</v>
      </c>
      <c r="DY158" s="4"/>
      <c r="DZ158" s="4"/>
      <c r="EA158" s="4"/>
      <c r="EB158" s="9">
        <f>D158*'MASTER SHEET'!D158</f>
        <v>0</v>
      </c>
      <c r="EC158" s="9">
        <f>H158*'MASTER SHEET'!D158</f>
        <v>0</v>
      </c>
      <c r="ED158" s="9">
        <f>L158*'MASTER SHEET'!D158</f>
        <v>0</v>
      </c>
      <c r="EE158" s="9">
        <f>P158*'MASTER SHEET'!D158</f>
        <v>0</v>
      </c>
      <c r="EF158" s="9">
        <f>T158*'MASTER SHEET'!D158</f>
        <v>0</v>
      </c>
      <c r="EG158" s="9">
        <f>X158*'MASTER SHEET'!D158</f>
        <v>0</v>
      </c>
      <c r="EH158" s="9">
        <f>AB158*'MASTER SHEET'!D158</f>
        <v>0</v>
      </c>
      <c r="EI158" s="9">
        <f>AF158*'MASTER SHEET'!D158</f>
        <v>0</v>
      </c>
      <c r="EJ158" s="9">
        <f>AJ158*'MASTER SHEET'!D158</f>
        <v>0</v>
      </c>
      <c r="EK158" s="9">
        <f>AN158*'MASTER SHEET'!D158</f>
        <v>0</v>
      </c>
      <c r="EL158" s="9">
        <f>AR158*'MASTER SHEET'!D158</f>
        <v>0</v>
      </c>
      <c r="EM158" s="9">
        <f>AV158*'MASTER SHEET'!D158</f>
        <v>0</v>
      </c>
      <c r="EN158" s="9">
        <f>AZ158*'MASTER SHEET'!D158</f>
        <v>0</v>
      </c>
      <c r="EO158" s="9">
        <f>BD158*'MASTER SHEET'!D158</f>
        <v>0</v>
      </c>
      <c r="EP158" s="9">
        <f>BH158*'MASTER SHEET'!D158</f>
        <v>0</v>
      </c>
      <c r="EQ158" s="9">
        <f>BL158*'MASTER SHEET'!D158</f>
        <v>0</v>
      </c>
      <c r="ER158" s="9">
        <f>BP158*'MASTER SHEET'!D158</f>
        <v>0</v>
      </c>
      <c r="ES158" s="9">
        <f>BT158*'MASTER SHEET'!D158</f>
        <v>0</v>
      </c>
      <c r="ET158" s="9">
        <f>BX158*'MASTER SHEET'!D158</f>
        <v>0</v>
      </c>
      <c r="EU158" s="9">
        <f>CB158*'MASTER SHEET'!D158</f>
        <v>0</v>
      </c>
      <c r="EV158" s="9">
        <f>CF158*'MASTER SHEET'!D158</f>
        <v>0</v>
      </c>
      <c r="EW158" s="9">
        <f>CJ158*'MASTER SHEET'!D158</f>
        <v>0</v>
      </c>
      <c r="EX158" s="9">
        <f>CN158*'MASTER SHEET'!D158</f>
        <v>0</v>
      </c>
      <c r="EY158" s="9">
        <f>CV158*'MASTER SHEET'!D158</f>
        <v>0</v>
      </c>
      <c r="EZ158" s="9">
        <f>CV158*'MASTER SHEET'!D158</f>
        <v>0</v>
      </c>
      <c r="FA158" s="9">
        <f>CZ158*'MASTER SHEET'!D158</f>
        <v>0</v>
      </c>
      <c r="FB158" s="9">
        <f>DD158*'MASTER SHEET'!D158</f>
        <v>0</v>
      </c>
      <c r="FC158" s="9">
        <f>DH158*'MASTER SHEET'!D158</f>
        <v>0</v>
      </c>
      <c r="FD158" s="9">
        <f>DL158*'MASTER SHEET'!D158</f>
        <v>0</v>
      </c>
      <c r="FE158" s="9">
        <f>DP158*'MASTER SHEET'!D158</f>
        <v>0</v>
      </c>
      <c r="FF158" s="9">
        <f>DT158*'MASTER SHEET'!D158</f>
        <v>0</v>
      </c>
      <c r="FG158" s="9">
        <f>DX158*'MASTER SHEET'!D158</f>
        <v>0</v>
      </c>
    </row>
    <row r="159" spans="1:163" ht="20.25" x14ac:dyDescent="0.25">
      <c r="A159" s="43">
        <f>'MASTER SHEET'!A159</f>
        <v>157</v>
      </c>
      <c r="B159" s="26" t="str">
        <f>'MASTER SHEET'!B159</f>
        <v>CAP TAIL MEMBER</v>
      </c>
      <c r="C159" s="82">
        <f>'MASTER SHEET'!C159</f>
        <v>62479</v>
      </c>
      <c r="D159" s="64"/>
      <c r="E159" s="28"/>
      <c r="F159" s="28"/>
      <c r="G159" s="65"/>
      <c r="H159" s="64">
        <f t="shared" si="106"/>
        <v>0</v>
      </c>
      <c r="I159" s="28"/>
      <c r="J159" s="28"/>
      <c r="K159" s="65"/>
      <c r="L159" s="64">
        <f t="shared" si="107"/>
        <v>0</v>
      </c>
      <c r="M159" s="28"/>
      <c r="N159" s="28"/>
      <c r="O159" s="65"/>
      <c r="P159" s="64">
        <f t="shared" si="108"/>
        <v>0</v>
      </c>
      <c r="Q159" s="28"/>
      <c r="R159" s="28"/>
      <c r="S159" s="65"/>
      <c r="T159" s="64">
        <f t="shared" si="109"/>
        <v>0</v>
      </c>
      <c r="U159" s="28"/>
      <c r="V159" s="28"/>
      <c r="W159" s="65"/>
      <c r="X159" s="64">
        <f t="shared" si="110"/>
        <v>0</v>
      </c>
      <c r="Y159" s="28"/>
      <c r="Z159" s="28"/>
      <c r="AA159" s="65"/>
      <c r="AB159" s="64">
        <f t="shared" si="111"/>
        <v>0</v>
      </c>
      <c r="AC159" s="28"/>
      <c r="AD159" s="28"/>
      <c r="AE159" s="65"/>
      <c r="AF159" s="64">
        <f t="shared" si="112"/>
        <v>0</v>
      </c>
      <c r="AG159" s="28"/>
      <c r="AH159" s="28"/>
      <c r="AI159" s="65"/>
      <c r="AJ159" s="64">
        <f t="shared" si="113"/>
        <v>0</v>
      </c>
      <c r="AK159" s="28"/>
      <c r="AL159" s="28"/>
      <c r="AM159" s="65"/>
      <c r="AN159" s="64">
        <f t="shared" si="114"/>
        <v>0</v>
      </c>
      <c r="AO159" s="28"/>
      <c r="AP159" s="28"/>
      <c r="AQ159" s="65"/>
      <c r="AR159" s="64">
        <f t="shared" si="115"/>
        <v>0</v>
      </c>
      <c r="AS159" s="28"/>
      <c r="AT159" s="28"/>
      <c r="AU159" s="65"/>
      <c r="AV159" s="64">
        <f t="shared" si="116"/>
        <v>0</v>
      </c>
      <c r="AW159" s="28"/>
      <c r="AX159" s="28"/>
      <c r="AY159" s="65"/>
      <c r="AZ159" s="64">
        <f t="shared" si="117"/>
        <v>0</v>
      </c>
      <c r="BA159" s="28"/>
      <c r="BB159" s="28"/>
      <c r="BC159" s="65"/>
      <c r="BD159" s="64">
        <f t="shared" si="118"/>
        <v>0</v>
      </c>
      <c r="BE159" s="28"/>
      <c r="BF159" s="28"/>
      <c r="BG159" s="65"/>
      <c r="BH159" s="64">
        <f t="shared" si="119"/>
        <v>0</v>
      </c>
      <c r="BI159" s="28"/>
      <c r="BJ159" s="28"/>
      <c r="BK159" s="65"/>
      <c r="BL159" s="64">
        <f t="shared" si="120"/>
        <v>0</v>
      </c>
      <c r="BM159" s="28"/>
      <c r="BN159" s="28"/>
      <c r="BO159" s="65"/>
      <c r="BP159" s="64">
        <f t="shared" si="121"/>
        <v>0</v>
      </c>
      <c r="BQ159" s="28"/>
      <c r="BR159" s="28"/>
      <c r="BS159" s="65"/>
      <c r="BT159" s="64">
        <f t="shared" si="122"/>
        <v>0</v>
      </c>
      <c r="BU159" s="28"/>
      <c r="BV159" s="28"/>
      <c r="BW159" s="65"/>
      <c r="BX159" s="64">
        <f t="shared" si="123"/>
        <v>0</v>
      </c>
      <c r="BY159" s="28"/>
      <c r="BZ159" s="28"/>
      <c r="CA159" s="65"/>
      <c r="CB159" s="64">
        <f t="shared" si="124"/>
        <v>0</v>
      </c>
      <c r="CC159" s="28"/>
      <c r="CD159" s="28"/>
      <c r="CE159" s="65"/>
      <c r="CF159" s="64">
        <f t="shared" si="125"/>
        <v>0</v>
      </c>
      <c r="CG159" s="28"/>
      <c r="CH159" s="28"/>
      <c r="CI159" s="65"/>
      <c r="CJ159" s="64">
        <f t="shared" si="126"/>
        <v>0</v>
      </c>
      <c r="CK159" s="28"/>
      <c r="CL159" s="28"/>
      <c r="CM159" s="65"/>
      <c r="CN159" s="64">
        <f t="shared" si="127"/>
        <v>0</v>
      </c>
      <c r="CO159" s="28"/>
      <c r="CP159" s="28"/>
      <c r="CQ159" s="65"/>
      <c r="CR159" s="64">
        <f t="shared" si="128"/>
        <v>0</v>
      </c>
      <c r="CS159" s="28"/>
      <c r="CT159" s="28"/>
      <c r="CU159" s="65"/>
      <c r="CV159" s="64">
        <f t="shared" si="129"/>
        <v>0</v>
      </c>
      <c r="CW159" s="28"/>
      <c r="CX159" s="28"/>
      <c r="CY159" s="65"/>
      <c r="CZ159" s="64">
        <f t="shared" si="130"/>
        <v>0</v>
      </c>
      <c r="DA159" s="28"/>
      <c r="DB159" s="28"/>
      <c r="DC159" s="65"/>
      <c r="DD159" s="64">
        <f t="shared" si="131"/>
        <v>0</v>
      </c>
      <c r="DE159" s="28"/>
      <c r="DF159" s="28"/>
      <c r="DG159" s="65"/>
      <c r="DH159" s="64">
        <f t="shared" si="132"/>
        <v>0</v>
      </c>
      <c r="DI159" s="28"/>
      <c r="DJ159" s="28"/>
      <c r="DK159" s="65"/>
      <c r="DL159" s="64">
        <f t="shared" si="133"/>
        <v>0</v>
      </c>
      <c r="DM159" s="28"/>
      <c r="DN159" s="28"/>
      <c r="DO159" s="65"/>
      <c r="DP159" s="64">
        <f t="shared" si="134"/>
        <v>0</v>
      </c>
      <c r="DQ159" s="28"/>
      <c r="DR159" s="28"/>
      <c r="DS159" s="65"/>
      <c r="DT159" s="64">
        <f t="shared" si="135"/>
        <v>0</v>
      </c>
      <c r="DU159" s="28"/>
      <c r="DV159" s="28"/>
      <c r="DW159" s="65"/>
      <c r="DX159" s="30">
        <f t="shared" si="136"/>
        <v>0</v>
      </c>
      <c r="DY159" s="4"/>
      <c r="DZ159" s="4"/>
      <c r="EA159" s="4"/>
      <c r="EB159" s="9">
        <f>D159*'MASTER SHEET'!D159</f>
        <v>0</v>
      </c>
      <c r="EC159" s="9">
        <f>H159*'MASTER SHEET'!D159</f>
        <v>0</v>
      </c>
      <c r="ED159" s="9">
        <f>L159*'MASTER SHEET'!D159</f>
        <v>0</v>
      </c>
      <c r="EE159" s="9">
        <f>P159*'MASTER SHEET'!D159</f>
        <v>0</v>
      </c>
      <c r="EF159" s="9">
        <f>T159*'MASTER SHEET'!D159</f>
        <v>0</v>
      </c>
      <c r="EG159" s="9">
        <f>X159*'MASTER SHEET'!D159</f>
        <v>0</v>
      </c>
      <c r="EH159" s="9">
        <f>AB159*'MASTER SHEET'!D159</f>
        <v>0</v>
      </c>
      <c r="EI159" s="9">
        <f>AF159*'MASTER SHEET'!D159</f>
        <v>0</v>
      </c>
      <c r="EJ159" s="9">
        <f>AJ159*'MASTER SHEET'!D159</f>
        <v>0</v>
      </c>
      <c r="EK159" s="9">
        <f>AN159*'MASTER SHEET'!D159</f>
        <v>0</v>
      </c>
      <c r="EL159" s="9">
        <f>AR159*'MASTER SHEET'!D159</f>
        <v>0</v>
      </c>
      <c r="EM159" s="9">
        <f>AV159*'MASTER SHEET'!D159</f>
        <v>0</v>
      </c>
      <c r="EN159" s="9">
        <f>AZ159*'MASTER SHEET'!D159</f>
        <v>0</v>
      </c>
      <c r="EO159" s="9">
        <f>BD159*'MASTER SHEET'!D159</f>
        <v>0</v>
      </c>
      <c r="EP159" s="9">
        <f>BH159*'MASTER SHEET'!D159</f>
        <v>0</v>
      </c>
      <c r="EQ159" s="9">
        <f>BL159*'MASTER SHEET'!D159</f>
        <v>0</v>
      </c>
      <c r="ER159" s="9">
        <f>BP159*'MASTER SHEET'!D159</f>
        <v>0</v>
      </c>
      <c r="ES159" s="9">
        <f>BT159*'MASTER SHEET'!D159</f>
        <v>0</v>
      </c>
      <c r="ET159" s="9">
        <f>BX159*'MASTER SHEET'!D159</f>
        <v>0</v>
      </c>
      <c r="EU159" s="9">
        <f>CB159*'MASTER SHEET'!D159</f>
        <v>0</v>
      </c>
      <c r="EV159" s="9">
        <f>CF159*'MASTER SHEET'!D159</f>
        <v>0</v>
      </c>
      <c r="EW159" s="9">
        <f>CJ159*'MASTER SHEET'!D159</f>
        <v>0</v>
      </c>
      <c r="EX159" s="9">
        <f>CN159*'MASTER SHEET'!D159</f>
        <v>0</v>
      </c>
      <c r="EY159" s="9">
        <f>CV159*'MASTER SHEET'!D159</f>
        <v>0</v>
      </c>
      <c r="EZ159" s="9">
        <f>CV159*'MASTER SHEET'!D159</f>
        <v>0</v>
      </c>
      <c r="FA159" s="9">
        <f>CZ159*'MASTER SHEET'!D159</f>
        <v>0</v>
      </c>
      <c r="FB159" s="9">
        <f>DD159*'MASTER SHEET'!D159</f>
        <v>0</v>
      </c>
      <c r="FC159" s="9">
        <f>DH159*'MASTER SHEET'!D159</f>
        <v>0</v>
      </c>
      <c r="FD159" s="9">
        <f>DL159*'MASTER SHEET'!D159</f>
        <v>0</v>
      </c>
      <c r="FE159" s="9">
        <f>DP159*'MASTER SHEET'!D159</f>
        <v>0</v>
      </c>
      <c r="FF159" s="9">
        <f>DT159*'MASTER SHEET'!D159</f>
        <v>0</v>
      </c>
      <c r="FG159" s="9">
        <f>DX159*'MASTER SHEET'!D159</f>
        <v>0</v>
      </c>
    </row>
    <row r="160" spans="1:163" ht="20.25" x14ac:dyDescent="0.25">
      <c r="A160" s="43">
        <f>'MASTER SHEET'!A160</f>
        <v>158</v>
      </c>
      <c r="B160" s="26" t="str">
        <f>'MASTER SHEET'!B160</f>
        <v>FILTER AIR SUNCTION</v>
      </c>
      <c r="C160" s="82">
        <f>'MASTER SHEET'!C160</f>
        <v>62624</v>
      </c>
      <c r="D160" s="64"/>
      <c r="E160" s="28"/>
      <c r="F160" s="28"/>
      <c r="G160" s="65"/>
      <c r="H160" s="64">
        <f t="shared" si="106"/>
        <v>0</v>
      </c>
      <c r="I160" s="28"/>
      <c r="J160" s="28"/>
      <c r="K160" s="65"/>
      <c r="L160" s="64">
        <f t="shared" si="107"/>
        <v>0</v>
      </c>
      <c r="M160" s="28"/>
      <c r="N160" s="28"/>
      <c r="O160" s="65"/>
      <c r="P160" s="64">
        <f t="shared" si="108"/>
        <v>0</v>
      </c>
      <c r="Q160" s="28"/>
      <c r="R160" s="28"/>
      <c r="S160" s="65"/>
      <c r="T160" s="64">
        <f t="shared" si="109"/>
        <v>0</v>
      </c>
      <c r="U160" s="28"/>
      <c r="V160" s="28"/>
      <c r="W160" s="65"/>
      <c r="X160" s="64">
        <f t="shared" si="110"/>
        <v>0</v>
      </c>
      <c r="Y160" s="28"/>
      <c r="Z160" s="28"/>
      <c r="AA160" s="65"/>
      <c r="AB160" s="64">
        <f t="shared" si="111"/>
        <v>0</v>
      </c>
      <c r="AC160" s="28"/>
      <c r="AD160" s="28"/>
      <c r="AE160" s="65"/>
      <c r="AF160" s="64">
        <f t="shared" si="112"/>
        <v>0</v>
      </c>
      <c r="AG160" s="28"/>
      <c r="AH160" s="28"/>
      <c r="AI160" s="65"/>
      <c r="AJ160" s="64">
        <f t="shared" si="113"/>
        <v>0</v>
      </c>
      <c r="AK160" s="28"/>
      <c r="AL160" s="28"/>
      <c r="AM160" s="65"/>
      <c r="AN160" s="64">
        <f t="shared" si="114"/>
        <v>0</v>
      </c>
      <c r="AO160" s="28"/>
      <c r="AP160" s="28"/>
      <c r="AQ160" s="65"/>
      <c r="AR160" s="64">
        <f t="shared" si="115"/>
        <v>0</v>
      </c>
      <c r="AS160" s="28"/>
      <c r="AT160" s="28"/>
      <c r="AU160" s="65"/>
      <c r="AV160" s="64">
        <f t="shared" si="116"/>
        <v>0</v>
      </c>
      <c r="AW160" s="28"/>
      <c r="AX160" s="28"/>
      <c r="AY160" s="65"/>
      <c r="AZ160" s="64">
        <f t="shared" si="117"/>
        <v>0</v>
      </c>
      <c r="BA160" s="28"/>
      <c r="BB160" s="28"/>
      <c r="BC160" s="65"/>
      <c r="BD160" s="64">
        <f t="shared" si="118"/>
        <v>0</v>
      </c>
      <c r="BE160" s="28"/>
      <c r="BF160" s="28"/>
      <c r="BG160" s="65"/>
      <c r="BH160" s="64">
        <f t="shared" si="119"/>
        <v>0</v>
      </c>
      <c r="BI160" s="28"/>
      <c r="BJ160" s="28"/>
      <c r="BK160" s="65"/>
      <c r="BL160" s="64">
        <f t="shared" si="120"/>
        <v>0</v>
      </c>
      <c r="BM160" s="28"/>
      <c r="BN160" s="28"/>
      <c r="BO160" s="65"/>
      <c r="BP160" s="64">
        <f t="shared" si="121"/>
        <v>0</v>
      </c>
      <c r="BQ160" s="28"/>
      <c r="BR160" s="28"/>
      <c r="BS160" s="65"/>
      <c r="BT160" s="64">
        <f t="shared" si="122"/>
        <v>0</v>
      </c>
      <c r="BU160" s="28"/>
      <c r="BV160" s="28"/>
      <c r="BW160" s="65"/>
      <c r="BX160" s="64">
        <f t="shared" si="123"/>
        <v>0</v>
      </c>
      <c r="BY160" s="28"/>
      <c r="BZ160" s="28"/>
      <c r="CA160" s="65"/>
      <c r="CB160" s="64">
        <f t="shared" si="124"/>
        <v>0</v>
      </c>
      <c r="CC160" s="28"/>
      <c r="CD160" s="28"/>
      <c r="CE160" s="65"/>
      <c r="CF160" s="64">
        <f t="shared" si="125"/>
        <v>0</v>
      </c>
      <c r="CG160" s="28"/>
      <c r="CH160" s="28"/>
      <c r="CI160" s="65"/>
      <c r="CJ160" s="64">
        <f t="shared" si="126"/>
        <v>0</v>
      </c>
      <c r="CK160" s="28"/>
      <c r="CL160" s="28"/>
      <c r="CM160" s="65"/>
      <c r="CN160" s="64">
        <f t="shared" si="127"/>
        <v>0</v>
      </c>
      <c r="CO160" s="28"/>
      <c r="CP160" s="28"/>
      <c r="CQ160" s="65"/>
      <c r="CR160" s="64">
        <f t="shared" si="128"/>
        <v>0</v>
      </c>
      <c r="CS160" s="28"/>
      <c r="CT160" s="28"/>
      <c r="CU160" s="65"/>
      <c r="CV160" s="64">
        <f t="shared" si="129"/>
        <v>0</v>
      </c>
      <c r="CW160" s="28"/>
      <c r="CX160" s="28"/>
      <c r="CY160" s="65"/>
      <c r="CZ160" s="64">
        <f t="shared" si="130"/>
        <v>0</v>
      </c>
      <c r="DA160" s="28"/>
      <c r="DB160" s="28"/>
      <c r="DC160" s="65"/>
      <c r="DD160" s="64">
        <f t="shared" si="131"/>
        <v>0</v>
      </c>
      <c r="DE160" s="28"/>
      <c r="DF160" s="28"/>
      <c r="DG160" s="65"/>
      <c r="DH160" s="64">
        <f t="shared" si="132"/>
        <v>0</v>
      </c>
      <c r="DI160" s="28"/>
      <c r="DJ160" s="28"/>
      <c r="DK160" s="65"/>
      <c r="DL160" s="64">
        <f t="shared" si="133"/>
        <v>0</v>
      </c>
      <c r="DM160" s="28"/>
      <c r="DN160" s="28"/>
      <c r="DO160" s="65"/>
      <c r="DP160" s="64">
        <f t="shared" si="134"/>
        <v>0</v>
      </c>
      <c r="DQ160" s="28"/>
      <c r="DR160" s="28"/>
      <c r="DS160" s="65"/>
      <c r="DT160" s="64">
        <f t="shared" si="135"/>
        <v>0</v>
      </c>
      <c r="DU160" s="28"/>
      <c r="DV160" s="28"/>
      <c r="DW160" s="65"/>
      <c r="DX160" s="30">
        <f t="shared" si="136"/>
        <v>0</v>
      </c>
      <c r="DY160" s="4"/>
      <c r="DZ160" s="4"/>
      <c r="EA160" s="4"/>
      <c r="EB160" s="9">
        <f>D160*'MASTER SHEET'!D160</f>
        <v>0</v>
      </c>
      <c r="EC160" s="9">
        <f>H160*'MASTER SHEET'!D160</f>
        <v>0</v>
      </c>
      <c r="ED160" s="9">
        <f>L160*'MASTER SHEET'!D160</f>
        <v>0</v>
      </c>
      <c r="EE160" s="9">
        <f>P160*'MASTER SHEET'!D160</f>
        <v>0</v>
      </c>
      <c r="EF160" s="9">
        <f>T160*'MASTER SHEET'!D160</f>
        <v>0</v>
      </c>
      <c r="EG160" s="9">
        <f>X160*'MASTER SHEET'!D160</f>
        <v>0</v>
      </c>
      <c r="EH160" s="9">
        <f>AB160*'MASTER SHEET'!D160</f>
        <v>0</v>
      </c>
      <c r="EI160" s="9">
        <f>AF160*'MASTER SHEET'!D160</f>
        <v>0</v>
      </c>
      <c r="EJ160" s="9">
        <f>AJ160*'MASTER SHEET'!D160</f>
        <v>0</v>
      </c>
      <c r="EK160" s="9">
        <f>AN160*'MASTER SHEET'!D160</f>
        <v>0</v>
      </c>
      <c r="EL160" s="9">
        <f>AR160*'MASTER SHEET'!D160</f>
        <v>0</v>
      </c>
      <c r="EM160" s="9">
        <f>AV160*'MASTER SHEET'!D160</f>
        <v>0</v>
      </c>
      <c r="EN160" s="9">
        <f>AZ160*'MASTER SHEET'!D160</f>
        <v>0</v>
      </c>
      <c r="EO160" s="9">
        <f>BD160*'MASTER SHEET'!D160</f>
        <v>0</v>
      </c>
      <c r="EP160" s="9">
        <f>BH160*'MASTER SHEET'!D160</f>
        <v>0</v>
      </c>
      <c r="EQ160" s="9">
        <f>BL160*'MASTER SHEET'!D160</f>
        <v>0</v>
      </c>
      <c r="ER160" s="9">
        <f>BP160*'MASTER SHEET'!D160</f>
        <v>0</v>
      </c>
      <c r="ES160" s="9">
        <f>BT160*'MASTER SHEET'!D160</f>
        <v>0</v>
      </c>
      <c r="ET160" s="9">
        <f>BX160*'MASTER SHEET'!D160</f>
        <v>0</v>
      </c>
      <c r="EU160" s="9">
        <f>CB160*'MASTER SHEET'!D160</f>
        <v>0</v>
      </c>
      <c r="EV160" s="9">
        <f>CF160*'MASTER SHEET'!D160</f>
        <v>0</v>
      </c>
      <c r="EW160" s="9">
        <f>CJ160*'MASTER SHEET'!D160</f>
        <v>0</v>
      </c>
      <c r="EX160" s="9">
        <f>CN160*'MASTER SHEET'!D160</f>
        <v>0</v>
      </c>
      <c r="EY160" s="9">
        <f>CV160*'MASTER SHEET'!D160</f>
        <v>0</v>
      </c>
      <c r="EZ160" s="9">
        <f>CV160*'MASTER SHEET'!D160</f>
        <v>0</v>
      </c>
      <c r="FA160" s="9">
        <f>CZ160*'MASTER SHEET'!D160</f>
        <v>0</v>
      </c>
      <c r="FB160" s="9">
        <f>DD160*'MASTER SHEET'!D160</f>
        <v>0</v>
      </c>
      <c r="FC160" s="9">
        <f>DH160*'MASTER SHEET'!D160</f>
        <v>0</v>
      </c>
      <c r="FD160" s="9">
        <f>DL160*'MASTER SHEET'!D160</f>
        <v>0</v>
      </c>
      <c r="FE160" s="9">
        <f>DP160*'MASTER SHEET'!D160</f>
        <v>0</v>
      </c>
      <c r="FF160" s="9">
        <f>DT160*'MASTER SHEET'!D160</f>
        <v>0</v>
      </c>
      <c r="FG160" s="9">
        <f>DX160*'MASTER SHEET'!D160</f>
        <v>0</v>
      </c>
    </row>
    <row r="161" spans="1:163" s="69" customFormat="1" ht="20.25" x14ac:dyDescent="0.25">
      <c r="A161" s="43">
        <f>'MASTER SHEET'!A161</f>
        <v>159</v>
      </c>
      <c r="B161" s="67" t="str">
        <f>'MASTER SHEET'!B161</f>
        <v>VF36 ACTUATOR</v>
      </c>
      <c r="C161" s="82" t="str">
        <f>'MASTER SHEET'!C161</f>
        <v>BB00006043</v>
      </c>
      <c r="D161" s="64"/>
      <c r="E161" s="28"/>
      <c r="F161" s="28"/>
      <c r="G161" s="65"/>
      <c r="H161" s="64">
        <f t="shared" si="106"/>
        <v>0</v>
      </c>
      <c r="I161" s="28"/>
      <c r="J161" s="28"/>
      <c r="K161" s="65"/>
      <c r="L161" s="64">
        <f t="shared" si="107"/>
        <v>0</v>
      </c>
      <c r="M161" s="28"/>
      <c r="N161" s="28"/>
      <c r="O161" s="65"/>
      <c r="P161" s="64">
        <f t="shared" si="108"/>
        <v>0</v>
      </c>
      <c r="Q161" s="28"/>
      <c r="R161" s="28"/>
      <c r="S161" s="65"/>
      <c r="T161" s="64">
        <f t="shared" si="109"/>
        <v>0</v>
      </c>
      <c r="U161" s="28"/>
      <c r="V161" s="28"/>
      <c r="W161" s="65"/>
      <c r="X161" s="64">
        <f t="shared" si="110"/>
        <v>0</v>
      </c>
      <c r="Y161" s="28"/>
      <c r="Z161" s="28"/>
      <c r="AA161" s="65"/>
      <c r="AB161" s="64">
        <f t="shared" si="111"/>
        <v>0</v>
      </c>
      <c r="AC161" s="28"/>
      <c r="AD161" s="28"/>
      <c r="AE161" s="65"/>
      <c r="AF161" s="64">
        <f t="shared" si="112"/>
        <v>0</v>
      </c>
      <c r="AG161" s="28"/>
      <c r="AH161" s="28"/>
      <c r="AI161" s="65"/>
      <c r="AJ161" s="64">
        <f t="shared" si="113"/>
        <v>0</v>
      </c>
      <c r="AK161" s="28"/>
      <c r="AL161" s="28"/>
      <c r="AM161" s="65"/>
      <c r="AN161" s="64">
        <f t="shared" si="114"/>
        <v>0</v>
      </c>
      <c r="AO161" s="28"/>
      <c r="AP161" s="28"/>
      <c r="AQ161" s="65"/>
      <c r="AR161" s="64">
        <f t="shared" si="115"/>
        <v>0</v>
      </c>
      <c r="AS161" s="28"/>
      <c r="AT161" s="28"/>
      <c r="AU161" s="65"/>
      <c r="AV161" s="64">
        <f t="shared" si="116"/>
        <v>0</v>
      </c>
      <c r="AW161" s="28"/>
      <c r="AX161" s="28"/>
      <c r="AY161" s="65"/>
      <c r="AZ161" s="64">
        <f t="shared" si="117"/>
        <v>0</v>
      </c>
      <c r="BA161" s="28"/>
      <c r="BB161" s="28"/>
      <c r="BC161" s="65"/>
      <c r="BD161" s="64">
        <f t="shared" si="118"/>
        <v>0</v>
      </c>
      <c r="BE161" s="28"/>
      <c r="BF161" s="28"/>
      <c r="BG161" s="65"/>
      <c r="BH161" s="64">
        <f t="shared" si="119"/>
        <v>0</v>
      </c>
      <c r="BI161" s="28"/>
      <c r="BJ161" s="28"/>
      <c r="BK161" s="65"/>
      <c r="BL161" s="64">
        <f t="shared" si="120"/>
        <v>0</v>
      </c>
      <c r="BM161" s="28"/>
      <c r="BN161" s="28"/>
      <c r="BO161" s="65"/>
      <c r="BP161" s="64">
        <f t="shared" si="121"/>
        <v>0</v>
      </c>
      <c r="BQ161" s="28"/>
      <c r="BR161" s="28"/>
      <c r="BS161" s="65"/>
      <c r="BT161" s="64">
        <f t="shared" si="122"/>
        <v>0</v>
      </c>
      <c r="BU161" s="28"/>
      <c r="BV161" s="28"/>
      <c r="BW161" s="65"/>
      <c r="BX161" s="64">
        <f t="shared" si="123"/>
        <v>0</v>
      </c>
      <c r="BY161" s="28"/>
      <c r="BZ161" s="28"/>
      <c r="CA161" s="65"/>
      <c r="CB161" s="64">
        <f t="shared" si="124"/>
        <v>0</v>
      </c>
      <c r="CC161" s="28"/>
      <c r="CD161" s="28"/>
      <c r="CE161" s="65"/>
      <c r="CF161" s="64">
        <f t="shared" si="125"/>
        <v>0</v>
      </c>
      <c r="CG161" s="28"/>
      <c r="CH161" s="28"/>
      <c r="CI161" s="65"/>
      <c r="CJ161" s="64">
        <f t="shared" si="126"/>
        <v>0</v>
      </c>
      <c r="CK161" s="28"/>
      <c r="CL161" s="28"/>
      <c r="CM161" s="65"/>
      <c r="CN161" s="64">
        <f t="shared" si="127"/>
        <v>0</v>
      </c>
      <c r="CO161" s="28"/>
      <c r="CP161" s="28"/>
      <c r="CQ161" s="65"/>
      <c r="CR161" s="64">
        <f t="shared" si="128"/>
        <v>0</v>
      </c>
      <c r="CS161" s="28"/>
      <c r="CT161" s="28"/>
      <c r="CU161" s="65"/>
      <c r="CV161" s="64">
        <f t="shared" si="129"/>
        <v>0</v>
      </c>
      <c r="CW161" s="28"/>
      <c r="CX161" s="28"/>
      <c r="CY161" s="65"/>
      <c r="CZ161" s="64">
        <f t="shared" si="130"/>
        <v>0</v>
      </c>
      <c r="DA161" s="28"/>
      <c r="DB161" s="28"/>
      <c r="DC161" s="65"/>
      <c r="DD161" s="64">
        <f t="shared" si="131"/>
        <v>0</v>
      </c>
      <c r="DE161" s="28"/>
      <c r="DF161" s="28"/>
      <c r="DG161" s="65"/>
      <c r="DH161" s="64">
        <f t="shared" si="132"/>
        <v>0</v>
      </c>
      <c r="DI161" s="28"/>
      <c r="DJ161" s="28"/>
      <c r="DK161" s="65"/>
      <c r="DL161" s="64">
        <f t="shared" si="133"/>
        <v>0</v>
      </c>
      <c r="DM161" s="28"/>
      <c r="DN161" s="28"/>
      <c r="DO161" s="65"/>
      <c r="DP161" s="64">
        <f t="shared" si="134"/>
        <v>0</v>
      </c>
      <c r="DQ161" s="28"/>
      <c r="DR161" s="28"/>
      <c r="DS161" s="65"/>
      <c r="DT161" s="64">
        <f t="shared" si="135"/>
        <v>0</v>
      </c>
      <c r="DU161" s="28"/>
      <c r="DV161" s="28"/>
      <c r="DW161" s="65"/>
      <c r="DX161" s="30">
        <f t="shared" si="136"/>
        <v>0</v>
      </c>
      <c r="DY161" s="68"/>
      <c r="DZ161" s="68"/>
      <c r="EA161" s="68"/>
      <c r="EB161" s="9">
        <f>D161*'MASTER SHEET'!D161</f>
        <v>0</v>
      </c>
      <c r="EC161" s="9">
        <f>H161*'MASTER SHEET'!D161</f>
        <v>0</v>
      </c>
      <c r="ED161" s="9">
        <f>L161*'MASTER SHEET'!D161</f>
        <v>0</v>
      </c>
      <c r="EE161" s="9">
        <f>P161*'MASTER SHEET'!D161</f>
        <v>0</v>
      </c>
      <c r="EF161" s="9">
        <f>T161*'MASTER SHEET'!D161</f>
        <v>0</v>
      </c>
      <c r="EG161" s="9">
        <f>X161*'MASTER SHEET'!D161</f>
        <v>0</v>
      </c>
      <c r="EH161" s="9">
        <f>AB161*'MASTER SHEET'!D161</f>
        <v>0</v>
      </c>
      <c r="EI161" s="9">
        <f>AF161*'MASTER SHEET'!D161</f>
        <v>0</v>
      </c>
      <c r="EJ161" s="9">
        <f>AJ161*'MASTER SHEET'!D161</f>
        <v>0</v>
      </c>
      <c r="EK161" s="9">
        <f>AN161*'MASTER SHEET'!D161</f>
        <v>0</v>
      </c>
      <c r="EL161" s="9">
        <f>AR161*'MASTER SHEET'!D161</f>
        <v>0</v>
      </c>
      <c r="EM161" s="9">
        <f>AV161*'MASTER SHEET'!D161</f>
        <v>0</v>
      </c>
      <c r="EN161" s="9">
        <f>AZ161*'MASTER SHEET'!D161</f>
        <v>0</v>
      </c>
      <c r="EO161" s="9">
        <f>BD161*'MASTER SHEET'!D161</f>
        <v>0</v>
      </c>
      <c r="EP161" s="9">
        <f>BH161*'MASTER SHEET'!D161</f>
        <v>0</v>
      </c>
      <c r="EQ161" s="9">
        <f>BL161*'MASTER SHEET'!D161</f>
        <v>0</v>
      </c>
      <c r="ER161" s="9">
        <f>BP161*'MASTER SHEET'!D161</f>
        <v>0</v>
      </c>
      <c r="ES161" s="9">
        <f>BT161*'MASTER SHEET'!D161</f>
        <v>0</v>
      </c>
      <c r="ET161" s="9">
        <f>BX161*'MASTER SHEET'!D161</f>
        <v>0</v>
      </c>
      <c r="EU161" s="9">
        <f>CB161*'MASTER SHEET'!D161</f>
        <v>0</v>
      </c>
      <c r="EV161" s="9">
        <f>CF161*'MASTER SHEET'!D161</f>
        <v>0</v>
      </c>
      <c r="EW161" s="9">
        <f>CJ161*'MASTER SHEET'!D161</f>
        <v>0</v>
      </c>
      <c r="EX161" s="9">
        <f>CN161*'MASTER SHEET'!D161</f>
        <v>0</v>
      </c>
      <c r="EY161" s="9">
        <f>CV161*'MASTER SHEET'!D161</f>
        <v>0</v>
      </c>
      <c r="EZ161" s="9">
        <f>CV161*'MASTER SHEET'!D161</f>
        <v>0</v>
      </c>
      <c r="FA161" s="9">
        <f>CZ161*'MASTER SHEET'!D161</f>
        <v>0</v>
      </c>
      <c r="FB161" s="9">
        <f>DD161*'MASTER SHEET'!D161</f>
        <v>0</v>
      </c>
      <c r="FC161" s="9">
        <f>DH161*'MASTER SHEET'!D161</f>
        <v>0</v>
      </c>
      <c r="FD161" s="9">
        <f>DL161*'MASTER SHEET'!D161</f>
        <v>0</v>
      </c>
      <c r="FE161" s="9">
        <f>DP161*'MASTER SHEET'!D161</f>
        <v>0</v>
      </c>
      <c r="FF161" s="9">
        <f>DT161*'MASTER SHEET'!D161</f>
        <v>0</v>
      </c>
      <c r="FG161" s="9">
        <f>DX161*'MASTER SHEET'!D161</f>
        <v>0</v>
      </c>
    </row>
    <row r="162" spans="1:163" s="69" customFormat="1" ht="20.25" x14ac:dyDescent="0.25">
      <c r="A162" s="43">
        <f>'MASTER SHEET'!A162</f>
        <v>160</v>
      </c>
      <c r="B162" s="67" t="str">
        <f>'MASTER SHEET'!B162</f>
        <v>DUMMY CAP LH</v>
      </c>
      <c r="C162" s="82" t="str">
        <f>'MASTER SHEET'!C162</f>
        <v>CB00004193</v>
      </c>
      <c r="D162" s="64"/>
      <c r="E162" s="28"/>
      <c r="F162" s="28"/>
      <c r="G162" s="65"/>
      <c r="H162" s="64">
        <f t="shared" si="106"/>
        <v>0</v>
      </c>
      <c r="I162" s="28"/>
      <c r="J162" s="28"/>
      <c r="K162" s="65"/>
      <c r="L162" s="64">
        <f t="shared" si="107"/>
        <v>0</v>
      </c>
      <c r="M162" s="28"/>
      <c r="N162" s="28"/>
      <c r="O162" s="65"/>
      <c r="P162" s="64">
        <f t="shared" si="108"/>
        <v>0</v>
      </c>
      <c r="Q162" s="28"/>
      <c r="R162" s="28"/>
      <c r="S162" s="65"/>
      <c r="T162" s="64">
        <f t="shared" si="109"/>
        <v>0</v>
      </c>
      <c r="U162" s="28"/>
      <c r="V162" s="28"/>
      <c r="W162" s="65"/>
      <c r="X162" s="64">
        <f t="shared" si="110"/>
        <v>0</v>
      </c>
      <c r="Y162" s="28"/>
      <c r="Z162" s="28"/>
      <c r="AA162" s="65"/>
      <c r="AB162" s="64">
        <f t="shared" si="111"/>
        <v>0</v>
      </c>
      <c r="AC162" s="28"/>
      <c r="AD162" s="28"/>
      <c r="AE162" s="65"/>
      <c r="AF162" s="64">
        <f t="shared" si="112"/>
        <v>0</v>
      </c>
      <c r="AG162" s="28"/>
      <c r="AH162" s="28"/>
      <c r="AI162" s="65"/>
      <c r="AJ162" s="64">
        <f t="shared" si="113"/>
        <v>0</v>
      </c>
      <c r="AK162" s="28"/>
      <c r="AL162" s="28"/>
      <c r="AM162" s="65"/>
      <c r="AN162" s="64">
        <f t="shared" si="114"/>
        <v>0</v>
      </c>
      <c r="AO162" s="28"/>
      <c r="AP162" s="28"/>
      <c r="AQ162" s="65"/>
      <c r="AR162" s="64">
        <f t="shared" si="115"/>
        <v>0</v>
      </c>
      <c r="AS162" s="28"/>
      <c r="AT162" s="28"/>
      <c r="AU162" s="65"/>
      <c r="AV162" s="64">
        <f t="shared" si="116"/>
        <v>0</v>
      </c>
      <c r="AW162" s="28"/>
      <c r="AX162" s="28"/>
      <c r="AY162" s="65"/>
      <c r="AZ162" s="64">
        <f t="shared" si="117"/>
        <v>0</v>
      </c>
      <c r="BA162" s="28"/>
      <c r="BB162" s="28"/>
      <c r="BC162" s="65"/>
      <c r="BD162" s="64">
        <f t="shared" si="118"/>
        <v>0</v>
      </c>
      <c r="BE162" s="28"/>
      <c r="BF162" s="28"/>
      <c r="BG162" s="65"/>
      <c r="BH162" s="64">
        <f t="shared" si="119"/>
        <v>0</v>
      </c>
      <c r="BI162" s="28"/>
      <c r="BJ162" s="28"/>
      <c r="BK162" s="65"/>
      <c r="BL162" s="64">
        <f t="shared" si="120"/>
        <v>0</v>
      </c>
      <c r="BM162" s="28"/>
      <c r="BN162" s="28"/>
      <c r="BO162" s="65"/>
      <c r="BP162" s="64">
        <f t="shared" si="121"/>
        <v>0</v>
      </c>
      <c r="BQ162" s="28"/>
      <c r="BR162" s="28"/>
      <c r="BS162" s="65"/>
      <c r="BT162" s="64">
        <f t="shared" si="122"/>
        <v>0</v>
      </c>
      <c r="BU162" s="28"/>
      <c r="BV162" s="28"/>
      <c r="BW162" s="65"/>
      <c r="BX162" s="64">
        <f t="shared" si="123"/>
        <v>0</v>
      </c>
      <c r="BY162" s="28"/>
      <c r="BZ162" s="28"/>
      <c r="CA162" s="65"/>
      <c r="CB162" s="64">
        <f t="shared" si="124"/>
        <v>0</v>
      </c>
      <c r="CC162" s="28"/>
      <c r="CD162" s="28"/>
      <c r="CE162" s="65"/>
      <c r="CF162" s="64">
        <f t="shared" si="125"/>
        <v>0</v>
      </c>
      <c r="CG162" s="28"/>
      <c r="CH162" s="28"/>
      <c r="CI162" s="65"/>
      <c r="CJ162" s="64">
        <f t="shared" si="126"/>
        <v>0</v>
      </c>
      <c r="CK162" s="28"/>
      <c r="CL162" s="28"/>
      <c r="CM162" s="65"/>
      <c r="CN162" s="64">
        <f t="shared" si="127"/>
        <v>0</v>
      </c>
      <c r="CO162" s="28"/>
      <c r="CP162" s="28"/>
      <c r="CQ162" s="65"/>
      <c r="CR162" s="64">
        <f t="shared" si="128"/>
        <v>0</v>
      </c>
      <c r="CS162" s="28"/>
      <c r="CT162" s="28"/>
      <c r="CU162" s="65"/>
      <c r="CV162" s="64">
        <f t="shared" si="129"/>
        <v>0</v>
      </c>
      <c r="CW162" s="28"/>
      <c r="CX162" s="28"/>
      <c r="CY162" s="65"/>
      <c r="CZ162" s="64">
        <f t="shared" si="130"/>
        <v>0</v>
      </c>
      <c r="DA162" s="28"/>
      <c r="DB162" s="28"/>
      <c r="DC162" s="65"/>
      <c r="DD162" s="64">
        <f t="shared" si="131"/>
        <v>0</v>
      </c>
      <c r="DE162" s="28"/>
      <c r="DF162" s="28"/>
      <c r="DG162" s="65"/>
      <c r="DH162" s="64">
        <f t="shared" si="132"/>
        <v>0</v>
      </c>
      <c r="DI162" s="28"/>
      <c r="DJ162" s="28"/>
      <c r="DK162" s="65"/>
      <c r="DL162" s="64">
        <f t="shared" si="133"/>
        <v>0</v>
      </c>
      <c r="DM162" s="28"/>
      <c r="DN162" s="28"/>
      <c r="DO162" s="65"/>
      <c r="DP162" s="64">
        <f t="shared" si="134"/>
        <v>0</v>
      </c>
      <c r="DQ162" s="28"/>
      <c r="DR162" s="28"/>
      <c r="DS162" s="65"/>
      <c r="DT162" s="64">
        <f t="shared" si="135"/>
        <v>0</v>
      </c>
      <c r="DU162" s="28"/>
      <c r="DV162" s="28"/>
      <c r="DW162" s="65"/>
      <c r="DX162" s="30">
        <f t="shared" si="136"/>
        <v>0</v>
      </c>
      <c r="DY162" s="68"/>
      <c r="DZ162" s="68"/>
      <c r="EA162" s="68"/>
      <c r="EB162" s="9">
        <f>D162*'MASTER SHEET'!D162</f>
        <v>0</v>
      </c>
      <c r="EC162" s="9">
        <f>H162*'MASTER SHEET'!D162</f>
        <v>0</v>
      </c>
      <c r="ED162" s="9">
        <f>L162*'MASTER SHEET'!D162</f>
        <v>0</v>
      </c>
      <c r="EE162" s="9">
        <f>P162*'MASTER SHEET'!D162</f>
        <v>0</v>
      </c>
      <c r="EF162" s="9">
        <f>T162*'MASTER SHEET'!D162</f>
        <v>0</v>
      </c>
      <c r="EG162" s="9">
        <f>X162*'MASTER SHEET'!D162</f>
        <v>0</v>
      </c>
      <c r="EH162" s="9">
        <f>AB162*'MASTER SHEET'!D162</f>
        <v>0</v>
      </c>
      <c r="EI162" s="9">
        <f>AF162*'MASTER SHEET'!D162</f>
        <v>0</v>
      </c>
      <c r="EJ162" s="9">
        <f>AJ162*'MASTER SHEET'!D162</f>
        <v>0</v>
      </c>
      <c r="EK162" s="9">
        <f>AN162*'MASTER SHEET'!D162</f>
        <v>0</v>
      </c>
      <c r="EL162" s="9">
        <f>AR162*'MASTER SHEET'!D162</f>
        <v>0</v>
      </c>
      <c r="EM162" s="9">
        <f>AV162*'MASTER SHEET'!D162</f>
        <v>0</v>
      </c>
      <c r="EN162" s="9">
        <f>AZ162*'MASTER SHEET'!D162</f>
        <v>0</v>
      </c>
      <c r="EO162" s="9">
        <f>BD162*'MASTER SHEET'!D162</f>
        <v>0</v>
      </c>
      <c r="EP162" s="9">
        <f>BH162*'MASTER SHEET'!D162</f>
        <v>0</v>
      </c>
      <c r="EQ162" s="9">
        <f>BL162*'MASTER SHEET'!D162</f>
        <v>0</v>
      </c>
      <c r="ER162" s="9">
        <f>BP162*'MASTER SHEET'!D162</f>
        <v>0</v>
      </c>
      <c r="ES162" s="9">
        <f>BT162*'MASTER SHEET'!D162</f>
        <v>0</v>
      </c>
      <c r="ET162" s="9">
        <f>BX162*'MASTER SHEET'!D162</f>
        <v>0</v>
      </c>
      <c r="EU162" s="9">
        <f>CB162*'MASTER SHEET'!D162</f>
        <v>0</v>
      </c>
      <c r="EV162" s="9">
        <f>CF162*'MASTER SHEET'!D162</f>
        <v>0</v>
      </c>
      <c r="EW162" s="9">
        <f>CJ162*'MASTER SHEET'!D162</f>
        <v>0</v>
      </c>
      <c r="EX162" s="9">
        <f>CN162*'MASTER SHEET'!D162</f>
        <v>0</v>
      </c>
      <c r="EY162" s="9">
        <f>CV162*'MASTER SHEET'!D162</f>
        <v>0</v>
      </c>
      <c r="EZ162" s="9">
        <f>CV162*'MASTER SHEET'!D162</f>
        <v>0</v>
      </c>
      <c r="FA162" s="9">
        <f>CZ162*'MASTER SHEET'!D162</f>
        <v>0</v>
      </c>
      <c r="FB162" s="9">
        <f>DD162*'MASTER SHEET'!D162</f>
        <v>0</v>
      </c>
      <c r="FC162" s="9">
        <f>DH162*'MASTER SHEET'!D162</f>
        <v>0</v>
      </c>
      <c r="FD162" s="9">
        <f>DL162*'MASTER SHEET'!D162</f>
        <v>0</v>
      </c>
      <c r="FE162" s="9">
        <f>DP162*'MASTER SHEET'!D162</f>
        <v>0</v>
      </c>
      <c r="FF162" s="9">
        <f>DT162*'MASTER SHEET'!D162</f>
        <v>0</v>
      </c>
      <c r="FG162" s="9">
        <f>DX162*'MASTER SHEET'!D162</f>
        <v>0</v>
      </c>
    </row>
    <row r="163" spans="1:163" s="69" customFormat="1" ht="20.25" x14ac:dyDescent="0.25">
      <c r="A163" s="43">
        <f>'MASTER SHEET'!A163</f>
        <v>161</v>
      </c>
      <c r="B163" s="67" t="str">
        <f>'MASTER SHEET'!B163</f>
        <v>FDUMMY CAP RH</v>
      </c>
      <c r="C163" s="82" t="str">
        <f>'MASTER SHEET'!C163</f>
        <v>CC00004189</v>
      </c>
      <c r="D163" s="64"/>
      <c r="E163" s="28"/>
      <c r="F163" s="28"/>
      <c r="G163" s="65"/>
      <c r="H163" s="64">
        <f t="shared" si="106"/>
        <v>0</v>
      </c>
      <c r="I163" s="28"/>
      <c r="J163" s="28"/>
      <c r="K163" s="65"/>
      <c r="L163" s="64">
        <f t="shared" si="107"/>
        <v>0</v>
      </c>
      <c r="M163" s="28"/>
      <c r="N163" s="28"/>
      <c r="O163" s="65"/>
      <c r="P163" s="64">
        <f t="shared" si="108"/>
        <v>0</v>
      </c>
      <c r="Q163" s="28"/>
      <c r="R163" s="28"/>
      <c r="S163" s="65"/>
      <c r="T163" s="64">
        <f t="shared" si="109"/>
        <v>0</v>
      </c>
      <c r="U163" s="28"/>
      <c r="V163" s="28"/>
      <c r="W163" s="65"/>
      <c r="X163" s="64">
        <f t="shared" si="110"/>
        <v>0</v>
      </c>
      <c r="Y163" s="28"/>
      <c r="Z163" s="28"/>
      <c r="AA163" s="65"/>
      <c r="AB163" s="64">
        <f t="shared" si="111"/>
        <v>0</v>
      </c>
      <c r="AC163" s="28"/>
      <c r="AD163" s="28"/>
      <c r="AE163" s="65"/>
      <c r="AF163" s="64">
        <f t="shared" si="112"/>
        <v>0</v>
      </c>
      <c r="AG163" s="28"/>
      <c r="AH163" s="28"/>
      <c r="AI163" s="65"/>
      <c r="AJ163" s="64">
        <f t="shared" si="113"/>
        <v>0</v>
      </c>
      <c r="AK163" s="28"/>
      <c r="AL163" s="28"/>
      <c r="AM163" s="65"/>
      <c r="AN163" s="64">
        <f t="shared" si="114"/>
        <v>0</v>
      </c>
      <c r="AO163" s="28"/>
      <c r="AP163" s="28"/>
      <c r="AQ163" s="65"/>
      <c r="AR163" s="64">
        <f t="shared" si="115"/>
        <v>0</v>
      </c>
      <c r="AS163" s="28"/>
      <c r="AT163" s="28"/>
      <c r="AU163" s="65"/>
      <c r="AV163" s="64">
        <f t="shared" si="116"/>
        <v>0</v>
      </c>
      <c r="AW163" s="28"/>
      <c r="AX163" s="28"/>
      <c r="AY163" s="65"/>
      <c r="AZ163" s="64">
        <f t="shared" si="117"/>
        <v>0</v>
      </c>
      <c r="BA163" s="28"/>
      <c r="BB163" s="28"/>
      <c r="BC163" s="65"/>
      <c r="BD163" s="64">
        <f t="shared" si="118"/>
        <v>0</v>
      </c>
      <c r="BE163" s="28"/>
      <c r="BF163" s="28"/>
      <c r="BG163" s="65"/>
      <c r="BH163" s="64">
        <f t="shared" si="119"/>
        <v>0</v>
      </c>
      <c r="BI163" s="28"/>
      <c r="BJ163" s="28"/>
      <c r="BK163" s="65"/>
      <c r="BL163" s="64">
        <f t="shared" si="120"/>
        <v>0</v>
      </c>
      <c r="BM163" s="28"/>
      <c r="BN163" s="28"/>
      <c r="BO163" s="65"/>
      <c r="BP163" s="64">
        <f t="shared" si="121"/>
        <v>0</v>
      </c>
      <c r="BQ163" s="28"/>
      <c r="BR163" s="28"/>
      <c r="BS163" s="65"/>
      <c r="BT163" s="64">
        <f t="shared" si="122"/>
        <v>0</v>
      </c>
      <c r="BU163" s="28"/>
      <c r="BV163" s="28"/>
      <c r="BW163" s="65"/>
      <c r="BX163" s="64">
        <f t="shared" si="123"/>
        <v>0</v>
      </c>
      <c r="BY163" s="28"/>
      <c r="BZ163" s="28"/>
      <c r="CA163" s="65"/>
      <c r="CB163" s="64">
        <f t="shared" si="124"/>
        <v>0</v>
      </c>
      <c r="CC163" s="28"/>
      <c r="CD163" s="28"/>
      <c r="CE163" s="65"/>
      <c r="CF163" s="64">
        <f t="shared" si="125"/>
        <v>0</v>
      </c>
      <c r="CG163" s="28"/>
      <c r="CH163" s="28"/>
      <c r="CI163" s="65"/>
      <c r="CJ163" s="64">
        <f t="shared" si="126"/>
        <v>0</v>
      </c>
      <c r="CK163" s="28"/>
      <c r="CL163" s="28"/>
      <c r="CM163" s="65"/>
      <c r="CN163" s="64">
        <f t="shared" si="127"/>
        <v>0</v>
      </c>
      <c r="CO163" s="28"/>
      <c r="CP163" s="28"/>
      <c r="CQ163" s="65"/>
      <c r="CR163" s="64">
        <f t="shared" si="128"/>
        <v>0</v>
      </c>
      <c r="CS163" s="28"/>
      <c r="CT163" s="28"/>
      <c r="CU163" s="65"/>
      <c r="CV163" s="64">
        <f t="shared" si="129"/>
        <v>0</v>
      </c>
      <c r="CW163" s="28"/>
      <c r="CX163" s="28"/>
      <c r="CY163" s="65"/>
      <c r="CZ163" s="64">
        <f t="shared" si="130"/>
        <v>0</v>
      </c>
      <c r="DA163" s="28"/>
      <c r="DB163" s="28"/>
      <c r="DC163" s="65"/>
      <c r="DD163" s="64">
        <f t="shared" si="131"/>
        <v>0</v>
      </c>
      <c r="DE163" s="28"/>
      <c r="DF163" s="28"/>
      <c r="DG163" s="65"/>
      <c r="DH163" s="64">
        <f t="shared" si="132"/>
        <v>0</v>
      </c>
      <c r="DI163" s="28"/>
      <c r="DJ163" s="28"/>
      <c r="DK163" s="65"/>
      <c r="DL163" s="64">
        <f t="shared" si="133"/>
        <v>0</v>
      </c>
      <c r="DM163" s="28"/>
      <c r="DN163" s="28"/>
      <c r="DO163" s="65"/>
      <c r="DP163" s="64">
        <f t="shared" si="134"/>
        <v>0</v>
      </c>
      <c r="DQ163" s="28"/>
      <c r="DR163" s="28"/>
      <c r="DS163" s="65"/>
      <c r="DT163" s="64">
        <f t="shared" si="135"/>
        <v>0</v>
      </c>
      <c r="DU163" s="28"/>
      <c r="DV163" s="28"/>
      <c r="DW163" s="65"/>
      <c r="DX163" s="30">
        <f t="shared" si="136"/>
        <v>0</v>
      </c>
      <c r="DY163" s="68"/>
      <c r="DZ163" s="68"/>
      <c r="EA163" s="68"/>
      <c r="EB163" s="9">
        <f>D163*'MASTER SHEET'!D163</f>
        <v>0</v>
      </c>
      <c r="EC163" s="9">
        <f>H163*'MASTER SHEET'!D163</f>
        <v>0</v>
      </c>
      <c r="ED163" s="9">
        <f>L163*'MASTER SHEET'!D163</f>
        <v>0</v>
      </c>
      <c r="EE163" s="9">
        <f>P163*'MASTER SHEET'!D163</f>
        <v>0</v>
      </c>
      <c r="EF163" s="9">
        <f>T163*'MASTER SHEET'!D163</f>
        <v>0</v>
      </c>
      <c r="EG163" s="9">
        <f>X163*'MASTER SHEET'!D163</f>
        <v>0</v>
      </c>
      <c r="EH163" s="9">
        <f>AB163*'MASTER SHEET'!D163</f>
        <v>0</v>
      </c>
      <c r="EI163" s="9">
        <f>AF163*'MASTER SHEET'!D163</f>
        <v>0</v>
      </c>
      <c r="EJ163" s="9">
        <f>AJ163*'MASTER SHEET'!D163</f>
        <v>0</v>
      </c>
      <c r="EK163" s="9">
        <f>AN163*'MASTER SHEET'!D163</f>
        <v>0</v>
      </c>
      <c r="EL163" s="9">
        <f>AR163*'MASTER SHEET'!D163</f>
        <v>0</v>
      </c>
      <c r="EM163" s="9">
        <f>AV163*'MASTER SHEET'!D163</f>
        <v>0</v>
      </c>
      <c r="EN163" s="9">
        <f>AZ163*'MASTER SHEET'!D163</f>
        <v>0</v>
      </c>
      <c r="EO163" s="9">
        <f>BD163*'MASTER SHEET'!D163</f>
        <v>0</v>
      </c>
      <c r="EP163" s="9">
        <f>BH163*'MASTER SHEET'!D163</f>
        <v>0</v>
      </c>
      <c r="EQ163" s="9">
        <f>BL163*'MASTER SHEET'!D163</f>
        <v>0</v>
      </c>
      <c r="ER163" s="9">
        <f>BP163*'MASTER SHEET'!D163</f>
        <v>0</v>
      </c>
      <c r="ES163" s="9">
        <f>BT163*'MASTER SHEET'!D163</f>
        <v>0</v>
      </c>
      <c r="ET163" s="9">
        <f>BX163*'MASTER SHEET'!D163</f>
        <v>0</v>
      </c>
      <c r="EU163" s="9">
        <f>CB163*'MASTER SHEET'!D163</f>
        <v>0</v>
      </c>
      <c r="EV163" s="9">
        <f>CF163*'MASTER SHEET'!D163</f>
        <v>0</v>
      </c>
      <c r="EW163" s="9">
        <f>CJ163*'MASTER SHEET'!D163</f>
        <v>0</v>
      </c>
      <c r="EX163" s="9">
        <f>CN163*'MASTER SHEET'!D163</f>
        <v>0</v>
      </c>
      <c r="EY163" s="9">
        <f>CV163*'MASTER SHEET'!D163</f>
        <v>0</v>
      </c>
      <c r="EZ163" s="9">
        <f>CV163*'MASTER SHEET'!D163</f>
        <v>0</v>
      </c>
      <c r="FA163" s="9">
        <f>CZ163*'MASTER SHEET'!D163</f>
        <v>0</v>
      </c>
      <c r="FB163" s="9">
        <f>DD163*'MASTER SHEET'!D163</f>
        <v>0</v>
      </c>
      <c r="FC163" s="9">
        <f>DH163*'MASTER SHEET'!D163</f>
        <v>0</v>
      </c>
      <c r="FD163" s="9">
        <f>DL163*'MASTER SHEET'!D163</f>
        <v>0</v>
      </c>
      <c r="FE163" s="9">
        <f>DP163*'MASTER SHEET'!D163</f>
        <v>0</v>
      </c>
      <c r="FF163" s="9">
        <f>DT163*'MASTER SHEET'!D163</f>
        <v>0</v>
      </c>
      <c r="FG163" s="9">
        <f>DX163*'MASTER SHEET'!D163</f>
        <v>0</v>
      </c>
    </row>
    <row r="164" spans="1:163" s="69" customFormat="1" ht="20.25" x14ac:dyDescent="0.25">
      <c r="A164" s="43">
        <f>'MASTER SHEET'!A164</f>
        <v>162</v>
      </c>
      <c r="B164" s="67" t="str">
        <f>'MASTER SHEET'!B164</f>
        <v>Hood Stay Rod</v>
      </c>
      <c r="C164" s="82">
        <f>'MASTER SHEET'!C164</f>
        <v>62124</v>
      </c>
      <c r="D164" s="64"/>
      <c r="E164" s="28"/>
      <c r="F164" s="28"/>
      <c r="G164" s="65"/>
      <c r="H164" s="64">
        <f t="shared" si="106"/>
        <v>0</v>
      </c>
      <c r="I164" s="28">
        <v>9500</v>
      </c>
      <c r="J164" s="28">
        <v>9500</v>
      </c>
      <c r="K164" s="65"/>
      <c r="L164" s="64">
        <f t="shared" si="107"/>
        <v>0</v>
      </c>
      <c r="M164" s="28"/>
      <c r="N164" s="28"/>
      <c r="O164" s="65"/>
      <c r="P164" s="64">
        <f t="shared" si="108"/>
        <v>0</v>
      </c>
      <c r="Q164" s="28"/>
      <c r="R164" s="28"/>
      <c r="S164" s="65"/>
      <c r="T164" s="64">
        <f t="shared" si="109"/>
        <v>0</v>
      </c>
      <c r="U164" s="28"/>
      <c r="V164" s="28"/>
      <c r="W164" s="65"/>
      <c r="X164" s="64">
        <f t="shared" si="110"/>
        <v>0</v>
      </c>
      <c r="Y164" s="28">
        <v>6500</v>
      </c>
      <c r="Z164" s="28">
        <v>6500</v>
      </c>
      <c r="AA164" s="65"/>
      <c r="AB164" s="64">
        <f t="shared" si="111"/>
        <v>0</v>
      </c>
      <c r="AC164" s="28"/>
      <c r="AD164" s="28"/>
      <c r="AE164" s="65"/>
      <c r="AF164" s="64">
        <f t="shared" si="112"/>
        <v>0</v>
      </c>
      <c r="AG164" s="28"/>
      <c r="AH164" s="28"/>
      <c r="AI164" s="65"/>
      <c r="AJ164" s="64">
        <f t="shared" si="113"/>
        <v>0</v>
      </c>
      <c r="AK164" s="28"/>
      <c r="AL164" s="28"/>
      <c r="AM164" s="65"/>
      <c r="AN164" s="64">
        <f t="shared" si="114"/>
        <v>0</v>
      </c>
      <c r="AO164" s="28"/>
      <c r="AP164" s="28"/>
      <c r="AQ164" s="65"/>
      <c r="AR164" s="64">
        <f t="shared" si="115"/>
        <v>0</v>
      </c>
      <c r="AS164" s="28"/>
      <c r="AT164" s="28"/>
      <c r="AU164" s="65"/>
      <c r="AV164" s="64">
        <f t="shared" si="116"/>
        <v>0</v>
      </c>
      <c r="AW164" s="28"/>
      <c r="AX164" s="28"/>
      <c r="AY164" s="65"/>
      <c r="AZ164" s="64">
        <f t="shared" si="117"/>
        <v>0</v>
      </c>
      <c r="BA164" s="28"/>
      <c r="BB164" s="28"/>
      <c r="BC164" s="65"/>
      <c r="BD164" s="64">
        <f t="shared" si="118"/>
        <v>0</v>
      </c>
      <c r="BE164" s="28"/>
      <c r="BF164" s="28"/>
      <c r="BG164" s="65"/>
      <c r="BH164" s="64">
        <f t="shared" si="119"/>
        <v>0</v>
      </c>
      <c r="BI164" s="28"/>
      <c r="BJ164" s="28"/>
      <c r="BK164" s="65"/>
      <c r="BL164" s="64">
        <f t="shared" si="120"/>
        <v>0</v>
      </c>
      <c r="BM164" s="28"/>
      <c r="BN164" s="28"/>
      <c r="BO164" s="65"/>
      <c r="BP164" s="64">
        <f t="shared" si="121"/>
        <v>0</v>
      </c>
      <c r="BQ164" s="28"/>
      <c r="BR164" s="28"/>
      <c r="BS164" s="65"/>
      <c r="BT164" s="64">
        <f t="shared" si="122"/>
        <v>0</v>
      </c>
      <c r="BU164" s="28">
        <v>4500</v>
      </c>
      <c r="BV164" s="28">
        <v>4500</v>
      </c>
      <c r="BW164" s="65"/>
      <c r="BX164" s="64">
        <f t="shared" si="123"/>
        <v>0</v>
      </c>
      <c r="BY164" s="28"/>
      <c r="BZ164" s="28"/>
      <c r="CA164" s="65"/>
      <c r="CB164" s="64">
        <f t="shared" si="124"/>
        <v>0</v>
      </c>
      <c r="CC164" s="28"/>
      <c r="CD164" s="28"/>
      <c r="CE164" s="65"/>
      <c r="CF164" s="64">
        <f t="shared" si="125"/>
        <v>0</v>
      </c>
      <c r="CG164" s="28"/>
      <c r="CH164" s="28"/>
      <c r="CI164" s="65"/>
      <c r="CJ164" s="64">
        <f t="shared" si="126"/>
        <v>0</v>
      </c>
      <c r="CK164" s="28">
        <v>10000</v>
      </c>
      <c r="CL164" s="28">
        <v>10000</v>
      </c>
      <c r="CM164" s="65"/>
      <c r="CN164" s="64">
        <f t="shared" si="127"/>
        <v>0</v>
      </c>
      <c r="CO164" s="28">
        <v>10000</v>
      </c>
      <c r="CP164" s="28">
        <v>10000</v>
      </c>
      <c r="CQ164" s="65"/>
      <c r="CR164" s="64">
        <f t="shared" si="128"/>
        <v>0</v>
      </c>
      <c r="CS164" s="28"/>
      <c r="CT164" s="28"/>
      <c r="CU164" s="65"/>
      <c r="CV164" s="64">
        <f t="shared" si="129"/>
        <v>0</v>
      </c>
      <c r="CW164" s="28"/>
      <c r="CX164" s="28"/>
      <c r="CY164" s="65"/>
      <c r="CZ164" s="64">
        <f t="shared" si="130"/>
        <v>0</v>
      </c>
      <c r="DA164" s="28"/>
      <c r="DB164" s="28"/>
      <c r="DC164" s="65"/>
      <c r="DD164" s="64">
        <f t="shared" si="131"/>
        <v>0</v>
      </c>
      <c r="DE164" s="28">
        <v>14500</v>
      </c>
      <c r="DF164" s="28">
        <v>14500</v>
      </c>
      <c r="DG164" s="65"/>
      <c r="DH164" s="64">
        <f t="shared" si="132"/>
        <v>0</v>
      </c>
      <c r="DI164" s="28"/>
      <c r="DJ164" s="28"/>
      <c r="DK164" s="65"/>
      <c r="DL164" s="64">
        <f t="shared" si="133"/>
        <v>0</v>
      </c>
      <c r="DM164" s="28">
        <v>8000</v>
      </c>
      <c r="DN164" s="28">
        <v>8000</v>
      </c>
      <c r="DO164" s="65"/>
      <c r="DP164" s="64">
        <f t="shared" si="134"/>
        <v>0</v>
      </c>
      <c r="DQ164" s="28"/>
      <c r="DR164" s="28"/>
      <c r="DS164" s="65"/>
      <c r="DT164" s="64">
        <f t="shared" si="135"/>
        <v>0</v>
      </c>
      <c r="DU164" s="28"/>
      <c r="DV164" s="28"/>
      <c r="DW164" s="65"/>
      <c r="DX164" s="30">
        <f t="shared" si="136"/>
        <v>0</v>
      </c>
      <c r="DY164" s="68"/>
      <c r="DZ164" s="68"/>
      <c r="EA164" s="68"/>
      <c r="EB164" s="9">
        <f>D164*'MASTER SHEET'!D164</f>
        <v>0</v>
      </c>
      <c r="EC164" s="9">
        <f>H164*'MASTER SHEET'!D164</f>
        <v>0</v>
      </c>
      <c r="ED164" s="9">
        <f>L164*'MASTER SHEET'!D164</f>
        <v>0</v>
      </c>
      <c r="EE164" s="9">
        <f>P164*'MASTER SHEET'!D164</f>
        <v>0</v>
      </c>
      <c r="EF164" s="9">
        <f>T164*'MASTER SHEET'!D164</f>
        <v>0</v>
      </c>
      <c r="EG164" s="9">
        <f>X164*'MASTER SHEET'!D164</f>
        <v>0</v>
      </c>
      <c r="EH164" s="9">
        <f>AB164*'MASTER SHEET'!D164</f>
        <v>0</v>
      </c>
      <c r="EI164" s="9">
        <f>AF164*'MASTER SHEET'!D164</f>
        <v>0</v>
      </c>
      <c r="EJ164" s="9">
        <f>AJ164*'MASTER SHEET'!D164</f>
        <v>0</v>
      </c>
      <c r="EK164" s="9">
        <f>AN164*'MASTER SHEET'!D164</f>
        <v>0</v>
      </c>
      <c r="EL164" s="9">
        <f>AR164*'MASTER SHEET'!D164</f>
        <v>0</v>
      </c>
      <c r="EM164" s="9">
        <f>AV164*'MASTER SHEET'!D164</f>
        <v>0</v>
      </c>
      <c r="EN164" s="9">
        <f>AZ164*'MASTER SHEET'!D164</f>
        <v>0</v>
      </c>
      <c r="EO164" s="9">
        <f>BD164*'MASTER SHEET'!D164</f>
        <v>0</v>
      </c>
      <c r="EP164" s="9">
        <f>BH164*'MASTER SHEET'!D164</f>
        <v>0</v>
      </c>
      <c r="EQ164" s="9">
        <f>BL164*'MASTER SHEET'!D164</f>
        <v>0</v>
      </c>
      <c r="ER164" s="9">
        <f>BP164*'MASTER SHEET'!D164</f>
        <v>0</v>
      </c>
      <c r="ES164" s="9">
        <f>BT164*'MASTER SHEET'!D164</f>
        <v>0</v>
      </c>
      <c r="ET164" s="9">
        <f>BX164*'MASTER SHEET'!D164</f>
        <v>0</v>
      </c>
      <c r="EU164" s="9">
        <f>CB164*'MASTER SHEET'!D164</f>
        <v>0</v>
      </c>
      <c r="EV164" s="9">
        <f>CF164*'MASTER SHEET'!D164</f>
        <v>0</v>
      </c>
      <c r="EW164" s="9">
        <f>CJ164*'MASTER SHEET'!D164</f>
        <v>0</v>
      </c>
      <c r="EX164" s="9">
        <f>CN164*'MASTER SHEET'!D164</f>
        <v>0</v>
      </c>
      <c r="EY164" s="9">
        <f>CV164*'MASTER SHEET'!D164</f>
        <v>0</v>
      </c>
      <c r="EZ164" s="9">
        <f>CV164*'MASTER SHEET'!D164</f>
        <v>0</v>
      </c>
      <c r="FA164" s="9">
        <f>CZ164*'MASTER SHEET'!D164</f>
        <v>0</v>
      </c>
      <c r="FB164" s="9">
        <f>DD164*'MASTER SHEET'!D164</f>
        <v>0</v>
      </c>
      <c r="FC164" s="9">
        <f>DH164*'MASTER SHEET'!D164</f>
        <v>0</v>
      </c>
      <c r="FD164" s="9">
        <f>DL164*'MASTER SHEET'!D164</f>
        <v>0</v>
      </c>
      <c r="FE164" s="9">
        <f>DP164*'MASTER SHEET'!D164</f>
        <v>0</v>
      </c>
      <c r="FF164" s="9">
        <f>DT164*'MASTER SHEET'!D164</f>
        <v>0</v>
      </c>
      <c r="FG164" s="9">
        <f>DX164*'MASTER SHEET'!D164</f>
        <v>0</v>
      </c>
    </row>
    <row r="165" spans="1:163" s="69" customFormat="1" ht="20.25" x14ac:dyDescent="0.25">
      <c r="A165" s="43">
        <f>'MASTER SHEET'!A165</f>
        <v>163</v>
      </c>
      <c r="B165" s="67" t="str">
        <f>'MASTER SHEET'!B165</f>
        <v>RIBLOK</v>
      </c>
      <c r="C165" s="82">
        <f>'MASTER SHEET'!C165</f>
        <v>60250</v>
      </c>
      <c r="D165" s="64"/>
      <c r="E165" s="28"/>
      <c r="F165" s="28"/>
      <c r="G165" s="65"/>
      <c r="H165" s="64">
        <f t="shared" si="106"/>
        <v>0</v>
      </c>
      <c r="I165" s="28"/>
      <c r="J165" s="28"/>
      <c r="K165" s="65"/>
      <c r="L165" s="64">
        <f t="shared" si="107"/>
        <v>0</v>
      </c>
      <c r="M165" s="28"/>
      <c r="N165" s="28"/>
      <c r="O165" s="65"/>
      <c r="P165" s="64">
        <f t="shared" si="108"/>
        <v>0</v>
      </c>
      <c r="Q165" s="28"/>
      <c r="R165" s="28"/>
      <c r="S165" s="65"/>
      <c r="T165" s="64">
        <f t="shared" si="109"/>
        <v>0</v>
      </c>
      <c r="U165" s="28"/>
      <c r="V165" s="28"/>
      <c r="W165" s="65"/>
      <c r="X165" s="64">
        <f t="shared" si="110"/>
        <v>0</v>
      </c>
      <c r="Y165" s="28"/>
      <c r="Z165" s="28"/>
      <c r="AA165" s="65"/>
      <c r="AB165" s="64">
        <f t="shared" si="111"/>
        <v>0</v>
      </c>
      <c r="AC165" s="28"/>
      <c r="AD165" s="28"/>
      <c r="AE165" s="65"/>
      <c r="AF165" s="64">
        <f t="shared" si="112"/>
        <v>0</v>
      </c>
      <c r="AG165" s="28"/>
      <c r="AH165" s="28"/>
      <c r="AI165" s="65"/>
      <c r="AJ165" s="64">
        <f t="shared" si="113"/>
        <v>0</v>
      </c>
      <c r="AK165" s="28"/>
      <c r="AL165" s="28"/>
      <c r="AM165" s="65"/>
      <c r="AN165" s="64">
        <f t="shared" si="114"/>
        <v>0</v>
      </c>
      <c r="AO165" s="28"/>
      <c r="AP165" s="28"/>
      <c r="AQ165" s="65"/>
      <c r="AR165" s="64">
        <f t="shared" si="115"/>
        <v>0</v>
      </c>
      <c r="AS165" s="28"/>
      <c r="AT165" s="28"/>
      <c r="AU165" s="65"/>
      <c r="AV165" s="64">
        <f t="shared" si="116"/>
        <v>0</v>
      </c>
      <c r="AW165" s="28"/>
      <c r="AX165" s="28"/>
      <c r="AY165" s="65"/>
      <c r="AZ165" s="64">
        <f t="shared" si="117"/>
        <v>0</v>
      </c>
      <c r="BA165" s="28"/>
      <c r="BB165" s="28"/>
      <c r="BC165" s="65"/>
      <c r="BD165" s="64">
        <f t="shared" si="118"/>
        <v>0</v>
      </c>
      <c r="BE165" s="28"/>
      <c r="BF165" s="28"/>
      <c r="BG165" s="65"/>
      <c r="BH165" s="64">
        <f t="shared" si="119"/>
        <v>0</v>
      </c>
      <c r="BI165" s="28"/>
      <c r="BJ165" s="28"/>
      <c r="BK165" s="65"/>
      <c r="BL165" s="64">
        <f t="shared" si="120"/>
        <v>0</v>
      </c>
      <c r="BM165" s="28"/>
      <c r="BN165" s="28"/>
      <c r="BO165" s="65"/>
      <c r="BP165" s="64">
        <f t="shared" si="121"/>
        <v>0</v>
      </c>
      <c r="BQ165" s="28"/>
      <c r="BR165" s="28"/>
      <c r="BS165" s="65"/>
      <c r="BT165" s="64">
        <f t="shared" si="122"/>
        <v>0</v>
      </c>
      <c r="BU165" s="28"/>
      <c r="BV165" s="28"/>
      <c r="BW165" s="65"/>
      <c r="BX165" s="64">
        <f t="shared" si="123"/>
        <v>0</v>
      </c>
      <c r="BY165" s="28"/>
      <c r="BZ165" s="28"/>
      <c r="CA165" s="65"/>
      <c r="CB165" s="64">
        <f t="shared" si="124"/>
        <v>0</v>
      </c>
      <c r="CC165" s="28"/>
      <c r="CD165" s="28"/>
      <c r="CE165" s="65"/>
      <c r="CF165" s="64">
        <f t="shared" si="125"/>
        <v>0</v>
      </c>
      <c r="CG165" s="28"/>
      <c r="CH165" s="28"/>
      <c r="CI165" s="65"/>
      <c r="CJ165" s="64">
        <f t="shared" si="126"/>
        <v>0</v>
      </c>
      <c r="CK165" s="28"/>
      <c r="CL165" s="28"/>
      <c r="CM165" s="65"/>
      <c r="CN165" s="64">
        <f t="shared" si="127"/>
        <v>0</v>
      </c>
      <c r="CO165" s="28"/>
      <c r="CP165" s="28"/>
      <c r="CQ165" s="65"/>
      <c r="CR165" s="64">
        <f t="shared" si="128"/>
        <v>0</v>
      </c>
      <c r="CS165" s="28"/>
      <c r="CT165" s="28"/>
      <c r="CU165" s="65"/>
      <c r="CV165" s="64">
        <f t="shared" si="129"/>
        <v>0</v>
      </c>
      <c r="CW165" s="28"/>
      <c r="CX165" s="28"/>
      <c r="CY165" s="65"/>
      <c r="CZ165" s="64">
        <f t="shared" si="130"/>
        <v>0</v>
      </c>
      <c r="DA165" s="28"/>
      <c r="DB165" s="28"/>
      <c r="DC165" s="65"/>
      <c r="DD165" s="64">
        <f t="shared" si="131"/>
        <v>0</v>
      </c>
      <c r="DE165" s="28"/>
      <c r="DF165" s="28"/>
      <c r="DG165" s="65"/>
      <c r="DH165" s="64">
        <f t="shared" si="132"/>
        <v>0</v>
      </c>
      <c r="DI165" s="28"/>
      <c r="DJ165" s="28"/>
      <c r="DK165" s="65"/>
      <c r="DL165" s="64">
        <f t="shared" si="133"/>
        <v>0</v>
      </c>
      <c r="DM165" s="28"/>
      <c r="DN165" s="28"/>
      <c r="DO165" s="65"/>
      <c r="DP165" s="64">
        <f t="shared" si="134"/>
        <v>0</v>
      </c>
      <c r="DQ165" s="28"/>
      <c r="DR165" s="28"/>
      <c r="DS165" s="65"/>
      <c r="DT165" s="64">
        <f t="shared" si="135"/>
        <v>0</v>
      </c>
      <c r="DU165" s="28"/>
      <c r="DV165" s="28"/>
      <c r="DW165" s="65"/>
      <c r="DX165" s="30">
        <f t="shared" si="136"/>
        <v>0</v>
      </c>
      <c r="DY165" s="68"/>
      <c r="DZ165" s="68"/>
      <c r="EA165" s="68"/>
      <c r="EB165" s="9">
        <f>D165*'MASTER SHEET'!D165</f>
        <v>0</v>
      </c>
      <c r="EC165" s="9">
        <f>H165*'MASTER SHEET'!D165</f>
        <v>0</v>
      </c>
      <c r="ED165" s="9">
        <f>L165*'MASTER SHEET'!D165</f>
        <v>0</v>
      </c>
      <c r="EE165" s="9">
        <f>P165*'MASTER SHEET'!D165</f>
        <v>0</v>
      </c>
      <c r="EF165" s="9">
        <f>T165*'MASTER SHEET'!D165</f>
        <v>0</v>
      </c>
      <c r="EG165" s="9">
        <f>X165*'MASTER SHEET'!D165</f>
        <v>0</v>
      </c>
      <c r="EH165" s="9">
        <f>AB165*'MASTER SHEET'!D165</f>
        <v>0</v>
      </c>
      <c r="EI165" s="9">
        <f>AF165*'MASTER SHEET'!D165</f>
        <v>0</v>
      </c>
      <c r="EJ165" s="9">
        <f>AJ165*'MASTER SHEET'!D165</f>
        <v>0</v>
      </c>
      <c r="EK165" s="9">
        <f>AN165*'MASTER SHEET'!D165</f>
        <v>0</v>
      </c>
      <c r="EL165" s="9">
        <f>AR165*'MASTER SHEET'!D165</f>
        <v>0</v>
      </c>
      <c r="EM165" s="9">
        <f>AV165*'MASTER SHEET'!D165</f>
        <v>0</v>
      </c>
      <c r="EN165" s="9">
        <f>AZ165*'MASTER SHEET'!D165</f>
        <v>0</v>
      </c>
      <c r="EO165" s="9">
        <f>BD165*'MASTER SHEET'!D165</f>
        <v>0</v>
      </c>
      <c r="EP165" s="9">
        <f>BH165*'MASTER SHEET'!D165</f>
        <v>0</v>
      </c>
      <c r="EQ165" s="9">
        <f>BL165*'MASTER SHEET'!D165</f>
        <v>0</v>
      </c>
      <c r="ER165" s="9">
        <f>BP165*'MASTER SHEET'!D165</f>
        <v>0</v>
      </c>
      <c r="ES165" s="9">
        <f>BT165*'MASTER SHEET'!D165</f>
        <v>0</v>
      </c>
      <c r="ET165" s="9">
        <f>BX165*'MASTER SHEET'!D165</f>
        <v>0</v>
      </c>
      <c r="EU165" s="9">
        <f>CB165*'MASTER SHEET'!D165</f>
        <v>0</v>
      </c>
      <c r="EV165" s="9">
        <f>CF165*'MASTER SHEET'!D165</f>
        <v>0</v>
      </c>
      <c r="EW165" s="9">
        <f>CJ165*'MASTER SHEET'!D165</f>
        <v>0</v>
      </c>
      <c r="EX165" s="9">
        <f>CN165*'MASTER SHEET'!D165</f>
        <v>0</v>
      </c>
      <c r="EY165" s="9">
        <f>CV165*'MASTER SHEET'!D165</f>
        <v>0</v>
      </c>
      <c r="EZ165" s="9">
        <f>CV165*'MASTER SHEET'!D165</f>
        <v>0</v>
      </c>
      <c r="FA165" s="9">
        <f>CZ165*'MASTER SHEET'!D165</f>
        <v>0</v>
      </c>
      <c r="FB165" s="9">
        <f>DD165*'MASTER SHEET'!D165</f>
        <v>0</v>
      </c>
      <c r="FC165" s="9">
        <f>DH165*'MASTER SHEET'!D165</f>
        <v>0</v>
      </c>
      <c r="FD165" s="9">
        <f>DL165*'MASTER SHEET'!D165</f>
        <v>0</v>
      </c>
      <c r="FE165" s="9">
        <f>DP165*'MASTER SHEET'!D165</f>
        <v>0</v>
      </c>
      <c r="FF165" s="9">
        <f>DT165*'MASTER SHEET'!D165</f>
        <v>0</v>
      </c>
      <c r="FG165" s="9">
        <f>DX165*'MASTER SHEET'!D165</f>
        <v>0</v>
      </c>
    </row>
    <row r="166" spans="1:163" s="69" customFormat="1" ht="20.25" x14ac:dyDescent="0.25">
      <c r="A166" s="43">
        <f>'MASTER SHEET'!A166</f>
        <v>164</v>
      </c>
      <c r="B166" s="67" t="str">
        <f>'MASTER SHEET'!B166</f>
        <v>AIR EXTRACTOR HOUSING</v>
      </c>
      <c r="C166" s="82">
        <f>'MASTER SHEET'!C166</f>
        <v>62182</v>
      </c>
      <c r="D166" s="64"/>
      <c r="E166" s="28"/>
      <c r="F166" s="28"/>
      <c r="G166" s="65"/>
      <c r="H166" s="64">
        <f t="shared" si="106"/>
        <v>0</v>
      </c>
      <c r="I166" s="28"/>
      <c r="J166" s="28"/>
      <c r="K166" s="65"/>
      <c r="L166" s="64">
        <f t="shared" si="107"/>
        <v>0</v>
      </c>
      <c r="M166" s="28"/>
      <c r="N166" s="28"/>
      <c r="O166" s="65"/>
      <c r="P166" s="64">
        <f t="shared" si="108"/>
        <v>0</v>
      </c>
      <c r="Q166" s="28"/>
      <c r="R166" s="28"/>
      <c r="S166" s="65"/>
      <c r="T166" s="64">
        <f t="shared" si="109"/>
        <v>0</v>
      </c>
      <c r="U166" s="28"/>
      <c r="V166" s="28"/>
      <c r="W166" s="65"/>
      <c r="X166" s="64">
        <f t="shared" si="110"/>
        <v>0</v>
      </c>
      <c r="Y166" s="28"/>
      <c r="Z166" s="28"/>
      <c r="AA166" s="65"/>
      <c r="AB166" s="64">
        <f t="shared" si="111"/>
        <v>0</v>
      </c>
      <c r="AC166" s="28"/>
      <c r="AD166" s="28"/>
      <c r="AE166" s="65"/>
      <c r="AF166" s="64">
        <f t="shared" si="112"/>
        <v>0</v>
      </c>
      <c r="AG166" s="28"/>
      <c r="AH166" s="28"/>
      <c r="AI166" s="65"/>
      <c r="AJ166" s="64">
        <f t="shared" si="113"/>
        <v>0</v>
      </c>
      <c r="AK166" s="28"/>
      <c r="AL166" s="28"/>
      <c r="AM166" s="65"/>
      <c r="AN166" s="64">
        <f t="shared" si="114"/>
        <v>0</v>
      </c>
      <c r="AO166" s="28"/>
      <c r="AP166" s="28"/>
      <c r="AQ166" s="65"/>
      <c r="AR166" s="64">
        <f t="shared" si="115"/>
        <v>0</v>
      </c>
      <c r="AS166" s="28"/>
      <c r="AT166" s="28"/>
      <c r="AU166" s="65"/>
      <c r="AV166" s="64">
        <f t="shared" si="116"/>
        <v>0</v>
      </c>
      <c r="AW166" s="28"/>
      <c r="AX166" s="28"/>
      <c r="AY166" s="65"/>
      <c r="AZ166" s="64">
        <f t="shared" si="117"/>
        <v>0</v>
      </c>
      <c r="BA166" s="28"/>
      <c r="BB166" s="28"/>
      <c r="BC166" s="65"/>
      <c r="BD166" s="64">
        <f t="shared" si="118"/>
        <v>0</v>
      </c>
      <c r="BE166" s="28"/>
      <c r="BF166" s="28"/>
      <c r="BG166" s="65"/>
      <c r="BH166" s="64">
        <f t="shared" si="119"/>
        <v>0</v>
      </c>
      <c r="BI166" s="28"/>
      <c r="BJ166" s="28"/>
      <c r="BK166" s="65"/>
      <c r="BL166" s="64">
        <f t="shared" si="120"/>
        <v>0</v>
      </c>
      <c r="BM166" s="28"/>
      <c r="BN166" s="28"/>
      <c r="BO166" s="65"/>
      <c r="BP166" s="64">
        <f t="shared" si="121"/>
        <v>0</v>
      </c>
      <c r="BQ166" s="28"/>
      <c r="BR166" s="28"/>
      <c r="BS166" s="65"/>
      <c r="BT166" s="64">
        <f t="shared" si="122"/>
        <v>0</v>
      </c>
      <c r="BU166" s="28"/>
      <c r="BV166" s="28"/>
      <c r="BW166" s="65"/>
      <c r="BX166" s="64">
        <f t="shared" si="123"/>
        <v>0</v>
      </c>
      <c r="BY166" s="28"/>
      <c r="BZ166" s="28"/>
      <c r="CA166" s="65"/>
      <c r="CB166" s="64">
        <f t="shared" si="124"/>
        <v>0</v>
      </c>
      <c r="CC166" s="28"/>
      <c r="CD166" s="28"/>
      <c r="CE166" s="65"/>
      <c r="CF166" s="64">
        <f t="shared" si="125"/>
        <v>0</v>
      </c>
      <c r="CG166" s="28"/>
      <c r="CH166" s="28"/>
      <c r="CI166" s="65"/>
      <c r="CJ166" s="64">
        <f t="shared" si="126"/>
        <v>0</v>
      </c>
      <c r="CK166" s="28"/>
      <c r="CL166" s="28"/>
      <c r="CM166" s="65"/>
      <c r="CN166" s="64">
        <f t="shared" si="127"/>
        <v>0</v>
      </c>
      <c r="CO166" s="28"/>
      <c r="CP166" s="28"/>
      <c r="CQ166" s="65"/>
      <c r="CR166" s="64">
        <f t="shared" si="128"/>
        <v>0</v>
      </c>
      <c r="CS166" s="28"/>
      <c r="CT166" s="28"/>
      <c r="CU166" s="65"/>
      <c r="CV166" s="64">
        <f t="shared" si="129"/>
        <v>0</v>
      </c>
      <c r="CW166" s="28"/>
      <c r="CX166" s="28"/>
      <c r="CY166" s="65"/>
      <c r="CZ166" s="64">
        <f t="shared" si="130"/>
        <v>0</v>
      </c>
      <c r="DA166" s="28"/>
      <c r="DB166" s="28"/>
      <c r="DC166" s="65"/>
      <c r="DD166" s="64">
        <f t="shared" si="131"/>
        <v>0</v>
      </c>
      <c r="DE166" s="28"/>
      <c r="DF166" s="28"/>
      <c r="DG166" s="65"/>
      <c r="DH166" s="64">
        <f t="shared" si="132"/>
        <v>0</v>
      </c>
      <c r="DI166" s="28"/>
      <c r="DJ166" s="28"/>
      <c r="DK166" s="65"/>
      <c r="DL166" s="64">
        <f t="shared" si="133"/>
        <v>0</v>
      </c>
      <c r="DM166" s="28"/>
      <c r="DN166" s="28"/>
      <c r="DO166" s="65"/>
      <c r="DP166" s="64">
        <f t="shared" si="134"/>
        <v>0</v>
      </c>
      <c r="DQ166" s="28"/>
      <c r="DR166" s="28"/>
      <c r="DS166" s="65"/>
      <c r="DT166" s="64">
        <f t="shared" si="135"/>
        <v>0</v>
      </c>
      <c r="DU166" s="28"/>
      <c r="DV166" s="28"/>
      <c r="DW166" s="65"/>
      <c r="DX166" s="30">
        <f t="shared" si="136"/>
        <v>0</v>
      </c>
      <c r="DY166" s="68"/>
      <c r="DZ166" s="68"/>
      <c r="EA166" s="68"/>
      <c r="EB166" s="9">
        <f>D166*'MASTER SHEET'!D166</f>
        <v>0</v>
      </c>
      <c r="EC166" s="9">
        <f>H166*'MASTER SHEET'!D166</f>
        <v>0</v>
      </c>
      <c r="ED166" s="9">
        <f>L166*'MASTER SHEET'!D166</f>
        <v>0</v>
      </c>
      <c r="EE166" s="9">
        <f>P166*'MASTER SHEET'!D166</f>
        <v>0</v>
      </c>
      <c r="EF166" s="9">
        <f>T166*'MASTER SHEET'!D166</f>
        <v>0</v>
      </c>
      <c r="EG166" s="9">
        <f>X166*'MASTER SHEET'!D166</f>
        <v>0</v>
      </c>
      <c r="EH166" s="9">
        <f>AB166*'MASTER SHEET'!D166</f>
        <v>0</v>
      </c>
      <c r="EI166" s="9">
        <f>AF166*'MASTER SHEET'!D166</f>
        <v>0</v>
      </c>
      <c r="EJ166" s="9">
        <f>AJ166*'MASTER SHEET'!D166</f>
        <v>0</v>
      </c>
      <c r="EK166" s="9">
        <f>AN166*'MASTER SHEET'!D166</f>
        <v>0</v>
      </c>
      <c r="EL166" s="9">
        <f>AR166*'MASTER SHEET'!D166</f>
        <v>0</v>
      </c>
      <c r="EM166" s="9">
        <f>AV166*'MASTER SHEET'!D166</f>
        <v>0</v>
      </c>
      <c r="EN166" s="9">
        <f>AZ166*'MASTER SHEET'!D166</f>
        <v>0</v>
      </c>
      <c r="EO166" s="9">
        <f>BD166*'MASTER SHEET'!D166</f>
        <v>0</v>
      </c>
      <c r="EP166" s="9">
        <f>BH166*'MASTER SHEET'!D166</f>
        <v>0</v>
      </c>
      <c r="EQ166" s="9">
        <f>BL166*'MASTER SHEET'!D166</f>
        <v>0</v>
      </c>
      <c r="ER166" s="9">
        <f>BP166*'MASTER SHEET'!D166</f>
        <v>0</v>
      </c>
      <c r="ES166" s="9">
        <f>BT166*'MASTER SHEET'!D166</f>
        <v>0</v>
      </c>
      <c r="ET166" s="9">
        <f>BX166*'MASTER SHEET'!D166</f>
        <v>0</v>
      </c>
      <c r="EU166" s="9">
        <f>CB166*'MASTER SHEET'!D166</f>
        <v>0</v>
      </c>
      <c r="EV166" s="9">
        <f>CF166*'MASTER SHEET'!D166</f>
        <v>0</v>
      </c>
      <c r="EW166" s="9">
        <f>CJ166*'MASTER SHEET'!D166</f>
        <v>0</v>
      </c>
      <c r="EX166" s="9">
        <f>CN166*'MASTER SHEET'!D166</f>
        <v>0</v>
      </c>
      <c r="EY166" s="9">
        <f>CV166*'MASTER SHEET'!D166</f>
        <v>0</v>
      </c>
      <c r="EZ166" s="9">
        <f>CV166*'MASTER SHEET'!D166</f>
        <v>0</v>
      </c>
      <c r="FA166" s="9">
        <f>CZ166*'MASTER SHEET'!D166</f>
        <v>0</v>
      </c>
      <c r="FB166" s="9">
        <f>DD166*'MASTER SHEET'!D166</f>
        <v>0</v>
      </c>
      <c r="FC166" s="9">
        <f>DH166*'MASTER SHEET'!D166</f>
        <v>0</v>
      </c>
      <c r="FD166" s="9">
        <f>DL166*'MASTER SHEET'!D166</f>
        <v>0</v>
      </c>
      <c r="FE166" s="9">
        <f>DP166*'MASTER SHEET'!D166</f>
        <v>0</v>
      </c>
      <c r="FF166" s="9">
        <f>DT166*'MASTER SHEET'!D166</f>
        <v>0</v>
      </c>
      <c r="FG166" s="9">
        <f>DX166*'MASTER SHEET'!D166</f>
        <v>0</v>
      </c>
    </row>
    <row r="167" spans="1:163" s="69" customFormat="1" ht="20.25" x14ac:dyDescent="0.25">
      <c r="A167" s="43">
        <f>'MASTER SHEET'!A167</f>
        <v>165</v>
      </c>
      <c r="B167" s="67" t="str">
        <f>'MASTER SHEET'!B167</f>
        <v>GROMMET ASSY.</v>
      </c>
      <c r="C167" s="82">
        <f>'MASTER SHEET'!C167</f>
        <v>626778</v>
      </c>
      <c r="D167" s="64"/>
      <c r="E167" s="28"/>
      <c r="F167" s="28"/>
      <c r="G167" s="65"/>
      <c r="H167" s="64">
        <f t="shared" si="106"/>
        <v>0</v>
      </c>
      <c r="I167" s="28"/>
      <c r="J167" s="28"/>
      <c r="K167" s="65"/>
      <c r="L167" s="64">
        <f t="shared" si="107"/>
        <v>0</v>
      </c>
      <c r="M167" s="28"/>
      <c r="N167" s="28"/>
      <c r="O167" s="65"/>
      <c r="P167" s="64">
        <f t="shared" si="108"/>
        <v>0</v>
      </c>
      <c r="Q167" s="28"/>
      <c r="R167" s="28"/>
      <c r="S167" s="65"/>
      <c r="T167" s="64">
        <f t="shared" si="109"/>
        <v>0</v>
      </c>
      <c r="U167" s="28"/>
      <c r="V167" s="28"/>
      <c r="W167" s="65"/>
      <c r="X167" s="64">
        <f t="shared" si="110"/>
        <v>0</v>
      </c>
      <c r="Y167" s="28"/>
      <c r="Z167" s="28"/>
      <c r="AA167" s="65"/>
      <c r="AB167" s="64">
        <f t="shared" si="111"/>
        <v>0</v>
      </c>
      <c r="AC167" s="28"/>
      <c r="AD167" s="28"/>
      <c r="AE167" s="65"/>
      <c r="AF167" s="64">
        <f t="shared" si="112"/>
        <v>0</v>
      </c>
      <c r="AG167" s="28"/>
      <c r="AH167" s="28"/>
      <c r="AI167" s="65"/>
      <c r="AJ167" s="64">
        <f t="shared" si="113"/>
        <v>0</v>
      </c>
      <c r="AK167" s="28"/>
      <c r="AL167" s="28"/>
      <c r="AM167" s="65"/>
      <c r="AN167" s="64">
        <f t="shared" si="114"/>
        <v>0</v>
      </c>
      <c r="AO167" s="28"/>
      <c r="AP167" s="28"/>
      <c r="AQ167" s="65"/>
      <c r="AR167" s="64">
        <f t="shared" si="115"/>
        <v>0</v>
      </c>
      <c r="AS167" s="28"/>
      <c r="AT167" s="28"/>
      <c r="AU167" s="65"/>
      <c r="AV167" s="64">
        <f t="shared" si="116"/>
        <v>0</v>
      </c>
      <c r="AW167" s="28"/>
      <c r="AX167" s="28"/>
      <c r="AY167" s="65"/>
      <c r="AZ167" s="64">
        <f t="shared" si="117"/>
        <v>0</v>
      </c>
      <c r="BA167" s="28"/>
      <c r="BB167" s="28"/>
      <c r="BC167" s="65"/>
      <c r="BD167" s="64">
        <f t="shared" si="118"/>
        <v>0</v>
      </c>
      <c r="BE167" s="28"/>
      <c r="BF167" s="28"/>
      <c r="BG167" s="65"/>
      <c r="BH167" s="64">
        <f t="shared" si="119"/>
        <v>0</v>
      </c>
      <c r="BI167" s="28"/>
      <c r="BJ167" s="28"/>
      <c r="BK167" s="65"/>
      <c r="BL167" s="64">
        <f t="shared" si="120"/>
        <v>0</v>
      </c>
      <c r="BM167" s="28"/>
      <c r="BN167" s="28"/>
      <c r="BO167" s="65"/>
      <c r="BP167" s="64">
        <f t="shared" si="121"/>
        <v>0</v>
      </c>
      <c r="BQ167" s="28"/>
      <c r="BR167" s="28"/>
      <c r="BS167" s="65"/>
      <c r="BT167" s="64">
        <f t="shared" si="122"/>
        <v>0</v>
      </c>
      <c r="BU167" s="28"/>
      <c r="BV167" s="28"/>
      <c r="BW167" s="65"/>
      <c r="BX167" s="64">
        <f t="shared" si="123"/>
        <v>0</v>
      </c>
      <c r="BY167" s="28"/>
      <c r="BZ167" s="28"/>
      <c r="CA167" s="65"/>
      <c r="CB167" s="64">
        <f t="shared" si="124"/>
        <v>0</v>
      </c>
      <c r="CC167" s="28"/>
      <c r="CD167" s="28"/>
      <c r="CE167" s="65"/>
      <c r="CF167" s="64">
        <f t="shared" si="125"/>
        <v>0</v>
      </c>
      <c r="CG167" s="28"/>
      <c r="CH167" s="28"/>
      <c r="CI167" s="65"/>
      <c r="CJ167" s="64">
        <f t="shared" si="126"/>
        <v>0</v>
      </c>
      <c r="CK167" s="28"/>
      <c r="CL167" s="28"/>
      <c r="CM167" s="65"/>
      <c r="CN167" s="64">
        <f t="shared" si="127"/>
        <v>0</v>
      </c>
      <c r="CO167" s="28"/>
      <c r="CP167" s="28"/>
      <c r="CQ167" s="65"/>
      <c r="CR167" s="64">
        <f t="shared" si="128"/>
        <v>0</v>
      </c>
      <c r="CS167" s="28"/>
      <c r="CT167" s="28"/>
      <c r="CU167" s="65"/>
      <c r="CV167" s="64">
        <f t="shared" si="129"/>
        <v>0</v>
      </c>
      <c r="CW167" s="28"/>
      <c r="CX167" s="28"/>
      <c r="CY167" s="65"/>
      <c r="CZ167" s="64">
        <f t="shared" si="130"/>
        <v>0</v>
      </c>
      <c r="DA167" s="28"/>
      <c r="DB167" s="28"/>
      <c r="DC167" s="65"/>
      <c r="DD167" s="64">
        <f t="shared" si="131"/>
        <v>0</v>
      </c>
      <c r="DE167" s="28"/>
      <c r="DF167" s="28"/>
      <c r="DG167" s="65"/>
      <c r="DH167" s="64">
        <f t="shared" si="132"/>
        <v>0</v>
      </c>
      <c r="DI167" s="28"/>
      <c r="DJ167" s="28"/>
      <c r="DK167" s="65"/>
      <c r="DL167" s="64">
        <f t="shared" si="133"/>
        <v>0</v>
      </c>
      <c r="DM167" s="28"/>
      <c r="DN167" s="28"/>
      <c r="DO167" s="65"/>
      <c r="DP167" s="64">
        <f t="shared" si="134"/>
        <v>0</v>
      </c>
      <c r="DQ167" s="28"/>
      <c r="DR167" s="28"/>
      <c r="DS167" s="65"/>
      <c r="DT167" s="64">
        <f t="shared" si="135"/>
        <v>0</v>
      </c>
      <c r="DU167" s="28"/>
      <c r="DV167" s="28"/>
      <c r="DW167" s="65"/>
      <c r="DX167" s="30">
        <f t="shared" si="136"/>
        <v>0</v>
      </c>
      <c r="DY167" s="68"/>
      <c r="DZ167" s="68"/>
      <c r="EA167" s="68"/>
      <c r="EB167" s="9">
        <f>D167*'MASTER SHEET'!D167</f>
        <v>0</v>
      </c>
      <c r="EC167" s="9">
        <f>H167*'MASTER SHEET'!D167</f>
        <v>0</v>
      </c>
      <c r="ED167" s="9">
        <f>L167*'MASTER SHEET'!D167</f>
        <v>0</v>
      </c>
      <c r="EE167" s="9">
        <f>P167*'MASTER SHEET'!D167</f>
        <v>0</v>
      </c>
      <c r="EF167" s="9">
        <f>T167*'MASTER SHEET'!D167</f>
        <v>0</v>
      </c>
      <c r="EG167" s="9">
        <f>X167*'MASTER SHEET'!D167</f>
        <v>0</v>
      </c>
      <c r="EH167" s="9">
        <f>AB167*'MASTER SHEET'!D167</f>
        <v>0</v>
      </c>
      <c r="EI167" s="9">
        <f>AF167*'MASTER SHEET'!D167</f>
        <v>0</v>
      </c>
      <c r="EJ167" s="9">
        <f>AJ167*'MASTER SHEET'!D167</f>
        <v>0</v>
      </c>
      <c r="EK167" s="9">
        <f>AN167*'MASTER SHEET'!D167</f>
        <v>0</v>
      </c>
      <c r="EL167" s="9">
        <f>AR167*'MASTER SHEET'!D167</f>
        <v>0</v>
      </c>
      <c r="EM167" s="9">
        <f>AV167*'MASTER SHEET'!D167</f>
        <v>0</v>
      </c>
      <c r="EN167" s="9">
        <f>AZ167*'MASTER SHEET'!D167</f>
        <v>0</v>
      </c>
      <c r="EO167" s="9">
        <f>BD167*'MASTER SHEET'!D167</f>
        <v>0</v>
      </c>
      <c r="EP167" s="9">
        <f>BH167*'MASTER SHEET'!D167</f>
        <v>0</v>
      </c>
      <c r="EQ167" s="9">
        <f>BL167*'MASTER SHEET'!D167</f>
        <v>0</v>
      </c>
      <c r="ER167" s="9">
        <f>BP167*'MASTER SHEET'!D167</f>
        <v>0</v>
      </c>
      <c r="ES167" s="9">
        <f>BT167*'MASTER SHEET'!D167</f>
        <v>0</v>
      </c>
      <c r="ET167" s="9">
        <f>BX167*'MASTER SHEET'!D167</f>
        <v>0</v>
      </c>
      <c r="EU167" s="9">
        <f>CB167*'MASTER SHEET'!D167</f>
        <v>0</v>
      </c>
      <c r="EV167" s="9">
        <f>CF167*'MASTER SHEET'!D167</f>
        <v>0</v>
      </c>
      <c r="EW167" s="9">
        <f>CJ167*'MASTER SHEET'!D167</f>
        <v>0</v>
      </c>
      <c r="EX167" s="9">
        <f>CN167*'MASTER SHEET'!D167</f>
        <v>0</v>
      </c>
      <c r="EY167" s="9">
        <f>CV167*'MASTER SHEET'!D167</f>
        <v>0</v>
      </c>
      <c r="EZ167" s="9">
        <f>CV167*'MASTER SHEET'!D167</f>
        <v>0</v>
      </c>
      <c r="FA167" s="9">
        <f>CZ167*'MASTER SHEET'!D167</f>
        <v>0</v>
      </c>
      <c r="FB167" s="9">
        <f>DD167*'MASTER SHEET'!D167</f>
        <v>0</v>
      </c>
      <c r="FC167" s="9">
        <f>DH167*'MASTER SHEET'!D167</f>
        <v>0</v>
      </c>
      <c r="FD167" s="9">
        <f>DL167*'MASTER SHEET'!D167</f>
        <v>0</v>
      </c>
      <c r="FE167" s="9">
        <f>DP167*'MASTER SHEET'!D167</f>
        <v>0</v>
      </c>
      <c r="FF167" s="9">
        <f>DT167*'MASTER SHEET'!D167</f>
        <v>0</v>
      </c>
      <c r="FG167" s="9">
        <f>DX167*'MASTER SHEET'!D167</f>
        <v>0</v>
      </c>
    </row>
    <row r="168" spans="1:163" s="69" customFormat="1" ht="20.25" x14ac:dyDescent="0.25">
      <c r="A168" s="43">
        <f>'MASTER SHEET'!A168</f>
        <v>166</v>
      </c>
      <c r="B168" s="67" t="str">
        <f>'MASTER SHEET'!B168</f>
        <v>PIVOT PIN LH</v>
      </c>
      <c r="C168" s="82" t="str">
        <f>'MASTER SHEET'!C168</f>
        <v>BB00006046</v>
      </c>
      <c r="D168" s="64"/>
      <c r="E168" s="28"/>
      <c r="F168" s="28"/>
      <c r="G168" s="65"/>
      <c r="H168" s="64">
        <f t="shared" si="106"/>
        <v>0</v>
      </c>
      <c r="I168" s="28"/>
      <c r="J168" s="28"/>
      <c r="K168" s="65"/>
      <c r="L168" s="64">
        <f t="shared" si="107"/>
        <v>0</v>
      </c>
      <c r="M168" s="28"/>
      <c r="N168" s="28"/>
      <c r="O168" s="65"/>
      <c r="P168" s="64">
        <f t="shared" si="108"/>
        <v>0</v>
      </c>
      <c r="Q168" s="28"/>
      <c r="R168" s="28"/>
      <c r="S168" s="65"/>
      <c r="T168" s="64">
        <f t="shared" si="109"/>
        <v>0</v>
      </c>
      <c r="U168" s="28"/>
      <c r="V168" s="28"/>
      <c r="W168" s="65"/>
      <c r="X168" s="64">
        <f t="shared" si="110"/>
        <v>0</v>
      </c>
      <c r="Y168" s="28"/>
      <c r="Z168" s="28"/>
      <c r="AA168" s="65"/>
      <c r="AB168" s="64">
        <f t="shared" si="111"/>
        <v>0</v>
      </c>
      <c r="AC168" s="28"/>
      <c r="AD168" s="28"/>
      <c r="AE168" s="65"/>
      <c r="AF168" s="64">
        <f t="shared" si="112"/>
        <v>0</v>
      </c>
      <c r="AG168" s="28"/>
      <c r="AH168" s="28"/>
      <c r="AI168" s="65"/>
      <c r="AJ168" s="64">
        <f t="shared" si="113"/>
        <v>0</v>
      </c>
      <c r="AK168" s="28"/>
      <c r="AL168" s="28"/>
      <c r="AM168" s="65"/>
      <c r="AN168" s="64">
        <f t="shared" si="114"/>
        <v>0</v>
      </c>
      <c r="AO168" s="28"/>
      <c r="AP168" s="28"/>
      <c r="AQ168" s="65"/>
      <c r="AR168" s="64">
        <f t="shared" si="115"/>
        <v>0</v>
      </c>
      <c r="AS168" s="28"/>
      <c r="AT168" s="28"/>
      <c r="AU168" s="65"/>
      <c r="AV168" s="64">
        <f t="shared" si="116"/>
        <v>0</v>
      </c>
      <c r="AW168" s="28"/>
      <c r="AX168" s="28"/>
      <c r="AY168" s="65"/>
      <c r="AZ168" s="64">
        <f t="shared" si="117"/>
        <v>0</v>
      </c>
      <c r="BA168" s="28"/>
      <c r="BB168" s="28"/>
      <c r="BC168" s="65"/>
      <c r="BD168" s="64">
        <f t="shared" si="118"/>
        <v>0</v>
      </c>
      <c r="BE168" s="28"/>
      <c r="BF168" s="28"/>
      <c r="BG168" s="65"/>
      <c r="BH168" s="64">
        <f t="shared" si="119"/>
        <v>0</v>
      </c>
      <c r="BI168" s="28"/>
      <c r="BJ168" s="28"/>
      <c r="BK168" s="65"/>
      <c r="BL168" s="64">
        <f t="shared" si="120"/>
        <v>0</v>
      </c>
      <c r="BM168" s="28"/>
      <c r="BN168" s="28"/>
      <c r="BO168" s="65"/>
      <c r="BP168" s="64">
        <f t="shared" si="121"/>
        <v>0</v>
      </c>
      <c r="BQ168" s="28"/>
      <c r="BR168" s="28"/>
      <c r="BS168" s="65"/>
      <c r="BT168" s="64">
        <f t="shared" si="122"/>
        <v>0</v>
      </c>
      <c r="BU168" s="28"/>
      <c r="BV168" s="28"/>
      <c r="BW168" s="65"/>
      <c r="BX168" s="64">
        <f t="shared" si="123"/>
        <v>0</v>
      </c>
      <c r="BY168" s="28"/>
      <c r="BZ168" s="28"/>
      <c r="CA168" s="65"/>
      <c r="CB168" s="64">
        <f t="shared" si="124"/>
        <v>0</v>
      </c>
      <c r="CC168" s="28"/>
      <c r="CD168" s="28"/>
      <c r="CE168" s="65"/>
      <c r="CF168" s="64">
        <f t="shared" si="125"/>
        <v>0</v>
      </c>
      <c r="CG168" s="28"/>
      <c r="CH168" s="28"/>
      <c r="CI168" s="65"/>
      <c r="CJ168" s="64">
        <f t="shared" si="126"/>
        <v>0</v>
      </c>
      <c r="CK168" s="28"/>
      <c r="CL168" s="28"/>
      <c r="CM168" s="65"/>
      <c r="CN168" s="64">
        <f t="shared" si="127"/>
        <v>0</v>
      </c>
      <c r="CO168" s="28"/>
      <c r="CP168" s="28"/>
      <c r="CQ168" s="65"/>
      <c r="CR168" s="64">
        <f t="shared" si="128"/>
        <v>0</v>
      </c>
      <c r="CS168" s="28"/>
      <c r="CT168" s="28"/>
      <c r="CU168" s="65"/>
      <c r="CV168" s="64">
        <f t="shared" si="129"/>
        <v>0</v>
      </c>
      <c r="CW168" s="28"/>
      <c r="CX168" s="28"/>
      <c r="CY168" s="65"/>
      <c r="CZ168" s="64">
        <f t="shared" si="130"/>
        <v>0</v>
      </c>
      <c r="DA168" s="28"/>
      <c r="DB168" s="28"/>
      <c r="DC168" s="65"/>
      <c r="DD168" s="64">
        <f t="shared" si="131"/>
        <v>0</v>
      </c>
      <c r="DE168" s="28"/>
      <c r="DF168" s="28"/>
      <c r="DG168" s="65"/>
      <c r="DH168" s="64">
        <f t="shared" si="132"/>
        <v>0</v>
      </c>
      <c r="DI168" s="28"/>
      <c r="DJ168" s="28"/>
      <c r="DK168" s="65"/>
      <c r="DL168" s="64">
        <f t="shared" si="133"/>
        <v>0</v>
      </c>
      <c r="DM168" s="28"/>
      <c r="DN168" s="28"/>
      <c r="DO168" s="65"/>
      <c r="DP168" s="64">
        <f t="shared" si="134"/>
        <v>0</v>
      </c>
      <c r="DQ168" s="28"/>
      <c r="DR168" s="28"/>
      <c r="DS168" s="65"/>
      <c r="DT168" s="64">
        <f t="shared" si="135"/>
        <v>0</v>
      </c>
      <c r="DU168" s="28"/>
      <c r="DV168" s="28"/>
      <c r="DW168" s="65"/>
      <c r="DX168" s="30">
        <f t="shared" si="136"/>
        <v>0</v>
      </c>
      <c r="DY168" s="68"/>
      <c r="DZ168" s="68"/>
      <c r="EA168" s="68"/>
      <c r="EB168" s="9">
        <f>D168*'MASTER SHEET'!D168</f>
        <v>0</v>
      </c>
      <c r="EC168" s="9">
        <f>H168*'MASTER SHEET'!D168</f>
        <v>0</v>
      </c>
      <c r="ED168" s="9">
        <f>L168*'MASTER SHEET'!D168</f>
        <v>0</v>
      </c>
      <c r="EE168" s="9">
        <f>P168*'MASTER SHEET'!D168</f>
        <v>0</v>
      </c>
      <c r="EF168" s="9">
        <f>T168*'MASTER SHEET'!D168</f>
        <v>0</v>
      </c>
      <c r="EG168" s="9">
        <f>X168*'MASTER SHEET'!D168</f>
        <v>0</v>
      </c>
      <c r="EH168" s="9">
        <f>AB168*'MASTER SHEET'!D168</f>
        <v>0</v>
      </c>
      <c r="EI168" s="9">
        <f>AF168*'MASTER SHEET'!D168</f>
        <v>0</v>
      </c>
      <c r="EJ168" s="9">
        <f>AJ168*'MASTER SHEET'!D168</f>
        <v>0</v>
      </c>
      <c r="EK168" s="9">
        <f>AN168*'MASTER SHEET'!D168</f>
        <v>0</v>
      </c>
      <c r="EL168" s="9">
        <f>AR168*'MASTER SHEET'!D168</f>
        <v>0</v>
      </c>
      <c r="EM168" s="9">
        <f>AV168*'MASTER SHEET'!D168</f>
        <v>0</v>
      </c>
      <c r="EN168" s="9">
        <f>AZ168*'MASTER SHEET'!D168</f>
        <v>0</v>
      </c>
      <c r="EO168" s="9">
        <f>BD168*'MASTER SHEET'!D168</f>
        <v>0</v>
      </c>
      <c r="EP168" s="9">
        <f>BH168*'MASTER SHEET'!D168</f>
        <v>0</v>
      </c>
      <c r="EQ168" s="9">
        <f>BL168*'MASTER SHEET'!D168</f>
        <v>0</v>
      </c>
      <c r="ER168" s="9">
        <f>BP168*'MASTER SHEET'!D168</f>
        <v>0</v>
      </c>
      <c r="ES168" s="9">
        <f>BT168*'MASTER SHEET'!D168</f>
        <v>0</v>
      </c>
      <c r="ET168" s="9">
        <f>BX168*'MASTER SHEET'!D168</f>
        <v>0</v>
      </c>
      <c r="EU168" s="9">
        <f>CB168*'MASTER SHEET'!D168</f>
        <v>0</v>
      </c>
      <c r="EV168" s="9">
        <f>CF168*'MASTER SHEET'!D168</f>
        <v>0</v>
      </c>
      <c r="EW168" s="9">
        <f>CJ168*'MASTER SHEET'!D168</f>
        <v>0</v>
      </c>
      <c r="EX168" s="9">
        <f>CN168*'MASTER SHEET'!D168</f>
        <v>0</v>
      </c>
      <c r="EY168" s="9">
        <f>CV168*'MASTER SHEET'!D168</f>
        <v>0</v>
      </c>
      <c r="EZ168" s="9">
        <f>CV168*'MASTER SHEET'!D168</f>
        <v>0</v>
      </c>
      <c r="FA168" s="9">
        <f>CZ168*'MASTER SHEET'!D168</f>
        <v>0</v>
      </c>
      <c r="FB168" s="9">
        <f>DD168*'MASTER SHEET'!D168</f>
        <v>0</v>
      </c>
      <c r="FC168" s="9">
        <f>DH168*'MASTER SHEET'!D168</f>
        <v>0</v>
      </c>
      <c r="FD168" s="9">
        <f>DL168*'MASTER SHEET'!D168</f>
        <v>0</v>
      </c>
      <c r="FE168" s="9">
        <f>DP168*'MASTER SHEET'!D168</f>
        <v>0</v>
      </c>
      <c r="FF168" s="9">
        <f>DT168*'MASTER SHEET'!D168</f>
        <v>0</v>
      </c>
      <c r="FG168" s="9">
        <f>DX168*'MASTER SHEET'!D168</f>
        <v>0</v>
      </c>
    </row>
    <row r="169" spans="1:163" s="69" customFormat="1" ht="20.25" x14ac:dyDescent="0.25">
      <c r="A169" s="43">
        <f>'MASTER SHEET'!A169</f>
        <v>167</v>
      </c>
      <c r="B169" s="67" t="str">
        <f>'MASTER SHEET'!B169</f>
        <v>PIVOT PIN RH</v>
      </c>
      <c r="C169" s="82" t="str">
        <f>'MASTER SHEET'!C169</f>
        <v>BC00006047</v>
      </c>
      <c r="D169" s="64"/>
      <c r="E169" s="28"/>
      <c r="F169" s="28"/>
      <c r="G169" s="65"/>
      <c r="H169" s="64">
        <f t="shared" si="106"/>
        <v>0</v>
      </c>
      <c r="I169" s="28"/>
      <c r="J169" s="28"/>
      <c r="K169" s="65"/>
      <c r="L169" s="64">
        <f t="shared" si="107"/>
        <v>0</v>
      </c>
      <c r="M169" s="28"/>
      <c r="N169" s="28"/>
      <c r="O169" s="65"/>
      <c r="P169" s="64">
        <f t="shared" si="108"/>
        <v>0</v>
      </c>
      <c r="Q169" s="28"/>
      <c r="R169" s="28"/>
      <c r="S169" s="65"/>
      <c r="T169" s="64">
        <f t="shared" si="109"/>
        <v>0</v>
      </c>
      <c r="U169" s="28"/>
      <c r="V169" s="28"/>
      <c r="W169" s="65"/>
      <c r="X169" s="64">
        <f t="shared" si="110"/>
        <v>0</v>
      </c>
      <c r="Y169" s="28"/>
      <c r="Z169" s="28"/>
      <c r="AA169" s="65"/>
      <c r="AB169" s="64">
        <f t="shared" si="111"/>
        <v>0</v>
      </c>
      <c r="AC169" s="28"/>
      <c r="AD169" s="28"/>
      <c r="AE169" s="65"/>
      <c r="AF169" s="64">
        <f t="shared" si="112"/>
        <v>0</v>
      </c>
      <c r="AG169" s="28"/>
      <c r="AH169" s="28"/>
      <c r="AI169" s="65"/>
      <c r="AJ169" s="64">
        <f t="shared" si="113"/>
        <v>0</v>
      </c>
      <c r="AK169" s="28"/>
      <c r="AL169" s="28"/>
      <c r="AM169" s="65"/>
      <c r="AN169" s="64">
        <f t="shared" si="114"/>
        <v>0</v>
      </c>
      <c r="AO169" s="28"/>
      <c r="AP169" s="28"/>
      <c r="AQ169" s="65"/>
      <c r="AR169" s="64">
        <f t="shared" si="115"/>
        <v>0</v>
      </c>
      <c r="AS169" s="28"/>
      <c r="AT169" s="28"/>
      <c r="AU169" s="65"/>
      <c r="AV169" s="64">
        <f t="shared" si="116"/>
        <v>0</v>
      </c>
      <c r="AW169" s="28"/>
      <c r="AX169" s="28"/>
      <c r="AY169" s="65"/>
      <c r="AZ169" s="64">
        <f t="shared" si="117"/>
        <v>0</v>
      </c>
      <c r="BA169" s="28"/>
      <c r="BB169" s="28"/>
      <c r="BC169" s="65"/>
      <c r="BD169" s="64">
        <f t="shared" si="118"/>
        <v>0</v>
      </c>
      <c r="BE169" s="28"/>
      <c r="BF169" s="28"/>
      <c r="BG169" s="65"/>
      <c r="BH169" s="64">
        <f t="shared" si="119"/>
        <v>0</v>
      </c>
      <c r="BI169" s="28"/>
      <c r="BJ169" s="28"/>
      <c r="BK169" s="65"/>
      <c r="BL169" s="64">
        <f t="shared" si="120"/>
        <v>0</v>
      </c>
      <c r="BM169" s="28"/>
      <c r="BN169" s="28"/>
      <c r="BO169" s="65"/>
      <c r="BP169" s="64">
        <f t="shared" si="121"/>
        <v>0</v>
      </c>
      <c r="BQ169" s="28"/>
      <c r="BR169" s="28"/>
      <c r="BS169" s="65"/>
      <c r="BT169" s="64">
        <f t="shared" si="122"/>
        <v>0</v>
      </c>
      <c r="BU169" s="28"/>
      <c r="BV169" s="28"/>
      <c r="BW169" s="65"/>
      <c r="BX169" s="64">
        <f t="shared" si="123"/>
        <v>0</v>
      </c>
      <c r="BY169" s="28"/>
      <c r="BZ169" s="28"/>
      <c r="CA169" s="65"/>
      <c r="CB169" s="64">
        <f t="shared" si="124"/>
        <v>0</v>
      </c>
      <c r="CC169" s="28"/>
      <c r="CD169" s="28"/>
      <c r="CE169" s="65"/>
      <c r="CF169" s="64">
        <f t="shared" si="125"/>
        <v>0</v>
      </c>
      <c r="CG169" s="28"/>
      <c r="CH169" s="28"/>
      <c r="CI169" s="65"/>
      <c r="CJ169" s="64">
        <f t="shared" si="126"/>
        <v>0</v>
      </c>
      <c r="CK169" s="28"/>
      <c r="CL169" s="28"/>
      <c r="CM169" s="65"/>
      <c r="CN169" s="64">
        <f t="shared" si="127"/>
        <v>0</v>
      </c>
      <c r="CO169" s="28"/>
      <c r="CP169" s="28"/>
      <c r="CQ169" s="65"/>
      <c r="CR169" s="64">
        <f t="shared" si="128"/>
        <v>0</v>
      </c>
      <c r="CS169" s="28"/>
      <c r="CT169" s="28"/>
      <c r="CU169" s="65"/>
      <c r="CV169" s="64">
        <f t="shared" si="129"/>
        <v>0</v>
      </c>
      <c r="CW169" s="28"/>
      <c r="CX169" s="28"/>
      <c r="CY169" s="65"/>
      <c r="CZ169" s="64">
        <f t="shared" si="130"/>
        <v>0</v>
      </c>
      <c r="DA169" s="28"/>
      <c r="DB169" s="28"/>
      <c r="DC169" s="65"/>
      <c r="DD169" s="64">
        <f t="shared" si="131"/>
        <v>0</v>
      </c>
      <c r="DE169" s="28"/>
      <c r="DF169" s="28"/>
      <c r="DG169" s="65"/>
      <c r="DH169" s="64">
        <f t="shared" si="132"/>
        <v>0</v>
      </c>
      <c r="DI169" s="28"/>
      <c r="DJ169" s="28"/>
      <c r="DK169" s="65"/>
      <c r="DL169" s="64">
        <f t="shared" si="133"/>
        <v>0</v>
      </c>
      <c r="DM169" s="28"/>
      <c r="DN169" s="28"/>
      <c r="DO169" s="65"/>
      <c r="DP169" s="64">
        <f t="shared" si="134"/>
        <v>0</v>
      </c>
      <c r="DQ169" s="28"/>
      <c r="DR169" s="28"/>
      <c r="DS169" s="65"/>
      <c r="DT169" s="64">
        <f t="shared" si="135"/>
        <v>0</v>
      </c>
      <c r="DU169" s="28"/>
      <c r="DV169" s="28"/>
      <c r="DW169" s="65"/>
      <c r="DX169" s="30">
        <f t="shared" si="136"/>
        <v>0</v>
      </c>
      <c r="DY169" s="68"/>
      <c r="DZ169" s="68"/>
      <c r="EA169" s="68"/>
      <c r="EB169" s="9">
        <f>D169*'MASTER SHEET'!D169</f>
        <v>0</v>
      </c>
      <c r="EC169" s="9">
        <f>H169*'MASTER SHEET'!D169</f>
        <v>0</v>
      </c>
      <c r="ED169" s="9">
        <f>L169*'MASTER SHEET'!D169</f>
        <v>0</v>
      </c>
      <c r="EE169" s="9">
        <f>P169*'MASTER SHEET'!D169</f>
        <v>0</v>
      </c>
      <c r="EF169" s="9">
        <f>T169*'MASTER SHEET'!D169</f>
        <v>0</v>
      </c>
      <c r="EG169" s="9">
        <f>X169*'MASTER SHEET'!D169</f>
        <v>0</v>
      </c>
      <c r="EH169" s="9">
        <f>AB169*'MASTER SHEET'!D169</f>
        <v>0</v>
      </c>
      <c r="EI169" s="9">
        <f>AF169*'MASTER SHEET'!D169</f>
        <v>0</v>
      </c>
      <c r="EJ169" s="9">
        <f>AJ169*'MASTER SHEET'!D169</f>
        <v>0</v>
      </c>
      <c r="EK169" s="9">
        <f>AN169*'MASTER SHEET'!D169</f>
        <v>0</v>
      </c>
      <c r="EL169" s="9">
        <f>AR169*'MASTER SHEET'!D169</f>
        <v>0</v>
      </c>
      <c r="EM169" s="9">
        <f>AV169*'MASTER SHEET'!D169</f>
        <v>0</v>
      </c>
      <c r="EN169" s="9">
        <f>AZ169*'MASTER SHEET'!D169</f>
        <v>0</v>
      </c>
      <c r="EO169" s="9">
        <f>BD169*'MASTER SHEET'!D169</f>
        <v>0</v>
      </c>
      <c r="EP169" s="9">
        <f>BH169*'MASTER SHEET'!D169</f>
        <v>0</v>
      </c>
      <c r="EQ169" s="9">
        <f>BL169*'MASTER SHEET'!D169</f>
        <v>0</v>
      </c>
      <c r="ER169" s="9">
        <f>BP169*'MASTER SHEET'!D169</f>
        <v>0</v>
      </c>
      <c r="ES169" s="9">
        <f>BT169*'MASTER SHEET'!D169</f>
        <v>0</v>
      </c>
      <c r="ET169" s="9">
        <f>BX169*'MASTER SHEET'!D169</f>
        <v>0</v>
      </c>
      <c r="EU169" s="9">
        <f>CB169*'MASTER SHEET'!D169</f>
        <v>0</v>
      </c>
      <c r="EV169" s="9">
        <f>CF169*'MASTER SHEET'!D169</f>
        <v>0</v>
      </c>
      <c r="EW169" s="9">
        <f>CJ169*'MASTER SHEET'!D169</f>
        <v>0</v>
      </c>
      <c r="EX169" s="9">
        <f>CN169*'MASTER SHEET'!D169</f>
        <v>0</v>
      </c>
      <c r="EY169" s="9">
        <f>CV169*'MASTER SHEET'!D169</f>
        <v>0</v>
      </c>
      <c r="EZ169" s="9">
        <f>CV169*'MASTER SHEET'!D169</f>
        <v>0</v>
      </c>
      <c r="FA169" s="9">
        <f>CZ169*'MASTER SHEET'!D169</f>
        <v>0</v>
      </c>
      <c r="FB169" s="9">
        <f>DD169*'MASTER SHEET'!D169</f>
        <v>0</v>
      </c>
      <c r="FC169" s="9">
        <f>DH169*'MASTER SHEET'!D169</f>
        <v>0</v>
      </c>
      <c r="FD169" s="9">
        <f>DL169*'MASTER SHEET'!D169</f>
        <v>0</v>
      </c>
      <c r="FE169" s="9">
        <f>DP169*'MASTER SHEET'!D169</f>
        <v>0</v>
      </c>
      <c r="FF169" s="9">
        <f>DT169*'MASTER SHEET'!D169</f>
        <v>0</v>
      </c>
      <c r="FG169" s="9">
        <f>DX169*'MASTER SHEET'!D169</f>
        <v>0</v>
      </c>
    </row>
    <row r="170" spans="1:163" s="69" customFormat="1" ht="20.25" x14ac:dyDescent="0.25">
      <c r="A170" s="43">
        <f>'MASTER SHEET'!A170</f>
        <v>168</v>
      </c>
      <c r="B170" s="67" t="str">
        <f>'MASTER SHEET'!B170</f>
        <v xml:space="preserve"> BELL CRANK LH</v>
      </c>
      <c r="C170" s="82" t="str">
        <f>'MASTER SHEET'!C170</f>
        <v>BB00006044</v>
      </c>
      <c r="D170" s="64"/>
      <c r="E170" s="28"/>
      <c r="F170" s="28"/>
      <c r="G170" s="65"/>
      <c r="H170" s="64">
        <f t="shared" si="106"/>
        <v>0</v>
      </c>
      <c r="I170" s="28"/>
      <c r="J170" s="28"/>
      <c r="K170" s="65"/>
      <c r="L170" s="64">
        <f t="shared" si="107"/>
        <v>0</v>
      </c>
      <c r="M170" s="28"/>
      <c r="N170" s="28"/>
      <c r="O170" s="65"/>
      <c r="P170" s="64">
        <f t="shared" si="108"/>
        <v>0</v>
      </c>
      <c r="Q170" s="28"/>
      <c r="R170" s="28"/>
      <c r="S170" s="65"/>
      <c r="T170" s="64">
        <f t="shared" si="109"/>
        <v>0</v>
      </c>
      <c r="U170" s="28"/>
      <c r="V170" s="28"/>
      <c r="W170" s="65"/>
      <c r="X170" s="64">
        <f t="shared" si="110"/>
        <v>0</v>
      </c>
      <c r="Y170" s="28"/>
      <c r="Z170" s="28"/>
      <c r="AA170" s="65"/>
      <c r="AB170" s="64">
        <f t="shared" si="111"/>
        <v>0</v>
      </c>
      <c r="AC170" s="28"/>
      <c r="AD170" s="28"/>
      <c r="AE170" s="65"/>
      <c r="AF170" s="64">
        <f t="shared" si="112"/>
        <v>0</v>
      </c>
      <c r="AG170" s="28"/>
      <c r="AH170" s="28"/>
      <c r="AI170" s="65"/>
      <c r="AJ170" s="64">
        <f t="shared" si="113"/>
        <v>0</v>
      </c>
      <c r="AK170" s="28"/>
      <c r="AL170" s="28"/>
      <c r="AM170" s="65"/>
      <c r="AN170" s="64">
        <f t="shared" si="114"/>
        <v>0</v>
      </c>
      <c r="AO170" s="28"/>
      <c r="AP170" s="28"/>
      <c r="AQ170" s="65"/>
      <c r="AR170" s="64">
        <f t="shared" si="115"/>
        <v>0</v>
      </c>
      <c r="AS170" s="28"/>
      <c r="AT170" s="28"/>
      <c r="AU170" s="65"/>
      <c r="AV170" s="64">
        <f t="shared" si="116"/>
        <v>0</v>
      </c>
      <c r="AW170" s="28"/>
      <c r="AX170" s="28"/>
      <c r="AY170" s="65"/>
      <c r="AZ170" s="64">
        <f t="shared" si="117"/>
        <v>0</v>
      </c>
      <c r="BA170" s="28"/>
      <c r="BB170" s="28"/>
      <c r="BC170" s="65"/>
      <c r="BD170" s="64">
        <f t="shared" si="118"/>
        <v>0</v>
      </c>
      <c r="BE170" s="28"/>
      <c r="BF170" s="28"/>
      <c r="BG170" s="65"/>
      <c r="BH170" s="64">
        <f t="shared" si="119"/>
        <v>0</v>
      </c>
      <c r="BI170" s="28"/>
      <c r="BJ170" s="28"/>
      <c r="BK170" s="65"/>
      <c r="BL170" s="64">
        <f t="shared" si="120"/>
        <v>0</v>
      </c>
      <c r="BM170" s="28"/>
      <c r="BN170" s="28"/>
      <c r="BO170" s="65"/>
      <c r="BP170" s="64">
        <f t="shared" si="121"/>
        <v>0</v>
      </c>
      <c r="BQ170" s="28"/>
      <c r="BR170" s="28"/>
      <c r="BS170" s="65"/>
      <c r="BT170" s="64">
        <f t="shared" si="122"/>
        <v>0</v>
      </c>
      <c r="BU170" s="28"/>
      <c r="BV170" s="28"/>
      <c r="BW170" s="65"/>
      <c r="BX170" s="64">
        <f t="shared" si="123"/>
        <v>0</v>
      </c>
      <c r="BY170" s="28"/>
      <c r="BZ170" s="28"/>
      <c r="CA170" s="65"/>
      <c r="CB170" s="64">
        <f t="shared" si="124"/>
        <v>0</v>
      </c>
      <c r="CC170" s="28"/>
      <c r="CD170" s="28"/>
      <c r="CE170" s="65"/>
      <c r="CF170" s="64">
        <f t="shared" si="125"/>
        <v>0</v>
      </c>
      <c r="CG170" s="28"/>
      <c r="CH170" s="28"/>
      <c r="CI170" s="65"/>
      <c r="CJ170" s="64">
        <f t="shared" si="126"/>
        <v>0</v>
      </c>
      <c r="CK170" s="28"/>
      <c r="CL170" s="28"/>
      <c r="CM170" s="65"/>
      <c r="CN170" s="64">
        <f t="shared" si="127"/>
        <v>0</v>
      </c>
      <c r="CO170" s="28"/>
      <c r="CP170" s="28"/>
      <c r="CQ170" s="65"/>
      <c r="CR170" s="64">
        <f t="shared" si="128"/>
        <v>0</v>
      </c>
      <c r="CS170" s="28"/>
      <c r="CT170" s="28"/>
      <c r="CU170" s="65"/>
      <c r="CV170" s="64">
        <f t="shared" si="129"/>
        <v>0</v>
      </c>
      <c r="CW170" s="28"/>
      <c r="CX170" s="28"/>
      <c r="CY170" s="65"/>
      <c r="CZ170" s="64">
        <f t="shared" si="130"/>
        <v>0</v>
      </c>
      <c r="DA170" s="28"/>
      <c r="DB170" s="28"/>
      <c r="DC170" s="65"/>
      <c r="DD170" s="64">
        <f t="shared" si="131"/>
        <v>0</v>
      </c>
      <c r="DE170" s="28"/>
      <c r="DF170" s="28"/>
      <c r="DG170" s="65"/>
      <c r="DH170" s="64">
        <f t="shared" si="132"/>
        <v>0</v>
      </c>
      <c r="DI170" s="28"/>
      <c r="DJ170" s="28"/>
      <c r="DK170" s="65"/>
      <c r="DL170" s="64">
        <f t="shared" si="133"/>
        <v>0</v>
      </c>
      <c r="DM170" s="28"/>
      <c r="DN170" s="28"/>
      <c r="DO170" s="65"/>
      <c r="DP170" s="64">
        <f t="shared" si="134"/>
        <v>0</v>
      </c>
      <c r="DQ170" s="28"/>
      <c r="DR170" s="28"/>
      <c r="DS170" s="65"/>
      <c r="DT170" s="64">
        <f t="shared" si="135"/>
        <v>0</v>
      </c>
      <c r="DU170" s="28"/>
      <c r="DV170" s="28"/>
      <c r="DW170" s="65"/>
      <c r="DX170" s="30">
        <f t="shared" si="136"/>
        <v>0</v>
      </c>
      <c r="DY170" s="68"/>
      <c r="DZ170" s="68"/>
      <c r="EA170" s="68"/>
      <c r="EB170" s="9">
        <f>D170*'MASTER SHEET'!D170</f>
        <v>0</v>
      </c>
      <c r="EC170" s="9">
        <f>H170*'MASTER SHEET'!D170</f>
        <v>0</v>
      </c>
      <c r="ED170" s="9">
        <f>L170*'MASTER SHEET'!D170</f>
        <v>0</v>
      </c>
      <c r="EE170" s="9">
        <f>P170*'MASTER SHEET'!D170</f>
        <v>0</v>
      </c>
      <c r="EF170" s="9">
        <f>T170*'MASTER SHEET'!D170</f>
        <v>0</v>
      </c>
      <c r="EG170" s="9">
        <f>X170*'MASTER SHEET'!D170</f>
        <v>0</v>
      </c>
      <c r="EH170" s="9">
        <f>AB170*'MASTER SHEET'!D170</f>
        <v>0</v>
      </c>
      <c r="EI170" s="9">
        <f>AF170*'MASTER SHEET'!D170</f>
        <v>0</v>
      </c>
      <c r="EJ170" s="9">
        <f>AJ170*'MASTER SHEET'!D170</f>
        <v>0</v>
      </c>
      <c r="EK170" s="9">
        <f>AN170*'MASTER SHEET'!D170</f>
        <v>0</v>
      </c>
      <c r="EL170" s="9">
        <f>AR170*'MASTER SHEET'!D170</f>
        <v>0</v>
      </c>
      <c r="EM170" s="9">
        <f>AV170*'MASTER SHEET'!D170</f>
        <v>0</v>
      </c>
      <c r="EN170" s="9">
        <f>AZ170*'MASTER SHEET'!D170</f>
        <v>0</v>
      </c>
      <c r="EO170" s="9">
        <f>BD170*'MASTER SHEET'!D170</f>
        <v>0</v>
      </c>
      <c r="EP170" s="9">
        <f>BH170*'MASTER SHEET'!D170</f>
        <v>0</v>
      </c>
      <c r="EQ170" s="9">
        <f>BL170*'MASTER SHEET'!D170</f>
        <v>0</v>
      </c>
      <c r="ER170" s="9">
        <f>BP170*'MASTER SHEET'!D170</f>
        <v>0</v>
      </c>
      <c r="ES170" s="9">
        <f>BT170*'MASTER SHEET'!D170</f>
        <v>0</v>
      </c>
      <c r="ET170" s="9">
        <f>BX170*'MASTER SHEET'!D170</f>
        <v>0</v>
      </c>
      <c r="EU170" s="9">
        <f>CB170*'MASTER SHEET'!D170</f>
        <v>0</v>
      </c>
      <c r="EV170" s="9">
        <f>CF170*'MASTER SHEET'!D170</f>
        <v>0</v>
      </c>
      <c r="EW170" s="9">
        <f>CJ170*'MASTER SHEET'!D170</f>
        <v>0</v>
      </c>
      <c r="EX170" s="9">
        <f>CN170*'MASTER SHEET'!D170</f>
        <v>0</v>
      </c>
      <c r="EY170" s="9">
        <f>CV170*'MASTER SHEET'!D170</f>
        <v>0</v>
      </c>
      <c r="EZ170" s="9">
        <f>CV170*'MASTER SHEET'!D170</f>
        <v>0</v>
      </c>
      <c r="FA170" s="9">
        <f>CZ170*'MASTER SHEET'!D170</f>
        <v>0</v>
      </c>
      <c r="FB170" s="9">
        <f>DD170*'MASTER SHEET'!D170</f>
        <v>0</v>
      </c>
      <c r="FC170" s="9">
        <f>DH170*'MASTER SHEET'!D170</f>
        <v>0</v>
      </c>
      <c r="FD170" s="9">
        <f>DL170*'MASTER SHEET'!D170</f>
        <v>0</v>
      </c>
      <c r="FE170" s="9">
        <f>DP170*'MASTER SHEET'!D170</f>
        <v>0</v>
      </c>
      <c r="FF170" s="9">
        <f>DT170*'MASTER SHEET'!D170</f>
        <v>0</v>
      </c>
      <c r="FG170" s="9">
        <f>DX170*'MASTER SHEET'!D170</f>
        <v>0</v>
      </c>
    </row>
    <row r="171" spans="1:163" s="69" customFormat="1" ht="20.25" x14ac:dyDescent="0.25">
      <c r="A171" s="43">
        <f>'MASTER SHEET'!A171</f>
        <v>169</v>
      </c>
      <c r="B171" s="67" t="str">
        <f>'MASTER SHEET'!B171</f>
        <v>BELL CRANK RH</v>
      </c>
      <c r="C171" s="82" t="str">
        <f>'MASTER SHEET'!C171</f>
        <v>BC00006045</v>
      </c>
      <c r="D171" s="64"/>
      <c r="E171" s="28"/>
      <c r="F171" s="28"/>
      <c r="G171" s="65"/>
      <c r="H171" s="64">
        <f t="shared" si="106"/>
        <v>0</v>
      </c>
      <c r="I171" s="28"/>
      <c r="J171" s="28"/>
      <c r="K171" s="65"/>
      <c r="L171" s="64">
        <f t="shared" si="107"/>
        <v>0</v>
      </c>
      <c r="M171" s="28"/>
      <c r="N171" s="28"/>
      <c r="O171" s="65"/>
      <c r="P171" s="64">
        <f t="shared" si="108"/>
        <v>0</v>
      </c>
      <c r="Q171" s="28"/>
      <c r="R171" s="28"/>
      <c r="S171" s="65"/>
      <c r="T171" s="64">
        <f t="shared" si="109"/>
        <v>0</v>
      </c>
      <c r="U171" s="28"/>
      <c r="V171" s="28"/>
      <c r="W171" s="65"/>
      <c r="X171" s="64">
        <f t="shared" si="110"/>
        <v>0</v>
      </c>
      <c r="Y171" s="28"/>
      <c r="Z171" s="28"/>
      <c r="AA171" s="65"/>
      <c r="AB171" s="64">
        <f t="shared" si="111"/>
        <v>0</v>
      </c>
      <c r="AC171" s="28"/>
      <c r="AD171" s="28"/>
      <c r="AE171" s="65"/>
      <c r="AF171" s="64">
        <f t="shared" si="112"/>
        <v>0</v>
      </c>
      <c r="AG171" s="28"/>
      <c r="AH171" s="28"/>
      <c r="AI171" s="65"/>
      <c r="AJ171" s="64">
        <f t="shared" si="113"/>
        <v>0</v>
      </c>
      <c r="AK171" s="28"/>
      <c r="AL171" s="28"/>
      <c r="AM171" s="65"/>
      <c r="AN171" s="64">
        <f t="shared" si="114"/>
        <v>0</v>
      </c>
      <c r="AO171" s="28"/>
      <c r="AP171" s="28"/>
      <c r="AQ171" s="65"/>
      <c r="AR171" s="64">
        <f t="shared" si="115"/>
        <v>0</v>
      </c>
      <c r="AS171" s="28"/>
      <c r="AT171" s="28"/>
      <c r="AU171" s="65"/>
      <c r="AV171" s="64">
        <f t="shared" si="116"/>
        <v>0</v>
      </c>
      <c r="AW171" s="28"/>
      <c r="AX171" s="28"/>
      <c r="AY171" s="65"/>
      <c r="AZ171" s="64">
        <f t="shared" si="117"/>
        <v>0</v>
      </c>
      <c r="BA171" s="28"/>
      <c r="BB171" s="28"/>
      <c r="BC171" s="65"/>
      <c r="BD171" s="64">
        <f t="shared" si="118"/>
        <v>0</v>
      </c>
      <c r="BE171" s="28"/>
      <c r="BF171" s="28"/>
      <c r="BG171" s="65"/>
      <c r="BH171" s="64">
        <f t="shared" si="119"/>
        <v>0</v>
      </c>
      <c r="BI171" s="28"/>
      <c r="BJ171" s="28"/>
      <c r="BK171" s="65"/>
      <c r="BL171" s="64">
        <f t="shared" si="120"/>
        <v>0</v>
      </c>
      <c r="BM171" s="28"/>
      <c r="BN171" s="28"/>
      <c r="BO171" s="65"/>
      <c r="BP171" s="64">
        <f t="shared" si="121"/>
        <v>0</v>
      </c>
      <c r="BQ171" s="28"/>
      <c r="BR171" s="28"/>
      <c r="BS171" s="65"/>
      <c r="BT171" s="64">
        <f t="shared" si="122"/>
        <v>0</v>
      </c>
      <c r="BU171" s="28"/>
      <c r="BV171" s="28"/>
      <c r="BW171" s="65"/>
      <c r="BX171" s="64">
        <f t="shared" si="123"/>
        <v>0</v>
      </c>
      <c r="BY171" s="28"/>
      <c r="BZ171" s="28"/>
      <c r="CA171" s="65"/>
      <c r="CB171" s="64">
        <f t="shared" si="124"/>
        <v>0</v>
      </c>
      <c r="CC171" s="28"/>
      <c r="CD171" s="28"/>
      <c r="CE171" s="65"/>
      <c r="CF171" s="64">
        <f t="shared" si="125"/>
        <v>0</v>
      </c>
      <c r="CG171" s="28"/>
      <c r="CH171" s="28"/>
      <c r="CI171" s="65"/>
      <c r="CJ171" s="64">
        <f t="shared" si="126"/>
        <v>0</v>
      </c>
      <c r="CK171" s="28"/>
      <c r="CL171" s="28"/>
      <c r="CM171" s="65"/>
      <c r="CN171" s="64">
        <f t="shared" si="127"/>
        <v>0</v>
      </c>
      <c r="CO171" s="28"/>
      <c r="CP171" s="28"/>
      <c r="CQ171" s="65"/>
      <c r="CR171" s="64">
        <f t="shared" si="128"/>
        <v>0</v>
      </c>
      <c r="CS171" s="28"/>
      <c r="CT171" s="28"/>
      <c r="CU171" s="65"/>
      <c r="CV171" s="64">
        <f t="shared" si="129"/>
        <v>0</v>
      </c>
      <c r="CW171" s="28"/>
      <c r="CX171" s="28"/>
      <c r="CY171" s="65"/>
      <c r="CZ171" s="64">
        <f t="shared" si="130"/>
        <v>0</v>
      </c>
      <c r="DA171" s="28"/>
      <c r="DB171" s="28"/>
      <c r="DC171" s="65"/>
      <c r="DD171" s="64">
        <f t="shared" si="131"/>
        <v>0</v>
      </c>
      <c r="DE171" s="28"/>
      <c r="DF171" s="28"/>
      <c r="DG171" s="65"/>
      <c r="DH171" s="64">
        <f t="shared" si="132"/>
        <v>0</v>
      </c>
      <c r="DI171" s="28"/>
      <c r="DJ171" s="28"/>
      <c r="DK171" s="65"/>
      <c r="DL171" s="64">
        <f t="shared" si="133"/>
        <v>0</v>
      </c>
      <c r="DM171" s="28"/>
      <c r="DN171" s="28"/>
      <c r="DO171" s="65"/>
      <c r="DP171" s="64">
        <f t="shared" si="134"/>
        <v>0</v>
      </c>
      <c r="DQ171" s="28"/>
      <c r="DR171" s="28"/>
      <c r="DS171" s="65"/>
      <c r="DT171" s="64">
        <f t="shared" si="135"/>
        <v>0</v>
      </c>
      <c r="DU171" s="28"/>
      <c r="DV171" s="28"/>
      <c r="DW171" s="65"/>
      <c r="DX171" s="30">
        <f t="shared" si="136"/>
        <v>0</v>
      </c>
      <c r="DY171" s="68"/>
      <c r="DZ171" s="68"/>
      <c r="EA171" s="68"/>
      <c r="EB171" s="9">
        <f>D171*'MASTER SHEET'!D171</f>
        <v>0</v>
      </c>
      <c r="EC171" s="9">
        <f>H171*'MASTER SHEET'!D171</f>
        <v>0</v>
      </c>
      <c r="ED171" s="9">
        <f>L171*'MASTER SHEET'!D171</f>
        <v>0</v>
      </c>
      <c r="EE171" s="9">
        <f>P171*'MASTER SHEET'!D171</f>
        <v>0</v>
      </c>
      <c r="EF171" s="9">
        <f>T171*'MASTER SHEET'!D171</f>
        <v>0</v>
      </c>
      <c r="EG171" s="9">
        <f>X171*'MASTER SHEET'!D171</f>
        <v>0</v>
      </c>
      <c r="EH171" s="9">
        <f>AB171*'MASTER SHEET'!D171</f>
        <v>0</v>
      </c>
      <c r="EI171" s="9">
        <f>AF171*'MASTER SHEET'!D171</f>
        <v>0</v>
      </c>
      <c r="EJ171" s="9">
        <f>AJ171*'MASTER SHEET'!D171</f>
        <v>0</v>
      </c>
      <c r="EK171" s="9">
        <f>AN171*'MASTER SHEET'!D171</f>
        <v>0</v>
      </c>
      <c r="EL171" s="9">
        <f>AR171*'MASTER SHEET'!D171</f>
        <v>0</v>
      </c>
      <c r="EM171" s="9">
        <f>AV171*'MASTER SHEET'!D171</f>
        <v>0</v>
      </c>
      <c r="EN171" s="9">
        <f>AZ171*'MASTER SHEET'!D171</f>
        <v>0</v>
      </c>
      <c r="EO171" s="9">
        <f>BD171*'MASTER SHEET'!D171</f>
        <v>0</v>
      </c>
      <c r="EP171" s="9">
        <f>BH171*'MASTER SHEET'!D171</f>
        <v>0</v>
      </c>
      <c r="EQ171" s="9">
        <f>BL171*'MASTER SHEET'!D171</f>
        <v>0</v>
      </c>
      <c r="ER171" s="9">
        <f>BP171*'MASTER SHEET'!D171</f>
        <v>0</v>
      </c>
      <c r="ES171" s="9">
        <f>BT171*'MASTER SHEET'!D171</f>
        <v>0</v>
      </c>
      <c r="ET171" s="9">
        <f>BX171*'MASTER SHEET'!D171</f>
        <v>0</v>
      </c>
      <c r="EU171" s="9">
        <f>CB171*'MASTER SHEET'!D171</f>
        <v>0</v>
      </c>
      <c r="EV171" s="9">
        <f>CF171*'MASTER SHEET'!D171</f>
        <v>0</v>
      </c>
      <c r="EW171" s="9">
        <f>CJ171*'MASTER SHEET'!D171</f>
        <v>0</v>
      </c>
      <c r="EX171" s="9">
        <f>CN171*'MASTER SHEET'!D171</f>
        <v>0</v>
      </c>
      <c r="EY171" s="9">
        <f>CV171*'MASTER SHEET'!D171</f>
        <v>0</v>
      </c>
      <c r="EZ171" s="9">
        <f>CV171*'MASTER SHEET'!D171</f>
        <v>0</v>
      </c>
      <c r="FA171" s="9">
        <f>CZ171*'MASTER SHEET'!D171</f>
        <v>0</v>
      </c>
      <c r="FB171" s="9">
        <f>DD171*'MASTER SHEET'!D171</f>
        <v>0</v>
      </c>
      <c r="FC171" s="9">
        <f>DH171*'MASTER SHEET'!D171</f>
        <v>0</v>
      </c>
      <c r="FD171" s="9">
        <f>DL171*'MASTER SHEET'!D171</f>
        <v>0</v>
      </c>
      <c r="FE171" s="9">
        <f>DP171*'MASTER SHEET'!D171</f>
        <v>0</v>
      </c>
      <c r="FF171" s="9">
        <f>DT171*'MASTER SHEET'!D171</f>
        <v>0</v>
      </c>
      <c r="FG171" s="9">
        <f>DX171*'MASTER SHEET'!D171</f>
        <v>0</v>
      </c>
    </row>
    <row r="172" spans="1:163" s="69" customFormat="1" ht="20.25" x14ac:dyDescent="0.25">
      <c r="A172" s="43">
        <f>'MASTER SHEET'!A172</f>
        <v>170</v>
      </c>
      <c r="B172" s="67" t="str">
        <f>'MASTER SHEET'!B172</f>
        <v>ACTUATOR PLUNGER</v>
      </c>
      <c r="C172" s="82" t="str">
        <f>'MASTER SHEET'!C172</f>
        <v>BA00005304</v>
      </c>
      <c r="D172" s="64"/>
      <c r="E172" s="28"/>
      <c r="F172" s="28"/>
      <c r="G172" s="65"/>
      <c r="H172" s="64">
        <f t="shared" si="106"/>
        <v>0</v>
      </c>
      <c r="I172" s="28"/>
      <c r="J172" s="28"/>
      <c r="K172" s="65"/>
      <c r="L172" s="64">
        <f t="shared" si="107"/>
        <v>0</v>
      </c>
      <c r="M172" s="28"/>
      <c r="N172" s="28"/>
      <c r="O172" s="65"/>
      <c r="P172" s="64">
        <f t="shared" si="108"/>
        <v>0</v>
      </c>
      <c r="Q172" s="28"/>
      <c r="R172" s="28"/>
      <c r="S172" s="65"/>
      <c r="T172" s="64">
        <f t="shared" si="109"/>
        <v>0</v>
      </c>
      <c r="U172" s="28"/>
      <c r="V172" s="28"/>
      <c r="W172" s="65"/>
      <c r="X172" s="64">
        <f t="shared" si="110"/>
        <v>0</v>
      </c>
      <c r="Y172" s="28"/>
      <c r="Z172" s="28"/>
      <c r="AA172" s="65"/>
      <c r="AB172" s="64">
        <f t="shared" si="111"/>
        <v>0</v>
      </c>
      <c r="AC172" s="28"/>
      <c r="AD172" s="28"/>
      <c r="AE172" s="65"/>
      <c r="AF172" s="64">
        <f t="shared" si="112"/>
        <v>0</v>
      </c>
      <c r="AG172" s="28"/>
      <c r="AH172" s="28"/>
      <c r="AI172" s="65"/>
      <c r="AJ172" s="64">
        <f t="shared" si="113"/>
        <v>0</v>
      </c>
      <c r="AK172" s="28"/>
      <c r="AL172" s="28"/>
      <c r="AM172" s="65"/>
      <c r="AN172" s="64">
        <f t="shared" si="114"/>
        <v>0</v>
      </c>
      <c r="AO172" s="28"/>
      <c r="AP172" s="28"/>
      <c r="AQ172" s="65"/>
      <c r="AR172" s="64">
        <f t="shared" si="115"/>
        <v>0</v>
      </c>
      <c r="AS172" s="28"/>
      <c r="AT172" s="28"/>
      <c r="AU172" s="65"/>
      <c r="AV172" s="64">
        <f t="shared" si="116"/>
        <v>0</v>
      </c>
      <c r="AW172" s="28"/>
      <c r="AX172" s="28"/>
      <c r="AY172" s="65"/>
      <c r="AZ172" s="64">
        <f t="shared" si="117"/>
        <v>0</v>
      </c>
      <c r="BA172" s="28"/>
      <c r="BB172" s="28"/>
      <c r="BC172" s="65"/>
      <c r="BD172" s="64">
        <f t="shared" si="118"/>
        <v>0</v>
      </c>
      <c r="BE172" s="28"/>
      <c r="BF172" s="28"/>
      <c r="BG172" s="65"/>
      <c r="BH172" s="64">
        <f t="shared" si="119"/>
        <v>0</v>
      </c>
      <c r="BI172" s="28"/>
      <c r="BJ172" s="28"/>
      <c r="BK172" s="65"/>
      <c r="BL172" s="64">
        <f t="shared" si="120"/>
        <v>0</v>
      </c>
      <c r="BM172" s="28"/>
      <c r="BN172" s="28"/>
      <c r="BO172" s="65"/>
      <c r="BP172" s="64">
        <f t="shared" si="121"/>
        <v>0</v>
      </c>
      <c r="BQ172" s="28"/>
      <c r="BR172" s="28"/>
      <c r="BS172" s="65"/>
      <c r="BT172" s="64">
        <f t="shared" si="122"/>
        <v>0</v>
      </c>
      <c r="BU172" s="28"/>
      <c r="BV172" s="28"/>
      <c r="BW172" s="65"/>
      <c r="BX172" s="64">
        <f t="shared" si="123"/>
        <v>0</v>
      </c>
      <c r="BY172" s="28"/>
      <c r="BZ172" s="28"/>
      <c r="CA172" s="65"/>
      <c r="CB172" s="64">
        <f t="shared" si="124"/>
        <v>0</v>
      </c>
      <c r="CC172" s="28"/>
      <c r="CD172" s="28"/>
      <c r="CE172" s="65"/>
      <c r="CF172" s="64">
        <f t="shared" si="125"/>
        <v>0</v>
      </c>
      <c r="CG172" s="28"/>
      <c r="CH172" s="28"/>
      <c r="CI172" s="65"/>
      <c r="CJ172" s="64">
        <f t="shared" si="126"/>
        <v>0</v>
      </c>
      <c r="CK172" s="28"/>
      <c r="CL172" s="28"/>
      <c r="CM172" s="65"/>
      <c r="CN172" s="64">
        <f t="shared" si="127"/>
        <v>0</v>
      </c>
      <c r="CO172" s="28"/>
      <c r="CP172" s="28"/>
      <c r="CQ172" s="65"/>
      <c r="CR172" s="64">
        <f t="shared" si="128"/>
        <v>0</v>
      </c>
      <c r="CS172" s="28"/>
      <c r="CT172" s="28"/>
      <c r="CU172" s="65"/>
      <c r="CV172" s="64">
        <f t="shared" si="129"/>
        <v>0</v>
      </c>
      <c r="CW172" s="28"/>
      <c r="CX172" s="28"/>
      <c r="CY172" s="65"/>
      <c r="CZ172" s="64">
        <f t="shared" si="130"/>
        <v>0</v>
      </c>
      <c r="DA172" s="28"/>
      <c r="DB172" s="28"/>
      <c r="DC172" s="65"/>
      <c r="DD172" s="64">
        <f t="shared" si="131"/>
        <v>0</v>
      </c>
      <c r="DE172" s="28"/>
      <c r="DF172" s="28"/>
      <c r="DG172" s="65"/>
      <c r="DH172" s="64">
        <f t="shared" si="132"/>
        <v>0</v>
      </c>
      <c r="DI172" s="28"/>
      <c r="DJ172" s="28"/>
      <c r="DK172" s="65"/>
      <c r="DL172" s="64">
        <f t="shared" si="133"/>
        <v>0</v>
      </c>
      <c r="DM172" s="28"/>
      <c r="DN172" s="28"/>
      <c r="DO172" s="65"/>
      <c r="DP172" s="64">
        <f t="shared" si="134"/>
        <v>0</v>
      </c>
      <c r="DQ172" s="28"/>
      <c r="DR172" s="28"/>
      <c r="DS172" s="65"/>
      <c r="DT172" s="64">
        <f t="shared" si="135"/>
        <v>0</v>
      </c>
      <c r="DU172" s="28"/>
      <c r="DV172" s="28"/>
      <c r="DW172" s="65"/>
      <c r="DX172" s="30">
        <f t="shared" si="136"/>
        <v>0</v>
      </c>
      <c r="DY172" s="68"/>
      <c r="DZ172" s="68"/>
      <c r="EA172" s="68"/>
      <c r="EB172" s="9">
        <f>D172*'MASTER SHEET'!D172</f>
        <v>0</v>
      </c>
      <c r="EC172" s="9">
        <f>H172*'MASTER SHEET'!D172</f>
        <v>0</v>
      </c>
      <c r="ED172" s="9">
        <f>L172*'MASTER SHEET'!D172</f>
        <v>0</v>
      </c>
      <c r="EE172" s="9">
        <f>P172*'MASTER SHEET'!D172</f>
        <v>0</v>
      </c>
      <c r="EF172" s="9">
        <f>T172*'MASTER SHEET'!D172</f>
        <v>0</v>
      </c>
      <c r="EG172" s="9">
        <f>X172*'MASTER SHEET'!D172</f>
        <v>0</v>
      </c>
      <c r="EH172" s="9">
        <f>AB172*'MASTER SHEET'!D172</f>
        <v>0</v>
      </c>
      <c r="EI172" s="9">
        <f>AF172*'MASTER SHEET'!D172</f>
        <v>0</v>
      </c>
      <c r="EJ172" s="9">
        <f>AJ172*'MASTER SHEET'!D172</f>
        <v>0</v>
      </c>
      <c r="EK172" s="9">
        <f>AN172*'MASTER SHEET'!D172</f>
        <v>0</v>
      </c>
      <c r="EL172" s="9">
        <f>AR172*'MASTER SHEET'!D172</f>
        <v>0</v>
      </c>
      <c r="EM172" s="9">
        <f>AV172*'MASTER SHEET'!D172</f>
        <v>0</v>
      </c>
      <c r="EN172" s="9">
        <f>AZ172*'MASTER SHEET'!D172</f>
        <v>0</v>
      </c>
      <c r="EO172" s="9">
        <f>BD172*'MASTER SHEET'!D172</f>
        <v>0</v>
      </c>
      <c r="EP172" s="9">
        <f>BH172*'MASTER SHEET'!D172</f>
        <v>0</v>
      </c>
      <c r="EQ172" s="9">
        <f>BL172*'MASTER SHEET'!D172</f>
        <v>0</v>
      </c>
      <c r="ER172" s="9">
        <f>BP172*'MASTER SHEET'!D172</f>
        <v>0</v>
      </c>
      <c r="ES172" s="9">
        <f>BT172*'MASTER SHEET'!D172</f>
        <v>0</v>
      </c>
      <c r="ET172" s="9">
        <f>BX172*'MASTER SHEET'!D172</f>
        <v>0</v>
      </c>
      <c r="EU172" s="9">
        <f>CB172*'MASTER SHEET'!D172</f>
        <v>0</v>
      </c>
      <c r="EV172" s="9">
        <f>CF172*'MASTER SHEET'!D172</f>
        <v>0</v>
      </c>
      <c r="EW172" s="9">
        <f>CJ172*'MASTER SHEET'!D172</f>
        <v>0</v>
      </c>
      <c r="EX172" s="9">
        <f>CN172*'MASTER SHEET'!D172</f>
        <v>0</v>
      </c>
      <c r="EY172" s="9">
        <f>CV172*'MASTER SHEET'!D172</f>
        <v>0</v>
      </c>
      <c r="EZ172" s="9">
        <f>CV172*'MASTER SHEET'!D172</f>
        <v>0</v>
      </c>
      <c r="FA172" s="9">
        <f>CZ172*'MASTER SHEET'!D172</f>
        <v>0</v>
      </c>
      <c r="FB172" s="9">
        <f>DD172*'MASTER SHEET'!D172</f>
        <v>0</v>
      </c>
      <c r="FC172" s="9">
        <f>DH172*'MASTER SHEET'!D172</f>
        <v>0</v>
      </c>
      <c r="FD172" s="9">
        <f>DL172*'MASTER SHEET'!D172</f>
        <v>0</v>
      </c>
      <c r="FE172" s="9">
        <f>DP172*'MASTER SHEET'!D172</f>
        <v>0</v>
      </c>
      <c r="FF172" s="9">
        <f>DT172*'MASTER SHEET'!D172</f>
        <v>0</v>
      </c>
      <c r="FG172" s="9">
        <f>DX172*'MASTER SHEET'!D172</f>
        <v>0</v>
      </c>
    </row>
    <row r="173" spans="1:163" s="69" customFormat="1" ht="20.25" x14ac:dyDescent="0.25">
      <c r="A173" s="43">
        <f>'MASTER SHEET'!A173</f>
        <v>171</v>
      </c>
      <c r="B173" s="67" t="str">
        <f>'MASTER SHEET'!B173</f>
        <v>W BASE TRIM CLIP</v>
      </c>
      <c r="C173" s="82">
        <f>'MASTER SHEET'!C173</f>
        <v>62802</v>
      </c>
      <c r="D173" s="64"/>
      <c r="E173" s="28"/>
      <c r="F173" s="28"/>
      <c r="G173" s="65"/>
      <c r="H173" s="64">
        <f t="shared" si="106"/>
        <v>0</v>
      </c>
      <c r="I173" s="28"/>
      <c r="J173" s="28"/>
      <c r="K173" s="65"/>
      <c r="L173" s="64">
        <f t="shared" si="107"/>
        <v>0</v>
      </c>
      <c r="M173" s="28"/>
      <c r="N173" s="28"/>
      <c r="O173" s="65"/>
      <c r="P173" s="64">
        <f t="shared" si="108"/>
        <v>0</v>
      </c>
      <c r="Q173" s="28"/>
      <c r="R173" s="28"/>
      <c r="S173" s="65"/>
      <c r="T173" s="64">
        <f t="shared" si="109"/>
        <v>0</v>
      </c>
      <c r="U173" s="28"/>
      <c r="V173" s="28"/>
      <c r="W173" s="65"/>
      <c r="X173" s="64">
        <f t="shared" si="110"/>
        <v>0</v>
      </c>
      <c r="Y173" s="28"/>
      <c r="Z173" s="28"/>
      <c r="AA173" s="65"/>
      <c r="AB173" s="64">
        <f t="shared" si="111"/>
        <v>0</v>
      </c>
      <c r="AC173" s="28"/>
      <c r="AD173" s="28"/>
      <c r="AE173" s="65"/>
      <c r="AF173" s="64">
        <f t="shared" si="112"/>
        <v>0</v>
      </c>
      <c r="AG173" s="28"/>
      <c r="AH173" s="28"/>
      <c r="AI173" s="65"/>
      <c r="AJ173" s="64">
        <f t="shared" si="113"/>
        <v>0</v>
      </c>
      <c r="AK173" s="28"/>
      <c r="AL173" s="28"/>
      <c r="AM173" s="65"/>
      <c r="AN173" s="64">
        <f t="shared" si="114"/>
        <v>0</v>
      </c>
      <c r="AO173" s="28"/>
      <c r="AP173" s="28"/>
      <c r="AQ173" s="65"/>
      <c r="AR173" s="64">
        <f t="shared" si="115"/>
        <v>0</v>
      </c>
      <c r="AS173" s="28"/>
      <c r="AT173" s="28"/>
      <c r="AU173" s="65"/>
      <c r="AV173" s="64">
        <f t="shared" si="116"/>
        <v>0</v>
      </c>
      <c r="AW173" s="28"/>
      <c r="AX173" s="28"/>
      <c r="AY173" s="65"/>
      <c r="AZ173" s="64">
        <f t="shared" si="117"/>
        <v>0</v>
      </c>
      <c r="BA173" s="28"/>
      <c r="BB173" s="28"/>
      <c r="BC173" s="65"/>
      <c r="BD173" s="64">
        <f t="shared" si="118"/>
        <v>0</v>
      </c>
      <c r="BE173" s="28"/>
      <c r="BF173" s="28"/>
      <c r="BG173" s="65"/>
      <c r="BH173" s="64">
        <f t="shared" si="119"/>
        <v>0</v>
      </c>
      <c r="BI173" s="28"/>
      <c r="BJ173" s="28"/>
      <c r="BK173" s="65"/>
      <c r="BL173" s="64">
        <f t="shared" si="120"/>
        <v>0</v>
      </c>
      <c r="BM173" s="28"/>
      <c r="BN173" s="28"/>
      <c r="BO173" s="65"/>
      <c r="BP173" s="64">
        <f t="shared" si="121"/>
        <v>0</v>
      </c>
      <c r="BQ173" s="28"/>
      <c r="BR173" s="28"/>
      <c r="BS173" s="65"/>
      <c r="BT173" s="64">
        <f t="shared" si="122"/>
        <v>0</v>
      </c>
      <c r="BU173" s="28"/>
      <c r="BV173" s="28"/>
      <c r="BW173" s="65"/>
      <c r="BX173" s="64">
        <f t="shared" si="123"/>
        <v>0</v>
      </c>
      <c r="BY173" s="28"/>
      <c r="BZ173" s="28"/>
      <c r="CA173" s="65"/>
      <c r="CB173" s="64">
        <f t="shared" si="124"/>
        <v>0</v>
      </c>
      <c r="CC173" s="28"/>
      <c r="CD173" s="28"/>
      <c r="CE173" s="65"/>
      <c r="CF173" s="64">
        <f t="shared" si="125"/>
        <v>0</v>
      </c>
      <c r="CG173" s="28"/>
      <c r="CH173" s="28"/>
      <c r="CI173" s="65"/>
      <c r="CJ173" s="64">
        <f t="shared" si="126"/>
        <v>0</v>
      </c>
      <c r="CK173" s="28"/>
      <c r="CL173" s="28"/>
      <c r="CM173" s="65"/>
      <c r="CN173" s="64">
        <f t="shared" si="127"/>
        <v>0</v>
      </c>
      <c r="CO173" s="28"/>
      <c r="CP173" s="28"/>
      <c r="CQ173" s="65"/>
      <c r="CR173" s="64">
        <f t="shared" si="128"/>
        <v>0</v>
      </c>
      <c r="CS173" s="28"/>
      <c r="CT173" s="28"/>
      <c r="CU173" s="65"/>
      <c r="CV173" s="64">
        <f t="shared" si="129"/>
        <v>0</v>
      </c>
      <c r="CW173" s="28"/>
      <c r="CX173" s="28"/>
      <c r="CY173" s="65"/>
      <c r="CZ173" s="64">
        <f t="shared" si="130"/>
        <v>0</v>
      </c>
      <c r="DA173" s="28"/>
      <c r="DB173" s="28"/>
      <c r="DC173" s="65"/>
      <c r="DD173" s="64">
        <f t="shared" si="131"/>
        <v>0</v>
      </c>
      <c r="DE173" s="28"/>
      <c r="DF173" s="28"/>
      <c r="DG173" s="65"/>
      <c r="DH173" s="64">
        <f t="shared" si="132"/>
        <v>0</v>
      </c>
      <c r="DI173" s="28"/>
      <c r="DJ173" s="28"/>
      <c r="DK173" s="65"/>
      <c r="DL173" s="64">
        <f t="shared" si="133"/>
        <v>0</v>
      </c>
      <c r="DM173" s="28"/>
      <c r="DN173" s="28"/>
      <c r="DO173" s="65"/>
      <c r="DP173" s="64">
        <f t="shared" si="134"/>
        <v>0</v>
      </c>
      <c r="DQ173" s="28"/>
      <c r="DR173" s="28"/>
      <c r="DS173" s="65"/>
      <c r="DT173" s="64">
        <f t="shared" si="135"/>
        <v>0</v>
      </c>
      <c r="DU173" s="28"/>
      <c r="DV173" s="28"/>
      <c r="DW173" s="65"/>
      <c r="DX173" s="30">
        <f t="shared" si="136"/>
        <v>0</v>
      </c>
      <c r="DY173" s="68"/>
      <c r="DZ173" s="68"/>
      <c r="EA173" s="68"/>
      <c r="EB173" s="9">
        <f>D173*'MASTER SHEET'!D173</f>
        <v>0</v>
      </c>
      <c r="EC173" s="9">
        <f>H173*'MASTER SHEET'!D173</f>
        <v>0</v>
      </c>
      <c r="ED173" s="9">
        <f>L173*'MASTER SHEET'!D173</f>
        <v>0</v>
      </c>
      <c r="EE173" s="9">
        <f>P173*'MASTER SHEET'!D173</f>
        <v>0</v>
      </c>
      <c r="EF173" s="9">
        <f>T173*'MASTER SHEET'!D173</f>
        <v>0</v>
      </c>
      <c r="EG173" s="9">
        <f>X173*'MASTER SHEET'!D173</f>
        <v>0</v>
      </c>
      <c r="EH173" s="9">
        <f>AB173*'MASTER SHEET'!D173</f>
        <v>0</v>
      </c>
      <c r="EI173" s="9">
        <f>AF173*'MASTER SHEET'!D173</f>
        <v>0</v>
      </c>
      <c r="EJ173" s="9">
        <f>AJ173*'MASTER SHEET'!D173</f>
        <v>0</v>
      </c>
      <c r="EK173" s="9">
        <f>AN173*'MASTER SHEET'!D173</f>
        <v>0</v>
      </c>
      <c r="EL173" s="9">
        <f>AR173*'MASTER SHEET'!D173</f>
        <v>0</v>
      </c>
      <c r="EM173" s="9">
        <f>AV173*'MASTER SHEET'!D173</f>
        <v>0</v>
      </c>
      <c r="EN173" s="9">
        <f>AZ173*'MASTER SHEET'!D173</f>
        <v>0</v>
      </c>
      <c r="EO173" s="9">
        <f>BD173*'MASTER SHEET'!D173</f>
        <v>0</v>
      </c>
      <c r="EP173" s="9">
        <f>BH173*'MASTER SHEET'!D173</f>
        <v>0</v>
      </c>
      <c r="EQ173" s="9">
        <f>BL173*'MASTER SHEET'!D173</f>
        <v>0</v>
      </c>
      <c r="ER173" s="9">
        <f>BP173*'MASTER SHEET'!D173</f>
        <v>0</v>
      </c>
      <c r="ES173" s="9">
        <f>BT173*'MASTER SHEET'!D173</f>
        <v>0</v>
      </c>
      <c r="ET173" s="9">
        <f>BX173*'MASTER SHEET'!D173</f>
        <v>0</v>
      </c>
      <c r="EU173" s="9">
        <f>CB173*'MASTER SHEET'!D173</f>
        <v>0</v>
      </c>
      <c r="EV173" s="9">
        <f>CF173*'MASTER SHEET'!D173</f>
        <v>0</v>
      </c>
      <c r="EW173" s="9">
        <f>CJ173*'MASTER SHEET'!D173</f>
        <v>0</v>
      </c>
      <c r="EX173" s="9">
        <f>CN173*'MASTER SHEET'!D173</f>
        <v>0</v>
      </c>
      <c r="EY173" s="9">
        <f>CV173*'MASTER SHEET'!D173</f>
        <v>0</v>
      </c>
      <c r="EZ173" s="9">
        <f>CV173*'MASTER SHEET'!D173</f>
        <v>0</v>
      </c>
      <c r="FA173" s="9">
        <f>CZ173*'MASTER SHEET'!D173</f>
        <v>0</v>
      </c>
      <c r="FB173" s="9">
        <f>DD173*'MASTER SHEET'!D173</f>
        <v>0</v>
      </c>
      <c r="FC173" s="9">
        <f>DH173*'MASTER SHEET'!D173</f>
        <v>0</v>
      </c>
      <c r="FD173" s="9">
        <f>DL173*'MASTER SHEET'!D173</f>
        <v>0</v>
      </c>
      <c r="FE173" s="9">
        <f>DP173*'MASTER SHEET'!D173</f>
        <v>0</v>
      </c>
      <c r="FF173" s="9">
        <f>DT173*'MASTER SHEET'!D173</f>
        <v>0</v>
      </c>
      <c r="FG173" s="9">
        <f>DX173*'MASTER SHEET'!D173</f>
        <v>0</v>
      </c>
    </row>
    <row r="174" spans="1:163" s="69" customFormat="1" ht="20.25" x14ac:dyDescent="0.25">
      <c r="A174" s="43">
        <f>'MASTER SHEET'!A174</f>
        <v>172</v>
      </c>
      <c r="B174" s="67" t="str">
        <f>'MASTER SHEET'!B174</f>
        <v>YOM_YHC_ HRS_KNOB INSERT MOLDING V6N</v>
      </c>
      <c r="C174" s="82" t="str">
        <f>'MASTER SHEET'!C174</f>
        <v>GA00007775</v>
      </c>
      <c r="D174" s="64"/>
      <c r="E174" s="28"/>
      <c r="F174" s="28"/>
      <c r="G174" s="65"/>
      <c r="H174" s="64">
        <f t="shared" si="106"/>
        <v>0</v>
      </c>
      <c r="I174" s="28"/>
      <c r="J174" s="28"/>
      <c r="K174" s="65"/>
      <c r="L174" s="64">
        <f t="shared" si="107"/>
        <v>0</v>
      </c>
      <c r="M174" s="28"/>
      <c r="N174" s="28"/>
      <c r="O174" s="65"/>
      <c r="P174" s="64">
        <f t="shared" si="108"/>
        <v>0</v>
      </c>
      <c r="Q174" s="28"/>
      <c r="R174" s="28"/>
      <c r="S174" s="65"/>
      <c r="T174" s="64">
        <f t="shared" si="109"/>
        <v>0</v>
      </c>
      <c r="U174" s="28"/>
      <c r="V174" s="28"/>
      <c r="W174" s="65"/>
      <c r="X174" s="64">
        <f t="shared" si="110"/>
        <v>0</v>
      </c>
      <c r="Y174" s="28"/>
      <c r="Z174" s="28"/>
      <c r="AA174" s="65"/>
      <c r="AB174" s="64">
        <f t="shared" si="111"/>
        <v>0</v>
      </c>
      <c r="AC174" s="28"/>
      <c r="AD174" s="28"/>
      <c r="AE174" s="65"/>
      <c r="AF174" s="64">
        <f t="shared" si="112"/>
        <v>0</v>
      </c>
      <c r="AG174" s="28"/>
      <c r="AH174" s="28"/>
      <c r="AI174" s="65"/>
      <c r="AJ174" s="64">
        <f t="shared" si="113"/>
        <v>0</v>
      </c>
      <c r="AK174" s="28"/>
      <c r="AL174" s="28"/>
      <c r="AM174" s="65"/>
      <c r="AN174" s="64">
        <f t="shared" si="114"/>
        <v>0</v>
      </c>
      <c r="AO174" s="28"/>
      <c r="AP174" s="28"/>
      <c r="AQ174" s="65"/>
      <c r="AR174" s="64">
        <f t="shared" si="115"/>
        <v>0</v>
      </c>
      <c r="AS174" s="28"/>
      <c r="AT174" s="28"/>
      <c r="AU174" s="65"/>
      <c r="AV174" s="64">
        <f t="shared" si="116"/>
        <v>0</v>
      </c>
      <c r="AW174" s="28"/>
      <c r="AX174" s="28"/>
      <c r="AY174" s="65"/>
      <c r="AZ174" s="64">
        <f t="shared" si="117"/>
        <v>0</v>
      </c>
      <c r="BA174" s="28"/>
      <c r="BB174" s="28"/>
      <c r="BC174" s="65"/>
      <c r="BD174" s="64">
        <f t="shared" si="118"/>
        <v>0</v>
      </c>
      <c r="BE174" s="28"/>
      <c r="BF174" s="28"/>
      <c r="BG174" s="65"/>
      <c r="BH174" s="64">
        <f t="shared" si="119"/>
        <v>0</v>
      </c>
      <c r="BI174" s="28"/>
      <c r="BJ174" s="28"/>
      <c r="BK174" s="65"/>
      <c r="BL174" s="64">
        <f t="shared" si="120"/>
        <v>0</v>
      </c>
      <c r="BM174" s="28"/>
      <c r="BN174" s="28"/>
      <c r="BO174" s="65"/>
      <c r="BP174" s="64">
        <f t="shared" si="121"/>
        <v>0</v>
      </c>
      <c r="BQ174" s="28"/>
      <c r="BR174" s="28"/>
      <c r="BS174" s="65"/>
      <c r="BT174" s="64">
        <f t="shared" si="122"/>
        <v>0</v>
      </c>
      <c r="BU174" s="28"/>
      <c r="BV174" s="28"/>
      <c r="BW174" s="65"/>
      <c r="BX174" s="64">
        <f t="shared" si="123"/>
        <v>0</v>
      </c>
      <c r="BY174" s="28"/>
      <c r="BZ174" s="28"/>
      <c r="CA174" s="65"/>
      <c r="CB174" s="64">
        <f t="shared" si="124"/>
        <v>0</v>
      </c>
      <c r="CC174" s="28"/>
      <c r="CD174" s="28"/>
      <c r="CE174" s="65"/>
      <c r="CF174" s="64">
        <f t="shared" si="125"/>
        <v>0</v>
      </c>
      <c r="CG174" s="28"/>
      <c r="CH174" s="28"/>
      <c r="CI174" s="65"/>
      <c r="CJ174" s="64">
        <f t="shared" si="126"/>
        <v>0</v>
      </c>
      <c r="CK174" s="28"/>
      <c r="CL174" s="28"/>
      <c r="CM174" s="65"/>
      <c r="CN174" s="64">
        <f t="shared" si="127"/>
        <v>0</v>
      </c>
      <c r="CO174" s="28"/>
      <c r="CP174" s="28"/>
      <c r="CQ174" s="65"/>
      <c r="CR174" s="64">
        <f t="shared" si="128"/>
        <v>0</v>
      </c>
      <c r="CS174" s="28"/>
      <c r="CT174" s="28"/>
      <c r="CU174" s="65"/>
      <c r="CV174" s="64">
        <f t="shared" si="129"/>
        <v>0</v>
      </c>
      <c r="CW174" s="28"/>
      <c r="CX174" s="28"/>
      <c r="CY174" s="65"/>
      <c r="CZ174" s="64">
        <f t="shared" si="130"/>
        <v>0</v>
      </c>
      <c r="DA174" s="28"/>
      <c r="DB174" s="28"/>
      <c r="DC174" s="65"/>
      <c r="DD174" s="64">
        <f t="shared" si="131"/>
        <v>0</v>
      </c>
      <c r="DE174" s="28"/>
      <c r="DF174" s="28"/>
      <c r="DG174" s="65"/>
      <c r="DH174" s="64">
        <f t="shared" si="132"/>
        <v>0</v>
      </c>
      <c r="DI174" s="28"/>
      <c r="DJ174" s="28"/>
      <c r="DK174" s="65"/>
      <c r="DL174" s="64">
        <f t="shared" si="133"/>
        <v>0</v>
      </c>
      <c r="DM174" s="28"/>
      <c r="DN174" s="28"/>
      <c r="DO174" s="65"/>
      <c r="DP174" s="64">
        <f t="shared" si="134"/>
        <v>0</v>
      </c>
      <c r="DQ174" s="28"/>
      <c r="DR174" s="28"/>
      <c r="DS174" s="65"/>
      <c r="DT174" s="64">
        <f t="shared" si="135"/>
        <v>0</v>
      </c>
      <c r="DU174" s="28"/>
      <c r="DV174" s="28"/>
      <c r="DW174" s="65"/>
      <c r="DX174" s="30">
        <f t="shared" si="136"/>
        <v>0</v>
      </c>
      <c r="DY174" s="68"/>
      <c r="DZ174" s="68"/>
      <c r="EA174" s="68"/>
      <c r="EB174" s="9">
        <f>D174*'MASTER SHEET'!D174</f>
        <v>0</v>
      </c>
      <c r="EC174" s="9">
        <f>H174*'MASTER SHEET'!D174</f>
        <v>0</v>
      </c>
      <c r="ED174" s="9">
        <f>L174*'MASTER SHEET'!D174</f>
        <v>0</v>
      </c>
      <c r="EE174" s="9">
        <f>P174*'MASTER SHEET'!D174</f>
        <v>0</v>
      </c>
      <c r="EF174" s="9">
        <f>T174*'MASTER SHEET'!D174</f>
        <v>0</v>
      </c>
      <c r="EG174" s="9">
        <f>X174*'MASTER SHEET'!D174</f>
        <v>0</v>
      </c>
      <c r="EH174" s="9">
        <f>AB174*'MASTER SHEET'!D174</f>
        <v>0</v>
      </c>
      <c r="EI174" s="9">
        <f>AF174*'MASTER SHEET'!D174</f>
        <v>0</v>
      </c>
      <c r="EJ174" s="9">
        <f>AJ174*'MASTER SHEET'!D174</f>
        <v>0</v>
      </c>
      <c r="EK174" s="9">
        <f>AN174*'MASTER SHEET'!D174</f>
        <v>0</v>
      </c>
      <c r="EL174" s="9">
        <f>AR174*'MASTER SHEET'!D174</f>
        <v>0</v>
      </c>
      <c r="EM174" s="9">
        <f>AV174*'MASTER SHEET'!D174</f>
        <v>0</v>
      </c>
      <c r="EN174" s="9">
        <f>AZ174*'MASTER SHEET'!D174</f>
        <v>0</v>
      </c>
      <c r="EO174" s="9">
        <f>BD174*'MASTER SHEET'!D174</f>
        <v>0</v>
      </c>
      <c r="EP174" s="9">
        <f>BH174*'MASTER SHEET'!D174</f>
        <v>0</v>
      </c>
      <c r="EQ174" s="9">
        <f>BL174*'MASTER SHEET'!D174</f>
        <v>0</v>
      </c>
      <c r="ER174" s="9">
        <f>BP174*'MASTER SHEET'!D174</f>
        <v>0</v>
      </c>
      <c r="ES174" s="9">
        <f>BT174*'MASTER SHEET'!D174</f>
        <v>0</v>
      </c>
      <c r="ET174" s="9">
        <f>BX174*'MASTER SHEET'!D174</f>
        <v>0</v>
      </c>
      <c r="EU174" s="9">
        <f>CB174*'MASTER SHEET'!D174</f>
        <v>0</v>
      </c>
      <c r="EV174" s="9">
        <f>CF174*'MASTER SHEET'!D174</f>
        <v>0</v>
      </c>
      <c r="EW174" s="9">
        <f>CJ174*'MASTER SHEET'!D174</f>
        <v>0</v>
      </c>
      <c r="EX174" s="9">
        <f>CN174*'MASTER SHEET'!D174</f>
        <v>0</v>
      </c>
      <c r="EY174" s="9">
        <f>CV174*'MASTER SHEET'!D174</f>
        <v>0</v>
      </c>
      <c r="EZ174" s="9">
        <f>CV174*'MASTER SHEET'!D174</f>
        <v>0</v>
      </c>
      <c r="FA174" s="9">
        <f>CZ174*'MASTER SHEET'!D174</f>
        <v>0</v>
      </c>
      <c r="FB174" s="9">
        <f>DD174*'MASTER SHEET'!D174</f>
        <v>0</v>
      </c>
      <c r="FC174" s="9">
        <f>DH174*'MASTER SHEET'!D174</f>
        <v>0</v>
      </c>
      <c r="FD174" s="9">
        <f>DL174*'MASTER SHEET'!D174</f>
        <v>0</v>
      </c>
      <c r="FE174" s="9">
        <f>DP174*'MASTER SHEET'!D174</f>
        <v>0</v>
      </c>
      <c r="FF174" s="9">
        <f>DT174*'MASTER SHEET'!D174</f>
        <v>0</v>
      </c>
      <c r="FG174" s="9">
        <f>DX174*'MASTER SHEET'!D174</f>
        <v>0</v>
      </c>
    </row>
    <row r="175" spans="1:163" s="69" customFormat="1" ht="20.25" x14ac:dyDescent="0.25">
      <c r="A175" s="43">
        <f>'MASTER SHEET'!A175</f>
        <v>173</v>
      </c>
      <c r="B175" s="67" t="str">
        <f>'MASTER SHEET'!B175</f>
        <v>CLAMP ASSY_3 WAY MODULAR</v>
      </c>
      <c r="C175" s="82">
        <f>'MASTER SHEET'!C175</f>
        <v>65062</v>
      </c>
      <c r="D175" s="64"/>
      <c r="E175" s="28"/>
      <c r="F175" s="28"/>
      <c r="G175" s="65"/>
      <c r="H175" s="64">
        <f t="shared" si="106"/>
        <v>0</v>
      </c>
      <c r="I175" s="28"/>
      <c r="J175" s="28"/>
      <c r="K175" s="65"/>
      <c r="L175" s="64">
        <f t="shared" si="107"/>
        <v>0</v>
      </c>
      <c r="M175" s="28"/>
      <c r="N175" s="28"/>
      <c r="O175" s="65"/>
      <c r="P175" s="64">
        <f t="shared" si="108"/>
        <v>0</v>
      </c>
      <c r="Q175" s="28"/>
      <c r="R175" s="28"/>
      <c r="S175" s="65"/>
      <c r="T175" s="64">
        <f t="shared" si="109"/>
        <v>0</v>
      </c>
      <c r="U175" s="28"/>
      <c r="V175" s="28"/>
      <c r="W175" s="65"/>
      <c r="X175" s="64">
        <f t="shared" si="110"/>
        <v>0</v>
      </c>
      <c r="Y175" s="28"/>
      <c r="Z175" s="28"/>
      <c r="AA175" s="65"/>
      <c r="AB175" s="64">
        <f t="shared" si="111"/>
        <v>0</v>
      </c>
      <c r="AC175" s="28"/>
      <c r="AD175" s="28"/>
      <c r="AE175" s="65"/>
      <c r="AF175" s="64">
        <f t="shared" si="112"/>
        <v>0</v>
      </c>
      <c r="AG175" s="28"/>
      <c r="AH175" s="28"/>
      <c r="AI175" s="65"/>
      <c r="AJ175" s="64">
        <f t="shared" si="113"/>
        <v>0</v>
      </c>
      <c r="AK175" s="28"/>
      <c r="AL175" s="28"/>
      <c r="AM175" s="65"/>
      <c r="AN175" s="64">
        <f t="shared" si="114"/>
        <v>0</v>
      </c>
      <c r="AO175" s="28"/>
      <c r="AP175" s="28"/>
      <c r="AQ175" s="65"/>
      <c r="AR175" s="64">
        <f t="shared" si="115"/>
        <v>0</v>
      </c>
      <c r="AS175" s="28"/>
      <c r="AT175" s="28"/>
      <c r="AU175" s="65"/>
      <c r="AV175" s="64">
        <f t="shared" si="116"/>
        <v>0</v>
      </c>
      <c r="AW175" s="28"/>
      <c r="AX175" s="28"/>
      <c r="AY175" s="65"/>
      <c r="AZ175" s="64">
        <f t="shared" si="117"/>
        <v>0</v>
      </c>
      <c r="BA175" s="28"/>
      <c r="BB175" s="28"/>
      <c r="BC175" s="65"/>
      <c r="BD175" s="64">
        <f t="shared" si="118"/>
        <v>0</v>
      </c>
      <c r="BE175" s="28"/>
      <c r="BF175" s="28"/>
      <c r="BG175" s="65"/>
      <c r="BH175" s="64">
        <f t="shared" si="119"/>
        <v>0</v>
      </c>
      <c r="BI175" s="28"/>
      <c r="BJ175" s="28"/>
      <c r="BK175" s="65"/>
      <c r="BL175" s="64">
        <f t="shared" si="120"/>
        <v>0</v>
      </c>
      <c r="BM175" s="28"/>
      <c r="BN175" s="28"/>
      <c r="BO175" s="65"/>
      <c r="BP175" s="64">
        <f t="shared" si="121"/>
        <v>0</v>
      </c>
      <c r="BQ175" s="28"/>
      <c r="BR175" s="28"/>
      <c r="BS175" s="65"/>
      <c r="BT175" s="64">
        <f t="shared" si="122"/>
        <v>0</v>
      </c>
      <c r="BU175" s="28"/>
      <c r="BV175" s="28"/>
      <c r="BW175" s="65"/>
      <c r="BX175" s="64">
        <f t="shared" si="123"/>
        <v>0</v>
      </c>
      <c r="BY175" s="28"/>
      <c r="BZ175" s="28"/>
      <c r="CA175" s="65"/>
      <c r="CB175" s="64">
        <f t="shared" si="124"/>
        <v>0</v>
      </c>
      <c r="CC175" s="28"/>
      <c r="CD175" s="28"/>
      <c r="CE175" s="65"/>
      <c r="CF175" s="64">
        <f t="shared" si="125"/>
        <v>0</v>
      </c>
      <c r="CG175" s="28"/>
      <c r="CH175" s="28"/>
      <c r="CI175" s="65"/>
      <c r="CJ175" s="64">
        <f t="shared" si="126"/>
        <v>0</v>
      </c>
      <c r="CK175" s="28"/>
      <c r="CL175" s="28"/>
      <c r="CM175" s="65"/>
      <c r="CN175" s="64">
        <f t="shared" si="127"/>
        <v>0</v>
      </c>
      <c r="CO175" s="28"/>
      <c r="CP175" s="28"/>
      <c r="CQ175" s="65"/>
      <c r="CR175" s="64">
        <f t="shared" si="128"/>
        <v>0</v>
      </c>
      <c r="CS175" s="28"/>
      <c r="CT175" s="28"/>
      <c r="CU175" s="65"/>
      <c r="CV175" s="64">
        <f t="shared" si="129"/>
        <v>0</v>
      </c>
      <c r="CW175" s="28"/>
      <c r="CX175" s="28"/>
      <c r="CY175" s="65"/>
      <c r="CZ175" s="64">
        <f t="shared" si="130"/>
        <v>0</v>
      </c>
      <c r="DA175" s="28"/>
      <c r="DB175" s="28"/>
      <c r="DC175" s="65"/>
      <c r="DD175" s="64">
        <f t="shared" si="131"/>
        <v>0</v>
      </c>
      <c r="DE175" s="28"/>
      <c r="DF175" s="28"/>
      <c r="DG175" s="65"/>
      <c r="DH175" s="64">
        <f t="shared" si="132"/>
        <v>0</v>
      </c>
      <c r="DI175" s="28"/>
      <c r="DJ175" s="28"/>
      <c r="DK175" s="65"/>
      <c r="DL175" s="64">
        <f t="shared" si="133"/>
        <v>0</v>
      </c>
      <c r="DM175" s="28"/>
      <c r="DN175" s="28"/>
      <c r="DO175" s="65"/>
      <c r="DP175" s="64">
        <f t="shared" si="134"/>
        <v>0</v>
      </c>
      <c r="DQ175" s="28"/>
      <c r="DR175" s="28"/>
      <c r="DS175" s="65"/>
      <c r="DT175" s="64">
        <f t="shared" si="135"/>
        <v>0</v>
      </c>
      <c r="DU175" s="28"/>
      <c r="DV175" s="28"/>
      <c r="DW175" s="65"/>
      <c r="DX175" s="30">
        <f t="shared" si="136"/>
        <v>0</v>
      </c>
      <c r="DY175" s="68"/>
      <c r="DZ175" s="68"/>
      <c r="EA175" s="68"/>
      <c r="EB175" s="9">
        <f>D175*'MASTER SHEET'!D175</f>
        <v>0</v>
      </c>
      <c r="EC175" s="9">
        <f>H175*'MASTER SHEET'!D175</f>
        <v>0</v>
      </c>
      <c r="ED175" s="9">
        <f>L175*'MASTER SHEET'!D175</f>
        <v>0</v>
      </c>
      <c r="EE175" s="9">
        <f>P175*'MASTER SHEET'!D175</f>
        <v>0</v>
      </c>
      <c r="EF175" s="9">
        <f>T175*'MASTER SHEET'!D175</f>
        <v>0</v>
      </c>
      <c r="EG175" s="9">
        <f>X175*'MASTER SHEET'!D175</f>
        <v>0</v>
      </c>
      <c r="EH175" s="9">
        <f>AB175*'MASTER SHEET'!D175</f>
        <v>0</v>
      </c>
      <c r="EI175" s="9">
        <f>AF175*'MASTER SHEET'!D175</f>
        <v>0</v>
      </c>
      <c r="EJ175" s="9">
        <f>AJ175*'MASTER SHEET'!D175</f>
        <v>0</v>
      </c>
      <c r="EK175" s="9">
        <f>AN175*'MASTER SHEET'!D175</f>
        <v>0</v>
      </c>
      <c r="EL175" s="9">
        <f>AR175*'MASTER SHEET'!D175</f>
        <v>0</v>
      </c>
      <c r="EM175" s="9">
        <f>AV175*'MASTER SHEET'!D175</f>
        <v>0</v>
      </c>
      <c r="EN175" s="9">
        <f>AZ175*'MASTER SHEET'!D175</f>
        <v>0</v>
      </c>
      <c r="EO175" s="9">
        <f>BD175*'MASTER SHEET'!D175</f>
        <v>0</v>
      </c>
      <c r="EP175" s="9">
        <f>BH175*'MASTER SHEET'!D175</f>
        <v>0</v>
      </c>
      <c r="EQ175" s="9">
        <f>BL175*'MASTER SHEET'!D175</f>
        <v>0</v>
      </c>
      <c r="ER175" s="9">
        <f>BP175*'MASTER SHEET'!D175</f>
        <v>0</v>
      </c>
      <c r="ES175" s="9">
        <f>BT175*'MASTER SHEET'!D175</f>
        <v>0</v>
      </c>
      <c r="ET175" s="9">
        <f>BX175*'MASTER SHEET'!D175</f>
        <v>0</v>
      </c>
      <c r="EU175" s="9">
        <f>CB175*'MASTER SHEET'!D175</f>
        <v>0</v>
      </c>
      <c r="EV175" s="9">
        <f>CF175*'MASTER SHEET'!D175</f>
        <v>0</v>
      </c>
      <c r="EW175" s="9">
        <f>CJ175*'MASTER SHEET'!D175</f>
        <v>0</v>
      </c>
      <c r="EX175" s="9">
        <f>CN175*'MASTER SHEET'!D175</f>
        <v>0</v>
      </c>
      <c r="EY175" s="9">
        <f>CV175*'MASTER SHEET'!D175</f>
        <v>0</v>
      </c>
      <c r="EZ175" s="9">
        <f>CV175*'MASTER SHEET'!D175</f>
        <v>0</v>
      </c>
      <c r="FA175" s="9">
        <f>CZ175*'MASTER SHEET'!D175</f>
        <v>0</v>
      </c>
      <c r="FB175" s="9">
        <f>DD175*'MASTER SHEET'!D175</f>
        <v>0</v>
      </c>
      <c r="FC175" s="9">
        <f>DH175*'MASTER SHEET'!D175</f>
        <v>0</v>
      </c>
      <c r="FD175" s="9">
        <f>DL175*'MASTER SHEET'!D175</f>
        <v>0</v>
      </c>
      <c r="FE175" s="9">
        <f>DP175*'MASTER SHEET'!D175</f>
        <v>0</v>
      </c>
      <c r="FF175" s="9">
        <f>DT175*'MASTER SHEET'!D175</f>
        <v>0</v>
      </c>
      <c r="FG175" s="9">
        <f>DX175*'MASTER SHEET'!D175</f>
        <v>0</v>
      </c>
    </row>
    <row r="176" spans="1:163" s="69" customFormat="1" ht="20.25" x14ac:dyDescent="0.25">
      <c r="A176" s="43">
        <f>'MASTER SHEET'!A176</f>
        <v>174</v>
      </c>
      <c r="B176" s="67" t="str">
        <f>'MASTER SHEET'!B176</f>
        <v>CLAMP</v>
      </c>
      <c r="C176" s="82">
        <f>'MASTER SHEET'!C176</f>
        <v>65060</v>
      </c>
      <c r="D176" s="64"/>
      <c r="E176" s="28"/>
      <c r="F176" s="28"/>
      <c r="G176" s="65"/>
      <c r="H176" s="64">
        <f t="shared" si="106"/>
        <v>0</v>
      </c>
      <c r="I176" s="28"/>
      <c r="J176" s="28"/>
      <c r="K176" s="65"/>
      <c r="L176" s="64">
        <f t="shared" si="107"/>
        <v>0</v>
      </c>
      <c r="M176" s="28"/>
      <c r="N176" s="28"/>
      <c r="O176" s="65"/>
      <c r="P176" s="64">
        <f t="shared" si="108"/>
        <v>0</v>
      </c>
      <c r="Q176" s="28"/>
      <c r="R176" s="28"/>
      <c r="S176" s="65"/>
      <c r="T176" s="64">
        <f t="shared" si="109"/>
        <v>0</v>
      </c>
      <c r="U176" s="28"/>
      <c r="V176" s="28"/>
      <c r="W176" s="65"/>
      <c r="X176" s="64">
        <f t="shared" si="110"/>
        <v>0</v>
      </c>
      <c r="Y176" s="28"/>
      <c r="Z176" s="28"/>
      <c r="AA176" s="65"/>
      <c r="AB176" s="64">
        <f t="shared" si="111"/>
        <v>0</v>
      </c>
      <c r="AC176" s="28"/>
      <c r="AD176" s="28"/>
      <c r="AE176" s="65"/>
      <c r="AF176" s="64">
        <f t="shared" si="112"/>
        <v>0</v>
      </c>
      <c r="AG176" s="28"/>
      <c r="AH176" s="28"/>
      <c r="AI176" s="65"/>
      <c r="AJ176" s="64">
        <f t="shared" si="113"/>
        <v>0</v>
      </c>
      <c r="AK176" s="28"/>
      <c r="AL176" s="28"/>
      <c r="AM176" s="65"/>
      <c r="AN176" s="64">
        <f t="shared" si="114"/>
        <v>0</v>
      </c>
      <c r="AO176" s="28"/>
      <c r="AP176" s="28"/>
      <c r="AQ176" s="65"/>
      <c r="AR176" s="64">
        <f t="shared" si="115"/>
        <v>0</v>
      </c>
      <c r="AS176" s="28"/>
      <c r="AT176" s="28"/>
      <c r="AU176" s="65"/>
      <c r="AV176" s="64">
        <f t="shared" si="116"/>
        <v>0</v>
      </c>
      <c r="AW176" s="28"/>
      <c r="AX176" s="28"/>
      <c r="AY176" s="65"/>
      <c r="AZ176" s="64">
        <f t="shared" si="117"/>
        <v>0</v>
      </c>
      <c r="BA176" s="28"/>
      <c r="BB176" s="28"/>
      <c r="BC176" s="65"/>
      <c r="BD176" s="64">
        <f t="shared" si="118"/>
        <v>0</v>
      </c>
      <c r="BE176" s="28"/>
      <c r="BF176" s="28"/>
      <c r="BG176" s="65"/>
      <c r="BH176" s="64">
        <f t="shared" si="119"/>
        <v>0</v>
      </c>
      <c r="BI176" s="28"/>
      <c r="BJ176" s="28"/>
      <c r="BK176" s="65"/>
      <c r="BL176" s="64">
        <f t="shared" si="120"/>
        <v>0</v>
      </c>
      <c r="BM176" s="28"/>
      <c r="BN176" s="28"/>
      <c r="BO176" s="65"/>
      <c r="BP176" s="64">
        <f t="shared" si="121"/>
        <v>0</v>
      </c>
      <c r="BQ176" s="28"/>
      <c r="BR176" s="28"/>
      <c r="BS176" s="65"/>
      <c r="BT176" s="64">
        <f t="shared" si="122"/>
        <v>0</v>
      </c>
      <c r="BU176" s="28"/>
      <c r="BV176" s="28"/>
      <c r="BW176" s="65"/>
      <c r="BX176" s="64">
        <f t="shared" si="123"/>
        <v>0</v>
      </c>
      <c r="BY176" s="28"/>
      <c r="BZ176" s="28"/>
      <c r="CA176" s="65"/>
      <c r="CB176" s="64">
        <f t="shared" si="124"/>
        <v>0</v>
      </c>
      <c r="CC176" s="28"/>
      <c r="CD176" s="28"/>
      <c r="CE176" s="65"/>
      <c r="CF176" s="64">
        <f t="shared" si="125"/>
        <v>0</v>
      </c>
      <c r="CG176" s="28"/>
      <c r="CH176" s="28"/>
      <c r="CI176" s="65"/>
      <c r="CJ176" s="64">
        <f t="shared" si="126"/>
        <v>0</v>
      </c>
      <c r="CK176" s="28"/>
      <c r="CL176" s="28"/>
      <c r="CM176" s="65"/>
      <c r="CN176" s="64">
        <f t="shared" si="127"/>
        <v>0</v>
      </c>
      <c r="CO176" s="28"/>
      <c r="CP176" s="28"/>
      <c r="CQ176" s="65"/>
      <c r="CR176" s="64">
        <f t="shared" si="128"/>
        <v>0</v>
      </c>
      <c r="CS176" s="28"/>
      <c r="CT176" s="28"/>
      <c r="CU176" s="65"/>
      <c r="CV176" s="64">
        <f t="shared" si="129"/>
        <v>0</v>
      </c>
      <c r="CW176" s="28"/>
      <c r="CX176" s="28"/>
      <c r="CY176" s="65"/>
      <c r="CZ176" s="64">
        <f t="shared" si="130"/>
        <v>0</v>
      </c>
      <c r="DA176" s="28"/>
      <c r="DB176" s="28"/>
      <c r="DC176" s="65"/>
      <c r="DD176" s="64">
        <f t="shared" si="131"/>
        <v>0</v>
      </c>
      <c r="DE176" s="28"/>
      <c r="DF176" s="28"/>
      <c r="DG176" s="65"/>
      <c r="DH176" s="64">
        <f t="shared" si="132"/>
        <v>0</v>
      </c>
      <c r="DI176" s="28"/>
      <c r="DJ176" s="28"/>
      <c r="DK176" s="65"/>
      <c r="DL176" s="64">
        <f t="shared" si="133"/>
        <v>0</v>
      </c>
      <c r="DM176" s="28"/>
      <c r="DN176" s="28"/>
      <c r="DO176" s="65"/>
      <c r="DP176" s="64">
        <f t="shared" si="134"/>
        <v>0</v>
      </c>
      <c r="DQ176" s="28"/>
      <c r="DR176" s="28"/>
      <c r="DS176" s="65"/>
      <c r="DT176" s="64">
        <f t="shared" si="135"/>
        <v>0</v>
      </c>
      <c r="DU176" s="28"/>
      <c r="DV176" s="28"/>
      <c r="DW176" s="65"/>
      <c r="DX176" s="30">
        <f t="shared" si="136"/>
        <v>0</v>
      </c>
      <c r="DY176" s="68"/>
      <c r="DZ176" s="68"/>
      <c r="EA176" s="68"/>
      <c r="EB176" s="9">
        <f>D176*'MASTER SHEET'!D176</f>
        <v>0</v>
      </c>
      <c r="EC176" s="9">
        <f>H176*'MASTER SHEET'!D176</f>
        <v>0</v>
      </c>
      <c r="ED176" s="9">
        <f>L176*'MASTER SHEET'!D176</f>
        <v>0</v>
      </c>
      <c r="EE176" s="9">
        <f>P176*'MASTER SHEET'!D176</f>
        <v>0</v>
      </c>
      <c r="EF176" s="9">
        <f>T176*'MASTER SHEET'!D176</f>
        <v>0</v>
      </c>
      <c r="EG176" s="9">
        <f>X176*'MASTER SHEET'!D176</f>
        <v>0</v>
      </c>
      <c r="EH176" s="9">
        <f>AB176*'MASTER SHEET'!D176</f>
        <v>0</v>
      </c>
      <c r="EI176" s="9">
        <f>AF176*'MASTER SHEET'!D176</f>
        <v>0</v>
      </c>
      <c r="EJ176" s="9">
        <f>AJ176*'MASTER SHEET'!D176</f>
        <v>0</v>
      </c>
      <c r="EK176" s="9">
        <f>AN176*'MASTER SHEET'!D176</f>
        <v>0</v>
      </c>
      <c r="EL176" s="9">
        <f>AR176*'MASTER SHEET'!D176</f>
        <v>0</v>
      </c>
      <c r="EM176" s="9">
        <f>AV176*'MASTER SHEET'!D176</f>
        <v>0</v>
      </c>
      <c r="EN176" s="9">
        <f>AZ176*'MASTER SHEET'!D176</f>
        <v>0</v>
      </c>
      <c r="EO176" s="9">
        <f>BD176*'MASTER SHEET'!D176</f>
        <v>0</v>
      </c>
      <c r="EP176" s="9">
        <f>BH176*'MASTER SHEET'!D176</f>
        <v>0</v>
      </c>
      <c r="EQ176" s="9">
        <f>BL176*'MASTER SHEET'!D176</f>
        <v>0</v>
      </c>
      <c r="ER176" s="9">
        <f>BP176*'MASTER SHEET'!D176</f>
        <v>0</v>
      </c>
      <c r="ES176" s="9">
        <f>BT176*'MASTER SHEET'!D176</f>
        <v>0</v>
      </c>
      <c r="ET176" s="9">
        <f>BX176*'MASTER SHEET'!D176</f>
        <v>0</v>
      </c>
      <c r="EU176" s="9">
        <f>CB176*'MASTER SHEET'!D176</f>
        <v>0</v>
      </c>
      <c r="EV176" s="9">
        <f>CF176*'MASTER SHEET'!D176</f>
        <v>0</v>
      </c>
      <c r="EW176" s="9">
        <f>CJ176*'MASTER SHEET'!D176</f>
        <v>0</v>
      </c>
      <c r="EX176" s="9">
        <f>CN176*'MASTER SHEET'!D176</f>
        <v>0</v>
      </c>
      <c r="EY176" s="9">
        <f>CV176*'MASTER SHEET'!D176</f>
        <v>0</v>
      </c>
      <c r="EZ176" s="9">
        <f>CV176*'MASTER SHEET'!D176</f>
        <v>0</v>
      </c>
      <c r="FA176" s="9">
        <f>CZ176*'MASTER SHEET'!D176</f>
        <v>0</v>
      </c>
      <c r="FB176" s="9">
        <f>DD176*'MASTER SHEET'!D176</f>
        <v>0</v>
      </c>
      <c r="FC176" s="9">
        <f>DH176*'MASTER SHEET'!D176</f>
        <v>0</v>
      </c>
      <c r="FD176" s="9">
        <f>DL176*'MASTER SHEET'!D176</f>
        <v>0</v>
      </c>
      <c r="FE176" s="9">
        <f>DP176*'MASTER SHEET'!D176</f>
        <v>0</v>
      </c>
      <c r="FF176" s="9">
        <f>DT176*'MASTER SHEET'!D176</f>
        <v>0</v>
      </c>
      <c r="FG176" s="9">
        <f>DX176*'MASTER SHEET'!D176</f>
        <v>0</v>
      </c>
    </row>
    <row r="177" spans="1:163" s="69" customFormat="1" ht="20.25" x14ac:dyDescent="0.25">
      <c r="A177" s="43">
        <f>'MASTER SHEET'!A177</f>
        <v>175</v>
      </c>
      <c r="B177" s="67" t="str">
        <f>'MASTER SHEET'!B177</f>
        <v>CLAMP</v>
      </c>
      <c r="C177" s="82">
        <f>'MASTER SHEET'!C177</f>
        <v>65061</v>
      </c>
      <c r="D177" s="64"/>
      <c r="E177" s="28"/>
      <c r="F177" s="28"/>
      <c r="G177" s="65"/>
      <c r="H177" s="64">
        <f t="shared" si="106"/>
        <v>0</v>
      </c>
      <c r="I177" s="28"/>
      <c r="J177" s="28"/>
      <c r="K177" s="65"/>
      <c r="L177" s="64">
        <f t="shared" si="107"/>
        <v>0</v>
      </c>
      <c r="M177" s="28"/>
      <c r="N177" s="28"/>
      <c r="O177" s="65"/>
      <c r="P177" s="64">
        <f t="shared" si="108"/>
        <v>0</v>
      </c>
      <c r="Q177" s="28"/>
      <c r="R177" s="28"/>
      <c r="S177" s="65"/>
      <c r="T177" s="64">
        <f t="shared" si="109"/>
        <v>0</v>
      </c>
      <c r="U177" s="28"/>
      <c r="V177" s="28"/>
      <c r="W177" s="65"/>
      <c r="X177" s="64">
        <f t="shared" si="110"/>
        <v>0</v>
      </c>
      <c r="Y177" s="28"/>
      <c r="Z177" s="28"/>
      <c r="AA177" s="65"/>
      <c r="AB177" s="64">
        <f t="shared" si="111"/>
        <v>0</v>
      </c>
      <c r="AC177" s="28"/>
      <c r="AD177" s="28"/>
      <c r="AE177" s="65"/>
      <c r="AF177" s="64">
        <f t="shared" si="112"/>
        <v>0</v>
      </c>
      <c r="AG177" s="28"/>
      <c r="AH177" s="28"/>
      <c r="AI177" s="65"/>
      <c r="AJ177" s="64">
        <f t="shared" si="113"/>
        <v>0</v>
      </c>
      <c r="AK177" s="28"/>
      <c r="AL177" s="28"/>
      <c r="AM177" s="65"/>
      <c r="AN177" s="64">
        <f t="shared" si="114"/>
        <v>0</v>
      </c>
      <c r="AO177" s="28"/>
      <c r="AP177" s="28"/>
      <c r="AQ177" s="65"/>
      <c r="AR177" s="64">
        <f t="shared" si="115"/>
        <v>0</v>
      </c>
      <c r="AS177" s="28"/>
      <c r="AT177" s="28"/>
      <c r="AU177" s="65"/>
      <c r="AV177" s="64">
        <f t="shared" si="116"/>
        <v>0</v>
      </c>
      <c r="AW177" s="28"/>
      <c r="AX177" s="28"/>
      <c r="AY177" s="65"/>
      <c r="AZ177" s="64">
        <f t="shared" si="117"/>
        <v>0</v>
      </c>
      <c r="BA177" s="28"/>
      <c r="BB177" s="28"/>
      <c r="BC177" s="65"/>
      <c r="BD177" s="64">
        <f t="shared" si="118"/>
        <v>0</v>
      </c>
      <c r="BE177" s="28"/>
      <c r="BF177" s="28"/>
      <c r="BG177" s="65"/>
      <c r="BH177" s="64">
        <f t="shared" si="119"/>
        <v>0</v>
      </c>
      <c r="BI177" s="28"/>
      <c r="BJ177" s="28"/>
      <c r="BK177" s="65"/>
      <c r="BL177" s="64">
        <f t="shared" si="120"/>
        <v>0</v>
      </c>
      <c r="BM177" s="28"/>
      <c r="BN177" s="28"/>
      <c r="BO177" s="65"/>
      <c r="BP177" s="64">
        <f t="shared" si="121"/>
        <v>0</v>
      </c>
      <c r="BQ177" s="28"/>
      <c r="BR177" s="28"/>
      <c r="BS177" s="65"/>
      <c r="BT177" s="64">
        <f t="shared" si="122"/>
        <v>0</v>
      </c>
      <c r="BU177" s="28"/>
      <c r="BV177" s="28"/>
      <c r="BW177" s="65"/>
      <c r="BX177" s="64">
        <f t="shared" si="123"/>
        <v>0</v>
      </c>
      <c r="BY177" s="28"/>
      <c r="BZ177" s="28"/>
      <c r="CA177" s="65"/>
      <c r="CB177" s="64">
        <f t="shared" si="124"/>
        <v>0</v>
      </c>
      <c r="CC177" s="28"/>
      <c r="CD177" s="28"/>
      <c r="CE177" s="65"/>
      <c r="CF177" s="64">
        <f t="shared" si="125"/>
        <v>0</v>
      </c>
      <c r="CG177" s="28"/>
      <c r="CH177" s="28"/>
      <c r="CI177" s="65"/>
      <c r="CJ177" s="64">
        <f t="shared" si="126"/>
        <v>0</v>
      </c>
      <c r="CK177" s="28"/>
      <c r="CL177" s="28"/>
      <c r="CM177" s="65"/>
      <c r="CN177" s="64">
        <f t="shared" si="127"/>
        <v>0</v>
      </c>
      <c r="CO177" s="28"/>
      <c r="CP177" s="28"/>
      <c r="CQ177" s="65"/>
      <c r="CR177" s="64">
        <f t="shared" si="128"/>
        <v>0</v>
      </c>
      <c r="CS177" s="28"/>
      <c r="CT177" s="28"/>
      <c r="CU177" s="65"/>
      <c r="CV177" s="64">
        <f t="shared" si="129"/>
        <v>0</v>
      </c>
      <c r="CW177" s="28"/>
      <c r="CX177" s="28"/>
      <c r="CY177" s="65"/>
      <c r="CZ177" s="64">
        <f t="shared" si="130"/>
        <v>0</v>
      </c>
      <c r="DA177" s="28"/>
      <c r="DB177" s="28"/>
      <c r="DC177" s="65"/>
      <c r="DD177" s="64">
        <f t="shared" si="131"/>
        <v>0</v>
      </c>
      <c r="DE177" s="28"/>
      <c r="DF177" s="28"/>
      <c r="DG177" s="65"/>
      <c r="DH177" s="64">
        <f t="shared" si="132"/>
        <v>0</v>
      </c>
      <c r="DI177" s="28"/>
      <c r="DJ177" s="28"/>
      <c r="DK177" s="65"/>
      <c r="DL177" s="64">
        <f t="shared" si="133"/>
        <v>0</v>
      </c>
      <c r="DM177" s="28"/>
      <c r="DN177" s="28"/>
      <c r="DO177" s="65"/>
      <c r="DP177" s="64">
        <f t="shared" si="134"/>
        <v>0</v>
      </c>
      <c r="DQ177" s="28"/>
      <c r="DR177" s="28"/>
      <c r="DS177" s="65"/>
      <c r="DT177" s="64">
        <f t="shared" si="135"/>
        <v>0</v>
      </c>
      <c r="DU177" s="28"/>
      <c r="DV177" s="28"/>
      <c r="DW177" s="65"/>
      <c r="DX177" s="30">
        <f t="shared" si="136"/>
        <v>0</v>
      </c>
      <c r="DY177" s="68"/>
      <c r="DZ177" s="68"/>
      <c r="EA177" s="68"/>
      <c r="EB177" s="9">
        <f>D177*'MASTER SHEET'!D177</f>
        <v>0</v>
      </c>
      <c r="EC177" s="9">
        <f>H177*'MASTER SHEET'!D177</f>
        <v>0</v>
      </c>
      <c r="ED177" s="9">
        <f>L177*'MASTER SHEET'!D177</f>
        <v>0</v>
      </c>
      <c r="EE177" s="9">
        <f>P177*'MASTER SHEET'!D177</f>
        <v>0</v>
      </c>
      <c r="EF177" s="9">
        <f>T177*'MASTER SHEET'!D177</f>
        <v>0</v>
      </c>
      <c r="EG177" s="9">
        <f>X177*'MASTER SHEET'!D177</f>
        <v>0</v>
      </c>
      <c r="EH177" s="9">
        <f>AB177*'MASTER SHEET'!D177</f>
        <v>0</v>
      </c>
      <c r="EI177" s="9">
        <f>AF177*'MASTER SHEET'!D177</f>
        <v>0</v>
      </c>
      <c r="EJ177" s="9">
        <f>AJ177*'MASTER SHEET'!D177</f>
        <v>0</v>
      </c>
      <c r="EK177" s="9">
        <f>AN177*'MASTER SHEET'!D177</f>
        <v>0</v>
      </c>
      <c r="EL177" s="9">
        <f>AR177*'MASTER SHEET'!D177</f>
        <v>0</v>
      </c>
      <c r="EM177" s="9">
        <f>AV177*'MASTER SHEET'!D177</f>
        <v>0</v>
      </c>
      <c r="EN177" s="9">
        <f>AZ177*'MASTER SHEET'!D177</f>
        <v>0</v>
      </c>
      <c r="EO177" s="9">
        <f>BD177*'MASTER SHEET'!D177</f>
        <v>0</v>
      </c>
      <c r="EP177" s="9">
        <f>BH177*'MASTER SHEET'!D177</f>
        <v>0</v>
      </c>
      <c r="EQ177" s="9">
        <f>BL177*'MASTER SHEET'!D177</f>
        <v>0</v>
      </c>
      <c r="ER177" s="9">
        <f>BP177*'MASTER SHEET'!D177</f>
        <v>0</v>
      </c>
      <c r="ES177" s="9">
        <f>BT177*'MASTER SHEET'!D177</f>
        <v>0</v>
      </c>
      <c r="ET177" s="9">
        <f>BX177*'MASTER SHEET'!D177</f>
        <v>0</v>
      </c>
      <c r="EU177" s="9">
        <f>CB177*'MASTER SHEET'!D177</f>
        <v>0</v>
      </c>
      <c r="EV177" s="9">
        <f>CF177*'MASTER SHEET'!D177</f>
        <v>0</v>
      </c>
      <c r="EW177" s="9">
        <f>CJ177*'MASTER SHEET'!D177</f>
        <v>0</v>
      </c>
      <c r="EX177" s="9">
        <f>CN177*'MASTER SHEET'!D177</f>
        <v>0</v>
      </c>
      <c r="EY177" s="9">
        <f>CV177*'MASTER SHEET'!D177</f>
        <v>0</v>
      </c>
      <c r="EZ177" s="9">
        <f>CV177*'MASTER SHEET'!D177</f>
        <v>0</v>
      </c>
      <c r="FA177" s="9">
        <f>CZ177*'MASTER SHEET'!D177</f>
        <v>0</v>
      </c>
      <c r="FB177" s="9">
        <f>DD177*'MASTER SHEET'!D177</f>
        <v>0</v>
      </c>
      <c r="FC177" s="9">
        <f>DH177*'MASTER SHEET'!D177</f>
        <v>0</v>
      </c>
      <c r="FD177" s="9">
        <f>DL177*'MASTER SHEET'!D177</f>
        <v>0</v>
      </c>
      <c r="FE177" s="9">
        <f>DP177*'MASTER SHEET'!D177</f>
        <v>0</v>
      </c>
      <c r="FF177" s="9">
        <f>DT177*'MASTER SHEET'!D177</f>
        <v>0</v>
      </c>
      <c r="FG177" s="9">
        <f>DX177*'MASTER SHEET'!D177</f>
        <v>0</v>
      </c>
    </row>
    <row r="178" spans="1:163" s="69" customFormat="1" ht="20.25" x14ac:dyDescent="0.25">
      <c r="A178" s="43">
        <f>'MASTER SHEET'!A178</f>
        <v>176</v>
      </c>
      <c r="B178" s="67" t="str">
        <f>'MASTER SHEET'!C178</f>
        <v>GA00002917</v>
      </c>
      <c r="C178" s="82" t="str">
        <f>'MASTER SHEET'!B178</f>
        <v>X451 RR BAZEL PASSIVE</v>
      </c>
      <c r="D178" s="64"/>
      <c r="E178" s="28"/>
      <c r="F178" s="28"/>
      <c r="G178" s="65"/>
      <c r="H178" s="64">
        <f t="shared" si="106"/>
        <v>0</v>
      </c>
      <c r="I178" s="28"/>
      <c r="J178" s="28"/>
      <c r="K178" s="65"/>
      <c r="L178" s="64">
        <f t="shared" si="107"/>
        <v>0</v>
      </c>
      <c r="M178" s="28"/>
      <c r="N178" s="28"/>
      <c r="O178" s="65"/>
      <c r="P178" s="64">
        <f t="shared" si="108"/>
        <v>0</v>
      </c>
      <c r="Q178" s="28"/>
      <c r="R178" s="28"/>
      <c r="S178" s="65"/>
      <c r="T178" s="64">
        <f t="shared" si="109"/>
        <v>0</v>
      </c>
      <c r="U178" s="28"/>
      <c r="V178" s="28"/>
      <c r="W178" s="65"/>
      <c r="X178" s="64">
        <f t="shared" si="110"/>
        <v>0</v>
      </c>
      <c r="Y178" s="28"/>
      <c r="Z178" s="28"/>
      <c r="AA178" s="65"/>
      <c r="AB178" s="64">
        <f t="shared" si="111"/>
        <v>0</v>
      </c>
      <c r="AC178" s="28"/>
      <c r="AD178" s="28"/>
      <c r="AE178" s="65"/>
      <c r="AF178" s="64">
        <f t="shared" si="112"/>
        <v>0</v>
      </c>
      <c r="AG178" s="28"/>
      <c r="AH178" s="28"/>
      <c r="AI178" s="65"/>
      <c r="AJ178" s="64">
        <f t="shared" si="113"/>
        <v>0</v>
      </c>
      <c r="AK178" s="28"/>
      <c r="AL178" s="28"/>
      <c r="AM178" s="65"/>
      <c r="AN178" s="64">
        <f t="shared" si="114"/>
        <v>0</v>
      </c>
      <c r="AO178" s="28"/>
      <c r="AP178" s="28"/>
      <c r="AQ178" s="65"/>
      <c r="AR178" s="64">
        <f t="shared" si="115"/>
        <v>0</v>
      </c>
      <c r="AS178" s="28"/>
      <c r="AT178" s="28"/>
      <c r="AU178" s="65"/>
      <c r="AV178" s="64">
        <f t="shared" si="116"/>
        <v>0</v>
      </c>
      <c r="AW178" s="28"/>
      <c r="AX178" s="28"/>
      <c r="AY178" s="65"/>
      <c r="AZ178" s="64">
        <f t="shared" si="117"/>
        <v>0</v>
      </c>
      <c r="BA178" s="28"/>
      <c r="BB178" s="28"/>
      <c r="BC178" s="65"/>
      <c r="BD178" s="64">
        <f t="shared" si="118"/>
        <v>0</v>
      </c>
      <c r="BE178" s="28"/>
      <c r="BF178" s="28"/>
      <c r="BG178" s="65"/>
      <c r="BH178" s="64">
        <f t="shared" si="119"/>
        <v>0</v>
      </c>
      <c r="BI178" s="28"/>
      <c r="BJ178" s="28"/>
      <c r="BK178" s="65"/>
      <c r="BL178" s="64">
        <f t="shared" si="120"/>
        <v>0</v>
      </c>
      <c r="BM178" s="28"/>
      <c r="BN178" s="28"/>
      <c r="BO178" s="65"/>
      <c r="BP178" s="64">
        <f t="shared" si="121"/>
        <v>0</v>
      </c>
      <c r="BQ178" s="28"/>
      <c r="BR178" s="28"/>
      <c r="BS178" s="65"/>
      <c r="BT178" s="64">
        <f t="shared" si="122"/>
        <v>0</v>
      </c>
      <c r="BU178" s="28"/>
      <c r="BV178" s="28"/>
      <c r="BW178" s="65"/>
      <c r="BX178" s="64">
        <f t="shared" si="123"/>
        <v>0</v>
      </c>
      <c r="BY178" s="28"/>
      <c r="BZ178" s="28"/>
      <c r="CA178" s="65"/>
      <c r="CB178" s="64">
        <f t="shared" si="124"/>
        <v>0</v>
      </c>
      <c r="CC178" s="28"/>
      <c r="CD178" s="28"/>
      <c r="CE178" s="65"/>
      <c r="CF178" s="64">
        <f t="shared" si="125"/>
        <v>0</v>
      </c>
      <c r="CG178" s="28"/>
      <c r="CH178" s="28"/>
      <c r="CI178" s="65"/>
      <c r="CJ178" s="64">
        <f t="shared" si="126"/>
        <v>0</v>
      </c>
      <c r="CK178" s="28"/>
      <c r="CL178" s="28"/>
      <c r="CM178" s="65"/>
      <c r="CN178" s="64">
        <f t="shared" si="127"/>
        <v>0</v>
      </c>
      <c r="CO178" s="28"/>
      <c r="CP178" s="28"/>
      <c r="CQ178" s="65"/>
      <c r="CR178" s="64">
        <f t="shared" si="128"/>
        <v>0</v>
      </c>
      <c r="CS178" s="28"/>
      <c r="CT178" s="28"/>
      <c r="CU178" s="65"/>
      <c r="CV178" s="64">
        <f t="shared" si="129"/>
        <v>0</v>
      </c>
      <c r="CW178" s="28"/>
      <c r="CX178" s="28"/>
      <c r="CY178" s="65"/>
      <c r="CZ178" s="64">
        <f t="shared" si="130"/>
        <v>0</v>
      </c>
      <c r="DA178" s="28"/>
      <c r="DB178" s="28"/>
      <c r="DC178" s="65"/>
      <c r="DD178" s="64">
        <f t="shared" si="131"/>
        <v>0</v>
      </c>
      <c r="DE178" s="28"/>
      <c r="DF178" s="28"/>
      <c r="DG178" s="65"/>
      <c r="DH178" s="64">
        <f t="shared" si="132"/>
        <v>0</v>
      </c>
      <c r="DI178" s="28"/>
      <c r="DJ178" s="28"/>
      <c r="DK178" s="65"/>
      <c r="DL178" s="64">
        <f t="shared" si="133"/>
        <v>0</v>
      </c>
      <c r="DM178" s="28"/>
      <c r="DN178" s="28"/>
      <c r="DO178" s="65"/>
      <c r="DP178" s="64">
        <f t="shared" si="134"/>
        <v>0</v>
      </c>
      <c r="DQ178" s="28"/>
      <c r="DR178" s="28"/>
      <c r="DS178" s="65"/>
      <c r="DT178" s="64">
        <f t="shared" si="135"/>
        <v>0</v>
      </c>
      <c r="DU178" s="28"/>
      <c r="DV178" s="28"/>
      <c r="DW178" s="65"/>
      <c r="DX178" s="30">
        <f t="shared" si="136"/>
        <v>0</v>
      </c>
      <c r="DY178" s="68"/>
      <c r="DZ178" s="68"/>
      <c r="EA178" s="68"/>
      <c r="EB178" s="9">
        <f>D178*'MASTER SHEET'!D178</f>
        <v>0</v>
      </c>
      <c r="EC178" s="9">
        <f>H178*'MASTER SHEET'!D178</f>
        <v>0</v>
      </c>
      <c r="ED178" s="9">
        <f>L178*'MASTER SHEET'!D178</f>
        <v>0</v>
      </c>
      <c r="EE178" s="9">
        <f>P178*'MASTER SHEET'!D178</f>
        <v>0</v>
      </c>
      <c r="EF178" s="9">
        <f>T178*'MASTER SHEET'!D178</f>
        <v>0</v>
      </c>
      <c r="EG178" s="9">
        <f>X178*'MASTER SHEET'!D178</f>
        <v>0</v>
      </c>
      <c r="EH178" s="9">
        <f>AB178*'MASTER SHEET'!D178</f>
        <v>0</v>
      </c>
      <c r="EI178" s="9">
        <f>AF178*'MASTER SHEET'!D178</f>
        <v>0</v>
      </c>
      <c r="EJ178" s="9">
        <f>AJ178*'MASTER SHEET'!D178</f>
        <v>0</v>
      </c>
      <c r="EK178" s="9">
        <f>AN178*'MASTER SHEET'!D178</f>
        <v>0</v>
      </c>
      <c r="EL178" s="9">
        <f>AR178*'MASTER SHEET'!D178</f>
        <v>0</v>
      </c>
      <c r="EM178" s="9">
        <f>AV178*'MASTER SHEET'!D178</f>
        <v>0</v>
      </c>
      <c r="EN178" s="9">
        <f>AZ178*'MASTER SHEET'!D178</f>
        <v>0</v>
      </c>
      <c r="EO178" s="9">
        <f>BD178*'MASTER SHEET'!D178</f>
        <v>0</v>
      </c>
      <c r="EP178" s="9">
        <f>BH178*'MASTER SHEET'!D178</f>
        <v>0</v>
      </c>
      <c r="EQ178" s="9">
        <f>BL178*'MASTER SHEET'!D178</f>
        <v>0</v>
      </c>
      <c r="ER178" s="9">
        <f>BP178*'MASTER SHEET'!D178</f>
        <v>0</v>
      </c>
      <c r="ES178" s="9">
        <f>BT178*'MASTER SHEET'!D178</f>
        <v>0</v>
      </c>
      <c r="ET178" s="9">
        <f>BX178*'MASTER SHEET'!D178</f>
        <v>0</v>
      </c>
      <c r="EU178" s="9">
        <f>CB178*'MASTER SHEET'!D178</f>
        <v>0</v>
      </c>
      <c r="EV178" s="9">
        <f>CF178*'MASTER SHEET'!D178</f>
        <v>0</v>
      </c>
      <c r="EW178" s="9">
        <f>CJ178*'MASTER SHEET'!D178</f>
        <v>0</v>
      </c>
      <c r="EX178" s="9">
        <f>CN178*'MASTER SHEET'!D178</f>
        <v>0</v>
      </c>
      <c r="EY178" s="9">
        <f>CV178*'MASTER SHEET'!D178</f>
        <v>0</v>
      </c>
      <c r="EZ178" s="9">
        <f>CV178*'MASTER SHEET'!D178</f>
        <v>0</v>
      </c>
      <c r="FA178" s="9">
        <f>CZ178*'MASTER SHEET'!D178</f>
        <v>0</v>
      </c>
      <c r="FB178" s="9">
        <f>DD178*'MASTER SHEET'!D178</f>
        <v>0</v>
      </c>
      <c r="FC178" s="9">
        <f>DH178*'MASTER SHEET'!D178</f>
        <v>0</v>
      </c>
      <c r="FD178" s="9">
        <f>DL178*'MASTER SHEET'!D178</f>
        <v>0</v>
      </c>
      <c r="FE178" s="9">
        <f>DP178*'MASTER SHEET'!D178</f>
        <v>0</v>
      </c>
      <c r="FF178" s="9">
        <f>DT178*'MASTER SHEET'!D178</f>
        <v>0</v>
      </c>
      <c r="FG178" s="9">
        <f>DX178*'MASTER SHEET'!D178</f>
        <v>0</v>
      </c>
    </row>
    <row r="179" spans="1:163" s="69" customFormat="1" ht="20.25" x14ac:dyDescent="0.25">
      <c r="A179" s="43">
        <f>'MASTER SHEET'!A179</f>
        <v>177</v>
      </c>
      <c r="B179" s="67" t="str">
        <f>'MASTER SHEET'!C179</f>
        <v>GA00002914</v>
      </c>
      <c r="C179" s="82" t="str">
        <f>'MASTER SHEET'!B179</f>
        <v>X451 RR BAZEL ACTIVE</v>
      </c>
      <c r="D179" s="64"/>
      <c r="E179" s="28"/>
      <c r="F179" s="28"/>
      <c r="G179" s="65"/>
      <c r="H179" s="64">
        <f t="shared" si="106"/>
        <v>0</v>
      </c>
      <c r="I179" s="28"/>
      <c r="J179" s="28"/>
      <c r="K179" s="65"/>
      <c r="L179" s="64">
        <f t="shared" si="107"/>
        <v>0</v>
      </c>
      <c r="M179" s="28"/>
      <c r="N179" s="28"/>
      <c r="O179" s="65"/>
      <c r="P179" s="64">
        <f t="shared" si="108"/>
        <v>0</v>
      </c>
      <c r="Q179" s="28"/>
      <c r="R179" s="28"/>
      <c r="S179" s="65"/>
      <c r="T179" s="64">
        <f t="shared" si="109"/>
        <v>0</v>
      </c>
      <c r="U179" s="28"/>
      <c r="V179" s="28"/>
      <c r="W179" s="65"/>
      <c r="X179" s="64">
        <f t="shared" si="110"/>
        <v>0</v>
      </c>
      <c r="Y179" s="28"/>
      <c r="Z179" s="28"/>
      <c r="AA179" s="65"/>
      <c r="AB179" s="64">
        <f t="shared" si="111"/>
        <v>0</v>
      </c>
      <c r="AC179" s="28"/>
      <c r="AD179" s="28"/>
      <c r="AE179" s="65"/>
      <c r="AF179" s="64">
        <f t="shared" si="112"/>
        <v>0</v>
      </c>
      <c r="AG179" s="28"/>
      <c r="AH179" s="28"/>
      <c r="AI179" s="65"/>
      <c r="AJ179" s="64">
        <f t="shared" si="113"/>
        <v>0</v>
      </c>
      <c r="AK179" s="28"/>
      <c r="AL179" s="28"/>
      <c r="AM179" s="65"/>
      <c r="AN179" s="64">
        <f t="shared" si="114"/>
        <v>0</v>
      </c>
      <c r="AO179" s="28"/>
      <c r="AP179" s="28"/>
      <c r="AQ179" s="65"/>
      <c r="AR179" s="64">
        <f t="shared" si="115"/>
        <v>0</v>
      </c>
      <c r="AS179" s="28"/>
      <c r="AT179" s="28"/>
      <c r="AU179" s="65"/>
      <c r="AV179" s="64">
        <f t="shared" si="116"/>
        <v>0</v>
      </c>
      <c r="AW179" s="28"/>
      <c r="AX179" s="28"/>
      <c r="AY179" s="65"/>
      <c r="AZ179" s="64">
        <f t="shared" si="117"/>
        <v>0</v>
      </c>
      <c r="BA179" s="28"/>
      <c r="BB179" s="28"/>
      <c r="BC179" s="65"/>
      <c r="BD179" s="64">
        <f t="shared" si="118"/>
        <v>0</v>
      </c>
      <c r="BE179" s="28"/>
      <c r="BF179" s="28"/>
      <c r="BG179" s="65"/>
      <c r="BH179" s="64">
        <f t="shared" si="119"/>
        <v>0</v>
      </c>
      <c r="BI179" s="28"/>
      <c r="BJ179" s="28"/>
      <c r="BK179" s="65"/>
      <c r="BL179" s="64">
        <f t="shared" si="120"/>
        <v>0</v>
      </c>
      <c r="BM179" s="28"/>
      <c r="BN179" s="28"/>
      <c r="BO179" s="65"/>
      <c r="BP179" s="64">
        <f t="shared" si="121"/>
        <v>0</v>
      </c>
      <c r="BQ179" s="28"/>
      <c r="BR179" s="28"/>
      <c r="BS179" s="65"/>
      <c r="BT179" s="64">
        <f t="shared" si="122"/>
        <v>0</v>
      </c>
      <c r="BU179" s="28"/>
      <c r="BV179" s="28"/>
      <c r="BW179" s="65"/>
      <c r="BX179" s="64">
        <f t="shared" si="123"/>
        <v>0</v>
      </c>
      <c r="BY179" s="28"/>
      <c r="BZ179" s="28"/>
      <c r="CA179" s="65"/>
      <c r="CB179" s="64">
        <f t="shared" si="124"/>
        <v>0</v>
      </c>
      <c r="CC179" s="28"/>
      <c r="CD179" s="28"/>
      <c r="CE179" s="65"/>
      <c r="CF179" s="64">
        <f t="shared" si="125"/>
        <v>0</v>
      </c>
      <c r="CG179" s="28"/>
      <c r="CH179" s="28"/>
      <c r="CI179" s="65"/>
      <c r="CJ179" s="64">
        <f t="shared" si="126"/>
        <v>0</v>
      </c>
      <c r="CK179" s="28"/>
      <c r="CL179" s="28"/>
      <c r="CM179" s="65"/>
      <c r="CN179" s="64">
        <f t="shared" si="127"/>
        <v>0</v>
      </c>
      <c r="CO179" s="28"/>
      <c r="CP179" s="28"/>
      <c r="CQ179" s="65"/>
      <c r="CR179" s="64">
        <f t="shared" si="128"/>
        <v>0</v>
      </c>
      <c r="CS179" s="28"/>
      <c r="CT179" s="28"/>
      <c r="CU179" s="65"/>
      <c r="CV179" s="64">
        <f t="shared" si="129"/>
        <v>0</v>
      </c>
      <c r="CW179" s="28"/>
      <c r="CX179" s="28"/>
      <c r="CY179" s="65"/>
      <c r="CZ179" s="64">
        <f t="shared" si="130"/>
        <v>0</v>
      </c>
      <c r="DA179" s="28"/>
      <c r="DB179" s="28"/>
      <c r="DC179" s="65"/>
      <c r="DD179" s="64">
        <f t="shared" si="131"/>
        <v>0</v>
      </c>
      <c r="DE179" s="28"/>
      <c r="DF179" s="28"/>
      <c r="DG179" s="65"/>
      <c r="DH179" s="64">
        <f t="shared" si="132"/>
        <v>0</v>
      </c>
      <c r="DI179" s="28"/>
      <c r="DJ179" s="28"/>
      <c r="DK179" s="65"/>
      <c r="DL179" s="64">
        <f t="shared" si="133"/>
        <v>0</v>
      </c>
      <c r="DM179" s="28"/>
      <c r="DN179" s="28"/>
      <c r="DO179" s="65"/>
      <c r="DP179" s="64">
        <f t="shared" si="134"/>
        <v>0</v>
      </c>
      <c r="DQ179" s="28"/>
      <c r="DR179" s="28"/>
      <c r="DS179" s="65"/>
      <c r="DT179" s="64">
        <f t="shared" si="135"/>
        <v>0</v>
      </c>
      <c r="DU179" s="28"/>
      <c r="DV179" s="28"/>
      <c r="DW179" s="65"/>
      <c r="DX179" s="30">
        <f t="shared" si="136"/>
        <v>0</v>
      </c>
      <c r="DY179" s="68"/>
      <c r="DZ179" s="68"/>
      <c r="EA179" s="68"/>
      <c r="EB179" s="9">
        <f>D179*'MASTER SHEET'!D179</f>
        <v>0</v>
      </c>
      <c r="EC179" s="9">
        <f>H179*'MASTER SHEET'!D179</f>
        <v>0</v>
      </c>
      <c r="ED179" s="9">
        <f>L179*'MASTER SHEET'!D179</f>
        <v>0</v>
      </c>
      <c r="EE179" s="9">
        <f>P179*'MASTER SHEET'!D179</f>
        <v>0</v>
      </c>
      <c r="EF179" s="9">
        <f>T179*'MASTER SHEET'!D179</f>
        <v>0</v>
      </c>
      <c r="EG179" s="9">
        <f>X179*'MASTER SHEET'!D179</f>
        <v>0</v>
      </c>
      <c r="EH179" s="9">
        <f>AB179*'MASTER SHEET'!D179</f>
        <v>0</v>
      </c>
      <c r="EI179" s="9">
        <f>AF179*'MASTER SHEET'!D179</f>
        <v>0</v>
      </c>
      <c r="EJ179" s="9">
        <f>AJ179*'MASTER SHEET'!D179</f>
        <v>0</v>
      </c>
      <c r="EK179" s="9">
        <f>AN179*'MASTER SHEET'!D179</f>
        <v>0</v>
      </c>
      <c r="EL179" s="9">
        <f>AR179*'MASTER SHEET'!D179</f>
        <v>0</v>
      </c>
      <c r="EM179" s="9">
        <f>AV179*'MASTER SHEET'!D179</f>
        <v>0</v>
      </c>
      <c r="EN179" s="9">
        <f>AZ179*'MASTER SHEET'!D179</f>
        <v>0</v>
      </c>
      <c r="EO179" s="9">
        <f>BD179*'MASTER SHEET'!D179</f>
        <v>0</v>
      </c>
      <c r="EP179" s="9">
        <f>BH179*'MASTER SHEET'!D179</f>
        <v>0</v>
      </c>
      <c r="EQ179" s="9">
        <f>BL179*'MASTER SHEET'!D179</f>
        <v>0</v>
      </c>
      <c r="ER179" s="9">
        <f>BP179*'MASTER SHEET'!D179</f>
        <v>0</v>
      </c>
      <c r="ES179" s="9">
        <f>BT179*'MASTER SHEET'!D179</f>
        <v>0</v>
      </c>
      <c r="ET179" s="9">
        <f>BX179*'MASTER SHEET'!D179</f>
        <v>0</v>
      </c>
      <c r="EU179" s="9">
        <f>CB179*'MASTER SHEET'!D179</f>
        <v>0</v>
      </c>
      <c r="EV179" s="9">
        <f>CF179*'MASTER SHEET'!D179</f>
        <v>0</v>
      </c>
      <c r="EW179" s="9">
        <f>CJ179*'MASTER SHEET'!D179</f>
        <v>0</v>
      </c>
      <c r="EX179" s="9">
        <f>CN179*'MASTER SHEET'!D179</f>
        <v>0</v>
      </c>
      <c r="EY179" s="9">
        <f>CV179*'MASTER SHEET'!D179</f>
        <v>0</v>
      </c>
      <c r="EZ179" s="9">
        <f>CV179*'MASTER SHEET'!D179</f>
        <v>0</v>
      </c>
      <c r="FA179" s="9">
        <f>CZ179*'MASTER SHEET'!D179</f>
        <v>0</v>
      </c>
      <c r="FB179" s="9">
        <f>DD179*'MASTER SHEET'!D179</f>
        <v>0</v>
      </c>
      <c r="FC179" s="9">
        <f>DH179*'MASTER SHEET'!D179</f>
        <v>0</v>
      </c>
      <c r="FD179" s="9">
        <f>DL179*'MASTER SHEET'!D179</f>
        <v>0</v>
      </c>
      <c r="FE179" s="9">
        <f>DP179*'MASTER SHEET'!D179</f>
        <v>0</v>
      </c>
      <c r="FF179" s="9">
        <f>DT179*'MASTER SHEET'!D179</f>
        <v>0</v>
      </c>
      <c r="FG179" s="9">
        <f>DX179*'MASTER SHEET'!D179</f>
        <v>0</v>
      </c>
    </row>
    <row r="180" spans="1:163" s="69" customFormat="1" ht="20.25" x14ac:dyDescent="0.25">
      <c r="A180" s="43">
        <f>'MASTER SHEET'!A180</f>
        <v>178</v>
      </c>
      <c r="B180" s="67" t="str">
        <f>'MASTER SHEET'!B180</f>
        <v>W601 ODH SUPPORT PLANK</v>
      </c>
      <c r="C180" s="82" t="str">
        <f>'MASTER SHEET'!C180</f>
        <v>BC00004915</v>
      </c>
      <c r="D180" s="64"/>
      <c r="E180" s="28"/>
      <c r="F180" s="28"/>
      <c r="G180" s="65"/>
      <c r="H180" s="64">
        <f t="shared" si="106"/>
        <v>0</v>
      </c>
      <c r="I180" s="28">
        <v>6000</v>
      </c>
      <c r="J180" s="28">
        <v>6000</v>
      </c>
      <c r="K180" s="65"/>
      <c r="L180" s="64">
        <f t="shared" si="107"/>
        <v>0</v>
      </c>
      <c r="M180" s="28"/>
      <c r="N180" s="28"/>
      <c r="O180" s="65"/>
      <c r="P180" s="64">
        <f t="shared" si="108"/>
        <v>0</v>
      </c>
      <c r="Q180" s="28">
        <v>7000</v>
      </c>
      <c r="R180" s="28">
        <v>7000</v>
      </c>
      <c r="S180" s="65"/>
      <c r="T180" s="64">
        <f t="shared" si="109"/>
        <v>0</v>
      </c>
      <c r="U180" s="28"/>
      <c r="V180" s="28"/>
      <c r="W180" s="65"/>
      <c r="X180" s="64">
        <f t="shared" si="110"/>
        <v>0</v>
      </c>
      <c r="Y180" s="28">
        <v>2000</v>
      </c>
      <c r="Z180" s="28">
        <v>2000</v>
      </c>
      <c r="AA180" s="65"/>
      <c r="AB180" s="64">
        <f t="shared" si="111"/>
        <v>0</v>
      </c>
      <c r="AC180" s="28">
        <f>2900+3000</f>
        <v>5900</v>
      </c>
      <c r="AD180" s="28">
        <v>5900</v>
      </c>
      <c r="AE180" s="65"/>
      <c r="AF180" s="64">
        <f t="shared" si="112"/>
        <v>0</v>
      </c>
      <c r="AG180" s="28">
        <v>6000</v>
      </c>
      <c r="AH180" s="28">
        <v>6000</v>
      </c>
      <c r="AI180" s="65"/>
      <c r="AJ180" s="64">
        <f t="shared" si="113"/>
        <v>0</v>
      </c>
      <c r="AK180" s="28">
        <v>6500</v>
      </c>
      <c r="AL180" s="28">
        <v>6500</v>
      </c>
      <c r="AM180" s="65"/>
      <c r="AN180" s="64">
        <f t="shared" si="114"/>
        <v>0</v>
      </c>
      <c r="AO180" s="28">
        <v>7000</v>
      </c>
      <c r="AP180" s="28">
        <v>7000</v>
      </c>
      <c r="AQ180" s="65"/>
      <c r="AR180" s="64">
        <f t="shared" si="115"/>
        <v>0</v>
      </c>
      <c r="AS180" s="28">
        <v>9000</v>
      </c>
      <c r="AT180" s="28">
        <v>9000</v>
      </c>
      <c r="AU180" s="65"/>
      <c r="AV180" s="64">
        <f t="shared" si="116"/>
        <v>0</v>
      </c>
      <c r="AW180" s="28"/>
      <c r="AX180" s="28"/>
      <c r="AY180" s="65"/>
      <c r="AZ180" s="64">
        <f t="shared" si="117"/>
        <v>0</v>
      </c>
      <c r="BA180" s="28">
        <v>7500</v>
      </c>
      <c r="BB180" s="28">
        <v>7500</v>
      </c>
      <c r="BC180" s="65"/>
      <c r="BD180" s="64">
        <f t="shared" si="118"/>
        <v>0</v>
      </c>
      <c r="BE180" s="28">
        <v>6000</v>
      </c>
      <c r="BF180" s="28">
        <v>6000</v>
      </c>
      <c r="BG180" s="65"/>
      <c r="BH180" s="64">
        <f t="shared" si="119"/>
        <v>0</v>
      </c>
      <c r="BI180" s="28"/>
      <c r="BJ180" s="28"/>
      <c r="BK180" s="65"/>
      <c r="BL180" s="64">
        <f t="shared" si="120"/>
        <v>0</v>
      </c>
      <c r="BM180" s="28"/>
      <c r="BN180" s="28"/>
      <c r="BO180" s="65"/>
      <c r="BP180" s="64">
        <f t="shared" si="121"/>
        <v>0</v>
      </c>
      <c r="BQ180" s="28">
        <v>14000</v>
      </c>
      <c r="BR180" s="28">
        <v>14000</v>
      </c>
      <c r="BS180" s="65"/>
      <c r="BT180" s="64">
        <f t="shared" si="122"/>
        <v>0</v>
      </c>
      <c r="BU180" s="28">
        <v>8000</v>
      </c>
      <c r="BV180" s="28">
        <v>8000</v>
      </c>
      <c r="BW180" s="65"/>
      <c r="BX180" s="64">
        <f t="shared" si="123"/>
        <v>0</v>
      </c>
      <c r="BY180" s="28"/>
      <c r="BZ180" s="28"/>
      <c r="CA180" s="65"/>
      <c r="CB180" s="64">
        <f t="shared" si="124"/>
        <v>0</v>
      </c>
      <c r="CC180" s="28">
        <v>10000</v>
      </c>
      <c r="CD180" s="28">
        <v>10000</v>
      </c>
      <c r="CE180" s="65"/>
      <c r="CF180" s="64">
        <f t="shared" si="125"/>
        <v>0</v>
      </c>
      <c r="CG180" s="28">
        <v>8000</v>
      </c>
      <c r="CH180" s="28">
        <v>8000</v>
      </c>
      <c r="CI180" s="65"/>
      <c r="CJ180" s="64">
        <f t="shared" si="126"/>
        <v>0</v>
      </c>
      <c r="CK180" s="28">
        <v>8000</v>
      </c>
      <c r="CL180" s="28">
        <v>8000</v>
      </c>
      <c r="CM180" s="65"/>
      <c r="CN180" s="64">
        <f t="shared" si="127"/>
        <v>0</v>
      </c>
      <c r="CO180" s="28">
        <v>6000</v>
      </c>
      <c r="CP180" s="28">
        <v>6000</v>
      </c>
      <c r="CQ180" s="65"/>
      <c r="CR180" s="64">
        <f t="shared" si="128"/>
        <v>0</v>
      </c>
      <c r="CS180" s="28"/>
      <c r="CT180" s="28"/>
      <c r="CU180" s="65"/>
      <c r="CV180" s="64">
        <f t="shared" si="129"/>
        <v>0</v>
      </c>
      <c r="CW180" s="28"/>
      <c r="CX180" s="28"/>
      <c r="CY180" s="65"/>
      <c r="CZ180" s="64">
        <f t="shared" si="130"/>
        <v>0</v>
      </c>
      <c r="DA180" s="28"/>
      <c r="DB180" s="28"/>
      <c r="DC180" s="65"/>
      <c r="DD180" s="64">
        <f t="shared" si="131"/>
        <v>0</v>
      </c>
      <c r="DE180" s="28"/>
      <c r="DF180" s="28"/>
      <c r="DG180" s="65"/>
      <c r="DH180" s="64">
        <f t="shared" si="132"/>
        <v>0</v>
      </c>
      <c r="DI180" s="28">
        <v>5000</v>
      </c>
      <c r="DJ180" s="28">
        <v>5000</v>
      </c>
      <c r="DK180" s="65"/>
      <c r="DL180" s="64">
        <f t="shared" si="133"/>
        <v>0</v>
      </c>
      <c r="DM180" s="28">
        <v>5000</v>
      </c>
      <c r="DN180" s="28">
        <v>5000</v>
      </c>
      <c r="DO180" s="65"/>
      <c r="DP180" s="64">
        <f t="shared" si="134"/>
        <v>0</v>
      </c>
      <c r="DQ180" s="28"/>
      <c r="DR180" s="28"/>
      <c r="DS180" s="65"/>
      <c r="DT180" s="64">
        <f t="shared" si="135"/>
        <v>0</v>
      </c>
      <c r="DU180" s="28"/>
      <c r="DV180" s="28"/>
      <c r="DW180" s="65"/>
      <c r="DX180" s="30">
        <f t="shared" si="136"/>
        <v>0</v>
      </c>
      <c r="DY180" s="68"/>
      <c r="DZ180" s="68"/>
      <c r="EA180" s="68"/>
      <c r="EB180" s="9">
        <f>D180*'MASTER SHEET'!D180</f>
        <v>0</v>
      </c>
      <c r="EC180" s="9">
        <f>H180*'MASTER SHEET'!D180</f>
        <v>0</v>
      </c>
      <c r="ED180" s="9">
        <f>L180*'MASTER SHEET'!D180</f>
        <v>0</v>
      </c>
      <c r="EE180" s="9">
        <f>P180*'MASTER SHEET'!D180</f>
        <v>0</v>
      </c>
      <c r="EF180" s="9">
        <f>T180*'MASTER SHEET'!D180</f>
        <v>0</v>
      </c>
      <c r="EG180" s="9">
        <f>X180*'MASTER SHEET'!D180</f>
        <v>0</v>
      </c>
      <c r="EH180" s="9">
        <f>AB180*'MASTER SHEET'!D180</f>
        <v>0</v>
      </c>
      <c r="EI180" s="9">
        <f>AF180*'MASTER SHEET'!D180</f>
        <v>0</v>
      </c>
      <c r="EJ180" s="9">
        <f>AJ180*'MASTER SHEET'!D180</f>
        <v>0</v>
      </c>
      <c r="EK180" s="9">
        <f>AN180*'MASTER SHEET'!D180</f>
        <v>0</v>
      </c>
      <c r="EL180" s="9">
        <f>AR180*'MASTER SHEET'!D180</f>
        <v>0</v>
      </c>
      <c r="EM180" s="9">
        <f>AV180*'MASTER SHEET'!D180</f>
        <v>0</v>
      </c>
      <c r="EN180" s="9">
        <f>AZ180*'MASTER SHEET'!D180</f>
        <v>0</v>
      </c>
      <c r="EO180" s="9">
        <f>BD180*'MASTER SHEET'!D180</f>
        <v>0</v>
      </c>
      <c r="EP180" s="9">
        <f>BH180*'MASTER SHEET'!D180</f>
        <v>0</v>
      </c>
      <c r="EQ180" s="9">
        <f>BL180*'MASTER SHEET'!D180</f>
        <v>0</v>
      </c>
      <c r="ER180" s="9">
        <f>BP180*'MASTER SHEET'!D180</f>
        <v>0</v>
      </c>
      <c r="ES180" s="9">
        <f>BT180*'MASTER SHEET'!D180</f>
        <v>0</v>
      </c>
      <c r="ET180" s="9">
        <f>BX180*'MASTER SHEET'!D180</f>
        <v>0</v>
      </c>
      <c r="EU180" s="9">
        <f>CB180*'MASTER SHEET'!D180</f>
        <v>0</v>
      </c>
      <c r="EV180" s="9">
        <f>CF180*'MASTER SHEET'!D180</f>
        <v>0</v>
      </c>
      <c r="EW180" s="9">
        <f>CJ180*'MASTER SHEET'!D180</f>
        <v>0</v>
      </c>
      <c r="EX180" s="9">
        <f>CN180*'MASTER SHEET'!D180</f>
        <v>0</v>
      </c>
      <c r="EY180" s="9">
        <f>CV180*'MASTER SHEET'!D180</f>
        <v>0</v>
      </c>
      <c r="EZ180" s="9">
        <f>CV180*'MASTER SHEET'!D180</f>
        <v>0</v>
      </c>
      <c r="FA180" s="9">
        <f>CZ180*'MASTER SHEET'!D180</f>
        <v>0</v>
      </c>
      <c r="FB180" s="9">
        <f>DD180*'MASTER SHEET'!D180</f>
        <v>0</v>
      </c>
      <c r="FC180" s="9">
        <f>DH180*'MASTER SHEET'!D180</f>
        <v>0</v>
      </c>
      <c r="FD180" s="9">
        <f>DL180*'MASTER SHEET'!D180</f>
        <v>0</v>
      </c>
      <c r="FE180" s="9">
        <f>DP180*'MASTER SHEET'!D180</f>
        <v>0</v>
      </c>
      <c r="FF180" s="9">
        <f>DT180*'MASTER SHEET'!D180</f>
        <v>0</v>
      </c>
      <c r="FG180" s="9">
        <f>DX180*'MASTER SHEET'!D180</f>
        <v>0</v>
      </c>
    </row>
    <row r="181" spans="1:163" s="69" customFormat="1" ht="20.25" x14ac:dyDescent="0.25">
      <c r="A181" s="43">
        <f>'MASTER SHEET'!A181</f>
        <v>179</v>
      </c>
      <c r="B181" s="67" t="str">
        <f>'MASTER SHEET'!C181</f>
        <v>CB00004717</v>
      </c>
      <c r="C181" s="82" t="str">
        <f>'MASTER SHEET'!B181</f>
        <v>TIAGO MCE IDH HOUSING LH</v>
      </c>
      <c r="D181" s="64"/>
      <c r="E181" s="28"/>
      <c r="F181" s="28"/>
      <c r="G181" s="65"/>
      <c r="H181" s="64">
        <f t="shared" si="106"/>
        <v>0</v>
      </c>
      <c r="I181" s="28"/>
      <c r="J181" s="28"/>
      <c r="K181" s="65"/>
      <c r="L181" s="64">
        <f t="shared" si="107"/>
        <v>0</v>
      </c>
      <c r="M181" s="28"/>
      <c r="N181" s="28"/>
      <c r="O181" s="65"/>
      <c r="P181" s="64">
        <f t="shared" si="108"/>
        <v>0</v>
      </c>
      <c r="Q181" s="28"/>
      <c r="R181" s="28"/>
      <c r="S181" s="65"/>
      <c r="T181" s="64">
        <f t="shared" si="109"/>
        <v>0</v>
      </c>
      <c r="U181" s="28"/>
      <c r="V181" s="28"/>
      <c r="W181" s="65"/>
      <c r="X181" s="64">
        <f t="shared" si="110"/>
        <v>0</v>
      </c>
      <c r="Y181" s="28"/>
      <c r="Z181" s="28"/>
      <c r="AA181" s="65"/>
      <c r="AB181" s="64">
        <f t="shared" si="111"/>
        <v>0</v>
      </c>
      <c r="AC181" s="28"/>
      <c r="AD181" s="28"/>
      <c r="AE181" s="65"/>
      <c r="AF181" s="64">
        <f t="shared" si="112"/>
        <v>0</v>
      </c>
      <c r="AG181" s="28"/>
      <c r="AH181" s="28"/>
      <c r="AI181" s="65"/>
      <c r="AJ181" s="64">
        <f t="shared" si="113"/>
        <v>0</v>
      </c>
      <c r="AK181" s="28"/>
      <c r="AL181" s="28"/>
      <c r="AM181" s="65"/>
      <c r="AN181" s="64">
        <f t="shared" si="114"/>
        <v>0</v>
      </c>
      <c r="AO181" s="28"/>
      <c r="AP181" s="28"/>
      <c r="AQ181" s="65"/>
      <c r="AR181" s="64">
        <f t="shared" si="115"/>
        <v>0</v>
      </c>
      <c r="AS181" s="28"/>
      <c r="AT181" s="28"/>
      <c r="AU181" s="65"/>
      <c r="AV181" s="64">
        <f t="shared" si="116"/>
        <v>0</v>
      </c>
      <c r="AW181" s="28"/>
      <c r="AX181" s="28"/>
      <c r="AY181" s="65"/>
      <c r="AZ181" s="64">
        <f t="shared" si="117"/>
        <v>0</v>
      </c>
      <c r="BA181" s="28"/>
      <c r="BB181" s="28"/>
      <c r="BC181" s="65"/>
      <c r="BD181" s="64">
        <f t="shared" si="118"/>
        <v>0</v>
      </c>
      <c r="BE181" s="28"/>
      <c r="BF181" s="28"/>
      <c r="BG181" s="65"/>
      <c r="BH181" s="64">
        <f t="shared" si="119"/>
        <v>0</v>
      </c>
      <c r="BI181" s="28"/>
      <c r="BJ181" s="28"/>
      <c r="BK181" s="65"/>
      <c r="BL181" s="64">
        <f t="shared" si="120"/>
        <v>0</v>
      </c>
      <c r="BM181" s="28"/>
      <c r="BN181" s="28"/>
      <c r="BO181" s="65"/>
      <c r="BP181" s="64">
        <f t="shared" si="121"/>
        <v>0</v>
      </c>
      <c r="BQ181" s="28"/>
      <c r="BR181" s="28"/>
      <c r="BS181" s="65"/>
      <c r="BT181" s="64">
        <f t="shared" si="122"/>
        <v>0</v>
      </c>
      <c r="BU181" s="28"/>
      <c r="BV181" s="28"/>
      <c r="BW181" s="65"/>
      <c r="BX181" s="64">
        <f t="shared" si="123"/>
        <v>0</v>
      </c>
      <c r="BY181" s="28"/>
      <c r="BZ181" s="28"/>
      <c r="CA181" s="65"/>
      <c r="CB181" s="64">
        <f t="shared" si="124"/>
        <v>0</v>
      </c>
      <c r="CC181" s="28"/>
      <c r="CD181" s="28"/>
      <c r="CE181" s="65"/>
      <c r="CF181" s="64">
        <f t="shared" si="125"/>
        <v>0</v>
      </c>
      <c r="CG181" s="28"/>
      <c r="CH181" s="28"/>
      <c r="CI181" s="65"/>
      <c r="CJ181" s="64">
        <f t="shared" si="126"/>
        <v>0</v>
      </c>
      <c r="CK181" s="28"/>
      <c r="CL181" s="28"/>
      <c r="CM181" s="65"/>
      <c r="CN181" s="64">
        <f t="shared" si="127"/>
        <v>0</v>
      </c>
      <c r="CO181" s="28"/>
      <c r="CP181" s="28"/>
      <c r="CQ181" s="65"/>
      <c r="CR181" s="64">
        <f t="shared" si="128"/>
        <v>0</v>
      </c>
      <c r="CS181" s="28"/>
      <c r="CT181" s="28"/>
      <c r="CU181" s="65"/>
      <c r="CV181" s="64">
        <f t="shared" si="129"/>
        <v>0</v>
      </c>
      <c r="CW181" s="28"/>
      <c r="CX181" s="28"/>
      <c r="CY181" s="65"/>
      <c r="CZ181" s="64">
        <f t="shared" si="130"/>
        <v>0</v>
      </c>
      <c r="DA181" s="28"/>
      <c r="DB181" s="28"/>
      <c r="DC181" s="65"/>
      <c r="DD181" s="64">
        <f t="shared" si="131"/>
        <v>0</v>
      </c>
      <c r="DE181" s="28"/>
      <c r="DF181" s="28"/>
      <c r="DG181" s="65"/>
      <c r="DH181" s="64">
        <f t="shared" si="132"/>
        <v>0</v>
      </c>
      <c r="DI181" s="28"/>
      <c r="DJ181" s="28"/>
      <c r="DK181" s="65"/>
      <c r="DL181" s="64">
        <f t="shared" si="133"/>
        <v>0</v>
      </c>
      <c r="DM181" s="28"/>
      <c r="DN181" s="28"/>
      <c r="DO181" s="65"/>
      <c r="DP181" s="64">
        <f t="shared" si="134"/>
        <v>0</v>
      </c>
      <c r="DQ181" s="28"/>
      <c r="DR181" s="28"/>
      <c r="DS181" s="65"/>
      <c r="DT181" s="64">
        <f t="shared" si="135"/>
        <v>0</v>
      </c>
      <c r="DU181" s="28"/>
      <c r="DV181" s="28"/>
      <c r="DW181" s="65"/>
      <c r="DX181" s="30">
        <f t="shared" si="136"/>
        <v>0</v>
      </c>
      <c r="DY181" s="68"/>
      <c r="DZ181" s="68"/>
      <c r="EA181" s="68"/>
      <c r="EB181" s="9">
        <f>D181*'MASTER SHEET'!D181</f>
        <v>0</v>
      </c>
      <c r="EC181" s="9">
        <f>H181*'MASTER SHEET'!D181</f>
        <v>0</v>
      </c>
      <c r="ED181" s="9">
        <f>L181*'MASTER SHEET'!D181</f>
        <v>0</v>
      </c>
      <c r="EE181" s="9">
        <f>P181*'MASTER SHEET'!D181</f>
        <v>0</v>
      </c>
      <c r="EF181" s="9">
        <f>T181*'MASTER SHEET'!D181</f>
        <v>0</v>
      </c>
      <c r="EG181" s="9">
        <f>X181*'MASTER SHEET'!D181</f>
        <v>0</v>
      </c>
      <c r="EH181" s="9">
        <f>AB181*'MASTER SHEET'!D181</f>
        <v>0</v>
      </c>
      <c r="EI181" s="9">
        <f>AF181*'MASTER SHEET'!D181</f>
        <v>0</v>
      </c>
      <c r="EJ181" s="9">
        <f>AJ181*'MASTER SHEET'!D181</f>
        <v>0</v>
      </c>
      <c r="EK181" s="9">
        <f>AN181*'MASTER SHEET'!D181</f>
        <v>0</v>
      </c>
      <c r="EL181" s="9">
        <f>AR181*'MASTER SHEET'!D181</f>
        <v>0</v>
      </c>
      <c r="EM181" s="9">
        <f>AV181*'MASTER SHEET'!D181</f>
        <v>0</v>
      </c>
      <c r="EN181" s="9">
        <f>AZ181*'MASTER SHEET'!D181</f>
        <v>0</v>
      </c>
      <c r="EO181" s="9">
        <f>BD181*'MASTER SHEET'!D181</f>
        <v>0</v>
      </c>
      <c r="EP181" s="9">
        <f>BH181*'MASTER SHEET'!D181</f>
        <v>0</v>
      </c>
      <c r="EQ181" s="9">
        <f>BL181*'MASTER SHEET'!D181</f>
        <v>0</v>
      </c>
      <c r="ER181" s="9">
        <f>BP181*'MASTER SHEET'!D181</f>
        <v>0</v>
      </c>
      <c r="ES181" s="9">
        <f>BT181*'MASTER SHEET'!D181</f>
        <v>0</v>
      </c>
      <c r="ET181" s="9">
        <f>BX181*'MASTER SHEET'!D181</f>
        <v>0</v>
      </c>
      <c r="EU181" s="9">
        <f>CB181*'MASTER SHEET'!D181</f>
        <v>0</v>
      </c>
      <c r="EV181" s="9">
        <f>CF181*'MASTER SHEET'!D181</f>
        <v>0</v>
      </c>
      <c r="EW181" s="9">
        <f>CJ181*'MASTER SHEET'!D181</f>
        <v>0</v>
      </c>
      <c r="EX181" s="9">
        <f>CN181*'MASTER SHEET'!D181</f>
        <v>0</v>
      </c>
      <c r="EY181" s="9">
        <f>CV181*'MASTER SHEET'!D181</f>
        <v>0</v>
      </c>
      <c r="EZ181" s="9">
        <f>CV181*'MASTER SHEET'!D181</f>
        <v>0</v>
      </c>
      <c r="FA181" s="9">
        <f>CZ181*'MASTER SHEET'!D181</f>
        <v>0</v>
      </c>
      <c r="FB181" s="9">
        <f>DD181*'MASTER SHEET'!D181</f>
        <v>0</v>
      </c>
      <c r="FC181" s="9">
        <f>DH181*'MASTER SHEET'!D181</f>
        <v>0</v>
      </c>
      <c r="FD181" s="9">
        <f>DL181*'MASTER SHEET'!D181</f>
        <v>0</v>
      </c>
      <c r="FE181" s="9">
        <f>DP181*'MASTER SHEET'!D181</f>
        <v>0</v>
      </c>
      <c r="FF181" s="9">
        <f>DT181*'MASTER SHEET'!D181</f>
        <v>0</v>
      </c>
      <c r="FG181" s="9">
        <f>DX181*'MASTER SHEET'!D181</f>
        <v>0</v>
      </c>
    </row>
    <row r="182" spans="1:163" s="69" customFormat="1" ht="20.25" x14ac:dyDescent="0.25">
      <c r="A182" s="43">
        <f>'MASTER SHEET'!A182</f>
        <v>180</v>
      </c>
      <c r="B182" s="67" t="str">
        <f>'MASTER SHEET'!C182</f>
        <v>CC00004721</v>
      </c>
      <c r="C182" s="82" t="str">
        <f>'MASTER SHEET'!B182</f>
        <v>TIAGO MCE IDH HOUSING RH</v>
      </c>
      <c r="D182" s="64"/>
      <c r="E182" s="28"/>
      <c r="F182" s="28"/>
      <c r="G182" s="65"/>
      <c r="H182" s="64">
        <f t="shared" si="106"/>
        <v>0</v>
      </c>
      <c r="I182" s="28"/>
      <c r="J182" s="28"/>
      <c r="K182" s="65"/>
      <c r="L182" s="64">
        <f t="shared" si="107"/>
        <v>0</v>
      </c>
      <c r="M182" s="28"/>
      <c r="N182" s="28"/>
      <c r="O182" s="65"/>
      <c r="P182" s="64">
        <f t="shared" si="108"/>
        <v>0</v>
      </c>
      <c r="Q182" s="28"/>
      <c r="R182" s="28"/>
      <c r="S182" s="65"/>
      <c r="T182" s="64">
        <f t="shared" si="109"/>
        <v>0</v>
      </c>
      <c r="U182" s="28"/>
      <c r="V182" s="28"/>
      <c r="W182" s="65"/>
      <c r="X182" s="64">
        <f t="shared" si="110"/>
        <v>0</v>
      </c>
      <c r="Y182" s="28"/>
      <c r="Z182" s="28"/>
      <c r="AA182" s="65"/>
      <c r="AB182" s="64">
        <f t="shared" si="111"/>
        <v>0</v>
      </c>
      <c r="AC182" s="28"/>
      <c r="AD182" s="28"/>
      <c r="AE182" s="65"/>
      <c r="AF182" s="64">
        <f t="shared" si="112"/>
        <v>0</v>
      </c>
      <c r="AG182" s="28"/>
      <c r="AH182" s="28"/>
      <c r="AI182" s="65"/>
      <c r="AJ182" s="64">
        <f t="shared" si="113"/>
        <v>0</v>
      </c>
      <c r="AK182" s="28"/>
      <c r="AL182" s="28"/>
      <c r="AM182" s="65"/>
      <c r="AN182" s="64">
        <f t="shared" si="114"/>
        <v>0</v>
      </c>
      <c r="AO182" s="28"/>
      <c r="AP182" s="28"/>
      <c r="AQ182" s="65"/>
      <c r="AR182" s="64">
        <f t="shared" si="115"/>
        <v>0</v>
      </c>
      <c r="AS182" s="28"/>
      <c r="AT182" s="28"/>
      <c r="AU182" s="65"/>
      <c r="AV182" s="64">
        <f t="shared" si="116"/>
        <v>0</v>
      </c>
      <c r="AW182" s="28"/>
      <c r="AX182" s="28"/>
      <c r="AY182" s="65"/>
      <c r="AZ182" s="64">
        <f t="shared" si="117"/>
        <v>0</v>
      </c>
      <c r="BA182" s="28"/>
      <c r="BB182" s="28"/>
      <c r="BC182" s="65"/>
      <c r="BD182" s="64">
        <f t="shared" si="118"/>
        <v>0</v>
      </c>
      <c r="BE182" s="28"/>
      <c r="BF182" s="28"/>
      <c r="BG182" s="65"/>
      <c r="BH182" s="64">
        <f t="shared" si="119"/>
        <v>0</v>
      </c>
      <c r="BI182" s="28"/>
      <c r="BJ182" s="28"/>
      <c r="BK182" s="65"/>
      <c r="BL182" s="64">
        <f t="shared" si="120"/>
        <v>0</v>
      </c>
      <c r="BM182" s="28"/>
      <c r="BN182" s="28"/>
      <c r="BO182" s="65"/>
      <c r="BP182" s="64">
        <f t="shared" si="121"/>
        <v>0</v>
      </c>
      <c r="BQ182" s="28"/>
      <c r="BR182" s="28"/>
      <c r="BS182" s="65"/>
      <c r="BT182" s="64">
        <f t="shared" si="122"/>
        <v>0</v>
      </c>
      <c r="BU182" s="28"/>
      <c r="BV182" s="28"/>
      <c r="BW182" s="65"/>
      <c r="BX182" s="64">
        <f t="shared" si="123"/>
        <v>0</v>
      </c>
      <c r="BY182" s="28"/>
      <c r="BZ182" s="28"/>
      <c r="CA182" s="65"/>
      <c r="CB182" s="64">
        <f t="shared" si="124"/>
        <v>0</v>
      </c>
      <c r="CC182" s="28"/>
      <c r="CD182" s="28"/>
      <c r="CE182" s="65"/>
      <c r="CF182" s="64">
        <f t="shared" si="125"/>
        <v>0</v>
      </c>
      <c r="CG182" s="28"/>
      <c r="CH182" s="28"/>
      <c r="CI182" s="65"/>
      <c r="CJ182" s="64">
        <f t="shared" si="126"/>
        <v>0</v>
      </c>
      <c r="CK182" s="28"/>
      <c r="CL182" s="28"/>
      <c r="CM182" s="65"/>
      <c r="CN182" s="64">
        <f t="shared" si="127"/>
        <v>0</v>
      </c>
      <c r="CO182" s="28"/>
      <c r="CP182" s="28"/>
      <c r="CQ182" s="65"/>
      <c r="CR182" s="64">
        <f t="shared" si="128"/>
        <v>0</v>
      </c>
      <c r="CS182" s="28"/>
      <c r="CT182" s="28"/>
      <c r="CU182" s="65"/>
      <c r="CV182" s="64">
        <f t="shared" si="129"/>
        <v>0</v>
      </c>
      <c r="CW182" s="28"/>
      <c r="CX182" s="28"/>
      <c r="CY182" s="65"/>
      <c r="CZ182" s="64">
        <f t="shared" si="130"/>
        <v>0</v>
      </c>
      <c r="DA182" s="28"/>
      <c r="DB182" s="28"/>
      <c r="DC182" s="65"/>
      <c r="DD182" s="64">
        <f t="shared" si="131"/>
        <v>0</v>
      </c>
      <c r="DE182" s="28"/>
      <c r="DF182" s="28"/>
      <c r="DG182" s="65"/>
      <c r="DH182" s="64">
        <f t="shared" si="132"/>
        <v>0</v>
      </c>
      <c r="DI182" s="28"/>
      <c r="DJ182" s="28"/>
      <c r="DK182" s="65"/>
      <c r="DL182" s="64">
        <f t="shared" si="133"/>
        <v>0</v>
      </c>
      <c r="DM182" s="28"/>
      <c r="DN182" s="28"/>
      <c r="DO182" s="65"/>
      <c r="DP182" s="64">
        <f t="shared" si="134"/>
        <v>0</v>
      </c>
      <c r="DQ182" s="28"/>
      <c r="DR182" s="28"/>
      <c r="DS182" s="65"/>
      <c r="DT182" s="64">
        <f t="shared" si="135"/>
        <v>0</v>
      </c>
      <c r="DU182" s="28"/>
      <c r="DV182" s="28"/>
      <c r="DW182" s="65"/>
      <c r="DX182" s="30">
        <f t="shared" si="136"/>
        <v>0</v>
      </c>
      <c r="DY182" s="68"/>
      <c r="DZ182" s="68"/>
      <c r="EA182" s="68"/>
      <c r="EB182" s="9">
        <f>D182*'MASTER SHEET'!D182</f>
        <v>0</v>
      </c>
      <c r="EC182" s="9">
        <f>H182*'MASTER SHEET'!D182</f>
        <v>0</v>
      </c>
      <c r="ED182" s="9">
        <f>L182*'MASTER SHEET'!D182</f>
        <v>0</v>
      </c>
      <c r="EE182" s="9">
        <f>P182*'MASTER SHEET'!D182</f>
        <v>0</v>
      </c>
      <c r="EF182" s="9">
        <f>T182*'MASTER SHEET'!D182</f>
        <v>0</v>
      </c>
      <c r="EG182" s="9">
        <f>X182*'MASTER SHEET'!D182</f>
        <v>0</v>
      </c>
      <c r="EH182" s="9">
        <f>AB182*'MASTER SHEET'!D182</f>
        <v>0</v>
      </c>
      <c r="EI182" s="9">
        <f>AF182*'MASTER SHEET'!D182</f>
        <v>0</v>
      </c>
      <c r="EJ182" s="9">
        <f>AJ182*'MASTER SHEET'!D182</f>
        <v>0</v>
      </c>
      <c r="EK182" s="9">
        <f>AN182*'MASTER SHEET'!D182</f>
        <v>0</v>
      </c>
      <c r="EL182" s="9">
        <f>AR182*'MASTER SHEET'!D182</f>
        <v>0</v>
      </c>
      <c r="EM182" s="9">
        <f>AV182*'MASTER SHEET'!D182</f>
        <v>0</v>
      </c>
      <c r="EN182" s="9">
        <f>AZ182*'MASTER SHEET'!D182</f>
        <v>0</v>
      </c>
      <c r="EO182" s="9">
        <f>BD182*'MASTER SHEET'!D182</f>
        <v>0</v>
      </c>
      <c r="EP182" s="9">
        <f>BH182*'MASTER SHEET'!D182</f>
        <v>0</v>
      </c>
      <c r="EQ182" s="9">
        <f>BL182*'MASTER SHEET'!D182</f>
        <v>0</v>
      </c>
      <c r="ER182" s="9">
        <f>BP182*'MASTER SHEET'!D182</f>
        <v>0</v>
      </c>
      <c r="ES182" s="9">
        <f>BT182*'MASTER SHEET'!D182</f>
        <v>0</v>
      </c>
      <c r="ET182" s="9">
        <f>BX182*'MASTER SHEET'!D182</f>
        <v>0</v>
      </c>
      <c r="EU182" s="9">
        <f>CB182*'MASTER SHEET'!D182</f>
        <v>0</v>
      </c>
      <c r="EV182" s="9">
        <f>CF182*'MASTER SHEET'!D182</f>
        <v>0</v>
      </c>
      <c r="EW182" s="9">
        <f>CJ182*'MASTER SHEET'!D182</f>
        <v>0</v>
      </c>
      <c r="EX182" s="9">
        <f>CN182*'MASTER SHEET'!D182</f>
        <v>0</v>
      </c>
      <c r="EY182" s="9">
        <f>CV182*'MASTER SHEET'!D182</f>
        <v>0</v>
      </c>
      <c r="EZ182" s="9">
        <f>CV182*'MASTER SHEET'!D182</f>
        <v>0</v>
      </c>
      <c r="FA182" s="9">
        <f>CZ182*'MASTER SHEET'!D182</f>
        <v>0</v>
      </c>
      <c r="FB182" s="9">
        <f>DD182*'MASTER SHEET'!D182</f>
        <v>0</v>
      </c>
      <c r="FC182" s="9">
        <f>DH182*'MASTER SHEET'!D182</f>
        <v>0</v>
      </c>
      <c r="FD182" s="9">
        <f>DL182*'MASTER SHEET'!D182</f>
        <v>0</v>
      </c>
      <c r="FE182" s="9">
        <f>DP182*'MASTER SHEET'!D182</f>
        <v>0</v>
      </c>
      <c r="FF182" s="9">
        <f>DT182*'MASTER SHEET'!D182</f>
        <v>0</v>
      </c>
      <c r="FG182" s="9">
        <f>DX182*'MASTER SHEET'!D182</f>
        <v>0</v>
      </c>
    </row>
    <row r="183" spans="1:163" s="69" customFormat="1" ht="20.25" x14ac:dyDescent="0.25">
      <c r="A183" s="43">
        <f>'MASTER SHEET'!A183</f>
        <v>181</v>
      </c>
      <c r="B183" s="67" t="str">
        <f>'MASTER SHEET'!B183</f>
        <v>SPACER PLASTIC</v>
      </c>
      <c r="C183" s="82">
        <f>'MASTER SHEET'!C183</f>
        <v>5061537</v>
      </c>
      <c r="D183" s="64"/>
      <c r="E183" s="28"/>
      <c r="F183" s="28"/>
      <c r="G183" s="65"/>
      <c r="H183" s="64">
        <f t="shared" si="106"/>
        <v>0</v>
      </c>
      <c r="I183" s="28"/>
      <c r="J183" s="28"/>
      <c r="K183" s="65"/>
      <c r="L183" s="64">
        <f t="shared" si="107"/>
        <v>0</v>
      </c>
      <c r="M183" s="28"/>
      <c r="N183" s="28"/>
      <c r="O183" s="65"/>
      <c r="P183" s="64">
        <f t="shared" si="108"/>
        <v>0</v>
      </c>
      <c r="Q183" s="28"/>
      <c r="R183" s="28"/>
      <c r="S183" s="65"/>
      <c r="T183" s="64">
        <f t="shared" si="109"/>
        <v>0</v>
      </c>
      <c r="U183" s="28"/>
      <c r="V183" s="28"/>
      <c r="W183" s="65"/>
      <c r="X183" s="64">
        <f t="shared" si="110"/>
        <v>0</v>
      </c>
      <c r="Y183" s="28"/>
      <c r="Z183" s="28"/>
      <c r="AA183" s="65"/>
      <c r="AB183" s="64">
        <f t="shared" si="111"/>
        <v>0</v>
      </c>
      <c r="AC183" s="28"/>
      <c r="AD183" s="28"/>
      <c r="AE183" s="65"/>
      <c r="AF183" s="64">
        <f t="shared" si="112"/>
        <v>0</v>
      </c>
      <c r="AG183" s="28"/>
      <c r="AH183" s="28"/>
      <c r="AI183" s="65"/>
      <c r="AJ183" s="64">
        <f t="shared" si="113"/>
        <v>0</v>
      </c>
      <c r="AK183" s="28"/>
      <c r="AL183" s="28"/>
      <c r="AM183" s="65"/>
      <c r="AN183" s="64">
        <f t="shared" si="114"/>
        <v>0</v>
      </c>
      <c r="AO183" s="28"/>
      <c r="AP183" s="28"/>
      <c r="AQ183" s="65"/>
      <c r="AR183" s="64">
        <f t="shared" si="115"/>
        <v>0</v>
      </c>
      <c r="AS183" s="28"/>
      <c r="AT183" s="28"/>
      <c r="AU183" s="65"/>
      <c r="AV183" s="64">
        <f t="shared" si="116"/>
        <v>0</v>
      </c>
      <c r="AW183" s="28"/>
      <c r="AX183" s="28"/>
      <c r="AY183" s="65"/>
      <c r="AZ183" s="64">
        <f t="shared" si="117"/>
        <v>0</v>
      </c>
      <c r="BA183" s="28"/>
      <c r="BB183" s="28"/>
      <c r="BC183" s="65"/>
      <c r="BD183" s="64">
        <f t="shared" si="118"/>
        <v>0</v>
      </c>
      <c r="BE183" s="28"/>
      <c r="BF183" s="28"/>
      <c r="BG183" s="65"/>
      <c r="BH183" s="64">
        <f t="shared" si="119"/>
        <v>0</v>
      </c>
      <c r="BI183" s="28"/>
      <c r="BJ183" s="28"/>
      <c r="BK183" s="65"/>
      <c r="BL183" s="64">
        <f t="shared" si="120"/>
        <v>0</v>
      </c>
      <c r="BM183" s="28"/>
      <c r="BN183" s="28"/>
      <c r="BO183" s="65"/>
      <c r="BP183" s="64">
        <f t="shared" si="121"/>
        <v>0</v>
      </c>
      <c r="BQ183" s="28"/>
      <c r="BR183" s="28"/>
      <c r="BS183" s="65"/>
      <c r="BT183" s="64">
        <f t="shared" si="122"/>
        <v>0</v>
      </c>
      <c r="BU183" s="28"/>
      <c r="BV183" s="28"/>
      <c r="BW183" s="65"/>
      <c r="BX183" s="64">
        <f t="shared" si="123"/>
        <v>0</v>
      </c>
      <c r="BY183" s="28"/>
      <c r="BZ183" s="28"/>
      <c r="CA183" s="65"/>
      <c r="CB183" s="64">
        <f t="shared" si="124"/>
        <v>0</v>
      </c>
      <c r="CC183" s="28"/>
      <c r="CD183" s="28"/>
      <c r="CE183" s="65"/>
      <c r="CF183" s="64">
        <f t="shared" si="125"/>
        <v>0</v>
      </c>
      <c r="CG183" s="28"/>
      <c r="CH183" s="28"/>
      <c r="CI183" s="65"/>
      <c r="CJ183" s="64">
        <f t="shared" si="126"/>
        <v>0</v>
      </c>
      <c r="CK183" s="28"/>
      <c r="CL183" s="28"/>
      <c r="CM183" s="65"/>
      <c r="CN183" s="64">
        <f t="shared" si="127"/>
        <v>0</v>
      </c>
      <c r="CO183" s="28"/>
      <c r="CP183" s="28"/>
      <c r="CQ183" s="65"/>
      <c r="CR183" s="64">
        <f t="shared" si="128"/>
        <v>0</v>
      </c>
      <c r="CS183" s="28"/>
      <c r="CT183" s="28"/>
      <c r="CU183" s="65"/>
      <c r="CV183" s="64">
        <f t="shared" si="129"/>
        <v>0</v>
      </c>
      <c r="CW183" s="28"/>
      <c r="CX183" s="28"/>
      <c r="CY183" s="65"/>
      <c r="CZ183" s="64">
        <f t="shared" si="130"/>
        <v>0</v>
      </c>
      <c r="DA183" s="28"/>
      <c r="DB183" s="28"/>
      <c r="DC183" s="65"/>
      <c r="DD183" s="64">
        <f t="shared" si="131"/>
        <v>0</v>
      </c>
      <c r="DE183" s="28"/>
      <c r="DF183" s="28"/>
      <c r="DG183" s="65"/>
      <c r="DH183" s="64">
        <f t="shared" si="132"/>
        <v>0</v>
      </c>
      <c r="DI183" s="28"/>
      <c r="DJ183" s="28"/>
      <c r="DK183" s="65"/>
      <c r="DL183" s="64">
        <f t="shared" si="133"/>
        <v>0</v>
      </c>
      <c r="DM183" s="28"/>
      <c r="DN183" s="28"/>
      <c r="DO183" s="65"/>
      <c r="DP183" s="64">
        <f t="shared" si="134"/>
        <v>0</v>
      </c>
      <c r="DQ183" s="28"/>
      <c r="DR183" s="28"/>
      <c r="DS183" s="65"/>
      <c r="DT183" s="64">
        <f t="shared" si="135"/>
        <v>0</v>
      </c>
      <c r="DU183" s="28"/>
      <c r="DV183" s="28"/>
      <c r="DW183" s="65"/>
      <c r="DX183" s="30">
        <f t="shared" si="136"/>
        <v>0</v>
      </c>
      <c r="DY183" s="68"/>
      <c r="DZ183" s="68"/>
      <c r="EA183" s="68"/>
      <c r="EB183" s="9">
        <f>D183*'MASTER SHEET'!D183</f>
        <v>0</v>
      </c>
      <c r="EC183" s="9">
        <f>H183*'MASTER SHEET'!D183</f>
        <v>0</v>
      </c>
      <c r="ED183" s="9">
        <f>L183*'MASTER SHEET'!D183</f>
        <v>0</v>
      </c>
      <c r="EE183" s="9">
        <f>P183*'MASTER SHEET'!D183</f>
        <v>0</v>
      </c>
      <c r="EF183" s="9">
        <f>T183*'MASTER SHEET'!D183</f>
        <v>0</v>
      </c>
      <c r="EG183" s="9">
        <f>X183*'MASTER SHEET'!D183</f>
        <v>0</v>
      </c>
      <c r="EH183" s="9">
        <f>AB183*'MASTER SHEET'!D183</f>
        <v>0</v>
      </c>
      <c r="EI183" s="9">
        <f>AF183*'MASTER SHEET'!D183</f>
        <v>0</v>
      </c>
      <c r="EJ183" s="9">
        <f>AJ183*'MASTER SHEET'!D183</f>
        <v>0</v>
      </c>
      <c r="EK183" s="9">
        <f>AN183*'MASTER SHEET'!D183</f>
        <v>0</v>
      </c>
      <c r="EL183" s="9">
        <f>AR183*'MASTER SHEET'!D183</f>
        <v>0</v>
      </c>
      <c r="EM183" s="9">
        <f>AV183*'MASTER SHEET'!D183</f>
        <v>0</v>
      </c>
      <c r="EN183" s="9">
        <f>AZ183*'MASTER SHEET'!D183</f>
        <v>0</v>
      </c>
      <c r="EO183" s="9">
        <f>BD183*'MASTER SHEET'!D183</f>
        <v>0</v>
      </c>
      <c r="EP183" s="9">
        <f>BH183*'MASTER SHEET'!D183</f>
        <v>0</v>
      </c>
      <c r="EQ183" s="9">
        <f>BL183*'MASTER SHEET'!D183</f>
        <v>0</v>
      </c>
      <c r="ER183" s="9">
        <f>BP183*'MASTER SHEET'!D183</f>
        <v>0</v>
      </c>
      <c r="ES183" s="9">
        <f>BT183*'MASTER SHEET'!D183</f>
        <v>0</v>
      </c>
      <c r="ET183" s="9">
        <f>BX183*'MASTER SHEET'!D183</f>
        <v>0</v>
      </c>
      <c r="EU183" s="9">
        <f>CB183*'MASTER SHEET'!D183</f>
        <v>0</v>
      </c>
      <c r="EV183" s="9">
        <f>CF183*'MASTER SHEET'!D183</f>
        <v>0</v>
      </c>
      <c r="EW183" s="9">
        <f>CJ183*'MASTER SHEET'!D183</f>
        <v>0</v>
      </c>
      <c r="EX183" s="9">
        <f>CN183*'MASTER SHEET'!D183</f>
        <v>0</v>
      </c>
      <c r="EY183" s="9">
        <f>CV183*'MASTER SHEET'!D183</f>
        <v>0</v>
      </c>
      <c r="EZ183" s="9">
        <f>CV183*'MASTER SHEET'!D183</f>
        <v>0</v>
      </c>
      <c r="FA183" s="9">
        <f>CZ183*'MASTER SHEET'!D183</f>
        <v>0</v>
      </c>
      <c r="FB183" s="9">
        <f>DD183*'MASTER SHEET'!D183</f>
        <v>0</v>
      </c>
      <c r="FC183" s="9">
        <f>DH183*'MASTER SHEET'!D183</f>
        <v>0</v>
      </c>
      <c r="FD183" s="9">
        <f>DL183*'MASTER SHEET'!D183</f>
        <v>0</v>
      </c>
      <c r="FE183" s="9">
        <f>DP183*'MASTER SHEET'!D183</f>
        <v>0</v>
      </c>
      <c r="FF183" s="9">
        <f>DT183*'MASTER SHEET'!D183</f>
        <v>0</v>
      </c>
      <c r="FG183" s="9">
        <f>DX183*'MASTER SHEET'!D183</f>
        <v>0</v>
      </c>
    </row>
    <row r="184" spans="1:163" s="69" customFormat="1" ht="20.25" x14ac:dyDescent="0.25">
      <c r="A184" s="43">
        <f>'MASTER SHEET'!A184</f>
        <v>182</v>
      </c>
      <c r="B184" s="67" t="str">
        <f>'MASTER SHEET'!B184</f>
        <v>ENDPLATE, PLASTIC</v>
      </c>
      <c r="C184" s="82">
        <f>'MASTER SHEET'!C184</f>
        <v>5046448</v>
      </c>
      <c r="D184" s="64"/>
      <c r="E184" s="28"/>
      <c r="F184" s="28"/>
      <c r="G184" s="65"/>
      <c r="H184" s="64">
        <f t="shared" si="106"/>
        <v>0</v>
      </c>
      <c r="I184" s="28"/>
      <c r="J184" s="28"/>
      <c r="K184" s="65"/>
      <c r="L184" s="64">
        <f t="shared" si="107"/>
        <v>0</v>
      </c>
      <c r="M184" s="28"/>
      <c r="N184" s="28"/>
      <c r="O184" s="65"/>
      <c r="P184" s="64">
        <f t="shared" si="108"/>
        <v>0</v>
      </c>
      <c r="Q184" s="28"/>
      <c r="R184" s="28"/>
      <c r="S184" s="65"/>
      <c r="T184" s="64">
        <f t="shared" si="109"/>
        <v>0</v>
      </c>
      <c r="U184" s="28"/>
      <c r="V184" s="28"/>
      <c r="W184" s="65"/>
      <c r="X184" s="64">
        <f t="shared" si="110"/>
        <v>0</v>
      </c>
      <c r="Y184" s="28"/>
      <c r="Z184" s="28"/>
      <c r="AA184" s="65"/>
      <c r="AB184" s="64">
        <f t="shared" si="111"/>
        <v>0</v>
      </c>
      <c r="AC184" s="28"/>
      <c r="AD184" s="28"/>
      <c r="AE184" s="65"/>
      <c r="AF184" s="64">
        <f t="shared" si="112"/>
        <v>0</v>
      </c>
      <c r="AG184" s="28"/>
      <c r="AH184" s="28"/>
      <c r="AI184" s="65"/>
      <c r="AJ184" s="64">
        <f t="shared" si="113"/>
        <v>0</v>
      </c>
      <c r="AK184" s="28"/>
      <c r="AL184" s="28"/>
      <c r="AM184" s="65"/>
      <c r="AN184" s="64">
        <f t="shared" si="114"/>
        <v>0</v>
      </c>
      <c r="AO184" s="28"/>
      <c r="AP184" s="28"/>
      <c r="AQ184" s="65"/>
      <c r="AR184" s="64">
        <f t="shared" si="115"/>
        <v>0</v>
      </c>
      <c r="AS184" s="28"/>
      <c r="AT184" s="28"/>
      <c r="AU184" s="65"/>
      <c r="AV184" s="64">
        <f t="shared" si="116"/>
        <v>0</v>
      </c>
      <c r="AW184" s="28"/>
      <c r="AX184" s="28"/>
      <c r="AY184" s="65"/>
      <c r="AZ184" s="64">
        <f t="shared" si="117"/>
        <v>0</v>
      </c>
      <c r="BA184" s="28"/>
      <c r="BB184" s="28"/>
      <c r="BC184" s="65"/>
      <c r="BD184" s="64">
        <f t="shared" si="118"/>
        <v>0</v>
      </c>
      <c r="BE184" s="28"/>
      <c r="BF184" s="28"/>
      <c r="BG184" s="65"/>
      <c r="BH184" s="64">
        <f t="shared" si="119"/>
        <v>0</v>
      </c>
      <c r="BI184" s="28"/>
      <c r="BJ184" s="28"/>
      <c r="BK184" s="65"/>
      <c r="BL184" s="64">
        <f t="shared" si="120"/>
        <v>0</v>
      </c>
      <c r="BM184" s="28"/>
      <c r="BN184" s="28"/>
      <c r="BO184" s="65"/>
      <c r="BP184" s="64">
        <f t="shared" si="121"/>
        <v>0</v>
      </c>
      <c r="BQ184" s="28"/>
      <c r="BR184" s="28"/>
      <c r="BS184" s="65"/>
      <c r="BT184" s="64">
        <f t="shared" si="122"/>
        <v>0</v>
      </c>
      <c r="BU184" s="28"/>
      <c r="BV184" s="28"/>
      <c r="BW184" s="65"/>
      <c r="BX184" s="64">
        <f t="shared" si="123"/>
        <v>0</v>
      </c>
      <c r="BY184" s="28"/>
      <c r="BZ184" s="28"/>
      <c r="CA184" s="65"/>
      <c r="CB184" s="64">
        <f t="shared" si="124"/>
        <v>0</v>
      </c>
      <c r="CC184" s="28"/>
      <c r="CD184" s="28"/>
      <c r="CE184" s="65"/>
      <c r="CF184" s="64">
        <f t="shared" si="125"/>
        <v>0</v>
      </c>
      <c r="CG184" s="28"/>
      <c r="CH184" s="28"/>
      <c r="CI184" s="65"/>
      <c r="CJ184" s="64">
        <f t="shared" si="126"/>
        <v>0</v>
      </c>
      <c r="CK184" s="28"/>
      <c r="CL184" s="28"/>
      <c r="CM184" s="65"/>
      <c r="CN184" s="64">
        <f t="shared" si="127"/>
        <v>0</v>
      </c>
      <c r="CO184" s="28"/>
      <c r="CP184" s="28"/>
      <c r="CQ184" s="65"/>
      <c r="CR184" s="64">
        <f t="shared" si="128"/>
        <v>0</v>
      </c>
      <c r="CS184" s="28"/>
      <c r="CT184" s="28"/>
      <c r="CU184" s="65"/>
      <c r="CV184" s="64">
        <f t="shared" si="129"/>
        <v>0</v>
      </c>
      <c r="CW184" s="28"/>
      <c r="CX184" s="28"/>
      <c r="CY184" s="65"/>
      <c r="CZ184" s="64">
        <f t="shared" si="130"/>
        <v>0</v>
      </c>
      <c r="DA184" s="28"/>
      <c r="DB184" s="28"/>
      <c r="DC184" s="65"/>
      <c r="DD184" s="64">
        <f t="shared" si="131"/>
        <v>0</v>
      </c>
      <c r="DE184" s="28"/>
      <c r="DF184" s="28"/>
      <c r="DG184" s="65"/>
      <c r="DH184" s="64">
        <f t="shared" si="132"/>
        <v>0</v>
      </c>
      <c r="DI184" s="28"/>
      <c r="DJ184" s="28"/>
      <c r="DK184" s="65"/>
      <c r="DL184" s="64">
        <f t="shared" si="133"/>
        <v>0</v>
      </c>
      <c r="DM184" s="28"/>
      <c r="DN184" s="28"/>
      <c r="DO184" s="65"/>
      <c r="DP184" s="64">
        <f t="shared" si="134"/>
        <v>0</v>
      </c>
      <c r="DQ184" s="28"/>
      <c r="DR184" s="28"/>
      <c r="DS184" s="65"/>
      <c r="DT184" s="64">
        <f t="shared" si="135"/>
        <v>0</v>
      </c>
      <c r="DU184" s="28"/>
      <c r="DV184" s="28"/>
      <c r="DW184" s="65"/>
      <c r="DX184" s="30">
        <f t="shared" si="136"/>
        <v>0</v>
      </c>
      <c r="DY184" s="68"/>
      <c r="DZ184" s="68"/>
      <c r="EA184" s="68"/>
      <c r="EB184" s="9">
        <f>D184*'MASTER SHEET'!D184</f>
        <v>0</v>
      </c>
      <c r="EC184" s="9">
        <f>H184*'MASTER SHEET'!D184</f>
        <v>0</v>
      </c>
      <c r="ED184" s="9">
        <f>L184*'MASTER SHEET'!D184</f>
        <v>0</v>
      </c>
      <c r="EE184" s="9">
        <f>P184*'MASTER SHEET'!D184</f>
        <v>0</v>
      </c>
      <c r="EF184" s="9">
        <f>T184*'MASTER SHEET'!D184</f>
        <v>0</v>
      </c>
      <c r="EG184" s="9">
        <f>X184*'MASTER SHEET'!D184</f>
        <v>0</v>
      </c>
      <c r="EH184" s="9">
        <f>AB184*'MASTER SHEET'!D184</f>
        <v>0</v>
      </c>
      <c r="EI184" s="9">
        <f>AF184*'MASTER SHEET'!D184</f>
        <v>0</v>
      </c>
      <c r="EJ184" s="9">
        <f>AJ184*'MASTER SHEET'!D184</f>
        <v>0</v>
      </c>
      <c r="EK184" s="9">
        <f>AN184*'MASTER SHEET'!D184</f>
        <v>0</v>
      </c>
      <c r="EL184" s="9">
        <f>AR184*'MASTER SHEET'!D184</f>
        <v>0</v>
      </c>
      <c r="EM184" s="9">
        <f>AV184*'MASTER SHEET'!D184</f>
        <v>0</v>
      </c>
      <c r="EN184" s="9">
        <f>AZ184*'MASTER SHEET'!D184</f>
        <v>0</v>
      </c>
      <c r="EO184" s="9">
        <f>BD184*'MASTER SHEET'!D184</f>
        <v>0</v>
      </c>
      <c r="EP184" s="9">
        <f>BH184*'MASTER SHEET'!D184</f>
        <v>0</v>
      </c>
      <c r="EQ184" s="9">
        <f>BL184*'MASTER SHEET'!D184</f>
        <v>0</v>
      </c>
      <c r="ER184" s="9">
        <f>BP184*'MASTER SHEET'!D184</f>
        <v>0</v>
      </c>
      <c r="ES184" s="9">
        <f>BT184*'MASTER SHEET'!D184</f>
        <v>0</v>
      </c>
      <c r="ET184" s="9">
        <f>BX184*'MASTER SHEET'!D184</f>
        <v>0</v>
      </c>
      <c r="EU184" s="9">
        <f>CB184*'MASTER SHEET'!D184</f>
        <v>0</v>
      </c>
      <c r="EV184" s="9">
        <f>CF184*'MASTER SHEET'!D184</f>
        <v>0</v>
      </c>
      <c r="EW184" s="9">
        <f>CJ184*'MASTER SHEET'!D184</f>
        <v>0</v>
      </c>
      <c r="EX184" s="9">
        <f>CN184*'MASTER SHEET'!D184</f>
        <v>0</v>
      </c>
      <c r="EY184" s="9">
        <f>CV184*'MASTER SHEET'!D184</f>
        <v>0</v>
      </c>
      <c r="EZ184" s="9">
        <f>CV184*'MASTER SHEET'!D184</f>
        <v>0</v>
      </c>
      <c r="FA184" s="9">
        <f>CZ184*'MASTER SHEET'!D184</f>
        <v>0</v>
      </c>
      <c r="FB184" s="9">
        <f>DD184*'MASTER SHEET'!D184</f>
        <v>0</v>
      </c>
      <c r="FC184" s="9">
        <f>DH184*'MASTER SHEET'!D184</f>
        <v>0</v>
      </c>
      <c r="FD184" s="9">
        <f>DL184*'MASTER SHEET'!D184</f>
        <v>0</v>
      </c>
      <c r="FE184" s="9">
        <f>DP184*'MASTER SHEET'!D184</f>
        <v>0</v>
      </c>
      <c r="FF184" s="9">
        <f>DT184*'MASTER SHEET'!D184</f>
        <v>0</v>
      </c>
      <c r="FG184" s="9">
        <f>DX184*'MASTER SHEET'!D184</f>
        <v>0</v>
      </c>
    </row>
    <row r="185" spans="1:163" s="69" customFormat="1" ht="20.25" x14ac:dyDescent="0.25">
      <c r="A185" s="43">
        <f>'MASTER SHEET'!A185</f>
        <v>183</v>
      </c>
      <c r="B185" s="67" t="str">
        <f>'MASTER SHEET'!B185</f>
        <v>HYDROPHOBIC SCREEN, ASY</v>
      </c>
      <c r="C185" s="82">
        <f>'MASTER SHEET'!C185</f>
        <v>5046453</v>
      </c>
      <c r="D185" s="64"/>
      <c r="E185" s="28"/>
      <c r="F185" s="28"/>
      <c r="G185" s="65"/>
      <c r="H185" s="64">
        <f t="shared" si="106"/>
        <v>0</v>
      </c>
      <c r="I185" s="28"/>
      <c r="J185" s="28"/>
      <c r="K185" s="65"/>
      <c r="L185" s="64">
        <f t="shared" si="107"/>
        <v>0</v>
      </c>
      <c r="M185" s="28"/>
      <c r="N185" s="28"/>
      <c r="O185" s="65"/>
      <c r="P185" s="64">
        <f t="shared" si="108"/>
        <v>0</v>
      </c>
      <c r="Q185" s="28"/>
      <c r="R185" s="28"/>
      <c r="S185" s="65"/>
      <c r="T185" s="64">
        <f t="shared" si="109"/>
        <v>0</v>
      </c>
      <c r="U185" s="28"/>
      <c r="V185" s="28"/>
      <c r="W185" s="65"/>
      <c r="X185" s="64">
        <f t="shared" si="110"/>
        <v>0</v>
      </c>
      <c r="Y185" s="28"/>
      <c r="Z185" s="28"/>
      <c r="AA185" s="65"/>
      <c r="AB185" s="64">
        <f t="shared" si="111"/>
        <v>0</v>
      </c>
      <c r="AC185" s="28"/>
      <c r="AD185" s="28"/>
      <c r="AE185" s="65"/>
      <c r="AF185" s="64">
        <f t="shared" si="112"/>
        <v>0</v>
      </c>
      <c r="AG185" s="28"/>
      <c r="AH185" s="28"/>
      <c r="AI185" s="65"/>
      <c r="AJ185" s="64">
        <f t="shared" si="113"/>
        <v>0</v>
      </c>
      <c r="AK185" s="28"/>
      <c r="AL185" s="28"/>
      <c r="AM185" s="65"/>
      <c r="AN185" s="64">
        <f t="shared" si="114"/>
        <v>0</v>
      </c>
      <c r="AO185" s="28"/>
      <c r="AP185" s="28"/>
      <c r="AQ185" s="65"/>
      <c r="AR185" s="64">
        <f t="shared" si="115"/>
        <v>0</v>
      </c>
      <c r="AS185" s="28"/>
      <c r="AT185" s="28"/>
      <c r="AU185" s="65"/>
      <c r="AV185" s="64">
        <f t="shared" si="116"/>
        <v>0</v>
      </c>
      <c r="AW185" s="28"/>
      <c r="AX185" s="28"/>
      <c r="AY185" s="65"/>
      <c r="AZ185" s="64">
        <f t="shared" si="117"/>
        <v>0</v>
      </c>
      <c r="BA185" s="28"/>
      <c r="BB185" s="28"/>
      <c r="BC185" s="65"/>
      <c r="BD185" s="64">
        <f t="shared" si="118"/>
        <v>0</v>
      </c>
      <c r="BE185" s="28"/>
      <c r="BF185" s="28"/>
      <c r="BG185" s="65"/>
      <c r="BH185" s="64">
        <f t="shared" si="119"/>
        <v>0</v>
      </c>
      <c r="BI185" s="28"/>
      <c r="BJ185" s="28"/>
      <c r="BK185" s="65"/>
      <c r="BL185" s="64">
        <f t="shared" si="120"/>
        <v>0</v>
      </c>
      <c r="BM185" s="28"/>
      <c r="BN185" s="28"/>
      <c r="BO185" s="65"/>
      <c r="BP185" s="64">
        <f t="shared" si="121"/>
        <v>0</v>
      </c>
      <c r="BQ185" s="28"/>
      <c r="BR185" s="28"/>
      <c r="BS185" s="65"/>
      <c r="BT185" s="64">
        <f t="shared" si="122"/>
        <v>0</v>
      </c>
      <c r="BU185" s="28"/>
      <c r="BV185" s="28"/>
      <c r="BW185" s="65"/>
      <c r="BX185" s="64">
        <f t="shared" si="123"/>
        <v>0</v>
      </c>
      <c r="BY185" s="28"/>
      <c r="BZ185" s="28"/>
      <c r="CA185" s="65"/>
      <c r="CB185" s="64">
        <f t="shared" si="124"/>
        <v>0</v>
      </c>
      <c r="CC185" s="28"/>
      <c r="CD185" s="28"/>
      <c r="CE185" s="65"/>
      <c r="CF185" s="64">
        <f t="shared" si="125"/>
        <v>0</v>
      </c>
      <c r="CG185" s="28"/>
      <c r="CH185" s="28"/>
      <c r="CI185" s="65"/>
      <c r="CJ185" s="64">
        <f t="shared" si="126"/>
        <v>0</v>
      </c>
      <c r="CK185" s="28"/>
      <c r="CL185" s="28"/>
      <c r="CM185" s="65"/>
      <c r="CN185" s="64">
        <f t="shared" si="127"/>
        <v>0</v>
      </c>
      <c r="CO185" s="28"/>
      <c r="CP185" s="28"/>
      <c r="CQ185" s="65"/>
      <c r="CR185" s="64">
        <f t="shared" si="128"/>
        <v>0</v>
      </c>
      <c r="CS185" s="28"/>
      <c r="CT185" s="28"/>
      <c r="CU185" s="65"/>
      <c r="CV185" s="64">
        <f t="shared" si="129"/>
        <v>0</v>
      </c>
      <c r="CW185" s="28"/>
      <c r="CX185" s="28"/>
      <c r="CY185" s="65"/>
      <c r="CZ185" s="64">
        <f t="shared" si="130"/>
        <v>0</v>
      </c>
      <c r="DA185" s="28"/>
      <c r="DB185" s="28"/>
      <c r="DC185" s="65"/>
      <c r="DD185" s="64">
        <f t="shared" si="131"/>
        <v>0</v>
      </c>
      <c r="DE185" s="28"/>
      <c r="DF185" s="28"/>
      <c r="DG185" s="65"/>
      <c r="DH185" s="64">
        <f t="shared" si="132"/>
        <v>0</v>
      </c>
      <c r="DI185" s="28"/>
      <c r="DJ185" s="28"/>
      <c r="DK185" s="65"/>
      <c r="DL185" s="64">
        <f t="shared" si="133"/>
        <v>0</v>
      </c>
      <c r="DM185" s="28"/>
      <c r="DN185" s="28"/>
      <c r="DO185" s="65"/>
      <c r="DP185" s="64">
        <f t="shared" si="134"/>
        <v>0</v>
      </c>
      <c r="DQ185" s="28"/>
      <c r="DR185" s="28"/>
      <c r="DS185" s="65"/>
      <c r="DT185" s="64">
        <f t="shared" si="135"/>
        <v>0</v>
      </c>
      <c r="DU185" s="28"/>
      <c r="DV185" s="28"/>
      <c r="DW185" s="65"/>
      <c r="DX185" s="30">
        <f t="shared" si="136"/>
        <v>0</v>
      </c>
      <c r="DY185" s="68"/>
      <c r="DZ185" s="68"/>
      <c r="EA185" s="68"/>
      <c r="EB185" s="9">
        <f>D185*'MASTER SHEET'!D185</f>
        <v>0</v>
      </c>
      <c r="EC185" s="9">
        <f>H185*'MASTER SHEET'!D185</f>
        <v>0</v>
      </c>
      <c r="ED185" s="9">
        <f>L185*'MASTER SHEET'!D185</f>
        <v>0</v>
      </c>
      <c r="EE185" s="9">
        <f>P185*'MASTER SHEET'!D185</f>
        <v>0</v>
      </c>
      <c r="EF185" s="9">
        <f>T185*'MASTER SHEET'!D185</f>
        <v>0</v>
      </c>
      <c r="EG185" s="9">
        <f>X185*'MASTER SHEET'!D185</f>
        <v>0</v>
      </c>
      <c r="EH185" s="9">
        <f>AB185*'MASTER SHEET'!D185</f>
        <v>0</v>
      </c>
      <c r="EI185" s="9">
        <f>AF185*'MASTER SHEET'!D185</f>
        <v>0</v>
      </c>
      <c r="EJ185" s="9">
        <f>AJ185*'MASTER SHEET'!D185</f>
        <v>0</v>
      </c>
      <c r="EK185" s="9">
        <f>AN185*'MASTER SHEET'!D185</f>
        <v>0</v>
      </c>
      <c r="EL185" s="9">
        <f>AR185*'MASTER SHEET'!D185</f>
        <v>0</v>
      </c>
      <c r="EM185" s="9">
        <f>AV185*'MASTER SHEET'!D185</f>
        <v>0</v>
      </c>
      <c r="EN185" s="9">
        <f>AZ185*'MASTER SHEET'!D185</f>
        <v>0</v>
      </c>
      <c r="EO185" s="9">
        <f>BD185*'MASTER SHEET'!D185</f>
        <v>0</v>
      </c>
      <c r="EP185" s="9">
        <f>BH185*'MASTER SHEET'!D185</f>
        <v>0</v>
      </c>
      <c r="EQ185" s="9">
        <f>BL185*'MASTER SHEET'!D185</f>
        <v>0</v>
      </c>
      <c r="ER185" s="9">
        <f>BP185*'MASTER SHEET'!D185</f>
        <v>0</v>
      </c>
      <c r="ES185" s="9">
        <f>BT185*'MASTER SHEET'!D185</f>
        <v>0</v>
      </c>
      <c r="ET185" s="9">
        <f>BX185*'MASTER SHEET'!D185</f>
        <v>0</v>
      </c>
      <c r="EU185" s="9">
        <f>CB185*'MASTER SHEET'!D185</f>
        <v>0</v>
      </c>
      <c r="EV185" s="9">
        <f>CF185*'MASTER SHEET'!D185</f>
        <v>0</v>
      </c>
      <c r="EW185" s="9">
        <f>CJ185*'MASTER SHEET'!D185</f>
        <v>0</v>
      </c>
      <c r="EX185" s="9">
        <f>CN185*'MASTER SHEET'!D185</f>
        <v>0</v>
      </c>
      <c r="EY185" s="9">
        <f>CV185*'MASTER SHEET'!D185</f>
        <v>0</v>
      </c>
      <c r="EZ185" s="9">
        <f>CV185*'MASTER SHEET'!D185</f>
        <v>0</v>
      </c>
      <c r="FA185" s="9">
        <f>CZ185*'MASTER SHEET'!D185</f>
        <v>0</v>
      </c>
      <c r="FB185" s="9">
        <f>DD185*'MASTER SHEET'!D185</f>
        <v>0</v>
      </c>
      <c r="FC185" s="9">
        <f>DH185*'MASTER SHEET'!D185</f>
        <v>0</v>
      </c>
      <c r="FD185" s="9">
        <f>DL185*'MASTER SHEET'!D185</f>
        <v>0</v>
      </c>
      <c r="FE185" s="9">
        <f>DP185*'MASTER SHEET'!D185</f>
        <v>0</v>
      </c>
      <c r="FF185" s="9">
        <f>DT185*'MASTER SHEET'!D185</f>
        <v>0</v>
      </c>
      <c r="FG185" s="9">
        <f>DX185*'MASTER SHEET'!D185</f>
        <v>0</v>
      </c>
    </row>
    <row r="186" spans="1:163" s="69" customFormat="1" ht="20.25" x14ac:dyDescent="0.25">
      <c r="A186" s="43">
        <f>'MASTER SHEET'!A186</f>
        <v>184</v>
      </c>
      <c r="B186" s="67" t="str">
        <f>'MASTER SHEET'!B186</f>
        <v>CENTERTUBE, PLASTIC</v>
      </c>
      <c r="C186" s="82">
        <f>'MASTER SHEET'!C186</f>
        <v>5046456</v>
      </c>
      <c r="D186" s="64"/>
      <c r="E186" s="28"/>
      <c r="F186" s="28"/>
      <c r="G186" s="65"/>
      <c r="H186" s="64">
        <f t="shared" si="106"/>
        <v>0</v>
      </c>
      <c r="I186" s="28"/>
      <c r="J186" s="28"/>
      <c r="K186" s="65"/>
      <c r="L186" s="64">
        <f t="shared" si="107"/>
        <v>0</v>
      </c>
      <c r="M186" s="28"/>
      <c r="N186" s="28"/>
      <c r="O186" s="65"/>
      <c r="P186" s="64">
        <f t="shared" si="108"/>
        <v>0</v>
      </c>
      <c r="Q186" s="28"/>
      <c r="R186" s="28"/>
      <c r="S186" s="65"/>
      <c r="T186" s="64">
        <f t="shared" si="109"/>
        <v>0</v>
      </c>
      <c r="U186" s="28"/>
      <c r="V186" s="28"/>
      <c r="W186" s="65"/>
      <c r="X186" s="64">
        <f t="shared" si="110"/>
        <v>0</v>
      </c>
      <c r="Y186" s="28"/>
      <c r="Z186" s="28"/>
      <c r="AA186" s="65"/>
      <c r="AB186" s="64">
        <f t="shared" si="111"/>
        <v>0</v>
      </c>
      <c r="AC186" s="28"/>
      <c r="AD186" s="28"/>
      <c r="AE186" s="65"/>
      <c r="AF186" s="64">
        <f t="shared" si="112"/>
        <v>0</v>
      </c>
      <c r="AG186" s="28"/>
      <c r="AH186" s="28"/>
      <c r="AI186" s="65"/>
      <c r="AJ186" s="64">
        <f t="shared" si="113"/>
        <v>0</v>
      </c>
      <c r="AK186" s="28"/>
      <c r="AL186" s="28"/>
      <c r="AM186" s="65"/>
      <c r="AN186" s="64">
        <f t="shared" si="114"/>
        <v>0</v>
      </c>
      <c r="AO186" s="28"/>
      <c r="AP186" s="28"/>
      <c r="AQ186" s="65"/>
      <c r="AR186" s="64">
        <f t="shared" si="115"/>
        <v>0</v>
      </c>
      <c r="AS186" s="28"/>
      <c r="AT186" s="28"/>
      <c r="AU186" s="65"/>
      <c r="AV186" s="64">
        <f t="shared" si="116"/>
        <v>0</v>
      </c>
      <c r="AW186" s="28"/>
      <c r="AX186" s="28"/>
      <c r="AY186" s="65"/>
      <c r="AZ186" s="64">
        <f t="shared" si="117"/>
        <v>0</v>
      </c>
      <c r="BA186" s="28"/>
      <c r="BB186" s="28"/>
      <c r="BC186" s="65"/>
      <c r="BD186" s="64">
        <f t="shared" si="118"/>
        <v>0</v>
      </c>
      <c r="BE186" s="28"/>
      <c r="BF186" s="28"/>
      <c r="BG186" s="65"/>
      <c r="BH186" s="64">
        <f t="shared" si="119"/>
        <v>0</v>
      </c>
      <c r="BI186" s="28"/>
      <c r="BJ186" s="28"/>
      <c r="BK186" s="65"/>
      <c r="BL186" s="64">
        <f t="shared" si="120"/>
        <v>0</v>
      </c>
      <c r="BM186" s="28"/>
      <c r="BN186" s="28"/>
      <c r="BO186" s="65"/>
      <c r="BP186" s="64">
        <f t="shared" si="121"/>
        <v>0</v>
      </c>
      <c r="BQ186" s="28"/>
      <c r="BR186" s="28"/>
      <c r="BS186" s="65"/>
      <c r="BT186" s="64">
        <f t="shared" si="122"/>
        <v>0</v>
      </c>
      <c r="BU186" s="28"/>
      <c r="BV186" s="28"/>
      <c r="BW186" s="65"/>
      <c r="BX186" s="64">
        <f t="shared" si="123"/>
        <v>0</v>
      </c>
      <c r="BY186" s="28"/>
      <c r="BZ186" s="28"/>
      <c r="CA186" s="65"/>
      <c r="CB186" s="64">
        <f t="shared" si="124"/>
        <v>0</v>
      </c>
      <c r="CC186" s="28"/>
      <c r="CD186" s="28"/>
      <c r="CE186" s="65"/>
      <c r="CF186" s="64">
        <f t="shared" si="125"/>
        <v>0</v>
      </c>
      <c r="CG186" s="28"/>
      <c r="CH186" s="28"/>
      <c r="CI186" s="65"/>
      <c r="CJ186" s="64">
        <f t="shared" si="126"/>
        <v>0</v>
      </c>
      <c r="CK186" s="28"/>
      <c r="CL186" s="28"/>
      <c r="CM186" s="65"/>
      <c r="CN186" s="64">
        <f t="shared" si="127"/>
        <v>0</v>
      </c>
      <c r="CO186" s="28"/>
      <c r="CP186" s="28"/>
      <c r="CQ186" s="65"/>
      <c r="CR186" s="64">
        <f t="shared" si="128"/>
        <v>0</v>
      </c>
      <c r="CS186" s="28"/>
      <c r="CT186" s="28"/>
      <c r="CU186" s="65"/>
      <c r="CV186" s="64">
        <f t="shared" si="129"/>
        <v>0</v>
      </c>
      <c r="CW186" s="28"/>
      <c r="CX186" s="28"/>
      <c r="CY186" s="65"/>
      <c r="CZ186" s="64">
        <f t="shared" si="130"/>
        <v>0</v>
      </c>
      <c r="DA186" s="28"/>
      <c r="DB186" s="28"/>
      <c r="DC186" s="65"/>
      <c r="DD186" s="64">
        <f t="shared" si="131"/>
        <v>0</v>
      </c>
      <c r="DE186" s="28"/>
      <c r="DF186" s="28"/>
      <c r="DG186" s="65"/>
      <c r="DH186" s="64">
        <f t="shared" si="132"/>
        <v>0</v>
      </c>
      <c r="DI186" s="28"/>
      <c r="DJ186" s="28"/>
      <c r="DK186" s="65"/>
      <c r="DL186" s="64">
        <f t="shared" si="133"/>
        <v>0</v>
      </c>
      <c r="DM186" s="28"/>
      <c r="DN186" s="28"/>
      <c r="DO186" s="65"/>
      <c r="DP186" s="64">
        <f t="shared" si="134"/>
        <v>0</v>
      </c>
      <c r="DQ186" s="28"/>
      <c r="DR186" s="28"/>
      <c r="DS186" s="65"/>
      <c r="DT186" s="64">
        <f t="shared" si="135"/>
        <v>0</v>
      </c>
      <c r="DU186" s="28"/>
      <c r="DV186" s="28"/>
      <c r="DW186" s="65"/>
      <c r="DX186" s="30">
        <f t="shared" si="136"/>
        <v>0</v>
      </c>
      <c r="DY186" s="68"/>
      <c r="DZ186" s="68"/>
      <c r="EA186" s="68"/>
      <c r="EB186" s="9">
        <f>D186*'MASTER SHEET'!D186</f>
        <v>0</v>
      </c>
      <c r="EC186" s="9">
        <f>H186*'MASTER SHEET'!D186</f>
        <v>0</v>
      </c>
      <c r="ED186" s="9">
        <f>L186*'MASTER SHEET'!D186</f>
        <v>0</v>
      </c>
      <c r="EE186" s="9">
        <f>P186*'MASTER SHEET'!D186</f>
        <v>0</v>
      </c>
      <c r="EF186" s="9">
        <f>T186*'MASTER SHEET'!D186</f>
        <v>0</v>
      </c>
      <c r="EG186" s="9">
        <f>X186*'MASTER SHEET'!D186</f>
        <v>0</v>
      </c>
      <c r="EH186" s="9">
        <f>AB186*'MASTER SHEET'!D186</f>
        <v>0</v>
      </c>
      <c r="EI186" s="9">
        <f>AF186*'MASTER SHEET'!D186</f>
        <v>0</v>
      </c>
      <c r="EJ186" s="9">
        <f>AJ186*'MASTER SHEET'!D186</f>
        <v>0</v>
      </c>
      <c r="EK186" s="9">
        <f>AN186*'MASTER SHEET'!D186</f>
        <v>0</v>
      </c>
      <c r="EL186" s="9">
        <f>AR186*'MASTER SHEET'!D186</f>
        <v>0</v>
      </c>
      <c r="EM186" s="9">
        <f>AV186*'MASTER SHEET'!D186</f>
        <v>0</v>
      </c>
      <c r="EN186" s="9">
        <f>AZ186*'MASTER SHEET'!D186</f>
        <v>0</v>
      </c>
      <c r="EO186" s="9">
        <f>BD186*'MASTER SHEET'!D186</f>
        <v>0</v>
      </c>
      <c r="EP186" s="9">
        <f>BH186*'MASTER SHEET'!D186</f>
        <v>0</v>
      </c>
      <c r="EQ186" s="9">
        <f>BL186*'MASTER SHEET'!D186</f>
        <v>0</v>
      </c>
      <c r="ER186" s="9">
        <f>BP186*'MASTER SHEET'!D186</f>
        <v>0</v>
      </c>
      <c r="ES186" s="9">
        <f>BT186*'MASTER SHEET'!D186</f>
        <v>0</v>
      </c>
      <c r="ET186" s="9">
        <f>BX186*'MASTER SHEET'!D186</f>
        <v>0</v>
      </c>
      <c r="EU186" s="9">
        <f>CB186*'MASTER SHEET'!D186</f>
        <v>0</v>
      </c>
      <c r="EV186" s="9">
        <f>CF186*'MASTER SHEET'!D186</f>
        <v>0</v>
      </c>
      <c r="EW186" s="9">
        <f>CJ186*'MASTER SHEET'!D186</f>
        <v>0</v>
      </c>
      <c r="EX186" s="9">
        <f>CN186*'MASTER SHEET'!D186</f>
        <v>0</v>
      </c>
      <c r="EY186" s="9">
        <f>CV186*'MASTER SHEET'!D186</f>
        <v>0</v>
      </c>
      <c r="EZ186" s="9">
        <f>CV186*'MASTER SHEET'!D186</f>
        <v>0</v>
      </c>
      <c r="FA186" s="9">
        <f>CZ186*'MASTER SHEET'!D186</f>
        <v>0</v>
      </c>
      <c r="FB186" s="9">
        <f>DD186*'MASTER SHEET'!D186</f>
        <v>0</v>
      </c>
      <c r="FC186" s="9">
        <f>DH186*'MASTER SHEET'!D186</f>
        <v>0</v>
      </c>
      <c r="FD186" s="9">
        <f>DL186*'MASTER SHEET'!D186</f>
        <v>0</v>
      </c>
      <c r="FE186" s="9">
        <f>DP186*'MASTER SHEET'!D186</f>
        <v>0</v>
      </c>
      <c r="FF186" s="9">
        <f>DT186*'MASTER SHEET'!D186</f>
        <v>0</v>
      </c>
      <c r="FG186" s="9">
        <f>DX186*'MASTER SHEET'!D186</f>
        <v>0</v>
      </c>
    </row>
    <row r="187" spans="1:163" s="69" customFormat="1" ht="20.25" x14ac:dyDescent="0.25">
      <c r="A187" s="43">
        <f>'MASTER SHEET'!A187</f>
        <v>185</v>
      </c>
      <c r="B187" s="67" t="str">
        <f>'MASTER SHEET'!B187</f>
        <v>KINETIC SHROUD</v>
      </c>
      <c r="C187" s="82" t="str">
        <f>'MASTER SHEET'!C187</f>
        <v>FS3200000A</v>
      </c>
      <c r="D187" s="64"/>
      <c r="E187" s="28"/>
      <c r="F187" s="28"/>
      <c r="G187" s="65"/>
      <c r="H187" s="64">
        <f t="shared" si="106"/>
        <v>0</v>
      </c>
      <c r="I187" s="28"/>
      <c r="J187" s="28"/>
      <c r="K187" s="65"/>
      <c r="L187" s="64">
        <f t="shared" si="107"/>
        <v>0</v>
      </c>
      <c r="M187" s="28"/>
      <c r="N187" s="28"/>
      <c r="O187" s="65"/>
      <c r="P187" s="64">
        <f t="shared" si="108"/>
        <v>0</v>
      </c>
      <c r="Q187" s="28"/>
      <c r="R187" s="28"/>
      <c r="S187" s="65"/>
      <c r="T187" s="64">
        <f t="shared" si="109"/>
        <v>0</v>
      </c>
      <c r="U187" s="28"/>
      <c r="V187" s="28"/>
      <c r="W187" s="65"/>
      <c r="X187" s="64">
        <f t="shared" si="110"/>
        <v>0</v>
      </c>
      <c r="Y187" s="28"/>
      <c r="Z187" s="28"/>
      <c r="AA187" s="65"/>
      <c r="AB187" s="64">
        <f t="shared" si="111"/>
        <v>0</v>
      </c>
      <c r="AC187" s="28"/>
      <c r="AD187" s="28"/>
      <c r="AE187" s="65"/>
      <c r="AF187" s="64">
        <f t="shared" si="112"/>
        <v>0</v>
      </c>
      <c r="AG187" s="28"/>
      <c r="AH187" s="28"/>
      <c r="AI187" s="65"/>
      <c r="AJ187" s="64">
        <f t="shared" si="113"/>
        <v>0</v>
      </c>
      <c r="AK187" s="28"/>
      <c r="AL187" s="28"/>
      <c r="AM187" s="65"/>
      <c r="AN187" s="64">
        <f t="shared" si="114"/>
        <v>0</v>
      </c>
      <c r="AO187" s="28"/>
      <c r="AP187" s="28"/>
      <c r="AQ187" s="65"/>
      <c r="AR187" s="64">
        <f t="shared" si="115"/>
        <v>0</v>
      </c>
      <c r="AS187" s="28"/>
      <c r="AT187" s="28"/>
      <c r="AU187" s="65"/>
      <c r="AV187" s="64">
        <f t="shared" si="116"/>
        <v>0</v>
      </c>
      <c r="AW187" s="28"/>
      <c r="AX187" s="28"/>
      <c r="AY187" s="65"/>
      <c r="AZ187" s="64">
        <f t="shared" si="117"/>
        <v>0</v>
      </c>
      <c r="BA187" s="28"/>
      <c r="BB187" s="28"/>
      <c r="BC187" s="65"/>
      <c r="BD187" s="64">
        <f t="shared" si="118"/>
        <v>0</v>
      </c>
      <c r="BE187" s="28"/>
      <c r="BF187" s="28"/>
      <c r="BG187" s="65"/>
      <c r="BH187" s="64">
        <f t="shared" si="119"/>
        <v>0</v>
      </c>
      <c r="BI187" s="28"/>
      <c r="BJ187" s="28"/>
      <c r="BK187" s="65"/>
      <c r="BL187" s="64">
        <f t="shared" si="120"/>
        <v>0</v>
      </c>
      <c r="BM187" s="28"/>
      <c r="BN187" s="28"/>
      <c r="BO187" s="65"/>
      <c r="BP187" s="64">
        <f t="shared" si="121"/>
        <v>0</v>
      </c>
      <c r="BQ187" s="28"/>
      <c r="BR187" s="28"/>
      <c r="BS187" s="65"/>
      <c r="BT187" s="64">
        <f t="shared" si="122"/>
        <v>0</v>
      </c>
      <c r="BU187" s="28"/>
      <c r="BV187" s="28"/>
      <c r="BW187" s="65"/>
      <c r="BX187" s="64">
        <f t="shared" si="123"/>
        <v>0</v>
      </c>
      <c r="BY187" s="28"/>
      <c r="BZ187" s="28"/>
      <c r="CA187" s="65"/>
      <c r="CB187" s="64">
        <f t="shared" si="124"/>
        <v>0</v>
      </c>
      <c r="CC187" s="28"/>
      <c r="CD187" s="28"/>
      <c r="CE187" s="65"/>
      <c r="CF187" s="64">
        <f t="shared" si="125"/>
        <v>0</v>
      </c>
      <c r="CG187" s="28"/>
      <c r="CH187" s="28"/>
      <c r="CI187" s="65"/>
      <c r="CJ187" s="64">
        <f t="shared" si="126"/>
        <v>0</v>
      </c>
      <c r="CK187" s="28"/>
      <c r="CL187" s="28"/>
      <c r="CM187" s="65"/>
      <c r="CN187" s="64">
        <f t="shared" si="127"/>
        <v>0</v>
      </c>
      <c r="CO187" s="28"/>
      <c r="CP187" s="28"/>
      <c r="CQ187" s="65"/>
      <c r="CR187" s="64">
        <f t="shared" si="128"/>
        <v>0</v>
      </c>
      <c r="CS187" s="28"/>
      <c r="CT187" s="28"/>
      <c r="CU187" s="65"/>
      <c r="CV187" s="64">
        <f t="shared" si="129"/>
        <v>0</v>
      </c>
      <c r="CW187" s="28"/>
      <c r="CX187" s="28"/>
      <c r="CY187" s="65"/>
      <c r="CZ187" s="64">
        <f t="shared" si="130"/>
        <v>0</v>
      </c>
      <c r="DA187" s="28"/>
      <c r="DB187" s="28"/>
      <c r="DC187" s="65"/>
      <c r="DD187" s="64">
        <f t="shared" si="131"/>
        <v>0</v>
      </c>
      <c r="DE187" s="28"/>
      <c r="DF187" s="28"/>
      <c r="DG187" s="65"/>
      <c r="DH187" s="64">
        <f t="shared" si="132"/>
        <v>0</v>
      </c>
      <c r="DI187" s="28"/>
      <c r="DJ187" s="28"/>
      <c r="DK187" s="65"/>
      <c r="DL187" s="64">
        <f t="shared" si="133"/>
        <v>0</v>
      </c>
      <c r="DM187" s="28"/>
      <c r="DN187" s="28"/>
      <c r="DO187" s="65"/>
      <c r="DP187" s="64">
        <f t="shared" si="134"/>
        <v>0</v>
      </c>
      <c r="DQ187" s="28"/>
      <c r="DR187" s="28"/>
      <c r="DS187" s="65"/>
      <c r="DT187" s="64">
        <f t="shared" si="135"/>
        <v>0</v>
      </c>
      <c r="DU187" s="28"/>
      <c r="DV187" s="28"/>
      <c r="DW187" s="65"/>
      <c r="DX187" s="30">
        <f t="shared" si="136"/>
        <v>0</v>
      </c>
      <c r="DY187" s="68"/>
      <c r="DZ187" s="68"/>
      <c r="EA187" s="68"/>
      <c r="EB187" s="9">
        <f>D187*'MASTER SHEET'!D187</f>
        <v>0</v>
      </c>
      <c r="EC187" s="9">
        <f>H187*'MASTER SHEET'!D187</f>
        <v>0</v>
      </c>
      <c r="ED187" s="9">
        <f>L187*'MASTER SHEET'!D187</f>
        <v>0</v>
      </c>
      <c r="EE187" s="9">
        <f>P187*'MASTER SHEET'!D187</f>
        <v>0</v>
      </c>
      <c r="EF187" s="9">
        <f>T187*'MASTER SHEET'!D187</f>
        <v>0</v>
      </c>
      <c r="EG187" s="9">
        <f>X187*'MASTER SHEET'!D187</f>
        <v>0</v>
      </c>
      <c r="EH187" s="9">
        <f>AB187*'MASTER SHEET'!D187</f>
        <v>0</v>
      </c>
      <c r="EI187" s="9">
        <f>AF187*'MASTER SHEET'!D187</f>
        <v>0</v>
      </c>
      <c r="EJ187" s="9">
        <f>AJ187*'MASTER SHEET'!D187</f>
        <v>0</v>
      </c>
      <c r="EK187" s="9">
        <f>AN187*'MASTER SHEET'!D187</f>
        <v>0</v>
      </c>
      <c r="EL187" s="9">
        <f>AR187*'MASTER SHEET'!D187</f>
        <v>0</v>
      </c>
      <c r="EM187" s="9">
        <f>AV187*'MASTER SHEET'!D187</f>
        <v>0</v>
      </c>
      <c r="EN187" s="9">
        <f>AZ187*'MASTER SHEET'!D187</f>
        <v>0</v>
      </c>
      <c r="EO187" s="9">
        <f>BD187*'MASTER SHEET'!D187</f>
        <v>0</v>
      </c>
      <c r="EP187" s="9">
        <f>BH187*'MASTER SHEET'!D187</f>
        <v>0</v>
      </c>
      <c r="EQ187" s="9">
        <f>BL187*'MASTER SHEET'!D187</f>
        <v>0</v>
      </c>
      <c r="ER187" s="9">
        <f>BP187*'MASTER SHEET'!D187</f>
        <v>0</v>
      </c>
      <c r="ES187" s="9">
        <f>BT187*'MASTER SHEET'!D187</f>
        <v>0</v>
      </c>
      <c r="ET187" s="9">
        <f>BX187*'MASTER SHEET'!D187</f>
        <v>0</v>
      </c>
      <c r="EU187" s="9">
        <f>CB187*'MASTER SHEET'!D187</f>
        <v>0</v>
      </c>
      <c r="EV187" s="9">
        <f>CF187*'MASTER SHEET'!D187</f>
        <v>0</v>
      </c>
      <c r="EW187" s="9">
        <f>CJ187*'MASTER SHEET'!D187</f>
        <v>0</v>
      </c>
      <c r="EX187" s="9">
        <f>CN187*'MASTER SHEET'!D187</f>
        <v>0</v>
      </c>
      <c r="EY187" s="9">
        <f>CV187*'MASTER SHEET'!D187</f>
        <v>0</v>
      </c>
      <c r="EZ187" s="9">
        <f>CV187*'MASTER SHEET'!D187</f>
        <v>0</v>
      </c>
      <c r="FA187" s="9">
        <f>CZ187*'MASTER SHEET'!D187</f>
        <v>0</v>
      </c>
      <c r="FB187" s="9">
        <f>DD187*'MASTER SHEET'!D187</f>
        <v>0</v>
      </c>
      <c r="FC187" s="9">
        <f>DH187*'MASTER SHEET'!D187</f>
        <v>0</v>
      </c>
      <c r="FD187" s="9">
        <f>DL187*'MASTER SHEET'!D187</f>
        <v>0</v>
      </c>
      <c r="FE187" s="9">
        <f>DP187*'MASTER SHEET'!D187</f>
        <v>0</v>
      </c>
      <c r="FF187" s="9">
        <f>DT187*'MASTER SHEET'!D187</f>
        <v>0</v>
      </c>
      <c r="FG187" s="9">
        <f>DX187*'MASTER SHEET'!D187</f>
        <v>0</v>
      </c>
    </row>
    <row r="188" spans="1:163" s="69" customFormat="1" ht="20.25" x14ac:dyDescent="0.25">
      <c r="A188" s="43">
        <f>'MASTER SHEET'!A188</f>
        <v>186</v>
      </c>
      <c r="B188" s="67" t="str">
        <f>'MASTER SHEET'!B188</f>
        <v>PREMIER SEALS</v>
      </c>
      <c r="C188" s="82">
        <f>'MASTER SHEET'!C188</f>
        <v>5024440</v>
      </c>
      <c r="D188" s="64"/>
      <c r="E188" s="28"/>
      <c r="F188" s="28"/>
      <c r="G188" s="65"/>
      <c r="H188" s="64">
        <f t="shared" si="106"/>
        <v>0</v>
      </c>
      <c r="I188" s="28"/>
      <c r="J188" s="28"/>
      <c r="K188" s="65"/>
      <c r="L188" s="64">
        <f t="shared" si="107"/>
        <v>0</v>
      </c>
      <c r="M188" s="28"/>
      <c r="N188" s="28"/>
      <c r="O188" s="65"/>
      <c r="P188" s="64">
        <f t="shared" si="108"/>
        <v>0</v>
      </c>
      <c r="Q188" s="28"/>
      <c r="R188" s="28"/>
      <c r="S188" s="65"/>
      <c r="T188" s="64">
        <f t="shared" si="109"/>
        <v>0</v>
      </c>
      <c r="U188" s="28"/>
      <c r="V188" s="28"/>
      <c r="W188" s="65"/>
      <c r="X188" s="64">
        <f t="shared" si="110"/>
        <v>0</v>
      </c>
      <c r="Y188" s="28"/>
      <c r="Z188" s="28"/>
      <c r="AA188" s="65"/>
      <c r="AB188" s="64">
        <f t="shared" si="111"/>
        <v>0</v>
      </c>
      <c r="AC188" s="28"/>
      <c r="AD188" s="28"/>
      <c r="AE188" s="65"/>
      <c r="AF188" s="64">
        <f t="shared" si="112"/>
        <v>0</v>
      </c>
      <c r="AG188" s="28"/>
      <c r="AH188" s="28"/>
      <c r="AI188" s="65"/>
      <c r="AJ188" s="64">
        <f t="shared" si="113"/>
        <v>0</v>
      </c>
      <c r="AK188" s="28"/>
      <c r="AL188" s="28"/>
      <c r="AM188" s="65"/>
      <c r="AN188" s="64">
        <f t="shared" si="114"/>
        <v>0</v>
      </c>
      <c r="AO188" s="28"/>
      <c r="AP188" s="28"/>
      <c r="AQ188" s="65"/>
      <c r="AR188" s="64">
        <f t="shared" si="115"/>
        <v>0</v>
      </c>
      <c r="AS188" s="28"/>
      <c r="AT188" s="28"/>
      <c r="AU188" s="65"/>
      <c r="AV188" s="64">
        <f t="shared" si="116"/>
        <v>0</v>
      </c>
      <c r="AW188" s="28"/>
      <c r="AX188" s="28"/>
      <c r="AY188" s="65"/>
      <c r="AZ188" s="64">
        <f t="shared" si="117"/>
        <v>0</v>
      </c>
      <c r="BA188" s="28"/>
      <c r="BB188" s="28"/>
      <c r="BC188" s="65"/>
      <c r="BD188" s="64">
        <f t="shared" si="118"/>
        <v>0</v>
      </c>
      <c r="BE188" s="28"/>
      <c r="BF188" s="28"/>
      <c r="BG188" s="65"/>
      <c r="BH188" s="64">
        <f t="shared" si="119"/>
        <v>0</v>
      </c>
      <c r="BI188" s="28"/>
      <c r="BJ188" s="28"/>
      <c r="BK188" s="65"/>
      <c r="BL188" s="64">
        <f t="shared" si="120"/>
        <v>0</v>
      </c>
      <c r="BM188" s="28"/>
      <c r="BN188" s="28"/>
      <c r="BO188" s="65"/>
      <c r="BP188" s="64">
        <f t="shared" si="121"/>
        <v>0</v>
      </c>
      <c r="BQ188" s="28"/>
      <c r="BR188" s="28"/>
      <c r="BS188" s="65"/>
      <c r="BT188" s="64">
        <f t="shared" si="122"/>
        <v>0</v>
      </c>
      <c r="BU188" s="28"/>
      <c r="BV188" s="28"/>
      <c r="BW188" s="65"/>
      <c r="BX188" s="64">
        <f t="shared" si="123"/>
        <v>0</v>
      </c>
      <c r="BY188" s="28"/>
      <c r="BZ188" s="28"/>
      <c r="CA188" s="65"/>
      <c r="CB188" s="64">
        <f t="shared" si="124"/>
        <v>0</v>
      </c>
      <c r="CC188" s="28"/>
      <c r="CD188" s="28"/>
      <c r="CE188" s="65"/>
      <c r="CF188" s="64">
        <f t="shared" si="125"/>
        <v>0</v>
      </c>
      <c r="CG188" s="28"/>
      <c r="CH188" s="28"/>
      <c r="CI188" s="65"/>
      <c r="CJ188" s="64">
        <f t="shared" si="126"/>
        <v>0</v>
      </c>
      <c r="CK188" s="28"/>
      <c r="CL188" s="28"/>
      <c r="CM188" s="65"/>
      <c r="CN188" s="64">
        <f t="shared" si="127"/>
        <v>0</v>
      </c>
      <c r="CO188" s="28"/>
      <c r="CP188" s="28"/>
      <c r="CQ188" s="65"/>
      <c r="CR188" s="64">
        <f t="shared" si="128"/>
        <v>0</v>
      </c>
      <c r="CS188" s="28"/>
      <c r="CT188" s="28"/>
      <c r="CU188" s="65"/>
      <c r="CV188" s="64">
        <f t="shared" si="129"/>
        <v>0</v>
      </c>
      <c r="CW188" s="28"/>
      <c r="CX188" s="28"/>
      <c r="CY188" s="65"/>
      <c r="CZ188" s="64">
        <f t="shared" si="130"/>
        <v>0</v>
      </c>
      <c r="DA188" s="28"/>
      <c r="DB188" s="28"/>
      <c r="DC188" s="65"/>
      <c r="DD188" s="64">
        <f t="shared" si="131"/>
        <v>0</v>
      </c>
      <c r="DE188" s="28"/>
      <c r="DF188" s="28"/>
      <c r="DG188" s="65"/>
      <c r="DH188" s="64">
        <f t="shared" si="132"/>
        <v>0</v>
      </c>
      <c r="DI188" s="28"/>
      <c r="DJ188" s="28"/>
      <c r="DK188" s="65"/>
      <c r="DL188" s="64">
        <f t="shared" si="133"/>
        <v>0</v>
      </c>
      <c r="DM188" s="28"/>
      <c r="DN188" s="28"/>
      <c r="DO188" s="65"/>
      <c r="DP188" s="64">
        <f t="shared" si="134"/>
        <v>0</v>
      </c>
      <c r="DQ188" s="28"/>
      <c r="DR188" s="28"/>
      <c r="DS188" s="65"/>
      <c r="DT188" s="64">
        <f t="shared" si="135"/>
        <v>0</v>
      </c>
      <c r="DU188" s="28"/>
      <c r="DV188" s="28"/>
      <c r="DW188" s="65"/>
      <c r="DX188" s="30">
        <f t="shared" si="136"/>
        <v>0</v>
      </c>
      <c r="DY188" s="68"/>
      <c r="DZ188" s="68"/>
      <c r="EA188" s="68"/>
      <c r="EB188" s="9">
        <f>D188*'MASTER SHEET'!D188</f>
        <v>0</v>
      </c>
      <c r="EC188" s="9">
        <f>H188*'MASTER SHEET'!D188</f>
        <v>0</v>
      </c>
      <c r="ED188" s="9">
        <f>L188*'MASTER SHEET'!D188</f>
        <v>0</v>
      </c>
      <c r="EE188" s="9">
        <f>P188*'MASTER SHEET'!D188</f>
        <v>0</v>
      </c>
      <c r="EF188" s="9">
        <f>T188*'MASTER SHEET'!D188</f>
        <v>0</v>
      </c>
      <c r="EG188" s="9">
        <f>X188*'MASTER SHEET'!D188</f>
        <v>0</v>
      </c>
      <c r="EH188" s="9">
        <f>AB188*'MASTER SHEET'!D188</f>
        <v>0</v>
      </c>
      <c r="EI188" s="9">
        <f>AF188*'MASTER SHEET'!D188</f>
        <v>0</v>
      </c>
      <c r="EJ188" s="9">
        <f>AJ188*'MASTER SHEET'!D188</f>
        <v>0</v>
      </c>
      <c r="EK188" s="9">
        <f>AN188*'MASTER SHEET'!D188</f>
        <v>0</v>
      </c>
      <c r="EL188" s="9">
        <f>AR188*'MASTER SHEET'!D188</f>
        <v>0</v>
      </c>
      <c r="EM188" s="9">
        <f>AV188*'MASTER SHEET'!D188</f>
        <v>0</v>
      </c>
      <c r="EN188" s="9">
        <f>AZ188*'MASTER SHEET'!D188</f>
        <v>0</v>
      </c>
      <c r="EO188" s="9">
        <f>BD188*'MASTER SHEET'!D188</f>
        <v>0</v>
      </c>
      <c r="EP188" s="9">
        <f>BH188*'MASTER SHEET'!D188</f>
        <v>0</v>
      </c>
      <c r="EQ188" s="9">
        <f>BL188*'MASTER SHEET'!D188</f>
        <v>0</v>
      </c>
      <c r="ER188" s="9">
        <f>BP188*'MASTER SHEET'!D188</f>
        <v>0</v>
      </c>
      <c r="ES188" s="9">
        <f>BT188*'MASTER SHEET'!D188</f>
        <v>0</v>
      </c>
      <c r="ET188" s="9">
        <f>BX188*'MASTER SHEET'!D188</f>
        <v>0</v>
      </c>
      <c r="EU188" s="9">
        <f>CB188*'MASTER SHEET'!D188</f>
        <v>0</v>
      </c>
      <c r="EV188" s="9">
        <f>CF188*'MASTER SHEET'!D188</f>
        <v>0</v>
      </c>
      <c r="EW188" s="9">
        <f>CJ188*'MASTER SHEET'!D188</f>
        <v>0</v>
      </c>
      <c r="EX188" s="9">
        <f>CN188*'MASTER SHEET'!D188</f>
        <v>0</v>
      </c>
      <c r="EY188" s="9">
        <f>CV188*'MASTER SHEET'!D188</f>
        <v>0</v>
      </c>
      <c r="EZ188" s="9">
        <f>CV188*'MASTER SHEET'!D188</f>
        <v>0</v>
      </c>
      <c r="FA188" s="9">
        <f>CZ188*'MASTER SHEET'!D188</f>
        <v>0</v>
      </c>
      <c r="FB188" s="9">
        <f>DD188*'MASTER SHEET'!D188</f>
        <v>0</v>
      </c>
      <c r="FC188" s="9">
        <f>DH188*'MASTER SHEET'!D188</f>
        <v>0</v>
      </c>
      <c r="FD188" s="9">
        <f>DL188*'MASTER SHEET'!D188</f>
        <v>0</v>
      </c>
      <c r="FE188" s="9">
        <f>DP188*'MASTER SHEET'!D188</f>
        <v>0</v>
      </c>
      <c r="FF188" s="9">
        <f>DT188*'MASTER SHEET'!D188</f>
        <v>0</v>
      </c>
      <c r="FG188" s="9">
        <f>DX188*'MASTER SHEET'!D188</f>
        <v>0</v>
      </c>
    </row>
    <row r="189" spans="1:163" s="69" customFormat="1" ht="20.25" x14ac:dyDescent="0.25">
      <c r="A189" s="43">
        <f>'MASTER SHEET'!A189</f>
        <v>187</v>
      </c>
      <c r="B189" s="67">
        <f>'MASTER SHEET'!B189</f>
        <v>0</v>
      </c>
      <c r="C189" s="82">
        <f>'MASTER SHEET'!C189</f>
        <v>5038799</v>
      </c>
      <c r="D189" s="64"/>
      <c r="E189" s="28"/>
      <c r="F189" s="28"/>
      <c r="G189" s="65"/>
      <c r="H189" s="64">
        <f t="shared" si="106"/>
        <v>0</v>
      </c>
      <c r="I189" s="28"/>
      <c r="J189" s="28"/>
      <c r="K189" s="65"/>
      <c r="L189" s="64">
        <f t="shared" si="107"/>
        <v>0</v>
      </c>
      <c r="M189" s="28"/>
      <c r="N189" s="28"/>
      <c r="O189" s="65"/>
      <c r="P189" s="64">
        <f t="shared" si="108"/>
        <v>0</v>
      </c>
      <c r="Q189" s="28"/>
      <c r="R189" s="28"/>
      <c r="S189" s="65"/>
      <c r="T189" s="64">
        <f t="shared" si="109"/>
        <v>0</v>
      </c>
      <c r="U189" s="28"/>
      <c r="V189" s="28"/>
      <c r="W189" s="65"/>
      <c r="X189" s="64">
        <f t="shared" si="110"/>
        <v>0</v>
      </c>
      <c r="Y189" s="28"/>
      <c r="Z189" s="28"/>
      <c r="AA189" s="65"/>
      <c r="AB189" s="64">
        <f t="shared" si="111"/>
        <v>0</v>
      </c>
      <c r="AC189" s="28"/>
      <c r="AD189" s="28"/>
      <c r="AE189" s="65"/>
      <c r="AF189" s="64">
        <f t="shared" si="112"/>
        <v>0</v>
      </c>
      <c r="AG189" s="28"/>
      <c r="AH189" s="28"/>
      <c r="AI189" s="65"/>
      <c r="AJ189" s="64">
        <f t="shared" si="113"/>
        <v>0</v>
      </c>
      <c r="AK189" s="28"/>
      <c r="AL189" s="28"/>
      <c r="AM189" s="65"/>
      <c r="AN189" s="64">
        <f t="shared" si="114"/>
        <v>0</v>
      </c>
      <c r="AO189" s="28"/>
      <c r="AP189" s="28"/>
      <c r="AQ189" s="65"/>
      <c r="AR189" s="64">
        <f t="shared" si="115"/>
        <v>0</v>
      </c>
      <c r="AS189" s="28"/>
      <c r="AT189" s="28"/>
      <c r="AU189" s="65"/>
      <c r="AV189" s="64">
        <f t="shared" si="116"/>
        <v>0</v>
      </c>
      <c r="AW189" s="28"/>
      <c r="AX189" s="28"/>
      <c r="AY189" s="65"/>
      <c r="AZ189" s="64">
        <f t="shared" si="117"/>
        <v>0</v>
      </c>
      <c r="BA189" s="28"/>
      <c r="BB189" s="28"/>
      <c r="BC189" s="65"/>
      <c r="BD189" s="64">
        <f t="shared" si="118"/>
        <v>0</v>
      </c>
      <c r="BE189" s="28"/>
      <c r="BF189" s="28"/>
      <c r="BG189" s="65"/>
      <c r="BH189" s="64">
        <f t="shared" si="119"/>
        <v>0</v>
      </c>
      <c r="BI189" s="28"/>
      <c r="BJ189" s="28"/>
      <c r="BK189" s="65"/>
      <c r="BL189" s="64">
        <f t="shared" si="120"/>
        <v>0</v>
      </c>
      <c r="BM189" s="28"/>
      <c r="BN189" s="28"/>
      <c r="BO189" s="65"/>
      <c r="BP189" s="64">
        <f t="shared" si="121"/>
        <v>0</v>
      </c>
      <c r="BQ189" s="28"/>
      <c r="BR189" s="28"/>
      <c r="BS189" s="65"/>
      <c r="BT189" s="64">
        <f t="shared" si="122"/>
        <v>0</v>
      </c>
      <c r="BU189" s="28"/>
      <c r="BV189" s="28"/>
      <c r="BW189" s="65"/>
      <c r="BX189" s="64">
        <f t="shared" si="123"/>
        <v>0</v>
      </c>
      <c r="BY189" s="28"/>
      <c r="BZ189" s="28"/>
      <c r="CA189" s="65"/>
      <c r="CB189" s="64">
        <f t="shared" si="124"/>
        <v>0</v>
      </c>
      <c r="CC189" s="28"/>
      <c r="CD189" s="28"/>
      <c r="CE189" s="65"/>
      <c r="CF189" s="64">
        <f t="shared" si="125"/>
        <v>0</v>
      </c>
      <c r="CG189" s="28"/>
      <c r="CH189" s="28"/>
      <c r="CI189" s="65"/>
      <c r="CJ189" s="64">
        <f t="shared" si="126"/>
        <v>0</v>
      </c>
      <c r="CK189" s="28"/>
      <c r="CL189" s="28"/>
      <c r="CM189" s="65"/>
      <c r="CN189" s="64">
        <f t="shared" si="127"/>
        <v>0</v>
      </c>
      <c r="CO189" s="28"/>
      <c r="CP189" s="28"/>
      <c r="CQ189" s="65"/>
      <c r="CR189" s="64">
        <f t="shared" si="128"/>
        <v>0</v>
      </c>
      <c r="CS189" s="28"/>
      <c r="CT189" s="28"/>
      <c r="CU189" s="65"/>
      <c r="CV189" s="64">
        <f t="shared" si="129"/>
        <v>0</v>
      </c>
      <c r="CW189" s="28"/>
      <c r="CX189" s="28"/>
      <c r="CY189" s="65"/>
      <c r="CZ189" s="64">
        <f t="shared" si="130"/>
        <v>0</v>
      </c>
      <c r="DA189" s="28"/>
      <c r="DB189" s="28"/>
      <c r="DC189" s="65"/>
      <c r="DD189" s="64">
        <f t="shared" si="131"/>
        <v>0</v>
      </c>
      <c r="DE189" s="28"/>
      <c r="DF189" s="28"/>
      <c r="DG189" s="65"/>
      <c r="DH189" s="64">
        <f t="shared" si="132"/>
        <v>0</v>
      </c>
      <c r="DI189" s="28"/>
      <c r="DJ189" s="28"/>
      <c r="DK189" s="65"/>
      <c r="DL189" s="64">
        <f t="shared" si="133"/>
        <v>0</v>
      </c>
      <c r="DM189" s="28"/>
      <c r="DN189" s="28"/>
      <c r="DO189" s="65"/>
      <c r="DP189" s="64">
        <f t="shared" si="134"/>
        <v>0</v>
      </c>
      <c r="DQ189" s="28"/>
      <c r="DR189" s="28"/>
      <c r="DS189" s="65"/>
      <c r="DT189" s="64">
        <f t="shared" si="135"/>
        <v>0</v>
      </c>
      <c r="DU189" s="28"/>
      <c r="DV189" s="28"/>
      <c r="DW189" s="65"/>
      <c r="DX189" s="30">
        <f t="shared" si="136"/>
        <v>0</v>
      </c>
      <c r="DY189" s="68"/>
      <c r="DZ189" s="68"/>
      <c r="EA189" s="68"/>
      <c r="EB189" s="9">
        <f>D189*'MASTER SHEET'!D189</f>
        <v>0</v>
      </c>
      <c r="EC189" s="9">
        <f>H189*'MASTER SHEET'!D189</f>
        <v>0</v>
      </c>
      <c r="ED189" s="9">
        <f>L189*'MASTER SHEET'!D189</f>
        <v>0</v>
      </c>
      <c r="EE189" s="9">
        <f>P189*'MASTER SHEET'!D189</f>
        <v>0</v>
      </c>
      <c r="EF189" s="9">
        <f>T189*'MASTER SHEET'!D189</f>
        <v>0</v>
      </c>
      <c r="EG189" s="9">
        <f>X189*'MASTER SHEET'!D189</f>
        <v>0</v>
      </c>
      <c r="EH189" s="9">
        <f>AB189*'MASTER SHEET'!D189</f>
        <v>0</v>
      </c>
      <c r="EI189" s="9">
        <f>AF189*'MASTER SHEET'!D189</f>
        <v>0</v>
      </c>
      <c r="EJ189" s="9">
        <f>AJ189*'MASTER SHEET'!D189</f>
        <v>0</v>
      </c>
      <c r="EK189" s="9">
        <f>AN189*'MASTER SHEET'!D189</f>
        <v>0</v>
      </c>
      <c r="EL189" s="9">
        <f>AR189*'MASTER SHEET'!D189</f>
        <v>0</v>
      </c>
      <c r="EM189" s="9">
        <f>AV189*'MASTER SHEET'!D189</f>
        <v>0</v>
      </c>
      <c r="EN189" s="9">
        <f>AZ189*'MASTER SHEET'!D189</f>
        <v>0</v>
      </c>
      <c r="EO189" s="9">
        <f>BD189*'MASTER SHEET'!D189</f>
        <v>0</v>
      </c>
      <c r="EP189" s="9">
        <f>BH189*'MASTER SHEET'!D189</f>
        <v>0</v>
      </c>
      <c r="EQ189" s="9">
        <f>BL189*'MASTER SHEET'!D189</f>
        <v>0</v>
      </c>
      <c r="ER189" s="9">
        <f>BP189*'MASTER SHEET'!D189</f>
        <v>0</v>
      </c>
      <c r="ES189" s="9">
        <f>BT189*'MASTER SHEET'!D189</f>
        <v>0</v>
      </c>
      <c r="ET189" s="9">
        <f>BX189*'MASTER SHEET'!D189</f>
        <v>0</v>
      </c>
      <c r="EU189" s="9">
        <f>CB189*'MASTER SHEET'!D189</f>
        <v>0</v>
      </c>
      <c r="EV189" s="9">
        <f>CF189*'MASTER SHEET'!D189</f>
        <v>0</v>
      </c>
      <c r="EW189" s="9">
        <f>CJ189*'MASTER SHEET'!D189</f>
        <v>0</v>
      </c>
      <c r="EX189" s="9">
        <f>CN189*'MASTER SHEET'!D189</f>
        <v>0</v>
      </c>
      <c r="EY189" s="9">
        <f>CV189*'MASTER SHEET'!D189</f>
        <v>0</v>
      </c>
      <c r="EZ189" s="9">
        <f>CV189*'MASTER SHEET'!D189</f>
        <v>0</v>
      </c>
      <c r="FA189" s="9">
        <f>CZ189*'MASTER SHEET'!D189</f>
        <v>0</v>
      </c>
      <c r="FB189" s="9">
        <f>DD189*'MASTER SHEET'!D189</f>
        <v>0</v>
      </c>
      <c r="FC189" s="9">
        <f>DH189*'MASTER SHEET'!D189</f>
        <v>0</v>
      </c>
      <c r="FD189" s="9">
        <f>DL189*'MASTER SHEET'!D189</f>
        <v>0</v>
      </c>
      <c r="FE189" s="9">
        <f>DP189*'MASTER SHEET'!D189</f>
        <v>0</v>
      </c>
      <c r="FF189" s="9">
        <f>DT189*'MASTER SHEET'!D189</f>
        <v>0</v>
      </c>
      <c r="FG189" s="9">
        <f>DX189*'MASTER SHEET'!D189</f>
        <v>0</v>
      </c>
    </row>
    <row r="190" spans="1:163" s="69" customFormat="1" ht="20.25" x14ac:dyDescent="0.25">
      <c r="A190" s="43">
        <f>'MASTER SHEET'!A190</f>
        <v>188</v>
      </c>
      <c r="B190" s="67" t="str">
        <f>'MASTER SHEET'!B190</f>
        <v>COVER PLASTIC</v>
      </c>
      <c r="C190" s="82">
        <f>'MASTER SHEET'!C190</f>
        <v>5013929</v>
      </c>
      <c r="D190" s="64"/>
      <c r="E190" s="28"/>
      <c r="F190" s="28"/>
      <c r="G190" s="65"/>
      <c r="H190" s="64">
        <f t="shared" si="106"/>
        <v>0</v>
      </c>
      <c r="I190" s="28"/>
      <c r="J190" s="28"/>
      <c r="K190" s="65"/>
      <c r="L190" s="64">
        <f t="shared" si="107"/>
        <v>0</v>
      </c>
      <c r="M190" s="28"/>
      <c r="N190" s="28"/>
      <c r="O190" s="65"/>
      <c r="P190" s="64">
        <f t="shared" si="108"/>
        <v>0</v>
      </c>
      <c r="Q190" s="28"/>
      <c r="R190" s="28"/>
      <c r="S190" s="65"/>
      <c r="T190" s="64">
        <f t="shared" si="109"/>
        <v>0</v>
      </c>
      <c r="U190" s="28"/>
      <c r="V190" s="28"/>
      <c r="W190" s="65"/>
      <c r="X190" s="64">
        <f t="shared" si="110"/>
        <v>0</v>
      </c>
      <c r="Y190" s="28"/>
      <c r="Z190" s="28"/>
      <c r="AA190" s="65"/>
      <c r="AB190" s="64">
        <f t="shared" si="111"/>
        <v>0</v>
      </c>
      <c r="AC190" s="28"/>
      <c r="AD190" s="28"/>
      <c r="AE190" s="65"/>
      <c r="AF190" s="64">
        <f t="shared" si="112"/>
        <v>0</v>
      </c>
      <c r="AG190" s="28"/>
      <c r="AH190" s="28"/>
      <c r="AI190" s="65"/>
      <c r="AJ190" s="64">
        <f t="shared" si="113"/>
        <v>0</v>
      </c>
      <c r="AK190" s="28"/>
      <c r="AL190" s="28"/>
      <c r="AM190" s="65"/>
      <c r="AN190" s="64">
        <f t="shared" si="114"/>
        <v>0</v>
      </c>
      <c r="AO190" s="28"/>
      <c r="AP190" s="28"/>
      <c r="AQ190" s="65"/>
      <c r="AR190" s="64">
        <f t="shared" si="115"/>
        <v>0</v>
      </c>
      <c r="AS190" s="28"/>
      <c r="AT190" s="28"/>
      <c r="AU190" s="65"/>
      <c r="AV190" s="64">
        <f t="shared" si="116"/>
        <v>0</v>
      </c>
      <c r="AW190" s="28"/>
      <c r="AX190" s="28"/>
      <c r="AY190" s="65"/>
      <c r="AZ190" s="64">
        <f t="shared" si="117"/>
        <v>0</v>
      </c>
      <c r="BA190" s="28"/>
      <c r="BB190" s="28"/>
      <c r="BC190" s="65"/>
      <c r="BD190" s="64">
        <f t="shared" si="118"/>
        <v>0</v>
      </c>
      <c r="BE190" s="28"/>
      <c r="BF190" s="28"/>
      <c r="BG190" s="65"/>
      <c r="BH190" s="64">
        <f t="shared" si="119"/>
        <v>0</v>
      </c>
      <c r="BI190" s="28"/>
      <c r="BJ190" s="28"/>
      <c r="BK190" s="65"/>
      <c r="BL190" s="64">
        <f t="shared" si="120"/>
        <v>0</v>
      </c>
      <c r="BM190" s="28"/>
      <c r="BN190" s="28"/>
      <c r="BO190" s="65"/>
      <c r="BP190" s="64">
        <f t="shared" si="121"/>
        <v>0</v>
      </c>
      <c r="BQ190" s="28"/>
      <c r="BR190" s="28"/>
      <c r="BS190" s="65"/>
      <c r="BT190" s="64">
        <f t="shared" si="122"/>
        <v>0</v>
      </c>
      <c r="BU190" s="28"/>
      <c r="BV190" s="28"/>
      <c r="BW190" s="65"/>
      <c r="BX190" s="64">
        <f t="shared" si="123"/>
        <v>0</v>
      </c>
      <c r="BY190" s="28"/>
      <c r="BZ190" s="28"/>
      <c r="CA190" s="65"/>
      <c r="CB190" s="64">
        <f t="shared" si="124"/>
        <v>0</v>
      </c>
      <c r="CC190" s="28"/>
      <c r="CD190" s="28"/>
      <c r="CE190" s="65"/>
      <c r="CF190" s="64">
        <f t="shared" si="125"/>
        <v>0</v>
      </c>
      <c r="CG190" s="28"/>
      <c r="CH190" s="28"/>
      <c r="CI190" s="65"/>
      <c r="CJ190" s="64">
        <f t="shared" si="126"/>
        <v>0</v>
      </c>
      <c r="CK190" s="28"/>
      <c r="CL190" s="28"/>
      <c r="CM190" s="65"/>
      <c r="CN190" s="64">
        <f t="shared" si="127"/>
        <v>0</v>
      </c>
      <c r="CO190" s="28"/>
      <c r="CP190" s="28"/>
      <c r="CQ190" s="65"/>
      <c r="CR190" s="64">
        <f t="shared" si="128"/>
        <v>0</v>
      </c>
      <c r="CS190" s="28"/>
      <c r="CT190" s="28"/>
      <c r="CU190" s="65"/>
      <c r="CV190" s="64">
        <f t="shared" si="129"/>
        <v>0</v>
      </c>
      <c r="CW190" s="28"/>
      <c r="CX190" s="28"/>
      <c r="CY190" s="65"/>
      <c r="CZ190" s="64">
        <f t="shared" si="130"/>
        <v>0</v>
      </c>
      <c r="DA190" s="28"/>
      <c r="DB190" s="28"/>
      <c r="DC190" s="65"/>
      <c r="DD190" s="64">
        <f t="shared" si="131"/>
        <v>0</v>
      </c>
      <c r="DE190" s="28"/>
      <c r="DF190" s="28"/>
      <c r="DG190" s="65"/>
      <c r="DH190" s="64">
        <f t="shared" si="132"/>
        <v>0</v>
      </c>
      <c r="DI190" s="28"/>
      <c r="DJ190" s="28"/>
      <c r="DK190" s="65"/>
      <c r="DL190" s="64">
        <f t="shared" si="133"/>
        <v>0</v>
      </c>
      <c r="DM190" s="28"/>
      <c r="DN190" s="28"/>
      <c r="DO190" s="65"/>
      <c r="DP190" s="64">
        <f t="shared" si="134"/>
        <v>0</v>
      </c>
      <c r="DQ190" s="28"/>
      <c r="DR190" s="28"/>
      <c r="DS190" s="65"/>
      <c r="DT190" s="64">
        <f t="shared" si="135"/>
        <v>0</v>
      </c>
      <c r="DU190" s="28"/>
      <c r="DV190" s="28"/>
      <c r="DW190" s="65"/>
      <c r="DX190" s="30">
        <f t="shared" si="136"/>
        <v>0</v>
      </c>
      <c r="DY190" s="68"/>
      <c r="DZ190" s="68"/>
      <c r="EA190" s="68"/>
      <c r="EB190" s="9">
        <f>D190*'MASTER SHEET'!D190</f>
        <v>0</v>
      </c>
      <c r="EC190" s="9">
        <f>H190*'MASTER SHEET'!D190</f>
        <v>0</v>
      </c>
      <c r="ED190" s="9">
        <f>L190*'MASTER SHEET'!D190</f>
        <v>0</v>
      </c>
      <c r="EE190" s="9">
        <f>P190*'MASTER SHEET'!D190</f>
        <v>0</v>
      </c>
      <c r="EF190" s="9">
        <f>T190*'MASTER SHEET'!D190</f>
        <v>0</v>
      </c>
      <c r="EG190" s="9">
        <f>X190*'MASTER SHEET'!D190</f>
        <v>0</v>
      </c>
      <c r="EH190" s="9">
        <f>AB190*'MASTER SHEET'!D190</f>
        <v>0</v>
      </c>
      <c r="EI190" s="9">
        <f>AF190*'MASTER SHEET'!D190</f>
        <v>0</v>
      </c>
      <c r="EJ190" s="9">
        <f>AJ190*'MASTER SHEET'!D190</f>
        <v>0</v>
      </c>
      <c r="EK190" s="9">
        <f>AN190*'MASTER SHEET'!D190</f>
        <v>0</v>
      </c>
      <c r="EL190" s="9">
        <f>AR190*'MASTER SHEET'!D190</f>
        <v>0</v>
      </c>
      <c r="EM190" s="9">
        <f>AV190*'MASTER SHEET'!D190</f>
        <v>0</v>
      </c>
      <c r="EN190" s="9">
        <f>AZ190*'MASTER SHEET'!D190</f>
        <v>0</v>
      </c>
      <c r="EO190" s="9">
        <f>BD190*'MASTER SHEET'!D190</f>
        <v>0</v>
      </c>
      <c r="EP190" s="9">
        <f>BH190*'MASTER SHEET'!D190</f>
        <v>0</v>
      </c>
      <c r="EQ190" s="9">
        <f>BL190*'MASTER SHEET'!D190</f>
        <v>0</v>
      </c>
      <c r="ER190" s="9">
        <f>BP190*'MASTER SHEET'!D190</f>
        <v>0</v>
      </c>
      <c r="ES190" s="9">
        <f>BT190*'MASTER SHEET'!D190</f>
        <v>0</v>
      </c>
      <c r="ET190" s="9">
        <f>BX190*'MASTER SHEET'!D190</f>
        <v>0</v>
      </c>
      <c r="EU190" s="9">
        <f>CB190*'MASTER SHEET'!D190</f>
        <v>0</v>
      </c>
      <c r="EV190" s="9">
        <f>CF190*'MASTER SHEET'!D190</f>
        <v>0</v>
      </c>
      <c r="EW190" s="9">
        <f>CJ190*'MASTER SHEET'!D190</f>
        <v>0</v>
      </c>
      <c r="EX190" s="9">
        <f>CN190*'MASTER SHEET'!D190</f>
        <v>0</v>
      </c>
      <c r="EY190" s="9">
        <f>CV190*'MASTER SHEET'!D190</f>
        <v>0</v>
      </c>
      <c r="EZ190" s="9">
        <f>CV190*'MASTER SHEET'!D190</f>
        <v>0</v>
      </c>
      <c r="FA190" s="9">
        <f>CZ190*'MASTER SHEET'!D190</f>
        <v>0</v>
      </c>
      <c r="FB190" s="9">
        <f>DD190*'MASTER SHEET'!D190</f>
        <v>0</v>
      </c>
      <c r="FC190" s="9">
        <f>DH190*'MASTER SHEET'!D190</f>
        <v>0</v>
      </c>
      <c r="FD190" s="9">
        <f>DL190*'MASTER SHEET'!D190</f>
        <v>0</v>
      </c>
      <c r="FE190" s="9">
        <f>DP190*'MASTER SHEET'!D190</f>
        <v>0</v>
      </c>
      <c r="FF190" s="9">
        <f>DT190*'MASTER SHEET'!D190</f>
        <v>0</v>
      </c>
      <c r="FG190" s="9">
        <f>DX190*'MASTER SHEET'!D190</f>
        <v>0</v>
      </c>
    </row>
    <row r="191" spans="1:163" s="69" customFormat="1" ht="20.25" x14ac:dyDescent="0.25">
      <c r="A191" s="43">
        <f>'MASTER SHEET'!A191</f>
        <v>189</v>
      </c>
      <c r="B191" s="67">
        <f>'MASTER SHEET'!B191</f>
        <v>0</v>
      </c>
      <c r="C191" s="82">
        <f>'MASTER SHEET'!C191</f>
        <v>5045480</v>
      </c>
      <c r="D191" s="64"/>
      <c r="E191" s="28"/>
      <c r="F191" s="28"/>
      <c r="G191" s="65"/>
      <c r="H191" s="64">
        <f t="shared" si="106"/>
        <v>0</v>
      </c>
      <c r="I191" s="28"/>
      <c r="J191" s="28"/>
      <c r="K191" s="65"/>
      <c r="L191" s="64">
        <f t="shared" si="107"/>
        <v>0</v>
      </c>
      <c r="M191" s="28"/>
      <c r="N191" s="28"/>
      <c r="O191" s="65"/>
      <c r="P191" s="64">
        <f t="shared" si="108"/>
        <v>0</v>
      </c>
      <c r="Q191" s="28"/>
      <c r="R191" s="28"/>
      <c r="S191" s="65"/>
      <c r="T191" s="64">
        <f t="shared" si="109"/>
        <v>0</v>
      </c>
      <c r="U191" s="28"/>
      <c r="V191" s="28"/>
      <c r="W191" s="65"/>
      <c r="X191" s="64">
        <f t="shared" si="110"/>
        <v>0</v>
      </c>
      <c r="Y191" s="28"/>
      <c r="Z191" s="28"/>
      <c r="AA191" s="65"/>
      <c r="AB191" s="64">
        <f t="shared" si="111"/>
        <v>0</v>
      </c>
      <c r="AC191" s="28"/>
      <c r="AD191" s="28"/>
      <c r="AE191" s="65"/>
      <c r="AF191" s="64">
        <f t="shared" si="112"/>
        <v>0</v>
      </c>
      <c r="AG191" s="28"/>
      <c r="AH191" s="28"/>
      <c r="AI191" s="65"/>
      <c r="AJ191" s="64">
        <f t="shared" si="113"/>
        <v>0</v>
      </c>
      <c r="AK191" s="28"/>
      <c r="AL191" s="28"/>
      <c r="AM191" s="65"/>
      <c r="AN191" s="64">
        <f t="shared" si="114"/>
        <v>0</v>
      </c>
      <c r="AO191" s="28"/>
      <c r="AP191" s="28"/>
      <c r="AQ191" s="65"/>
      <c r="AR191" s="64">
        <f t="shared" si="115"/>
        <v>0</v>
      </c>
      <c r="AS191" s="28"/>
      <c r="AT191" s="28"/>
      <c r="AU191" s="65"/>
      <c r="AV191" s="64">
        <f t="shared" si="116"/>
        <v>0</v>
      </c>
      <c r="AW191" s="28"/>
      <c r="AX191" s="28"/>
      <c r="AY191" s="65"/>
      <c r="AZ191" s="64">
        <f t="shared" si="117"/>
        <v>0</v>
      </c>
      <c r="BA191" s="28"/>
      <c r="BB191" s="28"/>
      <c r="BC191" s="65"/>
      <c r="BD191" s="64">
        <f t="shared" si="118"/>
        <v>0</v>
      </c>
      <c r="BE191" s="28"/>
      <c r="BF191" s="28"/>
      <c r="BG191" s="65"/>
      <c r="BH191" s="64">
        <f t="shared" si="119"/>
        <v>0</v>
      </c>
      <c r="BI191" s="28"/>
      <c r="BJ191" s="28"/>
      <c r="BK191" s="65"/>
      <c r="BL191" s="64">
        <f t="shared" si="120"/>
        <v>0</v>
      </c>
      <c r="BM191" s="28"/>
      <c r="BN191" s="28"/>
      <c r="BO191" s="65"/>
      <c r="BP191" s="64">
        <f t="shared" si="121"/>
        <v>0</v>
      </c>
      <c r="BQ191" s="28"/>
      <c r="BR191" s="28"/>
      <c r="BS191" s="65"/>
      <c r="BT191" s="64">
        <f t="shared" si="122"/>
        <v>0</v>
      </c>
      <c r="BU191" s="28"/>
      <c r="BV191" s="28"/>
      <c r="BW191" s="65"/>
      <c r="BX191" s="64">
        <f t="shared" si="123"/>
        <v>0</v>
      </c>
      <c r="BY191" s="28"/>
      <c r="BZ191" s="28"/>
      <c r="CA191" s="65"/>
      <c r="CB191" s="64">
        <f t="shared" si="124"/>
        <v>0</v>
      </c>
      <c r="CC191" s="28"/>
      <c r="CD191" s="28"/>
      <c r="CE191" s="65"/>
      <c r="CF191" s="64">
        <f t="shared" si="125"/>
        <v>0</v>
      </c>
      <c r="CG191" s="28"/>
      <c r="CH191" s="28"/>
      <c r="CI191" s="65"/>
      <c r="CJ191" s="64">
        <f t="shared" si="126"/>
        <v>0</v>
      </c>
      <c r="CK191" s="28"/>
      <c r="CL191" s="28"/>
      <c r="CM191" s="65"/>
      <c r="CN191" s="64">
        <f t="shared" si="127"/>
        <v>0</v>
      </c>
      <c r="CO191" s="28"/>
      <c r="CP191" s="28"/>
      <c r="CQ191" s="65"/>
      <c r="CR191" s="64">
        <f t="shared" si="128"/>
        <v>0</v>
      </c>
      <c r="CS191" s="28"/>
      <c r="CT191" s="28"/>
      <c r="CU191" s="65"/>
      <c r="CV191" s="64">
        <f t="shared" si="129"/>
        <v>0</v>
      </c>
      <c r="CW191" s="28"/>
      <c r="CX191" s="28"/>
      <c r="CY191" s="65"/>
      <c r="CZ191" s="64">
        <f t="shared" si="130"/>
        <v>0</v>
      </c>
      <c r="DA191" s="28"/>
      <c r="DB191" s="28"/>
      <c r="DC191" s="65"/>
      <c r="DD191" s="64">
        <f t="shared" si="131"/>
        <v>0</v>
      </c>
      <c r="DE191" s="28"/>
      <c r="DF191" s="28"/>
      <c r="DG191" s="65"/>
      <c r="DH191" s="64">
        <f t="shared" si="132"/>
        <v>0</v>
      </c>
      <c r="DI191" s="28"/>
      <c r="DJ191" s="28"/>
      <c r="DK191" s="65"/>
      <c r="DL191" s="64">
        <f t="shared" si="133"/>
        <v>0</v>
      </c>
      <c r="DM191" s="28"/>
      <c r="DN191" s="28"/>
      <c r="DO191" s="65"/>
      <c r="DP191" s="64">
        <f t="shared" si="134"/>
        <v>0</v>
      </c>
      <c r="DQ191" s="28"/>
      <c r="DR191" s="28"/>
      <c r="DS191" s="65"/>
      <c r="DT191" s="64">
        <f t="shared" si="135"/>
        <v>0</v>
      </c>
      <c r="DU191" s="28"/>
      <c r="DV191" s="28"/>
      <c r="DW191" s="65"/>
      <c r="DX191" s="30">
        <f t="shared" si="136"/>
        <v>0</v>
      </c>
      <c r="DY191" s="68"/>
      <c r="DZ191" s="68"/>
      <c r="EA191" s="68"/>
      <c r="EB191" s="9">
        <f>D191*'MASTER SHEET'!D191</f>
        <v>0</v>
      </c>
      <c r="EC191" s="9">
        <f>H191*'MASTER SHEET'!D191</f>
        <v>0</v>
      </c>
      <c r="ED191" s="9">
        <f>L191*'MASTER SHEET'!D191</f>
        <v>0</v>
      </c>
      <c r="EE191" s="9">
        <f>P191*'MASTER SHEET'!D191</f>
        <v>0</v>
      </c>
      <c r="EF191" s="9">
        <f>T191*'MASTER SHEET'!D191</f>
        <v>0</v>
      </c>
      <c r="EG191" s="9">
        <f>X191*'MASTER SHEET'!D191</f>
        <v>0</v>
      </c>
      <c r="EH191" s="9">
        <f>AB191*'MASTER SHEET'!D191</f>
        <v>0</v>
      </c>
      <c r="EI191" s="9">
        <f>AF191*'MASTER SHEET'!D191</f>
        <v>0</v>
      </c>
      <c r="EJ191" s="9">
        <f>AJ191*'MASTER SHEET'!D191</f>
        <v>0</v>
      </c>
      <c r="EK191" s="9">
        <f>AN191*'MASTER SHEET'!D191</f>
        <v>0</v>
      </c>
      <c r="EL191" s="9">
        <f>AR191*'MASTER SHEET'!D191</f>
        <v>0</v>
      </c>
      <c r="EM191" s="9">
        <f>AV191*'MASTER SHEET'!D191</f>
        <v>0</v>
      </c>
      <c r="EN191" s="9">
        <f>AZ191*'MASTER SHEET'!D191</f>
        <v>0</v>
      </c>
      <c r="EO191" s="9">
        <f>BD191*'MASTER SHEET'!D191</f>
        <v>0</v>
      </c>
      <c r="EP191" s="9">
        <f>BH191*'MASTER SHEET'!D191</f>
        <v>0</v>
      </c>
      <c r="EQ191" s="9">
        <f>BL191*'MASTER SHEET'!D191</f>
        <v>0</v>
      </c>
      <c r="ER191" s="9">
        <f>BP191*'MASTER SHEET'!D191</f>
        <v>0</v>
      </c>
      <c r="ES191" s="9">
        <f>BT191*'MASTER SHEET'!D191</f>
        <v>0</v>
      </c>
      <c r="ET191" s="9">
        <f>BX191*'MASTER SHEET'!D191</f>
        <v>0</v>
      </c>
      <c r="EU191" s="9">
        <f>CB191*'MASTER SHEET'!D191</f>
        <v>0</v>
      </c>
      <c r="EV191" s="9">
        <f>CF191*'MASTER SHEET'!D191</f>
        <v>0</v>
      </c>
      <c r="EW191" s="9">
        <f>CJ191*'MASTER SHEET'!D191</f>
        <v>0</v>
      </c>
      <c r="EX191" s="9">
        <f>CN191*'MASTER SHEET'!D191</f>
        <v>0</v>
      </c>
      <c r="EY191" s="9">
        <f>CV191*'MASTER SHEET'!D191</f>
        <v>0</v>
      </c>
      <c r="EZ191" s="9">
        <f>CV191*'MASTER SHEET'!D191</f>
        <v>0</v>
      </c>
      <c r="FA191" s="9">
        <f>CZ191*'MASTER SHEET'!D191</f>
        <v>0</v>
      </c>
      <c r="FB191" s="9">
        <f>DD191*'MASTER SHEET'!D191</f>
        <v>0</v>
      </c>
      <c r="FC191" s="9">
        <f>DH191*'MASTER SHEET'!D191</f>
        <v>0</v>
      </c>
      <c r="FD191" s="9">
        <f>DL191*'MASTER SHEET'!D191</f>
        <v>0</v>
      </c>
      <c r="FE191" s="9">
        <f>DP191*'MASTER SHEET'!D191</f>
        <v>0</v>
      </c>
      <c r="FF191" s="9">
        <f>DT191*'MASTER SHEET'!D191</f>
        <v>0</v>
      </c>
      <c r="FG191" s="9">
        <f>DX191*'MASTER SHEET'!D191</f>
        <v>0</v>
      </c>
    </row>
    <row r="192" spans="1:163" s="69" customFormat="1" ht="20.25" x14ac:dyDescent="0.25">
      <c r="A192" s="43">
        <f>'MASTER SHEET'!A192</f>
        <v>190</v>
      </c>
      <c r="B192" s="67" t="str">
        <f>'MASTER SHEET'!B192</f>
        <v>CAGE ASSY.</v>
      </c>
      <c r="C192" s="82">
        <f>'MASTER SHEET'!C192</f>
        <v>5043164</v>
      </c>
      <c r="D192" s="64"/>
      <c r="E192" s="28"/>
      <c r="F192" s="28"/>
      <c r="G192" s="65"/>
      <c r="H192" s="64">
        <f t="shared" si="106"/>
        <v>0</v>
      </c>
      <c r="I192" s="28"/>
      <c r="J192" s="28"/>
      <c r="K192" s="65"/>
      <c r="L192" s="64">
        <f t="shared" si="107"/>
        <v>0</v>
      </c>
      <c r="M192" s="28"/>
      <c r="N192" s="28"/>
      <c r="O192" s="65"/>
      <c r="P192" s="64">
        <f t="shared" si="108"/>
        <v>0</v>
      </c>
      <c r="Q192" s="28"/>
      <c r="R192" s="28"/>
      <c r="S192" s="65"/>
      <c r="T192" s="64">
        <f t="shared" si="109"/>
        <v>0</v>
      </c>
      <c r="U192" s="28"/>
      <c r="V192" s="28"/>
      <c r="W192" s="65"/>
      <c r="X192" s="64">
        <f t="shared" si="110"/>
        <v>0</v>
      </c>
      <c r="Y192" s="28"/>
      <c r="Z192" s="28"/>
      <c r="AA192" s="65"/>
      <c r="AB192" s="64">
        <f t="shared" si="111"/>
        <v>0</v>
      </c>
      <c r="AC192" s="28"/>
      <c r="AD192" s="28"/>
      <c r="AE192" s="65"/>
      <c r="AF192" s="64">
        <f t="shared" si="112"/>
        <v>0</v>
      </c>
      <c r="AG192" s="28"/>
      <c r="AH192" s="28"/>
      <c r="AI192" s="65"/>
      <c r="AJ192" s="64">
        <f t="shared" si="113"/>
        <v>0</v>
      </c>
      <c r="AK192" s="28"/>
      <c r="AL192" s="28"/>
      <c r="AM192" s="65"/>
      <c r="AN192" s="64">
        <f t="shared" si="114"/>
        <v>0</v>
      </c>
      <c r="AO192" s="28"/>
      <c r="AP192" s="28"/>
      <c r="AQ192" s="65"/>
      <c r="AR192" s="64">
        <f t="shared" si="115"/>
        <v>0</v>
      </c>
      <c r="AS192" s="28"/>
      <c r="AT192" s="28"/>
      <c r="AU192" s="65"/>
      <c r="AV192" s="64">
        <f t="shared" si="116"/>
        <v>0</v>
      </c>
      <c r="AW192" s="28"/>
      <c r="AX192" s="28"/>
      <c r="AY192" s="65"/>
      <c r="AZ192" s="64">
        <f t="shared" si="117"/>
        <v>0</v>
      </c>
      <c r="BA192" s="28"/>
      <c r="BB192" s="28"/>
      <c r="BC192" s="65"/>
      <c r="BD192" s="64">
        <f t="shared" si="118"/>
        <v>0</v>
      </c>
      <c r="BE192" s="28"/>
      <c r="BF192" s="28"/>
      <c r="BG192" s="65"/>
      <c r="BH192" s="64">
        <f t="shared" si="119"/>
        <v>0</v>
      </c>
      <c r="BI192" s="28"/>
      <c r="BJ192" s="28"/>
      <c r="BK192" s="65"/>
      <c r="BL192" s="64">
        <f t="shared" si="120"/>
        <v>0</v>
      </c>
      <c r="BM192" s="28"/>
      <c r="BN192" s="28"/>
      <c r="BO192" s="65"/>
      <c r="BP192" s="64">
        <f t="shared" si="121"/>
        <v>0</v>
      </c>
      <c r="BQ192" s="28"/>
      <c r="BR192" s="28"/>
      <c r="BS192" s="65"/>
      <c r="BT192" s="64">
        <f t="shared" si="122"/>
        <v>0</v>
      </c>
      <c r="BU192" s="28"/>
      <c r="BV192" s="28"/>
      <c r="BW192" s="65"/>
      <c r="BX192" s="64">
        <f t="shared" si="123"/>
        <v>0</v>
      </c>
      <c r="BY192" s="28"/>
      <c r="BZ192" s="28"/>
      <c r="CA192" s="65"/>
      <c r="CB192" s="64">
        <f t="shared" si="124"/>
        <v>0</v>
      </c>
      <c r="CC192" s="28"/>
      <c r="CD192" s="28"/>
      <c r="CE192" s="65"/>
      <c r="CF192" s="64">
        <f t="shared" si="125"/>
        <v>0</v>
      </c>
      <c r="CG192" s="28"/>
      <c r="CH192" s="28"/>
      <c r="CI192" s="65"/>
      <c r="CJ192" s="64">
        <f t="shared" si="126"/>
        <v>0</v>
      </c>
      <c r="CK192" s="28"/>
      <c r="CL192" s="28"/>
      <c r="CM192" s="65"/>
      <c r="CN192" s="64">
        <f t="shared" si="127"/>
        <v>0</v>
      </c>
      <c r="CO192" s="28"/>
      <c r="CP192" s="28"/>
      <c r="CQ192" s="65"/>
      <c r="CR192" s="64">
        <f t="shared" si="128"/>
        <v>0</v>
      </c>
      <c r="CS192" s="28"/>
      <c r="CT192" s="28"/>
      <c r="CU192" s="65"/>
      <c r="CV192" s="64">
        <f t="shared" si="129"/>
        <v>0</v>
      </c>
      <c r="CW192" s="28"/>
      <c r="CX192" s="28"/>
      <c r="CY192" s="65"/>
      <c r="CZ192" s="64">
        <f t="shared" si="130"/>
        <v>0</v>
      </c>
      <c r="DA192" s="28"/>
      <c r="DB192" s="28"/>
      <c r="DC192" s="65"/>
      <c r="DD192" s="64">
        <f t="shared" si="131"/>
        <v>0</v>
      </c>
      <c r="DE192" s="28"/>
      <c r="DF192" s="28"/>
      <c r="DG192" s="65"/>
      <c r="DH192" s="64">
        <f t="shared" si="132"/>
        <v>0</v>
      </c>
      <c r="DI192" s="28"/>
      <c r="DJ192" s="28"/>
      <c r="DK192" s="65"/>
      <c r="DL192" s="64">
        <f t="shared" si="133"/>
        <v>0</v>
      </c>
      <c r="DM192" s="28"/>
      <c r="DN192" s="28"/>
      <c r="DO192" s="65"/>
      <c r="DP192" s="64">
        <f t="shared" si="134"/>
        <v>0</v>
      </c>
      <c r="DQ192" s="28"/>
      <c r="DR192" s="28"/>
      <c r="DS192" s="65"/>
      <c r="DT192" s="64">
        <f t="shared" si="135"/>
        <v>0</v>
      </c>
      <c r="DU192" s="28"/>
      <c r="DV192" s="28"/>
      <c r="DW192" s="65"/>
      <c r="DX192" s="30">
        <f t="shared" si="136"/>
        <v>0</v>
      </c>
      <c r="DY192" s="68"/>
      <c r="DZ192" s="68"/>
      <c r="EA192" s="68"/>
      <c r="EB192" s="9">
        <f>D192*'MASTER SHEET'!D192</f>
        <v>0</v>
      </c>
      <c r="EC192" s="9">
        <f>H192*'MASTER SHEET'!D192</f>
        <v>0</v>
      </c>
      <c r="ED192" s="9">
        <f>L192*'MASTER SHEET'!D192</f>
        <v>0</v>
      </c>
      <c r="EE192" s="9">
        <f>P192*'MASTER SHEET'!D192</f>
        <v>0</v>
      </c>
      <c r="EF192" s="9">
        <f>T192*'MASTER SHEET'!D192</f>
        <v>0</v>
      </c>
      <c r="EG192" s="9">
        <f>X192*'MASTER SHEET'!D192</f>
        <v>0</v>
      </c>
      <c r="EH192" s="9">
        <f>AB192*'MASTER SHEET'!D192</f>
        <v>0</v>
      </c>
      <c r="EI192" s="9">
        <f>AF192*'MASTER SHEET'!D192</f>
        <v>0</v>
      </c>
      <c r="EJ192" s="9">
        <f>AJ192*'MASTER SHEET'!D192</f>
        <v>0</v>
      </c>
      <c r="EK192" s="9">
        <f>AN192*'MASTER SHEET'!D192</f>
        <v>0</v>
      </c>
      <c r="EL192" s="9">
        <f>AR192*'MASTER SHEET'!D192</f>
        <v>0</v>
      </c>
      <c r="EM192" s="9">
        <f>AV192*'MASTER SHEET'!D192</f>
        <v>0</v>
      </c>
      <c r="EN192" s="9">
        <f>AZ192*'MASTER SHEET'!D192</f>
        <v>0</v>
      </c>
      <c r="EO192" s="9">
        <f>BD192*'MASTER SHEET'!D192</f>
        <v>0</v>
      </c>
      <c r="EP192" s="9">
        <f>BH192*'MASTER SHEET'!D192</f>
        <v>0</v>
      </c>
      <c r="EQ192" s="9">
        <f>BL192*'MASTER SHEET'!D192</f>
        <v>0</v>
      </c>
      <c r="ER192" s="9">
        <f>BP192*'MASTER SHEET'!D192</f>
        <v>0</v>
      </c>
      <c r="ES192" s="9">
        <f>BT192*'MASTER SHEET'!D192</f>
        <v>0</v>
      </c>
      <c r="ET192" s="9">
        <f>BX192*'MASTER SHEET'!D192</f>
        <v>0</v>
      </c>
      <c r="EU192" s="9">
        <f>CB192*'MASTER SHEET'!D192</f>
        <v>0</v>
      </c>
      <c r="EV192" s="9">
        <f>CF192*'MASTER SHEET'!D192</f>
        <v>0</v>
      </c>
      <c r="EW192" s="9">
        <f>CJ192*'MASTER SHEET'!D192</f>
        <v>0</v>
      </c>
      <c r="EX192" s="9">
        <f>CN192*'MASTER SHEET'!D192</f>
        <v>0</v>
      </c>
      <c r="EY192" s="9">
        <f>CV192*'MASTER SHEET'!D192</f>
        <v>0</v>
      </c>
      <c r="EZ192" s="9">
        <f>CV192*'MASTER SHEET'!D192</f>
        <v>0</v>
      </c>
      <c r="FA192" s="9">
        <f>CZ192*'MASTER SHEET'!D192</f>
        <v>0</v>
      </c>
      <c r="FB192" s="9">
        <f>DD192*'MASTER SHEET'!D192</f>
        <v>0</v>
      </c>
      <c r="FC192" s="9">
        <f>DH192*'MASTER SHEET'!D192</f>
        <v>0</v>
      </c>
      <c r="FD192" s="9">
        <f>DL192*'MASTER SHEET'!D192</f>
        <v>0</v>
      </c>
      <c r="FE192" s="9">
        <f>DP192*'MASTER SHEET'!D192</f>
        <v>0</v>
      </c>
      <c r="FF192" s="9">
        <f>DT192*'MASTER SHEET'!D192</f>
        <v>0</v>
      </c>
      <c r="FG192" s="9">
        <f>DX192*'MASTER SHEET'!D192</f>
        <v>0</v>
      </c>
    </row>
    <row r="193" spans="1:163" s="69" customFormat="1" ht="20.25" x14ac:dyDescent="0.25">
      <c r="A193" s="43">
        <f>'MASTER SHEET'!A193</f>
        <v>191</v>
      </c>
      <c r="B193" s="67" t="str">
        <f>'MASTER SHEET'!B193</f>
        <v>CAP PLASTIC</v>
      </c>
      <c r="C193" s="82">
        <f>'MASTER SHEET'!C193</f>
        <v>5039586</v>
      </c>
      <c r="D193" s="64"/>
      <c r="E193" s="28"/>
      <c r="F193" s="28"/>
      <c r="G193" s="65"/>
      <c r="H193" s="64">
        <f t="shared" si="106"/>
        <v>0</v>
      </c>
      <c r="I193" s="28"/>
      <c r="J193" s="28"/>
      <c r="K193" s="65"/>
      <c r="L193" s="64">
        <f t="shared" si="107"/>
        <v>0</v>
      </c>
      <c r="M193" s="28"/>
      <c r="N193" s="28"/>
      <c r="O193" s="65"/>
      <c r="P193" s="64">
        <f t="shared" si="108"/>
        <v>0</v>
      </c>
      <c r="Q193" s="28"/>
      <c r="R193" s="28"/>
      <c r="S193" s="65"/>
      <c r="T193" s="64">
        <f t="shared" si="109"/>
        <v>0</v>
      </c>
      <c r="U193" s="28"/>
      <c r="V193" s="28"/>
      <c r="W193" s="65"/>
      <c r="X193" s="64">
        <f t="shared" si="110"/>
        <v>0</v>
      </c>
      <c r="Y193" s="28"/>
      <c r="Z193" s="28"/>
      <c r="AA193" s="65"/>
      <c r="AB193" s="64">
        <f t="shared" si="111"/>
        <v>0</v>
      </c>
      <c r="AC193" s="28"/>
      <c r="AD193" s="28"/>
      <c r="AE193" s="65"/>
      <c r="AF193" s="64">
        <f t="shared" si="112"/>
        <v>0</v>
      </c>
      <c r="AG193" s="28"/>
      <c r="AH193" s="28"/>
      <c r="AI193" s="65"/>
      <c r="AJ193" s="64">
        <f t="shared" si="113"/>
        <v>0</v>
      </c>
      <c r="AK193" s="28"/>
      <c r="AL193" s="28"/>
      <c r="AM193" s="65"/>
      <c r="AN193" s="64">
        <f t="shared" si="114"/>
        <v>0</v>
      </c>
      <c r="AO193" s="28"/>
      <c r="AP193" s="28"/>
      <c r="AQ193" s="65"/>
      <c r="AR193" s="64">
        <f t="shared" si="115"/>
        <v>0</v>
      </c>
      <c r="AS193" s="28"/>
      <c r="AT193" s="28"/>
      <c r="AU193" s="65"/>
      <c r="AV193" s="64">
        <f t="shared" si="116"/>
        <v>0</v>
      </c>
      <c r="AW193" s="28"/>
      <c r="AX193" s="28"/>
      <c r="AY193" s="65"/>
      <c r="AZ193" s="64">
        <f t="shared" si="117"/>
        <v>0</v>
      </c>
      <c r="BA193" s="28"/>
      <c r="BB193" s="28"/>
      <c r="BC193" s="65"/>
      <c r="BD193" s="64">
        <f t="shared" si="118"/>
        <v>0</v>
      </c>
      <c r="BE193" s="28"/>
      <c r="BF193" s="28"/>
      <c r="BG193" s="65"/>
      <c r="BH193" s="64">
        <f t="shared" si="119"/>
        <v>0</v>
      </c>
      <c r="BI193" s="28"/>
      <c r="BJ193" s="28"/>
      <c r="BK193" s="65"/>
      <c r="BL193" s="64">
        <f t="shared" si="120"/>
        <v>0</v>
      </c>
      <c r="BM193" s="28"/>
      <c r="BN193" s="28"/>
      <c r="BO193" s="65"/>
      <c r="BP193" s="64">
        <f t="shared" si="121"/>
        <v>0</v>
      </c>
      <c r="BQ193" s="28"/>
      <c r="BR193" s="28"/>
      <c r="BS193" s="65"/>
      <c r="BT193" s="64">
        <f t="shared" si="122"/>
        <v>0</v>
      </c>
      <c r="BU193" s="28"/>
      <c r="BV193" s="28"/>
      <c r="BW193" s="65"/>
      <c r="BX193" s="64">
        <f t="shared" si="123"/>
        <v>0</v>
      </c>
      <c r="BY193" s="28"/>
      <c r="BZ193" s="28"/>
      <c r="CA193" s="65"/>
      <c r="CB193" s="64">
        <f t="shared" si="124"/>
        <v>0</v>
      </c>
      <c r="CC193" s="28"/>
      <c r="CD193" s="28"/>
      <c r="CE193" s="65"/>
      <c r="CF193" s="64">
        <f t="shared" si="125"/>
        <v>0</v>
      </c>
      <c r="CG193" s="28"/>
      <c r="CH193" s="28"/>
      <c r="CI193" s="65"/>
      <c r="CJ193" s="64">
        <f t="shared" si="126"/>
        <v>0</v>
      </c>
      <c r="CK193" s="28"/>
      <c r="CL193" s="28"/>
      <c r="CM193" s="65"/>
      <c r="CN193" s="64">
        <f t="shared" si="127"/>
        <v>0</v>
      </c>
      <c r="CO193" s="28"/>
      <c r="CP193" s="28"/>
      <c r="CQ193" s="65"/>
      <c r="CR193" s="64">
        <f t="shared" si="128"/>
        <v>0</v>
      </c>
      <c r="CS193" s="28"/>
      <c r="CT193" s="28"/>
      <c r="CU193" s="65"/>
      <c r="CV193" s="64">
        <f t="shared" si="129"/>
        <v>0</v>
      </c>
      <c r="CW193" s="28"/>
      <c r="CX193" s="28"/>
      <c r="CY193" s="65"/>
      <c r="CZ193" s="64">
        <f t="shared" si="130"/>
        <v>0</v>
      </c>
      <c r="DA193" s="28"/>
      <c r="DB193" s="28"/>
      <c r="DC193" s="65"/>
      <c r="DD193" s="64">
        <f t="shared" si="131"/>
        <v>0</v>
      </c>
      <c r="DE193" s="28"/>
      <c r="DF193" s="28"/>
      <c r="DG193" s="65"/>
      <c r="DH193" s="64">
        <f t="shared" si="132"/>
        <v>0</v>
      </c>
      <c r="DI193" s="28"/>
      <c r="DJ193" s="28"/>
      <c r="DK193" s="65"/>
      <c r="DL193" s="64">
        <f t="shared" si="133"/>
        <v>0</v>
      </c>
      <c r="DM193" s="28"/>
      <c r="DN193" s="28"/>
      <c r="DO193" s="65"/>
      <c r="DP193" s="64">
        <f t="shared" si="134"/>
        <v>0</v>
      </c>
      <c r="DQ193" s="28"/>
      <c r="DR193" s="28"/>
      <c r="DS193" s="65"/>
      <c r="DT193" s="64">
        <f t="shared" si="135"/>
        <v>0</v>
      </c>
      <c r="DU193" s="28"/>
      <c r="DV193" s="28"/>
      <c r="DW193" s="65"/>
      <c r="DX193" s="30">
        <f t="shared" si="136"/>
        <v>0</v>
      </c>
      <c r="DY193" s="68"/>
      <c r="DZ193" s="68"/>
      <c r="EA193" s="68"/>
      <c r="EB193" s="9">
        <f>D193*'MASTER SHEET'!D193</f>
        <v>0</v>
      </c>
      <c r="EC193" s="9">
        <f>H193*'MASTER SHEET'!D193</f>
        <v>0</v>
      </c>
      <c r="ED193" s="9">
        <f>L193*'MASTER SHEET'!D193</f>
        <v>0</v>
      </c>
      <c r="EE193" s="9">
        <f>P193*'MASTER SHEET'!D193</f>
        <v>0</v>
      </c>
      <c r="EF193" s="9">
        <f>T193*'MASTER SHEET'!D193</f>
        <v>0</v>
      </c>
      <c r="EG193" s="9">
        <f>X193*'MASTER SHEET'!D193</f>
        <v>0</v>
      </c>
      <c r="EH193" s="9">
        <f>AB193*'MASTER SHEET'!D193</f>
        <v>0</v>
      </c>
      <c r="EI193" s="9">
        <f>AF193*'MASTER SHEET'!D193</f>
        <v>0</v>
      </c>
      <c r="EJ193" s="9">
        <f>AJ193*'MASTER SHEET'!D193</f>
        <v>0</v>
      </c>
      <c r="EK193" s="9">
        <f>AN193*'MASTER SHEET'!D193</f>
        <v>0</v>
      </c>
      <c r="EL193" s="9">
        <f>AR193*'MASTER SHEET'!D193</f>
        <v>0</v>
      </c>
      <c r="EM193" s="9">
        <f>AV193*'MASTER SHEET'!D193</f>
        <v>0</v>
      </c>
      <c r="EN193" s="9">
        <f>AZ193*'MASTER SHEET'!D193</f>
        <v>0</v>
      </c>
      <c r="EO193" s="9">
        <f>BD193*'MASTER SHEET'!D193</f>
        <v>0</v>
      </c>
      <c r="EP193" s="9">
        <f>BH193*'MASTER SHEET'!D193</f>
        <v>0</v>
      </c>
      <c r="EQ193" s="9">
        <f>BL193*'MASTER SHEET'!D193</f>
        <v>0</v>
      </c>
      <c r="ER193" s="9">
        <f>BP193*'MASTER SHEET'!D193</f>
        <v>0</v>
      </c>
      <c r="ES193" s="9">
        <f>BT193*'MASTER SHEET'!D193</f>
        <v>0</v>
      </c>
      <c r="ET193" s="9">
        <f>BX193*'MASTER SHEET'!D193</f>
        <v>0</v>
      </c>
      <c r="EU193" s="9">
        <f>CB193*'MASTER SHEET'!D193</f>
        <v>0</v>
      </c>
      <c r="EV193" s="9">
        <f>CF193*'MASTER SHEET'!D193</f>
        <v>0</v>
      </c>
      <c r="EW193" s="9">
        <f>CJ193*'MASTER SHEET'!D193</f>
        <v>0</v>
      </c>
      <c r="EX193" s="9">
        <f>CN193*'MASTER SHEET'!D193</f>
        <v>0</v>
      </c>
      <c r="EY193" s="9">
        <f>CV193*'MASTER SHEET'!D193</f>
        <v>0</v>
      </c>
      <c r="EZ193" s="9">
        <f>CV193*'MASTER SHEET'!D193</f>
        <v>0</v>
      </c>
      <c r="FA193" s="9">
        <f>CZ193*'MASTER SHEET'!D193</f>
        <v>0</v>
      </c>
      <c r="FB193" s="9">
        <f>DD193*'MASTER SHEET'!D193</f>
        <v>0</v>
      </c>
      <c r="FC193" s="9">
        <f>DH193*'MASTER SHEET'!D193</f>
        <v>0</v>
      </c>
      <c r="FD193" s="9">
        <f>DL193*'MASTER SHEET'!D193</f>
        <v>0</v>
      </c>
      <c r="FE193" s="9">
        <f>DP193*'MASTER SHEET'!D193</f>
        <v>0</v>
      </c>
      <c r="FF193" s="9">
        <f>DT193*'MASTER SHEET'!D193</f>
        <v>0</v>
      </c>
      <c r="FG193" s="9">
        <f>DX193*'MASTER SHEET'!D193</f>
        <v>0</v>
      </c>
    </row>
    <row r="194" spans="1:163" s="69" customFormat="1" ht="20.25" x14ac:dyDescent="0.25">
      <c r="A194" s="43">
        <f>'MASTER SHEET'!A194</f>
        <v>192</v>
      </c>
      <c r="B194" s="67" t="str">
        <f>'MASTER SHEET'!B194</f>
        <v xml:space="preserve"> MBP N6 PRECLEANER</v>
      </c>
      <c r="C194" s="82">
        <f>'MASTER SHEET'!C194</f>
        <v>5033867</v>
      </c>
      <c r="D194" s="64"/>
      <c r="E194" s="28"/>
      <c r="F194" s="28"/>
      <c r="G194" s="65"/>
      <c r="H194" s="64">
        <f t="shared" si="106"/>
        <v>0</v>
      </c>
      <c r="I194" s="28"/>
      <c r="J194" s="28"/>
      <c r="K194" s="65"/>
      <c r="L194" s="64">
        <f t="shared" si="107"/>
        <v>0</v>
      </c>
      <c r="M194" s="28"/>
      <c r="N194" s="28"/>
      <c r="O194" s="65"/>
      <c r="P194" s="64">
        <f t="shared" si="108"/>
        <v>0</v>
      </c>
      <c r="Q194" s="28"/>
      <c r="R194" s="28"/>
      <c r="S194" s="65"/>
      <c r="T194" s="64">
        <f t="shared" si="109"/>
        <v>0</v>
      </c>
      <c r="U194" s="28"/>
      <c r="V194" s="28"/>
      <c r="W194" s="65"/>
      <c r="X194" s="64">
        <f t="shared" si="110"/>
        <v>0</v>
      </c>
      <c r="Y194" s="28"/>
      <c r="Z194" s="28"/>
      <c r="AA194" s="65"/>
      <c r="AB194" s="64">
        <f t="shared" si="111"/>
        <v>0</v>
      </c>
      <c r="AC194" s="28"/>
      <c r="AD194" s="28"/>
      <c r="AE194" s="65"/>
      <c r="AF194" s="64">
        <f t="shared" si="112"/>
        <v>0</v>
      </c>
      <c r="AG194" s="28"/>
      <c r="AH194" s="28"/>
      <c r="AI194" s="65"/>
      <c r="AJ194" s="64">
        <f t="shared" si="113"/>
        <v>0</v>
      </c>
      <c r="AK194" s="28"/>
      <c r="AL194" s="28"/>
      <c r="AM194" s="65"/>
      <c r="AN194" s="64">
        <f t="shared" si="114"/>
        <v>0</v>
      </c>
      <c r="AO194" s="28"/>
      <c r="AP194" s="28"/>
      <c r="AQ194" s="65"/>
      <c r="AR194" s="64">
        <f t="shared" si="115"/>
        <v>0</v>
      </c>
      <c r="AS194" s="28"/>
      <c r="AT194" s="28"/>
      <c r="AU194" s="65"/>
      <c r="AV194" s="64">
        <f t="shared" si="116"/>
        <v>0</v>
      </c>
      <c r="AW194" s="28"/>
      <c r="AX194" s="28"/>
      <c r="AY194" s="65"/>
      <c r="AZ194" s="64">
        <f t="shared" si="117"/>
        <v>0</v>
      </c>
      <c r="BA194" s="28"/>
      <c r="BB194" s="28"/>
      <c r="BC194" s="65"/>
      <c r="BD194" s="64">
        <f t="shared" si="118"/>
        <v>0</v>
      </c>
      <c r="BE194" s="28"/>
      <c r="BF194" s="28"/>
      <c r="BG194" s="65"/>
      <c r="BH194" s="64">
        <f t="shared" si="119"/>
        <v>0</v>
      </c>
      <c r="BI194" s="28"/>
      <c r="BJ194" s="28"/>
      <c r="BK194" s="65"/>
      <c r="BL194" s="64">
        <f t="shared" si="120"/>
        <v>0</v>
      </c>
      <c r="BM194" s="28"/>
      <c r="BN194" s="28"/>
      <c r="BO194" s="65"/>
      <c r="BP194" s="64">
        <f t="shared" si="121"/>
        <v>0</v>
      </c>
      <c r="BQ194" s="28"/>
      <c r="BR194" s="28"/>
      <c r="BS194" s="65"/>
      <c r="BT194" s="64">
        <f t="shared" si="122"/>
        <v>0</v>
      </c>
      <c r="BU194" s="28"/>
      <c r="BV194" s="28"/>
      <c r="BW194" s="65"/>
      <c r="BX194" s="64">
        <f t="shared" si="123"/>
        <v>0</v>
      </c>
      <c r="BY194" s="28"/>
      <c r="BZ194" s="28"/>
      <c r="CA194" s="65"/>
      <c r="CB194" s="64">
        <f t="shared" si="124"/>
        <v>0</v>
      </c>
      <c r="CC194" s="28"/>
      <c r="CD194" s="28"/>
      <c r="CE194" s="65"/>
      <c r="CF194" s="64">
        <f t="shared" si="125"/>
        <v>0</v>
      </c>
      <c r="CG194" s="28"/>
      <c r="CH194" s="28"/>
      <c r="CI194" s="65"/>
      <c r="CJ194" s="64">
        <f t="shared" si="126"/>
        <v>0</v>
      </c>
      <c r="CK194" s="28"/>
      <c r="CL194" s="28"/>
      <c r="CM194" s="65"/>
      <c r="CN194" s="64">
        <f t="shared" si="127"/>
        <v>0</v>
      </c>
      <c r="CO194" s="28"/>
      <c r="CP194" s="28"/>
      <c r="CQ194" s="65"/>
      <c r="CR194" s="64">
        <f t="shared" si="128"/>
        <v>0</v>
      </c>
      <c r="CS194" s="28"/>
      <c r="CT194" s="28"/>
      <c r="CU194" s="65"/>
      <c r="CV194" s="64">
        <f t="shared" si="129"/>
        <v>0</v>
      </c>
      <c r="CW194" s="28"/>
      <c r="CX194" s="28"/>
      <c r="CY194" s="65"/>
      <c r="CZ194" s="64">
        <f t="shared" si="130"/>
        <v>0</v>
      </c>
      <c r="DA194" s="28"/>
      <c r="DB194" s="28"/>
      <c r="DC194" s="65"/>
      <c r="DD194" s="64">
        <f t="shared" si="131"/>
        <v>0</v>
      </c>
      <c r="DE194" s="28"/>
      <c r="DF194" s="28"/>
      <c r="DG194" s="65"/>
      <c r="DH194" s="64">
        <f t="shared" si="132"/>
        <v>0</v>
      </c>
      <c r="DI194" s="28"/>
      <c r="DJ194" s="28"/>
      <c r="DK194" s="65"/>
      <c r="DL194" s="64">
        <f t="shared" si="133"/>
        <v>0</v>
      </c>
      <c r="DM194" s="28"/>
      <c r="DN194" s="28"/>
      <c r="DO194" s="65"/>
      <c r="DP194" s="64">
        <f t="shared" si="134"/>
        <v>0</v>
      </c>
      <c r="DQ194" s="28"/>
      <c r="DR194" s="28"/>
      <c r="DS194" s="65"/>
      <c r="DT194" s="64">
        <f t="shared" si="135"/>
        <v>0</v>
      </c>
      <c r="DU194" s="28"/>
      <c r="DV194" s="28"/>
      <c r="DW194" s="65"/>
      <c r="DX194" s="30">
        <f t="shared" si="136"/>
        <v>0</v>
      </c>
      <c r="DY194" s="68"/>
      <c r="DZ194" s="68"/>
      <c r="EA194" s="68"/>
      <c r="EB194" s="9">
        <f>D194*'MASTER SHEET'!D194</f>
        <v>0</v>
      </c>
      <c r="EC194" s="9">
        <f>H194*'MASTER SHEET'!D194</f>
        <v>0</v>
      </c>
      <c r="ED194" s="9">
        <f>L194*'MASTER SHEET'!D194</f>
        <v>0</v>
      </c>
      <c r="EE194" s="9">
        <f>P194*'MASTER SHEET'!D194</f>
        <v>0</v>
      </c>
      <c r="EF194" s="9">
        <f>T194*'MASTER SHEET'!D194</f>
        <v>0</v>
      </c>
      <c r="EG194" s="9">
        <f>X194*'MASTER SHEET'!D194</f>
        <v>0</v>
      </c>
      <c r="EH194" s="9">
        <f>AB194*'MASTER SHEET'!D194</f>
        <v>0</v>
      </c>
      <c r="EI194" s="9">
        <f>AF194*'MASTER SHEET'!D194</f>
        <v>0</v>
      </c>
      <c r="EJ194" s="9">
        <f>AJ194*'MASTER SHEET'!D194</f>
        <v>0</v>
      </c>
      <c r="EK194" s="9">
        <f>AN194*'MASTER SHEET'!D194</f>
        <v>0</v>
      </c>
      <c r="EL194" s="9">
        <f>AR194*'MASTER SHEET'!D194</f>
        <v>0</v>
      </c>
      <c r="EM194" s="9">
        <f>AV194*'MASTER SHEET'!D194</f>
        <v>0</v>
      </c>
      <c r="EN194" s="9">
        <f>AZ194*'MASTER SHEET'!D194</f>
        <v>0</v>
      </c>
      <c r="EO194" s="9">
        <f>BD194*'MASTER SHEET'!D194</f>
        <v>0</v>
      </c>
      <c r="EP194" s="9">
        <f>BH194*'MASTER SHEET'!D194</f>
        <v>0</v>
      </c>
      <c r="EQ194" s="9">
        <f>BL194*'MASTER SHEET'!D194</f>
        <v>0</v>
      </c>
      <c r="ER194" s="9">
        <f>BP194*'MASTER SHEET'!D194</f>
        <v>0</v>
      </c>
      <c r="ES194" s="9">
        <f>BT194*'MASTER SHEET'!D194</f>
        <v>0</v>
      </c>
      <c r="ET194" s="9">
        <f>BX194*'MASTER SHEET'!D194</f>
        <v>0</v>
      </c>
      <c r="EU194" s="9">
        <f>CB194*'MASTER SHEET'!D194</f>
        <v>0</v>
      </c>
      <c r="EV194" s="9">
        <f>CF194*'MASTER SHEET'!D194</f>
        <v>0</v>
      </c>
      <c r="EW194" s="9">
        <f>CJ194*'MASTER SHEET'!D194</f>
        <v>0</v>
      </c>
      <c r="EX194" s="9">
        <f>CN194*'MASTER SHEET'!D194</f>
        <v>0</v>
      </c>
      <c r="EY194" s="9">
        <f>CV194*'MASTER SHEET'!D194</f>
        <v>0</v>
      </c>
      <c r="EZ194" s="9">
        <f>CV194*'MASTER SHEET'!D194</f>
        <v>0</v>
      </c>
      <c r="FA194" s="9">
        <f>CZ194*'MASTER SHEET'!D194</f>
        <v>0</v>
      </c>
      <c r="FB194" s="9">
        <f>DD194*'MASTER SHEET'!D194</f>
        <v>0</v>
      </c>
      <c r="FC194" s="9">
        <f>DH194*'MASTER SHEET'!D194</f>
        <v>0</v>
      </c>
      <c r="FD194" s="9">
        <f>DL194*'MASTER SHEET'!D194</f>
        <v>0</v>
      </c>
      <c r="FE194" s="9">
        <f>DP194*'MASTER SHEET'!D194</f>
        <v>0</v>
      </c>
      <c r="FF194" s="9">
        <f>DT194*'MASTER SHEET'!D194</f>
        <v>0</v>
      </c>
      <c r="FG194" s="9">
        <f>DX194*'MASTER SHEET'!D194</f>
        <v>0</v>
      </c>
    </row>
    <row r="195" spans="1:163" s="69" customFormat="1" ht="20.25" x14ac:dyDescent="0.25">
      <c r="A195" s="43">
        <f>'MASTER SHEET'!A195</f>
        <v>193</v>
      </c>
      <c r="B195" s="67" t="str">
        <f>'MASTER SHEET'!B195</f>
        <v>BOWL PLASTIC</v>
      </c>
      <c r="C195" s="82">
        <f>'MASTER SHEET'!C195</f>
        <v>5011024</v>
      </c>
      <c r="D195" s="64"/>
      <c r="E195" s="28"/>
      <c r="F195" s="28"/>
      <c r="G195" s="65"/>
      <c r="H195" s="64">
        <f t="shared" si="106"/>
        <v>0</v>
      </c>
      <c r="I195" s="28"/>
      <c r="J195" s="28"/>
      <c r="K195" s="65"/>
      <c r="L195" s="64">
        <f t="shared" si="107"/>
        <v>0</v>
      </c>
      <c r="M195" s="28"/>
      <c r="N195" s="28"/>
      <c r="O195" s="65"/>
      <c r="P195" s="64">
        <f t="shared" si="108"/>
        <v>0</v>
      </c>
      <c r="Q195" s="28"/>
      <c r="R195" s="28"/>
      <c r="S195" s="65"/>
      <c r="T195" s="64">
        <f t="shared" si="109"/>
        <v>0</v>
      </c>
      <c r="U195" s="28"/>
      <c r="V195" s="28"/>
      <c r="W195" s="65"/>
      <c r="X195" s="64">
        <f t="shared" si="110"/>
        <v>0</v>
      </c>
      <c r="Y195" s="28"/>
      <c r="Z195" s="28"/>
      <c r="AA195" s="65"/>
      <c r="AB195" s="64">
        <f t="shared" si="111"/>
        <v>0</v>
      </c>
      <c r="AC195" s="28"/>
      <c r="AD195" s="28"/>
      <c r="AE195" s="65"/>
      <c r="AF195" s="64">
        <f t="shared" si="112"/>
        <v>0</v>
      </c>
      <c r="AG195" s="28"/>
      <c r="AH195" s="28"/>
      <c r="AI195" s="65"/>
      <c r="AJ195" s="64">
        <f t="shared" si="113"/>
        <v>0</v>
      </c>
      <c r="AK195" s="28"/>
      <c r="AL195" s="28"/>
      <c r="AM195" s="65"/>
      <c r="AN195" s="64">
        <f t="shared" si="114"/>
        <v>0</v>
      </c>
      <c r="AO195" s="28"/>
      <c r="AP195" s="28"/>
      <c r="AQ195" s="65"/>
      <c r="AR195" s="64">
        <f t="shared" si="115"/>
        <v>0</v>
      </c>
      <c r="AS195" s="28"/>
      <c r="AT195" s="28"/>
      <c r="AU195" s="65"/>
      <c r="AV195" s="64">
        <f t="shared" si="116"/>
        <v>0</v>
      </c>
      <c r="AW195" s="28"/>
      <c r="AX195" s="28"/>
      <c r="AY195" s="65"/>
      <c r="AZ195" s="64">
        <f t="shared" si="117"/>
        <v>0</v>
      </c>
      <c r="BA195" s="28"/>
      <c r="BB195" s="28"/>
      <c r="BC195" s="65"/>
      <c r="BD195" s="64">
        <f t="shared" si="118"/>
        <v>0</v>
      </c>
      <c r="BE195" s="28"/>
      <c r="BF195" s="28"/>
      <c r="BG195" s="65"/>
      <c r="BH195" s="64">
        <f t="shared" si="119"/>
        <v>0</v>
      </c>
      <c r="BI195" s="28"/>
      <c r="BJ195" s="28"/>
      <c r="BK195" s="65"/>
      <c r="BL195" s="64">
        <f t="shared" si="120"/>
        <v>0</v>
      </c>
      <c r="BM195" s="28"/>
      <c r="BN195" s="28"/>
      <c r="BO195" s="65"/>
      <c r="BP195" s="64">
        <f t="shared" si="121"/>
        <v>0</v>
      </c>
      <c r="BQ195" s="28"/>
      <c r="BR195" s="28"/>
      <c r="BS195" s="65"/>
      <c r="BT195" s="64">
        <f t="shared" si="122"/>
        <v>0</v>
      </c>
      <c r="BU195" s="28"/>
      <c r="BV195" s="28"/>
      <c r="BW195" s="65"/>
      <c r="BX195" s="64">
        <f t="shared" si="123"/>
        <v>0</v>
      </c>
      <c r="BY195" s="28"/>
      <c r="BZ195" s="28"/>
      <c r="CA195" s="65"/>
      <c r="CB195" s="64">
        <f t="shared" si="124"/>
        <v>0</v>
      </c>
      <c r="CC195" s="28"/>
      <c r="CD195" s="28"/>
      <c r="CE195" s="65"/>
      <c r="CF195" s="64">
        <f t="shared" si="125"/>
        <v>0</v>
      </c>
      <c r="CG195" s="28"/>
      <c r="CH195" s="28"/>
      <c r="CI195" s="65"/>
      <c r="CJ195" s="64">
        <f t="shared" si="126"/>
        <v>0</v>
      </c>
      <c r="CK195" s="28"/>
      <c r="CL195" s="28"/>
      <c r="CM195" s="65"/>
      <c r="CN195" s="64">
        <f t="shared" si="127"/>
        <v>0</v>
      </c>
      <c r="CO195" s="28"/>
      <c r="CP195" s="28"/>
      <c r="CQ195" s="65"/>
      <c r="CR195" s="64">
        <f t="shared" si="128"/>
        <v>0</v>
      </c>
      <c r="CS195" s="28"/>
      <c r="CT195" s="28"/>
      <c r="CU195" s="65"/>
      <c r="CV195" s="64">
        <f t="shared" si="129"/>
        <v>0</v>
      </c>
      <c r="CW195" s="28"/>
      <c r="CX195" s="28"/>
      <c r="CY195" s="65"/>
      <c r="CZ195" s="64">
        <f t="shared" si="130"/>
        <v>0</v>
      </c>
      <c r="DA195" s="28"/>
      <c r="DB195" s="28"/>
      <c r="DC195" s="65"/>
      <c r="DD195" s="64">
        <f t="shared" si="131"/>
        <v>0</v>
      </c>
      <c r="DE195" s="28"/>
      <c r="DF195" s="28"/>
      <c r="DG195" s="65"/>
      <c r="DH195" s="64">
        <f t="shared" si="132"/>
        <v>0</v>
      </c>
      <c r="DI195" s="28"/>
      <c r="DJ195" s="28"/>
      <c r="DK195" s="65"/>
      <c r="DL195" s="64">
        <f t="shared" si="133"/>
        <v>0</v>
      </c>
      <c r="DM195" s="28"/>
      <c r="DN195" s="28"/>
      <c r="DO195" s="65"/>
      <c r="DP195" s="64">
        <f t="shared" si="134"/>
        <v>0</v>
      </c>
      <c r="DQ195" s="28"/>
      <c r="DR195" s="28"/>
      <c r="DS195" s="65"/>
      <c r="DT195" s="64">
        <f t="shared" si="135"/>
        <v>0</v>
      </c>
      <c r="DU195" s="28"/>
      <c r="DV195" s="28"/>
      <c r="DW195" s="65"/>
      <c r="DX195" s="30">
        <f t="shared" si="136"/>
        <v>0</v>
      </c>
      <c r="DY195" s="68"/>
      <c r="DZ195" s="68"/>
      <c r="EA195" s="68"/>
      <c r="EB195" s="9">
        <f>D195*'MASTER SHEET'!D195</f>
        <v>0</v>
      </c>
      <c r="EC195" s="9">
        <f>H195*'MASTER SHEET'!D195</f>
        <v>0</v>
      </c>
      <c r="ED195" s="9">
        <f>L195*'MASTER SHEET'!D195</f>
        <v>0</v>
      </c>
      <c r="EE195" s="9">
        <f>P195*'MASTER SHEET'!D195</f>
        <v>0</v>
      </c>
      <c r="EF195" s="9">
        <f>T195*'MASTER SHEET'!D195</f>
        <v>0</v>
      </c>
      <c r="EG195" s="9">
        <f>X195*'MASTER SHEET'!D195</f>
        <v>0</v>
      </c>
      <c r="EH195" s="9">
        <f>AB195*'MASTER SHEET'!D195</f>
        <v>0</v>
      </c>
      <c r="EI195" s="9">
        <f>AF195*'MASTER SHEET'!D195</f>
        <v>0</v>
      </c>
      <c r="EJ195" s="9">
        <f>AJ195*'MASTER SHEET'!D195</f>
        <v>0</v>
      </c>
      <c r="EK195" s="9">
        <f>AN195*'MASTER SHEET'!D195</f>
        <v>0</v>
      </c>
      <c r="EL195" s="9">
        <f>AR195*'MASTER SHEET'!D195</f>
        <v>0</v>
      </c>
      <c r="EM195" s="9">
        <f>AV195*'MASTER SHEET'!D195</f>
        <v>0</v>
      </c>
      <c r="EN195" s="9">
        <f>AZ195*'MASTER SHEET'!D195</f>
        <v>0</v>
      </c>
      <c r="EO195" s="9">
        <f>BD195*'MASTER SHEET'!D195</f>
        <v>0</v>
      </c>
      <c r="EP195" s="9">
        <f>BH195*'MASTER SHEET'!D195</f>
        <v>0</v>
      </c>
      <c r="EQ195" s="9">
        <f>BL195*'MASTER SHEET'!D195</f>
        <v>0</v>
      </c>
      <c r="ER195" s="9">
        <f>BP195*'MASTER SHEET'!D195</f>
        <v>0</v>
      </c>
      <c r="ES195" s="9">
        <f>BT195*'MASTER SHEET'!D195</f>
        <v>0</v>
      </c>
      <c r="ET195" s="9">
        <f>BX195*'MASTER SHEET'!D195</f>
        <v>0</v>
      </c>
      <c r="EU195" s="9">
        <f>CB195*'MASTER SHEET'!D195</f>
        <v>0</v>
      </c>
      <c r="EV195" s="9">
        <f>CF195*'MASTER SHEET'!D195</f>
        <v>0</v>
      </c>
      <c r="EW195" s="9">
        <f>CJ195*'MASTER SHEET'!D195</f>
        <v>0</v>
      </c>
      <c r="EX195" s="9">
        <f>CN195*'MASTER SHEET'!D195</f>
        <v>0</v>
      </c>
      <c r="EY195" s="9">
        <f>CV195*'MASTER SHEET'!D195</f>
        <v>0</v>
      </c>
      <c r="EZ195" s="9">
        <f>CV195*'MASTER SHEET'!D195</f>
        <v>0</v>
      </c>
      <c r="FA195" s="9">
        <f>CZ195*'MASTER SHEET'!D195</f>
        <v>0</v>
      </c>
      <c r="FB195" s="9">
        <f>DD195*'MASTER SHEET'!D195</f>
        <v>0</v>
      </c>
      <c r="FC195" s="9">
        <f>DH195*'MASTER SHEET'!D195</f>
        <v>0</v>
      </c>
      <c r="FD195" s="9">
        <f>DL195*'MASTER SHEET'!D195</f>
        <v>0</v>
      </c>
      <c r="FE195" s="9">
        <f>DP195*'MASTER SHEET'!D195</f>
        <v>0</v>
      </c>
      <c r="FF195" s="9">
        <f>DT195*'MASTER SHEET'!D195</f>
        <v>0</v>
      </c>
      <c r="FG195" s="9">
        <f>DX195*'MASTER SHEET'!D195</f>
        <v>0</v>
      </c>
    </row>
    <row r="196" spans="1:163" s="69" customFormat="1" ht="20.25" x14ac:dyDescent="0.25">
      <c r="A196" s="43">
        <f>'MASTER SHEET'!A196</f>
        <v>194</v>
      </c>
      <c r="B196" s="67">
        <f>'MASTER SHEET'!B196</f>
        <v>0</v>
      </c>
      <c r="C196" s="82">
        <f>'MASTER SHEET'!C196</f>
        <v>5038801</v>
      </c>
      <c r="D196" s="64"/>
      <c r="E196" s="28"/>
      <c r="F196" s="28"/>
      <c r="G196" s="65"/>
      <c r="H196" s="64">
        <f t="shared" ref="H196:H202" si="137">D196+E196-F196-G196</f>
        <v>0</v>
      </c>
      <c r="I196" s="28"/>
      <c r="J196" s="28"/>
      <c r="K196" s="65"/>
      <c r="L196" s="64">
        <f t="shared" ref="L196:L202" si="138">H196+I196-J196-K196</f>
        <v>0</v>
      </c>
      <c r="M196" s="28"/>
      <c r="N196" s="28"/>
      <c r="O196" s="65"/>
      <c r="P196" s="64">
        <f t="shared" ref="P196:P202" si="139">L196+M196-N196-O196</f>
        <v>0</v>
      </c>
      <c r="Q196" s="28"/>
      <c r="R196" s="28"/>
      <c r="S196" s="65"/>
      <c r="T196" s="64">
        <f t="shared" ref="T196:T202" si="140">P196+Q196-R196-S196</f>
        <v>0</v>
      </c>
      <c r="U196" s="28"/>
      <c r="V196" s="28"/>
      <c r="W196" s="65"/>
      <c r="X196" s="64">
        <f t="shared" ref="X196:X202" si="141">T196+U196-V196-W196</f>
        <v>0</v>
      </c>
      <c r="Y196" s="28"/>
      <c r="Z196" s="28"/>
      <c r="AA196" s="65"/>
      <c r="AB196" s="64">
        <f t="shared" ref="AB196:AB202" si="142">X196+Y196-Z196-AA196</f>
        <v>0</v>
      </c>
      <c r="AC196" s="28"/>
      <c r="AD196" s="28"/>
      <c r="AE196" s="65"/>
      <c r="AF196" s="64">
        <f t="shared" ref="AF196:AF202" si="143">AB196+AC196-AD196-AE196</f>
        <v>0</v>
      </c>
      <c r="AG196" s="28"/>
      <c r="AH196" s="28"/>
      <c r="AI196" s="65"/>
      <c r="AJ196" s="64">
        <f t="shared" ref="AJ196:AJ202" si="144">AF196+AG196-AH196-AI196</f>
        <v>0</v>
      </c>
      <c r="AK196" s="28"/>
      <c r="AL196" s="28"/>
      <c r="AM196" s="65"/>
      <c r="AN196" s="64">
        <f t="shared" ref="AN196:AN202" si="145">AJ196+AK196-AL196-AM196</f>
        <v>0</v>
      </c>
      <c r="AO196" s="28"/>
      <c r="AP196" s="28"/>
      <c r="AQ196" s="65"/>
      <c r="AR196" s="64">
        <f t="shared" ref="AR196:AR202" si="146">AN196+AO196-AP196-AQ196</f>
        <v>0</v>
      </c>
      <c r="AS196" s="28"/>
      <c r="AT196" s="28"/>
      <c r="AU196" s="65"/>
      <c r="AV196" s="64">
        <f t="shared" ref="AV196:AV202" si="147">AR196+AS196-AT196-AU196</f>
        <v>0</v>
      </c>
      <c r="AW196" s="28"/>
      <c r="AX196" s="28"/>
      <c r="AY196" s="65"/>
      <c r="AZ196" s="64">
        <f t="shared" ref="AZ196:AZ202" si="148">AV196+AW196-AX196-AY196</f>
        <v>0</v>
      </c>
      <c r="BA196" s="28"/>
      <c r="BB196" s="28"/>
      <c r="BC196" s="65"/>
      <c r="BD196" s="64">
        <f t="shared" ref="BD196:BD202" si="149">AZ196+BA196-BB196-BC196</f>
        <v>0</v>
      </c>
      <c r="BE196" s="28"/>
      <c r="BF196" s="28"/>
      <c r="BG196" s="65"/>
      <c r="BH196" s="64">
        <f t="shared" ref="BH196:BH202" si="150">BD196+BE196-BF196-BG196</f>
        <v>0</v>
      </c>
      <c r="BI196" s="28"/>
      <c r="BJ196" s="28"/>
      <c r="BK196" s="65"/>
      <c r="BL196" s="64">
        <f t="shared" ref="BL196:BL202" si="151">BH196+BI196-BJ196-BK196</f>
        <v>0</v>
      </c>
      <c r="BM196" s="28"/>
      <c r="BN196" s="28"/>
      <c r="BO196" s="65"/>
      <c r="BP196" s="64">
        <f t="shared" ref="BP196:BP202" si="152">BL196+BM196-BN196-BO196</f>
        <v>0</v>
      </c>
      <c r="BQ196" s="28"/>
      <c r="BR196" s="28"/>
      <c r="BS196" s="65"/>
      <c r="BT196" s="64">
        <f t="shared" ref="BT196:BT202" si="153">BP196+BQ196-BR196-BS196</f>
        <v>0</v>
      </c>
      <c r="BU196" s="28"/>
      <c r="BV196" s="28"/>
      <c r="BW196" s="65"/>
      <c r="BX196" s="64">
        <f t="shared" ref="BX196:BX202" si="154">BT196+BU196-BV196-BW196</f>
        <v>0</v>
      </c>
      <c r="BY196" s="28"/>
      <c r="BZ196" s="28"/>
      <c r="CA196" s="65"/>
      <c r="CB196" s="64">
        <f t="shared" ref="CB196:CB202" si="155">BX196+BY196-BZ196-CA196</f>
        <v>0</v>
      </c>
      <c r="CC196" s="28"/>
      <c r="CD196" s="28"/>
      <c r="CE196" s="65"/>
      <c r="CF196" s="64">
        <f t="shared" ref="CF196:CF202" si="156">CB196+CC196-CD196-CE196</f>
        <v>0</v>
      </c>
      <c r="CG196" s="28"/>
      <c r="CH196" s="28"/>
      <c r="CI196" s="65"/>
      <c r="CJ196" s="64">
        <f t="shared" ref="CJ196:CJ202" si="157">CF196+CG196-CH196-CI196</f>
        <v>0</v>
      </c>
      <c r="CK196" s="28"/>
      <c r="CL196" s="28"/>
      <c r="CM196" s="65"/>
      <c r="CN196" s="64">
        <f t="shared" ref="CN196:CN202" si="158">CJ196+CK196-CL196-CM196</f>
        <v>0</v>
      </c>
      <c r="CO196" s="28"/>
      <c r="CP196" s="28"/>
      <c r="CQ196" s="65"/>
      <c r="CR196" s="64">
        <f t="shared" ref="CR196:CR202" si="159">CN196+CO196-CP196-CQ196</f>
        <v>0</v>
      </c>
      <c r="CS196" s="28"/>
      <c r="CT196" s="28"/>
      <c r="CU196" s="65"/>
      <c r="CV196" s="64">
        <f t="shared" ref="CV196:CV202" si="160">CR196+CS196-CT196-CU196</f>
        <v>0</v>
      </c>
      <c r="CW196" s="28"/>
      <c r="CX196" s="28"/>
      <c r="CY196" s="65"/>
      <c r="CZ196" s="64">
        <f t="shared" ref="CZ196:CZ202" si="161">CV196+CW196-CX196-CY196</f>
        <v>0</v>
      </c>
      <c r="DA196" s="28"/>
      <c r="DB196" s="28"/>
      <c r="DC196" s="65"/>
      <c r="DD196" s="64">
        <f t="shared" ref="DD196:DD202" si="162">CZ196+DA196-DB196-DC196</f>
        <v>0</v>
      </c>
      <c r="DE196" s="28"/>
      <c r="DF196" s="28"/>
      <c r="DG196" s="65"/>
      <c r="DH196" s="64">
        <f t="shared" ref="DH196:DH202" si="163">DD196+DE196-DF196-DG196</f>
        <v>0</v>
      </c>
      <c r="DI196" s="28"/>
      <c r="DJ196" s="28"/>
      <c r="DK196" s="65"/>
      <c r="DL196" s="64">
        <f t="shared" ref="DL196:DL202" si="164">DH196+DI196-DJ196-DK196</f>
        <v>0</v>
      </c>
      <c r="DM196" s="28"/>
      <c r="DN196" s="28"/>
      <c r="DO196" s="65"/>
      <c r="DP196" s="64">
        <f t="shared" ref="DP196:DP202" si="165">DL196+DM196-DN196-DO196</f>
        <v>0</v>
      </c>
      <c r="DQ196" s="28"/>
      <c r="DR196" s="28"/>
      <c r="DS196" s="65"/>
      <c r="DT196" s="64">
        <f t="shared" ref="DT196:DT202" si="166">DP196+DQ196-DR196-DS196</f>
        <v>0</v>
      </c>
      <c r="DU196" s="28"/>
      <c r="DV196" s="28"/>
      <c r="DW196" s="65"/>
      <c r="DX196" s="30">
        <f t="shared" ref="DX196:DX202" si="167">DT196+DU196-DV196-DW196</f>
        <v>0</v>
      </c>
      <c r="DY196" s="68"/>
      <c r="DZ196" s="68"/>
      <c r="EA196" s="68"/>
      <c r="EB196" s="9">
        <f>D196*'MASTER SHEET'!D196</f>
        <v>0</v>
      </c>
      <c r="EC196" s="9">
        <f>H196*'MASTER SHEET'!D196</f>
        <v>0</v>
      </c>
      <c r="ED196" s="9">
        <f>L196*'MASTER SHEET'!D196</f>
        <v>0</v>
      </c>
      <c r="EE196" s="9">
        <f>P196*'MASTER SHEET'!D196</f>
        <v>0</v>
      </c>
      <c r="EF196" s="9">
        <f>T196*'MASTER SHEET'!D196</f>
        <v>0</v>
      </c>
      <c r="EG196" s="9">
        <f>X196*'MASTER SHEET'!D196</f>
        <v>0</v>
      </c>
      <c r="EH196" s="9">
        <f>AB196*'MASTER SHEET'!D196</f>
        <v>0</v>
      </c>
      <c r="EI196" s="9">
        <f>AF196*'MASTER SHEET'!D196</f>
        <v>0</v>
      </c>
      <c r="EJ196" s="9">
        <f>AJ196*'MASTER SHEET'!D196</f>
        <v>0</v>
      </c>
      <c r="EK196" s="9">
        <f>AN196*'MASTER SHEET'!D196</f>
        <v>0</v>
      </c>
      <c r="EL196" s="9">
        <f>AR196*'MASTER SHEET'!D196</f>
        <v>0</v>
      </c>
      <c r="EM196" s="9">
        <f>AV196*'MASTER SHEET'!D196</f>
        <v>0</v>
      </c>
      <c r="EN196" s="9">
        <f>AZ196*'MASTER SHEET'!D196</f>
        <v>0</v>
      </c>
      <c r="EO196" s="9">
        <f>BD196*'MASTER SHEET'!D196</f>
        <v>0</v>
      </c>
      <c r="EP196" s="9">
        <f>BH196*'MASTER SHEET'!D196</f>
        <v>0</v>
      </c>
      <c r="EQ196" s="9">
        <f>BL196*'MASTER SHEET'!D196</f>
        <v>0</v>
      </c>
      <c r="ER196" s="9">
        <f>BP196*'MASTER SHEET'!D196</f>
        <v>0</v>
      </c>
      <c r="ES196" s="9">
        <f>BT196*'MASTER SHEET'!D196</f>
        <v>0</v>
      </c>
      <c r="ET196" s="9">
        <f>BX196*'MASTER SHEET'!D196</f>
        <v>0</v>
      </c>
      <c r="EU196" s="9">
        <f>CB196*'MASTER SHEET'!D196</f>
        <v>0</v>
      </c>
      <c r="EV196" s="9">
        <f>CF196*'MASTER SHEET'!D196</f>
        <v>0</v>
      </c>
      <c r="EW196" s="9">
        <f>CJ196*'MASTER SHEET'!D196</f>
        <v>0</v>
      </c>
      <c r="EX196" s="9">
        <f>CN196*'MASTER SHEET'!D196</f>
        <v>0</v>
      </c>
      <c r="EY196" s="9">
        <f>CV196*'MASTER SHEET'!D196</f>
        <v>0</v>
      </c>
      <c r="EZ196" s="9">
        <f>CV196*'MASTER SHEET'!D196</f>
        <v>0</v>
      </c>
      <c r="FA196" s="9">
        <f>CZ196*'MASTER SHEET'!D196</f>
        <v>0</v>
      </c>
      <c r="FB196" s="9">
        <f>DD196*'MASTER SHEET'!D196</f>
        <v>0</v>
      </c>
      <c r="FC196" s="9">
        <f>DH196*'MASTER SHEET'!D196</f>
        <v>0</v>
      </c>
      <c r="FD196" s="9">
        <f>DL196*'MASTER SHEET'!D196</f>
        <v>0</v>
      </c>
      <c r="FE196" s="9">
        <f>DP196*'MASTER SHEET'!D196</f>
        <v>0</v>
      </c>
      <c r="FF196" s="9">
        <f>DT196*'MASTER SHEET'!D196</f>
        <v>0</v>
      </c>
      <c r="FG196" s="9">
        <f>DX196*'MASTER SHEET'!D196</f>
        <v>0</v>
      </c>
    </row>
    <row r="197" spans="1:163" s="69" customFormat="1" ht="20.25" x14ac:dyDescent="0.25">
      <c r="A197" s="43">
        <f>'MASTER SHEET'!A197</f>
        <v>195</v>
      </c>
      <c r="B197" s="67" t="str">
        <f>'MASTER SHEET'!B197</f>
        <v>END PLATE PLASTIC</v>
      </c>
      <c r="C197" s="82">
        <f>'MASTER SHEET'!C197</f>
        <v>5006637</v>
      </c>
      <c r="D197" s="64"/>
      <c r="E197" s="28"/>
      <c r="F197" s="28"/>
      <c r="G197" s="65"/>
      <c r="H197" s="64">
        <f t="shared" si="137"/>
        <v>0</v>
      </c>
      <c r="I197" s="28"/>
      <c r="J197" s="28"/>
      <c r="K197" s="65"/>
      <c r="L197" s="64">
        <f t="shared" si="138"/>
        <v>0</v>
      </c>
      <c r="M197" s="28"/>
      <c r="N197" s="28"/>
      <c r="O197" s="65"/>
      <c r="P197" s="64">
        <f t="shared" si="139"/>
        <v>0</v>
      </c>
      <c r="Q197" s="28"/>
      <c r="R197" s="28"/>
      <c r="S197" s="65"/>
      <c r="T197" s="64">
        <f t="shared" si="140"/>
        <v>0</v>
      </c>
      <c r="U197" s="28"/>
      <c r="V197" s="28"/>
      <c r="W197" s="65"/>
      <c r="X197" s="64">
        <f t="shared" si="141"/>
        <v>0</v>
      </c>
      <c r="Y197" s="28"/>
      <c r="Z197" s="28"/>
      <c r="AA197" s="65"/>
      <c r="AB197" s="64">
        <f t="shared" si="142"/>
        <v>0</v>
      </c>
      <c r="AC197" s="28"/>
      <c r="AD197" s="28"/>
      <c r="AE197" s="65"/>
      <c r="AF197" s="64">
        <f t="shared" si="143"/>
        <v>0</v>
      </c>
      <c r="AG197" s="28"/>
      <c r="AH197" s="28"/>
      <c r="AI197" s="65"/>
      <c r="AJ197" s="64">
        <f t="shared" si="144"/>
        <v>0</v>
      </c>
      <c r="AK197" s="28"/>
      <c r="AL197" s="28"/>
      <c r="AM197" s="65"/>
      <c r="AN197" s="64">
        <f t="shared" si="145"/>
        <v>0</v>
      </c>
      <c r="AO197" s="28"/>
      <c r="AP197" s="28"/>
      <c r="AQ197" s="65"/>
      <c r="AR197" s="64">
        <f t="shared" si="146"/>
        <v>0</v>
      </c>
      <c r="AS197" s="28"/>
      <c r="AT197" s="28"/>
      <c r="AU197" s="65"/>
      <c r="AV197" s="64">
        <f t="shared" si="147"/>
        <v>0</v>
      </c>
      <c r="AW197" s="28"/>
      <c r="AX197" s="28"/>
      <c r="AY197" s="65"/>
      <c r="AZ197" s="64">
        <f t="shared" si="148"/>
        <v>0</v>
      </c>
      <c r="BA197" s="28"/>
      <c r="BB197" s="28"/>
      <c r="BC197" s="65"/>
      <c r="BD197" s="64">
        <f t="shared" si="149"/>
        <v>0</v>
      </c>
      <c r="BE197" s="28"/>
      <c r="BF197" s="28"/>
      <c r="BG197" s="65"/>
      <c r="BH197" s="64">
        <f t="shared" si="150"/>
        <v>0</v>
      </c>
      <c r="BI197" s="28"/>
      <c r="BJ197" s="28"/>
      <c r="BK197" s="65"/>
      <c r="BL197" s="64">
        <f t="shared" si="151"/>
        <v>0</v>
      </c>
      <c r="BM197" s="28"/>
      <c r="BN197" s="28"/>
      <c r="BO197" s="65"/>
      <c r="BP197" s="64">
        <f t="shared" si="152"/>
        <v>0</v>
      </c>
      <c r="BQ197" s="28"/>
      <c r="BR197" s="28"/>
      <c r="BS197" s="65"/>
      <c r="BT197" s="64">
        <f t="shared" si="153"/>
        <v>0</v>
      </c>
      <c r="BU197" s="28"/>
      <c r="BV197" s="28"/>
      <c r="BW197" s="65"/>
      <c r="BX197" s="64">
        <f t="shared" si="154"/>
        <v>0</v>
      </c>
      <c r="BY197" s="28"/>
      <c r="BZ197" s="28"/>
      <c r="CA197" s="65"/>
      <c r="CB197" s="64">
        <f t="shared" si="155"/>
        <v>0</v>
      </c>
      <c r="CC197" s="28"/>
      <c r="CD197" s="28"/>
      <c r="CE197" s="65"/>
      <c r="CF197" s="64">
        <f t="shared" si="156"/>
        <v>0</v>
      </c>
      <c r="CG197" s="28"/>
      <c r="CH197" s="28"/>
      <c r="CI197" s="65"/>
      <c r="CJ197" s="64">
        <f t="shared" si="157"/>
        <v>0</v>
      </c>
      <c r="CK197" s="28"/>
      <c r="CL197" s="28"/>
      <c r="CM197" s="65"/>
      <c r="CN197" s="64">
        <f t="shared" si="158"/>
        <v>0</v>
      </c>
      <c r="CO197" s="28"/>
      <c r="CP197" s="28"/>
      <c r="CQ197" s="65"/>
      <c r="CR197" s="64">
        <f t="shared" si="159"/>
        <v>0</v>
      </c>
      <c r="CS197" s="28"/>
      <c r="CT197" s="28"/>
      <c r="CU197" s="65"/>
      <c r="CV197" s="64">
        <f t="shared" si="160"/>
        <v>0</v>
      </c>
      <c r="CW197" s="28"/>
      <c r="CX197" s="28"/>
      <c r="CY197" s="65"/>
      <c r="CZ197" s="64">
        <f t="shared" si="161"/>
        <v>0</v>
      </c>
      <c r="DA197" s="28"/>
      <c r="DB197" s="28"/>
      <c r="DC197" s="65"/>
      <c r="DD197" s="64">
        <f t="shared" si="162"/>
        <v>0</v>
      </c>
      <c r="DE197" s="28"/>
      <c r="DF197" s="28"/>
      <c r="DG197" s="65"/>
      <c r="DH197" s="64">
        <f t="shared" si="163"/>
        <v>0</v>
      </c>
      <c r="DI197" s="28"/>
      <c r="DJ197" s="28"/>
      <c r="DK197" s="65"/>
      <c r="DL197" s="64">
        <f t="shared" si="164"/>
        <v>0</v>
      </c>
      <c r="DM197" s="28"/>
      <c r="DN197" s="28"/>
      <c r="DO197" s="65"/>
      <c r="DP197" s="64">
        <f t="shared" si="165"/>
        <v>0</v>
      </c>
      <c r="DQ197" s="28"/>
      <c r="DR197" s="28"/>
      <c r="DS197" s="65"/>
      <c r="DT197" s="64">
        <f t="shared" si="166"/>
        <v>0</v>
      </c>
      <c r="DU197" s="28"/>
      <c r="DV197" s="28"/>
      <c r="DW197" s="65"/>
      <c r="DX197" s="30">
        <f t="shared" si="167"/>
        <v>0</v>
      </c>
      <c r="DY197" s="68"/>
      <c r="DZ197" s="68"/>
      <c r="EA197" s="68"/>
      <c r="EB197" s="9">
        <f>D197*'MASTER SHEET'!D197</f>
        <v>0</v>
      </c>
      <c r="EC197" s="9">
        <f>H197*'MASTER SHEET'!D197</f>
        <v>0</v>
      </c>
      <c r="ED197" s="9">
        <f>L197*'MASTER SHEET'!D197</f>
        <v>0</v>
      </c>
      <c r="EE197" s="9">
        <f>P197*'MASTER SHEET'!D197</f>
        <v>0</v>
      </c>
      <c r="EF197" s="9">
        <f>T197*'MASTER SHEET'!D197</f>
        <v>0</v>
      </c>
      <c r="EG197" s="9">
        <f>X197*'MASTER SHEET'!D197</f>
        <v>0</v>
      </c>
      <c r="EH197" s="9">
        <f>AB197*'MASTER SHEET'!D197</f>
        <v>0</v>
      </c>
      <c r="EI197" s="9">
        <f>AF197*'MASTER SHEET'!D197</f>
        <v>0</v>
      </c>
      <c r="EJ197" s="9">
        <f>AJ197*'MASTER SHEET'!D197</f>
        <v>0</v>
      </c>
      <c r="EK197" s="9">
        <f>AN197*'MASTER SHEET'!D197</f>
        <v>0</v>
      </c>
      <c r="EL197" s="9">
        <f>AR197*'MASTER SHEET'!D197</f>
        <v>0</v>
      </c>
      <c r="EM197" s="9">
        <f>AV197*'MASTER SHEET'!D197</f>
        <v>0</v>
      </c>
      <c r="EN197" s="9">
        <f>AZ197*'MASTER SHEET'!D197</f>
        <v>0</v>
      </c>
      <c r="EO197" s="9">
        <f>BD197*'MASTER SHEET'!D197</f>
        <v>0</v>
      </c>
      <c r="EP197" s="9">
        <f>BH197*'MASTER SHEET'!D197</f>
        <v>0</v>
      </c>
      <c r="EQ197" s="9">
        <f>BL197*'MASTER SHEET'!D197</f>
        <v>0</v>
      </c>
      <c r="ER197" s="9">
        <f>BP197*'MASTER SHEET'!D197</f>
        <v>0</v>
      </c>
      <c r="ES197" s="9">
        <f>BT197*'MASTER SHEET'!D197</f>
        <v>0</v>
      </c>
      <c r="ET197" s="9">
        <f>BX197*'MASTER SHEET'!D197</f>
        <v>0</v>
      </c>
      <c r="EU197" s="9">
        <f>CB197*'MASTER SHEET'!D197</f>
        <v>0</v>
      </c>
      <c r="EV197" s="9">
        <f>CF197*'MASTER SHEET'!D197</f>
        <v>0</v>
      </c>
      <c r="EW197" s="9">
        <f>CJ197*'MASTER SHEET'!D197</f>
        <v>0</v>
      </c>
      <c r="EX197" s="9">
        <f>CN197*'MASTER SHEET'!D197</f>
        <v>0</v>
      </c>
      <c r="EY197" s="9">
        <f>CV197*'MASTER SHEET'!D197</f>
        <v>0</v>
      </c>
      <c r="EZ197" s="9">
        <f>CV197*'MASTER SHEET'!D197</f>
        <v>0</v>
      </c>
      <c r="FA197" s="9">
        <f>CZ197*'MASTER SHEET'!D197</f>
        <v>0</v>
      </c>
      <c r="FB197" s="9">
        <f>DD197*'MASTER SHEET'!D197</f>
        <v>0</v>
      </c>
      <c r="FC197" s="9">
        <f>DH197*'MASTER SHEET'!D197</f>
        <v>0</v>
      </c>
      <c r="FD197" s="9">
        <f>DL197*'MASTER SHEET'!D197</f>
        <v>0</v>
      </c>
      <c r="FE197" s="9">
        <f>DP197*'MASTER SHEET'!D197</f>
        <v>0</v>
      </c>
      <c r="FF197" s="9">
        <f>DT197*'MASTER SHEET'!D197</f>
        <v>0</v>
      </c>
      <c r="FG197" s="9">
        <f>DX197*'MASTER SHEET'!D197</f>
        <v>0</v>
      </c>
    </row>
    <row r="198" spans="1:163" s="69" customFormat="1" ht="20.25" x14ac:dyDescent="0.25">
      <c r="A198" s="43">
        <f>'MASTER SHEET'!A198</f>
        <v>196</v>
      </c>
      <c r="B198" s="67" t="str">
        <f>'MASTER SHEET'!B198</f>
        <v>BOTTOM COVER</v>
      </c>
      <c r="C198" s="82">
        <f>'MASTER SHEET'!C198</f>
        <v>5037943</v>
      </c>
      <c r="D198" s="64"/>
      <c r="E198" s="28"/>
      <c r="F198" s="28"/>
      <c r="G198" s="65"/>
      <c r="H198" s="64">
        <f t="shared" si="137"/>
        <v>0</v>
      </c>
      <c r="I198" s="28"/>
      <c r="J198" s="28"/>
      <c r="K198" s="65"/>
      <c r="L198" s="64">
        <f t="shared" si="138"/>
        <v>0</v>
      </c>
      <c r="M198" s="28"/>
      <c r="N198" s="28"/>
      <c r="O198" s="65"/>
      <c r="P198" s="64">
        <f t="shared" si="139"/>
        <v>0</v>
      </c>
      <c r="Q198" s="28"/>
      <c r="R198" s="28"/>
      <c r="S198" s="65"/>
      <c r="T198" s="64">
        <f t="shared" si="140"/>
        <v>0</v>
      </c>
      <c r="U198" s="28"/>
      <c r="V198" s="28"/>
      <c r="W198" s="65"/>
      <c r="X198" s="64">
        <f t="shared" si="141"/>
        <v>0</v>
      </c>
      <c r="Y198" s="28"/>
      <c r="Z198" s="28"/>
      <c r="AA198" s="65"/>
      <c r="AB198" s="64">
        <f t="shared" si="142"/>
        <v>0</v>
      </c>
      <c r="AC198" s="28">
        <f>72+72</f>
        <v>144</v>
      </c>
      <c r="AD198" s="28">
        <v>144</v>
      </c>
      <c r="AE198" s="65"/>
      <c r="AF198" s="64">
        <f t="shared" si="143"/>
        <v>0</v>
      </c>
      <c r="AG198" s="28">
        <v>72</v>
      </c>
      <c r="AH198" s="28">
        <v>72</v>
      </c>
      <c r="AI198" s="65"/>
      <c r="AJ198" s="64">
        <f t="shared" si="144"/>
        <v>0</v>
      </c>
      <c r="AK198" s="28">
        <v>208</v>
      </c>
      <c r="AL198" s="28">
        <v>208</v>
      </c>
      <c r="AM198" s="65"/>
      <c r="AN198" s="64">
        <f t="shared" si="145"/>
        <v>0</v>
      </c>
      <c r="AO198" s="28"/>
      <c r="AP198" s="28"/>
      <c r="AQ198" s="65"/>
      <c r="AR198" s="64">
        <f t="shared" si="146"/>
        <v>0</v>
      </c>
      <c r="AS198" s="28"/>
      <c r="AT198" s="28"/>
      <c r="AU198" s="65"/>
      <c r="AV198" s="64">
        <f t="shared" si="147"/>
        <v>0</v>
      </c>
      <c r="AW198" s="28"/>
      <c r="AX198" s="28"/>
      <c r="AY198" s="65"/>
      <c r="AZ198" s="64">
        <f t="shared" si="148"/>
        <v>0</v>
      </c>
      <c r="BA198" s="28"/>
      <c r="BB198" s="28"/>
      <c r="BC198" s="65"/>
      <c r="BD198" s="64">
        <f t="shared" si="149"/>
        <v>0</v>
      </c>
      <c r="BE198" s="28"/>
      <c r="BF198" s="28"/>
      <c r="BG198" s="65"/>
      <c r="BH198" s="64">
        <f t="shared" si="150"/>
        <v>0</v>
      </c>
      <c r="BI198" s="28"/>
      <c r="BJ198" s="28"/>
      <c r="BK198" s="65"/>
      <c r="BL198" s="64">
        <f t="shared" si="151"/>
        <v>0</v>
      </c>
      <c r="BM198" s="28"/>
      <c r="BN198" s="28"/>
      <c r="BO198" s="65"/>
      <c r="BP198" s="64">
        <f t="shared" si="152"/>
        <v>0</v>
      </c>
      <c r="BQ198" s="28"/>
      <c r="BR198" s="28"/>
      <c r="BS198" s="65"/>
      <c r="BT198" s="64">
        <f t="shared" si="153"/>
        <v>0</v>
      </c>
      <c r="BU198" s="28"/>
      <c r="BV198" s="28"/>
      <c r="BW198" s="65"/>
      <c r="BX198" s="64">
        <f t="shared" si="154"/>
        <v>0</v>
      </c>
      <c r="BY198" s="28"/>
      <c r="BZ198" s="28"/>
      <c r="CA198" s="65"/>
      <c r="CB198" s="64">
        <f t="shared" si="155"/>
        <v>0</v>
      </c>
      <c r="CC198" s="28"/>
      <c r="CD198" s="28"/>
      <c r="CE198" s="65"/>
      <c r="CF198" s="64">
        <f t="shared" si="156"/>
        <v>0</v>
      </c>
      <c r="CG198" s="28"/>
      <c r="CH198" s="28"/>
      <c r="CI198" s="65"/>
      <c r="CJ198" s="64">
        <f t="shared" si="157"/>
        <v>0</v>
      </c>
      <c r="CK198" s="28"/>
      <c r="CL198" s="28"/>
      <c r="CM198" s="65"/>
      <c r="CN198" s="64">
        <f t="shared" si="158"/>
        <v>0</v>
      </c>
      <c r="CO198" s="28"/>
      <c r="CP198" s="28"/>
      <c r="CQ198" s="65"/>
      <c r="CR198" s="64">
        <f t="shared" si="159"/>
        <v>0</v>
      </c>
      <c r="CS198" s="28"/>
      <c r="CT198" s="28"/>
      <c r="CU198" s="65"/>
      <c r="CV198" s="64">
        <f t="shared" si="160"/>
        <v>0</v>
      </c>
      <c r="CW198" s="28"/>
      <c r="CX198" s="28"/>
      <c r="CY198" s="65"/>
      <c r="CZ198" s="64">
        <f t="shared" si="161"/>
        <v>0</v>
      </c>
      <c r="DA198" s="28"/>
      <c r="DB198" s="28"/>
      <c r="DC198" s="65"/>
      <c r="DD198" s="64">
        <f t="shared" si="162"/>
        <v>0</v>
      </c>
      <c r="DE198" s="28"/>
      <c r="DF198" s="28"/>
      <c r="DG198" s="65"/>
      <c r="DH198" s="64">
        <f t="shared" si="163"/>
        <v>0</v>
      </c>
      <c r="DI198" s="28"/>
      <c r="DJ198" s="28"/>
      <c r="DK198" s="65"/>
      <c r="DL198" s="64">
        <f t="shared" si="164"/>
        <v>0</v>
      </c>
      <c r="DM198" s="28"/>
      <c r="DN198" s="28"/>
      <c r="DO198" s="65"/>
      <c r="DP198" s="64">
        <f t="shared" si="165"/>
        <v>0</v>
      </c>
      <c r="DQ198" s="28"/>
      <c r="DR198" s="28"/>
      <c r="DS198" s="65"/>
      <c r="DT198" s="64">
        <f t="shared" si="166"/>
        <v>0</v>
      </c>
      <c r="DU198" s="28"/>
      <c r="DV198" s="28"/>
      <c r="DW198" s="65"/>
      <c r="DX198" s="30">
        <f t="shared" si="167"/>
        <v>0</v>
      </c>
      <c r="DY198" s="68"/>
      <c r="DZ198" s="68"/>
      <c r="EA198" s="68"/>
      <c r="EB198" s="9">
        <f>D198*'MASTER SHEET'!D198</f>
        <v>0</v>
      </c>
      <c r="EC198" s="9">
        <f>H198*'MASTER SHEET'!D198</f>
        <v>0</v>
      </c>
      <c r="ED198" s="9">
        <f>L198*'MASTER SHEET'!D198</f>
        <v>0</v>
      </c>
      <c r="EE198" s="9">
        <f>P198*'MASTER SHEET'!D198</f>
        <v>0</v>
      </c>
      <c r="EF198" s="9">
        <f>T198*'MASTER SHEET'!D198</f>
        <v>0</v>
      </c>
      <c r="EG198" s="9">
        <f>X198*'MASTER SHEET'!D198</f>
        <v>0</v>
      </c>
      <c r="EH198" s="9">
        <f>AB198*'MASTER SHEET'!D198</f>
        <v>0</v>
      </c>
      <c r="EI198" s="9">
        <f>AF198*'MASTER SHEET'!D198</f>
        <v>0</v>
      </c>
      <c r="EJ198" s="9">
        <f>AJ198*'MASTER SHEET'!D198</f>
        <v>0</v>
      </c>
      <c r="EK198" s="9">
        <f>AN198*'MASTER SHEET'!D198</f>
        <v>0</v>
      </c>
      <c r="EL198" s="9">
        <f>AR198*'MASTER SHEET'!D198</f>
        <v>0</v>
      </c>
      <c r="EM198" s="9">
        <f>AV198*'MASTER SHEET'!D198</f>
        <v>0</v>
      </c>
      <c r="EN198" s="9">
        <f>AZ198*'MASTER SHEET'!D198</f>
        <v>0</v>
      </c>
      <c r="EO198" s="9">
        <f>BD198*'MASTER SHEET'!D198</f>
        <v>0</v>
      </c>
      <c r="EP198" s="9">
        <f>BH198*'MASTER SHEET'!D198</f>
        <v>0</v>
      </c>
      <c r="EQ198" s="9">
        <f>BL198*'MASTER SHEET'!D198</f>
        <v>0</v>
      </c>
      <c r="ER198" s="9">
        <f>BP198*'MASTER SHEET'!D198</f>
        <v>0</v>
      </c>
      <c r="ES198" s="9">
        <f>BT198*'MASTER SHEET'!D198</f>
        <v>0</v>
      </c>
      <c r="ET198" s="9">
        <f>BX198*'MASTER SHEET'!D198</f>
        <v>0</v>
      </c>
      <c r="EU198" s="9">
        <f>CB198*'MASTER SHEET'!D198</f>
        <v>0</v>
      </c>
      <c r="EV198" s="9">
        <f>CF198*'MASTER SHEET'!D198</f>
        <v>0</v>
      </c>
      <c r="EW198" s="9">
        <f>CJ198*'MASTER SHEET'!D198</f>
        <v>0</v>
      </c>
      <c r="EX198" s="9">
        <f>CN198*'MASTER SHEET'!D198</f>
        <v>0</v>
      </c>
      <c r="EY198" s="9">
        <f>CV198*'MASTER SHEET'!D198</f>
        <v>0</v>
      </c>
      <c r="EZ198" s="9">
        <f>CV198*'MASTER SHEET'!D198</f>
        <v>0</v>
      </c>
      <c r="FA198" s="9">
        <f>CZ198*'MASTER SHEET'!D198</f>
        <v>0</v>
      </c>
      <c r="FB198" s="9">
        <f>DD198*'MASTER SHEET'!D198</f>
        <v>0</v>
      </c>
      <c r="FC198" s="9">
        <f>DH198*'MASTER SHEET'!D198</f>
        <v>0</v>
      </c>
      <c r="FD198" s="9">
        <f>DL198*'MASTER SHEET'!D198</f>
        <v>0</v>
      </c>
      <c r="FE198" s="9">
        <f>DP198*'MASTER SHEET'!D198</f>
        <v>0</v>
      </c>
      <c r="FF198" s="9">
        <f>DT198*'MASTER SHEET'!D198</f>
        <v>0</v>
      </c>
      <c r="FG198" s="9">
        <f>DX198*'MASTER SHEET'!D198</f>
        <v>0</v>
      </c>
    </row>
    <row r="199" spans="1:163" s="69" customFormat="1" ht="20.25" x14ac:dyDescent="0.25">
      <c r="A199" s="43">
        <f>'MASTER SHEET'!A199</f>
        <v>197</v>
      </c>
      <c r="B199" s="67" t="str">
        <f>'MASTER SHEET'!B199</f>
        <v>END PLATE</v>
      </c>
      <c r="C199" s="82">
        <f>'MASTER SHEET'!C199</f>
        <v>5045083</v>
      </c>
      <c r="D199" s="64"/>
      <c r="E199" s="28"/>
      <c r="F199" s="28"/>
      <c r="G199" s="65"/>
      <c r="H199" s="64">
        <f t="shared" si="137"/>
        <v>0</v>
      </c>
      <c r="I199" s="28"/>
      <c r="J199" s="28"/>
      <c r="K199" s="65"/>
      <c r="L199" s="64">
        <f t="shared" si="138"/>
        <v>0</v>
      </c>
      <c r="M199" s="28"/>
      <c r="N199" s="28"/>
      <c r="O199" s="65"/>
      <c r="P199" s="64">
        <f t="shared" si="139"/>
        <v>0</v>
      </c>
      <c r="Q199" s="28"/>
      <c r="R199" s="28"/>
      <c r="S199" s="65"/>
      <c r="T199" s="64">
        <f t="shared" si="140"/>
        <v>0</v>
      </c>
      <c r="U199" s="28"/>
      <c r="V199" s="28"/>
      <c r="W199" s="65"/>
      <c r="X199" s="64">
        <f t="shared" si="141"/>
        <v>0</v>
      </c>
      <c r="Y199" s="28"/>
      <c r="Z199" s="28"/>
      <c r="AA199" s="65"/>
      <c r="AB199" s="64">
        <f t="shared" si="142"/>
        <v>0</v>
      </c>
      <c r="AC199" s="28"/>
      <c r="AD199" s="28"/>
      <c r="AE199" s="65"/>
      <c r="AF199" s="64">
        <f t="shared" si="143"/>
        <v>0</v>
      </c>
      <c r="AG199" s="28"/>
      <c r="AH199" s="28"/>
      <c r="AI199" s="65"/>
      <c r="AJ199" s="64">
        <f t="shared" si="144"/>
        <v>0</v>
      </c>
      <c r="AK199" s="28"/>
      <c r="AL199" s="28"/>
      <c r="AM199" s="65"/>
      <c r="AN199" s="64">
        <f t="shared" si="145"/>
        <v>0</v>
      </c>
      <c r="AO199" s="28"/>
      <c r="AP199" s="28"/>
      <c r="AQ199" s="65"/>
      <c r="AR199" s="64">
        <f t="shared" si="146"/>
        <v>0</v>
      </c>
      <c r="AS199" s="28"/>
      <c r="AT199" s="28"/>
      <c r="AU199" s="65"/>
      <c r="AV199" s="64">
        <f t="shared" si="147"/>
        <v>0</v>
      </c>
      <c r="AW199" s="28"/>
      <c r="AX199" s="28"/>
      <c r="AY199" s="65"/>
      <c r="AZ199" s="64">
        <f t="shared" si="148"/>
        <v>0</v>
      </c>
      <c r="BA199" s="28"/>
      <c r="BB199" s="28"/>
      <c r="BC199" s="65"/>
      <c r="BD199" s="64">
        <f t="shared" si="149"/>
        <v>0</v>
      </c>
      <c r="BE199" s="28"/>
      <c r="BF199" s="28"/>
      <c r="BG199" s="65"/>
      <c r="BH199" s="64">
        <f t="shared" si="150"/>
        <v>0</v>
      </c>
      <c r="BI199" s="28"/>
      <c r="BJ199" s="28"/>
      <c r="BK199" s="65"/>
      <c r="BL199" s="64">
        <f t="shared" si="151"/>
        <v>0</v>
      </c>
      <c r="BM199" s="28"/>
      <c r="BN199" s="28"/>
      <c r="BO199" s="65"/>
      <c r="BP199" s="64">
        <f t="shared" si="152"/>
        <v>0</v>
      </c>
      <c r="BQ199" s="28"/>
      <c r="BR199" s="28"/>
      <c r="BS199" s="65"/>
      <c r="BT199" s="64">
        <f t="shared" si="153"/>
        <v>0</v>
      </c>
      <c r="BU199" s="28"/>
      <c r="BV199" s="28"/>
      <c r="BW199" s="65"/>
      <c r="BX199" s="64">
        <f t="shared" si="154"/>
        <v>0</v>
      </c>
      <c r="BY199" s="28"/>
      <c r="BZ199" s="28"/>
      <c r="CA199" s="65"/>
      <c r="CB199" s="64">
        <f t="shared" si="155"/>
        <v>0</v>
      </c>
      <c r="CC199" s="28"/>
      <c r="CD199" s="28"/>
      <c r="CE199" s="65"/>
      <c r="CF199" s="64">
        <f t="shared" si="156"/>
        <v>0</v>
      </c>
      <c r="CG199" s="28"/>
      <c r="CH199" s="28"/>
      <c r="CI199" s="65"/>
      <c r="CJ199" s="64">
        <f t="shared" si="157"/>
        <v>0</v>
      </c>
      <c r="CK199" s="28"/>
      <c r="CL199" s="28"/>
      <c r="CM199" s="65"/>
      <c r="CN199" s="64">
        <f t="shared" si="158"/>
        <v>0</v>
      </c>
      <c r="CO199" s="28"/>
      <c r="CP199" s="28"/>
      <c r="CQ199" s="65"/>
      <c r="CR199" s="64">
        <f t="shared" si="159"/>
        <v>0</v>
      </c>
      <c r="CS199" s="28"/>
      <c r="CT199" s="28"/>
      <c r="CU199" s="65"/>
      <c r="CV199" s="64">
        <f t="shared" si="160"/>
        <v>0</v>
      </c>
      <c r="CW199" s="28"/>
      <c r="CX199" s="28"/>
      <c r="CY199" s="65"/>
      <c r="CZ199" s="64">
        <f t="shared" si="161"/>
        <v>0</v>
      </c>
      <c r="DA199" s="28"/>
      <c r="DB199" s="28"/>
      <c r="DC199" s="65"/>
      <c r="DD199" s="64">
        <f t="shared" si="162"/>
        <v>0</v>
      </c>
      <c r="DE199" s="28"/>
      <c r="DF199" s="28"/>
      <c r="DG199" s="65"/>
      <c r="DH199" s="64">
        <f t="shared" si="163"/>
        <v>0</v>
      </c>
      <c r="DI199" s="28"/>
      <c r="DJ199" s="28"/>
      <c r="DK199" s="65"/>
      <c r="DL199" s="64">
        <f t="shared" si="164"/>
        <v>0</v>
      </c>
      <c r="DM199" s="28"/>
      <c r="DN199" s="28"/>
      <c r="DO199" s="65"/>
      <c r="DP199" s="64">
        <f t="shared" si="165"/>
        <v>0</v>
      </c>
      <c r="DQ199" s="28"/>
      <c r="DR199" s="28"/>
      <c r="DS199" s="65"/>
      <c r="DT199" s="64">
        <f t="shared" si="166"/>
        <v>0</v>
      </c>
      <c r="DU199" s="28"/>
      <c r="DV199" s="28"/>
      <c r="DW199" s="65"/>
      <c r="DX199" s="30">
        <f t="shared" si="167"/>
        <v>0</v>
      </c>
      <c r="DY199" s="68"/>
      <c r="DZ199" s="68"/>
      <c r="EA199" s="68"/>
      <c r="EB199" s="9">
        <f>D199*'MASTER SHEET'!D199</f>
        <v>0</v>
      </c>
      <c r="EC199" s="9">
        <f>H199*'MASTER SHEET'!D199</f>
        <v>0</v>
      </c>
      <c r="ED199" s="9">
        <f>L199*'MASTER SHEET'!D199</f>
        <v>0</v>
      </c>
      <c r="EE199" s="9">
        <f>P199*'MASTER SHEET'!D199</f>
        <v>0</v>
      </c>
      <c r="EF199" s="9">
        <f>T199*'MASTER SHEET'!D199</f>
        <v>0</v>
      </c>
      <c r="EG199" s="9">
        <f>X199*'MASTER SHEET'!D199</f>
        <v>0</v>
      </c>
      <c r="EH199" s="9">
        <f>AB199*'MASTER SHEET'!D199</f>
        <v>0</v>
      </c>
      <c r="EI199" s="9">
        <f>AF199*'MASTER SHEET'!D199</f>
        <v>0</v>
      </c>
      <c r="EJ199" s="9">
        <f>AJ199*'MASTER SHEET'!D199</f>
        <v>0</v>
      </c>
      <c r="EK199" s="9">
        <f>AN199*'MASTER SHEET'!D199</f>
        <v>0</v>
      </c>
      <c r="EL199" s="9">
        <f>AR199*'MASTER SHEET'!D199</f>
        <v>0</v>
      </c>
      <c r="EM199" s="9">
        <f>AV199*'MASTER SHEET'!D199</f>
        <v>0</v>
      </c>
      <c r="EN199" s="9">
        <f>AZ199*'MASTER SHEET'!D199</f>
        <v>0</v>
      </c>
      <c r="EO199" s="9">
        <f>BD199*'MASTER SHEET'!D199</f>
        <v>0</v>
      </c>
      <c r="EP199" s="9">
        <f>BH199*'MASTER SHEET'!D199</f>
        <v>0</v>
      </c>
      <c r="EQ199" s="9">
        <f>BL199*'MASTER SHEET'!D199</f>
        <v>0</v>
      </c>
      <c r="ER199" s="9">
        <f>BP199*'MASTER SHEET'!D199</f>
        <v>0</v>
      </c>
      <c r="ES199" s="9">
        <f>BT199*'MASTER SHEET'!D199</f>
        <v>0</v>
      </c>
      <c r="ET199" s="9">
        <f>BX199*'MASTER SHEET'!D199</f>
        <v>0</v>
      </c>
      <c r="EU199" s="9">
        <f>CB199*'MASTER SHEET'!D199</f>
        <v>0</v>
      </c>
      <c r="EV199" s="9">
        <f>CF199*'MASTER SHEET'!D199</f>
        <v>0</v>
      </c>
      <c r="EW199" s="9">
        <f>CJ199*'MASTER SHEET'!D199</f>
        <v>0</v>
      </c>
      <c r="EX199" s="9">
        <f>CN199*'MASTER SHEET'!D199</f>
        <v>0</v>
      </c>
      <c r="EY199" s="9">
        <f>CV199*'MASTER SHEET'!D199</f>
        <v>0</v>
      </c>
      <c r="EZ199" s="9">
        <f>CV199*'MASTER SHEET'!D199</f>
        <v>0</v>
      </c>
      <c r="FA199" s="9">
        <f>CZ199*'MASTER SHEET'!D199</f>
        <v>0</v>
      </c>
      <c r="FB199" s="9">
        <f>DD199*'MASTER SHEET'!D199</f>
        <v>0</v>
      </c>
      <c r="FC199" s="9">
        <f>DH199*'MASTER SHEET'!D199</f>
        <v>0</v>
      </c>
      <c r="FD199" s="9">
        <f>DL199*'MASTER SHEET'!D199</f>
        <v>0</v>
      </c>
      <c r="FE199" s="9">
        <f>DP199*'MASTER SHEET'!D199</f>
        <v>0</v>
      </c>
      <c r="FF199" s="9">
        <f>DT199*'MASTER SHEET'!D199</f>
        <v>0</v>
      </c>
      <c r="FG199" s="9">
        <f>DX199*'MASTER SHEET'!D199</f>
        <v>0</v>
      </c>
    </row>
    <row r="200" spans="1:163" s="69" customFormat="1" ht="20.25" x14ac:dyDescent="0.25">
      <c r="A200" s="43">
        <f>'MASTER SHEET'!A200</f>
        <v>198</v>
      </c>
      <c r="B200" s="67" t="str">
        <f>'MASTER SHEET'!B200</f>
        <v>TOP COVER ASSY.</v>
      </c>
      <c r="C200" s="82">
        <f>'MASTER SHEET'!C200</f>
        <v>5039553</v>
      </c>
      <c r="D200" s="64"/>
      <c r="E200" s="28"/>
      <c r="F200" s="28"/>
      <c r="G200" s="65"/>
      <c r="H200" s="64">
        <f t="shared" si="137"/>
        <v>0</v>
      </c>
      <c r="I200" s="28"/>
      <c r="J200" s="28"/>
      <c r="K200" s="65"/>
      <c r="L200" s="64">
        <f t="shared" si="138"/>
        <v>0</v>
      </c>
      <c r="M200" s="28"/>
      <c r="N200" s="28"/>
      <c r="O200" s="65"/>
      <c r="P200" s="64">
        <f t="shared" si="139"/>
        <v>0</v>
      </c>
      <c r="Q200" s="28"/>
      <c r="R200" s="28"/>
      <c r="S200" s="65"/>
      <c r="T200" s="64">
        <f t="shared" si="140"/>
        <v>0</v>
      </c>
      <c r="U200" s="28"/>
      <c r="V200" s="28"/>
      <c r="W200" s="65"/>
      <c r="X200" s="64">
        <f t="shared" si="141"/>
        <v>0</v>
      </c>
      <c r="Y200" s="28"/>
      <c r="Z200" s="28"/>
      <c r="AA200" s="65"/>
      <c r="AB200" s="64">
        <f t="shared" si="142"/>
        <v>0</v>
      </c>
      <c r="AC200" s="28">
        <v>144</v>
      </c>
      <c r="AD200" s="28">
        <v>144</v>
      </c>
      <c r="AE200" s="65"/>
      <c r="AF200" s="64">
        <f t="shared" si="143"/>
        <v>0</v>
      </c>
      <c r="AG200" s="28">
        <v>72</v>
      </c>
      <c r="AH200" s="28">
        <v>72</v>
      </c>
      <c r="AI200" s="65"/>
      <c r="AJ200" s="64">
        <f t="shared" si="144"/>
        <v>0</v>
      </c>
      <c r="AK200" s="28">
        <v>208</v>
      </c>
      <c r="AL200" s="28">
        <v>208</v>
      </c>
      <c r="AM200" s="65"/>
      <c r="AN200" s="64">
        <f t="shared" si="145"/>
        <v>0</v>
      </c>
      <c r="AO200" s="28"/>
      <c r="AP200" s="28"/>
      <c r="AQ200" s="65"/>
      <c r="AR200" s="64">
        <f t="shared" si="146"/>
        <v>0</v>
      </c>
      <c r="AS200" s="28"/>
      <c r="AT200" s="28"/>
      <c r="AU200" s="65"/>
      <c r="AV200" s="64">
        <f t="shared" si="147"/>
        <v>0</v>
      </c>
      <c r="AW200" s="28"/>
      <c r="AX200" s="28"/>
      <c r="AY200" s="65"/>
      <c r="AZ200" s="64">
        <f t="shared" si="148"/>
        <v>0</v>
      </c>
      <c r="BA200" s="28"/>
      <c r="BB200" s="28"/>
      <c r="BC200" s="65"/>
      <c r="BD200" s="64">
        <f t="shared" si="149"/>
        <v>0</v>
      </c>
      <c r="BE200" s="28"/>
      <c r="BF200" s="28"/>
      <c r="BG200" s="65"/>
      <c r="BH200" s="64">
        <f t="shared" si="150"/>
        <v>0</v>
      </c>
      <c r="BI200" s="28"/>
      <c r="BJ200" s="28"/>
      <c r="BK200" s="65"/>
      <c r="BL200" s="64">
        <f t="shared" si="151"/>
        <v>0</v>
      </c>
      <c r="BM200" s="28"/>
      <c r="BN200" s="28"/>
      <c r="BO200" s="65"/>
      <c r="BP200" s="64">
        <f t="shared" si="152"/>
        <v>0</v>
      </c>
      <c r="BQ200" s="28"/>
      <c r="BR200" s="28"/>
      <c r="BS200" s="65"/>
      <c r="BT200" s="64">
        <f t="shared" si="153"/>
        <v>0</v>
      </c>
      <c r="BU200" s="28"/>
      <c r="BV200" s="28"/>
      <c r="BW200" s="65"/>
      <c r="BX200" s="64">
        <f t="shared" si="154"/>
        <v>0</v>
      </c>
      <c r="BY200" s="28"/>
      <c r="BZ200" s="28"/>
      <c r="CA200" s="65"/>
      <c r="CB200" s="64">
        <f t="shared" si="155"/>
        <v>0</v>
      </c>
      <c r="CC200" s="28"/>
      <c r="CD200" s="28"/>
      <c r="CE200" s="65"/>
      <c r="CF200" s="64">
        <f t="shared" si="156"/>
        <v>0</v>
      </c>
      <c r="CG200" s="28"/>
      <c r="CH200" s="28"/>
      <c r="CI200" s="65"/>
      <c r="CJ200" s="64">
        <f t="shared" si="157"/>
        <v>0</v>
      </c>
      <c r="CK200" s="28"/>
      <c r="CL200" s="28"/>
      <c r="CM200" s="65"/>
      <c r="CN200" s="64">
        <f t="shared" si="158"/>
        <v>0</v>
      </c>
      <c r="CO200" s="28"/>
      <c r="CP200" s="28"/>
      <c r="CQ200" s="65"/>
      <c r="CR200" s="64">
        <f t="shared" si="159"/>
        <v>0</v>
      </c>
      <c r="CS200" s="28"/>
      <c r="CT200" s="28"/>
      <c r="CU200" s="65"/>
      <c r="CV200" s="64">
        <f t="shared" si="160"/>
        <v>0</v>
      </c>
      <c r="CW200" s="28"/>
      <c r="CX200" s="28"/>
      <c r="CY200" s="65"/>
      <c r="CZ200" s="64">
        <f t="shared" si="161"/>
        <v>0</v>
      </c>
      <c r="DA200" s="28"/>
      <c r="DB200" s="28"/>
      <c r="DC200" s="65"/>
      <c r="DD200" s="64">
        <f t="shared" si="162"/>
        <v>0</v>
      </c>
      <c r="DE200" s="28"/>
      <c r="DF200" s="28"/>
      <c r="DG200" s="65"/>
      <c r="DH200" s="64">
        <f t="shared" si="163"/>
        <v>0</v>
      </c>
      <c r="DI200" s="28"/>
      <c r="DJ200" s="28"/>
      <c r="DK200" s="65"/>
      <c r="DL200" s="64">
        <f t="shared" si="164"/>
        <v>0</v>
      </c>
      <c r="DM200" s="28"/>
      <c r="DN200" s="28"/>
      <c r="DO200" s="65"/>
      <c r="DP200" s="64">
        <f t="shared" si="165"/>
        <v>0</v>
      </c>
      <c r="DQ200" s="28"/>
      <c r="DR200" s="28"/>
      <c r="DS200" s="65"/>
      <c r="DT200" s="64">
        <f t="shared" si="166"/>
        <v>0</v>
      </c>
      <c r="DU200" s="28"/>
      <c r="DV200" s="28"/>
      <c r="DW200" s="65"/>
      <c r="DX200" s="30">
        <f t="shared" si="167"/>
        <v>0</v>
      </c>
      <c r="DY200" s="68"/>
      <c r="DZ200" s="68"/>
      <c r="EA200" s="68"/>
      <c r="EB200" s="9">
        <f>D200*'MASTER SHEET'!D200</f>
        <v>0</v>
      </c>
      <c r="EC200" s="9">
        <f>H200*'MASTER SHEET'!D200</f>
        <v>0</v>
      </c>
      <c r="ED200" s="9">
        <f>L200*'MASTER SHEET'!D200</f>
        <v>0</v>
      </c>
      <c r="EE200" s="9">
        <f>P200*'MASTER SHEET'!D200</f>
        <v>0</v>
      </c>
      <c r="EF200" s="9">
        <f>T200*'MASTER SHEET'!D200</f>
        <v>0</v>
      </c>
      <c r="EG200" s="9">
        <f>X200*'MASTER SHEET'!D200</f>
        <v>0</v>
      </c>
      <c r="EH200" s="9">
        <f>AB200*'MASTER SHEET'!D200</f>
        <v>0</v>
      </c>
      <c r="EI200" s="9">
        <f>AF200*'MASTER SHEET'!D200</f>
        <v>0</v>
      </c>
      <c r="EJ200" s="9">
        <f>AJ200*'MASTER SHEET'!D200</f>
        <v>0</v>
      </c>
      <c r="EK200" s="9">
        <f>AN200*'MASTER SHEET'!D200</f>
        <v>0</v>
      </c>
      <c r="EL200" s="9">
        <f>AR200*'MASTER SHEET'!D200</f>
        <v>0</v>
      </c>
      <c r="EM200" s="9">
        <f>AV200*'MASTER SHEET'!D200</f>
        <v>0</v>
      </c>
      <c r="EN200" s="9">
        <f>AZ200*'MASTER SHEET'!D200</f>
        <v>0</v>
      </c>
      <c r="EO200" s="9">
        <f>BD200*'MASTER SHEET'!D200</f>
        <v>0</v>
      </c>
      <c r="EP200" s="9">
        <f>BH200*'MASTER SHEET'!D200</f>
        <v>0</v>
      </c>
      <c r="EQ200" s="9">
        <f>BL200*'MASTER SHEET'!D200</f>
        <v>0</v>
      </c>
      <c r="ER200" s="9">
        <f>BP200*'MASTER SHEET'!D200</f>
        <v>0</v>
      </c>
      <c r="ES200" s="9">
        <f>BT200*'MASTER SHEET'!D200</f>
        <v>0</v>
      </c>
      <c r="ET200" s="9">
        <f>BX200*'MASTER SHEET'!D200</f>
        <v>0</v>
      </c>
      <c r="EU200" s="9">
        <f>CB200*'MASTER SHEET'!D200</f>
        <v>0</v>
      </c>
      <c r="EV200" s="9">
        <f>CF200*'MASTER SHEET'!D200</f>
        <v>0</v>
      </c>
      <c r="EW200" s="9">
        <f>CJ200*'MASTER SHEET'!D200</f>
        <v>0</v>
      </c>
      <c r="EX200" s="9">
        <f>CN200*'MASTER SHEET'!D200</f>
        <v>0</v>
      </c>
      <c r="EY200" s="9">
        <f>CV200*'MASTER SHEET'!D200</f>
        <v>0</v>
      </c>
      <c r="EZ200" s="9">
        <f>CV200*'MASTER SHEET'!D200</f>
        <v>0</v>
      </c>
      <c r="FA200" s="9">
        <f>CZ200*'MASTER SHEET'!D200</f>
        <v>0</v>
      </c>
      <c r="FB200" s="9">
        <f>DD200*'MASTER SHEET'!D200</f>
        <v>0</v>
      </c>
      <c r="FC200" s="9">
        <f>DH200*'MASTER SHEET'!D200</f>
        <v>0</v>
      </c>
      <c r="FD200" s="9">
        <f>DL200*'MASTER SHEET'!D200</f>
        <v>0</v>
      </c>
      <c r="FE200" s="9">
        <f>DP200*'MASTER SHEET'!D200</f>
        <v>0</v>
      </c>
      <c r="FF200" s="9">
        <f>DT200*'MASTER SHEET'!D200</f>
        <v>0</v>
      </c>
      <c r="FG200" s="9">
        <f>DX200*'MASTER SHEET'!D200</f>
        <v>0</v>
      </c>
    </row>
    <row r="201" spans="1:163" s="69" customFormat="1" ht="20.25" x14ac:dyDescent="0.25">
      <c r="A201" s="43">
        <f>'MASTER SHEET'!A201</f>
        <v>199</v>
      </c>
      <c r="B201" s="67" t="str">
        <f>'MASTER SHEET'!B201</f>
        <v>HOUSING PLASTIC</v>
      </c>
      <c r="C201" s="82">
        <f>'MASTER SHEET'!C201</f>
        <v>5039047</v>
      </c>
      <c r="D201" s="64"/>
      <c r="E201" s="28"/>
      <c r="F201" s="28"/>
      <c r="G201" s="65"/>
      <c r="H201" s="64">
        <f t="shared" si="137"/>
        <v>0</v>
      </c>
      <c r="I201" s="28"/>
      <c r="J201" s="28"/>
      <c r="K201" s="65"/>
      <c r="L201" s="64">
        <f t="shared" si="138"/>
        <v>0</v>
      </c>
      <c r="M201" s="28"/>
      <c r="N201" s="28"/>
      <c r="O201" s="65"/>
      <c r="P201" s="64">
        <f t="shared" si="139"/>
        <v>0</v>
      </c>
      <c r="Q201" s="28"/>
      <c r="R201" s="28"/>
      <c r="S201" s="65"/>
      <c r="T201" s="64">
        <f t="shared" si="140"/>
        <v>0</v>
      </c>
      <c r="U201" s="28"/>
      <c r="V201" s="28"/>
      <c r="W201" s="65"/>
      <c r="X201" s="64">
        <f t="shared" si="141"/>
        <v>0</v>
      </c>
      <c r="Y201" s="28"/>
      <c r="Z201" s="28"/>
      <c r="AA201" s="65"/>
      <c r="AB201" s="64">
        <f t="shared" si="142"/>
        <v>0</v>
      </c>
      <c r="AC201" s="28"/>
      <c r="AD201" s="28"/>
      <c r="AE201" s="65"/>
      <c r="AF201" s="64">
        <f t="shared" si="143"/>
        <v>0</v>
      </c>
      <c r="AG201" s="28"/>
      <c r="AH201" s="28"/>
      <c r="AI201" s="65"/>
      <c r="AJ201" s="64">
        <f t="shared" si="144"/>
        <v>0</v>
      </c>
      <c r="AK201" s="28"/>
      <c r="AL201" s="28"/>
      <c r="AM201" s="65"/>
      <c r="AN201" s="64">
        <f t="shared" si="145"/>
        <v>0</v>
      </c>
      <c r="AO201" s="28"/>
      <c r="AP201" s="28"/>
      <c r="AQ201" s="65"/>
      <c r="AR201" s="64">
        <f t="shared" si="146"/>
        <v>0</v>
      </c>
      <c r="AS201" s="28"/>
      <c r="AT201" s="28"/>
      <c r="AU201" s="65"/>
      <c r="AV201" s="64">
        <f t="shared" si="147"/>
        <v>0</v>
      </c>
      <c r="AW201" s="28"/>
      <c r="AX201" s="28"/>
      <c r="AY201" s="65"/>
      <c r="AZ201" s="64">
        <f t="shared" si="148"/>
        <v>0</v>
      </c>
      <c r="BA201" s="28"/>
      <c r="BB201" s="28"/>
      <c r="BC201" s="65"/>
      <c r="BD201" s="64">
        <f t="shared" si="149"/>
        <v>0</v>
      </c>
      <c r="BE201" s="28"/>
      <c r="BF201" s="28"/>
      <c r="BG201" s="65"/>
      <c r="BH201" s="64">
        <f t="shared" si="150"/>
        <v>0</v>
      </c>
      <c r="BI201" s="28"/>
      <c r="BJ201" s="28"/>
      <c r="BK201" s="65"/>
      <c r="BL201" s="64">
        <f t="shared" si="151"/>
        <v>0</v>
      </c>
      <c r="BM201" s="28"/>
      <c r="BN201" s="28"/>
      <c r="BO201" s="65"/>
      <c r="BP201" s="64">
        <f t="shared" si="152"/>
        <v>0</v>
      </c>
      <c r="BQ201" s="28"/>
      <c r="BR201" s="28"/>
      <c r="BS201" s="65"/>
      <c r="BT201" s="64">
        <f t="shared" si="153"/>
        <v>0</v>
      </c>
      <c r="BU201" s="28"/>
      <c r="BV201" s="28"/>
      <c r="BW201" s="65"/>
      <c r="BX201" s="64">
        <f t="shared" si="154"/>
        <v>0</v>
      </c>
      <c r="BY201" s="28"/>
      <c r="BZ201" s="28"/>
      <c r="CA201" s="65"/>
      <c r="CB201" s="64">
        <f t="shared" si="155"/>
        <v>0</v>
      </c>
      <c r="CC201" s="28"/>
      <c r="CD201" s="28"/>
      <c r="CE201" s="65"/>
      <c r="CF201" s="64">
        <f t="shared" si="156"/>
        <v>0</v>
      </c>
      <c r="CG201" s="28"/>
      <c r="CH201" s="28"/>
      <c r="CI201" s="65"/>
      <c r="CJ201" s="64">
        <f t="shared" si="157"/>
        <v>0</v>
      </c>
      <c r="CK201" s="28"/>
      <c r="CL201" s="28"/>
      <c r="CM201" s="65"/>
      <c r="CN201" s="64">
        <f t="shared" si="158"/>
        <v>0</v>
      </c>
      <c r="CO201" s="28"/>
      <c r="CP201" s="28"/>
      <c r="CQ201" s="65"/>
      <c r="CR201" s="64">
        <f t="shared" si="159"/>
        <v>0</v>
      </c>
      <c r="CS201" s="28"/>
      <c r="CT201" s="28"/>
      <c r="CU201" s="65"/>
      <c r="CV201" s="64">
        <f t="shared" si="160"/>
        <v>0</v>
      </c>
      <c r="CW201" s="28"/>
      <c r="CX201" s="28"/>
      <c r="CY201" s="65"/>
      <c r="CZ201" s="64">
        <f t="shared" si="161"/>
        <v>0</v>
      </c>
      <c r="DA201" s="28"/>
      <c r="DB201" s="28"/>
      <c r="DC201" s="65"/>
      <c r="DD201" s="64">
        <f t="shared" si="162"/>
        <v>0</v>
      </c>
      <c r="DE201" s="28"/>
      <c r="DF201" s="28"/>
      <c r="DG201" s="65"/>
      <c r="DH201" s="64">
        <f t="shared" si="163"/>
        <v>0</v>
      </c>
      <c r="DI201" s="28"/>
      <c r="DJ201" s="28"/>
      <c r="DK201" s="65"/>
      <c r="DL201" s="64">
        <f t="shared" si="164"/>
        <v>0</v>
      </c>
      <c r="DM201" s="28"/>
      <c r="DN201" s="28"/>
      <c r="DO201" s="65"/>
      <c r="DP201" s="64">
        <f t="shared" si="165"/>
        <v>0</v>
      </c>
      <c r="DQ201" s="28"/>
      <c r="DR201" s="28"/>
      <c r="DS201" s="65"/>
      <c r="DT201" s="64">
        <f t="shared" si="166"/>
        <v>0</v>
      </c>
      <c r="DU201" s="28"/>
      <c r="DV201" s="28"/>
      <c r="DW201" s="65"/>
      <c r="DX201" s="30">
        <f t="shared" si="167"/>
        <v>0</v>
      </c>
      <c r="DY201" s="68"/>
      <c r="DZ201" s="68"/>
      <c r="EA201" s="68"/>
      <c r="EB201" s="9">
        <f>D201*'MASTER SHEET'!D201</f>
        <v>0</v>
      </c>
      <c r="EC201" s="9">
        <f>H201*'MASTER SHEET'!D201</f>
        <v>0</v>
      </c>
      <c r="ED201" s="9">
        <f>L201*'MASTER SHEET'!D201</f>
        <v>0</v>
      </c>
      <c r="EE201" s="9">
        <f>P201*'MASTER SHEET'!D201</f>
        <v>0</v>
      </c>
      <c r="EF201" s="9">
        <f>T201*'MASTER SHEET'!D201</f>
        <v>0</v>
      </c>
      <c r="EG201" s="9">
        <f>X201*'MASTER SHEET'!D201</f>
        <v>0</v>
      </c>
      <c r="EH201" s="9">
        <f>AB201*'MASTER SHEET'!D201</f>
        <v>0</v>
      </c>
      <c r="EI201" s="9">
        <f>AF201*'MASTER SHEET'!D201</f>
        <v>0</v>
      </c>
      <c r="EJ201" s="9">
        <f>AJ201*'MASTER SHEET'!D201</f>
        <v>0</v>
      </c>
      <c r="EK201" s="9">
        <f>AN201*'MASTER SHEET'!D201</f>
        <v>0</v>
      </c>
      <c r="EL201" s="9">
        <f>AR201*'MASTER SHEET'!D201</f>
        <v>0</v>
      </c>
      <c r="EM201" s="9">
        <f>AV201*'MASTER SHEET'!D201</f>
        <v>0</v>
      </c>
      <c r="EN201" s="9">
        <f>AZ201*'MASTER SHEET'!D201</f>
        <v>0</v>
      </c>
      <c r="EO201" s="9">
        <f>BD201*'MASTER SHEET'!D201</f>
        <v>0</v>
      </c>
      <c r="EP201" s="9">
        <f>BH201*'MASTER SHEET'!D201</f>
        <v>0</v>
      </c>
      <c r="EQ201" s="9">
        <f>BL201*'MASTER SHEET'!D201</f>
        <v>0</v>
      </c>
      <c r="ER201" s="9">
        <f>BP201*'MASTER SHEET'!D201</f>
        <v>0</v>
      </c>
      <c r="ES201" s="9">
        <f>BT201*'MASTER SHEET'!D201</f>
        <v>0</v>
      </c>
      <c r="ET201" s="9">
        <f>BX201*'MASTER SHEET'!D201</f>
        <v>0</v>
      </c>
      <c r="EU201" s="9">
        <f>CB201*'MASTER SHEET'!D201</f>
        <v>0</v>
      </c>
      <c r="EV201" s="9">
        <f>CF201*'MASTER SHEET'!D201</f>
        <v>0</v>
      </c>
      <c r="EW201" s="9">
        <f>CJ201*'MASTER SHEET'!D201</f>
        <v>0</v>
      </c>
      <c r="EX201" s="9">
        <f>CN201*'MASTER SHEET'!D201</f>
        <v>0</v>
      </c>
      <c r="EY201" s="9">
        <f>CV201*'MASTER SHEET'!D201</f>
        <v>0</v>
      </c>
      <c r="EZ201" s="9">
        <f>CV201*'MASTER SHEET'!D201</f>
        <v>0</v>
      </c>
      <c r="FA201" s="9">
        <f>CZ201*'MASTER SHEET'!D201</f>
        <v>0</v>
      </c>
      <c r="FB201" s="9">
        <f>DD201*'MASTER SHEET'!D201</f>
        <v>0</v>
      </c>
      <c r="FC201" s="9">
        <f>DH201*'MASTER SHEET'!D201</f>
        <v>0</v>
      </c>
      <c r="FD201" s="9">
        <f>DL201*'MASTER SHEET'!D201</f>
        <v>0</v>
      </c>
      <c r="FE201" s="9">
        <f>DP201*'MASTER SHEET'!D201</f>
        <v>0</v>
      </c>
      <c r="FF201" s="9">
        <f>DT201*'MASTER SHEET'!D201</f>
        <v>0</v>
      </c>
      <c r="FG201" s="9">
        <f>DX201*'MASTER SHEET'!D201</f>
        <v>0</v>
      </c>
    </row>
    <row r="202" spans="1:163" s="69" customFormat="1" thickBot="1" x14ac:dyDescent="0.3">
      <c r="A202" s="44">
        <f>'MASTER SHEET'!A202</f>
        <v>200</v>
      </c>
      <c r="B202" s="70" t="str">
        <f>'MASTER SHEET'!B202</f>
        <v>FLANGE ASY, PLASTIC</v>
      </c>
      <c r="C202" s="83">
        <f>'MASTER SHEET'!C202</f>
        <v>5049200</v>
      </c>
      <c r="D202" s="64"/>
      <c r="E202" s="28"/>
      <c r="F202" s="28"/>
      <c r="G202" s="65"/>
      <c r="H202" s="64">
        <f t="shared" si="137"/>
        <v>0</v>
      </c>
      <c r="I202" s="28"/>
      <c r="J202" s="28"/>
      <c r="K202" s="65"/>
      <c r="L202" s="64">
        <f t="shared" si="138"/>
        <v>0</v>
      </c>
      <c r="M202" s="28"/>
      <c r="N202" s="28"/>
      <c r="O202" s="65"/>
      <c r="P202" s="64">
        <f t="shared" si="139"/>
        <v>0</v>
      </c>
      <c r="Q202" s="28"/>
      <c r="R202" s="28"/>
      <c r="S202" s="65"/>
      <c r="T202" s="64">
        <f t="shared" si="140"/>
        <v>0</v>
      </c>
      <c r="U202" s="28"/>
      <c r="V202" s="28"/>
      <c r="W202" s="65"/>
      <c r="X202" s="64">
        <f t="shared" si="141"/>
        <v>0</v>
      </c>
      <c r="Y202" s="28"/>
      <c r="Z202" s="28"/>
      <c r="AA202" s="65"/>
      <c r="AB202" s="64">
        <f t="shared" si="142"/>
        <v>0</v>
      </c>
      <c r="AC202" s="28"/>
      <c r="AD202" s="28"/>
      <c r="AE202" s="65"/>
      <c r="AF202" s="64">
        <f t="shared" si="143"/>
        <v>0</v>
      </c>
      <c r="AG202" s="28"/>
      <c r="AH202" s="28"/>
      <c r="AI202" s="65"/>
      <c r="AJ202" s="64">
        <f t="shared" si="144"/>
        <v>0</v>
      </c>
      <c r="AK202" s="28"/>
      <c r="AL202" s="28"/>
      <c r="AM202" s="65"/>
      <c r="AN202" s="64">
        <f t="shared" si="145"/>
        <v>0</v>
      </c>
      <c r="AO202" s="28"/>
      <c r="AP202" s="28"/>
      <c r="AQ202" s="65"/>
      <c r="AR202" s="64">
        <f t="shared" si="146"/>
        <v>0</v>
      </c>
      <c r="AS202" s="28"/>
      <c r="AT202" s="28"/>
      <c r="AU202" s="65"/>
      <c r="AV202" s="64">
        <f t="shared" si="147"/>
        <v>0</v>
      </c>
      <c r="AW202" s="28"/>
      <c r="AX202" s="28"/>
      <c r="AY202" s="65"/>
      <c r="AZ202" s="64">
        <f t="shared" si="148"/>
        <v>0</v>
      </c>
      <c r="BA202" s="28"/>
      <c r="BB202" s="28"/>
      <c r="BC202" s="65"/>
      <c r="BD202" s="64">
        <f t="shared" si="149"/>
        <v>0</v>
      </c>
      <c r="BE202" s="28"/>
      <c r="BF202" s="28"/>
      <c r="BG202" s="65"/>
      <c r="BH202" s="64">
        <f t="shared" si="150"/>
        <v>0</v>
      </c>
      <c r="BI202" s="28"/>
      <c r="BJ202" s="28"/>
      <c r="BK202" s="65"/>
      <c r="BL202" s="64">
        <f t="shared" si="151"/>
        <v>0</v>
      </c>
      <c r="BM202" s="28"/>
      <c r="BN202" s="28"/>
      <c r="BO202" s="65"/>
      <c r="BP202" s="64">
        <f t="shared" si="152"/>
        <v>0</v>
      </c>
      <c r="BQ202" s="28"/>
      <c r="BR202" s="28"/>
      <c r="BS202" s="65"/>
      <c r="BT202" s="64">
        <f t="shared" si="153"/>
        <v>0</v>
      </c>
      <c r="BU202" s="28"/>
      <c r="BV202" s="28"/>
      <c r="BW202" s="65"/>
      <c r="BX202" s="64">
        <f t="shared" si="154"/>
        <v>0</v>
      </c>
      <c r="BY202" s="28"/>
      <c r="BZ202" s="28"/>
      <c r="CA202" s="65"/>
      <c r="CB202" s="64">
        <f t="shared" si="155"/>
        <v>0</v>
      </c>
      <c r="CC202" s="28"/>
      <c r="CD202" s="28"/>
      <c r="CE202" s="65"/>
      <c r="CF202" s="64">
        <f t="shared" si="156"/>
        <v>0</v>
      </c>
      <c r="CG202" s="28"/>
      <c r="CH202" s="28"/>
      <c r="CI202" s="65"/>
      <c r="CJ202" s="64">
        <f t="shared" si="157"/>
        <v>0</v>
      </c>
      <c r="CK202" s="28"/>
      <c r="CL202" s="28"/>
      <c r="CM202" s="65"/>
      <c r="CN202" s="64">
        <f t="shared" si="158"/>
        <v>0</v>
      </c>
      <c r="CO202" s="28"/>
      <c r="CP202" s="28"/>
      <c r="CQ202" s="65"/>
      <c r="CR202" s="64">
        <f t="shared" si="159"/>
        <v>0</v>
      </c>
      <c r="CS202" s="28"/>
      <c r="CT202" s="28"/>
      <c r="CU202" s="65"/>
      <c r="CV202" s="64">
        <f t="shared" si="160"/>
        <v>0</v>
      </c>
      <c r="CW202" s="28"/>
      <c r="CX202" s="28"/>
      <c r="CY202" s="65"/>
      <c r="CZ202" s="64">
        <f t="shared" si="161"/>
        <v>0</v>
      </c>
      <c r="DA202" s="28"/>
      <c r="DB202" s="28"/>
      <c r="DC202" s="65"/>
      <c r="DD202" s="64">
        <f t="shared" si="162"/>
        <v>0</v>
      </c>
      <c r="DE202" s="28"/>
      <c r="DF202" s="28"/>
      <c r="DG202" s="65"/>
      <c r="DH202" s="64">
        <f t="shared" si="163"/>
        <v>0</v>
      </c>
      <c r="DI202" s="28"/>
      <c r="DJ202" s="28"/>
      <c r="DK202" s="65"/>
      <c r="DL202" s="64">
        <f t="shared" si="164"/>
        <v>0</v>
      </c>
      <c r="DM202" s="28"/>
      <c r="DN202" s="28"/>
      <c r="DO202" s="65"/>
      <c r="DP202" s="64">
        <f t="shared" si="165"/>
        <v>0</v>
      </c>
      <c r="DQ202" s="28"/>
      <c r="DR202" s="28"/>
      <c r="DS202" s="65"/>
      <c r="DT202" s="64">
        <f t="shared" si="166"/>
        <v>0</v>
      </c>
      <c r="DU202" s="28"/>
      <c r="DV202" s="28"/>
      <c r="DW202" s="65"/>
      <c r="DX202" s="30">
        <f t="shared" si="167"/>
        <v>0</v>
      </c>
      <c r="DY202" s="68"/>
      <c r="DZ202" s="68"/>
      <c r="EA202" s="68"/>
      <c r="EB202" s="9">
        <f>D202*'MASTER SHEET'!D202</f>
        <v>0</v>
      </c>
      <c r="EC202" s="9">
        <f>H202*'MASTER SHEET'!D202</f>
        <v>0</v>
      </c>
      <c r="ED202" s="9">
        <f>L202*'MASTER SHEET'!D202</f>
        <v>0</v>
      </c>
      <c r="EE202" s="9">
        <f>P202*'MASTER SHEET'!D202</f>
        <v>0</v>
      </c>
      <c r="EF202" s="9">
        <f>T202*'MASTER SHEET'!D202</f>
        <v>0</v>
      </c>
      <c r="EG202" s="9">
        <f>X202*'MASTER SHEET'!D202</f>
        <v>0</v>
      </c>
      <c r="EH202" s="9">
        <f>AB202*'MASTER SHEET'!D202</f>
        <v>0</v>
      </c>
      <c r="EI202" s="9">
        <f>AF202*'MASTER SHEET'!D202</f>
        <v>0</v>
      </c>
      <c r="EJ202" s="9">
        <f>AJ202*'MASTER SHEET'!D202</f>
        <v>0</v>
      </c>
      <c r="EK202" s="9">
        <f>AN202*'MASTER SHEET'!D202</f>
        <v>0</v>
      </c>
      <c r="EL202" s="9">
        <f>AR202*'MASTER SHEET'!D202</f>
        <v>0</v>
      </c>
      <c r="EM202" s="9">
        <f>AV202*'MASTER SHEET'!D202</f>
        <v>0</v>
      </c>
      <c r="EN202" s="9">
        <f>AZ202*'MASTER SHEET'!D202</f>
        <v>0</v>
      </c>
      <c r="EO202" s="9">
        <f>BD202*'MASTER SHEET'!D202</f>
        <v>0</v>
      </c>
      <c r="EP202" s="9">
        <f>BH202*'MASTER SHEET'!D202</f>
        <v>0</v>
      </c>
      <c r="EQ202" s="9">
        <f>BL202*'MASTER SHEET'!D202</f>
        <v>0</v>
      </c>
      <c r="ER202" s="9">
        <f>BP202*'MASTER SHEET'!D202</f>
        <v>0</v>
      </c>
      <c r="ES202" s="9">
        <f>BT202*'MASTER SHEET'!D202</f>
        <v>0</v>
      </c>
      <c r="ET202" s="9">
        <f>BX202*'MASTER SHEET'!D202</f>
        <v>0</v>
      </c>
      <c r="EU202" s="9">
        <f>CB202*'MASTER SHEET'!D202</f>
        <v>0</v>
      </c>
      <c r="EV202" s="9">
        <f>CF202*'MASTER SHEET'!D202</f>
        <v>0</v>
      </c>
      <c r="EW202" s="9">
        <f>CJ202*'MASTER SHEET'!D202</f>
        <v>0</v>
      </c>
      <c r="EX202" s="9">
        <f>CN202*'MASTER SHEET'!D202</f>
        <v>0</v>
      </c>
      <c r="EY202" s="9">
        <f>CV202*'MASTER SHEET'!D202</f>
        <v>0</v>
      </c>
      <c r="EZ202" s="9">
        <f>CV202*'MASTER SHEET'!D202</f>
        <v>0</v>
      </c>
      <c r="FA202" s="9">
        <f>CZ202*'MASTER SHEET'!D202</f>
        <v>0</v>
      </c>
      <c r="FB202" s="9">
        <f>DD202*'MASTER SHEET'!D202</f>
        <v>0</v>
      </c>
      <c r="FC202" s="9">
        <f>DH202*'MASTER SHEET'!D202</f>
        <v>0</v>
      </c>
      <c r="FD202" s="9">
        <f>DL202*'MASTER SHEET'!D202</f>
        <v>0</v>
      </c>
      <c r="FE202" s="9">
        <f>DP202*'MASTER SHEET'!D202</f>
        <v>0</v>
      </c>
      <c r="FF202" s="9">
        <f>DT202*'MASTER SHEET'!D202</f>
        <v>0</v>
      </c>
      <c r="FG202" s="9">
        <f>DX202*'MASTER SHEET'!D202</f>
        <v>0</v>
      </c>
    </row>
    <row r="203" spans="1:163" x14ac:dyDescent="0.35">
      <c r="EB203" s="113">
        <f>SUM(EB3:EB202)/100000</f>
        <v>2.1304218000000001</v>
      </c>
      <c r="EC203" s="113">
        <f t="shared" ref="EC203:FG203" si="168">SUM(EC3:EC202)/100000</f>
        <v>1.9733318</v>
      </c>
      <c r="ED203" s="113">
        <f t="shared" si="168"/>
        <v>1.8642138000000001</v>
      </c>
      <c r="EE203" s="113">
        <f t="shared" si="168"/>
        <v>1.8642138000000001</v>
      </c>
      <c r="EF203" s="116">
        <f t="shared" si="168"/>
        <v>1.8304199999999999</v>
      </c>
      <c r="EG203" s="116">
        <f t="shared" si="168"/>
        <v>1.8304199999999999</v>
      </c>
      <c r="EH203" s="116">
        <f t="shared" si="168"/>
        <v>1.8207599999999999</v>
      </c>
      <c r="EI203" s="116">
        <f t="shared" si="168"/>
        <v>1.9019135999999999</v>
      </c>
      <c r="EJ203" s="116">
        <f t="shared" si="168"/>
        <v>1.9734844</v>
      </c>
      <c r="EK203" s="116">
        <f t="shared" si="168"/>
        <v>2.2408443999999998</v>
      </c>
      <c r="EL203" s="116">
        <f t="shared" si="168"/>
        <v>2.1279444000000001</v>
      </c>
      <c r="EM203" s="116">
        <f t="shared" si="168"/>
        <v>2.0255944000000001</v>
      </c>
      <c r="EN203" s="116">
        <f t="shared" si="168"/>
        <v>2.0255944000000001</v>
      </c>
      <c r="EO203" s="116">
        <f t="shared" si="168"/>
        <v>1.6675944</v>
      </c>
      <c r="EP203" s="116">
        <f t="shared" si="168"/>
        <v>1.6984167999999999</v>
      </c>
      <c r="EQ203" s="116">
        <f t="shared" si="168"/>
        <v>1.6180167999999999</v>
      </c>
      <c r="ER203" s="116">
        <f t="shared" si="168"/>
        <v>1.5108067999999999</v>
      </c>
      <c r="ES203" s="116">
        <f t="shared" si="168"/>
        <v>1.5523266</v>
      </c>
      <c r="ET203" s="116">
        <f t="shared" si="168"/>
        <v>1.6490466000000004</v>
      </c>
      <c r="EU203" s="116">
        <f t="shared" si="168"/>
        <v>1.6490466000000004</v>
      </c>
      <c r="EV203" s="116">
        <f t="shared" si="168"/>
        <v>1.826775</v>
      </c>
      <c r="EW203" s="116">
        <f t="shared" si="168"/>
        <v>1.9655750000000001</v>
      </c>
      <c r="EX203" s="116">
        <f t="shared" si="168"/>
        <v>2.8861849999999998</v>
      </c>
      <c r="EY203" s="116">
        <f t="shared" si="168"/>
        <v>3.1082649999999998</v>
      </c>
      <c r="EZ203" s="116">
        <f t="shared" si="168"/>
        <v>3.1082649999999998</v>
      </c>
      <c r="FA203" s="116">
        <f t="shared" si="168"/>
        <v>3.0871673999999998</v>
      </c>
      <c r="FB203" s="116">
        <f t="shared" si="168"/>
        <v>3.2442074000000001</v>
      </c>
      <c r="FC203" s="116">
        <f t="shared" si="168"/>
        <v>3.7683249999999999</v>
      </c>
      <c r="FD203" s="113">
        <f t="shared" si="168"/>
        <v>3.7132977999999999</v>
      </c>
      <c r="FE203" s="113">
        <f t="shared" si="168"/>
        <v>3.8906777999999997</v>
      </c>
      <c r="FF203" s="113">
        <f t="shared" si="168"/>
        <v>3.8906777999999997</v>
      </c>
      <c r="FG203" s="113">
        <f t="shared" si="168"/>
        <v>3.8906777999999997</v>
      </c>
    </row>
  </sheetData>
  <protectedRanges>
    <protectedRange algorithmName="SHA-512" hashValue="+iTAbLXyHpAcwatZPkBQZb/7eu2MYG64uMzN+4poZbFcQGRyeeGhoGpgZgySJ6ZPQrC9Cs0SXIVOkp+IiNOTRQ==" saltValue="Hz4ed9BfYB/y4B3J6ryRng==" spinCount="100000" sqref="E3:DW202" name="SPL"/>
  </protectedRanges>
  <autoFilter ref="A2:FG203"/>
  <mergeCells count="31">
    <mergeCell ref="AC1:AF1"/>
    <mergeCell ref="AG1:AJ1"/>
    <mergeCell ref="AK1:AN1"/>
    <mergeCell ref="AO1:AR1"/>
    <mergeCell ref="AS1:AV1"/>
    <mergeCell ref="I1:L1"/>
    <mergeCell ref="M1:P1"/>
    <mergeCell ref="Q1:T1"/>
    <mergeCell ref="U1:X1"/>
    <mergeCell ref="Y1:AB1"/>
    <mergeCell ref="CC1:CF1"/>
    <mergeCell ref="CG1:CJ1"/>
    <mergeCell ref="CK1:CN1"/>
    <mergeCell ref="CO1:CR1"/>
    <mergeCell ref="AW1:AZ1"/>
    <mergeCell ref="E1:H1"/>
    <mergeCell ref="DU1:DX1"/>
    <mergeCell ref="CW1:CZ1"/>
    <mergeCell ref="DA1:DD1"/>
    <mergeCell ref="DE1:DH1"/>
    <mergeCell ref="DI1:DL1"/>
    <mergeCell ref="DM1:DP1"/>
    <mergeCell ref="DQ1:DT1"/>
    <mergeCell ref="CS1:CV1"/>
    <mergeCell ref="BA1:BD1"/>
    <mergeCell ref="BE1:BH1"/>
    <mergeCell ref="BI1:BL1"/>
    <mergeCell ref="BM1:BP1"/>
    <mergeCell ref="BQ1:BT1"/>
    <mergeCell ref="BU1:BX1"/>
    <mergeCell ref="BY1:CB1"/>
  </mergeCells>
  <pageMargins left="0.7" right="0.7" top="0.75" bottom="0.75" header="0.3" footer="0.3"/>
  <pageSetup scale="10" orientation="portrait" r:id="rId1"/>
  <colBreaks count="2" manualBreakCount="2">
    <brk id="96" max="199" man="1"/>
    <brk id="131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UCTION"/>
  <dimension ref="A1:FE219"/>
  <sheetViews>
    <sheetView showGridLines="0" zoomScaleNormal="100" workbookViewId="0">
      <pane xSplit="3" ySplit="2" topLeftCell="DI3" activePane="bottomRight" state="frozen"/>
      <selection pane="topRight" activeCell="D1" sqref="D1"/>
      <selection pane="bottomLeft" activeCell="A4" sqref="A4"/>
      <selection pane="bottomRight" activeCell="DN9" sqref="DN9"/>
    </sheetView>
  </sheetViews>
  <sheetFormatPr defaultRowHeight="18.75" x14ac:dyDescent="0.3"/>
  <cols>
    <col min="1" max="1" width="6.42578125" style="14" bestFit="1" customWidth="1"/>
    <col min="2" max="2" width="37.28515625" style="20" customWidth="1"/>
    <col min="3" max="3" width="17.28515625" style="87" bestFit="1" customWidth="1"/>
    <col min="4" max="4" width="10.140625" style="16" customWidth="1"/>
    <col min="5" max="5" width="11.140625" style="17" customWidth="1"/>
    <col min="6" max="6" width="7.28515625" style="16" customWidth="1"/>
    <col min="7" max="7" width="8.28515625" style="16" customWidth="1"/>
    <col min="8" max="8" width="11.140625" style="16" customWidth="1"/>
    <col min="9" max="11" width="7.28515625" style="16" customWidth="1"/>
    <col min="12" max="29" width="7.28515625" style="14" customWidth="1"/>
    <col min="30" max="30" width="9.7109375" style="14" bestFit="1" customWidth="1"/>
    <col min="31" max="31" width="11" style="14" bestFit="1" customWidth="1"/>
    <col min="32" max="99" width="7.28515625" style="14" customWidth="1"/>
    <col min="100" max="100" width="10" style="14" customWidth="1"/>
    <col min="101" max="111" width="7.28515625" style="14" customWidth="1"/>
    <col min="112" max="112" width="8.5703125" style="14" customWidth="1"/>
    <col min="113" max="127" width="7.28515625" style="14" customWidth="1"/>
    <col min="128" max="128" width="10.28515625" style="14" bestFit="1" customWidth="1"/>
    <col min="129" max="129" width="10.28515625" style="14" customWidth="1"/>
    <col min="130" max="130" width="9.140625" style="14"/>
    <col min="131" max="131" width="12" style="14" bestFit="1" customWidth="1"/>
    <col min="132" max="132" width="12.5703125" style="14" bestFit="1" customWidth="1"/>
    <col min="133" max="139" width="12.42578125" style="14" bestFit="1" customWidth="1"/>
    <col min="140" max="140" width="12" style="14" bestFit="1" customWidth="1"/>
    <col min="141" max="141" width="11.5703125" style="14" bestFit="1" customWidth="1"/>
    <col min="142" max="146" width="12" style="14" bestFit="1" customWidth="1"/>
    <col min="147" max="147" width="12.140625" style="14" bestFit="1" customWidth="1"/>
    <col min="148" max="149" width="12" style="14" bestFit="1" customWidth="1"/>
    <col min="150" max="150" width="12.42578125" style="14" bestFit="1" customWidth="1"/>
    <col min="151" max="151" width="12" style="14" bestFit="1" customWidth="1"/>
    <col min="152" max="160" width="12.42578125" style="14" bestFit="1" customWidth="1"/>
    <col min="161" max="16384" width="9.140625" style="14"/>
  </cols>
  <sheetData>
    <row r="1" spans="1:161" ht="19.5" customHeight="1" thickBot="1" x14ac:dyDescent="0.3">
      <c r="A1" s="12"/>
      <c r="B1" s="13"/>
      <c r="C1" s="84"/>
      <c r="D1" s="174">
        <v>46082</v>
      </c>
      <c r="E1" s="174"/>
      <c r="F1" s="174"/>
      <c r="G1" s="174"/>
      <c r="H1" s="174">
        <f>+D1+1</f>
        <v>46083</v>
      </c>
      <c r="I1" s="174"/>
      <c r="J1" s="174"/>
      <c r="K1" s="174"/>
      <c r="L1" s="174">
        <f t="shared" ref="L1" si="0">+H1+1</f>
        <v>46084</v>
      </c>
      <c r="M1" s="174"/>
      <c r="N1" s="174"/>
      <c r="O1" s="174"/>
      <c r="P1" s="174">
        <f t="shared" ref="P1" si="1">+L1+1</f>
        <v>46085</v>
      </c>
      <c r="Q1" s="174"/>
      <c r="R1" s="174"/>
      <c r="S1" s="174"/>
      <c r="T1" s="174">
        <f t="shared" ref="T1" si="2">+P1+1</f>
        <v>46086</v>
      </c>
      <c r="U1" s="174"/>
      <c r="V1" s="174"/>
      <c r="W1" s="174"/>
      <c r="X1" s="174">
        <f t="shared" ref="X1" si="3">+T1+1</f>
        <v>46087</v>
      </c>
      <c r="Y1" s="174"/>
      <c r="Z1" s="174"/>
      <c r="AA1" s="174"/>
      <c r="AB1" s="174">
        <f t="shared" ref="AB1" si="4">+X1+1</f>
        <v>46088</v>
      </c>
      <c r="AC1" s="174"/>
      <c r="AD1" s="174"/>
      <c r="AE1" s="174"/>
      <c r="AF1" s="174">
        <f t="shared" ref="AF1" si="5">+AB1+1</f>
        <v>46089</v>
      </c>
      <c r="AG1" s="174"/>
      <c r="AH1" s="174"/>
      <c r="AI1" s="174"/>
      <c r="AJ1" s="174">
        <f t="shared" ref="AJ1" si="6">+AF1+1</f>
        <v>46090</v>
      </c>
      <c r="AK1" s="174"/>
      <c r="AL1" s="174"/>
      <c r="AM1" s="174"/>
      <c r="AN1" s="174">
        <f t="shared" ref="AN1" si="7">+AJ1+1</f>
        <v>46091</v>
      </c>
      <c r="AO1" s="174"/>
      <c r="AP1" s="174"/>
      <c r="AQ1" s="174"/>
      <c r="AR1" s="174">
        <f t="shared" ref="AR1" si="8">+AN1+1</f>
        <v>46092</v>
      </c>
      <c r="AS1" s="174"/>
      <c r="AT1" s="174"/>
      <c r="AU1" s="174"/>
      <c r="AV1" s="174">
        <f t="shared" ref="AV1" si="9">+AR1+1</f>
        <v>46093</v>
      </c>
      <c r="AW1" s="174"/>
      <c r="AX1" s="174"/>
      <c r="AY1" s="174"/>
      <c r="AZ1" s="174">
        <f t="shared" ref="AZ1" si="10">+AV1+1</f>
        <v>46094</v>
      </c>
      <c r="BA1" s="174"/>
      <c r="BB1" s="174"/>
      <c r="BC1" s="174"/>
      <c r="BD1" s="174">
        <f t="shared" ref="BD1" si="11">+AZ1+1</f>
        <v>46095</v>
      </c>
      <c r="BE1" s="174"/>
      <c r="BF1" s="174"/>
      <c r="BG1" s="174"/>
      <c r="BH1" s="174">
        <f t="shared" ref="BH1" si="12">+BD1+1</f>
        <v>46096</v>
      </c>
      <c r="BI1" s="174"/>
      <c r="BJ1" s="174"/>
      <c r="BK1" s="174"/>
      <c r="BL1" s="174">
        <f t="shared" ref="BL1" si="13">+BH1+1</f>
        <v>46097</v>
      </c>
      <c r="BM1" s="174"/>
      <c r="BN1" s="174"/>
      <c r="BO1" s="174"/>
      <c r="BP1" s="174">
        <f t="shared" ref="BP1" si="14">+BL1+1</f>
        <v>46098</v>
      </c>
      <c r="BQ1" s="174"/>
      <c r="BR1" s="174"/>
      <c r="BS1" s="174"/>
      <c r="BT1" s="174">
        <f t="shared" ref="BT1" si="15">+BP1+1</f>
        <v>46099</v>
      </c>
      <c r="BU1" s="174"/>
      <c r="BV1" s="174"/>
      <c r="BW1" s="174"/>
      <c r="BX1" s="174">
        <f t="shared" ref="BX1" si="16">+BT1+1</f>
        <v>46100</v>
      </c>
      <c r="BY1" s="174"/>
      <c r="BZ1" s="174"/>
      <c r="CA1" s="174"/>
      <c r="CB1" s="174">
        <f t="shared" ref="CB1" si="17">+BX1+1</f>
        <v>46101</v>
      </c>
      <c r="CC1" s="174"/>
      <c r="CD1" s="174"/>
      <c r="CE1" s="174"/>
      <c r="CF1" s="174">
        <f t="shared" ref="CF1" si="18">+CB1+1</f>
        <v>46102</v>
      </c>
      <c r="CG1" s="174"/>
      <c r="CH1" s="174"/>
      <c r="CI1" s="174"/>
      <c r="CJ1" s="174">
        <f t="shared" ref="CJ1" si="19">+CF1+1</f>
        <v>46103</v>
      </c>
      <c r="CK1" s="174"/>
      <c r="CL1" s="174"/>
      <c r="CM1" s="174"/>
      <c r="CN1" s="174">
        <f t="shared" ref="CN1" si="20">+CJ1+1</f>
        <v>46104</v>
      </c>
      <c r="CO1" s="174"/>
      <c r="CP1" s="174"/>
      <c r="CQ1" s="174"/>
      <c r="CR1" s="174">
        <f t="shared" ref="CR1" si="21">+CN1+1</f>
        <v>46105</v>
      </c>
      <c r="CS1" s="174"/>
      <c r="CT1" s="174"/>
      <c r="CU1" s="174"/>
      <c r="CV1" s="174">
        <f t="shared" ref="CV1" si="22">+CR1+1</f>
        <v>46106</v>
      </c>
      <c r="CW1" s="174"/>
      <c r="CX1" s="174"/>
      <c r="CY1" s="174"/>
      <c r="CZ1" s="174">
        <f t="shared" ref="CZ1" si="23">+CV1+1</f>
        <v>46107</v>
      </c>
      <c r="DA1" s="174"/>
      <c r="DB1" s="174"/>
      <c r="DC1" s="174"/>
      <c r="DD1" s="174">
        <f t="shared" ref="DD1" si="24">+CZ1+1</f>
        <v>46108</v>
      </c>
      <c r="DE1" s="174"/>
      <c r="DF1" s="174"/>
      <c r="DG1" s="174"/>
      <c r="DH1" s="174">
        <f t="shared" ref="DH1" si="25">+DD1+1</f>
        <v>46109</v>
      </c>
      <c r="DI1" s="174"/>
      <c r="DJ1" s="174"/>
      <c r="DK1" s="174"/>
      <c r="DL1" s="174">
        <f t="shared" ref="DL1" si="26">+DH1+1</f>
        <v>46110</v>
      </c>
      <c r="DM1" s="174"/>
      <c r="DN1" s="174"/>
      <c r="DO1" s="174"/>
      <c r="DP1" s="174">
        <f t="shared" ref="DP1" si="27">+DL1+1</f>
        <v>46111</v>
      </c>
      <c r="DQ1" s="174"/>
      <c r="DR1" s="174"/>
      <c r="DS1" s="174"/>
      <c r="DT1" s="174">
        <f t="shared" ref="DT1" si="28">+DP1+1</f>
        <v>46112</v>
      </c>
      <c r="DU1" s="174"/>
      <c r="DV1" s="174"/>
      <c r="DW1" s="174"/>
      <c r="DX1" s="45"/>
      <c r="DY1" s="45"/>
      <c r="DZ1" s="45"/>
      <c r="EA1" s="144"/>
      <c r="EB1" s="144"/>
      <c r="EC1" s="144"/>
      <c r="ED1" s="144"/>
      <c r="EE1" s="144"/>
      <c r="EF1" s="144"/>
      <c r="EG1" s="144"/>
      <c r="EH1" s="144"/>
      <c r="EI1" s="144"/>
      <c r="EJ1" s="144"/>
      <c r="EK1" s="144"/>
      <c r="EL1" s="144"/>
      <c r="EM1" s="144"/>
      <c r="EN1" s="144"/>
      <c r="EO1" s="144"/>
      <c r="EP1" s="144"/>
      <c r="EQ1" s="144"/>
      <c r="ER1" s="144"/>
      <c r="ES1" s="144"/>
      <c r="ET1" s="144"/>
      <c r="EU1" s="144"/>
      <c r="EV1" s="144"/>
      <c r="EW1" s="144"/>
      <c r="EX1" s="144"/>
      <c r="EY1" s="144"/>
      <c r="EZ1" s="144"/>
      <c r="FA1" s="144"/>
      <c r="FB1" s="144"/>
      <c r="FC1" s="144"/>
      <c r="FD1" s="144"/>
    </row>
    <row r="2" spans="1:161" s="15" customFormat="1" ht="63" x14ac:dyDescent="0.25">
      <c r="A2" s="52" t="s">
        <v>0</v>
      </c>
      <c r="B2" s="53" t="s">
        <v>104</v>
      </c>
      <c r="C2" s="85" t="s">
        <v>2</v>
      </c>
      <c r="D2" s="50" t="s">
        <v>105</v>
      </c>
      <c r="E2" s="46" t="s">
        <v>155</v>
      </c>
      <c r="F2" s="46" t="s">
        <v>108</v>
      </c>
      <c r="G2" s="46" t="s">
        <v>109</v>
      </c>
      <c r="H2" s="47" t="s">
        <v>107</v>
      </c>
      <c r="I2" s="46" t="s">
        <v>155</v>
      </c>
      <c r="J2" s="46" t="s">
        <v>108</v>
      </c>
      <c r="K2" s="46" t="s">
        <v>109</v>
      </c>
      <c r="L2" s="47" t="s">
        <v>107</v>
      </c>
      <c r="M2" s="46" t="s">
        <v>155</v>
      </c>
      <c r="N2" s="46" t="s">
        <v>108</v>
      </c>
      <c r="O2" s="46" t="s">
        <v>109</v>
      </c>
      <c r="P2" s="47" t="s">
        <v>107</v>
      </c>
      <c r="Q2" s="46" t="s">
        <v>155</v>
      </c>
      <c r="R2" s="46" t="s">
        <v>108</v>
      </c>
      <c r="S2" s="46" t="s">
        <v>109</v>
      </c>
      <c r="T2" s="47" t="s">
        <v>107</v>
      </c>
      <c r="U2" s="46" t="s">
        <v>155</v>
      </c>
      <c r="V2" s="46" t="s">
        <v>108</v>
      </c>
      <c r="W2" s="46" t="s">
        <v>109</v>
      </c>
      <c r="X2" s="47" t="s">
        <v>107</v>
      </c>
      <c r="Y2" s="46" t="s">
        <v>155</v>
      </c>
      <c r="Z2" s="46" t="s">
        <v>108</v>
      </c>
      <c r="AA2" s="46" t="s">
        <v>109</v>
      </c>
      <c r="AB2" s="47" t="s">
        <v>107</v>
      </c>
      <c r="AC2" s="46" t="s">
        <v>155</v>
      </c>
      <c r="AD2" s="46" t="s">
        <v>108</v>
      </c>
      <c r="AE2" s="46" t="s">
        <v>109</v>
      </c>
      <c r="AF2" s="47" t="s">
        <v>107</v>
      </c>
      <c r="AG2" s="46" t="s">
        <v>155</v>
      </c>
      <c r="AH2" s="46" t="s">
        <v>108</v>
      </c>
      <c r="AI2" s="46" t="s">
        <v>109</v>
      </c>
      <c r="AJ2" s="47" t="s">
        <v>107</v>
      </c>
      <c r="AK2" s="46" t="s">
        <v>155</v>
      </c>
      <c r="AL2" s="46" t="s">
        <v>108</v>
      </c>
      <c r="AM2" s="46" t="s">
        <v>109</v>
      </c>
      <c r="AN2" s="47" t="s">
        <v>107</v>
      </c>
      <c r="AO2" s="46" t="s">
        <v>155</v>
      </c>
      <c r="AP2" s="46" t="s">
        <v>108</v>
      </c>
      <c r="AQ2" s="46" t="s">
        <v>109</v>
      </c>
      <c r="AR2" s="47" t="s">
        <v>107</v>
      </c>
      <c r="AS2" s="46" t="s">
        <v>155</v>
      </c>
      <c r="AT2" s="46" t="s">
        <v>108</v>
      </c>
      <c r="AU2" s="46" t="s">
        <v>109</v>
      </c>
      <c r="AV2" s="47" t="s">
        <v>107</v>
      </c>
      <c r="AW2" s="46" t="s">
        <v>155</v>
      </c>
      <c r="AX2" s="46" t="s">
        <v>108</v>
      </c>
      <c r="AY2" s="46" t="s">
        <v>109</v>
      </c>
      <c r="AZ2" s="47" t="s">
        <v>107</v>
      </c>
      <c r="BA2" s="46" t="s">
        <v>155</v>
      </c>
      <c r="BB2" s="46" t="s">
        <v>108</v>
      </c>
      <c r="BC2" s="46" t="s">
        <v>109</v>
      </c>
      <c r="BD2" s="47" t="s">
        <v>107</v>
      </c>
      <c r="BE2" s="46" t="s">
        <v>155</v>
      </c>
      <c r="BF2" s="46" t="s">
        <v>108</v>
      </c>
      <c r="BG2" s="46" t="s">
        <v>109</v>
      </c>
      <c r="BH2" s="47" t="s">
        <v>107</v>
      </c>
      <c r="BI2" s="46" t="s">
        <v>155</v>
      </c>
      <c r="BJ2" s="46" t="s">
        <v>108</v>
      </c>
      <c r="BK2" s="46" t="s">
        <v>109</v>
      </c>
      <c r="BL2" s="47" t="s">
        <v>107</v>
      </c>
      <c r="BM2" s="46" t="s">
        <v>155</v>
      </c>
      <c r="BN2" s="46" t="s">
        <v>108</v>
      </c>
      <c r="BO2" s="46" t="s">
        <v>109</v>
      </c>
      <c r="BP2" s="47" t="s">
        <v>107</v>
      </c>
      <c r="BQ2" s="46" t="s">
        <v>155</v>
      </c>
      <c r="BR2" s="46" t="s">
        <v>108</v>
      </c>
      <c r="BS2" s="46" t="s">
        <v>109</v>
      </c>
      <c r="BT2" s="47" t="s">
        <v>107</v>
      </c>
      <c r="BU2" s="46" t="s">
        <v>155</v>
      </c>
      <c r="BV2" s="46" t="s">
        <v>108</v>
      </c>
      <c r="BW2" s="46" t="s">
        <v>109</v>
      </c>
      <c r="BX2" s="47" t="s">
        <v>107</v>
      </c>
      <c r="BY2" s="46" t="s">
        <v>155</v>
      </c>
      <c r="BZ2" s="46" t="s">
        <v>108</v>
      </c>
      <c r="CA2" s="46" t="s">
        <v>109</v>
      </c>
      <c r="CB2" s="47" t="s">
        <v>107</v>
      </c>
      <c r="CC2" s="46" t="s">
        <v>155</v>
      </c>
      <c r="CD2" s="46" t="s">
        <v>108</v>
      </c>
      <c r="CE2" s="46" t="s">
        <v>109</v>
      </c>
      <c r="CF2" s="47" t="s">
        <v>107</v>
      </c>
      <c r="CG2" s="46" t="s">
        <v>155</v>
      </c>
      <c r="CH2" s="46" t="s">
        <v>108</v>
      </c>
      <c r="CI2" s="46" t="s">
        <v>109</v>
      </c>
      <c r="CJ2" s="47" t="s">
        <v>107</v>
      </c>
      <c r="CK2" s="46" t="s">
        <v>155</v>
      </c>
      <c r="CL2" s="46" t="s">
        <v>108</v>
      </c>
      <c r="CM2" s="46" t="s">
        <v>109</v>
      </c>
      <c r="CN2" s="47" t="s">
        <v>107</v>
      </c>
      <c r="CO2" s="46" t="s">
        <v>155</v>
      </c>
      <c r="CP2" s="46" t="s">
        <v>108</v>
      </c>
      <c r="CQ2" s="46" t="s">
        <v>109</v>
      </c>
      <c r="CR2" s="47" t="s">
        <v>107</v>
      </c>
      <c r="CS2" s="46" t="s">
        <v>155</v>
      </c>
      <c r="CT2" s="46" t="s">
        <v>108</v>
      </c>
      <c r="CU2" s="46" t="s">
        <v>109</v>
      </c>
      <c r="CV2" s="47" t="s">
        <v>107</v>
      </c>
      <c r="CW2" s="46" t="s">
        <v>155</v>
      </c>
      <c r="CX2" s="46" t="s">
        <v>108</v>
      </c>
      <c r="CY2" s="46" t="s">
        <v>109</v>
      </c>
      <c r="CZ2" s="47" t="s">
        <v>107</v>
      </c>
      <c r="DA2" s="46" t="s">
        <v>155</v>
      </c>
      <c r="DB2" s="46" t="s">
        <v>108</v>
      </c>
      <c r="DC2" s="46" t="s">
        <v>109</v>
      </c>
      <c r="DD2" s="47" t="s">
        <v>107</v>
      </c>
      <c r="DE2" s="46" t="s">
        <v>155</v>
      </c>
      <c r="DF2" s="46" t="s">
        <v>108</v>
      </c>
      <c r="DG2" s="46" t="s">
        <v>109</v>
      </c>
      <c r="DH2" s="47" t="s">
        <v>107</v>
      </c>
      <c r="DI2" s="46" t="s">
        <v>155</v>
      </c>
      <c r="DJ2" s="46" t="s">
        <v>108</v>
      </c>
      <c r="DK2" s="46" t="s">
        <v>109</v>
      </c>
      <c r="DL2" s="47" t="s">
        <v>107</v>
      </c>
      <c r="DM2" s="46" t="s">
        <v>155</v>
      </c>
      <c r="DN2" s="46" t="s">
        <v>108</v>
      </c>
      <c r="DO2" s="46" t="s">
        <v>109</v>
      </c>
      <c r="DP2" s="47" t="s">
        <v>107</v>
      </c>
      <c r="DQ2" s="46" t="s">
        <v>155</v>
      </c>
      <c r="DR2" s="46" t="s">
        <v>108</v>
      </c>
      <c r="DS2" s="46" t="s">
        <v>109</v>
      </c>
      <c r="DT2" s="47" t="s">
        <v>107</v>
      </c>
      <c r="DU2" s="46" t="s">
        <v>155</v>
      </c>
      <c r="DV2" s="46" t="s">
        <v>108</v>
      </c>
      <c r="DW2" s="46" t="s">
        <v>109</v>
      </c>
      <c r="DX2" s="47" t="s">
        <v>107</v>
      </c>
      <c r="DY2" s="47" t="s">
        <v>170</v>
      </c>
      <c r="DZ2" s="47" t="s">
        <v>117</v>
      </c>
      <c r="EA2" s="102"/>
      <c r="EB2" s="105">
        <f>+EA2+1</f>
        <v>1</v>
      </c>
      <c r="EC2" s="105">
        <f t="shared" ref="EC2:FE2" si="29">+EB2+1</f>
        <v>2</v>
      </c>
      <c r="ED2" s="105">
        <f t="shared" si="29"/>
        <v>3</v>
      </c>
      <c r="EE2" s="105">
        <f t="shared" si="29"/>
        <v>4</v>
      </c>
      <c r="EF2" s="105">
        <f t="shared" si="29"/>
        <v>5</v>
      </c>
      <c r="EG2" s="105">
        <f t="shared" si="29"/>
        <v>6</v>
      </c>
      <c r="EH2" s="105">
        <f t="shared" si="29"/>
        <v>7</v>
      </c>
      <c r="EI2" s="105">
        <f t="shared" si="29"/>
        <v>8</v>
      </c>
      <c r="EJ2" s="105">
        <f t="shared" si="29"/>
        <v>9</v>
      </c>
      <c r="EK2" s="105">
        <f t="shared" si="29"/>
        <v>10</v>
      </c>
      <c r="EL2" s="105">
        <f t="shared" si="29"/>
        <v>11</v>
      </c>
      <c r="EM2" s="105">
        <f t="shared" si="29"/>
        <v>12</v>
      </c>
      <c r="EN2" s="105">
        <f t="shared" si="29"/>
        <v>13</v>
      </c>
      <c r="EO2" s="105">
        <f t="shared" si="29"/>
        <v>14</v>
      </c>
      <c r="EP2" s="105">
        <f t="shared" si="29"/>
        <v>15</v>
      </c>
      <c r="EQ2" s="105">
        <f t="shared" si="29"/>
        <v>16</v>
      </c>
      <c r="ER2" s="105">
        <f t="shared" si="29"/>
        <v>17</v>
      </c>
      <c r="ES2" s="105">
        <f t="shared" si="29"/>
        <v>18</v>
      </c>
      <c r="ET2" s="105">
        <f t="shared" si="29"/>
        <v>19</v>
      </c>
      <c r="EU2" s="105">
        <f t="shared" si="29"/>
        <v>20</v>
      </c>
      <c r="EV2" s="105">
        <f t="shared" si="29"/>
        <v>21</v>
      </c>
      <c r="EW2" s="105">
        <f t="shared" si="29"/>
        <v>22</v>
      </c>
      <c r="EX2" s="105">
        <f t="shared" si="29"/>
        <v>23</v>
      </c>
      <c r="EY2" s="105">
        <f t="shared" si="29"/>
        <v>24</v>
      </c>
      <c r="EZ2" s="105">
        <f t="shared" si="29"/>
        <v>25</v>
      </c>
      <c r="FA2" s="105">
        <f t="shared" si="29"/>
        <v>26</v>
      </c>
      <c r="FB2" s="105">
        <f t="shared" si="29"/>
        <v>27</v>
      </c>
      <c r="FC2" s="105">
        <f t="shared" si="29"/>
        <v>28</v>
      </c>
      <c r="FD2" s="105">
        <f t="shared" si="29"/>
        <v>29</v>
      </c>
      <c r="FE2" s="105">
        <f t="shared" si="29"/>
        <v>30</v>
      </c>
    </row>
    <row r="3" spans="1:161" ht="18.75" customHeight="1" x14ac:dyDescent="0.25">
      <c r="A3" s="43">
        <f>'MASTER SHEET'!A3</f>
        <v>1</v>
      </c>
      <c r="B3" s="49" t="str">
        <f>'MASTER SHEET'!B3</f>
        <v>BASE HOUSING CRANKCASE</v>
      </c>
      <c r="C3" s="86">
        <f>'MASTER SHEET'!C3</f>
        <v>5009573</v>
      </c>
      <c r="D3" s="51"/>
      <c r="E3" s="48">
        <v>237</v>
      </c>
      <c r="F3" s="48">
        <v>219</v>
      </c>
      <c r="G3" s="48">
        <v>18</v>
      </c>
      <c r="H3" s="48">
        <f t="shared" ref="H3:H30" si="30">D3+E3-F3-G3</f>
        <v>0</v>
      </c>
      <c r="I3" s="28">
        <v>0</v>
      </c>
      <c r="J3" s="28">
        <v>0</v>
      </c>
      <c r="K3" s="65">
        <v>0</v>
      </c>
      <c r="L3" s="48">
        <f t="shared" ref="L3:L30" si="31">H3+I3-J3-K3</f>
        <v>0</v>
      </c>
      <c r="M3" s="48"/>
      <c r="N3" s="48"/>
      <c r="O3" s="48"/>
      <c r="P3" s="48">
        <f t="shared" ref="P3:P30" si="32">L3+M3-N3-O3</f>
        <v>0</v>
      </c>
      <c r="Q3" s="48"/>
      <c r="R3" s="48"/>
      <c r="S3" s="48"/>
      <c r="T3" s="48">
        <f t="shared" ref="T3:T30" si="33">P3+Q3-R3-S3</f>
        <v>0</v>
      </c>
      <c r="U3" s="48">
        <v>0</v>
      </c>
      <c r="V3" s="48"/>
      <c r="W3" s="48"/>
      <c r="X3" s="48">
        <f t="shared" ref="X3:X30" si="34">T3+U3-V3-W3</f>
        <v>0</v>
      </c>
      <c r="Y3" s="48">
        <v>0</v>
      </c>
      <c r="Z3" s="48">
        <v>0</v>
      </c>
      <c r="AA3" s="48">
        <v>0</v>
      </c>
      <c r="AB3" s="48">
        <f t="shared" ref="AB3:AB30" si="35">X3+Y3-Z3-AA3</f>
        <v>0</v>
      </c>
      <c r="AC3" s="48">
        <v>0</v>
      </c>
      <c r="AD3" s="48">
        <v>0</v>
      </c>
      <c r="AE3" s="48">
        <v>0</v>
      </c>
      <c r="AF3" s="48">
        <f t="shared" ref="AF3:AF30" si="36">AB3+AC3-AD3-AE3</f>
        <v>0</v>
      </c>
      <c r="AG3" s="48">
        <v>0</v>
      </c>
      <c r="AH3" s="48">
        <v>0</v>
      </c>
      <c r="AI3" s="48">
        <v>0</v>
      </c>
      <c r="AJ3" s="48">
        <f t="shared" ref="AJ3:AJ30" si="37">AF3+AG3-AH3-AI3</f>
        <v>0</v>
      </c>
      <c r="AK3" s="48">
        <v>0</v>
      </c>
      <c r="AL3" s="48">
        <v>0</v>
      </c>
      <c r="AM3" s="48">
        <v>0</v>
      </c>
      <c r="AN3" s="48">
        <f t="shared" ref="AN3:AN30" si="38">AJ3+AK3-AL3-AM3</f>
        <v>0</v>
      </c>
      <c r="AO3" s="48">
        <v>718</v>
      </c>
      <c r="AP3" s="48">
        <v>697</v>
      </c>
      <c r="AQ3" s="48">
        <v>21</v>
      </c>
      <c r="AR3" s="48">
        <f t="shared" ref="AR3:AR30" si="39">AN3+AO3-AP3-AQ3</f>
        <v>0</v>
      </c>
      <c r="AS3" s="48">
        <v>717</v>
      </c>
      <c r="AT3" s="48">
        <v>665</v>
      </c>
      <c r="AU3" s="48">
        <v>52</v>
      </c>
      <c r="AV3" s="48">
        <f t="shared" ref="AV3:AV30" si="40">AR3+AS3-AT3-AU3</f>
        <v>0</v>
      </c>
      <c r="AW3" s="48">
        <v>0</v>
      </c>
      <c r="AX3" s="48">
        <v>0</v>
      </c>
      <c r="AY3" s="48">
        <v>0</v>
      </c>
      <c r="AZ3" s="48">
        <f>AV3+AW3-AX3-AY3</f>
        <v>0</v>
      </c>
      <c r="BA3" s="48">
        <v>0</v>
      </c>
      <c r="BB3" s="48">
        <v>0</v>
      </c>
      <c r="BC3" s="48">
        <v>0</v>
      </c>
      <c r="BD3" s="48">
        <f t="shared" ref="BD3:BD30" si="41">AZ3+BA3-BB3-BC3</f>
        <v>0</v>
      </c>
      <c r="BE3" s="48">
        <v>0</v>
      </c>
      <c r="BF3" s="48">
        <v>0</v>
      </c>
      <c r="BG3" s="48">
        <v>0</v>
      </c>
      <c r="BH3" s="48">
        <f t="shared" ref="BH3:BH30" si="42">BD3+BE3-BF3-BG3</f>
        <v>0</v>
      </c>
      <c r="BI3" s="48">
        <v>0</v>
      </c>
      <c r="BJ3" s="48">
        <v>0</v>
      </c>
      <c r="BK3" s="48">
        <v>0</v>
      </c>
      <c r="BL3" s="48">
        <f t="shared" ref="BL3:BL30" si="43">BH3+BI3-BJ3-BK3</f>
        <v>0</v>
      </c>
      <c r="BM3" s="48">
        <v>0</v>
      </c>
      <c r="BN3" s="48">
        <v>0</v>
      </c>
      <c r="BO3" s="48">
        <v>0</v>
      </c>
      <c r="BP3" s="48">
        <f t="shared" ref="BP3:BP30" si="44">BL3+BM3-BN3-BO3</f>
        <v>0</v>
      </c>
      <c r="BQ3" s="48">
        <v>1043</v>
      </c>
      <c r="BR3" s="48">
        <v>1005</v>
      </c>
      <c r="BS3" s="48">
        <v>38</v>
      </c>
      <c r="BT3" s="48">
        <f t="shared" ref="BT3:BT30" si="45">BP3+BQ3-BR3-BS3</f>
        <v>0</v>
      </c>
      <c r="BU3" s="48">
        <v>808</v>
      </c>
      <c r="BV3" s="48">
        <v>785</v>
      </c>
      <c r="BW3" s="48">
        <v>23</v>
      </c>
      <c r="BX3" s="48">
        <f t="shared" ref="BX3:BX30" si="46">BT3+BU3-BV3-BW3</f>
        <v>0</v>
      </c>
      <c r="BY3" s="48"/>
      <c r="BZ3" s="48"/>
      <c r="CA3" s="48"/>
      <c r="CB3" s="48">
        <f t="shared" ref="CB3:CB30" si="47">BX3+BY3-BZ3-CA3</f>
        <v>0</v>
      </c>
      <c r="CC3" s="48"/>
      <c r="CD3" s="48"/>
      <c r="CE3" s="48"/>
      <c r="CF3" s="48">
        <f t="shared" ref="CF3:CF30" si="48">CB3+CC3-CD3-CE3</f>
        <v>0</v>
      </c>
      <c r="CG3" s="48"/>
      <c r="CH3" s="48"/>
      <c r="CI3" s="48"/>
      <c r="CJ3" s="48">
        <f t="shared" ref="CJ3:CJ30" si="49">CF3+CG3-CH3-CI3</f>
        <v>0</v>
      </c>
      <c r="CK3" s="48"/>
      <c r="CL3" s="48"/>
      <c r="CM3" s="48"/>
      <c r="CN3" s="48">
        <f t="shared" ref="CN3:CN30" si="50">CJ3+CK3-CL3-CM3</f>
        <v>0</v>
      </c>
      <c r="CO3" s="48"/>
      <c r="CP3" s="48"/>
      <c r="CQ3" s="48"/>
      <c r="CR3" s="48">
        <f t="shared" ref="CR3:CR30" si="51">CN3+CO3-CP3-CQ3</f>
        <v>0</v>
      </c>
      <c r="CS3" s="48"/>
      <c r="CT3" s="48"/>
      <c r="CU3" s="48"/>
      <c r="CV3" s="48">
        <f t="shared" ref="CV3:CV30" si="52">CR3+CS3-CT3-CU3</f>
        <v>0</v>
      </c>
      <c r="CW3" s="48"/>
      <c r="CX3" s="48"/>
      <c r="CY3" s="48"/>
      <c r="CZ3" s="48">
        <f t="shared" ref="CZ3:CZ30" si="53">CV3+CW3-CX3-CY3</f>
        <v>0</v>
      </c>
      <c r="DA3" s="48"/>
      <c r="DB3" s="48"/>
      <c r="DC3" s="48"/>
      <c r="DD3" s="48">
        <f t="shared" ref="DD3:DD30" si="54">CZ3+DA3-DB3-DC3</f>
        <v>0</v>
      </c>
      <c r="DE3" s="48"/>
      <c r="DF3" s="48"/>
      <c r="DG3" s="48"/>
      <c r="DH3" s="48">
        <f t="shared" ref="DH3:DH30" si="55">DD3+DE3-DF3-DG3</f>
        <v>0</v>
      </c>
      <c r="DI3" s="48">
        <v>468</v>
      </c>
      <c r="DJ3" s="48">
        <v>449</v>
      </c>
      <c r="DK3" s="48">
        <v>19</v>
      </c>
      <c r="DL3" s="48">
        <f t="shared" ref="DL3:DL30" si="56">DH3+DI3-DJ3-DK3</f>
        <v>0</v>
      </c>
      <c r="DM3" s="48">
        <v>515</v>
      </c>
      <c r="DN3" s="48">
        <v>461</v>
      </c>
      <c r="DO3" s="48">
        <v>54</v>
      </c>
      <c r="DP3" s="48">
        <f t="shared" ref="DP3:DP30" si="57">DL3+DM3-DN3-DO3</f>
        <v>0</v>
      </c>
      <c r="DQ3" s="48"/>
      <c r="DR3" s="48"/>
      <c r="DS3" s="48"/>
      <c r="DT3" s="48">
        <f t="shared" ref="DT3:DT30" si="58">DP3+DQ3-DR3-DS3</f>
        <v>0</v>
      </c>
      <c r="DU3" s="48"/>
      <c r="DV3" s="48"/>
      <c r="DW3" s="48"/>
      <c r="DX3" s="48">
        <f t="shared" ref="DX3:DX30" si="59">DT3+DU3-DV3-DW3</f>
        <v>0</v>
      </c>
      <c r="DY3" s="48">
        <f>DU3+DQ3+DM3+DI3+DE3+DA3+CW3+CS3+CO3+CK3+CG3+CC3+BY3+BU3+BQ3+BI3+BA3+AW3+AS3+AO3+AK3+AG3+AC3+Y3+U3+Q3+M3+I3+E3+BM3+BE3</f>
        <v>4506</v>
      </c>
      <c r="DZ3" s="48">
        <f t="shared" ref="DZ3:DZ30" si="60">G3+K3+S3+W3+AA3+AE3+AI3+AM3+AQ3+AU3+AY3+BC3+BG3+BK3+BO3+BS3+BW3+CA3+CE3+CI3+CM3+CQ3+CU3+CY3+DC3+DG3+DK3+DO3+DS3+DW3</f>
        <v>225</v>
      </c>
      <c r="EA3" s="14">
        <f>D3*'MASTER SHEET'!D3</f>
        <v>0</v>
      </c>
      <c r="EB3" s="14">
        <f>H3*'MASTER SHEET'!D3</f>
        <v>0</v>
      </c>
      <c r="EC3" s="14">
        <f>L3*'MASTER SHEET'!D3</f>
        <v>0</v>
      </c>
      <c r="ED3" s="14">
        <f>P3*'MASTER SHEET'!D3</f>
        <v>0</v>
      </c>
      <c r="EE3" s="14">
        <f>T3*'MASTER SHEET'!D3</f>
        <v>0</v>
      </c>
      <c r="EF3" s="14">
        <f>X3*'MASTER SHEET'!D3</f>
        <v>0</v>
      </c>
      <c r="EG3" s="14">
        <f>AB3*'MASTER SHEET'!D3</f>
        <v>0</v>
      </c>
      <c r="EH3" s="14">
        <f>AF3*'MASTER SHEET'!D3</f>
        <v>0</v>
      </c>
      <c r="EI3" s="14">
        <f>AJ3*'MASTER SHEET'!D3</f>
        <v>0</v>
      </c>
      <c r="EJ3" s="14">
        <f>AN3*'MASTER SHEET'!D3</f>
        <v>0</v>
      </c>
      <c r="EK3" s="14">
        <f>AR3*'MASTER SHEET'!D3</f>
        <v>0</v>
      </c>
      <c r="EL3" s="14">
        <f>AV3*'MASTER SHEET'!D3</f>
        <v>0</v>
      </c>
      <c r="EM3" s="14">
        <f>AZ3*'MASTER SHEET'!D3</f>
        <v>0</v>
      </c>
      <c r="EN3" s="14">
        <f>BD3*'MASTER SHEET'!D3</f>
        <v>0</v>
      </c>
      <c r="EO3" s="14">
        <f>BH3*'MASTER SHEET'!D3</f>
        <v>0</v>
      </c>
      <c r="EP3" s="14">
        <f>BL3*'MASTER SHEET'!D3</f>
        <v>0</v>
      </c>
      <c r="EQ3" s="14">
        <f>BP3*'MASTER SHEET'!D3</f>
        <v>0</v>
      </c>
      <c r="ER3" s="14">
        <f>BT3*'MASTER SHEET'!D3</f>
        <v>0</v>
      </c>
      <c r="ES3" s="14">
        <f>BX3*'MASTER SHEET'!D3</f>
        <v>0</v>
      </c>
      <c r="ET3" s="21">
        <f>CB3*'MASTER SHEET'!D3</f>
        <v>0</v>
      </c>
      <c r="EU3" s="14">
        <f>CF3*'MASTER SHEET'!D3</f>
        <v>0</v>
      </c>
      <c r="EV3" s="14">
        <f>CJ3*'MASTER SHEET'!D3</f>
        <v>0</v>
      </c>
      <c r="EW3" s="14">
        <f>CN3*'MASTER SHEET'!D3</f>
        <v>0</v>
      </c>
      <c r="EX3" s="14">
        <f>CR3*'MASTER SHEET'!D3</f>
        <v>0</v>
      </c>
      <c r="EY3" s="14">
        <f>CR3*'MASTER SHEET'!D3</f>
        <v>0</v>
      </c>
      <c r="EZ3" s="14">
        <f>CV3*'MASTER SHEET'!D3</f>
        <v>0</v>
      </c>
      <c r="FA3" s="14">
        <f>CZ3*'MASTER SHEET'!D3</f>
        <v>0</v>
      </c>
      <c r="FB3" s="14">
        <f>DD3*'MASTER SHEET'!D3</f>
        <v>0</v>
      </c>
    </row>
    <row r="4" spans="1:161" ht="18.75" customHeight="1" x14ac:dyDescent="0.25">
      <c r="A4" s="43">
        <f>'MASTER SHEET'!A4</f>
        <v>2</v>
      </c>
      <c r="B4" s="49" t="str">
        <f>'MASTER SHEET'!B4</f>
        <v>DISC</v>
      </c>
      <c r="C4" s="86">
        <f>'MASTER SHEET'!C4</f>
        <v>5009576</v>
      </c>
      <c r="D4" s="51"/>
      <c r="E4" s="48"/>
      <c r="F4" s="48"/>
      <c r="G4" s="48"/>
      <c r="H4" s="48">
        <f t="shared" si="30"/>
        <v>0</v>
      </c>
      <c r="I4" s="28"/>
      <c r="J4" s="28"/>
      <c r="K4" s="65"/>
      <c r="L4" s="48">
        <f t="shared" si="31"/>
        <v>0</v>
      </c>
      <c r="M4" s="48"/>
      <c r="N4" s="48"/>
      <c r="O4" s="48"/>
      <c r="P4" s="48">
        <f t="shared" si="32"/>
        <v>0</v>
      </c>
      <c r="Q4" s="48"/>
      <c r="R4" s="48"/>
      <c r="S4" s="48"/>
      <c r="T4" s="48">
        <f t="shared" si="33"/>
        <v>0</v>
      </c>
      <c r="U4" s="48">
        <v>0</v>
      </c>
      <c r="V4" s="48"/>
      <c r="W4" s="48"/>
      <c r="X4" s="48">
        <f t="shared" si="34"/>
        <v>0</v>
      </c>
      <c r="Y4" s="48"/>
      <c r="Z4" s="48"/>
      <c r="AA4" s="48"/>
      <c r="AB4" s="48">
        <f t="shared" si="35"/>
        <v>0</v>
      </c>
      <c r="AC4" s="48"/>
      <c r="AD4" s="48"/>
      <c r="AE4" s="48"/>
      <c r="AF4" s="48">
        <f t="shared" si="36"/>
        <v>0</v>
      </c>
      <c r="AG4" s="48"/>
      <c r="AH4" s="48"/>
      <c r="AI4" s="48"/>
      <c r="AJ4" s="48">
        <f t="shared" si="37"/>
        <v>0</v>
      </c>
      <c r="AK4" s="48"/>
      <c r="AL4" s="48"/>
      <c r="AM4" s="48"/>
      <c r="AN4" s="48">
        <f t="shared" si="38"/>
        <v>0</v>
      </c>
      <c r="AO4" s="48"/>
      <c r="AP4" s="48"/>
      <c r="AQ4" s="48"/>
      <c r="AR4" s="48">
        <f t="shared" si="39"/>
        <v>0</v>
      </c>
      <c r="AS4" s="48">
        <v>0</v>
      </c>
      <c r="AT4" s="48">
        <v>0</v>
      </c>
      <c r="AU4" s="48">
        <v>0</v>
      </c>
      <c r="AV4" s="48">
        <f t="shared" si="40"/>
        <v>0</v>
      </c>
      <c r="AW4" s="48">
        <v>0</v>
      </c>
      <c r="AX4" s="48">
        <v>0</v>
      </c>
      <c r="AY4" s="48">
        <v>0</v>
      </c>
      <c r="AZ4" s="48">
        <f t="shared" ref="AZ4:AZ30" si="61">AV4+AW4-AX4-AY4</f>
        <v>0</v>
      </c>
      <c r="BA4" s="48">
        <v>0</v>
      </c>
      <c r="BB4" s="48">
        <v>0</v>
      </c>
      <c r="BC4" s="48">
        <v>0</v>
      </c>
      <c r="BD4" s="48">
        <f t="shared" si="41"/>
        <v>0</v>
      </c>
      <c r="BE4" s="48">
        <v>0</v>
      </c>
      <c r="BF4" s="48">
        <v>0</v>
      </c>
      <c r="BG4" s="48">
        <v>0</v>
      </c>
      <c r="BH4" s="48">
        <f t="shared" si="42"/>
        <v>0</v>
      </c>
      <c r="BI4" s="48">
        <v>6496</v>
      </c>
      <c r="BJ4" s="48">
        <v>2892</v>
      </c>
      <c r="BK4" s="48">
        <v>4</v>
      </c>
      <c r="BL4" s="48">
        <f t="shared" si="43"/>
        <v>3600</v>
      </c>
      <c r="BM4" s="48">
        <v>5676</v>
      </c>
      <c r="BN4" s="48">
        <v>9270</v>
      </c>
      <c r="BO4" s="48">
        <v>6</v>
      </c>
      <c r="BP4" s="48">
        <f t="shared" si="44"/>
        <v>0</v>
      </c>
      <c r="BQ4" s="48"/>
      <c r="BR4" s="48"/>
      <c r="BS4" s="48"/>
      <c r="BT4" s="48">
        <f t="shared" si="45"/>
        <v>0</v>
      </c>
      <c r="BU4" s="48"/>
      <c r="BV4" s="48"/>
      <c r="BW4" s="48"/>
      <c r="BX4" s="48">
        <f t="shared" si="46"/>
        <v>0</v>
      </c>
      <c r="BY4" s="48"/>
      <c r="BZ4" s="48"/>
      <c r="CA4" s="48"/>
      <c r="CB4" s="48">
        <f t="shared" si="47"/>
        <v>0</v>
      </c>
      <c r="CC4" s="48"/>
      <c r="CD4" s="48"/>
      <c r="CE4" s="48"/>
      <c r="CF4" s="48">
        <f t="shared" si="48"/>
        <v>0</v>
      </c>
      <c r="CG4" s="48"/>
      <c r="CH4" s="48"/>
      <c r="CI4" s="48"/>
      <c r="CJ4" s="48">
        <f t="shared" si="49"/>
        <v>0</v>
      </c>
      <c r="CK4" s="48"/>
      <c r="CL4" s="48"/>
      <c r="CM4" s="48"/>
      <c r="CN4" s="48">
        <f t="shared" si="50"/>
        <v>0</v>
      </c>
      <c r="CO4" s="48"/>
      <c r="CP4" s="48"/>
      <c r="CQ4" s="48"/>
      <c r="CR4" s="48">
        <f t="shared" si="51"/>
        <v>0</v>
      </c>
      <c r="CS4" s="48"/>
      <c r="CT4" s="48"/>
      <c r="CU4" s="48"/>
      <c r="CV4" s="48">
        <f t="shared" si="52"/>
        <v>0</v>
      </c>
      <c r="CW4" s="48"/>
      <c r="CX4" s="48"/>
      <c r="CY4" s="48"/>
      <c r="CZ4" s="48">
        <f t="shared" si="53"/>
        <v>0</v>
      </c>
      <c r="DA4" s="48"/>
      <c r="DB4" s="48"/>
      <c r="DC4" s="48"/>
      <c r="DD4" s="48">
        <f t="shared" si="54"/>
        <v>0</v>
      </c>
      <c r="DE4" s="48"/>
      <c r="DF4" s="48"/>
      <c r="DG4" s="48"/>
      <c r="DH4" s="48">
        <f t="shared" si="55"/>
        <v>0</v>
      </c>
      <c r="DI4" s="48"/>
      <c r="DJ4" s="48"/>
      <c r="DK4" s="48"/>
      <c r="DL4" s="48">
        <f t="shared" si="56"/>
        <v>0</v>
      </c>
      <c r="DM4" s="48"/>
      <c r="DN4" s="48"/>
      <c r="DO4" s="48"/>
      <c r="DP4" s="48">
        <f t="shared" si="57"/>
        <v>0</v>
      </c>
      <c r="DQ4" s="48"/>
      <c r="DR4" s="48"/>
      <c r="DS4" s="48"/>
      <c r="DT4" s="48">
        <f t="shared" si="58"/>
        <v>0</v>
      </c>
      <c r="DU4" s="48"/>
      <c r="DV4" s="48"/>
      <c r="DW4" s="48"/>
      <c r="DX4" s="48">
        <f t="shared" si="59"/>
        <v>0</v>
      </c>
      <c r="DY4" s="48">
        <f t="shared" ref="DY4:DY18" si="62">DU4+DQ4+DM4+DI4+DE4+DA4+CW4+CS4+CO4+CK4+CG4+CC4+BY4+BU4+BQ4+BI4+BA4+AW4+AS4+AO4+AK4+AG4+AC4+Y4+U4+Q4+M4+I4+E4+BM4+BE4</f>
        <v>12172</v>
      </c>
      <c r="DZ4" s="48">
        <f t="shared" si="60"/>
        <v>10</v>
      </c>
      <c r="EA4" s="14">
        <f>D4*'MASTER SHEET'!D4</f>
        <v>0</v>
      </c>
      <c r="EB4" s="14">
        <f>H4*'MASTER SHEET'!D4</f>
        <v>0</v>
      </c>
      <c r="EC4" s="14">
        <f>L4*'MASTER SHEET'!D4</f>
        <v>0</v>
      </c>
      <c r="ED4" s="14">
        <f>P4*'MASTER SHEET'!D4</f>
        <v>0</v>
      </c>
      <c r="EE4" s="14">
        <f>T4*'MASTER SHEET'!D4</f>
        <v>0</v>
      </c>
      <c r="EF4" s="14">
        <f>X4*'MASTER SHEET'!D4</f>
        <v>0</v>
      </c>
      <c r="EG4" s="14">
        <f>AB4*'MASTER SHEET'!D4</f>
        <v>0</v>
      </c>
      <c r="EH4" s="14">
        <f>AF4*'MASTER SHEET'!D4</f>
        <v>0</v>
      </c>
      <c r="EI4" s="14">
        <f>AJ4*'MASTER SHEET'!D4</f>
        <v>0</v>
      </c>
      <c r="EJ4" s="14">
        <f>AN4*'MASTER SHEET'!D4</f>
        <v>0</v>
      </c>
      <c r="EK4" s="14">
        <f>AR4*'MASTER SHEET'!D4</f>
        <v>0</v>
      </c>
      <c r="EL4" s="14">
        <f>AV4*'MASTER SHEET'!D4</f>
        <v>0</v>
      </c>
      <c r="EM4" s="14">
        <f>AZ4*'MASTER SHEET'!D4</f>
        <v>0</v>
      </c>
      <c r="EN4" s="14">
        <f>BD4*'MASTER SHEET'!D4</f>
        <v>0</v>
      </c>
      <c r="EO4" s="14">
        <f>BH4*'MASTER SHEET'!D4</f>
        <v>0</v>
      </c>
      <c r="EP4" s="14">
        <f>BL4*'MASTER SHEET'!D4</f>
        <v>41688</v>
      </c>
      <c r="EQ4" s="14">
        <f>BP4*'MASTER SHEET'!D4</f>
        <v>0</v>
      </c>
      <c r="ER4" s="14">
        <f>BT4*'MASTER SHEET'!D4</f>
        <v>0</v>
      </c>
      <c r="ES4" s="14">
        <f>BX4*'MASTER SHEET'!D4</f>
        <v>0</v>
      </c>
      <c r="ET4" s="21">
        <f>CB4*'MASTER SHEET'!D4</f>
        <v>0</v>
      </c>
      <c r="EU4" s="14">
        <f>CF4*'MASTER SHEET'!D4</f>
        <v>0</v>
      </c>
      <c r="EV4" s="14">
        <f>CJ4*'MASTER SHEET'!D4</f>
        <v>0</v>
      </c>
      <c r="EW4" s="14">
        <f>CN4*'MASTER SHEET'!D4</f>
        <v>0</v>
      </c>
      <c r="EX4" s="14">
        <f>CR4*'MASTER SHEET'!D4</f>
        <v>0</v>
      </c>
      <c r="EY4" s="14">
        <f>CR4*'MASTER SHEET'!D4</f>
        <v>0</v>
      </c>
      <c r="EZ4" s="14">
        <f>CV4*'MASTER SHEET'!D4</f>
        <v>0</v>
      </c>
      <c r="FA4" s="14">
        <f>CZ4*'MASTER SHEET'!D4</f>
        <v>0</v>
      </c>
      <c r="FB4" s="14">
        <f>DD4*'MASTER SHEET'!D4</f>
        <v>0</v>
      </c>
    </row>
    <row r="5" spans="1:161" ht="18.75" customHeight="1" x14ac:dyDescent="0.25">
      <c r="A5" s="43">
        <f>'MASTER SHEET'!A5</f>
        <v>3</v>
      </c>
      <c r="B5" s="49" t="str">
        <f>'MASTER SHEET'!B5</f>
        <v>BASE HOUSING</v>
      </c>
      <c r="C5" s="86">
        <f>'MASTER SHEET'!C5</f>
        <v>5009579</v>
      </c>
      <c r="D5" s="51"/>
      <c r="E5" s="48"/>
      <c r="F5" s="48"/>
      <c r="G5" s="48"/>
      <c r="H5" s="48">
        <f t="shared" si="30"/>
        <v>0</v>
      </c>
      <c r="I5" s="28"/>
      <c r="J5" s="28"/>
      <c r="K5" s="65"/>
      <c r="L5" s="48">
        <f t="shared" si="31"/>
        <v>0</v>
      </c>
      <c r="M5" s="48"/>
      <c r="N5" s="48"/>
      <c r="O5" s="48"/>
      <c r="P5" s="48">
        <f t="shared" si="32"/>
        <v>0</v>
      </c>
      <c r="Q5" s="48"/>
      <c r="R5" s="48"/>
      <c r="S5" s="48"/>
      <c r="T5" s="48">
        <f t="shared" si="33"/>
        <v>0</v>
      </c>
      <c r="U5" s="48">
        <v>0</v>
      </c>
      <c r="V5" s="48"/>
      <c r="W5" s="48"/>
      <c r="X5" s="48">
        <f t="shared" si="34"/>
        <v>0</v>
      </c>
      <c r="Y5" s="48"/>
      <c r="Z5" s="48"/>
      <c r="AA5" s="48"/>
      <c r="AB5" s="48">
        <f t="shared" si="35"/>
        <v>0</v>
      </c>
      <c r="AC5" s="48"/>
      <c r="AD5" s="48"/>
      <c r="AE5" s="48"/>
      <c r="AF5" s="48">
        <f t="shared" si="36"/>
        <v>0</v>
      </c>
      <c r="AG5" s="48"/>
      <c r="AH5" s="48"/>
      <c r="AI5" s="48"/>
      <c r="AJ5" s="48">
        <f t="shared" si="37"/>
        <v>0</v>
      </c>
      <c r="AK5" s="48"/>
      <c r="AL5" s="48"/>
      <c r="AM5" s="48"/>
      <c r="AN5" s="48">
        <f t="shared" si="38"/>
        <v>0</v>
      </c>
      <c r="AO5" s="48"/>
      <c r="AP5" s="48"/>
      <c r="AQ5" s="48"/>
      <c r="AR5" s="48">
        <f t="shared" si="39"/>
        <v>0</v>
      </c>
      <c r="AS5" s="48"/>
      <c r="AT5" s="48"/>
      <c r="AU5" s="48"/>
      <c r="AV5" s="48">
        <f t="shared" si="40"/>
        <v>0</v>
      </c>
      <c r="AW5" s="48"/>
      <c r="AX5" s="48"/>
      <c r="AY5" s="48"/>
      <c r="AZ5" s="48">
        <f t="shared" si="61"/>
        <v>0</v>
      </c>
      <c r="BA5" s="48"/>
      <c r="BB5" s="48"/>
      <c r="BC5" s="48"/>
      <c r="BD5" s="48">
        <f t="shared" si="41"/>
        <v>0</v>
      </c>
      <c r="BE5" s="48"/>
      <c r="BF5" s="48"/>
      <c r="BG5" s="48"/>
      <c r="BH5" s="48">
        <f t="shared" si="42"/>
        <v>0</v>
      </c>
      <c r="BI5" s="48"/>
      <c r="BJ5" s="48"/>
      <c r="BK5" s="48"/>
      <c r="BL5" s="48">
        <f t="shared" si="43"/>
        <v>0</v>
      </c>
      <c r="BM5" s="48"/>
      <c r="BN5" s="48"/>
      <c r="BO5" s="48"/>
      <c r="BP5" s="48">
        <f t="shared" si="44"/>
        <v>0</v>
      </c>
      <c r="BQ5" s="48"/>
      <c r="BR5" s="48"/>
      <c r="BS5" s="48"/>
      <c r="BT5" s="48">
        <f t="shared" si="45"/>
        <v>0</v>
      </c>
      <c r="BU5" s="48"/>
      <c r="BV5" s="48"/>
      <c r="BW5" s="48"/>
      <c r="BX5" s="48">
        <f t="shared" si="46"/>
        <v>0</v>
      </c>
      <c r="BY5" s="48"/>
      <c r="BZ5" s="48"/>
      <c r="CA5" s="48"/>
      <c r="CB5" s="48">
        <f t="shared" si="47"/>
        <v>0</v>
      </c>
      <c r="CC5" s="48">
        <v>0</v>
      </c>
      <c r="CD5" s="48">
        <v>0</v>
      </c>
      <c r="CE5" s="48">
        <v>0</v>
      </c>
      <c r="CF5" s="48">
        <f t="shared" si="48"/>
        <v>0</v>
      </c>
      <c r="CG5" s="48">
        <v>0</v>
      </c>
      <c r="CH5" s="48">
        <v>0</v>
      </c>
      <c r="CI5" s="48">
        <v>0</v>
      </c>
      <c r="CJ5" s="48">
        <f t="shared" si="49"/>
        <v>0</v>
      </c>
      <c r="CK5" s="48"/>
      <c r="CL5" s="48"/>
      <c r="CM5" s="48"/>
      <c r="CN5" s="48">
        <f t="shared" si="50"/>
        <v>0</v>
      </c>
      <c r="CO5" s="48">
        <v>0</v>
      </c>
      <c r="CP5" s="48">
        <v>0</v>
      </c>
      <c r="CQ5" s="48">
        <v>0</v>
      </c>
      <c r="CR5" s="48">
        <f t="shared" si="51"/>
        <v>0</v>
      </c>
      <c r="CS5" s="48">
        <v>0</v>
      </c>
      <c r="CT5" s="48">
        <v>0</v>
      </c>
      <c r="CU5" s="48">
        <v>0</v>
      </c>
      <c r="CV5" s="48">
        <f t="shared" si="52"/>
        <v>0</v>
      </c>
      <c r="CW5" s="48">
        <v>0</v>
      </c>
      <c r="CX5" s="48">
        <v>0</v>
      </c>
      <c r="CY5" s="48">
        <v>0</v>
      </c>
      <c r="CZ5" s="48">
        <f t="shared" si="53"/>
        <v>0</v>
      </c>
      <c r="DA5" s="48"/>
      <c r="DB5" s="48"/>
      <c r="DC5" s="48"/>
      <c r="DD5" s="48">
        <f t="shared" si="54"/>
        <v>0</v>
      </c>
      <c r="DE5" s="48">
        <v>0</v>
      </c>
      <c r="DF5" s="48">
        <v>0</v>
      </c>
      <c r="DG5" s="48">
        <v>0</v>
      </c>
      <c r="DH5" s="48">
        <f t="shared" si="55"/>
        <v>0</v>
      </c>
      <c r="DI5" s="48">
        <v>0</v>
      </c>
      <c r="DJ5" s="48">
        <v>0</v>
      </c>
      <c r="DK5" s="48">
        <v>0</v>
      </c>
      <c r="DL5" s="48">
        <f t="shared" si="56"/>
        <v>0</v>
      </c>
      <c r="DM5" s="48">
        <v>0</v>
      </c>
      <c r="DN5" s="48">
        <v>0</v>
      </c>
      <c r="DO5" s="48">
        <v>0</v>
      </c>
      <c r="DP5" s="48">
        <f t="shared" si="57"/>
        <v>0</v>
      </c>
      <c r="DQ5" s="48"/>
      <c r="DR5" s="48"/>
      <c r="DS5" s="48"/>
      <c r="DT5" s="48">
        <f t="shared" si="58"/>
        <v>0</v>
      </c>
      <c r="DU5" s="48"/>
      <c r="DV5" s="48"/>
      <c r="DW5" s="48"/>
      <c r="DX5" s="48">
        <f t="shared" si="59"/>
        <v>0</v>
      </c>
      <c r="DY5" s="48">
        <f t="shared" si="62"/>
        <v>0</v>
      </c>
      <c r="DZ5" s="48">
        <f t="shared" si="60"/>
        <v>0</v>
      </c>
      <c r="EA5" s="14">
        <f>D5*'MASTER SHEET'!D5</f>
        <v>0</v>
      </c>
      <c r="EB5" s="14">
        <f>H5*'MASTER SHEET'!D5</f>
        <v>0</v>
      </c>
      <c r="EC5" s="14">
        <f>L5*'MASTER SHEET'!D5</f>
        <v>0</v>
      </c>
      <c r="ED5" s="14">
        <f>P5*'MASTER SHEET'!D5</f>
        <v>0</v>
      </c>
      <c r="EE5" s="14">
        <f>T5*'MASTER SHEET'!D5</f>
        <v>0</v>
      </c>
      <c r="EF5" s="14">
        <f>X5*'MASTER SHEET'!D5</f>
        <v>0</v>
      </c>
      <c r="EG5" s="14">
        <f>AB5*'MASTER SHEET'!D5</f>
        <v>0</v>
      </c>
      <c r="EH5" s="14">
        <f>AF5*'MASTER SHEET'!D5</f>
        <v>0</v>
      </c>
      <c r="EI5" s="14">
        <f>AJ5*'MASTER SHEET'!D5</f>
        <v>0</v>
      </c>
      <c r="EJ5" s="14">
        <f>AN5*'MASTER SHEET'!D5</f>
        <v>0</v>
      </c>
      <c r="EK5" s="14">
        <f>AR5*'MASTER SHEET'!D5</f>
        <v>0</v>
      </c>
      <c r="EL5" s="14">
        <f>AV5*'MASTER SHEET'!D5</f>
        <v>0</v>
      </c>
      <c r="EM5" s="14">
        <f>AZ5*'MASTER SHEET'!D5</f>
        <v>0</v>
      </c>
      <c r="EN5" s="14">
        <f>BD5*'MASTER SHEET'!D5</f>
        <v>0</v>
      </c>
      <c r="EO5" s="14">
        <f>BH5*'MASTER SHEET'!D5</f>
        <v>0</v>
      </c>
      <c r="EP5" s="14">
        <f>BL5*'MASTER SHEET'!D5</f>
        <v>0</v>
      </c>
      <c r="EQ5" s="14">
        <f>BP5*'MASTER SHEET'!D5</f>
        <v>0</v>
      </c>
      <c r="ER5" s="14">
        <f>BT5*'MASTER SHEET'!D5</f>
        <v>0</v>
      </c>
      <c r="ES5" s="14">
        <f>BX5*'MASTER SHEET'!D5</f>
        <v>0</v>
      </c>
      <c r="ET5" s="21">
        <f>CB5*'MASTER SHEET'!D5</f>
        <v>0</v>
      </c>
      <c r="EU5" s="14">
        <f>CF5*'MASTER SHEET'!D5</f>
        <v>0</v>
      </c>
      <c r="EV5" s="14">
        <f>CJ5*'MASTER SHEET'!D5</f>
        <v>0</v>
      </c>
      <c r="EW5" s="14">
        <f>CN5*'MASTER SHEET'!D5</f>
        <v>0</v>
      </c>
      <c r="EX5" s="14">
        <f>CR5*'MASTER SHEET'!D5</f>
        <v>0</v>
      </c>
      <c r="EY5" s="14">
        <f>CR5*'MASTER SHEET'!D5</f>
        <v>0</v>
      </c>
      <c r="EZ5" s="14">
        <f>CV5*'MASTER SHEET'!D5</f>
        <v>0</v>
      </c>
      <c r="FA5" s="14">
        <f>CZ5*'MASTER SHEET'!D5</f>
        <v>0</v>
      </c>
      <c r="FB5" s="14">
        <f>DD5*'MASTER SHEET'!D5</f>
        <v>0</v>
      </c>
    </row>
    <row r="6" spans="1:161" ht="18.75" customHeight="1" x14ac:dyDescent="0.25">
      <c r="A6" s="43">
        <f>'MASTER SHEET'!A6</f>
        <v>4</v>
      </c>
      <c r="B6" s="49" t="str">
        <f>'MASTER SHEET'!B6</f>
        <v>CDR CAP</v>
      </c>
      <c r="C6" s="86">
        <f>'MASTER SHEET'!C6</f>
        <v>5009583</v>
      </c>
      <c r="D6" s="51"/>
      <c r="E6" s="48"/>
      <c r="F6" s="48"/>
      <c r="G6" s="48"/>
      <c r="H6" s="48">
        <f t="shared" si="30"/>
        <v>0</v>
      </c>
      <c r="I6" s="28"/>
      <c r="J6" s="28"/>
      <c r="K6" s="65"/>
      <c r="L6" s="48">
        <f t="shared" si="31"/>
        <v>0</v>
      </c>
      <c r="M6" s="48"/>
      <c r="N6" s="48"/>
      <c r="O6" s="48"/>
      <c r="P6" s="48">
        <f t="shared" si="32"/>
        <v>0</v>
      </c>
      <c r="Q6" s="48"/>
      <c r="R6" s="48"/>
      <c r="S6" s="48"/>
      <c r="T6" s="48">
        <f t="shared" si="33"/>
        <v>0</v>
      </c>
      <c r="U6" s="48">
        <v>0</v>
      </c>
      <c r="V6" s="48"/>
      <c r="W6" s="48"/>
      <c r="X6" s="48">
        <f t="shared" si="34"/>
        <v>0</v>
      </c>
      <c r="Y6" s="48"/>
      <c r="Z6" s="48"/>
      <c r="AA6" s="48"/>
      <c r="AB6" s="48">
        <f t="shared" si="35"/>
        <v>0</v>
      </c>
      <c r="AC6" s="48"/>
      <c r="AD6" s="48"/>
      <c r="AE6" s="48"/>
      <c r="AF6" s="48">
        <f t="shared" si="36"/>
        <v>0</v>
      </c>
      <c r="AG6" s="48"/>
      <c r="AH6" s="48"/>
      <c r="AI6" s="48"/>
      <c r="AJ6" s="48">
        <f t="shared" si="37"/>
        <v>0</v>
      </c>
      <c r="AK6" s="48"/>
      <c r="AL6" s="48"/>
      <c r="AM6" s="48"/>
      <c r="AN6" s="48">
        <f t="shared" si="38"/>
        <v>0</v>
      </c>
      <c r="AO6" s="48"/>
      <c r="AP6" s="48"/>
      <c r="AQ6" s="48"/>
      <c r="AR6" s="48">
        <f t="shared" si="39"/>
        <v>0</v>
      </c>
      <c r="AS6" s="48"/>
      <c r="AT6" s="48"/>
      <c r="AU6" s="48"/>
      <c r="AV6" s="48">
        <f t="shared" si="40"/>
        <v>0</v>
      </c>
      <c r="AW6" s="48"/>
      <c r="AX6" s="48"/>
      <c r="AY6" s="48"/>
      <c r="AZ6" s="48">
        <f t="shared" si="61"/>
        <v>0</v>
      </c>
      <c r="BA6" s="48"/>
      <c r="BB6" s="48"/>
      <c r="BC6" s="48"/>
      <c r="BD6" s="48">
        <f t="shared" si="41"/>
        <v>0</v>
      </c>
      <c r="BE6" s="48"/>
      <c r="BF6" s="48"/>
      <c r="BG6" s="48"/>
      <c r="BH6" s="48">
        <f t="shared" si="42"/>
        <v>0</v>
      </c>
      <c r="BI6" s="48"/>
      <c r="BJ6" s="48"/>
      <c r="BK6" s="48"/>
      <c r="BL6" s="48">
        <f t="shared" si="43"/>
        <v>0</v>
      </c>
      <c r="BM6" s="48"/>
      <c r="BN6" s="48"/>
      <c r="BO6" s="48"/>
      <c r="BP6" s="48">
        <f t="shared" si="44"/>
        <v>0</v>
      </c>
      <c r="BQ6" s="48">
        <v>0</v>
      </c>
      <c r="BR6" s="48">
        <v>0</v>
      </c>
      <c r="BS6" s="48">
        <v>0</v>
      </c>
      <c r="BT6" s="48">
        <f t="shared" si="45"/>
        <v>0</v>
      </c>
      <c r="BU6" s="48">
        <v>0</v>
      </c>
      <c r="BV6" s="48">
        <v>0</v>
      </c>
      <c r="BW6" s="48">
        <v>0</v>
      </c>
      <c r="BX6" s="48">
        <f t="shared" si="46"/>
        <v>0</v>
      </c>
      <c r="BY6" s="48"/>
      <c r="BZ6" s="48"/>
      <c r="CA6" s="48"/>
      <c r="CB6" s="48">
        <f t="shared" si="47"/>
        <v>0</v>
      </c>
      <c r="CC6" s="48">
        <v>0</v>
      </c>
      <c r="CD6" s="48">
        <v>0</v>
      </c>
      <c r="CE6" s="48">
        <v>0</v>
      </c>
      <c r="CF6" s="48">
        <f t="shared" si="48"/>
        <v>0</v>
      </c>
      <c r="CG6" s="48">
        <v>0</v>
      </c>
      <c r="CH6" s="48">
        <v>0</v>
      </c>
      <c r="CI6" s="48">
        <v>0</v>
      </c>
      <c r="CJ6" s="48">
        <f t="shared" si="49"/>
        <v>0</v>
      </c>
      <c r="CK6" s="48"/>
      <c r="CL6" s="48"/>
      <c r="CM6" s="48"/>
      <c r="CN6" s="48">
        <f t="shared" si="50"/>
        <v>0</v>
      </c>
      <c r="CO6" s="48">
        <v>2760</v>
      </c>
      <c r="CP6" s="48">
        <v>2750</v>
      </c>
      <c r="CQ6" s="48">
        <v>10</v>
      </c>
      <c r="CR6" s="48">
        <f t="shared" si="51"/>
        <v>0</v>
      </c>
      <c r="CS6" s="48">
        <v>3504</v>
      </c>
      <c r="CT6" s="48">
        <v>3499</v>
      </c>
      <c r="CU6" s="48">
        <v>5</v>
      </c>
      <c r="CV6" s="48">
        <f t="shared" si="52"/>
        <v>0</v>
      </c>
      <c r="CW6" s="48">
        <v>0</v>
      </c>
      <c r="CX6" s="48">
        <v>0</v>
      </c>
      <c r="CY6" s="48">
        <v>0</v>
      </c>
      <c r="CZ6" s="48">
        <f t="shared" si="53"/>
        <v>0</v>
      </c>
      <c r="DA6" s="48"/>
      <c r="DB6" s="48"/>
      <c r="DC6" s="48"/>
      <c r="DD6" s="48">
        <f t="shared" si="54"/>
        <v>0</v>
      </c>
      <c r="DE6" s="48"/>
      <c r="DF6" s="48"/>
      <c r="DG6" s="48"/>
      <c r="DH6" s="48">
        <f t="shared" si="55"/>
        <v>0</v>
      </c>
      <c r="DI6" s="48"/>
      <c r="DJ6" s="48"/>
      <c r="DK6" s="48"/>
      <c r="DL6" s="48">
        <f t="shared" si="56"/>
        <v>0</v>
      </c>
      <c r="DM6" s="48"/>
      <c r="DN6" s="48"/>
      <c r="DO6" s="48"/>
      <c r="DP6" s="48">
        <f t="shared" si="57"/>
        <v>0</v>
      </c>
      <c r="DQ6" s="48"/>
      <c r="DR6" s="48"/>
      <c r="DS6" s="48"/>
      <c r="DT6" s="48">
        <f t="shared" si="58"/>
        <v>0</v>
      </c>
      <c r="DU6" s="48"/>
      <c r="DV6" s="48"/>
      <c r="DW6" s="48"/>
      <c r="DX6" s="48">
        <f t="shared" si="59"/>
        <v>0</v>
      </c>
      <c r="DY6" s="48">
        <f t="shared" si="62"/>
        <v>6264</v>
      </c>
      <c r="DZ6" s="48">
        <f t="shared" si="60"/>
        <v>15</v>
      </c>
      <c r="EA6" s="14">
        <f>D6*'MASTER SHEET'!D6</f>
        <v>0</v>
      </c>
      <c r="EB6" s="14">
        <f>H6*'MASTER SHEET'!D6</f>
        <v>0</v>
      </c>
      <c r="EC6" s="14">
        <f>L6*'MASTER SHEET'!D6</f>
        <v>0</v>
      </c>
      <c r="ED6" s="14">
        <f>P6*'MASTER SHEET'!D6</f>
        <v>0</v>
      </c>
      <c r="EE6" s="14">
        <f>T6*'MASTER SHEET'!D6</f>
        <v>0</v>
      </c>
      <c r="EF6" s="14">
        <f>X6*'MASTER SHEET'!D6</f>
        <v>0</v>
      </c>
      <c r="EG6" s="14">
        <f>AB6*'MASTER SHEET'!D6</f>
        <v>0</v>
      </c>
      <c r="EH6" s="14">
        <f>AF6*'MASTER SHEET'!D6</f>
        <v>0</v>
      </c>
      <c r="EI6" s="14">
        <f>AJ6*'MASTER SHEET'!D6</f>
        <v>0</v>
      </c>
      <c r="EJ6" s="14">
        <f>AN6*'MASTER SHEET'!D6</f>
        <v>0</v>
      </c>
      <c r="EK6" s="14">
        <f>AR6*'MASTER SHEET'!D6</f>
        <v>0</v>
      </c>
      <c r="EL6" s="14">
        <f>AV6*'MASTER SHEET'!D6</f>
        <v>0</v>
      </c>
      <c r="EM6" s="14">
        <f>AZ6*'MASTER SHEET'!D6</f>
        <v>0</v>
      </c>
      <c r="EN6" s="14">
        <f>BD6*'MASTER SHEET'!D6</f>
        <v>0</v>
      </c>
      <c r="EO6" s="14">
        <f>BH6*'MASTER SHEET'!D6</f>
        <v>0</v>
      </c>
      <c r="EP6" s="14">
        <f>BL6*'MASTER SHEET'!D6</f>
        <v>0</v>
      </c>
      <c r="EQ6" s="14">
        <f>BP6*'MASTER SHEET'!D6</f>
        <v>0</v>
      </c>
      <c r="ER6" s="14">
        <f>BT6*'MASTER SHEET'!D6</f>
        <v>0</v>
      </c>
      <c r="ES6" s="14">
        <f>BX6*'MASTER SHEET'!D6</f>
        <v>0</v>
      </c>
      <c r="ET6" s="21">
        <f>CB6*'MASTER SHEET'!D6</f>
        <v>0</v>
      </c>
      <c r="EU6" s="14">
        <f>CF6*'MASTER SHEET'!D6</f>
        <v>0</v>
      </c>
      <c r="EV6" s="14">
        <f>CJ6*'MASTER SHEET'!D6</f>
        <v>0</v>
      </c>
      <c r="EW6" s="14">
        <f>CN6*'MASTER SHEET'!D6</f>
        <v>0</v>
      </c>
      <c r="EX6" s="14">
        <f>CR6*'MASTER SHEET'!D6</f>
        <v>0</v>
      </c>
      <c r="EY6" s="14">
        <f>CR6*'MASTER SHEET'!D6</f>
        <v>0</v>
      </c>
      <c r="EZ6" s="14">
        <f>CV6*'MASTER SHEET'!D6</f>
        <v>0</v>
      </c>
      <c r="FA6" s="14">
        <f>CZ6*'MASTER SHEET'!D6</f>
        <v>0</v>
      </c>
      <c r="FB6" s="14">
        <f>DD6*'MASTER SHEET'!D6</f>
        <v>0</v>
      </c>
    </row>
    <row r="7" spans="1:161" ht="18.75" customHeight="1" x14ac:dyDescent="0.25">
      <c r="A7" s="43">
        <f>'MASTER SHEET'!A7</f>
        <v>5</v>
      </c>
      <c r="B7" s="49" t="str">
        <f>'MASTER SHEET'!B7</f>
        <v>ENDPLATE</v>
      </c>
      <c r="C7" s="86">
        <f>'MASTER SHEET'!C7</f>
        <v>5011413</v>
      </c>
      <c r="D7" s="51"/>
      <c r="E7" s="48"/>
      <c r="F7" s="48"/>
      <c r="G7" s="48"/>
      <c r="H7" s="48">
        <f t="shared" si="30"/>
        <v>0</v>
      </c>
      <c r="I7" s="28"/>
      <c r="J7" s="28"/>
      <c r="K7" s="65"/>
      <c r="L7" s="48">
        <f t="shared" si="31"/>
        <v>0</v>
      </c>
      <c r="M7" s="48"/>
      <c r="N7" s="48"/>
      <c r="O7" s="48"/>
      <c r="P7" s="48">
        <f t="shared" si="32"/>
        <v>0</v>
      </c>
      <c r="Q7" s="48"/>
      <c r="R7" s="48"/>
      <c r="S7" s="48"/>
      <c r="T7" s="48">
        <f t="shared" si="33"/>
        <v>0</v>
      </c>
      <c r="U7" s="48">
        <v>0</v>
      </c>
      <c r="V7" s="48"/>
      <c r="W7" s="48"/>
      <c r="X7" s="48">
        <f t="shared" si="34"/>
        <v>0</v>
      </c>
      <c r="Y7" s="48"/>
      <c r="Z7" s="48"/>
      <c r="AA7" s="48"/>
      <c r="AB7" s="48">
        <f t="shared" si="35"/>
        <v>0</v>
      </c>
      <c r="AC7" s="48"/>
      <c r="AD7" s="48"/>
      <c r="AE7" s="48"/>
      <c r="AF7" s="48">
        <f t="shared" si="36"/>
        <v>0</v>
      </c>
      <c r="AG7" s="48"/>
      <c r="AH7" s="48"/>
      <c r="AI7" s="48"/>
      <c r="AJ7" s="48">
        <f t="shared" si="37"/>
        <v>0</v>
      </c>
      <c r="AK7" s="48"/>
      <c r="AL7" s="48"/>
      <c r="AM7" s="48"/>
      <c r="AN7" s="48">
        <f t="shared" si="38"/>
        <v>0</v>
      </c>
      <c r="AO7" s="48"/>
      <c r="AP7" s="48"/>
      <c r="AQ7" s="48"/>
      <c r="AR7" s="48">
        <f t="shared" si="39"/>
        <v>0</v>
      </c>
      <c r="AS7" s="48"/>
      <c r="AT7" s="48"/>
      <c r="AU7" s="48"/>
      <c r="AV7" s="48">
        <f t="shared" si="40"/>
        <v>0</v>
      </c>
      <c r="AW7" s="48"/>
      <c r="AX7" s="48"/>
      <c r="AY7" s="48"/>
      <c r="AZ7" s="48">
        <f t="shared" si="61"/>
        <v>0</v>
      </c>
      <c r="BA7" s="48"/>
      <c r="BB7" s="48"/>
      <c r="BC7" s="48"/>
      <c r="BD7" s="48">
        <f t="shared" si="41"/>
        <v>0</v>
      </c>
      <c r="BE7" s="48"/>
      <c r="BF7" s="48"/>
      <c r="BG7" s="48"/>
      <c r="BH7" s="48">
        <f t="shared" si="42"/>
        <v>0</v>
      </c>
      <c r="BI7" s="48"/>
      <c r="BJ7" s="48"/>
      <c r="BK7" s="48"/>
      <c r="BL7" s="48">
        <f t="shared" si="43"/>
        <v>0</v>
      </c>
      <c r="BM7" s="48"/>
      <c r="BN7" s="48"/>
      <c r="BO7" s="48"/>
      <c r="BP7" s="48">
        <f t="shared" si="44"/>
        <v>0</v>
      </c>
      <c r="BQ7" s="48"/>
      <c r="BR7" s="48"/>
      <c r="BS7" s="48"/>
      <c r="BT7" s="48">
        <f t="shared" si="45"/>
        <v>0</v>
      </c>
      <c r="BU7" s="48"/>
      <c r="BV7" s="48"/>
      <c r="BW7" s="48"/>
      <c r="BX7" s="48">
        <f t="shared" si="46"/>
        <v>0</v>
      </c>
      <c r="BY7" s="48"/>
      <c r="BZ7" s="48"/>
      <c r="CA7" s="48"/>
      <c r="CB7" s="48">
        <f t="shared" si="47"/>
        <v>0</v>
      </c>
      <c r="CC7" s="48"/>
      <c r="CD7" s="48"/>
      <c r="CE7" s="48"/>
      <c r="CF7" s="48">
        <f t="shared" si="48"/>
        <v>0</v>
      </c>
      <c r="CG7" s="48"/>
      <c r="CH7" s="48"/>
      <c r="CI7" s="48"/>
      <c r="CJ7" s="48">
        <f t="shared" si="49"/>
        <v>0</v>
      </c>
      <c r="CK7" s="48"/>
      <c r="CL7" s="48"/>
      <c r="CM7" s="48"/>
      <c r="CN7" s="48">
        <f t="shared" si="50"/>
        <v>0</v>
      </c>
      <c r="CO7" s="48"/>
      <c r="CP7" s="48"/>
      <c r="CQ7" s="48"/>
      <c r="CR7" s="48">
        <f t="shared" si="51"/>
        <v>0</v>
      </c>
      <c r="CS7" s="48"/>
      <c r="CT7" s="48"/>
      <c r="CU7" s="48"/>
      <c r="CV7" s="48">
        <f t="shared" si="52"/>
        <v>0</v>
      </c>
      <c r="CW7" s="48"/>
      <c r="CX7" s="48"/>
      <c r="CY7" s="48"/>
      <c r="CZ7" s="48">
        <f t="shared" si="53"/>
        <v>0</v>
      </c>
      <c r="DA7" s="48"/>
      <c r="DB7" s="48"/>
      <c r="DC7" s="48"/>
      <c r="DD7" s="48">
        <f t="shared" si="54"/>
        <v>0</v>
      </c>
      <c r="DE7" s="48"/>
      <c r="DF7" s="48"/>
      <c r="DG7" s="48"/>
      <c r="DH7" s="48">
        <f t="shared" si="55"/>
        <v>0</v>
      </c>
      <c r="DI7" s="48"/>
      <c r="DJ7" s="48"/>
      <c r="DK7" s="48"/>
      <c r="DL7" s="48">
        <f t="shared" si="56"/>
        <v>0</v>
      </c>
      <c r="DM7" s="48"/>
      <c r="DN7" s="48"/>
      <c r="DO7" s="48"/>
      <c r="DP7" s="48">
        <f t="shared" si="57"/>
        <v>0</v>
      </c>
      <c r="DQ7" s="48"/>
      <c r="DR7" s="48"/>
      <c r="DS7" s="48"/>
      <c r="DT7" s="48">
        <f t="shared" si="58"/>
        <v>0</v>
      </c>
      <c r="DU7" s="48"/>
      <c r="DV7" s="48"/>
      <c r="DW7" s="48"/>
      <c r="DX7" s="48">
        <f t="shared" si="59"/>
        <v>0</v>
      </c>
      <c r="DY7" s="48">
        <f t="shared" si="62"/>
        <v>0</v>
      </c>
      <c r="DZ7" s="48">
        <f t="shared" si="60"/>
        <v>0</v>
      </c>
      <c r="EA7" s="14">
        <f>D7*'MASTER SHEET'!D7</f>
        <v>0</v>
      </c>
      <c r="EB7" s="14">
        <f>H7*'MASTER SHEET'!D7</f>
        <v>0</v>
      </c>
      <c r="EC7" s="14">
        <f>L7*'MASTER SHEET'!D7</f>
        <v>0</v>
      </c>
      <c r="ED7" s="14">
        <f>P7*'MASTER SHEET'!D7</f>
        <v>0</v>
      </c>
      <c r="EE7" s="14">
        <f>T7*'MASTER SHEET'!D7</f>
        <v>0</v>
      </c>
      <c r="EF7" s="14">
        <f>X7*'MASTER SHEET'!D7</f>
        <v>0</v>
      </c>
      <c r="EG7" s="14">
        <f>AB7*'MASTER SHEET'!D7</f>
        <v>0</v>
      </c>
      <c r="EH7" s="14">
        <f>AF7*'MASTER SHEET'!D7</f>
        <v>0</v>
      </c>
      <c r="EI7" s="14">
        <f>AJ7*'MASTER SHEET'!D7</f>
        <v>0</v>
      </c>
      <c r="EJ7" s="14">
        <f>AN7*'MASTER SHEET'!D7</f>
        <v>0</v>
      </c>
      <c r="EK7" s="14">
        <f>AR7*'MASTER SHEET'!D7</f>
        <v>0</v>
      </c>
      <c r="EL7" s="14">
        <f>AV7*'MASTER SHEET'!D7</f>
        <v>0</v>
      </c>
      <c r="EM7" s="14">
        <f>AZ7*'MASTER SHEET'!D7</f>
        <v>0</v>
      </c>
      <c r="EN7" s="14">
        <f>BD7*'MASTER SHEET'!D7</f>
        <v>0</v>
      </c>
      <c r="EO7" s="14">
        <f>BH7*'MASTER SHEET'!D7</f>
        <v>0</v>
      </c>
      <c r="EP7" s="14">
        <f>BL7*'MASTER SHEET'!D7</f>
        <v>0</v>
      </c>
      <c r="EQ7" s="14">
        <f>BP7*'MASTER SHEET'!D7</f>
        <v>0</v>
      </c>
      <c r="ER7" s="14">
        <f>BT7*'MASTER SHEET'!D7</f>
        <v>0</v>
      </c>
      <c r="ES7" s="14">
        <f>BX7*'MASTER SHEET'!D7</f>
        <v>0</v>
      </c>
      <c r="ET7" s="21">
        <f>CB7*'MASTER SHEET'!D7</f>
        <v>0</v>
      </c>
      <c r="EU7" s="14">
        <f>CF7*'MASTER SHEET'!D7</f>
        <v>0</v>
      </c>
      <c r="EV7" s="14">
        <f>CJ7*'MASTER SHEET'!D7</f>
        <v>0</v>
      </c>
      <c r="EW7" s="14">
        <f>CN7*'MASTER SHEET'!D7</f>
        <v>0</v>
      </c>
      <c r="EX7" s="14">
        <f>CR7*'MASTER SHEET'!D7</f>
        <v>0</v>
      </c>
      <c r="EY7" s="14">
        <f>CR7*'MASTER SHEET'!D7</f>
        <v>0</v>
      </c>
      <c r="EZ7" s="14">
        <f>CV7*'MASTER SHEET'!D7</f>
        <v>0</v>
      </c>
      <c r="FA7" s="14">
        <f>CZ7*'MASTER SHEET'!D7</f>
        <v>0</v>
      </c>
      <c r="FB7" s="14">
        <f>DD7*'MASTER SHEET'!D7</f>
        <v>0</v>
      </c>
    </row>
    <row r="8" spans="1:161" ht="18.75" customHeight="1" x14ac:dyDescent="0.25">
      <c r="A8" s="43">
        <f>'MASTER SHEET'!A8</f>
        <v>6</v>
      </c>
      <c r="B8" s="49" t="str">
        <f>'MASTER SHEET'!B8</f>
        <v>END PLATE PLASTIC</v>
      </c>
      <c r="C8" s="86">
        <f>'MASTER SHEET'!C8</f>
        <v>5011769</v>
      </c>
      <c r="D8" s="51"/>
      <c r="E8" s="48"/>
      <c r="F8" s="48"/>
      <c r="G8" s="48"/>
      <c r="H8" s="48">
        <f t="shared" si="30"/>
        <v>0</v>
      </c>
      <c r="I8" s="28"/>
      <c r="J8" s="28"/>
      <c r="K8" s="65"/>
      <c r="L8" s="48">
        <f t="shared" si="31"/>
        <v>0</v>
      </c>
      <c r="M8" s="48"/>
      <c r="N8" s="48"/>
      <c r="O8" s="48"/>
      <c r="P8" s="48">
        <f t="shared" si="32"/>
        <v>0</v>
      </c>
      <c r="Q8" s="48"/>
      <c r="R8" s="48"/>
      <c r="S8" s="48"/>
      <c r="T8" s="48">
        <f t="shared" si="33"/>
        <v>0</v>
      </c>
      <c r="U8" s="48">
        <v>0</v>
      </c>
      <c r="V8" s="48"/>
      <c r="W8" s="48"/>
      <c r="X8" s="48">
        <f t="shared" si="34"/>
        <v>0</v>
      </c>
      <c r="Y8" s="48"/>
      <c r="Z8" s="48"/>
      <c r="AA8" s="48"/>
      <c r="AB8" s="48">
        <f t="shared" si="35"/>
        <v>0</v>
      </c>
      <c r="AC8" s="48"/>
      <c r="AD8" s="48"/>
      <c r="AE8" s="48"/>
      <c r="AF8" s="48">
        <f t="shared" si="36"/>
        <v>0</v>
      </c>
      <c r="AG8" s="48"/>
      <c r="AH8" s="48"/>
      <c r="AI8" s="48"/>
      <c r="AJ8" s="48">
        <f t="shared" si="37"/>
        <v>0</v>
      </c>
      <c r="AK8" s="48"/>
      <c r="AL8" s="48"/>
      <c r="AM8" s="48"/>
      <c r="AN8" s="48">
        <f t="shared" si="38"/>
        <v>0</v>
      </c>
      <c r="AO8" s="48"/>
      <c r="AP8" s="48"/>
      <c r="AQ8" s="48"/>
      <c r="AR8" s="48">
        <f t="shared" si="39"/>
        <v>0</v>
      </c>
      <c r="AS8" s="48"/>
      <c r="AT8" s="48"/>
      <c r="AU8" s="48"/>
      <c r="AV8" s="48">
        <f t="shared" si="40"/>
        <v>0</v>
      </c>
      <c r="AW8" s="48"/>
      <c r="AX8" s="48"/>
      <c r="AY8" s="48"/>
      <c r="AZ8" s="48">
        <f t="shared" si="61"/>
        <v>0</v>
      </c>
      <c r="BA8" s="48"/>
      <c r="BB8" s="48"/>
      <c r="BC8" s="48"/>
      <c r="BD8" s="48">
        <f t="shared" si="41"/>
        <v>0</v>
      </c>
      <c r="BE8" s="48"/>
      <c r="BF8" s="48"/>
      <c r="BG8" s="48"/>
      <c r="BH8" s="48">
        <f t="shared" si="42"/>
        <v>0</v>
      </c>
      <c r="BI8" s="48"/>
      <c r="BJ8" s="48"/>
      <c r="BK8" s="48"/>
      <c r="BL8" s="48">
        <f t="shared" si="43"/>
        <v>0</v>
      </c>
      <c r="BM8" s="48"/>
      <c r="BN8" s="48"/>
      <c r="BO8" s="48"/>
      <c r="BP8" s="48">
        <f t="shared" si="44"/>
        <v>0</v>
      </c>
      <c r="BQ8" s="48"/>
      <c r="BR8" s="48"/>
      <c r="BS8" s="48"/>
      <c r="BT8" s="48">
        <f t="shared" si="45"/>
        <v>0</v>
      </c>
      <c r="BU8" s="48"/>
      <c r="BV8" s="48"/>
      <c r="BW8" s="48"/>
      <c r="BX8" s="48">
        <f t="shared" si="46"/>
        <v>0</v>
      </c>
      <c r="BY8" s="48"/>
      <c r="BZ8" s="48"/>
      <c r="CA8" s="48"/>
      <c r="CB8" s="48">
        <f t="shared" si="47"/>
        <v>0</v>
      </c>
      <c r="CC8" s="48"/>
      <c r="CD8" s="48"/>
      <c r="CE8" s="48"/>
      <c r="CF8" s="48">
        <f t="shared" si="48"/>
        <v>0</v>
      </c>
      <c r="CG8" s="48"/>
      <c r="CH8" s="48"/>
      <c r="CI8" s="48"/>
      <c r="CJ8" s="48">
        <f t="shared" si="49"/>
        <v>0</v>
      </c>
      <c r="CK8" s="48"/>
      <c r="CL8" s="48"/>
      <c r="CM8" s="48"/>
      <c r="CN8" s="48">
        <f t="shared" si="50"/>
        <v>0</v>
      </c>
      <c r="CO8" s="48"/>
      <c r="CP8" s="48"/>
      <c r="CQ8" s="48"/>
      <c r="CR8" s="48">
        <f t="shared" si="51"/>
        <v>0</v>
      </c>
      <c r="CS8" s="48"/>
      <c r="CT8" s="48"/>
      <c r="CU8" s="48"/>
      <c r="CV8" s="48">
        <f t="shared" si="52"/>
        <v>0</v>
      </c>
      <c r="CW8" s="48"/>
      <c r="CX8" s="48"/>
      <c r="CY8" s="48"/>
      <c r="CZ8" s="48">
        <f t="shared" si="53"/>
        <v>0</v>
      </c>
      <c r="DA8" s="48"/>
      <c r="DB8" s="48"/>
      <c r="DC8" s="48"/>
      <c r="DD8" s="48">
        <f t="shared" si="54"/>
        <v>0</v>
      </c>
      <c r="DE8" s="48"/>
      <c r="DF8" s="48"/>
      <c r="DG8" s="48"/>
      <c r="DH8" s="48">
        <f t="shared" si="55"/>
        <v>0</v>
      </c>
      <c r="DI8" s="48"/>
      <c r="DJ8" s="48"/>
      <c r="DK8" s="48"/>
      <c r="DL8" s="48">
        <f t="shared" si="56"/>
        <v>0</v>
      </c>
      <c r="DM8" s="48"/>
      <c r="DN8" s="48"/>
      <c r="DO8" s="48"/>
      <c r="DP8" s="48">
        <f t="shared" si="57"/>
        <v>0</v>
      </c>
      <c r="DQ8" s="48"/>
      <c r="DR8" s="48"/>
      <c r="DS8" s="48"/>
      <c r="DT8" s="48">
        <f t="shared" si="58"/>
        <v>0</v>
      </c>
      <c r="DU8" s="48"/>
      <c r="DV8" s="48"/>
      <c r="DW8" s="48"/>
      <c r="DX8" s="48">
        <f t="shared" si="59"/>
        <v>0</v>
      </c>
      <c r="DY8" s="48">
        <f t="shared" si="62"/>
        <v>0</v>
      </c>
      <c r="DZ8" s="48">
        <f t="shared" si="60"/>
        <v>0</v>
      </c>
      <c r="EA8" s="14">
        <f>D8*'MASTER SHEET'!D8</f>
        <v>0</v>
      </c>
      <c r="EB8" s="14">
        <f>H8*'MASTER SHEET'!D8</f>
        <v>0</v>
      </c>
      <c r="EC8" s="14">
        <f>L8*'MASTER SHEET'!D8</f>
        <v>0</v>
      </c>
      <c r="ED8" s="14">
        <f>P8*'MASTER SHEET'!D8</f>
        <v>0</v>
      </c>
      <c r="EE8" s="14">
        <f>T8*'MASTER SHEET'!D8</f>
        <v>0</v>
      </c>
      <c r="EF8" s="14">
        <f>X8*'MASTER SHEET'!D8</f>
        <v>0</v>
      </c>
      <c r="EG8" s="14">
        <f>AB8*'MASTER SHEET'!D8</f>
        <v>0</v>
      </c>
      <c r="EH8" s="14">
        <f>AF8*'MASTER SHEET'!D8</f>
        <v>0</v>
      </c>
      <c r="EI8" s="14">
        <f>AJ8*'MASTER SHEET'!D8</f>
        <v>0</v>
      </c>
      <c r="EJ8" s="14">
        <f>AN8*'MASTER SHEET'!D8</f>
        <v>0</v>
      </c>
      <c r="EK8" s="14">
        <f>AR8*'MASTER SHEET'!D8</f>
        <v>0</v>
      </c>
      <c r="EL8" s="14">
        <f>AV8*'MASTER SHEET'!D8</f>
        <v>0</v>
      </c>
      <c r="EM8" s="14">
        <f>AZ8*'MASTER SHEET'!D8</f>
        <v>0</v>
      </c>
      <c r="EN8" s="14">
        <f>BD8*'MASTER SHEET'!D8</f>
        <v>0</v>
      </c>
      <c r="EO8" s="14">
        <f>BH8*'MASTER SHEET'!D8</f>
        <v>0</v>
      </c>
      <c r="EP8" s="14">
        <f>BL8*'MASTER SHEET'!D8</f>
        <v>0</v>
      </c>
      <c r="EQ8" s="14">
        <f>BP8*'MASTER SHEET'!D8</f>
        <v>0</v>
      </c>
      <c r="ER8" s="14">
        <f>BT8*'MASTER SHEET'!D8</f>
        <v>0</v>
      </c>
      <c r="ES8" s="14">
        <f>BX8*'MASTER SHEET'!D8</f>
        <v>0</v>
      </c>
      <c r="ET8" s="21">
        <f>CB8*'MASTER SHEET'!D8</f>
        <v>0</v>
      </c>
      <c r="EU8" s="14">
        <f>CF8*'MASTER SHEET'!D8</f>
        <v>0</v>
      </c>
      <c r="EV8" s="14">
        <f>CJ8*'MASTER SHEET'!D8</f>
        <v>0</v>
      </c>
      <c r="EW8" s="14">
        <f>CN8*'MASTER SHEET'!D8</f>
        <v>0</v>
      </c>
      <c r="EX8" s="14">
        <f>CR8*'MASTER SHEET'!D8</f>
        <v>0</v>
      </c>
      <c r="EY8" s="14">
        <f>CR8*'MASTER SHEET'!D8</f>
        <v>0</v>
      </c>
      <c r="EZ8" s="14">
        <f>CV8*'MASTER SHEET'!D8</f>
        <v>0</v>
      </c>
      <c r="FA8" s="14">
        <f>CZ8*'MASTER SHEET'!D8</f>
        <v>0</v>
      </c>
      <c r="FB8" s="14">
        <f>DD8*'MASTER SHEET'!D8</f>
        <v>0</v>
      </c>
    </row>
    <row r="9" spans="1:161" ht="18.75" customHeight="1" x14ac:dyDescent="0.25">
      <c r="A9" s="43">
        <f>'MASTER SHEET'!A9</f>
        <v>7</v>
      </c>
      <c r="B9" s="49" t="str">
        <f>'MASTER SHEET'!B9</f>
        <v>LID HOUSING</v>
      </c>
      <c r="C9" s="86">
        <f>'MASTER SHEET'!C9</f>
        <v>5013518</v>
      </c>
      <c r="D9" s="51"/>
      <c r="E9" s="48">
        <v>0</v>
      </c>
      <c r="F9" s="48">
        <v>0</v>
      </c>
      <c r="G9" s="48">
        <v>0</v>
      </c>
      <c r="H9" s="48">
        <f t="shared" si="30"/>
        <v>0</v>
      </c>
      <c r="I9" s="28">
        <v>0</v>
      </c>
      <c r="J9" s="28">
        <v>0</v>
      </c>
      <c r="K9" s="65">
        <v>0</v>
      </c>
      <c r="L9" s="48">
        <f t="shared" si="31"/>
        <v>0</v>
      </c>
      <c r="M9" s="48"/>
      <c r="N9" s="48"/>
      <c r="O9" s="48"/>
      <c r="P9" s="48">
        <f t="shared" si="32"/>
        <v>0</v>
      </c>
      <c r="Q9" s="48">
        <v>0</v>
      </c>
      <c r="R9" s="48">
        <v>0</v>
      </c>
      <c r="S9" s="48">
        <v>0</v>
      </c>
      <c r="T9" s="48">
        <f t="shared" si="33"/>
        <v>0</v>
      </c>
      <c r="U9" s="48">
        <v>0</v>
      </c>
      <c r="V9" s="48"/>
      <c r="W9" s="48"/>
      <c r="X9" s="48">
        <f t="shared" si="34"/>
        <v>0</v>
      </c>
      <c r="Y9" s="48">
        <v>0</v>
      </c>
      <c r="Z9" s="48">
        <v>0</v>
      </c>
      <c r="AA9" s="48">
        <v>0</v>
      </c>
      <c r="AB9" s="48">
        <f t="shared" si="35"/>
        <v>0</v>
      </c>
      <c r="AC9" s="48">
        <v>0</v>
      </c>
      <c r="AD9" s="48">
        <v>0</v>
      </c>
      <c r="AE9" s="48">
        <v>0</v>
      </c>
      <c r="AF9" s="48">
        <f t="shared" si="36"/>
        <v>0</v>
      </c>
      <c r="AG9" s="48">
        <v>0</v>
      </c>
      <c r="AH9" s="48">
        <v>0</v>
      </c>
      <c r="AI9" s="48">
        <v>0</v>
      </c>
      <c r="AJ9" s="48">
        <f t="shared" si="37"/>
        <v>0</v>
      </c>
      <c r="AK9" s="48">
        <v>0</v>
      </c>
      <c r="AL9" s="48">
        <v>0</v>
      </c>
      <c r="AM9" s="48">
        <v>0</v>
      </c>
      <c r="AN9" s="48">
        <f t="shared" si="38"/>
        <v>0</v>
      </c>
      <c r="AO9" s="48">
        <v>0</v>
      </c>
      <c r="AP9" s="48">
        <v>0</v>
      </c>
      <c r="AQ9" s="48">
        <v>0</v>
      </c>
      <c r="AR9" s="48">
        <f t="shared" si="39"/>
        <v>0</v>
      </c>
      <c r="AS9" s="48">
        <v>0</v>
      </c>
      <c r="AT9" s="48">
        <v>0</v>
      </c>
      <c r="AU9" s="48">
        <v>0</v>
      </c>
      <c r="AV9" s="48">
        <f t="shared" si="40"/>
        <v>0</v>
      </c>
      <c r="AW9" s="48">
        <v>0</v>
      </c>
      <c r="AX9" s="48">
        <v>0</v>
      </c>
      <c r="AY9" s="48">
        <v>0</v>
      </c>
      <c r="AZ9" s="48">
        <f t="shared" si="61"/>
        <v>0</v>
      </c>
      <c r="BA9" s="48">
        <v>0</v>
      </c>
      <c r="BB9" s="48">
        <v>0</v>
      </c>
      <c r="BC9" s="48">
        <v>0</v>
      </c>
      <c r="BD9" s="48">
        <f t="shared" si="41"/>
        <v>0</v>
      </c>
      <c r="BE9" s="48">
        <v>581</v>
      </c>
      <c r="BF9" s="48">
        <v>554</v>
      </c>
      <c r="BG9" s="48">
        <v>27</v>
      </c>
      <c r="BH9" s="48">
        <f t="shared" si="42"/>
        <v>0</v>
      </c>
      <c r="BI9" s="48">
        <v>1494</v>
      </c>
      <c r="BJ9" s="48">
        <v>1477</v>
      </c>
      <c r="BK9" s="48">
        <v>17</v>
      </c>
      <c r="BL9" s="48">
        <f t="shared" si="43"/>
        <v>0</v>
      </c>
      <c r="BM9" s="48">
        <v>261</v>
      </c>
      <c r="BN9" s="48">
        <v>259</v>
      </c>
      <c r="BO9" s="48">
        <v>2</v>
      </c>
      <c r="BP9" s="48">
        <f t="shared" si="44"/>
        <v>0</v>
      </c>
      <c r="BQ9" s="48">
        <v>0</v>
      </c>
      <c r="BR9" s="48">
        <v>0</v>
      </c>
      <c r="BS9" s="48">
        <v>0</v>
      </c>
      <c r="BT9" s="48">
        <f t="shared" si="45"/>
        <v>0</v>
      </c>
      <c r="BU9" s="48"/>
      <c r="BV9" s="48"/>
      <c r="BW9" s="48"/>
      <c r="BX9" s="48">
        <f t="shared" si="46"/>
        <v>0</v>
      </c>
      <c r="BY9" s="48"/>
      <c r="BZ9" s="48"/>
      <c r="CA9" s="48"/>
      <c r="CB9" s="48">
        <f t="shared" si="47"/>
        <v>0</v>
      </c>
      <c r="CC9" s="48"/>
      <c r="CD9" s="48"/>
      <c r="CE9" s="48"/>
      <c r="CF9" s="48">
        <f t="shared" si="48"/>
        <v>0</v>
      </c>
      <c r="CG9" s="48"/>
      <c r="CH9" s="48"/>
      <c r="CI9" s="48"/>
      <c r="CJ9" s="48">
        <f t="shared" si="49"/>
        <v>0</v>
      </c>
      <c r="CK9" s="48"/>
      <c r="CL9" s="48"/>
      <c r="CM9" s="48"/>
      <c r="CN9" s="48">
        <f t="shared" si="50"/>
        <v>0</v>
      </c>
      <c r="CO9" s="48"/>
      <c r="CP9" s="48"/>
      <c r="CQ9" s="48"/>
      <c r="CR9" s="48">
        <f t="shared" si="51"/>
        <v>0</v>
      </c>
      <c r="CS9" s="48"/>
      <c r="CT9" s="48"/>
      <c r="CU9" s="48"/>
      <c r="CV9" s="48">
        <f t="shared" si="52"/>
        <v>0</v>
      </c>
      <c r="CW9" s="48"/>
      <c r="CX9" s="48"/>
      <c r="CY9" s="48"/>
      <c r="CZ9" s="48">
        <f t="shared" si="53"/>
        <v>0</v>
      </c>
      <c r="DA9" s="48"/>
      <c r="DB9" s="48"/>
      <c r="DC9" s="48"/>
      <c r="DD9" s="48">
        <f t="shared" si="54"/>
        <v>0</v>
      </c>
      <c r="DE9" s="48">
        <v>0</v>
      </c>
      <c r="DF9" s="48">
        <v>0</v>
      </c>
      <c r="DG9" s="48">
        <v>0</v>
      </c>
      <c r="DH9" s="48">
        <f t="shared" si="55"/>
        <v>0</v>
      </c>
      <c r="DI9" s="48">
        <v>623</v>
      </c>
      <c r="DJ9" s="48">
        <v>615</v>
      </c>
      <c r="DK9" s="48">
        <v>8</v>
      </c>
      <c r="DL9" s="48">
        <f t="shared" si="56"/>
        <v>0</v>
      </c>
      <c r="DM9" s="48">
        <v>1425</v>
      </c>
      <c r="DN9" s="48">
        <v>1421</v>
      </c>
      <c r="DO9" s="48">
        <v>4</v>
      </c>
      <c r="DP9" s="48">
        <f t="shared" si="57"/>
        <v>0</v>
      </c>
      <c r="DQ9" s="48"/>
      <c r="DR9" s="48"/>
      <c r="DS9" s="48"/>
      <c r="DT9" s="48">
        <f t="shared" si="58"/>
        <v>0</v>
      </c>
      <c r="DU9" s="48"/>
      <c r="DV9" s="48"/>
      <c r="DW9" s="48"/>
      <c r="DX9" s="48">
        <f t="shared" si="59"/>
        <v>0</v>
      </c>
      <c r="DY9" s="48">
        <f t="shared" si="62"/>
        <v>4384</v>
      </c>
      <c r="DZ9" s="48">
        <f t="shared" si="60"/>
        <v>58</v>
      </c>
      <c r="EA9" s="14">
        <f>D9*'MASTER SHEET'!D9</f>
        <v>0</v>
      </c>
      <c r="EB9" s="14">
        <f>H9*'MASTER SHEET'!D9</f>
        <v>0</v>
      </c>
      <c r="EC9" s="14">
        <f>L9*'MASTER SHEET'!D9</f>
        <v>0</v>
      </c>
      <c r="ED9" s="14">
        <f>P9*'MASTER SHEET'!D9</f>
        <v>0</v>
      </c>
      <c r="EE9" s="14">
        <f>T9*'MASTER SHEET'!D9</f>
        <v>0</v>
      </c>
      <c r="EF9" s="14">
        <f>X9*'MASTER SHEET'!D9</f>
        <v>0</v>
      </c>
      <c r="EG9" s="14">
        <f>AB9*'MASTER SHEET'!D9</f>
        <v>0</v>
      </c>
      <c r="EH9" s="14">
        <f>AF9*'MASTER SHEET'!D9</f>
        <v>0</v>
      </c>
      <c r="EI9" s="14">
        <f>AJ9*'MASTER SHEET'!D9</f>
        <v>0</v>
      </c>
      <c r="EJ9" s="14">
        <f>AN9*'MASTER SHEET'!D9</f>
        <v>0</v>
      </c>
      <c r="EK9" s="14">
        <f>AR9*'MASTER SHEET'!D9</f>
        <v>0</v>
      </c>
      <c r="EL9" s="14">
        <f>AV9*'MASTER SHEET'!D9</f>
        <v>0</v>
      </c>
      <c r="EM9" s="14">
        <f>AZ9*'MASTER SHEET'!D9</f>
        <v>0</v>
      </c>
      <c r="EN9" s="14">
        <f>BD9*'MASTER SHEET'!D9</f>
        <v>0</v>
      </c>
      <c r="EO9" s="14">
        <f>BH9*'MASTER SHEET'!D9</f>
        <v>0</v>
      </c>
      <c r="EP9" s="14">
        <f>BL9*'MASTER SHEET'!D9</f>
        <v>0</v>
      </c>
      <c r="EQ9" s="14">
        <f>BP9*'MASTER SHEET'!D9</f>
        <v>0</v>
      </c>
      <c r="ER9" s="14">
        <f>BT9*'MASTER SHEET'!D9</f>
        <v>0</v>
      </c>
      <c r="ES9" s="14">
        <f>BX9*'MASTER SHEET'!D9</f>
        <v>0</v>
      </c>
      <c r="ET9" s="21">
        <f>CB9*'MASTER SHEET'!D9</f>
        <v>0</v>
      </c>
      <c r="EU9" s="14">
        <f>CF9*'MASTER SHEET'!D9</f>
        <v>0</v>
      </c>
      <c r="EV9" s="14">
        <f>CJ9*'MASTER SHEET'!D9</f>
        <v>0</v>
      </c>
      <c r="EW9" s="14">
        <f>CN9*'MASTER SHEET'!D9</f>
        <v>0</v>
      </c>
      <c r="EX9" s="14">
        <f>CR9*'MASTER SHEET'!D9</f>
        <v>0</v>
      </c>
      <c r="EY9" s="14">
        <f>CR9*'MASTER SHEET'!D9</f>
        <v>0</v>
      </c>
      <c r="EZ9" s="14">
        <f>CV9*'MASTER SHEET'!D9</f>
        <v>0</v>
      </c>
      <c r="FA9" s="14">
        <f>CZ9*'MASTER SHEET'!D9</f>
        <v>0</v>
      </c>
      <c r="FB9" s="14">
        <f>DD9*'MASTER SHEET'!D9</f>
        <v>0</v>
      </c>
    </row>
    <row r="10" spans="1:161" ht="18.75" customHeight="1" x14ac:dyDescent="0.25">
      <c r="A10" s="43">
        <f>'MASTER SHEET'!A10</f>
        <v>8</v>
      </c>
      <c r="B10" s="49" t="str">
        <f>'MASTER SHEET'!B10</f>
        <v>LID HOUSING</v>
      </c>
      <c r="C10" s="86">
        <f>'MASTER SHEET'!C10</f>
        <v>5013520</v>
      </c>
      <c r="D10" s="51"/>
      <c r="E10" s="48"/>
      <c r="F10" s="48"/>
      <c r="G10" s="48"/>
      <c r="H10" s="48">
        <f t="shared" si="30"/>
        <v>0</v>
      </c>
      <c r="I10" s="28"/>
      <c r="J10" s="28"/>
      <c r="K10" s="65"/>
      <c r="L10" s="48">
        <f t="shared" si="31"/>
        <v>0</v>
      </c>
      <c r="M10" s="48"/>
      <c r="N10" s="48"/>
      <c r="O10" s="48"/>
      <c r="P10" s="48">
        <f t="shared" si="32"/>
        <v>0</v>
      </c>
      <c r="Q10" s="48"/>
      <c r="R10" s="48"/>
      <c r="S10" s="48"/>
      <c r="T10" s="48">
        <f t="shared" si="33"/>
        <v>0</v>
      </c>
      <c r="U10" s="48">
        <v>0</v>
      </c>
      <c r="V10" s="48"/>
      <c r="W10" s="48"/>
      <c r="X10" s="48">
        <f t="shared" si="34"/>
        <v>0</v>
      </c>
      <c r="Y10" s="48"/>
      <c r="Z10" s="48"/>
      <c r="AA10" s="48"/>
      <c r="AB10" s="48">
        <f t="shared" si="35"/>
        <v>0</v>
      </c>
      <c r="AC10" s="48"/>
      <c r="AD10" s="48"/>
      <c r="AE10" s="48"/>
      <c r="AF10" s="48">
        <f t="shared" si="36"/>
        <v>0</v>
      </c>
      <c r="AG10" s="48"/>
      <c r="AH10" s="48"/>
      <c r="AI10" s="48"/>
      <c r="AJ10" s="48">
        <f t="shared" si="37"/>
        <v>0</v>
      </c>
      <c r="AK10" s="48"/>
      <c r="AL10" s="48"/>
      <c r="AM10" s="48"/>
      <c r="AN10" s="48">
        <f t="shared" si="38"/>
        <v>0</v>
      </c>
      <c r="AO10" s="48"/>
      <c r="AP10" s="48"/>
      <c r="AQ10" s="48"/>
      <c r="AR10" s="48">
        <f t="shared" si="39"/>
        <v>0</v>
      </c>
      <c r="AS10" s="48"/>
      <c r="AT10" s="48"/>
      <c r="AU10" s="48"/>
      <c r="AV10" s="48">
        <f t="shared" si="40"/>
        <v>0</v>
      </c>
      <c r="AW10" s="48"/>
      <c r="AX10" s="48"/>
      <c r="AY10" s="48"/>
      <c r="AZ10" s="48">
        <f t="shared" si="61"/>
        <v>0</v>
      </c>
      <c r="BA10" s="48"/>
      <c r="BB10" s="48"/>
      <c r="BC10" s="48"/>
      <c r="BD10" s="48">
        <f t="shared" si="41"/>
        <v>0</v>
      </c>
      <c r="BE10" s="48">
        <v>0</v>
      </c>
      <c r="BF10" s="48">
        <v>0</v>
      </c>
      <c r="BG10" s="48">
        <v>0</v>
      </c>
      <c r="BH10" s="48">
        <f t="shared" si="42"/>
        <v>0</v>
      </c>
      <c r="BI10" s="48">
        <v>0</v>
      </c>
      <c r="BJ10" s="48">
        <v>0</v>
      </c>
      <c r="BK10" s="48">
        <v>0</v>
      </c>
      <c r="BL10" s="48">
        <f t="shared" si="43"/>
        <v>0</v>
      </c>
      <c r="BM10" s="48">
        <v>375</v>
      </c>
      <c r="BN10" s="48">
        <v>369</v>
      </c>
      <c r="BO10" s="48">
        <v>6</v>
      </c>
      <c r="BP10" s="48">
        <f t="shared" si="44"/>
        <v>0</v>
      </c>
      <c r="BQ10" s="48">
        <v>1408</v>
      </c>
      <c r="BR10" s="48">
        <v>1403</v>
      </c>
      <c r="BS10" s="48">
        <v>5</v>
      </c>
      <c r="BT10" s="48">
        <f t="shared" si="45"/>
        <v>0</v>
      </c>
      <c r="BU10" s="48">
        <v>1411</v>
      </c>
      <c r="BV10" s="48">
        <v>1410</v>
      </c>
      <c r="BW10" s="48">
        <v>1</v>
      </c>
      <c r="BX10" s="48">
        <f t="shared" si="46"/>
        <v>0</v>
      </c>
      <c r="BY10" s="48"/>
      <c r="BZ10" s="48"/>
      <c r="CA10" s="48"/>
      <c r="CB10" s="48">
        <f t="shared" si="47"/>
        <v>0</v>
      </c>
      <c r="CC10" s="48">
        <v>398</v>
      </c>
      <c r="CD10" s="48">
        <v>398</v>
      </c>
      <c r="CE10" s="48">
        <v>0</v>
      </c>
      <c r="CF10" s="48">
        <f t="shared" si="48"/>
        <v>0</v>
      </c>
      <c r="CG10" s="48"/>
      <c r="CH10" s="48"/>
      <c r="CI10" s="48"/>
      <c r="CJ10" s="48">
        <f t="shared" si="49"/>
        <v>0</v>
      </c>
      <c r="CK10" s="48"/>
      <c r="CL10" s="48"/>
      <c r="CM10" s="48"/>
      <c r="CN10" s="48">
        <f t="shared" si="50"/>
        <v>0</v>
      </c>
      <c r="CO10" s="48"/>
      <c r="CP10" s="48"/>
      <c r="CQ10" s="48"/>
      <c r="CR10" s="48">
        <f t="shared" si="51"/>
        <v>0</v>
      </c>
      <c r="CS10" s="48"/>
      <c r="CT10" s="48"/>
      <c r="CU10" s="48"/>
      <c r="CV10" s="48">
        <f t="shared" si="52"/>
        <v>0</v>
      </c>
      <c r="CW10" s="48"/>
      <c r="CX10" s="48"/>
      <c r="CY10" s="48"/>
      <c r="CZ10" s="48">
        <f t="shared" si="53"/>
        <v>0</v>
      </c>
      <c r="DA10" s="48"/>
      <c r="DB10" s="48"/>
      <c r="DC10" s="48"/>
      <c r="DD10" s="48">
        <f t="shared" si="54"/>
        <v>0</v>
      </c>
      <c r="DE10" s="48"/>
      <c r="DF10" s="48"/>
      <c r="DG10" s="48"/>
      <c r="DH10" s="48">
        <f t="shared" si="55"/>
        <v>0</v>
      </c>
      <c r="DI10" s="48"/>
      <c r="DJ10" s="48"/>
      <c r="DK10" s="48"/>
      <c r="DL10" s="48">
        <f t="shared" si="56"/>
        <v>0</v>
      </c>
      <c r="DM10" s="48"/>
      <c r="DN10" s="48"/>
      <c r="DO10" s="48"/>
      <c r="DP10" s="48">
        <f t="shared" si="57"/>
        <v>0</v>
      </c>
      <c r="DQ10" s="48"/>
      <c r="DR10" s="48"/>
      <c r="DS10" s="48"/>
      <c r="DT10" s="48">
        <f t="shared" si="58"/>
        <v>0</v>
      </c>
      <c r="DU10" s="48"/>
      <c r="DV10" s="48"/>
      <c r="DW10" s="48"/>
      <c r="DX10" s="48">
        <f t="shared" si="59"/>
        <v>0</v>
      </c>
      <c r="DY10" s="48">
        <f t="shared" si="62"/>
        <v>3592</v>
      </c>
      <c r="DZ10" s="48">
        <f t="shared" si="60"/>
        <v>12</v>
      </c>
      <c r="EA10" s="14">
        <f>D10*'MASTER SHEET'!D10</f>
        <v>0</v>
      </c>
      <c r="EB10" s="14">
        <f>H10*'MASTER SHEET'!D10</f>
        <v>0</v>
      </c>
      <c r="EC10" s="14">
        <f>L10*'MASTER SHEET'!D10</f>
        <v>0</v>
      </c>
      <c r="ED10" s="14">
        <f>P10*'MASTER SHEET'!D10</f>
        <v>0</v>
      </c>
      <c r="EE10" s="14">
        <f>T10*'MASTER SHEET'!D10</f>
        <v>0</v>
      </c>
      <c r="EF10" s="14">
        <f>X10*'MASTER SHEET'!D10</f>
        <v>0</v>
      </c>
      <c r="EG10" s="14">
        <f>AB10*'MASTER SHEET'!D10</f>
        <v>0</v>
      </c>
      <c r="EH10" s="14">
        <f>AF10*'MASTER SHEET'!D10</f>
        <v>0</v>
      </c>
      <c r="EI10" s="14">
        <f>AJ10*'MASTER SHEET'!D10</f>
        <v>0</v>
      </c>
      <c r="EJ10" s="14">
        <f>AN10*'MASTER SHEET'!D10</f>
        <v>0</v>
      </c>
      <c r="EK10" s="14">
        <f>AR10*'MASTER SHEET'!D10</f>
        <v>0</v>
      </c>
      <c r="EL10" s="14">
        <f>AV10*'MASTER SHEET'!D10</f>
        <v>0</v>
      </c>
      <c r="EM10" s="14">
        <f>AZ10*'MASTER SHEET'!D10</f>
        <v>0</v>
      </c>
      <c r="EN10" s="14">
        <f>BD10*'MASTER SHEET'!D10</f>
        <v>0</v>
      </c>
      <c r="EO10" s="14">
        <f>BH10*'MASTER SHEET'!D10</f>
        <v>0</v>
      </c>
      <c r="EP10" s="14">
        <f>BL10*'MASTER SHEET'!D10</f>
        <v>0</v>
      </c>
      <c r="EQ10" s="14">
        <f>BP10*'MASTER SHEET'!D10</f>
        <v>0</v>
      </c>
      <c r="ER10" s="14">
        <f>BT10*'MASTER SHEET'!D10</f>
        <v>0</v>
      </c>
      <c r="ES10" s="14">
        <f>BX10*'MASTER SHEET'!D10</f>
        <v>0</v>
      </c>
      <c r="ET10" s="21">
        <f>CB10*'MASTER SHEET'!D10</f>
        <v>0</v>
      </c>
      <c r="EU10" s="14">
        <f>CF10*'MASTER SHEET'!D10</f>
        <v>0</v>
      </c>
      <c r="EV10" s="14">
        <f>CJ10*'MASTER SHEET'!D10</f>
        <v>0</v>
      </c>
      <c r="EW10" s="14">
        <f>CN10*'MASTER SHEET'!D10</f>
        <v>0</v>
      </c>
      <c r="EX10" s="14">
        <f>CR10*'MASTER SHEET'!D10</f>
        <v>0</v>
      </c>
      <c r="EY10" s="14">
        <f>CR10*'MASTER SHEET'!D10</f>
        <v>0</v>
      </c>
      <c r="EZ10" s="14">
        <f>CV10*'MASTER SHEET'!D10</f>
        <v>0</v>
      </c>
      <c r="FA10" s="14">
        <f>CZ10*'MASTER SHEET'!D10</f>
        <v>0</v>
      </c>
      <c r="FB10" s="14">
        <f>DD10*'MASTER SHEET'!D10</f>
        <v>0</v>
      </c>
    </row>
    <row r="11" spans="1:161" ht="18.75" customHeight="1" x14ac:dyDescent="0.25">
      <c r="A11" s="43">
        <f>'MASTER SHEET'!A11</f>
        <v>9</v>
      </c>
      <c r="B11" s="49" t="str">
        <f>'MASTER SHEET'!B11</f>
        <v xml:space="preserve">ENDPLATE ASY, PLASTIC </v>
      </c>
      <c r="C11" s="86">
        <f>'MASTER SHEET'!C11</f>
        <v>5014445</v>
      </c>
      <c r="D11" s="51"/>
      <c r="E11" s="48"/>
      <c r="F11" s="48"/>
      <c r="G11" s="48"/>
      <c r="H11" s="48">
        <f t="shared" si="30"/>
        <v>0</v>
      </c>
      <c r="I11" s="28"/>
      <c r="J11" s="28"/>
      <c r="K11" s="65"/>
      <c r="L11" s="48">
        <f t="shared" si="31"/>
        <v>0</v>
      </c>
      <c r="M11" s="48"/>
      <c r="N11" s="48"/>
      <c r="O11" s="48"/>
      <c r="P11" s="48">
        <f t="shared" si="32"/>
        <v>0</v>
      </c>
      <c r="Q11" s="48"/>
      <c r="R11" s="48"/>
      <c r="S11" s="48"/>
      <c r="T11" s="48">
        <f t="shared" si="33"/>
        <v>0</v>
      </c>
      <c r="U11" s="48">
        <v>0</v>
      </c>
      <c r="V11" s="48"/>
      <c r="W11" s="48"/>
      <c r="X11" s="48">
        <f t="shared" si="34"/>
        <v>0</v>
      </c>
      <c r="Y11" s="48"/>
      <c r="Z11" s="48"/>
      <c r="AA11" s="48"/>
      <c r="AB11" s="48">
        <f t="shared" si="35"/>
        <v>0</v>
      </c>
      <c r="AC11" s="48"/>
      <c r="AD11" s="48"/>
      <c r="AE11" s="48"/>
      <c r="AF11" s="48">
        <f t="shared" si="36"/>
        <v>0</v>
      </c>
      <c r="AG11" s="48"/>
      <c r="AH11" s="48"/>
      <c r="AI11" s="48"/>
      <c r="AJ11" s="48">
        <f t="shared" si="37"/>
        <v>0</v>
      </c>
      <c r="AK11" s="48"/>
      <c r="AL11" s="48"/>
      <c r="AM11" s="48"/>
      <c r="AN11" s="48">
        <f t="shared" si="38"/>
        <v>0</v>
      </c>
      <c r="AO11" s="48"/>
      <c r="AP11" s="48"/>
      <c r="AQ11" s="48"/>
      <c r="AR11" s="48">
        <f t="shared" si="39"/>
        <v>0</v>
      </c>
      <c r="AS11" s="48"/>
      <c r="AT11" s="48"/>
      <c r="AU11" s="48"/>
      <c r="AV11" s="48">
        <f t="shared" si="40"/>
        <v>0</v>
      </c>
      <c r="AW11" s="48"/>
      <c r="AX11" s="48"/>
      <c r="AY11" s="48"/>
      <c r="AZ11" s="48">
        <f t="shared" si="61"/>
        <v>0</v>
      </c>
      <c r="BA11" s="48"/>
      <c r="BB11" s="48"/>
      <c r="BC11" s="48"/>
      <c r="BD11" s="48">
        <f t="shared" si="41"/>
        <v>0</v>
      </c>
      <c r="BE11" s="48"/>
      <c r="BF11" s="48"/>
      <c r="BG11" s="48"/>
      <c r="BH11" s="48">
        <f t="shared" si="42"/>
        <v>0</v>
      </c>
      <c r="BI11" s="48"/>
      <c r="BJ11" s="48"/>
      <c r="BK11" s="48"/>
      <c r="BL11" s="48">
        <f t="shared" si="43"/>
        <v>0</v>
      </c>
      <c r="BM11" s="48"/>
      <c r="BN11" s="48"/>
      <c r="BO11" s="48"/>
      <c r="BP11" s="48">
        <f t="shared" si="44"/>
        <v>0</v>
      </c>
      <c r="BQ11" s="48"/>
      <c r="BR11" s="48"/>
      <c r="BS11" s="48"/>
      <c r="BT11" s="48">
        <f t="shared" si="45"/>
        <v>0</v>
      </c>
      <c r="BU11" s="48"/>
      <c r="BV11" s="48"/>
      <c r="BW11" s="48"/>
      <c r="BX11" s="48">
        <f t="shared" si="46"/>
        <v>0</v>
      </c>
      <c r="BY11" s="48"/>
      <c r="BZ11" s="48"/>
      <c r="CA11" s="48"/>
      <c r="CB11" s="48">
        <f t="shared" si="47"/>
        <v>0</v>
      </c>
      <c r="CC11" s="48"/>
      <c r="CD11" s="48"/>
      <c r="CE11" s="48"/>
      <c r="CF11" s="48">
        <f t="shared" si="48"/>
        <v>0</v>
      </c>
      <c r="CG11" s="48"/>
      <c r="CH11" s="48"/>
      <c r="CI11" s="48"/>
      <c r="CJ11" s="48">
        <f t="shared" si="49"/>
        <v>0</v>
      </c>
      <c r="CK11" s="48"/>
      <c r="CL11" s="48"/>
      <c r="CM11" s="48"/>
      <c r="CN11" s="48">
        <f t="shared" si="50"/>
        <v>0</v>
      </c>
      <c r="CO11" s="48"/>
      <c r="CP11" s="48"/>
      <c r="CQ11" s="48"/>
      <c r="CR11" s="48">
        <f t="shared" si="51"/>
        <v>0</v>
      </c>
      <c r="CS11" s="48"/>
      <c r="CT11" s="48"/>
      <c r="CU11" s="48"/>
      <c r="CV11" s="48">
        <f t="shared" si="52"/>
        <v>0</v>
      </c>
      <c r="CW11" s="48"/>
      <c r="CX11" s="48"/>
      <c r="CY11" s="48"/>
      <c r="CZ11" s="48">
        <f t="shared" si="53"/>
        <v>0</v>
      </c>
      <c r="DA11" s="48"/>
      <c r="DB11" s="48"/>
      <c r="DC11" s="48"/>
      <c r="DD11" s="48">
        <f t="shared" si="54"/>
        <v>0</v>
      </c>
      <c r="DE11" s="48"/>
      <c r="DF11" s="48"/>
      <c r="DG11" s="48"/>
      <c r="DH11" s="48">
        <f t="shared" si="55"/>
        <v>0</v>
      </c>
      <c r="DI11" s="48"/>
      <c r="DJ11" s="48"/>
      <c r="DK11" s="48"/>
      <c r="DL11" s="48">
        <f t="shared" si="56"/>
        <v>0</v>
      </c>
      <c r="DM11" s="48"/>
      <c r="DN11" s="48"/>
      <c r="DO11" s="48"/>
      <c r="DP11" s="48">
        <f t="shared" si="57"/>
        <v>0</v>
      </c>
      <c r="DQ11" s="48"/>
      <c r="DR11" s="48"/>
      <c r="DS11" s="48"/>
      <c r="DT11" s="48">
        <f t="shared" si="58"/>
        <v>0</v>
      </c>
      <c r="DU11" s="48"/>
      <c r="DV11" s="48"/>
      <c r="DW11" s="48"/>
      <c r="DX11" s="48">
        <f t="shared" si="59"/>
        <v>0</v>
      </c>
      <c r="DY11" s="48">
        <f t="shared" si="62"/>
        <v>0</v>
      </c>
      <c r="DZ11" s="48">
        <f t="shared" si="60"/>
        <v>0</v>
      </c>
      <c r="EA11" s="14">
        <f>D11*'MASTER SHEET'!D11</f>
        <v>0</v>
      </c>
      <c r="EB11" s="14">
        <f>H11*'MASTER SHEET'!D11</f>
        <v>0</v>
      </c>
      <c r="EC11" s="14">
        <f>L11*'MASTER SHEET'!D11</f>
        <v>0</v>
      </c>
      <c r="ED11" s="14">
        <f>P11*'MASTER SHEET'!D11</f>
        <v>0</v>
      </c>
      <c r="EE11" s="14">
        <f>T11*'MASTER SHEET'!D11</f>
        <v>0</v>
      </c>
      <c r="EF11" s="14">
        <f>X11*'MASTER SHEET'!D11</f>
        <v>0</v>
      </c>
      <c r="EG11" s="14">
        <f>AB11*'MASTER SHEET'!D11</f>
        <v>0</v>
      </c>
      <c r="EH11" s="14">
        <f>AF11*'MASTER SHEET'!D11</f>
        <v>0</v>
      </c>
      <c r="EI11" s="14">
        <f>AJ11*'MASTER SHEET'!D11</f>
        <v>0</v>
      </c>
      <c r="EJ11" s="14">
        <f>AN11*'MASTER SHEET'!D11</f>
        <v>0</v>
      </c>
      <c r="EK11" s="14">
        <f>AR11*'MASTER SHEET'!D11</f>
        <v>0</v>
      </c>
      <c r="EL11" s="14">
        <f>AV11*'MASTER SHEET'!D11</f>
        <v>0</v>
      </c>
      <c r="EM11" s="14">
        <f>AZ11*'MASTER SHEET'!D11</f>
        <v>0</v>
      </c>
      <c r="EN11" s="14">
        <f>BD11*'MASTER SHEET'!D11</f>
        <v>0</v>
      </c>
      <c r="EO11" s="14">
        <f>BH11*'MASTER SHEET'!D11</f>
        <v>0</v>
      </c>
      <c r="EP11" s="14">
        <f>BL11*'MASTER SHEET'!D11</f>
        <v>0</v>
      </c>
      <c r="EQ11" s="14">
        <f>BP11*'MASTER SHEET'!D11</f>
        <v>0</v>
      </c>
      <c r="ER11" s="14">
        <f>BT11*'MASTER SHEET'!D11</f>
        <v>0</v>
      </c>
      <c r="ES11" s="14">
        <f>BX11*'MASTER SHEET'!D11</f>
        <v>0</v>
      </c>
      <c r="ET11" s="21">
        <f>CB11*'MASTER SHEET'!D11</f>
        <v>0</v>
      </c>
      <c r="EU11" s="14">
        <f>CF11*'MASTER SHEET'!D11</f>
        <v>0</v>
      </c>
      <c r="EV11" s="14">
        <f>CJ11*'MASTER SHEET'!D11</f>
        <v>0</v>
      </c>
      <c r="EW11" s="14">
        <f>CN11*'MASTER SHEET'!D11</f>
        <v>0</v>
      </c>
      <c r="EX11" s="14">
        <f>CR11*'MASTER SHEET'!D11</f>
        <v>0</v>
      </c>
      <c r="EY11" s="14">
        <f>CR11*'MASTER SHEET'!D11</f>
        <v>0</v>
      </c>
      <c r="EZ11" s="14">
        <f>CV11*'MASTER SHEET'!D11</f>
        <v>0</v>
      </c>
      <c r="FA11" s="14">
        <f>CZ11*'MASTER SHEET'!D11</f>
        <v>0</v>
      </c>
      <c r="FB11" s="14">
        <f>DD11*'MASTER SHEET'!D11</f>
        <v>0</v>
      </c>
    </row>
    <row r="12" spans="1:161" ht="18.75" customHeight="1" x14ac:dyDescent="0.25">
      <c r="A12" s="43">
        <f>'MASTER SHEET'!A12</f>
        <v>10</v>
      </c>
      <c r="B12" s="49" t="str">
        <f>'MASTER SHEET'!B12</f>
        <v>LID HOUSING</v>
      </c>
      <c r="C12" s="86">
        <f>'MASTER SHEET'!C12</f>
        <v>5015494</v>
      </c>
      <c r="D12" s="51"/>
      <c r="E12" s="48"/>
      <c r="F12" s="48"/>
      <c r="G12" s="48"/>
      <c r="H12" s="48">
        <f t="shared" si="30"/>
        <v>0</v>
      </c>
      <c r="I12" s="28"/>
      <c r="J12" s="28"/>
      <c r="K12" s="65"/>
      <c r="L12" s="48">
        <f t="shared" si="31"/>
        <v>0</v>
      </c>
      <c r="M12" s="48"/>
      <c r="N12" s="48"/>
      <c r="O12" s="48"/>
      <c r="P12" s="48">
        <f t="shared" si="32"/>
        <v>0</v>
      </c>
      <c r="Q12" s="48"/>
      <c r="R12" s="48"/>
      <c r="S12" s="48"/>
      <c r="T12" s="48">
        <f t="shared" si="33"/>
        <v>0</v>
      </c>
      <c r="U12" s="48">
        <v>0</v>
      </c>
      <c r="V12" s="48"/>
      <c r="W12" s="48"/>
      <c r="X12" s="48">
        <f t="shared" si="34"/>
        <v>0</v>
      </c>
      <c r="Y12" s="48"/>
      <c r="Z12" s="48"/>
      <c r="AA12" s="48"/>
      <c r="AB12" s="48">
        <f t="shared" si="35"/>
        <v>0</v>
      </c>
      <c r="AC12" s="48"/>
      <c r="AD12" s="48"/>
      <c r="AE12" s="48"/>
      <c r="AF12" s="48">
        <f t="shared" si="36"/>
        <v>0</v>
      </c>
      <c r="AG12" s="48"/>
      <c r="AH12" s="48"/>
      <c r="AI12" s="48"/>
      <c r="AJ12" s="48">
        <f t="shared" si="37"/>
        <v>0</v>
      </c>
      <c r="AK12" s="48"/>
      <c r="AL12" s="48"/>
      <c r="AM12" s="48"/>
      <c r="AN12" s="48">
        <f t="shared" si="38"/>
        <v>0</v>
      </c>
      <c r="AO12" s="48"/>
      <c r="AP12" s="48"/>
      <c r="AQ12" s="48"/>
      <c r="AR12" s="48">
        <f t="shared" si="39"/>
        <v>0</v>
      </c>
      <c r="AS12" s="48"/>
      <c r="AT12" s="48"/>
      <c r="AU12" s="48"/>
      <c r="AV12" s="48">
        <f t="shared" si="40"/>
        <v>0</v>
      </c>
      <c r="AW12" s="48"/>
      <c r="AX12" s="48"/>
      <c r="AY12" s="48"/>
      <c r="AZ12" s="48">
        <f t="shared" si="61"/>
        <v>0</v>
      </c>
      <c r="BA12" s="48"/>
      <c r="BB12" s="48"/>
      <c r="BC12" s="48"/>
      <c r="BD12" s="48">
        <f t="shared" si="41"/>
        <v>0</v>
      </c>
      <c r="BE12" s="48">
        <v>0</v>
      </c>
      <c r="BF12" s="48">
        <v>0</v>
      </c>
      <c r="BG12" s="48">
        <v>0</v>
      </c>
      <c r="BH12" s="48">
        <f t="shared" si="42"/>
        <v>0</v>
      </c>
      <c r="BI12" s="48">
        <v>0</v>
      </c>
      <c r="BJ12" s="48">
        <v>0</v>
      </c>
      <c r="BK12" s="48">
        <v>0</v>
      </c>
      <c r="BL12" s="48">
        <f t="shared" si="43"/>
        <v>0</v>
      </c>
      <c r="BM12" s="48">
        <v>1148</v>
      </c>
      <c r="BN12" s="48">
        <v>1127</v>
      </c>
      <c r="BO12" s="48">
        <v>21</v>
      </c>
      <c r="BP12" s="48">
        <f t="shared" si="44"/>
        <v>0</v>
      </c>
      <c r="BQ12" s="48">
        <v>60</v>
      </c>
      <c r="BR12" s="48">
        <v>60</v>
      </c>
      <c r="BS12" s="48">
        <v>0</v>
      </c>
      <c r="BT12" s="48">
        <f t="shared" si="45"/>
        <v>0</v>
      </c>
      <c r="BU12" s="48"/>
      <c r="BV12" s="48"/>
      <c r="BW12" s="48"/>
      <c r="BX12" s="48">
        <f t="shared" si="46"/>
        <v>0</v>
      </c>
      <c r="BY12" s="48"/>
      <c r="BZ12" s="48"/>
      <c r="CA12" s="48"/>
      <c r="CB12" s="48">
        <f t="shared" si="47"/>
        <v>0</v>
      </c>
      <c r="CC12" s="48"/>
      <c r="CD12" s="48"/>
      <c r="CE12" s="48"/>
      <c r="CF12" s="48">
        <f t="shared" si="48"/>
        <v>0</v>
      </c>
      <c r="CG12" s="48"/>
      <c r="CH12" s="48"/>
      <c r="CI12" s="48"/>
      <c r="CJ12" s="48">
        <f t="shared" si="49"/>
        <v>0</v>
      </c>
      <c r="CK12" s="48"/>
      <c r="CL12" s="48"/>
      <c r="CM12" s="48"/>
      <c r="CN12" s="48">
        <f t="shared" si="50"/>
        <v>0</v>
      </c>
      <c r="CO12" s="48"/>
      <c r="CP12" s="48"/>
      <c r="CQ12" s="48"/>
      <c r="CR12" s="48">
        <f t="shared" si="51"/>
        <v>0</v>
      </c>
      <c r="CS12" s="48"/>
      <c r="CT12" s="48"/>
      <c r="CU12" s="48"/>
      <c r="CV12" s="48">
        <f t="shared" si="52"/>
        <v>0</v>
      </c>
      <c r="CW12" s="48"/>
      <c r="CX12" s="48"/>
      <c r="CY12" s="48"/>
      <c r="CZ12" s="48">
        <f t="shared" si="53"/>
        <v>0</v>
      </c>
      <c r="DA12" s="48"/>
      <c r="DB12" s="48"/>
      <c r="DC12" s="48"/>
      <c r="DD12" s="48">
        <f t="shared" si="54"/>
        <v>0</v>
      </c>
      <c r="DE12" s="48"/>
      <c r="DF12" s="48"/>
      <c r="DG12" s="48"/>
      <c r="DH12" s="48">
        <f t="shared" si="55"/>
        <v>0</v>
      </c>
      <c r="DI12" s="48"/>
      <c r="DJ12" s="48"/>
      <c r="DK12" s="48"/>
      <c r="DL12" s="48">
        <f t="shared" si="56"/>
        <v>0</v>
      </c>
      <c r="DM12" s="48"/>
      <c r="DN12" s="48"/>
      <c r="DO12" s="48"/>
      <c r="DP12" s="48">
        <f t="shared" si="57"/>
        <v>0</v>
      </c>
      <c r="DQ12" s="48"/>
      <c r="DR12" s="48"/>
      <c r="DS12" s="48"/>
      <c r="DT12" s="48">
        <f t="shared" si="58"/>
        <v>0</v>
      </c>
      <c r="DU12" s="48"/>
      <c r="DV12" s="48"/>
      <c r="DW12" s="48"/>
      <c r="DX12" s="48">
        <f t="shared" si="59"/>
        <v>0</v>
      </c>
      <c r="DY12" s="48">
        <f t="shared" si="62"/>
        <v>1208</v>
      </c>
      <c r="DZ12" s="48">
        <f t="shared" si="60"/>
        <v>21</v>
      </c>
      <c r="EA12" s="14">
        <f>D12*'MASTER SHEET'!D12</f>
        <v>0</v>
      </c>
      <c r="EB12" s="14">
        <f>H12*'MASTER SHEET'!D12</f>
        <v>0</v>
      </c>
      <c r="EC12" s="14">
        <f>L12*'MASTER SHEET'!D12</f>
        <v>0</v>
      </c>
      <c r="ED12" s="14">
        <f>P12*'MASTER SHEET'!D12</f>
        <v>0</v>
      </c>
      <c r="EE12" s="14">
        <f>T12*'MASTER SHEET'!D12</f>
        <v>0</v>
      </c>
      <c r="EF12" s="14">
        <f>X12*'MASTER SHEET'!D12</f>
        <v>0</v>
      </c>
      <c r="EG12" s="14">
        <f>AB12*'MASTER SHEET'!D12</f>
        <v>0</v>
      </c>
      <c r="EH12" s="14">
        <f>AF12*'MASTER SHEET'!D12</f>
        <v>0</v>
      </c>
      <c r="EI12" s="14">
        <f>AJ12*'MASTER SHEET'!D12</f>
        <v>0</v>
      </c>
      <c r="EJ12" s="14">
        <f>AN12*'MASTER SHEET'!D12</f>
        <v>0</v>
      </c>
      <c r="EK12" s="14">
        <f>AR12*'MASTER SHEET'!D12</f>
        <v>0</v>
      </c>
      <c r="EL12" s="14">
        <f>AV12*'MASTER SHEET'!D12</f>
        <v>0</v>
      </c>
      <c r="EM12" s="14">
        <f>AZ12*'MASTER SHEET'!D12</f>
        <v>0</v>
      </c>
      <c r="EN12" s="14">
        <f>BD12*'MASTER SHEET'!D12</f>
        <v>0</v>
      </c>
      <c r="EO12" s="14">
        <f>BH12*'MASTER SHEET'!D12</f>
        <v>0</v>
      </c>
      <c r="EP12" s="14">
        <f>BL12*'MASTER SHEET'!D12</f>
        <v>0</v>
      </c>
      <c r="EQ12" s="14">
        <f>BP12*'MASTER SHEET'!D12</f>
        <v>0</v>
      </c>
      <c r="ER12" s="14">
        <f>BT12*'MASTER SHEET'!D12</f>
        <v>0</v>
      </c>
      <c r="ES12" s="14">
        <f>BX12*'MASTER SHEET'!D12</f>
        <v>0</v>
      </c>
      <c r="ET12" s="21">
        <f>CB12*'MASTER SHEET'!D12</f>
        <v>0</v>
      </c>
      <c r="EU12" s="14">
        <f>CF12*'MASTER SHEET'!D12</f>
        <v>0</v>
      </c>
      <c r="EV12" s="14">
        <f>CJ12*'MASTER SHEET'!D12</f>
        <v>0</v>
      </c>
      <c r="EW12" s="14">
        <f>CN12*'MASTER SHEET'!D12</f>
        <v>0</v>
      </c>
      <c r="EX12" s="14">
        <f>CR12*'MASTER SHEET'!D12</f>
        <v>0</v>
      </c>
      <c r="EY12" s="14">
        <f>CR12*'MASTER SHEET'!D12</f>
        <v>0</v>
      </c>
      <c r="EZ12" s="14">
        <f>CV12*'MASTER SHEET'!D12</f>
        <v>0</v>
      </c>
      <c r="FA12" s="14">
        <f>CZ12*'MASTER SHEET'!D12</f>
        <v>0</v>
      </c>
      <c r="FB12" s="14">
        <f>DD12*'MASTER SHEET'!D12</f>
        <v>0</v>
      </c>
    </row>
    <row r="13" spans="1:161" ht="18.75" customHeight="1" x14ac:dyDescent="0.25">
      <c r="A13" s="43">
        <f>'MASTER SHEET'!A13</f>
        <v>11</v>
      </c>
      <c r="B13" s="49" t="str">
        <f>'MASTER SHEET'!B13</f>
        <v>LID HOUSING</v>
      </c>
      <c r="C13" s="86">
        <f>'MASTER SHEET'!C13</f>
        <v>5015499</v>
      </c>
      <c r="D13" s="51"/>
      <c r="E13" s="48">
        <v>990</v>
      </c>
      <c r="F13" s="48">
        <v>967</v>
      </c>
      <c r="G13" s="48">
        <v>23</v>
      </c>
      <c r="H13" s="48">
        <f t="shared" si="30"/>
        <v>0</v>
      </c>
      <c r="I13" s="28">
        <v>1336</v>
      </c>
      <c r="J13" s="28">
        <v>1304</v>
      </c>
      <c r="K13" s="65">
        <v>32</v>
      </c>
      <c r="L13" s="48">
        <f t="shared" si="31"/>
        <v>0</v>
      </c>
      <c r="M13" s="48"/>
      <c r="N13" s="48"/>
      <c r="O13" s="48"/>
      <c r="P13" s="48">
        <f t="shared" si="32"/>
        <v>0</v>
      </c>
      <c r="Q13" s="48">
        <v>1576</v>
      </c>
      <c r="R13" s="48">
        <v>1568</v>
      </c>
      <c r="S13" s="48">
        <v>8</v>
      </c>
      <c r="T13" s="48">
        <f t="shared" si="33"/>
        <v>0</v>
      </c>
      <c r="U13" s="48">
        <v>63</v>
      </c>
      <c r="V13" s="48">
        <v>63</v>
      </c>
      <c r="W13" s="48">
        <v>0</v>
      </c>
      <c r="X13" s="48">
        <f>T13+U13-V13-W13</f>
        <v>0</v>
      </c>
      <c r="Y13" s="48"/>
      <c r="Z13" s="48"/>
      <c r="AA13" s="48"/>
      <c r="AB13" s="48">
        <f t="shared" si="35"/>
        <v>0</v>
      </c>
      <c r="AC13" s="48"/>
      <c r="AD13" s="48"/>
      <c r="AE13" s="48"/>
      <c r="AF13" s="48">
        <f t="shared" si="36"/>
        <v>0</v>
      </c>
      <c r="AG13" s="48"/>
      <c r="AH13" s="48"/>
      <c r="AI13" s="48"/>
      <c r="AJ13" s="48">
        <f t="shared" si="37"/>
        <v>0</v>
      </c>
      <c r="AK13" s="48"/>
      <c r="AL13" s="48"/>
      <c r="AM13" s="48"/>
      <c r="AN13" s="48">
        <f t="shared" si="38"/>
        <v>0</v>
      </c>
      <c r="AO13" s="48">
        <v>0</v>
      </c>
      <c r="AP13" s="48">
        <v>0</v>
      </c>
      <c r="AQ13" s="48">
        <v>0</v>
      </c>
      <c r="AR13" s="48">
        <f t="shared" si="39"/>
        <v>0</v>
      </c>
      <c r="AS13" s="48"/>
      <c r="AT13" s="48"/>
      <c r="AU13" s="48"/>
      <c r="AV13" s="48">
        <f t="shared" si="40"/>
        <v>0</v>
      </c>
      <c r="AW13" s="48"/>
      <c r="AX13" s="48"/>
      <c r="AY13" s="48"/>
      <c r="AZ13" s="48">
        <f t="shared" si="61"/>
        <v>0</v>
      </c>
      <c r="BA13" s="48"/>
      <c r="BB13" s="48"/>
      <c r="BC13" s="48"/>
      <c r="BD13" s="48">
        <f t="shared" si="41"/>
        <v>0</v>
      </c>
      <c r="BE13" s="48">
        <v>0</v>
      </c>
      <c r="BF13" s="48">
        <v>0</v>
      </c>
      <c r="BG13" s="48">
        <v>0</v>
      </c>
      <c r="BH13" s="48">
        <f t="shared" si="42"/>
        <v>0</v>
      </c>
      <c r="BI13" s="48">
        <v>0</v>
      </c>
      <c r="BJ13" s="48">
        <v>0</v>
      </c>
      <c r="BK13" s="48">
        <v>0</v>
      </c>
      <c r="BL13" s="48">
        <f t="shared" si="43"/>
        <v>0</v>
      </c>
      <c r="BM13" s="48">
        <v>0</v>
      </c>
      <c r="BN13" s="48">
        <v>0</v>
      </c>
      <c r="BO13" s="48">
        <v>0</v>
      </c>
      <c r="BP13" s="48">
        <f t="shared" si="44"/>
        <v>0</v>
      </c>
      <c r="BQ13" s="48">
        <v>514</v>
      </c>
      <c r="BR13" s="48">
        <v>418</v>
      </c>
      <c r="BS13" s="48">
        <v>96</v>
      </c>
      <c r="BT13" s="48">
        <f t="shared" si="45"/>
        <v>0</v>
      </c>
      <c r="BU13" s="48">
        <v>528</v>
      </c>
      <c r="BV13" s="48">
        <v>516</v>
      </c>
      <c r="BW13" s="48">
        <v>12</v>
      </c>
      <c r="BX13" s="48">
        <f t="shared" si="46"/>
        <v>0</v>
      </c>
      <c r="BY13" s="48"/>
      <c r="BZ13" s="48"/>
      <c r="CA13" s="48"/>
      <c r="CB13" s="48">
        <f t="shared" si="47"/>
        <v>0</v>
      </c>
      <c r="CC13" s="48">
        <v>1084</v>
      </c>
      <c r="CD13" s="48">
        <v>1077</v>
      </c>
      <c r="CE13" s="48">
        <v>7</v>
      </c>
      <c r="CF13" s="48">
        <f t="shared" si="48"/>
        <v>0</v>
      </c>
      <c r="CG13" s="48">
        <v>1527</v>
      </c>
      <c r="CH13" s="48">
        <v>1516</v>
      </c>
      <c r="CI13" s="48">
        <v>11</v>
      </c>
      <c r="CJ13" s="48">
        <f t="shared" si="49"/>
        <v>0</v>
      </c>
      <c r="CK13" s="48">
        <f>770+707</f>
        <v>1477</v>
      </c>
      <c r="CL13" s="48">
        <f>760+703</f>
        <v>1463</v>
      </c>
      <c r="CM13" s="48">
        <v>14</v>
      </c>
      <c r="CN13" s="48">
        <f t="shared" si="50"/>
        <v>0</v>
      </c>
      <c r="CO13" s="48">
        <v>63</v>
      </c>
      <c r="CP13" s="48">
        <v>63</v>
      </c>
      <c r="CQ13" s="48">
        <v>0</v>
      </c>
      <c r="CR13" s="48">
        <f t="shared" si="51"/>
        <v>0</v>
      </c>
      <c r="CS13" s="48"/>
      <c r="CT13" s="48"/>
      <c r="CU13" s="48"/>
      <c r="CV13" s="48">
        <f t="shared" si="52"/>
        <v>0</v>
      </c>
      <c r="CW13" s="48"/>
      <c r="CX13" s="48"/>
      <c r="CY13" s="48"/>
      <c r="CZ13" s="48">
        <f t="shared" si="53"/>
        <v>0</v>
      </c>
      <c r="DA13" s="48"/>
      <c r="DB13" s="48"/>
      <c r="DC13" s="48"/>
      <c r="DD13" s="48">
        <f t="shared" si="54"/>
        <v>0</v>
      </c>
      <c r="DE13" s="48"/>
      <c r="DF13" s="48"/>
      <c r="DG13" s="48"/>
      <c r="DH13" s="48">
        <f t="shared" si="55"/>
        <v>0</v>
      </c>
      <c r="DI13" s="48">
        <v>93</v>
      </c>
      <c r="DJ13" s="48">
        <v>85</v>
      </c>
      <c r="DK13" s="48">
        <v>8</v>
      </c>
      <c r="DL13" s="48">
        <f t="shared" si="56"/>
        <v>0</v>
      </c>
      <c r="DM13" s="48">
        <v>1437</v>
      </c>
      <c r="DN13" s="48">
        <v>1431</v>
      </c>
      <c r="DO13" s="48">
        <v>6</v>
      </c>
      <c r="DP13" s="48">
        <f t="shared" si="57"/>
        <v>0</v>
      </c>
      <c r="DQ13" s="48"/>
      <c r="DR13" s="48"/>
      <c r="DS13" s="48"/>
      <c r="DT13" s="48">
        <f t="shared" si="58"/>
        <v>0</v>
      </c>
      <c r="DU13" s="48"/>
      <c r="DV13" s="48"/>
      <c r="DW13" s="48"/>
      <c r="DX13" s="48">
        <f t="shared" si="59"/>
        <v>0</v>
      </c>
      <c r="DY13" s="48">
        <f t="shared" si="62"/>
        <v>10688</v>
      </c>
      <c r="DZ13" s="48">
        <f t="shared" si="60"/>
        <v>217</v>
      </c>
      <c r="EA13" s="14">
        <f>D13*'MASTER SHEET'!D13</f>
        <v>0</v>
      </c>
      <c r="EB13" s="14">
        <f>H13*'MASTER SHEET'!D13</f>
        <v>0</v>
      </c>
      <c r="EC13" s="14">
        <f>L13*'MASTER SHEET'!D13</f>
        <v>0</v>
      </c>
      <c r="ED13" s="14">
        <f>P13*'MASTER SHEET'!D13</f>
        <v>0</v>
      </c>
      <c r="EE13" s="14">
        <f>T13*'MASTER SHEET'!D13</f>
        <v>0</v>
      </c>
      <c r="EF13" s="14">
        <f>X13*'MASTER SHEET'!D13</f>
        <v>0</v>
      </c>
      <c r="EG13" s="14">
        <f>AB13*'MASTER SHEET'!D13</f>
        <v>0</v>
      </c>
      <c r="EH13" s="14">
        <f>AF13*'MASTER SHEET'!D13</f>
        <v>0</v>
      </c>
      <c r="EI13" s="14">
        <f>AJ13*'MASTER SHEET'!D13</f>
        <v>0</v>
      </c>
      <c r="EJ13" s="14">
        <f>AN13*'MASTER SHEET'!D13</f>
        <v>0</v>
      </c>
      <c r="EK13" s="14">
        <f>AR13*'MASTER SHEET'!D13</f>
        <v>0</v>
      </c>
      <c r="EL13" s="14">
        <f>AV13*'MASTER SHEET'!D13</f>
        <v>0</v>
      </c>
      <c r="EM13" s="14">
        <f>AZ13*'MASTER SHEET'!D13</f>
        <v>0</v>
      </c>
      <c r="EN13" s="14">
        <f>BD13*'MASTER SHEET'!D13</f>
        <v>0</v>
      </c>
      <c r="EO13" s="14">
        <f>BH13*'MASTER SHEET'!D13</f>
        <v>0</v>
      </c>
      <c r="EP13" s="14">
        <f>BL13*'MASTER SHEET'!D13</f>
        <v>0</v>
      </c>
      <c r="EQ13" s="14">
        <f>BP13*'MASTER SHEET'!D13</f>
        <v>0</v>
      </c>
      <c r="ER13" s="14">
        <f>BT13*'MASTER SHEET'!D13</f>
        <v>0</v>
      </c>
      <c r="ES13" s="14">
        <f>BX13*'MASTER SHEET'!D13</f>
        <v>0</v>
      </c>
      <c r="ET13" s="21">
        <f>CB13*'MASTER SHEET'!D13</f>
        <v>0</v>
      </c>
      <c r="EU13" s="14">
        <f>CF13*'MASTER SHEET'!D13</f>
        <v>0</v>
      </c>
      <c r="EV13" s="14">
        <f>CJ13*'MASTER SHEET'!D13</f>
        <v>0</v>
      </c>
      <c r="EW13" s="14">
        <f>CN13*'MASTER SHEET'!D13</f>
        <v>0</v>
      </c>
      <c r="EX13" s="14">
        <f>CR13*'MASTER SHEET'!D13</f>
        <v>0</v>
      </c>
      <c r="EY13" s="14">
        <f>CR13*'MASTER SHEET'!D13</f>
        <v>0</v>
      </c>
      <c r="EZ13" s="14">
        <f>CV13*'MASTER SHEET'!D13</f>
        <v>0</v>
      </c>
      <c r="FA13" s="14">
        <f>CZ13*'MASTER SHEET'!D13</f>
        <v>0</v>
      </c>
      <c r="FB13" s="14">
        <f>DD13*'MASTER SHEET'!D13</f>
        <v>0</v>
      </c>
    </row>
    <row r="14" spans="1:161" ht="18.75" customHeight="1" x14ac:dyDescent="0.25">
      <c r="A14" s="43">
        <f>'MASTER SHEET'!A14</f>
        <v>12</v>
      </c>
      <c r="B14" s="49" t="str">
        <f>'MASTER SHEET'!B14</f>
        <v xml:space="preserve">END PLATE PLASTIC </v>
      </c>
      <c r="C14" s="86">
        <f>'MASTER SHEET'!C14</f>
        <v>5015855</v>
      </c>
      <c r="D14" s="51"/>
      <c r="E14" s="48"/>
      <c r="F14" s="48"/>
      <c r="G14" s="48"/>
      <c r="H14" s="48">
        <f t="shared" si="30"/>
        <v>0</v>
      </c>
      <c r="I14" s="28"/>
      <c r="J14" s="28"/>
      <c r="K14" s="65"/>
      <c r="L14" s="48">
        <f t="shared" si="31"/>
        <v>0</v>
      </c>
      <c r="M14" s="48"/>
      <c r="N14" s="48"/>
      <c r="O14" s="48"/>
      <c r="P14" s="48">
        <f t="shared" si="32"/>
        <v>0</v>
      </c>
      <c r="Q14" s="48"/>
      <c r="R14" s="48"/>
      <c r="S14" s="48"/>
      <c r="T14" s="48">
        <f t="shared" si="33"/>
        <v>0</v>
      </c>
      <c r="U14" s="48">
        <v>0</v>
      </c>
      <c r="V14" s="48"/>
      <c r="W14" s="48"/>
      <c r="X14" s="48">
        <f t="shared" si="34"/>
        <v>0</v>
      </c>
      <c r="Y14" s="48"/>
      <c r="Z14" s="48"/>
      <c r="AA14" s="48"/>
      <c r="AB14" s="48">
        <f t="shared" si="35"/>
        <v>0</v>
      </c>
      <c r="AC14" s="48"/>
      <c r="AD14" s="48"/>
      <c r="AE14" s="48"/>
      <c r="AF14" s="48">
        <f t="shared" si="36"/>
        <v>0</v>
      </c>
      <c r="AG14" s="48"/>
      <c r="AH14" s="48"/>
      <c r="AI14" s="48"/>
      <c r="AJ14" s="48">
        <f t="shared" si="37"/>
        <v>0</v>
      </c>
      <c r="AK14" s="48"/>
      <c r="AL14" s="48"/>
      <c r="AM14" s="48"/>
      <c r="AN14" s="48">
        <f t="shared" si="38"/>
        <v>0</v>
      </c>
      <c r="AO14" s="48"/>
      <c r="AP14" s="48"/>
      <c r="AQ14" s="48"/>
      <c r="AR14" s="48">
        <f t="shared" si="39"/>
        <v>0</v>
      </c>
      <c r="AS14" s="48"/>
      <c r="AT14" s="48"/>
      <c r="AU14" s="48"/>
      <c r="AV14" s="48">
        <f t="shared" si="40"/>
        <v>0</v>
      </c>
      <c r="AW14" s="48"/>
      <c r="AX14" s="48"/>
      <c r="AY14" s="48"/>
      <c r="AZ14" s="48">
        <f t="shared" si="61"/>
        <v>0</v>
      </c>
      <c r="BA14" s="48"/>
      <c r="BB14" s="48"/>
      <c r="BC14" s="48"/>
      <c r="BD14" s="48">
        <f t="shared" si="41"/>
        <v>0</v>
      </c>
      <c r="BE14" s="48"/>
      <c r="BF14" s="48"/>
      <c r="BG14" s="48"/>
      <c r="BH14" s="48">
        <f t="shared" si="42"/>
        <v>0</v>
      </c>
      <c r="BI14" s="48"/>
      <c r="BJ14" s="48"/>
      <c r="BK14" s="48"/>
      <c r="BL14" s="48">
        <f t="shared" si="43"/>
        <v>0</v>
      </c>
      <c r="BM14" s="48"/>
      <c r="BN14" s="48"/>
      <c r="BO14" s="48"/>
      <c r="BP14" s="48">
        <f t="shared" si="44"/>
        <v>0</v>
      </c>
      <c r="BQ14" s="48"/>
      <c r="BR14" s="48"/>
      <c r="BS14" s="48"/>
      <c r="BT14" s="48">
        <f t="shared" si="45"/>
        <v>0</v>
      </c>
      <c r="BU14" s="48"/>
      <c r="BV14" s="48"/>
      <c r="BW14" s="48"/>
      <c r="BX14" s="48">
        <f t="shared" si="46"/>
        <v>0</v>
      </c>
      <c r="BY14" s="48"/>
      <c r="BZ14" s="48"/>
      <c r="CA14" s="48"/>
      <c r="CB14" s="48">
        <f t="shared" si="47"/>
        <v>0</v>
      </c>
      <c r="CC14" s="48"/>
      <c r="CD14" s="48"/>
      <c r="CE14" s="48"/>
      <c r="CF14" s="48">
        <f t="shared" si="48"/>
        <v>0</v>
      </c>
      <c r="CG14" s="48"/>
      <c r="CH14" s="48"/>
      <c r="CI14" s="48"/>
      <c r="CJ14" s="48">
        <f t="shared" si="49"/>
        <v>0</v>
      </c>
      <c r="CK14" s="48"/>
      <c r="CL14" s="48"/>
      <c r="CM14" s="48"/>
      <c r="CN14" s="48">
        <f t="shared" si="50"/>
        <v>0</v>
      </c>
      <c r="CO14" s="48"/>
      <c r="CP14" s="48"/>
      <c r="CQ14" s="48"/>
      <c r="CR14" s="48">
        <f t="shared" si="51"/>
        <v>0</v>
      </c>
      <c r="CS14" s="48"/>
      <c r="CT14" s="48"/>
      <c r="CU14" s="48"/>
      <c r="CV14" s="48">
        <f t="shared" si="52"/>
        <v>0</v>
      </c>
      <c r="CW14" s="48"/>
      <c r="CX14" s="48"/>
      <c r="CY14" s="48"/>
      <c r="CZ14" s="48">
        <f t="shared" si="53"/>
        <v>0</v>
      </c>
      <c r="DA14" s="48"/>
      <c r="DB14" s="48"/>
      <c r="DC14" s="48"/>
      <c r="DD14" s="48">
        <f t="shared" si="54"/>
        <v>0</v>
      </c>
      <c r="DE14" s="48"/>
      <c r="DF14" s="48"/>
      <c r="DG14" s="48"/>
      <c r="DH14" s="48">
        <f t="shared" si="55"/>
        <v>0</v>
      </c>
      <c r="DI14" s="48"/>
      <c r="DJ14" s="48"/>
      <c r="DK14" s="48"/>
      <c r="DL14" s="48">
        <f t="shared" si="56"/>
        <v>0</v>
      </c>
      <c r="DM14" s="48"/>
      <c r="DN14" s="48"/>
      <c r="DO14" s="48"/>
      <c r="DP14" s="48">
        <f t="shared" si="57"/>
        <v>0</v>
      </c>
      <c r="DQ14" s="48"/>
      <c r="DR14" s="48"/>
      <c r="DS14" s="48"/>
      <c r="DT14" s="48">
        <f t="shared" si="58"/>
        <v>0</v>
      </c>
      <c r="DU14" s="48"/>
      <c r="DV14" s="48"/>
      <c r="DW14" s="48"/>
      <c r="DX14" s="48">
        <f t="shared" si="59"/>
        <v>0</v>
      </c>
      <c r="DY14" s="48">
        <f t="shared" si="62"/>
        <v>0</v>
      </c>
      <c r="DZ14" s="48">
        <f t="shared" si="60"/>
        <v>0</v>
      </c>
      <c r="EA14" s="14">
        <f>D14*'MASTER SHEET'!D14</f>
        <v>0</v>
      </c>
      <c r="EB14" s="14">
        <f>H14*'MASTER SHEET'!D14</f>
        <v>0</v>
      </c>
      <c r="EC14" s="14">
        <f>L14*'MASTER SHEET'!D14</f>
        <v>0</v>
      </c>
      <c r="ED14" s="14">
        <f>P14*'MASTER SHEET'!D14</f>
        <v>0</v>
      </c>
      <c r="EE14" s="14">
        <f>T14*'MASTER SHEET'!D14</f>
        <v>0</v>
      </c>
      <c r="EF14" s="14">
        <f>X14*'MASTER SHEET'!D14</f>
        <v>0</v>
      </c>
      <c r="EG14" s="14">
        <f>AB14*'MASTER SHEET'!D14</f>
        <v>0</v>
      </c>
      <c r="EH14" s="14">
        <f>AF14*'MASTER SHEET'!D14</f>
        <v>0</v>
      </c>
      <c r="EI14" s="14">
        <f>AJ14*'MASTER SHEET'!D14</f>
        <v>0</v>
      </c>
      <c r="EJ14" s="14">
        <f>AN14*'MASTER SHEET'!D14</f>
        <v>0</v>
      </c>
      <c r="EK14" s="14">
        <f>AR14*'MASTER SHEET'!D14</f>
        <v>0</v>
      </c>
      <c r="EL14" s="14">
        <f>AV14*'MASTER SHEET'!D14</f>
        <v>0</v>
      </c>
      <c r="EM14" s="14">
        <f>AZ14*'MASTER SHEET'!D14</f>
        <v>0</v>
      </c>
      <c r="EN14" s="14">
        <f>BD14*'MASTER SHEET'!D14</f>
        <v>0</v>
      </c>
      <c r="EO14" s="14">
        <f>BH14*'MASTER SHEET'!D14</f>
        <v>0</v>
      </c>
      <c r="EP14" s="14">
        <f>BL14*'MASTER SHEET'!D14</f>
        <v>0</v>
      </c>
      <c r="EQ14" s="14">
        <f>BP14*'MASTER SHEET'!D14</f>
        <v>0</v>
      </c>
      <c r="ER14" s="14">
        <f>BT14*'MASTER SHEET'!D14</f>
        <v>0</v>
      </c>
      <c r="ES14" s="14">
        <f>BX14*'MASTER SHEET'!D14</f>
        <v>0</v>
      </c>
      <c r="ET14" s="21">
        <f>CB14*'MASTER SHEET'!D14</f>
        <v>0</v>
      </c>
      <c r="EU14" s="14">
        <f>CF14*'MASTER SHEET'!D14</f>
        <v>0</v>
      </c>
      <c r="EV14" s="14">
        <f>CJ14*'MASTER SHEET'!D14</f>
        <v>0</v>
      </c>
      <c r="EW14" s="14">
        <f>CN14*'MASTER SHEET'!D14</f>
        <v>0</v>
      </c>
      <c r="EX14" s="14">
        <f>CR14*'MASTER SHEET'!D14</f>
        <v>0</v>
      </c>
      <c r="EY14" s="14">
        <f>CR14*'MASTER SHEET'!D14</f>
        <v>0</v>
      </c>
      <c r="EZ14" s="14">
        <f>CV14*'MASTER SHEET'!D14</f>
        <v>0</v>
      </c>
      <c r="FA14" s="14">
        <f>CZ14*'MASTER SHEET'!D14</f>
        <v>0</v>
      </c>
      <c r="FB14" s="14">
        <f>DD14*'MASTER SHEET'!D14</f>
        <v>0</v>
      </c>
    </row>
    <row r="15" spans="1:161" ht="18.75" customHeight="1" x14ac:dyDescent="0.25">
      <c r="A15" s="43">
        <f>'MASTER SHEET'!A15</f>
        <v>13</v>
      </c>
      <c r="B15" s="49" t="str">
        <f>'MASTER SHEET'!B15</f>
        <v>VALVE BODY, PLASTIC</v>
      </c>
      <c r="C15" s="86">
        <f>'MASTER SHEET'!C15</f>
        <v>5015903</v>
      </c>
      <c r="D15" s="51"/>
      <c r="E15" s="48">
        <v>8506</v>
      </c>
      <c r="F15" s="48">
        <v>8502</v>
      </c>
      <c r="G15" s="48">
        <v>4</v>
      </c>
      <c r="H15" s="48">
        <f t="shared" si="30"/>
        <v>0</v>
      </c>
      <c r="I15" s="48">
        <v>944</v>
      </c>
      <c r="J15" s="48">
        <v>944</v>
      </c>
      <c r="K15" s="48">
        <v>0</v>
      </c>
      <c r="L15" s="48">
        <f t="shared" si="31"/>
        <v>0</v>
      </c>
      <c r="M15" s="48"/>
      <c r="N15" s="48"/>
      <c r="O15" s="48"/>
      <c r="P15" s="48">
        <f t="shared" si="32"/>
        <v>0</v>
      </c>
      <c r="Q15" s="48"/>
      <c r="R15" s="48"/>
      <c r="S15" s="48"/>
      <c r="T15" s="48">
        <f t="shared" si="33"/>
        <v>0</v>
      </c>
      <c r="U15" s="48">
        <v>0</v>
      </c>
      <c r="V15" s="48"/>
      <c r="W15" s="48"/>
      <c r="X15" s="48">
        <f t="shared" si="34"/>
        <v>0</v>
      </c>
      <c r="Y15" s="48"/>
      <c r="Z15" s="48"/>
      <c r="AA15" s="48"/>
      <c r="AB15" s="48">
        <f t="shared" si="35"/>
        <v>0</v>
      </c>
      <c r="AC15" s="48"/>
      <c r="AD15" s="48"/>
      <c r="AE15" s="48"/>
      <c r="AF15" s="48">
        <f t="shared" si="36"/>
        <v>0</v>
      </c>
      <c r="AG15" s="48"/>
      <c r="AH15" s="48"/>
      <c r="AI15" s="48"/>
      <c r="AJ15" s="48">
        <f t="shared" si="37"/>
        <v>0</v>
      </c>
      <c r="AK15" s="48"/>
      <c r="AL15" s="48"/>
      <c r="AM15" s="48"/>
      <c r="AN15" s="48">
        <f t="shared" si="38"/>
        <v>0</v>
      </c>
      <c r="AO15" s="48"/>
      <c r="AP15" s="48"/>
      <c r="AQ15" s="48"/>
      <c r="AR15" s="48">
        <f t="shared" si="39"/>
        <v>0</v>
      </c>
      <c r="AS15" s="48"/>
      <c r="AT15" s="48"/>
      <c r="AU15" s="48"/>
      <c r="AV15" s="48">
        <f t="shared" si="40"/>
        <v>0</v>
      </c>
      <c r="AW15" s="48"/>
      <c r="AX15" s="48"/>
      <c r="AY15" s="48"/>
      <c r="AZ15" s="48">
        <f t="shared" si="61"/>
        <v>0</v>
      </c>
      <c r="BA15" s="48"/>
      <c r="BB15" s="48"/>
      <c r="BC15" s="48"/>
      <c r="BD15" s="48">
        <f t="shared" si="41"/>
        <v>0</v>
      </c>
      <c r="BE15" s="48"/>
      <c r="BF15" s="48"/>
      <c r="BG15" s="48"/>
      <c r="BH15" s="48">
        <f t="shared" si="42"/>
        <v>0</v>
      </c>
      <c r="BI15" s="48"/>
      <c r="BJ15" s="48"/>
      <c r="BK15" s="48"/>
      <c r="BL15" s="48">
        <f t="shared" si="43"/>
        <v>0</v>
      </c>
      <c r="BM15" s="48"/>
      <c r="BN15" s="48"/>
      <c r="BO15" s="48"/>
      <c r="BP15" s="48">
        <f t="shared" si="44"/>
        <v>0</v>
      </c>
      <c r="BQ15" s="48"/>
      <c r="BR15" s="48"/>
      <c r="BS15" s="48"/>
      <c r="BT15" s="48">
        <f t="shared" si="45"/>
        <v>0</v>
      </c>
      <c r="BU15" s="48"/>
      <c r="BV15" s="48"/>
      <c r="BW15" s="48"/>
      <c r="BX15" s="48">
        <f t="shared" si="46"/>
        <v>0</v>
      </c>
      <c r="BY15" s="48"/>
      <c r="BZ15" s="48"/>
      <c r="CA15" s="48"/>
      <c r="CB15" s="48">
        <f t="shared" si="47"/>
        <v>0</v>
      </c>
      <c r="CC15" s="48"/>
      <c r="CD15" s="48"/>
      <c r="CE15" s="48"/>
      <c r="CF15" s="48">
        <f t="shared" si="48"/>
        <v>0</v>
      </c>
      <c r="CG15" s="48"/>
      <c r="CH15" s="48"/>
      <c r="CI15" s="48"/>
      <c r="CJ15" s="48">
        <f t="shared" si="49"/>
        <v>0</v>
      </c>
      <c r="CK15" s="48"/>
      <c r="CL15" s="48"/>
      <c r="CM15" s="48"/>
      <c r="CN15" s="48">
        <f t="shared" si="50"/>
        <v>0</v>
      </c>
      <c r="CO15" s="48"/>
      <c r="CP15" s="48"/>
      <c r="CQ15" s="48"/>
      <c r="CR15" s="48">
        <f t="shared" si="51"/>
        <v>0</v>
      </c>
      <c r="CS15" s="48"/>
      <c r="CT15" s="48"/>
      <c r="CU15" s="48"/>
      <c r="CV15" s="48">
        <f t="shared" si="52"/>
        <v>0</v>
      </c>
      <c r="CW15" s="48"/>
      <c r="CX15" s="48"/>
      <c r="CY15" s="48"/>
      <c r="CZ15" s="48">
        <f t="shared" si="53"/>
        <v>0</v>
      </c>
      <c r="DA15" s="48"/>
      <c r="DB15" s="48"/>
      <c r="DC15" s="48"/>
      <c r="DD15" s="48">
        <f t="shared" si="54"/>
        <v>0</v>
      </c>
      <c r="DE15" s="48"/>
      <c r="DF15" s="48"/>
      <c r="DG15" s="48"/>
      <c r="DH15" s="48">
        <f t="shared" si="55"/>
        <v>0</v>
      </c>
      <c r="DI15" s="48"/>
      <c r="DJ15" s="48"/>
      <c r="DK15" s="48"/>
      <c r="DL15" s="48">
        <f t="shared" si="56"/>
        <v>0</v>
      </c>
      <c r="DM15" s="48"/>
      <c r="DN15" s="48"/>
      <c r="DO15" s="48"/>
      <c r="DP15" s="48">
        <f t="shared" si="57"/>
        <v>0</v>
      </c>
      <c r="DQ15" s="48"/>
      <c r="DR15" s="48"/>
      <c r="DS15" s="48"/>
      <c r="DT15" s="48">
        <f t="shared" si="58"/>
        <v>0</v>
      </c>
      <c r="DU15" s="48"/>
      <c r="DV15" s="48"/>
      <c r="DW15" s="48"/>
      <c r="DX15" s="48">
        <f t="shared" si="59"/>
        <v>0</v>
      </c>
      <c r="DY15" s="48">
        <f t="shared" si="62"/>
        <v>9450</v>
      </c>
      <c r="DZ15" s="48">
        <f t="shared" si="60"/>
        <v>4</v>
      </c>
      <c r="EA15" s="14">
        <f>D15*'MASTER SHEET'!D15</f>
        <v>0</v>
      </c>
      <c r="EB15" s="14">
        <f>H15*'MASTER SHEET'!D15</f>
        <v>0</v>
      </c>
      <c r="EC15" s="14">
        <f>L15*'MASTER SHEET'!D15</f>
        <v>0</v>
      </c>
      <c r="ED15" s="14">
        <f>P15*'MASTER SHEET'!D15</f>
        <v>0</v>
      </c>
      <c r="EE15" s="14">
        <f>T15*'MASTER SHEET'!D15</f>
        <v>0</v>
      </c>
      <c r="EF15" s="14">
        <f>X15*'MASTER SHEET'!D15</f>
        <v>0</v>
      </c>
      <c r="EG15" s="14">
        <f>AB15*'MASTER SHEET'!D15</f>
        <v>0</v>
      </c>
      <c r="EH15" s="14">
        <f>AF15*'MASTER SHEET'!D15</f>
        <v>0</v>
      </c>
      <c r="EI15" s="14">
        <f>AJ15*'MASTER SHEET'!D15</f>
        <v>0</v>
      </c>
      <c r="EJ15" s="14">
        <f>AN15*'MASTER SHEET'!D15</f>
        <v>0</v>
      </c>
      <c r="EK15" s="14">
        <f>AR15*'MASTER SHEET'!D15</f>
        <v>0</v>
      </c>
      <c r="EL15" s="14">
        <f>AV15*'MASTER SHEET'!D15</f>
        <v>0</v>
      </c>
      <c r="EM15" s="14">
        <f>AZ15*'MASTER SHEET'!D15</f>
        <v>0</v>
      </c>
      <c r="EN15" s="14">
        <f>BD15*'MASTER SHEET'!D15</f>
        <v>0</v>
      </c>
      <c r="EO15" s="14">
        <f>BH15*'MASTER SHEET'!D15</f>
        <v>0</v>
      </c>
      <c r="EP15" s="14">
        <f>BL15*'MASTER SHEET'!D15</f>
        <v>0</v>
      </c>
      <c r="EQ15" s="14">
        <f>BP15*'MASTER SHEET'!D15</f>
        <v>0</v>
      </c>
      <c r="ER15" s="14">
        <f>BT15*'MASTER SHEET'!D15</f>
        <v>0</v>
      </c>
      <c r="ES15" s="14">
        <f>BX15*'MASTER SHEET'!D15</f>
        <v>0</v>
      </c>
      <c r="ET15" s="21">
        <f>CB15*'MASTER SHEET'!D15</f>
        <v>0</v>
      </c>
      <c r="EU15" s="14">
        <f>CF15*'MASTER SHEET'!D15</f>
        <v>0</v>
      </c>
      <c r="EV15" s="14">
        <f>CJ15*'MASTER SHEET'!D15</f>
        <v>0</v>
      </c>
      <c r="EW15" s="14">
        <f>CN15*'MASTER SHEET'!D15</f>
        <v>0</v>
      </c>
      <c r="EX15" s="14">
        <f>CR15*'MASTER SHEET'!D15</f>
        <v>0</v>
      </c>
      <c r="EY15" s="14">
        <f>CR15*'MASTER SHEET'!D15</f>
        <v>0</v>
      </c>
      <c r="EZ15" s="14">
        <f>CV15*'MASTER SHEET'!D15</f>
        <v>0</v>
      </c>
      <c r="FA15" s="14">
        <f>CZ15*'MASTER SHEET'!D15</f>
        <v>0</v>
      </c>
      <c r="FB15" s="14">
        <f>DD15*'MASTER SHEET'!D15</f>
        <v>0</v>
      </c>
    </row>
    <row r="16" spans="1:161" ht="18.75" customHeight="1" x14ac:dyDescent="0.25">
      <c r="A16" s="43">
        <f>'MASTER SHEET'!A16</f>
        <v>14</v>
      </c>
      <c r="B16" s="49" t="str">
        <f>'MASTER SHEET'!B16</f>
        <v>VALVE BODY, PLASTIC</v>
      </c>
      <c r="C16" s="86">
        <f>'MASTER SHEET'!C16</f>
        <v>5015904</v>
      </c>
      <c r="D16" s="51"/>
      <c r="E16" s="48">
        <v>8506</v>
      </c>
      <c r="F16" s="48">
        <v>8502</v>
      </c>
      <c r="G16" s="48">
        <v>4</v>
      </c>
      <c r="H16" s="48">
        <f t="shared" si="30"/>
        <v>0</v>
      </c>
      <c r="I16" s="48">
        <v>944</v>
      </c>
      <c r="J16" s="48">
        <v>944</v>
      </c>
      <c r="K16" s="48">
        <v>0</v>
      </c>
      <c r="L16" s="48">
        <f t="shared" si="31"/>
        <v>0</v>
      </c>
      <c r="M16" s="48"/>
      <c r="N16" s="48"/>
      <c r="O16" s="48"/>
      <c r="P16" s="48">
        <f t="shared" si="32"/>
        <v>0</v>
      </c>
      <c r="Q16" s="48"/>
      <c r="R16" s="48"/>
      <c r="S16" s="48"/>
      <c r="T16" s="48">
        <f t="shared" si="33"/>
        <v>0</v>
      </c>
      <c r="U16" s="48">
        <v>0</v>
      </c>
      <c r="V16" s="48"/>
      <c r="W16" s="48"/>
      <c r="X16" s="48">
        <f t="shared" si="34"/>
        <v>0</v>
      </c>
      <c r="Y16" s="48"/>
      <c r="Z16" s="48"/>
      <c r="AA16" s="48"/>
      <c r="AB16" s="48">
        <f t="shared" si="35"/>
        <v>0</v>
      </c>
      <c r="AC16" s="48"/>
      <c r="AD16" s="48"/>
      <c r="AE16" s="48"/>
      <c r="AF16" s="48">
        <f t="shared" si="36"/>
        <v>0</v>
      </c>
      <c r="AG16" s="48"/>
      <c r="AH16" s="48"/>
      <c r="AI16" s="48"/>
      <c r="AJ16" s="48">
        <f t="shared" si="37"/>
        <v>0</v>
      </c>
      <c r="AK16" s="48"/>
      <c r="AL16" s="48"/>
      <c r="AM16" s="48"/>
      <c r="AN16" s="48">
        <f t="shared" si="38"/>
        <v>0</v>
      </c>
      <c r="AO16" s="48"/>
      <c r="AP16" s="48"/>
      <c r="AQ16" s="48"/>
      <c r="AR16" s="48">
        <f t="shared" si="39"/>
        <v>0</v>
      </c>
      <c r="AS16" s="48"/>
      <c r="AT16" s="48"/>
      <c r="AU16" s="48"/>
      <c r="AV16" s="48">
        <f t="shared" si="40"/>
        <v>0</v>
      </c>
      <c r="AW16" s="48"/>
      <c r="AX16" s="48"/>
      <c r="AY16" s="48"/>
      <c r="AZ16" s="48">
        <f t="shared" si="61"/>
        <v>0</v>
      </c>
      <c r="BA16" s="48"/>
      <c r="BB16" s="48"/>
      <c r="BC16" s="48"/>
      <c r="BD16" s="48">
        <f t="shared" si="41"/>
        <v>0</v>
      </c>
      <c r="BE16" s="48"/>
      <c r="BF16" s="48"/>
      <c r="BG16" s="48"/>
      <c r="BH16" s="48">
        <f t="shared" si="42"/>
        <v>0</v>
      </c>
      <c r="BI16" s="48"/>
      <c r="BJ16" s="48"/>
      <c r="BK16" s="48"/>
      <c r="BL16" s="48">
        <f t="shared" si="43"/>
        <v>0</v>
      </c>
      <c r="BM16" s="48"/>
      <c r="BN16" s="48"/>
      <c r="BO16" s="48"/>
      <c r="BP16" s="48">
        <f t="shared" si="44"/>
        <v>0</v>
      </c>
      <c r="BQ16" s="48"/>
      <c r="BR16" s="48"/>
      <c r="BS16" s="48"/>
      <c r="BT16" s="48">
        <f t="shared" si="45"/>
        <v>0</v>
      </c>
      <c r="BU16" s="48"/>
      <c r="BV16" s="48"/>
      <c r="BW16" s="48"/>
      <c r="BX16" s="48">
        <f t="shared" si="46"/>
        <v>0</v>
      </c>
      <c r="BY16" s="48"/>
      <c r="BZ16" s="48"/>
      <c r="CA16" s="48"/>
      <c r="CB16" s="48">
        <f t="shared" si="47"/>
        <v>0</v>
      </c>
      <c r="CC16" s="48"/>
      <c r="CD16" s="48"/>
      <c r="CE16" s="48"/>
      <c r="CF16" s="48">
        <f t="shared" si="48"/>
        <v>0</v>
      </c>
      <c r="CG16" s="48"/>
      <c r="CH16" s="48"/>
      <c r="CI16" s="48"/>
      <c r="CJ16" s="48">
        <f t="shared" si="49"/>
        <v>0</v>
      </c>
      <c r="CK16" s="48"/>
      <c r="CL16" s="48"/>
      <c r="CM16" s="48"/>
      <c r="CN16" s="48">
        <f t="shared" si="50"/>
        <v>0</v>
      </c>
      <c r="CO16" s="48"/>
      <c r="CP16" s="48"/>
      <c r="CQ16" s="48"/>
      <c r="CR16" s="48">
        <f t="shared" si="51"/>
        <v>0</v>
      </c>
      <c r="CS16" s="48"/>
      <c r="CT16" s="48"/>
      <c r="CU16" s="48"/>
      <c r="CV16" s="48">
        <f t="shared" si="52"/>
        <v>0</v>
      </c>
      <c r="CW16" s="48"/>
      <c r="CX16" s="48"/>
      <c r="CY16" s="48"/>
      <c r="CZ16" s="48">
        <f t="shared" si="53"/>
        <v>0</v>
      </c>
      <c r="DA16" s="48"/>
      <c r="DB16" s="48"/>
      <c r="DC16" s="48"/>
      <c r="DD16" s="48">
        <f t="shared" si="54"/>
        <v>0</v>
      </c>
      <c r="DE16" s="48"/>
      <c r="DF16" s="48"/>
      <c r="DG16" s="48"/>
      <c r="DH16" s="48">
        <f t="shared" si="55"/>
        <v>0</v>
      </c>
      <c r="DI16" s="48"/>
      <c r="DJ16" s="48"/>
      <c r="DK16" s="48"/>
      <c r="DL16" s="48">
        <f t="shared" si="56"/>
        <v>0</v>
      </c>
      <c r="DM16" s="48"/>
      <c r="DN16" s="48"/>
      <c r="DO16" s="48"/>
      <c r="DP16" s="48">
        <f t="shared" si="57"/>
        <v>0</v>
      </c>
      <c r="DQ16" s="48"/>
      <c r="DR16" s="48"/>
      <c r="DS16" s="48"/>
      <c r="DT16" s="48">
        <f t="shared" si="58"/>
        <v>0</v>
      </c>
      <c r="DU16" s="48"/>
      <c r="DV16" s="48"/>
      <c r="DW16" s="48"/>
      <c r="DX16" s="48">
        <f t="shared" si="59"/>
        <v>0</v>
      </c>
      <c r="DY16" s="48">
        <f t="shared" si="62"/>
        <v>9450</v>
      </c>
      <c r="DZ16" s="48">
        <f t="shared" si="60"/>
        <v>4</v>
      </c>
      <c r="EA16" s="14">
        <f>D16*'MASTER SHEET'!D16</f>
        <v>0</v>
      </c>
      <c r="EB16" s="14">
        <f>H16*'MASTER SHEET'!D16</f>
        <v>0</v>
      </c>
      <c r="EC16" s="14">
        <f>L16*'MASTER SHEET'!D16</f>
        <v>0</v>
      </c>
      <c r="ED16" s="14">
        <f>P16*'MASTER SHEET'!D16</f>
        <v>0</v>
      </c>
      <c r="EE16" s="14">
        <f>T16*'MASTER SHEET'!D16</f>
        <v>0</v>
      </c>
      <c r="EF16" s="14">
        <f>X16*'MASTER SHEET'!D16</f>
        <v>0</v>
      </c>
      <c r="EG16" s="14">
        <f>AB16*'MASTER SHEET'!D16</f>
        <v>0</v>
      </c>
      <c r="EH16" s="14">
        <f>AF16*'MASTER SHEET'!D16</f>
        <v>0</v>
      </c>
      <c r="EI16" s="14">
        <f>AJ16*'MASTER SHEET'!D16</f>
        <v>0</v>
      </c>
      <c r="EJ16" s="14">
        <f>AN16*'MASTER SHEET'!D16</f>
        <v>0</v>
      </c>
      <c r="EK16" s="14">
        <f>AR16*'MASTER SHEET'!D16</f>
        <v>0</v>
      </c>
      <c r="EL16" s="14">
        <f>AV16*'MASTER SHEET'!D16</f>
        <v>0</v>
      </c>
      <c r="EM16" s="14">
        <f>AZ16*'MASTER SHEET'!D16</f>
        <v>0</v>
      </c>
      <c r="EN16" s="14">
        <f>BD16*'MASTER SHEET'!D16</f>
        <v>0</v>
      </c>
      <c r="EO16" s="14">
        <f>BH16*'MASTER SHEET'!D16</f>
        <v>0</v>
      </c>
      <c r="EP16" s="14">
        <f>BL16*'MASTER SHEET'!D16</f>
        <v>0</v>
      </c>
      <c r="EQ16" s="14">
        <f>BP16*'MASTER SHEET'!D16</f>
        <v>0</v>
      </c>
      <c r="ER16" s="14">
        <f>BT16*'MASTER SHEET'!D16</f>
        <v>0</v>
      </c>
      <c r="ES16" s="14">
        <f>BX16*'MASTER SHEET'!D16</f>
        <v>0</v>
      </c>
      <c r="ET16" s="21">
        <f>CB16*'MASTER SHEET'!D16</f>
        <v>0</v>
      </c>
      <c r="EU16" s="14">
        <f>CF16*'MASTER SHEET'!D16</f>
        <v>0</v>
      </c>
      <c r="EV16" s="14">
        <f>CJ16*'MASTER SHEET'!D16</f>
        <v>0</v>
      </c>
      <c r="EW16" s="14">
        <f>CN16*'MASTER SHEET'!D16</f>
        <v>0</v>
      </c>
      <c r="EX16" s="14">
        <f>CR16*'MASTER SHEET'!D16</f>
        <v>0</v>
      </c>
      <c r="EY16" s="14">
        <f>CR16*'MASTER SHEET'!D16</f>
        <v>0</v>
      </c>
      <c r="EZ16" s="14">
        <f>CV16*'MASTER SHEET'!D16</f>
        <v>0</v>
      </c>
      <c r="FA16" s="14">
        <f>CZ16*'MASTER SHEET'!D16</f>
        <v>0</v>
      </c>
      <c r="FB16" s="14">
        <f>DD16*'MASTER SHEET'!D16</f>
        <v>0</v>
      </c>
    </row>
    <row r="17" spans="1:158" ht="18.75" customHeight="1" x14ac:dyDescent="0.25">
      <c r="A17" s="43">
        <f>'MASTER SHEET'!A17</f>
        <v>15</v>
      </c>
      <c r="B17" s="49" t="str">
        <f>'MASTER SHEET'!B17</f>
        <v>END PLATE PLASTIC</v>
      </c>
      <c r="C17" s="86">
        <f>'MASTER SHEET'!C17</f>
        <v>5016812</v>
      </c>
      <c r="D17" s="51"/>
      <c r="E17" s="48"/>
      <c r="F17" s="48"/>
      <c r="G17" s="48"/>
      <c r="H17" s="48">
        <f t="shared" si="30"/>
        <v>0</v>
      </c>
      <c r="I17" s="28"/>
      <c r="J17" s="28"/>
      <c r="K17" s="65"/>
      <c r="L17" s="48">
        <f t="shared" si="31"/>
        <v>0</v>
      </c>
      <c r="M17" s="48"/>
      <c r="N17" s="48"/>
      <c r="O17" s="48"/>
      <c r="P17" s="48">
        <f t="shared" si="32"/>
        <v>0</v>
      </c>
      <c r="Q17" s="48"/>
      <c r="R17" s="48"/>
      <c r="S17" s="48"/>
      <c r="T17" s="48">
        <f t="shared" si="33"/>
        <v>0</v>
      </c>
      <c r="U17" s="48">
        <v>0</v>
      </c>
      <c r="V17" s="48"/>
      <c r="W17" s="48"/>
      <c r="X17" s="48">
        <f t="shared" si="34"/>
        <v>0</v>
      </c>
      <c r="Y17" s="48"/>
      <c r="Z17" s="48"/>
      <c r="AA17" s="48"/>
      <c r="AB17" s="48">
        <f t="shared" si="35"/>
        <v>0</v>
      </c>
      <c r="AC17" s="48"/>
      <c r="AD17" s="48"/>
      <c r="AE17" s="48"/>
      <c r="AF17" s="48">
        <f t="shared" si="36"/>
        <v>0</v>
      </c>
      <c r="AG17" s="48"/>
      <c r="AH17" s="48"/>
      <c r="AI17" s="48"/>
      <c r="AJ17" s="48">
        <f t="shared" si="37"/>
        <v>0</v>
      </c>
      <c r="AK17" s="48"/>
      <c r="AL17" s="48"/>
      <c r="AM17" s="48"/>
      <c r="AN17" s="48">
        <f t="shared" si="38"/>
        <v>0</v>
      </c>
      <c r="AO17" s="48"/>
      <c r="AP17" s="48"/>
      <c r="AQ17" s="48"/>
      <c r="AR17" s="48">
        <f t="shared" si="39"/>
        <v>0</v>
      </c>
      <c r="AS17" s="48"/>
      <c r="AT17" s="48"/>
      <c r="AU17" s="48"/>
      <c r="AV17" s="48">
        <f t="shared" si="40"/>
        <v>0</v>
      </c>
      <c r="AW17" s="48"/>
      <c r="AX17" s="48"/>
      <c r="AY17" s="48"/>
      <c r="AZ17" s="48">
        <f t="shared" si="61"/>
        <v>0</v>
      </c>
      <c r="BA17" s="48"/>
      <c r="BB17" s="48"/>
      <c r="BC17" s="48"/>
      <c r="BD17" s="48">
        <f t="shared" si="41"/>
        <v>0</v>
      </c>
      <c r="BE17" s="48"/>
      <c r="BF17" s="48"/>
      <c r="BG17" s="48"/>
      <c r="BH17" s="48">
        <f t="shared" si="42"/>
        <v>0</v>
      </c>
      <c r="BI17" s="48"/>
      <c r="BJ17" s="48"/>
      <c r="BK17" s="48"/>
      <c r="BL17" s="48">
        <f t="shared" si="43"/>
        <v>0</v>
      </c>
      <c r="BM17" s="48"/>
      <c r="BN17" s="48"/>
      <c r="BO17" s="48"/>
      <c r="BP17" s="48">
        <f t="shared" si="44"/>
        <v>0</v>
      </c>
      <c r="BQ17" s="48"/>
      <c r="BR17" s="48"/>
      <c r="BS17" s="48"/>
      <c r="BT17" s="48">
        <f t="shared" si="45"/>
        <v>0</v>
      </c>
      <c r="BU17" s="48"/>
      <c r="BV17" s="48"/>
      <c r="BW17" s="48"/>
      <c r="BX17" s="48">
        <f t="shared" si="46"/>
        <v>0</v>
      </c>
      <c r="BY17" s="48"/>
      <c r="BZ17" s="48"/>
      <c r="CA17" s="48"/>
      <c r="CB17" s="48">
        <f t="shared" si="47"/>
        <v>0</v>
      </c>
      <c r="CC17" s="48"/>
      <c r="CD17" s="48"/>
      <c r="CE17" s="48"/>
      <c r="CF17" s="48">
        <f t="shared" si="48"/>
        <v>0</v>
      </c>
      <c r="CG17" s="48"/>
      <c r="CH17" s="48"/>
      <c r="CI17" s="48"/>
      <c r="CJ17" s="48">
        <f t="shared" si="49"/>
        <v>0</v>
      </c>
      <c r="CK17" s="48"/>
      <c r="CL17" s="48"/>
      <c r="CM17" s="48"/>
      <c r="CN17" s="48">
        <f t="shared" si="50"/>
        <v>0</v>
      </c>
      <c r="CO17" s="48"/>
      <c r="CP17" s="48"/>
      <c r="CQ17" s="48"/>
      <c r="CR17" s="48">
        <f t="shared" si="51"/>
        <v>0</v>
      </c>
      <c r="CS17" s="48"/>
      <c r="CT17" s="48"/>
      <c r="CU17" s="48"/>
      <c r="CV17" s="48">
        <f t="shared" si="52"/>
        <v>0</v>
      </c>
      <c r="CW17" s="48"/>
      <c r="CX17" s="48"/>
      <c r="CY17" s="48"/>
      <c r="CZ17" s="48">
        <f t="shared" si="53"/>
        <v>0</v>
      </c>
      <c r="DA17" s="48"/>
      <c r="DB17" s="48"/>
      <c r="DC17" s="48"/>
      <c r="DD17" s="48">
        <f t="shared" si="54"/>
        <v>0</v>
      </c>
      <c r="DE17" s="48"/>
      <c r="DF17" s="48"/>
      <c r="DG17" s="48"/>
      <c r="DH17" s="48">
        <f t="shared" si="55"/>
        <v>0</v>
      </c>
      <c r="DI17" s="48"/>
      <c r="DJ17" s="48"/>
      <c r="DK17" s="48"/>
      <c r="DL17" s="48">
        <f t="shared" si="56"/>
        <v>0</v>
      </c>
      <c r="DM17" s="48"/>
      <c r="DN17" s="48"/>
      <c r="DO17" s="48"/>
      <c r="DP17" s="48">
        <f t="shared" si="57"/>
        <v>0</v>
      </c>
      <c r="DQ17" s="48"/>
      <c r="DR17" s="48"/>
      <c r="DS17" s="48"/>
      <c r="DT17" s="48">
        <f t="shared" si="58"/>
        <v>0</v>
      </c>
      <c r="DU17" s="48"/>
      <c r="DV17" s="48"/>
      <c r="DW17" s="48"/>
      <c r="DX17" s="48">
        <f t="shared" si="59"/>
        <v>0</v>
      </c>
      <c r="DY17" s="48">
        <f t="shared" si="62"/>
        <v>0</v>
      </c>
      <c r="DZ17" s="48">
        <f t="shared" si="60"/>
        <v>0</v>
      </c>
      <c r="EA17" s="14">
        <f>D17*'MASTER SHEET'!D17</f>
        <v>0</v>
      </c>
      <c r="EB17" s="14">
        <f>H17*'MASTER SHEET'!D17</f>
        <v>0</v>
      </c>
      <c r="EC17" s="14">
        <f>L17*'MASTER SHEET'!D17</f>
        <v>0</v>
      </c>
      <c r="ED17" s="14">
        <f>P17*'MASTER SHEET'!D17</f>
        <v>0</v>
      </c>
      <c r="EE17" s="14">
        <f>T17*'MASTER SHEET'!D17</f>
        <v>0</v>
      </c>
      <c r="EF17" s="14">
        <f>X17*'MASTER SHEET'!D17</f>
        <v>0</v>
      </c>
      <c r="EG17" s="14">
        <f>AB17*'MASTER SHEET'!D17</f>
        <v>0</v>
      </c>
      <c r="EH17" s="14">
        <f>AF17*'MASTER SHEET'!D17</f>
        <v>0</v>
      </c>
      <c r="EI17" s="14">
        <f>AJ17*'MASTER SHEET'!D17</f>
        <v>0</v>
      </c>
      <c r="EJ17" s="14">
        <f>AN17*'MASTER SHEET'!D17</f>
        <v>0</v>
      </c>
      <c r="EK17" s="14">
        <f>AR17*'MASTER SHEET'!D17</f>
        <v>0</v>
      </c>
      <c r="EL17" s="14">
        <f>AV17*'MASTER SHEET'!D17</f>
        <v>0</v>
      </c>
      <c r="EM17" s="14">
        <f>AZ17*'MASTER SHEET'!D17</f>
        <v>0</v>
      </c>
      <c r="EN17" s="14">
        <f>BD17*'MASTER SHEET'!D17</f>
        <v>0</v>
      </c>
      <c r="EO17" s="14">
        <f>BH17*'MASTER SHEET'!D17</f>
        <v>0</v>
      </c>
      <c r="EP17" s="14">
        <f>BL17*'MASTER SHEET'!D17</f>
        <v>0</v>
      </c>
      <c r="EQ17" s="14">
        <f>BP17*'MASTER SHEET'!D17</f>
        <v>0</v>
      </c>
      <c r="ER17" s="14">
        <f>BT17*'MASTER SHEET'!D17</f>
        <v>0</v>
      </c>
      <c r="ES17" s="14">
        <f>BX17*'MASTER SHEET'!D17</f>
        <v>0</v>
      </c>
      <c r="ET17" s="21">
        <f>CB17*'MASTER SHEET'!D17</f>
        <v>0</v>
      </c>
      <c r="EU17" s="14">
        <f>CF17*'MASTER SHEET'!D17</f>
        <v>0</v>
      </c>
      <c r="EV17" s="14">
        <f>CJ17*'MASTER SHEET'!D17</f>
        <v>0</v>
      </c>
      <c r="EW17" s="14">
        <f>CN17*'MASTER SHEET'!D17</f>
        <v>0</v>
      </c>
      <c r="EX17" s="14">
        <f>CR17*'MASTER SHEET'!D17</f>
        <v>0</v>
      </c>
      <c r="EY17" s="14">
        <f>CR17*'MASTER SHEET'!D17</f>
        <v>0</v>
      </c>
      <c r="EZ17" s="14">
        <f>CV17*'MASTER SHEET'!D17</f>
        <v>0</v>
      </c>
      <c r="FA17" s="14">
        <f>CZ17*'MASTER SHEET'!D17</f>
        <v>0</v>
      </c>
      <c r="FB17" s="14">
        <f>DD17*'MASTER SHEET'!D17</f>
        <v>0</v>
      </c>
    </row>
    <row r="18" spans="1:158" ht="18.75" customHeight="1" x14ac:dyDescent="0.25">
      <c r="A18" s="43">
        <f>'MASTER SHEET'!A18</f>
        <v>16</v>
      </c>
      <c r="B18" s="49" t="str">
        <f>'MASTER SHEET'!B18</f>
        <v>CENTER TUBE</v>
      </c>
      <c r="C18" s="86">
        <f>'MASTER SHEET'!C18</f>
        <v>5016815</v>
      </c>
      <c r="D18" s="51"/>
      <c r="E18" s="48"/>
      <c r="F18" s="48"/>
      <c r="G18" s="48"/>
      <c r="H18" s="48">
        <f t="shared" si="30"/>
        <v>0</v>
      </c>
      <c r="I18" s="28"/>
      <c r="J18" s="28"/>
      <c r="K18" s="65"/>
      <c r="L18" s="48">
        <f t="shared" si="31"/>
        <v>0</v>
      </c>
      <c r="M18" s="48"/>
      <c r="N18" s="48"/>
      <c r="O18" s="48"/>
      <c r="P18" s="48">
        <f t="shared" si="32"/>
        <v>0</v>
      </c>
      <c r="Q18" s="48"/>
      <c r="R18" s="48"/>
      <c r="S18" s="48"/>
      <c r="T18" s="48">
        <f t="shared" si="33"/>
        <v>0</v>
      </c>
      <c r="U18" s="48">
        <v>0</v>
      </c>
      <c r="V18" s="48"/>
      <c r="W18" s="48"/>
      <c r="X18" s="48">
        <f t="shared" si="34"/>
        <v>0</v>
      </c>
      <c r="Y18" s="48"/>
      <c r="Z18" s="48"/>
      <c r="AA18" s="48"/>
      <c r="AB18" s="48">
        <f t="shared" si="35"/>
        <v>0</v>
      </c>
      <c r="AC18" s="48"/>
      <c r="AD18" s="48"/>
      <c r="AE18" s="48"/>
      <c r="AF18" s="48">
        <f t="shared" si="36"/>
        <v>0</v>
      </c>
      <c r="AG18" s="48"/>
      <c r="AH18" s="48"/>
      <c r="AI18" s="48"/>
      <c r="AJ18" s="48">
        <f t="shared" si="37"/>
        <v>0</v>
      </c>
      <c r="AK18" s="48"/>
      <c r="AL18" s="48"/>
      <c r="AM18" s="48"/>
      <c r="AN18" s="48">
        <f t="shared" si="38"/>
        <v>0</v>
      </c>
      <c r="AO18" s="48"/>
      <c r="AP18" s="48"/>
      <c r="AQ18" s="48"/>
      <c r="AR18" s="48">
        <f t="shared" si="39"/>
        <v>0</v>
      </c>
      <c r="AS18" s="48"/>
      <c r="AT18" s="48"/>
      <c r="AU18" s="48"/>
      <c r="AV18" s="48">
        <f t="shared" si="40"/>
        <v>0</v>
      </c>
      <c r="AW18" s="48"/>
      <c r="AX18" s="48"/>
      <c r="AY18" s="48"/>
      <c r="AZ18" s="48">
        <f t="shared" si="61"/>
        <v>0</v>
      </c>
      <c r="BA18" s="48"/>
      <c r="BB18" s="48"/>
      <c r="BC18" s="48"/>
      <c r="BD18" s="48">
        <f t="shared" si="41"/>
        <v>0</v>
      </c>
      <c r="BE18" s="48"/>
      <c r="BF18" s="48"/>
      <c r="BG18" s="48"/>
      <c r="BH18" s="48">
        <f t="shared" si="42"/>
        <v>0</v>
      </c>
      <c r="BI18" s="48"/>
      <c r="BJ18" s="48"/>
      <c r="BK18" s="48"/>
      <c r="BL18" s="48">
        <f t="shared" si="43"/>
        <v>0</v>
      </c>
      <c r="BM18" s="48"/>
      <c r="BN18" s="48"/>
      <c r="BO18" s="48"/>
      <c r="BP18" s="48">
        <f t="shared" si="44"/>
        <v>0</v>
      </c>
      <c r="BQ18" s="48"/>
      <c r="BR18" s="48"/>
      <c r="BS18" s="48"/>
      <c r="BT18" s="48">
        <f t="shared" si="45"/>
        <v>0</v>
      </c>
      <c r="BU18" s="48"/>
      <c r="BV18" s="48"/>
      <c r="BW18" s="48"/>
      <c r="BX18" s="48">
        <f t="shared" si="46"/>
        <v>0</v>
      </c>
      <c r="BY18" s="48"/>
      <c r="BZ18" s="48"/>
      <c r="CA18" s="48"/>
      <c r="CB18" s="48">
        <f t="shared" si="47"/>
        <v>0</v>
      </c>
      <c r="CC18" s="48"/>
      <c r="CD18" s="48"/>
      <c r="CE18" s="48"/>
      <c r="CF18" s="48">
        <f t="shared" si="48"/>
        <v>0</v>
      </c>
      <c r="CG18" s="48"/>
      <c r="CH18" s="48"/>
      <c r="CI18" s="48"/>
      <c r="CJ18" s="48">
        <f t="shared" si="49"/>
        <v>0</v>
      </c>
      <c r="CK18" s="48"/>
      <c r="CL18" s="48"/>
      <c r="CM18" s="48"/>
      <c r="CN18" s="48">
        <f t="shared" si="50"/>
        <v>0</v>
      </c>
      <c r="CO18" s="48"/>
      <c r="CP18" s="48"/>
      <c r="CQ18" s="48"/>
      <c r="CR18" s="48">
        <f t="shared" si="51"/>
        <v>0</v>
      </c>
      <c r="CS18" s="48"/>
      <c r="CT18" s="48"/>
      <c r="CU18" s="48"/>
      <c r="CV18" s="48">
        <f t="shared" si="52"/>
        <v>0</v>
      </c>
      <c r="CW18" s="48"/>
      <c r="CX18" s="48"/>
      <c r="CY18" s="48"/>
      <c r="CZ18" s="48">
        <f t="shared" si="53"/>
        <v>0</v>
      </c>
      <c r="DA18" s="48"/>
      <c r="DB18" s="48"/>
      <c r="DC18" s="48"/>
      <c r="DD18" s="48">
        <f t="shared" si="54"/>
        <v>0</v>
      </c>
      <c r="DE18" s="48"/>
      <c r="DF18" s="48"/>
      <c r="DG18" s="48"/>
      <c r="DH18" s="48">
        <f t="shared" si="55"/>
        <v>0</v>
      </c>
      <c r="DI18" s="48"/>
      <c r="DJ18" s="48"/>
      <c r="DK18" s="48"/>
      <c r="DL18" s="48">
        <f t="shared" si="56"/>
        <v>0</v>
      </c>
      <c r="DM18" s="48"/>
      <c r="DN18" s="48"/>
      <c r="DO18" s="48"/>
      <c r="DP18" s="48">
        <f t="shared" si="57"/>
        <v>0</v>
      </c>
      <c r="DQ18" s="48"/>
      <c r="DR18" s="48"/>
      <c r="DS18" s="48"/>
      <c r="DT18" s="48">
        <f t="shared" si="58"/>
        <v>0</v>
      </c>
      <c r="DU18" s="48"/>
      <c r="DV18" s="48"/>
      <c r="DW18" s="48"/>
      <c r="DX18" s="48">
        <f t="shared" si="59"/>
        <v>0</v>
      </c>
      <c r="DY18" s="48">
        <f t="shared" si="62"/>
        <v>0</v>
      </c>
      <c r="DZ18" s="48">
        <f t="shared" si="60"/>
        <v>0</v>
      </c>
      <c r="EA18" s="14">
        <f>D18*'MASTER SHEET'!D18</f>
        <v>0</v>
      </c>
      <c r="EB18" s="14">
        <f>H18*'MASTER SHEET'!D18</f>
        <v>0</v>
      </c>
      <c r="EC18" s="14">
        <f>L18*'MASTER SHEET'!D18</f>
        <v>0</v>
      </c>
      <c r="ED18" s="14">
        <f>P18*'MASTER SHEET'!D18</f>
        <v>0</v>
      </c>
      <c r="EE18" s="14">
        <f>T18*'MASTER SHEET'!D18</f>
        <v>0</v>
      </c>
      <c r="EF18" s="14">
        <f>X18*'MASTER SHEET'!D18</f>
        <v>0</v>
      </c>
      <c r="EG18" s="14">
        <f>AB18*'MASTER SHEET'!D18</f>
        <v>0</v>
      </c>
      <c r="EH18" s="14">
        <f>AF18*'MASTER SHEET'!D18</f>
        <v>0</v>
      </c>
      <c r="EI18" s="14">
        <f>AJ18*'MASTER SHEET'!D18</f>
        <v>0</v>
      </c>
      <c r="EJ18" s="14">
        <f>AN18*'MASTER SHEET'!D18</f>
        <v>0</v>
      </c>
      <c r="EK18" s="14">
        <f>AR18*'MASTER SHEET'!D18</f>
        <v>0</v>
      </c>
      <c r="EL18" s="14">
        <f>AV18*'MASTER SHEET'!D18</f>
        <v>0</v>
      </c>
      <c r="EM18" s="14">
        <f>AZ18*'MASTER SHEET'!D18</f>
        <v>0</v>
      </c>
      <c r="EN18" s="14">
        <f>BD18*'MASTER SHEET'!D18</f>
        <v>0</v>
      </c>
      <c r="EO18" s="14">
        <f>BH18*'MASTER SHEET'!D18</f>
        <v>0</v>
      </c>
      <c r="EP18" s="14">
        <f>BL18*'MASTER SHEET'!D18</f>
        <v>0</v>
      </c>
      <c r="EQ18" s="14">
        <f>BP18*'MASTER SHEET'!D18</f>
        <v>0</v>
      </c>
      <c r="ER18" s="14">
        <f>BT18*'MASTER SHEET'!D18</f>
        <v>0</v>
      </c>
      <c r="ES18" s="14">
        <f>BX18*'MASTER SHEET'!D18</f>
        <v>0</v>
      </c>
      <c r="ET18" s="21">
        <f>CB18*'MASTER SHEET'!D18</f>
        <v>0</v>
      </c>
      <c r="EU18" s="14">
        <f>CF18*'MASTER SHEET'!D18</f>
        <v>0</v>
      </c>
      <c r="EV18" s="14">
        <f>CJ18*'MASTER SHEET'!D18</f>
        <v>0</v>
      </c>
      <c r="EW18" s="14">
        <f>CN18*'MASTER SHEET'!D18</f>
        <v>0</v>
      </c>
      <c r="EX18" s="14">
        <f>CR18*'MASTER SHEET'!D18</f>
        <v>0</v>
      </c>
      <c r="EY18" s="14">
        <f>CR18*'MASTER SHEET'!D18</f>
        <v>0</v>
      </c>
      <c r="EZ18" s="14">
        <f>CV18*'MASTER SHEET'!D18</f>
        <v>0</v>
      </c>
      <c r="FA18" s="14">
        <f>CZ18*'MASTER SHEET'!D18</f>
        <v>0</v>
      </c>
      <c r="FB18" s="14">
        <f>DD18*'MASTER SHEET'!D18</f>
        <v>0</v>
      </c>
    </row>
    <row r="19" spans="1:158" ht="18.75" customHeight="1" x14ac:dyDescent="0.25">
      <c r="A19" s="43">
        <f>'MASTER SHEET'!A19</f>
        <v>17</v>
      </c>
      <c r="B19" s="49" t="str">
        <f>'MASTER SHEET'!B19</f>
        <v>HYDROPHOBIC SCREEN</v>
      </c>
      <c r="C19" s="86">
        <f>'MASTER SHEET'!C19</f>
        <v>5016817</v>
      </c>
      <c r="D19" s="51"/>
      <c r="E19" s="48">
        <v>4072</v>
      </c>
      <c r="F19" s="48">
        <v>4052</v>
      </c>
      <c r="G19" s="48">
        <v>20</v>
      </c>
      <c r="H19" s="48">
        <f t="shared" si="30"/>
        <v>0</v>
      </c>
      <c r="I19" s="28">
        <v>5042</v>
      </c>
      <c r="J19" s="28">
        <v>5026</v>
      </c>
      <c r="K19" s="65">
        <v>16</v>
      </c>
      <c r="L19" s="48">
        <f t="shared" si="31"/>
        <v>0</v>
      </c>
      <c r="M19" s="48"/>
      <c r="N19" s="48"/>
      <c r="O19" s="48"/>
      <c r="P19" s="48">
        <f t="shared" si="32"/>
        <v>0</v>
      </c>
      <c r="Q19" s="48">
        <v>2752</v>
      </c>
      <c r="R19" s="48">
        <v>2725</v>
      </c>
      <c r="S19" s="48">
        <v>27</v>
      </c>
      <c r="T19" s="48">
        <f t="shared" si="33"/>
        <v>0</v>
      </c>
      <c r="U19" s="48">
        <v>2280</v>
      </c>
      <c r="V19" s="48">
        <v>2272</v>
      </c>
      <c r="W19" s="48">
        <v>8</v>
      </c>
      <c r="X19" s="48">
        <f t="shared" si="34"/>
        <v>0</v>
      </c>
      <c r="Y19" s="48">
        <v>2580</v>
      </c>
      <c r="Z19" s="48">
        <v>2539</v>
      </c>
      <c r="AA19" s="48">
        <v>41</v>
      </c>
      <c r="AB19" s="48">
        <f t="shared" si="35"/>
        <v>0</v>
      </c>
      <c r="AC19" s="48">
        <v>0</v>
      </c>
      <c r="AD19" s="48">
        <v>0</v>
      </c>
      <c r="AE19" s="48">
        <v>0</v>
      </c>
      <c r="AF19" s="48">
        <f t="shared" si="36"/>
        <v>0</v>
      </c>
      <c r="AG19" s="48">
        <v>0</v>
      </c>
      <c r="AH19" s="48">
        <v>0</v>
      </c>
      <c r="AI19" s="48">
        <v>0</v>
      </c>
      <c r="AJ19" s="48">
        <f t="shared" si="37"/>
        <v>0</v>
      </c>
      <c r="AK19" s="48">
        <v>0</v>
      </c>
      <c r="AL19" s="48">
        <v>0</v>
      </c>
      <c r="AM19" s="48">
        <v>0</v>
      </c>
      <c r="AN19" s="48">
        <f t="shared" si="38"/>
        <v>0</v>
      </c>
      <c r="AO19" s="48">
        <v>5096</v>
      </c>
      <c r="AP19" s="48">
        <v>5058</v>
      </c>
      <c r="AQ19" s="48">
        <v>38</v>
      </c>
      <c r="AR19" s="48">
        <f t="shared" si="39"/>
        <v>0</v>
      </c>
      <c r="AS19" s="48">
        <v>5372</v>
      </c>
      <c r="AT19" s="48">
        <v>5348</v>
      </c>
      <c r="AU19" s="48">
        <v>24</v>
      </c>
      <c r="AV19" s="48">
        <f t="shared" si="40"/>
        <v>0</v>
      </c>
      <c r="AW19" s="48">
        <v>2532</v>
      </c>
      <c r="AX19" s="48">
        <v>2522</v>
      </c>
      <c r="AY19" s="48">
        <v>10</v>
      </c>
      <c r="AZ19" s="48">
        <f t="shared" si="61"/>
        <v>0</v>
      </c>
      <c r="BA19" s="48">
        <v>5524</v>
      </c>
      <c r="BB19" s="48">
        <v>5481</v>
      </c>
      <c r="BC19" s="48">
        <v>43</v>
      </c>
      <c r="BD19" s="48">
        <f t="shared" si="41"/>
        <v>0</v>
      </c>
      <c r="BE19" s="48">
        <v>5696</v>
      </c>
      <c r="BF19" s="48">
        <v>5686</v>
      </c>
      <c r="BG19" s="48">
        <v>10</v>
      </c>
      <c r="BH19" s="48">
        <f t="shared" si="42"/>
        <v>0</v>
      </c>
      <c r="BI19" s="48">
        <v>5600</v>
      </c>
      <c r="BJ19" s="48">
        <v>5581</v>
      </c>
      <c r="BK19" s="48">
        <v>19</v>
      </c>
      <c r="BL19" s="48">
        <f t="shared" si="43"/>
        <v>0</v>
      </c>
      <c r="BM19" s="48">
        <v>5560</v>
      </c>
      <c r="BN19" s="48">
        <v>5544</v>
      </c>
      <c r="BO19" s="48">
        <v>16</v>
      </c>
      <c r="BP19" s="48">
        <f t="shared" si="44"/>
        <v>0</v>
      </c>
      <c r="BQ19" s="48">
        <v>4332</v>
      </c>
      <c r="BR19" s="48">
        <v>4302</v>
      </c>
      <c r="BS19" s="48">
        <v>30</v>
      </c>
      <c r="BT19" s="48">
        <f t="shared" si="45"/>
        <v>0</v>
      </c>
      <c r="BU19" s="48">
        <v>5460</v>
      </c>
      <c r="BV19" s="48">
        <v>5432</v>
      </c>
      <c r="BW19" s="48">
        <v>28</v>
      </c>
      <c r="BX19" s="48">
        <f t="shared" si="46"/>
        <v>0</v>
      </c>
      <c r="BY19" s="48"/>
      <c r="BZ19" s="48"/>
      <c r="CA19" s="48"/>
      <c r="CB19" s="48">
        <f t="shared" si="47"/>
        <v>0</v>
      </c>
      <c r="CC19" s="48">
        <v>2996</v>
      </c>
      <c r="CD19" s="48">
        <v>2978</v>
      </c>
      <c r="CE19" s="48">
        <v>18</v>
      </c>
      <c r="CF19" s="48">
        <f t="shared" si="48"/>
        <v>0</v>
      </c>
      <c r="CG19" s="48">
        <v>812</v>
      </c>
      <c r="CH19" s="48">
        <v>796</v>
      </c>
      <c r="CI19" s="48">
        <v>16</v>
      </c>
      <c r="CJ19" s="48">
        <f t="shared" si="49"/>
        <v>0</v>
      </c>
      <c r="CK19" s="48"/>
      <c r="CL19" s="48"/>
      <c r="CM19" s="48"/>
      <c r="CN19" s="48">
        <f t="shared" si="50"/>
        <v>0</v>
      </c>
      <c r="CO19" s="48">
        <v>0</v>
      </c>
      <c r="CP19" s="48">
        <v>0</v>
      </c>
      <c r="CQ19" s="48">
        <v>0</v>
      </c>
      <c r="CR19" s="48">
        <f t="shared" si="51"/>
        <v>0</v>
      </c>
      <c r="CS19" s="48">
        <v>4904</v>
      </c>
      <c r="CT19" s="48">
        <v>4879</v>
      </c>
      <c r="CU19" s="48">
        <v>25</v>
      </c>
      <c r="CV19" s="48">
        <f t="shared" si="52"/>
        <v>0</v>
      </c>
      <c r="CW19" s="48">
        <v>5688</v>
      </c>
      <c r="CX19" s="48">
        <v>5672</v>
      </c>
      <c r="CY19" s="48">
        <v>16</v>
      </c>
      <c r="CZ19" s="48">
        <f t="shared" si="53"/>
        <v>0</v>
      </c>
      <c r="DA19" s="48"/>
      <c r="DB19" s="48"/>
      <c r="DC19" s="48"/>
      <c r="DD19" s="48">
        <f t="shared" si="54"/>
        <v>0</v>
      </c>
      <c r="DE19" s="48">
        <v>5648</v>
      </c>
      <c r="DF19" s="48">
        <v>5628</v>
      </c>
      <c r="DG19" s="48">
        <v>20</v>
      </c>
      <c r="DH19" s="48">
        <f t="shared" si="55"/>
        <v>0</v>
      </c>
      <c r="DI19" s="48">
        <v>5540</v>
      </c>
      <c r="DJ19" s="48">
        <v>5520</v>
      </c>
      <c r="DK19" s="48">
        <v>20</v>
      </c>
      <c r="DL19" s="48">
        <f t="shared" si="56"/>
        <v>0</v>
      </c>
      <c r="DM19" s="48">
        <v>5452</v>
      </c>
      <c r="DN19" s="48">
        <v>5430</v>
      </c>
      <c r="DO19" s="48">
        <v>22</v>
      </c>
      <c r="DP19" s="48">
        <f t="shared" si="57"/>
        <v>0</v>
      </c>
      <c r="DQ19" s="48"/>
      <c r="DR19" s="48"/>
      <c r="DS19" s="48"/>
      <c r="DT19" s="48">
        <f t="shared" si="58"/>
        <v>0</v>
      </c>
      <c r="DU19" s="48"/>
      <c r="DV19" s="48"/>
      <c r="DW19" s="48"/>
      <c r="DX19" s="48">
        <f t="shared" si="59"/>
        <v>0</v>
      </c>
      <c r="DY19" s="48">
        <f>DU19+DQ19+DM19+DI19+DE19+DA19+CW19+CS19+CO19+CK19+CG19+CC19+BY19+BU19+BQ19+BI19+BA19+AW19+AS19+AO19+AK19+AG19+AC19+Y19+U19+Q19+M19+I19+E19+BM19+BE19</f>
        <v>92938</v>
      </c>
      <c r="DZ19" s="48">
        <f t="shared" si="60"/>
        <v>467</v>
      </c>
      <c r="EA19" s="14">
        <f>D19*'MASTER SHEET'!D19</f>
        <v>0</v>
      </c>
      <c r="EB19" s="14">
        <f>H19*'MASTER SHEET'!D19</f>
        <v>0</v>
      </c>
      <c r="EC19" s="14">
        <f>L19*'MASTER SHEET'!D19</f>
        <v>0</v>
      </c>
      <c r="ED19" s="14">
        <f>P19*'MASTER SHEET'!D19</f>
        <v>0</v>
      </c>
      <c r="EE19" s="14">
        <f>T19*'MASTER SHEET'!D19</f>
        <v>0</v>
      </c>
      <c r="EF19" s="14">
        <f>X19*'MASTER SHEET'!D19</f>
        <v>0</v>
      </c>
      <c r="EG19" s="14">
        <f>AB19*'MASTER SHEET'!D19</f>
        <v>0</v>
      </c>
      <c r="EH19" s="14">
        <f>AF19*'MASTER SHEET'!D19</f>
        <v>0</v>
      </c>
      <c r="EI19" s="14">
        <f>AJ19*'MASTER SHEET'!D19</f>
        <v>0</v>
      </c>
      <c r="EJ19" s="14">
        <f>AN19*'MASTER SHEET'!D19</f>
        <v>0</v>
      </c>
      <c r="EK19" s="14">
        <f>AR19*'MASTER SHEET'!D19</f>
        <v>0</v>
      </c>
      <c r="EL19" s="14">
        <f>AV19*'MASTER SHEET'!D19</f>
        <v>0</v>
      </c>
      <c r="EM19" s="14">
        <f>AZ19*'MASTER SHEET'!D19</f>
        <v>0</v>
      </c>
      <c r="EN19" s="14">
        <f>BD19*'MASTER SHEET'!D19</f>
        <v>0</v>
      </c>
      <c r="EO19" s="14">
        <f>BH19*'MASTER SHEET'!D19</f>
        <v>0</v>
      </c>
      <c r="EP19" s="14">
        <f>BL19*'MASTER SHEET'!D19</f>
        <v>0</v>
      </c>
      <c r="EQ19" s="14">
        <f>BP19*'MASTER SHEET'!D19</f>
        <v>0</v>
      </c>
      <c r="ER19" s="14">
        <f>BT19*'MASTER SHEET'!D19</f>
        <v>0</v>
      </c>
      <c r="ES19" s="14">
        <f>BX19*'MASTER SHEET'!D19</f>
        <v>0</v>
      </c>
      <c r="ET19" s="21">
        <f>CB19*'MASTER SHEET'!D19</f>
        <v>0</v>
      </c>
      <c r="EU19" s="14">
        <f>CF19*'MASTER SHEET'!D19</f>
        <v>0</v>
      </c>
      <c r="EV19" s="14">
        <f>CJ19*'MASTER SHEET'!D19</f>
        <v>0</v>
      </c>
      <c r="EW19" s="14">
        <f>CN19*'MASTER SHEET'!D19</f>
        <v>0</v>
      </c>
      <c r="EX19" s="14">
        <f>CR19*'MASTER SHEET'!D19</f>
        <v>0</v>
      </c>
      <c r="EY19" s="14">
        <f>CR19*'MASTER SHEET'!D19</f>
        <v>0</v>
      </c>
      <c r="EZ19" s="14">
        <f>CV19*'MASTER SHEET'!D19</f>
        <v>0</v>
      </c>
      <c r="FA19" s="14">
        <f>CZ19*'MASTER SHEET'!D19</f>
        <v>0</v>
      </c>
      <c r="FB19" s="14">
        <f>DD19*'MASTER SHEET'!D19</f>
        <v>0</v>
      </c>
    </row>
    <row r="20" spans="1:158" ht="18.75" customHeight="1" x14ac:dyDescent="0.25">
      <c r="A20" s="43">
        <f>'MASTER SHEET'!A20</f>
        <v>18</v>
      </c>
      <c r="B20" s="49" t="str">
        <f>'MASTER SHEET'!B20</f>
        <v>SHELL PLASTIC ASY</v>
      </c>
      <c r="C20" s="86">
        <f>'MASTER SHEET'!C20</f>
        <v>5016820</v>
      </c>
      <c r="D20" s="51"/>
      <c r="E20" s="48">
        <v>0</v>
      </c>
      <c r="F20" s="48">
        <v>0</v>
      </c>
      <c r="G20" s="48">
        <v>0</v>
      </c>
      <c r="H20" s="48">
        <f t="shared" si="30"/>
        <v>0</v>
      </c>
      <c r="I20" s="28">
        <v>0</v>
      </c>
      <c r="J20" s="28">
        <v>0</v>
      </c>
      <c r="K20" s="65">
        <v>0</v>
      </c>
      <c r="L20" s="48">
        <f t="shared" si="31"/>
        <v>0</v>
      </c>
      <c r="M20" s="48"/>
      <c r="N20" s="48"/>
      <c r="O20" s="48"/>
      <c r="P20" s="48">
        <f t="shared" si="32"/>
        <v>0</v>
      </c>
      <c r="Q20" s="48">
        <v>0</v>
      </c>
      <c r="R20" s="48">
        <v>0</v>
      </c>
      <c r="S20" s="48">
        <v>0</v>
      </c>
      <c r="T20" s="48">
        <f t="shared" si="33"/>
        <v>0</v>
      </c>
      <c r="U20" s="48">
        <v>0</v>
      </c>
      <c r="V20" s="48"/>
      <c r="W20" s="48"/>
      <c r="X20" s="48">
        <f t="shared" si="34"/>
        <v>0</v>
      </c>
      <c r="Y20" s="48">
        <v>0</v>
      </c>
      <c r="Z20" s="48">
        <v>0</v>
      </c>
      <c r="AA20" s="48">
        <v>0</v>
      </c>
      <c r="AB20" s="48">
        <f t="shared" si="35"/>
        <v>0</v>
      </c>
      <c r="AC20" s="48">
        <v>0</v>
      </c>
      <c r="AD20" s="48">
        <v>0</v>
      </c>
      <c r="AE20" s="48">
        <v>0</v>
      </c>
      <c r="AF20" s="48">
        <f t="shared" si="36"/>
        <v>0</v>
      </c>
      <c r="AG20" s="48">
        <v>0</v>
      </c>
      <c r="AH20" s="48">
        <v>0</v>
      </c>
      <c r="AI20" s="48">
        <v>0</v>
      </c>
      <c r="AJ20" s="48">
        <f t="shared" si="37"/>
        <v>0</v>
      </c>
      <c r="AK20" s="48">
        <v>0</v>
      </c>
      <c r="AL20" s="48">
        <v>0</v>
      </c>
      <c r="AM20" s="48">
        <v>0</v>
      </c>
      <c r="AN20" s="48">
        <f t="shared" si="38"/>
        <v>0</v>
      </c>
      <c r="AO20" s="48">
        <v>0</v>
      </c>
      <c r="AP20" s="48">
        <v>0</v>
      </c>
      <c r="AQ20" s="48">
        <v>0</v>
      </c>
      <c r="AR20" s="48">
        <f t="shared" si="39"/>
        <v>0</v>
      </c>
      <c r="AS20" s="48">
        <v>0</v>
      </c>
      <c r="AT20" s="48">
        <v>0</v>
      </c>
      <c r="AU20" s="48">
        <v>0</v>
      </c>
      <c r="AV20" s="48">
        <f t="shared" si="40"/>
        <v>0</v>
      </c>
      <c r="AW20" s="48">
        <v>0</v>
      </c>
      <c r="AX20" s="48">
        <v>0</v>
      </c>
      <c r="AY20" s="48">
        <v>0</v>
      </c>
      <c r="AZ20" s="48">
        <f t="shared" si="61"/>
        <v>0</v>
      </c>
      <c r="BA20" s="48">
        <v>0</v>
      </c>
      <c r="BB20" s="48">
        <v>0</v>
      </c>
      <c r="BC20" s="48">
        <v>0</v>
      </c>
      <c r="BD20" s="48">
        <f t="shared" si="41"/>
        <v>0</v>
      </c>
      <c r="BE20" s="48">
        <v>0</v>
      </c>
      <c r="BF20" s="48">
        <v>0</v>
      </c>
      <c r="BG20" s="48">
        <v>0</v>
      </c>
      <c r="BH20" s="48">
        <f t="shared" si="42"/>
        <v>0</v>
      </c>
      <c r="BI20" s="48">
        <v>0</v>
      </c>
      <c r="BJ20" s="48">
        <v>0</v>
      </c>
      <c r="BK20" s="48">
        <v>0</v>
      </c>
      <c r="BL20" s="48">
        <f t="shared" si="43"/>
        <v>0</v>
      </c>
      <c r="BM20" s="48">
        <v>0</v>
      </c>
      <c r="BN20" s="48">
        <v>0</v>
      </c>
      <c r="BO20" s="48">
        <v>0</v>
      </c>
      <c r="BP20" s="48">
        <f t="shared" si="44"/>
        <v>0</v>
      </c>
      <c r="BQ20" s="48">
        <v>0</v>
      </c>
      <c r="BR20" s="48">
        <v>0</v>
      </c>
      <c r="BS20" s="48">
        <v>0</v>
      </c>
      <c r="BT20" s="48">
        <f t="shared" si="45"/>
        <v>0</v>
      </c>
      <c r="BU20" s="48">
        <v>0</v>
      </c>
      <c r="BV20" s="48">
        <v>0</v>
      </c>
      <c r="BW20" s="48">
        <v>0</v>
      </c>
      <c r="BX20" s="48">
        <f t="shared" si="46"/>
        <v>0</v>
      </c>
      <c r="BY20" s="48"/>
      <c r="BZ20" s="48"/>
      <c r="CA20" s="48"/>
      <c r="CB20" s="48">
        <f t="shared" si="47"/>
        <v>0</v>
      </c>
      <c r="CC20" s="48">
        <v>0</v>
      </c>
      <c r="CD20" s="48">
        <v>0</v>
      </c>
      <c r="CE20" s="48">
        <v>0</v>
      </c>
      <c r="CF20" s="48">
        <f t="shared" si="48"/>
        <v>0</v>
      </c>
      <c r="CG20" s="48">
        <v>0</v>
      </c>
      <c r="CH20" s="48">
        <v>0</v>
      </c>
      <c r="CI20" s="48">
        <v>0</v>
      </c>
      <c r="CJ20" s="48">
        <f t="shared" si="49"/>
        <v>0</v>
      </c>
      <c r="CK20" s="48"/>
      <c r="CL20" s="48"/>
      <c r="CM20" s="48"/>
      <c r="CN20" s="48">
        <f t="shared" si="50"/>
        <v>0</v>
      </c>
      <c r="CO20" s="48">
        <v>0</v>
      </c>
      <c r="CP20" s="48">
        <v>0</v>
      </c>
      <c r="CQ20" s="48">
        <v>0</v>
      </c>
      <c r="CR20" s="48">
        <f t="shared" si="51"/>
        <v>0</v>
      </c>
      <c r="CS20" s="48">
        <v>0</v>
      </c>
      <c r="CT20" s="48">
        <v>0</v>
      </c>
      <c r="CU20" s="48">
        <v>0</v>
      </c>
      <c r="CV20" s="48">
        <f t="shared" si="52"/>
        <v>0</v>
      </c>
      <c r="CW20" s="48">
        <v>569</v>
      </c>
      <c r="CX20" s="48">
        <v>561</v>
      </c>
      <c r="CY20" s="48">
        <v>8</v>
      </c>
      <c r="CZ20" s="48">
        <f t="shared" si="53"/>
        <v>0</v>
      </c>
      <c r="DA20" s="48"/>
      <c r="DB20" s="48"/>
      <c r="DC20" s="48"/>
      <c r="DD20" s="48">
        <f t="shared" si="54"/>
        <v>0</v>
      </c>
      <c r="DE20" s="48"/>
      <c r="DF20" s="48"/>
      <c r="DG20" s="48"/>
      <c r="DH20" s="48">
        <f t="shared" si="55"/>
        <v>0</v>
      </c>
      <c r="DI20" s="48"/>
      <c r="DJ20" s="48"/>
      <c r="DK20" s="48"/>
      <c r="DL20" s="48">
        <f t="shared" si="56"/>
        <v>0</v>
      </c>
      <c r="DM20" s="48"/>
      <c r="DN20" s="48"/>
      <c r="DO20" s="48"/>
      <c r="DP20" s="48">
        <f t="shared" si="57"/>
        <v>0</v>
      </c>
      <c r="DQ20" s="48"/>
      <c r="DR20" s="48"/>
      <c r="DS20" s="48"/>
      <c r="DT20" s="48">
        <f t="shared" si="58"/>
        <v>0</v>
      </c>
      <c r="DU20" s="48"/>
      <c r="DV20" s="48"/>
      <c r="DW20" s="48"/>
      <c r="DX20" s="48">
        <f t="shared" si="59"/>
        <v>0</v>
      </c>
      <c r="DY20" s="48">
        <f t="shared" ref="DY20:DY30" si="63">DU20+DQ20+DM20+DI20+DE20+DA20+CW20+CS20+CO20+CK20+CG20+CC20+BY20+BU20+BQ20+BI20+BA20+AW20+AS20+AO20+AK20+AG20+AC20+Y20+U20+Q20+M20+I20+E20+BM20+BE20</f>
        <v>569</v>
      </c>
      <c r="DZ20" s="48">
        <f t="shared" si="60"/>
        <v>8</v>
      </c>
      <c r="EA20" s="14">
        <f>D20*'MASTER SHEET'!D20</f>
        <v>0</v>
      </c>
      <c r="EB20" s="14">
        <f>H20*'MASTER SHEET'!D20</f>
        <v>0</v>
      </c>
      <c r="EC20" s="14">
        <f>L20*'MASTER SHEET'!D20</f>
        <v>0</v>
      </c>
      <c r="ED20" s="14">
        <f>P20*'MASTER SHEET'!D20</f>
        <v>0</v>
      </c>
      <c r="EE20" s="14">
        <f>T20*'MASTER SHEET'!D20</f>
        <v>0</v>
      </c>
      <c r="EF20" s="14">
        <f>X20*'MASTER SHEET'!D20</f>
        <v>0</v>
      </c>
      <c r="EG20" s="14">
        <f>AB20*'MASTER SHEET'!D20</f>
        <v>0</v>
      </c>
      <c r="EH20" s="14">
        <f>AF20*'MASTER SHEET'!D20</f>
        <v>0</v>
      </c>
      <c r="EI20" s="14">
        <f>AJ20*'MASTER SHEET'!D20</f>
        <v>0</v>
      </c>
      <c r="EJ20" s="14">
        <f>AN20*'MASTER SHEET'!D20</f>
        <v>0</v>
      </c>
      <c r="EK20" s="14">
        <f>AR20*'MASTER SHEET'!D20</f>
        <v>0</v>
      </c>
      <c r="EL20" s="14">
        <f>AV20*'MASTER SHEET'!D20</f>
        <v>0</v>
      </c>
      <c r="EM20" s="14">
        <f>AZ20*'MASTER SHEET'!D20</f>
        <v>0</v>
      </c>
      <c r="EN20" s="14">
        <f>BD20*'MASTER SHEET'!D20</f>
        <v>0</v>
      </c>
      <c r="EO20" s="14">
        <f>BH20*'MASTER SHEET'!D20</f>
        <v>0</v>
      </c>
      <c r="EP20" s="14">
        <f>BL20*'MASTER SHEET'!D20</f>
        <v>0</v>
      </c>
      <c r="EQ20" s="14">
        <f>BP20*'MASTER SHEET'!D20</f>
        <v>0</v>
      </c>
      <c r="ER20" s="14">
        <f>BT20*'MASTER SHEET'!D20</f>
        <v>0</v>
      </c>
      <c r="ES20" s="14">
        <f>BX20*'MASTER SHEET'!D20</f>
        <v>0</v>
      </c>
      <c r="ET20" s="21">
        <f>CB20*'MASTER SHEET'!D20</f>
        <v>0</v>
      </c>
      <c r="EU20" s="14">
        <f>CF20*'MASTER SHEET'!D20</f>
        <v>0</v>
      </c>
      <c r="EV20" s="14">
        <f>CJ20*'MASTER SHEET'!D20</f>
        <v>0</v>
      </c>
      <c r="EW20" s="14">
        <f>CN20*'MASTER SHEET'!D20</f>
        <v>0</v>
      </c>
      <c r="EX20" s="14">
        <f>CR20*'MASTER SHEET'!D20</f>
        <v>0</v>
      </c>
      <c r="EY20" s="14">
        <f>CR20*'MASTER SHEET'!D20</f>
        <v>0</v>
      </c>
      <c r="EZ20" s="14">
        <f>CV20*'MASTER SHEET'!D20</f>
        <v>0</v>
      </c>
      <c r="FA20" s="14">
        <f>CZ20*'MASTER SHEET'!D20</f>
        <v>0</v>
      </c>
      <c r="FB20" s="14">
        <f>DD20*'MASTER SHEET'!D20</f>
        <v>0</v>
      </c>
    </row>
    <row r="21" spans="1:158" ht="18.75" customHeight="1" x14ac:dyDescent="0.25">
      <c r="A21" s="43">
        <f>'MASTER SHEET'!A21</f>
        <v>19</v>
      </c>
      <c r="B21" s="49" t="str">
        <f>'MASTER SHEET'!B21</f>
        <v>END PLATE PLASTIC</v>
      </c>
      <c r="C21" s="86">
        <f>'MASTER SHEET'!C21</f>
        <v>5016821</v>
      </c>
      <c r="D21" s="51"/>
      <c r="E21" s="48"/>
      <c r="F21" s="48"/>
      <c r="G21" s="48"/>
      <c r="H21" s="48">
        <f t="shared" si="30"/>
        <v>0</v>
      </c>
      <c r="I21" s="28"/>
      <c r="J21" s="28"/>
      <c r="K21" s="65"/>
      <c r="L21" s="48">
        <f t="shared" si="31"/>
        <v>0</v>
      </c>
      <c r="M21" s="48"/>
      <c r="N21" s="48"/>
      <c r="O21" s="48"/>
      <c r="P21" s="48">
        <f t="shared" si="32"/>
        <v>0</v>
      </c>
      <c r="Q21" s="48"/>
      <c r="R21" s="48"/>
      <c r="S21" s="48"/>
      <c r="T21" s="48">
        <f t="shared" si="33"/>
        <v>0</v>
      </c>
      <c r="U21" s="48">
        <v>0</v>
      </c>
      <c r="V21" s="48"/>
      <c r="W21" s="48"/>
      <c r="X21" s="48">
        <f t="shared" si="34"/>
        <v>0</v>
      </c>
      <c r="Y21" s="48"/>
      <c r="Z21" s="48"/>
      <c r="AA21" s="48"/>
      <c r="AB21" s="48">
        <f t="shared" si="35"/>
        <v>0</v>
      </c>
      <c r="AC21" s="48"/>
      <c r="AD21" s="48"/>
      <c r="AE21" s="48"/>
      <c r="AF21" s="48">
        <f t="shared" si="36"/>
        <v>0</v>
      </c>
      <c r="AG21" s="48"/>
      <c r="AH21" s="48"/>
      <c r="AI21" s="48"/>
      <c r="AJ21" s="48">
        <f t="shared" si="37"/>
        <v>0</v>
      </c>
      <c r="AK21" s="48"/>
      <c r="AL21" s="48"/>
      <c r="AM21" s="48"/>
      <c r="AN21" s="48">
        <f t="shared" si="38"/>
        <v>0</v>
      </c>
      <c r="AO21" s="48"/>
      <c r="AP21" s="48"/>
      <c r="AQ21" s="48"/>
      <c r="AR21" s="48">
        <f t="shared" si="39"/>
        <v>0</v>
      </c>
      <c r="AS21" s="48"/>
      <c r="AT21" s="48"/>
      <c r="AU21" s="48"/>
      <c r="AV21" s="48">
        <f t="shared" si="40"/>
        <v>0</v>
      </c>
      <c r="AW21" s="48"/>
      <c r="AX21" s="48"/>
      <c r="AY21" s="48"/>
      <c r="AZ21" s="48">
        <f t="shared" si="61"/>
        <v>0</v>
      </c>
      <c r="BA21" s="48"/>
      <c r="BB21" s="48"/>
      <c r="BC21" s="48"/>
      <c r="BD21" s="48">
        <f t="shared" si="41"/>
        <v>0</v>
      </c>
      <c r="BE21" s="48"/>
      <c r="BF21" s="48"/>
      <c r="BG21" s="48"/>
      <c r="BH21" s="48">
        <f t="shared" si="42"/>
        <v>0</v>
      </c>
      <c r="BI21" s="48"/>
      <c r="BJ21" s="48"/>
      <c r="BK21" s="48"/>
      <c r="BL21" s="48">
        <f t="shared" si="43"/>
        <v>0</v>
      </c>
      <c r="BM21" s="48"/>
      <c r="BN21" s="48"/>
      <c r="BO21" s="48"/>
      <c r="BP21" s="48">
        <f t="shared" si="44"/>
        <v>0</v>
      </c>
      <c r="BQ21" s="48"/>
      <c r="BR21" s="48"/>
      <c r="BS21" s="48"/>
      <c r="BT21" s="48">
        <f t="shared" si="45"/>
        <v>0</v>
      </c>
      <c r="BU21" s="48"/>
      <c r="BV21" s="48"/>
      <c r="BW21" s="48"/>
      <c r="BX21" s="48">
        <f t="shared" si="46"/>
        <v>0</v>
      </c>
      <c r="BY21" s="48"/>
      <c r="BZ21" s="48"/>
      <c r="CA21" s="48"/>
      <c r="CB21" s="48">
        <f t="shared" si="47"/>
        <v>0</v>
      </c>
      <c r="CC21" s="48"/>
      <c r="CD21" s="48"/>
      <c r="CE21" s="48"/>
      <c r="CF21" s="48">
        <f t="shared" si="48"/>
        <v>0</v>
      </c>
      <c r="CG21" s="48"/>
      <c r="CH21" s="48"/>
      <c r="CI21" s="48"/>
      <c r="CJ21" s="48">
        <f t="shared" si="49"/>
        <v>0</v>
      </c>
      <c r="CK21" s="48"/>
      <c r="CL21" s="48"/>
      <c r="CM21" s="48"/>
      <c r="CN21" s="48">
        <f t="shared" si="50"/>
        <v>0</v>
      </c>
      <c r="CO21" s="48"/>
      <c r="CP21" s="48"/>
      <c r="CQ21" s="48"/>
      <c r="CR21" s="48">
        <f t="shared" si="51"/>
        <v>0</v>
      </c>
      <c r="CS21" s="48"/>
      <c r="CT21" s="48"/>
      <c r="CU21" s="48"/>
      <c r="CV21" s="48">
        <f t="shared" si="52"/>
        <v>0</v>
      </c>
      <c r="CW21" s="48"/>
      <c r="CX21" s="48"/>
      <c r="CY21" s="48"/>
      <c r="CZ21" s="48">
        <f t="shared" si="53"/>
        <v>0</v>
      </c>
      <c r="DA21" s="48"/>
      <c r="DB21" s="48"/>
      <c r="DC21" s="48"/>
      <c r="DD21" s="48">
        <f t="shared" si="54"/>
        <v>0</v>
      </c>
      <c r="DE21" s="48"/>
      <c r="DF21" s="48"/>
      <c r="DG21" s="48"/>
      <c r="DH21" s="48">
        <f t="shared" si="55"/>
        <v>0</v>
      </c>
      <c r="DI21" s="48"/>
      <c r="DJ21" s="48"/>
      <c r="DK21" s="48"/>
      <c r="DL21" s="48">
        <f t="shared" si="56"/>
        <v>0</v>
      </c>
      <c r="DM21" s="48"/>
      <c r="DN21" s="48"/>
      <c r="DO21" s="48"/>
      <c r="DP21" s="48">
        <f t="shared" si="57"/>
        <v>0</v>
      </c>
      <c r="DQ21" s="48"/>
      <c r="DR21" s="48"/>
      <c r="DS21" s="48"/>
      <c r="DT21" s="48">
        <f t="shared" si="58"/>
        <v>0</v>
      </c>
      <c r="DU21" s="48"/>
      <c r="DV21" s="48"/>
      <c r="DW21" s="48"/>
      <c r="DX21" s="48">
        <f t="shared" si="59"/>
        <v>0</v>
      </c>
      <c r="DY21" s="48">
        <f t="shared" si="63"/>
        <v>0</v>
      </c>
      <c r="DZ21" s="48">
        <f t="shared" si="60"/>
        <v>0</v>
      </c>
      <c r="EA21" s="14">
        <f>D21*'MASTER SHEET'!D21</f>
        <v>0</v>
      </c>
      <c r="EB21" s="14">
        <f>H21*'MASTER SHEET'!D21</f>
        <v>0</v>
      </c>
      <c r="EC21" s="14">
        <f>L21*'MASTER SHEET'!D21</f>
        <v>0</v>
      </c>
      <c r="ED21" s="14">
        <f>P21*'MASTER SHEET'!D21</f>
        <v>0</v>
      </c>
      <c r="EE21" s="14">
        <f>T21*'MASTER SHEET'!D21</f>
        <v>0</v>
      </c>
      <c r="EF21" s="14">
        <f>X21*'MASTER SHEET'!D21</f>
        <v>0</v>
      </c>
      <c r="EG21" s="14">
        <f>AB21*'MASTER SHEET'!D21</f>
        <v>0</v>
      </c>
      <c r="EH21" s="14">
        <f>AF21*'MASTER SHEET'!D21</f>
        <v>0</v>
      </c>
      <c r="EI21" s="14">
        <f>AJ21*'MASTER SHEET'!D21</f>
        <v>0</v>
      </c>
      <c r="EJ21" s="14">
        <f>AN21*'MASTER SHEET'!D21</f>
        <v>0</v>
      </c>
      <c r="EK21" s="14">
        <f>AR21*'MASTER SHEET'!D21</f>
        <v>0</v>
      </c>
      <c r="EL21" s="14">
        <f>AV21*'MASTER SHEET'!D21</f>
        <v>0</v>
      </c>
      <c r="EM21" s="14">
        <f>AZ21*'MASTER SHEET'!D21</f>
        <v>0</v>
      </c>
      <c r="EN21" s="14">
        <f>BD21*'MASTER SHEET'!D21</f>
        <v>0</v>
      </c>
      <c r="EO21" s="14">
        <f>BH21*'MASTER SHEET'!D21</f>
        <v>0</v>
      </c>
      <c r="EP21" s="14">
        <f>BL21*'MASTER SHEET'!D21</f>
        <v>0</v>
      </c>
      <c r="EQ21" s="14">
        <f>BP21*'MASTER SHEET'!D21</f>
        <v>0</v>
      </c>
      <c r="ER21" s="14">
        <f>BT21*'MASTER SHEET'!D21</f>
        <v>0</v>
      </c>
      <c r="ES21" s="14">
        <f>BX21*'MASTER SHEET'!D21</f>
        <v>0</v>
      </c>
      <c r="ET21" s="21">
        <f>CB21*'MASTER SHEET'!D21</f>
        <v>0</v>
      </c>
      <c r="EU21" s="14">
        <f>CF21*'MASTER SHEET'!D21</f>
        <v>0</v>
      </c>
      <c r="EV21" s="14">
        <f>CJ21*'MASTER SHEET'!D21</f>
        <v>0</v>
      </c>
      <c r="EW21" s="14">
        <f>CN21*'MASTER SHEET'!D21</f>
        <v>0</v>
      </c>
      <c r="EX21" s="14">
        <f>CR21*'MASTER SHEET'!D21</f>
        <v>0</v>
      </c>
      <c r="EY21" s="14">
        <f>CR21*'MASTER SHEET'!D21</f>
        <v>0</v>
      </c>
      <c r="EZ21" s="14">
        <f>CV21*'MASTER SHEET'!D21</f>
        <v>0</v>
      </c>
      <c r="FA21" s="14">
        <f>CZ21*'MASTER SHEET'!D21</f>
        <v>0</v>
      </c>
      <c r="FB21" s="14">
        <f>DD21*'MASTER SHEET'!D21</f>
        <v>0</v>
      </c>
    </row>
    <row r="22" spans="1:158" ht="18.75" customHeight="1" x14ac:dyDescent="0.25">
      <c r="A22" s="43">
        <f>'MASTER SHEET'!A22</f>
        <v>20</v>
      </c>
      <c r="B22" s="49" t="str">
        <f>'MASTER SHEET'!B22</f>
        <v xml:space="preserve">SHELL PLASTIC </v>
      </c>
      <c r="C22" s="86">
        <f>'MASTER SHEET'!C22</f>
        <v>5016985</v>
      </c>
      <c r="D22" s="51"/>
      <c r="E22" s="48"/>
      <c r="F22" s="48"/>
      <c r="G22" s="48"/>
      <c r="H22" s="48">
        <f t="shared" si="30"/>
        <v>0</v>
      </c>
      <c r="I22" s="28"/>
      <c r="J22" s="28"/>
      <c r="K22" s="65"/>
      <c r="L22" s="48">
        <f t="shared" si="31"/>
        <v>0</v>
      </c>
      <c r="M22" s="48"/>
      <c r="N22" s="48"/>
      <c r="O22" s="48"/>
      <c r="P22" s="48">
        <f t="shared" si="32"/>
        <v>0</v>
      </c>
      <c r="Q22" s="48"/>
      <c r="R22" s="48"/>
      <c r="S22" s="48"/>
      <c r="T22" s="48">
        <f t="shared" si="33"/>
        <v>0</v>
      </c>
      <c r="U22" s="48">
        <v>0</v>
      </c>
      <c r="V22" s="48"/>
      <c r="W22" s="48"/>
      <c r="X22" s="48">
        <f t="shared" si="34"/>
        <v>0</v>
      </c>
      <c r="Y22" s="48"/>
      <c r="Z22" s="48"/>
      <c r="AA22" s="48"/>
      <c r="AB22" s="48">
        <f t="shared" si="35"/>
        <v>0</v>
      </c>
      <c r="AC22" s="48"/>
      <c r="AD22" s="48"/>
      <c r="AE22" s="48"/>
      <c r="AF22" s="48">
        <f t="shared" si="36"/>
        <v>0</v>
      </c>
      <c r="AG22" s="48"/>
      <c r="AH22" s="48"/>
      <c r="AI22" s="48"/>
      <c r="AJ22" s="48">
        <f t="shared" si="37"/>
        <v>0</v>
      </c>
      <c r="AK22" s="48"/>
      <c r="AL22" s="48"/>
      <c r="AM22" s="48"/>
      <c r="AN22" s="48">
        <f t="shared" si="38"/>
        <v>0</v>
      </c>
      <c r="AO22" s="48"/>
      <c r="AP22" s="48"/>
      <c r="AQ22" s="48"/>
      <c r="AR22" s="48">
        <f t="shared" si="39"/>
        <v>0</v>
      </c>
      <c r="AS22" s="48"/>
      <c r="AT22" s="48"/>
      <c r="AU22" s="48"/>
      <c r="AV22" s="48">
        <f t="shared" si="40"/>
        <v>0</v>
      </c>
      <c r="AW22" s="48"/>
      <c r="AX22" s="48"/>
      <c r="AY22" s="48"/>
      <c r="AZ22" s="48">
        <f t="shared" si="61"/>
        <v>0</v>
      </c>
      <c r="BA22" s="48"/>
      <c r="BB22" s="48"/>
      <c r="BC22" s="48"/>
      <c r="BD22" s="48">
        <f t="shared" si="41"/>
        <v>0</v>
      </c>
      <c r="BE22" s="48"/>
      <c r="BF22" s="48"/>
      <c r="BG22" s="48"/>
      <c r="BH22" s="48">
        <f t="shared" si="42"/>
        <v>0</v>
      </c>
      <c r="BI22" s="48"/>
      <c r="BJ22" s="48"/>
      <c r="BK22" s="48"/>
      <c r="BL22" s="48">
        <f t="shared" si="43"/>
        <v>0</v>
      </c>
      <c r="BM22" s="48"/>
      <c r="BN22" s="48"/>
      <c r="BO22" s="48"/>
      <c r="BP22" s="48">
        <f t="shared" si="44"/>
        <v>0</v>
      </c>
      <c r="BQ22" s="48"/>
      <c r="BR22" s="48"/>
      <c r="BS22" s="48"/>
      <c r="BT22" s="48">
        <f t="shared" si="45"/>
        <v>0</v>
      </c>
      <c r="BU22" s="48"/>
      <c r="BV22" s="48"/>
      <c r="BW22" s="48"/>
      <c r="BX22" s="48">
        <f t="shared" si="46"/>
        <v>0</v>
      </c>
      <c r="BY22" s="48"/>
      <c r="BZ22" s="48"/>
      <c r="CA22" s="48"/>
      <c r="CB22" s="48">
        <f t="shared" si="47"/>
        <v>0</v>
      </c>
      <c r="CC22" s="48"/>
      <c r="CD22" s="48"/>
      <c r="CE22" s="48"/>
      <c r="CF22" s="48">
        <f t="shared" si="48"/>
        <v>0</v>
      </c>
      <c r="CG22" s="48"/>
      <c r="CH22" s="48"/>
      <c r="CI22" s="48"/>
      <c r="CJ22" s="48">
        <f t="shared" si="49"/>
        <v>0</v>
      </c>
      <c r="CK22" s="48"/>
      <c r="CL22" s="48"/>
      <c r="CM22" s="48"/>
      <c r="CN22" s="48">
        <f t="shared" si="50"/>
        <v>0</v>
      </c>
      <c r="CO22" s="48"/>
      <c r="CP22" s="48"/>
      <c r="CQ22" s="48"/>
      <c r="CR22" s="48">
        <f t="shared" si="51"/>
        <v>0</v>
      </c>
      <c r="CS22" s="48"/>
      <c r="CT22" s="48"/>
      <c r="CU22" s="48"/>
      <c r="CV22" s="48">
        <f t="shared" si="52"/>
        <v>0</v>
      </c>
      <c r="CW22" s="48"/>
      <c r="CX22" s="48"/>
      <c r="CY22" s="48"/>
      <c r="CZ22" s="48">
        <f t="shared" si="53"/>
        <v>0</v>
      </c>
      <c r="DA22" s="48"/>
      <c r="DB22" s="48"/>
      <c r="DC22" s="48"/>
      <c r="DD22" s="48">
        <f t="shared" si="54"/>
        <v>0</v>
      </c>
      <c r="DE22" s="48"/>
      <c r="DF22" s="48"/>
      <c r="DG22" s="48"/>
      <c r="DH22" s="48">
        <f t="shared" si="55"/>
        <v>0</v>
      </c>
      <c r="DI22" s="48"/>
      <c r="DJ22" s="48"/>
      <c r="DK22" s="48"/>
      <c r="DL22" s="48">
        <f t="shared" si="56"/>
        <v>0</v>
      </c>
      <c r="DM22" s="48"/>
      <c r="DN22" s="48"/>
      <c r="DO22" s="48"/>
      <c r="DP22" s="48">
        <f t="shared" si="57"/>
        <v>0</v>
      </c>
      <c r="DQ22" s="48"/>
      <c r="DR22" s="48"/>
      <c r="DS22" s="48"/>
      <c r="DT22" s="48">
        <f t="shared" si="58"/>
        <v>0</v>
      </c>
      <c r="DU22" s="48"/>
      <c r="DV22" s="48"/>
      <c r="DW22" s="48"/>
      <c r="DX22" s="48">
        <f t="shared" si="59"/>
        <v>0</v>
      </c>
      <c r="DY22" s="48">
        <f t="shared" si="63"/>
        <v>0</v>
      </c>
      <c r="DZ22" s="48">
        <f t="shared" si="60"/>
        <v>0</v>
      </c>
      <c r="EA22" s="14">
        <f>D22*'MASTER SHEET'!D22</f>
        <v>0</v>
      </c>
      <c r="EB22" s="14">
        <f>H22*'MASTER SHEET'!D22</f>
        <v>0</v>
      </c>
      <c r="EC22" s="14">
        <f>L22*'MASTER SHEET'!D22</f>
        <v>0</v>
      </c>
      <c r="ED22" s="14">
        <f>P22*'MASTER SHEET'!D22</f>
        <v>0</v>
      </c>
      <c r="EE22" s="14">
        <f>T22*'MASTER SHEET'!D22</f>
        <v>0</v>
      </c>
      <c r="EF22" s="14">
        <f>X22*'MASTER SHEET'!D22</f>
        <v>0</v>
      </c>
      <c r="EG22" s="14">
        <f>AB22*'MASTER SHEET'!D22</f>
        <v>0</v>
      </c>
      <c r="EH22" s="14">
        <f>AF22*'MASTER SHEET'!D22</f>
        <v>0</v>
      </c>
      <c r="EI22" s="14">
        <f>AJ22*'MASTER SHEET'!D22</f>
        <v>0</v>
      </c>
      <c r="EJ22" s="14">
        <f>AN22*'MASTER SHEET'!D22</f>
        <v>0</v>
      </c>
      <c r="EK22" s="14">
        <f>AR22*'MASTER SHEET'!D22</f>
        <v>0</v>
      </c>
      <c r="EL22" s="14">
        <f>AV22*'MASTER SHEET'!D22</f>
        <v>0</v>
      </c>
      <c r="EM22" s="14">
        <f>AZ22*'MASTER SHEET'!D22</f>
        <v>0</v>
      </c>
      <c r="EN22" s="14">
        <f>BD22*'MASTER SHEET'!D22</f>
        <v>0</v>
      </c>
      <c r="EO22" s="14">
        <f>BH22*'MASTER SHEET'!D22</f>
        <v>0</v>
      </c>
      <c r="EP22" s="14">
        <f>BL22*'MASTER SHEET'!D22</f>
        <v>0</v>
      </c>
      <c r="EQ22" s="14">
        <f>BP22*'MASTER SHEET'!D22</f>
        <v>0</v>
      </c>
      <c r="ER22" s="14">
        <f>BT22*'MASTER SHEET'!D22</f>
        <v>0</v>
      </c>
      <c r="ES22" s="14">
        <f>BX22*'MASTER SHEET'!D22</f>
        <v>0</v>
      </c>
      <c r="ET22" s="21">
        <f>CB22*'MASTER SHEET'!D22</f>
        <v>0</v>
      </c>
      <c r="EU22" s="14">
        <f>CF22*'MASTER SHEET'!D22</f>
        <v>0</v>
      </c>
      <c r="EV22" s="14">
        <f>CJ22*'MASTER SHEET'!D22</f>
        <v>0</v>
      </c>
      <c r="EW22" s="14">
        <f>CN22*'MASTER SHEET'!D22</f>
        <v>0</v>
      </c>
      <c r="EX22" s="14">
        <f>CR22*'MASTER SHEET'!D22</f>
        <v>0</v>
      </c>
      <c r="EY22" s="14">
        <f>CR22*'MASTER SHEET'!D22</f>
        <v>0</v>
      </c>
      <c r="EZ22" s="14">
        <f>CV22*'MASTER SHEET'!D22</f>
        <v>0</v>
      </c>
      <c r="FA22" s="14">
        <f>CZ22*'MASTER SHEET'!D22</f>
        <v>0</v>
      </c>
      <c r="FB22" s="14">
        <f>DD22*'MASTER SHEET'!D22</f>
        <v>0</v>
      </c>
    </row>
    <row r="23" spans="1:158" ht="18.75" customHeight="1" x14ac:dyDescent="0.25">
      <c r="A23" s="43">
        <f>'MASTER SHEET'!A23</f>
        <v>21</v>
      </c>
      <c r="B23" s="49" t="str">
        <f>'MASTER SHEET'!B23</f>
        <v>CENTER TUBE PLASTIC</v>
      </c>
      <c r="C23" s="86">
        <f>'MASTER SHEET'!C23</f>
        <v>5016989</v>
      </c>
      <c r="D23" s="51"/>
      <c r="E23" s="48"/>
      <c r="F23" s="48"/>
      <c r="G23" s="48"/>
      <c r="H23" s="48">
        <f t="shared" si="30"/>
        <v>0</v>
      </c>
      <c r="I23" s="28"/>
      <c r="J23" s="28"/>
      <c r="K23" s="65"/>
      <c r="L23" s="48">
        <f t="shared" si="31"/>
        <v>0</v>
      </c>
      <c r="M23" s="48"/>
      <c r="N23" s="48"/>
      <c r="O23" s="48"/>
      <c r="P23" s="48">
        <f t="shared" si="32"/>
        <v>0</v>
      </c>
      <c r="Q23" s="48"/>
      <c r="R23" s="48"/>
      <c r="S23" s="48"/>
      <c r="T23" s="48">
        <f t="shared" si="33"/>
        <v>0</v>
      </c>
      <c r="U23" s="48">
        <v>0</v>
      </c>
      <c r="V23" s="48"/>
      <c r="W23" s="48"/>
      <c r="X23" s="48">
        <f t="shared" si="34"/>
        <v>0</v>
      </c>
      <c r="Y23" s="48"/>
      <c r="Z23" s="48"/>
      <c r="AA23" s="48"/>
      <c r="AB23" s="48">
        <f t="shared" si="35"/>
        <v>0</v>
      </c>
      <c r="AC23" s="48"/>
      <c r="AD23" s="48"/>
      <c r="AE23" s="48"/>
      <c r="AF23" s="48">
        <f t="shared" si="36"/>
        <v>0</v>
      </c>
      <c r="AG23" s="48"/>
      <c r="AH23" s="48"/>
      <c r="AI23" s="48"/>
      <c r="AJ23" s="48">
        <f t="shared" si="37"/>
        <v>0</v>
      </c>
      <c r="AK23" s="48"/>
      <c r="AL23" s="48"/>
      <c r="AM23" s="48"/>
      <c r="AN23" s="48">
        <f t="shared" si="38"/>
        <v>0</v>
      </c>
      <c r="AO23" s="48"/>
      <c r="AP23" s="48"/>
      <c r="AQ23" s="48"/>
      <c r="AR23" s="48">
        <f t="shared" si="39"/>
        <v>0</v>
      </c>
      <c r="AS23" s="48"/>
      <c r="AT23" s="48"/>
      <c r="AU23" s="48"/>
      <c r="AV23" s="48">
        <f t="shared" si="40"/>
        <v>0</v>
      </c>
      <c r="AW23" s="48"/>
      <c r="AX23" s="48"/>
      <c r="AY23" s="48"/>
      <c r="AZ23" s="48">
        <f t="shared" si="61"/>
        <v>0</v>
      </c>
      <c r="BA23" s="48"/>
      <c r="BB23" s="48"/>
      <c r="BC23" s="48"/>
      <c r="BD23" s="48">
        <f t="shared" si="41"/>
        <v>0</v>
      </c>
      <c r="BE23" s="48"/>
      <c r="BF23" s="48"/>
      <c r="BG23" s="48"/>
      <c r="BH23" s="48">
        <f t="shared" si="42"/>
        <v>0</v>
      </c>
      <c r="BI23" s="48"/>
      <c r="BJ23" s="48"/>
      <c r="BK23" s="48"/>
      <c r="BL23" s="48">
        <f t="shared" si="43"/>
        <v>0</v>
      </c>
      <c r="BM23" s="48"/>
      <c r="BN23" s="48"/>
      <c r="BO23" s="48"/>
      <c r="BP23" s="48">
        <f t="shared" si="44"/>
        <v>0</v>
      </c>
      <c r="BQ23" s="48"/>
      <c r="BR23" s="48"/>
      <c r="BS23" s="48"/>
      <c r="BT23" s="48">
        <f t="shared" si="45"/>
        <v>0</v>
      </c>
      <c r="BU23" s="48"/>
      <c r="BV23" s="48"/>
      <c r="BW23" s="48"/>
      <c r="BX23" s="48">
        <f t="shared" si="46"/>
        <v>0</v>
      </c>
      <c r="BY23" s="48"/>
      <c r="BZ23" s="48"/>
      <c r="CA23" s="48"/>
      <c r="CB23" s="48">
        <f t="shared" si="47"/>
        <v>0</v>
      </c>
      <c r="CC23" s="48"/>
      <c r="CD23" s="48"/>
      <c r="CE23" s="48"/>
      <c r="CF23" s="48">
        <f t="shared" si="48"/>
        <v>0</v>
      </c>
      <c r="CG23" s="48"/>
      <c r="CH23" s="48"/>
      <c r="CI23" s="48"/>
      <c r="CJ23" s="48">
        <f t="shared" si="49"/>
        <v>0</v>
      </c>
      <c r="CK23" s="48"/>
      <c r="CL23" s="48"/>
      <c r="CM23" s="48"/>
      <c r="CN23" s="48">
        <f t="shared" si="50"/>
        <v>0</v>
      </c>
      <c r="CO23" s="48"/>
      <c r="CP23" s="48"/>
      <c r="CQ23" s="48"/>
      <c r="CR23" s="48">
        <f t="shared" si="51"/>
        <v>0</v>
      </c>
      <c r="CS23" s="48"/>
      <c r="CT23" s="48"/>
      <c r="CU23" s="48"/>
      <c r="CV23" s="48">
        <f t="shared" si="52"/>
        <v>0</v>
      </c>
      <c r="CW23" s="48"/>
      <c r="CX23" s="48"/>
      <c r="CY23" s="48"/>
      <c r="CZ23" s="48">
        <f t="shared" si="53"/>
        <v>0</v>
      </c>
      <c r="DA23" s="48"/>
      <c r="DB23" s="48"/>
      <c r="DC23" s="48"/>
      <c r="DD23" s="48">
        <f t="shared" si="54"/>
        <v>0</v>
      </c>
      <c r="DE23" s="48"/>
      <c r="DF23" s="48"/>
      <c r="DG23" s="48"/>
      <c r="DH23" s="48">
        <f t="shared" si="55"/>
        <v>0</v>
      </c>
      <c r="DI23" s="48"/>
      <c r="DJ23" s="48"/>
      <c r="DK23" s="48"/>
      <c r="DL23" s="48">
        <f t="shared" si="56"/>
        <v>0</v>
      </c>
      <c r="DM23" s="48"/>
      <c r="DN23" s="48"/>
      <c r="DO23" s="48"/>
      <c r="DP23" s="48">
        <f t="shared" si="57"/>
        <v>0</v>
      </c>
      <c r="DQ23" s="48"/>
      <c r="DR23" s="48"/>
      <c r="DS23" s="48"/>
      <c r="DT23" s="48">
        <f t="shared" si="58"/>
        <v>0</v>
      </c>
      <c r="DU23" s="48"/>
      <c r="DV23" s="48"/>
      <c r="DW23" s="48"/>
      <c r="DX23" s="48">
        <f t="shared" si="59"/>
        <v>0</v>
      </c>
      <c r="DY23" s="48">
        <f t="shared" si="63"/>
        <v>0</v>
      </c>
      <c r="DZ23" s="48">
        <f t="shared" si="60"/>
        <v>0</v>
      </c>
      <c r="EA23" s="14">
        <f>D23*'MASTER SHEET'!D23</f>
        <v>0</v>
      </c>
      <c r="EB23" s="14">
        <f>H23*'MASTER SHEET'!D23</f>
        <v>0</v>
      </c>
      <c r="EC23" s="14">
        <f>L23*'MASTER SHEET'!D23</f>
        <v>0</v>
      </c>
      <c r="ED23" s="14">
        <f>P23*'MASTER SHEET'!D23</f>
        <v>0</v>
      </c>
      <c r="EE23" s="14">
        <f>T23*'MASTER SHEET'!D23</f>
        <v>0</v>
      </c>
      <c r="EF23" s="14">
        <f>X23*'MASTER SHEET'!D23</f>
        <v>0</v>
      </c>
      <c r="EG23" s="14">
        <f>AB23*'MASTER SHEET'!D23</f>
        <v>0</v>
      </c>
      <c r="EH23" s="14">
        <f>AF23*'MASTER SHEET'!D23</f>
        <v>0</v>
      </c>
      <c r="EI23" s="14">
        <f>AJ23*'MASTER SHEET'!D23</f>
        <v>0</v>
      </c>
      <c r="EJ23" s="14">
        <f>AN23*'MASTER SHEET'!D23</f>
        <v>0</v>
      </c>
      <c r="EK23" s="14">
        <f>AR23*'MASTER SHEET'!D23</f>
        <v>0</v>
      </c>
      <c r="EL23" s="14">
        <f>AV23*'MASTER SHEET'!D23</f>
        <v>0</v>
      </c>
      <c r="EM23" s="14">
        <f>AZ23*'MASTER SHEET'!D23</f>
        <v>0</v>
      </c>
      <c r="EN23" s="14">
        <f>BD23*'MASTER SHEET'!D23</f>
        <v>0</v>
      </c>
      <c r="EO23" s="14">
        <f>BH23*'MASTER SHEET'!D23</f>
        <v>0</v>
      </c>
      <c r="EP23" s="14">
        <f>BL23*'MASTER SHEET'!D23</f>
        <v>0</v>
      </c>
      <c r="EQ23" s="14">
        <f>BP23*'MASTER SHEET'!D23</f>
        <v>0</v>
      </c>
      <c r="ER23" s="14">
        <f>BT23*'MASTER SHEET'!D23</f>
        <v>0</v>
      </c>
      <c r="ES23" s="14">
        <f>BX23*'MASTER SHEET'!D23</f>
        <v>0</v>
      </c>
      <c r="ET23" s="21">
        <f>CB23*'MASTER SHEET'!D23</f>
        <v>0</v>
      </c>
      <c r="EU23" s="14">
        <f>CF23*'MASTER SHEET'!D23</f>
        <v>0</v>
      </c>
      <c r="EV23" s="14">
        <f>CJ23*'MASTER SHEET'!D23</f>
        <v>0</v>
      </c>
      <c r="EW23" s="14">
        <f>CN23*'MASTER SHEET'!D23</f>
        <v>0</v>
      </c>
      <c r="EX23" s="14">
        <f>CR23*'MASTER SHEET'!D23</f>
        <v>0</v>
      </c>
      <c r="EY23" s="14">
        <f>CR23*'MASTER SHEET'!D23</f>
        <v>0</v>
      </c>
      <c r="EZ23" s="14">
        <f>CV23*'MASTER SHEET'!D23</f>
        <v>0</v>
      </c>
      <c r="FA23" s="14">
        <f>CZ23*'MASTER SHEET'!D23</f>
        <v>0</v>
      </c>
      <c r="FB23" s="14">
        <f>DD23*'MASTER SHEET'!D23</f>
        <v>0</v>
      </c>
    </row>
    <row r="24" spans="1:158" ht="18.75" customHeight="1" x14ac:dyDescent="0.25">
      <c r="A24" s="43">
        <f>'MASTER SHEET'!A24</f>
        <v>22</v>
      </c>
      <c r="B24" s="49" t="str">
        <f>'MASTER SHEET'!B24</f>
        <v>BASE HOUSING</v>
      </c>
      <c r="C24" s="86">
        <f>'MASTER SHEET'!C24</f>
        <v>5017101</v>
      </c>
      <c r="D24" s="51"/>
      <c r="E24" s="48"/>
      <c r="F24" s="48"/>
      <c r="G24" s="48"/>
      <c r="H24" s="48">
        <f t="shared" si="30"/>
        <v>0</v>
      </c>
      <c r="I24" s="28"/>
      <c r="J24" s="28"/>
      <c r="K24" s="65"/>
      <c r="L24" s="48">
        <f t="shared" si="31"/>
        <v>0</v>
      </c>
      <c r="M24" s="48"/>
      <c r="N24" s="48"/>
      <c r="O24" s="48"/>
      <c r="P24" s="48">
        <f t="shared" si="32"/>
        <v>0</v>
      </c>
      <c r="Q24" s="48"/>
      <c r="R24" s="48"/>
      <c r="S24" s="48"/>
      <c r="T24" s="48">
        <f t="shared" si="33"/>
        <v>0</v>
      </c>
      <c r="U24" s="48">
        <v>0</v>
      </c>
      <c r="V24" s="48"/>
      <c r="W24" s="48"/>
      <c r="X24" s="48">
        <f t="shared" si="34"/>
        <v>0</v>
      </c>
      <c r="Y24" s="48"/>
      <c r="Z24" s="48"/>
      <c r="AA24" s="48"/>
      <c r="AB24" s="48">
        <f t="shared" si="35"/>
        <v>0</v>
      </c>
      <c r="AC24" s="48"/>
      <c r="AD24" s="48"/>
      <c r="AE24" s="48"/>
      <c r="AF24" s="48">
        <f t="shared" si="36"/>
        <v>0</v>
      </c>
      <c r="AG24" s="48"/>
      <c r="AH24" s="48"/>
      <c r="AI24" s="48"/>
      <c r="AJ24" s="48">
        <f t="shared" si="37"/>
        <v>0</v>
      </c>
      <c r="AK24" s="48"/>
      <c r="AL24" s="48"/>
      <c r="AM24" s="48"/>
      <c r="AN24" s="48">
        <f t="shared" si="38"/>
        <v>0</v>
      </c>
      <c r="AO24" s="48"/>
      <c r="AP24" s="48"/>
      <c r="AQ24" s="48"/>
      <c r="AR24" s="48">
        <f t="shared" si="39"/>
        <v>0</v>
      </c>
      <c r="AS24" s="48"/>
      <c r="AT24" s="48"/>
      <c r="AU24" s="48"/>
      <c r="AV24" s="48">
        <f t="shared" si="40"/>
        <v>0</v>
      </c>
      <c r="AW24" s="48"/>
      <c r="AX24" s="48"/>
      <c r="AY24" s="48"/>
      <c r="AZ24" s="48">
        <f t="shared" si="61"/>
        <v>0</v>
      </c>
      <c r="BA24" s="48"/>
      <c r="BB24" s="48"/>
      <c r="BC24" s="48"/>
      <c r="BD24" s="48">
        <f t="shared" si="41"/>
        <v>0</v>
      </c>
      <c r="BE24" s="48"/>
      <c r="BF24" s="48"/>
      <c r="BG24" s="48"/>
      <c r="BH24" s="48">
        <f t="shared" si="42"/>
        <v>0</v>
      </c>
      <c r="BI24" s="48"/>
      <c r="BJ24" s="48"/>
      <c r="BK24" s="48"/>
      <c r="BL24" s="48">
        <f t="shared" si="43"/>
        <v>0</v>
      </c>
      <c r="BM24" s="48"/>
      <c r="BN24" s="48"/>
      <c r="BO24" s="48"/>
      <c r="BP24" s="48">
        <f t="shared" si="44"/>
        <v>0</v>
      </c>
      <c r="BQ24" s="48"/>
      <c r="BR24" s="48"/>
      <c r="BS24" s="48"/>
      <c r="BT24" s="48">
        <f t="shared" si="45"/>
        <v>0</v>
      </c>
      <c r="BU24" s="48"/>
      <c r="BV24" s="48"/>
      <c r="BW24" s="48"/>
      <c r="BX24" s="48">
        <f t="shared" si="46"/>
        <v>0</v>
      </c>
      <c r="BY24" s="48"/>
      <c r="BZ24" s="48"/>
      <c r="CA24" s="48"/>
      <c r="CB24" s="48">
        <f t="shared" si="47"/>
        <v>0</v>
      </c>
      <c r="CC24" s="48"/>
      <c r="CD24" s="48"/>
      <c r="CE24" s="48"/>
      <c r="CF24" s="48">
        <f t="shared" si="48"/>
        <v>0</v>
      </c>
      <c r="CG24" s="48"/>
      <c r="CH24" s="48"/>
      <c r="CI24" s="48"/>
      <c r="CJ24" s="48">
        <f t="shared" si="49"/>
        <v>0</v>
      </c>
      <c r="CK24" s="48"/>
      <c r="CL24" s="48"/>
      <c r="CM24" s="48"/>
      <c r="CN24" s="48">
        <f t="shared" si="50"/>
        <v>0</v>
      </c>
      <c r="CO24" s="48"/>
      <c r="CP24" s="48"/>
      <c r="CQ24" s="48"/>
      <c r="CR24" s="48">
        <f t="shared" si="51"/>
        <v>0</v>
      </c>
      <c r="CS24" s="48"/>
      <c r="CT24" s="48"/>
      <c r="CU24" s="48"/>
      <c r="CV24" s="48">
        <f t="shared" si="52"/>
        <v>0</v>
      </c>
      <c r="CW24" s="48"/>
      <c r="CX24" s="48"/>
      <c r="CY24" s="48"/>
      <c r="CZ24" s="48">
        <f t="shared" si="53"/>
        <v>0</v>
      </c>
      <c r="DA24" s="48"/>
      <c r="DB24" s="48"/>
      <c r="DC24" s="48"/>
      <c r="DD24" s="48">
        <f t="shared" si="54"/>
        <v>0</v>
      </c>
      <c r="DE24" s="48"/>
      <c r="DF24" s="48"/>
      <c r="DG24" s="48"/>
      <c r="DH24" s="48">
        <f t="shared" si="55"/>
        <v>0</v>
      </c>
      <c r="DI24" s="48"/>
      <c r="DJ24" s="48"/>
      <c r="DK24" s="48"/>
      <c r="DL24" s="48">
        <f t="shared" si="56"/>
        <v>0</v>
      </c>
      <c r="DM24" s="48"/>
      <c r="DN24" s="48"/>
      <c r="DO24" s="48"/>
      <c r="DP24" s="48">
        <f t="shared" si="57"/>
        <v>0</v>
      </c>
      <c r="DQ24" s="48"/>
      <c r="DR24" s="48"/>
      <c r="DS24" s="48"/>
      <c r="DT24" s="48">
        <f t="shared" si="58"/>
        <v>0</v>
      </c>
      <c r="DU24" s="48"/>
      <c r="DV24" s="48"/>
      <c r="DW24" s="48"/>
      <c r="DX24" s="48">
        <f t="shared" si="59"/>
        <v>0</v>
      </c>
      <c r="DY24" s="48">
        <f t="shared" si="63"/>
        <v>0</v>
      </c>
      <c r="DZ24" s="48">
        <f t="shared" si="60"/>
        <v>0</v>
      </c>
      <c r="EA24" s="14">
        <f>D24*'MASTER SHEET'!D24</f>
        <v>0</v>
      </c>
      <c r="EB24" s="14">
        <f>H24*'MASTER SHEET'!D24</f>
        <v>0</v>
      </c>
      <c r="EC24" s="14">
        <f>L24*'MASTER SHEET'!D24</f>
        <v>0</v>
      </c>
      <c r="ED24" s="14">
        <f>P24*'MASTER SHEET'!D24</f>
        <v>0</v>
      </c>
      <c r="EE24" s="14">
        <f>T24*'MASTER SHEET'!D24</f>
        <v>0</v>
      </c>
      <c r="EF24" s="14">
        <f>X24*'MASTER SHEET'!D24</f>
        <v>0</v>
      </c>
      <c r="EG24" s="14">
        <f>AB24*'MASTER SHEET'!D24</f>
        <v>0</v>
      </c>
      <c r="EH24" s="14">
        <f>AF24*'MASTER SHEET'!D24</f>
        <v>0</v>
      </c>
      <c r="EI24" s="14">
        <f>AJ24*'MASTER SHEET'!D24</f>
        <v>0</v>
      </c>
      <c r="EJ24" s="14">
        <f>AN24*'MASTER SHEET'!D24</f>
        <v>0</v>
      </c>
      <c r="EK24" s="14">
        <f>AR24*'MASTER SHEET'!D24</f>
        <v>0</v>
      </c>
      <c r="EL24" s="14">
        <f>AV24*'MASTER SHEET'!D24</f>
        <v>0</v>
      </c>
      <c r="EM24" s="14">
        <f>AZ24*'MASTER SHEET'!D24</f>
        <v>0</v>
      </c>
      <c r="EN24" s="14">
        <f>BD24*'MASTER SHEET'!D24</f>
        <v>0</v>
      </c>
      <c r="EO24" s="14">
        <f>BH24*'MASTER SHEET'!D24</f>
        <v>0</v>
      </c>
      <c r="EP24" s="14">
        <f>BL24*'MASTER SHEET'!D24</f>
        <v>0</v>
      </c>
      <c r="EQ24" s="14">
        <f>BP24*'MASTER SHEET'!D24</f>
        <v>0</v>
      </c>
      <c r="ER24" s="14">
        <f>BT24*'MASTER SHEET'!D24</f>
        <v>0</v>
      </c>
      <c r="ES24" s="14">
        <f>BX24*'MASTER SHEET'!D24</f>
        <v>0</v>
      </c>
      <c r="ET24" s="21">
        <f>CB24*'MASTER SHEET'!D24</f>
        <v>0</v>
      </c>
      <c r="EU24" s="14">
        <f>CF24*'MASTER SHEET'!D24</f>
        <v>0</v>
      </c>
      <c r="EV24" s="14">
        <f>CJ24*'MASTER SHEET'!D24</f>
        <v>0</v>
      </c>
      <c r="EW24" s="14">
        <f>CN24*'MASTER SHEET'!D24</f>
        <v>0</v>
      </c>
      <c r="EX24" s="14">
        <f>CR24*'MASTER SHEET'!D24</f>
        <v>0</v>
      </c>
      <c r="EY24" s="14">
        <f>CR24*'MASTER SHEET'!D24</f>
        <v>0</v>
      </c>
      <c r="EZ24" s="14">
        <f>CV24*'MASTER SHEET'!D24</f>
        <v>0</v>
      </c>
      <c r="FA24" s="14">
        <f>CZ24*'MASTER SHEET'!D24</f>
        <v>0</v>
      </c>
      <c r="FB24" s="14">
        <f>DD24*'MASTER SHEET'!D24</f>
        <v>0</v>
      </c>
    </row>
    <row r="25" spans="1:158" ht="18.75" customHeight="1" x14ac:dyDescent="0.25">
      <c r="A25" s="43">
        <f>'MASTER SHEET'!A25</f>
        <v>23</v>
      </c>
      <c r="B25" s="49" t="str">
        <f>'MASTER SHEET'!B25</f>
        <v>LID HOUSING CRANKCASE</v>
      </c>
      <c r="C25" s="86">
        <f>'MASTER SHEET'!C25</f>
        <v>5017102</v>
      </c>
      <c r="D25" s="51"/>
      <c r="E25" s="48"/>
      <c r="F25" s="48"/>
      <c r="G25" s="48"/>
      <c r="H25" s="48">
        <f t="shared" si="30"/>
        <v>0</v>
      </c>
      <c r="I25" s="28"/>
      <c r="J25" s="28"/>
      <c r="K25" s="65"/>
      <c r="L25" s="48">
        <f t="shared" si="31"/>
        <v>0</v>
      </c>
      <c r="M25" s="48"/>
      <c r="N25" s="48"/>
      <c r="O25" s="48"/>
      <c r="P25" s="48">
        <f t="shared" si="32"/>
        <v>0</v>
      </c>
      <c r="Q25" s="48"/>
      <c r="R25" s="48"/>
      <c r="S25" s="48"/>
      <c r="T25" s="48">
        <f t="shared" si="33"/>
        <v>0</v>
      </c>
      <c r="U25" s="48">
        <v>0</v>
      </c>
      <c r="V25" s="48"/>
      <c r="W25" s="48"/>
      <c r="X25" s="48">
        <f t="shared" si="34"/>
        <v>0</v>
      </c>
      <c r="Y25" s="48"/>
      <c r="Z25" s="48"/>
      <c r="AA25" s="48"/>
      <c r="AB25" s="48">
        <f t="shared" si="35"/>
        <v>0</v>
      </c>
      <c r="AC25" s="48"/>
      <c r="AD25" s="48"/>
      <c r="AE25" s="48"/>
      <c r="AF25" s="48">
        <f t="shared" si="36"/>
        <v>0</v>
      </c>
      <c r="AG25" s="48"/>
      <c r="AH25" s="48"/>
      <c r="AI25" s="48"/>
      <c r="AJ25" s="48">
        <f t="shared" si="37"/>
        <v>0</v>
      </c>
      <c r="AK25" s="48"/>
      <c r="AL25" s="48"/>
      <c r="AM25" s="48"/>
      <c r="AN25" s="48">
        <f t="shared" si="38"/>
        <v>0</v>
      </c>
      <c r="AO25" s="48"/>
      <c r="AP25" s="48"/>
      <c r="AQ25" s="48"/>
      <c r="AR25" s="48">
        <f t="shared" si="39"/>
        <v>0</v>
      </c>
      <c r="AS25" s="48"/>
      <c r="AT25" s="48"/>
      <c r="AU25" s="48"/>
      <c r="AV25" s="48">
        <f t="shared" si="40"/>
        <v>0</v>
      </c>
      <c r="AW25" s="48"/>
      <c r="AX25" s="48"/>
      <c r="AY25" s="48"/>
      <c r="AZ25" s="48">
        <f t="shared" si="61"/>
        <v>0</v>
      </c>
      <c r="BA25" s="48"/>
      <c r="BB25" s="48"/>
      <c r="BC25" s="48"/>
      <c r="BD25" s="48">
        <f t="shared" si="41"/>
        <v>0</v>
      </c>
      <c r="BE25" s="48"/>
      <c r="BF25" s="48"/>
      <c r="BG25" s="48"/>
      <c r="BH25" s="48">
        <f t="shared" si="42"/>
        <v>0</v>
      </c>
      <c r="BI25" s="48"/>
      <c r="BJ25" s="48"/>
      <c r="BK25" s="48"/>
      <c r="BL25" s="48">
        <f t="shared" si="43"/>
        <v>0</v>
      </c>
      <c r="BM25" s="48"/>
      <c r="BN25" s="48"/>
      <c r="BO25" s="48"/>
      <c r="BP25" s="48">
        <f t="shared" si="44"/>
        <v>0</v>
      </c>
      <c r="BQ25" s="48"/>
      <c r="BR25" s="48"/>
      <c r="BS25" s="48"/>
      <c r="BT25" s="48">
        <f t="shared" si="45"/>
        <v>0</v>
      </c>
      <c r="BU25" s="48"/>
      <c r="BV25" s="48"/>
      <c r="BW25" s="48"/>
      <c r="BX25" s="48">
        <f t="shared" si="46"/>
        <v>0</v>
      </c>
      <c r="BY25" s="48"/>
      <c r="BZ25" s="48"/>
      <c r="CA25" s="48"/>
      <c r="CB25" s="48">
        <f t="shared" si="47"/>
        <v>0</v>
      </c>
      <c r="CC25" s="48"/>
      <c r="CD25" s="48"/>
      <c r="CE25" s="48"/>
      <c r="CF25" s="48">
        <f t="shared" si="48"/>
        <v>0</v>
      </c>
      <c r="CG25" s="48"/>
      <c r="CH25" s="48"/>
      <c r="CI25" s="48"/>
      <c r="CJ25" s="48">
        <f t="shared" si="49"/>
        <v>0</v>
      </c>
      <c r="CK25" s="48"/>
      <c r="CL25" s="48"/>
      <c r="CM25" s="48"/>
      <c r="CN25" s="48">
        <f t="shared" si="50"/>
        <v>0</v>
      </c>
      <c r="CO25" s="48"/>
      <c r="CP25" s="48"/>
      <c r="CQ25" s="48"/>
      <c r="CR25" s="48">
        <f t="shared" si="51"/>
        <v>0</v>
      </c>
      <c r="CS25" s="48"/>
      <c r="CT25" s="48"/>
      <c r="CU25" s="48"/>
      <c r="CV25" s="48">
        <f t="shared" si="52"/>
        <v>0</v>
      </c>
      <c r="CW25" s="48"/>
      <c r="CX25" s="48"/>
      <c r="CY25" s="48"/>
      <c r="CZ25" s="48">
        <f t="shared" si="53"/>
        <v>0</v>
      </c>
      <c r="DA25" s="48"/>
      <c r="DB25" s="48"/>
      <c r="DC25" s="48"/>
      <c r="DD25" s="48">
        <f t="shared" si="54"/>
        <v>0</v>
      </c>
      <c r="DE25" s="48"/>
      <c r="DF25" s="48"/>
      <c r="DG25" s="48"/>
      <c r="DH25" s="48">
        <f t="shared" si="55"/>
        <v>0</v>
      </c>
      <c r="DI25" s="48"/>
      <c r="DJ25" s="48"/>
      <c r="DK25" s="48"/>
      <c r="DL25" s="48">
        <f t="shared" si="56"/>
        <v>0</v>
      </c>
      <c r="DM25" s="48"/>
      <c r="DN25" s="48"/>
      <c r="DO25" s="48"/>
      <c r="DP25" s="48">
        <f t="shared" si="57"/>
        <v>0</v>
      </c>
      <c r="DQ25" s="48"/>
      <c r="DR25" s="48"/>
      <c r="DS25" s="48"/>
      <c r="DT25" s="48">
        <f t="shared" si="58"/>
        <v>0</v>
      </c>
      <c r="DU25" s="48"/>
      <c r="DV25" s="48"/>
      <c r="DW25" s="48"/>
      <c r="DX25" s="48">
        <f t="shared" si="59"/>
        <v>0</v>
      </c>
      <c r="DY25" s="48">
        <f t="shared" si="63"/>
        <v>0</v>
      </c>
      <c r="DZ25" s="48">
        <f t="shared" si="60"/>
        <v>0</v>
      </c>
      <c r="EA25" s="14">
        <f>D25*'MASTER SHEET'!D25</f>
        <v>0</v>
      </c>
      <c r="EB25" s="14">
        <f>H25*'MASTER SHEET'!D25</f>
        <v>0</v>
      </c>
      <c r="EC25" s="14">
        <f>L25*'MASTER SHEET'!D25</f>
        <v>0</v>
      </c>
      <c r="ED25" s="14">
        <f>P25*'MASTER SHEET'!D25</f>
        <v>0</v>
      </c>
      <c r="EE25" s="14">
        <f>T25*'MASTER SHEET'!D25</f>
        <v>0</v>
      </c>
      <c r="EF25" s="14">
        <f>X25*'MASTER SHEET'!D25</f>
        <v>0</v>
      </c>
      <c r="EG25" s="14">
        <f>AB25*'MASTER SHEET'!D25</f>
        <v>0</v>
      </c>
      <c r="EH25" s="14">
        <f>AF25*'MASTER SHEET'!D25</f>
        <v>0</v>
      </c>
      <c r="EI25" s="14">
        <f>AJ25*'MASTER SHEET'!D25</f>
        <v>0</v>
      </c>
      <c r="EJ25" s="14">
        <f>AN25*'MASTER SHEET'!D25</f>
        <v>0</v>
      </c>
      <c r="EK25" s="14">
        <f>AR25*'MASTER SHEET'!D25</f>
        <v>0</v>
      </c>
      <c r="EL25" s="14">
        <f>AV25*'MASTER SHEET'!D25</f>
        <v>0</v>
      </c>
      <c r="EM25" s="14">
        <f>AZ25*'MASTER SHEET'!D25</f>
        <v>0</v>
      </c>
      <c r="EN25" s="14">
        <f>BD25*'MASTER SHEET'!D25</f>
        <v>0</v>
      </c>
      <c r="EO25" s="14">
        <f>BH25*'MASTER SHEET'!D25</f>
        <v>0</v>
      </c>
      <c r="EP25" s="14">
        <f>BL25*'MASTER SHEET'!D25</f>
        <v>0</v>
      </c>
      <c r="EQ25" s="14">
        <f>BP25*'MASTER SHEET'!D25</f>
        <v>0</v>
      </c>
      <c r="ER25" s="14">
        <f>BT25*'MASTER SHEET'!D25</f>
        <v>0</v>
      </c>
      <c r="ES25" s="14">
        <f>BX25*'MASTER SHEET'!D25</f>
        <v>0</v>
      </c>
      <c r="ET25" s="21">
        <f>CB25*'MASTER SHEET'!D25</f>
        <v>0</v>
      </c>
      <c r="EU25" s="14">
        <f>CF25*'MASTER SHEET'!D25</f>
        <v>0</v>
      </c>
      <c r="EV25" s="14">
        <f>CJ25*'MASTER SHEET'!D25</f>
        <v>0</v>
      </c>
      <c r="EW25" s="14">
        <f>CN25*'MASTER SHEET'!D25</f>
        <v>0</v>
      </c>
      <c r="EX25" s="14">
        <f>CR25*'MASTER SHEET'!D25</f>
        <v>0</v>
      </c>
      <c r="EY25" s="14">
        <f>CR25*'MASTER SHEET'!D25</f>
        <v>0</v>
      </c>
      <c r="EZ25" s="14">
        <f>CV25*'MASTER SHEET'!D25</f>
        <v>0</v>
      </c>
      <c r="FA25" s="14">
        <f>CZ25*'MASTER SHEET'!D25</f>
        <v>0</v>
      </c>
      <c r="FB25" s="14">
        <f>DD25*'MASTER SHEET'!D25</f>
        <v>0</v>
      </c>
    </row>
    <row r="26" spans="1:158" ht="18.75" customHeight="1" x14ac:dyDescent="0.25">
      <c r="A26" s="43">
        <f>'MASTER SHEET'!A26</f>
        <v>24</v>
      </c>
      <c r="B26" s="49" t="str">
        <f>'MASTER SHEET'!B26</f>
        <v>CENTER TUBE</v>
      </c>
      <c r="C26" s="86">
        <f>'MASTER SHEET'!C26</f>
        <v>5017886</v>
      </c>
      <c r="D26" s="51"/>
      <c r="E26" s="48"/>
      <c r="F26" s="48"/>
      <c r="G26" s="48"/>
      <c r="H26" s="48">
        <f t="shared" si="30"/>
        <v>0</v>
      </c>
      <c r="I26" s="28"/>
      <c r="J26" s="28"/>
      <c r="K26" s="65"/>
      <c r="L26" s="48">
        <f t="shared" si="31"/>
        <v>0</v>
      </c>
      <c r="M26" s="48"/>
      <c r="N26" s="48"/>
      <c r="O26" s="48"/>
      <c r="P26" s="48">
        <f t="shared" si="32"/>
        <v>0</v>
      </c>
      <c r="Q26" s="48"/>
      <c r="R26" s="48"/>
      <c r="S26" s="48"/>
      <c r="T26" s="48">
        <f t="shared" si="33"/>
        <v>0</v>
      </c>
      <c r="U26" s="48">
        <v>0</v>
      </c>
      <c r="V26" s="48"/>
      <c r="W26" s="48"/>
      <c r="X26" s="48">
        <f t="shared" si="34"/>
        <v>0</v>
      </c>
      <c r="Y26" s="48"/>
      <c r="Z26" s="48"/>
      <c r="AA26" s="48"/>
      <c r="AB26" s="48">
        <f t="shared" si="35"/>
        <v>0</v>
      </c>
      <c r="AC26" s="48"/>
      <c r="AD26" s="48"/>
      <c r="AE26" s="48"/>
      <c r="AF26" s="48">
        <f t="shared" si="36"/>
        <v>0</v>
      </c>
      <c r="AG26" s="48"/>
      <c r="AH26" s="48"/>
      <c r="AI26" s="48"/>
      <c r="AJ26" s="48">
        <f t="shared" si="37"/>
        <v>0</v>
      </c>
      <c r="AK26" s="48"/>
      <c r="AL26" s="48"/>
      <c r="AM26" s="48"/>
      <c r="AN26" s="48">
        <f t="shared" si="38"/>
        <v>0</v>
      </c>
      <c r="AO26" s="48"/>
      <c r="AP26" s="48"/>
      <c r="AQ26" s="48"/>
      <c r="AR26" s="48">
        <f t="shared" si="39"/>
        <v>0</v>
      </c>
      <c r="AS26" s="48"/>
      <c r="AT26" s="48"/>
      <c r="AU26" s="48"/>
      <c r="AV26" s="48">
        <f t="shared" si="40"/>
        <v>0</v>
      </c>
      <c r="AW26" s="48"/>
      <c r="AX26" s="48"/>
      <c r="AY26" s="48"/>
      <c r="AZ26" s="48">
        <f t="shared" si="61"/>
        <v>0</v>
      </c>
      <c r="BA26" s="48"/>
      <c r="BB26" s="48"/>
      <c r="BC26" s="48"/>
      <c r="BD26" s="48">
        <f t="shared" si="41"/>
        <v>0</v>
      </c>
      <c r="BE26" s="48"/>
      <c r="BF26" s="48"/>
      <c r="BG26" s="48"/>
      <c r="BH26" s="48">
        <f t="shared" si="42"/>
        <v>0</v>
      </c>
      <c r="BI26" s="48"/>
      <c r="BJ26" s="48"/>
      <c r="BK26" s="48"/>
      <c r="BL26" s="48">
        <f t="shared" si="43"/>
        <v>0</v>
      </c>
      <c r="BM26" s="48"/>
      <c r="BN26" s="48"/>
      <c r="BO26" s="48"/>
      <c r="BP26" s="48">
        <f t="shared" si="44"/>
        <v>0</v>
      </c>
      <c r="BQ26" s="48"/>
      <c r="BR26" s="48"/>
      <c r="BS26" s="48"/>
      <c r="BT26" s="48">
        <f t="shared" si="45"/>
        <v>0</v>
      </c>
      <c r="BU26" s="48"/>
      <c r="BV26" s="48"/>
      <c r="BW26" s="48"/>
      <c r="BX26" s="48">
        <f t="shared" si="46"/>
        <v>0</v>
      </c>
      <c r="BY26" s="48"/>
      <c r="BZ26" s="48"/>
      <c r="CA26" s="48"/>
      <c r="CB26" s="48">
        <f t="shared" si="47"/>
        <v>0</v>
      </c>
      <c r="CC26" s="48"/>
      <c r="CD26" s="48"/>
      <c r="CE26" s="48"/>
      <c r="CF26" s="48">
        <f t="shared" si="48"/>
        <v>0</v>
      </c>
      <c r="CG26" s="48"/>
      <c r="CH26" s="48"/>
      <c r="CI26" s="48"/>
      <c r="CJ26" s="48">
        <f t="shared" si="49"/>
        <v>0</v>
      </c>
      <c r="CK26" s="48"/>
      <c r="CL26" s="48"/>
      <c r="CM26" s="48"/>
      <c r="CN26" s="48">
        <f t="shared" si="50"/>
        <v>0</v>
      </c>
      <c r="CO26" s="48"/>
      <c r="CP26" s="48"/>
      <c r="CQ26" s="48"/>
      <c r="CR26" s="48">
        <f t="shared" si="51"/>
        <v>0</v>
      </c>
      <c r="CS26" s="48"/>
      <c r="CT26" s="48"/>
      <c r="CU26" s="48"/>
      <c r="CV26" s="48">
        <f t="shared" si="52"/>
        <v>0</v>
      </c>
      <c r="CW26" s="48"/>
      <c r="CX26" s="48"/>
      <c r="CY26" s="48"/>
      <c r="CZ26" s="48">
        <f t="shared" si="53"/>
        <v>0</v>
      </c>
      <c r="DA26" s="48"/>
      <c r="DB26" s="48"/>
      <c r="DC26" s="48"/>
      <c r="DD26" s="48">
        <f t="shared" si="54"/>
        <v>0</v>
      </c>
      <c r="DE26" s="48"/>
      <c r="DF26" s="48"/>
      <c r="DG26" s="48"/>
      <c r="DH26" s="48">
        <f t="shared" si="55"/>
        <v>0</v>
      </c>
      <c r="DI26" s="48"/>
      <c r="DJ26" s="48"/>
      <c r="DK26" s="48"/>
      <c r="DL26" s="48">
        <f t="shared" si="56"/>
        <v>0</v>
      </c>
      <c r="DM26" s="48"/>
      <c r="DN26" s="48"/>
      <c r="DO26" s="48"/>
      <c r="DP26" s="48">
        <f t="shared" si="57"/>
        <v>0</v>
      </c>
      <c r="DQ26" s="48"/>
      <c r="DR26" s="48"/>
      <c r="DS26" s="48"/>
      <c r="DT26" s="48">
        <f t="shared" si="58"/>
        <v>0</v>
      </c>
      <c r="DU26" s="48"/>
      <c r="DV26" s="48"/>
      <c r="DW26" s="48"/>
      <c r="DX26" s="48">
        <f t="shared" si="59"/>
        <v>0</v>
      </c>
      <c r="DY26" s="48">
        <f t="shared" si="63"/>
        <v>0</v>
      </c>
      <c r="DZ26" s="48">
        <f t="shared" si="60"/>
        <v>0</v>
      </c>
      <c r="EA26" s="14">
        <f>D26*'MASTER SHEET'!D26</f>
        <v>0</v>
      </c>
      <c r="EB26" s="14">
        <f>H26*'MASTER SHEET'!D26</f>
        <v>0</v>
      </c>
      <c r="EC26" s="14">
        <f>L26*'MASTER SHEET'!D26</f>
        <v>0</v>
      </c>
      <c r="ED26" s="14">
        <f>P26*'MASTER SHEET'!D26</f>
        <v>0</v>
      </c>
      <c r="EE26" s="14">
        <f>T26*'MASTER SHEET'!D26</f>
        <v>0</v>
      </c>
      <c r="EF26" s="14">
        <f>X26*'MASTER SHEET'!D26</f>
        <v>0</v>
      </c>
      <c r="EG26" s="14">
        <f>AB26*'MASTER SHEET'!D26</f>
        <v>0</v>
      </c>
      <c r="EH26" s="14">
        <f>AF26*'MASTER SHEET'!D26</f>
        <v>0</v>
      </c>
      <c r="EI26" s="14">
        <f>AJ26*'MASTER SHEET'!D26</f>
        <v>0</v>
      </c>
      <c r="EJ26" s="14">
        <f>AN26*'MASTER SHEET'!D26</f>
        <v>0</v>
      </c>
      <c r="EK26" s="14">
        <f>AR26*'MASTER SHEET'!D26</f>
        <v>0</v>
      </c>
      <c r="EL26" s="14">
        <f>AV26*'MASTER SHEET'!D26</f>
        <v>0</v>
      </c>
      <c r="EM26" s="14">
        <f>AZ26*'MASTER SHEET'!D26</f>
        <v>0</v>
      </c>
      <c r="EN26" s="14">
        <f>BD26*'MASTER SHEET'!D26</f>
        <v>0</v>
      </c>
      <c r="EO26" s="14">
        <f>BH26*'MASTER SHEET'!D26</f>
        <v>0</v>
      </c>
      <c r="EP26" s="14">
        <f>BL26*'MASTER SHEET'!D26</f>
        <v>0</v>
      </c>
      <c r="EQ26" s="14">
        <f>BP26*'MASTER SHEET'!D26</f>
        <v>0</v>
      </c>
      <c r="ER26" s="14">
        <f>BT26*'MASTER SHEET'!D26</f>
        <v>0</v>
      </c>
      <c r="ES26" s="14">
        <f>BX26*'MASTER SHEET'!D26</f>
        <v>0</v>
      </c>
      <c r="ET26" s="21">
        <f>CB26*'MASTER SHEET'!D26</f>
        <v>0</v>
      </c>
      <c r="EU26" s="14">
        <f>CF26*'MASTER SHEET'!D26</f>
        <v>0</v>
      </c>
      <c r="EV26" s="14">
        <f>CJ26*'MASTER SHEET'!D26</f>
        <v>0</v>
      </c>
      <c r="EW26" s="14">
        <f>CN26*'MASTER SHEET'!D26</f>
        <v>0</v>
      </c>
      <c r="EX26" s="14">
        <f>CR26*'MASTER SHEET'!D26</f>
        <v>0</v>
      </c>
      <c r="EY26" s="14">
        <f>CR26*'MASTER SHEET'!D26</f>
        <v>0</v>
      </c>
      <c r="EZ26" s="14">
        <f>CV26*'MASTER SHEET'!D26</f>
        <v>0</v>
      </c>
      <c r="FA26" s="14">
        <f>CZ26*'MASTER SHEET'!D26</f>
        <v>0</v>
      </c>
      <c r="FB26" s="14">
        <f>DD26*'MASTER SHEET'!D26</f>
        <v>0</v>
      </c>
    </row>
    <row r="27" spans="1:158" ht="18.75" customHeight="1" x14ac:dyDescent="0.25">
      <c r="A27" s="43">
        <f>'MASTER SHEET'!A27</f>
        <v>25</v>
      </c>
      <c r="B27" s="49" t="str">
        <f>'MASTER SHEET'!B27</f>
        <v xml:space="preserve">CENTER TUBE  </v>
      </c>
      <c r="C27" s="86">
        <f>'MASTER SHEET'!C27</f>
        <v>5017887</v>
      </c>
      <c r="D27" s="51"/>
      <c r="E27" s="48"/>
      <c r="F27" s="48"/>
      <c r="G27" s="48"/>
      <c r="H27" s="48">
        <f t="shared" si="30"/>
        <v>0</v>
      </c>
      <c r="I27" s="28"/>
      <c r="J27" s="28"/>
      <c r="K27" s="65"/>
      <c r="L27" s="48">
        <f t="shared" si="31"/>
        <v>0</v>
      </c>
      <c r="M27" s="48"/>
      <c r="N27" s="48"/>
      <c r="O27" s="48"/>
      <c r="P27" s="48">
        <f t="shared" si="32"/>
        <v>0</v>
      </c>
      <c r="Q27" s="48"/>
      <c r="R27" s="48"/>
      <c r="S27" s="48"/>
      <c r="T27" s="48">
        <f t="shared" si="33"/>
        <v>0</v>
      </c>
      <c r="U27" s="48">
        <v>0</v>
      </c>
      <c r="V27" s="48"/>
      <c r="W27" s="48"/>
      <c r="X27" s="48">
        <f t="shared" si="34"/>
        <v>0</v>
      </c>
      <c r="Y27" s="48"/>
      <c r="Z27" s="48"/>
      <c r="AA27" s="48"/>
      <c r="AB27" s="48">
        <f t="shared" si="35"/>
        <v>0</v>
      </c>
      <c r="AC27" s="48"/>
      <c r="AD27" s="48"/>
      <c r="AE27" s="48"/>
      <c r="AF27" s="48">
        <f t="shared" si="36"/>
        <v>0</v>
      </c>
      <c r="AG27" s="48"/>
      <c r="AH27" s="48"/>
      <c r="AI27" s="48"/>
      <c r="AJ27" s="48">
        <f t="shared" si="37"/>
        <v>0</v>
      </c>
      <c r="AK27" s="48"/>
      <c r="AL27" s="48"/>
      <c r="AM27" s="48"/>
      <c r="AN27" s="48">
        <f t="shared" si="38"/>
        <v>0</v>
      </c>
      <c r="AO27" s="48"/>
      <c r="AP27" s="48"/>
      <c r="AQ27" s="48"/>
      <c r="AR27" s="48">
        <f t="shared" si="39"/>
        <v>0</v>
      </c>
      <c r="AS27" s="48"/>
      <c r="AT27" s="48"/>
      <c r="AU27" s="48"/>
      <c r="AV27" s="48">
        <f t="shared" si="40"/>
        <v>0</v>
      </c>
      <c r="AW27" s="48"/>
      <c r="AX27" s="48"/>
      <c r="AY27" s="48"/>
      <c r="AZ27" s="48">
        <f t="shared" si="61"/>
        <v>0</v>
      </c>
      <c r="BA27" s="48"/>
      <c r="BB27" s="48"/>
      <c r="BC27" s="48"/>
      <c r="BD27" s="48">
        <f t="shared" si="41"/>
        <v>0</v>
      </c>
      <c r="BE27" s="48"/>
      <c r="BF27" s="48"/>
      <c r="BG27" s="48"/>
      <c r="BH27" s="48">
        <f t="shared" si="42"/>
        <v>0</v>
      </c>
      <c r="BI27" s="48"/>
      <c r="BJ27" s="48"/>
      <c r="BK27" s="48"/>
      <c r="BL27" s="48">
        <f t="shared" si="43"/>
        <v>0</v>
      </c>
      <c r="BM27" s="48"/>
      <c r="BN27" s="48"/>
      <c r="BO27" s="48"/>
      <c r="BP27" s="48">
        <f t="shared" si="44"/>
        <v>0</v>
      </c>
      <c r="BQ27" s="48"/>
      <c r="BR27" s="48"/>
      <c r="BS27" s="48"/>
      <c r="BT27" s="48">
        <f t="shared" si="45"/>
        <v>0</v>
      </c>
      <c r="BU27" s="48"/>
      <c r="BV27" s="48"/>
      <c r="BW27" s="48"/>
      <c r="BX27" s="48">
        <f t="shared" si="46"/>
        <v>0</v>
      </c>
      <c r="BY27" s="48"/>
      <c r="BZ27" s="48"/>
      <c r="CA27" s="48"/>
      <c r="CB27" s="48">
        <f t="shared" si="47"/>
        <v>0</v>
      </c>
      <c r="CC27" s="48"/>
      <c r="CD27" s="48"/>
      <c r="CE27" s="48"/>
      <c r="CF27" s="48">
        <f t="shared" si="48"/>
        <v>0</v>
      </c>
      <c r="CG27" s="48"/>
      <c r="CH27" s="48"/>
      <c r="CI27" s="48"/>
      <c r="CJ27" s="48">
        <f t="shared" si="49"/>
        <v>0</v>
      </c>
      <c r="CK27" s="48"/>
      <c r="CL27" s="48"/>
      <c r="CM27" s="48"/>
      <c r="CN27" s="48">
        <f t="shared" si="50"/>
        <v>0</v>
      </c>
      <c r="CO27" s="48"/>
      <c r="CP27" s="48"/>
      <c r="CQ27" s="48"/>
      <c r="CR27" s="48">
        <f t="shared" si="51"/>
        <v>0</v>
      </c>
      <c r="CS27" s="48"/>
      <c r="CT27" s="48"/>
      <c r="CU27" s="48"/>
      <c r="CV27" s="48">
        <f t="shared" si="52"/>
        <v>0</v>
      </c>
      <c r="CW27" s="48"/>
      <c r="CX27" s="48"/>
      <c r="CY27" s="48"/>
      <c r="CZ27" s="48">
        <f t="shared" si="53"/>
        <v>0</v>
      </c>
      <c r="DA27" s="48"/>
      <c r="DB27" s="48"/>
      <c r="DC27" s="48"/>
      <c r="DD27" s="48">
        <f t="shared" si="54"/>
        <v>0</v>
      </c>
      <c r="DE27" s="48"/>
      <c r="DF27" s="48"/>
      <c r="DG27" s="48"/>
      <c r="DH27" s="48">
        <f t="shared" si="55"/>
        <v>0</v>
      </c>
      <c r="DI27" s="48"/>
      <c r="DJ27" s="48"/>
      <c r="DK27" s="48"/>
      <c r="DL27" s="48">
        <f t="shared" si="56"/>
        <v>0</v>
      </c>
      <c r="DM27" s="48"/>
      <c r="DN27" s="48"/>
      <c r="DO27" s="48"/>
      <c r="DP27" s="48">
        <f t="shared" si="57"/>
        <v>0</v>
      </c>
      <c r="DQ27" s="48"/>
      <c r="DR27" s="48"/>
      <c r="DS27" s="48"/>
      <c r="DT27" s="48">
        <f t="shared" si="58"/>
        <v>0</v>
      </c>
      <c r="DU27" s="48"/>
      <c r="DV27" s="48"/>
      <c r="DW27" s="48"/>
      <c r="DX27" s="48">
        <f t="shared" si="59"/>
        <v>0</v>
      </c>
      <c r="DY27" s="48">
        <f t="shared" si="63"/>
        <v>0</v>
      </c>
      <c r="DZ27" s="48">
        <f t="shared" si="60"/>
        <v>0</v>
      </c>
      <c r="EA27" s="14">
        <f>D27*'MASTER SHEET'!D27</f>
        <v>0</v>
      </c>
      <c r="EB27" s="14">
        <f>H27*'MASTER SHEET'!D27</f>
        <v>0</v>
      </c>
      <c r="EC27" s="14">
        <f>L27*'MASTER SHEET'!D27</f>
        <v>0</v>
      </c>
      <c r="ED27" s="14">
        <f>P27*'MASTER SHEET'!D27</f>
        <v>0</v>
      </c>
      <c r="EE27" s="14">
        <f>T27*'MASTER SHEET'!D27</f>
        <v>0</v>
      </c>
      <c r="EF27" s="14">
        <f>X27*'MASTER SHEET'!D27</f>
        <v>0</v>
      </c>
      <c r="EG27" s="14">
        <f>AB27*'MASTER SHEET'!D27</f>
        <v>0</v>
      </c>
      <c r="EH27" s="14">
        <f>AF27*'MASTER SHEET'!D27</f>
        <v>0</v>
      </c>
      <c r="EI27" s="14">
        <f>AJ27*'MASTER SHEET'!D27</f>
        <v>0</v>
      </c>
      <c r="EJ27" s="14">
        <f>AN27*'MASTER SHEET'!D27</f>
        <v>0</v>
      </c>
      <c r="EK27" s="14">
        <f>AR27*'MASTER SHEET'!D27</f>
        <v>0</v>
      </c>
      <c r="EL27" s="14">
        <f>AV27*'MASTER SHEET'!D27</f>
        <v>0</v>
      </c>
      <c r="EM27" s="14">
        <f>AZ27*'MASTER SHEET'!D27</f>
        <v>0</v>
      </c>
      <c r="EN27" s="14">
        <f>BD27*'MASTER SHEET'!D27</f>
        <v>0</v>
      </c>
      <c r="EO27" s="14">
        <f>BH27*'MASTER SHEET'!D27</f>
        <v>0</v>
      </c>
      <c r="EP27" s="14">
        <f>BL27*'MASTER SHEET'!D27</f>
        <v>0</v>
      </c>
      <c r="EQ27" s="14">
        <f>BP27*'MASTER SHEET'!D27</f>
        <v>0</v>
      </c>
      <c r="ER27" s="14">
        <f>BT27*'MASTER SHEET'!D27</f>
        <v>0</v>
      </c>
      <c r="ES27" s="14">
        <f>BX27*'MASTER SHEET'!D27</f>
        <v>0</v>
      </c>
      <c r="ET27" s="21">
        <f>CB27*'MASTER SHEET'!D27</f>
        <v>0</v>
      </c>
      <c r="EU27" s="14">
        <f>CF27*'MASTER SHEET'!D27</f>
        <v>0</v>
      </c>
      <c r="EV27" s="14">
        <f>CJ27*'MASTER SHEET'!D27</f>
        <v>0</v>
      </c>
      <c r="EW27" s="14">
        <f>CN27*'MASTER SHEET'!D27</f>
        <v>0</v>
      </c>
      <c r="EX27" s="14">
        <f>CR27*'MASTER SHEET'!D27</f>
        <v>0</v>
      </c>
      <c r="EY27" s="14">
        <f>CR27*'MASTER SHEET'!D27</f>
        <v>0</v>
      </c>
      <c r="EZ27" s="14">
        <f>CV27*'MASTER SHEET'!D27</f>
        <v>0</v>
      </c>
      <c r="FA27" s="14">
        <f>CZ27*'MASTER SHEET'!D27</f>
        <v>0</v>
      </c>
      <c r="FB27" s="14">
        <f>DD27*'MASTER SHEET'!D27</f>
        <v>0</v>
      </c>
    </row>
    <row r="28" spans="1:158" ht="18.75" customHeight="1" x14ac:dyDescent="0.25">
      <c r="A28" s="43">
        <f>'MASTER SHEET'!A28</f>
        <v>26</v>
      </c>
      <c r="B28" s="49" t="str">
        <f>'MASTER SHEET'!B28</f>
        <v>CENTERTUBE</v>
      </c>
      <c r="C28" s="86">
        <f>'MASTER SHEET'!C28</f>
        <v>5019991</v>
      </c>
      <c r="D28" s="51"/>
      <c r="E28" s="48"/>
      <c r="F28" s="48"/>
      <c r="G28" s="48"/>
      <c r="H28" s="48">
        <f t="shared" si="30"/>
        <v>0</v>
      </c>
      <c r="I28" s="28"/>
      <c r="J28" s="28"/>
      <c r="K28" s="65"/>
      <c r="L28" s="48">
        <f t="shared" si="31"/>
        <v>0</v>
      </c>
      <c r="M28" s="48"/>
      <c r="N28" s="48"/>
      <c r="O28" s="48"/>
      <c r="P28" s="48">
        <f t="shared" si="32"/>
        <v>0</v>
      </c>
      <c r="Q28" s="48"/>
      <c r="R28" s="48"/>
      <c r="S28" s="48"/>
      <c r="T28" s="48">
        <f t="shared" si="33"/>
        <v>0</v>
      </c>
      <c r="U28" s="48">
        <v>0</v>
      </c>
      <c r="V28" s="48"/>
      <c r="W28" s="48"/>
      <c r="X28" s="48">
        <f t="shared" si="34"/>
        <v>0</v>
      </c>
      <c r="Y28" s="48"/>
      <c r="Z28" s="48"/>
      <c r="AA28" s="48"/>
      <c r="AB28" s="48">
        <f t="shared" si="35"/>
        <v>0</v>
      </c>
      <c r="AC28" s="48"/>
      <c r="AD28" s="48"/>
      <c r="AE28" s="48"/>
      <c r="AF28" s="48">
        <f t="shared" si="36"/>
        <v>0</v>
      </c>
      <c r="AG28" s="48"/>
      <c r="AH28" s="48"/>
      <c r="AI28" s="48"/>
      <c r="AJ28" s="48">
        <f t="shared" si="37"/>
        <v>0</v>
      </c>
      <c r="AK28" s="48"/>
      <c r="AL28" s="48"/>
      <c r="AM28" s="48"/>
      <c r="AN28" s="48">
        <f t="shared" si="38"/>
        <v>0</v>
      </c>
      <c r="AO28" s="48"/>
      <c r="AP28" s="48"/>
      <c r="AQ28" s="48"/>
      <c r="AR28" s="48">
        <f t="shared" si="39"/>
        <v>0</v>
      </c>
      <c r="AS28" s="48"/>
      <c r="AT28" s="48"/>
      <c r="AU28" s="48"/>
      <c r="AV28" s="48">
        <f t="shared" si="40"/>
        <v>0</v>
      </c>
      <c r="AW28" s="48"/>
      <c r="AX28" s="48"/>
      <c r="AY28" s="48"/>
      <c r="AZ28" s="48">
        <f t="shared" si="61"/>
        <v>0</v>
      </c>
      <c r="BA28" s="48"/>
      <c r="BB28" s="48"/>
      <c r="BC28" s="48"/>
      <c r="BD28" s="48">
        <f t="shared" si="41"/>
        <v>0</v>
      </c>
      <c r="BE28" s="48"/>
      <c r="BF28" s="48"/>
      <c r="BG28" s="48"/>
      <c r="BH28" s="48">
        <f t="shared" si="42"/>
        <v>0</v>
      </c>
      <c r="BI28" s="48"/>
      <c r="BJ28" s="48"/>
      <c r="BK28" s="48"/>
      <c r="BL28" s="48">
        <f t="shared" si="43"/>
        <v>0</v>
      </c>
      <c r="BM28" s="48"/>
      <c r="BN28" s="48"/>
      <c r="BO28" s="48"/>
      <c r="BP28" s="48">
        <f t="shared" si="44"/>
        <v>0</v>
      </c>
      <c r="BQ28" s="48"/>
      <c r="BR28" s="48"/>
      <c r="BS28" s="48"/>
      <c r="BT28" s="48">
        <f t="shared" si="45"/>
        <v>0</v>
      </c>
      <c r="BU28" s="48"/>
      <c r="BV28" s="48"/>
      <c r="BW28" s="48"/>
      <c r="BX28" s="48">
        <f t="shared" si="46"/>
        <v>0</v>
      </c>
      <c r="BY28" s="48"/>
      <c r="BZ28" s="48"/>
      <c r="CA28" s="48"/>
      <c r="CB28" s="48">
        <f t="shared" si="47"/>
        <v>0</v>
      </c>
      <c r="CC28" s="48"/>
      <c r="CD28" s="48"/>
      <c r="CE28" s="48"/>
      <c r="CF28" s="48">
        <f t="shared" si="48"/>
        <v>0</v>
      </c>
      <c r="CG28" s="48"/>
      <c r="CH28" s="48"/>
      <c r="CI28" s="48"/>
      <c r="CJ28" s="48">
        <f t="shared" si="49"/>
        <v>0</v>
      </c>
      <c r="CK28" s="48"/>
      <c r="CL28" s="48"/>
      <c r="CM28" s="48"/>
      <c r="CN28" s="48">
        <f t="shared" si="50"/>
        <v>0</v>
      </c>
      <c r="CO28" s="48"/>
      <c r="CP28" s="48"/>
      <c r="CQ28" s="48"/>
      <c r="CR28" s="48">
        <f t="shared" si="51"/>
        <v>0</v>
      </c>
      <c r="CS28" s="48"/>
      <c r="CT28" s="48"/>
      <c r="CU28" s="48"/>
      <c r="CV28" s="48">
        <f t="shared" si="52"/>
        <v>0</v>
      </c>
      <c r="CW28" s="48"/>
      <c r="CX28" s="48"/>
      <c r="CY28" s="48"/>
      <c r="CZ28" s="48">
        <f t="shared" si="53"/>
        <v>0</v>
      </c>
      <c r="DA28" s="48"/>
      <c r="DB28" s="48"/>
      <c r="DC28" s="48"/>
      <c r="DD28" s="48">
        <f t="shared" si="54"/>
        <v>0</v>
      </c>
      <c r="DE28" s="48"/>
      <c r="DF28" s="48"/>
      <c r="DG28" s="48"/>
      <c r="DH28" s="48">
        <f t="shared" si="55"/>
        <v>0</v>
      </c>
      <c r="DI28" s="48"/>
      <c r="DJ28" s="48"/>
      <c r="DK28" s="48"/>
      <c r="DL28" s="48">
        <f t="shared" si="56"/>
        <v>0</v>
      </c>
      <c r="DM28" s="48"/>
      <c r="DN28" s="48"/>
      <c r="DO28" s="48"/>
      <c r="DP28" s="48">
        <f t="shared" si="57"/>
        <v>0</v>
      </c>
      <c r="DQ28" s="48"/>
      <c r="DR28" s="48"/>
      <c r="DS28" s="48"/>
      <c r="DT28" s="48">
        <f t="shared" si="58"/>
        <v>0</v>
      </c>
      <c r="DU28" s="48"/>
      <c r="DV28" s="48"/>
      <c r="DW28" s="48"/>
      <c r="DX28" s="48">
        <f t="shared" si="59"/>
        <v>0</v>
      </c>
      <c r="DY28" s="48">
        <f t="shared" si="63"/>
        <v>0</v>
      </c>
      <c r="DZ28" s="48">
        <f t="shared" si="60"/>
        <v>0</v>
      </c>
      <c r="EA28" s="14">
        <f>D28*'MASTER SHEET'!D28</f>
        <v>0</v>
      </c>
      <c r="EB28" s="14">
        <f>H28*'MASTER SHEET'!D28</f>
        <v>0</v>
      </c>
      <c r="EC28" s="14">
        <f>L28*'MASTER SHEET'!D28</f>
        <v>0</v>
      </c>
      <c r="ED28" s="14">
        <f>P28*'MASTER SHEET'!D28</f>
        <v>0</v>
      </c>
      <c r="EE28" s="14">
        <f>T28*'MASTER SHEET'!D28</f>
        <v>0</v>
      </c>
      <c r="EF28" s="14">
        <f>X28*'MASTER SHEET'!D28</f>
        <v>0</v>
      </c>
      <c r="EG28" s="14">
        <f>AB28*'MASTER SHEET'!D28</f>
        <v>0</v>
      </c>
      <c r="EH28" s="14">
        <f>AF28*'MASTER SHEET'!D28</f>
        <v>0</v>
      </c>
      <c r="EI28" s="14">
        <f>AJ28*'MASTER SHEET'!D28</f>
        <v>0</v>
      </c>
      <c r="EJ28" s="14">
        <f>AN28*'MASTER SHEET'!D28</f>
        <v>0</v>
      </c>
      <c r="EK28" s="14">
        <f>AR28*'MASTER SHEET'!D28</f>
        <v>0</v>
      </c>
      <c r="EL28" s="14">
        <f>AV28*'MASTER SHEET'!D28</f>
        <v>0</v>
      </c>
      <c r="EM28" s="14">
        <f>AZ28*'MASTER SHEET'!D28</f>
        <v>0</v>
      </c>
      <c r="EN28" s="14">
        <f>BD28*'MASTER SHEET'!D28</f>
        <v>0</v>
      </c>
      <c r="EO28" s="14">
        <f>BH28*'MASTER SHEET'!D28</f>
        <v>0</v>
      </c>
      <c r="EP28" s="14">
        <f>BL28*'MASTER SHEET'!D28</f>
        <v>0</v>
      </c>
      <c r="EQ28" s="14">
        <f>BP28*'MASTER SHEET'!D28</f>
        <v>0</v>
      </c>
      <c r="ER28" s="14">
        <f>BT28*'MASTER SHEET'!D28</f>
        <v>0</v>
      </c>
      <c r="ES28" s="14">
        <f>BX28*'MASTER SHEET'!D28</f>
        <v>0</v>
      </c>
      <c r="ET28" s="21">
        <f>CB28*'MASTER SHEET'!D28</f>
        <v>0</v>
      </c>
      <c r="EU28" s="14">
        <f>CF28*'MASTER SHEET'!D28</f>
        <v>0</v>
      </c>
      <c r="EV28" s="14">
        <f>CJ28*'MASTER SHEET'!D28</f>
        <v>0</v>
      </c>
      <c r="EW28" s="14">
        <f>CN28*'MASTER SHEET'!D28</f>
        <v>0</v>
      </c>
      <c r="EX28" s="14">
        <f>CR28*'MASTER SHEET'!D28</f>
        <v>0</v>
      </c>
      <c r="EY28" s="14">
        <f>CR28*'MASTER SHEET'!D28</f>
        <v>0</v>
      </c>
      <c r="EZ28" s="14">
        <f>CV28*'MASTER SHEET'!D28</f>
        <v>0</v>
      </c>
      <c r="FA28" s="14">
        <f>CZ28*'MASTER SHEET'!D28</f>
        <v>0</v>
      </c>
      <c r="FB28" s="14">
        <f>DD28*'MASTER SHEET'!D28</f>
        <v>0</v>
      </c>
    </row>
    <row r="29" spans="1:158" ht="18.75" customHeight="1" x14ac:dyDescent="0.25">
      <c r="A29" s="43">
        <f>'MASTER SHEET'!A29</f>
        <v>27</v>
      </c>
      <c r="B29" s="49" t="str">
        <f>'MASTER SHEET'!B29</f>
        <v>LID HOUSING CRANKCASE</v>
      </c>
      <c r="C29" s="86">
        <f>'MASTER SHEET'!C29</f>
        <v>5022550</v>
      </c>
      <c r="D29" s="51"/>
      <c r="E29" s="48"/>
      <c r="F29" s="48"/>
      <c r="G29" s="48"/>
      <c r="H29" s="48">
        <f t="shared" si="30"/>
        <v>0</v>
      </c>
      <c r="I29" s="28"/>
      <c r="J29" s="28"/>
      <c r="K29" s="65"/>
      <c r="L29" s="48">
        <f t="shared" si="31"/>
        <v>0</v>
      </c>
      <c r="M29" s="48"/>
      <c r="N29" s="48"/>
      <c r="O29" s="48"/>
      <c r="P29" s="48">
        <f t="shared" si="32"/>
        <v>0</v>
      </c>
      <c r="Q29" s="48">
        <v>0</v>
      </c>
      <c r="R29" s="48">
        <v>0</v>
      </c>
      <c r="S29" s="48">
        <v>0</v>
      </c>
      <c r="T29" s="48">
        <f t="shared" si="33"/>
        <v>0</v>
      </c>
      <c r="U29" s="48">
        <v>0</v>
      </c>
      <c r="V29" s="48"/>
      <c r="W29" s="48"/>
      <c r="X29" s="48">
        <f t="shared" si="34"/>
        <v>0</v>
      </c>
      <c r="Y29" s="48">
        <v>0</v>
      </c>
      <c r="Z29" s="48">
        <v>0</v>
      </c>
      <c r="AA29" s="48">
        <v>0</v>
      </c>
      <c r="AB29" s="48">
        <f t="shared" si="35"/>
        <v>0</v>
      </c>
      <c r="AC29" s="48">
        <v>0</v>
      </c>
      <c r="AD29" s="48">
        <v>0</v>
      </c>
      <c r="AE29" s="48">
        <v>0</v>
      </c>
      <c r="AF29" s="48">
        <f t="shared" si="36"/>
        <v>0</v>
      </c>
      <c r="AG29" s="48">
        <v>675</v>
      </c>
      <c r="AH29" s="48">
        <v>661</v>
      </c>
      <c r="AI29" s="48">
        <v>14</v>
      </c>
      <c r="AJ29" s="48">
        <f t="shared" si="37"/>
        <v>0</v>
      </c>
      <c r="AK29" s="48">
        <v>531</v>
      </c>
      <c r="AL29" s="48">
        <v>516</v>
      </c>
      <c r="AM29" s="48">
        <v>15</v>
      </c>
      <c r="AN29" s="48">
        <f t="shared" si="38"/>
        <v>0</v>
      </c>
      <c r="AO29" s="48">
        <v>323</v>
      </c>
      <c r="AP29" s="48">
        <v>320</v>
      </c>
      <c r="AQ29" s="48">
        <v>3</v>
      </c>
      <c r="AR29" s="48">
        <f t="shared" si="39"/>
        <v>0</v>
      </c>
      <c r="AS29" s="48"/>
      <c r="AT29" s="48"/>
      <c r="AU29" s="48"/>
      <c r="AV29" s="48">
        <f t="shared" si="40"/>
        <v>0</v>
      </c>
      <c r="AW29" s="48"/>
      <c r="AX29" s="48"/>
      <c r="AY29" s="48"/>
      <c r="AZ29" s="48">
        <f t="shared" si="61"/>
        <v>0</v>
      </c>
      <c r="BA29" s="48"/>
      <c r="BB29" s="48"/>
      <c r="BC29" s="48"/>
      <c r="BD29" s="48">
        <f t="shared" si="41"/>
        <v>0</v>
      </c>
      <c r="BE29" s="48"/>
      <c r="BF29" s="48"/>
      <c r="BG29" s="48"/>
      <c r="BH29" s="48">
        <f t="shared" si="42"/>
        <v>0</v>
      </c>
      <c r="BI29" s="48"/>
      <c r="BJ29" s="48"/>
      <c r="BK29" s="48"/>
      <c r="BL29" s="48">
        <f t="shared" si="43"/>
        <v>0</v>
      </c>
      <c r="BM29" s="48"/>
      <c r="BN29" s="48"/>
      <c r="BO29" s="48"/>
      <c r="BP29" s="48">
        <f t="shared" si="44"/>
        <v>0</v>
      </c>
      <c r="BQ29" s="48"/>
      <c r="BR29" s="48"/>
      <c r="BS29" s="48"/>
      <c r="BT29" s="48">
        <f t="shared" si="45"/>
        <v>0</v>
      </c>
      <c r="BU29" s="48"/>
      <c r="BV29" s="48"/>
      <c r="BW29" s="48"/>
      <c r="BX29" s="48">
        <f t="shared" si="46"/>
        <v>0</v>
      </c>
      <c r="BY29" s="48"/>
      <c r="BZ29" s="48"/>
      <c r="CA29" s="48"/>
      <c r="CB29" s="48">
        <f t="shared" si="47"/>
        <v>0</v>
      </c>
      <c r="CC29" s="48"/>
      <c r="CD29" s="48"/>
      <c r="CE29" s="48"/>
      <c r="CF29" s="48">
        <f t="shared" si="48"/>
        <v>0</v>
      </c>
      <c r="CG29" s="48"/>
      <c r="CH29" s="48"/>
      <c r="CI29" s="48"/>
      <c r="CJ29" s="48">
        <f t="shared" si="49"/>
        <v>0</v>
      </c>
      <c r="CK29" s="48"/>
      <c r="CL29" s="48"/>
      <c r="CM29" s="48"/>
      <c r="CN29" s="48">
        <f t="shared" si="50"/>
        <v>0</v>
      </c>
      <c r="CO29" s="48"/>
      <c r="CP29" s="48"/>
      <c r="CQ29" s="48"/>
      <c r="CR29" s="48">
        <f t="shared" si="51"/>
        <v>0</v>
      </c>
      <c r="CS29" s="48"/>
      <c r="CT29" s="48"/>
      <c r="CU29" s="48"/>
      <c r="CV29" s="48">
        <f t="shared" si="52"/>
        <v>0</v>
      </c>
      <c r="CW29" s="48"/>
      <c r="CX29" s="48"/>
      <c r="CY29" s="48"/>
      <c r="CZ29" s="48">
        <f t="shared" si="53"/>
        <v>0</v>
      </c>
      <c r="DA29" s="48"/>
      <c r="DB29" s="48"/>
      <c r="DC29" s="48"/>
      <c r="DD29" s="48">
        <f t="shared" si="54"/>
        <v>0</v>
      </c>
      <c r="DE29" s="48"/>
      <c r="DF29" s="48"/>
      <c r="DG29" s="48"/>
      <c r="DH29" s="48">
        <f t="shared" si="55"/>
        <v>0</v>
      </c>
      <c r="DI29" s="48"/>
      <c r="DJ29" s="48"/>
      <c r="DK29" s="48"/>
      <c r="DL29" s="48">
        <f t="shared" si="56"/>
        <v>0</v>
      </c>
      <c r="DM29" s="48"/>
      <c r="DN29" s="48"/>
      <c r="DO29" s="48"/>
      <c r="DP29" s="48">
        <f t="shared" si="57"/>
        <v>0</v>
      </c>
      <c r="DQ29" s="48"/>
      <c r="DR29" s="48"/>
      <c r="DS29" s="48"/>
      <c r="DT29" s="48">
        <f t="shared" si="58"/>
        <v>0</v>
      </c>
      <c r="DU29" s="48"/>
      <c r="DV29" s="48"/>
      <c r="DW29" s="48"/>
      <c r="DX29" s="48">
        <f t="shared" si="59"/>
        <v>0</v>
      </c>
      <c r="DY29" s="48">
        <f t="shared" si="63"/>
        <v>1529</v>
      </c>
      <c r="DZ29" s="48">
        <f t="shared" si="60"/>
        <v>32</v>
      </c>
      <c r="EA29" s="14">
        <f>D29*'MASTER SHEET'!D29</f>
        <v>0</v>
      </c>
      <c r="EB29" s="14">
        <f>H29*'MASTER SHEET'!D29</f>
        <v>0</v>
      </c>
      <c r="EC29" s="14">
        <f>L29*'MASTER SHEET'!D29</f>
        <v>0</v>
      </c>
      <c r="ED29" s="14">
        <f>P29*'MASTER SHEET'!D29</f>
        <v>0</v>
      </c>
      <c r="EE29" s="14">
        <f>T29*'MASTER SHEET'!D29</f>
        <v>0</v>
      </c>
      <c r="EF29" s="14">
        <f>X29*'MASTER SHEET'!D29</f>
        <v>0</v>
      </c>
      <c r="EG29" s="14">
        <f>AB29*'MASTER SHEET'!D29</f>
        <v>0</v>
      </c>
      <c r="EH29" s="14">
        <f>AF29*'MASTER SHEET'!D29</f>
        <v>0</v>
      </c>
      <c r="EI29" s="14">
        <f>AJ29*'MASTER SHEET'!D29</f>
        <v>0</v>
      </c>
      <c r="EJ29" s="14">
        <f>AN29*'MASTER SHEET'!D29</f>
        <v>0</v>
      </c>
      <c r="EK29" s="14">
        <f>AR29*'MASTER SHEET'!D29</f>
        <v>0</v>
      </c>
      <c r="EL29" s="14">
        <f>AV29*'MASTER SHEET'!D29</f>
        <v>0</v>
      </c>
      <c r="EM29" s="14">
        <f>AZ29*'MASTER SHEET'!D29</f>
        <v>0</v>
      </c>
      <c r="EN29" s="14">
        <f>BD29*'MASTER SHEET'!D29</f>
        <v>0</v>
      </c>
      <c r="EO29" s="14">
        <f>BH29*'MASTER SHEET'!D29</f>
        <v>0</v>
      </c>
      <c r="EP29" s="14">
        <f>BL29*'MASTER SHEET'!D29</f>
        <v>0</v>
      </c>
      <c r="EQ29" s="14">
        <f>BP29*'MASTER SHEET'!D29</f>
        <v>0</v>
      </c>
      <c r="ER29" s="14">
        <f>BT29*'MASTER SHEET'!D29</f>
        <v>0</v>
      </c>
      <c r="ES29" s="14">
        <f>BX29*'MASTER SHEET'!D29</f>
        <v>0</v>
      </c>
      <c r="ET29" s="21">
        <f>CB29*'MASTER SHEET'!D29</f>
        <v>0</v>
      </c>
      <c r="EU29" s="14">
        <f>CF29*'MASTER SHEET'!D29</f>
        <v>0</v>
      </c>
      <c r="EV29" s="14">
        <f>CJ29*'MASTER SHEET'!D29</f>
        <v>0</v>
      </c>
      <c r="EW29" s="14">
        <f>CN29*'MASTER SHEET'!D29</f>
        <v>0</v>
      </c>
      <c r="EX29" s="14">
        <f>CR29*'MASTER SHEET'!D29</f>
        <v>0</v>
      </c>
      <c r="EY29" s="14">
        <f>CR29*'MASTER SHEET'!D29</f>
        <v>0</v>
      </c>
      <c r="EZ29" s="14">
        <f>CV29*'MASTER SHEET'!D29</f>
        <v>0</v>
      </c>
      <c r="FA29" s="14">
        <f>CZ29*'MASTER SHEET'!D29</f>
        <v>0</v>
      </c>
      <c r="FB29" s="14">
        <f>DD29*'MASTER SHEET'!D29</f>
        <v>0</v>
      </c>
    </row>
    <row r="30" spans="1:158" ht="18.75" customHeight="1" x14ac:dyDescent="0.25">
      <c r="A30" s="43">
        <f>'MASTER SHEET'!A30</f>
        <v>28</v>
      </c>
      <c r="B30" s="49" t="str">
        <f>'MASTER SHEET'!B30</f>
        <v>END PLATE PLASTIC</v>
      </c>
      <c r="C30" s="86">
        <f>'MASTER SHEET'!C30</f>
        <v>5023380</v>
      </c>
      <c r="D30" s="51"/>
      <c r="E30" s="48"/>
      <c r="F30" s="48"/>
      <c r="G30" s="48"/>
      <c r="H30" s="48">
        <f t="shared" si="30"/>
        <v>0</v>
      </c>
      <c r="I30" s="28"/>
      <c r="J30" s="28"/>
      <c r="K30" s="65"/>
      <c r="L30" s="48">
        <f t="shared" si="31"/>
        <v>0</v>
      </c>
      <c r="M30" s="48"/>
      <c r="N30" s="48"/>
      <c r="O30" s="48"/>
      <c r="P30" s="48">
        <f t="shared" si="32"/>
        <v>0</v>
      </c>
      <c r="Q30" s="48"/>
      <c r="R30" s="48"/>
      <c r="S30" s="48"/>
      <c r="T30" s="48">
        <f t="shared" si="33"/>
        <v>0</v>
      </c>
      <c r="U30" s="48">
        <v>0</v>
      </c>
      <c r="V30" s="48"/>
      <c r="W30" s="48"/>
      <c r="X30" s="48">
        <f t="shared" si="34"/>
        <v>0</v>
      </c>
      <c r="Y30" s="48"/>
      <c r="Z30" s="48"/>
      <c r="AA30" s="48"/>
      <c r="AB30" s="48">
        <f t="shared" si="35"/>
        <v>0</v>
      </c>
      <c r="AC30" s="48"/>
      <c r="AD30" s="48"/>
      <c r="AE30" s="48"/>
      <c r="AF30" s="48">
        <f t="shared" si="36"/>
        <v>0</v>
      </c>
      <c r="AG30" s="48"/>
      <c r="AH30" s="48"/>
      <c r="AI30" s="48"/>
      <c r="AJ30" s="48">
        <f t="shared" si="37"/>
        <v>0</v>
      </c>
      <c r="AK30" s="48"/>
      <c r="AL30" s="48"/>
      <c r="AM30" s="48"/>
      <c r="AN30" s="48">
        <f t="shared" si="38"/>
        <v>0</v>
      </c>
      <c r="AO30" s="48"/>
      <c r="AP30" s="48"/>
      <c r="AQ30" s="48"/>
      <c r="AR30" s="48">
        <f t="shared" si="39"/>
        <v>0</v>
      </c>
      <c r="AS30" s="48"/>
      <c r="AT30" s="48"/>
      <c r="AU30" s="48"/>
      <c r="AV30" s="48">
        <f t="shared" si="40"/>
        <v>0</v>
      </c>
      <c r="AW30" s="48"/>
      <c r="AX30" s="48"/>
      <c r="AY30" s="48"/>
      <c r="AZ30" s="48">
        <f t="shared" si="61"/>
        <v>0</v>
      </c>
      <c r="BA30" s="48"/>
      <c r="BB30" s="48"/>
      <c r="BC30" s="48"/>
      <c r="BD30" s="48">
        <f t="shared" si="41"/>
        <v>0</v>
      </c>
      <c r="BE30" s="48">
        <v>0</v>
      </c>
      <c r="BF30" s="48">
        <v>0</v>
      </c>
      <c r="BG30" s="48">
        <v>0</v>
      </c>
      <c r="BH30" s="48">
        <f t="shared" si="42"/>
        <v>0</v>
      </c>
      <c r="BI30" s="48">
        <v>0</v>
      </c>
      <c r="BJ30" s="48">
        <v>0</v>
      </c>
      <c r="BK30" s="48">
        <v>0</v>
      </c>
      <c r="BL30" s="48">
        <f t="shared" si="43"/>
        <v>0</v>
      </c>
      <c r="BM30" s="48">
        <v>0</v>
      </c>
      <c r="BN30" s="48">
        <v>0</v>
      </c>
      <c r="BO30" s="48">
        <v>0</v>
      </c>
      <c r="BP30" s="48">
        <f t="shared" si="44"/>
        <v>0</v>
      </c>
      <c r="BQ30" s="48">
        <v>966</v>
      </c>
      <c r="BR30" s="48">
        <v>908</v>
      </c>
      <c r="BS30" s="48">
        <v>58</v>
      </c>
      <c r="BT30" s="48">
        <f t="shared" si="45"/>
        <v>0</v>
      </c>
      <c r="BU30" s="48">
        <v>5192</v>
      </c>
      <c r="BV30" s="48">
        <v>5174</v>
      </c>
      <c r="BW30" s="48">
        <v>18</v>
      </c>
      <c r="BX30" s="48">
        <f t="shared" si="46"/>
        <v>0</v>
      </c>
      <c r="BY30" s="48"/>
      <c r="BZ30" s="48"/>
      <c r="CA30" s="48"/>
      <c r="CB30" s="48">
        <f t="shared" si="47"/>
        <v>0</v>
      </c>
      <c r="CC30" s="48">
        <f>2882+273</f>
        <v>3155</v>
      </c>
      <c r="CD30" s="48">
        <v>3139</v>
      </c>
      <c r="CE30" s="48">
        <v>16</v>
      </c>
      <c r="CF30" s="48">
        <f t="shared" si="48"/>
        <v>0</v>
      </c>
      <c r="CG30" s="48">
        <v>4938</v>
      </c>
      <c r="CH30" s="48">
        <v>4938</v>
      </c>
      <c r="CI30" s="48">
        <v>0</v>
      </c>
      <c r="CJ30" s="48">
        <f t="shared" si="49"/>
        <v>0</v>
      </c>
      <c r="CK30" s="48">
        <f>2534+222</f>
        <v>2756</v>
      </c>
      <c r="CL30" s="48">
        <f>222+2526</f>
        <v>2748</v>
      </c>
      <c r="CM30" s="48">
        <v>8</v>
      </c>
      <c r="CN30" s="48">
        <f t="shared" si="50"/>
        <v>0</v>
      </c>
      <c r="CO30" s="48">
        <v>4732</v>
      </c>
      <c r="CP30" s="48">
        <v>4703</v>
      </c>
      <c r="CQ30" s="48">
        <v>29</v>
      </c>
      <c r="CR30" s="48">
        <f t="shared" si="51"/>
        <v>0</v>
      </c>
      <c r="CS30" s="48">
        <v>4606</v>
      </c>
      <c r="CT30" s="48">
        <v>4578</v>
      </c>
      <c r="CU30" s="48">
        <v>28</v>
      </c>
      <c r="CV30" s="48">
        <f t="shared" si="52"/>
        <v>0</v>
      </c>
      <c r="CW30" s="48">
        <v>5096</v>
      </c>
      <c r="CX30" s="48">
        <v>5061</v>
      </c>
      <c r="CY30" s="48">
        <v>35</v>
      </c>
      <c r="CZ30" s="48">
        <f t="shared" si="53"/>
        <v>0</v>
      </c>
      <c r="DA30" s="48"/>
      <c r="DB30" s="48"/>
      <c r="DC30" s="48"/>
      <c r="DD30" s="48">
        <f t="shared" si="54"/>
        <v>0</v>
      </c>
      <c r="DE30" s="48">
        <v>2478</v>
      </c>
      <c r="DF30" s="48">
        <v>2452</v>
      </c>
      <c r="DG30" s="48">
        <v>26</v>
      </c>
      <c r="DH30" s="48">
        <f t="shared" si="55"/>
        <v>0</v>
      </c>
      <c r="DI30" s="48">
        <v>2419</v>
      </c>
      <c r="DJ30" s="48">
        <v>2404</v>
      </c>
      <c r="DK30" s="48">
        <v>15</v>
      </c>
      <c r="DL30" s="48">
        <f t="shared" si="56"/>
        <v>0</v>
      </c>
      <c r="DM30" s="48"/>
      <c r="DN30" s="48"/>
      <c r="DO30" s="48"/>
      <c r="DP30" s="48">
        <f t="shared" si="57"/>
        <v>0</v>
      </c>
      <c r="DQ30" s="48"/>
      <c r="DR30" s="48"/>
      <c r="DS30" s="48"/>
      <c r="DT30" s="48">
        <f t="shared" si="58"/>
        <v>0</v>
      </c>
      <c r="DU30" s="48"/>
      <c r="DV30" s="48"/>
      <c r="DW30" s="48"/>
      <c r="DX30" s="48">
        <f t="shared" si="59"/>
        <v>0</v>
      </c>
      <c r="DY30" s="48">
        <f t="shared" si="63"/>
        <v>36338</v>
      </c>
      <c r="DZ30" s="48">
        <f t="shared" si="60"/>
        <v>233</v>
      </c>
      <c r="EA30" s="14">
        <f>D30*'MASTER SHEET'!D30</f>
        <v>0</v>
      </c>
      <c r="EB30" s="14">
        <f>H30*'MASTER SHEET'!D30</f>
        <v>0</v>
      </c>
      <c r="EC30" s="14">
        <f>L30*'MASTER SHEET'!D30</f>
        <v>0</v>
      </c>
      <c r="ED30" s="14">
        <f>P30*'MASTER SHEET'!D30</f>
        <v>0</v>
      </c>
      <c r="EE30" s="14">
        <f>T30*'MASTER SHEET'!D30</f>
        <v>0</v>
      </c>
      <c r="EF30" s="14">
        <f>X30*'MASTER SHEET'!D30</f>
        <v>0</v>
      </c>
      <c r="EG30" s="14">
        <f>AB30*'MASTER SHEET'!D30</f>
        <v>0</v>
      </c>
      <c r="EH30" s="14">
        <f>AF30*'MASTER SHEET'!D30</f>
        <v>0</v>
      </c>
      <c r="EI30" s="14">
        <f>AJ30*'MASTER SHEET'!D30</f>
        <v>0</v>
      </c>
      <c r="EJ30" s="14">
        <f>AN30*'MASTER SHEET'!D30</f>
        <v>0</v>
      </c>
      <c r="EK30" s="14">
        <f>AR30*'MASTER SHEET'!D30</f>
        <v>0</v>
      </c>
      <c r="EL30" s="14">
        <f>AV30*'MASTER SHEET'!D30</f>
        <v>0</v>
      </c>
      <c r="EM30" s="14">
        <f>AZ30*'MASTER SHEET'!D30</f>
        <v>0</v>
      </c>
      <c r="EN30" s="14">
        <f>BD30*'MASTER SHEET'!D30</f>
        <v>0</v>
      </c>
      <c r="EO30" s="14">
        <f>BH30*'MASTER SHEET'!D30</f>
        <v>0</v>
      </c>
      <c r="EP30" s="14">
        <f>BL30*'MASTER SHEET'!D30</f>
        <v>0</v>
      </c>
      <c r="EQ30" s="14">
        <f>BP30*'MASTER SHEET'!D30</f>
        <v>0</v>
      </c>
      <c r="ER30" s="14">
        <f>BT30*'MASTER SHEET'!D30</f>
        <v>0</v>
      </c>
      <c r="ES30" s="14">
        <f>BX30*'MASTER SHEET'!D30</f>
        <v>0</v>
      </c>
      <c r="ET30" s="21">
        <f>CB30*'MASTER SHEET'!D30</f>
        <v>0</v>
      </c>
      <c r="EU30" s="14">
        <f>CF30*'MASTER SHEET'!D30</f>
        <v>0</v>
      </c>
      <c r="EV30" s="14">
        <f>CJ30*'MASTER SHEET'!D30</f>
        <v>0</v>
      </c>
      <c r="EW30" s="14">
        <f>CN30*'MASTER SHEET'!D30</f>
        <v>0</v>
      </c>
      <c r="EX30" s="14">
        <f>CR30*'MASTER SHEET'!D30</f>
        <v>0</v>
      </c>
      <c r="EY30" s="14">
        <f>CR30*'MASTER SHEET'!D30</f>
        <v>0</v>
      </c>
      <c r="EZ30" s="14">
        <f>CV30*'MASTER SHEET'!D30</f>
        <v>0</v>
      </c>
      <c r="FA30" s="14">
        <f>CZ30*'MASTER SHEET'!D30</f>
        <v>0</v>
      </c>
      <c r="FB30" s="14">
        <f>DD30*'MASTER SHEET'!D30</f>
        <v>0</v>
      </c>
    </row>
    <row r="31" spans="1:158" ht="18.75" customHeight="1" x14ac:dyDescent="0.25">
      <c r="A31" s="43">
        <f>'MASTER SHEET'!A31</f>
        <v>29</v>
      </c>
      <c r="B31" s="49" t="str">
        <f>'MASTER SHEET'!B31</f>
        <v>CENTERTUBE PLASTIC</v>
      </c>
      <c r="C31" s="86">
        <f>'MASTER SHEET'!C31</f>
        <v>5023573</v>
      </c>
      <c r="D31" s="51"/>
      <c r="E31" s="48">
        <v>3166</v>
      </c>
      <c r="F31" s="48">
        <v>3144</v>
      </c>
      <c r="G31" s="48">
        <v>22</v>
      </c>
      <c r="H31" s="48">
        <f t="shared" ref="H31:H62" si="64">D31+E31-F31-G31</f>
        <v>0</v>
      </c>
      <c r="I31" s="28">
        <v>4144</v>
      </c>
      <c r="J31" s="28">
        <v>4106</v>
      </c>
      <c r="K31" s="65">
        <v>38</v>
      </c>
      <c r="L31" s="48">
        <f t="shared" ref="L31:L62" si="65">H31+I31-J31-K31</f>
        <v>0</v>
      </c>
      <c r="M31" s="48"/>
      <c r="N31" s="48"/>
      <c r="O31" s="48"/>
      <c r="P31" s="48">
        <f t="shared" ref="P31:P62" si="66">L31+M31-N31-O31</f>
        <v>0</v>
      </c>
      <c r="Q31" s="48">
        <v>4440</v>
      </c>
      <c r="R31" s="48">
        <v>4426</v>
      </c>
      <c r="S31" s="48">
        <v>14</v>
      </c>
      <c r="T31" s="48">
        <f t="shared" ref="T31:T62" si="67">P31+Q31-R31-S31</f>
        <v>0</v>
      </c>
      <c r="U31" s="48">
        <v>0</v>
      </c>
      <c r="V31" s="48"/>
      <c r="W31" s="48"/>
      <c r="X31" s="48">
        <f t="shared" ref="X31:X62" si="68">T31+U31-V31-W31</f>
        <v>0</v>
      </c>
      <c r="Y31" s="48"/>
      <c r="Z31" s="48"/>
      <c r="AA31" s="48"/>
      <c r="AB31" s="48">
        <f t="shared" ref="AB31:AB62" si="69">X31+Y31-Z31-AA31</f>
        <v>0</v>
      </c>
      <c r="AC31" s="48"/>
      <c r="AD31" s="48"/>
      <c r="AE31" s="48"/>
      <c r="AF31" s="48">
        <f t="shared" ref="AF31:AF62" si="70">AB31+AC31-AD31-AE31</f>
        <v>0</v>
      </c>
      <c r="AG31" s="48"/>
      <c r="AH31" s="48"/>
      <c r="AI31" s="48"/>
      <c r="AJ31" s="48">
        <f t="shared" ref="AJ31:AJ62" si="71">AF31+AG31-AH31-AI31</f>
        <v>0</v>
      </c>
      <c r="AK31" s="48"/>
      <c r="AL31" s="48"/>
      <c r="AM31" s="48"/>
      <c r="AN31" s="48">
        <f t="shared" ref="AN31:AN62" si="72">AJ31+AK31-AL31-AM31</f>
        <v>0</v>
      </c>
      <c r="AO31" s="48"/>
      <c r="AP31" s="48"/>
      <c r="AQ31" s="48"/>
      <c r="AR31" s="48">
        <f t="shared" ref="AR31:AR62" si="73">AN31+AO31-AP31-AQ31</f>
        <v>0</v>
      </c>
      <c r="AS31" s="48"/>
      <c r="AT31" s="48"/>
      <c r="AU31" s="48"/>
      <c r="AV31" s="48">
        <f t="shared" ref="AV31:AV62" si="74">AR31+AS31-AT31-AU31</f>
        <v>0</v>
      </c>
      <c r="AW31" s="48"/>
      <c r="AX31" s="48"/>
      <c r="AY31" s="48"/>
      <c r="AZ31" s="48">
        <f t="shared" ref="AZ31:AZ62" si="75">AV31+AW31-AX31-AY31</f>
        <v>0</v>
      </c>
      <c r="BA31" s="48"/>
      <c r="BB31" s="48"/>
      <c r="BC31" s="48"/>
      <c r="BD31" s="48">
        <f t="shared" ref="BD31:BD62" si="76">AZ31+BA31-BB31-BC31</f>
        <v>0</v>
      </c>
      <c r="BE31" s="48"/>
      <c r="BF31" s="48"/>
      <c r="BG31" s="48"/>
      <c r="BH31" s="48">
        <f t="shared" ref="BH31:BH62" si="77">BD31+BE31-BF31-BG31</f>
        <v>0</v>
      </c>
      <c r="BI31" s="48"/>
      <c r="BJ31" s="48"/>
      <c r="BK31" s="48"/>
      <c r="BL31" s="48">
        <f t="shared" ref="BL31:BL62" si="78">BH31+BI31-BJ31-BK31</f>
        <v>0</v>
      </c>
      <c r="BM31" s="48"/>
      <c r="BN31" s="48"/>
      <c r="BO31" s="48"/>
      <c r="BP31" s="48">
        <f t="shared" ref="BP31:BP62" si="79">BL31+BM31-BN31-BO31</f>
        <v>0</v>
      </c>
      <c r="BQ31" s="48"/>
      <c r="BR31" s="48"/>
      <c r="BS31" s="48"/>
      <c r="BT31" s="48">
        <f t="shared" ref="BT31:BT62" si="80">BP31+BQ31-BR31-BS31</f>
        <v>0</v>
      </c>
      <c r="BU31" s="48"/>
      <c r="BV31" s="48"/>
      <c r="BW31" s="48"/>
      <c r="BX31" s="48">
        <f t="shared" ref="BX31:BX62" si="81">BT31+BU31-BV31-BW31</f>
        <v>0</v>
      </c>
      <c r="BY31" s="48"/>
      <c r="BZ31" s="48"/>
      <c r="CA31" s="48"/>
      <c r="CB31" s="48">
        <f t="shared" ref="CB31:CB62" si="82">BX31+BY31-BZ31-CA31</f>
        <v>0</v>
      </c>
      <c r="CC31" s="48"/>
      <c r="CD31" s="48"/>
      <c r="CE31" s="48"/>
      <c r="CF31" s="48">
        <f t="shared" ref="CF31:CF62" si="83">CB31+CC31-CD31-CE31</f>
        <v>0</v>
      </c>
      <c r="CG31" s="48"/>
      <c r="CH31" s="48"/>
      <c r="CI31" s="48"/>
      <c r="CJ31" s="48">
        <f t="shared" ref="CJ31:CJ62" si="84">CF31+CG31-CH31-CI31</f>
        <v>0</v>
      </c>
      <c r="CK31" s="48"/>
      <c r="CL31" s="48"/>
      <c r="CM31" s="48"/>
      <c r="CN31" s="48">
        <f t="shared" ref="CN31:CN62" si="85">CJ31+CK31-CL31-CM31</f>
        <v>0</v>
      </c>
      <c r="CO31" s="48"/>
      <c r="CP31" s="48"/>
      <c r="CQ31" s="48"/>
      <c r="CR31" s="48">
        <f t="shared" ref="CR31:CR62" si="86">CN31+CO31-CP31-CQ31</f>
        <v>0</v>
      </c>
      <c r="CS31" s="48"/>
      <c r="CT31" s="48"/>
      <c r="CU31" s="48"/>
      <c r="CV31" s="48">
        <f t="shared" ref="CV31:CV62" si="87">CR31+CS31-CT31-CU31</f>
        <v>0</v>
      </c>
      <c r="CW31" s="48"/>
      <c r="CX31" s="48"/>
      <c r="CY31" s="48"/>
      <c r="CZ31" s="48">
        <f t="shared" ref="CZ31:CZ62" si="88">CV31+CW31-CX31-CY31</f>
        <v>0</v>
      </c>
      <c r="DA31" s="48"/>
      <c r="DB31" s="48"/>
      <c r="DC31" s="48"/>
      <c r="DD31" s="48">
        <f t="shared" ref="DD31:DD62" si="89">CZ31+DA31-DB31-DC31</f>
        <v>0</v>
      </c>
      <c r="DE31" s="48"/>
      <c r="DF31" s="48"/>
      <c r="DG31" s="48"/>
      <c r="DH31" s="48">
        <f t="shared" ref="DH31:DH62" si="90">DD31+DE31-DF31-DG31</f>
        <v>0</v>
      </c>
      <c r="DI31" s="48"/>
      <c r="DJ31" s="48"/>
      <c r="DK31" s="48"/>
      <c r="DL31" s="48">
        <f t="shared" ref="DL31:DL62" si="91">DH31+DI31-DJ31-DK31</f>
        <v>0</v>
      </c>
      <c r="DM31" s="48"/>
      <c r="DN31" s="48"/>
      <c r="DO31" s="48"/>
      <c r="DP31" s="48">
        <f t="shared" ref="DP31:DP62" si="92">DL31+DM31-DN31-DO31</f>
        <v>0</v>
      </c>
      <c r="DQ31" s="48"/>
      <c r="DR31" s="48"/>
      <c r="DS31" s="48"/>
      <c r="DT31" s="48">
        <f t="shared" ref="DT31:DT62" si="93">DP31+DQ31-DR31-DS31</f>
        <v>0</v>
      </c>
      <c r="DU31" s="48"/>
      <c r="DV31" s="48"/>
      <c r="DW31" s="48"/>
      <c r="DX31" s="48">
        <f t="shared" ref="DX31:DX62" si="94">DT31+DU31-DV31-DW31</f>
        <v>0</v>
      </c>
      <c r="DY31" s="48">
        <f t="shared" ref="DY31:DY62" si="95">DU31+DQ31+DM31+DI31+DE31+DA31+CW31+CS31+CO31+CK31+CG31+CC31+BY31+BU31+BQ31+BI31+BA31+AW31+AS31+AO31+AK31+AG31+AC31+Y31+U31+Q31+M31+I31+E31+BM31+BE31</f>
        <v>11750</v>
      </c>
      <c r="DZ31" s="48">
        <f t="shared" ref="DZ31:DZ62" si="96">G31+K31+S31+W31+AA31+AE31+AI31+AM31+AQ31+AU31+AY31+BC31+BG31+BK31+BO31+BS31+BW31+CA31+CE31+CI31+CM31+CQ31+CU31+CY31+DC31+DG31+DK31+DO31+DS31+DW31</f>
        <v>74</v>
      </c>
      <c r="EA31" s="14">
        <f>D31*'MASTER SHEET'!D31</f>
        <v>0</v>
      </c>
      <c r="EB31" s="14">
        <f>H31*'MASTER SHEET'!D31</f>
        <v>0</v>
      </c>
      <c r="EC31" s="14">
        <f>L31*'MASTER SHEET'!D31</f>
        <v>0</v>
      </c>
      <c r="ED31" s="14">
        <f>P31*'MASTER SHEET'!D31</f>
        <v>0</v>
      </c>
      <c r="EE31" s="14">
        <f>T31*'MASTER SHEET'!D31</f>
        <v>0</v>
      </c>
      <c r="EF31" s="14">
        <f>X31*'MASTER SHEET'!D31</f>
        <v>0</v>
      </c>
      <c r="EG31" s="14">
        <f>AB31*'MASTER SHEET'!D31</f>
        <v>0</v>
      </c>
      <c r="EH31" s="14">
        <f>AF31*'MASTER SHEET'!D31</f>
        <v>0</v>
      </c>
      <c r="EI31" s="14">
        <f>AJ31*'MASTER SHEET'!D31</f>
        <v>0</v>
      </c>
      <c r="EJ31" s="14">
        <f>AN31*'MASTER SHEET'!D31</f>
        <v>0</v>
      </c>
      <c r="EK31" s="14">
        <f>AR31*'MASTER SHEET'!D31</f>
        <v>0</v>
      </c>
      <c r="EL31" s="14">
        <f>AV31*'MASTER SHEET'!D31</f>
        <v>0</v>
      </c>
      <c r="EM31" s="14">
        <f>AZ31*'MASTER SHEET'!D31</f>
        <v>0</v>
      </c>
      <c r="EN31" s="14">
        <f>BD31*'MASTER SHEET'!D31</f>
        <v>0</v>
      </c>
      <c r="EO31" s="14">
        <f>BH31*'MASTER SHEET'!D31</f>
        <v>0</v>
      </c>
      <c r="EP31" s="14">
        <f>BL31*'MASTER SHEET'!D31</f>
        <v>0</v>
      </c>
      <c r="EQ31" s="14">
        <f>BP31*'MASTER SHEET'!D31</f>
        <v>0</v>
      </c>
      <c r="ER31" s="14">
        <f>BT31*'MASTER SHEET'!D31</f>
        <v>0</v>
      </c>
      <c r="ES31" s="14">
        <f>BX31*'MASTER SHEET'!D31</f>
        <v>0</v>
      </c>
      <c r="ET31" s="21">
        <f>CB31*'MASTER SHEET'!D31</f>
        <v>0</v>
      </c>
      <c r="EU31" s="14">
        <f>CF31*'MASTER SHEET'!D31</f>
        <v>0</v>
      </c>
      <c r="EV31" s="14">
        <f>CJ31*'MASTER SHEET'!D31</f>
        <v>0</v>
      </c>
      <c r="EW31" s="14">
        <f>CN31*'MASTER SHEET'!D31</f>
        <v>0</v>
      </c>
      <c r="EX31" s="14">
        <f>CR31*'MASTER SHEET'!D31</f>
        <v>0</v>
      </c>
      <c r="EY31" s="14">
        <f>CR31*'MASTER SHEET'!D31</f>
        <v>0</v>
      </c>
      <c r="EZ31" s="14">
        <f>CV31*'MASTER SHEET'!D31</f>
        <v>0</v>
      </c>
      <c r="FA31" s="14">
        <f>CZ31*'MASTER SHEET'!D31</f>
        <v>0</v>
      </c>
      <c r="FB31" s="14">
        <f>DD31*'MASTER SHEET'!D31</f>
        <v>0</v>
      </c>
    </row>
    <row r="32" spans="1:158" ht="18.75" customHeight="1" x14ac:dyDescent="0.25">
      <c r="A32" s="43">
        <f>'MASTER SHEET'!A32</f>
        <v>30</v>
      </c>
      <c r="B32" s="49" t="str">
        <f>'MASTER SHEET'!B32</f>
        <v>PIPE, PLASTIC</v>
      </c>
      <c r="C32" s="86">
        <f>'MASTER SHEET'!C32</f>
        <v>5023934</v>
      </c>
      <c r="D32" s="51"/>
      <c r="E32" s="48"/>
      <c r="F32" s="48"/>
      <c r="G32" s="48"/>
      <c r="H32" s="48">
        <f t="shared" si="64"/>
        <v>0</v>
      </c>
      <c r="I32" s="28"/>
      <c r="J32" s="28"/>
      <c r="K32" s="65"/>
      <c r="L32" s="48">
        <f t="shared" si="65"/>
        <v>0</v>
      </c>
      <c r="M32" s="48"/>
      <c r="N32" s="48"/>
      <c r="O32" s="48"/>
      <c r="P32" s="48">
        <f t="shared" si="66"/>
        <v>0</v>
      </c>
      <c r="Q32" s="48"/>
      <c r="R32" s="48"/>
      <c r="S32" s="48"/>
      <c r="T32" s="48">
        <f t="shared" si="67"/>
        <v>0</v>
      </c>
      <c r="U32" s="48">
        <v>0</v>
      </c>
      <c r="V32" s="48"/>
      <c r="W32" s="48"/>
      <c r="X32" s="48">
        <f t="shared" si="68"/>
        <v>0</v>
      </c>
      <c r="Y32" s="48"/>
      <c r="Z32" s="48"/>
      <c r="AA32" s="48"/>
      <c r="AB32" s="48">
        <f t="shared" si="69"/>
        <v>0</v>
      </c>
      <c r="AC32" s="48"/>
      <c r="AD32" s="48"/>
      <c r="AE32" s="48"/>
      <c r="AF32" s="48">
        <f t="shared" si="70"/>
        <v>0</v>
      </c>
      <c r="AG32" s="48"/>
      <c r="AH32" s="48"/>
      <c r="AI32" s="48"/>
      <c r="AJ32" s="48">
        <f t="shared" si="71"/>
        <v>0</v>
      </c>
      <c r="AK32" s="48"/>
      <c r="AL32" s="48"/>
      <c r="AM32" s="48"/>
      <c r="AN32" s="48">
        <f t="shared" si="72"/>
        <v>0</v>
      </c>
      <c r="AO32" s="48"/>
      <c r="AP32" s="48"/>
      <c r="AQ32" s="48"/>
      <c r="AR32" s="48">
        <f t="shared" si="73"/>
        <v>0</v>
      </c>
      <c r="AS32" s="48"/>
      <c r="AT32" s="48"/>
      <c r="AU32" s="48"/>
      <c r="AV32" s="48">
        <f t="shared" si="74"/>
        <v>0</v>
      </c>
      <c r="AW32" s="48"/>
      <c r="AX32" s="48"/>
      <c r="AY32" s="48"/>
      <c r="AZ32" s="48">
        <f t="shared" si="75"/>
        <v>0</v>
      </c>
      <c r="BA32" s="48"/>
      <c r="BB32" s="48"/>
      <c r="BC32" s="48"/>
      <c r="BD32" s="48">
        <f t="shared" si="76"/>
        <v>0</v>
      </c>
      <c r="BE32" s="48"/>
      <c r="BF32" s="48"/>
      <c r="BG32" s="48"/>
      <c r="BH32" s="48">
        <f t="shared" si="77"/>
        <v>0</v>
      </c>
      <c r="BI32" s="48"/>
      <c r="BJ32" s="48"/>
      <c r="BK32" s="48"/>
      <c r="BL32" s="48">
        <f t="shared" si="78"/>
        <v>0</v>
      </c>
      <c r="BM32" s="48"/>
      <c r="BN32" s="48"/>
      <c r="BO32" s="48"/>
      <c r="BP32" s="48">
        <f t="shared" si="79"/>
        <v>0</v>
      </c>
      <c r="BQ32" s="48"/>
      <c r="BR32" s="48"/>
      <c r="BS32" s="48"/>
      <c r="BT32" s="48">
        <f t="shared" si="80"/>
        <v>0</v>
      </c>
      <c r="BU32" s="48"/>
      <c r="BV32" s="48"/>
      <c r="BW32" s="48"/>
      <c r="BX32" s="48">
        <f t="shared" si="81"/>
        <v>0</v>
      </c>
      <c r="BY32" s="48"/>
      <c r="BZ32" s="48"/>
      <c r="CA32" s="48"/>
      <c r="CB32" s="48">
        <f t="shared" si="82"/>
        <v>0</v>
      </c>
      <c r="CC32" s="48"/>
      <c r="CD32" s="48"/>
      <c r="CE32" s="48"/>
      <c r="CF32" s="48">
        <f t="shared" si="83"/>
        <v>0</v>
      </c>
      <c r="CG32" s="48"/>
      <c r="CH32" s="48"/>
      <c r="CI32" s="48"/>
      <c r="CJ32" s="48">
        <f t="shared" si="84"/>
        <v>0</v>
      </c>
      <c r="CK32" s="48"/>
      <c r="CL32" s="48"/>
      <c r="CM32" s="48"/>
      <c r="CN32" s="48">
        <f t="shared" si="85"/>
        <v>0</v>
      </c>
      <c r="CO32" s="48"/>
      <c r="CP32" s="48"/>
      <c r="CQ32" s="48"/>
      <c r="CR32" s="48">
        <f t="shared" si="86"/>
        <v>0</v>
      </c>
      <c r="CS32" s="48"/>
      <c r="CT32" s="48"/>
      <c r="CU32" s="48"/>
      <c r="CV32" s="48">
        <f t="shared" si="87"/>
        <v>0</v>
      </c>
      <c r="CW32" s="48"/>
      <c r="CX32" s="48"/>
      <c r="CY32" s="48"/>
      <c r="CZ32" s="48">
        <f t="shared" si="88"/>
        <v>0</v>
      </c>
      <c r="DA32" s="48"/>
      <c r="DB32" s="48"/>
      <c r="DC32" s="48"/>
      <c r="DD32" s="48">
        <f t="shared" si="89"/>
        <v>0</v>
      </c>
      <c r="DE32" s="48"/>
      <c r="DF32" s="48"/>
      <c r="DG32" s="48"/>
      <c r="DH32" s="48">
        <f t="shared" si="90"/>
        <v>0</v>
      </c>
      <c r="DI32" s="48"/>
      <c r="DJ32" s="48"/>
      <c r="DK32" s="48"/>
      <c r="DL32" s="48">
        <f t="shared" si="91"/>
        <v>0</v>
      </c>
      <c r="DM32" s="48"/>
      <c r="DN32" s="48"/>
      <c r="DO32" s="48"/>
      <c r="DP32" s="48">
        <f t="shared" si="92"/>
        <v>0</v>
      </c>
      <c r="DQ32" s="48"/>
      <c r="DR32" s="48"/>
      <c r="DS32" s="48"/>
      <c r="DT32" s="48">
        <f t="shared" si="93"/>
        <v>0</v>
      </c>
      <c r="DU32" s="48"/>
      <c r="DV32" s="48"/>
      <c r="DW32" s="48"/>
      <c r="DX32" s="48">
        <f t="shared" si="94"/>
        <v>0</v>
      </c>
      <c r="DY32" s="48">
        <f t="shared" si="95"/>
        <v>0</v>
      </c>
      <c r="DZ32" s="48">
        <f t="shared" si="96"/>
        <v>0</v>
      </c>
      <c r="EA32" s="14">
        <f>D32*'MASTER SHEET'!D32</f>
        <v>0</v>
      </c>
      <c r="EB32" s="14">
        <f>H32*'MASTER SHEET'!D32</f>
        <v>0</v>
      </c>
      <c r="EC32" s="14">
        <f>L32*'MASTER SHEET'!D32</f>
        <v>0</v>
      </c>
      <c r="ED32" s="14">
        <f>P32*'MASTER SHEET'!D32</f>
        <v>0</v>
      </c>
      <c r="EE32" s="14">
        <f>T32*'MASTER SHEET'!D32</f>
        <v>0</v>
      </c>
      <c r="EF32" s="14">
        <f>X32*'MASTER SHEET'!D32</f>
        <v>0</v>
      </c>
      <c r="EG32" s="14">
        <f>AB32*'MASTER SHEET'!D32</f>
        <v>0</v>
      </c>
      <c r="EH32" s="14">
        <f>AF32*'MASTER SHEET'!D32</f>
        <v>0</v>
      </c>
      <c r="EI32" s="14">
        <f>AJ32*'MASTER SHEET'!D32</f>
        <v>0</v>
      </c>
      <c r="EJ32" s="14">
        <f>AN32*'MASTER SHEET'!D32</f>
        <v>0</v>
      </c>
      <c r="EK32" s="14">
        <f>AR32*'MASTER SHEET'!D32</f>
        <v>0</v>
      </c>
      <c r="EL32" s="14">
        <f>AV32*'MASTER SHEET'!D32</f>
        <v>0</v>
      </c>
      <c r="EM32" s="14">
        <f>AZ32*'MASTER SHEET'!D32</f>
        <v>0</v>
      </c>
      <c r="EN32" s="14">
        <f>BD32*'MASTER SHEET'!D32</f>
        <v>0</v>
      </c>
      <c r="EO32" s="14">
        <f>BH32*'MASTER SHEET'!D32</f>
        <v>0</v>
      </c>
      <c r="EP32" s="14">
        <f>BL32*'MASTER SHEET'!D32</f>
        <v>0</v>
      </c>
      <c r="EQ32" s="14">
        <f>BP32*'MASTER SHEET'!D32</f>
        <v>0</v>
      </c>
      <c r="ER32" s="14">
        <f>BT32*'MASTER SHEET'!D32</f>
        <v>0</v>
      </c>
      <c r="ES32" s="14">
        <f>BX32*'MASTER SHEET'!D32</f>
        <v>0</v>
      </c>
      <c r="ET32" s="21">
        <f>CB32*'MASTER SHEET'!D32</f>
        <v>0</v>
      </c>
      <c r="EU32" s="14">
        <f>CF32*'MASTER SHEET'!D32</f>
        <v>0</v>
      </c>
      <c r="EV32" s="14">
        <f>CJ32*'MASTER SHEET'!D32</f>
        <v>0</v>
      </c>
      <c r="EW32" s="14">
        <f>CN32*'MASTER SHEET'!D32</f>
        <v>0</v>
      </c>
      <c r="EX32" s="14">
        <f>CR32*'MASTER SHEET'!D32</f>
        <v>0</v>
      </c>
      <c r="EY32" s="14">
        <f>CR32*'MASTER SHEET'!D32</f>
        <v>0</v>
      </c>
      <c r="EZ32" s="14">
        <f>CV32*'MASTER SHEET'!D32</f>
        <v>0</v>
      </c>
      <c r="FA32" s="14">
        <f>CZ32*'MASTER SHEET'!D32</f>
        <v>0</v>
      </c>
      <c r="FB32" s="14">
        <f>DD32*'MASTER SHEET'!D32</f>
        <v>0</v>
      </c>
    </row>
    <row r="33" spans="1:158" ht="18.75" customHeight="1" x14ac:dyDescent="0.25">
      <c r="A33" s="43">
        <f>'MASTER SHEET'!A33</f>
        <v>31</v>
      </c>
      <c r="B33" s="49" t="str">
        <f>'MASTER SHEET'!B33</f>
        <v>HYDROPHOBIC SCREEN</v>
      </c>
      <c r="C33" s="86">
        <f>'MASTER SHEET'!C33</f>
        <v>5025761</v>
      </c>
      <c r="D33" s="51"/>
      <c r="E33" s="48">
        <v>0</v>
      </c>
      <c r="F33" s="48">
        <v>0</v>
      </c>
      <c r="G33" s="48">
        <v>0</v>
      </c>
      <c r="H33" s="48">
        <f t="shared" si="64"/>
        <v>0</v>
      </c>
      <c r="I33" s="28">
        <v>970</v>
      </c>
      <c r="J33" s="28">
        <v>926</v>
      </c>
      <c r="K33" s="65">
        <v>44</v>
      </c>
      <c r="L33" s="48">
        <f t="shared" si="65"/>
        <v>0</v>
      </c>
      <c r="M33" s="48"/>
      <c r="N33" s="48"/>
      <c r="O33" s="48"/>
      <c r="P33" s="48">
        <f t="shared" si="66"/>
        <v>0</v>
      </c>
      <c r="Q33" s="48">
        <v>2410</v>
      </c>
      <c r="R33" s="48">
        <v>2400</v>
      </c>
      <c r="S33" s="48">
        <v>10</v>
      </c>
      <c r="T33" s="48">
        <f t="shared" si="67"/>
        <v>0</v>
      </c>
      <c r="U33" s="48">
        <v>2425</v>
      </c>
      <c r="V33" s="48">
        <v>2419</v>
      </c>
      <c r="W33" s="48">
        <v>6</v>
      </c>
      <c r="X33" s="48">
        <f t="shared" si="68"/>
        <v>0</v>
      </c>
      <c r="Y33" s="48">
        <v>990</v>
      </c>
      <c r="Z33" s="48">
        <v>986</v>
      </c>
      <c r="AA33" s="48">
        <v>4</v>
      </c>
      <c r="AB33" s="48">
        <f t="shared" si="69"/>
        <v>0</v>
      </c>
      <c r="AC33" s="48">
        <v>0</v>
      </c>
      <c r="AD33" s="48">
        <v>0</v>
      </c>
      <c r="AE33" s="48">
        <v>0</v>
      </c>
      <c r="AF33" s="48">
        <f t="shared" si="70"/>
        <v>0</v>
      </c>
      <c r="AG33" s="48">
        <v>876</v>
      </c>
      <c r="AH33" s="48">
        <v>840</v>
      </c>
      <c r="AI33" s="48">
        <v>36</v>
      </c>
      <c r="AJ33" s="48">
        <f t="shared" si="71"/>
        <v>0</v>
      </c>
      <c r="AK33" s="48">
        <v>2370</v>
      </c>
      <c r="AL33" s="48">
        <v>2328</v>
      </c>
      <c r="AM33" s="48">
        <v>42</v>
      </c>
      <c r="AN33" s="48">
        <f t="shared" si="72"/>
        <v>0</v>
      </c>
      <c r="AO33" s="48">
        <v>1362</v>
      </c>
      <c r="AP33" s="48">
        <v>1349</v>
      </c>
      <c r="AQ33" s="48">
        <v>13</v>
      </c>
      <c r="AR33" s="48">
        <f t="shared" si="73"/>
        <v>0</v>
      </c>
      <c r="AS33" s="48">
        <v>2410</v>
      </c>
      <c r="AT33" s="48">
        <v>2395</v>
      </c>
      <c r="AU33" s="48">
        <v>15</v>
      </c>
      <c r="AV33" s="48">
        <f t="shared" si="74"/>
        <v>0</v>
      </c>
      <c r="AW33" s="48">
        <v>434</v>
      </c>
      <c r="AX33" s="48">
        <v>430</v>
      </c>
      <c r="AY33" s="48">
        <v>4</v>
      </c>
      <c r="AZ33" s="48">
        <f t="shared" si="75"/>
        <v>0</v>
      </c>
      <c r="BA33" s="48">
        <v>1250</v>
      </c>
      <c r="BB33" s="48">
        <v>1240</v>
      </c>
      <c r="BC33" s="48">
        <v>10</v>
      </c>
      <c r="BD33" s="48">
        <f t="shared" si="76"/>
        <v>0</v>
      </c>
      <c r="BE33" s="48">
        <v>1312</v>
      </c>
      <c r="BF33" s="48">
        <v>1304</v>
      </c>
      <c r="BG33" s="48">
        <v>8</v>
      </c>
      <c r="BH33" s="48">
        <f t="shared" si="77"/>
        <v>0</v>
      </c>
      <c r="BI33" s="48">
        <v>1872</v>
      </c>
      <c r="BJ33" s="48">
        <v>1856</v>
      </c>
      <c r="BK33" s="48">
        <v>16</v>
      </c>
      <c r="BL33" s="48">
        <f t="shared" si="78"/>
        <v>0</v>
      </c>
      <c r="BM33" s="48">
        <v>1368</v>
      </c>
      <c r="BN33" s="48">
        <v>1366</v>
      </c>
      <c r="BO33" s="48">
        <v>2</v>
      </c>
      <c r="BP33" s="48">
        <f t="shared" si="79"/>
        <v>0</v>
      </c>
      <c r="BQ33" s="48">
        <v>546</v>
      </c>
      <c r="BR33" s="48">
        <v>534</v>
      </c>
      <c r="BS33" s="48">
        <v>12</v>
      </c>
      <c r="BT33" s="48">
        <f t="shared" si="80"/>
        <v>0</v>
      </c>
      <c r="BU33" s="48"/>
      <c r="BV33" s="48"/>
      <c r="BW33" s="48"/>
      <c r="BX33" s="48">
        <f t="shared" si="81"/>
        <v>0</v>
      </c>
      <c r="BY33" s="48"/>
      <c r="BZ33" s="48"/>
      <c r="CA33" s="48"/>
      <c r="CB33" s="48">
        <f t="shared" si="82"/>
        <v>0</v>
      </c>
      <c r="CC33" s="48">
        <v>1092</v>
      </c>
      <c r="CD33" s="48">
        <v>1080</v>
      </c>
      <c r="CE33" s="48">
        <v>12</v>
      </c>
      <c r="CF33" s="48">
        <f t="shared" si="83"/>
        <v>0</v>
      </c>
      <c r="CG33" s="48">
        <v>2812</v>
      </c>
      <c r="CH33" s="48">
        <v>2805</v>
      </c>
      <c r="CI33" s="48">
        <v>7</v>
      </c>
      <c r="CJ33" s="48">
        <f t="shared" si="84"/>
        <v>0</v>
      </c>
      <c r="CK33" s="48">
        <v>1404</v>
      </c>
      <c r="CL33" s="48">
        <v>1402</v>
      </c>
      <c r="CM33" s="48">
        <v>2</v>
      </c>
      <c r="CN33" s="48">
        <f t="shared" si="85"/>
        <v>0</v>
      </c>
      <c r="CO33" s="48">
        <v>1348</v>
      </c>
      <c r="CP33" s="48">
        <v>1336</v>
      </c>
      <c r="CQ33" s="48">
        <v>12</v>
      </c>
      <c r="CR33" s="48">
        <f t="shared" si="86"/>
        <v>0</v>
      </c>
      <c r="CS33" s="48">
        <v>1094</v>
      </c>
      <c r="CT33" s="48">
        <v>1080</v>
      </c>
      <c r="CU33" s="48">
        <v>14</v>
      </c>
      <c r="CV33" s="48">
        <f t="shared" si="87"/>
        <v>0</v>
      </c>
      <c r="CW33" s="48">
        <v>1310</v>
      </c>
      <c r="CX33" s="48">
        <v>1300</v>
      </c>
      <c r="CY33" s="48">
        <v>10</v>
      </c>
      <c r="CZ33" s="48">
        <f t="shared" si="88"/>
        <v>0</v>
      </c>
      <c r="DA33" s="48"/>
      <c r="DB33" s="48"/>
      <c r="DC33" s="48"/>
      <c r="DD33" s="48">
        <f t="shared" si="89"/>
        <v>0</v>
      </c>
      <c r="DE33" s="48">
        <v>404</v>
      </c>
      <c r="DF33" s="48">
        <v>392</v>
      </c>
      <c r="DG33" s="48">
        <v>12</v>
      </c>
      <c r="DH33" s="48">
        <f t="shared" si="90"/>
        <v>0</v>
      </c>
      <c r="DI33" s="48">
        <v>1742</v>
      </c>
      <c r="DJ33" s="48">
        <v>1725</v>
      </c>
      <c r="DK33" s="48">
        <v>17</v>
      </c>
      <c r="DL33" s="48">
        <f t="shared" si="91"/>
        <v>0</v>
      </c>
      <c r="DM33" s="48">
        <v>2702</v>
      </c>
      <c r="DN33" s="48">
        <v>2682</v>
      </c>
      <c r="DO33" s="48">
        <v>20</v>
      </c>
      <c r="DP33" s="48">
        <f t="shared" si="92"/>
        <v>0</v>
      </c>
      <c r="DQ33" s="48"/>
      <c r="DR33" s="48"/>
      <c r="DS33" s="48"/>
      <c r="DT33" s="48">
        <f t="shared" si="93"/>
        <v>0</v>
      </c>
      <c r="DU33" s="48"/>
      <c r="DV33" s="48"/>
      <c r="DW33" s="48"/>
      <c r="DX33" s="48">
        <f t="shared" si="94"/>
        <v>0</v>
      </c>
      <c r="DY33" s="48">
        <f t="shared" si="95"/>
        <v>34503</v>
      </c>
      <c r="DZ33" s="48">
        <f t="shared" si="96"/>
        <v>328</v>
      </c>
      <c r="EA33" s="14">
        <f>D33*'MASTER SHEET'!D33</f>
        <v>0</v>
      </c>
      <c r="EB33" s="14">
        <f>H33*'MASTER SHEET'!D33</f>
        <v>0</v>
      </c>
      <c r="EC33" s="14">
        <f>L33*'MASTER SHEET'!D33</f>
        <v>0</v>
      </c>
      <c r="ED33" s="14">
        <f>P33*'MASTER SHEET'!D33</f>
        <v>0</v>
      </c>
      <c r="EE33" s="14">
        <f>T33*'MASTER SHEET'!D33</f>
        <v>0</v>
      </c>
      <c r="EF33" s="14">
        <f>X33*'MASTER SHEET'!D33</f>
        <v>0</v>
      </c>
      <c r="EG33" s="14">
        <f>AB33*'MASTER SHEET'!D33</f>
        <v>0</v>
      </c>
      <c r="EH33" s="14">
        <f>AF33*'MASTER SHEET'!D33</f>
        <v>0</v>
      </c>
      <c r="EI33" s="14">
        <f>AJ33*'MASTER SHEET'!D33</f>
        <v>0</v>
      </c>
      <c r="EJ33" s="14">
        <f>AN33*'MASTER SHEET'!D33</f>
        <v>0</v>
      </c>
      <c r="EK33" s="14">
        <f>AR33*'MASTER SHEET'!D33</f>
        <v>0</v>
      </c>
      <c r="EL33" s="14">
        <f>AV33*'MASTER SHEET'!D33</f>
        <v>0</v>
      </c>
      <c r="EM33" s="14">
        <f>AZ33*'MASTER SHEET'!D33</f>
        <v>0</v>
      </c>
      <c r="EN33" s="14">
        <f>BD33*'MASTER SHEET'!D33</f>
        <v>0</v>
      </c>
      <c r="EO33" s="14">
        <f>BH33*'MASTER SHEET'!D33</f>
        <v>0</v>
      </c>
      <c r="EP33" s="14">
        <f>BL33*'MASTER SHEET'!D33</f>
        <v>0</v>
      </c>
      <c r="EQ33" s="14">
        <f>BP33*'MASTER SHEET'!D33</f>
        <v>0</v>
      </c>
      <c r="ER33" s="14">
        <f>BT33*'MASTER SHEET'!D33</f>
        <v>0</v>
      </c>
      <c r="ES33" s="14">
        <f>BX33*'MASTER SHEET'!D33</f>
        <v>0</v>
      </c>
      <c r="ET33" s="21">
        <f>CB33*'MASTER SHEET'!D33</f>
        <v>0</v>
      </c>
      <c r="EU33" s="14">
        <f>CF33*'MASTER SHEET'!D33</f>
        <v>0</v>
      </c>
      <c r="EV33" s="14">
        <f>CJ33*'MASTER SHEET'!D33</f>
        <v>0</v>
      </c>
      <c r="EW33" s="14">
        <f>CN33*'MASTER SHEET'!D33</f>
        <v>0</v>
      </c>
      <c r="EX33" s="14">
        <f>CR33*'MASTER SHEET'!D33</f>
        <v>0</v>
      </c>
      <c r="EY33" s="14">
        <f>CR33*'MASTER SHEET'!D33</f>
        <v>0</v>
      </c>
      <c r="EZ33" s="14">
        <f>CV33*'MASTER SHEET'!D33</f>
        <v>0</v>
      </c>
      <c r="FA33" s="14">
        <f>CZ33*'MASTER SHEET'!D33</f>
        <v>0</v>
      </c>
      <c r="FB33" s="14">
        <f>DD33*'MASTER SHEET'!D33</f>
        <v>0</v>
      </c>
    </row>
    <row r="34" spans="1:158" ht="18.75" customHeight="1" x14ac:dyDescent="0.25">
      <c r="A34" s="43">
        <f>'MASTER SHEET'!A34</f>
        <v>32</v>
      </c>
      <c r="B34" s="49" t="str">
        <f>'MASTER SHEET'!B34</f>
        <v>ENDPLATE ASY, PLASTIC</v>
      </c>
      <c r="C34" s="86">
        <f>'MASTER SHEET'!C34</f>
        <v>5025960</v>
      </c>
      <c r="D34" s="51"/>
      <c r="E34" s="48"/>
      <c r="F34" s="48"/>
      <c r="G34" s="48"/>
      <c r="H34" s="48">
        <f t="shared" si="64"/>
        <v>0</v>
      </c>
      <c r="I34" s="28"/>
      <c r="J34" s="28"/>
      <c r="K34" s="65"/>
      <c r="L34" s="48">
        <f t="shared" si="65"/>
        <v>0</v>
      </c>
      <c r="M34" s="48"/>
      <c r="N34" s="48"/>
      <c r="O34" s="48"/>
      <c r="P34" s="48">
        <f t="shared" si="66"/>
        <v>0</v>
      </c>
      <c r="Q34" s="48"/>
      <c r="R34" s="48"/>
      <c r="S34" s="48"/>
      <c r="T34" s="48">
        <f t="shared" si="67"/>
        <v>0</v>
      </c>
      <c r="U34" s="48">
        <v>0</v>
      </c>
      <c r="V34" s="48"/>
      <c r="W34" s="48"/>
      <c r="X34" s="48">
        <f t="shared" si="68"/>
        <v>0</v>
      </c>
      <c r="Y34" s="48"/>
      <c r="Z34" s="48"/>
      <c r="AA34" s="48"/>
      <c r="AB34" s="48">
        <f t="shared" si="69"/>
        <v>0</v>
      </c>
      <c r="AC34" s="48"/>
      <c r="AD34" s="48"/>
      <c r="AE34" s="48"/>
      <c r="AF34" s="48">
        <f t="shared" si="70"/>
        <v>0</v>
      </c>
      <c r="AG34" s="48"/>
      <c r="AH34" s="48"/>
      <c r="AI34" s="48"/>
      <c r="AJ34" s="48">
        <f t="shared" si="71"/>
        <v>0</v>
      </c>
      <c r="AK34" s="48"/>
      <c r="AL34" s="48"/>
      <c r="AM34" s="48"/>
      <c r="AN34" s="48">
        <f t="shared" si="72"/>
        <v>0</v>
      </c>
      <c r="AO34" s="48"/>
      <c r="AP34" s="48"/>
      <c r="AQ34" s="48"/>
      <c r="AR34" s="48">
        <f t="shared" si="73"/>
        <v>0</v>
      </c>
      <c r="AS34" s="48"/>
      <c r="AT34" s="48"/>
      <c r="AU34" s="48"/>
      <c r="AV34" s="48">
        <f t="shared" si="74"/>
        <v>0</v>
      </c>
      <c r="AW34" s="48"/>
      <c r="AX34" s="48"/>
      <c r="AY34" s="48"/>
      <c r="AZ34" s="48">
        <f t="shared" si="75"/>
        <v>0</v>
      </c>
      <c r="BA34" s="48"/>
      <c r="BB34" s="48"/>
      <c r="BC34" s="48"/>
      <c r="BD34" s="48">
        <f t="shared" si="76"/>
        <v>0</v>
      </c>
      <c r="BE34" s="48"/>
      <c r="BF34" s="48"/>
      <c r="BG34" s="48"/>
      <c r="BH34" s="48">
        <f t="shared" si="77"/>
        <v>0</v>
      </c>
      <c r="BI34" s="48"/>
      <c r="BJ34" s="48"/>
      <c r="BK34" s="48"/>
      <c r="BL34" s="48">
        <f t="shared" si="78"/>
        <v>0</v>
      </c>
      <c r="BM34" s="48"/>
      <c r="BN34" s="48"/>
      <c r="BO34" s="48"/>
      <c r="BP34" s="48">
        <f t="shared" si="79"/>
        <v>0</v>
      </c>
      <c r="BQ34" s="48"/>
      <c r="BR34" s="48"/>
      <c r="BS34" s="48"/>
      <c r="BT34" s="48">
        <f t="shared" si="80"/>
        <v>0</v>
      </c>
      <c r="BU34" s="48"/>
      <c r="BV34" s="48"/>
      <c r="BW34" s="48"/>
      <c r="BX34" s="48">
        <f t="shared" si="81"/>
        <v>0</v>
      </c>
      <c r="BY34" s="48"/>
      <c r="BZ34" s="48"/>
      <c r="CA34" s="48"/>
      <c r="CB34" s="48">
        <f t="shared" si="82"/>
        <v>0</v>
      </c>
      <c r="CC34" s="48"/>
      <c r="CD34" s="48"/>
      <c r="CE34" s="48"/>
      <c r="CF34" s="48">
        <f t="shared" si="83"/>
        <v>0</v>
      </c>
      <c r="CG34" s="48"/>
      <c r="CH34" s="48"/>
      <c r="CI34" s="48"/>
      <c r="CJ34" s="48">
        <f t="shared" si="84"/>
        <v>0</v>
      </c>
      <c r="CK34" s="48"/>
      <c r="CL34" s="48"/>
      <c r="CM34" s="48"/>
      <c r="CN34" s="48">
        <f t="shared" si="85"/>
        <v>0</v>
      </c>
      <c r="CO34" s="48"/>
      <c r="CP34" s="48"/>
      <c r="CQ34" s="48"/>
      <c r="CR34" s="48">
        <f t="shared" si="86"/>
        <v>0</v>
      </c>
      <c r="CS34" s="48"/>
      <c r="CT34" s="48"/>
      <c r="CU34" s="48"/>
      <c r="CV34" s="48">
        <f t="shared" si="87"/>
        <v>0</v>
      </c>
      <c r="CW34" s="48"/>
      <c r="CX34" s="48"/>
      <c r="CY34" s="48"/>
      <c r="CZ34" s="48">
        <f t="shared" si="88"/>
        <v>0</v>
      </c>
      <c r="DA34" s="48"/>
      <c r="DB34" s="48"/>
      <c r="DC34" s="48"/>
      <c r="DD34" s="48">
        <f t="shared" si="89"/>
        <v>0</v>
      </c>
      <c r="DE34" s="48"/>
      <c r="DF34" s="48"/>
      <c r="DG34" s="48"/>
      <c r="DH34" s="48">
        <f t="shared" si="90"/>
        <v>0</v>
      </c>
      <c r="DI34" s="48"/>
      <c r="DJ34" s="48"/>
      <c r="DK34" s="48"/>
      <c r="DL34" s="48">
        <f t="shared" si="91"/>
        <v>0</v>
      </c>
      <c r="DM34" s="48"/>
      <c r="DN34" s="48"/>
      <c r="DO34" s="48"/>
      <c r="DP34" s="48">
        <f t="shared" si="92"/>
        <v>0</v>
      </c>
      <c r="DQ34" s="48"/>
      <c r="DR34" s="48"/>
      <c r="DS34" s="48"/>
      <c r="DT34" s="48">
        <f t="shared" si="93"/>
        <v>0</v>
      </c>
      <c r="DU34" s="48"/>
      <c r="DV34" s="48"/>
      <c r="DW34" s="48"/>
      <c r="DX34" s="48">
        <f t="shared" si="94"/>
        <v>0</v>
      </c>
      <c r="DY34" s="48">
        <f t="shared" si="95"/>
        <v>0</v>
      </c>
      <c r="DZ34" s="48">
        <f t="shared" si="96"/>
        <v>0</v>
      </c>
      <c r="EA34" s="14">
        <f>D34*'MASTER SHEET'!D34</f>
        <v>0</v>
      </c>
      <c r="EB34" s="14">
        <f>H34*'MASTER SHEET'!D34</f>
        <v>0</v>
      </c>
      <c r="EC34" s="14">
        <f>L34*'MASTER SHEET'!D34</f>
        <v>0</v>
      </c>
      <c r="ED34" s="14">
        <f>P34*'MASTER SHEET'!D34</f>
        <v>0</v>
      </c>
      <c r="EE34" s="14">
        <f>T34*'MASTER SHEET'!D34</f>
        <v>0</v>
      </c>
      <c r="EF34" s="14">
        <f>X34*'MASTER SHEET'!D34</f>
        <v>0</v>
      </c>
      <c r="EG34" s="14">
        <f>AB34*'MASTER SHEET'!D34</f>
        <v>0</v>
      </c>
      <c r="EH34" s="14">
        <f>AF34*'MASTER SHEET'!D34</f>
        <v>0</v>
      </c>
      <c r="EI34" s="14">
        <f>AJ34*'MASTER SHEET'!D34</f>
        <v>0</v>
      </c>
      <c r="EJ34" s="14">
        <f>AN34*'MASTER SHEET'!D34</f>
        <v>0</v>
      </c>
      <c r="EK34" s="14">
        <f>AR34*'MASTER SHEET'!D34</f>
        <v>0</v>
      </c>
      <c r="EL34" s="14">
        <f>AV34*'MASTER SHEET'!D34</f>
        <v>0</v>
      </c>
      <c r="EM34" s="14">
        <f>AZ34*'MASTER SHEET'!D34</f>
        <v>0</v>
      </c>
      <c r="EN34" s="14">
        <f>BD34*'MASTER SHEET'!D34</f>
        <v>0</v>
      </c>
      <c r="EO34" s="14">
        <f>BH34*'MASTER SHEET'!D34</f>
        <v>0</v>
      </c>
      <c r="EP34" s="14">
        <f>BL34*'MASTER SHEET'!D34</f>
        <v>0</v>
      </c>
      <c r="EQ34" s="14">
        <f>BP34*'MASTER SHEET'!D34</f>
        <v>0</v>
      </c>
      <c r="ER34" s="14">
        <f>BT34*'MASTER SHEET'!D34</f>
        <v>0</v>
      </c>
      <c r="ES34" s="14">
        <f>BX34*'MASTER SHEET'!D34</f>
        <v>0</v>
      </c>
      <c r="ET34" s="21">
        <f>CB34*'MASTER SHEET'!D34</f>
        <v>0</v>
      </c>
      <c r="EU34" s="14">
        <f>CF34*'MASTER SHEET'!D34</f>
        <v>0</v>
      </c>
      <c r="EV34" s="14">
        <f>CJ34*'MASTER SHEET'!D34</f>
        <v>0</v>
      </c>
      <c r="EW34" s="14">
        <f>CN34*'MASTER SHEET'!D34</f>
        <v>0</v>
      </c>
      <c r="EX34" s="14">
        <f>CR34*'MASTER SHEET'!D34</f>
        <v>0</v>
      </c>
      <c r="EY34" s="14">
        <f>CR34*'MASTER SHEET'!D34</f>
        <v>0</v>
      </c>
      <c r="EZ34" s="14">
        <f>CV34*'MASTER SHEET'!D34</f>
        <v>0</v>
      </c>
      <c r="FA34" s="14">
        <f>CZ34*'MASTER SHEET'!D34</f>
        <v>0</v>
      </c>
      <c r="FB34" s="14">
        <f>DD34*'MASTER SHEET'!D34</f>
        <v>0</v>
      </c>
    </row>
    <row r="35" spans="1:158" ht="18.75" customHeight="1" x14ac:dyDescent="0.25">
      <c r="A35" s="43">
        <f>'MASTER SHEET'!A35</f>
        <v>33</v>
      </c>
      <c r="B35" s="49" t="str">
        <f>'MASTER SHEET'!B35</f>
        <v>LID HOUSING</v>
      </c>
      <c r="C35" s="86">
        <f>'MASTER SHEET'!C35</f>
        <v>5026154</v>
      </c>
      <c r="D35" s="51"/>
      <c r="E35" s="48"/>
      <c r="F35" s="48"/>
      <c r="G35" s="48"/>
      <c r="H35" s="48">
        <f t="shared" si="64"/>
        <v>0</v>
      </c>
      <c r="I35" s="28"/>
      <c r="J35" s="28"/>
      <c r="K35" s="65"/>
      <c r="L35" s="48">
        <f t="shared" si="65"/>
        <v>0</v>
      </c>
      <c r="M35" s="48"/>
      <c r="N35" s="48"/>
      <c r="O35" s="48"/>
      <c r="P35" s="48">
        <f t="shared" si="66"/>
        <v>0</v>
      </c>
      <c r="Q35" s="48"/>
      <c r="R35" s="48"/>
      <c r="S35" s="48"/>
      <c r="T35" s="48">
        <f t="shared" si="67"/>
        <v>0</v>
      </c>
      <c r="U35" s="48">
        <v>0</v>
      </c>
      <c r="V35" s="48"/>
      <c r="W35" s="48"/>
      <c r="X35" s="48">
        <f t="shared" si="68"/>
        <v>0</v>
      </c>
      <c r="Y35" s="48"/>
      <c r="Z35" s="48"/>
      <c r="AA35" s="48"/>
      <c r="AB35" s="48">
        <f t="shared" si="69"/>
        <v>0</v>
      </c>
      <c r="AC35" s="48"/>
      <c r="AD35" s="48"/>
      <c r="AE35" s="48"/>
      <c r="AF35" s="48">
        <f t="shared" si="70"/>
        <v>0</v>
      </c>
      <c r="AG35" s="48"/>
      <c r="AH35" s="48"/>
      <c r="AI35" s="48"/>
      <c r="AJ35" s="48">
        <f t="shared" si="71"/>
        <v>0</v>
      </c>
      <c r="AK35" s="48"/>
      <c r="AL35" s="48"/>
      <c r="AM35" s="48"/>
      <c r="AN35" s="48">
        <f t="shared" si="72"/>
        <v>0</v>
      </c>
      <c r="AO35" s="48"/>
      <c r="AP35" s="48"/>
      <c r="AQ35" s="48"/>
      <c r="AR35" s="48">
        <f t="shared" si="73"/>
        <v>0</v>
      </c>
      <c r="AS35" s="48">
        <v>0</v>
      </c>
      <c r="AT35" s="48">
        <v>0</v>
      </c>
      <c r="AU35" s="48">
        <v>0</v>
      </c>
      <c r="AV35" s="48">
        <f t="shared" si="74"/>
        <v>0</v>
      </c>
      <c r="AW35" s="48">
        <v>0</v>
      </c>
      <c r="AX35" s="48">
        <v>0</v>
      </c>
      <c r="AY35" s="48">
        <v>0</v>
      </c>
      <c r="AZ35" s="48">
        <f t="shared" si="75"/>
        <v>0</v>
      </c>
      <c r="BA35" s="48">
        <v>0</v>
      </c>
      <c r="BB35" s="48">
        <v>0</v>
      </c>
      <c r="BC35" s="48">
        <v>0</v>
      </c>
      <c r="BD35" s="48">
        <f t="shared" si="76"/>
        <v>0</v>
      </c>
      <c r="BE35" s="48">
        <v>0</v>
      </c>
      <c r="BF35" s="48">
        <v>0</v>
      </c>
      <c r="BG35" s="48">
        <v>0</v>
      </c>
      <c r="BH35" s="48">
        <f t="shared" si="77"/>
        <v>0</v>
      </c>
      <c r="BI35" s="48">
        <v>0</v>
      </c>
      <c r="BJ35" s="48">
        <v>0</v>
      </c>
      <c r="BK35" s="48">
        <v>0</v>
      </c>
      <c r="BL35" s="48">
        <f t="shared" si="78"/>
        <v>0</v>
      </c>
      <c r="BM35" s="48">
        <v>0</v>
      </c>
      <c r="BN35" s="48">
        <v>0</v>
      </c>
      <c r="BO35" s="48">
        <v>0</v>
      </c>
      <c r="BP35" s="48">
        <f t="shared" si="79"/>
        <v>0</v>
      </c>
      <c r="BQ35" s="48">
        <v>0</v>
      </c>
      <c r="BR35" s="48">
        <v>0</v>
      </c>
      <c r="BS35" s="48">
        <v>0</v>
      </c>
      <c r="BT35" s="48">
        <f t="shared" si="80"/>
        <v>0</v>
      </c>
      <c r="BU35" s="48">
        <v>767</v>
      </c>
      <c r="BV35" s="48">
        <v>737</v>
      </c>
      <c r="BW35" s="48">
        <v>30</v>
      </c>
      <c r="BX35" s="48">
        <f t="shared" si="81"/>
        <v>0</v>
      </c>
      <c r="BY35" s="48"/>
      <c r="BZ35" s="48"/>
      <c r="CA35" s="48"/>
      <c r="CB35" s="48">
        <f t="shared" si="82"/>
        <v>0</v>
      </c>
      <c r="CC35" s="48">
        <v>363</v>
      </c>
      <c r="CD35" s="48">
        <v>335</v>
      </c>
      <c r="CE35" s="48">
        <v>28</v>
      </c>
      <c r="CF35" s="48">
        <f t="shared" si="83"/>
        <v>0</v>
      </c>
      <c r="CG35" s="48"/>
      <c r="CH35" s="48"/>
      <c r="CI35" s="48"/>
      <c r="CJ35" s="48">
        <f t="shared" si="84"/>
        <v>0</v>
      </c>
      <c r="CK35" s="48"/>
      <c r="CL35" s="48"/>
      <c r="CM35" s="48"/>
      <c r="CN35" s="48">
        <f t="shared" si="85"/>
        <v>0</v>
      </c>
      <c r="CO35" s="48"/>
      <c r="CP35" s="48"/>
      <c r="CQ35" s="48"/>
      <c r="CR35" s="48">
        <f t="shared" si="86"/>
        <v>0</v>
      </c>
      <c r="CS35" s="48"/>
      <c r="CT35" s="48"/>
      <c r="CU35" s="48"/>
      <c r="CV35" s="48">
        <f t="shared" si="87"/>
        <v>0</v>
      </c>
      <c r="CW35" s="48"/>
      <c r="CX35" s="48"/>
      <c r="CY35" s="48"/>
      <c r="CZ35" s="48">
        <f t="shared" si="88"/>
        <v>0</v>
      </c>
      <c r="DA35" s="48"/>
      <c r="DB35" s="48"/>
      <c r="DC35" s="48"/>
      <c r="DD35" s="48">
        <f t="shared" si="89"/>
        <v>0</v>
      </c>
      <c r="DE35" s="48"/>
      <c r="DF35" s="48"/>
      <c r="DG35" s="48"/>
      <c r="DH35" s="48">
        <f t="shared" si="90"/>
        <v>0</v>
      </c>
      <c r="DI35" s="48"/>
      <c r="DJ35" s="48"/>
      <c r="DK35" s="48"/>
      <c r="DL35" s="48">
        <f t="shared" si="91"/>
        <v>0</v>
      </c>
      <c r="DM35" s="48"/>
      <c r="DN35" s="48"/>
      <c r="DO35" s="48"/>
      <c r="DP35" s="48">
        <f t="shared" si="92"/>
        <v>0</v>
      </c>
      <c r="DQ35" s="48"/>
      <c r="DR35" s="48"/>
      <c r="DS35" s="48"/>
      <c r="DT35" s="48">
        <f t="shared" si="93"/>
        <v>0</v>
      </c>
      <c r="DU35" s="48"/>
      <c r="DV35" s="48"/>
      <c r="DW35" s="48"/>
      <c r="DX35" s="48">
        <f t="shared" si="94"/>
        <v>0</v>
      </c>
      <c r="DY35" s="48">
        <f t="shared" si="95"/>
        <v>1130</v>
      </c>
      <c r="DZ35" s="48">
        <f t="shared" si="96"/>
        <v>58</v>
      </c>
      <c r="EA35" s="14">
        <f>D35*'MASTER SHEET'!D35</f>
        <v>0</v>
      </c>
      <c r="EB35" s="14">
        <f>H35*'MASTER SHEET'!D35</f>
        <v>0</v>
      </c>
      <c r="EC35" s="14">
        <f>L35*'MASTER SHEET'!D35</f>
        <v>0</v>
      </c>
      <c r="ED35" s="14">
        <f>P35*'MASTER SHEET'!D35</f>
        <v>0</v>
      </c>
      <c r="EE35" s="14">
        <f>T35*'MASTER SHEET'!D35</f>
        <v>0</v>
      </c>
      <c r="EF35" s="14">
        <f>X35*'MASTER SHEET'!D35</f>
        <v>0</v>
      </c>
      <c r="EG35" s="14">
        <f>AB35*'MASTER SHEET'!D35</f>
        <v>0</v>
      </c>
      <c r="EH35" s="14">
        <f>AF35*'MASTER SHEET'!D35</f>
        <v>0</v>
      </c>
      <c r="EI35" s="14">
        <f>AJ35*'MASTER SHEET'!D35</f>
        <v>0</v>
      </c>
      <c r="EJ35" s="14">
        <f>AN35*'MASTER SHEET'!D35</f>
        <v>0</v>
      </c>
      <c r="EK35" s="14">
        <f>AR35*'MASTER SHEET'!D35</f>
        <v>0</v>
      </c>
      <c r="EL35" s="14">
        <f>AV35*'MASTER SHEET'!D35</f>
        <v>0</v>
      </c>
      <c r="EM35" s="14">
        <f>AZ35*'MASTER SHEET'!D35</f>
        <v>0</v>
      </c>
      <c r="EN35" s="14">
        <f>BD35*'MASTER SHEET'!D35</f>
        <v>0</v>
      </c>
      <c r="EO35" s="14">
        <f>BH35*'MASTER SHEET'!D35</f>
        <v>0</v>
      </c>
      <c r="EP35" s="14">
        <f>BL35*'MASTER SHEET'!D35</f>
        <v>0</v>
      </c>
      <c r="EQ35" s="14">
        <f>BP35*'MASTER SHEET'!D35</f>
        <v>0</v>
      </c>
      <c r="ER35" s="14">
        <f>BT35*'MASTER SHEET'!D35</f>
        <v>0</v>
      </c>
      <c r="ES35" s="14">
        <f>BX35*'MASTER SHEET'!D35</f>
        <v>0</v>
      </c>
      <c r="ET35" s="21">
        <f>CB35*'MASTER SHEET'!D35</f>
        <v>0</v>
      </c>
      <c r="EU35" s="14">
        <f>CF35*'MASTER SHEET'!D35</f>
        <v>0</v>
      </c>
      <c r="EV35" s="14">
        <f>CJ35*'MASTER SHEET'!D35</f>
        <v>0</v>
      </c>
      <c r="EW35" s="14">
        <f>CN35*'MASTER SHEET'!D35</f>
        <v>0</v>
      </c>
      <c r="EX35" s="14">
        <f>CR35*'MASTER SHEET'!D35</f>
        <v>0</v>
      </c>
      <c r="EY35" s="14">
        <f>CR35*'MASTER SHEET'!D35</f>
        <v>0</v>
      </c>
      <c r="EZ35" s="14">
        <f>CV35*'MASTER SHEET'!D35</f>
        <v>0</v>
      </c>
      <c r="FA35" s="14">
        <f>CZ35*'MASTER SHEET'!D35</f>
        <v>0</v>
      </c>
      <c r="FB35" s="14">
        <f>DD35*'MASTER SHEET'!D35</f>
        <v>0</v>
      </c>
    </row>
    <row r="36" spans="1:158" ht="18.75" customHeight="1" x14ac:dyDescent="0.25">
      <c r="A36" s="43">
        <f>'MASTER SHEET'!A36</f>
        <v>34</v>
      </c>
      <c r="B36" s="49" t="str">
        <f>'MASTER SHEET'!B36</f>
        <v xml:space="preserve">BASE. HOUSING </v>
      </c>
      <c r="C36" s="86">
        <f>'MASTER SHEET'!C36</f>
        <v>5026669</v>
      </c>
      <c r="D36" s="51"/>
      <c r="E36" s="48"/>
      <c r="F36" s="48"/>
      <c r="G36" s="48"/>
      <c r="H36" s="48">
        <f t="shared" si="64"/>
        <v>0</v>
      </c>
      <c r="I36" s="28"/>
      <c r="J36" s="28"/>
      <c r="K36" s="65"/>
      <c r="L36" s="48">
        <f t="shared" si="65"/>
        <v>0</v>
      </c>
      <c r="M36" s="48"/>
      <c r="N36" s="48"/>
      <c r="O36" s="48"/>
      <c r="P36" s="48">
        <f t="shared" si="66"/>
        <v>0</v>
      </c>
      <c r="Q36" s="48"/>
      <c r="R36" s="48"/>
      <c r="S36" s="48"/>
      <c r="T36" s="48">
        <f t="shared" si="67"/>
        <v>0</v>
      </c>
      <c r="U36" s="48">
        <v>0</v>
      </c>
      <c r="V36" s="48"/>
      <c r="W36" s="48"/>
      <c r="X36" s="48">
        <f t="shared" si="68"/>
        <v>0</v>
      </c>
      <c r="Y36" s="48"/>
      <c r="Z36" s="48"/>
      <c r="AA36" s="48"/>
      <c r="AB36" s="48">
        <f t="shared" si="69"/>
        <v>0</v>
      </c>
      <c r="AC36" s="48"/>
      <c r="AD36" s="48"/>
      <c r="AE36" s="48"/>
      <c r="AF36" s="48">
        <f t="shared" si="70"/>
        <v>0</v>
      </c>
      <c r="AG36" s="48"/>
      <c r="AH36" s="48"/>
      <c r="AI36" s="48"/>
      <c r="AJ36" s="48">
        <f t="shared" si="71"/>
        <v>0</v>
      </c>
      <c r="AK36" s="48"/>
      <c r="AL36" s="48"/>
      <c r="AM36" s="48"/>
      <c r="AN36" s="48">
        <f t="shared" si="72"/>
        <v>0</v>
      </c>
      <c r="AO36" s="48"/>
      <c r="AP36" s="48"/>
      <c r="AQ36" s="48"/>
      <c r="AR36" s="48">
        <f t="shared" si="73"/>
        <v>0</v>
      </c>
      <c r="AS36" s="48"/>
      <c r="AT36" s="48"/>
      <c r="AU36" s="48"/>
      <c r="AV36" s="48">
        <f t="shared" si="74"/>
        <v>0</v>
      </c>
      <c r="AW36" s="48"/>
      <c r="AX36" s="48"/>
      <c r="AY36" s="48"/>
      <c r="AZ36" s="48">
        <f t="shared" si="75"/>
        <v>0</v>
      </c>
      <c r="BA36" s="48"/>
      <c r="BB36" s="48"/>
      <c r="BC36" s="48"/>
      <c r="BD36" s="48">
        <f t="shared" si="76"/>
        <v>0</v>
      </c>
      <c r="BE36" s="48"/>
      <c r="BF36" s="48"/>
      <c r="BG36" s="48"/>
      <c r="BH36" s="48">
        <f t="shared" si="77"/>
        <v>0</v>
      </c>
      <c r="BI36" s="48"/>
      <c r="BJ36" s="48"/>
      <c r="BK36" s="48"/>
      <c r="BL36" s="48">
        <f t="shared" si="78"/>
        <v>0</v>
      </c>
      <c r="BM36" s="48"/>
      <c r="BN36" s="48"/>
      <c r="BO36" s="48"/>
      <c r="BP36" s="48">
        <f t="shared" si="79"/>
        <v>0</v>
      </c>
      <c r="BQ36" s="48"/>
      <c r="BR36" s="48"/>
      <c r="BS36" s="48"/>
      <c r="BT36" s="48">
        <f t="shared" si="80"/>
        <v>0</v>
      </c>
      <c r="BU36" s="48"/>
      <c r="BV36" s="48"/>
      <c r="BW36" s="48"/>
      <c r="BX36" s="48">
        <f t="shared" si="81"/>
        <v>0</v>
      </c>
      <c r="BY36" s="48"/>
      <c r="BZ36" s="48"/>
      <c r="CA36" s="48"/>
      <c r="CB36" s="48">
        <f t="shared" si="82"/>
        <v>0</v>
      </c>
      <c r="CC36" s="48"/>
      <c r="CD36" s="48"/>
      <c r="CE36" s="48"/>
      <c r="CF36" s="48">
        <f t="shared" si="83"/>
        <v>0</v>
      </c>
      <c r="CG36" s="48"/>
      <c r="CH36" s="48"/>
      <c r="CI36" s="48"/>
      <c r="CJ36" s="48">
        <f t="shared" si="84"/>
        <v>0</v>
      </c>
      <c r="CK36" s="48"/>
      <c r="CL36" s="48"/>
      <c r="CM36" s="48"/>
      <c r="CN36" s="48">
        <f t="shared" si="85"/>
        <v>0</v>
      </c>
      <c r="CO36" s="48"/>
      <c r="CP36" s="48"/>
      <c r="CQ36" s="48"/>
      <c r="CR36" s="48">
        <f t="shared" si="86"/>
        <v>0</v>
      </c>
      <c r="CS36" s="48"/>
      <c r="CT36" s="48"/>
      <c r="CU36" s="48"/>
      <c r="CV36" s="48">
        <f t="shared" si="87"/>
        <v>0</v>
      </c>
      <c r="CW36" s="48"/>
      <c r="CX36" s="48"/>
      <c r="CY36" s="48"/>
      <c r="CZ36" s="48">
        <f t="shared" si="88"/>
        <v>0</v>
      </c>
      <c r="DA36" s="48"/>
      <c r="DB36" s="48"/>
      <c r="DC36" s="48"/>
      <c r="DD36" s="48">
        <f t="shared" si="89"/>
        <v>0</v>
      </c>
      <c r="DE36" s="48"/>
      <c r="DF36" s="48"/>
      <c r="DG36" s="48"/>
      <c r="DH36" s="48">
        <f t="shared" si="90"/>
        <v>0</v>
      </c>
      <c r="DI36" s="48"/>
      <c r="DJ36" s="48"/>
      <c r="DK36" s="48"/>
      <c r="DL36" s="48">
        <f t="shared" si="91"/>
        <v>0</v>
      </c>
      <c r="DM36" s="48"/>
      <c r="DN36" s="48"/>
      <c r="DO36" s="48"/>
      <c r="DP36" s="48">
        <f t="shared" si="92"/>
        <v>0</v>
      </c>
      <c r="DQ36" s="48"/>
      <c r="DR36" s="48"/>
      <c r="DS36" s="48"/>
      <c r="DT36" s="48">
        <f t="shared" si="93"/>
        <v>0</v>
      </c>
      <c r="DU36" s="48"/>
      <c r="DV36" s="48"/>
      <c r="DW36" s="48"/>
      <c r="DX36" s="48">
        <f t="shared" si="94"/>
        <v>0</v>
      </c>
      <c r="DY36" s="48">
        <f t="shared" si="95"/>
        <v>0</v>
      </c>
      <c r="DZ36" s="48">
        <f t="shared" si="96"/>
        <v>0</v>
      </c>
      <c r="EA36" s="14">
        <f>D36*'MASTER SHEET'!D36</f>
        <v>0</v>
      </c>
      <c r="EB36" s="14">
        <f>H36*'MASTER SHEET'!D36</f>
        <v>0</v>
      </c>
      <c r="EC36" s="14">
        <f>L36*'MASTER SHEET'!D36</f>
        <v>0</v>
      </c>
      <c r="ED36" s="14">
        <f>P36*'MASTER SHEET'!D36</f>
        <v>0</v>
      </c>
      <c r="EE36" s="14">
        <f>T36*'MASTER SHEET'!D36</f>
        <v>0</v>
      </c>
      <c r="EF36" s="14">
        <f>X36*'MASTER SHEET'!D36</f>
        <v>0</v>
      </c>
      <c r="EG36" s="14">
        <f>AB36*'MASTER SHEET'!D36</f>
        <v>0</v>
      </c>
      <c r="EH36" s="14">
        <f>AF36*'MASTER SHEET'!D36</f>
        <v>0</v>
      </c>
      <c r="EI36" s="14">
        <f>AJ36*'MASTER SHEET'!D36</f>
        <v>0</v>
      </c>
      <c r="EJ36" s="14">
        <f>AN36*'MASTER SHEET'!D36</f>
        <v>0</v>
      </c>
      <c r="EK36" s="14">
        <f>AR36*'MASTER SHEET'!D36</f>
        <v>0</v>
      </c>
      <c r="EL36" s="14">
        <f>AV36*'MASTER SHEET'!D36</f>
        <v>0</v>
      </c>
      <c r="EM36" s="14">
        <f>AZ36*'MASTER SHEET'!D36</f>
        <v>0</v>
      </c>
      <c r="EN36" s="14">
        <f>BD36*'MASTER SHEET'!D36</f>
        <v>0</v>
      </c>
      <c r="EO36" s="14">
        <f>BH36*'MASTER SHEET'!D36</f>
        <v>0</v>
      </c>
      <c r="EP36" s="14">
        <f>BL36*'MASTER SHEET'!D36</f>
        <v>0</v>
      </c>
      <c r="EQ36" s="14">
        <f>BP36*'MASTER SHEET'!D36</f>
        <v>0</v>
      </c>
      <c r="ER36" s="14">
        <f>BT36*'MASTER SHEET'!D36</f>
        <v>0</v>
      </c>
      <c r="ES36" s="14">
        <f>BX36*'MASTER SHEET'!D36</f>
        <v>0</v>
      </c>
      <c r="ET36" s="21">
        <f>CB36*'MASTER SHEET'!D36</f>
        <v>0</v>
      </c>
      <c r="EU36" s="14">
        <f>CF36*'MASTER SHEET'!D36</f>
        <v>0</v>
      </c>
      <c r="EV36" s="14">
        <f>CJ36*'MASTER SHEET'!D36</f>
        <v>0</v>
      </c>
      <c r="EW36" s="14">
        <f>CN36*'MASTER SHEET'!D36</f>
        <v>0</v>
      </c>
      <c r="EX36" s="14">
        <f>CR36*'MASTER SHEET'!D36</f>
        <v>0</v>
      </c>
      <c r="EY36" s="14">
        <f>CR36*'MASTER SHEET'!D36</f>
        <v>0</v>
      </c>
      <c r="EZ36" s="14">
        <f>CV36*'MASTER SHEET'!D36</f>
        <v>0</v>
      </c>
      <c r="FA36" s="14">
        <f>CZ36*'MASTER SHEET'!D36</f>
        <v>0</v>
      </c>
      <c r="FB36" s="14">
        <f>DD36*'MASTER SHEET'!D36</f>
        <v>0</v>
      </c>
    </row>
    <row r="37" spans="1:158" ht="18.75" customHeight="1" x14ac:dyDescent="0.25">
      <c r="A37" s="43">
        <f>'MASTER SHEET'!A37</f>
        <v>35</v>
      </c>
      <c r="B37" s="49" t="str">
        <f>'MASTER SHEET'!B37</f>
        <v>VALVE COVER</v>
      </c>
      <c r="C37" s="86">
        <f>'MASTER SHEET'!C37</f>
        <v>5041697</v>
      </c>
      <c r="D37" s="51"/>
      <c r="E37" s="48"/>
      <c r="F37" s="48"/>
      <c r="G37" s="48"/>
      <c r="H37" s="48">
        <f t="shared" si="64"/>
        <v>0</v>
      </c>
      <c r="I37" s="28"/>
      <c r="J37" s="28"/>
      <c r="K37" s="65"/>
      <c r="L37" s="48">
        <f t="shared" si="65"/>
        <v>0</v>
      </c>
      <c r="M37" s="48"/>
      <c r="N37" s="48"/>
      <c r="O37" s="48"/>
      <c r="P37" s="48">
        <f t="shared" si="66"/>
        <v>0</v>
      </c>
      <c r="Q37" s="48"/>
      <c r="R37" s="48"/>
      <c r="S37" s="48"/>
      <c r="T37" s="48">
        <f t="shared" si="67"/>
        <v>0</v>
      </c>
      <c r="U37" s="48">
        <v>0</v>
      </c>
      <c r="V37" s="48"/>
      <c r="W37" s="48"/>
      <c r="X37" s="48">
        <f t="shared" si="68"/>
        <v>0</v>
      </c>
      <c r="Y37" s="48"/>
      <c r="Z37" s="48"/>
      <c r="AA37" s="48"/>
      <c r="AB37" s="48">
        <f t="shared" si="69"/>
        <v>0</v>
      </c>
      <c r="AC37" s="48"/>
      <c r="AD37" s="48"/>
      <c r="AE37" s="48"/>
      <c r="AF37" s="48">
        <f t="shared" si="70"/>
        <v>0</v>
      </c>
      <c r="AG37" s="48"/>
      <c r="AH37" s="48"/>
      <c r="AI37" s="48"/>
      <c r="AJ37" s="48">
        <f t="shared" si="71"/>
        <v>0</v>
      </c>
      <c r="AK37" s="48"/>
      <c r="AL37" s="48"/>
      <c r="AM37" s="48"/>
      <c r="AN37" s="48">
        <f t="shared" si="72"/>
        <v>0</v>
      </c>
      <c r="AO37" s="48"/>
      <c r="AP37" s="48"/>
      <c r="AQ37" s="48"/>
      <c r="AR37" s="48">
        <f t="shared" si="73"/>
        <v>0</v>
      </c>
      <c r="AS37" s="48"/>
      <c r="AT37" s="48"/>
      <c r="AU37" s="48"/>
      <c r="AV37" s="48">
        <f t="shared" si="74"/>
        <v>0</v>
      </c>
      <c r="AW37" s="48"/>
      <c r="AX37" s="48"/>
      <c r="AY37" s="48"/>
      <c r="AZ37" s="48">
        <f t="shared" si="75"/>
        <v>0</v>
      </c>
      <c r="BA37" s="48"/>
      <c r="BB37" s="48"/>
      <c r="BC37" s="48"/>
      <c r="BD37" s="48">
        <f t="shared" si="76"/>
        <v>0</v>
      </c>
      <c r="BE37" s="48"/>
      <c r="BF37" s="48"/>
      <c r="BG37" s="48"/>
      <c r="BH37" s="48">
        <f t="shared" si="77"/>
        <v>0</v>
      </c>
      <c r="BI37" s="48"/>
      <c r="BJ37" s="48"/>
      <c r="BK37" s="48"/>
      <c r="BL37" s="48">
        <f t="shared" si="78"/>
        <v>0</v>
      </c>
      <c r="BM37" s="48"/>
      <c r="BN37" s="48"/>
      <c r="BO37" s="48"/>
      <c r="BP37" s="48">
        <f t="shared" si="79"/>
        <v>0</v>
      </c>
      <c r="BQ37" s="48"/>
      <c r="BR37" s="48"/>
      <c r="BS37" s="48"/>
      <c r="BT37" s="48">
        <f t="shared" si="80"/>
        <v>0</v>
      </c>
      <c r="BU37" s="48"/>
      <c r="BV37" s="48"/>
      <c r="BW37" s="48"/>
      <c r="BX37" s="48">
        <f t="shared" si="81"/>
        <v>0</v>
      </c>
      <c r="BY37" s="48"/>
      <c r="BZ37" s="48"/>
      <c r="CA37" s="48"/>
      <c r="CB37" s="48">
        <f t="shared" si="82"/>
        <v>0</v>
      </c>
      <c r="CC37" s="48"/>
      <c r="CD37" s="48"/>
      <c r="CE37" s="48"/>
      <c r="CF37" s="48">
        <f t="shared" si="83"/>
        <v>0</v>
      </c>
      <c r="CG37" s="48"/>
      <c r="CH37" s="48"/>
      <c r="CI37" s="48"/>
      <c r="CJ37" s="48">
        <f t="shared" si="84"/>
        <v>0</v>
      </c>
      <c r="CK37" s="48"/>
      <c r="CL37" s="48"/>
      <c r="CM37" s="48"/>
      <c r="CN37" s="48">
        <f t="shared" si="85"/>
        <v>0</v>
      </c>
      <c r="CO37" s="48"/>
      <c r="CP37" s="48"/>
      <c r="CQ37" s="48"/>
      <c r="CR37" s="48">
        <f t="shared" si="86"/>
        <v>0</v>
      </c>
      <c r="CS37" s="48"/>
      <c r="CT37" s="48"/>
      <c r="CU37" s="48"/>
      <c r="CV37" s="48">
        <f t="shared" si="87"/>
        <v>0</v>
      </c>
      <c r="CW37" s="48"/>
      <c r="CX37" s="48"/>
      <c r="CY37" s="48"/>
      <c r="CZ37" s="48">
        <f t="shared" si="88"/>
        <v>0</v>
      </c>
      <c r="DA37" s="48"/>
      <c r="DB37" s="48"/>
      <c r="DC37" s="48"/>
      <c r="DD37" s="48">
        <f t="shared" si="89"/>
        <v>0</v>
      </c>
      <c r="DE37" s="48"/>
      <c r="DF37" s="48"/>
      <c r="DG37" s="48"/>
      <c r="DH37" s="48">
        <f t="shared" si="90"/>
        <v>0</v>
      </c>
      <c r="DI37" s="48"/>
      <c r="DJ37" s="48"/>
      <c r="DK37" s="48"/>
      <c r="DL37" s="48">
        <f t="shared" si="91"/>
        <v>0</v>
      </c>
      <c r="DM37" s="48"/>
      <c r="DN37" s="48"/>
      <c r="DO37" s="48"/>
      <c r="DP37" s="48">
        <f t="shared" si="92"/>
        <v>0</v>
      </c>
      <c r="DQ37" s="48"/>
      <c r="DR37" s="48"/>
      <c r="DS37" s="48"/>
      <c r="DT37" s="48">
        <f t="shared" si="93"/>
        <v>0</v>
      </c>
      <c r="DU37" s="48"/>
      <c r="DV37" s="48"/>
      <c r="DW37" s="48"/>
      <c r="DX37" s="48">
        <f t="shared" si="94"/>
        <v>0</v>
      </c>
      <c r="DY37" s="48">
        <f t="shared" si="95"/>
        <v>0</v>
      </c>
      <c r="DZ37" s="48">
        <f t="shared" si="96"/>
        <v>0</v>
      </c>
      <c r="EA37" s="14">
        <f>D37*'MASTER SHEET'!D37</f>
        <v>0</v>
      </c>
      <c r="EB37" s="14">
        <f>H37*'MASTER SHEET'!D37</f>
        <v>0</v>
      </c>
      <c r="EC37" s="14">
        <f>L37*'MASTER SHEET'!D37</f>
        <v>0</v>
      </c>
      <c r="ED37" s="14">
        <f>P37*'MASTER SHEET'!D37</f>
        <v>0</v>
      </c>
      <c r="EE37" s="14">
        <f>T37*'MASTER SHEET'!D37</f>
        <v>0</v>
      </c>
      <c r="EF37" s="14">
        <f>X37*'MASTER SHEET'!D37</f>
        <v>0</v>
      </c>
      <c r="EG37" s="14">
        <f>AB37*'MASTER SHEET'!D37</f>
        <v>0</v>
      </c>
      <c r="EH37" s="14">
        <f>AF37*'MASTER SHEET'!D37</f>
        <v>0</v>
      </c>
      <c r="EI37" s="14">
        <f>AJ37*'MASTER SHEET'!D37</f>
        <v>0</v>
      </c>
      <c r="EJ37" s="14">
        <f>AN37*'MASTER SHEET'!D37</f>
        <v>0</v>
      </c>
      <c r="EK37" s="14">
        <f>AR37*'MASTER SHEET'!D37</f>
        <v>0</v>
      </c>
      <c r="EL37" s="14">
        <f>AV37*'MASTER SHEET'!D37</f>
        <v>0</v>
      </c>
      <c r="EM37" s="14">
        <f>AZ37*'MASTER SHEET'!D37</f>
        <v>0</v>
      </c>
      <c r="EN37" s="14">
        <f>BD37*'MASTER SHEET'!D37</f>
        <v>0</v>
      </c>
      <c r="EO37" s="14">
        <f>BH37*'MASTER SHEET'!D37</f>
        <v>0</v>
      </c>
      <c r="EP37" s="14">
        <f>BL37*'MASTER SHEET'!D37</f>
        <v>0</v>
      </c>
      <c r="EQ37" s="14">
        <f>BP37*'MASTER SHEET'!D37</f>
        <v>0</v>
      </c>
      <c r="ER37" s="14">
        <f>BT37*'MASTER SHEET'!D37</f>
        <v>0</v>
      </c>
      <c r="ES37" s="14">
        <f>BX37*'MASTER SHEET'!D37</f>
        <v>0</v>
      </c>
      <c r="ET37" s="21">
        <f>CB37*'MASTER SHEET'!D37</f>
        <v>0</v>
      </c>
      <c r="EU37" s="14">
        <f>CF37*'MASTER SHEET'!D37</f>
        <v>0</v>
      </c>
      <c r="EV37" s="14">
        <f>CJ37*'MASTER SHEET'!D37</f>
        <v>0</v>
      </c>
      <c r="EW37" s="14">
        <f>CN37*'MASTER SHEET'!D37</f>
        <v>0</v>
      </c>
      <c r="EX37" s="14">
        <f>CR37*'MASTER SHEET'!D37</f>
        <v>0</v>
      </c>
      <c r="EY37" s="14">
        <f>CR37*'MASTER SHEET'!D37</f>
        <v>0</v>
      </c>
      <c r="EZ37" s="14">
        <f>CV37*'MASTER SHEET'!D37</f>
        <v>0</v>
      </c>
      <c r="FA37" s="14">
        <f>CZ37*'MASTER SHEET'!D37</f>
        <v>0</v>
      </c>
      <c r="FB37" s="14">
        <f>DD37*'MASTER SHEET'!D37</f>
        <v>0</v>
      </c>
    </row>
    <row r="38" spans="1:158" ht="18.75" customHeight="1" x14ac:dyDescent="0.25">
      <c r="A38" s="43">
        <f>'MASTER SHEET'!A38</f>
        <v>36</v>
      </c>
      <c r="B38" s="49" t="str">
        <f>'MASTER SHEET'!B38</f>
        <v xml:space="preserve">BASE. HOUSING </v>
      </c>
      <c r="C38" s="86">
        <f>'MASTER SHEET'!C38</f>
        <v>5027236</v>
      </c>
      <c r="D38" s="51"/>
      <c r="E38" s="48"/>
      <c r="F38" s="48"/>
      <c r="G38" s="48"/>
      <c r="H38" s="48">
        <f t="shared" si="64"/>
        <v>0</v>
      </c>
      <c r="I38" s="28"/>
      <c r="J38" s="28"/>
      <c r="K38" s="65"/>
      <c r="L38" s="48">
        <f t="shared" si="65"/>
        <v>0</v>
      </c>
      <c r="M38" s="48"/>
      <c r="N38" s="48"/>
      <c r="O38" s="48"/>
      <c r="P38" s="48">
        <f t="shared" si="66"/>
        <v>0</v>
      </c>
      <c r="Q38" s="48"/>
      <c r="R38" s="48"/>
      <c r="S38" s="48"/>
      <c r="T38" s="48">
        <f t="shared" si="67"/>
        <v>0</v>
      </c>
      <c r="U38" s="48">
        <v>0</v>
      </c>
      <c r="V38" s="48"/>
      <c r="W38" s="48"/>
      <c r="X38" s="48">
        <f t="shared" si="68"/>
        <v>0</v>
      </c>
      <c r="Y38" s="48"/>
      <c r="Z38" s="48"/>
      <c r="AA38" s="48"/>
      <c r="AB38" s="48">
        <f t="shared" si="69"/>
        <v>0</v>
      </c>
      <c r="AC38" s="48"/>
      <c r="AD38" s="48"/>
      <c r="AE38" s="48"/>
      <c r="AF38" s="48">
        <f t="shared" si="70"/>
        <v>0</v>
      </c>
      <c r="AG38" s="48"/>
      <c r="AH38" s="48"/>
      <c r="AI38" s="48"/>
      <c r="AJ38" s="48">
        <f t="shared" si="71"/>
        <v>0</v>
      </c>
      <c r="AK38" s="48"/>
      <c r="AL38" s="48"/>
      <c r="AM38" s="48"/>
      <c r="AN38" s="48">
        <f t="shared" si="72"/>
        <v>0</v>
      </c>
      <c r="AO38" s="48"/>
      <c r="AP38" s="48"/>
      <c r="AQ38" s="48"/>
      <c r="AR38" s="48">
        <f t="shared" si="73"/>
        <v>0</v>
      </c>
      <c r="AS38" s="48"/>
      <c r="AT38" s="48"/>
      <c r="AU38" s="48"/>
      <c r="AV38" s="48">
        <f t="shared" si="74"/>
        <v>0</v>
      </c>
      <c r="AW38" s="48"/>
      <c r="AX38" s="48"/>
      <c r="AY38" s="48"/>
      <c r="AZ38" s="48">
        <f t="shared" si="75"/>
        <v>0</v>
      </c>
      <c r="BA38" s="48"/>
      <c r="BB38" s="48"/>
      <c r="BC38" s="48"/>
      <c r="BD38" s="48">
        <f t="shared" si="76"/>
        <v>0</v>
      </c>
      <c r="BE38" s="48"/>
      <c r="BF38" s="48"/>
      <c r="BG38" s="48"/>
      <c r="BH38" s="48">
        <f t="shared" si="77"/>
        <v>0</v>
      </c>
      <c r="BI38" s="48"/>
      <c r="BJ38" s="48"/>
      <c r="BK38" s="48"/>
      <c r="BL38" s="48">
        <f t="shared" si="78"/>
        <v>0</v>
      </c>
      <c r="BM38" s="48"/>
      <c r="BN38" s="48"/>
      <c r="BO38" s="48"/>
      <c r="BP38" s="48">
        <f t="shared" si="79"/>
        <v>0</v>
      </c>
      <c r="BQ38" s="48"/>
      <c r="BR38" s="48"/>
      <c r="BS38" s="48"/>
      <c r="BT38" s="48">
        <f t="shared" si="80"/>
        <v>0</v>
      </c>
      <c r="BU38" s="48"/>
      <c r="BV38" s="48"/>
      <c r="BW38" s="48"/>
      <c r="BX38" s="48">
        <f t="shared" si="81"/>
        <v>0</v>
      </c>
      <c r="BY38" s="48"/>
      <c r="BZ38" s="48"/>
      <c r="CA38" s="48"/>
      <c r="CB38" s="48">
        <f t="shared" si="82"/>
        <v>0</v>
      </c>
      <c r="CC38" s="48"/>
      <c r="CD38" s="48"/>
      <c r="CE38" s="48"/>
      <c r="CF38" s="48">
        <f t="shared" si="83"/>
        <v>0</v>
      </c>
      <c r="CG38" s="48"/>
      <c r="CH38" s="48"/>
      <c r="CI38" s="48"/>
      <c r="CJ38" s="48">
        <f t="shared" si="84"/>
        <v>0</v>
      </c>
      <c r="CK38" s="48"/>
      <c r="CL38" s="48"/>
      <c r="CM38" s="48"/>
      <c r="CN38" s="48">
        <f t="shared" si="85"/>
        <v>0</v>
      </c>
      <c r="CO38" s="48"/>
      <c r="CP38" s="48"/>
      <c r="CQ38" s="48"/>
      <c r="CR38" s="48">
        <f t="shared" si="86"/>
        <v>0</v>
      </c>
      <c r="CS38" s="48"/>
      <c r="CT38" s="48"/>
      <c r="CU38" s="48"/>
      <c r="CV38" s="48">
        <f t="shared" si="87"/>
        <v>0</v>
      </c>
      <c r="CW38" s="48"/>
      <c r="CX38" s="48"/>
      <c r="CY38" s="48"/>
      <c r="CZ38" s="48">
        <f t="shared" si="88"/>
        <v>0</v>
      </c>
      <c r="DA38" s="48"/>
      <c r="DB38" s="48"/>
      <c r="DC38" s="48"/>
      <c r="DD38" s="48">
        <f t="shared" si="89"/>
        <v>0</v>
      </c>
      <c r="DE38" s="48"/>
      <c r="DF38" s="48"/>
      <c r="DG38" s="48"/>
      <c r="DH38" s="48">
        <f t="shared" si="90"/>
        <v>0</v>
      </c>
      <c r="DI38" s="48"/>
      <c r="DJ38" s="48"/>
      <c r="DK38" s="48"/>
      <c r="DL38" s="48">
        <f t="shared" si="91"/>
        <v>0</v>
      </c>
      <c r="DM38" s="48"/>
      <c r="DN38" s="48"/>
      <c r="DO38" s="48"/>
      <c r="DP38" s="48">
        <f t="shared" si="92"/>
        <v>0</v>
      </c>
      <c r="DQ38" s="48"/>
      <c r="DR38" s="48"/>
      <c r="DS38" s="48"/>
      <c r="DT38" s="48">
        <f t="shared" si="93"/>
        <v>0</v>
      </c>
      <c r="DU38" s="48"/>
      <c r="DV38" s="48"/>
      <c r="DW38" s="48"/>
      <c r="DX38" s="48">
        <f t="shared" si="94"/>
        <v>0</v>
      </c>
      <c r="DY38" s="48">
        <f t="shared" si="95"/>
        <v>0</v>
      </c>
      <c r="DZ38" s="48">
        <f t="shared" si="96"/>
        <v>0</v>
      </c>
      <c r="EA38" s="14">
        <f>D38*'MASTER SHEET'!D38</f>
        <v>0</v>
      </c>
      <c r="EB38" s="14">
        <f>H38*'MASTER SHEET'!D38</f>
        <v>0</v>
      </c>
      <c r="EC38" s="14">
        <f>L38*'MASTER SHEET'!D38</f>
        <v>0</v>
      </c>
      <c r="ED38" s="14">
        <f>P38*'MASTER SHEET'!D38</f>
        <v>0</v>
      </c>
      <c r="EE38" s="14">
        <f>T38*'MASTER SHEET'!D38</f>
        <v>0</v>
      </c>
      <c r="EF38" s="14">
        <f>X38*'MASTER SHEET'!D38</f>
        <v>0</v>
      </c>
      <c r="EG38" s="14">
        <f>AB38*'MASTER SHEET'!D38</f>
        <v>0</v>
      </c>
      <c r="EH38" s="14">
        <f>AF38*'MASTER SHEET'!D38</f>
        <v>0</v>
      </c>
      <c r="EI38" s="14">
        <f>AJ38*'MASTER SHEET'!D38</f>
        <v>0</v>
      </c>
      <c r="EJ38" s="14">
        <f>AN38*'MASTER SHEET'!D38</f>
        <v>0</v>
      </c>
      <c r="EK38" s="14">
        <f>AR38*'MASTER SHEET'!D38</f>
        <v>0</v>
      </c>
      <c r="EL38" s="14">
        <f>AV38*'MASTER SHEET'!D38</f>
        <v>0</v>
      </c>
      <c r="EM38" s="14">
        <f>AZ38*'MASTER SHEET'!D38</f>
        <v>0</v>
      </c>
      <c r="EN38" s="14">
        <f>BD38*'MASTER SHEET'!D38</f>
        <v>0</v>
      </c>
      <c r="EO38" s="14">
        <f>BH38*'MASTER SHEET'!D38</f>
        <v>0</v>
      </c>
      <c r="EP38" s="14">
        <f>BL38*'MASTER SHEET'!D38</f>
        <v>0</v>
      </c>
      <c r="EQ38" s="14">
        <f>BP38*'MASTER SHEET'!D38</f>
        <v>0</v>
      </c>
      <c r="ER38" s="14">
        <f>BT38*'MASTER SHEET'!D38</f>
        <v>0</v>
      </c>
      <c r="ES38" s="14">
        <f>BX38*'MASTER SHEET'!D38</f>
        <v>0</v>
      </c>
      <c r="ET38" s="21">
        <f>CB38*'MASTER SHEET'!D38</f>
        <v>0</v>
      </c>
      <c r="EU38" s="14">
        <f>CF38*'MASTER SHEET'!D38</f>
        <v>0</v>
      </c>
      <c r="EV38" s="14">
        <f>CJ38*'MASTER SHEET'!D38</f>
        <v>0</v>
      </c>
      <c r="EW38" s="14">
        <f>CN38*'MASTER SHEET'!D38</f>
        <v>0</v>
      </c>
      <c r="EX38" s="14">
        <f>CR38*'MASTER SHEET'!D38</f>
        <v>0</v>
      </c>
      <c r="EY38" s="14">
        <f>CR38*'MASTER SHEET'!D38</f>
        <v>0</v>
      </c>
      <c r="EZ38" s="14">
        <f>CV38*'MASTER SHEET'!D38</f>
        <v>0</v>
      </c>
      <c r="FA38" s="14">
        <f>CZ38*'MASTER SHEET'!D38</f>
        <v>0</v>
      </c>
      <c r="FB38" s="14">
        <f>DD38*'MASTER SHEET'!D38</f>
        <v>0</v>
      </c>
    </row>
    <row r="39" spans="1:158" ht="18.75" customHeight="1" x14ac:dyDescent="0.25">
      <c r="A39" s="43">
        <f>'MASTER SHEET'!A39</f>
        <v>37</v>
      </c>
      <c r="B39" s="49" t="str">
        <f>'MASTER SHEET'!B39</f>
        <v>EICHER COVER PLATE</v>
      </c>
      <c r="C39" s="86">
        <f>'MASTER SHEET'!C39</f>
        <v>5027239</v>
      </c>
      <c r="D39" s="51"/>
      <c r="E39" s="48">
        <v>691</v>
      </c>
      <c r="F39" s="48">
        <v>679</v>
      </c>
      <c r="G39" s="48">
        <v>12</v>
      </c>
      <c r="H39" s="48">
        <f t="shared" si="64"/>
        <v>0</v>
      </c>
      <c r="I39" s="28"/>
      <c r="J39" s="28"/>
      <c r="K39" s="65"/>
      <c r="L39" s="48">
        <f t="shared" si="65"/>
        <v>0</v>
      </c>
      <c r="M39" s="48"/>
      <c r="N39" s="48"/>
      <c r="O39" s="48"/>
      <c r="P39" s="48">
        <f t="shared" si="66"/>
        <v>0</v>
      </c>
      <c r="Q39" s="48"/>
      <c r="R39" s="48"/>
      <c r="S39" s="48"/>
      <c r="T39" s="48">
        <f t="shared" si="67"/>
        <v>0</v>
      </c>
      <c r="U39" s="48">
        <v>0</v>
      </c>
      <c r="V39" s="48"/>
      <c r="W39" s="48"/>
      <c r="X39" s="48">
        <f t="shared" si="68"/>
        <v>0</v>
      </c>
      <c r="Y39" s="48"/>
      <c r="Z39" s="48"/>
      <c r="AA39" s="48"/>
      <c r="AB39" s="48">
        <f t="shared" si="69"/>
        <v>0</v>
      </c>
      <c r="AC39" s="48"/>
      <c r="AD39" s="48"/>
      <c r="AE39" s="48"/>
      <c r="AF39" s="48">
        <f t="shared" si="70"/>
        <v>0</v>
      </c>
      <c r="AG39" s="48"/>
      <c r="AH39" s="48"/>
      <c r="AI39" s="48"/>
      <c r="AJ39" s="48">
        <f t="shared" si="71"/>
        <v>0</v>
      </c>
      <c r="AK39" s="48"/>
      <c r="AL39" s="48"/>
      <c r="AM39" s="48"/>
      <c r="AN39" s="48">
        <f t="shared" si="72"/>
        <v>0</v>
      </c>
      <c r="AO39" s="48"/>
      <c r="AP39" s="48"/>
      <c r="AQ39" s="48"/>
      <c r="AR39" s="48">
        <f t="shared" si="73"/>
        <v>0</v>
      </c>
      <c r="AS39" s="48"/>
      <c r="AT39" s="48"/>
      <c r="AU39" s="48"/>
      <c r="AV39" s="48">
        <f t="shared" si="74"/>
        <v>0</v>
      </c>
      <c r="AW39" s="48"/>
      <c r="AX39" s="48"/>
      <c r="AY39" s="48"/>
      <c r="AZ39" s="48">
        <f t="shared" si="75"/>
        <v>0</v>
      </c>
      <c r="BA39" s="48"/>
      <c r="BB39" s="48"/>
      <c r="BC39" s="48"/>
      <c r="BD39" s="48">
        <f t="shared" si="76"/>
        <v>0</v>
      </c>
      <c r="BE39" s="48"/>
      <c r="BF39" s="48"/>
      <c r="BG39" s="48"/>
      <c r="BH39" s="48">
        <f t="shared" si="77"/>
        <v>0</v>
      </c>
      <c r="BI39" s="48"/>
      <c r="BJ39" s="48"/>
      <c r="BK39" s="48"/>
      <c r="BL39" s="48">
        <f t="shared" si="78"/>
        <v>0</v>
      </c>
      <c r="BM39" s="48"/>
      <c r="BN39" s="48"/>
      <c r="BO39" s="48"/>
      <c r="BP39" s="48">
        <f t="shared" si="79"/>
        <v>0</v>
      </c>
      <c r="BQ39" s="48"/>
      <c r="BR39" s="48"/>
      <c r="BS39" s="48"/>
      <c r="BT39" s="48">
        <f t="shared" si="80"/>
        <v>0</v>
      </c>
      <c r="BU39" s="48"/>
      <c r="BV39" s="48"/>
      <c r="BW39" s="48"/>
      <c r="BX39" s="48">
        <f t="shared" si="81"/>
        <v>0</v>
      </c>
      <c r="BY39" s="48"/>
      <c r="BZ39" s="48"/>
      <c r="CA39" s="48"/>
      <c r="CB39" s="48">
        <f t="shared" si="82"/>
        <v>0</v>
      </c>
      <c r="CC39" s="48"/>
      <c r="CD39" s="48"/>
      <c r="CE39" s="48"/>
      <c r="CF39" s="48">
        <f t="shared" si="83"/>
        <v>0</v>
      </c>
      <c r="CG39" s="48"/>
      <c r="CH39" s="48"/>
      <c r="CI39" s="48"/>
      <c r="CJ39" s="48">
        <f t="shared" si="84"/>
        <v>0</v>
      </c>
      <c r="CK39" s="48"/>
      <c r="CL39" s="48"/>
      <c r="CM39" s="48"/>
      <c r="CN39" s="48">
        <f t="shared" si="85"/>
        <v>0</v>
      </c>
      <c r="CO39" s="48"/>
      <c r="CP39" s="48"/>
      <c r="CQ39" s="48"/>
      <c r="CR39" s="48">
        <f t="shared" si="86"/>
        <v>0</v>
      </c>
      <c r="CS39" s="48"/>
      <c r="CT39" s="48"/>
      <c r="CU39" s="48"/>
      <c r="CV39" s="48">
        <f t="shared" si="87"/>
        <v>0</v>
      </c>
      <c r="CW39" s="48"/>
      <c r="CX39" s="48"/>
      <c r="CY39" s="48"/>
      <c r="CZ39" s="48">
        <f t="shared" si="88"/>
        <v>0</v>
      </c>
      <c r="DA39" s="48"/>
      <c r="DB39" s="48"/>
      <c r="DC39" s="48"/>
      <c r="DD39" s="48">
        <f t="shared" si="89"/>
        <v>0</v>
      </c>
      <c r="DE39" s="48"/>
      <c r="DF39" s="48"/>
      <c r="DG39" s="48"/>
      <c r="DH39" s="48">
        <f t="shared" si="90"/>
        <v>0</v>
      </c>
      <c r="DI39" s="48"/>
      <c r="DJ39" s="48"/>
      <c r="DK39" s="48"/>
      <c r="DL39" s="48">
        <f t="shared" si="91"/>
        <v>0</v>
      </c>
      <c r="DM39" s="48"/>
      <c r="DN39" s="48"/>
      <c r="DO39" s="48"/>
      <c r="DP39" s="48">
        <f t="shared" si="92"/>
        <v>0</v>
      </c>
      <c r="DQ39" s="48"/>
      <c r="DR39" s="48"/>
      <c r="DS39" s="48"/>
      <c r="DT39" s="48">
        <f t="shared" si="93"/>
        <v>0</v>
      </c>
      <c r="DU39" s="48"/>
      <c r="DV39" s="48"/>
      <c r="DW39" s="48"/>
      <c r="DX39" s="48">
        <f t="shared" si="94"/>
        <v>0</v>
      </c>
      <c r="DY39" s="48">
        <f t="shared" si="95"/>
        <v>691</v>
      </c>
      <c r="DZ39" s="48">
        <f t="shared" si="96"/>
        <v>12</v>
      </c>
      <c r="EA39" s="14">
        <f>D39*'MASTER SHEET'!D39</f>
        <v>0</v>
      </c>
      <c r="EB39" s="14">
        <f>H39*'MASTER SHEET'!D39</f>
        <v>0</v>
      </c>
      <c r="EC39" s="14">
        <f>L39*'MASTER SHEET'!D39</f>
        <v>0</v>
      </c>
      <c r="ED39" s="14">
        <f>P39*'MASTER SHEET'!D39</f>
        <v>0</v>
      </c>
      <c r="EE39" s="14">
        <f>T39*'MASTER SHEET'!D39</f>
        <v>0</v>
      </c>
      <c r="EF39" s="14">
        <f>X39*'MASTER SHEET'!D39</f>
        <v>0</v>
      </c>
      <c r="EG39" s="14">
        <f>AB39*'MASTER SHEET'!D39</f>
        <v>0</v>
      </c>
      <c r="EH39" s="14">
        <f>AF39*'MASTER SHEET'!D39</f>
        <v>0</v>
      </c>
      <c r="EI39" s="14">
        <f>AJ39*'MASTER SHEET'!D39</f>
        <v>0</v>
      </c>
      <c r="EJ39" s="14">
        <f>AN39*'MASTER SHEET'!D39</f>
        <v>0</v>
      </c>
      <c r="EK39" s="14">
        <f>AR39*'MASTER SHEET'!D39</f>
        <v>0</v>
      </c>
      <c r="EL39" s="14">
        <f>AV39*'MASTER SHEET'!D39</f>
        <v>0</v>
      </c>
      <c r="EM39" s="14">
        <f>AZ39*'MASTER SHEET'!D39</f>
        <v>0</v>
      </c>
      <c r="EN39" s="14">
        <f>BD39*'MASTER SHEET'!D39</f>
        <v>0</v>
      </c>
      <c r="EO39" s="14">
        <f>BH39*'MASTER SHEET'!D39</f>
        <v>0</v>
      </c>
      <c r="EP39" s="14">
        <f>BL39*'MASTER SHEET'!D39</f>
        <v>0</v>
      </c>
      <c r="EQ39" s="14">
        <f>BP39*'MASTER SHEET'!D39</f>
        <v>0</v>
      </c>
      <c r="ER39" s="14">
        <f>BT39*'MASTER SHEET'!D39</f>
        <v>0</v>
      </c>
      <c r="ES39" s="14">
        <f>BX39*'MASTER SHEET'!D39</f>
        <v>0</v>
      </c>
      <c r="ET39" s="21">
        <f>CB39*'MASTER SHEET'!D39</f>
        <v>0</v>
      </c>
      <c r="EU39" s="14">
        <f>CF39*'MASTER SHEET'!D39</f>
        <v>0</v>
      </c>
      <c r="EV39" s="14">
        <f>CJ39*'MASTER SHEET'!D39</f>
        <v>0</v>
      </c>
      <c r="EW39" s="14">
        <f>CN39*'MASTER SHEET'!D39</f>
        <v>0</v>
      </c>
      <c r="EX39" s="14">
        <f>CR39*'MASTER SHEET'!D39</f>
        <v>0</v>
      </c>
      <c r="EY39" s="14">
        <f>CR39*'MASTER SHEET'!D39</f>
        <v>0</v>
      </c>
      <c r="EZ39" s="14">
        <f>CV39*'MASTER SHEET'!D39</f>
        <v>0</v>
      </c>
      <c r="FA39" s="14">
        <f>CZ39*'MASTER SHEET'!D39</f>
        <v>0</v>
      </c>
      <c r="FB39" s="14">
        <f>DD39*'MASTER SHEET'!D39</f>
        <v>0</v>
      </c>
    </row>
    <row r="40" spans="1:158" ht="18.75" customHeight="1" x14ac:dyDescent="0.25">
      <c r="A40" s="43">
        <f>'MASTER SHEET'!A40</f>
        <v>38</v>
      </c>
      <c r="B40" s="49" t="str">
        <f>'MASTER SHEET'!B40</f>
        <v>PIPE ASY PLASTIC</v>
      </c>
      <c r="C40" s="86">
        <f>'MASTER SHEET'!C40</f>
        <v>5027831</v>
      </c>
      <c r="D40" s="51"/>
      <c r="E40" s="48"/>
      <c r="F40" s="48"/>
      <c r="G40" s="48"/>
      <c r="H40" s="48">
        <f t="shared" si="64"/>
        <v>0</v>
      </c>
      <c r="I40" s="28"/>
      <c r="J40" s="28"/>
      <c r="K40" s="65"/>
      <c r="L40" s="48">
        <f t="shared" si="65"/>
        <v>0</v>
      </c>
      <c r="M40" s="48"/>
      <c r="N40" s="48"/>
      <c r="O40" s="48"/>
      <c r="P40" s="48">
        <f t="shared" si="66"/>
        <v>0</v>
      </c>
      <c r="Q40" s="48"/>
      <c r="R40" s="48"/>
      <c r="S40" s="48"/>
      <c r="T40" s="48">
        <f t="shared" si="67"/>
        <v>0</v>
      </c>
      <c r="U40" s="48">
        <v>0</v>
      </c>
      <c r="V40" s="48"/>
      <c r="W40" s="48"/>
      <c r="X40" s="48">
        <f t="shared" si="68"/>
        <v>0</v>
      </c>
      <c r="Y40" s="48"/>
      <c r="Z40" s="48"/>
      <c r="AA40" s="48"/>
      <c r="AB40" s="48">
        <f t="shared" si="69"/>
        <v>0</v>
      </c>
      <c r="AC40" s="48"/>
      <c r="AD40" s="48"/>
      <c r="AE40" s="48"/>
      <c r="AF40" s="48">
        <f t="shared" si="70"/>
        <v>0</v>
      </c>
      <c r="AG40" s="48"/>
      <c r="AH40" s="48"/>
      <c r="AI40" s="48"/>
      <c r="AJ40" s="48">
        <f t="shared" si="71"/>
        <v>0</v>
      </c>
      <c r="AK40" s="48"/>
      <c r="AL40" s="48"/>
      <c r="AM40" s="48"/>
      <c r="AN40" s="48">
        <f t="shared" si="72"/>
        <v>0</v>
      </c>
      <c r="AO40" s="48"/>
      <c r="AP40" s="48"/>
      <c r="AQ40" s="48"/>
      <c r="AR40" s="48">
        <f t="shared" si="73"/>
        <v>0</v>
      </c>
      <c r="AS40" s="48"/>
      <c r="AT40" s="48"/>
      <c r="AU40" s="48"/>
      <c r="AV40" s="48">
        <f t="shared" si="74"/>
        <v>0</v>
      </c>
      <c r="AW40" s="48"/>
      <c r="AX40" s="48"/>
      <c r="AY40" s="48"/>
      <c r="AZ40" s="48">
        <f t="shared" si="75"/>
        <v>0</v>
      </c>
      <c r="BA40" s="48"/>
      <c r="BB40" s="48"/>
      <c r="BC40" s="48"/>
      <c r="BD40" s="48">
        <f t="shared" si="76"/>
        <v>0</v>
      </c>
      <c r="BE40" s="48"/>
      <c r="BF40" s="48"/>
      <c r="BG40" s="48"/>
      <c r="BH40" s="48">
        <f t="shared" si="77"/>
        <v>0</v>
      </c>
      <c r="BI40" s="48"/>
      <c r="BJ40" s="48"/>
      <c r="BK40" s="48"/>
      <c r="BL40" s="48">
        <f t="shared" si="78"/>
        <v>0</v>
      </c>
      <c r="BM40" s="48"/>
      <c r="BN40" s="48"/>
      <c r="BO40" s="48"/>
      <c r="BP40" s="48">
        <f t="shared" si="79"/>
        <v>0</v>
      </c>
      <c r="BQ40" s="48"/>
      <c r="BR40" s="48"/>
      <c r="BS40" s="48"/>
      <c r="BT40" s="48">
        <f t="shared" si="80"/>
        <v>0</v>
      </c>
      <c r="BU40" s="48"/>
      <c r="BV40" s="48"/>
      <c r="BW40" s="48"/>
      <c r="BX40" s="48">
        <f t="shared" si="81"/>
        <v>0</v>
      </c>
      <c r="BY40" s="48"/>
      <c r="BZ40" s="48"/>
      <c r="CA40" s="48"/>
      <c r="CB40" s="48">
        <f t="shared" si="82"/>
        <v>0</v>
      </c>
      <c r="CC40" s="48"/>
      <c r="CD40" s="48"/>
      <c r="CE40" s="48"/>
      <c r="CF40" s="48">
        <f t="shared" si="83"/>
        <v>0</v>
      </c>
      <c r="CG40" s="48"/>
      <c r="CH40" s="48"/>
      <c r="CI40" s="48"/>
      <c r="CJ40" s="48">
        <f t="shared" si="84"/>
        <v>0</v>
      </c>
      <c r="CK40" s="48"/>
      <c r="CL40" s="48"/>
      <c r="CM40" s="48"/>
      <c r="CN40" s="48">
        <f t="shared" si="85"/>
        <v>0</v>
      </c>
      <c r="CO40" s="48"/>
      <c r="CP40" s="48"/>
      <c r="CQ40" s="48"/>
      <c r="CR40" s="48">
        <f t="shared" si="86"/>
        <v>0</v>
      </c>
      <c r="CS40" s="48"/>
      <c r="CT40" s="48"/>
      <c r="CU40" s="48"/>
      <c r="CV40" s="48">
        <f t="shared" si="87"/>
        <v>0</v>
      </c>
      <c r="CW40" s="48"/>
      <c r="CX40" s="48"/>
      <c r="CY40" s="48"/>
      <c r="CZ40" s="48">
        <f t="shared" si="88"/>
        <v>0</v>
      </c>
      <c r="DA40" s="48"/>
      <c r="DB40" s="48"/>
      <c r="DC40" s="48"/>
      <c r="DD40" s="48">
        <f t="shared" si="89"/>
        <v>0</v>
      </c>
      <c r="DE40" s="48"/>
      <c r="DF40" s="48"/>
      <c r="DG40" s="48"/>
      <c r="DH40" s="48">
        <f t="shared" si="90"/>
        <v>0</v>
      </c>
      <c r="DI40" s="48"/>
      <c r="DJ40" s="48"/>
      <c r="DK40" s="48"/>
      <c r="DL40" s="48">
        <f t="shared" si="91"/>
        <v>0</v>
      </c>
      <c r="DM40" s="48"/>
      <c r="DN40" s="48"/>
      <c r="DO40" s="48"/>
      <c r="DP40" s="48">
        <f t="shared" si="92"/>
        <v>0</v>
      </c>
      <c r="DQ40" s="48"/>
      <c r="DR40" s="48"/>
      <c r="DS40" s="48"/>
      <c r="DT40" s="48">
        <f t="shared" si="93"/>
        <v>0</v>
      </c>
      <c r="DU40" s="48"/>
      <c r="DV40" s="48"/>
      <c r="DW40" s="48"/>
      <c r="DX40" s="48">
        <f t="shared" si="94"/>
        <v>0</v>
      </c>
      <c r="DY40" s="48">
        <f t="shared" si="95"/>
        <v>0</v>
      </c>
      <c r="DZ40" s="48">
        <f t="shared" si="96"/>
        <v>0</v>
      </c>
      <c r="EA40" s="14">
        <f>D40*'MASTER SHEET'!D40</f>
        <v>0</v>
      </c>
      <c r="EB40" s="14">
        <f>H40*'MASTER SHEET'!D40</f>
        <v>0</v>
      </c>
      <c r="EC40" s="14">
        <f>L40*'MASTER SHEET'!D40</f>
        <v>0</v>
      </c>
      <c r="ED40" s="14">
        <f>P40*'MASTER SHEET'!D40</f>
        <v>0</v>
      </c>
      <c r="EE40" s="14">
        <f>T40*'MASTER SHEET'!D40</f>
        <v>0</v>
      </c>
      <c r="EF40" s="14">
        <f>X40*'MASTER SHEET'!D40</f>
        <v>0</v>
      </c>
      <c r="EG40" s="14">
        <f>AB40*'MASTER SHEET'!D40</f>
        <v>0</v>
      </c>
      <c r="EH40" s="14">
        <f>AF40*'MASTER SHEET'!D40</f>
        <v>0</v>
      </c>
      <c r="EI40" s="14">
        <f>AJ40*'MASTER SHEET'!D40</f>
        <v>0</v>
      </c>
      <c r="EJ40" s="14">
        <f>AN40*'MASTER SHEET'!D40</f>
        <v>0</v>
      </c>
      <c r="EK40" s="14">
        <f>AR40*'MASTER SHEET'!D40</f>
        <v>0</v>
      </c>
      <c r="EL40" s="14">
        <f>AV40*'MASTER SHEET'!D40</f>
        <v>0</v>
      </c>
      <c r="EM40" s="14">
        <f>AZ40*'MASTER SHEET'!D40</f>
        <v>0</v>
      </c>
      <c r="EN40" s="14">
        <f>BD40*'MASTER SHEET'!D40</f>
        <v>0</v>
      </c>
      <c r="EO40" s="14">
        <f>BH40*'MASTER SHEET'!D40</f>
        <v>0</v>
      </c>
      <c r="EP40" s="14">
        <f>BL40*'MASTER SHEET'!D40</f>
        <v>0</v>
      </c>
      <c r="EQ40" s="14">
        <f>BP40*'MASTER SHEET'!D40</f>
        <v>0</v>
      </c>
      <c r="ER40" s="14">
        <f>BT40*'MASTER SHEET'!D40</f>
        <v>0</v>
      </c>
      <c r="ES40" s="14">
        <f>BX40*'MASTER SHEET'!D40</f>
        <v>0</v>
      </c>
      <c r="ET40" s="21">
        <f>CB40*'MASTER SHEET'!D40</f>
        <v>0</v>
      </c>
      <c r="EU40" s="14">
        <f>CF40*'MASTER SHEET'!D40</f>
        <v>0</v>
      </c>
      <c r="EV40" s="14">
        <f>CJ40*'MASTER SHEET'!D40</f>
        <v>0</v>
      </c>
      <c r="EW40" s="14">
        <f>CN40*'MASTER SHEET'!D40</f>
        <v>0</v>
      </c>
      <c r="EX40" s="14">
        <f>CR40*'MASTER SHEET'!D40</f>
        <v>0</v>
      </c>
      <c r="EY40" s="14">
        <f>CR40*'MASTER SHEET'!D40</f>
        <v>0</v>
      </c>
      <c r="EZ40" s="14">
        <f>CV40*'MASTER SHEET'!D40</f>
        <v>0</v>
      </c>
      <c r="FA40" s="14">
        <f>CZ40*'MASTER SHEET'!D40</f>
        <v>0</v>
      </c>
      <c r="FB40" s="14">
        <f>DD40*'MASTER SHEET'!D40</f>
        <v>0</v>
      </c>
    </row>
    <row r="41" spans="1:158" ht="18.75" customHeight="1" x14ac:dyDescent="0.25">
      <c r="A41" s="43">
        <f>'MASTER SHEET'!A41</f>
        <v>39</v>
      </c>
      <c r="B41" s="49" t="str">
        <f>'MASTER SHEET'!B41</f>
        <v>PIPE ASY PLASTIC</v>
      </c>
      <c r="C41" s="86">
        <f>'MASTER SHEET'!C41</f>
        <v>5027832</v>
      </c>
      <c r="D41" s="51"/>
      <c r="E41" s="48"/>
      <c r="F41" s="48"/>
      <c r="G41" s="48"/>
      <c r="H41" s="48">
        <f t="shared" si="64"/>
        <v>0</v>
      </c>
      <c r="I41" s="28"/>
      <c r="J41" s="28"/>
      <c r="K41" s="65"/>
      <c r="L41" s="48">
        <f t="shared" si="65"/>
        <v>0</v>
      </c>
      <c r="M41" s="48"/>
      <c r="N41" s="48"/>
      <c r="O41" s="48"/>
      <c r="P41" s="48">
        <f t="shared" si="66"/>
        <v>0</v>
      </c>
      <c r="Q41" s="48"/>
      <c r="R41" s="48"/>
      <c r="S41" s="48"/>
      <c r="T41" s="48">
        <f t="shared" si="67"/>
        <v>0</v>
      </c>
      <c r="U41" s="48">
        <v>0</v>
      </c>
      <c r="V41" s="48"/>
      <c r="W41" s="48"/>
      <c r="X41" s="48">
        <f t="shared" si="68"/>
        <v>0</v>
      </c>
      <c r="Y41" s="48"/>
      <c r="Z41" s="48"/>
      <c r="AA41" s="48"/>
      <c r="AB41" s="48">
        <f t="shared" si="69"/>
        <v>0</v>
      </c>
      <c r="AC41" s="48"/>
      <c r="AD41" s="48"/>
      <c r="AE41" s="48"/>
      <c r="AF41" s="48">
        <f t="shared" si="70"/>
        <v>0</v>
      </c>
      <c r="AG41" s="48"/>
      <c r="AH41" s="48"/>
      <c r="AI41" s="48"/>
      <c r="AJ41" s="48">
        <f t="shared" si="71"/>
        <v>0</v>
      </c>
      <c r="AK41" s="48"/>
      <c r="AL41" s="48"/>
      <c r="AM41" s="48"/>
      <c r="AN41" s="48">
        <f t="shared" si="72"/>
        <v>0</v>
      </c>
      <c r="AO41" s="48"/>
      <c r="AP41" s="48"/>
      <c r="AQ41" s="48"/>
      <c r="AR41" s="48">
        <f t="shared" si="73"/>
        <v>0</v>
      </c>
      <c r="AS41" s="48"/>
      <c r="AT41" s="48"/>
      <c r="AU41" s="48"/>
      <c r="AV41" s="48">
        <f t="shared" si="74"/>
        <v>0</v>
      </c>
      <c r="AW41" s="48"/>
      <c r="AX41" s="48"/>
      <c r="AY41" s="48"/>
      <c r="AZ41" s="48">
        <f t="shared" si="75"/>
        <v>0</v>
      </c>
      <c r="BA41" s="48"/>
      <c r="BB41" s="48"/>
      <c r="BC41" s="48"/>
      <c r="BD41" s="48">
        <f t="shared" si="76"/>
        <v>0</v>
      </c>
      <c r="BE41" s="48"/>
      <c r="BF41" s="48"/>
      <c r="BG41" s="48"/>
      <c r="BH41" s="48">
        <f t="shared" si="77"/>
        <v>0</v>
      </c>
      <c r="BI41" s="48"/>
      <c r="BJ41" s="48"/>
      <c r="BK41" s="48"/>
      <c r="BL41" s="48">
        <f t="shared" si="78"/>
        <v>0</v>
      </c>
      <c r="BM41" s="48"/>
      <c r="BN41" s="48"/>
      <c r="BO41" s="48"/>
      <c r="BP41" s="48">
        <f t="shared" si="79"/>
        <v>0</v>
      </c>
      <c r="BQ41" s="48"/>
      <c r="BR41" s="48"/>
      <c r="BS41" s="48"/>
      <c r="BT41" s="48">
        <f t="shared" si="80"/>
        <v>0</v>
      </c>
      <c r="BU41" s="48"/>
      <c r="BV41" s="48"/>
      <c r="BW41" s="48"/>
      <c r="BX41" s="48">
        <f t="shared" si="81"/>
        <v>0</v>
      </c>
      <c r="BY41" s="48"/>
      <c r="BZ41" s="48"/>
      <c r="CA41" s="48"/>
      <c r="CB41" s="48">
        <f t="shared" si="82"/>
        <v>0</v>
      </c>
      <c r="CC41" s="48"/>
      <c r="CD41" s="48"/>
      <c r="CE41" s="48"/>
      <c r="CF41" s="48">
        <f t="shared" si="83"/>
        <v>0</v>
      </c>
      <c r="CG41" s="48"/>
      <c r="CH41" s="48"/>
      <c r="CI41" s="48"/>
      <c r="CJ41" s="48">
        <f t="shared" si="84"/>
        <v>0</v>
      </c>
      <c r="CK41" s="48"/>
      <c r="CL41" s="48"/>
      <c r="CM41" s="48"/>
      <c r="CN41" s="48">
        <f t="shared" si="85"/>
        <v>0</v>
      </c>
      <c r="CO41" s="48"/>
      <c r="CP41" s="48"/>
      <c r="CQ41" s="48"/>
      <c r="CR41" s="48">
        <f t="shared" si="86"/>
        <v>0</v>
      </c>
      <c r="CS41" s="48"/>
      <c r="CT41" s="48"/>
      <c r="CU41" s="48"/>
      <c r="CV41" s="48">
        <f t="shared" si="87"/>
        <v>0</v>
      </c>
      <c r="CW41" s="48"/>
      <c r="CX41" s="48"/>
      <c r="CY41" s="48"/>
      <c r="CZ41" s="48">
        <f t="shared" si="88"/>
        <v>0</v>
      </c>
      <c r="DA41" s="48"/>
      <c r="DB41" s="48"/>
      <c r="DC41" s="48"/>
      <c r="DD41" s="48">
        <f t="shared" si="89"/>
        <v>0</v>
      </c>
      <c r="DE41" s="48"/>
      <c r="DF41" s="48"/>
      <c r="DG41" s="48"/>
      <c r="DH41" s="48">
        <f t="shared" si="90"/>
        <v>0</v>
      </c>
      <c r="DI41" s="48"/>
      <c r="DJ41" s="48"/>
      <c r="DK41" s="48"/>
      <c r="DL41" s="48">
        <f t="shared" si="91"/>
        <v>0</v>
      </c>
      <c r="DM41" s="48"/>
      <c r="DN41" s="48"/>
      <c r="DO41" s="48"/>
      <c r="DP41" s="48">
        <f t="shared" si="92"/>
        <v>0</v>
      </c>
      <c r="DQ41" s="48"/>
      <c r="DR41" s="48"/>
      <c r="DS41" s="48"/>
      <c r="DT41" s="48">
        <f t="shared" si="93"/>
        <v>0</v>
      </c>
      <c r="DU41" s="48"/>
      <c r="DV41" s="48"/>
      <c r="DW41" s="48"/>
      <c r="DX41" s="48">
        <f t="shared" si="94"/>
        <v>0</v>
      </c>
      <c r="DY41" s="48">
        <f t="shared" si="95"/>
        <v>0</v>
      </c>
      <c r="DZ41" s="48">
        <f t="shared" si="96"/>
        <v>0</v>
      </c>
      <c r="EA41" s="14">
        <f>D41*'MASTER SHEET'!D41</f>
        <v>0</v>
      </c>
      <c r="EB41" s="14">
        <f>H41*'MASTER SHEET'!D41</f>
        <v>0</v>
      </c>
      <c r="EC41" s="14">
        <f>L41*'MASTER SHEET'!D41</f>
        <v>0</v>
      </c>
      <c r="ED41" s="14">
        <f>P41*'MASTER SHEET'!D41</f>
        <v>0</v>
      </c>
      <c r="EE41" s="14">
        <f>T41*'MASTER SHEET'!D41</f>
        <v>0</v>
      </c>
      <c r="EF41" s="14">
        <f>X41*'MASTER SHEET'!D41</f>
        <v>0</v>
      </c>
      <c r="EG41" s="14">
        <f>AB41*'MASTER SHEET'!D41</f>
        <v>0</v>
      </c>
      <c r="EH41" s="14">
        <f>AF41*'MASTER SHEET'!D41</f>
        <v>0</v>
      </c>
      <c r="EI41" s="14">
        <f>AJ41*'MASTER SHEET'!D41</f>
        <v>0</v>
      </c>
      <c r="EJ41" s="14">
        <f>AN41*'MASTER SHEET'!D41</f>
        <v>0</v>
      </c>
      <c r="EK41" s="14">
        <f>AR41*'MASTER SHEET'!D41</f>
        <v>0</v>
      </c>
      <c r="EL41" s="14">
        <f>AV41*'MASTER SHEET'!D41</f>
        <v>0</v>
      </c>
      <c r="EM41" s="14">
        <f>AZ41*'MASTER SHEET'!D41</f>
        <v>0</v>
      </c>
      <c r="EN41" s="14">
        <f>BD41*'MASTER SHEET'!D41</f>
        <v>0</v>
      </c>
      <c r="EO41" s="14">
        <f>BH41*'MASTER SHEET'!D41</f>
        <v>0</v>
      </c>
      <c r="EP41" s="14">
        <f>BL41*'MASTER SHEET'!D41</f>
        <v>0</v>
      </c>
      <c r="EQ41" s="14">
        <f>BP41*'MASTER SHEET'!D41</f>
        <v>0</v>
      </c>
      <c r="ER41" s="14">
        <f>BT41*'MASTER SHEET'!D41</f>
        <v>0</v>
      </c>
      <c r="ES41" s="14">
        <f>BX41*'MASTER SHEET'!D41</f>
        <v>0</v>
      </c>
      <c r="ET41" s="21">
        <f>CB41*'MASTER SHEET'!D41</f>
        <v>0</v>
      </c>
      <c r="EU41" s="14">
        <f>CF41*'MASTER SHEET'!D41</f>
        <v>0</v>
      </c>
      <c r="EV41" s="14">
        <f>CJ41*'MASTER SHEET'!D41</f>
        <v>0</v>
      </c>
      <c r="EW41" s="14">
        <f>CN41*'MASTER SHEET'!D41</f>
        <v>0</v>
      </c>
      <c r="EX41" s="14">
        <f>CR41*'MASTER SHEET'!D41</f>
        <v>0</v>
      </c>
      <c r="EY41" s="14">
        <f>CR41*'MASTER SHEET'!D41</f>
        <v>0</v>
      </c>
      <c r="EZ41" s="14">
        <f>CV41*'MASTER SHEET'!D41</f>
        <v>0</v>
      </c>
      <c r="FA41" s="14">
        <f>CZ41*'MASTER SHEET'!D41</f>
        <v>0</v>
      </c>
      <c r="FB41" s="14">
        <f>DD41*'MASTER SHEET'!D41</f>
        <v>0</v>
      </c>
    </row>
    <row r="42" spans="1:158" ht="18.75" customHeight="1" x14ac:dyDescent="0.25">
      <c r="A42" s="43">
        <f>'MASTER SHEET'!A42</f>
        <v>40</v>
      </c>
      <c r="B42" s="49" t="str">
        <f>'MASTER SHEET'!B42</f>
        <v>PIPE ASY PLASTIC</v>
      </c>
      <c r="C42" s="86">
        <f>'MASTER SHEET'!C42</f>
        <v>5027833</v>
      </c>
      <c r="D42" s="51"/>
      <c r="E42" s="48"/>
      <c r="F42" s="48"/>
      <c r="G42" s="48"/>
      <c r="H42" s="48">
        <f t="shared" si="64"/>
        <v>0</v>
      </c>
      <c r="I42" s="28"/>
      <c r="J42" s="28"/>
      <c r="K42" s="65"/>
      <c r="L42" s="48">
        <f t="shared" si="65"/>
        <v>0</v>
      </c>
      <c r="M42" s="48"/>
      <c r="N42" s="48"/>
      <c r="O42" s="48"/>
      <c r="P42" s="48">
        <f t="shared" si="66"/>
        <v>0</v>
      </c>
      <c r="Q42" s="48"/>
      <c r="R42" s="48"/>
      <c r="S42" s="48"/>
      <c r="T42" s="48">
        <f t="shared" si="67"/>
        <v>0</v>
      </c>
      <c r="U42" s="48">
        <v>0</v>
      </c>
      <c r="V42" s="48"/>
      <c r="W42" s="48"/>
      <c r="X42" s="48">
        <f t="shared" si="68"/>
        <v>0</v>
      </c>
      <c r="Y42" s="48"/>
      <c r="Z42" s="48"/>
      <c r="AA42" s="48"/>
      <c r="AB42" s="48">
        <f t="shared" si="69"/>
        <v>0</v>
      </c>
      <c r="AC42" s="48"/>
      <c r="AD42" s="48"/>
      <c r="AE42" s="48"/>
      <c r="AF42" s="48">
        <f t="shared" si="70"/>
        <v>0</v>
      </c>
      <c r="AG42" s="48"/>
      <c r="AH42" s="48"/>
      <c r="AI42" s="48"/>
      <c r="AJ42" s="48">
        <f t="shared" si="71"/>
        <v>0</v>
      </c>
      <c r="AK42" s="48"/>
      <c r="AL42" s="48"/>
      <c r="AM42" s="48"/>
      <c r="AN42" s="48">
        <f t="shared" si="72"/>
        <v>0</v>
      </c>
      <c r="AO42" s="48"/>
      <c r="AP42" s="48"/>
      <c r="AQ42" s="48"/>
      <c r="AR42" s="48">
        <f t="shared" si="73"/>
        <v>0</v>
      </c>
      <c r="AS42" s="48"/>
      <c r="AT42" s="48"/>
      <c r="AU42" s="48"/>
      <c r="AV42" s="48">
        <f t="shared" si="74"/>
        <v>0</v>
      </c>
      <c r="AW42" s="48"/>
      <c r="AX42" s="48"/>
      <c r="AY42" s="48"/>
      <c r="AZ42" s="48">
        <f t="shared" si="75"/>
        <v>0</v>
      </c>
      <c r="BA42" s="48"/>
      <c r="BB42" s="48"/>
      <c r="BC42" s="48"/>
      <c r="BD42" s="48">
        <f t="shared" si="76"/>
        <v>0</v>
      </c>
      <c r="BE42" s="48"/>
      <c r="BF42" s="48"/>
      <c r="BG42" s="48"/>
      <c r="BH42" s="48">
        <f t="shared" si="77"/>
        <v>0</v>
      </c>
      <c r="BI42" s="48"/>
      <c r="BJ42" s="48"/>
      <c r="BK42" s="48"/>
      <c r="BL42" s="48">
        <f t="shared" si="78"/>
        <v>0</v>
      </c>
      <c r="BM42" s="48"/>
      <c r="BN42" s="48"/>
      <c r="BO42" s="48"/>
      <c r="BP42" s="48">
        <f t="shared" si="79"/>
        <v>0</v>
      </c>
      <c r="BQ42" s="48"/>
      <c r="BR42" s="48"/>
      <c r="BS42" s="48"/>
      <c r="BT42" s="48">
        <f t="shared" si="80"/>
        <v>0</v>
      </c>
      <c r="BU42" s="48"/>
      <c r="BV42" s="48"/>
      <c r="BW42" s="48"/>
      <c r="BX42" s="48">
        <f t="shared" si="81"/>
        <v>0</v>
      </c>
      <c r="BY42" s="48"/>
      <c r="BZ42" s="48"/>
      <c r="CA42" s="48"/>
      <c r="CB42" s="48">
        <f t="shared" si="82"/>
        <v>0</v>
      </c>
      <c r="CC42" s="48"/>
      <c r="CD42" s="48"/>
      <c r="CE42" s="48"/>
      <c r="CF42" s="48">
        <f t="shared" si="83"/>
        <v>0</v>
      </c>
      <c r="CG42" s="48"/>
      <c r="CH42" s="48"/>
      <c r="CI42" s="48"/>
      <c r="CJ42" s="48">
        <f t="shared" si="84"/>
        <v>0</v>
      </c>
      <c r="CK42" s="48"/>
      <c r="CL42" s="48"/>
      <c r="CM42" s="48"/>
      <c r="CN42" s="48">
        <f t="shared" si="85"/>
        <v>0</v>
      </c>
      <c r="CO42" s="48"/>
      <c r="CP42" s="48"/>
      <c r="CQ42" s="48"/>
      <c r="CR42" s="48">
        <f t="shared" si="86"/>
        <v>0</v>
      </c>
      <c r="CS42" s="48"/>
      <c r="CT42" s="48"/>
      <c r="CU42" s="48"/>
      <c r="CV42" s="48">
        <f t="shared" si="87"/>
        <v>0</v>
      </c>
      <c r="CW42" s="48"/>
      <c r="CX42" s="48"/>
      <c r="CY42" s="48"/>
      <c r="CZ42" s="48">
        <f t="shared" si="88"/>
        <v>0</v>
      </c>
      <c r="DA42" s="48"/>
      <c r="DB42" s="48"/>
      <c r="DC42" s="48"/>
      <c r="DD42" s="48">
        <f t="shared" si="89"/>
        <v>0</v>
      </c>
      <c r="DE42" s="48"/>
      <c r="DF42" s="48"/>
      <c r="DG42" s="48"/>
      <c r="DH42" s="48">
        <f t="shared" si="90"/>
        <v>0</v>
      </c>
      <c r="DI42" s="48"/>
      <c r="DJ42" s="48"/>
      <c r="DK42" s="48"/>
      <c r="DL42" s="48">
        <f t="shared" si="91"/>
        <v>0</v>
      </c>
      <c r="DM42" s="48"/>
      <c r="DN42" s="48"/>
      <c r="DO42" s="48"/>
      <c r="DP42" s="48">
        <f t="shared" si="92"/>
        <v>0</v>
      </c>
      <c r="DQ42" s="48"/>
      <c r="DR42" s="48"/>
      <c r="DS42" s="48"/>
      <c r="DT42" s="48">
        <f t="shared" si="93"/>
        <v>0</v>
      </c>
      <c r="DU42" s="48"/>
      <c r="DV42" s="48"/>
      <c r="DW42" s="48"/>
      <c r="DX42" s="48">
        <f t="shared" si="94"/>
        <v>0</v>
      </c>
      <c r="DY42" s="48">
        <f t="shared" si="95"/>
        <v>0</v>
      </c>
      <c r="DZ42" s="48">
        <f t="shared" si="96"/>
        <v>0</v>
      </c>
      <c r="EA42" s="14">
        <f>D42*'MASTER SHEET'!D42</f>
        <v>0</v>
      </c>
      <c r="EB42" s="14">
        <f>H42*'MASTER SHEET'!D42</f>
        <v>0</v>
      </c>
      <c r="EC42" s="14">
        <f>L42*'MASTER SHEET'!D42</f>
        <v>0</v>
      </c>
      <c r="ED42" s="14">
        <f>P42*'MASTER SHEET'!D42</f>
        <v>0</v>
      </c>
      <c r="EE42" s="14">
        <f>T42*'MASTER SHEET'!D42</f>
        <v>0</v>
      </c>
      <c r="EF42" s="14">
        <f>X42*'MASTER SHEET'!D42</f>
        <v>0</v>
      </c>
      <c r="EG42" s="14">
        <f>AB42*'MASTER SHEET'!D42</f>
        <v>0</v>
      </c>
      <c r="EH42" s="14">
        <f>AF42*'MASTER SHEET'!D42</f>
        <v>0</v>
      </c>
      <c r="EI42" s="14">
        <f>AJ42*'MASTER SHEET'!D42</f>
        <v>0</v>
      </c>
      <c r="EJ42" s="14">
        <f>AN42*'MASTER SHEET'!D42</f>
        <v>0</v>
      </c>
      <c r="EK42" s="14">
        <f>AR42*'MASTER SHEET'!D42</f>
        <v>0</v>
      </c>
      <c r="EL42" s="14">
        <f>AV42*'MASTER SHEET'!D42</f>
        <v>0</v>
      </c>
      <c r="EM42" s="14">
        <f>AZ42*'MASTER SHEET'!D42</f>
        <v>0</v>
      </c>
      <c r="EN42" s="14">
        <f>BD42*'MASTER SHEET'!D42</f>
        <v>0</v>
      </c>
      <c r="EO42" s="14">
        <f>BH42*'MASTER SHEET'!D42</f>
        <v>0</v>
      </c>
      <c r="EP42" s="14">
        <f>BL42*'MASTER SHEET'!D42</f>
        <v>0</v>
      </c>
      <c r="EQ42" s="14">
        <f>BP42*'MASTER SHEET'!D42</f>
        <v>0</v>
      </c>
      <c r="ER42" s="14">
        <f>BT42*'MASTER SHEET'!D42</f>
        <v>0</v>
      </c>
      <c r="ES42" s="14">
        <f>BX42*'MASTER SHEET'!D42</f>
        <v>0</v>
      </c>
      <c r="ET42" s="21">
        <f>CB42*'MASTER SHEET'!D42</f>
        <v>0</v>
      </c>
      <c r="EU42" s="14">
        <f>CF42*'MASTER SHEET'!D42</f>
        <v>0</v>
      </c>
      <c r="EV42" s="14">
        <f>CJ42*'MASTER SHEET'!D42</f>
        <v>0</v>
      </c>
      <c r="EW42" s="14">
        <f>CN42*'MASTER SHEET'!D42</f>
        <v>0</v>
      </c>
      <c r="EX42" s="14">
        <f>CR42*'MASTER SHEET'!D42</f>
        <v>0</v>
      </c>
      <c r="EY42" s="14">
        <f>CR42*'MASTER SHEET'!D42</f>
        <v>0</v>
      </c>
      <c r="EZ42" s="14">
        <f>CV42*'MASTER SHEET'!D42</f>
        <v>0</v>
      </c>
      <c r="FA42" s="14">
        <f>CZ42*'MASTER SHEET'!D42</f>
        <v>0</v>
      </c>
      <c r="FB42" s="14">
        <f>DD42*'MASTER SHEET'!D42</f>
        <v>0</v>
      </c>
    </row>
    <row r="43" spans="1:158" ht="18.75" customHeight="1" x14ac:dyDescent="0.25">
      <c r="A43" s="43">
        <f>'MASTER SHEET'!A43</f>
        <v>41</v>
      </c>
      <c r="B43" s="49" t="str">
        <f>'MASTER SHEET'!B43</f>
        <v>CAP PLASTIC</v>
      </c>
      <c r="C43" s="86">
        <f>'MASTER SHEET'!C43</f>
        <v>5028386</v>
      </c>
      <c r="D43" s="51"/>
      <c r="E43" s="48"/>
      <c r="F43" s="48"/>
      <c r="G43" s="48"/>
      <c r="H43" s="48">
        <f t="shared" si="64"/>
        <v>0</v>
      </c>
      <c r="I43" s="28"/>
      <c r="J43" s="28"/>
      <c r="K43" s="65"/>
      <c r="L43" s="48">
        <f t="shared" si="65"/>
        <v>0</v>
      </c>
      <c r="M43" s="48"/>
      <c r="N43" s="48"/>
      <c r="O43" s="48"/>
      <c r="P43" s="48">
        <f t="shared" si="66"/>
        <v>0</v>
      </c>
      <c r="Q43" s="48">
        <v>1169</v>
      </c>
      <c r="R43" s="48">
        <v>1165</v>
      </c>
      <c r="S43" s="48">
        <v>4</v>
      </c>
      <c r="T43" s="48">
        <f t="shared" si="67"/>
        <v>0</v>
      </c>
      <c r="U43" s="48">
        <v>1948</v>
      </c>
      <c r="V43" s="48">
        <v>1946</v>
      </c>
      <c r="W43" s="48">
        <v>2</v>
      </c>
      <c r="X43" s="48">
        <f t="shared" si="68"/>
        <v>0</v>
      </c>
      <c r="Y43" s="48"/>
      <c r="Z43" s="48"/>
      <c r="AA43" s="48"/>
      <c r="AB43" s="48">
        <f t="shared" si="69"/>
        <v>0</v>
      </c>
      <c r="AC43" s="48"/>
      <c r="AD43" s="48"/>
      <c r="AE43" s="48"/>
      <c r="AF43" s="48">
        <f t="shared" si="70"/>
        <v>0</v>
      </c>
      <c r="AG43" s="48"/>
      <c r="AH43" s="48"/>
      <c r="AI43" s="48"/>
      <c r="AJ43" s="48">
        <f t="shared" si="71"/>
        <v>0</v>
      </c>
      <c r="AK43" s="48">
        <v>0</v>
      </c>
      <c r="AL43" s="48">
        <v>0</v>
      </c>
      <c r="AM43" s="48">
        <v>0</v>
      </c>
      <c r="AN43" s="48">
        <f t="shared" si="72"/>
        <v>0</v>
      </c>
      <c r="AO43" s="48">
        <v>1328</v>
      </c>
      <c r="AP43" s="48">
        <v>1312</v>
      </c>
      <c r="AQ43" s="48">
        <v>16</v>
      </c>
      <c r="AR43" s="48">
        <f t="shared" si="73"/>
        <v>0</v>
      </c>
      <c r="AS43" s="48">
        <v>0</v>
      </c>
      <c r="AT43" s="48">
        <v>0</v>
      </c>
      <c r="AU43" s="48">
        <v>0</v>
      </c>
      <c r="AV43" s="48">
        <f t="shared" si="74"/>
        <v>0</v>
      </c>
      <c r="AW43" s="48">
        <v>0</v>
      </c>
      <c r="AX43" s="48">
        <v>0</v>
      </c>
      <c r="AY43" s="48">
        <v>0</v>
      </c>
      <c r="AZ43" s="48">
        <f t="shared" si="75"/>
        <v>0</v>
      </c>
      <c r="BA43" s="48">
        <v>0</v>
      </c>
      <c r="BB43" s="48">
        <v>0</v>
      </c>
      <c r="BC43" s="48">
        <v>0</v>
      </c>
      <c r="BD43" s="48">
        <f t="shared" si="76"/>
        <v>0</v>
      </c>
      <c r="BE43" s="48">
        <v>0</v>
      </c>
      <c r="BF43" s="48">
        <v>0</v>
      </c>
      <c r="BG43" s="48">
        <v>0</v>
      </c>
      <c r="BH43" s="48">
        <f t="shared" si="77"/>
        <v>0</v>
      </c>
      <c r="BI43" s="48">
        <v>0</v>
      </c>
      <c r="BJ43" s="48">
        <v>0</v>
      </c>
      <c r="BK43" s="48">
        <v>0</v>
      </c>
      <c r="BL43" s="48">
        <f t="shared" si="78"/>
        <v>0</v>
      </c>
      <c r="BM43" s="48">
        <v>0</v>
      </c>
      <c r="BN43" s="48">
        <v>0</v>
      </c>
      <c r="BO43" s="48">
        <v>0</v>
      </c>
      <c r="BP43" s="48">
        <f t="shared" si="79"/>
        <v>0</v>
      </c>
      <c r="BQ43" s="48">
        <v>218</v>
      </c>
      <c r="BR43" s="48">
        <v>208</v>
      </c>
      <c r="BS43" s="48">
        <v>10</v>
      </c>
      <c r="BT43" s="48">
        <f t="shared" si="80"/>
        <v>0</v>
      </c>
      <c r="BU43" s="48">
        <v>3529</v>
      </c>
      <c r="BV43" s="48">
        <v>3528</v>
      </c>
      <c r="BW43" s="48">
        <v>1</v>
      </c>
      <c r="BX43" s="48">
        <f t="shared" si="81"/>
        <v>0</v>
      </c>
      <c r="BY43" s="48"/>
      <c r="BZ43" s="48"/>
      <c r="CA43" s="48"/>
      <c r="CB43" s="48">
        <f t="shared" si="82"/>
        <v>0</v>
      </c>
      <c r="CC43" s="48">
        <v>0</v>
      </c>
      <c r="CD43" s="48">
        <v>0</v>
      </c>
      <c r="CE43" s="48">
        <v>0</v>
      </c>
      <c r="CF43" s="48">
        <f t="shared" si="83"/>
        <v>0</v>
      </c>
      <c r="CG43" s="48">
        <v>0</v>
      </c>
      <c r="CH43" s="48">
        <v>0</v>
      </c>
      <c r="CI43" s="48">
        <v>0</v>
      </c>
      <c r="CJ43" s="48">
        <f t="shared" si="84"/>
        <v>0</v>
      </c>
      <c r="CK43" s="48"/>
      <c r="CL43" s="48"/>
      <c r="CM43" s="48"/>
      <c r="CN43" s="48">
        <f t="shared" si="85"/>
        <v>0</v>
      </c>
      <c r="CO43" s="48">
        <v>0</v>
      </c>
      <c r="CP43" s="48">
        <v>0</v>
      </c>
      <c r="CQ43" s="48">
        <v>0</v>
      </c>
      <c r="CR43" s="48">
        <f t="shared" si="86"/>
        <v>0</v>
      </c>
      <c r="CS43" s="48">
        <v>0</v>
      </c>
      <c r="CT43" s="48">
        <v>0</v>
      </c>
      <c r="CU43" s="48">
        <v>0</v>
      </c>
      <c r="CV43" s="48">
        <f t="shared" si="87"/>
        <v>0</v>
      </c>
      <c r="CW43" s="48">
        <v>1037</v>
      </c>
      <c r="CX43" s="48">
        <v>1022</v>
      </c>
      <c r="CY43" s="48">
        <v>15</v>
      </c>
      <c r="CZ43" s="48">
        <f t="shared" si="88"/>
        <v>0</v>
      </c>
      <c r="DA43" s="48"/>
      <c r="DB43" s="48"/>
      <c r="DC43" s="48"/>
      <c r="DD43" s="48">
        <f t="shared" si="89"/>
        <v>0</v>
      </c>
      <c r="DE43" s="48">
        <v>0</v>
      </c>
      <c r="DF43" s="48">
        <v>0</v>
      </c>
      <c r="DG43" s="48">
        <v>0</v>
      </c>
      <c r="DH43" s="48">
        <f t="shared" si="90"/>
        <v>0</v>
      </c>
      <c r="DI43" s="48">
        <v>1355</v>
      </c>
      <c r="DJ43" s="48">
        <v>1344</v>
      </c>
      <c r="DK43" s="48">
        <v>11</v>
      </c>
      <c r="DL43" s="48">
        <f t="shared" si="91"/>
        <v>0</v>
      </c>
      <c r="DM43" s="48">
        <v>501</v>
      </c>
      <c r="DN43" s="48">
        <v>499</v>
      </c>
      <c r="DO43" s="48">
        <v>2</v>
      </c>
      <c r="DP43" s="48">
        <f t="shared" si="92"/>
        <v>0</v>
      </c>
      <c r="DQ43" s="48"/>
      <c r="DR43" s="48"/>
      <c r="DS43" s="48"/>
      <c r="DT43" s="48">
        <f t="shared" si="93"/>
        <v>0</v>
      </c>
      <c r="DU43" s="48"/>
      <c r="DV43" s="48"/>
      <c r="DW43" s="48"/>
      <c r="DX43" s="48">
        <f t="shared" si="94"/>
        <v>0</v>
      </c>
      <c r="DY43" s="48">
        <f t="shared" si="95"/>
        <v>11085</v>
      </c>
      <c r="DZ43" s="48">
        <f t="shared" si="96"/>
        <v>61</v>
      </c>
      <c r="EA43" s="14">
        <f>D43*'MASTER SHEET'!D43</f>
        <v>0</v>
      </c>
      <c r="EB43" s="14">
        <f>H43*'MASTER SHEET'!D43</f>
        <v>0</v>
      </c>
      <c r="EC43" s="14">
        <f>L43*'MASTER SHEET'!D43</f>
        <v>0</v>
      </c>
      <c r="ED43" s="14">
        <f>P43*'MASTER SHEET'!D43</f>
        <v>0</v>
      </c>
      <c r="EE43" s="14">
        <f>T43*'MASTER SHEET'!D43</f>
        <v>0</v>
      </c>
      <c r="EF43" s="14">
        <f>X43*'MASTER SHEET'!D43</f>
        <v>0</v>
      </c>
      <c r="EG43" s="14">
        <f>AB43*'MASTER SHEET'!D43</f>
        <v>0</v>
      </c>
      <c r="EH43" s="14">
        <f>AF43*'MASTER SHEET'!D43</f>
        <v>0</v>
      </c>
      <c r="EI43" s="14">
        <f>AJ43*'MASTER SHEET'!D43</f>
        <v>0</v>
      </c>
      <c r="EJ43" s="14">
        <f>AN43*'MASTER SHEET'!D43</f>
        <v>0</v>
      </c>
      <c r="EK43" s="14">
        <f>AR43*'MASTER SHEET'!D43</f>
        <v>0</v>
      </c>
      <c r="EL43" s="14">
        <f>AV43*'MASTER SHEET'!D43</f>
        <v>0</v>
      </c>
      <c r="EM43" s="14">
        <f>AZ43*'MASTER SHEET'!D43</f>
        <v>0</v>
      </c>
      <c r="EN43" s="14">
        <f>BD43*'MASTER SHEET'!D43</f>
        <v>0</v>
      </c>
      <c r="EO43" s="14">
        <f>BH43*'MASTER SHEET'!D43</f>
        <v>0</v>
      </c>
      <c r="EP43" s="14">
        <f>BL43*'MASTER SHEET'!D43</f>
        <v>0</v>
      </c>
      <c r="EQ43" s="14">
        <f>BP43*'MASTER SHEET'!D43</f>
        <v>0</v>
      </c>
      <c r="ER43" s="14">
        <f>BT43*'MASTER SHEET'!D43</f>
        <v>0</v>
      </c>
      <c r="ES43" s="14">
        <f>BX43*'MASTER SHEET'!D43</f>
        <v>0</v>
      </c>
      <c r="ET43" s="21">
        <f>CB43*'MASTER SHEET'!D43</f>
        <v>0</v>
      </c>
      <c r="EU43" s="14">
        <f>CF43*'MASTER SHEET'!D43</f>
        <v>0</v>
      </c>
      <c r="EV43" s="14">
        <f>CJ43*'MASTER SHEET'!D43</f>
        <v>0</v>
      </c>
      <c r="EW43" s="14">
        <f>CN43*'MASTER SHEET'!D43</f>
        <v>0</v>
      </c>
      <c r="EX43" s="14">
        <f>CR43*'MASTER SHEET'!D43</f>
        <v>0</v>
      </c>
      <c r="EY43" s="14">
        <f>CR43*'MASTER SHEET'!D43</f>
        <v>0</v>
      </c>
      <c r="EZ43" s="14">
        <f>CV43*'MASTER SHEET'!D43</f>
        <v>0</v>
      </c>
      <c r="FA43" s="14">
        <f>CZ43*'MASTER SHEET'!D43</f>
        <v>0</v>
      </c>
      <c r="FB43" s="14">
        <f>DD43*'MASTER SHEET'!D43</f>
        <v>0</v>
      </c>
    </row>
    <row r="44" spans="1:158" ht="18.75" customHeight="1" x14ac:dyDescent="0.25">
      <c r="A44" s="43">
        <f>'MASTER SHEET'!A44</f>
        <v>42</v>
      </c>
      <c r="B44" s="49" t="str">
        <f>'MASTER SHEET'!B44</f>
        <v>BASE HOUSING ASSYM</v>
      </c>
      <c r="C44" s="86">
        <f>'MASTER SHEET'!C44</f>
        <v>5028536</v>
      </c>
      <c r="D44" s="138"/>
      <c r="E44" s="48"/>
      <c r="F44" s="48"/>
      <c r="G44" s="48"/>
      <c r="H44" s="48">
        <f t="shared" si="64"/>
        <v>0</v>
      </c>
      <c r="I44" s="28"/>
      <c r="J44" s="28"/>
      <c r="K44" s="65"/>
      <c r="L44" s="48">
        <f t="shared" si="65"/>
        <v>0</v>
      </c>
      <c r="M44" s="48"/>
      <c r="N44" s="48"/>
      <c r="O44" s="48"/>
      <c r="P44" s="48">
        <f t="shared" si="66"/>
        <v>0</v>
      </c>
      <c r="Q44" s="48"/>
      <c r="R44" s="48"/>
      <c r="S44" s="48"/>
      <c r="T44" s="48">
        <f t="shared" si="67"/>
        <v>0</v>
      </c>
      <c r="U44" s="48">
        <v>0</v>
      </c>
      <c r="V44" s="48"/>
      <c r="W44" s="48"/>
      <c r="X44" s="48">
        <f t="shared" si="68"/>
        <v>0</v>
      </c>
      <c r="Y44" s="48">
        <v>0</v>
      </c>
      <c r="Z44" s="48">
        <v>0</v>
      </c>
      <c r="AA44" s="48">
        <v>0</v>
      </c>
      <c r="AB44" s="48">
        <f t="shared" si="69"/>
        <v>0</v>
      </c>
      <c r="AC44" s="48">
        <v>0</v>
      </c>
      <c r="AD44" s="48">
        <v>0</v>
      </c>
      <c r="AE44" s="48">
        <v>0</v>
      </c>
      <c r="AF44" s="48">
        <f t="shared" si="70"/>
        <v>0</v>
      </c>
      <c r="AG44" s="48">
        <v>0</v>
      </c>
      <c r="AH44" s="48">
        <v>0</v>
      </c>
      <c r="AI44" s="48">
        <v>0</v>
      </c>
      <c r="AJ44" s="48">
        <f t="shared" si="71"/>
        <v>0</v>
      </c>
      <c r="AK44" s="48">
        <v>0</v>
      </c>
      <c r="AL44" s="48">
        <v>0</v>
      </c>
      <c r="AM44" s="48">
        <v>0</v>
      </c>
      <c r="AN44" s="48">
        <f t="shared" si="72"/>
        <v>0</v>
      </c>
      <c r="AO44" s="48">
        <v>0</v>
      </c>
      <c r="AP44" s="48">
        <v>0</v>
      </c>
      <c r="AQ44" s="48">
        <v>0</v>
      </c>
      <c r="AR44" s="48">
        <f t="shared" si="73"/>
        <v>0</v>
      </c>
      <c r="AS44" s="48">
        <v>405</v>
      </c>
      <c r="AT44" s="48">
        <v>398</v>
      </c>
      <c r="AU44" s="48">
        <v>7</v>
      </c>
      <c r="AV44" s="48">
        <f t="shared" si="74"/>
        <v>0</v>
      </c>
      <c r="AW44" s="48">
        <v>0</v>
      </c>
      <c r="AX44" s="48">
        <v>0</v>
      </c>
      <c r="AY44" s="48">
        <v>0</v>
      </c>
      <c r="AZ44" s="48">
        <f t="shared" si="75"/>
        <v>0</v>
      </c>
      <c r="BA44" s="48">
        <v>0</v>
      </c>
      <c r="BB44" s="48">
        <v>0</v>
      </c>
      <c r="BC44" s="48">
        <v>0</v>
      </c>
      <c r="BD44" s="48">
        <f t="shared" si="76"/>
        <v>0</v>
      </c>
      <c r="BE44" s="48">
        <v>536</v>
      </c>
      <c r="BF44" s="48">
        <v>529</v>
      </c>
      <c r="BG44" s="48">
        <v>7</v>
      </c>
      <c r="BH44" s="48">
        <f t="shared" si="77"/>
        <v>0</v>
      </c>
      <c r="BI44" s="48">
        <v>1114</v>
      </c>
      <c r="BJ44" s="48">
        <v>1111</v>
      </c>
      <c r="BK44" s="48">
        <v>3</v>
      </c>
      <c r="BL44" s="48">
        <f t="shared" si="78"/>
        <v>0</v>
      </c>
      <c r="BM44" s="48">
        <v>1118</v>
      </c>
      <c r="BN44" s="48">
        <v>1115</v>
      </c>
      <c r="BO44" s="48">
        <v>3</v>
      </c>
      <c r="BP44" s="48">
        <f t="shared" si="79"/>
        <v>0</v>
      </c>
      <c r="BQ44" s="48">
        <v>182</v>
      </c>
      <c r="BR44" s="48">
        <v>182</v>
      </c>
      <c r="BS44" s="48">
        <v>0</v>
      </c>
      <c r="BT44" s="48">
        <f t="shared" si="80"/>
        <v>0</v>
      </c>
      <c r="BU44" s="48">
        <v>0</v>
      </c>
      <c r="BV44" s="48">
        <v>0</v>
      </c>
      <c r="BW44" s="48">
        <v>0</v>
      </c>
      <c r="BX44" s="48">
        <f t="shared" si="81"/>
        <v>0</v>
      </c>
      <c r="BY44" s="48"/>
      <c r="BZ44" s="48"/>
      <c r="CA44" s="48"/>
      <c r="CB44" s="48">
        <f t="shared" si="82"/>
        <v>0</v>
      </c>
      <c r="CC44" s="48">
        <v>0</v>
      </c>
      <c r="CD44" s="48">
        <v>0</v>
      </c>
      <c r="CE44" s="48">
        <v>0</v>
      </c>
      <c r="CF44" s="48">
        <f t="shared" si="83"/>
        <v>0</v>
      </c>
      <c r="CG44" s="48">
        <v>0</v>
      </c>
      <c r="CH44" s="48">
        <v>0</v>
      </c>
      <c r="CI44" s="48">
        <v>0</v>
      </c>
      <c r="CJ44" s="48">
        <f t="shared" si="84"/>
        <v>0</v>
      </c>
      <c r="CK44" s="48"/>
      <c r="CL44" s="48"/>
      <c r="CM44" s="48"/>
      <c r="CN44" s="48">
        <f t="shared" si="85"/>
        <v>0</v>
      </c>
      <c r="CO44" s="48">
        <v>0</v>
      </c>
      <c r="CP44" s="48">
        <v>0</v>
      </c>
      <c r="CQ44" s="48">
        <v>0</v>
      </c>
      <c r="CR44" s="48">
        <f t="shared" si="86"/>
        <v>0</v>
      </c>
      <c r="CS44" s="48">
        <v>0</v>
      </c>
      <c r="CT44" s="48">
        <v>0</v>
      </c>
      <c r="CU44" s="48">
        <v>0</v>
      </c>
      <c r="CV44" s="48">
        <f t="shared" si="87"/>
        <v>0</v>
      </c>
      <c r="CW44" s="48"/>
      <c r="CX44" s="48"/>
      <c r="CY44" s="48"/>
      <c r="CZ44" s="48">
        <f t="shared" si="88"/>
        <v>0</v>
      </c>
      <c r="DA44" s="48"/>
      <c r="DB44" s="48"/>
      <c r="DC44" s="48"/>
      <c r="DD44" s="48">
        <f t="shared" si="89"/>
        <v>0</v>
      </c>
      <c r="DE44" s="48">
        <v>0</v>
      </c>
      <c r="DF44" s="48">
        <v>0</v>
      </c>
      <c r="DG44" s="48">
        <v>0</v>
      </c>
      <c r="DH44" s="48">
        <f t="shared" si="90"/>
        <v>0</v>
      </c>
      <c r="DI44" s="48">
        <v>0</v>
      </c>
      <c r="DJ44" s="48">
        <v>0</v>
      </c>
      <c r="DK44" s="48">
        <v>0</v>
      </c>
      <c r="DL44" s="48">
        <f t="shared" si="91"/>
        <v>0</v>
      </c>
      <c r="DM44" s="48">
        <v>0</v>
      </c>
      <c r="DN44" s="48">
        <v>0</v>
      </c>
      <c r="DO44" s="48">
        <v>0</v>
      </c>
      <c r="DP44" s="48">
        <f t="shared" si="92"/>
        <v>0</v>
      </c>
      <c r="DQ44" s="48"/>
      <c r="DR44" s="48"/>
      <c r="DS44" s="48"/>
      <c r="DT44" s="48">
        <f t="shared" si="93"/>
        <v>0</v>
      </c>
      <c r="DU44" s="48"/>
      <c r="DV44" s="48"/>
      <c r="DW44" s="48"/>
      <c r="DX44" s="48">
        <f t="shared" si="94"/>
        <v>0</v>
      </c>
      <c r="DY44" s="48">
        <f t="shared" si="95"/>
        <v>3355</v>
      </c>
      <c r="DZ44" s="48">
        <f t="shared" si="96"/>
        <v>20</v>
      </c>
      <c r="EA44" s="14">
        <f>D44*'MASTER SHEET'!D44</f>
        <v>0</v>
      </c>
      <c r="EB44" s="14">
        <f>H44*'MASTER SHEET'!D44</f>
        <v>0</v>
      </c>
      <c r="EC44" s="14">
        <f>L44*'MASTER SHEET'!D44</f>
        <v>0</v>
      </c>
      <c r="ED44" s="14">
        <f>P44*'MASTER SHEET'!D44</f>
        <v>0</v>
      </c>
      <c r="EE44" s="14">
        <f>T44*'MASTER SHEET'!D44</f>
        <v>0</v>
      </c>
      <c r="EF44" s="14">
        <f>X44*'MASTER SHEET'!D44</f>
        <v>0</v>
      </c>
      <c r="EG44" s="14">
        <f>AB44*'MASTER SHEET'!D44</f>
        <v>0</v>
      </c>
      <c r="EH44" s="14">
        <f>AF44*'MASTER SHEET'!D44</f>
        <v>0</v>
      </c>
      <c r="EI44" s="14">
        <f>AJ44*'MASTER SHEET'!D44</f>
        <v>0</v>
      </c>
      <c r="EJ44" s="14">
        <f>AN44*'MASTER SHEET'!D44</f>
        <v>0</v>
      </c>
      <c r="EK44" s="14">
        <f>AR44*'MASTER SHEET'!D44</f>
        <v>0</v>
      </c>
      <c r="EL44" s="14">
        <f>AV44*'MASTER SHEET'!D44</f>
        <v>0</v>
      </c>
      <c r="EM44" s="14">
        <f>AZ44*'MASTER SHEET'!D44</f>
        <v>0</v>
      </c>
      <c r="EN44" s="14">
        <f>BD44*'MASTER SHEET'!D44</f>
        <v>0</v>
      </c>
      <c r="EO44" s="14">
        <f>BH44*'MASTER SHEET'!D44</f>
        <v>0</v>
      </c>
      <c r="EP44" s="14">
        <f>BL44*'MASTER SHEET'!D44</f>
        <v>0</v>
      </c>
      <c r="EQ44" s="14">
        <f>BP44*'MASTER SHEET'!D44</f>
        <v>0</v>
      </c>
      <c r="ER44" s="14">
        <f>BT44*'MASTER SHEET'!D44</f>
        <v>0</v>
      </c>
      <c r="ES44" s="14">
        <f>BX44*'MASTER SHEET'!D44</f>
        <v>0</v>
      </c>
      <c r="ET44" s="21">
        <f>CB44*'MASTER SHEET'!D44</f>
        <v>0</v>
      </c>
      <c r="EU44" s="14">
        <f>CF44*'MASTER SHEET'!D44</f>
        <v>0</v>
      </c>
      <c r="EV44" s="14">
        <f>CJ44*'MASTER SHEET'!D44</f>
        <v>0</v>
      </c>
      <c r="EW44" s="14">
        <f>CN44*'MASTER SHEET'!D44</f>
        <v>0</v>
      </c>
      <c r="EX44" s="14">
        <f>CR44*'MASTER SHEET'!D44</f>
        <v>0</v>
      </c>
      <c r="EY44" s="14">
        <f>CR44*'MASTER SHEET'!D44</f>
        <v>0</v>
      </c>
      <c r="EZ44" s="14">
        <f>CV44*'MASTER SHEET'!D44</f>
        <v>0</v>
      </c>
      <c r="FA44" s="14">
        <f>CZ44*'MASTER SHEET'!D44</f>
        <v>0</v>
      </c>
      <c r="FB44" s="14">
        <f>DD44*'MASTER SHEET'!D44</f>
        <v>0</v>
      </c>
    </row>
    <row r="45" spans="1:158" ht="18.75" customHeight="1" x14ac:dyDescent="0.25">
      <c r="A45" s="43">
        <f>'MASTER SHEET'!A45</f>
        <v>43</v>
      </c>
      <c r="B45" s="49" t="str">
        <f>'MASTER SHEET'!B45</f>
        <v>END PLATE PLASTIC</v>
      </c>
      <c r="C45" s="86">
        <f>'MASTER SHEET'!C45</f>
        <v>5029050</v>
      </c>
      <c r="D45" s="51"/>
      <c r="E45" s="48"/>
      <c r="F45" s="48"/>
      <c r="G45" s="48"/>
      <c r="H45" s="48">
        <f t="shared" si="64"/>
        <v>0</v>
      </c>
      <c r="I45" s="28"/>
      <c r="J45" s="28"/>
      <c r="K45" s="65"/>
      <c r="L45" s="48">
        <f t="shared" si="65"/>
        <v>0</v>
      </c>
      <c r="M45" s="48"/>
      <c r="N45" s="48"/>
      <c r="O45" s="48"/>
      <c r="P45" s="48">
        <f t="shared" si="66"/>
        <v>0</v>
      </c>
      <c r="Q45" s="48"/>
      <c r="R45" s="48"/>
      <c r="S45" s="48"/>
      <c r="T45" s="48">
        <f t="shared" si="67"/>
        <v>0</v>
      </c>
      <c r="U45" s="48">
        <v>0</v>
      </c>
      <c r="V45" s="48"/>
      <c r="W45" s="48"/>
      <c r="X45" s="48">
        <f t="shared" si="68"/>
        <v>0</v>
      </c>
      <c r="Y45" s="48"/>
      <c r="Z45" s="48"/>
      <c r="AA45" s="48"/>
      <c r="AB45" s="48">
        <f t="shared" si="69"/>
        <v>0</v>
      </c>
      <c r="AC45" s="48"/>
      <c r="AD45" s="48"/>
      <c r="AE45" s="48"/>
      <c r="AF45" s="48">
        <f t="shared" si="70"/>
        <v>0</v>
      </c>
      <c r="AG45" s="48"/>
      <c r="AH45" s="48"/>
      <c r="AI45" s="48"/>
      <c r="AJ45" s="48">
        <f t="shared" si="71"/>
        <v>0</v>
      </c>
      <c r="AK45" s="48"/>
      <c r="AL45" s="48"/>
      <c r="AM45" s="48"/>
      <c r="AN45" s="48">
        <f t="shared" si="72"/>
        <v>0</v>
      </c>
      <c r="AO45" s="48"/>
      <c r="AP45" s="48"/>
      <c r="AQ45" s="48"/>
      <c r="AR45" s="48">
        <f t="shared" si="73"/>
        <v>0</v>
      </c>
      <c r="AS45" s="48"/>
      <c r="AT45" s="48"/>
      <c r="AU45" s="48"/>
      <c r="AV45" s="48">
        <f t="shared" si="74"/>
        <v>0</v>
      </c>
      <c r="AW45" s="48"/>
      <c r="AX45" s="48"/>
      <c r="AY45" s="48"/>
      <c r="AZ45" s="48">
        <f t="shared" si="75"/>
        <v>0</v>
      </c>
      <c r="BA45" s="48"/>
      <c r="BB45" s="48"/>
      <c r="BC45" s="48"/>
      <c r="BD45" s="48">
        <f t="shared" si="76"/>
        <v>0</v>
      </c>
      <c r="BE45" s="48"/>
      <c r="BF45" s="48"/>
      <c r="BG45" s="48"/>
      <c r="BH45" s="48">
        <f t="shared" si="77"/>
        <v>0</v>
      </c>
      <c r="BI45" s="48"/>
      <c r="BJ45" s="48"/>
      <c r="BK45" s="48"/>
      <c r="BL45" s="48">
        <f t="shared" si="78"/>
        <v>0</v>
      </c>
      <c r="BM45" s="48"/>
      <c r="BN45" s="48"/>
      <c r="BO45" s="48"/>
      <c r="BP45" s="48">
        <f t="shared" si="79"/>
        <v>0</v>
      </c>
      <c r="BQ45" s="48"/>
      <c r="BR45" s="48"/>
      <c r="BS45" s="48"/>
      <c r="BT45" s="48">
        <f t="shared" si="80"/>
        <v>0</v>
      </c>
      <c r="BU45" s="48"/>
      <c r="BV45" s="48"/>
      <c r="BW45" s="48"/>
      <c r="BX45" s="48">
        <f t="shared" si="81"/>
        <v>0</v>
      </c>
      <c r="BY45" s="48"/>
      <c r="BZ45" s="48"/>
      <c r="CA45" s="48"/>
      <c r="CB45" s="48">
        <f t="shared" si="82"/>
        <v>0</v>
      </c>
      <c r="CC45" s="48"/>
      <c r="CD45" s="48"/>
      <c r="CE45" s="48"/>
      <c r="CF45" s="48">
        <f t="shared" si="83"/>
        <v>0</v>
      </c>
      <c r="CG45" s="48"/>
      <c r="CH45" s="48"/>
      <c r="CI45" s="48"/>
      <c r="CJ45" s="48">
        <f t="shared" si="84"/>
        <v>0</v>
      </c>
      <c r="CK45" s="48"/>
      <c r="CL45" s="48"/>
      <c r="CM45" s="48"/>
      <c r="CN45" s="48">
        <f t="shared" si="85"/>
        <v>0</v>
      </c>
      <c r="CO45" s="48"/>
      <c r="CP45" s="48"/>
      <c r="CQ45" s="48"/>
      <c r="CR45" s="48">
        <f t="shared" si="86"/>
        <v>0</v>
      </c>
      <c r="CS45" s="48"/>
      <c r="CT45" s="48"/>
      <c r="CU45" s="48"/>
      <c r="CV45" s="48">
        <f t="shared" si="87"/>
        <v>0</v>
      </c>
      <c r="CW45" s="48"/>
      <c r="CX45" s="48"/>
      <c r="CY45" s="48"/>
      <c r="CZ45" s="48">
        <f t="shared" si="88"/>
        <v>0</v>
      </c>
      <c r="DA45" s="48"/>
      <c r="DB45" s="48"/>
      <c r="DC45" s="48"/>
      <c r="DD45" s="48">
        <f t="shared" si="89"/>
        <v>0</v>
      </c>
      <c r="DE45" s="48"/>
      <c r="DF45" s="48"/>
      <c r="DG45" s="48"/>
      <c r="DH45" s="48">
        <f t="shared" si="90"/>
        <v>0</v>
      </c>
      <c r="DI45" s="48"/>
      <c r="DJ45" s="48"/>
      <c r="DK45" s="48"/>
      <c r="DL45" s="48">
        <f t="shared" si="91"/>
        <v>0</v>
      </c>
      <c r="DM45" s="48"/>
      <c r="DN45" s="48"/>
      <c r="DO45" s="48"/>
      <c r="DP45" s="48">
        <f t="shared" si="92"/>
        <v>0</v>
      </c>
      <c r="DQ45" s="48"/>
      <c r="DR45" s="48"/>
      <c r="DS45" s="48"/>
      <c r="DT45" s="48">
        <f t="shared" si="93"/>
        <v>0</v>
      </c>
      <c r="DU45" s="48"/>
      <c r="DV45" s="48"/>
      <c r="DW45" s="48"/>
      <c r="DX45" s="48">
        <f t="shared" si="94"/>
        <v>0</v>
      </c>
      <c r="DY45" s="48">
        <f t="shared" si="95"/>
        <v>0</v>
      </c>
      <c r="DZ45" s="48">
        <f t="shared" si="96"/>
        <v>0</v>
      </c>
      <c r="EA45" s="14">
        <f>D45*'MASTER SHEET'!D45</f>
        <v>0</v>
      </c>
      <c r="EB45" s="14">
        <f>H45*'MASTER SHEET'!D45</f>
        <v>0</v>
      </c>
      <c r="EC45" s="14">
        <f>L45*'MASTER SHEET'!D45</f>
        <v>0</v>
      </c>
      <c r="ED45" s="14">
        <f>P45*'MASTER SHEET'!D45</f>
        <v>0</v>
      </c>
      <c r="EE45" s="14">
        <f>T45*'MASTER SHEET'!D45</f>
        <v>0</v>
      </c>
      <c r="EF45" s="14">
        <f>X45*'MASTER SHEET'!D45</f>
        <v>0</v>
      </c>
      <c r="EG45" s="14">
        <f>AB45*'MASTER SHEET'!D45</f>
        <v>0</v>
      </c>
      <c r="EH45" s="14">
        <f>AF45*'MASTER SHEET'!D45</f>
        <v>0</v>
      </c>
      <c r="EI45" s="14">
        <f>AJ45*'MASTER SHEET'!D45</f>
        <v>0</v>
      </c>
      <c r="EJ45" s="14">
        <f>AN45*'MASTER SHEET'!D45</f>
        <v>0</v>
      </c>
      <c r="EK45" s="14">
        <f>AR45*'MASTER SHEET'!D45</f>
        <v>0</v>
      </c>
      <c r="EL45" s="14">
        <f>AV45*'MASTER SHEET'!D45</f>
        <v>0</v>
      </c>
      <c r="EM45" s="14">
        <f>AZ45*'MASTER SHEET'!D45</f>
        <v>0</v>
      </c>
      <c r="EN45" s="14">
        <f>BD45*'MASTER SHEET'!D45</f>
        <v>0</v>
      </c>
      <c r="EO45" s="14">
        <f>BH45*'MASTER SHEET'!D45</f>
        <v>0</v>
      </c>
      <c r="EP45" s="14">
        <f>BL45*'MASTER SHEET'!D45</f>
        <v>0</v>
      </c>
      <c r="EQ45" s="14">
        <f>BP45*'MASTER SHEET'!D45</f>
        <v>0</v>
      </c>
      <c r="ER45" s="14">
        <f>BT45*'MASTER SHEET'!D45</f>
        <v>0</v>
      </c>
      <c r="ES45" s="14">
        <f>BX45*'MASTER SHEET'!D45</f>
        <v>0</v>
      </c>
      <c r="ET45" s="21">
        <f>CB45*'MASTER SHEET'!D45</f>
        <v>0</v>
      </c>
      <c r="EU45" s="14">
        <f>CF45*'MASTER SHEET'!D45</f>
        <v>0</v>
      </c>
      <c r="EV45" s="14">
        <f>CJ45*'MASTER SHEET'!D45</f>
        <v>0</v>
      </c>
      <c r="EW45" s="14">
        <f>CN45*'MASTER SHEET'!D45</f>
        <v>0</v>
      </c>
      <c r="EX45" s="14">
        <f>CR45*'MASTER SHEET'!D45</f>
        <v>0</v>
      </c>
      <c r="EY45" s="14">
        <f>CR45*'MASTER SHEET'!D45</f>
        <v>0</v>
      </c>
      <c r="EZ45" s="14">
        <f>CV45*'MASTER SHEET'!D45</f>
        <v>0</v>
      </c>
      <c r="FA45" s="14">
        <f>CZ45*'MASTER SHEET'!D45</f>
        <v>0</v>
      </c>
      <c r="FB45" s="14">
        <f>DD45*'MASTER SHEET'!D45</f>
        <v>0</v>
      </c>
    </row>
    <row r="46" spans="1:158" ht="18.75" customHeight="1" x14ac:dyDescent="0.25">
      <c r="A46" s="43">
        <f>'MASTER SHEET'!A46</f>
        <v>44</v>
      </c>
      <c r="B46" s="49" t="str">
        <f>'MASTER SHEET'!B46</f>
        <v>END PLATE PLASTIC</v>
      </c>
      <c r="C46" s="86">
        <f>'MASTER SHEET'!C46</f>
        <v>5029356</v>
      </c>
      <c r="D46" s="51"/>
      <c r="E46" s="48"/>
      <c r="F46" s="48"/>
      <c r="G46" s="48"/>
      <c r="H46" s="48">
        <f t="shared" si="64"/>
        <v>0</v>
      </c>
      <c r="I46" s="28"/>
      <c r="J46" s="28"/>
      <c r="K46" s="65"/>
      <c r="L46" s="48">
        <f t="shared" si="65"/>
        <v>0</v>
      </c>
      <c r="M46" s="48"/>
      <c r="N46" s="48"/>
      <c r="O46" s="48"/>
      <c r="P46" s="48">
        <f t="shared" si="66"/>
        <v>0</v>
      </c>
      <c r="Q46" s="48"/>
      <c r="R46" s="48"/>
      <c r="S46" s="48"/>
      <c r="T46" s="48">
        <f t="shared" si="67"/>
        <v>0</v>
      </c>
      <c r="U46" s="48">
        <v>0</v>
      </c>
      <c r="V46" s="48"/>
      <c r="W46" s="48"/>
      <c r="X46" s="48">
        <f t="shared" si="68"/>
        <v>0</v>
      </c>
      <c r="Y46" s="48"/>
      <c r="Z46" s="48"/>
      <c r="AA46" s="48"/>
      <c r="AB46" s="48">
        <f t="shared" si="69"/>
        <v>0</v>
      </c>
      <c r="AC46" s="48"/>
      <c r="AD46" s="48"/>
      <c r="AE46" s="48"/>
      <c r="AF46" s="48">
        <f t="shared" si="70"/>
        <v>0</v>
      </c>
      <c r="AG46" s="48"/>
      <c r="AH46" s="48"/>
      <c r="AI46" s="48"/>
      <c r="AJ46" s="48">
        <f t="shared" si="71"/>
        <v>0</v>
      </c>
      <c r="AK46" s="48"/>
      <c r="AL46" s="48"/>
      <c r="AM46" s="48"/>
      <c r="AN46" s="48">
        <f t="shared" si="72"/>
        <v>0</v>
      </c>
      <c r="AO46" s="48"/>
      <c r="AP46" s="48"/>
      <c r="AQ46" s="48"/>
      <c r="AR46" s="48">
        <f t="shared" si="73"/>
        <v>0</v>
      </c>
      <c r="AS46" s="48"/>
      <c r="AT46" s="48"/>
      <c r="AU46" s="48"/>
      <c r="AV46" s="48">
        <f t="shared" si="74"/>
        <v>0</v>
      </c>
      <c r="AW46" s="48"/>
      <c r="AX46" s="48"/>
      <c r="AY46" s="48"/>
      <c r="AZ46" s="48">
        <f t="shared" si="75"/>
        <v>0</v>
      </c>
      <c r="BA46" s="48"/>
      <c r="BB46" s="48"/>
      <c r="BC46" s="48"/>
      <c r="BD46" s="48">
        <f t="shared" si="76"/>
        <v>0</v>
      </c>
      <c r="BE46" s="48"/>
      <c r="BF46" s="48"/>
      <c r="BG46" s="48"/>
      <c r="BH46" s="48">
        <f t="shared" si="77"/>
        <v>0</v>
      </c>
      <c r="BI46" s="48"/>
      <c r="BJ46" s="48"/>
      <c r="BK46" s="48"/>
      <c r="BL46" s="48">
        <f t="shared" si="78"/>
        <v>0</v>
      </c>
      <c r="BM46" s="48"/>
      <c r="BN46" s="48"/>
      <c r="BO46" s="48"/>
      <c r="BP46" s="48">
        <f t="shared" si="79"/>
        <v>0</v>
      </c>
      <c r="BQ46" s="48"/>
      <c r="BR46" s="48"/>
      <c r="BS46" s="48"/>
      <c r="BT46" s="48">
        <f t="shared" si="80"/>
        <v>0</v>
      </c>
      <c r="BU46" s="48"/>
      <c r="BV46" s="48"/>
      <c r="BW46" s="48"/>
      <c r="BX46" s="48">
        <f t="shared" si="81"/>
        <v>0</v>
      </c>
      <c r="BY46" s="48"/>
      <c r="BZ46" s="48"/>
      <c r="CA46" s="48"/>
      <c r="CB46" s="48">
        <f t="shared" si="82"/>
        <v>0</v>
      </c>
      <c r="CC46" s="48"/>
      <c r="CD46" s="48"/>
      <c r="CE46" s="48"/>
      <c r="CF46" s="48">
        <f t="shared" si="83"/>
        <v>0</v>
      </c>
      <c r="CG46" s="48"/>
      <c r="CH46" s="48"/>
      <c r="CI46" s="48"/>
      <c r="CJ46" s="48">
        <f t="shared" si="84"/>
        <v>0</v>
      </c>
      <c r="CK46" s="48"/>
      <c r="CL46" s="48"/>
      <c r="CM46" s="48"/>
      <c r="CN46" s="48">
        <f t="shared" si="85"/>
        <v>0</v>
      </c>
      <c r="CO46" s="48"/>
      <c r="CP46" s="48"/>
      <c r="CQ46" s="48"/>
      <c r="CR46" s="48">
        <f t="shared" si="86"/>
        <v>0</v>
      </c>
      <c r="CS46" s="48"/>
      <c r="CT46" s="48"/>
      <c r="CU46" s="48"/>
      <c r="CV46" s="48">
        <f t="shared" si="87"/>
        <v>0</v>
      </c>
      <c r="CW46" s="48"/>
      <c r="CX46" s="48"/>
      <c r="CY46" s="48"/>
      <c r="CZ46" s="48">
        <f t="shared" si="88"/>
        <v>0</v>
      </c>
      <c r="DA46" s="48"/>
      <c r="DB46" s="48"/>
      <c r="DC46" s="48"/>
      <c r="DD46" s="48">
        <f t="shared" si="89"/>
        <v>0</v>
      </c>
      <c r="DE46" s="48"/>
      <c r="DF46" s="48"/>
      <c r="DG46" s="48"/>
      <c r="DH46" s="48">
        <f t="shared" si="90"/>
        <v>0</v>
      </c>
      <c r="DI46" s="48"/>
      <c r="DJ46" s="48"/>
      <c r="DK46" s="48"/>
      <c r="DL46" s="48">
        <f t="shared" si="91"/>
        <v>0</v>
      </c>
      <c r="DM46" s="48"/>
      <c r="DN46" s="48"/>
      <c r="DO46" s="48"/>
      <c r="DP46" s="48">
        <f t="shared" si="92"/>
        <v>0</v>
      </c>
      <c r="DQ46" s="48"/>
      <c r="DR46" s="48"/>
      <c r="DS46" s="48"/>
      <c r="DT46" s="48">
        <f t="shared" si="93"/>
        <v>0</v>
      </c>
      <c r="DU46" s="48"/>
      <c r="DV46" s="48"/>
      <c r="DW46" s="48"/>
      <c r="DX46" s="48">
        <f t="shared" si="94"/>
        <v>0</v>
      </c>
      <c r="DY46" s="48">
        <f t="shared" si="95"/>
        <v>0</v>
      </c>
      <c r="DZ46" s="48">
        <f t="shared" si="96"/>
        <v>0</v>
      </c>
      <c r="EA46" s="14">
        <f>D46*'MASTER SHEET'!D46</f>
        <v>0</v>
      </c>
      <c r="EB46" s="14">
        <f>H46*'MASTER SHEET'!D46</f>
        <v>0</v>
      </c>
      <c r="EC46" s="14">
        <f>L46*'MASTER SHEET'!D46</f>
        <v>0</v>
      </c>
      <c r="ED46" s="14">
        <f>P46*'MASTER SHEET'!D46</f>
        <v>0</v>
      </c>
      <c r="EE46" s="14">
        <f>T46*'MASTER SHEET'!D46</f>
        <v>0</v>
      </c>
      <c r="EF46" s="14">
        <f>X46*'MASTER SHEET'!D46</f>
        <v>0</v>
      </c>
      <c r="EG46" s="14">
        <f>AB46*'MASTER SHEET'!D46</f>
        <v>0</v>
      </c>
      <c r="EH46" s="14">
        <f>AF46*'MASTER SHEET'!D46</f>
        <v>0</v>
      </c>
      <c r="EI46" s="14">
        <f>AJ46*'MASTER SHEET'!D46</f>
        <v>0</v>
      </c>
      <c r="EJ46" s="14">
        <f>AN46*'MASTER SHEET'!D46</f>
        <v>0</v>
      </c>
      <c r="EK46" s="14">
        <f>AR46*'MASTER SHEET'!D46</f>
        <v>0</v>
      </c>
      <c r="EL46" s="14">
        <f>AV46*'MASTER SHEET'!D46</f>
        <v>0</v>
      </c>
      <c r="EM46" s="14">
        <f>AZ46*'MASTER SHEET'!D46</f>
        <v>0</v>
      </c>
      <c r="EN46" s="14">
        <f>BD46*'MASTER SHEET'!D46</f>
        <v>0</v>
      </c>
      <c r="EO46" s="14">
        <f>BH46*'MASTER SHEET'!D46</f>
        <v>0</v>
      </c>
      <c r="EP46" s="14">
        <f>BL46*'MASTER SHEET'!D46</f>
        <v>0</v>
      </c>
      <c r="EQ46" s="14">
        <f>BP46*'MASTER SHEET'!D46</f>
        <v>0</v>
      </c>
      <c r="ER46" s="14">
        <f>BT46*'MASTER SHEET'!D46</f>
        <v>0</v>
      </c>
      <c r="ES46" s="14">
        <f>BX46*'MASTER SHEET'!D46</f>
        <v>0</v>
      </c>
      <c r="ET46" s="21">
        <f>CB46*'MASTER SHEET'!D46</f>
        <v>0</v>
      </c>
      <c r="EU46" s="14">
        <f>CF46*'MASTER SHEET'!D46</f>
        <v>0</v>
      </c>
      <c r="EV46" s="14">
        <f>CJ46*'MASTER SHEET'!D46</f>
        <v>0</v>
      </c>
      <c r="EW46" s="14">
        <f>CN46*'MASTER SHEET'!D46</f>
        <v>0</v>
      </c>
      <c r="EX46" s="14">
        <f>CR46*'MASTER SHEET'!D46</f>
        <v>0</v>
      </c>
      <c r="EY46" s="14">
        <f>CR46*'MASTER SHEET'!D46</f>
        <v>0</v>
      </c>
      <c r="EZ46" s="14">
        <f>CV46*'MASTER SHEET'!D46</f>
        <v>0</v>
      </c>
      <c r="FA46" s="14">
        <f>CZ46*'MASTER SHEET'!D46</f>
        <v>0</v>
      </c>
      <c r="FB46" s="14">
        <f>DD46*'MASTER SHEET'!D46</f>
        <v>0</v>
      </c>
    </row>
    <row r="47" spans="1:158" ht="18.75" customHeight="1" x14ac:dyDescent="0.25">
      <c r="A47" s="43">
        <f>'MASTER SHEET'!A47</f>
        <v>45</v>
      </c>
      <c r="B47" s="49" t="str">
        <f>'MASTER SHEET'!B47</f>
        <v>END PLATE PLASTIC</v>
      </c>
      <c r="C47" s="86">
        <f>'MASTER SHEET'!C47</f>
        <v>5029357</v>
      </c>
      <c r="D47" s="51"/>
      <c r="E47" s="48"/>
      <c r="F47" s="48"/>
      <c r="G47" s="48"/>
      <c r="H47" s="48">
        <f t="shared" si="64"/>
        <v>0</v>
      </c>
      <c r="I47" s="28"/>
      <c r="J47" s="28"/>
      <c r="K47" s="65"/>
      <c r="L47" s="48">
        <f t="shared" si="65"/>
        <v>0</v>
      </c>
      <c r="M47" s="48"/>
      <c r="N47" s="48"/>
      <c r="O47" s="48"/>
      <c r="P47" s="48">
        <f t="shared" si="66"/>
        <v>0</v>
      </c>
      <c r="Q47" s="48"/>
      <c r="R47" s="48"/>
      <c r="S47" s="48"/>
      <c r="T47" s="48">
        <f t="shared" si="67"/>
        <v>0</v>
      </c>
      <c r="U47" s="48">
        <v>0</v>
      </c>
      <c r="V47" s="48"/>
      <c r="W47" s="48"/>
      <c r="X47" s="48">
        <f t="shared" si="68"/>
        <v>0</v>
      </c>
      <c r="Y47" s="48"/>
      <c r="Z47" s="48"/>
      <c r="AA47" s="48"/>
      <c r="AB47" s="48">
        <f t="shared" si="69"/>
        <v>0</v>
      </c>
      <c r="AC47" s="48"/>
      <c r="AD47" s="48"/>
      <c r="AE47" s="48"/>
      <c r="AF47" s="48">
        <f t="shared" si="70"/>
        <v>0</v>
      </c>
      <c r="AG47" s="48"/>
      <c r="AH47" s="48"/>
      <c r="AI47" s="48"/>
      <c r="AJ47" s="48">
        <f t="shared" si="71"/>
        <v>0</v>
      </c>
      <c r="AK47" s="48"/>
      <c r="AL47" s="48"/>
      <c r="AM47" s="48"/>
      <c r="AN47" s="48">
        <f t="shared" si="72"/>
        <v>0</v>
      </c>
      <c r="AO47" s="48"/>
      <c r="AP47" s="48"/>
      <c r="AQ47" s="48"/>
      <c r="AR47" s="48">
        <f t="shared" si="73"/>
        <v>0</v>
      </c>
      <c r="AS47" s="48"/>
      <c r="AT47" s="48"/>
      <c r="AU47" s="48"/>
      <c r="AV47" s="48">
        <f t="shared" si="74"/>
        <v>0</v>
      </c>
      <c r="AW47" s="48"/>
      <c r="AX47" s="48"/>
      <c r="AY47" s="48"/>
      <c r="AZ47" s="48">
        <f t="shared" si="75"/>
        <v>0</v>
      </c>
      <c r="BA47" s="48"/>
      <c r="BB47" s="48"/>
      <c r="BC47" s="48"/>
      <c r="BD47" s="48">
        <f t="shared" si="76"/>
        <v>0</v>
      </c>
      <c r="BE47" s="48"/>
      <c r="BF47" s="48"/>
      <c r="BG47" s="48"/>
      <c r="BH47" s="48">
        <f t="shared" si="77"/>
        <v>0</v>
      </c>
      <c r="BI47" s="48"/>
      <c r="BJ47" s="48"/>
      <c r="BK47" s="48"/>
      <c r="BL47" s="48">
        <f t="shared" si="78"/>
        <v>0</v>
      </c>
      <c r="BM47" s="48"/>
      <c r="BN47" s="48"/>
      <c r="BO47" s="48"/>
      <c r="BP47" s="48">
        <f t="shared" si="79"/>
        <v>0</v>
      </c>
      <c r="BQ47" s="48"/>
      <c r="BR47" s="48"/>
      <c r="BS47" s="48"/>
      <c r="BT47" s="48">
        <f t="shared" si="80"/>
        <v>0</v>
      </c>
      <c r="BU47" s="48"/>
      <c r="BV47" s="48"/>
      <c r="BW47" s="48"/>
      <c r="BX47" s="48">
        <f t="shared" si="81"/>
        <v>0</v>
      </c>
      <c r="BY47" s="48"/>
      <c r="BZ47" s="48"/>
      <c r="CA47" s="48"/>
      <c r="CB47" s="48">
        <f t="shared" si="82"/>
        <v>0</v>
      </c>
      <c r="CC47" s="48"/>
      <c r="CD47" s="48"/>
      <c r="CE47" s="48"/>
      <c r="CF47" s="48">
        <f t="shared" si="83"/>
        <v>0</v>
      </c>
      <c r="CG47" s="48"/>
      <c r="CH47" s="48"/>
      <c r="CI47" s="48"/>
      <c r="CJ47" s="48">
        <f t="shared" si="84"/>
        <v>0</v>
      </c>
      <c r="CK47" s="48"/>
      <c r="CL47" s="48"/>
      <c r="CM47" s="48"/>
      <c r="CN47" s="48">
        <f t="shared" si="85"/>
        <v>0</v>
      </c>
      <c r="CO47" s="48"/>
      <c r="CP47" s="48"/>
      <c r="CQ47" s="48"/>
      <c r="CR47" s="48">
        <f t="shared" si="86"/>
        <v>0</v>
      </c>
      <c r="CS47" s="48"/>
      <c r="CT47" s="48"/>
      <c r="CU47" s="48"/>
      <c r="CV47" s="48">
        <f t="shared" si="87"/>
        <v>0</v>
      </c>
      <c r="CW47" s="48"/>
      <c r="CX47" s="48"/>
      <c r="CY47" s="48"/>
      <c r="CZ47" s="48">
        <f t="shared" si="88"/>
        <v>0</v>
      </c>
      <c r="DA47" s="48"/>
      <c r="DB47" s="48"/>
      <c r="DC47" s="48"/>
      <c r="DD47" s="48">
        <f t="shared" si="89"/>
        <v>0</v>
      </c>
      <c r="DE47" s="48"/>
      <c r="DF47" s="48"/>
      <c r="DG47" s="48"/>
      <c r="DH47" s="48">
        <f t="shared" si="90"/>
        <v>0</v>
      </c>
      <c r="DI47" s="48"/>
      <c r="DJ47" s="48"/>
      <c r="DK47" s="48"/>
      <c r="DL47" s="48">
        <f t="shared" si="91"/>
        <v>0</v>
      </c>
      <c r="DM47" s="48"/>
      <c r="DN47" s="48"/>
      <c r="DO47" s="48"/>
      <c r="DP47" s="48">
        <f t="shared" si="92"/>
        <v>0</v>
      </c>
      <c r="DQ47" s="48"/>
      <c r="DR47" s="48"/>
      <c r="DS47" s="48"/>
      <c r="DT47" s="48">
        <f t="shared" si="93"/>
        <v>0</v>
      </c>
      <c r="DU47" s="48"/>
      <c r="DV47" s="48"/>
      <c r="DW47" s="48"/>
      <c r="DX47" s="48">
        <f t="shared" si="94"/>
        <v>0</v>
      </c>
      <c r="DY47" s="48">
        <f t="shared" si="95"/>
        <v>0</v>
      </c>
      <c r="DZ47" s="48">
        <f t="shared" si="96"/>
        <v>0</v>
      </c>
      <c r="EA47" s="14">
        <f>D47*'MASTER SHEET'!D47</f>
        <v>0</v>
      </c>
      <c r="EB47" s="14">
        <f>H47*'MASTER SHEET'!D47</f>
        <v>0</v>
      </c>
      <c r="EC47" s="14">
        <f>L47*'MASTER SHEET'!D47</f>
        <v>0</v>
      </c>
      <c r="ED47" s="14">
        <f>P47*'MASTER SHEET'!D47</f>
        <v>0</v>
      </c>
      <c r="EE47" s="14">
        <f>T47*'MASTER SHEET'!D47</f>
        <v>0</v>
      </c>
      <c r="EF47" s="14">
        <f>X47*'MASTER SHEET'!D47</f>
        <v>0</v>
      </c>
      <c r="EG47" s="14">
        <f>AB47*'MASTER SHEET'!D47</f>
        <v>0</v>
      </c>
      <c r="EH47" s="14">
        <f>AF47*'MASTER SHEET'!D47</f>
        <v>0</v>
      </c>
      <c r="EI47" s="14">
        <f>AJ47*'MASTER SHEET'!D47</f>
        <v>0</v>
      </c>
      <c r="EJ47" s="14">
        <f>AN47*'MASTER SHEET'!D47</f>
        <v>0</v>
      </c>
      <c r="EK47" s="14">
        <f>AR47*'MASTER SHEET'!D47</f>
        <v>0</v>
      </c>
      <c r="EL47" s="14">
        <f>AV47*'MASTER SHEET'!D47</f>
        <v>0</v>
      </c>
      <c r="EM47" s="14">
        <f>AZ47*'MASTER SHEET'!D47</f>
        <v>0</v>
      </c>
      <c r="EN47" s="14">
        <f>BD47*'MASTER SHEET'!D47</f>
        <v>0</v>
      </c>
      <c r="EO47" s="14">
        <f>BH47*'MASTER SHEET'!D47</f>
        <v>0</v>
      </c>
      <c r="EP47" s="14">
        <f>BL47*'MASTER SHEET'!D47</f>
        <v>0</v>
      </c>
      <c r="EQ47" s="14">
        <f>BP47*'MASTER SHEET'!D47</f>
        <v>0</v>
      </c>
      <c r="ER47" s="14">
        <f>BT47*'MASTER SHEET'!D47</f>
        <v>0</v>
      </c>
      <c r="ES47" s="14">
        <f>BX47*'MASTER SHEET'!D47</f>
        <v>0</v>
      </c>
      <c r="ET47" s="21">
        <f>CB47*'MASTER SHEET'!D47</f>
        <v>0</v>
      </c>
      <c r="EU47" s="14">
        <f>CF47*'MASTER SHEET'!D47</f>
        <v>0</v>
      </c>
      <c r="EV47" s="14">
        <f>CJ47*'MASTER SHEET'!D47</f>
        <v>0</v>
      </c>
      <c r="EW47" s="14">
        <f>CN47*'MASTER SHEET'!D47</f>
        <v>0</v>
      </c>
      <c r="EX47" s="14">
        <f>CR47*'MASTER SHEET'!D47</f>
        <v>0</v>
      </c>
      <c r="EY47" s="14">
        <f>CR47*'MASTER SHEET'!D47</f>
        <v>0</v>
      </c>
      <c r="EZ47" s="14">
        <f>CV47*'MASTER SHEET'!D47</f>
        <v>0</v>
      </c>
      <c r="FA47" s="14">
        <f>CZ47*'MASTER SHEET'!D47</f>
        <v>0</v>
      </c>
      <c r="FB47" s="14">
        <f>DD47*'MASTER SHEET'!D47</f>
        <v>0</v>
      </c>
    </row>
    <row r="48" spans="1:158" ht="18.75" customHeight="1" x14ac:dyDescent="0.25">
      <c r="A48" s="43">
        <f>'MASTER SHEET'!A48</f>
        <v>46</v>
      </c>
      <c r="B48" s="49" t="str">
        <f>'MASTER SHEET'!B48</f>
        <v>CENTERTUBE PLASTIC</v>
      </c>
      <c r="C48" s="86">
        <f>'MASTER SHEET'!C48</f>
        <v>5029358</v>
      </c>
      <c r="D48" s="51"/>
      <c r="E48" s="48"/>
      <c r="F48" s="48"/>
      <c r="G48" s="48"/>
      <c r="H48" s="48">
        <f t="shared" si="64"/>
        <v>0</v>
      </c>
      <c r="I48" s="28"/>
      <c r="J48" s="28"/>
      <c r="K48" s="65"/>
      <c r="L48" s="48">
        <f t="shared" si="65"/>
        <v>0</v>
      </c>
      <c r="M48" s="48"/>
      <c r="N48" s="48"/>
      <c r="O48" s="48"/>
      <c r="P48" s="48">
        <f t="shared" si="66"/>
        <v>0</v>
      </c>
      <c r="Q48" s="48"/>
      <c r="R48" s="48"/>
      <c r="S48" s="48"/>
      <c r="T48" s="48">
        <f t="shared" si="67"/>
        <v>0</v>
      </c>
      <c r="U48" s="48">
        <v>0</v>
      </c>
      <c r="V48" s="48"/>
      <c r="W48" s="48"/>
      <c r="X48" s="48">
        <f t="shared" si="68"/>
        <v>0</v>
      </c>
      <c r="Y48" s="48"/>
      <c r="Z48" s="48"/>
      <c r="AA48" s="48"/>
      <c r="AB48" s="48">
        <f t="shared" si="69"/>
        <v>0</v>
      </c>
      <c r="AC48" s="48"/>
      <c r="AD48" s="48"/>
      <c r="AE48" s="48"/>
      <c r="AF48" s="48">
        <f t="shared" si="70"/>
        <v>0</v>
      </c>
      <c r="AG48" s="48"/>
      <c r="AH48" s="48"/>
      <c r="AI48" s="48"/>
      <c r="AJ48" s="48">
        <f t="shared" si="71"/>
        <v>0</v>
      </c>
      <c r="AK48" s="48"/>
      <c r="AL48" s="48"/>
      <c r="AM48" s="48"/>
      <c r="AN48" s="48">
        <f t="shared" si="72"/>
        <v>0</v>
      </c>
      <c r="AO48" s="48"/>
      <c r="AP48" s="48"/>
      <c r="AQ48" s="48"/>
      <c r="AR48" s="48">
        <f t="shared" si="73"/>
        <v>0</v>
      </c>
      <c r="AS48" s="48"/>
      <c r="AT48" s="48"/>
      <c r="AU48" s="48"/>
      <c r="AV48" s="48">
        <f t="shared" si="74"/>
        <v>0</v>
      </c>
      <c r="AW48" s="48"/>
      <c r="AX48" s="48"/>
      <c r="AY48" s="48"/>
      <c r="AZ48" s="48">
        <f t="shared" si="75"/>
        <v>0</v>
      </c>
      <c r="BA48" s="48"/>
      <c r="BB48" s="48"/>
      <c r="BC48" s="48"/>
      <c r="BD48" s="48">
        <f t="shared" si="76"/>
        <v>0</v>
      </c>
      <c r="BE48" s="48"/>
      <c r="BF48" s="48"/>
      <c r="BG48" s="48"/>
      <c r="BH48" s="48">
        <f t="shared" si="77"/>
        <v>0</v>
      </c>
      <c r="BI48" s="48"/>
      <c r="BJ48" s="48"/>
      <c r="BK48" s="48"/>
      <c r="BL48" s="48">
        <f t="shared" si="78"/>
        <v>0</v>
      </c>
      <c r="BM48" s="48"/>
      <c r="BN48" s="48"/>
      <c r="BO48" s="48"/>
      <c r="BP48" s="48">
        <f t="shared" si="79"/>
        <v>0</v>
      </c>
      <c r="BQ48" s="48"/>
      <c r="BR48" s="48"/>
      <c r="BS48" s="48"/>
      <c r="BT48" s="48">
        <f t="shared" si="80"/>
        <v>0</v>
      </c>
      <c r="BU48" s="48"/>
      <c r="BV48" s="48"/>
      <c r="BW48" s="48"/>
      <c r="BX48" s="48">
        <f t="shared" si="81"/>
        <v>0</v>
      </c>
      <c r="BY48" s="48"/>
      <c r="BZ48" s="48"/>
      <c r="CA48" s="48"/>
      <c r="CB48" s="48">
        <f t="shared" si="82"/>
        <v>0</v>
      </c>
      <c r="CC48" s="48"/>
      <c r="CD48" s="48"/>
      <c r="CE48" s="48"/>
      <c r="CF48" s="48">
        <f t="shared" si="83"/>
        <v>0</v>
      </c>
      <c r="CG48" s="48"/>
      <c r="CH48" s="48"/>
      <c r="CI48" s="48"/>
      <c r="CJ48" s="48">
        <f t="shared" si="84"/>
        <v>0</v>
      </c>
      <c r="CK48" s="48"/>
      <c r="CL48" s="48"/>
      <c r="CM48" s="48"/>
      <c r="CN48" s="48">
        <f t="shared" si="85"/>
        <v>0</v>
      </c>
      <c r="CO48" s="48"/>
      <c r="CP48" s="48"/>
      <c r="CQ48" s="48"/>
      <c r="CR48" s="48">
        <f t="shared" si="86"/>
        <v>0</v>
      </c>
      <c r="CS48" s="48"/>
      <c r="CT48" s="48"/>
      <c r="CU48" s="48"/>
      <c r="CV48" s="48">
        <f t="shared" si="87"/>
        <v>0</v>
      </c>
      <c r="CW48" s="48"/>
      <c r="CX48" s="48"/>
      <c r="CY48" s="48"/>
      <c r="CZ48" s="48">
        <f t="shared" si="88"/>
        <v>0</v>
      </c>
      <c r="DA48" s="48"/>
      <c r="DB48" s="48"/>
      <c r="DC48" s="48"/>
      <c r="DD48" s="48">
        <f t="shared" si="89"/>
        <v>0</v>
      </c>
      <c r="DE48" s="48"/>
      <c r="DF48" s="48"/>
      <c r="DG48" s="48"/>
      <c r="DH48" s="48">
        <f t="shared" si="90"/>
        <v>0</v>
      </c>
      <c r="DI48" s="48"/>
      <c r="DJ48" s="48"/>
      <c r="DK48" s="48"/>
      <c r="DL48" s="48">
        <f t="shared" si="91"/>
        <v>0</v>
      </c>
      <c r="DM48" s="48"/>
      <c r="DN48" s="48"/>
      <c r="DO48" s="48"/>
      <c r="DP48" s="48">
        <f t="shared" si="92"/>
        <v>0</v>
      </c>
      <c r="DQ48" s="48"/>
      <c r="DR48" s="48"/>
      <c r="DS48" s="48"/>
      <c r="DT48" s="48">
        <f t="shared" si="93"/>
        <v>0</v>
      </c>
      <c r="DU48" s="48"/>
      <c r="DV48" s="48"/>
      <c r="DW48" s="48"/>
      <c r="DX48" s="48">
        <f t="shared" si="94"/>
        <v>0</v>
      </c>
      <c r="DY48" s="48">
        <f t="shared" si="95"/>
        <v>0</v>
      </c>
      <c r="DZ48" s="48">
        <f t="shared" si="96"/>
        <v>0</v>
      </c>
      <c r="EA48" s="14">
        <f>D48*'MASTER SHEET'!D48</f>
        <v>0</v>
      </c>
      <c r="EB48" s="14">
        <f>H48*'MASTER SHEET'!D48</f>
        <v>0</v>
      </c>
      <c r="EC48" s="14">
        <f>L48*'MASTER SHEET'!D48</f>
        <v>0</v>
      </c>
      <c r="ED48" s="14">
        <f>P48*'MASTER SHEET'!D48</f>
        <v>0</v>
      </c>
      <c r="EE48" s="14">
        <f>T48*'MASTER SHEET'!D48</f>
        <v>0</v>
      </c>
      <c r="EF48" s="14">
        <f>X48*'MASTER SHEET'!D48</f>
        <v>0</v>
      </c>
      <c r="EG48" s="14">
        <f>AB48*'MASTER SHEET'!D48</f>
        <v>0</v>
      </c>
      <c r="EH48" s="14">
        <f>AF48*'MASTER SHEET'!D48</f>
        <v>0</v>
      </c>
      <c r="EI48" s="14">
        <f>AJ48*'MASTER SHEET'!D48</f>
        <v>0</v>
      </c>
      <c r="EJ48" s="14">
        <f>AN48*'MASTER SHEET'!D48</f>
        <v>0</v>
      </c>
      <c r="EK48" s="14">
        <f>AR48*'MASTER SHEET'!D48</f>
        <v>0</v>
      </c>
      <c r="EL48" s="14">
        <f>AV48*'MASTER SHEET'!D48</f>
        <v>0</v>
      </c>
      <c r="EM48" s="14">
        <f>AZ48*'MASTER SHEET'!D48</f>
        <v>0</v>
      </c>
      <c r="EN48" s="14">
        <f>BD48*'MASTER SHEET'!D48</f>
        <v>0</v>
      </c>
      <c r="EO48" s="14">
        <f>BH48*'MASTER SHEET'!D48</f>
        <v>0</v>
      </c>
      <c r="EP48" s="14">
        <f>BL48*'MASTER SHEET'!D48</f>
        <v>0</v>
      </c>
      <c r="EQ48" s="14">
        <f>BP48*'MASTER SHEET'!D48</f>
        <v>0</v>
      </c>
      <c r="ER48" s="14">
        <f>BT48*'MASTER SHEET'!D48</f>
        <v>0</v>
      </c>
      <c r="ES48" s="14">
        <f>BX48*'MASTER SHEET'!D48</f>
        <v>0</v>
      </c>
      <c r="ET48" s="21">
        <f>CB48*'MASTER SHEET'!D48</f>
        <v>0</v>
      </c>
      <c r="EU48" s="14">
        <f>CF48*'MASTER SHEET'!D48</f>
        <v>0</v>
      </c>
      <c r="EV48" s="14">
        <f>CJ48*'MASTER SHEET'!D48</f>
        <v>0</v>
      </c>
      <c r="EW48" s="14">
        <f>CN48*'MASTER SHEET'!D48</f>
        <v>0</v>
      </c>
      <c r="EX48" s="14">
        <f>CR48*'MASTER SHEET'!D48</f>
        <v>0</v>
      </c>
      <c r="EY48" s="14">
        <f>CR48*'MASTER SHEET'!D48</f>
        <v>0</v>
      </c>
      <c r="EZ48" s="14">
        <f>CV48*'MASTER SHEET'!D48</f>
        <v>0</v>
      </c>
      <c r="FA48" s="14">
        <f>CZ48*'MASTER SHEET'!D48</f>
        <v>0</v>
      </c>
      <c r="FB48" s="14">
        <f>DD48*'MASTER SHEET'!D48</f>
        <v>0</v>
      </c>
    </row>
    <row r="49" spans="1:158" ht="18.75" customHeight="1" x14ac:dyDescent="0.25">
      <c r="A49" s="43">
        <f>'MASTER SHEET'!A49</f>
        <v>47</v>
      </c>
      <c r="B49" s="49" t="str">
        <f>'MASTER SHEET'!B49</f>
        <v>CDR CAP</v>
      </c>
      <c r="C49" s="86">
        <f>'MASTER SHEET'!C49</f>
        <v>5030020</v>
      </c>
      <c r="D49" s="51"/>
      <c r="E49" s="48"/>
      <c r="F49" s="48"/>
      <c r="G49" s="48"/>
      <c r="H49" s="48">
        <f t="shared" si="64"/>
        <v>0</v>
      </c>
      <c r="I49" s="28"/>
      <c r="J49" s="28"/>
      <c r="K49" s="65"/>
      <c r="L49" s="48">
        <f t="shared" si="65"/>
        <v>0</v>
      </c>
      <c r="M49" s="48"/>
      <c r="N49" s="48"/>
      <c r="O49" s="48"/>
      <c r="P49" s="48">
        <f t="shared" si="66"/>
        <v>0</v>
      </c>
      <c r="Q49" s="48"/>
      <c r="R49" s="48"/>
      <c r="S49" s="48"/>
      <c r="T49" s="48">
        <f t="shared" si="67"/>
        <v>0</v>
      </c>
      <c r="U49" s="48">
        <v>0</v>
      </c>
      <c r="V49" s="48"/>
      <c r="W49" s="48"/>
      <c r="X49" s="48">
        <f t="shared" si="68"/>
        <v>0</v>
      </c>
      <c r="Y49" s="48">
        <v>0</v>
      </c>
      <c r="Z49" s="48">
        <v>0</v>
      </c>
      <c r="AA49" s="48">
        <v>0</v>
      </c>
      <c r="AB49" s="48">
        <f t="shared" si="69"/>
        <v>0</v>
      </c>
      <c r="AC49" s="48">
        <v>0</v>
      </c>
      <c r="AD49" s="48">
        <v>0</v>
      </c>
      <c r="AE49" s="48">
        <v>0</v>
      </c>
      <c r="AF49" s="48">
        <f t="shared" si="70"/>
        <v>0</v>
      </c>
      <c r="AG49" s="48">
        <v>1506</v>
      </c>
      <c r="AH49" s="48">
        <v>1485</v>
      </c>
      <c r="AI49" s="48">
        <v>21</v>
      </c>
      <c r="AJ49" s="48">
        <f t="shared" si="71"/>
        <v>0</v>
      </c>
      <c r="AK49" s="48">
        <v>1425</v>
      </c>
      <c r="AL49" s="48">
        <v>1366</v>
      </c>
      <c r="AM49" s="48">
        <v>59</v>
      </c>
      <c r="AN49" s="48">
        <f t="shared" si="72"/>
        <v>0</v>
      </c>
      <c r="AO49" s="48"/>
      <c r="AP49" s="48"/>
      <c r="AQ49" s="48"/>
      <c r="AR49" s="48">
        <f t="shared" si="73"/>
        <v>0</v>
      </c>
      <c r="AS49" s="48"/>
      <c r="AT49" s="48"/>
      <c r="AU49" s="48"/>
      <c r="AV49" s="48">
        <f t="shared" si="74"/>
        <v>0</v>
      </c>
      <c r="AW49" s="48"/>
      <c r="AX49" s="48"/>
      <c r="AY49" s="48"/>
      <c r="AZ49" s="48">
        <f t="shared" si="75"/>
        <v>0</v>
      </c>
      <c r="BA49" s="48"/>
      <c r="BB49" s="48"/>
      <c r="BC49" s="48"/>
      <c r="BD49" s="48">
        <f t="shared" si="76"/>
        <v>0</v>
      </c>
      <c r="BE49" s="48"/>
      <c r="BF49" s="48"/>
      <c r="BG49" s="48"/>
      <c r="BH49" s="48">
        <f t="shared" si="77"/>
        <v>0</v>
      </c>
      <c r="BI49" s="48"/>
      <c r="BJ49" s="48"/>
      <c r="BK49" s="48"/>
      <c r="BL49" s="48">
        <f t="shared" si="78"/>
        <v>0</v>
      </c>
      <c r="BM49" s="48"/>
      <c r="BN49" s="48"/>
      <c r="BO49" s="48"/>
      <c r="BP49" s="48">
        <f t="shared" si="79"/>
        <v>0</v>
      </c>
      <c r="BQ49" s="48"/>
      <c r="BR49" s="48"/>
      <c r="BS49" s="48"/>
      <c r="BT49" s="48">
        <f t="shared" si="80"/>
        <v>0</v>
      </c>
      <c r="BU49" s="48"/>
      <c r="BV49" s="48"/>
      <c r="BW49" s="48"/>
      <c r="BX49" s="48">
        <f t="shared" si="81"/>
        <v>0</v>
      </c>
      <c r="BY49" s="48"/>
      <c r="BZ49" s="48"/>
      <c r="CA49" s="48"/>
      <c r="CB49" s="48">
        <f t="shared" si="82"/>
        <v>0</v>
      </c>
      <c r="CC49" s="48"/>
      <c r="CD49" s="48"/>
      <c r="CE49" s="48"/>
      <c r="CF49" s="48">
        <f t="shared" si="83"/>
        <v>0</v>
      </c>
      <c r="CG49" s="48"/>
      <c r="CH49" s="48"/>
      <c r="CI49" s="48"/>
      <c r="CJ49" s="48">
        <f t="shared" si="84"/>
        <v>0</v>
      </c>
      <c r="CK49" s="48"/>
      <c r="CL49" s="48"/>
      <c r="CM49" s="48"/>
      <c r="CN49" s="48">
        <f t="shared" si="85"/>
        <v>0</v>
      </c>
      <c r="CO49" s="48"/>
      <c r="CP49" s="48"/>
      <c r="CQ49" s="48"/>
      <c r="CR49" s="48">
        <f t="shared" si="86"/>
        <v>0</v>
      </c>
      <c r="CS49" s="48"/>
      <c r="CT49" s="48"/>
      <c r="CU49" s="48"/>
      <c r="CV49" s="48">
        <f t="shared" si="87"/>
        <v>0</v>
      </c>
      <c r="CW49" s="48"/>
      <c r="CX49" s="48"/>
      <c r="CY49" s="48"/>
      <c r="CZ49" s="48">
        <f t="shared" si="88"/>
        <v>0</v>
      </c>
      <c r="DA49" s="48"/>
      <c r="DB49" s="48"/>
      <c r="DC49" s="48"/>
      <c r="DD49" s="48">
        <f t="shared" si="89"/>
        <v>0</v>
      </c>
      <c r="DE49" s="48"/>
      <c r="DF49" s="48"/>
      <c r="DG49" s="48"/>
      <c r="DH49" s="48">
        <f t="shared" si="90"/>
        <v>0</v>
      </c>
      <c r="DI49" s="48"/>
      <c r="DJ49" s="48"/>
      <c r="DK49" s="48"/>
      <c r="DL49" s="48">
        <f t="shared" si="91"/>
        <v>0</v>
      </c>
      <c r="DM49" s="48"/>
      <c r="DN49" s="48"/>
      <c r="DO49" s="48"/>
      <c r="DP49" s="48">
        <f t="shared" si="92"/>
        <v>0</v>
      </c>
      <c r="DQ49" s="48"/>
      <c r="DR49" s="48"/>
      <c r="DS49" s="48"/>
      <c r="DT49" s="48">
        <f t="shared" si="93"/>
        <v>0</v>
      </c>
      <c r="DU49" s="48"/>
      <c r="DV49" s="48"/>
      <c r="DW49" s="48"/>
      <c r="DX49" s="48">
        <f t="shared" si="94"/>
        <v>0</v>
      </c>
      <c r="DY49" s="48">
        <f t="shared" si="95"/>
        <v>2931</v>
      </c>
      <c r="DZ49" s="48">
        <f t="shared" si="96"/>
        <v>80</v>
      </c>
      <c r="EA49" s="14">
        <f>D49*'MASTER SHEET'!D49</f>
        <v>0</v>
      </c>
      <c r="EB49" s="14">
        <f>H49*'MASTER SHEET'!D49</f>
        <v>0</v>
      </c>
      <c r="EC49" s="14">
        <f>L49*'MASTER SHEET'!D49</f>
        <v>0</v>
      </c>
      <c r="ED49" s="14">
        <f>P49*'MASTER SHEET'!D49</f>
        <v>0</v>
      </c>
      <c r="EE49" s="14">
        <f>T49*'MASTER SHEET'!D49</f>
        <v>0</v>
      </c>
      <c r="EF49" s="14">
        <f>X49*'MASTER SHEET'!D49</f>
        <v>0</v>
      </c>
      <c r="EG49" s="14">
        <f>AB49*'MASTER SHEET'!D49</f>
        <v>0</v>
      </c>
      <c r="EH49" s="14">
        <f>AF49*'MASTER SHEET'!D49</f>
        <v>0</v>
      </c>
      <c r="EI49" s="14">
        <f>AJ49*'MASTER SHEET'!D49</f>
        <v>0</v>
      </c>
      <c r="EJ49" s="14">
        <f>AN49*'MASTER SHEET'!D49</f>
        <v>0</v>
      </c>
      <c r="EK49" s="14">
        <f>AR49*'MASTER SHEET'!D49</f>
        <v>0</v>
      </c>
      <c r="EL49" s="14">
        <f>AV49*'MASTER SHEET'!D49</f>
        <v>0</v>
      </c>
      <c r="EM49" s="14">
        <f>AZ49*'MASTER SHEET'!D49</f>
        <v>0</v>
      </c>
      <c r="EN49" s="14">
        <f>BD49*'MASTER SHEET'!D49</f>
        <v>0</v>
      </c>
      <c r="EO49" s="14">
        <f>BH49*'MASTER SHEET'!D49</f>
        <v>0</v>
      </c>
      <c r="EP49" s="14">
        <f>BL49*'MASTER SHEET'!D49</f>
        <v>0</v>
      </c>
      <c r="EQ49" s="14">
        <f>BP49*'MASTER SHEET'!D49</f>
        <v>0</v>
      </c>
      <c r="ER49" s="14">
        <f>BT49*'MASTER SHEET'!D49</f>
        <v>0</v>
      </c>
      <c r="ES49" s="14">
        <f>BX49*'MASTER SHEET'!D49</f>
        <v>0</v>
      </c>
      <c r="ET49" s="21">
        <f>CB49*'MASTER SHEET'!D49</f>
        <v>0</v>
      </c>
      <c r="EU49" s="14">
        <f>CF49*'MASTER SHEET'!D49</f>
        <v>0</v>
      </c>
      <c r="EV49" s="14">
        <f>CJ49*'MASTER SHEET'!D49</f>
        <v>0</v>
      </c>
      <c r="EW49" s="14">
        <f>CN49*'MASTER SHEET'!D49</f>
        <v>0</v>
      </c>
      <c r="EX49" s="14">
        <f>CR49*'MASTER SHEET'!D49</f>
        <v>0</v>
      </c>
      <c r="EY49" s="14">
        <f>CR49*'MASTER SHEET'!D49</f>
        <v>0</v>
      </c>
      <c r="EZ49" s="14">
        <f>CV49*'MASTER SHEET'!D49</f>
        <v>0</v>
      </c>
      <c r="FA49" s="14">
        <f>CZ49*'MASTER SHEET'!D49</f>
        <v>0</v>
      </c>
      <c r="FB49" s="14">
        <f>DD49*'MASTER SHEET'!D49</f>
        <v>0</v>
      </c>
    </row>
    <row r="50" spans="1:158" ht="18.75" customHeight="1" x14ac:dyDescent="0.25">
      <c r="A50" s="43">
        <f>'MASTER SHEET'!A50</f>
        <v>48</v>
      </c>
      <c r="B50" s="49" t="str">
        <f>'MASTER SHEET'!B50</f>
        <v xml:space="preserve">CDR HOUSING </v>
      </c>
      <c r="C50" s="86">
        <f>'MASTER SHEET'!C50</f>
        <v>5030021</v>
      </c>
      <c r="D50" s="51"/>
      <c r="E50" s="48"/>
      <c r="F50" s="48"/>
      <c r="G50" s="48"/>
      <c r="H50" s="48">
        <f t="shared" si="64"/>
        <v>0</v>
      </c>
      <c r="I50" s="28"/>
      <c r="J50" s="28"/>
      <c r="K50" s="65"/>
      <c r="L50" s="48">
        <f t="shared" si="65"/>
        <v>0</v>
      </c>
      <c r="M50" s="48"/>
      <c r="N50" s="48"/>
      <c r="O50" s="48"/>
      <c r="P50" s="48">
        <f t="shared" si="66"/>
        <v>0</v>
      </c>
      <c r="Q50" s="48"/>
      <c r="R50" s="48"/>
      <c r="S50" s="48"/>
      <c r="T50" s="48">
        <f t="shared" si="67"/>
        <v>0</v>
      </c>
      <c r="U50" s="48">
        <v>0</v>
      </c>
      <c r="V50" s="48"/>
      <c r="W50" s="48"/>
      <c r="X50" s="48">
        <f t="shared" si="68"/>
        <v>0</v>
      </c>
      <c r="Y50" s="48"/>
      <c r="Z50" s="48"/>
      <c r="AA50" s="48"/>
      <c r="AB50" s="48">
        <f t="shared" si="69"/>
        <v>0</v>
      </c>
      <c r="AC50" s="48"/>
      <c r="AD50" s="48"/>
      <c r="AE50" s="48"/>
      <c r="AF50" s="48">
        <f t="shared" si="70"/>
        <v>0</v>
      </c>
      <c r="AG50" s="48"/>
      <c r="AH50" s="48"/>
      <c r="AI50" s="48"/>
      <c r="AJ50" s="48">
        <f t="shared" si="71"/>
        <v>0</v>
      </c>
      <c r="AK50" s="48"/>
      <c r="AL50" s="48"/>
      <c r="AM50" s="48"/>
      <c r="AN50" s="48">
        <f t="shared" si="72"/>
        <v>0</v>
      </c>
      <c r="AO50" s="48"/>
      <c r="AP50" s="48"/>
      <c r="AQ50" s="48"/>
      <c r="AR50" s="48">
        <f t="shared" si="73"/>
        <v>0</v>
      </c>
      <c r="AS50" s="48"/>
      <c r="AT50" s="48"/>
      <c r="AU50" s="48"/>
      <c r="AV50" s="48">
        <f t="shared" si="74"/>
        <v>0</v>
      </c>
      <c r="AW50" s="48"/>
      <c r="AX50" s="48"/>
      <c r="AY50" s="48"/>
      <c r="AZ50" s="48">
        <f t="shared" si="75"/>
        <v>0</v>
      </c>
      <c r="BA50" s="48"/>
      <c r="BB50" s="48"/>
      <c r="BC50" s="48"/>
      <c r="BD50" s="48">
        <f t="shared" si="76"/>
        <v>0</v>
      </c>
      <c r="BE50" s="48"/>
      <c r="BF50" s="48"/>
      <c r="BG50" s="48"/>
      <c r="BH50" s="48">
        <f t="shared" si="77"/>
        <v>0</v>
      </c>
      <c r="BI50" s="48"/>
      <c r="BJ50" s="48"/>
      <c r="BK50" s="48"/>
      <c r="BL50" s="48">
        <f t="shared" si="78"/>
        <v>0</v>
      </c>
      <c r="BM50" s="48"/>
      <c r="BN50" s="48"/>
      <c r="BO50" s="48"/>
      <c r="BP50" s="48">
        <f t="shared" si="79"/>
        <v>0</v>
      </c>
      <c r="BQ50" s="48"/>
      <c r="BR50" s="48"/>
      <c r="BS50" s="48"/>
      <c r="BT50" s="48">
        <f t="shared" si="80"/>
        <v>0</v>
      </c>
      <c r="BU50" s="48"/>
      <c r="BV50" s="48"/>
      <c r="BW50" s="48"/>
      <c r="BX50" s="48">
        <f t="shared" si="81"/>
        <v>0</v>
      </c>
      <c r="BY50" s="48"/>
      <c r="BZ50" s="48"/>
      <c r="CA50" s="48"/>
      <c r="CB50" s="48">
        <f t="shared" si="82"/>
        <v>0</v>
      </c>
      <c r="CC50" s="48"/>
      <c r="CD50" s="48"/>
      <c r="CE50" s="48"/>
      <c r="CF50" s="48">
        <f t="shared" si="83"/>
        <v>0</v>
      </c>
      <c r="CG50" s="48"/>
      <c r="CH50" s="48"/>
      <c r="CI50" s="48"/>
      <c r="CJ50" s="48">
        <f t="shared" si="84"/>
        <v>0</v>
      </c>
      <c r="CK50" s="48"/>
      <c r="CL50" s="48"/>
      <c r="CM50" s="48"/>
      <c r="CN50" s="48">
        <f t="shared" si="85"/>
        <v>0</v>
      </c>
      <c r="CO50" s="48"/>
      <c r="CP50" s="48"/>
      <c r="CQ50" s="48"/>
      <c r="CR50" s="48">
        <f t="shared" si="86"/>
        <v>0</v>
      </c>
      <c r="CS50" s="48"/>
      <c r="CT50" s="48"/>
      <c r="CU50" s="48"/>
      <c r="CV50" s="48">
        <f t="shared" si="87"/>
        <v>0</v>
      </c>
      <c r="CW50" s="48"/>
      <c r="CX50" s="48"/>
      <c r="CY50" s="48"/>
      <c r="CZ50" s="48">
        <f t="shared" si="88"/>
        <v>0</v>
      </c>
      <c r="DA50" s="48"/>
      <c r="DB50" s="48"/>
      <c r="DC50" s="48"/>
      <c r="DD50" s="48">
        <f t="shared" si="89"/>
        <v>0</v>
      </c>
      <c r="DE50" s="48"/>
      <c r="DF50" s="48"/>
      <c r="DG50" s="48"/>
      <c r="DH50" s="48">
        <f t="shared" si="90"/>
        <v>0</v>
      </c>
      <c r="DI50" s="48"/>
      <c r="DJ50" s="48"/>
      <c r="DK50" s="48"/>
      <c r="DL50" s="48">
        <f t="shared" si="91"/>
        <v>0</v>
      </c>
      <c r="DM50" s="48"/>
      <c r="DN50" s="48"/>
      <c r="DO50" s="48"/>
      <c r="DP50" s="48">
        <f t="shared" si="92"/>
        <v>0</v>
      </c>
      <c r="DQ50" s="48"/>
      <c r="DR50" s="48"/>
      <c r="DS50" s="48"/>
      <c r="DT50" s="48">
        <f t="shared" si="93"/>
        <v>0</v>
      </c>
      <c r="DU50" s="48"/>
      <c r="DV50" s="48"/>
      <c r="DW50" s="48"/>
      <c r="DX50" s="48">
        <f t="shared" si="94"/>
        <v>0</v>
      </c>
      <c r="DY50" s="48">
        <f t="shared" si="95"/>
        <v>0</v>
      </c>
      <c r="DZ50" s="48">
        <f t="shared" si="96"/>
        <v>0</v>
      </c>
      <c r="EA50" s="14">
        <f>D50*'MASTER SHEET'!D50</f>
        <v>0</v>
      </c>
      <c r="EB50" s="14">
        <f>H50*'MASTER SHEET'!D50</f>
        <v>0</v>
      </c>
      <c r="EC50" s="14">
        <f>L50*'MASTER SHEET'!D50</f>
        <v>0</v>
      </c>
      <c r="ED50" s="14">
        <f>P50*'MASTER SHEET'!D50</f>
        <v>0</v>
      </c>
      <c r="EE50" s="14">
        <f>T50*'MASTER SHEET'!D50</f>
        <v>0</v>
      </c>
      <c r="EF50" s="14">
        <f>X50*'MASTER SHEET'!D50</f>
        <v>0</v>
      </c>
      <c r="EG50" s="14">
        <f>AB50*'MASTER SHEET'!D50</f>
        <v>0</v>
      </c>
      <c r="EH50" s="14">
        <f>AF50*'MASTER SHEET'!D50</f>
        <v>0</v>
      </c>
      <c r="EI50" s="14">
        <f>AJ50*'MASTER SHEET'!D50</f>
        <v>0</v>
      </c>
      <c r="EJ50" s="14">
        <f>AN50*'MASTER SHEET'!D50</f>
        <v>0</v>
      </c>
      <c r="EK50" s="14">
        <f>AR50*'MASTER SHEET'!D50</f>
        <v>0</v>
      </c>
      <c r="EL50" s="14">
        <f>AV50*'MASTER SHEET'!D50</f>
        <v>0</v>
      </c>
      <c r="EM50" s="14">
        <f>AZ50*'MASTER SHEET'!D50</f>
        <v>0</v>
      </c>
      <c r="EN50" s="14">
        <f>BD50*'MASTER SHEET'!D50</f>
        <v>0</v>
      </c>
      <c r="EO50" s="14">
        <f>BH50*'MASTER SHEET'!D50</f>
        <v>0</v>
      </c>
      <c r="EP50" s="14">
        <f>BL50*'MASTER SHEET'!D50</f>
        <v>0</v>
      </c>
      <c r="EQ50" s="14">
        <f>BP50*'MASTER SHEET'!D50</f>
        <v>0</v>
      </c>
      <c r="ER50" s="14">
        <f>BT50*'MASTER SHEET'!D50</f>
        <v>0</v>
      </c>
      <c r="ES50" s="14">
        <f>BX50*'MASTER SHEET'!D50</f>
        <v>0</v>
      </c>
      <c r="ET50" s="21">
        <f>CB50*'MASTER SHEET'!D50</f>
        <v>0</v>
      </c>
      <c r="EU50" s="14">
        <f>CF50*'MASTER SHEET'!D50</f>
        <v>0</v>
      </c>
      <c r="EV50" s="14">
        <f>CJ50*'MASTER SHEET'!D50</f>
        <v>0</v>
      </c>
      <c r="EW50" s="14">
        <f>CN50*'MASTER SHEET'!D50</f>
        <v>0</v>
      </c>
      <c r="EX50" s="14">
        <f>CR50*'MASTER SHEET'!D50</f>
        <v>0</v>
      </c>
      <c r="EY50" s="14">
        <f>CR50*'MASTER SHEET'!D50</f>
        <v>0</v>
      </c>
      <c r="EZ50" s="14">
        <f>CV50*'MASTER SHEET'!D50</f>
        <v>0</v>
      </c>
      <c r="FA50" s="14">
        <f>CZ50*'MASTER SHEET'!D50</f>
        <v>0</v>
      </c>
      <c r="FB50" s="14">
        <f>DD50*'MASTER SHEET'!D50</f>
        <v>0</v>
      </c>
    </row>
    <row r="51" spans="1:158" ht="18.75" customHeight="1" x14ac:dyDescent="0.25">
      <c r="A51" s="43">
        <f>'MASTER SHEET'!A51</f>
        <v>49</v>
      </c>
      <c r="B51" s="49" t="str">
        <f>'MASTER SHEET'!B51</f>
        <v>COVER PLATE</v>
      </c>
      <c r="C51" s="86">
        <f>'MASTER SHEET'!C51</f>
        <v>5030022</v>
      </c>
      <c r="D51" s="51"/>
      <c r="E51" s="48"/>
      <c r="F51" s="48"/>
      <c r="G51" s="48"/>
      <c r="H51" s="48">
        <f t="shared" si="64"/>
        <v>0</v>
      </c>
      <c r="I51" s="28">
        <v>760</v>
      </c>
      <c r="J51" s="28">
        <v>715</v>
      </c>
      <c r="K51" s="65">
        <v>45</v>
      </c>
      <c r="L51" s="48">
        <f t="shared" si="65"/>
        <v>0</v>
      </c>
      <c r="M51" s="48"/>
      <c r="N51" s="48"/>
      <c r="O51" s="48"/>
      <c r="P51" s="48">
        <f t="shared" si="66"/>
        <v>0</v>
      </c>
      <c r="Q51" s="48">
        <v>1225</v>
      </c>
      <c r="R51" s="48">
        <v>1205</v>
      </c>
      <c r="S51" s="48">
        <v>20</v>
      </c>
      <c r="T51" s="48">
        <f t="shared" si="67"/>
        <v>0</v>
      </c>
      <c r="U51" s="48">
        <v>0</v>
      </c>
      <c r="V51" s="48"/>
      <c r="W51" s="48"/>
      <c r="X51" s="48">
        <f t="shared" si="68"/>
        <v>0</v>
      </c>
      <c r="Y51" s="48"/>
      <c r="Z51" s="48"/>
      <c r="AA51" s="48"/>
      <c r="AB51" s="48">
        <f t="shared" si="69"/>
        <v>0</v>
      </c>
      <c r="AC51" s="48"/>
      <c r="AD51" s="48"/>
      <c r="AE51" s="48"/>
      <c r="AF51" s="48">
        <f t="shared" si="70"/>
        <v>0</v>
      </c>
      <c r="AG51" s="48"/>
      <c r="AH51" s="48"/>
      <c r="AI51" s="48"/>
      <c r="AJ51" s="48">
        <f t="shared" si="71"/>
        <v>0</v>
      </c>
      <c r="AK51" s="48"/>
      <c r="AL51" s="48"/>
      <c r="AM51" s="48"/>
      <c r="AN51" s="48">
        <f t="shared" si="72"/>
        <v>0</v>
      </c>
      <c r="AO51" s="48"/>
      <c r="AP51" s="48"/>
      <c r="AQ51" s="48"/>
      <c r="AR51" s="48">
        <f t="shared" si="73"/>
        <v>0</v>
      </c>
      <c r="AS51" s="48"/>
      <c r="AT51" s="48"/>
      <c r="AU51" s="48"/>
      <c r="AV51" s="48">
        <f t="shared" si="74"/>
        <v>0</v>
      </c>
      <c r="AW51" s="48"/>
      <c r="AX51" s="48"/>
      <c r="AY51" s="48"/>
      <c r="AZ51" s="48">
        <f t="shared" si="75"/>
        <v>0</v>
      </c>
      <c r="BA51" s="48"/>
      <c r="BB51" s="48"/>
      <c r="BC51" s="48"/>
      <c r="BD51" s="48">
        <f t="shared" si="76"/>
        <v>0</v>
      </c>
      <c r="BE51" s="48"/>
      <c r="BF51" s="48"/>
      <c r="BG51" s="48"/>
      <c r="BH51" s="48">
        <f t="shared" si="77"/>
        <v>0</v>
      </c>
      <c r="BI51" s="48"/>
      <c r="BJ51" s="48"/>
      <c r="BK51" s="48"/>
      <c r="BL51" s="48">
        <f t="shared" si="78"/>
        <v>0</v>
      </c>
      <c r="BM51" s="48"/>
      <c r="BN51" s="48"/>
      <c r="BO51" s="48"/>
      <c r="BP51" s="48">
        <f t="shared" si="79"/>
        <v>0</v>
      </c>
      <c r="BQ51" s="48"/>
      <c r="BR51" s="48"/>
      <c r="BS51" s="48"/>
      <c r="BT51" s="48">
        <f t="shared" si="80"/>
        <v>0</v>
      </c>
      <c r="BU51" s="48"/>
      <c r="BV51" s="48"/>
      <c r="BW51" s="48"/>
      <c r="BX51" s="48">
        <f t="shared" si="81"/>
        <v>0</v>
      </c>
      <c r="BY51" s="48"/>
      <c r="BZ51" s="48"/>
      <c r="CA51" s="48"/>
      <c r="CB51" s="48">
        <f t="shared" si="82"/>
        <v>0</v>
      </c>
      <c r="CC51" s="48"/>
      <c r="CD51" s="48"/>
      <c r="CE51" s="48"/>
      <c r="CF51" s="48">
        <f t="shared" si="83"/>
        <v>0</v>
      </c>
      <c r="CG51" s="48"/>
      <c r="CH51" s="48"/>
      <c r="CI51" s="48"/>
      <c r="CJ51" s="48">
        <f t="shared" si="84"/>
        <v>0</v>
      </c>
      <c r="CK51" s="48"/>
      <c r="CL51" s="48"/>
      <c r="CM51" s="48"/>
      <c r="CN51" s="48">
        <f t="shared" si="85"/>
        <v>0</v>
      </c>
      <c r="CO51" s="48"/>
      <c r="CP51" s="48"/>
      <c r="CQ51" s="48"/>
      <c r="CR51" s="48">
        <f t="shared" si="86"/>
        <v>0</v>
      </c>
      <c r="CS51" s="48"/>
      <c r="CT51" s="48"/>
      <c r="CU51" s="48"/>
      <c r="CV51" s="48">
        <f t="shared" si="87"/>
        <v>0</v>
      </c>
      <c r="CW51" s="48"/>
      <c r="CX51" s="48"/>
      <c r="CY51" s="48"/>
      <c r="CZ51" s="48">
        <f t="shared" si="88"/>
        <v>0</v>
      </c>
      <c r="DA51" s="48"/>
      <c r="DB51" s="48"/>
      <c r="DC51" s="48"/>
      <c r="DD51" s="48">
        <f t="shared" si="89"/>
        <v>0</v>
      </c>
      <c r="DE51" s="48"/>
      <c r="DF51" s="48"/>
      <c r="DG51" s="48"/>
      <c r="DH51" s="48">
        <f t="shared" si="90"/>
        <v>0</v>
      </c>
      <c r="DI51" s="48"/>
      <c r="DJ51" s="48"/>
      <c r="DK51" s="48"/>
      <c r="DL51" s="48">
        <f t="shared" si="91"/>
        <v>0</v>
      </c>
      <c r="DM51" s="48"/>
      <c r="DN51" s="48"/>
      <c r="DO51" s="48"/>
      <c r="DP51" s="48">
        <f t="shared" si="92"/>
        <v>0</v>
      </c>
      <c r="DQ51" s="48"/>
      <c r="DR51" s="48"/>
      <c r="DS51" s="48"/>
      <c r="DT51" s="48">
        <f t="shared" si="93"/>
        <v>0</v>
      </c>
      <c r="DU51" s="48"/>
      <c r="DV51" s="48"/>
      <c r="DW51" s="48"/>
      <c r="DX51" s="48">
        <f t="shared" si="94"/>
        <v>0</v>
      </c>
      <c r="DY51" s="48">
        <f t="shared" si="95"/>
        <v>1985</v>
      </c>
      <c r="DZ51" s="48">
        <f t="shared" si="96"/>
        <v>65</v>
      </c>
      <c r="EA51" s="14">
        <f>D51*'MASTER SHEET'!D51</f>
        <v>0</v>
      </c>
      <c r="EB51" s="14">
        <f>H51*'MASTER SHEET'!D51</f>
        <v>0</v>
      </c>
      <c r="EC51" s="14">
        <f>L51*'MASTER SHEET'!D51</f>
        <v>0</v>
      </c>
      <c r="ED51" s="14">
        <f>P51*'MASTER SHEET'!D51</f>
        <v>0</v>
      </c>
      <c r="EE51" s="14">
        <f>T51*'MASTER SHEET'!D51</f>
        <v>0</v>
      </c>
      <c r="EF51" s="14">
        <f>X51*'MASTER SHEET'!D51</f>
        <v>0</v>
      </c>
      <c r="EG51" s="14">
        <f>AB51*'MASTER SHEET'!D51</f>
        <v>0</v>
      </c>
      <c r="EH51" s="14">
        <f>AF51*'MASTER SHEET'!D51</f>
        <v>0</v>
      </c>
      <c r="EI51" s="14">
        <f>AJ51*'MASTER SHEET'!D51</f>
        <v>0</v>
      </c>
      <c r="EJ51" s="14">
        <f>AN51*'MASTER SHEET'!D51</f>
        <v>0</v>
      </c>
      <c r="EK51" s="14">
        <f>AR51*'MASTER SHEET'!D51</f>
        <v>0</v>
      </c>
      <c r="EL51" s="14">
        <f>AV51*'MASTER SHEET'!D51</f>
        <v>0</v>
      </c>
      <c r="EM51" s="14">
        <f>AZ51*'MASTER SHEET'!D51</f>
        <v>0</v>
      </c>
      <c r="EN51" s="14">
        <f>BD51*'MASTER SHEET'!D51</f>
        <v>0</v>
      </c>
      <c r="EO51" s="14">
        <f>BH51*'MASTER SHEET'!D51</f>
        <v>0</v>
      </c>
      <c r="EP51" s="14">
        <f>BL51*'MASTER SHEET'!D51</f>
        <v>0</v>
      </c>
      <c r="EQ51" s="14">
        <f>BP51*'MASTER SHEET'!D51</f>
        <v>0</v>
      </c>
      <c r="ER51" s="14">
        <f>BT51*'MASTER SHEET'!D51</f>
        <v>0</v>
      </c>
      <c r="ES51" s="14">
        <f>BX51*'MASTER SHEET'!D51</f>
        <v>0</v>
      </c>
      <c r="ET51" s="21">
        <f>CB51*'MASTER SHEET'!D51</f>
        <v>0</v>
      </c>
      <c r="EU51" s="14">
        <f>CF51*'MASTER SHEET'!D51</f>
        <v>0</v>
      </c>
      <c r="EV51" s="14">
        <f>CJ51*'MASTER SHEET'!D51</f>
        <v>0</v>
      </c>
      <c r="EW51" s="14">
        <f>CN51*'MASTER SHEET'!D51</f>
        <v>0</v>
      </c>
      <c r="EX51" s="14">
        <f>CR51*'MASTER SHEET'!D51</f>
        <v>0</v>
      </c>
      <c r="EY51" s="14">
        <f>CR51*'MASTER SHEET'!D51</f>
        <v>0</v>
      </c>
      <c r="EZ51" s="14">
        <f>CV51*'MASTER SHEET'!D51</f>
        <v>0</v>
      </c>
      <c r="FA51" s="14">
        <f>CZ51*'MASTER SHEET'!D51</f>
        <v>0</v>
      </c>
      <c r="FB51" s="14">
        <f>DD51*'MASTER SHEET'!D51</f>
        <v>0</v>
      </c>
    </row>
    <row r="52" spans="1:158" ht="18.75" customHeight="1" x14ac:dyDescent="0.25">
      <c r="A52" s="43">
        <f>'MASTER SHEET'!A52</f>
        <v>50</v>
      </c>
      <c r="B52" s="49" t="str">
        <f>'MASTER SHEET'!B52</f>
        <v>SHELL, PLASTIC</v>
      </c>
      <c r="C52" s="86">
        <f>'MASTER SHEET'!C52</f>
        <v>5030061</v>
      </c>
      <c r="D52" s="51"/>
      <c r="E52" s="48"/>
      <c r="F52" s="48"/>
      <c r="G52" s="48"/>
      <c r="H52" s="48">
        <f t="shared" si="64"/>
        <v>0</v>
      </c>
      <c r="I52" s="28"/>
      <c r="J52" s="28"/>
      <c r="K52" s="65"/>
      <c r="L52" s="48">
        <f t="shared" si="65"/>
        <v>0</v>
      </c>
      <c r="M52" s="48"/>
      <c r="N52" s="48"/>
      <c r="O52" s="48"/>
      <c r="P52" s="48">
        <f t="shared" si="66"/>
        <v>0</v>
      </c>
      <c r="Q52" s="48"/>
      <c r="R52" s="48"/>
      <c r="S52" s="48"/>
      <c r="T52" s="48">
        <f t="shared" si="67"/>
        <v>0</v>
      </c>
      <c r="U52" s="48">
        <v>0</v>
      </c>
      <c r="V52" s="48"/>
      <c r="W52" s="48"/>
      <c r="X52" s="48">
        <f t="shared" si="68"/>
        <v>0</v>
      </c>
      <c r="Y52" s="48"/>
      <c r="Z52" s="48"/>
      <c r="AA52" s="48"/>
      <c r="AB52" s="48">
        <f t="shared" si="69"/>
        <v>0</v>
      </c>
      <c r="AC52" s="48"/>
      <c r="AD52" s="48"/>
      <c r="AE52" s="48"/>
      <c r="AF52" s="48">
        <f t="shared" si="70"/>
        <v>0</v>
      </c>
      <c r="AG52" s="48"/>
      <c r="AH52" s="48"/>
      <c r="AI52" s="48"/>
      <c r="AJ52" s="48">
        <f t="shared" si="71"/>
        <v>0</v>
      </c>
      <c r="AK52" s="48"/>
      <c r="AL52" s="48"/>
      <c r="AM52" s="48"/>
      <c r="AN52" s="48">
        <f t="shared" si="72"/>
        <v>0</v>
      </c>
      <c r="AO52" s="48"/>
      <c r="AP52" s="48"/>
      <c r="AQ52" s="48"/>
      <c r="AR52" s="48">
        <f t="shared" si="73"/>
        <v>0</v>
      </c>
      <c r="AS52" s="48"/>
      <c r="AT52" s="48"/>
      <c r="AU52" s="48"/>
      <c r="AV52" s="48">
        <f t="shared" si="74"/>
        <v>0</v>
      </c>
      <c r="AW52" s="48"/>
      <c r="AX52" s="48"/>
      <c r="AY52" s="48"/>
      <c r="AZ52" s="48">
        <f t="shared" si="75"/>
        <v>0</v>
      </c>
      <c r="BA52" s="48"/>
      <c r="BB52" s="48"/>
      <c r="BC52" s="48"/>
      <c r="BD52" s="48">
        <f t="shared" si="76"/>
        <v>0</v>
      </c>
      <c r="BE52" s="48"/>
      <c r="BF52" s="48"/>
      <c r="BG52" s="48"/>
      <c r="BH52" s="48">
        <f t="shared" si="77"/>
        <v>0</v>
      </c>
      <c r="BI52" s="48"/>
      <c r="BJ52" s="48"/>
      <c r="BK52" s="48"/>
      <c r="BL52" s="48">
        <f t="shared" si="78"/>
        <v>0</v>
      </c>
      <c r="BM52" s="48"/>
      <c r="BN52" s="48"/>
      <c r="BO52" s="48"/>
      <c r="BP52" s="48">
        <f t="shared" si="79"/>
        <v>0</v>
      </c>
      <c r="BQ52" s="48"/>
      <c r="BR52" s="48"/>
      <c r="BS52" s="48"/>
      <c r="BT52" s="48">
        <f t="shared" si="80"/>
        <v>0</v>
      </c>
      <c r="BU52" s="48"/>
      <c r="BV52" s="48"/>
      <c r="BW52" s="48"/>
      <c r="BX52" s="48">
        <f t="shared" si="81"/>
        <v>0</v>
      </c>
      <c r="BY52" s="48"/>
      <c r="BZ52" s="48"/>
      <c r="CA52" s="48"/>
      <c r="CB52" s="48">
        <f t="shared" si="82"/>
        <v>0</v>
      </c>
      <c r="CC52" s="48"/>
      <c r="CD52" s="48"/>
      <c r="CE52" s="48"/>
      <c r="CF52" s="48">
        <f t="shared" si="83"/>
        <v>0</v>
      </c>
      <c r="CG52" s="48"/>
      <c r="CH52" s="48"/>
      <c r="CI52" s="48"/>
      <c r="CJ52" s="48">
        <f t="shared" si="84"/>
        <v>0</v>
      </c>
      <c r="CK52" s="48"/>
      <c r="CL52" s="48"/>
      <c r="CM52" s="48"/>
      <c r="CN52" s="48">
        <f t="shared" si="85"/>
        <v>0</v>
      </c>
      <c r="CO52" s="48"/>
      <c r="CP52" s="48"/>
      <c r="CQ52" s="48"/>
      <c r="CR52" s="48">
        <f t="shared" si="86"/>
        <v>0</v>
      </c>
      <c r="CS52" s="48"/>
      <c r="CT52" s="48"/>
      <c r="CU52" s="48"/>
      <c r="CV52" s="48">
        <f t="shared" si="87"/>
        <v>0</v>
      </c>
      <c r="CW52" s="48"/>
      <c r="CX52" s="48"/>
      <c r="CY52" s="48"/>
      <c r="CZ52" s="48">
        <f t="shared" si="88"/>
        <v>0</v>
      </c>
      <c r="DA52" s="48"/>
      <c r="DB52" s="48"/>
      <c r="DC52" s="48"/>
      <c r="DD52" s="48">
        <f t="shared" si="89"/>
        <v>0</v>
      </c>
      <c r="DE52" s="48"/>
      <c r="DF52" s="48"/>
      <c r="DG52" s="48"/>
      <c r="DH52" s="48">
        <f t="shared" si="90"/>
        <v>0</v>
      </c>
      <c r="DI52" s="48"/>
      <c r="DJ52" s="48"/>
      <c r="DK52" s="48"/>
      <c r="DL52" s="48">
        <f t="shared" si="91"/>
        <v>0</v>
      </c>
      <c r="DM52" s="48"/>
      <c r="DN52" s="48"/>
      <c r="DO52" s="48"/>
      <c r="DP52" s="48">
        <f t="shared" si="92"/>
        <v>0</v>
      </c>
      <c r="DQ52" s="48"/>
      <c r="DR52" s="48"/>
      <c r="DS52" s="48"/>
      <c r="DT52" s="48">
        <f t="shared" si="93"/>
        <v>0</v>
      </c>
      <c r="DU52" s="48"/>
      <c r="DV52" s="48"/>
      <c r="DW52" s="48"/>
      <c r="DX52" s="48">
        <f t="shared" si="94"/>
        <v>0</v>
      </c>
      <c r="DY52" s="48">
        <f t="shared" si="95"/>
        <v>0</v>
      </c>
      <c r="DZ52" s="48">
        <f t="shared" si="96"/>
        <v>0</v>
      </c>
      <c r="EA52" s="14">
        <f>D52*'MASTER SHEET'!D52</f>
        <v>0</v>
      </c>
      <c r="EB52" s="14">
        <f>H52*'MASTER SHEET'!D52</f>
        <v>0</v>
      </c>
      <c r="EC52" s="14">
        <f>L52*'MASTER SHEET'!D52</f>
        <v>0</v>
      </c>
      <c r="ED52" s="14">
        <f>P52*'MASTER SHEET'!D52</f>
        <v>0</v>
      </c>
      <c r="EE52" s="14">
        <f>T52*'MASTER SHEET'!D52</f>
        <v>0</v>
      </c>
      <c r="EF52" s="14">
        <f>X52*'MASTER SHEET'!D52</f>
        <v>0</v>
      </c>
      <c r="EG52" s="14">
        <f>AB52*'MASTER SHEET'!D52</f>
        <v>0</v>
      </c>
      <c r="EH52" s="14">
        <f>AF52*'MASTER SHEET'!D52</f>
        <v>0</v>
      </c>
      <c r="EI52" s="14">
        <f>AJ52*'MASTER SHEET'!D52</f>
        <v>0</v>
      </c>
      <c r="EJ52" s="14">
        <f>AN52*'MASTER SHEET'!D52</f>
        <v>0</v>
      </c>
      <c r="EK52" s="14">
        <f>AR52*'MASTER SHEET'!D52</f>
        <v>0</v>
      </c>
      <c r="EL52" s="14">
        <f>AV52*'MASTER SHEET'!D52</f>
        <v>0</v>
      </c>
      <c r="EM52" s="14">
        <f>AZ52*'MASTER SHEET'!D52</f>
        <v>0</v>
      </c>
      <c r="EN52" s="14">
        <f>BD52*'MASTER SHEET'!D52</f>
        <v>0</v>
      </c>
      <c r="EO52" s="14">
        <f>BH52*'MASTER SHEET'!D52</f>
        <v>0</v>
      </c>
      <c r="EP52" s="14">
        <f>BL52*'MASTER SHEET'!D52</f>
        <v>0</v>
      </c>
      <c r="EQ52" s="14">
        <f>BP52*'MASTER SHEET'!D52</f>
        <v>0</v>
      </c>
      <c r="ER52" s="14">
        <f>BT52*'MASTER SHEET'!D52</f>
        <v>0</v>
      </c>
      <c r="ES52" s="14">
        <f>BX52*'MASTER SHEET'!D52</f>
        <v>0</v>
      </c>
      <c r="ET52" s="21">
        <f>CB52*'MASTER SHEET'!D52</f>
        <v>0</v>
      </c>
      <c r="EU52" s="14">
        <f>CF52*'MASTER SHEET'!D52</f>
        <v>0</v>
      </c>
      <c r="EV52" s="14">
        <f>CJ52*'MASTER SHEET'!D52</f>
        <v>0</v>
      </c>
      <c r="EW52" s="14">
        <f>CN52*'MASTER SHEET'!D52</f>
        <v>0</v>
      </c>
      <c r="EX52" s="14">
        <f>CR52*'MASTER SHEET'!D52</f>
        <v>0</v>
      </c>
      <c r="EY52" s="14">
        <f>CR52*'MASTER SHEET'!D52</f>
        <v>0</v>
      </c>
      <c r="EZ52" s="14">
        <f>CV52*'MASTER SHEET'!D52</f>
        <v>0</v>
      </c>
      <c r="FA52" s="14">
        <f>CZ52*'MASTER SHEET'!D52</f>
        <v>0</v>
      </c>
      <c r="FB52" s="14">
        <f>DD52*'MASTER SHEET'!D52</f>
        <v>0</v>
      </c>
    </row>
    <row r="53" spans="1:158" ht="18.75" customHeight="1" x14ac:dyDescent="0.25">
      <c r="A53" s="43">
        <f>'MASTER SHEET'!A53</f>
        <v>51</v>
      </c>
      <c r="B53" s="49" t="str">
        <f>'MASTER SHEET'!B53</f>
        <v>NOZZLE PLATE</v>
      </c>
      <c r="C53" s="86">
        <f>'MASTER SHEET'!C53</f>
        <v>5030146</v>
      </c>
      <c r="D53" s="51"/>
      <c r="E53" s="48">
        <v>636</v>
      </c>
      <c r="F53" s="48">
        <v>556</v>
      </c>
      <c r="G53" s="48">
        <v>80</v>
      </c>
      <c r="H53" s="48">
        <f t="shared" si="64"/>
        <v>0</v>
      </c>
      <c r="I53" s="28">
        <v>3094</v>
      </c>
      <c r="J53" s="28">
        <v>3076</v>
      </c>
      <c r="K53" s="65">
        <v>18</v>
      </c>
      <c r="L53" s="48">
        <f t="shared" si="65"/>
        <v>0</v>
      </c>
      <c r="M53" s="48"/>
      <c r="N53" s="48"/>
      <c r="O53" s="48"/>
      <c r="P53" s="48">
        <f t="shared" si="66"/>
        <v>0</v>
      </c>
      <c r="Q53" s="48"/>
      <c r="R53" s="48"/>
      <c r="S53" s="48"/>
      <c r="T53" s="48">
        <f t="shared" si="67"/>
        <v>0</v>
      </c>
      <c r="U53" s="48">
        <v>0</v>
      </c>
      <c r="V53" s="48"/>
      <c r="W53" s="48"/>
      <c r="X53" s="48">
        <f t="shared" si="68"/>
        <v>0</v>
      </c>
      <c r="Y53" s="48"/>
      <c r="Z53" s="48"/>
      <c r="AA53" s="48"/>
      <c r="AB53" s="48">
        <f t="shared" si="69"/>
        <v>0</v>
      </c>
      <c r="AC53" s="48"/>
      <c r="AD53" s="48"/>
      <c r="AE53" s="48"/>
      <c r="AF53" s="48">
        <f t="shared" si="70"/>
        <v>0</v>
      </c>
      <c r="AG53" s="48"/>
      <c r="AH53" s="48"/>
      <c r="AI53" s="48"/>
      <c r="AJ53" s="48">
        <f t="shared" si="71"/>
        <v>0</v>
      </c>
      <c r="AK53" s="48"/>
      <c r="AL53" s="48"/>
      <c r="AM53" s="48"/>
      <c r="AN53" s="48">
        <f t="shared" si="72"/>
        <v>0</v>
      </c>
      <c r="AO53" s="48"/>
      <c r="AP53" s="48"/>
      <c r="AQ53" s="48"/>
      <c r="AR53" s="48">
        <f t="shared" si="73"/>
        <v>0</v>
      </c>
      <c r="AS53" s="48"/>
      <c r="AT53" s="48"/>
      <c r="AU53" s="48"/>
      <c r="AV53" s="48">
        <f t="shared" si="74"/>
        <v>0</v>
      </c>
      <c r="AW53" s="48"/>
      <c r="AX53" s="48"/>
      <c r="AY53" s="48"/>
      <c r="AZ53" s="48">
        <f t="shared" si="75"/>
        <v>0</v>
      </c>
      <c r="BA53" s="48"/>
      <c r="BB53" s="48"/>
      <c r="BC53" s="48"/>
      <c r="BD53" s="48">
        <f t="shared" si="76"/>
        <v>0</v>
      </c>
      <c r="BE53" s="48"/>
      <c r="BF53" s="48"/>
      <c r="BG53" s="48"/>
      <c r="BH53" s="48">
        <f t="shared" si="77"/>
        <v>0</v>
      </c>
      <c r="BI53" s="48"/>
      <c r="BJ53" s="48"/>
      <c r="BK53" s="48"/>
      <c r="BL53" s="48">
        <f t="shared" si="78"/>
        <v>0</v>
      </c>
      <c r="BM53" s="48"/>
      <c r="BN53" s="48"/>
      <c r="BO53" s="48"/>
      <c r="BP53" s="48">
        <f t="shared" si="79"/>
        <v>0</v>
      </c>
      <c r="BQ53" s="48"/>
      <c r="BR53" s="48"/>
      <c r="BS53" s="48"/>
      <c r="BT53" s="48">
        <f t="shared" si="80"/>
        <v>0</v>
      </c>
      <c r="BU53" s="48"/>
      <c r="BV53" s="48"/>
      <c r="BW53" s="48"/>
      <c r="BX53" s="48">
        <f t="shared" si="81"/>
        <v>0</v>
      </c>
      <c r="BY53" s="48"/>
      <c r="BZ53" s="48"/>
      <c r="CA53" s="48"/>
      <c r="CB53" s="48">
        <f t="shared" si="82"/>
        <v>0</v>
      </c>
      <c r="CC53" s="48"/>
      <c r="CD53" s="48"/>
      <c r="CE53" s="48"/>
      <c r="CF53" s="48">
        <f t="shared" si="83"/>
        <v>0</v>
      </c>
      <c r="CG53" s="48"/>
      <c r="CH53" s="48"/>
      <c r="CI53" s="48"/>
      <c r="CJ53" s="48">
        <f t="shared" si="84"/>
        <v>0</v>
      </c>
      <c r="CK53" s="48"/>
      <c r="CL53" s="48"/>
      <c r="CM53" s="48"/>
      <c r="CN53" s="48">
        <f t="shared" si="85"/>
        <v>0</v>
      </c>
      <c r="CO53" s="48"/>
      <c r="CP53" s="48"/>
      <c r="CQ53" s="48"/>
      <c r="CR53" s="48">
        <f t="shared" si="86"/>
        <v>0</v>
      </c>
      <c r="CS53" s="48"/>
      <c r="CT53" s="48"/>
      <c r="CU53" s="48"/>
      <c r="CV53" s="48">
        <f t="shared" si="87"/>
        <v>0</v>
      </c>
      <c r="CW53" s="48"/>
      <c r="CX53" s="48"/>
      <c r="CY53" s="48"/>
      <c r="CZ53" s="48">
        <f t="shared" si="88"/>
        <v>0</v>
      </c>
      <c r="DA53" s="48"/>
      <c r="DB53" s="48"/>
      <c r="DC53" s="48"/>
      <c r="DD53" s="48">
        <f t="shared" si="89"/>
        <v>0</v>
      </c>
      <c r="DE53" s="48"/>
      <c r="DF53" s="48"/>
      <c r="DG53" s="48"/>
      <c r="DH53" s="48">
        <f t="shared" si="90"/>
        <v>0</v>
      </c>
      <c r="DI53" s="48"/>
      <c r="DJ53" s="48"/>
      <c r="DK53" s="48"/>
      <c r="DL53" s="48">
        <f t="shared" si="91"/>
        <v>0</v>
      </c>
      <c r="DM53" s="48"/>
      <c r="DN53" s="48"/>
      <c r="DO53" s="48"/>
      <c r="DP53" s="48">
        <f t="shared" si="92"/>
        <v>0</v>
      </c>
      <c r="DQ53" s="48"/>
      <c r="DR53" s="48"/>
      <c r="DS53" s="48"/>
      <c r="DT53" s="48">
        <f t="shared" si="93"/>
        <v>0</v>
      </c>
      <c r="DU53" s="48"/>
      <c r="DV53" s="48"/>
      <c r="DW53" s="48"/>
      <c r="DX53" s="48">
        <f t="shared" si="94"/>
        <v>0</v>
      </c>
      <c r="DY53" s="48">
        <f t="shared" si="95"/>
        <v>3730</v>
      </c>
      <c r="DZ53" s="48">
        <f t="shared" si="96"/>
        <v>98</v>
      </c>
      <c r="EA53" s="14">
        <f>D53*'MASTER SHEET'!D53</f>
        <v>0</v>
      </c>
      <c r="EB53" s="14">
        <f>H53*'MASTER SHEET'!D53</f>
        <v>0</v>
      </c>
      <c r="EC53" s="14">
        <f>L53*'MASTER SHEET'!D53</f>
        <v>0</v>
      </c>
      <c r="ED53" s="14">
        <f>P53*'MASTER SHEET'!D53</f>
        <v>0</v>
      </c>
      <c r="EE53" s="14">
        <f>T53*'MASTER SHEET'!D53</f>
        <v>0</v>
      </c>
      <c r="EF53" s="14">
        <f>X53*'MASTER SHEET'!D53</f>
        <v>0</v>
      </c>
      <c r="EG53" s="14">
        <f>AB53*'MASTER SHEET'!D53</f>
        <v>0</v>
      </c>
      <c r="EH53" s="14">
        <f>AF53*'MASTER SHEET'!D53</f>
        <v>0</v>
      </c>
      <c r="EI53" s="14">
        <f>AJ53*'MASTER SHEET'!D53</f>
        <v>0</v>
      </c>
      <c r="EJ53" s="14">
        <f>AN53*'MASTER SHEET'!D53</f>
        <v>0</v>
      </c>
      <c r="EK53" s="14">
        <f>AR53*'MASTER SHEET'!D53</f>
        <v>0</v>
      </c>
      <c r="EL53" s="14">
        <f>AV53*'MASTER SHEET'!D53</f>
        <v>0</v>
      </c>
      <c r="EM53" s="14">
        <f>AZ53*'MASTER SHEET'!D53</f>
        <v>0</v>
      </c>
      <c r="EN53" s="14">
        <f>BD53*'MASTER SHEET'!D53</f>
        <v>0</v>
      </c>
      <c r="EO53" s="14">
        <f>BH53*'MASTER SHEET'!D53</f>
        <v>0</v>
      </c>
      <c r="EP53" s="14">
        <f>BL53*'MASTER SHEET'!D53</f>
        <v>0</v>
      </c>
      <c r="EQ53" s="14">
        <f>BP53*'MASTER SHEET'!D53</f>
        <v>0</v>
      </c>
      <c r="ER53" s="14">
        <f>BT53*'MASTER SHEET'!D53</f>
        <v>0</v>
      </c>
      <c r="ES53" s="14">
        <f>BX53*'MASTER SHEET'!D53</f>
        <v>0</v>
      </c>
      <c r="ET53" s="21">
        <f>CB53*'MASTER SHEET'!D53</f>
        <v>0</v>
      </c>
      <c r="EU53" s="14">
        <f>CF53*'MASTER SHEET'!D53</f>
        <v>0</v>
      </c>
      <c r="EV53" s="14">
        <f>CJ53*'MASTER SHEET'!D53</f>
        <v>0</v>
      </c>
      <c r="EW53" s="14">
        <f>CN53*'MASTER SHEET'!D53</f>
        <v>0</v>
      </c>
      <c r="EX53" s="14">
        <f>CR53*'MASTER SHEET'!D53</f>
        <v>0</v>
      </c>
      <c r="EY53" s="14">
        <f>CR53*'MASTER SHEET'!D53</f>
        <v>0</v>
      </c>
      <c r="EZ53" s="14">
        <f>CV53*'MASTER SHEET'!D53</f>
        <v>0</v>
      </c>
      <c r="FA53" s="14">
        <f>CZ53*'MASTER SHEET'!D53</f>
        <v>0</v>
      </c>
      <c r="FB53" s="14">
        <f>DD53*'MASTER SHEET'!D53</f>
        <v>0</v>
      </c>
    </row>
    <row r="54" spans="1:158" ht="18.75" customHeight="1" x14ac:dyDescent="0.25">
      <c r="A54" s="43">
        <f>'MASTER SHEET'!A54</f>
        <v>52</v>
      </c>
      <c r="B54" s="49" t="str">
        <f>'MASTER SHEET'!B54</f>
        <v>SMALL PIPE</v>
      </c>
      <c r="C54" s="86">
        <f>'MASTER SHEET'!C54</f>
        <v>5030167</v>
      </c>
      <c r="D54" s="51"/>
      <c r="E54" s="48"/>
      <c r="F54" s="48"/>
      <c r="G54" s="48"/>
      <c r="H54" s="48">
        <f t="shared" si="64"/>
        <v>0</v>
      </c>
      <c r="I54" s="28"/>
      <c r="J54" s="28"/>
      <c r="K54" s="65"/>
      <c r="L54" s="48">
        <f t="shared" si="65"/>
        <v>0</v>
      </c>
      <c r="M54" s="48"/>
      <c r="N54" s="48"/>
      <c r="O54" s="48"/>
      <c r="P54" s="48">
        <f t="shared" si="66"/>
        <v>0</v>
      </c>
      <c r="Q54" s="48"/>
      <c r="R54" s="48"/>
      <c r="S54" s="48"/>
      <c r="T54" s="48">
        <f t="shared" si="67"/>
        <v>0</v>
      </c>
      <c r="U54" s="48">
        <v>0</v>
      </c>
      <c r="V54" s="48"/>
      <c r="W54" s="48"/>
      <c r="X54" s="48">
        <f t="shared" si="68"/>
        <v>0</v>
      </c>
      <c r="Y54" s="48"/>
      <c r="Z54" s="48"/>
      <c r="AA54" s="48"/>
      <c r="AB54" s="48">
        <f t="shared" si="69"/>
        <v>0</v>
      </c>
      <c r="AC54" s="48"/>
      <c r="AD54" s="48"/>
      <c r="AE54" s="48"/>
      <c r="AF54" s="48">
        <f t="shared" si="70"/>
        <v>0</v>
      </c>
      <c r="AG54" s="48"/>
      <c r="AH54" s="48"/>
      <c r="AI54" s="48"/>
      <c r="AJ54" s="48">
        <f t="shared" si="71"/>
        <v>0</v>
      </c>
      <c r="AK54" s="48"/>
      <c r="AL54" s="48"/>
      <c r="AM54" s="48"/>
      <c r="AN54" s="48">
        <f t="shared" si="72"/>
        <v>0</v>
      </c>
      <c r="AO54" s="48"/>
      <c r="AP54" s="48"/>
      <c r="AQ54" s="48"/>
      <c r="AR54" s="48">
        <f t="shared" si="73"/>
        <v>0</v>
      </c>
      <c r="AS54" s="48"/>
      <c r="AT54" s="48"/>
      <c r="AU54" s="48"/>
      <c r="AV54" s="48">
        <f t="shared" si="74"/>
        <v>0</v>
      </c>
      <c r="AW54" s="48"/>
      <c r="AX54" s="48"/>
      <c r="AY54" s="48"/>
      <c r="AZ54" s="48">
        <f t="shared" si="75"/>
        <v>0</v>
      </c>
      <c r="BA54" s="48"/>
      <c r="BB54" s="48"/>
      <c r="BC54" s="48"/>
      <c r="BD54" s="48">
        <f t="shared" si="76"/>
        <v>0</v>
      </c>
      <c r="BE54" s="48"/>
      <c r="BF54" s="48"/>
      <c r="BG54" s="48"/>
      <c r="BH54" s="48">
        <f t="shared" si="77"/>
        <v>0</v>
      </c>
      <c r="BI54" s="48"/>
      <c r="BJ54" s="48"/>
      <c r="BK54" s="48"/>
      <c r="BL54" s="48">
        <f t="shared" si="78"/>
        <v>0</v>
      </c>
      <c r="BM54" s="48"/>
      <c r="BN54" s="48"/>
      <c r="BO54" s="48"/>
      <c r="BP54" s="48">
        <f t="shared" si="79"/>
        <v>0</v>
      </c>
      <c r="BQ54" s="48"/>
      <c r="BR54" s="48"/>
      <c r="BS54" s="48"/>
      <c r="BT54" s="48">
        <f t="shared" si="80"/>
        <v>0</v>
      </c>
      <c r="BU54" s="48"/>
      <c r="BV54" s="48"/>
      <c r="BW54" s="48"/>
      <c r="BX54" s="48">
        <f t="shared" si="81"/>
        <v>0</v>
      </c>
      <c r="BY54" s="48"/>
      <c r="BZ54" s="48"/>
      <c r="CA54" s="48"/>
      <c r="CB54" s="48">
        <f t="shared" si="82"/>
        <v>0</v>
      </c>
      <c r="CC54" s="48"/>
      <c r="CD54" s="48"/>
      <c r="CE54" s="48"/>
      <c r="CF54" s="48">
        <f t="shared" si="83"/>
        <v>0</v>
      </c>
      <c r="CG54" s="48"/>
      <c r="CH54" s="48"/>
      <c r="CI54" s="48"/>
      <c r="CJ54" s="48">
        <f t="shared" si="84"/>
        <v>0</v>
      </c>
      <c r="CK54" s="48"/>
      <c r="CL54" s="48"/>
      <c r="CM54" s="48"/>
      <c r="CN54" s="48">
        <f t="shared" si="85"/>
        <v>0</v>
      </c>
      <c r="CO54" s="48"/>
      <c r="CP54" s="48"/>
      <c r="CQ54" s="48"/>
      <c r="CR54" s="48">
        <f t="shared" si="86"/>
        <v>0</v>
      </c>
      <c r="CS54" s="48"/>
      <c r="CT54" s="48"/>
      <c r="CU54" s="48"/>
      <c r="CV54" s="48">
        <f t="shared" si="87"/>
        <v>0</v>
      </c>
      <c r="CW54" s="48"/>
      <c r="CX54" s="48"/>
      <c r="CY54" s="48"/>
      <c r="CZ54" s="48">
        <f t="shared" si="88"/>
        <v>0</v>
      </c>
      <c r="DA54" s="48"/>
      <c r="DB54" s="48"/>
      <c r="DC54" s="48"/>
      <c r="DD54" s="48">
        <f t="shared" si="89"/>
        <v>0</v>
      </c>
      <c r="DE54" s="48"/>
      <c r="DF54" s="48"/>
      <c r="DG54" s="48"/>
      <c r="DH54" s="48">
        <f t="shared" si="90"/>
        <v>0</v>
      </c>
      <c r="DI54" s="48"/>
      <c r="DJ54" s="48"/>
      <c r="DK54" s="48"/>
      <c r="DL54" s="48">
        <f t="shared" si="91"/>
        <v>0</v>
      </c>
      <c r="DM54" s="48"/>
      <c r="DN54" s="48"/>
      <c r="DO54" s="48"/>
      <c r="DP54" s="48">
        <f t="shared" si="92"/>
        <v>0</v>
      </c>
      <c r="DQ54" s="48"/>
      <c r="DR54" s="48"/>
      <c r="DS54" s="48"/>
      <c r="DT54" s="48">
        <f t="shared" si="93"/>
        <v>0</v>
      </c>
      <c r="DU54" s="48"/>
      <c r="DV54" s="48"/>
      <c r="DW54" s="48"/>
      <c r="DX54" s="48">
        <f t="shared" si="94"/>
        <v>0</v>
      </c>
      <c r="DY54" s="48">
        <f t="shared" si="95"/>
        <v>0</v>
      </c>
      <c r="DZ54" s="48">
        <f t="shared" si="96"/>
        <v>0</v>
      </c>
      <c r="EA54" s="14">
        <f>D54*'MASTER SHEET'!D54</f>
        <v>0</v>
      </c>
      <c r="EB54" s="14">
        <f>H54*'MASTER SHEET'!D54</f>
        <v>0</v>
      </c>
      <c r="EC54" s="14">
        <f>L54*'MASTER SHEET'!D54</f>
        <v>0</v>
      </c>
      <c r="ED54" s="14">
        <f>P54*'MASTER SHEET'!D54</f>
        <v>0</v>
      </c>
      <c r="EE54" s="14">
        <f>T54*'MASTER SHEET'!D54</f>
        <v>0</v>
      </c>
      <c r="EF54" s="14">
        <f>X54*'MASTER SHEET'!D54</f>
        <v>0</v>
      </c>
      <c r="EG54" s="14">
        <f>AB54*'MASTER SHEET'!D54</f>
        <v>0</v>
      </c>
      <c r="EH54" s="14">
        <f>AF54*'MASTER SHEET'!D54</f>
        <v>0</v>
      </c>
      <c r="EI54" s="14">
        <f>AJ54*'MASTER SHEET'!D54</f>
        <v>0</v>
      </c>
      <c r="EJ54" s="14">
        <f>AN54*'MASTER SHEET'!D54</f>
        <v>0</v>
      </c>
      <c r="EK54" s="14">
        <f>AR54*'MASTER SHEET'!D54</f>
        <v>0</v>
      </c>
      <c r="EL54" s="14">
        <f>AV54*'MASTER SHEET'!D54</f>
        <v>0</v>
      </c>
      <c r="EM54" s="14">
        <f>AZ54*'MASTER SHEET'!D54</f>
        <v>0</v>
      </c>
      <c r="EN54" s="14">
        <f>BD54*'MASTER SHEET'!D54</f>
        <v>0</v>
      </c>
      <c r="EO54" s="14">
        <f>BH54*'MASTER SHEET'!D54</f>
        <v>0</v>
      </c>
      <c r="EP54" s="14">
        <f>BL54*'MASTER SHEET'!D54</f>
        <v>0</v>
      </c>
      <c r="EQ54" s="14">
        <f>BP54*'MASTER SHEET'!D54</f>
        <v>0</v>
      </c>
      <c r="ER54" s="14">
        <f>BT54*'MASTER SHEET'!D54</f>
        <v>0</v>
      </c>
      <c r="ES54" s="14">
        <f>BX54*'MASTER SHEET'!D54</f>
        <v>0</v>
      </c>
      <c r="ET54" s="21">
        <f>CB54*'MASTER SHEET'!D54</f>
        <v>0</v>
      </c>
      <c r="EU54" s="14">
        <f>CF54*'MASTER SHEET'!D54</f>
        <v>0</v>
      </c>
      <c r="EV54" s="14">
        <f>CJ54*'MASTER SHEET'!D54</f>
        <v>0</v>
      </c>
      <c r="EW54" s="14">
        <f>CN54*'MASTER SHEET'!D54</f>
        <v>0</v>
      </c>
      <c r="EX54" s="14">
        <f>CR54*'MASTER SHEET'!D54</f>
        <v>0</v>
      </c>
      <c r="EY54" s="14">
        <f>CR54*'MASTER SHEET'!D54</f>
        <v>0</v>
      </c>
      <c r="EZ54" s="14">
        <f>CV54*'MASTER SHEET'!D54</f>
        <v>0</v>
      </c>
      <c r="FA54" s="14">
        <f>CZ54*'MASTER SHEET'!D54</f>
        <v>0</v>
      </c>
      <c r="FB54" s="14">
        <f>DD54*'MASTER SHEET'!D54</f>
        <v>0</v>
      </c>
    </row>
    <row r="55" spans="1:158" ht="18.75" customHeight="1" x14ac:dyDescent="0.25">
      <c r="A55" s="43">
        <f>'MASTER SHEET'!A55</f>
        <v>53</v>
      </c>
      <c r="B55" s="49" t="str">
        <f>'MASTER SHEET'!B55</f>
        <v>Mesh Plastic</v>
      </c>
      <c r="C55" s="86">
        <f>'MASTER SHEET'!C55</f>
        <v>5030573</v>
      </c>
      <c r="D55" s="51"/>
      <c r="E55" s="48"/>
      <c r="F55" s="48"/>
      <c r="G55" s="48"/>
      <c r="H55" s="48">
        <f t="shared" si="64"/>
        <v>0</v>
      </c>
      <c r="I55" s="28"/>
      <c r="J55" s="28"/>
      <c r="K55" s="65"/>
      <c r="L55" s="48">
        <f t="shared" si="65"/>
        <v>0</v>
      </c>
      <c r="M55" s="48"/>
      <c r="N55" s="48"/>
      <c r="O55" s="48"/>
      <c r="P55" s="48">
        <f t="shared" si="66"/>
        <v>0</v>
      </c>
      <c r="Q55" s="48"/>
      <c r="R55" s="48"/>
      <c r="S55" s="48"/>
      <c r="T55" s="48">
        <f t="shared" si="67"/>
        <v>0</v>
      </c>
      <c r="U55" s="48">
        <v>0</v>
      </c>
      <c r="V55" s="48"/>
      <c r="W55" s="48"/>
      <c r="X55" s="48">
        <f t="shared" si="68"/>
        <v>0</v>
      </c>
      <c r="Y55" s="48"/>
      <c r="Z55" s="48"/>
      <c r="AA55" s="48"/>
      <c r="AB55" s="48">
        <f t="shared" si="69"/>
        <v>0</v>
      </c>
      <c r="AC55" s="48"/>
      <c r="AD55" s="48"/>
      <c r="AE55" s="48"/>
      <c r="AF55" s="48">
        <f t="shared" si="70"/>
        <v>0</v>
      </c>
      <c r="AG55" s="48"/>
      <c r="AH55" s="48"/>
      <c r="AI55" s="48"/>
      <c r="AJ55" s="48">
        <f t="shared" si="71"/>
        <v>0</v>
      </c>
      <c r="AK55" s="48"/>
      <c r="AL55" s="48"/>
      <c r="AM55" s="48"/>
      <c r="AN55" s="48">
        <f t="shared" si="72"/>
        <v>0</v>
      </c>
      <c r="AO55" s="48"/>
      <c r="AP55" s="48"/>
      <c r="AQ55" s="48"/>
      <c r="AR55" s="48">
        <f t="shared" si="73"/>
        <v>0</v>
      </c>
      <c r="AS55" s="48"/>
      <c r="AT55" s="48"/>
      <c r="AU55" s="48"/>
      <c r="AV55" s="48">
        <f t="shared" si="74"/>
        <v>0</v>
      </c>
      <c r="AW55" s="48"/>
      <c r="AX55" s="48"/>
      <c r="AY55" s="48"/>
      <c r="AZ55" s="48">
        <f t="shared" si="75"/>
        <v>0</v>
      </c>
      <c r="BA55" s="48"/>
      <c r="BB55" s="48"/>
      <c r="BC55" s="48"/>
      <c r="BD55" s="48">
        <f t="shared" si="76"/>
        <v>0</v>
      </c>
      <c r="BE55" s="48"/>
      <c r="BF55" s="48"/>
      <c r="BG55" s="48"/>
      <c r="BH55" s="48">
        <f t="shared" si="77"/>
        <v>0</v>
      </c>
      <c r="BI55" s="48"/>
      <c r="BJ55" s="48"/>
      <c r="BK55" s="48"/>
      <c r="BL55" s="48">
        <f t="shared" si="78"/>
        <v>0</v>
      </c>
      <c r="BM55" s="48"/>
      <c r="BN55" s="48"/>
      <c r="BO55" s="48"/>
      <c r="BP55" s="48">
        <f t="shared" si="79"/>
        <v>0</v>
      </c>
      <c r="BQ55" s="48"/>
      <c r="BR55" s="48"/>
      <c r="BS55" s="48"/>
      <c r="BT55" s="48">
        <f t="shared" si="80"/>
        <v>0</v>
      </c>
      <c r="BU55" s="48"/>
      <c r="BV55" s="48"/>
      <c r="BW55" s="48"/>
      <c r="BX55" s="48">
        <f t="shared" si="81"/>
        <v>0</v>
      </c>
      <c r="BY55" s="48"/>
      <c r="BZ55" s="48"/>
      <c r="CA55" s="48"/>
      <c r="CB55" s="48">
        <f t="shared" si="82"/>
        <v>0</v>
      </c>
      <c r="CC55" s="48"/>
      <c r="CD55" s="48"/>
      <c r="CE55" s="48"/>
      <c r="CF55" s="48">
        <f t="shared" si="83"/>
        <v>0</v>
      </c>
      <c r="CG55" s="48"/>
      <c r="CH55" s="48"/>
      <c r="CI55" s="48"/>
      <c r="CJ55" s="48">
        <f t="shared" si="84"/>
        <v>0</v>
      </c>
      <c r="CK55" s="48"/>
      <c r="CL55" s="48"/>
      <c r="CM55" s="48"/>
      <c r="CN55" s="48">
        <f t="shared" si="85"/>
        <v>0</v>
      </c>
      <c r="CO55" s="48"/>
      <c r="CP55" s="48"/>
      <c r="CQ55" s="48"/>
      <c r="CR55" s="48">
        <f t="shared" si="86"/>
        <v>0</v>
      </c>
      <c r="CS55" s="48"/>
      <c r="CT55" s="48"/>
      <c r="CU55" s="48"/>
      <c r="CV55" s="48">
        <f t="shared" si="87"/>
        <v>0</v>
      </c>
      <c r="CW55" s="48"/>
      <c r="CX55" s="48"/>
      <c r="CY55" s="48"/>
      <c r="CZ55" s="48">
        <f t="shared" si="88"/>
        <v>0</v>
      </c>
      <c r="DA55" s="48"/>
      <c r="DB55" s="48"/>
      <c r="DC55" s="48"/>
      <c r="DD55" s="48">
        <f t="shared" si="89"/>
        <v>0</v>
      </c>
      <c r="DE55" s="48"/>
      <c r="DF55" s="48"/>
      <c r="DG55" s="48"/>
      <c r="DH55" s="48">
        <f t="shared" si="90"/>
        <v>0</v>
      </c>
      <c r="DI55" s="48"/>
      <c r="DJ55" s="48"/>
      <c r="DK55" s="48"/>
      <c r="DL55" s="48">
        <f t="shared" si="91"/>
        <v>0</v>
      </c>
      <c r="DM55" s="48"/>
      <c r="DN55" s="48"/>
      <c r="DO55" s="48"/>
      <c r="DP55" s="48">
        <f t="shared" si="92"/>
        <v>0</v>
      </c>
      <c r="DQ55" s="48"/>
      <c r="DR55" s="48"/>
      <c r="DS55" s="48"/>
      <c r="DT55" s="48">
        <f t="shared" si="93"/>
        <v>0</v>
      </c>
      <c r="DU55" s="48"/>
      <c r="DV55" s="48"/>
      <c r="DW55" s="48"/>
      <c r="DX55" s="48">
        <f t="shared" si="94"/>
        <v>0</v>
      </c>
      <c r="DY55" s="48">
        <f t="shared" si="95"/>
        <v>0</v>
      </c>
      <c r="DZ55" s="48">
        <f t="shared" si="96"/>
        <v>0</v>
      </c>
      <c r="EA55" s="14">
        <f>D55*'MASTER SHEET'!D55</f>
        <v>0</v>
      </c>
      <c r="EB55" s="14">
        <f>H55*'MASTER SHEET'!D55</f>
        <v>0</v>
      </c>
      <c r="EC55" s="14">
        <f>L55*'MASTER SHEET'!D55</f>
        <v>0</v>
      </c>
      <c r="ED55" s="14">
        <f>P55*'MASTER SHEET'!D55</f>
        <v>0</v>
      </c>
      <c r="EE55" s="14">
        <f>T55*'MASTER SHEET'!D55</f>
        <v>0</v>
      </c>
      <c r="EF55" s="14">
        <f>X55*'MASTER SHEET'!D55</f>
        <v>0</v>
      </c>
      <c r="EG55" s="14">
        <f>AB55*'MASTER SHEET'!D55</f>
        <v>0</v>
      </c>
      <c r="EH55" s="14">
        <f>AF55*'MASTER SHEET'!D55</f>
        <v>0</v>
      </c>
      <c r="EI55" s="14">
        <f>AJ55*'MASTER SHEET'!D55</f>
        <v>0</v>
      </c>
      <c r="EJ55" s="14">
        <f>AN55*'MASTER SHEET'!D55</f>
        <v>0</v>
      </c>
      <c r="EK55" s="14">
        <f>AR55*'MASTER SHEET'!D55</f>
        <v>0</v>
      </c>
      <c r="EL55" s="14">
        <f>AV55*'MASTER SHEET'!D55</f>
        <v>0</v>
      </c>
      <c r="EM55" s="14">
        <f>AZ55*'MASTER SHEET'!D55</f>
        <v>0</v>
      </c>
      <c r="EN55" s="14">
        <f>BD55*'MASTER SHEET'!D55</f>
        <v>0</v>
      </c>
      <c r="EO55" s="14">
        <f>BH55*'MASTER SHEET'!D55</f>
        <v>0</v>
      </c>
      <c r="EP55" s="14">
        <f>BL55*'MASTER SHEET'!D55</f>
        <v>0</v>
      </c>
      <c r="EQ55" s="14">
        <f>BP55*'MASTER SHEET'!D55</f>
        <v>0</v>
      </c>
      <c r="ER55" s="14">
        <f>BT55*'MASTER SHEET'!D55</f>
        <v>0</v>
      </c>
      <c r="ES55" s="14">
        <f>BX55*'MASTER SHEET'!D55</f>
        <v>0</v>
      </c>
      <c r="ET55" s="21">
        <f>CB55*'MASTER SHEET'!D55</f>
        <v>0</v>
      </c>
      <c r="EU55" s="14">
        <f>CF55*'MASTER SHEET'!D55</f>
        <v>0</v>
      </c>
      <c r="EV55" s="14">
        <f>CJ55*'MASTER SHEET'!D55</f>
        <v>0</v>
      </c>
      <c r="EW55" s="14">
        <f>CN55*'MASTER SHEET'!D55</f>
        <v>0</v>
      </c>
      <c r="EX55" s="14">
        <f>CR55*'MASTER SHEET'!D55</f>
        <v>0</v>
      </c>
      <c r="EY55" s="14">
        <f>CR55*'MASTER SHEET'!D55</f>
        <v>0</v>
      </c>
      <c r="EZ55" s="14">
        <f>CV55*'MASTER SHEET'!D55</f>
        <v>0</v>
      </c>
      <c r="FA55" s="14">
        <f>CZ55*'MASTER SHEET'!D55</f>
        <v>0</v>
      </c>
      <c r="FB55" s="14">
        <f>DD55*'MASTER SHEET'!D55</f>
        <v>0</v>
      </c>
    </row>
    <row r="56" spans="1:158" ht="18.75" customHeight="1" x14ac:dyDescent="0.25">
      <c r="A56" s="43">
        <f>'MASTER SHEET'!A56</f>
        <v>54</v>
      </c>
      <c r="B56" s="49" t="str">
        <f>'MASTER SHEET'!B56</f>
        <v>BASE HOUSING</v>
      </c>
      <c r="C56" s="86">
        <f>'MASTER SHEET'!C56</f>
        <v>5030721</v>
      </c>
      <c r="D56" s="51"/>
      <c r="E56" s="48"/>
      <c r="F56" s="48"/>
      <c r="G56" s="48"/>
      <c r="H56" s="48">
        <f t="shared" si="64"/>
        <v>0</v>
      </c>
      <c r="I56" s="28"/>
      <c r="J56" s="28"/>
      <c r="K56" s="65"/>
      <c r="L56" s="48">
        <f t="shared" si="65"/>
        <v>0</v>
      </c>
      <c r="M56" s="48"/>
      <c r="N56" s="48"/>
      <c r="O56" s="48"/>
      <c r="P56" s="48">
        <f t="shared" si="66"/>
        <v>0</v>
      </c>
      <c r="Q56" s="48"/>
      <c r="R56" s="48"/>
      <c r="S56" s="48"/>
      <c r="T56" s="48">
        <f t="shared" si="67"/>
        <v>0</v>
      </c>
      <c r="U56" s="48">
        <v>0</v>
      </c>
      <c r="V56" s="48"/>
      <c r="W56" s="48"/>
      <c r="X56" s="48">
        <f t="shared" si="68"/>
        <v>0</v>
      </c>
      <c r="Y56" s="48"/>
      <c r="Z56" s="48"/>
      <c r="AA56" s="48"/>
      <c r="AB56" s="48">
        <f t="shared" si="69"/>
        <v>0</v>
      </c>
      <c r="AC56" s="48"/>
      <c r="AD56" s="48"/>
      <c r="AE56" s="48"/>
      <c r="AF56" s="48">
        <f t="shared" si="70"/>
        <v>0</v>
      </c>
      <c r="AG56" s="48"/>
      <c r="AH56" s="48"/>
      <c r="AI56" s="48"/>
      <c r="AJ56" s="48">
        <f t="shared" si="71"/>
        <v>0</v>
      </c>
      <c r="AK56" s="48"/>
      <c r="AL56" s="48"/>
      <c r="AM56" s="48"/>
      <c r="AN56" s="48">
        <f t="shared" si="72"/>
        <v>0</v>
      </c>
      <c r="AO56" s="48"/>
      <c r="AP56" s="48"/>
      <c r="AQ56" s="48"/>
      <c r="AR56" s="48">
        <f t="shared" si="73"/>
        <v>0</v>
      </c>
      <c r="AS56" s="48"/>
      <c r="AT56" s="48"/>
      <c r="AU56" s="48"/>
      <c r="AV56" s="48">
        <f t="shared" si="74"/>
        <v>0</v>
      </c>
      <c r="AW56" s="48"/>
      <c r="AX56" s="48"/>
      <c r="AY56" s="48"/>
      <c r="AZ56" s="48">
        <f t="shared" si="75"/>
        <v>0</v>
      </c>
      <c r="BA56" s="48"/>
      <c r="BB56" s="48"/>
      <c r="BC56" s="48"/>
      <c r="BD56" s="48">
        <f t="shared" si="76"/>
        <v>0</v>
      </c>
      <c r="BE56" s="48"/>
      <c r="BF56" s="48"/>
      <c r="BG56" s="48"/>
      <c r="BH56" s="48">
        <f t="shared" si="77"/>
        <v>0</v>
      </c>
      <c r="BI56" s="48"/>
      <c r="BJ56" s="48"/>
      <c r="BK56" s="48"/>
      <c r="BL56" s="48">
        <f t="shared" si="78"/>
        <v>0</v>
      </c>
      <c r="BM56" s="48"/>
      <c r="BN56" s="48"/>
      <c r="BO56" s="48"/>
      <c r="BP56" s="48">
        <f t="shared" si="79"/>
        <v>0</v>
      </c>
      <c r="BQ56" s="48"/>
      <c r="BR56" s="48"/>
      <c r="BS56" s="48"/>
      <c r="BT56" s="48">
        <f t="shared" si="80"/>
        <v>0</v>
      </c>
      <c r="BU56" s="48"/>
      <c r="BV56" s="48"/>
      <c r="BW56" s="48"/>
      <c r="BX56" s="48">
        <f t="shared" si="81"/>
        <v>0</v>
      </c>
      <c r="BY56" s="48"/>
      <c r="BZ56" s="48"/>
      <c r="CA56" s="48"/>
      <c r="CB56" s="48">
        <f t="shared" si="82"/>
        <v>0</v>
      </c>
      <c r="CC56" s="48"/>
      <c r="CD56" s="48"/>
      <c r="CE56" s="48"/>
      <c r="CF56" s="48">
        <f t="shared" si="83"/>
        <v>0</v>
      </c>
      <c r="CG56" s="48"/>
      <c r="CH56" s="48"/>
      <c r="CI56" s="48"/>
      <c r="CJ56" s="48">
        <f t="shared" si="84"/>
        <v>0</v>
      </c>
      <c r="CK56" s="48"/>
      <c r="CL56" s="48"/>
      <c r="CM56" s="48"/>
      <c r="CN56" s="48">
        <f t="shared" si="85"/>
        <v>0</v>
      </c>
      <c r="CO56" s="48"/>
      <c r="CP56" s="48"/>
      <c r="CQ56" s="48"/>
      <c r="CR56" s="48">
        <f t="shared" si="86"/>
        <v>0</v>
      </c>
      <c r="CS56" s="48"/>
      <c r="CT56" s="48"/>
      <c r="CU56" s="48"/>
      <c r="CV56" s="48">
        <f t="shared" si="87"/>
        <v>0</v>
      </c>
      <c r="CW56" s="48"/>
      <c r="CX56" s="48"/>
      <c r="CY56" s="48"/>
      <c r="CZ56" s="48">
        <f t="shared" si="88"/>
        <v>0</v>
      </c>
      <c r="DA56" s="48"/>
      <c r="DB56" s="48"/>
      <c r="DC56" s="48"/>
      <c r="DD56" s="48">
        <f t="shared" si="89"/>
        <v>0</v>
      </c>
      <c r="DE56" s="48"/>
      <c r="DF56" s="48"/>
      <c r="DG56" s="48"/>
      <c r="DH56" s="48">
        <f t="shared" si="90"/>
        <v>0</v>
      </c>
      <c r="DI56" s="48"/>
      <c r="DJ56" s="48"/>
      <c r="DK56" s="48"/>
      <c r="DL56" s="48">
        <f t="shared" si="91"/>
        <v>0</v>
      </c>
      <c r="DM56" s="48"/>
      <c r="DN56" s="48"/>
      <c r="DO56" s="48"/>
      <c r="DP56" s="48">
        <f t="shared" si="92"/>
        <v>0</v>
      </c>
      <c r="DQ56" s="48"/>
      <c r="DR56" s="48"/>
      <c r="DS56" s="48"/>
      <c r="DT56" s="48">
        <f t="shared" si="93"/>
        <v>0</v>
      </c>
      <c r="DU56" s="48"/>
      <c r="DV56" s="48"/>
      <c r="DW56" s="48"/>
      <c r="DX56" s="48">
        <f t="shared" si="94"/>
        <v>0</v>
      </c>
      <c r="DY56" s="48">
        <f t="shared" si="95"/>
        <v>0</v>
      </c>
      <c r="DZ56" s="48">
        <f t="shared" si="96"/>
        <v>0</v>
      </c>
      <c r="EA56" s="14">
        <f>D56*'MASTER SHEET'!D56</f>
        <v>0</v>
      </c>
      <c r="EB56" s="14">
        <f>H56*'MASTER SHEET'!D56</f>
        <v>0</v>
      </c>
      <c r="EC56" s="14">
        <f>L56*'MASTER SHEET'!D56</f>
        <v>0</v>
      </c>
      <c r="ED56" s="14">
        <f>P56*'MASTER SHEET'!D56</f>
        <v>0</v>
      </c>
      <c r="EE56" s="14">
        <f>T56*'MASTER SHEET'!D56</f>
        <v>0</v>
      </c>
      <c r="EF56" s="14">
        <f>X56*'MASTER SHEET'!D56</f>
        <v>0</v>
      </c>
      <c r="EG56" s="14">
        <f>AB56*'MASTER SHEET'!D56</f>
        <v>0</v>
      </c>
      <c r="EH56" s="14">
        <f>AF56*'MASTER SHEET'!D56</f>
        <v>0</v>
      </c>
      <c r="EI56" s="14">
        <f>AJ56*'MASTER SHEET'!D56</f>
        <v>0</v>
      </c>
      <c r="EJ56" s="14">
        <f>AN56*'MASTER SHEET'!D56</f>
        <v>0</v>
      </c>
      <c r="EK56" s="14">
        <f>AR56*'MASTER SHEET'!D56</f>
        <v>0</v>
      </c>
      <c r="EL56" s="14">
        <f>AV56*'MASTER SHEET'!D56</f>
        <v>0</v>
      </c>
      <c r="EM56" s="14">
        <f>AZ56*'MASTER SHEET'!D56</f>
        <v>0</v>
      </c>
      <c r="EN56" s="14">
        <f>BD56*'MASTER SHEET'!D56</f>
        <v>0</v>
      </c>
      <c r="EO56" s="14">
        <f>BH56*'MASTER SHEET'!D56</f>
        <v>0</v>
      </c>
      <c r="EP56" s="14">
        <f>BL56*'MASTER SHEET'!D56</f>
        <v>0</v>
      </c>
      <c r="EQ56" s="14">
        <f>BP56*'MASTER SHEET'!D56</f>
        <v>0</v>
      </c>
      <c r="ER56" s="14">
        <f>BT56*'MASTER SHEET'!D56</f>
        <v>0</v>
      </c>
      <c r="ES56" s="14">
        <f>BX56*'MASTER SHEET'!D56</f>
        <v>0</v>
      </c>
      <c r="ET56" s="21">
        <f>CB56*'MASTER SHEET'!D56</f>
        <v>0</v>
      </c>
      <c r="EU56" s="14">
        <f>CF56*'MASTER SHEET'!D56</f>
        <v>0</v>
      </c>
      <c r="EV56" s="14">
        <f>CJ56*'MASTER SHEET'!D56</f>
        <v>0</v>
      </c>
      <c r="EW56" s="14">
        <f>CN56*'MASTER SHEET'!D56</f>
        <v>0</v>
      </c>
      <c r="EX56" s="14">
        <f>CR56*'MASTER SHEET'!D56</f>
        <v>0</v>
      </c>
      <c r="EY56" s="14">
        <f>CR56*'MASTER SHEET'!D56</f>
        <v>0</v>
      </c>
      <c r="EZ56" s="14">
        <f>CV56*'MASTER SHEET'!D56</f>
        <v>0</v>
      </c>
      <c r="FA56" s="14">
        <f>CZ56*'MASTER SHEET'!D56</f>
        <v>0</v>
      </c>
      <c r="FB56" s="14">
        <f>DD56*'MASTER SHEET'!D56</f>
        <v>0</v>
      </c>
    </row>
    <row r="57" spans="1:158" ht="18.75" customHeight="1" x14ac:dyDescent="0.25">
      <c r="A57" s="43">
        <f>'MASTER SHEET'!A57</f>
        <v>55</v>
      </c>
      <c r="B57" s="49" t="str">
        <f>'MASTER SHEET'!B57</f>
        <v>HOUSING PLASTIC</v>
      </c>
      <c r="C57" s="86">
        <f>'MASTER SHEET'!C57</f>
        <v>5030557</v>
      </c>
      <c r="D57" s="51"/>
      <c r="E57" s="48"/>
      <c r="F57" s="48"/>
      <c r="G57" s="48"/>
      <c r="H57" s="48">
        <f t="shared" si="64"/>
        <v>0</v>
      </c>
      <c r="I57" s="28"/>
      <c r="J57" s="28"/>
      <c r="K57" s="65"/>
      <c r="L57" s="48">
        <f t="shared" si="65"/>
        <v>0</v>
      </c>
      <c r="M57" s="48"/>
      <c r="N57" s="48"/>
      <c r="O57" s="48"/>
      <c r="P57" s="48">
        <f t="shared" si="66"/>
        <v>0</v>
      </c>
      <c r="Q57" s="48"/>
      <c r="R57" s="48"/>
      <c r="S57" s="48"/>
      <c r="T57" s="48">
        <f t="shared" si="67"/>
        <v>0</v>
      </c>
      <c r="U57" s="48">
        <v>0</v>
      </c>
      <c r="V57" s="48"/>
      <c r="W57" s="48"/>
      <c r="X57" s="48">
        <f t="shared" si="68"/>
        <v>0</v>
      </c>
      <c r="Y57" s="48"/>
      <c r="Z57" s="48"/>
      <c r="AA57" s="48"/>
      <c r="AB57" s="48">
        <f t="shared" si="69"/>
        <v>0</v>
      </c>
      <c r="AC57" s="48"/>
      <c r="AD57" s="48"/>
      <c r="AE57" s="48"/>
      <c r="AF57" s="48">
        <f t="shared" si="70"/>
        <v>0</v>
      </c>
      <c r="AG57" s="48"/>
      <c r="AH57" s="48"/>
      <c r="AI57" s="48"/>
      <c r="AJ57" s="48">
        <f t="shared" si="71"/>
        <v>0</v>
      </c>
      <c r="AK57" s="48"/>
      <c r="AL57" s="48"/>
      <c r="AM57" s="48"/>
      <c r="AN57" s="48">
        <f t="shared" si="72"/>
        <v>0</v>
      </c>
      <c r="AO57" s="48"/>
      <c r="AP57" s="48"/>
      <c r="AQ57" s="48"/>
      <c r="AR57" s="48">
        <f t="shared" si="73"/>
        <v>0</v>
      </c>
      <c r="AS57" s="48"/>
      <c r="AT57" s="48"/>
      <c r="AU57" s="48"/>
      <c r="AV57" s="48">
        <f t="shared" si="74"/>
        <v>0</v>
      </c>
      <c r="AW57" s="48"/>
      <c r="AX57" s="48"/>
      <c r="AY57" s="48"/>
      <c r="AZ57" s="48">
        <f t="shared" si="75"/>
        <v>0</v>
      </c>
      <c r="BA57" s="48"/>
      <c r="BB57" s="48"/>
      <c r="BC57" s="48"/>
      <c r="BD57" s="48">
        <f t="shared" si="76"/>
        <v>0</v>
      </c>
      <c r="BE57" s="48"/>
      <c r="BF57" s="48"/>
      <c r="BG57" s="48"/>
      <c r="BH57" s="48">
        <f t="shared" si="77"/>
        <v>0</v>
      </c>
      <c r="BI57" s="48"/>
      <c r="BJ57" s="48"/>
      <c r="BK57" s="48"/>
      <c r="BL57" s="48">
        <f t="shared" si="78"/>
        <v>0</v>
      </c>
      <c r="BM57" s="48"/>
      <c r="BN57" s="48"/>
      <c r="BO57" s="48"/>
      <c r="BP57" s="48">
        <f t="shared" si="79"/>
        <v>0</v>
      </c>
      <c r="BQ57" s="48"/>
      <c r="BR57" s="48"/>
      <c r="BS57" s="48"/>
      <c r="BT57" s="48">
        <f t="shared" si="80"/>
        <v>0</v>
      </c>
      <c r="BU57" s="48"/>
      <c r="BV57" s="48"/>
      <c r="BW57" s="48"/>
      <c r="BX57" s="48">
        <f t="shared" si="81"/>
        <v>0</v>
      </c>
      <c r="BY57" s="48"/>
      <c r="BZ57" s="48"/>
      <c r="CA57" s="48"/>
      <c r="CB57" s="48">
        <f t="shared" si="82"/>
        <v>0</v>
      </c>
      <c r="CC57" s="48"/>
      <c r="CD57" s="48"/>
      <c r="CE57" s="48"/>
      <c r="CF57" s="48">
        <f t="shared" si="83"/>
        <v>0</v>
      </c>
      <c r="CG57" s="48"/>
      <c r="CH57" s="48"/>
      <c r="CI57" s="48"/>
      <c r="CJ57" s="48">
        <f t="shared" si="84"/>
        <v>0</v>
      </c>
      <c r="CK57" s="48"/>
      <c r="CL57" s="48"/>
      <c r="CM57" s="48"/>
      <c r="CN57" s="48">
        <f t="shared" si="85"/>
        <v>0</v>
      </c>
      <c r="CO57" s="48"/>
      <c r="CP57" s="48"/>
      <c r="CQ57" s="48"/>
      <c r="CR57" s="48">
        <f t="shared" si="86"/>
        <v>0</v>
      </c>
      <c r="CS57" s="48"/>
      <c r="CT57" s="48"/>
      <c r="CU57" s="48"/>
      <c r="CV57" s="48">
        <f t="shared" si="87"/>
        <v>0</v>
      </c>
      <c r="CW57" s="48"/>
      <c r="CX57" s="48"/>
      <c r="CY57" s="48"/>
      <c r="CZ57" s="48">
        <f t="shared" si="88"/>
        <v>0</v>
      </c>
      <c r="DA57" s="48"/>
      <c r="DB57" s="48"/>
      <c r="DC57" s="48"/>
      <c r="DD57" s="48">
        <f t="shared" si="89"/>
        <v>0</v>
      </c>
      <c r="DE57" s="48"/>
      <c r="DF57" s="48"/>
      <c r="DG57" s="48"/>
      <c r="DH57" s="48">
        <f t="shared" si="90"/>
        <v>0</v>
      </c>
      <c r="DI57" s="48"/>
      <c r="DJ57" s="48"/>
      <c r="DK57" s="48"/>
      <c r="DL57" s="48">
        <f t="shared" si="91"/>
        <v>0</v>
      </c>
      <c r="DM57" s="48"/>
      <c r="DN57" s="48"/>
      <c r="DO57" s="48"/>
      <c r="DP57" s="48">
        <f t="shared" si="92"/>
        <v>0</v>
      </c>
      <c r="DQ57" s="48"/>
      <c r="DR57" s="48"/>
      <c r="DS57" s="48"/>
      <c r="DT57" s="48">
        <f t="shared" si="93"/>
        <v>0</v>
      </c>
      <c r="DU57" s="48"/>
      <c r="DV57" s="48"/>
      <c r="DW57" s="48"/>
      <c r="DX57" s="48">
        <f t="shared" si="94"/>
        <v>0</v>
      </c>
      <c r="DY57" s="48">
        <f t="shared" si="95"/>
        <v>0</v>
      </c>
      <c r="DZ57" s="48">
        <f t="shared" si="96"/>
        <v>0</v>
      </c>
      <c r="EA57" s="14">
        <f>D57*'MASTER SHEET'!D57</f>
        <v>0</v>
      </c>
      <c r="EB57" s="14">
        <f>H57*'MASTER SHEET'!D57</f>
        <v>0</v>
      </c>
      <c r="EC57" s="14">
        <f>L57*'MASTER SHEET'!D57</f>
        <v>0</v>
      </c>
      <c r="ED57" s="14">
        <f>P57*'MASTER SHEET'!D57</f>
        <v>0</v>
      </c>
      <c r="EE57" s="14">
        <f>T57*'MASTER SHEET'!D57</f>
        <v>0</v>
      </c>
      <c r="EF57" s="14">
        <f>X57*'MASTER SHEET'!D57</f>
        <v>0</v>
      </c>
      <c r="EG57" s="14">
        <f>AB57*'MASTER SHEET'!D57</f>
        <v>0</v>
      </c>
      <c r="EH57" s="14">
        <f>AF57*'MASTER SHEET'!D57</f>
        <v>0</v>
      </c>
      <c r="EI57" s="14">
        <f>AJ57*'MASTER SHEET'!D57</f>
        <v>0</v>
      </c>
      <c r="EJ57" s="14">
        <f>AN57*'MASTER SHEET'!D57</f>
        <v>0</v>
      </c>
      <c r="EK57" s="14">
        <f>AR57*'MASTER SHEET'!D57</f>
        <v>0</v>
      </c>
      <c r="EL57" s="14">
        <f>AV57*'MASTER SHEET'!D57</f>
        <v>0</v>
      </c>
      <c r="EM57" s="14">
        <f>AZ57*'MASTER SHEET'!D57</f>
        <v>0</v>
      </c>
      <c r="EN57" s="14">
        <f>BD57*'MASTER SHEET'!D57</f>
        <v>0</v>
      </c>
      <c r="EO57" s="14">
        <f>BH57*'MASTER SHEET'!D57</f>
        <v>0</v>
      </c>
      <c r="EP57" s="14">
        <f>BL57*'MASTER SHEET'!D57</f>
        <v>0</v>
      </c>
      <c r="EQ57" s="14">
        <f>BP57*'MASTER SHEET'!D57</f>
        <v>0</v>
      </c>
      <c r="ER57" s="14">
        <f>BT57*'MASTER SHEET'!D57</f>
        <v>0</v>
      </c>
      <c r="ES57" s="14">
        <f>BX57*'MASTER SHEET'!D57</f>
        <v>0</v>
      </c>
      <c r="ET57" s="21">
        <f>CB57*'MASTER SHEET'!D57</f>
        <v>0</v>
      </c>
      <c r="EU57" s="14">
        <f>CF57*'MASTER SHEET'!D57</f>
        <v>0</v>
      </c>
      <c r="EV57" s="14">
        <f>CJ57*'MASTER SHEET'!D57</f>
        <v>0</v>
      </c>
      <c r="EW57" s="14">
        <f>CN57*'MASTER SHEET'!D57</f>
        <v>0</v>
      </c>
      <c r="EX57" s="14">
        <f>CR57*'MASTER SHEET'!D57</f>
        <v>0</v>
      </c>
      <c r="EY57" s="14">
        <f>CR57*'MASTER SHEET'!D57</f>
        <v>0</v>
      </c>
      <c r="EZ57" s="14">
        <f>CV57*'MASTER SHEET'!D57</f>
        <v>0</v>
      </c>
      <c r="FA57" s="14">
        <f>CZ57*'MASTER SHEET'!D57</f>
        <v>0</v>
      </c>
      <c r="FB57" s="14">
        <f>DD57*'MASTER SHEET'!D57</f>
        <v>0</v>
      </c>
    </row>
    <row r="58" spans="1:158" ht="18.75" customHeight="1" x14ac:dyDescent="0.25">
      <c r="A58" s="43">
        <f>'MASTER SHEET'!A58</f>
        <v>56</v>
      </c>
      <c r="B58" s="49" t="str">
        <f>'MASTER SHEET'!B58</f>
        <v>COVER TOP ASSEMBLY</v>
      </c>
      <c r="C58" s="86">
        <f>'MASTER SHEET'!C58</f>
        <v>5031657</v>
      </c>
      <c r="D58" s="51"/>
      <c r="E58" s="48"/>
      <c r="F58" s="48"/>
      <c r="G58" s="48"/>
      <c r="H58" s="48">
        <f t="shared" si="64"/>
        <v>0</v>
      </c>
      <c r="I58" s="28"/>
      <c r="J58" s="28"/>
      <c r="K58" s="65"/>
      <c r="L58" s="48">
        <f t="shared" si="65"/>
        <v>0</v>
      </c>
      <c r="M58" s="48"/>
      <c r="N58" s="48"/>
      <c r="O58" s="48"/>
      <c r="P58" s="48">
        <f t="shared" si="66"/>
        <v>0</v>
      </c>
      <c r="Q58" s="48"/>
      <c r="R58" s="48"/>
      <c r="S58" s="48"/>
      <c r="T58" s="48">
        <f t="shared" si="67"/>
        <v>0</v>
      </c>
      <c r="U58" s="48">
        <v>0</v>
      </c>
      <c r="V58" s="48"/>
      <c r="W58" s="48"/>
      <c r="X58" s="48">
        <f t="shared" si="68"/>
        <v>0</v>
      </c>
      <c r="Y58" s="48"/>
      <c r="Z58" s="48"/>
      <c r="AA58" s="48"/>
      <c r="AB58" s="48">
        <f t="shared" si="69"/>
        <v>0</v>
      </c>
      <c r="AC58" s="48"/>
      <c r="AD58" s="48"/>
      <c r="AE58" s="48"/>
      <c r="AF58" s="48">
        <f t="shared" si="70"/>
        <v>0</v>
      </c>
      <c r="AG58" s="48"/>
      <c r="AH58" s="48"/>
      <c r="AI58" s="48"/>
      <c r="AJ58" s="48">
        <f t="shared" si="71"/>
        <v>0</v>
      </c>
      <c r="AK58" s="48"/>
      <c r="AL58" s="48"/>
      <c r="AM58" s="48"/>
      <c r="AN58" s="48">
        <f t="shared" si="72"/>
        <v>0</v>
      </c>
      <c r="AO58" s="48"/>
      <c r="AP58" s="48"/>
      <c r="AQ58" s="48"/>
      <c r="AR58" s="48">
        <f t="shared" si="73"/>
        <v>0</v>
      </c>
      <c r="AS58" s="48"/>
      <c r="AT58" s="48"/>
      <c r="AU58" s="48"/>
      <c r="AV58" s="48">
        <f t="shared" si="74"/>
        <v>0</v>
      </c>
      <c r="AW58" s="48"/>
      <c r="AX58" s="48"/>
      <c r="AY58" s="48"/>
      <c r="AZ58" s="48">
        <f t="shared" si="75"/>
        <v>0</v>
      </c>
      <c r="BA58" s="48"/>
      <c r="BB58" s="48"/>
      <c r="BC58" s="48"/>
      <c r="BD58" s="48">
        <f t="shared" si="76"/>
        <v>0</v>
      </c>
      <c r="BE58" s="48"/>
      <c r="BF58" s="48"/>
      <c r="BG58" s="48"/>
      <c r="BH58" s="48">
        <f t="shared" si="77"/>
        <v>0</v>
      </c>
      <c r="BI58" s="48"/>
      <c r="BJ58" s="48"/>
      <c r="BK58" s="48"/>
      <c r="BL58" s="48">
        <f t="shared" si="78"/>
        <v>0</v>
      </c>
      <c r="BM58" s="48"/>
      <c r="BN58" s="48"/>
      <c r="BO58" s="48"/>
      <c r="BP58" s="48">
        <f t="shared" si="79"/>
        <v>0</v>
      </c>
      <c r="BQ58" s="48"/>
      <c r="BR58" s="48"/>
      <c r="BS58" s="48"/>
      <c r="BT58" s="48">
        <f t="shared" si="80"/>
        <v>0</v>
      </c>
      <c r="BU58" s="48"/>
      <c r="BV58" s="48"/>
      <c r="BW58" s="48"/>
      <c r="BX58" s="48">
        <f t="shared" si="81"/>
        <v>0</v>
      </c>
      <c r="BY58" s="48"/>
      <c r="BZ58" s="48"/>
      <c r="CA58" s="48"/>
      <c r="CB58" s="48">
        <f t="shared" si="82"/>
        <v>0</v>
      </c>
      <c r="CC58" s="48"/>
      <c r="CD58" s="48"/>
      <c r="CE58" s="48"/>
      <c r="CF58" s="48">
        <f t="shared" si="83"/>
        <v>0</v>
      </c>
      <c r="CG58" s="48"/>
      <c r="CH58" s="48"/>
      <c r="CI58" s="48"/>
      <c r="CJ58" s="48">
        <f t="shared" si="84"/>
        <v>0</v>
      </c>
      <c r="CK58" s="48"/>
      <c r="CL58" s="48"/>
      <c r="CM58" s="48"/>
      <c r="CN58" s="48">
        <f t="shared" si="85"/>
        <v>0</v>
      </c>
      <c r="CO58" s="48"/>
      <c r="CP58" s="48"/>
      <c r="CQ58" s="48"/>
      <c r="CR58" s="48">
        <f t="shared" si="86"/>
        <v>0</v>
      </c>
      <c r="CS58" s="48"/>
      <c r="CT58" s="48"/>
      <c r="CU58" s="48"/>
      <c r="CV58" s="48">
        <f t="shared" si="87"/>
        <v>0</v>
      </c>
      <c r="CW58" s="48"/>
      <c r="CX58" s="48"/>
      <c r="CY58" s="48"/>
      <c r="CZ58" s="48">
        <f t="shared" si="88"/>
        <v>0</v>
      </c>
      <c r="DA58" s="48"/>
      <c r="DB58" s="48"/>
      <c r="DC58" s="48"/>
      <c r="DD58" s="48">
        <f t="shared" si="89"/>
        <v>0</v>
      </c>
      <c r="DE58" s="48"/>
      <c r="DF58" s="48"/>
      <c r="DG58" s="48"/>
      <c r="DH58" s="48">
        <f t="shared" si="90"/>
        <v>0</v>
      </c>
      <c r="DI58" s="48"/>
      <c r="DJ58" s="48"/>
      <c r="DK58" s="48"/>
      <c r="DL58" s="48">
        <f t="shared" si="91"/>
        <v>0</v>
      </c>
      <c r="DM58" s="48"/>
      <c r="DN58" s="48"/>
      <c r="DO58" s="48"/>
      <c r="DP58" s="48">
        <f t="shared" si="92"/>
        <v>0</v>
      </c>
      <c r="DQ58" s="48"/>
      <c r="DR58" s="48"/>
      <c r="DS58" s="48"/>
      <c r="DT58" s="48">
        <f t="shared" si="93"/>
        <v>0</v>
      </c>
      <c r="DU58" s="48"/>
      <c r="DV58" s="48"/>
      <c r="DW58" s="48"/>
      <c r="DX58" s="48">
        <f t="shared" si="94"/>
        <v>0</v>
      </c>
      <c r="DY58" s="48">
        <f t="shared" si="95"/>
        <v>0</v>
      </c>
      <c r="DZ58" s="48">
        <f t="shared" si="96"/>
        <v>0</v>
      </c>
      <c r="EA58" s="14">
        <f>D58*'MASTER SHEET'!D58</f>
        <v>0</v>
      </c>
      <c r="EB58" s="14">
        <f>H58*'MASTER SHEET'!D58</f>
        <v>0</v>
      </c>
      <c r="EC58" s="14">
        <f>L58*'MASTER SHEET'!D58</f>
        <v>0</v>
      </c>
      <c r="ED58" s="14">
        <f>P58*'MASTER SHEET'!D58</f>
        <v>0</v>
      </c>
      <c r="EE58" s="14">
        <f>T58*'MASTER SHEET'!D58</f>
        <v>0</v>
      </c>
      <c r="EF58" s="14">
        <f>X58*'MASTER SHEET'!D58</f>
        <v>0</v>
      </c>
      <c r="EG58" s="14">
        <f>AB58*'MASTER SHEET'!D58</f>
        <v>0</v>
      </c>
      <c r="EH58" s="14">
        <f>AF58*'MASTER SHEET'!D58</f>
        <v>0</v>
      </c>
      <c r="EI58" s="14">
        <f>AJ58*'MASTER SHEET'!D58</f>
        <v>0</v>
      </c>
      <c r="EJ58" s="14">
        <f>AN58*'MASTER SHEET'!D58</f>
        <v>0</v>
      </c>
      <c r="EK58" s="14">
        <f>AR58*'MASTER SHEET'!D58</f>
        <v>0</v>
      </c>
      <c r="EL58" s="14">
        <f>AV58*'MASTER SHEET'!D58</f>
        <v>0</v>
      </c>
      <c r="EM58" s="14">
        <f>AZ58*'MASTER SHEET'!D58</f>
        <v>0</v>
      </c>
      <c r="EN58" s="14">
        <f>BD58*'MASTER SHEET'!D58</f>
        <v>0</v>
      </c>
      <c r="EO58" s="14">
        <f>BH58*'MASTER SHEET'!D58</f>
        <v>0</v>
      </c>
      <c r="EP58" s="14">
        <f>BL58*'MASTER SHEET'!D58</f>
        <v>0</v>
      </c>
      <c r="EQ58" s="14">
        <f>BP58*'MASTER SHEET'!D58</f>
        <v>0</v>
      </c>
      <c r="ER58" s="14">
        <f>BT58*'MASTER SHEET'!D58</f>
        <v>0</v>
      </c>
      <c r="ES58" s="14">
        <f>BX58*'MASTER SHEET'!D58</f>
        <v>0</v>
      </c>
      <c r="ET58" s="21">
        <f>CB58*'MASTER SHEET'!D58</f>
        <v>0</v>
      </c>
      <c r="EU58" s="14">
        <f>CF58*'MASTER SHEET'!D58</f>
        <v>0</v>
      </c>
      <c r="EV58" s="14">
        <f>CJ58*'MASTER SHEET'!D58</f>
        <v>0</v>
      </c>
      <c r="EW58" s="14">
        <f>CN58*'MASTER SHEET'!D58</f>
        <v>0</v>
      </c>
      <c r="EX58" s="14">
        <f>CR58*'MASTER SHEET'!D58</f>
        <v>0</v>
      </c>
      <c r="EY58" s="14">
        <f>CR58*'MASTER SHEET'!D58</f>
        <v>0</v>
      </c>
      <c r="EZ58" s="14">
        <f>CV58*'MASTER SHEET'!D58</f>
        <v>0</v>
      </c>
      <c r="FA58" s="14">
        <f>CZ58*'MASTER SHEET'!D58</f>
        <v>0</v>
      </c>
      <c r="FB58" s="14">
        <f>DD58*'MASTER SHEET'!D58</f>
        <v>0</v>
      </c>
    </row>
    <row r="59" spans="1:158" ht="18.75" customHeight="1" x14ac:dyDescent="0.25">
      <c r="A59" s="43">
        <f>'MASTER SHEET'!A59</f>
        <v>57</v>
      </c>
      <c r="B59" s="49" t="str">
        <f>'MASTER SHEET'!B59</f>
        <v>FRAME COVER</v>
      </c>
      <c r="C59" s="86">
        <f>'MASTER SHEET'!C59</f>
        <v>5031102</v>
      </c>
      <c r="D59" s="51"/>
      <c r="E59" s="48"/>
      <c r="F59" s="48"/>
      <c r="G59" s="48"/>
      <c r="H59" s="48">
        <f t="shared" si="64"/>
        <v>0</v>
      </c>
      <c r="I59" s="28"/>
      <c r="J59" s="28"/>
      <c r="K59" s="65"/>
      <c r="L59" s="48">
        <f t="shared" si="65"/>
        <v>0</v>
      </c>
      <c r="M59" s="48"/>
      <c r="N59" s="48"/>
      <c r="O59" s="48"/>
      <c r="P59" s="48">
        <f t="shared" si="66"/>
        <v>0</v>
      </c>
      <c r="Q59" s="48"/>
      <c r="R59" s="48"/>
      <c r="S59" s="48"/>
      <c r="T59" s="48">
        <f t="shared" si="67"/>
        <v>0</v>
      </c>
      <c r="U59" s="48">
        <v>0</v>
      </c>
      <c r="V59" s="48"/>
      <c r="W59" s="48"/>
      <c r="X59" s="48">
        <f t="shared" si="68"/>
        <v>0</v>
      </c>
      <c r="Y59" s="48"/>
      <c r="Z59" s="48"/>
      <c r="AA59" s="48"/>
      <c r="AB59" s="48">
        <f t="shared" si="69"/>
        <v>0</v>
      </c>
      <c r="AC59" s="48"/>
      <c r="AD59" s="48"/>
      <c r="AE59" s="48"/>
      <c r="AF59" s="48">
        <f t="shared" si="70"/>
        <v>0</v>
      </c>
      <c r="AG59" s="48"/>
      <c r="AH59" s="48"/>
      <c r="AI59" s="48"/>
      <c r="AJ59" s="48">
        <f t="shared" si="71"/>
        <v>0</v>
      </c>
      <c r="AK59" s="48"/>
      <c r="AL59" s="48"/>
      <c r="AM59" s="48"/>
      <c r="AN59" s="48">
        <f t="shared" si="72"/>
        <v>0</v>
      </c>
      <c r="AO59" s="48"/>
      <c r="AP59" s="48"/>
      <c r="AQ59" s="48"/>
      <c r="AR59" s="48">
        <f t="shared" si="73"/>
        <v>0</v>
      </c>
      <c r="AS59" s="48"/>
      <c r="AT59" s="48"/>
      <c r="AU59" s="48"/>
      <c r="AV59" s="48">
        <f t="shared" si="74"/>
        <v>0</v>
      </c>
      <c r="AW59" s="48"/>
      <c r="AX59" s="48"/>
      <c r="AY59" s="48"/>
      <c r="AZ59" s="48">
        <f t="shared" si="75"/>
        <v>0</v>
      </c>
      <c r="BA59" s="48"/>
      <c r="BB59" s="48"/>
      <c r="BC59" s="48"/>
      <c r="BD59" s="48">
        <f t="shared" si="76"/>
        <v>0</v>
      </c>
      <c r="BE59" s="48"/>
      <c r="BF59" s="48"/>
      <c r="BG59" s="48"/>
      <c r="BH59" s="48">
        <f t="shared" si="77"/>
        <v>0</v>
      </c>
      <c r="BI59" s="48"/>
      <c r="BJ59" s="48"/>
      <c r="BK59" s="48"/>
      <c r="BL59" s="48">
        <f t="shared" si="78"/>
        <v>0</v>
      </c>
      <c r="BM59" s="48"/>
      <c r="BN59" s="48"/>
      <c r="BO59" s="48"/>
      <c r="BP59" s="48">
        <f t="shared" si="79"/>
        <v>0</v>
      </c>
      <c r="BQ59" s="48"/>
      <c r="BR59" s="48"/>
      <c r="BS59" s="48"/>
      <c r="BT59" s="48">
        <f t="shared" si="80"/>
        <v>0</v>
      </c>
      <c r="BU59" s="48"/>
      <c r="BV59" s="48"/>
      <c r="BW59" s="48"/>
      <c r="BX59" s="48">
        <f t="shared" si="81"/>
        <v>0</v>
      </c>
      <c r="BY59" s="48"/>
      <c r="BZ59" s="48"/>
      <c r="CA59" s="48"/>
      <c r="CB59" s="48">
        <f t="shared" si="82"/>
        <v>0</v>
      </c>
      <c r="CC59" s="48"/>
      <c r="CD59" s="48"/>
      <c r="CE59" s="48"/>
      <c r="CF59" s="48">
        <f t="shared" si="83"/>
        <v>0</v>
      </c>
      <c r="CG59" s="48"/>
      <c r="CH59" s="48"/>
      <c r="CI59" s="48"/>
      <c r="CJ59" s="48">
        <f t="shared" si="84"/>
        <v>0</v>
      </c>
      <c r="CK59" s="48"/>
      <c r="CL59" s="48"/>
      <c r="CM59" s="48"/>
      <c r="CN59" s="48">
        <f t="shared" si="85"/>
        <v>0</v>
      </c>
      <c r="CO59" s="48"/>
      <c r="CP59" s="48"/>
      <c r="CQ59" s="48"/>
      <c r="CR59" s="48">
        <f t="shared" si="86"/>
        <v>0</v>
      </c>
      <c r="CS59" s="48"/>
      <c r="CT59" s="48"/>
      <c r="CU59" s="48"/>
      <c r="CV59" s="48">
        <f t="shared" si="87"/>
        <v>0</v>
      </c>
      <c r="CW59" s="48"/>
      <c r="CX59" s="48"/>
      <c r="CY59" s="48"/>
      <c r="CZ59" s="48">
        <f t="shared" si="88"/>
        <v>0</v>
      </c>
      <c r="DA59" s="48"/>
      <c r="DB59" s="48"/>
      <c r="DC59" s="48"/>
      <c r="DD59" s="48">
        <f t="shared" si="89"/>
        <v>0</v>
      </c>
      <c r="DE59" s="48"/>
      <c r="DF59" s="48"/>
      <c r="DG59" s="48"/>
      <c r="DH59" s="48">
        <f t="shared" si="90"/>
        <v>0</v>
      </c>
      <c r="DI59" s="48"/>
      <c r="DJ59" s="48"/>
      <c r="DK59" s="48"/>
      <c r="DL59" s="48">
        <f t="shared" si="91"/>
        <v>0</v>
      </c>
      <c r="DM59" s="48"/>
      <c r="DN59" s="48"/>
      <c r="DO59" s="48"/>
      <c r="DP59" s="48">
        <f t="shared" si="92"/>
        <v>0</v>
      </c>
      <c r="DQ59" s="48"/>
      <c r="DR59" s="48"/>
      <c r="DS59" s="48"/>
      <c r="DT59" s="48">
        <f t="shared" si="93"/>
        <v>0</v>
      </c>
      <c r="DU59" s="48"/>
      <c r="DV59" s="48"/>
      <c r="DW59" s="48"/>
      <c r="DX59" s="48">
        <f t="shared" si="94"/>
        <v>0</v>
      </c>
      <c r="DY59" s="48">
        <f t="shared" si="95"/>
        <v>0</v>
      </c>
      <c r="DZ59" s="48">
        <f t="shared" si="96"/>
        <v>0</v>
      </c>
      <c r="EA59" s="14">
        <f>D59*'MASTER SHEET'!D59</f>
        <v>0</v>
      </c>
      <c r="EB59" s="14">
        <f>H59*'MASTER SHEET'!D59</f>
        <v>0</v>
      </c>
      <c r="EC59" s="14">
        <f>L59*'MASTER SHEET'!D59</f>
        <v>0</v>
      </c>
      <c r="ED59" s="14">
        <f>P59*'MASTER SHEET'!D59</f>
        <v>0</v>
      </c>
      <c r="EE59" s="14">
        <f>T59*'MASTER SHEET'!D59</f>
        <v>0</v>
      </c>
      <c r="EF59" s="14">
        <f>X59*'MASTER SHEET'!D59</f>
        <v>0</v>
      </c>
      <c r="EG59" s="14">
        <f>AB59*'MASTER SHEET'!D59</f>
        <v>0</v>
      </c>
      <c r="EH59" s="14">
        <f>AF59*'MASTER SHEET'!D59</f>
        <v>0</v>
      </c>
      <c r="EI59" s="14">
        <f>AJ59*'MASTER SHEET'!D59</f>
        <v>0</v>
      </c>
      <c r="EJ59" s="14">
        <f>AN59*'MASTER SHEET'!D59</f>
        <v>0</v>
      </c>
      <c r="EK59" s="14">
        <f>AR59*'MASTER SHEET'!D59</f>
        <v>0</v>
      </c>
      <c r="EL59" s="14">
        <f>AV59*'MASTER SHEET'!D59</f>
        <v>0</v>
      </c>
      <c r="EM59" s="14">
        <f>AZ59*'MASTER SHEET'!D59</f>
        <v>0</v>
      </c>
      <c r="EN59" s="14">
        <f>BD59*'MASTER SHEET'!D59</f>
        <v>0</v>
      </c>
      <c r="EO59" s="14">
        <f>BH59*'MASTER SHEET'!D59</f>
        <v>0</v>
      </c>
      <c r="EP59" s="14">
        <f>BL59*'MASTER SHEET'!D59</f>
        <v>0</v>
      </c>
      <c r="EQ59" s="14">
        <f>BP59*'MASTER SHEET'!D59</f>
        <v>0</v>
      </c>
      <c r="ER59" s="14">
        <f>BT59*'MASTER SHEET'!D59</f>
        <v>0</v>
      </c>
      <c r="ES59" s="14">
        <f>BX59*'MASTER SHEET'!D59</f>
        <v>0</v>
      </c>
      <c r="ET59" s="21">
        <f>CB59*'MASTER SHEET'!D59</f>
        <v>0</v>
      </c>
      <c r="EU59" s="14">
        <f>CF59*'MASTER SHEET'!D59</f>
        <v>0</v>
      </c>
      <c r="EV59" s="14">
        <f>CJ59*'MASTER SHEET'!D59</f>
        <v>0</v>
      </c>
      <c r="EW59" s="14">
        <f>CN59*'MASTER SHEET'!D59</f>
        <v>0</v>
      </c>
      <c r="EX59" s="14">
        <f>CR59*'MASTER SHEET'!D59</f>
        <v>0</v>
      </c>
      <c r="EY59" s="14">
        <f>CR59*'MASTER SHEET'!D59</f>
        <v>0</v>
      </c>
      <c r="EZ59" s="14">
        <f>CV59*'MASTER SHEET'!D59</f>
        <v>0</v>
      </c>
      <c r="FA59" s="14">
        <f>CZ59*'MASTER SHEET'!D59</f>
        <v>0</v>
      </c>
      <c r="FB59" s="14">
        <f>DD59*'MASTER SHEET'!D59</f>
        <v>0</v>
      </c>
    </row>
    <row r="60" spans="1:158" ht="18.75" customHeight="1" x14ac:dyDescent="0.25">
      <c r="A60" s="43">
        <f>'MASTER SHEET'!A60</f>
        <v>58</v>
      </c>
      <c r="B60" s="49" t="str">
        <f>'MASTER SHEET'!B60</f>
        <v>BASE, HOUSING CRANKCASE VENTILATION</v>
      </c>
      <c r="C60" s="86">
        <f>'MASTER SHEET'!C60</f>
        <v>5032453</v>
      </c>
      <c r="D60" s="51"/>
      <c r="E60" s="48"/>
      <c r="F60" s="48"/>
      <c r="G60" s="48"/>
      <c r="H60" s="48">
        <f t="shared" si="64"/>
        <v>0</v>
      </c>
      <c r="I60" s="28"/>
      <c r="J60" s="28"/>
      <c r="K60" s="65"/>
      <c r="L60" s="48">
        <f t="shared" si="65"/>
        <v>0</v>
      </c>
      <c r="M60" s="48"/>
      <c r="N60" s="48"/>
      <c r="O60" s="48"/>
      <c r="P60" s="48">
        <f t="shared" si="66"/>
        <v>0</v>
      </c>
      <c r="Q60" s="48"/>
      <c r="R60" s="48"/>
      <c r="S60" s="48"/>
      <c r="T60" s="48">
        <f t="shared" si="67"/>
        <v>0</v>
      </c>
      <c r="U60" s="48">
        <v>0</v>
      </c>
      <c r="V60" s="48"/>
      <c r="W60" s="48"/>
      <c r="X60" s="48">
        <f t="shared" si="68"/>
        <v>0</v>
      </c>
      <c r="Y60" s="48"/>
      <c r="Z60" s="48"/>
      <c r="AA60" s="48"/>
      <c r="AB60" s="48">
        <f t="shared" si="69"/>
        <v>0</v>
      </c>
      <c r="AC60" s="48"/>
      <c r="AD60" s="48"/>
      <c r="AE60" s="48"/>
      <c r="AF60" s="48">
        <f t="shared" si="70"/>
        <v>0</v>
      </c>
      <c r="AG60" s="48"/>
      <c r="AH60" s="48"/>
      <c r="AI60" s="48"/>
      <c r="AJ60" s="48">
        <f t="shared" si="71"/>
        <v>0</v>
      </c>
      <c r="AK60" s="48"/>
      <c r="AL60" s="48"/>
      <c r="AM60" s="48"/>
      <c r="AN60" s="48">
        <f t="shared" si="72"/>
        <v>0</v>
      </c>
      <c r="AO60" s="48"/>
      <c r="AP60" s="48"/>
      <c r="AQ60" s="48"/>
      <c r="AR60" s="48">
        <f t="shared" si="73"/>
        <v>0</v>
      </c>
      <c r="AS60" s="48"/>
      <c r="AT60" s="48"/>
      <c r="AU60" s="48"/>
      <c r="AV60" s="48">
        <f t="shared" si="74"/>
        <v>0</v>
      </c>
      <c r="AW60" s="48"/>
      <c r="AX60" s="48"/>
      <c r="AY60" s="48"/>
      <c r="AZ60" s="48">
        <f t="shared" si="75"/>
        <v>0</v>
      </c>
      <c r="BA60" s="48"/>
      <c r="BB60" s="48"/>
      <c r="BC60" s="48"/>
      <c r="BD60" s="48">
        <f t="shared" si="76"/>
        <v>0</v>
      </c>
      <c r="BE60" s="48"/>
      <c r="BF60" s="48"/>
      <c r="BG60" s="48"/>
      <c r="BH60" s="48">
        <f t="shared" si="77"/>
        <v>0</v>
      </c>
      <c r="BI60" s="48"/>
      <c r="BJ60" s="48"/>
      <c r="BK60" s="48"/>
      <c r="BL60" s="48">
        <f t="shared" si="78"/>
        <v>0</v>
      </c>
      <c r="BM60" s="48"/>
      <c r="BN60" s="48"/>
      <c r="BO60" s="48"/>
      <c r="BP60" s="48">
        <f t="shared" si="79"/>
        <v>0</v>
      </c>
      <c r="BQ60" s="48"/>
      <c r="BR60" s="48"/>
      <c r="BS60" s="48"/>
      <c r="BT60" s="48">
        <f t="shared" si="80"/>
        <v>0</v>
      </c>
      <c r="BU60" s="48"/>
      <c r="BV60" s="48"/>
      <c r="BW60" s="48"/>
      <c r="BX60" s="48">
        <f t="shared" si="81"/>
        <v>0</v>
      </c>
      <c r="BY60" s="48"/>
      <c r="BZ60" s="48"/>
      <c r="CA60" s="48"/>
      <c r="CB60" s="48">
        <f t="shared" si="82"/>
        <v>0</v>
      </c>
      <c r="CC60" s="48"/>
      <c r="CD60" s="48"/>
      <c r="CE60" s="48"/>
      <c r="CF60" s="48">
        <f t="shared" si="83"/>
        <v>0</v>
      </c>
      <c r="CG60" s="48"/>
      <c r="CH60" s="48"/>
      <c r="CI60" s="48"/>
      <c r="CJ60" s="48">
        <f t="shared" si="84"/>
        <v>0</v>
      </c>
      <c r="CK60" s="48"/>
      <c r="CL60" s="48"/>
      <c r="CM60" s="48"/>
      <c r="CN60" s="48">
        <f t="shared" si="85"/>
        <v>0</v>
      </c>
      <c r="CO60" s="48"/>
      <c r="CP60" s="48"/>
      <c r="CQ60" s="48"/>
      <c r="CR60" s="48">
        <f t="shared" si="86"/>
        <v>0</v>
      </c>
      <c r="CS60" s="48"/>
      <c r="CT60" s="48"/>
      <c r="CU60" s="48"/>
      <c r="CV60" s="48">
        <f t="shared" si="87"/>
        <v>0</v>
      </c>
      <c r="CW60" s="48"/>
      <c r="CX60" s="48"/>
      <c r="CY60" s="48"/>
      <c r="CZ60" s="48">
        <f t="shared" si="88"/>
        <v>0</v>
      </c>
      <c r="DA60" s="48"/>
      <c r="DB60" s="48"/>
      <c r="DC60" s="48"/>
      <c r="DD60" s="48">
        <f t="shared" si="89"/>
        <v>0</v>
      </c>
      <c r="DE60" s="48"/>
      <c r="DF60" s="48"/>
      <c r="DG60" s="48"/>
      <c r="DH60" s="48">
        <f t="shared" si="90"/>
        <v>0</v>
      </c>
      <c r="DI60" s="48"/>
      <c r="DJ60" s="48"/>
      <c r="DK60" s="48"/>
      <c r="DL60" s="48">
        <f t="shared" si="91"/>
        <v>0</v>
      </c>
      <c r="DM60" s="48"/>
      <c r="DN60" s="48"/>
      <c r="DO60" s="48"/>
      <c r="DP60" s="48">
        <f t="shared" si="92"/>
        <v>0</v>
      </c>
      <c r="DQ60" s="48"/>
      <c r="DR60" s="48"/>
      <c r="DS60" s="48"/>
      <c r="DT60" s="48">
        <f t="shared" si="93"/>
        <v>0</v>
      </c>
      <c r="DU60" s="48"/>
      <c r="DV60" s="48"/>
      <c r="DW60" s="48"/>
      <c r="DX60" s="48">
        <f t="shared" si="94"/>
        <v>0</v>
      </c>
      <c r="DY60" s="48">
        <f t="shared" si="95"/>
        <v>0</v>
      </c>
      <c r="DZ60" s="48">
        <f t="shared" si="96"/>
        <v>0</v>
      </c>
      <c r="EA60" s="14">
        <f>D60*'MASTER SHEET'!D60</f>
        <v>0</v>
      </c>
      <c r="EB60" s="14">
        <f>H60*'MASTER SHEET'!D60</f>
        <v>0</v>
      </c>
      <c r="EC60" s="14">
        <f>L60*'MASTER SHEET'!D60</f>
        <v>0</v>
      </c>
      <c r="ED60" s="14">
        <f>P60*'MASTER SHEET'!D60</f>
        <v>0</v>
      </c>
      <c r="EE60" s="14">
        <f>T60*'MASTER SHEET'!D60</f>
        <v>0</v>
      </c>
      <c r="EF60" s="14">
        <f>X60*'MASTER SHEET'!D60</f>
        <v>0</v>
      </c>
      <c r="EG60" s="14">
        <f>AB60*'MASTER SHEET'!D60</f>
        <v>0</v>
      </c>
      <c r="EH60" s="14">
        <f>AF60*'MASTER SHEET'!D60</f>
        <v>0</v>
      </c>
      <c r="EI60" s="14">
        <f>AJ60*'MASTER SHEET'!D60</f>
        <v>0</v>
      </c>
      <c r="EJ60" s="14">
        <f>AN60*'MASTER SHEET'!D60</f>
        <v>0</v>
      </c>
      <c r="EK60" s="14">
        <f>AR60*'MASTER SHEET'!D60</f>
        <v>0</v>
      </c>
      <c r="EL60" s="14">
        <f>AV60*'MASTER SHEET'!D60</f>
        <v>0</v>
      </c>
      <c r="EM60" s="14">
        <f>AZ60*'MASTER SHEET'!D60</f>
        <v>0</v>
      </c>
      <c r="EN60" s="14">
        <f>BD60*'MASTER SHEET'!D60</f>
        <v>0</v>
      </c>
      <c r="EO60" s="14">
        <f>BH60*'MASTER SHEET'!D60</f>
        <v>0</v>
      </c>
      <c r="EP60" s="14">
        <f>BL60*'MASTER SHEET'!D60</f>
        <v>0</v>
      </c>
      <c r="EQ60" s="14">
        <f>BP60*'MASTER SHEET'!D60</f>
        <v>0</v>
      </c>
      <c r="ER60" s="14">
        <f>BT60*'MASTER SHEET'!D60</f>
        <v>0</v>
      </c>
      <c r="ES60" s="14">
        <f>BX60*'MASTER SHEET'!D60</f>
        <v>0</v>
      </c>
      <c r="ET60" s="21">
        <f>CB60*'MASTER SHEET'!D60</f>
        <v>0</v>
      </c>
      <c r="EU60" s="14">
        <f>CF60*'MASTER SHEET'!D60</f>
        <v>0</v>
      </c>
      <c r="EV60" s="14">
        <f>CJ60*'MASTER SHEET'!D60</f>
        <v>0</v>
      </c>
      <c r="EW60" s="14">
        <f>CN60*'MASTER SHEET'!D60</f>
        <v>0</v>
      </c>
      <c r="EX60" s="14">
        <f>CR60*'MASTER SHEET'!D60</f>
        <v>0</v>
      </c>
      <c r="EY60" s="14">
        <f>CR60*'MASTER SHEET'!D60</f>
        <v>0</v>
      </c>
      <c r="EZ60" s="14">
        <f>CV60*'MASTER SHEET'!D60</f>
        <v>0</v>
      </c>
      <c r="FA60" s="14">
        <f>CZ60*'MASTER SHEET'!D60</f>
        <v>0</v>
      </c>
      <c r="FB60" s="14">
        <f>DD60*'MASTER SHEET'!D60</f>
        <v>0</v>
      </c>
    </row>
    <row r="61" spans="1:158" ht="18.75" customHeight="1" x14ac:dyDescent="0.25">
      <c r="A61" s="43">
        <f>'MASTER SHEET'!A61</f>
        <v>59</v>
      </c>
      <c r="B61" s="49" t="str">
        <f>'MASTER SHEET'!B61</f>
        <v>BASE HOUSING</v>
      </c>
      <c r="C61" s="86">
        <f>'MASTER SHEET'!C61</f>
        <v>5032512</v>
      </c>
      <c r="D61" s="51"/>
      <c r="E61" s="48"/>
      <c r="F61" s="48"/>
      <c r="G61" s="48"/>
      <c r="H61" s="48">
        <f t="shared" si="64"/>
        <v>0</v>
      </c>
      <c r="I61" s="28">
        <v>0</v>
      </c>
      <c r="J61" s="28">
        <v>0</v>
      </c>
      <c r="K61" s="65">
        <v>0</v>
      </c>
      <c r="L61" s="48">
        <f t="shared" si="65"/>
        <v>0</v>
      </c>
      <c r="M61" s="48"/>
      <c r="N61" s="48"/>
      <c r="O61" s="48"/>
      <c r="P61" s="48">
        <f t="shared" si="66"/>
        <v>0</v>
      </c>
      <c r="Q61" s="48">
        <v>0</v>
      </c>
      <c r="R61" s="48">
        <v>0</v>
      </c>
      <c r="S61" s="48">
        <v>0</v>
      </c>
      <c r="T61" s="48">
        <f t="shared" si="67"/>
        <v>0</v>
      </c>
      <c r="U61" s="48">
        <v>0</v>
      </c>
      <c r="V61" s="48"/>
      <c r="W61" s="48"/>
      <c r="X61" s="48">
        <f t="shared" si="68"/>
        <v>0</v>
      </c>
      <c r="Y61" s="48">
        <v>536</v>
      </c>
      <c r="Z61" s="48">
        <v>529</v>
      </c>
      <c r="AA61" s="48">
        <v>7</v>
      </c>
      <c r="AB61" s="48">
        <f t="shared" si="69"/>
        <v>0</v>
      </c>
      <c r="AC61" s="48">
        <v>1160</v>
      </c>
      <c r="AD61" s="48">
        <v>1110</v>
      </c>
      <c r="AE61" s="48">
        <v>50</v>
      </c>
      <c r="AF61" s="48">
        <f t="shared" si="70"/>
        <v>0</v>
      </c>
      <c r="AG61" s="48">
        <v>521</v>
      </c>
      <c r="AH61" s="48">
        <v>509</v>
      </c>
      <c r="AI61" s="48">
        <v>12</v>
      </c>
      <c r="AJ61" s="48">
        <f t="shared" si="71"/>
        <v>0</v>
      </c>
      <c r="AK61" s="48">
        <v>117</v>
      </c>
      <c r="AL61" s="48">
        <v>110</v>
      </c>
      <c r="AM61" s="48">
        <v>7</v>
      </c>
      <c r="AN61" s="48">
        <f t="shared" si="72"/>
        <v>0</v>
      </c>
      <c r="AO61" s="48"/>
      <c r="AP61" s="48"/>
      <c r="AQ61" s="48"/>
      <c r="AR61" s="48">
        <f t="shared" si="73"/>
        <v>0</v>
      </c>
      <c r="AS61" s="48"/>
      <c r="AT61" s="48"/>
      <c r="AU61" s="48"/>
      <c r="AV61" s="48">
        <f t="shared" si="74"/>
        <v>0</v>
      </c>
      <c r="AW61" s="48"/>
      <c r="AX61" s="48"/>
      <c r="AY61" s="48"/>
      <c r="AZ61" s="48">
        <f t="shared" si="75"/>
        <v>0</v>
      </c>
      <c r="BA61" s="48"/>
      <c r="BB61" s="48"/>
      <c r="BC61" s="48"/>
      <c r="BD61" s="48">
        <f t="shared" si="76"/>
        <v>0</v>
      </c>
      <c r="BE61" s="48">
        <v>0</v>
      </c>
      <c r="BF61" s="48">
        <v>0</v>
      </c>
      <c r="BG61" s="48">
        <v>0</v>
      </c>
      <c r="BH61" s="48">
        <f t="shared" si="77"/>
        <v>0</v>
      </c>
      <c r="BI61" s="48">
        <v>86</v>
      </c>
      <c r="BJ61" s="48">
        <v>81</v>
      </c>
      <c r="BK61" s="48">
        <v>5</v>
      </c>
      <c r="BL61" s="48">
        <f t="shared" si="78"/>
        <v>0</v>
      </c>
      <c r="BM61" s="48">
        <v>1128</v>
      </c>
      <c r="BN61" s="48">
        <v>1113</v>
      </c>
      <c r="BO61" s="48">
        <v>15</v>
      </c>
      <c r="BP61" s="48">
        <f t="shared" si="79"/>
        <v>0</v>
      </c>
      <c r="BQ61" s="48">
        <v>86</v>
      </c>
      <c r="BR61" s="48">
        <v>86</v>
      </c>
      <c r="BS61" s="48">
        <v>0</v>
      </c>
      <c r="BT61" s="48">
        <f t="shared" si="80"/>
        <v>0</v>
      </c>
      <c r="BU61" s="48"/>
      <c r="BV61" s="48"/>
      <c r="BW61" s="48"/>
      <c r="BX61" s="48">
        <f t="shared" si="81"/>
        <v>0</v>
      </c>
      <c r="BY61" s="48"/>
      <c r="BZ61" s="48"/>
      <c r="CA61" s="48"/>
      <c r="CB61" s="48">
        <f t="shared" si="82"/>
        <v>0</v>
      </c>
      <c r="CC61" s="48"/>
      <c r="CD61" s="48"/>
      <c r="CE61" s="48"/>
      <c r="CF61" s="48">
        <f t="shared" si="83"/>
        <v>0</v>
      </c>
      <c r="CG61" s="48"/>
      <c r="CH61" s="48"/>
      <c r="CI61" s="48"/>
      <c r="CJ61" s="48">
        <f t="shared" si="84"/>
        <v>0</v>
      </c>
      <c r="CK61" s="48"/>
      <c r="CL61" s="48"/>
      <c r="CM61" s="48"/>
      <c r="CN61" s="48">
        <f t="shared" si="85"/>
        <v>0</v>
      </c>
      <c r="CO61" s="48"/>
      <c r="CP61" s="48"/>
      <c r="CQ61" s="48"/>
      <c r="CR61" s="48">
        <f t="shared" si="86"/>
        <v>0</v>
      </c>
      <c r="CS61" s="48"/>
      <c r="CT61" s="48"/>
      <c r="CU61" s="48"/>
      <c r="CV61" s="48">
        <f t="shared" si="87"/>
        <v>0</v>
      </c>
      <c r="CW61" s="48"/>
      <c r="CX61" s="48"/>
      <c r="CY61" s="48"/>
      <c r="CZ61" s="48">
        <f t="shared" si="88"/>
        <v>0</v>
      </c>
      <c r="DA61" s="48"/>
      <c r="DB61" s="48"/>
      <c r="DC61" s="48"/>
      <c r="DD61" s="48">
        <f t="shared" si="89"/>
        <v>0</v>
      </c>
      <c r="DE61" s="48">
        <v>0</v>
      </c>
      <c r="DF61" s="48">
        <v>0</v>
      </c>
      <c r="DG61" s="48">
        <v>0</v>
      </c>
      <c r="DH61" s="48">
        <f t="shared" si="90"/>
        <v>0</v>
      </c>
      <c r="DI61" s="48">
        <v>616</v>
      </c>
      <c r="DJ61" s="48">
        <v>604</v>
      </c>
      <c r="DK61" s="48">
        <v>12</v>
      </c>
      <c r="DL61" s="48">
        <f t="shared" si="91"/>
        <v>0</v>
      </c>
      <c r="DM61" s="48">
        <v>258</v>
      </c>
      <c r="DN61" s="48">
        <v>253</v>
      </c>
      <c r="DO61" s="48">
        <v>5</v>
      </c>
      <c r="DP61" s="48">
        <f t="shared" si="92"/>
        <v>0</v>
      </c>
      <c r="DQ61" s="48"/>
      <c r="DR61" s="48"/>
      <c r="DS61" s="48"/>
      <c r="DT61" s="48">
        <f t="shared" si="93"/>
        <v>0</v>
      </c>
      <c r="DU61" s="48"/>
      <c r="DV61" s="48"/>
      <c r="DW61" s="48"/>
      <c r="DX61" s="48">
        <f t="shared" si="94"/>
        <v>0</v>
      </c>
      <c r="DY61" s="48">
        <f t="shared" si="95"/>
        <v>4508</v>
      </c>
      <c r="DZ61" s="48">
        <f t="shared" si="96"/>
        <v>113</v>
      </c>
      <c r="EA61" s="14">
        <f>D61*'MASTER SHEET'!D61</f>
        <v>0</v>
      </c>
      <c r="EB61" s="14">
        <f>H61*'MASTER SHEET'!D61</f>
        <v>0</v>
      </c>
      <c r="EC61" s="14">
        <f>L61*'MASTER SHEET'!D61</f>
        <v>0</v>
      </c>
      <c r="ED61" s="14">
        <f>P61*'MASTER SHEET'!D61</f>
        <v>0</v>
      </c>
      <c r="EE61" s="14">
        <f>T61*'MASTER SHEET'!D61</f>
        <v>0</v>
      </c>
      <c r="EF61" s="14">
        <f>X61*'MASTER SHEET'!D61</f>
        <v>0</v>
      </c>
      <c r="EG61" s="14">
        <f>AB61*'MASTER SHEET'!D61</f>
        <v>0</v>
      </c>
      <c r="EH61" s="14">
        <f>AF61*'MASTER SHEET'!D61</f>
        <v>0</v>
      </c>
      <c r="EI61" s="14">
        <f>AJ61*'MASTER SHEET'!D61</f>
        <v>0</v>
      </c>
      <c r="EJ61" s="14">
        <f>AN61*'MASTER SHEET'!D61</f>
        <v>0</v>
      </c>
      <c r="EK61" s="14">
        <f>AR61*'MASTER SHEET'!D61</f>
        <v>0</v>
      </c>
      <c r="EL61" s="14">
        <f>AV61*'MASTER SHEET'!D61</f>
        <v>0</v>
      </c>
      <c r="EM61" s="14">
        <f>AZ61*'MASTER SHEET'!D61</f>
        <v>0</v>
      </c>
      <c r="EN61" s="14">
        <f>BD61*'MASTER SHEET'!D61</f>
        <v>0</v>
      </c>
      <c r="EO61" s="14">
        <f>BH61*'MASTER SHEET'!D61</f>
        <v>0</v>
      </c>
      <c r="EP61" s="14">
        <f>BL61*'MASTER SHEET'!D61</f>
        <v>0</v>
      </c>
      <c r="EQ61" s="14">
        <f>BP61*'MASTER SHEET'!D61</f>
        <v>0</v>
      </c>
      <c r="ER61" s="14">
        <f>BT61*'MASTER SHEET'!D61</f>
        <v>0</v>
      </c>
      <c r="ES61" s="14">
        <f>BX61*'MASTER SHEET'!D61</f>
        <v>0</v>
      </c>
      <c r="ET61" s="21">
        <f>CB61*'MASTER SHEET'!D61</f>
        <v>0</v>
      </c>
      <c r="EU61" s="14">
        <f>CF61*'MASTER SHEET'!D61</f>
        <v>0</v>
      </c>
      <c r="EV61" s="14">
        <f>CJ61*'MASTER SHEET'!D61</f>
        <v>0</v>
      </c>
      <c r="EW61" s="14">
        <f>CN61*'MASTER SHEET'!D61</f>
        <v>0</v>
      </c>
      <c r="EX61" s="14">
        <f>CR61*'MASTER SHEET'!D61</f>
        <v>0</v>
      </c>
      <c r="EY61" s="14">
        <f>CR61*'MASTER SHEET'!D61</f>
        <v>0</v>
      </c>
      <c r="EZ61" s="14">
        <f>CV61*'MASTER SHEET'!D61</f>
        <v>0</v>
      </c>
      <c r="FA61" s="14">
        <f>CZ61*'MASTER SHEET'!D61</f>
        <v>0</v>
      </c>
      <c r="FB61" s="14">
        <f>DD61*'MASTER SHEET'!D61</f>
        <v>0</v>
      </c>
    </row>
    <row r="62" spans="1:158" ht="18.75" customHeight="1" x14ac:dyDescent="0.25">
      <c r="A62" s="43">
        <f>'MASTER SHEET'!A62</f>
        <v>60</v>
      </c>
      <c r="B62" s="49" t="str">
        <f>'MASTER SHEET'!B62</f>
        <v>CENTERTUBE</v>
      </c>
      <c r="C62" s="86">
        <f>'MASTER SHEET'!C62</f>
        <v>5033843</v>
      </c>
      <c r="D62" s="51"/>
      <c r="E62" s="48"/>
      <c r="F62" s="48"/>
      <c r="G62" s="48"/>
      <c r="H62" s="48">
        <f t="shared" si="64"/>
        <v>0</v>
      </c>
      <c r="I62" s="28"/>
      <c r="J62" s="28"/>
      <c r="K62" s="65"/>
      <c r="L62" s="48">
        <f t="shared" si="65"/>
        <v>0</v>
      </c>
      <c r="M62" s="48"/>
      <c r="N62" s="48"/>
      <c r="O62" s="48"/>
      <c r="P62" s="48">
        <f t="shared" si="66"/>
        <v>0</v>
      </c>
      <c r="Q62" s="48"/>
      <c r="R62" s="48"/>
      <c r="S62" s="48"/>
      <c r="T62" s="48">
        <f t="shared" si="67"/>
        <v>0</v>
      </c>
      <c r="U62" s="48">
        <v>0</v>
      </c>
      <c r="V62" s="48"/>
      <c r="W62" s="48"/>
      <c r="X62" s="48">
        <f t="shared" si="68"/>
        <v>0</v>
      </c>
      <c r="Y62" s="48"/>
      <c r="Z62" s="48"/>
      <c r="AA62" s="48"/>
      <c r="AB62" s="48">
        <f t="shared" si="69"/>
        <v>0</v>
      </c>
      <c r="AC62" s="48"/>
      <c r="AD62" s="48"/>
      <c r="AE62" s="48"/>
      <c r="AF62" s="48">
        <f t="shared" si="70"/>
        <v>0</v>
      </c>
      <c r="AG62" s="48"/>
      <c r="AH62" s="48"/>
      <c r="AI62" s="48"/>
      <c r="AJ62" s="48">
        <f t="shared" si="71"/>
        <v>0</v>
      </c>
      <c r="AK62" s="48"/>
      <c r="AL62" s="48"/>
      <c r="AM62" s="48"/>
      <c r="AN62" s="48">
        <f t="shared" si="72"/>
        <v>0</v>
      </c>
      <c r="AO62" s="48"/>
      <c r="AP62" s="48"/>
      <c r="AQ62" s="48"/>
      <c r="AR62" s="48">
        <f t="shared" si="73"/>
        <v>0</v>
      </c>
      <c r="AS62" s="48"/>
      <c r="AT62" s="48"/>
      <c r="AU62" s="48"/>
      <c r="AV62" s="48">
        <f t="shared" si="74"/>
        <v>0</v>
      </c>
      <c r="AW62" s="48"/>
      <c r="AX62" s="48"/>
      <c r="AY62" s="48"/>
      <c r="AZ62" s="48">
        <f t="shared" si="75"/>
        <v>0</v>
      </c>
      <c r="BA62" s="48"/>
      <c r="BB62" s="48"/>
      <c r="BC62" s="48"/>
      <c r="BD62" s="48">
        <f t="shared" si="76"/>
        <v>0</v>
      </c>
      <c r="BE62" s="48"/>
      <c r="BF62" s="48"/>
      <c r="BG62" s="48"/>
      <c r="BH62" s="48">
        <f t="shared" si="77"/>
        <v>0</v>
      </c>
      <c r="BI62" s="48"/>
      <c r="BJ62" s="48"/>
      <c r="BK62" s="48"/>
      <c r="BL62" s="48">
        <f t="shared" si="78"/>
        <v>0</v>
      </c>
      <c r="BM62" s="48"/>
      <c r="BN62" s="48"/>
      <c r="BO62" s="48"/>
      <c r="BP62" s="48">
        <f t="shared" si="79"/>
        <v>0</v>
      </c>
      <c r="BQ62" s="48"/>
      <c r="BR62" s="48"/>
      <c r="BS62" s="48"/>
      <c r="BT62" s="48">
        <f t="shared" si="80"/>
        <v>0</v>
      </c>
      <c r="BU62" s="48"/>
      <c r="BV62" s="48"/>
      <c r="BW62" s="48"/>
      <c r="BX62" s="48">
        <f t="shared" si="81"/>
        <v>0</v>
      </c>
      <c r="BY62" s="48"/>
      <c r="BZ62" s="48"/>
      <c r="CA62" s="48"/>
      <c r="CB62" s="48">
        <f t="shared" si="82"/>
        <v>0</v>
      </c>
      <c r="CC62" s="48"/>
      <c r="CD62" s="48"/>
      <c r="CE62" s="48"/>
      <c r="CF62" s="48">
        <f t="shared" si="83"/>
        <v>0</v>
      </c>
      <c r="CG62" s="48"/>
      <c r="CH62" s="48"/>
      <c r="CI62" s="48"/>
      <c r="CJ62" s="48">
        <f t="shared" si="84"/>
        <v>0</v>
      </c>
      <c r="CK62" s="48"/>
      <c r="CL62" s="48"/>
      <c r="CM62" s="48"/>
      <c r="CN62" s="48">
        <f t="shared" si="85"/>
        <v>0</v>
      </c>
      <c r="CO62" s="48"/>
      <c r="CP62" s="48"/>
      <c r="CQ62" s="48"/>
      <c r="CR62" s="48">
        <f t="shared" si="86"/>
        <v>0</v>
      </c>
      <c r="CS62" s="48"/>
      <c r="CT62" s="48"/>
      <c r="CU62" s="48"/>
      <c r="CV62" s="48">
        <f t="shared" si="87"/>
        <v>0</v>
      </c>
      <c r="CW62" s="48"/>
      <c r="CX62" s="48"/>
      <c r="CY62" s="48"/>
      <c r="CZ62" s="48">
        <f t="shared" si="88"/>
        <v>0</v>
      </c>
      <c r="DA62" s="48"/>
      <c r="DB62" s="48"/>
      <c r="DC62" s="48"/>
      <c r="DD62" s="48">
        <f t="shared" si="89"/>
        <v>0</v>
      </c>
      <c r="DE62" s="48"/>
      <c r="DF62" s="48"/>
      <c r="DG62" s="48"/>
      <c r="DH62" s="48">
        <f t="shared" si="90"/>
        <v>0</v>
      </c>
      <c r="DI62" s="48"/>
      <c r="DJ62" s="48"/>
      <c r="DK62" s="48"/>
      <c r="DL62" s="48">
        <f t="shared" si="91"/>
        <v>0</v>
      </c>
      <c r="DM62" s="48"/>
      <c r="DN62" s="48"/>
      <c r="DO62" s="48"/>
      <c r="DP62" s="48">
        <f t="shared" si="92"/>
        <v>0</v>
      </c>
      <c r="DQ62" s="48"/>
      <c r="DR62" s="48"/>
      <c r="DS62" s="48"/>
      <c r="DT62" s="48">
        <f t="shared" si="93"/>
        <v>0</v>
      </c>
      <c r="DU62" s="48"/>
      <c r="DV62" s="48"/>
      <c r="DW62" s="48"/>
      <c r="DX62" s="48">
        <f t="shared" si="94"/>
        <v>0</v>
      </c>
      <c r="DY62" s="48">
        <f t="shared" si="95"/>
        <v>0</v>
      </c>
      <c r="DZ62" s="48">
        <f t="shared" si="96"/>
        <v>0</v>
      </c>
      <c r="EA62" s="14">
        <f>D62*'MASTER SHEET'!D62</f>
        <v>0</v>
      </c>
      <c r="EB62" s="14">
        <f>H62*'MASTER SHEET'!D62</f>
        <v>0</v>
      </c>
      <c r="EC62" s="14">
        <f>L62*'MASTER SHEET'!D62</f>
        <v>0</v>
      </c>
      <c r="ED62" s="14">
        <f>P62*'MASTER SHEET'!D62</f>
        <v>0</v>
      </c>
      <c r="EE62" s="14">
        <f>T62*'MASTER SHEET'!D62</f>
        <v>0</v>
      </c>
      <c r="EF62" s="14">
        <f>X62*'MASTER SHEET'!D62</f>
        <v>0</v>
      </c>
      <c r="EG62" s="14">
        <f>AB62*'MASTER SHEET'!D62</f>
        <v>0</v>
      </c>
      <c r="EH62" s="14">
        <f>AF62*'MASTER SHEET'!D62</f>
        <v>0</v>
      </c>
      <c r="EI62" s="14">
        <f>AJ62*'MASTER SHEET'!D62</f>
        <v>0</v>
      </c>
      <c r="EJ62" s="14">
        <f>AN62*'MASTER SHEET'!D62</f>
        <v>0</v>
      </c>
      <c r="EK62" s="14">
        <f>AR62*'MASTER SHEET'!D62</f>
        <v>0</v>
      </c>
      <c r="EL62" s="14">
        <f>AV62*'MASTER SHEET'!D62</f>
        <v>0</v>
      </c>
      <c r="EM62" s="14">
        <f>AZ62*'MASTER SHEET'!D62</f>
        <v>0</v>
      </c>
      <c r="EN62" s="14">
        <f>BD62*'MASTER SHEET'!D62</f>
        <v>0</v>
      </c>
      <c r="EO62" s="14">
        <f>BH62*'MASTER SHEET'!D62</f>
        <v>0</v>
      </c>
      <c r="EP62" s="14">
        <f>BL62*'MASTER SHEET'!D62</f>
        <v>0</v>
      </c>
      <c r="EQ62" s="14">
        <f>BP62*'MASTER SHEET'!D62</f>
        <v>0</v>
      </c>
      <c r="ER62" s="14">
        <f>BT62*'MASTER SHEET'!D62</f>
        <v>0</v>
      </c>
      <c r="ES62" s="14">
        <f>BX62*'MASTER SHEET'!D62</f>
        <v>0</v>
      </c>
      <c r="ET62" s="21">
        <f>CB62*'MASTER SHEET'!D62</f>
        <v>0</v>
      </c>
      <c r="EU62" s="14">
        <f>CF62*'MASTER SHEET'!D62</f>
        <v>0</v>
      </c>
      <c r="EV62" s="14">
        <f>CJ62*'MASTER SHEET'!D62</f>
        <v>0</v>
      </c>
      <c r="EW62" s="14">
        <f>CN62*'MASTER SHEET'!D62</f>
        <v>0</v>
      </c>
      <c r="EX62" s="14">
        <f>CR62*'MASTER SHEET'!D62</f>
        <v>0</v>
      </c>
      <c r="EY62" s="14">
        <f>CR62*'MASTER SHEET'!D62</f>
        <v>0</v>
      </c>
      <c r="EZ62" s="14">
        <f>CV62*'MASTER SHEET'!D62</f>
        <v>0</v>
      </c>
      <c r="FA62" s="14">
        <f>CZ62*'MASTER SHEET'!D62</f>
        <v>0</v>
      </c>
      <c r="FB62" s="14">
        <f>DD62*'MASTER SHEET'!D62</f>
        <v>0</v>
      </c>
    </row>
    <row r="63" spans="1:158" s="18" customFormat="1" ht="18.75" customHeight="1" x14ac:dyDescent="0.25">
      <c r="A63" s="43">
        <f>'MASTER SHEET'!A63</f>
        <v>61</v>
      </c>
      <c r="B63" s="49" t="str">
        <f>'MASTER SHEET'!B63</f>
        <v>ENDPLATE, PLASTIC</v>
      </c>
      <c r="C63" s="86">
        <f>'MASTER SHEET'!C63</f>
        <v>5032201</v>
      </c>
      <c r="D63" s="51"/>
      <c r="E63" s="48"/>
      <c r="F63" s="48"/>
      <c r="G63" s="48"/>
      <c r="H63" s="48">
        <f t="shared" ref="H63:H94" si="97">D63+E63-F63-G63</f>
        <v>0</v>
      </c>
      <c r="I63" s="28"/>
      <c r="J63" s="28"/>
      <c r="K63" s="65"/>
      <c r="L63" s="48">
        <f t="shared" ref="L63:L94" si="98">H63+I63-J63-K63</f>
        <v>0</v>
      </c>
      <c r="M63" s="48"/>
      <c r="N63" s="48"/>
      <c r="O63" s="48"/>
      <c r="P63" s="48">
        <f t="shared" ref="P63:P94" si="99">L63+M63-N63-O63</f>
        <v>0</v>
      </c>
      <c r="Q63" s="48"/>
      <c r="R63" s="48"/>
      <c r="S63" s="48"/>
      <c r="T63" s="48">
        <f t="shared" ref="T63:T94" si="100">P63+Q63-R63-S63</f>
        <v>0</v>
      </c>
      <c r="U63" s="48">
        <v>0</v>
      </c>
      <c r="V63" s="48"/>
      <c r="W63" s="48"/>
      <c r="X63" s="48">
        <f t="shared" ref="X63:X94" si="101">T63+U63-V63-W63</f>
        <v>0</v>
      </c>
      <c r="Y63" s="48"/>
      <c r="Z63" s="48"/>
      <c r="AA63" s="48"/>
      <c r="AB63" s="48">
        <f t="shared" ref="AB63:AB94" si="102">X63+Y63-Z63-AA63</f>
        <v>0</v>
      </c>
      <c r="AC63" s="48"/>
      <c r="AD63" s="48"/>
      <c r="AE63" s="48"/>
      <c r="AF63" s="48">
        <f t="shared" ref="AF63:AF94" si="103">AB63+AC63-AD63-AE63</f>
        <v>0</v>
      </c>
      <c r="AG63" s="48"/>
      <c r="AH63" s="48"/>
      <c r="AI63" s="48"/>
      <c r="AJ63" s="48">
        <f t="shared" ref="AJ63:AJ94" si="104">AF63+AG63-AH63-AI63</f>
        <v>0</v>
      </c>
      <c r="AK63" s="48"/>
      <c r="AL63" s="48"/>
      <c r="AM63" s="48"/>
      <c r="AN63" s="48">
        <f t="shared" ref="AN63:AN94" si="105">AJ63+AK63-AL63-AM63</f>
        <v>0</v>
      </c>
      <c r="AO63" s="48"/>
      <c r="AP63" s="48"/>
      <c r="AQ63" s="48"/>
      <c r="AR63" s="48">
        <f t="shared" ref="AR63:AR94" si="106">AN63+AO63-AP63-AQ63</f>
        <v>0</v>
      </c>
      <c r="AS63" s="48"/>
      <c r="AT63" s="48"/>
      <c r="AU63" s="48"/>
      <c r="AV63" s="48">
        <f t="shared" ref="AV63:AV94" si="107">AR63+AS63-AT63-AU63</f>
        <v>0</v>
      </c>
      <c r="AW63" s="48"/>
      <c r="AX63" s="48"/>
      <c r="AY63" s="48"/>
      <c r="AZ63" s="48">
        <f t="shared" ref="AZ63:AZ94" si="108">AV63+AW63-AX63-AY63</f>
        <v>0</v>
      </c>
      <c r="BA63" s="48"/>
      <c r="BB63" s="48"/>
      <c r="BC63" s="48"/>
      <c r="BD63" s="48">
        <f t="shared" ref="BD63:BD94" si="109">AZ63+BA63-BB63-BC63</f>
        <v>0</v>
      </c>
      <c r="BE63" s="48"/>
      <c r="BF63" s="48"/>
      <c r="BG63" s="48"/>
      <c r="BH63" s="48">
        <f t="shared" ref="BH63:BH94" si="110">BD63+BE63-BF63-BG63</f>
        <v>0</v>
      </c>
      <c r="BI63" s="48"/>
      <c r="BJ63" s="48"/>
      <c r="BK63" s="48"/>
      <c r="BL63" s="48">
        <f t="shared" ref="BL63:BL94" si="111">BH63+BI63-BJ63-BK63</f>
        <v>0</v>
      </c>
      <c r="BM63" s="48"/>
      <c r="BN63" s="48"/>
      <c r="BO63" s="48"/>
      <c r="BP63" s="48">
        <f t="shared" ref="BP63:BP94" si="112">BL63+BM63-BN63-BO63</f>
        <v>0</v>
      </c>
      <c r="BQ63" s="48"/>
      <c r="BR63" s="48"/>
      <c r="BS63" s="48"/>
      <c r="BT63" s="48">
        <f t="shared" ref="BT63:BT94" si="113">BP63+BQ63-BR63-BS63</f>
        <v>0</v>
      </c>
      <c r="BU63" s="48"/>
      <c r="BV63" s="48"/>
      <c r="BW63" s="48"/>
      <c r="BX63" s="48">
        <f t="shared" ref="BX63:BX94" si="114">BT63+BU63-BV63-BW63</f>
        <v>0</v>
      </c>
      <c r="BY63" s="48"/>
      <c r="BZ63" s="48"/>
      <c r="CA63" s="48"/>
      <c r="CB63" s="48">
        <f t="shared" ref="CB63:CB94" si="115">BX63+BY63-BZ63-CA63</f>
        <v>0</v>
      </c>
      <c r="CC63" s="48"/>
      <c r="CD63" s="48"/>
      <c r="CE63" s="48"/>
      <c r="CF63" s="48">
        <f t="shared" ref="CF63:CF94" si="116">CB63+CC63-CD63-CE63</f>
        <v>0</v>
      </c>
      <c r="CG63" s="48"/>
      <c r="CH63" s="48"/>
      <c r="CI63" s="48"/>
      <c r="CJ63" s="48">
        <f t="shared" ref="CJ63:CJ94" si="117">CF63+CG63-CH63-CI63</f>
        <v>0</v>
      </c>
      <c r="CK63" s="48"/>
      <c r="CL63" s="48"/>
      <c r="CM63" s="48"/>
      <c r="CN63" s="48">
        <f t="shared" ref="CN63:CN94" si="118">CJ63+CK63-CL63-CM63</f>
        <v>0</v>
      </c>
      <c r="CO63" s="48"/>
      <c r="CP63" s="48"/>
      <c r="CQ63" s="48"/>
      <c r="CR63" s="48">
        <f t="shared" ref="CR63:CR94" si="119">CN63+CO63-CP63-CQ63</f>
        <v>0</v>
      </c>
      <c r="CS63" s="48"/>
      <c r="CT63" s="48"/>
      <c r="CU63" s="48"/>
      <c r="CV63" s="48">
        <f t="shared" ref="CV63:CV94" si="120">CR63+CS63-CT63-CU63</f>
        <v>0</v>
      </c>
      <c r="CW63" s="48"/>
      <c r="CX63" s="48"/>
      <c r="CY63" s="48"/>
      <c r="CZ63" s="48">
        <f t="shared" ref="CZ63:CZ94" si="121">CV63+CW63-CX63-CY63</f>
        <v>0</v>
      </c>
      <c r="DA63" s="48"/>
      <c r="DB63" s="48"/>
      <c r="DC63" s="48"/>
      <c r="DD63" s="48">
        <f t="shared" ref="DD63:DD94" si="122">CZ63+DA63-DB63-DC63</f>
        <v>0</v>
      </c>
      <c r="DE63" s="48"/>
      <c r="DF63" s="48"/>
      <c r="DG63" s="48"/>
      <c r="DH63" s="48">
        <f t="shared" ref="DH63:DH94" si="123">DD63+DE63-DF63-DG63</f>
        <v>0</v>
      </c>
      <c r="DI63" s="48"/>
      <c r="DJ63" s="48"/>
      <c r="DK63" s="48"/>
      <c r="DL63" s="48">
        <f t="shared" ref="DL63:DL94" si="124">DH63+DI63-DJ63-DK63</f>
        <v>0</v>
      </c>
      <c r="DM63" s="48"/>
      <c r="DN63" s="48"/>
      <c r="DO63" s="48"/>
      <c r="DP63" s="48">
        <f t="shared" ref="DP63:DP94" si="125">DL63+DM63-DN63-DO63</f>
        <v>0</v>
      </c>
      <c r="DQ63" s="48"/>
      <c r="DR63" s="48"/>
      <c r="DS63" s="48"/>
      <c r="DT63" s="48">
        <f t="shared" ref="DT63:DT94" si="126">DP63+DQ63-DR63-DS63</f>
        <v>0</v>
      </c>
      <c r="DU63" s="48"/>
      <c r="DV63" s="48"/>
      <c r="DW63" s="48"/>
      <c r="DX63" s="48">
        <f t="shared" ref="DX63:DX94" si="127">DT63+DU63-DV63-DW63</f>
        <v>0</v>
      </c>
      <c r="DY63" s="48">
        <f t="shared" ref="DY63:DY94" si="128">DU63+DQ63+DM63+DI63+DE63+DA63+CW63+CS63+CO63+CK63+CG63+CC63+BY63+BU63+BQ63+BI63+BA63+AW63+AS63+AO63+AK63+AG63+AC63+Y63+U63+Q63+M63+I63+E63+BM63+BE63</f>
        <v>0</v>
      </c>
      <c r="DZ63" s="48">
        <f t="shared" ref="DZ63:DZ94" si="129">G63+K63+S63+W63+AA63+AE63+AI63+AM63+AQ63+AU63+AY63+BC63+BG63+BK63+BO63+BS63+BW63+CA63+CE63+CI63+CM63+CQ63+CU63+CY63+DC63+DG63+DK63+DO63+DS63+DW63</f>
        <v>0</v>
      </c>
      <c r="EA63" s="14">
        <f>D63*'MASTER SHEET'!D63</f>
        <v>0</v>
      </c>
      <c r="EB63" s="14">
        <f>H63*'MASTER SHEET'!D63</f>
        <v>0</v>
      </c>
      <c r="EC63" s="14">
        <f>L63*'MASTER SHEET'!D63</f>
        <v>0</v>
      </c>
      <c r="ED63" s="14">
        <f>P63*'MASTER SHEET'!D63</f>
        <v>0</v>
      </c>
      <c r="EE63" s="14">
        <f>T63*'MASTER SHEET'!D63</f>
        <v>0</v>
      </c>
      <c r="EF63" s="14">
        <f>X63*'MASTER SHEET'!D63</f>
        <v>0</v>
      </c>
      <c r="EG63" s="14">
        <f>AB63*'MASTER SHEET'!D63</f>
        <v>0</v>
      </c>
      <c r="EH63" s="14">
        <f>AF63*'MASTER SHEET'!D63</f>
        <v>0</v>
      </c>
      <c r="EI63" s="14">
        <f>AJ63*'MASTER SHEET'!D63</f>
        <v>0</v>
      </c>
      <c r="EJ63" s="14">
        <f>AN63*'MASTER SHEET'!D63</f>
        <v>0</v>
      </c>
      <c r="EK63" s="14">
        <f>AR63*'MASTER SHEET'!D63</f>
        <v>0</v>
      </c>
      <c r="EL63" s="14">
        <f>AV63*'MASTER SHEET'!D63</f>
        <v>0</v>
      </c>
      <c r="EM63" s="14">
        <f>AZ63*'MASTER SHEET'!D63</f>
        <v>0</v>
      </c>
      <c r="EN63" s="14">
        <f>BD63*'MASTER SHEET'!D63</f>
        <v>0</v>
      </c>
      <c r="EO63" s="14">
        <f>BH63*'MASTER SHEET'!D63</f>
        <v>0</v>
      </c>
      <c r="EP63" s="14">
        <f>BL63*'MASTER SHEET'!D63</f>
        <v>0</v>
      </c>
      <c r="EQ63" s="14">
        <f>BP63*'MASTER SHEET'!D63</f>
        <v>0</v>
      </c>
      <c r="ER63" s="14">
        <f>BT63*'MASTER SHEET'!D63</f>
        <v>0</v>
      </c>
      <c r="ES63" s="14">
        <f>BX63*'MASTER SHEET'!D63</f>
        <v>0</v>
      </c>
      <c r="ET63" s="21">
        <f>CB63*'MASTER SHEET'!D63</f>
        <v>0</v>
      </c>
      <c r="EU63" s="14">
        <f>CF63*'MASTER SHEET'!D63</f>
        <v>0</v>
      </c>
      <c r="EV63" s="14">
        <f>CJ63*'MASTER SHEET'!D63</f>
        <v>0</v>
      </c>
      <c r="EW63" s="14">
        <f>CN63*'MASTER SHEET'!D63</f>
        <v>0</v>
      </c>
      <c r="EX63" s="14">
        <f>CR63*'MASTER SHEET'!D63</f>
        <v>0</v>
      </c>
      <c r="EY63" s="14">
        <f>CR63*'MASTER SHEET'!D63</f>
        <v>0</v>
      </c>
      <c r="EZ63" s="14">
        <f>CV63*'MASTER SHEET'!D63</f>
        <v>0</v>
      </c>
      <c r="FA63" s="14">
        <f>CZ63*'MASTER SHEET'!D63</f>
        <v>0</v>
      </c>
      <c r="FB63" s="14">
        <f>DD63*'MASTER SHEET'!D63</f>
        <v>0</v>
      </c>
    </row>
    <row r="64" spans="1:158" ht="18.75" customHeight="1" x14ac:dyDescent="0.25">
      <c r="A64" s="43">
        <f>'MASTER SHEET'!A64</f>
        <v>62</v>
      </c>
      <c r="B64" s="49" t="str">
        <f>'MASTER SHEET'!B64</f>
        <v>ENDPLATE, PLASTIC</v>
      </c>
      <c r="C64" s="86">
        <f>'MASTER SHEET'!C64</f>
        <v>5032202</v>
      </c>
      <c r="D64" s="51"/>
      <c r="E64" s="48"/>
      <c r="F64" s="48"/>
      <c r="G64" s="48"/>
      <c r="H64" s="48">
        <f t="shared" si="97"/>
        <v>0</v>
      </c>
      <c r="I64" s="28"/>
      <c r="J64" s="28"/>
      <c r="K64" s="65"/>
      <c r="L64" s="48">
        <f t="shared" si="98"/>
        <v>0</v>
      </c>
      <c r="M64" s="48"/>
      <c r="N64" s="48"/>
      <c r="O64" s="48"/>
      <c r="P64" s="48">
        <f t="shared" si="99"/>
        <v>0</v>
      </c>
      <c r="Q64" s="48"/>
      <c r="R64" s="48"/>
      <c r="S64" s="48"/>
      <c r="T64" s="48">
        <f t="shared" si="100"/>
        <v>0</v>
      </c>
      <c r="U64" s="48">
        <v>0</v>
      </c>
      <c r="V64" s="48"/>
      <c r="W64" s="48"/>
      <c r="X64" s="48">
        <f t="shared" si="101"/>
        <v>0</v>
      </c>
      <c r="Y64" s="48"/>
      <c r="Z64" s="48"/>
      <c r="AA64" s="48"/>
      <c r="AB64" s="48">
        <f t="shared" si="102"/>
        <v>0</v>
      </c>
      <c r="AC64" s="48"/>
      <c r="AD64" s="48"/>
      <c r="AE64" s="48"/>
      <c r="AF64" s="48">
        <f t="shared" si="103"/>
        <v>0</v>
      </c>
      <c r="AG64" s="48"/>
      <c r="AH64" s="48"/>
      <c r="AI64" s="48"/>
      <c r="AJ64" s="48">
        <f t="shared" si="104"/>
        <v>0</v>
      </c>
      <c r="AK64" s="48"/>
      <c r="AL64" s="48"/>
      <c r="AM64" s="48"/>
      <c r="AN64" s="48">
        <f t="shared" si="105"/>
        <v>0</v>
      </c>
      <c r="AO64" s="48"/>
      <c r="AP64" s="48"/>
      <c r="AQ64" s="48"/>
      <c r="AR64" s="48">
        <f t="shared" si="106"/>
        <v>0</v>
      </c>
      <c r="AS64" s="48"/>
      <c r="AT64" s="48"/>
      <c r="AU64" s="48"/>
      <c r="AV64" s="48">
        <f t="shared" si="107"/>
        <v>0</v>
      </c>
      <c r="AW64" s="48"/>
      <c r="AX64" s="48"/>
      <c r="AY64" s="48"/>
      <c r="AZ64" s="48">
        <f t="shared" si="108"/>
        <v>0</v>
      </c>
      <c r="BA64" s="48"/>
      <c r="BB64" s="48"/>
      <c r="BC64" s="48"/>
      <c r="BD64" s="48">
        <f t="shared" si="109"/>
        <v>0</v>
      </c>
      <c r="BE64" s="48"/>
      <c r="BF64" s="48"/>
      <c r="BG64" s="48"/>
      <c r="BH64" s="48">
        <f t="shared" si="110"/>
        <v>0</v>
      </c>
      <c r="BI64" s="48"/>
      <c r="BJ64" s="48"/>
      <c r="BK64" s="48"/>
      <c r="BL64" s="48">
        <f t="shared" si="111"/>
        <v>0</v>
      </c>
      <c r="BM64" s="48"/>
      <c r="BN64" s="48"/>
      <c r="BO64" s="48"/>
      <c r="BP64" s="48">
        <f t="shared" si="112"/>
        <v>0</v>
      </c>
      <c r="BQ64" s="48"/>
      <c r="BR64" s="48"/>
      <c r="BS64" s="48"/>
      <c r="BT64" s="48">
        <f t="shared" si="113"/>
        <v>0</v>
      </c>
      <c r="BU64" s="48"/>
      <c r="BV64" s="48"/>
      <c r="BW64" s="48"/>
      <c r="BX64" s="48">
        <f t="shared" si="114"/>
        <v>0</v>
      </c>
      <c r="BY64" s="48"/>
      <c r="BZ64" s="48"/>
      <c r="CA64" s="48"/>
      <c r="CB64" s="48">
        <f t="shared" si="115"/>
        <v>0</v>
      </c>
      <c r="CC64" s="48"/>
      <c r="CD64" s="48"/>
      <c r="CE64" s="48"/>
      <c r="CF64" s="48">
        <f t="shared" si="116"/>
        <v>0</v>
      </c>
      <c r="CG64" s="48"/>
      <c r="CH64" s="48"/>
      <c r="CI64" s="48"/>
      <c r="CJ64" s="48">
        <f t="shared" si="117"/>
        <v>0</v>
      </c>
      <c r="CK64" s="48"/>
      <c r="CL64" s="48"/>
      <c r="CM64" s="48"/>
      <c r="CN64" s="48">
        <f t="shared" si="118"/>
        <v>0</v>
      </c>
      <c r="CO64" s="48"/>
      <c r="CP64" s="48"/>
      <c r="CQ64" s="48"/>
      <c r="CR64" s="48">
        <f t="shared" si="119"/>
        <v>0</v>
      </c>
      <c r="CS64" s="48"/>
      <c r="CT64" s="48"/>
      <c r="CU64" s="48"/>
      <c r="CV64" s="48">
        <f t="shared" si="120"/>
        <v>0</v>
      </c>
      <c r="CW64" s="48"/>
      <c r="CX64" s="48"/>
      <c r="CY64" s="48"/>
      <c r="CZ64" s="48">
        <f t="shared" si="121"/>
        <v>0</v>
      </c>
      <c r="DA64" s="48"/>
      <c r="DB64" s="48"/>
      <c r="DC64" s="48"/>
      <c r="DD64" s="48">
        <f t="shared" si="122"/>
        <v>0</v>
      </c>
      <c r="DE64" s="48"/>
      <c r="DF64" s="48"/>
      <c r="DG64" s="48"/>
      <c r="DH64" s="48">
        <f t="shared" si="123"/>
        <v>0</v>
      </c>
      <c r="DI64" s="48"/>
      <c r="DJ64" s="48"/>
      <c r="DK64" s="48"/>
      <c r="DL64" s="48">
        <f t="shared" si="124"/>
        <v>0</v>
      </c>
      <c r="DM64" s="48"/>
      <c r="DN64" s="48"/>
      <c r="DO64" s="48"/>
      <c r="DP64" s="48">
        <f t="shared" si="125"/>
        <v>0</v>
      </c>
      <c r="DQ64" s="48"/>
      <c r="DR64" s="48"/>
      <c r="DS64" s="48"/>
      <c r="DT64" s="48">
        <f t="shared" si="126"/>
        <v>0</v>
      </c>
      <c r="DU64" s="48"/>
      <c r="DV64" s="48"/>
      <c r="DW64" s="48"/>
      <c r="DX64" s="48">
        <f t="shared" si="127"/>
        <v>0</v>
      </c>
      <c r="DY64" s="48">
        <f t="shared" si="128"/>
        <v>0</v>
      </c>
      <c r="DZ64" s="48">
        <f t="shared" si="129"/>
        <v>0</v>
      </c>
      <c r="EA64" s="14">
        <f>D64*'MASTER SHEET'!D64</f>
        <v>0</v>
      </c>
      <c r="EB64" s="14">
        <f>H64*'MASTER SHEET'!D64</f>
        <v>0</v>
      </c>
      <c r="EC64" s="14">
        <f>L64*'MASTER SHEET'!D64</f>
        <v>0</v>
      </c>
      <c r="ED64" s="14">
        <f>P64*'MASTER SHEET'!D64</f>
        <v>0</v>
      </c>
      <c r="EE64" s="14">
        <f>T64*'MASTER SHEET'!D64</f>
        <v>0</v>
      </c>
      <c r="EF64" s="14">
        <f>X64*'MASTER SHEET'!D64</f>
        <v>0</v>
      </c>
      <c r="EG64" s="14">
        <f>AB64*'MASTER SHEET'!D64</f>
        <v>0</v>
      </c>
      <c r="EH64" s="14">
        <f>AF64*'MASTER SHEET'!D64</f>
        <v>0</v>
      </c>
      <c r="EI64" s="14">
        <f>AJ64*'MASTER SHEET'!D64</f>
        <v>0</v>
      </c>
      <c r="EJ64" s="14">
        <f>AN64*'MASTER SHEET'!D64</f>
        <v>0</v>
      </c>
      <c r="EK64" s="14">
        <f>AR64*'MASTER SHEET'!D64</f>
        <v>0</v>
      </c>
      <c r="EL64" s="14">
        <f>AV64*'MASTER SHEET'!D64</f>
        <v>0</v>
      </c>
      <c r="EM64" s="14">
        <f>AZ64*'MASTER SHEET'!D64</f>
        <v>0</v>
      </c>
      <c r="EN64" s="14">
        <f>BD64*'MASTER SHEET'!D64</f>
        <v>0</v>
      </c>
      <c r="EO64" s="14">
        <f>BH64*'MASTER SHEET'!D64</f>
        <v>0</v>
      </c>
      <c r="EP64" s="14">
        <f>BL64*'MASTER SHEET'!D64</f>
        <v>0</v>
      </c>
      <c r="EQ64" s="14">
        <f>BP64*'MASTER SHEET'!D64</f>
        <v>0</v>
      </c>
      <c r="ER64" s="14">
        <f>BT64*'MASTER SHEET'!D64</f>
        <v>0</v>
      </c>
      <c r="ES64" s="14">
        <f>BX64*'MASTER SHEET'!D64</f>
        <v>0</v>
      </c>
      <c r="ET64" s="21">
        <f>CB64*'MASTER SHEET'!D64</f>
        <v>0</v>
      </c>
      <c r="EU64" s="14">
        <f>CF64*'MASTER SHEET'!D64</f>
        <v>0</v>
      </c>
      <c r="EV64" s="14">
        <f>CJ64*'MASTER SHEET'!D64</f>
        <v>0</v>
      </c>
      <c r="EW64" s="14">
        <f>CN64*'MASTER SHEET'!D64</f>
        <v>0</v>
      </c>
      <c r="EX64" s="14">
        <f>CR64*'MASTER SHEET'!D64</f>
        <v>0</v>
      </c>
      <c r="EY64" s="14">
        <f>CR64*'MASTER SHEET'!D64</f>
        <v>0</v>
      </c>
      <c r="EZ64" s="14">
        <f>CV64*'MASTER SHEET'!D64</f>
        <v>0</v>
      </c>
      <c r="FA64" s="14">
        <f>CZ64*'MASTER SHEET'!D64</f>
        <v>0</v>
      </c>
      <c r="FB64" s="14">
        <f>DD64*'MASTER SHEET'!D64</f>
        <v>0</v>
      </c>
    </row>
    <row r="65" spans="1:158" ht="18.75" customHeight="1" x14ac:dyDescent="0.25">
      <c r="A65" s="43">
        <f>'MASTER SHEET'!A65</f>
        <v>63</v>
      </c>
      <c r="B65" s="49" t="str">
        <f>'MASTER SHEET'!B65</f>
        <v>BASE HOUSING CV</v>
      </c>
      <c r="C65" s="86">
        <f>'MASTER SHEET'!C65</f>
        <v>5032452</v>
      </c>
      <c r="D65" s="51"/>
      <c r="E65" s="48"/>
      <c r="F65" s="48"/>
      <c r="G65" s="48"/>
      <c r="H65" s="48">
        <f t="shared" si="97"/>
        <v>0</v>
      </c>
      <c r="I65" s="28"/>
      <c r="J65" s="28"/>
      <c r="K65" s="65"/>
      <c r="L65" s="48">
        <f t="shared" si="98"/>
        <v>0</v>
      </c>
      <c r="M65" s="48"/>
      <c r="N65" s="48"/>
      <c r="O65" s="48"/>
      <c r="P65" s="48">
        <f t="shared" si="99"/>
        <v>0</v>
      </c>
      <c r="Q65" s="48"/>
      <c r="R65" s="48"/>
      <c r="S65" s="48"/>
      <c r="T65" s="48">
        <f t="shared" si="100"/>
        <v>0</v>
      </c>
      <c r="U65" s="48">
        <v>0</v>
      </c>
      <c r="V65" s="48"/>
      <c r="W65" s="48"/>
      <c r="X65" s="48">
        <f t="shared" si="101"/>
        <v>0</v>
      </c>
      <c r="Y65" s="48"/>
      <c r="Z65" s="48"/>
      <c r="AA65" s="48"/>
      <c r="AB65" s="48">
        <f t="shared" si="102"/>
        <v>0</v>
      </c>
      <c r="AC65" s="48"/>
      <c r="AD65" s="48"/>
      <c r="AE65" s="48"/>
      <c r="AF65" s="48">
        <f t="shared" si="103"/>
        <v>0</v>
      </c>
      <c r="AG65" s="48"/>
      <c r="AH65" s="48"/>
      <c r="AI65" s="48"/>
      <c r="AJ65" s="48">
        <f t="shared" si="104"/>
        <v>0</v>
      </c>
      <c r="AK65" s="48"/>
      <c r="AL65" s="48"/>
      <c r="AM65" s="48"/>
      <c r="AN65" s="48">
        <f t="shared" si="105"/>
        <v>0</v>
      </c>
      <c r="AO65" s="48"/>
      <c r="AP65" s="48"/>
      <c r="AQ65" s="48"/>
      <c r="AR65" s="48">
        <f t="shared" si="106"/>
        <v>0</v>
      </c>
      <c r="AS65" s="48"/>
      <c r="AT65" s="48"/>
      <c r="AU65" s="48"/>
      <c r="AV65" s="48">
        <f t="shared" si="107"/>
        <v>0</v>
      </c>
      <c r="AW65" s="48"/>
      <c r="AX65" s="48"/>
      <c r="AY65" s="48"/>
      <c r="AZ65" s="48">
        <f t="shared" si="108"/>
        <v>0</v>
      </c>
      <c r="BA65" s="48"/>
      <c r="BB65" s="48"/>
      <c r="BC65" s="48"/>
      <c r="BD65" s="48">
        <f t="shared" si="109"/>
        <v>0</v>
      </c>
      <c r="BE65" s="48"/>
      <c r="BF65" s="48"/>
      <c r="BG65" s="48"/>
      <c r="BH65" s="48">
        <f t="shared" si="110"/>
        <v>0</v>
      </c>
      <c r="BI65" s="48"/>
      <c r="BJ65" s="48"/>
      <c r="BK65" s="48"/>
      <c r="BL65" s="48">
        <f t="shared" si="111"/>
        <v>0</v>
      </c>
      <c r="BM65" s="48"/>
      <c r="BN65" s="48"/>
      <c r="BO65" s="48"/>
      <c r="BP65" s="48">
        <f t="shared" si="112"/>
        <v>0</v>
      </c>
      <c r="BQ65" s="48"/>
      <c r="BR65" s="48"/>
      <c r="BS65" s="48"/>
      <c r="BT65" s="48">
        <f t="shared" si="113"/>
        <v>0</v>
      </c>
      <c r="BU65" s="48"/>
      <c r="BV65" s="48"/>
      <c r="BW65" s="48"/>
      <c r="BX65" s="48">
        <f t="shared" si="114"/>
        <v>0</v>
      </c>
      <c r="BY65" s="48"/>
      <c r="BZ65" s="48"/>
      <c r="CA65" s="48"/>
      <c r="CB65" s="48">
        <f t="shared" si="115"/>
        <v>0</v>
      </c>
      <c r="CC65" s="48"/>
      <c r="CD65" s="48"/>
      <c r="CE65" s="48"/>
      <c r="CF65" s="48">
        <f t="shared" si="116"/>
        <v>0</v>
      </c>
      <c r="CG65" s="48"/>
      <c r="CH65" s="48"/>
      <c r="CI65" s="48"/>
      <c r="CJ65" s="48">
        <f t="shared" si="117"/>
        <v>0</v>
      </c>
      <c r="CK65" s="48"/>
      <c r="CL65" s="48"/>
      <c r="CM65" s="48"/>
      <c r="CN65" s="48">
        <f t="shared" si="118"/>
        <v>0</v>
      </c>
      <c r="CO65" s="48"/>
      <c r="CP65" s="48"/>
      <c r="CQ65" s="48"/>
      <c r="CR65" s="48">
        <f t="shared" si="119"/>
        <v>0</v>
      </c>
      <c r="CS65" s="48"/>
      <c r="CT65" s="48"/>
      <c r="CU65" s="48"/>
      <c r="CV65" s="48">
        <f t="shared" si="120"/>
        <v>0</v>
      </c>
      <c r="CW65" s="48"/>
      <c r="CX65" s="48"/>
      <c r="CY65" s="48"/>
      <c r="CZ65" s="48">
        <f t="shared" si="121"/>
        <v>0</v>
      </c>
      <c r="DA65" s="48"/>
      <c r="DB65" s="48"/>
      <c r="DC65" s="48"/>
      <c r="DD65" s="48">
        <f t="shared" si="122"/>
        <v>0</v>
      </c>
      <c r="DE65" s="48"/>
      <c r="DF65" s="48"/>
      <c r="DG65" s="48"/>
      <c r="DH65" s="48">
        <f t="shared" si="123"/>
        <v>0</v>
      </c>
      <c r="DI65" s="48"/>
      <c r="DJ65" s="48"/>
      <c r="DK65" s="48"/>
      <c r="DL65" s="48">
        <f t="shared" si="124"/>
        <v>0</v>
      </c>
      <c r="DM65" s="48"/>
      <c r="DN65" s="48"/>
      <c r="DO65" s="48"/>
      <c r="DP65" s="48">
        <f t="shared" si="125"/>
        <v>0</v>
      </c>
      <c r="DQ65" s="48"/>
      <c r="DR65" s="48"/>
      <c r="DS65" s="48"/>
      <c r="DT65" s="48">
        <f t="shared" si="126"/>
        <v>0</v>
      </c>
      <c r="DU65" s="48"/>
      <c r="DV65" s="48"/>
      <c r="DW65" s="48"/>
      <c r="DX65" s="48">
        <f t="shared" si="127"/>
        <v>0</v>
      </c>
      <c r="DY65" s="48">
        <f t="shared" si="128"/>
        <v>0</v>
      </c>
      <c r="DZ65" s="48">
        <f t="shared" si="129"/>
        <v>0</v>
      </c>
      <c r="EA65" s="14">
        <f>D65*'MASTER SHEET'!D65</f>
        <v>0</v>
      </c>
      <c r="EB65" s="14">
        <f>H65*'MASTER SHEET'!D65</f>
        <v>0</v>
      </c>
      <c r="EC65" s="14">
        <f>L65*'MASTER SHEET'!D65</f>
        <v>0</v>
      </c>
      <c r="ED65" s="14">
        <f>P65*'MASTER SHEET'!D65</f>
        <v>0</v>
      </c>
      <c r="EE65" s="14">
        <f>T65*'MASTER SHEET'!D65</f>
        <v>0</v>
      </c>
      <c r="EF65" s="14">
        <f>X65*'MASTER SHEET'!D65</f>
        <v>0</v>
      </c>
      <c r="EG65" s="14">
        <f>AB65*'MASTER SHEET'!D65</f>
        <v>0</v>
      </c>
      <c r="EH65" s="14">
        <f>AF65*'MASTER SHEET'!D65</f>
        <v>0</v>
      </c>
      <c r="EI65" s="14">
        <f>AJ65*'MASTER SHEET'!D65</f>
        <v>0</v>
      </c>
      <c r="EJ65" s="14">
        <f>AN65*'MASTER SHEET'!D65</f>
        <v>0</v>
      </c>
      <c r="EK65" s="14">
        <f>AR65*'MASTER SHEET'!D65</f>
        <v>0</v>
      </c>
      <c r="EL65" s="14">
        <f>AV65*'MASTER SHEET'!D65</f>
        <v>0</v>
      </c>
      <c r="EM65" s="14">
        <f>AZ65*'MASTER SHEET'!D65</f>
        <v>0</v>
      </c>
      <c r="EN65" s="14">
        <f>BD65*'MASTER SHEET'!D65</f>
        <v>0</v>
      </c>
      <c r="EO65" s="14">
        <f>BH65*'MASTER SHEET'!D65</f>
        <v>0</v>
      </c>
      <c r="EP65" s="14">
        <f>BL65*'MASTER SHEET'!D65</f>
        <v>0</v>
      </c>
      <c r="EQ65" s="14">
        <f>BP65*'MASTER SHEET'!D65</f>
        <v>0</v>
      </c>
      <c r="ER65" s="14">
        <f>BT65*'MASTER SHEET'!D65</f>
        <v>0</v>
      </c>
      <c r="ES65" s="14">
        <f>BX65*'MASTER SHEET'!D65</f>
        <v>0</v>
      </c>
      <c r="ET65" s="21">
        <f>CB65*'MASTER SHEET'!D65</f>
        <v>0</v>
      </c>
      <c r="EU65" s="14">
        <f>CF65*'MASTER SHEET'!D65</f>
        <v>0</v>
      </c>
      <c r="EV65" s="14">
        <f>CJ65*'MASTER SHEET'!D65</f>
        <v>0</v>
      </c>
      <c r="EW65" s="14">
        <f>CN65*'MASTER SHEET'!D65</f>
        <v>0</v>
      </c>
      <c r="EX65" s="14">
        <f>CR65*'MASTER SHEET'!D65</f>
        <v>0</v>
      </c>
      <c r="EY65" s="14">
        <f>CR65*'MASTER SHEET'!D65</f>
        <v>0</v>
      </c>
      <c r="EZ65" s="14">
        <f>CV65*'MASTER SHEET'!D65</f>
        <v>0</v>
      </c>
      <c r="FA65" s="14">
        <f>CZ65*'MASTER SHEET'!D65</f>
        <v>0</v>
      </c>
      <c r="FB65" s="14">
        <f>DD65*'MASTER SHEET'!D65</f>
        <v>0</v>
      </c>
    </row>
    <row r="66" spans="1:158" ht="18.75" customHeight="1" x14ac:dyDescent="0.25">
      <c r="A66" s="43">
        <f>'MASTER SHEET'!A66</f>
        <v>64</v>
      </c>
      <c r="B66" s="49" t="str">
        <f>'MASTER SHEET'!B66</f>
        <v>LID HOUSING CV</v>
      </c>
      <c r="C66" s="86">
        <f>'MASTER SHEET'!C66</f>
        <v>5032459</v>
      </c>
      <c r="D66" s="51"/>
      <c r="E66" s="48"/>
      <c r="F66" s="48"/>
      <c r="G66" s="48"/>
      <c r="H66" s="48">
        <f t="shared" si="97"/>
        <v>0</v>
      </c>
      <c r="I66" s="28"/>
      <c r="J66" s="28"/>
      <c r="K66" s="65"/>
      <c r="L66" s="48">
        <f t="shared" si="98"/>
        <v>0</v>
      </c>
      <c r="M66" s="48"/>
      <c r="N66" s="48"/>
      <c r="O66" s="48"/>
      <c r="P66" s="48">
        <f t="shared" si="99"/>
        <v>0</v>
      </c>
      <c r="Q66" s="48"/>
      <c r="R66" s="48"/>
      <c r="S66" s="48"/>
      <c r="T66" s="48">
        <f t="shared" si="100"/>
        <v>0</v>
      </c>
      <c r="U66" s="48">
        <v>0</v>
      </c>
      <c r="V66" s="48"/>
      <c r="W66" s="48"/>
      <c r="X66" s="48">
        <f t="shared" si="101"/>
        <v>0</v>
      </c>
      <c r="Y66" s="48"/>
      <c r="Z66" s="48"/>
      <c r="AA66" s="48"/>
      <c r="AB66" s="48">
        <f t="shared" si="102"/>
        <v>0</v>
      </c>
      <c r="AC66" s="48"/>
      <c r="AD66" s="48"/>
      <c r="AE66" s="48"/>
      <c r="AF66" s="48">
        <f t="shared" si="103"/>
        <v>0</v>
      </c>
      <c r="AG66" s="48"/>
      <c r="AH66" s="48"/>
      <c r="AI66" s="48"/>
      <c r="AJ66" s="48">
        <f t="shared" si="104"/>
        <v>0</v>
      </c>
      <c r="AK66" s="48"/>
      <c r="AL66" s="48"/>
      <c r="AM66" s="48"/>
      <c r="AN66" s="48">
        <f t="shared" si="105"/>
        <v>0</v>
      </c>
      <c r="AO66" s="48"/>
      <c r="AP66" s="48"/>
      <c r="AQ66" s="48"/>
      <c r="AR66" s="48">
        <f t="shared" si="106"/>
        <v>0</v>
      </c>
      <c r="AS66" s="48"/>
      <c r="AT66" s="48"/>
      <c r="AU66" s="48"/>
      <c r="AV66" s="48">
        <f t="shared" si="107"/>
        <v>0</v>
      </c>
      <c r="AW66" s="48"/>
      <c r="AX66" s="48"/>
      <c r="AY66" s="48"/>
      <c r="AZ66" s="48">
        <f t="shared" si="108"/>
        <v>0</v>
      </c>
      <c r="BA66" s="48"/>
      <c r="BB66" s="48"/>
      <c r="BC66" s="48"/>
      <c r="BD66" s="48">
        <f t="shared" si="109"/>
        <v>0</v>
      </c>
      <c r="BE66" s="48"/>
      <c r="BF66" s="48"/>
      <c r="BG66" s="48"/>
      <c r="BH66" s="48">
        <f t="shared" si="110"/>
        <v>0</v>
      </c>
      <c r="BI66" s="48"/>
      <c r="BJ66" s="48"/>
      <c r="BK66" s="48"/>
      <c r="BL66" s="48">
        <f t="shared" si="111"/>
        <v>0</v>
      </c>
      <c r="BM66" s="48"/>
      <c r="BN66" s="48"/>
      <c r="BO66" s="48"/>
      <c r="BP66" s="48">
        <f t="shared" si="112"/>
        <v>0</v>
      </c>
      <c r="BQ66" s="48"/>
      <c r="BR66" s="48"/>
      <c r="BS66" s="48"/>
      <c r="BT66" s="48">
        <f t="shared" si="113"/>
        <v>0</v>
      </c>
      <c r="BU66" s="48"/>
      <c r="BV66" s="48"/>
      <c r="BW66" s="48"/>
      <c r="BX66" s="48">
        <f t="shared" si="114"/>
        <v>0</v>
      </c>
      <c r="BY66" s="48"/>
      <c r="BZ66" s="48"/>
      <c r="CA66" s="48"/>
      <c r="CB66" s="48">
        <f t="shared" si="115"/>
        <v>0</v>
      </c>
      <c r="CC66" s="48"/>
      <c r="CD66" s="48"/>
      <c r="CE66" s="48"/>
      <c r="CF66" s="48">
        <f t="shared" si="116"/>
        <v>0</v>
      </c>
      <c r="CG66" s="48"/>
      <c r="CH66" s="48"/>
      <c r="CI66" s="48"/>
      <c r="CJ66" s="48">
        <f t="shared" si="117"/>
        <v>0</v>
      </c>
      <c r="CK66" s="48"/>
      <c r="CL66" s="48"/>
      <c r="CM66" s="48"/>
      <c r="CN66" s="48">
        <f t="shared" si="118"/>
        <v>0</v>
      </c>
      <c r="CO66" s="48"/>
      <c r="CP66" s="48"/>
      <c r="CQ66" s="48"/>
      <c r="CR66" s="48">
        <f t="shared" si="119"/>
        <v>0</v>
      </c>
      <c r="CS66" s="48"/>
      <c r="CT66" s="48"/>
      <c r="CU66" s="48"/>
      <c r="CV66" s="48">
        <f t="shared" si="120"/>
        <v>0</v>
      </c>
      <c r="CW66" s="48"/>
      <c r="CX66" s="48"/>
      <c r="CY66" s="48"/>
      <c r="CZ66" s="48">
        <f t="shared" si="121"/>
        <v>0</v>
      </c>
      <c r="DA66" s="48"/>
      <c r="DB66" s="48"/>
      <c r="DC66" s="48"/>
      <c r="DD66" s="48">
        <f t="shared" si="122"/>
        <v>0</v>
      </c>
      <c r="DE66" s="48"/>
      <c r="DF66" s="48"/>
      <c r="DG66" s="48"/>
      <c r="DH66" s="48">
        <f t="shared" si="123"/>
        <v>0</v>
      </c>
      <c r="DI66" s="48"/>
      <c r="DJ66" s="48"/>
      <c r="DK66" s="48"/>
      <c r="DL66" s="48">
        <f t="shared" si="124"/>
        <v>0</v>
      </c>
      <c r="DM66" s="48"/>
      <c r="DN66" s="48"/>
      <c r="DO66" s="48"/>
      <c r="DP66" s="48">
        <f t="shared" si="125"/>
        <v>0</v>
      </c>
      <c r="DQ66" s="48"/>
      <c r="DR66" s="48"/>
      <c r="DS66" s="48"/>
      <c r="DT66" s="48">
        <f t="shared" si="126"/>
        <v>0</v>
      </c>
      <c r="DU66" s="48"/>
      <c r="DV66" s="48"/>
      <c r="DW66" s="48"/>
      <c r="DX66" s="48">
        <f t="shared" si="127"/>
        <v>0</v>
      </c>
      <c r="DY66" s="48">
        <f t="shared" si="128"/>
        <v>0</v>
      </c>
      <c r="DZ66" s="48">
        <f t="shared" si="129"/>
        <v>0</v>
      </c>
      <c r="EA66" s="14">
        <f>D66*'MASTER SHEET'!D66</f>
        <v>0</v>
      </c>
      <c r="EB66" s="14">
        <f>H66*'MASTER SHEET'!D66</f>
        <v>0</v>
      </c>
      <c r="EC66" s="14">
        <f>L66*'MASTER SHEET'!D66</f>
        <v>0</v>
      </c>
      <c r="ED66" s="14">
        <f>P66*'MASTER SHEET'!D66</f>
        <v>0</v>
      </c>
      <c r="EE66" s="14">
        <f>T66*'MASTER SHEET'!D66</f>
        <v>0</v>
      </c>
      <c r="EF66" s="14">
        <f>X66*'MASTER SHEET'!D66</f>
        <v>0</v>
      </c>
      <c r="EG66" s="14">
        <f>AB66*'MASTER SHEET'!D66</f>
        <v>0</v>
      </c>
      <c r="EH66" s="14">
        <f>AF66*'MASTER SHEET'!D66</f>
        <v>0</v>
      </c>
      <c r="EI66" s="14">
        <f>AJ66*'MASTER SHEET'!D66</f>
        <v>0</v>
      </c>
      <c r="EJ66" s="14">
        <f>AN66*'MASTER SHEET'!D66</f>
        <v>0</v>
      </c>
      <c r="EK66" s="14">
        <f>AR66*'MASTER SHEET'!D66</f>
        <v>0</v>
      </c>
      <c r="EL66" s="14">
        <f>AV66*'MASTER SHEET'!D66</f>
        <v>0</v>
      </c>
      <c r="EM66" s="14">
        <f>AZ66*'MASTER SHEET'!D66</f>
        <v>0</v>
      </c>
      <c r="EN66" s="14">
        <f>BD66*'MASTER SHEET'!D66</f>
        <v>0</v>
      </c>
      <c r="EO66" s="14">
        <f>BH66*'MASTER SHEET'!D66</f>
        <v>0</v>
      </c>
      <c r="EP66" s="14">
        <f>BL66*'MASTER SHEET'!D66</f>
        <v>0</v>
      </c>
      <c r="EQ66" s="14">
        <f>BP66*'MASTER SHEET'!D66</f>
        <v>0</v>
      </c>
      <c r="ER66" s="14">
        <f>BT66*'MASTER SHEET'!D66</f>
        <v>0</v>
      </c>
      <c r="ES66" s="14">
        <f>BX66*'MASTER SHEET'!D66</f>
        <v>0</v>
      </c>
      <c r="ET66" s="21">
        <f>CB66*'MASTER SHEET'!D66</f>
        <v>0</v>
      </c>
      <c r="EU66" s="14">
        <f>CF66*'MASTER SHEET'!D66</f>
        <v>0</v>
      </c>
      <c r="EV66" s="14">
        <f>CJ66*'MASTER SHEET'!D66</f>
        <v>0</v>
      </c>
      <c r="EW66" s="14">
        <f>CN66*'MASTER SHEET'!D66</f>
        <v>0</v>
      </c>
      <c r="EX66" s="14">
        <f>CR66*'MASTER SHEET'!D66</f>
        <v>0</v>
      </c>
      <c r="EY66" s="14">
        <f>CR66*'MASTER SHEET'!D66</f>
        <v>0</v>
      </c>
      <c r="EZ66" s="14">
        <f>CV66*'MASTER SHEET'!D66</f>
        <v>0</v>
      </c>
      <c r="FA66" s="14">
        <f>CZ66*'MASTER SHEET'!D66</f>
        <v>0</v>
      </c>
      <c r="FB66" s="14">
        <f>DD66*'MASTER SHEET'!D66</f>
        <v>0</v>
      </c>
    </row>
    <row r="67" spans="1:158" ht="18.75" customHeight="1" x14ac:dyDescent="0.25">
      <c r="A67" s="43">
        <f>'MASTER SHEET'!A67</f>
        <v>65</v>
      </c>
      <c r="B67" s="49" t="str">
        <f>'MASTER SHEET'!B67</f>
        <v>MBP PIPE</v>
      </c>
      <c r="C67" s="86">
        <f>'MASTER SHEET'!C67</f>
        <v>5032473</v>
      </c>
      <c r="D67" s="51"/>
      <c r="E67" s="48"/>
      <c r="F67" s="48"/>
      <c r="G67" s="48"/>
      <c r="H67" s="48">
        <f t="shared" si="97"/>
        <v>0</v>
      </c>
      <c r="I67" s="28"/>
      <c r="J67" s="28"/>
      <c r="K67" s="65"/>
      <c r="L67" s="48">
        <f t="shared" si="98"/>
        <v>0</v>
      </c>
      <c r="M67" s="48"/>
      <c r="N67" s="48"/>
      <c r="O67" s="48"/>
      <c r="P67" s="48">
        <f t="shared" si="99"/>
        <v>0</v>
      </c>
      <c r="Q67" s="48"/>
      <c r="R67" s="48"/>
      <c r="S67" s="48"/>
      <c r="T67" s="48">
        <f t="shared" si="100"/>
        <v>0</v>
      </c>
      <c r="U67" s="48">
        <v>0</v>
      </c>
      <c r="V67" s="48"/>
      <c r="W67" s="48"/>
      <c r="X67" s="48">
        <f t="shared" si="101"/>
        <v>0</v>
      </c>
      <c r="Y67" s="48"/>
      <c r="Z67" s="48"/>
      <c r="AA67" s="48"/>
      <c r="AB67" s="48">
        <f t="shared" si="102"/>
        <v>0</v>
      </c>
      <c r="AC67" s="48"/>
      <c r="AD67" s="48"/>
      <c r="AE67" s="48"/>
      <c r="AF67" s="48">
        <f t="shared" si="103"/>
        <v>0</v>
      </c>
      <c r="AG67" s="48"/>
      <c r="AH67" s="48"/>
      <c r="AI67" s="48"/>
      <c r="AJ67" s="48">
        <f t="shared" si="104"/>
        <v>0</v>
      </c>
      <c r="AK67" s="48"/>
      <c r="AL67" s="48"/>
      <c r="AM67" s="48"/>
      <c r="AN67" s="48">
        <f t="shared" si="105"/>
        <v>0</v>
      </c>
      <c r="AO67" s="48"/>
      <c r="AP67" s="48"/>
      <c r="AQ67" s="48"/>
      <c r="AR67" s="48">
        <f t="shared" si="106"/>
        <v>0</v>
      </c>
      <c r="AS67" s="48"/>
      <c r="AT67" s="48"/>
      <c r="AU67" s="48"/>
      <c r="AV67" s="48">
        <f t="shared" si="107"/>
        <v>0</v>
      </c>
      <c r="AW67" s="48"/>
      <c r="AX67" s="48"/>
      <c r="AY67" s="48"/>
      <c r="AZ67" s="48">
        <f t="shared" si="108"/>
        <v>0</v>
      </c>
      <c r="BA67" s="48"/>
      <c r="BB67" s="48"/>
      <c r="BC67" s="48"/>
      <c r="BD67" s="48">
        <f t="shared" si="109"/>
        <v>0</v>
      </c>
      <c r="BE67" s="48"/>
      <c r="BF67" s="48"/>
      <c r="BG67" s="48"/>
      <c r="BH67" s="48">
        <f t="shared" si="110"/>
        <v>0</v>
      </c>
      <c r="BI67" s="48"/>
      <c r="BJ67" s="48"/>
      <c r="BK67" s="48"/>
      <c r="BL67" s="48">
        <f t="shared" si="111"/>
        <v>0</v>
      </c>
      <c r="BM67" s="48"/>
      <c r="BN67" s="48"/>
      <c r="BO67" s="48"/>
      <c r="BP67" s="48">
        <f t="shared" si="112"/>
        <v>0</v>
      </c>
      <c r="BQ67" s="48"/>
      <c r="BR67" s="48"/>
      <c r="BS67" s="48"/>
      <c r="BT67" s="48">
        <f t="shared" si="113"/>
        <v>0</v>
      </c>
      <c r="BU67" s="48"/>
      <c r="BV67" s="48"/>
      <c r="BW67" s="48"/>
      <c r="BX67" s="48">
        <f t="shared" si="114"/>
        <v>0</v>
      </c>
      <c r="BY67" s="48"/>
      <c r="BZ67" s="48"/>
      <c r="CA67" s="48"/>
      <c r="CB67" s="48">
        <f t="shared" si="115"/>
        <v>0</v>
      </c>
      <c r="CC67" s="48"/>
      <c r="CD67" s="48"/>
      <c r="CE67" s="48"/>
      <c r="CF67" s="48">
        <f t="shared" si="116"/>
        <v>0</v>
      </c>
      <c r="CG67" s="48"/>
      <c r="CH67" s="48"/>
      <c r="CI67" s="48"/>
      <c r="CJ67" s="48">
        <f t="shared" si="117"/>
        <v>0</v>
      </c>
      <c r="CK67" s="48"/>
      <c r="CL67" s="48"/>
      <c r="CM67" s="48"/>
      <c r="CN67" s="48">
        <f t="shared" si="118"/>
        <v>0</v>
      </c>
      <c r="CO67" s="48"/>
      <c r="CP67" s="48"/>
      <c r="CQ67" s="48"/>
      <c r="CR67" s="48">
        <f t="shared" si="119"/>
        <v>0</v>
      </c>
      <c r="CS67" s="48"/>
      <c r="CT67" s="48"/>
      <c r="CU67" s="48"/>
      <c r="CV67" s="48">
        <f t="shared" si="120"/>
        <v>0</v>
      </c>
      <c r="CW67" s="48"/>
      <c r="CX67" s="48"/>
      <c r="CY67" s="48"/>
      <c r="CZ67" s="48">
        <f t="shared" si="121"/>
        <v>0</v>
      </c>
      <c r="DA67" s="48"/>
      <c r="DB67" s="48"/>
      <c r="DC67" s="48"/>
      <c r="DD67" s="48">
        <f t="shared" si="122"/>
        <v>0</v>
      </c>
      <c r="DE67" s="48"/>
      <c r="DF67" s="48"/>
      <c r="DG67" s="48"/>
      <c r="DH67" s="48">
        <f t="shared" si="123"/>
        <v>0</v>
      </c>
      <c r="DI67" s="48"/>
      <c r="DJ67" s="48"/>
      <c r="DK67" s="48"/>
      <c r="DL67" s="48">
        <f t="shared" si="124"/>
        <v>0</v>
      </c>
      <c r="DM67" s="48"/>
      <c r="DN67" s="48"/>
      <c r="DO67" s="48"/>
      <c r="DP67" s="48">
        <f t="shared" si="125"/>
        <v>0</v>
      </c>
      <c r="DQ67" s="48"/>
      <c r="DR67" s="48"/>
      <c r="DS67" s="48"/>
      <c r="DT67" s="48">
        <f t="shared" si="126"/>
        <v>0</v>
      </c>
      <c r="DU67" s="48"/>
      <c r="DV67" s="48"/>
      <c r="DW67" s="48"/>
      <c r="DX67" s="48">
        <f t="shared" si="127"/>
        <v>0</v>
      </c>
      <c r="DY67" s="48">
        <f t="shared" si="128"/>
        <v>0</v>
      </c>
      <c r="DZ67" s="48">
        <f t="shared" si="129"/>
        <v>0</v>
      </c>
      <c r="EA67" s="14">
        <f>D67*'MASTER SHEET'!D67</f>
        <v>0</v>
      </c>
      <c r="EB67" s="14">
        <f>H67*'MASTER SHEET'!D67</f>
        <v>0</v>
      </c>
      <c r="EC67" s="14">
        <f>L67*'MASTER SHEET'!D67</f>
        <v>0</v>
      </c>
      <c r="ED67" s="14">
        <f>P67*'MASTER SHEET'!D67</f>
        <v>0</v>
      </c>
      <c r="EE67" s="14">
        <f>T67*'MASTER SHEET'!D67</f>
        <v>0</v>
      </c>
      <c r="EF67" s="14">
        <f>X67*'MASTER SHEET'!D67</f>
        <v>0</v>
      </c>
      <c r="EG67" s="14">
        <f>AB67*'MASTER SHEET'!D67</f>
        <v>0</v>
      </c>
      <c r="EH67" s="14">
        <f>AF67*'MASTER SHEET'!D67</f>
        <v>0</v>
      </c>
      <c r="EI67" s="14">
        <f>AJ67*'MASTER SHEET'!D67</f>
        <v>0</v>
      </c>
      <c r="EJ67" s="14">
        <f>AN67*'MASTER SHEET'!D67</f>
        <v>0</v>
      </c>
      <c r="EK67" s="14">
        <f>AR67*'MASTER SHEET'!D67</f>
        <v>0</v>
      </c>
      <c r="EL67" s="14">
        <f>AV67*'MASTER SHEET'!D67</f>
        <v>0</v>
      </c>
      <c r="EM67" s="14">
        <f>AZ67*'MASTER SHEET'!D67</f>
        <v>0</v>
      </c>
      <c r="EN67" s="14">
        <f>BD67*'MASTER SHEET'!D67</f>
        <v>0</v>
      </c>
      <c r="EO67" s="14">
        <f>BH67*'MASTER SHEET'!D67</f>
        <v>0</v>
      </c>
      <c r="EP67" s="14">
        <f>BL67*'MASTER SHEET'!D67</f>
        <v>0</v>
      </c>
      <c r="EQ67" s="14">
        <f>BP67*'MASTER SHEET'!D67</f>
        <v>0</v>
      </c>
      <c r="ER67" s="14">
        <f>BT67*'MASTER SHEET'!D67</f>
        <v>0</v>
      </c>
      <c r="ES67" s="14">
        <f>BX67*'MASTER SHEET'!D67</f>
        <v>0</v>
      </c>
      <c r="ET67" s="21">
        <f>CB67*'MASTER SHEET'!D67</f>
        <v>0</v>
      </c>
      <c r="EU67" s="14">
        <f>CF67*'MASTER SHEET'!D67</f>
        <v>0</v>
      </c>
      <c r="EV67" s="14">
        <f>CJ67*'MASTER SHEET'!D67</f>
        <v>0</v>
      </c>
      <c r="EW67" s="14">
        <f>CN67*'MASTER SHEET'!D67</f>
        <v>0</v>
      </c>
      <c r="EX67" s="14">
        <f>CR67*'MASTER SHEET'!D67</f>
        <v>0</v>
      </c>
      <c r="EY67" s="14">
        <f>CR67*'MASTER SHEET'!D67</f>
        <v>0</v>
      </c>
      <c r="EZ67" s="14">
        <f>CV67*'MASTER SHEET'!D67</f>
        <v>0</v>
      </c>
      <c r="FA67" s="14">
        <f>CZ67*'MASTER SHEET'!D67</f>
        <v>0</v>
      </c>
      <c r="FB67" s="14">
        <f>DD67*'MASTER SHEET'!D67</f>
        <v>0</v>
      </c>
    </row>
    <row r="68" spans="1:158" ht="18.75" customHeight="1" x14ac:dyDescent="0.25">
      <c r="A68" s="43">
        <f>'MASTER SHEET'!A68</f>
        <v>66</v>
      </c>
      <c r="B68" s="49" t="str">
        <f>'MASTER SHEET'!B68</f>
        <v>BASE HOUSING</v>
      </c>
      <c r="C68" s="86">
        <f>'MASTER SHEET'!C68</f>
        <v>5034048</v>
      </c>
      <c r="D68" s="51"/>
      <c r="E68" s="48">
        <v>0</v>
      </c>
      <c r="F68" s="48">
        <v>0</v>
      </c>
      <c r="G68" s="48">
        <v>0</v>
      </c>
      <c r="H68" s="48">
        <f t="shared" si="97"/>
        <v>0</v>
      </c>
      <c r="I68" s="28">
        <v>0</v>
      </c>
      <c r="J68" s="28">
        <v>0</v>
      </c>
      <c r="K68" s="65">
        <v>0</v>
      </c>
      <c r="L68" s="48">
        <f t="shared" si="98"/>
        <v>0</v>
      </c>
      <c r="M68" s="48"/>
      <c r="N68" s="48"/>
      <c r="O68" s="48"/>
      <c r="P68" s="48">
        <f t="shared" si="99"/>
        <v>0</v>
      </c>
      <c r="Q68" s="48">
        <v>0</v>
      </c>
      <c r="R68" s="48">
        <v>0</v>
      </c>
      <c r="S68" s="48">
        <v>0</v>
      </c>
      <c r="T68" s="48">
        <f t="shared" si="100"/>
        <v>0</v>
      </c>
      <c r="U68" s="48">
        <v>0</v>
      </c>
      <c r="V68" s="48"/>
      <c r="W68" s="48"/>
      <c r="X68" s="48">
        <f t="shared" si="101"/>
        <v>0</v>
      </c>
      <c r="Y68" s="48">
        <v>0</v>
      </c>
      <c r="Z68" s="48">
        <v>0</v>
      </c>
      <c r="AA68" s="48">
        <v>0</v>
      </c>
      <c r="AB68" s="48">
        <f t="shared" si="102"/>
        <v>0</v>
      </c>
      <c r="AC68" s="48">
        <v>0</v>
      </c>
      <c r="AD68" s="48">
        <v>0</v>
      </c>
      <c r="AE68" s="48">
        <v>0</v>
      </c>
      <c r="AF68" s="48">
        <f t="shared" si="103"/>
        <v>0</v>
      </c>
      <c r="AG68" s="48">
        <v>0</v>
      </c>
      <c r="AH68" s="48">
        <v>0</v>
      </c>
      <c r="AI68" s="48">
        <v>0</v>
      </c>
      <c r="AJ68" s="48">
        <f t="shared" si="104"/>
        <v>0</v>
      </c>
      <c r="AK68" s="48">
        <v>0</v>
      </c>
      <c r="AL68" s="48">
        <v>0</v>
      </c>
      <c r="AM68" s="48">
        <v>0</v>
      </c>
      <c r="AN68" s="48">
        <f t="shared" si="105"/>
        <v>0</v>
      </c>
      <c r="AO68" s="48">
        <v>0</v>
      </c>
      <c r="AP68" s="48">
        <v>0</v>
      </c>
      <c r="AQ68" s="48">
        <v>0</v>
      </c>
      <c r="AR68" s="48">
        <f t="shared" si="106"/>
        <v>0</v>
      </c>
      <c r="AS68" s="48">
        <v>0</v>
      </c>
      <c r="AT68" s="48">
        <v>0</v>
      </c>
      <c r="AU68" s="48">
        <v>0</v>
      </c>
      <c r="AV68" s="48">
        <f t="shared" si="107"/>
        <v>0</v>
      </c>
      <c r="AW68" s="48">
        <v>0</v>
      </c>
      <c r="AX68" s="48">
        <v>0</v>
      </c>
      <c r="AY68" s="48">
        <v>0</v>
      </c>
      <c r="AZ68" s="48">
        <f t="shared" si="108"/>
        <v>0</v>
      </c>
      <c r="BA68" s="48">
        <v>0</v>
      </c>
      <c r="BB68" s="48">
        <v>0</v>
      </c>
      <c r="BC68" s="48">
        <v>0</v>
      </c>
      <c r="BD68" s="48">
        <f t="shared" si="109"/>
        <v>0</v>
      </c>
      <c r="BE68" s="48">
        <v>0</v>
      </c>
      <c r="BF68" s="48">
        <v>0</v>
      </c>
      <c r="BG68" s="48">
        <v>0</v>
      </c>
      <c r="BH68" s="48">
        <f t="shared" si="110"/>
        <v>0</v>
      </c>
      <c r="BI68" s="48">
        <v>0</v>
      </c>
      <c r="BJ68" s="48">
        <v>0</v>
      </c>
      <c r="BK68" s="48">
        <v>0</v>
      </c>
      <c r="BL68" s="48">
        <f t="shared" si="111"/>
        <v>0</v>
      </c>
      <c r="BM68" s="48">
        <v>0</v>
      </c>
      <c r="BN68" s="48">
        <v>0</v>
      </c>
      <c r="BO68" s="48">
        <v>0</v>
      </c>
      <c r="BP68" s="48">
        <f t="shared" si="112"/>
        <v>0</v>
      </c>
      <c r="BQ68" s="48">
        <v>0</v>
      </c>
      <c r="BR68" s="48">
        <v>0</v>
      </c>
      <c r="BS68" s="48">
        <v>0</v>
      </c>
      <c r="BT68" s="48">
        <f t="shared" si="113"/>
        <v>0</v>
      </c>
      <c r="BU68" s="48">
        <v>0</v>
      </c>
      <c r="BV68" s="48">
        <v>0</v>
      </c>
      <c r="BW68" s="48">
        <v>0</v>
      </c>
      <c r="BX68" s="48">
        <f t="shared" si="114"/>
        <v>0</v>
      </c>
      <c r="BY68" s="48"/>
      <c r="BZ68" s="48"/>
      <c r="CA68" s="48"/>
      <c r="CB68" s="48">
        <f t="shared" si="115"/>
        <v>0</v>
      </c>
      <c r="CC68" s="48">
        <v>0</v>
      </c>
      <c r="CD68" s="48">
        <v>0</v>
      </c>
      <c r="CE68" s="48">
        <v>0</v>
      </c>
      <c r="CF68" s="48">
        <f t="shared" si="116"/>
        <v>0</v>
      </c>
      <c r="CG68" s="48">
        <v>0</v>
      </c>
      <c r="CH68" s="48">
        <v>0</v>
      </c>
      <c r="CI68" s="48">
        <v>0</v>
      </c>
      <c r="CJ68" s="48">
        <f t="shared" si="117"/>
        <v>0</v>
      </c>
      <c r="CK68" s="48"/>
      <c r="CL68" s="48"/>
      <c r="CM68" s="48"/>
      <c r="CN68" s="48">
        <f t="shared" si="118"/>
        <v>0</v>
      </c>
      <c r="CO68" s="48">
        <v>0</v>
      </c>
      <c r="CP68" s="48">
        <v>0</v>
      </c>
      <c r="CQ68" s="48">
        <v>0</v>
      </c>
      <c r="CR68" s="48">
        <f t="shared" si="119"/>
        <v>0</v>
      </c>
      <c r="CS68" s="48">
        <v>0</v>
      </c>
      <c r="CT68" s="48">
        <v>0</v>
      </c>
      <c r="CU68" s="48">
        <v>0</v>
      </c>
      <c r="CV68" s="48">
        <f t="shared" si="120"/>
        <v>0</v>
      </c>
      <c r="CW68" s="48">
        <v>0</v>
      </c>
      <c r="CX68" s="48">
        <v>0</v>
      </c>
      <c r="CY68" s="48">
        <v>0</v>
      </c>
      <c r="CZ68" s="48">
        <f t="shared" si="121"/>
        <v>0</v>
      </c>
      <c r="DA68" s="48"/>
      <c r="DB68" s="48"/>
      <c r="DC68" s="48"/>
      <c r="DD68" s="48">
        <f t="shared" si="122"/>
        <v>0</v>
      </c>
      <c r="DE68" s="48">
        <v>0</v>
      </c>
      <c r="DF68" s="48">
        <v>0</v>
      </c>
      <c r="DG68" s="48">
        <v>0</v>
      </c>
      <c r="DH68" s="48">
        <f t="shared" si="123"/>
        <v>0</v>
      </c>
      <c r="DI68" s="48">
        <v>0</v>
      </c>
      <c r="DJ68" s="48">
        <v>0</v>
      </c>
      <c r="DK68" s="48">
        <v>0</v>
      </c>
      <c r="DL68" s="48">
        <f t="shared" si="124"/>
        <v>0</v>
      </c>
      <c r="DM68" s="48">
        <v>0</v>
      </c>
      <c r="DN68" s="48">
        <v>0</v>
      </c>
      <c r="DO68" s="48">
        <v>0</v>
      </c>
      <c r="DP68" s="48">
        <f t="shared" si="125"/>
        <v>0</v>
      </c>
      <c r="DQ68" s="48"/>
      <c r="DR68" s="48"/>
      <c r="DS68" s="48"/>
      <c r="DT68" s="48">
        <f t="shared" si="126"/>
        <v>0</v>
      </c>
      <c r="DU68" s="48"/>
      <c r="DV68" s="48"/>
      <c r="DW68" s="48"/>
      <c r="DX68" s="48">
        <f t="shared" si="127"/>
        <v>0</v>
      </c>
      <c r="DY68" s="48">
        <f t="shared" si="128"/>
        <v>0</v>
      </c>
      <c r="DZ68" s="48">
        <f t="shared" si="129"/>
        <v>0</v>
      </c>
      <c r="EA68" s="14">
        <f>D68*'MASTER SHEET'!D68</f>
        <v>0</v>
      </c>
      <c r="EB68" s="14">
        <f>H68*'MASTER SHEET'!D68</f>
        <v>0</v>
      </c>
      <c r="EC68" s="14">
        <f>L68*'MASTER SHEET'!D68</f>
        <v>0</v>
      </c>
      <c r="ED68" s="14">
        <f>P68*'MASTER SHEET'!D68</f>
        <v>0</v>
      </c>
      <c r="EE68" s="14">
        <f>T68*'MASTER SHEET'!D68</f>
        <v>0</v>
      </c>
      <c r="EF68" s="14">
        <f>X68*'MASTER SHEET'!D68</f>
        <v>0</v>
      </c>
      <c r="EG68" s="14">
        <f>AB68*'MASTER SHEET'!D68</f>
        <v>0</v>
      </c>
      <c r="EH68" s="14">
        <f>AF68*'MASTER SHEET'!D68</f>
        <v>0</v>
      </c>
      <c r="EI68" s="14">
        <f>AJ68*'MASTER SHEET'!D68</f>
        <v>0</v>
      </c>
      <c r="EJ68" s="14">
        <f>AN68*'MASTER SHEET'!D68</f>
        <v>0</v>
      </c>
      <c r="EK68" s="14">
        <f>AR68*'MASTER SHEET'!D68</f>
        <v>0</v>
      </c>
      <c r="EL68" s="14">
        <f>AV68*'MASTER SHEET'!D68</f>
        <v>0</v>
      </c>
      <c r="EM68" s="14">
        <f>AZ68*'MASTER SHEET'!D68</f>
        <v>0</v>
      </c>
      <c r="EN68" s="14">
        <f>BD68*'MASTER SHEET'!D68</f>
        <v>0</v>
      </c>
      <c r="EO68" s="14">
        <f>BH68*'MASTER SHEET'!D68</f>
        <v>0</v>
      </c>
      <c r="EP68" s="14">
        <f>BL68*'MASTER SHEET'!D68</f>
        <v>0</v>
      </c>
      <c r="EQ68" s="14">
        <f>BP68*'MASTER SHEET'!D68</f>
        <v>0</v>
      </c>
      <c r="ER68" s="14">
        <f>BT68*'MASTER SHEET'!D68</f>
        <v>0</v>
      </c>
      <c r="ES68" s="14">
        <f>BX68*'MASTER SHEET'!D68</f>
        <v>0</v>
      </c>
      <c r="ET68" s="21">
        <f>CB68*'MASTER SHEET'!D68</f>
        <v>0</v>
      </c>
      <c r="EU68" s="14">
        <f>CF68*'MASTER SHEET'!D68</f>
        <v>0</v>
      </c>
      <c r="EV68" s="14">
        <f>CJ68*'MASTER SHEET'!D68</f>
        <v>0</v>
      </c>
      <c r="EW68" s="14">
        <f>CN68*'MASTER SHEET'!D68</f>
        <v>0</v>
      </c>
      <c r="EX68" s="14">
        <f>CR68*'MASTER SHEET'!D68</f>
        <v>0</v>
      </c>
      <c r="EY68" s="14">
        <f>CR68*'MASTER SHEET'!D68</f>
        <v>0</v>
      </c>
      <c r="EZ68" s="14">
        <f>CV68*'MASTER SHEET'!D68</f>
        <v>0</v>
      </c>
      <c r="FA68" s="14">
        <f>CZ68*'MASTER SHEET'!D68</f>
        <v>0</v>
      </c>
      <c r="FB68" s="14">
        <f>DD68*'MASTER SHEET'!D68</f>
        <v>0</v>
      </c>
    </row>
    <row r="69" spans="1:158" ht="18.75" customHeight="1" x14ac:dyDescent="0.25">
      <c r="A69" s="43">
        <f>'MASTER SHEET'!A69</f>
        <v>67</v>
      </c>
      <c r="B69" s="49" t="str">
        <f>'MASTER SHEET'!B69</f>
        <v>BASE HOUSING</v>
      </c>
      <c r="C69" s="86">
        <f>'MASTER SHEET'!C69</f>
        <v>5034683</v>
      </c>
      <c r="D69" s="51"/>
      <c r="E69" s="48">
        <v>0</v>
      </c>
      <c r="F69" s="48">
        <v>0</v>
      </c>
      <c r="G69" s="48">
        <v>0</v>
      </c>
      <c r="H69" s="48">
        <f t="shared" si="97"/>
        <v>0</v>
      </c>
      <c r="I69" s="28">
        <v>0</v>
      </c>
      <c r="J69" s="28">
        <v>0</v>
      </c>
      <c r="K69" s="65">
        <v>0</v>
      </c>
      <c r="L69" s="48">
        <f t="shared" si="98"/>
        <v>0</v>
      </c>
      <c r="M69" s="48"/>
      <c r="N69" s="48"/>
      <c r="O69" s="48"/>
      <c r="P69" s="48">
        <f t="shared" si="99"/>
        <v>0</v>
      </c>
      <c r="Q69" s="48">
        <v>0</v>
      </c>
      <c r="R69" s="48">
        <v>0</v>
      </c>
      <c r="S69" s="48">
        <v>0</v>
      </c>
      <c r="T69" s="48">
        <f t="shared" si="100"/>
        <v>0</v>
      </c>
      <c r="U69" s="48">
        <v>0</v>
      </c>
      <c r="V69" s="48"/>
      <c r="W69" s="48"/>
      <c r="X69" s="48">
        <f t="shared" si="101"/>
        <v>0</v>
      </c>
      <c r="Y69" s="48">
        <v>0</v>
      </c>
      <c r="Z69" s="48">
        <v>0</v>
      </c>
      <c r="AA69" s="48">
        <v>0</v>
      </c>
      <c r="AB69" s="48">
        <f t="shared" si="102"/>
        <v>0</v>
      </c>
      <c r="AC69" s="48">
        <v>0</v>
      </c>
      <c r="AD69" s="48">
        <v>0</v>
      </c>
      <c r="AE69" s="48">
        <v>0</v>
      </c>
      <c r="AF69" s="48">
        <f t="shared" si="103"/>
        <v>0</v>
      </c>
      <c r="AG69" s="48">
        <v>0</v>
      </c>
      <c r="AH69" s="48">
        <v>0</v>
      </c>
      <c r="AI69" s="48">
        <v>0</v>
      </c>
      <c r="AJ69" s="48">
        <f t="shared" si="104"/>
        <v>0</v>
      </c>
      <c r="AK69" s="48">
        <v>0</v>
      </c>
      <c r="AL69" s="48">
        <v>0</v>
      </c>
      <c r="AM69" s="48">
        <v>0</v>
      </c>
      <c r="AN69" s="48">
        <f t="shared" si="105"/>
        <v>0</v>
      </c>
      <c r="AO69" s="48"/>
      <c r="AP69" s="48"/>
      <c r="AQ69" s="48"/>
      <c r="AR69" s="48">
        <f t="shared" si="106"/>
        <v>0</v>
      </c>
      <c r="AS69" s="48"/>
      <c r="AT69" s="48"/>
      <c r="AU69" s="48"/>
      <c r="AV69" s="48">
        <f t="shared" si="107"/>
        <v>0</v>
      </c>
      <c r="AW69" s="48"/>
      <c r="AX69" s="48"/>
      <c r="AY69" s="48"/>
      <c r="AZ69" s="48">
        <f t="shared" si="108"/>
        <v>0</v>
      </c>
      <c r="BA69" s="48"/>
      <c r="BB69" s="48"/>
      <c r="BC69" s="48"/>
      <c r="BD69" s="48">
        <f t="shared" si="109"/>
        <v>0</v>
      </c>
      <c r="BE69" s="48"/>
      <c r="BF69" s="48"/>
      <c r="BG69" s="48"/>
      <c r="BH69" s="48">
        <f t="shared" si="110"/>
        <v>0</v>
      </c>
      <c r="BI69" s="48"/>
      <c r="BJ69" s="48"/>
      <c r="BK69" s="48"/>
      <c r="BL69" s="48">
        <f t="shared" si="111"/>
        <v>0</v>
      </c>
      <c r="BM69" s="48"/>
      <c r="BN69" s="48"/>
      <c r="BO69" s="48"/>
      <c r="BP69" s="48">
        <f t="shared" si="112"/>
        <v>0</v>
      </c>
      <c r="BQ69" s="48"/>
      <c r="BR69" s="48"/>
      <c r="BS69" s="48"/>
      <c r="BT69" s="48">
        <f t="shared" si="113"/>
        <v>0</v>
      </c>
      <c r="BU69" s="48"/>
      <c r="BV69" s="48"/>
      <c r="BW69" s="48"/>
      <c r="BX69" s="48">
        <f t="shared" si="114"/>
        <v>0</v>
      </c>
      <c r="BY69" s="48"/>
      <c r="BZ69" s="48"/>
      <c r="CA69" s="48"/>
      <c r="CB69" s="48">
        <f t="shared" si="115"/>
        <v>0</v>
      </c>
      <c r="CC69" s="48">
        <v>0</v>
      </c>
      <c r="CD69" s="48">
        <v>0</v>
      </c>
      <c r="CE69" s="48">
        <v>0</v>
      </c>
      <c r="CF69" s="48">
        <f t="shared" si="116"/>
        <v>0</v>
      </c>
      <c r="CG69" s="48">
        <v>0</v>
      </c>
      <c r="CH69" s="48">
        <v>0</v>
      </c>
      <c r="CI69" s="48">
        <v>0</v>
      </c>
      <c r="CJ69" s="48">
        <f t="shared" si="117"/>
        <v>0</v>
      </c>
      <c r="CK69" s="48"/>
      <c r="CL69" s="48"/>
      <c r="CM69" s="48"/>
      <c r="CN69" s="48">
        <f t="shared" si="118"/>
        <v>0</v>
      </c>
      <c r="CO69" s="48">
        <v>0</v>
      </c>
      <c r="CP69" s="48">
        <v>0</v>
      </c>
      <c r="CQ69" s="48">
        <v>0</v>
      </c>
      <c r="CR69" s="48">
        <f t="shared" si="119"/>
        <v>0</v>
      </c>
      <c r="CS69" s="48">
        <v>0</v>
      </c>
      <c r="CT69" s="48">
        <v>0</v>
      </c>
      <c r="CU69" s="48">
        <v>0</v>
      </c>
      <c r="CV69" s="48">
        <f t="shared" si="120"/>
        <v>0</v>
      </c>
      <c r="CW69" s="48">
        <v>0</v>
      </c>
      <c r="CX69" s="48">
        <v>0</v>
      </c>
      <c r="CY69" s="48">
        <v>0</v>
      </c>
      <c r="CZ69" s="48">
        <f t="shared" si="121"/>
        <v>0</v>
      </c>
      <c r="DA69" s="48"/>
      <c r="DB69" s="48"/>
      <c r="DC69" s="48"/>
      <c r="DD69" s="48">
        <f t="shared" si="122"/>
        <v>0</v>
      </c>
      <c r="DE69" s="48">
        <v>0</v>
      </c>
      <c r="DF69" s="48">
        <v>0</v>
      </c>
      <c r="DG69" s="48">
        <v>0</v>
      </c>
      <c r="DH69" s="48">
        <f t="shared" si="123"/>
        <v>0</v>
      </c>
      <c r="DI69" s="48">
        <v>0</v>
      </c>
      <c r="DJ69" s="48">
        <v>0</v>
      </c>
      <c r="DK69" s="48">
        <v>0</v>
      </c>
      <c r="DL69" s="48">
        <f t="shared" si="124"/>
        <v>0</v>
      </c>
      <c r="DM69" s="48">
        <v>0</v>
      </c>
      <c r="DN69" s="48">
        <v>0</v>
      </c>
      <c r="DO69" s="48">
        <v>0</v>
      </c>
      <c r="DP69" s="48">
        <f t="shared" si="125"/>
        <v>0</v>
      </c>
      <c r="DQ69" s="48"/>
      <c r="DR69" s="48"/>
      <c r="DS69" s="48"/>
      <c r="DT69" s="48">
        <f t="shared" si="126"/>
        <v>0</v>
      </c>
      <c r="DU69" s="48"/>
      <c r="DV69" s="48"/>
      <c r="DW69" s="48"/>
      <c r="DX69" s="48">
        <f t="shared" si="127"/>
        <v>0</v>
      </c>
      <c r="DY69" s="48">
        <f t="shared" si="128"/>
        <v>0</v>
      </c>
      <c r="DZ69" s="48">
        <f t="shared" si="129"/>
        <v>0</v>
      </c>
      <c r="EA69" s="14">
        <f>D69*'MASTER SHEET'!D69</f>
        <v>0</v>
      </c>
      <c r="EB69" s="14">
        <f>H69*'MASTER SHEET'!D69</f>
        <v>0</v>
      </c>
      <c r="EC69" s="14">
        <f>L69*'MASTER SHEET'!D69</f>
        <v>0</v>
      </c>
      <c r="ED69" s="14">
        <f>P69*'MASTER SHEET'!D69</f>
        <v>0</v>
      </c>
      <c r="EE69" s="14">
        <f>T69*'MASTER SHEET'!D69</f>
        <v>0</v>
      </c>
      <c r="EF69" s="14">
        <f>X69*'MASTER SHEET'!D69</f>
        <v>0</v>
      </c>
      <c r="EG69" s="14">
        <f>AB69*'MASTER SHEET'!D69</f>
        <v>0</v>
      </c>
      <c r="EH69" s="14">
        <f>AF69*'MASTER SHEET'!D69</f>
        <v>0</v>
      </c>
      <c r="EI69" s="14">
        <f>AJ69*'MASTER SHEET'!D69</f>
        <v>0</v>
      </c>
      <c r="EJ69" s="14">
        <f>AN69*'MASTER SHEET'!D69</f>
        <v>0</v>
      </c>
      <c r="EK69" s="14">
        <f>AR69*'MASTER SHEET'!D69</f>
        <v>0</v>
      </c>
      <c r="EL69" s="14">
        <f>AV69*'MASTER SHEET'!D69</f>
        <v>0</v>
      </c>
      <c r="EM69" s="14">
        <f>AZ69*'MASTER SHEET'!D69</f>
        <v>0</v>
      </c>
      <c r="EN69" s="14">
        <f>BD69*'MASTER SHEET'!D69</f>
        <v>0</v>
      </c>
      <c r="EO69" s="14">
        <f>BH69*'MASTER SHEET'!D69</f>
        <v>0</v>
      </c>
      <c r="EP69" s="14">
        <f>BL69*'MASTER SHEET'!D69</f>
        <v>0</v>
      </c>
      <c r="EQ69" s="14">
        <f>BP69*'MASTER SHEET'!D69</f>
        <v>0</v>
      </c>
      <c r="ER69" s="14">
        <f>BT69*'MASTER SHEET'!D69</f>
        <v>0</v>
      </c>
      <c r="ES69" s="14">
        <f>BX69*'MASTER SHEET'!D69</f>
        <v>0</v>
      </c>
      <c r="ET69" s="21">
        <f>CB69*'MASTER SHEET'!D69</f>
        <v>0</v>
      </c>
      <c r="EU69" s="14">
        <f>CF69*'MASTER SHEET'!D69</f>
        <v>0</v>
      </c>
      <c r="EV69" s="14">
        <f>CJ69*'MASTER SHEET'!D69</f>
        <v>0</v>
      </c>
      <c r="EW69" s="14">
        <f>CN69*'MASTER SHEET'!D69</f>
        <v>0</v>
      </c>
      <c r="EX69" s="14">
        <f>CR69*'MASTER SHEET'!D69</f>
        <v>0</v>
      </c>
      <c r="EY69" s="14">
        <f>CR69*'MASTER SHEET'!D69</f>
        <v>0</v>
      </c>
      <c r="EZ69" s="14">
        <f>CV69*'MASTER SHEET'!D69</f>
        <v>0</v>
      </c>
      <c r="FA69" s="14">
        <f>CZ69*'MASTER SHEET'!D69</f>
        <v>0</v>
      </c>
      <c r="FB69" s="14">
        <f>DD69*'MASTER SHEET'!D69</f>
        <v>0</v>
      </c>
    </row>
    <row r="70" spans="1:158" ht="18.75" customHeight="1" x14ac:dyDescent="0.25">
      <c r="A70" s="43">
        <f>'MASTER SHEET'!A70</f>
        <v>68</v>
      </c>
      <c r="B70" s="49" t="str">
        <f>'MASTER SHEET'!B70</f>
        <v>SHELL PLASTIC</v>
      </c>
      <c r="C70" s="86">
        <f>'MASTER SHEET'!C70</f>
        <v>5035269</v>
      </c>
      <c r="D70" s="51"/>
      <c r="E70" s="48"/>
      <c r="F70" s="48"/>
      <c r="G70" s="48"/>
      <c r="H70" s="48">
        <f t="shared" si="97"/>
        <v>0</v>
      </c>
      <c r="I70" s="28"/>
      <c r="J70" s="28"/>
      <c r="K70" s="65"/>
      <c r="L70" s="48">
        <f t="shared" si="98"/>
        <v>0</v>
      </c>
      <c r="M70" s="48"/>
      <c r="N70" s="48"/>
      <c r="O70" s="48"/>
      <c r="P70" s="48">
        <f t="shared" si="99"/>
        <v>0</v>
      </c>
      <c r="Q70" s="48"/>
      <c r="R70" s="48"/>
      <c r="S70" s="48"/>
      <c r="T70" s="48">
        <f t="shared" si="100"/>
        <v>0</v>
      </c>
      <c r="U70" s="48">
        <v>0</v>
      </c>
      <c r="V70" s="48"/>
      <c r="W70" s="48"/>
      <c r="X70" s="48">
        <f t="shared" si="101"/>
        <v>0</v>
      </c>
      <c r="Y70" s="48"/>
      <c r="Z70" s="48"/>
      <c r="AA70" s="48"/>
      <c r="AB70" s="48">
        <f t="shared" si="102"/>
        <v>0</v>
      </c>
      <c r="AC70" s="48"/>
      <c r="AD70" s="48"/>
      <c r="AE70" s="48"/>
      <c r="AF70" s="48">
        <f t="shared" si="103"/>
        <v>0</v>
      </c>
      <c r="AG70" s="48"/>
      <c r="AH70" s="48"/>
      <c r="AI70" s="48"/>
      <c r="AJ70" s="48">
        <f t="shared" si="104"/>
        <v>0</v>
      </c>
      <c r="AK70" s="48"/>
      <c r="AL70" s="48"/>
      <c r="AM70" s="48"/>
      <c r="AN70" s="48">
        <f t="shared" si="105"/>
        <v>0</v>
      </c>
      <c r="AO70" s="48"/>
      <c r="AP70" s="48"/>
      <c r="AQ70" s="48"/>
      <c r="AR70" s="48">
        <f t="shared" si="106"/>
        <v>0</v>
      </c>
      <c r="AS70" s="48"/>
      <c r="AT70" s="48"/>
      <c r="AU70" s="48"/>
      <c r="AV70" s="48">
        <f t="shared" si="107"/>
        <v>0</v>
      </c>
      <c r="AW70" s="48"/>
      <c r="AX70" s="48"/>
      <c r="AY70" s="48"/>
      <c r="AZ70" s="48">
        <f t="shared" si="108"/>
        <v>0</v>
      </c>
      <c r="BA70" s="48"/>
      <c r="BB70" s="48"/>
      <c r="BC70" s="48"/>
      <c r="BD70" s="48">
        <f t="shared" si="109"/>
        <v>0</v>
      </c>
      <c r="BE70" s="48"/>
      <c r="BF70" s="48"/>
      <c r="BG70" s="48"/>
      <c r="BH70" s="48">
        <f t="shared" si="110"/>
        <v>0</v>
      </c>
      <c r="BI70" s="48"/>
      <c r="BJ70" s="48"/>
      <c r="BK70" s="48"/>
      <c r="BL70" s="48">
        <f t="shared" si="111"/>
        <v>0</v>
      </c>
      <c r="BM70" s="48"/>
      <c r="BN70" s="48"/>
      <c r="BO70" s="48"/>
      <c r="BP70" s="48">
        <f t="shared" si="112"/>
        <v>0</v>
      </c>
      <c r="BQ70" s="48"/>
      <c r="BR70" s="48"/>
      <c r="BS70" s="48"/>
      <c r="BT70" s="48">
        <f t="shared" si="113"/>
        <v>0</v>
      </c>
      <c r="BU70" s="48"/>
      <c r="BV70" s="48"/>
      <c r="BW70" s="48"/>
      <c r="BX70" s="48">
        <f t="shared" si="114"/>
        <v>0</v>
      </c>
      <c r="BY70" s="48"/>
      <c r="BZ70" s="48"/>
      <c r="CA70" s="48"/>
      <c r="CB70" s="48">
        <f t="shared" si="115"/>
        <v>0</v>
      </c>
      <c r="CC70" s="48"/>
      <c r="CD70" s="48"/>
      <c r="CE70" s="48"/>
      <c r="CF70" s="48">
        <f t="shared" si="116"/>
        <v>0</v>
      </c>
      <c r="CG70" s="48"/>
      <c r="CH70" s="48"/>
      <c r="CI70" s="48"/>
      <c r="CJ70" s="48">
        <f t="shared" si="117"/>
        <v>0</v>
      </c>
      <c r="CK70" s="48"/>
      <c r="CL70" s="48"/>
      <c r="CM70" s="48"/>
      <c r="CN70" s="48">
        <f t="shared" si="118"/>
        <v>0</v>
      </c>
      <c r="CO70" s="48"/>
      <c r="CP70" s="48"/>
      <c r="CQ70" s="48"/>
      <c r="CR70" s="48">
        <f t="shared" si="119"/>
        <v>0</v>
      </c>
      <c r="CS70" s="48"/>
      <c r="CT70" s="48"/>
      <c r="CU70" s="48"/>
      <c r="CV70" s="48">
        <f t="shared" si="120"/>
        <v>0</v>
      </c>
      <c r="CW70" s="48"/>
      <c r="CX70" s="48"/>
      <c r="CY70" s="48"/>
      <c r="CZ70" s="48">
        <f t="shared" si="121"/>
        <v>0</v>
      </c>
      <c r="DA70" s="48"/>
      <c r="DB70" s="48"/>
      <c r="DC70" s="48"/>
      <c r="DD70" s="48">
        <f t="shared" si="122"/>
        <v>0</v>
      </c>
      <c r="DE70" s="48"/>
      <c r="DF70" s="48"/>
      <c r="DG70" s="48"/>
      <c r="DH70" s="48">
        <f t="shared" si="123"/>
        <v>0</v>
      </c>
      <c r="DI70" s="48"/>
      <c r="DJ70" s="48"/>
      <c r="DK70" s="48"/>
      <c r="DL70" s="48">
        <f t="shared" si="124"/>
        <v>0</v>
      </c>
      <c r="DM70" s="48"/>
      <c r="DN70" s="48"/>
      <c r="DO70" s="48"/>
      <c r="DP70" s="48">
        <f t="shared" si="125"/>
        <v>0</v>
      </c>
      <c r="DQ70" s="48"/>
      <c r="DR70" s="48"/>
      <c r="DS70" s="48"/>
      <c r="DT70" s="48">
        <f t="shared" si="126"/>
        <v>0</v>
      </c>
      <c r="DU70" s="48"/>
      <c r="DV70" s="48"/>
      <c r="DW70" s="48"/>
      <c r="DX70" s="48">
        <f t="shared" si="127"/>
        <v>0</v>
      </c>
      <c r="DY70" s="48">
        <f t="shared" si="128"/>
        <v>0</v>
      </c>
      <c r="DZ70" s="48">
        <f t="shared" si="129"/>
        <v>0</v>
      </c>
      <c r="EA70" s="14">
        <f>D70*'MASTER SHEET'!D70</f>
        <v>0</v>
      </c>
      <c r="EB70" s="14">
        <f>H70*'MASTER SHEET'!D70</f>
        <v>0</v>
      </c>
      <c r="EC70" s="14">
        <f>L70*'MASTER SHEET'!D70</f>
        <v>0</v>
      </c>
      <c r="ED70" s="14">
        <f>P70*'MASTER SHEET'!D70</f>
        <v>0</v>
      </c>
      <c r="EE70" s="14">
        <f>T70*'MASTER SHEET'!D70</f>
        <v>0</v>
      </c>
      <c r="EF70" s="14">
        <f>X70*'MASTER SHEET'!D70</f>
        <v>0</v>
      </c>
      <c r="EG70" s="14">
        <f>AB70*'MASTER SHEET'!D70</f>
        <v>0</v>
      </c>
      <c r="EH70" s="14">
        <f>AF70*'MASTER SHEET'!D70</f>
        <v>0</v>
      </c>
      <c r="EI70" s="14">
        <f>AJ70*'MASTER SHEET'!D70</f>
        <v>0</v>
      </c>
      <c r="EJ70" s="14">
        <f>AN70*'MASTER SHEET'!D70</f>
        <v>0</v>
      </c>
      <c r="EK70" s="14">
        <f>AR70*'MASTER SHEET'!D70</f>
        <v>0</v>
      </c>
      <c r="EL70" s="14">
        <f>AV70*'MASTER SHEET'!D70</f>
        <v>0</v>
      </c>
      <c r="EM70" s="14">
        <f>AZ70*'MASTER SHEET'!D70</f>
        <v>0</v>
      </c>
      <c r="EN70" s="14">
        <f>BD70*'MASTER SHEET'!D70</f>
        <v>0</v>
      </c>
      <c r="EO70" s="14">
        <f>BH70*'MASTER SHEET'!D70</f>
        <v>0</v>
      </c>
      <c r="EP70" s="14">
        <f>BL70*'MASTER SHEET'!D70</f>
        <v>0</v>
      </c>
      <c r="EQ70" s="14">
        <f>BP70*'MASTER SHEET'!D70</f>
        <v>0</v>
      </c>
      <c r="ER70" s="14">
        <f>BT70*'MASTER SHEET'!D70</f>
        <v>0</v>
      </c>
      <c r="ES70" s="14">
        <f>BX70*'MASTER SHEET'!D70</f>
        <v>0</v>
      </c>
      <c r="ET70" s="21">
        <f>CB70*'MASTER SHEET'!D70</f>
        <v>0</v>
      </c>
      <c r="EU70" s="14">
        <f>CF70*'MASTER SHEET'!D70</f>
        <v>0</v>
      </c>
      <c r="EV70" s="14">
        <f>CJ70*'MASTER SHEET'!D70</f>
        <v>0</v>
      </c>
      <c r="EW70" s="14">
        <f>CN70*'MASTER SHEET'!D70</f>
        <v>0</v>
      </c>
      <c r="EX70" s="14">
        <f>CR70*'MASTER SHEET'!D70</f>
        <v>0</v>
      </c>
      <c r="EY70" s="14">
        <f>CR70*'MASTER SHEET'!D70</f>
        <v>0</v>
      </c>
      <c r="EZ70" s="14">
        <f>CV70*'MASTER SHEET'!D70</f>
        <v>0</v>
      </c>
      <c r="FA70" s="14">
        <f>CZ70*'MASTER SHEET'!D70</f>
        <v>0</v>
      </c>
      <c r="FB70" s="14">
        <f>DD70*'MASTER SHEET'!D70</f>
        <v>0</v>
      </c>
    </row>
    <row r="71" spans="1:158" ht="18.75" customHeight="1" x14ac:dyDescent="0.25">
      <c r="A71" s="43">
        <f>'MASTER SHEET'!A71</f>
        <v>69</v>
      </c>
      <c r="B71" s="49" t="str">
        <f>'MASTER SHEET'!B71</f>
        <v>LID, HOUSING CRANKCASE VENTILATION</v>
      </c>
      <c r="C71" s="86">
        <f>'MASTER SHEET'!C71</f>
        <v>5035729</v>
      </c>
      <c r="D71" s="51"/>
      <c r="E71" s="48"/>
      <c r="F71" s="48"/>
      <c r="G71" s="48"/>
      <c r="H71" s="48">
        <f t="shared" si="97"/>
        <v>0</v>
      </c>
      <c r="I71" s="28"/>
      <c r="J71" s="28"/>
      <c r="K71" s="65"/>
      <c r="L71" s="48">
        <f t="shared" si="98"/>
        <v>0</v>
      </c>
      <c r="M71" s="48"/>
      <c r="N71" s="48"/>
      <c r="O71" s="48"/>
      <c r="P71" s="48">
        <f t="shared" si="99"/>
        <v>0</v>
      </c>
      <c r="Q71" s="48"/>
      <c r="R71" s="48"/>
      <c r="S71" s="48"/>
      <c r="T71" s="48">
        <f t="shared" si="100"/>
        <v>0</v>
      </c>
      <c r="U71" s="48">
        <v>0</v>
      </c>
      <c r="V71" s="48"/>
      <c r="W71" s="48"/>
      <c r="X71" s="48">
        <f t="shared" si="101"/>
        <v>0</v>
      </c>
      <c r="Y71" s="48"/>
      <c r="Z71" s="48"/>
      <c r="AA71" s="48"/>
      <c r="AB71" s="48">
        <f t="shared" si="102"/>
        <v>0</v>
      </c>
      <c r="AC71" s="48"/>
      <c r="AD71" s="48"/>
      <c r="AE71" s="48"/>
      <c r="AF71" s="48">
        <f t="shared" si="103"/>
        <v>0</v>
      </c>
      <c r="AG71" s="48"/>
      <c r="AH71" s="48"/>
      <c r="AI71" s="48"/>
      <c r="AJ71" s="48">
        <f t="shared" si="104"/>
        <v>0</v>
      </c>
      <c r="AK71" s="48"/>
      <c r="AL71" s="48"/>
      <c r="AM71" s="48"/>
      <c r="AN71" s="48">
        <f t="shared" si="105"/>
        <v>0</v>
      </c>
      <c r="AO71" s="48"/>
      <c r="AP71" s="48"/>
      <c r="AQ71" s="48"/>
      <c r="AR71" s="48">
        <f t="shared" si="106"/>
        <v>0</v>
      </c>
      <c r="AS71" s="48"/>
      <c r="AT71" s="48"/>
      <c r="AU71" s="48"/>
      <c r="AV71" s="48">
        <f t="shared" si="107"/>
        <v>0</v>
      </c>
      <c r="AW71" s="48"/>
      <c r="AX71" s="48"/>
      <c r="AY71" s="48"/>
      <c r="AZ71" s="48">
        <f t="shared" si="108"/>
        <v>0</v>
      </c>
      <c r="BA71" s="48"/>
      <c r="BB71" s="48"/>
      <c r="BC71" s="48"/>
      <c r="BD71" s="48">
        <f t="shared" si="109"/>
        <v>0</v>
      </c>
      <c r="BE71" s="48"/>
      <c r="BF71" s="48"/>
      <c r="BG71" s="48"/>
      <c r="BH71" s="48">
        <f t="shared" si="110"/>
        <v>0</v>
      </c>
      <c r="BI71" s="48"/>
      <c r="BJ71" s="48"/>
      <c r="BK71" s="48"/>
      <c r="BL71" s="48">
        <f t="shared" si="111"/>
        <v>0</v>
      </c>
      <c r="BM71" s="48"/>
      <c r="BN71" s="48"/>
      <c r="BO71" s="48"/>
      <c r="BP71" s="48">
        <f t="shared" si="112"/>
        <v>0</v>
      </c>
      <c r="BQ71" s="48"/>
      <c r="BR71" s="48"/>
      <c r="BS71" s="48"/>
      <c r="BT71" s="48">
        <f t="shared" si="113"/>
        <v>0</v>
      </c>
      <c r="BU71" s="48"/>
      <c r="BV71" s="48"/>
      <c r="BW71" s="48"/>
      <c r="BX71" s="48">
        <f t="shared" si="114"/>
        <v>0</v>
      </c>
      <c r="BY71" s="48"/>
      <c r="BZ71" s="48"/>
      <c r="CA71" s="48"/>
      <c r="CB71" s="48">
        <f t="shared" si="115"/>
        <v>0</v>
      </c>
      <c r="CC71" s="48"/>
      <c r="CD71" s="48"/>
      <c r="CE71" s="48"/>
      <c r="CF71" s="48">
        <f t="shared" si="116"/>
        <v>0</v>
      </c>
      <c r="CG71" s="48"/>
      <c r="CH71" s="48"/>
      <c r="CI71" s="48"/>
      <c r="CJ71" s="48">
        <f t="shared" si="117"/>
        <v>0</v>
      </c>
      <c r="CK71" s="48"/>
      <c r="CL71" s="48"/>
      <c r="CM71" s="48"/>
      <c r="CN71" s="48">
        <f t="shared" si="118"/>
        <v>0</v>
      </c>
      <c r="CO71" s="48"/>
      <c r="CP71" s="48"/>
      <c r="CQ71" s="48"/>
      <c r="CR71" s="48">
        <f t="shared" si="119"/>
        <v>0</v>
      </c>
      <c r="CS71" s="48"/>
      <c r="CT71" s="48"/>
      <c r="CU71" s="48"/>
      <c r="CV71" s="48">
        <f t="shared" si="120"/>
        <v>0</v>
      </c>
      <c r="CW71" s="48"/>
      <c r="CX71" s="48"/>
      <c r="CY71" s="48"/>
      <c r="CZ71" s="48">
        <f t="shared" si="121"/>
        <v>0</v>
      </c>
      <c r="DA71" s="48"/>
      <c r="DB71" s="48"/>
      <c r="DC71" s="48"/>
      <c r="DD71" s="48">
        <f t="shared" si="122"/>
        <v>0</v>
      </c>
      <c r="DE71" s="48"/>
      <c r="DF71" s="48"/>
      <c r="DG71" s="48"/>
      <c r="DH71" s="48">
        <f t="shared" si="123"/>
        <v>0</v>
      </c>
      <c r="DI71" s="48"/>
      <c r="DJ71" s="48"/>
      <c r="DK71" s="48"/>
      <c r="DL71" s="48">
        <f t="shared" si="124"/>
        <v>0</v>
      </c>
      <c r="DM71" s="48"/>
      <c r="DN71" s="48"/>
      <c r="DO71" s="48"/>
      <c r="DP71" s="48">
        <f t="shared" si="125"/>
        <v>0</v>
      </c>
      <c r="DQ71" s="48"/>
      <c r="DR71" s="48"/>
      <c r="DS71" s="48"/>
      <c r="DT71" s="48">
        <f t="shared" si="126"/>
        <v>0</v>
      </c>
      <c r="DU71" s="48"/>
      <c r="DV71" s="48"/>
      <c r="DW71" s="48"/>
      <c r="DX71" s="48">
        <f t="shared" si="127"/>
        <v>0</v>
      </c>
      <c r="DY71" s="48">
        <f t="shared" si="128"/>
        <v>0</v>
      </c>
      <c r="DZ71" s="48">
        <f t="shared" si="129"/>
        <v>0</v>
      </c>
      <c r="EA71" s="14">
        <f>D71*'MASTER SHEET'!D71</f>
        <v>0</v>
      </c>
      <c r="EB71" s="14">
        <f>H71*'MASTER SHEET'!D71</f>
        <v>0</v>
      </c>
      <c r="EC71" s="14">
        <f>L71*'MASTER SHEET'!D71</f>
        <v>0</v>
      </c>
      <c r="ED71" s="14">
        <f>P71*'MASTER SHEET'!D71</f>
        <v>0</v>
      </c>
      <c r="EE71" s="14">
        <f>T71*'MASTER SHEET'!D71</f>
        <v>0</v>
      </c>
      <c r="EF71" s="14">
        <f>X71*'MASTER SHEET'!D71</f>
        <v>0</v>
      </c>
      <c r="EG71" s="14">
        <f>AB71*'MASTER SHEET'!D71</f>
        <v>0</v>
      </c>
      <c r="EH71" s="14">
        <f>AF71*'MASTER SHEET'!D71</f>
        <v>0</v>
      </c>
      <c r="EI71" s="14">
        <f>AJ71*'MASTER SHEET'!D71</f>
        <v>0</v>
      </c>
      <c r="EJ71" s="14">
        <f>AN71*'MASTER SHEET'!D71</f>
        <v>0</v>
      </c>
      <c r="EK71" s="14">
        <f>AR71*'MASTER SHEET'!D71</f>
        <v>0</v>
      </c>
      <c r="EL71" s="14">
        <f>AV71*'MASTER SHEET'!D71</f>
        <v>0</v>
      </c>
      <c r="EM71" s="14">
        <f>AZ71*'MASTER SHEET'!D71</f>
        <v>0</v>
      </c>
      <c r="EN71" s="14">
        <f>BD71*'MASTER SHEET'!D71</f>
        <v>0</v>
      </c>
      <c r="EO71" s="14">
        <f>BH71*'MASTER SHEET'!D71</f>
        <v>0</v>
      </c>
      <c r="EP71" s="14">
        <f>BL71*'MASTER SHEET'!D71</f>
        <v>0</v>
      </c>
      <c r="EQ71" s="14">
        <f>BP71*'MASTER SHEET'!D71</f>
        <v>0</v>
      </c>
      <c r="ER71" s="14">
        <f>BT71*'MASTER SHEET'!D71</f>
        <v>0</v>
      </c>
      <c r="ES71" s="14">
        <f>BX71*'MASTER SHEET'!D71</f>
        <v>0</v>
      </c>
      <c r="ET71" s="21">
        <f>CB71*'MASTER SHEET'!D71</f>
        <v>0</v>
      </c>
      <c r="EU71" s="14">
        <f>CF71*'MASTER SHEET'!D71</f>
        <v>0</v>
      </c>
      <c r="EV71" s="14">
        <f>CJ71*'MASTER SHEET'!D71</f>
        <v>0</v>
      </c>
      <c r="EW71" s="14">
        <f>CN71*'MASTER SHEET'!D71</f>
        <v>0</v>
      </c>
      <c r="EX71" s="14">
        <f>CR71*'MASTER SHEET'!D71</f>
        <v>0</v>
      </c>
      <c r="EY71" s="14">
        <f>CR71*'MASTER SHEET'!D71</f>
        <v>0</v>
      </c>
      <c r="EZ71" s="14">
        <f>CV71*'MASTER SHEET'!D71</f>
        <v>0</v>
      </c>
      <c r="FA71" s="14">
        <f>CZ71*'MASTER SHEET'!D71</f>
        <v>0</v>
      </c>
      <c r="FB71" s="14">
        <f>DD71*'MASTER SHEET'!D71</f>
        <v>0</v>
      </c>
    </row>
    <row r="72" spans="1:158" ht="18.75" customHeight="1" x14ac:dyDescent="0.25">
      <c r="A72" s="43">
        <f>'MASTER SHEET'!A72</f>
        <v>70</v>
      </c>
      <c r="B72" s="49" t="str">
        <f>'MASTER SHEET'!B72</f>
        <v>HYDROPHOBIC SCREEN</v>
      </c>
      <c r="C72" s="86">
        <f>'MASTER SHEET'!C72</f>
        <v>5037987</v>
      </c>
      <c r="D72" s="51"/>
      <c r="E72" s="48"/>
      <c r="F72" s="48"/>
      <c r="G72" s="48"/>
      <c r="H72" s="48">
        <f t="shared" si="97"/>
        <v>0</v>
      </c>
      <c r="I72" s="28">
        <v>0</v>
      </c>
      <c r="J72" s="28">
        <v>0</v>
      </c>
      <c r="K72" s="65">
        <v>0</v>
      </c>
      <c r="L72" s="48">
        <f t="shared" si="98"/>
        <v>0</v>
      </c>
      <c r="M72" s="48"/>
      <c r="N72" s="48"/>
      <c r="O72" s="48"/>
      <c r="P72" s="48">
        <f t="shared" si="99"/>
        <v>0</v>
      </c>
      <c r="Q72" s="48">
        <v>0</v>
      </c>
      <c r="R72" s="48">
        <v>0</v>
      </c>
      <c r="S72" s="48">
        <v>0</v>
      </c>
      <c r="T72" s="48">
        <f t="shared" si="100"/>
        <v>0</v>
      </c>
      <c r="U72" s="48">
        <v>0</v>
      </c>
      <c r="V72" s="48"/>
      <c r="W72" s="48"/>
      <c r="X72" s="48">
        <f t="shared" si="101"/>
        <v>0</v>
      </c>
      <c r="Y72" s="48">
        <v>0</v>
      </c>
      <c r="Z72" s="48">
        <v>0</v>
      </c>
      <c r="AA72" s="48">
        <v>0</v>
      </c>
      <c r="AB72" s="48">
        <f t="shared" si="102"/>
        <v>0</v>
      </c>
      <c r="AC72" s="48">
        <v>0</v>
      </c>
      <c r="AD72" s="48">
        <v>0</v>
      </c>
      <c r="AE72" s="48">
        <v>0</v>
      </c>
      <c r="AF72" s="48">
        <f t="shared" si="103"/>
        <v>0</v>
      </c>
      <c r="AG72" s="48">
        <v>0</v>
      </c>
      <c r="AH72" s="48">
        <v>0</v>
      </c>
      <c r="AI72" s="48">
        <v>0</v>
      </c>
      <c r="AJ72" s="48">
        <f t="shared" si="104"/>
        <v>0</v>
      </c>
      <c r="AK72" s="48">
        <v>0</v>
      </c>
      <c r="AL72" s="48">
        <v>0</v>
      </c>
      <c r="AM72" s="48">
        <v>0</v>
      </c>
      <c r="AN72" s="48">
        <f t="shared" si="105"/>
        <v>0</v>
      </c>
      <c r="AO72" s="48">
        <v>0</v>
      </c>
      <c r="AP72" s="48">
        <v>0</v>
      </c>
      <c r="AQ72" s="48">
        <v>0</v>
      </c>
      <c r="AR72" s="48">
        <f t="shared" si="106"/>
        <v>0</v>
      </c>
      <c r="AS72" s="48">
        <v>0</v>
      </c>
      <c r="AT72" s="48">
        <v>0</v>
      </c>
      <c r="AU72" s="48">
        <v>0</v>
      </c>
      <c r="AV72" s="48">
        <f t="shared" si="107"/>
        <v>0</v>
      </c>
      <c r="AW72" s="48">
        <v>0</v>
      </c>
      <c r="AX72" s="48">
        <v>0</v>
      </c>
      <c r="AY72" s="48">
        <v>0</v>
      </c>
      <c r="AZ72" s="48">
        <f t="shared" si="108"/>
        <v>0</v>
      </c>
      <c r="BA72" s="48">
        <v>0</v>
      </c>
      <c r="BB72" s="48">
        <v>0</v>
      </c>
      <c r="BC72" s="48">
        <v>0</v>
      </c>
      <c r="BD72" s="48">
        <f t="shared" si="109"/>
        <v>0</v>
      </c>
      <c r="BE72" s="48">
        <v>0</v>
      </c>
      <c r="BF72" s="48">
        <v>0</v>
      </c>
      <c r="BG72" s="48">
        <v>0</v>
      </c>
      <c r="BH72" s="48">
        <f t="shared" si="110"/>
        <v>0</v>
      </c>
      <c r="BI72" s="48">
        <v>0</v>
      </c>
      <c r="BJ72" s="48">
        <v>0</v>
      </c>
      <c r="BK72" s="48">
        <v>0</v>
      </c>
      <c r="BL72" s="48">
        <f t="shared" si="111"/>
        <v>0</v>
      </c>
      <c r="BM72" s="48">
        <v>0</v>
      </c>
      <c r="BN72" s="48">
        <v>0</v>
      </c>
      <c r="BO72" s="48">
        <v>0</v>
      </c>
      <c r="BP72" s="48">
        <f t="shared" si="112"/>
        <v>0</v>
      </c>
      <c r="BQ72" s="48">
        <v>0</v>
      </c>
      <c r="BR72" s="48">
        <v>0</v>
      </c>
      <c r="BS72" s="48">
        <v>0</v>
      </c>
      <c r="BT72" s="48">
        <f t="shared" si="113"/>
        <v>0</v>
      </c>
      <c r="BU72" s="48">
        <v>0</v>
      </c>
      <c r="BV72" s="48">
        <v>0</v>
      </c>
      <c r="BW72" s="48">
        <v>0</v>
      </c>
      <c r="BX72" s="48">
        <f t="shared" si="114"/>
        <v>0</v>
      </c>
      <c r="BY72" s="48"/>
      <c r="BZ72" s="48"/>
      <c r="CA72" s="48"/>
      <c r="CB72" s="48">
        <f t="shared" si="115"/>
        <v>0</v>
      </c>
      <c r="CC72" s="48">
        <v>0</v>
      </c>
      <c r="CD72" s="48">
        <v>0</v>
      </c>
      <c r="CE72" s="48">
        <v>0</v>
      </c>
      <c r="CF72" s="48">
        <f t="shared" si="116"/>
        <v>0</v>
      </c>
      <c r="CG72" s="48">
        <v>0</v>
      </c>
      <c r="CH72" s="48">
        <v>0</v>
      </c>
      <c r="CI72" s="48">
        <v>0</v>
      </c>
      <c r="CJ72" s="48">
        <f t="shared" si="117"/>
        <v>0</v>
      </c>
      <c r="CK72" s="48"/>
      <c r="CL72" s="48"/>
      <c r="CM72" s="48"/>
      <c r="CN72" s="48">
        <f t="shared" si="118"/>
        <v>0</v>
      </c>
      <c r="CO72" s="48">
        <v>0</v>
      </c>
      <c r="CP72" s="48">
        <v>0</v>
      </c>
      <c r="CQ72" s="48">
        <v>0</v>
      </c>
      <c r="CR72" s="48">
        <f t="shared" si="119"/>
        <v>0</v>
      </c>
      <c r="CS72" s="48">
        <v>0</v>
      </c>
      <c r="CT72" s="48">
        <v>0</v>
      </c>
      <c r="CU72" s="48">
        <v>0</v>
      </c>
      <c r="CV72" s="48">
        <f t="shared" si="120"/>
        <v>0</v>
      </c>
      <c r="CW72" s="48">
        <v>0</v>
      </c>
      <c r="CX72" s="48">
        <v>0</v>
      </c>
      <c r="CY72" s="48">
        <v>0</v>
      </c>
      <c r="CZ72" s="48">
        <f t="shared" si="121"/>
        <v>0</v>
      </c>
      <c r="DA72" s="48"/>
      <c r="DB72" s="48"/>
      <c r="DC72" s="48"/>
      <c r="DD72" s="48">
        <f t="shared" si="122"/>
        <v>0</v>
      </c>
      <c r="DE72" s="48">
        <v>0</v>
      </c>
      <c r="DF72" s="48">
        <v>0</v>
      </c>
      <c r="DG72" s="48">
        <v>0</v>
      </c>
      <c r="DH72" s="48">
        <f t="shared" si="123"/>
        <v>0</v>
      </c>
      <c r="DI72" s="48">
        <v>1045</v>
      </c>
      <c r="DJ72" s="48">
        <v>1031</v>
      </c>
      <c r="DK72" s="48">
        <v>14</v>
      </c>
      <c r="DL72" s="48">
        <f t="shared" si="124"/>
        <v>0</v>
      </c>
      <c r="DM72" s="48"/>
      <c r="DN72" s="48"/>
      <c r="DO72" s="48"/>
      <c r="DP72" s="48">
        <f t="shared" si="125"/>
        <v>0</v>
      </c>
      <c r="DQ72" s="48"/>
      <c r="DR72" s="48"/>
      <c r="DS72" s="48"/>
      <c r="DT72" s="48">
        <f t="shared" si="126"/>
        <v>0</v>
      </c>
      <c r="DU72" s="48"/>
      <c r="DV72" s="48"/>
      <c r="DW72" s="48"/>
      <c r="DX72" s="48">
        <f t="shared" si="127"/>
        <v>0</v>
      </c>
      <c r="DY72" s="48">
        <f t="shared" si="128"/>
        <v>1045</v>
      </c>
      <c r="DZ72" s="48">
        <f t="shared" si="129"/>
        <v>14</v>
      </c>
      <c r="EA72" s="14">
        <f>D72*'MASTER SHEET'!D72</f>
        <v>0</v>
      </c>
      <c r="EB72" s="14">
        <f>H72*'MASTER SHEET'!D72</f>
        <v>0</v>
      </c>
      <c r="EC72" s="14">
        <f>L72*'MASTER SHEET'!D72</f>
        <v>0</v>
      </c>
      <c r="ED72" s="14">
        <f>P72*'MASTER SHEET'!D72</f>
        <v>0</v>
      </c>
      <c r="EE72" s="14">
        <f>T72*'MASTER SHEET'!D72</f>
        <v>0</v>
      </c>
      <c r="EF72" s="14">
        <f>X72*'MASTER SHEET'!D72</f>
        <v>0</v>
      </c>
      <c r="EG72" s="14">
        <f>AB72*'MASTER SHEET'!D72</f>
        <v>0</v>
      </c>
      <c r="EH72" s="14">
        <f>AF72*'MASTER SHEET'!D72</f>
        <v>0</v>
      </c>
      <c r="EI72" s="14">
        <f>AJ72*'MASTER SHEET'!D72</f>
        <v>0</v>
      </c>
      <c r="EJ72" s="14">
        <f>AN72*'MASTER SHEET'!D72</f>
        <v>0</v>
      </c>
      <c r="EK72" s="14">
        <f>AR72*'MASTER SHEET'!D72</f>
        <v>0</v>
      </c>
      <c r="EL72" s="14">
        <f>AV72*'MASTER SHEET'!D72</f>
        <v>0</v>
      </c>
      <c r="EM72" s="14">
        <f>AZ72*'MASTER SHEET'!D72</f>
        <v>0</v>
      </c>
      <c r="EN72" s="14">
        <f>BD72*'MASTER SHEET'!D72</f>
        <v>0</v>
      </c>
      <c r="EO72" s="14">
        <f>BH72*'MASTER SHEET'!D72</f>
        <v>0</v>
      </c>
      <c r="EP72" s="14">
        <f>BL72*'MASTER SHEET'!D72</f>
        <v>0</v>
      </c>
      <c r="EQ72" s="14">
        <f>BP72*'MASTER SHEET'!D72</f>
        <v>0</v>
      </c>
      <c r="ER72" s="14">
        <f>BT72*'MASTER SHEET'!D72</f>
        <v>0</v>
      </c>
      <c r="ES72" s="14">
        <f>BX72*'MASTER SHEET'!D72</f>
        <v>0</v>
      </c>
      <c r="ET72" s="21">
        <f>CB72*'MASTER SHEET'!D72</f>
        <v>0</v>
      </c>
      <c r="EU72" s="14">
        <f>CF72*'MASTER SHEET'!D72</f>
        <v>0</v>
      </c>
      <c r="EV72" s="14">
        <f>CJ72*'MASTER SHEET'!D72</f>
        <v>0</v>
      </c>
      <c r="EW72" s="14">
        <f>CN72*'MASTER SHEET'!D72</f>
        <v>0</v>
      </c>
      <c r="EX72" s="14">
        <f>CR72*'MASTER SHEET'!D72</f>
        <v>0</v>
      </c>
      <c r="EY72" s="14">
        <f>CR72*'MASTER SHEET'!D72</f>
        <v>0</v>
      </c>
      <c r="EZ72" s="14">
        <f>CV72*'MASTER SHEET'!D72</f>
        <v>0</v>
      </c>
      <c r="FA72" s="14">
        <f>CZ72*'MASTER SHEET'!D72</f>
        <v>0</v>
      </c>
      <c r="FB72" s="14">
        <f>DD72*'MASTER SHEET'!D72</f>
        <v>0</v>
      </c>
    </row>
    <row r="73" spans="1:158" ht="18.75" customHeight="1" x14ac:dyDescent="0.25">
      <c r="A73" s="43">
        <f>'MASTER SHEET'!A73</f>
        <v>71</v>
      </c>
      <c r="B73" s="49" t="str">
        <f>'MASTER SHEET'!B73</f>
        <v>CENTERTUBE</v>
      </c>
      <c r="C73" s="86">
        <f>'MASTER SHEET'!C73</f>
        <v>5038940</v>
      </c>
      <c r="D73" s="51"/>
      <c r="E73" s="48"/>
      <c r="F73" s="48"/>
      <c r="G73" s="48"/>
      <c r="H73" s="48">
        <f t="shared" si="97"/>
        <v>0</v>
      </c>
      <c r="I73" s="28"/>
      <c r="J73" s="28"/>
      <c r="K73" s="65"/>
      <c r="L73" s="48">
        <f t="shared" si="98"/>
        <v>0</v>
      </c>
      <c r="M73" s="48"/>
      <c r="N73" s="48"/>
      <c r="O73" s="48"/>
      <c r="P73" s="48">
        <f t="shared" si="99"/>
        <v>0</v>
      </c>
      <c r="Q73" s="48"/>
      <c r="R73" s="48"/>
      <c r="S73" s="48"/>
      <c r="T73" s="48">
        <f t="shared" si="100"/>
        <v>0</v>
      </c>
      <c r="U73" s="48">
        <v>0</v>
      </c>
      <c r="V73" s="48"/>
      <c r="W73" s="48"/>
      <c r="X73" s="48">
        <f t="shared" si="101"/>
        <v>0</v>
      </c>
      <c r="Y73" s="48"/>
      <c r="Z73" s="48"/>
      <c r="AA73" s="48"/>
      <c r="AB73" s="48">
        <f t="shared" si="102"/>
        <v>0</v>
      </c>
      <c r="AC73" s="48"/>
      <c r="AD73" s="48"/>
      <c r="AE73" s="48"/>
      <c r="AF73" s="48">
        <f t="shared" si="103"/>
        <v>0</v>
      </c>
      <c r="AG73" s="48"/>
      <c r="AH73" s="48"/>
      <c r="AI73" s="48"/>
      <c r="AJ73" s="48">
        <f t="shared" si="104"/>
        <v>0</v>
      </c>
      <c r="AK73" s="48"/>
      <c r="AL73" s="48"/>
      <c r="AM73" s="48"/>
      <c r="AN73" s="48">
        <f t="shared" si="105"/>
        <v>0</v>
      </c>
      <c r="AO73" s="48"/>
      <c r="AP73" s="48"/>
      <c r="AQ73" s="48"/>
      <c r="AR73" s="48">
        <f t="shared" si="106"/>
        <v>0</v>
      </c>
      <c r="AS73" s="48"/>
      <c r="AT73" s="48"/>
      <c r="AU73" s="48"/>
      <c r="AV73" s="48">
        <f t="shared" si="107"/>
        <v>0</v>
      </c>
      <c r="AW73" s="48"/>
      <c r="AX73" s="48"/>
      <c r="AY73" s="48"/>
      <c r="AZ73" s="48">
        <f t="shared" si="108"/>
        <v>0</v>
      </c>
      <c r="BA73" s="48"/>
      <c r="BB73" s="48"/>
      <c r="BC73" s="48"/>
      <c r="BD73" s="48">
        <f t="shared" si="109"/>
        <v>0</v>
      </c>
      <c r="BE73" s="48"/>
      <c r="BF73" s="48"/>
      <c r="BG73" s="48"/>
      <c r="BH73" s="48">
        <f t="shared" si="110"/>
        <v>0</v>
      </c>
      <c r="BI73" s="48"/>
      <c r="BJ73" s="48"/>
      <c r="BK73" s="48"/>
      <c r="BL73" s="48">
        <f t="shared" si="111"/>
        <v>0</v>
      </c>
      <c r="BM73" s="48"/>
      <c r="BN73" s="48"/>
      <c r="BO73" s="48"/>
      <c r="BP73" s="48">
        <f t="shared" si="112"/>
        <v>0</v>
      </c>
      <c r="BQ73" s="48"/>
      <c r="BR73" s="48"/>
      <c r="BS73" s="48"/>
      <c r="BT73" s="48">
        <f t="shared" si="113"/>
        <v>0</v>
      </c>
      <c r="BU73" s="48"/>
      <c r="BV73" s="48"/>
      <c r="BW73" s="48"/>
      <c r="BX73" s="48">
        <f t="shared" si="114"/>
        <v>0</v>
      </c>
      <c r="BY73" s="48"/>
      <c r="BZ73" s="48"/>
      <c r="CA73" s="48"/>
      <c r="CB73" s="48">
        <f t="shared" si="115"/>
        <v>0</v>
      </c>
      <c r="CC73" s="48"/>
      <c r="CD73" s="48"/>
      <c r="CE73" s="48"/>
      <c r="CF73" s="48">
        <f t="shared" si="116"/>
        <v>0</v>
      </c>
      <c r="CG73" s="48"/>
      <c r="CH73" s="48"/>
      <c r="CI73" s="48"/>
      <c r="CJ73" s="48">
        <f t="shared" si="117"/>
        <v>0</v>
      </c>
      <c r="CK73" s="48"/>
      <c r="CL73" s="48"/>
      <c r="CM73" s="48"/>
      <c r="CN73" s="48">
        <f t="shared" si="118"/>
        <v>0</v>
      </c>
      <c r="CO73" s="48"/>
      <c r="CP73" s="48"/>
      <c r="CQ73" s="48"/>
      <c r="CR73" s="48">
        <f t="shared" si="119"/>
        <v>0</v>
      </c>
      <c r="CS73" s="48"/>
      <c r="CT73" s="48"/>
      <c r="CU73" s="48"/>
      <c r="CV73" s="48">
        <f t="shared" si="120"/>
        <v>0</v>
      </c>
      <c r="CW73" s="48"/>
      <c r="CX73" s="48"/>
      <c r="CY73" s="48"/>
      <c r="CZ73" s="48">
        <f t="shared" si="121"/>
        <v>0</v>
      </c>
      <c r="DA73" s="48"/>
      <c r="DB73" s="48"/>
      <c r="DC73" s="48"/>
      <c r="DD73" s="48">
        <f t="shared" si="122"/>
        <v>0</v>
      </c>
      <c r="DE73" s="48"/>
      <c r="DF73" s="48"/>
      <c r="DG73" s="48"/>
      <c r="DH73" s="48">
        <f t="shared" si="123"/>
        <v>0</v>
      </c>
      <c r="DI73" s="48"/>
      <c r="DJ73" s="48"/>
      <c r="DK73" s="48"/>
      <c r="DL73" s="48">
        <f t="shared" si="124"/>
        <v>0</v>
      </c>
      <c r="DM73" s="48"/>
      <c r="DN73" s="48"/>
      <c r="DO73" s="48"/>
      <c r="DP73" s="48">
        <f t="shared" si="125"/>
        <v>0</v>
      </c>
      <c r="DQ73" s="48"/>
      <c r="DR73" s="48"/>
      <c r="DS73" s="48"/>
      <c r="DT73" s="48">
        <f t="shared" si="126"/>
        <v>0</v>
      </c>
      <c r="DU73" s="48"/>
      <c r="DV73" s="48"/>
      <c r="DW73" s="48"/>
      <c r="DX73" s="48">
        <f t="shared" si="127"/>
        <v>0</v>
      </c>
      <c r="DY73" s="48">
        <f t="shared" si="128"/>
        <v>0</v>
      </c>
      <c r="DZ73" s="48">
        <f t="shared" si="129"/>
        <v>0</v>
      </c>
      <c r="EA73" s="14">
        <f>D73*'MASTER SHEET'!D73</f>
        <v>0</v>
      </c>
      <c r="EB73" s="14">
        <f>H73*'MASTER SHEET'!D73</f>
        <v>0</v>
      </c>
      <c r="EC73" s="14">
        <f>L73*'MASTER SHEET'!D73</f>
        <v>0</v>
      </c>
      <c r="ED73" s="14">
        <f>P73*'MASTER SHEET'!D73</f>
        <v>0</v>
      </c>
      <c r="EE73" s="14">
        <f>T73*'MASTER SHEET'!D73</f>
        <v>0</v>
      </c>
      <c r="EF73" s="14">
        <f>X73*'MASTER SHEET'!D73</f>
        <v>0</v>
      </c>
      <c r="EG73" s="14">
        <f>AB73*'MASTER SHEET'!D73</f>
        <v>0</v>
      </c>
      <c r="EH73" s="14">
        <f>AF73*'MASTER SHEET'!D73</f>
        <v>0</v>
      </c>
      <c r="EI73" s="14">
        <f>AJ73*'MASTER SHEET'!D73</f>
        <v>0</v>
      </c>
      <c r="EJ73" s="14">
        <f>AN73*'MASTER SHEET'!D73</f>
        <v>0</v>
      </c>
      <c r="EK73" s="14">
        <f>AR73*'MASTER SHEET'!D73</f>
        <v>0</v>
      </c>
      <c r="EL73" s="14">
        <f>AV73*'MASTER SHEET'!D73</f>
        <v>0</v>
      </c>
      <c r="EM73" s="14">
        <f>AZ73*'MASTER SHEET'!D73</f>
        <v>0</v>
      </c>
      <c r="EN73" s="14">
        <f>BD73*'MASTER SHEET'!D73</f>
        <v>0</v>
      </c>
      <c r="EO73" s="14">
        <f>BH73*'MASTER SHEET'!D73</f>
        <v>0</v>
      </c>
      <c r="EP73" s="14">
        <f>BL73*'MASTER SHEET'!D73</f>
        <v>0</v>
      </c>
      <c r="EQ73" s="14">
        <f>BP73*'MASTER SHEET'!D73</f>
        <v>0</v>
      </c>
      <c r="ER73" s="14">
        <f>BT73*'MASTER SHEET'!D73</f>
        <v>0</v>
      </c>
      <c r="ES73" s="14">
        <f>BX73*'MASTER SHEET'!D73</f>
        <v>0</v>
      </c>
      <c r="ET73" s="21">
        <f>CB73*'MASTER SHEET'!D73</f>
        <v>0</v>
      </c>
      <c r="EU73" s="14">
        <f>CF73*'MASTER SHEET'!D73</f>
        <v>0</v>
      </c>
      <c r="EV73" s="14">
        <f>CJ73*'MASTER SHEET'!D73</f>
        <v>0</v>
      </c>
      <c r="EW73" s="14">
        <f>CN73*'MASTER SHEET'!D73</f>
        <v>0</v>
      </c>
      <c r="EX73" s="14">
        <f>CR73*'MASTER SHEET'!D73</f>
        <v>0</v>
      </c>
      <c r="EY73" s="14">
        <f>CR73*'MASTER SHEET'!D73</f>
        <v>0</v>
      </c>
      <c r="EZ73" s="14">
        <f>CV73*'MASTER SHEET'!D73</f>
        <v>0</v>
      </c>
      <c r="FA73" s="14">
        <f>CZ73*'MASTER SHEET'!D73</f>
        <v>0</v>
      </c>
      <c r="FB73" s="14">
        <f>DD73*'MASTER SHEET'!D73</f>
        <v>0</v>
      </c>
    </row>
    <row r="74" spans="1:158" ht="18.75" customHeight="1" x14ac:dyDescent="0.25">
      <c r="A74" s="43">
        <f>'MASTER SHEET'!A74</f>
        <v>72</v>
      </c>
      <c r="B74" s="49" t="str">
        <f>'MASTER SHEET'!B74</f>
        <v>CENTERTUBE</v>
      </c>
      <c r="C74" s="86">
        <f>'MASTER SHEET'!C74</f>
        <v>5038950</v>
      </c>
      <c r="D74" s="51"/>
      <c r="E74" s="48"/>
      <c r="F74" s="48"/>
      <c r="G74" s="48"/>
      <c r="H74" s="48">
        <f t="shared" si="97"/>
        <v>0</v>
      </c>
      <c r="I74" s="28"/>
      <c r="J74" s="28"/>
      <c r="K74" s="65"/>
      <c r="L74" s="48">
        <f t="shared" si="98"/>
        <v>0</v>
      </c>
      <c r="M74" s="48"/>
      <c r="N74" s="48"/>
      <c r="O74" s="48"/>
      <c r="P74" s="48">
        <f t="shared" si="99"/>
        <v>0</v>
      </c>
      <c r="Q74" s="48"/>
      <c r="R74" s="48"/>
      <c r="S74" s="48"/>
      <c r="T74" s="48">
        <f t="shared" si="100"/>
        <v>0</v>
      </c>
      <c r="U74" s="48">
        <v>0</v>
      </c>
      <c r="V74" s="48"/>
      <c r="W74" s="48"/>
      <c r="X74" s="48">
        <f t="shared" si="101"/>
        <v>0</v>
      </c>
      <c r="Y74" s="48"/>
      <c r="Z74" s="48"/>
      <c r="AA74" s="48"/>
      <c r="AB74" s="48">
        <f t="shared" si="102"/>
        <v>0</v>
      </c>
      <c r="AC74" s="48"/>
      <c r="AD74" s="48"/>
      <c r="AE74" s="48"/>
      <c r="AF74" s="48">
        <f t="shared" si="103"/>
        <v>0</v>
      </c>
      <c r="AG74" s="48"/>
      <c r="AH74" s="48"/>
      <c r="AI74" s="48"/>
      <c r="AJ74" s="48">
        <f t="shared" si="104"/>
        <v>0</v>
      </c>
      <c r="AK74" s="48"/>
      <c r="AL74" s="48"/>
      <c r="AM74" s="48"/>
      <c r="AN74" s="48">
        <f t="shared" si="105"/>
        <v>0</v>
      </c>
      <c r="AO74" s="48"/>
      <c r="AP74" s="48"/>
      <c r="AQ74" s="48"/>
      <c r="AR74" s="48">
        <f t="shared" si="106"/>
        <v>0</v>
      </c>
      <c r="AS74" s="48"/>
      <c r="AT74" s="48"/>
      <c r="AU74" s="48"/>
      <c r="AV74" s="48">
        <f t="shared" si="107"/>
        <v>0</v>
      </c>
      <c r="AW74" s="48"/>
      <c r="AX74" s="48"/>
      <c r="AY74" s="48"/>
      <c r="AZ74" s="48">
        <f t="shared" si="108"/>
        <v>0</v>
      </c>
      <c r="BA74" s="48"/>
      <c r="BB74" s="48"/>
      <c r="BC74" s="48"/>
      <c r="BD74" s="48">
        <f t="shared" si="109"/>
        <v>0</v>
      </c>
      <c r="BE74" s="48"/>
      <c r="BF74" s="48"/>
      <c r="BG74" s="48"/>
      <c r="BH74" s="48">
        <f t="shared" si="110"/>
        <v>0</v>
      </c>
      <c r="BI74" s="48"/>
      <c r="BJ74" s="48"/>
      <c r="BK74" s="48"/>
      <c r="BL74" s="48">
        <f t="shared" si="111"/>
        <v>0</v>
      </c>
      <c r="BM74" s="48"/>
      <c r="BN74" s="48"/>
      <c r="BO74" s="48"/>
      <c r="BP74" s="48">
        <f t="shared" si="112"/>
        <v>0</v>
      </c>
      <c r="BQ74" s="48"/>
      <c r="BR74" s="48"/>
      <c r="BS74" s="48"/>
      <c r="BT74" s="48">
        <f t="shared" si="113"/>
        <v>0</v>
      </c>
      <c r="BU74" s="48"/>
      <c r="BV74" s="48"/>
      <c r="BW74" s="48"/>
      <c r="BX74" s="48">
        <f t="shared" si="114"/>
        <v>0</v>
      </c>
      <c r="BY74" s="48"/>
      <c r="BZ74" s="48"/>
      <c r="CA74" s="48"/>
      <c r="CB74" s="48">
        <f t="shared" si="115"/>
        <v>0</v>
      </c>
      <c r="CC74" s="48"/>
      <c r="CD74" s="48"/>
      <c r="CE74" s="48"/>
      <c r="CF74" s="48">
        <f t="shared" si="116"/>
        <v>0</v>
      </c>
      <c r="CG74" s="48"/>
      <c r="CH74" s="48"/>
      <c r="CI74" s="48"/>
      <c r="CJ74" s="48">
        <f t="shared" si="117"/>
        <v>0</v>
      </c>
      <c r="CK74" s="48"/>
      <c r="CL74" s="48"/>
      <c r="CM74" s="48"/>
      <c r="CN74" s="48">
        <f t="shared" si="118"/>
        <v>0</v>
      </c>
      <c r="CO74" s="48"/>
      <c r="CP74" s="48"/>
      <c r="CQ74" s="48"/>
      <c r="CR74" s="48">
        <f t="shared" si="119"/>
        <v>0</v>
      </c>
      <c r="CS74" s="48"/>
      <c r="CT74" s="48"/>
      <c r="CU74" s="48"/>
      <c r="CV74" s="48">
        <f t="shared" si="120"/>
        <v>0</v>
      </c>
      <c r="CW74" s="48"/>
      <c r="CX74" s="48"/>
      <c r="CY74" s="48"/>
      <c r="CZ74" s="48">
        <f t="shared" si="121"/>
        <v>0</v>
      </c>
      <c r="DA74" s="48"/>
      <c r="DB74" s="48"/>
      <c r="DC74" s="48"/>
      <c r="DD74" s="48">
        <f t="shared" si="122"/>
        <v>0</v>
      </c>
      <c r="DE74" s="48"/>
      <c r="DF74" s="48"/>
      <c r="DG74" s="48"/>
      <c r="DH74" s="48">
        <f t="shared" si="123"/>
        <v>0</v>
      </c>
      <c r="DI74" s="48"/>
      <c r="DJ74" s="48"/>
      <c r="DK74" s="48"/>
      <c r="DL74" s="48">
        <f t="shared" si="124"/>
        <v>0</v>
      </c>
      <c r="DM74" s="48"/>
      <c r="DN74" s="48"/>
      <c r="DO74" s="48"/>
      <c r="DP74" s="48">
        <f t="shared" si="125"/>
        <v>0</v>
      </c>
      <c r="DQ74" s="48"/>
      <c r="DR74" s="48"/>
      <c r="DS74" s="48"/>
      <c r="DT74" s="48">
        <f t="shared" si="126"/>
        <v>0</v>
      </c>
      <c r="DU74" s="48"/>
      <c r="DV74" s="48"/>
      <c r="DW74" s="48"/>
      <c r="DX74" s="48">
        <f t="shared" si="127"/>
        <v>0</v>
      </c>
      <c r="DY74" s="48">
        <f t="shared" si="128"/>
        <v>0</v>
      </c>
      <c r="DZ74" s="48">
        <f t="shared" si="129"/>
        <v>0</v>
      </c>
      <c r="EA74" s="14">
        <f>D74*'MASTER SHEET'!D74</f>
        <v>0</v>
      </c>
      <c r="EB74" s="14">
        <f>H74*'MASTER SHEET'!D74</f>
        <v>0</v>
      </c>
      <c r="EC74" s="14">
        <f>L74*'MASTER SHEET'!D74</f>
        <v>0</v>
      </c>
      <c r="ED74" s="14">
        <f>P74*'MASTER SHEET'!D74</f>
        <v>0</v>
      </c>
      <c r="EE74" s="14">
        <f>T74*'MASTER SHEET'!D74</f>
        <v>0</v>
      </c>
      <c r="EF74" s="14">
        <f>X74*'MASTER SHEET'!D74</f>
        <v>0</v>
      </c>
      <c r="EG74" s="14">
        <f>AB74*'MASTER SHEET'!D74</f>
        <v>0</v>
      </c>
      <c r="EH74" s="14">
        <f>AF74*'MASTER SHEET'!D74</f>
        <v>0</v>
      </c>
      <c r="EI74" s="14">
        <f>AJ74*'MASTER SHEET'!D74</f>
        <v>0</v>
      </c>
      <c r="EJ74" s="14">
        <f>AN74*'MASTER SHEET'!D74</f>
        <v>0</v>
      </c>
      <c r="EK74" s="14">
        <f>AR74*'MASTER SHEET'!D74</f>
        <v>0</v>
      </c>
      <c r="EL74" s="14">
        <f>AV74*'MASTER SHEET'!D74</f>
        <v>0</v>
      </c>
      <c r="EM74" s="14">
        <f>AZ74*'MASTER SHEET'!D74</f>
        <v>0</v>
      </c>
      <c r="EN74" s="14">
        <f>BD74*'MASTER SHEET'!D74</f>
        <v>0</v>
      </c>
      <c r="EO74" s="14">
        <f>BH74*'MASTER SHEET'!D74</f>
        <v>0</v>
      </c>
      <c r="EP74" s="14">
        <f>BL74*'MASTER SHEET'!D74</f>
        <v>0</v>
      </c>
      <c r="EQ74" s="14">
        <f>BP74*'MASTER SHEET'!D74</f>
        <v>0</v>
      </c>
      <c r="ER74" s="14">
        <f>BT74*'MASTER SHEET'!D74</f>
        <v>0</v>
      </c>
      <c r="ES74" s="14">
        <f>BX74*'MASTER SHEET'!D74</f>
        <v>0</v>
      </c>
      <c r="ET74" s="21">
        <f>CB74*'MASTER SHEET'!D74</f>
        <v>0</v>
      </c>
      <c r="EU74" s="14">
        <f>CF74*'MASTER SHEET'!D74</f>
        <v>0</v>
      </c>
      <c r="EV74" s="14">
        <f>CJ74*'MASTER SHEET'!D74</f>
        <v>0</v>
      </c>
      <c r="EW74" s="14">
        <f>CN74*'MASTER SHEET'!D74</f>
        <v>0</v>
      </c>
      <c r="EX74" s="14">
        <f>CR74*'MASTER SHEET'!D74</f>
        <v>0</v>
      </c>
      <c r="EY74" s="14">
        <f>CR74*'MASTER SHEET'!D74</f>
        <v>0</v>
      </c>
      <c r="EZ74" s="14">
        <f>CV74*'MASTER SHEET'!D74</f>
        <v>0</v>
      </c>
      <c r="FA74" s="14">
        <f>CZ74*'MASTER SHEET'!D74</f>
        <v>0</v>
      </c>
      <c r="FB74" s="14">
        <f>DD74*'MASTER SHEET'!D74</f>
        <v>0</v>
      </c>
    </row>
    <row r="75" spans="1:158" ht="18.75" customHeight="1" x14ac:dyDescent="0.25">
      <c r="A75" s="43">
        <f>'MASTER SHEET'!A75</f>
        <v>73</v>
      </c>
      <c r="B75" s="49" t="str">
        <f>'MASTER SHEET'!B75</f>
        <v>SHELL, PLASTIC,   (9880)</v>
      </c>
      <c r="C75" s="86">
        <f>'MASTER SHEET'!C75</f>
        <v>5036297</v>
      </c>
      <c r="D75" s="51"/>
      <c r="E75" s="48"/>
      <c r="F75" s="48"/>
      <c r="G75" s="48"/>
      <c r="H75" s="48">
        <f t="shared" si="97"/>
        <v>0</v>
      </c>
      <c r="I75" s="28"/>
      <c r="J75" s="28"/>
      <c r="K75" s="65"/>
      <c r="L75" s="48">
        <f t="shared" si="98"/>
        <v>0</v>
      </c>
      <c r="M75" s="48"/>
      <c r="N75" s="48"/>
      <c r="O75" s="48"/>
      <c r="P75" s="48">
        <f t="shared" si="99"/>
        <v>0</v>
      </c>
      <c r="Q75" s="48"/>
      <c r="R75" s="48"/>
      <c r="S75" s="48"/>
      <c r="T75" s="48">
        <f t="shared" si="100"/>
        <v>0</v>
      </c>
      <c r="U75" s="48">
        <v>0</v>
      </c>
      <c r="V75" s="48"/>
      <c r="W75" s="48"/>
      <c r="X75" s="48">
        <f t="shared" si="101"/>
        <v>0</v>
      </c>
      <c r="Y75" s="48"/>
      <c r="Z75" s="48"/>
      <c r="AA75" s="48"/>
      <c r="AB75" s="48">
        <f t="shared" si="102"/>
        <v>0</v>
      </c>
      <c r="AC75" s="48"/>
      <c r="AD75" s="48"/>
      <c r="AE75" s="48"/>
      <c r="AF75" s="48">
        <f t="shared" si="103"/>
        <v>0</v>
      </c>
      <c r="AG75" s="48"/>
      <c r="AH75" s="48"/>
      <c r="AI75" s="48"/>
      <c r="AJ75" s="48">
        <f t="shared" si="104"/>
        <v>0</v>
      </c>
      <c r="AK75" s="48"/>
      <c r="AL75" s="48"/>
      <c r="AM75" s="48"/>
      <c r="AN75" s="48">
        <f t="shared" si="105"/>
        <v>0</v>
      </c>
      <c r="AO75" s="48"/>
      <c r="AP75" s="48"/>
      <c r="AQ75" s="48"/>
      <c r="AR75" s="48">
        <f t="shared" si="106"/>
        <v>0</v>
      </c>
      <c r="AS75" s="48"/>
      <c r="AT75" s="48"/>
      <c r="AU75" s="48"/>
      <c r="AV75" s="48">
        <f t="shared" si="107"/>
        <v>0</v>
      </c>
      <c r="AW75" s="48"/>
      <c r="AX75" s="48"/>
      <c r="AY75" s="48"/>
      <c r="AZ75" s="48">
        <f t="shared" si="108"/>
        <v>0</v>
      </c>
      <c r="BA75" s="48"/>
      <c r="BB75" s="48"/>
      <c r="BC75" s="48"/>
      <c r="BD75" s="48">
        <f t="shared" si="109"/>
        <v>0</v>
      </c>
      <c r="BE75" s="48"/>
      <c r="BF75" s="48"/>
      <c r="BG75" s="48"/>
      <c r="BH75" s="48">
        <f t="shared" si="110"/>
        <v>0</v>
      </c>
      <c r="BI75" s="48"/>
      <c r="BJ75" s="48"/>
      <c r="BK75" s="48"/>
      <c r="BL75" s="48">
        <f t="shared" si="111"/>
        <v>0</v>
      </c>
      <c r="BM75" s="48"/>
      <c r="BN75" s="48"/>
      <c r="BO75" s="48"/>
      <c r="BP75" s="48">
        <f t="shared" si="112"/>
        <v>0</v>
      </c>
      <c r="BQ75" s="48"/>
      <c r="BR75" s="48"/>
      <c r="BS75" s="48"/>
      <c r="BT75" s="48">
        <f t="shared" si="113"/>
        <v>0</v>
      </c>
      <c r="BU75" s="48"/>
      <c r="BV75" s="48"/>
      <c r="BW75" s="48"/>
      <c r="BX75" s="48">
        <f t="shared" si="114"/>
        <v>0</v>
      </c>
      <c r="BY75" s="48"/>
      <c r="BZ75" s="48"/>
      <c r="CA75" s="48"/>
      <c r="CB75" s="48">
        <f t="shared" si="115"/>
        <v>0</v>
      </c>
      <c r="CC75" s="48"/>
      <c r="CD75" s="48"/>
      <c r="CE75" s="48"/>
      <c r="CF75" s="48">
        <f t="shared" si="116"/>
        <v>0</v>
      </c>
      <c r="CG75" s="48"/>
      <c r="CH75" s="48"/>
      <c r="CI75" s="48"/>
      <c r="CJ75" s="48">
        <f t="shared" si="117"/>
        <v>0</v>
      </c>
      <c r="CK75" s="48"/>
      <c r="CL75" s="48"/>
      <c r="CM75" s="48"/>
      <c r="CN75" s="48">
        <f t="shared" si="118"/>
        <v>0</v>
      </c>
      <c r="CO75" s="48"/>
      <c r="CP75" s="48"/>
      <c r="CQ75" s="48"/>
      <c r="CR75" s="48">
        <f t="shared" si="119"/>
        <v>0</v>
      </c>
      <c r="CS75" s="48"/>
      <c r="CT75" s="48"/>
      <c r="CU75" s="48"/>
      <c r="CV75" s="48">
        <f t="shared" si="120"/>
        <v>0</v>
      </c>
      <c r="CW75" s="48"/>
      <c r="CX75" s="48"/>
      <c r="CY75" s="48"/>
      <c r="CZ75" s="48">
        <f t="shared" si="121"/>
        <v>0</v>
      </c>
      <c r="DA75" s="48"/>
      <c r="DB75" s="48"/>
      <c r="DC75" s="48"/>
      <c r="DD75" s="48">
        <f t="shared" si="122"/>
        <v>0</v>
      </c>
      <c r="DE75" s="48"/>
      <c r="DF75" s="48"/>
      <c r="DG75" s="48"/>
      <c r="DH75" s="48">
        <f t="shared" si="123"/>
        <v>0</v>
      </c>
      <c r="DI75" s="48"/>
      <c r="DJ75" s="48"/>
      <c r="DK75" s="48"/>
      <c r="DL75" s="48">
        <f t="shared" si="124"/>
        <v>0</v>
      </c>
      <c r="DM75" s="48"/>
      <c r="DN75" s="48"/>
      <c r="DO75" s="48"/>
      <c r="DP75" s="48">
        <f t="shared" si="125"/>
        <v>0</v>
      </c>
      <c r="DQ75" s="48"/>
      <c r="DR75" s="48"/>
      <c r="DS75" s="48"/>
      <c r="DT75" s="48">
        <f t="shared" si="126"/>
        <v>0</v>
      </c>
      <c r="DU75" s="48"/>
      <c r="DV75" s="48"/>
      <c r="DW75" s="48"/>
      <c r="DX75" s="48">
        <f t="shared" si="127"/>
        <v>0</v>
      </c>
      <c r="DY75" s="48">
        <f t="shared" si="128"/>
        <v>0</v>
      </c>
      <c r="DZ75" s="48">
        <f t="shared" si="129"/>
        <v>0</v>
      </c>
      <c r="EA75" s="14">
        <f>D75*'MASTER SHEET'!D75</f>
        <v>0</v>
      </c>
      <c r="EB75" s="14">
        <f>H75*'MASTER SHEET'!D75</f>
        <v>0</v>
      </c>
      <c r="EC75" s="14">
        <f>L75*'MASTER SHEET'!D75</f>
        <v>0</v>
      </c>
      <c r="ED75" s="14">
        <f>P75*'MASTER SHEET'!D75</f>
        <v>0</v>
      </c>
      <c r="EE75" s="14">
        <f>T75*'MASTER SHEET'!D75</f>
        <v>0</v>
      </c>
      <c r="EF75" s="14">
        <f>X75*'MASTER SHEET'!D75</f>
        <v>0</v>
      </c>
      <c r="EG75" s="14">
        <f>AB75*'MASTER SHEET'!D75</f>
        <v>0</v>
      </c>
      <c r="EH75" s="14">
        <f>AF75*'MASTER SHEET'!D75</f>
        <v>0</v>
      </c>
      <c r="EI75" s="14">
        <f>AJ75*'MASTER SHEET'!D75</f>
        <v>0</v>
      </c>
      <c r="EJ75" s="14">
        <f>AN75*'MASTER SHEET'!D75</f>
        <v>0</v>
      </c>
      <c r="EK75" s="14">
        <f>AR75*'MASTER SHEET'!D75</f>
        <v>0</v>
      </c>
      <c r="EL75" s="14">
        <f>AV75*'MASTER SHEET'!D75</f>
        <v>0</v>
      </c>
      <c r="EM75" s="14">
        <f>AZ75*'MASTER SHEET'!D75</f>
        <v>0</v>
      </c>
      <c r="EN75" s="14">
        <f>BD75*'MASTER SHEET'!D75</f>
        <v>0</v>
      </c>
      <c r="EO75" s="14">
        <f>BH75*'MASTER SHEET'!D75</f>
        <v>0</v>
      </c>
      <c r="EP75" s="14">
        <f>BL75*'MASTER SHEET'!D75</f>
        <v>0</v>
      </c>
      <c r="EQ75" s="14">
        <f>BP75*'MASTER SHEET'!D75</f>
        <v>0</v>
      </c>
      <c r="ER75" s="14">
        <f>BT75*'MASTER SHEET'!D75</f>
        <v>0</v>
      </c>
      <c r="ES75" s="14">
        <f>BX75*'MASTER SHEET'!D75</f>
        <v>0</v>
      </c>
      <c r="ET75" s="21">
        <f>CB75*'MASTER SHEET'!D75</f>
        <v>0</v>
      </c>
      <c r="EU75" s="14">
        <f>CF75*'MASTER SHEET'!D75</f>
        <v>0</v>
      </c>
      <c r="EV75" s="14">
        <f>CJ75*'MASTER SHEET'!D75</f>
        <v>0</v>
      </c>
      <c r="EW75" s="14">
        <f>CN75*'MASTER SHEET'!D75</f>
        <v>0</v>
      </c>
      <c r="EX75" s="14">
        <f>CR75*'MASTER SHEET'!D75</f>
        <v>0</v>
      </c>
      <c r="EY75" s="14">
        <f>CR75*'MASTER SHEET'!D75</f>
        <v>0</v>
      </c>
      <c r="EZ75" s="14">
        <f>CV75*'MASTER SHEET'!D75</f>
        <v>0</v>
      </c>
      <c r="FA75" s="14">
        <f>CZ75*'MASTER SHEET'!D75</f>
        <v>0</v>
      </c>
      <c r="FB75" s="14">
        <f>DD75*'MASTER SHEET'!D75</f>
        <v>0</v>
      </c>
    </row>
    <row r="76" spans="1:158" ht="18.75" customHeight="1" x14ac:dyDescent="0.25">
      <c r="A76" s="43">
        <f>'MASTER SHEET'!A76</f>
        <v>74</v>
      </c>
      <c r="B76" s="49" t="str">
        <f>'MASTER SHEET'!B76</f>
        <v>TUBE OVER FLOW HOSUR</v>
      </c>
      <c r="C76" s="86">
        <f>'MASTER SHEET'!C76</f>
        <v>832000299</v>
      </c>
      <c r="D76" s="51"/>
      <c r="E76" s="48"/>
      <c r="F76" s="48"/>
      <c r="G76" s="48"/>
      <c r="H76" s="48">
        <f t="shared" si="97"/>
        <v>0</v>
      </c>
      <c r="I76" s="28"/>
      <c r="J76" s="28"/>
      <c r="K76" s="65"/>
      <c r="L76" s="48">
        <f t="shared" si="98"/>
        <v>0</v>
      </c>
      <c r="M76" s="48"/>
      <c r="N76" s="48"/>
      <c r="O76" s="48"/>
      <c r="P76" s="48">
        <f t="shared" si="99"/>
        <v>0</v>
      </c>
      <c r="Q76" s="48"/>
      <c r="R76" s="48"/>
      <c r="S76" s="48"/>
      <c r="T76" s="48">
        <f t="shared" si="100"/>
        <v>0</v>
      </c>
      <c r="U76" s="48">
        <v>0</v>
      </c>
      <c r="V76" s="48"/>
      <c r="W76" s="48"/>
      <c r="X76" s="48">
        <f t="shared" si="101"/>
        <v>0</v>
      </c>
      <c r="Y76" s="48"/>
      <c r="Z76" s="48"/>
      <c r="AA76" s="48"/>
      <c r="AB76" s="48">
        <f t="shared" si="102"/>
        <v>0</v>
      </c>
      <c r="AC76" s="48"/>
      <c r="AD76" s="48"/>
      <c r="AE76" s="48"/>
      <c r="AF76" s="48">
        <f t="shared" si="103"/>
        <v>0</v>
      </c>
      <c r="AG76" s="48"/>
      <c r="AH76" s="48"/>
      <c r="AI76" s="48"/>
      <c r="AJ76" s="48">
        <f t="shared" si="104"/>
        <v>0</v>
      </c>
      <c r="AK76" s="48"/>
      <c r="AL76" s="48"/>
      <c r="AM76" s="48"/>
      <c r="AN76" s="48">
        <f t="shared" si="105"/>
        <v>0</v>
      </c>
      <c r="AO76" s="48"/>
      <c r="AP76" s="48"/>
      <c r="AQ76" s="48"/>
      <c r="AR76" s="48">
        <f t="shared" si="106"/>
        <v>0</v>
      </c>
      <c r="AS76" s="48"/>
      <c r="AT76" s="48"/>
      <c r="AU76" s="48"/>
      <c r="AV76" s="48">
        <f t="shared" si="107"/>
        <v>0</v>
      </c>
      <c r="AW76" s="48"/>
      <c r="AX76" s="48"/>
      <c r="AY76" s="48"/>
      <c r="AZ76" s="48">
        <f t="shared" si="108"/>
        <v>0</v>
      </c>
      <c r="BA76" s="48"/>
      <c r="BB76" s="48"/>
      <c r="BC76" s="48"/>
      <c r="BD76" s="48">
        <f t="shared" si="109"/>
        <v>0</v>
      </c>
      <c r="BE76" s="48"/>
      <c r="BF76" s="48"/>
      <c r="BG76" s="48"/>
      <c r="BH76" s="48">
        <f t="shared" si="110"/>
        <v>0</v>
      </c>
      <c r="BI76" s="48"/>
      <c r="BJ76" s="48"/>
      <c r="BK76" s="48"/>
      <c r="BL76" s="48">
        <f t="shared" si="111"/>
        <v>0</v>
      </c>
      <c r="BM76" s="48"/>
      <c r="BN76" s="48"/>
      <c r="BO76" s="48"/>
      <c r="BP76" s="48">
        <f t="shared" si="112"/>
        <v>0</v>
      </c>
      <c r="BQ76" s="48"/>
      <c r="BR76" s="48"/>
      <c r="BS76" s="48"/>
      <c r="BT76" s="48">
        <f t="shared" si="113"/>
        <v>0</v>
      </c>
      <c r="BU76" s="48"/>
      <c r="BV76" s="48"/>
      <c r="BW76" s="48"/>
      <c r="BX76" s="48">
        <f t="shared" si="114"/>
        <v>0</v>
      </c>
      <c r="BY76" s="48"/>
      <c r="BZ76" s="48"/>
      <c r="CA76" s="48"/>
      <c r="CB76" s="48">
        <f t="shared" si="115"/>
        <v>0</v>
      </c>
      <c r="CC76" s="48"/>
      <c r="CD76" s="48"/>
      <c r="CE76" s="48"/>
      <c r="CF76" s="48">
        <f t="shared" si="116"/>
        <v>0</v>
      </c>
      <c r="CG76" s="48"/>
      <c r="CH76" s="48"/>
      <c r="CI76" s="48"/>
      <c r="CJ76" s="48">
        <f t="shared" si="117"/>
        <v>0</v>
      </c>
      <c r="CK76" s="48"/>
      <c r="CL76" s="48"/>
      <c r="CM76" s="48"/>
      <c r="CN76" s="48">
        <f t="shared" si="118"/>
        <v>0</v>
      </c>
      <c r="CO76" s="48"/>
      <c r="CP76" s="48"/>
      <c r="CQ76" s="48"/>
      <c r="CR76" s="48">
        <f t="shared" si="119"/>
        <v>0</v>
      </c>
      <c r="CS76" s="48"/>
      <c r="CT76" s="48"/>
      <c r="CU76" s="48"/>
      <c r="CV76" s="48">
        <f t="shared" si="120"/>
        <v>0</v>
      </c>
      <c r="CW76" s="48"/>
      <c r="CX76" s="48"/>
      <c r="CY76" s="48"/>
      <c r="CZ76" s="48">
        <f t="shared" si="121"/>
        <v>0</v>
      </c>
      <c r="DA76" s="48"/>
      <c r="DB76" s="48"/>
      <c r="DC76" s="48"/>
      <c r="DD76" s="48">
        <f t="shared" si="122"/>
        <v>0</v>
      </c>
      <c r="DE76" s="48"/>
      <c r="DF76" s="48"/>
      <c r="DG76" s="48"/>
      <c r="DH76" s="48">
        <f t="shared" si="123"/>
        <v>0</v>
      </c>
      <c r="DI76" s="48"/>
      <c r="DJ76" s="48"/>
      <c r="DK76" s="48"/>
      <c r="DL76" s="48">
        <f t="shared" si="124"/>
        <v>0</v>
      </c>
      <c r="DM76" s="48"/>
      <c r="DN76" s="48"/>
      <c r="DO76" s="48"/>
      <c r="DP76" s="48">
        <f t="shared" si="125"/>
        <v>0</v>
      </c>
      <c r="DQ76" s="48"/>
      <c r="DR76" s="48"/>
      <c r="DS76" s="48"/>
      <c r="DT76" s="48">
        <f t="shared" si="126"/>
        <v>0</v>
      </c>
      <c r="DU76" s="48"/>
      <c r="DV76" s="48"/>
      <c r="DW76" s="48"/>
      <c r="DX76" s="48">
        <f t="shared" si="127"/>
        <v>0</v>
      </c>
      <c r="DY76" s="48">
        <f t="shared" si="128"/>
        <v>0</v>
      </c>
      <c r="DZ76" s="48">
        <f t="shared" si="129"/>
        <v>0</v>
      </c>
      <c r="EA76" s="14">
        <f>D76*'MASTER SHEET'!D76</f>
        <v>0</v>
      </c>
      <c r="EB76" s="14">
        <f>H76*'MASTER SHEET'!D76</f>
        <v>0</v>
      </c>
      <c r="EC76" s="14">
        <f>L76*'MASTER SHEET'!D76</f>
        <v>0</v>
      </c>
      <c r="ED76" s="14">
        <f>P76*'MASTER SHEET'!D76</f>
        <v>0</v>
      </c>
      <c r="EE76" s="14">
        <f>T76*'MASTER SHEET'!D76</f>
        <v>0</v>
      </c>
      <c r="EF76" s="14">
        <f>X76*'MASTER SHEET'!D76</f>
        <v>0</v>
      </c>
      <c r="EG76" s="14">
        <f>AB76*'MASTER SHEET'!D76</f>
        <v>0</v>
      </c>
      <c r="EH76" s="14">
        <f>AF76*'MASTER SHEET'!D76</f>
        <v>0</v>
      </c>
      <c r="EI76" s="14">
        <f>AJ76*'MASTER SHEET'!D76</f>
        <v>0</v>
      </c>
      <c r="EJ76" s="14">
        <f>AN76*'MASTER SHEET'!D76</f>
        <v>0</v>
      </c>
      <c r="EK76" s="14">
        <f>AR76*'MASTER SHEET'!D76</f>
        <v>0</v>
      </c>
      <c r="EL76" s="14">
        <f>AV76*'MASTER SHEET'!D76</f>
        <v>0</v>
      </c>
      <c r="EM76" s="14">
        <f>AZ76*'MASTER SHEET'!D76</f>
        <v>0</v>
      </c>
      <c r="EN76" s="14">
        <f>BD76*'MASTER SHEET'!D76</f>
        <v>0</v>
      </c>
      <c r="EO76" s="14">
        <f>BH76*'MASTER SHEET'!D76</f>
        <v>0</v>
      </c>
      <c r="EP76" s="14">
        <f>BL76*'MASTER SHEET'!D76</f>
        <v>0</v>
      </c>
      <c r="EQ76" s="14">
        <f>BP76*'MASTER SHEET'!D76</f>
        <v>0</v>
      </c>
      <c r="ER76" s="14">
        <f>BT76*'MASTER SHEET'!D76</f>
        <v>0</v>
      </c>
      <c r="ES76" s="14">
        <f>BX76*'MASTER SHEET'!D76</f>
        <v>0</v>
      </c>
      <c r="ET76" s="21">
        <f>CB76*'MASTER SHEET'!D76</f>
        <v>0</v>
      </c>
      <c r="EU76" s="14">
        <f>CF76*'MASTER SHEET'!D76</f>
        <v>0</v>
      </c>
      <c r="EV76" s="14">
        <f>CJ76*'MASTER SHEET'!D76</f>
        <v>0</v>
      </c>
      <c r="EW76" s="14">
        <f>CN76*'MASTER SHEET'!D76</f>
        <v>0</v>
      </c>
      <c r="EX76" s="14">
        <f>CR76*'MASTER SHEET'!D76</f>
        <v>0</v>
      </c>
      <c r="EY76" s="14">
        <f>CR76*'MASTER SHEET'!D76</f>
        <v>0</v>
      </c>
      <c r="EZ76" s="14">
        <f>CV76*'MASTER SHEET'!D76</f>
        <v>0</v>
      </c>
      <c r="FA76" s="14">
        <f>CZ76*'MASTER SHEET'!D76</f>
        <v>0</v>
      </c>
      <c r="FB76" s="14">
        <f>DD76*'MASTER SHEET'!D76</f>
        <v>0</v>
      </c>
    </row>
    <row r="77" spans="1:158" ht="18.75" customHeight="1" x14ac:dyDescent="0.25">
      <c r="A77" s="43">
        <f>'MASTER SHEET'!A77</f>
        <v>75</v>
      </c>
      <c r="B77" s="49" t="str">
        <f>'MASTER SHEET'!B77</f>
        <v>CAP PLASTIC</v>
      </c>
      <c r="C77" s="86">
        <f>'MASTER SHEET'!C77</f>
        <v>5037040</v>
      </c>
      <c r="D77" s="51"/>
      <c r="E77" s="48"/>
      <c r="F77" s="48"/>
      <c r="G77" s="48"/>
      <c r="H77" s="48">
        <f t="shared" si="97"/>
        <v>0</v>
      </c>
      <c r="I77" s="28"/>
      <c r="J77" s="28"/>
      <c r="K77" s="65"/>
      <c r="L77" s="48">
        <f t="shared" si="98"/>
        <v>0</v>
      </c>
      <c r="M77" s="48"/>
      <c r="N77" s="48"/>
      <c r="O77" s="48"/>
      <c r="P77" s="48">
        <f t="shared" si="99"/>
        <v>0</v>
      </c>
      <c r="Q77" s="48"/>
      <c r="R77" s="48"/>
      <c r="S77" s="48"/>
      <c r="T77" s="48">
        <f t="shared" si="100"/>
        <v>0</v>
      </c>
      <c r="U77" s="48">
        <v>0</v>
      </c>
      <c r="V77" s="48"/>
      <c r="W77" s="48"/>
      <c r="X77" s="48">
        <f t="shared" si="101"/>
        <v>0</v>
      </c>
      <c r="Y77" s="48"/>
      <c r="Z77" s="48"/>
      <c r="AA77" s="48"/>
      <c r="AB77" s="48">
        <f t="shared" si="102"/>
        <v>0</v>
      </c>
      <c r="AC77" s="48"/>
      <c r="AD77" s="48"/>
      <c r="AE77" s="48"/>
      <c r="AF77" s="48">
        <f t="shared" si="103"/>
        <v>0</v>
      </c>
      <c r="AG77" s="48"/>
      <c r="AH77" s="48"/>
      <c r="AI77" s="48"/>
      <c r="AJ77" s="48">
        <f t="shared" si="104"/>
        <v>0</v>
      </c>
      <c r="AK77" s="48"/>
      <c r="AL77" s="48"/>
      <c r="AM77" s="48"/>
      <c r="AN77" s="48">
        <f t="shared" si="105"/>
        <v>0</v>
      </c>
      <c r="AO77" s="48"/>
      <c r="AP77" s="48"/>
      <c r="AQ77" s="48"/>
      <c r="AR77" s="48">
        <f t="shared" si="106"/>
        <v>0</v>
      </c>
      <c r="AS77" s="48"/>
      <c r="AT77" s="48"/>
      <c r="AU77" s="48"/>
      <c r="AV77" s="48">
        <f t="shared" si="107"/>
        <v>0</v>
      </c>
      <c r="AW77" s="48"/>
      <c r="AX77" s="48"/>
      <c r="AY77" s="48"/>
      <c r="AZ77" s="48">
        <f t="shared" si="108"/>
        <v>0</v>
      </c>
      <c r="BA77" s="48"/>
      <c r="BB77" s="48"/>
      <c r="BC77" s="48"/>
      <c r="BD77" s="48">
        <f t="shared" si="109"/>
        <v>0</v>
      </c>
      <c r="BE77" s="48"/>
      <c r="BF77" s="48"/>
      <c r="BG77" s="48"/>
      <c r="BH77" s="48">
        <f t="shared" si="110"/>
        <v>0</v>
      </c>
      <c r="BI77" s="48"/>
      <c r="BJ77" s="48"/>
      <c r="BK77" s="48"/>
      <c r="BL77" s="48">
        <f t="shared" si="111"/>
        <v>0</v>
      </c>
      <c r="BM77" s="48"/>
      <c r="BN77" s="48"/>
      <c r="BO77" s="48"/>
      <c r="BP77" s="48">
        <f t="shared" si="112"/>
        <v>0</v>
      </c>
      <c r="BQ77" s="48"/>
      <c r="BR77" s="48"/>
      <c r="BS77" s="48"/>
      <c r="BT77" s="48">
        <f t="shared" si="113"/>
        <v>0</v>
      </c>
      <c r="BU77" s="48"/>
      <c r="BV77" s="48"/>
      <c r="BW77" s="48"/>
      <c r="BX77" s="48">
        <f t="shared" si="114"/>
        <v>0</v>
      </c>
      <c r="BY77" s="48"/>
      <c r="BZ77" s="48"/>
      <c r="CA77" s="48"/>
      <c r="CB77" s="48">
        <f t="shared" si="115"/>
        <v>0</v>
      </c>
      <c r="CC77" s="48"/>
      <c r="CD77" s="48"/>
      <c r="CE77" s="48"/>
      <c r="CF77" s="48">
        <f t="shared" si="116"/>
        <v>0</v>
      </c>
      <c r="CG77" s="48"/>
      <c r="CH77" s="48"/>
      <c r="CI77" s="48"/>
      <c r="CJ77" s="48">
        <f t="shared" si="117"/>
        <v>0</v>
      </c>
      <c r="CK77" s="48"/>
      <c r="CL77" s="48"/>
      <c r="CM77" s="48"/>
      <c r="CN77" s="48">
        <f t="shared" si="118"/>
        <v>0</v>
      </c>
      <c r="CO77" s="48"/>
      <c r="CP77" s="48"/>
      <c r="CQ77" s="48"/>
      <c r="CR77" s="48">
        <f t="shared" si="119"/>
        <v>0</v>
      </c>
      <c r="CS77" s="48"/>
      <c r="CT77" s="48"/>
      <c r="CU77" s="48"/>
      <c r="CV77" s="48">
        <f t="shared" si="120"/>
        <v>0</v>
      </c>
      <c r="CW77" s="48"/>
      <c r="CX77" s="48"/>
      <c r="CY77" s="48"/>
      <c r="CZ77" s="48">
        <f t="shared" si="121"/>
        <v>0</v>
      </c>
      <c r="DA77" s="48"/>
      <c r="DB77" s="48"/>
      <c r="DC77" s="48"/>
      <c r="DD77" s="48">
        <f t="shared" si="122"/>
        <v>0</v>
      </c>
      <c r="DE77" s="48"/>
      <c r="DF77" s="48"/>
      <c r="DG77" s="48"/>
      <c r="DH77" s="48">
        <f t="shared" si="123"/>
        <v>0</v>
      </c>
      <c r="DI77" s="48"/>
      <c r="DJ77" s="48"/>
      <c r="DK77" s="48"/>
      <c r="DL77" s="48">
        <f t="shared" si="124"/>
        <v>0</v>
      </c>
      <c r="DM77" s="48">
        <v>0</v>
      </c>
      <c r="DN77" s="48">
        <v>0</v>
      </c>
      <c r="DO77" s="48">
        <v>0</v>
      </c>
      <c r="DP77" s="48">
        <f t="shared" si="125"/>
        <v>0</v>
      </c>
      <c r="DQ77" s="48"/>
      <c r="DR77" s="48"/>
      <c r="DS77" s="48"/>
      <c r="DT77" s="48">
        <f t="shared" si="126"/>
        <v>0</v>
      </c>
      <c r="DU77" s="48"/>
      <c r="DV77" s="48"/>
      <c r="DW77" s="48"/>
      <c r="DX77" s="48">
        <f t="shared" si="127"/>
        <v>0</v>
      </c>
      <c r="DY77" s="48">
        <f t="shared" si="128"/>
        <v>0</v>
      </c>
      <c r="DZ77" s="48">
        <f t="shared" si="129"/>
        <v>0</v>
      </c>
      <c r="EA77" s="14">
        <f>D77*'MASTER SHEET'!D77</f>
        <v>0</v>
      </c>
      <c r="EB77" s="14">
        <f>H77*'MASTER SHEET'!D77</f>
        <v>0</v>
      </c>
      <c r="EC77" s="14">
        <f>L77*'MASTER SHEET'!D77</f>
        <v>0</v>
      </c>
      <c r="ED77" s="14">
        <f>P77*'MASTER SHEET'!D77</f>
        <v>0</v>
      </c>
      <c r="EE77" s="14">
        <f>T77*'MASTER SHEET'!D77</f>
        <v>0</v>
      </c>
      <c r="EF77" s="14">
        <f>X77*'MASTER SHEET'!D77</f>
        <v>0</v>
      </c>
      <c r="EG77" s="14">
        <f>AB77*'MASTER SHEET'!D77</f>
        <v>0</v>
      </c>
      <c r="EH77" s="14">
        <f>AF77*'MASTER SHEET'!D77</f>
        <v>0</v>
      </c>
      <c r="EI77" s="14">
        <f>AJ77*'MASTER SHEET'!D77</f>
        <v>0</v>
      </c>
      <c r="EJ77" s="14">
        <f>AN77*'MASTER SHEET'!D77</f>
        <v>0</v>
      </c>
      <c r="EK77" s="14">
        <f>AR77*'MASTER SHEET'!D77</f>
        <v>0</v>
      </c>
      <c r="EL77" s="14">
        <f>AV77*'MASTER SHEET'!D77</f>
        <v>0</v>
      </c>
      <c r="EM77" s="14">
        <f>AZ77*'MASTER SHEET'!D77</f>
        <v>0</v>
      </c>
      <c r="EN77" s="14">
        <f>BD77*'MASTER SHEET'!D77</f>
        <v>0</v>
      </c>
      <c r="EO77" s="14">
        <f>BH77*'MASTER SHEET'!D77</f>
        <v>0</v>
      </c>
      <c r="EP77" s="14">
        <f>BL77*'MASTER SHEET'!D77</f>
        <v>0</v>
      </c>
      <c r="EQ77" s="14">
        <f>BP77*'MASTER SHEET'!D77</f>
        <v>0</v>
      </c>
      <c r="ER77" s="14">
        <f>BT77*'MASTER SHEET'!D77</f>
        <v>0</v>
      </c>
      <c r="ES77" s="14">
        <f>BX77*'MASTER SHEET'!D77</f>
        <v>0</v>
      </c>
      <c r="ET77" s="21">
        <f>CB77*'MASTER SHEET'!D77</f>
        <v>0</v>
      </c>
      <c r="EU77" s="14">
        <f>CF77*'MASTER SHEET'!D77</f>
        <v>0</v>
      </c>
      <c r="EV77" s="14">
        <f>CJ77*'MASTER SHEET'!D77</f>
        <v>0</v>
      </c>
      <c r="EW77" s="14">
        <f>CN77*'MASTER SHEET'!D77</f>
        <v>0</v>
      </c>
      <c r="EX77" s="14">
        <f>CR77*'MASTER SHEET'!D77</f>
        <v>0</v>
      </c>
      <c r="EY77" s="14">
        <f>CR77*'MASTER SHEET'!D77</f>
        <v>0</v>
      </c>
      <c r="EZ77" s="14">
        <f>CV77*'MASTER SHEET'!D77</f>
        <v>0</v>
      </c>
      <c r="FA77" s="14">
        <f>CZ77*'MASTER SHEET'!D77</f>
        <v>0</v>
      </c>
      <c r="FB77" s="14">
        <f>DD77*'MASTER SHEET'!D77</f>
        <v>0</v>
      </c>
    </row>
    <row r="78" spans="1:158" ht="18.75" customHeight="1" x14ac:dyDescent="0.25">
      <c r="A78" s="43">
        <f>'MASTER SHEET'!A78</f>
        <v>76</v>
      </c>
      <c r="B78" s="49" t="str">
        <f>'MASTER SHEET'!B78</f>
        <v>BASE HOUSING CRANKCASE</v>
      </c>
      <c r="C78" s="86">
        <f>'MASTER SHEET'!C78</f>
        <v>5024978</v>
      </c>
      <c r="D78" s="51"/>
      <c r="E78" s="48"/>
      <c r="F78" s="48"/>
      <c r="G78" s="48"/>
      <c r="H78" s="48">
        <f t="shared" si="97"/>
        <v>0</v>
      </c>
      <c r="I78" s="28"/>
      <c r="J78" s="28"/>
      <c r="K78" s="65"/>
      <c r="L78" s="48">
        <f t="shared" si="98"/>
        <v>0</v>
      </c>
      <c r="M78" s="48"/>
      <c r="N78" s="48"/>
      <c r="O78" s="48"/>
      <c r="P78" s="48">
        <f t="shared" si="99"/>
        <v>0</v>
      </c>
      <c r="Q78" s="48"/>
      <c r="R78" s="48"/>
      <c r="S78" s="48"/>
      <c r="T78" s="48">
        <f t="shared" si="100"/>
        <v>0</v>
      </c>
      <c r="U78" s="48">
        <v>0</v>
      </c>
      <c r="V78" s="48"/>
      <c r="W78" s="48"/>
      <c r="X78" s="48">
        <f t="shared" si="101"/>
        <v>0</v>
      </c>
      <c r="Y78" s="48"/>
      <c r="Z78" s="48"/>
      <c r="AA78" s="48"/>
      <c r="AB78" s="48">
        <f t="shared" si="102"/>
        <v>0</v>
      </c>
      <c r="AC78" s="48"/>
      <c r="AD78" s="48"/>
      <c r="AE78" s="48"/>
      <c r="AF78" s="48">
        <f t="shared" si="103"/>
        <v>0</v>
      </c>
      <c r="AG78" s="48"/>
      <c r="AH78" s="48"/>
      <c r="AI78" s="48"/>
      <c r="AJ78" s="48">
        <f t="shared" si="104"/>
        <v>0</v>
      </c>
      <c r="AK78" s="48"/>
      <c r="AL78" s="48"/>
      <c r="AM78" s="48"/>
      <c r="AN78" s="48">
        <f t="shared" si="105"/>
        <v>0</v>
      </c>
      <c r="AO78" s="48">
        <v>0</v>
      </c>
      <c r="AP78" s="48">
        <v>0</v>
      </c>
      <c r="AQ78" s="48">
        <v>0</v>
      </c>
      <c r="AR78" s="48">
        <f t="shared" si="106"/>
        <v>0</v>
      </c>
      <c r="AS78" s="48">
        <v>353</v>
      </c>
      <c r="AT78" s="48">
        <v>343</v>
      </c>
      <c r="AU78" s="48">
        <v>10</v>
      </c>
      <c r="AV78" s="48">
        <f t="shared" si="107"/>
        <v>0</v>
      </c>
      <c r="AW78" s="48">
        <v>0</v>
      </c>
      <c r="AX78" s="48">
        <v>0</v>
      </c>
      <c r="AY78" s="48">
        <v>0</v>
      </c>
      <c r="AZ78" s="48">
        <f t="shared" si="108"/>
        <v>0</v>
      </c>
      <c r="BA78" s="48"/>
      <c r="BB78" s="48"/>
      <c r="BC78" s="48"/>
      <c r="BD78" s="48">
        <f t="shared" si="109"/>
        <v>0</v>
      </c>
      <c r="BE78" s="48"/>
      <c r="BF78" s="48"/>
      <c r="BG78" s="48"/>
      <c r="BH78" s="48">
        <f t="shared" si="110"/>
        <v>0</v>
      </c>
      <c r="BI78" s="48"/>
      <c r="BJ78" s="48"/>
      <c r="BK78" s="48"/>
      <c r="BL78" s="48">
        <f t="shared" si="111"/>
        <v>0</v>
      </c>
      <c r="BM78" s="48"/>
      <c r="BN78" s="48"/>
      <c r="BO78" s="48"/>
      <c r="BP78" s="48">
        <f t="shared" si="112"/>
        <v>0</v>
      </c>
      <c r="BQ78" s="48"/>
      <c r="BR78" s="48"/>
      <c r="BS78" s="48"/>
      <c r="BT78" s="48">
        <f t="shared" si="113"/>
        <v>0</v>
      </c>
      <c r="BU78" s="48"/>
      <c r="BV78" s="48"/>
      <c r="BW78" s="48"/>
      <c r="BX78" s="48">
        <f t="shared" si="114"/>
        <v>0</v>
      </c>
      <c r="BY78" s="48"/>
      <c r="BZ78" s="48"/>
      <c r="CA78" s="48"/>
      <c r="CB78" s="48">
        <f t="shared" si="115"/>
        <v>0</v>
      </c>
      <c r="CC78" s="48"/>
      <c r="CD78" s="48"/>
      <c r="CE78" s="48"/>
      <c r="CF78" s="48">
        <f t="shared" si="116"/>
        <v>0</v>
      </c>
      <c r="CG78" s="48"/>
      <c r="CH78" s="48"/>
      <c r="CI78" s="48"/>
      <c r="CJ78" s="48">
        <f t="shared" si="117"/>
        <v>0</v>
      </c>
      <c r="CK78" s="48"/>
      <c r="CL78" s="48"/>
      <c r="CM78" s="48"/>
      <c r="CN78" s="48">
        <f t="shared" si="118"/>
        <v>0</v>
      </c>
      <c r="CO78" s="48"/>
      <c r="CP78" s="48"/>
      <c r="CQ78" s="48"/>
      <c r="CR78" s="48">
        <f t="shared" si="119"/>
        <v>0</v>
      </c>
      <c r="CS78" s="48"/>
      <c r="CT78" s="48"/>
      <c r="CU78" s="48"/>
      <c r="CV78" s="48">
        <f t="shared" si="120"/>
        <v>0</v>
      </c>
      <c r="CW78" s="48"/>
      <c r="CX78" s="48"/>
      <c r="CY78" s="48"/>
      <c r="CZ78" s="48">
        <f t="shared" si="121"/>
        <v>0</v>
      </c>
      <c r="DA78" s="48"/>
      <c r="DB78" s="48"/>
      <c r="DC78" s="48"/>
      <c r="DD78" s="48">
        <f t="shared" si="122"/>
        <v>0</v>
      </c>
      <c r="DE78" s="48"/>
      <c r="DF78" s="48"/>
      <c r="DG78" s="48"/>
      <c r="DH78" s="48">
        <f t="shared" si="123"/>
        <v>0</v>
      </c>
      <c r="DI78" s="48"/>
      <c r="DJ78" s="48"/>
      <c r="DK78" s="48"/>
      <c r="DL78" s="48">
        <f t="shared" si="124"/>
        <v>0</v>
      </c>
      <c r="DM78" s="48"/>
      <c r="DN78" s="48"/>
      <c r="DO78" s="48"/>
      <c r="DP78" s="48">
        <f t="shared" si="125"/>
        <v>0</v>
      </c>
      <c r="DQ78" s="48"/>
      <c r="DR78" s="48"/>
      <c r="DS78" s="48"/>
      <c r="DT78" s="48">
        <f t="shared" si="126"/>
        <v>0</v>
      </c>
      <c r="DU78" s="48"/>
      <c r="DV78" s="48"/>
      <c r="DW78" s="48"/>
      <c r="DX78" s="48">
        <f t="shared" si="127"/>
        <v>0</v>
      </c>
      <c r="DY78" s="48">
        <f t="shared" si="128"/>
        <v>353</v>
      </c>
      <c r="DZ78" s="48">
        <f t="shared" si="129"/>
        <v>10</v>
      </c>
      <c r="EA78" s="14">
        <f>D78*'MASTER SHEET'!D78</f>
        <v>0</v>
      </c>
      <c r="EB78" s="14">
        <f>H78*'MASTER SHEET'!D78</f>
        <v>0</v>
      </c>
      <c r="EC78" s="14">
        <f>L78*'MASTER SHEET'!D78</f>
        <v>0</v>
      </c>
      <c r="ED78" s="14">
        <f>P78*'MASTER SHEET'!D78</f>
        <v>0</v>
      </c>
      <c r="EE78" s="14">
        <f>T78*'MASTER SHEET'!D78</f>
        <v>0</v>
      </c>
      <c r="EF78" s="14">
        <f>X78*'MASTER SHEET'!D78</f>
        <v>0</v>
      </c>
      <c r="EG78" s="14">
        <f>AB78*'MASTER SHEET'!D78</f>
        <v>0</v>
      </c>
      <c r="EH78" s="14">
        <f>AF78*'MASTER SHEET'!D78</f>
        <v>0</v>
      </c>
      <c r="EI78" s="14">
        <f>AJ78*'MASTER SHEET'!D78</f>
        <v>0</v>
      </c>
      <c r="EJ78" s="14">
        <f>AN78*'MASTER SHEET'!D78</f>
        <v>0</v>
      </c>
      <c r="EK78" s="14">
        <f>AR78*'MASTER SHEET'!D78</f>
        <v>0</v>
      </c>
      <c r="EL78" s="14">
        <f>AV78*'MASTER SHEET'!D78</f>
        <v>0</v>
      </c>
      <c r="EM78" s="14">
        <f>AZ78*'MASTER SHEET'!D78</f>
        <v>0</v>
      </c>
      <c r="EN78" s="14">
        <f>BD78*'MASTER SHEET'!D78</f>
        <v>0</v>
      </c>
      <c r="EO78" s="14">
        <f>BH78*'MASTER SHEET'!D78</f>
        <v>0</v>
      </c>
      <c r="EP78" s="14">
        <f>BL78*'MASTER SHEET'!D78</f>
        <v>0</v>
      </c>
      <c r="EQ78" s="14">
        <f>BP78*'MASTER SHEET'!D78</f>
        <v>0</v>
      </c>
      <c r="ER78" s="14">
        <f>BT78*'MASTER SHEET'!D78</f>
        <v>0</v>
      </c>
      <c r="ES78" s="14">
        <f>BX78*'MASTER SHEET'!D78</f>
        <v>0</v>
      </c>
      <c r="ET78" s="21">
        <f>CB78*'MASTER SHEET'!D78</f>
        <v>0</v>
      </c>
      <c r="EU78" s="14">
        <f>CF78*'MASTER SHEET'!D78</f>
        <v>0</v>
      </c>
      <c r="EV78" s="14">
        <f>CJ78*'MASTER SHEET'!D78</f>
        <v>0</v>
      </c>
      <c r="EW78" s="14">
        <f>CN78*'MASTER SHEET'!D78</f>
        <v>0</v>
      </c>
      <c r="EX78" s="14">
        <f>CR78*'MASTER SHEET'!D78</f>
        <v>0</v>
      </c>
      <c r="EY78" s="14">
        <f>CR78*'MASTER SHEET'!D78</f>
        <v>0</v>
      </c>
      <c r="EZ78" s="14">
        <f>CV78*'MASTER SHEET'!D78</f>
        <v>0</v>
      </c>
      <c r="FA78" s="14">
        <f>CZ78*'MASTER SHEET'!D78</f>
        <v>0</v>
      </c>
      <c r="FB78" s="14">
        <f>DD78*'MASTER SHEET'!D78</f>
        <v>0</v>
      </c>
    </row>
    <row r="79" spans="1:158" ht="18.75" customHeight="1" x14ac:dyDescent="0.25">
      <c r="A79" s="43">
        <f>'MASTER SHEET'!A79</f>
        <v>77</v>
      </c>
      <c r="B79" s="49">
        <f>'MASTER SHEET'!B79</f>
        <v>0</v>
      </c>
      <c r="C79" s="86">
        <f>'MASTER SHEET'!C79</f>
        <v>5032514</v>
      </c>
      <c r="D79" s="51"/>
      <c r="E79" s="48"/>
      <c r="F79" s="48"/>
      <c r="G79" s="48"/>
      <c r="H79" s="48">
        <f t="shared" si="97"/>
        <v>0</v>
      </c>
      <c r="I79" s="28"/>
      <c r="J79" s="28"/>
      <c r="K79" s="65"/>
      <c r="L79" s="48">
        <f t="shared" si="98"/>
        <v>0</v>
      </c>
      <c r="M79" s="48"/>
      <c r="N79" s="48"/>
      <c r="O79" s="48"/>
      <c r="P79" s="48">
        <f t="shared" si="99"/>
        <v>0</v>
      </c>
      <c r="Q79" s="48"/>
      <c r="R79" s="48"/>
      <c r="S79" s="48"/>
      <c r="T79" s="48">
        <f t="shared" si="100"/>
        <v>0</v>
      </c>
      <c r="U79" s="48">
        <v>0</v>
      </c>
      <c r="V79" s="48"/>
      <c r="W79" s="48"/>
      <c r="X79" s="48">
        <f t="shared" si="101"/>
        <v>0</v>
      </c>
      <c r="Y79" s="48"/>
      <c r="Z79" s="48"/>
      <c r="AA79" s="48"/>
      <c r="AB79" s="48">
        <f t="shared" si="102"/>
        <v>0</v>
      </c>
      <c r="AC79" s="48"/>
      <c r="AD79" s="48"/>
      <c r="AE79" s="48"/>
      <c r="AF79" s="48">
        <f t="shared" si="103"/>
        <v>0</v>
      </c>
      <c r="AG79" s="48"/>
      <c r="AH79" s="48"/>
      <c r="AI79" s="48"/>
      <c r="AJ79" s="48">
        <f t="shared" si="104"/>
        <v>0</v>
      </c>
      <c r="AK79" s="48"/>
      <c r="AL79" s="48"/>
      <c r="AM79" s="48"/>
      <c r="AN79" s="48">
        <f t="shared" si="105"/>
        <v>0</v>
      </c>
      <c r="AO79" s="48"/>
      <c r="AP79" s="48"/>
      <c r="AQ79" s="48"/>
      <c r="AR79" s="48">
        <f t="shared" si="106"/>
        <v>0</v>
      </c>
      <c r="AS79" s="48"/>
      <c r="AT79" s="48"/>
      <c r="AU79" s="48"/>
      <c r="AV79" s="48">
        <f t="shared" si="107"/>
        <v>0</v>
      </c>
      <c r="AW79" s="48"/>
      <c r="AX79" s="48"/>
      <c r="AY79" s="48"/>
      <c r="AZ79" s="48">
        <f t="shared" si="108"/>
        <v>0</v>
      </c>
      <c r="BA79" s="48"/>
      <c r="BB79" s="48"/>
      <c r="BC79" s="48"/>
      <c r="BD79" s="48">
        <f t="shared" si="109"/>
        <v>0</v>
      </c>
      <c r="BE79" s="48"/>
      <c r="BF79" s="48"/>
      <c r="BG79" s="48"/>
      <c r="BH79" s="48">
        <f t="shared" si="110"/>
        <v>0</v>
      </c>
      <c r="BI79" s="48"/>
      <c r="BJ79" s="48"/>
      <c r="BK79" s="48"/>
      <c r="BL79" s="48">
        <f t="shared" si="111"/>
        <v>0</v>
      </c>
      <c r="BM79" s="48"/>
      <c r="BN79" s="48"/>
      <c r="BO79" s="48"/>
      <c r="BP79" s="48">
        <f t="shared" si="112"/>
        <v>0</v>
      </c>
      <c r="BQ79" s="48"/>
      <c r="BR79" s="48"/>
      <c r="BS79" s="48"/>
      <c r="BT79" s="48">
        <f t="shared" si="113"/>
        <v>0</v>
      </c>
      <c r="BU79" s="48"/>
      <c r="BV79" s="48"/>
      <c r="BW79" s="48"/>
      <c r="BX79" s="48">
        <f t="shared" si="114"/>
        <v>0</v>
      </c>
      <c r="BY79" s="48"/>
      <c r="BZ79" s="48"/>
      <c r="CA79" s="48"/>
      <c r="CB79" s="48">
        <f t="shared" si="115"/>
        <v>0</v>
      </c>
      <c r="CC79" s="48"/>
      <c r="CD79" s="48"/>
      <c r="CE79" s="48"/>
      <c r="CF79" s="48">
        <f t="shared" si="116"/>
        <v>0</v>
      </c>
      <c r="CG79" s="48"/>
      <c r="CH79" s="48"/>
      <c r="CI79" s="48"/>
      <c r="CJ79" s="48">
        <f t="shared" si="117"/>
        <v>0</v>
      </c>
      <c r="CK79" s="48">
        <v>1612</v>
      </c>
      <c r="CL79" s="48">
        <v>1596</v>
      </c>
      <c r="CM79" s="48">
        <v>16</v>
      </c>
      <c r="CN79" s="48">
        <f t="shared" si="118"/>
        <v>0</v>
      </c>
      <c r="CO79" s="48">
        <v>888</v>
      </c>
      <c r="CP79" s="48">
        <v>888</v>
      </c>
      <c r="CQ79" s="48">
        <v>0</v>
      </c>
      <c r="CR79" s="48">
        <f t="shared" si="119"/>
        <v>0</v>
      </c>
      <c r="CS79" s="48"/>
      <c r="CT79" s="48"/>
      <c r="CU79" s="48"/>
      <c r="CV79" s="48">
        <f t="shared" si="120"/>
        <v>0</v>
      </c>
      <c r="CW79" s="48"/>
      <c r="CX79" s="48"/>
      <c r="CY79" s="48"/>
      <c r="CZ79" s="48">
        <f t="shared" si="121"/>
        <v>0</v>
      </c>
      <c r="DA79" s="48"/>
      <c r="DB79" s="48"/>
      <c r="DC79" s="48"/>
      <c r="DD79" s="48">
        <f t="shared" si="122"/>
        <v>0</v>
      </c>
      <c r="DE79" s="48"/>
      <c r="DF79" s="48"/>
      <c r="DG79" s="48"/>
      <c r="DH79" s="48">
        <f t="shared" si="123"/>
        <v>0</v>
      </c>
      <c r="DI79" s="48"/>
      <c r="DJ79" s="48"/>
      <c r="DK79" s="48"/>
      <c r="DL79" s="48">
        <f t="shared" si="124"/>
        <v>0</v>
      </c>
      <c r="DM79" s="48"/>
      <c r="DN79" s="48"/>
      <c r="DO79" s="48"/>
      <c r="DP79" s="48">
        <f t="shared" si="125"/>
        <v>0</v>
      </c>
      <c r="DQ79" s="48"/>
      <c r="DR79" s="48"/>
      <c r="DS79" s="48"/>
      <c r="DT79" s="48">
        <f t="shared" si="126"/>
        <v>0</v>
      </c>
      <c r="DU79" s="48"/>
      <c r="DV79" s="48"/>
      <c r="DW79" s="48"/>
      <c r="DX79" s="48">
        <f t="shared" si="127"/>
        <v>0</v>
      </c>
      <c r="DY79" s="48">
        <f t="shared" si="128"/>
        <v>2500</v>
      </c>
      <c r="DZ79" s="48">
        <f t="shared" si="129"/>
        <v>16</v>
      </c>
      <c r="EA79" s="14">
        <f>D79*'MASTER SHEET'!D79</f>
        <v>0</v>
      </c>
      <c r="EB79" s="14">
        <f>H79*'MASTER SHEET'!D79</f>
        <v>0</v>
      </c>
      <c r="EC79" s="14">
        <f>L79*'MASTER SHEET'!D79</f>
        <v>0</v>
      </c>
      <c r="ED79" s="14">
        <f>P79*'MASTER SHEET'!D79</f>
        <v>0</v>
      </c>
      <c r="EE79" s="14">
        <f>T79*'MASTER SHEET'!D79</f>
        <v>0</v>
      </c>
      <c r="EF79" s="14">
        <f>X79*'MASTER SHEET'!D79</f>
        <v>0</v>
      </c>
      <c r="EG79" s="14">
        <f>AB79*'MASTER SHEET'!D79</f>
        <v>0</v>
      </c>
      <c r="EH79" s="14">
        <f>AF79*'MASTER SHEET'!D79</f>
        <v>0</v>
      </c>
      <c r="EI79" s="14">
        <f>AJ79*'MASTER SHEET'!D79</f>
        <v>0</v>
      </c>
      <c r="EJ79" s="14">
        <f>AN79*'MASTER SHEET'!D79</f>
        <v>0</v>
      </c>
      <c r="EK79" s="14">
        <f>AR79*'MASTER SHEET'!D79</f>
        <v>0</v>
      </c>
      <c r="EL79" s="14">
        <f>AV79*'MASTER SHEET'!D79</f>
        <v>0</v>
      </c>
      <c r="EM79" s="14">
        <f>AZ79*'MASTER SHEET'!D79</f>
        <v>0</v>
      </c>
      <c r="EN79" s="14">
        <f>BD79*'MASTER SHEET'!D79</f>
        <v>0</v>
      </c>
      <c r="EO79" s="14">
        <f>BH79*'MASTER SHEET'!D79</f>
        <v>0</v>
      </c>
      <c r="EP79" s="14">
        <f>BL79*'MASTER SHEET'!D79</f>
        <v>0</v>
      </c>
      <c r="EQ79" s="14">
        <f>BP79*'MASTER SHEET'!D79</f>
        <v>0</v>
      </c>
      <c r="ER79" s="14">
        <f>BT79*'MASTER SHEET'!D79</f>
        <v>0</v>
      </c>
      <c r="ES79" s="14">
        <f>BX79*'MASTER SHEET'!D79</f>
        <v>0</v>
      </c>
      <c r="ET79" s="21">
        <f>CB79*'MASTER SHEET'!D79</f>
        <v>0</v>
      </c>
      <c r="EU79" s="14">
        <f>CF79*'MASTER SHEET'!D79</f>
        <v>0</v>
      </c>
      <c r="EV79" s="14">
        <f>CJ79*'MASTER SHEET'!D79</f>
        <v>0</v>
      </c>
      <c r="EW79" s="14">
        <f>CN79*'MASTER SHEET'!D79</f>
        <v>0</v>
      </c>
      <c r="EX79" s="14">
        <f>CR79*'MASTER SHEET'!D79</f>
        <v>0</v>
      </c>
      <c r="EY79" s="14">
        <f>CR79*'MASTER SHEET'!D79</f>
        <v>0</v>
      </c>
      <c r="EZ79" s="14">
        <f>CV79*'MASTER SHEET'!D79</f>
        <v>0</v>
      </c>
      <c r="FA79" s="14">
        <f>CZ79*'MASTER SHEET'!D79</f>
        <v>0</v>
      </c>
      <c r="FB79" s="14">
        <f>DD79*'MASTER SHEET'!D79</f>
        <v>0</v>
      </c>
    </row>
    <row r="80" spans="1:158" ht="18.75" customHeight="1" x14ac:dyDescent="0.25">
      <c r="A80" s="43">
        <f>'MASTER SHEET'!A80</f>
        <v>78</v>
      </c>
      <c r="B80" s="49">
        <f>'MASTER SHEET'!B80</f>
        <v>0</v>
      </c>
      <c r="C80" s="86">
        <f>'MASTER SHEET'!C80</f>
        <v>5031194</v>
      </c>
      <c r="D80" s="51"/>
      <c r="E80" s="48"/>
      <c r="F80" s="48"/>
      <c r="G80" s="48"/>
      <c r="H80" s="48">
        <f t="shared" si="97"/>
        <v>0</v>
      </c>
      <c r="I80" s="28"/>
      <c r="J80" s="28"/>
      <c r="K80" s="65"/>
      <c r="L80" s="48">
        <f t="shared" si="98"/>
        <v>0</v>
      </c>
      <c r="M80" s="48"/>
      <c r="N80" s="48"/>
      <c r="O80" s="48"/>
      <c r="P80" s="48">
        <f t="shared" si="99"/>
        <v>0</v>
      </c>
      <c r="Q80" s="48"/>
      <c r="R80" s="48"/>
      <c r="S80" s="48"/>
      <c r="T80" s="48">
        <f t="shared" si="100"/>
        <v>0</v>
      </c>
      <c r="U80" s="48">
        <v>0</v>
      </c>
      <c r="V80" s="48"/>
      <c r="W80" s="48"/>
      <c r="X80" s="48">
        <f t="shared" si="101"/>
        <v>0</v>
      </c>
      <c r="Y80" s="48"/>
      <c r="Z80" s="48"/>
      <c r="AA80" s="48"/>
      <c r="AB80" s="48">
        <f t="shared" si="102"/>
        <v>0</v>
      </c>
      <c r="AC80" s="48"/>
      <c r="AD80" s="48"/>
      <c r="AE80" s="48"/>
      <c r="AF80" s="48">
        <f t="shared" si="103"/>
        <v>0</v>
      </c>
      <c r="AG80" s="48"/>
      <c r="AH80" s="48"/>
      <c r="AI80" s="48"/>
      <c r="AJ80" s="48">
        <f t="shared" si="104"/>
        <v>0</v>
      </c>
      <c r="AK80" s="48"/>
      <c r="AL80" s="48"/>
      <c r="AM80" s="48"/>
      <c r="AN80" s="48">
        <f t="shared" si="105"/>
        <v>0</v>
      </c>
      <c r="AO80" s="48"/>
      <c r="AP80" s="48"/>
      <c r="AQ80" s="48"/>
      <c r="AR80" s="48">
        <f t="shared" si="106"/>
        <v>0</v>
      </c>
      <c r="AS80" s="48"/>
      <c r="AT80" s="48"/>
      <c r="AU80" s="48"/>
      <c r="AV80" s="48">
        <f t="shared" si="107"/>
        <v>0</v>
      </c>
      <c r="AW80" s="48"/>
      <c r="AX80" s="48"/>
      <c r="AY80" s="48"/>
      <c r="AZ80" s="48">
        <f t="shared" si="108"/>
        <v>0</v>
      </c>
      <c r="BA80" s="48"/>
      <c r="BB80" s="48"/>
      <c r="BC80" s="48"/>
      <c r="BD80" s="48">
        <f t="shared" si="109"/>
        <v>0</v>
      </c>
      <c r="BE80" s="48"/>
      <c r="BF80" s="48"/>
      <c r="BG80" s="48"/>
      <c r="BH80" s="48">
        <f t="shared" si="110"/>
        <v>0</v>
      </c>
      <c r="BI80" s="48"/>
      <c r="BJ80" s="48"/>
      <c r="BK80" s="48"/>
      <c r="BL80" s="48">
        <f t="shared" si="111"/>
        <v>0</v>
      </c>
      <c r="BM80" s="48"/>
      <c r="BN80" s="48"/>
      <c r="BO80" s="48"/>
      <c r="BP80" s="48">
        <f t="shared" si="112"/>
        <v>0</v>
      </c>
      <c r="BQ80" s="48"/>
      <c r="BR80" s="48"/>
      <c r="BS80" s="48"/>
      <c r="BT80" s="48">
        <f t="shared" si="113"/>
        <v>0</v>
      </c>
      <c r="BU80" s="48"/>
      <c r="BV80" s="48"/>
      <c r="BW80" s="48"/>
      <c r="BX80" s="48">
        <f t="shared" si="114"/>
        <v>0</v>
      </c>
      <c r="BY80" s="48"/>
      <c r="BZ80" s="48"/>
      <c r="CA80" s="48"/>
      <c r="CB80" s="48">
        <f t="shared" si="115"/>
        <v>0</v>
      </c>
      <c r="CC80" s="48"/>
      <c r="CD80" s="48"/>
      <c r="CE80" s="48"/>
      <c r="CF80" s="48">
        <f t="shared" si="116"/>
        <v>0</v>
      </c>
      <c r="CG80" s="48"/>
      <c r="CH80" s="48"/>
      <c r="CI80" s="48"/>
      <c r="CJ80" s="48">
        <f t="shared" si="117"/>
        <v>0</v>
      </c>
      <c r="CK80" s="48"/>
      <c r="CL80" s="48"/>
      <c r="CM80" s="48"/>
      <c r="CN80" s="48">
        <f t="shared" si="118"/>
        <v>0</v>
      </c>
      <c r="CO80" s="48"/>
      <c r="CP80" s="48"/>
      <c r="CQ80" s="48"/>
      <c r="CR80" s="48">
        <f t="shared" si="119"/>
        <v>0</v>
      </c>
      <c r="CS80" s="48"/>
      <c r="CT80" s="48"/>
      <c r="CU80" s="48"/>
      <c r="CV80" s="48">
        <f t="shared" si="120"/>
        <v>0</v>
      </c>
      <c r="CW80" s="48"/>
      <c r="CX80" s="48"/>
      <c r="CY80" s="48"/>
      <c r="CZ80" s="48">
        <f t="shared" si="121"/>
        <v>0</v>
      </c>
      <c r="DA80" s="48"/>
      <c r="DB80" s="48"/>
      <c r="DC80" s="48"/>
      <c r="DD80" s="48">
        <f t="shared" si="122"/>
        <v>0</v>
      </c>
      <c r="DE80" s="48"/>
      <c r="DF80" s="48"/>
      <c r="DG80" s="48"/>
      <c r="DH80" s="48">
        <f t="shared" si="123"/>
        <v>0</v>
      </c>
      <c r="DI80" s="48"/>
      <c r="DJ80" s="48"/>
      <c r="DK80" s="48"/>
      <c r="DL80" s="48">
        <f t="shared" si="124"/>
        <v>0</v>
      </c>
      <c r="DM80" s="48"/>
      <c r="DN80" s="48"/>
      <c r="DO80" s="48"/>
      <c r="DP80" s="48">
        <f t="shared" si="125"/>
        <v>0</v>
      </c>
      <c r="DQ80" s="48"/>
      <c r="DR80" s="48"/>
      <c r="DS80" s="48"/>
      <c r="DT80" s="48">
        <f t="shared" si="126"/>
        <v>0</v>
      </c>
      <c r="DU80" s="48"/>
      <c r="DV80" s="48"/>
      <c r="DW80" s="48"/>
      <c r="DX80" s="48">
        <f t="shared" si="127"/>
        <v>0</v>
      </c>
      <c r="DY80" s="48">
        <f t="shared" si="128"/>
        <v>0</v>
      </c>
      <c r="DZ80" s="48">
        <f t="shared" si="129"/>
        <v>0</v>
      </c>
      <c r="EA80" s="14">
        <f>D80*'MASTER SHEET'!D80</f>
        <v>0</v>
      </c>
      <c r="EB80" s="14">
        <f>H80*'MASTER SHEET'!D80</f>
        <v>0</v>
      </c>
      <c r="EC80" s="14">
        <f>L80*'MASTER SHEET'!D80</f>
        <v>0</v>
      </c>
      <c r="ED80" s="14">
        <f>P80*'MASTER SHEET'!D80</f>
        <v>0</v>
      </c>
      <c r="EE80" s="14">
        <f>T80*'MASTER SHEET'!D80</f>
        <v>0</v>
      </c>
      <c r="EF80" s="14">
        <f>X80*'MASTER SHEET'!D80</f>
        <v>0</v>
      </c>
      <c r="EG80" s="14">
        <f>AB80*'MASTER SHEET'!D80</f>
        <v>0</v>
      </c>
      <c r="EH80" s="14">
        <f>AF80*'MASTER SHEET'!D80</f>
        <v>0</v>
      </c>
      <c r="EI80" s="14">
        <f>AJ80*'MASTER SHEET'!D80</f>
        <v>0</v>
      </c>
      <c r="EJ80" s="14">
        <f>AN80*'MASTER SHEET'!D80</f>
        <v>0</v>
      </c>
      <c r="EK80" s="14">
        <f>AR80*'MASTER SHEET'!D80</f>
        <v>0</v>
      </c>
      <c r="EL80" s="14">
        <f>AV80*'MASTER SHEET'!D80</f>
        <v>0</v>
      </c>
      <c r="EM80" s="14">
        <f>AZ80*'MASTER SHEET'!D80</f>
        <v>0</v>
      </c>
      <c r="EN80" s="14">
        <f>BD80*'MASTER SHEET'!D80</f>
        <v>0</v>
      </c>
      <c r="EO80" s="14">
        <f>BH80*'MASTER SHEET'!D80</f>
        <v>0</v>
      </c>
      <c r="EP80" s="14">
        <f>BL80*'MASTER SHEET'!D80</f>
        <v>0</v>
      </c>
      <c r="EQ80" s="14">
        <f>BP80*'MASTER SHEET'!D80</f>
        <v>0</v>
      </c>
      <c r="ER80" s="14">
        <f>BT80*'MASTER SHEET'!D80</f>
        <v>0</v>
      </c>
      <c r="ES80" s="14">
        <f>BX80*'MASTER SHEET'!D80</f>
        <v>0</v>
      </c>
      <c r="ET80" s="21">
        <f>CB80*'MASTER SHEET'!D80</f>
        <v>0</v>
      </c>
      <c r="EU80" s="14">
        <f>CF80*'MASTER SHEET'!D80</f>
        <v>0</v>
      </c>
      <c r="EV80" s="14">
        <f>CJ80*'MASTER SHEET'!D80</f>
        <v>0</v>
      </c>
      <c r="EW80" s="14">
        <f>CN80*'MASTER SHEET'!D80</f>
        <v>0</v>
      </c>
      <c r="EX80" s="14">
        <f>CR80*'MASTER SHEET'!D80</f>
        <v>0</v>
      </c>
      <c r="EY80" s="14">
        <f>CR80*'MASTER SHEET'!D80</f>
        <v>0</v>
      </c>
      <c r="EZ80" s="14">
        <f>CV80*'MASTER SHEET'!D80</f>
        <v>0</v>
      </c>
      <c r="FA80" s="14">
        <f>CZ80*'MASTER SHEET'!D80</f>
        <v>0</v>
      </c>
      <c r="FB80" s="14">
        <f>DD80*'MASTER SHEET'!D80</f>
        <v>0</v>
      </c>
    </row>
    <row r="81" spans="1:158" ht="18.75" customHeight="1" x14ac:dyDescent="0.25">
      <c r="A81" s="43">
        <f>'MASTER SHEET'!A81</f>
        <v>79</v>
      </c>
      <c r="B81" s="49" t="str">
        <f>'MASTER SHEET'!B81</f>
        <v>COVER TOP, PLASTIC</v>
      </c>
      <c r="C81" s="86">
        <f>'MASTER SHEET'!C81</f>
        <v>5040709</v>
      </c>
      <c r="D81" s="51"/>
      <c r="E81" s="48"/>
      <c r="F81" s="48"/>
      <c r="G81" s="48"/>
      <c r="H81" s="48">
        <f t="shared" si="97"/>
        <v>0</v>
      </c>
      <c r="I81" s="28"/>
      <c r="J81" s="28"/>
      <c r="K81" s="65"/>
      <c r="L81" s="48">
        <f t="shared" si="98"/>
        <v>0</v>
      </c>
      <c r="M81" s="48"/>
      <c r="N81" s="48"/>
      <c r="O81" s="48"/>
      <c r="P81" s="48">
        <f t="shared" si="99"/>
        <v>0</v>
      </c>
      <c r="Q81" s="48"/>
      <c r="R81" s="48"/>
      <c r="S81" s="48"/>
      <c r="T81" s="48">
        <f t="shared" si="100"/>
        <v>0</v>
      </c>
      <c r="U81" s="48">
        <v>0</v>
      </c>
      <c r="V81" s="48"/>
      <c r="W81" s="48"/>
      <c r="X81" s="48">
        <f t="shared" si="101"/>
        <v>0</v>
      </c>
      <c r="Y81" s="48"/>
      <c r="Z81" s="48"/>
      <c r="AA81" s="48"/>
      <c r="AB81" s="48">
        <f t="shared" si="102"/>
        <v>0</v>
      </c>
      <c r="AC81" s="48"/>
      <c r="AD81" s="48"/>
      <c r="AE81" s="48"/>
      <c r="AF81" s="48">
        <f t="shared" si="103"/>
        <v>0</v>
      </c>
      <c r="AG81" s="48"/>
      <c r="AH81" s="48"/>
      <c r="AI81" s="48"/>
      <c r="AJ81" s="48">
        <f t="shared" si="104"/>
        <v>0</v>
      </c>
      <c r="AK81" s="48"/>
      <c r="AL81" s="48"/>
      <c r="AM81" s="48"/>
      <c r="AN81" s="48">
        <f t="shared" si="105"/>
        <v>0</v>
      </c>
      <c r="AO81" s="48"/>
      <c r="AP81" s="48"/>
      <c r="AQ81" s="48"/>
      <c r="AR81" s="48">
        <f t="shared" si="106"/>
        <v>0</v>
      </c>
      <c r="AS81" s="48"/>
      <c r="AT81" s="48"/>
      <c r="AU81" s="48"/>
      <c r="AV81" s="48">
        <f t="shared" si="107"/>
        <v>0</v>
      </c>
      <c r="AW81" s="48"/>
      <c r="AX81" s="48"/>
      <c r="AY81" s="48"/>
      <c r="AZ81" s="48">
        <f t="shared" si="108"/>
        <v>0</v>
      </c>
      <c r="BA81" s="48"/>
      <c r="BB81" s="48"/>
      <c r="BC81" s="48"/>
      <c r="BD81" s="48">
        <f t="shared" si="109"/>
        <v>0</v>
      </c>
      <c r="BE81" s="48"/>
      <c r="BF81" s="48"/>
      <c r="BG81" s="48"/>
      <c r="BH81" s="48">
        <f t="shared" si="110"/>
        <v>0</v>
      </c>
      <c r="BI81" s="48"/>
      <c r="BJ81" s="48"/>
      <c r="BK81" s="48"/>
      <c r="BL81" s="48">
        <f t="shared" si="111"/>
        <v>0</v>
      </c>
      <c r="BM81" s="48"/>
      <c r="BN81" s="48"/>
      <c r="BO81" s="48"/>
      <c r="BP81" s="48">
        <f t="shared" si="112"/>
        <v>0</v>
      </c>
      <c r="BQ81" s="48"/>
      <c r="BR81" s="48"/>
      <c r="BS81" s="48"/>
      <c r="BT81" s="48">
        <f t="shared" si="113"/>
        <v>0</v>
      </c>
      <c r="BU81" s="48"/>
      <c r="BV81" s="48"/>
      <c r="BW81" s="48"/>
      <c r="BX81" s="48">
        <f t="shared" si="114"/>
        <v>0</v>
      </c>
      <c r="BY81" s="48"/>
      <c r="BZ81" s="48"/>
      <c r="CA81" s="48"/>
      <c r="CB81" s="48">
        <f t="shared" si="115"/>
        <v>0</v>
      </c>
      <c r="CC81" s="48"/>
      <c r="CD81" s="48"/>
      <c r="CE81" s="48"/>
      <c r="CF81" s="48">
        <f t="shared" si="116"/>
        <v>0</v>
      </c>
      <c r="CG81" s="48"/>
      <c r="CH81" s="48"/>
      <c r="CI81" s="48"/>
      <c r="CJ81" s="48">
        <f t="shared" si="117"/>
        <v>0</v>
      </c>
      <c r="CK81" s="48"/>
      <c r="CL81" s="48"/>
      <c r="CM81" s="48"/>
      <c r="CN81" s="48">
        <f t="shared" si="118"/>
        <v>0</v>
      </c>
      <c r="CO81" s="48"/>
      <c r="CP81" s="48"/>
      <c r="CQ81" s="48"/>
      <c r="CR81" s="48">
        <f t="shared" si="119"/>
        <v>0</v>
      </c>
      <c r="CS81" s="48"/>
      <c r="CT81" s="48"/>
      <c r="CU81" s="48"/>
      <c r="CV81" s="48">
        <f t="shared" si="120"/>
        <v>0</v>
      </c>
      <c r="CW81" s="48"/>
      <c r="CX81" s="48"/>
      <c r="CY81" s="48"/>
      <c r="CZ81" s="48">
        <f t="shared" si="121"/>
        <v>0</v>
      </c>
      <c r="DA81" s="48"/>
      <c r="DB81" s="48"/>
      <c r="DC81" s="48"/>
      <c r="DD81" s="48">
        <f t="shared" si="122"/>
        <v>0</v>
      </c>
      <c r="DE81" s="48"/>
      <c r="DF81" s="48"/>
      <c r="DG81" s="48"/>
      <c r="DH81" s="48">
        <f t="shared" si="123"/>
        <v>0</v>
      </c>
      <c r="DI81" s="48"/>
      <c r="DJ81" s="48"/>
      <c r="DK81" s="48"/>
      <c r="DL81" s="48">
        <f t="shared" si="124"/>
        <v>0</v>
      </c>
      <c r="DM81" s="48"/>
      <c r="DN81" s="48"/>
      <c r="DO81" s="48"/>
      <c r="DP81" s="48">
        <f t="shared" si="125"/>
        <v>0</v>
      </c>
      <c r="DQ81" s="48"/>
      <c r="DR81" s="48"/>
      <c r="DS81" s="48"/>
      <c r="DT81" s="48">
        <f t="shared" si="126"/>
        <v>0</v>
      </c>
      <c r="DU81" s="48"/>
      <c r="DV81" s="48"/>
      <c r="DW81" s="48"/>
      <c r="DX81" s="48">
        <f t="shared" si="127"/>
        <v>0</v>
      </c>
      <c r="DY81" s="48">
        <f t="shared" si="128"/>
        <v>0</v>
      </c>
      <c r="DZ81" s="48">
        <f t="shared" si="129"/>
        <v>0</v>
      </c>
      <c r="EA81" s="14">
        <f>D81*'MASTER SHEET'!D81</f>
        <v>0</v>
      </c>
      <c r="EB81" s="14">
        <f>H81*'MASTER SHEET'!D81</f>
        <v>0</v>
      </c>
      <c r="EC81" s="14">
        <f>L81*'MASTER SHEET'!D81</f>
        <v>0</v>
      </c>
      <c r="ED81" s="14">
        <f>P81*'MASTER SHEET'!D81</f>
        <v>0</v>
      </c>
      <c r="EE81" s="14">
        <f>T81*'MASTER SHEET'!D81</f>
        <v>0</v>
      </c>
      <c r="EF81" s="14">
        <f>X81*'MASTER SHEET'!D81</f>
        <v>0</v>
      </c>
      <c r="EG81" s="14">
        <f>AB81*'MASTER SHEET'!D81</f>
        <v>0</v>
      </c>
      <c r="EH81" s="14">
        <f>AF81*'MASTER SHEET'!D81</f>
        <v>0</v>
      </c>
      <c r="EI81" s="14">
        <f>AJ81*'MASTER SHEET'!D81</f>
        <v>0</v>
      </c>
      <c r="EJ81" s="14">
        <f>AN81*'MASTER SHEET'!D81</f>
        <v>0</v>
      </c>
      <c r="EK81" s="14">
        <f>AR81*'MASTER SHEET'!D81</f>
        <v>0</v>
      </c>
      <c r="EL81" s="14">
        <f>AV81*'MASTER SHEET'!D81</f>
        <v>0</v>
      </c>
      <c r="EM81" s="14">
        <f>AZ81*'MASTER SHEET'!D81</f>
        <v>0</v>
      </c>
      <c r="EN81" s="14">
        <f>BD81*'MASTER SHEET'!D81</f>
        <v>0</v>
      </c>
      <c r="EO81" s="14">
        <f>BH81*'MASTER SHEET'!D81</f>
        <v>0</v>
      </c>
      <c r="EP81" s="14">
        <f>BL81*'MASTER SHEET'!D81</f>
        <v>0</v>
      </c>
      <c r="EQ81" s="14">
        <f>BP81*'MASTER SHEET'!D81</f>
        <v>0</v>
      </c>
      <c r="ER81" s="14">
        <f>BT81*'MASTER SHEET'!D81</f>
        <v>0</v>
      </c>
      <c r="ES81" s="14">
        <f>BX81*'MASTER SHEET'!D81</f>
        <v>0</v>
      </c>
      <c r="ET81" s="21">
        <f>CB81*'MASTER SHEET'!D81</f>
        <v>0</v>
      </c>
      <c r="EU81" s="14">
        <f>CF81*'MASTER SHEET'!D81</f>
        <v>0</v>
      </c>
      <c r="EV81" s="14">
        <f>CJ81*'MASTER SHEET'!D81</f>
        <v>0</v>
      </c>
      <c r="EW81" s="14">
        <f>CN81*'MASTER SHEET'!D81</f>
        <v>0</v>
      </c>
      <c r="EX81" s="14">
        <f>CR81*'MASTER SHEET'!D81</f>
        <v>0</v>
      </c>
      <c r="EY81" s="14">
        <f>CR81*'MASTER SHEET'!D81</f>
        <v>0</v>
      </c>
      <c r="EZ81" s="14">
        <f>CV81*'MASTER SHEET'!D81</f>
        <v>0</v>
      </c>
      <c r="FA81" s="14">
        <f>CZ81*'MASTER SHEET'!D81</f>
        <v>0</v>
      </c>
      <c r="FB81" s="14">
        <f>DD81*'MASTER SHEET'!D81</f>
        <v>0</v>
      </c>
    </row>
    <row r="82" spans="1:158" ht="18.75" customHeight="1" x14ac:dyDescent="0.25">
      <c r="A82" s="43">
        <f>'MASTER SHEET'!A82</f>
        <v>80</v>
      </c>
      <c r="B82" s="49" t="str">
        <f>'MASTER SHEET'!B82</f>
        <v>VALVE BODY, PLASTIC</v>
      </c>
      <c r="C82" s="86">
        <f>'MASTER SHEET'!C82</f>
        <v>5040058</v>
      </c>
      <c r="D82" s="51"/>
      <c r="E82" s="48"/>
      <c r="F82" s="48"/>
      <c r="G82" s="48"/>
      <c r="H82" s="48">
        <f t="shared" si="97"/>
        <v>0</v>
      </c>
      <c r="I82" s="28"/>
      <c r="J82" s="28"/>
      <c r="K82" s="65"/>
      <c r="L82" s="48">
        <f t="shared" si="98"/>
        <v>0</v>
      </c>
      <c r="M82" s="48"/>
      <c r="N82" s="48"/>
      <c r="O82" s="48"/>
      <c r="P82" s="48">
        <f t="shared" si="99"/>
        <v>0</v>
      </c>
      <c r="Q82" s="48"/>
      <c r="R82" s="48"/>
      <c r="S82" s="48"/>
      <c r="T82" s="48">
        <f t="shared" si="100"/>
        <v>0</v>
      </c>
      <c r="U82" s="48">
        <v>0</v>
      </c>
      <c r="V82" s="48"/>
      <c r="W82" s="48"/>
      <c r="X82" s="48">
        <f t="shared" si="101"/>
        <v>0</v>
      </c>
      <c r="Y82" s="48"/>
      <c r="Z82" s="48"/>
      <c r="AA82" s="48"/>
      <c r="AB82" s="48">
        <f t="shared" si="102"/>
        <v>0</v>
      </c>
      <c r="AC82" s="48"/>
      <c r="AD82" s="48"/>
      <c r="AE82" s="48"/>
      <c r="AF82" s="48">
        <f t="shared" si="103"/>
        <v>0</v>
      </c>
      <c r="AG82" s="48"/>
      <c r="AH82" s="48"/>
      <c r="AI82" s="48"/>
      <c r="AJ82" s="48">
        <f t="shared" si="104"/>
        <v>0</v>
      </c>
      <c r="AK82" s="48"/>
      <c r="AL82" s="48"/>
      <c r="AM82" s="48"/>
      <c r="AN82" s="48">
        <f t="shared" si="105"/>
        <v>0</v>
      </c>
      <c r="AO82" s="48"/>
      <c r="AP82" s="48"/>
      <c r="AQ82" s="48"/>
      <c r="AR82" s="48">
        <f t="shared" si="106"/>
        <v>0</v>
      </c>
      <c r="AS82" s="48"/>
      <c r="AT82" s="48"/>
      <c r="AU82" s="48"/>
      <c r="AV82" s="48">
        <f t="shared" si="107"/>
        <v>0</v>
      </c>
      <c r="AW82" s="48"/>
      <c r="AX82" s="48"/>
      <c r="AY82" s="48"/>
      <c r="AZ82" s="48">
        <f t="shared" si="108"/>
        <v>0</v>
      </c>
      <c r="BA82" s="48"/>
      <c r="BB82" s="48"/>
      <c r="BC82" s="48"/>
      <c r="BD82" s="48">
        <f t="shared" si="109"/>
        <v>0</v>
      </c>
      <c r="BE82" s="48"/>
      <c r="BF82" s="48"/>
      <c r="BG82" s="48"/>
      <c r="BH82" s="48">
        <f t="shared" si="110"/>
        <v>0</v>
      </c>
      <c r="BI82" s="48"/>
      <c r="BJ82" s="48"/>
      <c r="BK82" s="48"/>
      <c r="BL82" s="48">
        <f t="shared" si="111"/>
        <v>0</v>
      </c>
      <c r="BM82" s="48"/>
      <c r="BN82" s="48"/>
      <c r="BO82" s="48"/>
      <c r="BP82" s="48">
        <f t="shared" si="112"/>
        <v>0</v>
      </c>
      <c r="BQ82" s="48"/>
      <c r="BR82" s="48"/>
      <c r="BS82" s="48"/>
      <c r="BT82" s="48">
        <f t="shared" si="113"/>
        <v>0</v>
      </c>
      <c r="BU82" s="48"/>
      <c r="BV82" s="48"/>
      <c r="BW82" s="48"/>
      <c r="BX82" s="48">
        <f t="shared" si="114"/>
        <v>0</v>
      </c>
      <c r="BY82" s="48"/>
      <c r="BZ82" s="48"/>
      <c r="CA82" s="48"/>
      <c r="CB82" s="48">
        <f t="shared" si="115"/>
        <v>0</v>
      </c>
      <c r="CC82" s="48"/>
      <c r="CD82" s="48"/>
      <c r="CE82" s="48"/>
      <c r="CF82" s="48">
        <f t="shared" si="116"/>
        <v>0</v>
      </c>
      <c r="CG82" s="48"/>
      <c r="CH82" s="48"/>
      <c r="CI82" s="48"/>
      <c r="CJ82" s="48">
        <f t="shared" si="117"/>
        <v>0</v>
      </c>
      <c r="CK82" s="48"/>
      <c r="CL82" s="48"/>
      <c r="CM82" s="48"/>
      <c r="CN82" s="48">
        <f t="shared" si="118"/>
        <v>0</v>
      </c>
      <c r="CO82" s="48"/>
      <c r="CP82" s="48"/>
      <c r="CQ82" s="48"/>
      <c r="CR82" s="48">
        <f t="shared" si="119"/>
        <v>0</v>
      </c>
      <c r="CS82" s="48"/>
      <c r="CT82" s="48"/>
      <c r="CU82" s="48"/>
      <c r="CV82" s="48">
        <f t="shared" si="120"/>
        <v>0</v>
      </c>
      <c r="CW82" s="48"/>
      <c r="CX82" s="48"/>
      <c r="CY82" s="48"/>
      <c r="CZ82" s="48">
        <f t="shared" si="121"/>
        <v>0</v>
      </c>
      <c r="DA82" s="48"/>
      <c r="DB82" s="48"/>
      <c r="DC82" s="48"/>
      <c r="DD82" s="48">
        <f t="shared" si="122"/>
        <v>0</v>
      </c>
      <c r="DE82" s="48"/>
      <c r="DF82" s="48"/>
      <c r="DG82" s="48"/>
      <c r="DH82" s="48">
        <f t="shared" si="123"/>
        <v>0</v>
      </c>
      <c r="DI82" s="48"/>
      <c r="DJ82" s="48"/>
      <c r="DK82" s="48"/>
      <c r="DL82" s="48">
        <f t="shared" si="124"/>
        <v>0</v>
      </c>
      <c r="DM82" s="48"/>
      <c r="DN82" s="48"/>
      <c r="DO82" s="48"/>
      <c r="DP82" s="48">
        <f t="shared" si="125"/>
        <v>0</v>
      </c>
      <c r="DQ82" s="48"/>
      <c r="DR82" s="48"/>
      <c r="DS82" s="48"/>
      <c r="DT82" s="48">
        <f t="shared" si="126"/>
        <v>0</v>
      </c>
      <c r="DU82" s="48"/>
      <c r="DV82" s="48"/>
      <c r="DW82" s="48"/>
      <c r="DX82" s="48">
        <f t="shared" si="127"/>
        <v>0</v>
      </c>
      <c r="DY82" s="48">
        <f t="shared" si="128"/>
        <v>0</v>
      </c>
      <c r="DZ82" s="48">
        <f t="shared" si="129"/>
        <v>0</v>
      </c>
      <c r="EA82" s="14">
        <f>D82*'MASTER SHEET'!D82</f>
        <v>0</v>
      </c>
      <c r="EB82" s="14">
        <f>H82*'MASTER SHEET'!D82</f>
        <v>0</v>
      </c>
      <c r="EC82" s="14">
        <f>L82*'MASTER SHEET'!D82</f>
        <v>0</v>
      </c>
      <c r="ED82" s="14">
        <f>P82*'MASTER SHEET'!D82</f>
        <v>0</v>
      </c>
      <c r="EE82" s="14">
        <f>T82*'MASTER SHEET'!D82</f>
        <v>0</v>
      </c>
      <c r="EF82" s="14">
        <f>X82*'MASTER SHEET'!D82</f>
        <v>0</v>
      </c>
      <c r="EG82" s="14">
        <f>AB82*'MASTER SHEET'!D82</f>
        <v>0</v>
      </c>
      <c r="EH82" s="14">
        <f>AF82*'MASTER SHEET'!D82</f>
        <v>0</v>
      </c>
      <c r="EI82" s="14">
        <f>AJ82*'MASTER SHEET'!D82</f>
        <v>0</v>
      </c>
      <c r="EJ82" s="14">
        <f>AN82*'MASTER SHEET'!D82</f>
        <v>0</v>
      </c>
      <c r="EK82" s="14">
        <f>AR82*'MASTER SHEET'!D82</f>
        <v>0</v>
      </c>
      <c r="EL82" s="14">
        <f>AV82*'MASTER SHEET'!D82</f>
        <v>0</v>
      </c>
      <c r="EM82" s="14">
        <f>AZ82*'MASTER SHEET'!D82</f>
        <v>0</v>
      </c>
      <c r="EN82" s="14">
        <f>BD82*'MASTER SHEET'!D82</f>
        <v>0</v>
      </c>
      <c r="EO82" s="14">
        <f>BH82*'MASTER SHEET'!D82</f>
        <v>0</v>
      </c>
      <c r="EP82" s="14">
        <f>BL82*'MASTER SHEET'!D82</f>
        <v>0</v>
      </c>
      <c r="EQ82" s="14">
        <f>BP82*'MASTER SHEET'!D82</f>
        <v>0</v>
      </c>
      <c r="ER82" s="14">
        <f>BT82*'MASTER SHEET'!D82</f>
        <v>0</v>
      </c>
      <c r="ES82" s="14">
        <f>BX82*'MASTER SHEET'!D82</f>
        <v>0</v>
      </c>
      <c r="ET82" s="21">
        <f>CB82*'MASTER SHEET'!D82</f>
        <v>0</v>
      </c>
      <c r="EU82" s="14">
        <f>CF82*'MASTER SHEET'!D82</f>
        <v>0</v>
      </c>
      <c r="EV82" s="14">
        <f>CJ82*'MASTER SHEET'!D82</f>
        <v>0</v>
      </c>
      <c r="EW82" s="14">
        <f>CN82*'MASTER SHEET'!D82</f>
        <v>0</v>
      </c>
      <c r="EX82" s="14">
        <f>CR82*'MASTER SHEET'!D82</f>
        <v>0</v>
      </c>
      <c r="EY82" s="14">
        <f>CR82*'MASTER SHEET'!D82</f>
        <v>0</v>
      </c>
      <c r="EZ82" s="14">
        <f>CV82*'MASTER SHEET'!D82</f>
        <v>0</v>
      </c>
      <c r="FA82" s="14">
        <f>CZ82*'MASTER SHEET'!D82</f>
        <v>0</v>
      </c>
      <c r="FB82" s="14">
        <f>DD82*'MASTER SHEET'!D82</f>
        <v>0</v>
      </c>
    </row>
    <row r="83" spans="1:158" ht="18.75" customHeight="1" x14ac:dyDescent="0.25">
      <c r="A83" s="43">
        <f>'MASTER SHEET'!A83</f>
        <v>81</v>
      </c>
      <c r="B83" s="49" t="str">
        <f>'MASTER SHEET'!B83</f>
        <v>3-MBP Pipe--CV</v>
      </c>
      <c r="C83" s="86">
        <f>'MASTER SHEET'!C83</f>
        <v>5030173</v>
      </c>
      <c r="D83" s="51"/>
      <c r="E83" s="48"/>
      <c r="F83" s="48"/>
      <c r="G83" s="48"/>
      <c r="H83" s="48">
        <f t="shared" si="97"/>
        <v>0</v>
      </c>
      <c r="I83" s="28"/>
      <c r="J83" s="28"/>
      <c r="K83" s="65"/>
      <c r="L83" s="48">
        <f t="shared" si="98"/>
        <v>0</v>
      </c>
      <c r="M83" s="48"/>
      <c r="N83" s="48"/>
      <c r="O83" s="48"/>
      <c r="P83" s="48">
        <f t="shared" si="99"/>
        <v>0</v>
      </c>
      <c r="Q83" s="48"/>
      <c r="R83" s="48"/>
      <c r="S83" s="48"/>
      <c r="T83" s="48">
        <f t="shared" si="100"/>
        <v>0</v>
      </c>
      <c r="U83" s="48">
        <v>0</v>
      </c>
      <c r="V83" s="48"/>
      <c r="W83" s="48"/>
      <c r="X83" s="48">
        <f t="shared" si="101"/>
        <v>0</v>
      </c>
      <c r="Y83" s="48"/>
      <c r="Z83" s="48"/>
      <c r="AA83" s="48"/>
      <c r="AB83" s="48">
        <f t="shared" si="102"/>
        <v>0</v>
      </c>
      <c r="AC83" s="48"/>
      <c r="AD83" s="48"/>
      <c r="AE83" s="48"/>
      <c r="AF83" s="48">
        <f t="shared" si="103"/>
        <v>0</v>
      </c>
      <c r="AG83" s="48"/>
      <c r="AH83" s="48"/>
      <c r="AI83" s="48"/>
      <c r="AJ83" s="48">
        <f t="shared" si="104"/>
        <v>0</v>
      </c>
      <c r="AK83" s="48"/>
      <c r="AL83" s="48"/>
      <c r="AM83" s="48"/>
      <c r="AN83" s="48">
        <f t="shared" si="105"/>
        <v>0</v>
      </c>
      <c r="AO83" s="48"/>
      <c r="AP83" s="48"/>
      <c r="AQ83" s="48"/>
      <c r="AR83" s="48">
        <f t="shared" si="106"/>
        <v>0</v>
      </c>
      <c r="AS83" s="48"/>
      <c r="AT83" s="48"/>
      <c r="AU83" s="48"/>
      <c r="AV83" s="48">
        <f t="shared" si="107"/>
        <v>0</v>
      </c>
      <c r="AW83" s="48"/>
      <c r="AX83" s="48"/>
      <c r="AY83" s="48"/>
      <c r="AZ83" s="48">
        <f t="shared" si="108"/>
        <v>0</v>
      </c>
      <c r="BA83" s="48"/>
      <c r="BB83" s="48"/>
      <c r="BC83" s="48"/>
      <c r="BD83" s="48">
        <f t="shared" si="109"/>
        <v>0</v>
      </c>
      <c r="BE83" s="48"/>
      <c r="BF83" s="48"/>
      <c r="BG83" s="48"/>
      <c r="BH83" s="48">
        <f t="shared" si="110"/>
        <v>0</v>
      </c>
      <c r="BI83" s="48"/>
      <c r="BJ83" s="48"/>
      <c r="BK83" s="48"/>
      <c r="BL83" s="48">
        <f t="shared" si="111"/>
        <v>0</v>
      </c>
      <c r="BM83" s="48"/>
      <c r="BN83" s="48"/>
      <c r="BO83" s="48"/>
      <c r="BP83" s="48">
        <f t="shared" si="112"/>
        <v>0</v>
      </c>
      <c r="BQ83" s="48"/>
      <c r="BR83" s="48"/>
      <c r="BS83" s="48"/>
      <c r="BT83" s="48">
        <f t="shared" si="113"/>
        <v>0</v>
      </c>
      <c r="BU83" s="48"/>
      <c r="BV83" s="48"/>
      <c r="BW83" s="48"/>
      <c r="BX83" s="48">
        <f t="shared" si="114"/>
        <v>0</v>
      </c>
      <c r="BY83" s="48"/>
      <c r="BZ83" s="48"/>
      <c r="CA83" s="48"/>
      <c r="CB83" s="48">
        <f t="shared" si="115"/>
        <v>0</v>
      </c>
      <c r="CC83" s="48"/>
      <c r="CD83" s="48"/>
      <c r="CE83" s="48"/>
      <c r="CF83" s="48">
        <f t="shared" si="116"/>
        <v>0</v>
      </c>
      <c r="CG83" s="48"/>
      <c r="CH83" s="48"/>
      <c r="CI83" s="48"/>
      <c r="CJ83" s="48">
        <f t="shared" si="117"/>
        <v>0</v>
      </c>
      <c r="CK83" s="48"/>
      <c r="CL83" s="48"/>
      <c r="CM83" s="48"/>
      <c r="CN83" s="48">
        <f t="shared" si="118"/>
        <v>0</v>
      </c>
      <c r="CO83" s="48"/>
      <c r="CP83" s="48"/>
      <c r="CQ83" s="48"/>
      <c r="CR83" s="48">
        <f t="shared" si="119"/>
        <v>0</v>
      </c>
      <c r="CS83" s="48"/>
      <c r="CT83" s="48"/>
      <c r="CU83" s="48"/>
      <c r="CV83" s="48">
        <f t="shared" si="120"/>
        <v>0</v>
      </c>
      <c r="CW83" s="48"/>
      <c r="CX83" s="48"/>
      <c r="CY83" s="48"/>
      <c r="CZ83" s="48">
        <f t="shared" si="121"/>
        <v>0</v>
      </c>
      <c r="DA83" s="48"/>
      <c r="DB83" s="48"/>
      <c r="DC83" s="48"/>
      <c r="DD83" s="48">
        <f t="shared" si="122"/>
        <v>0</v>
      </c>
      <c r="DE83" s="48"/>
      <c r="DF83" s="48"/>
      <c r="DG83" s="48"/>
      <c r="DH83" s="48">
        <f t="shared" si="123"/>
        <v>0</v>
      </c>
      <c r="DI83" s="48"/>
      <c r="DJ83" s="48"/>
      <c r="DK83" s="48"/>
      <c r="DL83" s="48">
        <f t="shared" si="124"/>
        <v>0</v>
      </c>
      <c r="DM83" s="48"/>
      <c r="DN83" s="48"/>
      <c r="DO83" s="48"/>
      <c r="DP83" s="48">
        <f t="shared" si="125"/>
        <v>0</v>
      </c>
      <c r="DQ83" s="48"/>
      <c r="DR83" s="48"/>
      <c r="DS83" s="48"/>
      <c r="DT83" s="48">
        <f t="shared" si="126"/>
        <v>0</v>
      </c>
      <c r="DU83" s="48"/>
      <c r="DV83" s="48"/>
      <c r="DW83" s="48"/>
      <c r="DX83" s="48">
        <f t="shared" si="127"/>
        <v>0</v>
      </c>
      <c r="DY83" s="48">
        <f t="shared" si="128"/>
        <v>0</v>
      </c>
      <c r="DZ83" s="48">
        <f t="shared" si="129"/>
        <v>0</v>
      </c>
      <c r="EA83" s="14">
        <f>D83*'MASTER SHEET'!D83</f>
        <v>0</v>
      </c>
      <c r="EB83" s="14">
        <f>H83*'MASTER SHEET'!D83</f>
        <v>0</v>
      </c>
      <c r="EC83" s="14">
        <f>L83*'MASTER SHEET'!D83</f>
        <v>0</v>
      </c>
      <c r="ED83" s="14">
        <f>P83*'MASTER SHEET'!D83</f>
        <v>0</v>
      </c>
      <c r="EE83" s="14">
        <f>T83*'MASTER SHEET'!D83</f>
        <v>0</v>
      </c>
      <c r="EF83" s="14">
        <f>X83*'MASTER SHEET'!D83</f>
        <v>0</v>
      </c>
      <c r="EG83" s="14">
        <f>AB83*'MASTER SHEET'!D83</f>
        <v>0</v>
      </c>
      <c r="EH83" s="14">
        <f>AF83*'MASTER SHEET'!D83</f>
        <v>0</v>
      </c>
      <c r="EI83" s="14">
        <f>AJ83*'MASTER SHEET'!D83</f>
        <v>0</v>
      </c>
      <c r="EJ83" s="14">
        <f>AN83*'MASTER SHEET'!D83</f>
        <v>0</v>
      </c>
      <c r="EK83" s="14">
        <f>AR83*'MASTER SHEET'!D83</f>
        <v>0</v>
      </c>
      <c r="EL83" s="14">
        <f>AV83*'MASTER SHEET'!D83</f>
        <v>0</v>
      </c>
      <c r="EM83" s="14">
        <f>AZ83*'MASTER SHEET'!D83</f>
        <v>0</v>
      </c>
      <c r="EN83" s="14">
        <f>BD83*'MASTER SHEET'!D83</f>
        <v>0</v>
      </c>
      <c r="EO83" s="14">
        <f>BH83*'MASTER SHEET'!D83</f>
        <v>0</v>
      </c>
      <c r="EP83" s="14">
        <f>BL83*'MASTER SHEET'!D83</f>
        <v>0</v>
      </c>
      <c r="EQ83" s="14">
        <f>BP83*'MASTER SHEET'!D83</f>
        <v>0</v>
      </c>
      <c r="ER83" s="14">
        <f>BT83*'MASTER SHEET'!D83</f>
        <v>0</v>
      </c>
      <c r="ES83" s="14">
        <f>BX83*'MASTER SHEET'!D83</f>
        <v>0</v>
      </c>
      <c r="ET83" s="21">
        <f>CB83*'MASTER SHEET'!D83</f>
        <v>0</v>
      </c>
      <c r="EU83" s="14">
        <f>CF83*'MASTER SHEET'!D83</f>
        <v>0</v>
      </c>
      <c r="EV83" s="14">
        <f>CJ83*'MASTER SHEET'!D83</f>
        <v>0</v>
      </c>
      <c r="EW83" s="14">
        <f>CN83*'MASTER SHEET'!D83</f>
        <v>0</v>
      </c>
      <c r="EX83" s="14">
        <f>CR83*'MASTER SHEET'!D83</f>
        <v>0</v>
      </c>
      <c r="EY83" s="14">
        <f>CR83*'MASTER SHEET'!D83</f>
        <v>0</v>
      </c>
      <c r="EZ83" s="14">
        <f>CV83*'MASTER SHEET'!D83</f>
        <v>0</v>
      </c>
      <c r="FA83" s="14">
        <f>CZ83*'MASTER SHEET'!D83</f>
        <v>0</v>
      </c>
      <c r="FB83" s="14">
        <f>DD83*'MASTER SHEET'!D83</f>
        <v>0</v>
      </c>
    </row>
    <row r="84" spans="1:158" ht="18.75" customHeight="1" x14ac:dyDescent="0.25">
      <c r="A84" s="43">
        <f>'MASTER SHEET'!A84</f>
        <v>82</v>
      </c>
      <c r="B84" s="49" t="str">
        <f>'MASTER SHEET'!B84</f>
        <v>3-MBP Pipe--CV</v>
      </c>
      <c r="C84" s="86">
        <f>'MASTER SHEET'!C84</f>
        <v>5037374</v>
      </c>
      <c r="D84" s="51"/>
      <c r="E84" s="48"/>
      <c r="F84" s="48"/>
      <c r="G84" s="48"/>
      <c r="H84" s="48">
        <f t="shared" si="97"/>
        <v>0</v>
      </c>
      <c r="I84" s="28"/>
      <c r="J84" s="28"/>
      <c r="K84" s="65"/>
      <c r="L84" s="48">
        <f t="shared" si="98"/>
        <v>0</v>
      </c>
      <c r="M84" s="48"/>
      <c r="N84" s="48"/>
      <c r="O84" s="48"/>
      <c r="P84" s="48">
        <f t="shared" si="99"/>
        <v>0</v>
      </c>
      <c r="Q84" s="48"/>
      <c r="R84" s="48"/>
      <c r="S84" s="48"/>
      <c r="T84" s="48">
        <f t="shared" si="100"/>
        <v>0</v>
      </c>
      <c r="U84" s="48">
        <v>0</v>
      </c>
      <c r="V84" s="48"/>
      <c r="W84" s="48"/>
      <c r="X84" s="48">
        <f t="shared" si="101"/>
        <v>0</v>
      </c>
      <c r="Y84" s="48"/>
      <c r="Z84" s="48"/>
      <c r="AA84" s="48"/>
      <c r="AB84" s="48">
        <f t="shared" si="102"/>
        <v>0</v>
      </c>
      <c r="AC84" s="48"/>
      <c r="AD84" s="48"/>
      <c r="AE84" s="48"/>
      <c r="AF84" s="48">
        <f t="shared" si="103"/>
        <v>0</v>
      </c>
      <c r="AG84" s="48"/>
      <c r="AH84" s="48"/>
      <c r="AI84" s="48"/>
      <c r="AJ84" s="48">
        <f t="shared" si="104"/>
        <v>0</v>
      </c>
      <c r="AK84" s="48"/>
      <c r="AL84" s="48"/>
      <c r="AM84" s="48"/>
      <c r="AN84" s="48">
        <f t="shared" si="105"/>
        <v>0</v>
      </c>
      <c r="AO84" s="48"/>
      <c r="AP84" s="48"/>
      <c r="AQ84" s="48"/>
      <c r="AR84" s="48">
        <f t="shared" si="106"/>
        <v>0</v>
      </c>
      <c r="AS84" s="48"/>
      <c r="AT84" s="48"/>
      <c r="AU84" s="48"/>
      <c r="AV84" s="48">
        <f t="shared" si="107"/>
        <v>0</v>
      </c>
      <c r="AW84" s="48"/>
      <c r="AX84" s="48"/>
      <c r="AY84" s="48"/>
      <c r="AZ84" s="48">
        <f t="shared" si="108"/>
        <v>0</v>
      </c>
      <c r="BA84" s="48"/>
      <c r="BB84" s="48"/>
      <c r="BC84" s="48"/>
      <c r="BD84" s="48">
        <f t="shared" si="109"/>
        <v>0</v>
      </c>
      <c r="BE84" s="48"/>
      <c r="BF84" s="48"/>
      <c r="BG84" s="48"/>
      <c r="BH84" s="48">
        <f t="shared" si="110"/>
        <v>0</v>
      </c>
      <c r="BI84" s="48"/>
      <c r="BJ84" s="48"/>
      <c r="BK84" s="48"/>
      <c r="BL84" s="48">
        <f t="shared" si="111"/>
        <v>0</v>
      </c>
      <c r="BM84" s="48"/>
      <c r="BN84" s="48"/>
      <c r="BO84" s="48"/>
      <c r="BP84" s="48">
        <f t="shared" si="112"/>
        <v>0</v>
      </c>
      <c r="BQ84" s="48"/>
      <c r="BR84" s="48"/>
      <c r="BS84" s="48"/>
      <c r="BT84" s="48">
        <f t="shared" si="113"/>
        <v>0</v>
      </c>
      <c r="BU84" s="48"/>
      <c r="BV84" s="48"/>
      <c r="BW84" s="48"/>
      <c r="BX84" s="48">
        <f t="shared" si="114"/>
        <v>0</v>
      </c>
      <c r="BY84" s="48"/>
      <c r="BZ84" s="48"/>
      <c r="CA84" s="48"/>
      <c r="CB84" s="48">
        <f t="shared" si="115"/>
        <v>0</v>
      </c>
      <c r="CC84" s="48"/>
      <c r="CD84" s="48"/>
      <c r="CE84" s="48"/>
      <c r="CF84" s="48">
        <f t="shared" si="116"/>
        <v>0</v>
      </c>
      <c r="CG84" s="48"/>
      <c r="CH84" s="48"/>
      <c r="CI84" s="48"/>
      <c r="CJ84" s="48">
        <f t="shared" si="117"/>
        <v>0</v>
      </c>
      <c r="CK84" s="48"/>
      <c r="CL84" s="48"/>
      <c r="CM84" s="48"/>
      <c r="CN84" s="48">
        <f t="shared" si="118"/>
        <v>0</v>
      </c>
      <c r="CO84" s="48"/>
      <c r="CP84" s="48"/>
      <c r="CQ84" s="48"/>
      <c r="CR84" s="48">
        <f t="shared" si="119"/>
        <v>0</v>
      </c>
      <c r="CS84" s="48"/>
      <c r="CT84" s="48"/>
      <c r="CU84" s="48"/>
      <c r="CV84" s="48">
        <f t="shared" si="120"/>
        <v>0</v>
      </c>
      <c r="CW84" s="48"/>
      <c r="CX84" s="48"/>
      <c r="CY84" s="48"/>
      <c r="CZ84" s="48">
        <f t="shared" si="121"/>
        <v>0</v>
      </c>
      <c r="DA84" s="48"/>
      <c r="DB84" s="48"/>
      <c r="DC84" s="48"/>
      <c r="DD84" s="48">
        <f t="shared" si="122"/>
        <v>0</v>
      </c>
      <c r="DE84" s="48"/>
      <c r="DF84" s="48"/>
      <c r="DG84" s="48"/>
      <c r="DH84" s="48">
        <f t="shared" si="123"/>
        <v>0</v>
      </c>
      <c r="DI84" s="48"/>
      <c r="DJ84" s="48"/>
      <c r="DK84" s="48"/>
      <c r="DL84" s="48">
        <f t="shared" si="124"/>
        <v>0</v>
      </c>
      <c r="DM84" s="48"/>
      <c r="DN84" s="48"/>
      <c r="DO84" s="48"/>
      <c r="DP84" s="48">
        <f t="shared" si="125"/>
        <v>0</v>
      </c>
      <c r="DQ84" s="48"/>
      <c r="DR84" s="48"/>
      <c r="DS84" s="48"/>
      <c r="DT84" s="48">
        <f t="shared" si="126"/>
        <v>0</v>
      </c>
      <c r="DU84" s="48"/>
      <c r="DV84" s="48"/>
      <c r="DW84" s="48"/>
      <c r="DX84" s="48">
        <f t="shared" si="127"/>
        <v>0</v>
      </c>
      <c r="DY84" s="48">
        <f t="shared" si="128"/>
        <v>0</v>
      </c>
      <c r="DZ84" s="48">
        <f t="shared" si="129"/>
        <v>0</v>
      </c>
      <c r="EA84" s="14">
        <f>D84*'MASTER SHEET'!D84</f>
        <v>0</v>
      </c>
      <c r="EB84" s="14">
        <f>H84*'MASTER SHEET'!D84</f>
        <v>0</v>
      </c>
      <c r="EC84" s="14">
        <f>L84*'MASTER SHEET'!D84</f>
        <v>0</v>
      </c>
      <c r="ED84" s="14">
        <f>P84*'MASTER SHEET'!D84</f>
        <v>0</v>
      </c>
      <c r="EE84" s="14">
        <f>T84*'MASTER SHEET'!D84</f>
        <v>0</v>
      </c>
      <c r="EF84" s="14">
        <f>X84*'MASTER SHEET'!D84</f>
        <v>0</v>
      </c>
      <c r="EG84" s="14">
        <f>AB84*'MASTER SHEET'!D84</f>
        <v>0</v>
      </c>
      <c r="EH84" s="14">
        <f>AF84*'MASTER SHEET'!D84</f>
        <v>0</v>
      </c>
      <c r="EI84" s="14">
        <f>AJ84*'MASTER SHEET'!D84</f>
        <v>0</v>
      </c>
      <c r="EJ84" s="14">
        <f>AN84*'MASTER SHEET'!D84</f>
        <v>0</v>
      </c>
      <c r="EK84" s="14">
        <f>AR84*'MASTER SHEET'!D84</f>
        <v>0</v>
      </c>
      <c r="EL84" s="14">
        <f>AV84*'MASTER SHEET'!D84</f>
        <v>0</v>
      </c>
      <c r="EM84" s="14">
        <f>AZ84*'MASTER SHEET'!D84</f>
        <v>0</v>
      </c>
      <c r="EN84" s="14">
        <f>BD84*'MASTER SHEET'!D84</f>
        <v>0</v>
      </c>
      <c r="EO84" s="14">
        <f>BH84*'MASTER SHEET'!D84</f>
        <v>0</v>
      </c>
      <c r="EP84" s="14">
        <f>BL84*'MASTER SHEET'!D84</f>
        <v>0</v>
      </c>
      <c r="EQ84" s="14">
        <f>BP84*'MASTER SHEET'!D84</f>
        <v>0</v>
      </c>
      <c r="ER84" s="14">
        <f>BT84*'MASTER SHEET'!D84</f>
        <v>0</v>
      </c>
      <c r="ES84" s="14">
        <f>BX84*'MASTER SHEET'!D84</f>
        <v>0</v>
      </c>
      <c r="ET84" s="21">
        <f>CB84*'MASTER SHEET'!D84</f>
        <v>0</v>
      </c>
      <c r="EU84" s="14">
        <f>CF84*'MASTER SHEET'!D84</f>
        <v>0</v>
      </c>
      <c r="EV84" s="14">
        <f>CJ84*'MASTER SHEET'!D84</f>
        <v>0</v>
      </c>
      <c r="EW84" s="14">
        <f>CN84*'MASTER SHEET'!D84</f>
        <v>0</v>
      </c>
      <c r="EX84" s="14">
        <f>CR84*'MASTER SHEET'!D84</f>
        <v>0</v>
      </c>
      <c r="EY84" s="14">
        <f>CR84*'MASTER SHEET'!D84</f>
        <v>0</v>
      </c>
      <c r="EZ84" s="14">
        <f>CV84*'MASTER SHEET'!D84</f>
        <v>0</v>
      </c>
      <c r="FA84" s="14">
        <f>CZ84*'MASTER SHEET'!D84</f>
        <v>0</v>
      </c>
      <c r="FB84" s="14">
        <f>DD84*'MASTER SHEET'!D84</f>
        <v>0</v>
      </c>
    </row>
    <row r="85" spans="1:158" ht="18.75" customHeight="1" x14ac:dyDescent="0.25">
      <c r="A85" s="43">
        <f>'MASTER SHEET'!A85</f>
        <v>83</v>
      </c>
      <c r="B85" s="49" t="str">
        <f>'MASTER SHEET'!B85</f>
        <v>PLATE, NOZZEL</v>
      </c>
      <c r="C85" s="86">
        <f>'MASTER SHEET'!C85</f>
        <v>5044037</v>
      </c>
      <c r="D85" s="51"/>
      <c r="E85" s="48"/>
      <c r="F85" s="48"/>
      <c r="G85" s="48"/>
      <c r="H85" s="48">
        <f t="shared" si="97"/>
        <v>0</v>
      </c>
      <c r="I85" s="28"/>
      <c r="J85" s="28"/>
      <c r="K85" s="65"/>
      <c r="L85" s="48">
        <f t="shared" si="98"/>
        <v>0</v>
      </c>
      <c r="M85" s="48"/>
      <c r="N85" s="48"/>
      <c r="O85" s="48"/>
      <c r="P85" s="48">
        <f t="shared" si="99"/>
        <v>0</v>
      </c>
      <c r="Q85" s="48"/>
      <c r="R85" s="48"/>
      <c r="S85" s="48"/>
      <c r="T85" s="48">
        <f t="shared" si="100"/>
        <v>0</v>
      </c>
      <c r="U85" s="48">
        <v>0</v>
      </c>
      <c r="V85" s="48"/>
      <c r="W85" s="48"/>
      <c r="X85" s="48">
        <f t="shared" si="101"/>
        <v>0</v>
      </c>
      <c r="Y85" s="48"/>
      <c r="Z85" s="48"/>
      <c r="AA85" s="48"/>
      <c r="AB85" s="48">
        <f t="shared" si="102"/>
        <v>0</v>
      </c>
      <c r="AC85" s="48"/>
      <c r="AD85" s="48"/>
      <c r="AE85" s="48"/>
      <c r="AF85" s="48">
        <f t="shared" si="103"/>
        <v>0</v>
      </c>
      <c r="AG85" s="48"/>
      <c r="AH85" s="48"/>
      <c r="AI85" s="48"/>
      <c r="AJ85" s="48">
        <f t="shared" si="104"/>
        <v>0</v>
      </c>
      <c r="AK85" s="48"/>
      <c r="AL85" s="48"/>
      <c r="AM85" s="48"/>
      <c r="AN85" s="48">
        <f t="shared" si="105"/>
        <v>0</v>
      </c>
      <c r="AO85" s="48"/>
      <c r="AP85" s="48"/>
      <c r="AQ85" s="48"/>
      <c r="AR85" s="48">
        <f t="shared" si="106"/>
        <v>0</v>
      </c>
      <c r="AS85" s="48"/>
      <c r="AT85" s="48"/>
      <c r="AU85" s="48"/>
      <c r="AV85" s="48">
        <f t="shared" si="107"/>
        <v>0</v>
      </c>
      <c r="AW85" s="48"/>
      <c r="AX85" s="48"/>
      <c r="AY85" s="48"/>
      <c r="AZ85" s="48">
        <f t="shared" si="108"/>
        <v>0</v>
      </c>
      <c r="BA85" s="48"/>
      <c r="BB85" s="48"/>
      <c r="BC85" s="48"/>
      <c r="BD85" s="48">
        <f t="shared" si="109"/>
        <v>0</v>
      </c>
      <c r="BE85" s="48"/>
      <c r="BF85" s="48"/>
      <c r="BG85" s="48"/>
      <c r="BH85" s="48">
        <f t="shared" si="110"/>
        <v>0</v>
      </c>
      <c r="BI85" s="48"/>
      <c r="BJ85" s="48"/>
      <c r="BK85" s="48"/>
      <c r="BL85" s="48">
        <f t="shared" si="111"/>
        <v>0</v>
      </c>
      <c r="BM85" s="48"/>
      <c r="BN85" s="48"/>
      <c r="BO85" s="48"/>
      <c r="BP85" s="48">
        <f t="shared" si="112"/>
        <v>0</v>
      </c>
      <c r="BQ85" s="48"/>
      <c r="BR85" s="48"/>
      <c r="BS85" s="48"/>
      <c r="BT85" s="48">
        <f t="shared" si="113"/>
        <v>0</v>
      </c>
      <c r="BU85" s="48"/>
      <c r="BV85" s="48"/>
      <c r="BW85" s="48"/>
      <c r="BX85" s="48">
        <f t="shared" si="114"/>
        <v>0</v>
      </c>
      <c r="BY85" s="48"/>
      <c r="BZ85" s="48"/>
      <c r="CA85" s="48"/>
      <c r="CB85" s="48">
        <f t="shared" si="115"/>
        <v>0</v>
      </c>
      <c r="CC85" s="48"/>
      <c r="CD85" s="48"/>
      <c r="CE85" s="48"/>
      <c r="CF85" s="48">
        <f t="shared" si="116"/>
        <v>0</v>
      </c>
      <c r="CG85" s="48"/>
      <c r="CH85" s="48"/>
      <c r="CI85" s="48"/>
      <c r="CJ85" s="48">
        <f t="shared" si="117"/>
        <v>0</v>
      </c>
      <c r="CK85" s="48"/>
      <c r="CL85" s="48"/>
      <c r="CM85" s="48"/>
      <c r="CN85" s="48">
        <f t="shared" si="118"/>
        <v>0</v>
      </c>
      <c r="CO85" s="48">
        <v>0</v>
      </c>
      <c r="CP85" s="48">
        <v>0</v>
      </c>
      <c r="CQ85" s="48">
        <v>0</v>
      </c>
      <c r="CR85" s="48">
        <f t="shared" si="119"/>
        <v>0</v>
      </c>
      <c r="CS85" s="48">
        <v>0</v>
      </c>
      <c r="CT85" s="48">
        <v>0</v>
      </c>
      <c r="CU85" s="48">
        <v>0</v>
      </c>
      <c r="CV85" s="48">
        <f t="shared" si="120"/>
        <v>0</v>
      </c>
      <c r="CW85" s="48">
        <v>0</v>
      </c>
      <c r="CX85" s="48">
        <v>0</v>
      </c>
      <c r="CY85" s="48">
        <v>0</v>
      </c>
      <c r="CZ85" s="48">
        <f t="shared" si="121"/>
        <v>0</v>
      </c>
      <c r="DA85" s="48"/>
      <c r="DB85" s="48"/>
      <c r="DC85" s="48"/>
      <c r="DD85" s="48">
        <f t="shared" si="122"/>
        <v>0</v>
      </c>
      <c r="DE85" s="48">
        <v>0</v>
      </c>
      <c r="DF85" s="48">
        <v>0</v>
      </c>
      <c r="DG85" s="48">
        <v>0</v>
      </c>
      <c r="DH85" s="48">
        <f t="shared" si="123"/>
        <v>0</v>
      </c>
      <c r="DI85" s="48">
        <v>0</v>
      </c>
      <c r="DJ85" s="48">
        <v>0</v>
      </c>
      <c r="DK85" s="48">
        <v>0</v>
      </c>
      <c r="DL85" s="48">
        <f t="shared" si="124"/>
        <v>0</v>
      </c>
      <c r="DM85" s="48">
        <v>1520</v>
      </c>
      <c r="DN85" s="48">
        <v>1484</v>
      </c>
      <c r="DO85" s="48">
        <v>36</v>
      </c>
      <c r="DP85" s="48">
        <f t="shared" si="125"/>
        <v>0</v>
      </c>
      <c r="DQ85" s="48"/>
      <c r="DR85" s="48"/>
      <c r="DS85" s="48"/>
      <c r="DT85" s="48">
        <f t="shared" si="126"/>
        <v>0</v>
      </c>
      <c r="DU85" s="48"/>
      <c r="DV85" s="48"/>
      <c r="DW85" s="48"/>
      <c r="DX85" s="48">
        <f t="shared" si="127"/>
        <v>0</v>
      </c>
      <c r="DY85" s="48">
        <f t="shared" si="128"/>
        <v>1520</v>
      </c>
      <c r="DZ85" s="48">
        <f t="shared" si="129"/>
        <v>36</v>
      </c>
      <c r="EA85" s="14">
        <f>D85*'MASTER SHEET'!D85</f>
        <v>0</v>
      </c>
      <c r="EB85" s="14">
        <f>H85*'MASTER SHEET'!D85</f>
        <v>0</v>
      </c>
      <c r="EC85" s="14">
        <f>L85*'MASTER SHEET'!D85</f>
        <v>0</v>
      </c>
      <c r="ED85" s="14">
        <f>P85*'MASTER SHEET'!D85</f>
        <v>0</v>
      </c>
      <c r="EE85" s="14">
        <f>T85*'MASTER SHEET'!D85</f>
        <v>0</v>
      </c>
      <c r="EF85" s="14">
        <f>X85*'MASTER SHEET'!D85</f>
        <v>0</v>
      </c>
      <c r="EG85" s="14">
        <f>AB85*'MASTER SHEET'!D85</f>
        <v>0</v>
      </c>
      <c r="EH85" s="14">
        <f>AF85*'MASTER SHEET'!D85</f>
        <v>0</v>
      </c>
      <c r="EI85" s="14">
        <f>AJ85*'MASTER SHEET'!D85</f>
        <v>0</v>
      </c>
      <c r="EJ85" s="14">
        <f>AN85*'MASTER SHEET'!D85</f>
        <v>0</v>
      </c>
      <c r="EK85" s="14">
        <f>AR85*'MASTER SHEET'!D85</f>
        <v>0</v>
      </c>
      <c r="EL85" s="14">
        <f>AV85*'MASTER SHEET'!D85</f>
        <v>0</v>
      </c>
      <c r="EM85" s="14">
        <f>AZ85*'MASTER SHEET'!D85</f>
        <v>0</v>
      </c>
      <c r="EN85" s="14">
        <f>BD85*'MASTER SHEET'!D85</f>
        <v>0</v>
      </c>
      <c r="EO85" s="14">
        <f>BH85*'MASTER SHEET'!D85</f>
        <v>0</v>
      </c>
      <c r="EP85" s="14">
        <f>BL85*'MASTER SHEET'!D85</f>
        <v>0</v>
      </c>
      <c r="EQ85" s="14">
        <f>BP85*'MASTER SHEET'!D85</f>
        <v>0</v>
      </c>
      <c r="ER85" s="14">
        <f>BT85*'MASTER SHEET'!D85</f>
        <v>0</v>
      </c>
      <c r="ES85" s="14">
        <f>BX85*'MASTER SHEET'!D85</f>
        <v>0</v>
      </c>
      <c r="ET85" s="21">
        <f>CB85*'MASTER SHEET'!D85</f>
        <v>0</v>
      </c>
      <c r="EU85" s="14">
        <f>CF85*'MASTER SHEET'!D85</f>
        <v>0</v>
      </c>
      <c r="EV85" s="14">
        <f>CJ85*'MASTER SHEET'!D85</f>
        <v>0</v>
      </c>
      <c r="EW85" s="14">
        <f>CN85*'MASTER SHEET'!D85</f>
        <v>0</v>
      </c>
      <c r="EX85" s="14">
        <f>CR85*'MASTER SHEET'!D85</f>
        <v>0</v>
      </c>
      <c r="EY85" s="14">
        <f>CR85*'MASTER SHEET'!D85</f>
        <v>0</v>
      </c>
      <c r="EZ85" s="14">
        <f>CV85*'MASTER SHEET'!D85</f>
        <v>0</v>
      </c>
      <c r="FA85" s="14">
        <f>CZ85*'MASTER SHEET'!D85</f>
        <v>0</v>
      </c>
      <c r="FB85" s="14">
        <f>DD85*'MASTER SHEET'!D85</f>
        <v>0</v>
      </c>
    </row>
    <row r="86" spans="1:158" ht="18.75" customHeight="1" x14ac:dyDescent="0.25">
      <c r="A86" s="43">
        <f>'MASTER SHEET'!A86</f>
        <v>84</v>
      </c>
      <c r="B86" s="49" t="str">
        <f>'MASTER SHEET'!B86</f>
        <v>BASE HOUSING CRANKCASE</v>
      </c>
      <c r="C86" s="86">
        <f>'MASTER SHEET'!C86</f>
        <v>5044040</v>
      </c>
      <c r="D86" s="51"/>
      <c r="E86" s="48"/>
      <c r="F86" s="48"/>
      <c r="G86" s="48"/>
      <c r="H86" s="48">
        <f t="shared" si="97"/>
        <v>0</v>
      </c>
      <c r="I86" s="28"/>
      <c r="J86" s="28"/>
      <c r="K86" s="65"/>
      <c r="L86" s="48">
        <f t="shared" si="98"/>
        <v>0</v>
      </c>
      <c r="M86" s="48"/>
      <c r="N86" s="48"/>
      <c r="O86" s="48"/>
      <c r="P86" s="48">
        <f t="shared" si="99"/>
        <v>0</v>
      </c>
      <c r="Q86" s="48"/>
      <c r="R86" s="48"/>
      <c r="S86" s="48"/>
      <c r="T86" s="48">
        <f t="shared" si="100"/>
        <v>0</v>
      </c>
      <c r="U86" s="48">
        <v>0</v>
      </c>
      <c r="V86" s="48"/>
      <c r="W86" s="48"/>
      <c r="X86" s="48">
        <f t="shared" si="101"/>
        <v>0</v>
      </c>
      <c r="Y86" s="48"/>
      <c r="Z86" s="48"/>
      <c r="AA86" s="48"/>
      <c r="AB86" s="48">
        <f t="shared" si="102"/>
        <v>0</v>
      </c>
      <c r="AC86" s="48"/>
      <c r="AD86" s="48"/>
      <c r="AE86" s="48"/>
      <c r="AF86" s="48">
        <f t="shared" si="103"/>
        <v>0</v>
      </c>
      <c r="AG86" s="48"/>
      <c r="AH86" s="48"/>
      <c r="AI86" s="48"/>
      <c r="AJ86" s="48">
        <f t="shared" si="104"/>
        <v>0</v>
      </c>
      <c r="AK86" s="48"/>
      <c r="AL86" s="48"/>
      <c r="AM86" s="48"/>
      <c r="AN86" s="48">
        <f t="shared" si="105"/>
        <v>0</v>
      </c>
      <c r="AO86" s="48"/>
      <c r="AP86" s="48"/>
      <c r="AQ86" s="48"/>
      <c r="AR86" s="48">
        <f t="shared" si="106"/>
        <v>0</v>
      </c>
      <c r="AS86" s="48"/>
      <c r="AT86" s="48"/>
      <c r="AU86" s="48"/>
      <c r="AV86" s="48">
        <f t="shared" si="107"/>
        <v>0</v>
      </c>
      <c r="AW86" s="48"/>
      <c r="AX86" s="48"/>
      <c r="AY86" s="48"/>
      <c r="AZ86" s="48">
        <f t="shared" si="108"/>
        <v>0</v>
      </c>
      <c r="BA86" s="48"/>
      <c r="BB86" s="48"/>
      <c r="BC86" s="48"/>
      <c r="BD86" s="48">
        <f t="shared" si="109"/>
        <v>0</v>
      </c>
      <c r="BE86" s="48"/>
      <c r="BF86" s="48"/>
      <c r="BG86" s="48"/>
      <c r="BH86" s="48">
        <f t="shared" si="110"/>
        <v>0</v>
      </c>
      <c r="BI86" s="48"/>
      <c r="BJ86" s="48"/>
      <c r="BK86" s="48"/>
      <c r="BL86" s="48">
        <f t="shared" si="111"/>
        <v>0</v>
      </c>
      <c r="BM86" s="48"/>
      <c r="BN86" s="48"/>
      <c r="BO86" s="48"/>
      <c r="BP86" s="48">
        <f t="shared" si="112"/>
        <v>0</v>
      </c>
      <c r="BQ86" s="48"/>
      <c r="BR86" s="48"/>
      <c r="BS86" s="48"/>
      <c r="BT86" s="48">
        <f t="shared" si="113"/>
        <v>0</v>
      </c>
      <c r="BU86" s="48"/>
      <c r="BV86" s="48"/>
      <c r="BW86" s="48"/>
      <c r="BX86" s="48">
        <f t="shared" si="114"/>
        <v>0</v>
      </c>
      <c r="BY86" s="48"/>
      <c r="BZ86" s="48"/>
      <c r="CA86" s="48"/>
      <c r="CB86" s="48">
        <f t="shared" si="115"/>
        <v>0</v>
      </c>
      <c r="CC86" s="48"/>
      <c r="CD86" s="48"/>
      <c r="CE86" s="48"/>
      <c r="CF86" s="48">
        <f t="shared" si="116"/>
        <v>0</v>
      </c>
      <c r="CG86" s="48"/>
      <c r="CH86" s="48"/>
      <c r="CI86" s="48"/>
      <c r="CJ86" s="48">
        <f t="shared" si="117"/>
        <v>0</v>
      </c>
      <c r="CK86" s="48"/>
      <c r="CL86" s="48"/>
      <c r="CM86" s="48"/>
      <c r="CN86" s="48">
        <f t="shared" si="118"/>
        <v>0</v>
      </c>
      <c r="CO86" s="48"/>
      <c r="CP86" s="48"/>
      <c r="CQ86" s="48"/>
      <c r="CR86" s="48">
        <f t="shared" si="119"/>
        <v>0</v>
      </c>
      <c r="CS86" s="48"/>
      <c r="CT86" s="48"/>
      <c r="CU86" s="48"/>
      <c r="CV86" s="48">
        <f t="shared" si="120"/>
        <v>0</v>
      </c>
      <c r="CW86" s="48"/>
      <c r="CX86" s="48"/>
      <c r="CY86" s="48"/>
      <c r="CZ86" s="48">
        <f t="shared" si="121"/>
        <v>0</v>
      </c>
      <c r="DA86" s="48"/>
      <c r="DB86" s="48"/>
      <c r="DC86" s="48"/>
      <c r="DD86" s="48">
        <f t="shared" si="122"/>
        <v>0</v>
      </c>
      <c r="DE86" s="48"/>
      <c r="DF86" s="48"/>
      <c r="DG86" s="48"/>
      <c r="DH86" s="48">
        <f t="shared" si="123"/>
        <v>0</v>
      </c>
      <c r="DI86" s="48"/>
      <c r="DJ86" s="48"/>
      <c r="DK86" s="48"/>
      <c r="DL86" s="48">
        <f t="shared" si="124"/>
        <v>0</v>
      </c>
      <c r="DM86" s="48"/>
      <c r="DN86" s="48"/>
      <c r="DO86" s="48"/>
      <c r="DP86" s="48">
        <f t="shared" si="125"/>
        <v>0</v>
      </c>
      <c r="DQ86" s="48"/>
      <c r="DR86" s="48"/>
      <c r="DS86" s="48"/>
      <c r="DT86" s="48">
        <f t="shared" si="126"/>
        <v>0</v>
      </c>
      <c r="DU86" s="48"/>
      <c r="DV86" s="48"/>
      <c r="DW86" s="48"/>
      <c r="DX86" s="48">
        <f t="shared" si="127"/>
        <v>0</v>
      </c>
      <c r="DY86" s="48">
        <f t="shared" si="128"/>
        <v>0</v>
      </c>
      <c r="DZ86" s="48">
        <f t="shared" si="129"/>
        <v>0</v>
      </c>
      <c r="EA86" s="14">
        <f>D86*'MASTER SHEET'!D86</f>
        <v>0</v>
      </c>
      <c r="EB86" s="14">
        <f>H86*'MASTER SHEET'!D86</f>
        <v>0</v>
      </c>
      <c r="EC86" s="14">
        <f>L86*'MASTER SHEET'!D86</f>
        <v>0</v>
      </c>
      <c r="ED86" s="14">
        <f>P86*'MASTER SHEET'!D86</f>
        <v>0</v>
      </c>
      <c r="EE86" s="14">
        <f>T86*'MASTER SHEET'!D86</f>
        <v>0</v>
      </c>
      <c r="EF86" s="14">
        <f>X86*'MASTER SHEET'!D86</f>
        <v>0</v>
      </c>
      <c r="EG86" s="14">
        <f>AB86*'MASTER SHEET'!D86</f>
        <v>0</v>
      </c>
      <c r="EH86" s="14">
        <f>AF86*'MASTER SHEET'!D86</f>
        <v>0</v>
      </c>
      <c r="EI86" s="14">
        <f>AJ86*'MASTER SHEET'!D86</f>
        <v>0</v>
      </c>
      <c r="EJ86" s="14">
        <f>AN86*'MASTER SHEET'!D86</f>
        <v>0</v>
      </c>
      <c r="EK86" s="14">
        <f>AR86*'MASTER SHEET'!D86</f>
        <v>0</v>
      </c>
      <c r="EL86" s="14">
        <f>AV86*'MASTER SHEET'!D86</f>
        <v>0</v>
      </c>
      <c r="EM86" s="14">
        <f>AZ86*'MASTER SHEET'!D86</f>
        <v>0</v>
      </c>
      <c r="EN86" s="14">
        <f>BD86*'MASTER SHEET'!D86</f>
        <v>0</v>
      </c>
      <c r="EO86" s="14">
        <f>BH86*'MASTER SHEET'!D86</f>
        <v>0</v>
      </c>
      <c r="EP86" s="14">
        <f>BL86*'MASTER SHEET'!D86</f>
        <v>0</v>
      </c>
      <c r="EQ86" s="14">
        <f>BP86*'MASTER SHEET'!D86</f>
        <v>0</v>
      </c>
      <c r="ER86" s="14">
        <f>BT86*'MASTER SHEET'!D86</f>
        <v>0</v>
      </c>
      <c r="ES86" s="14">
        <f>BX86*'MASTER SHEET'!D86</f>
        <v>0</v>
      </c>
      <c r="ET86" s="21">
        <f>CB86*'MASTER SHEET'!D86</f>
        <v>0</v>
      </c>
      <c r="EU86" s="14">
        <f>CF86*'MASTER SHEET'!D86</f>
        <v>0</v>
      </c>
      <c r="EV86" s="14">
        <f>CJ86*'MASTER SHEET'!D86</f>
        <v>0</v>
      </c>
      <c r="EW86" s="14">
        <f>CN86*'MASTER SHEET'!D86</f>
        <v>0</v>
      </c>
      <c r="EX86" s="14">
        <f>CR86*'MASTER SHEET'!D86</f>
        <v>0</v>
      </c>
      <c r="EY86" s="14">
        <f>CR86*'MASTER SHEET'!D86</f>
        <v>0</v>
      </c>
      <c r="EZ86" s="14">
        <f>CV86*'MASTER SHEET'!D86</f>
        <v>0</v>
      </c>
      <c r="FA86" s="14">
        <f>CZ86*'MASTER SHEET'!D86</f>
        <v>0</v>
      </c>
      <c r="FB86" s="14">
        <f>DD86*'MASTER SHEET'!D86</f>
        <v>0</v>
      </c>
    </row>
    <row r="87" spans="1:158" ht="18.75" customHeight="1" x14ac:dyDescent="0.25">
      <c r="A87" s="43">
        <f>'MASTER SHEET'!A87</f>
        <v>85</v>
      </c>
      <c r="B87" s="49" t="str">
        <f>'MASTER SHEET'!B87</f>
        <v>ENDPLATE PLASTIC</v>
      </c>
      <c r="C87" s="86">
        <f>'MASTER SHEET'!C87</f>
        <v>5028374</v>
      </c>
      <c r="D87" s="51"/>
      <c r="E87" s="48"/>
      <c r="F87" s="48"/>
      <c r="G87" s="48"/>
      <c r="H87" s="48">
        <f t="shared" si="97"/>
        <v>0</v>
      </c>
      <c r="I87" s="28"/>
      <c r="J87" s="28"/>
      <c r="K87" s="65"/>
      <c r="L87" s="48">
        <f t="shared" si="98"/>
        <v>0</v>
      </c>
      <c r="M87" s="48"/>
      <c r="N87" s="48"/>
      <c r="O87" s="48"/>
      <c r="P87" s="48">
        <f t="shared" si="99"/>
        <v>0</v>
      </c>
      <c r="Q87" s="48"/>
      <c r="R87" s="48"/>
      <c r="S87" s="48"/>
      <c r="T87" s="48">
        <f t="shared" si="100"/>
        <v>0</v>
      </c>
      <c r="U87" s="48">
        <v>0</v>
      </c>
      <c r="V87" s="48"/>
      <c r="W87" s="48"/>
      <c r="X87" s="48">
        <f t="shared" si="101"/>
        <v>0</v>
      </c>
      <c r="Y87" s="48"/>
      <c r="Z87" s="48"/>
      <c r="AA87" s="48"/>
      <c r="AB87" s="48">
        <f t="shared" si="102"/>
        <v>0</v>
      </c>
      <c r="AC87" s="48"/>
      <c r="AD87" s="48"/>
      <c r="AE87" s="48"/>
      <c r="AF87" s="48">
        <f t="shared" si="103"/>
        <v>0</v>
      </c>
      <c r="AG87" s="48"/>
      <c r="AH87" s="48"/>
      <c r="AI87" s="48"/>
      <c r="AJ87" s="48">
        <f t="shared" si="104"/>
        <v>0</v>
      </c>
      <c r="AK87" s="48"/>
      <c r="AL87" s="48"/>
      <c r="AM87" s="48"/>
      <c r="AN87" s="48">
        <f t="shared" si="105"/>
        <v>0</v>
      </c>
      <c r="AO87" s="48"/>
      <c r="AP87" s="48"/>
      <c r="AQ87" s="48"/>
      <c r="AR87" s="48">
        <f t="shared" si="106"/>
        <v>0</v>
      </c>
      <c r="AS87" s="48"/>
      <c r="AT87" s="48"/>
      <c r="AU87" s="48"/>
      <c r="AV87" s="48">
        <f t="shared" si="107"/>
        <v>0</v>
      </c>
      <c r="AW87" s="48"/>
      <c r="AX87" s="48"/>
      <c r="AY87" s="48"/>
      <c r="AZ87" s="48">
        <f t="shared" si="108"/>
        <v>0</v>
      </c>
      <c r="BA87" s="48"/>
      <c r="BB87" s="48"/>
      <c r="BC87" s="48"/>
      <c r="BD87" s="48">
        <f t="shared" si="109"/>
        <v>0</v>
      </c>
      <c r="BE87" s="48"/>
      <c r="BF87" s="48"/>
      <c r="BG87" s="48"/>
      <c r="BH87" s="48">
        <f t="shared" si="110"/>
        <v>0</v>
      </c>
      <c r="BI87" s="48"/>
      <c r="BJ87" s="48"/>
      <c r="BK87" s="48"/>
      <c r="BL87" s="48">
        <f t="shared" si="111"/>
        <v>0</v>
      </c>
      <c r="BM87" s="48"/>
      <c r="BN87" s="48"/>
      <c r="BO87" s="48"/>
      <c r="BP87" s="48">
        <f t="shared" si="112"/>
        <v>0</v>
      </c>
      <c r="BQ87" s="48"/>
      <c r="BR87" s="48"/>
      <c r="BS87" s="48"/>
      <c r="BT87" s="48">
        <f t="shared" si="113"/>
        <v>0</v>
      </c>
      <c r="BU87" s="48"/>
      <c r="BV87" s="48"/>
      <c r="BW87" s="48"/>
      <c r="BX87" s="48">
        <f t="shared" si="114"/>
        <v>0</v>
      </c>
      <c r="BY87" s="48"/>
      <c r="BZ87" s="48"/>
      <c r="CA87" s="48"/>
      <c r="CB87" s="48">
        <f t="shared" si="115"/>
        <v>0</v>
      </c>
      <c r="CC87" s="48"/>
      <c r="CD87" s="48"/>
      <c r="CE87" s="48"/>
      <c r="CF87" s="48">
        <f t="shared" si="116"/>
        <v>0</v>
      </c>
      <c r="CG87" s="48"/>
      <c r="CH87" s="48"/>
      <c r="CI87" s="48"/>
      <c r="CJ87" s="48">
        <f t="shared" si="117"/>
        <v>0</v>
      </c>
      <c r="CK87" s="48"/>
      <c r="CL87" s="48"/>
      <c r="CM87" s="48"/>
      <c r="CN87" s="48">
        <f t="shared" si="118"/>
        <v>0</v>
      </c>
      <c r="CO87" s="48"/>
      <c r="CP87" s="48"/>
      <c r="CQ87" s="48"/>
      <c r="CR87" s="48">
        <f t="shared" si="119"/>
        <v>0</v>
      </c>
      <c r="CS87" s="48"/>
      <c r="CT87" s="48"/>
      <c r="CU87" s="48"/>
      <c r="CV87" s="48">
        <f t="shared" si="120"/>
        <v>0</v>
      </c>
      <c r="CW87" s="48"/>
      <c r="CX87" s="48"/>
      <c r="CY87" s="48"/>
      <c r="CZ87" s="48">
        <f t="shared" si="121"/>
        <v>0</v>
      </c>
      <c r="DA87" s="48"/>
      <c r="DB87" s="48"/>
      <c r="DC87" s="48"/>
      <c r="DD87" s="48">
        <f t="shared" si="122"/>
        <v>0</v>
      </c>
      <c r="DE87" s="48"/>
      <c r="DF87" s="48"/>
      <c r="DG87" s="48"/>
      <c r="DH87" s="48">
        <f t="shared" si="123"/>
        <v>0</v>
      </c>
      <c r="DI87" s="48"/>
      <c r="DJ87" s="48"/>
      <c r="DK87" s="48"/>
      <c r="DL87" s="48">
        <f t="shared" si="124"/>
        <v>0</v>
      </c>
      <c r="DM87" s="48"/>
      <c r="DN87" s="48"/>
      <c r="DO87" s="48"/>
      <c r="DP87" s="48">
        <f t="shared" si="125"/>
        <v>0</v>
      </c>
      <c r="DQ87" s="48"/>
      <c r="DR87" s="48"/>
      <c r="DS87" s="48"/>
      <c r="DT87" s="48">
        <f t="shared" si="126"/>
        <v>0</v>
      </c>
      <c r="DU87" s="48"/>
      <c r="DV87" s="48"/>
      <c r="DW87" s="48"/>
      <c r="DX87" s="48">
        <f t="shared" si="127"/>
        <v>0</v>
      </c>
      <c r="DY87" s="48">
        <f t="shared" si="128"/>
        <v>0</v>
      </c>
      <c r="DZ87" s="48">
        <f t="shared" si="129"/>
        <v>0</v>
      </c>
      <c r="EA87" s="14">
        <f>D87*'MASTER SHEET'!D87</f>
        <v>0</v>
      </c>
      <c r="EB87" s="14">
        <f>H87*'MASTER SHEET'!D87</f>
        <v>0</v>
      </c>
      <c r="EC87" s="14">
        <f>L87*'MASTER SHEET'!D87</f>
        <v>0</v>
      </c>
      <c r="ED87" s="14">
        <f>P87*'MASTER SHEET'!D87</f>
        <v>0</v>
      </c>
      <c r="EE87" s="14">
        <f>T87*'MASTER SHEET'!D87</f>
        <v>0</v>
      </c>
      <c r="EF87" s="14">
        <f>X87*'MASTER SHEET'!D87</f>
        <v>0</v>
      </c>
      <c r="EG87" s="14">
        <f>AB87*'MASTER SHEET'!D87</f>
        <v>0</v>
      </c>
      <c r="EH87" s="14">
        <f>AF87*'MASTER SHEET'!D87</f>
        <v>0</v>
      </c>
      <c r="EI87" s="14">
        <f>AJ87*'MASTER SHEET'!D87</f>
        <v>0</v>
      </c>
      <c r="EJ87" s="14">
        <f>AN87*'MASTER SHEET'!D87</f>
        <v>0</v>
      </c>
      <c r="EK87" s="14">
        <f>AR87*'MASTER SHEET'!D87</f>
        <v>0</v>
      </c>
      <c r="EL87" s="14">
        <f>AV87*'MASTER SHEET'!D87</f>
        <v>0</v>
      </c>
      <c r="EM87" s="14">
        <f>AZ87*'MASTER SHEET'!D87</f>
        <v>0</v>
      </c>
      <c r="EN87" s="14">
        <f>BD87*'MASTER SHEET'!D87</f>
        <v>0</v>
      </c>
      <c r="EO87" s="14">
        <f>BH87*'MASTER SHEET'!D87</f>
        <v>0</v>
      </c>
      <c r="EP87" s="14">
        <f>BL87*'MASTER SHEET'!D87</f>
        <v>0</v>
      </c>
      <c r="EQ87" s="14">
        <f>BP87*'MASTER SHEET'!D87</f>
        <v>0</v>
      </c>
      <c r="ER87" s="14">
        <f>BT87*'MASTER SHEET'!D87</f>
        <v>0</v>
      </c>
      <c r="ES87" s="14">
        <f>BX87*'MASTER SHEET'!D87</f>
        <v>0</v>
      </c>
      <c r="ET87" s="21">
        <f>CB87*'MASTER SHEET'!D87</f>
        <v>0</v>
      </c>
      <c r="EU87" s="14">
        <f>CF87*'MASTER SHEET'!D87</f>
        <v>0</v>
      </c>
      <c r="EV87" s="14">
        <f>CJ87*'MASTER SHEET'!D87</f>
        <v>0</v>
      </c>
      <c r="EW87" s="14">
        <f>CN87*'MASTER SHEET'!D87</f>
        <v>0</v>
      </c>
      <c r="EX87" s="14">
        <f>CR87*'MASTER SHEET'!D87</f>
        <v>0</v>
      </c>
      <c r="EY87" s="14">
        <f>CR87*'MASTER SHEET'!D87</f>
        <v>0</v>
      </c>
      <c r="EZ87" s="14">
        <f>CV87*'MASTER SHEET'!D87</f>
        <v>0</v>
      </c>
      <c r="FA87" s="14">
        <f>CZ87*'MASTER SHEET'!D87</f>
        <v>0</v>
      </c>
      <c r="FB87" s="14">
        <f>DD87*'MASTER SHEET'!D87</f>
        <v>0</v>
      </c>
    </row>
    <row r="88" spans="1:158" ht="18.75" customHeight="1" x14ac:dyDescent="0.25">
      <c r="A88" s="43">
        <f>'MASTER SHEET'!A88</f>
        <v>86</v>
      </c>
      <c r="B88" s="49" t="str">
        <f>'MASTER SHEET'!B88</f>
        <v xml:space="preserve">ENDPLATE </v>
      </c>
      <c r="C88" s="86">
        <f>'MASTER SHEET'!C88</f>
        <v>5040212</v>
      </c>
      <c r="D88" s="51"/>
      <c r="E88" s="48"/>
      <c r="F88" s="48"/>
      <c r="G88" s="48"/>
      <c r="H88" s="48">
        <f t="shared" si="97"/>
        <v>0</v>
      </c>
      <c r="I88" s="28"/>
      <c r="J88" s="28"/>
      <c r="K88" s="65"/>
      <c r="L88" s="48">
        <f t="shared" si="98"/>
        <v>0</v>
      </c>
      <c r="M88" s="48"/>
      <c r="N88" s="48"/>
      <c r="O88" s="48"/>
      <c r="P88" s="48">
        <f t="shared" si="99"/>
        <v>0</v>
      </c>
      <c r="Q88" s="48"/>
      <c r="R88" s="48"/>
      <c r="S88" s="48"/>
      <c r="T88" s="48">
        <f t="shared" si="100"/>
        <v>0</v>
      </c>
      <c r="U88" s="48">
        <v>0</v>
      </c>
      <c r="V88" s="48"/>
      <c r="W88" s="48"/>
      <c r="X88" s="48">
        <f t="shared" si="101"/>
        <v>0</v>
      </c>
      <c r="Y88" s="48"/>
      <c r="Z88" s="48"/>
      <c r="AA88" s="48"/>
      <c r="AB88" s="48">
        <f t="shared" si="102"/>
        <v>0</v>
      </c>
      <c r="AC88" s="48"/>
      <c r="AD88" s="48"/>
      <c r="AE88" s="48"/>
      <c r="AF88" s="48">
        <f t="shared" si="103"/>
        <v>0</v>
      </c>
      <c r="AG88" s="48"/>
      <c r="AH88" s="48"/>
      <c r="AI88" s="48"/>
      <c r="AJ88" s="48">
        <f t="shared" si="104"/>
        <v>0</v>
      </c>
      <c r="AK88" s="48"/>
      <c r="AL88" s="48"/>
      <c r="AM88" s="48"/>
      <c r="AN88" s="48">
        <f t="shared" si="105"/>
        <v>0</v>
      </c>
      <c r="AO88" s="48"/>
      <c r="AP88" s="48"/>
      <c r="AQ88" s="48"/>
      <c r="AR88" s="48">
        <f t="shared" si="106"/>
        <v>0</v>
      </c>
      <c r="AS88" s="48"/>
      <c r="AT88" s="48"/>
      <c r="AU88" s="48"/>
      <c r="AV88" s="48">
        <f t="shared" si="107"/>
        <v>0</v>
      </c>
      <c r="AW88" s="48"/>
      <c r="AX88" s="48"/>
      <c r="AY88" s="48"/>
      <c r="AZ88" s="48">
        <f t="shared" si="108"/>
        <v>0</v>
      </c>
      <c r="BA88" s="48"/>
      <c r="BB88" s="48"/>
      <c r="BC88" s="48"/>
      <c r="BD88" s="48">
        <f t="shared" si="109"/>
        <v>0</v>
      </c>
      <c r="BE88" s="48"/>
      <c r="BF88" s="48"/>
      <c r="BG88" s="48"/>
      <c r="BH88" s="48">
        <f t="shared" si="110"/>
        <v>0</v>
      </c>
      <c r="BI88" s="48"/>
      <c r="BJ88" s="48"/>
      <c r="BK88" s="48"/>
      <c r="BL88" s="48">
        <f t="shared" si="111"/>
        <v>0</v>
      </c>
      <c r="BM88" s="48"/>
      <c r="BN88" s="48"/>
      <c r="BO88" s="48"/>
      <c r="BP88" s="48">
        <f t="shared" si="112"/>
        <v>0</v>
      </c>
      <c r="BQ88" s="48"/>
      <c r="BR88" s="48"/>
      <c r="BS88" s="48"/>
      <c r="BT88" s="48">
        <f t="shared" si="113"/>
        <v>0</v>
      </c>
      <c r="BU88" s="48"/>
      <c r="BV88" s="48"/>
      <c r="BW88" s="48"/>
      <c r="BX88" s="48">
        <f t="shared" si="114"/>
        <v>0</v>
      </c>
      <c r="BY88" s="48"/>
      <c r="BZ88" s="48"/>
      <c r="CA88" s="48"/>
      <c r="CB88" s="48">
        <f t="shared" si="115"/>
        <v>0</v>
      </c>
      <c r="CC88" s="48"/>
      <c r="CD88" s="48"/>
      <c r="CE88" s="48"/>
      <c r="CF88" s="48">
        <f t="shared" si="116"/>
        <v>0</v>
      </c>
      <c r="CG88" s="48"/>
      <c r="CH88" s="48"/>
      <c r="CI88" s="48"/>
      <c r="CJ88" s="48">
        <f t="shared" si="117"/>
        <v>0</v>
      </c>
      <c r="CK88" s="48"/>
      <c r="CL88" s="48"/>
      <c r="CM88" s="48"/>
      <c r="CN88" s="48">
        <f t="shared" si="118"/>
        <v>0</v>
      </c>
      <c r="CO88" s="48"/>
      <c r="CP88" s="48"/>
      <c r="CQ88" s="48"/>
      <c r="CR88" s="48">
        <f t="shared" si="119"/>
        <v>0</v>
      </c>
      <c r="CS88" s="48"/>
      <c r="CT88" s="48"/>
      <c r="CU88" s="48"/>
      <c r="CV88" s="48">
        <f t="shared" si="120"/>
        <v>0</v>
      </c>
      <c r="CW88" s="48"/>
      <c r="CX88" s="48"/>
      <c r="CY88" s="48"/>
      <c r="CZ88" s="48">
        <f t="shared" si="121"/>
        <v>0</v>
      </c>
      <c r="DA88" s="48"/>
      <c r="DB88" s="48"/>
      <c r="DC88" s="48"/>
      <c r="DD88" s="48">
        <f t="shared" si="122"/>
        <v>0</v>
      </c>
      <c r="DE88" s="48"/>
      <c r="DF88" s="48"/>
      <c r="DG88" s="48"/>
      <c r="DH88" s="48">
        <f t="shared" si="123"/>
        <v>0</v>
      </c>
      <c r="DI88" s="48"/>
      <c r="DJ88" s="48"/>
      <c r="DK88" s="48"/>
      <c r="DL88" s="48">
        <f t="shared" si="124"/>
        <v>0</v>
      </c>
      <c r="DM88" s="48"/>
      <c r="DN88" s="48"/>
      <c r="DO88" s="48"/>
      <c r="DP88" s="48">
        <f t="shared" si="125"/>
        <v>0</v>
      </c>
      <c r="DQ88" s="48"/>
      <c r="DR88" s="48"/>
      <c r="DS88" s="48"/>
      <c r="DT88" s="48">
        <f t="shared" si="126"/>
        <v>0</v>
      </c>
      <c r="DU88" s="48"/>
      <c r="DV88" s="48"/>
      <c r="DW88" s="48"/>
      <c r="DX88" s="48">
        <f t="shared" si="127"/>
        <v>0</v>
      </c>
      <c r="DY88" s="48">
        <f t="shared" si="128"/>
        <v>0</v>
      </c>
      <c r="DZ88" s="48">
        <f t="shared" si="129"/>
        <v>0</v>
      </c>
      <c r="EA88" s="14">
        <f>D88*'MASTER SHEET'!D88</f>
        <v>0</v>
      </c>
      <c r="EB88" s="14">
        <f>H88*'MASTER SHEET'!D88</f>
        <v>0</v>
      </c>
      <c r="EC88" s="14">
        <f>L88*'MASTER SHEET'!D88</f>
        <v>0</v>
      </c>
      <c r="ED88" s="14">
        <f>P88*'MASTER SHEET'!D88</f>
        <v>0</v>
      </c>
      <c r="EE88" s="14">
        <f>T88*'MASTER SHEET'!D88</f>
        <v>0</v>
      </c>
      <c r="EF88" s="14">
        <f>X88*'MASTER SHEET'!D88</f>
        <v>0</v>
      </c>
      <c r="EG88" s="14">
        <f>AB88*'MASTER SHEET'!D88</f>
        <v>0</v>
      </c>
      <c r="EH88" s="14">
        <f>AF88*'MASTER SHEET'!D88</f>
        <v>0</v>
      </c>
      <c r="EI88" s="14">
        <f>AJ88*'MASTER SHEET'!D88</f>
        <v>0</v>
      </c>
      <c r="EJ88" s="14">
        <f>AN88*'MASTER SHEET'!D88</f>
        <v>0</v>
      </c>
      <c r="EK88" s="14">
        <f>AR88*'MASTER SHEET'!D88</f>
        <v>0</v>
      </c>
      <c r="EL88" s="14">
        <f>AV88*'MASTER SHEET'!D88</f>
        <v>0</v>
      </c>
      <c r="EM88" s="14">
        <f>AZ88*'MASTER SHEET'!D88</f>
        <v>0</v>
      </c>
      <c r="EN88" s="14">
        <f>BD88*'MASTER SHEET'!D88</f>
        <v>0</v>
      </c>
      <c r="EO88" s="14">
        <f>BH88*'MASTER SHEET'!D88</f>
        <v>0</v>
      </c>
      <c r="EP88" s="14">
        <f>BL88*'MASTER SHEET'!D88</f>
        <v>0</v>
      </c>
      <c r="EQ88" s="14">
        <f>BP88*'MASTER SHEET'!D88</f>
        <v>0</v>
      </c>
      <c r="ER88" s="14">
        <f>BT88*'MASTER SHEET'!D88</f>
        <v>0</v>
      </c>
      <c r="ES88" s="14">
        <f>BX88*'MASTER SHEET'!D88</f>
        <v>0</v>
      </c>
      <c r="ET88" s="21">
        <f>CB88*'MASTER SHEET'!D88</f>
        <v>0</v>
      </c>
      <c r="EU88" s="14">
        <f>CF88*'MASTER SHEET'!D88</f>
        <v>0</v>
      </c>
      <c r="EV88" s="14">
        <f>CJ88*'MASTER SHEET'!D88</f>
        <v>0</v>
      </c>
      <c r="EW88" s="14">
        <f>CN88*'MASTER SHEET'!D88</f>
        <v>0</v>
      </c>
      <c r="EX88" s="14">
        <f>CR88*'MASTER SHEET'!D88</f>
        <v>0</v>
      </c>
      <c r="EY88" s="14">
        <f>CR88*'MASTER SHEET'!D88</f>
        <v>0</v>
      </c>
      <c r="EZ88" s="14">
        <f>CV88*'MASTER SHEET'!D88</f>
        <v>0</v>
      </c>
      <c r="FA88" s="14">
        <f>CZ88*'MASTER SHEET'!D88</f>
        <v>0</v>
      </c>
      <c r="FB88" s="14">
        <f>DD88*'MASTER SHEET'!D88</f>
        <v>0</v>
      </c>
    </row>
    <row r="89" spans="1:158" ht="18.75" customHeight="1" x14ac:dyDescent="0.25">
      <c r="A89" s="43">
        <f>'MASTER SHEET'!A89</f>
        <v>87</v>
      </c>
      <c r="B89" s="49" t="str">
        <f>'MASTER SHEET'!B89</f>
        <v>SHELL PLASTIC</v>
      </c>
      <c r="C89" s="86">
        <f>'MASTER SHEET'!C89</f>
        <v>5043828</v>
      </c>
      <c r="D89" s="51"/>
      <c r="E89" s="48"/>
      <c r="F89" s="48"/>
      <c r="G89" s="48"/>
      <c r="H89" s="48">
        <f t="shared" si="97"/>
        <v>0</v>
      </c>
      <c r="I89" s="28"/>
      <c r="J89" s="28"/>
      <c r="K89" s="65"/>
      <c r="L89" s="48">
        <f t="shared" si="98"/>
        <v>0</v>
      </c>
      <c r="M89" s="48"/>
      <c r="N89" s="48"/>
      <c r="O89" s="48"/>
      <c r="P89" s="48">
        <f t="shared" si="99"/>
        <v>0</v>
      </c>
      <c r="Q89" s="48"/>
      <c r="R89" s="48"/>
      <c r="S89" s="48"/>
      <c r="T89" s="48">
        <f t="shared" si="100"/>
        <v>0</v>
      </c>
      <c r="U89" s="48">
        <v>0</v>
      </c>
      <c r="V89" s="48"/>
      <c r="W89" s="48"/>
      <c r="X89" s="48">
        <f t="shared" si="101"/>
        <v>0</v>
      </c>
      <c r="Y89" s="48"/>
      <c r="Z89" s="48"/>
      <c r="AA89" s="48"/>
      <c r="AB89" s="48">
        <f t="shared" si="102"/>
        <v>0</v>
      </c>
      <c r="AC89" s="48"/>
      <c r="AD89" s="48"/>
      <c r="AE89" s="48"/>
      <c r="AF89" s="48">
        <f t="shared" si="103"/>
        <v>0</v>
      </c>
      <c r="AG89" s="48"/>
      <c r="AH89" s="48"/>
      <c r="AI89" s="48"/>
      <c r="AJ89" s="48">
        <f t="shared" si="104"/>
        <v>0</v>
      </c>
      <c r="AK89" s="48"/>
      <c r="AL89" s="48"/>
      <c r="AM89" s="48"/>
      <c r="AN89" s="48">
        <f t="shared" si="105"/>
        <v>0</v>
      </c>
      <c r="AO89" s="48"/>
      <c r="AP89" s="48"/>
      <c r="AQ89" s="48"/>
      <c r="AR89" s="48">
        <f t="shared" si="106"/>
        <v>0</v>
      </c>
      <c r="AS89" s="48"/>
      <c r="AT89" s="48"/>
      <c r="AU89" s="48"/>
      <c r="AV89" s="48">
        <f t="shared" si="107"/>
        <v>0</v>
      </c>
      <c r="AW89" s="48"/>
      <c r="AX89" s="48"/>
      <c r="AY89" s="48"/>
      <c r="AZ89" s="48">
        <f t="shared" si="108"/>
        <v>0</v>
      </c>
      <c r="BA89" s="48"/>
      <c r="BB89" s="48"/>
      <c r="BC89" s="48"/>
      <c r="BD89" s="48">
        <f t="shared" si="109"/>
        <v>0</v>
      </c>
      <c r="BE89" s="48"/>
      <c r="BF89" s="48"/>
      <c r="BG89" s="48"/>
      <c r="BH89" s="48">
        <f t="shared" si="110"/>
        <v>0</v>
      </c>
      <c r="BI89" s="48"/>
      <c r="BJ89" s="48"/>
      <c r="BK89" s="48"/>
      <c r="BL89" s="48">
        <f t="shared" si="111"/>
        <v>0</v>
      </c>
      <c r="BM89" s="48"/>
      <c r="BN89" s="48"/>
      <c r="BO89" s="48"/>
      <c r="BP89" s="48">
        <f t="shared" si="112"/>
        <v>0</v>
      </c>
      <c r="BQ89" s="48"/>
      <c r="BR89" s="48"/>
      <c r="BS89" s="48"/>
      <c r="BT89" s="48">
        <f t="shared" si="113"/>
        <v>0</v>
      </c>
      <c r="BU89" s="48"/>
      <c r="BV89" s="48"/>
      <c r="BW89" s="48"/>
      <c r="BX89" s="48">
        <f t="shared" si="114"/>
        <v>0</v>
      </c>
      <c r="BY89" s="48"/>
      <c r="BZ89" s="48"/>
      <c r="CA89" s="48"/>
      <c r="CB89" s="48">
        <f t="shared" si="115"/>
        <v>0</v>
      </c>
      <c r="CC89" s="48"/>
      <c r="CD89" s="48"/>
      <c r="CE89" s="48"/>
      <c r="CF89" s="48">
        <f t="shared" si="116"/>
        <v>0</v>
      </c>
      <c r="CG89" s="48"/>
      <c r="CH89" s="48"/>
      <c r="CI89" s="48"/>
      <c r="CJ89" s="48">
        <f t="shared" si="117"/>
        <v>0</v>
      </c>
      <c r="CK89" s="48"/>
      <c r="CL89" s="48"/>
      <c r="CM89" s="48"/>
      <c r="CN89" s="48">
        <f t="shared" si="118"/>
        <v>0</v>
      </c>
      <c r="CO89" s="48"/>
      <c r="CP89" s="48"/>
      <c r="CQ89" s="48"/>
      <c r="CR89" s="48">
        <f t="shared" si="119"/>
        <v>0</v>
      </c>
      <c r="CS89" s="48"/>
      <c r="CT89" s="48"/>
      <c r="CU89" s="48"/>
      <c r="CV89" s="48">
        <f t="shared" si="120"/>
        <v>0</v>
      </c>
      <c r="CW89" s="48"/>
      <c r="CX89" s="48"/>
      <c r="CY89" s="48"/>
      <c r="CZ89" s="48">
        <f t="shared" si="121"/>
        <v>0</v>
      </c>
      <c r="DA89" s="48"/>
      <c r="DB89" s="48"/>
      <c r="DC89" s="48"/>
      <c r="DD89" s="48">
        <f t="shared" si="122"/>
        <v>0</v>
      </c>
      <c r="DE89" s="48"/>
      <c r="DF89" s="48"/>
      <c r="DG89" s="48"/>
      <c r="DH89" s="48">
        <f t="shared" si="123"/>
        <v>0</v>
      </c>
      <c r="DI89" s="48"/>
      <c r="DJ89" s="48"/>
      <c r="DK89" s="48"/>
      <c r="DL89" s="48">
        <f t="shared" si="124"/>
        <v>0</v>
      </c>
      <c r="DM89" s="48"/>
      <c r="DN89" s="48"/>
      <c r="DO89" s="48"/>
      <c r="DP89" s="48">
        <f t="shared" si="125"/>
        <v>0</v>
      </c>
      <c r="DQ89" s="48"/>
      <c r="DR89" s="48"/>
      <c r="DS89" s="48"/>
      <c r="DT89" s="48">
        <f t="shared" si="126"/>
        <v>0</v>
      </c>
      <c r="DU89" s="48"/>
      <c r="DV89" s="48"/>
      <c r="DW89" s="48"/>
      <c r="DX89" s="48">
        <f t="shared" si="127"/>
        <v>0</v>
      </c>
      <c r="DY89" s="48">
        <f t="shared" si="128"/>
        <v>0</v>
      </c>
      <c r="DZ89" s="48">
        <f t="shared" si="129"/>
        <v>0</v>
      </c>
      <c r="EA89" s="14">
        <f>D89*'MASTER SHEET'!D89</f>
        <v>0</v>
      </c>
      <c r="EB89" s="14">
        <f>H89*'MASTER SHEET'!D89</f>
        <v>0</v>
      </c>
      <c r="EC89" s="14">
        <f>L89*'MASTER SHEET'!D89</f>
        <v>0</v>
      </c>
      <c r="ED89" s="14">
        <f>P89*'MASTER SHEET'!D89</f>
        <v>0</v>
      </c>
      <c r="EE89" s="14">
        <f>T89*'MASTER SHEET'!D89</f>
        <v>0</v>
      </c>
      <c r="EF89" s="14">
        <f>X89*'MASTER SHEET'!D89</f>
        <v>0</v>
      </c>
      <c r="EG89" s="14">
        <f>AB89*'MASTER SHEET'!D89</f>
        <v>0</v>
      </c>
      <c r="EH89" s="14">
        <f>AF89*'MASTER SHEET'!D89</f>
        <v>0</v>
      </c>
      <c r="EI89" s="14">
        <f>AJ89*'MASTER SHEET'!D89</f>
        <v>0</v>
      </c>
      <c r="EJ89" s="14">
        <f>AN89*'MASTER SHEET'!D89</f>
        <v>0</v>
      </c>
      <c r="EK89" s="14">
        <f>AR89*'MASTER SHEET'!D89</f>
        <v>0</v>
      </c>
      <c r="EL89" s="14">
        <f>AV89*'MASTER SHEET'!D89</f>
        <v>0</v>
      </c>
      <c r="EM89" s="14">
        <f>AZ89*'MASTER SHEET'!D89</f>
        <v>0</v>
      </c>
      <c r="EN89" s="14">
        <f>BD89*'MASTER SHEET'!D89</f>
        <v>0</v>
      </c>
      <c r="EO89" s="14">
        <f>BH89*'MASTER SHEET'!D89</f>
        <v>0</v>
      </c>
      <c r="EP89" s="14">
        <f>BL89*'MASTER SHEET'!D89</f>
        <v>0</v>
      </c>
      <c r="EQ89" s="14">
        <f>BP89*'MASTER SHEET'!D89</f>
        <v>0</v>
      </c>
      <c r="ER89" s="14">
        <f>BT89*'MASTER SHEET'!D89</f>
        <v>0</v>
      </c>
      <c r="ES89" s="14">
        <f>BX89*'MASTER SHEET'!D89</f>
        <v>0</v>
      </c>
      <c r="ET89" s="21">
        <f>CB89*'MASTER SHEET'!D89</f>
        <v>0</v>
      </c>
      <c r="EU89" s="14">
        <f>CF89*'MASTER SHEET'!D89</f>
        <v>0</v>
      </c>
      <c r="EV89" s="14">
        <f>CJ89*'MASTER SHEET'!D89</f>
        <v>0</v>
      </c>
      <c r="EW89" s="14">
        <f>CN89*'MASTER SHEET'!D89</f>
        <v>0</v>
      </c>
      <c r="EX89" s="14">
        <f>CR89*'MASTER SHEET'!D89</f>
        <v>0</v>
      </c>
      <c r="EY89" s="14">
        <f>CR89*'MASTER SHEET'!D89</f>
        <v>0</v>
      </c>
      <c r="EZ89" s="14">
        <f>CV89*'MASTER SHEET'!D89</f>
        <v>0</v>
      </c>
      <c r="FA89" s="14">
        <f>CZ89*'MASTER SHEET'!D89</f>
        <v>0</v>
      </c>
      <c r="FB89" s="14">
        <f>DD89*'MASTER SHEET'!D89</f>
        <v>0</v>
      </c>
    </row>
    <row r="90" spans="1:158" ht="18.75" customHeight="1" x14ac:dyDescent="0.25">
      <c r="A90" s="43">
        <f>'MASTER SHEET'!A90</f>
        <v>88</v>
      </c>
      <c r="B90" s="49" t="str">
        <f>'MASTER SHEET'!B90</f>
        <v>PRECLEANER</v>
      </c>
      <c r="C90" s="86">
        <f>'MASTER SHEET'!C90</f>
        <v>5012394</v>
      </c>
      <c r="D90" s="51"/>
      <c r="E90" s="48"/>
      <c r="F90" s="48"/>
      <c r="G90" s="48"/>
      <c r="H90" s="48">
        <f t="shared" si="97"/>
        <v>0</v>
      </c>
      <c r="I90" s="28"/>
      <c r="J90" s="28"/>
      <c r="K90" s="65"/>
      <c r="L90" s="48">
        <f t="shared" si="98"/>
        <v>0</v>
      </c>
      <c r="M90" s="48"/>
      <c r="N90" s="48"/>
      <c r="O90" s="48"/>
      <c r="P90" s="48">
        <f t="shared" si="99"/>
        <v>0</v>
      </c>
      <c r="Q90" s="48"/>
      <c r="R90" s="48"/>
      <c r="S90" s="48"/>
      <c r="T90" s="48">
        <f t="shared" si="100"/>
        <v>0</v>
      </c>
      <c r="U90" s="48">
        <v>0</v>
      </c>
      <c r="V90" s="48"/>
      <c r="W90" s="48"/>
      <c r="X90" s="48">
        <f t="shared" si="101"/>
        <v>0</v>
      </c>
      <c r="Y90" s="48">
        <v>0</v>
      </c>
      <c r="Z90" s="48">
        <v>0</v>
      </c>
      <c r="AA90" s="48">
        <v>0</v>
      </c>
      <c r="AB90" s="48">
        <f t="shared" si="102"/>
        <v>0</v>
      </c>
      <c r="AC90" s="48">
        <v>0</v>
      </c>
      <c r="AD90" s="48">
        <v>0</v>
      </c>
      <c r="AE90" s="48">
        <v>0</v>
      </c>
      <c r="AF90" s="48">
        <f t="shared" si="103"/>
        <v>0</v>
      </c>
      <c r="AG90" s="48">
        <v>0</v>
      </c>
      <c r="AH90" s="48">
        <v>0</v>
      </c>
      <c r="AI90" s="48">
        <v>0</v>
      </c>
      <c r="AJ90" s="48">
        <f t="shared" si="104"/>
        <v>0</v>
      </c>
      <c r="AK90" s="48">
        <v>0</v>
      </c>
      <c r="AL90" s="48">
        <v>0</v>
      </c>
      <c r="AM90" s="48">
        <v>0</v>
      </c>
      <c r="AN90" s="48">
        <f t="shared" si="105"/>
        <v>0</v>
      </c>
      <c r="AO90" s="48">
        <v>372</v>
      </c>
      <c r="AP90" s="48">
        <v>367</v>
      </c>
      <c r="AQ90" s="48">
        <v>5</v>
      </c>
      <c r="AR90" s="48">
        <f t="shared" si="106"/>
        <v>0</v>
      </c>
      <c r="AS90" s="48">
        <v>633</v>
      </c>
      <c r="AT90" s="48">
        <v>629</v>
      </c>
      <c r="AU90" s="48">
        <v>4</v>
      </c>
      <c r="AV90" s="48">
        <f t="shared" si="107"/>
        <v>0</v>
      </c>
      <c r="AW90" s="48">
        <v>0</v>
      </c>
      <c r="AX90" s="48">
        <v>0</v>
      </c>
      <c r="AY90" s="48">
        <v>0</v>
      </c>
      <c r="AZ90" s="48">
        <f t="shared" si="108"/>
        <v>0</v>
      </c>
      <c r="BA90" s="48">
        <v>638</v>
      </c>
      <c r="BB90" s="48">
        <v>630</v>
      </c>
      <c r="BC90" s="48">
        <v>8</v>
      </c>
      <c r="BD90" s="48">
        <f t="shared" si="109"/>
        <v>0</v>
      </c>
      <c r="BE90" s="48">
        <v>497</v>
      </c>
      <c r="BF90" s="48">
        <v>492</v>
      </c>
      <c r="BG90" s="48">
        <v>5</v>
      </c>
      <c r="BH90" s="48">
        <f t="shared" si="110"/>
        <v>0</v>
      </c>
      <c r="BI90" s="48">
        <v>480</v>
      </c>
      <c r="BJ90" s="48">
        <v>475</v>
      </c>
      <c r="BK90" s="48">
        <v>5</v>
      </c>
      <c r="BL90" s="48">
        <f t="shared" si="111"/>
        <v>0</v>
      </c>
      <c r="BM90" s="48">
        <v>0</v>
      </c>
      <c r="BN90" s="48">
        <v>0</v>
      </c>
      <c r="BO90" s="48">
        <v>0</v>
      </c>
      <c r="BP90" s="48">
        <f t="shared" si="112"/>
        <v>0</v>
      </c>
      <c r="BQ90" s="48"/>
      <c r="BR90" s="48"/>
      <c r="BS90" s="48"/>
      <c r="BT90" s="48">
        <f t="shared" si="113"/>
        <v>0</v>
      </c>
      <c r="BU90" s="48"/>
      <c r="BV90" s="48"/>
      <c r="BW90" s="48"/>
      <c r="BX90" s="48">
        <f t="shared" si="114"/>
        <v>0</v>
      </c>
      <c r="BY90" s="48"/>
      <c r="BZ90" s="48"/>
      <c r="CA90" s="48"/>
      <c r="CB90" s="48">
        <f t="shared" si="115"/>
        <v>0</v>
      </c>
      <c r="CC90" s="48"/>
      <c r="CD90" s="48"/>
      <c r="CE90" s="48"/>
      <c r="CF90" s="48">
        <f t="shared" si="116"/>
        <v>0</v>
      </c>
      <c r="CG90" s="48"/>
      <c r="CH90" s="48"/>
      <c r="CI90" s="48"/>
      <c r="CJ90" s="48">
        <f t="shared" si="117"/>
        <v>0</v>
      </c>
      <c r="CK90" s="48"/>
      <c r="CL90" s="48"/>
      <c r="CM90" s="48"/>
      <c r="CN90" s="48">
        <f t="shared" si="118"/>
        <v>0</v>
      </c>
      <c r="CO90" s="48"/>
      <c r="CP90" s="48"/>
      <c r="CQ90" s="48"/>
      <c r="CR90" s="48">
        <f t="shared" si="119"/>
        <v>0</v>
      </c>
      <c r="CS90" s="48"/>
      <c r="CT90" s="48"/>
      <c r="CU90" s="48"/>
      <c r="CV90" s="48">
        <f t="shared" si="120"/>
        <v>0</v>
      </c>
      <c r="CW90" s="48">
        <v>0</v>
      </c>
      <c r="CX90" s="48">
        <v>0</v>
      </c>
      <c r="CY90" s="48">
        <v>0</v>
      </c>
      <c r="CZ90" s="48">
        <f t="shared" si="121"/>
        <v>0</v>
      </c>
      <c r="DA90" s="48"/>
      <c r="DB90" s="48"/>
      <c r="DC90" s="48"/>
      <c r="DD90" s="48">
        <f t="shared" si="122"/>
        <v>0</v>
      </c>
      <c r="DE90" s="48"/>
      <c r="DF90" s="48"/>
      <c r="DG90" s="48"/>
      <c r="DH90" s="48">
        <f t="shared" si="123"/>
        <v>0</v>
      </c>
      <c r="DI90" s="48">
        <v>0</v>
      </c>
      <c r="DJ90" s="48">
        <v>0</v>
      </c>
      <c r="DK90" s="48">
        <v>0</v>
      </c>
      <c r="DL90" s="48">
        <f t="shared" si="124"/>
        <v>0</v>
      </c>
      <c r="DM90" s="48">
        <v>0</v>
      </c>
      <c r="DN90" s="48">
        <v>0</v>
      </c>
      <c r="DO90" s="48">
        <v>0</v>
      </c>
      <c r="DP90" s="48">
        <f t="shared" si="125"/>
        <v>0</v>
      </c>
      <c r="DQ90" s="48"/>
      <c r="DR90" s="48"/>
      <c r="DS90" s="48"/>
      <c r="DT90" s="48">
        <f t="shared" si="126"/>
        <v>0</v>
      </c>
      <c r="DU90" s="48"/>
      <c r="DV90" s="48"/>
      <c r="DW90" s="48"/>
      <c r="DX90" s="48">
        <f t="shared" si="127"/>
        <v>0</v>
      </c>
      <c r="DY90" s="48">
        <f t="shared" si="128"/>
        <v>2620</v>
      </c>
      <c r="DZ90" s="48">
        <f t="shared" si="129"/>
        <v>27</v>
      </c>
      <c r="EA90" s="14">
        <f>D90*'MASTER SHEET'!D90</f>
        <v>0</v>
      </c>
      <c r="EB90" s="14">
        <f>H90*'MASTER SHEET'!D90</f>
        <v>0</v>
      </c>
      <c r="EC90" s="14">
        <f>L90*'MASTER SHEET'!D90</f>
        <v>0</v>
      </c>
      <c r="ED90" s="14">
        <f>P90*'MASTER SHEET'!D90</f>
        <v>0</v>
      </c>
      <c r="EE90" s="14">
        <f>T90*'MASTER SHEET'!D90</f>
        <v>0</v>
      </c>
      <c r="EF90" s="14">
        <f>X90*'MASTER SHEET'!D90</f>
        <v>0</v>
      </c>
      <c r="EG90" s="14">
        <f>AB90*'MASTER SHEET'!D90</f>
        <v>0</v>
      </c>
      <c r="EH90" s="14">
        <f>AF90*'MASTER SHEET'!D90</f>
        <v>0</v>
      </c>
      <c r="EI90" s="14">
        <f>AJ90*'MASTER SHEET'!D90</f>
        <v>0</v>
      </c>
      <c r="EJ90" s="14">
        <f>AN90*'MASTER SHEET'!D90</f>
        <v>0</v>
      </c>
      <c r="EK90" s="14">
        <f>AR90*'MASTER SHEET'!D90</f>
        <v>0</v>
      </c>
      <c r="EL90" s="14">
        <f>AV90*'MASTER SHEET'!D90</f>
        <v>0</v>
      </c>
      <c r="EM90" s="14">
        <f>AZ90*'MASTER SHEET'!D90</f>
        <v>0</v>
      </c>
      <c r="EN90" s="14">
        <f>BD90*'MASTER SHEET'!D90</f>
        <v>0</v>
      </c>
      <c r="EO90" s="14">
        <f>BH90*'MASTER SHEET'!D90</f>
        <v>0</v>
      </c>
      <c r="EP90" s="14">
        <f>BL90*'MASTER SHEET'!D90</f>
        <v>0</v>
      </c>
      <c r="EQ90" s="14">
        <f>BP90*'MASTER SHEET'!D90</f>
        <v>0</v>
      </c>
      <c r="ER90" s="14">
        <f>BT90*'MASTER SHEET'!D90</f>
        <v>0</v>
      </c>
      <c r="ES90" s="14">
        <f>BX90*'MASTER SHEET'!D90</f>
        <v>0</v>
      </c>
      <c r="ET90" s="21">
        <f>CB90*'MASTER SHEET'!D90</f>
        <v>0</v>
      </c>
      <c r="EU90" s="14">
        <f>CF90*'MASTER SHEET'!D90</f>
        <v>0</v>
      </c>
      <c r="EV90" s="14">
        <f>CJ90*'MASTER SHEET'!D90</f>
        <v>0</v>
      </c>
      <c r="EW90" s="14">
        <f>CN90*'MASTER SHEET'!D90</f>
        <v>0</v>
      </c>
      <c r="EX90" s="14">
        <f>CR90*'MASTER SHEET'!D90</f>
        <v>0</v>
      </c>
      <c r="EY90" s="14">
        <f>CR90*'MASTER SHEET'!D90</f>
        <v>0</v>
      </c>
      <c r="EZ90" s="14">
        <f>CV90*'MASTER SHEET'!D90</f>
        <v>0</v>
      </c>
      <c r="FA90" s="14">
        <f>CZ90*'MASTER SHEET'!D90</f>
        <v>0</v>
      </c>
      <c r="FB90" s="14">
        <f>DD90*'MASTER SHEET'!D90</f>
        <v>0</v>
      </c>
    </row>
    <row r="91" spans="1:158" ht="18.75" customHeight="1" x14ac:dyDescent="0.25">
      <c r="A91" s="43">
        <f>'MASTER SHEET'!A91</f>
        <v>89</v>
      </c>
      <c r="B91" s="49" t="str">
        <f>'MASTER SHEET'!B91</f>
        <v>TOP COVER</v>
      </c>
      <c r="C91" s="86">
        <f>'MASTER SHEET'!C91</f>
        <v>5036677</v>
      </c>
      <c r="D91" s="51"/>
      <c r="E91" s="48">
        <v>770</v>
      </c>
      <c r="F91" s="48">
        <v>765</v>
      </c>
      <c r="G91" s="48">
        <v>5</v>
      </c>
      <c r="H91" s="48">
        <f t="shared" si="97"/>
        <v>0</v>
      </c>
      <c r="I91" s="28">
        <v>0</v>
      </c>
      <c r="J91" s="28">
        <v>0</v>
      </c>
      <c r="K91" s="65">
        <v>0</v>
      </c>
      <c r="L91" s="48">
        <f t="shared" si="98"/>
        <v>0</v>
      </c>
      <c r="M91" s="48"/>
      <c r="N91" s="48"/>
      <c r="O91" s="48"/>
      <c r="P91" s="48">
        <f t="shared" si="99"/>
        <v>0</v>
      </c>
      <c r="Q91" s="48">
        <v>0</v>
      </c>
      <c r="R91" s="48">
        <v>0</v>
      </c>
      <c r="S91" s="48">
        <v>0</v>
      </c>
      <c r="T91" s="48">
        <f t="shared" si="100"/>
        <v>0</v>
      </c>
      <c r="U91" s="48">
        <v>165</v>
      </c>
      <c r="V91" s="48">
        <v>161</v>
      </c>
      <c r="W91" s="48">
        <v>4</v>
      </c>
      <c r="X91" s="48">
        <f>T91+U91-V91-W91</f>
        <v>0</v>
      </c>
      <c r="Y91" s="48">
        <v>167</v>
      </c>
      <c r="Z91" s="48">
        <v>162</v>
      </c>
      <c r="AA91" s="48">
        <v>5</v>
      </c>
      <c r="AB91" s="48">
        <f t="shared" si="102"/>
        <v>0</v>
      </c>
      <c r="AC91" s="48">
        <v>712</v>
      </c>
      <c r="AD91" s="48">
        <v>707</v>
      </c>
      <c r="AE91" s="48">
        <v>5</v>
      </c>
      <c r="AF91" s="48">
        <f t="shared" si="103"/>
        <v>0</v>
      </c>
      <c r="AG91" s="48">
        <v>570</v>
      </c>
      <c r="AH91" s="48">
        <v>551</v>
      </c>
      <c r="AI91" s="48">
        <v>19</v>
      </c>
      <c r="AJ91" s="48">
        <f t="shared" si="104"/>
        <v>0</v>
      </c>
      <c r="AK91" s="48">
        <v>139</v>
      </c>
      <c r="AL91" s="48">
        <v>137</v>
      </c>
      <c r="AM91" s="48">
        <v>2</v>
      </c>
      <c r="AN91" s="48">
        <f t="shared" si="105"/>
        <v>0</v>
      </c>
      <c r="AO91" s="48"/>
      <c r="AP91" s="48"/>
      <c r="AQ91" s="48"/>
      <c r="AR91" s="48">
        <f t="shared" si="106"/>
        <v>0</v>
      </c>
      <c r="AS91" s="48"/>
      <c r="AT91" s="48"/>
      <c r="AU91" s="48"/>
      <c r="AV91" s="48">
        <f t="shared" si="107"/>
        <v>0</v>
      </c>
      <c r="AW91" s="48"/>
      <c r="AX91" s="48"/>
      <c r="AY91" s="48"/>
      <c r="AZ91" s="48">
        <f t="shared" si="108"/>
        <v>0</v>
      </c>
      <c r="BA91" s="48">
        <v>0</v>
      </c>
      <c r="BB91" s="48">
        <v>0</v>
      </c>
      <c r="BC91" s="48">
        <v>0</v>
      </c>
      <c r="BD91" s="48">
        <f t="shared" si="109"/>
        <v>0</v>
      </c>
      <c r="BE91" s="48">
        <v>0</v>
      </c>
      <c r="BF91" s="48">
        <v>0</v>
      </c>
      <c r="BG91" s="48">
        <v>0</v>
      </c>
      <c r="BH91" s="48">
        <f t="shared" si="110"/>
        <v>0</v>
      </c>
      <c r="BI91" s="48">
        <v>0</v>
      </c>
      <c r="BJ91" s="48">
        <v>0</v>
      </c>
      <c r="BK91" s="48">
        <v>0</v>
      </c>
      <c r="BL91" s="48">
        <f t="shared" si="111"/>
        <v>0</v>
      </c>
      <c r="BM91" s="48">
        <v>746</v>
      </c>
      <c r="BN91" s="48">
        <v>742</v>
      </c>
      <c r="BO91" s="48">
        <v>4</v>
      </c>
      <c r="BP91" s="48">
        <f t="shared" si="112"/>
        <v>0</v>
      </c>
      <c r="BQ91" s="48">
        <v>640</v>
      </c>
      <c r="BR91" s="48">
        <v>639</v>
      </c>
      <c r="BS91" s="48">
        <v>1</v>
      </c>
      <c r="BT91" s="48">
        <f t="shared" si="113"/>
        <v>0</v>
      </c>
      <c r="BU91" s="48">
        <v>0</v>
      </c>
      <c r="BV91" s="48">
        <v>0</v>
      </c>
      <c r="BW91" s="48">
        <v>0</v>
      </c>
      <c r="BX91" s="48">
        <f t="shared" si="114"/>
        <v>0</v>
      </c>
      <c r="BY91" s="48"/>
      <c r="BZ91" s="48"/>
      <c r="CA91" s="48"/>
      <c r="CB91" s="48">
        <f t="shared" si="115"/>
        <v>0</v>
      </c>
      <c r="CC91" s="48">
        <v>0</v>
      </c>
      <c r="CD91" s="48">
        <v>0</v>
      </c>
      <c r="CE91" s="48">
        <v>0</v>
      </c>
      <c r="CF91" s="48">
        <f t="shared" si="116"/>
        <v>0</v>
      </c>
      <c r="CG91" s="48">
        <v>647</v>
      </c>
      <c r="CH91" s="48">
        <v>637</v>
      </c>
      <c r="CI91" s="48">
        <v>10</v>
      </c>
      <c r="CJ91" s="48">
        <f t="shared" si="117"/>
        <v>0</v>
      </c>
      <c r="CK91" s="48">
        <f>22+308</f>
        <v>330</v>
      </c>
      <c r="CL91" s="48">
        <v>330</v>
      </c>
      <c r="CM91" s="48"/>
      <c r="CN91" s="48">
        <f t="shared" si="118"/>
        <v>0</v>
      </c>
      <c r="CO91" s="48">
        <v>797</v>
      </c>
      <c r="CP91" s="48">
        <v>790</v>
      </c>
      <c r="CQ91" s="48">
        <v>7</v>
      </c>
      <c r="CR91" s="48">
        <f t="shared" si="119"/>
        <v>0</v>
      </c>
      <c r="CS91" s="48">
        <v>109</v>
      </c>
      <c r="CT91" s="48">
        <v>106</v>
      </c>
      <c r="CU91" s="48">
        <v>3</v>
      </c>
      <c r="CV91" s="48">
        <f t="shared" si="120"/>
        <v>0</v>
      </c>
      <c r="CW91" s="48"/>
      <c r="CX91" s="48"/>
      <c r="CY91" s="48"/>
      <c r="CZ91" s="48">
        <f t="shared" si="121"/>
        <v>0</v>
      </c>
      <c r="DA91" s="48"/>
      <c r="DB91" s="48"/>
      <c r="DC91" s="48"/>
      <c r="DD91" s="48">
        <f t="shared" si="122"/>
        <v>0</v>
      </c>
      <c r="DE91" s="48"/>
      <c r="DF91" s="48"/>
      <c r="DG91" s="48"/>
      <c r="DH91" s="48">
        <f t="shared" si="123"/>
        <v>0</v>
      </c>
      <c r="DI91" s="48"/>
      <c r="DJ91" s="48"/>
      <c r="DK91" s="48"/>
      <c r="DL91" s="48">
        <f t="shared" si="124"/>
        <v>0</v>
      </c>
      <c r="DM91" s="48"/>
      <c r="DN91" s="48"/>
      <c r="DO91" s="48"/>
      <c r="DP91" s="48">
        <f t="shared" si="125"/>
        <v>0</v>
      </c>
      <c r="DQ91" s="48"/>
      <c r="DR91" s="48"/>
      <c r="DS91" s="48"/>
      <c r="DT91" s="48">
        <f t="shared" si="126"/>
        <v>0</v>
      </c>
      <c r="DU91" s="48"/>
      <c r="DV91" s="48"/>
      <c r="DW91" s="48"/>
      <c r="DX91" s="48">
        <f t="shared" si="127"/>
        <v>0</v>
      </c>
      <c r="DY91" s="48">
        <f t="shared" si="128"/>
        <v>5792</v>
      </c>
      <c r="DZ91" s="48">
        <f t="shared" si="129"/>
        <v>65</v>
      </c>
      <c r="EA91" s="14">
        <f>D91*'MASTER SHEET'!D91</f>
        <v>0</v>
      </c>
      <c r="EB91" s="14">
        <f>H91*'MASTER SHEET'!D91</f>
        <v>0</v>
      </c>
      <c r="EC91" s="14">
        <f>L91*'MASTER SHEET'!D91</f>
        <v>0</v>
      </c>
      <c r="ED91" s="14">
        <f>P91*'MASTER SHEET'!D91</f>
        <v>0</v>
      </c>
      <c r="EE91" s="14">
        <f>T91*'MASTER SHEET'!D91</f>
        <v>0</v>
      </c>
      <c r="EF91" s="14">
        <f>X91*'MASTER SHEET'!D91</f>
        <v>0</v>
      </c>
      <c r="EG91" s="14">
        <f>AB91*'MASTER SHEET'!D91</f>
        <v>0</v>
      </c>
      <c r="EH91" s="14">
        <f>AF91*'MASTER SHEET'!D91</f>
        <v>0</v>
      </c>
      <c r="EI91" s="14">
        <f>AJ91*'MASTER SHEET'!D91</f>
        <v>0</v>
      </c>
      <c r="EJ91" s="14">
        <f>AN91*'MASTER SHEET'!D91</f>
        <v>0</v>
      </c>
      <c r="EK91" s="14">
        <f>AR91*'MASTER SHEET'!D91</f>
        <v>0</v>
      </c>
      <c r="EL91" s="14">
        <f>AV91*'MASTER SHEET'!D91</f>
        <v>0</v>
      </c>
      <c r="EM91" s="14">
        <f>AZ91*'MASTER SHEET'!D91</f>
        <v>0</v>
      </c>
      <c r="EN91" s="14">
        <f>BD91*'MASTER SHEET'!D91</f>
        <v>0</v>
      </c>
      <c r="EO91" s="14">
        <f>BH91*'MASTER SHEET'!D91</f>
        <v>0</v>
      </c>
      <c r="EP91" s="14">
        <f>BL91*'MASTER SHEET'!D91</f>
        <v>0</v>
      </c>
      <c r="EQ91" s="14">
        <f>BP91*'MASTER SHEET'!D91</f>
        <v>0</v>
      </c>
      <c r="ER91" s="14">
        <f>BT91*'MASTER SHEET'!D91</f>
        <v>0</v>
      </c>
      <c r="ES91" s="14">
        <f>BX91*'MASTER SHEET'!D91</f>
        <v>0</v>
      </c>
      <c r="ET91" s="21">
        <f>CB91*'MASTER SHEET'!D91</f>
        <v>0</v>
      </c>
      <c r="EU91" s="14">
        <f>CF91*'MASTER SHEET'!D91</f>
        <v>0</v>
      </c>
      <c r="EV91" s="14">
        <f>CJ91*'MASTER SHEET'!D91</f>
        <v>0</v>
      </c>
      <c r="EW91" s="14">
        <f>CN91*'MASTER SHEET'!D91</f>
        <v>0</v>
      </c>
      <c r="EX91" s="14">
        <f>CR91*'MASTER SHEET'!D91</f>
        <v>0</v>
      </c>
      <c r="EY91" s="14">
        <f>CR91*'MASTER SHEET'!D91</f>
        <v>0</v>
      </c>
      <c r="EZ91" s="14">
        <f>CV91*'MASTER SHEET'!D91</f>
        <v>0</v>
      </c>
      <c r="FA91" s="14">
        <f>CZ91*'MASTER SHEET'!D91</f>
        <v>0</v>
      </c>
      <c r="FB91" s="14">
        <f>DD91*'MASTER SHEET'!D91</f>
        <v>0</v>
      </c>
    </row>
    <row r="92" spans="1:158" ht="18.75" customHeight="1" x14ac:dyDescent="0.25">
      <c r="A92" s="43">
        <f>'MASTER SHEET'!A92</f>
        <v>90</v>
      </c>
      <c r="B92" s="49" t="str">
        <f>'MASTER SHEET'!B92</f>
        <v>TOP COVER</v>
      </c>
      <c r="C92" s="86">
        <f>'MASTER SHEET'!C92</f>
        <v>5012083</v>
      </c>
      <c r="D92" s="51"/>
      <c r="E92" s="48"/>
      <c r="F92" s="48"/>
      <c r="G92" s="48"/>
      <c r="H92" s="48">
        <f t="shared" si="97"/>
        <v>0</v>
      </c>
      <c r="I92" s="28"/>
      <c r="J92" s="28"/>
      <c r="K92" s="65"/>
      <c r="L92" s="48">
        <f t="shared" si="98"/>
        <v>0</v>
      </c>
      <c r="M92" s="48"/>
      <c r="N92" s="48"/>
      <c r="O92" s="48"/>
      <c r="P92" s="48">
        <f t="shared" si="99"/>
        <v>0</v>
      </c>
      <c r="Q92" s="48"/>
      <c r="R92" s="48"/>
      <c r="S92" s="48"/>
      <c r="T92" s="48">
        <f t="shared" si="100"/>
        <v>0</v>
      </c>
      <c r="U92" s="48">
        <v>0</v>
      </c>
      <c r="V92" s="48"/>
      <c r="W92" s="48"/>
      <c r="X92" s="48">
        <f t="shared" si="101"/>
        <v>0</v>
      </c>
      <c r="Y92" s="48"/>
      <c r="Z92" s="48"/>
      <c r="AA92" s="48"/>
      <c r="AB92" s="48">
        <f t="shared" si="102"/>
        <v>0</v>
      </c>
      <c r="AC92" s="48"/>
      <c r="AD92" s="48"/>
      <c r="AE92" s="48"/>
      <c r="AF92" s="48">
        <f t="shared" si="103"/>
        <v>0</v>
      </c>
      <c r="AG92" s="48"/>
      <c r="AH92" s="48"/>
      <c r="AI92" s="48"/>
      <c r="AJ92" s="48">
        <f t="shared" si="104"/>
        <v>0</v>
      </c>
      <c r="AK92" s="48"/>
      <c r="AL92" s="48"/>
      <c r="AM92" s="48"/>
      <c r="AN92" s="48">
        <f t="shared" si="105"/>
        <v>0</v>
      </c>
      <c r="AO92" s="48"/>
      <c r="AP92" s="48"/>
      <c r="AQ92" s="48"/>
      <c r="AR92" s="48">
        <f t="shared" si="106"/>
        <v>0</v>
      </c>
      <c r="AS92" s="48"/>
      <c r="AT92" s="48"/>
      <c r="AU92" s="48"/>
      <c r="AV92" s="48">
        <f t="shared" si="107"/>
        <v>0</v>
      </c>
      <c r="AW92" s="48"/>
      <c r="AX92" s="48"/>
      <c r="AY92" s="48"/>
      <c r="AZ92" s="48">
        <f t="shared" si="108"/>
        <v>0</v>
      </c>
      <c r="BA92" s="48"/>
      <c r="BB92" s="48"/>
      <c r="BC92" s="48"/>
      <c r="BD92" s="48">
        <f t="shared" si="109"/>
        <v>0</v>
      </c>
      <c r="BE92" s="48"/>
      <c r="BF92" s="48"/>
      <c r="BG92" s="48"/>
      <c r="BH92" s="48">
        <f t="shared" si="110"/>
        <v>0</v>
      </c>
      <c r="BI92" s="48"/>
      <c r="BJ92" s="48"/>
      <c r="BK92" s="48"/>
      <c r="BL92" s="48">
        <f t="shared" si="111"/>
        <v>0</v>
      </c>
      <c r="BM92" s="48"/>
      <c r="BN92" s="48"/>
      <c r="BO92" s="48"/>
      <c r="BP92" s="48">
        <f t="shared" si="112"/>
        <v>0</v>
      </c>
      <c r="BQ92" s="48"/>
      <c r="BR92" s="48"/>
      <c r="BS92" s="48"/>
      <c r="BT92" s="48">
        <f t="shared" si="113"/>
        <v>0</v>
      </c>
      <c r="BU92" s="48"/>
      <c r="BV92" s="48"/>
      <c r="BW92" s="48"/>
      <c r="BX92" s="48">
        <f t="shared" si="114"/>
        <v>0</v>
      </c>
      <c r="BY92" s="48"/>
      <c r="BZ92" s="48"/>
      <c r="CA92" s="48"/>
      <c r="CB92" s="48">
        <f t="shared" si="115"/>
        <v>0</v>
      </c>
      <c r="CC92" s="48"/>
      <c r="CD92" s="48"/>
      <c r="CE92" s="48"/>
      <c r="CF92" s="48">
        <f t="shared" si="116"/>
        <v>0</v>
      </c>
      <c r="CG92" s="48"/>
      <c r="CH92" s="48"/>
      <c r="CI92" s="48"/>
      <c r="CJ92" s="48">
        <f t="shared" si="117"/>
        <v>0</v>
      </c>
      <c r="CK92" s="48"/>
      <c r="CL92" s="48"/>
      <c r="CM92" s="48"/>
      <c r="CN92" s="48">
        <f t="shared" si="118"/>
        <v>0</v>
      </c>
      <c r="CO92" s="48"/>
      <c r="CP92" s="48"/>
      <c r="CQ92" s="48"/>
      <c r="CR92" s="48">
        <f t="shared" si="119"/>
        <v>0</v>
      </c>
      <c r="CS92" s="48"/>
      <c r="CT92" s="48"/>
      <c r="CU92" s="48"/>
      <c r="CV92" s="48">
        <f t="shared" si="120"/>
        <v>0</v>
      </c>
      <c r="CW92" s="48"/>
      <c r="CX92" s="48"/>
      <c r="CY92" s="48"/>
      <c r="CZ92" s="48">
        <f t="shared" si="121"/>
        <v>0</v>
      </c>
      <c r="DA92" s="48"/>
      <c r="DB92" s="48"/>
      <c r="DC92" s="48"/>
      <c r="DD92" s="48">
        <f t="shared" si="122"/>
        <v>0</v>
      </c>
      <c r="DE92" s="48"/>
      <c r="DF92" s="48"/>
      <c r="DG92" s="48"/>
      <c r="DH92" s="48">
        <f t="shared" si="123"/>
        <v>0</v>
      </c>
      <c r="DI92" s="48"/>
      <c r="DJ92" s="48"/>
      <c r="DK92" s="48"/>
      <c r="DL92" s="48">
        <f t="shared" si="124"/>
        <v>0</v>
      </c>
      <c r="DM92" s="48"/>
      <c r="DN92" s="48"/>
      <c r="DO92" s="48"/>
      <c r="DP92" s="48">
        <f t="shared" si="125"/>
        <v>0</v>
      </c>
      <c r="DQ92" s="48"/>
      <c r="DR92" s="48"/>
      <c r="DS92" s="48"/>
      <c r="DT92" s="48">
        <f t="shared" si="126"/>
        <v>0</v>
      </c>
      <c r="DU92" s="48"/>
      <c r="DV92" s="48"/>
      <c r="DW92" s="48"/>
      <c r="DX92" s="48">
        <f t="shared" si="127"/>
        <v>0</v>
      </c>
      <c r="DY92" s="48">
        <f t="shared" si="128"/>
        <v>0</v>
      </c>
      <c r="DZ92" s="48">
        <f t="shared" si="129"/>
        <v>0</v>
      </c>
      <c r="EA92" s="14">
        <f>D92*'MASTER SHEET'!D92</f>
        <v>0</v>
      </c>
      <c r="EB92" s="14">
        <f>H92*'MASTER SHEET'!D92</f>
        <v>0</v>
      </c>
      <c r="EC92" s="14">
        <f>L92*'MASTER SHEET'!D92</f>
        <v>0</v>
      </c>
      <c r="ED92" s="14">
        <f>P92*'MASTER SHEET'!D92</f>
        <v>0</v>
      </c>
      <c r="EE92" s="14">
        <f>T92*'MASTER SHEET'!D92</f>
        <v>0</v>
      </c>
      <c r="EF92" s="14">
        <f>X92*'MASTER SHEET'!D92</f>
        <v>0</v>
      </c>
      <c r="EG92" s="14">
        <f>AB92*'MASTER SHEET'!D92</f>
        <v>0</v>
      </c>
      <c r="EH92" s="14">
        <f>AF92*'MASTER SHEET'!D92</f>
        <v>0</v>
      </c>
      <c r="EI92" s="14">
        <f>AJ92*'MASTER SHEET'!D92</f>
        <v>0</v>
      </c>
      <c r="EJ92" s="14">
        <f>AN92*'MASTER SHEET'!D92</f>
        <v>0</v>
      </c>
      <c r="EK92" s="14">
        <f>AR92*'MASTER SHEET'!D92</f>
        <v>0</v>
      </c>
      <c r="EL92" s="14">
        <f>AV92*'MASTER SHEET'!D92</f>
        <v>0</v>
      </c>
      <c r="EM92" s="14">
        <f>AZ92*'MASTER SHEET'!D92</f>
        <v>0</v>
      </c>
      <c r="EN92" s="14">
        <f>BD92*'MASTER SHEET'!D92</f>
        <v>0</v>
      </c>
      <c r="EO92" s="14">
        <f>BH92*'MASTER SHEET'!D92</f>
        <v>0</v>
      </c>
      <c r="EP92" s="14">
        <f>BL92*'MASTER SHEET'!D92</f>
        <v>0</v>
      </c>
      <c r="EQ92" s="14">
        <f>BP92*'MASTER SHEET'!D92</f>
        <v>0</v>
      </c>
      <c r="ER92" s="14">
        <f>BT92*'MASTER SHEET'!D92</f>
        <v>0</v>
      </c>
      <c r="ES92" s="14">
        <f>BX92*'MASTER SHEET'!D92</f>
        <v>0</v>
      </c>
      <c r="ET92" s="21">
        <f>CB92*'MASTER SHEET'!D92</f>
        <v>0</v>
      </c>
      <c r="EU92" s="14">
        <f>CF92*'MASTER SHEET'!D92</f>
        <v>0</v>
      </c>
      <c r="EV92" s="14">
        <f>CJ92*'MASTER SHEET'!D92</f>
        <v>0</v>
      </c>
      <c r="EW92" s="14">
        <f>CN92*'MASTER SHEET'!D92</f>
        <v>0</v>
      </c>
      <c r="EX92" s="14">
        <f>CR92*'MASTER SHEET'!D92</f>
        <v>0</v>
      </c>
      <c r="EY92" s="14">
        <f>CR92*'MASTER SHEET'!D92</f>
        <v>0</v>
      </c>
      <c r="EZ92" s="14">
        <f>CV92*'MASTER SHEET'!D92</f>
        <v>0</v>
      </c>
      <c r="FA92" s="14">
        <f>CZ92*'MASTER SHEET'!D92</f>
        <v>0</v>
      </c>
      <c r="FB92" s="14">
        <f>DD92*'MASTER SHEET'!D92</f>
        <v>0</v>
      </c>
    </row>
    <row r="93" spans="1:158" ht="18.75" customHeight="1" x14ac:dyDescent="0.25">
      <c r="A93" s="43">
        <f>'MASTER SHEET'!A93</f>
        <v>91</v>
      </c>
      <c r="B93" s="49" t="str">
        <f>'MASTER SHEET'!B93</f>
        <v>PIPE PLASTIC LONI</v>
      </c>
      <c r="C93" s="86">
        <f>'MASTER SHEET'!C93</f>
        <v>5010647</v>
      </c>
      <c r="D93" s="51"/>
      <c r="E93" s="48"/>
      <c r="F93" s="48"/>
      <c r="G93" s="48"/>
      <c r="H93" s="48">
        <f t="shared" si="97"/>
        <v>0</v>
      </c>
      <c r="I93" s="28"/>
      <c r="J93" s="28"/>
      <c r="K93" s="65"/>
      <c r="L93" s="48">
        <f t="shared" si="98"/>
        <v>0</v>
      </c>
      <c r="M93" s="48"/>
      <c r="N93" s="48"/>
      <c r="O93" s="48"/>
      <c r="P93" s="48">
        <f t="shared" si="99"/>
        <v>0</v>
      </c>
      <c r="Q93" s="48"/>
      <c r="R93" s="48"/>
      <c r="S93" s="48"/>
      <c r="T93" s="48">
        <f t="shared" si="100"/>
        <v>0</v>
      </c>
      <c r="U93" s="48">
        <v>0</v>
      </c>
      <c r="V93" s="48"/>
      <c r="W93" s="48"/>
      <c r="X93" s="48">
        <f t="shared" si="101"/>
        <v>0</v>
      </c>
      <c r="Y93" s="48"/>
      <c r="Z93" s="48"/>
      <c r="AA93" s="48"/>
      <c r="AB93" s="48">
        <f t="shared" si="102"/>
        <v>0</v>
      </c>
      <c r="AC93" s="48"/>
      <c r="AD93" s="48"/>
      <c r="AE93" s="48"/>
      <c r="AF93" s="48">
        <f t="shared" si="103"/>
        <v>0</v>
      </c>
      <c r="AG93" s="48"/>
      <c r="AH93" s="48"/>
      <c r="AI93" s="48"/>
      <c r="AJ93" s="48">
        <f t="shared" si="104"/>
        <v>0</v>
      </c>
      <c r="AK93" s="48"/>
      <c r="AL93" s="48"/>
      <c r="AM93" s="48"/>
      <c r="AN93" s="48">
        <f t="shared" si="105"/>
        <v>0</v>
      </c>
      <c r="AO93" s="48"/>
      <c r="AP93" s="48"/>
      <c r="AQ93" s="48"/>
      <c r="AR93" s="48">
        <f t="shared" si="106"/>
        <v>0</v>
      </c>
      <c r="AS93" s="48"/>
      <c r="AT93" s="48"/>
      <c r="AU93" s="48"/>
      <c r="AV93" s="48">
        <f t="shared" si="107"/>
        <v>0</v>
      </c>
      <c r="AW93" s="48"/>
      <c r="AX93" s="48"/>
      <c r="AY93" s="48"/>
      <c r="AZ93" s="48">
        <f t="shared" si="108"/>
        <v>0</v>
      </c>
      <c r="BA93" s="48"/>
      <c r="BB93" s="48"/>
      <c r="BC93" s="48"/>
      <c r="BD93" s="48">
        <f t="shared" si="109"/>
        <v>0</v>
      </c>
      <c r="BE93" s="48"/>
      <c r="BF93" s="48"/>
      <c r="BG93" s="48"/>
      <c r="BH93" s="48">
        <f t="shared" si="110"/>
        <v>0</v>
      </c>
      <c r="BI93" s="48"/>
      <c r="BJ93" s="48"/>
      <c r="BK93" s="48"/>
      <c r="BL93" s="48">
        <f t="shared" si="111"/>
        <v>0</v>
      </c>
      <c r="BM93" s="48"/>
      <c r="BN93" s="48"/>
      <c r="BO93" s="48"/>
      <c r="BP93" s="48">
        <f t="shared" si="112"/>
        <v>0</v>
      </c>
      <c r="BQ93" s="48"/>
      <c r="BR93" s="48"/>
      <c r="BS93" s="48"/>
      <c r="BT93" s="48">
        <f t="shared" si="113"/>
        <v>0</v>
      </c>
      <c r="BU93" s="48"/>
      <c r="BV93" s="48"/>
      <c r="BW93" s="48"/>
      <c r="BX93" s="48">
        <f t="shared" si="114"/>
        <v>0</v>
      </c>
      <c r="BY93" s="48"/>
      <c r="BZ93" s="48"/>
      <c r="CA93" s="48"/>
      <c r="CB93" s="48">
        <f t="shared" si="115"/>
        <v>0</v>
      </c>
      <c r="CC93" s="48"/>
      <c r="CD93" s="48"/>
      <c r="CE93" s="48"/>
      <c r="CF93" s="48">
        <f t="shared" si="116"/>
        <v>0</v>
      </c>
      <c r="CG93" s="48"/>
      <c r="CH93" s="48"/>
      <c r="CI93" s="48"/>
      <c r="CJ93" s="48">
        <f t="shared" si="117"/>
        <v>0</v>
      </c>
      <c r="CK93" s="48"/>
      <c r="CL93" s="48"/>
      <c r="CM93" s="48"/>
      <c r="CN93" s="48">
        <f t="shared" si="118"/>
        <v>0</v>
      </c>
      <c r="CO93" s="48"/>
      <c r="CP93" s="48"/>
      <c r="CQ93" s="48"/>
      <c r="CR93" s="48">
        <f t="shared" si="119"/>
        <v>0</v>
      </c>
      <c r="CS93" s="48"/>
      <c r="CT93" s="48"/>
      <c r="CU93" s="48"/>
      <c r="CV93" s="48">
        <f t="shared" si="120"/>
        <v>0</v>
      </c>
      <c r="CW93" s="48"/>
      <c r="CX93" s="48"/>
      <c r="CY93" s="48"/>
      <c r="CZ93" s="48">
        <f t="shared" si="121"/>
        <v>0</v>
      </c>
      <c r="DA93" s="48"/>
      <c r="DB93" s="48"/>
      <c r="DC93" s="48"/>
      <c r="DD93" s="48">
        <f t="shared" si="122"/>
        <v>0</v>
      </c>
      <c r="DE93" s="48"/>
      <c r="DF93" s="48"/>
      <c r="DG93" s="48"/>
      <c r="DH93" s="48">
        <f t="shared" si="123"/>
        <v>0</v>
      </c>
      <c r="DI93" s="48"/>
      <c r="DJ93" s="48"/>
      <c r="DK93" s="48"/>
      <c r="DL93" s="48">
        <f t="shared" si="124"/>
        <v>0</v>
      </c>
      <c r="DM93" s="48"/>
      <c r="DN93" s="48"/>
      <c r="DO93" s="48"/>
      <c r="DP93" s="48">
        <f t="shared" si="125"/>
        <v>0</v>
      </c>
      <c r="DQ93" s="48"/>
      <c r="DR93" s="48"/>
      <c r="DS93" s="48"/>
      <c r="DT93" s="48">
        <f t="shared" si="126"/>
        <v>0</v>
      </c>
      <c r="DU93" s="48"/>
      <c r="DV93" s="48"/>
      <c r="DW93" s="48"/>
      <c r="DX93" s="48">
        <f t="shared" si="127"/>
        <v>0</v>
      </c>
      <c r="DY93" s="48">
        <f t="shared" si="128"/>
        <v>0</v>
      </c>
      <c r="DZ93" s="48">
        <f t="shared" si="129"/>
        <v>0</v>
      </c>
      <c r="EA93" s="14">
        <f>D93*'MASTER SHEET'!D93</f>
        <v>0</v>
      </c>
      <c r="EB93" s="14">
        <f>H93*'MASTER SHEET'!D93</f>
        <v>0</v>
      </c>
      <c r="EC93" s="14">
        <f>L93*'MASTER SHEET'!D93</f>
        <v>0</v>
      </c>
      <c r="ED93" s="14">
        <f>P93*'MASTER SHEET'!D93</f>
        <v>0</v>
      </c>
      <c r="EE93" s="14">
        <f>T93*'MASTER SHEET'!D93</f>
        <v>0</v>
      </c>
      <c r="EF93" s="14">
        <f>X93*'MASTER SHEET'!D93</f>
        <v>0</v>
      </c>
      <c r="EG93" s="14">
        <f>AB93*'MASTER SHEET'!D93</f>
        <v>0</v>
      </c>
      <c r="EH93" s="14">
        <f>AF93*'MASTER SHEET'!D93</f>
        <v>0</v>
      </c>
      <c r="EI93" s="14">
        <f>AJ93*'MASTER SHEET'!D93</f>
        <v>0</v>
      </c>
      <c r="EJ93" s="14">
        <f>AN93*'MASTER SHEET'!D93</f>
        <v>0</v>
      </c>
      <c r="EK93" s="14">
        <f>AR93*'MASTER SHEET'!D93</f>
        <v>0</v>
      </c>
      <c r="EL93" s="14">
        <f>AV93*'MASTER SHEET'!D93</f>
        <v>0</v>
      </c>
      <c r="EM93" s="14">
        <f>AZ93*'MASTER SHEET'!D93</f>
        <v>0</v>
      </c>
      <c r="EN93" s="14">
        <f>BD93*'MASTER SHEET'!D93</f>
        <v>0</v>
      </c>
      <c r="EO93" s="14">
        <f>BH93*'MASTER SHEET'!D93</f>
        <v>0</v>
      </c>
      <c r="EP93" s="14">
        <f>BL93*'MASTER SHEET'!D93</f>
        <v>0</v>
      </c>
      <c r="EQ93" s="14">
        <f>BP93*'MASTER SHEET'!D93</f>
        <v>0</v>
      </c>
      <c r="ER93" s="14">
        <f>BT93*'MASTER SHEET'!D93</f>
        <v>0</v>
      </c>
      <c r="ES93" s="14">
        <f>BX93*'MASTER SHEET'!D93</f>
        <v>0</v>
      </c>
      <c r="ET93" s="21">
        <f>CB93*'MASTER SHEET'!D93</f>
        <v>0</v>
      </c>
      <c r="EU93" s="14">
        <f>CF93*'MASTER SHEET'!D93</f>
        <v>0</v>
      </c>
      <c r="EV93" s="14">
        <f>CJ93*'MASTER SHEET'!D93</f>
        <v>0</v>
      </c>
      <c r="EW93" s="14">
        <f>CN93*'MASTER SHEET'!D93</f>
        <v>0</v>
      </c>
      <c r="EX93" s="14">
        <f>CR93*'MASTER SHEET'!D93</f>
        <v>0</v>
      </c>
      <c r="EY93" s="14">
        <f>CR93*'MASTER SHEET'!D93</f>
        <v>0</v>
      </c>
      <c r="EZ93" s="14">
        <f>CV93*'MASTER SHEET'!D93</f>
        <v>0</v>
      </c>
      <c r="FA93" s="14">
        <f>CZ93*'MASTER SHEET'!D93</f>
        <v>0</v>
      </c>
      <c r="FB93" s="14">
        <f>DD93*'MASTER SHEET'!D93</f>
        <v>0</v>
      </c>
    </row>
    <row r="94" spans="1:158" ht="18.75" customHeight="1" x14ac:dyDescent="0.25">
      <c r="A94" s="43">
        <f>'MASTER SHEET'!A94</f>
        <v>92</v>
      </c>
      <c r="B94" s="49" t="str">
        <f>'MASTER SHEET'!B94</f>
        <v>TOP COVER</v>
      </c>
      <c r="C94" s="86">
        <f>'MASTER SHEET'!C94</f>
        <v>5007581</v>
      </c>
      <c r="D94" s="51"/>
      <c r="E94" s="48"/>
      <c r="F94" s="48"/>
      <c r="G94" s="48"/>
      <c r="H94" s="48">
        <f t="shared" si="97"/>
        <v>0</v>
      </c>
      <c r="I94" s="28"/>
      <c r="J94" s="28"/>
      <c r="K94" s="65"/>
      <c r="L94" s="48">
        <f t="shared" si="98"/>
        <v>0</v>
      </c>
      <c r="M94" s="48"/>
      <c r="N94" s="48"/>
      <c r="O94" s="48"/>
      <c r="P94" s="48">
        <f t="shared" si="99"/>
        <v>0</v>
      </c>
      <c r="Q94" s="48"/>
      <c r="R94" s="48"/>
      <c r="S94" s="48"/>
      <c r="T94" s="48">
        <f t="shared" si="100"/>
        <v>0</v>
      </c>
      <c r="U94" s="48">
        <v>0</v>
      </c>
      <c r="V94" s="48"/>
      <c r="W94" s="48"/>
      <c r="X94" s="48">
        <f t="shared" si="101"/>
        <v>0</v>
      </c>
      <c r="Y94" s="48"/>
      <c r="Z94" s="48"/>
      <c r="AA94" s="48"/>
      <c r="AB94" s="48">
        <f t="shared" si="102"/>
        <v>0</v>
      </c>
      <c r="AC94" s="48"/>
      <c r="AD94" s="48"/>
      <c r="AE94" s="48"/>
      <c r="AF94" s="48">
        <f t="shared" si="103"/>
        <v>0</v>
      </c>
      <c r="AG94" s="48"/>
      <c r="AH94" s="48"/>
      <c r="AI94" s="48"/>
      <c r="AJ94" s="48">
        <f t="shared" si="104"/>
        <v>0</v>
      </c>
      <c r="AK94" s="48"/>
      <c r="AL94" s="48"/>
      <c r="AM94" s="48"/>
      <c r="AN94" s="48">
        <f t="shared" si="105"/>
        <v>0</v>
      </c>
      <c r="AO94" s="48"/>
      <c r="AP94" s="48"/>
      <c r="AQ94" s="48"/>
      <c r="AR94" s="48">
        <f t="shared" si="106"/>
        <v>0</v>
      </c>
      <c r="AS94" s="48"/>
      <c r="AT94" s="48"/>
      <c r="AU94" s="48"/>
      <c r="AV94" s="48">
        <f t="shared" si="107"/>
        <v>0</v>
      </c>
      <c r="AW94" s="48"/>
      <c r="AX94" s="48"/>
      <c r="AY94" s="48"/>
      <c r="AZ94" s="48">
        <f t="shared" si="108"/>
        <v>0</v>
      </c>
      <c r="BA94" s="48"/>
      <c r="BB94" s="48"/>
      <c r="BC94" s="48"/>
      <c r="BD94" s="48">
        <f t="shared" si="109"/>
        <v>0</v>
      </c>
      <c r="BE94" s="48"/>
      <c r="BF94" s="48"/>
      <c r="BG94" s="48"/>
      <c r="BH94" s="48">
        <f t="shared" si="110"/>
        <v>0</v>
      </c>
      <c r="BI94" s="48"/>
      <c r="BJ94" s="48"/>
      <c r="BK94" s="48"/>
      <c r="BL94" s="48">
        <f t="shared" si="111"/>
        <v>0</v>
      </c>
      <c r="BM94" s="48"/>
      <c r="BN94" s="48"/>
      <c r="BO94" s="48"/>
      <c r="BP94" s="48">
        <f t="shared" si="112"/>
        <v>0</v>
      </c>
      <c r="BQ94" s="48"/>
      <c r="BR94" s="48"/>
      <c r="BS94" s="48"/>
      <c r="BT94" s="48">
        <f t="shared" si="113"/>
        <v>0</v>
      </c>
      <c r="BU94" s="48"/>
      <c r="BV94" s="48"/>
      <c r="BW94" s="48"/>
      <c r="BX94" s="48">
        <f t="shared" si="114"/>
        <v>0</v>
      </c>
      <c r="BY94" s="48"/>
      <c r="BZ94" s="48"/>
      <c r="CA94" s="48"/>
      <c r="CB94" s="48">
        <f t="shared" si="115"/>
        <v>0</v>
      </c>
      <c r="CC94" s="48"/>
      <c r="CD94" s="48"/>
      <c r="CE94" s="48"/>
      <c r="CF94" s="48">
        <f t="shared" si="116"/>
        <v>0</v>
      </c>
      <c r="CG94" s="48"/>
      <c r="CH94" s="48"/>
      <c r="CI94" s="48"/>
      <c r="CJ94" s="48">
        <f t="shared" si="117"/>
        <v>0</v>
      </c>
      <c r="CK94" s="48"/>
      <c r="CL94" s="48"/>
      <c r="CM94" s="48"/>
      <c r="CN94" s="48">
        <f t="shared" si="118"/>
        <v>0</v>
      </c>
      <c r="CO94" s="48">
        <v>0</v>
      </c>
      <c r="CP94" s="48">
        <v>0</v>
      </c>
      <c r="CQ94" s="48">
        <v>0</v>
      </c>
      <c r="CR94" s="48">
        <f t="shared" si="119"/>
        <v>0</v>
      </c>
      <c r="CS94" s="48">
        <v>0</v>
      </c>
      <c r="CT94" s="48">
        <v>0</v>
      </c>
      <c r="CU94" s="48">
        <v>0</v>
      </c>
      <c r="CV94" s="48">
        <f t="shared" si="120"/>
        <v>0</v>
      </c>
      <c r="CW94" s="48">
        <v>0</v>
      </c>
      <c r="CX94" s="48">
        <v>0</v>
      </c>
      <c r="CY94" s="48">
        <v>0</v>
      </c>
      <c r="CZ94" s="48">
        <f t="shared" si="121"/>
        <v>0</v>
      </c>
      <c r="DA94" s="48">
        <v>574</v>
      </c>
      <c r="DB94" s="48">
        <v>554</v>
      </c>
      <c r="DC94" s="48">
        <v>20</v>
      </c>
      <c r="DD94" s="48">
        <f t="shared" si="122"/>
        <v>0</v>
      </c>
      <c r="DE94" s="48">
        <v>1933</v>
      </c>
      <c r="DF94" s="48">
        <v>1905</v>
      </c>
      <c r="DG94" s="48">
        <v>28</v>
      </c>
      <c r="DH94" s="48">
        <f t="shared" si="123"/>
        <v>0</v>
      </c>
      <c r="DI94" s="48">
        <v>227</v>
      </c>
      <c r="DJ94" s="48">
        <v>227</v>
      </c>
      <c r="DK94" s="48">
        <v>0</v>
      </c>
      <c r="DL94" s="48">
        <f t="shared" si="124"/>
        <v>0</v>
      </c>
      <c r="DM94" s="48"/>
      <c r="DN94" s="48"/>
      <c r="DO94" s="48"/>
      <c r="DP94" s="48">
        <f t="shared" si="125"/>
        <v>0</v>
      </c>
      <c r="DQ94" s="48"/>
      <c r="DR94" s="48"/>
      <c r="DS94" s="48"/>
      <c r="DT94" s="48">
        <f t="shared" si="126"/>
        <v>0</v>
      </c>
      <c r="DU94" s="48"/>
      <c r="DV94" s="48"/>
      <c r="DW94" s="48"/>
      <c r="DX94" s="48">
        <f t="shared" si="127"/>
        <v>0</v>
      </c>
      <c r="DY94" s="48">
        <f t="shared" si="128"/>
        <v>2734</v>
      </c>
      <c r="DZ94" s="48">
        <f t="shared" si="129"/>
        <v>48</v>
      </c>
      <c r="EA94" s="14">
        <f>D94*'MASTER SHEET'!D94</f>
        <v>0</v>
      </c>
      <c r="EB94" s="14">
        <f>H94*'MASTER SHEET'!D94</f>
        <v>0</v>
      </c>
      <c r="EC94" s="14">
        <f>L94*'MASTER SHEET'!D94</f>
        <v>0</v>
      </c>
      <c r="ED94" s="14">
        <f>P94*'MASTER SHEET'!D94</f>
        <v>0</v>
      </c>
      <c r="EE94" s="14">
        <f>T94*'MASTER SHEET'!D94</f>
        <v>0</v>
      </c>
      <c r="EF94" s="14">
        <f>X94*'MASTER SHEET'!D94</f>
        <v>0</v>
      </c>
      <c r="EG94" s="14">
        <f>AB94*'MASTER SHEET'!D94</f>
        <v>0</v>
      </c>
      <c r="EH94" s="14">
        <f>AF94*'MASTER SHEET'!D94</f>
        <v>0</v>
      </c>
      <c r="EI94" s="14">
        <f>AJ94*'MASTER SHEET'!D94</f>
        <v>0</v>
      </c>
      <c r="EJ94" s="14">
        <f>AN94*'MASTER SHEET'!D94</f>
        <v>0</v>
      </c>
      <c r="EK94" s="14">
        <f>AR94*'MASTER SHEET'!D94</f>
        <v>0</v>
      </c>
      <c r="EL94" s="14">
        <f>AV94*'MASTER SHEET'!D94</f>
        <v>0</v>
      </c>
      <c r="EM94" s="14">
        <f>AZ94*'MASTER SHEET'!D94</f>
        <v>0</v>
      </c>
      <c r="EN94" s="14">
        <f>BD94*'MASTER SHEET'!D94</f>
        <v>0</v>
      </c>
      <c r="EO94" s="14">
        <f>BH94*'MASTER SHEET'!D94</f>
        <v>0</v>
      </c>
      <c r="EP94" s="14">
        <f>BL94*'MASTER SHEET'!D94</f>
        <v>0</v>
      </c>
      <c r="EQ94" s="14">
        <f>BP94*'MASTER SHEET'!D94</f>
        <v>0</v>
      </c>
      <c r="ER94" s="14">
        <f>BT94*'MASTER SHEET'!D94</f>
        <v>0</v>
      </c>
      <c r="ES94" s="14">
        <f>BX94*'MASTER SHEET'!D94</f>
        <v>0</v>
      </c>
      <c r="ET94" s="21">
        <f>CB94*'MASTER SHEET'!D94</f>
        <v>0</v>
      </c>
      <c r="EU94" s="14">
        <f>CF94*'MASTER SHEET'!D94</f>
        <v>0</v>
      </c>
      <c r="EV94" s="14">
        <f>CJ94*'MASTER SHEET'!D94</f>
        <v>0</v>
      </c>
      <c r="EW94" s="14">
        <f>CN94*'MASTER SHEET'!D94</f>
        <v>0</v>
      </c>
      <c r="EX94" s="14">
        <f>CR94*'MASTER SHEET'!D94</f>
        <v>0</v>
      </c>
      <c r="EY94" s="14">
        <f>CR94*'MASTER SHEET'!D94</f>
        <v>0</v>
      </c>
      <c r="EZ94" s="14">
        <f>CV94*'MASTER SHEET'!D94</f>
        <v>0</v>
      </c>
      <c r="FA94" s="14">
        <f>CZ94*'MASTER SHEET'!D94</f>
        <v>0</v>
      </c>
      <c r="FB94" s="14">
        <f>DD94*'MASTER SHEET'!D94</f>
        <v>0</v>
      </c>
    </row>
    <row r="95" spans="1:158" ht="18.75" customHeight="1" x14ac:dyDescent="0.25">
      <c r="A95" s="43">
        <f>'MASTER SHEET'!A95</f>
        <v>93</v>
      </c>
      <c r="B95" s="49" t="str">
        <f>'MASTER SHEET'!B95</f>
        <v>BOTTOM COVER</v>
      </c>
      <c r="C95" s="86">
        <f>'MASTER SHEET'!C95</f>
        <v>5007582</v>
      </c>
      <c r="D95" s="51"/>
      <c r="E95" s="48"/>
      <c r="F95" s="48"/>
      <c r="G95" s="48"/>
      <c r="H95" s="48">
        <f t="shared" ref="H95:H126" si="130">D95+E95-F95-G95</f>
        <v>0</v>
      </c>
      <c r="I95" s="28"/>
      <c r="J95" s="28"/>
      <c r="K95" s="65"/>
      <c r="L95" s="48">
        <f t="shared" ref="L95:L126" si="131">H95+I95-J95-K95</f>
        <v>0</v>
      </c>
      <c r="M95" s="48"/>
      <c r="N95" s="48"/>
      <c r="O95" s="48"/>
      <c r="P95" s="48">
        <f t="shared" ref="P95:P126" si="132">L95+M95-N95-O95</f>
        <v>0</v>
      </c>
      <c r="Q95" s="48"/>
      <c r="R95" s="48"/>
      <c r="S95" s="48"/>
      <c r="T95" s="48">
        <f t="shared" ref="T95:T126" si="133">P95+Q95-R95-S95</f>
        <v>0</v>
      </c>
      <c r="U95" s="48">
        <v>0</v>
      </c>
      <c r="V95" s="48"/>
      <c r="W95" s="48"/>
      <c r="X95" s="48">
        <f t="shared" ref="X95:X126" si="134">T95+U95-V95-W95</f>
        <v>0</v>
      </c>
      <c r="Y95" s="48"/>
      <c r="Z95" s="48"/>
      <c r="AA95" s="48"/>
      <c r="AB95" s="48">
        <f t="shared" ref="AB95:AB126" si="135">X95+Y95-Z95-AA95</f>
        <v>0</v>
      </c>
      <c r="AC95" s="48"/>
      <c r="AD95" s="48"/>
      <c r="AE95" s="48"/>
      <c r="AF95" s="48">
        <f t="shared" ref="AF95:AF126" si="136">AB95+AC95-AD95-AE95</f>
        <v>0</v>
      </c>
      <c r="AG95" s="48"/>
      <c r="AH95" s="48"/>
      <c r="AI95" s="48"/>
      <c r="AJ95" s="48">
        <f t="shared" ref="AJ95:AJ126" si="137">AF95+AG95-AH95-AI95</f>
        <v>0</v>
      </c>
      <c r="AK95" s="48"/>
      <c r="AL95" s="48"/>
      <c r="AM95" s="48"/>
      <c r="AN95" s="48">
        <f t="shared" ref="AN95:AN126" si="138">AJ95+AK95-AL95-AM95</f>
        <v>0</v>
      </c>
      <c r="AO95" s="48"/>
      <c r="AP95" s="48"/>
      <c r="AQ95" s="48"/>
      <c r="AR95" s="48">
        <f t="shared" ref="AR95:AR126" si="139">AN95+AO95-AP95-AQ95</f>
        <v>0</v>
      </c>
      <c r="AS95" s="48"/>
      <c r="AT95" s="48"/>
      <c r="AU95" s="48"/>
      <c r="AV95" s="48">
        <f t="shared" ref="AV95:AV126" si="140">AR95+AS95-AT95-AU95</f>
        <v>0</v>
      </c>
      <c r="AW95" s="48"/>
      <c r="AX95" s="48"/>
      <c r="AY95" s="48"/>
      <c r="AZ95" s="48">
        <f t="shared" ref="AZ95:AZ126" si="141">AV95+AW95-AX95-AY95</f>
        <v>0</v>
      </c>
      <c r="BA95" s="48"/>
      <c r="BB95" s="48"/>
      <c r="BC95" s="48"/>
      <c r="BD95" s="48">
        <f t="shared" ref="BD95:BD126" si="142">AZ95+BA95-BB95-BC95</f>
        <v>0</v>
      </c>
      <c r="BE95" s="48"/>
      <c r="BF95" s="48"/>
      <c r="BG95" s="48"/>
      <c r="BH95" s="48">
        <f t="shared" ref="BH95:BH126" si="143">BD95+BE95-BF95-BG95</f>
        <v>0</v>
      </c>
      <c r="BI95" s="48"/>
      <c r="BJ95" s="48"/>
      <c r="BK95" s="48"/>
      <c r="BL95" s="48">
        <f t="shared" ref="BL95:BL126" si="144">BH95+BI95-BJ95-BK95</f>
        <v>0</v>
      </c>
      <c r="BM95" s="48"/>
      <c r="BN95" s="48"/>
      <c r="BO95" s="48"/>
      <c r="BP95" s="48">
        <f t="shared" ref="BP95:BP126" si="145">BL95+BM95-BN95-BO95</f>
        <v>0</v>
      </c>
      <c r="BQ95" s="48"/>
      <c r="BR95" s="48"/>
      <c r="BS95" s="48"/>
      <c r="BT95" s="48">
        <f t="shared" ref="BT95:BT126" si="146">BP95+BQ95-BR95-BS95</f>
        <v>0</v>
      </c>
      <c r="BU95" s="48"/>
      <c r="BV95" s="48"/>
      <c r="BW95" s="48"/>
      <c r="BX95" s="48">
        <f t="shared" ref="BX95:BX126" si="147">BT95+BU95-BV95-BW95</f>
        <v>0</v>
      </c>
      <c r="BY95" s="48"/>
      <c r="BZ95" s="48"/>
      <c r="CA95" s="48"/>
      <c r="CB95" s="48">
        <f t="shared" ref="CB95:CB126" si="148">BX95+BY95-BZ95-CA95</f>
        <v>0</v>
      </c>
      <c r="CC95" s="48"/>
      <c r="CD95" s="48"/>
      <c r="CE95" s="48"/>
      <c r="CF95" s="48">
        <f t="shared" ref="CF95:CF126" si="149">CB95+CC95-CD95-CE95</f>
        <v>0</v>
      </c>
      <c r="CG95" s="48"/>
      <c r="CH95" s="48"/>
      <c r="CI95" s="48"/>
      <c r="CJ95" s="48">
        <f t="shared" ref="CJ95:CJ126" si="150">CF95+CG95-CH95-CI95</f>
        <v>0</v>
      </c>
      <c r="CK95" s="48"/>
      <c r="CL95" s="48"/>
      <c r="CM95" s="48"/>
      <c r="CN95" s="48">
        <f t="shared" ref="CN95:CN126" si="151">CJ95+CK95-CL95-CM95</f>
        <v>0</v>
      </c>
      <c r="CO95" s="48">
        <v>0</v>
      </c>
      <c r="CP95" s="48">
        <v>0</v>
      </c>
      <c r="CQ95" s="48">
        <v>0</v>
      </c>
      <c r="CR95" s="48">
        <f t="shared" ref="CR95:CR126" si="152">CN95+CO95-CP95-CQ95</f>
        <v>0</v>
      </c>
      <c r="CS95" s="48">
        <v>0</v>
      </c>
      <c r="CT95" s="48">
        <v>0</v>
      </c>
      <c r="CU95" s="48">
        <v>0</v>
      </c>
      <c r="CV95" s="48">
        <f t="shared" ref="CV95:CV126" si="153">CR95+CS95-CT95-CU95</f>
        <v>0</v>
      </c>
      <c r="CW95" s="48">
        <v>0</v>
      </c>
      <c r="CX95" s="48">
        <v>0</v>
      </c>
      <c r="CY95" s="48">
        <v>0</v>
      </c>
      <c r="CZ95" s="48">
        <f t="shared" ref="CZ95:CZ126" si="154">CV95+CW95-CX95-CY95</f>
        <v>0</v>
      </c>
      <c r="DA95" s="48"/>
      <c r="DB95" s="48"/>
      <c r="DC95" s="48"/>
      <c r="DD95" s="48">
        <f t="shared" ref="DD95:DD126" si="155">CZ95+DA95-DB95-DC95</f>
        <v>0</v>
      </c>
      <c r="DE95" s="48">
        <v>1806</v>
      </c>
      <c r="DF95" s="48">
        <v>1749</v>
      </c>
      <c r="DG95" s="48">
        <v>57</v>
      </c>
      <c r="DH95" s="48">
        <f t="shared" ref="DH95:DH126" si="156">DD95+DE95-DF95-DG95</f>
        <v>0</v>
      </c>
      <c r="DI95" s="48">
        <v>116</v>
      </c>
      <c r="DJ95" s="48">
        <v>116</v>
      </c>
      <c r="DK95" s="48">
        <v>0</v>
      </c>
      <c r="DL95" s="48">
        <f t="shared" ref="DL95:DL126" si="157">DH95+DI95-DJ95-DK95</f>
        <v>0</v>
      </c>
      <c r="DM95" s="48"/>
      <c r="DN95" s="48"/>
      <c r="DO95" s="48"/>
      <c r="DP95" s="48">
        <f t="shared" ref="DP95:DP126" si="158">DL95+DM95-DN95-DO95</f>
        <v>0</v>
      </c>
      <c r="DQ95" s="48"/>
      <c r="DR95" s="48"/>
      <c r="DS95" s="48"/>
      <c r="DT95" s="48">
        <f t="shared" ref="DT95:DT126" si="159">DP95+DQ95-DR95-DS95</f>
        <v>0</v>
      </c>
      <c r="DU95" s="48"/>
      <c r="DV95" s="48"/>
      <c r="DW95" s="48"/>
      <c r="DX95" s="48">
        <f t="shared" ref="DX95:DX126" si="160">DT95+DU95-DV95-DW95</f>
        <v>0</v>
      </c>
      <c r="DY95" s="48">
        <f t="shared" ref="DY95:DY126" si="161">DU95+DQ95+DM95+DI95+DE95+DA95+CW95+CS95+CO95+CK95+CG95+CC95+BY95+BU95+BQ95+BI95+BA95+AW95+AS95+AO95+AK95+AG95+AC95+Y95+U95+Q95+M95+I95+E95+BM95+BE95</f>
        <v>1922</v>
      </c>
      <c r="DZ95" s="48">
        <f t="shared" ref="DZ95:DZ126" si="162">G95+K95+S95+W95+AA95+AE95+AI95+AM95+AQ95+AU95+AY95+BC95+BG95+BK95+BO95+BS95+BW95+CA95+CE95+CI95+CM95+CQ95+CU95+CY95+DC95+DG95+DK95+DO95+DS95+DW95</f>
        <v>57</v>
      </c>
      <c r="EA95" s="14">
        <f>D95*'MASTER SHEET'!D95</f>
        <v>0</v>
      </c>
      <c r="EB95" s="14">
        <f>H95*'MASTER SHEET'!D95</f>
        <v>0</v>
      </c>
      <c r="EC95" s="14">
        <f>L95*'MASTER SHEET'!D95</f>
        <v>0</v>
      </c>
      <c r="ED95" s="14">
        <f>P95*'MASTER SHEET'!D95</f>
        <v>0</v>
      </c>
      <c r="EE95" s="14">
        <f>T95*'MASTER SHEET'!D95</f>
        <v>0</v>
      </c>
      <c r="EF95" s="14">
        <f>X95*'MASTER SHEET'!D95</f>
        <v>0</v>
      </c>
      <c r="EG95" s="14">
        <f>AB95*'MASTER SHEET'!D95</f>
        <v>0</v>
      </c>
      <c r="EH95" s="14">
        <f>AF95*'MASTER SHEET'!D95</f>
        <v>0</v>
      </c>
      <c r="EI95" s="14">
        <f>AJ95*'MASTER SHEET'!D95</f>
        <v>0</v>
      </c>
      <c r="EJ95" s="14">
        <f>AN95*'MASTER SHEET'!D95</f>
        <v>0</v>
      </c>
      <c r="EK95" s="14">
        <f>AR95*'MASTER SHEET'!D95</f>
        <v>0</v>
      </c>
      <c r="EL95" s="14">
        <f>AV95*'MASTER SHEET'!D95</f>
        <v>0</v>
      </c>
      <c r="EM95" s="14">
        <f>AZ95*'MASTER SHEET'!D95</f>
        <v>0</v>
      </c>
      <c r="EN95" s="14">
        <f>BD95*'MASTER SHEET'!D95</f>
        <v>0</v>
      </c>
      <c r="EO95" s="14">
        <f>BH95*'MASTER SHEET'!D95</f>
        <v>0</v>
      </c>
      <c r="EP95" s="14">
        <f>BL95*'MASTER SHEET'!D95</f>
        <v>0</v>
      </c>
      <c r="EQ95" s="14">
        <f>BP95*'MASTER SHEET'!D95</f>
        <v>0</v>
      </c>
      <c r="ER95" s="14">
        <f>BT95*'MASTER SHEET'!D95</f>
        <v>0</v>
      </c>
      <c r="ES95" s="14">
        <f>BX95*'MASTER SHEET'!D95</f>
        <v>0</v>
      </c>
      <c r="ET95" s="21">
        <f>CB95*'MASTER SHEET'!D95</f>
        <v>0</v>
      </c>
      <c r="EU95" s="14">
        <f>CF95*'MASTER SHEET'!D95</f>
        <v>0</v>
      </c>
      <c r="EV95" s="14">
        <f>CJ95*'MASTER SHEET'!D95</f>
        <v>0</v>
      </c>
      <c r="EW95" s="14">
        <f>CN95*'MASTER SHEET'!D95</f>
        <v>0</v>
      </c>
      <c r="EX95" s="14">
        <f>CR95*'MASTER SHEET'!D95</f>
        <v>0</v>
      </c>
      <c r="EY95" s="14">
        <f>CR95*'MASTER SHEET'!D95</f>
        <v>0</v>
      </c>
      <c r="EZ95" s="14">
        <f>CV95*'MASTER SHEET'!D95</f>
        <v>0</v>
      </c>
      <c r="FA95" s="14">
        <f>CZ95*'MASTER SHEET'!D95</f>
        <v>0</v>
      </c>
      <c r="FB95" s="14">
        <f>DD95*'MASTER SHEET'!D95</f>
        <v>0</v>
      </c>
    </row>
    <row r="96" spans="1:158" ht="18.75" customHeight="1" x14ac:dyDescent="0.25">
      <c r="A96" s="43">
        <f>'MASTER SHEET'!A96</f>
        <v>94</v>
      </c>
      <c r="B96" s="49" t="str">
        <f>'MASTER SHEET'!B96</f>
        <v>LOUVER PLASTIC</v>
      </c>
      <c r="C96" s="86">
        <f>'MASTER SHEET'!C96</f>
        <v>5024347</v>
      </c>
      <c r="D96" s="51"/>
      <c r="E96" s="48"/>
      <c r="F96" s="48"/>
      <c r="G96" s="48"/>
      <c r="H96" s="48">
        <f t="shared" si="130"/>
        <v>0</v>
      </c>
      <c r="I96" s="28"/>
      <c r="J96" s="28"/>
      <c r="K96" s="65"/>
      <c r="L96" s="48">
        <f t="shared" si="131"/>
        <v>0</v>
      </c>
      <c r="M96" s="48"/>
      <c r="N96" s="48"/>
      <c r="O96" s="48"/>
      <c r="P96" s="48">
        <f t="shared" si="132"/>
        <v>0</v>
      </c>
      <c r="Q96" s="48"/>
      <c r="R96" s="48"/>
      <c r="S96" s="48"/>
      <c r="T96" s="48">
        <f t="shared" si="133"/>
        <v>0</v>
      </c>
      <c r="U96" s="48">
        <v>0</v>
      </c>
      <c r="V96" s="48"/>
      <c r="W96" s="48"/>
      <c r="X96" s="48">
        <f t="shared" si="134"/>
        <v>0</v>
      </c>
      <c r="Y96" s="48"/>
      <c r="Z96" s="48"/>
      <c r="AA96" s="48"/>
      <c r="AB96" s="48">
        <f t="shared" si="135"/>
        <v>0</v>
      </c>
      <c r="AC96" s="48"/>
      <c r="AD96" s="48"/>
      <c r="AE96" s="48"/>
      <c r="AF96" s="48">
        <f t="shared" si="136"/>
        <v>0</v>
      </c>
      <c r="AG96" s="48"/>
      <c r="AH96" s="48"/>
      <c r="AI96" s="48"/>
      <c r="AJ96" s="48">
        <f t="shared" si="137"/>
        <v>0</v>
      </c>
      <c r="AK96" s="48"/>
      <c r="AL96" s="48"/>
      <c r="AM96" s="48"/>
      <c r="AN96" s="48">
        <f t="shared" si="138"/>
        <v>0</v>
      </c>
      <c r="AO96" s="48"/>
      <c r="AP96" s="48"/>
      <c r="AQ96" s="48"/>
      <c r="AR96" s="48">
        <f t="shared" si="139"/>
        <v>0</v>
      </c>
      <c r="AS96" s="48"/>
      <c r="AT96" s="48"/>
      <c r="AU96" s="48"/>
      <c r="AV96" s="48">
        <f t="shared" si="140"/>
        <v>0</v>
      </c>
      <c r="AW96" s="48"/>
      <c r="AX96" s="48"/>
      <c r="AY96" s="48"/>
      <c r="AZ96" s="48">
        <f t="shared" si="141"/>
        <v>0</v>
      </c>
      <c r="BA96" s="48"/>
      <c r="BB96" s="48"/>
      <c r="BC96" s="48"/>
      <c r="BD96" s="48">
        <f t="shared" si="142"/>
        <v>0</v>
      </c>
      <c r="BE96" s="48"/>
      <c r="BF96" s="48"/>
      <c r="BG96" s="48"/>
      <c r="BH96" s="48">
        <f t="shared" si="143"/>
        <v>0</v>
      </c>
      <c r="BI96" s="48"/>
      <c r="BJ96" s="48"/>
      <c r="BK96" s="48"/>
      <c r="BL96" s="48">
        <f t="shared" si="144"/>
        <v>0</v>
      </c>
      <c r="BM96" s="48"/>
      <c r="BN96" s="48"/>
      <c r="BO96" s="48"/>
      <c r="BP96" s="48">
        <f t="shared" si="145"/>
        <v>0</v>
      </c>
      <c r="BQ96" s="48"/>
      <c r="BR96" s="48"/>
      <c r="BS96" s="48"/>
      <c r="BT96" s="48">
        <f t="shared" si="146"/>
        <v>0</v>
      </c>
      <c r="BU96" s="48"/>
      <c r="BV96" s="48"/>
      <c r="BW96" s="48"/>
      <c r="BX96" s="48">
        <f t="shared" si="147"/>
        <v>0</v>
      </c>
      <c r="BY96" s="48"/>
      <c r="BZ96" s="48"/>
      <c r="CA96" s="48"/>
      <c r="CB96" s="48">
        <f t="shared" si="148"/>
        <v>0</v>
      </c>
      <c r="CC96" s="48"/>
      <c r="CD96" s="48"/>
      <c r="CE96" s="48"/>
      <c r="CF96" s="48">
        <f t="shared" si="149"/>
        <v>0</v>
      </c>
      <c r="CG96" s="48"/>
      <c r="CH96" s="48"/>
      <c r="CI96" s="48"/>
      <c r="CJ96" s="48">
        <f t="shared" si="150"/>
        <v>0</v>
      </c>
      <c r="CK96" s="48"/>
      <c r="CL96" s="48"/>
      <c r="CM96" s="48"/>
      <c r="CN96" s="48">
        <f t="shared" si="151"/>
        <v>0</v>
      </c>
      <c r="CO96" s="48"/>
      <c r="CP96" s="48"/>
      <c r="CQ96" s="48"/>
      <c r="CR96" s="48">
        <f t="shared" si="152"/>
        <v>0</v>
      </c>
      <c r="CS96" s="48"/>
      <c r="CT96" s="48"/>
      <c r="CU96" s="48"/>
      <c r="CV96" s="48">
        <f t="shared" si="153"/>
        <v>0</v>
      </c>
      <c r="CW96" s="48"/>
      <c r="CX96" s="48"/>
      <c r="CY96" s="48"/>
      <c r="CZ96" s="48">
        <f t="shared" si="154"/>
        <v>0</v>
      </c>
      <c r="DA96" s="48"/>
      <c r="DB96" s="48"/>
      <c r="DC96" s="48"/>
      <c r="DD96" s="48">
        <f t="shared" si="155"/>
        <v>0</v>
      </c>
      <c r="DE96" s="48"/>
      <c r="DF96" s="48"/>
      <c r="DG96" s="48"/>
      <c r="DH96" s="48">
        <f t="shared" si="156"/>
        <v>0</v>
      </c>
      <c r="DI96" s="48"/>
      <c r="DJ96" s="48"/>
      <c r="DK96" s="48"/>
      <c r="DL96" s="48">
        <f t="shared" si="157"/>
        <v>0</v>
      </c>
      <c r="DM96" s="48"/>
      <c r="DN96" s="48"/>
      <c r="DO96" s="48"/>
      <c r="DP96" s="48">
        <f t="shared" si="158"/>
        <v>0</v>
      </c>
      <c r="DQ96" s="48"/>
      <c r="DR96" s="48"/>
      <c r="DS96" s="48"/>
      <c r="DT96" s="48">
        <f t="shared" si="159"/>
        <v>0</v>
      </c>
      <c r="DU96" s="48"/>
      <c r="DV96" s="48"/>
      <c r="DW96" s="48"/>
      <c r="DX96" s="48">
        <f t="shared" si="160"/>
        <v>0</v>
      </c>
      <c r="DY96" s="48">
        <f t="shared" si="161"/>
        <v>0</v>
      </c>
      <c r="DZ96" s="48">
        <f t="shared" si="162"/>
        <v>0</v>
      </c>
      <c r="EA96" s="14">
        <f>D96*'MASTER SHEET'!D96</f>
        <v>0</v>
      </c>
      <c r="EB96" s="14">
        <f>H96*'MASTER SHEET'!D96</f>
        <v>0</v>
      </c>
      <c r="EC96" s="14">
        <f>L96*'MASTER SHEET'!D96</f>
        <v>0</v>
      </c>
      <c r="ED96" s="14">
        <f>P96*'MASTER SHEET'!D96</f>
        <v>0</v>
      </c>
      <c r="EE96" s="14">
        <f>T96*'MASTER SHEET'!D96</f>
        <v>0</v>
      </c>
      <c r="EF96" s="14">
        <f>X96*'MASTER SHEET'!D96</f>
        <v>0</v>
      </c>
      <c r="EG96" s="14">
        <f>AB96*'MASTER SHEET'!D96</f>
        <v>0</v>
      </c>
      <c r="EH96" s="14">
        <f>AF96*'MASTER SHEET'!D96</f>
        <v>0</v>
      </c>
      <c r="EI96" s="14">
        <f>AJ96*'MASTER SHEET'!D96</f>
        <v>0</v>
      </c>
      <c r="EJ96" s="14">
        <f>AN96*'MASTER SHEET'!D96</f>
        <v>0</v>
      </c>
      <c r="EK96" s="14">
        <f>AR96*'MASTER SHEET'!D96</f>
        <v>0</v>
      </c>
      <c r="EL96" s="14">
        <f>AV96*'MASTER SHEET'!D96</f>
        <v>0</v>
      </c>
      <c r="EM96" s="14">
        <f>AZ96*'MASTER SHEET'!D96</f>
        <v>0</v>
      </c>
      <c r="EN96" s="14">
        <f>BD96*'MASTER SHEET'!D96</f>
        <v>0</v>
      </c>
      <c r="EO96" s="14">
        <f>BH96*'MASTER SHEET'!D96</f>
        <v>0</v>
      </c>
      <c r="EP96" s="14">
        <f>BL96*'MASTER SHEET'!D96</f>
        <v>0</v>
      </c>
      <c r="EQ96" s="14">
        <f>BP96*'MASTER SHEET'!D96</f>
        <v>0</v>
      </c>
      <c r="ER96" s="14">
        <f>BT96*'MASTER SHEET'!D96</f>
        <v>0</v>
      </c>
      <c r="ES96" s="14">
        <f>BX96*'MASTER SHEET'!D96</f>
        <v>0</v>
      </c>
      <c r="ET96" s="21">
        <f>CB96*'MASTER SHEET'!D96</f>
        <v>0</v>
      </c>
      <c r="EU96" s="14">
        <f>CF96*'MASTER SHEET'!D96</f>
        <v>0</v>
      </c>
      <c r="EV96" s="14">
        <f>CJ96*'MASTER SHEET'!D96</f>
        <v>0</v>
      </c>
      <c r="EW96" s="14">
        <f>CN96*'MASTER SHEET'!D96</f>
        <v>0</v>
      </c>
      <c r="EX96" s="14">
        <f>CR96*'MASTER SHEET'!D96</f>
        <v>0</v>
      </c>
      <c r="EY96" s="14">
        <f>CR96*'MASTER SHEET'!D96</f>
        <v>0</v>
      </c>
      <c r="EZ96" s="14">
        <f>CV96*'MASTER SHEET'!D96</f>
        <v>0</v>
      </c>
      <c r="FA96" s="14">
        <f>CZ96*'MASTER SHEET'!D96</f>
        <v>0</v>
      </c>
      <c r="FB96" s="14">
        <f>DD96*'MASTER SHEET'!D96</f>
        <v>0</v>
      </c>
    </row>
    <row r="97" spans="1:158" ht="18.75" customHeight="1" x14ac:dyDescent="0.25">
      <c r="A97" s="43">
        <f>'MASTER SHEET'!A97</f>
        <v>95</v>
      </c>
      <c r="B97" s="49" t="str">
        <f>'MASTER SHEET'!B97</f>
        <v>PRECLEANER, PLASTIC</v>
      </c>
      <c r="C97" s="86">
        <f>'MASTER SHEET'!C97</f>
        <v>5024345</v>
      </c>
      <c r="D97" s="51"/>
      <c r="E97" s="48"/>
      <c r="F97" s="48"/>
      <c r="G97" s="48"/>
      <c r="H97" s="48">
        <f t="shared" si="130"/>
        <v>0</v>
      </c>
      <c r="I97" s="28"/>
      <c r="J97" s="28"/>
      <c r="K97" s="65"/>
      <c r="L97" s="48">
        <f t="shared" si="131"/>
        <v>0</v>
      </c>
      <c r="M97" s="48"/>
      <c r="N97" s="48"/>
      <c r="O97" s="48"/>
      <c r="P97" s="48">
        <f t="shared" si="132"/>
        <v>0</v>
      </c>
      <c r="Q97" s="48"/>
      <c r="R97" s="48"/>
      <c r="S97" s="48"/>
      <c r="T97" s="48">
        <f t="shared" si="133"/>
        <v>0</v>
      </c>
      <c r="U97" s="48">
        <v>0</v>
      </c>
      <c r="V97" s="48"/>
      <c r="W97" s="48"/>
      <c r="X97" s="48">
        <f t="shared" si="134"/>
        <v>0</v>
      </c>
      <c r="Y97" s="48"/>
      <c r="Z97" s="48"/>
      <c r="AA97" s="48"/>
      <c r="AB97" s="48">
        <f t="shared" si="135"/>
        <v>0</v>
      </c>
      <c r="AC97" s="48"/>
      <c r="AD97" s="48"/>
      <c r="AE97" s="48"/>
      <c r="AF97" s="48">
        <f t="shared" si="136"/>
        <v>0</v>
      </c>
      <c r="AG97" s="48"/>
      <c r="AH97" s="48"/>
      <c r="AI97" s="48"/>
      <c r="AJ97" s="48">
        <f t="shared" si="137"/>
        <v>0</v>
      </c>
      <c r="AK97" s="48"/>
      <c r="AL97" s="48"/>
      <c r="AM97" s="48"/>
      <c r="AN97" s="48">
        <f t="shared" si="138"/>
        <v>0</v>
      </c>
      <c r="AO97" s="48"/>
      <c r="AP97" s="48"/>
      <c r="AQ97" s="48"/>
      <c r="AR97" s="48">
        <f t="shared" si="139"/>
        <v>0</v>
      </c>
      <c r="AS97" s="48"/>
      <c r="AT97" s="48"/>
      <c r="AU97" s="48"/>
      <c r="AV97" s="48">
        <f t="shared" si="140"/>
        <v>0</v>
      </c>
      <c r="AW97" s="48"/>
      <c r="AX97" s="48"/>
      <c r="AY97" s="48"/>
      <c r="AZ97" s="48">
        <f t="shared" si="141"/>
        <v>0</v>
      </c>
      <c r="BA97" s="48"/>
      <c r="BB97" s="48"/>
      <c r="BC97" s="48"/>
      <c r="BD97" s="48">
        <f t="shared" si="142"/>
        <v>0</v>
      </c>
      <c r="BE97" s="48"/>
      <c r="BF97" s="48"/>
      <c r="BG97" s="48"/>
      <c r="BH97" s="48">
        <f t="shared" si="143"/>
        <v>0</v>
      </c>
      <c r="BI97" s="48"/>
      <c r="BJ97" s="48"/>
      <c r="BK97" s="48"/>
      <c r="BL97" s="48">
        <f t="shared" si="144"/>
        <v>0</v>
      </c>
      <c r="BM97" s="48"/>
      <c r="BN97" s="48"/>
      <c r="BO97" s="48"/>
      <c r="BP97" s="48">
        <f t="shared" si="145"/>
        <v>0</v>
      </c>
      <c r="BQ97" s="48"/>
      <c r="BR97" s="48"/>
      <c r="BS97" s="48"/>
      <c r="BT97" s="48">
        <f t="shared" si="146"/>
        <v>0</v>
      </c>
      <c r="BU97" s="48"/>
      <c r="BV97" s="48"/>
      <c r="BW97" s="48"/>
      <c r="BX97" s="48">
        <f t="shared" si="147"/>
        <v>0</v>
      </c>
      <c r="BY97" s="48"/>
      <c r="BZ97" s="48"/>
      <c r="CA97" s="48"/>
      <c r="CB97" s="48">
        <f t="shared" si="148"/>
        <v>0</v>
      </c>
      <c r="CC97" s="48"/>
      <c r="CD97" s="48"/>
      <c r="CE97" s="48"/>
      <c r="CF97" s="48">
        <f t="shared" si="149"/>
        <v>0</v>
      </c>
      <c r="CG97" s="48"/>
      <c r="CH97" s="48"/>
      <c r="CI97" s="48"/>
      <c r="CJ97" s="48">
        <f t="shared" si="150"/>
        <v>0</v>
      </c>
      <c r="CK97" s="48"/>
      <c r="CL97" s="48"/>
      <c r="CM97" s="48"/>
      <c r="CN97" s="48">
        <f t="shared" si="151"/>
        <v>0</v>
      </c>
      <c r="CO97" s="48"/>
      <c r="CP97" s="48"/>
      <c r="CQ97" s="48"/>
      <c r="CR97" s="48">
        <f t="shared" si="152"/>
        <v>0</v>
      </c>
      <c r="CS97" s="48"/>
      <c r="CT97" s="48"/>
      <c r="CU97" s="48"/>
      <c r="CV97" s="48">
        <f t="shared" si="153"/>
        <v>0</v>
      </c>
      <c r="CW97" s="48"/>
      <c r="CX97" s="48"/>
      <c r="CY97" s="48"/>
      <c r="CZ97" s="48">
        <f t="shared" si="154"/>
        <v>0</v>
      </c>
      <c r="DA97" s="48"/>
      <c r="DB97" s="48"/>
      <c r="DC97" s="48"/>
      <c r="DD97" s="48">
        <f t="shared" si="155"/>
        <v>0</v>
      </c>
      <c r="DE97" s="48"/>
      <c r="DF97" s="48"/>
      <c r="DG97" s="48"/>
      <c r="DH97" s="48">
        <f t="shared" si="156"/>
        <v>0</v>
      </c>
      <c r="DI97" s="48"/>
      <c r="DJ97" s="48"/>
      <c r="DK97" s="48"/>
      <c r="DL97" s="48">
        <f t="shared" si="157"/>
        <v>0</v>
      </c>
      <c r="DM97" s="48"/>
      <c r="DN97" s="48"/>
      <c r="DO97" s="48"/>
      <c r="DP97" s="48">
        <f t="shared" si="158"/>
        <v>0</v>
      </c>
      <c r="DQ97" s="48"/>
      <c r="DR97" s="48"/>
      <c r="DS97" s="48"/>
      <c r="DT97" s="48">
        <f t="shared" si="159"/>
        <v>0</v>
      </c>
      <c r="DU97" s="48"/>
      <c r="DV97" s="48"/>
      <c r="DW97" s="48"/>
      <c r="DX97" s="48">
        <f t="shared" si="160"/>
        <v>0</v>
      </c>
      <c r="DY97" s="48">
        <f t="shared" si="161"/>
        <v>0</v>
      </c>
      <c r="DZ97" s="48">
        <f t="shared" si="162"/>
        <v>0</v>
      </c>
      <c r="EA97" s="14">
        <f>D97*'MASTER SHEET'!D97</f>
        <v>0</v>
      </c>
      <c r="EB97" s="14">
        <f>H97*'MASTER SHEET'!D97</f>
        <v>0</v>
      </c>
      <c r="EC97" s="14">
        <f>L97*'MASTER SHEET'!D97</f>
        <v>0</v>
      </c>
      <c r="ED97" s="14">
        <f>P97*'MASTER SHEET'!D97</f>
        <v>0</v>
      </c>
      <c r="EE97" s="14">
        <f>T97*'MASTER SHEET'!D97</f>
        <v>0</v>
      </c>
      <c r="EF97" s="14">
        <f>X97*'MASTER SHEET'!D97</f>
        <v>0</v>
      </c>
      <c r="EG97" s="14">
        <f>AB97*'MASTER SHEET'!D97</f>
        <v>0</v>
      </c>
      <c r="EH97" s="14">
        <f>AF97*'MASTER SHEET'!D97</f>
        <v>0</v>
      </c>
      <c r="EI97" s="14">
        <f>AJ97*'MASTER SHEET'!D97</f>
        <v>0</v>
      </c>
      <c r="EJ97" s="14">
        <f>AN97*'MASTER SHEET'!D97</f>
        <v>0</v>
      </c>
      <c r="EK97" s="14">
        <f>AR97*'MASTER SHEET'!D97</f>
        <v>0</v>
      </c>
      <c r="EL97" s="14">
        <f>AV97*'MASTER SHEET'!D97</f>
        <v>0</v>
      </c>
      <c r="EM97" s="14">
        <f>AZ97*'MASTER SHEET'!D97</f>
        <v>0</v>
      </c>
      <c r="EN97" s="14">
        <f>BD97*'MASTER SHEET'!D97</f>
        <v>0</v>
      </c>
      <c r="EO97" s="14">
        <f>BH97*'MASTER SHEET'!D97</f>
        <v>0</v>
      </c>
      <c r="EP97" s="14">
        <f>BL97*'MASTER SHEET'!D97</f>
        <v>0</v>
      </c>
      <c r="EQ97" s="14">
        <f>BP97*'MASTER SHEET'!D97</f>
        <v>0</v>
      </c>
      <c r="ER97" s="14">
        <f>BT97*'MASTER SHEET'!D97</f>
        <v>0</v>
      </c>
      <c r="ES97" s="14">
        <f>BX97*'MASTER SHEET'!D97</f>
        <v>0</v>
      </c>
      <c r="ET97" s="21">
        <f>CB97*'MASTER SHEET'!D97</f>
        <v>0</v>
      </c>
      <c r="EU97" s="14">
        <f>CF97*'MASTER SHEET'!D97</f>
        <v>0</v>
      </c>
      <c r="EV97" s="14">
        <f>CJ97*'MASTER SHEET'!D97</f>
        <v>0</v>
      </c>
      <c r="EW97" s="14">
        <f>CN97*'MASTER SHEET'!D97</f>
        <v>0</v>
      </c>
      <c r="EX97" s="14">
        <f>CR97*'MASTER SHEET'!D97</f>
        <v>0</v>
      </c>
      <c r="EY97" s="14">
        <f>CR97*'MASTER SHEET'!D97</f>
        <v>0</v>
      </c>
      <c r="EZ97" s="14">
        <f>CV97*'MASTER SHEET'!D97</f>
        <v>0</v>
      </c>
      <c r="FA97" s="14">
        <f>CZ97*'MASTER SHEET'!D97</f>
        <v>0</v>
      </c>
      <c r="FB97" s="14">
        <f>DD97*'MASTER SHEET'!D97</f>
        <v>0</v>
      </c>
    </row>
    <row r="98" spans="1:158" ht="18.75" customHeight="1" x14ac:dyDescent="0.25">
      <c r="A98" s="43">
        <f>'MASTER SHEET'!A98</f>
        <v>96</v>
      </c>
      <c r="B98" s="49" t="str">
        <f>'MASTER SHEET'!B98</f>
        <v>PIPE PLASTIC</v>
      </c>
      <c r="C98" s="86">
        <f>'MASTER SHEET'!C98</f>
        <v>5025752</v>
      </c>
      <c r="D98" s="51"/>
      <c r="E98" s="48"/>
      <c r="F98" s="48"/>
      <c r="G98" s="48"/>
      <c r="H98" s="48">
        <f t="shared" si="130"/>
        <v>0</v>
      </c>
      <c r="I98" s="28"/>
      <c r="J98" s="28"/>
      <c r="K98" s="65"/>
      <c r="L98" s="48">
        <f t="shared" si="131"/>
        <v>0</v>
      </c>
      <c r="M98" s="48"/>
      <c r="N98" s="48"/>
      <c r="O98" s="48"/>
      <c r="P98" s="48">
        <f t="shared" si="132"/>
        <v>0</v>
      </c>
      <c r="Q98" s="48"/>
      <c r="R98" s="48"/>
      <c r="S98" s="48"/>
      <c r="T98" s="48">
        <f t="shared" si="133"/>
        <v>0</v>
      </c>
      <c r="U98" s="48">
        <v>0</v>
      </c>
      <c r="V98" s="48"/>
      <c r="W98" s="48"/>
      <c r="X98" s="48">
        <f t="shared" si="134"/>
        <v>0</v>
      </c>
      <c r="Y98" s="48"/>
      <c r="Z98" s="48"/>
      <c r="AA98" s="48"/>
      <c r="AB98" s="48">
        <f t="shared" si="135"/>
        <v>0</v>
      </c>
      <c r="AC98" s="48"/>
      <c r="AD98" s="48"/>
      <c r="AE98" s="48"/>
      <c r="AF98" s="48">
        <f t="shared" si="136"/>
        <v>0</v>
      </c>
      <c r="AG98" s="48"/>
      <c r="AH98" s="48"/>
      <c r="AI98" s="48"/>
      <c r="AJ98" s="48">
        <f t="shared" si="137"/>
        <v>0</v>
      </c>
      <c r="AK98" s="48"/>
      <c r="AL98" s="48"/>
      <c r="AM98" s="48"/>
      <c r="AN98" s="48">
        <f t="shared" si="138"/>
        <v>0</v>
      </c>
      <c r="AO98" s="48"/>
      <c r="AP98" s="48"/>
      <c r="AQ98" s="48"/>
      <c r="AR98" s="48">
        <f t="shared" si="139"/>
        <v>0</v>
      </c>
      <c r="AS98" s="48"/>
      <c r="AT98" s="48"/>
      <c r="AU98" s="48"/>
      <c r="AV98" s="48">
        <f t="shared" si="140"/>
        <v>0</v>
      </c>
      <c r="AW98" s="48"/>
      <c r="AX98" s="48"/>
      <c r="AY98" s="48"/>
      <c r="AZ98" s="48">
        <f t="shared" si="141"/>
        <v>0</v>
      </c>
      <c r="BA98" s="48"/>
      <c r="BB98" s="48"/>
      <c r="BC98" s="48"/>
      <c r="BD98" s="48">
        <f t="shared" si="142"/>
        <v>0</v>
      </c>
      <c r="BE98" s="48"/>
      <c r="BF98" s="48"/>
      <c r="BG98" s="48"/>
      <c r="BH98" s="48">
        <f t="shared" si="143"/>
        <v>0</v>
      </c>
      <c r="BI98" s="48"/>
      <c r="BJ98" s="48"/>
      <c r="BK98" s="48"/>
      <c r="BL98" s="48">
        <f t="shared" si="144"/>
        <v>0</v>
      </c>
      <c r="BM98" s="48"/>
      <c r="BN98" s="48"/>
      <c r="BO98" s="48"/>
      <c r="BP98" s="48">
        <f t="shared" si="145"/>
        <v>0</v>
      </c>
      <c r="BQ98" s="48"/>
      <c r="BR98" s="48"/>
      <c r="BS98" s="48"/>
      <c r="BT98" s="48">
        <f t="shared" si="146"/>
        <v>0</v>
      </c>
      <c r="BU98" s="48"/>
      <c r="BV98" s="48"/>
      <c r="BW98" s="48"/>
      <c r="BX98" s="48">
        <f t="shared" si="147"/>
        <v>0</v>
      </c>
      <c r="BY98" s="48"/>
      <c r="BZ98" s="48"/>
      <c r="CA98" s="48"/>
      <c r="CB98" s="48">
        <f t="shared" si="148"/>
        <v>0</v>
      </c>
      <c r="CC98" s="48"/>
      <c r="CD98" s="48"/>
      <c r="CE98" s="48"/>
      <c r="CF98" s="48">
        <f t="shared" si="149"/>
        <v>0</v>
      </c>
      <c r="CG98" s="48"/>
      <c r="CH98" s="48"/>
      <c r="CI98" s="48"/>
      <c r="CJ98" s="48">
        <f t="shared" si="150"/>
        <v>0</v>
      </c>
      <c r="CK98" s="48"/>
      <c r="CL98" s="48"/>
      <c r="CM98" s="48"/>
      <c r="CN98" s="48">
        <f t="shared" si="151"/>
        <v>0</v>
      </c>
      <c r="CO98" s="48"/>
      <c r="CP98" s="48"/>
      <c r="CQ98" s="48"/>
      <c r="CR98" s="48">
        <f t="shared" si="152"/>
        <v>0</v>
      </c>
      <c r="CS98" s="48"/>
      <c r="CT98" s="48"/>
      <c r="CU98" s="48"/>
      <c r="CV98" s="48">
        <f t="shared" si="153"/>
        <v>0</v>
      </c>
      <c r="CW98" s="48"/>
      <c r="CX98" s="48"/>
      <c r="CY98" s="48"/>
      <c r="CZ98" s="48">
        <f t="shared" si="154"/>
        <v>0</v>
      </c>
      <c r="DA98" s="48"/>
      <c r="DB98" s="48"/>
      <c r="DC98" s="48"/>
      <c r="DD98" s="48">
        <f t="shared" si="155"/>
        <v>0</v>
      </c>
      <c r="DE98" s="48">
        <v>0</v>
      </c>
      <c r="DF98" s="48">
        <v>0</v>
      </c>
      <c r="DG98" s="48">
        <v>0</v>
      </c>
      <c r="DH98" s="48">
        <f t="shared" si="156"/>
        <v>0</v>
      </c>
      <c r="DI98" s="48">
        <v>399</v>
      </c>
      <c r="DJ98" s="48">
        <v>389</v>
      </c>
      <c r="DK98" s="48">
        <v>10</v>
      </c>
      <c r="DL98" s="48">
        <f t="shared" si="157"/>
        <v>0</v>
      </c>
      <c r="DM98" s="48">
        <v>0</v>
      </c>
      <c r="DN98" s="48">
        <v>0</v>
      </c>
      <c r="DO98" s="48">
        <v>0</v>
      </c>
      <c r="DP98" s="48">
        <f t="shared" si="158"/>
        <v>0</v>
      </c>
      <c r="DQ98" s="48"/>
      <c r="DR98" s="48"/>
      <c r="DS98" s="48"/>
      <c r="DT98" s="48">
        <f t="shared" si="159"/>
        <v>0</v>
      </c>
      <c r="DU98" s="48"/>
      <c r="DV98" s="48"/>
      <c r="DW98" s="48"/>
      <c r="DX98" s="48">
        <f t="shared" si="160"/>
        <v>0</v>
      </c>
      <c r="DY98" s="48">
        <f t="shared" si="161"/>
        <v>399</v>
      </c>
      <c r="DZ98" s="48">
        <f t="shared" si="162"/>
        <v>10</v>
      </c>
      <c r="EA98" s="14">
        <f>D98*'MASTER SHEET'!D98</f>
        <v>0</v>
      </c>
      <c r="EB98" s="14">
        <f>H98*'MASTER SHEET'!D98</f>
        <v>0</v>
      </c>
      <c r="EC98" s="14">
        <f>L98*'MASTER SHEET'!D98</f>
        <v>0</v>
      </c>
      <c r="ED98" s="14">
        <f>P98*'MASTER SHEET'!D98</f>
        <v>0</v>
      </c>
      <c r="EE98" s="14">
        <f>T98*'MASTER SHEET'!D98</f>
        <v>0</v>
      </c>
      <c r="EF98" s="14">
        <f>X98*'MASTER SHEET'!D98</f>
        <v>0</v>
      </c>
      <c r="EG98" s="14">
        <f>AB98*'MASTER SHEET'!D98</f>
        <v>0</v>
      </c>
      <c r="EH98" s="14">
        <f>AF98*'MASTER SHEET'!D98</f>
        <v>0</v>
      </c>
      <c r="EI98" s="14">
        <f>AJ98*'MASTER SHEET'!D98</f>
        <v>0</v>
      </c>
      <c r="EJ98" s="14">
        <f>AN98*'MASTER SHEET'!D98</f>
        <v>0</v>
      </c>
      <c r="EK98" s="14">
        <f>AR98*'MASTER SHEET'!D98</f>
        <v>0</v>
      </c>
      <c r="EL98" s="14">
        <f>AV98*'MASTER SHEET'!D98</f>
        <v>0</v>
      </c>
      <c r="EM98" s="14">
        <f>AZ98*'MASTER SHEET'!D98</f>
        <v>0</v>
      </c>
      <c r="EN98" s="14">
        <f>BD98*'MASTER SHEET'!D98</f>
        <v>0</v>
      </c>
      <c r="EO98" s="14">
        <f>BH98*'MASTER SHEET'!D98</f>
        <v>0</v>
      </c>
      <c r="EP98" s="14">
        <f>BL98*'MASTER SHEET'!D98</f>
        <v>0</v>
      </c>
      <c r="EQ98" s="14">
        <f>BP98*'MASTER SHEET'!D98</f>
        <v>0</v>
      </c>
      <c r="ER98" s="14">
        <f>BT98*'MASTER SHEET'!D98</f>
        <v>0</v>
      </c>
      <c r="ES98" s="14">
        <f>BX98*'MASTER SHEET'!D98</f>
        <v>0</v>
      </c>
      <c r="ET98" s="21">
        <f>CB98*'MASTER SHEET'!D98</f>
        <v>0</v>
      </c>
      <c r="EU98" s="14">
        <f>CF98*'MASTER SHEET'!D98</f>
        <v>0</v>
      </c>
      <c r="EV98" s="14">
        <f>CJ98*'MASTER SHEET'!D98</f>
        <v>0</v>
      </c>
      <c r="EW98" s="14">
        <f>CN98*'MASTER SHEET'!D98</f>
        <v>0</v>
      </c>
      <c r="EX98" s="14">
        <f>CR98*'MASTER SHEET'!D98</f>
        <v>0</v>
      </c>
      <c r="EY98" s="14">
        <f>CR98*'MASTER SHEET'!D98</f>
        <v>0</v>
      </c>
      <c r="EZ98" s="14">
        <f>CV98*'MASTER SHEET'!D98</f>
        <v>0</v>
      </c>
      <c r="FA98" s="14">
        <f>CZ98*'MASTER SHEET'!D98</f>
        <v>0</v>
      </c>
      <c r="FB98" s="14">
        <f>DD98*'MASTER SHEET'!D98</f>
        <v>0</v>
      </c>
    </row>
    <row r="99" spans="1:158" ht="18.75" customHeight="1" x14ac:dyDescent="0.25">
      <c r="A99" s="43">
        <f>'MASTER SHEET'!A99</f>
        <v>97</v>
      </c>
      <c r="B99" s="49" t="str">
        <f>'MASTER SHEET'!B99</f>
        <v>FIN ASSEMBLY</v>
      </c>
      <c r="C99" s="86">
        <f>'MASTER SHEET'!C99</f>
        <v>5025607</v>
      </c>
      <c r="D99" s="51"/>
      <c r="E99" s="48"/>
      <c r="F99" s="48"/>
      <c r="G99" s="48"/>
      <c r="H99" s="48">
        <f t="shared" si="130"/>
        <v>0</v>
      </c>
      <c r="I99" s="28"/>
      <c r="J99" s="28"/>
      <c r="K99" s="65"/>
      <c r="L99" s="48">
        <f t="shared" si="131"/>
        <v>0</v>
      </c>
      <c r="M99" s="48"/>
      <c r="N99" s="48"/>
      <c r="O99" s="48"/>
      <c r="P99" s="48">
        <f t="shared" si="132"/>
        <v>0</v>
      </c>
      <c r="Q99" s="48"/>
      <c r="R99" s="48"/>
      <c r="S99" s="48"/>
      <c r="T99" s="48">
        <f t="shared" si="133"/>
        <v>0</v>
      </c>
      <c r="U99" s="48">
        <v>0</v>
      </c>
      <c r="V99" s="48"/>
      <c r="W99" s="48"/>
      <c r="X99" s="48">
        <f t="shared" si="134"/>
        <v>0</v>
      </c>
      <c r="Y99" s="48"/>
      <c r="Z99" s="48"/>
      <c r="AA99" s="48"/>
      <c r="AB99" s="48">
        <f t="shared" si="135"/>
        <v>0</v>
      </c>
      <c r="AC99" s="48"/>
      <c r="AD99" s="48"/>
      <c r="AE99" s="48"/>
      <c r="AF99" s="48">
        <f t="shared" si="136"/>
        <v>0</v>
      </c>
      <c r="AG99" s="48"/>
      <c r="AH99" s="48"/>
      <c r="AI99" s="48"/>
      <c r="AJ99" s="48">
        <f t="shared" si="137"/>
        <v>0</v>
      </c>
      <c r="AK99" s="48"/>
      <c r="AL99" s="48"/>
      <c r="AM99" s="48"/>
      <c r="AN99" s="48">
        <f t="shared" si="138"/>
        <v>0</v>
      </c>
      <c r="AO99" s="48"/>
      <c r="AP99" s="48"/>
      <c r="AQ99" s="48"/>
      <c r="AR99" s="48">
        <f t="shared" si="139"/>
        <v>0</v>
      </c>
      <c r="AS99" s="48"/>
      <c r="AT99" s="48"/>
      <c r="AU99" s="48"/>
      <c r="AV99" s="48">
        <f t="shared" si="140"/>
        <v>0</v>
      </c>
      <c r="AW99" s="48"/>
      <c r="AX99" s="48"/>
      <c r="AY99" s="48"/>
      <c r="AZ99" s="48">
        <f t="shared" si="141"/>
        <v>0</v>
      </c>
      <c r="BA99" s="48"/>
      <c r="BB99" s="48"/>
      <c r="BC99" s="48"/>
      <c r="BD99" s="48">
        <f t="shared" si="142"/>
        <v>0</v>
      </c>
      <c r="BE99" s="48"/>
      <c r="BF99" s="48"/>
      <c r="BG99" s="48"/>
      <c r="BH99" s="48">
        <f t="shared" si="143"/>
        <v>0</v>
      </c>
      <c r="BI99" s="48"/>
      <c r="BJ99" s="48"/>
      <c r="BK99" s="48"/>
      <c r="BL99" s="48">
        <f t="shared" si="144"/>
        <v>0</v>
      </c>
      <c r="BM99" s="48"/>
      <c r="BN99" s="48"/>
      <c r="BO99" s="48"/>
      <c r="BP99" s="48">
        <f t="shared" si="145"/>
        <v>0</v>
      </c>
      <c r="BQ99" s="48"/>
      <c r="BR99" s="48"/>
      <c r="BS99" s="48"/>
      <c r="BT99" s="48">
        <f t="shared" si="146"/>
        <v>0</v>
      </c>
      <c r="BU99" s="48"/>
      <c r="BV99" s="48"/>
      <c r="BW99" s="48"/>
      <c r="BX99" s="48">
        <f t="shared" si="147"/>
        <v>0</v>
      </c>
      <c r="BY99" s="48"/>
      <c r="BZ99" s="48"/>
      <c r="CA99" s="48"/>
      <c r="CB99" s="48">
        <f t="shared" si="148"/>
        <v>0</v>
      </c>
      <c r="CC99" s="48"/>
      <c r="CD99" s="48"/>
      <c r="CE99" s="48"/>
      <c r="CF99" s="48">
        <f t="shared" si="149"/>
        <v>0</v>
      </c>
      <c r="CG99" s="48"/>
      <c r="CH99" s="48"/>
      <c r="CI99" s="48"/>
      <c r="CJ99" s="48">
        <f t="shared" si="150"/>
        <v>0</v>
      </c>
      <c r="CK99" s="48"/>
      <c r="CL99" s="48"/>
      <c r="CM99" s="48"/>
      <c r="CN99" s="48">
        <f t="shared" si="151"/>
        <v>0</v>
      </c>
      <c r="CO99" s="48"/>
      <c r="CP99" s="48"/>
      <c r="CQ99" s="48"/>
      <c r="CR99" s="48">
        <f t="shared" si="152"/>
        <v>0</v>
      </c>
      <c r="CS99" s="48"/>
      <c r="CT99" s="48"/>
      <c r="CU99" s="48"/>
      <c r="CV99" s="48">
        <f t="shared" si="153"/>
        <v>0</v>
      </c>
      <c r="CW99" s="48"/>
      <c r="CX99" s="48"/>
      <c r="CY99" s="48"/>
      <c r="CZ99" s="48">
        <f t="shared" si="154"/>
        <v>0</v>
      </c>
      <c r="DA99" s="48"/>
      <c r="DB99" s="48"/>
      <c r="DC99" s="48"/>
      <c r="DD99" s="48">
        <f t="shared" si="155"/>
        <v>0</v>
      </c>
      <c r="DE99" s="48"/>
      <c r="DF99" s="48"/>
      <c r="DG99" s="48"/>
      <c r="DH99" s="48">
        <f t="shared" si="156"/>
        <v>0</v>
      </c>
      <c r="DI99" s="48"/>
      <c r="DJ99" s="48"/>
      <c r="DK99" s="48"/>
      <c r="DL99" s="48">
        <f t="shared" si="157"/>
        <v>0</v>
      </c>
      <c r="DM99" s="48"/>
      <c r="DN99" s="48"/>
      <c r="DO99" s="48"/>
      <c r="DP99" s="48">
        <f t="shared" si="158"/>
        <v>0</v>
      </c>
      <c r="DQ99" s="48"/>
      <c r="DR99" s="48"/>
      <c r="DS99" s="48"/>
      <c r="DT99" s="48">
        <f t="shared" si="159"/>
        <v>0</v>
      </c>
      <c r="DU99" s="48"/>
      <c r="DV99" s="48"/>
      <c r="DW99" s="48"/>
      <c r="DX99" s="48">
        <f t="shared" si="160"/>
        <v>0</v>
      </c>
      <c r="DY99" s="48">
        <f t="shared" si="161"/>
        <v>0</v>
      </c>
      <c r="DZ99" s="48">
        <f t="shared" si="162"/>
        <v>0</v>
      </c>
      <c r="EA99" s="14">
        <f>D99*'MASTER SHEET'!D99</f>
        <v>0</v>
      </c>
      <c r="EB99" s="14">
        <f>H99*'MASTER SHEET'!D99</f>
        <v>0</v>
      </c>
      <c r="EC99" s="14">
        <f>L99*'MASTER SHEET'!D99</f>
        <v>0</v>
      </c>
      <c r="ED99" s="14">
        <f>P99*'MASTER SHEET'!D99</f>
        <v>0</v>
      </c>
      <c r="EE99" s="14">
        <f>T99*'MASTER SHEET'!D99</f>
        <v>0</v>
      </c>
      <c r="EF99" s="14">
        <f>X99*'MASTER SHEET'!D99</f>
        <v>0</v>
      </c>
      <c r="EG99" s="14">
        <f>AB99*'MASTER SHEET'!D99</f>
        <v>0</v>
      </c>
      <c r="EH99" s="14">
        <f>AF99*'MASTER SHEET'!D99</f>
        <v>0</v>
      </c>
      <c r="EI99" s="14">
        <f>AJ99*'MASTER SHEET'!D99</f>
        <v>0</v>
      </c>
      <c r="EJ99" s="14">
        <f>AN99*'MASTER SHEET'!D99</f>
        <v>0</v>
      </c>
      <c r="EK99" s="14">
        <f>AR99*'MASTER SHEET'!D99</f>
        <v>0</v>
      </c>
      <c r="EL99" s="14">
        <f>AV99*'MASTER SHEET'!D99</f>
        <v>0</v>
      </c>
      <c r="EM99" s="14">
        <f>AZ99*'MASTER SHEET'!D99</f>
        <v>0</v>
      </c>
      <c r="EN99" s="14">
        <f>BD99*'MASTER SHEET'!D99</f>
        <v>0</v>
      </c>
      <c r="EO99" s="14">
        <f>BH99*'MASTER SHEET'!D99</f>
        <v>0</v>
      </c>
      <c r="EP99" s="14">
        <f>BL99*'MASTER SHEET'!D99</f>
        <v>0</v>
      </c>
      <c r="EQ99" s="14">
        <f>BP99*'MASTER SHEET'!D99</f>
        <v>0</v>
      </c>
      <c r="ER99" s="14">
        <f>BT99*'MASTER SHEET'!D99</f>
        <v>0</v>
      </c>
      <c r="ES99" s="14">
        <f>BX99*'MASTER SHEET'!D99</f>
        <v>0</v>
      </c>
      <c r="ET99" s="21">
        <f>CB99*'MASTER SHEET'!D99</f>
        <v>0</v>
      </c>
      <c r="EU99" s="14">
        <f>CF99*'MASTER SHEET'!D99</f>
        <v>0</v>
      </c>
      <c r="EV99" s="14">
        <f>CJ99*'MASTER SHEET'!D99</f>
        <v>0</v>
      </c>
      <c r="EW99" s="14">
        <f>CN99*'MASTER SHEET'!D99</f>
        <v>0</v>
      </c>
      <c r="EX99" s="14">
        <f>CR99*'MASTER SHEET'!D99</f>
        <v>0</v>
      </c>
      <c r="EY99" s="14">
        <f>CR99*'MASTER SHEET'!D99</f>
        <v>0</v>
      </c>
      <c r="EZ99" s="14">
        <f>CV99*'MASTER SHEET'!D99</f>
        <v>0</v>
      </c>
      <c r="FA99" s="14">
        <f>CZ99*'MASTER SHEET'!D99</f>
        <v>0</v>
      </c>
      <c r="FB99" s="14">
        <f>DD99*'MASTER SHEET'!D99</f>
        <v>0</v>
      </c>
    </row>
    <row r="100" spans="1:158" ht="18.75" customHeight="1" x14ac:dyDescent="0.25">
      <c r="A100" s="43">
        <f>'MASTER SHEET'!A100</f>
        <v>98</v>
      </c>
      <c r="B100" s="49" t="str">
        <f>'MASTER SHEET'!B100</f>
        <v>PIPE PLASTIC</v>
      </c>
      <c r="C100" s="86">
        <f>'MASTER SHEET'!C100</f>
        <v>5029411</v>
      </c>
      <c r="D100" s="51"/>
      <c r="E100" s="48">
        <v>0</v>
      </c>
      <c r="F100" s="48">
        <v>0</v>
      </c>
      <c r="G100" s="48">
        <v>0</v>
      </c>
      <c r="H100" s="48">
        <f t="shared" si="130"/>
        <v>0</v>
      </c>
      <c r="I100" s="28">
        <v>0</v>
      </c>
      <c r="J100" s="28">
        <v>0</v>
      </c>
      <c r="K100" s="65">
        <v>0</v>
      </c>
      <c r="L100" s="48">
        <f t="shared" si="131"/>
        <v>0</v>
      </c>
      <c r="M100" s="48"/>
      <c r="N100" s="48"/>
      <c r="O100" s="48"/>
      <c r="P100" s="48">
        <f t="shared" si="132"/>
        <v>0</v>
      </c>
      <c r="Q100" s="48">
        <v>0</v>
      </c>
      <c r="R100" s="48">
        <v>0</v>
      </c>
      <c r="S100" s="48">
        <v>0</v>
      </c>
      <c r="T100" s="48">
        <f t="shared" si="133"/>
        <v>0</v>
      </c>
      <c r="U100" s="48">
        <v>0</v>
      </c>
      <c r="V100" s="48"/>
      <c r="W100" s="48"/>
      <c r="X100" s="48">
        <f t="shared" si="134"/>
        <v>0</v>
      </c>
      <c r="Y100" s="48">
        <v>0</v>
      </c>
      <c r="Z100" s="48">
        <v>0</v>
      </c>
      <c r="AA100" s="48">
        <v>0</v>
      </c>
      <c r="AB100" s="48">
        <f t="shared" si="135"/>
        <v>0</v>
      </c>
      <c r="AC100" s="48">
        <v>0</v>
      </c>
      <c r="AD100" s="48">
        <v>0</v>
      </c>
      <c r="AE100" s="48">
        <v>0</v>
      </c>
      <c r="AF100" s="48">
        <f t="shared" si="136"/>
        <v>0</v>
      </c>
      <c r="AG100" s="48">
        <v>0</v>
      </c>
      <c r="AH100" s="48">
        <v>0</v>
      </c>
      <c r="AI100" s="48">
        <v>0</v>
      </c>
      <c r="AJ100" s="48">
        <f t="shared" si="137"/>
        <v>0</v>
      </c>
      <c r="AK100" s="48">
        <v>0</v>
      </c>
      <c r="AL100" s="48">
        <v>0</v>
      </c>
      <c r="AM100" s="48">
        <v>0</v>
      </c>
      <c r="AN100" s="48">
        <f t="shared" si="138"/>
        <v>0</v>
      </c>
      <c r="AO100" s="48">
        <v>0</v>
      </c>
      <c r="AP100" s="48">
        <v>0</v>
      </c>
      <c r="AQ100" s="48">
        <v>0</v>
      </c>
      <c r="AR100" s="48">
        <f t="shared" si="139"/>
        <v>0</v>
      </c>
      <c r="AS100" s="48">
        <v>0</v>
      </c>
      <c r="AT100" s="48">
        <v>0</v>
      </c>
      <c r="AU100" s="48">
        <v>0</v>
      </c>
      <c r="AV100" s="48">
        <f t="shared" si="140"/>
        <v>0</v>
      </c>
      <c r="AW100" s="48">
        <v>0</v>
      </c>
      <c r="AX100" s="48">
        <v>0</v>
      </c>
      <c r="AY100" s="48">
        <v>0</v>
      </c>
      <c r="AZ100" s="48">
        <f t="shared" si="141"/>
        <v>0</v>
      </c>
      <c r="BA100" s="48">
        <v>0</v>
      </c>
      <c r="BB100" s="48">
        <v>0</v>
      </c>
      <c r="BC100" s="48">
        <v>0</v>
      </c>
      <c r="BD100" s="48">
        <f t="shared" si="142"/>
        <v>0</v>
      </c>
      <c r="BE100" s="48">
        <v>0</v>
      </c>
      <c r="BF100" s="48">
        <v>0</v>
      </c>
      <c r="BG100" s="48">
        <v>0</v>
      </c>
      <c r="BH100" s="48">
        <f t="shared" si="143"/>
        <v>0</v>
      </c>
      <c r="BI100" s="48">
        <v>0</v>
      </c>
      <c r="BJ100" s="48">
        <v>0</v>
      </c>
      <c r="BK100" s="48">
        <v>0</v>
      </c>
      <c r="BL100" s="48">
        <f t="shared" si="144"/>
        <v>0</v>
      </c>
      <c r="BM100" s="48">
        <v>0</v>
      </c>
      <c r="BN100" s="48">
        <v>0</v>
      </c>
      <c r="BO100" s="48">
        <v>0</v>
      </c>
      <c r="BP100" s="48">
        <f t="shared" si="145"/>
        <v>0</v>
      </c>
      <c r="BQ100" s="48">
        <v>0</v>
      </c>
      <c r="BR100" s="48">
        <v>0</v>
      </c>
      <c r="BS100" s="48">
        <v>0</v>
      </c>
      <c r="BT100" s="48">
        <f t="shared" si="146"/>
        <v>0</v>
      </c>
      <c r="BU100" s="48">
        <v>0</v>
      </c>
      <c r="BV100" s="48">
        <v>0</v>
      </c>
      <c r="BW100" s="48">
        <v>0</v>
      </c>
      <c r="BX100" s="48">
        <f t="shared" si="147"/>
        <v>0</v>
      </c>
      <c r="BY100" s="48"/>
      <c r="BZ100" s="48"/>
      <c r="CA100" s="48"/>
      <c r="CB100" s="48">
        <f t="shared" si="148"/>
        <v>0</v>
      </c>
      <c r="CC100" s="48">
        <v>0</v>
      </c>
      <c r="CD100" s="48">
        <v>0</v>
      </c>
      <c r="CE100" s="48">
        <v>0</v>
      </c>
      <c r="CF100" s="48">
        <f t="shared" si="149"/>
        <v>0</v>
      </c>
      <c r="CG100" s="48">
        <v>0</v>
      </c>
      <c r="CH100" s="48">
        <v>0</v>
      </c>
      <c r="CI100" s="48">
        <v>0</v>
      </c>
      <c r="CJ100" s="48">
        <f t="shared" si="150"/>
        <v>0</v>
      </c>
      <c r="CK100" s="48"/>
      <c r="CL100" s="48"/>
      <c r="CM100" s="48"/>
      <c r="CN100" s="48">
        <f t="shared" si="151"/>
        <v>0</v>
      </c>
      <c r="CO100" s="48">
        <v>0</v>
      </c>
      <c r="CP100" s="48">
        <v>0</v>
      </c>
      <c r="CQ100" s="48">
        <v>0</v>
      </c>
      <c r="CR100" s="48">
        <f t="shared" si="152"/>
        <v>0</v>
      </c>
      <c r="CS100" s="48">
        <v>120</v>
      </c>
      <c r="CT100" s="48">
        <v>114</v>
      </c>
      <c r="CU100" s="48">
        <v>6</v>
      </c>
      <c r="CV100" s="48">
        <f t="shared" si="153"/>
        <v>0</v>
      </c>
      <c r="CW100" s="48">
        <v>246</v>
      </c>
      <c r="CX100" s="48">
        <v>245</v>
      </c>
      <c r="CY100" s="48">
        <v>1</v>
      </c>
      <c r="CZ100" s="48">
        <f t="shared" si="154"/>
        <v>0</v>
      </c>
      <c r="DA100" s="48"/>
      <c r="DB100" s="48"/>
      <c r="DC100" s="48"/>
      <c r="DD100" s="48">
        <f t="shared" si="155"/>
        <v>0</v>
      </c>
      <c r="DE100" s="48"/>
      <c r="DF100" s="48"/>
      <c r="DG100" s="48"/>
      <c r="DH100" s="48">
        <f t="shared" si="156"/>
        <v>0</v>
      </c>
      <c r="DI100" s="48"/>
      <c r="DJ100" s="48"/>
      <c r="DK100" s="48"/>
      <c r="DL100" s="48">
        <f t="shared" si="157"/>
        <v>0</v>
      </c>
      <c r="DM100" s="48"/>
      <c r="DN100" s="48"/>
      <c r="DO100" s="48"/>
      <c r="DP100" s="48">
        <f t="shared" si="158"/>
        <v>0</v>
      </c>
      <c r="DQ100" s="48"/>
      <c r="DR100" s="48"/>
      <c r="DS100" s="48"/>
      <c r="DT100" s="48">
        <f t="shared" si="159"/>
        <v>0</v>
      </c>
      <c r="DU100" s="48"/>
      <c r="DV100" s="48"/>
      <c r="DW100" s="48"/>
      <c r="DX100" s="48">
        <f t="shared" si="160"/>
        <v>0</v>
      </c>
      <c r="DY100" s="48">
        <f t="shared" si="161"/>
        <v>366</v>
      </c>
      <c r="DZ100" s="48">
        <f t="shared" si="162"/>
        <v>7</v>
      </c>
      <c r="EA100" s="14">
        <f>D100*'MASTER SHEET'!D100</f>
        <v>0</v>
      </c>
      <c r="EB100" s="14">
        <f>H100*'MASTER SHEET'!D100</f>
        <v>0</v>
      </c>
      <c r="EC100" s="14">
        <f>L100*'MASTER SHEET'!D100</f>
        <v>0</v>
      </c>
      <c r="ED100" s="14">
        <f>P100*'MASTER SHEET'!D100</f>
        <v>0</v>
      </c>
      <c r="EE100" s="14">
        <f>T100*'MASTER SHEET'!D100</f>
        <v>0</v>
      </c>
      <c r="EF100" s="14">
        <f>X100*'MASTER SHEET'!D100</f>
        <v>0</v>
      </c>
      <c r="EG100" s="14">
        <f>AB100*'MASTER SHEET'!D100</f>
        <v>0</v>
      </c>
      <c r="EH100" s="14">
        <f>AF100*'MASTER SHEET'!D100</f>
        <v>0</v>
      </c>
      <c r="EI100" s="14">
        <f>AJ100*'MASTER SHEET'!D100</f>
        <v>0</v>
      </c>
      <c r="EJ100" s="14">
        <f>AN100*'MASTER SHEET'!D100</f>
        <v>0</v>
      </c>
      <c r="EK100" s="14">
        <f>AR100*'MASTER SHEET'!D100</f>
        <v>0</v>
      </c>
      <c r="EL100" s="14">
        <f>AV100*'MASTER SHEET'!D100</f>
        <v>0</v>
      </c>
      <c r="EM100" s="14">
        <f>AZ100*'MASTER SHEET'!D100</f>
        <v>0</v>
      </c>
      <c r="EN100" s="14">
        <f>BD100*'MASTER SHEET'!D100</f>
        <v>0</v>
      </c>
      <c r="EO100" s="14">
        <f>BH100*'MASTER SHEET'!D100</f>
        <v>0</v>
      </c>
      <c r="EP100" s="14">
        <f>BL100*'MASTER SHEET'!D100</f>
        <v>0</v>
      </c>
      <c r="EQ100" s="14">
        <f>BP100*'MASTER SHEET'!D100</f>
        <v>0</v>
      </c>
      <c r="ER100" s="14">
        <f>BT100*'MASTER SHEET'!D100</f>
        <v>0</v>
      </c>
      <c r="ES100" s="14">
        <f>BX100*'MASTER SHEET'!D100</f>
        <v>0</v>
      </c>
      <c r="ET100" s="21">
        <f>CB100*'MASTER SHEET'!D100</f>
        <v>0</v>
      </c>
      <c r="EU100" s="14">
        <f>CF100*'MASTER SHEET'!D100</f>
        <v>0</v>
      </c>
      <c r="EV100" s="14">
        <f>CJ100*'MASTER SHEET'!D100</f>
        <v>0</v>
      </c>
      <c r="EW100" s="14">
        <f>CN100*'MASTER SHEET'!D100</f>
        <v>0</v>
      </c>
      <c r="EX100" s="14">
        <f>CR100*'MASTER SHEET'!D100</f>
        <v>0</v>
      </c>
      <c r="EY100" s="14">
        <f>CR100*'MASTER SHEET'!D100</f>
        <v>0</v>
      </c>
      <c r="EZ100" s="14">
        <f>CV100*'MASTER SHEET'!D100</f>
        <v>0</v>
      </c>
      <c r="FA100" s="14">
        <f>CZ100*'MASTER SHEET'!D100</f>
        <v>0</v>
      </c>
      <c r="FB100" s="14">
        <f>DD100*'MASTER SHEET'!D100</f>
        <v>0</v>
      </c>
    </row>
    <row r="101" spans="1:158" ht="18.75" customHeight="1" x14ac:dyDescent="0.25">
      <c r="A101" s="43">
        <f>'MASTER SHEET'!A101</f>
        <v>99</v>
      </c>
      <c r="B101" s="49" t="str">
        <f>'MASTER SHEET'!B101</f>
        <v>RING PLASTIC</v>
      </c>
      <c r="C101" s="86">
        <f>'MASTER SHEET'!C101</f>
        <v>5031751</v>
      </c>
      <c r="D101" s="51"/>
      <c r="E101" s="48"/>
      <c r="F101" s="48"/>
      <c r="G101" s="48"/>
      <c r="H101" s="48">
        <f t="shared" si="130"/>
        <v>0</v>
      </c>
      <c r="I101" s="28"/>
      <c r="J101" s="28"/>
      <c r="K101" s="65"/>
      <c r="L101" s="48">
        <f t="shared" si="131"/>
        <v>0</v>
      </c>
      <c r="M101" s="48"/>
      <c r="N101" s="48"/>
      <c r="O101" s="48"/>
      <c r="P101" s="48">
        <f t="shared" si="132"/>
        <v>0</v>
      </c>
      <c r="Q101" s="48"/>
      <c r="R101" s="48"/>
      <c r="S101" s="48"/>
      <c r="T101" s="48">
        <f t="shared" si="133"/>
        <v>0</v>
      </c>
      <c r="U101" s="48">
        <v>0</v>
      </c>
      <c r="V101" s="48"/>
      <c r="W101" s="48"/>
      <c r="X101" s="48">
        <f t="shared" si="134"/>
        <v>0</v>
      </c>
      <c r="Y101" s="48"/>
      <c r="Z101" s="48"/>
      <c r="AA101" s="48"/>
      <c r="AB101" s="48">
        <f t="shared" si="135"/>
        <v>0</v>
      </c>
      <c r="AC101" s="48"/>
      <c r="AD101" s="48"/>
      <c r="AE101" s="48"/>
      <c r="AF101" s="48">
        <f t="shared" si="136"/>
        <v>0</v>
      </c>
      <c r="AG101" s="48"/>
      <c r="AH101" s="48"/>
      <c r="AI101" s="48"/>
      <c r="AJ101" s="48">
        <f t="shared" si="137"/>
        <v>0</v>
      </c>
      <c r="AK101" s="48"/>
      <c r="AL101" s="48"/>
      <c r="AM101" s="48"/>
      <c r="AN101" s="48">
        <f t="shared" si="138"/>
        <v>0</v>
      </c>
      <c r="AO101" s="48"/>
      <c r="AP101" s="48"/>
      <c r="AQ101" s="48"/>
      <c r="AR101" s="48">
        <f t="shared" si="139"/>
        <v>0</v>
      </c>
      <c r="AS101" s="48"/>
      <c r="AT101" s="48"/>
      <c r="AU101" s="48"/>
      <c r="AV101" s="48">
        <f t="shared" si="140"/>
        <v>0</v>
      </c>
      <c r="AW101" s="48"/>
      <c r="AX101" s="48"/>
      <c r="AY101" s="48"/>
      <c r="AZ101" s="48">
        <f t="shared" si="141"/>
        <v>0</v>
      </c>
      <c r="BA101" s="48"/>
      <c r="BB101" s="48"/>
      <c r="BC101" s="48"/>
      <c r="BD101" s="48">
        <f t="shared" si="142"/>
        <v>0</v>
      </c>
      <c r="BE101" s="48"/>
      <c r="BF101" s="48"/>
      <c r="BG101" s="48"/>
      <c r="BH101" s="48">
        <f t="shared" si="143"/>
        <v>0</v>
      </c>
      <c r="BI101" s="48"/>
      <c r="BJ101" s="48"/>
      <c r="BK101" s="48"/>
      <c r="BL101" s="48">
        <f t="shared" si="144"/>
        <v>0</v>
      </c>
      <c r="BM101" s="48"/>
      <c r="BN101" s="48"/>
      <c r="BO101" s="48"/>
      <c r="BP101" s="48">
        <f t="shared" si="145"/>
        <v>0</v>
      </c>
      <c r="BQ101" s="48"/>
      <c r="BR101" s="48"/>
      <c r="BS101" s="48"/>
      <c r="BT101" s="48">
        <f t="shared" si="146"/>
        <v>0</v>
      </c>
      <c r="BU101" s="48"/>
      <c r="BV101" s="48"/>
      <c r="BW101" s="48"/>
      <c r="BX101" s="48">
        <f t="shared" si="147"/>
        <v>0</v>
      </c>
      <c r="BY101" s="48"/>
      <c r="BZ101" s="48"/>
      <c r="CA101" s="48"/>
      <c r="CB101" s="48">
        <f t="shared" si="148"/>
        <v>0</v>
      </c>
      <c r="CC101" s="48"/>
      <c r="CD101" s="48"/>
      <c r="CE101" s="48"/>
      <c r="CF101" s="48">
        <f t="shared" si="149"/>
        <v>0</v>
      </c>
      <c r="CG101" s="48"/>
      <c r="CH101" s="48"/>
      <c r="CI101" s="48"/>
      <c r="CJ101" s="48">
        <f t="shared" si="150"/>
        <v>0</v>
      </c>
      <c r="CK101" s="48"/>
      <c r="CL101" s="48"/>
      <c r="CM101" s="48"/>
      <c r="CN101" s="48">
        <f t="shared" si="151"/>
        <v>0</v>
      </c>
      <c r="CO101" s="48"/>
      <c r="CP101" s="48"/>
      <c r="CQ101" s="48"/>
      <c r="CR101" s="48">
        <f t="shared" si="152"/>
        <v>0</v>
      </c>
      <c r="CS101" s="48"/>
      <c r="CT101" s="48"/>
      <c r="CU101" s="48"/>
      <c r="CV101" s="48">
        <f t="shared" si="153"/>
        <v>0</v>
      </c>
      <c r="CW101" s="48"/>
      <c r="CX101" s="48"/>
      <c r="CY101" s="48"/>
      <c r="CZ101" s="48">
        <f t="shared" si="154"/>
        <v>0</v>
      </c>
      <c r="DA101" s="48"/>
      <c r="DB101" s="48"/>
      <c r="DC101" s="48"/>
      <c r="DD101" s="48">
        <f t="shared" si="155"/>
        <v>0</v>
      </c>
      <c r="DE101" s="48"/>
      <c r="DF101" s="48"/>
      <c r="DG101" s="48"/>
      <c r="DH101" s="48">
        <f t="shared" si="156"/>
        <v>0</v>
      </c>
      <c r="DI101" s="48"/>
      <c r="DJ101" s="48"/>
      <c r="DK101" s="48"/>
      <c r="DL101" s="48">
        <f t="shared" si="157"/>
        <v>0</v>
      </c>
      <c r="DM101" s="48"/>
      <c r="DN101" s="48"/>
      <c r="DO101" s="48"/>
      <c r="DP101" s="48">
        <f t="shared" si="158"/>
        <v>0</v>
      </c>
      <c r="DQ101" s="48"/>
      <c r="DR101" s="48"/>
      <c r="DS101" s="48"/>
      <c r="DT101" s="48">
        <f t="shared" si="159"/>
        <v>0</v>
      </c>
      <c r="DU101" s="48"/>
      <c r="DV101" s="48"/>
      <c r="DW101" s="48"/>
      <c r="DX101" s="48">
        <f t="shared" si="160"/>
        <v>0</v>
      </c>
      <c r="DY101" s="48">
        <f t="shared" si="161"/>
        <v>0</v>
      </c>
      <c r="DZ101" s="48">
        <f t="shared" si="162"/>
        <v>0</v>
      </c>
      <c r="EA101" s="14">
        <f>D101*'MASTER SHEET'!D101</f>
        <v>0</v>
      </c>
      <c r="EB101" s="14">
        <f>H101*'MASTER SHEET'!D101</f>
        <v>0</v>
      </c>
      <c r="EC101" s="14">
        <f>L101*'MASTER SHEET'!D101</f>
        <v>0</v>
      </c>
      <c r="ED101" s="14">
        <f>P101*'MASTER SHEET'!D101</f>
        <v>0</v>
      </c>
      <c r="EE101" s="14">
        <f>T101*'MASTER SHEET'!D101</f>
        <v>0</v>
      </c>
      <c r="EF101" s="14">
        <f>X101*'MASTER SHEET'!D101</f>
        <v>0</v>
      </c>
      <c r="EG101" s="14">
        <f>AB101*'MASTER SHEET'!D101</f>
        <v>0</v>
      </c>
      <c r="EH101" s="14">
        <f>AF101*'MASTER SHEET'!D101</f>
        <v>0</v>
      </c>
      <c r="EI101" s="14">
        <f>AJ101*'MASTER SHEET'!D101</f>
        <v>0</v>
      </c>
      <c r="EJ101" s="14">
        <f>AN101*'MASTER SHEET'!D101</f>
        <v>0</v>
      </c>
      <c r="EK101" s="14">
        <f>AR101*'MASTER SHEET'!D101</f>
        <v>0</v>
      </c>
      <c r="EL101" s="14">
        <f>AV101*'MASTER SHEET'!D101</f>
        <v>0</v>
      </c>
      <c r="EM101" s="14">
        <f>AZ101*'MASTER SHEET'!D101</f>
        <v>0</v>
      </c>
      <c r="EN101" s="14">
        <f>BD101*'MASTER SHEET'!D101</f>
        <v>0</v>
      </c>
      <c r="EO101" s="14">
        <f>BH101*'MASTER SHEET'!D101</f>
        <v>0</v>
      </c>
      <c r="EP101" s="14">
        <f>BL101*'MASTER SHEET'!D101</f>
        <v>0</v>
      </c>
      <c r="EQ101" s="14">
        <f>BP101*'MASTER SHEET'!D101</f>
        <v>0</v>
      </c>
      <c r="ER101" s="14">
        <f>BT101*'MASTER SHEET'!D101</f>
        <v>0</v>
      </c>
      <c r="ES101" s="14">
        <f>BX101*'MASTER SHEET'!D101</f>
        <v>0</v>
      </c>
      <c r="ET101" s="21">
        <f>CB101*'MASTER SHEET'!D101</f>
        <v>0</v>
      </c>
      <c r="EU101" s="14">
        <f>CF101*'MASTER SHEET'!D101</f>
        <v>0</v>
      </c>
      <c r="EV101" s="14">
        <f>CJ101*'MASTER SHEET'!D101</f>
        <v>0</v>
      </c>
      <c r="EW101" s="14">
        <f>CN101*'MASTER SHEET'!D101</f>
        <v>0</v>
      </c>
      <c r="EX101" s="14">
        <f>CR101*'MASTER SHEET'!D101</f>
        <v>0</v>
      </c>
      <c r="EY101" s="14">
        <f>CR101*'MASTER SHEET'!D101</f>
        <v>0</v>
      </c>
      <c r="EZ101" s="14">
        <f>CV101*'MASTER SHEET'!D101</f>
        <v>0</v>
      </c>
      <c r="FA101" s="14">
        <f>CZ101*'MASTER SHEET'!D101</f>
        <v>0</v>
      </c>
      <c r="FB101" s="14">
        <f>DD101*'MASTER SHEET'!D101</f>
        <v>0</v>
      </c>
    </row>
    <row r="102" spans="1:158" ht="18.75" customHeight="1" x14ac:dyDescent="0.25">
      <c r="A102" s="43">
        <f>'MASTER SHEET'!A102</f>
        <v>100</v>
      </c>
      <c r="B102" s="49" t="str">
        <f>'MASTER SHEET'!B102</f>
        <v>WIREMESH</v>
      </c>
      <c r="C102" s="86">
        <f>'MASTER SHEET'!C102</f>
        <v>5017139</v>
      </c>
      <c r="D102" s="112"/>
      <c r="E102" s="48"/>
      <c r="F102" s="48"/>
      <c r="G102" s="48"/>
      <c r="H102" s="48">
        <f t="shared" si="130"/>
        <v>0</v>
      </c>
      <c r="I102" s="28"/>
      <c r="J102" s="28"/>
      <c r="K102" s="65"/>
      <c r="L102" s="48">
        <f t="shared" si="131"/>
        <v>0</v>
      </c>
      <c r="M102" s="48"/>
      <c r="N102" s="48"/>
      <c r="O102" s="48"/>
      <c r="P102" s="48">
        <f t="shared" si="132"/>
        <v>0</v>
      </c>
      <c r="Q102" s="48"/>
      <c r="R102" s="48"/>
      <c r="S102" s="48"/>
      <c r="T102" s="48">
        <f t="shared" si="133"/>
        <v>0</v>
      </c>
      <c r="U102" s="48">
        <v>0</v>
      </c>
      <c r="V102" s="48"/>
      <c r="W102" s="48"/>
      <c r="X102" s="48">
        <f t="shared" si="134"/>
        <v>0</v>
      </c>
      <c r="Y102" s="48"/>
      <c r="Z102" s="48"/>
      <c r="AA102" s="48"/>
      <c r="AB102" s="48">
        <f t="shared" si="135"/>
        <v>0</v>
      </c>
      <c r="AC102" s="48"/>
      <c r="AD102" s="48"/>
      <c r="AE102" s="48"/>
      <c r="AF102" s="48">
        <f t="shared" si="136"/>
        <v>0</v>
      </c>
      <c r="AG102" s="48"/>
      <c r="AH102" s="48"/>
      <c r="AI102" s="48"/>
      <c r="AJ102" s="48">
        <f t="shared" si="137"/>
        <v>0</v>
      </c>
      <c r="AK102" s="48"/>
      <c r="AL102" s="48"/>
      <c r="AM102" s="48"/>
      <c r="AN102" s="48">
        <f t="shared" si="138"/>
        <v>0</v>
      </c>
      <c r="AO102" s="48"/>
      <c r="AP102" s="48"/>
      <c r="AQ102" s="48"/>
      <c r="AR102" s="48">
        <f t="shared" si="139"/>
        <v>0</v>
      </c>
      <c r="AS102" s="48"/>
      <c r="AT102" s="48"/>
      <c r="AU102" s="48"/>
      <c r="AV102" s="48">
        <f t="shared" si="140"/>
        <v>0</v>
      </c>
      <c r="AW102" s="48"/>
      <c r="AX102" s="48"/>
      <c r="AY102" s="48"/>
      <c r="AZ102" s="48">
        <f t="shared" si="141"/>
        <v>0</v>
      </c>
      <c r="BA102" s="48"/>
      <c r="BB102" s="48"/>
      <c r="BC102" s="48"/>
      <c r="BD102" s="48">
        <f t="shared" si="142"/>
        <v>0</v>
      </c>
      <c r="BE102" s="48"/>
      <c r="BF102" s="48"/>
      <c r="BG102" s="48"/>
      <c r="BH102" s="48">
        <f t="shared" si="143"/>
        <v>0</v>
      </c>
      <c r="BI102" s="48"/>
      <c r="BJ102" s="48"/>
      <c r="BK102" s="48"/>
      <c r="BL102" s="48">
        <f t="shared" si="144"/>
        <v>0</v>
      </c>
      <c r="BM102" s="48"/>
      <c r="BN102" s="48"/>
      <c r="BO102" s="48"/>
      <c r="BP102" s="48">
        <f t="shared" si="145"/>
        <v>0</v>
      </c>
      <c r="BQ102" s="48"/>
      <c r="BR102" s="48"/>
      <c r="BS102" s="48"/>
      <c r="BT102" s="48">
        <f t="shared" si="146"/>
        <v>0</v>
      </c>
      <c r="BU102" s="48"/>
      <c r="BV102" s="48"/>
      <c r="BW102" s="48"/>
      <c r="BX102" s="48">
        <f t="shared" si="147"/>
        <v>0</v>
      </c>
      <c r="BY102" s="48"/>
      <c r="BZ102" s="48"/>
      <c r="CA102" s="48"/>
      <c r="CB102" s="48">
        <f t="shared" si="148"/>
        <v>0</v>
      </c>
      <c r="CC102" s="48"/>
      <c r="CD102" s="48"/>
      <c r="CE102" s="48"/>
      <c r="CF102" s="48">
        <f t="shared" si="149"/>
        <v>0</v>
      </c>
      <c r="CG102" s="48"/>
      <c r="CH102" s="48"/>
      <c r="CI102" s="48"/>
      <c r="CJ102" s="48">
        <f t="shared" si="150"/>
        <v>0</v>
      </c>
      <c r="CK102" s="48"/>
      <c r="CL102" s="48"/>
      <c r="CM102" s="48"/>
      <c r="CN102" s="48">
        <f t="shared" si="151"/>
        <v>0</v>
      </c>
      <c r="CO102" s="48"/>
      <c r="CP102" s="48"/>
      <c r="CQ102" s="48"/>
      <c r="CR102" s="48">
        <f t="shared" si="152"/>
        <v>0</v>
      </c>
      <c r="CS102" s="48"/>
      <c r="CT102" s="48"/>
      <c r="CU102" s="48"/>
      <c r="CV102" s="48">
        <f t="shared" si="153"/>
        <v>0</v>
      </c>
      <c r="CW102" s="48"/>
      <c r="CX102" s="48"/>
      <c r="CY102" s="48"/>
      <c r="CZ102" s="48">
        <f t="shared" si="154"/>
        <v>0</v>
      </c>
      <c r="DA102" s="48"/>
      <c r="DB102" s="48"/>
      <c r="DC102" s="48"/>
      <c r="DD102" s="48">
        <f t="shared" si="155"/>
        <v>0</v>
      </c>
      <c r="DE102" s="48"/>
      <c r="DF102" s="48"/>
      <c r="DG102" s="48"/>
      <c r="DH102" s="48">
        <f t="shared" si="156"/>
        <v>0</v>
      </c>
      <c r="DI102" s="48"/>
      <c r="DJ102" s="48"/>
      <c r="DK102" s="48"/>
      <c r="DL102" s="48">
        <f t="shared" si="157"/>
        <v>0</v>
      </c>
      <c r="DM102" s="48"/>
      <c r="DN102" s="48"/>
      <c r="DO102" s="48"/>
      <c r="DP102" s="48">
        <f t="shared" si="158"/>
        <v>0</v>
      </c>
      <c r="DQ102" s="48"/>
      <c r="DR102" s="48"/>
      <c r="DS102" s="48"/>
      <c r="DT102" s="48">
        <f t="shared" si="159"/>
        <v>0</v>
      </c>
      <c r="DU102" s="48"/>
      <c r="DV102" s="48"/>
      <c r="DW102" s="48"/>
      <c r="DX102" s="48">
        <f t="shared" si="160"/>
        <v>0</v>
      </c>
      <c r="DY102" s="48">
        <f t="shared" si="161"/>
        <v>0</v>
      </c>
      <c r="DZ102" s="48">
        <f t="shared" si="162"/>
        <v>0</v>
      </c>
      <c r="EA102" s="14">
        <f>D102*'MASTER SHEET'!D102</f>
        <v>0</v>
      </c>
      <c r="EB102" s="14">
        <f>H102*'MASTER SHEET'!D102</f>
        <v>0</v>
      </c>
      <c r="EC102" s="14">
        <f>L102*'MASTER SHEET'!D102</f>
        <v>0</v>
      </c>
      <c r="ED102" s="14">
        <f>P102*'MASTER SHEET'!D102</f>
        <v>0</v>
      </c>
      <c r="EE102" s="14">
        <f>T102*'MASTER SHEET'!D102</f>
        <v>0</v>
      </c>
      <c r="EF102" s="14">
        <f>X102*'MASTER SHEET'!D102</f>
        <v>0</v>
      </c>
      <c r="EG102" s="14">
        <f>AB102*'MASTER SHEET'!D102</f>
        <v>0</v>
      </c>
      <c r="EH102" s="14">
        <f>AF102*'MASTER SHEET'!D102</f>
        <v>0</v>
      </c>
      <c r="EI102" s="14">
        <f>AJ102*'MASTER SHEET'!D102</f>
        <v>0</v>
      </c>
      <c r="EJ102" s="14">
        <f>AN102*'MASTER SHEET'!D102</f>
        <v>0</v>
      </c>
      <c r="EK102" s="14">
        <f>AR102*'MASTER SHEET'!D102</f>
        <v>0</v>
      </c>
      <c r="EL102" s="14">
        <f>AV102*'MASTER SHEET'!D102</f>
        <v>0</v>
      </c>
      <c r="EM102" s="14">
        <f>AZ102*'MASTER SHEET'!D102</f>
        <v>0</v>
      </c>
      <c r="EN102" s="14">
        <f>BD102*'MASTER SHEET'!D102</f>
        <v>0</v>
      </c>
      <c r="EO102" s="14">
        <f>BH102*'MASTER SHEET'!D102</f>
        <v>0</v>
      </c>
      <c r="EP102" s="14">
        <f>BL102*'MASTER SHEET'!D102</f>
        <v>0</v>
      </c>
      <c r="EQ102" s="14">
        <f>BP102*'MASTER SHEET'!D102</f>
        <v>0</v>
      </c>
      <c r="ER102" s="14">
        <f>BT102*'MASTER SHEET'!D102</f>
        <v>0</v>
      </c>
      <c r="ES102" s="14">
        <f>BX102*'MASTER SHEET'!D102</f>
        <v>0</v>
      </c>
      <c r="ET102" s="21">
        <f>CB102*'MASTER SHEET'!D102</f>
        <v>0</v>
      </c>
      <c r="EU102" s="14">
        <f>CF102*'MASTER SHEET'!D102</f>
        <v>0</v>
      </c>
      <c r="EV102" s="14">
        <f>CJ102*'MASTER SHEET'!D102</f>
        <v>0</v>
      </c>
      <c r="EW102" s="14">
        <f>CN102*'MASTER SHEET'!D102</f>
        <v>0</v>
      </c>
      <c r="EX102" s="14">
        <f>CR102*'MASTER SHEET'!D102</f>
        <v>0</v>
      </c>
      <c r="EY102" s="14">
        <f>CR102*'MASTER SHEET'!D102</f>
        <v>0</v>
      </c>
      <c r="EZ102" s="14">
        <f>CV102*'MASTER SHEET'!D102</f>
        <v>0</v>
      </c>
      <c r="FA102" s="14">
        <f>CZ102*'MASTER SHEET'!D102</f>
        <v>0</v>
      </c>
      <c r="FB102" s="14">
        <f>DD102*'MASTER SHEET'!D102</f>
        <v>0</v>
      </c>
    </row>
    <row r="103" spans="1:158" x14ac:dyDescent="0.25">
      <c r="A103" s="43">
        <f>'MASTER SHEET'!A103</f>
        <v>101</v>
      </c>
      <c r="B103" s="49" t="str">
        <f>'MASTER SHEET'!B103</f>
        <v>END Plate</v>
      </c>
      <c r="C103" s="86">
        <f>'MASTER SHEET'!C103</f>
        <v>5014444</v>
      </c>
      <c r="D103" s="51"/>
      <c r="E103" s="48"/>
      <c r="F103" s="48"/>
      <c r="G103" s="48"/>
      <c r="H103" s="48">
        <f t="shared" si="130"/>
        <v>0</v>
      </c>
      <c r="I103" s="28"/>
      <c r="J103" s="28"/>
      <c r="K103" s="65"/>
      <c r="L103" s="48">
        <f t="shared" si="131"/>
        <v>0</v>
      </c>
      <c r="M103" s="48"/>
      <c r="N103" s="48"/>
      <c r="O103" s="48"/>
      <c r="P103" s="48">
        <f t="shared" si="132"/>
        <v>0</v>
      </c>
      <c r="Q103" s="48">
        <v>0</v>
      </c>
      <c r="R103" s="48">
        <v>0</v>
      </c>
      <c r="S103" s="48">
        <v>0</v>
      </c>
      <c r="T103" s="48">
        <f t="shared" si="133"/>
        <v>0</v>
      </c>
      <c r="U103" s="48">
        <v>0</v>
      </c>
      <c r="V103" s="48"/>
      <c r="W103" s="48"/>
      <c r="X103" s="48">
        <f t="shared" si="134"/>
        <v>0</v>
      </c>
      <c r="Y103" s="48">
        <v>2612</v>
      </c>
      <c r="Z103" s="48">
        <v>2538</v>
      </c>
      <c r="AA103" s="48">
        <v>74</v>
      </c>
      <c r="AB103" s="48">
        <f t="shared" si="135"/>
        <v>0</v>
      </c>
      <c r="AC103" s="48">
        <v>3276</v>
      </c>
      <c r="AD103" s="48">
        <v>3203</v>
      </c>
      <c r="AE103" s="48">
        <v>73</v>
      </c>
      <c r="AF103" s="48">
        <f t="shared" si="136"/>
        <v>0</v>
      </c>
      <c r="AG103" s="48">
        <v>3426</v>
      </c>
      <c r="AH103" s="48">
        <v>3406</v>
      </c>
      <c r="AI103" s="48">
        <v>20</v>
      </c>
      <c r="AJ103" s="48">
        <f t="shared" si="137"/>
        <v>0</v>
      </c>
      <c r="AK103" s="48">
        <v>3320</v>
      </c>
      <c r="AL103" s="48">
        <v>3298</v>
      </c>
      <c r="AM103" s="48">
        <v>22</v>
      </c>
      <c r="AN103" s="48">
        <f t="shared" si="138"/>
        <v>0</v>
      </c>
      <c r="AO103" s="48">
        <v>1544</v>
      </c>
      <c r="AP103" s="48">
        <v>1534</v>
      </c>
      <c r="AQ103" s="48">
        <v>10</v>
      </c>
      <c r="AR103" s="48">
        <f t="shared" si="139"/>
        <v>0</v>
      </c>
      <c r="AS103" s="48">
        <v>0</v>
      </c>
      <c r="AT103" s="48">
        <v>0</v>
      </c>
      <c r="AU103" s="48">
        <v>0</v>
      </c>
      <c r="AV103" s="48">
        <f t="shared" si="140"/>
        <v>0</v>
      </c>
      <c r="AW103" s="48">
        <v>1298</v>
      </c>
      <c r="AX103" s="48">
        <v>1296</v>
      </c>
      <c r="AY103" s="48">
        <v>2</v>
      </c>
      <c r="AZ103" s="48">
        <f t="shared" si="141"/>
        <v>0</v>
      </c>
      <c r="BA103" s="48">
        <v>278</v>
      </c>
      <c r="BB103" s="48">
        <v>278</v>
      </c>
      <c r="BC103" s="48">
        <v>0</v>
      </c>
      <c r="BD103" s="48">
        <f t="shared" si="142"/>
        <v>0</v>
      </c>
      <c r="BE103" s="48">
        <v>0</v>
      </c>
      <c r="BF103" s="48">
        <v>0</v>
      </c>
      <c r="BG103" s="48">
        <v>0</v>
      </c>
      <c r="BH103" s="48">
        <f t="shared" si="143"/>
        <v>0</v>
      </c>
      <c r="BI103" s="48"/>
      <c r="BJ103" s="48"/>
      <c r="BK103" s="48"/>
      <c r="BL103" s="48">
        <f t="shared" si="144"/>
        <v>0</v>
      </c>
      <c r="BM103" s="48"/>
      <c r="BN103" s="48"/>
      <c r="BO103" s="48"/>
      <c r="BP103" s="48">
        <f t="shared" si="145"/>
        <v>0</v>
      </c>
      <c r="BQ103" s="48"/>
      <c r="BR103" s="48"/>
      <c r="BS103" s="48"/>
      <c r="BT103" s="48">
        <f t="shared" si="146"/>
        <v>0</v>
      </c>
      <c r="BU103" s="48"/>
      <c r="BV103" s="48"/>
      <c r="BW103" s="48"/>
      <c r="BX103" s="48">
        <f t="shared" si="147"/>
        <v>0</v>
      </c>
      <c r="BY103" s="48"/>
      <c r="BZ103" s="48"/>
      <c r="CA103" s="48"/>
      <c r="CB103" s="48">
        <f t="shared" si="148"/>
        <v>0</v>
      </c>
      <c r="CC103" s="48"/>
      <c r="CD103" s="48"/>
      <c r="CE103" s="48"/>
      <c r="CF103" s="48">
        <f t="shared" si="149"/>
        <v>0</v>
      </c>
      <c r="CG103" s="48"/>
      <c r="CH103" s="48"/>
      <c r="CI103" s="48"/>
      <c r="CJ103" s="48">
        <f t="shared" si="150"/>
        <v>0</v>
      </c>
      <c r="CK103" s="48"/>
      <c r="CL103" s="48"/>
      <c r="CM103" s="48"/>
      <c r="CN103" s="48">
        <f t="shared" si="151"/>
        <v>0</v>
      </c>
      <c r="CO103" s="48"/>
      <c r="CP103" s="48"/>
      <c r="CQ103" s="48"/>
      <c r="CR103" s="48">
        <f t="shared" si="152"/>
        <v>0</v>
      </c>
      <c r="CS103" s="48"/>
      <c r="CT103" s="48"/>
      <c r="CU103" s="48"/>
      <c r="CV103" s="48">
        <f t="shared" si="153"/>
        <v>0</v>
      </c>
      <c r="CW103" s="48"/>
      <c r="CX103" s="48"/>
      <c r="CY103" s="48"/>
      <c r="CZ103" s="48">
        <f t="shared" si="154"/>
        <v>0</v>
      </c>
      <c r="DA103" s="48"/>
      <c r="DB103" s="48"/>
      <c r="DC103" s="48"/>
      <c r="DD103" s="48">
        <f t="shared" si="155"/>
        <v>0</v>
      </c>
      <c r="DE103" s="48"/>
      <c r="DF103" s="48"/>
      <c r="DG103" s="48"/>
      <c r="DH103" s="48">
        <f t="shared" si="156"/>
        <v>0</v>
      </c>
      <c r="DI103" s="48"/>
      <c r="DJ103" s="48"/>
      <c r="DK103" s="48"/>
      <c r="DL103" s="48">
        <f t="shared" si="157"/>
        <v>0</v>
      </c>
      <c r="DM103" s="48"/>
      <c r="DN103" s="48"/>
      <c r="DO103" s="48"/>
      <c r="DP103" s="48">
        <f t="shared" si="158"/>
        <v>0</v>
      </c>
      <c r="DQ103" s="48"/>
      <c r="DR103" s="48"/>
      <c r="DS103" s="48"/>
      <c r="DT103" s="48">
        <f t="shared" si="159"/>
        <v>0</v>
      </c>
      <c r="DU103" s="48"/>
      <c r="DV103" s="48"/>
      <c r="DW103" s="48"/>
      <c r="DX103" s="48">
        <f t="shared" si="160"/>
        <v>0</v>
      </c>
      <c r="DY103" s="48">
        <f t="shared" si="161"/>
        <v>15754</v>
      </c>
      <c r="DZ103" s="48">
        <f t="shared" si="162"/>
        <v>201</v>
      </c>
      <c r="EA103" s="14">
        <f>D103*'MASTER SHEET'!D103</f>
        <v>0</v>
      </c>
      <c r="EB103" s="14">
        <f>H103*'MASTER SHEET'!D103</f>
        <v>0</v>
      </c>
      <c r="EC103" s="14">
        <f>L103*'MASTER SHEET'!D103</f>
        <v>0</v>
      </c>
      <c r="ED103" s="14">
        <f>P103*'MASTER SHEET'!D103</f>
        <v>0</v>
      </c>
      <c r="EE103" s="14">
        <f>T103*'MASTER SHEET'!D103</f>
        <v>0</v>
      </c>
      <c r="EF103" s="14">
        <f>X103*'MASTER SHEET'!D103</f>
        <v>0</v>
      </c>
      <c r="EG103" s="14">
        <f>AB103*'MASTER SHEET'!D103</f>
        <v>0</v>
      </c>
      <c r="EH103" s="14">
        <f>AF103*'MASTER SHEET'!D103</f>
        <v>0</v>
      </c>
      <c r="EI103" s="14">
        <f>AJ103*'MASTER SHEET'!D103</f>
        <v>0</v>
      </c>
      <c r="EJ103" s="14">
        <f>AN103*'MASTER SHEET'!D103</f>
        <v>0</v>
      </c>
      <c r="EK103" s="14">
        <f>AR103*'MASTER SHEET'!D103</f>
        <v>0</v>
      </c>
      <c r="EL103" s="14">
        <f>AV103*'MASTER SHEET'!D103</f>
        <v>0</v>
      </c>
      <c r="EM103" s="14">
        <f>AZ103*'MASTER SHEET'!D103</f>
        <v>0</v>
      </c>
      <c r="EN103" s="14">
        <f>BD103*'MASTER SHEET'!D103</f>
        <v>0</v>
      </c>
      <c r="EO103" s="14">
        <f>BH103*'MASTER SHEET'!D103</f>
        <v>0</v>
      </c>
      <c r="EP103" s="14">
        <f>BL103*'MASTER SHEET'!D103</f>
        <v>0</v>
      </c>
      <c r="EQ103" s="14">
        <f>BP103*'MASTER SHEET'!D103</f>
        <v>0</v>
      </c>
      <c r="ER103" s="14">
        <f>BT103*'MASTER SHEET'!D103</f>
        <v>0</v>
      </c>
      <c r="ES103" s="14">
        <f>BX103*'MASTER SHEET'!D103</f>
        <v>0</v>
      </c>
      <c r="ET103" s="21">
        <f>CB103*'MASTER SHEET'!D103</f>
        <v>0</v>
      </c>
      <c r="EU103" s="14">
        <f>CF103*'MASTER SHEET'!D103</f>
        <v>0</v>
      </c>
      <c r="EV103" s="14">
        <f>CJ103*'MASTER SHEET'!D103</f>
        <v>0</v>
      </c>
      <c r="EW103" s="14">
        <f>CN103*'MASTER SHEET'!D103</f>
        <v>0</v>
      </c>
      <c r="EX103" s="14">
        <f>CR103*'MASTER SHEET'!D103</f>
        <v>0</v>
      </c>
      <c r="EY103" s="14">
        <f>CR103*'MASTER SHEET'!D103</f>
        <v>0</v>
      </c>
      <c r="EZ103" s="14">
        <f>CV103*'MASTER SHEET'!D103</f>
        <v>0</v>
      </c>
      <c r="FA103" s="14">
        <f>CZ103*'MASTER SHEET'!D103</f>
        <v>0</v>
      </c>
      <c r="FB103" s="14">
        <f>DD103*'MASTER SHEET'!D103</f>
        <v>0</v>
      </c>
    </row>
    <row r="104" spans="1:158" ht="18.75" customHeight="1" x14ac:dyDescent="0.25">
      <c r="A104" s="43">
        <f>'MASTER SHEET'!A104</f>
        <v>102</v>
      </c>
      <c r="B104" s="49" t="str">
        <f>'MASTER SHEET'!B104</f>
        <v>INNER RING PLASTIC</v>
      </c>
      <c r="C104" s="86">
        <f>'MASTER SHEET'!C104</f>
        <v>5046070</v>
      </c>
      <c r="D104" s="51"/>
      <c r="E104" s="48"/>
      <c r="F104" s="48"/>
      <c r="G104" s="48"/>
      <c r="H104" s="48">
        <f t="shared" si="130"/>
        <v>0</v>
      </c>
      <c r="I104" s="28"/>
      <c r="J104" s="28"/>
      <c r="K104" s="65"/>
      <c r="L104" s="48">
        <f t="shared" si="131"/>
        <v>0</v>
      </c>
      <c r="M104" s="48"/>
      <c r="N104" s="48"/>
      <c r="O104" s="48"/>
      <c r="P104" s="48">
        <f t="shared" si="132"/>
        <v>0</v>
      </c>
      <c r="Q104" s="48"/>
      <c r="R104" s="48"/>
      <c r="S104" s="48"/>
      <c r="T104" s="48">
        <f t="shared" si="133"/>
        <v>0</v>
      </c>
      <c r="U104" s="48">
        <v>0</v>
      </c>
      <c r="V104" s="48"/>
      <c r="W104" s="48"/>
      <c r="X104" s="48">
        <f t="shared" si="134"/>
        <v>0</v>
      </c>
      <c r="Y104" s="48"/>
      <c r="Z104" s="48"/>
      <c r="AA104" s="48"/>
      <c r="AB104" s="48">
        <f t="shared" si="135"/>
        <v>0</v>
      </c>
      <c r="AC104" s="48"/>
      <c r="AD104" s="48"/>
      <c r="AE104" s="48"/>
      <c r="AF104" s="48">
        <f t="shared" si="136"/>
        <v>0</v>
      </c>
      <c r="AG104" s="48"/>
      <c r="AH104" s="48"/>
      <c r="AI104" s="48"/>
      <c r="AJ104" s="48">
        <f t="shared" si="137"/>
        <v>0</v>
      </c>
      <c r="AK104" s="48"/>
      <c r="AL104" s="48"/>
      <c r="AM104" s="48"/>
      <c r="AN104" s="48">
        <f t="shared" si="138"/>
        <v>0</v>
      </c>
      <c r="AO104" s="48"/>
      <c r="AP104" s="48"/>
      <c r="AQ104" s="48"/>
      <c r="AR104" s="48">
        <f t="shared" si="139"/>
        <v>0</v>
      </c>
      <c r="AS104" s="48"/>
      <c r="AT104" s="48"/>
      <c r="AU104" s="48"/>
      <c r="AV104" s="48">
        <f t="shared" si="140"/>
        <v>0</v>
      </c>
      <c r="AW104" s="48"/>
      <c r="AX104" s="48"/>
      <c r="AY104" s="48"/>
      <c r="AZ104" s="48">
        <f t="shared" si="141"/>
        <v>0</v>
      </c>
      <c r="BA104" s="48"/>
      <c r="BB104" s="48"/>
      <c r="BC104" s="48"/>
      <c r="BD104" s="48">
        <f t="shared" si="142"/>
        <v>0</v>
      </c>
      <c r="BE104" s="48"/>
      <c r="BF104" s="48"/>
      <c r="BG104" s="48"/>
      <c r="BH104" s="48">
        <f t="shared" si="143"/>
        <v>0</v>
      </c>
      <c r="BI104" s="48"/>
      <c r="BJ104" s="48"/>
      <c r="BK104" s="48"/>
      <c r="BL104" s="48">
        <f t="shared" si="144"/>
        <v>0</v>
      </c>
      <c r="BM104" s="48"/>
      <c r="BN104" s="48"/>
      <c r="BO104" s="48"/>
      <c r="BP104" s="48">
        <f t="shared" si="145"/>
        <v>0</v>
      </c>
      <c r="BQ104" s="48"/>
      <c r="BR104" s="48"/>
      <c r="BS104" s="48"/>
      <c r="BT104" s="48">
        <f t="shared" si="146"/>
        <v>0</v>
      </c>
      <c r="BU104" s="48"/>
      <c r="BV104" s="48"/>
      <c r="BW104" s="48"/>
      <c r="BX104" s="48">
        <f t="shared" si="147"/>
        <v>0</v>
      </c>
      <c r="BY104" s="48"/>
      <c r="BZ104" s="48"/>
      <c r="CA104" s="48"/>
      <c r="CB104" s="48">
        <f t="shared" si="148"/>
        <v>0</v>
      </c>
      <c r="CC104" s="48"/>
      <c r="CD104" s="48"/>
      <c r="CE104" s="48"/>
      <c r="CF104" s="48">
        <f t="shared" si="149"/>
        <v>0</v>
      </c>
      <c r="CG104" s="48"/>
      <c r="CH104" s="48"/>
      <c r="CI104" s="48"/>
      <c r="CJ104" s="48">
        <f t="shared" si="150"/>
        <v>0</v>
      </c>
      <c r="CK104" s="48"/>
      <c r="CL104" s="48"/>
      <c r="CM104" s="48"/>
      <c r="CN104" s="48">
        <f t="shared" si="151"/>
        <v>0</v>
      </c>
      <c r="CO104" s="48"/>
      <c r="CP104" s="48"/>
      <c r="CQ104" s="48"/>
      <c r="CR104" s="48">
        <f t="shared" si="152"/>
        <v>0</v>
      </c>
      <c r="CS104" s="48"/>
      <c r="CT104" s="48"/>
      <c r="CU104" s="48"/>
      <c r="CV104" s="48">
        <f t="shared" si="153"/>
        <v>0</v>
      </c>
      <c r="CW104" s="48"/>
      <c r="CX104" s="48"/>
      <c r="CY104" s="48"/>
      <c r="CZ104" s="48">
        <f t="shared" si="154"/>
        <v>0</v>
      </c>
      <c r="DA104" s="48"/>
      <c r="DB104" s="48"/>
      <c r="DC104" s="48"/>
      <c r="DD104" s="48">
        <f t="shared" si="155"/>
        <v>0</v>
      </c>
      <c r="DE104" s="48"/>
      <c r="DF104" s="48"/>
      <c r="DG104" s="48"/>
      <c r="DH104" s="48">
        <f t="shared" si="156"/>
        <v>0</v>
      </c>
      <c r="DI104" s="48"/>
      <c r="DJ104" s="48"/>
      <c r="DK104" s="48"/>
      <c r="DL104" s="48">
        <f t="shared" si="157"/>
        <v>0</v>
      </c>
      <c r="DM104" s="48"/>
      <c r="DN104" s="48"/>
      <c r="DO104" s="48"/>
      <c r="DP104" s="48">
        <f t="shared" si="158"/>
        <v>0</v>
      </c>
      <c r="DQ104" s="48"/>
      <c r="DR104" s="48"/>
      <c r="DS104" s="48"/>
      <c r="DT104" s="48">
        <f t="shared" si="159"/>
        <v>0</v>
      </c>
      <c r="DU104" s="48"/>
      <c r="DV104" s="48"/>
      <c r="DW104" s="48"/>
      <c r="DX104" s="48">
        <f t="shared" si="160"/>
        <v>0</v>
      </c>
      <c r="DY104" s="48">
        <f t="shared" si="161"/>
        <v>0</v>
      </c>
      <c r="DZ104" s="48">
        <f t="shared" si="162"/>
        <v>0</v>
      </c>
      <c r="EA104" s="14">
        <f>D104*'MASTER SHEET'!D104</f>
        <v>0</v>
      </c>
      <c r="EB104" s="14">
        <f>H104*'MASTER SHEET'!D104</f>
        <v>0</v>
      </c>
      <c r="EC104" s="14">
        <f>L104*'MASTER SHEET'!D104</f>
        <v>0</v>
      </c>
      <c r="ED104" s="14">
        <f>P104*'MASTER SHEET'!D104</f>
        <v>0</v>
      </c>
      <c r="EE104" s="14">
        <f>T104*'MASTER SHEET'!D104</f>
        <v>0</v>
      </c>
      <c r="EF104" s="14">
        <f>X104*'MASTER SHEET'!D104</f>
        <v>0</v>
      </c>
      <c r="EG104" s="14">
        <f>AB104*'MASTER SHEET'!D104</f>
        <v>0</v>
      </c>
      <c r="EH104" s="14">
        <f>AF104*'MASTER SHEET'!D104</f>
        <v>0</v>
      </c>
      <c r="EI104" s="14">
        <f>AJ104*'MASTER SHEET'!D104</f>
        <v>0</v>
      </c>
      <c r="EJ104" s="14">
        <f>AN104*'MASTER SHEET'!D104</f>
        <v>0</v>
      </c>
      <c r="EK104" s="14">
        <f>AR104*'MASTER SHEET'!D104</f>
        <v>0</v>
      </c>
      <c r="EL104" s="14">
        <f>AV104*'MASTER SHEET'!D104</f>
        <v>0</v>
      </c>
      <c r="EM104" s="14">
        <f>AZ104*'MASTER SHEET'!D104</f>
        <v>0</v>
      </c>
      <c r="EN104" s="14">
        <f>BD104*'MASTER SHEET'!D104</f>
        <v>0</v>
      </c>
      <c r="EO104" s="14">
        <f>BH104*'MASTER SHEET'!D104</f>
        <v>0</v>
      </c>
      <c r="EP104" s="14">
        <f>BL104*'MASTER SHEET'!D104</f>
        <v>0</v>
      </c>
      <c r="EQ104" s="14">
        <f>BP104*'MASTER SHEET'!D104</f>
        <v>0</v>
      </c>
      <c r="ER104" s="14">
        <f>BT104*'MASTER SHEET'!D104</f>
        <v>0</v>
      </c>
      <c r="ES104" s="14">
        <f>BX104*'MASTER SHEET'!D104</f>
        <v>0</v>
      </c>
      <c r="ET104" s="21">
        <f>CB104*'MASTER SHEET'!D104</f>
        <v>0</v>
      </c>
      <c r="EU104" s="14">
        <f>CF104*'MASTER SHEET'!D104</f>
        <v>0</v>
      </c>
      <c r="EV104" s="14">
        <f>CJ104*'MASTER SHEET'!D104</f>
        <v>0</v>
      </c>
      <c r="EW104" s="14">
        <f>CN104*'MASTER SHEET'!D104</f>
        <v>0</v>
      </c>
      <c r="EX104" s="14">
        <f>CR104*'MASTER SHEET'!D104</f>
        <v>0</v>
      </c>
      <c r="EY104" s="14">
        <f>CR104*'MASTER SHEET'!D104</f>
        <v>0</v>
      </c>
      <c r="EZ104" s="14">
        <f>CV104*'MASTER SHEET'!D104</f>
        <v>0</v>
      </c>
      <c r="FA104" s="14">
        <f>CZ104*'MASTER SHEET'!D104</f>
        <v>0</v>
      </c>
      <c r="FB104" s="14">
        <f>DD104*'MASTER SHEET'!D104</f>
        <v>0</v>
      </c>
    </row>
    <row r="105" spans="1:158" ht="18.75" customHeight="1" x14ac:dyDescent="0.25">
      <c r="A105" s="43">
        <f>'MASTER SHEET'!A105</f>
        <v>103</v>
      </c>
      <c r="B105" s="49" t="str">
        <f>'MASTER SHEET'!B105</f>
        <v>TOP COVER</v>
      </c>
      <c r="C105" s="86">
        <f>'MASTER SHEET'!C105</f>
        <v>5060364</v>
      </c>
      <c r="D105" s="51"/>
      <c r="E105" s="48"/>
      <c r="F105" s="48"/>
      <c r="G105" s="48"/>
      <c r="H105" s="48">
        <f t="shared" si="130"/>
        <v>0</v>
      </c>
      <c r="I105" s="28"/>
      <c r="J105" s="28"/>
      <c r="K105" s="65"/>
      <c r="L105" s="48">
        <f t="shared" si="131"/>
        <v>0</v>
      </c>
      <c r="M105" s="48"/>
      <c r="N105" s="48"/>
      <c r="O105" s="48"/>
      <c r="P105" s="48">
        <f t="shared" si="132"/>
        <v>0</v>
      </c>
      <c r="Q105" s="48"/>
      <c r="R105" s="48"/>
      <c r="S105" s="48"/>
      <c r="T105" s="48">
        <f t="shared" si="133"/>
        <v>0</v>
      </c>
      <c r="U105" s="48">
        <v>0</v>
      </c>
      <c r="V105" s="48"/>
      <c r="W105" s="48"/>
      <c r="X105" s="48">
        <f t="shared" si="134"/>
        <v>0</v>
      </c>
      <c r="Y105" s="48"/>
      <c r="Z105" s="48"/>
      <c r="AA105" s="48"/>
      <c r="AB105" s="48">
        <f t="shared" si="135"/>
        <v>0</v>
      </c>
      <c r="AC105" s="48"/>
      <c r="AD105" s="48"/>
      <c r="AE105" s="48"/>
      <c r="AF105" s="48">
        <f t="shared" si="136"/>
        <v>0</v>
      </c>
      <c r="AG105" s="48"/>
      <c r="AH105" s="48"/>
      <c r="AI105" s="48"/>
      <c r="AJ105" s="48">
        <f t="shared" si="137"/>
        <v>0</v>
      </c>
      <c r="AK105" s="48"/>
      <c r="AL105" s="48"/>
      <c r="AM105" s="48"/>
      <c r="AN105" s="48">
        <f t="shared" si="138"/>
        <v>0</v>
      </c>
      <c r="AO105" s="48"/>
      <c r="AP105" s="48"/>
      <c r="AQ105" s="48"/>
      <c r="AR105" s="48">
        <f t="shared" si="139"/>
        <v>0</v>
      </c>
      <c r="AS105" s="48"/>
      <c r="AT105" s="48"/>
      <c r="AU105" s="48"/>
      <c r="AV105" s="48">
        <f t="shared" si="140"/>
        <v>0</v>
      </c>
      <c r="AW105" s="48"/>
      <c r="AX105" s="48"/>
      <c r="AY105" s="48"/>
      <c r="AZ105" s="48">
        <f t="shared" si="141"/>
        <v>0</v>
      </c>
      <c r="BA105" s="48"/>
      <c r="BB105" s="48"/>
      <c r="BC105" s="48"/>
      <c r="BD105" s="48">
        <f t="shared" si="142"/>
        <v>0</v>
      </c>
      <c r="BE105" s="48"/>
      <c r="BF105" s="48"/>
      <c r="BG105" s="48"/>
      <c r="BH105" s="48">
        <f t="shared" si="143"/>
        <v>0</v>
      </c>
      <c r="BI105" s="48"/>
      <c r="BJ105" s="48"/>
      <c r="BK105" s="48"/>
      <c r="BL105" s="48">
        <f t="shared" si="144"/>
        <v>0</v>
      </c>
      <c r="BM105" s="48"/>
      <c r="BN105" s="48"/>
      <c r="BO105" s="48"/>
      <c r="BP105" s="48">
        <f t="shared" si="145"/>
        <v>0</v>
      </c>
      <c r="BQ105" s="48"/>
      <c r="BR105" s="48"/>
      <c r="BS105" s="48"/>
      <c r="BT105" s="48">
        <f t="shared" si="146"/>
        <v>0</v>
      </c>
      <c r="BU105" s="48"/>
      <c r="BV105" s="48"/>
      <c r="BW105" s="48"/>
      <c r="BX105" s="48">
        <f t="shared" si="147"/>
        <v>0</v>
      </c>
      <c r="BY105" s="48"/>
      <c r="BZ105" s="48"/>
      <c r="CA105" s="48"/>
      <c r="CB105" s="48">
        <f t="shared" si="148"/>
        <v>0</v>
      </c>
      <c r="CC105" s="48"/>
      <c r="CD105" s="48"/>
      <c r="CE105" s="48"/>
      <c r="CF105" s="48">
        <f t="shared" si="149"/>
        <v>0</v>
      </c>
      <c r="CG105" s="48"/>
      <c r="CH105" s="48"/>
      <c r="CI105" s="48"/>
      <c r="CJ105" s="48">
        <f t="shared" si="150"/>
        <v>0</v>
      </c>
      <c r="CK105" s="48"/>
      <c r="CL105" s="48"/>
      <c r="CM105" s="48"/>
      <c r="CN105" s="48">
        <f t="shared" si="151"/>
        <v>0</v>
      </c>
      <c r="CO105" s="48"/>
      <c r="CP105" s="48"/>
      <c r="CQ105" s="48"/>
      <c r="CR105" s="48">
        <f t="shared" si="152"/>
        <v>0</v>
      </c>
      <c r="CS105" s="48">
        <v>420</v>
      </c>
      <c r="CT105" s="48">
        <v>397</v>
      </c>
      <c r="CU105" s="48">
        <v>23</v>
      </c>
      <c r="CV105" s="48">
        <f t="shared" si="153"/>
        <v>0</v>
      </c>
      <c r="CW105" s="48">
        <v>139</v>
      </c>
      <c r="CX105" s="48">
        <v>132</v>
      </c>
      <c r="CY105" s="48">
        <v>7</v>
      </c>
      <c r="CZ105" s="48">
        <f t="shared" si="154"/>
        <v>0</v>
      </c>
      <c r="DA105" s="48"/>
      <c r="DB105" s="48"/>
      <c r="DC105" s="48"/>
      <c r="DD105" s="48">
        <f t="shared" si="155"/>
        <v>0</v>
      </c>
      <c r="DE105" s="48"/>
      <c r="DF105" s="48"/>
      <c r="DG105" s="48"/>
      <c r="DH105" s="48">
        <f t="shared" si="156"/>
        <v>0</v>
      </c>
      <c r="DI105" s="48"/>
      <c r="DJ105" s="48"/>
      <c r="DK105" s="48"/>
      <c r="DL105" s="48">
        <f t="shared" si="157"/>
        <v>0</v>
      </c>
      <c r="DM105" s="48"/>
      <c r="DN105" s="48"/>
      <c r="DO105" s="48"/>
      <c r="DP105" s="48">
        <f t="shared" si="158"/>
        <v>0</v>
      </c>
      <c r="DQ105" s="48"/>
      <c r="DR105" s="48"/>
      <c r="DS105" s="48"/>
      <c r="DT105" s="48">
        <f t="shared" si="159"/>
        <v>0</v>
      </c>
      <c r="DU105" s="48"/>
      <c r="DV105" s="48"/>
      <c r="DW105" s="48"/>
      <c r="DX105" s="48">
        <f t="shared" si="160"/>
        <v>0</v>
      </c>
      <c r="DY105" s="48">
        <f t="shared" si="161"/>
        <v>559</v>
      </c>
      <c r="DZ105" s="48">
        <f t="shared" si="162"/>
        <v>30</v>
      </c>
      <c r="EA105" s="14">
        <f>D105*'MASTER SHEET'!D105</f>
        <v>0</v>
      </c>
      <c r="EB105" s="14">
        <f>H105*'MASTER SHEET'!D105</f>
        <v>0</v>
      </c>
      <c r="EC105" s="14">
        <f>L105*'MASTER SHEET'!D105</f>
        <v>0</v>
      </c>
      <c r="ED105" s="14">
        <f>P105*'MASTER SHEET'!D105</f>
        <v>0</v>
      </c>
      <c r="EE105" s="14">
        <f>T105*'MASTER SHEET'!D105</f>
        <v>0</v>
      </c>
      <c r="EF105" s="14">
        <f>X105*'MASTER SHEET'!D105</f>
        <v>0</v>
      </c>
      <c r="EG105" s="14">
        <f>AB105*'MASTER SHEET'!D105</f>
        <v>0</v>
      </c>
      <c r="EH105" s="14">
        <f>AF105*'MASTER SHEET'!D105</f>
        <v>0</v>
      </c>
      <c r="EI105" s="14">
        <f>AJ105*'MASTER SHEET'!D105</f>
        <v>0</v>
      </c>
      <c r="EJ105" s="14">
        <f>AN105*'MASTER SHEET'!D105</f>
        <v>0</v>
      </c>
      <c r="EK105" s="14">
        <f>AR105*'MASTER SHEET'!D105</f>
        <v>0</v>
      </c>
      <c r="EL105" s="14">
        <f>AV105*'MASTER SHEET'!D105</f>
        <v>0</v>
      </c>
      <c r="EM105" s="14">
        <f>AZ105*'MASTER SHEET'!D105</f>
        <v>0</v>
      </c>
      <c r="EN105" s="14">
        <f>BD105*'MASTER SHEET'!D105</f>
        <v>0</v>
      </c>
      <c r="EO105" s="14">
        <f>BH105*'MASTER SHEET'!D105</f>
        <v>0</v>
      </c>
      <c r="EP105" s="14">
        <f>BL105*'MASTER SHEET'!D105</f>
        <v>0</v>
      </c>
      <c r="EQ105" s="14">
        <f>BP105*'MASTER SHEET'!D105</f>
        <v>0</v>
      </c>
      <c r="ER105" s="14">
        <f>BT105*'MASTER SHEET'!D105</f>
        <v>0</v>
      </c>
      <c r="ES105" s="14">
        <f>BX105*'MASTER SHEET'!D105</f>
        <v>0</v>
      </c>
      <c r="ET105" s="21">
        <f>CB105*'MASTER SHEET'!D105</f>
        <v>0</v>
      </c>
      <c r="EU105" s="14">
        <f>CF105*'MASTER SHEET'!D105</f>
        <v>0</v>
      </c>
      <c r="EV105" s="14">
        <f>CJ105*'MASTER SHEET'!D105</f>
        <v>0</v>
      </c>
      <c r="EW105" s="14">
        <f>CN105*'MASTER SHEET'!D105</f>
        <v>0</v>
      </c>
      <c r="EX105" s="14">
        <f>CR105*'MASTER SHEET'!D105</f>
        <v>0</v>
      </c>
      <c r="EY105" s="14">
        <f>CR105*'MASTER SHEET'!D105</f>
        <v>0</v>
      </c>
      <c r="EZ105" s="14">
        <f>CV105*'MASTER SHEET'!D105</f>
        <v>0</v>
      </c>
      <c r="FA105" s="14">
        <f>CZ105*'MASTER SHEET'!D105</f>
        <v>0</v>
      </c>
      <c r="FB105" s="14">
        <f>DD105*'MASTER SHEET'!D105</f>
        <v>0</v>
      </c>
    </row>
    <row r="106" spans="1:158" ht="18.75" customHeight="1" x14ac:dyDescent="0.25">
      <c r="A106" s="43">
        <f>'MASTER SHEET'!A106</f>
        <v>104</v>
      </c>
      <c r="B106" s="49" t="str">
        <f>'MASTER SHEET'!B106</f>
        <v>LOUVER PLASTIC</v>
      </c>
      <c r="C106" s="86">
        <f>'MASTER SHEET'!C106</f>
        <v>5042399</v>
      </c>
      <c r="D106" s="51"/>
      <c r="E106" s="48">
        <v>0</v>
      </c>
      <c r="F106" s="48">
        <v>0</v>
      </c>
      <c r="G106" s="48">
        <v>0</v>
      </c>
      <c r="H106" s="48">
        <f t="shared" si="130"/>
        <v>0</v>
      </c>
      <c r="I106" s="28">
        <v>0</v>
      </c>
      <c r="J106" s="28">
        <v>0</v>
      </c>
      <c r="K106" s="65">
        <v>0</v>
      </c>
      <c r="L106" s="48">
        <f t="shared" si="131"/>
        <v>0</v>
      </c>
      <c r="M106" s="48"/>
      <c r="N106" s="48"/>
      <c r="O106" s="48"/>
      <c r="P106" s="48">
        <f t="shared" si="132"/>
        <v>0</v>
      </c>
      <c r="Q106" s="48">
        <v>0</v>
      </c>
      <c r="R106" s="48">
        <v>0</v>
      </c>
      <c r="S106" s="48">
        <v>0</v>
      </c>
      <c r="T106" s="48">
        <f t="shared" si="133"/>
        <v>0</v>
      </c>
      <c r="U106" s="48">
        <v>0</v>
      </c>
      <c r="V106" s="48"/>
      <c r="W106" s="48"/>
      <c r="X106" s="48">
        <f t="shared" si="134"/>
        <v>0</v>
      </c>
      <c r="Y106" s="48">
        <v>0</v>
      </c>
      <c r="Z106" s="48">
        <v>0</v>
      </c>
      <c r="AA106" s="48">
        <v>0</v>
      </c>
      <c r="AB106" s="48">
        <f t="shared" si="135"/>
        <v>0</v>
      </c>
      <c r="AC106" s="48">
        <v>0</v>
      </c>
      <c r="AD106" s="48">
        <v>0</v>
      </c>
      <c r="AE106" s="48">
        <v>0</v>
      </c>
      <c r="AF106" s="48">
        <f t="shared" si="136"/>
        <v>0</v>
      </c>
      <c r="AG106" s="48">
        <v>0</v>
      </c>
      <c r="AH106" s="48">
        <v>0</v>
      </c>
      <c r="AI106" s="48">
        <v>0</v>
      </c>
      <c r="AJ106" s="48">
        <f t="shared" si="137"/>
        <v>0</v>
      </c>
      <c r="AK106" s="48">
        <v>0</v>
      </c>
      <c r="AL106" s="48">
        <v>0</v>
      </c>
      <c r="AM106" s="48">
        <v>0</v>
      </c>
      <c r="AN106" s="48">
        <f t="shared" si="138"/>
        <v>0</v>
      </c>
      <c r="AO106" s="48">
        <v>0</v>
      </c>
      <c r="AP106" s="48">
        <v>0</v>
      </c>
      <c r="AQ106" s="48">
        <v>0</v>
      </c>
      <c r="AR106" s="48">
        <f t="shared" si="139"/>
        <v>0</v>
      </c>
      <c r="AS106" s="48">
        <v>0</v>
      </c>
      <c r="AT106" s="48">
        <v>0</v>
      </c>
      <c r="AU106" s="48">
        <v>0</v>
      </c>
      <c r="AV106" s="48">
        <f t="shared" si="140"/>
        <v>0</v>
      </c>
      <c r="AW106" s="48">
        <v>606</v>
      </c>
      <c r="AX106" s="48">
        <v>601</v>
      </c>
      <c r="AY106" s="48">
        <v>5</v>
      </c>
      <c r="AZ106" s="48">
        <f t="shared" si="141"/>
        <v>0</v>
      </c>
      <c r="BA106" s="48">
        <v>356</v>
      </c>
      <c r="BB106" s="48">
        <v>349</v>
      </c>
      <c r="BC106" s="48">
        <v>7</v>
      </c>
      <c r="BD106" s="48">
        <f t="shared" si="142"/>
        <v>0</v>
      </c>
      <c r="BE106" s="48"/>
      <c r="BF106" s="48"/>
      <c r="BG106" s="48"/>
      <c r="BH106" s="48">
        <f t="shared" si="143"/>
        <v>0</v>
      </c>
      <c r="BI106" s="48"/>
      <c r="BJ106" s="48"/>
      <c r="BK106" s="48"/>
      <c r="BL106" s="48">
        <f t="shared" si="144"/>
        <v>0</v>
      </c>
      <c r="BM106" s="48"/>
      <c r="BN106" s="48"/>
      <c r="BO106" s="48"/>
      <c r="BP106" s="48">
        <f t="shared" si="145"/>
        <v>0</v>
      </c>
      <c r="BQ106" s="48"/>
      <c r="BR106" s="48"/>
      <c r="BS106" s="48"/>
      <c r="BT106" s="48">
        <f t="shared" si="146"/>
        <v>0</v>
      </c>
      <c r="BU106" s="48"/>
      <c r="BV106" s="48"/>
      <c r="BW106" s="48"/>
      <c r="BX106" s="48">
        <f t="shared" si="147"/>
        <v>0</v>
      </c>
      <c r="BY106" s="48"/>
      <c r="BZ106" s="48"/>
      <c r="CA106" s="48"/>
      <c r="CB106" s="48">
        <f t="shared" si="148"/>
        <v>0</v>
      </c>
      <c r="CC106" s="48"/>
      <c r="CD106" s="48"/>
      <c r="CE106" s="48"/>
      <c r="CF106" s="48">
        <f t="shared" si="149"/>
        <v>0</v>
      </c>
      <c r="CG106" s="48"/>
      <c r="CH106" s="48"/>
      <c r="CI106" s="48"/>
      <c r="CJ106" s="48">
        <f t="shared" si="150"/>
        <v>0</v>
      </c>
      <c r="CK106" s="48"/>
      <c r="CL106" s="48"/>
      <c r="CM106" s="48"/>
      <c r="CN106" s="48">
        <f t="shared" si="151"/>
        <v>0</v>
      </c>
      <c r="CO106" s="48"/>
      <c r="CP106" s="48"/>
      <c r="CQ106" s="48"/>
      <c r="CR106" s="48">
        <f t="shared" si="152"/>
        <v>0</v>
      </c>
      <c r="CS106" s="48"/>
      <c r="CT106" s="48"/>
      <c r="CU106" s="48"/>
      <c r="CV106" s="48">
        <f t="shared" si="153"/>
        <v>0</v>
      </c>
      <c r="CW106" s="48"/>
      <c r="CX106" s="48"/>
      <c r="CY106" s="48"/>
      <c r="CZ106" s="48">
        <f t="shared" si="154"/>
        <v>0</v>
      </c>
      <c r="DA106" s="48"/>
      <c r="DB106" s="48"/>
      <c r="DC106" s="48"/>
      <c r="DD106" s="48">
        <f t="shared" si="155"/>
        <v>0</v>
      </c>
      <c r="DE106" s="48"/>
      <c r="DF106" s="48"/>
      <c r="DG106" s="48"/>
      <c r="DH106" s="48">
        <f t="shared" si="156"/>
        <v>0</v>
      </c>
      <c r="DI106" s="48"/>
      <c r="DJ106" s="48"/>
      <c r="DK106" s="48"/>
      <c r="DL106" s="48">
        <f t="shared" si="157"/>
        <v>0</v>
      </c>
      <c r="DM106" s="48"/>
      <c r="DN106" s="48"/>
      <c r="DO106" s="48"/>
      <c r="DP106" s="48">
        <f t="shared" si="158"/>
        <v>0</v>
      </c>
      <c r="DQ106" s="48"/>
      <c r="DR106" s="48"/>
      <c r="DS106" s="48"/>
      <c r="DT106" s="48">
        <f t="shared" si="159"/>
        <v>0</v>
      </c>
      <c r="DU106" s="48"/>
      <c r="DV106" s="48"/>
      <c r="DW106" s="48"/>
      <c r="DX106" s="48">
        <f t="shared" si="160"/>
        <v>0</v>
      </c>
      <c r="DY106" s="48">
        <f t="shared" si="161"/>
        <v>962</v>
      </c>
      <c r="DZ106" s="48">
        <f t="shared" si="162"/>
        <v>12</v>
      </c>
      <c r="EA106" s="14">
        <f>D106*'MASTER SHEET'!D106</f>
        <v>0</v>
      </c>
      <c r="EB106" s="14">
        <f>H106*'MASTER SHEET'!D106</f>
        <v>0</v>
      </c>
      <c r="EC106" s="14">
        <f>L106*'MASTER SHEET'!D106</f>
        <v>0</v>
      </c>
      <c r="ED106" s="14">
        <f>P106*'MASTER SHEET'!D106</f>
        <v>0</v>
      </c>
      <c r="EE106" s="14">
        <f>T106*'MASTER SHEET'!D106</f>
        <v>0</v>
      </c>
      <c r="EF106" s="14">
        <f>X106*'MASTER SHEET'!D106</f>
        <v>0</v>
      </c>
      <c r="EG106" s="14">
        <f>AB106*'MASTER SHEET'!D106</f>
        <v>0</v>
      </c>
      <c r="EH106" s="14">
        <f>AF106*'MASTER SHEET'!D106</f>
        <v>0</v>
      </c>
      <c r="EI106" s="14">
        <f>AJ106*'MASTER SHEET'!D106</f>
        <v>0</v>
      </c>
      <c r="EJ106" s="14">
        <f>AN106*'MASTER SHEET'!D106</f>
        <v>0</v>
      </c>
      <c r="EK106" s="14">
        <f>AR106*'MASTER SHEET'!D106</f>
        <v>0</v>
      </c>
      <c r="EL106" s="14">
        <f>AV106*'MASTER SHEET'!D106</f>
        <v>0</v>
      </c>
      <c r="EM106" s="14">
        <f>AZ106*'MASTER SHEET'!D106</f>
        <v>0</v>
      </c>
      <c r="EN106" s="14">
        <f>BD106*'MASTER SHEET'!D106</f>
        <v>0</v>
      </c>
      <c r="EO106" s="14">
        <f>BH106*'MASTER SHEET'!D106</f>
        <v>0</v>
      </c>
      <c r="EP106" s="14">
        <f>BL106*'MASTER SHEET'!D106</f>
        <v>0</v>
      </c>
      <c r="EQ106" s="14">
        <f>BP106*'MASTER SHEET'!D106</f>
        <v>0</v>
      </c>
      <c r="ER106" s="14">
        <f>BT106*'MASTER SHEET'!D106</f>
        <v>0</v>
      </c>
      <c r="ES106" s="14">
        <f>BX106*'MASTER SHEET'!D106</f>
        <v>0</v>
      </c>
      <c r="ET106" s="21">
        <f>CB106*'MASTER SHEET'!D106</f>
        <v>0</v>
      </c>
      <c r="EU106" s="14">
        <f>CF106*'MASTER SHEET'!D106</f>
        <v>0</v>
      </c>
      <c r="EV106" s="14">
        <f>CJ106*'MASTER SHEET'!D106</f>
        <v>0</v>
      </c>
      <c r="EW106" s="14">
        <f>CN106*'MASTER SHEET'!D106</f>
        <v>0</v>
      </c>
      <c r="EX106" s="14">
        <f>CR106*'MASTER SHEET'!D106</f>
        <v>0</v>
      </c>
      <c r="EY106" s="14">
        <f>CR106*'MASTER SHEET'!D106</f>
        <v>0</v>
      </c>
      <c r="EZ106" s="14">
        <f>CV106*'MASTER SHEET'!D106</f>
        <v>0</v>
      </c>
      <c r="FA106" s="14">
        <f>CZ106*'MASTER SHEET'!D106</f>
        <v>0</v>
      </c>
      <c r="FB106" s="14">
        <f>DD106*'MASTER SHEET'!D106</f>
        <v>0</v>
      </c>
    </row>
    <row r="107" spans="1:158" ht="18.75" customHeight="1" x14ac:dyDescent="0.25">
      <c r="A107" s="43">
        <f>'MASTER SHEET'!A107</f>
        <v>105</v>
      </c>
      <c r="B107" s="49" t="str">
        <f>'MASTER SHEET'!B107</f>
        <v>END Plate</v>
      </c>
      <c r="C107" s="86">
        <f>'MASTER SHEET'!C107</f>
        <v>5027149</v>
      </c>
      <c r="D107" s="51"/>
      <c r="E107" s="48"/>
      <c r="F107" s="48"/>
      <c r="G107" s="48"/>
      <c r="H107" s="48">
        <f t="shared" si="130"/>
        <v>0</v>
      </c>
      <c r="I107" s="28"/>
      <c r="J107" s="28"/>
      <c r="K107" s="65"/>
      <c r="L107" s="48">
        <f t="shared" si="131"/>
        <v>0</v>
      </c>
      <c r="M107" s="48"/>
      <c r="N107" s="48"/>
      <c r="O107" s="48"/>
      <c r="P107" s="48">
        <f t="shared" si="132"/>
        <v>0</v>
      </c>
      <c r="Q107" s="48"/>
      <c r="R107" s="48"/>
      <c r="S107" s="48"/>
      <c r="T107" s="48">
        <f t="shared" si="133"/>
        <v>0</v>
      </c>
      <c r="U107" s="48">
        <v>0</v>
      </c>
      <c r="V107" s="48"/>
      <c r="W107" s="48"/>
      <c r="X107" s="48">
        <f t="shared" si="134"/>
        <v>0</v>
      </c>
      <c r="Y107" s="48"/>
      <c r="Z107" s="48"/>
      <c r="AA107" s="48"/>
      <c r="AB107" s="48">
        <f t="shared" si="135"/>
        <v>0</v>
      </c>
      <c r="AC107" s="48"/>
      <c r="AD107" s="48"/>
      <c r="AE107" s="48"/>
      <c r="AF107" s="48">
        <f t="shared" si="136"/>
        <v>0</v>
      </c>
      <c r="AG107" s="48"/>
      <c r="AH107" s="48"/>
      <c r="AI107" s="48"/>
      <c r="AJ107" s="48">
        <f t="shared" si="137"/>
        <v>0</v>
      </c>
      <c r="AK107" s="48"/>
      <c r="AL107" s="48"/>
      <c r="AM107" s="48"/>
      <c r="AN107" s="48">
        <f t="shared" si="138"/>
        <v>0</v>
      </c>
      <c r="AO107" s="48"/>
      <c r="AP107" s="48"/>
      <c r="AQ107" s="48"/>
      <c r="AR107" s="48">
        <f t="shared" si="139"/>
        <v>0</v>
      </c>
      <c r="AS107" s="48"/>
      <c r="AT107" s="48"/>
      <c r="AU107" s="48"/>
      <c r="AV107" s="48">
        <f t="shared" si="140"/>
        <v>0</v>
      </c>
      <c r="AW107" s="48"/>
      <c r="AX107" s="48"/>
      <c r="AY107" s="48"/>
      <c r="AZ107" s="48">
        <f t="shared" si="141"/>
        <v>0</v>
      </c>
      <c r="BA107" s="48"/>
      <c r="BB107" s="48"/>
      <c r="BC107" s="48"/>
      <c r="BD107" s="48">
        <f t="shared" si="142"/>
        <v>0</v>
      </c>
      <c r="BE107" s="48"/>
      <c r="BF107" s="48"/>
      <c r="BG107" s="48"/>
      <c r="BH107" s="48">
        <f t="shared" si="143"/>
        <v>0</v>
      </c>
      <c r="BI107" s="48"/>
      <c r="BJ107" s="48"/>
      <c r="BK107" s="48"/>
      <c r="BL107" s="48">
        <f t="shared" si="144"/>
        <v>0</v>
      </c>
      <c r="BM107" s="48"/>
      <c r="BN107" s="48"/>
      <c r="BO107" s="48"/>
      <c r="BP107" s="48">
        <f t="shared" si="145"/>
        <v>0</v>
      </c>
      <c r="BQ107" s="48"/>
      <c r="BR107" s="48"/>
      <c r="BS107" s="48"/>
      <c r="BT107" s="48">
        <f t="shared" si="146"/>
        <v>0</v>
      </c>
      <c r="BU107" s="48"/>
      <c r="BV107" s="48"/>
      <c r="BW107" s="48"/>
      <c r="BX107" s="48">
        <f t="shared" si="147"/>
        <v>0</v>
      </c>
      <c r="BY107" s="48"/>
      <c r="BZ107" s="48"/>
      <c r="CA107" s="48"/>
      <c r="CB107" s="48">
        <f t="shared" si="148"/>
        <v>0</v>
      </c>
      <c r="CC107" s="48"/>
      <c r="CD107" s="48"/>
      <c r="CE107" s="48"/>
      <c r="CF107" s="48">
        <f t="shared" si="149"/>
        <v>0</v>
      </c>
      <c r="CG107" s="48"/>
      <c r="CH107" s="48"/>
      <c r="CI107" s="48"/>
      <c r="CJ107" s="48">
        <f t="shared" si="150"/>
        <v>0</v>
      </c>
      <c r="CK107" s="48"/>
      <c r="CL107" s="48"/>
      <c r="CM107" s="48"/>
      <c r="CN107" s="48">
        <f t="shared" si="151"/>
        <v>0</v>
      </c>
      <c r="CO107" s="48"/>
      <c r="CP107" s="48"/>
      <c r="CQ107" s="48"/>
      <c r="CR107" s="48">
        <f t="shared" si="152"/>
        <v>0</v>
      </c>
      <c r="CS107" s="48"/>
      <c r="CT107" s="48"/>
      <c r="CU107" s="48"/>
      <c r="CV107" s="48">
        <f t="shared" si="153"/>
        <v>0</v>
      </c>
      <c r="CW107" s="48"/>
      <c r="CX107" s="48"/>
      <c r="CY107" s="48"/>
      <c r="CZ107" s="48">
        <f t="shared" si="154"/>
        <v>0</v>
      </c>
      <c r="DA107" s="48"/>
      <c r="DB107" s="48"/>
      <c r="DC107" s="48"/>
      <c r="DD107" s="48">
        <f t="shared" si="155"/>
        <v>0</v>
      </c>
      <c r="DE107" s="48"/>
      <c r="DF107" s="48"/>
      <c r="DG107" s="48"/>
      <c r="DH107" s="48">
        <f t="shared" si="156"/>
        <v>0</v>
      </c>
      <c r="DI107" s="48"/>
      <c r="DJ107" s="48"/>
      <c r="DK107" s="48"/>
      <c r="DL107" s="48">
        <f t="shared" si="157"/>
        <v>0</v>
      </c>
      <c r="DM107" s="48"/>
      <c r="DN107" s="48"/>
      <c r="DO107" s="48"/>
      <c r="DP107" s="48">
        <f t="shared" si="158"/>
        <v>0</v>
      </c>
      <c r="DQ107" s="48"/>
      <c r="DR107" s="48"/>
      <c r="DS107" s="48"/>
      <c r="DT107" s="48">
        <f t="shared" si="159"/>
        <v>0</v>
      </c>
      <c r="DU107" s="48"/>
      <c r="DV107" s="48"/>
      <c r="DW107" s="48"/>
      <c r="DX107" s="48">
        <f t="shared" si="160"/>
        <v>0</v>
      </c>
      <c r="DY107" s="48">
        <f t="shared" si="161"/>
        <v>0</v>
      </c>
      <c r="DZ107" s="48">
        <f t="shared" si="162"/>
        <v>0</v>
      </c>
      <c r="EA107" s="14">
        <f>D107*'MASTER SHEET'!D107</f>
        <v>0</v>
      </c>
      <c r="EB107" s="14">
        <f>H107*'MASTER SHEET'!D107</f>
        <v>0</v>
      </c>
      <c r="EC107" s="14">
        <f>L107*'MASTER SHEET'!D107</f>
        <v>0</v>
      </c>
      <c r="ED107" s="14">
        <f>P107*'MASTER SHEET'!D107</f>
        <v>0</v>
      </c>
      <c r="EE107" s="14">
        <f>T107*'MASTER SHEET'!D107</f>
        <v>0</v>
      </c>
      <c r="EF107" s="14">
        <f>X107*'MASTER SHEET'!D107</f>
        <v>0</v>
      </c>
      <c r="EG107" s="14">
        <f>AB107*'MASTER SHEET'!D107</f>
        <v>0</v>
      </c>
      <c r="EH107" s="14">
        <f>AF107*'MASTER SHEET'!D107</f>
        <v>0</v>
      </c>
      <c r="EI107" s="14">
        <f>AJ107*'MASTER SHEET'!D107</f>
        <v>0</v>
      </c>
      <c r="EJ107" s="14">
        <f>AN107*'MASTER SHEET'!D107</f>
        <v>0</v>
      </c>
      <c r="EK107" s="14">
        <f>AR107*'MASTER SHEET'!D107</f>
        <v>0</v>
      </c>
      <c r="EL107" s="14">
        <f>AV107*'MASTER SHEET'!D107</f>
        <v>0</v>
      </c>
      <c r="EM107" s="14">
        <f>AZ107*'MASTER SHEET'!D107</f>
        <v>0</v>
      </c>
      <c r="EN107" s="14">
        <f>BD107*'MASTER SHEET'!D107</f>
        <v>0</v>
      </c>
      <c r="EO107" s="14">
        <f>BH107*'MASTER SHEET'!D107</f>
        <v>0</v>
      </c>
      <c r="EP107" s="14">
        <f>BL107*'MASTER SHEET'!D107</f>
        <v>0</v>
      </c>
      <c r="EQ107" s="14">
        <f>BP107*'MASTER SHEET'!D107</f>
        <v>0</v>
      </c>
      <c r="ER107" s="14">
        <f>BT107*'MASTER SHEET'!D107</f>
        <v>0</v>
      </c>
      <c r="ES107" s="14">
        <f>BX107*'MASTER SHEET'!D107</f>
        <v>0</v>
      </c>
      <c r="ET107" s="21">
        <f>CB107*'MASTER SHEET'!D107</f>
        <v>0</v>
      </c>
      <c r="EU107" s="14">
        <f>CF107*'MASTER SHEET'!D107</f>
        <v>0</v>
      </c>
      <c r="EV107" s="14">
        <f>CJ107*'MASTER SHEET'!D107</f>
        <v>0</v>
      </c>
      <c r="EW107" s="14">
        <f>CN107*'MASTER SHEET'!D107</f>
        <v>0</v>
      </c>
      <c r="EX107" s="14">
        <f>CR107*'MASTER SHEET'!D107</f>
        <v>0</v>
      </c>
      <c r="EY107" s="14">
        <f>CR107*'MASTER SHEET'!D107</f>
        <v>0</v>
      </c>
      <c r="EZ107" s="14">
        <f>CV107*'MASTER SHEET'!D107</f>
        <v>0</v>
      </c>
      <c r="FA107" s="14">
        <f>CZ107*'MASTER SHEET'!D107</f>
        <v>0</v>
      </c>
      <c r="FB107" s="14">
        <f>DD107*'MASTER SHEET'!D107</f>
        <v>0</v>
      </c>
    </row>
    <row r="108" spans="1:158" ht="18.75" customHeight="1" x14ac:dyDescent="0.25">
      <c r="A108" s="43">
        <f>'MASTER SHEET'!A108</f>
        <v>106</v>
      </c>
      <c r="B108" s="49" t="str">
        <f>'MASTER SHEET'!B108</f>
        <v>CENTER TUBE</v>
      </c>
      <c r="C108" s="86">
        <f>'MASTER SHEET'!C108</f>
        <v>5027150</v>
      </c>
      <c r="D108" s="51"/>
      <c r="E108" s="48"/>
      <c r="F108" s="48"/>
      <c r="G108" s="48"/>
      <c r="H108" s="48">
        <f t="shared" si="130"/>
        <v>0</v>
      </c>
      <c r="I108" s="28"/>
      <c r="J108" s="28"/>
      <c r="K108" s="65"/>
      <c r="L108" s="48">
        <f t="shared" si="131"/>
        <v>0</v>
      </c>
      <c r="M108" s="48"/>
      <c r="N108" s="48"/>
      <c r="O108" s="48"/>
      <c r="P108" s="48">
        <f t="shared" si="132"/>
        <v>0</v>
      </c>
      <c r="Q108" s="48"/>
      <c r="R108" s="48"/>
      <c r="S108" s="48"/>
      <c r="T108" s="48">
        <f t="shared" si="133"/>
        <v>0</v>
      </c>
      <c r="U108" s="48">
        <v>0</v>
      </c>
      <c r="V108" s="48"/>
      <c r="W108" s="48"/>
      <c r="X108" s="48">
        <f t="shared" si="134"/>
        <v>0</v>
      </c>
      <c r="Y108" s="48"/>
      <c r="Z108" s="48"/>
      <c r="AA108" s="48"/>
      <c r="AB108" s="48">
        <f t="shared" si="135"/>
        <v>0</v>
      </c>
      <c r="AC108" s="48"/>
      <c r="AD108" s="48"/>
      <c r="AE108" s="48"/>
      <c r="AF108" s="48">
        <f t="shared" si="136"/>
        <v>0</v>
      </c>
      <c r="AG108" s="48"/>
      <c r="AH108" s="48"/>
      <c r="AI108" s="48"/>
      <c r="AJ108" s="48">
        <f t="shared" si="137"/>
        <v>0</v>
      </c>
      <c r="AK108" s="48"/>
      <c r="AL108" s="48"/>
      <c r="AM108" s="48"/>
      <c r="AN108" s="48">
        <f t="shared" si="138"/>
        <v>0</v>
      </c>
      <c r="AO108" s="48"/>
      <c r="AP108" s="48"/>
      <c r="AQ108" s="48"/>
      <c r="AR108" s="48">
        <f t="shared" si="139"/>
        <v>0</v>
      </c>
      <c r="AS108" s="48"/>
      <c r="AT108" s="48"/>
      <c r="AU108" s="48"/>
      <c r="AV108" s="48">
        <f t="shared" si="140"/>
        <v>0</v>
      </c>
      <c r="AW108" s="48"/>
      <c r="AX108" s="48"/>
      <c r="AY108" s="48"/>
      <c r="AZ108" s="48">
        <f t="shared" si="141"/>
        <v>0</v>
      </c>
      <c r="BA108" s="48"/>
      <c r="BB108" s="48"/>
      <c r="BC108" s="48"/>
      <c r="BD108" s="48">
        <f t="shared" si="142"/>
        <v>0</v>
      </c>
      <c r="BE108" s="48"/>
      <c r="BF108" s="48"/>
      <c r="BG108" s="48"/>
      <c r="BH108" s="48">
        <f t="shared" si="143"/>
        <v>0</v>
      </c>
      <c r="BI108" s="48"/>
      <c r="BJ108" s="48"/>
      <c r="BK108" s="48"/>
      <c r="BL108" s="48">
        <f t="shared" si="144"/>
        <v>0</v>
      </c>
      <c r="BM108" s="48"/>
      <c r="BN108" s="48"/>
      <c r="BO108" s="48"/>
      <c r="BP108" s="48">
        <f t="shared" si="145"/>
        <v>0</v>
      </c>
      <c r="BQ108" s="48"/>
      <c r="BR108" s="48"/>
      <c r="BS108" s="48"/>
      <c r="BT108" s="48">
        <f t="shared" si="146"/>
        <v>0</v>
      </c>
      <c r="BU108" s="48"/>
      <c r="BV108" s="48"/>
      <c r="BW108" s="48"/>
      <c r="BX108" s="48">
        <f t="shared" si="147"/>
        <v>0</v>
      </c>
      <c r="BY108" s="48"/>
      <c r="BZ108" s="48"/>
      <c r="CA108" s="48"/>
      <c r="CB108" s="48">
        <f t="shared" si="148"/>
        <v>0</v>
      </c>
      <c r="CC108" s="48"/>
      <c r="CD108" s="48"/>
      <c r="CE108" s="48"/>
      <c r="CF108" s="48">
        <f t="shared" si="149"/>
        <v>0</v>
      </c>
      <c r="CG108" s="48"/>
      <c r="CH108" s="48"/>
      <c r="CI108" s="48"/>
      <c r="CJ108" s="48">
        <f t="shared" si="150"/>
        <v>0</v>
      </c>
      <c r="CK108" s="48"/>
      <c r="CL108" s="48"/>
      <c r="CM108" s="48"/>
      <c r="CN108" s="48">
        <f t="shared" si="151"/>
        <v>0</v>
      </c>
      <c r="CO108" s="48"/>
      <c r="CP108" s="48"/>
      <c r="CQ108" s="48"/>
      <c r="CR108" s="48">
        <f t="shared" si="152"/>
        <v>0</v>
      </c>
      <c r="CS108" s="48"/>
      <c r="CT108" s="48"/>
      <c r="CU108" s="48"/>
      <c r="CV108" s="48">
        <f t="shared" si="153"/>
        <v>0</v>
      </c>
      <c r="CW108" s="48"/>
      <c r="CX108" s="48"/>
      <c r="CY108" s="48"/>
      <c r="CZ108" s="48">
        <f t="shared" si="154"/>
        <v>0</v>
      </c>
      <c r="DA108" s="48"/>
      <c r="DB108" s="48"/>
      <c r="DC108" s="48"/>
      <c r="DD108" s="48">
        <f t="shared" si="155"/>
        <v>0</v>
      </c>
      <c r="DE108" s="48"/>
      <c r="DF108" s="48"/>
      <c r="DG108" s="48"/>
      <c r="DH108" s="48">
        <f t="shared" si="156"/>
        <v>0</v>
      </c>
      <c r="DI108" s="48"/>
      <c r="DJ108" s="48"/>
      <c r="DK108" s="48"/>
      <c r="DL108" s="48">
        <f t="shared" si="157"/>
        <v>0</v>
      </c>
      <c r="DM108" s="48"/>
      <c r="DN108" s="48"/>
      <c r="DO108" s="48"/>
      <c r="DP108" s="48">
        <f t="shared" si="158"/>
        <v>0</v>
      </c>
      <c r="DQ108" s="48"/>
      <c r="DR108" s="48"/>
      <c r="DS108" s="48"/>
      <c r="DT108" s="48">
        <f t="shared" si="159"/>
        <v>0</v>
      </c>
      <c r="DU108" s="48"/>
      <c r="DV108" s="48"/>
      <c r="DW108" s="48"/>
      <c r="DX108" s="48">
        <f t="shared" si="160"/>
        <v>0</v>
      </c>
      <c r="DY108" s="48">
        <f t="shared" si="161"/>
        <v>0</v>
      </c>
      <c r="DZ108" s="48">
        <f t="shared" si="162"/>
        <v>0</v>
      </c>
      <c r="EA108" s="14">
        <f>D108*'MASTER SHEET'!D108</f>
        <v>0</v>
      </c>
      <c r="EB108" s="14">
        <f>H108*'MASTER SHEET'!D108</f>
        <v>0</v>
      </c>
      <c r="EC108" s="14">
        <f>L108*'MASTER SHEET'!D108</f>
        <v>0</v>
      </c>
      <c r="ED108" s="14">
        <f>P108*'MASTER SHEET'!D108</f>
        <v>0</v>
      </c>
      <c r="EE108" s="14">
        <f>T108*'MASTER SHEET'!D108</f>
        <v>0</v>
      </c>
      <c r="EF108" s="14">
        <f>X108*'MASTER SHEET'!D108</f>
        <v>0</v>
      </c>
      <c r="EG108" s="14">
        <f>AB108*'MASTER SHEET'!D108</f>
        <v>0</v>
      </c>
      <c r="EH108" s="14">
        <f>AF108*'MASTER SHEET'!D108</f>
        <v>0</v>
      </c>
      <c r="EI108" s="14">
        <f>AJ108*'MASTER SHEET'!D108</f>
        <v>0</v>
      </c>
      <c r="EJ108" s="14">
        <f>AN108*'MASTER SHEET'!D108</f>
        <v>0</v>
      </c>
      <c r="EK108" s="14">
        <f>AR108*'MASTER SHEET'!D108</f>
        <v>0</v>
      </c>
      <c r="EL108" s="14">
        <f>AV108*'MASTER SHEET'!D108</f>
        <v>0</v>
      </c>
      <c r="EM108" s="14">
        <f>AZ108*'MASTER SHEET'!D108</f>
        <v>0</v>
      </c>
      <c r="EN108" s="14">
        <f>BD108*'MASTER SHEET'!D108</f>
        <v>0</v>
      </c>
      <c r="EO108" s="14">
        <f>BH108*'MASTER SHEET'!D108</f>
        <v>0</v>
      </c>
      <c r="EP108" s="14">
        <f>BL108*'MASTER SHEET'!D108</f>
        <v>0</v>
      </c>
      <c r="EQ108" s="14">
        <f>BP108*'MASTER SHEET'!D108</f>
        <v>0</v>
      </c>
      <c r="ER108" s="14">
        <f>BT108*'MASTER SHEET'!D108</f>
        <v>0</v>
      </c>
      <c r="ES108" s="14">
        <f>BX108*'MASTER SHEET'!D108</f>
        <v>0</v>
      </c>
      <c r="ET108" s="21">
        <f>CB108*'MASTER SHEET'!D108</f>
        <v>0</v>
      </c>
      <c r="EU108" s="14">
        <f>CF108*'MASTER SHEET'!D108</f>
        <v>0</v>
      </c>
      <c r="EV108" s="14">
        <f>CJ108*'MASTER SHEET'!D108</f>
        <v>0</v>
      </c>
      <c r="EW108" s="14">
        <f>CN108*'MASTER SHEET'!D108</f>
        <v>0</v>
      </c>
      <c r="EX108" s="14">
        <f>CR108*'MASTER SHEET'!D108</f>
        <v>0</v>
      </c>
      <c r="EY108" s="14">
        <f>CR108*'MASTER SHEET'!D108</f>
        <v>0</v>
      </c>
      <c r="EZ108" s="14">
        <f>CV108*'MASTER SHEET'!D108</f>
        <v>0</v>
      </c>
      <c r="FA108" s="14">
        <f>CZ108*'MASTER SHEET'!D108</f>
        <v>0</v>
      </c>
      <c r="FB108" s="14">
        <f>DD108*'MASTER SHEET'!D108</f>
        <v>0</v>
      </c>
    </row>
    <row r="109" spans="1:158" ht="18.75" customHeight="1" x14ac:dyDescent="0.25">
      <c r="A109" s="43">
        <f>'MASTER SHEET'!A109</f>
        <v>107</v>
      </c>
      <c r="B109" s="49" t="str">
        <f>'MASTER SHEET'!B109</f>
        <v>END PLATE</v>
      </c>
      <c r="C109" s="86">
        <f>'MASTER SHEET'!C109</f>
        <v>5011415</v>
      </c>
      <c r="D109" s="51"/>
      <c r="E109" s="48"/>
      <c r="F109" s="48"/>
      <c r="G109" s="48"/>
      <c r="H109" s="48">
        <f t="shared" si="130"/>
        <v>0</v>
      </c>
      <c r="I109" s="28"/>
      <c r="J109" s="28"/>
      <c r="K109" s="65"/>
      <c r="L109" s="48">
        <f t="shared" si="131"/>
        <v>0</v>
      </c>
      <c r="M109" s="48"/>
      <c r="N109" s="48"/>
      <c r="O109" s="48"/>
      <c r="P109" s="48">
        <f t="shared" si="132"/>
        <v>0</v>
      </c>
      <c r="Q109" s="48"/>
      <c r="R109" s="48"/>
      <c r="S109" s="48"/>
      <c r="T109" s="48">
        <f t="shared" si="133"/>
        <v>0</v>
      </c>
      <c r="U109" s="48">
        <v>0</v>
      </c>
      <c r="V109" s="48"/>
      <c r="W109" s="48"/>
      <c r="X109" s="48">
        <f t="shared" si="134"/>
        <v>0</v>
      </c>
      <c r="Y109" s="48"/>
      <c r="Z109" s="48"/>
      <c r="AA109" s="48"/>
      <c r="AB109" s="48">
        <f t="shared" si="135"/>
        <v>0</v>
      </c>
      <c r="AC109" s="48"/>
      <c r="AD109" s="48"/>
      <c r="AE109" s="48"/>
      <c r="AF109" s="48">
        <f t="shared" si="136"/>
        <v>0</v>
      </c>
      <c r="AG109" s="48"/>
      <c r="AH109" s="48"/>
      <c r="AI109" s="48"/>
      <c r="AJ109" s="48">
        <f t="shared" si="137"/>
        <v>0</v>
      </c>
      <c r="AK109" s="48"/>
      <c r="AL109" s="48"/>
      <c r="AM109" s="48"/>
      <c r="AN109" s="48">
        <f t="shared" si="138"/>
        <v>0</v>
      </c>
      <c r="AO109" s="48"/>
      <c r="AP109" s="48"/>
      <c r="AQ109" s="48"/>
      <c r="AR109" s="48">
        <f t="shared" si="139"/>
        <v>0</v>
      </c>
      <c r="AS109" s="48"/>
      <c r="AT109" s="48"/>
      <c r="AU109" s="48"/>
      <c r="AV109" s="48">
        <f t="shared" si="140"/>
        <v>0</v>
      </c>
      <c r="AW109" s="48"/>
      <c r="AX109" s="48"/>
      <c r="AY109" s="48"/>
      <c r="AZ109" s="48">
        <f t="shared" si="141"/>
        <v>0</v>
      </c>
      <c r="BA109" s="48"/>
      <c r="BB109" s="48"/>
      <c r="BC109" s="48"/>
      <c r="BD109" s="48">
        <f t="shared" si="142"/>
        <v>0</v>
      </c>
      <c r="BE109" s="48"/>
      <c r="BF109" s="48"/>
      <c r="BG109" s="48"/>
      <c r="BH109" s="48">
        <f t="shared" si="143"/>
        <v>0</v>
      </c>
      <c r="BI109" s="48"/>
      <c r="BJ109" s="48"/>
      <c r="BK109" s="48"/>
      <c r="BL109" s="48">
        <f t="shared" si="144"/>
        <v>0</v>
      </c>
      <c r="BM109" s="48"/>
      <c r="BN109" s="48"/>
      <c r="BO109" s="48"/>
      <c r="BP109" s="48">
        <f t="shared" si="145"/>
        <v>0</v>
      </c>
      <c r="BQ109" s="48"/>
      <c r="BR109" s="48"/>
      <c r="BS109" s="48"/>
      <c r="BT109" s="48">
        <f t="shared" si="146"/>
        <v>0</v>
      </c>
      <c r="BU109" s="48"/>
      <c r="BV109" s="48"/>
      <c r="BW109" s="48"/>
      <c r="BX109" s="48">
        <f t="shared" si="147"/>
        <v>0</v>
      </c>
      <c r="BY109" s="48"/>
      <c r="BZ109" s="48"/>
      <c r="CA109" s="48"/>
      <c r="CB109" s="48">
        <f t="shared" si="148"/>
        <v>0</v>
      </c>
      <c r="CC109" s="48"/>
      <c r="CD109" s="48"/>
      <c r="CE109" s="48"/>
      <c r="CF109" s="48">
        <f t="shared" si="149"/>
        <v>0</v>
      </c>
      <c r="CG109" s="48"/>
      <c r="CH109" s="48"/>
      <c r="CI109" s="48"/>
      <c r="CJ109" s="48">
        <f t="shared" si="150"/>
        <v>0</v>
      </c>
      <c r="CK109" s="48"/>
      <c r="CL109" s="48"/>
      <c r="CM109" s="48"/>
      <c r="CN109" s="48">
        <f t="shared" si="151"/>
        <v>0</v>
      </c>
      <c r="CO109" s="48"/>
      <c r="CP109" s="48"/>
      <c r="CQ109" s="48"/>
      <c r="CR109" s="48">
        <f t="shared" si="152"/>
        <v>0</v>
      </c>
      <c r="CS109" s="48"/>
      <c r="CT109" s="48"/>
      <c r="CU109" s="48"/>
      <c r="CV109" s="48">
        <f t="shared" si="153"/>
        <v>0</v>
      </c>
      <c r="CW109" s="48"/>
      <c r="CX109" s="48"/>
      <c r="CY109" s="48"/>
      <c r="CZ109" s="48">
        <f t="shared" si="154"/>
        <v>0</v>
      </c>
      <c r="DA109" s="48"/>
      <c r="DB109" s="48"/>
      <c r="DC109" s="48"/>
      <c r="DD109" s="48">
        <f t="shared" si="155"/>
        <v>0</v>
      </c>
      <c r="DE109" s="48"/>
      <c r="DF109" s="48"/>
      <c r="DG109" s="48"/>
      <c r="DH109" s="48">
        <f t="shared" si="156"/>
        <v>0</v>
      </c>
      <c r="DI109" s="48"/>
      <c r="DJ109" s="48"/>
      <c r="DK109" s="48"/>
      <c r="DL109" s="48">
        <f t="shared" si="157"/>
        <v>0</v>
      </c>
      <c r="DM109" s="48"/>
      <c r="DN109" s="48"/>
      <c r="DO109" s="48"/>
      <c r="DP109" s="48">
        <f t="shared" si="158"/>
        <v>0</v>
      </c>
      <c r="DQ109" s="48"/>
      <c r="DR109" s="48"/>
      <c r="DS109" s="48"/>
      <c r="DT109" s="48">
        <f t="shared" si="159"/>
        <v>0</v>
      </c>
      <c r="DU109" s="48"/>
      <c r="DV109" s="48"/>
      <c r="DW109" s="48"/>
      <c r="DX109" s="48">
        <f t="shared" si="160"/>
        <v>0</v>
      </c>
      <c r="DY109" s="48">
        <f t="shared" si="161"/>
        <v>0</v>
      </c>
      <c r="DZ109" s="48">
        <f t="shared" si="162"/>
        <v>0</v>
      </c>
      <c r="EA109" s="14">
        <f>D109*'MASTER SHEET'!D109</f>
        <v>0</v>
      </c>
      <c r="EB109" s="14">
        <f>H109*'MASTER SHEET'!D109</f>
        <v>0</v>
      </c>
      <c r="EC109" s="14">
        <f>L109*'MASTER SHEET'!D109</f>
        <v>0</v>
      </c>
      <c r="ED109" s="14">
        <f>P109*'MASTER SHEET'!D109</f>
        <v>0</v>
      </c>
      <c r="EE109" s="14">
        <f>T109*'MASTER SHEET'!D109</f>
        <v>0</v>
      </c>
      <c r="EF109" s="14">
        <f>X109*'MASTER SHEET'!D109</f>
        <v>0</v>
      </c>
      <c r="EG109" s="14">
        <f>AB109*'MASTER SHEET'!D109</f>
        <v>0</v>
      </c>
      <c r="EH109" s="14">
        <f>AF109*'MASTER SHEET'!D109</f>
        <v>0</v>
      </c>
      <c r="EI109" s="14">
        <f>AJ109*'MASTER SHEET'!D109</f>
        <v>0</v>
      </c>
      <c r="EJ109" s="14">
        <f>AN109*'MASTER SHEET'!D109</f>
        <v>0</v>
      </c>
      <c r="EK109" s="14">
        <f>AR109*'MASTER SHEET'!D109</f>
        <v>0</v>
      </c>
      <c r="EL109" s="14">
        <f>AV109*'MASTER SHEET'!D109</f>
        <v>0</v>
      </c>
      <c r="EM109" s="14">
        <f>AZ109*'MASTER SHEET'!D109</f>
        <v>0</v>
      </c>
      <c r="EN109" s="14">
        <f>BD109*'MASTER SHEET'!D109</f>
        <v>0</v>
      </c>
      <c r="EO109" s="14">
        <f>BH109*'MASTER SHEET'!D109</f>
        <v>0</v>
      </c>
      <c r="EP109" s="14">
        <f>BL109*'MASTER SHEET'!D109</f>
        <v>0</v>
      </c>
      <c r="EQ109" s="14">
        <f>BP109*'MASTER SHEET'!D109</f>
        <v>0</v>
      </c>
      <c r="ER109" s="14">
        <f>BT109*'MASTER SHEET'!D109</f>
        <v>0</v>
      </c>
      <c r="ES109" s="14">
        <f>BX109*'MASTER SHEET'!D109</f>
        <v>0</v>
      </c>
      <c r="ET109" s="21">
        <f>CB109*'MASTER SHEET'!D109</f>
        <v>0</v>
      </c>
      <c r="EU109" s="14">
        <f>CF109*'MASTER SHEET'!D109</f>
        <v>0</v>
      </c>
      <c r="EV109" s="14">
        <f>CJ109*'MASTER SHEET'!D109</f>
        <v>0</v>
      </c>
      <c r="EW109" s="14">
        <f>CN109*'MASTER SHEET'!D109</f>
        <v>0</v>
      </c>
      <c r="EX109" s="14">
        <f>CR109*'MASTER SHEET'!D109</f>
        <v>0</v>
      </c>
      <c r="EY109" s="14">
        <f>CR109*'MASTER SHEET'!D109</f>
        <v>0</v>
      </c>
      <c r="EZ109" s="14">
        <f>CV109*'MASTER SHEET'!D109</f>
        <v>0</v>
      </c>
      <c r="FA109" s="14">
        <f>CZ109*'MASTER SHEET'!D109</f>
        <v>0</v>
      </c>
      <c r="FB109" s="14">
        <f>DD109*'MASTER SHEET'!D109</f>
        <v>0</v>
      </c>
    </row>
    <row r="110" spans="1:158" ht="18.75" customHeight="1" x14ac:dyDescent="0.25">
      <c r="A110" s="43">
        <f>'MASTER SHEET'!A110</f>
        <v>108</v>
      </c>
      <c r="B110" s="49" t="str">
        <f>'MASTER SHEET'!B110</f>
        <v>END PLATE</v>
      </c>
      <c r="C110" s="86">
        <f>'MASTER SHEET'!C110</f>
        <v>5016811</v>
      </c>
      <c r="D110" s="51"/>
      <c r="E110" s="48"/>
      <c r="F110" s="48"/>
      <c r="G110" s="48"/>
      <c r="H110" s="48">
        <f t="shared" si="130"/>
        <v>0</v>
      </c>
      <c r="I110" s="28"/>
      <c r="J110" s="28"/>
      <c r="K110" s="65"/>
      <c r="L110" s="48">
        <f t="shared" si="131"/>
        <v>0</v>
      </c>
      <c r="M110" s="48"/>
      <c r="N110" s="48"/>
      <c r="O110" s="48"/>
      <c r="P110" s="48">
        <f t="shared" si="132"/>
        <v>0</v>
      </c>
      <c r="Q110" s="48"/>
      <c r="R110" s="48"/>
      <c r="S110" s="48"/>
      <c r="T110" s="48">
        <f t="shared" si="133"/>
        <v>0</v>
      </c>
      <c r="U110" s="48">
        <v>0</v>
      </c>
      <c r="V110" s="48"/>
      <c r="W110" s="48"/>
      <c r="X110" s="48">
        <f t="shared" si="134"/>
        <v>0</v>
      </c>
      <c r="Y110" s="48"/>
      <c r="Z110" s="48"/>
      <c r="AA110" s="48"/>
      <c r="AB110" s="48">
        <f t="shared" si="135"/>
        <v>0</v>
      </c>
      <c r="AC110" s="48"/>
      <c r="AD110" s="48"/>
      <c r="AE110" s="48"/>
      <c r="AF110" s="48">
        <f t="shared" si="136"/>
        <v>0</v>
      </c>
      <c r="AG110" s="48"/>
      <c r="AH110" s="48"/>
      <c r="AI110" s="48"/>
      <c r="AJ110" s="48">
        <f t="shared" si="137"/>
        <v>0</v>
      </c>
      <c r="AK110" s="48"/>
      <c r="AL110" s="48"/>
      <c r="AM110" s="48"/>
      <c r="AN110" s="48">
        <f t="shared" si="138"/>
        <v>0</v>
      </c>
      <c r="AO110" s="48"/>
      <c r="AP110" s="48"/>
      <c r="AQ110" s="48"/>
      <c r="AR110" s="48">
        <f t="shared" si="139"/>
        <v>0</v>
      </c>
      <c r="AS110" s="48"/>
      <c r="AT110" s="48"/>
      <c r="AU110" s="48"/>
      <c r="AV110" s="48">
        <f t="shared" si="140"/>
        <v>0</v>
      </c>
      <c r="AW110" s="48"/>
      <c r="AX110" s="48"/>
      <c r="AY110" s="48"/>
      <c r="AZ110" s="48">
        <f t="shared" si="141"/>
        <v>0</v>
      </c>
      <c r="BA110" s="48"/>
      <c r="BB110" s="48"/>
      <c r="BC110" s="48"/>
      <c r="BD110" s="48">
        <f t="shared" si="142"/>
        <v>0</v>
      </c>
      <c r="BE110" s="48"/>
      <c r="BF110" s="48"/>
      <c r="BG110" s="48"/>
      <c r="BH110" s="48">
        <f t="shared" si="143"/>
        <v>0</v>
      </c>
      <c r="BI110" s="48"/>
      <c r="BJ110" s="48"/>
      <c r="BK110" s="48"/>
      <c r="BL110" s="48">
        <f t="shared" si="144"/>
        <v>0</v>
      </c>
      <c r="BM110" s="48"/>
      <c r="BN110" s="48"/>
      <c r="BO110" s="48"/>
      <c r="BP110" s="48">
        <f t="shared" si="145"/>
        <v>0</v>
      </c>
      <c r="BQ110" s="48"/>
      <c r="BR110" s="48"/>
      <c r="BS110" s="48"/>
      <c r="BT110" s="48">
        <f t="shared" si="146"/>
        <v>0</v>
      </c>
      <c r="BU110" s="48"/>
      <c r="BV110" s="48"/>
      <c r="BW110" s="48"/>
      <c r="BX110" s="48">
        <f t="shared" si="147"/>
        <v>0</v>
      </c>
      <c r="BY110" s="48"/>
      <c r="BZ110" s="48"/>
      <c r="CA110" s="48"/>
      <c r="CB110" s="48">
        <f t="shared" si="148"/>
        <v>0</v>
      </c>
      <c r="CC110" s="48"/>
      <c r="CD110" s="48"/>
      <c r="CE110" s="48"/>
      <c r="CF110" s="48">
        <f t="shared" si="149"/>
        <v>0</v>
      </c>
      <c r="CG110" s="48"/>
      <c r="CH110" s="48"/>
      <c r="CI110" s="48"/>
      <c r="CJ110" s="48">
        <f t="shared" si="150"/>
        <v>0</v>
      </c>
      <c r="CK110" s="48"/>
      <c r="CL110" s="48"/>
      <c r="CM110" s="48"/>
      <c r="CN110" s="48">
        <f t="shared" si="151"/>
        <v>0</v>
      </c>
      <c r="CO110" s="48"/>
      <c r="CP110" s="48"/>
      <c r="CQ110" s="48"/>
      <c r="CR110" s="48">
        <f t="shared" si="152"/>
        <v>0</v>
      </c>
      <c r="CS110" s="48"/>
      <c r="CT110" s="48"/>
      <c r="CU110" s="48"/>
      <c r="CV110" s="48">
        <f t="shared" si="153"/>
        <v>0</v>
      </c>
      <c r="CW110" s="48"/>
      <c r="CX110" s="48"/>
      <c r="CY110" s="48"/>
      <c r="CZ110" s="48">
        <f t="shared" si="154"/>
        <v>0</v>
      </c>
      <c r="DA110" s="48"/>
      <c r="DB110" s="48"/>
      <c r="DC110" s="48"/>
      <c r="DD110" s="48">
        <f t="shared" si="155"/>
        <v>0</v>
      </c>
      <c r="DE110" s="48"/>
      <c r="DF110" s="48"/>
      <c r="DG110" s="48"/>
      <c r="DH110" s="48">
        <f t="shared" si="156"/>
        <v>0</v>
      </c>
      <c r="DI110" s="48"/>
      <c r="DJ110" s="48"/>
      <c r="DK110" s="48"/>
      <c r="DL110" s="48">
        <f t="shared" si="157"/>
        <v>0</v>
      </c>
      <c r="DM110" s="48"/>
      <c r="DN110" s="48"/>
      <c r="DO110" s="48"/>
      <c r="DP110" s="48">
        <f t="shared" si="158"/>
        <v>0</v>
      </c>
      <c r="DQ110" s="48"/>
      <c r="DR110" s="48"/>
      <c r="DS110" s="48"/>
      <c r="DT110" s="48">
        <f t="shared" si="159"/>
        <v>0</v>
      </c>
      <c r="DU110" s="48"/>
      <c r="DV110" s="48"/>
      <c r="DW110" s="48"/>
      <c r="DX110" s="48">
        <f t="shared" si="160"/>
        <v>0</v>
      </c>
      <c r="DY110" s="48">
        <f t="shared" si="161"/>
        <v>0</v>
      </c>
      <c r="DZ110" s="48">
        <f t="shared" si="162"/>
        <v>0</v>
      </c>
      <c r="EA110" s="14">
        <f>D110*'MASTER SHEET'!D110</f>
        <v>0</v>
      </c>
      <c r="EB110" s="14">
        <f>H110*'MASTER SHEET'!D110</f>
        <v>0</v>
      </c>
      <c r="EC110" s="14">
        <f>L110*'MASTER SHEET'!D110</f>
        <v>0</v>
      </c>
      <c r="ED110" s="14">
        <f>P110*'MASTER SHEET'!D110</f>
        <v>0</v>
      </c>
      <c r="EE110" s="14">
        <f>T110*'MASTER SHEET'!D110</f>
        <v>0</v>
      </c>
      <c r="EF110" s="14">
        <f>X110*'MASTER SHEET'!D110</f>
        <v>0</v>
      </c>
      <c r="EG110" s="14">
        <f>AB110*'MASTER SHEET'!D110</f>
        <v>0</v>
      </c>
      <c r="EH110" s="14">
        <f>AF110*'MASTER SHEET'!D110</f>
        <v>0</v>
      </c>
      <c r="EI110" s="14">
        <f>AJ110*'MASTER SHEET'!D110</f>
        <v>0</v>
      </c>
      <c r="EJ110" s="14">
        <f>AN110*'MASTER SHEET'!D110</f>
        <v>0</v>
      </c>
      <c r="EK110" s="14">
        <f>AR110*'MASTER SHEET'!D110</f>
        <v>0</v>
      </c>
      <c r="EL110" s="14">
        <f>AV110*'MASTER SHEET'!D110</f>
        <v>0</v>
      </c>
      <c r="EM110" s="14">
        <f>AZ110*'MASTER SHEET'!D110</f>
        <v>0</v>
      </c>
      <c r="EN110" s="14">
        <f>BD110*'MASTER SHEET'!D110</f>
        <v>0</v>
      </c>
      <c r="EO110" s="14">
        <f>BH110*'MASTER SHEET'!D110</f>
        <v>0</v>
      </c>
      <c r="EP110" s="14">
        <f>BL110*'MASTER SHEET'!D110</f>
        <v>0</v>
      </c>
      <c r="EQ110" s="14">
        <f>BP110*'MASTER SHEET'!D110</f>
        <v>0</v>
      </c>
      <c r="ER110" s="14">
        <f>BT110*'MASTER SHEET'!D110</f>
        <v>0</v>
      </c>
      <c r="ES110" s="14">
        <f>BX110*'MASTER SHEET'!D110</f>
        <v>0</v>
      </c>
      <c r="ET110" s="21">
        <f>CB110*'MASTER SHEET'!D110</f>
        <v>0</v>
      </c>
      <c r="EU110" s="14">
        <f>CF110*'MASTER SHEET'!D110</f>
        <v>0</v>
      </c>
      <c r="EV110" s="14">
        <f>CJ110*'MASTER SHEET'!D110</f>
        <v>0</v>
      </c>
      <c r="EW110" s="14">
        <f>CN110*'MASTER SHEET'!D110</f>
        <v>0</v>
      </c>
      <c r="EX110" s="14">
        <f>CR110*'MASTER SHEET'!D110</f>
        <v>0</v>
      </c>
      <c r="EY110" s="14">
        <f>CR110*'MASTER SHEET'!D110</f>
        <v>0</v>
      </c>
      <c r="EZ110" s="14">
        <f>CV110*'MASTER SHEET'!D110</f>
        <v>0</v>
      </c>
      <c r="FA110" s="14">
        <f>CZ110*'MASTER SHEET'!D110</f>
        <v>0</v>
      </c>
      <c r="FB110" s="14">
        <f>DD110*'MASTER SHEET'!D110</f>
        <v>0</v>
      </c>
    </row>
    <row r="111" spans="1:158" ht="18.75" customHeight="1" x14ac:dyDescent="0.25">
      <c r="A111" s="43">
        <f>'MASTER SHEET'!A111</f>
        <v>109</v>
      </c>
      <c r="B111" s="49" t="str">
        <f>'MASTER SHEET'!B111</f>
        <v>TUBE OVER FLOW</v>
      </c>
      <c r="C111" s="86">
        <f>'MASTER SHEET'!C111</f>
        <v>5030786</v>
      </c>
      <c r="D111" s="51"/>
      <c r="E111" s="48"/>
      <c r="F111" s="48"/>
      <c r="G111" s="48"/>
      <c r="H111" s="48">
        <f t="shared" si="130"/>
        <v>0</v>
      </c>
      <c r="I111" s="28"/>
      <c r="J111" s="28"/>
      <c r="K111" s="65"/>
      <c r="L111" s="48">
        <f t="shared" si="131"/>
        <v>0</v>
      </c>
      <c r="M111" s="48"/>
      <c r="N111" s="48"/>
      <c r="O111" s="48"/>
      <c r="P111" s="48">
        <f t="shared" si="132"/>
        <v>0</v>
      </c>
      <c r="Q111" s="48"/>
      <c r="R111" s="48"/>
      <c r="S111" s="48"/>
      <c r="T111" s="48">
        <f t="shared" si="133"/>
        <v>0</v>
      </c>
      <c r="U111" s="48">
        <v>0</v>
      </c>
      <c r="V111" s="48"/>
      <c r="W111" s="48"/>
      <c r="X111" s="48">
        <f t="shared" si="134"/>
        <v>0</v>
      </c>
      <c r="Y111" s="48"/>
      <c r="Z111" s="48"/>
      <c r="AA111" s="48"/>
      <c r="AB111" s="48">
        <f t="shared" si="135"/>
        <v>0</v>
      </c>
      <c r="AC111" s="48"/>
      <c r="AD111" s="48"/>
      <c r="AE111" s="48"/>
      <c r="AF111" s="48">
        <f t="shared" si="136"/>
        <v>0</v>
      </c>
      <c r="AG111" s="48"/>
      <c r="AH111" s="48"/>
      <c r="AI111" s="48"/>
      <c r="AJ111" s="48">
        <f t="shared" si="137"/>
        <v>0</v>
      </c>
      <c r="AK111" s="48"/>
      <c r="AL111" s="48"/>
      <c r="AM111" s="48"/>
      <c r="AN111" s="48">
        <f t="shared" si="138"/>
        <v>0</v>
      </c>
      <c r="AO111" s="48"/>
      <c r="AP111" s="48"/>
      <c r="AQ111" s="48"/>
      <c r="AR111" s="48">
        <f t="shared" si="139"/>
        <v>0</v>
      </c>
      <c r="AS111" s="48"/>
      <c r="AT111" s="48"/>
      <c r="AU111" s="48"/>
      <c r="AV111" s="48">
        <f t="shared" si="140"/>
        <v>0</v>
      </c>
      <c r="AW111" s="48"/>
      <c r="AX111" s="48"/>
      <c r="AY111" s="48"/>
      <c r="AZ111" s="48">
        <f t="shared" si="141"/>
        <v>0</v>
      </c>
      <c r="BA111" s="48"/>
      <c r="BB111" s="48"/>
      <c r="BC111" s="48"/>
      <c r="BD111" s="48">
        <f t="shared" si="142"/>
        <v>0</v>
      </c>
      <c r="BE111" s="48"/>
      <c r="BF111" s="48"/>
      <c r="BG111" s="48"/>
      <c r="BH111" s="48">
        <f t="shared" si="143"/>
        <v>0</v>
      </c>
      <c r="BI111" s="48"/>
      <c r="BJ111" s="48"/>
      <c r="BK111" s="48"/>
      <c r="BL111" s="48">
        <f t="shared" si="144"/>
        <v>0</v>
      </c>
      <c r="BM111" s="48"/>
      <c r="BN111" s="48"/>
      <c r="BO111" s="48"/>
      <c r="BP111" s="48">
        <f t="shared" si="145"/>
        <v>0</v>
      </c>
      <c r="BQ111" s="48"/>
      <c r="BR111" s="48"/>
      <c r="BS111" s="48"/>
      <c r="BT111" s="48">
        <f t="shared" si="146"/>
        <v>0</v>
      </c>
      <c r="BU111" s="48"/>
      <c r="BV111" s="48"/>
      <c r="BW111" s="48"/>
      <c r="BX111" s="48">
        <f t="shared" si="147"/>
        <v>0</v>
      </c>
      <c r="BY111" s="48"/>
      <c r="BZ111" s="48"/>
      <c r="CA111" s="48"/>
      <c r="CB111" s="48">
        <f t="shared" si="148"/>
        <v>0</v>
      </c>
      <c r="CC111" s="48"/>
      <c r="CD111" s="48"/>
      <c r="CE111" s="48"/>
      <c r="CF111" s="48">
        <f t="shared" si="149"/>
        <v>0</v>
      </c>
      <c r="CG111" s="48"/>
      <c r="CH111" s="48"/>
      <c r="CI111" s="48"/>
      <c r="CJ111" s="48">
        <f t="shared" si="150"/>
        <v>0</v>
      </c>
      <c r="CK111" s="48"/>
      <c r="CL111" s="48"/>
      <c r="CM111" s="48"/>
      <c r="CN111" s="48">
        <f t="shared" si="151"/>
        <v>0</v>
      </c>
      <c r="CO111" s="48"/>
      <c r="CP111" s="48"/>
      <c r="CQ111" s="48"/>
      <c r="CR111" s="48">
        <f t="shared" si="152"/>
        <v>0</v>
      </c>
      <c r="CS111" s="48"/>
      <c r="CT111" s="48"/>
      <c r="CU111" s="48"/>
      <c r="CV111" s="48">
        <f t="shared" si="153"/>
        <v>0</v>
      </c>
      <c r="CW111" s="48"/>
      <c r="CX111" s="48"/>
      <c r="CY111" s="48"/>
      <c r="CZ111" s="48">
        <f t="shared" si="154"/>
        <v>0</v>
      </c>
      <c r="DA111" s="48"/>
      <c r="DB111" s="48"/>
      <c r="DC111" s="48"/>
      <c r="DD111" s="48">
        <f t="shared" si="155"/>
        <v>0</v>
      </c>
      <c r="DE111" s="48"/>
      <c r="DF111" s="48"/>
      <c r="DG111" s="48"/>
      <c r="DH111" s="48">
        <f t="shared" si="156"/>
        <v>0</v>
      </c>
      <c r="DI111" s="48"/>
      <c r="DJ111" s="48"/>
      <c r="DK111" s="48"/>
      <c r="DL111" s="48">
        <f t="shared" si="157"/>
        <v>0</v>
      </c>
      <c r="DM111" s="48">
        <v>0</v>
      </c>
      <c r="DN111" s="48">
        <v>0</v>
      </c>
      <c r="DO111" s="48">
        <v>0</v>
      </c>
      <c r="DP111" s="48">
        <f t="shared" si="158"/>
        <v>0</v>
      </c>
      <c r="DQ111" s="48"/>
      <c r="DR111" s="48"/>
      <c r="DS111" s="48"/>
      <c r="DT111" s="48">
        <f t="shared" si="159"/>
        <v>0</v>
      </c>
      <c r="DU111" s="48"/>
      <c r="DV111" s="48"/>
      <c r="DW111" s="48"/>
      <c r="DX111" s="48">
        <f t="shared" si="160"/>
        <v>0</v>
      </c>
      <c r="DY111" s="48">
        <f t="shared" si="161"/>
        <v>0</v>
      </c>
      <c r="DZ111" s="48">
        <f t="shared" si="162"/>
        <v>0</v>
      </c>
      <c r="EA111" s="14">
        <f>D111*'MASTER SHEET'!D111</f>
        <v>0</v>
      </c>
      <c r="EB111" s="14">
        <f>H111*'MASTER SHEET'!D111</f>
        <v>0</v>
      </c>
      <c r="EC111" s="14">
        <f>L111*'MASTER SHEET'!D111</f>
        <v>0</v>
      </c>
      <c r="ED111" s="14">
        <f>P111*'MASTER SHEET'!D111</f>
        <v>0</v>
      </c>
      <c r="EE111" s="14">
        <f>T111*'MASTER SHEET'!D111</f>
        <v>0</v>
      </c>
      <c r="EF111" s="14">
        <f>X111*'MASTER SHEET'!D111</f>
        <v>0</v>
      </c>
      <c r="EG111" s="14">
        <f>AB111*'MASTER SHEET'!D111</f>
        <v>0</v>
      </c>
      <c r="EH111" s="14">
        <f>AF111*'MASTER SHEET'!D111</f>
        <v>0</v>
      </c>
      <c r="EI111" s="14">
        <f>AJ111*'MASTER SHEET'!D111</f>
        <v>0</v>
      </c>
      <c r="EJ111" s="14">
        <f>AN111*'MASTER SHEET'!D111</f>
        <v>0</v>
      </c>
      <c r="EK111" s="14">
        <f>AR111*'MASTER SHEET'!D111</f>
        <v>0</v>
      </c>
      <c r="EL111" s="14">
        <f>AV111*'MASTER SHEET'!D111</f>
        <v>0</v>
      </c>
      <c r="EM111" s="14">
        <f>AZ111*'MASTER SHEET'!D111</f>
        <v>0</v>
      </c>
      <c r="EN111" s="14">
        <f>BD111*'MASTER SHEET'!D111</f>
        <v>0</v>
      </c>
      <c r="EO111" s="14">
        <f>BH111*'MASTER SHEET'!D111</f>
        <v>0</v>
      </c>
      <c r="EP111" s="14">
        <f>BL111*'MASTER SHEET'!D111</f>
        <v>0</v>
      </c>
      <c r="EQ111" s="14">
        <f>BP111*'MASTER SHEET'!D111</f>
        <v>0</v>
      </c>
      <c r="ER111" s="14">
        <f>BT111*'MASTER SHEET'!D111</f>
        <v>0</v>
      </c>
      <c r="ES111" s="14">
        <f>BX111*'MASTER SHEET'!D111</f>
        <v>0</v>
      </c>
      <c r="ET111" s="21">
        <f>CB111*'MASTER SHEET'!D111</f>
        <v>0</v>
      </c>
      <c r="EU111" s="14">
        <f>CF111*'MASTER SHEET'!D111</f>
        <v>0</v>
      </c>
      <c r="EV111" s="14">
        <f>CJ111*'MASTER SHEET'!D111</f>
        <v>0</v>
      </c>
      <c r="EW111" s="14">
        <f>CN111*'MASTER SHEET'!D111</f>
        <v>0</v>
      </c>
      <c r="EX111" s="14">
        <f>CR111*'MASTER SHEET'!D111</f>
        <v>0</v>
      </c>
      <c r="EY111" s="14">
        <f>CR111*'MASTER SHEET'!D111</f>
        <v>0</v>
      </c>
      <c r="EZ111" s="14">
        <f>CV111*'MASTER SHEET'!D111</f>
        <v>0</v>
      </c>
      <c r="FA111" s="14">
        <f>CZ111*'MASTER SHEET'!D111</f>
        <v>0</v>
      </c>
      <c r="FB111" s="14">
        <f>DD111*'MASTER SHEET'!D111</f>
        <v>0</v>
      </c>
    </row>
    <row r="112" spans="1:158" ht="18.75" customHeight="1" x14ac:dyDescent="0.25">
      <c r="A112" s="43">
        <f>'MASTER SHEET'!A112</f>
        <v>110</v>
      </c>
      <c r="B112" s="49" t="str">
        <f>'MASTER SHEET'!B112</f>
        <v>PIPE ASSLY. PLASTIC</v>
      </c>
      <c r="C112" s="86">
        <f>'MASTER SHEET'!C112</f>
        <v>5033855</v>
      </c>
      <c r="D112" s="51"/>
      <c r="E112" s="48"/>
      <c r="F112" s="48"/>
      <c r="G112" s="48"/>
      <c r="H112" s="48">
        <f t="shared" si="130"/>
        <v>0</v>
      </c>
      <c r="I112" s="28"/>
      <c r="J112" s="28"/>
      <c r="K112" s="65"/>
      <c r="L112" s="48">
        <f t="shared" si="131"/>
        <v>0</v>
      </c>
      <c r="M112" s="48"/>
      <c r="N112" s="48"/>
      <c r="O112" s="48"/>
      <c r="P112" s="48">
        <f t="shared" si="132"/>
        <v>0</v>
      </c>
      <c r="Q112" s="48"/>
      <c r="R112" s="48"/>
      <c r="S112" s="48"/>
      <c r="T112" s="48">
        <f t="shared" si="133"/>
        <v>0</v>
      </c>
      <c r="U112" s="48">
        <v>0</v>
      </c>
      <c r="V112" s="48"/>
      <c r="W112" s="48"/>
      <c r="X112" s="48">
        <f t="shared" si="134"/>
        <v>0</v>
      </c>
      <c r="Y112" s="48"/>
      <c r="Z112" s="48"/>
      <c r="AA112" s="48"/>
      <c r="AB112" s="48">
        <f t="shared" si="135"/>
        <v>0</v>
      </c>
      <c r="AC112" s="48"/>
      <c r="AD112" s="48"/>
      <c r="AE112" s="48"/>
      <c r="AF112" s="48">
        <f t="shared" si="136"/>
        <v>0</v>
      </c>
      <c r="AG112" s="48"/>
      <c r="AH112" s="48"/>
      <c r="AI112" s="48"/>
      <c r="AJ112" s="48">
        <f t="shared" si="137"/>
        <v>0</v>
      </c>
      <c r="AK112" s="48"/>
      <c r="AL112" s="48"/>
      <c r="AM112" s="48"/>
      <c r="AN112" s="48">
        <f t="shared" si="138"/>
        <v>0</v>
      </c>
      <c r="AO112" s="48"/>
      <c r="AP112" s="48"/>
      <c r="AQ112" s="48"/>
      <c r="AR112" s="48">
        <f t="shared" si="139"/>
        <v>0</v>
      </c>
      <c r="AS112" s="48"/>
      <c r="AT112" s="48"/>
      <c r="AU112" s="48"/>
      <c r="AV112" s="48">
        <f t="shared" si="140"/>
        <v>0</v>
      </c>
      <c r="AW112" s="48"/>
      <c r="AX112" s="48"/>
      <c r="AY112" s="48"/>
      <c r="AZ112" s="48">
        <f t="shared" si="141"/>
        <v>0</v>
      </c>
      <c r="BA112" s="48"/>
      <c r="BB112" s="48"/>
      <c r="BC112" s="48"/>
      <c r="BD112" s="48">
        <f t="shared" si="142"/>
        <v>0</v>
      </c>
      <c r="BE112" s="48"/>
      <c r="BF112" s="48"/>
      <c r="BG112" s="48"/>
      <c r="BH112" s="48">
        <f t="shared" si="143"/>
        <v>0</v>
      </c>
      <c r="BI112" s="48"/>
      <c r="BJ112" s="48"/>
      <c r="BK112" s="48"/>
      <c r="BL112" s="48">
        <f t="shared" si="144"/>
        <v>0</v>
      </c>
      <c r="BM112" s="48"/>
      <c r="BN112" s="48"/>
      <c r="BO112" s="48"/>
      <c r="BP112" s="48">
        <f t="shared" si="145"/>
        <v>0</v>
      </c>
      <c r="BQ112" s="48"/>
      <c r="BR112" s="48"/>
      <c r="BS112" s="48"/>
      <c r="BT112" s="48">
        <f t="shared" si="146"/>
        <v>0</v>
      </c>
      <c r="BU112" s="48"/>
      <c r="BV112" s="48"/>
      <c r="BW112" s="48"/>
      <c r="BX112" s="48">
        <f t="shared" si="147"/>
        <v>0</v>
      </c>
      <c r="BY112" s="48"/>
      <c r="BZ112" s="48"/>
      <c r="CA112" s="48"/>
      <c r="CB112" s="48">
        <f t="shared" si="148"/>
        <v>0</v>
      </c>
      <c r="CC112" s="48"/>
      <c r="CD112" s="48"/>
      <c r="CE112" s="48"/>
      <c r="CF112" s="48">
        <f t="shared" si="149"/>
        <v>0</v>
      </c>
      <c r="CG112" s="48"/>
      <c r="CH112" s="48"/>
      <c r="CI112" s="48"/>
      <c r="CJ112" s="48">
        <f t="shared" si="150"/>
        <v>0</v>
      </c>
      <c r="CK112" s="48"/>
      <c r="CL112" s="48"/>
      <c r="CM112" s="48"/>
      <c r="CN112" s="48">
        <f t="shared" si="151"/>
        <v>0</v>
      </c>
      <c r="CO112" s="48"/>
      <c r="CP112" s="48"/>
      <c r="CQ112" s="48"/>
      <c r="CR112" s="48">
        <f t="shared" si="152"/>
        <v>0</v>
      </c>
      <c r="CS112" s="48"/>
      <c r="CT112" s="48"/>
      <c r="CU112" s="48"/>
      <c r="CV112" s="48">
        <f t="shared" si="153"/>
        <v>0</v>
      </c>
      <c r="CW112" s="48"/>
      <c r="CX112" s="48"/>
      <c r="CY112" s="48"/>
      <c r="CZ112" s="48">
        <f t="shared" si="154"/>
        <v>0</v>
      </c>
      <c r="DA112" s="48"/>
      <c r="DB112" s="48"/>
      <c r="DC112" s="48"/>
      <c r="DD112" s="48">
        <f t="shared" si="155"/>
        <v>0</v>
      </c>
      <c r="DE112" s="48"/>
      <c r="DF112" s="48"/>
      <c r="DG112" s="48"/>
      <c r="DH112" s="48">
        <f t="shared" si="156"/>
        <v>0</v>
      </c>
      <c r="DI112" s="48"/>
      <c r="DJ112" s="48"/>
      <c r="DK112" s="48"/>
      <c r="DL112" s="48">
        <f t="shared" si="157"/>
        <v>0</v>
      </c>
      <c r="DM112" s="48"/>
      <c r="DN112" s="48"/>
      <c r="DO112" s="48"/>
      <c r="DP112" s="48">
        <f t="shared" si="158"/>
        <v>0</v>
      </c>
      <c r="DQ112" s="48"/>
      <c r="DR112" s="48"/>
      <c r="DS112" s="48"/>
      <c r="DT112" s="48">
        <f t="shared" si="159"/>
        <v>0</v>
      </c>
      <c r="DU112" s="48"/>
      <c r="DV112" s="48"/>
      <c r="DW112" s="48"/>
      <c r="DX112" s="48">
        <f t="shared" si="160"/>
        <v>0</v>
      </c>
      <c r="DY112" s="48">
        <f t="shared" si="161"/>
        <v>0</v>
      </c>
      <c r="DZ112" s="48">
        <f t="shared" si="162"/>
        <v>0</v>
      </c>
      <c r="EA112" s="14">
        <f>D112*'MASTER SHEET'!D112</f>
        <v>0</v>
      </c>
      <c r="EB112" s="14">
        <f>H112*'MASTER SHEET'!D112</f>
        <v>0</v>
      </c>
      <c r="EC112" s="14">
        <f>L112*'MASTER SHEET'!D112</f>
        <v>0</v>
      </c>
      <c r="ED112" s="14">
        <f>P112*'MASTER SHEET'!D112</f>
        <v>0</v>
      </c>
      <c r="EE112" s="14">
        <f>T112*'MASTER SHEET'!D112</f>
        <v>0</v>
      </c>
      <c r="EF112" s="14">
        <f>X112*'MASTER SHEET'!D112</f>
        <v>0</v>
      </c>
      <c r="EG112" s="14">
        <f>AB112*'MASTER SHEET'!D112</f>
        <v>0</v>
      </c>
      <c r="EH112" s="14">
        <f>AF112*'MASTER SHEET'!D112</f>
        <v>0</v>
      </c>
      <c r="EI112" s="14">
        <f>AJ112*'MASTER SHEET'!D112</f>
        <v>0</v>
      </c>
      <c r="EJ112" s="14">
        <f>AN112*'MASTER SHEET'!D112</f>
        <v>0</v>
      </c>
      <c r="EK112" s="14">
        <f>AR112*'MASTER SHEET'!D112</f>
        <v>0</v>
      </c>
      <c r="EL112" s="14">
        <f>AV112*'MASTER SHEET'!D112</f>
        <v>0</v>
      </c>
      <c r="EM112" s="14">
        <f>AZ112*'MASTER SHEET'!D112</f>
        <v>0</v>
      </c>
      <c r="EN112" s="14">
        <f>BD112*'MASTER SHEET'!D112</f>
        <v>0</v>
      </c>
      <c r="EO112" s="14">
        <f>BH112*'MASTER SHEET'!D112</f>
        <v>0</v>
      </c>
      <c r="EP112" s="14">
        <f>BL112*'MASTER SHEET'!D112</f>
        <v>0</v>
      </c>
      <c r="EQ112" s="14">
        <f>BP112*'MASTER SHEET'!D112</f>
        <v>0</v>
      </c>
      <c r="ER112" s="14">
        <f>BT112*'MASTER SHEET'!D112</f>
        <v>0</v>
      </c>
      <c r="ES112" s="14">
        <f>BX112*'MASTER SHEET'!D112</f>
        <v>0</v>
      </c>
      <c r="ET112" s="21">
        <f>CB112*'MASTER SHEET'!D112</f>
        <v>0</v>
      </c>
      <c r="EU112" s="14">
        <f>CF112*'MASTER SHEET'!D112</f>
        <v>0</v>
      </c>
      <c r="EV112" s="14">
        <f>CJ112*'MASTER SHEET'!D112</f>
        <v>0</v>
      </c>
      <c r="EW112" s="14">
        <f>CN112*'MASTER SHEET'!D112</f>
        <v>0</v>
      </c>
      <c r="EX112" s="14">
        <f>CR112*'MASTER SHEET'!D112</f>
        <v>0</v>
      </c>
      <c r="EY112" s="14">
        <f>CR112*'MASTER SHEET'!D112</f>
        <v>0</v>
      </c>
      <c r="EZ112" s="14">
        <f>CV112*'MASTER SHEET'!D112</f>
        <v>0</v>
      </c>
      <c r="FA112" s="14">
        <f>CZ112*'MASTER SHEET'!D112</f>
        <v>0</v>
      </c>
      <c r="FB112" s="14">
        <f>DD112*'MASTER SHEET'!D112</f>
        <v>0</v>
      </c>
    </row>
    <row r="113" spans="1:158" ht="18.75" customHeight="1" x14ac:dyDescent="0.25">
      <c r="A113" s="43">
        <f>'MASTER SHEET'!A113</f>
        <v>111</v>
      </c>
      <c r="B113" s="49" t="str">
        <f>'MASTER SHEET'!B113</f>
        <v>PIPE PLASTIC</v>
      </c>
      <c r="C113" s="86">
        <f>'MASTER SHEET'!C113</f>
        <v>5029670</v>
      </c>
      <c r="D113" s="51"/>
      <c r="E113" s="48"/>
      <c r="F113" s="48"/>
      <c r="G113" s="48"/>
      <c r="H113" s="48">
        <f t="shared" si="130"/>
        <v>0</v>
      </c>
      <c r="I113" s="28"/>
      <c r="J113" s="28"/>
      <c r="K113" s="65"/>
      <c r="L113" s="48">
        <f t="shared" si="131"/>
        <v>0</v>
      </c>
      <c r="M113" s="48"/>
      <c r="N113" s="48"/>
      <c r="O113" s="48"/>
      <c r="P113" s="48">
        <f t="shared" si="132"/>
        <v>0</v>
      </c>
      <c r="Q113" s="48"/>
      <c r="R113" s="48"/>
      <c r="S113" s="48"/>
      <c r="T113" s="48">
        <f t="shared" si="133"/>
        <v>0</v>
      </c>
      <c r="U113" s="48">
        <v>0</v>
      </c>
      <c r="V113" s="48"/>
      <c r="W113" s="48"/>
      <c r="X113" s="48">
        <f t="shared" si="134"/>
        <v>0</v>
      </c>
      <c r="Y113" s="48"/>
      <c r="Z113" s="48"/>
      <c r="AA113" s="48"/>
      <c r="AB113" s="48">
        <f t="shared" si="135"/>
        <v>0</v>
      </c>
      <c r="AC113" s="48"/>
      <c r="AD113" s="48"/>
      <c r="AE113" s="48"/>
      <c r="AF113" s="48">
        <f t="shared" si="136"/>
        <v>0</v>
      </c>
      <c r="AG113" s="48"/>
      <c r="AH113" s="48"/>
      <c r="AI113" s="48"/>
      <c r="AJ113" s="48">
        <f t="shared" si="137"/>
        <v>0</v>
      </c>
      <c r="AK113" s="48"/>
      <c r="AL113" s="48"/>
      <c r="AM113" s="48"/>
      <c r="AN113" s="48">
        <f t="shared" si="138"/>
        <v>0</v>
      </c>
      <c r="AO113" s="48"/>
      <c r="AP113" s="48"/>
      <c r="AQ113" s="48"/>
      <c r="AR113" s="48">
        <f t="shared" si="139"/>
        <v>0</v>
      </c>
      <c r="AS113" s="48"/>
      <c r="AT113" s="48"/>
      <c r="AU113" s="48"/>
      <c r="AV113" s="48">
        <f t="shared" si="140"/>
        <v>0</v>
      </c>
      <c r="AW113" s="48"/>
      <c r="AX113" s="48"/>
      <c r="AY113" s="48"/>
      <c r="AZ113" s="48">
        <f t="shared" si="141"/>
        <v>0</v>
      </c>
      <c r="BA113" s="48"/>
      <c r="BB113" s="48"/>
      <c r="BC113" s="48"/>
      <c r="BD113" s="48">
        <f t="shared" si="142"/>
        <v>0</v>
      </c>
      <c r="BE113" s="48"/>
      <c r="BF113" s="48"/>
      <c r="BG113" s="48"/>
      <c r="BH113" s="48">
        <f t="shared" si="143"/>
        <v>0</v>
      </c>
      <c r="BI113" s="48"/>
      <c r="BJ113" s="48"/>
      <c r="BK113" s="48"/>
      <c r="BL113" s="48">
        <f t="shared" si="144"/>
        <v>0</v>
      </c>
      <c r="BM113" s="48"/>
      <c r="BN113" s="48"/>
      <c r="BO113" s="48"/>
      <c r="BP113" s="48">
        <f t="shared" si="145"/>
        <v>0</v>
      </c>
      <c r="BQ113" s="48"/>
      <c r="BR113" s="48"/>
      <c r="BS113" s="48"/>
      <c r="BT113" s="48">
        <f t="shared" si="146"/>
        <v>0</v>
      </c>
      <c r="BU113" s="48"/>
      <c r="BV113" s="48"/>
      <c r="BW113" s="48"/>
      <c r="BX113" s="48">
        <f t="shared" si="147"/>
        <v>0</v>
      </c>
      <c r="BY113" s="48"/>
      <c r="BZ113" s="48"/>
      <c r="CA113" s="48"/>
      <c r="CB113" s="48">
        <f t="shared" si="148"/>
        <v>0</v>
      </c>
      <c r="CC113" s="48"/>
      <c r="CD113" s="48"/>
      <c r="CE113" s="48"/>
      <c r="CF113" s="48">
        <f t="shared" si="149"/>
        <v>0</v>
      </c>
      <c r="CG113" s="48"/>
      <c r="CH113" s="48"/>
      <c r="CI113" s="48"/>
      <c r="CJ113" s="48">
        <f t="shared" si="150"/>
        <v>0</v>
      </c>
      <c r="CK113" s="48"/>
      <c r="CL113" s="48"/>
      <c r="CM113" s="48"/>
      <c r="CN113" s="48">
        <f t="shared" si="151"/>
        <v>0</v>
      </c>
      <c r="CO113" s="48"/>
      <c r="CP113" s="48"/>
      <c r="CQ113" s="48"/>
      <c r="CR113" s="48">
        <f t="shared" si="152"/>
        <v>0</v>
      </c>
      <c r="CS113" s="48"/>
      <c r="CT113" s="48"/>
      <c r="CU113" s="48"/>
      <c r="CV113" s="48">
        <f t="shared" si="153"/>
        <v>0</v>
      </c>
      <c r="CW113" s="48"/>
      <c r="CX113" s="48"/>
      <c r="CY113" s="48"/>
      <c r="CZ113" s="48">
        <f t="shared" si="154"/>
        <v>0</v>
      </c>
      <c r="DA113" s="48"/>
      <c r="DB113" s="48"/>
      <c r="DC113" s="48"/>
      <c r="DD113" s="48">
        <f t="shared" si="155"/>
        <v>0</v>
      </c>
      <c r="DE113" s="48"/>
      <c r="DF113" s="48"/>
      <c r="DG113" s="48"/>
      <c r="DH113" s="48">
        <f t="shared" si="156"/>
        <v>0</v>
      </c>
      <c r="DI113" s="48"/>
      <c r="DJ113" s="48"/>
      <c r="DK113" s="48"/>
      <c r="DL113" s="48">
        <f t="shared" si="157"/>
        <v>0</v>
      </c>
      <c r="DM113" s="48"/>
      <c r="DN113" s="48"/>
      <c r="DO113" s="48"/>
      <c r="DP113" s="48">
        <f t="shared" si="158"/>
        <v>0</v>
      </c>
      <c r="DQ113" s="48"/>
      <c r="DR113" s="48"/>
      <c r="DS113" s="48"/>
      <c r="DT113" s="48">
        <f t="shared" si="159"/>
        <v>0</v>
      </c>
      <c r="DU113" s="48"/>
      <c r="DV113" s="48"/>
      <c r="DW113" s="48"/>
      <c r="DX113" s="48">
        <f t="shared" si="160"/>
        <v>0</v>
      </c>
      <c r="DY113" s="48">
        <f t="shared" si="161"/>
        <v>0</v>
      </c>
      <c r="DZ113" s="48">
        <f t="shared" si="162"/>
        <v>0</v>
      </c>
      <c r="EA113" s="14">
        <f>D113*'MASTER SHEET'!D113</f>
        <v>0</v>
      </c>
      <c r="EB113" s="14">
        <f>H113*'MASTER SHEET'!D113</f>
        <v>0</v>
      </c>
      <c r="EC113" s="14">
        <f>L113*'MASTER SHEET'!D113</f>
        <v>0</v>
      </c>
      <c r="ED113" s="14">
        <f>P113*'MASTER SHEET'!D113</f>
        <v>0</v>
      </c>
      <c r="EE113" s="14">
        <f>T113*'MASTER SHEET'!D113</f>
        <v>0</v>
      </c>
      <c r="EF113" s="14">
        <f>X113*'MASTER SHEET'!D113</f>
        <v>0</v>
      </c>
      <c r="EG113" s="14">
        <f>AB113*'MASTER SHEET'!D113</f>
        <v>0</v>
      </c>
      <c r="EH113" s="14">
        <f>AF113*'MASTER SHEET'!D113</f>
        <v>0</v>
      </c>
      <c r="EI113" s="14">
        <f>AJ113*'MASTER SHEET'!D113</f>
        <v>0</v>
      </c>
      <c r="EJ113" s="14">
        <f>AN113*'MASTER SHEET'!D113</f>
        <v>0</v>
      </c>
      <c r="EK113" s="14">
        <f>AR113*'MASTER SHEET'!D113</f>
        <v>0</v>
      </c>
      <c r="EL113" s="14">
        <f>AV113*'MASTER SHEET'!D113</f>
        <v>0</v>
      </c>
      <c r="EM113" s="14">
        <f>AZ113*'MASTER SHEET'!D113</f>
        <v>0</v>
      </c>
      <c r="EN113" s="14">
        <f>BD113*'MASTER SHEET'!D113</f>
        <v>0</v>
      </c>
      <c r="EO113" s="14">
        <f>BH113*'MASTER SHEET'!D113</f>
        <v>0</v>
      </c>
      <c r="EP113" s="14">
        <f>BL113*'MASTER SHEET'!D113</f>
        <v>0</v>
      </c>
      <c r="EQ113" s="14">
        <f>BP113*'MASTER SHEET'!D113</f>
        <v>0</v>
      </c>
      <c r="ER113" s="14">
        <f>BT113*'MASTER SHEET'!D113</f>
        <v>0</v>
      </c>
      <c r="ES113" s="14">
        <f>BX113*'MASTER SHEET'!D113</f>
        <v>0</v>
      </c>
      <c r="ET113" s="21">
        <f>CB113*'MASTER SHEET'!D113</f>
        <v>0</v>
      </c>
      <c r="EU113" s="14">
        <f>CF113*'MASTER SHEET'!D113</f>
        <v>0</v>
      </c>
      <c r="EV113" s="14">
        <f>CJ113*'MASTER SHEET'!D113</f>
        <v>0</v>
      </c>
      <c r="EW113" s="14">
        <f>CN113*'MASTER SHEET'!D113</f>
        <v>0</v>
      </c>
      <c r="EX113" s="14">
        <f>CR113*'MASTER SHEET'!D113</f>
        <v>0</v>
      </c>
      <c r="EY113" s="14">
        <f>CR113*'MASTER SHEET'!D113</f>
        <v>0</v>
      </c>
      <c r="EZ113" s="14">
        <f>CV113*'MASTER SHEET'!D113</f>
        <v>0</v>
      </c>
      <c r="FA113" s="14">
        <f>CZ113*'MASTER SHEET'!D113</f>
        <v>0</v>
      </c>
      <c r="FB113" s="14">
        <f>DD113*'MASTER SHEET'!D113</f>
        <v>0</v>
      </c>
    </row>
    <row r="114" spans="1:158" ht="18.75" customHeight="1" x14ac:dyDescent="0.25">
      <c r="A114" s="43">
        <f>'MASTER SHEET'!A114</f>
        <v>112</v>
      </c>
      <c r="B114" s="49" t="str">
        <f>'MASTER SHEET'!B114</f>
        <v>WIREMESH</v>
      </c>
      <c r="C114" s="86">
        <f>'MASTER SHEET'!C114</f>
        <v>5007007</v>
      </c>
      <c r="D114" s="51"/>
      <c r="E114" s="48"/>
      <c r="F114" s="48"/>
      <c r="G114" s="48"/>
      <c r="H114" s="48">
        <f t="shared" si="130"/>
        <v>0</v>
      </c>
      <c r="I114" s="28"/>
      <c r="J114" s="28"/>
      <c r="K114" s="65"/>
      <c r="L114" s="48">
        <f t="shared" si="131"/>
        <v>0</v>
      </c>
      <c r="M114" s="48"/>
      <c r="N114" s="48"/>
      <c r="O114" s="48"/>
      <c r="P114" s="48">
        <f t="shared" si="132"/>
        <v>0</v>
      </c>
      <c r="Q114" s="48"/>
      <c r="R114" s="48"/>
      <c r="S114" s="48"/>
      <c r="T114" s="48">
        <f t="shared" si="133"/>
        <v>0</v>
      </c>
      <c r="U114" s="48">
        <v>0</v>
      </c>
      <c r="V114" s="48"/>
      <c r="W114" s="48"/>
      <c r="X114" s="48">
        <f t="shared" si="134"/>
        <v>0</v>
      </c>
      <c r="Y114" s="48"/>
      <c r="Z114" s="48"/>
      <c r="AA114" s="48"/>
      <c r="AB114" s="48">
        <f t="shared" si="135"/>
        <v>0</v>
      </c>
      <c r="AC114" s="48"/>
      <c r="AD114" s="48"/>
      <c r="AE114" s="48"/>
      <c r="AF114" s="48">
        <f t="shared" si="136"/>
        <v>0</v>
      </c>
      <c r="AG114" s="48"/>
      <c r="AH114" s="48"/>
      <c r="AI114" s="48"/>
      <c r="AJ114" s="48">
        <f t="shared" si="137"/>
        <v>0</v>
      </c>
      <c r="AK114" s="48"/>
      <c r="AL114" s="48"/>
      <c r="AM114" s="48"/>
      <c r="AN114" s="48">
        <f t="shared" si="138"/>
        <v>0</v>
      </c>
      <c r="AO114" s="48"/>
      <c r="AP114" s="48"/>
      <c r="AQ114" s="48"/>
      <c r="AR114" s="48">
        <f t="shared" si="139"/>
        <v>0</v>
      </c>
      <c r="AS114" s="48"/>
      <c r="AT114" s="48"/>
      <c r="AU114" s="48"/>
      <c r="AV114" s="48">
        <f t="shared" si="140"/>
        <v>0</v>
      </c>
      <c r="AW114" s="48"/>
      <c r="AX114" s="48"/>
      <c r="AY114" s="48"/>
      <c r="AZ114" s="48">
        <f t="shared" si="141"/>
        <v>0</v>
      </c>
      <c r="BA114" s="48"/>
      <c r="BB114" s="48"/>
      <c r="BC114" s="48"/>
      <c r="BD114" s="48">
        <f t="shared" si="142"/>
        <v>0</v>
      </c>
      <c r="BE114" s="48"/>
      <c r="BF114" s="48"/>
      <c r="BG114" s="48"/>
      <c r="BH114" s="48">
        <f t="shared" si="143"/>
        <v>0</v>
      </c>
      <c r="BI114" s="48"/>
      <c r="BJ114" s="48"/>
      <c r="BK114" s="48"/>
      <c r="BL114" s="48">
        <f t="shared" si="144"/>
        <v>0</v>
      </c>
      <c r="BM114" s="48"/>
      <c r="BN114" s="48"/>
      <c r="BO114" s="48"/>
      <c r="BP114" s="48">
        <f t="shared" si="145"/>
        <v>0</v>
      </c>
      <c r="BQ114" s="48"/>
      <c r="BR114" s="48"/>
      <c r="BS114" s="48"/>
      <c r="BT114" s="48">
        <f t="shared" si="146"/>
        <v>0</v>
      </c>
      <c r="BU114" s="48"/>
      <c r="BV114" s="48"/>
      <c r="BW114" s="48"/>
      <c r="BX114" s="48">
        <f t="shared" si="147"/>
        <v>0</v>
      </c>
      <c r="BY114" s="48"/>
      <c r="BZ114" s="48"/>
      <c r="CA114" s="48"/>
      <c r="CB114" s="48">
        <f t="shared" si="148"/>
        <v>0</v>
      </c>
      <c r="CC114" s="48"/>
      <c r="CD114" s="48"/>
      <c r="CE114" s="48"/>
      <c r="CF114" s="48">
        <f t="shared" si="149"/>
        <v>0</v>
      </c>
      <c r="CG114" s="48"/>
      <c r="CH114" s="48"/>
      <c r="CI114" s="48"/>
      <c r="CJ114" s="48">
        <f t="shared" si="150"/>
        <v>0</v>
      </c>
      <c r="CK114" s="48"/>
      <c r="CL114" s="48"/>
      <c r="CM114" s="48"/>
      <c r="CN114" s="48">
        <f t="shared" si="151"/>
        <v>0</v>
      </c>
      <c r="CO114" s="48"/>
      <c r="CP114" s="48"/>
      <c r="CQ114" s="48"/>
      <c r="CR114" s="48">
        <f t="shared" si="152"/>
        <v>0</v>
      </c>
      <c r="CS114" s="48"/>
      <c r="CT114" s="48"/>
      <c r="CU114" s="48"/>
      <c r="CV114" s="48">
        <f t="shared" si="153"/>
        <v>0</v>
      </c>
      <c r="CW114" s="48"/>
      <c r="CX114" s="48"/>
      <c r="CY114" s="48"/>
      <c r="CZ114" s="48">
        <f t="shared" si="154"/>
        <v>0</v>
      </c>
      <c r="DA114" s="48"/>
      <c r="DB114" s="48"/>
      <c r="DC114" s="48"/>
      <c r="DD114" s="48">
        <f t="shared" si="155"/>
        <v>0</v>
      </c>
      <c r="DE114" s="48"/>
      <c r="DF114" s="48"/>
      <c r="DG114" s="48"/>
      <c r="DH114" s="48">
        <f t="shared" si="156"/>
        <v>0</v>
      </c>
      <c r="DI114" s="48"/>
      <c r="DJ114" s="48"/>
      <c r="DK114" s="48"/>
      <c r="DL114" s="48">
        <f t="shared" si="157"/>
        <v>0</v>
      </c>
      <c r="DM114" s="48"/>
      <c r="DN114" s="48"/>
      <c r="DO114" s="48"/>
      <c r="DP114" s="48">
        <f t="shared" si="158"/>
        <v>0</v>
      </c>
      <c r="DQ114" s="48"/>
      <c r="DR114" s="48"/>
      <c r="DS114" s="48"/>
      <c r="DT114" s="48">
        <f t="shared" si="159"/>
        <v>0</v>
      </c>
      <c r="DU114" s="48"/>
      <c r="DV114" s="48"/>
      <c r="DW114" s="48"/>
      <c r="DX114" s="48">
        <f t="shared" si="160"/>
        <v>0</v>
      </c>
      <c r="DY114" s="48">
        <f t="shared" si="161"/>
        <v>0</v>
      </c>
      <c r="DZ114" s="48">
        <f t="shared" si="162"/>
        <v>0</v>
      </c>
      <c r="EA114" s="14">
        <f>D114*'MASTER SHEET'!D114</f>
        <v>0</v>
      </c>
      <c r="EB114" s="14">
        <f>H114*'MASTER SHEET'!D114</f>
        <v>0</v>
      </c>
      <c r="EC114" s="14">
        <f>L114*'MASTER SHEET'!D114</f>
        <v>0</v>
      </c>
      <c r="ED114" s="14">
        <f>P114*'MASTER SHEET'!D114</f>
        <v>0</v>
      </c>
      <c r="EE114" s="14">
        <f>T114*'MASTER SHEET'!D114</f>
        <v>0</v>
      </c>
      <c r="EF114" s="14">
        <f>X114*'MASTER SHEET'!D114</f>
        <v>0</v>
      </c>
      <c r="EG114" s="14">
        <f>AB114*'MASTER SHEET'!D114</f>
        <v>0</v>
      </c>
      <c r="EH114" s="14">
        <f>AF114*'MASTER SHEET'!D114</f>
        <v>0</v>
      </c>
      <c r="EI114" s="14">
        <f>AJ114*'MASTER SHEET'!D114</f>
        <v>0</v>
      </c>
      <c r="EJ114" s="14">
        <f>AN114*'MASTER SHEET'!D114</f>
        <v>0</v>
      </c>
      <c r="EK114" s="14">
        <f>AR114*'MASTER SHEET'!D114</f>
        <v>0</v>
      </c>
      <c r="EL114" s="14">
        <f>AV114*'MASTER SHEET'!D114</f>
        <v>0</v>
      </c>
      <c r="EM114" s="14">
        <f>AZ114*'MASTER SHEET'!D114</f>
        <v>0</v>
      </c>
      <c r="EN114" s="14">
        <f>BD114*'MASTER SHEET'!D114</f>
        <v>0</v>
      </c>
      <c r="EO114" s="14">
        <f>BH114*'MASTER SHEET'!D114</f>
        <v>0</v>
      </c>
      <c r="EP114" s="14">
        <f>BL114*'MASTER SHEET'!D114</f>
        <v>0</v>
      </c>
      <c r="EQ114" s="14">
        <f>BP114*'MASTER SHEET'!D114</f>
        <v>0</v>
      </c>
      <c r="ER114" s="14">
        <f>BT114*'MASTER SHEET'!D114</f>
        <v>0</v>
      </c>
      <c r="ES114" s="14">
        <f>BX114*'MASTER SHEET'!D114</f>
        <v>0</v>
      </c>
      <c r="ET114" s="21">
        <f>CB114*'MASTER SHEET'!D114</f>
        <v>0</v>
      </c>
      <c r="EU114" s="14">
        <f>CF114*'MASTER SHEET'!D114</f>
        <v>0</v>
      </c>
      <c r="EV114" s="14">
        <f>CJ114*'MASTER SHEET'!D114</f>
        <v>0</v>
      </c>
      <c r="EW114" s="14">
        <f>CN114*'MASTER SHEET'!D114</f>
        <v>0</v>
      </c>
      <c r="EX114" s="14">
        <f>CR114*'MASTER SHEET'!D114</f>
        <v>0</v>
      </c>
      <c r="EY114" s="14">
        <f>CR114*'MASTER SHEET'!D114</f>
        <v>0</v>
      </c>
      <c r="EZ114" s="14">
        <f>CV114*'MASTER SHEET'!D114</f>
        <v>0</v>
      </c>
      <c r="FA114" s="14">
        <f>CZ114*'MASTER SHEET'!D114</f>
        <v>0</v>
      </c>
      <c r="FB114" s="14">
        <f>DD114*'MASTER SHEET'!D114</f>
        <v>0</v>
      </c>
    </row>
    <row r="115" spans="1:158" ht="18.75" customHeight="1" x14ac:dyDescent="0.25">
      <c r="A115" s="43">
        <f>'MASTER SHEET'!A115</f>
        <v>113</v>
      </c>
      <c r="B115" s="49" t="str">
        <f>'MASTER SHEET'!B115</f>
        <v>PHONIX PIPE</v>
      </c>
      <c r="C115" s="86">
        <f>'MASTER SHEET'!C115</f>
        <v>5026025</v>
      </c>
      <c r="D115" s="51"/>
      <c r="E115" s="48"/>
      <c r="F115" s="48"/>
      <c r="G115" s="48"/>
      <c r="H115" s="48">
        <f t="shared" si="130"/>
        <v>0</v>
      </c>
      <c r="I115" s="28"/>
      <c r="J115" s="28"/>
      <c r="K115" s="65"/>
      <c r="L115" s="48">
        <f t="shared" si="131"/>
        <v>0</v>
      </c>
      <c r="M115" s="48"/>
      <c r="N115" s="48"/>
      <c r="O115" s="48"/>
      <c r="P115" s="48">
        <f t="shared" si="132"/>
        <v>0</v>
      </c>
      <c r="Q115" s="48"/>
      <c r="R115" s="48"/>
      <c r="S115" s="48"/>
      <c r="T115" s="48">
        <f t="shared" si="133"/>
        <v>0</v>
      </c>
      <c r="U115" s="48">
        <v>0</v>
      </c>
      <c r="V115" s="48"/>
      <c r="W115" s="48"/>
      <c r="X115" s="48">
        <f t="shared" si="134"/>
        <v>0</v>
      </c>
      <c r="Y115" s="48"/>
      <c r="Z115" s="48"/>
      <c r="AA115" s="48"/>
      <c r="AB115" s="48">
        <f t="shared" si="135"/>
        <v>0</v>
      </c>
      <c r="AC115" s="48"/>
      <c r="AD115" s="48"/>
      <c r="AE115" s="48"/>
      <c r="AF115" s="48">
        <f t="shared" si="136"/>
        <v>0</v>
      </c>
      <c r="AG115" s="48"/>
      <c r="AH115" s="48"/>
      <c r="AI115" s="48"/>
      <c r="AJ115" s="48">
        <f t="shared" si="137"/>
        <v>0</v>
      </c>
      <c r="AK115" s="48"/>
      <c r="AL115" s="48"/>
      <c r="AM115" s="48"/>
      <c r="AN115" s="48">
        <f t="shared" si="138"/>
        <v>0</v>
      </c>
      <c r="AO115" s="48"/>
      <c r="AP115" s="48"/>
      <c r="AQ115" s="48"/>
      <c r="AR115" s="48">
        <f t="shared" si="139"/>
        <v>0</v>
      </c>
      <c r="AS115" s="48"/>
      <c r="AT115" s="48"/>
      <c r="AU115" s="48"/>
      <c r="AV115" s="48">
        <f t="shared" si="140"/>
        <v>0</v>
      </c>
      <c r="AW115" s="48"/>
      <c r="AX115" s="48"/>
      <c r="AY115" s="48"/>
      <c r="AZ115" s="48">
        <f t="shared" si="141"/>
        <v>0</v>
      </c>
      <c r="BA115" s="48"/>
      <c r="BB115" s="48"/>
      <c r="BC115" s="48"/>
      <c r="BD115" s="48">
        <f t="shared" si="142"/>
        <v>0</v>
      </c>
      <c r="BE115" s="48"/>
      <c r="BF115" s="48"/>
      <c r="BG115" s="48"/>
      <c r="BH115" s="48">
        <f t="shared" si="143"/>
        <v>0</v>
      </c>
      <c r="BI115" s="48"/>
      <c r="BJ115" s="48"/>
      <c r="BK115" s="48"/>
      <c r="BL115" s="48">
        <f t="shared" si="144"/>
        <v>0</v>
      </c>
      <c r="BM115" s="48"/>
      <c r="BN115" s="48"/>
      <c r="BO115" s="48"/>
      <c r="BP115" s="48">
        <f t="shared" si="145"/>
        <v>0</v>
      </c>
      <c r="BQ115" s="48"/>
      <c r="BR115" s="48"/>
      <c r="BS115" s="48"/>
      <c r="BT115" s="48">
        <f t="shared" si="146"/>
        <v>0</v>
      </c>
      <c r="BU115" s="48"/>
      <c r="BV115" s="48"/>
      <c r="BW115" s="48"/>
      <c r="BX115" s="48">
        <f t="shared" si="147"/>
        <v>0</v>
      </c>
      <c r="BY115" s="48"/>
      <c r="BZ115" s="48"/>
      <c r="CA115" s="48"/>
      <c r="CB115" s="48">
        <f t="shared" si="148"/>
        <v>0</v>
      </c>
      <c r="CC115" s="48"/>
      <c r="CD115" s="48"/>
      <c r="CE115" s="48"/>
      <c r="CF115" s="48">
        <f t="shared" si="149"/>
        <v>0</v>
      </c>
      <c r="CG115" s="48"/>
      <c r="CH115" s="48"/>
      <c r="CI115" s="48"/>
      <c r="CJ115" s="48">
        <f t="shared" si="150"/>
        <v>0</v>
      </c>
      <c r="CK115" s="48"/>
      <c r="CL115" s="48"/>
      <c r="CM115" s="48"/>
      <c r="CN115" s="48">
        <f t="shared" si="151"/>
        <v>0</v>
      </c>
      <c r="CO115" s="48"/>
      <c r="CP115" s="48"/>
      <c r="CQ115" s="48"/>
      <c r="CR115" s="48">
        <f t="shared" si="152"/>
        <v>0</v>
      </c>
      <c r="CS115" s="48"/>
      <c r="CT115" s="48"/>
      <c r="CU115" s="48"/>
      <c r="CV115" s="48">
        <f t="shared" si="153"/>
        <v>0</v>
      </c>
      <c r="CW115" s="48"/>
      <c r="CX115" s="48"/>
      <c r="CY115" s="48"/>
      <c r="CZ115" s="48">
        <f t="shared" si="154"/>
        <v>0</v>
      </c>
      <c r="DA115" s="48"/>
      <c r="DB115" s="48"/>
      <c r="DC115" s="48"/>
      <c r="DD115" s="48">
        <f t="shared" si="155"/>
        <v>0</v>
      </c>
      <c r="DE115" s="48"/>
      <c r="DF115" s="48"/>
      <c r="DG115" s="48"/>
      <c r="DH115" s="48">
        <f t="shared" si="156"/>
        <v>0</v>
      </c>
      <c r="DI115" s="48"/>
      <c r="DJ115" s="48"/>
      <c r="DK115" s="48"/>
      <c r="DL115" s="48">
        <f t="shared" si="157"/>
        <v>0</v>
      </c>
      <c r="DM115" s="48"/>
      <c r="DN115" s="48"/>
      <c r="DO115" s="48"/>
      <c r="DP115" s="48">
        <f t="shared" si="158"/>
        <v>0</v>
      </c>
      <c r="DQ115" s="48"/>
      <c r="DR115" s="48"/>
      <c r="DS115" s="48"/>
      <c r="DT115" s="48">
        <f t="shared" si="159"/>
        <v>0</v>
      </c>
      <c r="DU115" s="48"/>
      <c r="DV115" s="48"/>
      <c r="DW115" s="48"/>
      <c r="DX115" s="48">
        <f t="shared" si="160"/>
        <v>0</v>
      </c>
      <c r="DY115" s="48">
        <f t="shared" si="161"/>
        <v>0</v>
      </c>
      <c r="DZ115" s="48">
        <f t="shared" si="162"/>
        <v>0</v>
      </c>
      <c r="EA115" s="14">
        <f>D115*'MASTER SHEET'!D115</f>
        <v>0</v>
      </c>
      <c r="EB115" s="14">
        <f>H115*'MASTER SHEET'!D115</f>
        <v>0</v>
      </c>
      <c r="EC115" s="14">
        <f>L115*'MASTER SHEET'!D115</f>
        <v>0</v>
      </c>
      <c r="ED115" s="14">
        <f>P115*'MASTER SHEET'!D115</f>
        <v>0</v>
      </c>
      <c r="EE115" s="14">
        <f>T115*'MASTER SHEET'!D115</f>
        <v>0</v>
      </c>
      <c r="EF115" s="14">
        <f>X115*'MASTER SHEET'!D115</f>
        <v>0</v>
      </c>
      <c r="EG115" s="14">
        <f>AB115*'MASTER SHEET'!D115</f>
        <v>0</v>
      </c>
      <c r="EH115" s="14">
        <f>AF115*'MASTER SHEET'!D115</f>
        <v>0</v>
      </c>
      <c r="EI115" s="14">
        <f>AJ115*'MASTER SHEET'!D115</f>
        <v>0</v>
      </c>
      <c r="EJ115" s="14">
        <f>AN115*'MASTER SHEET'!D115</f>
        <v>0</v>
      </c>
      <c r="EK115" s="14">
        <f>AR115*'MASTER SHEET'!D115</f>
        <v>0</v>
      </c>
      <c r="EL115" s="14">
        <f>AV115*'MASTER SHEET'!D115</f>
        <v>0</v>
      </c>
      <c r="EM115" s="14">
        <f>AZ115*'MASTER SHEET'!D115</f>
        <v>0</v>
      </c>
      <c r="EN115" s="14">
        <f>BD115*'MASTER SHEET'!D115</f>
        <v>0</v>
      </c>
      <c r="EO115" s="14">
        <f>BH115*'MASTER SHEET'!D115</f>
        <v>0</v>
      </c>
      <c r="EP115" s="14">
        <f>BL115*'MASTER SHEET'!D115</f>
        <v>0</v>
      </c>
      <c r="EQ115" s="14">
        <f>BP115*'MASTER SHEET'!D115</f>
        <v>0</v>
      </c>
      <c r="ER115" s="14">
        <f>BT115*'MASTER SHEET'!D115</f>
        <v>0</v>
      </c>
      <c r="ES115" s="14">
        <f>BX115*'MASTER SHEET'!D115</f>
        <v>0</v>
      </c>
      <c r="ET115" s="21">
        <f>CB115*'MASTER SHEET'!D115</f>
        <v>0</v>
      </c>
      <c r="EU115" s="14">
        <f>CF115*'MASTER SHEET'!D115</f>
        <v>0</v>
      </c>
      <c r="EV115" s="14">
        <f>CJ115*'MASTER SHEET'!D115</f>
        <v>0</v>
      </c>
      <c r="EW115" s="14">
        <f>CN115*'MASTER SHEET'!D115</f>
        <v>0</v>
      </c>
      <c r="EX115" s="14">
        <f>CR115*'MASTER SHEET'!D115</f>
        <v>0</v>
      </c>
      <c r="EY115" s="14">
        <f>CR115*'MASTER SHEET'!D115</f>
        <v>0</v>
      </c>
      <c r="EZ115" s="14">
        <f>CV115*'MASTER SHEET'!D115</f>
        <v>0</v>
      </c>
      <c r="FA115" s="14">
        <f>CZ115*'MASTER SHEET'!D115</f>
        <v>0</v>
      </c>
      <c r="FB115" s="14">
        <f>DD115*'MASTER SHEET'!D115</f>
        <v>0</v>
      </c>
    </row>
    <row r="116" spans="1:158" ht="18.75" customHeight="1" x14ac:dyDescent="0.25">
      <c r="A116" s="43">
        <f>'MASTER SHEET'!A116</f>
        <v>114</v>
      </c>
      <c r="B116" s="49">
        <f>'MASTER SHEET'!B116</f>
        <v>0</v>
      </c>
      <c r="C116" s="86">
        <f>'MASTER SHEET'!C116</f>
        <v>5026515</v>
      </c>
      <c r="D116" s="51"/>
      <c r="E116" s="48"/>
      <c r="F116" s="48"/>
      <c r="G116" s="48"/>
      <c r="H116" s="48">
        <f t="shared" si="130"/>
        <v>0</v>
      </c>
      <c r="I116" s="28"/>
      <c r="J116" s="28"/>
      <c r="K116" s="65"/>
      <c r="L116" s="48">
        <f t="shared" si="131"/>
        <v>0</v>
      </c>
      <c r="M116" s="48"/>
      <c r="N116" s="48"/>
      <c r="O116" s="48"/>
      <c r="P116" s="48">
        <f t="shared" si="132"/>
        <v>0</v>
      </c>
      <c r="Q116" s="48"/>
      <c r="R116" s="48"/>
      <c r="S116" s="48"/>
      <c r="T116" s="48">
        <f t="shared" si="133"/>
        <v>0</v>
      </c>
      <c r="U116" s="48">
        <v>0</v>
      </c>
      <c r="V116" s="48"/>
      <c r="W116" s="48"/>
      <c r="X116" s="48">
        <f t="shared" si="134"/>
        <v>0</v>
      </c>
      <c r="Y116" s="48"/>
      <c r="Z116" s="48"/>
      <c r="AA116" s="48"/>
      <c r="AB116" s="48">
        <f t="shared" si="135"/>
        <v>0</v>
      </c>
      <c r="AC116" s="48"/>
      <c r="AD116" s="48"/>
      <c r="AE116" s="48"/>
      <c r="AF116" s="48">
        <f t="shared" si="136"/>
        <v>0</v>
      </c>
      <c r="AG116" s="48"/>
      <c r="AH116" s="48"/>
      <c r="AI116" s="48"/>
      <c r="AJ116" s="48">
        <f t="shared" si="137"/>
        <v>0</v>
      </c>
      <c r="AK116" s="48"/>
      <c r="AL116" s="48"/>
      <c r="AM116" s="48"/>
      <c r="AN116" s="48">
        <f t="shared" si="138"/>
        <v>0</v>
      </c>
      <c r="AO116" s="48"/>
      <c r="AP116" s="48"/>
      <c r="AQ116" s="48"/>
      <c r="AR116" s="48">
        <f t="shared" si="139"/>
        <v>0</v>
      </c>
      <c r="AS116" s="48"/>
      <c r="AT116" s="48"/>
      <c r="AU116" s="48"/>
      <c r="AV116" s="48">
        <f t="shared" si="140"/>
        <v>0</v>
      </c>
      <c r="AW116" s="48"/>
      <c r="AX116" s="48"/>
      <c r="AY116" s="48"/>
      <c r="AZ116" s="48">
        <f t="shared" si="141"/>
        <v>0</v>
      </c>
      <c r="BA116" s="48"/>
      <c r="BB116" s="48"/>
      <c r="BC116" s="48"/>
      <c r="BD116" s="48">
        <f t="shared" si="142"/>
        <v>0</v>
      </c>
      <c r="BE116" s="48"/>
      <c r="BF116" s="48"/>
      <c r="BG116" s="48"/>
      <c r="BH116" s="48">
        <f t="shared" si="143"/>
        <v>0</v>
      </c>
      <c r="BI116" s="48"/>
      <c r="BJ116" s="48"/>
      <c r="BK116" s="48"/>
      <c r="BL116" s="48">
        <f t="shared" si="144"/>
        <v>0</v>
      </c>
      <c r="BM116" s="48"/>
      <c r="BN116" s="48"/>
      <c r="BO116" s="48"/>
      <c r="BP116" s="48">
        <f t="shared" si="145"/>
        <v>0</v>
      </c>
      <c r="BQ116" s="48"/>
      <c r="BR116" s="48"/>
      <c r="BS116" s="48"/>
      <c r="BT116" s="48">
        <f t="shared" si="146"/>
        <v>0</v>
      </c>
      <c r="BU116" s="48"/>
      <c r="BV116" s="48"/>
      <c r="BW116" s="48"/>
      <c r="BX116" s="48">
        <f t="shared" si="147"/>
        <v>0</v>
      </c>
      <c r="BY116" s="48"/>
      <c r="BZ116" s="48"/>
      <c r="CA116" s="48"/>
      <c r="CB116" s="48">
        <f t="shared" si="148"/>
        <v>0</v>
      </c>
      <c r="CC116" s="48"/>
      <c r="CD116" s="48"/>
      <c r="CE116" s="48"/>
      <c r="CF116" s="48">
        <f t="shared" si="149"/>
        <v>0</v>
      </c>
      <c r="CG116" s="48"/>
      <c r="CH116" s="48"/>
      <c r="CI116" s="48"/>
      <c r="CJ116" s="48">
        <f t="shared" si="150"/>
        <v>0</v>
      </c>
      <c r="CK116" s="48"/>
      <c r="CL116" s="48"/>
      <c r="CM116" s="48"/>
      <c r="CN116" s="48">
        <f t="shared" si="151"/>
        <v>0</v>
      </c>
      <c r="CO116" s="48"/>
      <c r="CP116" s="48"/>
      <c r="CQ116" s="48"/>
      <c r="CR116" s="48">
        <f t="shared" si="152"/>
        <v>0</v>
      </c>
      <c r="CS116" s="48"/>
      <c r="CT116" s="48"/>
      <c r="CU116" s="48"/>
      <c r="CV116" s="48">
        <f t="shared" si="153"/>
        <v>0</v>
      </c>
      <c r="CW116" s="48"/>
      <c r="CX116" s="48"/>
      <c r="CY116" s="48"/>
      <c r="CZ116" s="48">
        <f t="shared" si="154"/>
        <v>0</v>
      </c>
      <c r="DA116" s="48"/>
      <c r="DB116" s="48"/>
      <c r="DC116" s="48"/>
      <c r="DD116" s="48">
        <f t="shared" si="155"/>
        <v>0</v>
      </c>
      <c r="DE116" s="48"/>
      <c r="DF116" s="48"/>
      <c r="DG116" s="48"/>
      <c r="DH116" s="48">
        <f t="shared" si="156"/>
        <v>0</v>
      </c>
      <c r="DI116" s="48"/>
      <c r="DJ116" s="48"/>
      <c r="DK116" s="48"/>
      <c r="DL116" s="48">
        <f t="shared" si="157"/>
        <v>0</v>
      </c>
      <c r="DM116" s="48"/>
      <c r="DN116" s="48"/>
      <c r="DO116" s="48"/>
      <c r="DP116" s="48">
        <f t="shared" si="158"/>
        <v>0</v>
      </c>
      <c r="DQ116" s="48"/>
      <c r="DR116" s="48"/>
      <c r="DS116" s="48"/>
      <c r="DT116" s="48">
        <f t="shared" si="159"/>
        <v>0</v>
      </c>
      <c r="DU116" s="48"/>
      <c r="DV116" s="48"/>
      <c r="DW116" s="48"/>
      <c r="DX116" s="48">
        <f t="shared" si="160"/>
        <v>0</v>
      </c>
      <c r="DY116" s="48">
        <f t="shared" si="161"/>
        <v>0</v>
      </c>
      <c r="DZ116" s="48">
        <f t="shared" si="162"/>
        <v>0</v>
      </c>
      <c r="EA116" s="14">
        <f>D116*'MASTER SHEET'!D116</f>
        <v>0</v>
      </c>
      <c r="EB116" s="14">
        <f>H116*'MASTER SHEET'!D116</f>
        <v>0</v>
      </c>
      <c r="EC116" s="14">
        <f>L116*'MASTER SHEET'!D116</f>
        <v>0</v>
      </c>
      <c r="ED116" s="14">
        <f>P116*'MASTER SHEET'!D116</f>
        <v>0</v>
      </c>
      <c r="EE116" s="14">
        <f>T116*'MASTER SHEET'!D116</f>
        <v>0</v>
      </c>
      <c r="EF116" s="14">
        <f>X116*'MASTER SHEET'!D116</f>
        <v>0</v>
      </c>
      <c r="EG116" s="14">
        <f>AB116*'MASTER SHEET'!D116</f>
        <v>0</v>
      </c>
      <c r="EH116" s="14">
        <f>AF116*'MASTER SHEET'!D116</f>
        <v>0</v>
      </c>
      <c r="EI116" s="14">
        <f>AJ116*'MASTER SHEET'!D116</f>
        <v>0</v>
      </c>
      <c r="EJ116" s="14">
        <f>AN116*'MASTER SHEET'!D116</f>
        <v>0</v>
      </c>
      <c r="EK116" s="14">
        <f>AR116*'MASTER SHEET'!D116</f>
        <v>0</v>
      </c>
      <c r="EL116" s="14">
        <f>AV116*'MASTER SHEET'!D116</f>
        <v>0</v>
      </c>
      <c r="EM116" s="14">
        <f>AZ116*'MASTER SHEET'!D116</f>
        <v>0</v>
      </c>
      <c r="EN116" s="14">
        <f>BD116*'MASTER SHEET'!D116</f>
        <v>0</v>
      </c>
      <c r="EO116" s="14">
        <f>BH116*'MASTER SHEET'!D116</f>
        <v>0</v>
      </c>
      <c r="EP116" s="14">
        <f>BL116*'MASTER SHEET'!D116</f>
        <v>0</v>
      </c>
      <c r="EQ116" s="14">
        <f>BP116*'MASTER SHEET'!D116</f>
        <v>0</v>
      </c>
      <c r="ER116" s="14">
        <f>BT116*'MASTER SHEET'!D116</f>
        <v>0</v>
      </c>
      <c r="ES116" s="14">
        <f>BX116*'MASTER SHEET'!D116</f>
        <v>0</v>
      </c>
      <c r="ET116" s="21">
        <f>CB116*'MASTER SHEET'!D116</f>
        <v>0</v>
      </c>
      <c r="EU116" s="14">
        <f>CF116*'MASTER SHEET'!D116</f>
        <v>0</v>
      </c>
      <c r="EV116" s="14">
        <f>CJ116*'MASTER SHEET'!D116</f>
        <v>0</v>
      </c>
      <c r="EW116" s="14">
        <f>CN116*'MASTER SHEET'!D116</f>
        <v>0</v>
      </c>
      <c r="EX116" s="14">
        <f>CR116*'MASTER SHEET'!D116</f>
        <v>0</v>
      </c>
      <c r="EY116" s="14">
        <f>CR116*'MASTER SHEET'!D116</f>
        <v>0</v>
      </c>
      <c r="EZ116" s="14">
        <f>CV116*'MASTER SHEET'!D116</f>
        <v>0</v>
      </c>
      <c r="FA116" s="14">
        <f>CZ116*'MASTER SHEET'!D116</f>
        <v>0</v>
      </c>
      <c r="FB116" s="14">
        <f>DD116*'MASTER SHEET'!D116</f>
        <v>0</v>
      </c>
    </row>
    <row r="117" spans="1:158" ht="18.75" customHeight="1" x14ac:dyDescent="0.25">
      <c r="A117" s="43">
        <f>'MASTER SHEET'!A117</f>
        <v>115</v>
      </c>
      <c r="B117" s="49">
        <f>'MASTER SHEET'!B117</f>
        <v>0</v>
      </c>
      <c r="C117" s="86">
        <f>'MASTER SHEET'!C117</f>
        <v>5025642</v>
      </c>
      <c r="D117" s="51"/>
      <c r="E117" s="48"/>
      <c r="F117" s="48"/>
      <c r="G117" s="48"/>
      <c r="H117" s="48">
        <f t="shared" si="130"/>
        <v>0</v>
      </c>
      <c r="I117" s="28"/>
      <c r="J117" s="28"/>
      <c r="K117" s="65"/>
      <c r="L117" s="48">
        <f t="shared" si="131"/>
        <v>0</v>
      </c>
      <c r="M117" s="48"/>
      <c r="N117" s="48"/>
      <c r="O117" s="48"/>
      <c r="P117" s="48">
        <f t="shared" si="132"/>
        <v>0</v>
      </c>
      <c r="Q117" s="48"/>
      <c r="R117" s="48"/>
      <c r="S117" s="48"/>
      <c r="T117" s="48">
        <f t="shared" si="133"/>
        <v>0</v>
      </c>
      <c r="U117" s="48">
        <v>0</v>
      </c>
      <c r="V117" s="48"/>
      <c r="W117" s="48"/>
      <c r="X117" s="48">
        <f t="shared" si="134"/>
        <v>0</v>
      </c>
      <c r="Y117" s="48"/>
      <c r="Z117" s="48"/>
      <c r="AA117" s="48"/>
      <c r="AB117" s="48">
        <f t="shared" si="135"/>
        <v>0</v>
      </c>
      <c r="AC117" s="48"/>
      <c r="AD117" s="48"/>
      <c r="AE117" s="48"/>
      <c r="AF117" s="48">
        <f t="shared" si="136"/>
        <v>0</v>
      </c>
      <c r="AG117" s="48"/>
      <c r="AH117" s="48"/>
      <c r="AI117" s="48"/>
      <c r="AJ117" s="48">
        <f t="shared" si="137"/>
        <v>0</v>
      </c>
      <c r="AK117" s="48"/>
      <c r="AL117" s="48"/>
      <c r="AM117" s="48"/>
      <c r="AN117" s="48">
        <f t="shared" si="138"/>
        <v>0</v>
      </c>
      <c r="AO117" s="48"/>
      <c r="AP117" s="48"/>
      <c r="AQ117" s="48"/>
      <c r="AR117" s="48">
        <f t="shared" si="139"/>
        <v>0</v>
      </c>
      <c r="AS117" s="48"/>
      <c r="AT117" s="48"/>
      <c r="AU117" s="48"/>
      <c r="AV117" s="48">
        <f t="shared" si="140"/>
        <v>0</v>
      </c>
      <c r="AW117" s="48"/>
      <c r="AX117" s="48"/>
      <c r="AY117" s="48"/>
      <c r="AZ117" s="48">
        <f t="shared" si="141"/>
        <v>0</v>
      </c>
      <c r="BA117" s="48"/>
      <c r="BB117" s="48"/>
      <c r="BC117" s="48"/>
      <c r="BD117" s="48">
        <f t="shared" si="142"/>
        <v>0</v>
      </c>
      <c r="BE117" s="48"/>
      <c r="BF117" s="48"/>
      <c r="BG117" s="48"/>
      <c r="BH117" s="48">
        <f t="shared" si="143"/>
        <v>0</v>
      </c>
      <c r="BI117" s="48"/>
      <c r="BJ117" s="48"/>
      <c r="BK117" s="48"/>
      <c r="BL117" s="48">
        <f t="shared" si="144"/>
        <v>0</v>
      </c>
      <c r="BM117" s="48"/>
      <c r="BN117" s="48"/>
      <c r="BO117" s="48"/>
      <c r="BP117" s="48">
        <f t="shared" si="145"/>
        <v>0</v>
      </c>
      <c r="BQ117" s="48"/>
      <c r="BR117" s="48"/>
      <c r="BS117" s="48"/>
      <c r="BT117" s="48">
        <f t="shared" si="146"/>
        <v>0</v>
      </c>
      <c r="BU117" s="48"/>
      <c r="BV117" s="48"/>
      <c r="BW117" s="48"/>
      <c r="BX117" s="48">
        <f t="shared" si="147"/>
        <v>0</v>
      </c>
      <c r="BY117" s="48"/>
      <c r="BZ117" s="48"/>
      <c r="CA117" s="48"/>
      <c r="CB117" s="48">
        <f t="shared" si="148"/>
        <v>0</v>
      </c>
      <c r="CC117" s="48"/>
      <c r="CD117" s="48"/>
      <c r="CE117" s="48"/>
      <c r="CF117" s="48">
        <f t="shared" si="149"/>
        <v>0</v>
      </c>
      <c r="CG117" s="48"/>
      <c r="CH117" s="48"/>
      <c r="CI117" s="48"/>
      <c r="CJ117" s="48">
        <f t="shared" si="150"/>
        <v>0</v>
      </c>
      <c r="CK117" s="48"/>
      <c r="CL117" s="48"/>
      <c r="CM117" s="48"/>
      <c r="CN117" s="48">
        <f t="shared" si="151"/>
        <v>0</v>
      </c>
      <c r="CO117" s="48"/>
      <c r="CP117" s="48"/>
      <c r="CQ117" s="48"/>
      <c r="CR117" s="48">
        <f t="shared" si="152"/>
        <v>0</v>
      </c>
      <c r="CS117" s="48"/>
      <c r="CT117" s="48"/>
      <c r="CU117" s="48"/>
      <c r="CV117" s="48">
        <f t="shared" si="153"/>
        <v>0</v>
      </c>
      <c r="CW117" s="48"/>
      <c r="CX117" s="48"/>
      <c r="CY117" s="48"/>
      <c r="CZ117" s="48">
        <f t="shared" si="154"/>
        <v>0</v>
      </c>
      <c r="DA117" s="48"/>
      <c r="DB117" s="48"/>
      <c r="DC117" s="48"/>
      <c r="DD117" s="48">
        <f t="shared" si="155"/>
        <v>0</v>
      </c>
      <c r="DE117" s="48"/>
      <c r="DF117" s="48"/>
      <c r="DG117" s="48"/>
      <c r="DH117" s="48">
        <f t="shared" si="156"/>
        <v>0</v>
      </c>
      <c r="DI117" s="48"/>
      <c r="DJ117" s="48"/>
      <c r="DK117" s="48"/>
      <c r="DL117" s="48">
        <f t="shared" si="157"/>
        <v>0</v>
      </c>
      <c r="DM117" s="48"/>
      <c r="DN117" s="48"/>
      <c r="DO117" s="48"/>
      <c r="DP117" s="48">
        <f t="shared" si="158"/>
        <v>0</v>
      </c>
      <c r="DQ117" s="48"/>
      <c r="DR117" s="48"/>
      <c r="DS117" s="48"/>
      <c r="DT117" s="48">
        <f t="shared" si="159"/>
        <v>0</v>
      </c>
      <c r="DU117" s="48"/>
      <c r="DV117" s="48"/>
      <c r="DW117" s="48"/>
      <c r="DX117" s="48">
        <f t="shared" si="160"/>
        <v>0</v>
      </c>
      <c r="DY117" s="48">
        <f t="shared" si="161"/>
        <v>0</v>
      </c>
      <c r="DZ117" s="48">
        <f t="shared" si="162"/>
        <v>0</v>
      </c>
      <c r="EA117" s="14">
        <f>D117*'MASTER SHEET'!D117</f>
        <v>0</v>
      </c>
      <c r="EB117" s="14">
        <f>H117*'MASTER SHEET'!D117</f>
        <v>0</v>
      </c>
      <c r="EC117" s="14">
        <f>L117*'MASTER SHEET'!D117</f>
        <v>0</v>
      </c>
      <c r="ED117" s="14">
        <f>P117*'MASTER SHEET'!D117</f>
        <v>0</v>
      </c>
      <c r="EE117" s="14">
        <f>T117*'MASTER SHEET'!D117</f>
        <v>0</v>
      </c>
      <c r="EF117" s="14">
        <f>X117*'MASTER SHEET'!D117</f>
        <v>0</v>
      </c>
      <c r="EG117" s="14">
        <f>AB117*'MASTER SHEET'!D117</f>
        <v>0</v>
      </c>
      <c r="EH117" s="14">
        <f>AF117*'MASTER SHEET'!D117</f>
        <v>0</v>
      </c>
      <c r="EI117" s="14">
        <f>AJ117*'MASTER SHEET'!D117</f>
        <v>0</v>
      </c>
      <c r="EJ117" s="14">
        <f>AN117*'MASTER SHEET'!D117</f>
        <v>0</v>
      </c>
      <c r="EK117" s="14">
        <f>AR117*'MASTER SHEET'!D117</f>
        <v>0</v>
      </c>
      <c r="EL117" s="14">
        <f>AV117*'MASTER SHEET'!D117</f>
        <v>0</v>
      </c>
      <c r="EM117" s="14">
        <f>AZ117*'MASTER SHEET'!D117</f>
        <v>0</v>
      </c>
      <c r="EN117" s="14">
        <f>BD117*'MASTER SHEET'!D117</f>
        <v>0</v>
      </c>
      <c r="EO117" s="14">
        <f>BH117*'MASTER SHEET'!D117</f>
        <v>0</v>
      </c>
      <c r="EP117" s="14">
        <f>BL117*'MASTER SHEET'!D117</f>
        <v>0</v>
      </c>
      <c r="EQ117" s="14">
        <f>BP117*'MASTER SHEET'!D117</f>
        <v>0</v>
      </c>
      <c r="ER117" s="14">
        <f>BT117*'MASTER SHEET'!D117</f>
        <v>0</v>
      </c>
      <c r="ES117" s="14">
        <f>BX117*'MASTER SHEET'!D117</f>
        <v>0</v>
      </c>
      <c r="ET117" s="21">
        <f>CB117*'MASTER SHEET'!D117</f>
        <v>0</v>
      </c>
      <c r="EU117" s="14">
        <f>CF117*'MASTER SHEET'!D117</f>
        <v>0</v>
      </c>
      <c r="EV117" s="14">
        <f>CJ117*'MASTER SHEET'!D117</f>
        <v>0</v>
      </c>
      <c r="EW117" s="14">
        <f>CN117*'MASTER SHEET'!D117</f>
        <v>0</v>
      </c>
      <c r="EX117" s="14">
        <f>CR117*'MASTER SHEET'!D117</f>
        <v>0</v>
      </c>
      <c r="EY117" s="14">
        <f>CR117*'MASTER SHEET'!D117</f>
        <v>0</v>
      </c>
      <c r="EZ117" s="14">
        <f>CV117*'MASTER SHEET'!D117</f>
        <v>0</v>
      </c>
      <c r="FA117" s="14">
        <f>CZ117*'MASTER SHEET'!D117</f>
        <v>0</v>
      </c>
      <c r="FB117" s="14">
        <f>DD117*'MASTER SHEET'!D117</f>
        <v>0</v>
      </c>
    </row>
    <row r="118" spans="1:158" ht="18.75" customHeight="1" x14ac:dyDescent="0.25">
      <c r="A118" s="43">
        <f>'MASTER SHEET'!A118</f>
        <v>116</v>
      </c>
      <c r="B118" s="49" t="str">
        <f>'MASTER SHEET'!B118</f>
        <v>FUEL STAINER</v>
      </c>
      <c r="C118" s="86">
        <f>'MASTER SHEET'!C118</f>
        <v>5030878</v>
      </c>
      <c r="D118" s="51"/>
      <c r="E118" s="48">
        <v>0</v>
      </c>
      <c r="F118" s="48">
        <v>0</v>
      </c>
      <c r="G118" s="48">
        <v>0</v>
      </c>
      <c r="H118" s="48">
        <f t="shared" si="130"/>
        <v>0</v>
      </c>
      <c r="I118" s="28">
        <v>0</v>
      </c>
      <c r="J118" s="28">
        <v>0</v>
      </c>
      <c r="K118" s="65">
        <v>0</v>
      </c>
      <c r="L118" s="48">
        <f t="shared" si="131"/>
        <v>0</v>
      </c>
      <c r="M118" s="48"/>
      <c r="N118" s="48"/>
      <c r="O118" s="48"/>
      <c r="P118" s="48">
        <f t="shared" si="132"/>
        <v>0</v>
      </c>
      <c r="Q118" s="48">
        <v>0</v>
      </c>
      <c r="R118" s="48">
        <v>0</v>
      </c>
      <c r="S118" s="48">
        <v>0</v>
      </c>
      <c r="T118" s="48">
        <f t="shared" si="133"/>
        <v>0</v>
      </c>
      <c r="U118" s="48">
        <v>0</v>
      </c>
      <c r="V118" s="48"/>
      <c r="W118" s="48"/>
      <c r="X118" s="48">
        <f t="shared" si="134"/>
        <v>0</v>
      </c>
      <c r="Y118" s="48">
        <v>0</v>
      </c>
      <c r="Z118" s="48">
        <v>0</v>
      </c>
      <c r="AA118" s="48">
        <v>0</v>
      </c>
      <c r="AB118" s="48">
        <f t="shared" si="135"/>
        <v>0</v>
      </c>
      <c r="AC118" s="48">
        <v>0</v>
      </c>
      <c r="AD118" s="48">
        <v>0</v>
      </c>
      <c r="AE118" s="48">
        <v>0</v>
      </c>
      <c r="AF118" s="48">
        <f t="shared" si="136"/>
        <v>0</v>
      </c>
      <c r="AG118" s="48">
        <v>0</v>
      </c>
      <c r="AH118" s="48">
        <v>0</v>
      </c>
      <c r="AI118" s="48">
        <v>0</v>
      </c>
      <c r="AJ118" s="48">
        <f t="shared" si="137"/>
        <v>0</v>
      </c>
      <c r="AK118" s="48">
        <v>0</v>
      </c>
      <c r="AL118" s="48">
        <v>0</v>
      </c>
      <c r="AM118" s="48">
        <v>0</v>
      </c>
      <c r="AN118" s="48">
        <f t="shared" si="138"/>
        <v>0</v>
      </c>
      <c r="AO118" s="48">
        <v>0</v>
      </c>
      <c r="AP118" s="48">
        <v>0</v>
      </c>
      <c r="AQ118" s="48">
        <v>0</v>
      </c>
      <c r="AR118" s="48">
        <f t="shared" si="139"/>
        <v>0</v>
      </c>
      <c r="AS118" s="48">
        <v>533</v>
      </c>
      <c r="AT118" s="48">
        <v>495</v>
      </c>
      <c r="AU118" s="48">
        <v>38</v>
      </c>
      <c r="AV118" s="48">
        <f t="shared" si="140"/>
        <v>0</v>
      </c>
      <c r="AW118" s="48">
        <v>0</v>
      </c>
      <c r="AX118" s="48">
        <v>0</v>
      </c>
      <c r="AY118" s="48">
        <v>0</v>
      </c>
      <c r="AZ118" s="48">
        <f t="shared" si="141"/>
        <v>0</v>
      </c>
      <c r="BA118" s="48"/>
      <c r="BB118" s="48"/>
      <c r="BC118" s="48"/>
      <c r="BD118" s="48">
        <f t="shared" si="142"/>
        <v>0</v>
      </c>
      <c r="BE118" s="48"/>
      <c r="BF118" s="48"/>
      <c r="BG118" s="48"/>
      <c r="BH118" s="48">
        <f t="shared" si="143"/>
        <v>0</v>
      </c>
      <c r="BI118" s="48"/>
      <c r="BJ118" s="48"/>
      <c r="BK118" s="48"/>
      <c r="BL118" s="48">
        <f t="shared" si="144"/>
        <v>0</v>
      </c>
      <c r="BM118" s="48"/>
      <c r="BN118" s="48"/>
      <c r="BO118" s="48"/>
      <c r="BP118" s="48">
        <f t="shared" si="145"/>
        <v>0</v>
      </c>
      <c r="BQ118" s="48"/>
      <c r="BR118" s="48"/>
      <c r="BS118" s="48"/>
      <c r="BT118" s="48">
        <f t="shared" si="146"/>
        <v>0</v>
      </c>
      <c r="BU118" s="48"/>
      <c r="BV118" s="48"/>
      <c r="BW118" s="48"/>
      <c r="BX118" s="48">
        <f t="shared" si="147"/>
        <v>0</v>
      </c>
      <c r="BY118" s="48"/>
      <c r="BZ118" s="48"/>
      <c r="CA118" s="48"/>
      <c r="CB118" s="48">
        <f t="shared" si="148"/>
        <v>0</v>
      </c>
      <c r="CC118" s="48"/>
      <c r="CD118" s="48"/>
      <c r="CE118" s="48"/>
      <c r="CF118" s="48">
        <f t="shared" si="149"/>
        <v>0</v>
      </c>
      <c r="CG118" s="48"/>
      <c r="CH118" s="48"/>
      <c r="CI118" s="48"/>
      <c r="CJ118" s="48">
        <f t="shared" si="150"/>
        <v>0</v>
      </c>
      <c r="CK118" s="48"/>
      <c r="CL118" s="48"/>
      <c r="CM118" s="48"/>
      <c r="CN118" s="48">
        <f t="shared" si="151"/>
        <v>0</v>
      </c>
      <c r="CO118" s="48">
        <v>0</v>
      </c>
      <c r="CP118" s="48">
        <v>0</v>
      </c>
      <c r="CQ118" s="48">
        <v>0</v>
      </c>
      <c r="CR118" s="48">
        <f t="shared" si="152"/>
        <v>0</v>
      </c>
      <c r="CS118" s="48">
        <v>315</v>
      </c>
      <c r="CT118" s="48">
        <v>287</v>
      </c>
      <c r="CU118" s="48">
        <v>28</v>
      </c>
      <c r="CV118" s="48">
        <f t="shared" si="153"/>
        <v>0</v>
      </c>
      <c r="CW118" s="48">
        <v>395</v>
      </c>
      <c r="CX118" s="48">
        <v>380</v>
      </c>
      <c r="CY118" s="48">
        <v>15</v>
      </c>
      <c r="CZ118" s="48">
        <f t="shared" si="154"/>
        <v>0</v>
      </c>
      <c r="DA118" s="48">
        <v>188</v>
      </c>
      <c r="DB118" s="48">
        <v>181</v>
      </c>
      <c r="DC118" s="48">
        <v>7</v>
      </c>
      <c r="DD118" s="48">
        <f t="shared" si="155"/>
        <v>0</v>
      </c>
      <c r="DE118" s="48"/>
      <c r="DF118" s="48"/>
      <c r="DG118" s="48"/>
      <c r="DH118" s="48">
        <f t="shared" si="156"/>
        <v>0</v>
      </c>
      <c r="DI118" s="48"/>
      <c r="DJ118" s="48"/>
      <c r="DK118" s="48"/>
      <c r="DL118" s="48">
        <f t="shared" si="157"/>
        <v>0</v>
      </c>
      <c r="DM118" s="48"/>
      <c r="DN118" s="48"/>
      <c r="DO118" s="48"/>
      <c r="DP118" s="48">
        <f t="shared" si="158"/>
        <v>0</v>
      </c>
      <c r="DQ118" s="48"/>
      <c r="DR118" s="48"/>
      <c r="DS118" s="48"/>
      <c r="DT118" s="48">
        <f t="shared" si="159"/>
        <v>0</v>
      </c>
      <c r="DU118" s="48"/>
      <c r="DV118" s="48"/>
      <c r="DW118" s="48"/>
      <c r="DX118" s="48">
        <f t="shared" si="160"/>
        <v>0</v>
      </c>
      <c r="DY118" s="48">
        <f t="shared" si="161"/>
        <v>1431</v>
      </c>
      <c r="DZ118" s="48">
        <f t="shared" si="162"/>
        <v>88</v>
      </c>
      <c r="EA118" s="14">
        <f>D118*'MASTER SHEET'!D118</f>
        <v>0</v>
      </c>
      <c r="EB118" s="14">
        <f>H118*'MASTER SHEET'!D118</f>
        <v>0</v>
      </c>
      <c r="EC118" s="14">
        <f>L118*'MASTER SHEET'!D118</f>
        <v>0</v>
      </c>
      <c r="ED118" s="14">
        <f>P118*'MASTER SHEET'!D118</f>
        <v>0</v>
      </c>
      <c r="EE118" s="14">
        <f>T118*'MASTER SHEET'!D118</f>
        <v>0</v>
      </c>
      <c r="EF118" s="14">
        <f>X118*'MASTER SHEET'!D118</f>
        <v>0</v>
      </c>
      <c r="EG118" s="14">
        <f>AB118*'MASTER SHEET'!D118</f>
        <v>0</v>
      </c>
      <c r="EH118" s="14">
        <f>AF118*'MASTER SHEET'!D118</f>
        <v>0</v>
      </c>
      <c r="EI118" s="14">
        <f>AJ118*'MASTER SHEET'!D118</f>
        <v>0</v>
      </c>
      <c r="EJ118" s="14">
        <f>AN118*'MASTER SHEET'!D118</f>
        <v>0</v>
      </c>
      <c r="EK118" s="14">
        <f>AR118*'MASTER SHEET'!D118</f>
        <v>0</v>
      </c>
      <c r="EL118" s="14">
        <f>AV118*'MASTER SHEET'!D118</f>
        <v>0</v>
      </c>
      <c r="EM118" s="14">
        <f>AZ118*'MASTER SHEET'!D118</f>
        <v>0</v>
      </c>
      <c r="EN118" s="14">
        <f>BD118*'MASTER SHEET'!D118</f>
        <v>0</v>
      </c>
      <c r="EO118" s="14">
        <f>BH118*'MASTER SHEET'!D118</f>
        <v>0</v>
      </c>
      <c r="EP118" s="14">
        <f>BL118*'MASTER SHEET'!D118</f>
        <v>0</v>
      </c>
      <c r="EQ118" s="14">
        <f>BP118*'MASTER SHEET'!D118</f>
        <v>0</v>
      </c>
      <c r="ER118" s="14">
        <f>BT118*'MASTER SHEET'!D118</f>
        <v>0</v>
      </c>
      <c r="ES118" s="14">
        <f>BX118*'MASTER SHEET'!D118</f>
        <v>0</v>
      </c>
      <c r="ET118" s="21">
        <f>CB118*'MASTER SHEET'!D118</f>
        <v>0</v>
      </c>
      <c r="EU118" s="14">
        <f>CF118*'MASTER SHEET'!D118</f>
        <v>0</v>
      </c>
      <c r="EV118" s="14">
        <f>CJ118*'MASTER SHEET'!D118</f>
        <v>0</v>
      </c>
      <c r="EW118" s="14">
        <f>CN118*'MASTER SHEET'!D118</f>
        <v>0</v>
      </c>
      <c r="EX118" s="14">
        <f>CR118*'MASTER SHEET'!D118</f>
        <v>0</v>
      </c>
      <c r="EY118" s="14">
        <f>CR118*'MASTER SHEET'!D118</f>
        <v>0</v>
      </c>
      <c r="EZ118" s="14">
        <f>CV118*'MASTER SHEET'!D118</f>
        <v>0</v>
      </c>
      <c r="FA118" s="14">
        <f>CZ118*'MASTER SHEET'!D118</f>
        <v>0</v>
      </c>
      <c r="FB118" s="14">
        <f>DD118*'MASTER SHEET'!D118</f>
        <v>0</v>
      </c>
    </row>
    <row r="119" spans="1:158" ht="18.75" customHeight="1" x14ac:dyDescent="0.25">
      <c r="A119" s="43">
        <f>'MASTER SHEET'!A119</f>
        <v>117</v>
      </c>
      <c r="B119" s="49" t="str">
        <f>'MASTER SHEET'!B119</f>
        <v>FLANGE ASS.,PLASTIC</v>
      </c>
      <c r="C119" s="86">
        <f>'MASTER SHEET'!C119</f>
        <v>5049200</v>
      </c>
      <c r="D119" s="51"/>
      <c r="E119" s="48"/>
      <c r="F119" s="48"/>
      <c r="G119" s="48"/>
      <c r="H119" s="48">
        <f t="shared" si="130"/>
        <v>0</v>
      </c>
      <c r="I119" s="28"/>
      <c r="J119" s="28"/>
      <c r="K119" s="65"/>
      <c r="L119" s="48">
        <f t="shared" si="131"/>
        <v>0</v>
      </c>
      <c r="M119" s="48"/>
      <c r="N119" s="48"/>
      <c r="O119" s="48"/>
      <c r="P119" s="48">
        <f t="shared" si="132"/>
        <v>0</v>
      </c>
      <c r="Q119" s="48"/>
      <c r="R119" s="48"/>
      <c r="S119" s="48"/>
      <c r="T119" s="48">
        <f t="shared" si="133"/>
        <v>0</v>
      </c>
      <c r="U119" s="48">
        <v>0</v>
      </c>
      <c r="V119" s="48"/>
      <c r="W119" s="48"/>
      <c r="X119" s="48">
        <f t="shared" si="134"/>
        <v>0</v>
      </c>
      <c r="Y119" s="48"/>
      <c r="Z119" s="48"/>
      <c r="AA119" s="48"/>
      <c r="AB119" s="48">
        <f t="shared" si="135"/>
        <v>0</v>
      </c>
      <c r="AC119" s="48"/>
      <c r="AD119" s="48"/>
      <c r="AE119" s="48"/>
      <c r="AF119" s="48">
        <f t="shared" si="136"/>
        <v>0</v>
      </c>
      <c r="AG119" s="48"/>
      <c r="AH119" s="48"/>
      <c r="AI119" s="48"/>
      <c r="AJ119" s="48">
        <f t="shared" si="137"/>
        <v>0</v>
      </c>
      <c r="AK119" s="48"/>
      <c r="AL119" s="48"/>
      <c r="AM119" s="48"/>
      <c r="AN119" s="48">
        <f t="shared" si="138"/>
        <v>0</v>
      </c>
      <c r="AO119" s="48"/>
      <c r="AP119" s="48"/>
      <c r="AQ119" s="48"/>
      <c r="AR119" s="48">
        <f t="shared" si="139"/>
        <v>0</v>
      </c>
      <c r="AS119" s="48"/>
      <c r="AT119" s="48"/>
      <c r="AU119" s="48"/>
      <c r="AV119" s="48">
        <f t="shared" si="140"/>
        <v>0</v>
      </c>
      <c r="AW119" s="48"/>
      <c r="AX119" s="48"/>
      <c r="AY119" s="48"/>
      <c r="AZ119" s="48">
        <f t="shared" si="141"/>
        <v>0</v>
      </c>
      <c r="BA119" s="48"/>
      <c r="BB119" s="48"/>
      <c r="BC119" s="48"/>
      <c r="BD119" s="48">
        <f t="shared" si="142"/>
        <v>0</v>
      </c>
      <c r="BE119" s="48"/>
      <c r="BF119" s="48"/>
      <c r="BG119" s="48"/>
      <c r="BH119" s="48">
        <f t="shared" si="143"/>
        <v>0</v>
      </c>
      <c r="BI119" s="48"/>
      <c r="BJ119" s="48"/>
      <c r="BK119" s="48"/>
      <c r="BL119" s="48">
        <f t="shared" si="144"/>
        <v>0</v>
      </c>
      <c r="BM119" s="48"/>
      <c r="BN119" s="48"/>
      <c r="BO119" s="48"/>
      <c r="BP119" s="48">
        <f t="shared" si="145"/>
        <v>0</v>
      </c>
      <c r="BQ119" s="48"/>
      <c r="BR119" s="48"/>
      <c r="BS119" s="48"/>
      <c r="BT119" s="48">
        <f t="shared" si="146"/>
        <v>0</v>
      </c>
      <c r="BU119" s="48"/>
      <c r="BV119" s="48"/>
      <c r="BW119" s="48"/>
      <c r="BX119" s="48">
        <f t="shared" si="147"/>
        <v>0</v>
      </c>
      <c r="BY119" s="48"/>
      <c r="BZ119" s="48"/>
      <c r="CA119" s="48"/>
      <c r="CB119" s="48">
        <f t="shared" si="148"/>
        <v>0</v>
      </c>
      <c r="CC119" s="48"/>
      <c r="CD119" s="48"/>
      <c r="CE119" s="48"/>
      <c r="CF119" s="48">
        <f t="shared" si="149"/>
        <v>0</v>
      </c>
      <c r="CG119" s="48"/>
      <c r="CH119" s="48"/>
      <c r="CI119" s="48"/>
      <c r="CJ119" s="48">
        <f t="shared" si="150"/>
        <v>0</v>
      </c>
      <c r="CK119" s="48"/>
      <c r="CL119" s="48"/>
      <c r="CM119" s="48"/>
      <c r="CN119" s="48">
        <f t="shared" si="151"/>
        <v>0</v>
      </c>
      <c r="CO119" s="48"/>
      <c r="CP119" s="48"/>
      <c r="CQ119" s="48"/>
      <c r="CR119" s="48">
        <f t="shared" si="152"/>
        <v>0</v>
      </c>
      <c r="CS119" s="48"/>
      <c r="CT119" s="48"/>
      <c r="CU119" s="48"/>
      <c r="CV119" s="48">
        <f t="shared" si="153"/>
        <v>0</v>
      </c>
      <c r="CW119" s="48"/>
      <c r="CX119" s="48"/>
      <c r="CY119" s="48"/>
      <c r="CZ119" s="48">
        <f t="shared" si="154"/>
        <v>0</v>
      </c>
      <c r="DA119" s="48"/>
      <c r="DB119" s="48"/>
      <c r="DC119" s="48"/>
      <c r="DD119" s="48">
        <f t="shared" si="155"/>
        <v>0</v>
      </c>
      <c r="DE119" s="48"/>
      <c r="DF119" s="48"/>
      <c r="DG119" s="48"/>
      <c r="DH119" s="48">
        <f t="shared" si="156"/>
        <v>0</v>
      </c>
      <c r="DI119" s="48"/>
      <c r="DJ119" s="48"/>
      <c r="DK119" s="48"/>
      <c r="DL119" s="48">
        <f t="shared" si="157"/>
        <v>0</v>
      </c>
      <c r="DM119" s="48"/>
      <c r="DN119" s="48"/>
      <c r="DO119" s="48"/>
      <c r="DP119" s="48">
        <f t="shared" si="158"/>
        <v>0</v>
      </c>
      <c r="DQ119" s="48"/>
      <c r="DR119" s="48"/>
      <c r="DS119" s="48"/>
      <c r="DT119" s="48">
        <f t="shared" si="159"/>
        <v>0</v>
      </c>
      <c r="DU119" s="48"/>
      <c r="DV119" s="48"/>
      <c r="DW119" s="48"/>
      <c r="DX119" s="48">
        <f t="shared" si="160"/>
        <v>0</v>
      </c>
      <c r="DY119" s="48">
        <f t="shared" si="161"/>
        <v>0</v>
      </c>
      <c r="DZ119" s="48">
        <f t="shared" si="162"/>
        <v>0</v>
      </c>
      <c r="EA119" s="14">
        <f>D119*'MASTER SHEET'!D119</f>
        <v>0</v>
      </c>
      <c r="EB119" s="14">
        <f>H119*'MASTER SHEET'!D119</f>
        <v>0</v>
      </c>
      <c r="EC119" s="14">
        <f>L119*'MASTER SHEET'!D119</f>
        <v>0</v>
      </c>
      <c r="ED119" s="14">
        <f>P119*'MASTER SHEET'!D119</f>
        <v>0</v>
      </c>
      <c r="EE119" s="14">
        <f>T119*'MASTER SHEET'!D119</f>
        <v>0</v>
      </c>
      <c r="EF119" s="14">
        <f>X119*'MASTER SHEET'!D119</f>
        <v>0</v>
      </c>
      <c r="EG119" s="14">
        <f>AB119*'MASTER SHEET'!D119</f>
        <v>0</v>
      </c>
      <c r="EH119" s="14">
        <f>AF119*'MASTER SHEET'!D119</f>
        <v>0</v>
      </c>
      <c r="EI119" s="14">
        <f>AJ119*'MASTER SHEET'!D119</f>
        <v>0</v>
      </c>
      <c r="EJ119" s="14">
        <f>AN119*'MASTER SHEET'!D119</f>
        <v>0</v>
      </c>
      <c r="EK119" s="14">
        <f>AR119*'MASTER SHEET'!D119</f>
        <v>0</v>
      </c>
      <c r="EL119" s="14">
        <f>AV119*'MASTER SHEET'!D119</f>
        <v>0</v>
      </c>
      <c r="EM119" s="14">
        <f>AZ119*'MASTER SHEET'!D119</f>
        <v>0</v>
      </c>
      <c r="EN119" s="14">
        <f>BD119*'MASTER SHEET'!D119</f>
        <v>0</v>
      </c>
      <c r="EO119" s="14">
        <f>BH119*'MASTER SHEET'!D119</f>
        <v>0</v>
      </c>
      <c r="EP119" s="14">
        <f>BL119*'MASTER SHEET'!D119</f>
        <v>0</v>
      </c>
      <c r="EQ119" s="14">
        <f>BP119*'MASTER SHEET'!D119</f>
        <v>0</v>
      </c>
      <c r="ER119" s="14">
        <f>BT119*'MASTER SHEET'!D119</f>
        <v>0</v>
      </c>
      <c r="ES119" s="14">
        <f>BX119*'MASTER SHEET'!D119</f>
        <v>0</v>
      </c>
      <c r="ET119" s="21">
        <f>CB119*'MASTER SHEET'!D119</f>
        <v>0</v>
      </c>
      <c r="EU119" s="14">
        <f>CF119*'MASTER SHEET'!D119</f>
        <v>0</v>
      </c>
      <c r="EV119" s="14">
        <f>CJ119*'MASTER SHEET'!D119</f>
        <v>0</v>
      </c>
      <c r="EW119" s="14">
        <f>CN119*'MASTER SHEET'!D119</f>
        <v>0</v>
      </c>
      <c r="EX119" s="14">
        <f>CR119*'MASTER SHEET'!D119</f>
        <v>0</v>
      </c>
      <c r="EY119" s="14">
        <f>CR119*'MASTER SHEET'!D119</f>
        <v>0</v>
      </c>
      <c r="EZ119" s="14">
        <f>CV119*'MASTER SHEET'!D119</f>
        <v>0</v>
      </c>
      <c r="FA119" s="14">
        <f>CZ119*'MASTER SHEET'!D119</f>
        <v>0</v>
      </c>
      <c r="FB119" s="14">
        <f>DD119*'MASTER SHEET'!D119</f>
        <v>0</v>
      </c>
    </row>
    <row r="120" spans="1:158" ht="18.75" customHeight="1" x14ac:dyDescent="0.25">
      <c r="A120" s="43">
        <f>'MASTER SHEET'!A120</f>
        <v>118</v>
      </c>
      <c r="B120" s="49" t="str">
        <f>'MASTER SHEET'!B120</f>
        <v>CLAMP</v>
      </c>
      <c r="C120" s="86">
        <f>'MASTER SHEET'!C120</f>
        <v>65254</v>
      </c>
      <c r="D120" s="51"/>
      <c r="E120" s="48"/>
      <c r="F120" s="48"/>
      <c r="G120" s="48"/>
      <c r="H120" s="48">
        <f t="shared" si="130"/>
        <v>0</v>
      </c>
      <c r="I120" s="28"/>
      <c r="J120" s="28"/>
      <c r="K120" s="65"/>
      <c r="L120" s="48">
        <f t="shared" si="131"/>
        <v>0</v>
      </c>
      <c r="M120" s="48"/>
      <c r="N120" s="48"/>
      <c r="O120" s="48"/>
      <c r="P120" s="48">
        <f t="shared" si="132"/>
        <v>0</v>
      </c>
      <c r="Q120" s="48"/>
      <c r="R120" s="48"/>
      <c r="S120" s="48"/>
      <c r="T120" s="48">
        <f t="shared" si="133"/>
        <v>0</v>
      </c>
      <c r="U120" s="48">
        <v>0</v>
      </c>
      <c r="V120" s="48"/>
      <c r="W120" s="48"/>
      <c r="X120" s="48">
        <f t="shared" si="134"/>
        <v>0</v>
      </c>
      <c r="Y120" s="48"/>
      <c r="Z120" s="48"/>
      <c r="AA120" s="48"/>
      <c r="AB120" s="48">
        <f t="shared" si="135"/>
        <v>0</v>
      </c>
      <c r="AC120" s="48"/>
      <c r="AD120" s="48"/>
      <c r="AE120" s="48"/>
      <c r="AF120" s="48">
        <f t="shared" si="136"/>
        <v>0</v>
      </c>
      <c r="AG120" s="48"/>
      <c r="AH120" s="48"/>
      <c r="AI120" s="48"/>
      <c r="AJ120" s="48">
        <f t="shared" si="137"/>
        <v>0</v>
      </c>
      <c r="AK120" s="48"/>
      <c r="AL120" s="48"/>
      <c r="AM120" s="48"/>
      <c r="AN120" s="48">
        <f t="shared" si="138"/>
        <v>0</v>
      </c>
      <c r="AO120" s="48"/>
      <c r="AP120" s="48"/>
      <c r="AQ120" s="48"/>
      <c r="AR120" s="48">
        <f t="shared" si="139"/>
        <v>0</v>
      </c>
      <c r="AS120" s="48"/>
      <c r="AT120" s="48"/>
      <c r="AU120" s="48"/>
      <c r="AV120" s="48">
        <f t="shared" si="140"/>
        <v>0</v>
      </c>
      <c r="AW120" s="48"/>
      <c r="AX120" s="48"/>
      <c r="AY120" s="48"/>
      <c r="AZ120" s="48">
        <f t="shared" si="141"/>
        <v>0</v>
      </c>
      <c r="BA120" s="48"/>
      <c r="BB120" s="48"/>
      <c r="BC120" s="48"/>
      <c r="BD120" s="48">
        <f t="shared" si="142"/>
        <v>0</v>
      </c>
      <c r="BE120" s="48"/>
      <c r="BF120" s="48"/>
      <c r="BG120" s="48"/>
      <c r="BH120" s="48">
        <f t="shared" si="143"/>
        <v>0</v>
      </c>
      <c r="BI120" s="48"/>
      <c r="BJ120" s="48"/>
      <c r="BK120" s="48"/>
      <c r="BL120" s="48">
        <f t="shared" si="144"/>
        <v>0</v>
      </c>
      <c r="BM120" s="48"/>
      <c r="BN120" s="48"/>
      <c r="BO120" s="48"/>
      <c r="BP120" s="48">
        <f t="shared" si="145"/>
        <v>0</v>
      </c>
      <c r="BQ120" s="48"/>
      <c r="BR120" s="48"/>
      <c r="BS120" s="48"/>
      <c r="BT120" s="48">
        <f t="shared" si="146"/>
        <v>0</v>
      </c>
      <c r="BU120" s="48"/>
      <c r="BV120" s="48"/>
      <c r="BW120" s="48"/>
      <c r="BX120" s="48">
        <f t="shared" si="147"/>
        <v>0</v>
      </c>
      <c r="BY120" s="48"/>
      <c r="BZ120" s="48"/>
      <c r="CA120" s="48"/>
      <c r="CB120" s="48">
        <f t="shared" si="148"/>
        <v>0</v>
      </c>
      <c r="CC120" s="48"/>
      <c r="CD120" s="48"/>
      <c r="CE120" s="48"/>
      <c r="CF120" s="48">
        <f t="shared" si="149"/>
        <v>0</v>
      </c>
      <c r="CG120" s="48">
        <v>2476</v>
      </c>
      <c r="CH120" s="48">
        <v>2136</v>
      </c>
      <c r="CI120" s="48">
        <v>340</v>
      </c>
      <c r="CJ120" s="48">
        <f t="shared" si="150"/>
        <v>0</v>
      </c>
      <c r="CK120" s="48">
        <v>1136</v>
      </c>
      <c r="CL120" s="48">
        <v>1124</v>
      </c>
      <c r="CM120" s="48">
        <v>12</v>
      </c>
      <c r="CN120" s="48">
        <f t="shared" si="151"/>
        <v>0</v>
      </c>
      <c r="CO120" s="48">
        <v>0</v>
      </c>
      <c r="CP120" s="48">
        <v>0</v>
      </c>
      <c r="CQ120" s="48">
        <v>0</v>
      </c>
      <c r="CR120" s="48">
        <f t="shared" si="152"/>
        <v>0</v>
      </c>
      <c r="CS120" s="48">
        <v>0</v>
      </c>
      <c r="CT120" s="48">
        <v>0</v>
      </c>
      <c r="CU120" s="48">
        <v>0</v>
      </c>
      <c r="CV120" s="48">
        <f t="shared" si="153"/>
        <v>0</v>
      </c>
      <c r="CW120" s="48">
        <v>0</v>
      </c>
      <c r="CX120" s="48">
        <v>0</v>
      </c>
      <c r="CY120" s="48">
        <v>0</v>
      </c>
      <c r="CZ120" s="48">
        <f t="shared" si="154"/>
        <v>0</v>
      </c>
      <c r="DA120" s="48"/>
      <c r="DB120" s="48"/>
      <c r="DC120" s="48"/>
      <c r="DD120" s="48">
        <f t="shared" si="155"/>
        <v>0</v>
      </c>
      <c r="DE120" s="48">
        <v>0</v>
      </c>
      <c r="DF120" s="48">
        <v>0</v>
      </c>
      <c r="DG120" s="48">
        <v>0</v>
      </c>
      <c r="DH120" s="48">
        <f t="shared" si="156"/>
        <v>0</v>
      </c>
      <c r="DI120" s="48"/>
      <c r="DJ120" s="48"/>
      <c r="DK120" s="48"/>
      <c r="DL120" s="48">
        <f t="shared" si="157"/>
        <v>0</v>
      </c>
      <c r="DM120" s="48"/>
      <c r="DN120" s="48"/>
      <c r="DO120" s="48"/>
      <c r="DP120" s="48">
        <f t="shared" si="158"/>
        <v>0</v>
      </c>
      <c r="DQ120" s="48"/>
      <c r="DR120" s="48"/>
      <c r="DS120" s="48"/>
      <c r="DT120" s="48">
        <f t="shared" si="159"/>
        <v>0</v>
      </c>
      <c r="DU120" s="48"/>
      <c r="DV120" s="48"/>
      <c r="DW120" s="48"/>
      <c r="DX120" s="48">
        <f t="shared" si="160"/>
        <v>0</v>
      </c>
      <c r="DY120" s="48">
        <f t="shared" si="161"/>
        <v>3612</v>
      </c>
      <c r="DZ120" s="48">
        <f t="shared" si="162"/>
        <v>352</v>
      </c>
      <c r="EA120" s="14">
        <f>D120*'MASTER SHEET'!D120</f>
        <v>0</v>
      </c>
      <c r="EB120" s="14">
        <f>H120*'MASTER SHEET'!D120</f>
        <v>0</v>
      </c>
      <c r="EC120" s="14">
        <f>L120*'MASTER SHEET'!D120</f>
        <v>0</v>
      </c>
      <c r="ED120" s="14">
        <f>P120*'MASTER SHEET'!D120</f>
        <v>0</v>
      </c>
      <c r="EE120" s="14">
        <f>T120*'MASTER SHEET'!D120</f>
        <v>0</v>
      </c>
      <c r="EF120" s="14">
        <f>X120*'MASTER SHEET'!D120</f>
        <v>0</v>
      </c>
      <c r="EG120" s="14">
        <f>AB120*'MASTER SHEET'!D120</f>
        <v>0</v>
      </c>
      <c r="EH120" s="14">
        <f>AF120*'MASTER SHEET'!D120</f>
        <v>0</v>
      </c>
      <c r="EI120" s="14">
        <f>AJ120*'MASTER SHEET'!D120</f>
        <v>0</v>
      </c>
      <c r="EJ120" s="14">
        <f>AN120*'MASTER SHEET'!D120</f>
        <v>0</v>
      </c>
      <c r="EK120" s="14">
        <f>AR120*'MASTER SHEET'!D120</f>
        <v>0</v>
      </c>
      <c r="EL120" s="14">
        <f>AV120*'MASTER SHEET'!D120</f>
        <v>0</v>
      </c>
      <c r="EM120" s="14">
        <f>AZ120*'MASTER SHEET'!D120</f>
        <v>0</v>
      </c>
      <c r="EN120" s="14">
        <f>BD120*'MASTER SHEET'!D120</f>
        <v>0</v>
      </c>
      <c r="EO120" s="14">
        <f>BH120*'MASTER SHEET'!D120</f>
        <v>0</v>
      </c>
      <c r="EP120" s="14">
        <f>BL120*'MASTER SHEET'!D120</f>
        <v>0</v>
      </c>
      <c r="EQ120" s="14">
        <f>BP120*'MASTER SHEET'!D120</f>
        <v>0</v>
      </c>
      <c r="ER120" s="14">
        <f>BT120*'MASTER SHEET'!D120</f>
        <v>0</v>
      </c>
      <c r="ES120" s="14">
        <f>BX120*'MASTER SHEET'!D120</f>
        <v>0</v>
      </c>
      <c r="ET120" s="21">
        <f>CB120*'MASTER SHEET'!D120</f>
        <v>0</v>
      </c>
      <c r="EU120" s="14">
        <f>CF120*'MASTER SHEET'!D120</f>
        <v>0</v>
      </c>
      <c r="EV120" s="14">
        <f>CJ120*'MASTER SHEET'!D120</f>
        <v>0</v>
      </c>
      <c r="EW120" s="14">
        <f>CN120*'MASTER SHEET'!D120</f>
        <v>0</v>
      </c>
      <c r="EX120" s="14">
        <f>CR120*'MASTER SHEET'!D120</f>
        <v>0</v>
      </c>
      <c r="EY120" s="14">
        <f>CR120*'MASTER SHEET'!D120</f>
        <v>0</v>
      </c>
      <c r="EZ120" s="14">
        <f>CV120*'MASTER SHEET'!D120</f>
        <v>0</v>
      </c>
      <c r="FA120" s="14">
        <f>CZ120*'MASTER SHEET'!D120</f>
        <v>0</v>
      </c>
      <c r="FB120" s="14">
        <f>DD120*'MASTER SHEET'!D120</f>
        <v>0</v>
      </c>
    </row>
    <row r="121" spans="1:158" ht="18.75" customHeight="1" x14ac:dyDescent="0.25">
      <c r="A121" s="43">
        <f>'MASTER SHEET'!A121</f>
        <v>119</v>
      </c>
      <c r="B121" s="49" t="str">
        <f>'MASTER SHEET'!B121</f>
        <v>LALITPUR GREY</v>
      </c>
      <c r="C121" s="86" t="str">
        <f>'MASTER SHEET'!C121</f>
        <v>JA00002476</v>
      </c>
      <c r="D121" s="51"/>
      <c r="E121" s="48"/>
      <c r="F121" s="48"/>
      <c r="G121" s="48"/>
      <c r="H121" s="48">
        <f t="shared" si="130"/>
        <v>0</v>
      </c>
      <c r="I121" s="28"/>
      <c r="J121" s="28"/>
      <c r="K121" s="65"/>
      <c r="L121" s="48">
        <f t="shared" si="131"/>
        <v>0</v>
      </c>
      <c r="M121" s="48"/>
      <c r="N121" s="48"/>
      <c r="O121" s="48"/>
      <c r="P121" s="48">
        <f t="shared" si="132"/>
        <v>0</v>
      </c>
      <c r="Q121" s="48">
        <v>6992</v>
      </c>
      <c r="R121" s="48">
        <v>6968</v>
      </c>
      <c r="S121" s="48">
        <v>24</v>
      </c>
      <c r="T121" s="48">
        <f t="shared" si="133"/>
        <v>0</v>
      </c>
      <c r="U121" s="48">
        <v>11626</v>
      </c>
      <c r="V121" s="48">
        <v>11614</v>
      </c>
      <c r="W121" s="48">
        <v>12</v>
      </c>
      <c r="X121" s="48">
        <f t="shared" si="134"/>
        <v>0</v>
      </c>
      <c r="Y121" s="48">
        <v>11952</v>
      </c>
      <c r="Z121" s="48">
        <v>11952</v>
      </c>
      <c r="AA121" s="48">
        <v>0</v>
      </c>
      <c r="AB121" s="48">
        <f t="shared" si="135"/>
        <v>0</v>
      </c>
      <c r="AC121" s="48">
        <v>11784</v>
      </c>
      <c r="AD121" s="48">
        <v>11744</v>
      </c>
      <c r="AE121" s="48">
        <v>40</v>
      </c>
      <c r="AF121" s="48">
        <f t="shared" si="136"/>
        <v>0</v>
      </c>
      <c r="AG121" s="48">
        <v>8990</v>
      </c>
      <c r="AH121" s="48">
        <v>8973</v>
      </c>
      <c r="AI121" s="48">
        <v>17</v>
      </c>
      <c r="AJ121" s="48">
        <f t="shared" si="137"/>
        <v>0</v>
      </c>
      <c r="AK121" s="48"/>
      <c r="AL121" s="48"/>
      <c r="AM121" s="48"/>
      <c r="AN121" s="48">
        <f t="shared" si="138"/>
        <v>0</v>
      </c>
      <c r="AO121" s="48"/>
      <c r="AP121" s="48"/>
      <c r="AQ121" s="48"/>
      <c r="AR121" s="48">
        <f t="shared" si="139"/>
        <v>0</v>
      </c>
      <c r="AS121" s="48"/>
      <c r="AT121" s="48"/>
      <c r="AU121" s="48"/>
      <c r="AV121" s="48">
        <f t="shared" si="140"/>
        <v>0</v>
      </c>
      <c r="AW121" s="48"/>
      <c r="AX121" s="48"/>
      <c r="AY121" s="48"/>
      <c r="AZ121" s="48">
        <f t="shared" si="141"/>
        <v>0</v>
      </c>
      <c r="BA121" s="48"/>
      <c r="BB121" s="48"/>
      <c r="BC121" s="48"/>
      <c r="BD121" s="48">
        <f t="shared" si="142"/>
        <v>0</v>
      </c>
      <c r="BE121" s="48"/>
      <c r="BF121" s="48"/>
      <c r="BG121" s="48"/>
      <c r="BH121" s="48">
        <f t="shared" si="143"/>
        <v>0</v>
      </c>
      <c r="BI121" s="48"/>
      <c r="BJ121" s="48"/>
      <c r="BK121" s="48"/>
      <c r="BL121" s="48">
        <f t="shared" si="144"/>
        <v>0</v>
      </c>
      <c r="BM121" s="48"/>
      <c r="BN121" s="48"/>
      <c r="BO121" s="48"/>
      <c r="BP121" s="48">
        <f t="shared" si="145"/>
        <v>0</v>
      </c>
      <c r="BQ121" s="48"/>
      <c r="BR121" s="48"/>
      <c r="BS121" s="48"/>
      <c r="BT121" s="48">
        <f t="shared" si="146"/>
        <v>0</v>
      </c>
      <c r="BU121" s="48"/>
      <c r="BV121" s="48"/>
      <c r="BW121" s="48"/>
      <c r="BX121" s="48">
        <f t="shared" si="147"/>
        <v>0</v>
      </c>
      <c r="BY121" s="48"/>
      <c r="BZ121" s="48"/>
      <c r="CA121" s="48"/>
      <c r="CB121" s="48">
        <f t="shared" si="148"/>
        <v>0</v>
      </c>
      <c r="CC121" s="48">
        <v>0</v>
      </c>
      <c r="CD121" s="48">
        <v>0</v>
      </c>
      <c r="CE121" s="48">
        <v>0</v>
      </c>
      <c r="CF121" s="48">
        <f t="shared" si="149"/>
        <v>0</v>
      </c>
      <c r="CG121" s="48">
        <v>0</v>
      </c>
      <c r="CH121" s="48">
        <v>0</v>
      </c>
      <c r="CI121" s="48">
        <v>0</v>
      </c>
      <c r="CJ121" s="48">
        <f t="shared" si="150"/>
        <v>0</v>
      </c>
      <c r="CK121" s="48"/>
      <c r="CL121" s="48"/>
      <c r="CM121" s="48"/>
      <c r="CN121" s="48">
        <f t="shared" si="151"/>
        <v>0</v>
      </c>
      <c r="CO121" s="48">
        <v>11260</v>
      </c>
      <c r="CP121" s="48">
        <v>11252</v>
      </c>
      <c r="CQ121" s="48">
        <v>8</v>
      </c>
      <c r="CR121" s="48">
        <f t="shared" si="152"/>
        <v>0</v>
      </c>
      <c r="CS121" s="48">
        <v>1512</v>
      </c>
      <c r="CT121" s="48">
        <v>1508</v>
      </c>
      <c r="CU121" s="48">
        <v>4</v>
      </c>
      <c r="CV121" s="48">
        <f t="shared" si="153"/>
        <v>0</v>
      </c>
      <c r="CW121" s="48">
        <v>0</v>
      </c>
      <c r="CX121" s="48">
        <v>0</v>
      </c>
      <c r="CY121" s="48">
        <v>0</v>
      </c>
      <c r="CZ121" s="48">
        <f t="shared" si="154"/>
        <v>0</v>
      </c>
      <c r="DA121" s="48"/>
      <c r="DB121" s="48"/>
      <c r="DC121" s="48"/>
      <c r="DD121" s="48">
        <f t="shared" si="155"/>
        <v>0</v>
      </c>
      <c r="DE121" s="48">
        <v>0</v>
      </c>
      <c r="DF121" s="48">
        <v>0</v>
      </c>
      <c r="DG121" s="48">
        <v>0</v>
      </c>
      <c r="DH121" s="48">
        <f t="shared" si="156"/>
        <v>0</v>
      </c>
      <c r="DI121" s="48"/>
      <c r="DJ121" s="48"/>
      <c r="DK121" s="48"/>
      <c r="DL121" s="48">
        <f t="shared" si="157"/>
        <v>0</v>
      </c>
      <c r="DM121" s="48"/>
      <c r="DN121" s="48"/>
      <c r="DO121" s="48"/>
      <c r="DP121" s="48">
        <f t="shared" si="158"/>
        <v>0</v>
      </c>
      <c r="DQ121" s="48"/>
      <c r="DR121" s="48"/>
      <c r="DS121" s="48"/>
      <c r="DT121" s="48">
        <f t="shared" si="159"/>
        <v>0</v>
      </c>
      <c r="DU121" s="48"/>
      <c r="DV121" s="48"/>
      <c r="DW121" s="48"/>
      <c r="DX121" s="48">
        <f t="shared" si="160"/>
        <v>0</v>
      </c>
      <c r="DY121" s="48">
        <f t="shared" si="161"/>
        <v>64116</v>
      </c>
      <c r="DZ121" s="48">
        <f t="shared" si="162"/>
        <v>105</v>
      </c>
      <c r="EA121" s="14">
        <f>D121*'MASTER SHEET'!D121</f>
        <v>0</v>
      </c>
      <c r="EB121" s="14">
        <f>H121*'MASTER SHEET'!D121</f>
        <v>0</v>
      </c>
      <c r="EC121" s="14">
        <f>L121*'MASTER SHEET'!D121</f>
        <v>0</v>
      </c>
      <c r="ED121" s="14">
        <f>P121*'MASTER SHEET'!D121</f>
        <v>0</v>
      </c>
      <c r="EE121" s="14">
        <f>T121*'MASTER SHEET'!D121</f>
        <v>0</v>
      </c>
      <c r="EF121" s="14">
        <f>X121*'MASTER SHEET'!D121</f>
        <v>0</v>
      </c>
      <c r="EG121" s="14">
        <f>AB121*'MASTER SHEET'!D121</f>
        <v>0</v>
      </c>
      <c r="EH121" s="14">
        <f>AF121*'MASTER SHEET'!D121</f>
        <v>0</v>
      </c>
      <c r="EI121" s="14">
        <f>AJ121*'MASTER SHEET'!D121</f>
        <v>0</v>
      </c>
      <c r="EJ121" s="14">
        <f>AN121*'MASTER SHEET'!D121</f>
        <v>0</v>
      </c>
      <c r="EK121" s="14">
        <f>AR121*'MASTER SHEET'!D121</f>
        <v>0</v>
      </c>
      <c r="EL121" s="14">
        <f>AV121*'MASTER SHEET'!D121</f>
        <v>0</v>
      </c>
      <c r="EM121" s="14">
        <f>AZ121*'MASTER SHEET'!D121</f>
        <v>0</v>
      </c>
      <c r="EN121" s="14">
        <f>BD121*'MASTER SHEET'!D121</f>
        <v>0</v>
      </c>
      <c r="EO121" s="14">
        <f>BH121*'MASTER SHEET'!D121</f>
        <v>0</v>
      </c>
      <c r="EP121" s="14">
        <f>BL121*'MASTER SHEET'!D121</f>
        <v>0</v>
      </c>
      <c r="EQ121" s="14">
        <f>BP121*'MASTER SHEET'!D121</f>
        <v>0</v>
      </c>
      <c r="ER121" s="14">
        <f>BT121*'MASTER SHEET'!D121</f>
        <v>0</v>
      </c>
      <c r="ES121" s="14">
        <f>BX121*'MASTER SHEET'!D121</f>
        <v>0</v>
      </c>
      <c r="ET121" s="21">
        <f>CB121*'MASTER SHEET'!D121</f>
        <v>0</v>
      </c>
      <c r="EU121" s="14">
        <f>CF121*'MASTER SHEET'!D121</f>
        <v>0</v>
      </c>
      <c r="EV121" s="14">
        <f>CJ121*'MASTER SHEET'!D121</f>
        <v>0</v>
      </c>
      <c r="EW121" s="14">
        <f>CN121*'MASTER SHEET'!D121</f>
        <v>0</v>
      </c>
      <c r="EX121" s="14">
        <f>CR121*'MASTER SHEET'!D121</f>
        <v>0</v>
      </c>
      <c r="EY121" s="14">
        <f>CR121*'MASTER SHEET'!D121</f>
        <v>0</v>
      </c>
      <c r="EZ121" s="14">
        <f>CV121*'MASTER SHEET'!D121</f>
        <v>0</v>
      </c>
      <c r="FA121" s="14">
        <f>CZ121*'MASTER SHEET'!D121</f>
        <v>0</v>
      </c>
      <c r="FB121" s="14">
        <f>DD121*'MASTER SHEET'!D121</f>
        <v>0</v>
      </c>
    </row>
    <row r="122" spans="1:158" ht="18.75" customHeight="1" x14ac:dyDescent="0.25">
      <c r="A122" s="43">
        <f>'MASTER SHEET'!A122</f>
        <v>120</v>
      </c>
      <c r="B122" s="49" t="str">
        <f>'MASTER SHEET'!B122</f>
        <v>KOTA GREY</v>
      </c>
      <c r="C122" s="86" t="str">
        <f>'MASTER SHEET'!C122</f>
        <v>JA00004142</v>
      </c>
      <c r="D122" s="51"/>
      <c r="E122" s="48"/>
      <c r="F122" s="48"/>
      <c r="G122" s="48"/>
      <c r="H122" s="48">
        <f t="shared" si="130"/>
        <v>0</v>
      </c>
      <c r="I122" s="28"/>
      <c r="J122" s="28"/>
      <c r="K122" s="65"/>
      <c r="L122" s="48">
        <f t="shared" si="131"/>
        <v>0</v>
      </c>
      <c r="M122" s="48"/>
      <c r="N122" s="48"/>
      <c r="O122" s="48"/>
      <c r="P122" s="48">
        <f t="shared" si="132"/>
        <v>0</v>
      </c>
      <c r="Q122" s="48"/>
      <c r="R122" s="48"/>
      <c r="S122" s="48"/>
      <c r="T122" s="48">
        <f t="shared" si="133"/>
        <v>0</v>
      </c>
      <c r="U122" s="48">
        <v>0</v>
      </c>
      <c r="V122" s="48"/>
      <c r="W122" s="48"/>
      <c r="X122" s="48">
        <f t="shared" si="134"/>
        <v>0</v>
      </c>
      <c r="Y122" s="48"/>
      <c r="Z122" s="48"/>
      <c r="AA122" s="48"/>
      <c r="AB122" s="48">
        <f t="shared" si="135"/>
        <v>0</v>
      </c>
      <c r="AC122" s="48"/>
      <c r="AD122" s="48"/>
      <c r="AE122" s="48"/>
      <c r="AF122" s="48">
        <f t="shared" si="136"/>
        <v>0</v>
      </c>
      <c r="AG122" s="48">
        <v>2340</v>
      </c>
      <c r="AH122" s="48">
        <v>2328</v>
      </c>
      <c r="AI122" s="48">
        <v>12</v>
      </c>
      <c r="AJ122" s="48">
        <f t="shared" si="137"/>
        <v>0</v>
      </c>
      <c r="AK122" s="48">
        <v>11148</v>
      </c>
      <c r="AL122" s="48">
        <v>11112</v>
      </c>
      <c r="AM122" s="48">
        <v>36</v>
      </c>
      <c r="AN122" s="48">
        <f t="shared" si="138"/>
        <v>0</v>
      </c>
      <c r="AO122" s="48">
        <v>7876</v>
      </c>
      <c r="AP122" s="48">
        <v>7856</v>
      </c>
      <c r="AQ122" s="48">
        <v>20</v>
      </c>
      <c r="AR122" s="48">
        <f t="shared" si="139"/>
        <v>0</v>
      </c>
      <c r="AS122" s="48">
        <v>0</v>
      </c>
      <c r="AT122" s="48">
        <v>0</v>
      </c>
      <c r="AU122" s="48">
        <v>0</v>
      </c>
      <c r="AV122" s="48">
        <f t="shared" si="140"/>
        <v>0</v>
      </c>
      <c r="AW122" s="48">
        <v>0</v>
      </c>
      <c r="AX122" s="48">
        <v>0</v>
      </c>
      <c r="AY122" s="48">
        <v>0</v>
      </c>
      <c r="AZ122" s="48">
        <f t="shared" si="141"/>
        <v>0</v>
      </c>
      <c r="BA122" s="48">
        <v>0</v>
      </c>
      <c r="BB122" s="48">
        <v>0</v>
      </c>
      <c r="BC122" s="48">
        <v>0</v>
      </c>
      <c r="BD122" s="48">
        <f t="shared" si="142"/>
        <v>0</v>
      </c>
      <c r="BE122" s="48">
        <v>0</v>
      </c>
      <c r="BF122" s="48">
        <v>0</v>
      </c>
      <c r="BG122" s="48">
        <v>0</v>
      </c>
      <c r="BH122" s="48">
        <f t="shared" si="143"/>
        <v>0</v>
      </c>
      <c r="BI122" s="48">
        <v>0</v>
      </c>
      <c r="BJ122" s="48">
        <v>0</v>
      </c>
      <c r="BK122" s="48">
        <v>0</v>
      </c>
      <c r="BL122" s="48">
        <f t="shared" si="144"/>
        <v>0</v>
      </c>
      <c r="BM122" s="48">
        <v>0</v>
      </c>
      <c r="BN122" s="48">
        <v>0</v>
      </c>
      <c r="BO122" s="48">
        <v>0</v>
      </c>
      <c r="BP122" s="48">
        <f t="shared" si="145"/>
        <v>0</v>
      </c>
      <c r="BQ122" s="48">
        <v>10312</v>
      </c>
      <c r="BR122" s="48">
        <v>10268</v>
      </c>
      <c r="BS122" s="48">
        <v>44</v>
      </c>
      <c r="BT122" s="48">
        <f t="shared" si="146"/>
        <v>0</v>
      </c>
      <c r="BU122" s="48">
        <v>11732</v>
      </c>
      <c r="BV122" s="48">
        <v>11712</v>
      </c>
      <c r="BW122" s="48">
        <v>20</v>
      </c>
      <c r="BX122" s="48">
        <f t="shared" si="147"/>
        <v>0</v>
      </c>
      <c r="BY122" s="48"/>
      <c r="BZ122" s="48"/>
      <c r="CA122" s="48"/>
      <c r="CB122" s="48">
        <f t="shared" si="148"/>
        <v>0</v>
      </c>
      <c r="CC122" s="48">
        <v>6856</v>
      </c>
      <c r="CD122" s="48">
        <v>6852</v>
      </c>
      <c r="CE122" s="48">
        <v>4</v>
      </c>
      <c r="CF122" s="48">
        <f t="shared" si="149"/>
        <v>0</v>
      </c>
      <c r="CG122" s="48"/>
      <c r="CH122" s="48"/>
      <c r="CI122" s="48"/>
      <c r="CJ122" s="48">
        <f t="shared" si="150"/>
        <v>0</v>
      </c>
      <c r="CK122" s="48">
        <f>3592+5588</f>
        <v>9180</v>
      </c>
      <c r="CL122" s="48">
        <f>5580+3522</f>
        <v>9102</v>
      </c>
      <c r="CM122" s="48">
        <f>70+8</f>
        <v>78</v>
      </c>
      <c r="CN122" s="48">
        <f t="shared" si="151"/>
        <v>0</v>
      </c>
      <c r="CO122" s="48"/>
      <c r="CP122" s="48"/>
      <c r="CQ122" s="48"/>
      <c r="CR122" s="48">
        <f t="shared" si="152"/>
        <v>0</v>
      </c>
      <c r="CS122" s="48"/>
      <c r="CT122" s="48"/>
      <c r="CU122" s="48"/>
      <c r="CV122" s="48">
        <f t="shared" si="153"/>
        <v>0</v>
      </c>
      <c r="CW122" s="48"/>
      <c r="CX122" s="48"/>
      <c r="CY122" s="48"/>
      <c r="CZ122" s="48">
        <f t="shared" si="154"/>
        <v>0</v>
      </c>
      <c r="DA122" s="48"/>
      <c r="DB122" s="48"/>
      <c r="DC122" s="48"/>
      <c r="DD122" s="48">
        <f t="shared" si="155"/>
        <v>0</v>
      </c>
      <c r="DE122" s="48"/>
      <c r="DF122" s="48"/>
      <c r="DG122" s="48"/>
      <c r="DH122" s="48">
        <f t="shared" si="156"/>
        <v>0</v>
      </c>
      <c r="DI122" s="48"/>
      <c r="DJ122" s="48"/>
      <c r="DK122" s="48"/>
      <c r="DL122" s="48">
        <f t="shared" si="157"/>
        <v>0</v>
      </c>
      <c r="DM122" s="48">
        <v>0</v>
      </c>
      <c r="DN122" s="48">
        <v>0</v>
      </c>
      <c r="DO122" s="48">
        <v>0</v>
      </c>
      <c r="DP122" s="48">
        <f t="shared" si="158"/>
        <v>0</v>
      </c>
      <c r="DQ122" s="48"/>
      <c r="DR122" s="48"/>
      <c r="DS122" s="48"/>
      <c r="DT122" s="48">
        <f t="shared" si="159"/>
        <v>0</v>
      </c>
      <c r="DU122" s="48"/>
      <c r="DV122" s="48"/>
      <c r="DW122" s="48"/>
      <c r="DX122" s="48">
        <f t="shared" si="160"/>
        <v>0</v>
      </c>
      <c r="DY122" s="48">
        <f t="shared" si="161"/>
        <v>59444</v>
      </c>
      <c r="DZ122" s="48">
        <f t="shared" si="162"/>
        <v>214</v>
      </c>
      <c r="EA122" s="14">
        <f>D122*'MASTER SHEET'!D122</f>
        <v>0</v>
      </c>
      <c r="EB122" s="14">
        <f>H122*'MASTER SHEET'!D122</f>
        <v>0</v>
      </c>
      <c r="EC122" s="14">
        <f>L122*'MASTER SHEET'!D122</f>
        <v>0</v>
      </c>
      <c r="ED122" s="14">
        <f>P122*'MASTER SHEET'!D122</f>
        <v>0</v>
      </c>
      <c r="EE122" s="14">
        <f>T122*'MASTER SHEET'!D122</f>
        <v>0</v>
      </c>
      <c r="EF122" s="14">
        <f>X122*'MASTER SHEET'!D122</f>
        <v>0</v>
      </c>
      <c r="EG122" s="14">
        <f>AB122*'MASTER SHEET'!D122</f>
        <v>0</v>
      </c>
      <c r="EH122" s="14">
        <f>AF122*'MASTER SHEET'!D122</f>
        <v>0</v>
      </c>
      <c r="EI122" s="14">
        <f>AJ122*'MASTER SHEET'!D122</f>
        <v>0</v>
      </c>
      <c r="EJ122" s="14">
        <f>AN122*'MASTER SHEET'!D122</f>
        <v>0</v>
      </c>
      <c r="EK122" s="14">
        <f>AR122*'MASTER SHEET'!D122</f>
        <v>0</v>
      </c>
      <c r="EL122" s="14">
        <f>AV122*'MASTER SHEET'!D122</f>
        <v>0</v>
      </c>
      <c r="EM122" s="14">
        <f>AZ122*'MASTER SHEET'!D122</f>
        <v>0</v>
      </c>
      <c r="EN122" s="14">
        <f>BD122*'MASTER SHEET'!D122</f>
        <v>0</v>
      </c>
      <c r="EO122" s="14">
        <f>BH122*'MASTER SHEET'!D122</f>
        <v>0</v>
      </c>
      <c r="EP122" s="14">
        <f>BL122*'MASTER SHEET'!D122</f>
        <v>0</v>
      </c>
      <c r="EQ122" s="14">
        <f>BP122*'MASTER SHEET'!D122</f>
        <v>0</v>
      </c>
      <c r="ER122" s="14">
        <f>BT122*'MASTER SHEET'!D122</f>
        <v>0</v>
      </c>
      <c r="ES122" s="14">
        <f>BX122*'MASTER SHEET'!D122</f>
        <v>0</v>
      </c>
      <c r="ET122" s="21">
        <f>CB122*'MASTER SHEET'!D122</f>
        <v>0</v>
      </c>
      <c r="EU122" s="14">
        <f>CF122*'MASTER SHEET'!D122</f>
        <v>0</v>
      </c>
      <c r="EV122" s="14">
        <f>CJ122*'MASTER SHEET'!D122</f>
        <v>0</v>
      </c>
      <c r="EW122" s="14">
        <f>CN122*'MASTER SHEET'!D122</f>
        <v>0</v>
      </c>
      <c r="EX122" s="14">
        <f>CR122*'MASTER SHEET'!D122</f>
        <v>0</v>
      </c>
      <c r="EY122" s="14">
        <f>CR122*'MASTER SHEET'!D122</f>
        <v>0</v>
      </c>
      <c r="EZ122" s="14">
        <f>CV122*'MASTER SHEET'!D122</f>
        <v>0</v>
      </c>
      <c r="FA122" s="14">
        <f>CZ122*'MASTER SHEET'!D122</f>
        <v>0</v>
      </c>
      <c r="FB122" s="14">
        <f>DD122*'MASTER SHEET'!D122</f>
        <v>0</v>
      </c>
    </row>
    <row r="123" spans="1:158" ht="18.75" customHeight="1" x14ac:dyDescent="0.25">
      <c r="A123" s="43">
        <f>'MASTER SHEET'!A123</f>
        <v>121</v>
      </c>
      <c r="B123" s="49" t="str">
        <f>'MASTER SHEET'!B123</f>
        <v xml:space="preserve">GRANITE BLACK </v>
      </c>
      <c r="C123" s="86" t="str">
        <f>'MASTER SHEET'!C123</f>
        <v>JA00003924</v>
      </c>
      <c r="D123" s="51"/>
      <c r="E123" s="48"/>
      <c r="F123" s="48"/>
      <c r="G123" s="48"/>
      <c r="H123" s="48">
        <f t="shared" si="130"/>
        <v>0</v>
      </c>
      <c r="I123" s="28"/>
      <c r="J123" s="28"/>
      <c r="K123" s="65"/>
      <c r="L123" s="48">
        <f t="shared" si="131"/>
        <v>0</v>
      </c>
      <c r="M123" s="48"/>
      <c r="N123" s="48"/>
      <c r="O123" s="48"/>
      <c r="P123" s="48">
        <f t="shared" si="132"/>
        <v>0</v>
      </c>
      <c r="Q123" s="48"/>
      <c r="R123" s="48"/>
      <c r="S123" s="48"/>
      <c r="T123" s="48">
        <f t="shared" si="133"/>
        <v>0</v>
      </c>
      <c r="U123" s="48">
        <v>0</v>
      </c>
      <c r="V123" s="48"/>
      <c r="W123" s="48"/>
      <c r="X123" s="48">
        <f t="shared" si="134"/>
        <v>0</v>
      </c>
      <c r="Y123" s="48"/>
      <c r="Z123" s="48"/>
      <c r="AA123" s="48"/>
      <c r="AB123" s="48">
        <f t="shared" si="135"/>
        <v>0</v>
      </c>
      <c r="AC123" s="48"/>
      <c r="AD123" s="48"/>
      <c r="AE123" s="48"/>
      <c r="AF123" s="48">
        <f t="shared" si="136"/>
        <v>0</v>
      </c>
      <c r="AG123" s="48"/>
      <c r="AH123" s="48"/>
      <c r="AI123" s="48"/>
      <c r="AJ123" s="48">
        <f t="shared" si="137"/>
        <v>0</v>
      </c>
      <c r="AK123" s="48"/>
      <c r="AL123" s="48"/>
      <c r="AM123" s="48"/>
      <c r="AN123" s="48">
        <f t="shared" si="138"/>
        <v>0</v>
      </c>
      <c r="AO123" s="48"/>
      <c r="AP123" s="48"/>
      <c r="AQ123" s="48"/>
      <c r="AR123" s="48">
        <f t="shared" si="139"/>
        <v>0</v>
      </c>
      <c r="AS123" s="48"/>
      <c r="AT123" s="48"/>
      <c r="AU123" s="48"/>
      <c r="AV123" s="48">
        <f t="shared" si="140"/>
        <v>0</v>
      </c>
      <c r="AW123" s="48"/>
      <c r="AX123" s="48"/>
      <c r="AY123" s="48"/>
      <c r="AZ123" s="48">
        <f t="shared" si="141"/>
        <v>0</v>
      </c>
      <c r="BA123" s="48"/>
      <c r="BB123" s="48"/>
      <c r="BC123" s="48"/>
      <c r="BD123" s="48">
        <f t="shared" si="142"/>
        <v>0</v>
      </c>
      <c r="BE123" s="48"/>
      <c r="BF123" s="48"/>
      <c r="BG123" s="48"/>
      <c r="BH123" s="48">
        <f t="shared" si="143"/>
        <v>0</v>
      </c>
      <c r="BI123" s="48"/>
      <c r="BJ123" s="48"/>
      <c r="BK123" s="48"/>
      <c r="BL123" s="48">
        <f t="shared" si="144"/>
        <v>0</v>
      </c>
      <c r="BM123" s="48"/>
      <c r="BN123" s="48"/>
      <c r="BO123" s="48"/>
      <c r="BP123" s="48">
        <f t="shared" si="145"/>
        <v>0</v>
      </c>
      <c r="BQ123" s="48"/>
      <c r="BR123" s="48"/>
      <c r="BS123" s="48"/>
      <c r="BT123" s="48">
        <f t="shared" si="146"/>
        <v>0</v>
      </c>
      <c r="BU123" s="48"/>
      <c r="BV123" s="48"/>
      <c r="BW123" s="48"/>
      <c r="BX123" s="48">
        <f t="shared" si="147"/>
        <v>0</v>
      </c>
      <c r="BY123" s="48"/>
      <c r="BZ123" s="48"/>
      <c r="CA123" s="48"/>
      <c r="CB123" s="48">
        <f t="shared" si="148"/>
        <v>0</v>
      </c>
      <c r="CC123" s="48"/>
      <c r="CD123" s="48"/>
      <c r="CE123" s="48"/>
      <c r="CF123" s="48">
        <f t="shared" si="149"/>
        <v>0</v>
      </c>
      <c r="CG123" s="48"/>
      <c r="CH123" s="48"/>
      <c r="CI123" s="48"/>
      <c r="CJ123" s="48">
        <f t="shared" si="150"/>
        <v>0</v>
      </c>
      <c r="CK123" s="48"/>
      <c r="CL123" s="48"/>
      <c r="CM123" s="48"/>
      <c r="CN123" s="48">
        <f t="shared" si="151"/>
        <v>0</v>
      </c>
      <c r="CO123" s="48"/>
      <c r="CP123" s="48"/>
      <c r="CQ123" s="48"/>
      <c r="CR123" s="48">
        <f t="shared" si="152"/>
        <v>0</v>
      </c>
      <c r="CS123" s="48">
        <v>0</v>
      </c>
      <c r="CT123" s="48">
        <v>0</v>
      </c>
      <c r="CU123" s="48">
        <v>0</v>
      </c>
      <c r="CV123" s="48">
        <f t="shared" si="153"/>
        <v>0</v>
      </c>
      <c r="CW123" s="48">
        <v>0</v>
      </c>
      <c r="CX123" s="48">
        <v>0</v>
      </c>
      <c r="CY123" s="48">
        <v>0</v>
      </c>
      <c r="CZ123" s="48">
        <f t="shared" si="154"/>
        <v>0</v>
      </c>
      <c r="DA123" s="48"/>
      <c r="DB123" s="48"/>
      <c r="DC123" s="48"/>
      <c r="DD123" s="48">
        <f t="shared" si="155"/>
        <v>0</v>
      </c>
      <c r="DE123" s="48">
        <v>0</v>
      </c>
      <c r="DF123" s="48">
        <v>0</v>
      </c>
      <c r="DG123" s="48">
        <v>0</v>
      </c>
      <c r="DH123" s="48">
        <f t="shared" si="156"/>
        <v>0</v>
      </c>
      <c r="DI123" s="48"/>
      <c r="DJ123" s="48"/>
      <c r="DK123" s="48"/>
      <c r="DL123" s="48">
        <f t="shared" si="157"/>
        <v>0</v>
      </c>
      <c r="DM123" s="48">
        <v>2916</v>
      </c>
      <c r="DN123" s="48">
        <v>2896</v>
      </c>
      <c r="DO123" s="48">
        <v>20</v>
      </c>
      <c r="DP123" s="48">
        <f t="shared" si="158"/>
        <v>0</v>
      </c>
      <c r="DQ123" s="48"/>
      <c r="DR123" s="48"/>
      <c r="DS123" s="48"/>
      <c r="DT123" s="48">
        <f t="shared" si="159"/>
        <v>0</v>
      </c>
      <c r="DU123" s="48"/>
      <c r="DV123" s="48"/>
      <c r="DW123" s="48"/>
      <c r="DX123" s="48">
        <f t="shared" si="160"/>
        <v>0</v>
      </c>
      <c r="DY123" s="48">
        <f t="shared" si="161"/>
        <v>2916</v>
      </c>
      <c r="DZ123" s="48">
        <f t="shared" si="162"/>
        <v>20</v>
      </c>
      <c r="EA123" s="14">
        <f>D123*'MASTER SHEET'!D123</f>
        <v>0</v>
      </c>
      <c r="EB123" s="14">
        <f>H123*'MASTER SHEET'!D123</f>
        <v>0</v>
      </c>
      <c r="EC123" s="14">
        <f>L123*'MASTER SHEET'!D123</f>
        <v>0</v>
      </c>
      <c r="ED123" s="14">
        <f>P123*'MASTER SHEET'!D123</f>
        <v>0</v>
      </c>
      <c r="EE123" s="14">
        <f>T123*'MASTER SHEET'!D123</f>
        <v>0</v>
      </c>
      <c r="EF123" s="14">
        <f>X123*'MASTER SHEET'!D123</f>
        <v>0</v>
      </c>
      <c r="EG123" s="14">
        <f>AB123*'MASTER SHEET'!D123</f>
        <v>0</v>
      </c>
      <c r="EH123" s="14">
        <f>AF123*'MASTER SHEET'!D123</f>
        <v>0</v>
      </c>
      <c r="EI123" s="14">
        <f>AJ123*'MASTER SHEET'!D123</f>
        <v>0</v>
      </c>
      <c r="EJ123" s="14">
        <f>AN123*'MASTER SHEET'!D123</f>
        <v>0</v>
      </c>
      <c r="EK123" s="14">
        <f>AR123*'MASTER SHEET'!D123</f>
        <v>0</v>
      </c>
      <c r="EL123" s="14">
        <f>AV123*'MASTER SHEET'!D123</f>
        <v>0</v>
      </c>
      <c r="EM123" s="14">
        <f>AZ123*'MASTER SHEET'!D123</f>
        <v>0</v>
      </c>
      <c r="EN123" s="14">
        <f>BD123*'MASTER SHEET'!D123</f>
        <v>0</v>
      </c>
      <c r="EO123" s="14">
        <f>BH123*'MASTER SHEET'!D123</f>
        <v>0</v>
      </c>
      <c r="EP123" s="14">
        <f>BL123*'MASTER SHEET'!D123</f>
        <v>0</v>
      </c>
      <c r="EQ123" s="14">
        <f>BP123*'MASTER SHEET'!D123</f>
        <v>0</v>
      </c>
      <c r="ER123" s="14">
        <f>BT123*'MASTER SHEET'!D123</f>
        <v>0</v>
      </c>
      <c r="ES123" s="14">
        <f>BX123*'MASTER SHEET'!D123</f>
        <v>0</v>
      </c>
      <c r="ET123" s="21">
        <f>CB123*'MASTER SHEET'!D123</f>
        <v>0</v>
      </c>
      <c r="EU123" s="14">
        <f>CF123*'MASTER SHEET'!D123</f>
        <v>0</v>
      </c>
      <c r="EV123" s="14">
        <f>CJ123*'MASTER SHEET'!D123</f>
        <v>0</v>
      </c>
      <c r="EW123" s="14">
        <f>CN123*'MASTER SHEET'!D123</f>
        <v>0</v>
      </c>
      <c r="EX123" s="14">
        <f>CR123*'MASTER SHEET'!D123</f>
        <v>0</v>
      </c>
      <c r="EY123" s="14">
        <f>CR123*'MASTER SHEET'!D123</f>
        <v>0</v>
      </c>
      <c r="EZ123" s="14">
        <f>CV123*'MASTER SHEET'!D123</f>
        <v>0</v>
      </c>
      <c r="FA123" s="14">
        <f>CZ123*'MASTER SHEET'!D123</f>
        <v>0</v>
      </c>
      <c r="FB123" s="14">
        <f>DD123*'MASTER SHEET'!D123</f>
        <v>0</v>
      </c>
    </row>
    <row r="124" spans="1:158" ht="18.75" customHeight="1" x14ac:dyDescent="0.25">
      <c r="A124" s="43">
        <f>'MASTER SHEET'!A124</f>
        <v>122</v>
      </c>
      <c r="B124" s="49" t="str">
        <f>'MASTER SHEET'!B124</f>
        <v>YOM HRSKNOBASSY INSERT MOLDING5 PK</v>
      </c>
      <c r="C124" s="86" t="str">
        <f>'MASTER SHEET'!C124</f>
        <v>GA00007422</v>
      </c>
      <c r="D124" s="51"/>
      <c r="E124" s="48">
        <v>20808</v>
      </c>
      <c r="F124" s="48">
        <v>20744</v>
      </c>
      <c r="G124" s="48">
        <v>64</v>
      </c>
      <c r="H124" s="48">
        <f t="shared" si="130"/>
        <v>0</v>
      </c>
      <c r="I124" s="28">
        <f>8194+9960</f>
        <v>18154</v>
      </c>
      <c r="J124" s="28">
        <v>18080</v>
      </c>
      <c r="K124" s="65">
        <v>74</v>
      </c>
      <c r="L124" s="48">
        <f t="shared" si="131"/>
        <v>0</v>
      </c>
      <c r="M124" s="48"/>
      <c r="N124" s="48"/>
      <c r="O124" s="48"/>
      <c r="P124" s="48">
        <f t="shared" si="132"/>
        <v>0</v>
      </c>
      <c r="Q124" s="48">
        <v>15264</v>
      </c>
      <c r="R124" s="48">
        <v>13736</v>
      </c>
      <c r="S124" s="48">
        <v>1528</v>
      </c>
      <c r="T124" s="48">
        <f t="shared" si="133"/>
        <v>0</v>
      </c>
      <c r="U124" s="48">
        <v>19148</v>
      </c>
      <c r="V124" s="48">
        <v>15664</v>
      </c>
      <c r="W124" s="48">
        <v>3484</v>
      </c>
      <c r="X124" s="48">
        <f t="shared" si="134"/>
        <v>0</v>
      </c>
      <c r="Y124" s="48">
        <v>20352</v>
      </c>
      <c r="Z124" s="48">
        <v>16804</v>
      </c>
      <c r="AA124" s="48">
        <v>3548</v>
      </c>
      <c r="AB124" s="48">
        <f t="shared" si="135"/>
        <v>0</v>
      </c>
      <c r="AC124" s="48">
        <v>20360</v>
      </c>
      <c r="AD124" s="48">
        <v>16754</v>
      </c>
      <c r="AE124" s="48">
        <v>3606</v>
      </c>
      <c r="AF124" s="48">
        <f t="shared" si="136"/>
        <v>0</v>
      </c>
      <c r="AG124" s="48">
        <v>20296</v>
      </c>
      <c r="AH124" s="48">
        <v>19296</v>
      </c>
      <c r="AI124" s="48">
        <v>1000</v>
      </c>
      <c r="AJ124" s="48">
        <f>AF124+AG124-AH124-AI124</f>
        <v>0</v>
      </c>
      <c r="AK124" s="166"/>
      <c r="AL124" s="166"/>
      <c r="AM124" s="166"/>
      <c r="AN124" s="48">
        <f t="shared" si="138"/>
        <v>0</v>
      </c>
      <c r="AO124" s="48">
        <v>11000</v>
      </c>
      <c r="AP124" s="48">
        <v>11000</v>
      </c>
      <c r="AQ124" s="48">
        <v>0</v>
      </c>
      <c r="AR124" s="48">
        <f t="shared" si="139"/>
        <v>0</v>
      </c>
      <c r="AS124" s="48">
        <v>0</v>
      </c>
      <c r="AT124" s="48">
        <v>0</v>
      </c>
      <c r="AU124" s="48">
        <v>0</v>
      </c>
      <c r="AV124" s="48">
        <f t="shared" si="140"/>
        <v>0</v>
      </c>
      <c r="AW124" s="48">
        <v>0</v>
      </c>
      <c r="AX124" s="48">
        <v>0</v>
      </c>
      <c r="AY124" s="48">
        <v>0</v>
      </c>
      <c r="AZ124" s="48">
        <f t="shared" si="141"/>
        <v>0</v>
      </c>
      <c r="BA124" s="48">
        <v>6426</v>
      </c>
      <c r="BB124" s="48">
        <v>6363</v>
      </c>
      <c r="BC124" s="48">
        <v>63</v>
      </c>
      <c r="BD124" s="48">
        <f t="shared" si="142"/>
        <v>0</v>
      </c>
      <c r="BE124" s="48">
        <v>12413</v>
      </c>
      <c r="BF124" s="48">
        <v>11947</v>
      </c>
      <c r="BG124" s="48">
        <v>466</v>
      </c>
      <c r="BH124" s="48">
        <f t="shared" si="143"/>
        <v>0</v>
      </c>
      <c r="BI124" s="48">
        <v>15876</v>
      </c>
      <c r="BJ124" s="48">
        <v>14582</v>
      </c>
      <c r="BK124" s="48">
        <v>1294</v>
      </c>
      <c r="BL124" s="48">
        <f t="shared" si="144"/>
        <v>0</v>
      </c>
      <c r="BM124" s="48">
        <v>15575</v>
      </c>
      <c r="BN124" s="48">
        <v>14631</v>
      </c>
      <c r="BO124" s="48">
        <v>944</v>
      </c>
      <c r="BP124" s="48">
        <f t="shared" si="145"/>
        <v>0</v>
      </c>
      <c r="BQ124" s="48">
        <v>1631</v>
      </c>
      <c r="BR124" s="48">
        <v>1631</v>
      </c>
      <c r="BS124" s="48">
        <v>0</v>
      </c>
      <c r="BT124" s="48">
        <f t="shared" si="146"/>
        <v>0</v>
      </c>
      <c r="BU124" s="48">
        <v>0</v>
      </c>
      <c r="BV124" s="48">
        <v>0</v>
      </c>
      <c r="BW124" s="48">
        <v>0</v>
      </c>
      <c r="BX124" s="48">
        <f t="shared" si="147"/>
        <v>0</v>
      </c>
      <c r="BY124" s="48"/>
      <c r="BZ124" s="48"/>
      <c r="CA124" s="48"/>
      <c r="CB124" s="48">
        <f t="shared" si="148"/>
        <v>0</v>
      </c>
      <c r="CC124" s="48">
        <v>18352</v>
      </c>
      <c r="CD124" s="48">
        <v>17415</v>
      </c>
      <c r="CE124" s="48">
        <v>937</v>
      </c>
      <c r="CF124" s="48">
        <f t="shared" si="149"/>
        <v>0</v>
      </c>
      <c r="CG124" s="48">
        <v>10859</v>
      </c>
      <c r="CH124" s="48">
        <v>10707</v>
      </c>
      <c r="CI124" s="48">
        <v>152</v>
      </c>
      <c r="CJ124" s="48">
        <f t="shared" si="150"/>
        <v>0</v>
      </c>
      <c r="CK124" s="48">
        <f>9541+9135</f>
        <v>18676</v>
      </c>
      <c r="CL124" s="48">
        <f>9107+9541</f>
        <v>18648</v>
      </c>
      <c r="CM124" s="48">
        <v>28</v>
      </c>
      <c r="CN124" s="48">
        <f t="shared" si="151"/>
        <v>0</v>
      </c>
      <c r="CO124" s="48">
        <v>19068</v>
      </c>
      <c r="CP124" s="48">
        <v>19033</v>
      </c>
      <c r="CQ124" s="48">
        <v>35</v>
      </c>
      <c r="CR124" s="48">
        <f t="shared" si="152"/>
        <v>0</v>
      </c>
      <c r="CS124" s="48">
        <v>18179</v>
      </c>
      <c r="CT124" s="48">
        <v>18172</v>
      </c>
      <c r="CU124" s="48">
        <v>7</v>
      </c>
      <c r="CV124" s="48">
        <f t="shared" si="153"/>
        <v>0</v>
      </c>
      <c r="CW124" s="48">
        <v>18326</v>
      </c>
      <c r="CX124" s="48">
        <v>18304</v>
      </c>
      <c r="CY124" s="48">
        <v>22</v>
      </c>
      <c r="CZ124" s="48">
        <f t="shared" si="154"/>
        <v>0</v>
      </c>
      <c r="DA124" s="48">
        <v>6018</v>
      </c>
      <c r="DB124" s="48">
        <v>6002</v>
      </c>
      <c r="DC124" s="48">
        <v>16</v>
      </c>
      <c r="DD124" s="48">
        <f t="shared" si="155"/>
        <v>0</v>
      </c>
      <c r="DE124" s="48">
        <v>7168</v>
      </c>
      <c r="DF124" s="48">
        <v>7168</v>
      </c>
      <c r="DG124" s="48">
        <v>0</v>
      </c>
      <c r="DH124" s="48">
        <f t="shared" si="156"/>
        <v>0</v>
      </c>
      <c r="DI124" s="48">
        <v>3745</v>
      </c>
      <c r="DJ124" s="48">
        <v>3745</v>
      </c>
      <c r="DK124" s="48">
        <v>0</v>
      </c>
      <c r="DL124" s="48">
        <f t="shared" si="157"/>
        <v>0</v>
      </c>
      <c r="DM124" s="48">
        <v>0</v>
      </c>
      <c r="DN124" s="48">
        <v>0</v>
      </c>
      <c r="DO124" s="48">
        <v>0</v>
      </c>
      <c r="DP124" s="48">
        <f t="shared" si="158"/>
        <v>0</v>
      </c>
      <c r="DQ124" s="48"/>
      <c r="DR124" s="48"/>
      <c r="DS124" s="48"/>
      <c r="DT124" s="48">
        <f t="shared" si="159"/>
        <v>0</v>
      </c>
      <c r="DU124" s="48"/>
      <c r="DV124" s="48"/>
      <c r="DW124" s="48"/>
      <c r="DX124" s="48">
        <f t="shared" si="160"/>
        <v>0</v>
      </c>
      <c r="DY124" s="48">
        <f>DU124+DQ124+DM124+DI124+DE124+DA124+CW124+CS124+CO124+CK124+CG124+CC124+BY124+BU124+BQ124+BI124+BA124+AW124+AS124+AO124+AK124+AG124+AC124+Y124+U124+Q124+M124+I124+E124+BM124+BE124</f>
        <v>317694</v>
      </c>
      <c r="DZ124" s="48">
        <f>G124+K124+S124+W124+AA124+AE124+AI124+AM124+AQ124+AU124+AY124+BC124+BG124+BK124+BO124+BS124+BW124+CA124+CE124+CI124+CM124+CQ124+CU124+CY124+DC124+DG124+DK124+DO124+DS124+DW124</f>
        <v>17268</v>
      </c>
      <c r="EA124" s="14">
        <f>D124*'MASTER SHEET'!D124</f>
        <v>0</v>
      </c>
      <c r="EB124" s="14">
        <f>H124*'MASTER SHEET'!D124</f>
        <v>0</v>
      </c>
      <c r="EC124" s="14">
        <f>L124*'MASTER SHEET'!D124</f>
        <v>0</v>
      </c>
      <c r="ED124" s="14">
        <f>P124*'MASTER SHEET'!D124</f>
        <v>0</v>
      </c>
      <c r="EE124" s="14">
        <f>T124*'MASTER SHEET'!D124</f>
        <v>0</v>
      </c>
      <c r="EF124" s="14">
        <f>X124*'MASTER SHEET'!D124</f>
        <v>0</v>
      </c>
      <c r="EG124" s="14">
        <f>AB124*'MASTER SHEET'!D124</f>
        <v>0</v>
      </c>
      <c r="EH124" s="14">
        <f>AF124*'MASTER SHEET'!D124</f>
        <v>0</v>
      </c>
      <c r="EI124" s="14">
        <f>AJ124*'MASTER SHEET'!D124</f>
        <v>0</v>
      </c>
      <c r="EJ124" s="14">
        <f>AN124*'MASTER SHEET'!D124</f>
        <v>0</v>
      </c>
      <c r="EK124" s="14">
        <f>AR124*'MASTER SHEET'!D124</f>
        <v>0</v>
      </c>
      <c r="EL124" s="14">
        <f>AV124*'MASTER SHEET'!D124</f>
        <v>0</v>
      </c>
      <c r="EM124" s="14">
        <f>AZ124*'MASTER SHEET'!D124</f>
        <v>0</v>
      </c>
      <c r="EN124" s="14">
        <f>BD124*'MASTER SHEET'!D124</f>
        <v>0</v>
      </c>
      <c r="EO124" s="14">
        <f>BH124*'MASTER SHEET'!D124</f>
        <v>0</v>
      </c>
      <c r="EP124" s="14">
        <f>BL124*'MASTER SHEET'!D124</f>
        <v>0</v>
      </c>
      <c r="EQ124" s="14">
        <f>BP124*'MASTER SHEET'!D124</f>
        <v>0</v>
      </c>
      <c r="ER124" s="14">
        <f>BT124*'MASTER SHEET'!D124</f>
        <v>0</v>
      </c>
      <c r="ES124" s="14">
        <f>BX124*'MASTER SHEET'!D124</f>
        <v>0</v>
      </c>
      <c r="ET124" s="21">
        <f>CB124*'MASTER SHEET'!D124</f>
        <v>0</v>
      </c>
      <c r="EU124" s="14">
        <f>CF124*'MASTER SHEET'!D124</f>
        <v>0</v>
      </c>
      <c r="EV124" s="14">
        <f>CJ124*'MASTER SHEET'!D124</f>
        <v>0</v>
      </c>
      <c r="EW124" s="14">
        <f>CN124*'MASTER SHEET'!D124</f>
        <v>0</v>
      </c>
      <c r="EX124" s="14">
        <f>CR124*'MASTER SHEET'!D124</f>
        <v>0</v>
      </c>
      <c r="EY124" s="14">
        <f>CR124*'MASTER SHEET'!D124</f>
        <v>0</v>
      </c>
      <c r="EZ124" s="14">
        <f>CV124*'MASTER SHEET'!D124</f>
        <v>0</v>
      </c>
      <c r="FA124" s="14">
        <f>CZ124*'MASTER SHEET'!D124</f>
        <v>0</v>
      </c>
      <c r="FB124" s="14">
        <f>DD124*'MASTER SHEET'!D124</f>
        <v>0</v>
      </c>
    </row>
    <row r="125" spans="1:158" ht="18.75" customHeight="1" x14ac:dyDescent="0.25">
      <c r="A125" s="43">
        <f>'MASTER SHEET'!A125</f>
        <v>123</v>
      </c>
      <c r="B125" s="49" t="str">
        <f>'MASTER SHEET'!B125</f>
        <v>KNOB LH</v>
      </c>
      <c r="C125" s="86" t="str">
        <f>'MASTER SHEET'!C125</f>
        <v>CB0000557500</v>
      </c>
      <c r="D125" s="51"/>
      <c r="E125" s="48"/>
      <c r="F125" s="48"/>
      <c r="G125" s="48"/>
      <c r="H125" s="48">
        <f t="shared" si="130"/>
        <v>0</v>
      </c>
      <c r="I125" s="28"/>
      <c r="J125" s="28"/>
      <c r="K125" s="65"/>
      <c r="L125" s="48">
        <f t="shared" si="131"/>
        <v>0</v>
      </c>
      <c r="M125" s="48"/>
      <c r="N125" s="48"/>
      <c r="O125" s="48"/>
      <c r="P125" s="48">
        <f t="shared" si="132"/>
        <v>0</v>
      </c>
      <c r="Q125" s="48"/>
      <c r="R125" s="48"/>
      <c r="S125" s="48"/>
      <c r="T125" s="48">
        <f t="shared" si="133"/>
        <v>0</v>
      </c>
      <c r="U125" s="48">
        <v>0</v>
      </c>
      <c r="V125" s="48"/>
      <c r="W125" s="48"/>
      <c r="X125" s="48">
        <f t="shared" si="134"/>
        <v>0</v>
      </c>
      <c r="Y125" s="48"/>
      <c r="Z125" s="48"/>
      <c r="AA125" s="48"/>
      <c r="AB125" s="48">
        <f t="shared" si="135"/>
        <v>0</v>
      </c>
      <c r="AC125" s="48"/>
      <c r="AD125" s="48"/>
      <c r="AE125" s="48"/>
      <c r="AF125" s="48">
        <f t="shared" si="136"/>
        <v>0</v>
      </c>
      <c r="AG125" s="48"/>
      <c r="AH125" s="48"/>
      <c r="AI125" s="48"/>
      <c r="AJ125" s="48">
        <f t="shared" si="137"/>
        <v>0</v>
      </c>
      <c r="AK125" s="48">
        <v>4578</v>
      </c>
      <c r="AL125" s="48">
        <v>4472</v>
      </c>
      <c r="AM125" s="48">
        <v>106</v>
      </c>
      <c r="AN125" s="48">
        <f t="shared" si="138"/>
        <v>0</v>
      </c>
      <c r="AO125" s="48">
        <v>6356</v>
      </c>
      <c r="AP125" s="48">
        <v>6352</v>
      </c>
      <c r="AQ125" s="48">
        <v>4</v>
      </c>
      <c r="AR125" s="48">
        <f t="shared" si="139"/>
        <v>0</v>
      </c>
      <c r="AS125" s="48"/>
      <c r="AT125" s="48"/>
      <c r="AU125" s="48"/>
      <c r="AV125" s="48">
        <f t="shared" si="140"/>
        <v>0</v>
      </c>
      <c r="AW125" s="48"/>
      <c r="AX125" s="48"/>
      <c r="AY125" s="48"/>
      <c r="AZ125" s="48">
        <f t="shared" si="141"/>
        <v>0</v>
      </c>
      <c r="BA125" s="48"/>
      <c r="BB125" s="48"/>
      <c r="BC125" s="48"/>
      <c r="BD125" s="48">
        <f t="shared" si="142"/>
        <v>0</v>
      </c>
      <c r="BE125" s="48"/>
      <c r="BF125" s="48"/>
      <c r="BG125" s="48"/>
      <c r="BH125" s="48">
        <f t="shared" si="143"/>
        <v>0</v>
      </c>
      <c r="BI125" s="48"/>
      <c r="BJ125" s="48"/>
      <c r="BK125" s="48"/>
      <c r="BL125" s="48">
        <f t="shared" si="144"/>
        <v>0</v>
      </c>
      <c r="BM125" s="48"/>
      <c r="BN125" s="48"/>
      <c r="BO125" s="48"/>
      <c r="BP125" s="48">
        <f t="shared" si="145"/>
        <v>0</v>
      </c>
      <c r="BQ125" s="48"/>
      <c r="BR125" s="48"/>
      <c r="BS125" s="48"/>
      <c r="BT125" s="48">
        <f t="shared" si="146"/>
        <v>0</v>
      </c>
      <c r="BU125" s="48"/>
      <c r="BV125" s="48"/>
      <c r="BW125" s="48"/>
      <c r="BX125" s="48">
        <f t="shared" si="147"/>
        <v>0</v>
      </c>
      <c r="BY125" s="48"/>
      <c r="BZ125" s="48"/>
      <c r="CA125" s="48"/>
      <c r="CB125" s="48">
        <f t="shared" si="148"/>
        <v>0</v>
      </c>
      <c r="CC125" s="48"/>
      <c r="CD125" s="48"/>
      <c r="CE125" s="48"/>
      <c r="CF125" s="48">
        <f t="shared" si="149"/>
        <v>0</v>
      </c>
      <c r="CG125" s="48"/>
      <c r="CH125" s="48"/>
      <c r="CI125" s="48"/>
      <c r="CJ125" s="48">
        <f t="shared" si="150"/>
        <v>0</v>
      </c>
      <c r="CK125" s="48"/>
      <c r="CL125" s="48"/>
      <c r="CM125" s="48"/>
      <c r="CN125" s="48">
        <f t="shared" si="151"/>
        <v>0</v>
      </c>
      <c r="CO125" s="48"/>
      <c r="CP125" s="48"/>
      <c r="CQ125" s="48"/>
      <c r="CR125" s="48">
        <f t="shared" si="152"/>
        <v>0</v>
      </c>
      <c r="CS125" s="48"/>
      <c r="CT125" s="48"/>
      <c r="CU125" s="48"/>
      <c r="CV125" s="48">
        <f t="shared" si="153"/>
        <v>0</v>
      </c>
      <c r="CW125" s="48"/>
      <c r="CX125" s="48"/>
      <c r="CY125" s="48"/>
      <c r="CZ125" s="48">
        <f t="shared" si="154"/>
        <v>0</v>
      </c>
      <c r="DA125" s="48"/>
      <c r="DB125" s="48"/>
      <c r="DC125" s="48"/>
      <c r="DD125" s="48">
        <f t="shared" si="155"/>
        <v>0</v>
      </c>
      <c r="DE125" s="48"/>
      <c r="DF125" s="48"/>
      <c r="DG125" s="48"/>
      <c r="DH125" s="48">
        <f t="shared" si="156"/>
        <v>0</v>
      </c>
      <c r="DI125" s="48"/>
      <c r="DJ125" s="48"/>
      <c r="DK125" s="48"/>
      <c r="DL125" s="48">
        <f t="shared" si="157"/>
        <v>0</v>
      </c>
      <c r="DM125" s="48"/>
      <c r="DN125" s="48"/>
      <c r="DO125" s="48"/>
      <c r="DP125" s="48">
        <f t="shared" si="158"/>
        <v>0</v>
      </c>
      <c r="DQ125" s="48"/>
      <c r="DR125" s="48"/>
      <c r="DS125" s="48"/>
      <c r="DT125" s="48">
        <f t="shared" si="159"/>
        <v>0</v>
      </c>
      <c r="DU125" s="48"/>
      <c r="DV125" s="48"/>
      <c r="DW125" s="48"/>
      <c r="DX125" s="48">
        <f t="shared" si="160"/>
        <v>0</v>
      </c>
      <c r="DY125" s="48">
        <f t="shared" si="161"/>
        <v>10934</v>
      </c>
      <c r="DZ125" s="48">
        <f t="shared" si="162"/>
        <v>110</v>
      </c>
      <c r="EA125" s="14">
        <f>D125*'MASTER SHEET'!D125</f>
        <v>0</v>
      </c>
      <c r="EB125" s="14">
        <f>H125*'MASTER SHEET'!D125</f>
        <v>0</v>
      </c>
      <c r="EC125" s="14">
        <f>L125*'MASTER SHEET'!D125</f>
        <v>0</v>
      </c>
      <c r="ED125" s="14">
        <f>P125*'MASTER SHEET'!D125</f>
        <v>0</v>
      </c>
      <c r="EE125" s="14">
        <f>T125*'MASTER SHEET'!D125</f>
        <v>0</v>
      </c>
      <c r="EF125" s="14">
        <f>X125*'MASTER SHEET'!D125</f>
        <v>0</v>
      </c>
      <c r="EG125" s="14">
        <f>AB125*'MASTER SHEET'!D125</f>
        <v>0</v>
      </c>
      <c r="EH125" s="14">
        <f>AF125*'MASTER SHEET'!D125</f>
        <v>0</v>
      </c>
      <c r="EI125" s="14">
        <f>AJ125*'MASTER SHEET'!D125</f>
        <v>0</v>
      </c>
      <c r="EJ125" s="14">
        <f>AN125*'MASTER SHEET'!D125</f>
        <v>0</v>
      </c>
      <c r="EK125" s="14">
        <f>AR125*'MASTER SHEET'!D125</f>
        <v>0</v>
      </c>
      <c r="EL125" s="14">
        <f>AV125*'MASTER SHEET'!D125</f>
        <v>0</v>
      </c>
      <c r="EM125" s="14">
        <f>AZ125*'MASTER SHEET'!D125</f>
        <v>0</v>
      </c>
      <c r="EN125" s="14">
        <f>BD125*'MASTER SHEET'!D125</f>
        <v>0</v>
      </c>
      <c r="EO125" s="14">
        <f>BH125*'MASTER SHEET'!D125</f>
        <v>0</v>
      </c>
      <c r="EP125" s="14">
        <f>BL125*'MASTER SHEET'!D125</f>
        <v>0</v>
      </c>
      <c r="EQ125" s="14">
        <f>BP125*'MASTER SHEET'!D125</f>
        <v>0</v>
      </c>
      <c r="ER125" s="14">
        <f>BT125*'MASTER SHEET'!D125</f>
        <v>0</v>
      </c>
      <c r="ES125" s="14">
        <f>BX125*'MASTER SHEET'!D125</f>
        <v>0</v>
      </c>
      <c r="ET125" s="21">
        <f>CB125*'MASTER SHEET'!D125</f>
        <v>0</v>
      </c>
      <c r="EU125" s="14">
        <f>CF125*'MASTER SHEET'!D125</f>
        <v>0</v>
      </c>
      <c r="EV125" s="14">
        <f>CJ125*'MASTER SHEET'!D125</f>
        <v>0</v>
      </c>
      <c r="EW125" s="14">
        <f>CN125*'MASTER SHEET'!D125</f>
        <v>0</v>
      </c>
      <c r="EX125" s="14">
        <f>CR125*'MASTER SHEET'!D125</f>
        <v>0</v>
      </c>
      <c r="EY125" s="14">
        <f>CR125*'MASTER SHEET'!D125</f>
        <v>0</v>
      </c>
      <c r="EZ125" s="14">
        <f>CV125*'MASTER SHEET'!D125</f>
        <v>0</v>
      </c>
      <c r="FA125" s="14">
        <f>CZ125*'MASTER SHEET'!D125</f>
        <v>0</v>
      </c>
      <c r="FB125" s="14">
        <f>DD125*'MASTER SHEET'!D125</f>
        <v>0</v>
      </c>
    </row>
    <row r="126" spans="1:158" ht="18.75" customHeight="1" x14ac:dyDescent="0.25">
      <c r="A126" s="43">
        <f>'MASTER SHEET'!A126</f>
        <v>124</v>
      </c>
      <c r="B126" s="49" t="str">
        <f>'MASTER SHEET'!B126</f>
        <v>KNOB RH</v>
      </c>
      <c r="C126" s="86" t="str">
        <f>'MASTER SHEET'!C126</f>
        <v>CC0000557600</v>
      </c>
      <c r="D126" s="51"/>
      <c r="E126" s="48"/>
      <c r="F126" s="48"/>
      <c r="G126" s="48"/>
      <c r="H126" s="48">
        <f t="shared" si="130"/>
        <v>0</v>
      </c>
      <c r="I126" s="28"/>
      <c r="J126" s="28"/>
      <c r="K126" s="65"/>
      <c r="L126" s="48">
        <f t="shared" si="131"/>
        <v>0</v>
      </c>
      <c r="M126" s="48"/>
      <c r="N126" s="48"/>
      <c r="O126" s="48"/>
      <c r="P126" s="48">
        <f t="shared" si="132"/>
        <v>0</v>
      </c>
      <c r="Q126" s="48"/>
      <c r="R126" s="48"/>
      <c r="S126" s="48"/>
      <c r="T126" s="48">
        <f t="shared" si="133"/>
        <v>0</v>
      </c>
      <c r="U126" s="48">
        <v>0</v>
      </c>
      <c r="V126" s="48"/>
      <c r="W126" s="48"/>
      <c r="X126" s="48">
        <f t="shared" si="134"/>
        <v>0</v>
      </c>
      <c r="Y126" s="48"/>
      <c r="Z126" s="48"/>
      <c r="AA126" s="48"/>
      <c r="AB126" s="48">
        <f t="shared" si="135"/>
        <v>0</v>
      </c>
      <c r="AC126" s="48"/>
      <c r="AD126" s="48"/>
      <c r="AE126" s="48"/>
      <c r="AF126" s="48">
        <f t="shared" si="136"/>
        <v>0</v>
      </c>
      <c r="AG126" s="48"/>
      <c r="AH126" s="48"/>
      <c r="AI126" s="48"/>
      <c r="AJ126" s="48">
        <f t="shared" si="137"/>
        <v>0</v>
      </c>
      <c r="AK126" s="48">
        <v>4578</v>
      </c>
      <c r="AL126" s="48">
        <v>4472</v>
      </c>
      <c r="AM126" s="48">
        <v>106</v>
      </c>
      <c r="AN126" s="48">
        <f t="shared" si="138"/>
        <v>0</v>
      </c>
      <c r="AO126" s="48">
        <v>6356</v>
      </c>
      <c r="AP126" s="48">
        <v>6352</v>
      </c>
      <c r="AQ126" s="48">
        <v>4</v>
      </c>
      <c r="AR126" s="48">
        <f t="shared" si="139"/>
        <v>0</v>
      </c>
      <c r="AS126" s="48"/>
      <c r="AT126" s="48"/>
      <c r="AU126" s="48"/>
      <c r="AV126" s="48">
        <f t="shared" si="140"/>
        <v>0</v>
      </c>
      <c r="AW126" s="48"/>
      <c r="AX126" s="48"/>
      <c r="AY126" s="48"/>
      <c r="AZ126" s="48">
        <f t="shared" si="141"/>
        <v>0</v>
      </c>
      <c r="BA126" s="48"/>
      <c r="BB126" s="48"/>
      <c r="BC126" s="48"/>
      <c r="BD126" s="48">
        <f t="shared" si="142"/>
        <v>0</v>
      </c>
      <c r="BE126" s="48"/>
      <c r="BF126" s="48"/>
      <c r="BG126" s="48"/>
      <c r="BH126" s="48">
        <f t="shared" si="143"/>
        <v>0</v>
      </c>
      <c r="BI126" s="48"/>
      <c r="BJ126" s="48"/>
      <c r="BK126" s="48"/>
      <c r="BL126" s="48">
        <f t="shared" si="144"/>
        <v>0</v>
      </c>
      <c r="BM126" s="48"/>
      <c r="BN126" s="48"/>
      <c r="BO126" s="48"/>
      <c r="BP126" s="48">
        <f t="shared" si="145"/>
        <v>0</v>
      </c>
      <c r="BQ126" s="48"/>
      <c r="BR126" s="48"/>
      <c r="BS126" s="48"/>
      <c r="BT126" s="48">
        <f t="shared" si="146"/>
        <v>0</v>
      </c>
      <c r="BU126" s="48"/>
      <c r="BV126" s="48"/>
      <c r="BW126" s="48"/>
      <c r="BX126" s="48">
        <f t="shared" si="147"/>
        <v>0</v>
      </c>
      <c r="BY126" s="48"/>
      <c r="BZ126" s="48"/>
      <c r="CA126" s="48"/>
      <c r="CB126" s="48">
        <f t="shared" si="148"/>
        <v>0</v>
      </c>
      <c r="CC126" s="48"/>
      <c r="CD126" s="48"/>
      <c r="CE126" s="48"/>
      <c r="CF126" s="48">
        <f t="shared" si="149"/>
        <v>0</v>
      </c>
      <c r="CG126" s="48"/>
      <c r="CH126" s="48"/>
      <c r="CI126" s="48"/>
      <c r="CJ126" s="48">
        <f t="shared" si="150"/>
        <v>0</v>
      </c>
      <c r="CK126" s="48"/>
      <c r="CL126" s="48"/>
      <c r="CM126" s="48"/>
      <c r="CN126" s="48">
        <f t="shared" si="151"/>
        <v>0</v>
      </c>
      <c r="CO126" s="48"/>
      <c r="CP126" s="48"/>
      <c r="CQ126" s="48"/>
      <c r="CR126" s="48">
        <f t="shared" si="152"/>
        <v>0</v>
      </c>
      <c r="CS126" s="48"/>
      <c r="CT126" s="48"/>
      <c r="CU126" s="48"/>
      <c r="CV126" s="48">
        <f t="shared" si="153"/>
        <v>0</v>
      </c>
      <c r="CW126" s="48"/>
      <c r="CX126" s="48"/>
      <c r="CY126" s="48"/>
      <c r="CZ126" s="48">
        <f t="shared" si="154"/>
        <v>0</v>
      </c>
      <c r="DA126" s="48"/>
      <c r="DB126" s="48"/>
      <c r="DC126" s="48"/>
      <c r="DD126" s="48">
        <f t="shared" si="155"/>
        <v>0</v>
      </c>
      <c r="DE126" s="48"/>
      <c r="DF126" s="48"/>
      <c r="DG126" s="48"/>
      <c r="DH126" s="48">
        <f t="shared" si="156"/>
        <v>0</v>
      </c>
      <c r="DI126" s="48"/>
      <c r="DJ126" s="48"/>
      <c r="DK126" s="48"/>
      <c r="DL126" s="48">
        <f t="shared" si="157"/>
        <v>0</v>
      </c>
      <c r="DM126" s="48"/>
      <c r="DN126" s="48"/>
      <c r="DO126" s="48"/>
      <c r="DP126" s="48">
        <f t="shared" si="158"/>
        <v>0</v>
      </c>
      <c r="DQ126" s="48"/>
      <c r="DR126" s="48"/>
      <c r="DS126" s="48"/>
      <c r="DT126" s="48">
        <f t="shared" si="159"/>
        <v>0</v>
      </c>
      <c r="DU126" s="48"/>
      <c r="DV126" s="48"/>
      <c r="DW126" s="48"/>
      <c r="DX126" s="48">
        <f t="shared" si="160"/>
        <v>0</v>
      </c>
      <c r="DY126" s="48">
        <f t="shared" si="161"/>
        <v>10934</v>
      </c>
      <c r="DZ126" s="48">
        <f t="shared" si="162"/>
        <v>110</v>
      </c>
      <c r="EA126" s="14">
        <f>D126*'MASTER SHEET'!D126</f>
        <v>0</v>
      </c>
      <c r="EB126" s="14">
        <f>H126*'MASTER SHEET'!D126</f>
        <v>0</v>
      </c>
      <c r="EC126" s="14">
        <f>L126*'MASTER SHEET'!D126</f>
        <v>0</v>
      </c>
      <c r="ED126" s="14">
        <f>P126*'MASTER SHEET'!D126</f>
        <v>0</v>
      </c>
      <c r="EE126" s="14">
        <f>T126*'MASTER SHEET'!D126</f>
        <v>0</v>
      </c>
      <c r="EF126" s="14">
        <f>X126*'MASTER SHEET'!D126</f>
        <v>0</v>
      </c>
      <c r="EG126" s="14">
        <f>AB126*'MASTER SHEET'!D126</f>
        <v>0</v>
      </c>
      <c r="EH126" s="14">
        <f>AF126*'MASTER SHEET'!D126</f>
        <v>0</v>
      </c>
      <c r="EI126" s="14">
        <f>AJ126*'MASTER SHEET'!D126</f>
        <v>0</v>
      </c>
      <c r="EJ126" s="14">
        <f>AN126*'MASTER SHEET'!D126</f>
        <v>0</v>
      </c>
      <c r="EK126" s="14">
        <f>AR126*'MASTER SHEET'!D126</f>
        <v>0</v>
      </c>
      <c r="EL126" s="14">
        <f>AV126*'MASTER SHEET'!D126</f>
        <v>0</v>
      </c>
      <c r="EM126" s="14">
        <f>AZ126*'MASTER SHEET'!D126</f>
        <v>0</v>
      </c>
      <c r="EN126" s="14">
        <f>BD126*'MASTER SHEET'!D126</f>
        <v>0</v>
      </c>
      <c r="EO126" s="14">
        <f>BH126*'MASTER SHEET'!D126</f>
        <v>0</v>
      </c>
      <c r="EP126" s="14">
        <f>BL126*'MASTER SHEET'!D126</f>
        <v>0</v>
      </c>
      <c r="EQ126" s="14">
        <f>BP126*'MASTER SHEET'!D126</f>
        <v>0</v>
      </c>
      <c r="ER126" s="14">
        <f>BT126*'MASTER SHEET'!D126</f>
        <v>0</v>
      </c>
      <c r="ES126" s="14">
        <f>BX126*'MASTER SHEET'!D126</f>
        <v>0</v>
      </c>
      <c r="ET126" s="21">
        <f>CB126*'MASTER SHEET'!D126</f>
        <v>0</v>
      </c>
      <c r="EU126" s="14">
        <f>CF126*'MASTER SHEET'!D126</f>
        <v>0</v>
      </c>
      <c r="EV126" s="14">
        <f>CJ126*'MASTER SHEET'!D126</f>
        <v>0</v>
      </c>
      <c r="EW126" s="14">
        <f>CN126*'MASTER SHEET'!D126</f>
        <v>0</v>
      </c>
      <c r="EX126" s="14">
        <f>CR126*'MASTER SHEET'!D126</f>
        <v>0</v>
      </c>
      <c r="EY126" s="14">
        <f>CR126*'MASTER SHEET'!D126</f>
        <v>0</v>
      </c>
      <c r="EZ126" s="14">
        <f>CV126*'MASTER SHEET'!D126</f>
        <v>0</v>
      </c>
      <c r="FA126" s="14">
        <f>CZ126*'MASTER SHEET'!D126</f>
        <v>0</v>
      </c>
      <c r="FB126" s="14">
        <f>DD126*'MASTER SHEET'!D126</f>
        <v>0</v>
      </c>
    </row>
    <row r="127" spans="1:158" ht="18.75" customHeight="1" x14ac:dyDescent="0.25">
      <c r="A127" s="43">
        <f>'MASTER SHEET'!A127</f>
        <v>125</v>
      </c>
      <c r="B127" s="49" t="str">
        <f>'MASTER SHEET'!B127</f>
        <v>TIAGO MCE IDH LEVER GRAINED RH</v>
      </c>
      <c r="C127" s="86" t="str">
        <f>'MASTER SHEET'!C127</f>
        <v>CC00004728</v>
      </c>
      <c r="D127" s="51"/>
      <c r="E127" s="48"/>
      <c r="F127" s="48"/>
      <c r="G127" s="48"/>
      <c r="H127" s="48">
        <f t="shared" ref="H127:H145" si="163">D127+E127-F127-G127</f>
        <v>0</v>
      </c>
      <c r="I127" s="28"/>
      <c r="J127" s="28"/>
      <c r="K127" s="65"/>
      <c r="L127" s="48">
        <f t="shared" ref="L127:L145" si="164">H127+I127-J127-K127</f>
        <v>0</v>
      </c>
      <c r="M127" s="48"/>
      <c r="N127" s="48"/>
      <c r="O127" s="48"/>
      <c r="P127" s="48">
        <f t="shared" ref="P127:P145" si="165">L127+M127-N127-O127</f>
        <v>0</v>
      </c>
      <c r="Q127" s="48"/>
      <c r="R127" s="48"/>
      <c r="S127" s="48"/>
      <c r="T127" s="48">
        <f t="shared" ref="T127:T145" si="166">P127+Q127-R127-S127</f>
        <v>0</v>
      </c>
      <c r="U127" s="48">
        <v>0</v>
      </c>
      <c r="V127" s="48"/>
      <c r="W127" s="48"/>
      <c r="X127" s="48">
        <f t="shared" ref="X127:X145" si="167">T127+U127-V127-W127</f>
        <v>0</v>
      </c>
      <c r="Y127" s="48"/>
      <c r="Z127" s="48"/>
      <c r="AA127" s="48"/>
      <c r="AB127" s="48">
        <f t="shared" ref="AB127:AB145" si="168">X127+Y127-Z127-AA127</f>
        <v>0</v>
      </c>
      <c r="AC127" s="48">
        <v>2074</v>
      </c>
      <c r="AD127" s="48">
        <v>2062</v>
      </c>
      <c r="AE127" s="48">
        <v>12</v>
      </c>
      <c r="AF127" s="48">
        <f t="shared" ref="AF127:AF145" si="169">AB127+AC127-AD127-AE127</f>
        <v>0</v>
      </c>
      <c r="AG127" s="48">
        <v>2074</v>
      </c>
      <c r="AH127" s="48">
        <v>1996</v>
      </c>
      <c r="AI127" s="48">
        <v>78</v>
      </c>
      <c r="AJ127" s="48">
        <f t="shared" ref="AJ127:AJ145" si="170">AF127+AG127-AH127-AI127</f>
        <v>0</v>
      </c>
      <c r="AK127" s="48"/>
      <c r="AL127" s="48"/>
      <c r="AM127" s="48"/>
      <c r="AN127" s="48">
        <f t="shared" ref="AN127:AN145" si="171">AJ127+AK127-AL127-AM127</f>
        <v>0</v>
      </c>
      <c r="AO127" s="48"/>
      <c r="AP127" s="48"/>
      <c r="AQ127" s="48"/>
      <c r="AR127" s="48">
        <f t="shared" ref="AR127:AR145" si="172">AN127+AO127-AP127-AQ127</f>
        <v>0</v>
      </c>
      <c r="AS127" s="48"/>
      <c r="AT127" s="48"/>
      <c r="AU127" s="48"/>
      <c r="AV127" s="48">
        <f t="shared" ref="AV127:AV145" si="173">AR127+AS127-AT127-AU127</f>
        <v>0</v>
      </c>
      <c r="AW127" s="48"/>
      <c r="AX127" s="48"/>
      <c r="AY127" s="48"/>
      <c r="AZ127" s="48">
        <f t="shared" ref="AZ127:AZ145" si="174">AV127+AW127-AX127-AY127</f>
        <v>0</v>
      </c>
      <c r="BA127" s="48">
        <v>2359</v>
      </c>
      <c r="BB127" s="48">
        <v>2337</v>
      </c>
      <c r="BC127" s="48">
        <v>22</v>
      </c>
      <c r="BD127" s="48">
        <f t="shared" ref="BD127:BD145" si="175">AZ127+BA127-BB127-BC127</f>
        <v>0</v>
      </c>
      <c r="BE127" s="48">
        <v>2464</v>
      </c>
      <c r="BF127" s="48">
        <v>2458</v>
      </c>
      <c r="BG127" s="48">
        <v>6</v>
      </c>
      <c r="BH127" s="48">
        <f t="shared" ref="BH127:BH145" si="176">BD127+BE127-BF127-BG127</f>
        <v>0</v>
      </c>
      <c r="BI127" s="48">
        <v>384</v>
      </c>
      <c r="BJ127" s="48">
        <v>383</v>
      </c>
      <c r="BK127" s="48">
        <v>1</v>
      </c>
      <c r="BL127" s="48">
        <f t="shared" ref="BL127:BL145" si="177">BH127+BI127-BJ127-BK127</f>
        <v>0</v>
      </c>
      <c r="BM127" s="48"/>
      <c r="BN127" s="48"/>
      <c r="BO127" s="48"/>
      <c r="BP127" s="48">
        <f t="shared" ref="BP127:BP145" si="178">BL127+BM127-BN127-BO127</f>
        <v>0</v>
      </c>
      <c r="BQ127" s="48"/>
      <c r="BR127" s="48"/>
      <c r="BS127" s="48"/>
      <c r="BT127" s="48">
        <f t="shared" ref="BT127:BT145" si="179">BP127+BQ127-BR127-BS127</f>
        <v>0</v>
      </c>
      <c r="BU127" s="48"/>
      <c r="BV127" s="48"/>
      <c r="BW127" s="48"/>
      <c r="BX127" s="48">
        <f t="shared" ref="BX127:BX145" si="180">BT127+BU127-BV127-BW127</f>
        <v>0</v>
      </c>
      <c r="BY127" s="48"/>
      <c r="BZ127" s="48"/>
      <c r="CA127" s="48"/>
      <c r="CB127" s="48">
        <f t="shared" ref="CB127:CB145" si="181">BX127+BY127-BZ127-CA127</f>
        <v>0</v>
      </c>
      <c r="CC127" s="48"/>
      <c r="CD127" s="48"/>
      <c r="CE127" s="48"/>
      <c r="CF127" s="48">
        <f t="shared" ref="CF127:CF145" si="182">CB127+CC127-CD127-CE127</f>
        <v>0</v>
      </c>
      <c r="CG127" s="48"/>
      <c r="CH127" s="48"/>
      <c r="CI127" s="48"/>
      <c r="CJ127" s="48">
        <f t="shared" ref="CJ127:CJ145" si="183">CF127+CG127-CH127-CI127</f>
        <v>0</v>
      </c>
      <c r="CK127" s="48">
        <f>236+2538</f>
        <v>2774</v>
      </c>
      <c r="CL127" s="48">
        <f>2534+220</f>
        <v>2754</v>
      </c>
      <c r="CM127" s="48">
        <v>20</v>
      </c>
      <c r="CN127" s="48">
        <f t="shared" ref="CN127:CN145" si="184">CJ127+CK127-CL127-CM127</f>
        <v>0</v>
      </c>
      <c r="CO127" s="48">
        <v>2589</v>
      </c>
      <c r="CP127" s="48">
        <v>2584</v>
      </c>
      <c r="CQ127" s="48">
        <v>5</v>
      </c>
      <c r="CR127" s="48">
        <f t="shared" ref="CR127:CR145" si="185">CN127+CO127-CP127-CQ127</f>
        <v>0</v>
      </c>
      <c r="CS127" s="48">
        <v>1188</v>
      </c>
      <c r="CT127" s="48">
        <v>1158</v>
      </c>
      <c r="CU127" s="48">
        <v>30</v>
      </c>
      <c r="CV127" s="48">
        <f t="shared" ref="CV127:CV145" si="186">CR127+CS127-CT127-CU127</f>
        <v>0</v>
      </c>
      <c r="CW127" s="48">
        <v>1025</v>
      </c>
      <c r="CX127" s="48">
        <v>1023</v>
      </c>
      <c r="CY127" s="48">
        <v>2</v>
      </c>
      <c r="CZ127" s="48">
        <f t="shared" ref="CZ127:CZ145" si="187">CV127+CW127-CX127-CY127</f>
        <v>0</v>
      </c>
      <c r="DA127" s="48"/>
      <c r="DB127" s="48"/>
      <c r="DC127" s="48"/>
      <c r="DD127" s="48">
        <f t="shared" ref="DD127:DD145" si="188">CZ127+DA127-DB127-DC127</f>
        <v>0</v>
      </c>
      <c r="DE127" s="48"/>
      <c r="DF127" s="48"/>
      <c r="DG127" s="48"/>
      <c r="DH127" s="48">
        <f t="shared" ref="DH127:DH145" si="189">DD127+DE127-DF127-DG127</f>
        <v>0</v>
      </c>
      <c r="DI127" s="48"/>
      <c r="DJ127" s="48"/>
      <c r="DK127" s="48"/>
      <c r="DL127" s="48">
        <f t="shared" ref="DL127:DL145" si="190">DH127+DI127-DJ127-DK127</f>
        <v>0</v>
      </c>
      <c r="DM127" s="48">
        <v>36</v>
      </c>
      <c r="DN127" s="48">
        <v>21</v>
      </c>
      <c r="DO127" s="48">
        <v>15</v>
      </c>
      <c r="DP127" s="48">
        <f t="shared" ref="DP127:DP145" si="191">DL127+DM127-DN127-DO127</f>
        <v>0</v>
      </c>
      <c r="DQ127" s="48"/>
      <c r="DR127" s="48"/>
      <c r="DS127" s="48"/>
      <c r="DT127" s="48">
        <f t="shared" ref="DT127:DT145" si="192">DP127+DQ127-DR127-DS127</f>
        <v>0</v>
      </c>
      <c r="DU127" s="48"/>
      <c r="DV127" s="48"/>
      <c r="DW127" s="48"/>
      <c r="DX127" s="48">
        <f t="shared" ref="DX127:DX145" si="193">DT127+DU127-DV127-DW127</f>
        <v>0</v>
      </c>
      <c r="DY127" s="48">
        <f t="shared" ref="DY127:DY145" si="194">DU127+DQ127+DM127+DI127+DE127+DA127+CW127+CS127+CO127+CK127+CG127+CC127+BY127+BU127+BQ127+BI127+BA127+AW127+AS127+AO127+AK127+AG127+AC127+Y127+U127+Q127+M127+I127+E127+BM127+BE127</f>
        <v>16967</v>
      </c>
      <c r="DZ127" s="48">
        <f t="shared" ref="DZ127:DZ145" si="195">G127+K127+S127+W127+AA127+AE127+AI127+AM127+AQ127+AU127+AY127+BC127+BG127+BK127+BO127+BS127+BW127+CA127+CE127+CI127+CM127+CQ127+CU127+CY127+DC127+DG127+DK127+DO127+DS127+DW127</f>
        <v>191</v>
      </c>
      <c r="EA127" s="14">
        <f>D127*'MASTER SHEET'!D127</f>
        <v>0</v>
      </c>
      <c r="EB127" s="14">
        <f>H127*'MASTER SHEET'!D127</f>
        <v>0</v>
      </c>
      <c r="EC127" s="14">
        <f>L127*'MASTER SHEET'!D127</f>
        <v>0</v>
      </c>
      <c r="ED127" s="14">
        <f>P127*'MASTER SHEET'!D127</f>
        <v>0</v>
      </c>
      <c r="EE127" s="14">
        <f>T127*'MASTER SHEET'!D127</f>
        <v>0</v>
      </c>
      <c r="EF127" s="14">
        <f>X127*'MASTER SHEET'!D127</f>
        <v>0</v>
      </c>
      <c r="EG127" s="14">
        <f>AB127*'MASTER SHEET'!D127</f>
        <v>0</v>
      </c>
      <c r="EH127" s="14">
        <f>AF127*'MASTER SHEET'!D127</f>
        <v>0</v>
      </c>
      <c r="EI127" s="14">
        <f>AJ127*'MASTER SHEET'!D127</f>
        <v>0</v>
      </c>
      <c r="EJ127" s="14">
        <f>AN127*'MASTER SHEET'!D127</f>
        <v>0</v>
      </c>
      <c r="EK127" s="14">
        <f>AR127*'MASTER SHEET'!D127</f>
        <v>0</v>
      </c>
      <c r="EL127" s="14">
        <f>AV127*'MASTER SHEET'!D127</f>
        <v>0</v>
      </c>
      <c r="EM127" s="14">
        <f>AZ127*'MASTER SHEET'!D127</f>
        <v>0</v>
      </c>
      <c r="EN127" s="14">
        <f>BD127*'MASTER SHEET'!D127</f>
        <v>0</v>
      </c>
      <c r="EO127" s="14">
        <f>BH127*'MASTER SHEET'!D127</f>
        <v>0</v>
      </c>
      <c r="EP127" s="14">
        <f>BL127*'MASTER SHEET'!D127</f>
        <v>0</v>
      </c>
      <c r="EQ127" s="14">
        <f>BP127*'MASTER SHEET'!D127</f>
        <v>0</v>
      </c>
      <c r="ER127" s="14">
        <f>BT127*'MASTER SHEET'!D127</f>
        <v>0</v>
      </c>
      <c r="ES127" s="14">
        <f>BX127*'MASTER SHEET'!D127</f>
        <v>0</v>
      </c>
      <c r="ET127" s="21">
        <f>CB127*'MASTER SHEET'!D127</f>
        <v>0</v>
      </c>
      <c r="EU127" s="14">
        <f>CF127*'MASTER SHEET'!D127</f>
        <v>0</v>
      </c>
      <c r="EV127" s="14">
        <f>CJ127*'MASTER SHEET'!D127</f>
        <v>0</v>
      </c>
      <c r="EW127" s="14">
        <f>CN127*'MASTER SHEET'!D127</f>
        <v>0</v>
      </c>
      <c r="EX127" s="14">
        <f>CR127*'MASTER SHEET'!D127</f>
        <v>0</v>
      </c>
      <c r="EY127" s="14">
        <f>CR127*'MASTER SHEET'!D127</f>
        <v>0</v>
      </c>
      <c r="EZ127" s="14">
        <f>CV127*'MASTER SHEET'!D127</f>
        <v>0</v>
      </c>
      <c r="FA127" s="14">
        <f>CZ127*'MASTER SHEET'!D127</f>
        <v>0</v>
      </c>
      <c r="FB127" s="14">
        <f>DD127*'MASTER SHEET'!D127</f>
        <v>0</v>
      </c>
    </row>
    <row r="128" spans="1:158" ht="18.75" customHeight="1" x14ac:dyDescent="0.25">
      <c r="A128" s="43">
        <f>'MASTER SHEET'!A128</f>
        <v>126</v>
      </c>
      <c r="B128" s="49" t="str">
        <f>'MASTER SHEET'!B128</f>
        <v>DUMMY LOCK</v>
      </c>
      <c r="C128" s="86" t="str">
        <f>'MASTER SHEET'!C128</f>
        <v>BD00003423</v>
      </c>
      <c r="D128" s="51"/>
      <c r="E128" s="48"/>
      <c r="F128" s="48"/>
      <c r="G128" s="48"/>
      <c r="H128" s="48">
        <f t="shared" si="163"/>
        <v>0</v>
      </c>
      <c r="I128" s="28"/>
      <c r="J128" s="28"/>
      <c r="K128" s="65"/>
      <c r="L128" s="48">
        <f t="shared" si="164"/>
        <v>0</v>
      </c>
      <c r="M128" s="48"/>
      <c r="N128" s="48"/>
      <c r="O128" s="48"/>
      <c r="P128" s="48">
        <f t="shared" si="165"/>
        <v>0</v>
      </c>
      <c r="Q128" s="48"/>
      <c r="R128" s="48"/>
      <c r="S128" s="48"/>
      <c r="T128" s="48">
        <f t="shared" si="166"/>
        <v>0</v>
      </c>
      <c r="U128" s="48">
        <v>0</v>
      </c>
      <c r="V128" s="48"/>
      <c r="W128" s="48"/>
      <c r="X128" s="48">
        <f t="shared" si="167"/>
        <v>0</v>
      </c>
      <c r="Y128" s="48"/>
      <c r="Z128" s="48"/>
      <c r="AA128" s="48"/>
      <c r="AB128" s="48">
        <f t="shared" si="168"/>
        <v>0</v>
      </c>
      <c r="AC128" s="48"/>
      <c r="AD128" s="48"/>
      <c r="AE128" s="48"/>
      <c r="AF128" s="48">
        <f t="shared" si="169"/>
        <v>0</v>
      </c>
      <c r="AG128" s="48"/>
      <c r="AH128" s="48"/>
      <c r="AI128" s="48"/>
      <c r="AJ128" s="48">
        <f t="shared" si="170"/>
        <v>0</v>
      </c>
      <c r="AK128" s="48"/>
      <c r="AL128" s="48"/>
      <c r="AM128" s="48"/>
      <c r="AN128" s="48">
        <f t="shared" si="171"/>
        <v>0</v>
      </c>
      <c r="AO128" s="48"/>
      <c r="AP128" s="48"/>
      <c r="AQ128" s="48"/>
      <c r="AR128" s="48">
        <f t="shared" si="172"/>
        <v>0</v>
      </c>
      <c r="AS128" s="48"/>
      <c r="AT128" s="48"/>
      <c r="AU128" s="48"/>
      <c r="AV128" s="48">
        <f t="shared" si="173"/>
        <v>0</v>
      </c>
      <c r="AW128" s="48"/>
      <c r="AX128" s="48"/>
      <c r="AY128" s="48"/>
      <c r="AZ128" s="48">
        <f t="shared" si="174"/>
        <v>0</v>
      </c>
      <c r="BA128" s="48"/>
      <c r="BB128" s="48"/>
      <c r="BC128" s="48"/>
      <c r="BD128" s="48">
        <f t="shared" si="175"/>
        <v>0</v>
      </c>
      <c r="BE128" s="48"/>
      <c r="BF128" s="48"/>
      <c r="BG128" s="48"/>
      <c r="BH128" s="48">
        <f t="shared" si="176"/>
        <v>0</v>
      </c>
      <c r="BI128" s="48"/>
      <c r="BJ128" s="48"/>
      <c r="BK128" s="48"/>
      <c r="BL128" s="48">
        <f t="shared" si="177"/>
        <v>0</v>
      </c>
      <c r="BM128" s="48"/>
      <c r="BN128" s="48"/>
      <c r="BO128" s="48"/>
      <c r="BP128" s="48">
        <f t="shared" si="178"/>
        <v>0</v>
      </c>
      <c r="BQ128" s="48"/>
      <c r="BR128" s="48"/>
      <c r="BS128" s="48"/>
      <c r="BT128" s="48">
        <f t="shared" si="179"/>
        <v>0</v>
      </c>
      <c r="BU128" s="48"/>
      <c r="BV128" s="48"/>
      <c r="BW128" s="48"/>
      <c r="BX128" s="48">
        <f t="shared" si="180"/>
        <v>0</v>
      </c>
      <c r="BY128" s="48"/>
      <c r="BZ128" s="48"/>
      <c r="CA128" s="48"/>
      <c r="CB128" s="48">
        <f t="shared" si="181"/>
        <v>0</v>
      </c>
      <c r="CC128" s="48"/>
      <c r="CD128" s="48"/>
      <c r="CE128" s="48"/>
      <c r="CF128" s="48">
        <f t="shared" si="182"/>
        <v>0</v>
      </c>
      <c r="CG128" s="48"/>
      <c r="CH128" s="48"/>
      <c r="CI128" s="48"/>
      <c r="CJ128" s="48">
        <f t="shared" si="183"/>
        <v>0</v>
      </c>
      <c r="CK128" s="48"/>
      <c r="CL128" s="48"/>
      <c r="CM128" s="48"/>
      <c r="CN128" s="48">
        <f t="shared" si="184"/>
        <v>0</v>
      </c>
      <c r="CO128" s="48"/>
      <c r="CP128" s="48"/>
      <c r="CQ128" s="48"/>
      <c r="CR128" s="48">
        <f t="shared" si="185"/>
        <v>0</v>
      </c>
      <c r="CS128" s="48"/>
      <c r="CT128" s="48"/>
      <c r="CU128" s="48"/>
      <c r="CV128" s="48">
        <f t="shared" si="186"/>
        <v>0</v>
      </c>
      <c r="CW128" s="48"/>
      <c r="CX128" s="48"/>
      <c r="CY128" s="48"/>
      <c r="CZ128" s="48">
        <f t="shared" si="187"/>
        <v>0</v>
      </c>
      <c r="DA128" s="48"/>
      <c r="DB128" s="48"/>
      <c r="DC128" s="48"/>
      <c r="DD128" s="48">
        <f t="shared" si="188"/>
        <v>0</v>
      </c>
      <c r="DE128" s="48"/>
      <c r="DF128" s="48"/>
      <c r="DG128" s="48"/>
      <c r="DH128" s="48">
        <f t="shared" si="189"/>
        <v>0</v>
      </c>
      <c r="DI128" s="48">
        <v>4308</v>
      </c>
      <c r="DJ128" s="48">
        <v>4268</v>
      </c>
      <c r="DK128" s="48">
        <v>40</v>
      </c>
      <c r="DL128" s="48">
        <f t="shared" si="190"/>
        <v>0</v>
      </c>
      <c r="DM128" s="48">
        <v>9776</v>
      </c>
      <c r="DN128" s="48">
        <v>9740</v>
      </c>
      <c r="DO128" s="48">
        <v>36</v>
      </c>
      <c r="DP128" s="48">
        <f t="shared" si="191"/>
        <v>0</v>
      </c>
      <c r="DQ128" s="48"/>
      <c r="DR128" s="48"/>
      <c r="DS128" s="48"/>
      <c r="DT128" s="48">
        <f t="shared" si="192"/>
        <v>0</v>
      </c>
      <c r="DU128" s="48"/>
      <c r="DV128" s="48"/>
      <c r="DW128" s="48"/>
      <c r="DX128" s="48">
        <f t="shared" si="193"/>
        <v>0</v>
      </c>
      <c r="DY128" s="48">
        <f t="shared" si="194"/>
        <v>14084</v>
      </c>
      <c r="DZ128" s="48">
        <f t="shared" si="195"/>
        <v>76</v>
      </c>
      <c r="EA128" s="14">
        <f>D128*'MASTER SHEET'!D128</f>
        <v>0</v>
      </c>
      <c r="EB128" s="14">
        <f>H128*'MASTER SHEET'!D128</f>
        <v>0</v>
      </c>
      <c r="EC128" s="14">
        <f>L128*'MASTER SHEET'!D128</f>
        <v>0</v>
      </c>
      <c r="ED128" s="14">
        <f>P128*'MASTER SHEET'!D128</f>
        <v>0</v>
      </c>
      <c r="EE128" s="14">
        <f>T128*'MASTER SHEET'!D128</f>
        <v>0</v>
      </c>
      <c r="EF128" s="14">
        <f>X128*'MASTER SHEET'!D128</f>
        <v>0</v>
      </c>
      <c r="EG128" s="14">
        <f>AB128*'MASTER SHEET'!D128</f>
        <v>0</v>
      </c>
      <c r="EH128" s="14">
        <f>AF128*'MASTER SHEET'!D128</f>
        <v>0</v>
      </c>
      <c r="EI128" s="14">
        <f>AJ128*'MASTER SHEET'!D128</f>
        <v>0</v>
      </c>
      <c r="EJ128" s="14">
        <f>AN128*'MASTER SHEET'!D128</f>
        <v>0</v>
      </c>
      <c r="EK128" s="14">
        <f>AR128*'MASTER SHEET'!D128</f>
        <v>0</v>
      </c>
      <c r="EL128" s="14">
        <f>AV128*'MASTER SHEET'!D128</f>
        <v>0</v>
      </c>
      <c r="EM128" s="14">
        <f>AZ128*'MASTER SHEET'!D128</f>
        <v>0</v>
      </c>
      <c r="EN128" s="14">
        <f>BD128*'MASTER SHEET'!D128</f>
        <v>0</v>
      </c>
      <c r="EO128" s="14">
        <f>BH128*'MASTER SHEET'!D128</f>
        <v>0</v>
      </c>
      <c r="EP128" s="14">
        <f>BL128*'MASTER SHEET'!D128</f>
        <v>0</v>
      </c>
      <c r="EQ128" s="14">
        <f>BP128*'MASTER SHEET'!D128</f>
        <v>0</v>
      </c>
      <c r="ER128" s="14">
        <f>BT128*'MASTER SHEET'!D128</f>
        <v>0</v>
      </c>
      <c r="ES128" s="14">
        <f>BX128*'MASTER SHEET'!D128</f>
        <v>0</v>
      </c>
      <c r="ET128" s="21">
        <f>CB128*'MASTER SHEET'!D128</f>
        <v>0</v>
      </c>
      <c r="EU128" s="14">
        <f>CF128*'MASTER SHEET'!D128</f>
        <v>0</v>
      </c>
      <c r="EV128" s="14">
        <f>CJ128*'MASTER SHEET'!D128</f>
        <v>0</v>
      </c>
      <c r="EW128" s="14">
        <f>CN128*'MASTER SHEET'!D128</f>
        <v>0</v>
      </c>
      <c r="EX128" s="14">
        <f>CR128*'MASTER SHEET'!D128</f>
        <v>0</v>
      </c>
      <c r="EY128" s="14">
        <f>CR128*'MASTER SHEET'!D128</f>
        <v>0</v>
      </c>
      <c r="EZ128" s="14">
        <f>CV128*'MASTER SHEET'!D128</f>
        <v>0</v>
      </c>
      <c r="FA128" s="14">
        <f>CZ128*'MASTER SHEET'!D128</f>
        <v>0</v>
      </c>
      <c r="FB128" s="14">
        <f>DD128*'MASTER SHEET'!D128</f>
        <v>0</v>
      </c>
    </row>
    <row r="129" spans="1:158" ht="18.75" customHeight="1" x14ac:dyDescent="0.25">
      <c r="A129" s="43">
        <f>'MASTER SHEET'!A129</f>
        <v>127</v>
      </c>
      <c r="B129" s="49" t="str">
        <f>'MASTER SHEET'!B129</f>
        <v>3 WAY CLAMP</v>
      </c>
      <c r="C129" s="86">
        <f>'MASTER SHEET'!C129</f>
        <v>62207</v>
      </c>
      <c r="D129" s="51"/>
      <c r="E129" s="48"/>
      <c r="F129" s="48"/>
      <c r="G129" s="48"/>
      <c r="H129" s="48">
        <f t="shared" si="163"/>
        <v>0</v>
      </c>
      <c r="I129" s="28"/>
      <c r="J129" s="28"/>
      <c r="K129" s="65"/>
      <c r="L129" s="48">
        <f t="shared" si="164"/>
        <v>0</v>
      </c>
      <c r="M129" s="48"/>
      <c r="N129" s="48"/>
      <c r="O129" s="48"/>
      <c r="P129" s="48">
        <f t="shared" si="165"/>
        <v>0</v>
      </c>
      <c r="Q129" s="48"/>
      <c r="R129" s="48"/>
      <c r="S129" s="48"/>
      <c r="T129" s="48">
        <f t="shared" si="166"/>
        <v>0</v>
      </c>
      <c r="U129" s="48">
        <v>0</v>
      </c>
      <c r="V129" s="48"/>
      <c r="W129" s="48"/>
      <c r="X129" s="48">
        <f t="shared" si="167"/>
        <v>0</v>
      </c>
      <c r="Y129" s="48"/>
      <c r="Z129" s="48"/>
      <c r="AA129" s="48"/>
      <c r="AB129" s="48">
        <f t="shared" si="168"/>
        <v>0</v>
      </c>
      <c r="AC129" s="48"/>
      <c r="AD129" s="48"/>
      <c r="AE129" s="48"/>
      <c r="AF129" s="48">
        <f t="shared" si="169"/>
        <v>0</v>
      </c>
      <c r="AG129" s="48"/>
      <c r="AH129" s="48"/>
      <c r="AI129" s="48"/>
      <c r="AJ129" s="48">
        <f t="shared" si="170"/>
        <v>0</v>
      </c>
      <c r="AK129" s="48"/>
      <c r="AL129" s="48"/>
      <c r="AM129" s="48"/>
      <c r="AN129" s="48">
        <f t="shared" si="171"/>
        <v>0</v>
      </c>
      <c r="AO129" s="48"/>
      <c r="AP129" s="48"/>
      <c r="AQ129" s="48"/>
      <c r="AR129" s="48">
        <f t="shared" si="172"/>
        <v>0</v>
      </c>
      <c r="AS129" s="48"/>
      <c r="AT129" s="48"/>
      <c r="AU129" s="48"/>
      <c r="AV129" s="48">
        <f t="shared" si="173"/>
        <v>0</v>
      </c>
      <c r="AW129" s="48"/>
      <c r="AX129" s="48"/>
      <c r="AY129" s="48"/>
      <c r="AZ129" s="48">
        <f t="shared" si="174"/>
        <v>0</v>
      </c>
      <c r="BA129" s="48"/>
      <c r="BB129" s="48"/>
      <c r="BC129" s="48"/>
      <c r="BD129" s="48">
        <f t="shared" si="175"/>
        <v>0</v>
      </c>
      <c r="BE129" s="48"/>
      <c r="BF129" s="48"/>
      <c r="BG129" s="48"/>
      <c r="BH129" s="48">
        <f t="shared" si="176"/>
        <v>0</v>
      </c>
      <c r="BI129" s="48"/>
      <c r="BJ129" s="48"/>
      <c r="BK129" s="48"/>
      <c r="BL129" s="48">
        <f t="shared" si="177"/>
        <v>0</v>
      </c>
      <c r="BM129" s="48"/>
      <c r="BN129" s="48"/>
      <c r="BO129" s="48"/>
      <c r="BP129" s="48">
        <f t="shared" si="178"/>
        <v>0</v>
      </c>
      <c r="BQ129" s="48"/>
      <c r="BR129" s="48"/>
      <c r="BS129" s="48"/>
      <c r="BT129" s="48">
        <f t="shared" si="179"/>
        <v>0</v>
      </c>
      <c r="BU129" s="48"/>
      <c r="BV129" s="48"/>
      <c r="BW129" s="48"/>
      <c r="BX129" s="48">
        <f t="shared" si="180"/>
        <v>0</v>
      </c>
      <c r="BY129" s="48"/>
      <c r="BZ129" s="48"/>
      <c r="CA129" s="48"/>
      <c r="CB129" s="48">
        <f t="shared" si="181"/>
        <v>0</v>
      </c>
      <c r="CC129" s="48"/>
      <c r="CD129" s="48"/>
      <c r="CE129" s="48"/>
      <c r="CF129" s="48">
        <f t="shared" si="182"/>
        <v>0</v>
      </c>
      <c r="CG129" s="48"/>
      <c r="CH129" s="48"/>
      <c r="CI129" s="48"/>
      <c r="CJ129" s="48">
        <f t="shared" si="183"/>
        <v>0</v>
      </c>
      <c r="CK129" s="48"/>
      <c r="CL129" s="48"/>
      <c r="CM129" s="48"/>
      <c r="CN129" s="48">
        <f t="shared" si="184"/>
        <v>0</v>
      </c>
      <c r="CO129" s="48"/>
      <c r="CP129" s="48"/>
      <c r="CQ129" s="48"/>
      <c r="CR129" s="48">
        <f t="shared" si="185"/>
        <v>0</v>
      </c>
      <c r="CS129" s="48"/>
      <c r="CT129" s="48"/>
      <c r="CU129" s="48"/>
      <c r="CV129" s="48">
        <f t="shared" si="186"/>
        <v>0</v>
      </c>
      <c r="CW129" s="48"/>
      <c r="CX129" s="48"/>
      <c r="CY129" s="48"/>
      <c r="CZ129" s="48">
        <f t="shared" si="187"/>
        <v>0</v>
      </c>
      <c r="DA129" s="48"/>
      <c r="DB129" s="48"/>
      <c r="DC129" s="48"/>
      <c r="DD129" s="48">
        <f t="shared" si="188"/>
        <v>0</v>
      </c>
      <c r="DE129" s="48"/>
      <c r="DF129" s="48"/>
      <c r="DG129" s="48"/>
      <c r="DH129" s="48">
        <f t="shared" si="189"/>
        <v>0</v>
      </c>
      <c r="DI129" s="48"/>
      <c r="DJ129" s="48"/>
      <c r="DK129" s="48"/>
      <c r="DL129" s="48">
        <f t="shared" si="190"/>
        <v>0</v>
      </c>
      <c r="DM129" s="48"/>
      <c r="DN129" s="48"/>
      <c r="DO129" s="48"/>
      <c r="DP129" s="48">
        <f t="shared" si="191"/>
        <v>0</v>
      </c>
      <c r="DQ129" s="48"/>
      <c r="DR129" s="48"/>
      <c r="DS129" s="48"/>
      <c r="DT129" s="48">
        <f t="shared" si="192"/>
        <v>0</v>
      </c>
      <c r="DU129" s="48"/>
      <c r="DV129" s="48"/>
      <c r="DW129" s="48"/>
      <c r="DX129" s="48">
        <f t="shared" si="193"/>
        <v>0</v>
      </c>
      <c r="DY129" s="48">
        <f t="shared" si="194"/>
        <v>0</v>
      </c>
      <c r="DZ129" s="48">
        <f t="shared" si="195"/>
        <v>0</v>
      </c>
      <c r="EA129" s="14">
        <f>D129*'MASTER SHEET'!D129</f>
        <v>0</v>
      </c>
      <c r="EB129" s="14">
        <f>H129*'MASTER SHEET'!D129</f>
        <v>0</v>
      </c>
      <c r="EC129" s="14">
        <f>L129*'MASTER SHEET'!D129</f>
        <v>0</v>
      </c>
      <c r="ED129" s="14">
        <f>P129*'MASTER SHEET'!D129</f>
        <v>0</v>
      </c>
      <c r="EE129" s="14">
        <f>T129*'MASTER SHEET'!D129</f>
        <v>0</v>
      </c>
      <c r="EF129" s="14">
        <f>X129*'MASTER SHEET'!D129</f>
        <v>0</v>
      </c>
      <c r="EG129" s="14">
        <f>AB129*'MASTER SHEET'!D129</f>
        <v>0</v>
      </c>
      <c r="EH129" s="14">
        <f>AF129*'MASTER SHEET'!D129</f>
        <v>0</v>
      </c>
      <c r="EI129" s="14">
        <f>AJ129*'MASTER SHEET'!D129</f>
        <v>0</v>
      </c>
      <c r="EJ129" s="14">
        <f>AN129*'MASTER SHEET'!D129</f>
        <v>0</v>
      </c>
      <c r="EK129" s="14">
        <f>AR129*'MASTER SHEET'!D129</f>
        <v>0</v>
      </c>
      <c r="EL129" s="14">
        <f>AV129*'MASTER SHEET'!D129</f>
        <v>0</v>
      </c>
      <c r="EM129" s="14">
        <f>AZ129*'MASTER SHEET'!D129</f>
        <v>0</v>
      </c>
      <c r="EN129" s="14">
        <f>BD129*'MASTER SHEET'!D129</f>
        <v>0</v>
      </c>
      <c r="EO129" s="14">
        <f>BH129*'MASTER SHEET'!D129</f>
        <v>0</v>
      </c>
      <c r="EP129" s="14">
        <f>BL129*'MASTER SHEET'!D129</f>
        <v>0</v>
      </c>
      <c r="EQ129" s="14">
        <f>BP129*'MASTER SHEET'!D129</f>
        <v>0</v>
      </c>
      <c r="ER129" s="14">
        <f>BT129*'MASTER SHEET'!D129</f>
        <v>0</v>
      </c>
      <c r="ES129" s="14">
        <f>BX129*'MASTER SHEET'!D129</f>
        <v>0</v>
      </c>
      <c r="ET129" s="21">
        <f>CB129*'MASTER SHEET'!D129</f>
        <v>0</v>
      </c>
      <c r="EU129" s="14">
        <f>CF129*'MASTER SHEET'!D129</f>
        <v>0</v>
      </c>
      <c r="EV129" s="14">
        <f>CJ129*'MASTER SHEET'!D129</f>
        <v>0</v>
      </c>
      <c r="EW129" s="14">
        <f>CN129*'MASTER SHEET'!D129</f>
        <v>0</v>
      </c>
      <c r="EX129" s="14">
        <f>CR129*'MASTER SHEET'!D129</f>
        <v>0</v>
      </c>
      <c r="EY129" s="14">
        <f>CR129*'MASTER SHEET'!D129</f>
        <v>0</v>
      </c>
      <c r="EZ129" s="14">
        <f>CV129*'MASTER SHEET'!D129</f>
        <v>0</v>
      </c>
      <c r="FA129" s="14">
        <f>CZ129*'MASTER SHEET'!D129</f>
        <v>0</v>
      </c>
      <c r="FB129" s="14">
        <f>DD129*'MASTER SHEET'!D129</f>
        <v>0</v>
      </c>
    </row>
    <row r="130" spans="1:158" ht="18.75" customHeight="1" x14ac:dyDescent="0.25">
      <c r="A130" s="43">
        <f>'MASTER SHEET'!A130</f>
        <v>128</v>
      </c>
      <c r="B130" s="49" t="str">
        <f>'MASTER SHEET'!B130</f>
        <v>NUT</v>
      </c>
      <c r="C130" s="86">
        <f>'MASTER SHEET'!C130</f>
        <v>61577</v>
      </c>
      <c r="D130" s="51"/>
      <c r="E130" s="48"/>
      <c r="F130" s="48"/>
      <c r="G130" s="48"/>
      <c r="H130" s="48">
        <f t="shared" si="163"/>
        <v>0</v>
      </c>
      <c r="I130" s="28"/>
      <c r="J130" s="28"/>
      <c r="K130" s="65"/>
      <c r="L130" s="48">
        <f t="shared" si="164"/>
        <v>0</v>
      </c>
      <c r="M130" s="48"/>
      <c r="N130" s="48"/>
      <c r="O130" s="48"/>
      <c r="P130" s="48">
        <f t="shared" si="165"/>
        <v>0</v>
      </c>
      <c r="Q130" s="48"/>
      <c r="R130" s="48"/>
      <c r="S130" s="48"/>
      <c r="T130" s="48">
        <f t="shared" si="166"/>
        <v>0</v>
      </c>
      <c r="U130" s="48">
        <v>0</v>
      </c>
      <c r="V130" s="48"/>
      <c r="W130" s="48"/>
      <c r="X130" s="48">
        <f t="shared" si="167"/>
        <v>0</v>
      </c>
      <c r="Y130" s="48"/>
      <c r="Z130" s="48"/>
      <c r="AA130" s="48"/>
      <c r="AB130" s="48">
        <f t="shared" si="168"/>
        <v>0</v>
      </c>
      <c r="AC130" s="48"/>
      <c r="AD130" s="48"/>
      <c r="AE130" s="48"/>
      <c r="AF130" s="48">
        <f t="shared" si="169"/>
        <v>0</v>
      </c>
      <c r="AG130" s="48"/>
      <c r="AH130" s="48"/>
      <c r="AI130" s="48"/>
      <c r="AJ130" s="48">
        <f t="shared" si="170"/>
        <v>0</v>
      </c>
      <c r="AK130" s="48"/>
      <c r="AL130" s="48"/>
      <c r="AM130" s="48"/>
      <c r="AN130" s="48">
        <f t="shared" si="171"/>
        <v>0</v>
      </c>
      <c r="AO130" s="48"/>
      <c r="AP130" s="48"/>
      <c r="AQ130" s="48"/>
      <c r="AR130" s="48">
        <f t="shared" si="172"/>
        <v>0</v>
      </c>
      <c r="AS130" s="48"/>
      <c r="AT130" s="48"/>
      <c r="AU130" s="48"/>
      <c r="AV130" s="48">
        <f t="shared" si="173"/>
        <v>0</v>
      </c>
      <c r="AW130" s="48"/>
      <c r="AX130" s="48"/>
      <c r="AY130" s="48"/>
      <c r="AZ130" s="48">
        <f t="shared" si="174"/>
        <v>0</v>
      </c>
      <c r="BA130" s="48"/>
      <c r="BB130" s="48"/>
      <c r="BC130" s="48"/>
      <c r="BD130" s="48">
        <f t="shared" si="175"/>
        <v>0</v>
      </c>
      <c r="BE130" s="48"/>
      <c r="BF130" s="48"/>
      <c r="BG130" s="48"/>
      <c r="BH130" s="48">
        <f t="shared" si="176"/>
        <v>0</v>
      </c>
      <c r="BI130" s="48"/>
      <c r="BJ130" s="48"/>
      <c r="BK130" s="48"/>
      <c r="BL130" s="48">
        <f t="shared" si="177"/>
        <v>0</v>
      </c>
      <c r="BM130" s="48"/>
      <c r="BN130" s="48"/>
      <c r="BO130" s="48"/>
      <c r="BP130" s="48">
        <f t="shared" si="178"/>
        <v>0</v>
      </c>
      <c r="BQ130" s="48"/>
      <c r="BR130" s="48"/>
      <c r="BS130" s="48"/>
      <c r="BT130" s="48">
        <f t="shared" si="179"/>
        <v>0</v>
      </c>
      <c r="BU130" s="48"/>
      <c r="BV130" s="48"/>
      <c r="BW130" s="48"/>
      <c r="BX130" s="48">
        <f t="shared" si="180"/>
        <v>0</v>
      </c>
      <c r="BY130" s="48"/>
      <c r="BZ130" s="48"/>
      <c r="CA130" s="48"/>
      <c r="CB130" s="48">
        <f t="shared" si="181"/>
        <v>0</v>
      </c>
      <c r="CC130" s="48"/>
      <c r="CD130" s="48"/>
      <c r="CE130" s="48"/>
      <c r="CF130" s="48">
        <f t="shared" si="182"/>
        <v>0</v>
      </c>
      <c r="CG130" s="48"/>
      <c r="CH130" s="48"/>
      <c r="CI130" s="48"/>
      <c r="CJ130" s="48">
        <f t="shared" si="183"/>
        <v>0</v>
      </c>
      <c r="CK130" s="48"/>
      <c r="CL130" s="48"/>
      <c r="CM130" s="48"/>
      <c r="CN130" s="48">
        <f t="shared" si="184"/>
        <v>0</v>
      </c>
      <c r="CO130" s="48"/>
      <c r="CP130" s="48"/>
      <c r="CQ130" s="48"/>
      <c r="CR130" s="48">
        <f t="shared" si="185"/>
        <v>0</v>
      </c>
      <c r="CS130" s="48"/>
      <c r="CT130" s="48"/>
      <c r="CU130" s="48"/>
      <c r="CV130" s="48">
        <f t="shared" si="186"/>
        <v>0</v>
      </c>
      <c r="CW130" s="48"/>
      <c r="CX130" s="48"/>
      <c r="CY130" s="48"/>
      <c r="CZ130" s="48">
        <f t="shared" si="187"/>
        <v>0</v>
      </c>
      <c r="DA130" s="48"/>
      <c r="DB130" s="48"/>
      <c r="DC130" s="48"/>
      <c r="DD130" s="48">
        <f t="shared" si="188"/>
        <v>0</v>
      </c>
      <c r="DE130" s="48"/>
      <c r="DF130" s="48"/>
      <c r="DG130" s="48"/>
      <c r="DH130" s="48">
        <f t="shared" si="189"/>
        <v>0</v>
      </c>
      <c r="DI130" s="48"/>
      <c r="DJ130" s="48"/>
      <c r="DK130" s="48"/>
      <c r="DL130" s="48">
        <f t="shared" si="190"/>
        <v>0</v>
      </c>
      <c r="DM130" s="48"/>
      <c r="DN130" s="48"/>
      <c r="DO130" s="48"/>
      <c r="DP130" s="48">
        <f t="shared" si="191"/>
        <v>0</v>
      </c>
      <c r="DQ130" s="48"/>
      <c r="DR130" s="48"/>
      <c r="DS130" s="48"/>
      <c r="DT130" s="48">
        <f t="shared" si="192"/>
        <v>0</v>
      </c>
      <c r="DU130" s="48"/>
      <c r="DV130" s="48"/>
      <c r="DW130" s="48"/>
      <c r="DX130" s="48">
        <f t="shared" si="193"/>
        <v>0</v>
      </c>
      <c r="DY130" s="48">
        <f t="shared" si="194"/>
        <v>0</v>
      </c>
      <c r="DZ130" s="48">
        <f t="shared" si="195"/>
        <v>0</v>
      </c>
      <c r="EA130" s="14">
        <f>D130*'MASTER SHEET'!D130</f>
        <v>0</v>
      </c>
      <c r="EB130" s="14">
        <f>H130*'MASTER SHEET'!D130</f>
        <v>0</v>
      </c>
      <c r="EC130" s="14">
        <f>L130*'MASTER SHEET'!D130</f>
        <v>0</v>
      </c>
      <c r="ED130" s="14">
        <f>P130*'MASTER SHEET'!D130</f>
        <v>0</v>
      </c>
      <c r="EE130" s="14">
        <f>T130*'MASTER SHEET'!D130</f>
        <v>0</v>
      </c>
      <c r="EF130" s="14">
        <f>X130*'MASTER SHEET'!D130</f>
        <v>0</v>
      </c>
      <c r="EG130" s="14">
        <f>AB130*'MASTER SHEET'!D130</f>
        <v>0</v>
      </c>
      <c r="EH130" s="14">
        <f>AF130*'MASTER SHEET'!D130</f>
        <v>0</v>
      </c>
      <c r="EI130" s="14">
        <f>AJ130*'MASTER SHEET'!D130</f>
        <v>0</v>
      </c>
      <c r="EJ130" s="14">
        <f>AN130*'MASTER SHEET'!D130</f>
        <v>0</v>
      </c>
      <c r="EK130" s="14">
        <f>AR130*'MASTER SHEET'!D130</f>
        <v>0</v>
      </c>
      <c r="EL130" s="14">
        <f>AV130*'MASTER SHEET'!D130</f>
        <v>0</v>
      </c>
      <c r="EM130" s="14">
        <f>AZ130*'MASTER SHEET'!D130</f>
        <v>0</v>
      </c>
      <c r="EN130" s="14">
        <f>BD130*'MASTER SHEET'!D130</f>
        <v>0</v>
      </c>
      <c r="EO130" s="14">
        <f>BH130*'MASTER SHEET'!D130</f>
        <v>0</v>
      </c>
      <c r="EP130" s="14">
        <f>BL130*'MASTER SHEET'!D130</f>
        <v>0</v>
      </c>
      <c r="EQ130" s="14">
        <f>BP130*'MASTER SHEET'!D130</f>
        <v>0</v>
      </c>
      <c r="ER130" s="14">
        <f>BT130*'MASTER SHEET'!D130</f>
        <v>0</v>
      </c>
      <c r="ES130" s="14">
        <f>BX130*'MASTER SHEET'!D130</f>
        <v>0</v>
      </c>
      <c r="ET130" s="21">
        <f>CB130*'MASTER SHEET'!D130</f>
        <v>0</v>
      </c>
      <c r="EU130" s="14">
        <f>CF130*'MASTER SHEET'!D130</f>
        <v>0</v>
      </c>
      <c r="EV130" s="14">
        <f>CJ130*'MASTER SHEET'!D130</f>
        <v>0</v>
      </c>
      <c r="EW130" s="14">
        <f>CN130*'MASTER SHEET'!D130</f>
        <v>0</v>
      </c>
      <c r="EX130" s="14">
        <f>CR130*'MASTER SHEET'!D130</f>
        <v>0</v>
      </c>
      <c r="EY130" s="14">
        <f>CR130*'MASTER SHEET'!D130</f>
        <v>0</v>
      </c>
      <c r="EZ130" s="14">
        <f>CV130*'MASTER SHEET'!D130</f>
        <v>0</v>
      </c>
      <c r="FA130" s="14">
        <f>CZ130*'MASTER SHEET'!D130</f>
        <v>0</v>
      </c>
      <c r="FB130" s="14">
        <f>DD130*'MASTER SHEET'!D130</f>
        <v>0</v>
      </c>
    </row>
    <row r="131" spans="1:158" ht="18.75" customHeight="1" x14ac:dyDescent="0.25">
      <c r="A131" s="43">
        <f>'MASTER SHEET'!A131</f>
        <v>129</v>
      </c>
      <c r="B131" s="49" t="str">
        <f>'MASTER SHEET'!B131</f>
        <v>WBASE CLIP</v>
      </c>
      <c r="C131" s="86">
        <f>'MASTER SHEET'!C131</f>
        <v>62153</v>
      </c>
      <c r="D131" s="51"/>
      <c r="E131" s="48"/>
      <c r="F131" s="48"/>
      <c r="G131" s="48"/>
      <c r="H131" s="48">
        <f t="shared" si="163"/>
        <v>0</v>
      </c>
      <c r="I131" s="28"/>
      <c r="J131" s="28"/>
      <c r="K131" s="65"/>
      <c r="L131" s="48">
        <f t="shared" si="164"/>
        <v>0</v>
      </c>
      <c r="M131" s="48"/>
      <c r="N131" s="48"/>
      <c r="O131" s="48"/>
      <c r="P131" s="48">
        <f t="shared" si="165"/>
        <v>0</v>
      </c>
      <c r="Q131" s="48"/>
      <c r="R131" s="48"/>
      <c r="S131" s="48"/>
      <c r="T131" s="48">
        <f t="shared" si="166"/>
        <v>0</v>
      </c>
      <c r="U131" s="48">
        <v>0</v>
      </c>
      <c r="V131" s="48"/>
      <c r="W131" s="48"/>
      <c r="X131" s="48">
        <f t="shared" si="167"/>
        <v>0</v>
      </c>
      <c r="Y131" s="48"/>
      <c r="Z131" s="48"/>
      <c r="AA131" s="48"/>
      <c r="AB131" s="48">
        <f t="shared" si="168"/>
        <v>0</v>
      </c>
      <c r="AC131" s="48"/>
      <c r="AD131" s="48"/>
      <c r="AE131" s="48"/>
      <c r="AF131" s="48">
        <f t="shared" si="169"/>
        <v>0</v>
      </c>
      <c r="AG131" s="48"/>
      <c r="AH131" s="48"/>
      <c r="AI131" s="48"/>
      <c r="AJ131" s="48">
        <f t="shared" si="170"/>
        <v>0</v>
      </c>
      <c r="AK131" s="48"/>
      <c r="AL131" s="48"/>
      <c r="AM131" s="48"/>
      <c r="AN131" s="48">
        <f t="shared" si="171"/>
        <v>0</v>
      </c>
      <c r="AO131" s="48"/>
      <c r="AP131" s="48"/>
      <c r="AQ131" s="48"/>
      <c r="AR131" s="48">
        <f t="shared" si="172"/>
        <v>0</v>
      </c>
      <c r="AS131" s="48"/>
      <c r="AT131" s="48"/>
      <c r="AU131" s="48"/>
      <c r="AV131" s="48">
        <f t="shared" si="173"/>
        <v>0</v>
      </c>
      <c r="AW131" s="48"/>
      <c r="AX131" s="48"/>
      <c r="AY131" s="48"/>
      <c r="AZ131" s="48">
        <f t="shared" si="174"/>
        <v>0</v>
      </c>
      <c r="BA131" s="48"/>
      <c r="BB131" s="48"/>
      <c r="BC131" s="48"/>
      <c r="BD131" s="48">
        <f t="shared" si="175"/>
        <v>0</v>
      </c>
      <c r="BE131" s="48"/>
      <c r="BF131" s="48"/>
      <c r="BG131" s="48"/>
      <c r="BH131" s="48">
        <f t="shared" si="176"/>
        <v>0</v>
      </c>
      <c r="BI131" s="48"/>
      <c r="BJ131" s="48"/>
      <c r="BK131" s="48"/>
      <c r="BL131" s="48">
        <f t="shared" si="177"/>
        <v>0</v>
      </c>
      <c r="BM131" s="48"/>
      <c r="BN131" s="48"/>
      <c r="BO131" s="48"/>
      <c r="BP131" s="48">
        <f t="shared" si="178"/>
        <v>0</v>
      </c>
      <c r="BQ131" s="48"/>
      <c r="BR131" s="48"/>
      <c r="BS131" s="48"/>
      <c r="BT131" s="48">
        <f t="shared" si="179"/>
        <v>0</v>
      </c>
      <c r="BU131" s="48"/>
      <c r="BV131" s="48"/>
      <c r="BW131" s="48"/>
      <c r="BX131" s="48">
        <f t="shared" si="180"/>
        <v>0</v>
      </c>
      <c r="BY131" s="48"/>
      <c r="BZ131" s="48"/>
      <c r="CA131" s="48"/>
      <c r="CB131" s="48">
        <f t="shared" si="181"/>
        <v>0</v>
      </c>
      <c r="CC131" s="48"/>
      <c r="CD131" s="48"/>
      <c r="CE131" s="48"/>
      <c r="CF131" s="48">
        <f t="shared" si="182"/>
        <v>0</v>
      </c>
      <c r="CG131" s="48"/>
      <c r="CH131" s="48"/>
      <c r="CI131" s="48"/>
      <c r="CJ131" s="48">
        <f t="shared" si="183"/>
        <v>0</v>
      </c>
      <c r="CK131" s="48"/>
      <c r="CL131" s="48"/>
      <c r="CM131" s="48"/>
      <c r="CN131" s="48">
        <f t="shared" si="184"/>
        <v>0</v>
      </c>
      <c r="CO131" s="48"/>
      <c r="CP131" s="48"/>
      <c r="CQ131" s="48"/>
      <c r="CR131" s="48">
        <f t="shared" si="185"/>
        <v>0</v>
      </c>
      <c r="CS131" s="48"/>
      <c r="CT131" s="48"/>
      <c r="CU131" s="48"/>
      <c r="CV131" s="48">
        <f t="shared" si="186"/>
        <v>0</v>
      </c>
      <c r="CW131" s="48"/>
      <c r="CX131" s="48"/>
      <c r="CY131" s="48"/>
      <c r="CZ131" s="48">
        <f t="shared" si="187"/>
        <v>0</v>
      </c>
      <c r="DA131" s="48"/>
      <c r="DB131" s="48"/>
      <c r="DC131" s="48"/>
      <c r="DD131" s="48">
        <f t="shared" si="188"/>
        <v>0</v>
      </c>
      <c r="DE131" s="48"/>
      <c r="DF131" s="48"/>
      <c r="DG131" s="48"/>
      <c r="DH131" s="48">
        <f t="shared" si="189"/>
        <v>0</v>
      </c>
      <c r="DI131" s="48"/>
      <c r="DJ131" s="48"/>
      <c r="DK131" s="48"/>
      <c r="DL131" s="48">
        <f t="shared" si="190"/>
        <v>0</v>
      </c>
      <c r="DM131" s="48"/>
      <c r="DN131" s="48"/>
      <c r="DO131" s="48"/>
      <c r="DP131" s="48">
        <f t="shared" si="191"/>
        <v>0</v>
      </c>
      <c r="DQ131" s="48"/>
      <c r="DR131" s="48"/>
      <c r="DS131" s="48"/>
      <c r="DT131" s="48">
        <f t="shared" si="192"/>
        <v>0</v>
      </c>
      <c r="DU131" s="48"/>
      <c r="DV131" s="48"/>
      <c r="DW131" s="48"/>
      <c r="DX131" s="48">
        <f t="shared" si="193"/>
        <v>0</v>
      </c>
      <c r="DY131" s="48">
        <f t="shared" si="194"/>
        <v>0</v>
      </c>
      <c r="DZ131" s="48">
        <f t="shared" si="195"/>
        <v>0</v>
      </c>
      <c r="EA131" s="14">
        <f>D131*'MASTER SHEET'!D131</f>
        <v>0</v>
      </c>
      <c r="EB131" s="14">
        <f>H131*'MASTER SHEET'!D131</f>
        <v>0</v>
      </c>
      <c r="EC131" s="14">
        <f>L131*'MASTER SHEET'!D131</f>
        <v>0</v>
      </c>
      <c r="ED131" s="14">
        <f>P131*'MASTER SHEET'!D131</f>
        <v>0</v>
      </c>
      <c r="EE131" s="14">
        <f>T131*'MASTER SHEET'!D131</f>
        <v>0</v>
      </c>
      <c r="EF131" s="14">
        <f>X131*'MASTER SHEET'!D131</f>
        <v>0</v>
      </c>
      <c r="EG131" s="14">
        <f>AB131*'MASTER SHEET'!D131</f>
        <v>0</v>
      </c>
      <c r="EH131" s="14">
        <f>AF131*'MASTER SHEET'!D131</f>
        <v>0</v>
      </c>
      <c r="EI131" s="14">
        <f>AJ131*'MASTER SHEET'!D131</f>
        <v>0</v>
      </c>
      <c r="EJ131" s="14">
        <f>AN131*'MASTER SHEET'!D131</f>
        <v>0</v>
      </c>
      <c r="EK131" s="14">
        <f>AR131*'MASTER SHEET'!D131</f>
        <v>0</v>
      </c>
      <c r="EL131" s="14">
        <f>AV131*'MASTER SHEET'!D131</f>
        <v>0</v>
      </c>
      <c r="EM131" s="14">
        <f>AZ131*'MASTER SHEET'!D131</f>
        <v>0</v>
      </c>
      <c r="EN131" s="14">
        <f>BD131*'MASTER SHEET'!D131</f>
        <v>0</v>
      </c>
      <c r="EO131" s="14">
        <f>BH131*'MASTER SHEET'!D131</f>
        <v>0</v>
      </c>
      <c r="EP131" s="14">
        <f>BL131*'MASTER SHEET'!D131</f>
        <v>0</v>
      </c>
      <c r="EQ131" s="14">
        <f>BP131*'MASTER SHEET'!D131</f>
        <v>0</v>
      </c>
      <c r="ER131" s="14">
        <f>BT131*'MASTER SHEET'!D131</f>
        <v>0</v>
      </c>
      <c r="ES131" s="14">
        <f>BX131*'MASTER SHEET'!D131</f>
        <v>0</v>
      </c>
      <c r="ET131" s="21">
        <f>CB131*'MASTER SHEET'!D131</f>
        <v>0</v>
      </c>
      <c r="EU131" s="14">
        <f>CF131*'MASTER SHEET'!D131</f>
        <v>0</v>
      </c>
      <c r="EV131" s="14">
        <f>CJ131*'MASTER SHEET'!D131</f>
        <v>0</v>
      </c>
      <c r="EW131" s="14">
        <f>CN131*'MASTER SHEET'!D131</f>
        <v>0</v>
      </c>
      <c r="EX131" s="14">
        <f>CR131*'MASTER SHEET'!D131</f>
        <v>0</v>
      </c>
      <c r="EY131" s="14">
        <f>CR131*'MASTER SHEET'!D131</f>
        <v>0</v>
      </c>
      <c r="EZ131" s="14">
        <f>CV131*'MASTER SHEET'!D131</f>
        <v>0</v>
      </c>
      <c r="FA131" s="14">
        <f>CZ131*'MASTER SHEET'!D131</f>
        <v>0</v>
      </c>
      <c r="FB131" s="14">
        <f>DD131*'MASTER SHEET'!D131</f>
        <v>0</v>
      </c>
    </row>
    <row r="132" spans="1:158" ht="18.75" customHeight="1" x14ac:dyDescent="0.25">
      <c r="A132" s="43">
        <f>'MASTER SHEET'!A132</f>
        <v>130</v>
      </c>
      <c r="B132" s="49" t="str">
        <f>'MASTER SHEET'!B132</f>
        <v>GRAPPING HOOK</v>
      </c>
      <c r="C132" s="86">
        <f>'MASTER SHEET'!C132</f>
        <v>62286</v>
      </c>
      <c r="D132" s="51"/>
      <c r="E132" s="48"/>
      <c r="F132" s="48"/>
      <c r="G132" s="48"/>
      <c r="H132" s="48">
        <f t="shared" si="163"/>
        <v>0</v>
      </c>
      <c r="I132" s="28"/>
      <c r="J132" s="28"/>
      <c r="K132" s="65"/>
      <c r="L132" s="48">
        <f t="shared" si="164"/>
        <v>0</v>
      </c>
      <c r="M132" s="48"/>
      <c r="N132" s="48"/>
      <c r="O132" s="48"/>
      <c r="P132" s="48">
        <f t="shared" si="165"/>
        <v>0</v>
      </c>
      <c r="Q132" s="48"/>
      <c r="R132" s="48"/>
      <c r="S132" s="48"/>
      <c r="T132" s="48">
        <f t="shared" si="166"/>
        <v>0</v>
      </c>
      <c r="U132" s="48">
        <v>0</v>
      </c>
      <c r="V132" s="48"/>
      <c r="W132" s="48"/>
      <c r="X132" s="48">
        <f t="shared" si="167"/>
        <v>0</v>
      </c>
      <c r="Y132" s="48"/>
      <c r="Z132" s="48"/>
      <c r="AA132" s="48"/>
      <c r="AB132" s="48">
        <f t="shared" si="168"/>
        <v>0</v>
      </c>
      <c r="AC132" s="48"/>
      <c r="AD132" s="48"/>
      <c r="AE132" s="48"/>
      <c r="AF132" s="48">
        <f t="shared" si="169"/>
        <v>0</v>
      </c>
      <c r="AG132" s="48"/>
      <c r="AH132" s="48"/>
      <c r="AI132" s="48"/>
      <c r="AJ132" s="48">
        <f t="shared" si="170"/>
        <v>0</v>
      </c>
      <c r="AK132" s="48">
        <v>0</v>
      </c>
      <c r="AL132" s="48">
        <v>0</v>
      </c>
      <c r="AM132" s="48">
        <v>0</v>
      </c>
      <c r="AN132" s="48">
        <f t="shared" si="171"/>
        <v>0</v>
      </c>
      <c r="AO132" s="48">
        <v>0</v>
      </c>
      <c r="AP132" s="48">
        <v>0</v>
      </c>
      <c r="AQ132" s="48">
        <v>0</v>
      </c>
      <c r="AR132" s="48">
        <f t="shared" si="172"/>
        <v>0</v>
      </c>
      <c r="AS132" s="48">
        <v>0</v>
      </c>
      <c r="AT132" s="48">
        <v>0</v>
      </c>
      <c r="AU132" s="48">
        <v>0</v>
      </c>
      <c r="AV132" s="48">
        <f t="shared" si="173"/>
        <v>0</v>
      </c>
      <c r="AW132" s="48">
        <v>0</v>
      </c>
      <c r="AX132" s="48">
        <v>0</v>
      </c>
      <c r="AY132" s="48">
        <v>0</v>
      </c>
      <c r="AZ132" s="48">
        <f t="shared" si="174"/>
        <v>0</v>
      </c>
      <c r="BA132" s="48">
        <v>0</v>
      </c>
      <c r="BB132" s="48">
        <v>0</v>
      </c>
      <c r="BC132" s="48">
        <v>0</v>
      </c>
      <c r="BD132" s="48">
        <f t="shared" si="175"/>
        <v>0</v>
      </c>
      <c r="BE132" s="48">
        <v>0</v>
      </c>
      <c r="BF132" s="48">
        <v>0</v>
      </c>
      <c r="BG132" s="48">
        <v>0</v>
      </c>
      <c r="BH132" s="48">
        <f t="shared" si="176"/>
        <v>0</v>
      </c>
      <c r="BI132" s="48">
        <v>0</v>
      </c>
      <c r="BJ132" s="48">
        <v>0</v>
      </c>
      <c r="BK132" s="48">
        <v>0</v>
      </c>
      <c r="BL132" s="48">
        <f t="shared" si="177"/>
        <v>0</v>
      </c>
      <c r="BM132" s="48">
        <v>0</v>
      </c>
      <c r="BN132" s="48">
        <v>0</v>
      </c>
      <c r="BO132" s="48">
        <v>0</v>
      </c>
      <c r="BP132" s="48">
        <f t="shared" si="178"/>
        <v>0</v>
      </c>
      <c r="BQ132" s="48">
        <v>0</v>
      </c>
      <c r="BR132" s="48">
        <v>0</v>
      </c>
      <c r="BS132" s="48">
        <v>0</v>
      </c>
      <c r="BT132" s="48">
        <f t="shared" si="179"/>
        <v>0</v>
      </c>
      <c r="BU132" s="48">
        <v>0</v>
      </c>
      <c r="BV132" s="48">
        <v>0</v>
      </c>
      <c r="BW132" s="48">
        <v>0</v>
      </c>
      <c r="BX132" s="48">
        <f t="shared" si="180"/>
        <v>0</v>
      </c>
      <c r="BY132" s="48"/>
      <c r="BZ132" s="48"/>
      <c r="CA132" s="48"/>
      <c r="CB132" s="48">
        <f t="shared" si="181"/>
        <v>0</v>
      </c>
      <c r="CC132" s="48">
        <v>0</v>
      </c>
      <c r="CD132" s="48">
        <v>0</v>
      </c>
      <c r="CE132" s="48">
        <v>0</v>
      </c>
      <c r="CF132" s="48">
        <f t="shared" si="182"/>
        <v>0</v>
      </c>
      <c r="CG132" s="48">
        <v>0</v>
      </c>
      <c r="CH132" s="48">
        <v>0</v>
      </c>
      <c r="CI132" s="48">
        <v>0</v>
      </c>
      <c r="CJ132" s="48">
        <f t="shared" si="183"/>
        <v>0</v>
      </c>
      <c r="CK132" s="48"/>
      <c r="CL132" s="48"/>
      <c r="CM132" s="48"/>
      <c r="CN132" s="48">
        <f t="shared" si="184"/>
        <v>0</v>
      </c>
      <c r="CO132" s="48"/>
      <c r="CP132" s="48"/>
      <c r="CQ132" s="48"/>
      <c r="CR132" s="48">
        <f t="shared" si="185"/>
        <v>0</v>
      </c>
      <c r="CS132" s="48">
        <v>0</v>
      </c>
      <c r="CT132" s="48">
        <v>0</v>
      </c>
      <c r="CU132" s="48">
        <v>0</v>
      </c>
      <c r="CV132" s="48">
        <f t="shared" si="186"/>
        <v>0</v>
      </c>
      <c r="CW132" s="48">
        <v>0</v>
      </c>
      <c r="CX132" s="48">
        <v>0</v>
      </c>
      <c r="CY132" s="48">
        <v>0</v>
      </c>
      <c r="CZ132" s="48">
        <f t="shared" si="187"/>
        <v>0</v>
      </c>
      <c r="DA132" s="48">
        <v>8720</v>
      </c>
      <c r="DB132" s="48">
        <v>8712</v>
      </c>
      <c r="DC132" s="48">
        <v>8</v>
      </c>
      <c r="DD132" s="48">
        <f t="shared" si="188"/>
        <v>0</v>
      </c>
      <c r="DE132" s="48">
        <v>17916</v>
      </c>
      <c r="DF132" s="48">
        <v>17907</v>
      </c>
      <c r="DG132" s="48">
        <v>9</v>
      </c>
      <c r="DH132" s="48">
        <f t="shared" si="189"/>
        <v>0</v>
      </c>
      <c r="DI132" s="48">
        <v>2597</v>
      </c>
      <c r="DJ132" s="48">
        <v>2594</v>
      </c>
      <c r="DK132" s="48">
        <v>3</v>
      </c>
      <c r="DL132" s="48">
        <f t="shared" si="190"/>
        <v>0</v>
      </c>
      <c r="DM132" s="48"/>
      <c r="DN132" s="48"/>
      <c r="DO132" s="48"/>
      <c r="DP132" s="48">
        <f t="shared" si="191"/>
        <v>0</v>
      </c>
      <c r="DQ132" s="48"/>
      <c r="DR132" s="48"/>
      <c r="DS132" s="48"/>
      <c r="DT132" s="48">
        <f t="shared" si="192"/>
        <v>0</v>
      </c>
      <c r="DU132" s="48"/>
      <c r="DV132" s="48"/>
      <c r="DW132" s="48"/>
      <c r="DX132" s="48">
        <f t="shared" si="193"/>
        <v>0</v>
      </c>
      <c r="DY132" s="48">
        <f t="shared" si="194"/>
        <v>29233</v>
      </c>
      <c r="DZ132" s="48">
        <f t="shared" si="195"/>
        <v>20</v>
      </c>
      <c r="EA132" s="14">
        <f>D132*'MASTER SHEET'!D132</f>
        <v>0</v>
      </c>
      <c r="EB132" s="14">
        <f>H132*'MASTER SHEET'!D132</f>
        <v>0</v>
      </c>
      <c r="EC132" s="14">
        <f>L132*'MASTER SHEET'!D132</f>
        <v>0</v>
      </c>
      <c r="ED132" s="14">
        <f>P132*'MASTER SHEET'!D132</f>
        <v>0</v>
      </c>
      <c r="EE132" s="14">
        <f>T132*'MASTER SHEET'!D132</f>
        <v>0</v>
      </c>
      <c r="EF132" s="14">
        <f>X132*'MASTER SHEET'!D132</f>
        <v>0</v>
      </c>
      <c r="EG132" s="14">
        <f>AB132*'MASTER SHEET'!D132</f>
        <v>0</v>
      </c>
      <c r="EH132" s="14">
        <f>AF132*'MASTER SHEET'!D132</f>
        <v>0</v>
      </c>
      <c r="EI132" s="14">
        <f>AJ132*'MASTER SHEET'!D132</f>
        <v>0</v>
      </c>
      <c r="EJ132" s="14">
        <f>AN132*'MASTER SHEET'!D132</f>
        <v>0</v>
      </c>
      <c r="EK132" s="14">
        <f>AR132*'MASTER SHEET'!D132</f>
        <v>0</v>
      </c>
      <c r="EL132" s="14">
        <f>AV132*'MASTER SHEET'!D132</f>
        <v>0</v>
      </c>
      <c r="EM132" s="14">
        <f>AZ132*'MASTER SHEET'!D132</f>
        <v>0</v>
      </c>
      <c r="EN132" s="14">
        <f>BD132*'MASTER SHEET'!D132</f>
        <v>0</v>
      </c>
      <c r="EO132" s="14">
        <f>BH132*'MASTER SHEET'!D132</f>
        <v>0</v>
      </c>
      <c r="EP132" s="14">
        <f>BL132*'MASTER SHEET'!D132</f>
        <v>0</v>
      </c>
      <c r="EQ132" s="14">
        <f>BP132*'MASTER SHEET'!D132</f>
        <v>0</v>
      </c>
      <c r="ER132" s="14">
        <f>BT132*'MASTER SHEET'!D132</f>
        <v>0</v>
      </c>
      <c r="ES132" s="14">
        <f>BX132*'MASTER SHEET'!D132</f>
        <v>0</v>
      </c>
      <c r="ET132" s="21">
        <f>CB132*'MASTER SHEET'!D132</f>
        <v>0</v>
      </c>
      <c r="EU132" s="14">
        <f>CF132*'MASTER SHEET'!D132</f>
        <v>0</v>
      </c>
      <c r="EV132" s="14">
        <f>CJ132*'MASTER SHEET'!D132</f>
        <v>0</v>
      </c>
      <c r="EW132" s="14">
        <f>CN132*'MASTER SHEET'!D132</f>
        <v>0</v>
      </c>
      <c r="EX132" s="14">
        <f>CR132*'MASTER SHEET'!D132</f>
        <v>0</v>
      </c>
      <c r="EY132" s="14">
        <f>CR132*'MASTER SHEET'!D132</f>
        <v>0</v>
      </c>
      <c r="EZ132" s="14">
        <f>CV132*'MASTER SHEET'!D132</f>
        <v>0</v>
      </c>
      <c r="FA132" s="14">
        <f>CZ132*'MASTER SHEET'!D132</f>
        <v>0</v>
      </c>
      <c r="FB132" s="14">
        <f>DD132*'MASTER SHEET'!D132</f>
        <v>0</v>
      </c>
    </row>
    <row r="133" spans="1:158" ht="18.75" customHeight="1" x14ac:dyDescent="0.25">
      <c r="A133" s="43">
        <f>'MASTER SHEET'!A133</f>
        <v>131</v>
      </c>
      <c r="B133" s="49" t="str">
        <f>'MASTER SHEET'!B133</f>
        <v>ODH ACTUATOR RH</v>
      </c>
      <c r="C133" s="86" t="str">
        <f>'MASTER SHEET'!C133</f>
        <v>BE00003048</v>
      </c>
      <c r="D133" s="51"/>
      <c r="E133" s="48"/>
      <c r="F133" s="48"/>
      <c r="G133" s="48"/>
      <c r="H133" s="48">
        <f t="shared" si="163"/>
        <v>0</v>
      </c>
      <c r="I133" s="28">
        <v>0</v>
      </c>
      <c r="J133" s="28">
        <v>0</v>
      </c>
      <c r="K133" s="65">
        <v>0</v>
      </c>
      <c r="L133" s="48">
        <f t="shared" si="164"/>
        <v>0</v>
      </c>
      <c r="M133" s="48"/>
      <c r="N133" s="48"/>
      <c r="O133" s="48"/>
      <c r="P133" s="48">
        <f t="shared" si="165"/>
        <v>0</v>
      </c>
      <c r="Q133" s="48">
        <v>0</v>
      </c>
      <c r="R133" s="48">
        <v>0</v>
      </c>
      <c r="S133" s="48">
        <v>0</v>
      </c>
      <c r="T133" s="48">
        <f t="shared" si="166"/>
        <v>0</v>
      </c>
      <c r="U133" s="48">
        <v>5547</v>
      </c>
      <c r="V133" s="48">
        <v>5417</v>
      </c>
      <c r="W133" s="48">
        <v>130</v>
      </c>
      <c r="X133" s="48">
        <f t="shared" si="167"/>
        <v>0</v>
      </c>
      <c r="Y133" s="48">
        <v>12795</v>
      </c>
      <c r="Z133" s="48">
        <v>12627</v>
      </c>
      <c r="AA133" s="48">
        <v>168</v>
      </c>
      <c r="AB133" s="48">
        <f t="shared" si="168"/>
        <v>0</v>
      </c>
      <c r="AC133" s="48">
        <v>2724</v>
      </c>
      <c r="AD133" s="48">
        <v>2724</v>
      </c>
      <c r="AE133" s="48">
        <v>0</v>
      </c>
      <c r="AF133" s="48">
        <f t="shared" si="169"/>
        <v>0</v>
      </c>
      <c r="AG133" s="48">
        <v>0</v>
      </c>
      <c r="AH133" s="48">
        <v>0</v>
      </c>
      <c r="AI133" s="48">
        <v>0</v>
      </c>
      <c r="AJ133" s="48">
        <f t="shared" si="170"/>
        <v>0</v>
      </c>
      <c r="AK133" s="48"/>
      <c r="AL133" s="48"/>
      <c r="AM133" s="48"/>
      <c r="AN133" s="48">
        <f t="shared" si="171"/>
        <v>0</v>
      </c>
      <c r="AO133" s="48"/>
      <c r="AP133" s="48"/>
      <c r="AQ133" s="48"/>
      <c r="AR133" s="48">
        <f t="shared" si="172"/>
        <v>0</v>
      </c>
      <c r="AS133" s="48"/>
      <c r="AT133" s="48"/>
      <c r="AU133" s="48"/>
      <c r="AV133" s="48">
        <f t="shared" si="173"/>
        <v>0</v>
      </c>
      <c r="AW133" s="48"/>
      <c r="AX133" s="48"/>
      <c r="AY133" s="48"/>
      <c r="AZ133" s="48">
        <f t="shared" si="174"/>
        <v>0</v>
      </c>
      <c r="BA133" s="48"/>
      <c r="BB133" s="48"/>
      <c r="BC133" s="48"/>
      <c r="BD133" s="48">
        <f t="shared" si="175"/>
        <v>0</v>
      </c>
      <c r="BE133" s="48"/>
      <c r="BF133" s="48"/>
      <c r="BG133" s="48"/>
      <c r="BH133" s="48">
        <f t="shared" si="176"/>
        <v>0</v>
      </c>
      <c r="BI133" s="48"/>
      <c r="BJ133" s="48"/>
      <c r="BK133" s="48"/>
      <c r="BL133" s="48">
        <f t="shared" si="177"/>
        <v>0</v>
      </c>
      <c r="BM133" s="48"/>
      <c r="BN133" s="48"/>
      <c r="BO133" s="48"/>
      <c r="BP133" s="48">
        <f t="shared" si="178"/>
        <v>0</v>
      </c>
      <c r="BQ133" s="48"/>
      <c r="BR133" s="48"/>
      <c r="BS133" s="48"/>
      <c r="BT133" s="48">
        <f t="shared" si="179"/>
        <v>0</v>
      </c>
      <c r="BU133" s="48"/>
      <c r="BV133" s="48"/>
      <c r="BW133" s="48"/>
      <c r="BX133" s="48">
        <f t="shared" si="180"/>
        <v>0</v>
      </c>
      <c r="BY133" s="48"/>
      <c r="BZ133" s="48"/>
      <c r="CA133" s="48"/>
      <c r="CB133" s="48">
        <f t="shared" si="181"/>
        <v>0</v>
      </c>
      <c r="CC133" s="48"/>
      <c r="CD133" s="48"/>
      <c r="CE133" s="48"/>
      <c r="CF133" s="48">
        <f t="shared" si="182"/>
        <v>0</v>
      </c>
      <c r="CG133" s="48"/>
      <c r="CH133" s="48"/>
      <c r="CI133" s="48"/>
      <c r="CJ133" s="48">
        <f t="shared" si="183"/>
        <v>0</v>
      </c>
      <c r="CK133" s="48"/>
      <c r="CL133" s="48"/>
      <c r="CM133" s="48"/>
      <c r="CN133" s="48">
        <f t="shared" si="184"/>
        <v>0</v>
      </c>
      <c r="CO133" s="48"/>
      <c r="CP133" s="48"/>
      <c r="CQ133" s="48"/>
      <c r="CR133" s="48">
        <f t="shared" si="185"/>
        <v>0</v>
      </c>
      <c r="CS133" s="48"/>
      <c r="CT133" s="48"/>
      <c r="CU133" s="48"/>
      <c r="CV133" s="48">
        <f t="shared" si="186"/>
        <v>0</v>
      </c>
      <c r="CW133" s="48"/>
      <c r="CX133" s="48"/>
      <c r="CY133" s="48"/>
      <c r="CZ133" s="48">
        <f t="shared" si="187"/>
        <v>0</v>
      </c>
      <c r="DA133" s="48"/>
      <c r="DB133" s="48"/>
      <c r="DC133" s="48"/>
      <c r="DD133" s="48">
        <f t="shared" si="188"/>
        <v>0</v>
      </c>
      <c r="DE133" s="48"/>
      <c r="DF133" s="48"/>
      <c r="DG133" s="48"/>
      <c r="DH133" s="48">
        <f t="shared" si="189"/>
        <v>0</v>
      </c>
      <c r="DI133" s="48"/>
      <c r="DJ133" s="48"/>
      <c r="DK133" s="48"/>
      <c r="DL133" s="48">
        <f t="shared" si="190"/>
        <v>0</v>
      </c>
      <c r="DM133" s="48"/>
      <c r="DN133" s="48"/>
      <c r="DO133" s="48"/>
      <c r="DP133" s="48">
        <f t="shared" si="191"/>
        <v>0</v>
      </c>
      <c r="DQ133" s="48"/>
      <c r="DR133" s="48"/>
      <c r="DS133" s="48"/>
      <c r="DT133" s="48">
        <f t="shared" si="192"/>
        <v>0</v>
      </c>
      <c r="DU133" s="48"/>
      <c r="DV133" s="48"/>
      <c r="DW133" s="48"/>
      <c r="DX133" s="48">
        <f t="shared" si="193"/>
        <v>0</v>
      </c>
      <c r="DY133" s="48">
        <f t="shared" si="194"/>
        <v>21066</v>
      </c>
      <c r="DZ133" s="48">
        <f t="shared" si="195"/>
        <v>298</v>
      </c>
      <c r="EA133" s="14">
        <f>D133*'MASTER SHEET'!D133</f>
        <v>0</v>
      </c>
      <c r="EB133" s="14">
        <f>H133*'MASTER SHEET'!D133</f>
        <v>0</v>
      </c>
      <c r="EC133" s="14">
        <f>L133*'MASTER SHEET'!D133</f>
        <v>0</v>
      </c>
      <c r="ED133" s="14">
        <f>P133*'MASTER SHEET'!D133</f>
        <v>0</v>
      </c>
      <c r="EE133" s="14">
        <f>T133*'MASTER SHEET'!D133</f>
        <v>0</v>
      </c>
      <c r="EF133" s="14">
        <f>X133*'MASTER SHEET'!D133</f>
        <v>0</v>
      </c>
      <c r="EG133" s="14">
        <f>AB133*'MASTER SHEET'!D133</f>
        <v>0</v>
      </c>
      <c r="EH133" s="14">
        <f>AF133*'MASTER SHEET'!D133</f>
        <v>0</v>
      </c>
      <c r="EI133" s="14">
        <f>AJ133*'MASTER SHEET'!D133</f>
        <v>0</v>
      </c>
      <c r="EJ133" s="14">
        <f>AN133*'MASTER SHEET'!D133</f>
        <v>0</v>
      </c>
      <c r="EK133" s="14">
        <f>AR133*'MASTER SHEET'!D133</f>
        <v>0</v>
      </c>
      <c r="EL133" s="14">
        <f>AV133*'MASTER SHEET'!D133</f>
        <v>0</v>
      </c>
      <c r="EM133" s="14">
        <f>AZ133*'MASTER SHEET'!D133</f>
        <v>0</v>
      </c>
      <c r="EN133" s="14">
        <f>BD133*'MASTER SHEET'!D133</f>
        <v>0</v>
      </c>
      <c r="EO133" s="14">
        <f>BH133*'MASTER SHEET'!D133</f>
        <v>0</v>
      </c>
      <c r="EP133" s="14">
        <f>BL133*'MASTER SHEET'!D133</f>
        <v>0</v>
      </c>
      <c r="EQ133" s="14">
        <f>BP133*'MASTER SHEET'!D133</f>
        <v>0</v>
      </c>
      <c r="ER133" s="14">
        <f>BT133*'MASTER SHEET'!D133</f>
        <v>0</v>
      </c>
      <c r="ES133" s="14">
        <f>BX133*'MASTER SHEET'!D133</f>
        <v>0</v>
      </c>
      <c r="ET133" s="21">
        <f>CB133*'MASTER SHEET'!D133</f>
        <v>0</v>
      </c>
      <c r="EU133" s="14">
        <f>CF133*'MASTER SHEET'!D133</f>
        <v>0</v>
      </c>
      <c r="EV133" s="14">
        <f>CJ133*'MASTER SHEET'!D133</f>
        <v>0</v>
      </c>
      <c r="EW133" s="14">
        <f>CN133*'MASTER SHEET'!D133</f>
        <v>0</v>
      </c>
      <c r="EX133" s="14">
        <f>CR133*'MASTER SHEET'!D133</f>
        <v>0</v>
      </c>
      <c r="EY133" s="14">
        <f>CR133*'MASTER SHEET'!D133</f>
        <v>0</v>
      </c>
      <c r="EZ133" s="14">
        <f>CV133*'MASTER SHEET'!D133</f>
        <v>0</v>
      </c>
      <c r="FA133" s="14">
        <f>CZ133*'MASTER SHEET'!D133</f>
        <v>0</v>
      </c>
      <c r="FB133" s="14">
        <f>DD133*'MASTER SHEET'!D133</f>
        <v>0</v>
      </c>
    </row>
    <row r="134" spans="1:158" ht="18.75" customHeight="1" x14ac:dyDescent="0.25">
      <c r="A134" s="43">
        <f>'MASTER SHEET'!A134</f>
        <v>132</v>
      </c>
      <c r="B134" s="49" t="str">
        <f>'MASTER SHEET'!B134</f>
        <v>2TG CLIP DRAIN TUBE LH</v>
      </c>
      <c r="C134" s="86">
        <f>'MASTER SHEET'!C134</f>
        <v>62311</v>
      </c>
      <c r="D134" s="51"/>
      <c r="E134" s="48"/>
      <c r="F134" s="48"/>
      <c r="G134" s="48"/>
      <c r="H134" s="48">
        <f t="shared" si="163"/>
        <v>0</v>
      </c>
      <c r="I134" s="28"/>
      <c r="J134" s="28"/>
      <c r="K134" s="65"/>
      <c r="L134" s="48">
        <f t="shared" si="164"/>
        <v>0</v>
      </c>
      <c r="M134" s="48"/>
      <c r="N134" s="48"/>
      <c r="O134" s="48"/>
      <c r="P134" s="48">
        <f t="shared" si="165"/>
        <v>0</v>
      </c>
      <c r="Q134" s="48"/>
      <c r="R134" s="48"/>
      <c r="S134" s="48"/>
      <c r="T134" s="48">
        <f t="shared" si="166"/>
        <v>0</v>
      </c>
      <c r="U134" s="48">
        <v>0</v>
      </c>
      <c r="V134" s="48"/>
      <c r="W134" s="48"/>
      <c r="X134" s="48">
        <f t="shared" si="167"/>
        <v>0</v>
      </c>
      <c r="Y134" s="48"/>
      <c r="Z134" s="48"/>
      <c r="AA134" s="48"/>
      <c r="AB134" s="48">
        <f t="shared" si="168"/>
        <v>0</v>
      </c>
      <c r="AC134" s="48"/>
      <c r="AD134" s="48"/>
      <c r="AE134" s="48"/>
      <c r="AF134" s="48">
        <f t="shared" si="169"/>
        <v>0</v>
      </c>
      <c r="AG134" s="48"/>
      <c r="AH134" s="48"/>
      <c r="AI134" s="48"/>
      <c r="AJ134" s="48">
        <f t="shared" si="170"/>
        <v>0</v>
      </c>
      <c r="AK134" s="48"/>
      <c r="AL134" s="48"/>
      <c r="AM134" s="48"/>
      <c r="AN134" s="48">
        <f t="shared" si="171"/>
        <v>0</v>
      </c>
      <c r="AO134" s="48"/>
      <c r="AP134" s="48"/>
      <c r="AQ134" s="48"/>
      <c r="AR134" s="48">
        <f t="shared" si="172"/>
        <v>0</v>
      </c>
      <c r="AS134" s="48"/>
      <c r="AT134" s="48"/>
      <c r="AU134" s="48"/>
      <c r="AV134" s="48">
        <f t="shared" si="173"/>
        <v>0</v>
      </c>
      <c r="AW134" s="48"/>
      <c r="AX134" s="48"/>
      <c r="AY134" s="48"/>
      <c r="AZ134" s="48">
        <f t="shared" si="174"/>
        <v>0</v>
      </c>
      <c r="BA134" s="48"/>
      <c r="BB134" s="48"/>
      <c r="BC134" s="48"/>
      <c r="BD134" s="48">
        <f t="shared" si="175"/>
        <v>0</v>
      </c>
      <c r="BE134" s="48">
        <v>2392</v>
      </c>
      <c r="BF134" s="48">
        <v>2380</v>
      </c>
      <c r="BG134" s="48">
        <v>12</v>
      </c>
      <c r="BH134" s="48">
        <f t="shared" si="176"/>
        <v>0</v>
      </c>
      <c r="BI134" s="48"/>
      <c r="BJ134" s="48"/>
      <c r="BK134" s="48"/>
      <c r="BL134" s="48">
        <f t="shared" si="177"/>
        <v>0</v>
      </c>
      <c r="BM134" s="48"/>
      <c r="BN134" s="48"/>
      <c r="BO134" s="48"/>
      <c r="BP134" s="48">
        <f t="shared" si="178"/>
        <v>0</v>
      </c>
      <c r="BQ134" s="48"/>
      <c r="BR134" s="48"/>
      <c r="BS134" s="48"/>
      <c r="BT134" s="48">
        <f t="shared" si="179"/>
        <v>0</v>
      </c>
      <c r="BU134" s="48"/>
      <c r="BV134" s="48"/>
      <c r="BW134" s="48"/>
      <c r="BX134" s="48">
        <f t="shared" si="180"/>
        <v>0</v>
      </c>
      <c r="BY134" s="48"/>
      <c r="BZ134" s="48"/>
      <c r="CA134" s="48"/>
      <c r="CB134" s="48">
        <f t="shared" si="181"/>
        <v>0</v>
      </c>
      <c r="CC134" s="48"/>
      <c r="CD134" s="48"/>
      <c r="CE134" s="48"/>
      <c r="CF134" s="48">
        <f t="shared" si="182"/>
        <v>0</v>
      </c>
      <c r="CG134" s="48"/>
      <c r="CH134" s="48"/>
      <c r="CI134" s="48"/>
      <c r="CJ134" s="48">
        <f t="shared" si="183"/>
        <v>0</v>
      </c>
      <c r="CK134" s="48"/>
      <c r="CL134" s="48"/>
      <c r="CM134" s="48"/>
      <c r="CN134" s="48">
        <f t="shared" si="184"/>
        <v>0</v>
      </c>
      <c r="CO134" s="48"/>
      <c r="CP134" s="48"/>
      <c r="CQ134" s="48"/>
      <c r="CR134" s="48">
        <f t="shared" si="185"/>
        <v>0</v>
      </c>
      <c r="CS134" s="48"/>
      <c r="CT134" s="48"/>
      <c r="CU134" s="48"/>
      <c r="CV134" s="48">
        <f t="shared" si="186"/>
        <v>0</v>
      </c>
      <c r="CW134" s="48"/>
      <c r="CX134" s="48"/>
      <c r="CY134" s="48"/>
      <c r="CZ134" s="48">
        <f t="shared" si="187"/>
        <v>0</v>
      </c>
      <c r="DA134" s="48"/>
      <c r="DB134" s="48"/>
      <c r="DC134" s="48"/>
      <c r="DD134" s="48">
        <f t="shared" si="188"/>
        <v>0</v>
      </c>
      <c r="DE134" s="48"/>
      <c r="DF134" s="48"/>
      <c r="DG134" s="48"/>
      <c r="DH134" s="48">
        <f t="shared" si="189"/>
        <v>0</v>
      </c>
      <c r="DI134" s="48"/>
      <c r="DJ134" s="48"/>
      <c r="DK134" s="48"/>
      <c r="DL134" s="48">
        <f t="shared" si="190"/>
        <v>0</v>
      </c>
      <c r="DM134" s="48"/>
      <c r="DN134" s="48"/>
      <c r="DO134" s="48"/>
      <c r="DP134" s="48">
        <f t="shared" si="191"/>
        <v>0</v>
      </c>
      <c r="DQ134" s="48"/>
      <c r="DR134" s="48"/>
      <c r="DS134" s="48"/>
      <c r="DT134" s="48">
        <f t="shared" si="192"/>
        <v>0</v>
      </c>
      <c r="DU134" s="48"/>
      <c r="DV134" s="48"/>
      <c r="DW134" s="48"/>
      <c r="DX134" s="48">
        <f t="shared" si="193"/>
        <v>0</v>
      </c>
      <c r="DY134" s="48">
        <f t="shared" si="194"/>
        <v>2392</v>
      </c>
      <c r="DZ134" s="48">
        <f t="shared" si="195"/>
        <v>12</v>
      </c>
      <c r="EA134" s="14">
        <f>D134*'MASTER SHEET'!D134</f>
        <v>0</v>
      </c>
      <c r="EB134" s="14">
        <f>H134*'MASTER SHEET'!D134</f>
        <v>0</v>
      </c>
      <c r="EC134" s="14">
        <f>L134*'MASTER SHEET'!D134</f>
        <v>0</v>
      </c>
      <c r="ED134" s="14">
        <f>P134*'MASTER SHEET'!D134</f>
        <v>0</v>
      </c>
      <c r="EE134" s="14">
        <f>T134*'MASTER SHEET'!D134</f>
        <v>0</v>
      </c>
      <c r="EF134" s="14">
        <f>X134*'MASTER SHEET'!D134</f>
        <v>0</v>
      </c>
      <c r="EG134" s="14">
        <f>AB134*'MASTER SHEET'!D134</f>
        <v>0</v>
      </c>
      <c r="EH134" s="14">
        <f>AF134*'MASTER SHEET'!D134</f>
        <v>0</v>
      </c>
      <c r="EI134" s="14">
        <f>AJ134*'MASTER SHEET'!D134</f>
        <v>0</v>
      </c>
      <c r="EJ134" s="14">
        <f>AN134*'MASTER SHEET'!D134</f>
        <v>0</v>
      </c>
      <c r="EK134" s="14">
        <f>AR134*'MASTER SHEET'!D134</f>
        <v>0</v>
      </c>
      <c r="EL134" s="14">
        <f>AV134*'MASTER SHEET'!D134</f>
        <v>0</v>
      </c>
      <c r="EM134" s="14">
        <f>AZ134*'MASTER SHEET'!D134</f>
        <v>0</v>
      </c>
      <c r="EN134" s="14">
        <f>BD134*'MASTER SHEET'!D134</f>
        <v>0</v>
      </c>
      <c r="EO134" s="14">
        <f>BH134*'MASTER SHEET'!D134</f>
        <v>0</v>
      </c>
      <c r="EP134" s="14">
        <f>BL134*'MASTER SHEET'!D134</f>
        <v>0</v>
      </c>
      <c r="EQ134" s="14">
        <f>BP134*'MASTER SHEET'!D134</f>
        <v>0</v>
      </c>
      <c r="ER134" s="14">
        <f>BT134*'MASTER SHEET'!D134</f>
        <v>0</v>
      </c>
      <c r="ES134" s="14">
        <f>BX134*'MASTER SHEET'!D134</f>
        <v>0</v>
      </c>
      <c r="ET134" s="21">
        <f>CB134*'MASTER SHEET'!D134</f>
        <v>0</v>
      </c>
      <c r="EU134" s="14">
        <f>CF134*'MASTER SHEET'!D134</f>
        <v>0</v>
      </c>
      <c r="EV134" s="14">
        <f>CJ134*'MASTER SHEET'!D134</f>
        <v>0</v>
      </c>
      <c r="EW134" s="14">
        <f>CN134*'MASTER SHEET'!D134</f>
        <v>0</v>
      </c>
      <c r="EX134" s="14">
        <f>CR134*'MASTER SHEET'!D134</f>
        <v>0</v>
      </c>
      <c r="EY134" s="14">
        <f>CR134*'MASTER SHEET'!D134</f>
        <v>0</v>
      </c>
      <c r="EZ134" s="14">
        <f>CV134*'MASTER SHEET'!D134</f>
        <v>0</v>
      </c>
      <c r="FA134" s="14">
        <f>CZ134*'MASTER SHEET'!D134</f>
        <v>0</v>
      </c>
      <c r="FB134" s="14">
        <f>DD134*'MASTER SHEET'!D134</f>
        <v>0</v>
      </c>
    </row>
    <row r="135" spans="1:158" s="19" customFormat="1" ht="18.75" customHeight="1" x14ac:dyDescent="0.25">
      <c r="A135" s="43">
        <f>'MASTER SHEET'!A135</f>
        <v>133</v>
      </c>
      <c r="B135" s="49" t="str">
        <f>'MASTER SHEET'!B135</f>
        <v>2TG CLIP DRAIN TUBE RH</v>
      </c>
      <c r="C135" s="86">
        <f>'MASTER SHEET'!C135</f>
        <v>62368</v>
      </c>
      <c r="D135" s="51"/>
      <c r="E135" s="48"/>
      <c r="F135" s="48"/>
      <c r="G135" s="48"/>
      <c r="H135" s="48">
        <f t="shared" si="163"/>
        <v>0</v>
      </c>
      <c r="I135" s="28"/>
      <c r="J135" s="28"/>
      <c r="K135" s="65"/>
      <c r="L135" s="48">
        <f t="shared" si="164"/>
        <v>0</v>
      </c>
      <c r="M135" s="48"/>
      <c r="N135" s="48"/>
      <c r="O135" s="48"/>
      <c r="P135" s="48">
        <f t="shared" si="165"/>
        <v>0</v>
      </c>
      <c r="Q135" s="48"/>
      <c r="R135" s="48"/>
      <c r="S135" s="48"/>
      <c r="T135" s="48">
        <f t="shared" si="166"/>
        <v>0</v>
      </c>
      <c r="U135" s="48">
        <v>0</v>
      </c>
      <c r="V135" s="48"/>
      <c r="W135" s="48"/>
      <c r="X135" s="48">
        <f t="shared" si="167"/>
        <v>0</v>
      </c>
      <c r="Y135" s="48"/>
      <c r="Z135" s="48"/>
      <c r="AA135" s="48"/>
      <c r="AB135" s="48">
        <f t="shared" si="168"/>
        <v>0</v>
      </c>
      <c r="AC135" s="48"/>
      <c r="AD135" s="48"/>
      <c r="AE135" s="48"/>
      <c r="AF135" s="48">
        <f t="shared" si="169"/>
        <v>0</v>
      </c>
      <c r="AG135" s="48"/>
      <c r="AH135" s="48"/>
      <c r="AI135" s="48"/>
      <c r="AJ135" s="48">
        <f t="shared" si="170"/>
        <v>0</v>
      </c>
      <c r="AK135" s="48"/>
      <c r="AL135" s="48"/>
      <c r="AM135" s="48"/>
      <c r="AN135" s="48">
        <f t="shared" si="171"/>
        <v>0</v>
      </c>
      <c r="AO135" s="48"/>
      <c r="AP135" s="48"/>
      <c r="AQ135" s="48"/>
      <c r="AR135" s="48">
        <f t="shared" si="172"/>
        <v>0</v>
      </c>
      <c r="AS135" s="48"/>
      <c r="AT135" s="48"/>
      <c r="AU135" s="48"/>
      <c r="AV135" s="48">
        <f t="shared" si="173"/>
        <v>0</v>
      </c>
      <c r="AW135" s="48"/>
      <c r="AX135" s="48"/>
      <c r="AY135" s="48"/>
      <c r="AZ135" s="48">
        <f t="shared" si="174"/>
        <v>0</v>
      </c>
      <c r="BA135" s="48"/>
      <c r="BB135" s="48"/>
      <c r="BC135" s="48"/>
      <c r="BD135" s="48">
        <f t="shared" si="175"/>
        <v>0</v>
      </c>
      <c r="BE135" s="48">
        <v>2392</v>
      </c>
      <c r="BF135" s="48">
        <v>2380</v>
      </c>
      <c r="BG135" s="48">
        <v>12</v>
      </c>
      <c r="BH135" s="48">
        <f t="shared" si="176"/>
        <v>0</v>
      </c>
      <c r="BI135" s="48"/>
      <c r="BJ135" s="48"/>
      <c r="BK135" s="48"/>
      <c r="BL135" s="48">
        <f t="shared" si="177"/>
        <v>0</v>
      </c>
      <c r="BM135" s="48"/>
      <c r="BN135" s="48"/>
      <c r="BO135" s="48"/>
      <c r="BP135" s="48">
        <f t="shared" si="178"/>
        <v>0</v>
      </c>
      <c r="BQ135" s="48"/>
      <c r="BR135" s="48"/>
      <c r="BS135" s="48"/>
      <c r="BT135" s="48">
        <f t="shared" si="179"/>
        <v>0</v>
      </c>
      <c r="BU135" s="48"/>
      <c r="BV135" s="48"/>
      <c r="BW135" s="48"/>
      <c r="BX135" s="48">
        <f t="shared" si="180"/>
        <v>0</v>
      </c>
      <c r="BY135" s="48"/>
      <c r="BZ135" s="48"/>
      <c r="CA135" s="48"/>
      <c r="CB135" s="48">
        <f t="shared" si="181"/>
        <v>0</v>
      </c>
      <c r="CC135" s="48"/>
      <c r="CD135" s="48"/>
      <c r="CE135" s="48"/>
      <c r="CF135" s="48">
        <f t="shared" si="182"/>
        <v>0</v>
      </c>
      <c r="CG135" s="48"/>
      <c r="CH135" s="48"/>
      <c r="CI135" s="48"/>
      <c r="CJ135" s="48">
        <f t="shared" si="183"/>
        <v>0</v>
      </c>
      <c r="CK135" s="48"/>
      <c r="CL135" s="48"/>
      <c r="CM135" s="48"/>
      <c r="CN135" s="48">
        <f t="shared" si="184"/>
        <v>0</v>
      </c>
      <c r="CO135" s="48"/>
      <c r="CP135" s="48"/>
      <c r="CQ135" s="48"/>
      <c r="CR135" s="48">
        <f t="shared" si="185"/>
        <v>0</v>
      </c>
      <c r="CS135" s="48"/>
      <c r="CT135" s="48"/>
      <c r="CU135" s="48"/>
      <c r="CV135" s="48">
        <f t="shared" si="186"/>
        <v>0</v>
      </c>
      <c r="CW135" s="48"/>
      <c r="CX135" s="48"/>
      <c r="CY135" s="48"/>
      <c r="CZ135" s="48">
        <f t="shared" si="187"/>
        <v>0</v>
      </c>
      <c r="DA135" s="48"/>
      <c r="DB135" s="48"/>
      <c r="DC135" s="48"/>
      <c r="DD135" s="48">
        <f t="shared" si="188"/>
        <v>0</v>
      </c>
      <c r="DE135" s="48"/>
      <c r="DF135" s="48"/>
      <c r="DG135" s="48"/>
      <c r="DH135" s="48">
        <f t="shared" si="189"/>
        <v>0</v>
      </c>
      <c r="DI135" s="48"/>
      <c r="DJ135" s="48"/>
      <c r="DK135" s="48"/>
      <c r="DL135" s="48">
        <f t="shared" si="190"/>
        <v>0</v>
      </c>
      <c r="DM135" s="48"/>
      <c r="DN135" s="48"/>
      <c r="DO135" s="48"/>
      <c r="DP135" s="48">
        <f t="shared" si="191"/>
        <v>0</v>
      </c>
      <c r="DQ135" s="48"/>
      <c r="DR135" s="48"/>
      <c r="DS135" s="48"/>
      <c r="DT135" s="48">
        <f t="shared" si="192"/>
        <v>0</v>
      </c>
      <c r="DU135" s="48"/>
      <c r="DV135" s="48"/>
      <c r="DW135" s="48"/>
      <c r="DX135" s="48">
        <f t="shared" si="193"/>
        <v>0</v>
      </c>
      <c r="DY135" s="48">
        <f t="shared" si="194"/>
        <v>2392</v>
      </c>
      <c r="DZ135" s="48">
        <f t="shared" si="195"/>
        <v>12</v>
      </c>
      <c r="EA135" s="14">
        <f>D135*'MASTER SHEET'!D135</f>
        <v>0</v>
      </c>
      <c r="EB135" s="14">
        <f>H135*'MASTER SHEET'!D135</f>
        <v>0</v>
      </c>
      <c r="EC135" s="14">
        <f>L135*'MASTER SHEET'!D135</f>
        <v>0</v>
      </c>
      <c r="ED135" s="14">
        <f>P135*'MASTER SHEET'!D135</f>
        <v>0</v>
      </c>
      <c r="EE135" s="14">
        <f>T135*'MASTER SHEET'!D135</f>
        <v>0</v>
      </c>
      <c r="EF135" s="14">
        <f>X135*'MASTER SHEET'!D135</f>
        <v>0</v>
      </c>
      <c r="EG135" s="14">
        <f>AB135*'MASTER SHEET'!D135</f>
        <v>0</v>
      </c>
      <c r="EH135" s="14">
        <f>AF135*'MASTER SHEET'!D135</f>
        <v>0</v>
      </c>
      <c r="EI135" s="14">
        <f>AJ135*'MASTER SHEET'!D135</f>
        <v>0</v>
      </c>
      <c r="EJ135" s="14">
        <f>AN135*'MASTER SHEET'!D135</f>
        <v>0</v>
      </c>
      <c r="EK135" s="14">
        <f>AR135*'MASTER SHEET'!D135</f>
        <v>0</v>
      </c>
      <c r="EL135" s="14">
        <f>AV135*'MASTER SHEET'!D135</f>
        <v>0</v>
      </c>
      <c r="EM135" s="14">
        <f>AZ135*'MASTER SHEET'!D135</f>
        <v>0</v>
      </c>
      <c r="EN135" s="14">
        <f>BD135*'MASTER SHEET'!D135</f>
        <v>0</v>
      </c>
      <c r="EO135" s="14">
        <f>BH135*'MASTER SHEET'!D135</f>
        <v>0</v>
      </c>
      <c r="EP135" s="14">
        <f>BL135*'MASTER SHEET'!D135</f>
        <v>0</v>
      </c>
      <c r="EQ135" s="14">
        <f>BP135*'MASTER SHEET'!D135</f>
        <v>0</v>
      </c>
      <c r="ER135" s="14">
        <f>BT135*'MASTER SHEET'!D135</f>
        <v>0</v>
      </c>
      <c r="ES135" s="14">
        <f>BX135*'MASTER SHEET'!D135</f>
        <v>0</v>
      </c>
      <c r="ET135" s="21">
        <f>CB135*'MASTER SHEET'!D135</f>
        <v>0</v>
      </c>
      <c r="EU135" s="14">
        <f>CF135*'MASTER SHEET'!D135</f>
        <v>0</v>
      </c>
      <c r="EV135" s="14">
        <f>CJ135*'MASTER SHEET'!D135</f>
        <v>0</v>
      </c>
      <c r="EW135" s="14">
        <f>CN135*'MASTER SHEET'!D135</f>
        <v>0</v>
      </c>
      <c r="EX135" s="14">
        <f>CR135*'MASTER SHEET'!D135</f>
        <v>0</v>
      </c>
      <c r="EY135" s="14">
        <f>CR135*'MASTER SHEET'!D135</f>
        <v>0</v>
      </c>
      <c r="EZ135" s="14">
        <f>CV135*'MASTER SHEET'!D135</f>
        <v>0</v>
      </c>
      <c r="FA135" s="14">
        <f>CZ135*'MASTER SHEET'!D135</f>
        <v>0</v>
      </c>
      <c r="FB135" s="14">
        <f>DD135*'MASTER SHEET'!D135</f>
        <v>0</v>
      </c>
    </row>
    <row r="136" spans="1:158" ht="18.75" customHeight="1" x14ac:dyDescent="0.25">
      <c r="A136" s="43">
        <f>'MASTER SHEET'!A136</f>
        <v>134</v>
      </c>
      <c r="B136" s="49" t="str">
        <f>'MASTER SHEET'!B136</f>
        <v>GROMMET</v>
      </c>
      <c r="C136" s="86">
        <f>'MASTER SHEET'!C136</f>
        <v>61984</v>
      </c>
      <c r="D136" s="51"/>
      <c r="E136" s="48"/>
      <c r="F136" s="48"/>
      <c r="G136" s="48"/>
      <c r="H136" s="48">
        <f t="shared" si="163"/>
        <v>0</v>
      </c>
      <c r="I136" s="28"/>
      <c r="J136" s="28"/>
      <c r="K136" s="65"/>
      <c r="L136" s="48">
        <f t="shared" si="164"/>
        <v>0</v>
      </c>
      <c r="M136" s="48"/>
      <c r="N136" s="48"/>
      <c r="O136" s="48"/>
      <c r="P136" s="48">
        <f t="shared" si="165"/>
        <v>0</v>
      </c>
      <c r="Q136" s="48"/>
      <c r="R136" s="48"/>
      <c r="S136" s="48"/>
      <c r="T136" s="48">
        <f t="shared" si="166"/>
        <v>0</v>
      </c>
      <c r="U136" s="48">
        <v>0</v>
      </c>
      <c r="V136" s="48"/>
      <c r="W136" s="48"/>
      <c r="X136" s="48">
        <f t="shared" si="167"/>
        <v>0</v>
      </c>
      <c r="Y136" s="48">
        <v>0</v>
      </c>
      <c r="Z136" s="48">
        <v>0</v>
      </c>
      <c r="AA136" s="48">
        <v>0</v>
      </c>
      <c r="AB136" s="48">
        <f t="shared" si="168"/>
        <v>0</v>
      </c>
      <c r="AC136" s="48">
        <v>23928</v>
      </c>
      <c r="AD136" s="48">
        <v>23812</v>
      </c>
      <c r="AE136" s="48">
        <v>116</v>
      </c>
      <c r="AF136" s="48">
        <f t="shared" si="169"/>
        <v>0</v>
      </c>
      <c r="AG136" s="48">
        <v>29408</v>
      </c>
      <c r="AH136" s="48">
        <v>29400</v>
      </c>
      <c r="AI136" s="48">
        <v>8</v>
      </c>
      <c r="AJ136" s="48">
        <f t="shared" si="170"/>
        <v>0</v>
      </c>
      <c r="AK136" s="48"/>
      <c r="AL136" s="48"/>
      <c r="AM136" s="48"/>
      <c r="AN136" s="48">
        <f t="shared" si="171"/>
        <v>0</v>
      </c>
      <c r="AO136" s="48"/>
      <c r="AP136" s="48"/>
      <c r="AQ136" s="48"/>
      <c r="AR136" s="48">
        <f t="shared" si="172"/>
        <v>0</v>
      </c>
      <c r="AS136" s="48"/>
      <c r="AT136" s="48"/>
      <c r="AU136" s="48"/>
      <c r="AV136" s="48">
        <f t="shared" si="173"/>
        <v>0</v>
      </c>
      <c r="AW136" s="48"/>
      <c r="AX136" s="48"/>
      <c r="AY136" s="48"/>
      <c r="AZ136" s="48">
        <f t="shared" si="174"/>
        <v>0</v>
      </c>
      <c r="BA136" s="48"/>
      <c r="BB136" s="48"/>
      <c r="BC136" s="48"/>
      <c r="BD136" s="48">
        <f t="shared" si="175"/>
        <v>0</v>
      </c>
      <c r="BE136" s="48"/>
      <c r="BF136" s="48"/>
      <c r="BG136" s="48"/>
      <c r="BH136" s="48">
        <f t="shared" si="176"/>
        <v>0</v>
      </c>
      <c r="BI136" s="48"/>
      <c r="BJ136" s="48"/>
      <c r="BK136" s="48"/>
      <c r="BL136" s="48">
        <f t="shared" si="177"/>
        <v>0</v>
      </c>
      <c r="BM136" s="48"/>
      <c r="BN136" s="48"/>
      <c r="BO136" s="48"/>
      <c r="BP136" s="48">
        <f t="shared" si="178"/>
        <v>0</v>
      </c>
      <c r="BQ136" s="48"/>
      <c r="BR136" s="48"/>
      <c r="BS136" s="48"/>
      <c r="BT136" s="48">
        <f t="shared" si="179"/>
        <v>0</v>
      </c>
      <c r="BU136" s="48"/>
      <c r="BV136" s="48"/>
      <c r="BW136" s="48"/>
      <c r="BX136" s="48">
        <f t="shared" si="180"/>
        <v>0</v>
      </c>
      <c r="BY136" s="48"/>
      <c r="BZ136" s="48"/>
      <c r="CA136" s="48"/>
      <c r="CB136" s="48">
        <f t="shared" si="181"/>
        <v>0</v>
      </c>
      <c r="CC136" s="48"/>
      <c r="CD136" s="48"/>
      <c r="CE136" s="48"/>
      <c r="CF136" s="48">
        <f t="shared" si="182"/>
        <v>0</v>
      </c>
      <c r="CG136" s="48"/>
      <c r="CH136" s="48"/>
      <c r="CI136" s="48"/>
      <c r="CJ136" s="48">
        <f t="shared" si="183"/>
        <v>0</v>
      </c>
      <c r="CK136" s="48"/>
      <c r="CL136" s="48"/>
      <c r="CM136" s="48"/>
      <c r="CN136" s="48">
        <f t="shared" si="184"/>
        <v>0</v>
      </c>
      <c r="CO136" s="48"/>
      <c r="CP136" s="48"/>
      <c r="CQ136" s="48"/>
      <c r="CR136" s="48">
        <f t="shared" si="185"/>
        <v>0</v>
      </c>
      <c r="CS136" s="48"/>
      <c r="CT136" s="48"/>
      <c r="CU136" s="48"/>
      <c r="CV136" s="48">
        <f t="shared" si="186"/>
        <v>0</v>
      </c>
      <c r="CW136" s="48"/>
      <c r="CX136" s="48"/>
      <c r="CY136" s="48"/>
      <c r="CZ136" s="48">
        <f t="shared" si="187"/>
        <v>0</v>
      </c>
      <c r="DA136" s="48"/>
      <c r="DB136" s="48"/>
      <c r="DC136" s="48"/>
      <c r="DD136" s="48">
        <f t="shared" si="188"/>
        <v>0</v>
      </c>
      <c r="DE136" s="48"/>
      <c r="DF136" s="48"/>
      <c r="DG136" s="48"/>
      <c r="DH136" s="48">
        <f t="shared" si="189"/>
        <v>0</v>
      </c>
      <c r="DI136" s="48"/>
      <c r="DJ136" s="48"/>
      <c r="DK136" s="48"/>
      <c r="DL136" s="48">
        <f t="shared" si="190"/>
        <v>0</v>
      </c>
      <c r="DM136" s="48"/>
      <c r="DN136" s="48"/>
      <c r="DO136" s="48"/>
      <c r="DP136" s="48">
        <f t="shared" si="191"/>
        <v>0</v>
      </c>
      <c r="DQ136" s="48"/>
      <c r="DR136" s="48"/>
      <c r="DS136" s="48"/>
      <c r="DT136" s="48">
        <f t="shared" si="192"/>
        <v>0</v>
      </c>
      <c r="DU136" s="48"/>
      <c r="DV136" s="48"/>
      <c r="DW136" s="48"/>
      <c r="DX136" s="48">
        <f t="shared" si="193"/>
        <v>0</v>
      </c>
      <c r="DY136" s="48">
        <f t="shared" si="194"/>
        <v>53336</v>
      </c>
      <c r="DZ136" s="48">
        <f t="shared" si="195"/>
        <v>124</v>
      </c>
      <c r="EA136" s="14">
        <f>D136*'MASTER SHEET'!D136</f>
        <v>0</v>
      </c>
      <c r="EB136" s="14">
        <f>H136*'MASTER SHEET'!D136</f>
        <v>0</v>
      </c>
      <c r="EC136" s="14">
        <f>L136*'MASTER SHEET'!D136</f>
        <v>0</v>
      </c>
      <c r="ED136" s="14">
        <f>P136*'MASTER SHEET'!D136</f>
        <v>0</v>
      </c>
      <c r="EE136" s="14">
        <f>T136*'MASTER SHEET'!D136</f>
        <v>0</v>
      </c>
      <c r="EF136" s="14">
        <f>X136*'MASTER SHEET'!D136</f>
        <v>0</v>
      </c>
      <c r="EG136" s="14">
        <f>AB136*'MASTER SHEET'!D136</f>
        <v>0</v>
      </c>
      <c r="EH136" s="14">
        <f>AF136*'MASTER SHEET'!D136</f>
        <v>0</v>
      </c>
      <c r="EI136" s="14">
        <f>AJ136*'MASTER SHEET'!D136</f>
        <v>0</v>
      </c>
      <c r="EJ136" s="14">
        <f>AN136*'MASTER SHEET'!D136</f>
        <v>0</v>
      </c>
      <c r="EK136" s="14">
        <f>AR136*'MASTER SHEET'!D136</f>
        <v>0</v>
      </c>
      <c r="EL136" s="14">
        <f>AV136*'MASTER SHEET'!D136</f>
        <v>0</v>
      </c>
      <c r="EM136" s="14">
        <f>AZ136*'MASTER SHEET'!D136</f>
        <v>0</v>
      </c>
      <c r="EN136" s="14">
        <f>BD136*'MASTER SHEET'!D136</f>
        <v>0</v>
      </c>
      <c r="EO136" s="14">
        <f>BH136*'MASTER SHEET'!D136</f>
        <v>0</v>
      </c>
      <c r="EP136" s="14">
        <f>BL136*'MASTER SHEET'!D136</f>
        <v>0</v>
      </c>
      <c r="EQ136" s="14">
        <f>BP136*'MASTER SHEET'!D136</f>
        <v>0</v>
      </c>
      <c r="ER136" s="14">
        <f>BT136*'MASTER SHEET'!D136</f>
        <v>0</v>
      </c>
      <c r="ES136" s="14">
        <f>BX136*'MASTER SHEET'!D136</f>
        <v>0</v>
      </c>
      <c r="ET136" s="21">
        <f>CB136*'MASTER SHEET'!D136</f>
        <v>0</v>
      </c>
      <c r="EU136" s="14">
        <f>CF136*'MASTER SHEET'!D136</f>
        <v>0</v>
      </c>
      <c r="EV136" s="14">
        <f>CJ136*'MASTER SHEET'!D136</f>
        <v>0</v>
      </c>
      <c r="EW136" s="14">
        <f>CN136*'MASTER SHEET'!D136</f>
        <v>0</v>
      </c>
      <c r="EX136" s="14">
        <f>CR136*'MASTER SHEET'!D136</f>
        <v>0</v>
      </c>
      <c r="EY136" s="14">
        <f>CR136*'MASTER SHEET'!D136</f>
        <v>0</v>
      </c>
      <c r="EZ136" s="14">
        <f>CV136*'MASTER SHEET'!D136</f>
        <v>0</v>
      </c>
      <c r="FA136" s="14">
        <f>CZ136*'MASTER SHEET'!D136</f>
        <v>0</v>
      </c>
      <c r="FB136" s="14">
        <f>DD136*'MASTER SHEET'!D136</f>
        <v>0</v>
      </c>
    </row>
    <row r="137" spans="1:158" ht="18.75" customHeight="1" x14ac:dyDescent="0.25">
      <c r="A137" s="43">
        <f>'MASTER SHEET'!A137</f>
        <v>135</v>
      </c>
      <c r="B137" s="49" t="str">
        <f>'MASTER SHEET'!B137</f>
        <v>ODH BUMP STOP FOR MOTOR ACTUATOR</v>
      </c>
      <c r="C137" s="86" t="str">
        <f>'MASTER SHEET'!C137</f>
        <v>BA00005305</v>
      </c>
      <c r="D137" s="51"/>
      <c r="E137" s="48"/>
      <c r="F137" s="48"/>
      <c r="G137" s="48"/>
      <c r="H137" s="48">
        <f t="shared" si="163"/>
        <v>0</v>
      </c>
      <c r="I137" s="28"/>
      <c r="J137" s="28"/>
      <c r="K137" s="65"/>
      <c r="L137" s="48">
        <f t="shared" si="164"/>
        <v>0</v>
      </c>
      <c r="M137" s="48"/>
      <c r="N137" s="48"/>
      <c r="O137" s="48"/>
      <c r="P137" s="48">
        <f t="shared" si="165"/>
        <v>0</v>
      </c>
      <c r="Q137" s="48"/>
      <c r="R137" s="48"/>
      <c r="S137" s="48"/>
      <c r="T137" s="48">
        <f t="shared" si="166"/>
        <v>0</v>
      </c>
      <c r="U137" s="48">
        <v>0</v>
      </c>
      <c r="V137" s="48"/>
      <c r="W137" s="48"/>
      <c r="X137" s="48">
        <f t="shared" si="167"/>
        <v>0</v>
      </c>
      <c r="Y137" s="48">
        <v>8240</v>
      </c>
      <c r="Z137" s="48">
        <v>8228</v>
      </c>
      <c r="AA137" s="48">
        <v>12</v>
      </c>
      <c r="AB137" s="48">
        <f t="shared" si="168"/>
        <v>0</v>
      </c>
      <c r="AC137" s="48">
        <v>15072</v>
      </c>
      <c r="AD137" s="48">
        <v>15058</v>
      </c>
      <c r="AE137" s="48">
        <v>14</v>
      </c>
      <c r="AF137" s="48">
        <f t="shared" si="169"/>
        <v>0</v>
      </c>
      <c r="AG137" s="48">
        <v>19144</v>
      </c>
      <c r="AH137" s="48">
        <v>19140</v>
      </c>
      <c r="AI137" s="48">
        <v>4</v>
      </c>
      <c r="AJ137" s="48">
        <f t="shared" si="170"/>
        <v>0</v>
      </c>
      <c r="AK137" s="48">
        <v>9140</v>
      </c>
      <c r="AL137" s="48">
        <v>9140</v>
      </c>
      <c r="AM137" s="48">
        <v>0</v>
      </c>
      <c r="AN137" s="48">
        <f t="shared" si="171"/>
        <v>0</v>
      </c>
      <c r="AO137" s="48">
        <v>3064</v>
      </c>
      <c r="AP137" s="48">
        <v>3064</v>
      </c>
      <c r="AQ137" s="48">
        <v>0</v>
      </c>
      <c r="AR137" s="48">
        <f t="shared" si="172"/>
        <v>0</v>
      </c>
      <c r="AS137" s="48">
        <v>0</v>
      </c>
      <c r="AT137" s="48">
        <v>0</v>
      </c>
      <c r="AU137" s="48">
        <v>0</v>
      </c>
      <c r="AV137" s="48">
        <f t="shared" si="173"/>
        <v>0</v>
      </c>
      <c r="AW137" s="48">
        <v>0</v>
      </c>
      <c r="AX137" s="48">
        <v>0</v>
      </c>
      <c r="AY137" s="48">
        <v>0</v>
      </c>
      <c r="AZ137" s="48">
        <f t="shared" si="174"/>
        <v>0</v>
      </c>
      <c r="BA137" s="48">
        <v>0</v>
      </c>
      <c r="BB137" s="48">
        <v>0</v>
      </c>
      <c r="BC137" s="48">
        <v>0</v>
      </c>
      <c r="BD137" s="48">
        <f t="shared" si="175"/>
        <v>0</v>
      </c>
      <c r="BE137" s="48">
        <v>0</v>
      </c>
      <c r="BF137" s="48">
        <v>0</v>
      </c>
      <c r="BG137" s="48">
        <v>0</v>
      </c>
      <c r="BH137" s="48">
        <f t="shared" si="176"/>
        <v>0</v>
      </c>
      <c r="BI137" s="48">
        <v>0</v>
      </c>
      <c r="BJ137" s="48">
        <v>0</v>
      </c>
      <c r="BK137" s="48">
        <v>0</v>
      </c>
      <c r="BL137" s="48">
        <f t="shared" si="177"/>
        <v>0</v>
      </c>
      <c r="BM137" s="48">
        <v>15468</v>
      </c>
      <c r="BN137" s="48">
        <v>15436</v>
      </c>
      <c r="BO137" s="48">
        <v>32</v>
      </c>
      <c r="BP137" s="48">
        <f t="shared" si="178"/>
        <v>0</v>
      </c>
      <c r="BQ137" s="48">
        <v>21024</v>
      </c>
      <c r="BR137" s="48">
        <v>21012</v>
      </c>
      <c r="BS137" s="48">
        <v>12</v>
      </c>
      <c r="BT137" s="48">
        <f t="shared" si="179"/>
        <v>0</v>
      </c>
      <c r="BU137" s="48">
        <v>19432</v>
      </c>
      <c r="BV137" s="48">
        <v>19428</v>
      </c>
      <c r="BW137" s="48">
        <v>4</v>
      </c>
      <c r="BX137" s="48">
        <f t="shared" si="180"/>
        <v>0</v>
      </c>
      <c r="BY137" s="48"/>
      <c r="BZ137" s="48"/>
      <c r="CA137" s="48"/>
      <c r="CB137" s="48">
        <f t="shared" si="181"/>
        <v>0</v>
      </c>
      <c r="CC137" s="48">
        <v>0</v>
      </c>
      <c r="CD137" s="48">
        <v>0</v>
      </c>
      <c r="CE137" s="48">
        <v>0</v>
      </c>
      <c r="CF137" s="48">
        <f t="shared" si="182"/>
        <v>0</v>
      </c>
      <c r="CG137" s="48"/>
      <c r="CH137" s="48"/>
      <c r="CI137" s="48"/>
      <c r="CJ137" s="48">
        <f t="shared" si="183"/>
        <v>0</v>
      </c>
      <c r="CK137" s="48"/>
      <c r="CL137" s="48"/>
      <c r="CM137" s="48"/>
      <c r="CN137" s="48">
        <f t="shared" si="184"/>
        <v>0</v>
      </c>
      <c r="CO137" s="48"/>
      <c r="CP137" s="48"/>
      <c r="CQ137" s="48"/>
      <c r="CR137" s="48">
        <f t="shared" si="185"/>
        <v>0</v>
      </c>
      <c r="CS137" s="48"/>
      <c r="CT137" s="48"/>
      <c r="CU137" s="48"/>
      <c r="CV137" s="48">
        <f t="shared" si="186"/>
        <v>0</v>
      </c>
      <c r="CW137" s="48"/>
      <c r="CX137" s="48"/>
      <c r="CY137" s="48"/>
      <c r="CZ137" s="48">
        <f t="shared" si="187"/>
        <v>0</v>
      </c>
      <c r="DA137" s="48"/>
      <c r="DB137" s="48"/>
      <c r="DC137" s="48"/>
      <c r="DD137" s="48">
        <f t="shared" si="188"/>
        <v>0</v>
      </c>
      <c r="DE137" s="48"/>
      <c r="DF137" s="48"/>
      <c r="DG137" s="48"/>
      <c r="DH137" s="48">
        <f t="shared" si="189"/>
        <v>0</v>
      </c>
      <c r="DI137" s="48"/>
      <c r="DJ137" s="48"/>
      <c r="DK137" s="48"/>
      <c r="DL137" s="48">
        <f t="shared" si="190"/>
        <v>0</v>
      </c>
      <c r="DM137" s="48"/>
      <c r="DN137" s="48"/>
      <c r="DO137" s="48"/>
      <c r="DP137" s="48">
        <f t="shared" si="191"/>
        <v>0</v>
      </c>
      <c r="DQ137" s="48"/>
      <c r="DR137" s="48"/>
      <c r="DS137" s="48"/>
      <c r="DT137" s="48">
        <f t="shared" si="192"/>
        <v>0</v>
      </c>
      <c r="DU137" s="48"/>
      <c r="DV137" s="48"/>
      <c r="DW137" s="48"/>
      <c r="DX137" s="48">
        <f t="shared" si="193"/>
        <v>0</v>
      </c>
      <c r="DY137" s="48">
        <f t="shared" si="194"/>
        <v>110584</v>
      </c>
      <c r="DZ137" s="48">
        <f t="shared" si="195"/>
        <v>78</v>
      </c>
      <c r="EA137" s="14">
        <f>D137*'MASTER SHEET'!D137</f>
        <v>0</v>
      </c>
      <c r="EB137" s="14">
        <f>H137*'MASTER SHEET'!D137</f>
        <v>0</v>
      </c>
      <c r="EC137" s="14">
        <f>L137*'MASTER SHEET'!D137</f>
        <v>0</v>
      </c>
      <c r="ED137" s="14">
        <f>P137*'MASTER SHEET'!D137</f>
        <v>0</v>
      </c>
      <c r="EE137" s="14">
        <f>T137*'MASTER SHEET'!D137</f>
        <v>0</v>
      </c>
      <c r="EF137" s="14">
        <f>X137*'MASTER SHEET'!D137</f>
        <v>0</v>
      </c>
      <c r="EG137" s="14">
        <f>AB137*'MASTER SHEET'!D137</f>
        <v>0</v>
      </c>
      <c r="EH137" s="14">
        <f>AF137*'MASTER SHEET'!D137</f>
        <v>0</v>
      </c>
      <c r="EI137" s="14">
        <f>AJ137*'MASTER SHEET'!D137</f>
        <v>0</v>
      </c>
      <c r="EJ137" s="14">
        <f>AN137*'MASTER SHEET'!D137</f>
        <v>0</v>
      </c>
      <c r="EK137" s="14">
        <f>AR137*'MASTER SHEET'!D137</f>
        <v>0</v>
      </c>
      <c r="EL137" s="14">
        <f>AV137*'MASTER SHEET'!D137</f>
        <v>0</v>
      </c>
      <c r="EM137" s="14">
        <f>AZ137*'MASTER SHEET'!D137</f>
        <v>0</v>
      </c>
      <c r="EN137" s="14">
        <f>BD137*'MASTER SHEET'!D137</f>
        <v>0</v>
      </c>
      <c r="EO137" s="14">
        <f>BH137*'MASTER SHEET'!D137</f>
        <v>0</v>
      </c>
      <c r="EP137" s="14">
        <f>BL137*'MASTER SHEET'!D137</f>
        <v>0</v>
      </c>
      <c r="EQ137" s="14">
        <f>BP137*'MASTER SHEET'!D137</f>
        <v>0</v>
      </c>
      <c r="ER137" s="14">
        <f>BT137*'MASTER SHEET'!D137</f>
        <v>0</v>
      </c>
      <c r="ES137" s="14">
        <f>BX137*'MASTER SHEET'!D137</f>
        <v>0</v>
      </c>
      <c r="ET137" s="21">
        <f>CB137*'MASTER SHEET'!D137</f>
        <v>0</v>
      </c>
      <c r="EU137" s="14">
        <f>CF137*'MASTER SHEET'!D137</f>
        <v>0</v>
      </c>
      <c r="EV137" s="14">
        <f>CJ137*'MASTER SHEET'!D137</f>
        <v>0</v>
      </c>
      <c r="EW137" s="14">
        <f>CN137*'MASTER SHEET'!D137</f>
        <v>0</v>
      </c>
      <c r="EX137" s="14">
        <f>CR137*'MASTER SHEET'!D137</f>
        <v>0</v>
      </c>
      <c r="EY137" s="14">
        <f>CR137*'MASTER SHEET'!D137</f>
        <v>0</v>
      </c>
      <c r="EZ137" s="14">
        <f>CV137*'MASTER SHEET'!D137</f>
        <v>0</v>
      </c>
      <c r="FA137" s="14">
        <f>CZ137*'MASTER SHEET'!D137</f>
        <v>0</v>
      </c>
      <c r="FB137" s="14">
        <f>DD137*'MASTER SHEET'!D137</f>
        <v>0</v>
      </c>
    </row>
    <row r="138" spans="1:158" ht="18.75" customHeight="1" x14ac:dyDescent="0.25">
      <c r="A138" s="43">
        <f>'MASTER SHEET'!A138</f>
        <v>136</v>
      </c>
      <c r="B138" s="49" t="str">
        <f>'MASTER SHEET'!B138</f>
        <v>TIAGO MCE IDH LEVER GRAINED LH</v>
      </c>
      <c r="C138" s="86" t="str">
        <f>'MASTER SHEET'!C138</f>
        <v>CB00004725</v>
      </c>
      <c r="D138" s="51"/>
      <c r="E138" s="48"/>
      <c r="F138" s="48"/>
      <c r="G138" s="48"/>
      <c r="H138" s="48">
        <f t="shared" si="163"/>
        <v>0</v>
      </c>
      <c r="I138" s="28"/>
      <c r="J138" s="28"/>
      <c r="K138" s="65"/>
      <c r="L138" s="48">
        <f t="shared" si="164"/>
        <v>0</v>
      </c>
      <c r="M138" s="48"/>
      <c r="N138" s="48"/>
      <c r="O138" s="48"/>
      <c r="P138" s="48">
        <f t="shared" si="165"/>
        <v>0</v>
      </c>
      <c r="Q138" s="48"/>
      <c r="R138" s="48"/>
      <c r="S138" s="48"/>
      <c r="T138" s="48">
        <f t="shared" si="166"/>
        <v>0</v>
      </c>
      <c r="U138" s="48">
        <v>0</v>
      </c>
      <c r="V138" s="48"/>
      <c r="W138" s="48"/>
      <c r="X138" s="48">
        <f t="shared" si="167"/>
        <v>0</v>
      </c>
      <c r="Y138" s="48"/>
      <c r="Z138" s="48"/>
      <c r="AA138" s="48"/>
      <c r="AB138" s="48">
        <f t="shared" si="168"/>
        <v>0</v>
      </c>
      <c r="AC138" s="48">
        <v>2074</v>
      </c>
      <c r="AD138" s="48">
        <v>2062</v>
      </c>
      <c r="AE138" s="48">
        <v>12</v>
      </c>
      <c r="AF138" s="48">
        <f t="shared" si="169"/>
        <v>0</v>
      </c>
      <c r="AG138" s="48">
        <v>2074</v>
      </c>
      <c r="AH138" s="48">
        <v>1996</v>
      </c>
      <c r="AI138" s="48">
        <v>78</v>
      </c>
      <c r="AJ138" s="48">
        <f t="shared" si="170"/>
        <v>0</v>
      </c>
      <c r="AK138" s="48"/>
      <c r="AL138" s="48"/>
      <c r="AM138" s="48"/>
      <c r="AN138" s="48">
        <f t="shared" si="171"/>
        <v>0</v>
      </c>
      <c r="AO138" s="48"/>
      <c r="AP138" s="48"/>
      <c r="AQ138" s="48"/>
      <c r="AR138" s="48">
        <f t="shared" si="172"/>
        <v>0</v>
      </c>
      <c r="AS138" s="48"/>
      <c r="AT138" s="48"/>
      <c r="AU138" s="48"/>
      <c r="AV138" s="48">
        <f t="shared" si="173"/>
        <v>0</v>
      </c>
      <c r="AW138" s="48"/>
      <c r="AX138" s="48"/>
      <c r="AY138" s="48"/>
      <c r="AZ138" s="48">
        <f t="shared" si="174"/>
        <v>0</v>
      </c>
      <c r="BA138" s="48">
        <v>2359</v>
      </c>
      <c r="BB138" s="48">
        <v>2337</v>
      </c>
      <c r="BC138" s="48">
        <v>22</v>
      </c>
      <c r="BD138" s="48">
        <f t="shared" si="175"/>
        <v>0</v>
      </c>
      <c r="BE138" s="48">
        <v>2464</v>
      </c>
      <c r="BF138" s="48">
        <v>2458</v>
      </c>
      <c r="BG138" s="48">
        <v>6</v>
      </c>
      <c r="BH138" s="48">
        <f t="shared" si="176"/>
        <v>0</v>
      </c>
      <c r="BI138" s="48">
        <v>384</v>
      </c>
      <c r="BJ138" s="48">
        <v>383</v>
      </c>
      <c r="BK138" s="48">
        <v>1</v>
      </c>
      <c r="BL138" s="48">
        <f t="shared" si="177"/>
        <v>0</v>
      </c>
      <c r="BM138" s="48"/>
      <c r="BN138" s="48"/>
      <c r="BO138" s="48"/>
      <c r="BP138" s="48">
        <f t="shared" si="178"/>
        <v>0</v>
      </c>
      <c r="BQ138" s="48"/>
      <c r="BR138" s="48"/>
      <c r="BS138" s="48"/>
      <c r="BT138" s="48">
        <f t="shared" si="179"/>
        <v>0</v>
      </c>
      <c r="BU138" s="48"/>
      <c r="BV138" s="48"/>
      <c r="BW138" s="48"/>
      <c r="BX138" s="48">
        <f t="shared" si="180"/>
        <v>0</v>
      </c>
      <c r="BY138" s="48"/>
      <c r="BZ138" s="48"/>
      <c r="CA138" s="48"/>
      <c r="CB138" s="48">
        <f t="shared" si="181"/>
        <v>0</v>
      </c>
      <c r="CC138" s="48"/>
      <c r="CD138" s="48"/>
      <c r="CE138" s="48"/>
      <c r="CF138" s="48">
        <f t="shared" si="182"/>
        <v>0</v>
      </c>
      <c r="CG138" s="48"/>
      <c r="CH138" s="48"/>
      <c r="CI138" s="48"/>
      <c r="CJ138" s="48">
        <f t="shared" si="183"/>
        <v>0</v>
      </c>
      <c r="CK138" s="48">
        <v>2774</v>
      </c>
      <c r="CL138" s="48">
        <f>2534+220</f>
        <v>2754</v>
      </c>
      <c r="CM138" s="48">
        <v>20</v>
      </c>
      <c r="CN138" s="48">
        <f t="shared" si="184"/>
        <v>0</v>
      </c>
      <c r="CO138" s="48">
        <v>2589</v>
      </c>
      <c r="CP138" s="48">
        <v>2584</v>
      </c>
      <c r="CQ138" s="48">
        <v>5</v>
      </c>
      <c r="CR138" s="48">
        <f t="shared" si="185"/>
        <v>0</v>
      </c>
      <c r="CS138" s="48">
        <v>1188</v>
      </c>
      <c r="CT138" s="48">
        <v>1158</v>
      </c>
      <c r="CU138" s="48">
        <v>30</v>
      </c>
      <c r="CV138" s="48">
        <f t="shared" si="186"/>
        <v>0</v>
      </c>
      <c r="CW138" s="48">
        <v>1025</v>
      </c>
      <c r="CX138" s="48">
        <v>1023</v>
      </c>
      <c r="CY138" s="48">
        <v>2</v>
      </c>
      <c r="CZ138" s="48">
        <f t="shared" si="187"/>
        <v>0</v>
      </c>
      <c r="DA138" s="48"/>
      <c r="DB138" s="48"/>
      <c r="DC138" s="48"/>
      <c r="DD138" s="48">
        <f t="shared" si="188"/>
        <v>0</v>
      </c>
      <c r="DE138" s="48"/>
      <c r="DF138" s="48"/>
      <c r="DG138" s="48"/>
      <c r="DH138" s="48">
        <f t="shared" si="189"/>
        <v>0</v>
      </c>
      <c r="DI138" s="48"/>
      <c r="DJ138" s="48"/>
      <c r="DK138" s="48"/>
      <c r="DL138" s="48">
        <f t="shared" si="190"/>
        <v>0</v>
      </c>
      <c r="DM138" s="48">
        <v>36</v>
      </c>
      <c r="DN138" s="48">
        <v>21</v>
      </c>
      <c r="DO138" s="48">
        <v>15</v>
      </c>
      <c r="DP138" s="48">
        <f t="shared" si="191"/>
        <v>0</v>
      </c>
      <c r="DQ138" s="48"/>
      <c r="DR138" s="48"/>
      <c r="DS138" s="48"/>
      <c r="DT138" s="48">
        <f t="shared" si="192"/>
        <v>0</v>
      </c>
      <c r="DU138" s="48"/>
      <c r="DV138" s="48"/>
      <c r="DW138" s="48"/>
      <c r="DX138" s="48">
        <f t="shared" si="193"/>
        <v>0</v>
      </c>
      <c r="DY138" s="48">
        <f t="shared" si="194"/>
        <v>16967</v>
      </c>
      <c r="DZ138" s="48">
        <f t="shared" si="195"/>
        <v>191</v>
      </c>
      <c r="EA138" s="14">
        <f>D138*'MASTER SHEET'!D138</f>
        <v>0</v>
      </c>
      <c r="EB138" s="14">
        <f>H138*'MASTER SHEET'!D138</f>
        <v>0</v>
      </c>
      <c r="EC138" s="14">
        <f>L138*'MASTER SHEET'!D138</f>
        <v>0</v>
      </c>
      <c r="ED138" s="14">
        <f>P138*'MASTER SHEET'!D138</f>
        <v>0</v>
      </c>
      <c r="EE138" s="14">
        <f>T138*'MASTER SHEET'!D138</f>
        <v>0</v>
      </c>
      <c r="EF138" s="14">
        <f>X138*'MASTER SHEET'!D138</f>
        <v>0</v>
      </c>
      <c r="EG138" s="14">
        <f>AB138*'MASTER SHEET'!D138</f>
        <v>0</v>
      </c>
      <c r="EH138" s="14">
        <f>AF138*'MASTER SHEET'!D138</f>
        <v>0</v>
      </c>
      <c r="EI138" s="14">
        <f>AJ138*'MASTER SHEET'!D138</f>
        <v>0</v>
      </c>
      <c r="EJ138" s="14">
        <f>AN138*'MASTER SHEET'!D138</f>
        <v>0</v>
      </c>
      <c r="EK138" s="14">
        <f>AR138*'MASTER SHEET'!D138</f>
        <v>0</v>
      </c>
      <c r="EL138" s="14">
        <f>AV138*'MASTER SHEET'!D138</f>
        <v>0</v>
      </c>
      <c r="EM138" s="14">
        <f>AZ138*'MASTER SHEET'!D138</f>
        <v>0</v>
      </c>
      <c r="EN138" s="14">
        <f>BD138*'MASTER SHEET'!D138</f>
        <v>0</v>
      </c>
      <c r="EO138" s="14">
        <f>BH138*'MASTER SHEET'!D138</f>
        <v>0</v>
      </c>
      <c r="EP138" s="14">
        <f>BL138*'MASTER SHEET'!D138</f>
        <v>0</v>
      </c>
      <c r="EQ138" s="14">
        <f>BP138*'MASTER SHEET'!D138</f>
        <v>0</v>
      </c>
      <c r="ER138" s="14">
        <f>BT138*'MASTER SHEET'!D138</f>
        <v>0</v>
      </c>
      <c r="ES138" s="14">
        <f>BX138*'MASTER SHEET'!D138</f>
        <v>0</v>
      </c>
      <c r="ET138" s="21">
        <f>CB138*'MASTER SHEET'!D138</f>
        <v>0</v>
      </c>
      <c r="EU138" s="14">
        <f>CF138*'MASTER SHEET'!D138</f>
        <v>0</v>
      </c>
      <c r="EV138" s="14">
        <f>CJ138*'MASTER SHEET'!D138</f>
        <v>0</v>
      </c>
      <c r="EW138" s="14">
        <f>CN138*'MASTER SHEET'!D138</f>
        <v>0</v>
      </c>
      <c r="EX138" s="14">
        <f>CR138*'MASTER SHEET'!D138</f>
        <v>0</v>
      </c>
      <c r="EY138" s="14">
        <f>CR138*'MASTER SHEET'!D138</f>
        <v>0</v>
      </c>
      <c r="EZ138" s="14">
        <f>CV138*'MASTER SHEET'!D138</f>
        <v>0</v>
      </c>
      <c r="FA138" s="14">
        <f>CZ138*'MASTER SHEET'!D138</f>
        <v>0</v>
      </c>
      <c r="FB138" s="14">
        <f>DD138*'MASTER SHEET'!D138</f>
        <v>0</v>
      </c>
    </row>
    <row r="139" spans="1:158" ht="18.75" customHeight="1" x14ac:dyDescent="0.25">
      <c r="A139" s="43">
        <f>'MASTER SHEET'!A139</f>
        <v>137</v>
      </c>
      <c r="B139" s="49" t="str">
        <f>'MASTER SHEET'!B139</f>
        <v>AIR EXTRACTOR HOUSING</v>
      </c>
      <c r="C139" s="86">
        <f>'MASTER SHEET'!C139</f>
        <v>62185</v>
      </c>
      <c r="D139" s="51"/>
      <c r="E139" s="48"/>
      <c r="F139" s="48"/>
      <c r="G139" s="48"/>
      <c r="H139" s="48">
        <f t="shared" si="163"/>
        <v>0</v>
      </c>
      <c r="I139" s="28"/>
      <c r="J139" s="28"/>
      <c r="K139" s="65"/>
      <c r="L139" s="48">
        <f t="shared" si="164"/>
        <v>0</v>
      </c>
      <c r="M139" s="48"/>
      <c r="N139" s="48"/>
      <c r="O139" s="48"/>
      <c r="P139" s="48">
        <f t="shared" si="165"/>
        <v>0</v>
      </c>
      <c r="Q139" s="48"/>
      <c r="R139" s="48"/>
      <c r="S139" s="48"/>
      <c r="T139" s="48">
        <f t="shared" si="166"/>
        <v>0</v>
      </c>
      <c r="U139" s="48">
        <v>0</v>
      </c>
      <c r="V139" s="48"/>
      <c r="W139" s="48"/>
      <c r="X139" s="48">
        <f t="shared" si="167"/>
        <v>0</v>
      </c>
      <c r="Y139" s="48"/>
      <c r="Z139" s="48"/>
      <c r="AA139" s="48"/>
      <c r="AB139" s="48">
        <f t="shared" si="168"/>
        <v>0</v>
      </c>
      <c r="AC139" s="48"/>
      <c r="AD139" s="48"/>
      <c r="AE139" s="48"/>
      <c r="AF139" s="48">
        <f t="shared" si="169"/>
        <v>0</v>
      </c>
      <c r="AG139" s="48"/>
      <c r="AH139" s="48"/>
      <c r="AI139" s="48"/>
      <c r="AJ139" s="48">
        <f t="shared" si="170"/>
        <v>0</v>
      </c>
      <c r="AK139" s="48"/>
      <c r="AL139" s="48"/>
      <c r="AM139" s="48"/>
      <c r="AN139" s="48">
        <f t="shared" si="171"/>
        <v>0</v>
      </c>
      <c r="AO139" s="48"/>
      <c r="AP139" s="48"/>
      <c r="AQ139" s="48"/>
      <c r="AR139" s="48">
        <f t="shared" si="172"/>
        <v>0</v>
      </c>
      <c r="AS139" s="48"/>
      <c r="AT139" s="48"/>
      <c r="AU139" s="48"/>
      <c r="AV139" s="48">
        <f t="shared" si="173"/>
        <v>0</v>
      </c>
      <c r="AW139" s="48"/>
      <c r="AX139" s="48"/>
      <c r="AY139" s="48"/>
      <c r="AZ139" s="48">
        <f t="shared" si="174"/>
        <v>0</v>
      </c>
      <c r="BA139" s="48"/>
      <c r="BB139" s="48"/>
      <c r="BC139" s="48"/>
      <c r="BD139" s="48">
        <f t="shared" si="175"/>
        <v>0</v>
      </c>
      <c r="BE139" s="48"/>
      <c r="BF139" s="48"/>
      <c r="BG139" s="48"/>
      <c r="BH139" s="48">
        <f t="shared" si="176"/>
        <v>0</v>
      </c>
      <c r="BI139" s="48"/>
      <c r="BJ139" s="48"/>
      <c r="BK139" s="48"/>
      <c r="BL139" s="48">
        <f t="shared" si="177"/>
        <v>0</v>
      </c>
      <c r="BM139" s="48"/>
      <c r="BN139" s="48"/>
      <c r="BO139" s="48"/>
      <c r="BP139" s="48">
        <f t="shared" si="178"/>
        <v>0</v>
      </c>
      <c r="BQ139" s="48"/>
      <c r="BR139" s="48"/>
      <c r="BS139" s="48"/>
      <c r="BT139" s="48">
        <f t="shared" si="179"/>
        <v>0</v>
      </c>
      <c r="BU139" s="48"/>
      <c r="BV139" s="48"/>
      <c r="BW139" s="48"/>
      <c r="BX139" s="48">
        <f t="shared" si="180"/>
        <v>0</v>
      </c>
      <c r="BY139" s="48"/>
      <c r="BZ139" s="48"/>
      <c r="CA139" s="48"/>
      <c r="CB139" s="48">
        <f t="shared" si="181"/>
        <v>0</v>
      </c>
      <c r="CC139" s="48"/>
      <c r="CD139" s="48"/>
      <c r="CE139" s="48"/>
      <c r="CF139" s="48">
        <f t="shared" si="182"/>
        <v>0</v>
      </c>
      <c r="CG139" s="48"/>
      <c r="CH139" s="48"/>
      <c r="CI139" s="48"/>
      <c r="CJ139" s="48">
        <f t="shared" si="183"/>
        <v>0</v>
      </c>
      <c r="CK139" s="48"/>
      <c r="CL139" s="48"/>
      <c r="CM139" s="48"/>
      <c r="CN139" s="48">
        <f t="shared" si="184"/>
        <v>0</v>
      </c>
      <c r="CO139" s="48"/>
      <c r="CP139" s="48"/>
      <c r="CQ139" s="48"/>
      <c r="CR139" s="48">
        <f t="shared" si="185"/>
        <v>0</v>
      </c>
      <c r="CS139" s="48"/>
      <c r="CT139" s="48"/>
      <c r="CU139" s="48"/>
      <c r="CV139" s="48">
        <f t="shared" si="186"/>
        <v>0</v>
      </c>
      <c r="CW139" s="48"/>
      <c r="CX139" s="48"/>
      <c r="CY139" s="48"/>
      <c r="CZ139" s="48">
        <f t="shared" si="187"/>
        <v>0</v>
      </c>
      <c r="DA139" s="48"/>
      <c r="DB139" s="48"/>
      <c r="DC139" s="48"/>
      <c r="DD139" s="48">
        <f t="shared" si="188"/>
        <v>0</v>
      </c>
      <c r="DE139" s="48"/>
      <c r="DF139" s="48"/>
      <c r="DG139" s="48"/>
      <c r="DH139" s="48">
        <f t="shared" si="189"/>
        <v>0</v>
      </c>
      <c r="DI139" s="48"/>
      <c r="DJ139" s="48"/>
      <c r="DK139" s="48"/>
      <c r="DL139" s="48">
        <f t="shared" si="190"/>
        <v>0</v>
      </c>
      <c r="DM139" s="48"/>
      <c r="DN139" s="48"/>
      <c r="DO139" s="48"/>
      <c r="DP139" s="48">
        <f t="shared" si="191"/>
        <v>0</v>
      </c>
      <c r="DQ139" s="48"/>
      <c r="DR139" s="48"/>
      <c r="DS139" s="48"/>
      <c r="DT139" s="48">
        <f t="shared" si="192"/>
        <v>0</v>
      </c>
      <c r="DU139" s="48"/>
      <c r="DV139" s="48"/>
      <c r="DW139" s="48"/>
      <c r="DX139" s="48">
        <f t="shared" si="193"/>
        <v>0</v>
      </c>
      <c r="DY139" s="48">
        <f t="shared" si="194"/>
        <v>0</v>
      </c>
      <c r="DZ139" s="48">
        <f t="shared" si="195"/>
        <v>0</v>
      </c>
      <c r="EA139" s="14">
        <f>D139*'MASTER SHEET'!D139</f>
        <v>0</v>
      </c>
      <c r="EB139" s="14">
        <f>H139*'MASTER SHEET'!D139</f>
        <v>0</v>
      </c>
      <c r="EC139" s="14">
        <f>L139*'MASTER SHEET'!D139</f>
        <v>0</v>
      </c>
      <c r="ED139" s="14">
        <f>P139*'MASTER SHEET'!D139</f>
        <v>0</v>
      </c>
      <c r="EE139" s="14">
        <f>T139*'MASTER SHEET'!D139</f>
        <v>0</v>
      </c>
      <c r="EF139" s="14">
        <f>X139*'MASTER SHEET'!D139</f>
        <v>0</v>
      </c>
      <c r="EG139" s="14">
        <f>AB139*'MASTER SHEET'!D139</f>
        <v>0</v>
      </c>
      <c r="EH139" s="14">
        <f>AF139*'MASTER SHEET'!D139</f>
        <v>0</v>
      </c>
      <c r="EI139" s="14">
        <f>AJ139*'MASTER SHEET'!D139</f>
        <v>0</v>
      </c>
      <c r="EJ139" s="14">
        <f>AN139*'MASTER SHEET'!D139</f>
        <v>0</v>
      </c>
      <c r="EK139" s="14">
        <f>AR139*'MASTER SHEET'!D139</f>
        <v>0</v>
      </c>
      <c r="EL139" s="14">
        <f>AV139*'MASTER SHEET'!D139</f>
        <v>0</v>
      </c>
      <c r="EM139" s="14">
        <f>AZ139*'MASTER SHEET'!D139</f>
        <v>0</v>
      </c>
      <c r="EN139" s="14">
        <f>BD139*'MASTER SHEET'!D139</f>
        <v>0</v>
      </c>
      <c r="EO139" s="14">
        <f>BH139*'MASTER SHEET'!D139</f>
        <v>0</v>
      </c>
      <c r="EP139" s="14">
        <f>BL139*'MASTER SHEET'!D139</f>
        <v>0</v>
      </c>
      <c r="EQ139" s="14">
        <f>BP139*'MASTER SHEET'!D139</f>
        <v>0</v>
      </c>
      <c r="ER139" s="14">
        <f>BT139*'MASTER SHEET'!D139</f>
        <v>0</v>
      </c>
      <c r="ES139" s="14">
        <f>BX139*'MASTER SHEET'!D139</f>
        <v>0</v>
      </c>
      <c r="ET139" s="21">
        <f>CB139*'MASTER SHEET'!D139</f>
        <v>0</v>
      </c>
      <c r="EU139" s="14">
        <f>CF139*'MASTER SHEET'!D139</f>
        <v>0</v>
      </c>
      <c r="EV139" s="14">
        <f>CJ139*'MASTER SHEET'!D139</f>
        <v>0</v>
      </c>
      <c r="EW139" s="14">
        <f>CN139*'MASTER SHEET'!D139</f>
        <v>0</v>
      </c>
      <c r="EX139" s="14">
        <f>CR139*'MASTER SHEET'!D139</f>
        <v>0</v>
      </c>
      <c r="EY139" s="14">
        <f>CR139*'MASTER SHEET'!D139</f>
        <v>0</v>
      </c>
      <c r="EZ139" s="14">
        <f>CV139*'MASTER SHEET'!D139</f>
        <v>0</v>
      </c>
      <c r="FA139" s="14">
        <f>CZ139*'MASTER SHEET'!D139</f>
        <v>0</v>
      </c>
      <c r="FB139" s="14">
        <f>DD139*'MASTER SHEET'!D139</f>
        <v>0</v>
      </c>
    </row>
    <row r="140" spans="1:158" ht="18.75" customHeight="1" x14ac:dyDescent="0.25">
      <c r="A140" s="43">
        <f>'MASTER SHEET'!A140</f>
        <v>138</v>
      </c>
      <c r="B140" s="49" t="str">
        <f>'MASTER SHEET'!B140</f>
        <v>W601 ODH CAP FOR DOOR LOCK</v>
      </c>
      <c r="C140" s="86" t="str">
        <f>'MASTER SHEET'!C140</f>
        <v>BA00005294</v>
      </c>
      <c r="D140" s="51"/>
      <c r="E140" s="48"/>
      <c r="F140" s="48"/>
      <c r="G140" s="48"/>
      <c r="H140" s="48">
        <f t="shared" si="163"/>
        <v>0</v>
      </c>
      <c r="I140" s="28">
        <v>0</v>
      </c>
      <c r="J140" s="28">
        <v>0</v>
      </c>
      <c r="K140" s="65">
        <v>0</v>
      </c>
      <c r="L140" s="48">
        <f t="shared" si="164"/>
        <v>0</v>
      </c>
      <c r="M140" s="48"/>
      <c r="N140" s="48"/>
      <c r="O140" s="48"/>
      <c r="P140" s="48">
        <f t="shared" si="165"/>
        <v>0</v>
      </c>
      <c r="Q140" s="48">
        <v>0</v>
      </c>
      <c r="R140" s="48">
        <v>0</v>
      </c>
      <c r="S140" s="48">
        <v>0</v>
      </c>
      <c r="T140" s="48">
        <f t="shared" si="166"/>
        <v>0</v>
      </c>
      <c r="U140" s="48">
        <v>15852</v>
      </c>
      <c r="V140" s="48">
        <v>15778</v>
      </c>
      <c r="W140" s="48">
        <v>74</v>
      </c>
      <c r="X140" s="48">
        <f t="shared" si="167"/>
        <v>0</v>
      </c>
      <c r="Y140" s="48">
        <v>6128</v>
      </c>
      <c r="Z140" s="48">
        <v>6128</v>
      </c>
      <c r="AA140" s="48">
        <v>0</v>
      </c>
      <c r="AB140" s="48">
        <f t="shared" si="168"/>
        <v>0</v>
      </c>
      <c r="AC140" s="48"/>
      <c r="AD140" s="48"/>
      <c r="AE140" s="48"/>
      <c r="AF140" s="48">
        <f t="shared" si="169"/>
        <v>0</v>
      </c>
      <c r="AG140" s="48"/>
      <c r="AH140" s="48"/>
      <c r="AI140" s="48"/>
      <c r="AJ140" s="48">
        <f t="shared" si="170"/>
        <v>0</v>
      </c>
      <c r="AK140" s="48"/>
      <c r="AL140" s="48"/>
      <c r="AM140" s="48"/>
      <c r="AN140" s="48">
        <f t="shared" si="171"/>
        <v>0</v>
      </c>
      <c r="AO140" s="48"/>
      <c r="AP140" s="48"/>
      <c r="AQ140" s="48"/>
      <c r="AR140" s="48">
        <f t="shared" si="172"/>
        <v>0</v>
      </c>
      <c r="AS140" s="48"/>
      <c r="AT140" s="48"/>
      <c r="AU140" s="48"/>
      <c r="AV140" s="48">
        <f t="shared" si="173"/>
        <v>0</v>
      </c>
      <c r="AW140" s="48"/>
      <c r="AX140" s="48"/>
      <c r="AY140" s="48"/>
      <c r="AZ140" s="48">
        <f t="shared" si="174"/>
        <v>0</v>
      </c>
      <c r="BA140" s="48"/>
      <c r="BB140" s="48"/>
      <c r="BC140" s="48"/>
      <c r="BD140" s="48">
        <f t="shared" si="175"/>
        <v>0</v>
      </c>
      <c r="BE140" s="48"/>
      <c r="BF140" s="48"/>
      <c r="BG140" s="48"/>
      <c r="BH140" s="48">
        <f t="shared" si="176"/>
        <v>0</v>
      </c>
      <c r="BI140" s="48"/>
      <c r="BJ140" s="48"/>
      <c r="BK140" s="48"/>
      <c r="BL140" s="48">
        <f t="shared" si="177"/>
        <v>0</v>
      </c>
      <c r="BM140" s="48"/>
      <c r="BN140" s="48"/>
      <c r="BO140" s="48"/>
      <c r="BP140" s="48">
        <f t="shared" si="178"/>
        <v>0</v>
      </c>
      <c r="BQ140" s="48"/>
      <c r="BR140" s="48"/>
      <c r="BS140" s="48"/>
      <c r="BT140" s="48">
        <f t="shared" si="179"/>
        <v>0</v>
      </c>
      <c r="BU140" s="48"/>
      <c r="BV140" s="48"/>
      <c r="BW140" s="48"/>
      <c r="BX140" s="48">
        <f t="shared" si="180"/>
        <v>0</v>
      </c>
      <c r="BY140" s="48"/>
      <c r="BZ140" s="48"/>
      <c r="CA140" s="48"/>
      <c r="CB140" s="48">
        <f t="shared" si="181"/>
        <v>0</v>
      </c>
      <c r="CC140" s="48"/>
      <c r="CD140" s="48"/>
      <c r="CE140" s="48"/>
      <c r="CF140" s="48">
        <f t="shared" si="182"/>
        <v>0</v>
      </c>
      <c r="CG140" s="48"/>
      <c r="CH140" s="48"/>
      <c r="CI140" s="48"/>
      <c r="CJ140" s="48">
        <f t="shared" si="183"/>
        <v>0</v>
      </c>
      <c r="CK140" s="48"/>
      <c r="CL140" s="48"/>
      <c r="CM140" s="48"/>
      <c r="CN140" s="48">
        <f t="shared" si="184"/>
        <v>0</v>
      </c>
      <c r="CO140" s="48"/>
      <c r="CP140" s="48"/>
      <c r="CQ140" s="48"/>
      <c r="CR140" s="48">
        <f t="shared" si="185"/>
        <v>0</v>
      </c>
      <c r="CS140" s="48"/>
      <c r="CT140" s="48"/>
      <c r="CU140" s="48"/>
      <c r="CV140" s="48">
        <f t="shared" si="186"/>
        <v>0</v>
      </c>
      <c r="CW140" s="48"/>
      <c r="CX140" s="48"/>
      <c r="CY140" s="48"/>
      <c r="CZ140" s="48">
        <f t="shared" si="187"/>
        <v>0</v>
      </c>
      <c r="DA140" s="48"/>
      <c r="DB140" s="48"/>
      <c r="DC140" s="48"/>
      <c r="DD140" s="48">
        <f t="shared" si="188"/>
        <v>0</v>
      </c>
      <c r="DE140" s="48"/>
      <c r="DF140" s="48"/>
      <c r="DG140" s="48"/>
      <c r="DH140" s="48">
        <f t="shared" si="189"/>
        <v>0</v>
      </c>
      <c r="DI140" s="48"/>
      <c r="DJ140" s="48"/>
      <c r="DK140" s="48"/>
      <c r="DL140" s="48">
        <f t="shared" si="190"/>
        <v>0</v>
      </c>
      <c r="DM140" s="48"/>
      <c r="DN140" s="48"/>
      <c r="DO140" s="48"/>
      <c r="DP140" s="48">
        <f t="shared" si="191"/>
        <v>0</v>
      </c>
      <c r="DQ140" s="48"/>
      <c r="DR140" s="48"/>
      <c r="DS140" s="48"/>
      <c r="DT140" s="48">
        <f t="shared" si="192"/>
        <v>0</v>
      </c>
      <c r="DU140" s="48"/>
      <c r="DV140" s="48"/>
      <c r="DW140" s="48"/>
      <c r="DX140" s="48">
        <f t="shared" si="193"/>
        <v>0</v>
      </c>
      <c r="DY140" s="48">
        <f t="shared" si="194"/>
        <v>21980</v>
      </c>
      <c r="DZ140" s="48">
        <f t="shared" si="195"/>
        <v>74</v>
      </c>
      <c r="EA140" s="14">
        <f>D140*'MASTER SHEET'!D140</f>
        <v>0</v>
      </c>
      <c r="EB140" s="14">
        <f>H140*'MASTER SHEET'!D140</f>
        <v>0</v>
      </c>
      <c r="EC140" s="14">
        <f>L140*'MASTER SHEET'!D140</f>
        <v>0</v>
      </c>
      <c r="ED140" s="14">
        <f>P140*'MASTER SHEET'!D140</f>
        <v>0</v>
      </c>
      <c r="EE140" s="14">
        <f>T140*'MASTER SHEET'!D140</f>
        <v>0</v>
      </c>
      <c r="EF140" s="14">
        <f>X140*'MASTER SHEET'!D140</f>
        <v>0</v>
      </c>
      <c r="EG140" s="14">
        <f>AB140*'MASTER SHEET'!D140</f>
        <v>0</v>
      </c>
      <c r="EH140" s="14">
        <f>AF140*'MASTER SHEET'!D140</f>
        <v>0</v>
      </c>
      <c r="EI140" s="14">
        <f>AJ140*'MASTER SHEET'!D140</f>
        <v>0</v>
      </c>
      <c r="EJ140" s="14">
        <f>AN140*'MASTER SHEET'!D140</f>
        <v>0</v>
      </c>
      <c r="EK140" s="14">
        <f>AR140*'MASTER SHEET'!D140</f>
        <v>0</v>
      </c>
      <c r="EL140" s="14">
        <f>AV140*'MASTER SHEET'!D140</f>
        <v>0</v>
      </c>
      <c r="EM140" s="14">
        <f>AZ140*'MASTER SHEET'!D140</f>
        <v>0</v>
      </c>
      <c r="EN140" s="14">
        <f>BD140*'MASTER SHEET'!D140</f>
        <v>0</v>
      </c>
      <c r="EO140" s="14">
        <f>BH140*'MASTER SHEET'!D140</f>
        <v>0</v>
      </c>
      <c r="EP140" s="14">
        <f>BL140*'MASTER SHEET'!D140</f>
        <v>0</v>
      </c>
      <c r="EQ140" s="14">
        <f>BP140*'MASTER SHEET'!D140</f>
        <v>0</v>
      </c>
      <c r="ER140" s="14">
        <f>BT140*'MASTER SHEET'!D140</f>
        <v>0</v>
      </c>
      <c r="ES140" s="14">
        <f>BX140*'MASTER SHEET'!D140</f>
        <v>0</v>
      </c>
      <c r="ET140" s="21">
        <f>CB140*'MASTER SHEET'!D140</f>
        <v>0</v>
      </c>
      <c r="EU140" s="14">
        <f>CF140*'MASTER SHEET'!D140</f>
        <v>0</v>
      </c>
      <c r="EV140" s="14">
        <f>CJ140*'MASTER SHEET'!D140</f>
        <v>0</v>
      </c>
      <c r="EW140" s="14">
        <f>CN140*'MASTER SHEET'!D140</f>
        <v>0</v>
      </c>
      <c r="EX140" s="14">
        <f>CR140*'MASTER SHEET'!D140</f>
        <v>0</v>
      </c>
      <c r="EY140" s="14">
        <f>CR140*'MASTER SHEET'!D140</f>
        <v>0</v>
      </c>
      <c r="EZ140" s="14">
        <f>CV140*'MASTER SHEET'!D140</f>
        <v>0</v>
      </c>
      <c r="FA140" s="14">
        <f>CZ140*'MASTER SHEET'!D140</f>
        <v>0</v>
      </c>
      <c r="FB140" s="14">
        <f>DD140*'MASTER SHEET'!D140</f>
        <v>0</v>
      </c>
    </row>
    <row r="141" spans="1:158" ht="18.75" customHeight="1" x14ac:dyDescent="0.25">
      <c r="A141" s="43">
        <f>'MASTER SHEET'!A141</f>
        <v>139</v>
      </c>
      <c r="B141" s="49" t="str">
        <f>'MASTER SHEET'!B141</f>
        <v>W601 HOUSING FOR PUSH PUSH</v>
      </c>
      <c r="C141" s="86" t="str">
        <f>'MASTER SHEET'!C141</f>
        <v>BB00004913</v>
      </c>
      <c r="D141" s="51"/>
      <c r="E141" s="48">
        <v>836</v>
      </c>
      <c r="F141" s="48">
        <v>822</v>
      </c>
      <c r="G141" s="48">
        <v>14</v>
      </c>
      <c r="H141" s="48">
        <f t="shared" si="163"/>
        <v>0</v>
      </c>
      <c r="I141" s="28"/>
      <c r="J141" s="28"/>
      <c r="K141" s="65"/>
      <c r="L141" s="48">
        <f t="shared" si="164"/>
        <v>0</v>
      </c>
      <c r="M141" s="48"/>
      <c r="N141" s="48"/>
      <c r="O141" s="48"/>
      <c r="P141" s="48">
        <f t="shared" si="165"/>
        <v>0</v>
      </c>
      <c r="Q141" s="48"/>
      <c r="R141" s="48"/>
      <c r="S141" s="48"/>
      <c r="T141" s="48">
        <f t="shared" si="166"/>
        <v>0</v>
      </c>
      <c r="U141" s="48">
        <v>0</v>
      </c>
      <c r="V141" s="48"/>
      <c r="W141" s="48"/>
      <c r="X141" s="48">
        <f t="shared" si="167"/>
        <v>0</v>
      </c>
      <c r="Y141" s="48"/>
      <c r="Z141" s="48"/>
      <c r="AA141" s="48"/>
      <c r="AB141" s="48">
        <f t="shared" si="168"/>
        <v>0</v>
      </c>
      <c r="AC141" s="48"/>
      <c r="AD141" s="48"/>
      <c r="AE141" s="48"/>
      <c r="AF141" s="48">
        <f t="shared" si="169"/>
        <v>0</v>
      </c>
      <c r="AG141" s="48"/>
      <c r="AH141" s="48"/>
      <c r="AI141" s="48"/>
      <c r="AJ141" s="48">
        <f t="shared" si="170"/>
        <v>0</v>
      </c>
      <c r="AK141" s="48"/>
      <c r="AL141" s="48"/>
      <c r="AM141" s="48"/>
      <c r="AN141" s="48">
        <f t="shared" si="171"/>
        <v>0</v>
      </c>
      <c r="AO141" s="48"/>
      <c r="AP141" s="48"/>
      <c r="AQ141" s="48"/>
      <c r="AR141" s="48">
        <f t="shared" si="172"/>
        <v>0</v>
      </c>
      <c r="AS141" s="48"/>
      <c r="AT141" s="48"/>
      <c r="AU141" s="48"/>
      <c r="AV141" s="48">
        <f t="shared" si="173"/>
        <v>0</v>
      </c>
      <c r="AW141" s="48"/>
      <c r="AX141" s="48"/>
      <c r="AY141" s="48"/>
      <c r="AZ141" s="48">
        <f t="shared" si="174"/>
        <v>0</v>
      </c>
      <c r="BA141" s="48"/>
      <c r="BB141" s="48"/>
      <c r="BC141" s="48"/>
      <c r="BD141" s="48">
        <f t="shared" si="175"/>
        <v>0</v>
      </c>
      <c r="BE141" s="48"/>
      <c r="BF141" s="48"/>
      <c r="BG141" s="48"/>
      <c r="BH141" s="48">
        <f t="shared" si="176"/>
        <v>0</v>
      </c>
      <c r="BI141" s="48"/>
      <c r="BJ141" s="48"/>
      <c r="BK141" s="48"/>
      <c r="BL141" s="48">
        <f t="shared" si="177"/>
        <v>0</v>
      </c>
      <c r="BM141" s="48"/>
      <c r="BN141" s="48"/>
      <c r="BO141" s="48"/>
      <c r="BP141" s="48">
        <f t="shared" si="178"/>
        <v>0</v>
      </c>
      <c r="BQ141" s="48"/>
      <c r="BR141" s="48"/>
      <c r="BS141" s="48"/>
      <c r="BT141" s="48">
        <f t="shared" si="179"/>
        <v>0</v>
      </c>
      <c r="BU141" s="48"/>
      <c r="BV141" s="48"/>
      <c r="BW141" s="48"/>
      <c r="BX141" s="48">
        <f t="shared" si="180"/>
        <v>0</v>
      </c>
      <c r="BY141" s="48"/>
      <c r="BZ141" s="48"/>
      <c r="CA141" s="48"/>
      <c r="CB141" s="48">
        <f t="shared" si="181"/>
        <v>0</v>
      </c>
      <c r="CC141" s="48">
        <v>814</v>
      </c>
      <c r="CD141" s="48">
        <v>789</v>
      </c>
      <c r="CE141" s="48">
        <v>25</v>
      </c>
      <c r="CF141" s="48">
        <f t="shared" si="182"/>
        <v>0</v>
      </c>
      <c r="CG141" s="48">
        <v>3442</v>
      </c>
      <c r="CH141" s="48">
        <v>3430</v>
      </c>
      <c r="CI141" s="48">
        <v>12</v>
      </c>
      <c r="CJ141" s="48">
        <f t="shared" si="183"/>
        <v>0</v>
      </c>
      <c r="CK141" s="48">
        <v>1320</v>
      </c>
      <c r="CL141" s="48">
        <v>1314</v>
      </c>
      <c r="CM141" s="48">
        <v>6</v>
      </c>
      <c r="CN141" s="48">
        <f t="shared" si="184"/>
        <v>0</v>
      </c>
      <c r="CO141" s="48">
        <v>2842</v>
      </c>
      <c r="CP141" s="48">
        <v>2812</v>
      </c>
      <c r="CQ141" s="48">
        <v>30</v>
      </c>
      <c r="CR141" s="48">
        <f t="shared" si="185"/>
        <v>0</v>
      </c>
      <c r="CS141" s="48">
        <v>314</v>
      </c>
      <c r="CT141" s="48">
        <v>314</v>
      </c>
      <c r="CU141" s="48">
        <v>0</v>
      </c>
      <c r="CV141" s="48">
        <f t="shared" si="186"/>
        <v>0</v>
      </c>
      <c r="CW141" s="48"/>
      <c r="CX141" s="48"/>
      <c r="CY141" s="48"/>
      <c r="CZ141" s="48">
        <f t="shared" si="187"/>
        <v>0</v>
      </c>
      <c r="DA141" s="48"/>
      <c r="DB141" s="48"/>
      <c r="DC141" s="48"/>
      <c r="DD141" s="48">
        <f t="shared" si="188"/>
        <v>0</v>
      </c>
      <c r="DE141" s="48"/>
      <c r="DF141" s="48"/>
      <c r="DG141" s="48"/>
      <c r="DH141" s="48">
        <f t="shared" si="189"/>
        <v>0</v>
      </c>
      <c r="DI141" s="48"/>
      <c r="DJ141" s="48"/>
      <c r="DK141" s="48"/>
      <c r="DL141" s="48">
        <f t="shared" si="190"/>
        <v>0</v>
      </c>
      <c r="DM141" s="48">
        <v>0</v>
      </c>
      <c r="DN141" s="48">
        <v>0</v>
      </c>
      <c r="DO141" s="48">
        <v>0</v>
      </c>
      <c r="DP141" s="48">
        <f t="shared" si="191"/>
        <v>0</v>
      </c>
      <c r="DQ141" s="48"/>
      <c r="DR141" s="48"/>
      <c r="DS141" s="48"/>
      <c r="DT141" s="48">
        <f t="shared" si="192"/>
        <v>0</v>
      </c>
      <c r="DU141" s="48"/>
      <c r="DV141" s="48"/>
      <c r="DW141" s="48"/>
      <c r="DX141" s="48">
        <f t="shared" si="193"/>
        <v>0</v>
      </c>
      <c r="DY141" s="48">
        <f t="shared" si="194"/>
        <v>9568</v>
      </c>
      <c r="DZ141" s="48">
        <f t="shared" si="195"/>
        <v>87</v>
      </c>
      <c r="EA141" s="14">
        <f>D141*'MASTER SHEET'!D141</f>
        <v>0</v>
      </c>
      <c r="EB141" s="14">
        <f>H141*'MASTER SHEET'!D141</f>
        <v>0</v>
      </c>
      <c r="EC141" s="14">
        <f>L141*'MASTER SHEET'!D141</f>
        <v>0</v>
      </c>
      <c r="ED141" s="14">
        <f>P141*'MASTER SHEET'!D141</f>
        <v>0</v>
      </c>
      <c r="EE141" s="14">
        <f>T141*'MASTER SHEET'!D141</f>
        <v>0</v>
      </c>
      <c r="EF141" s="14">
        <f>X141*'MASTER SHEET'!D141</f>
        <v>0</v>
      </c>
      <c r="EG141" s="14">
        <f>AB141*'MASTER SHEET'!D141</f>
        <v>0</v>
      </c>
      <c r="EH141" s="14">
        <f>AF141*'MASTER SHEET'!D141</f>
        <v>0</v>
      </c>
      <c r="EI141" s="14">
        <f>AJ141*'MASTER SHEET'!D141</f>
        <v>0</v>
      </c>
      <c r="EJ141" s="14">
        <f>AN141*'MASTER SHEET'!D141</f>
        <v>0</v>
      </c>
      <c r="EK141" s="14">
        <f>AR141*'MASTER SHEET'!D141</f>
        <v>0</v>
      </c>
      <c r="EL141" s="14">
        <f>AV141*'MASTER SHEET'!D141</f>
        <v>0</v>
      </c>
      <c r="EM141" s="14">
        <f>AZ141*'MASTER SHEET'!D141</f>
        <v>0</v>
      </c>
      <c r="EN141" s="14">
        <f>BD141*'MASTER SHEET'!D141</f>
        <v>0</v>
      </c>
      <c r="EO141" s="14">
        <f>BH141*'MASTER SHEET'!D141</f>
        <v>0</v>
      </c>
      <c r="EP141" s="14">
        <f>BL141*'MASTER SHEET'!D141</f>
        <v>0</v>
      </c>
      <c r="EQ141" s="14">
        <f>BP141*'MASTER SHEET'!D141</f>
        <v>0</v>
      </c>
      <c r="ER141" s="14">
        <f>BT141*'MASTER SHEET'!D141</f>
        <v>0</v>
      </c>
      <c r="ES141" s="14">
        <f>BX141*'MASTER SHEET'!D141</f>
        <v>0</v>
      </c>
      <c r="ET141" s="21">
        <f>CB141*'MASTER SHEET'!D141</f>
        <v>0</v>
      </c>
      <c r="EU141" s="14">
        <f>CF141*'MASTER SHEET'!D141</f>
        <v>0</v>
      </c>
      <c r="EV141" s="14">
        <f>CJ141*'MASTER SHEET'!D141</f>
        <v>0</v>
      </c>
      <c r="EW141" s="14">
        <f>CN141*'MASTER SHEET'!D141</f>
        <v>0</v>
      </c>
      <c r="EX141" s="14">
        <f>CR141*'MASTER SHEET'!D141</f>
        <v>0</v>
      </c>
      <c r="EY141" s="14">
        <f>CR141*'MASTER SHEET'!D141</f>
        <v>0</v>
      </c>
      <c r="EZ141" s="14">
        <f>CV141*'MASTER SHEET'!D141</f>
        <v>0</v>
      </c>
      <c r="FA141" s="14">
        <f>CZ141*'MASTER SHEET'!D141</f>
        <v>0</v>
      </c>
      <c r="FB141" s="14">
        <f>DD141*'MASTER SHEET'!D141</f>
        <v>0</v>
      </c>
    </row>
    <row r="142" spans="1:158" ht="18.75" customHeight="1" x14ac:dyDescent="0.25">
      <c r="A142" s="43">
        <f>'MASTER SHEET'!A142</f>
        <v>140</v>
      </c>
      <c r="B142" s="49" t="str">
        <f>'MASTER SHEET'!B142</f>
        <v>W601 HOUSING SEAL LH</v>
      </c>
      <c r="C142" s="86" t="str">
        <f>'MASTER SHEET'!C142</f>
        <v>BB00005299</v>
      </c>
      <c r="D142" s="51"/>
      <c r="E142" s="48">
        <v>1355</v>
      </c>
      <c r="F142" s="48">
        <v>1352</v>
      </c>
      <c r="G142" s="48">
        <v>3</v>
      </c>
      <c r="H142" s="48">
        <f t="shared" si="163"/>
        <v>0</v>
      </c>
      <c r="I142" s="48">
        <v>2968</v>
      </c>
      <c r="J142" s="48">
        <v>2968</v>
      </c>
      <c r="K142" s="48">
        <v>0</v>
      </c>
      <c r="L142" s="48">
        <f t="shared" si="164"/>
        <v>0</v>
      </c>
      <c r="M142" s="48"/>
      <c r="N142" s="48"/>
      <c r="O142" s="48"/>
      <c r="P142" s="48">
        <f t="shared" si="165"/>
        <v>0</v>
      </c>
      <c r="Q142" s="48">
        <v>2915</v>
      </c>
      <c r="R142" s="48">
        <v>2905</v>
      </c>
      <c r="S142" s="48">
        <v>10</v>
      </c>
      <c r="T142" s="48">
        <f t="shared" si="166"/>
        <v>0</v>
      </c>
      <c r="U142" s="48">
        <v>3284</v>
      </c>
      <c r="V142" s="48">
        <v>3281</v>
      </c>
      <c r="W142" s="48">
        <v>3</v>
      </c>
      <c r="X142" s="48">
        <f t="shared" si="167"/>
        <v>0</v>
      </c>
      <c r="Y142" s="48">
        <v>1669</v>
      </c>
      <c r="Z142" s="48">
        <v>1669</v>
      </c>
      <c r="AA142" s="48">
        <v>0</v>
      </c>
      <c r="AB142" s="48">
        <f t="shared" si="168"/>
        <v>0</v>
      </c>
      <c r="AC142" s="48"/>
      <c r="AD142" s="48"/>
      <c r="AE142" s="48"/>
      <c r="AF142" s="48">
        <f t="shared" si="169"/>
        <v>0</v>
      </c>
      <c r="AG142" s="48"/>
      <c r="AH142" s="48"/>
      <c r="AI142" s="48"/>
      <c r="AJ142" s="48">
        <f t="shared" si="170"/>
        <v>0</v>
      </c>
      <c r="AK142" s="48"/>
      <c r="AL142" s="48"/>
      <c r="AM142" s="48"/>
      <c r="AN142" s="48">
        <f t="shared" si="171"/>
        <v>0</v>
      </c>
      <c r="AO142" s="48">
        <v>3201</v>
      </c>
      <c r="AP142" s="48">
        <v>3196</v>
      </c>
      <c r="AQ142" s="48">
        <v>5</v>
      </c>
      <c r="AR142" s="48">
        <f t="shared" si="172"/>
        <v>0</v>
      </c>
      <c r="AS142" s="48">
        <v>3214</v>
      </c>
      <c r="AT142" s="48">
        <v>3206</v>
      </c>
      <c r="AU142" s="48">
        <v>8</v>
      </c>
      <c r="AV142" s="48">
        <f t="shared" si="173"/>
        <v>0</v>
      </c>
      <c r="AW142" s="48"/>
      <c r="AX142" s="48"/>
      <c r="AY142" s="48"/>
      <c r="AZ142" s="48">
        <f t="shared" si="174"/>
        <v>0</v>
      </c>
      <c r="BA142" s="48">
        <v>1451</v>
      </c>
      <c r="BB142" s="48">
        <v>1447</v>
      </c>
      <c r="BC142" s="48">
        <v>4</v>
      </c>
      <c r="BD142" s="48">
        <f t="shared" si="175"/>
        <v>0</v>
      </c>
      <c r="BE142" s="48">
        <v>2869</v>
      </c>
      <c r="BF142" s="48">
        <v>2834</v>
      </c>
      <c r="BG142" s="48">
        <v>35</v>
      </c>
      <c r="BH142" s="48">
        <f t="shared" si="176"/>
        <v>0</v>
      </c>
      <c r="BI142" s="48">
        <v>859</v>
      </c>
      <c r="BJ142" s="48">
        <v>849</v>
      </c>
      <c r="BK142" s="48">
        <v>10</v>
      </c>
      <c r="BL142" s="48">
        <f t="shared" si="177"/>
        <v>0</v>
      </c>
      <c r="BM142" s="48"/>
      <c r="BN142" s="48"/>
      <c r="BO142" s="48"/>
      <c r="BP142" s="48">
        <f t="shared" si="178"/>
        <v>0</v>
      </c>
      <c r="BQ142" s="48"/>
      <c r="BR142" s="48"/>
      <c r="BS142" s="48"/>
      <c r="BT142" s="48">
        <f t="shared" si="179"/>
        <v>0</v>
      </c>
      <c r="BU142" s="48"/>
      <c r="BV142" s="48"/>
      <c r="BW142" s="48"/>
      <c r="BX142" s="48">
        <f t="shared" si="180"/>
        <v>0</v>
      </c>
      <c r="BY142" s="48"/>
      <c r="BZ142" s="48"/>
      <c r="CA142" s="48"/>
      <c r="CB142" s="48">
        <f t="shared" si="181"/>
        <v>0</v>
      </c>
      <c r="CC142" s="48"/>
      <c r="CD142" s="48"/>
      <c r="CE142" s="48"/>
      <c r="CF142" s="48">
        <f t="shared" si="182"/>
        <v>0</v>
      </c>
      <c r="CG142" s="48"/>
      <c r="CH142" s="48"/>
      <c r="CI142" s="48"/>
      <c r="CJ142" s="48">
        <f t="shared" si="183"/>
        <v>0</v>
      </c>
      <c r="CK142" s="48">
        <v>3000</v>
      </c>
      <c r="CL142" s="48">
        <v>2990</v>
      </c>
      <c r="CM142" s="48">
        <v>10</v>
      </c>
      <c r="CN142" s="48">
        <f t="shared" si="184"/>
        <v>0</v>
      </c>
      <c r="CO142" s="48">
        <v>655</v>
      </c>
      <c r="CP142" s="48">
        <v>655</v>
      </c>
      <c r="CQ142" s="48">
        <v>0</v>
      </c>
      <c r="CR142" s="48">
        <f t="shared" si="185"/>
        <v>0</v>
      </c>
      <c r="CS142" s="48"/>
      <c r="CT142" s="48"/>
      <c r="CU142" s="48"/>
      <c r="CV142" s="48">
        <f t="shared" si="186"/>
        <v>0</v>
      </c>
      <c r="CW142" s="48"/>
      <c r="CX142" s="48"/>
      <c r="CY142" s="48"/>
      <c r="CZ142" s="48">
        <f t="shared" si="187"/>
        <v>0</v>
      </c>
      <c r="DA142" s="48"/>
      <c r="DB142" s="48"/>
      <c r="DC142" s="48"/>
      <c r="DD142" s="48">
        <f t="shared" si="188"/>
        <v>0</v>
      </c>
      <c r="DE142" s="48"/>
      <c r="DF142" s="48"/>
      <c r="DG142" s="48"/>
      <c r="DH142" s="48">
        <f t="shared" si="189"/>
        <v>0</v>
      </c>
      <c r="DI142" s="48">
        <v>334</v>
      </c>
      <c r="DJ142" s="48">
        <v>327</v>
      </c>
      <c r="DK142" s="48">
        <v>7</v>
      </c>
      <c r="DL142" s="48">
        <f t="shared" si="190"/>
        <v>0</v>
      </c>
      <c r="DM142" s="48">
        <v>1869</v>
      </c>
      <c r="DN142" s="48">
        <v>1865</v>
      </c>
      <c r="DO142" s="48">
        <v>4</v>
      </c>
      <c r="DP142" s="48">
        <f t="shared" si="191"/>
        <v>0</v>
      </c>
      <c r="DQ142" s="48"/>
      <c r="DR142" s="48"/>
      <c r="DS142" s="48"/>
      <c r="DT142" s="48">
        <f t="shared" si="192"/>
        <v>0</v>
      </c>
      <c r="DU142" s="48"/>
      <c r="DV142" s="48"/>
      <c r="DW142" s="48"/>
      <c r="DX142" s="48">
        <f t="shared" si="193"/>
        <v>0</v>
      </c>
      <c r="DY142" s="48">
        <f t="shared" si="194"/>
        <v>29643</v>
      </c>
      <c r="DZ142" s="48">
        <f t="shared" si="195"/>
        <v>99</v>
      </c>
      <c r="EA142" s="14">
        <f>D142*'MASTER SHEET'!D142</f>
        <v>0</v>
      </c>
      <c r="EB142" s="14">
        <f>H142*'MASTER SHEET'!D142</f>
        <v>0</v>
      </c>
      <c r="EC142" s="14">
        <f>L142*'MASTER SHEET'!D142</f>
        <v>0</v>
      </c>
      <c r="ED142" s="14">
        <f>P142*'MASTER SHEET'!D142</f>
        <v>0</v>
      </c>
      <c r="EE142" s="14">
        <f>T142*'MASTER SHEET'!D142</f>
        <v>0</v>
      </c>
      <c r="EF142" s="14">
        <f>X142*'MASTER SHEET'!D142</f>
        <v>0</v>
      </c>
      <c r="EG142" s="14">
        <f>AB142*'MASTER SHEET'!D142</f>
        <v>0</v>
      </c>
      <c r="EH142" s="14">
        <f>AF142*'MASTER SHEET'!D142</f>
        <v>0</v>
      </c>
      <c r="EI142" s="14">
        <f>AJ142*'MASTER SHEET'!D142</f>
        <v>0</v>
      </c>
      <c r="EJ142" s="14">
        <f>AN142*'MASTER SHEET'!D142</f>
        <v>0</v>
      </c>
      <c r="EK142" s="14">
        <f>AR142*'MASTER SHEET'!D142</f>
        <v>0</v>
      </c>
      <c r="EL142" s="14">
        <f>AV142*'MASTER SHEET'!D142</f>
        <v>0</v>
      </c>
      <c r="EM142" s="14">
        <f>AZ142*'MASTER SHEET'!D142</f>
        <v>0</v>
      </c>
      <c r="EN142" s="14">
        <f>BD142*'MASTER SHEET'!D142</f>
        <v>0</v>
      </c>
      <c r="EO142" s="14">
        <f>BH142*'MASTER SHEET'!D142</f>
        <v>0</v>
      </c>
      <c r="EP142" s="14">
        <f>BL142*'MASTER SHEET'!D142</f>
        <v>0</v>
      </c>
      <c r="EQ142" s="14">
        <f>BP142*'MASTER SHEET'!D142</f>
        <v>0</v>
      </c>
      <c r="ER142" s="14">
        <f>BT142*'MASTER SHEET'!D142</f>
        <v>0</v>
      </c>
      <c r="ES142" s="14">
        <f>BX142*'MASTER SHEET'!D142</f>
        <v>0</v>
      </c>
      <c r="ET142" s="21">
        <f>CB142*'MASTER SHEET'!D142</f>
        <v>0</v>
      </c>
      <c r="EU142" s="14">
        <f>CF142*'MASTER SHEET'!D142</f>
        <v>0</v>
      </c>
      <c r="EV142" s="14">
        <f>CJ142*'MASTER SHEET'!D142</f>
        <v>0</v>
      </c>
      <c r="EW142" s="14">
        <f>CN142*'MASTER SHEET'!D142</f>
        <v>0</v>
      </c>
      <c r="EX142" s="14">
        <f>CR142*'MASTER SHEET'!D142</f>
        <v>0</v>
      </c>
      <c r="EY142" s="14">
        <f>CR142*'MASTER SHEET'!D142</f>
        <v>0</v>
      </c>
      <c r="EZ142" s="14">
        <f>CV142*'MASTER SHEET'!D142</f>
        <v>0</v>
      </c>
      <c r="FA142" s="14">
        <f>CZ142*'MASTER SHEET'!D142</f>
        <v>0</v>
      </c>
      <c r="FB142" s="14">
        <f>DD142*'MASTER SHEET'!D142</f>
        <v>0</v>
      </c>
    </row>
    <row r="143" spans="1:158" ht="18.75" customHeight="1" x14ac:dyDescent="0.25">
      <c r="A143" s="43">
        <f>'MASTER SHEET'!A143</f>
        <v>141</v>
      </c>
      <c r="B143" s="49" t="str">
        <f>'MASTER SHEET'!B143</f>
        <v>W601 HOUSING SEAL RH</v>
      </c>
      <c r="C143" s="86" t="str">
        <f>'MASTER SHEET'!C143</f>
        <v>BC00005292</v>
      </c>
      <c r="D143" s="51"/>
      <c r="E143" s="48">
        <v>1355</v>
      </c>
      <c r="F143" s="48">
        <v>1352</v>
      </c>
      <c r="G143" s="48">
        <v>3</v>
      </c>
      <c r="H143" s="48">
        <f t="shared" si="163"/>
        <v>0</v>
      </c>
      <c r="I143" s="48">
        <v>2968</v>
      </c>
      <c r="J143" s="48">
        <v>2968</v>
      </c>
      <c r="K143" s="48">
        <v>0</v>
      </c>
      <c r="L143" s="48">
        <f t="shared" si="164"/>
        <v>0</v>
      </c>
      <c r="M143" s="48"/>
      <c r="N143" s="48"/>
      <c r="O143" s="48"/>
      <c r="P143" s="48">
        <f t="shared" si="165"/>
        <v>0</v>
      </c>
      <c r="Q143" s="48">
        <v>2915</v>
      </c>
      <c r="R143" s="48">
        <v>2905</v>
      </c>
      <c r="S143" s="48">
        <v>10</v>
      </c>
      <c r="T143" s="48">
        <f t="shared" si="166"/>
        <v>0</v>
      </c>
      <c r="U143" s="48">
        <v>3284</v>
      </c>
      <c r="V143" s="48">
        <v>3281</v>
      </c>
      <c r="W143" s="48">
        <v>3</v>
      </c>
      <c r="X143" s="48">
        <f t="shared" si="167"/>
        <v>0</v>
      </c>
      <c r="Y143" s="48">
        <v>1669</v>
      </c>
      <c r="Z143" s="48">
        <v>1669</v>
      </c>
      <c r="AA143" s="48">
        <v>0</v>
      </c>
      <c r="AB143" s="48">
        <f t="shared" si="168"/>
        <v>0</v>
      </c>
      <c r="AC143" s="48"/>
      <c r="AD143" s="48"/>
      <c r="AE143" s="48"/>
      <c r="AF143" s="48">
        <f t="shared" si="169"/>
        <v>0</v>
      </c>
      <c r="AG143" s="48"/>
      <c r="AH143" s="48"/>
      <c r="AI143" s="48"/>
      <c r="AJ143" s="48">
        <f t="shared" si="170"/>
        <v>0</v>
      </c>
      <c r="AK143" s="48"/>
      <c r="AL143" s="48"/>
      <c r="AM143" s="48"/>
      <c r="AN143" s="48">
        <f t="shared" si="171"/>
        <v>0</v>
      </c>
      <c r="AO143" s="48">
        <v>3201</v>
      </c>
      <c r="AP143" s="48">
        <v>3196</v>
      </c>
      <c r="AQ143" s="48">
        <v>5</v>
      </c>
      <c r="AR143" s="48">
        <f t="shared" si="172"/>
        <v>0</v>
      </c>
      <c r="AS143" s="48">
        <v>3214</v>
      </c>
      <c r="AT143" s="48">
        <v>3206</v>
      </c>
      <c r="AU143" s="48">
        <v>8</v>
      </c>
      <c r="AV143" s="48">
        <f t="shared" si="173"/>
        <v>0</v>
      </c>
      <c r="AW143" s="48"/>
      <c r="AX143" s="48"/>
      <c r="AY143" s="48"/>
      <c r="AZ143" s="48">
        <f t="shared" si="174"/>
        <v>0</v>
      </c>
      <c r="BA143" s="48">
        <v>1451</v>
      </c>
      <c r="BB143" s="48">
        <v>1447</v>
      </c>
      <c r="BC143" s="48">
        <v>4</v>
      </c>
      <c r="BD143" s="48">
        <f t="shared" si="175"/>
        <v>0</v>
      </c>
      <c r="BE143" s="48">
        <v>2869</v>
      </c>
      <c r="BF143" s="48">
        <v>2834</v>
      </c>
      <c r="BG143" s="48">
        <v>35</v>
      </c>
      <c r="BH143" s="48">
        <f t="shared" si="176"/>
        <v>0</v>
      </c>
      <c r="BI143" s="48">
        <v>859</v>
      </c>
      <c r="BJ143" s="48">
        <v>849</v>
      </c>
      <c r="BK143" s="48">
        <v>10</v>
      </c>
      <c r="BL143" s="48">
        <f t="shared" si="177"/>
        <v>0</v>
      </c>
      <c r="BM143" s="48"/>
      <c r="BN143" s="48"/>
      <c r="BO143" s="48"/>
      <c r="BP143" s="48">
        <f t="shared" si="178"/>
        <v>0</v>
      </c>
      <c r="BQ143" s="48"/>
      <c r="BR143" s="48"/>
      <c r="BS143" s="48"/>
      <c r="BT143" s="48">
        <f t="shared" si="179"/>
        <v>0</v>
      </c>
      <c r="BU143" s="48"/>
      <c r="BV143" s="48"/>
      <c r="BW143" s="48"/>
      <c r="BX143" s="48">
        <f t="shared" si="180"/>
        <v>0</v>
      </c>
      <c r="BY143" s="48"/>
      <c r="BZ143" s="48"/>
      <c r="CA143" s="48"/>
      <c r="CB143" s="48">
        <f t="shared" si="181"/>
        <v>0</v>
      </c>
      <c r="CC143" s="48"/>
      <c r="CD143" s="48"/>
      <c r="CE143" s="48"/>
      <c r="CF143" s="48">
        <f t="shared" si="182"/>
        <v>0</v>
      </c>
      <c r="CG143" s="48"/>
      <c r="CH143" s="48"/>
      <c r="CI143" s="48"/>
      <c r="CJ143" s="48">
        <f t="shared" si="183"/>
        <v>0</v>
      </c>
      <c r="CK143" s="48"/>
      <c r="CL143" s="48"/>
      <c r="CM143" s="48"/>
      <c r="CN143" s="48">
        <f t="shared" si="184"/>
        <v>0</v>
      </c>
      <c r="CO143" s="48">
        <v>655</v>
      </c>
      <c r="CP143" s="48">
        <v>655</v>
      </c>
      <c r="CQ143" s="48">
        <v>0</v>
      </c>
      <c r="CR143" s="48">
        <f t="shared" si="185"/>
        <v>0</v>
      </c>
      <c r="CS143" s="48"/>
      <c r="CT143" s="48"/>
      <c r="CU143" s="48"/>
      <c r="CV143" s="48">
        <f t="shared" si="186"/>
        <v>0</v>
      </c>
      <c r="CW143" s="48"/>
      <c r="CX143" s="48"/>
      <c r="CY143" s="48"/>
      <c r="CZ143" s="48">
        <f t="shared" si="187"/>
        <v>0</v>
      </c>
      <c r="DA143" s="48"/>
      <c r="DB143" s="48"/>
      <c r="DC143" s="48"/>
      <c r="DD143" s="48">
        <f t="shared" si="188"/>
        <v>0</v>
      </c>
      <c r="DE143" s="48"/>
      <c r="DF143" s="48"/>
      <c r="DG143" s="48"/>
      <c r="DH143" s="48">
        <f t="shared" si="189"/>
        <v>0</v>
      </c>
      <c r="DI143" s="48">
        <v>334</v>
      </c>
      <c r="DJ143" s="48">
        <v>327</v>
      </c>
      <c r="DK143" s="48">
        <v>7</v>
      </c>
      <c r="DL143" s="48">
        <f t="shared" si="190"/>
        <v>0</v>
      </c>
      <c r="DM143" s="48">
        <v>1869</v>
      </c>
      <c r="DN143" s="48">
        <v>1865</v>
      </c>
      <c r="DO143" s="48">
        <v>4</v>
      </c>
      <c r="DP143" s="48">
        <f t="shared" si="191"/>
        <v>0</v>
      </c>
      <c r="DQ143" s="48"/>
      <c r="DR143" s="48"/>
      <c r="DS143" s="48"/>
      <c r="DT143" s="48">
        <f t="shared" si="192"/>
        <v>0</v>
      </c>
      <c r="DU143" s="48"/>
      <c r="DV143" s="48"/>
      <c r="DW143" s="48"/>
      <c r="DX143" s="48">
        <f t="shared" si="193"/>
        <v>0</v>
      </c>
      <c r="DY143" s="48">
        <f t="shared" si="194"/>
        <v>26643</v>
      </c>
      <c r="DZ143" s="48">
        <f t="shared" si="195"/>
        <v>89</v>
      </c>
      <c r="EA143" s="14">
        <f>D143*'MASTER SHEET'!D143</f>
        <v>0</v>
      </c>
      <c r="EB143" s="14">
        <f>H143*'MASTER SHEET'!D143</f>
        <v>0</v>
      </c>
      <c r="EC143" s="14">
        <f>L143*'MASTER SHEET'!D143</f>
        <v>0</v>
      </c>
      <c r="ED143" s="14">
        <f>P143*'MASTER SHEET'!D143</f>
        <v>0</v>
      </c>
      <c r="EE143" s="14">
        <f>T143*'MASTER SHEET'!D143</f>
        <v>0</v>
      </c>
      <c r="EF143" s="14">
        <f>X143*'MASTER SHEET'!D143</f>
        <v>0</v>
      </c>
      <c r="EG143" s="14">
        <f>AB143*'MASTER SHEET'!D143</f>
        <v>0</v>
      </c>
      <c r="EH143" s="14">
        <f>AF143*'MASTER SHEET'!D143</f>
        <v>0</v>
      </c>
      <c r="EI143" s="14">
        <f>AJ143*'MASTER SHEET'!D143</f>
        <v>0</v>
      </c>
      <c r="EJ143" s="14">
        <f>AN143*'MASTER SHEET'!D143</f>
        <v>0</v>
      </c>
      <c r="EK143" s="14">
        <f>AR143*'MASTER SHEET'!D143</f>
        <v>0</v>
      </c>
      <c r="EL143" s="14">
        <f>AV143*'MASTER SHEET'!D143</f>
        <v>0</v>
      </c>
      <c r="EM143" s="14">
        <f>AZ143*'MASTER SHEET'!D143</f>
        <v>0</v>
      </c>
      <c r="EN143" s="14">
        <f>BD143*'MASTER SHEET'!D143</f>
        <v>0</v>
      </c>
      <c r="EO143" s="14">
        <f>BH143*'MASTER SHEET'!D143</f>
        <v>0</v>
      </c>
      <c r="EP143" s="14">
        <f>BL143*'MASTER SHEET'!D143</f>
        <v>0</v>
      </c>
      <c r="EQ143" s="14">
        <f>BP143*'MASTER SHEET'!D143</f>
        <v>0</v>
      </c>
      <c r="ER143" s="14">
        <f>BT143*'MASTER SHEET'!D143</f>
        <v>0</v>
      </c>
      <c r="ES143" s="14">
        <f>BX143*'MASTER SHEET'!D143</f>
        <v>0</v>
      </c>
      <c r="ET143" s="21">
        <f>CB143*'MASTER SHEET'!D143</f>
        <v>0</v>
      </c>
      <c r="EU143" s="14">
        <f>CF143*'MASTER SHEET'!D143</f>
        <v>0</v>
      </c>
      <c r="EV143" s="14">
        <f>CJ143*'MASTER SHEET'!D143</f>
        <v>0</v>
      </c>
      <c r="EW143" s="14">
        <f>CN143*'MASTER SHEET'!D143</f>
        <v>0</v>
      </c>
      <c r="EX143" s="14">
        <f>CR143*'MASTER SHEET'!D143</f>
        <v>0</v>
      </c>
      <c r="EY143" s="14">
        <f>CR143*'MASTER SHEET'!D143</f>
        <v>0</v>
      </c>
      <c r="EZ143" s="14">
        <f>CV143*'MASTER SHEET'!D143</f>
        <v>0</v>
      </c>
      <c r="FA143" s="14">
        <f>CZ143*'MASTER SHEET'!D143</f>
        <v>0</v>
      </c>
      <c r="FB143" s="14">
        <f>DD143*'MASTER SHEET'!D143</f>
        <v>0</v>
      </c>
    </row>
    <row r="144" spans="1:158" ht="18.75" customHeight="1" x14ac:dyDescent="0.25">
      <c r="A144" s="43">
        <f>'MASTER SHEET'!A144</f>
        <v>142</v>
      </c>
      <c r="B144" s="49" t="str">
        <f>'MASTER SHEET'!B144</f>
        <v>CLAMP BRAKE PIPE</v>
      </c>
      <c r="C144" s="86">
        <f>'MASTER SHEET'!C144</f>
        <v>62598</v>
      </c>
      <c r="D144" s="51"/>
      <c r="E144" s="48"/>
      <c r="F144" s="48"/>
      <c r="G144" s="48"/>
      <c r="H144" s="48">
        <f t="shared" si="163"/>
        <v>0</v>
      </c>
      <c r="I144" s="28"/>
      <c r="J144" s="28"/>
      <c r="K144" s="65"/>
      <c r="L144" s="48">
        <f t="shared" si="164"/>
        <v>0</v>
      </c>
      <c r="M144" s="48"/>
      <c r="N144" s="48"/>
      <c r="O144" s="48"/>
      <c r="P144" s="48">
        <f t="shared" si="165"/>
        <v>0</v>
      </c>
      <c r="Q144" s="48"/>
      <c r="R144" s="48"/>
      <c r="S144" s="48"/>
      <c r="T144" s="48">
        <f t="shared" si="166"/>
        <v>0</v>
      </c>
      <c r="U144" s="48">
        <v>0</v>
      </c>
      <c r="V144" s="48"/>
      <c r="W144" s="48"/>
      <c r="X144" s="48">
        <f t="shared" si="167"/>
        <v>0</v>
      </c>
      <c r="Y144" s="48"/>
      <c r="Z144" s="48"/>
      <c r="AA144" s="48"/>
      <c r="AB144" s="48">
        <f t="shared" si="168"/>
        <v>0</v>
      </c>
      <c r="AC144" s="48"/>
      <c r="AD144" s="48"/>
      <c r="AE144" s="48"/>
      <c r="AF144" s="48">
        <f t="shared" si="169"/>
        <v>0</v>
      </c>
      <c r="AG144" s="48"/>
      <c r="AH144" s="48"/>
      <c r="AI144" s="48"/>
      <c r="AJ144" s="48">
        <f t="shared" si="170"/>
        <v>0</v>
      </c>
      <c r="AK144" s="48"/>
      <c r="AL144" s="48"/>
      <c r="AM144" s="48"/>
      <c r="AN144" s="48">
        <f t="shared" si="171"/>
        <v>0</v>
      </c>
      <c r="AO144" s="48"/>
      <c r="AP144" s="48"/>
      <c r="AQ144" s="48"/>
      <c r="AR144" s="48">
        <f t="shared" si="172"/>
        <v>0</v>
      </c>
      <c r="AS144" s="48"/>
      <c r="AT144" s="48"/>
      <c r="AU144" s="48"/>
      <c r="AV144" s="48">
        <f t="shared" si="173"/>
        <v>0</v>
      </c>
      <c r="AW144" s="48"/>
      <c r="AX144" s="48"/>
      <c r="AY144" s="48"/>
      <c r="AZ144" s="48">
        <f t="shared" si="174"/>
        <v>0</v>
      </c>
      <c r="BA144" s="48"/>
      <c r="BB144" s="48"/>
      <c r="BC144" s="48"/>
      <c r="BD144" s="48">
        <f t="shared" si="175"/>
        <v>0</v>
      </c>
      <c r="BE144" s="48"/>
      <c r="BF144" s="48"/>
      <c r="BG144" s="48"/>
      <c r="BH144" s="48">
        <f t="shared" si="176"/>
        <v>0</v>
      </c>
      <c r="BI144" s="48"/>
      <c r="BJ144" s="48"/>
      <c r="BK144" s="48"/>
      <c r="BL144" s="48">
        <f t="shared" si="177"/>
        <v>0</v>
      </c>
      <c r="BM144" s="48"/>
      <c r="BN144" s="48"/>
      <c r="BO144" s="48"/>
      <c r="BP144" s="48">
        <f t="shared" si="178"/>
        <v>0</v>
      </c>
      <c r="BQ144" s="48"/>
      <c r="BR144" s="48"/>
      <c r="BS144" s="48"/>
      <c r="BT144" s="48">
        <f t="shared" si="179"/>
        <v>0</v>
      </c>
      <c r="BU144" s="48"/>
      <c r="BV144" s="48"/>
      <c r="BW144" s="48"/>
      <c r="BX144" s="48">
        <f t="shared" si="180"/>
        <v>0</v>
      </c>
      <c r="BY144" s="48"/>
      <c r="BZ144" s="48"/>
      <c r="CA144" s="48"/>
      <c r="CB144" s="48">
        <f t="shared" si="181"/>
        <v>0</v>
      </c>
      <c r="CC144" s="48"/>
      <c r="CD144" s="48"/>
      <c r="CE144" s="48"/>
      <c r="CF144" s="48">
        <f t="shared" si="182"/>
        <v>0</v>
      </c>
      <c r="CG144" s="48"/>
      <c r="CH144" s="48"/>
      <c r="CI144" s="48"/>
      <c r="CJ144" s="48">
        <f t="shared" si="183"/>
        <v>0</v>
      </c>
      <c r="CK144" s="48"/>
      <c r="CL144" s="48"/>
      <c r="CM144" s="48"/>
      <c r="CN144" s="48">
        <f t="shared" si="184"/>
        <v>0</v>
      </c>
      <c r="CO144" s="48"/>
      <c r="CP144" s="48"/>
      <c r="CQ144" s="48"/>
      <c r="CR144" s="48">
        <f t="shared" si="185"/>
        <v>0</v>
      </c>
      <c r="CS144" s="48"/>
      <c r="CT144" s="48"/>
      <c r="CU144" s="48"/>
      <c r="CV144" s="48">
        <f t="shared" si="186"/>
        <v>0</v>
      </c>
      <c r="CW144" s="48"/>
      <c r="CX144" s="48"/>
      <c r="CY144" s="48"/>
      <c r="CZ144" s="48">
        <f t="shared" si="187"/>
        <v>0</v>
      </c>
      <c r="DA144" s="48"/>
      <c r="DB144" s="48"/>
      <c r="DC144" s="48"/>
      <c r="DD144" s="48">
        <f t="shared" si="188"/>
        <v>0</v>
      </c>
      <c r="DE144" s="48"/>
      <c r="DF144" s="48"/>
      <c r="DG144" s="48"/>
      <c r="DH144" s="48">
        <f t="shared" si="189"/>
        <v>0</v>
      </c>
      <c r="DI144" s="48"/>
      <c r="DJ144" s="48"/>
      <c r="DK144" s="48"/>
      <c r="DL144" s="48">
        <f t="shared" si="190"/>
        <v>0</v>
      </c>
      <c r="DM144" s="48"/>
      <c r="DN144" s="48"/>
      <c r="DO144" s="48"/>
      <c r="DP144" s="48">
        <f t="shared" si="191"/>
        <v>0</v>
      </c>
      <c r="DQ144" s="48"/>
      <c r="DR144" s="48"/>
      <c r="DS144" s="48"/>
      <c r="DT144" s="48">
        <f t="shared" si="192"/>
        <v>0</v>
      </c>
      <c r="DU144" s="48"/>
      <c r="DV144" s="48"/>
      <c r="DW144" s="48"/>
      <c r="DX144" s="48">
        <f t="shared" si="193"/>
        <v>0</v>
      </c>
      <c r="DY144" s="48">
        <f t="shared" si="194"/>
        <v>0</v>
      </c>
      <c r="DZ144" s="48">
        <f t="shared" si="195"/>
        <v>0</v>
      </c>
      <c r="EA144" s="14">
        <f>D144*'MASTER SHEET'!D144</f>
        <v>0</v>
      </c>
      <c r="EB144" s="14">
        <f>H144*'MASTER SHEET'!D144</f>
        <v>0</v>
      </c>
      <c r="EC144" s="14">
        <f>L144*'MASTER SHEET'!D144</f>
        <v>0</v>
      </c>
      <c r="ED144" s="14">
        <f>P144*'MASTER SHEET'!D144</f>
        <v>0</v>
      </c>
      <c r="EE144" s="14">
        <f>T144*'MASTER SHEET'!D144</f>
        <v>0</v>
      </c>
      <c r="EF144" s="14">
        <f>X144*'MASTER SHEET'!D144</f>
        <v>0</v>
      </c>
      <c r="EG144" s="14">
        <f>AB144*'MASTER SHEET'!D144</f>
        <v>0</v>
      </c>
      <c r="EH144" s="14">
        <f>AF144*'MASTER SHEET'!D144</f>
        <v>0</v>
      </c>
      <c r="EI144" s="14">
        <f>AJ144*'MASTER SHEET'!D144</f>
        <v>0</v>
      </c>
      <c r="EJ144" s="14">
        <f>AN144*'MASTER SHEET'!D144</f>
        <v>0</v>
      </c>
      <c r="EK144" s="14">
        <f>AR144*'MASTER SHEET'!D144</f>
        <v>0</v>
      </c>
      <c r="EL144" s="14">
        <f>AV144*'MASTER SHEET'!D144</f>
        <v>0</v>
      </c>
      <c r="EM144" s="14">
        <f>AZ144*'MASTER SHEET'!D144</f>
        <v>0</v>
      </c>
      <c r="EN144" s="14">
        <f>BD144*'MASTER SHEET'!D144</f>
        <v>0</v>
      </c>
      <c r="EO144" s="14">
        <f>BH144*'MASTER SHEET'!D144</f>
        <v>0</v>
      </c>
      <c r="EP144" s="14">
        <f>BL144*'MASTER SHEET'!D144</f>
        <v>0</v>
      </c>
      <c r="EQ144" s="14">
        <f>BP144*'MASTER SHEET'!D144</f>
        <v>0</v>
      </c>
      <c r="ER144" s="14">
        <f>BT144*'MASTER SHEET'!D144</f>
        <v>0</v>
      </c>
      <c r="ES144" s="14">
        <f>BX144*'MASTER SHEET'!D144</f>
        <v>0</v>
      </c>
      <c r="ET144" s="21">
        <f>CB144*'MASTER SHEET'!D144</f>
        <v>0</v>
      </c>
      <c r="EU144" s="14">
        <f>CF144*'MASTER SHEET'!D144</f>
        <v>0</v>
      </c>
      <c r="EV144" s="14">
        <f>CJ144*'MASTER SHEET'!D144</f>
        <v>0</v>
      </c>
      <c r="EW144" s="14">
        <f>CN144*'MASTER SHEET'!D144</f>
        <v>0</v>
      </c>
      <c r="EX144" s="14">
        <f>CR144*'MASTER SHEET'!D144</f>
        <v>0</v>
      </c>
      <c r="EY144" s="14">
        <f>CR144*'MASTER SHEET'!D144</f>
        <v>0</v>
      </c>
      <c r="EZ144" s="14">
        <f>CV144*'MASTER SHEET'!D144</f>
        <v>0</v>
      </c>
      <c r="FA144" s="14">
        <f>CZ144*'MASTER SHEET'!D144</f>
        <v>0</v>
      </c>
      <c r="FB144" s="14">
        <f>DD144*'MASTER SHEET'!D144</f>
        <v>0</v>
      </c>
    </row>
    <row r="145" spans="1:158" ht="18.75" customHeight="1" x14ac:dyDescent="0.25">
      <c r="A145" s="43">
        <f>'MASTER SHEET'!A145</f>
        <v>143</v>
      </c>
      <c r="B145" s="49" t="str">
        <f>'MASTER SHEET'!B145</f>
        <v>CLAMP BRAKE PIPE</v>
      </c>
      <c r="C145" s="86">
        <f>'MASTER SHEET'!C145</f>
        <v>62129</v>
      </c>
      <c r="D145" s="51"/>
      <c r="E145" s="48"/>
      <c r="F145" s="48"/>
      <c r="G145" s="48"/>
      <c r="H145" s="48">
        <f t="shared" si="163"/>
        <v>0</v>
      </c>
      <c r="I145" s="28"/>
      <c r="J145" s="28"/>
      <c r="K145" s="65"/>
      <c r="L145" s="48">
        <f t="shared" si="164"/>
        <v>0</v>
      </c>
      <c r="M145" s="48"/>
      <c r="N145" s="48"/>
      <c r="O145" s="48"/>
      <c r="P145" s="48">
        <f t="shared" si="165"/>
        <v>0</v>
      </c>
      <c r="Q145" s="48"/>
      <c r="R145" s="48"/>
      <c r="S145" s="48"/>
      <c r="T145" s="48">
        <f t="shared" si="166"/>
        <v>0</v>
      </c>
      <c r="U145" s="48">
        <v>0</v>
      </c>
      <c r="V145" s="48"/>
      <c r="W145" s="48"/>
      <c r="X145" s="48">
        <f t="shared" si="167"/>
        <v>0</v>
      </c>
      <c r="Y145" s="48"/>
      <c r="Z145" s="48"/>
      <c r="AA145" s="48"/>
      <c r="AB145" s="48">
        <f t="shared" si="168"/>
        <v>0</v>
      </c>
      <c r="AC145" s="48"/>
      <c r="AD145" s="48"/>
      <c r="AE145" s="48"/>
      <c r="AF145" s="48">
        <f t="shared" si="169"/>
        <v>0</v>
      </c>
      <c r="AG145" s="48"/>
      <c r="AH145" s="48"/>
      <c r="AI145" s="48"/>
      <c r="AJ145" s="48">
        <f t="shared" si="170"/>
        <v>0</v>
      </c>
      <c r="AK145" s="48"/>
      <c r="AL145" s="48"/>
      <c r="AM145" s="48"/>
      <c r="AN145" s="48">
        <f t="shared" si="171"/>
        <v>0</v>
      </c>
      <c r="AO145" s="48"/>
      <c r="AP145" s="48"/>
      <c r="AQ145" s="48"/>
      <c r="AR145" s="48">
        <f t="shared" si="172"/>
        <v>0</v>
      </c>
      <c r="AS145" s="48"/>
      <c r="AT145" s="48"/>
      <c r="AU145" s="48"/>
      <c r="AV145" s="48">
        <f t="shared" si="173"/>
        <v>0</v>
      </c>
      <c r="AW145" s="48"/>
      <c r="AX145" s="48"/>
      <c r="AY145" s="48"/>
      <c r="AZ145" s="48">
        <f t="shared" si="174"/>
        <v>0</v>
      </c>
      <c r="BA145" s="48"/>
      <c r="BB145" s="48"/>
      <c r="BC145" s="48"/>
      <c r="BD145" s="48">
        <f t="shared" si="175"/>
        <v>0</v>
      </c>
      <c r="BE145" s="48"/>
      <c r="BF145" s="48"/>
      <c r="BG145" s="48"/>
      <c r="BH145" s="48">
        <f t="shared" si="176"/>
        <v>0</v>
      </c>
      <c r="BI145" s="48"/>
      <c r="BJ145" s="48"/>
      <c r="BK145" s="48"/>
      <c r="BL145" s="48">
        <f t="shared" si="177"/>
        <v>0</v>
      </c>
      <c r="BM145" s="48">
        <v>4386</v>
      </c>
      <c r="BN145" s="48">
        <v>4190</v>
      </c>
      <c r="BO145" s="48">
        <v>196</v>
      </c>
      <c r="BP145" s="48">
        <f t="shared" si="178"/>
        <v>0</v>
      </c>
      <c r="BQ145" s="48"/>
      <c r="BR145" s="48"/>
      <c r="BS145" s="48"/>
      <c r="BT145" s="48">
        <f t="shared" si="179"/>
        <v>0</v>
      </c>
      <c r="BU145" s="48"/>
      <c r="BV145" s="48"/>
      <c r="BW145" s="48"/>
      <c r="BX145" s="48">
        <f t="shared" si="180"/>
        <v>0</v>
      </c>
      <c r="BY145" s="48"/>
      <c r="BZ145" s="48"/>
      <c r="CA145" s="48"/>
      <c r="CB145" s="48">
        <f t="shared" si="181"/>
        <v>0</v>
      </c>
      <c r="CC145" s="48">
        <v>2986</v>
      </c>
      <c r="CD145" s="48">
        <v>2955</v>
      </c>
      <c r="CE145" s="48">
        <v>31</v>
      </c>
      <c r="CF145" s="48">
        <f t="shared" si="182"/>
        <v>0</v>
      </c>
      <c r="CG145" s="48">
        <v>7700</v>
      </c>
      <c r="CH145" s="48">
        <v>7698</v>
      </c>
      <c r="CI145" s="48">
        <v>2</v>
      </c>
      <c r="CJ145" s="48">
        <f t="shared" si="183"/>
        <v>0</v>
      </c>
      <c r="CK145" s="48">
        <f>3912+870</f>
        <v>4782</v>
      </c>
      <c r="CL145" s="48">
        <f>3912+870</f>
        <v>4782</v>
      </c>
      <c r="CM145" s="48"/>
      <c r="CN145" s="48">
        <f t="shared" si="184"/>
        <v>0</v>
      </c>
      <c r="CO145" s="48"/>
      <c r="CP145" s="48"/>
      <c r="CQ145" s="48"/>
      <c r="CR145" s="48">
        <f t="shared" si="185"/>
        <v>0</v>
      </c>
      <c r="CS145" s="48"/>
      <c r="CT145" s="48"/>
      <c r="CU145" s="48"/>
      <c r="CV145" s="48">
        <f t="shared" si="186"/>
        <v>0</v>
      </c>
      <c r="CW145" s="48"/>
      <c r="CX145" s="48"/>
      <c r="CY145" s="48"/>
      <c r="CZ145" s="48">
        <f t="shared" si="187"/>
        <v>0</v>
      </c>
      <c r="DA145" s="48"/>
      <c r="DB145" s="48"/>
      <c r="DC145" s="48"/>
      <c r="DD145" s="48">
        <f t="shared" si="188"/>
        <v>0</v>
      </c>
      <c r="DE145" s="48"/>
      <c r="DF145" s="48"/>
      <c r="DG145" s="48"/>
      <c r="DH145" s="48">
        <f t="shared" si="189"/>
        <v>0</v>
      </c>
      <c r="DI145" s="48"/>
      <c r="DJ145" s="48"/>
      <c r="DK145" s="48"/>
      <c r="DL145" s="48">
        <f t="shared" si="190"/>
        <v>0</v>
      </c>
      <c r="DM145" s="48"/>
      <c r="DN145" s="48"/>
      <c r="DO145" s="48"/>
      <c r="DP145" s="48">
        <f t="shared" si="191"/>
        <v>0</v>
      </c>
      <c r="DQ145" s="48"/>
      <c r="DR145" s="48"/>
      <c r="DS145" s="48"/>
      <c r="DT145" s="48">
        <f t="shared" si="192"/>
        <v>0</v>
      </c>
      <c r="DU145" s="48"/>
      <c r="DV145" s="48"/>
      <c r="DW145" s="48"/>
      <c r="DX145" s="48">
        <f t="shared" si="193"/>
        <v>0</v>
      </c>
      <c r="DY145" s="48">
        <f t="shared" si="194"/>
        <v>19854</v>
      </c>
      <c r="DZ145" s="48">
        <f t="shared" si="195"/>
        <v>229</v>
      </c>
      <c r="EA145" s="14">
        <f>D145*'MASTER SHEET'!D145</f>
        <v>0</v>
      </c>
      <c r="EB145" s="14">
        <f>H145*'MASTER SHEET'!D145</f>
        <v>0</v>
      </c>
      <c r="EC145" s="14">
        <f>L145*'MASTER SHEET'!D145</f>
        <v>0</v>
      </c>
      <c r="ED145" s="14">
        <f>P145*'MASTER SHEET'!D145</f>
        <v>0</v>
      </c>
      <c r="EE145" s="14">
        <f>T145*'MASTER SHEET'!D145</f>
        <v>0</v>
      </c>
      <c r="EF145" s="14">
        <f>X145*'MASTER SHEET'!D145</f>
        <v>0</v>
      </c>
      <c r="EG145" s="14">
        <f>AB145*'MASTER SHEET'!D145</f>
        <v>0</v>
      </c>
      <c r="EH145" s="14">
        <f>AF145*'MASTER SHEET'!D145</f>
        <v>0</v>
      </c>
      <c r="EI145" s="14">
        <f>AJ145*'MASTER SHEET'!D145</f>
        <v>0</v>
      </c>
      <c r="EJ145" s="14">
        <f>AN145*'MASTER SHEET'!D145</f>
        <v>0</v>
      </c>
      <c r="EK145" s="14">
        <f>AR145*'MASTER SHEET'!D145</f>
        <v>0</v>
      </c>
      <c r="EL145" s="14">
        <f>AV145*'MASTER SHEET'!D145</f>
        <v>0</v>
      </c>
      <c r="EM145" s="14">
        <f>AZ145*'MASTER SHEET'!D145</f>
        <v>0</v>
      </c>
      <c r="EN145" s="14">
        <f>BD145*'MASTER SHEET'!D145</f>
        <v>0</v>
      </c>
      <c r="EO145" s="14">
        <f>BH145*'MASTER SHEET'!D145</f>
        <v>0</v>
      </c>
      <c r="EP145" s="14">
        <f>BL145*'MASTER SHEET'!D145</f>
        <v>0</v>
      </c>
      <c r="EQ145" s="14">
        <f>BP145*'MASTER SHEET'!D145</f>
        <v>0</v>
      </c>
      <c r="ER145" s="14">
        <f>BT145*'MASTER SHEET'!D145</f>
        <v>0</v>
      </c>
      <c r="ES145" s="14">
        <f>BX145*'MASTER SHEET'!D145</f>
        <v>0</v>
      </c>
      <c r="ET145" s="21">
        <f>CB145*'MASTER SHEET'!D145</f>
        <v>0</v>
      </c>
      <c r="EU145" s="14">
        <f>CF145*'MASTER SHEET'!D145</f>
        <v>0</v>
      </c>
      <c r="EV145" s="14">
        <f>CJ145*'MASTER SHEET'!D145</f>
        <v>0</v>
      </c>
      <c r="EW145" s="14">
        <f>CN145*'MASTER SHEET'!D145</f>
        <v>0</v>
      </c>
      <c r="EX145" s="14">
        <f>CR145*'MASTER SHEET'!D145</f>
        <v>0</v>
      </c>
      <c r="EY145" s="14">
        <f>CR145*'MASTER SHEET'!D145</f>
        <v>0</v>
      </c>
      <c r="EZ145" s="14">
        <f>CV145*'MASTER SHEET'!D145</f>
        <v>0</v>
      </c>
      <c r="FA145" s="14">
        <f>CZ145*'MASTER SHEET'!D145</f>
        <v>0</v>
      </c>
      <c r="FB145" s="14">
        <f>DD145*'MASTER SHEET'!D145</f>
        <v>0</v>
      </c>
    </row>
    <row r="146" spans="1:158" ht="18.75" customHeight="1" x14ac:dyDescent="0.25">
      <c r="A146" s="43">
        <f>'MASTER SHEET'!A146</f>
        <v>144</v>
      </c>
      <c r="B146" s="49" t="str">
        <f>'MASTER SHEET'!B146</f>
        <v>CLAMP BK PIPE DASH TRIPLE</v>
      </c>
      <c r="C146" s="86">
        <f>'MASTER SHEET'!C146</f>
        <v>62437</v>
      </c>
      <c r="D146" s="51"/>
      <c r="E146" s="48"/>
      <c r="F146" s="48"/>
      <c r="G146" s="48"/>
      <c r="H146" s="48">
        <f t="shared" ref="H146:H162" si="196">D146+E146-F146-G146</f>
        <v>0</v>
      </c>
      <c r="I146" s="28"/>
      <c r="J146" s="28"/>
      <c r="K146" s="65"/>
      <c r="L146" s="48">
        <f t="shared" ref="L146:L162" si="197">H146+I146-J146-K146</f>
        <v>0</v>
      </c>
      <c r="M146" s="48"/>
      <c r="N146" s="48"/>
      <c r="O146" s="48"/>
      <c r="P146" s="48">
        <f t="shared" ref="P146:P162" si="198">L146+M146-N146-O146</f>
        <v>0</v>
      </c>
      <c r="Q146" s="48"/>
      <c r="R146" s="48"/>
      <c r="S146" s="48"/>
      <c r="T146" s="48">
        <f t="shared" ref="T146:T162" si="199">P146+Q146-R146-S146</f>
        <v>0</v>
      </c>
      <c r="U146" s="48">
        <v>0</v>
      </c>
      <c r="V146" s="48"/>
      <c r="W146" s="48"/>
      <c r="X146" s="48">
        <f t="shared" ref="X146:X162" si="200">T146+U146-V146-W146</f>
        <v>0</v>
      </c>
      <c r="Y146" s="48"/>
      <c r="Z146" s="48"/>
      <c r="AA146" s="48"/>
      <c r="AB146" s="48">
        <f t="shared" ref="AB146:AB162" si="201">X146+Y146-Z146-AA146</f>
        <v>0</v>
      </c>
      <c r="AC146" s="48"/>
      <c r="AD146" s="48"/>
      <c r="AE146" s="48"/>
      <c r="AF146" s="48">
        <f t="shared" ref="AF146:AF162" si="202">AB146+AC146-AD146-AE146</f>
        <v>0</v>
      </c>
      <c r="AG146" s="48"/>
      <c r="AH146" s="48"/>
      <c r="AI146" s="48"/>
      <c r="AJ146" s="48">
        <f t="shared" ref="AJ146:AJ162" si="203">AF146+AG146-AH146-AI146</f>
        <v>0</v>
      </c>
      <c r="AK146" s="48"/>
      <c r="AL146" s="48"/>
      <c r="AM146" s="48"/>
      <c r="AN146" s="48">
        <f t="shared" ref="AN146:AN162" si="204">AJ146+AK146-AL146-AM146</f>
        <v>0</v>
      </c>
      <c r="AO146" s="48"/>
      <c r="AP146" s="48"/>
      <c r="AQ146" s="48"/>
      <c r="AR146" s="48">
        <f t="shared" ref="AR146:AR162" si="205">AN146+AO146-AP146-AQ146</f>
        <v>0</v>
      </c>
      <c r="AS146" s="48"/>
      <c r="AT146" s="48"/>
      <c r="AU146" s="48"/>
      <c r="AV146" s="48">
        <f t="shared" ref="AV146:AV162" si="206">AR146+AS146-AT146-AU146</f>
        <v>0</v>
      </c>
      <c r="AW146" s="48"/>
      <c r="AX146" s="48"/>
      <c r="AY146" s="48"/>
      <c r="AZ146" s="48">
        <f t="shared" ref="AZ146:AZ162" si="207">AV146+AW146-AX146-AY146</f>
        <v>0</v>
      </c>
      <c r="BA146" s="48"/>
      <c r="BB146" s="48"/>
      <c r="BC146" s="48"/>
      <c r="BD146" s="48">
        <f t="shared" ref="BD146:BD162" si="208">AZ146+BA146-BB146-BC146</f>
        <v>0</v>
      </c>
      <c r="BE146" s="48">
        <v>6336</v>
      </c>
      <c r="BF146" s="48">
        <v>6316</v>
      </c>
      <c r="BG146" s="48">
        <v>20</v>
      </c>
      <c r="BH146" s="48">
        <f t="shared" ref="BH146:BH162" si="209">BD146+BE146-BF146-BG146</f>
        <v>0</v>
      </c>
      <c r="BI146" s="48">
        <v>14312</v>
      </c>
      <c r="BJ146" s="48">
        <v>14053</v>
      </c>
      <c r="BK146" s="48">
        <v>259</v>
      </c>
      <c r="BL146" s="48">
        <f t="shared" ref="BL146:BL162" si="210">BH146+BI146-BJ146-BK146</f>
        <v>0</v>
      </c>
      <c r="BM146" s="48">
        <v>5804</v>
      </c>
      <c r="BN146" s="48">
        <v>5800</v>
      </c>
      <c r="BO146" s="48">
        <v>4</v>
      </c>
      <c r="BP146" s="48">
        <f t="shared" ref="BP146:BP162" si="211">BL146+BM146-BN146-BO146</f>
        <v>0</v>
      </c>
      <c r="BQ146" s="48">
        <v>0</v>
      </c>
      <c r="BR146" s="48">
        <v>0</v>
      </c>
      <c r="BS146" s="48">
        <v>0</v>
      </c>
      <c r="BT146" s="48">
        <f t="shared" ref="BT146:BT162" si="212">BP146+BQ146-BR146-BS146</f>
        <v>0</v>
      </c>
      <c r="BU146" s="48"/>
      <c r="BV146" s="48"/>
      <c r="BW146" s="48"/>
      <c r="BX146" s="48">
        <f t="shared" ref="BX146:BX162" si="213">BT146+BU146-BV146-BW146</f>
        <v>0</v>
      </c>
      <c r="BY146" s="48"/>
      <c r="BZ146" s="48"/>
      <c r="CA146" s="48"/>
      <c r="CB146" s="48">
        <f t="shared" ref="CB146:CB162" si="214">BX146+BY146-BZ146-CA146</f>
        <v>0</v>
      </c>
      <c r="CC146" s="48"/>
      <c r="CD146" s="48"/>
      <c r="CE146" s="48"/>
      <c r="CF146" s="48">
        <f t="shared" ref="CF146:CF162" si="215">CB146+CC146-CD146-CE146</f>
        <v>0</v>
      </c>
      <c r="CG146" s="48"/>
      <c r="CH146" s="48"/>
      <c r="CI146" s="48"/>
      <c r="CJ146" s="48">
        <f t="shared" ref="CJ146:CJ162" si="216">CF146+CG146-CH146-CI146</f>
        <v>0</v>
      </c>
      <c r="CK146" s="48"/>
      <c r="CL146" s="48"/>
      <c r="CM146" s="48"/>
      <c r="CN146" s="48">
        <f t="shared" ref="CN146:CN162" si="217">CJ146+CK146-CL146-CM146</f>
        <v>0</v>
      </c>
      <c r="CO146" s="48"/>
      <c r="CP146" s="48"/>
      <c r="CQ146" s="48"/>
      <c r="CR146" s="48">
        <f t="shared" ref="CR146:CR162" si="218">CN146+CO146-CP146-CQ146</f>
        <v>0</v>
      </c>
      <c r="CS146" s="48"/>
      <c r="CT146" s="48"/>
      <c r="CU146" s="48"/>
      <c r="CV146" s="48">
        <f t="shared" ref="CV146:CV162" si="219">CR146+CS146-CT146-CU146</f>
        <v>0</v>
      </c>
      <c r="CW146" s="48"/>
      <c r="CX146" s="48"/>
      <c r="CY146" s="48"/>
      <c r="CZ146" s="48">
        <f t="shared" ref="CZ146:CZ162" si="220">CV146+CW146-CX146-CY146</f>
        <v>0</v>
      </c>
      <c r="DA146" s="48"/>
      <c r="DB146" s="48"/>
      <c r="DC146" s="48"/>
      <c r="DD146" s="48">
        <f t="shared" ref="DD146:DD162" si="221">CZ146+DA146-DB146-DC146</f>
        <v>0</v>
      </c>
      <c r="DE146" s="48"/>
      <c r="DF146" s="48"/>
      <c r="DG146" s="48"/>
      <c r="DH146" s="48">
        <f t="shared" ref="DH146:DH162" si="222">DD146+DE146-DF146-DG146</f>
        <v>0</v>
      </c>
      <c r="DI146" s="48"/>
      <c r="DJ146" s="48"/>
      <c r="DK146" s="48"/>
      <c r="DL146" s="48">
        <f t="shared" ref="DL146:DL162" si="223">DH146+DI146-DJ146-DK146</f>
        <v>0</v>
      </c>
      <c r="DM146" s="48"/>
      <c r="DN146" s="48"/>
      <c r="DO146" s="48"/>
      <c r="DP146" s="48">
        <f t="shared" ref="DP146:DP162" si="224">DL146+DM146-DN146-DO146</f>
        <v>0</v>
      </c>
      <c r="DQ146" s="48"/>
      <c r="DR146" s="48"/>
      <c r="DS146" s="48"/>
      <c r="DT146" s="48">
        <f t="shared" ref="DT146:DT162" si="225">DP146+DQ146-DR146-DS146</f>
        <v>0</v>
      </c>
      <c r="DU146" s="48"/>
      <c r="DV146" s="48"/>
      <c r="DW146" s="48"/>
      <c r="DX146" s="48">
        <f t="shared" ref="DX146:DX162" si="226">DT146+DU146-DV146-DW146</f>
        <v>0</v>
      </c>
      <c r="DY146" s="48">
        <f t="shared" ref="DY146:DY147" si="227">DU146+DQ146+DM146+DI146+DE146+DA146+CW146+CS146+CO146+CK146+CG146+CC146+BY146+BU146+BQ146+BI146+BA146+AW146+AS146+AO146+AK146+AG146+AC146+Y146+U146+Q146+M146+I146+E146+BM146+BE146</f>
        <v>26452</v>
      </c>
      <c r="DZ146" s="48">
        <f t="shared" ref="DZ146:DZ162" si="228">G146+K146+S146+W146+AA146+AE146+AI146+AM146+AQ146+AU146+AY146+BC146+BG146+BK146+BO146+BS146+BW146+CA146+CE146+CI146+CM146+CQ146+CU146+CY146+DC146+DG146+DK146+DO146+DS146+DW146</f>
        <v>283</v>
      </c>
      <c r="EA146" s="14">
        <f>D146*'MASTER SHEET'!D146</f>
        <v>0</v>
      </c>
      <c r="EB146" s="14">
        <f>H146*'MASTER SHEET'!D146</f>
        <v>0</v>
      </c>
      <c r="EC146" s="14">
        <f>L146*'MASTER SHEET'!D146</f>
        <v>0</v>
      </c>
      <c r="ED146" s="14">
        <f>P146*'MASTER SHEET'!D146</f>
        <v>0</v>
      </c>
      <c r="EE146" s="14">
        <f>T146*'MASTER SHEET'!D146</f>
        <v>0</v>
      </c>
      <c r="EF146" s="14">
        <f>X146*'MASTER SHEET'!D146</f>
        <v>0</v>
      </c>
      <c r="EG146" s="14">
        <f>AB146*'MASTER SHEET'!D146</f>
        <v>0</v>
      </c>
      <c r="EH146" s="14">
        <f>AF146*'MASTER SHEET'!D146</f>
        <v>0</v>
      </c>
      <c r="EI146" s="14">
        <f>AJ146*'MASTER SHEET'!D146</f>
        <v>0</v>
      </c>
      <c r="EJ146" s="14">
        <f>AN146*'MASTER SHEET'!D146</f>
        <v>0</v>
      </c>
      <c r="EK146" s="14">
        <f>AR146*'MASTER SHEET'!D146</f>
        <v>0</v>
      </c>
      <c r="EL146" s="14">
        <f>AV146*'MASTER SHEET'!D146</f>
        <v>0</v>
      </c>
      <c r="EM146" s="14">
        <f>AZ146*'MASTER SHEET'!D146</f>
        <v>0</v>
      </c>
      <c r="EN146" s="14">
        <f>BD146*'MASTER SHEET'!D146</f>
        <v>0</v>
      </c>
      <c r="EO146" s="14">
        <f>BH146*'MASTER SHEET'!D146</f>
        <v>0</v>
      </c>
      <c r="EP146" s="14">
        <f>BL146*'MASTER SHEET'!D146</f>
        <v>0</v>
      </c>
      <c r="EQ146" s="14">
        <f>BP146*'MASTER SHEET'!D146</f>
        <v>0</v>
      </c>
      <c r="ER146" s="14">
        <f>BT146*'MASTER SHEET'!D146</f>
        <v>0</v>
      </c>
      <c r="ES146" s="14">
        <f>BX146*'MASTER SHEET'!D146</f>
        <v>0</v>
      </c>
      <c r="ET146" s="21">
        <f>CB146*'MASTER SHEET'!D146</f>
        <v>0</v>
      </c>
      <c r="EU146" s="14">
        <f>CF146*'MASTER SHEET'!D146</f>
        <v>0</v>
      </c>
      <c r="EV146" s="14">
        <f>CJ146*'MASTER SHEET'!D146</f>
        <v>0</v>
      </c>
      <c r="EW146" s="14">
        <f>CN146*'MASTER SHEET'!D146</f>
        <v>0</v>
      </c>
      <c r="EX146" s="14">
        <f>CR146*'MASTER SHEET'!D146</f>
        <v>0</v>
      </c>
      <c r="EY146" s="14">
        <f>CR146*'MASTER SHEET'!D146</f>
        <v>0</v>
      </c>
      <c r="EZ146" s="14">
        <f>CV146*'MASTER SHEET'!D146</f>
        <v>0</v>
      </c>
      <c r="FA146" s="14">
        <f>CZ146*'MASTER SHEET'!D146</f>
        <v>0</v>
      </c>
      <c r="FB146" s="14">
        <f>DD146*'MASTER SHEET'!D146</f>
        <v>0</v>
      </c>
    </row>
    <row r="147" spans="1:158" ht="18.75" customHeight="1" x14ac:dyDescent="0.25">
      <c r="A147" s="43">
        <f>'MASTER SHEET'!A147</f>
        <v>145</v>
      </c>
      <c r="B147" s="49" t="str">
        <f>'MASTER SHEET'!B147</f>
        <v>CLAMP CNG PIPE</v>
      </c>
      <c r="C147" s="86">
        <f>'MASTER SHEET'!C147</f>
        <v>62438</v>
      </c>
      <c r="D147" s="51"/>
      <c r="E147" s="48">
        <v>0</v>
      </c>
      <c r="F147" s="48">
        <v>0</v>
      </c>
      <c r="G147" s="48">
        <v>0</v>
      </c>
      <c r="H147" s="48">
        <f t="shared" si="196"/>
        <v>0</v>
      </c>
      <c r="I147" s="28">
        <v>9176</v>
      </c>
      <c r="J147" s="28">
        <v>9160</v>
      </c>
      <c r="K147" s="65">
        <v>16</v>
      </c>
      <c r="L147" s="48">
        <f t="shared" si="197"/>
        <v>0</v>
      </c>
      <c r="M147" s="48"/>
      <c r="N147" s="48"/>
      <c r="O147" s="48"/>
      <c r="P147" s="48">
        <f t="shared" si="198"/>
        <v>0</v>
      </c>
      <c r="Q147" s="48">
        <v>11816</v>
      </c>
      <c r="R147" s="48">
        <v>11808</v>
      </c>
      <c r="S147" s="48">
        <v>8</v>
      </c>
      <c r="T147" s="48">
        <f t="shared" si="199"/>
        <v>0</v>
      </c>
      <c r="U147" s="48">
        <v>0</v>
      </c>
      <c r="V147" s="48"/>
      <c r="W147" s="48"/>
      <c r="X147" s="48">
        <f t="shared" si="200"/>
        <v>0</v>
      </c>
      <c r="Y147" s="48">
        <v>0</v>
      </c>
      <c r="Z147" s="48">
        <v>0</v>
      </c>
      <c r="AA147" s="48">
        <v>0</v>
      </c>
      <c r="AB147" s="48">
        <f t="shared" si="201"/>
        <v>0</v>
      </c>
      <c r="AC147" s="48">
        <v>0</v>
      </c>
      <c r="AD147" s="48">
        <v>0</v>
      </c>
      <c r="AE147" s="48">
        <v>0</v>
      </c>
      <c r="AF147" s="48">
        <f t="shared" si="202"/>
        <v>0</v>
      </c>
      <c r="AG147" s="48">
        <v>0</v>
      </c>
      <c r="AH147" s="48">
        <v>0</v>
      </c>
      <c r="AI147" s="48">
        <v>0</v>
      </c>
      <c r="AJ147" s="48">
        <f t="shared" si="203"/>
        <v>0</v>
      </c>
      <c r="AK147" s="48">
        <v>0</v>
      </c>
      <c r="AL147" s="48">
        <v>0</v>
      </c>
      <c r="AM147" s="48">
        <v>0</v>
      </c>
      <c r="AN147" s="48">
        <f t="shared" si="204"/>
        <v>0</v>
      </c>
      <c r="AO147" s="48">
        <v>0</v>
      </c>
      <c r="AP147" s="48">
        <v>0</v>
      </c>
      <c r="AQ147" s="48">
        <v>0</v>
      </c>
      <c r="AR147" s="48">
        <f t="shared" si="205"/>
        <v>0</v>
      </c>
      <c r="AS147" s="48">
        <v>14496</v>
      </c>
      <c r="AT147" s="48">
        <v>14462</v>
      </c>
      <c r="AU147" s="48">
        <v>34</v>
      </c>
      <c r="AV147" s="48">
        <f t="shared" si="206"/>
        <v>0</v>
      </c>
      <c r="AW147" s="48">
        <v>0</v>
      </c>
      <c r="AX147" s="48">
        <v>0</v>
      </c>
      <c r="AY147" s="48">
        <v>0</v>
      </c>
      <c r="AZ147" s="48">
        <f t="shared" si="207"/>
        <v>0</v>
      </c>
      <c r="BA147" s="48">
        <v>12744</v>
      </c>
      <c r="BB147" s="48">
        <v>12728</v>
      </c>
      <c r="BC147" s="48">
        <v>16</v>
      </c>
      <c r="BD147" s="48">
        <f t="shared" si="208"/>
        <v>0</v>
      </c>
      <c r="BE147" s="48">
        <v>6466</v>
      </c>
      <c r="BF147" s="48">
        <v>6458</v>
      </c>
      <c r="BG147" s="48">
        <v>8</v>
      </c>
      <c r="BH147" s="48">
        <f t="shared" si="209"/>
        <v>0</v>
      </c>
      <c r="BI147" s="48">
        <v>0</v>
      </c>
      <c r="BJ147" s="48">
        <v>0</v>
      </c>
      <c r="BK147" s="48">
        <v>0</v>
      </c>
      <c r="BL147" s="48">
        <f t="shared" si="210"/>
        <v>0</v>
      </c>
      <c r="BM147" s="48"/>
      <c r="BN147" s="48"/>
      <c r="BO147" s="48"/>
      <c r="BP147" s="48">
        <f t="shared" si="211"/>
        <v>0</v>
      </c>
      <c r="BQ147" s="48"/>
      <c r="BR147" s="48"/>
      <c r="BS147" s="48"/>
      <c r="BT147" s="48">
        <f t="shared" si="212"/>
        <v>0</v>
      </c>
      <c r="BU147" s="48"/>
      <c r="BV147" s="48"/>
      <c r="BW147" s="48"/>
      <c r="BX147" s="48">
        <f t="shared" si="213"/>
        <v>0</v>
      </c>
      <c r="BY147" s="48"/>
      <c r="BZ147" s="48"/>
      <c r="CA147" s="48"/>
      <c r="CB147" s="48">
        <f t="shared" si="214"/>
        <v>0</v>
      </c>
      <c r="CC147" s="48"/>
      <c r="CD147" s="48"/>
      <c r="CE147" s="48"/>
      <c r="CF147" s="48">
        <f t="shared" si="215"/>
        <v>0</v>
      </c>
      <c r="CG147" s="48"/>
      <c r="CH147" s="48"/>
      <c r="CI147" s="48"/>
      <c r="CJ147" s="48">
        <f t="shared" si="216"/>
        <v>0</v>
      </c>
      <c r="CK147" s="48"/>
      <c r="CL147" s="48"/>
      <c r="CM147" s="48"/>
      <c r="CN147" s="48">
        <f t="shared" si="217"/>
        <v>0</v>
      </c>
      <c r="CO147" s="48"/>
      <c r="CP147" s="48"/>
      <c r="CQ147" s="48"/>
      <c r="CR147" s="48">
        <f t="shared" si="218"/>
        <v>0</v>
      </c>
      <c r="CS147" s="48">
        <v>13944</v>
      </c>
      <c r="CT147" s="48">
        <v>13798</v>
      </c>
      <c r="CU147" s="48">
        <v>146</v>
      </c>
      <c r="CV147" s="48">
        <f t="shared" si="219"/>
        <v>0</v>
      </c>
      <c r="CW147" s="48">
        <v>0</v>
      </c>
      <c r="CX147" s="48">
        <v>0</v>
      </c>
      <c r="CY147" s="48">
        <v>0</v>
      </c>
      <c r="CZ147" s="48">
        <f t="shared" si="220"/>
        <v>0</v>
      </c>
      <c r="DA147" s="48"/>
      <c r="DB147" s="48"/>
      <c r="DC147" s="48"/>
      <c r="DD147" s="48">
        <f t="shared" si="221"/>
        <v>0</v>
      </c>
      <c r="DE147" s="48">
        <v>0</v>
      </c>
      <c r="DF147" s="48">
        <v>0</v>
      </c>
      <c r="DG147" s="48">
        <v>0</v>
      </c>
      <c r="DH147" s="48">
        <f t="shared" si="222"/>
        <v>0</v>
      </c>
      <c r="DI147" s="48"/>
      <c r="DJ147" s="48"/>
      <c r="DK147" s="48"/>
      <c r="DL147" s="48">
        <f t="shared" si="223"/>
        <v>0</v>
      </c>
      <c r="DM147" s="48"/>
      <c r="DN147" s="48"/>
      <c r="DO147" s="48"/>
      <c r="DP147" s="48">
        <f t="shared" si="224"/>
        <v>0</v>
      </c>
      <c r="DQ147" s="48"/>
      <c r="DR147" s="48"/>
      <c r="DS147" s="48"/>
      <c r="DT147" s="48">
        <f t="shared" si="225"/>
        <v>0</v>
      </c>
      <c r="DU147" s="48"/>
      <c r="DV147" s="48"/>
      <c r="DW147" s="48"/>
      <c r="DX147" s="48">
        <f t="shared" si="226"/>
        <v>0</v>
      </c>
      <c r="DY147" s="48">
        <f t="shared" si="227"/>
        <v>68642</v>
      </c>
      <c r="DZ147" s="48">
        <f t="shared" si="228"/>
        <v>228</v>
      </c>
      <c r="EA147" s="14">
        <f>D147*'MASTER SHEET'!D147</f>
        <v>0</v>
      </c>
      <c r="EB147" s="14">
        <f>H147*'MASTER SHEET'!D147</f>
        <v>0</v>
      </c>
      <c r="EC147" s="14">
        <f>L147*'MASTER SHEET'!D147</f>
        <v>0</v>
      </c>
      <c r="ED147" s="14">
        <f>P147*'MASTER SHEET'!D147</f>
        <v>0</v>
      </c>
      <c r="EE147" s="14">
        <f>T147*'MASTER SHEET'!D147</f>
        <v>0</v>
      </c>
      <c r="EF147" s="14">
        <f>X147*'MASTER SHEET'!D147</f>
        <v>0</v>
      </c>
      <c r="EG147" s="14">
        <f>AB147*'MASTER SHEET'!D147</f>
        <v>0</v>
      </c>
      <c r="EH147" s="14">
        <f>AF147*'MASTER SHEET'!D147</f>
        <v>0</v>
      </c>
      <c r="EI147" s="14">
        <f>AJ147*'MASTER SHEET'!D147</f>
        <v>0</v>
      </c>
      <c r="EJ147" s="14">
        <f>AN147*'MASTER SHEET'!D147</f>
        <v>0</v>
      </c>
      <c r="EK147" s="14">
        <f>AR147*'MASTER SHEET'!D147</f>
        <v>0</v>
      </c>
      <c r="EL147" s="14">
        <f>AV147*'MASTER SHEET'!D147</f>
        <v>0</v>
      </c>
      <c r="EM147" s="14">
        <f>AZ147*'MASTER SHEET'!D147</f>
        <v>0</v>
      </c>
      <c r="EN147" s="14">
        <f>BD147*'MASTER SHEET'!D147</f>
        <v>0</v>
      </c>
      <c r="EO147" s="14">
        <f>BH147*'MASTER SHEET'!D147</f>
        <v>0</v>
      </c>
      <c r="EP147" s="14">
        <f>BL147*'MASTER SHEET'!D147</f>
        <v>0</v>
      </c>
      <c r="EQ147" s="14">
        <f>BP147*'MASTER SHEET'!D147</f>
        <v>0</v>
      </c>
      <c r="ER147" s="14">
        <f>BT147*'MASTER SHEET'!D147</f>
        <v>0</v>
      </c>
      <c r="ES147" s="14">
        <f>BX147*'MASTER SHEET'!D147</f>
        <v>0</v>
      </c>
      <c r="ET147" s="21">
        <f>CB147*'MASTER SHEET'!D147</f>
        <v>0</v>
      </c>
      <c r="EU147" s="14">
        <f>CF147*'MASTER SHEET'!D147</f>
        <v>0</v>
      </c>
      <c r="EV147" s="14">
        <f>CJ147*'MASTER SHEET'!D147</f>
        <v>0</v>
      </c>
      <c r="EW147" s="14">
        <f>CN147*'MASTER SHEET'!D147</f>
        <v>0</v>
      </c>
      <c r="EX147" s="14">
        <f>CR147*'MASTER SHEET'!D147</f>
        <v>0</v>
      </c>
      <c r="EY147" s="14">
        <f>CR147*'MASTER SHEET'!D147</f>
        <v>0</v>
      </c>
      <c r="EZ147" s="14">
        <f>CV147*'MASTER SHEET'!D147</f>
        <v>0</v>
      </c>
      <c r="FA147" s="14">
        <f>CZ147*'MASTER SHEET'!D147</f>
        <v>0</v>
      </c>
      <c r="FB147" s="14">
        <f>DD147*'MASTER SHEET'!D147</f>
        <v>0</v>
      </c>
    </row>
    <row r="148" spans="1:158" ht="18.75" customHeight="1" x14ac:dyDescent="0.25">
      <c r="A148" s="43">
        <f>'MASTER SHEET'!A148</f>
        <v>146</v>
      </c>
      <c r="B148" s="49" t="str">
        <f>'MASTER SHEET'!B148</f>
        <v>CLAMP VACCUME PIPE</v>
      </c>
      <c r="C148" s="86">
        <f>'MASTER SHEET'!C148</f>
        <v>62481</v>
      </c>
      <c r="D148" s="51"/>
      <c r="E148" s="48">
        <v>6636</v>
      </c>
      <c r="F148" s="48">
        <v>6620</v>
      </c>
      <c r="G148" s="48">
        <v>16</v>
      </c>
      <c r="H148" s="48">
        <f t="shared" si="196"/>
        <v>0</v>
      </c>
      <c r="I148" s="28">
        <v>11012</v>
      </c>
      <c r="J148" s="28">
        <v>11012</v>
      </c>
      <c r="K148" s="65">
        <v>0</v>
      </c>
      <c r="L148" s="48">
        <f t="shared" si="197"/>
        <v>0</v>
      </c>
      <c r="M148" s="48"/>
      <c r="N148" s="48"/>
      <c r="O148" s="48"/>
      <c r="P148" s="48">
        <f t="shared" si="198"/>
        <v>0</v>
      </c>
      <c r="Q148" s="48">
        <v>0</v>
      </c>
      <c r="R148" s="48">
        <v>0</v>
      </c>
      <c r="S148" s="48">
        <v>0</v>
      </c>
      <c r="T148" s="48">
        <f t="shared" si="199"/>
        <v>0</v>
      </c>
      <c r="U148" s="48">
        <v>0</v>
      </c>
      <c r="V148" s="48"/>
      <c r="W148" s="48"/>
      <c r="X148" s="48">
        <f t="shared" si="200"/>
        <v>0</v>
      </c>
      <c r="Y148" s="48"/>
      <c r="Z148" s="48"/>
      <c r="AA148" s="48"/>
      <c r="AB148" s="48">
        <f t="shared" si="201"/>
        <v>0</v>
      </c>
      <c r="AC148" s="48"/>
      <c r="AD148" s="48"/>
      <c r="AE148" s="48"/>
      <c r="AF148" s="48">
        <f t="shared" si="202"/>
        <v>0</v>
      </c>
      <c r="AG148" s="48"/>
      <c r="AH148" s="48"/>
      <c r="AI148" s="48"/>
      <c r="AJ148" s="48">
        <f t="shared" si="203"/>
        <v>0</v>
      </c>
      <c r="AK148" s="48"/>
      <c r="AL148" s="48"/>
      <c r="AM148" s="48"/>
      <c r="AN148" s="48">
        <f t="shared" si="204"/>
        <v>0</v>
      </c>
      <c r="AO148" s="48"/>
      <c r="AP148" s="48"/>
      <c r="AQ148" s="48"/>
      <c r="AR148" s="48">
        <f t="shared" si="205"/>
        <v>0</v>
      </c>
      <c r="AS148" s="48"/>
      <c r="AT148" s="48"/>
      <c r="AU148" s="48"/>
      <c r="AV148" s="48">
        <f t="shared" si="206"/>
        <v>0</v>
      </c>
      <c r="AW148" s="48"/>
      <c r="AX148" s="48"/>
      <c r="AY148" s="48"/>
      <c r="AZ148" s="48">
        <f t="shared" si="207"/>
        <v>0</v>
      </c>
      <c r="BA148" s="48"/>
      <c r="BB148" s="48"/>
      <c r="BC148" s="48"/>
      <c r="BD148" s="48">
        <f t="shared" si="208"/>
        <v>0</v>
      </c>
      <c r="BE148" s="48"/>
      <c r="BF148" s="48"/>
      <c r="BG148" s="48"/>
      <c r="BH148" s="48">
        <f t="shared" si="209"/>
        <v>0</v>
      </c>
      <c r="BI148" s="48"/>
      <c r="BJ148" s="48"/>
      <c r="BK148" s="48"/>
      <c r="BL148" s="48">
        <f t="shared" si="210"/>
        <v>0</v>
      </c>
      <c r="BM148" s="48"/>
      <c r="BN148" s="48"/>
      <c r="BO148" s="48"/>
      <c r="BP148" s="48">
        <f t="shared" si="211"/>
        <v>0</v>
      </c>
      <c r="BQ148" s="48"/>
      <c r="BR148" s="48"/>
      <c r="BS148" s="48"/>
      <c r="BT148" s="48">
        <f t="shared" si="212"/>
        <v>0</v>
      </c>
      <c r="BU148" s="48"/>
      <c r="BV148" s="48"/>
      <c r="BW148" s="48"/>
      <c r="BX148" s="48">
        <f t="shared" si="213"/>
        <v>0</v>
      </c>
      <c r="BY148" s="48"/>
      <c r="BZ148" s="48"/>
      <c r="CA148" s="48"/>
      <c r="CB148" s="48">
        <f t="shared" si="214"/>
        <v>0</v>
      </c>
      <c r="CC148" s="48"/>
      <c r="CD148" s="48"/>
      <c r="CE148" s="48"/>
      <c r="CF148" s="48">
        <f t="shared" si="215"/>
        <v>0</v>
      </c>
      <c r="CG148" s="48"/>
      <c r="CH148" s="48"/>
      <c r="CI148" s="48"/>
      <c r="CJ148" s="48">
        <f t="shared" si="216"/>
        <v>0</v>
      </c>
      <c r="CK148" s="48"/>
      <c r="CL148" s="48"/>
      <c r="CM148" s="48"/>
      <c r="CN148" s="48">
        <f t="shared" si="217"/>
        <v>0</v>
      </c>
      <c r="CO148" s="48"/>
      <c r="CP148" s="48"/>
      <c r="CQ148" s="48"/>
      <c r="CR148" s="48">
        <f t="shared" si="218"/>
        <v>0</v>
      </c>
      <c r="CS148" s="48"/>
      <c r="CT148" s="48"/>
      <c r="CU148" s="48"/>
      <c r="CV148" s="48">
        <f t="shared" si="219"/>
        <v>0</v>
      </c>
      <c r="CW148" s="48"/>
      <c r="CX148" s="48"/>
      <c r="CY148" s="48"/>
      <c r="CZ148" s="48">
        <f t="shared" si="220"/>
        <v>0</v>
      </c>
      <c r="DA148" s="48"/>
      <c r="DB148" s="48"/>
      <c r="DC148" s="48"/>
      <c r="DD148" s="48">
        <f t="shared" si="221"/>
        <v>0</v>
      </c>
      <c r="DE148" s="48"/>
      <c r="DF148" s="48"/>
      <c r="DG148" s="48"/>
      <c r="DH148" s="48">
        <f t="shared" si="222"/>
        <v>0</v>
      </c>
      <c r="DI148" s="48"/>
      <c r="DJ148" s="48"/>
      <c r="DK148" s="48"/>
      <c r="DL148" s="48">
        <f t="shared" si="223"/>
        <v>0</v>
      </c>
      <c r="DM148" s="48"/>
      <c r="DN148" s="48"/>
      <c r="DO148" s="48"/>
      <c r="DP148" s="48">
        <f t="shared" si="224"/>
        <v>0</v>
      </c>
      <c r="DQ148" s="48"/>
      <c r="DR148" s="48"/>
      <c r="DS148" s="48"/>
      <c r="DT148" s="48">
        <f t="shared" si="225"/>
        <v>0</v>
      </c>
      <c r="DU148" s="48"/>
      <c r="DV148" s="48"/>
      <c r="DW148" s="48"/>
      <c r="DX148" s="48">
        <f t="shared" si="226"/>
        <v>0</v>
      </c>
      <c r="DY148" s="48">
        <f t="shared" ref="DY148:DY202" si="229">DU148+DQ148+DM148+DI148+DE148+DA148+CW148+CS148+CO148+CK148+CG148+CC148+BY148+BU148+BQ148+BI148+BA148+AW148+AS148+AO148+AK148+AG148+AC148+Y148+U148+Q148+M148+I148+E148+BM148+BE148</f>
        <v>17648</v>
      </c>
      <c r="DZ148" s="48">
        <f t="shared" si="228"/>
        <v>16</v>
      </c>
      <c r="EA148" s="14">
        <f>D148*'MASTER SHEET'!D148</f>
        <v>0</v>
      </c>
      <c r="EB148" s="14">
        <f>H148*'MASTER SHEET'!D148</f>
        <v>0</v>
      </c>
      <c r="EC148" s="14">
        <f>L148*'MASTER SHEET'!D148</f>
        <v>0</v>
      </c>
      <c r="ED148" s="14">
        <f>P148*'MASTER SHEET'!D148</f>
        <v>0</v>
      </c>
      <c r="EE148" s="14">
        <f>T148*'MASTER SHEET'!D148</f>
        <v>0</v>
      </c>
      <c r="EF148" s="14">
        <f>X148*'MASTER SHEET'!D148</f>
        <v>0</v>
      </c>
      <c r="EG148" s="14">
        <f>AB148*'MASTER SHEET'!D148</f>
        <v>0</v>
      </c>
      <c r="EH148" s="14">
        <f>AF148*'MASTER SHEET'!D148</f>
        <v>0</v>
      </c>
      <c r="EI148" s="14">
        <f>AJ148*'MASTER SHEET'!D148</f>
        <v>0</v>
      </c>
      <c r="EJ148" s="14">
        <f>AN148*'MASTER SHEET'!D148</f>
        <v>0</v>
      </c>
      <c r="EK148" s="14">
        <f>AR148*'MASTER SHEET'!D148</f>
        <v>0</v>
      </c>
      <c r="EL148" s="14">
        <f>AV148*'MASTER SHEET'!D148</f>
        <v>0</v>
      </c>
      <c r="EM148" s="14">
        <f>AZ148*'MASTER SHEET'!D148</f>
        <v>0</v>
      </c>
      <c r="EN148" s="14">
        <f>BD148*'MASTER SHEET'!D148</f>
        <v>0</v>
      </c>
      <c r="EO148" s="14">
        <f>BH148*'MASTER SHEET'!D148</f>
        <v>0</v>
      </c>
      <c r="EP148" s="14">
        <f>BL148*'MASTER SHEET'!D148</f>
        <v>0</v>
      </c>
      <c r="EQ148" s="14">
        <f>BP148*'MASTER SHEET'!D148</f>
        <v>0</v>
      </c>
      <c r="ER148" s="14">
        <f>BT148*'MASTER SHEET'!D148</f>
        <v>0</v>
      </c>
      <c r="ES148" s="14">
        <f>BX148*'MASTER SHEET'!D148</f>
        <v>0</v>
      </c>
      <c r="ET148" s="21">
        <f>CB148*'MASTER SHEET'!D148</f>
        <v>0</v>
      </c>
      <c r="EU148" s="14">
        <f>CF148*'MASTER SHEET'!D148</f>
        <v>0</v>
      </c>
      <c r="EV148" s="14">
        <f>CJ148*'MASTER SHEET'!D148</f>
        <v>0</v>
      </c>
      <c r="EW148" s="14">
        <f>CN148*'MASTER SHEET'!D148</f>
        <v>0</v>
      </c>
      <c r="EX148" s="14">
        <f>CR148*'MASTER SHEET'!D148</f>
        <v>0</v>
      </c>
      <c r="EY148" s="14">
        <f>CR148*'MASTER SHEET'!D148</f>
        <v>0</v>
      </c>
      <c r="EZ148" s="14">
        <f>CV148*'MASTER SHEET'!D148</f>
        <v>0</v>
      </c>
      <c r="FA148" s="14">
        <f>CZ148*'MASTER SHEET'!D148</f>
        <v>0</v>
      </c>
      <c r="FB148" s="14">
        <f>DD148*'MASTER SHEET'!D148</f>
        <v>0</v>
      </c>
    </row>
    <row r="149" spans="1:158" ht="18.75" customHeight="1" x14ac:dyDescent="0.25">
      <c r="A149" s="43">
        <f>'MASTER SHEET'!A149</f>
        <v>147</v>
      </c>
      <c r="B149" s="49" t="str">
        <f>'MASTER SHEET'!B149</f>
        <v>DIA 10MM PLUG</v>
      </c>
      <c r="C149" s="86">
        <f>'MASTER SHEET'!C149</f>
        <v>62486</v>
      </c>
      <c r="D149" s="51"/>
      <c r="E149" s="48"/>
      <c r="F149" s="48"/>
      <c r="G149" s="48"/>
      <c r="H149" s="48">
        <f t="shared" si="196"/>
        <v>0</v>
      </c>
      <c r="I149" s="28"/>
      <c r="J149" s="28"/>
      <c r="K149" s="65"/>
      <c r="L149" s="48">
        <f t="shared" si="197"/>
        <v>0</v>
      </c>
      <c r="M149" s="48"/>
      <c r="N149" s="48"/>
      <c r="O149" s="48"/>
      <c r="P149" s="48">
        <f t="shared" si="198"/>
        <v>0</v>
      </c>
      <c r="Q149" s="48"/>
      <c r="R149" s="48"/>
      <c r="S149" s="48"/>
      <c r="T149" s="48">
        <f t="shared" si="199"/>
        <v>0</v>
      </c>
      <c r="U149" s="48">
        <v>0</v>
      </c>
      <c r="V149" s="48"/>
      <c r="W149" s="48"/>
      <c r="X149" s="48">
        <f t="shared" si="200"/>
        <v>0</v>
      </c>
      <c r="Y149" s="48"/>
      <c r="Z149" s="48"/>
      <c r="AA149" s="48"/>
      <c r="AB149" s="48">
        <f t="shared" si="201"/>
        <v>0</v>
      </c>
      <c r="AC149" s="48"/>
      <c r="AD149" s="48"/>
      <c r="AE149" s="48"/>
      <c r="AF149" s="48">
        <f t="shared" si="202"/>
        <v>0</v>
      </c>
      <c r="AG149" s="48"/>
      <c r="AH149" s="48"/>
      <c r="AI149" s="48"/>
      <c r="AJ149" s="48">
        <f t="shared" si="203"/>
        <v>0</v>
      </c>
      <c r="AK149" s="48"/>
      <c r="AL149" s="48"/>
      <c r="AM149" s="48"/>
      <c r="AN149" s="48">
        <f t="shared" si="204"/>
        <v>0</v>
      </c>
      <c r="AO149" s="48"/>
      <c r="AP149" s="48"/>
      <c r="AQ149" s="48"/>
      <c r="AR149" s="48">
        <f t="shared" si="205"/>
        <v>0</v>
      </c>
      <c r="AS149" s="48"/>
      <c r="AT149" s="48"/>
      <c r="AU149" s="48"/>
      <c r="AV149" s="48">
        <f t="shared" si="206"/>
        <v>0</v>
      </c>
      <c r="AW149" s="48"/>
      <c r="AX149" s="48"/>
      <c r="AY149" s="48"/>
      <c r="AZ149" s="48">
        <f t="shared" si="207"/>
        <v>0</v>
      </c>
      <c r="BA149" s="48"/>
      <c r="BB149" s="48"/>
      <c r="BC149" s="48"/>
      <c r="BD149" s="48">
        <f t="shared" si="208"/>
        <v>0</v>
      </c>
      <c r="BE149" s="48"/>
      <c r="BF149" s="48"/>
      <c r="BG149" s="48"/>
      <c r="BH149" s="48">
        <f t="shared" si="209"/>
        <v>0</v>
      </c>
      <c r="BI149" s="48"/>
      <c r="BJ149" s="48"/>
      <c r="BK149" s="48"/>
      <c r="BL149" s="48">
        <f t="shared" si="210"/>
        <v>0</v>
      </c>
      <c r="BM149" s="48"/>
      <c r="BN149" s="48"/>
      <c r="BO149" s="48"/>
      <c r="BP149" s="48">
        <f t="shared" si="211"/>
        <v>0</v>
      </c>
      <c r="BQ149" s="48"/>
      <c r="BR149" s="48"/>
      <c r="BS149" s="48"/>
      <c r="BT149" s="48">
        <f t="shared" si="212"/>
        <v>0</v>
      </c>
      <c r="BU149" s="48"/>
      <c r="BV149" s="48"/>
      <c r="BW149" s="48"/>
      <c r="BX149" s="48">
        <f t="shared" si="213"/>
        <v>0</v>
      </c>
      <c r="BY149" s="48"/>
      <c r="BZ149" s="48"/>
      <c r="CA149" s="48"/>
      <c r="CB149" s="48">
        <f t="shared" si="214"/>
        <v>0</v>
      </c>
      <c r="CC149" s="48"/>
      <c r="CD149" s="48"/>
      <c r="CE149" s="48"/>
      <c r="CF149" s="48">
        <f t="shared" si="215"/>
        <v>0</v>
      </c>
      <c r="CG149" s="48"/>
      <c r="CH149" s="48"/>
      <c r="CI149" s="48"/>
      <c r="CJ149" s="48">
        <f t="shared" si="216"/>
        <v>0</v>
      </c>
      <c r="CK149" s="48"/>
      <c r="CL149" s="48"/>
      <c r="CM149" s="48"/>
      <c r="CN149" s="48">
        <f t="shared" si="217"/>
        <v>0</v>
      </c>
      <c r="CO149" s="48"/>
      <c r="CP149" s="48"/>
      <c r="CQ149" s="48"/>
      <c r="CR149" s="48">
        <f t="shared" si="218"/>
        <v>0</v>
      </c>
      <c r="CS149" s="48"/>
      <c r="CT149" s="48"/>
      <c r="CU149" s="48"/>
      <c r="CV149" s="48">
        <f t="shared" si="219"/>
        <v>0</v>
      </c>
      <c r="CW149" s="48"/>
      <c r="CX149" s="48"/>
      <c r="CY149" s="48"/>
      <c r="CZ149" s="48">
        <f t="shared" si="220"/>
        <v>0</v>
      </c>
      <c r="DA149" s="48"/>
      <c r="DB149" s="48"/>
      <c r="DC149" s="48"/>
      <c r="DD149" s="48">
        <f t="shared" si="221"/>
        <v>0</v>
      </c>
      <c r="DE149" s="48"/>
      <c r="DF149" s="48"/>
      <c r="DG149" s="48"/>
      <c r="DH149" s="48">
        <f t="shared" si="222"/>
        <v>0</v>
      </c>
      <c r="DI149" s="48"/>
      <c r="DJ149" s="48"/>
      <c r="DK149" s="48"/>
      <c r="DL149" s="48">
        <f t="shared" si="223"/>
        <v>0</v>
      </c>
      <c r="DM149" s="48"/>
      <c r="DN149" s="48"/>
      <c r="DO149" s="48"/>
      <c r="DP149" s="48">
        <f t="shared" si="224"/>
        <v>0</v>
      </c>
      <c r="DQ149" s="48"/>
      <c r="DR149" s="48"/>
      <c r="DS149" s="48"/>
      <c r="DT149" s="48">
        <f t="shared" si="225"/>
        <v>0</v>
      </c>
      <c r="DU149" s="48"/>
      <c r="DV149" s="48"/>
      <c r="DW149" s="48"/>
      <c r="DX149" s="48">
        <f t="shared" si="226"/>
        <v>0</v>
      </c>
      <c r="DY149" s="48">
        <f t="shared" si="229"/>
        <v>0</v>
      </c>
      <c r="DZ149" s="48">
        <f t="shared" si="228"/>
        <v>0</v>
      </c>
      <c r="EA149" s="14">
        <f>D149*'MASTER SHEET'!D149</f>
        <v>0</v>
      </c>
      <c r="EB149" s="14">
        <f>H149*'MASTER SHEET'!D149</f>
        <v>0</v>
      </c>
      <c r="EC149" s="14">
        <f>L149*'MASTER SHEET'!D149</f>
        <v>0</v>
      </c>
      <c r="ED149" s="14">
        <f>P149*'MASTER SHEET'!D149</f>
        <v>0</v>
      </c>
      <c r="EE149" s="14">
        <f>T149*'MASTER SHEET'!D149</f>
        <v>0</v>
      </c>
      <c r="EF149" s="14">
        <f>X149*'MASTER SHEET'!D149</f>
        <v>0</v>
      </c>
      <c r="EG149" s="14">
        <f>AB149*'MASTER SHEET'!D149</f>
        <v>0</v>
      </c>
      <c r="EH149" s="14">
        <f>AF149*'MASTER SHEET'!D149</f>
        <v>0</v>
      </c>
      <c r="EI149" s="14">
        <f>AJ149*'MASTER SHEET'!D149</f>
        <v>0</v>
      </c>
      <c r="EJ149" s="14">
        <f>AN149*'MASTER SHEET'!D149</f>
        <v>0</v>
      </c>
      <c r="EK149" s="14">
        <f>AR149*'MASTER SHEET'!D149</f>
        <v>0</v>
      </c>
      <c r="EL149" s="14">
        <f>AV149*'MASTER SHEET'!D149</f>
        <v>0</v>
      </c>
      <c r="EM149" s="14">
        <f>AZ149*'MASTER SHEET'!D149</f>
        <v>0</v>
      </c>
      <c r="EN149" s="14">
        <f>BD149*'MASTER SHEET'!D149</f>
        <v>0</v>
      </c>
      <c r="EO149" s="14">
        <f>BH149*'MASTER SHEET'!D149</f>
        <v>0</v>
      </c>
      <c r="EP149" s="14">
        <f>BL149*'MASTER SHEET'!D149</f>
        <v>0</v>
      </c>
      <c r="EQ149" s="14">
        <f>BP149*'MASTER SHEET'!D149</f>
        <v>0</v>
      </c>
      <c r="ER149" s="14">
        <f>BT149*'MASTER SHEET'!D149</f>
        <v>0</v>
      </c>
      <c r="ES149" s="14">
        <f>BX149*'MASTER SHEET'!D149</f>
        <v>0</v>
      </c>
      <c r="ET149" s="21">
        <f>CB149*'MASTER SHEET'!D149</f>
        <v>0</v>
      </c>
      <c r="EU149" s="14">
        <f>CF149*'MASTER SHEET'!D149</f>
        <v>0</v>
      </c>
      <c r="EV149" s="14">
        <f>CJ149*'MASTER SHEET'!D149</f>
        <v>0</v>
      </c>
      <c r="EW149" s="14">
        <f>CN149*'MASTER SHEET'!D149</f>
        <v>0</v>
      </c>
      <c r="EX149" s="14">
        <f>CR149*'MASTER SHEET'!D149</f>
        <v>0</v>
      </c>
      <c r="EY149" s="14">
        <f>CR149*'MASTER SHEET'!D149</f>
        <v>0</v>
      </c>
      <c r="EZ149" s="14">
        <f>CV149*'MASTER SHEET'!D149</f>
        <v>0</v>
      </c>
      <c r="FA149" s="14">
        <f>CZ149*'MASTER SHEET'!D149</f>
        <v>0</v>
      </c>
      <c r="FB149" s="14">
        <f>DD149*'MASTER SHEET'!D149</f>
        <v>0</v>
      </c>
    </row>
    <row r="150" spans="1:158" ht="18.75" customHeight="1" x14ac:dyDescent="0.25">
      <c r="A150" s="43">
        <f>'MASTER SHEET'!A150</f>
        <v>148</v>
      </c>
      <c r="B150" s="49" t="str">
        <f>'MASTER SHEET'!B150</f>
        <v>CLAMP</v>
      </c>
      <c r="C150" s="86">
        <f>'MASTER SHEET'!C150</f>
        <v>62487</v>
      </c>
      <c r="D150" s="51"/>
      <c r="E150" s="48">
        <v>0</v>
      </c>
      <c r="F150" s="48">
        <v>0</v>
      </c>
      <c r="G150" s="48">
        <v>0</v>
      </c>
      <c r="H150" s="48">
        <f t="shared" si="196"/>
        <v>0</v>
      </c>
      <c r="I150" s="28">
        <v>0</v>
      </c>
      <c r="J150" s="28">
        <v>0</v>
      </c>
      <c r="K150" s="65">
        <v>0</v>
      </c>
      <c r="L150" s="48">
        <f t="shared" si="197"/>
        <v>0</v>
      </c>
      <c r="M150" s="48"/>
      <c r="N150" s="48"/>
      <c r="O150" s="48"/>
      <c r="P150" s="48">
        <f t="shared" si="198"/>
        <v>0</v>
      </c>
      <c r="Q150" s="48">
        <v>0</v>
      </c>
      <c r="R150" s="48">
        <v>0</v>
      </c>
      <c r="S150" s="48">
        <v>0</v>
      </c>
      <c r="T150" s="48">
        <f t="shared" si="199"/>
        <v>0</v>
      </c>
      <c r="U150" s="48">
        <v>0</v>
      </c>
      <c r="V150" s="48"/>
      <c r="W150" s="48"/>
      <c r="X150" s="48">
        <f t="shared" si="200"/>
        <v>0</v>
      </c>
      <c r="Y150" s="48">
        <v>0</v>
      </c>
      <c r="Z150" s="48">
        <v>0</v>
      </c>
      <c r="AA150" s="48">
        <v>0</v>
      </c>
      <c r="AB150" s="48">
        <f t="shared" si="201"/>
        <v>0</v>
      </c>
      <c r="AC150" s="48">
        <v>0</v>
      </c>
      <c r="AD150" s="48">
        <v>0</v>
      </c>
      <c r="AE150" s="48">
        <v>0</v>
      </c>
      <c r="AF150" s="48">
        <f t="shared" si="202"/>
        <v>0</v>
      </c>
      <c r="AG150" s="48">
        <v>0</v>
      </c>
      <c r="AH150" s="48">
        <v>0</v>
      </c>
      <c r="AI150" s="48">
        <v>0</v>
      </c>
      <c r="AJ150" s="48">
        <f t="shared" si="203"/>
        <v>0</v>
      </c>
      <c r="AK150" s="48">
        <v>0</v>
      </c>
      <c r="AL150" s="48">
        <v>0</v>
      </c>
      <c r="AM150" s="48">
        <v>0</v>
      </c>
      <c r="AN150" s="48">
        <f t="shared" si="204"/>
        <v>0</v>
      </c>
      <c r="AO150" s="48">
        <v>0</v>
      </c>
      <c r="AP150" s="48">
        <v>0</v>
      </c>
      <c r="AQ150" s="48">
        <v>0</v>
      </c>
      <c r="AR150" s="48">
        <f t="shared" si="205"/>
        <v>0</v>
      </c>
      <c r="AS150" s="48">
        <v>0</v>
      </c>
      <c r="AT150" s="48">
        <v>0</v>
      </c>
      <c r="AU150" s="48">
        <v>0</v>
      </c>
      <c r="AV150" s="48">
        <f t="shared" si="206"/>
        <v>0</v>
      </c>
      <c r="AW150" s="48">
        <v>0</v>
      </c>
      <c r="AX150" s="48">
        <v>0</v>
      </c>
      <c r="AY150" s="48">
        <v>0</v>
      </c>
      <c r="AZ150" s="48">
        <f t="shared" si="207"/>
        <v>0</v>
      </c>
      <c r="BA150" s="48">
        <v>12210</v>
      </c>
      <c r="BB150" s="48">
        <v>12190</v>
      </c>
      <c r="BC150" s="48">
        <v>20</v>
      </c>
      <c r="BD150" s="48">
        <f t="shared" si="208"/>
        <v>0</v>
      </c>
      <c r="BE150" s="48">
        <v>4620</v>
      </c>
      <c r="BF150" s="48">
        <v>4620</v>
      </c>
      <c r="BG150" s="48">
        <v>0</v>
      </c>
      <c r="BH150" s="48">
        <f t="shared" si="209"/>
        <v>0</v>
      </c>
      <c r="BI150" s="48">
        <v>0</v>
      </c>
      <c r="BJ150" s="48">
        <v>0</v>
      </c>
      <c r="BK150" s="48">
        <v>0</v>
      </c>
      <c r="BL150" s="48">
        <f t="shared" si="210"/>
        <v>0</v>
      </c>
      <c r="BM150" s="48"/>
      <c r="BN150" s="48"/>
      <c r="BO150" s="48"/>
      <c r="BP150" s="48">
        <f t="shared" si="211"/>
        <v>0</v>
      </c>
      <c r="BQ150" s="48"/>
      <c r="BR150" s="48"/>
      <c r="BS150" s="48"/>
      <c r="BT150" s="48">
        <f t="shared" si="212"/>
        <v>0</v>
      </c>
      <c r="BU150" s="48"/>
      <c r="BV150" s="48"/>
      <c r="BW150" s="48"/>
      <c r="BX150" s="48">
        <f t="shared" si="213"/>
        <v>0</v>
      </c>
      <c r="BY150" s="48"/>
      <c r="BZ150" s="48"/>
      <c r="CA150" s="48"/>
      <c r="CB150" s="48">
        <f t="shared" si="214"/>
        <v>0</v>
      </c>
      <c r="CC150" s="48"/>
      <c r="CD150" s="48"/>
      <c r="CE150" s="48"/>
      <c r="CF150" s="48">
        <f t="shared" si="215"/>
        <v>0</v>
      </c>
      <c r="CG150" s="48"/>
      <c r="CH150" s="48"/>
      <c r="CI150" s="48"/>
      <c r="CJ150" s="48">
        <f t="shared" si="216"/>
        <v>0</v>
      </c>
      <c r="CK150" s="48"/>
      <c r="CL150" s="48"/>
      <c r="CM150" s="48"/>
      <c r="CN150" s="48">
        <f t="shared" si="217"/>
        <v>0</v>
      </c>
      <c r="CO150" s="48"/>
      <c r="CP150" s="48"/>
      <c r="CQ150" s="48"/>
      <c r="CR150" s="48">
        <f t="shared" si="218"/>
        <v>0</v>
      </c>
      <c r="CS150" s="48"/>
      <c r="CT150" s="48"/>
      <c r="CU150" s="48"/>
      <c r="CV150" s="48">
        <f t="shared" si="219"/>
        <v>0</v>
      </c>
      <c r="CW150" s="48"/>
      <c r="CX150" s="48"/>
      <c r="CY150" s="48"/>
      <c r="CZ150" s="48">
        <f t="shared" si="220"/>
        <v>0</v>
      </c>
      <c r="DA150" s="48"/>
      <c r="DB150" s="48"/>
      <c r="DC150" s="48"/>
      <c r="DD150" s="48">
        <f t="shared" si="221"/>
        <v>0</v>
      </c>
      <c r="DE150" s="48"/>
      <c r="DF150" s="48"/>
      <c r="DG150" s="48"/>
      <c r="DH150" s="48">
        <f t="shared" si="222"/>
        <v>0</v>
      </c>
      <c r="DI150" s="48"/>
      <c r="DJ150" s="48"/>
      <c r="DK150" s="48"/>
      <c r="DL150" s="48">
        <f t="shared" si="223"/>
        <v>0</v>
      </c>
      <c r="DM150" s="48"/>
      <c r="DN150" s="48"/>
      <c r="DO150" s="48"/>
      <c r="DP150" s="48">
        <f t="shared" si="224"/>
        <v>0</v>
      </c>
      <c r="DQ150" s="48"/>
      <c r="DR150" s="48"/>
      <c r="DS150" s="48"/>
      <c r="DT150" s="48">
        <f t="shared" si="225"/>
        <v>0</v>
      </c>
      <c r="DU150" s="48"/>
      <c r="DV150" s="48"/>
      <c r="DW150" s="48"/>
      <c r="DX150" s="48">
        <f t="shared" si="226"/>
        <v>0</v>
      </c>
      <c r="DY150" s="48">
        <f t="shared" si="229"/>
        <v>16830</v>
      </c>
      <c r="DZ150" s="48">
        <f t="shared" si="228"/>
        <v>20</v>
      </c>
      <c r="EA150" s="14">
        <f>D150*'MASTER SHEET'!D150</f>
        <v>0</v>
      </c>
      <c r="EB150" s="14">
        <f>H150*'MASTER SHEET'!D150</f>
        <v>0</v>
      </c>
      <c r="EC150" s="14">
        <f>L150*'MASTER SHEET'!D150</f>
        <v>0</v>
      </c>
      <c r="ED150" s="14">
        <f>P150*'MASTER SHEET'!D150</f>
        <v>0</v>
      </c>
      <c r="EE150" s="14">
        <f>T150*'MASTER SHEET'!D150</f>
        <v>0</v>
      </c>
      <c r="EF150" s="14">
        <f>X150*'MASTER SHEET'!D150</f>
        <v>0</v>
      </c>
      <c r="EG150" s="14">
        <f>AB150*'MASTER SHEET'!D150</f>
        <v>0</v>
      </c>
      <c r="EH150" s="14">
        <f>AF150*'MASTER SHEET'!D150</f>
        <v>0</v>
      </c>
      <c r="EI150" s="14">
        <f>AJ150*'MASTER SHEET'!D150</f>
        <v>0</v>
      </c>
      <c r="EJ150" s="14">
        <f>AN150*'MASTER SHEET'!D150</f>
        <v>0</v>
      </c>
      <c r="EK150" s="14">
        <f>AR150*'MASTER SHEET'!D150</f>
        <v>0</v>
      </c>
      <c r="EL150" s="14">
        <f>AV150*'MASTER SHEET'!D150</f>
        <v>0</v>
      </c>
      <c r="EM150" s="14">
        <f>AZ150*'MASTER SHEET'!D150</f>
        <v>0</v>
      </c>
      <c r="EN150" s="14">
        <f>BD150*'MASTER SHEET'!D150</f>
        <v>0</v>
      </c>
      <c r="EO150" s="14">
        <f>BH150*'MASTER SHEET'!D150</f>
        <v>0</v>
      </c>
      <c r="EP150" s="14">
        <f>BL150*'MASTER SHEET'!D150</f>
        <v>0</v>
      </c>
      <c r="EQ150" s="14">
        <f>BP150*'MASTER SHEET'!D150</f>
        <v>0</v>
      </c>
      <c r="ER150" s="14">
        <f>BT150*'MASTER SHEET'!D150</f>
        <v>0</v>
      </c>
      <c r="ES150" s="14">
        <f>BX150*'MASTER SHEET'!D150</f>
        <v>0</v>
      </c>
      <c r="ET150" s="21">
        <f>CB150*'MASTER SHEET'!D150</f>
        <v>0</v>
      </c>
      <c r="EU150" s="14">
        <f>CF150*'MASTER SHEET'!D150</f>
        <v>0</v>
      </c>
      <c r="EV150" s="14">
        <f>CJ150*'MASTER SHEET'!D150</f>
        <v>0</v>
      </c>
      <c r="EW150" s="14">
        <f>CN150*'MASTER SHEET'!D150</f>
        <v>0</v>
      </c>
      <c r="EX150" s="14">
        <f>CR150*'MASTER SHEET'!D150</f>
        <v>0</v>
      </c>
      <c r="EY150" s="14">
        <f>CR150*'MASTER SHEET'!D150</f>
        <v>0</v>
      </c>
      <c r="EZ150" s="14">
        <f>CV150*'MASTER SHEET'!D150</f>
        <v>0</v>
      </c>
      <c r="FA150" s="14">
        <f>CZ150*'MASTER SHEET'!D150</f>
        <v>0</v>
      </c>
      <c r="FB150" s="14">
        <f>DD150*'MASTER SHEET'!D150</f>
        <v>0</v>
      </c>
    </row>
    <row r="151" spans="1:158" ht="18.75" customHeight="1" x14ac:dyDescent="0.25">
      <c r="A151" s="43">
        <f>'MASTER SHEET'!A151</f>
        <v>149</v>
      </c>
      <c r="B151" s="49" t="str">
        <f>'MASTER SHEET'!B151</f>
        <v>CLIP PIN</v>
      </c>
      <c r="C151" s="86">
        <f>'MASTER SHEET'!C151</f>
        <v>70025</v>
      </c>
      <c r="D151" s="51"/>
      <c r="E151" s="48"/>
      <c r="F151" s="48"/>
      <c r="G151" s="48"/>
      <c r="H151" s="48">
        <f t="shared" si="196"/>
        <v>0</v>
      </c>
      <c r="I151" s="28"/>
      <c r="J151" s="28"/>
      <c r="K151" s="65"/>
      <c r="L151" s="48">
        <f t="shared" si="197"/>
        <v>0</v>
      </c>
      <c r="M151" s="48"/>
      <c r="N151" s="48"/>
      <c r="O151" s="48"/>
      <c r="P151" s="48">
        <f t="shared" si="198"/>
        <v>0</v>
      </c>
      <c r="Q151" s="48"/>
      <c r="R151" s="48"/>
      <c r="S151" s="48"/>
      <c r="T151" s="48">
        <f t="shared" si="199"/>
        <v>0</v>
      </c>
      <c r="U151" s="48">
        <v>0</v>
      </c>
      <c r="V151" s="48"/>
      <c r="W151" s="48"/>
      <c r="X151" s="48">
        <f t="shared" si="200"/>
        <v>0</v>
      </c>
      <c r="Y151" s="48"/>
      <c r="Z151" s="48"/>
      <c r="AA151" s="48"/>
      <c r="AB151" s="48">
        <f t="shared" si="201"/>
        <v>0</v>
      </c>
      <c r="AC151" s="48"/>
      <c r="AD151" s="48"/>
      <c r="AE151" s="48"/>
      <c r="AF151" s="48">
        <f t="shared" si="202"/>
        <v>0</v>
      </c>
      <c r="AG151" s="48"/>
      <c r="AH151" s="48"/>
      <c r="AI151" s="48"/>
      <c r="AJ151" s="48">
        <f t="shared" si="203"/>
        <v>0</v>
      </c>
      <c r="AK151" s="48"/>
      <c r="AL151" s="48"/>
      <c r="AM151" s="48"/>
      <c r="AN151" s="48">
        <f t="shared" si="204"/>
        <v>0</v>
      </c>
      <c r="AO151" s="48"/>
      <c r="AP151" s="48"/>
      <c r="AQ151" s="48"/>
      <c r="AR151" s="48">
        <f t="shared" si="205"/>
        <v>0</v>
      </c>
      <c r="AS151" s="48"/>
      <c r="AT151" s="48"/>
      <c r="AU151" s="48"/>
      <c r="AV151" s="48">
        <f t="shared" si="206"/>
        <v>0</v>
      </c>
      <c r="AW151" s="48"/>
      <c r="AX151" s="48"/>
      <c r="AY151" s="48"/>
      <c r="AZ151" s="48">
        <f t="shared" si="207"/>
        <v>0</v>
      </c>
      <c r="BA151" s="48"/>
      <c r="BB151" s="48"/>
      <c r="BC151" s="48"/>
      <c r="BD151" s="48">
        <f t="shared" si="208"/>
        <v>0</v>
      </c>
      <c r="BE151" s="48"/>
      <c r="BF151" s="48"/>
      <c r="BG151" s="48"/>
      <c r="BH151" s="48">
        <f t="shared" si="209"/>
        <v>0</v>
      </c>
      <c r="BI151" s="48"/>
      <c r="BJ151" s="48"/>
      <c r="BK151" s="48"/>
      <c r="BL151" s="48">
        <f t="shared" si="210"/>
        <v>0</v>
      </c>
      <c r="BM151" s="48"/>
      <c r="BN151" s="48"/>
      <c r="BO151" s="48"/>
      <c r="BP151" s="48">
        <f t="shared" si="211"/>
        <v>0</v>
      </c>
      <c r="BQ151" s="48"/>
      <c r="BR151" s="48"/>
      <c r="BS151" s="48"/>
      <c r="BT151" s="48">
        <f t="shared" si="212"/>
        <v>0</v>
      </c>
      <c r="BU151" s="48"/>
      <c r="BV151" s="48"/>
      <c r="BW151" s="48"/>
      <c r="BX151" s="48">
        <f t="shared" si="213"/>
        <v>0</v>
      </c>
      <c r="BY151" s="48"/>
      <c r="BZ151" s="48"/>
      <c r="CA151" s="48"/>
      <c r="CB151" s="48">
        <f t="shared" si="214"/>
        <v>0</v>
      </c>
      <c r="CC151" s="48"/>
      <c r="CD151" s="48"/>
      <c r="CE151" s="48"/>
      <c r="CF151" s="48">
        <f t="shared" si="215"/>
        <v>0</v>
      </c>
      <c r="CG151" s="48"/>
      <c r="CH151" s="48"/>
      <c r="CI151" s="48"/>
      <c r="CJ151" s="48">
        <f t="shared" si="216"/>
        <v>0</v>
      </c>
      <c r="CK151" s="48"/>
      <c r="CL151" s="48"/>
      <c r="CM151" s="48"/>
      <c r="CN151" s="48">
        <f t="shared" si="217"/>
        <v>0</v>
      </c>
      <c r="CO151" s="48"/>
      <c r="CP151" s="48"/>
      <c r="CQ151" s="48"/>
      <c r="CR151" s="48">
        <f t="shared" si="218"/>
        <v>0</v>
      </c>
      <c r="CS151" s="48"/>
      <c r="CT151" s="48"/>
      <c r="CU151" s="48"/>
      <c r="CV151" s="48">
        <f t="shared" si="219"/>
        <v>0</v>
      </c>
      <c r="CW151" s="48"/>
      <c r="CX151" s="48"/>
      <c r="CY151" s="48"/>
      <c r="CZ151" s="48">
        <f t="shared" si="220"/>
        <v>0</v>
      </c>
      <c r="DA151" s="48"/>
      <c r="DB151" s="48"/>
      <c r="DC151" s="48"/>
      <c r="DD151" s="48">
        <f t="shared" si="221"/>
        <v>0</v>
      </c>
      <c r="DE151" s="48"/>
      <c r="DF151" s="48"/>
      <c r="DG151" s="48"/>
      <c r="DH151" s="48">
        <f t="shared" si="222"/>
        <v>0</v>
      </c>
      <c r="DI151" s="48"/>
      <c r="DJ151" s="48"/>
      <c r="DK151" s="48"/>
      <c r="DL151" s="48">
        <f t="shared" si="223"/>
        <v>0</v>
      </c>
      <c r="DM151" s="48"/>
      <c r="DN151" s="48"/>
      <c r="DO151" s="48"/>
      <c r="DP151" s="48">
        <f t="shared" si="224"/>
        <v>0</v>
      </c>
      <c r="DQ151" s="48"/>
      <c r="DR151" s="48"/>
      <c r="DS151" s="48"/>
      <c r="DT151" s="48">
        <f t="shared" si="225"/>
        <v>0</v>
      </c>
      <c r="DU151" s="48"/>
      <c r="DV151" s="48"/>
      <c r="DW151" s="48"/>
      <c r="DX151" s="48">
        <f t="shared" si="226"/>
        <v>0</v>
      </c>
      <c r="DY151" s="48">
        <f t="shared" si="229"/>
        <v>0</v>
      </c>
      <c r="DZ151" s="48">
        <f t="shared" si="228"/>
        <v>0</v>
      </c>
      <c r="EA151" s="14">
        <f>D151*'MASTER SHEET'!D151</f>
        <v>0</v>
      </c>
      <c r="EB151" s="14">
        <f>H151*'MASTER SHEET'!D151</f>
        <v>0</v>
      </c>
      <c r="EC151" s="14">
        <f>L151*'MASTER SHEET'!D151</f>
        <v>0</v>
      </c>
      <c r="ED151" s="14">
        <f>P151*'MASTER SHEET'!D151</f>
        <v>0</v>
      </c>
      <c r="EE151" s="14">
        <f>T151*'MASTER SHEET'!D151</f>
        <v>0</v>
      </c>
      <c r="EF151" s="14">
        <f>X151*'MASTER SHEET'!D151</f>
        <v>0</v>
      </c>
      <c r="EG151" s="14">
        <f>AB151*'MASTER SHEET'!D151</f>
        <v>0</v>
      </c>
      <c r="EH151" s="14">
        <f>AF151*'MASTER SHEET'!D151</f>
        <v>0</v>
      </c>
      <c r="EI151" s="14">
        <f>AJ151*'MASTER SHEET'!D151</f>
        <v>0</v>
      </c>
      <c r="EJ151" s="14">
        <f>AN151*'MASTER SHEET'!D151</f>
        <v>0</v>
      </c>
      <c r="EK151" s="14">
        <f>AR151*'MASTER SHEET'!D151</f>
        <v>0</v>
      </c>
      <c r="EL151" s="14">
        <f>AV151*'MASTER SHEET'!D151</f>
        <v>0</v>
      </c>
      <c r="EM151" s="14">
        <f>AZ151*'MASTER SHEET'!D151</f>
        <v>0</v>
      </c>
      <c r="EN151" s="14">
        <f>BD151*'MASTER SHEET'!D151</f>
        <v>0</v>
      </c>
      <c r="EO151" s="14">
        <f>BH151*'MASTER SHEET'!D151</f>
        <v>0</v>
      </c>
      <c r="EP151" s="14">
        <f>BL151*'MASTER SHEET'!D151</f>
        <v>0</v>
      </c>
      <c r="EQ151" s="14">
        <f>BP151*'MASTER SHEET'!D151</f>
        <v>0</v>
      </c>
      <c r="ER151" s="14">
        <f>BT151*'MASTER SHEET'!D151</f>
        <v>0</v>
      </c>
      <c r="ES151" s="14">
        <f>BX151*'MASTER SHEET'!D151</f>
        <v>0</v>
      </c>
      <c r="ET151" s="21">
        <f>CB151*'MASTER SHEET'!D151</f>
        <v>0</v>
      </c>
      <c r="EU151" s="14">
        <f>CF151*'MASTER SHEET'!D151</f>
        <v>0</v>
      </c>
      <c r="EV151" s="14">
        <f>CJ151*'MASTER SHEET'!D151</f>
        <v>0</v>
      </c>
      <c r="EW151" s="14">
        <f>CN151*'MASTER SHEET'!D151</f>
        <v>0</v>
      </c>
      <c r="EX151" s="14">
        <f>CR151*'MASTER SHEET'!D151</f>
        <v>0</v>
      </c>
      <c r="EY151" s="14">
        <f>CR151*'MASTER SHEET'!D151</f>
        <v>0</v>
      </c>
      <c r="EZ151" s="14">
        <f>CV151*'MASTER SHEET'!D151</f>
        <v>0</v>
      </c>
      <c r="FA151" s="14">
        <f>CZ151*'MASTER SHEET'!D151</f>
        <v>0</v>
      </c>
      <c r="FB151" s="14">
        <f>DD151*'MASTER SHEET'!D151</f>
        <v>0</v>
      </c>
    </row>
    <row r="152" spans="1:158" ht="18.75" customHeight="1" x14ac:dyDescent="0.25">
      <c r="A152" s="43">
        <f>'MASTER SHEET'!A152</f>
        <v>150</v>
      </c>
      <c r="B152" s="49" t="str">
        <f>'MASTER SHEET'!B152</f>
        <v>CLIP PIN</v>
      </c>
      <c r="C152" s="86">
        <f>'MASTER SHEET'!C152</f>
        <v>70026</v>
      </c>
      <c r="D152" s="51"/>
      <c r="E152" s="48"/>
      <c r="F152" s="48"/>
      <c r="G152" s="48"/>
      <c r="H152" s="48">
        <f t="shared" si="196"/>
        <v>0</v>
      </c>
      <c r="I152" s="28"/>
      <c r="J152" s="28"/>
      <c r="K152" s="65"/>
      <c r="L152" s="48">
        <f t="shared" si="197"/>
        <v>0</v>
      </c>
      <c r="M152" s="48"/>
      <c r="N152" s="48"/>
      <c r="O152" s="48"/>
      <c r="P152" s="48">
        <f t="shared" si="198"/>
        <v>0</v>
      </c>
      <c r="Q152" s="48"/>
      <c r="R152" s="48"/>
      <c r="S152" s="48"/>
      <c r="T152" s="48">
        <f t="shared" si="199"/>
        <v>0</v>
      </c>
      <c r="U152" s="48">
        <v>0</v>
      </c>
      <c r="V152" s="48"/>
      <c r="W152" s="48"/>
      <c r="X152" s="48">
        <f t="shared" si="200"/>
        <v>0</v>
      </c>
      <c r="Y152" s="48"/>
      <c r="Z152" s="48"/>
      <c r="AA152" s="48"/>
      <c r="AB152" s="48">
        <f t="shared" si="201"/>
        <v>0</v>
      </c>
      <c r="AC152" s="48"/>
      <c r="AD152" s="48"/>
      <c r="AE152" s="48"/>
      <c r="AF152" s="48">
        <f t="shared" si="202"/>
        <v>0</v>
      </c>
      <c r="AG152" s="48"/>
      <c r="AH152" s="48"/>
      <c r="AI152" s="48"/>
      <c r="AJ152" s="48">
        <f t="shared" si="203"/>
        <v>0</v>
      </c>
      <c r="AK152" s="48"/>
      <c r="AL152" s="48"/>
      <c r="AM152" s="48"/>
      <c r="AN152" s="48">
        <f t="shared" si="204"/>
        <v>0</v>
      </c>
      <c r="AO152" s="48"/>
      <c r="AP152" s="48"/>
      <c r="AQ152" s="48"/>
      <c r="AR152" s="48">
        <f t="shared" si="205"/>
        <v>0</v>
      </c>
      <c r="AS152" s="48"/>
      <c r="AT152" s="48"/>
      <c r="AU152" s="48"/>
      <c r="AV152" s="48">
        <f t="shared" si="206"/>
        <v>0</v>
      </c>
      <c r="AW152" s="48"/>
      <c r="AX152" s="48"/>
      <c r="AY152" s="48"/>
      <c r="AZ152" s="48">
        <f t="shared" si="207"/>
        <v>0</v>
      </c>
      <c r="BA152" s="48"/>
      <c r="BB152" s="48"/>
      <c r="BC152" s="48"/>
      <c r="BD152" s="48">
        <f t="shared" si="208"/>
        <v>0</v>
      </c>
      <c r="BE152" s="48"/>
      <c r="BF152" s="48"/>
      <c r="BG152" s="48"/>
      <c r="BH152" s="48">
        <f t="shared" si="209"/>
        <v>0</v>
      </c>
      <c r="BI152" s="48"/>
      <c r="BJ152" s="48"/>
      <c r="BK152" s="48"/>
      <c r="BL152" s="48">
        <f t="shared" si="210"/>
        <v>0</v>
      </c>
      <c r="BM152" s="48"/>
      <c r="BN152" s="48"/>
      <c r="BO152" s="48"/>
      <c r="BP152" s="48">
        <f t="shared" si="211"/>
        <v>0</v>
      </c>
      <c r="BQ152" s="48"/>
      <c r="BR152" s="48"/>
      <c r="BS152" s="48"/>
      <c r="BT152" s="48">
        <f t="shared" si="212"/>
        <v>0</v>
      </c>
      <c r="BU152" s="48"/>
      <c r="BV152" s="48"/>
      <c r="BW152" s="48"/>
      <c r="BX152" s="48">
        <f t="shared" si="213"/>
        <v>0</v>
      </c>
      <c r="BY152" s="48"/>
      <c r="BZ152" s="48"/>
      <c r="CA152" s="48"/>
      <c r="CB152" s="48">
        <f t="shared" si="214"/>
        <v>0</v>
      </c>
      <c r="CC152" s="48"/>
      <c r="CD152" s="48"/>
      <c r="CE152" s="48"/>
      <c r="CF152" s="48">
        <f t="shared" si="215"/>
        <v>0</v>
      </c>
      <c r="CG152" s="48"/>
      <c r="CH152" s="48"/>
      <c r="CI152" s="48"/>
      <c r="CJ152" s="48">
        <f t="shared" si="216"/>
        <v>0</v>
      </c>
      <c r="CK152" s="48"/>
      <c r="CL152" s="48"/>
      <c r="CM152" s="48"/>
      <c r="CN152" s="48">
        <f t="shared" si="217"/>
        <v>0</v>
      </c>
      <c r="CO152" s="48"/>
      <c r="CP152" s="48"/>
      <c r="CQ152" s="48"/>
      <c r="CR152" s="48">
        <f t="shared" si="218"/>
        <v>0</v>
      </c>
      <c r="CS152" s="48"/>
      <c r="CT152" s="48"/>
      <c r="CU152" s="48"/>
      <c r="CV152" s="48">
        <f t="shared" si="219"/>
        <v>0</v>
      </c>
      <c r="CW152" s="48"/>
      <c r="CX152" s="48"/>
      <c r="CY152" s="48"/>
      <c r="CZ152" s="48">
        <f t="shared" si="220"/>
        <v>0</v>
      </c>
      <c r="DA152" s="48"/>
      <c r="DB152" s="48"/>
      <c r="DC152" s="48"/>
      <c r="DD152" s="48">
        <f t="shared" si="221"/>
        <v>0</v>
      </c>
      <c r="DE152" s="48"/>
      <c r="DF152" s="48"/>
      <c r="DG152" s="48"/>
      <c r="DH152" s="48">
        <f t="shared" si="222"/>
        <v>0</v>
      </c>
      <c r="DI152" s="48"/>
      <c r="DJ152" s="48"/>
      <c r="DK152" s="48"/>
      <c r="DL152" s="48">
        <f t="shared" si="223"/>
        <v>0</v>
      </c>
      <c r="DM152" s="48"/>
      <c r="DN152" s="48"/>
      <c r="DO152" s="48"/>
      <c r="DP152" s="48">
        <f t="shared" si="224"/>
        <v>0</v>
      </c>
      <c r="DQ152" s="48"/>
      <c r="DR152" s="48"/>
      <c r="DS152" s="48"/>
      <c r="DT152" s="48">
        <f t="shared" si="225"/>
        <v>0</v>
      </c>
      <c r="DU152" s="48"/>
      <c r="DV152" s="48"/>
      <c r="DW152" s="48"/>
      <c r="DX152" s="48">
        <f t="shared" si="226"/>
        <v>0</v>
      </c>
      <c r="DY152" s="48">
        <f t="shared" si="229"/>
        <v>0</v>
      </c>
      <c r="DZ152" s="48">
        <f t="shared" si="228"/>
        <v>0</v>
      </c>
      <c r="EA152" s="14">
        <f>D152*'MASTER SHEET'!D152</f>
        <v>0</v>
      </c>
      <c r="EB152" s="14">
        <f>H152*'MASTER SHEET'!D152</f>
        <v>0</v>
      </c>
      <c r="EC152" s="14">
        <f>L152*'MASTER SHEET'!D152</f>
        <v>0</v>
      </c>
      <c r="ED152" s="14">
        <f>P152*'MASTER SHEET'!D152</f>
        <v>0</v>
      </c>
      <c r="EE152" s="14">
        <f>T152*'MASTER SHEET'!D152</f>
        <v>0</v>
      </c>
      <c r="EF152" s="14">
        <f>X152*'MASTER SHEET'!D152</f>
        <v>0</v>
      </c>
      <c r="EG152" s="14">
        <f>AB152*'MASTER SHEET'!D152</f>
        <v>0</v>
      </c>
      <c r="EH152" s="14">
        <f>AF152*'MASTER SHEET'!D152</f>
        <v>0</v>
      </c>
      <c r="EI152" s="14">
        <f>AJ152*'MASTER SHEET'!D152</f>
        <v>0</v>
      </c>
      <c r="EJ152" s="14">
        <f>AN152*'MASTER SHEET'!D152</f>
        <v>0</v>
      </c>
      <c r="EK152" s="14">
        <f>AR152*'MASTER SHEET'!D152</f>
        <v>0</v>
      </c>
      <c r="EL152" s="14">
        <f>AV152*'MASTER SHEET'!D152</f>
        <v>0</v>
      </c>
      <c r="EM152" s="14">
        <f>AZ152*'MASTER SHEET'!D152</f>
        <v>0</v>
      </c>
      <c r="EN152" s="14">
        <f>BD152*'MASTER SHEET'!D152</f>
        <v>0</v>
      </c>
      <c r="EO152" s="14">
        <f>BH152*'MASTER SHEET'!D152</f>
        <v>0</v>
      </c>
      <c r="EP152" s="14">
        <f>BL152*'MASTER SHEET'!D152</f>
        <v>0</v>
      </c>
      <c r="EQ152" s="14">
        <f>BP152*'MASTER SHEET'!D152</f>
        <v>0</v>
      </c>
      <c r="ER152" s="14">
        <f>BT152*'MASTER SHEET'!D152</f>
        <v>0</v>
      </c>
      <c r="ES152" s="14">
        <f>BX152*'MASTER SHEET'!D152</f>
        <v>0</v>
      </c>
      <c r="ET152" s="21">
        <f>CB152*'MASTER SHEET'!D152</f>
        <v>0</v>
      </c>
      <c r="EU152" s="14">
        <f>CF152*'MASTER SHEET'!D152</f>
        <v>0</v>
      </c>
      <c r="EV152" s="14">
        <f>CJ152*'MASTER SHEET'!D152</f>
        <v>0</v>
      </c>
      <c r="EW152" s="14">
        <f>CN152*'MASTER SHEET'!D152</f>
        <v>0</v>
      </c>
      <c r="EX152" s="14">
        <f>CR152*'MASTER SHEET'!D152</f>
        <v>0</v>
      </c>
      <c r="EY152" s="14">
        <f>CR152*'MASTER SHEET'!D152</f>
        <v>0</v>
      </c>
      <c r="EZ152" s="14">
        <f>CV152*'MASTER SHEET'!D152</f>
        <v>0</v>
      </c>
      <c r="FA152" s="14">
        <f>CZ152*'MASTER SHEET'!D152</f>
        <v>0</v>
      </c>
      <c r="FB152" s="14">
        <f>DD152*'MASTER SHEET'!D152</f>
        <v>0</v>
      </c>
    </row>
    <row r="153" spans="1:158" ht="18.75" customHeight="1" x14ac:dyDescent="0.25">
      <c r="A153" s="43">
        <f>'MASTER SHEET'!A153</f>
        <v>151</v>
      </c>
      <c r="B153" s="49" t="str">
        <f>'MASTER SHEET'!B153</f>
        <v>CLAMP D,FUEL PIPE</v>
      </c>
      <c r="C153" s="86">
        <f>'MASTER SHEET'!C153</f>
        <v>70007</v>
      </c>
      <c r="D153" s="51"/>
      <c r="E153" s="48"/>
      <c r="F153" s="48"/>
      <c r="G153" s="48"/>
      <c r="H153" s="48">
        <f t="shared" si="196"/>
        <v>0</v>
      </c>
      <c r="I153" s="28">
        <v>0</v>
      </c>
      <c r="J153" s="28">
        <v>0</v>
      </c>
      <c r="K153" s="65">
        <v>0</v>
      </c>
      <c r="L153" s="48">
        <f t="shared" si="197"/>
        <v>0</v>
      </c>
      <c r="M153" s="48"/>
      <c r="N153" s="48"/>
      <c r="O153" s="48"/>
      <c r="P153" s="48">
        <f t="shared" si="198"/>
        <v>0</v>
      </c>
      <c r="Q153" s="48">
        <v>0</v>
      </c>
      <c r="R153" s="48">
        <v>0</v>
      </c>
      <c r="S153" s="48">
        <v>0</v>
      </c>
      <c r="T153" s="48">
        <f t="shared" si="199"/>
        <v>0</v>
      </c>
      <c r="U153" s="48">
        <v>3548</v>
      </c>
      <c r="V153" s="48">
        <v>2850</v>
      </c>
      <c r="W153" s="48">
        <v>698</v>
      </c>
      <c r="X153" s="48">
        <f t="shared" si="200"/>
        <v>0</v>
      </c>
      <c r="Y153" s="48">
        <v>3060</v>
      </c>
      <c r="Z153" s="48">
        <v>2642</v>
      </c>
      <c r="AA153" s="48">
        <v>418</v>
      </c>
      <c r="AB153" s="48">
        <f t="shared" si="201"/>
        <v>0</v>
      </c>
      <c r="AC153" s="48">
        <v>0</v>
      </c>
      <c r="AD153" s="48">
        <v>0</v>
      </c>
      <c r="AE153" s="48">
        <v>0</v>
      </c>
      <c r="AF153" s="48">
        <f t="shared" si="202"/>
        <v>0</v>
      </c>
      <c r="AG153" s="48"/>
      <c r="AH153" s="48"/>
      <c r="AI153" s="48"/>
      <c r="AJ153" s="48">
        <f t="shared" si="203"/>
        <v>0</v>
      </c>
      <c r="AK153" s="48"/>
      <c r="AL153" s="48"/>
      <c r="AM153" s="48"/>
      <c r="AN153" s="48">
        <f t="shared" si="204"/>
        <v>0</v>
      </c>
      <c r="AO153" s="48"/>
      <c r="AP153" s="48"/>
      <c r="AQ153" s="48"/>
      <c r="AR153" s="48">
        <f t="shared" si="205"/>
        <v>0</v>
      </c>
      <c r="AS153" s="48"/>
      <c r="AT153" s="48"/>
      <c r="AU153" s="48"/>
      <c r="AV153" s="48">
        <f t="shared" si="206"/>
        <v>0</v>
      </c>
      <c r="AW153" s="48"/>
      <c r="AX153" s="48"/>
      <c r="AY153" s="48"/>
      <c r="AZ153" s="48">
        <f t="shared" si="207"/>
        <v>0</v>
      </c>
      <c r="BA153" s="48"/>
      <c r="BB153" s="48"/>
      <c r="BC153" s="48"/>
      <c r="BD153" s="48">
        <f t="shared" si="208"/>
        <v>0</v>
      </c>
      <c r="BE153" s="48"/>
      <c r="BF153" s="48"/>
      <c r="BG153" s="48"/>
      <c r="BH153" s="48">
        <f t="shared" si="209"/>
        <v>0</v>
      </c>
      <c r="BI153" s="48"/>
      <c r="BJ153" s="48"/>
      <c r="BK153" s="48"/>
      <c r="BL153" s="48">
        <f t="shared" si="210"/>
        <v>0</v>
      </c>
      <c r="BM153" s="48"/>
      <c r="BN153" s="48"/>
      <c r="BO153" s="48"/>
      <c r="BP153" s="48">
        <f t="shared" si="211"/>
        <v>0</v>
      </c>
      <c r="BQ153" s="48"/>
      <c r="BR153" s="48"/>
      <c r="BS153" s="48"/>
      <c r="BT153" s="48">
        <f t="shared" si="212"/>
        <v>0</v>
      </c>
      <c r="BU153" s="48"/>
      <c r="BV153" s="48"/>
      <c r="BW153" s="48"/>
      <c r="BX153" s="48">
        <f t="shared" si="213"/>
        <v>0</v>
      </c>
      <c r="BY153" s="48"/>
      <c r="BZ153" s="48"/>
      <c r="CA153" s="48"/>
      <c r="CB153" s="48">
        <f t="shared" si="214"/>
        <v>0</v>
      </c>
      <c r="CC153" s="48"/>
      <c r="CD153" s="48"/>
      <c r="CE153" s="48"/>
      <c r="CF153" s="48">
        <f t="shared" si="215"/>
        <v>0</v>
      </c>
      <c r="CG153" s="48"/>
      <c r="CH153" s="48"/>
      <c r="CI153" s="48"/>
      <c r="CJ153" s="48">
        <f t="shared" si="216"/>
        <v>0</v>
      </c>
      <c r="CK153" s="48"/>
      <c r="CL153" s="48"/>
      <c r="CM153" s="48"/>
      <c r="CN153" s="48">
        <f t="shared" si="217"/>
        <v>0</v>
      </c>
      <c r="CO153" s="48"/>
      <c r="CP153" s="48"/>
      <c r="CQ153" s="48"/>
      <c r="CR153" s="48">
        <f t="shared" si="218"/>
        <v>0</v>
      </c>
      <c r="CS153" s="48"/>
      <c r="CT153" s="48"/>
      <c r="CU153" s="48"/>
      <c r="CV153" s="48">
        <f t="shared" si="219"/>
        <v>0</v>
      </c>
      <c r="CW153" s="48"/>
      <c r="CX153" s="48"/>
      <c r="CY153" s="48"/>
      <c r="CZ153" s="48">
        <f t="shared" si="220"/>
        <v>0</v>
      </c>
      <c r="DA153" s="48"/>
      <c r="DB153" s="48"/>
      <c r="DC153" s="48"/>
      <c r="DD153" s="48">
        <f t="shared" si="221"/>
        <v>0</v>
      </c>
      <c r="DE153" s="48"/>
      <c r="DF153" s="48"/>
      <c r="DG153" s="48"/>
      <c r="DH153" s="48">
        <f t="shared" si="222"/>
        <v>0</v>
      </c>
      <c r="DI153" s="48"/>
      <c r="DJ153" s="48"/>
      <c r="DK153" s="48"/>
      <c r="DL153" s="48">
        <f t="shared" si="223"/>
        <v>0</v>
      </c>
      <c r="DM153" s="48"/>
      <c r="DN153" s="48"/>
      <c r="DO153" s="48"/>
      <c r="DP153" s="48">
        <f t="shared" si="224"/>
        <v>0</v>
      </c>
      <c r="DQ153" s="48"/>
      <c r="DR153" s="48"/>
      <c r="DS153" s="48"/>
      <c r="DT153" s="48">
        <f t="shared" si="225"/>
        <v>0</v>
      </c>
      <c r="DU153" s="48"/>
      <c r="DV153" s="48"/>
      <c r="DW153" s="48"/>
      <c r="DX153" s="48">
        <f t="shared" si="226"/>
        <v>0</v>
      </c>
      <c r="DY153" s="48">
        <f t="shared" si="229"/>
        <v>6608</v>
      </c>
      <c r="DZ153" s="48">
        <f t="shared" si="228"/>
        <v>1116</v>
      </c>
      <c r="EA153" s="14">
        <f>D153*'MASTER SHEET'!D153</f>
        <v>0</v>
      </c>
      <c r="EB153" s="14">
        <f>H153*'MASTER SHEET'!D153</f>
        <v>0</v>
      </c>
      <c r="EC153" s="14">
        <f>L153*'MASTER SHEET'!D153</f>
        <v>0</v>
      </c>
      <c r="ED153" s="14">
        <f>P153*'MASTER SHEET'!D153</f>
        <v>0</v>
      </c>
      <c r="EE153" s="14">
        <f>T153*'MASTER SHEET'!D153</f>
        <v>0</v>
      </c>
      <c r="EF153" s="14">
        <f>X153*'MASTER SHEET'!D153</f>
        <v>0</v>
      </c>
      <c r="EG153" s="14">
        <f>AB153*'MASTER SHEET'!D153</f>
        <v>0</v>
      </c>
      <c r="EH153" s="14">
        <f>AF153*'MASTER SHEET'!D153</f>
        <v>0</v>
      </c>
      <c r="EI153" s="14">
        <f>AJ153*'MASTER SHEET'!D153</f>
        <v>0</v>
      </c>
      <c r="EJ153" s="14">
        <f>AN153*'MASTER SHEET'!D153</f>
        <v>0</v>
      </c>
      <c r="EK153" s="14">
        <f>AR153*'MASTER SHEET'!D153</f>
        <v>0</v>
      </c>
      <c r="EL153" s="14">
        <f>AV153*'MASTER SHEET'!D153</f>
        <v>0</v>
      </c>
      <c r="EM153" s="14">
        <f>AZ153*'MASTER SHEET'!D153</f>
        <v>0</v>
      </c>
      <c r="EN153" s="14">
        <f>BD153*'MASTER SHEET'!D153</f>
        <v>0</v>
      </c>
      <c r="EO153" s="14">
        <f>BH153*'MASTER SHEET'!D153</f>
        <v>0</v>
      </c>
      <c r="EP153" s="14">
        <f>BL153*'MASTER SHEET'!D153</f>
        <v>0</v>
      </c>
      <c r="EQ153" s="14">
        <f>BP153*'MASTER SHEET'!D153</f>
        <v>0</v>
      </c>
      <c r="ER153" s="14">
        <f>BT153*'MASTER SHEET'!D153</f>
        <v>0</v>
      </c>
      <c r="ES153" s="14">
        <f>BX153*'MASTER SHEET'!D153</f>
        <v>0</v>
      </c>
      <c r="ET153" s="21">
        <f>CB153*'MASTER SHEET'!D153</f>
        <v>0</v>
      </c>
      <c r="EU153" s="14">
        <f>CF153*'MASTER SHEET'!D153</f>
        <v>0</v>
      </c>
      <c r="EV153" s="14">
        <f>CJ153*'MASTER SHEET'!D153</f>
        <v>0</v>
      </c>
      <c r="EW153" s="14">
        <f>CN153*'MASTER SHEET'!D153</f>
        <v>0</v>
      </c>
      <c r="EX153" s="14">
        <f>CR153*'MASTER SHEET'!D153</f>
        <v>0</v>
      </c>
      <c r="EY153" s="14">
        <f>CR153*'MASTER SHEET'!D153</f>
        <v>0</v>
      </c>
      <c r="EZ153" s="14">
        <f>CV153*'MASTER SHEET'!D153</f>
        <v>0</v>
      </c>
      <c r="FA153" s="14">
        <f>CZ153*'MASTER SHEET'!D153</f>
        <v>0</v>
      </c>
      <c r="FB153" s="14">
        <f>DD153*'MASTER SHEET'!D153</f>
        <v>0</v>
      </c>
    </row>
    <row r="154" spans="1:158" ht="18.75" customHeight="1" x14ac:dyDescent="0.25">
      <c r="A154" s="43">
        <f>'MASTER SHEET'!A154</f>
        <v>152</v>
      </c>
      <c r="B154" s="49" t="str">
        <f>'MASTER SHEET'!B154</f>
        <v>CLAMP B,FUEL PIPE</v>
      </c>
      <c r="C154" s="86">
        <f>'MASTER SHEET'!C154</f>
        <v>70005</v>
      </c>
      <c r="D154" s="51"/>
      <c r="E154" s="48">
        <v>3786</v>
      </c>
      <c r="F154" s="48">
        <v>3736</v>
      </c>
      <c r="G154" s="48">
        <v>50</v>
      </c>
      <c r="H154" s="48">
        <f t="shared" si="196"/>
        <v>0</v>
      </c>
      <c r="I154" s="28">
        <v>1972</v>
      </c>
      <c r="J154" s="28">
        <v>1972</v>
      </c>
      <c r="K154" s="65">
        <v>0</v>
      </c>
      <c r="L154" s="48">
        <f t="shared" si="197"/>
        <v>0</v>
      </c>
      <c r="M154" s="48"/>
      <c r="N154" s="48"/>
      <c r="O154" s="48"/>
      <c r="P154" s="48">
        <f t="shared" si="198"/>
        <v>0</v>
      </c>
      <c r="Q154" s="48">
        <v>0</v>
      </c>
      <c r="R154" s="48">
        <v>0</v>
      </c>
      <c r="S154" s="48">
        <v>0</v>
      </c>
      <c r="T154" s="48">
        <f t="shared" si="199"/>
        <v>0</v>
      </c>
      <c r="U154" s="48">
        <v>718</v>
      </c>
      <c r="V154" s="48">
        <v>184</v>
      </c>
      <c r="W154" s="48">
        <v>534</v>
      </c>
      <c r="X154" s="48">
        <f t="shared" si="200"/>
        <v>0</v>
      </c>
      <c r="Y154" s="48"/>
      <c r="Z154" s="48"/>
      <c r="AA154" s="48"/>
      <c r="AB154" s="48">
        <f t="shared" si="201"/>
        <v>0</v>
      </c>
      <c r="AC154" s="48"/>
      <c r="AD154" s="48"/>
      <c r="AE154" s="48"/>
      <c r="AF154" s="48">
        <f t="shared" si="202"/>
        <v>0</v>
      </c>
      <c r="AG154" s="48"/>
      <c r="AH154" s="48"/>
      <c r="AI154" s="48"/>
      <c r="AJ154" s="48">
        <f t="shared" si="203"/>
        <v>0</v>
      </c>
      <c r="AK154" s="48"/>
      <c r="AL154" s="48"/>
      <c r="AM154" s="48"/>
      <c r="AN154" s="48">
        <f t="shared" si="204"/>
        <v>0</v>
      </c>
      <c r="AO154" s="48"/>
      <c r="AP154" s="48"/>
      <c r="AQ154" s="48"/>
      <c r="AR154" s="48">
        <f t="shared" si="205"/>
        <v>0</v>
      </c>
      <c r="AS154" s="48"/>
      <c r="AT154" s="48"/>
      <c r="AU154" s="48"/>
      <c r="AV154" s="48">
        <f t="shared" si="206"/>
        <v>0</v>
      </c>
      <c r="AW154" s="48"/>
      <c r="AX154" s="48"/>
      <c r="AY154" s="48"/>
      <c r="AZ154" s="48">
        <f t="shared" si="207"/>
        <v>0</v>
      </c>
      <c r="BA154" s="48"/>
      <c r="BB154" s="48"/>
      <c r="BC154" s="48"/>
      <c r="BD154" s="48">
        <f t="shared" si="208"/>
        <v>0</v>
      </c>
      <c r="BE154" s="48"/>
      <c r="BF154" s="48"/>
      <c r="BG154" s="48"/>
      <c r="BH154" s="48">
        <f t="shared" si="209"/>
        <v>0</v>
      </c>
      <c r="BI154" s="48"/>
      <c r="BJ154" s="48"/>
      <c r="BK154" s="48"/>
      <c r="BL154" s="48">
        <f t="shared" si="210"/>
        <v>0</v>
      </c>
      <c r="BM154" s="48"/>
      <c r="BN154" s="48"/>
      <c r="BO154" s="48"/>
      <c r="BP154" s="48">
        <f t="shared" si="211"/>
        <v>0</v>
      </c>
      <c r="BQ154" s="48">
        <v>0</v>
      </c>
      <c r="BR154" s="48">
        <v>0</v>
      </c>
      <c r="BS154" s="48">
        <v>0</v>
      </c>
      <c r="BT154" s="48">
        <f t="shared" si="212"/>
        <v>0</v>
      </c>
      <c r="BU154" s="48">
        <v>2000</v>
      </c>
      <c r="BV154" s="48">
        <v>1922</v>
      </c>
      <c r="BW154" s="48">
        <v>78</v>
      </c>
      <c r="BX154" s="48">
        <f t="shared" si="213"/>
        <v>0</v>
      </c>
      <c r="BY154" s="48"/>
      <c r="BZ154" s="48"/>
      <c r="CA154" s="48"/>
      <c r="CB154" s="48">
        <f t="shared" si="214"/>
        <v>0</v>
      </c>
      <c r="CC154" s="48">
        <v>3308</v>
      </c>
      <c r="CD154" s="48">
        <v>3293</v>
      </c>
      <c r="CE154" s="48">
        <v>15</v>
      </c>
      <c r="CF154" s="48">
        <f t="shared" si="215"/>
        <v>0</v>
      </c>
      <c r="CG154" s="48"/>
      <c r="CH154" s="48"/>
      <c r="CI154" s="48"/>
      <c r="CJ154" s="48">
        <f t="shared" si="216"/>
        <v>0</v>
      </c>
      <c r="CK154" s="48"/>
      <c r="CL154" s="48"/>
      <c r="CM154" s="48"/>
      <c r="CN154" s="48">
        <f t="shared" si="217"/>
        <v>0</v>
      </c>
      <c r="CO154" s="48"/>
      <c r="CP154" s="48"/>
      <c r="CQ154" s="48"/>
      <c r="CR154" s="48">
        <f t="shared" si="218"/>
        <v>0</v>
      </c>
      <c r="CS154" s="48"/>
      <c r="CT154" s="48"/>
      <c r="CU154" s="48"/>
      <c r="CV154" s="48">
        <f t="shared" si="219"/>
        <v>0</v>
      </c>
      <c r="CW154" s="48"/>
      <c r="CX154" s="48"/>
      <c r="CY154" s="48"/>
      <c r="CZ154" s="48">
        <f t="shared" si="220"/>
        <v>0</v>
      </c>
      <c r="DA154" s="48"/>
      <c r="DB154" s="48"/>
      <c r="DC154" s="48"/>
      <c r="DD154" s="48">
        <f t="shared" si="221"/>
        <v>0</v>
      </c>
      <c r="DE154" s="48"/>
      <c r="DF154" s="48"/>
      <c r="DG154" s="48"/>
      <c r="DH154" s="48">
        <f t="shared" si="222"/>
        <v>0</v>
      </c>
      <c r="DI154" s="48"/>
      <c r="DJ154" s="48"/>
      <c r="DK154" s="48"/>
      <c r="DL154" s="48">
        <f t="shared" si="223"/>
        <v>0</v>
      </c>
      <c r="DM154" s="48"/>
      <c r="DN154" s="48"/>
      <c r="DO154" s="48"/>
      <c r="DP154" s="48">
        <f t="shared" si="224"/>
        <v>0</v>
      </c>
      <c r="DQ154" s="48"/>
      <c r="DR154" s="48"/>
      <c r="DS154" s="48"/>
      <c r="DT154" s="48">
        <f t="shared" si="225"/>
        <v>0</v>
      </c>
      <c r="DU154" s="48"/>
      <c r="DV154" s="48"/>
      <c r="DW154" s="48"/>
      <c r="DX154" s="48">
        <f t="shared" si="226"/>
        <v>0</v>
      </c>
      <c r="DY154" s="48">
        <f t="shared" si="229"/>
        <v>11784</v>
      </c>
      <c r="DZ154" s="48">
        <f t="shared" si="228"/>
        <v>677</v>
      </c>
      <c r="EA154" s="14">
        <f>D154*'MASTER SHEET'!D154</f>
        <v>0</v>
      </c>
      <c r="EB154" s="14">
        <f>H154*'MASTER SHEET'!D154</f>
        <v>0</v>
      </c>
      <c r="EC154" s="14">
        <f>L154*'MASTER SHEET'!D154</f>
        <v>0</v>
      </c>
      <c r="ED154" s="14">
        <f>P154*'MASTER SHEET'!D154</f>
        <v>0</v>
      </c>
      <c r="EE154" s="14">
        <f>T154*'MASTER SHEET'!D154</f>
        <v>0</v>
      </c>
      <c r="EF154" s="14">
        <f>X154*'MASTER SHEET'!D154</f>
        <v>0</v>
      </c>
      <c r="EG154" s="14">
        <f>AB154*'MASTER SHEET'!D154</f>
        <v>0</v>
      </c>
      <c r="EH154" s="14">
        <f>AF154*'MASTER SHEET'!D154</f>
        <v>0</v>
      </c>
      <c r="EI154" s="14">
        <f>AJ154*'MASTER SHEET'!D154</f>
        <v>0</v>
      </c>
      <c r="EJ154" s="14">
        <f>AN154*'MASTER SHEET'!D154</f>
        <v>0</v>
      </c>
      <c r="EK154" s="14">
        <f>AR154*'MASTER SHEET'!D154</f>
        <v>0</v>
      </c>
      <c r="EL154" s="14">
        <f>AV154*'MASTER SHEET'!D154</f>
        <v>0</v>
      </c>
      <c r="EM154" s="14">
        <f>AZ154*'MASTER SHEET'!D154</f>
        <v>0</v>
      </c>
      <c r="EN154" s="14">
        <f>BD154*'MASTER SHEET'!D154</f>
        <v>0</v>
      </c>
      <c r="EO154" s="14">
        <f>BH154*'MASTER SHEET'!D154</f>
        <v>0</v>
      </c>
      <c r="EP154" s="14">
        <f>BL154*'MASTER SHEET'!D154</f>
        <v>0</v>
      </c>
      <c r="EQ154" s="14">
        <f>BP154*'MASTER SHEET'!D154</f>
        <v>0</v>
      </c>
      <c r="ER154" s="14">
        <f>BT154*'MASTER SHEET'!D154</f>
        <v>0</v>
      </c>
      <c r="ES154" s="14">
        <f>BX154*'MASTER SHEET'!D154</f>
        <v>0</v>
      </c>
      <c r="ET154" s="21">
        <f>CB154*'MASTER SHEET'!D154</f>
        <v>0</v>
      </c>
      <c r="EU154" s="14">
        <f>CF154*'MASTER SHEET'!D154</f>
        <v>0</v>
      </c>
      <c r="EV154" s="14">
        <f>CJ154*'MASTER SHEET'!D154</f>
        <v>0</v>
      </c>
      <c r="EW154" s="14">
        <f>CN154*'MASTER SHEET'!D154</f>
        <v>0</v>
      </c>
      <c r="EX154" s="14">
        <f>CR154*'MASTER SHEET'!D154</f>
        <v>0</v>
      </c>
      <c r="EY154" s="14">
        <f>CR154*'MASTER SHEET'!D154</f>
        <v>0</v>
      </c>
      <c r="EZ154" s="14">
        <f>CV154*'MASTER SHEET'!D154</f>
        <v>0</v>
      </c>
      <c r="FA154" s="14">
        <f>CZ154*'MASTER SHEET'!D154</f>
        <v>0</v>
      </c>
      <c r="FB154" s="14">
        <f>DD154*'MASTER SHEET'!D154</f>
        <v>0</v>
      </c>
    </row>
    <row r="155" spans="1:158" ht="18.75" customHeight="1" x14ac:dyDescent="0.25">
      <c r="A155" s="43">
        <f>'MASTER SHEET'!A155</f>
        <v>153</v>
      </c>
      <c r="B155" s="49" t="str">
        <f>'MASTER SHEET'!B155</f>
        <v>CLAMP</v>
      </c>
      <c r="C155" s="86">
        <f>'MASTER SHEET'!C155</f>
        <v>62543</v>
      </c>
      <c r="D155" s="51"/>
      <c r="E155" s="48"/>
      <c r="F155" s="48"/>
      <c r="G155" s="48"/>
      <c r="H155" s="48">
        <f t="shared" si="196"/>
        <v>0</v>
      </c>
      <c r="I155" s="28"/>
      <c r="J155" s="28"/>
      <c r="K155" s="65"/>
      <c r="L155" s="48">
        <f t="shared" si="197"/>
        <v>0</v>
      </c>
      <c r="M155" s="48"/>
      <c r="N155" s="48"/>
      <c r="O155" s="48"/>
      <c r="P155" s="48">
        <f t="shared" si="198"/>
        <v>0</v>
      </c>
      <c r="Q155" s="48"/>
      <c r="R155" s="48"/>
      <c r="S155" s="48"/>
      <c r="T155" s="48">
        <f t="shared" si="199"/>
        <v>0</v>
      </c>
      <c r="U155" s="48">
        <v>0</v>
      </c>
      <c r="V155" s="48"/>
      <c r="W155" s="48"/>
      <c r="X155" s="48">
        <f t="shared" si="200"/>
        <v>0</v>
      </c>
      <c r="Y155" s="48"/>
      <c r="Z155" s="48"/>
      <c r="AA155" s="48"/>
      <c r="AB155" s="48">
        <f t="shared" si="201"/>
        <v>0</v>
      </c>
      <c r="AC155" s="48"/>
      <c r="AD155" s="48"/>
      <c r="AE155" s="48"/>
      <c r="AF155" s="48">
        <f t="shared" si="202"/>
        <v>0</v>
      </c>
      <c r="AG155" s="48"/>
      <c r="AH155" s="48"/>
      <c r="AI155" s="48"/>
      <c r="AJ155" s="48">
        <f t="shared" si="203"/>
        <v>0</v>
      </c>
      <c r="AK155" s="48"/>
      <c r="AL155" s="48"/>
      <c r="AM155" s="48"/>
      <c r="AN155" s="48">
        <f t="shared" si="204"/>
        <v>0</v>
      </c>
      <c r="AO155" s="48"/>
      <c r="AP155" s="48"/>
      <c r="AQ155" s="48"/>
      <c r="AR155" s="48">
        <f t="shared" si="205"/>
        <v>0</v>
      </c>
      <c r="AS155" s="48"/>
      <c r="AT155" s="48"/>
      <c r="AU155" s="48"/>
      <c r="AV155" s="48">
        <f t="shared" si="206"/>
        <v>0</v>
      </c>
      <c r="AW155" s="48"/>
      <c r="AX155" s="48"/>
      <c r="AY155" s="48"/>
      <c r="AZ155" s="48">
        <f t="shared" si="207"/>
        <v>0</v>
      </c>
      <c r="BA155" s="48"/>
      <c r="BB155" s="48"/>
      <c r="BC155" s="48"/>
      <c r="BD155" s="48">
        <f t="shared" si="208"/>
        <v>0</v>
      </c>
      <c r="BE155" s="48"/>
      <c r="BF155" s="48"/>
      <c r="BG155" s="48"/>
      <c r="BH155" s="48">
        <f t="shared" si="209"/>
        <v>0</v>
      </c>
      <c r="BI155" s="48"/>
      <c r="BJ155" s="48"/>
      <c r="BK155" s="48"/>
      <c r="BL155" s="48">
        <f t="shared" si="210"/>
        <v>0</v>
      </c>
      <c r="BM155" s="48"/>
      <c r="BN155" s="48"/>
      <c r="BO155" s="48"/>
      <c r="BP155" s="48">
        <f t="shared" si="211"/>
        <v>0</v>
      </c>
      <c r="BQ155" s="48"/>
      <c r="BR155" s="48"/>
      <c r="BS155" s="48"/>
      <c r="BT155" s="48">
        <f t="shared" si="212"/>
        <v>0</v>
      </c>
      <c r="BU155" s="48"/>
      <c r="BV155" s="48"/>
      <c r="BW155" s="48"/>
      <c r="BX155" s="48">
        <f t="shared" si="213"/>
        <v>0</v>
      </c>
      <c r="BY155" s="48"/>
      <c r="BZ155" s="48"/>
      <c r="CA155" s="48"/>
      <c r="CB155" s="48">
        <f t="shared" si="214"/>
        <v>0</v>
      </c>
      <c r="CC155" s="48"/>
      <c r="CD155" s="48"/>
      <c r="CE155" s="48"/>
      <c r="CF155" s="48">
        <f t="shared" si="215"/>
        <v>0</v>
      </c>
      <c r="CG155" s="48"/>
      <c r="CH155" s="48"/>
      <c r="CI155" s="48"/>
      <c r="CJ155" s="48">
        <f t="shared" si="216"/>
        <v>0</v>
      </c>
      <c r="CK155" s="48"/>
      <c r="CL155" s="48"/>
      <c r="CM155" s="48"/>
      <c r="CN155" s="48">
        <f t="shared" si="217"/>
        <v>0</v>
      </c>
      <c r="CO155" s="48"/>
      <c r="CP155" s="48"/>
      <c r="CQ155" s="48"/>
      <c r="CR155" s="48">
        <f t="shared" si="218"/>
        <v>0</v>
      </c>
      <c r="CS155" s="48"/>
      <c r="CT155" s="48"/>
      <c r="CU155" s="48"/>
      <c r="CV155" s="48">
        <f t="shared" si="219"/>
        <v>0</v>
      </c>
      <c r="CW155" s="48"/>
      <c r="CX155" s="48"/>
      <c r="CY155" s="48"/>
      <c r="CZ155" s="48">
        <f t="shared" si="220"/>
        <v>0</v>
      </c>
      <c r="DA155" s="48"/>
      <c r="DB155" s="48"/>
      <c r="DC155" s="48"/>
      <c r="DD155" s="48">
        <f t="shared" si="221"/>
        <v>0</v>
      </c>
      <c r="DE155" s="48"/>
      <c r="DF155" s="48"/>
      <c r="DG155" s="48"/>
      <c r="DH155" s="48">
        <f t="shared" si="222"/>
        <v>0</v>
      </c>
      <c r="DI155" s="48"/>
      <c r="DJ155" s="48"/>
      <c r="DK155" s="48"/>
      <c r="DL155" s="48">
        <f t="shared" si="223"/>
        <v>0</v>
      </c>
      <c r="DM155" s="48"/>
      <c r="DN155" s="48"/>
      <c r="DO155" s="48"/>
      <c r="DP155" s="48">
        <f t="shared" si="224"/>
        <v>0</v>
      </c>
      <c r="DQ155" s="48"/>
      <c r="DR155" s="48"/>
      <c r="DS155" s="48"/>
      <c r="DT155" s="48">
        <f t="shared" si="225"/>
        <v>0</v>
      </c>
      <c r="DU155" s="48"/>
      <c r="DV155" s="48"/>
      <c r="DW155" s="48"/>
      <c r="DX155" s="48">
        <f t="shared" si="226"/>
        <v>0</v>
      </c>
      <c r="DY155" s="48">
        <f t="shared" si="229"/>
        <v>0</v>
      </c>
      <c r="DZ155" s="48">
        <f t="shared" si="228"/>
        <v>0</v>
      </c>
      <c r="EA155" s="14">
        <f>D155*'MASTER SHEET'!D155</f>
        <v>0</v>
      </c>
      <c r="EB155" s="14">
        <f>H155*'MASTER SHEET'!D155</f>
        <v>0</v>
      </c>
      <c r="EC155" s="14">
        <f>L155*'MASTER SHEET'!D155</f>
        <v>0</v>
      </c>
      <c r="ED155" s="14">
        <f>P155*'MASTER SHEET'!D155</f>
        <v>0</v>
      </c>
      <c r="EE155" s="14">
        <f>T155*'MASTER SHEET'!D155</f>
        <v>0</v>
      </c>
      <c r="EF155" s="14">
        <f>X155*'MASTER SHEET'!D155</f>
        <v>0</v>
      </c>
      <c r="EG155" s="14">
        <f>AB155*'MASTER SHEET'!D155</f>
        <v>0</v>
      </c>
      <c r="EH155" s="14">
        <f>AF155*'MASTER SHEET'!D155</f>
        <v>0</v>
      </c>
      <c r="EI155" s="14">
        <f>AJ155*'MASTER SHEET'!D155</f>
        <v>0</v>
      </c>
      <c r="EJ155" s="14">
        <f>AN155*'MASTER SHEET'!D155</f>
        <v>0</v>
      </c>
      <c r="EK155" s="14">
        <f>AR155*'MASTER SHEET'!D155</f>
        <v>0</v>
      </c>
      <c r="EL155" s="14">
        <f>AV155*'MASTER SHEET'!D155</f>
        <v>0</v>
      </c>
      <c r="EM155" s="14">
        <f>AZ155*'MASTER SHEET'!D155</f>
        <v>0</v>
      </c>
      <c r="EN155" s="14">
        <f>BD155*'MASTER SHEET'!D155</f>
        <v>0</v>
      </c>
      <c r="EO155" s="14">
        <f>BH155*'MASTER SHEET'!D155</f>
        <v>0</v>
      </c>
      <c r="EP155" s="14">
        <f>BL155*'MASTER SHEET'!D155</f>
        <v>0</v>
      </c>
      <c r="EQ155" s="14">
        <f>BP155*'MASTER SHEET'!D155</f>
        <v>0</v>
      </c>
      <c r="ER155" s="14">
        <f>BT155*'MASTER SHEET'!D155</f>
        <v>0</v>
      </c>
      <c r="ES155" s="14">
        <f>BX155*'MASTER SHEET'!D155</f>
        <v>0</v>
      </c>
      <c r="ET155" s="21">
        <f>CB155*'MASTER SHEET'!D155</f>
        <v>0</v>
      </c>
      <c r="EU155" s="14">
        <f>CF155*'MASTER SHEET'!D155</f>
        <v>0</v>
      </c>
      <c r="EV155" s="14">
        <f>CJ155*'MASTER SHEET'!D155</f>
        <v>0</v>
      </c>
      <c r="EW155" s="14">
        <f>CN155*'MASTER SHEET'!D155</f>
        <v>0</v>
      </c>
      <c r="EX155" s="14">
        <f>CR155*'MASTER SHEET'!D155</f>
        <v>0</v>
      </c>
      <c r="EY155" s="14">
        <f>CR155*'MASTER SHEET'!D155</f>
        <v>0</v>
      </c>
      <c r="EZ155" s="14">
        <f>CV155*'MASTER SHEET'!D155</f>
        <v>0</v>
      </c>
      <c r="FA155" s="14">
        <f>CZ155*'MASTER SHEET'!D155</f>
        <v>0</v>
      </c>
      <c r="FB155" s="14">
        <f>DD155*'MASTER SHEET'!D155</f>
        <v>0</v>
      </c>
    </row>
    <row r="156" spans="1:158" ht="18.75" customHeight="1" x14ac:dyDescent="0.25">
      <c r="A156" s="43">
        <f>'MASTER SHEET'!A156</f>
        <v>154</v>
      </c>
      <c r="B156" s="49" t="str">
        <f>'MASTER SHEET'!B156</f>
        <v>CAP</v>
      </c>
      <c r="C156" s="86">
        <f>'MASTER SHEET'!C156</f>
        <v>62620</v>
      </c>
      <c r="D156" s="51"/>
      <c r="E156" s="48"/>
      <c r="F156" s="48"/>
      <c r="G156" s="48"/>
      <c r="H156" s="48">
        <f t="shared" si="196"/>
        <v>0</v>
      </c>
      <c r="I156" s="28"/>
      <c r="J156" s="28"/>
      <c r="K156" s="65"/>
      <c r="L156" s="48">
        <f t="shared" si="197"/>
        <v>0</v>
      </c>
      <c r="M156" s="48"/>
      <c r="N156" s="48"/>
      <c r="O156" s="48"/>
      <c r="P156" s="48">
        <f t="shared" si="198"/>
        <v>0</v>
      </c>
      <c r="Q156" s="48"/>
      <c r="R156" s="48"/>
      <c r="S156" s="48"/>
      <c r="T156" s="48">
        <f t="shared" si="199"/>
        <v>0</v>
      </c>
      <c r="U156" s="48">
        <v>0</v>
      </c>
      <c r="V156" s="48"/>
      <c r="W156" s="48"/>
      <c r="X156" s="48">
        <f t="shared" si="200"/>
        <v>0</v>
      </c>
      <c r="Y156" s="48"/>
      <c r="Z156" s="48"/>
      <c r="AA156" s="48"/>
      <c r="AB156" s="48">
        <f t="shared" si="201"/>
        <v>0</v>
      </c>
      <c r="AC156" s="48"/>
      <c r="AD156" s="48"/>
      <c r="AE156" s="48"/>
      <c r="AF156" s="48">
        <f t="shared" si="202"/>
        <v>0</v>
      </c>
      <c r="AG156" s="48"/>
      <c r="AH156" s="48"/>
      <c r="AI156" s="48"/>
      <c r="AJ156" s="48">
        <f t="shared" si="203"/>
        <v>0</v>
      </c>
      <c r="AK156" s="48"/>
      <c r="AL156" s="48"/>
      <c r="AM156" s="48"/>
      <c r="AN156" s="48">
        <f t="shared" si="204"/>
        <v>0</v>
      </c>
      <c r="AO156" s="48"/>
      <c r="AP156" s="48"/>
      <c r="AQ156" s="48"/>
      <c r="AR156" s="48">
        <f t="shared" si="205"/>
        <v>0</v>
      </c>
      <c r="AS156" s="48"/>
      <c r="AT156" s="48"/>
      <c r="AU156" s="48"/>
      <c r="AV156" s="48">
        <f t="shared" si="206"/>
        <v>0</v>
      </c>
      <c r="AW156" s="48"/>
      <c r="AX156" s="48"/>
      <c r="AY156" s="48"/>
      <c r="AZ156" s="48">
        <f t="shared" si="207"/>
        <v>0</v>
      </c>
      <c r="BA156" s="48"/>
      <c r="BB156" s="48"/>
      <c r="BC156" s="48"/>
      <c r="BD156" s="48">
        <f t="shared" si="208"/>
        <v>0</v>
      </c>
      <c r="BE156" s="48"/>
      <c r="BF156" s="48"/>
      <c r="BG156" s="48"/>
      <c r="BH156" s="48">
        <f t="shared" si="209"/>
        <v>0</v>
      </c>
      <c r="BI156" s="48"/>
      <c r="BJ156" s="48"/>
      <c r="BK156" s="48"/>
      <c r="BL156" s="48">
        <f t="shared" si="210"/>
        <v>0</v>
      </c>
      <c r="BM156" s="48"/>
      <c r="BN156" s="48"/>
      <c r="BO156" s="48"/>
      <c r="BP156" s="48">
        <f t="shared" si="211"/>
        <v>0</v>
      </c>
      <c r="BQ156" s="48"/>
      <c r="BR156" s="48"/>
      <c r="BS156" s="48"/>
      <c r="BT156" s="48">
        <f t="shared" si="212"/>
        <v>0</v>
      </c>
      <c r="BU156" s="48"/>
      <c r="BV156" s="48"/>
      <c r="BW156" s="48"/>
      <c r="BX156" s="48">
        <f t="shared" si="213"/>
        <v>0</v>
      </c>
      <c r="BY156" s="48"/>
      <c r="BZ156" s="48"/>
      <c r="CA156" s="48"/>
      <c r="CB156" s="48">
        <f t="shared" si="214"/>
        <v>0</v>
      </c>
      <c r="CC156" s="48"/>
      <c r="CD156" s="48"/>
      <c r="CE156" s="48"/>
      <c r="CF156" s="48">
        <f t="shared" si="215"/>
        <v>0</v>
      </c>
      <c r="CG156" s="48"/>
      <c r="CH156" s="48"/>
      <c r="CI156" s="48"/>
      <c r="CJ156" s="48">
        <f t="shared" si="216"/>
        <v>0</v>
      </c>
      <c r="CK156" s="48"/>
      <c r="CL156" s="48"/>
      <c r="CM156" s="48"/>
      <c r="CN156" s="48">
        <f t="shared" si="217"/>
        <v>0</v>
      </c>
      <c r="CO156" s="48"/>
      <c r="CP156" s="48"/>
      <c r="CQ156" s="48"/>
      <c r="CR156" s="48">
        <f t="shared" si="218"/>
        <v>0</v>
      </c>
      <c r="CS156" s="48"/>
      <c r="CT156" s="48"/>
      <c r="CU156" s="48"/>
      <c r="CV156" s="48">
        <f t="shared" si="219"/>
        <v>0</v>
      </c>
      <c r="CW156" s="48"/>
      <c r="CX156" s="48"/>
      <c r="CY156" s="48"/>
      <c r="CZ156" s="48">
        <f t="shared" si="220"/>
        <v>0</v>
      </c>
      <c r="DA156" s="48"/>
      <c r="DB156" s="48"/>
      <c r="DC156" s="48"/>
      <c r="DD156" s="48">
        <f t="shared" si="221"/>
        <v>0</v>
      </c>
      <c r="DE156" s="48"/>
      <c r="DF156" s="48"/>
      <c r="DG156" s="48"/>
      <c r="DH156" s="48">
        <f t="shared" si="222"/>
        <v>0</v>
      </c>
      <c r="DI156" s="48"/>
      <c r="DJ156" s="48"/>
      <c r="DK156" s="48"/>
      <c r="DL156" s="48">
        <f t="shared" si="223"/>
        <v>0</v>
      </c>
      <c r="DM156" s="48"/>
      <c r="DN156" s="48"/>
      <c r="DO156" s="48"/>
      <c r="DP156" s="48">
        <f t="shared" si="224"/>
        <v>0</v>
      </c>
      <c r="DQ156" s="48"/>
      <c r="DR156" s="48"/>
      <c r="DS156" s="48"/>
      <c r="DT156" s="48">
        <f t="shared" si="225"/>
        <v>0</v>
      </c>
      <c r="DU156" s="48"/>
      <c r="DV156" s="48"/>
      <c r="DW156" s="48"/>
      <c r="DX156" s="48">
        <f t="shared" si="226"/>
        <v>0</v>
      </c>
      <c r="DY156" s="48">
        <f t="shared" si="229"/>
        <v>0</v>
      </c>
      <c r="DZ156" s="48">
        <f t="shared" si="228"/>
        <v>0</v>
      </c>
      <c r="EA156" s="14">
        <f>D156*'MASTER SHEET'!D156</f>
        <v>0</v>
      </c>
      <c r="EB156" s="14">
        <f>H156*'MASTER SHEET'!D156</f>
        <v>0</v>
      </c>
      <c r="EC156" s="14">
        <f>L156*'MASTER SHEET'!D156</f>
        <v>0</v>
      </c>
      <c r="ED156" s="14">
        <f>P156*'MASTER SHEET'!D156</f>
        <v>0</v>
      </c>
      <c r="EE156" s="14">
        <f>T156*'MASTER SHEET'!D156</f>
        <v>0</v>
      </c>
      <c r="EF156" s="14">
        <f>X156*'MASTER SHEET'!D156</f>
        <v>0</v>
      </c>
      <c r="EG156" s="14">
        <f>AB156*'MASTER SHEET'!D156</f>
        <v>0</v>
      </c>
      <c r="EH156" s="14">
        <f>AF156*'MASTER SHEET'!D156</f>
        <v>0</v>
      </c>
      <c r="EI156" s="14">
        <f>AJ156*'MASTER SHEET'!D156</f>
        <v>0</v>
      </c>
      <c r="EJ156" s="14">
        <f>AN156*'MASTER SHEET'!D156</f>
        <v>0</v>
      </c>
      <c r="EK156" s="14">
        <f>AR156*'MASTER SHEET'!D156</f>
        <v>0</v>
      </c>
      <c r="EL156" s="14">
        <f>AV156*'MASTER SHEET'!D156</f>
        <v>0</v>
      </c>
      <c r="EM156" s="14">
        <f>AZ156*'MASTER SHEET'!D156</f>
        <v>0</v>
      </c>
      <c r="EN156" s="14">
        <f>BD156*'MASTER SHEET'!D156</f>
        <v>0</v>
      </c>
      <c r="EO156" s="14">
        <f>BH156*'MASTER SHEET'!D156</f>
        <v>0</v>
      </c>
      <c r="EP156" s="14">
        <f>BL156*'MASTER SHEET'!D156</f>
        <v>0</v>
      </c>
      <c r="EQ156" s="14">
        <f>BP156*'MASTER SHEET'!D156</f>
        <v>0</v>
      </c>
      <c r="ER156" s="14">
        <f>BT156*'MASTER SHEET'!D156</f>
        <v>0</v>
      </c>
      <c r="ES156" s="14">
        <f>BX156*'MASTER SHEET'!D156</f>
        <v>0</v>
      </c>
      <c r="ET156" s="21">
        <f>CB156*'MASTER SHEET'!D156</f>
        <v>0</v>
      </c>
      <c r="EU156" s="14">
        <f>CF156*'MASTER SHEET'!D156</f>
        <v>0</v>
      </c>
      <c r="EV156" s="14">
        <f>CJ156*'MASTER SHEET'!D156</f>
        <v>0</v>
      </c>
      <c r="EW156" s="14">
        <f>CN156*'MASTER SHEET'!D156</f>
        <v>0</v>
      </c>
      <c r="EX156" s="14">
        <f>CR156*'MASTER SHEET'!D156</f>
        <v>0</v>
      </c>
      <c r="EY156" s="14">
        <f>CR156*'MASTER SHEET'!D156</f>
        <v>0</v>
      </c>
      <c r="EZ156" s="14">
        <f>CV156*'MASTER SHEET'!D156</f>
        <v>0</v>
      </c>
      <c r="FA156" s="14">
        <f>CZ156*'MASTER SHEET'!D156</f>
        <v>0</v>
      </c>
      <c r="FB156" s="14">
        <f>DD156*'MASTER SHEET'!D156</f>
        <v>0</v>
      </c>
    </row>
    <row r="157" spans="1:158" ht="18.75" customHeight="1" x14ac:dyDescent="0.25">
      <c r="A157" s="43">
        <f>'MASTER SHEET'!A157</f>
        <v>155</v>
      </c>
      <c r="B157" s="49" t="str">
        <f>'MASTER SHEET'!B157</f>
        <v>CLAMP HEATER NOSE</v>
      </c>
      <c r="C157" s="86">
        <f>'MASTER SHEET'!C157</f>
        <v>62625</v>
      </c>
      <c r="D157" s="51"/>
      <c r="E157" s="48"/>
      <c r="F157" s="48"/>
      <c r="G157" s="48"/>
      <c r="H157" s="48">
        <f t="shared" si="196"/>
        <v>0</v>
      </c>
      <c r="I157" s="28"/>
      <c r="J157" s="28"/>
      <c r="K157" s="65"/>
      <c r="L157" s="48">
        <f t="shared" si="197"/>
        <v>0</v>
      </c>
      <c r="M157" s="48"/>
      <c r="N157" s="48"/>
      <c r="O157" s="48"/>
      <c r="P157" s="48">
        <f t="shared" si="198"/>
        <v>0</v>
      </c>
      <c r="Q157" s="48"/>
      <c r="R157" s="48"/>
      <c r="S157" s="48"/>
      <c r="T157" s="48">
        <f t="shared" si="199"/>
        <v>0</v>
      </c>
      <c r="U157" s="48">
        <v>0</v>
      </c>
      <c r="V157" s="48"/>
      <c r="W157" s="48"/>
      <c r="X157" s="48">
        <f t="shared" si="200"/>
        <v>0</v>
      </c>
      <c r="Y157" s="48"/>
      <c r="Z157" s="48"/>
      <c r="AA157" s="48"/>
      <c r="AB157" s="48">
        <f t="shared" si="201"/>
        <v>0</v>
      </c>
      <c r="AC157" s="48"/>
      <c r="AD157" s="48"/>
      <c r="AE157" s="48"/>
      <c r="AF157" s="48">
        <f t="shared" si="202"/>
        <v>0</v>
      </c>
      <c r="AG157" s="48"/>
      <c r="AH157" s="48"/>
      <c r="AI157" s="48"/>
      <c r="AJ157" s="48">
        <f t="shared" si="203"/>
        <v>0</v>
      </c>
      <c r="AK157" s="48"/>
      <c r="AL157" s="48"/>
      <c r="AM157" s="48"/>
      <c r="AN157" s="48">
        <f t="shared" si="204"/>
        <v>0</v>
      </c>
      <c r="AO157" s="48">
        <v>3652</v>
      </c>
      <c r="AP157" s="48">
        <v>3612</v>
      </c>
      <c r="AQ157" s="48">
        <v>40</v>
      </c>
      <c r="AR157" s="48">
        <f t="shared" si="205"/>
        <v>0</v>
      </c>
      <c r="AS157" s="48">
        <v>0</v>
      </c>
      <c r="AT157" s="48">
        <v>0</v>
      </c>
      <c r="AU157" s="48">
        <v>0</v>
      </c>
      <c r="AV157" s="48">
        <f t="shared" si="206"/>
        <v>0</v>
      </c>
      <c r="AW157" s="48">
        <v>0</v>
      </c>
      <c r="AX157" s="48">
        <v>0</v>
      </c>
      <c r="AY157" s="48">
        <v>0</v>
      </c>
      <c r="AZ157" s="48">
        <f t="shared" si="207"/>
        <v>0</v>
      </c>
      <c r="BA157" s="48"/>
      <c r="BB157" s="48"/>
      <c r="BC157" s="48"/>
      <c r="BD157" s="48">
        <f t="shared" si="208"/>
        <v>0</v>
      </c>
      <c r="BE157" s="48"/>
      <c r="BF157" s="48"/>
      <c r="BG157" s="48"/>
      <c r="BH157" s="48">
        <f t="shared" si="209"/>
        <v>0</v>
      </c>
      <c r="BI157" s="48"/>
      <c r="BJ157" s="48"/>
      <c r="BK157" s="48"/>
      <c r="BL157" s="48">
        <f t="shared" si="210"/>
        <v>0</v>
      </c>
      <c r="BM157" s="48"/>
      <c r="BN157" s="48"/>
      <c r="BO157" s="48"/>
      <c r="BP157" s="48">
        <f t="shared" si="211"/>
        <v>0</v>
      </c>
      <c r="BQ157" s="48"/>
      <c r="BR157" s="48"/>
      <c r="BS157" s="48"/>
      <c r="BT157" s="48">
        <f t="shared" si="212"/>
        <v>0</v>
      </c>
      <c r="BU157" s="48"/>
      <c r="BV157" s="48"/>
      <c r="BW157" s="48"/>
      <c r="BX157" s="48">
        <f t="shared" si="213"/>
        <v>0</v>
      </c>
      <c r="BY157" s="48"/>
      <c r="BZ157" s="48"/>
      <c r="CA157" s="48"/>
      <c r="CB157" s="48">
        <f t="shared" si="214"/>
        <v>0</v>
      </c>
      <c r="CC157" s="48"/>
      <c r="CD157" s="48"/>
      <c r="CE157" s="48"/>
      <c r="CF157" s="48">
        <f t="shared" si="215"/>
        <v>0</v>
      </c>
      <c r="CG157" s="48"/>
      <c r="CH157" s="48"/>
      <c r="CI157" s="48"/>
      <c r="CJ157" s="48">
        <f t="shared" si="216"/>
        <v>0</v>
      </c>
      <c r="CK157" s="48"/>
      <c r="CL157" s="48"/>
      <c r="CM157" s="48"/>
      <c r="CN157" s="48">
        <f t="shared" si="217"/>
        <v>0</v>
      </c>
      <c r="CO157" s="48"/>
      <c r="CP157" s="48"/>
      <c r="CQ157" s="48"/>
      <c r="CR157" s="48">
        <f t="shared" si="218"/>
        <v>0</v>
      </c>
      <c r="CS157" s="48"/>
      <c r="CT157" s="48"/>
      <c r="CU157" s="48"/>
      <c r="CV157" s="48">
        <f t="shared" si="219"/>
        <v>0</v>
      </c>
      <c r="CW157" s="48"/>
      <c r="CX157" s="48"/>
      <c r="CY157" s="48"/>
      <c r="CZ157" s="48">
        <f t="shared" si="220"/>
        <v>0</v>
      </c>
      <c r="DA157" s="48"/>
      <c r="DB157" s="48"/>
      <c r="DC157" s="48"/>
      <c r="DD157" s="48">
        <f t="shared" si="221"/>
        <v>0</v>
      </c>
      <c r="DE157" s="48"/>
      <c r="DF157" s="48"/>
      <c r="DG157" s="48"/>
      <c r="DH157" s="48">
        <f t="shared" si="222"/>
        <v>0</v>
      </c>
      <c r="DI157" s="48"/>
      <c r="DJ157" s="48"/>
      <c r="DK157" s="48"/>
      <c r="DL157" s="48">
        <f t="shared" si="223"/>
        <v>0</v>
      </c>
      <c r="DM157" s="48"/>
      <c r="DN157" s="48"/>
      <c r="DO157" s="48"/>
      <c r="DP157" s="48">
        <f t="shared" si="224"/>
        <v>0</v>
      </c>
      <c r="DQ157" s="48"/>
      <c r="DR157" s="48"/>
      <c r="DS157" s="48"/>
      <c r="DT157" s="48">
        <f t="shared" si="225"/>
        <v>0</v>
      </c>
      <c r="DU157" s="48"/>
      <c r="DV157" s="48"/>
      <c r="DW157" s="48"/>
      <c r="DX157" s="48">
        <f t="shared" si="226"/>
        <v>0</v>
      </c>
      <c r="DY157" s="48">
        <f t="shared" si="229"/>
        <v>3652</v>
      </c>
      <c r="DZ157" s="48">
        <f t="shared" si="228"/>
        <v>40</v>
      </c>
      <c r="EA157" s="14">
        <f>D157*'MASTER SHEET'!D157</f>
        <v>0</v>
      </c>
      <c r="EB157" s="14">
        <f>H157*'MASTER SHEET'!D157</f>
        <v>0</v>
      </c>
      <c r="EC157" s="14">
        <f>L157*'MASTER SHEET'!D157</f>
        <v>0</v>
      </c>
      <c r="ED157" s="14">
        <f>P157*'MASTER SHEET'!D157</f>
        <v>0</v>
      </c>
      <c r="EE157" s="14">
        <f>T157*'MASTER SHEET'!D157</f>
        <v>0</v>
      </c>
      <c r="EF157" s="14">
        <f>X157*'MASTER SHEET'!D157</f>
        <v>0</v>
      </c>
      <c r="EG157" s="14">
        <f>AB157*'MASTER SHEET'!D157</f>
        <v>0</v>
      </c>
      <c r="EH157" s="14">
        <f>AF157*'MASTER SHEET'!D157</f>
        <v>0</v>
      </c>
      <c r="EI157" s="14">
        <f>AJ157*'MASTER SHEET'!D157</f>
        <v>0</v>
      </c>
      <c r="EJ157" s="14">
        <f>AN157*'MASTER SHEET'!D157</f>
        <v>0</v>
      </c>
      <c r="EK157" s="14">
        <f>AR157*'MASTER SHEET'!D157</f>
        <v>0</v>
      </c>
      <c r="EL157" s="14">
        <f>AV157*'MASTER SHEET'!D157</f>
        <v>0</v>
      </c>
      <c r="EM157" s="14">
        <f>AZ157*'MASTER SHEET'!D157</f>
        <v>0</v>
      </c>
      <c r="EN157" s="14">
        <f>BD157*'MASTER SHEET'!D157</f>
        <v>0</v>
      </c>
      <c r="EO157" s="14">
        <f>BH157*'MASTER SHEET'!D157</f>
        <v>0</v>
      </c>
      <c r="EP157" s="14">
        <f>BL157*'MASTER SHEET'!D157</f>
        <v>0</v>
      </c>
      <c r="EQ157" s="14">
        <f>BP157*'MASTER SHEET'!D157</f>
        <v>0</v>
      </c>
      <c r="ER157" s="14">
        <f>BT157*'MASTER SHEET'!D157</f>
        <v>0</v>
      </c>
      <c r="ES157" s="14">
        <f>BX157*'MASTER SHEET'!D157</f>
        <v>0</v>
      </c>
      <c r="ET157" s="21">
        <f>CB157*'MASTER SHEET'!D157</f>
        <v>0</v>
      </c>
      <c r="EU157" s="14">
        <f>CF157*'MASTER SHEET'!D157</f>
        <v>0</v>
      </c>
      <c r="EV157" s="14">
        <f>CJ157*'MASTER SHEET'!D157</f>
        <v>0</v>
      </c>
      <c r="EW157" s="14">
        <f>CN157*'MASTER SHEET'!D157</f>
        <v>0</v>
      </c>
      <c r="EX157" s="14">
        <f>CR157*'MASTER SHEET'!D157</f>
        <v>0</v>
      </c>
      <c r="EY157" s="14">
        <f>CR157*'MASTER SHEET'!D157</f>
        <v>0</v>
      </c>
      <c r="EZ157" s="14">
        <f>CV157*'MASTER SHEET'!D157</f>
        <v>0</v>
      </c>
      <c r="FA157" s="14">
        <f>CZ157*'MASTER SHEET'!D157</f>
        <v>0</v>
      </c>
      <c r="FB157" s="14">
        <f>DD157*'MASTER SHEET'!D157</f>
        <v>0</v>
      </c>
    </row>
    <row r="158" spans="1:158" ht="18.75" customHeight="1" x14ac:dyDescent="0.25">
      <c r="A158" s="43">
        <f>'MASTER SHEET'!A158</f>
        <v>156</v>
      </c>
      <c r="B158" s="49" t="str">
        <f>'MASTER SHEET'!B158</f>
        <v>CLAMP</v>
      </c>
      <c r="C158" s="86">
        <f>'MASTER SHEET'!C158</f>
        <v>62591</v>
      </c>
      <c r="D158" s="51"/>
      <c r="E158" s="48"/>
      <c r="F158" s="48"/>
      <c r="G158" s="48"/>
      <c r="H158" s="48">
        <f t="shared" si="196"/>
        <v>0</v>
      </c>
      <c r="I158" s="28"/>
      <c r="J158" s="28"/>
      <c r="K158" s="65"/>
      <c r="L158" s="48">
        <f t="shared" si="197"/>
        <v>0</v>
      </c>
      <c r="M158" s="48"/>
      <c r="N158" s="48"/>
      <c r="O158" s="48"/>
      <c r="P158" s="48">
        <f t="shared" si="198"/>
        <v>0</v>
      </c>
      <c r="Q158" s="48"/>
      <c r="R158" s="48"/>
      <c r="S158" s="48"/>
      <c r="T158" s="48">
        <f t="shared" si="199"/>
        <v>0</v>
      </c>
      <c r="U158" s="48">
        <v>0</v>
      </c>
      <c r="V158" s="48"/>
      <c r="W158" s="48"/>
      <c r="X158" s="48">
        <f t="shared" si="200"/>
        <v>0</v>
      </c>
      <c r="Y158" s="48"/>
      <c r="Z158" s="48"/>
      <c r="AA158" s="48"/>
      <c r="AB158" s="48">
        <f t="shared" si="201"/>
        <v>0</v>
      </c>
      <c r="AC158" s="48"/>
      <c r="AD158" s="48"/>
      <c r="AE158" s="48"/>
      <c r="AF158" s="48">
        <f t="shared" si="202"/>
        <v>0</v>
      </c>
      <c r="AG158" s="48"/>
      <c r="AH158" s="48"/>
      <c r="AI158" s="48"/>
      <c r="AJ158" s="48">
        <f t="shared" si="203"/>
        <v>0</v>
      </c>
      <c r="AK158" s="48"/>
      <c r="AL158" s="48"/>
      <c r="AM158" s="48"/>
      <c r="AN158" s="48">
        <f t="shared" si="204"/>
        <v>0</v>
      </c>
      <c r="AO158" s="48"/>
      <c r="AP158" s="48"/>
      <c r="AQ158" s="48"/>
      <c r="AR158" s="48">
        <f t="shared" si="205"/>
        <v>0</v>
      </c>
      <c r="AS158" s="48"/>
      <c r="AT158" s="48"/>
      <c r="AU158" s="48"/>
      <c r="AV158" s="48">
        <f t="shared" si="206"/>
        <v>0</v>
      </c>
      <c r="AW158" s="48"/>
      <c r="AX158" s="48"/>
      <c r="AY158" s="48"/>
      <c r="AZ158" s="48">
        <f t="shared" si="207"/>
        <v>0</v>
      </c>
      <c r="BA158" s="48"/>
      <c r="BB158" s="48"/>
      <c r="BC158" s="48"/>
      <c r="BD158" s="48">
        <f t="shared" si="208"/>
        <v>0</v>
      </c>
      <c r="BE158" s="48"/>
      <c r="BF158" s="48"/>
      <c r="BG158" s="48"/>
      <c r="BH158" s="48">
        <f t="shared" si="209"/>
        <v>0</v>
      </c>
      <c r="BI158" s="48"/>
      <c r="BJ158" s="48"/>
      <c r="BK158" s="48"/>
      <c r="BL158" s="48">
        <f t="shared" si="210"/>
        <v>0</v>
      </c>
      <c r="BM158" s="48"/>
      <c r="BN158" s="48"/>
      <c r="BO158" s="48"/>
      <c r="BP158" s="48">
        <f t="shared" si="211"/>
        <v>0</v>
      </c>
      <c r="BQ158" s="48"/>
      <c r="BR158" s="48"/>
      <c r="BS158" s="48"/>
      <c r="BT158" s="48">
        <f t="shared" si="212"/>
        <v>0</v>
      </c>
      <c r="BU158" s="48"/>
      <c r="BV158" s="48"/>
      <c r="BW158" s="48"/>
      <c r="BX158" s="48">
        <f t="shared" si="213"/>
        <v>0</v>
      </c>
      <c r="BY158" s="48"/>
      <c r="BZ158" s="48"/>
      <c r="CA158" s="48"/>
      <c r="CB158" s="48">
        <f t="shared" si="214"/>
        <v>0</v>
      </c>
      <c r="CC158" s="48">
        <v>2440</v>
      </c>
      <c r="CD158" s="48">
        <v>2420</v>
      </c>
      <c r="CE158" s="48">
        <v>20</v>
      </c>
      <c r="CF158" s="48">
        <f t="shared" si="215"/>
        <v>0</v>
      </c>
      <c r="CG158" s="48">
        <v>9660</v>
      </c>
      <c r="CH158" s="48">
        <v>9652</v>
      </c>
      <c r="CI158" s="48">
        <v>8</v>
      </c>
      <c r="CJ158" s="48">
        <f t="shared" si="216"/>
        <v>0</v>
      </c>
      <c r="CK158" s="48"/>
      <c r="CL158" s="48"/>
      <c r="CM158" s="48"/>
      <c r="CN158" s="48">
        <f t="shared" si="217"/>
        <v>0</v>
      </c>
      <c r="CO158" s="48"/>
      <c r="CP158" s="48"/>
      <c r="CQ158" s="48"/>
      <c r="CR158" s="48">
        <f t="shared" si="218"/>
        <v>0</v>
      </c>
      <c r="CS158" s="48"/>
      <c r="CT158" s="48"/>
      <c r="CU158" s="48"/>
      <c r="CV158" s="48">
        <f t="shared" si="219"/>
        <v>0</v>
      </c>
      <c r="CW158" s="48"/>
      <c r="CX158" s="48"/>
      <c r="CY158" s="48"/>
      <c r="CZ158" s="48">
        <f t="shared" si="220"/>
        <v>0</v>
      </c>
      <c r="DA158" s="48"/>
      <c r="DB158" s="48"/>
      <c r="DC158" s="48"/>
      <c r="DD158" s="48">
        <f t="shared" si="221"/>
        <v>0</v>
      </c>
      <c r="DE158" s="48"/>
      <c r="DF158" s="48"/>
      <c r="DG158" s="48"/>
      <c r="DH158" s="48">
        <f t="shared" si="222"/>
        <v>0</v>
      </c>
      <c r="DI158" s="48"/>
      <c r="DJ158" s="48"/>
      <c r="DK158" s="48"/>
      <c r="DL158" s="48">
        <f t="shared" si="223"/>
        <v>0</v>
      </c>
      <c r="DM158" s="48"/>
      <c r="DN158" s="48"/>
      <c r="DO158" s="48"/>
      <c r="DP158" s="48">
        <f t="shared" si="224"/>
        <v>0</v>
      </c>
      <c r="DQ158" s="48"/>
      <c r="DR158" s="48"/>
      <c r="DS158" s="48"/>
      <c r="DT158" s="48">
        <f t="shared" si="225"/>
        <v>0</v>
      </c>
      <c r="DU158" s="48"/>
      <c r="DV158" s="48"/>
      <c r="DW158" s="48"/>
      <c r="DX158" s="48">
        <f t="shared" si="226"/>
        <v>0</v>
      </c>
      <c r="DY158" s="48">
        <f t="shared" si="229"/>
        <v>12100</v>
      </c>
      <c r="DZ158" s="48">
        <f t="shared" si="228"/>
        <v>28</v>
      </c>
      <c r="EA158" s="14">
        <f>D158*'MASTER SHEET'!D158</f>
        <v>0</v>
      </c>
      <c r="EB158" s="14">
        <f>H158*'MASTER SHEET'!D158</f>
        <v>0</v>
      </c>
      <c r="EC158" s="14">
        <f>L158*'MASTER SHEET'!D158</f>
        <v>0</v>
      </c>
      <c r="ED158" s="14">
        <f>P158*'MASTER SHEET'!D158</f>
        <v>0</v>
      </c>
      <c r="EE158" s="14">
        <f>T158*'MASTER SHEET'!D158</f>
        <v>0</v>
      </c>
      <c r="EF158" s="14">
        <f>X158*'MASTER SHEET'!D158</f>
        <v>0</v>
      </c>
      <c r="EG158" s="14">
        <f>AB158*'MASTER SHEET'!D158</f>
        <v>0</v>
      </c>
      <c r="EH158" s="14">
        <f>AF158*'MASTER SHEET'!D158</f>
        <v>0</v>
      </c>
      <c r="EI158" s="14">
        <f>AJ158*'MASTER SHEET'!D158</f>
        <v>0</v>
      </c>
      <c r="EJ158" s="14">
        <f>AN158*'MASTER SHEET'!D158</f>
        <v>0</v>
      </c>
      <c r="EK158" s="14">
        <f>AR158*'MASTER SHEET'!D158</f>
        <v>0</v>
      </c>
      <c r="EL158" s="14">
        <f>AV158*'MASTER SHEET'!D158</f>
        <v>0</v>
      </c>
      <c r="EM158" s="14">
        <f>AZ158*'MASTER SHEET'!D158</f>
        <v>0</v>
      </c>
      <c r="EN158" s="14">
        <f>BD158*'MASTER SHEET'!D158</f>
        <v>0</v>
      </c>
      <c r="EO158" s="14">
        <f>BH158*'MASTER SHEET'!D158</f>
        <v>0</v>
      </c>
      <c r="EP158" s="14">
        <f>BL158*'MASTER SHEET'!D158</f>
        <v>0</v>
      </c>
      <c r="EQ158" s="14">
        <f>BP158*'MASTER SHEET'!D158</f>
        <v>0</v>
      </c>
      <c r="ER158" s="14">
        <f>BT158*'MASTER SHEET'!D158</f>
        <v>0</v>
      </c>
      <c r="ES158" s="14">
        <f>BX158*'MASTER SHEET'!D158</f>
        <v>0</v>
      </c>
      <c r="ET158" s="21">
        <f>CB158*'MASTER SHEET'!D158</f>
        <v>0</v>
      </c>
      <c r="EU158" s="14">
        <f>CF158*'MASTER SHEET'!D158</f>
        <v>0</v>
      </c>
      <c r="EV158" s="14">
        <f>CJ158*'MASTER SHEET'!D158</f>
        <v>0</v>
      </c>
      <c r="EW158" s="14">
        <f>CN158*'MASTER SHEET'!D158</f>
        <v>0</v>
      </c>
      <c r="EX158" s="14">
        <f>CR158*'MASTER SHEET'!D158</f>
        <v>0</v>
      </c>
      <c r="EY158" s="14">
        <f>CR158*'MASTER SHEET'!D158</f>
        <v>0</v>
      </c>
      <c r="EZ158" s="14">
        <f>CV158*'MASTER SHEET'!D158</f>
        <v>0</v>
      </c>
      <c r="FA158" s="14">
        <f>CZ158*'MASTER SHEET'!D158</f>
        <v>0</v>
      </c>
      <c r="FB158" s="14">
        <f>DD158*'MASTER SHEET'!D158</f>
        <v>0</v>
      </c>
    </row>
    <row r="159" spans="1:158" ht="18.75" customHeight="1" x14ac:dyDescent="0.25">
      <c r="A159" s="43">
        <f>'MASTER SHEET'!A159</f>
        <v>157</v>
      </c>
      <c r="B159" s="49" t="str">
        <f>'MASTER SHEET'!B159</f>
        <v>CAP TAIL MEMBER</v>
      </c>
      <c r="C159" s="86">
        <f>'MASTER SHEET'!C159</f>
        <v>62479</v>
      </c>
      <c r="D159" s="51"/>
      <c r="E159" s="48"/>
      <c r="F159" s="48"/>
      <c r="G159" s="48"/>
      <c r="H159" s="48">
        <f t="shared" si="196"/>
        <v>0</v>
      </c>
      <c r="I159" s="28"/>
      <c r="J159" s="28"/>
      <c r="K159" s="65"/>
      <c r="L159" s="48">
        <f t="shared" si="197"/>
        <v>0</v>
      </c>
      <c r="M159" s="48"/>
      <c r="N159" s="48"/>
      <c r="O159" s="48"/>
      <c r="P159" s="48">
        <f t="shared" si="198"/>
        <v>0</v>
      </c>
      <c r="Q159" s="48"/>
      <c r="R159" s="48"/>
      <c r="S159" s="48"/>
      <c r="T159" s="48">
        <f t="shared" si="199"/>
        <v>0</v>
      </c>
      <c r="U159" s="48">
        <v>0</v>
      </c>
      <c r="V159" s="48"/>
      <c r="W159" s="48"/>
      <c r="X159" s="48">
        <f t="shared" si="200"/>
        <v>0</v>
      </c>
      <c r="Y159" s="48"/>
      <c r="Z159" s="48"/>
      <c r="AA159" s="48"/>
      <c r="AB159" s="48">
        <f t="shared" si="201"/>
        <v>0</v>
      </c>
      <c r="AC159" s="48"/>
      <c r="AD159" s="48"/>
      <c r="AE159" s="48"/>
      <c r="AF159" s="48">
        <f t="shared" si="202"/>
        <v>0</v>
      </c>
      <c r="AG159" s="48"/>
      <c r="AH159" s="48"/>
      <c r="AI159" s="48"/>
      <c r="AJ159" s="48">
        <f t="shared" si="203"/>
        <v>0</v>
      </c>
      <c r="AK159" s="48"/>
      <c r="AL159" s="48"/>
      <c r="AM159" s="48"/>
      <c r="AN159" s="48">
        <f t="shared" si="204"/>
        <v>0</v>
      </c>
      <c r="AO159" s="48"/>
      <c r="AP159" s="48"/>
      <c r="AQ159" s="48"/>
      <c r="AR159" s="48">
        <f t="shared" si="205"/>
        <v>0</v>
      </c>
      <c r="AS159" s="48"/>
      <c r="AT159" s="48"/>
      <c r="AU159" s="48"/>
      <c r="AV159" s="48">
        <f t="shared" si="206"/>
        <v>0</v>
      </c>
      <c r="AW159" s="48"/>
      <c r="AX159" s="48"/>
      <c r="AY159" s="48"/>
      <c r="AZ159" s="48">
        <f t="shared" si="207"/>
        <v>0</v>
      </c>
      <c r="BA159" s="48"/>
      <c r="BB159" s="48"/>
      <c r="BC159" s="48"/>
      <c r="BD159" s="48">
        <f t="shared" si="208"/>
        <v>0</v>
      </c>
      <c r="BE159" s="48"/>
      <c r="BF159" s="48"/>
      <c r="BG159" s="48"/>
      <c r="BH159" s="48">
        <f t="shared" si="209"/>
        <v>0</v>
      </c>
      <c r="BI159" s="48"/>
      <c r="BJ159" s="48"/>
      <c r="BK159" s="48"/>
      <c r="BL159" s="48">
        <f t="shared" si="210"/>
        <v>0</v>
      </c>
      <c r="BM159" s="48"/>
      <c r="BN159" s="48"/>
      <c r="BO159" s="48"/>
      <c r="BP159" s="48">
        <f t="shared" si="211"/>
        <v>0</v>
      </c>
      <c r="BQ159" s="48"/>
      <c r="BR159" s="48"/>
      <c r="BS159" s="48"/>
      <c r="BT159" s="48">
        <f t="shared" si="212"/>
        <v>0</v>
      </c>
      <c r="BU159" s="48"/>
      <c r="BV159" s="48"/>
      <c r="BW159" s="48"/>
      <c r="BX159" s="48">
        <f t="shared" si="213"/>
        <v>0</v>
      </c>
      <c r="BY159" s="48"/>
      <c r="BZ159" s="48"/>
      <c r="CA159" s="48"/>
      <c r="CB159" s="48">
        <f t="shared" si="214"/>
        <v>0</v>
      </c>
      <c r="CC159" s="48"/>
      <c r="CD159" s="48"/>
      <c r="CE159" s="48"/>
      <c r="CF159" s="48">
        <f t="shared" si="215"/>
        <v>0</v>
      </c>
      <c r="CG159" s="48"/>
      <c r="CH159" s="48"/>
      <c r="CI159" s="48"/>
      <c r="CJ159" s="48">
        <f t="shared" si="216"/>
        <v>0</v>
      </c>
      <c r="CK159" s="48"/>
      <c r="CL159" s="48"/>
      <c r="CM159" s="48"/>
      <c r="CN159" s="48">
        <f t="shared" si="217"/>
        <v>0</v>
      </c>
      <c r="CO159" s="48"/>
      <c r="CP159" s="48"/>
      <c r="CQ159" s="48"/>
      <c r="CR159" s="48">
        <f t="shared" si="218"/>
        <v>0</v>
      </c>
      <c r="CS159" s="48"/>
      <c r="CT159" s="48"/>
      <c r="CU159" s="48"/>
      <c r="CV159" s="48">
        <f t="shared" si="219"/>
        <v>0</v>
      </c>
      <c r="CW159" s="48"/>
      <c r="CX159" s="48"/>
      <c r="CY159" s="48"/>
      <c r="CZ159" s="48">
        <f t="shared" si="220"/>
        <v>0</v>
      </c>
      <c r="DA159" s="48"/>
      <c r="DB159" s="48"/>
      <c r="DC159" s="48"/>
      <c r="DD159" s="48">
        <f t="shared" si="221"/>
        <v>0</v>
      </c>
      <c r="DE159" s="48"/>
      <c r="DF159" s="48"/>
      <c r="DG159" s="48"/>
      <c r="DH159" s="48">
        <f t="shared" si="222"/>
        <v>0</v>
      </c>
      <c r="DI159" s="48"/>
      <c r="DJ159" s="48"/>
      <c r="DK159" s="48"/>
      <c r="DL159" s="48">
        <f t="shared" si="223"/>
        <v>0</v>
      </c>
      <c r="DM159" s="48"/>
      <c r="DN159" s="48"/>
      <c r="DO159" s="48"/>
      <c r="DP159" s="48">
        <f t="shared" si="224"/>
        <v>0</v>
      </c>
      <c r="DQ159" s="48"/>
      <c r="DR159" s="48"/>
      <c r="DS159" s="48"/>
      <c r="DT159" s="48">
        <f t="shared" si="225"/>
        <v>0</v>
      </c>
      <c r="DU159" s="48"/>
      <c r="DV159" s="48"/>
      <c r="DW159" s="48"/>
      <c r="DX159" s="48">
        <f t="shared" si="226"/>
        <v>0</v>
      </c>
      <c r="DY159" s="48">
        <f t="shared" si="229"/>
        <v>0</v>
      </c>
      <c r="DZ159" s="48">
        <f t="shared" si="228"/>
        <v>0</v>
      </c>
      <c r="EA159" s="14">
        <f>D159*'MASTER SHEET'!D159</f>
        <v>0</v>
      </c>
      <c r="EB159" s="14">
        <f>H159*'MASTER SHEET'!D159</f>
        <v>0</v>
      </c>
      <c r="EC159" s="14">
        <f>L159*'MASTER SHEET'!D159</f>
        <v>0</v>
      </c>
      <c r="ED159" s="14">
        <f>P159*'MASTER SHEET'!D159</f>
        <v>0</v>
      </c>
      <c r="EE159" s="14">
        <f>T159*'MASTER SHEET'!D159</f>
        <v>0</v>
      </c>
      <c r="EF159" s="14">
        <f>X159*'MASTER SHEET'!D159</f>
        <v>0</v>
      </c>
      <c r="EG159" s="14">
        <f>AB159*'MASTER SHEET'!D159</f>
        <v>0</v>
      </c>
      <c r="EH159" s="14">
        <f>AF159*'MASTER SHEET'!D159</f>
        <v>0</v>
      </c>
      <c r="EI159" s="14">
        <f>AJ159*'MASTER SHEET'!D159</f>
        <v>0</v>
      </c>
      <c r="EJ159" s="14">
        <f>AN159*'MASTER SHEET'!D159</f>
        <v>0</v>
      </c>
      <c r="EK159" s="14">
        <f>AR159*'MASTER SHEET'!D159</f>
        <v>0</v>
      </c>
      <c r="EL159" s="14">
        <f>AV159*'MASTER SHEET'!D159</f>
        <v>0</v>
      </c>
      <c r="EM159" s="14">
        <f>AZ159*'MASTER SHEET'!D159</f>
        <v>0</v>
      </c>
      <c r="EN159" s="14">
        <f>BD159*'MASTER SHEET'!D159</f>
        <v>0</v>
      </c>
      <c r="EO159" s="14">
        <f>BH159*'MASTER SHEET'!D159</f>
        <v>0</v>
      </c>
      <c r="EP159" s="14">
        <f>BL159*'MASTER SHEET'!D159</f>
        <v>0</v>
      </c>
      <c r="EQ159" s="14">
        <f>BP159*'MASTER SHEET'!D159</f>
        <v>0</v>
      </c>
      <c r="ER159" s="14">
        <f>BT159*'MASTER SHEET'!D159</f>
        <v>0</v>
      </c>
      <c r="ES159" s="14">
        <f>BX159*'MASTER SHEET'!D159</f>
        <v>0</v>
      </c>
      <c r="ET159" s="21">
        <f>CB159*'MASTER SHEET'!D159</f>
        <v>0</v>
      </c>
      <c r="EU159" s="14">
        <f>CF159*'MASTER SHEET'!D159</f>
        <v>0</v>
      </c>
      <c r="EV159" s="14">
        <f>CJ159*'MASTER SHEET'!D159</f>
        <v>0</v>
      </c>
      <c r="EW159" s="14">
        <f>CN159*'MASTER SHEET'!D159</f>
        <v>0</v>
      </c>
      <c r="EX159" s="14">
        <f>CR159*'MASTER SHEET'!D159</f>
        <v>0</v>
      </c>
      <c r="EY159" s="14">
        <f>CR159*'MASTER SHEET'!D159</f>
        <v>0</v>
      </c>
      <c r="EZ159" s="14">
        <f>CV159*'MASTER SHEET'!D159</f>
        <v>0</v>
      </c>
      <c r="FA159" s="14">
        <f>CZ159*'MASTER SHEET'!D159</f>
        <v>0</v>
      </c>
      <c r="FB159" s="14">
        <f>DD159*'MASTER SHEET'!D159</f>
        <v>0</v>
      </c>
    </row>
    <row r="160" spans="1:158" ht="18.75" customHeight="1" x14ac:dyDescent="0.25">
      <c r="A160" s="43">
        <f>'MASTER SHEET'!A160</f>
        <v>158</v>
      </c>
      <c r="B160" s="49" t="str">
        <f>'MASTER SHEET'!B160</f>
        <v>FILTER AIR SUNCTION</v>
      </c>
      <c r="C160" s="86">
        <f>'MASTER SHEET'!C160</f>
        <v>62624</v>
      </c>
      <c r="D160" s="51"/>
      <c r="E160" s="48">
        <v>13558</v>
      </c>
      <c r="F160" s="48">
        <v>13546</v>
      </c>
      <c r="G160" s="48">
        <v>12</v>
      </c>
      <c r="H160" s="48">
        <f t="shared" si="196"/>
        <v>0</v>
      </c>
      <c r="I160" s="28"/>
      <c r="J160" s="28"/>
      <c r="K160" s="65"/>
      <c r="L160" s="48">
        <f t="shared" si="197"/>
        <v>0</v>
      </c>
      <c r="M160" s="48"/>
      <c r="N160" s="48"/>
      <c r="O160" s="48"/>
      <c r="P160" s="48">
        <f t="shared" si="198"/>
        <v>0</v>
      </c>
      <c r="Q160" s="48"/>
      <c r="R160" s="48"/>
      <c r="S160" s="48"/>
      <c r="T160" s="48">
        <f t="shared" si="199"/>
        <v>0</v>
      </c>
      <c r="U160" s="48">
        <v>0</v>
      </c>
      <c r="V160" s="48"/>
      <c r="W160" s="48"/>
      <c r="X160" s="48">
        <f t="shared" si="200"/>
        <v>0</v>
      </c>
      <c r="Y160" s="48"/>
      <c r="Z160" s="48"/>
      <c r="AA160" s="48"/>
      <c r="AB160" s="48">
        <f t="shared" si="201"/>
        <v>0</v>
      </c>
      <c r="AC160" s="48"/>
      <c r="AD160" s="48"/>
      <c r="AE160" s="48"/>
      <c r="AF160" s="48">
        <f t="shared" si="202"/>
        <v>0</v>
      </c>
      <c r="AG160" s="48"/>
      <c r="AH160" s="48"/>
      <c r="AI160" s="48"/>
      <c r="AJ160" s="48">
        <f t="shared" si="203"/>
        <v>0</v>
      </c>
      <c r="AK160" s="48"/>
      <c r="AL160" s="48"/>
      <c r="AM160" s="48"/>
      <c r="AN160" s="48">
        <f t="shared" si="204"/>
        <v>0</v>
      </c>
      <c r="AO160" s="48"/>
      <c r="AP160" s="48"/>
      <c r="AQ160" s="48"/>
      <c r="AR160" s="48">
        <f t="shared" si="205"/>
        <v>0</v>
      </c>
      <c r="AS160" s="48"/>
      <c r="AT160" s="48"/>
      <c r="AU160" s="48"/>
      <c r="AV160" s="48">
        <f t="shared" si="206"/>
        <v>0</v>
      </c>
      <c r="AW160" s="48"/>
      <c r="AX160" s="48"/>
      <c r="AY160" s="48"/>
      <c r="AZ160" s="48">
        <f t="shared" si="207"/>
        <v>0</v>
      </c>
      <c r="BA160" s="48"/>
      <c r="BB160" s="48"/>
      <c r="BC160" s="48"/>
      <c r="BD160" s="48">
        <f t="shared" si="208"/>
        <v>0</v>
      </c>
      <c r="BE160" s="48"/>
      <c r="BF160" s="48"/>
      <c r="BG160" s="48"/>
      <c r="BH160" s="48">
        <f t="shared" si="209"/>
        <v>0</v>
      </c>
      <c r="BI160" s="48"/>
      <c r="BJ160" s="48"/>
      <c r="BK160" s="48"/>
      <c r="BL160" s="48">
        <f t="shared" si="210"/>
        <v>0</v>
      </c>
      <c r="BM160" s="48"/>
      <c r="BN160" s="48"/>
      <c r="BO160" s="48"/>
      <c r="BP160" s="48">
        <f t="shared" si="211"/>
        <v>0</v>
      </c>
      <c r="BQ160" s="48"/>
      <c r="BR160" s="48"/>
      <c r="BS160" s="48"/>
      <c r="BT160" s="48">
        <f t="shared" si="212"/>
        <v>0</v>
      </c>
      <c r="BU160" s="48"/>
      <c r="BV160" s="48"/>
      <c r="BW160" s="48"/>
      <c r="BX160" s="48">
        <f t="shared" si="213"/>
        <v>0</v>
      </c>
      <c r="BY160" s="48"/>
      <c r="BZ160" s="48"/>
      <c r="CA160" s="48"/>
      <c r="CB160" s="48">
        <f t="shared" si="214"/>
        <v>0</v>
      </c>
      <c r="CC160" s="48">
        <v>7664</v>
      </c>
      <c r="CD160" s="48">
        <v>7632</v>
      </c>
      <c r="CE160" s="48">
        <v>32</v>
      </c>
      <c r="CF160" s="48">
        <f t="shared" si="215"/>
        <v>0</v>
      </c>
      <c r="CG160" s="48">
        <v>20428</v>
      </c>
      <c r="CH160" s="48">
        <v>20378</v>
      </c>
      <c r="CI160" s="48">
        <v>50</v>
      </c>
      <c r="CJ160" s="48">
        <f t="shared" si="216"/>
        <v>0</v>
      </c>
      <c r="CK160" s="48">
        <v>3365</v>
      </c>
      <c r="CL160" s="48">
        <v>3361</v>
      </c>
      <c r="CM160" s="48">
        <v>4</v>
      </c>
      <c r="CN160" s="48">
        <f t="shared" si="217"/>
        <v>0</v>
      </c>
      <c r="CO160" s="48"/>
      <c r="CP160" s="48"/>
      <c r="CQ160" s="48"/>
      <c r="CR160" s="48">
        <f t="shared" si="218"/>
        <v>0</v>
      </c>
      <c r="CS160" s="48"/>
      <c r="CT160" s="48"/>
      <c r="CU160" s="48"/>
      <c r="CV160" s="48">
        <f t="shared" si="219"/>
        <v>0</v>
      </c>
      <c r="CW160" s="48"/>
      <c r="CX160" s="48"/>
      <c r="CY160" s="48"/>
      <c r="CZ160" s="48">
        <f t="shared" si="220"/>
        <v>0</v>
      </c>
      <c r="DA160" s="48"/>
      <c r="DB160" s="48"/>
      <c r="DC160" s="48"/>
      <c r="DD160" s="48">
        <f t="shared" si="221"/>
        <v>0</v>
      </c>
      <c r="DE160" s="48"/>
      <c r="DF160" s="48"/>
      <c r="DG160" s="48"/>
      <c r="DH160" s="48">
        <f t="shared" si="222"/>
        <v>0</v>
      </c>
      <c r="DI160" s="48"/>
      <c r="DJ160" s="48"/>
      <c r="DK160" s="48"/>
      <c r="DL160" s="48">
        <f t="shared" si="223"/>
        <v>0</v>
      </c>
      <c r="DM160" s="48"/>
      <c r="DN160" s="48"/>
      <c r="DO160" s="48"/>
      <c r="DP160" s="48">
        <f t="shared" si="224"/>
        <v>0</v>
      </c>
      <c r="DQ160" s="48"/>
      <c r="DR160" s="48"/>
      <c r="DS160" s="48"/>
      <c r="DT160" s="48">
        <f t="shared" si="225"/>
        <v>0</v>
      </c>
      <c r="DU160" s="48"/>
      <c r="DV160" s="48"/>
      <c r="DW160" s="48"/>
      <c r="DX160" s="48">
        <f t="shared" si="226"/>
        <v>0</v>
      </c>
      <c r="DY160" s="48">
        <f t="shared" si="229"/>
        <v>45015</v>
      </c>
      <c r="DZ160" s="48">
        <f t="shared" si="228"/>
        <v>98</v>
      </c>
      <c r="EA160" s="14">
        <f>D160*'MASTER SHEET'!D160</f>
        <v>0</v>
      </c>
      <c r="EB160" s="14">
        <f>H160*'MASTER SHEET'!D160</f>
        <v>0</v>
      </c>
      <c r="EC160" s="14">
        <f>L160*'MASTER SHEET'!D160</f>
        <v>0</v>
      </c>
      <c r="ED160" s="14">
        <f>P160*'MASTER SHEET'!D160</f>
        <v>0</v>
      </c>
      <c r="EE160" s="14">
        <f>T160*'MASTER SHEET'!D160</f>
        <v>0</v>
      </c>
      <c r="EF160" s="14">
        <f>X160*'MASTER SHEET'!D160</f>
        <v>0</v>
      </c>
      <c r="EG160" s="14">
        <f>AB160*'MASTER SHEET'!D160</f>
        <v>0</v>
      </c>
      <c r="EH160" s="14">
        <f>AF160*'MASTER SHEET'!D160</f>
        <v>0</v>
      </c>
      <c r="EI160" s="14">
        <f>AJ160*'MASTER SHEET'!D160</f>
        <v>0</v>
      </c>
      <c r="EJ160" s="14">
        <f>AN160*'MASTER SHEET'!D160</f>
        <v>0</v>
      </c>
      <c r="EK160" s="14">
        <f>AR160*'MASTER SHEET'!D160</f>
        <v>0</v>
      </c>
      <c r="EL160" s="14">
        <f>AV160*'MASTER SHEET'!D160</f>
        <v>0</v>
      </c>
      <c r="EM160" s="14">
        <f>AZ160*'MASTER SHEET'!D160</f>
        <v>0</v>
      </c>
      <c r="EN160" s="14">
        <f>BD160*'MASTER SHEET'!D160</f>
        <v>0</v>
      </c>
      <c r="EO160" s="14">
        <f>BH160*'MASTER SHEET'!D160</f>
        <v>0</v>
      </c>
      <c r="EP160" s="14">
        <f>BL160*'MASTER SHEET'!D160</f>
        <v>0</v>
      </c>
      <c r="EQ160" s="14">
        <f>BP160*'MASTER SHEET'!D160</f>
        <v>0</v>
      </c>
      <c r="ER160" s="14">
        <f>BT160*'MASTER SHEET'!D160</f>
        <v>0</v>
      </c>
      <c r="ES160" s="14">
        <f>BX160*'MASTER SHEET'!D160</f>
        <v>0</v>
      </c>
      <c r="ET160" s="21">
        <f>CB160*'MASTER SHEET'!D160</f>
        <v>0</v>
      </c>
      <c r="EU160" s="14">
        <f>CF160*'MASTER SHEET'!D160</f>
        <v>0</v>
      </c>
      <c r="EV160" s="14">
        <f>CJ160*'MASTER SHEET'!D160</f>
        <v>0</v>
      </c>
      <c r="EW160" s="14">
        <f>CN160*'MASTER SHEET'!D160</f>
        <v>0</v>
      </c>
      <c r="EX160" s="14">
        <f>CR160*'MASTER SHEET'!D160</f>
        <v>0</v>
      </c>
      <c r="EY160" s="14">
        <f>CR160*'MASTER SHEET'!D160</f>
        <v>0</v>
      </c>
      <c r="EZ160" s="14">
        <f>CV160*'MASTER SHEET'!D160</f>
        <v>0</v>
      </c>
      <c r="FA160" s="14">
        <f>CZ160*'MASTER SHEET'!D160</f>
        <v>0</v>
      </c>
      <c r="FB160" s="14">
        <f>DD160*'MASTER SHEET'!D160</f>
        <v>0</v>
      </c>
    </row>
    <row r="161" spans="1:158" ht="18.75" customHeight="1" x14ac:dyDescent="0.25">
      <c r="A161" s="43">
        <f>'MASTER SHEET'!A161</f>
        <v>159</v>
      </c>
      <c r="B161" s="49" t="str">
        <f>'MASTER SHEET'!B161</f>
        <v>VF36 ACTUATOR</v>
      </c>
      <c r="C161" s="86" t="str">
        <f>'MASTER SHEET'!C161</f>
        <v>BB00006043</v>
      </c>
      <c r="D161" s="51"/>
      <c r="E161" s="48"/>
      <c r="F161" s="48"/>
      <c r="G161" s="48"/>
      <c r="H161" s="48">
        <f t="shared" si="196"/>
        <v>0</v>
      </c>
      <c r="I161" s="28"/>
      <c r="J161" s="28"/>
      <c r="K161" s="65"/>
      <c r="L161" s="48">
        <f t="shared" si="197"/>
        <v>0</v>
      </c>
      <c r="M161" s="48"/>
      <c r="N161" s="48"/>
      <c r="O161" s="48"/>
      <c r="P161" s="48">
        <f t="shared" si="198"/>
        <v>0</v>
      </c>
      <c r="Q161" s="48"/>
      <c r="R161" s="48"/>
      <c r="S161" s="48"/>
      <c r="T161" s="48">
        <f t="shared" si="199"/>
        <v>0</v>
      </c>
      <c r="U161" s="48">
        <v>0</v>
      </c>
      <c r="V161" s="48"/>
      <c r="W161" s="48"/>
      <c r="X161" s="48">
        <f t="shared" si="200"/>
        <v>0</v>
      </c>
      <c r="Y161" s="48"/>
      <c r="Z161" s="48"/>
      <c r="AA161" s="48"/>
      <c r="AB161" s="48">
        <f t="shared" si="201"/>
        <v>0</v>
      </c>
      <c r="AC161" s="48"/>
      <c r="AD161" s="48"/>
      <c r="AE161" s="48"/>
      <c r="AF161" s="48">
        <f t="shared" si="202"/>
        <v>0</v>
      </c>
      <c r="AG161" s="48"/>
      <c r="AH161" s="48"/>
      <c r="AI161" s="48"/>
      <c r="AJ161" s="48">
        <f t="shared" si="203"/>
        <v>0</v>
      </c>
      <c r="AK161" s="48"/>
      <c r="AL161" s="48"/>
      <c r="AM161" s="48"/>
      <c r="AN161" s="48">
        <f t="shared" si="204"/>
        <v>0</v>
      </c>
      <c r="AO161" s="48"/>
      <c r="AP161" s="48"/>
      <c r="AQ161" s="48"/>
      <c r="AR161" s="48">
        <f t="shared" si="205"/>
        <v>0</v>
      </c>
      <c r="AS161" s="48"/>
      <c r="AT161" s="48"/>
      <c r="AU161" s="48"/>
      <c r="AV161" s="48">
        <f t="shared" si="206"/>
        <v>0</v>
      </c>
      <c r="AW161" s="48"/>
      <c r="AX161" s="48"/>
      <c r="AY161" s="48"/>
      <c r="AZ161" s="48">
        <f t="shared" si="207"/>
        <v>0</v>
      </c>
      <c r="BA161" s="48"/>
      <c r="BB161" s="48"/>
      <c r="BC161" s="48"/>
      <c r="BD161" s="48">
        <f t="shared" si="208"/>
        <v>0</v>
      </c>
      <c r="BE161" s="48"/>
      <c r="BF161" s="48"/>
      <c r="BG161" s="48"/>
      <c r="BH161" s="48">
        <f t="shared" si="209"/>
        <v>0</v>
      </c>
      <c r="BI161" s="48"/>
      <c r="BJ161" s="48"/>
      <c r="BK161" s="48"/>
      <c r="BL161" s="48">
        <f t="shared" si="210"/>
        <v>0</v>
      </c>
      <c r="BM161" s="48"/>
      <c r="BN161" s="48"/>
      <c r="BO161" s="48"/>
      <c r="BP161" s="48">
        <f t="shared" si="211"/>
        <v>0</v>
      </c>
      <c r="BQ161" s="48"/>
      <c r="BR161" s="48"/>
      <c r="BS161" s="48"/>
      <c r="BT161" s="48">
        <f t="shared" si="212"/>
        <v>0</v>
      </c>
      <c r="BU161" s="48"/>
      <c r="BV161" s="48"/>
      <c r="BW161" s="48"/>
      <c r="BX161" s="48">
        <f t="shared" si="213"/>
        <v>0</v>
      </c>
      <c r="BY161" s="48"/>
      <c r="BZ161" s="48"/>
      <c r="CA161" s="48"/>
      <c r="CB161" s="48">
        <f t="shared" si="214"/>
        <v>0</v>
      </c>
      <c r="CC161" s="48"/>
      <c r="CD161" s="48"/>
      <c r="CE161" s="48"/>
      <c r="CF161" s="48">
        <f t="shared" si="215"/>
        <v>0</v>
      </c>
      <c r="CG161" s="48"/>
      <c r="CH161" s="48"/>
      <c r="CI161" s="48"/>
      <c r="CJ161" s="48">
        <f t="shared" si="216"/>
        <v>0</v>
      </c>
      <c r="CK161" s="48"/>
      <c r="CL161" s="48"/>
      <c r="CM161" s="48"/>
      <c r="CN161" s="48">
        <f t="shared" si="217"/>
        <v>0</v>
      </c>
      <c r="CO161" s="48"/>
      <c r="CP161" s="48"/>
      <c r="CQ161" s="48"/>
      <c r="CR161" s="48">
        <f t="shared" si="218"/>
        <v>0</v>
      </c>
      <c r="CS161" s="48"/>
      <c r="CT161" s="48"/>
      <c r="CU161" s="48"/>
      <c r="CV161" s="48">
        <f t="shared" si="219"/>
        <v>0</v>
      </c>
      <c r="CW161" s="48"/>
      <c r="CX161" s="48"/>
      <c r="CY161" s="48"/>
      <c r="CZ161" s="48">
        <f t="shared" si="220"/>
        <v>0</v>
      </c>
      <c r="DA161" s="48"/>
      <c r="DB161" s="48"/>
      <c r="DC161" s="48"/>
      <c r="DD161" s="48">
        <f t="shared" si="221"/>
        <v>0</v>
      </c>
      <c r="DE161" s="48"/>
      <c r="DF161" s="48"/>
      <c r="DG161" s="48"/>
      <c r="DH161" s="48">
        <f t="shared" si="222"/>
        <v>0</v>
      </c>
      <c r="DI161" s="48"/>
      <c r="DJ161" s="48"/>
      <c r="DK161" s="48"/>
      <c r="DL161" s="48">
        <f t="shared" si="223"/>
        <v>0</v>
      </c>
      <c r="DM161" s="48"/>
      <c r="DN161" s="48"/>
      <c r="DO161" s="48"/>
      <c r="DP161" s="48">
        <f t="shared" si="224"/>
        <v>0</v>
      </c>
      <c r="DQ161" s="48"/>
      <c r="DR161" s="48"/>
      <c r="DS161" s="48"/>
      <c r="DT161" s="48">
        <f t="shared" si="225"/>
        <v>0</v>
      </c>
      <c r="DU161" s="48"/>
      <c r="DV161" s="48"/>
      <c r="DW161" s="48"/>
      <c r="DX161" s="48">
        <f t="shared" si="226"/>
        <v>0</v>
      </c>
      <c r="DY161" s="48">
        <f t="shared" si="229"/>
        <v>0</v>
      </c>
      <c r="DZ161" s="48">
        <f t="shared" si="228"/>
        <v>0</v>
      </c>
      <c r="EA161" s="14">
        <f>D161*'MASTER SHEET'!D161</f>
        <v>0</v>
      </c>
      <c r="EB161" s="14">
        <f>H161*'MASTER SHEET'!D161</f>
        <v>0</v>
      </c>
      <c r="EC161" s="14">
        <f>L161*'MASTER SHEET'!D161</f>
        <v>0</v>
      </c>
      <c r="ED161" s="14">
        <f>P161*'MASTER SHEET'!D161</f>
        <v>0</v>
      </c>
      <c r="EE161" s="14">
        <f>T161*'MASTER SHEET'!D161</f>
        <v>0</v>
      </c>
      <c r="EF161" s="14">
        <f>X161*'MASTER SHEET'!D161</f>
        <v>0</v>
      </c>
      <c r="EG161" s="14">
        <f>AB161*'MASTER SHEET'!D161</f>
        <v>0</v>
      </c>
      <c r="EH161" s="14">
        <f>AF161*'MASTER SHEET'!D161</f>
        <v>0</v>
      </c>
      <c r="EI161" s="14">
        <f>AJ161*'MASTER SHEET'!D161</f>
        <v>0</v>
      </c>
      <c r="EJ161" s="14">
        <f>AN161*'MASTER SHEET'!D161</f>
        <v>0</v>
      </c>
      <c r="EK161" s="14">
        <f>AR161*'MASTER SHEET'!D161</f>
        <v>0</v>
      </c>
      <c r="EL161" s="14">
        <f>AV161*'MASTER SHEET'!D161</f>
        <v>0</v>
      </c>
      <c r="EM161" s="14">
        <f>AZ161*'MASTER SHEET'!D161</f>
        <v>0</v>
      </c>
      <c r="EN161" s="14">
        <f>BD161*'MASTER SHEET'!D161</f>
        <v>0</v>
      </c>
      <c r="EO161" s="14">
        <f>BH161*'MASTER SHEET'!D161</f>
        <v>0</v>
      </c>
      <c r="EP161" s="14">
        <f>BL161*'MASTER SHEET'!D161</f>
        <v>0</v>
      </c>
      <c r="EQ161" s="14">
        <f>BP161*'MASTER SHEET'!D161</f>
        <v>0</v>
      </c>
      <c r="ER161" s="14">
        <f>BT161*'MASTER SHEET'!D161</f>
        <v>0</v>
      </c>
      <c r="ES161" s="14">
        <f>BX161*'MASTER SHEET'!D161</f>
        <v>0</v>
      </c>
      <c r="ET161" s="21">
        <f>CB161*'MASTER SHEET'!D161</f>
        <v>0</v>
      </c>
      <c r="EU161" s="14">
        <f>CF161*'MASTER SHEET'!D161</f>
        <v>0</v>
      </c>
      <c r="EV161" s="14">
        <f>CJ161*'MASTER SHEET'!D161</f>
        <v>0</v>
      </c>
      <c r="EW161" s="14">
        <f>CN161*'MASTER SHEET'!D161</f>
        <v>0</v>
      </c>
      <c r="EX161" s="14">
        <f>CR161*'MASTER SHEET'!D161</f>
        <v>0</v>
      </c>
      <c r="EY161" s="14">
        <f>CR161*'MASTER SHEET'!D161</f>
        <v>0</v>
      </c>
      <c r="EZ161" s="14">
        <f>CV161*'MASTER SHEET'!D161</f>
        <v>0</v>
      </c>
      <c r="FA161" s="14">
        <f>CZ161*'MASTER SHEET'!D161</f>
        <v>0</v>
      </c>
      <c r="FB161" s="14">
        <f>DD161*'MASTER SHEET'!D161</f>
        <v>0</v>
      </c>
    </row>
    <row r="162" spans="1:158" ht="18.75" customHeight="1" x14ac:dyDescent="0.25">
      <c r="A162" s="43">
        <f>'MASTER SHEET'!A162</f>
        <v>160</v>
      </c>
      <c r="B162" s="49" t="str">
        <f>'MASTER SHEET'!B162</f>
        <v>DUMMY CAP LH</v>
      </c>
      <c r="C162" s="86" t="str">
        <f>'MASTER SHEET'!C162</f>
        <v>CB00004193</v>
      </c>
      <c r="D162" s="51"/>
      <c r="E162" s="48"/>
      <c r="F162" s="48"/>
      <c r="G162" s="48"/>
      <c r="H162" s="48">
        <f t="shared" si="196"/>
        <v>0</v>
      </c>
      <c r="I162" s="28"/>
      <c r="J162" s="28"/>
      <c r="K162" s="65"/>
      <c r="L162" s="48">
        <f t="shared" si="197"/>
        <v>0</v>
      </c>
      <c r="M162" s="48"/>
      <c r="N162" s="48"/>
      <c r="O162" s="48"/>
      <c r="P162" s="48">
        <f t="shared" si="198"/>
        <v>0</v>
      </c>
      <c r="Q162" s="48"/>
      <c r="R162" s="48"/>
      <c r="S162" s="48"/>
      <c r="T162" s="48">
        <f t="shared" si="199"/>
        <v>0</v>
      </c>
      <c r="U162" s="48">
        <v>0</v>
      </c>
      <c r="V162" s="48"/>
      <c r="W162" s="48"/>
      <c r="X162" s="48">
        <f t="shared" si="200"/>
        <v>0</v>
      </c>
      <c r="Y162" s="48"/>
      <c r="Z162" s="48"/>
      <c r="AA162" s="48"/>
      <c r="AB162" s="48">
        <f t="shared" si="201"/>
        <v>0</v>
      </c>
      <c r="AC162" s="48"/>
      <c r="AD162" s="48"/>
      <c r="AE162" s="48"/>
      <c r="AF162" s="48">
        <f t="shared" si="202"/>
        <v>0</v>
      </c>
      <c r="AG162" s="48"/>
      <c r="AH162" s="48"/>
      <c r="AI162" s="48"/>
      <c r="AJ162" s="48">
        <f t="shared" si="203"/>
        <v>0</v>
      </c>
      <c r="AK162" s="48"/>
      <c r="AL162" s="48"/>
      <c r="AM162" s="48"/>
      <c r="AN162" s="48">
        <f t="shared" si="204"/>
        <v>0</v>
      </c>
      <c r="AO162" s="48"/>
      <c r="AP162" s="48"/>
      <c r="AQ162" s="48"/>
      <c r="AR162" s="48">
        <f t="shared" si="205"/>
        <v>0</v>
      </c>
      <c r="AS162" s="48"/>
      <c r="AT162" s="48"/>
      <c r="AU162" s="48"/>
      <c r="AV162" s="48">
        <f t="shared" si="206"/>
        <v>0</v>
      </c>
      <c r="AW162" s="48"/>
      <c r="AX162" s="48"/>
      <c r="AY162" s="48"/>
      <c r="AZ162" s="48">
        <f t="shared" si="207"/>
        <v>0</v>
      </c>
      <c r="BA162" s="48"/>
      <c r="BB162" s="48"/>
      <c r="BC162" s="48"/>
      <c r="BD162" s="48">
        <f t="shared" si="208"/>
        <v>0</v>
      </c>
      <c r="BE162" s="48"/>
      <c r="BF162" s="48"/>
      <c r="BG162" s="48"/>
      <c r="BH162" s="48">
        <f t="shared" si="209"/>
        <v>0</v>
      </c>
      <c r="BI162" s="48"/>
      <c r="BJ162" s="48"/>
      <c r="BK162" s="48"/>
      <c r="BL162" s="48">
        <f t="shared" si="210"/>
        <v>0</v>
      </c>
      <c r="BM162" s="48">
        <v>4776</v>
      </c>
      <c r="BN162" s="48">
        <v>4760</v>
      </c>
      <c r="BO162" s="48">
        <v>16</v>
      </c>
      <c r="BP162" s="48">
        <f t="shared" si="211"/>
        <v>0</v>
      </c>
      <c r="BQ162" s="48">
        <v>15840</v>
      </c>
      <c r="BR162" s="48">
        <v>15836</v>
      </c>
      <c r="BS162" s="48">
        <v>4</v>
      </c>
      <c r="BT162" s="48">
        <f t="shared" si="212"/>
        <v>0</v>
      </c>
      <c r="BU162" s="48"/>
      <c r="BV162" s="48"/>
      <c r="BW162" s="48"/>
      <c r="BX162" s="48">
        <f t="shared" si="213"/>
        <v>0</v>
      </c>
      <c r="BY162" s="48"/>
      <c r="BZ162" s="48"/>
      <c r="CA162" s="48"/>
      <c r="CB162" s="48">
        <f t="shared" si="214"/>
        <v>0</v>
      </c>
      <c r="CC162" s="48"/>
      <c r="CD162" s="48"/>
      <c r="CE162" s="48"/>
      <c r="CF162" s="48">
        <f t="shared" si="215"/>
        <v>0</v>
      </c>
      <c r="CG162" s="48"/>
      <c r="CH162" s="48"/>
      <c r="CI162" s="48"/>
      <c r="CJ162" s="48">
        <f t="shared" si="216"/>
        <v>0</v>
      </c>
      <c r="CK162" s="48"/>
      <c r="CL162" s="48"/>
      <c r="CM162" s="48"/>
      <c r="CN162" s="48">
        <f t="shared" si="217"/>
        <v>0</v>
      </c>
      <c r="CO162" s="48"/>
      <c r="CP162" s="48"/>
      <c r="CQ162" s="48"/>
      <c r="CR162" s="48">
        <f t="shared" si="218"/>
        <v>0</v>
      </c>
      <c r="CS162" s="48"/>
      <c r="CT162" s="48"/>
      <c r="CU162" s="48"/>
      <c r="CV162" s="48">
        <f t="shared" si="219"/>
        <v>0</v>
      </c>
      <c r="CW162" s="48"/>
      <c r="CX162" s="48"/>
      <c r="CY162" s="48"/>
      <c r="CZ162" s="48">
        <f t="shared" si="220"/>
        <v>0</v>
      </c>
      <c r="DA162" s="48"/>
      <c r="DB162" s="48"/>
      <c r="DC162" s="48"/>
      <c r="DD162" s="48">
        <f t="shared" si="221"/>
        <v>0</v>
      </c>
      <c r="DE162" s="48"/>
      <c r="DF162" s="48"/>
      <c r="DG162" s="48"/>
      <c r="DH162" s="48">
        <f t="shared" si="222"/>
        <v>0</v>
      </c>
      <c r="DI162" s="48"/>
      <c r="DJ162" s="48"/>
      <c r="DK162" s="48"/>
      <c r="DL162" s="48">
        <f t="shared" si="223"/>
        <v>0</v>
      </c>
      <c r="DM162" s="48"/>
      <c r="DN162" s="48"/>
      <c r="DO162" s="48"/>
      <c r="DP162" s="48">
        <f t="shared" si="224"/>
        <v>0</v>
      </c>
      <c r="DQ162" s="48"/>
      <c r="DR162" s="48"/>
      <c r="DS162" s="48"/>
      <c r="DT162" s="48">
        <f t="shared" si="225"/>
        <v>0</v>
      </c>
      <c r="DU162" s="48"/>
      <c r="DV162" s="48"/>
      <c r="DW162" s="48"/>
      <c r="DX162" s="48">
        <f t="shared" si="226"/>
        <v>0</v>
      </c>
      <c r="DY162" s="48">
        <f t="shared" si="229"/>
        <v>20616</v>
      </c>
      <c r="DZ162" s="48">
        <f t="shared" si="228"/>
        <v>20</v>
      </c>
      <c r="EA162" s="14">
        <f>D162*'MASTER SHEET'!D162</f>
        <v>0</v>
      </c>
      <c r="EB162" s="14">
        <f>H162*'MASTER SHEET'!D162</f>
        <v>0</v>
      </c>
      <c r="EC162" s="14">
        <f>L162*'MASTER SHEET'!D162</f>
        <v>0</v>
      </c>
      <c r="ED162" s="14">
        <f>P162*'MASTER SHEET'!D162</f>
        <v>0</v>
      </c>
      <c r="EE162" s="14">
        <f>T162*'MASTER SHEET'!D162</f>
        <v>0</v>
      </c>
      <c r="EF162" s="14">
        <f>X162*'MASTER SHEET'!D162</f>
        <v>0</v>
      </c>
      <c r="EG162" s="14">
        <f>AB162*'MASTER SHEET'!D162</f>
        <v>0</v>
      </c>
      <c r="EH162" s="14">
        <f>AF162*'MASTER SHEET'!D162</f>
        <v>0</v>
      </c>
      <c r="EI162" s="14">
        <f>AJ162*'MASTER SHEET'!D162</f>
        <v>0</v>
      </c>
      <c r="EJ162" s="14">
        <f>AN162*'MASTER SHEET'!D162</f>
        <v>0</v>
      </c>
      <c r="EK162" s="14">
        <f>AR162*'MASTER SHEET'!D162</f>
        <v>0</v>
      </c>
      <c r="EL162" s="14">
        <f>AV162*'MASTER SHEET'!D162</f>
        <v>0</v>
      </c>
      <c r="EM162" s="14">
        <f>AZ162*'MASTER SHEET'!D162</f>
        <v>0</v>
      </c>
      <c r="EN162" s="14">
        <f>BD162*'MASTER SHEET'!D162</f>
        <v>0</v>
      </c>
      <c r="EO162" s="14">
        <f>BH162*'MASTER SHEET'!D162</f>
        <v>0</v>
      </c>
      <c r="EP162" s="14">
        <f>BL162*'MASTER SHEET'!D162</f>
        <v>0</v>
      </c>
      <c r="EQ162" s="14">
        <f>BP162*'MASTER SHEET'!D162</f>
        <v>0</v>
      </c>
      <c r="ER162" s="14">
        <f>BT162*'MASTER SHEET'!D162</f>
        <v>0</v>
      </c>
      <c r="ES162" s="14">
        <f>BX162*'MASTER SHEET'!D162</f>
        <v>0</v>
      </c>
      <c r="ET162" s="21">
        <f>CB162*'MASTER SHEET'!D162</f>
        <v>0</v>
      </c>
      <c r="EU162" s="14">
        <f>CF162*'MASTER SHEET'!D162</f>
        <v>0</v>
      </c>
      <c r="EV162" s="14">
        <f>CJ162*'MASTER SHEET'!D162</f>
        <v>0</v>
      </c>
      <c r="EW162" s="14">
        <f>CN162*'MASTER SHEET'!D162</f>
        <v>0</v>
      </c>
      <c r="EX162" s="14">
        <f>CR162*'MASTER SHEET'!D162</f>
        <v>0</v>
      </c>
      <c r="EY162" s="14">
        <f>CR162*'MASTER SHEET'!D162</f>
        <v>0</v>
      </c>
      <c r="EZ162" s="14">
        <f>CV162*'MASTER SHEET'!D162</f>
        <v>0</v>
      </c>
      <c r="FA162" s="14">
        <f>CZ162*'MASTER SHEET'!D162</f>
        <v>0</v>
      </c>
      <c r="FB162" s="14">
        <f>DD162*'MASTER SHEET'!D162</f>
        <v>0</v>
      </c>
    </row>
    <row r="163" spans="1:158" ht="18.75" customHeight="1" x14ac:dyDescent="0.25">
      <c r="A163" s="43">
        <f>'MASTER SHEET'!A163</f>
        <v>161</v>
      </c>
      <c r="B163" s="49" t="str">
        <f>'MASTER SHEET'!B163</f>
        <v>FDUMMY CAP RH</v>
      </c>
      <c r="C163" s="86" t="str">
        <f>'MASTER SHEET'!C163</f>
        <v>CC00004189</v>
      </c>
      <c r="D163" s="51"/>
      <c r="E163" s="48"/>
      <c r="F163" s="48"/>
      <c r="G163" s="48"/>
      <c r="H163" s="48">
        <f t="shared" ref="H163:H194" si="230">D163+E163-F163-G163</f>
        <v>0</v>
      </c>
      <c r="I163" s="28"/>
      <c r="J163" s="28"/>
      <c r="K163" s="65"/>
      <c r="L163" s="48">
        <f t="shared" ref="L163:L194" si="231">H163+I163-J163-K163</f>
        <v>0</v>
      </c>
      <c r="M163" s="48"/>
      <c r="N163" s="48"/>
      <c r="O163" s="48"/>
      <c r="P163" s="48">
        <f t="shared" ref="P163:P194" si="232">L163+M163-N163-O163</f>
        <v>0</v>
      </c>
      <c r="Q163" s="48"/>
      <c r="R163" s="48"/>
      <c r="S163" s="48"/>
      <c r="T163" s="48">
        <f t="shared" ref="T163:T194" si="233">P163+Q163-R163-S163</f>
        <v>0</v>
      </c>
      <c r="U163" s="48">
        <v>0</v>
      </c>
      <c r="V163" s="48"/>
      <c r="W163" s="48"/>
      <c r="X163" s="48">
        <f t="shared" ref="X163:X194" si="234">T163+U163-V163-W163</f>
        <v>0</v>
      </c>
      <c r="Y163" s="48"/>
      <c r="Z163" s="48"/>
      <c r="AA163" s="48"/>
      <c r="AB163" s="48">
        <f t="shared" ref="AB163:AB194" si="235">X163+Y163-Z163-AA163</f>
        <v>0</v>
      </c>
      <c r="AC163" s="48"/>
      <c r="AD163" s="48"/>
      <c r="AE163" s="48"/>
      <c r="AF163" s="48">
        <f t="shared" ref="AF163:AF194" si="236">AB163+AC163-AD163-AE163</f>
        <v>0</v>
      </c>
      <c r="AG163" s="48"/>
      <c r="AH163" s="48"/>
      <c r="AI163" s="48"/>
      <c r="AJ163" s="48">
        <f t="shared" ref="AJ163:AJ194" si="237">AF163+AG163-AH163-AI163</f>
        <v>0</v>
      </c>
      <c r="AK163" s="48"/>
      <c r="AL163" s="48"/>
      <c r="AM163" s="48"/>
      <c r="AN163" s="48">
        <f t="shared" ref="AN163:AN194" si="238">AJ163+AK163-AL163-AM163</f>
        <v>0</v>
      </c>
      <c r="AO163" s="48"/>
      <c r="AP163" s="48"/>
      <c r="AQ163" s="48"/>
      <c r="AR163" s="48">
        <f t="shared" ref="AR163:AR194" si="239">AN163+AO163-AP163-AQ163</f>
        <v>0</v>
      </c>
      <c r="AS163" s="48"/>
      <c r="AT163" s="48"/>
      <c r="AU163" s="48"/>
      <c r="AV163" s="48">
        <f t="shared" ref="AV163:AV194" si="240">AR163+AS163-AT163-AU163</f>
        <v>0</v>
      </c>
      <c r="AW163" s="48"/>
      <c r="AX163" s="48"/>
      <c r="AY163" s="48"/>
      <c r="AZ163" s="48">
        <f t="shared" ref="AZ163:AZ194" si="241">AV163+AW163-AX163-AY163</f>
        <v>0</v>
      </c>
      <c r="BA163" s="48"/>
      <c r="BB163" s="48"/>
      <c r="BC163" s="48"/>
      <c r="BD163" s="48">
        <f t="shared" ref="BD163:BD194" si="242">AZ163+BA163-BB163-BC163</f>
        <v>0</v>
      </c>
      <c r="BE163" s="48"/>
      <c r="BF163" s="48"/>
      <c r="BG163" s="48"/>
      <c r="BH163" s="48">
        <f t="shared" ref="BH163:BH194" si="243">BD163+BE163-BF163-BG163</f>
        <v>0</v>
      </c>
      <c r="BI163" s="48"/>
      <c r="BJ163" s="48"/>
      <c r="BK163" s="48"/>
      <c r="BL163" s="48">
        <f t="shared" ref="BL163:BL194" si="244">BH163+BI163-BJ163-BK163</f>
        <v>0</v>
      </c>
      <c r="BM163" s="48"/>
      <c r="BN163" s="48"/>
      <c r="BO163" s="48"/>
      <c r="BP163" s="48">
        <f t="shared" ref="BP163:BP194" si="245">BL163+BM163-BN163-BO163</f>
        <v>0</v>
      </c>
      <c r="BQ163" s="48"/>
      <c r="BR163" s="48"/>
      <c r="BS163" s="48"/>
      <c r="BT163" s="48">
        <f t="shared" ref="BT163:BT194" si="246">BP163+BQ163-BR163-BS163</f>
        <v>0</v>
      </c>
      <c r="BU163" s="48"/>
      <c r="BV163" s="48"/>
      <c r="BW163" s="48"/>
      <c r="BX163" s="48">
        <f t="shared" ref="BX163:BX194" si="247">BT163+BU163-BV163-BW163</f>
        <v>0</v>
      </c>
      <c r="BY163" s="48"/>
      <c r="BZ163" s="48"/>
      <c r="CA163" s="48"/>
      <c r="CB163" s="48">
        <f t="shared" ref="CB163:CB194" si="248">BX163+BY163-BZ163-CA163</f>
        <v>0</v>
      </c>
      <c r="CC163" s="48"/>
      <c r="CD163" s="48"/>
      <c r="CE163" s="48"/>
      <c r="CF163" s="48">
        <f t="shared" ref="CF163:CF194" si="249">CB163+CC163-CD163-CE163</f>
        <v>0</v>
      </c>
      <c r="CG163" s="48"/>
      <c r="CH163" s="48"/>
      <c r="CI163" s="48"/>
      <c r="CJ163" s="48">
        <f t="shared" ref="CJ163:CJ194" si="250">CF163+CG163-CH163-CI163</f>
        <v>0</v>
      </c>
      <c r="CK163" s="48"/>
      <c r="CL163" s="48"/>
      <c r="CM163" s="48"/>
      <c r="CN163" s="48">
        <f t="shared" ref="CN163:CN194" si="251">CJ163+CK163-CL163-CM163</f>
        <v>0</v>
      </c>
      <c r="CO163" s="48"/>
      <c r="CP163" s="48"/>
      <c r="CQ163" s="48"/>
      <c r="CR163" s="48">
        <f t="shared" ref="CR163:CR194" si="252">CN163+CO163-CP163-CQ163</f>
        <v>0</v>
      </c>
      <c r="CS163" s="48"/>
      <c r="CT163" s="48"/>
      <c r="CU163" s="48"/>
      <c r="CV163" s="48">
        <f t="shared" ref="CV163:CV194" si="253">CR163+CS163-CT163-CU163</f>
        <v>0</v>
      </c>
      <c r="CW163" s="48"/>
      <c r="CX163" s="48"/>
      <c r="CY163" s="48"/>
      <c r="CZ163" s="48">
        <f t="shared" ref="CZ163:CZ194" si="254">CV163+CW163-CX163-CY163</f>
        <v>0</v>
      </c>
      <c r="DA163" s="48"/>
      <c r="DB163" s="48"/>
      <c r="DC163" s="48"/>
      <c r="DD163" s="48">
        <f t="shared" ref="DD163:DD194" si="255">CZ163+DA163-DB163-DC163</f>
        <v>0</v>
      </c>
      <c r="DE163" s="48"/>
      <c r="DF163" s="48"/>
      <c r="DG163" s="48"/>
      <c r="DH163" s="48">
        <f t="shared" ref="DH163:DH194" si="256">DD163+DE163-DF163-DG163</f>
        <v>0</v>
      </c>
      <c r="DI163" s="48"/>
      <c r="DJ163" s="48"/>
      <c r="DK163" s="48"/>
      <c r="DL163" s="48">
        <f t="shared" ref="DL163:DL194" si="257">DH163+DI163-DJ163-DK163</f>
        <v>0</v>
      </c>
      <c r="DM163" s="48"/>
      <c r="DN163" s="48"/>
      <c r="DO163" s="48"/>
      <c r="DP163" s="48">
        <f t="shared" ref="DP163:DP194" si="258">DL163+DM163-DN163-DO163</f>
        <v>0</v>
      </c>
      <c r="DQ163" s="48"/>
      <c r="DR163" s="48"/>
      <c r="DS163" s="48"/>
      <c r="DT163" s="48">
        <f t="shared" ref="DT163:DT194" si="259">DP163+DQ163-DR163-DS163</f>
        <v>0</v>
      </c>
      <c r="DU163" s="48"/>
      <c r="DV163" s="48"/>
      <c r="DW163" s="48"/>
      <c r="DX163" s="48">
        <f t="shared" ref="DX163:DX194" si="260">DT163+DU163-DV163-DW163</f>
        <v>0</v>
      </c>
      <c r="DY163" s="48">
        <f t="shared" si="229"/>
        <v>0</v>
      </c>
      <c r="DZ163" s="48">
        <f t="shared" ref="DZ163:DZ194" si="261">G163+K163+S163+W163+AA163+AE163+AI163+AM163+AQ163+AU163+AY163+BC163+BG163+BK163+BO163+BS163+BW163+CA163+CE163+CI163+CM163+CQ163+CU163+CY163+DC163+DG163+DK163+DO163+DS163+DW163</f>
        <v>0</v>
      </c>
      <c r="EA163" s="14">
        <f>D163*'MASTER SHEET'!D163</f>
        <v>0</v>
      </c>
      <c r="EB163" s="14">
        <f>H163*'MASTER SHEET'!D163</f>
        <v>0</v>
      </c>
      <c r="EC163" s="14">
        <f>L163*'MASTER SHEET'!D163</f>
        <v>0</v>
      </c>
      <c r="ED163" s="14">
        <f>P163*'MASTER SHEET'!D163</f>
        <v>0</v>
      </c>
      <c r="EE163" s="14">
        <f>T163*'MASTER SHEET'!D163</f>
        <v>0</v>
      </c>
      <c r="EF163" s="14">
        <f>X163*'MASTER SHEET'!D163</f>
        <v>0</v>
      </c>
      <c r="EG163" s="14">
        <f>AB163*'MASTER SHEET'!D163</f>
        <v>0</v>
      </c>
      <c r="EH163" s="14">
        <f>AF163*'MASTER SHEET'!D163</f>
        <v>0</v>
      </c>
      <c r="EI163" s="14">
        <f>AJ163*'MASTER SHEET'!D163</f>
        <v>0</v>
      </c>
      <c r="EJ163" s="14">
        <f>AN163*'MASTER SHEET'!D163</f>
        <v>0</v>
      </c>
      <c r="EK163" s="14">
        <f>AR163*'MASTER SHEET'!D163</f>
        <v>0</v>
      </c>
      <c r="EL163" s="14">
        <f>AV163*'MASTER SHEET'!D163</f>
        <v>0</v>
      </c>
      <c r="EM163" s="14">
        <f>AZ163*'MASTER SHEET'!D163</f>
        <v>0</v>
      </c>
      <c r="EN163" s="14">
        <f>BD163*'MASTER SHEET'!D163</f>
        <v>0</v>
      </c>
      <c r="EO163" s="14">
        <f>BH163*'MASTER SHEET'!D163</f>
        <v>0</v>
      </c>
      <c r="EP163" s="14">
        <f>BL163*'MASTER SHEET'!D163</f>
        <v>0</v>
      </c>
      <c r="EQ163" s="14">
        <f>BP163*'MASTER SHEET'!D163</f>
        <v>0</v>
      </c>
      <c r="ER163" s="14">
        <f>BT163*'MASTER SHEET'!D163</f>
        <v>0</v>
      </c>
      <c r="ES163" s="14">
        <f>BX163*'MASTER SHEET'!D163</f>
        <v>0</v>
      </c>
      <c r="ET163" s="21">
        <f>CB163*'MASTER SHEET'!D163</f>
        <v>0</v>
      </c>
      <c r="EU163" s="14">
        <f>CF163*'MASTER SHEET'!D163</f>
        <v>0</v>
      </c>
      <c r="EV163" s="14">
        <f>CJ163*'MASTER SHEET'!D163</f>
        <v>0</v>
      </c>
      <c r="EW163" s="14">
        <f>CN163*'MASTER SHEET'!D163</f>
        <v>0</v>
      </c>
      <c r="EX163" s="14">
        <f>CR163*'MASTER SHEET'!D163</f>
        <v>0</v>
      </c>
      <c r="EY163" s="14">
        <f>CR163*'MASTER SHEET'!D163</f>
        <v>0</v>
      </c>
      <c r="EZ163" s="14">
        <f>CV163*'MASTER SHEET'!D163</f>
        <v>0</v>
      </c>
      <c r="FA163" s="14">
        <f>CZ163*'MASTER SHEET'!D163</f>
        <v>0</v>
      </c>
      <c r="FB163" s="14">
        <f>DD163*'MASTER SHEET'!D163</f>
        <v>0</v>
      </c>
    </row>
    <row r="164" spans="1:158" ht="18.75" customHeight="1" x14ac:dyDescent="0.25">
      <c r="A164" s="43">
        <f>'MASTER SHEET'!A164</f>
        <v>162</v>
      </c>
      <c r="B164" s="49" t="str">
        <f>'MASTER SHEET'!B164</f>
        <v>Hood Stay Rod</v>
      </c>
      <c r="C164" s="86">
        <f>'MASTER SHEET'!C164</f>
        <v>62124</v>
      </c>
      <c r="D164" s="51"/>
      <c r="E164" s="48"/>
      <c r="F164" s="48"/>
      <c r="G164" s="48"/>
      <c r="H164" s="48">
        <f t="shared" si="230"/>
        <v>0</v>
      </c>
      <c r="I164" s="28"/>
      <c r="J164" s="28"/>
      <c r="K164" s="65"/>
      <c r="L164" s="48">
        <f t="shared" si="231"/>
        <v>0</v>
      </c>
      <c r="M164" s="48"/>
      <c r="N164" s="48"/>
      <c r="O164" s="48"/>
      <c r="P164" s="48">
        <f t="shared" si="232"/>
        <v>0</v>
      </c>
      <c r="Q164" s="48"/>
      <c r="R164" s="48"/>
      <c r="S164" s="48"/>
      <c r="T164" s="48">
        <f t="shared" si="233"/>
        <v>0</v>
      </c>
      <c r="U164" s="48">
        <v>0</v>
      </c>
      <c r="V164" s="48"/>
      <c r="W164" s="48"/>
      <c r="X164" s="48">
        <f t="shared" si="234"/>
        <v>0</v>
      </c>
      <c r="Y164" s="48"/>
      <c r="Z164" s="48"/>
      <c r="AA164" s="48"/>
      <c r="AB164" s="48">
        <f t="shared" si="235"/>
        <v>0</v>
      </c>
      <c r="AC164" s="48"/>
      <c r="AD164" s="48"/>
      <c r="AE164" s="48"/>
      <c r="AF164" s="48">
        <f t="shared" si="236"/>
        <v>0</v>
      </c>
      <c r="AG164" s="48"/>
      <c r="AH164" s="48"/>
      <c r="AI164" s="48"/>
      <c r="AJ164" s="48">
        <f t="shared" si="237"/>
        <v>0</v>
      </c>
      <c r="AK164" s="48"/>
      <c r="AL164" s="48"/>
      <c r="AM164" s="48"/>
      <c r="AN164" s="48">
        <f t="shared" si="238"/>
        <v>0</v>
      </c>
      <c r="AO164" s="48"/>
      <c r="AP164" s="48"/>
      <c r="AQ164" s="48"/>
      <c r="AR164" s="48">
        <f t="shared" si="239"/>
        <v>0</v>
      </c>
      <c r="AS164" s="48"/>
      <c r="AT164" s="48"/>
      <c r="AU164" s="48"/>
      <c r="AV164" s="48">
        <f t="shared" si="240"/>
        <v>0</v>
      </c>
      <c r="AW164" s="48"/>
      <c r="AX164" s="48"/>
      <c r="AY164" s="48"/>
      <c r="AZ164" s="48">
        <f t="shared" si="241"/>
        <v>0</v>
      </c>
      <c r="BA164" s="48"/>
      <c r="BB164" s="48"/>
      <c r="BC164" s="48"/>
      <c r="BD164" s="48">
        <f t="shared" si="242"/>
        <v>0</v>
      </c>
      <c r="BE164" s="48"/>
      <c r="BF164" s="48"/>
      <c r="BG164" s="48"/>
      <c r="BH164" s="48">
        <f t="shared" si="243"/>
        <v>0</v>
      </c>
      <c r="BI164" s="48"/>
      <c r="BJ164" s="48"/>
      <c r="BK164" s="48"/>
      <c r="BL164" s="48">
        <f t="shared" si="244"/>
        <v>0</v>
      </c>
      <c r="BM164" s="48"/>
      <c r="BN164" s="48"/>
      <c r="BO164" s="48"/>
      <c r="BP164" s="48">
        <f t="shared" si="245"/>
        <v>0</v>
      </c>
      <c r="BQ164" s="48"/>
      <c r="BR164" s="48"/>
      <c r="BS164" s="48"/>
      <c r="BT164" s="48">
        <f t="shared" si="246"/>
        <v>0</v>
      </c>
      <c r="BU164" s="48"/>
      <c r="BV164" s="48"/>
      <c r="BW164" s="48"/>
      <c r="BX164" s="48">
        <f t="shared" si="247"/>
        <v>0</v>
      </c>
      <c r="BY164" s="48"/>
      <c r="BZ164" s="48"/>
      <c r="CA164" s="48"/>
      <c r="CB164" s="48">
        <f t="shared" si="248"/>
        <v>0</v>
      </c>
      <c r="CC164" s="48"/>
      <c r="CD164" s="48"/>
      <c r="CE164" s="48"/>
      <c r="CF164" s="48">
        <f t="shared" si="249"/>
        <v>0</v>
      </c>
      <c r="CG164" s="48"/>
      <c r="CH164" s="48"/>
      <c r="CI164" s="48"/>
      <c r="CJ164" s="48">
        <f t="shared" si="250"/>
        <v>0</v>
      </c>
      <c r="CK164" s="48"/>
      <c r="CL164" s="48"/>
      <c r="CM164" s="48"/>
      <c r="CN164" s="48">
        <f t="shared" si="251"/>
        <v>0</v>
      </c>
      <c r="CO164" s="48"/>
      <c r="CP164" s="48"/>
      <c r="CQ164" s="48"/>
      <c r="CR164" s="48">
        <f t="shared" si="252"/>
        <v>0</v>
      </c>
      <c r="CS164" s="48"/>
      <c r="CT164" s="48"/>
      <c r="CU164" s="48"/>
      <c r="CV164" s="48">
        <f t="shared" si="253"/>
        <v>0</v>
      </c>
      <c r="CW164" s="48"/>
      <c r="CX164" s="48"/>
      <c r="CY164" s="48"/>
      <c r="CZ164" s="48">
        <f t="shared" si="254"/>
        <v>0</v>
      </c>
      <c r="DA164" s="48"/>
      <c r="DB164" s="48"/>
      <c r="DC164" s="48"/>
      <c r="DD164" s="48">
        <f t="shared" si="255"/>
        <v>0</v>
      </c>
      <c r="DE164" s="48"/>
      <c r="DF164" s="48"/>
      <c r="DG164" s="48"/>
      <c r="DH164" s="48">
        <f t="shared" si="256"/>
        <v>0</v>
      </c>
      <c r="DI164" s="48"/>
      <c r="DJ164" s="48"/>
      <c r="DK164" s="48"/>
      <c r="DL164" s="48">
        <f t="shared" si="257"/>
        <v>0</v>
      </c>
      <c r="DM164" s="48"/>
      <c r="DN164" s="48"/>
      <c r="DO164" s="48"/>
      <c r="DP164" s="48">
        <f t="shared" si="258"/>
        <v>0</v>
      </c>
      <c r="DQ164" s="48"/>
      <c r="DR164" s="48"/>
      <c r="DS164" s="48"/>
      <c r="DT164" s="48">
        <f t="shared" si="259"/>
        <v>0</v>
      </c>
      <c r="DU164" s="48"/>
      <c r="DV164" s="48"/>
      <c r="DW164" s="48"/>
      <c r="DX164" s="48">
        <f t="shared" si="260"/>
        <v>0</v>
      </c>
      <c r="DY164" s="48">
        <f t="shared" si="229"/>
        <v>0</v>
      </c>
      <c r="DZ164" s="48">
        <f t="shared" si="261"/>
        <v>0</v>
      </c>
      <c r="EA164" s="14">
        <f>D164*'MASTER SHEET'!D164</f>
        <v>0</v>
      </c>
      <c r="EB164" s="14">
        <f>H164*'MASTER SHEET'!D164</f>
        <v>0</v>
      </c>
      <c r="EC164" s="14">
        <f>L164*'MASTER SHEET'!D164</f>
        <v>0</v>
      </c>
      <c r="ED164" s="14">
        <f>P164*'MASTER SHEET'!D164</f>
        <v>0</v>
      </c>
      <c r="EE164" s="14">
        <f>T164*'MASTER SHEET'!D164</f>
        <v>0</v>
      </c>
      <c r="EF164" s="14">
        <f>X164*'MASTER SHEET'!D164</f>
        <v>0</v>
      </c>
      <c r="EG164" s="14">
        <f>AB164*'MASTER SHEET'!D164</f>
        <v>0</v>
      </c>
      <c r="EH164" s="14">
        <f>AF164*'MASTER SHEET'!D164</f>
        <v>0</v>
      </c>
      <c r="EI164" s="14">
        <f>AJ164*'MASTER SHEET'!D164</f>
        <v>0</v>
      </c>
      <c r="EJ164" s="14">
        <f>AN164*'MASTER SHEET'!D164</f>
        <v>0</v>
      </c>
      <c r="EK164" s="14">
        <f>AR164*'MASTER SHEET'!D164</f>
        <v>0</v>
      </c>
      <c r="EL164" s="14">
        <f>AV164*'MASTER SHEET'!D164</f>
        <v>0</v>
      </c>
      <c r="EM164" s="14">
        <f>AZ164*'MASTER SHEET'!D164</f>
        <v>0</v>
      </c>
      <c r="EN164" s="14">
        <f>BD164*'MASTER SHEET'!D164</f>
        <v>0</v>
      </c>
      <c r="EO164" s="14">
        <f>BH164*'MASTER SHEET'!D164</f>
        <v>0</v>
      </c>
      <c r="EP164" s="14">
        <f>BL164*'MASTER SHEET'!D164</f>
        <v>0</v>
      </c>
      <c r="EQ164" s="14">
        <f>BP164*'MASTER SHEET'!D164</f>
        <v>0</v>
      </c>
      <c r="ER164" s="14">
        <f>BT164*'MASTER SHEET'!D164</f>
        <v>0</v>
      </c>
      <c r="ES164" s="14">
        <f>BX164*'MASTER SHEET'!D164</f>
        <v>0</v>
      </c>
      <c r="ET164" s="21">
        <f>CB164*'MASTER SHEET'!D164</f>
        <v>0</v>
      </c>
      <c r="EU164" s="14">
        <f>CF164*'MASTER SHEET'!D164</f>
        <v>0</v>
      </c>
      <c r="EV164" s="14">
        <f>CJ164*'MASTER SHEET'!D164</f>
        <v>0</v>
      </c>
      <c r="EW164" s="14">
        <f>CN164*'MASTER SHEET'!D164</f>
        <v>0</v>
      </c>
      <c r="EX164" s="14">
        <f>CR164*'MASTER SHEET'!D164</f>
        <v>0</v>
      </c>
      <c r="EY164" s="14">
        <f>CR164*'MASTER SHEET'!D164</f>
        <v>0</v>
      </c>
      <c r="EZ164" s="14">
        <f>CV164*'MASTER SHEET'!D164</f>
        <v>0</v>
      </c>
      <c r="FA164" s="14">
        <f>CZ164*'MASTER SHEET'!D164</f>
        <v>0</v>
      </c>
      <c r="FB164" s="14">
        <f>DD164*'MASTER SHEET'!D164</f>
        <v>0</v>
      </c>
    </row>
    <row r="165" spans="1:158" ht="18.75" customHeight="1" x14ac:dyDescent="0.25">
      <c r="A165" s="43">
        <f>'MASTER SHEET'!A165</f>
        <v>163</v>
      </c>
      <c r="B165" s="49" t="str">
        <f>'MASTER SHEET'!B165</f>
        <v>RIBLOK</v>
      </c>
      <c r="C165" s="86">
        <f>'MASTER SHEET'!C165</f>
        <v>60250</v>
      </c>
      <c r="D165" s="51"/>
      <c r="E165" s="48"/>
      <c r="F165" s="48"/>
      <c r="G165" s="48"/>
      <c r="H165" s="48">
        <f t="shared" si="230"/>
        <v>0</v>
      </c>
      <c r="I165" s="28"/>
      <c r="J165" s="28"/>
      <c r="K165" s="65"/>
      <c r="L165" s="48">
        <f t="shared" si="231"/>
        <v>0</v>
      </c>
      <c r="M165" s="48"/>
      <c r="N165" s="48"/>
      <c r="O165" s="48"/>
      <c r="P165" s="48">
        <f t="shared" si="232"/>
        <v>0</v>
      </c>
      <c r="Q165" s="48"/>
      <c r="R165" s="48"/>
      <c r="S165" s="48"/>
      <c r="T165" s="48">
        <f t="shared" si="233"/>
        <v>0</v>
      </c>
      <c r="U165" s="48">
        <v>0</v>
      </c>
      <c r="V165" s="48"/>
      <c r="W165" s="48"/>
      <c r="X165" s="48">
        <f t="shared" si="234"/>
        <v>0</v>
      </c>
      <c r="Y165" s="48"/>
      <c r="Z165" s="48"/>
      <c r="AA165" s="48"/>
      <c r="AB165" s="48">
        <f t="shared" si="235"/>
        <v>0</v>
      </c>
      <c r="AC165" s="48"/>
      <c r="AD165" s="48"/>
      <c r="AE165" s="48"/>
      <c r="AF165" s="48">
        <f t="shared" si="236"/>
        <v>0</v>
      </c>
      <c r="AG165" s="48"/>
      <c r="AH165" s="48"/>
      <c r="AI165" s="48"/>
      <c r="AJ165" s="48">
        <f t="shared" si="237"/>
        <v>0</v>
      </c>
      <c r="AK165" s="48"/>
      <c r="AL165" s="48"/>
      <c r="AM165" s="48"/>
      <c r="AN165" s="48">
        <f t="shared" si="238"/>
        <v>0</v>
      </c>
      <c r="AO165" s="48"/>
      <c r="AP165" s="48"/>
      <c r="AQ165" s="48"/>
      <c r="AR165" s="48">
        <f t="shared" si="239"/>
        <v>0</v>
      </c>
      <c r="AS165" s="48"/>
      <c r="AT165" s="48"/>
      <c r="AU165" s="48"/>
      <c r="AV165" s="48">
        <f t="shared" si="240"/>
        <v>0</v>
      </c>
      <c r="AW165" s="48"/>
      <c r="AX165" s="48"/>
      <c r="AY165" s="48"/>
      <c r="AZ165" s="48">
        <f t="shared" si="241"/>
        <v>0</v>
      </c>
      <c r="BA165" s="48"/>
      <c r="BB165" s="48"/>
      <c r="BC165" s="48"/>
      <c r="BD165" s="48">
        <f t="shared" si="242"/>
        <v>0</v>
      </c>
      <c r="BE165" s="48"/>
      <c r="BF165" s="48"/>
      <c r="BG165" s="48"/>
      <c r="BH165" s="48">
        <f t="shared" si="243"/>
        <v>0</v>
      </c>
      <c r="BI165" s="48"/>
      <c r="BJ165" s="48"/>
      <c r="BK165" s="48"/>
      <c r="BL165" s="48">
        <f t="shared" si="244"/>
        <v>0</v>
      </c>
      <c r="BM165" s="48"/>
      <c r="BN165" s="48"/>
      <c r="BO165" s="48"/>
      <c r="BP165" s="48">
        <f t="shared" si="245"/>
        <v>0</v>
      </c>
      <c r="BQ165" s="48"/>
      <c r="BR165" s="48"/>
      <c r="BS165" s="48"/>
      <c r="BT165" s="48">
        <f t="shared" si="246"/>
        <v>0</v>
      </c>
      <c r="BU165" s="48"/>
      <c r="BV165" s="48"/>
      <c r="BW165" s="48"/>
      <c r="BX165" s="48">
        <f t="shared" si="247"/>
        <v>0</v>
      </c>
      <c r="BY165" s="48"/>
      <c r="BZ165" s="48"/>
      <c r="CA165" s="48"/>
      <c r="CB165" s="48">
        <f t="shared" si="248"/>
        <v>0</v>
      </c>
      <c r="CC165" s="48"/>
      <c r="CD165" s="48"/>
      <c r="CE165" s="48"/>
      <c r="CF165" s="48">
        <f t="shared" si="249"/>
        <v>0</v>
      </c>
      <c r="CG165" s="48"/>
      <c r="CH165" s="48"/>
      <c r="CI165" s="48"/>
      <c r="CJ165" s="48">
        <f t="shared" si="250"/>
        <v>0</v>
      </c>
      <c r="CK165" s="48"/>
      <c r="CL165" s="48"/>
      <c r="CM165" s="48"/>
      <c r="CN165" s="48">
        <f t="shared" si="251"/>
        <v>0</v>
      </c>
      <c r="CO165" s="48"/>
      <c r="CP165" s="48"/>
      <c r="CQ165" s="48"/>
      <c r="CR165" s="48">
        <f t="shared" si="252"/>
        <v>0</v>
      </c>
      <c r="CS165" s="48"/>
      <c r="CT165" s="48"/>
      <c r="CU165" s="48"/>
      <c r="CV165" s="48">
        <f t="shared" si="253"/>
        <v>0</v>
      </c>
      <c r="CW165" s="48"/>
      <c r="CX165" s="48"/>
      <c r="CY165" s="48"/>
      <c r="CZ165" s="48">
        <f t="shared" si="254"/>
        <v>0</v>
      </c>
      <c r="DA165" s="48"/>
      <c r="DB165" s="48"/>
      <c r="DC165" s="48"/>
      <c r="DD165" s="48">
        <f t="shared" si="255"/>
        <v>0</v>
      </c>
      <c r="DE165" s="48"/>
      <c r="DF165" s="48"/>
      <c r="DG165" s="48"/>
      <c r="DH165" s="48">
        <f t="shared" si="256"/>
        <v>0</v>
      </c>
      <c r="DI165" s="48"/>
      <c r="DJ165" s="48"/>
      <c r="DK165" s="48"/>
      <c r="DL165" s="48">
        <f t="shared" si="257"/>
        <v>0</v>
      </c>
      <c r="DM165" s="48"/>
      <c r="DN165" s="48"/>
      <c r="DO165" s="48"/>
      <c r="DP165" s="48">
        <f t="shared" si="258"/>
        <v>0</v>
      </c>
      <c r="DQ165" s="48"/>
      <c r="DR165" s="48"/>
      <c r="DS165" s="48"/>
      <c r="DT165" s="48">
        <f t="shared" si="259"/>
        <v>0</v>
      </c>
      <c r="DU165" s="48"/>
      <c r="DV165" s="48"/>
      <c r="DW165" s="48"/>
      <c r="DX165" s="48">
        <f t="shared" si="260"/>
        <v>0</v>
      </c>
      <c r="DY165" s="48">
        <f t="shared" si="229"/>
        <v>0</v>
      </c>
      <c r="DZ165" s="48">
        <f t="shared" si="261"/>
        <v>0</v>
      </c>
      <c r="EA165" s="14">
        <f>D165*'MASTER SHEET'!D165</f>
        <v>0</v>
      </c>
      <c r="EB165" s="14">
        <f>H165*'MASTER SHEET'!D165</f>
        <v>0</v>
      </c>
      <c r="EC165" s="14">
        <f>L165*'MASTER SHEET'!D165</f>
        <v>0</v>
      </c>
      <c r="ED165" s="14">
        <f>P165*'MASTER SHEET'!D165</f>
        <v>0</v>
      </c>
      <c r="EE165" s="14">
        <f>T165*'MASTER SHEET'!D165</f>
        <v>0</v>
      </c>
      <c r="EF165" s="14">
        <f>X165*'MASTER SHEET'!D165</f>
        <v>0</v>
      </c>
      <c r="EG165" s="14">
        <f>AB165*'MASTER SHEET'!D165</f>
        <v>0</v>
      </c>
      <c r="EH165" s="14">
        <f>AF165*'MASTER SHEET'!D165</f>
        <v>0</v>
      </c>
      <c r="EI165" s="14">
        <f>AJ165*'MASTER SHEET'!D165</f>
        <v>0</v>
      </c>
      <c r="EJ165" s="14">
        <f>AN165*'MASTER SHEET'!D165</f>
        <v>0</v>
      </c>
      <c r="EK165" s="14">
        <f>AR165*'MASTER SHEET'!D165</f>
        <v>0</v>
      </c>
      <c r="EL165" s="14">
        <f>AV165*'MASTER SHEET'!D165</f>
        <v>0</v>
      </c>
      <c r="EM165" s="14">
        <f>AZ165*'MASTER SHEET'!D165</f>
        <v>0</v>
      </c>
      <c r="EN165" s="14">
        <f>BD165*'MASTER SHEET'!D165</f>
        <v>0</v>
      </c>
      <c r="EO165" s="14">
        <f>BH165*'MASTER SHEET'!D165</f>
        <v>0</v>
      </c>
      <c r="EP165" s="14">
        <f>BL165*'MASTER SHEET'!D165</f>
        <v>0</v>
      </c>
      <c r="EQ165" s="14">
        <f>BP165*'MASTER SHEET'!D165</f>
        <v>0</v>
      </c>
      <c r="ER165" s="14">
        <f>BT165*'MASTER SHEET'!D165</f>
        <v>0</v>
      </c>
      <c r="ES165" s="14">
        <f>BX165*'MASTER SHEET'!D165</f>
        <v>0</v>
      </c>
      <c r="ET165" s="21">
        <f>CB165*'MASTER SHEET'!D165</f>
        <v>0</v>
      </c>
      <c r="EU165" s="14">
        <f>CF165*'MASTER SHEET'!D165</f>
        <v>0</v>
      </c>
      <c r="EV165" s="14">
        <f>CJ165*'MASTER SHEET'!D165</f>
        <v>0</v>
      </c>
      <c r="EW165" s="14">
        <f>CN165*'MASTER SHEET'!D165</f>
        <v>0</v>
      </c>
      <c r="EX165" s="14">
        <f>CR165*'MASTER SHEET'!D165</f>
        <v>0</v>
      </c>
      <c r="EY165" s="14">
        <f>CR165*'MASTER SHEET'!D165</f>
        <v>0</v>
      </c>
      <c r="EZ165" s="14">
        <f>CV165*'MASTER SHEET'!D165</f>
        <v>0</v>
      </c>
      <c r="FA165" s="14">
        <f>CZ165*'MASTER SHEET'!D165</f>
        <v>0</v>
      </c>
      <c r="FB165" s="14">
        <f>DD165*'MASTER SHEET'!D165</f>
        <v>0</v>
      </c>
    </row>
    <row r="166" spans="1:158" ht="18.75" customHeight="1" x14ac:dyDescent="0.25">
      <c r="A166" s="43">
        <f>'MASTER SHEET'!A166</f>
        <v>164</v>
      </c>
      <c r="B166" s="49" t="str">
        <f>'MASTER SHEET'!B166</f>
        <v>AIR EXTRACTOR HOUSING</v>
      </c>
      <c r="C166" s="86">
        <f>'MASTER SHEET'!C166</f>
        <v>62182</v>
      </c>
      <c r="D166" s="51"/>
      <c r="E166" s="48"/>
      <c r="F166" s="48"/>
      <c r="G166" s="48"/>
      <c r="H166" s="48">
        <f t="shared" si="230"/>
        <v>0</v>
      </c>
      <c r="I166" s="28"/>
      <c r="J166" s="28"/>
      <c r="K166" s="65"/>
      <c r="L166" s="48">
        <f t="shared" si="231"/>
        <v>0</v>
      </c>
      <c r="M166" s="48"/>
      <c r="N166" s="48"/>
      <c r="O166" s="48"/>
      <c r="P166" s="48">
        <f t="shared" si="232"/>
        <v>0</v>
      </c>
      <c r="Q166" s="48"/>
      <c r="R166" s="48"/>
      <c r="S166" s="48"/>
      <c r="T166" s="48">
        <f t="shared" si="233"/>
        <v>0</v>
      </c>
      <c r="U166" s="48">
        <v>0</v>
      </c>
      <c r="V166" s="48"/>
      <c r="W166" s="48"/>
      <c r="X166" s="48">
        <f t="shared" si="234"/>
        <v>0</v>
      </c>
      <c r="Y166" s="48"/>
      <c r="Z166" s="48"/>
      <c r="AA166" s="48"/>
      <c r="AB166" s="48">
        <f t="shared" si="235"/>
        <v>0</v>
      </c>
      <c r="AC166" s="48"/>
      <c r="AD166" s="48"/>
      <c r="AE166" s="48"/>
      <c r="AF166" s="48">
        <f t="shared" si="236"/>
        <v>0</v>
      </c>
      <c r="AG166" s="48"/>
      <c r="AH166" s="48"/>
      <c r="AI166" s="48"/>
      <c r="AJ166" s="48">
        <f t="shared" si="237"/>
        <v>0</v>
      </c>
      <c r="AK166" s="48"/>
      <c r="AL166" s="48"/>
      <c r="AM166" s="48"/>
      <c r="AN166" s="48">
        <f t="shared" si="238"/>
        <v>0</v>
      </c>
      <c r="AO166" s="48"/>
      <c r="AP166" s="48"/>
      <c r="AQ166" s="48"/>
      <c r="AR166" s="48">
        <f t="shared" si="239"/>
        <v>0</v>
      </c>
      <c r="AS166" s="48"/>
      <c r="AT166" s="48"/>
      <c r="AU166" s="48"/>
      <c r="AV166" s="48">
        <f t="shared" si="240"/>
        <v>0</v>
      </c>
      <c r="AW166" s="48"/>
      <c r="AX166" s="48"/>
      <c r="AY166" s="48"/>
      <c r="AZ166" s="48">
        <f t="shared" si="241"/>
        <v>0</v>
      </c>
      <c r="BA166" s="48"/>
      <c r="BB166" s="48"/>
      <c r="BC166" s="48"/>
      <c r="BD166" s="48">
        <f t="shared" si="242"/>
        <v>0</v>
      </c>
      <c r="BE166" s="48"/>
      <c r="BF166" s="48"/>
      <c r="BG166" s="48"/>
      <c r="BH166" s="48">
        <f t="shared" si="243"/>
        <v>0</v>
      </c>
      <c r="BI166" s="48"/>
      <c r="BJ166" s="48"/>
      <c r="BK166" s="48"/>
      <c r="BL166" s="48">
        <f t="shared" si="244"/>
        <v>0</v>
      </c>
      <c r="BM166" s="48"/>
      <c r="BN166" s="48"/>
      <c r="BO166" s="48"/>
      <c r="BP166" s="48">
        <f t="shared" si="245"/>
        <v>0</v>
      </c>
      <c r="BQ166" s="48"/>
      <c r="BR166" s="48"/>
      <c r="BS166" s="48"/>
      <c r="BT166" s="48">
        <f t="shared" si="246"/>
        <v>0</v>
      </c>
      <c r="BU166" s="48"/>
      <c r="BV166" s="48"/>
      <c r="BW166" s="48"/>
      <c r="BX166" s="48">
        <f t="shared" si="247"/>
        <v>0</v>
      </c>
      <c r="BY166" s="48"/>
      <c r="BZ166" s="48"/>
      <c r="CA166" s="48"/>
      <c r="CB166" s="48">
        <f t="shared" si="248"/>
        <v>0</v>
      </c>
      <c r="CC166" s="48"/>
      <c r="CD166" s="48"/>
      <c r="CE166" s="48"/>
      <c r="CF166" s="48">
        <f t="shared" si="249"/>
        <v>0</v>
      </c>
      <c r="CG166" s="48"/>
      <c r="CH166" s="48"/>
      <c r="CI166" s="48"/>
      <c r="CJ166" s="48">
        <f t="shared" si="250"/>
        <v>0</v>
      </c>
      <c r="CK166" s="48"/>
      <c r="CL166" s="48"/>
      <c r="CM166" s="48"/>
      <c r="CN166" s="48">
        <f t="shared" si="251"/>
        <v>0</v>
      </c>
      <c r="CO166" s="48"/>
      <c r="CP166" s="48"/>
      <c r="CQ166" s="48"/>
      <c r="CR166" s="48">
        <f t="shared" si="252"/>
        <v>0</v>
      </c>
      <c r="CS166" s="48"/>
      <c r="CT166" s="48"/>
      <c r="CU166" s="48"/>
      <c r="CV166" s="48">
        <f t="shared" si="253"/>
        <v>0</v>
      </c>
      <c r="CW166" s="48"/>
      <c r="CX166" s="48"/>
      <c r="CY166" s="48"/>
      <c r="CZ166" s="48">
        <f t="shared" si="254"/>
        <v>0</v>
      </c>
      <c r="DA166" s="48"/>
      <c r="DB166" s="48"/>
      <c r="DC166" s="48"/>
      <c r="DD166" s="48">
        <f t="shared" si="255"/>
        <v>0</v>
      </c>
      <c r="DE166" s="48"/>
      <c r="DF166" s="48"/>
      <c r="DG166" s="48"/>
      <c r="DH166" s="48">
        <f t="shared" si="256"/>
        <v>0</v>
      </c>
      <c r="DI166" s="48"/>
      <c r="DJ166" s="48"/>
      <c r="DK166" s="48"/>
      <c r="DL166" s="48">
        <f t="shared" si="257"/>
        <v>0</v>
      </c>
      <c r="DM166" s="48"/>
      <c r="DN166" s="48"/>
      <c r="DO166" s="48"/>
      <c r="DP166" s="48">
        <f t="shared" si="258"/>
        <v>0</v>
      </c>
      <c r="DQ166" s="48"/>
      <c r="DR166" s="48"/>
      <c r="DS166" s="48"/>
      <c r="DT166" s="48">
        <f t="shared" si="259"/>
        <v>0</v>
      </c>
      <c r="DU166" s="48"/>
      <c r="DV166" s="48"/>
      <c r="DW166" s="48"/>
      <c r="DX166" s="48">
        <f t="shared" si="260"/>
        <v>0</v>
      </c>
      <c r="DY166" s="48">
        <f t="shared" si="229"/>
        <v>0</v>
      </c>
      <c r="DZ166" s="48">
        <f t="shared" si="261"/>
        <v>0</v>
      </c>
      <c r="EA166" s="14">
        <f>D166*'MASTER SHEET'!D166</f>
        <v>0</v>
      </c>
      <c r="EB166" s="14">
        <f>H166*'MASTER SHEET'!D166</f>
        <v>0</v>
      </c>
      <c r="EC166" s="14">
        <f>L166*'MASTER SHEET'!D166</f>
        <v>0</v>
      </c>
      <c r="ED166" s="14">
        <f>P166*'MASTER SHEET'!D166</f>
        <v>0</v>
      </c>
      <c r="EE166" s="14">
        <f>T166*'MASTER SHEET'!D166</f>
        <v>0</v>
      </c>
      <c r="EF166" s="14">
        <f>X166*'MASTER SHEET'!D166</f>
        <v>0</v>
      </c>
      <c r="EG166" s="14">
        <f>AB166*'MASTER SHEET'!D166</f>
        <v>0</v>
      </c>
      <c r="EH166" s="14">
        <f>AF166*'MASTER SHEET'!D166</f>
        <v>0</v>
      </c>
      <c r="EI166" s="14">
        <f>AJ166*'MASTER SHEET'!D166</f>
        <v>0</v>
      </c>
      <c r="EJ166" s="14">
        <f>AN166*'MASTER SHEET'!D166</f>
        <v>0</v>
      </c>
      <c r="EK166" s="14">
        <f>AR166*'MASTER SHEET'!D166</f>
        <v>0</v>
      </c>
      <c r="EL166" s="14">
        <f>AV166*'MASTER SHEET'!D166</f>
        <v>0</v>
      </c>
      <c r="EM166" s="14">
        <f>AZ166*'MASTER SHEET'!D166</f>
        <v>0</v>
      </c>
      <c r="EN166" s="14">
        <f>BD166*'MASTER SHEET'!D166</f>
        <v>0</v>
      </c>
      <c r="EO166" s="14">
        <f>BH166*'MASTER SHEET'!D166</f>
        <v>0</v>
      </c>
      <c r="EP166" s="14">
        <f>BL166*'MASTER SHEET'!D166</f>
        <v>0</v>
      </c>
      <c r="EQ166" s="14">
        <f>BP166*'MASTER SHEET'!D166</f>
        <v>0</v>
      </c>
      <c r="ER166" s="14">
        <f>BT166*'MASTER SHEET'!D166</f>
        <v>0</v>
      </c>
      <c r="ES166" s="14">
        <f>BX166*'MASTER SHEET'!D166</f>
        <v>0</v>
      </c>
      <c r="ET166" s="21">
        <f>CB166*'MASTER SHEET'!D166</f>
        <v>0</v>
      </c>
      <c r="EU166" s="14">
        <f>CF166*'MASTER SHEET'!D166</f>
        <v>0</v>
      </c>
      <c r="EV166" s="14">
        <f>CJ166*'MASTER SHEET'!D166</f>
        <v>0</v>
      </c>
      <c r="EW166" s="14">
        <f>CN166*'MASTER SHEET'!D166</f>
        <v>0</v>
      </c>
      <c r="EX166" s="14">
        <f>CR166*'MASTER SHEET'!D166</f>
        <v>0</v>
      </c>
      <c r="EY166" s="14">
        <f>CR166*'MASTER SHEET'!D166</f>
        <v>0</v>
      </c>
      <c r="EZ166" s="14">
        <f>CV166*'MASTER SHEET'!D166</f>
        <v>0</v>
      </c>
      <c r="FA166" s="14">
        <f>CZ166*'MASTER SHEET'!D166</f>
        <v>0</v>
      </c>
      <c r="FB166" s="14">
        <f>DD166*'MASTER SHEET'!D166</f>
        <v>0</v>
      </c>
    </row>
    <row r="167" spans="1:158" ht="18.75" customHeight="1" x14ac:dyDescent="0.25">
      <c r="A167" s="43">
        <f>'MASTER SHEET'!A167</f>
        <v>165</v>
      </c>
      <c r="B167" s="49" t="str">
        <f>'MASTER SHEET'!B167</f>
        <v>GROMMET ASSY.</v>
      </c>
      <c r="C167" s="86">
        <f>'MASTER SHEET'!C167</f>
        <v>626778</v>
      </c>
      <c r="D167" s="51"/>
      <c r="E167" s="48"/>
      <c r="F167" s="48"/>
      <c r="G167" s="48"/>
      <c r="H167" s="48">
        <f t="shared" si="230"/>
        <v>0</v>
      </c>
      <c r="I167" s="28"/>
      <c r="J167" s="28"/>
      <c r="K167" s="65"/>
      <c r="L167" s="48">
        <f t="shared" si="231"/>
        <v>0</v>
      </c>
      <c r="M167" s="48"/>
      <c r="N167" s="48"/>
      <c r="O167" s="48"/>
      <c r="P167" s="48">
        <f t="shared" si="232"/>
        <v>0</v>
      </c>
      <c r="Q167" s="48"/>
      <c r="R167" s="48"/>
      <c r="S167" s="48"/>
      <c r="T167" s="48">
        <f t="shared" si="233"/>
        <v>0</v>
      </c>
      <c r="U167" s="48">
        <v>0</v>
      </c>
      <c r="V167" s="48"/>
      <c r="W167" s="48"/>
      <c r="X167" s="48">
        <f t="shared" si="234"/>
        <v>0</v>
      </c>
      <c r="Y167" s="48"/>
      <c r="Z167" s="48"/>
      <c r="AA167" s="48"/>
      <c r="AB167" s="48">
        <f t="shared" si="235"/>
        <v>0</v>
      </c>
      <c r="AC167" s="48"/>
      <c r="AD167" s="48"/>
      <c r="AE167" s="48"/>
      <c r="AF167" s="48">
        <f t="shared" si="236"/>
        <v>0</v>
      </c>
      <c r="AG167" s="48"/>
      <c r="AH167" s="48"/>
      <c r="AI167" s="48"/>
      <c r="AJ167" s="48">
        <f t="shared" si="237"/>
        <v>0</v>
      </c>
      <c r="AK167" s="48"/>
      <c r="AL167" s="48"/>
      <c r="AM167" s="48"/>
      <c r="AN167" s="48">
        <f t="shared" si="238"/>
        <v>0</v>
      </c>
      <c r="AO167" s="48"/>
      <c r="AP167" s="48"/>
      <c r="AQ167" s="48"/>
      <c r="AR167" s="48">
        <f t="shared" si="239"/>
        <v>0</v>
      </c>
      <c r="AS167" s="48"/>
      <c r="AT167" s="48"/>
      <c r="AU167" s="48"/>
      <c r="AV167" s="48">
        <f t="shared" si="240"/>
        <v>0</v>
      </c>
      <c r="AW167" s="48"/>
      <c r="AX167" s="48"/>
      <c r="AY167" s="48"/>
      <c r="AZ167" s="48">
        <f t="shared" si="241"/>
        <v>0</v>
      </c>
      <c r="BA167" s="48"/>
      <c r="BB167" s="48"/>
      <c r="BC167" s="48"/>
      <c r="BD167" s="48">
        <f t="shared" si="242"/>
        <v>0</v>
      </c>
      <c r="BE167" s="48"/>
      <c r="BF167" s="48"/>
      <c r="BG167" s="48"/>
      <c r="BH167" s="48">
        <f t="shared" si="243"/>
        <v>0</v>
      </c>
      <c r="BI167" s="48"/>
      <c r="BJ167" s="48"/>
      <c r="BK167" s="48"/>
      <c r="BL167" s="48">
        <f t="shared" si="244"/>
        <v>0</v>
      </c>
      <c r="BM167" s="48"/>
      <c r="BN167" s="48"/>
      <c r="BO167" s="48"/>
      <c r="BP167" s="48">
        <f t="shared" si="245"/>
        <v>0</v>
      </c>
      <c r="BQ167" s="48"/>
      <c r="BR167" s="48"/>
      <c r="BS167" s="48"/>
      <c r="BT167" s="48">
        <f t="shared" si="246"/>
        <v>0</v>
      </c>
      <c r="BU167" s="48"/>
      <c r="BV167" s="48"/>
      <c r="BW167" s="48"/>
      <c r="BX167" s="48">
        <f t="shared" si="247"/>
        <v>0</v>
      </c>
      <c r="BY167" s="48"/>
      <c r="BZ167" s="48"/>
      <c r="CA167" s="48"/>
      <c r="CB167" s="48">
        <f t="shared" si="248"/>
        <v>0</v>
      </c>
      <c r="CC167" s="48"/>
      <c r="CD167" s="48"/>
      <c r="CE167" s="48"/>
      <c r="CF167" s="48">
        <f t="shared" si="249"/>
        <v>0</v>
      </c>
      <c r="CG167" s="48"/>
      <c r="CH167" s="48"/>
      <c r="CI167" s="48"/>
      <c r="CJ167" s="48">
        <f t="shared" si="250"/>
        <v>0</v>
      </c>
      <c r="CK167" s="48"/>
      <c r="CL167" s="48"/>
      <c r="CM167" s="48"/>
      <c r="CN167" s="48">
        <f t="shared" si="251"/>
        <v>0</v>
      </c>
      <c r="CO167" s="48"/>
      <c r="CP167" s="48"/>
      <c r="CQ167" s="48"/>
      <c r="CR167" s="48">
        <f t="shared" si="252"/>
        <v>0</v>
      </c>
      <c r="CS167" s="48"/>
      <c r="CT167" s="48"/>
      <c r="CU167" s="48"/>
      <c r="CV167" s="48">
        <f t="shared" si="253"/>
        <v>0</v>
      </c>
      <c r="CW167" s="48"/>
      <c r="CX167" s="48"/>
      <c r="CY167" s="48"/>
      <c r="CZ167" s="48">
        <f t="shared" si="254"/>
        <v>0</v>
      </c>
      <c r="DA167" s="48"/>
      <c r="DB167" s="48"/>
      <c r="DC167" s="48"/>
      <c r="DD167" s="48">
        <f t="shared" si="255"/>
        <v>0</v>
      </c>
      <c r="DE167" s="48"/>
      <c r="DF167" s="48"/>
      <c r="DG167" s="48"/>
      <c r="DH167" s="48">
        <f t="shared" si="256"/>
        <v>0</v>
      </c>
      <c r="DI167" s="48"/>
      <c r="DJ167" s="48"/>
      <c r="DK167" s="48"/>
      <c r="DL167" s="48">
        <f t="shared" si="257"/>
        <v>0</v>
      </c>
      <c r="DM167" s="48"/>
      <c r="DN167" s="48"/>
      <c r="DO167" s="48"/>
      <c r="DP167" s="48">
        <f t="shared" si="258"/>
        <v>0</v>
      </c>
      <c r="DQ167" s="48"/>
      <c r="DR167" s="48"/>
      <c r="DS167" s="48"/>
      <c r="DT167" s="48">
        <f t="shared" si="259"/>
        <v>0</v>
      </c>
      <c r="DU167" s="48"/>
      <c r="DV167" s="48"/>
      <c r="DW167" s="48"/>
      <c r="DX167" s="48">
        <f t="shared" si="260"/>
        <v>0</v>
      </c>
      <c r="DY167" s="48">
        <f t="shared" si="229"/>
        <v>0</v>
      </c>
      <c r="DZ167" s="48">
        <f t="shared" si="261"/>
        <v>0</v>
      </c>
      <c r="EA167" s="14">
        <f>D167*'MASTER SHEET'!D167</f>
        <v>0</v>
      </c>
      <c r="EB167" s="14">
        <f>H167*'MASTER SHEET'!D167</f>
        <v>0</v>
      </c>
      <c r="EC167" s="14">
        <f>L167*'MASTER SHEET'!D167</f>
        <v>0</v>
      </c>
      <c r="ED167" s="14">
        <f>P167*'MASTER SHEET'!D167</f>
        <v>0</v>
      </c>
      <c r="EE167" s="14">
        <f>T167*'MASTER SHEET'!D167</f>
        <v>0</v>
      </c>
      <c r="EF167" s="14">
        <f>X167*'MASTER SHEET'!D167</f>
        <v>0</v>
      </c>
      <c r="EG167" s="14">
        <f>AB167*'MASTER SHEET'!D167</f>
        <v>0</v>
      </c>
      <c r="EH167" s="14">
        <f>AF167*'MASTER SHEET'!D167</f>
        <v>0</v>
      </c>
      <c r="EI167" s="14">
        <f>AJ167*'MASTER SHEET'!D167</f>
        <v>0</v>
      </c>
      <c r="EJ167" s="14">
        <f>AN167*'MASTER SHEET'!D167</f>
        <v>0</v>
      </c>
      <c r="EK167" s="14">
        <f>AR167*'MASTER SHEET'!D167</f>
        <v>0</v>
      </c>
      <c r="EL167" s="14">
        <f>AV167*'MASTER SHEET'!D167</f>
        <v>0</v>
      </c>
      <c r="EM167" s="14">
        <f>AZ167*'MASTER SHEET'!D167</f>
        <v>0</v>
      </c>
      <c r="EN167" s="14">
        <f>BD167*'MASTER SHEET'!D167</f>
        <v>0</v>
      </c>
      <c r="EO167" s="14">
        <f>BH167*'MASTER SHEET'!D167</f>
        <v>0</v>
      </c>
      <c r="EP167" s="14">
        <f>BL167*'MASTER SHEET'!D167</f>
        <v>0</v>
      </c>
      <c r="EQ167" s="14">
        <f>BP167*'MASTER SHEET'!D167</f>
        <v>0</v>
      </c>
      <c r="ER167" s="14">
        <f>BT167*'MASTER SHEET'!D167</f>
        <v>0</v>
      </c>
      <c r="ES167" s="14">
        <f>BX167*'MASTER SHEET'!D167</f>
        <v>0</v>
      </c>
      <c r="ET167" s="21">
        <f>CB167*'MASTER SHEET'!D167</f>
        <v>0</v>
      </c>
      <c r="EU167" s="14">
        <f>CF167*'MASTER SHEET'!D167</f>
        <v>0</v>
      </c>
      <c r="EV167" s="14">
        <f>CJ167*'MASTER SHEET'!D167</f>
        <v>0</v>
      </c>
      <c r="EW167" s="14">
        <f>CN167*'MASTER SHEET'!D167</f>
        <v>0</v>
      </c>
      <c r="EX167" s="14">
        <f>CR167*'MASTER SHEET'!D167</f>
        <v>0</v>
      </c>
      <c r="EY167" s="14">
        <f>CR167*'MASTER SHEET'!D167</f>
        <v>0</v>
      </c>
      <c r="EZ167" s="14">
        <f>CV167*'MASTER SHEET'!D167</f>
        <v>0</v>
      </c>
      <c r="FA167" s="14">
        <f>CZ167*'MASTER SHEET'!D167</f>
        <v>0</v>
      </c>
      <c r="FB167" s="14">
        <f>DD167*'MASTER SHEET'!D167</f>
        <v>0</v>
      </c>
    </row>
    <row r="168" spans="1:158" ht="18.75" customHeight="1" x14ac:dyDescent="0.25">
      <c r="A168" s="43">
        <f>'MASTER SHEET'!A168</f>
        <v>166</v>
      </c>
      <c r="B168" s="49" t="str">
        <f>'MASTER SHEET'!B168</f>
        <v>PIVOT PIN LH</v>
      </c>
      <c r="C168" s="86" t="str">
        <f>'MASTER SHEET'!C168</f>
        <v>BB00006046</v>
      </c>
      <c r="D168" s="51"/>
      <c r="E168" s="48"/>
      <c r="F168" s="48"/>
      <c r="G168" s="48"/>
      <c r="H168" s="48">
        <f t="shared" si="230"/>
        <v>0</v>
      </c>
      <c r="I168" s="28"/>
      <c r="J168" s="28"/>
      <c r="K168" s="65"/>
      <c r="L168" s="48">
        <f t="shared" si="231"/>
        <v>0</v>
      </c>
      <c r="M168" s="48"/>
      <c r="N168" s="48"/>
      <c r="O168" s="48"/>
      <c r="P168" s="48">
        <f t="shared" si="232"/>
        <v>0</v>
      </c>
      <c r="Q168" s="48"/>
      <c r="R168" s="48"/>
      <c r="S168" s="48"/>
      <c r="T168" s="48">
        <f t="shared" si="233"/>
        <v>0</v>
      </c>
      <c r="U168" s="48">
        <v>0</v>
      </c>
      <c r="V168" s="48"/>
      <c r="W168" s="48"/>
      <c r="X168" s="48">
        <f t="shared" si="234"/>
        <v>0</v>
      </c>
      <c r="Y168" s="48"/>
      <c r="Z168" s="48"/>
      <c r="AA168" s="48"/>
      <c r="AB168" s="48">
        <f t="shared" si="235"/>
        <v>0</v>
      </c>
      <c r="AC168" s="48"/>
      <c r="AD168" s="48"/>
      <c r="AE168" s="48"/>
      <c r="AF168" s="48">
        <f t="shared" si="236"/>
        <v>0</v>
      </c>
      <c r="AG168" s="48"/>
      <c r="AH168" s="48"/>
      <c r="AI168" s="48"/>
      <c r="AJ168" s="48">
        <f t="shared" si="237"/>
        <v>0</v>
      </c>
      <c r="AK168" s="48"/>
      <c r="AL168" s="48"/>
      <c r="AM168" s="48"/>
      <c r="AN168" s="48">
        <f t="shared" si="238"/>
        <v>0</v>
      </c>
      <c r="AO168" s="48"/>
      <c r="AP168" s="48"/>
      <c r="AQ168" s="48"/>
      <c r="AR168" s="48">
        <f t="shared" si="239"/>
        <v>0</v>
      </c>
      <c r="AS168" s="48"/>
      <c r="AT168" s="48"/>
      <c r="AU168" s="48"/>
      <c r="AV168" s="48">
        <f t="shared" si="240"/>
        <v>0</v>
      </c>
      <c r="AW168" s="48"/>
      <c r="AX168" s="48"/>
      <c r="AY168" s="48"/>
      <c r="AZ168" s="48">
        <f t="shared" si="241"/>
        <v>0</v>
      </c>
      <c r="BA168" s="48"/>
      <c r="BB168" s="48"/>
      <c r="BC168" s="48"/>
      <c r="BD168" s="48">
        <f t="shared" si="242"/>
        <v>0</v>
      </c>
      <c r="BE168" s="48"/>
      <c r="BF168" s="48"/>
      <c r="BG168" s="48"/>
      <c r="BH168" s="48">
        <f t="shared" si="243"/>
        <v>0</v>
      </c>
      <c r="BI168" s="48"/>
      <c r="BJ168" s="48"/>
      <c r="BK168" s="48"/>
      <c r="BL168" s="48">
        <f t="shared" si="244"/>
        <v>0</v>
      </c>
      <c r="BM168" s="48"/>
      <c r="BN168" s="48"/>
      <c r="BO168" s="48"/>
      <c r="BP168" s="48">
        <f t="shared" si="245"/>
        <v>0</v>
      </c>
      <c r="BQ168" s="48"/>
      <c r="BR168" s="48"/>
      <c r="BS168" s="48"/>
      <c r="BT168" s="48">
        <f t="shared" si="246"/>
        <v>0</v>
      </c>
      <c r="BU168" s="48"/>
      <c r="BV168" s="48"/>
      <c r="BW168" s="48"/>
      <c r="BX168" s="48">
        <f t="shared" si="247"/>
        <v>0</v>
      </c>
      <c r="BY168" s="48"/>
      <c r="BZ168" s="48"/>
      <c r="CA168" s="48"/>
      <c r="CB168" s="48">
        <f t="shared" si="248"/>
        <v>0</v>
      </c>
      <c r="CC168" s="48"/>
      <c r="CD168" s="48"/>
      <c r="CE168" s="48"/>
      <c r="CF168" s="48">
        <f t="shared" si="249"/>
        <v>0</v>
      </c>
      <c r="CG168" s="48"/>
      <c r="CH168" s="48"/>
      <c r="CI168" s="48"/>
      <c r="CJ168" s="48">
        <f t="shared" si="250"/>
        <v>0</v>
      </c>
      <c r="CK168" s="48"/>
      <c r="CL168" s="48"/>
      <c r="CM168" s="48"/>
      <c r="CN168" s="48">
        <f t="shared" si="251"/>
        <v>0</v>
      </c>
      <c r="CO168" s="48"/>
      <c r="CP168" s="48"/>
      <c r="CQ168" s="48"/>
      <c r="CR168" s="48">
        <f t="shared" si="252"/>
        <v>0</v>
      </c>
      <c r="CS168" s="48"/>
      <c r="CT168" s="48"/>
      <c r="CU168" s="48"/>
      <c r="CV168" s="48">
        <f t="shared" si="253"/>
        <v>0</v>
      </c>
      <c r="CW168" s="48"/>
      <c r="CX168" s="48"/>
      <c r="CY168" s="48"/>
      <c r="CZ168" s="48">
        <f t="shared" si="254"/>
        <v>0</v>
      </c>
      <c r="DA168" s="48"/>
      <c r="DB168" s="48"/>
      <c r="DC168" s="48"/>
      <c r="DD168" s="48">
        <f t="shared" si="255"/>
        <v>0</v>
      </c>
      <c r="DE168" s="48"/>
      <c r="DF168" s="48"/>
      <c r="DG168" s="48"/>
      <c r="DH168" s="48">
        <f t="shared" si="256"/>
        <v>0</v>
      </c>
      <c r="DI168" s="48"/>
      <c r="DJ168" s="48"/>
      <c r="DK168" s="48"/>
      <c r="DL168" s="48">
        <f t="shared" si="257"/>
        <v>0</v>
      </c>
      <c r="DM168" s="48"/>
      <c r="DN168" s="48"/>
      <c r="DO168" s="48"/>
      <c r="DP168" s="48">
        <f t="shared" si="258"/>
        <v>0</v>
      </c>
      <c r="DQ168" s="48"/>
      <c r="DR168" s="48"/>
      <c r="DS168" s="48"/>
      <c r="DT168" s="48">
        <f t="shared" si="259"/>
        <v>0</v>
      </c>
      <c r="DU168" s="48"/>
      <c r="DV168" s="48"/>
      <c r="DW168" s="48"/>
      <c r="DX168" s="48">
        <f t="shared" si="260"/>
        <v>0</v>
      </c>
      <c r="DY168" s="48">
        <f t="shared" si="229"/>
        <v>0</v>
      </c>
      <c r="DZ168" s="48">
        <f t="shared" si="261"/>
        <v>0</v>
      </c>
      <c r="EA168" s="14">
        <f>D168*'MASTER SHEET'!D168</f>
        <v>0</v>
      </c>
      <c r="EB168" s="14">
        <f>H168*'MASTER SHEET'!D168</f>
        <v>0</v>
      </c>
      <c r="EC168" s="14">
        <f>L168*'MASTER SHEET'!D168</f>
        <v>0</v>
      </c>
      <c r="ED168" s="14">
        <f>P168*'MASTER SHEET'!D168</f>
        <v>0</v>
      </c>
      <c r="EE168" s="14">
        <f>T168*'MASTER SHEET'!D168</f>
        <v>0</v>
      </c>
      <c r="EF168" s="14">
        <f>X168*'MASTER SHEET'!D168</f>
        <v>0</v>
      </c>
      <c r="EG168" s="14">
        <f>AB168*'MASTER SHEET'!D168</f>
        <v>0</v>
      </c>
      <c r="EH168" s="14">
        <f>AF168*'MASTER SHEET'!D168</f>
        <v>0</v>
      </c>
      <c r="EI168" s="14">
        <f>AJ168*'MASTER SHEET'!D168</f>
        <v>0</v>
      </c>
      <c r="EJ168" s="14">
        <f>AN168*'MASTER SHEET'!D168</f>
        <v>0</v>
      </c>
      <c r="EK168" s="14">
        <f>AR168*'MASTER SHEET'!D168</f>
        <v>0</v>
      </c>
      <c r="EL168" s="14">
        <f>AV168*'MASTER SHEET'!D168</f>
        <v>0</v>
      </c>
      <c r="EM168" s="14">
        <f>AZ168*'MASTER SHEET'!D168</f>
        <v>0</v>
      </c>
      <c r="EN168" s="14">
        <f>BD168*'MASTER SHEET'!D168</f>
        <v>0</v>
      </c>
      <c r="EO168" s="14">
        <f>BH168*'MASTER SHEET'!D168</f>
        <v>0</v>
      </c>
      <c r="EP168" s="14">
        <f>BL168*'MASTER SHEET'!D168</f>
        <v>0</v>
      </c>
      <c r="EQ168" s="14">
        <f>BP168*'MASTER SHEET'!D168</f>
        <v>0</v>
      </c>
      <c r="ER168" s="14">
        <f>BT168*'MASTER SHEET'!D168</f>
        <v>0</v>
      </c>
      <c r="ES168" s="14">
        <f>BX168*'MASTER SHEET'!D168</f>
        <v>0</v>
      </c>
      <c r="ET168" s="21">
        <f>CB168*'MASTER SHEET'!D168</f>
        <v>0</v>
      </c>
      <c r="EU168" s="14">
        <f>CF168*'MASTER SHEET'!D168</f>
        <v>0</v>
      </c>
      <c r="EV168" s="14">
        <f>CJ168*'MASTER SHEET'!D168</f>
        <v>0</v>
      </c>
      <c r="EW168" s="14">
        <f>CN168*'MASTER SHEET'!D168</f>
        <v>0</v>
      </c>
      <c r="EX168" s="14">
        <f>CR168*'MASTER SHEET'!D168</f>
        <v>0</v>
      </c>
      <c r="EY168" s="14">
        <f>CR168*'MASTER SHEET'!D168</f>
        <v>0</v>
      </c>
      <c r="EZ168" s="14">
        <f>CV168*'MASTER SHEET'!D168</f>
        <v>0</v>
      </c>
      <c r="FA168" s="14">
        <f>CZ168*'MASTER SHEET'!D168</f>
        <v>0</v>
      </c>
      <c r="FB168" s="14">
        <f>DD168*'MASTER SHEET'!D168</f>
        <v>0</v>
      </c>
    </row>
    <row r="169" spans="1:158" ht="18.75" customHeight="1" x14ac:dyDescent="0.25">
      <c r="A169" s="43">
        <f>'MASTER SHEET'!A169</f>
        <v>167</v>
      </c>
      <c r="B169" s="49" t="str">
        <f>'MASTER SHEET'!B169</f>
        <v>PIVOT PIN RH</v>
      </c>
      <c r="C169" s="86" t="str">
        <f>'MASTER SHEET'!C169</f>
        <v>BC00006047</v>
      </c>
      <c r="D169" s="51"/>
      <c r="E169" s="48"/>
      <c r="F169" s="48"/>
      <c r="G169" s="48"/>
      <c r="H169" s="48">
        <f t="shared" si="230"/>
        <v>0</v>
      </c>
      <c r="I169" s="28"/>
      <c r="J169" s="28"/>
      <c r="K169" s="65"/>
      <c r="L169" s="48">
        <f t="shared" si="231"/>
        <v>0</v>
      </c>
      <c r="M169" s="48"/>
      <c r="N169" s="48"/>
      <c r="O169" s="48"/>
      <c r="P169" s="48">
        <f t="shared" si="232"/>
        <v>0</v>
      </c>
      <c r="Q169" s="48"/>
      <c r="R169" s="48"/>
      <c r="S169" s="48"/>
      <c r="T169" s="48">
        <f t="shared" si="233"/>
        <v>0</v>
      </c>
      <c r="U169" s="48">
        <v>0</v>
      </c>
      <c r="V169" s="48"/>
      <c r="W169" s="48"/>
      <c r="X169" s="48">
        <f t="shared" si="234"/>
        <v>0</v>
      </c>
      <c r="Y169" s="48"/>
      <c r="Z169" s="48"/>
      <c r="AA169" s="48"/>
      <c r="AB169" s="48">
        <f t="shared" si="235"/>
        <v>0</v>
      </c>
      <c r="AC169" s="48"/>
      <c r="AD169" s="48"/>
      <c r="AE169" s="48"/>
      <c r="AF169" s="48">
        <f t="shared" si="236"/>
        <v>0</v>
      </c>
      <c r="AG169" s="48"/>
      <c r="AH169" s="48"/>
      <c r="AI169" s="48"/>
      <c r="AJ169" s="48">
        <f t="shared" si="237"/>
        <v>0</v>
      </c>
      <c r="AK169" s="48"/>
      <c r="AL169" s="48"/>
      <c r="AM169" s="48"/>
      <c r="AN169" s="48">
        <f t="shared" si="238"/>
        <v>0</v>
      </c>
      <c r="AO169" s="48"/>
      <c r="AP169" s="48"/>
      <c r="AQ169" s="48"/>
      <c r="AR169" s="48">
        <f t="shared" si="239"/>
        <v>0</v>
      </c>
      <c r="AS169" s="48"/>
      <c r="AT169" s="48"/>
      <c r="AU169" s="48"/>
      <c r="AV169" s="48">
        <f t="shared" si="240"/>
        <v>0</v>
      </c>
      <c r="AW169" s="48"/>
      <c r="AX169" s="48"/>
      <c r="AY169" s="48"/>
      <c r="AZ169" s="48">
        <f t="shared" si="241"/>
        <v>0</v>
      </c>
      <c r="BA169" s="48"/>
      <c r="BB169" s="48"/>
      <c r="BC169" s="48"/>
      <c r="BD169" s="48">
        <f t="shared" si="242"/>
        <v>0</v>
      </c>
      <c r="BE169" s="48"/>
      <c r="BF169" s="48"/>
      <c r="BG169" s="48"/>
      <c r="BH169" s="48">
        <f t="shared" si="243"/>
        <v>0</v>
      </c>
      <c r="BI169" s="48"/>
      <c r="BJ169" s="48"/>
      <c r="BK169" s="48"/>
      <c r="BL169" s="48">
        <f t="shared" si="244"/>
        <v>0</v>
      </c>
      <c r="BM169" s="48"/>
      <c r="BN169" s="48"/>
      <c r="BO169" s="48"/>
      <c r="BP169" s="48">
        <f t="shared" si="245"/>
        <v>0</v>
      </c>
      <c r="BQ169" s="48"/>
      <c r="BR169" s="48"/>
      <c r="BS169" s="48"/>
      <c r="BT169" s="48">
        <f t="shared" si="246"/>
        <v>0</v>
      </c>
      <c r="BU169" s="48"/>
      <c r="BV169" s="48"/>
      <c r="BW169" s="48"/>
      <c r="BX169" s="48">
        <f t="shared" si="247"/>
        <v>0</v>
      </c>
      <c r="BY169" s="48"/>
      <c r="BZ169" s="48"/>
      <c r="CA169" s="48"/>
      <c r="CB169" s="48">
        <f t="shared" si="248"/>
        <v>0</v>
      </c>
      <c r="CC169" s="48"/>
      <c r="CD169" s="48"/>
      <c r="CE169" s="48"/>
      <c r="CF169" s="48">
        <f t="shared" si="249"/>
        <v>0</v>
      </c>
      <c r="CG169" s="48"/>
      <c r="CH169" s="48"/>
      <c r="CI169" s="48"/>
      <c r="CJ169" s="48">
        <f t="shared" si="250"/>
        <v>0</v>
      </c>
      <c r="CK169" s="48"/>
      <c r="CL169" s="48"/>
      <c r="CM169" s="48"/>
      <c r="CN169" s="48">
        <f t="shared" si="251"/>
        <v>0</v>
      </c>
      <c r="CO169" s="48"/>
      <c r="CP169" s="48"/>
      <c r="CQ169" s="48"/>
      <c r="CR169" s="48">
        <f t="shared" si="252"/>
        <v>0</v>
      </c>
      <c r="CS169" s="48"/>
      <c r="CT169" s="48"/>
      <c r="CU169" s="48"/>
      <c r="CV169" s="48">
        <f t="shared" si="253"/>
        <v>0</v>
      </c>
      <c r="CW169" s="48"/>
      <c r="CX169" s="48"/>
      <c r="CY169" s="48"/>
      <c r="CZ169" s="48">
        <f t="shared" si="254"/>
        <v>0</v>
      </c>
      <c r="DA169" s="48"/>
      <c r="DB169" s="48"/>
      <c r="DC169" s="48"/>
      <c r="DD169" s="48">
        <f t="shared" si="255"/>
        <v>0</v>
      </c>
      <c r="DE169" s="48"/>
      <c r="DF169" s="48"/>
      <c r="DG169" s="48"/>
      <c r="DH169" s="48">
        <f t="shared" si="256"/>
        <v>0</v>
      </c>
      <c r="DI169" s="48"/>
      <c r="DJ169" s="48"/>
      <c r="DK169" s="48"/>
      <c r="DL169" s="48">
        <f t="shared" si="257"/>
        <v>0</v>
      </c>
      <c r="DM169" s="48"/>
      <c r="DN169" s="48"/>
      <c r="DO169" s="48"/>
      <c r="DP169" s="48">
        <f t="shared" si="258"/>
        <v>0</v>
      </c>
      <c r="DQ169" s="48"/>
      <c r="DR169" s="48"/>
      <c r="DS169" s="48"/>
      <c r="DT169" s="48">
        <f t="shared" si="259"/>
        <v>0</v>
      </c>
      <c r="DU169" s="48"/>
      <c r="DV169" s="48"/>
      <c r="DW169" s="48"/>
      <c r="DX169" s="48">
        <f t="shared" si="260"/>
        <v>0</v>
      </c>
      <c r="DY169" s="48">
        <f t="shared" si="229"/>
        <v>0</v>
      </c>
      <c r="DZ169" s="48">
        <f t="shared" si="261"/>
        <v>0</v>
      </c>
      <c r="EA169" s="14">
        <f>D169*'MASTER SHEET'!D169</f>
        <v>0</v>
      </c>
      <c r="EB169" s="14">
        <f>H169*'MASTER SHEET'!D169</f>
        <v>0</v>
      </c>
      <c r="EC169" s="14">
        <f>L169*'MASTER SHEET'!D169</f>
        <v>0</v>
      </c>
      <c r="ED169" s="14">
        <f>P169*'MASTER SHEET'!D169</f>
        <v>0</v>
      </c>
      <c r="EE169" s="14">
        <f>T169*'MASTER SHEET'!D169</f>
        <v>0</v>
      </c>
      <c r="EF169" s="14">
        <f>X169*'MASTER SHEET'!D169</f>
        <v>0</v>
      </c>
      <c r="EG169" s="14">
        <f>AB169*'MASTER SHEET'!D169</f>
        <v>0</v>
      </c>
      <c r="EH169" s="14">
        <f>AF169*'MASTER SHEET'!D169</f>
        <v>0</v>
      </c>
      <c r="EI169" s="14">
        <f>AJ169*'MASTER SHEET'!D169</f>
        <v>0</v>
      </c>
      <c r="EJ169" s="14">
        <f>AN169*'MASTER SHEET'!D169</f>
        <v>0</v>
      </c>
      <c r="EK169" s="14">
        <f>AR169*'MASTER SHEET'!D169</f>
        <v>0</v>
      </c>
      <c r="EL169" s="14">
        <f>AV169*'MASTER SHEET'!D169</f>
        <v>0</v>
      </c>
      <c r="EM169" s="14">
        <f>AZ169*'MASTER SHEET'!D169</f>
        <v>0</v>
      </c>
      <c r="EN169" s="14">
        <f>BD169*'MASTER SHEET'!D169</f>
        <v>0</v>
      </c>
      <c r="EO169" s="14">
        <f>BH169*'MASTER SHEET'!D169</f>
        <v>0</v>
      </c>
      <c r="EP169" s="14">
        <f>BL169*'MASTER SHEET'!D169</f>
        <v>0</v>
      </c>
      <c r="EQ169" s="14">
        <f>BP169*'MASTER SHEET'!D169</f>
        <v>0</v>
      </c>
      <c r="ER169" s="14">
        <f>BT169*'MASTER SHEET'!D169</f>
        <v>0</v>
      </c>
      <c r="ES169" s="14">
        <f>BX169*'MASTER SHEET'!D169</f>
        <v>0</v>
      </c>
      <c r="ET169" s="21">
        <f>CB169*'MASTER SHEET'!D169</f>
        <v>0</v>
      </c>
      <c r="EU169" s="14">
        <f>CF169*'MASTER SHEET'!D169</f>
        <v>0</v>
      </c>
      <c r="EV169" s="14">
        <f>CJ169*'MASTER SHEET'!D169</f>
        <v>0</v>
      </c>
      <c r="EW169" s="14">
        <f>CN169*'MASTER SHEET'!D169</f>
        <v>0</v>
      </c>
      <c r="EX169" s="14">
        <f>CR169*'MASTER SHEET'!D169</f>
        <v>0</v>
      </c>
      <c r="EY169" s="14">
        <f>CR169*'MASTER SHEET'!D169</f>
        <v>0</v>
      </c>
      <c r="EZ169" s="14">
        <f>CV169*'MASTER SHEET'!D169</f>
        <v>0</v>
      </c>
      <c r="FA169" s="14">
        <f>CZ169*'MASTER SHEET'!D169</f>
        <v>0</v>
      </c>
      <c r="FB169" s="14">
        <f>DD169*'MASTER SHEET'!D169</f>
        <v>0</v>
      </c>
    </row>
    <row r="170" spans="1:158" ht="18.75" customHeight="1" x14ac:dyDescent="0.25">
      <c r="A170" s="43">
        <f>'MASTER SHEET'!A170</f>
        <v>168</v>
      </c>
      <c r="B170" s="49" t="str">
        <f>'MASTER SHEET'!B170</f>
        <v xml:space="preserve"> BELL CRANK LH</v>
      </c>
      <c r="C170" s="86" t="str">
        <f>'MASTER SHEET'!C170</f>
        <v>BB00006044</v>
      </c>
      <c r="D170" s="51"/>
      <c r="E170" s="48"/>
      <c r="F170" s="48"/>
      <c r="G170" s="48"/>
      <c r="H170" s="48">
        <f t="shared" si="230"/>
        <v>0</v>
      </c>
      <c r="I170" s="28"/>
      <c r="J170" s="28"/>
      <c r="K170" s="65"/>
      <c r="L170" s="48">
        <f t="shared" si="231"/>
        <v>0</v>
      </c>
      <c r="M170" s="48"/>
      <c r="N170" s="48"/>
      <c r="O170" s="48"/>
      <c r="P170" s="48">
        <f t="shared" si="232"/>
        <v>0</v>
      </c>
      <c r="Q170" s="48"/>
      <c r="R170" s="48"/>
      <c r="S170" s="48"/>
      <c r="T170" s="48">
        <f t="shared" si="233"/>
        <v>0</v>
      </c>
      <c r="U170" s="48">
        <v>0</v>
      </c>
      <c r="V170" s="48"/>
      <c r="W170" s="48"/>
      <c r="X170" s="48">
        <f t="shared" si="234"/>
        <v>0</v>
      </c>
      <c r="Y170" s="48"/>
      <c r="Z170" s="48"/>
      <c r="AA170" s="48"/>
      <c r="AB170" s="48">
        <f t="shared" si="235"/>
        <v>0</v>
      </c>
      <c r="AC170" s="48"/>
      <c r="AD170" s="48"/>
      <c r="AE170" s="48"/>
      <c r="AF170" s="48">
        <f t="shared" si="236"/>
        <v>0</v>
      </c>
      <c r="AG170" s="48"/>
      <c r="AH170" s="48"/>
      <c r="AI170" s="48"/>
      <c r="AJ170" s="48">
        <f t="shared" si="237"/>
        <v>0</v>
      </c>
      <c r="AK170" s="48"/>
      <c r="AL170" s="48"/>
      <c r="AM170" s="48"/>
      <c r="AN170" s="48">
        <f t="shared" si="238"/>
        <v>0</v>
      </c>
      <c r="AO170" s="48"/>
      <c r="AP170" s="48"/>
      <c r="AQ170" s="48"/>
      <c r="AR170" s="48">
        <f t="shared" si="239"/>
        <v>0</v>
      </c>
      <c r="AS170" s="48"/>
      <c r="AT170" s="48"/>
      <c r="AU170" s="48"/>
      <c r="AV170" s="48">
        <f t="shared" si="240"/>
        <v>0</v>
      </c>
      <c r="AW170" s="48"/>
      <c r="AX170" s="48"/>
      <c r="AY170" s="48"/>
      <c r="AZ170" s="48">
        <f t="shared" si="241"/>
        <v>0</v>
      </c>
      <c r="BA170" s="48"/>
      <c r="BB170" s="48"/>
      <c r="BC170" s="48"/>
      <c r="BD170" s="48">
        <f t="shared" si="242"/>
        <v>0</v>
      </c>
      <c r="BE170" s="48"/>
      <c r="BF170" s="48"/>
      <c r="BG170" s="48"/>
      <c r="BH170" s="48">
        <f t="shared" si="243"/>
        <v>0</v>
      </c>
      <c r="BI170" s="48"/>
      <c r="BJ170" s="48"/>
      <c r="BK170" s="48"/>
      <c r="BL170" s="48">
        <f t="shared" si="244"/>
        <v>0</v>
      </c>
      <c r="BM170" s="48"/>
      <c r="BN170" s="48"/>
      <c r="BO170" s="48"/>
      <c r="BP170" s="48">
        <f t="shared" si="245"/>
        <v>0</v>
      </c>
      <c r="BQ170" s="48"/>
      <c r="BR170" s="48"/>
      <c r="BS170" s="48"/>
      <c r="BT170" s="48">
        <f t="shared" si="246"/>
        <v>0</v>
      </c>
      <c r="BU170" s="48"/>
      <c r="BV170" s="48"/>
      <c r="BW170" s="48"/>
      <c r="BX170" s="48">
        <f t="shared" si="247"/>
        <v>0</v>
      </c>
      <c r="BY170" s="48"/>
      <c r="BZ170" s="48"/>
      <c r="CA170" s="48"/>
      <c r="CB170" s="48">
        <f t="shared" si="248"/>
        <v>0</v>
      </c>
      <c r="CC170" s="48"/>
      <c r="CD170" s="48"/>
      <c r="CE170" s="48"/>
      <c r="CF170" s="48">
        <f t="shared" si="249"/>
        <v>0</v>
      </c>
      <c r="CG170" s="48"/>
      <c r="CH170" s="48"/>
      <c r="CI170" s="48"/>
      <c r="CJ170" s="48">
        <f t="shared" si="250"/>
        <v>0</v>
      </c>
      <c r="CK170" s="48"/>
      <c r="CL170" s="48"/>
      <c r="CM170" s="48"/>
      <c r="CN170" s="48">
        <f t="shared" si="251"/>
        <v>0</v>
      </c>
      <c r="CO170" s="48"/>
      <c r="CP170" s="48"/>
      <c r="CQ170" s="48"/>
      <c r="CR170" s="48">
        <f t="shared" si="252"/>
        <v>0</v>
      </c>
      <c r="CS170" s="48"/>
      <c r="CT170" s="48"/>
      <c r="CU170" s="48"/>
      <c r="CV170" s="48">
        <f t="shared" si="253"/>
        <v>0</v>
      </c>
      <c r="CW170" s="48"/>
      <c r="CX170" s="48"/>
      <c r="CY170" s="48"/>
      <c r="CZ170" s="48">
        <f t="shared" si="254"/>
        <v>0</v>
      </c>
      <c r="DA170" s="48"/>
      <c r="DB170" s="48"/>
      <c r="DC170" s="48"/>
      <c r="DD170" s="48">
        <f t="shared" si="255"/>
        <v>0</v>
      </c>
      <c r="DE170" s="48"/>
      <c r="DF170" s="48"/>
      <c r="DG170" s="48"/>
      <c r="DH170" s="48">
        <f t="shared" si="256"/>
        <v>0</v>
      </c>
      <c r="DI170" s="48"/>
      <c r="DJ170" s="48"/>
      <c r="DK170" s="48"/>
      <c r="DL170" s="48">
        <f t="shared" si="257"/>
        <v>0</v>
      </c>
      <c r="DM170" s="48"/>
      <c r="DN170" s="48"/>
      <c r="DO170" s="48"/>
      <c r="DP170" s="48">
        <f t="shared" si="258"/>
        <v>0</v>
      </c>
      <c r="DQ170" s="48"/>
      <c r="DR170" s="48"/>
      <c r="DS170" s="48"/>
      <c r="DT170" s="48">
        <f t="shared" si="259"/>
        <v>0</v>
      </c>
      <c r="DU170" s="48"/>
      <c r="DV170" s="48"/>
      <c r="DW170" s="48"/>
      <c r="DX170" s="48">
        <f t="shared" si="260"/>
        <v>0</v>
      </c>
      <c r="DY170" s="48">
        <f t="shared" si="229"/>
        <v>0</v>
      </c>
      <c r="DZ170" s="48">
        <f t="shared" si="261"/>
        <v>0</v>
      </c>
      <c r="EA170" s="14">
        <f>D170*'MASTER SHEET'!D170</f>
        <v>0</v>
      </c>
      <c r="EB170" s="14">
        <f>H170*'MASTER SHEET'!D170</f>
        <v>0</v>
      </c>
      <c r="EC170" s="14">
        <f>L170*'MASTER SHEET'!D170</f>
        <v>0</v>
      </c>
      <c r="ED170" s="14">
        <f>P170*'MASTER SHEET'!D170</f>
        <v>0</v>
      </c>
      <c r="EE170" s="14">
        <f>T170*'MASTER SHEET'!D170</f>
        <v>0</v>
      </c>
      <c r="EF170" s="14">
        <f>X170*'MASTER SHEET'!D170</f>
        <v>0</v>
      </c>
      <c r="EG170" s="14">
        <f>AB170*'MASTER SHEET'!D170</f>
        <v>0</v>
      </c>
      <c r="EH170" s="14">
        <f>AF170*'MASTER SHEET'!D170</f>
        <v>0</v>
      </c>
      <c r="EI170" s="14">
        <f>AJ170*'MASTER SHEET'!D170</f>
        <v>0</v>
      </c>
      <c r="EJ170" s="14">
        <f>AN170*'MASTER SHEET'!D170</f>
        <v>0</v>
      </c>
      <c r="EK170" s="14">
        <f>AR170*'MASTER SHEET'!D170</f>
        <v>0</v>
      </c>
      <c r="EL170" s="14">
        <f>AV170*'MASTER SHEET'!D170</f>
        <v>0</v>
      </c>
      <c r="EM170" s="14">
        <f>AZ170*'MASTER SHEET'!D170</f>
        <v>0</v>
      </c>
      <c r="EN170" s="14">
        <f>BD170*'MASTER SHEET'!D170</f>
        <v>0</v>
      </c>
      <c r="EO170" s="14">
        <f>BH170*'MASTER SHEET'!D170</f>
        <v>0</v>
      </c>
      <c r="EP170" s="14">
        <f>BL170*'MASTER SHEET'!D170</f>
        <v>0</v>
      </c>
      <c r="EQ170" s="14">
        <f>BP170*'MASTER SHEET'!D170</f>
        <v>0</v>
      </c>
      <c r="ER170" s="14">
        <f>BT170*'MASTER SHEET'!D170</f>
        <v>0</v>
      </c>
      <c r="ES170" s="14">
        <f>BX170*'MASTER SHEET'!D170</f>
        <v>0</v>
      </c>
      <c r="ET170" s="21">
        <f>CB170*'MASTER SHEET'!D170</f>
        <v>0</v>
      </c>
      <c r="EU170" s="14">
        <f>CF170*'MASTER SHEET'!D170</f>
        <v>0</v>
      </c>
      <c r="EV170" s="14">
        <f>CJ170*'MASTER SHEET'!D170</f>
        <v>0</v>
      </c>
      <c r="EW170" s="14">
        <f>CN170*'MASTER SHEET'!D170</f>
        <v>0</v>
      </c>
      <c r="EX170" s="14">
        <f>CR170*'MASTER SHEET'!D170</f>
        <v>0</v>
      </c>
      <c r="EY170" s="14">
        <f>CR170*'MASTER SHEET'!D170</f>
        <v>0</v>
      </c>
      <c r="EZ170" s="14">
        <f>CV170*'MASTER SHEET'!D170</f>
        <v>0</v>
      </c>
      <c r="FA170" s="14">
        <f>CZ170*'MASTER SHEET'!D170</f>
        <v>0</v>
      </c>
      <c r="FB170" s="14">
        <f>DD170*'MASTER SHEET'!D170</f>
        <v>0</v>
      </c>
    </row>
    <row r="171" spans="1:158" ht="18.75" customHeight="1" x14ac:dyDescent="0.25">
      <c r="A171" s="43">
        <f>'MASTER SHEET'!A171</f>
        <v>169</v>
      </c>
      <c r="B171" s="49" t="str">
        <f>'MASTER SHEET'!B171</f>
        <v>BELL CRANK RH</v>
      </c>
      <c r="C171" s="86" t="str">
        <f>'MASTER SHEET'!C171</f>
        <v>BC00006045</v>
      </c>
      <c r="D171" s="51"/>
      <c r="E171" s="48"/>
      <c r="F171" s="48"/>
      <c r="G171" s="48"/>
      <c r="H171" s="48">
        <f t="shared" si="230"/>
        <v>0</v>
      </c>
      <c r="I171" s="28"/>
      <c r="J171" s="28"/>
      <c r="K171" s="65"/>
      <c r="L171" s="48">
        <f t="shared" si="231"/>
        <v>0</v>
      </c>
      <c r="M171" s="48"/>
      <c r="N171" s="48"/>
      <c r="O171" s="48"/>
      <c r="P171" s="48">
        <f t="shared" si="232"/>
        <v>0</v>
      </c>
      <c r="Q171" s="48"/>
      <c r="R171" s="48"/>
      <c r="S171" s="48"/>
      <c r="T171" s="48">
        <f t="shared" si="233"/>
        <v>0</v>
      </c>
      <c r="U171" s="48">
        <v>0</v>
      </c>
      <c r="V171" s="48"/>
      <c r="W171" s="48"/>
      <c r="X171" s="48">
        <f t="shared" si="234"/>
        <v>0</v>
      </c>
      <c r="Y171" s="48"/>
      <c r="Z171" s="48"/>
      <c r="AA171" s="48"/>
      <c r="AB171" s="48">
        <f t="shared" si="235"/>
        <v>0</v>
      </c>
      <c r="AC171" s="48"/>
      <c r="AD171" s="48"/>
      <c r="AE171" s="48"/>
      <c r="AF171" s="48">
        <f t="shared" si="236"/>
        <v>0</v>
      </c>
      <c r="AG171" s="48"/>
      <c r="AH171" s="48"/>
      <c r="AI171" s="48"/>
      <c r="AJ171" s="48">
        <f t="shared" si="237"/>
        <v>0</v>
      </c>
      <c r="AK171" s="48"/>
      <c r="AL171" s="48"/>
      <c r="AM171" s="48"/>
      <c r="AN171" s="48">
        <f t="shared" si="238"/>
        <v>0</v>
      </c>
      <c r="AO171" s="48"/>
      <c r="AP171" s="48"/>
      <c r="AQ171" s="48"/>
      <c r="AR171" s="48">
        <f t="shared" si="239"/>
        <v>0</v>
      </c>
      <c r="AS171" s="48"/>
      <c r="AT171" s="48"/>
      <c r="AU171" s="48"/>
      <c r="AV171" s="48">
        <f t="shared" si="240"/>
        <v>0</v>
      </c>
      <c r="AW171" s="48"/>
      <c r="AX171" s="48"/>
      <c r="AY171" s="48"/>
      <c r="AZ171" s="48">
        <f t="shared" si="241"/>
        <v>0</v>
      </c>
      <c r="BA171" s="48"/>
      <c r="BB171" s="48"/>
      <c r="BC171" s="48"/>
      <c r="BD171" s="48">
        <f t="shared" si="242"/>
        <v>0</v>
      </c>
      <c r="BE171" s="48"/>
      <c r="BF171" s="48"/>
      <c r="BG171" s="48"/>
      <c r="BH171" s="48">
        <f t="shared" si="243"/>
        <v>0</v>
      </c>
      <c r="BI171" s="48"/>
      <c r="BJ171" s="48"/>
      <c r="BK171" s="48"/>
      <c r="BL171" s="48">
        <f t="shared" si="244"/>
        <v>0</v>
      </c>
      <c r="BM171" s="48"/>
      <c r="BN171" s="48"/>
      <c r="BO171" s="48"/>
      <c r="BP171" s="48">
        <f t="shared" si="245"/>
        <v>0</v>
      </c>
      <c r="BQ171" s="48"/>
      <c r="BR171" s="48"/>
      <c r="BS171" s="48"/>
      <c r="BT171" s="48">
        <f t="shared" si="246"/>
        <v>0</v>
      </c>
      <c r="BU171" s="48"/>
      <c r="BV171" s="48"/>
      <c r="BW171" s="48"/>
      <c r="BX171" s="48">
        <f t="shared" si="247"/>
        <v>0</v>
      </c>
      <c r="BY171" s="48"/>
      <c r="BZ171" s="48"/>
      <c r="CA171" s="48"/>
      <c r="CB171" s="48">
        <f t="shared" si="248"/>
        <v>0</v>
      </c>
      <c r="CC171" s="48"/>
      <c r="CD171" s="48"/>
      <c r="CE171" s="48"/>
      <c r="CF171" s="48">
        <f t="shared" si="249"/>
        <v>0</v>
      </c>
      <c r="CG171" s="48"/>
      <c r="CH171" s="48"/>
      <c r="CI171" s="48"/>
      <c r="CJ171" s="48">
        <f t="shared" si="250"/>
        <v>0</v>
      </c>
      <c r="CK171" s="48"/>
      <c r="CL171" s="48"/>
      <c r="CM171" s="48"/>
      <c r="CN171" s="48">
        <f t="shared" si="251"/>
        <v>0</v>
      </c>
      <c r="CO171" s="48"/>
      <c r="CP171" s="48"/>
      <c r="CQ171" s="48"/>
      <c r="CR171" s="48">
        <f t="shared" si="252"/>
        <v>0</v>
      </c>
      <c r="CS171" s="48"/>
      <c r="CT171" s="48"/>
      <c r="CU171" s="48"/>
      <c r="CV171" s="48">
        <f t="shared" si="253"/>
        <v>0</v>
      </c>
      <c r="CW171" s="48"/>
      <c r="CX171" s="48"/>
      <c r="CY171" s="48"/>
      <c r="CZ171" s="48">
        <f t="shared" si="254"/>
        <v>0</v>
      </c>
      <c r="DA171" s="48"/>
      <c r="DB171" s="48"/>
      <c r="DC171" s="48"/>
      <c r="DD171" s="48">
        <f t="shared" si="255"/>
        <v>0</v>
      </c>
      <c r="DE171" s="48"/>
      <c r="DF171" s="48"/>
      <c r="DG171" s="48"/>
      <c r="DH171" s="48">
        <f t="shared" si="256"/>
        <v>0</v>
      </c>
      <c r="DI171" s="48"/>
      <c r="DJ171" s="48"/>
      <c r="DK171" s="48"/>
      <c r="DL171" s="48">
        <f t="shared" si="257"/>
        <v>0</v>
      </c>
      <c r="DM171" s="48"/>
      <c r="DN171" s="48"/>
      <c r="DO171" s="48"/>
      <c r="DP171" s="48">
        <f t="shared" si="258"/>
        <v>0</v>
      </c>
      <c r="DQ171" s="48"/>
      <c r="DR171" s="48"/>
      <c r="DS171" s="48"/>
      <c r="DT171" s="48">
        <f t="shared" si="259"/>
        <v>0</v>
      </c>
      <c r="DU171" s="48"/>
      <c r="DV171" s="48"/>
      <c r="DW171" s="48"/>
      <c r="DX171" s="48">
        <f t="shared" si="260"/>
        <v>0</v>
      </c>
      <c r="DY171" s="48">
        <f t="shared" si="229"/>
        <v>0</v>
      </c>
      <c r="DZ171" s="48">
        <f t="shared" si="261"/>
        <v>0</v>
      </c>
      <c r="EA171" s="14">
        <f>D171*'MASTER SHEET'!D171</f>
        <v>0</v>
      </c>
      <c r="EB171" s="14">
        <f>H171*'MASTER SHEET'!D171</f>
        <v>0</v>
      </c>
      <c r="EC171" s="14">
        <f>L171*'MASTER SHEET'!D171</f>
        <v>0</v>
      </c>
      <c r="ED171" s="14">
        <f>P171*'MASTER SHEET'!D171</f>
        <v>0</v>
      </c>
      <c r="EE171" s="14">
        <f>T171*'MASTER SHEET'!D171</f>
        <v>0</v>
      </c>
      <c r="EF171" s="14">
        <f>X171*'MASTER SHEET'!D171</f>
        <v>0</v>
      </c>
      <c r="EG171" s="14">
        <f>AB171*'MASTER SHEET'!D171</f>
        <v>0</v>
      </c>
      <c r="EH171" s="14">
        <f>AF171*'MASTER SHEET'!D171</f>
        <v>0</v>
      </c>
      <c r="EI171" s="14">
        <f>AJ171*'MASTER SHEET'!D171</f>
        <v>0</v>
      </c>
      <c r="EJ171" s="14">
        <f>AN171*'MASTER SHEET'!D171</f>
        <v>0</v>
      </c>
      <c r="EK171" s="14">
        <f>AR171*'MASTER SHEET'!D171</f>
        <v>0</v>
      </c>
      <c r="EL171" s="14">
        <f>AV171*'MASTER SHEET'!D171</f>
        <v>0</v>
      </c>
      <c r="EM171" s="14">
        <f>AZ171*'MASTER SHEET'!D171</f>
        <v>0</v>
      </c>
      <c r="EN171" s="14">
        <f>BD171*'MASTER SHEET'!D171</f>
        <v>0</v>
      </c>
      <c r="EO171" s="14">
        <f>BH171*'MASTER SHEET'!D171</f>
        <v>0</v>
      </c>
      <c r="EP171" s="14">
        <f>BL171*'MASTER SHEET'!D171</f>
        <v>0</v>
      </c>
      <c r="EQ171" s="14">
        <f>BP171*'MASTER SHEET'!D171</f>
        <v>0</v>
      </c>
      <c r="ER171" s="14">
        <f>BT171*'MASTER SHEET'!D171</f>
        <v>0</v>
      </c>
      <c r="ES171" s="14">
        <f>BX171*'MASTER SHEET'!D171</f>
        <v>0</v>
      </c>
      <c r="ET171" s="21">
        <f>CB171*'MASTER SHEET'!D171</f>
        <v>0</v>
      </c>
      <c r="EU171" s="14">
        <f>CF171*'MASTER SHEET'!D171</f>
        <v>0</v>
      </c>
      <c r="EV171" s="14">
        <f>CJ171*'MASTER SHEET'!D171</f>
        <v>0</v>
      </c>
      <c r="EW171" s="14">
        <f>CN171*'MASTER SHEET'!D171</f>
        <v>0</v>
      </c>
      <c r="EX171" s="14">
        <f>CR171*'MASTER SHEET'!D171</f>
        <v>0</v>
      </c>
      <c r="EY171" s="14">
        <f>CR171*'MASTER SHEET'!D171</f>
        <v>0</v>
      </c>
      <c r="EZ171" s="14">
        <f>CV171*'MASTER SHEET'!D171</f>
        <v>0</v>
      </c>
      <c r="FA171" s="14">
        <f>CZ171*'MASTER SHEET'!D171</f>
        <v>0</v>
      </c>
      <c r="FB171" s="14">
        <f>DD171*'MASTER SHEET'!D171</f>
        <v>0</v>
      </c>
    </row>
    <row r="172" spans="1:158" ht="18.75" customHeight="1" x14ac:dyDescent="0.25">
      <c r="A172" s="43">
        <f>'MASTER SHEET'!A172</f>
        <v>170</v>
      </c>
      <c r="B172" s="49" t="str">
        <f>'MASTER SHEET'!B172</f>
        <v>ACTUATOR PLUNGER</v>
      </c>
      <c r="C172" s="86" t="str">
        <f>'MASTER SHEET'!C172</f>
        <v>BA00005304</v>
      </c>
      <c r="D172" s="51"/>
      <c r="E172" s="48"/>
      <c r="F172" s="48"/>
      <c r="G172" s="48"/>
      <c r="H172" s="48">
        <f t="shared" si="230"/>
        <v>0</v>
      </c>
      <c r="I172" s="28"/>
      <c r="J172" s="28"/>
      <c r="K172" s="65"/>
      <c r="L172" s="48">
        <f t="shared" si="231"/>
        <v>0</v>
      </c>
      <c r="M172" s="48"/>
      <c r="N172" s="48"/>
      <c r="O172" s="48"/>
      <c r="P172" s="48">
        <f t="shared" si="232"/>
        <v>0</v>
      </c>
      <c r="Q172" s="48"/>
      <c r="R172" s="48"/>
      <c r="S172" s="48"/>
      <c r="T172" s="48">
        <f t="shared" si="233"/>
        <v>0</v>
      </c>
      <c r="U172" s="48">
        <v>0</v>
      </c>
      <c r="V172" s="48"/>
      <c r="W172" s="48"/>
      <c r="X172" s="48">
        <f t="shared" si="234"/>
        <v>0</v>
      </c>
      <c r="Y172" s="48"/>
      <c r="Z172" s="48"/>
      <c r="AA172" s="48"/>
      <c r="AB172" s="48">
        <f t="shared" si="235"/>
        <v>0</v>
      </c>
      <c r="AC172" s="48"/>
      <c r="AD172" s="48"/>
      <c r="AE172" s="48"/>
      <c r="AF172" s="48">
        <f t="shared" si="236"/>
        <v>0</v>
      </c>
      <c r="AG172" s="48"/>
      <c r="AH172" s="48"/>
      <c r="AI172" s="48"/>
      <c r="AJ172" s="48">
        <f t="shared" si="237"/>
        <v>0</v>
      </c>
      <c r="AK172" s="48"/>
      <c r="AL172" s="48"/>
      <c r="AM172" s="48"/>
      <c r="AN172" s="48">
        <f t="shared" si="238"/>
        <v>0</v>
      </c>
      <c r="AO172" s="48"/>
      <c r="AP172" s="48"/>
      <c r="AQ172" s="48"/>
      <c r="AR172" s="48">
        <f t="shared" si="239"/>
        <v>0</v>
      </c>
      <c r="AS172" s="48"/>
      <c r="AT172" s="48"/>
      <c r="AU172" s="48"/>
      <c r="AV172" s="48">
        <f t="shared" si="240"/>
        <v>0</v>
      </c>
      <c r="AW172" s="48"/>
      <c r="AX172" s="48"/>
      <c r="AY172" s="48"/>
      <c r="AZ172" s="48">
        <f t="shared" si="241"/>
        <v>0</v>
      </c>
      <c r="BA172" s="48"/>
      <c r="BB172" s="48"/>
      <c r="BC172" s="48"/>
      <c r="BD172" s="48">
        <f t="shared" si="242"/>
        <v>0</v>
      </c>
      <c r="BE172" s="48"/>
      <c r="BF172" s="48"/>
      <c r="BG172" s="48"/>
      <c r="BH172" s="48">
        <f t="shared" si="243"/>
        <v>0</v>
      </c>
      <c r="BI172" s="48"/>
      <c r="BJ172" s="48"/>
      <c r="BK172" s="48"/>
      <c r="BL172" s="48">
        <f t="shared" si="244"/>
        <v>0</v>
      </c>
      <c r="BM172" s="48"/>
      <c r="BN172" s="48"/>
      <c r="BO172" s="48"/>
      <c r="BP172" s="48">
        <f t="shared" si="245"/>
        <v>0</v>
      </c>
      <c r="BQ172" s="48"/>
      <c r="BR172" s="48"/>
      <c r="BS172" s="48"/>
      <c r="BT172" s="48">
        <f t="shared" si="246"/>
        <v>0</v>
      </c>
      <c r="BU172" s="48"/>
      <c r="BV172" s="48"/>
      <c r="BW172" s="48"/>
      <c r="BX172" s="48">
        <f t="shared" si="247"/>
        <v>0</v>
      </c>
      <c r="BY172" s="48"/>
      <c r="BZ172" s="48"/>
      <c r="CA172" s="48"/>
      <c r="CB172" s="48">
        <f t="shared" si="248"/>
        <v>0</v>
      </c>
      <c r="CC172" s="48"/>
      <c r="CD172" s="48"/>
      <c r="CE172" s="48"/>
      <c r="CF172" s="48">
        <f t="shared" si="249"/>
        <v>0</v>
      </c>
      <c r="CG172" s="48"/>
      <c r="CH172" s="48"/>
      <c r="CI172" s="48"/>
      <c r="CJ172" s="48">
        <f t="shared" si="250"/>
        <v>0</v>
      </c>
      <c r="CK172" s="48"/>
      <c r="CL172" s="48"/>
      <c r="CM172" s="48"/>
      <c r="CN172" s="48">
        <f t="shared" si="251"/>
        <v>0</v>
      </c>
      <c r="CO172" s="48"/>
      <c r="CP172" s="48"/>
      <c r="CQ172" s="48"/>
      <c r="CR172" s="48">
        <f t="shared" si="252"/>
        <v>0</v>
      </c>
      <c r="CS172" s="48"/>
      <c r="CT172" s="48"/>
      <c r="CU172" s="48"/>
      <c r="CV172" s="48">
        <f t="shared" si="253"/>
        <v>0</v>
      </c>
      <c r="CW172" s="48"/>
      <c r="CX172" s="48"/>
      <c r="CY172" s="48"/>
      <c r="CZ172" s="48">
        <f t="shared" si="254"/>
        <v>0</v>
      </c>
      <c r="DA172" s="48"/>
      <c r="DB172" s="48"/>
      <c r="DC172" s="48"/>
      <c r="DD172" s="48">
        <f t="shared" si="255"/>
        <v>0</v>
      </c>
      <c r="DE172" s="48"/>
      <c r="DF172" s="48"/>
      <c r="DG172" s="48"/>
      <c r="DH172" s="48">
        <f t="shared" si="256"/>
        <v>0</v>
      </c>
      <c r="DI172" s="48"/>
      <c r="DJ172" s="48"/>
      <c r="DK172" s="48"/>
      <c r="DL172" s="48">
        <f t="shared" si="257"/>
        <v>0</v>
      </c>
      <c r="DM172" s="48"/>
      <c r="DN172" s="48"/>
      <c r="DO172" s="48"/>
      <c r="DP172" s="48">
        <f t="shared" si="258"/>
        <v>0</v>
      </c>
      <c r="DQ172" s="48"/>
      <c r="DR172" s="48"/>
      <c r="DS172" s="48"/>
      <c r="DT172" s="48">
        <f t="shared" si="259"/>
        <v>0</v>
      </c>
      <c r="DU172" s="48"/>
      <c r="DV172" s="48"/>
      <c r="DW172" s="48"/>
      <c r="DX172" s="48">
        <f t="shared" si="260"/>
        <v>0</v>
      </c>
      <c r="DY172" s="48">
        <f t="shared" si="229"/>
        <v>0</v>
      </c>
      <c r="DZ172" s="48">
        <f t="shared" si="261"/>
        <v>0</v>
      </c>
      <c r="EA172" s="14">
        <f>D172*'MASTER SHEET'!D172</f>
        <v>0</v>
      </c>
      <c r="EB172" s="14">
        <f>H172*'MASTER SHEET'!D172</f>
        <v>0</v>
      </c>
      <c r="EC172" s="14">
        <f>L172*'MASTER SHEET'!D172</f>
        <v>0</v>
      </c>
      <c r="ED172" s="14">
        <f>P172*'MASTER SHEET'!D172</f>
        <v>0</v>
      </c>
      <c r="EE172" s="14">
        <f>T172*'MASTER SHEET'!D172</f>
        <v>0</v>
      </c>
      <c r="EF172" s="14">
        <f>X172*'MASTER SHEET'!D172</f>
        <v>0</v>
      </c>
      <c r="EG172" s="14">
        <f>AB172*'MASTER SHEET'!D172</f>
        <v>0</v>
      </c>
      <c r="EH172" s="14">
        <f>AF172*'MASTER SHEET'!D172</f>
        <v>0</v>
      </c>
      <c r="EI172" s="14">
        <f>AJ172*'MASTER SHEET'!D172</f>
        <v>0</v>
      </c>
      <c r="EJ172" s="14">
        <f>AN172*'MASTER SHEET'!D172</f>
        <v>0</v>
      </c>
      <c r="EK172" s="14">
        <f>AR172*'MASTER SHEET'!D172</f>
        <v>0</v>
      </c>
      <c r="EL172" s="14">
        <f>AV172*'MASTER SHEET'!D172</f>
        <v>0</v>
      </c>
      <c r="EM172" s="14">
        <f>AZ172*'MASTER SHEET'!D172</f>
        <v>0</v>
      </c>
      <c r="EN172" s="14">
        <f>BD172*'MASTER SHEET'!D172</f>
        <v>0</v>
      </c>
      <c r="EO172" s="14">
        <f>BH172*'MASTER SHEET'!D172</f>
        <v>0</v>
      </c>
      <c r="EP172" s="14">
        <f>BL172*'MASTER SHEET'!D172</f>
        <v>0</v>
      </c>
      <c r="EQ172" s="14">
        <f>BP172*'MASTER SHEET'!D172</f>
        <v>0</v>
      </c>
      <c r="ER172" s="14">
        <f>BT172*'MASTER SHEET'!D172</f>
        <v>0</v>
      </c>
      <c r="ES172" s="14">
        <f>BX172*'MASTER SHEET'!D172</f>
        <v>0</v>
      </c>
      <c r="ET172" s="21">
        <f>CB172*'MASTER SHEET'!D172</f>
        <v>0</v>
      </c>
      <c r="EU172" s="14">
        <f>CF172*'MASTER SHEET'!D172</f>
        <v>0</v>
      </c>
      <c r="EV172" s="14">
        <f>CJ172*'MASTER SHEET'!D172</f>
        <v>0</v>
      </c>
      <c r="EW172" s="14">
        <f>CN172*'MASTER SHEET'!D172</f>
        <v>0</v>
      </c>
      <c r="EX172" s="14">
        <f>CR172*'MASTER SHEET'!D172</f>
        <v>0</v>
      </c>
      <c r="EY172" s="14">
        <f>CR172*'MASTER SHEET'!D172</f>
        <v>0</v>
      </c>
      <c r="EZ172" s="14">
        <f>CV172*'MASTER SHEET'!D172</f>
        <v>0</v>
      </c>
      <c r="FA172" s="14">
        <f>CZ172*'MASTER SHEET'!D172</f>
        <v>0</v>
      </c>
      <c r="FB172" s="14">
        <f>DD172*'MASTER SHEET'!D172</f>
        <v>0</v>
      </c>
    </row>
    <row r="173" spans="1:158" ht="18.75" customHeight="1" x14ac:dyDescent="0.25">
      <c r="A173" s="43">
        <f>'MASTER SHEET'!A173</f>
        <v>171</v>
      </c>
      <c r="B173" s="49" t="str">
        <f>'MASTER SHEET'!B173</f>
        <v>W BASE TRIM CLIP</v>
      </c>
      <c r="C173" s="86">
        <f>'MASTER SHEET'!C173</f>
        <v>62802</v>
      </c>
      <c r="D173" s="51"/>
      <c r="E173" s="48"/>
      <c r="F173" s="48"/>
      <c r="G173" s="48"/>
      <c r="H173" s="48">
        <f t="shared" si="230"/>
        <v>0</v>
      </c>
      <c r="I173" s="28"/>
      <c r="J173" s="28"/>
      <c r="K173" s="65"/>
      <c r="L173" s="48">
        <f t="shared" si="231"/>
        <v>0</v>
      </c>
      <c r="M173" s="48"/>
      <c r="N173" s="48"/>
      <c r="O173" s="48"/>
      <c r="P173" s="48">
        <f t="shared" si="232"/>
        <v>0</v>
      </c>
      <c r="Q173" s="48"/>
      <c r="R173" s="48"/>
      <c r="S173" s="48"/>
      <c r="T173" s="48">
        <f t="shared" si="233"/>
        <v>0</v>
      </c>
      <c r="U173" s="48">
        <v>0</v>
      </c>
      <c r="V173" s="48"/>
      <c r="W173" s="48"/>
      <c r="X173" s="48">
        <f t="shared" si="234"/>
        <v>0</v>
      </c>
      <c r="Y173" s="48"/>
      <c r="Z173" s="48"/>
      <c r="AA173" s="48"/>
      <c r="AB173" s="48">
        <f t="shared" si="235"/>
        <v>0</v>
      </c>
      <c r="AC173" s="48"/>
      <c r="AD173" s="48"/>
      <c r="AE173" s="48"/>
      <c r="AF173" s="48">
        <f t="shared" si="236"/>
        <v>0</v>
      </c>
      <c r="AG173" s="48"/>
      <c r="AH173" s="48"/>
      <c r="AI173" s="48"/>
      <c r="AJ173" s="48">
        <f t="shared" si="237"/>
        <v>0</v>
      </c>
      <c r="AK173" s="48"/>
      <c r="AL173" s="48"/>
      <c r="AM173" s="48"/>
      <c r="AN173" s="48">
        <f t="shared" si="238"/>
        <v>0</v>
      </c>
      <c r="AO173" s="48"/>
      <c r="AP173" s="48"/>
      <c r="AQ173" s="48"/>
      <c r="AR173" s="48">
        <f t="shared" si="239"/>
        <v>0</v>
      </c>
      <c r="AS173" s="48"/>
      <c r="AT173" s="48"/>
      <c r="AU173" s="48"/>
      <c r="AV173" s="48">
        <f t="shared" si="240"/>
        <v>0</v>
      </c>
      <c r="AW173" s="48"/>
      <c r="AX173" s="48"/>
      <c r="AY173" s="48"/>
      <c r="AZ173" s="48">
        <f t="shared" si="241"/>
        <v>0</v>
      </c>
      <c r="BA173" s="48"/>
      <c r="BB173" s="48"/>
      <c r="BC173" s="48"/>
      <c r="BD173" s="48">
        <f t="shared" si="242"/>
        <v>0</v>
      </c>
      <c r="BE173" s="48"/>
      <c r="BF173" s="48"/>
      <c r="BG173" s="48"/>
      <c r="BH173" s="48">
        <f t="shared" si="243"/>
        <v>0</v>
      </c>
      <c r="BI173" s="48"/>
      <c r="BJ173" s="48"/>
      <c r="BK173" s="48"/>
      <c r="BL173" s="48">
        <f t="shared" si="244"/>
        <v>0</v>
      </c>
      <c r="BM173" s="48"/>
      <c r="BN173" s="48"/>
      <c r="BO173" s="48"/>
      <c r="BP173" s="48">
        <f t="shared" si="245"/>
        <v>0</v>
      </c>
      <c r="BQ173" s="48"/>
      <c r="BR173" s="48"/>
      <c r="BS173" s="48"/>
      <c r="BT173" s="48">
        <f t="shared" si="246"/>
        <v>0</v>
      </c>
      <c r="BU173" s="48"/>
      <c r="BV173" s="48"/>
      <c r="BW173" s="48"/>
      <c r="BX173" s="48">
        <f t="shared" si="247"/>
        <v>0</v>
      </c>
      <c r="BY173" s="48"/>
      <c r="BZ173" s="48"/>
      <c r="CA173" s="48"/>
      <c r="CB173" s="48">
        <f t="shared" si="248"/>
        <v>0</v>
      </c>
      <c r="CC173" s="48"/>
      <c r="CD173" s="48"/>
      <c r="CE173" s="48"/>
      <c r="CF173" s="48">
        <f t="shared" si="249"/>
        <v>0</v>
      </c>
      <c r="CG173" s="48"/>
      <c r="CH173" s="48"/>
      <c r="CI173" s="48"/>
      <c r="CJ173" s="48">
        <f t="shared" si="250"/>
        <v>0</v>
      </c>
      <c r="CK173" s="48"/>
      <c r="CL173" s="48"/>
      <c r="CM173" s="48"/>
      <c r="CN173" s="48">
        <f t="shared" si="251"/>
        <v>0</v>
      </c>
      <c r="CO173" s="48"/>
      <c r="CP173" s="48"/>
      <c r="CQ173" s="48"/>
      <c r="CR173" s="48">
        <f t="shared" si="252"/>
        <v>0</v>
      </c>
      <c r="CS173" s="48"/>
      <c r="CT173" s="48"/>
      <c r="CU173" s="48"/>
      <c r="CV173" s="48">
        <f t="shared" si="253"/>
        <v>0</v>
      </c>
      <c r="CW173" s="48"/>
      <c r="CX173" s="48"/>
      <c r="CY173" s="48"/>
      <c r="CZ173" s="48">
        <f t="shared" si="254"/>
        <v>0</v>
      </c>
      <c r="DA173" s="48"/>
      <c r="DB173" s="48"/>
      <c r="DC173" s="48"/>
      <c r="DD173" s="48">
        <f t="shared" si="255"/>
        <v>0</v>
      </c>
      <c r="DE173" s="48"/>
      <c r="DF173" s="48"/>
      <c r="DG173" s="48"/>
      <c r="DH173" s="48">
        <f t="shared" si="256"/>
        <v>0</v>
      </c>
      <c r="DI173" s="48"/>
      <c r="DJ173" s="48"/>
      <c r="DK173" s="48"/>
      <c r="DL173" s="48">
        <f t="shared" si="257"/>
        <v>0</v>
      </c>
      <c r="DM173" s="48"/>
      <c r="DN173" s="48"/>
      <c r="DO173" s="48"/>
      <c r="DP173" s="48">
        <f t="shared" si="258"/>
        <v>0</v>
      </c>
      <c r="DQ173" s="48"/>
      <c r="DR173" s="48"/>
      <c r="DS173" s="48"/>
      <c r="DT173" s="48">
        <f t="shared" si="259"/>
        <v>0</v>
      </c>
      <c r="DU173" s="48"/>
      <c r="DV173" s="48"/>
      <c r="DW173" s="48"/>
      <c r="DX173" s="48">
        <f t="shared" si="260"/>
        <v>0</v>
      </c>
      <c r="DY173" s="48">
        <f t="shared" si="229"/>
        <v>0</v>
      </c>
      <c r="DZ173" s="48">
        <f t="shared" si="261"/>
        <v>0</v>
      </c>
      <c r="EA173" s="14">
        <f>D173*'MASTER SHEET'!D173</f>
        <v>0</v>
      </c>
      <c r="EB173" s="14">
        <f>H173*'MASTER SHEET'!D173</f>
        <v>0</v>
      </c>
      <c r="EC173" s="14">
        <f>L173*'MASTER SHEET'!D173</f>
        <v>0</v>
      </c>
      <c r="ED173" s="14">
        <f>P173*'MASTER SHEET'!D173</f>
        <v>0</v>
      </c>
      <c r="EE173" s="14">
        <f>T173*'MASTER SHEET'!D173</f>
        <v>0</v>
      </c>
      <c r="EF173" s="14">
        <f>X173*'MASTER SHEET'!D173</f>
        <v>0</v>
      </c>
      <c r="EG173" s="14">
        <f>AB173*'MASTER SHEET'!D173</f>
        <v>0</v>
      </c>
      <c r="EH173" s="14">
        <f>AF173*'MASTER SHEET'!D173</f>
        <v>0</v>
      </c>
      <c r="EI173" s="14">
        <f>AJ173*'MASTER SHEET'!D173</f>
        <v>0</v>
      </c>
      <c r="EJ173" s="14">
        <f>AN173*'MASTER SHEET'!D173</f>
        <v>0</v>
      </c>
      <c r="EK173" s="14">
        <f>AR173*'MASTER SHEET'!D173</f>
        <v>0</v>
      </c>
      <c r="EL173" s="14">
        <f>AV173*'MASTER SHEET'!D173</f>
        <v>0</v>
      </c>
      <c r="EM173" s="14">
        <f>AZ173*'MASTER SHEET'!D173</f>
        <v>0</v>
      </c>
      <c r="EN173" s="14">
        <f>BD173*'MASTER SHEET'!D173</f>
        <v>0</v>
      </c>
      <c r="EO173" s="14">
        <f>BH173*'MASTER SHEET'!D173</f>
        <v>0</v>
      </c>
      <c r="EP173" s="14">
        <f>BL173*'MASTER SHEET'!D173</f>
        <v>0</v>
      </c>
      <c r="EQ173" s="14">
        <f>BP173*'MASTER SHEET'!D173</f>
        <v>0</v>
      </c>
      <c r="ER173" s="14">
        <f>BT173*'MASTER SHEET'!D173</f>
        <v>0</v>
      </c>
      <c r="ES173" s="14">
        <f>BX173*'MASTER SHEET'!D173</f>
        <v>0</v>
      </c>
      <c r="ET173" s="21">
        <f>CB173*'MASTER SHEET'!D173</f>
        <v>0</v>
      </c>
      <c r="EU173" s="14">
        <f>CF173*'MASTER SHEET'!D173</f>
        <v>0</v>
      </c>
      <c r="EV173" s="14">
        <f>CJ173*'MASTER SHEET'!D173</f>
        <v>0</v>
      </c>
      <c r="EW173" s="14">
        <f>CN173*'MASTER SHEET'!D173</f>
        <v>0</v>
      </c>
      <c r="EX173" s="14">
        <f>CR173*'MASTER SHEET'!D173</f>
        <v>0</v>
      </c>
      <c r="EY173" s="14">
        <f>CR173*'MASTER SHEET'!D173</f>
        <v>0</v>
      </c>
      <c r="EZ173" s="14">
        <f>CV173*'MASTER SHEET'!D173</f>
        <v>0</v>
      </c>
      <c r="FA173" s="14">
        <f>CZ173*'MASTER SHEET'!D173</f>
        <v>0</v>
      </c>
      <c r="FB173" s="14">
        <f>DD173*'MASTER SHEET'!D173</f>
        <v>0</v>
      </c>
    </row>
    <row r="174" spans="1:158" ht="18.75" customHeight="1" x14ac:dyDescent="0.25">
      <c r="A174" s="43">
        <f>'MASTER SHEET'!A174</f>
        <v>172</v>
      </c>
      <c r="B174" s="49" t="str">
        <f>'MASTER SHEET'!B174</f>
        <v>YOM_YHC_ HRS_KNOB INSERT MOLDING V6N</v>
      </c>
      <c r="C174" s="86" t="str">
        <f>'MASTER SHEET'!C174</f>
        <v>GA00007775</v>
      </c>
      <c r="D174" s="51"/>
      <c r="E174" s="48">
        <v>0</v>
      </c>
      <c r="F174" s="48">
        <v>0</v>
      </c>
      <c r="G174" s="48">
        <v>0</v>
      </c>
      <c r="H174" s="48">
        <f t="shared" si="230"/>
        <v>0</v>
      </c>
      <c r="I174" s="28"/>
      <c r="J174" s="28"/>
      <c r="K174" s="65"/>
      <c r="L174" s="48">
        <f t="shared" si="231"/>
        <v>0</v>
      </c>
      <c r="M174" s="48"/>
      <c r="N174" s="48"/>
      <c r="O174" s="48"/>
      <c r="P174" s="48">
        <f t="shared" si="232"/>
        <v>0</v>
      </c>
      <c r="Q174" s="48">
        <v>0</v>
      </c>
      <c r="R174" s="48">
        <v>0</v>
      </c>
      <c r="S174" s="48">
        <v>0</v>
      </c>
      <c r="T174" s="48">
        <f t="shared" si="233"/>
        <v>0</v>
      </c>
      <c r="U174" s="48">
        <v>0</v>
      </c>
      <c r="V174" s="48"/>
      <c r="W174" s="48"/>
      <c r="X174" s="48">
        <f t="shared" si="234"/>
        <v>0</v>
      </c>
      <c r="Y174" s="48">
        <v>0</v>
      </c>
      <c r="Z174" s="48">
        <v>0</v>
      </c>
      <c r="AA174" s="48">
        <v>0</v>
      </c>
      <c r="AB174" s="48">
        <f t="shared" si="235"/>
        <v>0</v>
      </c>
      <c r="AC174" s="48">
        <v>0</v>
      </c>
      <c r="AD174" s="48">
        <v>0</v>
      </c>
      <c r="AE174" s="48">
        <v>0</v>
      </c>
      <c r="AF174" s="48">
        <f t="shared" si="236"/>
        <v>0</v>
      </c>
      <c r="AG174" s="48">
        <v>0</v>
      </c>
      <c r="AH174" s="48">
        <v>0</v>
      </c>
      <c r="AI174" s="48">
        <v>0</v>
      </c>
      <c r="AJ174" s="48">
        <f>AF174+AG174-AH174-AI174</f>
        <v>0</v>
      </c>
      <c r="AK174" s="48">
        <v>10792</v>
      </c>
      <c r="AL174" s="48">
        <v>8985</v>
      </c>
      <c r="AM174" s="48">
        <v>1807</v>
      </c>
      <c r="AN174" s="48">
        <f t="shared" si="238"/>
        <v>0</v>
      </c>
      <c r="AO174" s="48">
        <v>9862</v>
      </c>
      <c r="AP174" s="48">
        <v>9548</v>
      </c>
      <c r="AQ174" s="48">
        <v>314</v>
      </c>
      <c r="AR174" s="48">
        <f t="shared" si="239"/>
        <v>0</v>
      </c>
      <c r="AS174" s="48">
        <v>8166</v>
      </c>
      <c r="AT174" s="48">
        <v>8166</v>
      </c>
      <c r="AU174" s="48">
        <v>0</v>
      </c>
      <c r="AV174" s="48">
        <f t="shared" si="240"/>
        <v>0</v>
      </c>
      <c r="AW174" s="48">
        <v>0</v>
      </c>
      <c r="AX174" s="48">
        <v>0</v>
      </c>
      <c r="AY174" s="48">
        <v>0</v>
      </c>
      <c r="AZ174" s="48">
        <f t="shared" si="241"/>
        <v>0</v>
      </c>
      <c r="BA174" s="48">
        <v>1750</v>
      </c>
      <c r="BB174" s="48">
        <v>1729</v>
      </c>
      <c r="BC174" s="48">
        <v>21</v>
      </c>
      <c r="BD174" s="48">
        <f t="shared" si="242"/>
        <v>0</v>
      </c>
      <c r="BE174" s="48">
        <v>0</v>
      </c>
      <c r="BF174" s="48">
        <v>0</v>
      </c>
      <c r="BG174" s="48">
        <v>0</v>
      </c>
      <c r="BH174" s="48">
        <f t="shared" si="243"/>
        <v>0</v>
      </c>
      <c r="BI174" s="48">
        <v>0</v>
      </c>
      <c r="BJ174" s="48">
        <v>0</v>
      </c>
      <c r="BK174" s="48">
        <v>0</v>
      </c>
      <c r="BL174" s="48">
        <f t="shared" si="244"/>
        <v>0</v>
      </c>
      <c r="BM174" s="48">
        <v>0</v>
      </c>
      <c r="BN174" s="48">
        <v>0</v>
      </c>
      <c r="BO174" s="48">
        <v>0</v>
      </c>
      <c r="BP174" s="48">
        <f t="shared" si="245"/>
        <v>0</v>
      </c>
      <c r="BQ174" s="48">
        <v>0</v>
      </c>
      <c r="BR174" s="48">
        <v>0</v>
      </c>
      <c r="BS174" s="48">
        <v>0</v>
      </c>
      <c r="BT174" s="48">
        <f t="shared" si="246"/>
        <v>0</v>
      </c>
      <c r="BU174" s="48">
        <v>0</v>
      </c>
      <c r="BV174" s="48">
        <v>0</v>
      </c>
      <c r="BW174" s="48">
        <v>0</v>
      </c>
      <c r="BX174" s="48">
        <f t="shared" si="247"/>
        <v>0</v>
      </c>
      <c r="BY174" s="48"/>
      <c r="BZ174" s="48"/>
      <c r="CA174" s="48"/>
      <c r="CB174" s="48">
        <f t="shared" si="248"/>
        <v>0</v>
      </c>
      <c r="CC174" s="48">
        <v>0</v>
      </c>
      <c r="CD174" s="48">
        <v>0</v>
      </c>
      <c r="CE174" s="48">
        <v>0</v>
      </c>
      <c r="CF174" s="48">
        <f t="shared" si="249"/>
        <v>0</v>
      </c>
      <c r="CG174" s="48">
        <v>0</v>
      </c>
      <c r="CH174" s="48">
        <v>0</v>
      </c>
      <c r="CI174" s="48">
        <v>0</v>
      </c>
      <c r="CJ174" s="48">
        <f t="shared" si="250"/>
        <v>0</v>
      </c>
      <c r="CK174" s="48"/>
      <c r="CL174" s="48"/>
      <c r="CM174" s="48"/>
      <c r="CN174" s="48">
        <f t="shared" si="251"/>
        <v>0</v>
      </c>
      <c r="CO174" s="48"/>
      <c r="CP174" s="48"/>
      <c r="CQ174" s="48"/>
      <c r="CR174" s="48">
        <f t="shared" si="252"/>
        <v>0</v>
      </c>
      <c r="CS174" s="48">
        <v>0</v>
      </c>
      <c r="CT174" s="48">
        <v>0</v>
      </c>
      <c r="CU174" s="48">
        <v>0</v>
      </c>
      <c r="CV174" s="48">
        <f t="shared" si="253"/>
        <v>0</v>
      </c>
      <c r="CW174" s="48">
        <v>0</v>
      </c>
      <c r="CX174" s="48">
        <v>0</v>
      </c>
      <c r="CY174" s="48">
        <v>0</v>
      </c>
      <c r="CZ174" s="48">
        <f t="shared" si="254"/>
        <v>0</v>
      </c>
      <c r="DA174" s="48"/>
      <c r="DB174" s="48"/>
      <c r="DC174" s="48"/>
      <c r="DD174" s="48">
        <f t="shared" si="255"/>
        <v>0</v>
      </c>
      <c r="DE174" s="48">
        <v>0</v>
      </c>
      <c r="DF174" s="48">
        <v>0</v>
      </c>
      <c r="DG174" s="48">
        <v>0</v>
      </c>
      <c r="DH174" s="48">
        <f t="shared" si="256"/>
        <v>0</v>
      </c>
      <c r="DI174" s="48">
        <v>8568</v>
      </c>
      <c r="DJ174" s="48">
        <v>8540</v>
      </c>
      <c r="DK174" s="48">
        <v>28</v>
      </c>
      <c r="DL174" s="48">
        <f t="shared" si="257"/>
        <v>0</v>
      </c>
      <c r="DM174" s="48">
        <v>15299</v>
      </c>
      <c r="DN174" s="48">
        <v>15266</v>
      </c>
      <c r="DO174" s="48">
        <v>33</v>
      </c>
      <c r="DP174" s="48">
        <f t="shared" si="258"/>
        <v>0</v>
      </c>
      <c r="DQ174" s="48"/>
      <c r="DR174" s="48"/>
      <c r="DS174" s="48"/>
      <c r="DT174" s="48">
        <f t="shared" si="259"/>
        <v>0</v>
      </c>
      <c r="DU174" s="48"/>
      <c r="DV174" s="48"/>
      <c r="DW174" s="48"/>
      <c r="DX174" s="48">
        <f t="shared" si="260"/>
        <v>0</v>
      </c>
      <c r="DY174" s="48">
        <f>DU174+DQ174+DM174+DI174+DE174+DA174+CW174+CS174+CO174+CK174+CG174+CC174+BY174+BU174+BQ174+BI174+BA174+AW174+AS174+AO174+AK174+AG174+AC174+Y174+U174+Q174+M174+I174+E174+BM174+BE174</f>
        <v>54437</v>
      </c>
      <c r="DZ174" s="48">
        <f>G174+K174+S174+W174+AA174+AE174+AI174+AM174+AQ174+AU174+AY174+BC174+BG174+BK174+BO174+BS174+BW174+CA174+CE174+CI174+CM174+CQ174+CU174+CY174+DC174+DG174+DK174+DO174+DS174+DW174</f>
        <v>2203</v>
      </c>
      <c r="EA174" s="14">
        <f>D174*'MASTER SHEET'!D174</f>
        <v>0</v>
      </c>
      <c r="EB174" s="14">
        <f>H174*'MASTER SHEET'!D174</f>
        <v>0</v>
      </c>
      <c r="EC174" s="14">
        <f>L174*'MASTER SHEET'!D174</f>
        <v>0</v>
      </c>
      <c r="ED174" s="14">
        <f>P174*'MASTER SHEET'!D174</f>
        <v>0</v>
      </c>
      <c r="EE174" s="14">
        <f>T174*'MASTER SHEET'!D174</f>
        <v>0</v>
      </c>
      <c r="EF174" s="14">
        <f>X174*'MASTER SHEET'!D174</f>
        <v>0</v>
      </c>
      <c r="EG174" s="14">
        <f>AB174*'MASTER SHEET'!D174</f>
        <v>0</v>
      </c>
      <c r="EH174" s="14">
        <f>AF174*'MASTER SHEET'!D174</f>
        <v>0</v>
      </c>
      <c r="EI174" s="14">
        <f>AJ174*'MASTER SHEET'!D174</f>
        <v>0</v>
      </c>
      <c r="EJ174" s="14">
        <f>AN174*'MASTER SHEET'!D174</f>
        <v>0</v>
      </c>
      <c r="EK174" s="14">
        <f>AR174*'MASTER SHEET'!D174</f>
        <v>0</v>
      </c>
      <c r="EL174" s="14">
        <f>AV174*'MASTER SHEET'!D174</f>
        <v>0</v>
      </c>
      <c r="EM174" s="14">
        <f>AZ174*'MASTER SHEET'!D174</f>
        <v>0</v>
      </c>
      <c r="EN174" s="14">
        <f>BD174*'MASTER SHEET'!D174</f>
        <v>0</v>
      </c>
      <c r="EO174" s="14">
        <f>BH174*'MASTER SHEET'!D174</f>
        <v>0</v>
      </c>
      <c r="EP174" s="14">
        <f>BL174*'MASTER SHEET'!D174</f>
        <v>0</v>
      </c>
      <c r="EQ174" s="14">
        <f>BP174*'MASTER SHEET'!D174</f>
        <v>0</v>
      </c>
      <c r="ER174" s="14">
        <f>BT174*'MASTER SHEET'!D174</f>
        <v>0</v>
      </c>
      <c r="ES174" s="14">
        <f>BX174*'MASTER SHEET'!D174</f>
        <v>0</v>
      </c>
      <c r="ET174" s="21">
        <f>CB174*'MASTER SHEET'!D174</f>
        <v>0</v>
      </c>
      <c r="EU174" s="14">
        <f>CF174*'MASTER SHEET'!D174</f>
        <v>0</v>
      </c>
      <c r="EV174" s="14">
        <f>CJ174*'MASTER SHEET'!D174</f>
        <v>0</v>
      </c>
      <c r="EW174" s="14">
        <f>CN174*'MASTER SHEET'!D174</f>
        <v>0</v>
      </c>
      <c r="EX174" s="14">
        <f>CR174*'MASTER SHEET'!D174</f>
        <v>0</v>
      </c>
      <c r="EY174" s="14">
        <f>CR174*'MASTER SHEET'!D174</f>
        <v>0</v>
      </c>
      <c r="EZ174" s="14">
        <f>CV174*'MASTER SHEET'!D174</f>
        <v>0</v>
      </c>
      <c r="FA174" s="14">
        <f>CZ174*'MASTER SHEET'!D174</f>
        <v>0</v>
      </c>
      <c r="FB174" s="14">
        <f>DD174*'MASTER SHEET'!D174</f>
        <v>0</v>
      </c>
    </row>
    <row r="175" spans="1:158" ht="18.75" customHeight="1" x14ac:dyDescent="0.25">
      <c r="A175" s="43">
        <f>'MASTER SHEET'!A175</f>
        <v>173</v>
      </c>
      <c r="B175" s="49" t="str">
        <f>'MASTER SHEET'!B175</f>
        <v>CLAMP ASSY_3 WAY MODULAR</v>
      </c>
      <c r="C175" s="86">
        <f>'MASTER SHEET'!C175</f>
        <v>65062</v>
      </c>
      <c r="D175" s="51"/>
      <c r="E175" s="48"/>
      <c r="F175" s="48"/>
      <c r="G175" s="48"/>
      <c r="H175" s="48">
        <f t="shared" si="230"/>
        <v>0</v>
      </c>
      <c r="I175" s="28"/>
      <c r="J175" s="28"/>
      <c r="K175" s="65"/>
      <c r="L175" s="48">
        <f t="shared" si="231"/>
        <v>0</v>
      </c>
      <c r="M175" s="48"/>
      <c r="N175" s="48"/>
      <c r="O175" s="48"/>
      <c r="P175" s="48">
        <f t="shared" si="232"/>
        <v>0</v>
      </c>
      <c r="Q175" s="48"/>
      <c r="R175" s="48"/>
      <c r="S175" s="48"/>
      <c r="T175" s="48">
        <f t="shared" si="233"/>
        <v>0</v>
      </c>
      <c r="U175" s="48">
        <v>0</v>
      </c>
      <c r="V175" s="48"/>
      <c r="W175" s="48"/>
      <c r="X175" s="48">
        <f t="shared" si="234"/>
        <v>0</v>
      </c>
      <c r="Y175" s="48"/>
      <c r="Z175" s="48"/>
      <c r="AA175" s="48"/>
      <c r="AB175" s="48">
        <f t="shared" si="235"/>
        <v>0</v>
      </c>
      <c r="AC175" s="48"/>
      <c r="AD175" s="48"/>
      <c r="AE175" s="48"/>
      <c r="AF175" s="48">
        <f t="shared" si="236"/>
        <v>0</v>
      </c>
      <c r="AG175" s="48"/>
      <c r="AH175" s="48"/>
      <c r="AI175" s="48"/>
      <c r="AJ175" s="48">
        <f t="shared" si="237"/>
        <v>0</v>
      </c>
      <c r="AK175" s="48"/>
      <c r="AL175" s="48"/>
      <c r="AM175" s="48"/>
      <c r="AN175" s="48">
        <f t="shared" si="238"/>
        <v>0</v>
      </c>
      <c r="AO175" s="48"/>
      <c r="AP175" s="48"/>
      <c r="AQ175" s="48"/>
      <c r="AR175" s="48">
        <f t="shared" si="239"/>
        <v>0</v>
      </c>
      <c r="AS175" s="48"/>
      <c r="AT175" s="48"/>
      <c r="AU175" s="48"/>
      <c r="AV175" s="48">
        <f t="shared" si="240"/>
        <v>0</v>
      </c>
      <c r="AW175" s="48"/>
      <c r="AX175" s="48"/>
      <c r="AY175" s="48"/>
      <c r="AZ175" s="48">
        <f t="shared" si="241"/>
        <v>0</v>
      </c>
      <c r="BA175" s="48"/>
      <c r="BB175" s="48"/>
      <c r="BC175" s="48"/>
      <c r="BD175" s="48">
        <f t="shared" si="242"/>
        <v>0</v>
      </c>
      <c r="BE175" s="48"/>
      <c r="BF175" s="48"/>
      <c r="BG175" s="48"/>
      <c r="BH175" s="48">
        <f t="shared" si="243"/>
        <v>0</v>
      </c>
      <c r="BI175" s="48"/>
      <c r="BJ175" s="48"/>
      <c r="BK175" s="48"/>
      <c r="BL175" s="48">
        <f t="shared" si="244"/>
        <v>0</v>
      </c>
      <c r="BM175" s="48"/>
      <c r="BN175" s="48"/>
      <c r="BO175" s="48"/>
      <c r="BP175" s="48">
        <f t="shared" si="245"/>
        <v>0</v>
      </c>
      <c r="BQ175" s="48"/>
      <c r="BR175" s="48"/>
      <c r="BS175" s="48"/>
      <c r="BT175" s="48">
        <f t="shared" si="246"/>
        <v>0</v>
      </c>
      <c r="BU175" s="48"/>
      <c r="BV175" s="48"/>
      <c r="BW175" s="48"/>
      <c r="BX175" s="48">
        <f t="shared" si="247"/>
        <v>0</v>
      </c>
      <c r="BY175" s="48"/>
      <c r="BZ175" s="48"/>
      <c r="CA175" s="48"/>
      <c r="CB175" s="48">
        <f t="shared" si="248"/>
        <v>0</v>
      </c>
      <c r="CC175" s="48"/>
      <c r="CD175" s="48"/>
      <c r="CE175" s="48"/>
      <c r="CF175" s="48">
        <f t="shared" si="249"/>
        <v>0</v>
      </c>
      <c r="CG175" s="48"/>
      <c r="CH175" s="48"/>
      <c r="CI175" s="48"/>
      <c r="CJ175" s="48">
        <f t="shared" si="250"/>
        <v>0</v>
      </c>
      <c r="CK175" s="48"/>
      <c r="CL175" s="48"/>
      <c r="CM175" s="48"/>
      <c r="CN175" s="48">
        <f t="shared" si="251"/>
        <v>0</v>
      </c>
      <c r="CO175" s="48"/>
      <c r="CP175" s="48"/>
      <c r="CQ175" s="48"/>
      <c r="CR175" s="48">
        <f t="shared" si="252"/>
        <v>0</v>
      </c>
      <c r="CS175" s="48">
        <v>1800</v>
      </c>
      <c r="CT175" s="48">
        <v>1800</v>
      </c>
      <c r="CU175" s="48">
        <v>0</v>
      </c>
      <c r="CV175" s="48">
        <f t="shared" si="253"/>
        <v>0</v>
      </c>
      <c r="CW175" s="48"/>
      <c r="CX175" s="48"/>
      <c r="CY175" s="48"/>
      <c r="CZ175" s="48">
        <f t="shared" si="254"/>
        <v>0</v>
      </c>
      <c r="DA175" s="48"/>
      <c r="DB175" s="48"/>
      <c r="DC175" s="48"/>
      <c r="DD175" s="48">
        <f t="shared" si="255"/>
        <v>0</v>
      </c>
      <c r="DE175" s="48">
        <v>1000</v>
      </c>
      <c r="DF175" s="48">
        <v>1000</v>
      </c>
      <c r="DG175" s="48"/>
      <c r="DH175" s="48">
        <f t="shared" si="256"/>
        <v>0</v>
      </c>
      <c r="DI175" s="48">
        <v>500</v>
      </c>
      <c r="DJ175" s="48">
        <v>500</v>
      </c>
      <c r="DK175" s="48"/>
      <c r="DL175" s="48">
        <f t="shared" si="257"/>
        <v>0</v>
      </c>
      <c r="DM175" s="48"/>
      <c r="DN175" s="48"/>
      <c r="DO175" s="48"/>
      <c r="DP175" s="48">
        <f t="shared" si="258"/>
        <v>0</v>
      </c>
      <c r="DQ175" s="48"/>
      <c r="DR175" s="48"/>
      <c r="DS175" s="48"/>
      <c r="DT175" s="48">
        <f t="shared" si="259"/>
        <v>0</v>
      </c>
      <c r="DU175" s="48"/>
      <c r="DV175" s="48"/>
      <c r="DW175" s="48"/>
      <c r="DX175" s="48">
        <f t="shared" si="260"/>
        <v>0</v>
      </c>
      <c r="DY175" s="48">
        <f t="shared" si="229"/>
        <v>3300</v>
      </c>
      <c r="DZ175" s="48">
        <f t="shared" si="261"/>
        <v>0</v>
      </c>
      <c r="EA175" s="14">
        <f>D175*'MASTER SHEET'!D175</f>
        <v>0</v>
      </c>
      <c r="EB175" s="14">
        <f>H175*'MASTER SHEET'!D175</f>
        <v>0</v>
      </c>
      <c r="EC175" s="14">
        <f>L175*'MASTER SHEET'!D175</f>
        <v>0</v>
      </c>
      <c r="ED175" s="14">
        <f>P175*'MASTER SHEET'!D175</f>
        <v>0</v>
      </c>
      <c r="EE175" s="14">
        <f>T175*'MASTER SHEET'!D175</f>
        <v>0</v>
      </c>
      <c r="EF175" s="14">
        <f>X175*'MASTER SHEET'!D175</f>
        <v>0</v>
      </c>
      <c r="EG175" s="14">
        <f>AB175*'MASTER SHEET'!D175</f>
        <v>0</v>
      </c>
      <c r="EH175" s="14">
        <f>AF175*'MASTER SHEET'!D175</f>
        <v>0</v>
      </c>
      <c r="EI175" s="14">
        <f>AJ175*'MASTER SHEET'!D175</f>
        <v>0</v>
      </c>
      <c r="EJ175" s="14">
        <f>AN175*'MASTER SHEET'!D175</f>
        <v>0</v>
      </c>
      <c r="EK175" s="14">
        <f>AR175*'MASTER SHEET'!D175</f>
        <v>0</v>
      </c>
      <c r="EL175" s="14">
        <f>AV175*'MASTER SHEET'!D175</f>
        <v>0</v>
      </c>
      <c r="EM175" s="14">
        <f>AZ175*'MASTER SHEET'!D175</f>
        <v>0</v>
      </c>
      <c r="EN175" s="14">
        <f>BD175*'MASTER SHEET'!D175</f>
        <v>0</v>
      </c>
      <c r="EO175" s="14">
        <f>BH175*'MASTER SHEET'!D175</f>
        <v>0</v>
      </c>
      <c r="EP175" s="14">
        <f>BL175*'MASTER SHEET'!D175</f>
        <v>0</v>
      </c>
      <c r="EQ175" s="14">
        <f>BP175*'MASTER SHEET'!D175</f>
        <v>0</v>
      </c>
      <c r="ER175" s="14">
        <f>BT175*'MASTER SHEET'!D175</f>
        <v>0</v>
      </c>
      <c r="ES175" s="14">
        <f>BX175*'MASTER SHEET'!D175</f>
        <v>0</v>
      </c>
      <c r="ET175" s="21">
        <f>CB175*'MASTER SHEET'!D175</f>
        <v>0</v>
      </c>
      <c r="EU175" s="14">
        <f>CF175*'MASTER SHEET'!D175</f>
        <v>0</v>
      </c>
      <c r="EV175" s="14">
        <f>CJ175*'MASTER SHEET'!D175</f>
        <v>0</v>
      </c>
      <c r="EW175" s="14">
        <f>CN175*'MASTER SHEET'!D175</f>
        <v>0</v>
      </c>
      <c r="EX175" s="14">
        <f>CR175*'MASTER SHEET'!D175</f>
        <v>0</v>
      </c>
      <c r="EY175" s="14">
        <f>CR175*'MASTER SHEET'!D175</f>
        <v>0</v>
      </c>
      <c r="EZ175" s="14">
        <f>CV175*'MASTER SHEET'!D175</f>
        <v>0</v>
      </c>
      <c r="FA175" s="14">
        <f>CZ175*'MASTER SHEET'!D175</f>
        <v>0</v>
      </c>
      <c r="FB175" s="14">
        <f>DD175*'MASTER SHEET'!D175</f>
        <v>0</v>
      </c>
    </row>
    <row r="176" spans="1:158" ht="18.75" customHeight="1" x14ac:dyDescent="0.25">
      <c r="A176" s="43">
        <f>'MASTER SHEET'!A176</f>
        <v>174</v>
      </c>
      <c r="B176" s="49" t="str">
        <f>'MASTER SHEET'!B176</f>
        <v>CLAMP</v>
      </c>
      <c r="C176" s="86">
        <f>'MASTER SHEET'!C176</f>
        <v>65060</v>
      </c>
      <c r="D176" s="51"/>
      <c r="E176" s="48"/>
      <c r="F176" s="48"/>
      <c r="G176" s="48"/>
      <c r="H176" s="48">
        <f t="shared" si="230"/>
        <v>0</v>
      </c>
      <c r="I176" s="28"/>
      <c r="J176" s="28"/>
      <c r="K176" s="65"/>
      <c r="L176" s="48">
        <f t="shared" si="231"/>
        <v>0</v>
      </c>
      <c r="M176" s="48"/>
      <c r="N176" s="48"/>
      <c r="O176" s="48"/>
      <c r="P176" s="48">
        <f t="shared" si="232"/>
        <v>0</v>
      </c>
      <c r="Q176" s="48"/>
      <c r="R176" s="48"/>
      <c r="S176" s="48"/>
      <c r="T176" s="48">
        <f t="shared" si="233"/>
        <v>0</v>
      </c>
      <c r="U176" s="48">
        <v>0</v>
      </c>
      <c r="V176" s="48"/>
      <c r="W176" s="48"/>
      <c r="X176" s="48">
        <f t="shared" si="234"/>
        <v>0</v>
      </c>
      <c r="Y176" s="48"/>
      <c r="Z176" s="48"/>
      <c r="AA176" s="48"/>
      <c r="AB176" s="48">
        <f t="shared" si="235"/>
        <v>0</v>
      </c>
      <c r="AC176" s="48"/>
      <c r="AD176" s="48"/>
      <c r="AE176" s="48"/>
      <c r="AF176" s="48">
        <f t="shared" si="236"/>
        <v>0</v>
      </c>
      <c r="AG176" s="48"/>
      <c r="AH176" s="48"/>
      <c r="AI176" s="48"/>
      <c r="AJ176" s="48">
        <f t="shared" si="237"/>
        <v>0</v>
      </c>
      <c r="AK176" s="48"/>
      <c r="AL176" s="48"/>
      <c r="AM176" s="48"/>
      <c r="AN176" s="48">
        <f t="shared" si="238"/>
        <v>0</v>
      </c>
      <c r="AO176" s="48"/>
      <c r="AP176" s="48"/>
      <c r="AQ176" s="48"/>
      <c r="AR176" s="48">
        <f t="shared" si="239"/>
        <v>0</v>
      </c>
      <c r="AS176" s="48"/>
      <c r="AT176" s="48"/>
      <c r="AU176" s="48"/>
      <c r="AV176" s="48">
        <f t="shared" si="240"/>
        <v>0</v>
      </c>
      <c r="AW176" s="48"/>
      <c r="AX176" s="48"/>
      <c r="AY176" s="48"/>
      <c r="AZ176" s="48">
        <f t="shared" si="241"/>
        <v>0</v>
      </c>
      <c r="BA176" s="48"/>
      <c r="BB176" s="48"/>
      <c r="BC176" s="48"/>
      <c r="BD176" s="48">
        <f t="shared" si="242"/>
        <v>0</v>
      </c>
      <c r="BE176" s="48"/>
      <c r="BF176" s="48"/>
      <c r="BG176" s="48"/>
      <c r="BH176" s="48">
        <f t="shared" si="243"/>
        <v>0</v>
      </c>
      <c r="BI176" s="48"/>
      <c r="BJ176" s="48"/>
      <c r="BK176" s="48"/>
      <c r="BL176" s="48">
        <f t="shared" si="244"/>
        <v>0</v>
      </c>
      <c r="BM176" s="48"/>
      <c r="BN176" s="48"/>
      <c r="BO176" s="48"/>
      <c r="BP176" s="48">
        <f t="shared" si="245"/>
        <v>0</v>
      </c>
      <c r="BQ176" s="48"/>
      <c r="BR176" s="48"/>
      <c r="BS176" s="48"/>
      <c r="BT176" s="48">
        <f t="shared" si="246"/>
        <v>0</v>
      </c>
      <c r="BU176" s="48"/>
      <c r="BV176" s="48"/>
      <c r="BW176" s="48"/>
      <c r="BX176" s="48">
        <f t="shared" si="247"/>
        <v>0</v>
      </c>
      <c r="BY176" s="48"/>
      <c r="BZ176" s="48"/>
      <c r="CA176" s="48"/>
      <c r="CB176" s="48">
        <f t="shared" si="248"/>
        <v>0</v>
      </c>
      <c r="CC176" s="48"/>
      <c r="CD176" s="48"/>
      <c r="CE176" s="48"/>
      <c r="CF176" s="48">
        <f t="shared" si="249"/>
        <v>0</v>
      </c>
      <c r="CG176" s="48"/>
      <c r="CH176" s="48"/>
      <c r="CI176" s="48"/>
      <c r="CJ176" s="48">
        <f t="shared" si="250"/>
        <v>0</v>
      </c>
      <c r="CK176" s="48"/>
      <c r="CL176" s="48"/>
      <c r="CM176" s="48"/>
      <c r="CN176" s="48">
        <f t="shared" si="251"/>
        <v>0</v>
      </c>
      <c r="CO176" s="48">
        <v>8072</v>
      </c>
      <c r="CP176" s="48">
        <v>8052</v>
      </c>
      <c r="CQ176" s="48">
        <v>20</v>
      </c>
      <c r="CR176" s="48">
        <f t="shared" si="252"/>
        <v>0</v>
      </c>
      <c r="CS176" s="48">
        <v>9260</v>
      </c>
      <c r="CT176" s="48">
        <v>9244</v>
      </c>
      <c r="CU176" s="48">
        <v>16</v>
      </c>
      <c r="CV176" s="48">
        <f t="shared" si="253"/>
        <v>0</v>
      </c>
      <c r="CW176" s="48">
        <v>0</v>
      </c>
      <c r="CX176" s="48">
        <v>0</v>
      </c>
      <c r="CY176" s="48">
        <v>0</v>
      </c>
      <c r="CZ176" s="48">
        <f t="shared" si="254"/>
        <v>0</v>
      </c>
      <c r="DA176" s="48"/>
      <c r="DB176" s="48"/>
      <c r="DC176" s="48"/>
      <c r="DD176" s="48">
        <f t="shared" si="255"/>
        <v>0</v>
      </c>
      <c r="DE176" s="48">
        <v>0</v>
      </c>
      <c r="DF176" s="48">
        <v>0</v>
      </c>
      <c r="DG176" s="48">
        <v>0</v>
      </c>
      <c r="DH176" s="48">
        <f t="shared" si="256"/>
        <v>0</v>
      </c>
      <c r="DI176" s="48">
        <v>0</v>
      </c>
      <c r="DJ176" s="48">
        <v>0</v>
      </c>
      <c r="DK176" s="48">
        <v>0</v>
      </c>
      <c r="DL176" s="48">
        <f t="shared" si="257"/>
        <v>0</v>
      </c>
      <c r="DM176" s="48">
        <v>0</v>
      </c>
      <c r="DN176" s="48">
        <v>0</v>
      </c>
      <c r="DO176" s="48">
        <v>0</v>
      </c>
      <c r="DP176" s="48">
        <f t="shared" si="258"/>
        <v>0</v>
      </c>
      <c r="DQ176" s="48"/>
      <c r="DR176" s="48"/>
      <c r="DS176" s="48"/>
      <c r="DT176" s="48">
        <f t="shared" si="259"/>
        <v>0</v>
      </c>
      <c r="DU176" s="48"/>
      <c r="DV176" s="48"/>
      <c r="DW176" s="48"/>
      <c r="DX176" s="48">
        <f t="shared" si="260"/>
        <v>0</v>
      </c>
      <c r="DY176" s="48">
        <f t="shared" si="229"/>
        <v>17332</v>
      </c>
      <c r="DZ176" s="48">
        <f t="shared" si="261"/>
        <v>36</v>
      </c>
      <c r="EA176" s="14">
        <f>D176*'MASTER SHEET'!D176</f>
        <v>0</v>
      </c>
      <c r="EB176" s="14">
        <f>H176*'MASTER SHEET'!D176</f>
        <v>0</v>
      </c>
      <c r="EC176" s="14">
        <f>L176*'MASTER SHEET'!D176</f>
        <v>0</v>
      </c>
      <c r="ED176" s="14">
        <f>P176*'MASTER SHEET'!D176</f>
        <v>0</v>
      </c>
      <c r="EE176" s="14">
        <f>T176*'MASTER SHEET'!D176</f>
        <v>0</v>
      </c>
      <c r="EF176" s="14">
        <f>X176*'MASTER SHEET'!D176</f>
        <v>0</v>
      </c>
      <c r="EG176" s="14">
        <f>AB176*'MASTER SHEET'!D176</f>
        <v>0</v>
      </c>
      <c r="EH176" s="14">
        <f>AF176*'MASTER SHEET'!D176</f>
        <v>0</v>
      </c>
      <c r="EI176" s="14">
        <f>AJ176*'MASTER SHEET'!D176</f>
        <v>0</v>
      </c>
      <c r="EJ176" s="14">
        <f>AN176*'MASTER SHEET'!D176</f>
        <v>0</v>
      </c>
      <c r="EK176" s="14">
        <f>AR176*'MASTER SHEET'!D176</f>
        <v>0</v>
      </c>
      <c r="EL176" s="14">
        <f>AV176*'MASTER SHEET'!D176</f>
        <v>0</v>
      </c>
      <c r="EM176" s="14">
        <f>AZ176*'MASTER SHEET'!D176</f>
        <v>0</v>
      </c>
      <c r="EN176" s="14">
        <f>BD176*'MASTER SHEET'!D176</f>
        <v>0</v>
      </c>
      <c r="EO176" s="14">
        <f>BH176*'MASTER SHEET'!D176</f>
        <v>0</v>
      </c>
      <c r="EP176" s="14">
        <f>BL176*'MASTER SHEET'!D176</f>
        <v>0</v>
      </c>
      <c r="EQ176" s="14">
        <f>BP176*'MASTER SHEET'!D176</f>
        <v>0</v>
      </c>
      <c r="ER176" s="14">
        <f>BT176*'MASTER SHEET'!D176</f>
        <v>0</v>
      </c>
      <c r="ES176" s="14">
        <f>BX176*'MASTER SHEET'!D176</f>
        <v>0</v>
      </c>
      <c r="ET176" s="21">
        <f>CB176*'MASTER SHEET'!D176</f>
        <v>0</v>
      </c>
      <c r="EU176" s="14">
        <f>CF176*'MASTER SHEET'!D176</f>
        <v>0</v>
      </c>
      <c r="EV176" s="14">
        <f>CJ176*'MASTER SHEET'!D176</f>
        <v>0</v>
      </c>
      <c r="EW176" s="14">
        <f>CN176*'MASTER SHEET'!D176</f>
        <v>0</v>
      </c>
      <c r="EX176" s="14">
        <f>CR176*'MASTER SHEET'!D176</f>
        <v>0</v>
      </c>
      <c r="EY176" s="14">
        <f>CR176*'MASTER SHEET'!D176</f>
        <v>0</v>
      </c>
      <c r="EZ176" s="14">
        <f>CV176*'MASTER SHEET'!D176</f>
        <v>0</v>
      </c>
      <c r="FA176" s="14">
        <f>CZ176*'MASTER SHEET'!D176</f>
        <v>0</v>
      </c>
      <c r="FB176" s="14">
        <f>DD176*'MASTER SHEET'!D176</f>
        <v>0</v>
      </c>
    </row>
    <row r="177" spans="1:158" ht="18.75" customHeight="1" x14ac:dyDescent="0.25">
      <c r="A177" s="43">
        <f>'MASTER SHEET'!A177</f>
        <v>175</v>
      </c>
      <c r="B177" s="49" t="str">
        <f>'MASTER SHEET'!B177</f>
        <v>CLAMP</v>
      </c>
      <c r="C177" s="86">
        <f>'MASTER SHEET'!C177</f>
        <v>65061</v>
      </c>
      <c r="D177" s="51"/>
      <c r="E177" s="48"/>
      <c r="F177" s="48"/>
      <c r="G177" s="48"/>
      <c r="H177" s="48">
        <f t="shared" si="230"/>
        <v>0</v>
      </c>
      <c r="I177" s="28"/>
      <c r="J177" s="28"/>
      <c r="K177" s="65"/>
      <c r="L177" s="48">
        <f t="shared" si="231"/>
        <v>0</v>
      </c>
      <c r="M177" s="48"/>
      <c r="N177" s="48"/>
      <c r="O177" s="48"/>
      <c r="P177" s="48">
        <f t="shared" si="232"/>
        <v>0</v>
      </c>
      <c r="Q177" s="48"/>
      <c r="R177" s="48"/>
      <c r="S177" s="48"/>
      <c r="T177" s="48">
        <f t="shared" si="233"/>
        <v>0</v>
      </c>
      <c r="U177" s="48">
        <v>0</v>
      </c>
      <c r="V177" s="48"/>
      <c r="W177" s="48"/>
      <c r="X177" s="48">
        <f t="shared" si="234"/>
        <v>0</v>
      </c>
      <c r="Y177" s="48"/>
      <c r="Z177" s="48"/>
      <c r="AA177" s="48"/>
      <c r="AB177" s="48">
        <f t="shared" si="235"/>
        <v>0</v>
      </c>
      <c r="AC177" s="48"/>
      <c r="AD177" s="48"/>
      <c r="AE177" s="48"/>
      <c r="AF177" s="48">
        <f t="shared" si="236"/>
        <v>0</v>
      </c>
      <c r="AG177" s="48"/>
      <c r="AH177" s="48"/>
      <c r="AI177" s="48"/>
      <c r="AJ177" s="48">
        <f t="shared" si="237"/>
        <v>0</v>
      </c>
      <c r="AK177" s="48"/>
      <c r="AL177" s="48"/>
      <c r="AM177" s="48"/>
      <c r="AN177" s="48">
        <f t="shared" si="238"/>
        <v>0</v>
      </c>
      <c r="AO177" s="48"/>
      <c r="AP177" s="48"/>
      <c r="AQ177" s="48"/>
      <c r="AR177" s="48">
        <f t="shared" si="239"/>
        <v>0</v>
      </c>
      <c r="AS177" s="48"/>
      <c r="AT177" s="48"/>
      <c r="AU177" s="48"/>
      <c r="AV177" s="48">
        <f t="shared" si="240"/>
        <v>0</v>
      </c>
      <c r="AW177" s="48"/>
      <c r="AX177" s="48"/>
      <c r="AY177" s="48"/>
      <c r="AZ177" s="48">
        <f t="shared" si="241"/>
        <v>0</v>
      </c>
      <c r="BA177" s="48"/>
      <c r="BB177" s="48"/>
      <c r="BC177" s="48"/>
      <c r="BD177" s="48">
        <f t="shared" si="242"/>
        <v>0</v>
      </c>
      <c r="BE177" s="48"/>
      <c r="BF177" s="48"/>
      <c r="BG177" s="48"/>
      <c r="BH177" s="48">
        <f t="shared" si="243"/>
        <v>0</v>
      </c>
      <c r="BI177" s="48"/>
      <c r="BJ177" s="48"/>
      <c r="BK177" s="48"/>
      <c r="BL177" s="48">
        <f t="shared" si="244"/>
        <v>0</v>
      </c>
      <c r="BM177" s="48"/>
      <c r="BN177" s="48"/>
      <c r="BO177" s="48"/>
      <c r="BP177" s="48">
        <f t="shared" si="245"/>
        <v>0</v>
      </c>
      <c r="BQ177" s="48"/>
      <c r="BR177" s="48"/>
      <c r="BS177" s="48"/>
      <c r="BT177" s="48">
        <f t="shared" si="246"/>
        <v>0</v>
      </c>
      <c r="BU177" s="48"/>
      <c r="BV177" s="48"/>
      <c r="BW177" s="48"/>
      <c r="BX177" s="48">
        <f t="shared" si="247"/>
        <v>0</v>
      </c>
      <c r="BY177" s="48"/>
      <c r="BZ177" s="48"/>
      <c r="CA177" s="48"/>
      <c r="CB177" s="48">
        <f t="shared" si="248"/>
        <v>0</v>
      </c>
      <c r="CC177" s="48"/>
      <c r="CD177" s="48"/>
      <c r="CE177" s="48"/>
      <c r="CF177" s="48">
        <f t="shared" si="249"/>
        <v>0</v>
      </c>
      <c r="CG177" s="48"/>
      <c r="CH177" s="48"/>
      <c r="CI177" s="48"/>
      <c r="CJ177" s="48">
        <f t="shared" si="250"/>
        <v>0</v>
      </c>
      <c r="CK177" s="48"/>
      <c r="CL177" s="48"/>
      <c r="CM177" s="48"/>
      <c r="CN177" s="48">
        <f t="shared" si="251"/>
        <v>0</v>
      </c>
      <c r="CO177" s="48"/>
      <c r="CP177" s="48"/>
      <c r="CQ177" s="48"/>
      <c r="CR177" s="48">
        <f t="shared" si="252"/>
        <v>0</v>
      </c>
      <c r="CS177" s="48">
        <v>5464</v>
      </c>
      <c r="CT177" s="48">
        <v>5446</v>
      </c>
      <c r="CU177" s="48">
        <v>18</v>
      </c>
      <c r="CV177" s="48">
        <f t="shared" si="253"/>
        <v>0</v>
      </c>
      <c r="CW177" s="48">
        <v>7128</v>
      </c>
      <c r="CX177" s="48">
        <v>7124</v>
      </c>
      <c r="CY177" s="48">
        <v>4</v>
      </c>
      <c r="CZ177" s="48">
        <f t="shared" si="254"/>
        <v>0</v>
      </c>
      <c r="DA177" s="48"/>
      <c r="DB177" s="48"/>
      <c r="DC177" s="48"/>
      <c r="DD177" s="48">
        <f t="shared" si="255"/>
        <v>0</v>
      </c>
      <c r="DE177" s="48">
        <v>0</v>
      </c>
      <c r="DF177" s="48">
        <v>0</v>
      </c>
      <c r="DG177" s="48">
        <v>0</v>
      </c>
      <c r="DH177" s="48">
        <f t="shared" si="256"/>
        <v>0</v>
      </c>
      <c r="DI177" s="48">
        <v>0</v>
      </c>
      <c r="DJ177" s="48">
        <v>0</v>
      </c>
      <c r="DK177" s="48">
        <v>0</v>
      </c>
      <c r="DL177" s="48">
        <f t="shared" si="257"/>
        <v>0</v>
      </c>
      <c r="DM177" s="48">
        <v>0</v>
      </c>
      <c r="DN177" s="48">
        <v>0</v>
      </c>
      <c r="DO177" s="48">
        <v>0</v>
      </c>
      <c r="DP177" s="48">
        <f t="shared" si="258"/>
        <v>0</v>
      </c>
      <c r="DQ177" s="48"/>
      <c r="DR177" s="48"/>
      <c r="DS177" s="48"/>
      <c r="DT177" s="48">
        <f t="shared" si="259"/>
        <v>0</v>
      </c>
      <c r="DU177" s="48"/>
      <c r="DV177" s="48"/>
      <c r="DW177" s="48"/>
      <c r="DX177" s="48">
        <f t="shared" si="260"/>
        <v>0</v>
      </c>
      <c r="DY177" s="48">
        <f t="shared" si="229"/>
        <v>12592</v>
      </c>
      <c r="DZ177" s="48">
        <f t="shared" si="261"/>
        <v>22</v>
      </c>
      <c r="EA177" s="14">
        <f>D177*'MASTER SHEET'!D177</f>
        <v>0</v>
      </c>
      <c r="EB177" s="14">
        <f>H177*'MASTER SHEET'!D177</f>
        <v>0</v>
      </c>
      <c r="EC177" s="14">
        <f>L177*'MASTER SHEET'!D177</f>
        <v>0</v>
      </c>
      <c r="ED177" s="14">
        <f>P177*'MASTER SHEET'!D177</f>
        <v>0</v>
      </c>
      <c r="EE177" s="14">
        <f>T177*'MASTER SHEET'!D177</f>
        <v>0</v>
      </c>
      <c r="EF177" s="14">
        <f>X177*'MASTER SHEET'!D177</f>
        <v>0</v>
      </c>
      <c r="EG177" s="14">
        <f>AB177*'MASTER SHEET'!D177</f>
        <v>0</v>
      </c>
      <c r="EH177" s="14">
        <f>AF177*'MASTER SHEET'!D177</f>
        <v>0</v>
      </c>
      <c r="EI177" s="14">
        <f>AJ177*'MASTER SHEET'!D177</f>
        <v>0</v>
      </c>
      <c r="EJ177" s="14">
        <f>AN177*'MASTER SHEET'!D177</f>
        <v>0</v>
      </c>
      <c r="EK177" s="14">
        <f>AR177*'MASTER SHEET'!D177</f>
        <v>0</v>
      </c>
      <c r="EL177" s="14">
        <f>AV177*'MASTER SHEET'!D177</f>
        <v>0</v>
      </c>
      <c r="EM177" s="14">
        <f>AZ177*'MASTER SHEET'!D177</f>
        <v>0</v>
      </c>
      <c r="EN177" s="14">
        <f>BD177*'MASTER SHEET'!D177</f>
        <v>0</v>
      </c>
      <c r="EO177" s="14">
        <f>BH177*'MASTER SHEET'!D177</f>
        <v>0</v>
      </c>
      <c r="EP177" s="14">
        <f>BL177*'MASTER SHEET'!D177</f>
        <v>0</v>
      </c>
      <c r="EQ177" s="14">
        <f>BP177*'MASTER SHEET'!D177</f>
        <v>0</v>
      </c>
      <c r="ER177" s="14">
        <f>BT177*'MASTER SHEET'!D177</f>
        <v>0</v>
      </c>
      <c r="ES177" s="14">
        <f>BX177*'MASTER SHEET'!D177</f>
        <v>0</v>
      </c>
      <c r="ET177" s="21">
        <f>CB177*'MASTER SHEET'!D177</f>
        <v>0</v>
      </c>
      <c r="EU177" s="14">
        <f>CF177*'MASTER SHEET'!D177</f>
        <v>0</v>
      </c>
      <c r="EV177" s="14">
        <f>CJ177*'MASTER SHEET'!D177</f>
        <v>0</v>
      </c>
      <c r="EW177" s="14">
        <f>CN177*'MASTER SHEET'!D177</f>
        <v>0</v>
      </c>
      <c r="EX177" s="14">
        <f>CR177*'MASTER SHEET'!D177</f>
        <v>0</v>
      </c>
      <c r="EY177" s="14">
        <f>CR177*'MASTER SHEET'!D177</f>
        <v>0</v>
      </c>
      <c r="EZ177" s="14">
        <f>CV177*'MASTER SHEET'!D177</f>
        <v>0</v>
      </c>
      <c r="FA177" s="14">
        <f>CZ177*'MASTER SHEET'!D177</f>
        <v>0</v>
      </c>
      <c r="FB177" s="14">
        <f>DD177*'MASTER SHEET'!D177</f>
        <v>0</v>
      </c>
    </row>
    <row r="178" spans="1:158" ht="18.75" customHeight="1" x14ac:dyDescent="0.25">
      <c r="A178" s="43">
        <f>'MASTER SHEET'!A178</f>
        <v>176</v>
      </c>
      <c r="B178" s="49" t="str">
        <f>'MASTER SHEET'!B178</f>
        <v>X451 RR BAZEL PASSIVE</v>
      </c>
      <c r="C178" s="86" t="str">
        <f>'MASTER SHEET'!C178</f>
        <v>GA00002917</v>
      </c>
      <c r="D178" s="51"/>
      <c r="E178" s="48">
        <v>5062</v>
      </c>
      <c r="F178" s="48">
        <v>5040</v>
      </c>
      <c r="G178" s="48">
        <v>22</v>
      </c>
      <c r="H178" s="48">
        <f t="shared" si="230"/>
        <v>0</v>
      </c>
      <c r="I178" s="48">
        <v>1752</v>
      </c>
      <c r="J178" s="48">
        <v>1732</v>
      </c>
      <c r="K178" s="48">
        <v>20</v>
      </c>
      <c r="L178" s="48">
        <f t="shared" si="231"/>
        <v>0</v>
      </c>
      <c r="M178" s="48"/>
      <c r="N178" s="48"/>
      <c r="O178" s="48"/>
      <c r="P178" s="48">
        <f t="shared" si="232"/>
        <v>0</v>
      </c>
      <c r="Q178" s="48"/>
      <c r="R178" s="48"/>
      <c r="S178" s="48"/>
      <c r="T178" s="48">
        <f t="shared" si="233"/>
        <v>0</v>
      </c>
      <c r="U178" s="48">
        <v>0</v>
      </c>
      <c r="V178" s="48"/>
      <c r="W178" s="48"/>
      <c r="X178" s="48">
        <f t="shared" si="234"/>
        <v>0</v>
      </c>
      <c r="Y178" s="48"/>
      <c r="Z178" s="48"/>
      <c r="AA178" s="48"/>
      <c r="AB178" s="48">
        <f t="shared" si="235"/>
        <v>0</v>
      </c>
      <c r="AC178" s="48"/>
      <c r="AD178" s="48"/>
      <c r="AE178" s="48"/>
      <c r="AF178" s="48">
        <f t="shared" si="236"/>
        <v>0</v>
      </c>
      <c r="AG178" s="48"/>
      <c r="AH178" s="48"/>
      <c r="AI178" s="48"/>
      <c r="AJ178" s="48">
        <f t="shared" si="237"/>
        <v>0</v>
      </c>
      <c r="AK178" s="48"/>
      <c r="AL178" s="48"/>
      <c r="AM178" s="48"/>
      <c r="AN178" s="48">
        <f t="shared" si="238"/>
        <v>0</v>
      </c>
      <c r="AO178" s="48"/>
      <c r="AP178" s="48"/>
      <c r="AQ178" s="48"/>
      <c r="AR178" s="48">
        <f t="shared" si="239"/>
        <v>0</v>
      </c>
      <c r="AS178" s="48"/>
      <c r="AT178" s="48"/>
      <c r="AU178" s="48"/>
      <c r="AV178" s="48">
        <f t="shared" si="240"/>
        <v>0</v>
      </c>
      <c r="AW178" s="48"/>
      <c r="AX178" s="48"/>
      <c r="AY178" s="48"/>
      <c r="AZ178" s="48">
        <f t="shared" si="241"/>
        <v>0</v>
      </c>
      <c r="BA178" s="48">
        <v>4807</v>
      </c>
      <c r="BB178" s="48">
        <v>4792</v>
      </c>
      <c r="BC178" s="48">
        <v>15</v>
      </c>
      <c r="BD178" s="48">
        <f t="shared" si="242"/>
        <v>0</v>
      </c>
      <c r="BE178" s="48">
        <v>5660</v>
      </c>
      <c r="BF178" s="48">
        <v>5652</v>
      </c>
      <c r="BG178" s="48">
        <v>8</v>
      </c>
      <c r="BH178" s="48">
        <f t="shared" si="243"/>
        <v>0</v>
      </c>
      <c r="BI178" s="48">
        <v>4958</v>
      </c>
      <c r="BJ178" s="48">
        <v>4950</v>
      </c>
      <c r="BK178" s="48">
        <v>8</v>
      </c>
      <c r="BL178" s="48">
        <f t="shared" si="244"/>
        <v>0</v>
      </c>
      <c r="BM178" s="48">
        <v>6193</v>
      </c>
      <c r="BN178" s="48">
        <v>6179</v>
      </c>
      <c r="BO178" s="48">
        <v>14</v>
      </c>
      <c r="BP178" s="48">
        <f t="shared" si="245"/>
        <v>0</v>
      </c>
      <c r="BQ178" s="48">
        <v>6336</v>
      </c>
      <c r="BR178" s="48">
        <v>6336</v>
      </c>
      <c r="BS178" s="48">
        <v>0</v>
      </c>
      <c r="BT178" s="48">
        <f t="shared" si="246"/>
        <v>0</v>
      </c>
      <c r="BU178" s="48">
        <v>6254</v>
      </c>
      <c r="BV178" s="48">
        <v>6250</v>
      </c>
      <c r="BW178" s="48">
        <v>4</v>
      </c>
      <c r="BX178" s="48">
        <f t="shared" si="247"/>
        <v>0</v>
      </c>
      <c r="BY178" s="48"/>
      <c r="BZ178" s="48"/>
      <c r="CA178" s="48"/>
      <c r="CB178" s="48">
        <f t="shared" si="248"/>
        <v>0</v>
      </c>
      <c r="CC178" s="48">
        <v>4846</v>
      </c>
      <c r="CD178" s="48">
        <v>4833</v>
      </c>
      <c r="CE178" s="48">
        <v>13</v>
      </c>
      <c r="CF178" s="48">
        <f t="shared" si="249"/>
        <v>0</v>
      </c>
      <c r="CG178" s="48">
        <v>6298</v>
      </c>
      <c r="CH178" s="48">
        <v>6259</v>
      </c>
      <c r="CI178" s="48">
        <v>39</v>
      </c>
      <c r="CJ178" s="48">
        <f t="shared" si="250"/>
        <v>0</v>
      </c>
      <c r="CK178" s="48">
        <f>6248+6336</f>
        <v>12584</v>
      </c>
      <c r="CL178" s="48">
        <f>6248+6336</f>
        <v>12584</v>
      </c>
      <c r="CM178" s="48"/>
      <c r="CN178" s="48">
        <f t="shared" si="251"/>
        <v>0</v>
      </c>
      <c r="CO178" s="48">
        <v>6274</v>
      </c>
      <c r="CP178" s="48">
        <v>6266</v>
      </c>
      <c r="CQ178" s="48">
        <v>8</v>
      </c>
      <c r="CR178" s="48">
        <f t="shared" si="252"/>
        <v>0</v>
      </c>
      <c r="CS178" s="48">
        <v>1498</v>
      </c>
      <c r="CT178" s="48">
        <v>1491</v>
      </c>
      <c r="CU178" s="48">
        <v>7</v>
      </c>
      <c r="CV178" s="48">
        <f t="shared" si="253"/>
        <v>0</v>
      </c>
      <c r="CW178" s="48"/>
      <c r="CX178" s="48"/>
      <c r="CY178" s="48"/>
      <c r="CZ178" s="48">
        <f t="shared" si="254"/>
        <v>0</v>
      </c>
      <c r="DA178" s="48"/>
      <c r="DB178" s="48"/>
      <c r="DC178" s="48"/>
      <c r="DD178" s="48">
        <f t="shared" si="255"/>
        <v>0</v>
      </c>
      <c r="DE178" s="48"/>
      <c r="DF178" s="48"/>
      <c r="DG178" s="48"/>
      <c r="DH178" s="48">
        <f t="shared" si="256"/>
        <v>0</v>
      </c>
      <c r="DI178" s="48"/>
      <c r="DJ178" s="48"/>
      <c r="DK178" s="48"/>
      <c r="DL178" s="48">
        <f t="shared" si="257"/>
        <v>0</v>
      </c>
      <c r="DM178" s="48"/>
      <c r="DN178" s="48"/>
      <c r="DO178" s="48"/>
      <c r="DP178" s="48">
        <f t="shared" si="258"/>
        <v>0</v>
      </c>
      <c r="DQ178" s="48"/>
      <c r="DR178" s="48"/>
      <c r="DS178" s="48"/>
      <c r="DT178" s="48">
        <f t="shared" si="259"/>
        <v>0</v>
      </c>
      <c r="DU178" s="48"/>
      <c r="DV178" s="48"/>
      <c r="DW178" s="48"/>
      <c r="DX178" s="48">
        <f t="shared" si="260"/>
        <v>0</v>
      </c>
      <c r="DY178" s="48">
        <f t="shared" si="229"/>
        <v>72522</v>
      </c>
      <c r="DZ178" s="48">
        <f t="shared" si="261"/>
        <v>158</v>
      </c>
      <c r="EA178" s="14">
        <f>D178*'MASTER SHEET'!D178</f>
        <v>0</v>
      </c>
      <c r="EB178" s="14">
        <f>H178*'MASTER SHEET'!D178</f>
        <v>0</v>
      </c>
      <c r="EC178" s="14">
        <f>L178*'MASTER SHEET'!D178</f>
        <v>0</v>
      </c>
      <c r="ED178" s="14">
        <f>P178*'MASTER SHEET'!D178</f>
        <v>0</v>
      </c>
      <c r="EE178" s="14">
        <f>T178*'MASTER SHEET'!D178</f>
        <v>0</v>
      </c>
      <c r="EF178" s="14">
        <f>X178*'MASTER SHEET'!D178</f>
        <v>0</v>
      </c>
      <c r="EG178" s="14">
        <f>AB178*'MASTER SHEET'!D178</f>
        <v>0</v>
      </c>
      <c r="EH178" s="14">
        <f>AF178*'MASTER SHEET'!D178</f>
        <v>0</v>
      </c>
      <c r="EI178" s="14">
        <f>AJ178*'MASTER SHEET'!D178</f>
        <v>0</v>
      </c>
      <c r="EJ178" s="14">
        <f>AN178*'MASTER SHEET'!D178</f>
        <v>0</v>
      </c>
      <c r="EK178" s="14">
        <f>AR178*'MASTER SHEET'!D178</f>
        <v>0</v>
      </c>
      <c r="EL178" s="14">
        <f>AV178*'MASTER SHEET'!D178</f>
        <v>0</v>
      </c>
      <c r="EM178" s="14">
        <f>AZ178*'MASTER SHEET'!D178</f>
        <v>0</v>
      </c>
      <c r="EN178" s="14">
        <f>BD178*'MASTER SHEET'!D178</f>
        <v>0</v>
      </c>
      <c r="EO178" s="14">
        <f>BH178*'MASTER SHEET'!D178</f>
        <v>0</v>
      </c>
      <c r="EP178" s="14">
        <f>BL178*'MASTER SHEET'!D178</f>
        <v>0</v>
      </c>
      <c r="EQ178" s="14">
        <f>BP178*'MASTER SHEET'!D178</f>
        <v>0</v>
      </c>
      <c r="ER178" s="14">
        <f>BT178*'MASTER SHEET'!D178</f>
        <v>0</v>
      </c>
      <c r="ES178" s="14">
        <f>BX178*'MASTER SHEET'!D178</f>
        <v>0</v>
      </c>
      <c r="ET178" s="21">
        <f>CB178*'MASTER SHEET'!D178</f>
        <v>0</v>
      </c>
      <c r="EU178" s="14">
        <f>CF178*'MASTER SHEET'!D178</f>
        <v>0</v>
      </c>
      <c r="EV178" s="14">
        <f>CJ178*'MASTER SHEET'!D178</f>
        <v>0</v>
      </c>
      <c r="EW178" s="14">
        <f>CN178*'MASTER SHEET'!D178</f>
        <v>0</v>
      </c>
      <c r="EX178" s="14">
        <f>CR178*'MASTER SHEET'!D178</f>
        <v>0</v>
      </c>
      <c r="EY178" s="14">
        <f>CR178*'MASTER SHEET'!D178</f>
        <v>0</v>
      </c>
      <c r="EZ178" s="14">
        <f>CV178*'MASTER SHEET'!D178</f>
        <v>0</v>
      </c>
      <c r="FA178" s="14">
        <f>CZ178*'MASTER SHEET'!D178</f>
        <v>0</v>
      </c>
      <c r="FB178" s="14">
        <f>DD178*'MASTER SHEET'!D178</f>
        <v>0</v>
      </c>
    </row>
    <row r="179" spans="1:158" ht="18.75" customHeight="1" x14ac:dyDescent="0.25">
      <c r="A179" s="43">
        <f>'MASTER SHEET'!A179</f>
        <v>177</v>
      </c>
      <c r="B179" s="49" t="str">
        <f>'MASTER SHEET'!B179</f>
        <v>X451 RR BAZEL ACTIVE</v>
      </c>
      <c r="C179" s="86" t="str">
        <f>'MASTER SHEET'!C179</f>
        <v>GA00002914</v>
      </c>
      <c r="D179" s="51"/>
      <c r="E179" s="48">
        <v>5062</v>
      </c>
      <c r="F179" s="48">
        <v>5040</v>
      </c>
      <c r="G179" s="48">
        <v>22</v>
      </c>
      <c r="H179" s="48">
        <f t="shared" si="230"/>
        <v>0</v>
      </c>
      <c r="I179" s="48">
        <v>1752</v>
      </c>
      <c r="J179" s="48">
        <v>1732</v>
      </c>
      <c r="K179" s="48">
        <v>20</v>
      </c>
      <c r="L179" s="48">
        <f t="shared" si="231"/>
        <v>0</v>
      </c>
      <c r="M179" s="48"/>
      <c r="N179" s="48"/>
      <c r="O179" s="48"/>
      <c r="P179" s="48">
        <f t="shared" si="232"/>
        <v>0</v>
      </c>
      <c r="Q179" s="48"/>
      <c r="R179" s="48"/>
      <c r="S179" s="48"/>
      <c r="T179" s="48">
        <f t="shared" si="233"/>
        <v>0</v>
      </c>
      <c r="U179" s="48">
        <v>0</v>
      </c>
      <c r="V179" s="48"/>
      <c r="W179" s="48"/>
      <c r="X179" s="48">
        <f t="shared" si="234"/>
        <v>0</v>
      </c>
      <c r="Y179" s="48"/>
      <c r="Z179" s="48"/>
      <c r="AA179" s="48"/>
      <c r="AB179" s="48">
        <f t="shared" si="235"/>
        <v>0</v>
      </c>
      <c r="AC179" s="48"/>
      <c r="AD179" s="48"/>
      <c r="AE179" s="48"/>
      <c r="AF179" s="48">
        <f t="shared" si="236"/>
        <v>0</v>
      </c>
      <c r="AG179" s="48"/>
      <c r="AH179" s="48"/>
      <c r="AI179" s="48"/>
      <c r="AJ179" s="48">
        <f t="shared" si="237"/>
        <v>0</v>
      </c>
      <c r="AK179" s="48"/>
      <c r="AL179" s="48"/>
      <c r="AM179" s="48"/>
      <c r="AN179" s="48">
        <f t="shared" si="238"/>
        <v>0</v>
      </c>
      <c r="AO179" s="48"/>
      <c r="AP179" s="48"/>
      <c r="AQ179" s="48"/>
      <c r="AR179" s="48">
        <f t="shared" si="239"/>
        <v>0</v>
      </c>
      <c r="AS179" s="48"/>
      <c r="AT179" s="48"/>
      <c r="AU179" s="48"/>
      <c r="AV179" s="48">
        <f t="shared" si="240"/>
        <v>0</v>
      </c>
      <c r="AW179" s="48"/>
      <c r="AX179" s="48"/>
      <c r="AY179" s="48"/>
      <c r="AZ179" s="48">
        <f t="shared" si="241"/>
        <v>0</v>
      </c>
      <c r="BA179" s="48">
        <v>4807</v>
      </c>
      <c r="BB179" s="48">
        <v>4792</v>
      </c>
      <c r="BC179" s="48">
        <v>15</v>
      </c>
      <c r="BD179" s="48">
        <f t="shared" si="242"/>
        <v>0</v>
      </c>
      <c r="BE179" s="48">
        <v>5660</v>
      </c>
      <c r="BF179" s="48">
        <v>5652</v>
      </c>
      <c r="BG179" s="48">
        <v>8</v>
      </c>
      <c r="BH179" s="48">
        <f t="shared" si="243"/>
        <v>0</v>
      </c>
      <c r="BI179" s="48">
        <v>4958</v>
      </c>
      <c r="BJ179" s="48">
        <v>4950</v>
      </c>
      <c r="BK179" s="48">
        <v>8</v>
      </c>
      <c r="BL179" s="48">
        <f t="shared" si="244"/>
        <v>0</v>
      </c>
      <c r="BM179" s="48">
        <v>6193</v>
      </c>
      <c r="BN179" s="48">
        <v>6179</v>
      </c>
      <c r="BO179" s="48">
        <v>14</v>
      </c>
      <c r="BP179" s="48">
        <f t="shared" si="245"/>
        <v>0</v>
      </c>
      <c r="BQ179" s="48">
        <v>6336</v>
      </c>
      <c r="BR179" s="48">
        <v>6336</v>
      </c>
      <c r="BS179" s="48">
        <v>0</v>
      </c>
      <c r="BT179" s="48">
        <f t="shared" si="246"/>
        <v>0</v>
      </c>
      <c r="BU179" s="48">
        <v>6254</v>
      </c>
      <c r="BV179" s="48">
        <v>6250</v>
      </c>
      <c r="BW179" s="48">
        <v>4</v>
      </c>
      <c r="BX179" s="48">
        <f t="shared" si="247"/>
        <v>0</v>
      </c>
      <c r="BY179" s="48"/>
      <c r="BZ179" s="48"/>
      <c r="CA179" s="48"/>
      <c r="CB179" s="48">
        <f t="shared" si="248"/>
        <v>0</v>
      </c>
      <c r="CC179" s="48">
        <v>4846</v>
      </c>
      <c r="CD179" s="48">
        <v>4833</v>
      </c>
      <c r="CE179" s="48">
        <v>13</v>
      </c>
      <c r="CF179" s="48">
        <f t="shared" si="249"/>
        <v>0</v>
      </c>
      <c r="CG179" s="48">
        <v>6298</v>
      </c>
      <c r="CH179" s="48">
        <v>6259</v>
      </c>
      <c r="CI179" s="48">
        <v>39</v>
      </c>
      <c r="CJ179" s="48">
        <f t="shared" si="250"/>
        <v>0</v>
      </c>
      <c r="CK179" s="48">
        <f t="shared" ref="CK179:CL179" si="262">6248+6336</f>
        <v>12584</v>
      </c>
      <c r="CL179" s="48">
        <f t="shared" si="262"/>
        <v>12584</v>
      </c>
      <c r="CM179" s="48"/>
      <c r="CN179" s="48">
        <f t="shared" si="251"/>
        <v>0</v>
      </c>
      <c r="CO179" s="48">
        <v>6274</v>
      </c>
      <c r="CP179" s="48">
        <v>6266</v>
      </c>
      <c r="CQ179" s="48">
        <v>8</v>
      </c>
      <c r="CR179" s="48">
        <f t="shared" si="252"/>
        <v>0</v>
      </c>
      <c r="CS179" s="48">
        <v>1498</v>
      </c>
      <c r="CT179" s="48">
        <v>1491</v>
      </c>
      <c r="CU179" s="48">
        <v>7</v>
      </c>
      <c r="CV179" s="48">
        <f t="shared" si="253"/>
        <v>0</v>
      </c>
      <c r="CW179" s="48"/>
      <c r="CX179" s="48"/>
      <c r="CY179" s="48"/>
      <c r="CZ179" s="48">
        <f t="shared" si="254"/>
        <v>0</v>
      </c>
      <c r="DA179" s="48"/>
      <c r="DB179" s="48"/>
      <c r="DC179" s="48"/>
      <c r="DD179" s="48">
        <f t="shared" si="255"/>
        <v>0</v>
      </c>
      <c r="DE179" s="48"/>
      <c r="DF179" s="48"/>
      <c r="DG179" s="48"/>
      <c r="DH179" s="48">
        <f t="shared" si="256"/>
        <v>0</v>
      </c>
      <c r="DI179" s="48"/>
      <c r="DJ179" s="48"/>
      <c r="DK179" s="48"/>
      <c r="DL179" s="48">
        <f t="shared" si="257"/>
        <v>0</v>
      </c>
      <c r="DM179" s="48"/>
      <c r="DN179" s="48"/>
      <c r="DO179" s="48"/>
      <c r="DP179" s="48">
        <f t="shared" si="258"/>
        <v>0</v>
      </c>
      <c r="DQ179" s="48"/>
      <c r="DR179" s="48"/>
      <c r="DS179" s="48"/>
      <c r="DT179" s="48">
        <f t="shared" si="259"/>
        <v>0</v>
      </c>
      <c r="DU179" s="48"/>
      <c r="DV179" s="48"/>
      <c r="DW179" s="48"/>
      <c r="DX179" s="48">
        <f t="shared" si="260"/>
        <v>0</v>
      </c>
      <c r="DY179" s="48">
        <f t="shared" si="229"/>
        <v>72522</v>
      </c>
      <c r="DZ179" s="48">
        <f t="shared" si="261"/>
        <v>158</v>
      </c>
      <c r="EA179" s="14">
        <f>D179*'MASTER SHEET'!D179</f>
        <v>0</v>
      </c>
      <c r="EB179" s="14">
        <f>H179*'MASTER SHEET'!D179</f>
        <v>0</v>
      </c>
      <c r="EC179" s="14">
        <f>L179*'MASTER SHEET'!D179</f>
        <v>0</v>
      </c>
      <c r="ED179" s="14">
        <f>P179*'MASTER SHEET'!D179</f>
        <v>0</v>
      </c>
      <c r="EE179" s="14">
        <f>T179*'MASTER SHEET'!D179</f>
        <v>0</v>
      </c>
      <c r="EF179" s="14">
        <f>X179*'MASTER SHEET'!D179</f>
        <v>0</v>
      </c>
      <c r="EG179" s="14">
        <f>AB179*'MASTER SHEET'!D179</f>
        <v>0</v>
      </c>
      <c r="EH179" s="14">
        <f>AF179*'MASTER SHEET'!D179</f>
        <v>0</v>
      </c>
      <c r="EI179" s="14">
        <f>AJ179*'MASTER SHEET'!D179</f>
        <v>0</v>
      </c>
      <c r="EJ179" s="14">
        <f>AN179*'MASTER SHEET'!D179</f>
        <v>0</v>
      </c>
      <c r="EK179" s="14">
        <f>AR179*'MASTER SHEET'!D179</f>
        <v>0</v>
      </c>
      <c r="EL179" s="14">
        <f>AV179*'MASTER SHEET'!D179</f>
        <v>0</v>
      </c>
      <c r="EM179" s="14">
        <f>AZ179*'MASTER SHEET'!D179</f>
        <v>0</v>
      </c>
      <c r="EN179" s="14">
        <f>BD179*'MASTER SHEET'!D179</f>
        <v>0</v>
      </c>
      <c r="EO179" s="14">
        <f>BH179*'MASTER SHEET'!D179</f>
        <v>0</v>
      </c>
      <c r="EP179" s="14">
        <f>BL179*'MASTER SHEET'!D179</f>
        <v>0</v>
      </c>
      <c r="EQ179" s="14">
        <f>BP179*'MASTER SHEET'!D179</f>
        <v>0</v>
      </c>
      <c r="ER179" s="14">
        <f>BT179*'MASTER SHEET'!D179</f>
        <v>0</v>
      </c>
      <c r="ES179" s="14">
        <f>BX179*'MASTER SHEET'!D179</f>
        <v>0</v>
      </c>
      <c r="ET179" s="21">
        <f>CB179*'MASTER SHEET'!D179</f>
        <v>0</v>
      </c>
      <c r="EU179" s="14">
        <f>CF179*'MASTER SHEET'!D179</f>
        <v>0</v>
      </c>
      <c r="EV179" s="14">
        <f>CJ179*'MASTER SHEET'!D179</f>
        <v>0</v>
      </c>
      <c r="EW179" s="14">
        <f>CN179*'MASTER SHEET'!D179</f>
        <v>0</v>
      </c>
      <c r="EX179" s="14">
        <f>CR179*'MASTER SHEET'!D179</f>
        <v>0</v>
      </c>
      <c r="EY179" s="14">
        <f>CR179*'MASTER SHEET'!D179</f>
        <v>0</v>
      </c>
      <c r="EZ179" s="14">
        <f>CV179*'MASTER SHEET'!D179</f>
        <v>0</v>
      </c>
      <c r="FA179" s="14">
        <f>CZ179*'MASTER SHEET'!D179</f>
        <v>0</v>
      </c>
      <c r="FB179" s="14">
        <f>DD179*'MASTER SHEET'!D179</f>
        <v>0</v>
      </c>
    </row>
    <row r="180" spans="1:158" ht="18.75" customHeight="1" x14ac:dyDescent="0.25">
      <c r="A180" s="43">
        <f>'MASTER SHEET'!A180</f>
        <v>178</v>
      </c>
      <c r="B180" s="49" t="str">
        <f>'MASTER SHEET'!B180</f>
        <v>W601 ODH SUPPORT PLANK</v>
      </c>
      <c r="C180" s="86" t="str">
        <f>'MASTER SHEET'!C180</f>
        <v>BC00004915</v>
      </c>
      <c r="D180" s="51"/>
      <c r="E180" s="48"/>
      <c r="F180" s="48"/>
      <c r="G180" s="48"/>
      <c r="H180" s="48">
        <f t="shared" si="230"/>
        <v>0</v>
      </c>
      <c r="I180" s="28"/>
      <c r="J180" s="28"/>
      <c r="K180" s="65"/>
      <c r="L180" s="48">
        <f t="shared" si="231"/>
        <v>0</v>
      </c>
      <c r="M180" s="48"/>
      <c r="N180" s="48"/>
      <c r="O180" s="48"/>
      <c r="P180" s="48">
        <f t="shared" si="232"/>
        <v>0</v>
      </c>
      <c r="Q180" s="48"/>
      <c r="R180" s="48"/>
      <c r="S180" s="48"/>
      <c r="T180" s="48">
        <f t="shared" si="233"/>
        <v>0</v>
      </c>
      <c r="U180" s="48">
        <v>0</v>
      </c>
      <c r="V180" s="48"/>
      <c r="W180" s="48"/>
      <c r="X180" s="48">
        <f t="shared" si="234"/>
        <v>0</v>
      </c>
      <c r="Y180" s="48"/>
      <c r="Z180" s="48"/>
      <c r="AA180" s="48"/>
      <c r="AB180" s="48">
        <f t="shared" si="235"/>
        <v>0</v>
      </c>
      <c r="AC180" s="48"/>
      <c r="AD180" s="48"/>
      <c r="AE180" s="48"/>
      <c r="AF180" s="48">
        <f t="shared" si="236"/>
        <v>0</v>
      </c>
      <c r="AG180" s="48"/>
      <c r="AH180" s="48"/>
      <c r="AI180" s="48"/>
      <c r="AJ180" s="48">
        <f t="shared" si="237"/>
        <v>0</v>
      </c>
      <c r="AK180" s="48"/>
      <c r="AL180" s="48"/>
      <c r="AM180" s="48"/>
      <c r="AN180" s="48">
        <f t="shared" si="238"/>
        <v>0</v>
      </c>
      <c r="AO180" s="48"/>
      <c r="AP180" s="48"/>
      <c r="AQ180" s="48"/>
      <c r="AR180" s="48">
        <f t="shared" si="239"/>
        <v>0</v>
      </c>
      <c r="AS180" s="48"/>
      <c r="AT180" s="48"/>
      <c r="AU180" s="48"/>
      <c r="AV180" s="48">
        <f t="shared" si="240"/>
        <v>0</v>
      </c>
      <c r="AW180" s="48"/>
      <c r="AX180" s="48"/>
      <c r="AY180" s="48"/>
      <c r="AZ180" s="48">
        <f t="shared" si="241"/>
        <v>0</v>
      </c>
      <c r="BA180" s="48"/>
      <c r="BB180" s="48"/>
      <c r="BC180" s="48"/>
      <c r="BD180" s="48">
        <f t="shared" si="242"/>
        <v>0</v>
      </c>
      <c r="BE180" s="48"/>
      <c r="BF180" s="48"/>
      <c r="BG180" s="48"/>
      <c r="BH180" s="48">
        <f t="shared" si="243"/>
        <v>0</v>
      </c>
      <c r="BI180" s="48"/>
      <c r="BJ180" s="48"/>
      <c r="BK180" s="48"/>
      <c r="BL180" s="48">
        <f t="shared" si="244"/>
        <v>0</v>
      </c>
      <c r="BM180" s="48"/>
      <c r="BN180" s="48"/>
      <c r="BO180" s="48"/>
      <c r="BP180" s="48">
        <f t="shared" si="245"/>
        <v>0</v>
      </c>
      <c r="BQ180" s="48"/>
      <c r="BR180" s="48"/>
      <c r="BS180" s="48"/>
      <c r="BT180" s="48">
        <f t="shared" si="246"/>
        <v>0</v>
      </c>
      <c r="BU180" s="48"/>
      <c r="BV180" s="48"/>
      <c r="BW180" s="48"/>
      <c r="BX180" s="48">
        <f t="shared" si="247"/>
        <v>0</v>
      </c>
      <c r="BY180" s="48"/>
      <c r="BZ180" s="48"/>
      <c r="CA180" s="48"/>
      <c r="CB180" s="48">
        <f t="shared" si="248"/>
        <v>0</v>
      </c>
      <c r="CC180" s="48"/>
      <c r="CD180" s="48"/>
      <c r="CE180" s="48"/>
      <c r="CF180" s="48">
        <f t="shared" si="249"/>
        <v>0</v>
      </c>
      <c r="CG180" s="48"/>
      <c r="CH180" s="48"/>
      <c r="CI180" s="48"/>
      <c r="CJ180" s="48">
        <f t="shared" si="250"/>
        <v>0</v>
      </c>
      <c r="CK180" s="48"/>
      <c r="CL180" s="48"/>
      <c r="CM180" s="48"/>
      <c r="CN180" s="48">
        <f t="shared" si="251"/>
        <v>0</v>
      </c>
      <c r="CO180" s="48"/>
      <c r="CP180" s="48"/>
      <c r="CQ180" s="48"/>
      <c r="CR180" s="48">
        <f t="shared" si="252"/>
        <v>0</v>
      </c>
      <c r="CS180" s="48"/>
      <c r="CT180" s="48"/>
      <c r="CU180" s="48"/>
      <c r="CV180" s="48">
        <f t="shared" si="253"/>
        <v>0</v>
      </c>
      <c r="CW180" s="48"/>
      <c r="CX180" s="48"/>
      <c r="CY180" s="48"/>
      <c r="CZ180" s="48">
        <f t="shared" si="254"/>
        <v>0</v>
      </c>
      <c r="DA180" s="48"/>
      <c r="DB180" s="48"/>
      <c r="DC180" s="48"/>
      <c r="DD180" s="48">
        <f t="shared" si="255"/>
        <v>0</v>
      </c>
      <c r="DE180" s="48"/>
      <c r="DF180" s="48"/>
      <c r="DG180" s="48"/>
      <c r="DH180" s="48">
        <f t="shared" si="256"/>
        <v>0</v>
      </c>
      <c r="DI180" s="48"/>
      <c r="DJ180" s="48"/>
      <c r="DK180" s="48"/>
      <c r="DL180" s="48">
        <f t="shared" si="257"/>
        <v>0</v>
      </c>
      <c r="DM180" s="48"/>
      <c r="DN180" s="48"/>
      <c r="DO180" s="48"/>
      <c r="DP180" s="48">
        <f t="shared" si="258"/>
        <v>0</v>
      </c>
      <c r="DQ180" s="48"/>
      <c r="DR180" s="48"/>
      <c r="DS180" s="48"/>
      <c r="DT180" s="48">
        <f t="shared" si="259"/>
        <v>0</v>
      </c>
      <c r="DU180" s="48"/>
      <c r="DV180" s="48"/>
      <c r="DW180" s="48"/>
      <c r="DX180" s="48">
        <f t="shared" si="260"/>
        <v>0</v>
      </c>
      <c r="DY180" s="48">
        <f t="shared" si="229"/>
        <v>0</v>
      </c>
      <c r="DZ180" s="48">
        <f t="shared" si="261"/>
        <v>0</v>
      </c>
      <c r="EA180" s="14">
        <f>D180*'MASTER SHEET'!D180</f>
        <v>0</v>
      </c>
      <c r="EB180" s="14">
        <f>H180*'MASTER SHEET'!D180</f>
        <v>0</v>
      </c>
      <c r="EC180" s="14">
        <f>L180*'MASTER SHEET'!D180</f>
        <v>0</v>
      </c>
      <c r="ED180" s="14">
        <f>P180*'MASTER SHEET'!D180</f>
        <v>0</v>
      </c>
      <c r="EE180" s="14">
        <f>T180*'MASTER SHEET'!D180</f>
        <v>0</v>
      </c>
      <c r="EF180" s="14">
        <f>X180*'MASTER SHEET'!D180</f>
        <v>0</v>
      </c>
      <c r="EG180" s="14">
        <f>AB180*'MASTER SHEET'!D180</f>
        <v>0</v>
      </c>
      <c r="EH180" s="14">
        <f>AF180*'MASTER SHEET'!D180</f>
        <v>0</v>
      </c>
      <c r="EI180" s="14">
        <f>AJ180*'MASTER SHEET'!D180</f>
        <v>0</v>
      </c>
      <c r="EJ180" s="14">
        <f>AN180*'MASTER SHEET'!D180</f>
        <v>0</v>
      </c>
      <c r="EK180" s="14">
        <f>AR180*'MASTER SHEET'!D180</f>
        <v>0</v>
      </c>
      <c r="EL180" s="14">
        <f>AV180*'MASTER SHEET'!D180</f>
        <v>0</v>
      </c>
      <c r="EM180" s="14">
        <f>AZ180*'MASTER SHEET'!D180</f>
        <v>0</v>
      </c>
      <c r="EN180" s="14">
        <f>BD180*'MASTER SHEET'!D180</f>
        <v>0</v>
      </c>
      <c r="EO180" s="14">
        <f>BH180*'MASTER SHEET'!D180</f>
        <v>0</v>
      </c>
      <c r="EP180" s="14">
        <f>BL180*'MASTER SHEET'!D180</f>
        <v>0</v>
      </c>
      <c r="EQ180" s="14">
        <f>BP180*'MASTER SHEET'!D180</f>
        <v>0</v>
      </c>
      <c r="ER180" s="14">
        <f>BT180*'MASTER SHEET'!D180</f>
        <v>0</v>
      </c>
      <c r="ES180" s="14">
        <f>BX180*'MASTER SHEET'!D180</f>
        <v>0</v>
      </c>
      <c r="ET180" s="21">
        <f>CB180*'MASTER SHEET'!D180</f>
        <v>0</v>
      </c>
      <c r="EU180" s="14">
        <f>CF180*'MASTER SHEET'!D180</f>
        <v>0</v>
      </c>
      <c r="EV180" s="14">
        <f>CJ180*'MASTER SHEET'!D180</f>
        <v>0</v>
      </c>
      <c r="EW180" s="14">
        <f>CN180*'MASTER SHEET'!D180</f>
        <v>0</v>
      </c>
      <c r="EX180" s="14">
        <f>CR180*'MASTER SHEET'!D180</f>
        <v>0</v>
      </c>
      <c r="EY180" s="14">
        <f>CR180*'MASTER SHEET'!D180</f>
        <v>0</v>
      </c>
      <c r="EZ180" s="14">
        <f>CV180*'MASTER SHEET'!D180</f>
        <v>0</v>
      </c>
      <c r="FA180" s="14">
        <f>CZ180*'MASTER SHEET'!D180</f>
        <v>0</v>
      </c>
      <c r="FB180" s="14">
        <f>DD180*'MASTER SHEET'!D180</f>
        <v>0</v>
      </c>
    </row>
    <row r="181" spans="1:158" ht="18.75" customHeight="1" x14ac:dyDescent="0.25">
      <c r="A181" s="43">
        <f>'MASTER SHEET'!A181</f>
        <v>179</v>
      </c>
      <c r="B181" s="49" t="str">
        <f>'MASTER SHEET'!B181</f>
        <v>TIAGO MCE IDH HOUSING LH</v>
      </c>
      <c r="C181" s="86" t="str">
        <f>'MASTER SHEET'!C181</f>
        <v>CB00004717</v>
      </c>
      <c r="D181" s="51"/>
      <c r="E181" s="48"/>
      <c r="F181" s="48"/>
      <c r="G181" s="48"/>
      <c r="H181" s="48">
        <f t="shared" si="230"/>
        <v>0</v>
      </c>
      <c r="I181" s="28"/>
      <c r="J181" s="28"/>
      <c r="K181" s="65"/>
      <c r="L181" s="48">
        <f t="shared" si="231"/>
        <v>0</v>
      </c>
      <c r="M181" s="48"/>
      <c r="N181" s="48"/>
      <c r="O181" s="48"/>
      <c r="P181" s="48">
        <f t="shared" si="232"/>
        <v>0</v>
      </c>
      <c r="Q181" s="48"/>
      <c r="R181" s="48"/>
      <c r="S181" s="48"/>
      <c r="T181" s="48">
        <f t="shared" si="233"/>
        <v>0</v>
      </c>
      <c r="U181" s="48">
        <v>0</v>
      </c>
      <c r="V181" s="48"/>
      <c r="W181" s="48"/>
      <c r="X181" s="48">
        <f t="shared" si="234"/>
        <v>0</v>
      </c>
      <c r="Y181" s="48"/>
      <c r="Z181" s="48"/>
      <c r="AA181" s="48"/>
      <c r="AB181" s="48">
        <f t="shared" si="235"/>
        <v>0</v>
      </c>
      <c r="AC181" s="48"/>
      <c r="AD181" s="48"/>
      <c r="AE181" s="48"/>
      <c r="AF181" s="48">
        <f t="shared" si="236"/>
        <v>0</v>
      </c>
      <c r="AG181" s="48"/>
      <c r="AH181" s="48"/>
      <c r="AI181" s="48"/>
      <c r="AJ181" s="48">
        <f t="shared" si="237"/>
        <v>0</v>
      </c>
      <c r="AK181" s="48">
        <v>1068</v>
      </c>
      <c r="AL181" s="48">
        <v>1050</v>
      </c>
      <c r="AM181" s="48">
        <v>18</v>
      </c>
      <c r="AN181" s="48">
        <f t="shared" si="238"/>
        <v>0</v>
      </c>
      <c r="AO181" s="48">
        <v>1360</v>
      </c>
      <c r="AP181" s="48">
        <v>1343</v>
      </c>
      <c r="AQ181" s="48">
        <v>17</v>
      </c>
      <c r="AR181" s="48">
        <f t="shared" si="239"/>
        <v>0</v>
      </c>
      <c r="AS181" s="48">
        <v>2021</v>
      </c>
      <c r="AT181" s="48">
        <v>1963</v>
      </c>
      <c r="AU181" s="48">
        <v>58</v>
      </c>
      <c r="AV181" s="48">
        <f t="shared" si="240"/>
        <v>0</v>
      </c>
      <c r="AW181" s="48"/>
      <c r="AX181" s="48"/>
      <c r="AY181" s="48"/>
      <c r="AZ181" s="48">
        <f t="shared" si="241"/>
        <v>0</v>
      </c>
      <c r="BA181" s="48">
        <v>2132</v>
      </c>
      <c r="BB181" s="48">
        <v>2126</v>
      </c>
      <c r="BC181" s="48">
        <v>6</v>
      </c>
      <c r="BD181" s="48">
        <f t="shared" si="242"/>
        <v>0</v>
      </c>
      <c r="BE181" s="48">
        <v>1098</v>
      </c>
      <c r="BF181" s="48">
        <v>1085</v>
      </c>
      <c r="BG181" s="48">
        <v>13</v>
      </c>
      <c r="BH181" s="48">
        <f t="shared" si="243"/>
        <v>0</v>
      </c>
      <c r="BI181" s="48"/>
      <c r="BJ181" s="48"/>
      <c r="BK181" s="48"/>
      <c r="BL181" s="48">
        <f t="shared" si="244"/>
        <v>0</v>
      </c>
      <c r="BM181" s="48"/>
      <c r="BN181" s="48"/>
      <c r="BO181" s="48"/>
      <c r="BP181" s="48">
        <f t="shared" si="245"/>
        <v>0</v>
      </c>
      <c r="BQ181" s="48"/>
      <c r="BR181" s="48"/>
      <c r="BS181" s="48"/>
      <c r="BT181" s="48">
        <f t="shared" si="246"/>
        <v>0</v>
      </c>
      <c r="BU181" s="48"/>
      <c r="BV181" s="48"/>
      <c r="BW181" s="48"/>
      <c r="BX181" s="48">
        <f t="shared" si="247"/>
        <v>0</v>
      </c>
      <c r="BY181" s="48"/>
      <c r="BZ181" s="48"/>
      <c r="CA181" s="48"/>
      <c r="CB181" s="48">
        <f t="shared" si="248"/>
        <v>0</v>
      </c>
      <c r="CC181" s="48"/>
      <c r="CD181" s="48"/>
      <c r="CE181" s="48"/>
      <c r="CF181" s="48">
        <f t="shared" si="249"/>
        <v>0</v>
      </c>
      <c r="CG181" s="48"/>
      <c r="CH181" s="48"/>
      <c r="CI181" s="48"/>
      <c r="CJ181" s="48">
        <f t="shared" si="250"/>
        <v>0</v>
      </c>
      <c r="CK181" s="48">
        <f>96+2162</f>
        <v>2258</v>
      </c>
      <c r="CL181" s="48">
        <f>2161+60</f>
        <v>2221</v>
      </c>
      <c r="CM181" s="48">
        <v>37</v>
      </c>
      <c r="CN181" s="48">
        <f t="shared" si="251"/>
        <v>0</v>
      </c>
      <c r="CO181" s="48">
        <v>2108</v>
      </c>
      <c r="CP181" s="48">
        <v>2091</v>
      </c>
      <c r="CQ181" s="48">
        <v>17</v>
      </c>
      <c r="CR181" s="48">
        <f t="shared" si="252"/>
        <v>0</v>
      </c>
      <c r="CS181" s="48">
        <v>28</v>
      </c>
      <c r="CT181" s="48">
        <v>28</v>
      </c>
      <c r="CU181" s="48">
        <v>0</v>
      </c>
      <c r="CV181" s="48">
        <f t="shared" si="253"/>
        <v>0</v>
      </c>
      <c r="CW181" s="48">
        <v>2808</v>
      </c>
      <c r="CX181" s="48">
        <v>2789</v>
      </c>
      <c r="CY181" s="48">
        <v>19</v>
      </c>
      <c r="CZ181" s="48">
        <f t="shared" si="254"/>
        <v>0</v>
      </c>
      <c r="DA181" s="48"/>
      <c r="DB181" s="48"/>
      <c r="DC181" s="48"/>
      <c r="DD181" s="48">
        <f t="shared" si="255"/>
        <v>0</v>
      </c>
      <c r="DE181" s="48">
        <v>2396</v>
      </c>
      <c r="DF181" s="48">
        <v>2374</v>
      </c>
      <c r="DG181" s="48">
        <v>22</v>
      </c>
      <c r="DH181" s="48">
        <f t="shared" si="256"/>
        <v>0</v>
      </c>
      <c r="DI181" s="48"/>
      <c r="DJ181" s="48"/>
      <c r="DK181" s="48"/>
      <c r="DL181" s="48">
        <f t="shared" si="257"/>
        <v>0</v>
      </c>
      <c r="DM181" s="48"/>
      <c r="DN181" s="48"/>
      <c r="DO181" s="48"/>
      <c r="DP181" s="48">
        <f t="shared" si="258"/>
        <v>0</v>
      </c>
      <c r="DQ181" s="48"/>
      <c r="DR181" s="48"/>
      <c r="DS181" s="48"/>
      <c r="DT181" s="48">
        <f t="shared" si="259"/>
        <v>0</v>
      </c>
      <c r="DU181" s="48"/>
      <c r="DV181" s="48"/>
      <c r="DW181" s="48"/>
      <c r="DX181" s="48">
        <f t="shared" si="260"/>
        <v>0</v>
      </c>
      <c r="DY181" s="48">
        <f t="shared" si="229"/>
        <v>17277</v>
      </c>
      <c r="DZ181" s="48">
        <f t="shared" si="261"/>
        <v>207</v>
      </c>
      <c r="EA181" s="14">
        <f>D181*'MASTER SHEET'!D181</f>
        <v>0</v>
      </c>
      <c r="EB181" s="14">
        <f>H181*'MASTER SHEET'!D181</f>
        <v>0</v>
      </c>
      <c r="EC181" s="14">
        <f>L181*'MASTER SHEET'!D181</f>
        <v>0</v>
      </c>
      <c r="ED181" s="14">
        <f>P181*'MASTER SHEET'!D181</f>
        <v>0</v>
      </c>
      <c r="EE181" s="14">
        <f>T181*'MASTER SHEET'!D181</f>
        <v>0</v>
      </c>
      <c r="EF181" s="14">
        <f>X181*'MASTER SHEET'!D181</f>
        <v>0</v>
      </c>
      <c r="EG181" s="14">
        <f>AB181*'MASTER SHEET'!D181</f>
        <v>0</v>
      </c>
      <c r="EH181" s="14">
        <f>AF181*'MASTER SHEET'!D181</f>
        <v>0</v>
      </c>
      <c r="EI181" s="14">
        <f>AJ181*'MASTER SHEET'!D181</f>
        <v>0</v>
      </c>
      <c r="EJ181" s="14">
        <f>AN181*'MASTER SHEET'!D181</f>
        <v>0</v>
      </c>
      <c r="EK181" s="14">
        <f>AR181*'MASTER SHEET'!D181</f>
        <v>0</v>
      </c>
      <c r="EL181" s="14">
        <f>AV181*'MASTER SHEET'!D181</f>
        <v>0</v>
      </c>
      <c r="EM181" s="14">
        <f>AZ181*'MASTER SHEET'!D181</f>
        <v>0</v>
      </c>
      <c r="EN181" s="14">
        <f>BD181*'MASTER SHEET'!D181</f>
        <v>0</v>
      </c>
      <c r="EO181" s="14">
        <f>BH181*'MASTER SHEET'!D181</f>
        <v>0</v>
      </c>
      <c r="EP181" s="14">
        <f>BL181*'MASTER SHEET'!D181</f>
        <v>0</v>
      </c>
      <c r="EQ181" s="14">
        <f>BP181*'MASTER SHEET'!D181</f>
        <v>0</v>
      </c>
      <c r="ER181" s="14">
        <f>BT181*'MASTER SHEET'!D181</f>
        <v>0</v>
      </c>
      <c r="ES181" s="14">
        <f>BX181*'MASTER SHEET'!D181</f>
        <v>0</v>
      </c>
      <c r="ET181" s="21">
        <f>CB181*'MASTER SHEET'!D181</f>
        <v>0</v>
      </c>
      <c r="EU181" s="14">
        <f>CF181*'MASTER SHEET'!D181</f>
        <v>0</v>
      </c>
      <c r="EV181" s="14">
        <f>CJ181*'MASTER SHEET'!D181</f>
        <v>0</v>
      </c>
      <c r="EW181" s="14">
        <f>CN181*'MASTER SHEET'!D181</f>
        <v>0</v>
      </c>
      <c r="EX181" s="14">
        <f>CR181*'MASTER SHEET'!D181</f>
        <v>0</v>
      </c>
      <c r="EY181" s="14">
        <f>CR181*'MASTER SHEET'!D181</f>
        <v>0</v>
      </c>
      <c r="EZ181" s="14">
        <f>CV181*'MASTER SHEET'!D181</f>
        <v>0</v>
      </c>
      <c r="FA181" s="14">
        <f>CZ181*'MASTER SHEET'!D181</f>
        <v>0</v>
      </c>
      <c r="FB181" s="14">
        <f>DD181*'MASTER SHEET'!D181</f>
        <v>0</v>
      </c>
    </row>
    <row r="182" spans="1:158" ht="18.75" customHeight="1" x14ac:dyDescent="0.25">
      <c r="A182" s="43">
        <f>'MASTER SHEET'!A182</f>
        <v>180</v>
      </c>
      <c r="B182" s="49" t="str">
        <f>'MASTER SHEET'!B182</f>
        <v>TIAGO MCE IDH HOUSING RH</v>
      </c>
      <c r="C182" s="86" t="str">
        <f>'MASTER SHEET'!C182</f>
        <v>CC00004721</v>
      </c>
      <c r="D182" s="51"/>
      <c r="E182" s="48"/>
      <c r="F182" s="48"/>
      <c r="G182" s="48"/>
      <c r="H182" s="48">
        <f t="shared" si="230"/>
        <v>0</v>
      </c>
      <c r="I182" s="28"/>
      <c r="J182" s="28"/>
      <c r="K182" s="65"/>
      <c r="L182" s="48">
        <f t="shared" si="231"/>
        <v>0</v>
      </c>
      <c r="M182" s="48"/>
      <c r="N182" s="48"/>
      <c r="O182" s="48"/>
      <c r="P182" s="48">
        <f t="shared" si="232"/>
        <v>0</v>
      </c>
      <c r="Q182" s="48"/>
      <c r="R182" s="48"/>
      <c r="S182" s="48"/>
      <c r="T182" s="48">
        <f t="shared" si="233"/>
        <v>0</v>
      </c>
      <c r="U182" s="48">
        <v>0</v>
      </c>
      <c r="V182" s="48"/>
      <c r="W182" s="48"/>
      <c r="X182" s="48">
        <f t="shared" si="234"/>
        <v>0</v>
      </c>
      <c r="Y182" s="48"/>
      <c r="Z182" s="48"/>
      <c r="AA182" s="48"/>
      <c r="AB182" s="48">
        <f t="shared" si="235"/>
        <v>0</v>
      </c>
      <c r="AC182" s="48"/>
      <c r="AD182" s="48"/>
      <c r="AE182" s="48"/>
      <c r="AF182" s="48">
        <f t="shared" si="236"/>
        <v>0</v>
      </c>
      <c r="AG182" s="48"/>
      <c r="AH182" s="48"/>
      <c r="AI182" s="48"/>
      <c r="AJ182" s="48">
        <f t="shared" si="237"/>
        <v>0</v>
      </c>
      <c r="AK182" s="48">
        <v>1068</v>
      </c>
      <c r="AL182" s="48">
        <v>1050</v>
      </c>
      <c r="AM182" s="48">
        <v>18</v>
      </c>
      <c r="AN182" s="48">
        <f t="shared" si="238"/>
        <v>0</v>
      </c>
      <c r="AO182" s="48">
        <v>1360</v>
      </c>
      <c r="AP182" s="48">
        <v>1343</v>
      </c>
      <c r="AQ182" s="48">
        <v>17</v>
      </c>
      <c r="AR182" s="48">
        <f t="shared" si="239"/>
        <v>0</v>
      </c>
      <c r="AS182" s="48">
        <v>2021</v>
      </c>
      <c r="AT182" s="48">
        <v>1963</v>
      </c>
      <c r="AU182" s="48">
        <v>58</v>
      </c>
      <c r="AV182" s="48">
        <f t="shared" si="240"/>
        <v>0</v>
      </c>
      <c r="AW182" s="48"/>
      <c r="AX182" s="48"/>
      <c r="AY182" s="48"/>
      <c r="AZ182" s="48">
        <f t="shared" si="241"/>
        <v>0</v>
      </c>
      <c r="BA182" s="48">
        <v>2132</v>
      </c>
      <c r="BB182" s="48">
        <v>2126</v>
      </c>
      <c r="BC182" s="48">
        <v>6</v>
      </c>
      <c r="BD182" s="48">
        <f t="shared" si="242"/>
        <v>0</v>
      </c>
      <c r="BE182" s="48">
        <v>1098</v>
      </c>
      <c r="BF182" s="48">
        <v>1085</v>
      </c>
      <c r="BG182" s="48">
        <v>13</v>
      </c>
      <c r="BH182" s="48">
        <f t="shared" si="243"/>
        <v>0</v>
      </c>
      <c r="BI182" s="48"/>
      <c r="BJ182" s="48"/>
      <c r="BK182" s="48"/>
      <c r="BL182" s="48">
        <f t="shared" si="244"/>
        <v>0</v>
      </c>
      <c r="BM182" s="48"/>
      <c r="BN182" s="48"/>
      <c r="BO182" s="48"/>
      <c r="BP182" s="48">
        <f t="shared" si="245"/>
        <v>0</v>
      </c>
      <c r="BQ182" s="48"/>
      <c r="BR182" s="48"/>
      <c r="BS182" s="48"/>
      <c r="BT182" s="48">
        <f t="shared" si="246"/>
        <v>0</v>
      </c>
      <c r="BU182" s="48"/>
      <c r="BV182" s="48"/>
      <c r="BW182" s="48"/>
      <c r="BX182" s="48">
        <f t="shared" si="247"/>
        <v>0</v>
      </c>
      <c r="BY182" s="48"/>
      <c r="BZ182" s="48"/>
      <c r="CA182" s="48"/>
      <c r="CB182" s="48">
        <f t="shared" si="248"/>
        <v>0</v>
      </c>
      <c r="CC182" s="48"/>
      <c r="CD182" s="48"/>
      <c r="CE182" s="48"/>
      <c r="CF182" s="48">
        <f t="shared" si="249"/>
        <v>0</v>
      </c>
      <c r="CG182" s="48"/>
      <c r="CH182" s="48"/>
      <c r="CI182" s="48"/>
      <c r="CJ182" s="48">
        <f t="shared" si="250"/>
        <v>0</v>
      </c>
      <c r="CK182" s="48">
        <f>96+2162</f>
        <v>2258</v>
      </c>
      <c r="CL182" s="48">
        <f>2161+60</f>
        <v>2221</v>
      </c>
      <c r="CM182" s="48">
        <v>37</v>
      </c>
      <c r="CN182" s="48">
        <f t="shared" si="251"/>
        <v>0</v>
      </c>
      <c r="CO182" s="48">
        <v>2108</v>
      </c>
      <c r="CP182" s="48">
        <v>2091</v>
      </c>
      <c r="CQ182" s="48">
        <v>17</v>
      </c>
      <c r="CR182" s="48">
        <f t="shared" si="252"/>
        <v>0</v>
      </c>
      <c r="CS182" s="48">
        <v>28</v>
      </c>
      <c r="CT182" s="48">
        <v>28</v>
      </c>
      <c r="CU182" s="48">
        <v>0</v>
      </c>
      <c r="CV182" s="48">
        <f t="shared" si="253"/>
        <v>0</v>
      </c>
      <c r="CW182" s="48">
        <v>2808</v>
      </c>
      <c r="CX182" s="48">
        <v>2789</v>
      </c>
      <c r="CY182" s="48">
        <v>19</v>
      </c>
      <c r="CZ182" s="48">
        <f t="shared" si="254"/>
        <v>0</v>
      </c>
      <c r="DA182" s="48"/>
      <c r="DB182" s="48"/>
      <c r="DC182" s="48"/>
      <c r="DD182" s="48">
        <f t="shared" si="255"/>
        <v>0</v>
      </c>
      <c r="DE182" s="48">
        <v>2396</v>
      </c>
      <c r="DF182" s="48">
        <v>2374</v>
      </c>
      <c r="DG182" s="48">
        <v>22</v>
      </c>
      <c r="DH182" s="48">
        <f t="shared" si="256"/>
        <v>0</v>
      </c>
      <c r="DI182" s="48"/>
      <c r="DJ182" s="48"/>
      <c r="DK182" s="48"/>
      <c r="DL182" s="48">
        <f t="shared" si="257"/>
        <v>0</v>
      </c>
      <c r="DM182" s="48"/>
      <c r="DN182" s="48"/>
      <c r="DO182" s="48"/>
      <c r="DP182" s="48">
        <f t="shared" si="258"/>
        <v>0</v>
      </c>
      <c r="DQ182" s="48"/>
      <c r="DR182" s="48"/>
      <c r="DS182" s="48"/>
      <c r="DT182" s="48">
        <f t="shared" si="259"/>
        <v>0</v>
      </c>
      <c r="DU182" s="48"/>
      <c r="DV182" s="48"/>
      <c r="DW182" s="48"/>
      <c r="DX182" s="48">
        <f t="shared" si="260"/>
        <v>0</v>
      </c>
      <c r="DY182" s="48">
        <f t="shared" si="229"/>
        <v>17277</v>
      </c>
      <c r="DZ182" s="48">
        <f t="shared" si="261"/>
        <v>207</v>
      </c>
      <c r="EA182" s="14">
        <f>D182*'MASTER SHEET'!D182</f>
        <v>0</v>
      </c>
      <c r="EB182" s="14">
        <f>H182*'MASTER SHEET'!D182</f>
        <v>0</v>
      </c>
      <c r="EC182" s="14">
        <f>L182*'MASTER SHEET'!D182</f>
        <v>0</v>
      </c>
      <c r="ED182" s="14">
        <f>P182*'MASTER SHEET'!D182</f>
        <v>0</v>
      </c>
      <c r="EE182" s="14">
        <f>T182*'MASTER SHEET'!D182</f>
        <v>0</v>
      </c>
      <c r="EF182" s="14">
        <f>X182*'MASTER SHEET'!D182</f>
        <v>0</v>
      </c>
      <c r="EG182" s="14">
        <f>AB182*'MASTER SHEET'!D182</f>
        <v>0</v>
      </c>
      <c r="EH182" s="14">
        <f>AF182*'MASTER SHEET'!D182</f>
        <v>0</v>
      </c>
      <c r="EI182" s="14">
        <f>AJ182*'MASTER SHEET'!D182</f>
        <v>0</v>
      </c>
      <c r="EJ182" s="14">
        <f>AN182*'MASTER SHEET'!D182</f>
        <v>0</v>
      </c>
      <c r="EK182" s="14">
        <f>AR182*'MASTER SHEET'!D182</f>
        <v>0</v>
      </c>
      <c r="EL182" s="14">
        <f>AV182*'MASTER SHEET'!D182</f>
        <v>0</v>
      </c>
      <c r="EM182" s="14">
        <f>AZ182*'MASTER SHEET'!D182</f>
        <v>0</v>
      </c>
      <c r="EN182" s="14">
        <f>BD182*'MASTER SHEET'!D182</f>
        <v>0</v>
      </c>
      <c r="EO182" s="14">
        <f>BH182*'MASTER SHEET'!D182</f>
        <v>0</v>
      </c>
      <c r="EP182" s="14">
        <f>BL182*'MASTER SHEET'!D182</f>
        <v>0</v>
      </c>
      <c r="EQ182" s="14">
        <f>BP182*'MASTER SHEET'!D182</f>
        <v>0</v>
      </c>
      <c r="ER182" s="14">
        <f>BT182*'MASTER SHEET'!D182</f>
        <v>0</v>
      </c>
      <c r="ES182" s="14">
        <f>BX182*'MASTER SHEET'!D182</f>
        <v>0</v>
      </c>
      <c r="ET182" s="21">
        <f>CB182*'MASTER SHEET'!D182</f>
        <v>0</v>
      </c>
      <c r="EU182" s="14">
        <f>CF182*'MASTER SHEET'!D182</f>
        <v>0</v>
      </c>
      <c r="EV182" s="14">
        <f>CJ182*'MASTER SHEET'!D182</f>
        <v>0</v>
      </c>
      <c r="EW182" s="14">
        <f>CN182*'MASTER SHEET'!D182</f>
        <v>0</v>
      </c>
      <c r="EX182" s="14">
        <f>CR182*'MASTER SHEET'!D182</f>
        <v>0</v>
      </c>
      <c r="EY182" s="14">
        <f>CR182*'MASTER SHEET'!D182</f>
        <v>0</v>
      </c>
      <c r="EZ182" s="14">
        <f>CV182*'MASTER SHEET'!D182</f>
        <v>0</v>
      </c>
      <c r="FA182" s="14">
        <f>CZ182*'MASTER SHEET'!D182</f>
        <v>0</v>
      </c>
      <c r="FB182" s="14">
        <f>DD182*'MASTER SHEET'!D182</f>
        <v>0</v>
      </c>
    </row>
    <row r="183" spans="1:158" ht="18.75" customHeight="1" x14ac:dyDescent="0.25">
      <c r="A183" s="43">
        <f>'MASTER SHEET'!A183</f>
        <v>181</v>
      </c>
      <c r="B183" s="49" t="str">
        <f>'MASTER SHEET'!B183</f>
        <v>SPACER PLASTIC</v>
      </c>
      <c r="C183" s="86">
        <f>'MASTER SHEET'!C183</f>
        <v>5061537</v>
      </c>
      <c r="D183" s="51"/>
      <c r="E183" s="48"/>
      <c r="F183" s="48"/>
      <c r="G183" s="48"/>
      <c r="H183" s="48">
        <f t="shared" si="230"/>
        <v>0</v>
      </c>
      <c r="I183" s="28"/>
      <c r="J183" s="28"/>
      <c r="K183" s="65"/>
      <c r="L183" s="48">
        <f t="shared" si="231"/>
        <v>0</v>
      </c>
      <c r="M183" s="48"/>
      <c r="N183" s="48"/>
      <c r="O183" s="48"/>
      <c r="P183" s="48">
        <f t="shared" si="232"/>
        <v>0</v>
      </c>
      <c r="Q183" s="48"/>
      <c r="R183" s="48"/>
      <c r="S183" s="48"/>
      <c r="T183" s="48">
        <f t="shared" si="233"/>
        <v>0</v>
      </c>
      <c r="U183" s="48">
        <v>0</v>
      </c>
      <c r="V183" s="48"/>
      <c r="W183" s="48"/>
      <c r="X183" s="48">
        <f t="shared" si="234"/>
        <v>0</v>
      </c>
      <c r="Y183" s="48"/>
      <c r="Z183" s="48"/>
      <c r="AA183" s="48"/>
      <c r="AB183" s="48">
        <f t="shared" si="235"/>
        <v>0</v>
      </c>
      <c r="AC183" s="48"/>
      <c r="AD183" s="48"/>
      <c r="AE183" s="48"/>
      <c r="AF183" s="48">
        <f t="shared" si="236"/>
        <v>0</v>
      </c>
      <c r="AG183" s="48"/>
      <c r="AH183" s="48"/>
      <c r="AI183" s="48"/>
      <c r="AJ183" s="48">
        <f t="shared" si="237"/>
        <v>0</v>
      </c>
      <c r="AK183" s="48"/>
      <c r="AL183" s="48"/>
      <c r="AM183" s="48"/>
      <c r="AN183" s="48">
        <f t="shared" si="238"/>
        <v>0</v>
      </c>
      <c r="AO183" s="48"/>
      <c r="AP183" s="48"/>
      <c r="AQ183" s="48"/>
      <c r="AR183" s="48">
        <f t="shared" si="239"/>
        <v>0</v>
      </c>
      <c r="AS183" s="48"/>
      <c r="AT183" s="48"/>
      <c r="AU183" s="48"/>
      <c r="AV183" s="48">
        <f t="shared" si="240"/>
        <v>0</v>
      </c>
      <c r="AW183" s="48"/>
      <c r="AX183" s="48"/>
      <c r="AY183" s="48"/>
      <c r="AZ183" s="48">
        <f t="shared" si="241"/>
        <v>0</v>
      </c>
      <c r="BA183" s="48"/>
      <c r="BB183" s="48"/>
      <c r="BC183" s="48"/>
      <c r="BD183" s="48">
        <f t="shared" si="242"/>
        <v>0</v>
      </c>
      <c r="BE183" s="48"/>
      <c r="BF183" s="48"/>
      <c r="BG183" s="48"/>
      <c r="BH183" s="48">
        <f t="shared" si="243"/>
        <v>0</v>
      </c>
      <c r="BI183" s="48"/>
      <c r="BJ183" s="48"/>
      <c r="BK183" s="48"/>
      <c r="BL183" s="48">
        <f t="shared" si="244"/>
        <v>0</v>
      </c>
      <c r="BM183" s="48"/>
      <c r="BN183" s="48"/>
      <c r="BO183" s="48"/>
      <c r="BP183" s="48">
        <f t="shared" si="245"/>
        <v>0</v>
      </c>
      <c r="BQ183" s="48"/>
      <c r="BR183" s="48"/>
      <c r="BS183" s="48"/>
      <c r="BT183" s="48">
        <f t="shared" si="246"/>
        <v>0</v>
      </c>
      <c r="BU183" s="48"/>
      <c r="BV183" s="48"/>
      <c r="BW183" s="48"/>
      <c r="BX183" s="48">
        <f t="shared" si="247"/>
        <v>0</v>
      </c>
      <c r="BY183" s="48"/>
      <c r="BZ183" s="48"/>
      <c r="CA183" s="48"/>
      <c r="CB183" s="48">
        <f t="shared" si="248"/>
        <v>0</v>
      </c>
      <c r="CC183" s="48"/>
      <c r="CD183" s="48"/>
      <c r="CE183" s="48"/>
      <c r="CF183" s="48">
        <f t="shared" si="249"/>
        <v>0</v>
      </c>
      <c r="CG183" s="48"/>
      <c r="CH183" s="48"/>
      <c r="CI183" s="48"/>
      <c r="CJ183" s="48">
        <f t="shared" si="250"/>
        <v>0</v>
      </c>
      <c r="CK183" s="48"/>
      <c r="CL183" s="48"/>
      <c r="CM183" s="48"/>
      <c r="CN183" s="48">
        <f t="shared" si="251"/>
        <v>0</v>
      </c>
      <c r="CO183" s="48"/>
      <c r="CP183" s="48"/>
      <c r="CQ183" s="48"/>
      <c r="CR183" s="48">
        <f t="shared" si="252"/>
        <v>0</v>
      </c>
      <c r="CS183" s="48"/>
      <c r="CT183" s="48"/>
      <c r="CU183" s="48"/>
      <c r="CV183" s="48">
        <f t="shared" si="253"/>
        <v>0</v>
      </c>
      <c r="CW183" s="48"/>
      <c r="CX183" s="48"/>
      <c r="CY183" s="48"/>
      <c r="CZ183" s="48">
        <f t="shared" si="254"/>
        <v>0</v>
      </c>
      <c r="DA183" s="48"/>
      <c r="DB183" s="48"/>
      <c r="DC183" s="48"/>
      <c r="DD183" s="48">
        <f t="shared" si="255"/>
        <v>0</v>
      </c>
      <c r="DE183" s="48"/>
      <c r="DF183" s="48"/>
      <c r="DG183" s="48"/>
      <c r="DH183" s="48">
        <f t="shared" si="256"/>
        <v>0</v>
      </c>
      <c r="DI183" s="48"/>
      <c r="DJ183" s="48"/>
      <c r="DK183" s="48"/>
      <c r="DL183" s="48">
        <f t="shared" si="257"/>
        <v>0</v>
      </c>
      <c r="DM183" s="48"/>
      <c r="DN183" s="48"/>
      <c r="DO183" s="48"/>
      <c r="DP183" s="48">
        <f t="shared" si="258"/>
        <v>0</v>
      </c>
      <c r="DQ183" s="48"/>
      <c r="DR183" s="48"/>
      <c r="DS183" s="48"/>
      <c r="DT183" s="48">
        <f t="shared" si="259"/>
        <v>0</v>
      </c>
      <c r="DU183" s="48"/>
      <c r="DV183" s="48"/>
      <c r="DW183" s="48"/>
      <c r="DX183" s="48">
        <f t="shared" si="260"/>
        <v>0</v>
      </c>
      <c r="DY183" s="48">
        <f t="shared" si="229"/>
        <v>0</v>
      </c>
      <c r="DZ183" s="48">
        <f t="shared" si="261"/>
        <v>0</v>
      </c>
      <c r="EA183" s="14">
        <f>D183*'MASTER SHEET'!D183</f>
        <v>0</v>
      </c>
      <c r="EB183" s="14">
        <f>H183*'MASTER SHEET'!D183</f>
        <v>0</v>
      </c>
      <c r="EC183" s="14">
        <f>L183*'MASTER SHEET'!D183</f>
        <v>0</v>
      </c>
      <c r="ED183" s="14">
        <f>P183*'MASTER SHEET'!D183</f>
        <v>0</v>
      </c>
      <c r="EE183" s="14">
        <f>T183*'MASTER SHEET'!D183</f>
        <v>0</v>
      </c>
      <c r="EF183" s="14">
        <f>X183*'MASTER SHEET'!D183</f>
        <v>0</v>
      </c>
      <c r="EG183" s="14">
        <f>AB183*'MASTER SHEET'!D183</f>
        <v>0</v>
      </c>
      <c r="EH183" s="14">
        <f>AF183*'MASTER SHEET'!D183</f>
        <v>0</v>
      </c>
      <c r="EI183" s="14">
        <f>AJ183*'MASTER SHEET'!D183</f>
        <v>0</v>
      </c>
      <c r="EJ183" s="14">
        <f>AN183*'MASTER SHEET'!D183</f>
        <v>0</v>
      </c>
      <c r="EK183" s="14">
        <f>AR183*'MASTER SHEET'!D183</f>
        <v>0</v>
      </c>
      <c r="EL183" s="14">
        <f>AV183*'MASTER SHEET'!D183</f>
        <v>0</v>
      </c>
      <c r="EM183" s="14">
        <f>AZ183*'MASTER SHEET'!D183</f>
        <v>0</v>
      </c>
      <c r="EN183" s="14">
        <f>BD183*'MASTER SHEET'!D183</f>
        <v>0</v>
      </c>
      <c r="EO183" s="14">
        <f>BH183*'MASTER SHEET'!D183</f>
        <v>0</v>
      </c>
      <c r="EP183" s="14">
        <f>BL183*'MASTER SHEET'!D183</f>
        <v>0</v>
      </c>
      <c r="EQ183" s="14">
        <f>BP183*'MASTER SHEET'!D183</f>
        <v>0</v>
      </c>
      <c r="ER183" s="14">
        <f>BT183*'MASTER SHEET'!D183</f>
        <v>0</v>
      </c>
      <c r="ES183" s="14">
        <f>BX183*'MASTER SHEET'!D183</f>
        <v>0</v>
      </c>
      <c r="ET183" s="21">
        <f>CB183*'MASTER SHEET'!D183</f>
        <v>0</v>
      </c>
      <c r="EU183" s="14">
        <f>CF183*'MASTER SHEET'!D183</f>
        <v>0</v>
      </c>
      <c r="EV183" s="14">
        <f>CJ183*'MASTER SHEET'!D183</f>
        <v>0</v>
      </c>
      <c r="EW183" s="14">
        <f>CN183*'MASTER SHEET'!D183</f>
        <v>0</v>
      </c>
      <c r="EX183" s="14">
        <f>CR183*'MASTER SHEET'!D183</f>
        <v>0</v>
      </c>
      <c r="EY183" s="14">
        <f>CR183*'MASTER SHEET'!D183</f>
        <v>0</v>
      </c>
      <c r="EZ183" s="14">
        <f>CV183*'MASTER SHEET'!D183</f>
        <v>0</v>
      </c>
      <c r="FA183" s="14">
        <f>CZ183*'MASTER SHEET'!D183</f>
        <v>0</v>
      </c>
      <c r="FB183" s="14">
        <f>DD183*'MASTER SHEET'!D183</f>
        <v>0</v>
      </c>
    </row>
    <row r="184" spans="1:158" ht="18.75" customHeight="1" x14ac:dyDescent="0.25">
      <c r="A184" s="43">
        <f>'MASTER SHEET'!A184</f>
        <v>182</v>
      </c>
      <c r="B184" s="49" t="str">
        <f>'MASTER SHEET'!B184</f>
        <v>ENDPLATE, PLASTIC</v>
      </c>
      <c r="C184" s="86">
        <f>'MASTER SHEET'!C184</f>
        <v>5046448</v>
      </c>
      <c r="D184" s="51"/>
      <c r="E184" s="48"/>
      <c r="F184" s="48"/>
      <c r="G184" s="48"/>
      <c r="H184" s="48">
        <f t="shared" si="230"/>
        <v>0</v>
      </c>
      <c r="I184" s="28"/>
      <c r="J184" s="28"/>
      <c r="K184" s="65"/>
      <c r="L184" s="48">
        <f t="shared" si="231"/>
        <v>0</v>
      </c>
      <c r="M184" s="48"/>
      <c r="N184" s="48"/>
      <c r="O184" s="48"/>
      <c r="P184" s="48">
        <f t="shared" si="232"/>
        <v>0</v>
      </c>
      <c r="Q184" s="48"/>
      <c r="R184" s="48"/>
      <c r="S184" s="48"/>
      <c r="T184" s="48">
        <f t="shared" si="233"/>
        <v>0</v>
      </c>
      <c r="U184" s="48">
        <v>0</v>
      </c>
      <c r="V184" s="48"/>
      <c r="W184" s="48"/>
      <c r="X184" s="48">
        <f t="shared" si="234"/>
        <v>0</v>
      </c>
      <c r="Y184" s="48"/>
      <c r="Z184" s="48"/>
      <c r="AA184" s="48"/>
      <c r="AB184" s="48">
        <f t="shared" si="235"/>
        <v>0</v>
      </c>
      <c r="AC184" s="48"/>
      <c r="AD184" s="48"/>
      <c r="AE184" s="48"/>
      <c r="AF184" s="48">
        <f t="shared" si="236"/>
        <v>0</v>
      </c>
      <c r="AG184" s="48"/>
      <c r="AH184" s="48"/>
      <c r="AI184" s="48"/>
      <c r="AJ184" s="48">
        <f t="shared" si="237"/>
        <v>0</v>
      </c>
      <c r="AK184" s="48"/>
      <c r="AL184" s="48"/>
      <c r="AM184" s="48"/>
      <c r="AN184" s="48">
        <f t="shared" si="238"/>
        <v>0</v>
      </c>
      <c r="AO184" s="48"/>
      <c r="AP184" s="48"/>
      <c r="AQ184" s="48"/>
      <c r="AR184" s="48">
        <f t="shared" si="239"/>
        <v>0</v>
      </c>
      <c r="AS184" s="48"/>
      <c r="AT184" s="48"/>
      <c r="AU184" s="48"/>
      <c r="AV184" s="48">
        <f t="shared" si="240"/>
        <v>0</v>
      </c>
      <c r="AW184" s="48"/>
      <c r="AX184" s="48"/>
      <c r="AY184" s="48"/>
      <c r="AZ184" s="48">
        <f t="shared" si="241"/>
        <v>0</v>
      </c>
      <c r="BA184" s="48"/>
      <c r="BB184" s="48"/>
      <c r="BC184" s="48"/>
      <c r="BD184" s="48">
        <f t="shared" si="242"/>
        <v>0</v>
      </c>
      <c r="BE184" s="48">
        <v>0</v>
      </c>
      <c r="BF184" s="48">
        <v>0</v>
      </c>
      <c r="BG184" s="48">
        <v>0</v>
      </c>
      <c r="BH184" s="48">
        <f t="shared" si="243"/>
        <v>0</v>
      </c>
      <c r="BI184" s="48">
        <v>0</v>
      </c>
      <c r="BJ184" s="48">
        <v>0</v>
      </c>
      <c r="BK184" s="48">
        <v>0</v>
      </c>
      <c r="BL184" s="48">
        <f t="shared" si="244"/>
        <v>0</v>
      </c>
      <c r="BM184" s="48">
        <v>0</v>
      </c>
      <c r="BN184" s="48">
        <v>0</v>
      </c>
      <c r="BO184" s="48">
        <v>0</v>
      </c>
      <c r="BP184" s="48">
        <f t="shared" si="245"/>
        <v>0</v>
      </c>
      <c r="BQ184" s="48">
        <v>1129</v>
      </c>
      <c r="BR184" s="48">
        <v>1114</v>
      </c>
      <c r="BS184" s="48">
        <v>15</v>
      </c>
      <c r="BT184" s="48">
        <f t="shared" si="246"/>
        <v>0</v>
      </c>
      <c r="BU184" s="48"/>
      <c r="BV184" s="48"/>
      <c r="BW184" s="48"/>
      <c r="BX184" s="48">
        <f t="shared" si="247"/>
        <v>0</v>
      </c>
      <c r="BY184" s="48"/>
      <c r="BZ184" s="48"/>
      <c r="CA184" s="48"/>
      <c r="CB184" s="48">
        <f t="shared" si="248"/>
        <v>0</v>
      </c>
      <c r="CC184" s="48"/>
      <c r="CD184" s="48"/>
      <c r="CE184" s="48"/>
      <c r="CF184" s="48">
        <f t="shared" si="249"/>
        <v>0</v>
      </c>
      <c r="CG184" s="48"/>
      <c r="CH184" s="48"/>
      <c r="CI184" s="48"/>
      <c r="CJ184" s="48">
        <f t="shared" si="250"/>
        <v>0</v>
      </c>
      <c r="CK184" s="48"/>
      <c r="CL184" s="48"/>
      <c r="CM184" s="48"/>
      <c r="CN184" s="48">
        <f t="shared" si="251"/>
        <v>0</v>
      </c>
      <c r="CO184" s="48"/>
      <c r="CP184" s="48"/>
      <c r="CQ184" s="48"/>
      <c r="CR184" s="48">
        <f t="shared" si="252"/>
        <v>0</v>
      </c>
      <c r="CS184" s="48"/>
      <c r="CT184" s="48"/>
      <c r="CU184" s="48"/>
      <c r="CV184" s="48">
        <f t="shared" si="253"/>
        <v>0</v>
      </c>
      <c r="CW184" s="48"/>
      <c r="CX184" s="48"/>
      <c r="CY184" s="48"/>
      <c r="CZ184" s="48">
        <f t="shared" si="254"/>
        <v>0</v>
      </c>
      <c r="DA184" s="48"/>
      <c r="DB184" s="48"/>
      <c r="DC184" s="48"/>
      <c r="DD184" s="48">
        <f t="shared" si="255"/>
        <v>0</v>
      </c>
      <c r="DE184" s="48"/>
      <c r="DF184" s="48"/>
      <c r="DG184" s="48"/>
      <c r="DH184" s="48">
        <f t="shared" si="256"/>
        <v>0</v>
      </c>
      <c r="DI184" s="48"/>
      <c r="DJ184" s="48"/>
      <c r="DK184" s="48"/>
      <c r="DL184" s="48">
        <f t="shared" si="257"/>
        <v>0</v>
      </c>
      <c r="DM184" s="48"/>
      <c r="DN184" s="48"/>
      <c r="DO184" s="48"/>
      <c r="DP184" s="48">
        <f t="shared" si="258"/>
        <v>0</v>
      </c>
      <c r="DQ184" s="48"/>
      <c r="DR184" s="48"/>
      <c r="DS184" s="48"/>
      <c r="DT184" s="48">
        <f t="shared" si="259"/>
        <v>0</v>
      </c>
      <c r="DU184" s="48"/>
      <c r="DV184" s="48"/>
      <c r="DW184" s="48"/>
      <c r="DX184" s="48">
        <f t="shared" si="260"/>
        <v>0</v>
      </c>
      <c r="DY184" s="48">
        <f t="shared" si="229"/>
        <v>1129</v>
      </c>
      <c r="DZ184" s="48">
        <f t="shared" si="261"/>
        <v>15</v>
      </c>
      <c r="EA184" s="14">
        <f>D184*'MASTER SHEET'!D184</f>
        <v>0</v>
      </c>
      <c r="EB184" s="14">
        <f>H184*'MASTER SHEET'!D184</f>
        <v>0</v>
      </c>
      <c r="EC184" s="14">
        <f>L184*'MASTER SHEET'!D184</f>
        <v>0</v>
      </c>
      <c r="ED184" s="14">
        <f>P184*'MASTER SHEET'!D184</f>
        <v>0</v>
      </c>
      <c r="EE184" s="14">
        <f>T184*'MASTER SHEET'!D184</f>
        <v>0</v>
      </c>
      <c r="EF184" s="14">
        <f>X184*'MASTER SHEET'!D184</f>
        <v>0</v>
      </c>
      <c r="EG184" s="14">
        <f>AB184*'MASTER SHEET'!D184</f>
        <v>0</v>
      </c>
      <c r="EH184" s="14">
        <f>AF184*'MASTER SHEET'!D184</f>
        <v>0</v>
      </c>
      <c r="EI184" s="14">
        <f>AJ184*'MASTER SHEET'!D184</f>
        <v>0</v>
      </c>
      <c r="EJ184" s="14">
        <f>AN184*'MASTER SHEET'!D184</f>
        <v>0</v>
      </c>
      <c r="EK184" s="14">
        <f>AR184*'MASTER SHEET'!D184</f>
        <v>0</v>
      </c>
      <c r="EL184" s="14">
        <f>AV184*'MASTER SHEET'!D184</f>
        <v>0</v>
      </c>
      <c r="EM184" s="14">
        <f>AZ184*'MASTER SHEET'!D184</f>
        <v>0</v>
      </c>
      <c r="EN184" s="14">
        <f>BD184*'MASTER SHEET'!D184</f>
        <v>0</v>
      </c>
      <c r="EO184" s="14">
        <f>BH184*'MASTER SHEET'!D184</f>
        <v>0</v>
      </c>
      <c r="EP184" s="14">
        <f>BL184*'MASTER SHEET'!D184</f>
        <v>0</v>
      </c>
      <c r="EQ184" s="14">
        <f>BP184*'MASTER SHEET'!D184</f>
        <v>0</v>
      </c>
      <c r="ER184" s="14">
        <f>BT184*'MASTER SHEET'!D184</f>
        <v>0</v>
      </c>
      <c r="ES184" s="14">
        <f>BX184*'MASTER SHEET'!D184</f>
        <v>0</v>
      </c>
      <c r="ET184" s="21">
        <f>CB184*'MASTER SHEET'!D184</f>
        <v>0</v>
      </c>
      <c r="EU184" s="14">
        <f>CF184*'MASTER SHEET'!D184</f>
        <v>0</v>
      </c>
      <c r="EV184" s="14">
        <f>CJ184*'MASTER SHEET'!D184</f>
        <v>0</v>
      </c>
      <c r="EW184" s="14">
        <f>CN184*'MASTER SHEET'!D184</f>
        <v>0</v>
      </c>
      <c r="EX184" s="14">
        <f>CR184*'MASTER SHEET'!D184</f>
        <v>0</v>
      </c>
      <c r="EY184" s="14">
        <f>CR184*'MASTER SHEET'!D184</f>
        <v>0</v>
      </c>
      <c r="EZ184" s="14">
        <f>CV184*'MASTER SHEET'!D184</f>
        <v>0</v>
      </c>
      <c r="FA184" s="14">
        <f>CZ184*'MASTER SHEET'!D184</f>
        <v>0</v>
      </c>
      <c r="FB184" s="14">
        <f>DD184*'MASTER SHEET'!D184</f>
        <v>0</v>
      </c>
    </row>
    <row r="185" spans="1:158" ht="18.75" customHeight="1" x14ac:dyDescent="0.25">
      <c r="A185" s="43">
        <f>'MASTER SHEET'!A185</f>
        <v>183</v>
      </c>
      <c r="B185" s="49" t="str">
        <f>'MASTER SHEET'!B185</f>
        <v>HYDROPHOBIC SCREEN, ASY</v>
      </c>
      <c r="C185" s="86">
        <f>'MASTER SHEET'!C185</f>
        <v>5046453</v>
      </c>
      <c r="D185" s="51"/>
      <c r="E185" s="48"/>
      <c r="F185" s="48"/>
      <c r="G185" s="48"/>
      <c r="H185" s="48">
        <f t="shared" si="230"/>
        <v>0</v>
      </c>
      <c r="I185" s="28"/>
      <c r="J185" s="28"/>
      <c r="K185" s="65"/>
      <c r="L185" s="48">
        <f t="shared" si="231"/>
        <v>0</v>
      </c>
      <c r="M185" s="48"/>
      <c r="N185" s="48"/>
      <c r="O185" s="48"/>
      <c r="P185" s="48">
        <f t="shared" si="232"/>
        <v>0</v>
      </c>
      <c r="Q185" s="48"/>
      <c r="R185" s="48"/>
      <c r="S185" s="48"/>
      <c r="T185" s="48">
        <f t="shared" si="233"/>
        <v>0</v>
      </c>
      <c r="U185" s="48">
        <v>0</v>
      </c>
      <c r="V185" s="48"/>
      <c r="W185" s="48"/>
      <c r="X185" s="48">
        <f t="shared" si="234"/>
        <v>0</v>
      </c>
      <c r="Y185" s="48"/>
      <c r="Z185" s="48"/>
      <c r="AA185" s="48"/>
      <c r="AB185" s="48">
        <f t="shared" si="235"/>
        <v>0</v>
      </c>
      <c r="AC185" s="48"/>
      <c r="AD185" s="48"/>
      <c r="AE185" s="48"/>
      <c r="AF185" s="48">
        <f t="shared" si="236"/>
        <v>0</v>
      </c>
      <c r="AG185" s="48"/>
      <c r="AH185" s="48"/>
      <c r="AI185" s="48"/>
      <c r="AJ185" s="48">
        <f t="shared" si="237"/>
        <v>0</v>
      </c>
      <c r="AK185" s="48"/>
      <c r="AL185" s="48"/>
      <c r="AM185" s="48"/>
      <c r="AN185" s="48">
        <f t="shared" si="238"/>
        <v>0</v>
      </c>
      <c r="AO185" s="48"/>
      <c r="AP185" s="48"/>
      <c r="AQ185" s="48"/>
      <c r="AR185" s="48">
        <f t="shared" si="239"/>
        <v>0</v>
      </c>
      <c r="AS185" s="48"/>
      <c r="AT185" s="48"/>
      <c r="AU185" s="48"/>
      <c r="AV185" s="48">
        <f t="shared" si="240"/>
        <v>0</v>
      </c>
      <c r="AW185" s="48"/>
      <c r="AX185" s="48"/>
      <c r="AY185" s="48"/>
      <c r="AZ185" s="48">
        <f t="shared" si="241"/>
        <v>0</v>
      </c>
      <c r="BA185" s="48"/>
      <c r="BB185" s="48"/>
      <c r="BC185" s="48"/>
      <c r="BD185" s="48">
        <f t="shared" si="242"/>
        <v>0</v>
      </c>
      <c r="BE185" s="48">
        <v>0</v>
      </c>
      <c r="BF185" s="48">
        <v>0</v>
      </c>
      <c r="BG185" s="48">
        <v>0</v>
      </c>
      <c r="BH185" s="48">
        <f t="shared" si="243"/>
        <v>0</v>
      </c>
      <c r="BI185" s="48">
        <v>557</v>
      </c>
      <c r="BJ185" s="48">
        <v>530</v>
      </c>
      <c r="BK185" s="48">
        <v>27</v>
      </c>
      <c r="BL185" s="48">
        <f t="shared" si="244"/>
        <v>0</v>
      </c>
      <c r="BM185" s="48">
        <v>0</v>
      </c>
      <c r="BN185" s="48">
        <v>0</v>
      </c>
      <c r="BO185" s="48">
        <v>0</v>
      </c>
      <c r="BP185" s="48">
        <f t="shared" si="245"/>
        <v>0</v>
      </c>
      <c r="BQ185" s="48">
        <v>0</v>
      </c>
      <c r="BR185" s="48">
        <v>0</v>
      </c>
      <c r="BS185" s="48">
        <v>0</v>
      </c>
      <c r="BT185" s="48">
        <f t="shared" si="246"/>
        <v>0</v>
      </c>
      <c r="BU185" s="48"/>
      <c r="BV185" s="48"/>
      <c r="BW185" s="48"/>
      <c r="BX185" s="48">
        <f t="shared" si="247"/>
        <v>0</v>
      </c>
      <c r="BY185" s="48"/>
      <c r="BZ185" s="48"/>
      <c r="CA185" s="48"/>
      <c r="CB185" s="48">
        <f t="shared" si="248"/>
        <v>0</v>
      </c>
      <c r="CC185" s="48"/>
      <c r="CD185" s="48"/>
      <c r="CE185" s="48"/>
      <c r="CF185" s="48">
        <f t="shared" si="249"/>
        <v>0</v>
      </c>
      <c r="CG185" s="48"/>
      <c r="CH185" s="48"/>
      <c r="CI185" s="48"/>
      <c r="CJ185" s="48">
        <f t="shared" si="250"/>
        <v>0</v>
      </c>
      <c r="CK185" s="48"/>
      <c r="CL185" s="48"/>
      <c r="CM185" s="48"/>
      <c r="CN185" s="48">
        <f t="shared" si="251"/>
        <v>0</v>
      </c>
      <c r="CO185" s="48"/>
      <c r="CP185" s="48"/>
      <c r="CQ185" s="48"/>
      <c r="CR185" s="48">
        <f t="shared" si="252"/>
        <v>0</v>
      </c>
      <c r="CS185" s="48"/>
      <c r="CT185" s="48"/>
      <c r="CU185" s="48"/>
      <c r="CV185" s="48">
        <f t="shared" si="253"/>
        <v>0</v>
      </c>
      <c r="CW185" s="48"/>
      <c r="CX185" s="48"/>
      <c r="CY185" s="48"/>
      <c r="CZ185" s="48">
        <f t="shared" si="254"/>
        <v>0</v>
      </c>
      <c r="DA185" s="48"/>
      <c r="DB185" s="48"/>
      <c r="DC185" s="48"/>
      <c r="DD185" s="48">
        <f t="shared" si="255"/>
        <v>0</v>
      </c>
      <c r="DE185" s="48"/>
      <c r="DF185" s="48"/>
      <c r="DG185" s="48"/>
      <c r="DH185" s="48">
        <f t="shared" si="256"/>
        <v>0</v>
      </c>
      <c r="DI185" s="48"/>
      <c r="DJ185" s="48"/>
      <c r="DK185" s="48"/>
      <c r="DL185" s="48">
        <f t="shared" si="257"/>
        <v>0</v>
      </c>
      <c r="DM185" s="48"/>
      <c r="DN185" s="48"/>
      <c r="DO185" s="48"/>
      <c r="DP185" s="48">
        <f t="shared" si="258"/>
        <v>0</v>
      </c>
      <c r="DQ185" s="48"/>
      <c r="DR185" s="48"/>
      <c r="DS185" s="48"/>
      <c r="DT185" s="48">
        <f t="shared" si="259"/>
        <v>0</v>
      </c>
      <c r="DU185" s="48"/>
      <c r="DV185" s="48"/>
      <c r="DW185" s="48"/>
      <c r="DX185" s="48">
        <f t="shared" si="260"/>
        <v>0</v>
      </c>
      <c r="DY185" s="48">
        <f t="shared" si="229"/>
        <v>557</v>
      </c>
      <c r="DZ185" s="48">
        <f t="shared" si="261"/>
        <v>27</v>
      </c>
      <c r="EA185" s="14">
        <f>D185*'MASTER SHEET'!D185</f>
        <v>0</v>
      </c>
      <c r="EB185" s="14">
        <f>H185*'MASTER SHEET'!D185</f>
        <v>0</v>
      </c>
      <c r="EC185" s="14">
        <f>L185*'MASTER SHEET'!D185</f>
        <v>0</v>
      </c>
      <c r="ED185" s="14">
        <f>P185*'MASTER SHEET'!D185</f>
        <v>0</v>
      </c>
      <c r="EE185" s="14">
        <f>T185*'MASTER SHEET'!D185</f>
        <v>0</v>
      </c>
      <c r="EF185" s="14">
        <f>X185*'MASTER SHEET'!D185</f>
        <v>0</v>
      </c>
      <c r="EG185" s="14">
        <f>AB185*'MASTER SHEET'!D185</f>
        <v>0</v>
      </c>
      <c r="EH185" s="14">
        <f>AF185*'MASTER SHEET'!D185</f>
        <v>0</v>
      </c>
      <c r="EI185" s="14">
        <f>AJ185*'MASTER SHEET'!D185</f>
        <v>0</v>
      </c>
      <c r="EJ185" s="14">
        <f>AN185*'MASTER SHEET'!D185</f>
        <v>0</v>
      </c>
      <c r="EK185" s="14">
        <f>AR185*'MASTER SHEET'!D185</f>
        <v>0</v>
      </c>
      <c r="EL185" s="14">
        <f>AV185*'MASTER SHEET'!D185</f>
        <v>0</v>
      </c>
      <c r="EM185" s="14">
        <f>AZ185*'MASTER SHEET'!D185</f>
        <v>0</v>
      </c>
      <c r="EN185" s="14">
        <f>BD185*'MASTER SHEET'!D185</f>
        <v>0</v>
      </c>
      <c r="EO185" s="14">
        <f>BH185*'MASTER SHEET'!D185</f>
        <v>0</v>
      </c>
      <c r="EP185" s="14">
        <f>BL185*'MASTER SHEET'!D185</f>
        <v>0</v>
      </c>
      <c r="EQ185" s="14">
        <f>BP185*'MASTER SHEET'!D185</f>
        <v>0</v>
      </c>
      <c r="ER185" s="14">
        <f>BT185*'MASTER SHEET'!D185</f>
        <v>0</v>
      </c>
      <c r="ES185" s="14">
        <f>BX185*'MASTER SHEET'!D185</f>
        <v>0</v>
      </c>
      <c r="ET185" s="21">
        <f>CB185*'MASTER SHEET'!D185</f>
        <v>0</v>
      </c>
      <c r="EU185" s="14">
        <f>CF185*'MASTER SHEET'!D185</f>
        <v>0</v>
      </c>
      <c r="EV185" s="14">
        <f>CJ185*'MASTER SHEET'!D185</f>
        <v>0</v>
      </c>
      <c r="EW185" s="14">
        <f>CN185*'MASTER SHEET'!D185</f>
        <v>0</v>
      </c>
      <c r="EX185" s="14">
        <f>CR185*'MASTER SHEET'!D185</f>
        <v>0</v>
      </c>
      <c r="EY185" s="14">
        <f>CR185*'MASTER SHEET'!D185</f>
        <v>0</v>
      </c>
      <c r="EZ185" s="14">
        <f>CV185*'MASTER SHEET'!D185</f>
        <v>0</v>
      </c>
      <c r="FA185" s="14">
        <f>CZ185*'MASTER SHEET'!D185</f>
        <v>0</v>
      </c>
      <c r="FB185" s="14">
        <f>DD185*'MASTER SHEET'!D185</f>
        <v>0</v>
      </c>
    </row>
    <row r="186" spans="1:158" ht="18.75" customHeight="1" x14ac:dyDescent="0.25">
      <c r="A186" s="43">
        <f>'MASTER SHEET'!A186</f>
        <v>184</v>
      </c>
      <c r="B186" s="49" t="str">
        <f>'MASTER SHEET'!B186</f>
        <v>CENTERTUBE, PLASTIC</v>
      </c>
      <c r="C186" s="86">
        <f>'MASTER SHEET'!C186</f>
        <v>5046456</v>
      </c>
      <c r="D186" s="51"/>
      <c r="E186" s="48"/>
      <c r="F186" s="48"/>
      <c r="G186" s="48"/>
      <c r="H186" s="48">
        <f t="shared" si="230"/>
        <v>0</v>
      </c>
      <c r="I186" s="28"/>
      <c r="J186" s="28"/>
      <c r="K186" s="65"/>
      <c r="L186" s="48">
        <f t="shared" si="231"/>
        <v>0</v>
      </c>
      <c r="M186" s="48"/>
      <c r="N186" s="48"/>
      <c r="O186" s="48"/>
      <c r="P186" s="48">
        <f t="shared" si="232"/>
        <v>0</v>
      </c>
      <c r="Q186" s="48"/>
      <c r="R186" s="48"/>
      <c r="S186" s="48"/>
      <c r="T186" s="48">
        <f t="shared" si="233"/>
        <v>0</v>
      </c>
      <c r="U186" s="48">
        <v>0</v>
      </c>
      <c r="V186" s="48"/>
      <c r="W186" s="48"/>
      <c r="X186" s="48">
        <f t="shared" si="234"/>
        <v>0</v>
      </c>
      <c r="Y186" s="48"/>
      <c r="Z186" s="48"/>
      <c r="AA186" s="48"/>
      <c r="AB186" s="48">
        <f t="shared" si="235"/>
        <v>0</v>
      </c>
      <c r="AC186" s="48"/>
      <c r="AD186" s="48"/>
      <c r="AE186" s="48"/>
      <c r="AF186" s="48">
        <f t="shared" si="236"/>
        <v>0</v>
      </c>
      <c r="AG186" s="48"/>
      <c r="AH186" s="48"/>
      <c r="AI186" s="48"/>
      <c r="AJ186" s="48">
        <f t="shared" si="237"/>
        <v>0</v>
      </c>
      <c r="AK186" s="48"/>
      <c r="AL186" s="48"/>
      <c r="AM186" s="48"/>
      <c r="AN186" s="48">
        <f t="shared" si="238"/>
        <v>0</v>
      </c>
      <c r="AO186" s="48"/>
      <c r="AP186" s="48"/>
      <c r="AQ186" s="48"/>
      <c r="AR186" s="48">
        <f t="shared" si="239"/>
        <v>0</v>
      </c>
      <c r="AS186" s="48"/>
      <c r="AT186" s="48"/>
      <c r="AU186" s="48"/>
      <c r="AV186" s="48">
        <f t="shared" si="240"/>
        <v>0</v>
      </c>
      <c r="AW186" s="48"/>
      <c r="AX186" s="48"/>
      <c r="AY186" s="48"/>
      <c r="AZ186" s="48">
        <f t="shared" si="241"/>
        <v>0</v>
      </c>
      <c r="BA186" s="48"/>
      <c r="BB186" s="48"/>
      <c r="BC186" s="48"/>
      <c r="BD186" s="48">
        <f t="shared" si="242"/>
        <v>0</v>
      </c>
      <c r="BE186" s="48"/>
      <c r="BF186" s="48"/>
      <c r="BG186" s="48"/>
      <c r="BH186" s="48">
        <f t="shared" si="243"/>
        <v>0</v>
      </c>
      <c r="BI186" s="48"/>
      <c r="BJ186" s="48"/>
      <c r="BK186" s="48"/>
      <c r="BL186" s="48">
        <f t="shared" si="244"/>
        <v>0</v>
      </c>
      <c r="BM186" s="48"/>
      <c r="BN186" s="48"/>
      <c r="BO186" s="48"/>
      <c r="BP186" s="48">
        <f t="shared" si="245"/>
        <v>0</v>
      </c>
      <c r="BQ186" s="48"/>
      <c r="BR186" s="48"/>
      <c r="BS186" s="48"/>
      <c r="BT186" s="48">
        <f t="shared" si="246"/>
        <v>0</v>
      </c>
      <c r="BU186" s="48"/>
      <c r="BV186" s="48"/>
      <c r="BW186" s="48"/>
      <c r="BX186" s="48">
        <f t="shared" si="247"/>
        <v>0</v>
      </c>
      <c r="BY186" s="48"/>
      <c r="BZ186" s="48"/>
      <c r="CA186" s="48"/>
      <c r="CB186" s="48">
        <f t="shared" si="248"/>
        <v>0</v>
      </c>
      <c r="CC186" s="48"/>
      <c r="CD186" s="48"/>
      <c r="CE186" s="48"/>
      <c r="CF186" s="48">
        <f t="shared" si="249"/>
        <v>0</v>
      </c>
      <c r="CG186" s="48"/>
      <c r="CH186" s="48"/>
      <c r="CI186" s="48"/>
      <c r="CJ186" s="48">
        <f t="shared" si="250"/>
        <v>0</v>
      </c>
      <c r="CK186" s="48"/>
      <c r="CL186" s="48"/>
      <c r="CM186" s="48"/>
      <c r="CN186" s="48">
        <f t="shared" si="251"/>
        <v>0</v>
      </c>
      <c r="CO186" s="48"/>
      <c r="CP186" s="48"/>
      <c r="CQ186" s="48"/>
      <c r="CR186" s="48">
        <f t="shared" si="252"/>
        <v>0</v>
      </c>
      <c r="CS186" s="48"/>
      <c r="CT186" s="48"/>
      <c r="CU186" s="48"/>
      <c r="CV186" s="48">
        <f t="shared" si="253"/>
        <v>0</v>
      </c>
      <c r="CW186" s="48"/>
      <c r="CX186" s="48"/>
      <c r="CY186" s="48"/>
      <c r="CZ186" s="48">
        <f t="shared" si="254"/>
        <v>0</v>
      </c>
      <c r="DA186" s="48"/>
      <c r="DB186" s="48"/>
      <c r="DC186" s="48"/>
      <c r="DD186" s="48">
        <f t="shared" si="255"/>
        <v>0</v>
      </c>
      <c r="DE186" s="48"/>
      <c r="DF186" s="48"/>
      <c r="DG186" s="48"/>
      <c r="DH186" s="48">
        <f t="shared" si="256"/>
        <v>0</v>
      </c>
      <c r="DI186" s="48"/>
      <c r="DJ186" s="48"/>
      <c r="DK186" s="48"/>
      <c r="DL186" s="48">
        <f t="shared" si="257"/>
        <v>0</v>
      </c>
      <c r="DM186" s="48"/>
      <c r="DN186" s="48"/>
      <c r="DO186" s="48"/>
      <c r="DP186" s="48">
        <f t="shared" si="258"/>
        <v>0</v>
      </c>
      <c r="DQ186" s="48"/>
      <c r="DR186" s="48"/>
      <c r="DS186" s="48"/>
      <c r="DT186" s="48">
        <f t="shared" si="259"/>
        <v>0</v>
      </c>
      <c r="DU186" s="48"/>
      <c r="DV186" s="48"/>
      <c r="DW186" s="48"/>
      <c r="DX186" s="48">
        <f t="shared" si="260"/>
        <v>0</v>
      </c>
      <c r="DY186" s="48">
        <f t="shared" si="229"/>
        <v>0</v>
      </c>
      <c r="DZ186" s="48">
        <f t="shared" si="261"/>
        <v>0</v>
      </c>
      <c r="EA186" s="14">
        <f>D186*'MASTER SHEET'!D186</f>
        <v>0</v>
      </c>
      <c r="EB186" s="14">
        <f>H186*'MASTER SHEET'!D186</f>
        <v>0</v>
      </c>
      <c r="EC186" s="14">
        <f>L186*'MASTER SHEET'!D186</f>
        <v>0</v>
      </c>
      <c r="ED186" s="14">
        <f>P186*'MASTER SHEET'!D186</f>
        <v>0</v>
      </c>
      <c r="EE186" s="14">
        <f>T186*'MASTER SHEET'!D186</f>
        <v>0</v>
      </c>
      <c r="EF186" s="14">
        <f>X186*'MASTER SHEET'!D186</f>
        <v>0</v>
      </c>
      <c r="EG186" s="14">
        <f>AB186*'MASTER SHEET'!D186</f>
        <v>0</v>
      </c>
      <c r="EH186" s="14">
        <f>AF186*'MASTER SHEET'!D186</f>
        <v>0</v>
      </c>
      <c r="EI186" s="14">
        <f>AJ186*'MASTER SHEET'!D186</f>
        <v>0</v>
      </c>
      <c r="EJ186" s="14">
        <f>AN186*'MASTER SHEET'!D186</f>
        <v>0</v>
      </c>
      <c r="EK186" s="14">
        <f>AR186*'MASTER SHEET'!D186</f>
        <v>0</v>
      </c>
      <c r="EL186" s="14">
        <f>AV186*'MASTER SHEET'!D186</f>
        <v>0</v>
      </c>
      <c r="EM186" s="14">
        <f>AZ186*'MASTER SHEET'!D186</f>
        <v>0</v>
      </c>
      <c r="EN186" s="14">
        <f>BD186*'MASTER SHEET'!D186</f>
        <v>0</v>
      </c>
      <c r="EO186" s="14">
        <f>BH186*'MASTER SHEET'!D186</f>
        <v>0</v>
      </c>
      <c r="EP186" s="14">
        <f>BL186*'MASTER SHEET'!D186</f>
        <v>0</v>
      </c>
      <c r="EQ186" s="14">
        <f>BP186*'MASTER SHEET'!D186</f>
        <v>0</v>
      </c>
      <c r="ER186" s="14">
        <f>BT186*'MASTER SHEET'!D186</f>
        <v>0</v>
      </c>
      <c r="ES186" s="14">
        <f>BX186*'MASTER SHEET'!D186</f>
        <v>0</v>
      </c>
      <c r="ET186" s="21">
        <f>CB186*'MASTER SHEET'!D186</f>
        <v>0</v>
      </c>
      <c r="EU186" s="14">
        <f>CF186*'MASTER SHEET'!D186</f>
        <v>0</v>
      </c>
      <c r="EV186" s="14">
        <f>CJ186*'MASTER SHEET'!D186</f>
        <v>0</v>
      </c>
      <c r="EW186" s="14">
        <f>CN186*'MASTER SHEET'!D186</f>
        <v>0</v>
      </c>
      <c r="EX186" s="14">
        <f>CR186*'MASTER SHEET'!D186</f>
        <v>0</v>
      </c>
      <c r="EY186" s="14">
        <f>CR186*'MASTER SHEET'!D186</f>
        <v>0</v>
      </c>
      <c r="EZ186" s="14">
        <f>CV186*'MASTER SHEET'!D186</f>
        <v>0</v>
      </c>
      <c r="FA186" s="14">
        <f>CZ186*'MASTER SHEET'!D186</f>
        <v>0</v>
      </c>
      <c r="FB186" s="14">
        <f>DD186*'MASTER SHEET'!D186</f>
        <v>0</v>
      </c>
    </row>
    <row r="187" spans="1:158" ht="18.75" customHeight="1" x14ac:dyDescent="0.25">
      <c r="A187" s="43">
        <f>'MASTER SHEET'!A187</f>
        <v>185</v>
      </c>
      <c r="B187" s="49" t="str">
        <f>'MASTER SHEET'!B187</f>
        <v>KINETIC SHROUD</v>
      </c>
      <c r="C187" s="86" t="str">
        <f>'MASTER SHEET'!C187</f>
        <v>FS3200000A</v>
      </c>
      <c r="D187" s="51"/>
      <c r="E187" s="48">
        <v>0</v>
      </c>
      <c r="F187" s="48">
        <v>0</v>
      </c>
      <c r="G187" s="48">
        <v>0</v>
      </c>
      <c r="H187" s="48">
        <f t="shared" si="230"/>
        <v>0</v>
      </c>
      <c r="I187" s="28">
        <v>678</v>
      </c>
      <c r="J187" s="28">
        <v>665</v>
      </c>
      <c r="K187" s="65">
        <v>13</v>
      </c>
      <c r="L187" s="48">
        <f t="shared" si="231"/>
        <v>0</v>
      </c>
      <c r="M187" s="48"/>
      <c r="N187" s="48"/>
      <c r="O187" s="48"/>
      <c r="P187" s="48">
        <f t="shared" si="232"/>
        <v>0</v>
      </c>
      <c r="Q187" s="48">
        <v>1091</v>
      </c>
      <c r="R187" s="48">
        <v>1085</v>
      </c>
      <c r="S187" s="48">
        <v>6</v>
      </c>
      <c r="T187" s="48">
        <f t="shared" si="233"/>
        <v>0</v>
      </c>
      <c r="U187" s="48">
        <v>226</v>
      </c>
      <c r="V187" s="48">
        <v>226</v>
      </c>
      <c r="W187" s="48">
        <v>0</v>
      </c>
      <c r="X187" s="48">
        <f t="shared" si="234"/>
        <v>0</v>
      </c>
      <c r="Y187" s="48"/>
      <c r="Z187" s="48"/>
      <c r="AA187" s="48"/>
      <c r="AB187" s="48">
        <f t="shared" si="235"/>
        <v>0</v>
      </c>
      <c r="AC187" s="48"/>
      <c r="AD187" s="48"/>
      <c r="AE187" s="48"/>
      <c r="AF187" s="48">
        <f t="shared" si="236"/>
        <v>0</v>
      </c>
      <c r="AG187" s="48"/>
      <c r="AH187" s="48"/>
      <c r="AI187" s="48"/>
      <c r="AJ187" s="48">
        <f t="shared" si="237"/>
        <v>0</v>
      </c>
      <c r="AK187" s="48">
        <v>669</v>
      </c>
      <c r="AL187" s="48">
        <v>665</v>
      </c>
      <c r="AM187" s="48">
        <v>4</v>
      </c>
      <c r="AN187" s="48">
        <f t="shared" si="238"/>
        <v>0</v>
      </c>
      <c r="AO187" s="48">
        <v>322</v>
      </c>
      <c r="AP187" s="48">
        <v>320</v>
      </c>
      <c r="AQ187" s="48">
        <v>2</v>
      </c>
      <c r="AR187" s="48">
        <f t="shared" si="239"/>
        <v>0</v>
      </c>
      <c r="AS187" s="48">
        <v>0</v>
      </c>
      <c r="AT187" s="48">
        <v>0</v>
      </c>
      <c r="AU187" s="48">
        <v>0</v>
      </c>
      <c r="AV187" s="48">
        <f t="shared" si="240"/>
        <v>0</v>
      </c>
      <c r="AW187" s="48">
        <v>0</v>
      </c>
      <c r="AX187" s="48">
        <v>0</v>
      </c>
      <c r="AY187" s="48">
        <v>0</v>
      </c>
      <c r="AZ187" s="48">
        <f t="shared" si="241"/>
        <v>0</v>
      </c>
      <c r="BA187" s="48">
        <v>0</v>
      </c>
      <c r="BB187" s="48">
        <v>0</v>
      </c>
      <c r="BC187" s="48">
        <v>0</v>
      </c>
      <c r="BD187" s="48">
        <f t="shared" si="242"/>
        <v>0</v>
      </c>
      <c r="BE187" s="48">
        <v>0</v>
      </c>
      <c r="BF187" s="48">
        <v>0</v>
      </c>
      <c r="BG187" s="48">
        <v>0</v>
      </c>
      <c r="BH187" s="48">
        <f t="shared" si="243"/>
        <v>0</v>
      </c>
      <c r="BI187" s="48">
        <v>0</v>
      </c>
      <c r="BJ187" s="48">
        <v>0</v>
      </c>
      <c r="BK187" s="48">
        <v>0</v>
      </c>
      <c r="BL187" s="48">
        <f t="shared" si="244"/>
        <v>0</v>
      </c>
      <c r="BM187" s="48">
        <v>0</v>
      </c>
      <c r="BN187" s="48">
        <v>0</v>
      </c>
      <c r="BO187" s="48">
        <v>0</v>
      </c>
      <c r="BP187" s="48">
        <f t="shared" si="245"/>
        <v>0</v>
      </c>
      <c r="BQ187" s="48">
        <v>173</v>
      </c>
      <c r="BR187" s="48">
        <v>165</v>
      </c>
      <c r="BS187" s="48">
        <v>8</v>
      </c>
      <c r="BT187" s="48">
        <f t="shared" si="246"/>
        <v>0</v>
      </c>
      <c r="BU187" s="48">
        <v>1157</v>
      </c>
      <c r="BV187" s="48">
        <v>1134</v>
      </c>
      <c r="BW187" s="48">
        <v>23</v>
      </c>
      <c r="BX187" s="48">
        <f t="shared" si="247"/>
        <v>0</v>
      </c>
      <c r="BY187" s="48"/>
      <c r="BZ187" s="48"/>
      <c r="CA187" s="48"/>
      <c r="CB187" s="48">
        <f t="shared" si="248"/>
        <v>0</v>
      </c>
      <c r="CC187" s="48">
        <v>1023</v>
      </c>
      <c r="CD187" s="48">
        <v>999</v>
      </c>
      <c r="CE187" s="48">
        <v>24</v>
      </c>
      <c r="CF187" s="48">
        <f t="shared" si="249"/>
        <v>0</v>
      </c>
      <c r="CG187" s="48">
        <v>0</v>
      </c>
      <c r="CH187" s="48">
        <v>0</v>
      </c>
      <c r="CI187" s="48">
        <v>0</v>
      </c>
      <c r="CJ187" s="48">
        <f t="shared" si="250"/>
        <v>0</v>
      </c>
      <c r="CK187" s="48"/>
      <c r="CL187" s="48"/>
      <c r="CM187" s="48"/>
      <c r="CN187" s="48">
        <f t="shared" si="251"/>
        <v>0</v>
      </c>
      <c r="CO187" s="48"/>
      <c r="CP187" s="48"/>
      <c r="CQ187" s="48"/>
      <c r="CR187" s="48">
        <f t="shared" si="252"/>
        <v>0</v>
      </c>
      <c r="CS187" s="48"/>
      <c r="CT187" s="48"/>
      <c r="CU187" s="48"/>
      <c r="CV187" s="48">
        <f t="shared" si="253"/>
        <v>0</v>
      </c>
      <c r="CW187" s="48"/>
      <c r="CX187" s="48"/>
      <c r="CY187" s="48"/>
      <c r="CZ187" s="48">
        <f t="shared" si="254"/>
        <v>0</v>
      </c>
      <c r="DA187" s="48"/>
      <c r="DB187" s="48"/>
      <c r="DC187" s="48"/>
      <c r="DD187" s="48">
        <f t="shared" si="255"/>
        <v>0</v>
      </c>
      <c r="DE187" s="48"/>
      <c r="DF187" s="48"/>
      <c r="DG187" s="48"/>
      <c r="DH187" s="48">
        <f t="shared" si="256"/>
        <v>0</v>
      </c>
      <c r="DI187" s="48">
        <v>0</v>
      </c>
      <c r="DJ187" s="48">
        <v>0</v>
      </c>
      <c r="DK187" s="48">
        <v>0</v>
      </c>
      <c r="DL187" s="48">
        <f t="shared" si="257"/>
        <v>0</v>
      </c>
      <c r="DM187" s="48">
        <v>179</v>
      </c>
      <c r="DN187" s="48">
        <v>147</v>
      </c>
      <c r="DO187" s="48">
        <v>32</v>
      </c>
      <c r="DP187" s="48">
        <f t="shared" si="258"/>
        <v>0</v>
      </c>
      <c r="DQ187" s="48"/>
      <c r="DR187" s="48"/>
      <c r="DS187" s="48"/>
      <c r="DT187" s="48">
        <f t="shared" si="259"/>
        <v>0</v>
      </c>
      <c r="DU187" s="48"/>
      <c r="DV187" s="48"/>
      <c r="DW187" s="48"/>
      <c r="DX187" s="48">
        <f t="shared" si="260"/>
        <v>0</v>
      </c>
      <c r="DY187" s="48">
        <f t="shared" si="229"/>
        <v>5518</v>
      </c>
      <c r="DZ187" s="48">
        <f t="shared" si="261"/>
        <v>112</v>
      </c>
      <c r="EA187" s="14">
        <f>D187*'MASTER SHEET'!D187</f>
        <v>0</v>
      </c>
      <c r="EB187" s="14">
        <f>H187*'MASTER SHEET'!D187</f>
        <v>0</v>
      </c>
      <c r="EC187" s="14">
        <f>L187*'MASTER SHEET'!D187</f>
        <v>0</v>
      </c>
      <c r="ED187" s="14">
        <f>P187*'MASTER SHEET'!D187</f>
        <v>0</v>
      </c>
      <c r="EE187" s="14">
        <f>T187*'MASTER SHEET'!D187</f>
        <v>0</v>
      </c>
      <c r="EF187" s="14">
        <f>X187*'MASTER SHEET'!D187</f>
        <v>0</v>
      </c>
      <c r="EG187" s="14">
        <f>AB187*'MASTER SHEET'!D187</f>
        <v>0</v>
      </c>
      <c r="EH187" s="14">
        <f>AF187*'MASTER SHEET'!D187</f>
        <v>0</v>
      </c>
      <c r="EI187" s="14">
        <f>AJ187*'MASTER SHEET'!D187</f>
        <v>0</v>
      </c>
      <c r="EJ187" s="14">
        <f>AN187*'MASTER SHEET'!D187</f>
        <v>0</v>
      </c>
      <c r="EK187" s="14">
        <f>AR187*'MASTER SHEET'!D187</f>
        <v>0</v>
      </c>
      <c r="EL187" s="14">
        <f>AV187*'MASTER SHEET'!D187</f>
        <v>0</v>
      </c>
      <c r="EM187" s="14">
        <f>AZ187*'MASTER SHEET'!D187</f>
        <v>0</v>
      </c>
      <c r="EN187" s="14">
        <f>BD187*'MASTER SHEET'!D187</f>
        <v>0</v>
      </c>
      <c r="EO187" s="14">
        <f>BH187*'MASTER SHEET'!D187</f>
        <v>0</v>
      </c>
      <c r="EP187" s="14">
        <f>BL187*'MASTER SHEET'!D187</f>
        <v>0</v>
      </c>
      <c r="EQ187" s="14">
        <f>BP187*'MASTER SHEET'!D187</f>
        <v>0</v>
      </c>
      <c r="ER187" s="14">
        <f>BT187*'MASTER SHEET'!D187</f>
        <v>0</v>
      </c>
      <c r="ES187" s="14">
        <f>BX187*'MASTER SHEET'!D187</f>
        <v>0</v>
      </c>
      <c r="ET187" s="21">
        <f>CB187*'MASTER SHEET'!D187</f>
        <v>0</v>
      </c>
      <c r="EU187" s="14">
        <f>CF187*'MASTER SHEET'!D187</f>
        <v>0</v>
      </c>
      <c r="EV187" s="14">
        <f>CJ187*'MASTER SHEET'!D187</f>
        <v>0</v>
      </c>
      <c r="EW187" s="14">
        <f>CN187*'MASTER SHEET'!D187</f>
        <v>0</v>
      </c>
      <c r="EX187" s="14">
        <f>CR187*'MASTER SHEET'!D187</f>
        <v>0</v>
      </c>
      <c r="EY187" s="14">
        <f>CR187*'MASTER SHEET'!D187</f>
        <v>0</v>
      </c>
      <c r="EZ187" s="14">
        <f>CV187*'MASTER SHEET'!D187</f>
        <v>0</v>
      </c>
      <c r="FA187" s="14">
        <f>CZ187*'MASTER SHEET'!D187</f>
        <v>0</v>
      </c>
      <c r="FB187" s="14">
        <f>DD187*'MASTER SHEET'!D187</f>
        <v>0</v>
      </c>
    </row>
    <row r="188" spans="1:158" ht="18.75" customHeight="1" x14ac:dyDescent="0.25">
      <c r="A188" s="43">
        <f>'MASTER SHEET'!A188</f>
        <v>186</v>
      </c>
      <c r="B188" s="49" t="str">
        <f>'MASTER SHEET'!B188</f>
        <v>PREMIER SEALS</v>
      </c>
      <c r="C188" s="86">
        <f>'MASTER SHEET'!C188</f>
        <v>5024440</v>
      </c>
      <c r="D188" s="51"/>
      <c r="E188" s="48"/>
      <c r="F188" s="48"/>
      <c r="G188" s="48"/>
      <c r="H188" s="48">
        <f t="shared" si="230"/>
        <v>0</v>
      </c>
      <c r="I188" s="28"/>
      <c r="J188" s="28"/>
      <c r="K188" s="65"/>
      <c r="L188" s="48">
        <f t="shared" si="231"/>
        <v>0</v>
      </c>
      <c r="M188" s="48"/>
      <c r="N188" s="48"/>
      <c r="O188" s="48"/>
      <c r="P188" s="48">
        <f t="shared" si="232"/>
        <v>0</v>
      </c>
      <c r="Q188" s="48"/>
      <c r="R188" s="48"/>
      <c r="S188" s="48"/>
      <c r="T188" s="48">
        <f t="shared" si="233"/>
        <v>0</v>
      </c>
      <c r="U188" s="48">
        <v>0</v>
      </c>
      <c r="V188" s="48"/>
      <c r="W188" s="48"/>
      <c r="X188" s="48">
        <f t="shared" si="234"/>
        <v>0</v>
      </c>
      <c r="Y188" s="48"/>
      <c r="Z188" s="48"/>
      <c r="AA188" s="48"/>
      <c r="AB188" s="48">
        <f t="shared" si="235"/>
        <v>0</v>
      </c>
      <c r="AC188" s="48"/>
      <c r="AD188" s="48"/>
      <c r="AE188" s="48"/>
      <c r="AF188" s="48">
        <f t="shared" si="236"/>
        <v>0</v>
      </c>
      <c r="AG188" s="48"/>
      <c r="AH188" s="48"/>
      <c r="AI188" s="48"/>
      <c r="AJ188" s="48">
        <f t="shared" si="237"/>
        <v>0</v>
      </c>
      <c r="AK188" s="48"/>
      <c r="AL188" s="48"/>
      <c r="AM188" s="48"/>
      <c r="AN188" s="48">
        <f t="shared" si="238"/>
        <v>0</v>
      </c>
      <c r="AO188" s="48"/>
      <c r="AP188" s="48"/>
      <c r="AQ188" s="48"/>
      <c r="AR188" s="48">
        <f t="shared" si="239"/>
        <v>0</v>
      </c>
      <c r="AS188" s="48"/>
      <c r="AT188" s="48"/>
      <c r="AU188" s="48"/>
      <c r="AV188" s="48">
        <f t="shared" si="240"/>
        <v>0</v>
      </c>
      <c r="AW188" s="48"/>
      <c r="AX188" s="48"/>
      <c r="AY188" s="48"/>
      <c r="AZ188" s="48">
        <f t="shared" si="241"/>
        <v>0</v>
      </c>
      <c r="BA188" s="48"/>
      <c r="BB188" s="48"/>
      <c r="BC188" s="48"/>
      <c r="BD188" s="48">
        <f t="shared" si="242"/>
        <v>0</v>
      </c>
      <c r="BE188" s="48"/>
      <c r="BF188" s="48"/>
      <c r="BG188" s="48"/>
      <c r="BH188" s="48">
        <f t="shared" si="243"/>
        <v>0</v>
      </c>
      <c r="BI188" s="48"/>
      <c r="BJ188" s="48"/>
      <c r="BK188" s="48"/>
      <c r="BL188" s="48">
        <f t="shared" si="244"/>
        <v>0</v>
      </c>
      <c r="BM188" s="48"/>
      <c r="BN188" s="48"/>
      <c r="BO188" s="48"/>
      <c r="BP188" s="48">
        <f t="shared" si="245"/>
        <v>0</v>
      </c>
      <c r="BQ188" s="48"/>
      <c r="BR188" s="48"/>
      <c r="BS188" s="48"/>
      <c r="BT188" s="48">
        <f t="shared" si="246"/>
        <v>0</v>
      </c>
      <c r="BU188" s="48"/>
      <c r="BV188" s="48"/>
      <c r="BW188" s="48"/>
      <c r="BX188" s="48">
        <f t="shared" si="247"/>
        <v>0</v>
      </c>
      <c r="BY188" s="48"/>
      <c r="BZ188" s="48"/>
      <c r="CA188" s="48"/>
      <c r="CB188" s="48">
        <f t="shared" si="248"/>
        <v>0</v>
      </c>
      <c r="CC188" s="48"/>
      <c r="CD188" s="48"/>
      <c r="CE188" s="48"/>
      <c r="CF188" s="48">
        <f t="shared" si="249"/>
        <v>0</v>
      </c>
      <c r="CG188" s="48"/>
      <c r="CH188" s="48"/>
      <c r="CI188" s="48"/>
      <c r="CJ188" s="48">
        <f t="shared" si="250"/>
        <v>0</v>
      </c>
      <c r="CK188" s="48"/>
      <c r="CL188" s="48"/>
      <c r="CM188" s="48"/>
      <c r="CN188" s="48">
        <f t="shared" si="251"/>
        <v>0</v>
      </c>
      <c r="CO188" s="48"/>
      <c r="CP188" s="48"/>
      <c r="CQ188" s="48"/>
      <c r="CR188" s="48">
        <f t="shared" si="252"/>
        <v>0</v>
      </c>
      <c r="CS188" s="48"/>
      <c r="CT188" s="48"/>
      <c r="CU188" s="48"/>
      <c r="CV188" s="48">
        <f t="shared" si="253"/>
        <v>0</v>
      </c>
      <c r="CW188" s="48"/>
      <c r="CX188" s="48"/>
      <c r="CY188" s="48"/>
      <c r="CZ188" s="48">
        <f t="shared" si="254"/>
        <v>0</v>
      </c>
      <c r="DA188" s="48"/>
      <c r="DB188" s="48"/>
      <c r="DC188" s="48"/>
      <c r="DD188" s="48">
        <f t="shared" si="255"/>
        <v>0</v>
      </c>
      <c r="DE188" s="48"/>
      <c r="DF188" s="48"/>
      <c r="DG188" s="48"/>
      <c r="DH188" s="48">
        <f t="shared" si="256"/>
        <v>0</v>
      </c>
      <c r="DI188" s="48"/>
      <c r="DJ188" s="48"/>
      <c r="DK188" s="48"/>
      <c r="DL188" s="48">
        <f t="shared" si="257"/>
        <v>0</v>
      </c>
      <c r="DM188" s="48"/>
      <c r="DN188" s="48"/>
      <c r="DO188" s="48"/>
      <c r="DP188" s="48">
        <f t="shared" si="258"/>
        <v>0</v>
      </c>
      <c r="DQ188" s="48"/>
      <c r="DR188" s="48"/>
      <c r="DS188" s="48"/>
      <c r="DT188" s="48">
        <f t="shared" si="259"/>
        <v>0</v>
      </c>
      <c r="DU188" s="48"/>
      <c r="DV188" s="48"/>
      <c r="DW188" s="48"/>
      <c r="DX188" s="48">
        <f t="shared" si="260"/>
        <v>0</v>
      </c>
      <c r="DY188" s="48">
        <f t="shared" si="229"/>
        <v>0</v>
      </c>
      <c r="DZ188" s="48">
        <f t="shared" si="261"/>
        <v>0</v>
      </c>
      <c r="EA188" s="14">
        <f>D188*'MASTER SHEET'!D188</f>
        <v>0</v>
      </c>
      <c r="EB188" s="14">
        <f>H188*'MASTER SHEET'!D188</f>
        <v>0</v>
      </c>
      <c r="EC188" s="14">
        <f>L188*'MASTER SHEET'!D188</f>
        <v>0</v>
      </c>
      <c r="ED188" s="14">
        <f>P188*'MASTER SHEET'!D188</f>
        <v>0</v>
      </c>
      <c r="EE188" s="14">
        <f>T188*'MASTER SHEET'!D188</f>
        <v>0</v>
      </c>
      <c r="EF188" s="14">
        <f>X188*'MASTER SHEET'!D188</f>
        <v>0</v>
      </c>
      <c r="EG188" s="14">
        <f>AB188*'MASTER SHEET'!D188</f>
        <v>0</v>
      </c>
      <c r="EH188" s="14">
        <f>AF188*'MASTER SHEET'!D188</f>
        <v>0</v>
      </c>
      <c r="EI188" s="14">
        <f>AJ188*'MASTER SHEET'!D188</f>
        <v>0</v>
      </c>
      <c r="EJ188" s="14">
        <f>AN188*'MASTER SHEET'!D188</f>
        <v>0</v>
      </c>
      <c r="EK188" s="14">
        <f>AR188*'MASTER SHEET'!D188</f>
        <v>0</v>
      </c>
      <c r="EL188" s="14">
        <f>AV188*'MASTER SHEET'!D188</f>
        <v>0</v>
      </c>
      <c r="EM188" s="14">
        <f>AZ188*'MASTER SHEET'!D188</f>
        <v>0</v>
      </c>
      <c r="EN188" s="14">
        <f>BD188*'MASTER SHEET'!D188</f>
        <v>0</v>
      </c>
      <c r="EO188" s="14">
        <f>BH188*'MASTER SHEET'!D188</f>
        <v>0</v>
      </c>
      <c r="EP188" s="14">
        <f>BL188*'MASTER SHEET'!D188</f>
        <v>0</v>
      </c>
      <c r="EQ188" s="14">
        <f>BP188*'MASTER SHEET'!D188</f>
        <v>0</v>
      </c>
      <c r="ER188" s="14">
        <f>BT188*'MASTER SHEET'!D188</f>
        <v>0</v>
      </c>
      <c r="ES188" s="14">
        <f>BX188*'MASTER SHEET'!D188</f>
        <v>0</v>
      </c>
      <c r="ET188" s="21">
        <f>CB188*'MASTER SHEET'!D188</f>
        <v>0</v>
      </c>
      <c r="EU188" s="14">
        <f>CF188*'MASTER SHEET'!D188</f>
        <v>0</v>
      </c>
      <c r="EV188" s="14">
        <f>CJ188*'MASTER SHEET'!D188</f>
        <v>0</v>
      </c>
      <c r="EW188" s="14">
        <f>CN188*'MASTER SHEET'!D188</f>
        <v>0</v>
      </c>
      <c r="EX188" s="14">
        <f>CR188*'MASTER SHEET'!D188</f>
        <v>0</v>
      </c>
      <c r="EY188" s="14">
        <f>CR188*'MASTER SHEET'!D188</f>
        <v>0</v>
      </c>
      <c r="EZ188" s="14">
        <f>CV188*'MASTER SHEET'!D188</f>
        <v>0</v>
      </c>
      <c r="FA188" s="14">
        <f>CZ188*'MASTER SHEET'!D188</f>
        <v>0</v>
      </c>
      <c r="FB188" s="14">
        <f>DD188*'MASTER SHEET'!D188</f>
        <v>0</v>
      </c>
    </row>
    <row r="189" spans="1:158" ht="18.75" customHeight="1" x14ac:dyDescent="0.25">
      <c r="A189" s="43">
        <f>'MASTER SHEET'!A189</f>
        <v>187</v>
      </c>
      <c r="B189" s="49">
        <f>'MASTER SHEET'!B189</f>
        <v>0</v>
      </c>
      <c r="C189" s="86">
        <f>'MASTER SHEET'!C189</f>
        <v>5038799</v>
      </c>
      <c r="D189" s="51"/>
      <c r="E189" s="48"/>
      <c r="F189" s="48"/>
      <c r="G189" s="48"/>
      <c r="H189" s="48">
        <f t="shared" si="230"/>
        <v>0</v>
      </c>
      <c r="I189" s="28"/>
      <c r="J189" s="28"/>
      <c r="K189" s="65"/>
      <c r="L189" s="48">
        <f t="shared" si="231"/>
        <v>0</v>
      </c>
      <c r="M189" s="48"/>
      <c r="N189" s="48"/>
      <c r="O189" s="48"/>
      <c r="P189" s="48">
        <f t="shared" si="232"/>
        <v>0</v>
      </c>
      <c r="Q189" s="48"/>
      <c r="R189" s="48"/>
      <c r="S189" s="48"/>
      <c r="T189" s="48">
        <f t="shared" si="233"/>
        <v>0</v>
      </c>
      <c r="U189" s="48">
        <v>0</v>
      </c>
      <c r="V189" s="48"/>
      <c r="W189" s="48"/>
      <c r="X189" s="48">
        <f t="shared" si="234"/>
        <v>0</v>
      </c>
      <c r="Y189" s="48"/>
      <c r="Z189" s="48"/>
      <c r="AA189" s="48"/>
      <c r="AB189" s="48">
        <f t="shared" si="235"/>
        <v>0</v>
      </c>
      <c r="AC189" s="48"/>
      <c r="AD189" s="48"/>
      <c r="AE189" s="48"/>
      <c r="AF189" s="48">
        <f t="shared" si="236"/>
        <v>0</v>
      </c>
      <c r="AG189" s="48"/>
      <c r="AH189" s="48"/>
      <c r="AI189" s="48"/>
      <c r="AJ189" s="48">
        <f t="shared" si="237"/>
        <v>0</v>
      </c>
      <c r="AK189" s="48"/>
      <c r="AL189" s="48"/>
      <c r="AM189" s="48"/>
      <c r="AN189" s="48">
        <f t="shared" si="238"/>
        <v>0</v>
      </c>
      <c r="AO189" s="48"/>
      <c r="AP189" s="48"/>
      <c r="AQ189" s="48"/>
      <c r="AR189" s="48">
        <f t="shared" si="239"/>
        <v>0</v>
      </c>
      <c r="AS189" s="48"/>
      <c r="AT189" s="48"/>
      <c r="AU189" s="48"/>
      <c r="AV189" s="48">
        <f t="shared" si="240"/>
        <v>0</v>
      </c>
      <c r="AW189" s="48"/>
      <c r="AX189" s="48"/>
      <c r="AY189" s="48"/>
      <c r="AZ189" s="48">
        <f t="shared" si="241"/>
        <v>0</v>
      </c>
      <c r="BA189" s="48"/>
      <c r="BB189" s="48"/>
      <c r="BC189" s="48"/>
      <c r="BD189" s="48">
        <f t="shared" si="242"/>
        <v>0</v>
      </c>
      <c r="BE189" s="48"/>
      <c r="BF189" s="48"/>
      <c r="BG189" s="48"/>
      <c r="BH189" s="48">
        <f t="shared" si="243"/>
        <v>0</v>
      </c>
      <c r="BI189" s="48"/>
      <c r="BJ189" s="48"/>
      <c r="BK189" s="48"/>
      <c r="BL189" s="48">
        <f t="shared" si="244"/>
        <v>0</v>
      </c>
      <c r="BM189" s="48"/>
      <c r="BN189" s="48"/>
      <c r="BO189" s="48"/>
      <c r="BP189" s="48">
        <f t="shared" si="245"/>
        <v>0</v>
      </c>
      <c r="BQ189" s="48"/>
      <c r="BR189" s="48"/>
      <c r="BS189" s="48"/>
      <c r="BT189" s="48">
        <f t="shared" si="246"/>
        <v>0</v>
      </c>
      <c r="BU189" s="48"/>
      <c r="BV189" s="48"/>
      <c r="BW189" s="48"/>
      <c r="BX189" s="48">
        <f t="shared" si="247"/>
        <v>0</v>
      </c>
      <c r="BY189" s="48"/>
      <c r="BZ189" s="48"/>
      <c r="CA189" s="48"/>
      <c r="CB189" s="48">
        <f t="shared" si="248"/>
        <v>0</v>
      </c>
      <c r="CC189" s="48"/>
      <c r="CD189" s="48"/>
      <c r="CE189" s="48"/>
      <c r="CF189" s="48">
        <f t="shared" si="249"/>
        <v>0</v>
      </c>
      <c r="CG189" s="48"/>
      <c r="CH189" s="48"/>
      <c r="CI189" s="48"/>
      <c r="CJ189" s="48">
        <f t="shared" si="250"/>
        <v>0</v>
      </c>
      <c r="CK189" s="48"/>
      <c r="CL189" s="48"/>
      <c r="CM189" s="48"/>
      <c r="CN189" s="48">
        <f t="shared" si="251"/>
        <v>0</v>
      </c>
      <c r="CO189" s="48"/>
      <c r="CP189" s="48"/>
      <c r="CQ189" s="48"/>
      <c r="CR189" s="48">
        <f t="shared" si="252"/>
        <v>0</v>
      </c>
      <c r="CS189" s="48"/>
      <c r="CT189" s="48"/>
      <c r="CU189" s="48"/>
      <c r="CV189" s="48">
        <f t="shared" si="253"/>
        <v>0</v>
      </c>
      <c r="CW189" s="48"/>
      <c r="CX189" s="48"/>
      <c r="CY189" s="48"/>
      <c r="CZ189" s="48">
        <f t="shared" si="254"/>
        <v>0</v>
      </c>
      <c r="DA189" s="48"/>
      <c r="DB189" s="48"/>
      <c r="DC189" s="48"/>
      <c r="DD189" s="48">
        <f t="shared" si="255"/>
        <v>0</v>
      </c>
      <c r="DE189" s="48"/>
      <c r="DF189" s="48"/>
      <c r="DG189" s="48"/>
      <c r="DH189" s="48">
        <f t="shared" si="256"/>
        <v>0</v>
      </c>
      <c r="DI189" s="48"/>
      <c r="DJ189" s="48"/>
      <c r="DK189" s="48"/>
      <c r="DL189" s="48">
        <f t="shared" si="257"/>
        <v>0</v>
      </c>
      <c r="DM189" s="48"/>
      <c r="DN189" s="48"/>
      <c r="DO189" s="48"/>
      <c r="DP189" s="48">
        <f t="shared" si="258"/>
        <v>0</v>
      </c>
      <c r="DQ189" s="48"/>
      <c r="DR189" s="48"/>
      <c r="DS189" s="48"/>
      <c r="DT189" s="48">
        <f t="shared" si="259"/>
        <v>0</v>
      </c>
      <c r="DU189" s="48"/>
      <c r="DV189" s="48"/>
      <c r="DW189" s="48"/>
      <c r="DX189" s="48">
        <f t="shared" si="260"/>
        <v>0</v>
      </c>
      <c r="DY189" s="48">
        <f t="shared" si="229"/>
        <v>0</v>
      </c>
      <c r="DZ189" s="48">
        <f t="shared" si="261"/>
        <v>0</v>
      </c>
      <c r="EA189" s="14">
        <f>D189*'MASTER SHEET'!D189</f>
        <v>0</v>
      </c>
      <c r="EB189" s="14">
        <f>H189*'MASTER SHEET'!D189</f>
        <v>0</v>
      </c>
      <c r="EC189" s="14">
        <f>L189*'MASTER SHEET'!D189</f>
        <v>0</v>
      </c>
      <c r="ED189" s="14">
        <f>P189*'MASTER SHEET'!D189</f>
        <v>0</v>
      </c>
      <c r="EE189" s="14">
        <f>T189*'MASTER SHEET'!D189</f>
        <v>0</v>
      </c>
      <c r="EF189" s="14">
        <f>X189*'MASTER SHEET'!D189</f>
        <v>0</v>
      </c>
      <c r="EG189" s="14">
        <f>AB189*'MASTER SHEET'!D189</f>
        <v>0</v>
      </c>
      <c r="EH189" s="14">
        <f>AF189*'MASTER SHEET'!D189</f>
        <v>0</v>
      </c>
      <c r="EI189" s="14">
        <f>AJ189*'MASTER SHEET'!D189</f>
        <v>0</v>
      </c>
      <c r="EJ189" s="14">
        <f>AN189*'MASTER SHEET'!D189</f>
        <v>0</v>
      </c>
      <c r="EK189" s="14">
        <f>AR189*'MASTER SHEET'!D189</f>
        <v>0</v>
      </c>
      <c r="EL189" s="14">
        <f>AV189*'MASTER SHEET'!D189</f>
        <v>0</v>
      </c>
      <c r="EM189" s="14">
        <f>AZ189*'MASTER SHEET'!D189</f>
        <v>0</v>
      </c>
      <c r="EN189" s="14">
        <f>BD189*'MASTER SHEET'!D189</f>
        <v>0</v>
      </c>
      <c r="EO189" s="14">
        <f>BH189*'MASTER SHEET'!D189</f>
        <v>0</v>
      </c>
      <c r="EP189" s="14">
        <f>BL189*'MASTER SHEET'!D189</f>
        <v>0</v>
      </c>
      <c r="EQ189" s="14">
        <f>BP189*'MASTER SHEET'!D189</f>
        <v>0</v>
      </c>
      <c r="ER189" s="14">
        <f>BT189*'MASTER SHEET'!D189</f>
        <v>0</v>
      </c>
      <c r="ES189" s="14">
        <f>BX189*'MASTER SHEET'!D189</f>
        <v>0</v>
      </c>
      <c r="ET189" s="21">
        <f>CB189*'MASTER SHEET'!D189</f>
        <v>0</v>
      </c>
      <c r="EU189" s="14">
        <f>CF189*'MASTER SHEET'!D189</f>
        <v>0</v>
      </c>
      <c r="EV189" s="14">
        <f>CJ189*'MASTER SHEET'!D189</f>
        <v>0</v>
      </c>
      <c r="EW189" s="14">
        <f>CN189*'MASTER SHEET'!D189</f>
        <v>0</v>
      </c>
      <c r="EX189" s="14">
        <f>CR189*'MASTER SHEET'!D189</f>
        <v>0</v>
      </c>
      <c r="EY189" s="14">
        <f>CR189*'MASTER SHEET'!D189</f>
        <v>0</v>
      </c>
      <c r="EZ189" s="14">
        <f>CV189*'MASTER SHEET'!D189</f>
        <v>0</v>
      </c>
      <c r="FA189" s="14">
        <f>CZ189*'MASTER SHEET'!D189</f>
        <v>0</v>
      </c>
      <c r="FB189" s="14">
        <f>DD189*'MASTER SHEET'!D189</f>
        <v>0</v>
      </c>
    </row>
    <row r="190" spans="1:158" ht="18.75" customHeight="1" x14ac:dyDescent="0.25">
      <c r="A190" s="43">
        <f>'MASTER SHEET'!A190</f>
        <v>188</v>
      </c>
      <c r="B190" s="49" t="str">
        <f>'MASTER SHEET'!B190</f>
        <v>COVER PLASTIC</v>
      </c>
      <c r="C190" s="86">
        <f>'MASTER SHEET'!C190</f>
        <v>5013929</v>
      </c>
      <c r="D190" s="51"/>
      <c r="E190" s="48"/>
      <c r="F190" s="48"/>
      <c r="G190" s="48"/>
      <c r="H190" s="48">
        <f t="shared" si="230"/>
        <v>0</v>
      </c>
      <c r="I190" s="28"/>
      <c r="J190" s="28"/>
      <c r="K190" s="65"/>
      <c r="L190" s="48">
        <f t="shared" si="231"/>
        <v>0</v>
      </c>
      <c r="M190" s="48"/>
      <c r="N190" s="48"/>
      <c r="O190" s="48"/>
      <c r="P190" s="48">
        <f t="shared" si="232"/>
        <v>0</v>
      </c>
      <c r="Q190" s="48"/>
      <c r="R190" s="48"/>
      <c r="S190" s="48"/>
      <c r="T190" s="48">
        <f t="shared" si="233"/>
        <v>0</v>
      </c>
      <c r="U190" s="48">
        <v>0</v>
      </c>
      <c r="V190" s="48"/>
      <c r="W190" s="48"/>
      <c r="X190" s="48">
        <f t="shared" si="234"/>
        <v>0</v>
      </c>
      <c r="Y190" s="48"/>
      <c r="Z190" s="48"/>
      <c r="AA190" s="48"/>
      <c r="AB190" s="48">
        <f t="shared" si="235"/>
        <v>0</v>
      </c>
      <c r="AC190" s="48"/>
      <c r="AD190" s="48"/>
      <c r="AE190" s="48"/>
      <c r="AF190" s="48">
        <f t="shared" si="236"/>
        <v>0</v>
      </c>
      <c r="AG190" s="48"/>
      <c r="AH190" s="48"/>
      <c r="AI190" s="48"/>
      <c r="AJ190" s="48">
        <f t="shared" si="237"/>
        <v>0</v>
      </c>
      <c r="AK190" s="48"/>
      <c r="AL190" s="48"/>
      <c r="AM190" s="48"/>
      <c r="AN190" s="48">
        <f t="shared" si="238"/>
        <v>0</v>
      </c>
      <c r="AO190" s="48"/>
      <c r="AP190" s="48"/>
      <c r="AQ190" s="48"/>
      <c r="AR190" s="48">
        <f t="shared" si="239"/>
        <v>0</v>
      </c>
      <c r="AS190" s="48"/>
      <c r="AT190" s="48"/>
      <c r="AU190" s="48"/>
      <c r="AV190" s="48">
        <f t="shared" si="240"/>
        <v>0</v>
      </c>
      <c r="AW190" s="48"/>
      <c r="AX190" s="48"/>
      <c r="AY190" s="48"/>
      <c r="AZ190" s="48">
        <f t="shared" si="241"/>
        <v>0</v>
      </c>
      <c r="BA190" s="48"/>
      <c r="BB190" s="48"/>
      <c r="BC190" s="48"/>
      <c r="BD190" s="48">
        <f t="shared" si="242"/>
        <v>0</v>
      </c>
      <c r="BE190" s="48"/>
      <c r="BF190" s="48"/>
      <c r="BG190" s="48"/>
      <c r="BH190" s="48">
        <f t="shared" si="243"/>
        <v>0</v>
      </c>
      <c r="BI190" s="48"/>
      <c r="BJ190" s="48"/>
      <c r="BK190" s="48"/>
      <c r="BL190" s="48">
        <f t="shared" si="244"/>
        <v>0</v>
      </c>
      <c r="BM190" s="48"/>
      <c r="BN190" s="48"/>
      <c r="BO190" s="48"/>
      <c r="BP190" s="48">
        <f t="shared" si="245"/>
        <v>0</v>
      </c>
      <c r="BQ190" s="48"/>
      <c r="BR190" s="48"/>
      <c r="BS190" s="48"/>
      <c r="BT190" s="48">
        <f t="shared" si="246"/>
        <v>0</v>
      </c>
      <c r="BU190" s="48"/>
      <c r="BV190" s="48"/>
      <c r="BW190" s="48"/>
      <c r="BX190" s="48">
        <f t="shared" si="247"/>
        <v>0</v>
      </c>
      <c r="BY190" s="48"/>
      <c r="BZ190" s="48"/>
      <c r="CA190" s="48"/>
      <c r="CB190" s="48">
        <f t="shared" si="248"/>
        <v>0</v>
      </c>
      <c r="CC190" s="48"/>
      <c r="CD190" s="48"/>
      <c r="CE190" s="48"/>
      <c r="CF190" s="48">
        <f t="shared" si="249"/>
        <v>0</v>
      </c>
      <c r="CG190" s="48"/>
      <c r="CH190" s="48"/>
      <c r="CI190" s="48"/>
      <c r="CJ190" s="48">
        <f t="shared" si="250"/>
        <v>0</v>
      </c>
      <c r="CK190" s="48"/>
      <c r="CL190" s="48"/>
      <c r="CM190" s="48"/>
      <c r="CN190" s="48">
        <f t="shared" si="251"/>
        <v>0</v>
      </c>
      <c r="CO190" s="48"/>
      <c r="CP190" s="48"/>
      <c r="CQ190" s="48"/>
      <c r="CR190" s="48">
        <f t="shared" si="252"/>
        <v>0</v>
      </c>
      <c r="CS190" s="48"/>
      <c r="CT190" s="48"/>
      <c r="CU190" s="48"/>
      <c r="CV190" s="48">
        <f t="shared" si="253"/>
        <v>0</v>
      </c>
      <c r="CW190" s="48"/>
      <c r="CX190" s="48"/>
      <c r="CY190" s="48"/>
      <c r="CZ190" s="48">
        <f t="shared" si="254"/>
        <v>0</v>
      </c>
      <c r="DA190" s="48"/>
      <c r="DB190" s="48"/>
      <c r="DC190" s="48"/>
      <c r="DD190" s="48">
        <f t="shared" si="255"/>
        <v>0</v>
      </c>
      <c r="DE190" s="48"/>
      <c r="DF190" s="48"/>
      <c r="DG190" s="48"/>
      <c r="DH190" s="48">
        <f t="shared" si="256"/>
        <v>0</v>
      </c>
      <c r="DI190" s="48"/>
      <c r="DJ190" s="48"/>
      <c r="DK190" s="48"/>
      <c r="DL190" s="48">
        <f t="shared" si="257"/>
        <v>0</v>
      </c>
      <c r="DM190" s="48"/>
      <c r="DN190" s="48"/>
      <c r="DO190" s="48"/>
      <c r="DP190" s="48">
        <f t="shared" si="258"/>
        <v>0</v>
      </c>
      <c r="DQ190" s="48"/>
      <c r="DR190" s="48"/>
      <c r="DS190" s="48"/>
      <c r="DT190" s="48">
        <f t="shared" si="259"/>
        <v>0</v>
      </c>
      <c r="DU190" s="48"/>
      <c r="DV190" s="48"/>
      <c r="DW190" s="48"/>
      <c r="DX190" s="48">
        <f t="shared" si="260"/>
        <v>0</v>
      </c>
      <c r="DY190" s="48">
        <f t="shared" si="229"/>
        <v>0</v>
      </c>
      <c r="DZ190" s="48">
        <f t="shared" si="261"/>
        <v>0</v>
      </c>
      <c r="EA190" s="14">
        <f>D190*'MASTER SHEET'!D190</f>
        <v>0</v>
      </c>
      <c r="EB190" s="14">
        <f>H190*'MASTER SHEET'!D190</f>
        <v>0</v>
      </c>
      <c r="EC190" s="14">
        <f>L190*'MASTER SHEET'!D190</f>
        <v>0</v>
      </c>
      <c r="ED190" s="14">
        <f>P190*'MASTER SHEET'!D190</f>
        <v>0</v>
      </c>
      <c r="EE190" s="14">
        <f>T190*'MASTER SHEET'!D190</f>
        <v>0</v>
      </c>
      <c r="EF190" s="14">
        <f>X190*'MASTER SHEET'!D190</f>
        <v>0</v>
      </c>
      <c r="EG190" s="14">
        <f>AB190*'MASTER SHEET'!D190</f>
        <v>0</v>
      </c>
      <c r="EH190" s="14">
        <f>AF190*'MASTER SHEET'!D190</f>
        <v>0</v>
      </c>
      <c r="EI190" s="14">
        <f>AJ190*'MASTER SHEET'!D190</f>
        <v>0</v>
      </c>
      <c r="EJ190" s="14">
        <f>AN190*'MASTER SHEET'!D190</f>
        <v>0</v>
      </c>
      <c r="EK190" s="14">
        <f>AR190*'MASTER SHEET'!D190</f>
        <v>0</v>
      </c>
      <c r="EL190" s="14">
        <f>AV190*'MASTER SHEET'!D190</f>
        <v>0</v>
      </c>
      <c r="EM190" s="14">
        <f>AZ190*'MASTER SHEET'!D190</f>
        <v>0</v>
      </c>
      <c r="EN190" s="14">
        <f>BD190*'MASTER SHEET'!D190</f>
        <v>0</v>
      </c>
      <c r="EO190" s="14">
        <f>BH190*'MASTER SHEET'!D190</f>
        <v>0</v>
      </c>
      <c r="EP190" s="14">
        <f>BL190*'MASTER SHEET'!D190</f>
        <v>0</v>
      </c>
      <c r="EQ190" s="14">
        <f>BP190*'MASTER SHEET'!D190</f>
        <v>0</v>
      </c>
      <c r="ER190" s="14">
        <f>BT190*'MASTER SHEET'!D190</f>
        <v>0</v>
      </c>
      <c r="ES190" s="14">
        <f>BX190*'MASTER SHEET'!D190</f>
        <v>0</v>
      </c>
      <c r="ET190" s="21">
        <f>CB190*'MASTER SHEET'!D190</f>
        <v>0</v>
      </c>
      <c r="EU190" s="14">
        <f>CF190*'MASTER SHEET'!D190</f>
        <v>0</v>
      </c>
      <c r="EV190" s="14">
        <f>CJ190*'MASTER SHEET'!D190</f>
        <v>0</v>
      </c>
      <c r="EW190" s="14">
        <f>CN190*'MASTER SHEET'!D190</f>
        <v>0</v>
      </c>
      <c r="EX190" s="14">
        <f>CR190*'MASTER SHEET'!D190</f>
        <v>0</v>
      </c>
      <c r="EY190" s="14">
        <f>CR190*'MASTER SHEET'!D190</f>
        <v>0</v>
      </c>
      <c r="EZ190" s="14">
        <f>CV190*'MASTER SHEET'!D190</f>
        <v>0</v>
      </c>
      <c r="FA190" s="14">
        <f>CZ190*'MASTER SHEET'!D190</f>
        <v>0</v>
      </c>
      <c r="FB190" s="14">
        <f>DD190*'MASTER SHEET'!D190</f>
        <v>0</v>
      </c>
    </row>
    <row r="191" spans="1:158" ht="18.75" customHeight="1" x14ac:dyDescent="0.25">
      <c r="A191" s="43">
        <f>'MASTER SHEET'!A191</f>
        <v>189</v>
      </c>
      <c r="B191" s="49">
        <f>'MASTER SHEET'!B191</f>
        <v>0</v>
      </c>
      <c r="C191" s="86">
        <f>'MASTER SHEET'!C191</f>
        <v>5045480</v>
      </c>
      <c r="D191" s="51"/>
      <c r="E191" s="48"/>
      <c r="F191" s="48"/>
      <c r="G191" s="48"/>
      <c r="H191" s="48">
        <f t="shared" si="230"/>
        <v>0</v>
      </c>
      <c r="I191" s="28"/>
      <c r="J191" s="28"/>
      <c r="K191" s="65"/>
      <c r="L191" s="48">
        <f t="shared" si="231"/>
        <v>0</v>
      </c>
      <c r="M191" s="48"/>
      <c r="N191" s="48"/>
      <c r="O191" s="48"/>
      <c r="P191" s="48">
        <f t="shared" si="232"/>
        <v>0</v>
      </c>
      <c r="Q191" s="48"/>
      <c r="R191" s="48"/>
      <c r="S191" s="48"/>
      <c r="T191" s="48">
        <f t="shared" si="233"/>
        <v>0</v>
      </c>
      <c r="U191" s="48">
        <v>0</v>
      </c>
      <c r="V191" s="48"/>
      <c r="W191" s="48"/>
      <c r="X191" s="48">
        <f t="shared" si="234"/>
        <v>0</v>
      </c>
      <c r="Y191" s="48"/>
      <c r="Z191" s="48"/>
      <c r="AA191" s="48"/>
      <c r="AB191" s="48">
        <f t="shared" si="235"/>
        <v>0</v>
      </c>
      <c r="AC191" s="48"/>
      <c r="AD191" s="48"/>
      <c r="AE191" s="48"/>
      <c r="AF191" s="48">
        <f t="shared" si="236"/>
        <v>0</v>
      </c>
      <c r="AG191" s="48"/>
      <c r="AH191" s="48"/>
      <c r="AI191" s="48"/>
      <c r="AJ191" s="48">
        <f t="shared" si="237"/>
        <v>0</v>
      </c>
      <c r="AK191" s="48"/>
      <c r="AL191" s="48"/>
      <c r="AM191" s="48"/>
      <c r="AN191" s="48">
        <f t="shared" si="238"/>
        <v>0</v>
      </c>
      <c r="AO191" s="48"/>
      <c r="AP191" s="48"/>
      <c r="AQ191" s="48"/>
      <c r="AR191" s="48">
        <f t="shared" si="239"/>
        <v>0</v>
      </c>
      <c r="AS191" s="48"/>
      <c r="AT191" s="48"/>
      <c r="AU191" s="48"/>
      <c r="AV191" s="48">
        <f t="shared" si="240"/>
        <v>0</v>
      </c>
      <c r="AW191" s="48"/>
      <c r="AX191" s="48"/>
      <c r="AY191" s="48"/>
      <c r="AZ191" s="48">
        <f t="shared" si="241"/>
        <v>0</v>
      </c>
      <c r="BA191" s="48"/>
      <c r="BB191" s="48"/>
      <c r="BC191" s="48"/>
      <c r="BD191" s="48">
        <f t="shared" si="242"/>
        <v>0</v>
      </c>
      <c r="BE191" s="48"/>
      <c r="BF191" s="48"/>
      <c r="BG191" s="48"/>
      <c r="BH191" s="48">
        <f t="shared" si="243"/>
        <v>0</v>
      </c>
      <c r="BI191" s="48"/>
      <c r="BJ191" s="48"/>
      <c r="BK191" s="48"/>
      <c r="BL191" s="48">
        <f t="shared" si="244"/>
        <v>0</v>
      </c>
      <c r="BM191" s="48"/>
      <c r="BN191" s="48"/>
      <c r="BO191" s="48"/>
      <c r="BP191" s="48">
        <f t="shared" si="245"/>
        <v>0</v>
      </c>
      <c r="BQ191" s="48"/>
      <c r="BR191" s="48"/>
      <c r="BS191" s="48"/>
      <c r="BT191" s="48">
        <f t="shared" si="246"/>
        <v>0</v>
      </c>
      <c r="BU191" s="48"/>
      <c r="BV191" s="48"/>
      <c r="BW191" s="48"/>
      <c r="BX191" s="48">
        <f t="shared" si="247"/>
        <v>0</v>
      </c>
      <c r="BY191" s="48"/>
      <c r="BZ191" s="48"/>
      <c r="CA191" s="48"/>
      <c r="CB191" s="48">
        <f t="shared" si="248"/>
        <v>0</v>
      </c>
      <c r="CC191" s="48"/>
      <c r="CD191" s="48"/>
      <c r="CE191" s="48"/>
      <c r="CF191" s="48">
        <f t="shared" si="249"/>
        <v>0</v>
      </c>
      <c r="CG191" s="48"/>
      <c r="CH191" s="48"/>
      <c r="CI191" s="48"/>
      <c r="CJ191" s="48">
        <f t="shared" si="250"/>
        <v>0</v>
      </c>
      <c r="CK191" s="48"/>
      <c r="CL191" s="48"/>
      <c r="CM191" s="48"/>
      <c r="CN191" s="48">
        <f t="shared" si="251"/>
        <v>0</v>
      </c>
      <c r="CO191" s="48"/>
      <c r="CP191" s="48"/>
      <c r="CQ191" s="48"/>
      <c r="CR191" s="48">
        <f t="shared" si="252"/>
        <v>0</v>
      </c>
      <c r="CS191" s="48"/>
      <c r="CT191" s="48"/>
      <c r="CU191" s="48"/>
      <c r="CV191" s="48">
        <f t="shared" si="253"/>
        <v>0</v>
      </c>
      <c r="CW191" s="48"/>
      <c r="CX191" s="48"/>
      <c r="CY191" s="48"/>
      <c r="CZ191" s="48">
        <f t="shared" si="254"/>
        <v>0</v>
      </c>
      <c r="DA191" s="48"/>
      <c r="DB191" s="48"/>
      <c r="DC191" s="48"/>
      <c r="DD191" s="48">
        <f t="shared" si="255"/>
        <v>0</v>
      </c>
      <c r="DE191" s="48"/>
      <c r="DF191" s="48"/>
      <c r="DG191" s="48"/>
      <c r="DH191" s="48">
        <f t="shared" si="256"/>
        <v>0</v>
      </c>
      <c r="DI191" s="48"/>
      <c r="DJ191" s="48"/>
      <c r="DK191" s="48"/>
      <c r="DL191" s="48">
        <f t="shared" si="257"/>
        <v>0</v>
      </c>
      <c r="DM191" s="48"/>
      <c r="DN191" s="48"/>
      <c r="DO191" s="48"/>
      <c r="DP191" s="48">
        <f t="shared" si="258"/>
        <v>0</v>
      </c>
      <c r="DQ191" s="48"/>
      <c r="DR191" s="48"/>
      <c r="DS191" s="48"/>
      <c r="DT191" s="48">
        <f t="shared" si="259"/>
        <v>0</v>
      </c>
      <c r="DU191" s="48"/>
      <c r="DV191" s="48"/>
      <c r="DW191" s="48"/>
      <c r="DX191" s="48">
        <f t="shared" si="260"/>
        <v>0</v>
      </c>
      <c r="DY191" s="48">
        <f t="shared" si="229"/>
        <v>0</v>
      </c>
      <c r="DZ191" s="48">
        <f t="shared" si="261"/>
        <v>0</v>
      </c>
      <c r="EA191" s="14">
        <f>D191*'MASTER SHEET'!D191</f>
        <v>0</v>
      </c>
      <c r="EB191" s="14">
        <f>H191*'MASTER SHEET'!D191</f>
        <v>0</v>
      </c>
      <c r="EC191" s="14">
        <f>L191*'MASTER SHEET'!D191</f>
        <v>0</v>
      </c>
      <c r="ED191" s="14">
        <f>P191*'MASTER SHEET'!D191</f>
        <v>0</v>
      </c>
      <c r="EE191" s="14">
        <f>T191*'MASTER SHEET'!D191</f>
        <v>0</v>
      </c>
      <c r="EF191" s="14">
        <f>X191*'MASTER SHEET'!D191</f>
        <v>0</v>
      </c>
      <c r="EG191" s="14">
        <f>AB191*'MASTER SHEET'!D191</f>
        <v>0</v>
      </c>
      <c r="EH191" s="14">
        <f>AF191*'MASTER SHEET'!D191</f>
        <v>0</v>
      </c>
      <c r="EI191" s="14">
        <f>AJ191*'MASTER SHEET'!D191</f>
        <v>0</v>
      </c>
      <c r="EJ191" s="14">
        <f>AN191*'MASTER SHEET'!D191</f>
        <v>0</v>
      </c>
      <c r="EK191" s="14">
        <f>AR191*'MASTER SHEET'!D191</f>
        <v>0</v>
      </c>
      <c r="EL191" s="14">
        <f>AV191*'MASTER SHEET'!D191</f>
        <v>0</v>
      </c>
      <c r="EM191" s="14">
        <f>AZ191*'MASTER SHEET'!D191</f>
        <v>0</v>
      </c>
      <c r="EN191" s="14">
        <f>BD191*'MASTER SHEET'!D191</f>
        <v>0</v>
      </c>
      <c r="EO191" s="14">
        <f>BH191*'MASTER SHEET'!D191</f>
        <v>0</v>
      </c>
      <c r="EP191" s="14">
        <f>BL191*'MASTER SHEET'!D191</f>
        <v>0</v>
      </c>
      <c r="EQ191" s="14">
        <f>BP191*'MASTER SHEET'!D191</f>
        <v>0</v>
      </c>
      <c r="ER191" s="14">
        <f>BT191*'MASTER SHEET'!D191</f>
        <v>0</v>
      </c>
      <c r="ES191" s="14">
        <f>BX191*'MASTER SHEET'!D191</f>
        <v>0</v>
      </c>
      <c r="ET191" s="21">
        <f>CB191*'MASTER SHEET'!D191</f>
        <v>0</v>
      </c>
      <c r="EU191" s="14">
        <f>CF191*'MASTER SHEET'!D191</f>
        <v>0</v>
      </c>
      <c r="EV191" s="14">
        <f>CJ191*'MASTER SHEET'!D191</f>
        <v>0</v>
      </c>
      <c r="EW191" s="14">
        <f>CN191*'MASTER SHEET'!D191</f>
        <v>0</v>
      </c>
      <c r="EX191" s="14">
        <f>CR191*'MASTER SHEET'!D191</f>
        <v>0</v>
      </c>
      <c r="EY191" s="14">
        <f>CR191*'MASTER SHEET'!D191</f>
        <v>0</v>
      </c>
      <c r="EZ191" s="14">
        <f>CV191*'MASTER SHEET'!D191</f>
        <v>0</v>
      </c>
      <c r="FA191" s="14">
        <f>CZ191*'MASTER SHEET'!D191</f>
        <v>0</v>
      </c>
      <c r="FB191" s="14">
        <f>DD191*'MASTER SHEET'!D191</f>
        <v>0</v>
      </c>
    </row>
    <row r="192" spans="1:158" ht="18.75" customHeight="1" x14ac:dyDescent="0.25">
      <c r="A192" s="43">
        <f>'MASTER SHEET'!A192</f>
        <v>190</v>
      </c>
      <c r="B192" s="49" t="str">
        <f>'MASTER SHEET'!B192</f>
        <v>CAGE ASSY.</v>
      </c>
      <c r="C192" s="86">
        <f>'MASTER SHEET'!C192</f>
        <v>5043164</v>
      </c>
      <c r="D192" s="51"/>
      <c r="E192" s="48"/>
      <c r="F192" s="48"/>
      <c r="G192" s="48"/>
      <c r="H192" s="48">
        <f t="shared" si="230"/>
        <v>0</v>
      </c>
      <c r="I192" s="28"/>
      <c r="J192" s="28"/>
      <c r="K192" s="65"/>
      <c r="L192" s="48">
        <f t="shared" si="231"/>
        <v>0</v>
      </c>
      <c r="M192" s="48"/>
      <c r="N192" s="48"/>
      <c r="O192" s="48"/>
      <c r="P192" s="48">
        <f t="shared" si="232"/>
        <v>0</v>
      </c>
      <c r="Q192" s="48"/>
      <c r="R192" s="48"/>
      <c r="S192" s="48"/>
      <c r="T192" s="48">
        <f t="shared" si="233"/>
        <v>0</v>
      </c>
      <c r="U192" s="48">
        <v>0</v>
      </c>
      <c r="V192" s="48"/>
      <c r="W192" s="48"/>
      <c r="X192" s="48">
        <f t="shared" si="234"/>
        <v>0</v>
      </c>
      <c r="Y192" s="48"/>
      <c r="Z192" s="48"/>
      <c r="AA192" s="48"/>
      <c r="AB192" s="48">
        <f t="shared" si="235"/>
        <v>0</v>
      </c>
      <c r="AC192" s="48"/>
      <c r="AD192" s="48"/>
      <c r="AE192" s="48"/>
      <c r="AF192" s="48">
        <f t="shared" si="236"/>
        <v>0</v>
      </c>
      <c r="AG192" s="48"/>
      <c r="AH192" s="48"/>
      <c r="AI192" s="48"/>
      <c r="AJ192" s="48">
        <f t="shared" si="237"/>
        <v>0</v>
      </c>
      <c r="AK192" s="48"/>
      <c r="AL192" s="48"/>
      <c r="AM192" s="48"/>
      <c r="AN192" s="48">
        <f t="shared" si="238"/>
        <v>0</v>
      </c>
      <c r="AO192" s="48"/>
      <c r="AP192" s="48"/>
      <c r="AQ192" s="48"/>
      <c r="AR192" s="48">
        <f t="shared" si="239"/>
        <v>0</v>
      </c>
      <c r="AS192" s="48"/>
      <c r="AT192" s="48"/>
      <c r="AU192" s="48"/>
      <c r="AV192" s="48">
        <f t="shared" si="240"/>
        <v>0</v>
      </c>
      <c r="AW192" s="48"/>
      <c r="AX192" s="48"/>
      <c r="AY192" s="48"/>
      <c r="AZ192" s="48">
        <f t="shared" si="241"/>
        <v>0</v>
      </c>
      <c r="BA192" s="48"/>
      <c r="BB192" s="48"/>
      <c r="BC192" s="48"/>
      <c r="BD192" s="48">
        <f t="shared" si="242"/>
        <v>0</v>
      </c>
      <c r="BE192" s="48"/>
      <c r="BF192" s="48"/>
      <c r="BG192" s="48"/>
      <c r="BH192" s="48">
        <f t="shared" si="243"/>
        <v>0</v>
      </c>
      <c r="BI192" s="48"/>
      <c r="BJ192" s="48"/>
      <c r="BK192" s="48"/>
      <c r="BL192" s="48">
        <f t="shared" si="244"/>
        <v>0</v>
      </c>
      <c r="BM192" s="48"/>
      <c r="BN192" s="48"/>
      <c r="BO192" s="48"/>
      <c r="BP192" s="48">
        <f t="shared" si="245"/>
        <v>0</v>
      </c>
      <c r="BQ192" s="48"/>
      <c r="BR192" s="48"/>
      <c r="BS192" s="48"/>
      <c r="BT192" s="48">
        <f t="shared" si="246"/>
        <v>0</v>
      </c>
      <c r="BU192" s="48"/>
      <c r="BV192" s="48"/>
      <c r="BW192" s="48"/>
      <c r="BX192" s="48">
        <f t="shared" si="247"/>
        <v>0</v>
      </c>
      <c r="BY192" s="48"/>
      <c r="BZ192" s="48"/>
      <c r="CA192" s="48"/>
      <c r="CB192" s="48">
        <f t="shared" si="248"/>
        <v>0</v>
      </c>
      <c r="CC192" s="48"/>
      <c r="CD192" s="48"/>
      <c r="CE192" s="48"/>
      <c r="CF192" s="48">
        <f t="shared" si="249"/>
        <v>0</v>
      </c>
      <c r="CG192" s="48"/>
      <c r="CH192" s="48"/>
      <c r="CI192" s="48"/>
      <c r="CJ192" s="48">
        <f t="shared" si="250"/>
        <v>0</v>
      </c>
      <c r="CK192" s="48"/>
      <c r="CL192" s="48"/>
      <c r="CM192" s="48"/>
      <c r="CN192" s="48">
        <f t="shared" si="251"/>
        <v>0</v>
      </c>
      <c r="CO192" s="48"/>
      <c r="CP192" s="48"/>
      <c r="CQ192" s="48"/>
      <c r="CR192" s="48">
        <f t="shared" si="252"/>
        <v>0</v>
      </c>
      <c r="CS192" s="48"/>
      <c r="CT192" s="48"/>
      <c r="CU192" s="48"/>
      <c r="CV192" s="48">
        <f t="shared" si="253"/>
        <v>0</v>
      </c>
      <c r="CW192" s="48"/>
      <c r="CX192" s="48"/>
      <c r="CY192" s="48"/>
      <c r="CZ192" s="48">
        <f t="shared" si="254"/>
        <v>0</v>
      </c>
      <c r="DA192" s="48"/>
      <c r="DB192" s="48"/>
      <c r="DC192" s="48"/>
      <c r="DD192" s="48">
        <f t="shared" si="255"/>
        <v>0</v>
      </c>
      <c r="DE192" s="48"/>
      <c r="DF192" s="48"/>
      <c r="DG192" s="48"/>
      <c r="DH192" s="48">
        <f t="shared" si="256"/>
        <v>0</v>
      </c>
      <c r="DI192" s="48"/>
      <c r="DJ192" s="48"/>
      <c r="DK192" s="48"/>
      <c r="DL192" s="48">
        <f t="shared" si="257"/>
        <v>0</v>
      </c>
      <c r="DM192" s="48"/>
      <c r="DN192" s="48"/>
      <c r="DO192" s="48"/>
      <c r="DP192" s="48">
        <f t="shared" si="258"/>
        <v>0</v>
      </c>
      <c r="DQ192" s="48"/>
      <c r="DR192" s="48"/>
      <c r="DS192" s="48"/>
      <c r="DT192" s="48">
        <f t="shared" si="259"/>
        <v>0</v>
      </c>
      <c r="DU192" s="48"/>
      <c r="DV192" s="48"/>
      <c r="DW192" s="48"/>
      <c r="DX192" s="48">
        <f t="shared" si="260"/>
        <v>0</v>
      </c>
      <c r="DY192" s="48">
        <f t="shared" si="229"/>
        <v>0</v>
      </c>
      <c r="DZ192" s="48">
        <f t="shared" si="261"/>
        <v>0</v>
      </c>
      <c r="EA192" s="14">
        <f>D192*'MASTER SHEET'!D192</f>
        <v>0</v>
      </c>
      <c r="EB192" s="14">
        <f>H192*'MASTER SHEET'!D192</f>
        <v>0</v>
      </c>
      <c r="EC192" s="14">
        <f>L192*'MASTER SHEET'!D192</f>
        <v>0</v>
      </c>
      <c r="ED192" s="14">
        <f>P192*'MASTER SHEET'!D192</f>
        <v>0</v>
      </c>
      <c r="EE192" s="14">
        <f>T192*'MASTER SHEET'!D192</f>
        <v>0</v>
      </c>
      <c r="EF192" s="14">
        <f>X192*'MASTER SHEET'!D192</f>
        <v>0</v>
      </c>
      <c r="EG192" s="14">
        <f>AB192*'MASTER SHEET'!D192</f>
        <v>0</v>
      </c>
      <c r="EH192" s="14">
        <f>AF192*'MASTER SHEET'!D192</f>
        <v>0</v>
      </c>
      <c r="EI192" s="14">
        <f>AJ192*'MASTER SHEET'!D192</f>
        <v>0</v>
      </c>
      <c r="EJ192" s="14">
        <f>AN192*'MASTER SHEET'!D192</f>
        <v>0</v>
      </c>
      <c r="EK192" s="14">
        <f>AR192*'MASTER SHEET'!D192</f>
        <v>0</v>
      </c>
      <c r="EL192" s="14">
        <f>AV192*'MASTER SHEET'!D192</f>
        <v>0</v>
      </c>
      <c r="EM192" s="14">
        <f>AZ192*'MASTER SHEET'!D192</f>
        <v>0</v>
      </c>
      <c r="EN192" s="14">
        <f>BD192*'MASTER SHEET'!D192</f>
        <v>0</v>
      </c>
      <c r="EO192" s="14">
        <f>BH192*'MASTER SHEET'!D192</f>
        <v>0</v>
      </c>
      <c r="EP192" s="14">
        <f>BL192*'MASTER SHEET'!D192</f>
        <v>0</v>
      </c>
      <c r="EQ192" s="14">
        <f>BP192*'MASTER SHEET'!D192</f>
        <v>0</v>
      </c>
      <c r="ER192" s="14">
        <f>BT192*'MASTER SHEET'!D192</f>
        <v>0</v>
      </c>
      <c r="ES192" s="14">
        <f>BX192*'MASTER SHEET'!D192</f>
        <v>0</v>
      </c>
      <c r="ET192" s="21">
        <f>CB192*'MASTER SHEET'!D192</f>
        <v>0</v>
      </c>
      <c r="EU192" s="14">
        <f>CF192*'MASTER SHEET'!D192</f>
        <v>0</v>
      </c>
      <c r="EV192" s="14">
        <f>CJ192*'MASTER SHEET'!D192</f>
        <v>0</v>
      </c>
      <c r="EW192" s="14">
        <f>CN192*'MASTER SHEET'!D192</f>
        <v>0</v>
      </c>
      <c r="EX192" s="14">
        <f>CR192*'MASTER SHEET'!D192</f>
        <v>0</v>
      </c>
      <c r="EY192" s="14">
        <f>CR192*'MASTER SHEET'!D192</f>
        <v>0</v>
      </c>
      <c r="EZ192" s="14">
        <f>CV192*'MASTER SHEET'!D192</f>
        <v>0</v>
      </c>
      <c r="FA192" s="14">
        <f>CZ192*'MASTER SHEET'!D192</f>
        <v>0</v>
      </c>
      <c r="FB192" s="14">
        <f>DD192*'MASTER SHEET'!D192</f>
        <v>0</v>
      </c>
    </row>
    <row r="193" spans="1:158" ht="18.75" customHeight="1" x14ac:dyDescent="0.25">
      <c r="A193" s="43">
        <f>'MASTER SHEET'!A193</f>
        <v>191</v>
      </c>
      <c r="B193" s="49" t="str">
        <f>'MASTER SHEET'!B193</f>
        <v>CAP PLASTIC</v>
      </c>
      <c r="C193" s="86">
        <f>'MASTER SHEET'!C193</f>
        <v>5039586</v>
      </c>
      <c r="D193" s="51"/>
      <c r="E193" s="48"/>
      <c r="F193" s="48"/>
      <c r="G193" s="48"/>
      <c r="H193" s="48">
        <f t="shared" si="230"/>
        <v>0</v>
      </c>
      <c r="I193" s="28"/>
      <c r="J193" s="28"/>
      <c r="K193" s="65"/>
      <c r="L193" s="48">
        <f t="shared" si="231"/>
        <v>0</v>
      </c>
      <c r="M193" s="48"/>
      <c r="N193" s="48"/>
      <c r="O193" s="48"/>
      <c r="P193" s="48">
        <f t="shared" si="232"/>
        <v>0</v>
      </c>
      <c r="Q193" s="48"/>
      <c r="R193" s="48"/>
      <c r="S193" s="48"/>
      <c r="T193" s="48">
        <f t="shared" si="233"/>
        <v>0</v>
      </c>
      <c r="U193" s="48">
        <v>0</v>
      </c>
      <c r="V193" s="48"/>
      <c r="W193" s="48"/>
      <c r="X193" s="48">
        <f t="shared" si="234"/>
        <v>0</v>
      </c>
      <c r="Y193" s="48"/>
      <c r="Z193" s="48"/>
      <c r="AA193" s="48"/>
      <c r="AB193" s="48">
        <f t="shared" si="235"/>
        <v>0</v>
      </c>
      <c r="AC193" s="48"/>
      <c r="AD193" s="48"/>
      <c r="AE193" s="48"/>
      <c r="AF193" s="48">
        <f t="shared" si="236"/>
        <v>0</v>
      </c>
      <c r="AG193" s="48"/>
      <c r="AH193" s="48"/>
      <c r="AI193" s="48"/>
      <c r="AJ193" s="48">
        <f t="shared" si="237"/>
        <v>0</v>
      </c>
      <c r="AK193" s="48"/>
      <c r="AL193" s="48"/>
      <c r="AM193" s="48"/>
      <c r="AN193" s="48">
        <f t="shared" si="238"/>
        <v>0</v>
      </c>
      <c r="AO193" s="48"/>
      <c r="AP193" s="48"/>
      <c r="AQ193" s="48"/>
      <c r="AR193" s="48">
        <f t="shared" si="239"/>
        <v>0</v>
      </c>
      <c r="AS193" s="48"/>
      <c r="AT193" s="48"/>
      <c r="AU193" s="48"/>
      <c r="AV193" s="48">
        <f t="shared" si="240"/>
        <v>0</v>
      </c>
      <c r="AW193" s="48"/>
      <c r="AX193" s="48"/>
      <c r="AY193" s="48"/>
      <c r="AZ193" s="48">
        <f t="shared" si="241"/>
        <v>0</v>
      </c>
      <c r="BA193" s="48">
        <v>930</v>
      </c>
      <c r="BB193" s="48">
        <v>912</v>
      </c>
      <c r="BC193" s="48">
        <v>18</v>
      </c>
      <c r="BD193" s="48">
        <f t="shared" si="242"/>
        <v>0</v>
      </c>
      <c r="BE193" s="48">
        <v>2534</v>
      </c>
      <c r="BF193" s="48">
        <v>2492</v>
      </c>
      <c r="BG193" s="48">
        <v>42</v>
      </c>
      <c r="BH193" s="48">
        <f t="shared" si="243"/>
        <v>0</v>
      </c>
      <c r="BI193" s="48">
        <v>2618</v>
      </c>
      <c r="BJ193" s="48">
        <v>0</v>
      </c>
      <c r="BK193" s="48">
        <v>0</v>
      </c>
      <c r="BL193" s="48">
        <f t="shared" si="244"/>
        <v>2618</v>
      </c>
      <c r="BM193" s="48"/>
      <c r="BN193" s="48"/>
      <c r="BO193" s="48"/>
      <c r="BP193" s="48">
        <f t="shared" si="245"/>
        <v>2618</v>
      </c>
      <c r="BQ193" s="48"/>
      <c r="BR193" s="48"/>
      <c r="BS193" s="48"/>
      <c r="BT193" s="48">
        <f t="shared" si="246"/>
        <v>2618</v>
      </c>
      <c r="BU193" s="48"/>
      <c r="BV193" s="48"/>
      <c r="BW193" s="48"/>
      <c r="BX193" s="48">
        <f t="shared" si="247"/>
        <v>2618</v>
      </c>
      <c r="BY193" s="48"/>
      <c r="BZ193" s="48"/>
      <c r="CA193" s="48"/>
      <c r="CB193" s="48">
        <f t="shared" si="248"/>
        <v>2618</v>
      </c>
      <c r="CC193" s="48"/>
      <c r="CD193" s="48">
        <v>2618</v>
      </c>
      <c r="CE193" s="48"/>
      <c r="CF193" s="48">
        <f t="shared" si="249"/>
        <v>0</v>
      </c>
      <c r="CG193" s="48"/>
      <c r="CH193" s="48"/>
      <c r="CI193" s="48"/>
      <c r="CJ193" s="48">
        <f t="shared" si="250"/>
        <v>0</v>
      </c>
      <c r="CK193" s="48"/>
      <c r="CL193" s="48"/>
      <c r="CM193" s="48"/>
      <c r="CN193" s="48">
        <f t="shared" si="251"/>
        <v>0</v>
      </c>
      <c r="CO193" s="48"/>
      <c r="CP193" s="48"/>
      <c r="CQ193" s="48"/>
      <c r="CR193" s="48">
        <f t="shared" si="252"/>
        <v>0</v>
      </c>
      <c r="CS193" s="48"/>
      <c r="CT193" s="48"/>
      <c r="CU193" s="48"/>
      <c r="CV193" s="48">
        <f t="shared" si="253"/>
        <v>0</v>
      </c>
      <c r="CW193" s="48"/>
      <c r="CX193" s="48"/>
      <c r="CY193" s="48"/>
      <c r="CZ193" s="48">
        <f t="shared" si="254"/>
        <v>0</v>
      </c>
      <c r="DA193" s="48"/>
      <c r="DB193" s="48"/>
      <c r="DC193" s="48"/>
      <c r="DD193" s="48">
        <f t="shared" si="255"/>
        <v>0</v>
      </c>
      <c r="DE193" s="48"/>
      <c r="DF193" s="48"/>
      <c r="DG193" s="48"/>
      <c r="DH193" s="48">
        <f t="shared" si="256"/>
        <v>0</v>
      </c>
      <c r="DI193" s="48"/>
      <c r="DJ193" s="48"/>
      <c r="DK193" s="48"/>
      <c r="DL193" s="48">
        <f t="shared" si="257"/>
        <v>0</v>
      </c>
      <c r="DM193" s="48"/>
      <c r="DN193" s="48"/>
      <c r="DO193" s="48"/>
      <c r="DP193" s="48">
        <f t="shared" si="258"/>
        <v>0</v>
      </c>
      <c r="DQ193" s="48"/>
      <c r="DR193" s="48"/>
      <c r="DS193" s="48"/>
      <c r="DT193" s="48">
        <f t="shared" si="259"/>
        <v>0</v>
      </c>
      <c r="DU193" s="48"/>
      <c r="DV193" s="48"/>
      <c r="DW193" s="48"/>
      <c r="DX193" s="48">
        <f t="shared" si="260"/>
        <v>0</v>
      </c>
      <c r="DY193" s="48">
        <f t="shared" si="229"/>
        <v>6082</v>
      </c>
      <c r="DZ193" s="48">
        <f t="shared" si="261"/>
        <v>60</v>
      </c>
      <c r="EA193" s="14">
        <f>D193*'MASTER SHEET'!D193</f>
        <v>0</v>
      </c>
      <c r="EB193" s="14">
        <f>H193*'MASTER SHEET'!D193</f>
        <v>0</v>
      </c>
      <c r="EC193" s="14">
        <f>L193*'MASTER SHEET'!D193</f>
        <v>0</v>
      </c>
      <c r="ED193" s="14">
        <f>P193*'MASTER SHEET'!D193</f>
        <v>0</v>
      </c>
      <c r="EE193" s="14">
        <f>T193*'MASTER SHEET'!D193</f>
        <v>0</v>
      </c>
      <c r="EF193" s="14">
        <f>X193*'MASTER SHEET'!D193</f>
        <v>0</v>
      </c>
      <c r="EG193" s="14">
        <f>AB193*'MASTER SHEET'!D193</f>
        <v>0</v>
      </c>
      <c r="EH193" s="14">
        <f>AF193*'MASTER SHEET'!D193</f>
        <v>0</v>
      </c>
      <c r="EI193" s="14">
        <f>AJ193*'MASTER SHEET'!D193</f>
        <v>0</v>
      </c>
      <c r="EJ193" s="14">
        <f>AN193*'MASTER SHEET'!D193</f>
        <v>0</v>
      </c>
      <c r="EK193" s="14">
        <f>AR193*'MASTER SHEET'!D193</f>
        <v>0</v>
      </c>
      <c r="EL193" s="14">
        <f>AV193*'MASTER SHEET'!D193</f>
        <v>0</v>
      </c>
      <c r="EM193" s="14">
        <f>AZ193*'MASTER SHEET'!D193</f>
        <v>0</v>
      </c>
      <c r="EN193" s="14">
        <f>BD193*'MASTER SHEET'!D193</f>
        <v>0</v>
      </c>
      <c r="EO193" s="14">
        <f>BH193*'MASTER SHEET'!D193</f>
        <v>0</v>
      </c>
      <c r="EP193" s="14">
        <f>BL193*'MASTER SHEET'!D193</f>
        <v>14215.74</v>
      </c>
      <c r="EQ193" s="14">
        <f>BP193*'MASTER SHEET'!D193</f>
        <v>14215.74</v>
      </c>
      <c r="ER193" s="14">
        <f>BT193*'MASTER SHEET'!D193</f>
        <v>14215.74</v>
      </c>
      <c r="ES193" s="14">
        <f>BX193*'MASTER SHEET'!D193</f>
        <v>14215.74</v>
      </c>
      <c r="ET193" s="21">
        <f>CB193*'MASTER SHEET'!D193</f>
        <v>14215.74</v>
      </c>
      <c r="EU193" s="14">
        <f>CF193*'MASTER SHEET'!D193</f>
        <v>0</v>
      </c>
      <c r="EV193" s="14">
        <f>CJ193*'MASTER SHEET'!D193</f>
        <v>0</v>
      </c>
      <c r="EW193" s="14">
        <f>CN193*'MASTER SHEET'!D193</f>
        <v>0</v>
      </c>
      <c r="EX193" s="14">
        <f>CR193*'MASTER SHEET'!D193</f>
        <v>0</v>
      </c>
      <c r="EY193" s="14">
        <f>CR193*'MASTER SHEET'!D193</f>
        <v>0</v>
      </c>
      <c r="EZ193" s="14">
        <f>CV193*'MASTER SHEET'!D193</f>
        <v>0</v>
      </c>
      <c r="FA193" s="14">
        <f>CZ193*'MASTER SHEET'!D193</f>
        <v>0</v>
      </c>
      <c r="FB193" s="14">
        <f>DD193*'MASTER SHEET'!D193</f>
        <v>0</v>
      </c>
    </row>
    <row r="194" spans="1:158" ht="18.75" customHeight="1" x14ac:dyDescent="0.25">
      <c r="A194" s="43">
        <f>'MASTER SHEET'!A194</f>
        <v>192</v>
      </c>
      <c r="B194" s="49" t="str">
        <f>'MASTER SHEET'!B194</f>
        <v xml:space="preserve"> MBP N6 PRECLEANER</v>
      </c>
      <c r="C194" s="86">
        <f>'MASTER SHEET'!C194</f>
        <v>5033867</v>
      </c>
      <c r="D194" s="51"/>
      <c r="E194" s="48"/>
      <c r="F194" s="48"/>
      <c r="G194" s="48"/>
      <c r="H194" s="48">
        <f t="shared" si="230"/>
        <v>0</v>
      </c>
      <c r="I194" s="28"/>
      <c r="J194" s="28"/>
      <c r="K194" s="65"/>
      <c r="L194" s="48">
        <f t="shared" si="231"/>
        <v>0</v>
      </c>
      <c r="M194" s="48"/>
      <c r="N194" s="48"/>
      <c r="O194" s="48"/>
      <c r="P194" s="48">
        <f t="shared" si="232"/>
        <v>0</v>
      </c>
      <c r="Q194" s="48"/>
      <c r="R194" s="48"/>
      <c r="S194" s="48"/>
      <c r="T194" s="48">
        <f t="shared" si="233"/>
        <v>0</v>
      </c>
      <c r="U194" s="48">
        <v>0</v>
      </c>
      <c r="V194" s="48"/>
      <c r="W194" s="48"/>
      <c r="X194" s="48">
        <f t="shared" si="234"/>
        <v>0</v>
      </c>
      <c r="Y194" s="48"/>
      <c r="Z194" s="48"/>
      <c r="AA194" s="48"/>
      <c r="AB194" s="48">
        <f t="shared" si="235"/>
        <v>0</v>
      </c>
      <c r="AC194" s="48"/>
      <c r="AD194" s="48"/>
      <c r="AE194" s="48"/>
      <c r="AF194" s="48">
        <f t="shared" si="236"/>
        <v>0</v>
      </c>
      <c r="AG194" s="48"/>
      <c r="AH194" s="48"/>
      <c r="AI194" s="48"/>
      <c r="AJ194" s="48">
        <f t="shared" si="237"/>
        <v>0</v>
      </c>
      <c r="AK194" s="48"/>
      <c r="AL194" s="48"/>
      <c r="AM194" s="48"/>
      <c r="AN194" s="48">
        <f t="shared" si="238"/>
        <v>0</v>
      </c>
      <c r="AO194" s="48"/>
      <c r="AP194" s="48"/>
      <c r="AQ194" s="48"/>
      <c r="AR194" s="48">
        <f t="shared" si="239"/>
        <v>0</v>
      </c>
      <c r="AS194" s="48"/>
      <c r="AT194" s="48"/>
      <c r="AU194" s="48"/>
      <c r="AV194" s="48">
        <f t="shared" si="240"/>
        <v>0</v>
      </c>
      <c r="AW194" s="48"/>
      <c r="AX194" s="48"/>
      <c r="AY194" s="48"/>
      <c r="AZ194" s="48">
        <f t="shared" si="241"/>
        <v>0</v>
      </c>
      <c r="BA194" s="48"/>
      <c r="BB194" s="48"/>
      <c r="BC194" s="48"/>
      <c r="BD194" s="48">
        <f t="shared" si="242"/>
        <v>0</v>
      </c>
      <c r="BE194" s="48"/>
      <c r="BF194" s="48"/>
      <c r="BG194" s="48"/>
      <c r="BH194" s="48">
        <f t="shared" si="243"/>
        <v>0</v>
      </c>
      <c r="BI194" s="48"/>
      <c r="BJ194" s="48"/>
      <c r="BK194" s="48"/>
      <c r="BL194" s="48">
        <f t="shared" si="244"/>
        <v>0</v>
      </c>
      <c r="BM194" s="48"/>
      <c r="BN194" s="48"/>
      <c r="BO194" s="48"/>
      <c r="BP194" s="48">
        <f t="shared" si="245"/>
        <v>0</v>
      </c>
      <c r="BQ194" s="48"/>
      <c r="BR194" s="48"/>
      <c r="BS194" s="48"/>
      <c r="BT194" s="48">
        <f t="shared" si="246"/>
        <v>0</v>
      </c>
      <c r="BU194" s="48"/>
      <c r="BV194" s="48"/>
      <c r="BW194" s="48"/>
      <c r="BX194" s="48">
        <f t="shared" si="247"/>
        <v>0</v>
      </c>
      <c r="BY194" s="48"/>
      <c r="BZ194" s="48"/>
      <c r="CA194" s="48"/>
      <c r="CB194" s="48">
        <f t="shared" si="248"/>
        <v>0</v>
      </c>
      <c r="CC194" s="48"/>
      <c r="CD194" s="48"/>
      <c r="CE194" s="48"/>
      <c r="CF194" s="48">
        <f t="shared" si="249"/>
        <v>0</v>
      </c>
      <c r="CG194" s="48"/>
      <c r="CH194" s="48"/>
      <c r="CI194" s="48"/>
      <c r="CJ194" s="48">
        <f t="shared" si="250"/>
        <v>0</v>
      </c>
      <c r="CK194" s="48"/>
      <c r="CL194" s="48"/>
      <c r="CM194" s="48"/>
      <c r="CN194" s="48">
        <f t="shared" si="251"/>
        <v>0</v>
      </c>
      <c r="CO194" s="48"/>
      <c r="CP194" s="48"/>
      <c r="CQ194" s="48"/>
      <c r="CR194" s="48">
        <f t="shared" si="252"/>
        <v>0</v>
      </c>
      <c r="CS194" s="48"/>
      <c r="CT194" s="48"/>
      <c r="CU194" s="48"/>
      <c r="CV194" s="48">
        <f t="shared" si="253"/>
        <v>0</v>
      </c>
      <c r="CW194" s="48"/>
      <c r="CX194" s="48"/>
      <c r="CY194" s="48"/>
      <c r="CZ194" s="48">
        <f t="shared" si="254"/>
        <v>0</v>
      </c>
      <c r="DA194" s="48"/>
      <c r="DB194" s="48"/>
      <c r="DC194" s="48"/>
      <c r="DD194" s="48">
        <f t="shared" si="255"/>
        <v>0</v>
      </c>
      <c r="DE194" s="48"/>
      <c r="DF194" s="48"/>
      <c r="DG194" s="48"/>
      <c r="DH194" s="48">
        <f t="shared" si="256"/>
        <v>0</v>
      </c>
      <c r="DI194" s="48"/>
      <c r="DJ194" s="48"/>
      <c r="DK194" s="48"/>
      <c r="DL194" s="48">
        <f t="shared" si="257"/>
        <v>0</v>
      </c>
      <c r="DM194" s="48"/>
      <c r="DN194" s="48"/>
      <c r="DO194" s="48"/>
      <c r="DP194" s="48">
        <f t="shared" si="258"/>
        <v>0</v>
      </c>
      <c r="DQ194" s="48"/>
      <c r="DR194" s="48"/>
      <c r="DS194" s="48"/>
      <c r="DT194" s="48">
        <f t="shared" si="259"/>
        <v>0</v>
      </c>
      <c r="DU194" s="48"/>
      <c r="DV194" s="48"/>
      <c r="DW194" s="48"/>
      <c r="DX194" s="48">
        <f t="shared" si="260"/>
        <v>0</v>
      </c>
      <c r="DY194" s="48">
        <f t="shared" si="229"/>
        <v>0</v>
      </c>
      <c r="DZ194" s="48">
        <f t="shared" si="261"/>
        <v>0</v>
      </c>
      <c r="EA194" s="14">
        <f>D194*'MASTER SHEET'!D194</f>
        <v>0</v>
      </c>
      <c r="EB194" s="14">
        <f>H194*'MASTER SHEET'!D194</f>
        <v>0</v>
      </c>
      <c r="EC194" s="14">
        <f>L194*'MASTER SHEET'!D194</f>
        <v>0</v>
      </c>
      <c r="ED194" s="14">
        <f>P194*'MASTER SHEET'!D194</f>
        <v>0</v>
      </c>
      <c r="EE194" s="14">
        <f>T194*'MASTER SHEET'!D194</f>
        <v>0</v>
      </c>
      <c r="EF194" s="14">
        <f>X194*'MASTER SHEET'!D194</f>
        <v>0</v>
      </c>
      <c r="EG194" s="14">
        <f>AB194*'MASTER SHEET'!D194</f>
        <v>0</v>
      </c>
      <c r="EH194" s="14">
        <f>AF194*'MASTER SHEET'!D194</f>
        <v>0</v>
      </c>
      <c r="EI194" s="14">
        <f>AJ194*'MASTER SHEET'!D194</f>
        <v>0</v>
      </c>
      <c r="EJ194" s="14">
        <f>AN194*'MASTER SHEET'!D194</f>
        <v>0</v>
      </c>
      <c r="EK194" s="14">
        <f>AR194*'MASTER SHEET'!D194</f>
        <v>0</v>
      </c>
      <c r="EL194" s="14">
        <f>AV194*'MASTER SHEET'!D194</f>
        <v>0</v>
      </c>
      <c r="EM194" s="14">
        <f>AZ194*'MASTER SHEET'!D194</f>
        <v>0</v>
      </c>
      <c r="EN194" s="14">
        <f>BD194*'MASTER SHEET'!D194</f>
        <v>0</v>
      </c>
      <c r="EO194" s="14">
        <f>BH194*'MASTER SHEET'!D194</f>
        <v>0</v>
      </c>
      <c r="EP194" s="14">
        <f>BL194*'MASTER SHEET'!D194</f>
        <v>0</v>
      </c>
      <c r="EQ194" s="14">
        <f>BP194*'MASTER SHEET'!D194</f>
        <v>0</v>
      </c>
      <c r="ER194" s="14">
        <f>BT194*'MASTER SHEET'!D194</f>
        <v>0</v>
      </c>
      <c r="ES194" s="14">
        <f>BX194*'MASTER SHEET'!D194</f>
        <v>0</v>
      </c>
      <c r="ET194" s="21">
        <f>CB194*'MASTER SHEET'!D194</f>
        <v>0</v>
      </c>
      <c r="EU194" s="14">
        <f>CF194*'MASTER SHEET'!D194</f>
        <v>0</v>
      </c>
      <c r="EV194" s="14">
        <f>CJ194*'MASTER SHEET'!D194</f>
        <v>0</v>
      </c>
      <c r="EW194" s="14">
        <f>CN194*'MASTER SHEET'!D194</f>
        <v>0</v>
      </c>
      <c r="EX194" s="14">
        <f>CR194*'MASTER SHEET'!D194</f>
        <v>0</v>
      </c>
      <c r="EY194" s="14">
        <f>CR194*'MASTER SHEET'!D194</f>
        <v>0</v>
      </c>
      <c r="EZ194" s="14">
        <f>CV194*'MASTER SHEET'!D194</f>
        <v>0</v>
      </c>
      <c r="FA194" s="14">
        <f>CZ194*'MASTER SHEET'!D194</f>
        <v>0</v>
      </c>
      <c r="FB194" s="14">
        <f>DD194*'MASTER SHEET'!D194</f>
        <v>0</v>
      </c>
    </row>
    <row r="195" spans="1:158" ht="18.75" customHeight="1" x14ac:dyDescent="0.25">
      <c r="A195" s="43">
        <f>'MASTER SHEET'!A195</f>
        <v>193</v>
      </c>
      <c r="B195" s="49" t="str">
        <f>'MASTER SHEET'!B195</f>
        <v>BOWL PLASTIC</v>
      </c>
      <c r="C195" s="86">
        <f>'MASTER SHEET'!C195</f>
        <v>5011024</v>
      </c>
      <c r="D195" s="51"/>
      <c r="E195" s="48"/>
      <c r="F195" s="48"/>
      <c r="G195" s="48"/>
      <c r="H195" s="48">
        <f t="shared" ref="H195:H202" si="263">D195+E195-F195-G195</f>
        <v>0</v>
      </c>
      <c r="I195" s="28"/>
      <c r="J195" s="28"/>
      <c r="K195" s="65"/>
      <c r="L195" s="48">
        <f t="shared" ref="L195:L202" si="264">H195+I195-J195-K195</f>
        <v>0</v>
      </c>
      <c r="M195" s="48"/>
      <c r="N195" s="48"/>
      <c r="O195" s="48"/>
      <c r="P195" s="48">
        <f t="shared" ref="P195:P202" si="265">L195+M195-N195-O195</f>
        <v>0</v>
      </c>
      <c r="Q195" s="48"/>
      <c r="R195" s="48"/>
      <c r="S195" s="48"/>
      <c r="T195" s="48">
        <f t="shared" ref="T195:T202" si="266">P195+Q195-R195-S195</f>
        <v>0</v>
      </c>
      <c r="U195" s="48">
        <v>0</v>
      </c>
      <c r="V195" s="48"/>
      <c r="W195" s="48"/>
      <c r="X195" s="48">
        <f t="shared" ref="X195:X202" si="267">T195+U195-V195-W195</f>
        <v>0</v>
      </c>
      <c r="Y195" s="48"/>
      <c r="Z195" s="48"/>
      <c r="AA195" s="48"/>
      <c r="AB195" s="48">
        <f t="shared" ref="AB195:AB202" si="268">X195+Y195-Z195-AA195</f>
        <v>0</v>
      </c>
      <c r="AC195" s="48"/>
      <c r="AD195" s="48"/>
      <c r="AE195" s="48"/>
      <c r="AF195" s="48">
        <f t="shared" ref="AF195:AF202" si="269">AB195+AC195-AD195-AE195</f>
        <v>0</v>
      </c>
      <c r="AG195" s="48"/>
      <c r="AH195" s="48"/>
      <c r="AI195" s="48"/>
      <c r="AJ195" s="48">
        <f t="shared" ref="AJ195:AJ202" si="270">AF195+AG195-AH195-AI195</f>
        <v>0</v>
      </c>
      <c r="AK195" s="48"/>
      <c r="AL195" s="48"/>
      <c r="AM195" s="48"/>
      <c r="AN195" s="48">
        <f t="shared" ref="AN195:AN202" si="271">AJ195+AK195-AL195-AM195</f>
        <v>0</v>
      </c>
      <c r="AO195" s="48"/>
      <c r="AP195" s="48"/>
      <c r="AQ195" s="48"/>
      <c r="AR195" s="48">
        <f t="shared" ref="AR195:AR202" si="272">AN195+AO195-AP195-AQ195</f>
        <v>0</v>
      </c>
      <c r="AS195" s="48"/>
      <c r="AT195" s="48"/>
      <c r="AU195" s="48"/>
      <c r="AV195" s="48">
        <f t="shared" ref="AV195:AV202" si="273">AR195+AS195-AT195-AU195</f>
        <v>0</v>
      </c>
      <c r="AW195" s="48"/>
      <c r="AX195" s="48"/>
      <c r="AY195" s="48"/>
      <c r="AZ195" s="48">
        <f t="shared" ref="AZ195:AZ202" si="274">AV195+AW195-AX195-AY195</f>
        <v>0</v>
      </c>
      <c r="BA195" s="48"/>
      <c r="BB195" s="48"/>
      <c r="BC195" s="48"/>
      <c r="BD195" s="48">
        <f t="shared" ref="BD195:BD202" si="275">AZ195+BA195-BB195-BC195</f>
        <v>0</v>
      </c>
      <c r="BE195" s="48"/>
      <c r="BF195" s="48"/>
      <c r="BG195" s="48"/>
      <c r="BH195" s="48">
        <f t="shared" ref="BH195:BH202" si="276">BD195+BE195-BF195-BG195</f>
        <v>0</v>
      </c>
      <c r="BI195" s="48"/>
      <c r="BJ195" s="48"/>
      <c r="BK195" s="48"/>
      <c r="BL195" s="48">
        <f t="shared" ref="BL195:BL202" si="277">BH195+BI195-BJ195-BK195</f>
        <v>0</v>
      </c>
      <c r="BM195" s="48"/>
      <c r="BN195" s="48"/>
      <c r="BO195" s="48"/>
      <c r="BP195" s="48">
        <f t="shared" ref="BP195:BP202" si="278">BL195+BM195-BN195-BO195</f>
        <v>0</v>
      </c>
      <c r="BQ195" s="48"/>
      <c r="BR195" s="48"/>
      <c r="BS195" s="48"/>
      <c r="BT195" s="48">
        <f t="shared" ref="BT195:BT202" si="279">BP195+BQ195-BR195-BS195</f>
        <v>0</v>
      </c>
      <c r="BU195" s="48"/>
      <c r="BV195" s="48"/>
      <c r="BW195" s="48"/>
      <c r="BX195" s="48">
        <f t="shared" ref="BX195:BX202" si="280">BT195+BU195-BV195-BW195</f>
        <v>0</v>
      </c>
      <c r="BY195" s="48"/>
      <c r="BZ195" s="48"/>
      <c r="CA195" s="48"/>
      <c r="CB195" s="48">
        <f t="shared" ref="CB195:CB202" si="281">BX195+BY195-BZ195-CA195</f>
        <v>0</v>
      </c>
      <c r="CC195" s="48"/>
      <c r="CD195" s="48"/>
      <c r="CE195" s="48"/>
      <c r="CF195" s="48">
        <f t="shared" ref="CF195:CF202" si="282">CB195+CC195-CD195-CE195</f>
        <v>0</v>
      </c>
      <c r="CG195" s="48"/>
      <c r="CH195" s="48"/>
      <c r="CI195" s="48"/>
      <c r="CJ195" s="48">
        <f t="shared" ref="CJ195:CJ202" si="283">CF195+CG195-CH195-CI195</f>
        <v>0</v>
      </c>
      <c r="CK195" s="48"/>
      <c r="CL195" s="48"/>
      <c r="CM195" s="48"/>
      <c r="CN195" s="48">
        <f t="shared" ref="CN195:CN202" si="284">CJ195+CK195-CL195-CM195</f>
        <v>0</v>
      </c>
      <c r="CO195" s="48"/>
      <c r="CP195" s="48"/>
      <c r="CQ195" s="48"/>
      <c r="CR195" s="48">
        <f t="shared" ref="CR195:CR202" si="285">CN195+CO195-CP195-CQ195</f>
        <v>0</v>
      </c>
      <c r="CS195" s="48"/>
      <c r="CT195" s="48"/>
      <c r="CU195" s="48"/>
      <c r="CV195" s="48">
        <f t="shared" ref="CV195:CV202" si="286">CR195+CS195-CT195-CU195</f>
        <v>0</v>
      </c>
      <c r="CW195" s="48"/>
      <c r="CX195" s="48"/>
      <c r="CY195" s="48"/>
      <c r="CZ195" s="48">
        <f t="shared" ref="CZ195:CZ202" si="287">CV195+CW195-CX195-CY195</f>
        <v>0</v>
      </c>
      <c r="DA195" s="48"/>
      <c r="DB195" s="48"/>
      <c r="DC195" s="48"/>
      <c r="DD195" s="48">
        <f t="shared" ref="DD195:DD202" si="288">CZ195+DA195-DB195-DC195</f>
        <v>0</v>
      </c>
      <c r="DE195" s="48"/>
      <c r="DF195" s="48"/>
      <c r="DG195" s="48"/>
      <c r="DH195" s="48">
        <f t="shared" ref="DH195:DH202" si="289">DD195+DE195-DF195-DG195</f>
        <v>0</v>
      </c>
      <c r="DI195" s="48"/>
      <c r="DJ195" s="48"/>
      <c r="DK195" s="48"/>
      <c r="DL195" s="48">
        <f t="shared" ref="DL195:DL202" si="290">DH195+DI195-DJ195-DK195</f>
        <v>0</v>
      </c>
      <c r="DM195" s="48"/>
      <c r="DN195" s="48"/>
      <c r="DO195" s="48"/>
      <c r="DP195" s="48">
        <f t="shared" ref="DP195:DP202" si="291">DL195+DM195-DN195-DO195</f>
        <v>0</v>
      </c>
      <c r="DQ195" s="48"/>
      <c r="DR195" s="48"/>
      <c r="DS195" s="48"/>
      <c r="DT195" s="48">
        <f t="shared" ref="DT195:DT202" si="292">DP195+DQ195-DR195-DS195</f>
        <v>0</v>
      </c>
      <c r="DU195" s="48"/>
      <c r="DV195" s="48"/>
      <c r="DW195" s="48"/>
      <c r="DX195" s="48">
        <f t="shared" ref="DX195:DX202" si="293">DT195+DU195-DV195-DW195</f>
        <v>0</v>
      </c>
      <c r="DY195" s="48">
        <f t="shared" si="229"/>
        <v>0</v>
      </c>
      <c r="DZ195" s="48">
        <f t="shared" ref="DZ195:DZ202" si="294">G195+K195+S195+W195+AA195+AE195+AI195+AM195+AQ195+AU195+AY195+BC195+BG195+BK195+BO195+BS195+BW195+CA195+CE195+CI195+CM195+CQ195+CU195+CY195+DC195+DG195+DK195+DO195+DS195+DW195</f>
        <v>0</v>
      </c>
      <c r="EA195" s="14">
        <f>D195*'MASTER SHEET'!D195</f>
        <v>0</v>
      </c>
      <c r="EB195" s="14">
        <f>H195*'MASTER SHEET'!D195</f>
        <v>0</v>
      </c>
      <c r="EC195" s="14">
        <f>L195*'MASTER SHEET'!D195</f>
        <v>0</v>
      </c>
      <c r="ED195" s="14">
        <f>P195*'MASTER SHEET'!D195</f>
        <v>0</v>
      </c>
      <c r="EE195" s="14">
        <f>T195*'MASTER SHEET'!D195</f>
        <v>0</v>
      </c>
      <c r="EF195" s="14">
        <f>X195*'MASTER SHEET'!D195</f>
        <v>0</v>
      </c>
      <c r="EG195" s="14">
        <f>AB195*'MASTER SHEET'!D195</f>
        <v>0</v>
      </c>
      <c r="EH195" s="14">
        <f>AF195*'MASTER SHEET'!D195</f>
        <v>0</v>
      </c>
      <c r="EI195" s="14">
        <f>AJ195*'MASTER SHEET'!D195</f>
        <v>0</v>
      </c>
      <c r="EJ195" s="14">
        <f>AN195*'MASTER SHEET'!D195</f>
        <v>0</v>
      </c>
      <c r="EK195" s="14">
        <f>AR195*'MASTER SHEET'!D195</f>
        <v>0</v>
      </c>
      <c r="EL195" s="14">
        <f>AV195*'MASTER SHEET'!D195</f>
        <v>0</v>
      </c>
      <c r="EM195" s="14">
        <f>AZ195*'MASTER SHEET'!D195</f>
        <v>0</v>
      </c>
      <c r="EN195" s="14">
        <f>BD195*'MASTER SHEET'!D195</f>
        <v>0</v>
      </c>
      <c r="EO195" s="14">
        <f>BH195*'MASTER SHEET'!D195</f>
        <v>0</v>
      </c>
      <c r="EP195" s="14">
        <f>BL195*'MASTER SHEET'!D195</f>
        <v>0</v>
      </c>
      <c r="EQ195" s="14">
        <f>BP195*'MASTER SHEET'!D195</f>
        <v>0</v>
      </c>
      <c r="ER195" s="14">
        <f>BT195*'MASTER SHEET'!D195</f>
        <v>0</v>
      </c>
      <c r="ES195" s="14">
        <f>BX195*'MASTER SHEET'!D195</f>
        <v>0</v>
      </c>
      <c r="ET195" s="21">
        <f>CB195*'MASTER SHEET'!D195</f>
        <v>0</v>
      </c>
      <c r="EU195" s="14">
        <f>CF195*'MASTER SHEET'!D195</f>
        <v>0</v>
      </c>
      <c r="EV195" s="14">
        <f>CJ195*'MASTER SHEET'!D195</f>
        <v>0</v>
      </c>
      <c r="EW195" s="14">
        <f>CN195*'MASTER SHEET'!D195</f>
        <v>0</v>
      </c>
      <c r="EX195" s="14">
        <f>CR195*'MASTER SHEET'!D195</f>
        <v>0</v>
      </c>
      <c r="EY195" s="14">
        <f>CR195*'MASTER SHEET'!D195</f>
        <v>0</v>
      </c>
      <c r="EZ195" s="14">
        <f>CV195*'MASTER SHEET'!D195</f>
        <v>0</v>
      </c>
      <c r="FA195" s="14">
        <f>CZ195*'MASTER SHEET'!D195</f>
        <v>0</v>
      </c>
      <c r="FB195" s="14">
        <f>DD195*'MASTER SHEET'!D195</f>
        <v>0</v>
      </c>
    </row>
    <row r="196" spans="1:158" ht="18.75" customHeight="1" x14ac:dyDescent="0.25">
      <c r="A196" s="43">
        <f>'MASTER SHEET'!A196</f>
        <v>194</v>
      </c>
      <c r="B196" s="49">
        <f>'MASTER SHEET'!B196</f>
        <v>0</v>
      </c>
      <c r="C196" s="86">
        <f>'MASTER SHEET'!C196</f>
        <v>5038801</v>
      </c>
      <c r="D196" s="51"/>
      <c r="E196" s="48"/>
      <c r="F196" s="48"/>
      <c r="G196" s="48"/>
      <c r="H196" s="48">
        <f t="shared" si="263"/>
        <v>0</v>
      </c>
      <c r="I196" s="28"/>
      <c r="J196" s="28"/>
      <c r="K196" s="65"/>
      <c r="L196" s="48">
        <f t="shared" si="264"/>
        <v>0</v>
      </c>
      <c r="M196" s="48"/>
      <c r="N196" s="48"/>
      <c r="O196" s="48"/>
      <c r="P196" s="48">
        <f t="shared" si="265"/>
        <v>0</v>
      </c>
      <c r="Q196" s="48"/>
      <c r="R196" s="48"/>
      <c r="S196" s="48"/>
      <c r="T196" s="48">
        <f t="shared" si="266"/>
        <v>0</v>
      </c>
      <c r="U196" s="48">
        <v>0</v>
      </c>
      <c r="V196" s="48"/>
      <c r="W196" s="48"/>
      <c r="X196" s="48">
        <f t="shared" si="267"/>
        <v>0</v>
      </c>
      <c r="Y196" s="48"/>
      <c r="Z196" s="48"/>
      <c r="AA196" s="48"/>
      <c r="AB196" s="48">
        <f t="shared" si="268"/>
        <v>0</v>
      </c>
      <c r="AC196" s="48"/>
      <c r="AD196" s="48"/>
      <c r="AE196" s="48"/>
      <c r="AF196" s="48">
        <f t="shared" si="269"/>
        <v>0</v>
      </c>
      <c r="AG196" s="48"/>
      <c r="AH196" s="48"/>
      <c r="AI196" s="48"/>
      <c r="AJ196" s="48">
        <f t="shared" si="270"/>
        <v>0</v>
      </c>
      <c r="AK196" s="48"/>
      <c r="AL196" s="48"/>
      <c r="AM196" s="48"/>
      <c r="AN196" s="48">
        <f t="shared" si="271"/>
        <v>0</v>
      </c>
      <c r="AO196" s="48"/>
      <c r="AP196" s="48"/>
      <c r="AQ196" s="48"/>
      <c r="AR196" s="48">
        <f t="shared" si="272"/>
        <v>0</v>
      </c>
      <c r="AS196" s="48"/>
      <c r="AT196" s="48"/>
      <c r="AU196" s="48"/>
      <c r="AV196" s="48">
        <f t="shared" si="273"/>
        <v>0</v>
      </c>
      <c r="AW196" s="48"/>
      <c r="AX196" s="48"/>
      <c r="AY196" s="48"/>
      <c r="AZ196" s="48">
        <f t="shared" si="274"/>
        <v>0</v>
      </c>
      <c r="BA196" s="48"/>
      <c r="BB196" s="48"/>
      <c r="BC196" s="48"/>
      <c r="BD196" s="48">
        <f t="shared" si="275"/>
        <v>0</v>
      </c>
      <c r="BE196" s="48"/>
      <c r="BF196" s="48"/>
      <c r="BG196" s="48"/>
      <c r="BH196" s="48">
        <f t="shared" si="276"/>
        <v>0</v>
      </c>
      <c r="BI196" s="48"/>
      <c r="BJ196" s="48"/>
      <c r="BK196" s="48"/>
      <c r="BL196" s="48">
        <f t="shared" si="277"/>
        <v>0</v>
      </c>
      <c r="BM196" s="48"/>
      <c r="BN196" s="48"/>
      <c r="BO196" s="48"/>
      <c r="BP196" s="48">
        <f t="shared" si="278"/>
        <v>0</v>
      </c>
      <c r="BQ196" s="48"/>
      <c r="BR196" s="48"/>
      <c r="BS196" s="48"/>
      <c r="BT196" s="48">
        <f t="shared" si="279"/>
        <v>0</v>
      </c>
      <c r="BU196" s="48"/>
      <c r="BV196" s="48"/>
      <c r="BW196" s="48"/>
      <c r="BX196" s="48">
        <f t="shared" si="280"/>
        <v>0</v>
      </c>
      <c r="BY196" s="48"/>
      <c r="BZ196" s="48"/>
      <c r="CA196" s="48"/>
      <c r="CB196" s="48">
        <f t="shared" si="281"/>
        <v>0</v>
      </c>
      <c r="CC196" s="48"/>
      <c r="CD196" s="48"/>
      <c r="CE196" s="48"/>
      <c r="CF196" s="48">
        <f t="shared" si="282"/>
        <v>0</v>
      </c>
      <c r="CG196" s="48"/>
      <c r="CH196" s="48"/>
      <c r="CI196" s="48"/>
      <c r="CJ196" s="48">
        <f t="shared" si="283"/>
        <v>0</v>
      </c>
      <c r="CK196" s="48"/>
      <c r="CL196" s="48"/>
      <c r="CM196" s="48"/>
      <c r="CN196" s="48">
        <f t="shared" si="284"/>
        <v>0</v>
      </c>
      <c r="CO196" s="48"/>
      <c r="CP196" s="48"/>
      <c r="CQ196" s="48"/>
      <c r="CR196" s="48">
        <f t="shared" si="285"/>
        <v>0</v>
      </c>
      <c r="CS196" s="48"/>
      <c r="CT196" s="48"/>
      <c r="CU196" s="48"/>
      <c r="CV196" s="48">
        <f t="shared" si="286"/>
        <v>0</v>
      </c>
      <c r="CW196" s="48"/>
      <c r="CX196" s="48"/>
      <c r="CY196" s="48"/>
      <c r="CZ196" s="48">
        <f t="shared" si="287"/>
        <v>0</v>
      </c>
      <c r="DA196" s="48"/>
      <c r="DB196" s="48"/>
      <c r="DC196" s="48"/>
      <c r="DD196" s="48">
        <f t="shared" si="288"/>
        <v>0</v>
      </c>
      <c r="DE196" s="48"/>
      <c r="DF196" s="48"/>
      <c r="DG196" s="48"/>
      <c r="DH196" s="48">
        <f t="shared" si="289"/>
        <v>0</v>
      </c>
      <c r="DI196" s="48"/>
      <c r="DJ196" s="48"/>
      <c r="DK196" s="48"/>
      <c r="DL196" s="48">
        <f t="shared" si="290"/>
        <v>0</v>
      </c>
      <c r="DM196" s="48"/>
      <c r="DN196" s="48"/>
      <c r="DO196" s="48"/>
      <c r="DP196" s="48">
        <f t="shared" si="291"/>
        <v>0</v>
      </c>
      <c r="DQ196" s="48"/>
      <c r="DR196" s="48"/>
      <c r="DS196" s="48"/>
      <c r="DT196" s="48">
        <f t="shared" si="292"/>
        <v>0</v>
      </c>
      <c r="DU196" s="48"/>
      <c r="DV196" s="48"/>
      <c r="DW196" s="48"/>
      <c r="DX196" s="48">
        <f t="shared" si="293"/>
        <v>0</v>
      </c>
      <c r="DY196" s="48">
        <f t="shared" si="229"/>
        <v>0</v>
      </c>
      <c r="DZ196" s="48">
        <f t="shared" si="294"/>
        <v>0</v>
      </c>
      <c r="EA196" s="14">
        <f>D196*'MASTER SHEET'!D196</f>
        <v>0</v>
      </c>
      <c r="EB196" s="14">
        <f>H196*'MASTER SHEET'!D196</f>
        <v>0</v>
      </c>
      <c r="EC196" s="14">
        <f>L196*'MASTER SHEET'!D196</f>
        <v>0</v>
      </c>
      <c r="ED196" s="14">
        <f>P196*'MASTER SHEET'!D196</f>
        <v>0</v>
      </c>
      <c r="EE196" s="14">
        <f>T196*'MASTER SHEET'!D196</f>
        <v>0</v>
      </c>
      <c r="EF196" s="14">
        <f>X196*'MASTER SHEET'!D196</f>
        <v>0</v>
      </c>
      <c r="EG196" s="14">
        <f>AB196*'MASTER SHEET'!D196</f>
        <v>0</v>
      </c>
      <c r="EH196" s="14">
        <f>AF196*'MASTER SHEET'!D196</f>
        <v>0</v>
      </c>
      <c r="EI196" s="14">
        <f>AJ196*'MASTER SHEET'!D196</f>
        <v>0</v>
      </c>
      <c r="EJ196" s="14">
        <f>AN196*'MASTER SHEET'!D196</f>
        <v>0</v>
      </c>
      <c r="EK196" s="14">
        <f>AR196*'MASTER SHEET'!D196</f>
        <v>0</v>
      </c>
      <c r="EL196" s="14">
        <f>AV196*'MASTER SHEET'!D196</f>
        <v>0</v>
      </c>
      <c r="EM196" s="14">
        <f>AZ196*'MASTER SHEET'!D196</f>
        <v>0</v>
      </c>
      <c r="EN196" s="14">
        <f>BD196*'MASTER SHEET'!D196</f>
        <v>0</v>
      </c>
      <c r="EO196" s="14">
        <f>BH196*'MASTER SHEET'!D196</f>
        <v>0</v>
      </c>
      <c r="EP196" s="14">
        <f>BL196*'MASTER SHEET'!D196</f>
        <v>0</v>
      </c>
      <c r="EQ196" s="14">
        <f>BP196*'MASTER SHEET'!D196</f>
        <v>0</v>
      </c>
      <c r="ER196" s="14">
        <f>BT196*'MASTER SHEET'!D196</f>
        <v>0</v>
      </c>
      <c r="ES196" s="14">
        <f>BX196*'MASTER SHEET'!D196</f>
        <v>0</v>
      </c>
      <c r="ET196" s="21">
        <f>CB196*'MASTER SHEET'!D196</f>
        <v>0</v>
      </c>
      <c r="EU196" s="14">
        <f>CF196*'MASTER SHEET'!D196</f>
        <v>0</v>
      </c>
      <c r="EV196" s="14">
        <f>CJ196*'MASTER SHEET'!D196</f>
        <v>0</v>
      </c>
      <c r="EW196" s="14">
        <f>CN196*'MASTER SHEET'!D196</f>
        <v>0</v>
      </c>
      <c r="EX196" s="14">
        <f>CR196*'MASTER SHEET'!D196</f>
        <v>0</v>
      </c>
      <c r="EY196" s="14">
        <f>CR196*'MASTER SHEET'!D196</f>
        <v>0</v>
      </c>
      <c r="EZ196" s="14">
        <f>CV196*'MASTER SHEET'!D196</f>
        <v>0</v>
      </c>
      <c r="FA196" s="14">
        <f>CZ196*'MASTER SHEET'!D196</f>
        <v>0</v>
      </c>
      <c r="FB196" s="14">
        <f>DD196*'MASTER SHEET'!D196</f>
        <v>0</v>
      </c>
    </row>
    <row r="197" spans="1:158" ht="18.75" customHeight="1" x14ac:dyDescent="0.25">
      <c r="A197" s="43">
        <f>'MASTER SHEET'!A197</f>
        <v>195</v>
      </c>
      <c r="B197" s="49" t="str">
        <f>'MASTER SHEET'!B197</f>
        <v>END PLATE PLASTIC</v>
      </c>
      <c r="C197" s="86">
        <f>'MASTER SHEET'!C197</f>
        <v>5006637</v>
      </c>
      <c r="D197" s="51"/>
      <c r="E197" s="48"/>
      <c r="F197" s="48"/>
      <c r="G197" s="48"/>
      <c r="H197" s="48">
        <f t="shared" si="263"/>
        <v>0</v>
      </c>
      <c r="I197" s="28"/>
      <c r="J197" s="28"/>
      <c r="K197" s="65"/>
      <c r="L197" s="48">
        <f t="shared" si="264"/>
        <v>0</v>
      </c>
      <c r="M197" s="48"/>
      <c r="N197" s="48"/>
      <c r="O197" s="48"/>
      <c r="P197" s="48">
        <f t="shared" si="265"/>
        <v>0</v>
      </c>
      <c r="Q197" s="48"/>
      <c r="R197" s="48"/>
      <c r="S197" s="48"/>
      <c r="T197" s="48">
        <f t="shared" si="266"/>
        <v>0</v>
      </c>
      <c r="U197" s="48">
        <v>0</v>
      </c>
      <c r="V197" s="48"/>
      <c r="W197" s="48"/>
      <c r="X197" s="48">
        <f t="shared" si="267"/>
        <v>0</v>
      </c>
      <c r="Y197" s="48"/>
      <c r="Z197" s="48"/>
      <c r="AA197" s="48"/>
      <c r="AB197" s="48">
        <f t="shared" si="268"/>
        <v>0</v>
      </c>
      <c r="AC197" s="48"/>
      <c r="AD197" s="48"/>
      <c r="AE197" s="48"/>
      <c r="AF197" s="48">
        <f t="shared" si="269"/>
        <v>0</v>
      </c>
      <c r="AG197" s="48"/>
      <c r="AH197" s="48"/>
      <c r="AI197" s="48"/>
      <c r="AJ197" s="48">
        <f t="shared" si="270"/>
        <v>0</v>
      </c>
      <c r="AK197" s="48"/>
      <c r="AL197" s="48"/>
      <c r="AM197" s="48"/>
      <c r="AN197" s="48">
        <f t="shared" si="271"/>
        <v>0</v>
      </c>
      <c r="AO197" s="48"/>
      <c r="AP197" s="48"/>
      <c r="AQ197" s="48"/>
      <c r="AR197" s="48">
        <f t="shared" si="272"/>
        <v>0</v>
      </c>
      <c r="AS197" s="48"/>
      <c r="AT197" s="48"/>
      <c r="AU197" s="48"/>
      <c r="AV197" s="48">
        <f t="shared" si="273"/>
        <v>0</v>
      </c>
      <c r="AW197" s="48"/>
      <c r="AX197" s="48"/>
      <c r="AY197" s="48"/>
      <c r="AZ197" s="48">
        <f t="shared" si="274"/>
        <v>0</v>
      </c>
      <c r="BA197" s="48"/>
      <c r="BB197" s="48"/>
      <c r="BC197" s="48"/>
      <c r="BD197" s="48">
        <f t="shared" si="275"/>
        <v>0</v>
      </c>
      <c r="BE197" s="48"/>
      <c r="BF197" s="48"/>
      <c r="BG197" s="48"/>
      <c r="BH197" s="48">
        <f t="shared" si="276"/>
        <v>0</v>
      </c>
      <c r="BI197" s="48"/>
      <c r="BJ197" s="48"/>
      <c r="BK197" s="48"/>
      <c r="BL197" s="48">
        <f t="shared" si="277"/>
        <v>0</v>
      </c>
      <c r="BM197" s="48"/>
      <c r="BN197" s="48"/>
      <c r="BO197" s="48"/>
      <c r="BP197" s="48">
        <f t="shared" si="278"/>
        <v>0</v>
      </c>
      <c r="BQ197" s="48"/>
      <c r="BR197" s="48"/>
      <c r="BS197" s="48"/>
      <c r="BT197" s="48">
        <f t="shared" si="279"/>
        <v>0</v>
      </c>
      <c r="BU197" s="48"/>
      <c r="BV197" s="48"/>
      <c r="BW197" s="48"/>
      <c r="BX197" s="48">
        <f t="shared" si="280"/>
        <v>0</v>
      </c>
      <c r="BY197" s="48"/>
      <c r="BZ197" s="48"/>
      <c r="CA197" s="48"/>
      <c r="CB197" s="48">
        <f t="shared" si="281"/>
        <v>0</v>
      </c>
      <c r="CC197" s="48"/>
      <c r="CD197" s="48"/>
      <c r="CE197" s="48"/>
      <c r="CF197" s="48">
        <f t="shared" si="282"/>
        <v>0</v>
      </c>
      <c r="CG197" s="48"/>
      <c r="CH197" s="48"/>
      <c r="CI197" s="48"/>
      <c r="CJ197" s="48">
        <f t="shared" si="283"/>
        <v>0</v>
      </c>
      <c r="CK197" s="48"/>
      <c r="CL197" s="48"/>
      <c r="CM197" s="48"/>
      <c r="CN197" s="48">
        <f t="shared" si="284"/>
        <v>0</v>
      </c>
      <c r="CO197" s="48"/>
      <c r="CP197" s="48"/>
      <c r="CQ197" s="48"/>
      <c r="CR197" s="48">
        <f t="shared" si="285"/>
        <v>0</v>
      </c>
      <c r="CS197" s="48"/>
      <c r="CT197" s="48"/>
      <c r="CU197" s="48"/>
      <c r="CV197" s="48">
        <f t="shared" si="286"/>
        <v>0</v>
      </c>
      <c r="CW197" s="48"/>
      <c r="CX197" s="48"/>
      <c r="CY197" s="48"/>
      <c r="CZ197" s="48">
        <f t="shared" si="287"/>
        <v>0</v>
      </c>
      <c r="DA197" s="48"/>
      <c r="DB197" s="48"/>
      <c r="DC197" s="48"/>
      <c r="DD197" s="48">
        <f t="shared" si="288"/>
        <v>0</v>
      </c>
      <c r="DE197" s="48"/>
      <c r="DF197" s="48"/>
      <c r="DG197" s="48"/>
      <c r="DH197" s="48">
        <f t="shared" si="289"/>
        <v>0</v>
      </c>
      <c r="DI197" s="48"/>
      <c r="DJ197" s="48"/>
      <c r="DK197" s="48"/>
      <c r="DL197" s="48">
        <f t="shared" si="290"/>
        <v>0</v>
      </c>
      <c r="DM197" s="48"/>
      <c r="DN197" s="48"/>
      <c r="DO197" s="48"/>
      <c r="DP197" s="48">
        <f t="shared" si="291"/>
        <v>0</v>
      </c>
      <c r="DQ197" s="48"/>
      <c r="DR197" s="48"/>
      <c r="DS197" s="48"/>
      <c r="DT197" s="48">
        <f t="shared" si="292"/>
        <v>0</v>
      </c>
      <c r="DU197" s="48"/>
      <c r="DV197" s="48"/>
      <c r="DW197" s="48"/>
      <c r="DX197" s="48">
        <f t="shared" si="293"/>
        <v>0</v>
      </c>
      <c r="DY197" s="48">
        <f t="shared" si="229"/>
        <v>0</v>
      </c>
      <c r="DZ197" s="48">
        <f t="shared" si="294"/>
        <v>0</v>
      </c>
      <c r="EA197" s="14">
        <f>D197*'MASTER SHEET'!D197</f>
        <v>0</v>
      </c>
      <c r="EB197" s="14">
        <f>H197*'MASTER SHEET'!D197</f>
        <v>0</v>
      </c>
      <c r="EC197" s="14">
        <f>L197*'MASTER SHEET'!D197</f>
        <v>0</v>
      </c>
      <c r="ED197" s="14">
        <f>P197*'MASTER SHEET'!D197</f>
        <v>0</v>
      </c>
      <c r="EE197" s="14">
        <f>T197*'MASTER SHEET'!D197</f>
        <v>0</v>
      </c>
      <c r="EF197" s="14">
        <f>X197*'MASTER SHEET'!D197</f>
        <v>0</v>
      </c>
      <c r="EG197" s="14">
        <f>AB197*'MASTER SHEET'!D197</f>
        <v>0</v>
      </c>
      <c r="EH197" s="14">
        <f>AF197*'MASTER SHEET'!D197</f>
        <v>0</v>
      </c>
      <c r="EI197" s="14">
        <f>AJ197*'MASTER SHEET'!D197</f>
        <v>0</v>
      </c>
      <c r="EJ197" s="14">
        <f>AN197*'MASTER SHEET'!D197</f>
        <v>0</v>
      </c>
      <c r="EK197" s="14">
        <f>AR197*'MASTER SHEET'!D197</f>
        <v>0</v>
      </c>
      <c r="EL197" s="14">
        <f>AV197*'MASTER SHEET'!D197</f>
        <v>0</v>
      </c>
      <c r="EM197" s="14">
        <f>AZ197*'MASTER SHEET'!D197</f>
        <v>0</v>
      </c>
      <c r="EN197" s="14">
        <f>BD197*'MASTER SHEET'!D197</f>
        <v>0</v>
      </c>
      <c r="EO197" s="14">
        <f>BH197*'MASTER SHEET'!D197</f>
        <v>0</v>
      </c>
      <c r="EP197" s="14">
        <f>BL197*'MASTER SHEET'!D197</f>
        <v>0</v>
      </c>
      <c r="EQ197" s="14">
        <f>BP197*'MASTER SHEET'!D197</f>
        <v>0</v>
      </c>
      <c r="ER197" s="14">
        <f>BT197*'MASTER SHEET'!D197</f>
        <v>0</v>
      </c>
      <c r="ES197" s="14">
        <f>BX197*'MASTER SHEET'!D197</f>
        <v>0</v>
      </c>
      <c r="ET197" s="21">
        <f>CB197*'MASTER SHEET'!D197</f>
        <v>0</v>
      </c>
      <c r="EU197" s="14">
        <f>CF197*'MASTER SHEET'!D197</f>
        <v>0</v>
      </c>
      <c r="EV197" s="14">
        <f>CJ197*'MASTER SHEET'!D197</f>
        <v>0</v>
      </c>
      <c r="EW197" s="14">
        <f>CN197*'MASTER SHEET'!D197</f>
        <v>0</v>
      </c>
      <c r="EX197" s="14">
        <f>CR197*'MASTER SHEET'!D197</f>
        <v>0</v>
      </c>
      <c r="EY197" s="14">
        <f>CR197*'MASTER SHEET'!D197</f>
        <v>0</v>
      </c>
      <c r="EZ197" s="14">
        <f>CV197*'MASTER SHEET'!D197</f>
        <v>0</v>
      </c>
      <c r="FA197" s="14">
        <f>CZ197*'MASTER SHEET'!D197</f>
        <v>0</v>
      </c>
      <c r="FB197" s="14">
        <f>DD197*'MASTER SHEET'!D197</f>
        <v>0</v>
      </c>
    </row>
    <row r="198" spans="1:158" ht="18.75" customHeight="1" x14ac:dyDescent="0.25">
      <c r="A198" s="43">
        <f>'MASTER SHEET'!A198</f>
        <v>196</v>
      </c>
      <c r="B198" s="49" t="str">
        <f>'MASTER SHEET'!B198</f>
        <v>BOTTOM COVER</v>
      </c>
      <c r="C198" s="86">
        <f>'MASTER SHEET'!C198</f>
        <v>5037943</v>
      </c>
      <c r="D198" s="51"/>
      <c r="E198" s="48"/>
      <c r="F198" s="48"/>
      <c r="G198" s="48"/>
      <c r="H198" s="48">
        <f t="shared" si="263"/>
        <v>0</v>
      </c>
      <c r="I198" s="28"/>
      <c r="J198" s="28"/>
      <c r="K198" s="65"/>
      <c r="L198" s="48">
        <f t="shared" si="264"/>
        <v>0</v>
      </c>
      <c r="M198" s="48"/>
      <c r="N198" s="48"/>
      <c r="O198" s="48"/>
      <c r="P198" s="48">
        <f t="shared" si="265"/>
        <v>0</v>
      </c>
      <c r="Q198" s="48"/>
      <c r="R198" s="48"/>
      <c r="S198" s="48"/>
      <c r="T198" s="48">
        <f t="shared" si="266"/>
        <v>0</v>
      </c>
      <c r="U198" s="48">
        <v>0</v>
      </c>
      <c r="V198" s="48"/>
      <c r="W198" s="48"/>
      <c r="X198" s="48">
        <f t="shared" si="267"/>
        <v>0</v>
      </c>
      <c r="Y198" s="48"/>
      <c r="Z198" s="48"/>
      <c r="AA198" s="48"/>
      <c r="AB198" s="48">
        <f t="shared" si="268"/>
        <v>0</v>
      </c>
      <c r="AC198" s="48"/>
      <c r="AD198" s="48"/>
      <c r="AE198" s="48"/>
      <c r="AF198" s="48">
        <f t="shared" si="269"/>
        <v>0</v>
      </c>
      <c r="AG198" s="48"/>
      <c r="AH198" s="48"/>
      <c r="AI198" s="48"/>
      <c r="AJ198" s="48">
        <f t="shared" si="270"/>
        <v>0</v>
      </c>
      <c r="AK198" s="48"/>
      <c r="AL198" s="48"/>
      <c r="AM198" s="48"/>
      <c r="AN198" s="48">
        <f t="shared" si="271"/>
        <v>0</v>
      </c>
      <c r="AO198" s="48"/>
      <c r="AP198" s="48"/>
      <c r="AQ198" s="48"/>
      <c r="AR198" s="48">
        <f t="shared" si="272"/>
        <v>0</v>
      </c>
      <c r="AS198" s="48"/>
      <c r="AT198" s="48"/>
      <c r="AU198" s="48"/>
      <c r="AV198" s="48">
        <f t="shared" si="273"/>
        <v>0</v>
      </c>
      <c r="AW198" s="48"/>
      <c r="AX198" s="48"/>
      <c r="AY198" s="48"/>
      <c r="AZ198" s="48">
        <f t="shared" si="274"/>
        <v>0</v>
      </c>
      <c r="BA198" s="48"/>
      <c r="BB198" s="48"/>
      <c r="BC198" s="48"/>
      <c r="BD198" s="48">
        <f t="shared" si="275"/>
        <v>0</v>
      </c>
      <c r="BE198" s="48"/>
      <c r="BF198" s="48"/>
      <c r="BG198" s="48"/>
      <c r="BH198" s="48">
        <f t="shared" si="276"/>
        <v>0</v>
      </c>
      <c r="BI198" s="48"/>
      <c r="BJ198" s="48"/>
      <c r="BK198" s="48"/>
      <c r="BL198" s="48">
        <f t="shared" si="277"/>
        <v>0</v>
      </c>
      <c r="BM198" s="48"/>
      <c r="BN198" s="48"/>
      <c r="BO198" s="48"/>
      <c r="BP198" s="48">
        <f t="shared" si="278"/>
        <v>0</v>
      </c>
      <c r="BQ198" s="48"/>
      <c r="BR198" s="48"/>
      <c r="BS198" s="48"/>
      <c r="BT198" s="48">
        <f t="shared" si="279"/>
        <v>0</v>
      </c>
      <c r="BU198" s="48"/>
      <c r="BV198" s="48"/>
      <c r="BW198" s="48"/>
      <c r="BX198" s="48">
        <f t="shared" si="280"/>
        <v>0</v>
      </c>
      <c r="BY198" s="48"/>
      <c r="BZ198" s="48"/>
      <c r="CA198" s="48"/>
      <c r="CB198" s="48">
        <f t="shared" si="281"/>
        <v>0</v>
      </c>
      <c r="CC198" s="48"/>
      <c r="CD198" s="48"/>
      <c r="CE198" s="48"/>
      <c r="CF198" s="48">
        <f t="shared" si="282"/>
        <v>0</v>
      </c>
      <c r="CG198" s="48"/>
      <c r="CH198" s="48"/>
      <c r="CI198" s="48"/>
      <c r="CJ198" s="48">
        <f t="shared" si="283"/>
        <v>0</v>
      </c>
      <c r="CK198" s="48"/>
      <c r="CL198" s="48"/>
      <c r="CM198" s="48"/>
      <c r="CN198" s="48">
        <f t="shared" si="284"/>
        <v>0</v>
      </c>
      <c r="CO198" s="48"/>
      <c r="CP198" s="48"/>
      <c r="CQ198" s="48"/>
      <c r="CR198" s="48">
        <f t="shared" si="285"/>
        <v>0</v>
      </c>
      <c r="CS198" s="48"/>
      <c r="CT198" s="48"/>
      <c r="CU198" s="48"/>
      <c r="CV198" s="48">
        <f t="shared" si="286"/>
        <v>0</v>
      </c>
      <c r="CW198" s="48"/>
      <c r="CX198" s="48"/>
      <c r="CY198" s="48"/>
      <c r="CZ198" s="48">
        <f t="shared" si="287"/>
        <v>0</v>
      </c>
      <c r="DA198" s="48"/>
      <c r="DB198" s="48"/>
      <c r="DC198" s="48"/>
      <c r="DD198" s="48">
        <f t="shared" si="288"/>
        <v>0</v>
      </c>
      <c r="DE198" s="48"/>
      <c r="DF198" s="48"/>
      <c r="DG198" s="48"/>
      <c r="DH198" s="48">
        <f t="shared" si="289"/>
        <v>0</v>
      </c>
      <c r="DI198" s="48"/>
      <c r="DJ198" s="48"/>
      <c r="DK198" s="48"/>
      <c r="DL198" s="48">
        <f t="shared" si="290"/>
        <v>0</v>
      </c>
      <c r="DM198" s="48"/>
      <c r="DN198" s="48"/>
      <c r="DO198" s="48"/>
      <c r="DP198" s="48">
        <f t="shared" si="291"/>
        <v>0</v>
      </c>
      <c r="DQ198" s="48"/>
      <c r="DR198" s="48"/>
      <c r="DS198" s="48"/>
      <c r="DT198" s="48">
        <f t="shared" si="292"/>
        <v>0</v>
      </c>
      <c r="DU198" s="48"/>
      <c r="DV198" s="48"/>
      <c r="DW198" s="48"/>
      <c r="DX198" s="48">
        <f t="shared" si="293"/>
        <v>0</v>
      </c>
      <c r="DY198" s="48">
        <f t="shared" si="229"/>
        <v>0</v>
      </c>
      <c r="DZ198" s="48">
        <f t="shared" si="294"/>
        <v>0</v>
      </c>
      <c r="EA198" s="14">
        <f>D198*'MASTER SHEET'!D198</f>
        <v>0</v>
      </c>
      <c r="EB198" s="14">
        <f>H198*'MASTER SHEET'!D198</f>
        <v>0</v>
      </c>
      <c r="EC198" s="14">
        <f>L198*'MASTER SHEET'!D198</f>
        <v>0</v>
      </c>
      <c r="ED198" s="14">
        <f>P198*'MASTER SHEET'!D198</f>
        <v>0</v>
      </c>
      <c r="EE198" s="14">
        <f>T198*'MASTER SHEET'!D198</f>
        <v>0</v>
      </c>
      <c r="EF198" s="14">
        <f>X198*'MASTER SHEET'!D198</f>
        <v>0</v>
      </c>
      <c r="EG198" s="14">
        <f>AB198*'MASTER SHEET'!D198</f>
        <v>0</v>
      </c>
      <c r="EH198" s="14">
        <f>AF198*'MASTER SHEET'!D198</f>
        <v>0</v>
      </c>
      <c r="EI198" s="14">
        <f>AJ198*'MASTER SHEET'!D198</f>
        <v>0</v>
      </c>
      <c r="EJ198" s="14">
        <f>AN198*'MASTER SHEET'!D198</f>
        <v>0</v>
      </c>
      <c r="EK198" s="14">
        <f>AR198*'MASTER SHEET'!D198</f>
        <v>0</v>
      </c>
      <c r="EL198" s="14">
        <f>AV198*'MASTER SHEET'!D198</f>
        <v>0</v>
      </c>
      <c r="EM198" s="14">
        <f>AZ198*'MASTER SHEET'!D198</f>
        <v>0</v>
      </c>
      <c r="EN198" s="14">
        <f>BD198*'MASTER SHEET'!D198</f>
        <v>0</v>
      </c>
      <c r="EO198" s="14">
        <f>BH198*'MASTER SHEET'!D198</f>
        <v>0</v>
      </c>
      <c r="EP198" s="14">
        <f>BL198*'MASTER SHEET'!D198</f>
        <v>0</v>
      </c>
      <c r="EQ198" s="14">
        <f>BP198*'MASTER SHEET'!D198</f>
        <v>0</v>
      </c>
      <c r="ER198" s="14">
        <f>BT198*'MASTER SHEET'!D198</f>
        <v>0</v>
      </c>
      <c r="ES198" s="14">
        <f>BX198*'MASTER SHEET'!D198</f>
        <v>0</v>
      </c>
      <c r="ET198" s="21">
        <f>CB198*'MASTER SHEET'!D198</f>
        <v>0</v>
      </c>
      <c r="EU198" s="14">
        <f>CF198*'MASTER SHEET'!D198</f>
        <v>0</v>
      </c>
      <c r="EV198" s="14">
        <f>CJ198*'MASTER SHEET'!D198</f>
        <v>0</v>
      </c>
      <c r="EW198" s="14">
        <f>CN198*'MASTER SHEET'!D198</f>
        <v>0</v>
      </c>
      <c r="EX198" s="14">
        <f>CR198*'MASTER SHEET'!D198</f>
        <v>0</v>
      </c>
      <c r="EY198" s="14">
        <f>CR198*'MASTER SHEET'!D198</f>
        <v>0</v>
      </c>
      <c r="EZ198" s="14">
        <f>CV198*'MASTER SHEET'!D198</f>
        <v>0</v>
      </c>
      <c r="FA198" s="14">
        <f>CZ198*'MASTER SHEET'!D198</f>
        <v>0</v>
      </c>
      <c r="FB198" s="14">
        <f>DD198*'MASTER SHEET'!D198</f>
        <v>0</v>
      </c>
    </row>
    <row r="199" spans="1:158" ht="18.75" customHeight="1" x14ac:dyDescent="0.25">
      <c r="A199" s="43">
        <f>'MASTER SHEET'!A199</f>
        <v>197</v>
      </c>
      <c r="B199" s="49" t="str">
        <f>'MASTER SHEET'!B199</f>
        <v>END PLATE</v>
      </c>
      <c r="C199" s="86">
        <f>'MASTER SHEET'!C199</f>
        <v>5045083</v>
      </c>
      <c r="D199" s="51"/>
      <c r="E199" s="48"/>
      <c r="F199" s="48"/>
      <c r="G199" s="48"/>
      <c r="H199" s="48">
        <f t="shared" si="263"/>
        <v>0</v>
      </c>
      <c r="I199" s="28"/>
      <c r="J199" s="28"/>
      <c r="K199" s="65"/>
      <c r="L199" s="48">
        <f t="shared" si="264"/>
        <v>0</v>
      </c>
      <c r="M199" s="48"/>
      <c r="N199" s="48"/>
      <c r="O199" s="48"/>
      <c r="P199" s="48">
        <f t="shared" si="265"/>
        <v>0</v>
      </c>
      <c r="Q199" s="48"/>
      <c r="R199" s="48"/>
      <c r="S199" s="48"/>
      <c r="T199" s="48">
        <f t="shared" si="266"/>
        <v>0</v>
      </c>
      <c r="U199" s="48">
        <v>0</v>
      </c>
      <c r="V199" s="48"/>
      <c r="W199" s="48"/>
      <c r="X199" s="48">
        <f t="shared" si="267"/>
        <v>0</v>
      </c>
      <c r="Y199" s="48"/>
      <c r="Z199" s="48"/>
      <c r="AA199" s="48"/>
      <c r="AB199" s="48">
        <f t="shared" si="268"/>
        <v>0</v>
      </c>
      <c r="AC199" s="48"/>
      <c r="AD199" s="48"/>
      <c r="AE199" s="48"/>
      <c r="AF199" s="48">
        <f t="shared" si="269"/>
        <v>0</v>
      </c>
      <c r="AG199" s="48"/>
      <c r="AH199" s="48"/>
      <c r="AI199" s="48"/>
      <c r="AJ199" s="48">
        <f t="shared" si="270"/>
        <v>0</v>
      </c>
      <c r="AK199" s="48"/>
      <c r="AL199" s="48"/>
      <c r="AM199" s="48"/>
      <c r="AN199" s="48">
        <f t="shared" si="271"/>
        <v>0</v>
      </c>
      <c r="AO199" s="48"/>
      <c r="AP199" s="48"/>
      <c r="AQ199" s="48"/>
      <c r="AR199" s="48">
        <f t="shared" si="272"/>
        <v>0</v>
      </c>
      <c r="AS199" s="48"/>
      <c r="AT199" s="48"/>
      <c r="AU199" s="48"/>
      <c r="AV199" s="48">
        <f t="shared" si="273"/>
        <v>0</v>
      </c>
      <c r="AW199" s="48"/>
      <c r="AX199" s="48"/>
      <c r="AY199" s="48"/>
      <c r="AZ199" s="48">
        <f t="shared" si="274"/>
        <v>0</v>
      </c>
      <c r="BA199" s="48"/>
      <c r="BB199" s="48"/>
      <c r="BC199" s="48"/>
      <c r="BD199" s="48">
        <f t="shared" si="275"/>
        <v>0</v>
      </c>
      <c r="BE199" s="48"/>
      <c r="BF199" s="48"/>
      <c r="BG199" s="48"/>
      <c r="BH199" s="48">
        <f t="shared" si="276"/>
        <v>0</v>
      </c>
      <c r="BI199" s="48"/>
      <c r="BJ199" s="48"/>
      <c r="BK199" s="48"/>
      <c r="BL199" s="48">
        <f t="shared" si="277"/>
        <v>0</v>
      </c>
      <c r="BM199" s="48"/>
      <c r="BN199" s="48"/>
      <c r="BO199" s="48"/>
      <c r="BP199" s="48">
        <f t="shared" si="278"/>
        <v>0</v>
      </c>
      <c r="BQ199" s="48"/>
      <c r="BR199" s="48"/>
      <c r="BS199" s="48"/>
      <c r="BT199" s="48">
        <f t="shared" si="279"/>
        <v>0</v>
      </c>
      <c r="BU199" s="48"/>
      <c r="BV199" s="48"/>
      <c r="BW199" s="48"/>
      <c r="BX199" s="48">
        <f t="shared" si="280"/>
        <v>0</v>
      </c>
      <c r="BY199" s="48"/>
      <c r="BZ199" s="48"/>
      <c r="CA199" s="48"/>
      <c r="CB199" s="48">
        <f t="shared" si="281"/>
        <v>0</v>
      </c>
      <c r="CC199" s="48"/>
      <c r="CD199" s="48"/>
      <c r="CE199" s="48"/>
      <c r="CF199" s="48">
        <f t="shared" si="282"/>
        <v>0</v>
      </c>
      <c r="CG199" s="48"/>
      <c r="CH199" s="48"/>
      <c r="CI199" s="48"/>
      <c r="CJ199" s="48">
        <f t="shared" si="283"/>
        <v>0</v>
      </c>
      <c r="CK199" s="48"/>
      <c r="CL199" s="48"/>
      <c r="CM199" s="48"/>
      <c r="CN199" s="48">
        <f t="shared" si="284"/>
        <v>0</v>
      </c>
      <c r="CO199" s="48"/>
      <c r="CP199" s="48"/>
      <c r="CQ199" s="48"/>
      <c r="CR199" s="48">
        <f t="shared" si="285"/>
        <v>0</v>
      </c>
      <c r="CS199" s="48"/>
      <c r="CT199" s="48"/>
      <c r="CU199" s="48"/>
      <c r="CV199" s="48">
        <f t="shared" si="286"/>
        <v>0</v>
      </c>
      <c r="CW199" s="48"/>
      <c r="CX199" s="48"/>
      <c r="CY199" s="48"/>
      <c r="CZ199" s="48">
        <f t="shared" si="287"/>
        <v>0</v>
      </c>
      <c r="DA199" s="48"/>
      <c r="DB199" s="48"/>
      <c r="DC199" s="48"/>
      <c r="DD199" s="48">
        <f t="shared" si="288"/>
        <v>0</v>
      </c>
      <c r="DE199" s="48"/>
      <c r="DF199" s="48"/>
      <c r="DG199" s="48"/>
      <c r="DH199" s="48">
        <f t="shared" si="289"/>
        <v>0</v>
      </c>
      <c r="DI199" s="48"/>
      <c r="DJ199" s="48"/>
      <c r="DK199" s="48"/>
      <c r="DL199" s="48">
        <f t="shared" si="290"/>
        <v>0</v>
      </c>
      <c r="DM199" s="48"/>
      <c r="DN199" s="48"/>
      <c r="DO199" s="48"/>
      <c r="DP199" s="48">
        <f t="shared" si="291"/>
        <v>0</v>
      </c>
      <c r="DQ199" s="48"/>
      <c r="DR199" s="48"/>
      <c r="DS199" s="48"/>
      <c r="DT199" s="48">
        <f t="shared" si="292"/>
        <v>0</v>
      </c>
      <c r="DU199" s="48"/>
      <c r="DV199" s="48"/>
      <c r="DW199" s="48"/>
      <c r="DX199" s="48">
        <f t="shared" si="293"/>
        <v>0</v>
      </c>
      <c r="DY199" s="48">
        <f t="shared" si="229"/>
        <v>0</v>
      </c>
      <c r="DZ199" s="48">
        <f t="shared" si="294"/>
        <v>0</v>
      </c>
      <c r="EA199" s="14">
        <f>D199*'MASTER SHEET'!D199</f>
        <v>0</v>
      </c>
      <c r="EB199" s="14">
        <f>H199*'MASTER SHEET'!D199</f>
        <v>0</v>
      </c>
      <c r="EC199" s="14">
        <f>L199*'MASTER SHEET'!D199</f>
        <v>0</v>
      </c>
      <c r="ED199" s="14">
        <f>P199*'MASTER SHEET'!D199</f>
        <v>0</v>
      </c>
      <c r="EE199" s="14">
        <f>T199*'MASTER SHEET'!D199</f>
        <v>0</v>
      </c>
      <c r="EF199" s="14">
        <f>X199*'MASTER SHEET'!D199</f>
        <v>0</v>
      </c>
      <c r="EG199" s="14">
        <f>AB199*'MASTER SHEET'!D199</f>
        <v>0</v>
      </c>
      <c r="EH199" s="14">
        <f>AF199*'MASTER SHEET'!D199</f>
        <v>0</v>
      </c>
      <c r="EI199" s="14">
        <f>AJ199*'MASTER SHEET'!D199</f>
        <v>0</v>
      </c>
      <c r="EJ199" s="14">
        <f>AN199*'MASTER SHEET'!D199</f>
        <v>0</v>
      </c>
      <c r="EK199" s="14">
        <f>AR199*'MASTER SHEET'!D199</f>
        <v>0</v>
      </c>
      <c r="EL199" s="14">
        <f>AV199*'MASTER SHEET'!D199</f>
        <v>0</v>
      </c>
      <c r="EM199" s="14">
        <f>AZ199*'MASTER SHEET'!D199</f>
        <v>0</v>
      </c>
      <c r="EN199" s="14">
        <f>BD199*'MASTER SHEET'!D199</f>
        <v>0</v>
      </c>
      <c r="EO199" s="14">
        <f>BH199*'MASTER SHEET'!D199</f>
        <v>0</v>
      </c>
      <c r="EP199" s="14">
        <f>BL199*'MASTER SHEET'!D199</f>
        <v>0</v>
      </c>
      <c r="EQ199" s="14">
        <f>BP199*'MASTER SHEET'!D199</f>
        <v>0</v>
      </c>
      <c r="ER199" s="14">
        <f>BT199*'MASTER SHEET'!D199</f>
        <v>0</v>
      </c>
      <c r="ES199" s="14">
        <f>BX199*'MASTER SHEET'!D199</f>
        <v>0</v>
      </c>
      <c r="ET199" s="21">
        <f>CB199*'MASTER SHEET'!D199</f>
        <v>0</v>
      </c>
      <c r="EU199" s="14">
        <f>CF199*'MASTER SHEET'!D199</f>
        <v>0</v>
      </c>
      <c r="EV199" s="14">
        <f>CJ199*'MASTER SHEET'!D199</f>
        <v>0</v>
      </c>
      <c r="EW199" s="14">
        <f>CN199*'MASTER SHEET'!D199</f>
        <v>0</v>
      </c>
      <c r="EX199" s="14">
        <f>CR199*'MASTER SHEET'!D199</f>
        <v>0</v>
      </c>
      <c r="EY199" s="14">
        <f>CR199*'MASTER SHEET'!D199</f>
        <v>0</v>
      </c>
      <c r="EZ199" s="14">
        <f>CV199*'MASTER SHEET'!D199</f>
        <v>0</v>
      </c>
      <c r="FA199" s="14">
        <f>CZ199*'MASTER SHEET'!D199</f>
        <v>0</v>
      </c>
      <c r="FB199" s="14">
        <f>DD199*'MASTER SHEET'!D199</f>
        <v>0</v>
      </c>
    </row>
    <row r="200" spans="1:158" ht="18.75" customHeight="1" x14ac:dyDescent="0.25">
      <c r="A200" s="43">
        <f>'MASTER SHEET'!A200</f>
        <v>198</v>
      </c>
      <c r="B200" s="49" t="str">
        <f>'MASTER SHEET'!B200</f>
        <v>TOP COVER ASSY.</v>
      </c>
      <c r="C200" s="86">
        <f>'MASTER SHEET'!C200</f>
        <v>5039553</v>
      </c>
      <c r="D200" s="51"/>
      <c r="E200" s="48"/>
      <c r="F200" s="48"/>
      <c r="G200" s="48"/>
      <c r="H200" s="48">
        <f t="shared" si="263"/>
        <v>0</v>
      </c>
      <c r="I200" s="28"/>
      <c r="J200" s="28"/>
      <c r="K200" s="65"/>
      <c r="L200" s="48">
        <f t="shared" si="264"/>
        <v>0</v>
      </c>
      <c r="M200" s="48"/>
      <c r="N200" s="48"/>
      <c r="O200" s="48"/>
      <c r="P200" s="48">
        <f t="shared" si="265"/>
        <v>0</v>
      </c>
      <c r="Q200" s="48"/>
      <c r="R200" s="48"/>
      <c r="S200" s="48"/>
      <c r="T200" s="48">
        <f t="shared" si="266"/>
        <v>0</v>
      </c>
      <c r="U200" s="48">
        <v>0</v>
      </c>
      <c r="V200" s="48"/>
      <c r="W200" s="48"/>
      <c r="X200" s="48">
        <f t="shared" si="267"/>
        <v>0</v>
      </c>
      <c r="Y200" s="48"/>
      <c r="Z200" s="48"/>
      <c r="AA200" s="48"/>
      <c r="AB200" s="48">
        <f t="shared" si="268"/>
        <v>0</v>
      </c>
      <c r="AC200" s="48"/>
      <c r="AD200" s="48"/>
      <c r="AE200" s="48"/>
      <c r="AF200" s="48">
        <f t="shared" si="269"/>
        <v>0</v>
      </c>
      <c r="AG200" s="48"/>
      <c r="AH200" s="48"/>
      <c r="AI200" s="48"/>
      <c r="AJ200" s="48">
        <f t="shared" si="270"/>
        <v>0</v>
      </c>
      <c r="AK200" s="48"/>
      <c r="AL200" s="48"/>
      <c r="AM200" s="48"/>
      <c r="AN200" s="48">
        <f t="shared" si="271"/>
        <v>0</v>
      </c>
      <c r="AO200" s="48"/>
      <c r="AP200" s="48"/>
      <c r="AQ200" s="48"/>
      <c r="AR200" s="48">
        <f t="shared" si="272"/>
        <v>0</v>
      </c>
      <c r="AS200" s="48"/>
      <c r="AT200" s="48"/>
      <c r="AU200" s="48"/>
      <c r="AV200" s="48">
        <f t="shared" si="273"/>
        <v>0</v>
      </c>
      <c r="AW200" s="48"/>
      <c r="AX200" s="48"/>
      <c r="AY200" s="48"/>
      <c r="AZ200" s="48">
        <f t="shared" si="274"/>
        <v>0</v>
      </c>
      <c r="BA200" s="48"/>
      <c r="BB200" s="48"/>
      <c r="BC200" s="48"/>
      <c r="BD200" s="48">
        <f t="shared" si="275"/>
        <v>0</v>
      </c>
      <c r="BE200" s="48"/>
      <c r="BF200" s="48"/>
      <c r="BG200" s="48"/>
      <c r="BH200" s="48">
        <f t="shared" si="276"/>
        <v>0</v>
      </c>
      <c r="BI200" s="48"/>
      <c r="BJ200" s="48"/>
      <c r="BK200" s="48"/>
      <c r="BL200" s="48">
        <f t="shared" si="277"/>
        <v>0</v>
      </c>
      <c r="BM200" s="48"/>
      <c r="BN200" s="48"/>
      <c r="BO200" s="48"/>
      <c r="BP200" s="48">
        <f t="shared" si="278"/>
        <v>0</v>
      </c>
      <c r="BQ200" s="48"/>
      <c r="BR200" s="48"/>
      <c r="BS200" s="48"/>
      <c r="BT200" s="48">
        <f t="shared" si="279"/>
        <v>0</v>
      </c>
      <c r="BU200" s="48"/>
      <c r="BV200" s="48"/>
      <c r="BW200" s="48"/>
      <c r="BX200" s="48">
        <f t="shared" si="280"/>
        <v>0</v>
      </c>
      <c r="BY200" s="48"/>
      <c r="BZ200" s="48"/>
      <c r="CA200" s="48"/>
      <c r="CB200" s="48">
        <f t="shared" si="281"/>
        <v>0</v>
      </c>
      <c r="CC200" s="48"/>
      <c r="CD200" s="48"/>
      <c r="CE200" s="48"/>
      <c r="CF200" s="48">
        <f t="shared" si="282"/>
        <v>0</v>
      </c>
      <c r="CG200" s="48"/>
      <c r="CH200" s="48"/>
      <c r="CI200" s="48"/>
      <c r="CJ200" s="48">
        <f t="shared" si="283"/>
        <v>0</v>
      </c>
      <c r="CK200" s="48"/>
      <c r="CL200" s="48"/>
      <c r="CM200" s="48"/>
      <c r="CN200" s="48">
        <f t="shared" si="284"/>
        <v>0</v>
      </c>
      <c r="CO200" s="48"/>
      <c r="CP200" s="48"/>
      <c r="CQ200" s="48"/>
      <c r="CR200" s="48">
        <f t="shared" si="285"/>
        <v>0</v>
      </c>
      <c r="CS200" s="48"/>
      <c r="CT200" s="48"/>
      <c r="CU200" s="48"/>
      <c r="CV200" s="48">
        <f t="shared" si="286"/>
        <v>0</v>
      </c>
      <c r="CW200" s="48"/>
      <c r="CX200" s="48"/>
      <c r="CY200" s="48"/>
      <c r="CZ200" s="48">
        <f t="shared" si="287"/>
        <v>0</v>
      </c>
      <c r="DA200" s="48"/>
      <c r="DB200" s="48"/>
      <c r="DC200" s="48"/>
      <c r="DD200" s="48">
        <f t="shared" si="288"/>
        <v>0</v>
      </c>
      <c r="DE200" s="48"/>
      <c r="DF200" s="48"/>
      <c r="DG200" s="48"/>
      <c r="DH200" s="48">
        <f t="shared" si="289"/>
        <v>0</v>
      </c>
      <c r="DI200" s="48"/>
      <c r="DJ200" s="48"/>
      <c r="DK200" s="48"/>
      <c r="DL200" s="48">
        <f t="shared" si="290"/>
        <v>0</v>
      </c>
      <c r="DM200" s="48"/>
      <c r="DN200" s="48"/>
      <c r="DO200" s="48"/>
      <c r="DP200" s="48">
        <f t="shared" si="291"/>
        <v>0</v>
      </c>
      <c r="DQ200" s="48"/>
      <c r="DR200" s="48"/>
      <c r="DS200" s="48"/>
      <c r="DT200" s="48">
        <f t="shared" si="292"/>
        <v>0</v>
      </c>
      <c r="DU200" s="48"/>
      <c r="DV200" s="48"/>
      <c r="DW200" s="48"/>
      <c r="DX200" s="48">
        <f t="shared" si="293"/>
        <v>0</v>
      </c>
      <c r="DY200" s="48">
        <f t="shared" si="229"/>
        <v>0</v>
      </c>
      <c r="DZ200" s="48">
        <f t="shared" si="294"/>
        <v>0</v>
      </c>
      <c r="EA200" s="14">
        <f>D200*'MASTER SHEET'!D200</f>
        <v>0</v>
      </c>
      <c r="EB200" s="14">
        <f>H200*'MASTER SHEET'!D200</f>
        <v>0</v>
      </c>
      <c r="EC200" s="14">
        <f>L200*'MASTER SHEET'!D200</f>
        <v>0</v>
      </c>
      <c r="ED200" s="14">
        <f>P200*'MASTER SHEET'!D200</f>
        <v>0</v>
      </c>
      <c r="EE200" s="14">
        <f>T200*'MASTER SHEET'!D200</f>
        <v>0</v>
      </c>
      <c r="EF200" s="14">
        <f>X200*'MASTER SHEET'!D200</f>
        <v>0</v>
      </c>
      <c r="EG200" s="14">
        <f>AB200*'MASTER SHEET'!D200</f>
        <v>0</v>
      </c>
      <c r="EH200" s="14">
        <f>AF200*'MASTER SHEET'!D200</f>
        <v>0</v>
      </c>
      <c r="EI200" s="14">
        <f>AJ200*'MASTER SHEET'!D200</f>
        <v>0</v>
      </c>
      <c r="EJ200" s="14">
        <f>AN200*'MASTER SHEET'!D200</f>
        <v>0</v>
      </c>
      <c r="EK200" s="14">
        <f>AR200*'MASTER SHEET'!D200</f>
        <v>0</v>
      </c>
      <c r="EL200" s="14">
        <f>AV200*'MASTER SHEET'!D200</f>
        <v>0</v>
      </c>
      <c r="EM200" s="14">
        <f>AZ200*'MASTER SHEET'!D200</f>
        <v>0</v>
      </c>
      <c r="EN200" s="14">
        <f>BD200*'MASTER SHEET'!D200</f>
        <v>0</v>
      </c>
      <c r="EO200" s="14">
        <f>BH200*'MASTER SHEET'!D200</f>
        <v>0</v>
      </c>
      <c r="EP200" s="14">
        <f>BL200*'MASTER SHEET'!D200</f>
        <v>0</v>
      </c>
      <c r="EQ200" s="14">
        <f>BP200*'MASTER SHEET'!D200</f>
        <v>0</v>
      </c>
      <c r="ER200" s="14">
        <f>BT200*'MASTER SHEET'!D200</f>
        <v>0</v>
      </c>
      <c r="ES200" s="14">
        <f>BX200*'MASTER SHEET'!D200</f>
        <v>0</v>
      </c>
      <c r="ET200" s="21">
        <f>CB200*'MASTER SHEET'!D200</f>
        <v>0</v>
      </c>
      <c r="EU200" s="14">
        <f>CF200*'MASTER SHEET'!D200</f>
        <v>0</v>
      </c>
      <c r="EV200" s="14">
        <f>CJ200*'MASTER SHEET'!D200</f>
        <v>0</v>
      </c>
      <c r="EW200" s="14">
        <f>CN200*'MASTER SHEET'!D200</f>
        <v>0</v>
      </c>
      <c r="EX200" s="14">
        <f>CR200*'MASTER SHEET'!D200</f>
        <v>0</v>
      </c>
      <c r="EY200" s="14">
        <f>CR200*'MASTER SHEET'!D200</f>
        <v>0</v>
      </c>
      <c r="EZ200" s="14">
        <f>CV200*'MASTER SHEET'!D200</f>
        <v>0</v>
      </c>
      <c r="FA200" s="14">
        <f>CZ200*'MASTER SHEET'!D200</f>
        <v>0</v>
      </c>
      <c r="FB200" s="14">
        <f>DD200*'MASTER SHEET'!D200</f>
        <v>0</v>
      </c>
    </row>
    <row r="201" spans="1:158" ht="18.75" customHeight="1" x14ac:dyDescent="0.25">
      <c r="A201" s="43">
        <f>'MASTER SHEET'!A201</f>
        <v>199</v>
      </c>
      <c r="B201" s="49" t="str">
        <f>'MASTER SHEET'!B201</f>
        <v>HOUSING PLASTIC</v>
      </c>
      <c r="C201" s="86">
        <f>'MASTER SHEET'!C201</f>
        <v>5039047</v>
      </c>
      <c r="D201" s="51"/>
      <c r="E201" s="48"/>
      <c r="F201" s="48"/>
      <c r="G201" s="48"/>
      <c r="H201" s="48">
        <f t="shared" si="263"/>
        <v>0</v>
      </c>
      <c r="I201" s="28"/>
      <c r="J201" s="28"/>
      <c r="K201" s="65"/>
      <c r="L201" s="48">
        <f t="shared" si="264"/>
        <v>0</v>
      </c>
      <c r="M201" s="48"/>
      <c r="N201" s="48"/>
      <c r="O201" s="48"/>
      <c r="P201" s="48">
        <f t="shared" si="265"/>
        <v>0</v>
      </c>
      <c r="Q201" s="48"/>
      <c r="R201" s="48"/>
      <c r="S201" s="48"/>
      <c r="T201" s="48">
        <f t="shared" si="266"/>
        <v>0</v>
      </c>
      <c r="U201" s="48">
        <v>0</v>
      </c>
      <c r="V201" s="48"/>
      <c r="W201" s="48"/>
      <c r="X201" s="48">
        <f t="shared" si="267"/>
        <v>0</v>
      </c>
      <c r="Y201" s="48"/>
      <c r="Z201" s="48"/>
      <c r="AA201" s="48"/>
      <c r="AB201" s="48">
        <f t="shared" si="268"/>
        <v>0</v>
      </c>
      <c r="AC201" s="48"/>
      <c r="AD201" s="48"/>
      <c r="AE201" s="48"/>
      <c r="AF201" s="48">
        <f t="shared" si="269"/>
        <v>0</v>
      </c>
      <c r="AG201" s="48"/>
      <c r="AH201" s="48"/>
      <c r="AI201" s="48"/>
      <c r="AJ201" s="48">
        <f t="shared" si="270"/>
        <v>0</v>
      </c>
      <c r="AK201" s="48"/>
      <c r="AL201" s="48"/>
      <c r="AM201" s="48"/>
      <c r="AN201" s="48">
        <f t="shared" si="271"/>
        <v>0</v>
      </c>
      <c r="AO201" s="48"/>
      <c r="AP201" s="48"/>
      <c r="AQ201" s="48"/>
      <c r="AR201" s="48">
        <f t="shared" si="272"/>
        <v>0</v>
      </c>
      <c r="AS201" s="48"/>
      <c r="AT201" s="48"/>
      <c r="AU201" s="48"/>
      <c r="AV201" s="48">
        <f t="shared" si="273"/>
        <v>0</v>
      </c>
      <c r="AW201" s="48"/>
      <c r="AX201" s="48"/>
      <c r="AY201" s="48"/>
      <c r="AZ201" s="48">
        <f t="shared" si="274"/>
        <v>0</v>
      </c>
      <c r="BA201" s="48"/>
      <c r="BB201" s="48"/>
      <c r="BC201" s="48"/>
      <c r="BD201" s="48">
        <f t="shared" si="275"/>
        <v>0</v>
      </c>
      <c r="BE201" s="48"/>
      <c r="BF201" s="48"/>
      <c r="BG201" s="48"/>
      <c r="BH201" s="48">
        <f t="shared" si="276"/>
        <v>0</v>
      </c>
      <c r="BI201" s="48"/>
      <c r="BJ201" s="48"/>
      <c r="BK201" s="48"/>
      <c r="BL201" s="48">
        <f t="shared" si="277"/>
        <v>0</v>
      </c>
      <c r="BM201" s="48"/>
      <c r="BN201" s="48"/>
      <c r="BO201" s="48"/>
      <c r="BP201" s="48">
        <f t="shared" si="278"/>
        <v>0</v>
      </c>
      <c r="BQ201" s="48"/>
      <c r="BR201" s="48"/>
      <c r="BS201" s="48"/>
      <c r="BT201" s="48">
        <f t="shared" si="279"/>
        <v>0</v>
      </c>
      <c r="BU201" s="48"/>
      <c r="BV201" s="48"/>
      <c r="BW201" s="48"/>
      <c r="BX201" s="48">
        <f t="shared" si="280"/>
        <v>0</v>
      </c>
      <c r="BY201" s="48"/>
      <c r="BZ201" s="48"/>
      <c r="CA201" s="48"/>
      <c r="CB201" s="48">
        <f t="shared" si="281"/>
        <v>0</v>
      </c>
      <c r="CC201" s="48"/>
      <c r="CD201" s="48"/>
      <c r="CE201" s="48"/>
      <c r="CF201" s="48">
        <f t="shared" si="282"/>
        <v>0</v>
      </c>
      <c r="CG201" s="48"/>
      <c r="CH201" s="48"/>
      <c r="CI201" s="48"/>
      <c r="CJ201" s="48">
        <f t="shared" si="283"/>
        <v>0</v>
      </c>
      <c r="CK201" s="48"/>
      <c r="CL201" s="48"/>
      <c r="CM201" s="48"/>
      <c r="CN201" s="48">
        <f t="shared" si="284"/>
        <v>0</v>
      </c>
      <c r="CO201" s="48"/>
      <c r="CP201" s="48"/>
      <c r="CQ201" s="48"/>
      <c r="CR201" s="48">
        <f t="shared" si="285"/>
        <v>0</v>
      </c>
      <c r="CS201" s="48"/>
      <c r="CT201" s="48"/>
      <c r="CU201" s="48"/>
      <c r="CV201" s="48">
        <f t="shared" si="286"/>
        <v>0</v>
      </c>
      <c r="CW201" s="48"/>
      <c r="CX201" s="48"/>
      <c r="CY201" s="48"/>
      <c r="CZ201" s="48">
        <f t="shared" si="287"/>
        <v>0</v>
      </c>
      <c r="DA201" s="48"/>
      <c r="DB201" s="48"/>
      <c r="DC201" s="48"/>
      <c r="DD201" s="48">
        <f t="shared" si="288"/>
        <v>0</v>
      </c>
      <c r="DE201" s="48"/>
      <c r="DF201" s="48"/>
      <c r="DG201" s="48"/>
      <c r="DH201" s="48">
        <f t="shared" si="289"/>
        <v>0</v>
      </c>
      <c r="DI201" s="48"/>
      <c r="DJ201" s="48"/>
      <c r="DK201" s="48"/>
      <c r="DL201" s="48">
        <f t="shared" si="290"/>
        <v>0</v>
      </c>
      <c r="DM201" s="48"/>
      <c r="DN201" s="48"/>
      <c r="DO201" s="48"/>
      <c r="DP201" s="48">
        <f t="shared" si="291"/>
        <v>0</v>
      </c>
      <c r="DQ201" s="48"/>
      <c r="DR201" s="48"/>
      <c r="DS201" s="48"/>
      <c r="DT201" s="48">
        <f t="shared" si="292"/>
        <v>0</v>
      </c>
      <c r="DU201" s="48"/>
      <c r="DV201" s="48"/>
      <c r="DW201" s="48"/>
      <c r="DX201" s="48">
        <f t="shared" si="293"/>
        <v>0</v>
      </c>
      <c r="DY201" s="48">
        <f t="shared" si="229"/>
        <v>0</v>
      </c>
      <c r="DZ201" s="48">
        <f t="shared" si="294"/>
        <v>0</v>
      </c>
      <c r="EA201" s="14">
        <f>D201*'MASTER SHEET'!D201</f>
        <v>0</v>
      </c>
      <c r="EB201" s="14">
        <f>H201*'MASTER SHEET'!D201</f>
        <v>0</v>
      </c>
      <c r="EC201" s="14">
        <f>L201*'MASTER SHEET'!D201</f>
        <v>0</v>
      </c>
      <c r="ED201" s="14">
        <f>P201*'MASTER SHEET'!D201</f>
        <v>0</v>
      </c>
      <c r="EE201" s="14">
        <f>T201*'MASTER SHEET'!D201</f>
        <v>0</v>
      </c>
      <c r="EF201" s="14">
        <f>X201*'MASTER SHEET'!D201</f>
        <v>0</v>
      </c>
      <c r="EG201" s="14">
        <f>AB201*'MASTER SHEET'!D201</f>
        <v>0</v>
      </c>
      <c r="EH201" s="14">
        <f>AF201*'MASTER SHEET'!D201</f>
        <v>0</v>
      </c>
      <c r="EI201" s="14">
        <f>AJ201*'MASTER SHEET'!D201</f>
        <v>0</v>
      </c>
      <c r="EJ201" s="14">
        <f>AN201*'MASTER SHEET'!D201</f>
        <v>0</v>
      </c>
      <c r="EK201" s="14">
        <f>AR201*'MASTER SHEET'!D201</f>
        <v>0</v>
      </c>
      <c r="EL201" s="14">
        <f>AV201*'MASTER SHEET'!D201</f>
        <v>0</v>
      </c>
      <c r="EM201" s="14">
        <f>AZ201*'MASTER SHEET'!D201</f>
        <v>0</v>
      </c>
      <c r="EN201" s="14">
        <f>BD201*'MASTER SHEET'!D201</f>
        <v>0</v>
      </c>
      <c r="EO201" s="14">
        <f>BH201*'MASTER SHEET'!D201</f>
        <v>0</v>
      </c>
      <c r="EP201" s="14">
        <f>BL201*'MASTER SHEET'!D201</f>
        <v>0</v>
      </c>
      <c r="EQ201" s="14">
        <f>BP201*'MASTER SHEET'!D201</f>
        <v>0</v>
      </c>
      <c r="ER201" s="14">
        <f>BT201*'MASTER SHEET'!D201</f>
        <v>0</v>
      </c>
      <c r="ES201" s="14">
        <f>BX201*'MASTER SHEET'!D201</f>
        <v>0</v>
      </c>
      <c r="ET201" s="21">
        <f>CB201*'MASTER SHEET'!D201</f>
        <v>0</v>
      </c>
      <c r="EU201" s="14">
        <f>CF201*'MASTER SHEET'!D201</f>
        <v>0</v>
      </c>
      <c r="EV201" s="14">
        <f>CJ201*'MASTER SHEET'!D201</f>
        <v>0</v>
      </c>
      <c r="EW201" s="14">
        <f>CN201*'MASTER SHEET'!D201</f>
        <v>0</v>
      </c>
      <c r="EX201" s="14">
        <f>CR201*'MASTER SHEET'!D201</f>
        <v>0</v>
      </c>
      <c r="EY201" s="14">
        <f>CR201*'MASTER SHEET'!D201</f>
        <v>0</v>
      </c>
      <c r="EZ201" s="14">
        <f>CV201*'MASTER SHEET'!D201</f>
        <v>0</v>
      </c>
      <c r="FA201" s="14">
        <f>CZ201*'MASTER SHEET'!D201</f>
        <v>0</v>
      </c>
      <c r="FB201" s="14">
        <f>DD201*'MASTER SHEET'!D201</f>
        <v>0</v>
      </c>
    </row>
    <row r="202" spans="1:158" ht="19.5" customHeight="1" thickBot="1" x14ac:dyDescent="0.3">
      <c r="A202" s="44">
        <f>'MASTER SHEET'!A202</f>
        <v>200</v>
      </c>
      <c r="B202" s="49" t="str">
        <f>'MASTER SHEET'!B202</f>
        <v>FLANGE ASY, PLASTIC</v>
      </c>
      <c r="C202" s="86">
        <f>'MASTER SHEET'!C202</f>
        <v>5049200</v>
      </c>
      <c r="D202" s="51"/>
      <c r="E202" s="48"/>
      <c r="F202" s="48"/>
      <c r="G202" s="48"/>
      <c r="H202" s="48">
        <f t="shared" si="263"/>
        <v>0</v>
      </c>
      <c r="I202" s="48"/>
      <c r="J202" s="48"/>
      <c r="K202" s="48"/>
      <c r="L202" s="48">
        <f t="shared" si="264"/>
        <v>0</v>
      </c>
      <c r="M202" s="48"/>
      <c r="N202" s="48"/>
      <c r="O202" s="48"/>
      <c r="P202" s="48">
        <f t="shared" si="265"/>
        <v>0</v>
      </c>
      <c r="Q202" s="48"/>
      <c r="R202" s="48"/>
      <c r="S202" s="48"/>
      <c r="T202" s="48">
        <f t="shared" si="266"/>
        <v>0</v>
      </c>
      <c r="U202" s="48">
        <v>0</v>
      </c>
      <c r="V202" s="48"/>
      <c r="W202" s="48"/>
      <c r="X202" s="48">
        <f t="shared" si="267"/>
        <v>0</v>
      </c>
      <c r="Y202" s="48"/>
      <c r="Z202" s="48"/>
      <c r="AA202" s="48"/>
      <c r="AB202" s="48">
        <f t="shared" si="268"/>
        <v>0</v>
      </c>
      <c r="AC202" s="48"/>
      <c r="AD202" s="48"/>
      <c r="AE202" s="48"/>
      <c r="AF202" s="48">
        <f t="shared" si="269"/>
        <v>0</v>
      </c>
      <c r="AG202" s="48"/>
      <c r="AH202" s="48"/>
      <c r="AI202" s="48"/>
      <c r="AJ202" s="48">
        <f t="shared" si="270"/>
        <v>0</v>
      </c>
      <c r="AK202" s="48">
        <v>944</v>
      </c>
      <c r="AL202" s="48">
        <v>936</v>
      </c>
      <c r="AM202" s="48">
        <v>8</v>
      </c>
      <c r="AN202" s="48">
        <f t="shared" si="271"/>
        <v>0</v>
      </c>
      <c r="AO202" s="48">
        <v>313</v>
      </c>
      <c r="AP202" s="48">
        <v>313</v>
      </c>
      <c r="AQ202" s="48">
        <v>0</v>
      </c>
      <c r="AR202" s="48">
        <f t="shared" si="272"/>
        <v>0</v>
      </c>
      <c r="AS202" s="48"/>
      <c r="AT202" s="48"/>
      <c r="AU202" s="48"/>
      <c r="AV202" s="48">
        <f t="shared" si="273"/>
        <v>0</v>
      </c>
      <c r="AW202" s="48"/>
      <c r="AX202" s="48"/>
      <c r="AY202" s="48"/>
      <c r="AZ202" s="48">
        <f t="shared" si="274"/>
        <v>0</v>
      </c>
      <c r="BA202" s="48"/>
      <c r="BB202" s="48"/>
      <c r="BC202" s="48"/>
      <c r="BD202" s="48">
        <f t="shared" si="275"/>
        <v>0</v>
      </c>
      <c r="BE202" s="48"/>
      <c r="BF202" s="48"/>
      <c r="BG202" s="48"/>
      <c r="BH202" s="48">
        <f t="shared" si="276"/>
        <v>0</v>
      </c>
      <c r="BI202" s="48"/>
      <c r="BJ202" s="48"/>
      <c r="BK202" s="48"/>
      <c r="BL202" s="48">
        <f t="shared" si="277"/>
        <v>0</v>
      </c>
      <c r="BM202" s="48"/>
      <c r="BN202" s="48"/>
      <c r="BO202" s="48"/>
      <c r="BP202" s="48">
        <f t="shared" si="278"/>
        <v>0</v>
      </c>
      <c r="BQ202" s="48"/>
      <c r="BR202" s="48"/>
      <c r="BS202" s="48"/>
      <c r="BT202" s="48">
        <f t="shared" si="279"/>
        <v>0</v>
      </c>
      <c r="BU202" s="48"/>
      <c r="BV202" s="48"/>
      <c r="BW202" s="48"/>
      <c r="BX202" s="48">
        <f t="shared" si="280"/>
        <v>0</v>
      </c>
      <c r="BY202" s="48"/>
      <c r="BZ202" s="48"/>
      <c r="CA202" s="48"/>
      <c r="CB202" s="48">
        <f t="shared" si="281"/>
        <v>0</v>
      </c>
      <c r="CC202" s="48"/>
      <c r="CD202" s="48"/>
      <c r="CE202" s="48"/>
      <c r="CF202" s="48">
        <f t="shared" si="282"/>
        <v>0</v>
      </c>
      <c r="CG202" s="48"/>
      <c r="CH202" s="48"/>
      <c r="CI202" s="48"/>
      <c r="CJ202" s="48">
        <f t="shared" si="283"/>
        <v>0</v>
      </c>
      <c r="CK202" s="48"/>
      <c r="CL202" s="48"/>
      <c r="CM202" s="48"/>
      <c r="CN202" s="48">
        <f t="shared" si="284"/>
        <v>0</v>
      </c>
      <c r="CO202" s="48"/>
      <c r="CP202" s="48"/>
      <c r="CQ202" s="48"/>
      <c r="CR202" s="48">
        <f t="shared" si="285"/>
        <v>0</v>
      </c>
      <c r="CS202" s="48"/>
      <c r="CT202" s="48"/>
      <c r="CU202" s="48"/>
      <c r="CV202" s="48">
        <f t="shared" si="286"/>
        <v>0</v>
      </c>
      <c r="CW202" s="48"/>
      <c r="CX202" s="48"/>
      <c r="CY202" s="48"/>
      <c r="CZ202" s="48">
        <f t="shared" si="287"/>
        <v>0</v>
      </c>
      <c r="DA202" s="48"/>
      <c r="DB202" s="48"/>
      <c r="DC202" s="48"/>
      <c r="DD202" s="48">
        <f t="shared" si="288"/>
        <v>0</v>
      </c>
      <c r="DE202" s="48"/>
      <c r="DF202" s="48"/>
      <c r="DG202" s="48"/>
      <c r="DH202" s="48">
        <f t="shared" si="289"/>
        <v>0</v>
      </c>
      <c r="DI202" s="48"/>
      <c r="DJ202" s="48"/>
      <c r="DK202" s="48"/>
      <c r="DL202" s="48">
        <f t="shared" si="290"/>
        <v>0</v>
      </c>
      <c r="DM202" s="48"/>
      <c r="DN202" s="48"/>
      <c r="DO202" s="48"/>
      <c r="DP202" s="48">
        <f t="shared" si="291"/>
        <v>0</v>
      </c>
      <c r="DQ202" s="48"/>
      <c r="DR202" s="48"/>
      <c r="DS202" s="48"/>
      <c r="DT202" s="48">
        <f t="shared" si="292"/>
        <v>0</v>
      </c>
      <c r="DU202" s="48"/>
      <c r="DV202" s="48"/>
      <c r="DW202" s="48"/>
      <c r="DX202" s="48">
        <f t="shared" si="293"/>
        <v>0</v>
      </c>
      <c r="DY202" s="48">
        <f t="shared" si="229"/>
        <v>1257</v>
      </c>
      <c r="DZ202" s="48">
        <f t="shared" si="294"/>
        <v>8</v>
      </c>
      <c r="EA202" s="14">
        <f>D202*'MASTER SHEET'!D202</f>
        <v>0</v>
      </c>
      <c r="EB202" s="14">
        <f>H202*'MASTER SHEET'!D202</f>
        <v>0</v>
      </c>
      <c r="EC202" s="14">
        <f>L202*'MASTER SHEET'!D202</f>
        <v>0</v>
      </c>
      <c r="ED202" s="14">
        <f>P202*'MASTER SHEET'!D202</f>
        <v>0</v>
      </c>
      <c r="EE202" s="14">
        <f>T202*'MASTER SHEET'!D202</f>
        <v>0</v>
      </c>
      <c r="EF202" s="14">
        <f>X202*'MASTER SHEET'!D202</f>
        <v>0</v>
      </c>
      <c r="EG202" s="14">
        <f>AB202*'MASTER SHEET'!D202</f>
        <v>0</v>
      </c>
      <c r="EH202" s="14">
        <f>AF202*'MASTER SHEET'!D202</f>
        <v>0</v>
      </c>
      <c r="EI202" s="14">
        <f>AJ202*'MASTER SHEET'!D202</f>
        <v>0</v>
      </c>
      <c r="EJ202" s="14">
        <f>AN202*'MASTER SHEET'!D202</f>
        <v>0</v>
      </c>
      <c r="EK202" s="14">
        <f>AR202*'MASTER SHEET'!D202</f>
        <v>0</v>
      </c>
      <c r="EL202" s="14">
        <f>AV202*'MASTER SHEET'!D202</f>
        <v>0</v>
      </c>
      <c r="EM202" s="14">
        <f>AZ202*'MASTER SHEET'!D202</f>
        <v>0</v>
      </c>
      <c r="EN202" s="14">
        <f>BD202*'MASTER SHEET'!D202</f>
        <v>0</v>
      </c>
      <c r="EO202" s="14">
        <f>BH202*'MASTER SHEET'!D202</f>
        <v>0</v>
      </c>
      <c r="EP202" s="14">
        <f>BL202*'MASTER SHEET'!D202</f>
        <v>0</v>
      </c>
      <c r="EQ202" s="14">
        <f>BP202*'MASTER SHEET'!D202</f>
        <v>0</v>
      </c>
      <c r="ER202" s="14">
        <f>BT202*'MASTER SHEET'!D202</f>
        <v>0</v>
      </c>
      <c r="ES202" s="14">
        <f>BX202*'MASTER SHEET'!D202</f>
        <v>0</v>
      </c>
      <c r="ET202" s="21">
        <f>CB202*'MASTER SHEET'!D202</f>
        <v>0</v>
      </c>
      <c r="EU202" s="14">
        <f>CF202*'MASTER SHEET'!D202</f>
        <v>0</v>
      </c>
      <c r="EV202" s="14">
        <f>CJ202*'MASTER SHEET'!D202</f>
        <v>0</v>
      </c>
      <c r="EW202" s="14">
        <f>CN202*'MASTER SHEET'!D202</f>
        <v>0</v>
      </c>
      <c r="EX202" s="14">
        <f>CR202*'MASTER SHEET'!D202</f>
        <v>0</v>
      </c>
      <c r="EY202" s="14">
        <f>CR202*'MASTER SHEET'!D202</f>
        <v>0</v>
      </c>
      <c r="EZ202" s="14">
        <f>CV202*'MASTER SHEET'!D202</f>
        <v>0</v>
      </c>
      <c r="FA202" s="14">
        <f>CZ202*'MASTER SHEET'!D202</f>
        <v>0</v>
      </c>
      <c r="FB202" s="14">
        <f>DD202*'MASTER SHEET'!D202</f>
        <v>0</v>
      </c>
    </row>
    <row r="203" spans="1:158" x14ac:dyDescent="0.3">
      <c r="B203" s="7"/>
    </row>
    <row r="204" spans="1:158" x14ac:dyDescent="0.3">
      <c r="B204" s="7"/>
    </row>
    <row r="205" spans="1:158" x14ac:dyDescent="0.3">
      <c r="B205" s="7"/>
    </row>
    <row r="206" spans="1:158" x14ac:dyDescent="0.3">
      <c r="B206" s="7"/>
    </row>
    <row r="207" spans="1:158" x14ac:dyDescent="0.3">
      <c r="B207" s="7"/>
    </row>
    <row r="208" spans="1:158" x14ac:dyDescent="0.3">
      <c r="B208" s="7"/>
    </row>
    <row r="209" spans="2:2" x14ac:dyDescent="0.3">
      <c r="B209" s="7"/>
    </row>
    <row r="210" spans="2:2" x14ac:dyDescent="0.3">
      <c r="B210" s="7"/>
    </row>
    <row r="211" spans="2:2" x14ac:dyDescent="0.3">
      <c r="B211" s="7"/>
    </row>
    <row r="212" spans="2:2" x14ac:dyDescent="0.3">
      <c r="B212" s="7"/>
    </row>
    <row r="213" spans="2:2" x14ac:dyDescent="0.3">
      <c r="B213" s="7"/>
    </row>
    <row r="214" spans="2:2" x14ac:dyDescent="0.3">
      <c r="B214" s="7"/>
    </row>
    <row r="215" spans="2:2" x14ac:dyDescent="0.3">
      <c r="B215" s="7"/>
    </row>
    <row r="216" spans="2:2" x14ac:dyDescent="0.3">
      <c r="B216" s="7"/>
    </row>
    <row r="217" spans="2:2" x14ac:dyDescent="0.3">
      <c r="B217" s="7"/>
    </row>
    <row r="218" spans="2:2" x14ac:dyDescent="0.3">
      <c r="B218" s="7"/>
    </row>
    <row r="219" spans="2:2" x14ac:dyDescent="0.3">
      <c r="B219" s="7"/>
    </row>
  </sheetData>
  <protectedRanges>
    <protectedRange algorithmName="SHA-512" hashValue="ga/5bECf5UAp+vECypVI4K+onWdSN0t7xQB6jfVbtrb9E/Ydv84ThiXq55jYnD86peBUubplxXgDMPLV5Mv2iA==" saltValue="bHogeBlOJQYFLkIE4zCcCQ==" spinCount="100000" sqref="AK203:AM1048572 E203:AJ1048573 AN203:DZ1048573 E3:H14 E17:H141 E144:H177 E180:H201 E15:P16 L17:P141 E142:P143 L144:P177 E178:P179 L180:P201 E202:P202 L4:P14 L3:BP3 Q4:BP202 BQ3:DZ202" name="Range1"/>
    <protectedRange algorithmName="SHA-512" hashValue="+iTAbLXyHpAcwatZPkBQZb/7eu2MYG64uMzN+4poZbFcQGRyeeGhoGpgZgySJ6ZPQrC9Cs0SXIVOkp+IiNOTRQ==" saltValue="Hz4ed9BfYB/y4B3J6ryRng==" spinCount="100000" sqref="I3:K14 I17:K141 I144:K177 I180:K201" name="SPL"/>
  </protectedRanges>
  <autoFilter ref="A2:FE202"/>
  <mergeCells count="31">
    <mergeCell ref="X1:AA1"/>
    <mergeCell ref="AB1:AE1"/>
    <mergeCell ref="AF1:AI1"/>
    <mergeCell ref="AJ1:AM1"/>
    <mergeCell ref="CV1:CY1"/>
    <mergeCell ref="CN1:CQ1"/>
    <mergeCell ref="CR1:CU1"/>
    <mergeCell ref="AZ1:BC1"/>
    <mergeCell ref="BD1:BG1"/>
    <mergeCell ref="BH1:BK1"/>
    <mergeCell ref="BL1:BO1"/>
    <mergeCell ref="AN1:AQ1"/>
    <mergeCell ref="AR1:AU1"/>
    <mergeCell ref="AV1:AY1"/>
    <mergeCell ref="D1:G1"/>
    <mergeCell ref="H1:K1"/>
    <mergeCell ref="L1:O1"/>
    <mergeCell ref="P1:S1"/>
    <mergeCell ref="T1:W1"/>
    <mergeCell ref="DL1:DO1"/>
    <mergeCell ref="DP1:DS1"/>
    <mergeCell ref="DT1:DW1"/>
    <mergeCell ref="BP1:BS1"/>
    <mergeCell ref="BT1:BW1"/>
    <mergeCell ref="BX1:CA1"/>
    <mergeCell ref="CB1:CE1"/>
    <mergeCell ref="CF1:CI1"/>
    <mergeCell ref="CJ1:CM1"/>
    <mergeCell ref="CZ1:DC1"/>
    <mergeCell ref="DD1:DG1"/>
    <mergeCell ref="DH1:DK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G206"/>
  <sheetViews>
    <sheetView showGridLines="0" zoomScale="85" zoomScaleNormal="85" workbookViewId="0">
      <pane xSplit="3" ySplit="2" topLeftCell="DM3" activePane="bottomRight" state="frozen"/>
      <selection pane="topRight" activeCell="D1" sqref="D1"/>
      <selection pane="bottomLeft" activeCell="A3" sqref="A3"/>
      <selection pane="bottomRight" activeCell="DO4" sqref="DO4"/>
    </sheetView>
  </sheetViews>
  <sheetFormatPr defaultRowHeight="21" x14ac:dyDescent="0.35"/>
  <cols>
    <col min="1" max="1" width="4.7109375" customWidth="1"/>
    <col min="2" max="2" width="32.42578125" customWidth="1"/>
    <col min="3" max="3" width="21.7109375" style="79" bestFit="1" customWidth="1"/>
    <col min="4" max="4" width="11.85546875" style="149" customWidth="1"/>
    <col min="7" max="7" width="9.140625" style="3"/>
    <col min="8" max="8" width="10" customWidth="1"/>
    <col min="9" max="9" width="9.140625" customWidth="1"/>
    <col min="10" max="10" width="11.140625" style="3" customWidth="1"/>
    <col min="11" max="11" width="6.42578125" customWidth="1"/>
    <col min="12" max="13" width="9.140625" customWidth="1"/>
    <col min="14" max="14" width="9.140625" style="3" customWidth="1"/>
    <col min="15" max="17" width="9.140625" customWidth="1"/>
    <col min="18" max="18" width="9.140625" style="3" customWidth="1"/>
    <col min="19" max="21" width="9.140625" customWidth="1"/>
    <col min="22" max="22" width="9.140625" style="3" customWidth="1"/>
    <col min="23" max="23" width="9.140625" customWidth="1"/>
    <col min="24" max="24" width="11.140625" customWidth="1"/>
    <col min="25" max="25" width="9.140625" customWidth="1"/>
    <col min="26" max="26" width="9.140625" style="3" customWidth="1"/>
    <col min="27" max="28" width="9.140625" customWidth="1"/>
    <col min="30" max="30" width="9.140625" style="3"/>
    <col min="34" max="34" width="9.140625" style="3"/>
    <col min="38" max="38" width="9.140625" style="3"/>
    <col min="42" max="42" width="9.140625" style="3"/>
    <col min="46" max="46" width="9.140625" style="3"/>
    <col min="50" max="50" width="9.140625" style="3"/>
    <col min="54" max="54" width="9.140625" style="3"/>
    <col min="58" max="58" width="9.140625" style="3"/>
    <col min="62" max="62" width="9.140625" style="3"/>
    <col min="65" max="65" width="9.140625" customWidth="1"/>
    <col min="66" max="66" width="9.140625" style="3" customWidth="1"/>
    <col min="67" max="71" width="9.140625" customWidth="1"/>
    <col min="90" max="91" width="9.140625" style="8"/>
    <col min="124" max="124" width="11.85546875" bestFit="1" customWidth="1"/>
    <col min="132" max="132" width="12.7109375" style="9" bestFit="1" customWidth="1"/>
    <col min="133" max="133" width="15.140625" style="9" bestFit="1" customWidth="1"/>
    <col min="134" max="157" width="11" style="9" bestFit="1" customWidth="1"/>
    <col min="158" max="158" width="13" style="9" bestFit="1" customWidth="1"/>
    <col min="159" max="161" width="11" style="9" bestFit="1" customWidth="1"/>
    <col min="162" max="162" width="13.140625" style="9" bestFit="1" customWidth="1"/>
    <col min="163" max="163" width="9.7109375" style="9" bestFit="1" customWidth="1"/>
    <col min="164" max="16384" width="9.140625" style="9"/>
  </cols>
  <sheetData>
    <row r="1" spans="1:163" x14ac:dyDescent="0.25">
      <c r="A1" s="60"/>
      <c r="B1" s="60"/>
      <c r="C1" s="76"/>
      <c r="D1" s="175">
        <v>46082</v>
      </c>
      <c r="E1" s="175"/>
      <c r="F1" s="175"/>
      <c r="G1" s="175"/>
      <c r="H1" s="175">
        <f>+D1+1</f>
        <v>46083</v>
      </c>
      <c r="I1" s="175"/>
      <c r="J1" s="175"/>
      <c r="K1" s="175"/>
      <c r="L1" s="175">
        <f t="shared" ref="L1" si="0">+H1+1</f>
        <v>46084</v>
      </c>
      <c r="M1" s="175"/>
      <c r="N1" s="175"/>
      <c r="O1" s="175"/>
      <c r="P1" s="175">
        <f t="shared" ref="P1" si="1">+L1+1</f>
        <v>46085</v>
      </c>
      <c r="Q1" s="175"/>
      <c r="R1" s="175"/>
      <c r="S1" s="175"/>
      <c r="T1" s="175">
        <f t="shared" ref="T1" si="2">+P1+1</f>
        <v>46086</v>
      </c>
      <c r="U1" s="175"/>
      <c r="V1" s="175"/>
      <c r="W1" s="175"/>
      <c r="X1" s="175">
        <f t="shared" ref="X1" si="3">+T1+1</f>
        <v>46087</v>
      </c>
      <c r="Y1" s="175"/>
      <c r="Z1" s="175"/>
      <c r="AA1" s="175"/>
      <c r="AB1" s="175">
        <f t="shared" ref="AB1" si="4">+X1+1</f>
        <v>46088</v>
      </c>
      <c r="AC1" s="175"/>
      <c r="AD1" s="175"/>
      <c r="AE1" s="175"/>
      <c r="AF1" s="175">
        <f t="shared" ref="AF1" si="5">+AB1+1</f>
        <v>46089</v>
      </c>
      <c r="AG1" s="175"/>
      <c r="AH1" s="175"/>
      <c r="AI1" s="175"/>
      <c r="AJ1" s="175">
        <f t="shared" ref="AJ1" si="6">+AF1+1</f>
        <v>46090</v>
      </c>
      <c r="AK1" s="175"/>
      <c r="AL1" s="175"/>
      <c r="AM1" s="175"/>
      <c r="AN1" s="175">
        <f t="shared" ref="AN1" si="7">+AJ1+1</f>
        <v>46091</v>
      </c>
      <c r="AO1" s="175"/>
      <c r="AP1" s="175"/>
      <c r="AQ1" s="175"/>
      <c r="AR1" s="175">
        <f t="shared" ref="AR1" si="8">+AN1+1</f>
        <v>46092</v>
      </c>
      <c r="AS1" s="175"/>
      <c r="AT1" s="175"/>
      <c r="AU1" s="175"/>
      <c r="AV1" s="175">
        <f t="shared" ref="AV1" si="9">+AR1+1</f>
        <v>46093</v>
      </c>
      <c r="AW1" s="175"/>
      <c r="AX1" s="175"/>
      <c r="AY1" s="175"/>
      <c r="AZ1" s="175">
        <f t="shared" ref="AZ1" si="10">+AV1+1</f>
        <v>46094</v>
      </c>
      <c r="BA1" s="175"/>
      <c r="BB1" s="175"/>
      <c r="BC1" s="175"/>
      <c r="BD1" s="175">
        <f t="shared" ref="BD1" si="11">+AZ1+1</f>
        <v>46095</v>
      </c>
      <c r="BE1" s="175"/>
      <c r="BF1" s="175"/>
      <c r="BG1" s="175"/>
      <c r="BH1" s="175">
        <f t="shared" ref="BH1" si="12">+BD1+1</f>
        <v>46096</v>
      </c>
      <c r="BI1" s="175"/>
      <c r="BJ1" s="175"/>
      <c r="BK1" s="175"/>
      <c r="BL1" s="175">
        <f t="shared" ref="BL1" si="13">+BH1+1</f>
        <v>46097</v>
      </c>
      <c r="BM1" s="175"/>
      <c r="BN1" s="175"/>
      <c r="BO1" s="175"/>
      <c r="BP1" s="175">
        <f t="shared" ref="BP1" si="14">+BL1+1</f>
        <v>46098</v>
      </c>
      <c r="BQ1" s="175"/>
      <c r="BR1" s="175"/>
      <c r="BS1" s="175"/>
      <c r="BT1" s="175">
        <f t="shared" ref="BT1" si="15">+BP1+1</f>
        <v>46099</v>
      </c>
      <c r="BU1" s="175"/>
      <c r="BV1" s="175"/>
      <c r="BW1" s="175"/>
      <c r="BX1" s="175">
        <f t="shared" ref="BX1" si="16">+BT1+1</f>
        <v>46100</v>
      </c>
      <c r="BY1" s="175"/>
      <c r="BZ1" s="175"/>
      <c r="CA1" s="175"/>
      <c r="CB1" s="175">
        <f t="shared" ref="CB1" si="17">+BX1+1</f>
        <v>46101</v>
      </c>
      <c r="CC1" s="175"/>
      <c r="CD1" s="175"/>
      <c r="CE1" s="175"/>
      <c r="CF1" s="175">
        <f t="shared" ref="CF1" si="18">+CB1+1</f>
        <v>46102</v>
      </c>
      <c r="CG1" s="175"/>
      <c r="CH1" s="175"/>
      <c r="CI1" s="175"/>
      <c r="CJ1" s="175">
        <f t="shared" ref="CJ1" si="19">+CF1+1</f>
        <v>46103</v>
      </c>
      <c r="CK1" s="175"/>
      <c r="CL1" s="175"/>
      <c r="CM1" s="175"/>
      <c r="CN1" s="175">
        <f t="shared" ref="CN1" si="20">+CJ1+1</f>
        <v>46104</v>
      </c>
      <c r="CO1" s="175"/>
      <c r="CP1" s="175"/>
      <c r="CQ1" s="175"/>
      <c r="CR1" s="175">
        <f t="shared" ref="CR1" si="21">+CN1+1</f>
        <v>46105</v>
      </c>
      <c r="CS1" s="175"/>
      <c r="CT1" s="175"/>
      <c r="CU1" s="175"/>
      <c r="CV1" s="175">
        <f t="shared" ref="CV1" si="22">+CR1+1</f>
        <v>46106</v>
      </c>
      <c r="CW1" s="175"/>
      <c r="CX1" s="175"/>
      <c r="CY1" s="175"/>
      <c r="CZ1" s="175">
        <f t="shared" ref="CZ1" si="23">+CV1+1</f>
        <v>46107</v>
      </c>
      <c r="DA1" s="175"/>
      <c r="DB1" s="175"/>
      <c r="DC1" s="175"/>
      <c r="DD1" s="175">
        <f t="shared" ref="DD1" si="24">+CZ1+1</f>
        <v>46108</v>
      </c>
      <c r="DE1" s="175"/>
      <c r="DF1" s="175"/>
      <c r="DG1" s="175"/>
      <c r="DH1" s="175">
        <f t="shared" ref="DH1" si="25">+DD1+1</f>
        <v>46109</v>
      </c>
      <c r="DI1" s="175"/>
      <c r="DJ1" s="175"/>
      <c r="DK1" s="175"/>
      <c r="DL1" s="175">
        <f t="shared" ref="DL1" si="26">+DH1+1</f>
        <v>46110</v>
      </c>
      <c r="DM1" s="175"/>
      <c r="DN1" s="175"/>
      <c r="DO1" s="175"/>
      <c r="DP1" s="175">
        <f t="shared" ref="DP1" si="27">+DL1+1</f>
        <v>46111</v>
      </c>
      <c r="DQ1" s="175"/>
      <c r="DR1" s="175"/>
      <c r="DS1" s="175"/>
      <c r="DT1" s="175">
        <f t="shared" ref="DT1" si="28">+DP1+1</f>
        <v>46112</v>
      </c>
      <c r="DU1" s="175"/>
      <c r="DV1" s="175"/>
      <c r="DW1" s="175"/>
      <c r="DX1" s="4"/>
      <c r="DY1" s="4"/>
      <c r="DZ1" s="4"/>
      <c r="EA1" s="4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</row>
    <row r="2" spans="1:163" ht="75" x14ac:dyDescent="0.25">
      <c r="A2" s="61" t="s">
        <v>0</v>
      </c>
      <c r="B2" s="40" t="s">
        <v>104</v>
      </c>
      <c r="C2" s="77" t="s">
        <v>2</v>
      </c>
      <c r="D2" s="36" t="s">
        <v>105</v>
      </c>
      <c r="E2" s="37" t="s">
        <v>110</v>
      </c>
      <c r="F2" s="37" t="s">
        <v>153</v>
      </c>
      <c r="G2" s="37" t="s">
        <v>115</v>
      </c>
      <c r="H2" s="38" t="s">
        <v>114</v>
      </c>
      <c r="I2" s="37" t="s">
        <v>110</v>
      </c>
      <c r="J2" s="37" t="s">
        <v>153</v>
      </c>
      <c r="K2" s="37" t="s">
        <v>115</v>
      </c>
      <c r="L2" s="38" t="s">
        <v>114</v>
      </c>
      <c r="M2" s="37" t="s">
        <v>110</v>
      </c>
      <c r="N2" s="37" t="s">
        <v>153</v>
      </c>
      <c r="O2" s="37" t="s">
        <v>115</v>
      </c>
      <c r="P2" s="38" t="s">
        <v>114</v>
      </c>
      <c r="Q2" s="37" t="s">
        <v>110</v>
      </c>
      <c r="R2" s="37" t="s">
        <v>153</v>
      </c>
      <c r="S2" s="37" t="s">
        <v>115</v>
      </c>
      <c r="T2" s="38" t="s">
        <v>114</v>
      </c>
      <c r="U2" s="37" t="s">
        <v>110</v>
      </c>
      <c r="V2" s="37" t="s">
        <v>153</v>
      </c>
      <c r="W2" s="37" t="s">
        <v>115</v>
      </c>
      <c r="X2" s="38" t="s">
        <v>114</v>
      </c>
      <c r="Y2" s="37" t="s">
        <v>110</v>
      </c>
      <c r="Z2" s="37" t="s">
        <v>153</v>
      </c>
      <c r="AA2" s="37" t="s">
        <v>115</v>
      </c>
      <c r="AB2" s="38" t="s">
        <v>114</v>
      </c>
      <c r="AC2" s="37" t="s">
        <v>110</v>
      </c>
      <c r="AD2" s="37" t="s">
        <v>153</v>
      </c>
      <c r="AE2" s="37" t="s">
        <v>115</v>
      </c>
      <c r="AF2" s="38" t="s">
        <v>114</v>
      </c>
      <c r="AG2" s="37" t="s">
        <v>110</v>
      </c>
      <c r="AH2" s="37" t="s">
        <v>153</v>
      </c>
      <c r="AI2" s="37" t="s">
        <v>115</v>
      </c>
      <c r="AJ2" s="38" t="s">
        <v>114</v>
      </c>
      <c r="AK2" s="37" t="s">
        <v>110</v>
      </c>
      <c r="AL2" s="37" t="s">
        <v>153</v>
      </c>
      <c r="AM2" s="37" t="s">
        <v>115</v>
      </c>
      <c r="AN2" s="38" t="s">
        <v>114</v>
      </c>
      <c r="AO2" s="37" t="s">
        <v>110</v>
      </c>
      <c r="AP2" s="37" t="s">
        <v>153</v>
      </c>
      <c r="AQ2" s="37" t="s">
        <v>115</v>
      </c>
      <c r="AR2" s="38" t="s">
        <v>114</v>
      </c>
      <c r="AS2" s="37" t="s">
        <v>110</v>
      </c>
      <c r="AT2" s="37" t="s">
        <v>153</v>
      </c>
      <c r="AU2" s="37" t="s">
        <v>115</v>
      </c>
      <c r="AV2" s="38" t="s">
        <v>114</v>
      </c>
      <c r="AW2" s="37" t="s">
        <v>110</v>
      </c>
      <c r="AX2" s="37" t="s">
        <v>153</v>
      </c>
      <c r="AY2" s="37" t="s">
        <v>115</v>
      </c>
      <c r="AZ2" s="38" t="s">
        <v>114</v>
      </c>
      <c r="BA2" s="37" t="s">
        <v>110</v>
      </c>
      <c r="BB2" s="37" t="s">
        <v>153</v>
      </c>
      <c r="BC2" s="37" t="s">
        <v>115</v>
      </c>
      <c r="BD2" s="38" t="s">
        <v>114</v>
      </c>
      <c r="BE2" s="37" t="s">
        <v>110</v>
      </c>
      <c r="BF2" s="37" t="s">
        <v>153</v>
      </c>
      <c r="BG2" s="37" t="s">
        <v>115</v>
      </c>
      <c r="BH2" s="38" t="s">
        <v>114</v>
      </c>
      <c r="BI2" s="37" t="s">
        <v>110</v>
      </c>
      <c r="BJ2" s="37" t="s">
        <v>153</v>
      </c>
      <c r="BK2" s="37" t="s">
        <v>115</v>
      </c>
      <c r="BL2" s="38" t="s">
        <v>114</v>
      </c>
      <c r="BM2" s="37" t="s">
        <v>110</v>
      </c>
      <c r="BN2" s="37" t="s">
        <v>153</v>
      </c>
      <c r="BO2" s="37" t="s">
        <v>115</v>
      </c>
      <c r="BP2" s="38" t="s">
        <v>114</v>
      </c>
      <c r="BQ2" s="37" t="s">
        <v>110</v>
      </c>
      <c r="BR2" s="37" t="s">
        <v>153</v>
      </c>
      <c r="BS2" s="37" t="s">
        <v>115</v>
      </c>
      <c r="BT2" s="38" t="s">
        <v>114</v>
      </c>
      <c r="BU2" s="37" t="s">
        <v>110</v>
      </c>
      <c r="BV2" s="37" t="s">
        <v>153</v>
      </c>
      <c r="BW2" s="37" t="s">
        <v>115</v>
      </c>
      <c r="BX2" s="38" t="s">
        <v>114</v>
      </c>
      <c r="BY2" s="37" t="s">
        <v>110</v>
      </c>
      <c r="BZ2" s="37" t="s">
        <v>153</v>
      </c>
      <c r="CA2" s="37" t="s">
        <v>115</v>
      </c>
      <c r="CB2" s="38" t="s">
        <v>114</v>
      </c>
      <c r="CC2" s="37" t="s">
        <v>110</v>
      </c>
      <c r="CD2" s="37" t="s">
        <v>153</v>
      </c>
      <c r="CE2" s="37" t="s">
        <v>115</v>
      </c>
      <c r="CF2" s="38" t="s">
        <v>114</v>
      </c>
      <c r="CG2" s="37" t="s">
        <v>110</v>
      </c>
      <c r="CH2" s="37" t="s">
        <v>153</v>
      </c>
      <c r="CI2" s="37" t="s">
        <v>115</v>
      </c>
      <c r="CJ2" s="38" t="s">
        <v>114</v>
      </c>
      <c r="CK2" s="37" t="s">
        <v>110</v>
      </c>
      <c r="CL2" s="37" t="s">
        <v>153</v>
      </c>
      <c r="CM2" s="37" t="s">
        <v>115</v>
      </c>
      <c r="CN2" s="38" t="s">
        <v>114</v>
      </c>
      <c r="CO2" s="37" t="s">
        <v>110</v>
      </c>
      <c r="CP2" s="37" t="s">
        <v>153</v>
      </c>
      <c r="CQ2" s="37" t="s">
        <v>115</v>
      </c>
      <c r="CR2" s="38" t="s">
        <v>114</v>
      </c>
      <c r="CS2" s="37" t="s">
        <v>110</v>
      </c>
      <c r="CT2" s="37" t="s">
        <v>153</v>
      </c>
      <c r="CU2" s="37" t="s">
        <v>115</v>
      </c>
      <c r="CV2" s="38" t="s">
        <v>114</v>
      </c>
      <c r="CW2" s="37" t="s">
        <v>110</v>
      </c>
      <c r="CX2" s="37" t="s">
        <v>153</v>
      </c>
      <c r="CY2" s="37" t="s">
        <v>115</v>
      </c>
      <c r="CZ2" s="38" t="s">
        <v>114</v>
      </c>
      <c r="DA2" s="37" t="s">
        <v>110</v>
      </c>
      <c r="DB2" s="37" t="s">
        <v>153</v>
      </c>
      <c r="DC2" s="37" t="s">
        <v>115</v>
      </c>
      <c r="DD2" s="38" t="s">
        <v>114</v>
      </c>
      <c r="DE2" s="37" t="s">
        <v>110</v>
      </c>
      <c r="DF2" s="37" t="s">
        <v>153</v>
      </c>
      <c r="DG2" s="37" t="s">
        <v>115</v>
      </c>
      <c r="DH2" s="38" t="s">
        <v>114</v>
      </c>
      <c r="DI2" s="37" t="s">
        <v>110</v>
      </c>
      <c r="DJ2" s="37" t="s">
        <v>153</v>
      </c>
      <c r="DK2" s="37" t="s">
        <v>115</v>
      </c>
      <c r="DL2" s="38" t="s">
        <v>114</v>
      </c>
      <c r="DM2" s="37" t="s">
        <v>110</v>
      </c>
      <c r="DN2" s="37" t="s">
        <v>153</v>
      </c>
      <c r="DO2" s="37" t="s">
        <v>115</v>
      </c>
      <c r="DP2" s="38" t="s">
        <v>114</v>
      </c>
      <c r="DQ2" s="37" t="s">
        <v>110</v>
      </c>
      <c r="DR2" s="37" t="s">
        <v>153</v>
      </c>
      <c r="DS2" s="37" t="s">
        <v>115</v>
      </c>
      <c r="DT2" s="38" t="s">
        <v>114</v>
      </c>
      <c r="DU2" s="37" t="s">
        <v>110</v>
      </c>
      <c r="DV2" s="37" t="s">
        <v>153</v>
      </c>
      <c r="DW2" s="37" t="s">
        <v>115</v>
      </c>
      <c r="DX2" s="38" t="s">
        <v>114</v>
      </c>
      <c r="DY2" s="37" t="s">
        <v>116</v>
      </c>
      <c r="DZ2" s="37" t="s">
        <v>106</v>
      </c>
      <c r="EA2" s="37" t="s">
        <v>117</v>
      </c>
      <c r="EB2" s="102"/>
      <c r="EC2" s="102">
        <f>+EB2+1</f>
        <v>1</v>
      </c>
      <c r="ED2" s="102">
        <f t="shared" ref="ED2:FF2" si="29">+EC2+1</f>
        <v>2</v>
      </c>
      <c r="EE2" s="102">
        <f t="shared" si="29"/>
        <v>3</v>
      </c>
      <c r="EF2" s="102">
        <f t="shared" si="29"/>
        <v>4</v>
      </c>
      <c r="EG2" s="102">
        <f t="shared" si="29"/>
        <v>5</v>
      </c>
      <c r="EH2" s="102">
        <f t="shared" si="29"/>
        <v>6</v>
      </c>
      <c r="EI2" s="102">
        <f t="shared" si="29"/>
        <v>7</v>
      </c>
      <c r="EJ2" s="102">
        <f t="shared" si="29"/>
        <v>8</v>
      </c>
      <c r="EK2" s="102">
        <f t="shared" si="29"/>
        <v>9</v>
      </c>
      <c r="EL2" s="102">
        <f t="shared" si="29"/>
        <v>10</v>
      </c>
      <c r="EM2" s="102">
        <f t="shared" si="29"/>
        <v>11</v>
      </c>
      <c r="EN2" s="102">
        <f t="shared" si="29"/>
        <v>12</v>
      </c>
      <c r="EO2" s="102">
        <f t="shared" si="29"/>
        <v>13</v>
      </c>
      <c r="EP2" s="102">
        <f t="shared" si="29"/>
        <v>14</v>
      </c>
      <c r="EQ2" s="102">
        <f t="shared" si="29"/>
        <v>15</v>
      </c>
      <c r="ER2" s="102">
        <f t="shared" si="29"/>
        <v>16</v>
      </c>
      <c r="ES2" s="102">
        <f t="shared" si="29"/>
        <v>17</v>
      </c>
      <c r="ET2" s="102">
        <f t="shared" si="29"/>
        <v>18</v>
      </c>
      <c r="EU2" s="102">
        <f t="shared" si="29"/>
        <v>19</v>
      </c>
      <c r="EV2" s="102">
        <f t="shared" si="29"/>
        <v>20</v>
      </c>
      <c r="EW2" s="102">
        <f t="shared" si="29"/>
        <v>21</v>
      </c>
      <c r="EX2" s="102">
        <f t="shared" si="29"/>
        <v>22</v>
      </c>
      <c r="EY2" s="102">
        <f t="shared" si="29"/>
        <v>23</v>
      </c>
      <c r="EZ2" s="102">
        <f t="shared" si="29"/>
        <v>24</v>
      </c>
      <c r="FA2" s="102">
        <f t="shared" si="29"/>
        <v>25</v>
      </c>
      <c r="FB2" s="102">
        <f t="shared" si="29"/>
        <v>26</v>
      </c>
      <c r="FC2" s="102">
        <f t="shared" si="29"/>
        <v>27</v>
      </c>
      <c r="FD2" s="102">
        <f t="shared" si="29"/>
        <v>28</v>
      </c>
      <c r="FE2" s="102">
        <f t="shared" si="29"/>
        <v>29</v>
      </c>
      <c r="FF2" s="102">
        <f t="shared" si="29"/>
        <v>30</v>
      </c>
      <c r="FG2" s="102"/>
    </row>
    <row r="3" spans="1:163" ht="20.25" customHeight="1" x14ac:dyDescent="0.25">
      <c r="A3" s="25">
        <f>'MASTER SHEET'!A3</f>
        <v>1</v>
      </c>
      <c r="B3" s="26" t="str">
        <f>'MASTER SHEET'!B3</f>
        <v>BASE HOUSING CRANKCASE</v>
      </c>
      <c r="C3" s="78">
        <f>'MASTER SHEET'!C3</f>
        <v>5009573</v>
      </c>
      <c r="D3" s="159">
        <v>1876</v>
      </c>
      <c r="E3" s="28">
        <f>PRODUCTION!F3+'SUPLIER INWARD'!F3</f>
        <v>219</v>
      </c>
      <c r="F3" s="28"/>
      <c r="G3" s="29">
        <v>0</v>
      </c>
      <c r="H3" s="30">
        <f t="shared" ref="H3:H34" si="30">D3+E3-F3-G3</f>
        <v>2095</v>
      </c>
      <c r="I3" s="28">
        <f>PRODUCTION!J3+'SUPLIER INWARD'!J3</f>
        <v>0</v>
      </c>
      <c r="J3" s="28">
        <v>1200</v>
      </c>
      <c r="K3" s="29">
        <v>27</v>
      </c>
      <c r="L3" s="30">
        <f t="shared" ref="L3:L34" si="31">H3+I3-J3-K3</f>
        <v>868</v>
      </c>
      <c r="M3" s="28">
        <f>PRODUCTION!N3+'SUPLIER INWARD'!N3</f>
        <v>0</v>
      </c>
      <c r="N3" s="28"/>
      <c r="O3" s="29"/>
      <c r="P3" s="30">
        <f t="shared" ref="P3:P34" si="32">L3+M3-N3-O3</f>
        <v>868</v>
      </c>
      <c r="Q3" s="28">
        <f>PRODUCTION!R3+'SUPLIER INWARD'!R3</f>
        <v>0</v>
      </c>
      <c r="R3" s="28">
        <v>600</v>
      </c>
      <c r="S3" s="29">
        <v>9</v>
      </c>
      <c r="T3" s="30">
        <f t="shared" ref="T3:T34" si="33">P3+Q3-R3-S3</f>
        <v>259</v>
      </c>
      <c r="U3" s="28">
        <f>PRODUCTION!V3+'SUPLIER INWARD'!V3</f>
        <v>0</v>
      </c>
      <c r="V3" s="28"/>
      <c r="W3" s="29">
        <v>0</v>
      </c>
      <c r="X3" s="30">
        <f t="shared" ref="X3:X34" si="34">T3+U3-V3-W3</f>
        <v>259</v>
      </c>
      <c r="Y3" s="28">
        <f>PRODUCTION!Z3+'SUPLIER INWARD'!Z3</f>
        <v>0</v>
      </c>
      <c r="Z3" s="28"/>
      <c r="AA3" s="29">
        <v>0</v>
      </c>
      <c r="AB3" s="30">
        <f t="shared" ref="AB3:AB34" si="35">X3+Y3-Z3-AA3</f>
        <v>259</v>
      </c>
      <c r="AC3" s="28">
        <f>PRODUCTION!AD3+'SUPLIER INWARD'!AD3</f>
        <v>0</v>
      </c>
      <c r="AD3" s="28"/>
      <c r="AE3" s="29">
        <v>0</v>
      </c>
      <c r="AF3" s="30">
        <f t="shared" ref="AF3:AF34" si="36">AB3+AC3-AD3-AE3</f>
        <v>259</v>
      </c>
      <c r="AG3" s="28">
        <f>PRODUCTION!AH3+'SUPLIER INWARD'!AH3</f>
        <v>0</v>
      </c>
      <c r="AH3" s="28"/>
      <c r="AI3" s="29">
        <v>0</v>
      </c>
      <c r="AJ3" s="30">
        <f t="shared" ref="AJ3:AJ34" si="37">AF3+AG3-AH3-AI3</f>
        <v>259</v>
      </c>
      <c r="AK3" s="28">
        <f>PRODUCTION!AL3+'SUPLIER INWARD'!AL3</f>
        <v>0</v>
      </c>
      <c r="AL3" s="28"/>
      <c r="AM3" s="29">
        <v>0</v>
      </c>
      <c r="AN3" s="30">
        <f t="shared" ref="AN3:AN34" si="38">AJ3+AK3-AL3-AM3</f>
        <v>259</v>
      </c>
      <c r="AO3" s="28">
        <f>PRODUCTION!AP3+'SUPLIER INWARD'!AP3</f>
        <v>697</v>
      </c>
      <c r="AP3" s="28"/>
      <c r="AQ3" s="29">
        <v>0</v>
      </c>
      <c r="AR3" s="30">
        <f t="shared" ref="AR3:AR34" si="39">AN3+AO3-AP3-AQ3</f>
        <v>956</v>
      </c>
      <c r="AS3" s="28">
        <f>PRODUCTION!AT3+'SUPLIER INWARD'!AT3</f>
        <v>665</v>
      </c>
      <c r="AT3" s="28">
        <v>575</v>
      </c>
      <c r="AU3" s="29">
        <v>27</v>
      </c>
      <c r="AV3" s="30">
        <f t="shared" ref="AV3:AV34" si="40">AR3+AS3-AT3-AU3</f>
        <v>1019</v>
      </c>
      <c r="AW3" s="28">
        <f>PRODUCTION!AX3+'SUPLIER INWARD'!AX3</f>
        <v>0</v>
      </c>
      <c r="AX3" s="28"/>
      <c r="AY3" s="29"/>
      <c r="AZ3" s="30">
        <f t="shared" ref="AZ3:AZ34" si="41">AV3+AW3-AX3-AY3</f>
        <v>1019</v>
      </c>
      <c r="BA3" s="28">
        <f>PRODUCTION!BB3+'SUPLIER INWARD'!BB3</f>
        <v>0</v>
      </c>
      <c r="BB3" s="28">
        <v>300</v>
      </c>
      <c r="BC3" s="29">
        <v>6</v>
      </c>
      <c r="BD3" s="30">
        <f t="shared" ref="BD3:BD34" si="42">AZ3+BA3-BB3-BC3</f>
        <v>713</v>
      </c>
      <c r="BE3" s="28">
        <f>PRODUCTION!BF3+'SUPLIER INWARD'!BF3</f>
        <v>0</v>
      </c>
      <c r="BF3" s="28">
        <v>350</v>
      </c>
      <c r="BG3" s="29">
        <v>10</v>
      </c>
      <c r="BH3" s="30">
        <f t="shared" ref="BH3:BH34" si="43">BD3+BE3-BF3-BG3</f>
        <v>353</v>
      </c>
      <c r="BI3" s="28">
        <f>PRODUCTION!BJ3+'SUPLIER INWARD'!BJ3</f>
        <v>0</v>
      </c>
      <c r="BJ3" s="28"/>
      <c r="BK3" s="29">
        <v>0</v>
      </c>
      <c r="BL3" s="30">
        <f t="shared" ref="BL3:BL34" si="44">BH3+BI3-BJ3-BK3</f>
        <v>353</v>
      </c>
      <c r="BM3" s="28">
        <f>PRODUCTION!BN3+'SUPLIER INWARD'!BN3</f>
        <v>0</v>
      </c>
      <c r="BN3" s="28"/>
      <c r="BO3" s="29">
        <v>0</v>
      </c>
      <c r="BP3" s="30">
        <f t="shared" ref="BP3:BP34" si="45">BL3+BM3-BN3-BO3</f>
        <v>353</v>
      </c>
      <c r="BQ3" s="28">
        <f>PRODUCTION!BR3+'SUPLIER INWARD'!BR3</f>
        <v>1005</v>
      </c>
      <c r="BR3" s="28"/>
      <c r="BS3" s="29">
        <v>0</v>
      </c>
      <c r="BT3" s="30">
        <f t="shared" ref="BT3:BT34" si="46">BP3+BQ3-BR3-BS3</f>
        <v>1358</v>
      </c>
      <c r="BU3" s="28">
        <f>PRODUCTION!BV3+'SUPLIER INWARD'!BV3</f>
        <v>785</v>
      </c>
      <c r="BV3" s="28">
        <v>950</v>
      </c>
      <c r="BW3" s="29">
        <v>6</v>
      </c>
      <c r="BX3" s="30">
        <f t="shared" ref="BX3:BX66" si="47">BT3+BU3-BV3-BW3</f>
        <v>1187</v>
      </c>
      <c r="BY3" s="28">
        <f>PRODUCTION!BZ3+'SUPLIER INWARD'!BZ3</f>
        <v>0</v>
      </c>
      <c r="BZ3" s="28"/>
      <c r="CA3" s="29">
        <v>0</v>
      </c>
      <c r="CB3" s="30">
        <f t="shared" ref="CB3:CB34" si="48">BX3+BY3-BZ3-CA3</f>
        <v>1187</v>
      </c>
      <c r="CC3" s="28">
        <f>PRODUCTION!CD3+'SUPLIER INWARD'!CD3</f>
        <v>0</v>
      </c>
      <c r="CD3" s="28"/>
      <c r="CE3" s="29">
        <v>0</v>
      </c>
      <c r="CF3" s="30">
        <f t="shared" ref="CF3:CF34" si="49">CB3+CC3-CD3-CE3</f>
        <v>1187</v>
      </c>
      <c r="CG3" s="28">
        <f>PRODUCTION!CH3+'SUPLIER INWARD'!CH3</f>
        <v>0</v>
      </c>
      <c r="CH3" s="28"/>
      <c r="CI3" s="29">
        <v>0</v>
      </c>
      <c r="CJ3" s="30">
        <f t="shared" ref="CJ3:CJ66" si="50">CF3+CG3-CH3-CI3</f>
        <v>1187</v>
      </c>
      <c r="CK3" s="28">
        <f>PRODUCTION!CL3+'SUPLIER INWARD'!CL3</f>
        <v>0</v>
      </c>
      <c r="CL3" s="151">
        <v>300</v>
      </c>
      <c r="CM3" s="152">
        <v>14</v>
      </c>
      <c r="CN3" s="30">
        <f t="shared" ref="CN3:CN66" si="51">CJ3+CK3-CL3-CM3</f>
        <v>873</v>
      </c>
      <c r="CO3" s="28">
        <f>PRODUCTION!CP3+'SUPLIER INWARD'!CP3</f>
        <v>0</v>
      </c>
      <c r="CP3" s="151">
        <v>250</v>
      </c>
      <c r="CQ3" s="29">
        <v>0</v>
      </c>
      <c r="CR3" s="30">
        <f t="shared" ref="CR3:CR66" si="52">CN3+CO3-CP3-CQ3</f>
        <v>623</v>
      </c>
      <c r="CS3" s="28">
        <f>PRODUCTION!CT3+'SUPLIER INWARD'!CT3</f>
        <v>0</v>
      </c>
      <c r="CT3" s="28"/>
      <c r="CU3" s="29">
        <v>0</v>
      </c>
      <c r="CV3" s="30">
        <f t="shared" ref="CV3:CV66" si="53">CR3+CS3-CT3-CU3</f>
        <v>623</v>
      </c>
      <c r="CW3" s="28">
        <f>PRODUCTION!CX3+'SUPLIER INWARD'!CX3</f>
        <v>0</v>
      </c>
      <c r="CX3" s="28"/>
      <c r="CY3" s="29">
        <v>0</v>
      </c>
      <c r="CZ3" s="30">
        <f t="shared" ref="CZ3:CZ34" si="54">CV3+CW3-CX3-CY3</f>
        <v>623</v>
      </c>
      <c r="DA3" s="28">
        <f>PRODUCTION!DB3+'SUPLIER INWARD'!DB3</f>
        <v>0</v>
      </c>
      <c r="DB3" s="28"/>
      <c r="DC3" s="29"/>
      <c r="DD3" s="30">
        <f t="shared" ref="DD3:DD34" si="55">CZ3+DA3-DB3-DC3</f>
        <v>623</v>
      </c>
      <c r="DE3" s="28">
        <f>PRODUCTION!DF3+'SUPLIER INWARD'!DF3</f>
        <v>0</v>
      </c>
      <c r="DF3" s="28"/>
      <c r="DG3" s="29">
        <v>0</v>
      </c>
      <c r="DH3" s="30">
        <f t="shared" ref="DH3:DH34" si="56">DD3+DE3-DF3-DG3</f>
        <v>623</v>
      </c>
      <c r="DI3" s="28">
        <f>PRODUCTION!DJ3+'SUPLIER INWARD'!DJ3</f>
        <v>449</v>
      </c>
      <c r="DJ3" s="28"/>
      <c r="DK3" s="29">
        <v>0</v>
      </c>
      <c r="DL3" s="30">
        <f t="shared" ref="DL3:DL34" si="57">DH3+DI3-DJ3-DK3</f>
        <v>1072</v>
      </c>
      <c r="DM3" s="28">
        <f>PRODUCTION!DN3+'SUPLIER INWARD'!DN3</f>
        <v>461</v>
      </c>
      <c r="DN3" s="28">
        <v>500</v>
      </c>
      <c r="DO3" s="29"/>
      <c r="DP3" s="30">
        <f t="shared" ref="DP3:DP34" si="58">DL3+DM3-DN3-DO3</f>
        <v>1033</v>
      </c>
      <c r="DQ3" s="28">
        <f>PRODUCTION!DR3+'SUPLIER INWARD'!DR3</f>
        <v>0</v>
      </c>
      <c r="DR3" s="28"/>
      <c r="DS3" s="29"/>
      <c r="DT3" s="30">
        <f t="shared" ref="DT3:DT34" si="59">DP3+DQ3-DR3-DS3</f>
        <v>1033</v>
      </c>
      <c r="DU3" s="28">
        <f>PRODUCTION!DV3+'SUPLIER INWARD'!DV3</f>
        <v>0</v>
      </c>
      <c r="DV3" s="28"/>
      <c r="DW3" s="29"/>
      <c r="DX3" s="30">
        <f t="shared" ref="DX3:DX34" si="60">DT3+DU3-DV3-DW3</f>
        <v>1033</v>
      </c>
      <c r="DY3" s="31">
        <f t="shared" ref="DY3:DY34" si="61">E3+I3+M3+Q3+U3+Y3+AC3+AG3+AK3+AO3+AS3+AW3+BA3+BE3+BI3+BM3+BQ3+BU3+BY3+CC3+CG3+CK3+CO3+CS3+CW3+DA3+DE3+DI3+DM3+DQ3+DU3</f>
        <v>4281</v>
      </c>
      <c r="DZ3" s="31">
        <f t="shared" ref="DZ3:DZ34" si="62">F3+J3+N3+R3+V3+Z3+AD3+AH3+AL3+AP3+AT3+AX3+BB3+BF3+BJ3+BN3+BR3+BV3+BZ3+CD3+CH3+CL3+CP3+CT3+CX3+DB3+DF3+DJ3+DN3+DR3+DV3</f>
        <v>5025</v>
      </c>
      <c r="EA3" s="4">
        <f t="shared" ref="EA3:EA34" si="63">G3+K3+O3+S3+W3+AA3+AE3+AI3+AM3+AQ3+AU3+AY3+BC3+BG3+BK3+BO3+BS3+BW3+CA3+CE3+CI3+CM3+CQ3+CU3+CY3+DC3+DG3+DK3+DO3+DS3+DW3</f>
        <v>99</v>
      </c>
      <c r="EB3" s="9">
        <f>D3*'MASTER SHEET'!D3</f>
        <v>61570.32</v>
      </c>
      <c r="EC3" s="9">
        <f>H3*'MASTER SHEET'!D3</f>
        <v>68757.899999999994</v>
      </c>
      <c r="ED3" s="9">
        <f>L3*'MASTER SHEET'!D3</f>
        <v>28487.760000000002</v>
      </c>
      <c r="EE3" s="9">
        <f>P3*'MASTER SHEET'!D3</f>
        <v>28487.760000000002</v>
      </c>
      <c r="EF3" s="9">
        <f>T3*'MASTER SHEET'!D3</f>
        <v>8500.3799999999992</v>
      </c>
      <c r="EG3" s="9">
        <f>X3*'MASTER SHEET'!D3</f>
        <v>8500.3799999999992</v>
      </c>
      <c r="EH3" s="9">
        <f>AB3*'MASTER SHEET'!D3</f>
        <v>8500.3799999999992</v>
      </c>
      <c r="EI3" s="9">
        <f>AF3*'MASTER SHEET'!D3</f>
        <v>8500.3799999999992</v>
      </c>
      <c r="EJ3" s="9">
        <f>AJ3*'MASTER SHEET'!D3</f>
        <v>8500.3799999999992</v>
      </c>
      <c r="EK3" s="9">
        <f>AN3*'MASTER SHEET'!D3</f>
        <v>8500.3799999999992</v>
      </c>
      <c r="EL3" s="9">
        <f>AR3*'MASTER SHEET'!D3</f>
        <v>31375.920000000002</v>
      </c>
      <c r="EM3" s="9">
        <f>AV3*'MASTER SHEET'!D3</f>
        <v>33443.58</v>
      </c>
      <c r="EN3" s="9">
        <f>AZ3*'MASTER SHEET'!D3</f>
        <v>33443.58</v>
      </c>
      <c r="EO3" s="9">
        <f>BD3*'MASTER SHEET'!D3</f>
        <v>23400.66</v>
      </c>
      <c r="EP3" s="9">
        <f>$BH3*'MASTER SHEET'!$D3</f>
        <v>11585.460000000001</v>
      </c>
      <c r="EQ3" s="9">
        <f>BL3*'MASTER SHEET'!D3</f>
        <v>11585.460000000001</v>
      </c>
      <c r="ER3" s="9">
        <f>BP3*'MASTER SHEET'!D3</f>
        <v>11585.460000000001</v>
      </c>
      <c r="ES3" s="9">
        <f>BT3*'MASTER SHEET'!D3</f>
        <v>44569.56</v>
      </c>
      <c r="ET3" s="9">
        <f>BX3*'MASTER SHEET'!D3</f>
        <v>38957.340000000004</v>
      </c>
      <c r="EU3" s="9">
        <f>CB3*'MASTER SHEET'!D3</f>
        <v>38957.340000000004</v>
      </c>
      <c r="EV3" s="9">
        <f>CF3*'MASTER SHEET'!D3</f>
        <v>38957.340000000004</v>
      </c>
      <c r="EW3" s="9">
        <f>CJ3*'MASTER SHEET'!D3</f>
        <v>38957.340000000004</v>
      </c>
      <c r="EX3" s="9">
        <f>CN3*'MASTER SHEET'!D3</f>
        <v>28651.86</v>
      </c>
      <c r="EY3" s="9">
        <f>CR3*'MASTER SHEET'!D3</f>
        <v>20446.86</v>
      </c>
      <c r="EZ3" s="9">
        <f>$CV3*'MASTER SHEET'!D3</f>
        <v>20446.86</v>
      </c>
      <c r="FA3" s="9">
        <f>CZ3*'MASTER SHEET'!D3</f>
        <v>20446.86</v>
      </c>
      <c r="FB3" s="9">
        <f>DD3*'MASTER SHEET'!D3</f>
        <v>20446.86</v>
      </c>
      <c r="FC3" s="9">
        <f>DH3*'MASTER SHEET'!D3</f>
        <v>20446.86</v>
      </c>
      <c r="FD3" s="9">
        <f>DL3*'MASTER SHEET'!D3</f>
        <v>35183.040000000001</v>
      </c>
      <c r="FE3" s="9">
        <f>DP3*'MASTER SHEET'!D3</f>
        <v>33903.06</v>
      </c>
      <c r="FF3" s="9">
        <f>DT3*'MASTER SHEET'!D3</f>
        <v>33903.06</v>
      </c>
      <c r="FG3" s="9">
        <f>+DX3*'MASTER SHEET'!D3</f>
        <v>33903.06</v>
      </c>
    </row>
    <row r="4" spans="1:163" ht="20.25" customHeight="1" x14ac:dyDescent="0.25">
      <c r="A4" s="25">
        <f>'MASTER SHEET'!A4</f>
        <v>2</v>
      </c>
      <c r="B4" s="26" t="str">
        <f>'MASTER SHEET'!B4</f>
        <v>DISC</v>
      </c>
      <c r="C4" s="78">
        <f>'MASTER SHEET'!C4</f>
        <v>5009576</v>
      </c>
      <c r="D4" s="159">
        <v>0</v>
      </c>
      <c r="E4" s="28">
        <f>PRODUCTION!F4+'SUPLIER INWARD'!F4</f>
        <v>500</v>
      </c>
      <c r="F4" s="28"/>
      <c r="G4" s="29">
        <v>0</v>
      </c>
      <c r="H4" s="30">
        <f t="shared" si="30"/>
        <v>500</v>
      </c>
      <c r="I4" s="28">
        <f>PRODUCTION!J4+'SUPLIER INWARD'!J4</f>
        <v>810</v>
      </c>
      <c r="J4" s="28">
        <v>1200</v>
      </c>
      <c r="K4" s="29">
        <v>0</v>
      </c>
      <c r="L4" s="30">
        <f t="shared" si="31"/>
        <v>110</v>
      </c>
      <c r="M4" s="28">
        <f>PRODUCTION!N4+'SUPLIER INWARD'!N4</f>
        <v>0</v>
      </c>
      <c r="N4" s="28"/>
      <c r="O4" s="29"/>
      <c r="P4" s="30">
        <f t="shared" si="32"/>
        <v>110</v>
      </c>
      <c r="Q4" s="28">
        <f>PRODUCTION!R4+'SUPLIER INWARD'!R4</f>
        <v>500</v>
      </c>
      <c r="R4" s="28"/>
      <c r="S4" s="29">
        <v>9</v>
      </c>
      <c r="T4" s="30">
        <f t="shared" si="33"/>
        <v>601</v>
      </c>
      <c r="U4" s="28">
        <f>PRODUCTION!V4+'SUPLIER INWARD'!V4</f>
        <v>0</v>
      </c>
      <c r="V4" s="28">
        <v>500</v>
      </c>
      <c r="W4" s="29">
        <v>0</v>
      </c>
      <c r="X4" s="30">
        <f t="shared" si="34"/>
        <v>101</v>
      </c>
      <c r="Y4" s="28">
        <f>PRODUCTION!Z4+'SUPLIER INWARD'!Z4</f>
        <v>500</v>
      </c>
      <c r="Z4" s="28"/>
      <c r="AA4" s="29">
        <v>0</v>
      </c>
      <c r="AB4" s="30">
        <f t="shared" si="35"/>
        <v>601</v>
      </c>
      <c r="AC4" s="28">
        <f>PRODUCTION!AD4+'SUPLIER INWARD'!AD4</f>
        <v>230</v>
      </c>
      <c r="AD4" s="28"/>
      <c r="AE4" s="29">
        <v>0</v>
      </c>
      <c r="AF4" s="30">
        <f t="shared" si="36"/>
        <v>831</v>
      </c>
      <c r="AG4" s="28">
        <f>PRODUCTION!AH4+'SUPLIER INWARD'!AH4</f>
        <v>0</v>
      </c>
      <c r="AH4" s="28"/>
      <c r="AI4" s="29">
        <v>0</v>
      </c>
      <c r="AJ4" s="30">
        <f t="shared" si="37"/>
        <v>831</v>
      </c>
      <c r="AK4" s="28">
        <f>PRODUCTION!AL4+'SUPLIER INWARD'!AL4</f>
        <v>0</v>
      </c>
      <c r="AL4" s="28"/>
      <c r="AM4" s="29">
        <v>0</v>
      </c>
      <c r="AN4" s="30">
        <f t="shared" si="38"/>
        <v>831</v>
      </c>
      <c r="AO4" s="28">
        <f>PRODUCTION!AP4+'SUPLIER INWARD'!AP4</f>
        <v>0</v>
      </c>
      <c r="AP4" s="28"/>
      <c r="AQ4" s="29">
        <v>0</v>
      </c>
      <c r="AR4" s="30">
        <f t="shared" si="39"/>
        <v>831</v>
      </c>
      <c r="AS4" s="28">
        <f>PRODUCTION!AT4+'SUPLIER INWARD'!AT4</f>
        <v>0</v>
      </c>
      <c r="AT4" s="28"/>
      <c r="AU4" s="29">
        <v>0</v>
      </c>
      <c r="AV4" s="30">
        <f t="shared" si="40"/>
        <v>831</v>
      </c>
      <c r="AW4" s="28">
        <f>PRODUCTION!AX4+'SUPLIER INWARD'!AX4</f>
        <v>0</v>
      </c>
      <c r="AX4" s="28"/>
      <c r="AY4" s="29"/>
      <c r="AZ4" s="30">
        <f t="shared" si="41"/>
        <v>831</v>
      </c>
      <c r="BA4" s="28">
        <f>PRODUCTION!BB4+'SUPLIER INWARD'!BB4</f>
        <v>0</v>
      </c>
      <c r="BB4" s="28"/>
      <c r="BC4" s="29">
        <v>0</v>
      </c>
      <c r="BD4" s="30">
        <f t="shared" si="42"/>
        <v>831</v>
      </c>
      <c r="BE4" s="28">
        <f>PRODUCTION!BF4+'SUPLIER INWARD'!BF4</f>
        <v>0</v>
      </c>
      <c r="BF4" s="28">
        <v>800</v>
      </c>
      <c r="BG4" s="29">
        <v>0</v>
      </c>
      <c r="BH4" s="30">
        <f t="shared" si="43"/>
        <v>31</v>
      </c>
      <c r="BI4" s="28">
        <f>PRODUCTION!BJ4+'SUPLIER INWARD'!BJ4</f>
        <v>2892</v>
      </c>
      <c r="BJ4" s="28">
        <v>2892</v>
      </c>
      <c r="BK4" s="29">
        <v>0</v>
      </c>
      <c r="BL4" s="30">
        <f t="shared" si="44"/>
        <v>31</v>
      </c>
      <c r="BM4" s="28">
        <f>PRODUCTION!BN4+'SUPLIER INWARD'!BN4</f>
        <v>9270</v>
      </c>
      <c r="BN4" s="28">
        <v>9270</v>
      </c>
      <c r="BO4" s="29">
        <v>0</v>
      </c>
      <c r="BP4" s="30">
        <f t="shared" si="45"/>
        <v>31</v>
      </c>
      <c r="BQ4" s="28">
        <f>PRODUCTION!BR4+'SUPLIER INWARD'!BR4</f>
        <v>0</v>
      </c>
      <c r="BR4" s="28"/>
      <c r="BS4" s="29">
        <v>0</v>
      </c>
      <c r="BT4" s="30">
        <f t="shared" si="46"/>
        <v>31</v>
      </c>
      <c r="BU4" s="28">
        <f>'SUPLIER INWARD'!BV4</f>
        <v>0</v>
      </c>
      <c r="BV4" s="28"/>
      <c r="BW4" s="29">
        <v>0</v>
      </c>
      <c r="BX4" s="30">
        <f t="shared" si="47"/>
        <v>31</v>
      </c>
      <c r="BY4" s="28">
        <f>PRODUCTION!BZ4+'SUPLIER INWARD'!BZ4</f>
        <v>0</v>
      </c>
      <c r="BZ4" s="28"/>
      <c r="CA4" s="29">
        <v>0</v>
      </c>
      <c r="CB4" s="30">
        <f t="shared" si="48"/>
        <v>31</v>
      </c>
      <c r="CC4" s="28">
        <f>PRODUCTION!CD4+'SUPLIER INWARD'!CD4</f>
        <v>0</v>
      </c>
      <c r="CD4" s="28"/>
      <c r="CE4" s="29">
        <v>0</v>
      </c>
      <c r="CF4" s="30">
        <f t="shared" si="49"/>
        <v>31</v>
      </c>
      <c r="CG4" s="28">
        <f>PRODUCTION!CH4+'SUPLIER INWARD'!CH4</f>
        <v>0</v>
      </c>
      <c r="CH4" s="28"/>
      <c r="CI4" s="29">
        <v>0</v>
      </c>
      <c r="CJ4" s="30">
        <f t="shared" si="50"/>
        <v>31</v>
      </c>
      <c r="CK4" s="28">
        <f>PRODUCTION!CL4+'SUPLIER INWARD'!CL4</f>
        <v>0</v>
      </c>
      <c r="CL4" s="151"/>
      <c r="CM4" s="152">
        <v>0</v>
      </c>
      <c r="CN4" s="30">
        <f t="shared" si="51"/>
        <v>31</v>
      </c>
      <c r="CO4" s="28">
        <f>PRODUCTION!CP4+'SUPLIER INWARD'!CP4</f>
        <v>0</v>
      </c>
      <c r="CP4" s="151"/>
      <c r="CQ4" s="29">
        <v>0</v>
      </c>
      <c r="CR4" s="30">
        <f t="shared" si="52"/>
        <v>31</v>
      </c>
      <c r="CS4" s="28">
        <f>PRODUCTION!CT4+'SUPLIER INWARD'!CT4</f>
        <v>0</v>
      </c>
      <c r="CT4" s="28"/>
      <c r="CU4" s="29">
        <v>0</v>
      </c>
      <c r="CV4" s="30">
        <f t="shared" si="53"/>
        <v>31</v>
      </c>
      <c r="CW4" s="28">
        <f>PRODUCTION!CX4+'SUPLIER INWARD'!CX4</f>
        <v>0</v>
      </c>
      <c r="CX4" s="28"/>
      <c r="CY4" s="29">
        <v>0</v>
      </c>
      <c r="CZ4" s="30">
        <f t="shared" si="54"/>
        <v>31</v>
      </c>
      <c r="DA4" s="28">
        <f>PRODUCTION!DB4+'SUPLIER INWARD'!DB4</f>
        <v>0</v>
      </c>
      <c r="DB4" s="28"/>
      <c r="DC4" s="29"/>
      <c r="DD4" s="30">
        <f t="shared" si="55"/>
        <v>31</v>
      </c>
      <c r="DE4" s="28">
        <f>PRODUCTION!DF4+'SUPLIER INWARD'!DF4</f>
        <v>200</v>
      </c>
      <c r="DF4" s="28"/>
      <c r="DG4" s="29">
        <v>0</v>
      </c>
      <c r="DH4" s="30">
        <f t="shared" si="56"/>
        <v>231</v>
      </c>
      <c r="DI4" s="28">
        <f>PRODUCTION!DJ4+'SUPLIER INWARD'!DJ4</f>
        <v>500</v>
      </c>
      <c r="DJ4" s="28">
        <v>700</v>
      </c>
      <c r="DK4" s="29">
        <v>0</v>
      </c>
      <c r="DL4" s="30">
        <f t="shared" si="57"/>
        <v>31</v>
      </c>
      <c r="DM4" s="28">
        <f>PRODUCTION!DN4+'SUPLIER INWARD'!DN4</f>
        <v>500</v>
      </c>
      <c r="DN4" s="28"/>
      <c r="DO4" s="29"/>
      <c r="DP4" s="30">
        <f t="shared" si="58"/>
        <v>531</v>
      </c>
      <c r="DQ4" s="28">
        <f>PRODUCTION!DR4+'SUPLIER INWARD'!DR4</f>
        <v>0</v>
      </c>
      <c r="DR4" s="28"/>
      <c r="DS4" s="29"/>
      <c r="DT4" s="30">
        <f t="shared" si="59"/>
        <v>531</v>
      </c>
      <c r="DU4" s="28">
        <f>PRODUCTION!DV4+'SUPLIER INWARD'!DV4</f>
        <v>0</v>
      </c>
      <c r="DV4" s="28"/>
      <c r="DW4" s="29"/>
      <c r="DX4" s="30">
        <f t="shared" si="60"/>
        <v>531</v>
      </c>
      <c r="DY4" s="31">
        <f t="shared" si="61"/>
        <v>15902</v>
      </c>
      <c r="DZ4" s="31">
        <f t="shared" si="62"/>
        <v>15362</v>
      </c>
      <c r="EA4" s="4">
        <f t="shared" si="63"/>
        <v>9</v>
      </c>
      <c r="EB4" s="9">
        <f>D4*'MASTER SHEET'!D4</f>
        <v>0</v>
      </c>
      <c r="EC4" s="9">
        <f>H4*'MASTER SHEET'!D4</f>
        <v>5790</v>
      </c>
      <c r="ED4" s="9">
        <f>L4*'MASTER SHEET'!D4</f>
        <v>1273.8</v>
      </c>
      <c r="EE4" s="9">
        <f>P4*'MASTER SHEET'!D4</f>
        <v>1273.8</v>
      </c>
      <c r="EF4" s="9">
        <f>T4*'MASTER SHEET'!D4</f>
        <v>6959.58</v>
      </c>
      <c r="EG4" s="9">
        <f>X4*'MASTER SHEET'!D4</f>
        <v>1169.58</v>
      </c>
      <c r="EH4" s="9">
        <f>AB4*'MASTER SHEET'!D4</f>
        <v>6959.58</v>
      </c>
      <c r="EI4" s="9">
        <f>AF4*'MASTER SHEET'!D4</f>
        <v>9622.98</v>
      </c>
      <c r="EJ4" s="9">
        <f>AJ4*'MASTER SHEET'!D4</f>
        <v>9622.98</v>
      </c>
      <c r="EK4" s="9">
        <f>AN4*'MASTER SHEET'!D4</f>
        <v>9622.98</v>
      </c>
      <c r="EL4" s="9">
        <f>AR4*'MASTER SHEET'!D4</f>
        <v>9622.98</v>
      </c>
      <c r="EM4" s="9">
        <f>AV4*'MASTER SHEET'!D4</f>
        <v>9622.98</v>
      </c>
      <c r="EN4" s="9">
        <f>AZ4*'MASTER SHEET'!D4</f>
        <v>9622.98</v>
      </c>
      <c r="EO4" s="9">
        <f>BD4*'MASTER SHEET'!D4</f>
        <v>9622.98</v>
      </c>
      <c r="EP4" s="9">
        <f>$BH4*'MASTER SHEET'!$D4</f>
        <v>358.98</v>
      </c>
      <c r="EQ4" s="9">
        <f>BL4*'MASTER SHEET'!D4</f>
        <v>358.98</v>
      </c>
      <c r="ER4" s="9">
        <f>BP4*'MASTER SHEET'!D4</f>
        <v>358.98</v>
      </c>
      <c r="ES4" s="9">
        <f>BT4*'MASTER SHEET'!D4</f>
        <v>358.98</v>
      </c>
      <c r="ET4" s="9">
        <f>BX4*'MASTER SHEET'!D4</f>
        <v>358.98</v>
      </c>
      <c r="EU4" s="9">
        <f>CB4*'MASTER SHEET'!D4</f>
        <v>358.98</v>
      </c>
      <c r="EV4" s="9">
        <f>CF4*'MASTER SHEET'!D4</f>
        <v>358.98</v>
      </c>
      <c r="EW4" s="9">
        <f>CJ4*'MASTER SHEET'!D4</f>
        <v>358.98</v>
      </c>
      <c r="EX4" s="9">
        <f>CN4*'MASTER SHEET'!D4</f>
        <v>358.98</v>
      </c>
      <c r="EY4" s="9">
        <f>CR4*'MASTER SHEET'!D4</f>
        <v>358.98</v>
      </c>
      <c r="EZ4" s="9">
        <f>$CV4*'MASTER SHEET'!D4</f>
        <v>358.98</v>
      </c>
      <c r="FA4" s="9">
        <f>CZ4*'MASTER SHEET'!D4</f>
        <v>358.98</v>
      </c>
      <c r="FB4" s="9">
        <f>DD4*'MASTER SHEET'!D4</f>
        <v>358.98</v>
      </c>
      <c r="FC4" s="9">
        <f>DH4*'MASTER SHEET'!D4</f>
        <v>2674.98</v>
      </c>
      <c r="FD4" s="9">
        <f>DL4*'MASTER SHEET'!D4</f>
        <v>358.98</v>
      </c>
      <c r="FE4" s="9">
        <f>DP4*'MASTER SHEET'!D4</f>
        <v>6148.9800000000005</v>
      </c>
      <c r="FF4" s="9">
        <f>DT4*'MASTER SHEET'!D4</f>
        <v>6148.9800000000005</v>
      </c>
      <c r="FG4" s="9">
        <f>+DX4*'MASTER SHEET'!D4</f>
        <v>6148.9800000000005</v>
      </c>
    </row>
    <row r="5" spans="1:163" ht="20.25" customHeight="1" x14ac:dyDescent="0.25">
      <c r="A5" s="25">
        <f>'MASTER SHEET'!A5</f>
        <v>3</v>
      </c>
      <c r="B5" s="26" t="str">
        <f>'MASTER SHEET'!B5</f>
        <v>BASE HOUSING</v>
      </c>
      <c r="C5" s="78">
        <f>'MASTER SHEET'!C5</f>
        <v>5009579</v>
      </c>
      <c r="D5" s="159">
        <v>110</v>
      </c>
      <c r="E5" s="28">
        <f>PRODUCTION!F5+'SUPLIER INWARD'!F5</f>
        <v>0</v>
      </c>
      <c r="F5" s="28"/>
      <c r="G5" s="29">
        <v>0</v>
      </c>
      <c r="H5" s="30">
        <f t="shared" si="30"/>
        <v>110</v>
      </c>
      <c r="I5" s="28">
        <f>PRODUCTION!J5+'SUPLIER INWARD'!J5</f>
        <v>0</v>
      </c>
      <c r="J5" s="28"/>
      <c r="K5" s="29">
        <v>0</v>
      </c>
      <c r="L5" s="30">
        <f t="shared" si="31"/>
        <v>110</v>
      </c>
      <c r="M5" s="28">
        <f>PRODUCTION!N5+'SUPLIER INWARD'!N5</f>
        <v>0</v>
      </c>
      <c r="N5" s="28"/>
      <c r="O5" s="29"/>
      <c r="P5" s="30">
        <f t="shared" si="32"/>
        <v>110</v>
      </c>
      <c r="Q5" s="28">
        <f>PRODUCTION!R5+'SUPLIER INWARD'!R5</f>
        <v>0</v>
      </c>
      <c r="R5" s="28"/>
      <c r="S5" s="29">
        <v>0</v>
      </c>
      <c r="T5" s="30">
        <f t="shared" si="33"/>
        <v>110</v>
      </c>
      <c r="U5" s="28">
        <f>PRODUCTION!V5+'SUPLIER INWARD'!V5</f>
        <v>0</v>
      </c>
      <c r="V5" s="28"/>
      <c r="W5" s="29">
        <v>0</v>
      </c>
      <c r="X5" s="30">
        <f t="shared" si="34"/>
        <v>110</v>
      </c>
      <c r="Y5" s="28">
        <f>PRODUCTION!Z5+'SUPLIER INWARD'!Z5</f>
        <v>0</v>
      </c>
      <c r="Z5" s="28"/>
      <c r="AA5" s="29">
        <v>0</v>
      </c>
      <c r="AB5" s="30">
        <f t="shared" si="35"/>
        <v>110</v>
      </c>
      <c r="AC5" s="28">
        <f>PRODUCTION!AD5+'SUPLIER INWARD'!AD5</f>
        <v>0</v>
      </c>
      <c r="AD5" s="151"/>
      <c r="AE5" s="29">
        <v>0</v>
      </c>
      <c r="AF5" s="30">
        <f t="shared" si="36"/>
        <v>110</v>
      </c>
      <c r="AG5" s="28">
        <f>PRODUCTION!AH5+'SUPLIER INWARD'!AH5</f>
        <v>0</v>
      </c>
      <c r="AH5" s="28"/>
      <c r="AI5" s="29">
        <v>0</v>
      </c>
      <c r="AJ5" s="30">
        <f t="shared" si="37"/>
        <v>110</v>
      </c>
      <c r="AK5" s="28">
        <f>PRODUCTION!AL5+'SUPLIER INWARD'!AL5</f>
        <v>0</v>
      </c>
      <c r="AL5" s="28"/>
      <c r="AM5" s="29">
        <v>0</v>
      </c>
      <c r="AN5" s="30">
        <f t="shared" si="38"/>
        <v>110</v>
      </c>
      <c r="AO5" s="28">
        <f>PRODUCTION!AP5+'SUPLIER INWARD'!AP5</f>
        <v>0</v>
      </c>
      <c r="AP5" s="28"/>
      <c r="AQ5" s="29">
        <v>0</v>
      </c>
      <c r="AR5" s="30">
        <f t="shared" si="39"/>
        <v>110</v>
      </c>
      <c r="AS5" s="28">
        <f>PRODUCTION!AT5+'SUPLIER INWARD'!AT5</f>
        <v>0</v>
      </c>
      <c r="AT5" s="28"/>
      <c r="AU5" s="29">
        <v>0</v>
      </c>
      <c r="AV5" s="30">
        <f t="shared" si="40"/>
        <v>110</v>
      </c>
      <c r="AW5" s="28">
        <f>PRODUCTION!AX5+'SUPLIER INWARD'!AX5</f>
        <v>0</v>
      </c>
      <c r="AX5" s="28"/>
      <c r="AY5" s="29"/>
      <c r="AZ5" s="30">
        <f t="shared" si="41"/>
        <v>110</v>
      </c>
      <c r="BA5" s="28">
        <f>PRODUCTION!BB5+'SUPLIER INWARD'!BB5</f>
        <v>0</v>
      </c>
      <c r="BB5" s="28"/>
      <c r="BC5" s="29">
        <v>0</v>
      </c>
      <c r="BD5" s="30">
        <f t="shared" si="42"/>
        <v>110</v>
      </c>
      <c r="BE5" s="28">
        <f>PRODUCTION!BF5+'SUPLIER INWARD'!BF5</f>
        <v>0</v>
      </c>
      <c r="BF5" s="28"/>
      <c r="BG5" s="29">
        <v>0</v>
      </c>
      <c r="BH5" s="30">
        <f t="shared" si="43"/>
        <v>110</v>
      </c>
      <c r="BI5" s="28">
        <f>PRODUCTION!BJ5+'SUPLIER INWARD'!BJ5</f>
        <v>0</v>
      </c>
      <c r="BJ5" s="28"/>
      <c r="BK5" s="29">
        <v>0</v>
      </c>
      <c r="BL5" s="30">
        <f t="shared" si="44"/>
        <v>110</v>
      </c>
      <c r="BM5" s="28">
        <f>PRODUCTION!BN5+'SUPLIER INWARD'!BN5</f>
        <v>0</v>
      </c>
      <c r="BN5" s="28"/>
      <c r="BO5" s="29">
        <v>0</v>
      </c>
      <c r="BP5" s="30">
        <f t="shared" si="45"/>
        <v>110</v>
      </c>
      <c r="BQ5" s="28">
        <f>PRODUCTION!BR5+'SUPLIER INWARD'!BR5</f>
        <v>0</v>
      </c>
      <c r="BR5" s="28"/>
      <c r="BS5" s="29">
        <v>0</v>
      </c>
      <c r="BT5" s="30">
        <f t="shared" si="46"/>
        <v>110</v>
      </c>
      <c r="BU5" s="28">
        <f>PRODUCTION!BV5+'SUPLIER INWARD'!BV5</f>
        <v>0</v>
      </c>
      <c r="BV5" s="28"/>
      <c r="BW5" s="29">
        <v>0</v>
      </c>
      <c r="BX5" s="30">
        <f t="shared" si="47"/>
        <v>110</v>
      </c>
      <c r="BY5" s="28">
        <f>PRODUCTION!BZ5+'SUPLIER INWARD'!BZ5</f>
        <v>0</v>
      </c>
      <c r="BZ5" s="28"/>
      <c r="CA5" s="29">
        <v>0</v>
      </c>
      <c r="CB5" s="30">
        <f t="shared" si="48"/>
        <v>110</v>
      </c>
      <c r="CC5" s="28">
        <f>PRODUCTION!CD5+'SUPLIER INWARD'!CD5</f>
        <v>0</v>
      </c>
      <c r="CD5" s="28"/>
      <c r="CE5" s="29">
        <v>0</v>
      </c>
      <c r="CF5" s="30">
        <f t="shared" si="49"/>
        <v>110</v>
      </c>
      <c r="CG5" s="28">
        <f>PRODUCTION!CH5+'SUPLIER INWARD'!CH5</f>
        <v>0</v>
      </c>
      <c r="CH5" s="28"/>
      <c r="CI5" s="29">
        <v>0</v>
      </c>
      <c r="CJ5" s="30">
        <f t="shared" si="50"/>
        <v>110</v>
      </c>
      <c r="CK5" s="28">
        <f>PRODUCTION!CL5+'SUPLIER INWARD'!CL5</f>
        <v>0</v>
      </c>
      <c r="CL5" s="151"/>
      <c r="CM5" s="152">
        <v>0</v>
      </c>
      <c r="CN5" s="30">
        <f t="shared" si="51"/>
        <v>110</v>
      </c>
      <c r="CO5" s="28">
        <f>PRODUCTION!CP5+'SUPLIER INWARD'!CP5</f>
        <v>0</v>
      </c>
      <c r="CP5" s="151"/>
      <c r="CQ5" s="29">
        <v>0</v>
      </c>
      <c r="CR5" s="30">
        <f t="shared" si="52"/>
        <v>110</v>
      </c>
      <c r="CS5" s="28">
        <f>PRODUCTION!CT5+'SUPLIER INWARD'!CT5</f>
        <v>0</v>
      </c>
      <c r="CT5" s="28"/>
      <c r="CU5" s="29">
        <v>0</v>
      </c>
      <c r="CV5" s="30">
        <f t="shared" si="53"/>
        <v>110</v>
      </c>
      <c r="CW5" s="28">
        <f>PRODUCTION!CX5+'SUPLIER INWARD'!CX5</f>
        <v>0</v>
      </c>
      <c r="CX5" s="28"/>
      <c r="CY5" s="29">
        <v>0</v>
      </c>
      <c r="CZ5" s="30">
        <f t="shared" si="54"/>
        <v>110</v>
      </c>
      <c r="DA5" s="28">
        <f>PRODUCTION!DB5+'SUPLIER INWARD'!DB5</f>
        <v>0</v>
      </c>
      <c r="DB5" s="28"/>
      <c r="DC5" s="29"/>
      <c r="DD5" s="30">
        <f t="shared" si="55"/>
        <v>110</v>
      </c>
      <c r="DE5" s="28">
        <f>PRODUCTION!DF5+'SUPLIER INWARD'!DF5</f>
        <v>0</v>
      </c>
      <c r="DF5" s="28"/>
      <c r="DG5" s="29">
        <v>0</v>
      </c>
      <c r="DH5" s="30">
        <f t="shared" si="56"/>
        <v>110</v>
      </c>
      <c r="DI5" s="28">
        <f>PRODUCTION!DJ5+'SUPLIER INWARD'!DJ5</f>
        <v>0</v>
      </c>
      <c r="DJ5" s="28"/>
      <c r="DK5" s="29">
        <v>0</v>
      </c>
      <c r="DL5" s="30">
        <f t="shared" si="57"/>
        <v>110</v>
      </c>
      <c r="DM5" s="28">
        <f>PRODUCTION!DN5+'SUPLIER INWARD'!DN5</f>
        <v>0</v>
      </c>
      <c r="DN5" s="28"/>
      <c r="DO5" s="29"/>
      <c r="DP5" s="30">
        <f t="shared" si="58"/>
        <v>110</v>
      </c>
      <c r="DQ5" s="28">
        <f>PRODUCTION!DR5+'SUPLIER INWARD'!DR5</f>
        <v>0</v>
      </c>
      <c r="DR5" s="28"/>
      <c r="DS5" s="29"/>
      <c r="DT5" s="30">
        <f t="shared" si="59"/>
        <v>110</v>
      </c>
      <c r="DU5" s="28">
        <f>PRODUCTION!DV5+'SUPLIER INWARD'!DV5</f>
        <v>0</v>
      </c>
      <c r="DV5" s="28"/>
      <c r="DW5" s="29"/>
      <c r="DX5" s="30">
        <f t="shared" si="60"/>
        <v>110</v>
      </c>
      <c r="DY5" s="31">
        <f t="shared" si="61"/>
        <v>0</v>
      </c>
      <c r="DZ5" s="31">
        <f t="shared" si="62"/>
        <v>0</v>
      </c>
      <c r="EA5" s="4">
        <f t="shared" si="63"/>
        <v>0</v>
      </c>
      <c r="EB5" s="9">
        <f>D5*'MASTER SHEET'!D5</f>
        <v>4420.8999999999996</v>
      </c>
      <c r="EC5" s="9">
        <f>H5*'MASTER SHEET'!D5</f>
        <v>4420.8999999999996</v>
      </c>
      <c r="ED5" s="9">
        <f>L5*'MASTER SHEET'!D5</f>
        <v>4420.8999999999996</v>
      </c>
      <c r="EE5" s="9">
        <f>P5*'MASTER SHEET'!D5</f>
        <v>4420.8999999999996</v>
      </c>
      <c r="EF5" s="9">
        <f>T5*'MASTER SHEET'!D5</f>
        <v>4420.8999999999996</v>
      </c>
      <c r="EG5" s="9">
        <f>X5*'MASTER SHEET'!D5</f>
        <v>4420.8999999999996</v>
      </c>
      <c r="EH5" s="9">
        <f>AB5*'MASTER SHEET'!D5</f>
        <v>4420.8999999999996</v>
      </c>
      <c r="EI5" s="9">
        <f>AF5*'MASTER SHEET'!D5</f>
        <v>4420.8999999999996</v>
      </c>
      <c r="EJ5" s="9">
        <f>AJ5*'MASTER SHEET'!D5</f>
        <v>4420.8999999999996</v>
      </c>
      <c r="EK5" s="9">
        <f>AN5*'MASTER SHEET'!D5</f>
        <v>4420.8999999999996</v>
      </c>
      <c r="EL5" s="9">
        <f>AR5*'MASTER SHEET'!D5</f>
        <v>4420.8999999999996</v>
      </c>
      <c r="EM5" s="9">
        <f>AV5*'MASTER SHEET'!D5</f>
        <v>4420.8999999999996</v>
      </c>
      <c r="EN5" s="9">
        <f>AZ5*'MASTER SHEET'!D5</f>
        <v>4420.8999999999996</v>
      </c>
      <c r="EO5" s="9">
        <f>BD5*'MASTER SHEET'!D5</f>
        <v>4420.8999999999996</v>
      </c>
      <c r="EP5" s="9">
        <f>$BH5*'MASTER SHEET'!$D5</f>
        <v>4420.8999999999996</v>
      </c>
      <c r="EQ5" s="9">
        <f>BL5*'MASTER SHEET'!D5</f>
        <v>4420.8999999999996</v>
      </c>
      <c r="ER5" s="9">
        <f>BP5*'MASTER SHEET'!D5</f>
        <v>4420.8999999999996</v>
      </c>
      <c r="ES5" s="9">
        <f>BT5*'MASTER SHEET'!D5</f>
        <v>4420.8999999999996</v>
      </c>
      <c r="ET5" s="9">
        <f>BX5*'MASTER SHEET'!D5</f>
        <v>4420.8999999999996</v>
      </c>
      <c r="EU5" s="9">
        <f>CB5*'MASTER SHEET'!D5</f>
        <v>4420.8999999999996</v>
      </c>
      <c r="EV5" s="9">
        <f>CF5*'MASTER SHEET'!D5</f>
        <v>4420.8999999999996</v>
      </c>
      <c r="EW5" s="9">
        <f>CJ5*'MASTER SHEET'!D5</f>
        <v>4420.8999999999996</v>
      </c>
      <c r="EX5" s="9">
        <f>CN5*'MASTER SHEET'!D5</f>
        <v>4420.8999999999996</v>
      </c>
      <c r="EY5" s="9">
        <f>CR5*'MASTER SHEET'!D5</f>
        <v>4420.8999999999996</v>
      </c>
      <c r="EZ5" s="9">
        <f>$CV5*'MASTER SHEET'!D5</f>
        <v>4420.8999999999996</v>
      </c>
      <c r="FA5" s="9">
        <f>CZ5*'MASTER SHEET'!D5</f>
        <v>4420.8999999999996</v>
      </c>
      <c r="FB5" s="9">
        <f>DD5*'MASTER SHEET'!D5</f>
        <v>4420.8999999999996</v>
      </c>
      <c r="FC5" s="9">
        <f>DH5*'MASTER SHEET'!D5</f>
        <v>4420.8999999999996</v>
      </c>
      <c r="FD5" s="9">
        <f>DL5*'MASTER SHEET'!D5</f>
        <v>4420.8999999999996</v>
      </c>
      <c r="FE5" s="9">
        <f>DP5*'MASTER SHEET'!D5</f>
        <v>4420.8999999999996</v>
      </c>
      <c r="FF5" s="9">
        <f>DT5*'MASTER SHEET'!D5</f>
        <v>4420.8999999999996</v>
      </c>
      <c r="FG5" s="9">
        <f>+DX5*'MASTER SHEET'!D5</f>
        <v>4420.8999999999996</v>
      </c>
    </row>
    <row r="6" spans="1:163" ht="20.25" customHeight="1" x14ac:dyDescent="0.25">
      <c r="A6" s="25">
        <f>'MASTER SHEET'!A6</f>
        <v>4</v>
      </c>
      <c r="B6" s="26" t="str">
        <f>'MASTER SHEET'!B6</f>
        <v>CDR CAP</v>
      </c>
      <c r="C6" s="78">
        <f>'MASTER SHEET'!C6</f>
        <v>5009583</v>
      </c>
      <c r="D6" s="159">
        <v>3222</v>
      </c>
      <c r="E6" s="28">
        <f>PRODUCTION!F6+'SUPLIER INWARD'!F6</f>
        <v>0</v>
      </c>
      <c r="F6" s="28"/>
      <c r="G6" s="29">
        <v>0</v>
      </c>
      <c r="H6" s="30">
        <f t="shared" si="30"/>
        <v>3222</v>
      </c>
      <c r="I6" s="28">
        <f>PRODUCTION!J6+'SUPLIER INWARD'!J6</f>
        <v>0</v>
      </c>
      <c r="J6" s="28">
        <v>400</v>
      </c>
      <c r="K6" s="29">
        <v>0</v>
      </c>
      <c r="L6" s="30">
        <f t="shared" si="31"/>
        <v>2822</v>
      </c>
      <c r="M6" s="28">
        <f>PRODUCTION!N6+'SUPLIER INWARD'!N6</f>
        <v>0</v>
      </c>
      <c r="N6" s="28"/>
      <c r="O6" s="29"/>
      <c r="P6" s="30">
        <f t="shared" si="32"/>
        <v>2822</v>
      </c>
      <c r="Q6" s="28">
        <f>PRODUCTION!R6+'SUPLIER INWARD'!R6</f>
        <v>0</v>
      </c>
      <c r="R6" s="28">
        <v>350</v>
      </c>
      <c r="S6" s="29">
        <v>0</v>
      </c>
      <c r="T6" s="30">
        <f t="shared" si="33"/>
        <v>2472</v>
      </c>
      <c r="U6" s="28">
        <f>PRODUCTION!V6+'SUPLIER INWARD'!V6</f>
        <v>0</v>
      </c>
      <c r="V6" s="28"/>
      <c r="W6" s="29">
        <v>0</v>
      </c>
      <c r="X6" s="30">
        <f t="shared" si="34"/>
        <v>2472</v>
      </c>
      <c r="Y6" s="28">
        <f>PRODUCTION!Z6+'SUPLIER INWARD'!Z6</f>
        <v>0</v>
      </c>
      <c r="Z6" s="28"/>
      <c r="AA6" s="29">
        <v>0</v>
      </c>
      <c r="AB6" s="30">
        <f t="shared" si="35"/>
        <v>2472</v>
      </c>
      <c r="AC6" s="28">
        <f>PRODUCTION!AD6+'SUPLIER INWARD'!AD6</f>
        <v>0</v>
      </c>
      <c r="AD6" s="151"/>
      <c r="AE6" s="29">
        <v>0</v>
      </c>
      <c r="AF6" s="30">
        <f t="shared" si="36"/>
        <v>2472</v>
      </c>
      <c r="AG6" s="28">
        <f>PRODUCTION!AH6+'SUPLIER INWARD'!AH6</f>
        <v>0</v>
      </c>
      <c r="AH6" s="28">
        <v>850</v>
      </c>
      <c r="AI6" s="29">
        <v>2</v>
      </c>
      <c r="AJ6" s="30">
        <f t="shared" si="37"/>
        <v>1620</v>
      </c>
      <c r="AK6" s="28">
        <f>PRODUCTION!AL6+'SUPLIER INWARD'!AL6</f>
        <v>0</v>
      </c>
      <c r="AL6" s="28"/>
      <c r="AM6" s="29">
        <v>0</v>
      </c>
      <c r="AN6" s="30">
        <f t="shared" si="38"/>
        <v>1620</v>
      </c>
      <c r="AO6" s="28">
        <f>PRODUCTION!AP6+'SUPLIER INWARD'!AP6</f>
        <v>0</v>
      </c>
      <c r="AP6" s="28">
        <v>150</v>
      </c>
      <c r="AQ6" s="29">
        <v>0</v>
      </c>
      <c r="AR6" s="30">
        <f t="shared" si="39"/>
        <v>1470</v>
      </c>
      <c r="AS6" s="28">
        <f>PRODUCTION!AT6+'SUPLIER INWARD'!AT6</f>
        <v>0</v>
      </c>
      <c r="AT6" s="28"/>
      <c r="AU6" s="29">
        <v>0</v>
      </c>
      <c r="AV6" s="30">
        <f t="shared" si="40"/>
        <v>1470</v>
      </c>
      <c r="AW6" s="28">
        <f>PRODUCTION!AX6+'SUPLIER INWARD'!AX6</f>
        <v>0</v>
      </c>
      <c r="AX6" s="28"/>
      <c r="AY6" s="29"/>
      <c r="AZ6" s="30">
        <f t="shared" si="41"/>
        <v>1470</v>
      </c>
      <c r="BA6" s="28">
        <f>PRODUCTION!BB6+'SUPLIER INWARD'!BB6</f>
        <v>0</v>
      </c>
      <c r="BB6" s="28">
        <v>800</v>
      </c>
      <c r="BC6" s="29">
        <v>0</v>
      </c>
      <c r="BD6" s="30">
        <f t="shared" si="42"/>
        <v>670</v>
      </c>
      <c r="BE6" s="28">
        <f>PRODUCTION!BF6+'SUPLIER INWARD'!BF6</f>
        <v>0</v>
      </c>
      <c r="BF6" s="28"/>
      <c r="BG6" s="29">
        <v>0</v>
      </c>
      <c r="BH6" s="30">
        <f t="shared" si="43"/>
        <v>670</v>
      </c>
      <c r="BI6" s="28">
        <f>PRODUCTION!BJ6+'SUPLIER INWARD'!BJ6</f>
        <v>0</v>
      </c>
      <c r="BJ6" s="28"/>
      <c r="BK6" s="29">
        <v>0</v>
      </c>
      <c r="BL6" s="30">
        <f t="shared" si="44"/>
        <v>670</v>
      </c>
      <c r="BM6" s="28">
        <f>PRODUCTION!BN6+'SUPLIER INWARD'!BN6</f>
        <v>0</v>
      </c>
      <c r="BN6" s="28"/>
      <c r="BO6" s="29">
        <v>0</v>
      </c>
      <c r="BP6" s="30">
        <f t="shared" si="45"/>
        <v>670</v>
      </c>
      <c r="BQ6" s="28">
        <f>PRODUCTION!BR6+'SUPLIER INWARD'!BR6</f>
        <v>0</v>
      </c>
      <c r="BR6" s="28"/>
      <c r="BS6" s="29">
        <v>0</v>
      </c>
      <c r="BT6" s="30">
        <f t="shared" si="46"/>
        <v>670</v>
      </c>
      <c r="BU6" s="28">
        <f>PRODUCTION!BV6+'SUPLIER INWARD'!BV6</f>
        <v>0</v>
      </c>
      <c r="BV6" s="28">
        <v>200</v>
      </c>
      <c r="BW6" s="29">
        <v>0</v>
      </c>
      <c r="BX6" s="30">
        <f t="shared" si="47"/>
        <v>470</v>
      </c>
      <c r="BY6" s="28">
        <f>PRODUCTION!BZ6+'SUPLIER INWARD'!BZ6</f>
        <v>0</v>
      </c>
      <c r="BZ6" s="28"/>
      <c r="CA6" s="29">
        <v>0</v>
      </c>
      <c r="CB6" s="30">
        <f t="shared" si="48"/>
        <v>470</v>
      </c>
      <c r="CC6" s="28">
        <f>PRODUCTION!CD6+'SUPLIER INWARD'!CD6</f>
        <v>0</v>
      </c>
      <c r="CD6" s="28"/>
      <c r="CE6" s="29">
        <v>0</v>
      </c>
      <c r="CF6" s="30">
        <f t="shared" si="49"/>
        <v>470</v>
      </c>
      <c r="CG6" s="28">
        <f>PRODUCTION!CH6+'SUPLIER INWARD'!CH6</f>
        <v>0</v>
      </c>
      <c r="CH6" s="28"/>
      <c r="CI6" s="29">
        <v>0</v>
      </c>
      <c r="CJ6" s="30">
        <f t="shared" si="50"/>
        <v>470</v>
      </c>
      <c r="CK6" s="28">
        <f>PRODUCTION!CL6+'SUPLIER INWARD'!CL6</f>
        <v>0</v>
      </c>
      <c r="CL6" s="151">
        <v>300</v>
      </c>
      <c r="CM6" s="152">
        <v>1</v>
      </c>
      <c r="CN6" s="30">
        <f t="shared" si="51"/>
        <v>169</v>
      </c>
      <c r="CO6" s="28">
        <f>PRODUCTION!CP6+'SUPLIER INWARD'!CP6</f>
        <v>2750</v>
      </c>
      <c r="CP6" s="151">
        <v>250</v>
      </c>
      <c r="CQ6" s="29">
        <v>5</v>
      </c>
      <c r="CR6" s="30">
        <f t="shared" si="52"/>
        <v>2664</v>
      </c>
      <c r="CS6" s="28">
        <f>PRODUCTION!CT6+'SUPLIER INWARD'!CT6</f>
        <v>3499</v>
      </c>
      <c r="CT6" s="28">
        <v>1500</v>
      </c>
      <c r="CU6" s="29">
        <v>0</v>
      </c>
      <c r="CV6" s="30">
        <f t="shared" si="53"/>
        <v>4663</v>
      </c>
      <c r="CW6" s="28">
        <f>PRODUCTION!CX6+'SUPLIER INWARD'!CX6</f>
        <v>0</v>
      </c>
      <c r="CX6" s="28"/>
      <c r="CY6" s="29">
        <v>0</v>
      </c>
      <c r="CZ6" s="30">
        <f t="shared" si="54"/>
        <v>4663</v>
      </c>
      <c r="DA6" s="28">
        <f>PRODUCTION!DB6+'SUPLIER INWARD'!DB6</f>
        <v>0</v>
      </c>
      <c r="DB6" s="28"/>
      <c r="DC6" s="29"/>
      <c r="DD6" s="30">
        <f t="shared" si="55"/>
        <v>4663</v>
      </c>
      <c r="DE6" s="28">
        <f>PRODUCTION!DF6+'SUPLIER INWARD'!DF6</f>
        <v>0</v>
      </c>
      <c r="DF6" s="28">
        <v>1050</v>
      </c>
      <c r="DG6" s="29">
        <v>0</v>
      </c>
      <c r="DH6" s="30">
        <f t="shared" si="56"/>
        <v>3613</v>
      </c>
      <c r="DI6" s="28">
        <f>PRODUCTION!DJ6+'SUPLIER INWARD'!DJ6</f>
        <v>0</v>
      </c>
      <c r="DJ6" s="28"/>
      <c r="DK6" s="29">
        <v>0</v>
      </c>
      <c r="DL6" s="30">
        <f t="shared" si="57"/>
        <v>3613</v>
      </c>
      <c r="DM6" s="28">
        <f>PRODUCTION!DN6+'SUPLIER INWARD'!DN6</f>
        <v>0</v>
      </c>
      <c r="DN6" s="28">
        <v>400</v>
      </c>
      <c r="DO6" s="29"/>
      <c r="DP6" s="30">
        <f t="shared" si="58"/>
        <v>3213</v>
      </c>
      <c r="DQ6" s="28">
        <f>PRODUCTION!DR6+'SUPLIER INWARD'!DR6</f>
        <v>0</v>
      </c>
      <c r="DR6" s="28"/>
      <c r="DS6" s="29"/>
      <c r="DT6" s="30">
        <f t="shared" si="59"/>
        <v>3213</v>
      </c>
      <c r="DU6" s="28">
        <f>PRODUCTION!DV6+'SUPLIER INWARD'!DV6</f>
        <v>0</v>
      </c>
      <c r="DV6" s="28"/>
      <c r="DW6" s="29"/>
      <c r="DX6" s="30">
        <f t="shared" si="60"/>
        <v>3213</v>
      </c>
      <c r="DY6" s="31">
        <f t="shared" si="61"/>
        <v>6249</v>
      </c>
      <c r="DZ6" s="31">
        <f t="shared" si="62"/>
        <v>6250</v>
      </c>
      <c r="EA6" s="4">
        <f t="shared" si="63"/>
        <v>8</v>
      </c>
      <c r="EB6" s="9">
        <f>D6*'MASTER SHEET'!D6</f>
        <v>24777.18</v>
      </c>
      <c r="EC6" s="9">
        <f>H6*'MASTER SHEET'!D6</f>
        <v>24777.18</v>
      </c>
      <c r="ED6" s="9">
        <f>L6*'MASTER SHEET'!D6</f>
        <v>21701.18</v>
      </c>
      <c r="EE6" s="9">
        <f>P6*'MASTER SHEET'!D6</f>
        <v>21701.18</v>
      </c>
      <c r="EF6" s="9">
        <f>T6*'MASTER SHEET'!D6</f>
        <v>19009.68</v>
      </c>
      <c r="EG6" s="9">
        <f>X6*'MASTER SHEET'!D6</f>
        <v>19009.68</v>
      </c>
      <c r="EH6" s="9">
        <f>AB6*'MASTER SHEET'!D6</f>
        <v>19009.68</v>
      </c>
      <c r="EI6" s="9">
        <f>AF6*'MASTER SHEET'!D6</f>
        <v>19009.68</v>
      </c>
      <c r="EJ6" s="9">
        <f>AJ6*'MASTER SHEET'!D6</f>
        <v>12457.800000000001</v>
      </c>
      <c r="EK6" s="9">
        <f>AN6*'MASTER SHEET'!D6</f>
        <v>12457.800000000001</v>
      </c>
      <c r="EL6" s="9">
        <f>AR6*'MASTER SHEET'!D6</f>
        <v>11304.300000000001</v>
      </c>
      <c r="EM6" s="9">
        <f>AV6*'MASTER SHEET'!D6</f>
        <v>11304.300000000001</v>
      </c>
      <c r="EN6" s="9">
        <f>AZ6*'MASTER SHEET'!D6</f>
        <v>11304.300000000001</v>
      </c>
      <c r="EO6" s="9">
        <f>BD6*'MASTER SHEET'!D6</f>
        <v>5152.3</v>
      </c>
      <c r="EP6" s="9">
        <f>$BH6*'MASTER SHEET'!$D6</f>
        <v>5152.3</v>
      </c>
      <c r="EQ6" s="9">
        <f>BL6*'MASTER SHEET'!D6</f>
        <v>5152.3</v>
      </c>
      <c r="ER6" s="9">
        <f>BP6*'MASTER SHEET'!D6</f>
        <v>5152.3</v>
      </c>
      <c r="ES6" s="9">
        <f>BT6*'MASTER SHEET'!D6</f>
        <v>5152.3</v>
      </c>
      <c r="ET6" s="9">
        <f>BX6*'MASTER SHEET'!D6</f>
        <v>3614.3</v>
      </c>
      <c r="EU6" s="9">
        <f>CB6*'MASTER SHEET'!D6</f>
        <v>3614.3</v>
      </c>
      <c r="EV6" s="9">
        <f>CF6*'MASTER SHEET'!D6</f>
        <v>3614.3</v>
      </c>
      <c r="EW6" s="9">
        <f>CJ6*'MASTER SHEET'!D6</f>
        <v>3614.3</v>
      </c>
      <c r="EX6" s="9">
        <f>CN6*'MASTER SHEET'!D6</f>
        <v>1299.6100000000001</v>
      </c>
      <c r="EY6" s="9">
        <f>CR6*'MASTER SHEET'!D6</f>
        <v>20486.16</v>
      </c>
      <c r="EZ6" s="9">
        <f>$CV6*'MASTER SHEET'!D6</f>
        <v>35858.47</v>
      </c>
      <c r="FA6" s="9">
        <f>CZ6*'MASTER SHEET'!D6</f>
        <v>35858.47</v>
      </c>
      <c r="FB6" s="9">
        <f>DD6*'MASTER SHEET'!D6</f>
        <v>35858.47</v>
      </c>
      <c r="FC6" s="9">
        <f>DH6*'MASTER SHEET'!D6</f>
        <v>27783.97</v>
      </c>
      <c r="FD6" s="9">
        <f>DL6*'MASTER SHEET'!D6</f>
        <v>27783.97</v>
      </c>
      <c r="FE6" s="9">
        <f>DP6*'MASTER SHEET'!D6</f>
        <v>24707.97</v>
      </c>
      <c r="FF6" s="9">
        <f>DT6*'MASTER SHEET'!D6</f>
        <v>24707.97</v>
      </c>
      <c r="FG6" s="9">
        <f>+DX6*'MASTER SHEET'!D6</f>
        <v>24707.97</v>
      </c>
    </row>
    <row r="7" spans="1:163" ht="20.25" customHeight="1" x14ac:dyDescent="0.25">
      <c r="A7" s="25">
        <f>'MASTER SHEET'!A7</f>
        <v>5</v>
      </c>
      <c r="B7" s="26" t="str">
        <f>'MASTER SHEET'!B7</f>
        <v>ENDPLATE</v>
      </c>
      <c r="C7" s="78">
        <f>'MASTER SHEET'!C7</f>
        <v>5011413</v>
      </c>
      <c r="D7" s="159">
        <f>600+120</f>
        <v>720</v>
      </c>
      <c r="E7" s="28">
        <f>PRODUCTION!F7+'SUPLIER INWARD'!F7</f>
        <v>1100</v>
      </c>
      <c r="F7" s="28">
        <v>600</v>
      </c>
      <c r="G7" s="29">
        <v>1</v>
      </c>
      <c r="H7" s="30">
        <f t="shared" si="30"/>
        <v>1219</v>
      </c>
      <c r="I7" s="28">
        <f>PRODUCTION!J7+'SUPLIER INWARD'!J7</f>
        <v>1100</v>
      </c>
      <c r="J7" s="28">
        <v>1000</v>
      </c>
      <c r="K7" s="29">
        <v>0</v>
      </c>
      <c r="L7" s="30">
        <f t="shared" si="31"/>
        <v>1319</v>
      </c>
      <c r="M7" s="28">
        <f>PRODUCTION!N7+'SUPLIER INWARD'!N7</f>
        <v>0</v>
      </c>
      <c r="N7" s="28"/>
      <c r="O7" s="29"/>
      <c r="P7" s="30">
        <f t="shared" si="32"/>
        <v>1319</v>
      </c>
      <c r="Q7" s="28">
        <f>PRODUCTION!R7+'SUPLIER INWARD'!R7</f>
        <v>2000</v>
      </c>
      <c r="R7" s="28">
        <v>2000</v>
      </c>
      <c r="S7" s="29">
        <v>1</v>
      </c>
      <c r="T7" s="30">
        <f t="shared" si="33"/>
        <v>1318</v>
      </c>
      <c r="U7" s="28">
        <f>PRODUCTION!V7+'SUPLIER INWARD'!V7</f>
        <v>0</v>
      </c>
      <c r="V7" s="28">
        <v>800</v>
      </c>
      <c r="W7" s="29">
        <v>0</v>
      </c>
      <c r="X7" s="30">
        <f t="shared" si="34"/>
        <v>518</v>
      </c>
      <c r="Y7" s="28">
        <f>PRODUCTION!Z7+'SUPLIER INWARD'!Z7</f>
        <v>1000</v>
      </c>
      <c r="Z7" s="28"/>
      <c r="AA7" s="29">
        <v>0</v>
      </c>
      <c r="AB7" s="30">
        <f t="shared" si="35"/>
        <v>1518</v>
      </c>
      <c r="AC7" s="28">
        <f>PRODUCTION!AD7+'SUPLIER INWARD'!AD7</f>
        <v>1000</v>
      </c>
      <c r="AD7" s="151">
        <v>100</v>
      </c>
      <c r="AE7" s="29">
        <v>0</v>
      </c>
      <c r="AF7" s="30">
        <f t="shared" si="36"/>
        <v>2418</v>
      </c>
      <c r="AG7" s="28">
        <f>PRODUCTION!AH7+'SUPLIER INWARD'!AH7</f>
        <v>1000</v>
      </c>
      <c r="AH7" s="28"/>
      <c r="AI7" s="29">
        <v>0</v>
      </c>
      <c r="AJ7" s="30">
        <f t="shared" si="37"/>
        <v>3418</v>
      </c>
      <c r="AK7" s="28">
        <f>PRODUCTION!AL7+'SUPLIER INWARD'!AL7</f>
        <v>1000</v>
      </c>
      <c r="AL7" s="28"/>
      <c r="AM7" s="29">
        <v>0</v>
      </c>
      <c r="AN7" s="30">
        <f t="shared" si="38"/>
        <v>4418</v>
      </c>
      <c r="AO7" s="28">
        <f>PRODUCTION!AP7+'SUPLIER INWARD'!AP7</f>
        <v>800</v>
      </c>
      <c r="AP7" s="28"/>
      <c r="AQ7" s="29">
        <v>0</v>
      </c>
      <c r="AR7" s="30">
        <f t="shared" si="39"/>
        <v>5218</v>
      </c>
      <c r="AS7" s="28">
        <f>PRODUCTION!AT7+'SUPLIER INWARD'!AT7</f>
        <v>1000</v>
      </c>
      <c r="AT7" s="28"/>
      <c r="AU7" s="29">
        <v>0</v>
      </c>
      <c r="AV7" s="30">
        <f t="shared" si="40"/>
        <v>6218</v>
      </c>
      <c r="AW7" s="28">
        <f>PRODUCTION!AX7+'SUPLIER INWARD'!AX7</f>
        <v>0</v>
      </c>
      <c r="AX7" s="28"/>
      <c r="AY7" s="29"/>
      <c r="AZ7" s="30">
        <f t="shared" si="41"/>
        <v>6218</v>
      </c>
      <c r="BA7" s="28">
        <f>PRODUCTION!BB7+'SUPLIER INWARD'!BB7</f>
        <v>1000</v>
      </c>
      <c r="BB7" s="28"/>
      <c r="BC7" s="29">
        <v>0</v>
      </c>
      <c r="BD7" s="30">
        <f t="shared" si="42"/>
        <v>7218</v>
      </c>
      <c r="BE7" s="28">
        <f>PRODUCTION!BF7+'SUPLIER INWARD'!BF7</f>
        <v>1000</v>
      </c>
      <c r="BF7" s="28">
        <v>100</v>
      </c>
      <c r="BG7" s="29">
        <v>0</v>
      </c>
      <c r="BH7" s="30">
        <f t="shared" si="43"/>
        <v>8118</v>
      </c>
      <c r="BI7" s="28">
        <f>PRODUCTION!BJ7+'SUPLIER INWARD'!BJ7</f>
        <v>1000</v>
      </c>
      <c r="BJ7" s="28">
        <v>800</v>
      </c>
      <c r="BK7" s="29">
        <v>1</v>
      </c>
      <c r="BL7" s="30">
        <f t="shared" si="44"/>
        <v>8317</v>
      </c>
      <c r="BM7" s="28">
        <f>PRODUCTION!BN7+'SUPLIER INWARD'!BN7</f>
        <v>0</v>
      </c>
      <c r="BN7" s="28"/>
      <c r="BO7" s="29">
        <v>0</v>
      </c>
      <c r="BP7" s="30">
        <f t="shared" si="45"/>
        <v>8317</v>
      </c>
      <c r="BQ7" s="28">
        <f>PRODUCTION!BR7+'SUPLIER INWARD'!BR7</f>
        <v>0</v>
      </c>
      <c r="BR7" s="28">
        <v>400</v>
      </c>
      <c r="BS7" s="29">
        <v>0</v>
      </c>
      <c r="BT7" s="30">
        <f t="shared" si="46"/>
        <v>7917</v>
      </c>
      <c r="BU7" s="28">
        <f>PRODUCTION!BV7+'SUPLIER INWARD'!BV7</f>
        <v>0</v>
      </c>
      <c r="BV7" s="28"/>
      <c r="BW7" s="29">
        <v>0</v>
      </c>
      <c r="BX7" s="30">
        <f t="shared" si="47"/>
        <v>7917</v>
      </c>
      <c r="BY7" s="28">
        <f>PRODUCTION!BZ7+'SUPLIER INWARD'!BZ7</f>
        <v>0</v>
      </c>
      <c r="BZ7" s="28"/>
      <c r="CA7" s="29">
        <v>0</v>
      </c>
      <c r="CB7" s="30">
        <f t="shared" si="48"/>
        <v>7917</v>
      </c>
      <c r="CC7" s="28">
        <f>PRODUCTION!CD7+'SUPLIER INWARD'!CD7</f>
        <v>0</v>
      </c>
      <c r="CD7" s="28"/>
      <c r="CE7" s="29">
        <v>0</v>
      </c>
      <c r="CF7" s="30">
        <f t="shared" si="49"/>
        <v>7917</v>
      </c>
      <c r="CG7" s="28">
        <f>PRODUCTION!CH7+'SUPLIER INWARD'!CH7</f>
        <v>0</v>
      </c>
      <c r="CH7" s="28">
        <v>1400</v>
      </c>
      <c r="CI7" s="29">
        <v>3</v>
      </c>
      <c r="CJ7" s="30">
        <f t="shared" si="50"/>
        <v>6514</v>
      </c>
      <c r="CK7" s="28">
        <f>PRODUCTION!CL7+'SUPLIER INWARD'!CL7</f>
        <v>0</v>
      </c>
      <c r="CL7" s="151">
        <v>600</v>
      </c>
      <c r="CM7" s="152">
        <v>0</v>
      </c>
      <c r="CN7" s="30">
        <f t="shared" si="51"/>
        <v>5914</v>
      </c>
      <c r="CO7" s="28">
        <f>PRODUCTION!CP7+'SUPLIER INWARD'!CP7</f>
        <v>0</v>
      </c>
      <c r="CP7" s="151">
        <v>600</v>
      </c>
      <c r="CQ7" s="29">
        <v>0</v>
      </c>
      <c r="CR7" s="30">
        <f t="shared" si="52"/>
        <v>5314</v>
      </c>
      <c r="CS7" s="28">
        <f>PRODUCTION!CT7+'SUPLIER INWARD'!CT7</f>
        <v>0</v>
      </c>
      <c r="CT7" s="28">
        <v>1200</v>
      </c>
      <c r="CU7" s="29">
        <v>0</v>
      </c>
      <c r="CV7" s="30">
        <f t="shared" si="53"/>
        <v>4114</v>
      </c>
      <c r="CW7" s="28">
        <f>PRODUCTION!CX7+'SUPLIER INWARD'!CX7</f>
        <v>0</v>
      </c>
      <c r="CX7" s="28">
        <v>1100</v>
      </c>
      <c r="CY7" s="29">
        <v>0</v>
      </c>
      <c r="CZ7" s="30">
        <f t="shared" si="54"/>
        <v>3014</v>
      </c>
      <c r="DA7" s="28">
        <f>PRODUCTION!DB7+'SUPLIER INWARD'!DB7</f>
        <v>0</v>
      </c>
      <c r="DB7" s="28">
        <v>400</v>
      </c>
      <c r="DC7" s="29"/>
      <c r="DD7" s="30">
        <f t="shared" si="55"/>
        <v>2614</v>
      </c>
      <c r="DE7" s="28">
        <f>PRODUCTION!DF7+'SUPLIER INWARD'!DF7</f>
        <v>0</v>
      </c>
      <c r="DF7" s="28">
        <v>2000</v>
      </c>
      <c r="DG7" s="29">
        <v>3</v>
      </c>
      <c r="DH7" s="30">
        <f t="shared" si="56"/>
        <v>611</v>
      </c>
      <c r="DI7" s="28">
        <f>PRODUCTION!DJ7+'SUPLIER INWARD'!DJ7</f>
        <v>0</v>
      </c>
      <c r="DJ7" s="28">
        <v>600</v>
      </c>
      <c r="DK7" s="29">
        <v>0</v>
      </c>
      <c r="DL7" s="30">
        <f t="shared" si="57"/>
        <v>11</v>
      </c>
      <c r="DM7" s="28">
        <f>PRODUCTION!DN7+'SUPLIER INWARD'!DN7</f>
        <v>0</v>
      </c>
      <c r="DN7" s="28"/>
      <c r="DO7" s="29"/>
      <c r="DP7" s="30">
        <f t="shared" si="58"/>
        <v>11</v>
      </c>
      <c r="DQ7" s="28">
        <f>PRODUCTION!DR7+'SUPLIER INWARD'!DR7</f>
        <v>0</v>
      </c>
      <c r="DR7" s="28"/>
      <c r="DS7" s="29"/>
      <c r="DT7" s="30">
        <f t="shared" si="59"/>
        <v>11</v>
      </c>
      <c r="DU7" s="28">
        <f>PRODUCTION!DV7+'SUPLIER INWARD'!DV7</f>
        <v>0</v>
      </c>
      <c r="DV7" s="28"/>
      <c r="DW7" s="29"/>
      <c r="DX7" s="30">
        <f t="shared" si="60"/>
        <v>11</v>
      </c>
      <c r="DY7" s="31">
        <f t="shared" si="61"/>
        <v>13000</v>
      </c>
      <c r="DZ7" s="31">
        <f t="shared" si="62"/>
        <v>13700</v>
      </c>
      <c r="EA7" s="4">
        <f t="shared" si="63"/>
        <v>9</v>
      </c>
      <c r="EB7" s="9">
        <f>D7*'MASTER SHEET'!D7</f>
        <v>18741.600000000002</v>
      </c>
      <c r="EC7" s="9">
        <f>H7*'MASTER SHEET'!D7</f>
        <v>31730.57</v>
      </c>
      <c r="ED7" s="9">
        <f>L7*'MASTER SHEET'!D7</f>
        <v>34333.57</v>
      </c>
      <c r="EE7" s="9">
        <f>P7*'MASTER SHEET'!D7</f>
        <v>34333.57</v>
      </c>
      <c r="EF7" s="9">
        <f>T7*'MASTER SHEET'!D7</f>
        <v>34307.54</v>
      </c>
      <c r="EG7" s="9">
        <f>X7*'MASTER SHEET'!D7</f>
        <v>13483.54</v>
      </c>
      <c r="EH7" s="9">
        <f>AB7*'MASTER SHEET'!D7</f>
        <v>39513.54</v>
      </c>
      <c r="EI7" s="9">
        <f>AF7*'MASTER SHEET'!D7</f>
        <v>62940.54</v>
      </c>
      <c r="EJ7" s="9">
        <f>AJ7*'MASTER SHEET'!D7</f>
        <v>88970.540000000008</v>
      </c>
      <c r="EK7" s="9">
        <f>AN7*'MASTER SHEET'!D7</f>
        <v>115000.54000000001</v>
      </c>
      <c r="EL7" s="9">
        <f>AR7*'MASTER SHEET'!D7</f>
        <v>135824.54</v>
      </c>
      <c r="EM7" s="9">
        <f>AV7*'MASTER SHEET'!D7</f>
        <v>161854.54</v>
      </c>
      <c r="EN7" s="9">
        <f>AZ7*'MASTER SHEET'!D7</f>
        <v>161854.54</v>
      </c>
      <c r="EO7" s="9">
        <f>BD7*'MASTER SHEET'!D7</f>
        <v>187884.54</v>
      </c>
      <c r="EP7" s="9">
        <f>$BH7*'MASTER SHEET'!$D7</f>
        <v>211311.54</v>
      </c>
      <c r="EQ7" s="9">
        <f>BL7*'MASTER SHEET'!D7</f>
        <v>216491.51</v>
      </c>
      <c r="ER7" s="9">
        <f>BP7*'MASTER SHEET'!D7</f>
        <v>216491.51</v>
      </c>
      <c r="ES7" s="9">
        <f>BT7*'MASTER SHEET'!D7</f>
        <v>206079.51</v>
      </c>
      <c r="ET7" s="9">
        <f>BX7*'MASTER SHEET'!D7</f>
        <v>206079.51</v>
      </c>
      <c r="EU7" s="9">
        <f>CB7*'MASTER SHEET'!D7</f>
        <v>206079.51</v>
      </c>
      <c r="EV7" s="9">
        <f>CF7*'MASTER SHEET'!D7</f>
        <v>206079.51</v>
      </c>
      <c r="EW7" s="9">
        <f>CJ7*'MASTER SHEET'!D7</f>
        <v>169559.42</v>
      </c>
      <c r="EX7" s="9">
        <f>CN7*'MASTER SHEET'!D7</f>
        <v>153941.42000000001</v>
      </c>
      <c r="EY7" s="9">
        <f>CR7*'MASTER SHEET'!D7</f>
        <v>138323.42000000001</v>
      </c>
      <c r="EZ7" s="9">
        <f>$CV7*'MASTER SHEET'!D7</f>
        <v>107087.42</v>
      </c>
      <c r="FA7" s="9">
        <f>CZ7*'MASTER SHEET'!D7</f>
        <v>78454.42</v>
      </c>
      <c r="FB7" s="9">
        <f>DD7*'MASTER SHEET'!D7</f>
        <v>68042.42</v>
      </c>
      <c r="FC7" s="9">
        <f>DH7*'MASTER SHEET'!D7</f>
        <v>15904.33</v>
      </c>
      <c r="FD7" s="9">
        <f>DL7*'MASTER SHEET'!D7</f>
        <v>286.33000000000004</v>
      </c>
      <c r="FE7" s="9">
        <f>DP7*'MASTER SHEET'!D7</f>
        <v>286.33000000000004</v>
      </c>
      <c r="FF7" s="9">
        <f>DT7*'MASTER SHEET'!D7</f>
        <v>286.33000000000004</v>
      </c>
      <c r="FG7" s="9">
        <f>+DX7*'MASTER SHEET'!D7</f>
        <v>286.33000000000004</v>
      </c>
    </row>
    <row r="8" spans="1:163" ht="20.25" customHeight="1" x14ac:dyDescent="0.25">
      <c r="A8" s="25">
        <f>'MASTER SHEET'!A8</f>
        <v>6</v>
      </c>
      <c r="B8" s="26" t="str">
        <f>'MASTER SHEET'!B8</f>
        <v>END PLATE PLASTIC</v>
      </c>
      <c r="C8" s="78">
        <f>'MASTER SHEET'!C8</f>
        <v>5011769</v>
      </c>
      <c r="D8" s="159">
        <v>5572</v>
      </c>
      <c r="E8" s="28">
        <f>PRODUCTION!F8+'SUPLIER INWARD'!F8</f>
        <v>0</v>
      </c>
      <c r="F8" s="28">
        <v>1200</v>
      </c>
      <c r="G8" s="29">
        <v>0</v>
      </c>
      <c r="H8" s="30">
        <f t="shared" si="30"/>
        <v>4372</v>
      </c>
      <c r="I8" s="28">
        <f>PRODUCTION!J8+'SUPLIER INWARD'!J8</f>
        <v>4000</v>
      </c>
      <c r="J8" s="28"/>
      <c r="K8" s="29">
        <v>0</v>
      </c>
      <c r="L8" s="30">
        <f t="shared" si="31"/>
        <v>8372</v>
      </c>
      <c r="M8" s="28">
        <f>PRODUCTION!N8+'SUPLIER INWARD'!N8</f>
        <v>0</v>
      </c>
      <c r="N8" s="28"/>
      <c r="O8" s="29"/>
      <c r="P8" s="30">
        <f t="shared" si="32"/>
        <v>8372</v>
      </c>
      <c r="Q8" s="28">
        <f>PRODUCTION!R8+'SUPLIER INWARD'!R8</f>
        <v>4000</v>
      </c>
      <c r="R8" s="28">
        <v>300</v>
      </c>
      <c r="S8" s="29">
        <v>0</v>
      </c>
      <c r="T8" s="30">
        <f t="shared" si="33"/>
        <v>12072</v>
      </c>
      <c r="U8" s="28">
        <f>PRODUCTION!V8+'SUPLIER INWARD'!V8</f>
        <v>0</v>
      </c>
      <c r="V8" s="28">
        <v>3000</v>
      </c>
      <c r="W8" s="29">
        <v>0</v>
      </c>
      <c r="X8" s="30">
        <f t="shared" si="34"/>
        <v>9072</v>
      </c>
      <c r="Y8" s="28">
        <f>PRODUCTION!Z8+'SUPLIER INWARD'!Z8</f>
        <v>4000</v>
      </c>
      <c r="Z8" s="28"/>
      <c r="AA8" s="29">
        <v>0</v>
      </c>
      <c r="AB8" s="30">
        <f t="shared" si="35"/>
        <v>13072</v>
      </c>
      <c r="AC8" s="28">
        <f>PRODUCTION!AD8+'SUPLIER INWARD'!AD8</f>
        <v>2800</v>
      </c>
      <c r="AD8" s="151">
        <v>3000</v>
      </c>
      <c r="AE8" s="29">
        <v>0</v>
      </c>
      <c r="AF8" s="30">
        <f t="shared" si="36"/>
        <v>12872</v>
      </c>
      <c r="AG8" s="28">
        <f>PRODUCTION!AH8+'SUPLIER INWARD'!AH8</f>
        <v>0</v>
      </c>
      <c r="AH8" s="28">
        <v>2100</v>
      </c>
      <c r="AI8" s="29">
        <v>0</v>
      </c>
      <c r="AJ8" s="30">
        <f t="shared" si="37"/>
        <v>10772</v>
      </c>
      <c r="AK8" s="28">
        <f>PRODUCTION!AL8+'SUPLIER INWARD'!AL8</f>
        <v>2400</v>
      </c>
      <c r="AL8" s="146">
        <v>8400</v>
      </c>
      <c r="AM8" s="29">
        <v>12</v>
      </c>
      <c r="AN8" s="30">
        <f t="shared" si="38"/>
        <v>4760</v>
      </c>
      <c r="AO8" s="28">
        <f>PRODUCTION!AP8+'SUPLIER INWARD'!AP8</f>
        <v>0</v>
      </c>
      <c r="AP8" s="28"/>
      <c r="AQ8" s="29">
        <v>0</v>
      </c>
      <c r="AR8" s="30">
        <f t="shared" si="39"/>
        <v>4760</v>
      </c>
      <c r="AS8" s="28">
        <f>PRODUCTION!AT8+'SUPLIER INWARD'!AT8</f>
        <v>3200</v>
      </c>
      <c r="AT8" s="28"/>
      <c r="AU8" s="29">
        <v>0</v>
      </c>
      <c r="AV8" s="30">
        <f t="shared" si="40"/>
        <v>7960</v>
      </c>
      <c r="AW8" s="28">
        <f>PRODUCTION!AX8+'SUPLIER INWARD'!AX8</f>
        <v>0</v>
      </c>
      <c r="AX8" s="28"/>
      <c r="AY8" s="29"/>
      <c r="AZ8" s="30">
        <f t="shared" si="41"/>
        <v>7960</v>
      </c>
      <c r="BA8" s="28">
        <f>PRODUCTION!BB8+'SUPLIER INWARD'!BB8</f>
        <v>5200</v>
      </c>
      <c r="BB8" s="28"/>
      <c r="BC8" s="29">
        <v>0</v>
      </c>
      <c r="BD8" s="30">
        <f t="shared" si="42"/>
        <v>13160</v>
      </c>
      <c r="BE8" s="28">
        <f>PRODUCTION!BF8+'SUPLIER INWARD'!BF8</f>
        <v>5200</v>
      </c>
      <c r="BF8" s="28">
        <f>3600+3900</f>
        <v>7500</v>
      </c>
      <c r="BG8" s="29">
        <v>6</v>
      </c>
      <c r="BH8" s="30">
        <f t="shared" si="43"/>
        <v>10854</v>
      </c>
      <c r="BI8" s="28">
        <f>PRODUCTION!BJ8+'SUPLIER INWARD'!BJ8</f>
        <v>0</v>
      </c>
      <c r="BJ8" s="28">
        <v>2100</v>
      </c>
      <c r="BK8" s="29">
        <v>2</v>
      </c>
      <c r="BL8" s="30">
        <f t="shared" si="44"/>
        <v>8752</v>
      </c>
      <c r="BM8" s="28">
        <f>PRODUCTION!BN8+'SUPLIER INWARD'!BN8</f>
        <v>0</v>
      </c>
      <c r="BN8" s="28">
        <v>1200</v>
      </c>
      <c r="BO8" s="29">
        <v>0</v>
      </c>
      <c r="BP8" s="30">
        <f t="shared" si="45"/>
        <v>7552</v>
      </c>
      <c r="BQ8" s="28">
        <f>PRODUCTION!BR8+'SUPLIER INWARD'!BR8</f>
        <v>1200</v>
      </c>
      <c r="BR8" s="28"/>
      <c r="BS8" s="29">
        <v>0</v>
      </c>
      <c r="BT8" s="30">
        <f t="shared" si="46"/>
        <v>8752</v>
      </c>
      <c r="BU8" s="28">
        <f>PRODUCTION!BV8+'SUPLIER INWARD'!BV8</f>
        <v>0</v>
      </c>
      <c r="BV8" s="151"/>
      <c r="BW8" s="29">
        <v>0</v>
      </c>
      <c r="BX8" s="30">
        <f t="shared" si="47"/>
        <v>8752</v>
      </c>
      <c r="BY8" s="28">
        <f>PRODUCTION!BZ8+'SUPLIER INWARD'!BZ8</f>
        <v>0</v>
      </c>
      <c r="BZ8" s="28"/>
      <c r="CA8" s="29">
        <v>0</v>
      </c>
      <c r="CB8" s="30">
        <f t="shared" si="48"/>
        <v>8752</v>
      </c>
      <c r="CC8" s="28">
        <f>PRODUCTION!CD8+'SUPLIER INWARD'!CD8</f>
        <v>0</v>
      </c>
      <c r="CD8" s="28"/>
      <c r="CE8" s="29">
        <v>0</v>
      </c>
      <c r="CF8" s="30">
        <f t="shared" si="49"/>
        <v>8752</v>
      </c>
      <c r="CG8" s="28">
        <f>PRODUCTION!CH8+'SUPLIER INWARD'!CH8</f>
        <v>0</v>
      </c>
      <c r="CH8" s="28"/>
      <c r="CI8" s="29">
        <v>0</v>
      </c>
      <c r="CJ8" s="30">
        <f t="shared" si="50"/>
        <v>8752</v>
      </c>
      <c r="CK8" s="28">
        <f>PRODUCTION!CL8+'SUPLIER INWARD'!CL8</f>
        <v>0</v>
      </c>
      <c r="CL8" s="151">
        <v>3000</v>
      </c>
      <c r="CM8" s="152">
        <v>6</v>
      </c>
      <c r="CN8" s="30">
        <f t="shared" si="51"/>
        <v>5746</v>
      </c>
      <c r="CO8" s="28">
        <f>PRODUCTION!CP8+'SUPLIER INWARD'!CP8</f>
        <v>0</v>
      </c>
      <c r="CP8" s="151">
        <v>300</v>
      </c>
      <c r="CQ8" s="29">
        <v>0</v>
      </c>
      <c r="CR8" s="30">
        <f t="shared" si="52"/>
        <v>5446</v>
      </c>
      <c r="CS8" s="28">
        <f>PRODUCTION!CT8+'SUPLIER INWARD'!CT8</f>
        <v>1200</v>
      </c>
      <c r="CT8" s="28">
        <v>1200</v>
      </c>
      <c r="CU8" s="29">
        <v>6</v>
      </c>
      <c r="CV8" s="30">
        <f t="shared" si="53"/>
        <v>5440</v>
      </c>
      <c r="CW8" s="28">
        <f>PRODUCTION!CX8+'SUPLIER INWARD'!CX8</f>
        <v>5600</v>
      </c>
      <c r="CX8" s="28">
        <v>1200</v>
      </c>
      <c r="CY8" s="29">
        <v>0</v>
      </c>
      <c r="CZ8" s="30">
        <f t="shared" si="54"/>
        <v>9840</v>
      </c>
      <c r="DA8" s="28">
        <f>PRODUCTION!DB8+'SUPLIER INWARD'!DB8</f>
        <v>0</v>
      </c>
      <c r="DB8" s="28"/>
      <c r="DC8" s="29"/>
      <c r="DD8" s="30">
        <f t="shared" si="55"/>
        <v>9840</v>
      </c>
      <c r="DE8" s="28">
        <f>PRODUCTION!DF8+'SUPLIER INWARD'!DF8</f>
        <v>8400</v>
      </c>
      <c r="DF8" s="28">
        <v>2100</v>
      </c>
      <c r="DG8" s="29">
        <v>0</v>
      </c>
      <c r="DH8" s="30">
        <f t="shared" si="56"/>
        <v>16140</v>
      </c>
      <c r="DI8" s="28">
        <f>PRODUCTION!DJ8+'SUPLIER INWARD'!DJ8</f>
        <v>0</v>
      </c>
      <c r="DJ8" s="28">
        <v>5100</v>
      </c>
      <c r="DK8" s="29">
        <v>2</v>
      </c>
      <c r="DL8" s="30">
        <f t="shared" si="57"/>
        <v>11038</v>
      </c>
      <c r="DM8" s="28">
        <f>PRODUCTION!DN8+'SUPLIER INWARD'!DN8</f>
        <v>4000</v>
      </c>
      <c r="DN8" s="28">
        <v>496</v>
      </c>
      <c r="DO8" s="29"/>
      <c r="DP8" s="30">
        <f t="shared" si="58"/>
        <v>14542</v>
      </c>
      <c r="DQ8" s="28">
        <f>PRODUCTION!DR8+'SUPLIER INWARD'!DR8</f>
        <v>0</v>
      </c>
      <c r="DR8" s="28"/>
      <c r="DS8" s="29"/>
      <c r="DT8" s="30">
        <f t="shared" si="59"/>
        <v>14542</v>
      </c>
      <c r="DU8" s="28">
        <f>PRODUCTION!DV8+'SUPLIER INWARD'!DV8</f>
        <v>0</v>
      </c>
      <c r="DV8" s="28"/>
      <c r="DW8" s="29"/>
      <c r="DX8" s="30">
        <f t="shared" si="60"/>
        <v>14542</v>
      </c>
      <c r="DY8" s="31">
        <f t="shared" si="61"/>
        <v>51200</v>
      </c>
      <c r="DZ8" s="31">
        <f t="shared" si="62"/>
        <v>42196</v>
      </c>
      <c r="EA8" s="4">
        <f t="shared" si="63"/>
        <v>34</v>
      </c>
      <c r="EB8" s="9">
        <f>D8*'MASTER SHEET'!D8</f>
        <v>65972.479999999996</v>
      </c>
      <c r="EC8" s="9">
        <f>H8*'MASTER SHEET'!D8</f>
        <v>51764.479999999996</v>
      </c>
      <c r="ED8" s="9">
        <f>L8*'MASTER SHEET'!D8</f>
        <v>99124.479999999996</v>
      </c>
      <c r="EE8" s="9">
        <f>P8*'MASTER SHEET'!D8</f>
        <v>99124.479999999996</v>
      </c>
      <c r="EF8" s="9">
        <f>T8*'MASTER SHEET'!D8</f>
        <v>142932.48000000001</v>
      </c>
      <c r="EG8" s="9">
        <f>X8*'MASTER SHEET'!D8</f>
        <v>107412.48</v>
      </c>
      <c r="EH8" s="9">
        <f>AB8*'MASTER SHEET'!D8</f>
        <v>154772.48000000001</v>
      </c>
      <c r="EI8" s="9">
        <f>AF8*'MASTER SHEET'!D8</f>
        <v>152404.48000000001</v>
      </c>
      <c r="EJ8" s="9">
        <f>AJ8*'MASTER SHEET'!D8</f>
        <v>127540.48</v>
      </c>
      <c r="EK8" s="9">
        <f>AN8*'MASTER SHEET'!D8</f>
        <v>56358.400000000001</v>
      </c>
      <c r="EL8" s="9">
        <f>AR8*'MASTER SHEET'!D8</f>
        <v>56358.400000000001</v>
      </c>
      <c r="EM8" s="9">
        <f>AV8*'MASTER SHEET'!D8</f>
        <v>94246.399999999994</v>
      </c>
      <c r="EN8" s="9">
        <f>AZ8*'MASTER SHEET'!D8</f>
        <v>94246.399999999994</v>
      </c>
      <c r="EO8" s="9">
        <f>BD8*'MASTER SHEET'!D8</f>
        <v>155814.39999999999</v>
      </c>
      <c r="EP8" s="9">
        <f>$BH8*'MASTER SHEET'!$D8</f>
        <v>128511.36</v>
      </c>
      <c r="EQ8" s="9">
        <f>BL8*'MASTER SHEET'!D8</f>
        <v>103623.67999999999</v>
      </c>
      <c r="ER8" s="9">
        <f>BP8*'MASTER SHEET'!D8</f>
        <v>89415.679999999993</v>
      </c>
      <c r="ES8" s="9">
        <f>BT8*'MASTER SHEET'!D8</f>
        <v>103623.67999999999</v>
      </c>
      <c r="ET8" s="9">
        <f>BX8*'MASTER SHEET'!D8</f>
        <v>103623.67999999999</v>
      </c>
      <c r="EU8" s="9">
        <f>CB8*'MASTER SHEET'!D8</f>
        <v>103623.67999999999</v>
      </c>
      <c r="EV8" s="9">
        <f>CF8*'MASTER SHEET'!D8</f>
        <v>103623.67999999999</v>
      </c>
      <c r="EW8" s="9">
        <f>CJ8*'MASTER SHEET'!D8</f>
        <v>103623.67999999999</v>
      </c>
      <c r="EX8" s="9">
        <f>CN8*'MASTER SHEET'!D8</f>
        <v>68032.639999999999</v>
      </c>
      <c r="EY8" s="9">
        <f>CR8*'MASTER SHEET'!D8</f>
        <v>64480.639999999999</v>
      </c>
      <c r="EZ8" s="9">
        <f>$CV8*'MASTER SHEET'!D8</f>
        <v>64409.599999999999</v>
      </c>
      <c r="FA8" s="9">
        <f>CZ8*'MASTER SHEET'!D8</f>
        <v>116505.60000000001</v>
      </c>
      <c r="FB8" s="9">
        <f>DD8*'MASTER SHEET'!D8</f>
        <v>116505.60000000001</v>
      </c>
      <c r="FC8" s="9">
        <f>DH8*'MASTER SHEET'!D8</f>
        <v>191097.60000000001</v>
      </c>
      <c r="FD8" s="9">
        <f>DL8*'MASTER SHEET'!D8</f>
        <v>130689.92</v>
      </c>
      <c r="FE8" s="9">
        <f>DP8*'MASTER SHEET'!D8</f>
        <v>172177.28</v>
      </c>
      <c r="FF8" s="9">
        <f>DT8*'MASTER SHEET'!D8</f>
        <v>172177.28</v>
      </c>
      <c r="FG8" s="9">
        <f>+DX8*'MASTER SHEET'!D8</f>
        <v>172177.28</v>
      </c>
    </row>
    <row r="9" spans="1:163" ht="20.25" customHeight="1" x14ac:dyDescent="0.25">
      <c r="A9" s="25">
        <f>'MASTER SHEET'!A9</f>
        <v>7</v>
      </c>
      <c r="B9" s="26" t="str">
        <f>'MASTER SHEET'!B9</f>
        <v>LID HOUSING</v>
      </c>
      <c r="C9" s="78">
        <f>'MASTER SHEET'!C9</f>
        <v>5013518</v>
      </c>
      <c r="D9" s="159">
        <v>96</v>
      </c>
      <c r="E9" s="28">
        <f>PRODUCTION!F9+'SUPLIER INWARD'!F9</f>
        <v>0</v>
      </c>
      <c r="F9" s="28"/>
      <c r="G9" s="29">
        <v>0</v>
      </c>
      <c r="H9" s="30">
        <f t="shared" si="30"/>
        <v>96</v>
      </c>
      <c r="I9" s="28">
        <f>PRODUCTION!J9+'SUPLIER INWARD'!J9</f>
        <v>0</v>
      </c>
      <c r="J9" s="28"/>
      <c r="K9" s="29">
        <v>0</v>
      </c>
      <c r="L9" s="30">
        <f t="shared" si="31"/>
        <v>96</v>
      </c>
      <c r="M9" s="28">
        <f>PRODUCTION!N9+'SUPLIER INWARD'!N9</f>
        <v>0</v>
      </c>
      <c r="N9" s="28"/>
      <c r="O9" s="29"/>
      <c r="P9" s="30">
        <f t="shared" si="32"/>
        <v>96</v>
      </c>
      <c r="Q9" s="28">
        <f>PRODUCTION!R9+'SUPLIER INWARD'!R9</f>
        <v>0</v>
      </c>
      <c r="R9" s="28"/>
      <c r="S9" s="29">
        <v>0</v>
      </c>
      <c r="T9" s="30">
        <f t="shared" si="33"/>
        <v>96</v>
      </c>
      <c r="U9" s="28">
        <f>PRODUCTION!V9+'SUPLIER INWARD'!V9</f>
        <v>0</v>
      </c>
      <c r="V9" s="28"/>
      <c r="W9" s="29">
        <v>0</v>
      </c>
      <c r="X9" s="30">
        <f t="shared" si="34"/>
        <v>96</v>
      </c>
      <c r="Y9" s="28">
        <f>PRODUCTION!Z9+'SUPLIER INWARD'!Z9</f>
        <v>0</v>
      </c>
      <c r="Z9" s="28"/>
      <c r="AA9" s="29">
        <v>0</v>
      </c>
      <c r="AB9" s="30">
        <f t="shared" si="35"/>
        <v>96</v>
      </c>
      <c r="AC9" s="28">
        <f>PRODUCTION!AD9+'SUPLIER INWARD'!AD9</f>
        <v>0</v>
      </c>
      <c r="AD9" s="151"/>
      <c r="AE9" s="29">
        <v>0</v>
      </c>
      <c r="AF9" s="30">
        <f t="shared" si="36"/>
        <v>96</v>
      </c>
      <c r="AG9" s="28">
        <f>PRODUCTION!AH9+'SUPLIER INWARD'!AH9</f>
        <v>0</v>
      </c>
      <c r="AH9" s="28"/>
      <c r="AI9" s="29">
        <v>0</v>
      </c>
      <c r="AJ9" s="30">
        <f t="shared" si="37"/>
        <v>96</v>
      </c>
      <c r="AK9" s="28">
        <f>PRODUCTION!AL9+'SUPLIER INWARD'!AL9</f>
        <v>0</v>
      </c>
      <c r="AL9" s="28"/>
      <c r="AM9" s="29">
        <v>0</v>
      </c>
      <c r="AN9" s="30">
        <f t="shared" si="38"/>
        <v>96</v>
      </c>
      <c r="AO9" s="28">
        <f>PRODUCTION!AP9+'SUPLIER INWARD'!AP9</f>
        <v>0</v>
      </c>
      <c r="AP9" s="28"/>
      <c r="AQ9" s="29">
        <v>0</v>
      </c>
      <c r="AR9" s="30">
        <f t="shared" si="39"/>
        <v>96</v>
      </c>
      <c r="AS9" s="28">
        <f>PRODUCTION!AT9+'SUPLIER INWARD'!AT9</f>
        <v>0</v>
      </c>
      <c r="AT9" s="28"/>
      <c r="AU9" s="29">
        <v>0</v>
      </c>
      <c r="AV9" s="30">
        <f t="shared" si="40"/>
        <v>96</v>
      </c>
      <c r="AW9" s="28">
        <f>PRODUCTION!AX9+'SUPLIER INWARD'!AX9</f>
        <v>0</v>
      </c>
      <c r="AX9" s="28"/>
      <c r="AY9" s="29"/>
      <c r="AZ9" s="30">
        <f t="shared" si="41"/>
        <v>96</v>
      </c>
      <c r="BA9" s="28">
        <f>PRODUCTION!BB9+'SUPLIER INWARD'!BB9</f>
        <v>0</v>
      </c>
      <c r="BB9" s="28"/>
      <c r="BC9" s="29">
        <v>0</v>
      </c>
      <c r="BD9" s="30">
        <f t="shared" si="42"/>
        <v>96</v>
      </c>
      <c r="BE9" s="28">
        <f>PRODUCTION!BF9+'SUPLIER INWARD'!BF9</f>
        <v>554</v>
      </c>
      <c r="BF9" s="28"/>
      <c r="BG9" s="29">
        <v>0</v>
      </c>
      <c r="BH9" s="30">
        <f t="shared" si="43"/>
        <v>650</v>
      </c>
      <c r="BI9" s="28">
        <f>PRODUCTION!BJ9+'SUPLIER INWARD'!BJ9</f>
        <v>1477</v>
      </c>
      <c r="BJ9" s="28">
        <v>600</v>
      </c>
      <c r="BK9" s="29">
        <v>0</v>
      </c>
      <c r="BL9" s="30">
        <f t="shared" si="44"/>
        <v>1527</v>
      </c>
      <c r="BM9" s="28">
        <f>PRODUCTION!BN9+'SUPLIER INWARD'!BN9</f>
        <v>259</v>
      </c>
      <c r="BN9" s="28"/>
      <c r="BO9" s="29">
        <v>0</v>
      </c>
      <c r="BP9" s="30">
        <f t="shared" si="45"/>
        <v>1786</v>
      </c>
      <c r="BQ9" s="28">
        <f>PRODUCTION!BR9+'SUPLIER INWARD'!BR9</f>
        <v>0</v>
      </c>
      <c r="BR9" s="28"/>
      <c r="BS9" s="29">
        <v>0</v>
      </c>
      <c r="BT9" s="30">
        <f t="shared" si="46"/>
        <v>1786</v>
      </c>
      <c r="BU9" s="28">
        <f>PRODUCTION!BV9+'SUPLIER INWARD'!BV9</f>
        <v>0</v>
      </c>
      <c r="BV9" s="28"/>
      <c r="BW9" s="29">
        <v>0</v>
      </c>
      <c r="BX9" s="30">
        <f t="shared" si="47"/>
        <v>1786</v>
      </c>
      <c r="BY9" s="28">
        <f>PRODUCTION!BZ9+'SUPLIER INWARD'!BZ9</f>
        <v>0</v>
      </c>
      <c r="BZ9" s="28"/>
      <c r="CA9" s="29">
        <v>0</v>
      </c>
      <c r="CB9" s="30">
        <f t="shared" si="48"/>
        <v>1786</v>
      </c>
      <c r="CC9" s="28">
        <f>PRODUCTION!CD9+'SUPLIER INWARD'!CD9</f>
        <v>0</v>
      </c>
      <c r="CD9" s="28">
        <v>400</v>
      </c>
      <c r="CE9" s="29">
        <v>0</v>
      </c>
      <c r="CF9" s="30">
        <f t="shared" si="49"/>
        <v>1386</v>
      </c>
      <c r="CG9" s="28">
        <f>PRODUCTION!CH9+'SUPLIER INWARD'!CH9</f>
        <v>0</v>
      </c>
      <c r="CH9" s="28"/>
      <c r="CI9" s="29">
        <v>0</v>
      </c>
      <c r="CJ9" s="30">
        <f t="shared" si="50"/>
        <v>1386</v>
      </c>
      <c r="CK9" s="28">
        <f>PRODUCTION!CL9+'SUPLIER INWARD'!CL9</f>
        <v>0</v>
      </c>
      <c r="CL9" s="151">
        <v>950</v>
      </c>
      <c r="CM9" s="152">
        <v>0</v>
      </c>
      <c r="CN9" s="30">
        <f t="shared" si="51"/>
        <v>436</v>
      </c>
      <c r="CO9" s="28">
        <f>PRODUCTION!CP9+'SUPLIER INWARD'!CP9</f>
        <v>0</v>
      </c>
      <c r="CP9" s="151">
        <v>300</v>
      </c>
      <c r="CQ9" s="29">
        <v>0</v>
      </c>
      <c r="CR9" s="30">
        <f t="shared" si="52"/>
        <v>136</v>
      </c>
      <c r="CS9" s="28">
        <f>PRODUCTION!CT9+'SUPLIER INWARD'!CT9</f>
        <v>0</v>
      </c>
      <c r="CT9" s="28"/>
      <c r="CU9" s="29">
        <v>0</v>
      </c>
      <c r="CV9" s="30">
        <f t="shared" si="53"/>
        <v>136</v>
      </c>
      <c r="CW9" s="28">
        <f>PRODUCTION!CX9+'SUPLIER INWARD'!CX9</f>
        <v>0</v>
      </c>
      <c r="CX9" s="28"/>
      <c r="CY9" s="29">
        <v>0</v>
      </c>
      <c r="CZ9" s="30">
        <f t="shared" si="54"/>
        <v>136</v>
      </c>
      <c r="DA9" s="28">
        <f>PRODUCTION!DB9+'SUPLIER INWARD'!DB9</f>
        <v>0</v>
      </c>
      <c r="DB9" s="28"/>
      <c r="DC9" s="29"/>
      <c r="DD9" s="30">
        <f t="shared" si="55"/>
        <v>136</v>
      </c>
      <c r="DE9" s="28">
        <f>PRODUCTION!DF9+'SUPLIER INWARD'!DF9</f>
        <v>0</v>
      </c>
      <c r="DF9" s="28"/>
      <c r="DG9" s="29">
        <v>0</v>
      </c>
      <c r="DH9" s="30">
        <f t="shared" si="56"/>
        <v>136</v>
      </c>
      <c r="DI9" s="28">
        <f>PRODUCTION!DJ9+'SUPLIER INWARD'!DJ9</f>
        <v>615</v>
      </c>
      <c r="DJ9" s="28"/>
      <c r="DK9" s="29">
        <v>0</v>
      </c>
      <c r="DL9" s="30">
        <f t="shared" si="57"/>
        <v>751</v>
      </c>
      <c r="DM9" s="28">
        <f>PRODUCTION!DN9+'SUPLIER INWARD'!DN9</f>
        <v>1421</v>
      </c>
      <c r="DN9" s="28">
        <v>600</v>
      </c>
      <c r="DO9" s="29"/>
      <c r="DP9" s="30">
        <f t="shared" si="58"/>
        <v>1572</v>
      </c>
      <c r="DQ9" s="28">
        <f>PRODUCTION!DR9+'SUPLIER INWARD'!DR9</f>
        <v>0</v>
      </c>
      <c r="DR9" s="28"/>
      <c r="DS9" s="29"/>
      <c r="DT9" s="30">
        <f t="shared" si="59"/>
        <v>1572</v>
      </c>
      <c r="DU9" s="28">
        <f>PRODUCTION!DV9+'SUPLIER INWARD'!DV9</f>
        <v>0</v>
      </c>
      <c r="DV9" s="28"/>
      <c r="DW9" s="29"/>
      <c r="DX9" s="30">
        <f t="shared" si="60"/>
        <v>1572</v>
      </c>
      <c r="DY9" s="31">
        <f t="shared" si="61"/>
        <v>4326</v>
      </c>
      <c r="DZ9" s="31">
        <f t="shared" si="62"/>
        <v>2850</v>
      </c>
      <c r="EA9" s="4">
        <f t="shared" si="63"/>
        <v>0</v>
      </c>
      <c r="EB9" s="9">
        <f>D9*'MASTER SHEET'!D9</f>
        <v>3981.12</v>
      </c>
      <c r="EC9" s="9">
        <f>H9*'MASTER SHEET'!D9</f>
        <v>3981.12</v>
      </c>
      <c r="ED9" s="9">
        <f>L9*'MASTER SHEET'!D9</f>
        <v>3981.12</v>
      </c>
      <c r="EE9" s="9">
        <f>P9*'MASTER SHEET'!D9</f>
        <v>3981.12</v>
      </c>
      <c r="EF9" s="9">
        <f>T9*'MASTER SHEET'!D9</f>
        <v>3981.12</v>
      </c>
      <c r="EG9" s="9">
        <f>X9*'MASTER SHEET'!D9</f>
        <v>3981.12</v>
      </c>
      <c r="EH9" s="9">
        <f>AB9*'MASTER SHEET'!D9</f>
        <v>3981.12</v>
      </c>
      <c r="EI9" s="9">
        <f>AF9*'MASTER SHEET'!D9</f>
        <v>3981.12</v>
      </c>
      <c r="EJ9" s="9">
        <f>AJ9*'MASTER SHEET'!D9</f>
        <v>3981.12</v>
      </c>
      <c r="EK9" s="9">
        <f>AN9*'MASTER SHEET'!D9</f>
        <v>3981.12</v>
      </c>
      <c r="EL9" s="9">
        <f>AR9*'MASTER SHEET'!D9</f>
        <v>3981.12</v>
      </c>
      <c r="EM9" s="9">
        <f>AV9*'MASTER SHEET'!D9</f>
        <v>3981.12</v>
      </c>
      <c r="EN9" s="9">
        <f>AZ9*'MASTER SHEET'!D9</f>
        <v>3981.12</v>
      </c>
      <c r="EO9" s="9">
        <f>BD9*'MASTER SHEET'!D9</f>
        <v>3981.12</v>
      </c>
      <c r="EP9" s="9">
        <f>$BH9*'MASTER SHEET'!$D9</f>
        <v>26955.5</v>
      </c>
      <c r="EQ9" s="9">
        <f>BL9*'MASTER SHEET'!D9</f>
        <v>63324.689999999995</v>
      </c>
      <c r="ER9" s="9">
        <f>BP9*'MASTER SHEET'!D9</f>
        <v>74065.42</v>
      </c>
      <c r="ES9" s="9">
        <f>BT9*'MASTER SHEET'!D9</f>
        <v>74065.42</v>
      </c>
      <c r="ET9" s="9">
        <f>BX9*'MASTER SHEET'!D9</f>
        <v>74065.42</v>
      </c>
      <c r="EU9" s="9">
        <f>CB9*'MASTER SHEET'!D9</f>
        <v>74065.42</v>
      </c>
      <c r="EV9" s="9">
        <f>CF9*'MASTER SHEET'!D9</f>
        <v>57477.42</v>
      </c>
      <c r="EW9" s="9">
        <f>CJ9*'MASTER SHEET'!D9</f>
        <v>57477.42</v>
      </c>
      <c r="EX9" s="9">
        <f>CN9*'MASTER SHEET'!D9</f>
        <v>18080.919999999998</v>
      </c>
      <c r="EY9" s="9">
        <f>CR9*'MASTER SHEET'!D9</f>
        <v>5639.92</v>
      </c>
      <c r="EZ9" s="9">
        <f>$CV9*'MASTER SHEET'!D9</f>
        <v>5639.92</v>
      </c>
      <c r="FA9" s="9">
        <f>CZ9*'MASTER SHEET'!D9</f>
        <v>5639.92</v>
      </c>
      <c r="FB9" s="9">
        <f>DD9*'MASTER SHEET'!D9</f>
        <v>5639.92</v>
      </c>
      <c r="FC9" s="9">
        <f>DH9*'MASTER SHEET'!D9</f>
        <v>5639.92</v>
      </c>
      <c r="FD9" s="9">
        <f>DL9*'MASTER SHEET'!D9</f>
        <v>31143.969999999998</v>
      </c>
      <c r="FE9" s="9">
        <f>DP9*'MASTER SHEET'!D9</f>
        <v>65190.84</v>
      </c>
      <c r="FF9" s="9">
        <f>DT9*'MASTER SHEET'!D9</f>
        <v>65190.84</v>
      </c>
      <c r="FG9" s="9">
        <f>+DX9*'MASTER SHEET'!D9</f>
        <v>65190.84</v>
      </c>
    </row>
    <row r="10" spans="1:163" ht="20.25" customHeight="1" x14ac:dyDescent="0.25">
      <c r="A10" s="25">
        <f>'MASTER SHEET'!A10</f>
        <v>8</v>
      </c>
      <c r="B10" s="26" t="str">
        <f>'MASTER SHEET'!B10</f>
        <v>LID HOUSING</v>
      </c>
      <c r="C10" s="78">
        <f>'MASTER SHEET'!C10</f>
        <v>5013520</v>
      </c>
      <c r="D10" s="159">
        <v>1489</v>
      </c>
      <c r="E10" s="28">
        <f>PRODUCTION!F10+'SUPLIER INWARD'!F10</f>
        <v>0</v>
      </c>
      <c r="F10" s="28">
        <v>1400</v>
      </c>
      <c r="G10" s="29">
        <v>0</v>
      </c>
      <c r="H10" s="30">
        <f t="shared" si="30"/>
        <v>89</v>
      </c>
      <c r="I10" s="28">
        <f>PRODUCTION!J10+'SUPLIER INWARD'!J10</f>
        <v>0</v>
      </c>
      <c r="J10" s="28"/>
      <c r="K10" s="29">
        <v>0</v>
      </c>
      <c r="L10" s="30">
        <f t="shared" si="31"/>
        <v>89</v>
      </c>
      <c r="M10" s="28">
        <f>PRODUCTION!N10+'SUPLIER INWARD'!N10</f>
        <v>0</v>
      </c>
      <c r="N10" s="28"/>
      <c r="O10" s="29"/>
      <c r="P10" s="30">
        <f t="shared" si="32"/>
        <v>89</v>
      </c>
      <c r="Q10" s="28">
        <f>PRODUCTION!R10+'SUPLIER INWARD'!R10</f>
        <v>0</v>
      </c>
      <c r="R10" s="28"/>
      <c r="S10" s="29">
        <v>0</v>
      </c>
      <c r="T10" s="30">
        <f t="shared" si="33"/>
        <v>89</v>
      </c>
      <c r="U10" s="28">
        <f>PRODUCTION!V10+'SUPLIER INWARD'!V10</f>
        <v>0</v>
      </c>
      <c r="V10" s="28"/>
      <c r="W10" s="29">
        <v>0</v>
      </c>
      <c r="X10" s="30">
        <f t="shared" si="34"/>
        <v>89</v>
      </c>
      <c r="Y10" s="28">
        <f>PRODUCTION!Z10+'SUPLIER INWARD'!Z10</f>
        <v>0</v>
      </c>
      <c r="Z10" s="28"/>
      <c r="AA10" s="29">
        <v>0</v>
      </c>
      <c r="AB10" s="30">
        <f t="shared" si="35"/>
        <v>89</v>
      </c>
      <c r="AC10" s="28">
        <f>PRODUCTION!AD10+'SUPLIER INWARD'!AD10</f>
        <v>0</v>
      </c>
      <c r="AD10" s="151"/>
      <c r="AE10" s="29">
        <v>0</v>
      </c>
      <c r="AF10" s="30">
        <f t="shared" si="36"/>
        <v>89</v>
      </c>
      <c r="AG10" s="28">
        <f>PRODUCTION!AH10+'SUPLIER INWARD'!AH10</f>
        <v>0</v>
      </c>
      <c r="AH10" s="28"/>
      <c r="AI10" s="29">
        <v>0</v>
      </c>
      <c r="AJ10" s="30">
        <f t="shared" si="37"/>
        <v>89</v>
      </c>
      <c r="AK10" s="28">
        <f>PRODUCTION!AL10+'SUPLIER INWARD'!AL10</f>
        <v>0</v>
      </c>
      <c r="AL10" s="28"/>
      <c r="AM10" s="29">
        <v>0</v>
      </c>
      <c r="AN10" s="30">
        <f t="shared" si="38"/>
        <v>89</v>
      </c>
      <c r="AO10" s="28">
        <f>PRODUCTION!AP10+'SUPLIER INWARD'!AP10</f>
        <v>0</v>
      </c>
      <c r="AP10" s="28"/>
      <c r="AQ10" s="29">
        <v>0</v>
      </c>
      <c r="AR10" s="30">
        <f t="shared" si="39"/>
        <v>89</v>
      </c>
      <c r="AS10" s="28">
        <f>PRODUCTION!AT10+'SUPLIER INWARD'!AT10</f>
        <v>0</v>
      </c>
      <c r="AT10" s="28"/>
      <c r="AU10" s="29">
        <v>0</v>
      </c>
      <c r="AV10" s="30">
        <f t="shared" si="40"/>
        <v>89</v>
      </c>
      <c r="AW10" s="28">
        <f>PRODUCTION!AX10+'SUPLIER INWARD'!AX10</f>
        <v>0</v>
      </c>
      <c r="AX10" s="28"/>
      <c r="AY10" s="29"/>
      <c r="AZ10" s="30">
        <f t="shared" si="41"/>
        <v>89</v>
      </c>
      <c r="BA10" s="28">
        <f>PRODUCTION!BB10+'SUPLIER INWARD'!BB10</f>
        <v>0</v>
      </c>
      <c r="BB10" s="28"/>
      <c r="BC10" s="29">
        <v>0</v>
      </c>
      <c r="BD10" s="30">
        <f t="shared" si="42"/>
        <v>89</v>
      </c>
      <c r="BE10" s="28">
        <f>PRODUCTION!BF10+'SUPLIER INWARD'!BF10</f>
        <v>0</v>
      </c>
      <c r="BF10" s="28"/>
      <c r="BG10" s="29">
        <v>0</v>
      </c>
      <c r="BH10" s="30">
        <f t="shared" si="43"/>
        <v>89</v>
      </c>
      <c r="BI10" s="28">
        <f>PRODUCTION!BJ10+'SUPLIER INWARD'!BJ10</f>
        <v>0</v>
      </c>
      <c r="BJ10" s="28"/>
      <c r="BK10" s="29">
        <v>0</v>
      </c>
      <c r="BL10" s="30">
        <f t="shared" si="44"/>
        <v>89</v>
      </c>
      <c r="BM10" s="28">
        <f>PRODUCTION!BN10+'SUPLIER INWARD'!BN10</f>
        <v>369</v>
      </c>
      <c r="BN10" s="28">
        <v>300</v>
      </c>
      <c r="BO10" s="29">
        <v>0</v>
      </c>
      <c r="BP10" s="30">
        <f t="shared" si="45"/>
        <v>158</v>
      </c>
      <c r="BQ10" s="28">
        <f>PRODUCTION!BR10+'SUPLIER INWARD'!BR10</f>
        <v>1403</v>
      </c>
      <c r="BR10" s="28">
        <v>550</v>
      </c>
      <c r="BS10" s="29">
        <v>0</v>
      </c>
      <c r="BT10" s="30">
        <f t="shared" si="46"/>
        <v>1011</v>
      </c>
      <c r="BU10" s="28">
        <f>PRODUCTION!BV10+'SUPLIER INWARD'!BV10</f>
        <v>1410</v>
      </c>
      <c r="BV10" s="28"/>
      <c r="BW10" s="29">
        <v>0</v>
      </c>
      <c r="BX10" s="30">
        <f t="shared" si="47"/>
        <v>2421</v>
      </c>
      <c r="BY10" s="28">
        <f>PRODUCTION!BZ10+'SUPLIER INWARD'!BZ10</f>
        <v>0</v>
      </c>
      <c r="BZ10" s="28"/>
      <c r="CA10" s="29">
        <v>0</v>
      </c>
      <c r="CB10" s="30">
        <f t="shared" si="48"/>
        <v>2421</v>
      </c>
      <c r="CC10" s="28">
        <f>PRODUCTION!CD10+'SUPLIER INWARD'!CD10</f>
        <v>398</v>
      </c>
      <c r="CD10" s="28"/>
      <c r="CE10" s="29">
        <v>0</v>
      </c>
      <c r="CF10" s="30">
        <f t="shared" si="49"/>
        <v>2819</v>
      </c>
      <c r="CG10" s="28">
        <f>PRODUCTION!CH10+'SUPLIER INWARD'!CH10</f>
        <v>0</v>
      </c>
      <c r="CH10" s="28"/>
      <c r="CI10" s="29">
        <v>0</v>
      </c>
      <c r="CJ10" s="30">
        <f t="shared" si="50"/>
        <v>2819</v>
      </c>
      <c r="CK10" s="28">
        <f>PRODUCTION!CL10+'SUPLIER INWARD'!CL10</f>
        <v>0</v>
      </c>
      <c r="CL10" s="151">
        <v>1250</v>
      </c>
      <c r="CM10" s="152">
        <v>2</v>
      </c>
      <c r="CN10" s="30">
        <f t="shared" si="51"/>
        <v>1567</v>
      </c>
      <c r="CO10" s="28">
        <f>PRODUCTION!CP10+'SUPLIER INWARD'!CP10</f>
        <v>0</v>
      </c>
      <c r="CP10" s="151">
        <v>550</v>
      </c>
      <c r="CQ10" s="29">
        <v>0</v>
      </c>
      <c r="CR10" s="30">
        <f t="shared" si="52"/>
        <v>1017</v>
      </c>
      <c r="CS10" s="28">
        <f>PRODUCTION!CT10+'SUPLIER INWARD'!CT10</f>
        <v>0</v>
      </c>
      <c r="CT10" s="28">
        <v>500</v>
      </c>
      <c r="CU10" s="29">
        <v>0</v>
      </c>
      <c r="CV10" s="30">
        <f t="shared" si="53"/>
        <v>517</v>
      </c>
      <c r="CW10" s="28">
        <f>PRODUCTION!CX10+'SUPLIER INWARD'!CX10</f>
        <v>0</v>
      </c>
      <c r="CX10" s="28"/>
      <c r="CY10" s="29">
        <v>0</v>
      </c>
      <c r="CZ10" s="30">
        <f t="shared" si="54"/>
        <v>517</v>
      </c>
      <c r="DA10" s="28">
        <f>PRODUCTION!DB10+'SUPLIER INWARD'!DB10</f>
        <v>0</v>
      </c>
      <c r="DB10" s="28"/>
      <c r="DC10" s="29"/>
      <c r="DD10" s="30">
        <f t="shared" si="55"/>
        <v>517</v>
      </c>
      <c r="DE10" s="28">
        <f>PRODUCTION!DF10+'SUPLIER INWARD'!DF10</f>
        <v>0</v>
      </c>
      <c r="DF10" s="28"/>
      <c r="DG10" s="29">
        <v>0</v>
      </c>
      <c r="DH10" s="30">
        <f t="shared" si="56"/>
        <v>517</v>
      </c>
      <c r="DI10" s="28">
        <f>PRODUCTION!DJ10+'SUPLIER INWARD'!DJ10</f>
        <v>0</v>
      </c>
      <c r="DJ10" s="28"/>
      <c r="DK10" s="29">
        <v>0</v>
      </c>
      <c r="DL10" s="30">
        <f t="shared" si="57"/>
        <v>517</v>
      </c>
      <c r="DM10" s="28">
        <f>PRODUCTION!DN10+'SUPLIER INWARD'!DN10</f>
        <v>0</v>
      </c>
      <c r="DN10" s="28"/>
      <c r="DO10" s="29"/>
      <c r="DP10" s="30">
        <f t="shared" si="58"/>
        <v>517</v>
      </c>
      <c r="DQ10" s="28">
        <f>PRODUCTION!DR10+'SUPLIER INWARD'!DR10</f>
        <v>0</v>
      </c>
      <c r="DR10" s="28"/>
      <c r="DS10" s="29"/>
      <c r="DT10" s="30">
        <f t="shared" si="59"/>
        <v>517</v>
      </c>
      <c r="DU10" s="28">
        <f>PRODUCTION!DV10+'SUPLIER INWARD'!DV10</f>
        <v>0</v>
      </c>
      <c r="DV10" s="28"/>
      <c r="DW10" s="29"/>
      <c r="DX10" s="30">
        <f t="shared" si="60"/>
        <v>517</v>
      </c>
      <c r="DY10" s="31">
        <f t="shared" si="61"/>
        <v>3580</v>
      </c>
      <c r="DZ10" s="31">
        <f t="shared" si="62"/>
        <v>4550</v>
      </c>
      <c r="EA10" s="4">
        <f t="shared" si="63"/>
        <v>2</v>
      </c>
      <c r="EB10" s="9">
        <f>D10*'MASTER SHEET'!D10</f>
        <v>58145.45</v>
      </c>
      <c r="EC10" s="9">
        <f>H10*'MASTER SHEET'!D10</f>
        <v>3475.45</v>
      </c>
      <c r="ED10" s="9">
        <f>L10*'MASTER SHEET'!D10</f>
        <v>3475.45</v>
      </c>
      <c r="EE10" s="9">
        <f>P10*'MASTER SHEET'!D10</f>
        <v>3475.45</v>
      </c>
      <c r="EF10" s="9">
        <f>T10*'MASTER SHEET'!D10</f>
        <v>3475.45</v>
      </c>
      <c r="EG10" s="9">
        <f>X10*'MASTER SHEET'!D10</f>
        <v>3475.45</v>
      </c>
      <c r="EH10" s="9">
        <f>AB10*'MASTER SHEET'!D10</f>
        <v>3475.45</v>
      </c>
      <c r="EI10" s="9">
        <f>AF10*'MASTER SHEET'!D10</f>
        <v>3475.45</v>
      </c>
      <c r="EJ10" s="9">
        <f>AJ10*'MASTER SHEET'!D10</f>
        <v>3475.45</v>
      </c>
      <c r="EK10" s="9">
        <f>AN10*'MASTER SHEET'!D10</f>
        <v>3475.45</v>
      </c>
      <c r="EL10" s="9">
        <f>AR10*'MASTER SHEET'!D10</f>
        <v>3475.45</v>
      </c>
      <c r="EM10" s="9">
        <f>AV10*'MASTER SHEET'!D10</f>
        <v>3475.45</v>
      </c>
      <c r="EN10" s="9">
        <f>AZ10*'MASTER SHEET'!D10</f>
        <v>3475.45</v>
      </c>
      <c r="EO10" s="9">
        <f>BD10*'MASTER SHEET'!D10</f>
        <v>3475.45</v>
      </c>
      <c r="EP10" s="9">
        <f>$BH10*'MASTER SHEET'!$D10</f>
        <v>3475.45</v>
      </c>
      <c r="EQ10" s="9">
        <f>BL10*'MASTER SHEET'!D10</f>
        <v>3475.45</v>
      </c>
      <c r="ER10" s="9">
        <f>BP10*'MASTER SHEET'!D10</f>
        <v>6169.9</v>
      </c>
      <c r="ES10" s="9">
        <f>BT10*'MASTER SHEET'!D10</f>
        <v>39479.549999999996</v>
      </c>
      <c r="ET10" s="9">
        <f>BX10*'MASTER SHEET'!D10</f>
        <v>94540.049999999988</v>
      </c>
      <c r="EU10" s="9">
        <f>CB10*'MASTER SHEET'!D10</f>
        <v>94540.049999999988</v>
      </c>
      <c r="EV10" s="9">
        <f>CF10*'MASTER SHEET'!D10</f>
        <v>110081.95</v>
      </c>
      <c r="EW10" s="9">
        <f>CJ10*'MASTER SHEET'!D10</f>
        <v>110081.95</v>
      </c>
      <c r="EX10" s="9">
        <f>CN10*'MASTER SHEET'!D10</f>
        <v>61191.35</v>
      </c>
      <c r="EY10" s="9">
        <f>CR10*'MASTER SHEET'!D10</f>
        <v>39713.85</v>
      </c>
      <c r="EZ10" s="9">
        <f>$CV10*'MASTER SHEET'!D10</f>
        <v>20188.849999999999</v>
      </c>
      <c r="FA10" s="9">
        <f>CZ10*'MASTER SHEET'!D10</f>
        <v>20188.849999999999</v>
      </c>
      <c r="FB10" s="9">
        <f>DD10*'MASTER SHEET'!D10</f>
        <v>20188.849999999999</v>
      </c>
      <c r="FC10" s="9">
        <f>DH10*'MASTER SHEET'!D10</f>
        <v>20188.849999999999</v>
      </c>
      <c r="FD10" s="9">
        <f>DL10*'MASTER SHEET'!D10</f>
        <v>20188.849999999999</v>
      </c>
      <c r="FE10" s="9">
        <f>DP10*'MASTER SHEET'!D10</f>
        <v>20188.849999999999</v>
      </c>
      <c r="FF10" s="9">
        <f>DT10*'MASTER SHEET'!D10</f>
        <v>20188.849999999999</v>
      </c>
      <c r="FG10" s="9">
        <f>+DX10*'MASTER SHEET'!D10</f>
        <v>20188.849999999999</v>
      </c>
    </row>
    <row r="11" spans="1:163" s="10" customFormat="1" ht="20.25" customHeight="1" x14ac:dyDescent="0.25">
      <c r="A11" s="25">
        <f>'MASTER SHEET'!A11</f>
        <v>9</v>
      </c>
      <c r="B11" s="26" t="str">
        <f>'MASTER SHEET'!B11</f>
        <v xml:space="preserve">ENDPLATE ASY, PLASTIC </v>
      </c>
      <c r="C11" s="78">
        <f>'MASTER SHEET'!C11</f>
        <v>5014445</v>
      </c>
      <c r="D11" s="163">
        <f>500+50+1000+100+500</f>
        <v>2150</v>
      </c>
      <c r="E11" s="28">
        <f>PRODUCTION!F11+'SUPLIER INWARD'!F11</f>
        <v>1100</v>
      </c>
      <c r="F11" s="28"/>
      <c r="G11" s="29">
        <v>0</v>
      </c>
      <c r="H11" s="30">
        <f t="shared" si="30"/>
        <v>3250</v>
      </c>
      <c r="I11" s="28">
        <f>PRODUCTION!J11+'SUPLIER INWARD'!J11</f>
        <v>400</v>
      </c>
      <c r="J11" s="28">
        <v>600</v>
      </c>
      <c r="K11" s="29">
        <v>0</v>
      </c>
      <c r="L11" s="30">
        <f t="shared" si="31"/>
        <v>3050</v>
      </c>
      <c r="M11" s="28">
        <f>PRODUCTION!N11+'SUPLIER INWARD'!N11</f>
        <v>0</v>
      </c>
      <c r="N11" s="28"/>
      <c r="O11" s="29"/>
      <c r="P11" s="30">
        <f t="shared" si="32"/>
        <v>3050</v>
      </c>
      <c r="Q11" s="28">
        <f>PRODUCTION!R11+'SUPLIER INWARD'!R11</f>
        <v>0</v>
      </c>
      <c r="R11" s="28">
        <v>1000</v>
      </c>
      <c r="S11" s="29">
        <v>0</v>
      </c>
      <c r="T11" s="30">
        <f t="shared" si="33"/>
        <v>2050</v>
      </c>
      <c r="U11" s="28">
        <f>PRODUCTION!V11+'SUPLIER INWARD'!V11</f>
        <v>0</v>
      </c>
      <c r="V11" s="146"/>
      <c r="W11" s="29">
        <v>0</v>
      </c>
      <c r="X11" s="30">
        <f t="shared" si="34"/>
        <v>2050</v>
      </c>
      <c r="Y11" s="28">
        <f>PRODUCTION!Z11+'SUPLIER INWARD'!Z11</f>
        <v>0</v>
      </c>
      <c r="Z11" s="28">
        <v>300</v>
      </c>
      <c r="AA11" s="29">
        <v>1</v>
      </c>
      <c r="AB11" s="30">
        <f t="shared" si="35"/>
        <v>1749</v>
      </c>
      <c r="AC11" s="28">
        <f>PRODUCTION!AD11+'SUPLIER INWARD'!AD11</f>
        <v>600</v>
      </c>
      <c r="AD11" s="157">
        <v>1600</v>
      </c>
      <c r="AE11" s="29">
        <v>13</v>
      </c>
      <c r="AF11" s="158">
        <f t="shared" si="36"/>
        <v>736</v>
      </c>
      <c r="AG11" s="28">
        <f>PRODUCTION!AH11+'SUPLIER INWARD'!AH11</f>
        <v>500</v>
      </c>
      <c r="AH11" s="28">
        <v>700</v>
      </c>
      <c r="AI11" s="29">
        <v>4</v>
      </c>
      <c r="AJ11" s="30">
        <f t="shared" si="37"/>
        <v>532</v>
      </c>
      <c r="AK11" s="28">
        <f>PRODUCTION!AL11+'SUPLIER INWARD'!AL11</f>
        <v>1500</v>
      </c>
      <c r="AL11" s="28">
        <v>1000</v>
      </c>
      <c r="AM11" s="29">
        <v>2</v>
      </c>
      <c r="AN11" s="30">
        <f t="shared" si="38"/>
        <v>1030</v>
      </c>
      <c r="AO11" s="28">
        <f>PRODUCTION!AP11+'SUPLIER INWARD'!AP11</f>
        <v>2000</v>
      </c>
      <c r="AP11" s="28">
        <v>2186</v>
      </c>
      <c r="AQ11" s="29">
        <v>28</v>
      </c>
      <c r="AR11" s="30">
        <f t="shared" si="39"/>
        <v>816</v>
      </c>
      <c r="AS11" s="28">
        <f>PRODUCTION!AT11+'SUPLIER INWARD'!AT11</f>
        <v>2000</v>
      </c>
      <c r="AT11" s="28">
        <v>2800</v>
      </c>
      <c r="AU11" s="29">
        <v>16</v>
      </c>
      <c r="AV11" s="30">
        <f t="shared" si="40"/>
        <v>0</v>
      </c>
      <c r="AW11" s="28">
        <f>PRODUCTION!AX11+'SUPLIER INWARD'!AX11</f>
        <v>0</v>
      </c>
      <c r="AX11" s="28"/>
      <c r="AY11" s="29"/>
      <c r="AZ11" s="30">
        <f t="shared" si="41"/>
        <v>0</v>
      </c>
      <c r="BA11" s="28">
        <f>PRODUCTION!BB11+'SUPLIER INWARD'!BB11</f>
        <v>2000</v>
      </c>
      <c r="BB11" s="28">
        <v>1900</v>
      </c>
      <c r="BC11" s="29">
        <v>2</v>
      </c>
      <c r="BD11" s="30">
        <f t="shared" si="42"/>
        <v>98</v>
      </c>
      <c r="BE11" s="28">
        <f>PRODUCTION!BF11+'SUPLIER INWARD'!BF11</f>
        <v>2324</v>
      </c>
      <c r="BF11" s="28">
        <v>500</v>
      </c>
      <c r="BG11" s="29">
        <v>0</v>
      </c>
      <c r="BH11" s="30">
        <f t="shared" si="43"/>
        <v>1922</v>
      </c>
      <c r="BI11" s="28">
        <f>PRODUCTION!BJ11+'SUPLIER INWARD'!BJ11</f>
        <v>1000</v>
      </c>
      <c r="BJ11" s="28">
        <v>1000</v>
      </c>
      <c r="BK11" s="29">
        <v>4</v>
      </c>
      <c r="BL11" s="30">
        <f t="shared" si="44"/>
        <v>1918</v>
      </c>
      <c r="BM11" s="28">
        <f>PRODUCTION!BN11+'SUPLIER INWARD'!BN11</f>
        <v>700</v>
      </c>
      <c r="BN11" s="28">
        <v>900</v>
      </c>
      <c r="BO11" s="29">
        <v>0</v>
      </c>
      <c r="BP11" s="30">
        <f t="shared" si="45"/>
        <v>1718</v>
      </c>
      <c r="BQ11" s="28">
        <f>PRODUCTION!BR11+'SUPLIER INWARD'!BR11</f>
        <v>1350</v>
      </c>
      <c r="BR11" s="28">
        <v>1600</v>
      </c>
      <c r="BS11" s="29">
        <v>0</v>
      </c>
      <c r="BT11" s="30">
        <f t="shared" si="46"/>
        <v>1468</v>
      </c>
      <c r="BU11" s="28">
        <f>PRODUCTION!BV11+'SUPLIER INWARD'!BV11</f>
        <v>800</v>
      </c>
      <c r="BV11" s="151">
        <v>1089</v>
      </c>
      <c r="BW11" s="29">
        <v>17</v>
      </c>
      <c r="BX11" s="30">
        <f t="shared" si="47"/>
        <v>1162</v>
      </c>
      <c r="BY11" s="28">
        <f>PRODUCTION!BZ11+'SUPLIER INWARD'!BZ11</f>
        <v>0</v>
      </c>
      <c r="BZ11" s="28"/>
      <c r="CA11" s="29">
        <v>0</v>
      </c>
      <c r="CB11" s="30">
        <f t="shared" si="48"/>
        <v>1162</v>
      </c>
      <c r="CC11" s="28">
        <f>PRODUCTION!CD11+'SUPLIER INWARD'!CD11</f>
        <v>1839</v>
      </c>
      <c r="CD11" s="28">
        <v>2100</v>
      </c>
      <c r="CE11" s="29">
        <v>27</v>
      </c>
      <c r="CF11" s="30">
        <f t="shared" si="49"/>
        <v>874</v>
      </c>
      <c r="CG11" s="28">
        <f>PRODUCTION!CH11+'SUPLIER INWARD'!CH11</f>
        <v>1500</v>
      </c>
      <c r="CH11" s="28">
        <v>2000</v>
      </c>
      <c r="CI11" s="29">
        <v>0</v>
      </c>
      <c r="CJ11" s="30">
        <f t="shared" si="50"/>
        <v>374</v>
      </c>
      <c r="CK11" s="28">
        <f>PRODUCTION!CL11+'SUPLIER INWARD'!CL11</f>
        <v>2000</v>
      </c>
      <c r="CL11" s="151">
        <v>2000</v>
      </c>
      <c r="CM11" s="152">
        <v>1</v>
      </c>
      <c r="CN11" s="30">
        <f t="shared" si="51"/>
        <v>373</v>
      </c>
      <c r="CO11" s="28">
        <f>PRODUCTION!CP11+'SUPLIER INWARD'!CP11</f>
        <v>2210</v>
      </c>
      <c r="CP11" s="151">
        <v>2000</v>
      </c>
      <c r="CQ11" s="29">
        <v>15</v>
      </c>
      <c r="CR11" s="30">
        <f t="shared" si="52"/>
        <v>568</v>
      </c>
      <c r="CS11" s="28">
        <f>PRODUCTION!CT11+'SUPLIER INWARD'!CT11</f>
        <v>2000</v>
      </c>
      <c r="CT11" s="28">
        <v>2000</v>
      </c>
      <c r="CU11" s="29">
        <v>0</v>
      </c>
      <c r="CV11" s="30">
        <f t="shared" si="53"/>
        <v>568</v>
      </c>
      <c r="CW11" s="28">
        <f>PRODUCTION!CX11+'SUPLIER INWARD'!CX11</f>
        <v>3152</v>
      </c>
      <c r="CX11" s="28">
        <v>2000</v>
      </c>
      <c r="CY11" s="29">
        <v>3</v>
      </c>
      <c r="CZ11" s="30">
        <f t="shared" si="54"/>
        <v>1717</v>
      </c>
      <c r="DA11" s="28">
        <f>PRODUCTION!DB11+'SUPLIER INWARD'!DB11</f>
        <v>500</v>
      </c>
      <c r="DB11" s="28">
        <v>2000</v>
      </c>
      <c r="DC11" s="29"/>
      <c r="DD11" s="30">
        <f t="shared" si="55"/>
        <v>217</v>
      </c>
      <c r="DE11" s="28">
        <f>PRODUCTION!DF11+'SUPLIER INWARD'!DF11</f>
        <v>2048</v>
      </c>
      <c r="DF11" s="28">
        <v>2000</v>
      </c>
      <c r="DG11" s="29">
        <v>3</v>
      </c>
      <c r="DH11" s="30">
        <f t="shared" si="56"/>
        <v>262</v>
      </c>
      <c r="DI11" s="28">
        <f>PRODUCTION!DJ11+'SUPLIER INWARD'!DJ11</f>
        <v>3344</v>
      </c>
      <c r="DJ11" s="28">
        <v>2000</v>
      </c>
      <c r="DK11" s="29">
        <v>3</v>
      </c>
      <c r="DL11" s="30">
        <f t="shared" si="57"/>
        <v>1603</v>
      </c>
      <c r="DM11" s="28">
        <f>PRODUCTION!DN11+'SUPLIER INWARD'!DN11</f>
        <v>2000</v>
      </c>
      <c r="DN11" s="28">
        <v>3000</v>
      </c>
      <c r="DO11" s="29"/>
      <c r="DP11" s="30">
        <f t="shared" si="58"/>
        <v>603</v>
      </c>
      <c r="DQ11" s="28">
        <f>PRODUCTION!DR11+'SUPLIER INWARD'!DR11</f>
        <v>0</v>
      </c>
      <c r="DR11" s="28"/>
      <c r="DS11" s="29"/>
      <c r="DT11" s="30">
        <f t="shared" si="59"/>
        <v>603</v>
      </c>
      <c r="DU11" s="28">
        <f>PRODUCTION!DV11+'SUPLIER INWARD'!DV11</f>
        <v>0</v>
      </c>
      <c r="DV11" s="28"/>
      <c r="DW11" s="29"/>
      <c r="DX11" s="30">
        <f t="shared" si="60"/>
        <v>603</v>
      </c>
      <c r="DY11" s="31">
        <f t="shared" si="61"/>
        <v>36867</v>
      </c>
      <c r="DZ11" s="31">
        <f t="shared" si="62"/>
        <v>38275</v>
      </c>
      <c r="EA11" s="4">
        <f t="shared" si="63"/>
        <v>139</v>
      </c>
      <c r="EB11" s="9">
        <f>D11*'MASTER SHEET'!D11</f>
        <v>172451.5</v>
      </c>
      <c r="EC11" s="9">
        <f>H11*'MASTER SHEET'!D11</f>
        <v>260682.49999999997</v>
      </c>
      <c r="ED11" s="9">
        <f>L11*'MASTER SHEET'!D11</f>
        <v>244640.49999999997</v>
      </c>
      <c r="EE11" s="9">
        <f>P11*'MASTER SHEET'!D11</f>
        <v>244640.49999999997</v>
      </c>
      <c r="EF11" s="9">
        <f>T11*'MASTER SHEET'!D11</f>
        <v>164430.5</v>
      </c>
      <c r="EG11" s="9">
        <f>X11*'MASTER SHEET'!D11</f>
        <v>164430.5</v>
      </c>
      <c r="EH11" s="9">
        <f>AB11*'MASTER SHEET'!D11</f>
        <v>140287.28999999998</v>
      </c>
      <c r="EI11" s="9">
        <f>AF11*'MASTER SHEET'!D11</f>
        <v>59034.559999999998</v>
      </c>
      <c r="EJ11" s="9">
        <f>AJ11*'MASTER SHEET'!D11</f>
        <v>42671.719999999994</v>
      </c>
      <c r="EK11" s="9">
        <f>AN11*'MASTER SHEET'!D11</f>
        <v>82616.299999999988</v>
      </c>
      <c r="EL11" s="9">
        <f>AR11*'MASTER SHEET'!D11</f>
        <v>65451.359999999993</v>
      </c>
      <c r="EM11" s="9">
        <f>AV11*'MASTER SHEET'!D11</f>
        <v>0</v>
      </c>
      <c r="EN11" s="9">
        <f>AZ11*'MASTER SHEET'!D11</f>
        <v>0</v>
      </c>
      <c r="EO11" s="9">
        <f>BD11*'MASTER SHEET'!D11</f>
        <v>7860.579999999999</v>
      </c>
      <c r="EP11" s="9">
        <f>$BH11*'MASTER SHEET'!$D11</f>
        <v>154163.62</v>
      </c>
      <c r="EQ11" s="9">
        <f>BL11*'MASTER SHEET'!D11</f>
        <v>153842.78</v>
      </c>
      <c r="ER11" s="9">
        <f>BP11*'MASTER SHEET'!D11</f>
        <v>137800.78</v>
      </c>
      <c r="ES11" s="9">
        <f>BT11*'MASTER SHEET'!D11</f>
        <v>117748.27999999998</v>
      </c>
      <c r="ET11" s="9">
        <f>BX11*'MASTER SHEET'!D11</f>
        <v>93204.01999999999</v>
      </c>
      <c r="EU11" s="9">
        <f>CB11*'MASTER SHEET'!D11</f>
        <v>93204.01999999999</v>
      </c>
      <c r="EV11" s="9">
        <f>CF11*'MASTER SHEET'!D11</f>
        <v>70103.539999999994</v>
      </c>
      <c r="EW11" s="9">
        <f>CJ11*'MASTER SHEET'!D11</f>
        <v>29998.539999999997</v>
      </c>
      <c r="EX11" s="9">
        <f>CN11*'MASTER SHEET'!D11</f>
        <v>29918.329999999998</v>
      </c>
      <c r="EY11" s="9">
        <f>CR11*'MASTER SHEET'!D11</f>
        <v>45559.28</v>
      </c>
      <c r="EZ11" s="9">
        <f>$CV11*'MASTER SHEET'!D11</f>
        <v>45559.28</v>
      </c>
      <c r="FA11" s="9">
        <f>CZ11*'MASTER SHEET'!D11</f>
        <v>137720.56999999998</v>
      </c>
      <c r="FB11" s="9">
        <f>DD11*'MASTER SHEET'!D11</f>
        <v>17405.57</v>
      </c>
      <c r="FC11" s="9">
        <f>DH11*'MASTER SHEET'!D11</f>
        <v>21015.019999999997</v>
      </c>
      <c r="FD11" s="9">
        <f>DL11*'MASTER SHEET'!D11</f>
        <v>128576.62999999999</v>
      </c>
      <c r="FE11" s="9">
        <f>DP11*'MASTER SHEET'!D11</f>
        <v>48366.63</v>
      </c>
      <c r="FF11" s="9">
        <f>DT11*'MASTER SHEET'!D11</f>
        <v>48366.63</v>
      </c>
      <c r="FG11" s="9">
        <f>+DX11*'MASTER SHEET'!D11</f>
        <v>48366.63</v>
      </c>
    </row>
    <row r="12" spans="1:163" s="10" customFormat="1" ht="20.25" customHeight="1" x14ac:dyDescent="0.25">
      <c r="A12" s="25">
        <f>'MASTER SHEET'!A12</f>
        <v>10</v>
      </c>
      <c r="B12" s="26" t="str">
        <f>'MASTER SHEET'!B12</f>
        <v>LID HOUSING</v>
      </c>
      <c r="C12" s="78">
        <f>'MASTER SHEET'!C12</f>
        <v>5015494</v>
      </c>
      <c r="D12" s="159">
        <v>31</v>
      </c>
      <c r="E12" s="28">
        <f>PRODUCTION!F12+'SUPLIER INWARD'!F12</f>
        <v>0</v>
      </c>
      <c r="F12" s="28"/>
      <c r="G12" s="29">
        <v>0</v>
      </c>
      <c r="H12" s="30">
        <f t="shared" si="30"/>
        <v>31</v>
      </c>
      <c r="I12" s="28">
        <f>PRODUCTION!J12+'SUPLIER INWARD'!J12</f>
        <v>0</v>
      </c>
      <c r="J12" s="28"/>
      <c r="K12" s="29">
        <v>0</v>
      </c>
      <c r="L12" s="30">
        <f t="shared" si="31"/>
        <v>31</v>
      </c>
      <c r="M12" s="28">
        <f>PRODUCTION!N12+'SUPLIER INWARD'!N12</f>
        <v>0</v>
      </c>
      <c r="N12" s="28"/>
      <c r="O12" s="29"/>
      <c r="P12" s="30">
        <f t="shared" si="32"/>
        <v>31</v>
      </c>
      <c r="Q12" s="28">
        <f>PRODUCTION!R12+'SUPLIER INWARD'!R12</f>
        <v>0</v>
      </c>
      <c r="R12" s="28"/>
      <c r="S12" s="29">
        <v>0</v>
      </c>
      <c r="T12" s="30">
        <f t="shared" si="33"/>
        <v>31</v>
      </c>
      <c r="U12" s="28">
        <f>PRODUCTION!V12+'SUPLIER INWARD'!V12</f>
        <v>0</v>
      </c>
      <c r="V12" s="28"/>
      <c r="W12" s="29">
        <v>0</v>
      </c>
      <c r="X12" s="30">
        <f t="shared" si="34"/>
        <v>31</v>
      </c>
      <c r="Y12" s="28">
        <f>PRODUCTION!Z12+'SUPLIER INWARD'!Z12</f>
        <v>0</v>
      </c>
      <c r="Z12" s="28"/>
      <c r="AA12" s="29">
        <v>0</v>
      </c>
      <c r="AB12" s="30">
        <f t="shared" si="35"/>
        <v>31</v>
      </c>
      <c r="AC12" s="28">
        <f>PRODUCTION!AD12+'SUPLIER INWARD'!AD12</f>
        <v>0</v>
      </c>
      <c r="AD12" s="151"/>
      <c r="AE12" s="29">
        <v>0</v>
      </c>
      <c r="AF12" s="30">
        <f t="shared" si="36"/>
        <v>31</v>
      </c>
      <c r="AG12" s="28">
        <f>PRODUCTION!AH12+'SUPLIER INWARD'!AH12</f>
        <v>0</v>
      </c>
      <c r="AH12" s="28"/>
      <c r="AI12" s="29">
        <v>0</v>
      </c>
      <c r="AJ12" s="30">
        <f t="shared" si="37"/>
        <v>31</v>
      </c>
      <c r="AK12" s="28">
        <f>PRODUCTION!AL12+'SUPLIER INWARD'!AL12</f>
        <v>0</v>
      </c>
      <c r="AL12" s="28"/>
      <c r="AM12" s="29">
        <v>0</v>
      </c>
      <c r="AN12" s="30">
        <f t="shared" si="38"/>
        <v>31</v>
      </c>
      <c r="AO12" s="28">
        <f>PRODUCTION!AP12+'SUPLIER INWARD'!AP12</f>
        <v>0</v>
      </c>
      <c r="AP12" s="28">
        <v>31</v>
      </c>
      <c r="AQ12" s="29">
        <v>0</v>
      </c>
      <c r="AR12" s="30">
        <f t="shared" si="39"/>
        <v>0</v>
      </c>
      <c r="AS12" s="28">
        <f>PRODUCTION!AT12+'SUPLIER INWARD'!AT12</f>
        <v>0</v>
      </c>
      <c r="AT12" s="28"/>
      <c r="AU12" s="29">
        <v>0</v>
      </c>
      <c r="AV12" s="30">
        <f t="shared" si="40"/>
        <v>0</v>
      </c>
      <c r="AW12" s="28">
        <f>PRODUCTION!AX12+'SUPLIER INWARD'!AX12</f>
        <v>0</v>
      </c>
      <c r="AX12" s="28"/>
      <c r="AY12" s="29"/>
      <c r="AZ12" s="30">
        <f t="shared" si="41"/>
        <v>0</v>
      </c>
      <c r="BA12" s="28">
        <f>PRODUCTION!BB12+'SUPLIER INWARD'!BB12</f>
        <v>0</v>
      </c>
      <c r="BB12" s="28"/>
      <c r="BC12" s="29">
        <v>0</v>
      </c>
      <c r="BD12" s="30">
        <f t="shared" si="42"/>
        <v>0</v>
      </c>
      <c r="BE12" s="28">
        <f>PRODUCTION!BF12+'SUPLIER INWARD'!BF12</f>
        <v>0</v>
      </c>
      <c r="BF12" s="28"/>
      <c r="BG12" s="29">
        <v>0</v>
      </c>
      <c r="BH12" s="30">
        <f t="shared" si="43"/>
        <v>0</v>
      </c>
      <c r="BI12" s="28">
        <f>PRODUCTION!BJ12+'SUPLIER INWARD'!BJ12</f>
        <v>0</v>
      </c>
      <c r="BJ12" s="28"/>
      <c r="BK12" s="29">
        <v>0</v>
      </c>
      <c r="BL12" s="30">
        <f t="shared" si="44"/>
        <v>0</v>
      </c>
      <c r="BM12" s="28">
        <f>PRODUCTION!BN12+'SUPLIER INWARD'!BN12</f>
        <v>1127</v>
      </c>
      <c r="BN12" s="28">
        <v>250</v>
      </c>
      <c r="BO12" s="29">
        <v>0</v>
      </c>
      <c r="BP12" s="30">
        <f t="shared" si="45"/>
        <v>877</v>
      </c>
      <c r="BQ12" s="28">
        <f>PRODUCTION!BR12+'SUPLIER INWARD'!BR12</f>
        <v>60</v>
      </c>
      <c r="BR12" s="28"/>
      <c r="BS12" s="29">
        <v>0</v>
      </c>
      <c r="BT12" s="30">
        <f t="shared" si="46"/>
        <v>937</v>
      </c>
      <c r="BU12" s="28">
        <f>PRODUCTION!BV12+'SUPLIER INWARD'!BV12</f>
        <v>0</v>
      </c>
      <c r="BV12" s="28"/>
      <c r="BW12" s="29">
        <v>0</v>
      </c>
      <c r="BX12" s="30">
        <f t="shared" si="47"/>
        <v>937</v>
      </c>
      <c r="BY12" s="28">
        <f>PRODUCTION!BZ12+'SUPLIER INWARD'!BZ12</f>
        <v>0</v>
      </c>
      <c r="BZ12" s="28"/>
      <c r="CA12" s="29">
        <v>0</v>
      </c>
      <c r="CB12" s="30">
        <f t="shared" si="48"/>
        <v>937</v>
      </c>
      <c r="CC12" s="28">
        <f>PRODUCTION!CD12+'SUPLIER INWARD'!CD12</f>
        <v>0</v>
      </c>
      <c r="CD12" s="28"/>
      <c r="CE12" s="29">
        <v>0</v>
      </c>
      <c r="CF12" s="30">
        <f t="shared" si="49"/>
        <v>937</v>
      </c>
      <c r="CG12" s="28">
        <f>PRODUCTION!CH12+'SUPLIER INWARD'!CH12</f>
        <v>0</v>
      </c>
      <c r="CH12" s="28"/>
      <c r="CI12" s="29">
        <v>0</v>
      </c>
      <c r="CJ12" s="30">
        <f t="shared" si="50"/>
        <v>937</v>
      </c>
      <c r="CK12" s="28">
        <f>PRODUCTION!CL12+'SUPLIER INWARD'!CL12</f>
        <v>0</v>
      </c>
      <c r="CL12" s="151"/>
      <c r="CM12" s="152">
        <v>0</v>
      </c>
      <c r="CN12" s="30">
        <f t="shared" si="51"/>
        <v>937</v>
      </c>
      <c r="CO12" s="28">
        <f>PRODUCTION!CP12+'SUPLIER INWARD'!CP12</f>
        <v>0</v>
      </c>
      <c r="CP12" s="151"/>
      <c r="CQ12" s="29">
        <v>0</v>
      </c>
      <c r="CR12" s="30">
        <f t="shared" si="52"/>
        <v>937</v>
      </c>
      <c r="CS12" s="28">
        <f>PRODUCTION!CT12+'SUPLIER INWARD'!CT12</f>
        <v>0</v>
      </c>
      <c r="CT12" s="28">
        <v>672</v>
      </c>
      <c r="CU12" s="29">
        <v>0</v>
      </c>
      <c r="CV12" s="30">
        <f t="shared" si="53"/>
        <v>265</v>
      </c>
      <c r="CW12" s="28">
        <f>PRODUCTION!CX12+'SUPLIER INWARD'!CX12</f>
        <v>0</v>
      </c>
      <c r="CX12" s="28"/>
      <c r="CY12" s="29">
        <v>0</v>
      </c>
      <c r="CZ12" s="30">
        <f t="shared" si="54"/>
        <v>265</v>
      </c>
      <c r="DA12" s="28">
        <f>PRODUCTION!DB12+'SUPLIER INWARD'!DB12</f>
        <v>0</v>
      </c>
      <c r="DB12" s="28"/>
      <c r="DC12" s="29"/>
      <c r="DD12" s="30">
        <f t="shared" si="55"/>
        <v>265</v>
      </c>
      <c r="DE12" s="28">
        <f>PRODUCTION!DF12+'SUPLIER INWARD'!DF12</f>
        <v>0</v>
      </c>
      <c r="DF12" s="28"/>
      <c r="DG12" s="29">
        <v>0</v>
      </c>
      <c r="DH12" s="30">
        <f t="shared" si="56"/>
        <v>265</v>
      </c>
      <c r="DI12" s="28">
        <f>PRODUCTION!DJ12+'SUPLIER INWARD'!DJ12</f>
        <v>0</v>
      </c>
      <c r="DJ12" s="28">
        <v>100</v>
      </c>
      <c r="DK12" s="29">
        <v>0</v>
      </c>
      <c r="DL12" s="30">
        <f t="shared" si="57"/>
        <v>165</v>
      </c>
      <c r="DM12" s="28">
        <f>PRODUCTION!DN12+'SUPLIER INWARD'!DN12</f>
        <v>0</v>
      </c>
      <c r="DN12" s="28"/>
      <c r="DO12" s="29"/>
      <c r="DP12" s="30">
        <f t="shared" si="58"/>
        <v>165</v>
      </c>
      <c r="DQ12" s="28">
        <f>PRODUCTION!DR12+'SUPLIER INWARD'!DR12</f>
        <v>0</v>
      </c>
      <c r="DR12" s="28"/>
      <c r="DS12" s="29"/>
      <c r="DT12" s="30">
        <f t="shared" si="59"/>
        <v>165</v>
      </c>
      <c r="DU12" s="28">
        <f>PRODUCTION!DV12+'SUPLIER INWARD'!DV12</f>
        <v>0</v>
      </c>
      <c r="DV12" s="28"/>
      <c r="DW12" s="29"/>
      <c r="DX12" s="30">
        <f t="shared" si="60"/>
        <v>165</v>
      </c>
      <c r="DY12" s="31">
        <f t="shared" si="61"/>
        <v>1187</v>
      </c>
      <c r="DZ12" s="31">
        <f t="shared" si="62"/>
        <v>1053</v>
      </c>
      <c r="EA12" s="4">
        <f t="shared" si="63"/>
        <v>0</v>
      </c>
      <c r="EB12" s="9">
        <f>D12*'MASTER SHEET'!D12</f>
        <v>1169.94</v>
      </c>
      <c r="EC12" s="9">
        <f>H12*'MASTER SHEET'!D12</f>
        <v>1169.94</v>
      </c>
      <c r="ED12" s="9">
        <f>L12*'MASTER SHEET'!D12</f>
        <v>1169.94</v>
      </c>
      <c r="EE12" s="9">
        <f>P12*'MASTER SHEET'!D12</f>
        <v>1169.94</v>
      </c>
      <c r="EF12" s="9">
        <f>T12*'MASTER SHEET'!D12</f>
        <v>1169.94</v>
      </c>
      <c r="EG12" s="9">
        <f>X12*'MASTER SHEET'!D12</f>
        <v>1169.94</v>
      </c>
      <c r="EH12" s="9">
        <f>AB12*'MASTER SHEET'!D12</f>
        <v>1169.94</v>
      </c>
      <c r="EI12" s="9">
        <f>AF12*'MASTER SHEET'!D12</f>
        <v>1169.94</v>
      </c>
      <c r="EJ12" s="9">
        <f>AJ12*'MASTER SHEET'!D12</f>
        <v>1169.94</v>
      </c>
      <c r="EK12" s="9">
        <f>AN12*'MASTER SHEET'!D12</f>
        <v>1169.94</v>
      </c>
      <c r="EL12" s="9">
        <f>AR12*'MASTER SHEET'!D12</f>
        <v>0</v>
      </c>
      <c r="EM12" s="9">
        <f>AV12*'MASTER SHEET'!D12</f>
        <v>0</v>
      </c>
      <c r="EN12" s="9">
        <f>AZ12*'MASTER SHEET'!D12</f>
        <v>0</v>
      </c>
      <c r="EO12" s="9">
        <f>BD12*'MASTER SHEET'!D12</f>
        <v>0</v>
      </c>
      <c r="EP12" s="9">
        <f>$BH12*'MASTER SHEET'!$D12</f>
        <v>0</v>
      </c>
      <c r="EQ12" s="9">
        <f>BL12*'MASTER SHEET'!D12</f>
        <v>0</v>
      </c>
      <c r="ER12" s="9">
        <f>BP12*'MASTER SHEET'!D12</f>
        <v>33097.980000000003</v>
      </c>
      <c r="ES12" s="9">
        <f>BT12*'MASTER SHEET'!D12</f>
        <v>35362.380000000005</v>
      </c>
      <c r="ET12" s="9">
        <f>BX12*'MASTER SHEET'!D12</f>
        <v>35362.380000000005</v>
      </c>
      <c r="EU12" s="9">
        <f>CB12*'MASTER SHEET'!D12</f>
        <v>35362.380000000005</v>
      </c>
      <c r="EV12" s="9">
        <f>CF12*'MASTER SHEET'!D12</f>
        <v>35362.380000000005</v>
      </c>
      <c r="EW12" s="9">
        <f>CJ12*'MASTER SHEET'!D12</f>
        <v>35362.380000000005</v>
      </c>
      <c r="EX12" s="9">
        <f>CN12*'MASTER SHEET'!D12</f>
        <v>35362.380000000005</v>
      </c>
      <c r="EY12" s="9">
        <f>CR12*'MASTER SHEET'!D12</f>
        <v>35362.380000000005</v>
      </c>
      <c r="EZ12" s="9">
        <f>$CV12*'MASTER SHEET'!D12</f>
        <v>10001.1</v>
      </c>
      <c r="FA12" s="9">
        <f>CZ12*'MASTER SHEET'!D12</f>
        <v>10001.1</v>
      </c>
      <c r="FB12" s="9">
        <f>DD12*'MASTER SHEET'!D12</f>
        <v>10001.1</v>
      </c>
      <c r="FC12" s="9">
        <f>DH12*'MASTER SHEET'!D12</f>
        <v>10001.1</v>
      </c>
      <c r="FD12" s="9">
        <f>DL12*'MASTER SHEET'!D12</f>
        <v>6227.1</v>
      </c>
      <c r="FE12" s="9">
        <f>DP12*'MASTER SHEET'!D12</f>
        <v>6227.1</v>
      </c>
      <c r="FF12" s="9">
        <f>DT12*'MASTER SHEET'!D12</f>
        <v>6227.1</v>
      </c>
      <c r="FG12" s="9">
        <f>+DX12*'MASTER SHEET'!D12</f>
        <v>6227.1</v>
      </c>
    </row>
    <row r="13" spans="1:163" ht="20.25" customHeight="1" x14ac:dyDescent="0.25">
      <c r="A13" s="25">
        <f>'MASTER SHEET'!A13</f>
        <v>11</v>
      </c>
      <c r="B13" s="26" t="str">
        <f>'MASTER SHEET'!B13</f>
        <v>LID HOUSING</v>
      </c>
      <c r="C13" s="78">
        <f>'MASTER SHEET'!C13</f>
        <v>5015499</v>
      </c>
      <c r="D13" s="163">
        <f>49+61</f>
        <v>110</v>
      </c>
      <c r="E13" s="28">
        <f>PRODUCTION!F13+'SUPLIER INWARD'!F13</f>
        <v>967</v>
      </c>
      <c r="F13" s="28"/>
      <c r="G13" s="29">
        <v>0</v>
      </c>
      <c r="H13" s="30">
        <f t="shared" si="30"/>
        <v>1077</v>
      </c>
      <c r="I13" s="28">
        <f>PRODUCTION!J13+'SUPLIER INWARD'!J13</f>
        <v>1304</v>
      </c>
      <c r="J13" s="28">
        <v>850</v>
      </c>
      <c r="K13" s="29">
        <v>0</v>
      </c>
      <c r="L13" s="30">
        <f t="shared" si="31"/>
        <v>1531</v>
      </c>
      <c r="M13" s="28">
        <f>PRODUCTION!N13+'SUPLIER INWARD'!N13</f>
        <v>0</v>
      </c>
      <c r="N13" s="28"/>
      <c r="O13" s="29"/>
      <c r="P13" s="30">
        <f t="shared" si="32"/>
        <v>1531</v>
      </c>
      <c r="Q13" s="28">
        <f>PRODUCTION!R13+'SUPLIER INWARD'!R13</f>
        <v>1568</v>
      </c>
      <c r="R13" s="28">
        <v>1300</v>
      </c>
      <c r="S13" s="29">
        <v>22</v>
      </c>
      <c r="T13" s="30">
        <f t="shared" si="33"/>
        <v>1777</v>
      </c>
      <c r="U13" s="28">
        <f>PRODUCTION!V13+'SUPLIER INWARD'!V13</f>
        <v>63</v>
      </c>
      <c r="V13" s="28"/>
      <c r="W13" s="29">
        <v>0</v>
      </c>
      <c r="X13" s="30">
        <f t="shared" si="34"/>
        <v>1840</v>
      </c>
      <c r="Y13" s="28">
        <f>PRODUCTION!Z13+'SUPLIER INWARD'!Z13</f>
        <v>0</v>
      </c>
      <c r="Z13" s="28">
        <v>650</v>
      </c>
      <c r="AA13" s="29">
        <v>0</v>
      </c>
      <c r="AB13" s="30">
        <f t="shared" si="35"/>
        <v>1190</v>
      </c>
      <c r="AC13" s="28">
        <f>PRODUCTION!AD13+'SUPLIER INWARD'!AD13</f>
        <v>0</v>
      </c>
      <c r="AD13" s="151">
        <v>1050</v>
      </c>
      <c r="AE13" s="29">
        <v>2</v>
      </c>
      <c r="AF13" s="30">
        <f t="shared" si="36"/>
        <v>138</v>
      </c>
      <c r="AG13" s="28">
        <f>PRODUCTION!AH13+'SUPLIER INWARD'!AH13</f>
        <v>0</v>
      </c>
      <c r="AH13" s="28"/>
      <c r="AI13" s="29">
        <v>0</v>
      </c>
      <c r="AJ13" s="30">
        <f t="shared" si="37"/>
        <v>138</v>
      </c>
      <c r="AK13" s="28">
        <f>PRODUCTION!AL13+'SUPLIER INWARD'!AL13</f>
        <v>0</v>
      </c>
      <c r="AL13" s="28"/>
      <c r="AM13" s="29">
        <v>0</v>
      </c>
      <c r="AN13" s="30">
        <f t="shared" si="38"/>
        <v>138</v>
      </c>
      <c r="AO13" s="28">
        <f>PRODUCTION!AP13+'SUPLIER INWARD'!AP13</f>
        <v>0</v>
      </c>
      <c r="AP13" s="28">
        <v>127</v>
      </c>
      <c r="AQ13" s="29">
        <v>0</v>
      </c>
      <c r="AR13" s="30">
        <f t="shared" si="39"/>
        <v>11</v>
      </c>
      <c r="AS13" s="28">
        <f>PRODUCTION!AT13+'SUPLIER INWARD'!AT13</f>
        <v>0</v>
      </c>
      <c r="AT13" s="28"/>
      <c r="AU13" s="29">
        <v>0</v>
      </c>
      <c r="AV13" s="30">
        <f t="shared" si="40"/>
        <v>11</v>
      </c>
      <c r="AW13" s="28">
        <f>PRODUCTION!AX13+'SUPLIER INWARD'!AX13</f>
        <v>0</v>
      </c>
      <c r="AX13" s="28"/>
      <c r="AY13" s="29"/>
      <c r="AZ13" s="30">
        <f t="shared" si="41"/>
        <v>11</v>
      </c>
      <c r="BA13" s="28">
        <f>PRODUCTION!BB13+'SUPLIER INWARD'!BB13</f>
        <v>150</v>
      </c>
      <c r="BB13" s="28"/>
      <c r="BC13" s="29">
        <v>0</v>
      </c>
      <c r="BD13" s="30">
        <f t="shared" si="42"/>
        <v>161</v>
      </c>
      <c r="BE13" s="28">
        <f>PRODUCTION!BF13+'SUPLIER INWARD'!BF13</f>
        <v>188</v>
      </c>
      <c r="BF13" s="28">
        <v>333</v>
      </c>
      <c r="BG13" s="29">
        <v>4</v>
      </c>
      <c r="BH13" s="30">
        <f t="shared" si="43"/>
        <v>12</v>
      </c>
      <c r="BI13" s="28">
        <f>PRODUCTION!BJ13+'SUPLIER INWARD'!BJ13</f>
        <v>0</v>
      </c>
      <c r="BJ13" s="28"/>
      <c r="BK13" s="29">
        <v>0</v>
      </c>
      <c r="BL13" s="30">
        <f t="shared" si="44"/>
        <v>12</v>
      </c>
      <c r="BM13" s="28">
        <f>PRODUCTION!BN13+'SUPLIER INWARD'!BN13</f>
        <v>0</v>
      </c>
      <c r="BN13" s="28"/>
      <c r="BO13" s="29">
        <v>0</v>
      </c>
      <c r="BP13" s="30">
        <f t="shared" si="45"/>
        <v>12</v>
      </c>
      <c r="BQ13" s="28">
        <f>PRODUCTION!BR13+'SUPLIER INWARD'!BR13</f>
        <v>418</v>
      </c>
      <c r="BR13" s="28"/>
      <c r="BS13" s="29">
        <v>0</v>
      </c>
      <c r="BT13" s="30">
        <f t="shared" si="46"/>
        <v>430</v>
      </c>
      <c r="BU13" s="28">
        <f>PRODUCTION!BV13+'SUPLIER INWARD'!BV13</f>
        <v>516</v>
      </c>
      <c r="BV13" s="28">
        <v>867</v>
      </c>
      <c r="BW13" s="29">
        <v>0</v>
      </c>
      <c r="BX13" s="30">
        <f t="shared" si="47"/>
        <v>79</v>
      </c>
      <c r="BY13" s="28">
        <f>PRODUCTION!BZ13+'SUPLIER INWARD'!BZ13</f>
        <v>0</v>
      </c>
      <c r="BZ13" s="28"/>
      <c r="CA13" s="29">
        <v>0</v>
      </c>
      <c r="CB13" s="30">
        <f t="shared" si="48"/>
        <v>79</v>
      </c>
      <c r="CC13" s="28">
        <f>PRODUCTION!CD13+'SUPLIER INWARD'!CD13</f>
        <v>1077</v>
      </c>
      <c r="CD13" s="28">
        <v>354</v>
      </c>
      <c r="CE13" s="29">
        <v>0</v>
      </c>
      <c r="CF13" s="30">
        <f t="shared" si="49"/>
        <v>802</v>
      </c>
      <c r="CG13" s="28">
        <f>PRODUCTION!CH13+'SUPLIER INWARD'!CH13</f>
        <v>1516</v>
      </c>
      <c r="CH13" s="28">
        <v>504</v>
      </c>
      <c r="CI13" s="29">
        <v>1</v>
      </c>
      <c r="CJ13" s="30">
        <f t="shared" si="50"/>
        <v>1813</v>
      </c>
      <c r="CK13" s="28">
        <f>PRODUCTION!CL13+'SUPLIER INWARD'!CL13</f>
        <v>1463</v>
      </c>
      <c r="CL13" s="151">
        <v>1008</v>
      </c>
      <c r="CM13" s="152">
        <v>1</v>
      </c>
      <c r="CN13" s="30">
        <f t="shared" si="51"/>
        <v>2267</v>
      </c>
      <c r="CO13" s="28">
        <f>PRODUCTION!CP13+'SUPLIER INWARD'!CP13</f>
        <v>63</v>
      </c>
      <c r="CP13" s="151">
        <v>1176</v>
      </c>
      <c r="CQ13" s="29">
        <v>0</v>
      </c>
      <c r="CR13" s="30">
        <f t="shared" si="52"/>
        <v>1154</v>
      </c>
      <c r="CS13" s="28">
        <f>PRODUCTION!CT13+'SUPLIER INWARD'!CT13</f>
        <v>0</v>
      </c>
      <c r="CT13" s="28"/>
      <c r="CU13" s="29">
        <v>0</v>
      </c>
      <c r="CV13" s="30">
        <f t="shared" si="53"/>
        <v>1154</v>
      </c>
      <c r="CW13" s="28">
        <f>PRODUCTION!CX13+'SUPLIER INWARD'!CX13</f>
        <v>0</v>
      </c>
      <c r="CX13" s="28">
        <v>672</v>
      </c>
      <c r="CY13" s="29">
        <v>3</v>
      </c>
      <c r="CZ13" s="30">
        <f t="shared" si="54"/>
        <v>479</v>
      </c>
      <c r="DA13" s="28">
        <f>PRODUCTION!DB13+'SUPLIER INWARD'!DB13</f>
        <v>0</v>
      </c>
      <c r="DB13" s="28"/>
      <c r="DC13" s="29"/>
      <c r="DD13" s="30">
        <f t="shared" si="55"/>
        <v>479</v>
      </c>
      <c r="DE13" s="28">
        <f>PRODUCTION!DF13+'SUPLIER INWARD'!DF13</f>
        <v>0</v>
      </c>
      <c r="DF13" s="28">
        <v>100</v>
      </c>
      <c r="DG13" s="29">
        <v>0</v>
      </c>
      <c r="DH13" s="30">
        <f t="shared" si="56"/>
        <v>379</v>
      </c>
      <c r="DI13" s="28">
        <f>PRODUCTION!DJ13+'SUPLIER INWARD'!DJ13</f>
        <v>85</v>
      </c>
      <c r="DJ13" s="28"/>
      <c r="DK13" s="29">
        <v>0</v>
      </c>
      <c r="DL13" s="30">
        <f t="shared" si="57"/>
        <v>464</v>
      </c>
      <c r="DM13" s="28">
        <f>PRODUCTION!DN13+'SUPLIER INWARD'!DN13</f>
        <v>1431</v>
      </c>
      <c r="DN13" s="28">
        <v>250</v>
      </c>
      <c r="DO13" s="29"/>
      <c r="DP13" s="30">
        <f t="shared" si="58"/>
        <v>1645</v>
      </c>
      <c r="DQ13" s="28">
        <f>PRODUCTION!DR13+'SUPLIER INWARD'!DR13</f>
        <v>0</v>
      </c>
      <c r="DR13" s="28"/>
      <c r="DS13" s="29"/>
      <c r="DT13" s="30">
        <f t="shared" si="59"/>
        <v>1645</v>
      </c>
      <c r="DU13" s="28">
        <f>PRODUCTION!DV13+'SUPLIER INWARD'!DV13</f>
        <v>0</v>
      </c>
      <c r="DV13" s="28"/>
      <c r="DW13" s="29"/>
      <c r="DX13" s="30">
        <f t="shared" si="60"/>
        <v>1645</v>
      </c>
      <c r="DY13" s="31">
        <f t="shared" si="61"/>
        <v>10809</v>
      </c>
      <c r="DZ13" s="31">
        <f t="shared" si="62"/>
        <v>9241</v>
      </c>
      <c r="EA13" s="4">
        <f t="shared" si="63"/>
        <v>33</v>
      </c>
      <c r="EB13" s="9">
        <f>D13*'MASTER SHEET'!D13</f>
        <v>3063.5</v>
      </c>
      <c r="EC13" s="9">
        <f>H13*'MASTER SHEET'!D13</f>
        <v>29994.45</v>
      </c>
      <c r="ED13" s="9">
        <f>L13*'MASTER SHEET'!D13</f>
        <v>42638.35</v>
      </c>
      <c r="EE13" s="9">
        <f>P13*'MASTER SHEET'!D13</f>
        <v>42638.35</v>
      </c>
      <c r="EF13" s="9">
        <f>T13*'MASTER SHEET'!D13</f>
        <v>49489.450000000004</v>
      </c>
      <c r="EG13" s="9">
        <f>X13*'MASTER SHEET'!D13</f>
        <v>51244</v>
      </c>
      <c r="EH13" s="9">
        <f>AB13*'MASTER SHEET'!D13</f>
        <v>33141.5</v>
      </c>
      <c r="EI13" s="9">
        <f>AF13*'MASTER SHEET'!D13</f>
        <v>3843.3</v>
      </c>
      <c r="EJ13" s="9">
        <f>AJ13*'MASTER SHEET'!D13</f>
        <v>3843.3</v>
      </c>
      <c r="EK13" s="9">
        <f>AN13*'MASTER SHEET'!D13</f>
        <v>3843.3</v>
      </c>
      <c r="EL13" s="9">
        <f>AR13*'MASTER SHEET'!D13</f>
        <v>306.35000000000002</v>
      </c>
      <c r="EM13" s="9">
        <f>AV13*'MASTER SHEET'!D13</f>
        <v>306.35000000000002</v>
      </c>
      <c r="EN13" s="9">
        <f>AZ13*'MASTER SHEET'!D13</f>
        <v>306.35000000000002</v>
      </c>
      <c r="EO13" s="9">
        <f>BD13*'MASTER SHEET'!D13</f>
        <v>4483.8500000000004</v>
      </c>
      <c r="EP13" s="9">
        <f>$BH13*'MASTER SHEET'!$D13</f>
        <v>334.20000000000005</v>
      </c>
      <c r="EQ13" s="9">
        <f>BL13*'MASTER SHEET'!D13</f>
        <v>334.20000000000005</v>
      </c>
      <c r="ER13" s="9">
        <f>BP13*'MASTER SHEET'!D13</f>
        <v>334.20000000000005</v>
      </c>
      <c r="ES13" s="9">
        <f>BT13*'MASTER SHEET'!D13</f>
        <v>11975.5</v>
      </c>
      <c r="ET13" s="9">
        <f>BX13*'MASTER SHEET'!D13</f>
        <v>2200.15</v>
      </c>
      <c r="EU13" s="9">
        <f>CB13*'MASTER SHEET'!D13</f>
        <v>2200.15</v>
      </c>
      <c r="EV13" s="9">
        <f>CF13*'MASTER SHEET'!D13</f>
        <v>22335.7</v>
      </c>
      <c r="EW13" s="9">
        <f>CJ13*'MASTER SHEET'!D13</f>
        <v>50492.05</v>
      </c>
      <c r="EX13" s="9">
        <f>CN13*'MASTER SHEET'!D13</f>
        <v>63135.950000000004</v>
      </c>
      <c r="EY13" s="9">
        <f>CR13*'MASTER SHEET'!D13</f>
        <v>32138.9</v>
      </c>
      <c r="EZ13" s="9">
        <f>$CV13*'MASTER SHEET'!D13</f>
        <v>32138.9</v>
      </c>
      <c r="FA13" s="9">
        <f>CZ13*'MASTER SHEET'!D13</f>
        <v>13340.150000000001</v>
      </c>
      <c r="FB13" s="9">
        <f>DD13*'MASTER SHEET'!D13</f>
        <v>13340.150000000001</v>
      </c>
      <c r="FC13" s="9">
        <f>DH13*'MASTER SHEET'!D13</f>
        <v>10555.15</v>
      </c>
      <c r="FD13" s="9">
        <f>DL13*'MASTER SHEET'!D13</f>
        <v>12922.400000000001</v>
      </c>
      <c r="FE13" s="9">
        <f>DP13*'MASTER SHEET'!D13</f>
        <v>45813.25</v>
      </c>
      <c r="FF13" s="9">
        <f>DT13*'MASTER SHEET'!D13</f>
        <v>45813.25</v>
      </c>
      <c r="FG13" s="9">
        <f>+DX13*'MASTER SHEET'!D13</f>
        <v>45813.25</v>
      </c>
    </row>
    <row r="14" spans="1:163" ht="20.25" customHeight="1" x14ac:dyDescent="0.25">
      <c r="A14" s="25">
        <f>'MASTER SHEET'!A14</f>
        <v>12</v>
      </c>
      <c r="B14" s="26" t="str">
        <f>'MASTER SHEET'!B14</f>
        <v xml:space="preserve">END PLATE PLASTIC </v>
      </c>
      <c r="C14" s="78">
        <f>'MASTER SHEET'!C14</f>
        <v>5015855</v>
      </c>
      <c r="D14" s="159">
        <f>5100</f>
        <v>5100</v>
      </c>
      <c r="E14" s="28">
        <f>PRODUCTION!F14+'SUPLIER INWARD'!F14</f>
        <v>5000</v>
      </c>
      <c r="F14" s="28">
        <v>3100</v>
      </c>
      <c r="G14" s="29">
        <v>21</v>
      </c>
      <c r="H14" s="30">
        <f t="shared" si="30"/>
        <v>6979</v>
      </c>
      <c r="I14" s="28">
        <f>PRODUCTION!J14+'SUPLIER INWARD'!J14</f>
        <v>4000</v>
      </c>
      <c r="J14" s="28">
        <v>5000</v>
      </c>
      <c r="K14" s="29">
        <v>1</v>
      </c>
      <c r="L14" s="30">
        <f t="shared" si="31"/>
        <v>5978</v>
      </c>
      <c r="M14" s="28">
        <f>PRODUCTION!N14+'SUPLIER INWARD'!N14</f>
        <v>0</v>
      </c>
      <c r="N14" s="28"/>
      <c r="O14" s="29"/>
      <c r="P14" s="30">
        <f t="shared" si="32"/>
        <v>5978</v>
      </c>
      <c r="Q14" s="28">
        <f>PRODUCTION!R14+'SUPLIER INWARD'!R14</f>
        <v>5000</v>
      </c>
      <c r="R14" s="28">
        <v>2000</v>
      </c>
      <c r="S14" s="29">
        <v>0</v>
      </c>
      <c r="T14" s="30">
        <f t="shared" si="33"/>
        <v>8978</v>
      </c>
      <c r="U14" s="28">
        <f>PRODUCTION!V14+'SUPLIER INWARD'!V14</f>
        <v>0</v>
      </c>
      <c r="V14" s="28"/>
      <c r="W14" s="29">
        <v>0</v>
      </c>
      <c r="X14" s="30">
        <f t="shared" si="34"/>
        <v>8978</v>
      </c>
      <c r="Y14" s="28">
        <f>PRODUCTION!Z14+'SUPLIER INWARD'!Z14</f>
        <v>4000</v>
      </c>
      <c r="Z14" s="28">
        <v>3500</v>
      </c>
      <c r="AA14" s="29">
        <v>5</v>
      </c>
      <c r="AB14" s="30">
        <f t="shared" si="35"/>
        <v>9473</v>
      </c>
      <c r="AC14" s="28">
        <f>PRODUCTION!AD14+'SUPLIER INWARD'!AD14</f>
        <v>4000</v>
      </c>
      <c r="AD14" s="153">
        <v>3000</v>
      </c>
      <c r="AE14" s="29">
        <v>4</v>
      </c>
      <c r="AF14" s="30">
        <f t="shared" si="36"/>
        <v>10469</v>
      </c>
      <c r="AG14" s="28">
        <f>PRODUCTION!AH14+'SUPLIER INWARD'!AH14</f>
        <v>4000</v>
      </c>
      <c r="AH14" s="28">
        <v>5500</v>
      </c>
      <c r="AI14" s="29">
        <v>0</v>
      </c>
      <c r="AJ14" s="30">
        <f t="shared" si="37"/>
        <v>8969</v>
      </c>
      <c r="AK14" s="28">
        <f>PRODUCTION!AL14+'SUPLIER INWARD'!AL14</f>
        <v>5500</v>
      </c>
      <c r="AL14" s="28">
        <v>5000</v>
      </c>
      <c r="AM14" s="29">
        <v>0</v>
      </c>
      <c r="AN14" s="30">
        <f t="shared" si="38"/>
        <v>9469</v>
      </c>
      <c r="AO14" s="28">
        <f>PRODUCTION!AP14+'SUPLIER INWARD'!AP14</f>
        <v>0</v>
      </c>
      <c r="AP14" s="28">
        <v>7400</v>
      </c>
      <c r="AQ14" s="29">
        <v>12</v>
      </c>
      <c r="AR14" s="30">
        <f t="shared" si="39"/>
        <v>2057</v>
      </c>
      <c r="AS14" s="28">
        <f>PRODUCTION!AT14+'SUPLIER INWARD'!AT14</f>
        <v>3000</v>
      </c>
      <c r="AT14" s="28"/>
      <c r="AU14" s="29">
        <v>0</v>
      </c>
      <c r="AV14" s="30">
        <f t="shared" si="40"/>
        <v>5057</v>
      </c>
      <c r="AW14" s="28">
        <f>PRODUCTION!AX14+'SUPLIER INWARD'!AX14</f>
        <v>0</v>
      </c>
      <c r="AX14" s="28"/>
      <c r="AY14" s="29"/>
      <c r="AZ14" s="30">
        <f t="shared" si="41"/>
        <v>5057</v>
      </c>
      <c r="BA14" s="28">
        <f>PRODUCTION!BB14+'SUPLIER INWARD'!BB14</f>
        <v>4500</v>
      </c>
      <c r="BB14" s="28">
        <v>3000</v>
      </c>
      <c r="BC14" s="29">
        <v>8</v>
      </c>
      <c r="BD14" s="30">
        <f t="shared" si="42"/>
        <v>6549</v>
      </c>
      <c r="BE14" s="28">
        <f>PRODUCTION!BF14+'SUPLIER INWARD'!BF14</f>
        <v>0</v>
      </c>
      <c r="BF14" s="28">
        <v>1600</v>
      </c>
      <c r="BG14" s="29">
        <v>40</v>
      </c>
      <c r="BH14" s="30">
        <f t="shared" si="43"/>
        <v>4909</v>
      </c>
      <c r="BI14" s="28">
        <f>PRODUCTION!BJ14+'SUPLIER INWARD'!BJ14</f>
        <v>0</v>
      </c>
      <c r="BJ14" s="28"/>
      <c r="BK14" s="29">
        <v>0</v>
      </c>
      <c r="BL14" s="30">
        <f t="shared" si="44"/>
        <v>4909</v>
      </c>
      <c r="BM14" s="28">
        <f>PRODUCTION!BN14+'SUPLIER INWARD'!BN14</f>
        <v>0</v>
      </c>
      <c r="BN14" s="28">
        <f>100+1200</f>
        <v>1300</v>
      </c>
      <c r="BO14" s="29">
        <v>9</v>
      </c>
      <c r="BP14" s="30">
        <f t="shared" si="45"/>
        <v>3600</v>
      </c>
      <c r="BQ14" s="28">
        <f>PRODUCTION!BR14+'SUPLIER INWARD'!BR14</f>
        <v>3000</v>
      </c>
      <c r="BR14" s="28">
        <v>2200</v>
      </c>
      <c r="BS14" s="29">
        <v>13</v>
      </c>
      <c r="BT14" s="30">
        <f t="shared" si="46"/>
        <v>4387</v>
      </c>
      <c r="BU14" s="28">
        <f>PRODUCTION!BV14+'SUPLIER INWARD'!BV14</f>
        <v>5157</v>
      </c>
      <c r="BV14" s="151">
        <v>4600</v>
      </c>
      <c r="BW14" s="29">
        <v>190</v>
      </c>
      <c r="BX14" s="30">
        <f t="shared" si="47"/>
        <v>4754</v>
      </c>
      <c r="BY14" s="28">
        <f>PRODUCTION!BZ14+'SUPLIER INWARD'!BZ14</f>
        <v>0</v>
      </c>
      <c r="BZ14" s="28"/>
      <c r="CA14" s="29">
        <v>0</v>
      </c>
      <c r="CB14" s="30">
        <f t="shared" si="48"/>
        <v>4754</v>
      </c>
      <c r="CC14" s="28">
        <f>PRODUCTION!CD14+'SUPLIER INWARD'!CD14</f>
        <v>4000</v>
      </c>
      <c r="CD14" s="28">
        <v>3000</v>
      </c>
      <c r="CE14" s="29">
        <v>19</v>
      </c>
      <c r="CF14" s="30">
        <f t="shared" si="49"/>
        <v>5735</v>
      </c>
      <c r="CG14" s="28">
        <f>PRODUCTION!CH14+'SUPLIER INWARD'!CH14</f>
        <v>3000</v>
      </c>
      <c r="CH14" s="28">
        <v>2000</v>
      </c>
      <c r="CI14" s="29">
        <v>4</v>
      </c>
      <c r="CJ14" s="30">
        <f t="shared" si="50"/>
        <v>6731</v>
      </c>
      <c r="CK14" s="28">
        <f>PRODUCTION!CL14+'SUPLIER INWARD'!CL14</f>
        <v>3000</v>
      </c>
      <c r="CL14" s="151">
        <v>2000</v>
      </c>
      <c r="CM14" s="152">
        <v>0</v>
      </c>
      <c r="CN14" s="30">
        <f t="shared" si="51"/>
        <v>7731</v>
      </c>
      <c r="CO14" s="28">
        <f>PRODUCTION!CP14+'SUPLIER INWARD'!CP14</f>
        <v>2500</v>
      </c>
      <c r="CP14" s="151">
        <v>3400</v>
      </c>
      <c r="CQ14" s="29">
        <v>77</v>
      </c>
      <c r="CR14" s="30">
        <f t="shared" si="52"/>
        <v>6754</v>
      </c>
      <c r="CS14" s="28">
        <f>PRODUCTION!CT14+'SUPLIER INWARD'!CT14</f>
        <v>1500</v>
      </c>
      <c r="CT14" s="28">
        <v>3500</v>
      </c>
      <c r="CU14" s="29">
        <v>0</v>
      </c>
      <c r="CV14" s="30">
        <f t="shared" si="53"/>
        <v>4754</v>
      </c>
      <c r="CW14" s="28">
        <f>PRODUCTION!CX14+'SUPLIER INWARD'!CX14</f>
        <v>2500</v>
      </c>
      <c r="CX14" s="28">
        <v>4700</v>
      </c>
      <c r="CY14" s="29">
        <v>86</v>
      </c>
      <c r="CZ14" s="30">
        <f t="shared" si="54"/>
        <v>2468</v>
      </c>
      <c r="DA14" s="28">
        <f>PRODUCTION!DB14+'SUPLIER INWARD'!DB14</f>
        <v>4500</v>
      </c>
      <c r="DB14" s="28">
        <v>2000</v>
      </c>
      <c r="DC14" s="29"/>
      <c r="DD14" s="30">
        <f t="shared" si="55"/>
        <v>4968</v>
      </c>
      <c r="DE14" s="28">
        <f>PRODUCTION!DF14+'SUPLIER INWARD'!DF14</f>
        <v>1500</v>
      </c>
      <c r="DF14" s="28">
        <v>3600</v>
      </c>
      <c r="DG14" s="29">
        <v>3</v>
      </c>
      <c r="DH14" s="30">
        <f t="shared" si="56"/>
        <v>2865</v>
      </c>
      <c r="DI14" s="28">
        <f>PRODUCTION!DJ14+'SUPLIER INWARD'!DJ14</f>
        <v>2000</v>
      </c>
      <c r="DJ14" s="28">
        <v>1500</v>
      </c>
      <c r="DK14" s="29">
        <v>0</v>
      </c>
      <c r="DL14" s="30">
        <f t="shared" si="57"/>
        <v>3365</v>
      </c>
      <c r="DM14" s="28">
        <f>PRODUCTION!DN14+'SUPLIER INWARD'!DN14</f>
        <v>5500</v>
      </c>
      <c r="DN14" s="28">
        <v>2000</v>
      </c>
      <c r="DO14" s="29"/>
      <c r="DP14" s="30">
        <f t="shared" si="58"/>
        <v>6865</v>
      </c>
      <c r="DQ14" s="28">
        <f>PRODUCTION!DR14+'SUPLIER INWARD'!DR14</f>
        <v>0</v>
      </c>
      <c r="DR14" s="28"/>
      <c r="DS14" s="29"/>
      <c r="DT14" s="30">
        <f t="shared" si="59"/>
        <v>6865</v>
      </c>
      <c r="DU14" s="28">
        <f>PRODUCTION!DV14+'SUPLIER INWARD'!DV14</f>
        <v>0</v>
      </c>
      <c r="DV14" s="28"/>
      <c r="DW14" s="29"/>
      <c r="DX14" s="30">
        <f t="shared" si="60"/>
        <v>6865</v>
      </c>
      <c r="DY14" s="31">
        <f t="shared" si="61"/>
        <v>77157</v>
      </c>
      <c r="DZ14" s="31">
        <f t="shared" si="62"/>
        <v>74900</v>
      </c>
      <c r="EA14" s="4">
        <f t="shared" si="63"/>
        <v>492</v>
      </c>
      <c r="EB14" s="9">
        <f>D14*'MASTER SHEET'!D14</f>
        <v>73287</v>
      </c>
      <c r="EC14" s="9">
        <f>H14*'MASTER SHEET'!D14</f>
        <v>100288.23</v>
      </c>
      <c r="ED14" s="9">
        <f>L14*'MASTER SHEET'!D14</f>
        <v>85903.86</v>
      </c>
      <c r="EE14" s="9">
        <f>P14*'MASTER SHEET'!D14</f>
        <v>85903.86</v>
      </c>
      <c r="EF14" s="9">
        <f>T14*'MASTER SHEET'!D14</f>
        <v>129013.85999999999</v>
      </c>
      <c r="EG14" s="9">
        <f>X14*'MASTER SHEET'!D14</f>
        <v>129013.85999999999</v>
      </c>
      <c r="EH14" s="9">
        <f>AB14*'MASTER SHEET'!D14</f>
        <v>136127.00999999998</v>
      </c>
      <c r="EI14" s="9">
        <f>AF14*'MASTER SHEET'!D14</f>
        <v>150439.53</v>
      </c>
      <c r="EJ14" s="9">
        <f>AJ14*'MASTER SHEET'!D14</f>
        <v>128884.53</v>
      </c>
      <c r="EK14" s="9">
        <f>AN14*'MASTER SHEET'!D14</f>
        <v>136069.53</v>
      </c>
      <c r="EL14" s="9">
        <f>AR14*'MASTER SHEET'!D14</f>
        <v>29559.09</v>
      </c>
      <c r="EM14" s="9">
        <f>AV14*'MASTER SHEET'!D14</f>
        <v>72669.09</v>
      </c>
      <c r="EN14" s="9">
        <f>AZ14*'MASTER SHEET'!D14</f>
        <v>72669.09</v>
      </c>
      <c r="EO14" s="9">
        <f>BD14*'MASTER SHEET'!D14</f>
        <v>94109.12999999999</v>
      </c>
      <c r="EP14" s="9">
        <f>$BH14*'MASTER SHEET'!$D14</f>
        <v>70542.33</v>
      </c>
      <c r="EQ14" s="9">
        <f>BL14*'MASTER SHEET'!D14</f>
        <v>70542.33</v>
      </c>
      <c r="ER14" s="9">
        <f>BP14*'MASTER SHEET'!D14</f>
        <v>51732</v>
      </c>
      <c r="ES14" s="9">
        <f>BT14*'MASTER SHEET'!D14</f>
        <v>63041.189999999995</v>
      </c>
      <c r="ET14" s="9">
        <f>BX14*'MASTER SHEET'!D14</f>
        <v>68314.98</v>
      </c>
      <c r="EU14" s="9">
        <f>CB14*'MASTER SHEET'!D14</f>
        <v>68314.98</v>
      </c>
      <c r="EV14" s="9">
        <f>CF14*'MASTER SHEET'!D14</f>
        <v>82411.95</v>
      </c>
      <c r="EW14" s="9">
        <f>CJ14*'MASTER SHEET'!D14</f>
        <v>96724.47</v>
      </c>
      <c r="EX14" s="9">
        <f>CN14*'MASTER SHEET'!D14</f>
        <v>111094.47</v>
      </c>
      <c r="EY14" s="9">
        <f>CR14*'MASTER SHEET'!D14</f>
        <v>97054.98</v>
      </c>
      <c r="EZ14" s="9">
        <f>$CV14*'MASTER SHEET'!D14</f>
        <v>68314.98</v>
      </c>
      <c r="FA14" s="9">
        <f>CZ14*'MASTER SHEET'!D14</f>
        <v>35465.159999999996</v>
      </c>
      <c r="FB14" s="9">
        <f>DD14*'MASTER SHEET'!D14</f>
        <v>71390.159999999989</v>
      </c>
      <c r="FC14" s="9">
        <f>DH14*'MASTER SHEET'!D14</f>
        <v>41170.049999999996</v>
      </c>
      <c r="FD14" s="9">
        <f>DL14*'MASTER SHEET'!D14</f>
        <v>48355.049999999996</v>
      </c>
      <c r="FE14" s="9">
        <f>DP14*'MASTER SHEET'!D14</f>
        <v>98650.049999999988</v>
      </c>
      <c r="FF14" s="9">
        <f>DT14*'MASTER SHEET'!D14</f>
        <v>98650.049999999988</v>
      </c>
      <c r="FG14" s="9">
        <f>+DX14*'MASTER SHEET'!D14</f>
        <v>98650.049999999988</v>
      </c>
    </row>
    <row r="15" spans="1:163" ht="20.25" customHeight="1" x14ac:dyDescent="0.25">
      <c r="A15" s="25">
        <f>'MASTER SHEET'!A15</f>
        <v>13</v>
      </c>
      <c r="B15" s="26" t="str">
        <f>'MASTER SHEET'!B15</f>
        <v>VALVE BODY, PLASTIC</v>
      </c>
      <c r="C15" s="78">
        <f>'MASTER SHEET'!C15</f>
        <v>5015903</v>
      </c>
      <c r="D15" s="159">
        <v>13908</v>
      </c>
      <c r="E15" s="28">
        <f>PRODUCTION!F15+'SUPLIER INWARD'!F15</f>
        <v>8502</v>
      </c>
      <c r="F15" s="28"/>
      <c r="G15" s="29">
        <v>0</v>
      </c>
      <c r="H15" s="30">
        <f t="shared" si="30"/>
        <v>22410</v>
      </c>
      <c r="I15" s="28">
        <f>PRODUCTION!J15+'SUPLIER INWARD'!J15</f>
        <v>944</v>
      </c>
      <c r="J15" s="28">
        <v>3000</v>
      </c>
      <c r="K15" s="29">
        <v>2</v>
      </c>
      <c r="L15" s="30">
        <f t="shared" si="31"/>
        <v>20352</v>
      </c>
      <c r="M15" s="28">
        <f>PRODUCTION!N15+'SUPLIER INWARD'!N15</f>
        <v>0</v>
      </c>
      <c r="N15" s="28"/>
      <c r="O15" s="29"/>
      <c r="P15" s="30">
        <f t="shared" si="32"/>
        <v>20352</v>
      </c>
      <c r="Q15" s="28">
        <f>PRODUCTION!R15+'SUPLIER INWARD'!R15</f>
        <v>0</v>
      </c>
      <c r="R15" s="28">
        <v>3000</v>
      </c>
      <c r="S15" s="29">
        <v>1</v>
      </c>
      <c r="T15" s="30">
        <f t="shared" si="33"/>
        <v>17351</v>
      </c>
      <c r="U15" s="28">
        <f>PRODUCTION!V15+'SUPLIER INWARD'!V15</f>
        <v>0</v>
      </c>
      <c r="V15" s="28"/>
      <c r="W15" s="29">
        <v>0</v>
      </c>
      <c r="X15" s="30">
        <f t="shared" si="34"/>
        <v>17351</v>
      </c>
      <c r="Y15" s="28">
        <f>PRODUCTION!Z15+'SUPLIER INWARD'!Z15</f>
        <v>0</v>
      </c>
      <c r="Z15" s="28">
        <v>3000</v>
      </c>
      <c r="AA15" s="29">
        <v>81</v>
      </c>
      <c r="AB15" s="30">
        <f t="shared" si="35"/>
        <v>14270</v>
      </c>
      <c r="AC15" s="28">
        <f>PRODUCTION!AD15+'SUPLIER INWARD'!AD15</f>
        <v>0</v>
      </c>
      <c r="AD15" s="151"/>
      <c r="AE15" s="29">
        <v>0</v>
      </c>
      <c r="AF15" s="30">
        <f t="shared" si="36"/>
        <v>14270</v>
      </c>
      <c r="AG15" s="28">
        <f>PRODUCTION!AH15+'SUPLIER INWARD'!AH15</f>
        <v>0</v>
      </c>
      <c r="AH15" s="28"/>
      <c r="AI15" s="29">
        <v>0</v>
      </c>
      <c r="AJ15" s="30">
        <f t="shared" si="37"/>
        <v>14270</v>
      </c>
      <c r="AK15" s="28">
        <f>PRODUCTION!AL15+'SUPLIER INWARD'!AL15</f>
        <v>0</v>
      </c>
      <c r="AL15" s="28"/>
      <c r="AM15" s="29">
        <v>0</v>
      </c>
      <c r="AN15" s="30">
        <f t="shared" si="38"/>
        <v>14270</v>
      </c>
      <c r="AO15" s="28">
        <f>PRODUCTION!AP15+'SUPLIER INWARD'!AP15</f>
        <v>0</v>
      </c>
      <c r="AP15" s="28"/>
      <c r="AQ15" s="29">
        <v>0</v>
      </c>
      <c r="AR15" s="30">
        <f t="shared" si="39"/>
        <v>14270</v>
      </c>
      <c r="AS15" s="28">
        <f>PRODUCTION!AT15+'SUPLIER INWARD'!AT15</f>
        <v>0</v>
      </c>
      <c r="AT15" s="28"/>
      <c r="AU15" s="29">
        <v>0</v>
      </c>
      <c r="AV15" s="30">
        <f t="shared" si="40"/>
        <v>14270</v>
      </c>
      <c r="AW15" s="28">
        <f>PRODUCTION!AX15+'SUPLIER INWARD'!AX15</f>
        <v>0</v>
      </c>
      <c r="AX15" s="28"/>
      <c r="AY15" s="29"/>
      <c r="AZ15" s="30">
        <f t="shared" si="41"/>
        <v>14270</v>
      </c>
      <c r="BA15" s="28">
        <f>PRODUCTION!BB15+'SUPLIER INWARD'!BB15</f>
        <v>0</v>
      </c>
      <c r="BB15" s="28"/>
      <c r="BC15" s="29">
        <v>0</v>
      </c>
      <c r="BD15" s="30">
        <f t="shared" si="42"/>
        <v>14270</v>
      </c>
      <c r="BE15" s="28">
        <f>PRODUCTION!BF15+'SUPLIER INWARD'!BF15</f>
        <v>0</v>
      </c>
      <c r="BF15" s="28">
        <v>4000</v>
      </c>
      <c r="BG15" s="29">
        <v>3</v>
      </c>
      <c r="BH15" s="30">
        <f t="shared" si="43"/>
        <v>10267</v>
      </c>
      <c r="BI15" s="28">
        <f>PRODUCTION!BJ15+'SUPLIER INWARD'!BJ15</f>
        <v>0</v>
      </c>
      <c r="BJ15" s="28"/>
      <c r="BK15" s="29">
        <v>0</v>
      </c>
      <c r="BL15" s="30">
        <f t="shared" si="44"/>
        <v>10267</v>
      </c>
      <c r="BM15" s="28">
        <f>PRODUCTION!BN15+'SUPLIER INWARD'!BN15</f>
        <v>0</v>
      </c>
      <c r="BN15" s="28"/>
      <c r="BO15" s="29">
        <v>0</v>
      </c>
      <c r="BP15" s="30">
        <f t="shared" si="45"/>
        <v>10267</v>
      </c>
      <c r="BQ15" s="28">
        <f>PRODUCTION!BR15+'SUPLIER INWARD'!BR15</f>
        <v>0</v>
      </c>
      <c r="BR15" s="28"/>
      <c r="BS15" s="29">
        <v>0</v>
      </c>
      <c r="BT15" s="30">
        <f t="shared" si="46"/>
        <v>10267</v>
      </c>
      <c r="BU15" s="28">
        <f>PRODUCTION!BV15+'SUPLIER INWARD'!BV15</f>
        <v>0</v>
      </c>
      <c r="BV15" s="28"/>
      <c r="BW15" s="29">
        <v>0</v>
      </c>
      <c r="BX15" s="30">
        <f t="shared" si="47"/>
        <v>10267</v>
      </c>
      <c r="BY15" s="28">
        <f>PRODUCTION!BZ15+'SUPLIER INWARD'!BZ15</f>
        <v>0</v>
      </c>
      <c r="BZ15" s="28"/>
      <c r="CA15" s="29">
        <v>0</v>
      </c>
      <c r="CB15" s="30">
        <f t="shared" si="48"/>
        <v>10267</v>
      </c>
      <c r="CC15" s="28">
        <f>PRODUCTION!CD15+'SUPLIER INWARD'!CD15</f>
        <v>0</v>
      </c>
      <c r="CD15" s="28"/>
      <c r="CE15" s="29">
        <v>0</v>
      </c>
      <c r="CF15" s="30">
        <f t="shared" si="49"/>
        <v>10267</v>
      </c>
      <c r="CG15" s="28">
        <f>PRODUCTION!CH15+'SUPLIER INWARD'!CH15</f>
        <v>0</v>
      </c>
      <c r="CH15" s="28"/>
      <c r="CI15" s="29">
        <v>0</v>
      </c>
      <c r="CJ15" s="30">
        <f t="shared" si="50"/>
        <v>10267</v>
      </c>
      <c r="CK15" s="28">
        <f>PRODUCTION!CL15+'SUPLIER INWARD'!CL15</f>
        <v>0</v>
      </c>
      <c r="CL15" s="151"/>
      <c r="CM15" s="152">
        <v>0</v>
      </c>
      <c r="CN15" s="30">
        <f t="shared" si="51"/>
        <v>10267</v>
      </c>
      <c r="CO15" s="28">
        <f>PRODUCTION!CP15+'SUPLIER INWARD'!CP15</f>
        <v>0</v>
      </c>
      <c r="CP15" s="151"/>
      <c r="CQ15" s="29">
        <v>0</v>
      </c>
      <c r="CR15" s="30">
        <f t="shared" si="52"/>
        <v>10267</v>
      </c>
      <c r="CS15" s="28">
        <f>PRODUCTION!CT15+'SUPLIER INWARD'!CT15</f>
        <v>0</v>
      </c>
      <c r="CT15" s="28"/>
      <c r="CU15" s="29">
        <v>0</v>
      </c>
      <c r="CV15" s="30">
        <f t="shared" si="53"/>
        <v>10267</v>
      </c>
      <c r="CW15" s="28">
        <f>PRODUCTION!CX15+'SUPLIER INWARD'!CX15</f>
        <v>0</v>
      </c>
      <c r="CX15" s="28"/>
      <c r="CY15" s="29">
        <v>0</v>
      </c>
      <c r="CZ15" s="30">
        <f t="shared" si="54"/>
        <v>10267</v>
      </c>
      <c r="DA15" s="28">
        <f>PRODUCTION!DB15+'SUPLIER INWARD'!DB15</f>
        <v>0</v>
      </c>
      <c r="DB15" s="28"/>
      <c r="DC15" s="29"/>
      <c r="DD15" s="30">
        <f t="shared" si="55"/>
        <v>10267</v>
      </c>
      <c r="DE15" s="28">
        <f>PRODUCTION!DF15+'SUPLIER INWARD'!DF15</f>
        <v>0</v>
      </c>
      <c r="DF15" s="28"/>
      <c r="DG15" s="29">
        <v>0</v>
      </c>
      <c r="DH15" s="30">
        <f t="shared" si="56"/>
        <v>10267</v>
      </c>
      <c r="DI15" s="28">
        <f>PRODUCTION!DJ15+'SUPLIER INWARD'!DJ15</f>
        <v>0</v>
      </c>
      <c r="DJ15" s="28"/>
      <c r="DK15" s="29">
        <v>0</v>
      </c>
      <c r="DL15" s="30">
        <f t="shared" si="57"/>
        <v>10267</v>
      </c>
      <c r="DM15" s="28">
        <f>PRODUCTION!DN15+'SUPLIER INWARD'!DN15</f>
        <v>0</v>
      </c>
      <c r="DN15" s="28"/>
      <c r="DO15" s="29"/>
      <c r="DP15" s="30">
        <f t="shared" si="58"/>
        <v>10267</v>
      </c>
      <c r="DQ15" s="28">
        <f>PRODUCTION!DR15+'SUPLIER INWARD'!DR15</f>
        <v>0</v>
      </c>
      <c r="DR15" s="28"/>
      <c r="DS15" s="29"/>
      <c r="DT15" s="30">
        <f t="shared" si="59"/>
        <v>10267</v>
      </c>
      <c r="DU15" s="28">
        <f>PRODUCTION!DV15+'SUPLIER INWARD'!DV15</f>
        <v>0</v>
      </c>
      <c r="DV15" s="28"/>
      <c r="DW15" s="29"/>
      <c r="DX15" s="30">
        <f t="shared" si="60"/>
        <v>10267</v>
      </c>
      <c r="DY15" s="31">
        <f t="shared" si="61"/>
        <v>9446</v>
      </c>
      <c r="DZ15" s="31">
        <f t="shared" si="62"/>
        <v>13000</v>
      </c>
      <c r="EA15" s="4">
        <f t="shared" si="63"/>
        <v>87</v>
      </c>
      <c r="EB15" s="9">
        <f>D15*'MASTER SHEET'!D15</f>
        <v>33101.040000000001</v>
      </c>
      <c r="EC15" s="9">
        <f>H15*'MASTER SHEET'!D15</f>
        <v>53335.799999999996</v>
      </c>
      <c r="ED15" s="9">
        <f>L15*'MASTER SHEET'!D15</f>
        <v>48437.759999999995</v>
      </c>
      <c r="EE15" s="9">
        <f>P15*'MASTER SHEET'!D15</f>
        <v>48437.759999999995</v>
      </c>
      <c r="EF15" s="9">
        <f>T15*'MASTER SHEET'!D15</f>
        <v>41295.379999999997</v>
      </c>
      <c r="EG15" s="9">
        <f>X15*'MASTER SHEET'!D15</f>
        <v>41295.379999999997</v>
      </c>
      <c r="EH15" s="9">
        <f>AB15*'MASTER SHEET'!D15</f>
        <v>33962.6</v>
      </c>
      <c r="EI15" s="9">
        <f>AF15*'MASTER SHEET'!D15</f>
        <v>33962.6</v>
      </c>
      <c r="EJ15" s="9">
        <f>AJ15*'MASTER SHEET'!D15</f>
        <v>33962.6</v>
      </c>
      <c r="EK15" s="9">
        <f>AN15*'MASTER SHEET'!D15</f>
        <v>33962.6</v>
      </c>
      <c r="EL15" s="9">
        <f>AR15*'MASTER SHEET'!D15</f>
        <v>33962.6</v>
      </c>
      <c r="EM15" s="9">
        <f>AV15*'MASTER SHEET'!D15</f>
        <v>33962.6</v>
      </c>
      <c r="EN15" s="9">
        <f>AZ15*'MASTER SHEET'!D15</f>
        <v>33962.6</v>
      </c>
      <c r="EO15" s="9">
        <f>BD15*'MASTER SHEET'!D15</f>
        <v>33962.6</v>
      </c>
      <c r="EP15" s="9">
        <f>$BH15*'MASTER SHEET'!$D15</f>
        <v>24435.46</v>
      </c>
      <c r="EQ15" s="9">
        <f>BL15*'MASTER SHEET'!D15</f>
        <v>24435.46</v>
      </c>
      <c r="ER15" s="9">
        <f>BP15*'MASTER SHEET'!D15</f>
        <v>24435.46</v>
      </c>
      <c r="ES15" s="9">
        <f>BT15*'MASTER SHEET'!D15</f>
        <v>24435.46</v>
      </c>
      <c r="ET15" s="9">
        <f>BX15*'MASTER SHEET'!D15</f>
        <v>24435.46</v>
      </c>
      <c r="EU15" s="9">
        <f>CB15*'MASTER SHEET'!D15</f>
        <v>24435.46</v>
      </c>
      <c r="EV15" s="9">
        <f>CF15*'MASTER SHEET'!D15</f>
        <v>24435.46</v>
      </c>
      <c r="EW15" s="9">
        <f>CJ15*'MASTER SHEET'!D15</f>
        <v>24435.46</v>
      </c>
      <c r="EX15" s="9">
        <f>CN15*'MASTER SHEET'!D15</f>
        <v>24435.46</v>
      </c>
      <c r="EY15" s="9">
        <f>CR15*'MASTER SHEET'!D15</f>
        <v>24435.46</v>
      </c>
      <c r="EZ15" s="9">
        <f>$CV15*'MASTER SHEET'!D15</f>
        <v>24435.46</v>
      </c>
      <c r="FA15" s="9">
        <f>CZ15*'MASTER SHEET'!D15</f>
        <v>24435.46</v>
      </c>
      <c r="FB15" s="9">
        <f>DD15*'MASTER SHEET'!D15</f>
        <v>24435.46</v>
      </c>
      <c r="FC15" s="9">
        <f>DH15*'MASTER SHEET'!D15</f>
        <v>24435.46</v>
      </c>
      <c r="FD15" s="9">
        <f>DL15*'MASTER SHEET'!D15</f>
        <v>24435.46</v>
      </c>
      <c r="FE15" s="9">
        <f>DP15*'MASTER SHEET'!D15</f>
        <v>24435.46</v>
      </c>
      <c r="FF15" s="9">
        <f>DT15*'MASTER SHEET'!D15</f>
        <v>24435.46</v>
      </c>
      <c r="FG15" s="9">
        <f>+DX15*'MASTER SHEET'!D15</f>
        <v>24435.46</v>
      </c>
    </row>
    <row r="16" spans="1:163" ht="20.25" customHeight="1" x14ac:dyDescent="0.25">
      <c r="A16" s="25">
        <f>'MASTER SHEET'!A16</f>
        <v>14</v>
      </c>
      <c r="B16" s="26" t="str">
        <f>'MASTER SHEET'!B16</f>
        <v>VALVE BODY, PLASTIC</v>
      </c>
      <c r="C16" s="78">
        <f>'MASTER SHEET'!C16</f>
        <v>5015904</v>
      </c>
      <c r="D16" s="159">
        <v>12642</v>
      </c>
      <c r="E16" s="28">
        <f>PRODUCTION!F16+'SUPLIER INWARD'!F16</f>
        <v>8502</v>
      </c>
      <c r="F16" s="28"/>
      <c r="G16" s="29">
        <v>0</v>
      </c>
      <c r="H16" s="30">
        <f t="shared" si="30"/>
        <v>21144</v>
      </c>
      <c r="I16" s="28">
        <f>PRODUCTION!J16+'SUPLIER INWARD'!J16</f>
        <v>944</v>
      </c>
      <c r="J16" s="28">
        <v>3000</v>
      </c>
      <c r="K16" s="29">
        <v>21</v>
      </c>
      <c r="L16" s="30">
        <f t="shared" si="31"/>
        <v>19067</v>
      </c>
      <c r="M16" s="28">
        <f>PRODUCTION!N16+'SUPLIER INWARD'!N16</f>
        <v>0</v>
      </c>
      <c r="N16" s="28"/>
      <c r="O16" s="29"/>
      <c r="P16" s="30">
        <f t="shared" si="32"/>
        <v>19067</v>
      </c>
      <c r="Q16" s="28">
        <f>PRODUCTION!R16+'SUPLIER INWARD'!R16</f>
        <v>0</v>
      </c>
      <c r="R16" s="28">
        <v>3000</v>
      </c>
      <c r="S16" s="29">
        <v>114</v>
      </c>
      <c r="T16" s="30">
        <f t="shared" si="33"/>
        <v>15953</v>
      </c>
      <c r="U16" s="28">
        <f>PRODUCTION!V16+'SUPLIER INWARD'!V16</f>
        <v>0</v>
      </c>
      <c r="V16" s="28"/>
      <c r="W16" s="29">
        <v>0</v>
      </c>
      <c r="X16" s="30">
        <f t="shared" si="34"/>
        <v>15953</v>
      </c>
      <c r="Y16" s="28">
        <f>PRODUCTION!Z16+'SUPLIER INWARD'!Z16</f>
        <v>0</v>
      </c>
      <c r="Z16" s="28">
        <v>3000</v>
      </c>
      <c r="AA16" s="29">
        <v>0</v>
      </c>
      <c r="AB16" s="30">
        <f t="shared" si="35"/>
        <v>12953</v>
      </c>
      <c r="AC16" s="28">
        <f>PRODUCTION!AD16+'SUPLIER INWARD'!AD16</f>
        <v>0</v>
      </c>
      <c r="AD16" s="151"/>
      <c r="AE16" s="29">
        <v>0</v>
      </c>
      <c r="AF16" s="30">
        <f t="shared" si="36"/>
        <v>12953</v>
      </c>
      <c r="AG16" s="28">
        <f>PRODUCTION!AH16+'SUPLIER INWARD'!AH16</f>
        <v>0</v>
      </c>
      <c r="AH16" s="28"/>
      <c r="AI16" s="29">
        <v>0</v>
      </c>
      <c r="AJ16" s="30">
        <f t="shared" si="37"/>
        <v>12953</v>
      </c>
      <c r="AK16" s="28">
        <f>PRODUCTION!AL16+'SUPLIER INWARD'!AL16</f>
        <v>0</v>
      </c>
      <c r="AL16" s="28"/>
      <c r="AM16" s="29">
        <v>0</v>
      </c>
      <c r="AN16" s="30">
        <f t="shared" si="38"/>
        <v>12953</v>
      </c>
      <c r="AO16" s="28">
        <f>PRODUCTION!AP16+'SUPLIER INWARD'!AP16</f>
        <v>0</v>
      </c>
      <c r="AP16" s="28"/>
      <c r="AQ16" s="29">
        <v>0</v>
      </c>
      <c r="AR16" s="30">
        <f t="shared" si="39"/>
        <v>12953</v>
      </c>
      <c r="AS16" s="28">
        <f>PRODUCTION!AT16+'SUPLIER INWARD'!AT16</f>
        <v>0</v>
      </c>
      <c r="AT16" s="28"/>
      <c r="AU16" s="29">
        <v>0</v>
      </c>
      <c r="AV16" s="30">
        <f t="shared" si="40"/>
        <v>12953</v>
      </c>
      <c r="AW16" s="28">
        <f>PRODUCTION!AX16+'SUPLIER INWARD'!AX16</f>
        <v>0</v>
      </c>
      <c r="AX16" s="28"/>
      <c r="AY16" s="29"/>
      <c r="AZ16" s="30">
        <f t="shared" si="41"/>
        <v>12953</v>
      </c>
      <c r="BA16" s="28">
        <f>PRODUCTION!BB16+'SUPLIER INWARD'!BB16</f>
        <v>0</v>
      </c>
      <c r="BB16" s="28"/>
      <c r="BC16" s="29">
        <v>0</v>
      </c>
      <c r="BD16" s="30">
        <f t="shared" si="42"/>
        <v>12953</v>
      </c>
      <c r="BE16" s="28">
        <f>PRODUCTION!BF16+'SUPLIER INWARD'!BF16</f>
        <v>0</v>
      </c>
      <c r="BF16" s="28">
        <v>4000</v>
      </c>
      <c r="BG16" s="29">
        <v>12</v>
      </c>
      <c r="BH16" s="30">
        <f t="shared" si="43"/>
        <v>8941</v>
      </c>
      <c r="BI16" s="28">
        <f>PRODUCTION!BJ16+'SUPLIER INWARD'!BJ16</f>
        <v>0</v>
      </c>
      <c r="BJ16" s="28"/>
      <c r="BK16" s="29">
        <v>0</v>
      </c>
      <c r="BL16" s="30">
        <f t="shared" si="44"/>
        <v>8941</v>
      </c>
      <c r="BM16" s="28">
        <f>PRODUCTION!BN16+'SUPLIER INWARD'!BN16</f>
        <v>0</v>
      </c>
      <c r="BN16" s="28"/>
      <c r="BO16" s="29">
        <v>0</v>
      </c>
      <c r="BP16" s="30">
        <f t="shared" si="45"/>
        <v>8941</v>
      </c>
      <c r="BQ16" s="28">
        <f>PRODUCTION!BR16+'SUPLIER INWARD'!BR16</f>
        <v>0</v>
      </c>
      <c r="BR16" s="28"/>
      <c r="BS16" s="29">
        <v>0</v>
      </c>
      <c r="BT16" s="30">
        <f t="shared" si="46"/>
        <v>8941</v>
      </c>
      <c r="BU16" s="28">
        <f>PRODUCTION!BV16+'SUPLIER INWARD'!BV16</f>
        <v>0</v>
      </c>
      <c r="BV16" s="28"/>
      <c r="BW16" s="29">
        <v>0</v>
      </c>
      <c r="BX16" s="30">
        <f t="shared" si="47"/>
        <v>8941</v>
      </c>
      <c r="BY16" s="28">
        <f>PRODUCTION!BZ16+'SUPLIER INWARD'!BZ16</f>
        <v>0</v>
      </c>
      <c r="BZ16" s="28"/>
      <c r="CA16" s="29">
        <v>0</v>
      </c>
      <c r="CB16" s="30">
        <f t="shared" si="48"/>
        <v>8941</v>
      </c>
      <c r="CC16" s="28">
        <f>PRODUCTION!CD16+'SUPLIER INWARD'!CD16</f>
        <v>0</v>
      </c>
      <c r="CD16" s="28"/>
      <c r="CE16" s="29">
        <v>0</v>
      </c>
      <c r="CF16" s="30">
        <f t="shared" si="49"/>
        <v>8941</v>
      </c>
      <c r="CG16" s="28">
        <f>PRODUCTION!CH16+'SUPLIER INWARD'!CH16</f>
        <v>0</v>
      </c>
      <c r="CH16" s="28"/>
      <c r="CI16" s="29">
        <v>0</v>
      </c>
      <c r="CJ16" s="30">
        <f t="shared" si="50"/>
        <v>8941</v>
      </c>
      <c r="CK16" s="28">
        <f>PRODUCTION!CL16+'SUPLIER INWARD'!CL16</f>
        <v>0</v>
      </c>
      <c r="CL16" s="151"/>
      <c r="CM16" s="152">
        <v>0</v>
      </c>
      <c r="CN16" s="30">
        <f t="shared" si="51"/>
        <v>8941</v>
      </c>
      <c r="CO16" s="28">
        <f>PRODUCTION!CP16+'SUPLIER INWARD'!CP16</f>
        <v>0</v>
      </c>
      <c r="CP16" s="151"/>
      <c r="CQ16" s="29">
        <v>0</v>
      </c>
      <c r="CR16" s="30">
        <f t="shared" si="52"/>
        <v>8941</v>
      </c>
      <c r="CS16" s="28">
        <f>PRODUCTION!CT16+'SUPLIER INWARD'!CT16</f>
        <v>0</v>
      </c>
      <c r="CT16" s="28"/>
      <c r="CU16" s="29">
        <v>0</v>
      </c>
      <c r="CV16" s="30">
        <f t="shared" si="53"/>
        <v>8941</v>
      </c>
      <c r="CW16" s="28">
        <f>PRODUCTION!CX16+'SUPLIER INWARD'!CX16</f>
        <v>0</v>
      </c>
      <c r="CX16" s="28"/>
      <c r="CY16" s="29">
        <v>0</v>
      </c>
      <c r="CZ16" s="30">
        <f t="shared" si="54"/>
        <v>8941</v>
      </c>
      <c r="DA16" s="28">
        <f>PRODUCTION!DB16+'SUPLIER INWARD'!DB16</f>
        <v>0</v>
      </c>
      <c r="DB16" s="28"/>
      <c r="DC16" s="29"/>
      <c r="DD16" s="30">
        <f t="shared" si="55"/>
        <v>8941</v>
      </c>
      <c r="DE16" s="28">
        <f>PRODUCTION!DF16+'SUPLIER INWARD'!DF16</f>
        <v>0</v>
      </c>
      <c r="DF16" s="28"/>
      <c r="DG16" s="29">
        <v>0</v>
      </c>
      <c r="DH16" s="30">
        <f t="shared" si="56"/>
        <v>8941</v>
      </c>
      <c r="DI16" s="28">
        <f>PRODUCTION!DJ16+'SUPLIER INWARD'!DJ16</f>
        <v>0</v>
      </c>
      <c r="DJ16" s="28"/>
      <c r="DK16" s="29">
        <v>0</v>
      </c>
      <c r="DL16" s="30">
        <f t="shared" si="57"/>
        <v>8941</v>
      </c>
      <c r="DM16" s="28">
        <f>PRODUCTION!DN16+'SUPLIER INWARD'!DN16</f>
        <v>0</v>
      </c>
      <c r="DN16" s="28"/>
      <c r="DO16" s="29"/>
      <c r="DP16" s="30">
        <f t="shared" si="58"/>
        <v>8941</v>
      </c>
      <c r="DQ16" s="28">
        <f>PRODUCTION!DR16+'SUPLIER INWARD'!DR16</f>
        <v>0</v>
      </c>
      <c r="DR16" s="28"/>
      <c r="DS16" s="29"/>
      <c r="DT16" s="30">
        <f t="shared" si="59"/>
        <v>8941</v>
      </c>
      <c r="DU16" s="28">
        <f>PRODUCTION!DV16+'SUPLIER INWARD'!DV16</f>
        <v>0</v>
      </c>
      <c r="DV16" s="28"/>
      <c r="DW16" s="29"/>
      <c r="DX16" s="30">
        <f t="shared" si="60"/>
        <v>8941</v>
      </c>
      <c r="DY16" s="31">
        <f t="shared" si="61"/>
        <v>9446</v>
      </c>
      <c r="DZ16" s="31">
        <f t="shared" si="62"/>
        <v>13000</v>
      </c>
      <c r="EA16" s="4">
        <f t="shared" si="63"/>
        <v>147</v>
      </c>
      <c r="EB16" s="9">
        <f>D16*'MASTER SHEET'!D16</f>
        <v>30087.96</v>
      </c>
      <c r="EC16" s="9">
        <f>H16*'MASTER SHEET'!D16</f>
        <v>50322.720000000001</v>
      </c>
      <c r="ED16" s="9">
        <f>L16*'MASTER SHEET'!D16</f>
        <v>45379.46</v>
      </c>
      <c r="EE16" s="9">
        <f>P16*'MASTER SHEET'!D16</f>
        <v>45379.46</v>
      </c>
      <c r="EF16" s="9">
        <f>T16*'MASTER SHEET'!D16</f>
        <v>37968.14</v>
      </c>
      <c r="EG16" s="9">
        <f>X16*'MASTER SHEET'!D16</f>
        <v>37968.14</v>
      </c>
      <c r="EH16" s="9">
        <f>AB16*'MASTER SHEET'!D16</f>
        <v>30828.14</v>
      </c>
      <c r="EI16" s="9">
        <f>AF16*'MASTER SHEET'!D16</f>
        <v>30828.14</v>
      </c>
      <c r="EJ16" s="9">
        <f>AJ16*'MASTER SHEET'!D16</f>
        <v>30828.14</v>
      </c>
      <c r="EK16" s="9">
        <f>AN16*'MASTER SHEET'!D16</f>
        <v>30828.14</v>
      </c>
      <c r="EL16" s="9">
        <f>AR16*'MASTER SHEET'!D16</f>
        <v>30828.14</v>
      </c>
      <c r="EM16" s="9">
        <f>AV16*'MASTER SHEET'!D16</f>
        <v>30828.14</v>
      </c>
      <c r="EN16" s="9">
        <f>AZ16*'MASTER SHEET'!D16</f>
        <v>30828.14</v>
      </c>
      <c r="EO16" s="9">
        <f>BD16*'MASTER SHEET'!D16</f>
        <v>30828.14</v>
      </c>
      <c r="EP16" s="9">
        <f>$BH16*'MASTER SHEET'!$D16</f>
        <v>21279.579999999998</v>
      </c>
      <c r="EQ16" s="9">
        <f>BL16*'MASTER SHEET'!D16</f>
        <v>21279.579999999998</v>
      </c>
      <c r="ER16" s="9">
        <f>BP16*'MASTER SHEET'!D16</f>
        <v>21279.579999999998</v>
      </c>
      <c r="ES16" s="9">
        <f>BT16*'MASTER SHEET'!D16</f>
        <v>21279.579999999998</v>
      </c>
      <c r="ET16" s="9">
        <f>BX16*'MASTER SHEET'!D16</f>
        <v>21279.579999999998</v>
      </c>
      <c r="EU16" s="9">
        <f>CB16*'MASTER SHEET'!D16</f>
        <v>21279.579999999998</v>
      </c>
      <c r="EV16" s="9">
        <f>CF16*'MASTER SHEET'!D16</f>
        <v>21279.579999999998</v>
      </c>
      <c r="EW16" s="9">
        <f>CJ16*'MASTER SHEET'!D16</f>
        <v>21279.579999999998</v>
      </c>
      <c r="EX16" s="9">
        <f>CN16*'MASTER SHEET'!D16</f>
        <v>21279.579999999998</v>
      </c>
      <c r="EY16" s="9">
        <f>CR16*'MASTER SHEET'!D16</f>
        <v>21279.579999999998</v>
      </c>
      <c r="EZ16" s="9">
        <f>$CV16*'MASTER SHEET'!D16</f>
        <v>21279.579999999998</v>
      </c>
      <c r="FA16" s="9">
        <f>CZ16*'MASTER SHEET'!D16</f>
        <v>21279.579999999998</v>
      </c>
      <c r="FB16" s="9">
        <f>DD16*'MASTER SHEET'!D16</f>
        <v>21279.579999999998</v>
      </c>
      <c r="FC16" s="9">
        <f>DH16*'MASTER SHEET'!D16</f>
        <v>21279.579999999998</v>
      </c>
      <c r="FD16" s="9">
        <f>DL16*'MASTER SHEET'!D16</f>
        <v>21279.579999999998</v>
      </c>
      <c r="FE16" s="9">
        <f>DP16*'MASTER SHEET'!D16</f>
        <v>21279.579999999998</v>
      </c>
      <c r="FF16" s="9">
        <f>DT16*'MASTER SHEET'!D16</f>
        <v>21279.579999999998</v>
      </c>
      <c r="FG16" s="9">
        <f>+DX16*'MASTER SHEET'!D16</f>
        <v>21279.579999999998</v>
      </c>
    </row>
    <row r="17" spans="1:163" ht="20.25" customHeight="1" x14ac:dyDescent="0.25">
      <c r="A17" s="25">
        <f>'MASTER SHEET'!A17</f>
        <v>15</v>
      </c>
      <c r="B17" s="26" t="str">
        <f>'MASTER SHEET'!B17</f>
        <v>END PLATE PLASTIC</v>
      </c>
      <c r="C17" s="78">
        <f>'MASTER SHEET'!C17</f>
        <v>5016812</v>
      </c>
      <c r="D17" s="159">
        <v>1720</v>
      </c>
      <c r="E17" s="28">
        <f>PRODUCTION!F17+'SUPLIER INWARD'!F17</f>
        <v>0</v>
      </c>
      <c r="F17" s="28"/>
      <c r="G17" s="29">
        <v>0</v>
      </c>
      <c r="H17" s="30">
        <f t="shared" si="30"/>
        <v>1720</v>
      </c>
      <c r="I17" s="28">
        <f>PRODUCTION!J17+'SUPLIER INWARD'!J17</f>
        <v>0</v>
      </c>
      <c r="J17" s="28"/>
      <c r="K17" s="29">
        <v>0</v>
      </c>
      <c r="L17" s="30">
        <f t="shared" si="31"/>
        <v>1720</v>
      </c>
      <c r="M17" s="28">
        <f>PRODUCTION!N17+'SUPLIER INWARD'!N17</f>
        <v>0</v>
      </c>
      <c r="N17" s="28"/>
      <c r="O17" s="29"/>
      <c r="P17" s="30">
        <f t="shared" si="32"/>
        <v>1720</v>
      </c>
      <c r="Q17" s="28">
        <f>PRODUCTION!R17+'SUPLIER INWARD'!R17</f>
        <v>0</v>
      </c>
      <c r="R17" s="28"/>
      <c r="S17" s="29">
        <v>0</v>
      </c>
      <c r="T17" s="30">
        <f t="shared" si="33"/>
        <v>1720</v>
      </c>
      <c r="U17" s="28">
        <f>PRODUCTION!V17+'SUPLIER INWARD'!V17</f>
        <v>0</v>
      </c>
      <c r="V17" s="28"/>
      <c r="W17" s="29">
        <v>0</v>
      </c>
      <c r="X17" s="30">
        <f t="shared" si="34"/>
        <v>1720</v>
      </c>
      <c r="Y17" s="28">
        <f>PRODUCTION!Z17+'SUPLIER INWARD'!Z17</f>
        <v>0</v>
      </c>
      <c r="Z17" s="28"/>
      <c r="AA17" s="29">
        <v>0</v>
      </c>
      <c r="AB17" s="30">
        <f t="shared" si="35"/>
        <v>1720</v>
      </c>
      <c r="AC17" s="28">
        <f>PRODUCTION!AD17+'SUPLIER INWARD'!AD17</f>
        <v>0</v>
      </c>
      <c r="AD17" s="151"/>
      <c r="AE17" s="29">
        <v>0</v>
      </c>
      <c r="AF17" s="30">
        <f t="shared" si="36"/>
        <v>1720</v>
      </c>
      <c r="AG17" s="28">
        <f>PRODUCTION!AH17+'SUPLIER INWARD'!AH17</f>
        <v>0</v>
      </c>
      <c r="AH17" s="28">
        <v>1700</v>
      </c>
      <c r="AI17" s="29">
        <v>0</v>
      </c>
      <c r="AJ17" s="30">
        <f t="shared" si="37"/>
        <v>20</v>
      </c>
      <c r="AK17" s="28">
        <f>PRODUCTION!AL17+'SUPLIER INWARD'!AL17</f>
        <v>0</v>
      </c>
      <c r="AL17" s="28"/>
      <c r="AM17" s="29">
        <v>0</v>
      </c>
      <c r="AN17" s="30">
        <f t="shared" si="38"/>
        <v>20</v>
      </c>
      <c r="AO17" s="28">
        <f>PRODUCTION!AP17+'SUPLIER INWARD'!AP17</f>
        <v>0</v>
      </c>
      <c r="AP17" s="28"/>
      <c r="AQ17" s="29">
        <v>0</v>
      </c>
      <c r="AR17" s="30">
        <f t="shared" si="39"/>
        <v>20</v>
      </c>
      <c r="AS17" s="28">
        <f>PRODUCTION!AT17+'SUPLIER INWARD'!AT17</f>
        <v>0</v>
      </c>
      <c r="AT17" s="28"/>
      <c r="AU17" s="29">
        <v>0</v>
      </c>
      <c r="AV17" s="30">
        <f t="shared" si="40"/>
        <v>20</v>
      </c>
      <c r="AW17" s="28">
        <f>PRODUCTION!AX17+'SUPLIER INWARD'!AX17</f>
        <v>0</v>
      </c>
      <c r="AX17" s="28"/>
      <c r="AY17" s="29"/>
      <c r="AZ17" s="30">
        <f t="shared" si="41"/>
        <v>20</v>
      </c>
      <c r="BA17" s="28">
        <f>PRODUCTION!BB17+'SUPLIER INWARD'!BB17</f>
        <v>0</v>
      </c>
      <c r="BB17" s="28"/>
      <c r="BC17" s="29">
        <v>0</v>
      </c>
      <c r="BD17" s="30">
        <f t="shared" si="42"/>
        <v>20</v>
      </c>
      <c r="BE17" s="28">
        <f>PRODUCTION!BF17+'SUPLIER INWARD'!BF17</f>
        <v>0</v>
      </c>
      <c r="BF17" s="28"/>
      <c r="BG17" s="29">
        <v>0</v>
      </c>
      <c r="BH17" s="30">
        <f t="shared" si="43"/>
        <v>20</v>
      </c>
      <c r="BI17" s="28">
        <f>PRODUCTION!BJ17+'SUPLIER INWARD'!BJ17</f>
        <v>0</v>
      </c>
      <c r="BJ17" s="28"/>
      <c r="BK17" s="29">
        <v>0</v>
      </c>
      <c r="BL17" s="30">
        <f t="shared" si="44"/>
        <v>20</v>
      </c>
      <c r="BM17" s="28">
        <f>PRODUCTION!BN17+'SUPLIER INWARD'!BN17</f>
        <v>0</v>
      </c>
      <c r="BN17" s="28"/>
      <c r="BO17" s="29">
        <v>0</v>
      </c>
      <c r="BP17" s="30">
        <f t="shared" si="45"/>
        <v>20</v>
      </c>
      <c r="BQ17" s="28">
        <f>PRODUCTION!BR17+'SUPLIER INWARD'!BR17</f>
        <v>0</v>
      </c>
      <c r="BR17" s="28"/>
      <c r="BS17" s="29">
        <v>0</v>
      </c>
      <c r="BT17" s="30">
        <f t="shared" si="46"/>
        <v>20</v>
      </c>
      <c r="BU17" s="28">
        <f>PRODUCTION!BV17+'SUPLIER INWARD'!BV17</f>
        <v>0</v>
      </c>
      <c r="BV17" s="151"/>
      <c r="BW17" s="29">
        <v>0</v>
      </c>
      <c r="BX17" s="30">
        <f t="shared" si="47"/>
        <v>20</v>
      </c>
      <c r="BY17" s="28">
        <f>PRODUCTION!BZ17+'SUPLIER INWARD'!BZ17</f>
        <v>0</v>
      </c>
      <c r="BZ17" s="28"/>
      <c r="CA17" s="29">
        <v>0</v>
      </c>
      <c r="CB17" s="30">
        <f t="shared" si="48"/>
        <v>20</v>
      </c>
      <c r="CC17" s="28">
        <f>PRODUCTION!CD17+'SUPLIER INWARD'!CD17</f>
        <v>0</v>
      </c>
      <c r="CD17" s="28"/>
      <c r="CE17" s="29">
        <v>0</v>
      </c>
      <c r="CF17" s="30">
        <f t="shared" si="49"/>
        <v>20</v>
      </c>
      <c r="CG17" s="28">
        <f>PRODUCTION!CH17+'SUPLIER INWARD'!CH17</f>
        <v>0</v>
      </c>
      <c r="CH17" s="28"/>
      <c r="CI17" s="29">
        <v>0</v>
      </c>
      <c r="CJ17" s="30">
        <f t="shared" si="50"/>
        <v>20</v>
      </c>
      <c r="CK17" s="28">
        <f>PRODUCTION!CL17+'SUPLIER INWARD'!CL17</f>
        <v>0</v>
      </c>
      <c r="CL17" s="151"/>
      <c r="CM17" s="152">
        <v>0</v>
      </c>
      <c r="CN17" s="30">
        <f t="shared" si="51"/>
        <v>20</v>
      </c>
      <c r="CO17" s="28">
        <f>PRODUCTION!CP17+'SUPLIER INWARD'!CP17</f>
        <v>0</v>
      </c>
      <c r="CP17" s="151"/>
      <c r="CQ17" s="29">
        <v>0</v>
      </c>
      <c r="CR17" s="30">
        <f t="shared" si="52"/>
        <v>20</v>
      </c>
      <c r="CS17" s="28">
        <f>PRODUCTION!CT17+'SUPLIER INWARD'!CT17</f>
        <v>0</v>
      </c>
      <c r="CT17" s="28"/>
      <c r="CU17" s="29">
        <v>0</v>
      </c>
      <c r="CV17" s="30">
        <f t="shared" si="53"/>
        <v>20</v>
      </c>
      <c r="CW17" s="28">
        <f>PRODUCTION!CX17+'SUPLIER INWARD'!CX17</f>
        <v>0</v>
      </c>
      <c r="CX17" s="28"/>
      <c r="CY17" s="29">
        <v>0</v>
      </c>
      <c r="CZ17" s="30">
        <f t="shared" si="54"/>
        <v>20</v>
      </c>
      <c r="DA17" s="28">
        <f>PRODUCTION!DB17+'SUPLIER INWARD'!DB17</f>
        <v>0</v>
      </c>
      <c r="DB17" s="28"/>
      <c r="DC17" s="29"/>
      <c r="DD17" s="30">
        <f t="shared" si="55"/>
        <v>20</v>
      </c>
      <c r="DE17" s="28">
        <f>PRODUCTION!DF17+'SUPLIER INWARD'!DF17</f>
        <v>0</v>
      </c>
      <c r="DF17" s="28"/>
      <c r="DG17" s="29">
        <v>0</v>
      </c>
      <c r="DH17" s="30">
        <f t="shared" si="56"/>
        <v>20</v>
      </c>
      <c r="DI17" s="28">
        <f>PRODUCTION!DJ17+'SUPLIER INWARD'!DJ17</f>
        <v>0</v>
      </c>
      <c r="DJ17" s="28"/>
      <c r="DK17" s="29">
        <v>0</v>
      </c>
      <c r="DL17" s="30">
        <f t="shared" si="57"/>
        <v>20</v>
      </c>
      <c r="DM17" s="28">
        <f>PRODUCTION!DN17+'SUPLIER INWARD'!DN17</f>
        <v>0</v>
      </c>
      <c r="DN17" s="28"/>
      <c r="DO17" s="29"/>
      <c r="DP17" s="30">
        <f t="shared" si="58"/>
        <v>20</v>
      </c>
      <c r="DQ17" s="28">
        <f>PRODUCTION!DR17+'SUPLIER INWARD'!DR17</f>
        <v>0</v>
      </c>
      <c r="DR17" s="28"/>
      <c r="DS17" s="29"/>
      <c r="DT17" s="30">
        <f t="shared" si="59"/>
        <v>20</v>
      </c>
      <c r="DU17" s="28">
        <f>PRODUCTION!DV17+'SUPLIER INWARD'!DV17</f>
        <v>0</v>
      </c>
      <c r="DV17" s="28"/>
      <c r="DW17" s="29"/>
      <c r="DX17" s="30">
        <f t="shared" si="60"/>
        <v>20</v>
      </c>
      <c r="DY17" s="31">
        <f t="shared" si="61"/>
        <v>0</v>
      </c>
      <c r="DZ17" s="31">
        <f t="shared" si="62"/>
        <v>1700</v>
      </c>
      <c r="EA17" s="4">
        <f t="shared" si="63"/>
        <v>0</v>
      </c>
      <c r="EB17" s="9">
        <f>D17*'MASTER SHEET'!D17</f>
        <v>35552.400000000001</v>
      </c>
      <c r="EC17" s="9">
        <f>H17*'MASTER SHEET'!D17</f>
        <v>35552.400000000001</v>
      </c>
      <c r="ED17" s="9">
        <f>L17*'MASTER SHEET'!D17</f>
        <v>35552.400000000001</v>
      </c>
      <c r="EE17" s="9">
        <f>P17*'MASTER SHEET'!D17</f>
        <v>35552.400000000001</v>
      </c>
      <c r="EF17" s="9">
        <f>T17*'MASTER SHEET'!D17</f>
        <v>35552.400000000001</v>
      </c>
      <c r="EG17" s="9">
        <f>X17*'MASTER SHEET'!D17</f>
        <v>35552.400000000001</v>
      </c>
      <c r="EH17" s="9">
        <f>AB17*'MASTER SHEET'!D17</f>
        <v>35552.400000000001</v>
      </c>
      <c r="EI17" s="9">
        <f>AF17*'MASTER SHEET'!D17</f>
        <v>35552.400000000001</v>
      </c>
      <c r="EJ17" s="9">
        <f>AJ17*'MASTER SHEET'!D17</f>
        <v>413.40000000000003</v>
      </c>
      <c r="EK17" s="9">
        <f>AN17*'MASTER SHEET'!D17</f>
        <v>413.40000000000003</v>
      </c>
      <c r="EL17" s="9">
        <f>AR17*'MASTER SHEET'!D17</f>
        <v>413.40000000000003</v>
      </c>
      <c r="EM17" s="9">
        <f>AV17*'MASTER SHEET'!D17</f>
        <v>413.40000000000003</v>
      </c>
      <c r="EN17" s="9">
        <f>AZ17*'MASTER SHEET'!D17</f>
        <v>413.40000000000003</v>
      </c>
      <c r="EO17" s="9">
        <f>BD17*'MASTER SHEET'!D17</f>
        <v>413.40000000000003</v>
      </c>
      <c r="EP17" s="9">
        <f>$BH17*'MASTER SHEET'!$D17</f>
        <v>413.40000000000003</v>
      </c>
      <c r="EQ17" s="9">
        <f>BL17*'MASTER SHEET'!D17</f>
        <v>413.40000000000003</v>
      </c>
      <c r="ER17" s="9">
        <f>BP17*'MASTER SHEET'!D17</f>
        <v>413.40000000000003</v>
      </c>
      <c r="ES17" s="9">
        <f>BT17*'MASTER SHEET'!D17</f>
        <v>413.40000000000003</v>
      </c>
      <c r="ET17" s="9">
        <f>BX17*'MASTER SHEET'!D17</f>
        <v>413.40000000000003</v>
      </c>
      <c r="EU17" s="9">
        <f>CB17*'MASTER SHEET'!D17</f>
        <v>413.40000000000003</v>
      </c>
      <c r="EV17" s="9">
        <f>CF17*'MASTER SHEET'!D17</f>
        <v>413.40000000000003</v>
      </c>
      <c r="EW17" s="9">
        <f>CJ17*'MASTER SHEET'!D17</f>
        <v>413.40000000000003</v>
      </c>
      <c r="EX17" s="9">
        <f>CN17*'MASTER SHEET'!D17</f>
        <v>413.40000000000003</v>
      </c>
      <c r="EY17" s="9">
        <f>CR17*'MASTER SHEET'!D17</f>
        <v>413.40000000000003</v>
      </c>
      <c r="EZ17" s="9">
        <f>$CV17*'MASTER SHEET'!D17</f>
        <v>413.40000000000003</v>
      </c>
      <c r="FA17" s="9">
        <f>CZ17*'MASTER SHEET'!D17</f>
        <v>413.40000000000003</v>
      </c>
      <c r="FB17" s="9">
        <f>DD17*'MASTER SHEET'!D17</f>
        <v>413.40000000000003</v>
      </c>
      <c r="FC17" s="9">
        <f>DH17*'MASTER SHEET'!D17</f>
        <v>413.40000000000003</v>
      </c>
      <c r="FD17" s="9">
        <f>DL17*'MASTER SHEET'!D17</f>
        <v>413.40000000000003</v>
      </c>
      <c r="FE17" s="9">
        <f>DP17*'MASTER SHEET'!D17</f>
        <v>413.40000000000003</v>
      </c>
      <c r="FF17" s="9">
        <f>DT17*'MASTER SHEET'!D17</f>
        <v>413.40000000000003</v>
      </c>
      <c r="FG17" s="9">
        <f>+DX17*'MASTER SHEET'!D17</f>
        <v>413.40000000000003</v>
      </c>
    </row>
    <row r="18" spans="1:163" ht="20.25" customHeight="1" x14ac:dyDescent="0.25">
      <c r="A18" s="25">
        <f>'MASTER SHEET'!A18</f>
        <v>16</v>
      </c>
      <c r="B18" s="26" t="str">
        <f>'MASTER SHEET'!B18</f>
        <v>CENTER TUBE</v>
      </c>
      <c r="C18" s="78">
        <f>'MASTER SHEET'!C18</f>
        <v>5016815</v>
      </c>
      <c r="D18" s="159">
        <v>5461</v>
      </c>
      <c r="E18" s="28">
        <f>PRODUCTION!F18+'SUPLIER INWARD'!F18</f>
        <v>0</v>
      </c>
      <c r="F18" s="28"/>
      <c r="G18" s="29">
        <v>0</v>
      </c>
      <c r="H18" s="30">
        <f t="shared" si="30"/>
        <v>5461</v>
      </c>
      <c r="I18" s="28">
        <f>PRODUCTION!J18+'SUPLIER INWARD'!J18</f>
        <v>0</v>
      </c>
      <c r="J18" s="28"/>
      <c r="K18" s="29">
        <v>0</v>
      </c>
      <c r="L18" s="30">
        <f t="shared" si="31"/>
        <v>5461</v>
      </c>
      <c r="M18" s="28">
        <f>PRODUCTION!N18+'SUPLIER INWARD'!N18</f>
        <v>0</v>
      </c>
      <c r="N18" s="28"/>
      <c r="O18" s="29"/>
      <c r="P18" s="30">
        <f t="shared" si="32"/>
        <v>5461</v>
      </c>
      <c r="Q18" s="28">
        <f>PRODUCTION!R18+'SUPLIER INWARD'!R18</f>
        <v>0</v>
      </c>
      <c r="R18" s="28"/>
      <c r="S18" s="29">
        <v>0</v>
      </c>
      <c r="T18" s="30">
        <f t="shared" si="33"/>
        <v>5461</v>
      </c>
      <c r="U18" s="28">
        <f>PRODUCTION!V18+'SUPLIER INWARD'!V18</f>
        <v>0</v>
      </c>
      <c r="V18" s="28"/>
      <c r="W18" s="29">
        <v>0</v>
      </c>
      <c r="X18" s="30">
        <f t="shared" si="34"/>
        <v>5461</v>
      </c>
      <c r="Y18" s="28">
        <f>PRODUCTION!Z18+'SUPLIER INWARD'!Z18</f>
        <v>0</v>
      </c>
      <c r="Z18" s="28"/>
      <c r="AA18" s="29">
        <v>0</v>
      </c>
      <c r="AB18" s="30">
        <f t="shared" si="35"/>
        <v>5461</v>
      </c>
      <c r="AC18" s="28">
        <f>PRODUCTION!AD18+'SUPLIER INWARD'!AD18</f>
        <v>0</v>
      </c>
      <c r="AD18" s="151"/>
      <c r="AE18" s="29">
        <v>0</v>
      </c>
      <c r="AF18" s="30">
        <f t="shared" si="36"/>
        <v>5461</v>
      </c>
      <c r="AG18" s="28">
        <f>PRODUCTION!AH18+'SUPLIER INWARD'!AH18</f>
        <v>0</v>
      </c>
      <c r="AH18" s="28">
        <v>480</v>
      </c>
      <c r="AI18" s="29">
        <v>0</v>
      </c>
      <c r="AJ18" s="30">
        <f t="shared" si="37"/>
        <v>4981</v>
      </c>
      <c r="AK18" s="28">
        <f>PRODUCTION!AL18+'SUPLIER INWARD'!AL18</f>
        <v>0</v>
      </c>
      <c r="AL18" s="28"/>
      <c r="AM18" s="29">
        <v>0</v>
      </c>
      <c r="AN18" s="30">
        <f t="shared" si="38"/>
        <v>4981</v>
      </c>
      <c r="AO18" s="28">
        <f>PRODUCTION!AP18+'SUPLIER INWARD'!AP18</f>
        <v>0</v>
      </c>
      <c r="AP18" s="28"/>
      <c r="AQ18" s="29">
        <v>0</v>
      </c>
      <c r="AR18" s="30">
        <f t="shared" si="39"/>
        <v>4981</v>
      </c>
      <c r="AS18" s="28">
        <f>PRODUCTION!AT18+'SUPLIER INWARD'!AT18</f>
        <v>0</v>
      </c>
      <c r="AT18" s="28"/>
      <c r="AU18" s="29">
        <v>0</v>
      </c>
      <c r="AV18" s="30">
        <f t="shared" si="40"/>
        <v>4981</v>
      </c>
      <c r="AW18" s="28">
        <f>PRODUCTION!AX18+'SUPLIER INWARD'!AX18</f>
        <v>0</v>
      </c>
      <c r="AX18" s="28"/>
      <c r="AY18" s="29"/>
      <c r="AZ18" s="30">
        <f t="shared" si="41"/>
        <v>4981</v>
      </c>
      <c r="BA18" s="28">
        <f>PRODUCTION!BB18+'SUPLIER INWARD'!BB18</f>
        <v>0</v>
      </c>
      <c r="BB18" s="28"/>
      <c r="BC18" s="29">
        <v>0</v>
      </c>
      <c r="BD18" s="30">
        <f t="shared" si="42"/>
        <v>4981</v>
      </c>
      <c r="BE18" s="28">
        <f>PRODUCTION!BF18+'SUPLIER INWARD'!BF18</f>
        <v>0</v>
      </c>
      <c r="BF18" s="28"/>
      <c r="BG18" s="29">
        <v>0</v>
      </c>
      <c r="BH18" s="30">
        <f t="shared" si="43"/>
        <v>4981</v>
      </c>
      <c r="BI18" s="28">
        <f>PRODUCTION!BJ18+'SUPLIER INWARD'!BJ18</f>
        <v>0</v>
      </c>
      <c r="BJ18" s="28"/>
      <c r="BK18" s="29">
        <v>0</v>
      </c>
      <c r="BL18" s="30">
        <f t="shared" si="44"/>
        <v>4981</v>
      </c>
      <c r="BM18" s="28">
        <f>PRODUCTION!BN18+'SUPLIER INWARD'!BN18</f>
        <v>0</v>
      </c>
      <c r="BN18" s="28"/>
      <c r="BO18" s="29">
        <v>0</v>
      </c>
      <c r="BP18" s="30">
        <f t="shared" si="45"/>
        <v>4981</v>
      </c>
      <c r="BQ18" s="28">
        <f>PRODUCTION!BR18+'SUPLIER INWARD'!BR18</f>
        <v>0</v>
      </c>
      <c r="BR18" s="28"/>
      <c r="BS18" s="29">
        <v>0</v>
      </c>
      <c r="BT18" s="30">
        <f t="shared" si="46"/>
        <v>4981</v>
      </c>
      <c r="BU18" s="28">
        <f>PRODUCTION!BV18+'SUPLIER INWARD'!BV18</f>
        <v>0</v>
      </c>
      <c r="BV18" s="151"/>
      <c r="BW18" s="29">
        <v>0</v>
      </c>
      <c r="BX18" s="30">
        <f t="shared" si="47"/>
        <v>4981</v>
      </c>
      <c r="BY18" s="28">
        <f>PRODUCTION!BZ18+'SUPLIER INWARD'!BZ18</f>
        <v>0</v>
      </c>
      <c r="BZ18" s="28"/>
      <c r="CA18" s="29">
        <v>0</v>
      </c>
      <c r="CB18" s="30">
        <f t="shared" si="48"/>
        <v>4981</v>
      </c>
      <c r="CC18" s="28">
        <f>PRODUCTION!CD18+'SUPLIER INWARD'!CD18</f>
        <v>0</v>
      </c>
      <c r="CD18" s="28"/>
      <c r="CE18" s="29">
        <v>0</v>
      </c>
      <c r="CF18" s="30">
        <f t="shared" si="49"/>
        <v>4981</v>
      </c>
      <c r="CG18" s="28">
        <f>PRODUCTION!CH18+'SUPLIER INWARD'!CH18</f>
        <v>0</v>
      </c>
      <c r="CH18" s="28"/>
      <c r="CI18" s="29">
        <v>0</v>
      </c>
      <c r="CJ18" s="30">
        <f t="shared" si="50"/>
        <v>4981</v>
      </c>
      <c r="CK18" s="28">
        <f>PRODUCTION!CL18+'SUPLIER INWARD'!CL18</f>
        <v>0</v>
      </c>
      <c r="CL18" s="151"/>
      <c r="CM18" s="152">
        <v>0</v>
      </c>
      <c r="CN18" s="30">
        <f t="shared" si="51"/>
        <v>4981</v>
      </c>
      <c r="CO18" s="28">
        <f>PRODUCTION!CP18+'SUPLIER INWARD'!CP18</f>
        <v>0</v>
      </c>
      <c r="CP18" s="151"/>
      <c r="CQ18" s="29">
        <v>0</v>
      </c>
      <c r="CR18" s="30">
        <f t="shared" si="52"/>
        <v>4981</v>
      </c>
      <c r="CS18" s="28">
        <f>PRODUCTION!CT18+'SUPLIER INWARD'!CT18</f>
        <v>0</v>
      </c>
      <c r="CT18" s="28"/>
      <c r="CU18" s="29">
        <v>0</v>
      </c>
      <c r="CV18" s="30">
        <f t="shared" si="53"/>
        <v>4981</v>
      </c>
      <c r="CW18" s="28">
        <f>PRODUCTION!CX18+'SUPLIER INWARD'!CX18</f>
        <v>1040</v>
      </c>
      <c r="CX18" s="28"/>
      <c r="CY18" s="29">
        <v>0</v>
      </c>
      <c r="CZ18" s="30">
        <f t="shared" si="54"/>
        <v>6021</v>
      </c>
      <c r="DA18" s="28">
        <f>PRODUCTION!DB18+'SUPLIER INWARD'!DB18</f>
        <v>0</v>
      </c>
      <c r="DB18" s="28"/>
      <c r="DC18" s="29"/>
      <c r="DD18" s="30">
        <f t="shared" si="55"/>
        <v>6021</v>
      </c>
      <c r="DE18" s="28">
        <f>PRODUCTION!DF18+'SUPLIER INWARD'!DF18</f>
        <v>1760</v>
      </c>
      <c r="DF18" s="28"/>
      <c r="DG18" s="29">
        <v>0</v>
      </c>
      <c r="DH18" s="30">
        <f t="shared" si="56"/>
        <v>7781</v>
      </c>
      <c r="DI18" s="28">
        <f>PRODUCTION!DJ18+'SUPLIER INWARD'!DJ18</f>
        <v>0</v>
      </c>
      <c r="DJ18" s="28"/>
      <c r="DK18" s="29">
        <v>0</v>
      </c>
      <c r="DL18" s="30">
        <f t="shared" si="57"/>
        <v>7781</v>
      </c>
      <c r="DM18" s="28">
        <f>PRODUCTION!DN18+'SUPLIER INWARD'!DN18</f>
        <v>0</v>
      </c>
      <c r="DN18" s="28"/>
      <c r="DO18" s="29"/>
      <c r="DP18" s="30">
        <f t="shared" si="58"/>
        <v>7781</v>
      </c>
      <c r="DQ18" s="28">
        <f>PRODUCTION!DR18+'SUPLIER INWARD'!DR18</f>
        <v>0</v>
      </c>
      <c r="DR18" s="28"/>
      <c r="DS18" s="29"/>
      <c r="DT18" s="30">
        <f t="shared" si="59"/>
        <v>7781</v>
      </c>
      <c r="DU18" s="28">
        <f>PRODUCTION!DV18+'SUPLIER INWARD'!DV18</f>
        <v>0</v>
      </c>
      <c r="DV18" s="28"/>
      <c r="DW18" s="29"/>
      <c r="DX18" s="30">
        <f t="shared" si="60"/>
        <v>7781</v>
      </c>
      <c r="DY18" s="31">
        <f t="shared" si="61"/>
        <v>2800</v>
      </c>
      <c r="DZ18" s="31">
        <f t="shared" si="62"/>
        <v>480</v>
      </c>
      <c r="EA18" s="4">
        <f t="shared" si="63"/>
        <v>0</v>
      </c>
      <c r="EB18" s="9">
        <f>D18*'MASTER SHEET'!D18</f>
        <v>151761.19</v>
      </c>
      <c r="EC18" s="9">
        <f>H18*'MASTER SHEET'!D18</f>
        <v>151761.19</v>
      </c>
      <c r="ED18" s="9">
        <f>L18*'MASTER SHEET'!D18</f>
        <v>151761.19</v>
      </c>
      <c r="EE18" s="9">
        <f>P18*'MASTER SHEET'!D18</f>
        <v>151761.19</v>
      </c>
      <c r="EF18" s="9">
        <f>T18*'MASTER SHEET'!D18</f>
        <v>151761.19</v>
      </c>
      <c r="EG18" s="9">
        <f>X18*'MASTER SHEET'!D18</f>
        <v>151761.19</v>
      </c>
      <c r="EH18" s="9">
        <f>AB18*'MASTER SHEET'!D18</f>
        <v>151761.19</v>
      </c>
      <c r="EI18" s="9">
        <f>AF18*'MASTER SHEET'!D18</f>
        <v>151761.19</v>
      </c>
      <c r="EJ18" s="9">
        <f>AJ18*'MASTER SHEET'!D18</f>
        <v>138421.99</v>
      </c>
      <c r="EK18" s="9">
        <f>AN18*'MASTER SHEET'!D18</f>
        <v>138421.99</v>
      </c>
      <c r="EL18" s="9">
        <f>AR18*'MASTER SHEET'!D18</f>
        <v>138421.99</v>
      </c>
      <c r="EM18" s="9">
        <f>AV18*'MASTER SHEET'!D18</f>
        <v>138421.99</v>
      </c>
      <c r="EN18" s="9">
        <f>AZ18*'MASTER SHEET'!D18</f>
        <v>138421.99</v>
      </c>
      <c r="EO18" s="9">
        <f>BD18*'MASTER SHEET'!D18</f>
        <v>138421.99</v>
      </c>
      <c r="EP18" s="9">
        <f>$BH18*'MASTER SHEET'!$D18</f>
        <v>138421.99</v>
      </c>
      <c r="EQ18" s="9">
        <f>BL18*'MASTER SHEET'!D18</f>
        <v>138421.99</v>
      </c>
      <c r="ER18" s="9">
        <f>BP18*'MASTER SHEET'!D18</f>
        <v>138421.99</v>
      </c>
      <c r="ES18" s="9">
        <f>BT18*'MASTER SHEET'!D18</f>
        <v>138421.99</v>
      </c>
      <c r="ET18" s="9">
        <f>BX18*'MASTER SHEET'!D18</f>
        <v>138421.99</v>
      </c>
      <c r="EU18" s="9">
        <f>CB18*'MASTER SHEET'!D18</f>
        <v>138421.99</v>
      </c>
      <c r="EV18" s="9">
        <f>CF18*'MASTER SHEET'!D18</f>
        <v>138421.99</v>
      </c>
      <c r="EW18" s="9">
        <f>CJ18*'MASTER SHEET'!D18</f>
        <v>138421.99</v>
      </c>
      <c r="EX18" s="9">
        <f>CN18*'MASTER SHEET'!D18</f>
        <v>138421.99</v>
      </c>
      <c r="EY18" s="9">
        <f>CR18*'MASTER SHEET'!D18</f>
        <v>138421.99</v>
      </c>
      <c r="EZ18" s="9">
        <f>$CV18*'MASTER SHEET'!D18</f>
        <v>138421.99</v>
      </c>
      <c r="FA18" s="9">
        <f>CZ18*'MASTER SHEET'!D18</f>
        <v>167323.59</v>
      </c>
      <c r="FB18" s="9">
        <f>DD18*'MASTER SHEET'!D18</f>
        <v>167323.59</v>
      </c>
      <c r="FC18" s="9">
        <f>DH18*'MASTER SHEET'!D18</f>
        <v>216233.99</v>
      </c>
      <c r="FD18" s="9">
        <f>DL18*'MASTER SHEET'!D18</f>
        <v>216233.99</v>
      </c>
      <c r="FE18" s="9">
        <f>DP18*'MASTER SHEET'!D18</f>
        <v>216233.99</v>
      </c>
      <c r="FF18" s="9">
        <f>DT18*'MASTER SHEET'!D18</f>
        <v>216233.99</v>
      </c>
      <c r="FG18" s="9">
        <f>+DX18*'MASTER SHEET'!D18</f>
        <v>216233.99</v>
      </c>
    </row>
    <row r="19" spans="1:163" ht="20.25" customHeight="1" x14ac:dyDescent="0.25">
      <c r="A19" s="25">
        <f>'MASTER SHEET'!A19</f>
        <v>17</v>
      </c>
      <c r="B19" s="26" t="str">
        <f>'MASTER SHEET'!B19</f>
        <v>HYDROPHOBIC SCREEN</v>
      </c>
      <c r="C19" s="78">
        <f>'MASTER SHEET'!C19</f>
        <v>5016817</v>
      </c>
      <c r="D19" s="159">
        <v>3444</v>
      </c>
      <c r="E19" s="28">
        <f>PRODUCTION!F19+'SUPLIER INWARD'!F19</f>
        <v>4052</v>
      </c>
      <c r="F19" s="28">
        <v>3136</v>
      </c>
      <c r="G19" s="29">
        <v>9</v>
      </c>
      <c r="H19" s="30">
        <f t="shared" si="30"/>
        <v>4351</v>
      </c>
      <c r="I19" s="28">
        <f>PRODUCTION!J19+'SUPLIER INWARD'!J19</f>
        <v>5026</v>
      </c>
      <c r="J19" s="28">
        <v>4704</v>
      </c>
      <c r="K19" s="29">
        <v>15</v>
      </c>
      <c r="L19" s="30">
        <f t="shared" si="31"/>
        <v>4658</v>
      </c>
      <c r="M19" s="28">
        <f>PRODUCTION!N19+'SUPLIER INWARD'!N19</f>
        <v>0</v>
      </c>
      <c r="N19" s="146"/>
      <c r="O19" s="29"/>
      <c r="P19" s="30">
        <f t="shared" si="32"/>
        <v>4658</v>
      </c>
      <c r="Q19" s="28">
        <f>PRODUCTION!R19+'SUPLIER INWARD'!R19</f>
        <v>2725</v>
      </c>
      <c r="R19" s="28">
        <v>4312</v>
      </c>
      <c r="S19" s="29">
        <v>30</v>
      </c>
      <c r="T19" s="30">
        <f t="shared" si="33"/>
        <v>3041</v>
      </c>
      <c r="U19" s="28">
        <f>PRODUCTION!V19+'SUPLIER INWARD'!V19</f>
        <v>2272</v>
      </c>
      <c r="V19" s="28">
        <v>2156</v>
      </c>
      <c r="W19" s="29">
        <v>6</v>
      </c>
      <c r="X19" s="30">
        <f t="shared" si="34"/>
        <v>3151</v>
      </c>
      <c r="Y19" s="28">
        <f>PRODUCTION!Z19+'SUPLIER INWARD'!Z19</f>
        <v>2539</v>
      </c>
      <c r="Z19" s="28">
        <v>3332</v>
      </c>
      <c r="AA19" s="29">
        <v>38</v>
      </c>
      <c r="AB19" s="30">
        <f t="shared" si="35"/>
        <v>2320</v>
      </c>
      <c r="AC19" s="28">
        <f>PRODUCTION!AD19+'SUPLIER INWARD'!AD19</f>
        <v>0</v>
      </c>
      <c r="AD19" s="151">
        <v>1764</v>
      </c>
      <c r="AE19" s="29">
        <v>26</v>
      </c>
      <c r="AF19" s="30">
        <f t="shared" si="36"/>
        <v>530</v>
      </c>
      <c r="AG19" s="28">
        <f>PRODUCTION!AH19+'SUPLIER INWARD'!AH19</f>
        <v>0</v>
      </c>
      <c r="AH19" s="28"/>
      <c r="AI19" s="29">
        <v>0</v>
      </c>
      <c r="AJ19" s="30">
        <f t="shared" si="37"/>
        <v>530</v>
      </c>
      <c r="AK19" s="28">
        <f>PRODUCTION!AL19+'SUPLIER INWARD'!AL19</f>
        <v>0</v>
      </c>
      <c r="AL19" s="28"/>
      <c r="AM19" s="29">
        <v>0</v>
      </c>
      <c r="AN19" s="30">
        <f t="shared" si="38"/>
        <v>530</v>
      </c>
      <c r="AO19" s="28">
        <f>PRODUCTION!AP19+'SUPLIER INWARD'!AP19</f>
        <v>5058</v>
      </c>
      <c r="AP19" s="28">
        <f>1372+100</f>
        <v>1472</v>
      </c>
      <c r="AQ19" s="29">
        <v>29</v>
      </c>
      <c r="AR19" s="30">
        <f t="shared" si="39"/>
        <v>4087</v>
      </c>
      <c r="AS19" s="28">
        <f>PRODUCTION!AT19+'SUPLIER INWARD'!AT19</f>
        <v>5348</v>
      </c>
      <c r="AT19" s="28">
        <v>5692</v>
      </c>
      <c r="AU19" s="29">
        <v>33</v>
      </c>
      <c r="AV19" s="30">
        <f t="shared" si="40"/>
        <v>3710</v>
      </c>
      <c r="AW19" s="28">
        <f>PRODUCTION!AX19+'SUPLIER INWARD'!AX19</f>
        <v>2522</v>
      </c>
      <c r="AX19" s="28"/>
      <c r="AY19" s="29"/>
      <c r="AZ19" s="30">
        <f t="shared" si="41"/>
        <v>6232</v>
      </c>
      <c r="BA19" s="28">
        <f>PRODUCTION!BB19+'SUPLIER INWARD'!BB19</f>
        <v>5481</v>
      </c>
      <c r="BB19" s="28">
        <v>6692</v>
      </c>
      <c r="BC19" s="29">
        <v>76</v>
      </c>
      <c r="BD19" s="30">
        <f t="shared" si="42"/>
        <v>4945</v>
      </c>
      <c r="BE19" s="28">
        <f>PRODUCTION!BF19+'SUPLIER INWARD'!BF19</f>
        <v>5686</v>
      </c>
      <c r="BF19" s="28">
        <v>6096</v>
      </c>
      <c r="BG19" s="29">
        <v>34</v>
      </c>
      <c r="BH19" s="30">
        <f t="shared" si="43"/>
        <v>4501</v>
      </c>
      <c r="BI19" s="28">
        <f>PRODUCTION!BJ19+'SUPLIER INWARD'!BJ19</f>
        <v>5581</v>
      </c>
      <c r="BJ19" s="28">
        <v>2256</v>
      </c>
      <c r="BK19" s="29">
        <v>14</v>
      </c>
      <c r="BL19" s="30">
        <f t="shared" si="44"/>
        <v>7812</v>
      </c>
      <c r="BM19" s="28">
        <f>PRODUCTION!BN19+'SUPLIER INWARD'!BN19</f>
        <v>5544</v>
      </c>
      <c r="BN19" s="28">
        <v>7228</v>
      </c>
      <c r="BO19" s="29">
        <v>8</v>
      </c>
      <c r="BP19" s="30">
        <f t="shared" si="45"/>
        <v>6120</v>
      </c>
      <c r="BQ19" s="28">
        <f>PRODUCTION!BR19+'SUPLIER INWARD'!BR19</f>
        <v>4302</v>
      </c>
      <c r="BR19" s="28">
        <v>6948</v>
      </c>
      <c r="BS19" s="29">
        <v>40</v>
      </c>
      <c r="BT19" s="30">
        <f t="shared" si="46"/>
        <v>3434</v>
      </c>
      <c r="BU19" s="28">
        <f>PRODUCTION!BV19+'SUPLIER INWARD'!BV19</f>
        <v>5432</v>
      </c>
      <c r="BV19" s="151">
        <v>3600</v>
      </c>
      <c r="BW19" s="29">
        <v>42</v>
      </c>
      <c r="BX19" s="30">
        <f t="shared" si="47"/>
        <v>5224</v>
      </c>
      <c r="BY19" s="28">
        <f>PRODUCTION!BZ19+'SUPLIER INWARD'!BZ19</f>
        <v>0</v>
      </c>
      <c r="BZ19" s="28"/>
      <c r="CA19" s="29">
        <v>0</v>
      </c>
      <c r="CB19" s="30">
        <f t="shared" si="48"/>
        <v>5224</v>
      </c>
      <c r="CC19" s="28">
        <f>PRODUCTION!CD19+'SUPLIER INWARD'!CD19</f>
        <v>2978</v>
      </c>
      <c r="CD19" s="28"/>
      <c r="CE19" s="29">
        <v>0</v>
      </c>
      <c r="CF19" s="30">
        <f t="shared" si="49"/>
        <v>8202</v>
      </c>
      <c r="CG19" s="28">
        <f>PRODUCTION!CH19+'SUPLIER INWARD'!CH19</f>
        <v>796</v>
      </c>
      <c r="CH19" s="28">
        <v>2940</v>
      </c>
      <c r="CI19" s="29">
        <v>27</v>
      </c>
      <c r="CJ19" s="30">
        <f t="shared" si="50"/>
        <v>6031</v>
      </c>
      <c r="CK19" s="28">
        <f>PRODUCTION!CL19+'SUPLIER INWARD'!CL19</f>
        <v>0</v>
      </c>
      <c r="CL19" s="151"/>
      <c r="CM19" s="152">
        <v>0</v>
      </c>
      <c r="CN19" s="30">
        <f t="shared" si="51"/>
        <v>6031</v>
      </c>
      <c r="CO19" s="28">
        <f>PRODUCTION!CP19+'SUPLIER INWARD'!CP19</f>
        <v>0</v>
      </c>
      <c r="CP19" s="151">
        <v>4120</v>
      </c>
      <c r="CQ19" s="29">
        <v>52</v>
      </c>
      <c r="CR19" s="30">
        <f t="shared" si="52"/>
        <v>1859</v>
      </c>
      <c r="CS19" s="28">
        <f>PRODUCTION!CT19+'SUPLIER INWARD'!CT19</f>
        <v>4879</v>
      </c>
      <c r="CT19" s="146">
        <f>1372+116</f>
        <v>1488</v>
      </c>
      <c r="CU19" s="29">
        <v>16</v>
      </c>
      <c r="CV19" s="30">
        <f t="shared" si="53"/>
        <v>5234</v>
      </c>
      <c r="CW19" s="28">
        <f>PRODUCTION!CX19+'SUPLIER INWARD'!CX19</f>
        <v>5672</v>
      </c>
      <c r="CX19" s="28">
        <v>2548</v>
      </c>
      <c r="CY19" s="29">
        <v>6</v>
      </c>
      <c r="CZ19" s="30">
        <f t="shared" si="54"/>
        <v>8352</v>
      </c>
      <c r="DA19" s="28">
        <f>PRODUCTION!DB19+'SUPLIER INWARD'!DB19</f>
        <v>0</v>
      </c>
      <c r="DB19" s="28">
        <v>1240</v>
      </c>
      <c r="DC19" s="29"/>
      <c r="DD19" s="30">
        <f t="shared" si="55"/>
        <v>7112</v>
      </c>
      <c r="DE19" s="28">
        <f>PRODUCTION!DF19+'SUPLIER INWARD'!DF19</f>
        <v>5628</v>
      </c>
      <c r="DF19" s="28">
        <v>4900</v>
      </c>
      <c r="DG19" s="29">
        <v>41</v>
      </c>
      <c r="DH19" s="30">
        <f t="shared" si="56"/>
        <v>7799</v>
      </c>
      <c r="DI19" s="28">
        <f>PRODUCTION!DJ19+'SUPLIER INWARD'!DJ19</f>
        <v>5520</v>
      </c>
      <c r="DJ19" s="28">
        <v>7956</v>
      </c>
      <c r="DK19" s="29">
        <v>58</v>
      </c>
      <c r="DL19" s="30">
        <f t="shared" si="57"/>
        <v>5305</v>
      </c>
      <c r="DM19" s="28">
        <f>PRODUCTION!DN19+'SUPLIER INWARD'!DN19</f>
        <v>5430</v>
      </c>
      <c r="DN19" s="28">
        <v>4336</v>
      </c>
      <c r="DO19" s="29"/>
      <c r="DP19" s="30">
        <f t="shared" si="58"/>
        <v>6399</v>
      </c>
      <c r="DQ19" s="28">
        <f>PRODUCTION!DR19+'SUPLIER INWARD'!DR19</f>
        <v>0</v>
      </c>
      <c r="DR19" s="28"/>
      <c r="DS19" s="29"/>
      <c r="DT19" s="30">
        <f t="shared" si="59"/>
        <v>6399</v>
      </c>
      <c r="DU19" s="28">
        <f>PRODUCTION!DV19+'SUPLIER INWARD'!DV19</f>
        <v>0</v>
      </c>
      <c r="DV19" s="28"/>
      <c r="DW19" s="29"/>
      <c r="DX19" s="30">
        <f t="shared" si="60"/>
        <v>6399</v>
      </c>
      <c r="DY19" s="31">
        <f t="shared" si="61"/>
        <v>92471</v>
      </c>
      <c r="DZ19" s="31">
        <f t="shared" si="62"/>
        <v>88916</v>
      </c>
      <c r="EA19" s="4">
        <f t="shared" si="63"/>
        <v>600</v>
      </c>
      <c r="EB19" s="9">
        <f>D19*'MASTER SHEET'!D19</f>
        <v>169169.28</v>
      </c>
      <c r="EC19" s="9">
        <f>H19*'MASTER SHEET'!D19</f>
        <v>213721.12</v>
      </c>
      <c r="ED19" s="9">
        <f>L19*'MASTER SHEET'!D19</f>
        <v>228800.96</v>
      </c>
      <c r="EE19" s="9">
        <f>P19*'MASTER SHEET'!D19</f>
        <v>228800.96</v>
      </c>
      <c r="EF19" s="9">
        <f>T19*'MASTER SHEET'!D19</f>
        <v>149373.91999999998</v>
      </c>
      <c r="EG19" s="9">
        <f>X19*'MASTER SHEET'!D19</f>
        <v>154777.12</v>
      </c>
      <c r="EH19" s="9">
        <f>AB19*'MASTER SHEET'!D19</f>
        <v>113958.39999999999</v>
      </c>
      <c r="EI19" s="9">
        <f>AF19*'MASTER SHEET'!D19</f>
        <v>26033.599999999999</v>
      </c>
      <c r="EJ19" s="9">
        <f>AJ19*'MASTER SHEET'!D19</f>
        <v>26033.599999999999</v>
      </c>
      <c r="EK19" s="9">
        <f>AN19*'MASTER SHEET'!D19</f>
        <v>26033.599999999999</v>
      </c>
      <c r="EL19" s="9">
        <f>AR19*'MASTER SHEET'!D19</f>
        <v>200753.44</v>
      </c>
      <c r="EM19" s="9">
        <f>AV19*'MASTER SHEET'!D19</f>
        <v>182235.19999999998</v>
      </c>
      <c r="EN19" s="9">
        <f>AZ19*'MASTER SHEET'!D19</f>
        <v>306115.83999999997</v>
      </c>
      <c r="EO19" s="9">
        <f>BD19*'MASTER SHEET'!D19</f>
        <v>242898.4</v>
      </c>
      <c r="EP19" s="9">
        <f>$BH19*'MASTER SHEET'!$D19</f>
        <v>221089.12</v>
      </c>
      <c r="EQ19" s="9">
        <f>BL19*'MASTER SHEET'!D19</f>
        <v>383725.44</v>
      </c>
      <c r="ER19" s="9">
        <f>BP19*'MASTER SHEET'!D19</f>
        <v>300614.39999999997</v>
      </c>
      <c r="ES19" s="9">
        <f>BT19*'MASTER SHEET'!D19</f>
        <v>168678.08</v>
      </c>
      <c r="ET19" s="9">
        <f>BX19*'MASTER SHEET'!D19</f>
        <v>256602.87999999998</v>
      </c>
      <c r="EU19" s="9">
        <f>CB19*'MASTER SHEET'!D19</f>
        <v>256602.87999999998</v>
      </c>
      <c r="EV19" s="9">
        <f>CF19*'MASTER SHEET'!D19</f>
        <v>402882.24</v>
      </c>
      <c r="EW19" s="9">
        <f>CJ19*'MASTER SHEET'!D19</f>
        <v>296242.71999999997</v>
      </c>
      <c r="EX19" s="9">
        <f>CN19*'MASTER SHEET'!D19</f>
        <v>296242.71999999997</v>
      </c>
      <c r="EY19" s="9">
        <f>CR19*'MASTER SHEET'!D19</f>
        <v>91314.08</v>
      </c>
      <c r="EZ19" s="9">
        <f>$CV19*'MASTER SHEET'!D19</f>
        <v>257094.08</v>
      </c>
      <c r="FA19" s="9">
        <f>CZ19*'MASTER SHEET'!D19</f>
        <v>410250.23999999999</v>
      </c>
      <c r="FB19" s="9">
        <f>DD19*'MASTER SHEET'!D19</f>
        <v>349341.44</v>
      </c>
      <c r="FC19" s="9">
        <f>DH19*'MASTER SHEET'!D19</f>
        <v>383086.88</v>
      </c>
      <c r="FD19" s="9">
        <f>DL19*'MASTER SHEET'!D19</f>
        <v>260581.59999999998</v>
      </c>
      <c r="FE19" s="9">
        <f>DP19*'MASTER SHEET'!D19</f>
        <v>314318.88</v>
      </c>
      <c r="FF19" s="9">
        <f>DT19*'MASTER SHEET'!D19</f>
        <v>314318.88</v>
      </c>
      <c r="FG19" s="9">
        <f>+DX19*'MASTER SHEET'!D19</f>
        <v>314318.88</v>
      </c>
    </row>
    <row r="20" spans="1:163" s="10" customFormat="1" ht="20.25" customHeight="1" x14ac:dyDescent="0.25">
      <c r="A20" s="25">
        <f>'MASTER SHEET'!A20</f>
        <v>18</v>
      </c>
      <c r="B20" s="26" t="str">
        <f>'MASTER SHEET'!B20</f>
        <v>SHELL PLASTIC ASY</v>
      </c>
      <c r="C20" s="78">
        <f>'MASTER SHEET'!C20</f>
        <v>5016820</v>
      </c>
      <c r="D20" s="159">
        <v>7</v>
      </c>
      <c r="E20" s="28">
        <f>PRODUCTION!F20+'SUPLIER INWARD'!F20</f>
        <v>0</v>
      </c>
      <c r="F20" s="28"/>
      <c r="G20" s="29">
        <v>0</v>
      </c>
      <c r="H20" s="30">
        <f t="shared" si="30"/>
        <v>7</v>
      </c>
      <c r="I20" s="28">
        <f>PRODUCTION!J20+'SUPLIER INWARD'!J20</f>
        <v>0</v>
      </c>
      <c r="J20" s="28"/>
      <c r="K20" s="29">
        <v>0</v>
      </c>
      <c r="L20" s="30">
        <f t="shared" si="31"/>
        <v>7</v>
      </c>
      <c r="M20" s="28">
        <f>PRODUCTION!N20+'SUPLIER INWARD'!N20</f>
        <v>0</v>
      </c>
      <c r="N20" s="28"/>
      <c r="O20" s="29"/>
      <c r="P20" s="30">
        <f t="shared" si="32"/>
        <v>7</v>
      </c>
      <c r="Q20" s="28">
        <f>PRODUCTION!R20+'SUPLIER INWARD'!R20</f>
        <v>0</v>
      </c>
      <c r="R20" s="28"/>
      <c r="S20" s="29">
        <v>0</v>
      </c>
      <c r="T20" s="30">
        <f t="shared" si="33"/>
        <v>7</v>
      </c>
      <c r="U20" s="28">
        <f>PRODUCTION!V20+'SUPLIER INWARD'!V20</f>
        <v>0</v>
      </c>
      <c r="V20" s="28"/>
      <c r="W20" s="29">
        <v>0</v>
      </c>
      <c r="X20" s="30">
        <f t="shared" si="34"/>
        <v>7</v>
      </c>
      <c r="Y20" s="28">
        <f>PRODUCTION!Z20+'SUPLIER INWARD'!Z20</f>
        <v>0</v>
      </c>
      <c r="Z20" s="28"/>
      <c r="AA20" s="29">
        <v>0</v>
      </c>
      <c r="AB20" s="30">
        <f t="shared" si="35"/>
        <v>7</v>
      </c>
      <c r="AC20" s="28">
        <f>PRODUCTION!AD20+'SUPLIER INWARD'!AD20</f>
        <v>0</v>
      </c>
      <c r="AD20" s="151"/>
      <c r="AE20" s="29">
        <v>0</v>
      </c>
      <c r="AF20" s="30">
        <f t="shared" si="36"/>
        <v>7</v>
      </c>
      <c r="AG20" s="28">
        <f>PRODUCTION!AH20+'SUPLIER INWARD'!AH20</f>
        <v>0</v>
      </c>
      <c r="AH20" s="28"/>
      <c r="AI20" s="29">
        <v>0</v>
      </c>
      <c r="AJ20" s="30">
        <f t="shared" si="37"/>
        <v>7</v>
      </c>
      <c r="AK20" s="28">
        <f>PRODUCTION!AL20+'SUPLIER INWARD'!AL20</f>
        <v>0</v>
      </c>
      <c r="AL20" s="28"/>
      <c r="AM20" s="29">
        <v>0</v>
      </c>
      <c r="AN20" s="30">
        <f t="shared" si="38"/>
        <v>7</v>
      </c>
      <c r="AO20" s="28">
        <f>PRODUCTION!AP20+'SUPLIER INWARD'!AP20</f>
        <v>0</v>
      </c>
      <c r="AP20" s="28"/>
      <c r="AQ20" s="29">
        <v>0</v>
      </c>
      <c r="AR20" s="30">
        <f t="shared" si="39"/>
        <v>7</v>
      </c>
      <c r="AS20" s="28">
        <f>PRODUCTION!AT20+'SUPLIER INWARD'!AT20</f>
        <v>0</v>
      </c>
      <c r="AT20" s="28"/>
      <c r="AU20" s="29">
        <v>0</v>
      </c>
      <c r="AV20" s="30">
        <f t="shared" si="40"/>
        <v>7</v>
      </c>
      <c r="AW20" s="28">
        <f>PRODUCTION!AX20+'SUPLIER INWARD'!AX20</f>
        <v>0</v>
      </c>
      <c r="AX20" s="28"/>
      <c r="AY20" s="29"/>
      <c r="AZ20" s="30">
        <f t="shared" si="41"/>
        <v>7</v>
      </c>
      <c r="BA20" s="28">
        <f>PRODUCTION!BB20+'SUPLIER INWARD'!BB20</f>
        <v>0</v>
      </c>
      <c r="BB20" s="28"/>
      <c r="BC20" s="29">
        <v>0</v>
      </c>
      <c r="BD20" s="30">
        <f t="shared" si="42"/>
        <v>7</v>
      </c>
      <c r="BE20" s="28">
        <f>PRODUCTION!BF20+'SUPLIER INWARD'!BF20</f>
        <v>0</v>
      </c>
      <c r="BF20" s="28"/>
      <c r="BG20" s="29">
        <v>0</v>
      </c>
      <c r="BH20" s="30">
        <f t="shared" si="43"/>
        <v>7</v>
      </c>
      <c r="BI20" s="28">
        <f>PRODUCTION!BJ20+'SUPLIER INWARD'!BJ20</f>
        <v>0</v>
      </c>
      <c r="BJ20" s="28"/>
      <c r="BK20" s="29">
        <v>0</v>
      </c>
      <c r="BL20" s="30">
        <f t="shared" si="44"/>
        <v>7</v>
      </c>
      <c r="BM20" s="28">
        <f>PRODUCTION!BN20+'SUPLIER INWARD'!BN20</f>
        <v>0</v>
      </c>
      <c r="BN20" s="28"/>
      <c r="BO20" s="29">
        <v>0</v>
      </c>
      <c r="BP20" s="30">
        <f t="shared" si="45"/>
        <v>7</v>
      </c>
      <c r="BQ20" s="28">
        <f>PRODUCTION!BR20+'SUPLIER INWARD'!BR20</f>
        <v>0</v>
      </c>
      <c r="BR20" s="28"/>
      <c r="BS20" s="29">
        <v>0</v>
      </c>
      <c r="BT20" s="30">
        <f t="shared" si="46"/>
        <v>7</v>
      </c>
      <c r="BU20" s="28">
        <f>PRODUCTION!BV20+'SUPLIER INWARD'!BV20</f>
        <v>0</v>
      </c>
      <c r="BV20" s="28"/>
      <c r="BW20" s="29">
        <v>0</v>
      </c>
      <c r="BX20" s="30">
        <f t="shared" si="47"/>
        <v>7</v>
      </c>
      <c r="BY20" s="28">
        <f>PRODUCTION!BZ20+'SUPLIER INWARD'!BZ20</f>
        <v>0</v>
      </c>
      <c r="BZ20" s="28"/>
      <c r="CA20" s="29">
        <v>0</v>
      </c>
      <c r="CB20" s="30">
        <f t="shared" si="48"/>
        <v>7</v>
      </c>
      <c r="CC20" s="28">
        <f>PRODUCTION!CD20+'SUPLIER INWARD'!CD20</f>
        <v>0</v>
      </c>
      <c r="CD20" s="28"/>
      <c r="CE20" s="29">
        <v>0</v>
      </c>
      <c r="CF20" s="30">
        <f t="shared" si="49"/>
        <v>7</v>
      </c>
      <c r="CG20" s="28">
        <f>PRODUCTION!CH20+'SUPLIER INWARD'!CH20</f>
        <v>0</v>
      </c>
      <c r="CH20" s="28"/>
      <c r="CI20" s="29">
        <v>0</v>
      </c>
      <c r="CJ20" s="30">
        <f t="shared" si="50"/>
        <v>7</v>
      </c>
      <c r="CK20" s="28">
        <f>PRODUCTION!CL20+'SUPLIER INWARD'!CL20</f>
        <v>0</v>
      </c>
      <c r="CL20" s="151"/>
      <c r="CM20" s="152">
        <v>0</v>
      </c>
      <c r="CN20" s="30">
        <f t="shared" si="51"/>
        <v>7</v>
      </c>
      <c r="CO20" s="28">
        <f>PRODUCTION!CP20+'SUPLIER INWARD'!CP20</f>
        <v>0</v>
      </c>
      <c r="CP20" s="151"/>
      <c r="CQ20" s="29">
        <v>0</v>
      </c>
      <c r="CR20" s="30">
        <f t="shared" si="52"/>
        <v>7</v>
      </c>
      <c r="CS20" s="28">
        <f>PRODUCTION!CT20+'SUPLIER INWARD'!CT20</f>
        <v>0</v>
      </c>
      <c r="CT20" s="28"/>
      <c r="CU20" s="29">
        <v>0</v>
      </c>
      <c r="CV20" s="30">
        <f t="shared" si="53"/>
        <v>7</v>
      </c>
      <c r="CW20" s="28">
        <f>PRODUCTION!CX20+'SUPLIER INWARD'!CX20</f>
        <v>561</v>
      </c>
      <c r="CX20" s="28">
        <v>60</v>
      </c>
      <c r="CY20" s="29">
        <v>0</v>
      </c>
      <c r="CZ20" s="30">
        <f t="shared" si="54"/>
        <v>508</v>
      </c>
      <c r="DA20" s="28">
        <f>PRODUCTION!DB20+'SUPLIER INWARD'!DB20</f>
        <v>0</v>
      </c>
      <c r="DB20" s="28"/>
      <c r="DC20" s="29"/>
      <c r="DD20" s="30">
        <f t="shared" si="55"/>
        <v>508</v>
      </c>
      <c r="DE20" s="28">
        <f>PRODUCTION!DF20+'SUPLIER INWARD'!DF20</f>
        <v>0</v>
      </c>
      <c r="DF20" s="28">
        <v>460</v>
      </c>
      <c r="DG20" s="29">
        <v>0</v>
      </c>
      <c r="DH20" s="30">
        <f t="shared" si="56"/>
        <v>48</v>
      </c>
      <c r="DI20" s="28">
        <f>PRODUCTION!DJ20+'SUPLIER INWARD'!DJ20</f>
        <v>0</v>
      </c>
      <c r="DJ20" s="28"/>
      <c r="DK20" s="29">
        <v>0</v>
      </c>
      <c r="DL20" s="30">
        <f t="shared" si="57"/>
        <v>48</v>
      </c>
      <c r="DM20" s="28">
        <f>PRODUCTION!DN20+'SUPLIER INWARD'!DN20</f>
        <v>0</v>
      </c>
      <c r="DN20" s="28"/>
      <c r="DO20" s="29"/>
      <c r="DP20" s="30">
        <f t="shared" si="58"/>
        <v>48</v>
      </c>
      <c r="DQ20" s="28">
        <f>PRODUCTION!DR20+'SUPLIER INWARD'!DR20</f>
        <v>0</v>
      </c>
      <c r="DR20" s="28"/>
      <c r="DS20" s="29"/>
      <c r="DT20" s="30">
        <f t="shared" si="59"/>
        <v>48</v>
      </c>
      <c r="DU20" s="28">
        <f>PRODUCTION!DV20+'SUPLIER INWARD'!DV20</f>
        <v>0</v>
      </c>
      <c r="DV20" s="28"/>
      <c r="DW20" s="29"/>
      <c r="DX20" s="30">
        <f t="shared" si="60"/>
        <v>48</v>
      </c>
      <c r="DY20" s="31">
        <f t="shared" si="61"/>
        <v>561</v>
      </c>
      <c r="DZ20" s="31">
        <f t="shared" si="62"/>
        <v>520</v>
      </c>
      <c r="EA20" s="4">
        <f t="shared" si="63"/>
        <v>0</v>
      </c>
      <c r="EB20" s="9">
        <f>D20*'MASTER SHEET'!D20</f>
        <v>1835.82</v>
      </c>
      <c r="EC20" s="9">
        <f>H20*'MASTER SHEET'!D20</f>
        <v>1835.82</v>
      </c>
      <c r="ED20" s="9">
        <f>L20*'MASTER SHEET'!D20</f>
        <v>1835.82</v>
      </c>
      <c r="EE20" s="9">
        <f>P20*'MASTER SHEET'!D20</f>
        <v>1835.82</v>
      </c>
      <c r="EF20" s="9">
        <f>T20*'MASTER SHEET'!D20</f>
        <v>1835.82</v>
      </c>
      <c r="EG20" s="9">
        <f>X20*'MASTER SHEET'!D20</f>
        <v>1835.82</v>
      </c>
      <c r="EH20" s="9">
        <f>AB20*'MASTER SHEET'!D20</f>
        <v>1835.82</v>
      </c>
      <c r="EI20" s="9">
        <f>AF20*'MASTER SHEET'!D20</f>
        <v>1835.82</v>
      </c>
      <c r="EJ20" s="9">
        <f>AJ20*'MASTER SHEET'!D20</f>
        <v>1835.82</v>
      </c>
      <c r="EK20" s="9">
        <f>AN20*'MASTER SHEET'!D20</f>
        <v>1835.82</v>
      </c>
      <c r="EL20" s="9">
        <f>AR20*'MASTER SHEET'!D20</f>
        <v>1835.82</v>
      </c>
      <c r="EM20" s="9">
        <f>AV20*'MASTER SHEET'!D20</f>
        <v>1835.82</v>
      </c>
      <c r="EN20" s="9">
        <f>AZ20*'MASTER SHEET'!D20</f>
        <v>1835.82</v>
      </c>
      <c r="EO20" s="9">
        <f>BD20*'MASTER SHEET'!D20</f>
        <v>1835.82</v>
      </c>
      <c r="EP20" s="9">
        <f>$BH20*'MASTER SHEET'!$D20</f>
        <v>1835.82</v>
      </c>
      <c r="EQ20" s="9">
        <f>BL20*'MASTER SHEET'!D20</f>
        <v>1835.82</v>
      </c>
      <c r="ER20" s="9">
        <f>BP20*'MASTER SHEET'!D20</f>
        <v>1835.82</v>
      </c>
      <c r="ES20" s="9">
        <f>BT20*'MASTER SHEET'!D20</f>
        <v>1835.82</v>
      </c>
      <c r="ET20" s="9">
        <f>BX20*'MASTER SHEET'!D20</f>
        <v>1835.82</v>
      </c>
      <c r="EU20" s="9">
        <f>CB20*'MASTER SHEET'!D20</f>
        <v>1835.82</v>
      </c>
      <c r="EV20" s="9">
        <f>CF20*'MASTER SHEET'!D20</f>
        <v>1835.82</v>
      </c>
      <c r="EW20" s="9">
        <f>CJ20*'MASTER SHEET'!D20</f>
        <v>1835.82</v>
      </c>
      <c r="EX20" s="9">
        <f>CN20*'MASTER SHEET'!D20</f>
        <v>1835.82</v>
      </c>
      <c r="EY20" s="9">
        <f>CR20*'MASTER SHEET'!D20</f>
        <v>1835.82</v>
      </c>
      <c r="EZ20" s="9">
        <f>$CV20*'MASTER SHEET'!D20</f>
        <v>1835.82</v>
      </c>
      <c r="FA20" s="9">
        <f>CZ20*'MASTER SHEET'!D20</f>
        <v>133228.07999999999</v>
      </c>
      <c r="FB20" s="9">
        <f>DD20*'MASTER SHEET'!D20</f>
        <v>133228.07999999999</v>
      </c>
      <c r="FC20" s="9">
        <f>DH20*'MASTER SHEET'!D20</f>
        <v>12588.48</v>
      </c>
      <c r="FD20" s="9">
        <f>DL20*'MASTER SHEET'!D20</f>
        <v>12588.48</v>
      </c>
      <c r="FE20" s="9">
        <f>DP20*'MASTER SHEET'!D20</f>
        <v>12588.48</v>
      </c>
      <c r="FF20" s="9">
        <f>DT20*'MASTER SHEET'!D20</f>
        <v>12588.48</v>
      </c>
      <c r="FG20" s="9">
        <f>+DX20*'MASTER SHEET'!D20</f>
        <v>12588.48</v>
      </c>
    </row>
    <row r="21" spans="1:163" s="11" customFormat="1" ht="20.25" customHeight="1" x14ac:dyDescent="0.25">
      <c r="A21" s="25">
        <f>'MASTER SHEET'!A21</f>
        <v>19</v>
      </c>
      <c r="B21" s="26" t="str">
        <f>'MASTER SHEET'!B21</f>
        <v>END PLATE PLASTIC</v>
      </c>
      <c r="C21" s="78">
        <f>'MASTER SHEET'!C21</f>
        <v>5016821</v>
      </c>
      <c r="D21" s="163">
        <f>3211+400</f>
        <v>3611</v>
      </c>
      <c r="E21" s="28">
        <f>PRODUCTION!F21+'SUPLIER INWARD'!F21</f>
        <v>150</v>
      </c>
      <c r="F21" s="28">
        <v>2600</v>
      </c>
      <c r="G21" s="29">
        <v>6</v>
      </c>
      <c r="H21" s="30">
        <f t="shared" si="30"/>
        <v>1155</v>
      </c>
      <c r="I21" s="28">
        <f>PRODUCTION!J21+'SUPLIER INWARD'!J21</f>
        <v>0</v>
      </c>
      <c r="J21" s="28"/>
      <c r="K21" s="29">
        <v>0</v>
      </c>
      <c r="L21" s="30">
        <f t="shared" si="31"/>
        <v>1155</v>
      </c>
      <c r="M21" s="28">
        <f>PRODUCTION!N21+'SUPLIER INWARD'!N21</f>
        <v>0</v>
      </c>
      <c r="N21" s="28"/>
      <c r="O21" s="29"/>
      <c r="P21" s="30">
        <f t="shared" si="32"/>
        <v>1155</v>
      </c>
      <c r="Q21" s="28">
        <f>PRODUCTION!R21+'SUPLIER INWARD'!R21</f>
        <v>0</v>
      </c>
      <c r="R21" s="28"/>
      <c r="S21" s="29">
        <v>0</v>
      </c>
      <c r="T21" s="30">
        <f t="shared" si="33"/>
        <v>1155</v>
      </c>
      <c r="U21" s="28">
        <f>PRODUCTION!V21+'SUPLIER INWARD'!V21</f>
        <v>0</v>
      </c>
      <c r="V21" s="28"/>
      <c r="W21" s="29">
        <v>0</v>
      </c>
      <c r="X21" s="30">
        <f t="shared" si="34"/>
        <v>1155</v>
      </c>
      <c r="Y21" s="28">
        <f>PRODUCTION!Z21+'SUPLIER INWARD'!Z21</f>
        <v>0</v>
      </c>
      <c r="Z21" s="28"/>
      <c r="AA21" s="29">
        <v>0</v>
      </c>
      <c r="AB21" s="30">
        <f t="shared" si="35"/>
        <v>1155</v>
      </c>
      <c r="AC21" s="28">
        <f>PRODUCTION!AD21+'SUPLIER INWARD'!AD21</f>
        <v>0</v>
      </c>
      <c r="AD21" s="151"/>
      <c r="AE21" s="29">
        <v>0</v>
      </c>
      <c r="AF21" s="30">
        <f t="shared" si="36"/>
        <v>1155</v>
      </c>
      <c r="AG21" s="28">
        <f>PRODUCTION!AH21+'SUPLIER INWARD'!AH21</f>
        <v>0</v>
      </c>
      <c r="AH21" s="28"/>
      <c r="AI21" s="29">
        <v>0</v>
      </c>
      <c r="AJ21" s="30">
        <f t="shared" si="37"/>
        <v>1155</v>
      </c>
      <c r="AK21" s="28">
        <f>PRODUCTION!AL21+'SUPLIER INWARD'!AL21</f>
        <v>0</v>
      </c>
      <c r="AL21" s="28"/>
      <c r="AM21" s="29">
        <v>0</v>
      </c>
      <c r="AN21" s="30">
        <f t="shared" si="38"/>
        <v>1155</v>
      </c>
      <c r="AO21" s="28">
        <f>PRODUCTION!AP21+'SUPLIER INWARD'!AP21</f>
        <v>0</v>
      </c>
      <c r="AP21" s="28"/>
      <c r="AQ21" s="29">
        <v>0</v>
      </c>
      <c r="AR21" s="30">
        <f t="shared" si="39"/>
        <v>1155</v>
      </c>
      <c r="AS21" s="28">
        <f>PRODUCTION!AT21+'SUPLIER INWARD'!AT21</f>
        <v>0</v>
      </c>
      <c r="AT21" s="28"/>
      <c r="AU21" s="29">
        <v>0</v>
      </c>
      <c r="AV21" s="30">
        <f t="shared" si="40"/>
        <v>1155</v>
      </c>
      <c r="AW21" s="28">
        <f>PRODUCTION!AX21+'SUPLIER INWARD'!AX21</f>
        <v>0</v>
      </c>
      <c r="AX21" s="146"/>
      <c r="AY21" s="29"/>
      <c r="AZ21" s="30">
        <f t="shared" si="41"/>
        <v>1155</v>
      </c>
      <c r="BA21" s="28">
        <f>PRODUCTION!BB21+'SUPLIER INWARD'!BB21</f>
        <v>0</v>
      </c>
      <c r="BB21" s="28"/>
      <c r="BC21" s="29">
        <v>0</v>
      </c>
      <c r="BD21" s="30">
        <f t="shared" si="42"/>
        <v>1155</v>
      </c>
      <c r="BE21" s="28">
        <f>PRODUCTION!BF21+'SUPLIER INWARD'!BF21</f>
        <v>0</v>
      </c>
      <c r="BF21" s="28"/>
      <c r="BG21" s="29">
        <v>0</v>
      </c>
      <c r="BH21" s="30">
        <f t="shared" si="43"/>
        <v>1155</v>
      </c>
      <c r="BI21" s="28">
        <f>PRODUCTION!BJ21+'SUPLIER INWARD'!BJ21</f>
        <v>0</v>
      </c>
      <c r="BJ21" s="28"/>
      <c r="BK21" s="29">
        <v>0</v>
      </c>
      <c r="BL21" s="30">
        <f t="shared" si="44"/>
        <v>1155</v>
      </c>
      <c r="BM21" s="28">
        <f>PRODUCTION!BN21+'SUPLIER INWARD'!BN21</f>
        <v>0</v>
      </c>
      <c r="BN21" s="28"/>
      <c r="BO21" s="29">
        <v>0</v>
      </c>
      <c r="BP21" s="30">
        <f t="shared" si="45"/>
        <v>1155</v>
      </c>
      <c r="BQ21" s="28">
        <f>PRODUCTION!BR21+'SUPLIER INWARD'!BR21</f>
        <v>450</v>
      </c>
      <c r="BR21" s="28"/>
      <c r="BS21" s="29">
        <v>0</v>
      </c>
      <c r="BT21" s="30">
        <f t="shared" si="46"/>
        <v>1605</v>
      </c>
      <c r="BU21" s="28">
        <f>PRODUCTION!BV21+'SUPLIER INWARD'!BV21</f>
        <v>500</v>
      </c>
      <c r="BV21" s="150"/>
      <c r="BW21" s="29">
        <v>0</v>
      </c>
      <c r="BX21" s="30">
        <f t="shared" si="47"/>
        <v>2105</v>
      </c>
      <c r="BY21" s="28">
        <f>PRODUCTION!BZ21+'SUPLIER INWARD'!BZ21</f>
        <v>0</v>
      </c>
      <c r="BZ21" s="28"/>
      <c r="CA21" s="29">
        <v>0</v>
      </c>
      <c r="CB21" s="30">
        <f t="shared" si="48"/>
        <v>2105</v>
      </c>
      <c r="CC21" s="28">
        <f>PRODUCTION!CD21+'SUPLIER INWARD'!CD21</f>
        <v>400</v>
      </c>
      <c r="CD21" s="28"/>
      <c r="CE21" s="29">
        <v>0</v>
      </c>
      <c r="CF21" s="30">
        <f t="shared" si="49"/>
        <v>2505</v>
      </c>
      <c r="CG21" s="28">
        <f>PRODUCTION!CH21+'SUPLIER INWARD'!CH21</f>
        <v>0</v>
      </c>
      <c r="CH21" s="28"/>
      <c r="CI21" s="29">
        <v>0</v>
      </c>
      <c r="CJ21" s="30">
        <f t="shared" si="50"/>
        <v>2505</v>
      </c>
      <c r="CK21" s="28">
        <f>PRODUCTION!CL21+'SUPLIER INWARD'!CL21</f>
        <v>0</v>
      </c>
      <c r="CL21" s="151">
        <v>1000</v>
      </c>
      <c r="CM21" s="152">
        <v>2</v>
      </c>
      <c r="CN21" s="30">
        <f t="shared" si="51"/>
        <v>1503</v>
      </c>
      <c r="CO21" s="28">
        <f>PRODUCTION!CP21+'SUPLIER INWARD'!CP21</f>
        <v>0</v>
      </c>
      <c r="CP21" s="151">
        <v>1500</v>
      </c>
      <c r="CQ21" s="29">
        <v>1</v>
      </c>
      <c r="CR21" s="30">
        <f t="shared" si="52"/>
        <v>2</v>
      </c>
      <c r="CS21" s="28">
        <f>PRODUCTION!CT21+'SUPLIER INWARD'!CT21</f>
        <v>0</v>
      </c>
      <c r="CT21" s="28"/>
      <c r="CU21" s="29">
        <v>0</v>
      </c>
      <c r="CV21" s="30">
        <f t="shared" si="53"/>
        <v>2</v>
      </c>
      <c r="CW21" s="28">
        <f>PRODUCTION!CX21+'SUPLIER INWARD'!CX21</f>
        <v>0</v>
      </c>
      <c r="CX21" s="28"/>
      <c r="CY21" s="29">
        <v>0</v>
      </c>
      <c r="CZ21" s="30">
        <f t="shared" si="54"/>
        <v>2</v>
      </c>
      <c r="DA21" s="28">
        <f>PRODUCTION!DB21+'SUPLIER INWARD'!DB21</f>
        <v>0</v>
      </c>
      <c r="DB21" s="28"/>
      <c r="DC21" s="29"/>
      <c r="DD21" s="30">
        <f t="shared" si="55"/>
        <v>2</v>
      </c>
      <c r="DE21" s="28">
        <f>PRODUCTION!DF21+'SUPLIER INWARD'!DF21</f>
        <v>0</v>
      </c>
      <c r="DF21" s="28"/>
      <c r="DG21" s="29">
        <v>0</v>
      </c>
      <c r="DH21" s="30">
        <f t="shared" si="56"/>
        <v>2</v>
      </c>
      <c r="DI21" s="28">
        <f>PRODUCTION!DJ21+'SUPLIER INWARD'!DJ21</f>
        <v>600</v>
      </c>
      <c r="DJ21" s="28">
        <v>600</v>
      </c>
      <c r="DK21" s="29">
        <v>0</v>
      </c>
      <c r="DL21" s="30">
        <f t="shared" si="57"/>
        <v>2</v>
      </c>
      <c r="DM21" s="28">
        <f>PRODUCTION!DN21+'SUPLIER INWARD'!DN21</f>
        <v>0</v>
      </c>
      <c r="DN21" s="28"/>
      <c r="DO21" s="29"/>
      <c r="DP21" s="30">
        <f t="shared" si="58"/>
        <v>2</v>
      </c>
      <c r="DQ21" s="28">
        <f>PRODUCTION!DR21+'SUPLIER INWARD'!DR21</f>
        <v>0</v>
      </c>
      <c r="DR21" s="28"/>
      <c r="DS21" s="29"/>
      <c r="DT21" s="30">
        <f t="shared" si="59"/>
        <v>2</v>
      </c>
      <c r="DU21" s="28">
        <f>PRODUCTION!DV21+'SUPLIER INWARD'!DV21</f>
        <v>0</v>
      </c>
      <c r="DV21" s="28"/>
      <c r="DW21" s="29"/>
      <c r="DX21" s="30">
        <f t="shared" si="60"/>
        <v>2</v>
      </c>
      <c r="DY21" s="31">
        <f>E21+I21+M21+Q21+U21+Y21+AC21+AG21+AK21+AO21+AS21+AW21+BA21+BE21+BI21+BM21+BQ21+BU21+BY21+CC21+CG21+CK21+CO21+CS21+CW21+DA21+DE21+DI21+DM21+DQ21+DU21</f>
        <v>2100</v>
      </c>
      <c r="DZ21" s="31">
        <f t="shared" si="62"/>
        <v>5700</v>
      </c>
      <c r="EA21" s="4">
        <f t="shared" si="63"/>
        <v>9</v>
      </c>
      <c r="EB21" s="9">
        <f>D21*'MASTER SHEET'!D21</f>
        <v>98255.31</v>
      </c>
      <c r="EC21" s="9">
        <f>H21*'MASTER SHEET'!D21</f>
        <v>31427.55</v>
      </c>
      <c r="ED21" s="9">
        <f>L21*'MASTER SHEET'!D21</f>
        <v>31427.55</v>
      </c>
      <c r="EE21" s="9">
        <f>P21*'MASTER SHEET'!D21</f>
        <v>31427.55</v>
      </c>
      <c r="EF21" s="9">
        <f>T21*'MASTER SHEET'!D21</f>
        <v>31427.55</v>
      </c>
      <c r="EG21" s="9">
        <f>X21*'MASTER SHEET'!D21</f>
        <v>31427.55</v>
      </c>
      <c r="EH21" s="9">
        <f>AB21*'MASTER SHEET'!D21</f>
        <v>31427.55</v>
      </c>
      <c r="EI21" s="9">
        <f>AF21*'MASTER SHEET'!D21</f>
        <v>31427.55</v>
      </c>
      <c r="EJ21" s="9">
        <f>AJ21*'MASTER SHEET'!D21</f>
        <v>31427.55</v>
      </c>
      <c r="EK21" s="9">
        <f>AN21*'MASTER SHEET'!D21</f>
        <v>31427.55</v>
      </c>
      <c r="EL21" s="9">
        <f>AR21*'MASTER SHEET'!D21</f>
        <v>31427.55</v>
      </c>
      <c r="EM21" s="9">
        <f>AV21*'MASTER SHEET'!D21</f>
        <v>31427.55</v>
      </c>
      <c r="EN21" s="9">
        <f>AZ21*'MASTER SHEET'!D21</f>
        <v>31427.55</v>
      </c>
      <c r="EO21" s="9">
        <f>BD21*'MASTER SHEET'!D21</f>
        <v>31427.55</v>
      </c>
      <c r="EP21" s="9">
        <f>$BH21*'MASTER SHEET'!$D21</f>
        <v>31427.55</v>
      </c>
      <c r="EQ21" s="9">
        <f>BL21*'MASTER SHEET'!D21</f>
        <v>31427.55</v>
      </c>
      <c r="ER21" s="9">
        <f>BP21*'MASTER SHEET'!D21</f>
        <v>31427.55</v>
      </c>
      <c r="ES21" s="9">
        <f>BT21*'MASTER SHEET'!D21</f>
        <v>43672.05</v>
      </c>
      <c r="ET21" s="9">
        <f>BX21*'MASTER SHEET'!D21</f>
        <v>57277.05</v>
      </c>
      <c r="EU21" s="9">
        <f>CB21*'MASTER SHEET'!D21</f>
        <v>57277.05</v>
      </c>
      <c r="EV21" s="9">
        <f>CF21*'MASTER SHEET'!D21</f>
        <v>68161.05</v>
      </c>
      <c r="EW21" s="9">
        <f>CJ21*'MASTER SHEET'!D21</f>
        <v>68161.05</v>
      </c>
      <c r="EX21" s="9">
        <f>CN21*'MASTER SHEET'!D21</f>
        <v>40896.630000000005</v>
      </c>
      <c r="EY21" s="9">
        <f>CR21*'MASTER SHEET'!D21</f>
        <v>54.42</v>
      </c>
      <c r="EZ21" s="9">
        <f>$CV21*'MASTER SHEET'!D21</f>
        <v>54.42</v>
      </c>
      <c r="FA21" s="9">
        <f>CZ21*'MASTER SHEET'!D21</f>
        <v>54.42</v>
      </c>
      <c r="FB21" s="9">
        <f>DD21*'MASTER SHEET'!D21</f>
        <v>54.42</v>
      </c>
      <c r="FC21" s="9">
        <f>DH21*'MASTER SHEET'!D21</f>
        <v>54.42</v>
      </c>
      <c r="FD21" s="9">
        <f>DL21*'MASTER SHEET'!D21</f>
        <v>54.42</v>
      </c>
      <c r="FE21" s="9">
        <f>DP21*'MASTER SHEET'!D21</f>
        <v>54.42</v>
      </c>
      <c r="FF21" s="9">
        <f>DT21*'MASTER SHEET'!D21</f>
        <v>54.42</v>
      </c>
      <c r="FG21" s="9">
        <f>+DX21*'MASTER SHEET'!D21</f>
        <v>54.42</v>
      </c>
    </row>
    <row r="22" spans="1:163" ht="20.25" customHeight="1" x14ac:dyDescent="0.25">
      <c r="A22" s="25">
        <f>'MASTER SHEET'!A22</f>
        <v>20</v>
      </c>
      <c r="B22" s="26" t="str">
        <f>'MASTER SHEET'!B22</f>
        <v xml:space="preserve">SHELL PLASTIC </v>
      </c>
      <c r="C22" s="78">
        <f>'MASTER SHEET'!C22</f>
        <v>5016985</v>
      </c>
      <c r="D22" s="159">
        <v>0</v>
      </c>
      <c r="E22" s="28">
        <f>PRODUCTION!F22+'SUPLIER INWARD'!F22</f>
        <v>0</v>
      </c>
      <c r="F22" s="28"/>
      <c r="G22" s="29">
        <v>0</v>
      </c>
      <c r="H22" s="30">
        <f t="shared" si="30"/>
        <v>0</v>
      </c>
      <c r="I22" s="28">
        <f>PRODUCTION!J22+'SUPLIER INWARD'!J22</f>
        <v>0</v>
      </c>
      <c r="J22" s="28"/>
      <c r="K22" s="29">
        <v>0</v>
      </c>
      <c r="L22" s="30">
        <f t="shared" si="31"/>
        <v>0</v>
      </c>
      <c r="M22" s="28">
        <f>PRODUCTION!N22+'SUPLIER INWARD'!N22</f>
        <v>0</v>
      </c>
      <c r="N22" s="28"/>
      <c r="O22" s="29"/>
      <c r="P22" s="30">
        <f t="shared" si="32"/>
        <v>0</v>
      </c>
      <c r="Q22" s="28">
        <f>PRODUCTION!R22+'SUPLIER INWARD'!R22</f>
        <v>0</v>
      </c>
      <c r="R22" s="28"/>
      <c r="S22" s="29">
        <v>0</v>
      </c>
      <c r="T22" s="30">
        <f t="shared" si="33"/>
        <v>0</v>
      </c>
      <c r="U22" s="28">
        <f>PRODUCTION!V22+'SUPLIER INWARD'!V22</f>
        <v>0</v>
      </c>
      <c r="V22" s="28"/>
      <c r="W22" s="29">
        <v>0</v>
      </c>
      <c r="X22" s="30">
        <f t="shared" si="34"/>
        <v>0</v>
      </c>
      <c r="Y22" s="28">
        <f>PRODUCTION!Z22+'SUPLIER INWARD'!Z22</f>
        <v>0</v>
      </c>
      <c r="Z22" s="28"/>
      <c r="AA22" s="29">
        <v>0</v>
      </c>
      <c r="AB22" s="30">
        <f t="shared" si="35"/>
        <v>0</v>
      </c>
      <c r="AC22" s="28">
        <f>PRODUCTION!AD22+'SUPLIER INWARD'!AD22</f>
        <v>0</v>
      </c>
      <c r="AD22" s="151"/>
      <c r="AE22" s="29">
        <v>0</v>
      </c>
      <c r="AF22" s="30">
        <f t="shared" si="36"/>
        <v>0</v>
      </c>
      <c r="AG22" s="28">
        <f>PRODUCTION!AH22+'SUPLIER INWARD'!AH22</f>
        <v>0</v>
      </c>
      <c r="AH22" s="28"/>
      <c r="AI22" s="29">
        <v>0</v>
      </c>
      <c r="AJ22" s="30">
        <f t="shared" si="37"/>
        <v>0</v>
      </c>
      <c r="AK22" s="28">
        <f>PRODUCTION!AL22+'SUPLIER INWARD'!AL22</f>
        <v>0</v>
      </c>
      <c r="AL22" s="28"/>
      <c r="AM22" s="29">
        <v>0</v>
      </c>
      <c r="AN22" s="30">
        <f t="shared" si="38"/>
        <v>0</v>
      </c>
      <c r="AO22" s="28">
        <f>PRODUCTION!AP22+'SUPLIER INWARD'!AP22</f>
        <v>0</v>
      </c>
      <c r="AP22" s="28"/>
      <c r="AQ22" s="29">
        <v>0</v>
      </c>
      <c r="AR22" s="30">
        <f t="shared" si="39"/>
        <v>0</v>
      </c>
      <c r="AS22" s="28">
        <f>PRODUCTION!AT22+'SUPLIER INWARD'!AT22</f>
        <v>0</v>
      </c>
      <c r="AT22" s="28"/>
      <c r="AU22" s="29">
        <v>0</v>
      </c>
      <c r="AV22" s="30">
        <f t="shared" si="40"/>
        <v>0</v>
      </c>
      <c r="AW22" s="28">
        <f>PRODUCTION!AX22+'SUPLIER INWARD'!AX22</f>
        <v>0</v>
      </c>
      <c r="AX22" s="28"/>
      <c r="AY22" s="29"/>
      <c r="AZ22" s="30">
        <f t="shared" si="41"/>
        <v>0</v>
      </c>
      <c r="BA22" s="28">
        <f>PRODUCTION!BB22+'SUPLIER INWARD'!BB22</f>
        <v>0</v>
      </c>
      <c r="BB22" s="28"/>
      <c r="BC22" s="29">
        <v>0</v>
      </c>
      <c r="BD22" s="30">
        <f t="shared" si="42"/>
        <v>0</v>
      </c>
      <c r="BE22" s="28">
        <f>PRODUCTION!BF22+'SUPLIER INWARD'!BF22</f>
        <v>0</v>
      </c>
      <c r="BF22" s="28"/>
      <c r="BG22" s="29">
        <v>0</v>
      </c>
      <c r="BH22" s="30">
        <f t="shared" si="43"/>
        <v>0</v>
      </c>
      <c r="BI22" s="28">
        <f>PRODUCTION!BJ22+'SUPLIER INWARD'!BJ22</f>
        <v>0</v>
      </c>
      <c r="BJ22" s="28"/>
      <c r="BK22" s="29">
        <v>0</v>
      </c>
      <c r="BL22" s="30">
        <f t="shared" si="44"/>
        <v>0</v>
      </c>
      <c r="BM22" s="28">
        <f>PRODUCTION!BN22+'SUPLIER INWARD'!BN22</f>
        <v>0</v>
      </c>
      <c r="BN22" s="28"/>
      <c r="BO22" s="29">
        <v>0</v>
      </c>
      <c r="BP22" s="30">
        <f t="shared" si="45"/>
        <v>0</v>
      </c>
      <c r="BQ22" s="28">
        <f>PRODUCTION!BR22+'SUPLIER INWARD'!BR22</f>
        <v>0</v>
      </c>
      <c r="BR22" s="28"/>
      <c r="BS22" s="29">
        <v>0</v>
      </c>
      <c r="BT22" s="30">
        <f t="shared" si="46"/>
        <v>0</v>
      </c>
      <c r="BU22" s="28">
        <f>PRODUCTION!BV22+'SUPLIER INWARD'!BV22</f>
        <v>0</v>
      </c>
      <c r="BV22" s="28"/>
      <c r="BW22" s="29">
        <v>0</v>
      </c>
      <c r="BX22" s="30">
        <f t="shared" si="47"/>
        <v>0</v>
      </c>
      <c r="BY22" s="28">
        <f>PRODUCTION!BZ22+'SUPLIER INWARD'!BZ22</f>
        <v>0</v>
      </c>
      <c r="BZ22" s="28"/>
      <c r="CA22" s="29">
        <v>0</v>
      </c>
      <c r="CB22" s="30">
        <f t="shared" si="48"/>
        <v>0</v>
      </c>
      <c r="CC22" s="28">
        <f>PRODUCTION!CD22+'SUPLIER INWARD'!CD22</f>
        <v>0</v>
      </c>
      <c r="CD22" s="28"/>
      <c r="CE22" s="29">
        <v>0</v>
      </c>
      <c r="CF22" s="30">
        <f t="shared" si="49"/>
        <v>0</v>
      </c>
      <c r="CG22" s="28">
        <f>PRODUCTION!CH22+'SUPLIER INWARD'!CH22</f>
        <v>0</v>
      </c>
      <c r="CH22" s="28"/>
      <c r="CI22" s="29">
        <v>0</v>
      </c>
      <c r="CJ22" s="30">
        <f t="shared" si="50"/>
        <v>0</v>
      </c>
      <c r="CK22" s="28">
        <f>PRODUCTION!CL22+'SUPLIER INWARD'!CL22</f>
        <v>0</v>
      </c>
      <c r="CL22" s="151"/>
      <c r="CM22" s="152">
        <v>0</v>
      </c>
      <c r="CN22" s="30">
        <f t="shared" si="51"/>
        <v>0</v>
      </c>
      <c r="CO22" s="28">
        <f>PRODUCTION!CP22+'SUPLIER INWARD'!CP22</f>
        <v>0</v>
      </c>
      <c r="CP22" s="151"/>
      <c r="CQ22" s="29">
        <v>0</v>
      </c>
      <c r="CR22" s="30">
        <f t="shared" si="52"/>
        <v>0</v>
      </c>
      <c r="CS22" s="28">
        <f>PRODUCTION!CT22+'SUPLIER INWARD'!CT22</f>
        <v>0</v>
      </c>
      <c r="CT22" s="28"/>
      <c r="CU22" s="29">
        <v>0</v>
      </c>
      <c r="CV22" s="30">
        <f t="shared" si="53"/>
        <v>0</v>
      </c>
      <c r="CW22" s="28">
        <f>PRODUCTION!CX22+'SUPLIER INWARD'!CX22</f>
        <v>0</v>
      </c>
      <c r="CX22" s="28"/>
      <c r="CY22" s="29">
        <v>0</v>
      </c>
      <c r="CZ22" s="30">
        <f t="shared" si="54"/>
        <v>0</v>
      </c>
      <c r="DA22" s="28">
        <f>PRODUCTION!DB22+'SUPLIER INWARD'!DB22</f>
        <v>0</v>
      </c>
      <c r="DB22" s="28"/>
      <c r="DC22" s="29"/>
      <c r="DD22" s="30">
        <f t="shared" si="55"/>
        <v>0</v>
      </c>
      <c r="DE22" s="28">
        <f>PRODUCTION!DF22+'SUPLIER INWARD'!DF22</f>
        <v>0</v>
      </c>
      <c r="DF22" s="28"/>
      <c r="DG22" s="29">
        <v>0</v>
      </c>
      <c r="DH22" s="30">
        <f t="shared" si="56"/>
        <v>0</v>
      </c>
      <c r="DI22" s="28">
        <f>PRODUCTION!DJ22+'SUPLIER INWARD'!DJ22</f>
        <v>0</v>
      </c>
      <c r="DJ22" s="28"/>
      <c r="DK22" s="29">
        <v>0</v>
      </c>
      <c r="DL22" s="30">
        <f t="shared" si="57"/>
        <v>0</v>
      </c>
      <c r="DM22" s="28">
        <f>PRODUCTION!DN22+'SUPLIER INWARD'!DN22</f>
        <v>0</v>
      </c>
      <c r="DN22" s="28"/>
      <c r="DO22" s="29"/>
      <c r="DP22" s="30">
        <f t="shared" si="58"/>
        <v>0</v>
      </c>
      <c r="DQ22" s="28">
        <f>PRODUCTION!DR22+'SUPLIER INWARD'!DR22</f>
        <v>0</v>
      </c>
      <c r="DR22" s="28"/>
      <c r="DS22" s="29"/>
      <c r="DT22" s="30">
        <f t="shared" si="59"/>
        <v>0</v>
      </c>
      <c r="DU22" s="28">
        <f>PRODUCTION!DV22+'SUPLIER INWARD'!DV22</f>
        <v>0</v>
      </c>
      <c r="DV22" s="28"/>
      <c r="DW22" s="29"/>
      <c r="DX22" s="30">
        <f t="shared" si="60"/>
        <v>0</v>
      </c>
      <c r="DY22" s="31">
        <f t="shared" si="61"/>
        <v>0</v>
      </c>
      <c r="DZ22" s="31">
        <f t="shared" si="62"/>
        <v>0</v>
      </c>
      <c r="EA22" s="4">
        <f t="shared" si="63"/>
        <v>0</v>
      </c>
      <c r="EB22" s="9">
        <f>D22*'MASTER SHEET'!D22</f>
        <v>0</v>
      </c>
      <c r="EC22" s="9">
        <f>H22*'MASTER SHEET'!D22</f>
        <v>0</v>
      </c>
      <c r="ED22" s="9">
        <f>L22*'MASTER SHEET'!D22</f>
        <v>0</v>
      </c>
      <c r="EE22" s="9">
        <f>P22*'MASTER SHEET'!D22</f>
        <v>0</v>
      </c>
      <c r="EF22" s="9">
        <f>T22*'MASTER SHEET'!D22</f>
        <v>0</v>
      </c>
      <c r="EG22" s="9">
        <f>X22*'MASTER SHEET'!D22</f>
        <v>0</v>
      </c>
      <c r="EH22" s="9">
        <f>AB22*'MASTER SHEET'!D22</f>
        <v>0</v>
      </c>
      <c r="EI22" s="9">
        <f>AF22*'MASTER SHEET'!D22</f>
        <v>0</v>
      </c>
      <c r="EJ22" s="9">
        <f>AJ22*'MASTER SHEET'!D22</f>
        <v>0</v>
      </c>
      <c r="EK22" s="9">
        <f>AN22*'MASTER SHEET'!D22</f>
        <v>0</v>
      </c>
      <c r="EL22" s="9">
        <f>AR22*'MASTER SHEET'!D22</f>
        <v>0</v>
      </c>
      <c r="EM22" s="9">
        <f>AV22*'MASTER SHEET'!D22</f>
        <v>0</v>
      </c>
      <c r="EN22" s="9">
        <f>AZ22*'MASTER SHEET'!D22</f>
        <v>0</v>
      </c>
      <c r="EO22" s="9">
        <f>BD22*'MASTER SHEET'!D22</f>
        <v>0</v>
      </c>
      <c r="EP22" s="9">
        <f>$BH22*'MASTER SHEET'!$D22</f>
        <v>0</v>
      </c>
      <c r="EQ22" s="9">
        <f>BL22*'MASTER SHEET'!D22</f>
        <v>0</v>
      </c>
      <c r="ER22" s="9">
        <f>BP22*'MASTER SHEET'!D22</f>
        <v>0</v>
      </c>
      <c r="ES22" s="9">
        <f>BT22*'MASTER SHEET'!D22</f>
        <v>0</v>
      </c>
      <c r="ET22" s="9">
        <f>BX22*'MASTER SHEET'!D22</f>
        <v>0</v>
      </c>
      <c r="EU22" s="9">
        <f>CB22*'MASTER SHEET'!D22</f>
        <v>0</v>
      </c>
      <c r="EV22" s="9">
        <f>CF22*'MASTER SHEET'!D22</f>
        <v>0</v>
      </c>
      <c r="EW22" s="9">
        <f>CJ22*'MASTER SHEET'!D22</f>
        <v>0</v>
      </c>
      <c r="EX22" s="9">
        <f>CN22*'MASTER SHEET'!D22</f>
        <v>0</v>
      </c>
      <c r="EY22" s="9">
        <f>CR22*'MASTER SHEET'!D22</f>
        <v>0</v>
      </c>
      <c r="EZ22" s="9">
        <f>$CV22*'MASTER SHEET'!D22</f>
        <v>0</v>
      </c>
      <c r="FA22" s="9">
        <f>CZ22*'MASTER SHEET'!D22</f>
        <v>0</v>
      </c>
      <c r="FB22" s="9">
        <f>DD22*'MASTER SHEET'!D22</f>
        <v>0</v>
      </c>
      <c r="FC22" s="9">
        <f>DH22*'MASTER SHEET'!D22</f>
        <v>0</v>
      </c>
      <c r="FD22" s="9">
        <f>DL22*'MASTER SHEET'!D22</f>
        <v>0</v>
      </c>
      <c r="FE22" s="9">
        <f>DP22*'MASTER SHEET'!D22</f>
        <v>0</v>
      </c>
      <c r="FF22" s="9">
        <f>DT22*'MASTER SHEET'!D22</f>
        <v>0</v>
      </c>
      <c r="FG22" s="9">
        <f>+DX22*'MASTER SHEET'!D22</f>
        <v>0</v>
      </c>
    </row>
    <row r="23" spans="1:163" s="10" customFormat="1" ht="20.25" customHeight="1" x14ac:dyDescent="0.25">
      <c r="A23" s="25">
        <f>'MASTER SHEET'!A23</f>
        <v>21</v>
      </c>
      <c r="B23" s="26" t="str">
        <f>'MASTER SHEET'!B23</f>
        <v>CENTER TUBE PLASTIC</v>
      </c>
      <c r="C23" s="78">
        <f>'MASTER SHEET'!C23</f>
        <v>5016989</v>
      </c>
      <c r="D23" s="159">
        <v>0</v>
      </c>
      <c r="E23" s="28">
        <f>PRODUCTION!F23+'SUPLIER INWARD'!F23</f>
        <v>0</v>
      </c>
      <c r="F23" s="28"/>
      <c r="G23" s="29">
        <v>0</v>
      </c>
      <c r="H23" s="30">
        <f t="shared" si="30"/>
        <v>0</v>
      </c>
      <c r="I23" s="28">
        <f>PRODUCTION!J23+'SUPLIER INWARD'!J23</f>
        <v>0</v>
      </c>
      <c r="J23" s="28"/>
      <c r="K23" s="29">
        <v>0</v>
      </c>
      <c r="L23" s="30">
        <f t="shared" si="31"/>
        <v>0</v>
      </c>
      <c r="M23" s="28">
        <f>PRODUCTION!N23+'SUPLIER INWARD'!N23</f>
        <v>0</v>
      </c>
      <c r="N23" s="28"/>
      <c r="O23" s="29"/>
      <c r="P23" s="30">
        <f t="shared" si="32"/>
        <v>0</v>
      </c>
      <c r="Q23" s="28">
        <f>PRODUCTION!R23+'SUPLIER INWARD'!R23</f>
        <v>0</v>
      </c>
      <c r="R23" s="28"/>
      <c r="S23" s="29">
        <v>0</v>
      </c>
      <c r="T23" s="30">
        <f t="shared" si="33"/>
        <v>0</v>
      </c>
      <c r="U23" s="28">
        <f>PRODUCTION!V23+'SUPLIER INWARD'!V23</f>
        <v>0</v>
      </c>
      <c r="V23" s="28"/>
      <c r="W23" s="29">
        <v>0</v>
      </c>
      <c r="X23" s="30">
        <f t="shared" si="34"/>
        <v>0</v>
      </c>
      <c r="Y23" s="28">
        <f>PRODUCTION!Z23+'SUPLIER INWARD'!Z23</f>
        <v>0</v>
      </c>
      <c r="Z23" s="28"/>
      <c r="AA23" s="29">
        <v>0</v>
      </c>
      <c r="AB23" s="30">
        <f t="shared" si="35"/>
        <v>0</v>
      </c>
      <c r="AC23" s="28">
        <f>PRODUCTION!AD23+'SUPLIER INWARD'!AD23</f>
        <v>0</v>
      </c>
      <c r="AD23" s="151"/>
      <c r="AE23" s="29">
        <v>0</v>
      </c>
      <c r="AF23" s="30">
        <f t="shared" si="36"/>
        <v>0</v>
      </c>
      <c r="AG23" s="28">
        <f>PRODUCTION!AH23+'SUPLIER INWARD'!AH23</f>
        <v>0</v>
      </c>
      <c r="AH23" s="28"/>
      <c r="AI23" s="29">
        <v>0</v>
      </c>
      <c r="AJ23" s="30">
        <f t="shared" si="37"/>
        <v>0</v>
      </c>
      <c r="AK23" s="28">
        <f>PRODUCTION!AL23+'SUPLIER INWARD'!AL23</f>
        <v>0</v>
      </c>
      <c r="AL23" s="28"/>
      <c r="AM23" s="29">
        <v>0</v>
      </c>
      <c r="AN23" s="30">
        <f t="shared" si="38"/>
        <v>0</v>
      </c>
      <c r="AO23" s="28">
        <f>PRODUCTION!AP23+'SUPLIER INWARD'!AP23</f>
        <v>0</v>
      </c>
      <c r="AP23" s="28"/>
      <c r="AQ23" s="29">
        <v>0</v>
      </c>
      <c r="AR23" s="30">
        <f t="shared" si="39"/>
        <v>0</v>
      </c>
      <c r="AS23" s="28">
        <f>PRODUCTION!AT23+'SUPLIER INWARD'!AT23</f>
        <v>0</v>
      </c>
      <c r="AT23" s="28"/>
      <c r="AU23" s="29">
        <v>0</v>
      </c>
      <c r="AV23" s="30">
        <f t="shared" si="40"/>
        <v>0</v>
      </c>
      <c r="AW23" s="28">
        <f>PRODUCTION!AX23+'SUPLIER INWARD'!AX23</f>
        <v>0</v>
      </c>
      <c r="AX23" s="28"/>
      <c r="AY23" s="29"/>
      <c r="AZ23" s="30">
        <f t="shared" si="41"/>
        <v>0</v>
      </c>
      <c r="BA23" s="28">
        <f>PRODUCTION!BB23+'SUPLIER INWARD'!BB23</f>
        <v>0</v>
      </c>
      <c r="BB23" s="28"/>
      <c r="BC23" s="29">
        <v>0</v>
      </c>
      <c r="BD23" s="30">
        <f t="shared" si="42"/>
        <v>0</v>
      </c>
      <c r="BE23" s="28">
        <f>PRODUCTION!BF23+'SUPLIER INWARD'!BF23</f>
        <v>0</v>
      </c>
      <c r="BF23" s="28"/>
      <c r="BG23" s="29">
        <v>0</v>
      </c>
      <c r="BH23" s="30">
        <f t="shared" si="43"/>
        <v>0</v>
      </c>
      <c r="BI23" s="28">
        <f>PRODUCTION!BJ23+'SUPLIER INWARD'!BJ23</f>
        <v>0</v>
      </c>
      <c r="BJ23" s="28"/>
      <c r="BK23" s="29">
        <v>0</v>
      </c>
      <c r="BL23" s="30">
        <f t="shared" si="44"/>
        <v>0</v>
      </c>
      <c r="BM23" s="28">
        <f>PRODUCTION!BN23+'SUPLIER INWARD'!BN23</f>
        <v>0</v>
      </c>
      <c r="BN23" s="28"/>
      <c r="BO23" s="29">
        <v>0</v>
      </c>
      <c r="BP23" s="30">
        <f t="shared" si="45"/>
        <v>0</v>
      </c>
      <c r="BQ23" s="28">
        <f>PRODUCTION!BR23+'SUPLIER INWARD'!BR23</f>
        <v>0</v>
      </c>
      <c r="BR23" s="28"/>
      <c r="BS23" s="29">
        <v>0</v>
      </c>
      <c r="BT23" s="30">
        <f t="shared" si="46"/>
        <v>0</v>
      </c>
      <c r="BU23" s="28">
        <f>PRODUCTION!BV23+'SUPLIER INWARD'!BV23</f>
        <v>0</v>
      </c>
      <c r="BV23" s="28"/>
      <c r="BW23" s="29">
        <v>0</v>
      </c>
      <c r="BX23" s="30">
        <f t="shared" si="47"/>
        <v>0</v>
      </c>
      <c r="BY23" s="28">
        <f>PRODUCTION!BZ23+'SUPLIER INWARD'!BZ23</f>
        <v>0</v>
      </c>
      <c r="BZ23" s="28"/>
      <c r="CA23" s="29">
        <v>0</v>
      </c>
      <c r="CB23" s="30">
        <f t="shared" si="48"/>
        <v>0</v>
      </c>
      <c r="CC23" s="28">
        <f>PRODUCTION!CD23+'SUPLIER INWARD'!CD23</f>
        <v>0</v>
      </c>
      <c r="CD23" s="28"/>
      <c r="CE23" s="29">
        <v>0</v>
      </c>
      <c r="CF23" s="30">
        <f t="shared" si="49"/>
        <v>0</v>
      </c>
      <c r="CG23" s="28">
        <f>PRODUCTION!CH23+'SUPLIER INWARD'!CH23</f>
        <v>0</v>
      </c>
      <c r="CH23" s="28"/>
      <c r="CI23" s="29">
        <v>0</v>
      </c>
      <c r="CJ23" s="30">
        <f t="shared" si="50"/>
        <v>0</v>
      </c>
      <c r="CK23" s="28">
        <f>PRODUCTION!CL23+'SUPLIER INWARD'!CL23</f>
        <v>0</v>
      </c>
      <c r="CL23" s="151"/>
      <c r="CM23" s="152">
        <v>0</v>
      </c>
      <c r="CN23" s="30">
        <f t="shared" si="51"/>
        <v>0</v>
      </c>
      <c r="CO23" s="28">
        <f>PRODUCTION!CP23+'SUPLIER INWARD'!CP23</f>
        <v>0</v>
      </c>
      <c r="CP23" s="151"/>
      <c r="CQ23" s="29">
        <v>0</v>
      </c>
      <c r="CR23" s="30">
        <f t="shared" si="52"/>
        <v>0</v>
      </c>
      <c r="CS23" s="28">
        <f>PRODUCTION!CT23+'SUPLIER INWARD'!CT23</f>
        <v>0</v>
      </c>
      <c r="CT23" s="28"/>
      <c r="CU23" s="29">
        <v>0</v>
      </c>
      <c r="CV23" s="30">
        <f t="shared" si="53"/>
        <v>0</v>
      </c>
      <c r="CW23" s="28">
        <f>PRODUCTION!CX23+'SUPLIER INWARD'!CX23</f>
        <v>0</v>
      </c>
      <c r="CX23" s="28"/>
      <c r="CY23" s="29">
        <v>0</v>
      </c>
      <c r="CZ23" s="30">
        <f t="shared" si="54"/>
        <v>0</v>
      </c>
      <c r="DA23" s="28">
        <f>PRODUCTION!DB23+'SUPLIER INWARD'!DB23</f>
        <v>0</v>
      </c>
      <c r="DB23" s="28"/>
      <c r="DC23" s="29"/>
      <c r="DD23" s="30">
        <f t="shared" si="55"/>
        <v>0</v>
      </c>
      <c r="DE23" s="28">
        <f>PRODUCTION!DF23+'SUPLIER INWARD'!DF23</f>
        <v>0</v>
      </c>
      <c r="DF23" s="28"/>
      <c r="DG23" s="29">
        <v>0</v>
      </c>
      <c r="DH23" s="30">
        <f t="shared" si="56"/>
        <v>0</v>
      </c>
      <c r="DI23" s="28">
        <f>PRODUCTION!DJ23+'SUPLIER INWARD'!DJ23</f>
        <v>0</v>
      </c>
      <c r="DJ23" s="28"/>
      <c r="DK23" s="29">
        <v>0</v>
      </c>
      <c r="DL23" s="30">
        <f t="shared" si="57"/>
        <v>0</v>
      </c>
      <c r="DM23" s="28">
        <f>PRODUCTION!DN23+'SUPLIER INWARD'!DN23</f>
        <v>0</v>
      </c>
      <c r="DN23" s="28"/>
      <c r="DO23" s="29"/>
      <c r="DP23" s="30">
        <f t="shared" si="58"/>
        <v>0</v>
      </c>
      <c r="DQ23" s="28">
        <f>PRODUCTION!DR23+'SUPLIER INWARD'!DR23</f>
        <v>0</v>
      </c>
      <c r="DR23" s="28"/>
      <c r="DS23" s="29"/>
      <c r="DT23" s="30">
        <f t="shared" si="59"/>
        <v>0</v>
      </c>
      <c r="DU23" s="28">
        <f>PRODUCTION!DV23+'SUPLIER INWARD'!DV23</f>
        <v>0</v>
      </c>
      <c r="DV23" s="28"/>
      <c r="DW23" s="29"/>
      <c r="DX23" s="30">
        <f t="shared" si="60"/>
        <v>0</v>
      </c>
      <c r="DY23" s="31">
        <f t="shared" si="61"/>
        <v>0</v>
      </c>
      <c r="DZ23" s="31">
        <f t="shared" si="62"/>
        <v>0</v>
      </c>
      <c r="EA23" s="4">
        <f t="shared" si="63"/>
        <v>0</v>
      </c>
      <c r="EB23" s="9">
        <f>D23*'MASTER SHEET'!D23</f>
        <v>0</v>
      </c>
      <c r="EC23" s="9">
        <f>H23*'MASTER SHEET'!D23</f>
        <v>0</v>
      </c>
      <c r="ED23" s="9">
        <f>L23*'MASTER SHEET'!D23</f>
        <v>0</v>
      </c>
      <c r="EE23" s="9">
        <f>P23*'MASTER SHEET'!D23</f>
        <v>0</v>
      </c>
      <c r="EF23" s="9">
        <f>T23*'MASTER SHEET'!D23</f>
        <v>0</v>
      </c>
      <c r="EG23" s="9">
        <f>X23*'MASTER SHEET'!D23</f>
        <v>0</v>
      </c>
      <c r="EH23" s="9">
        <f>AB23*'MASTER SHEET'!D23</f>
        <v>0</v>
      </c>
      <c r="EI23" s="9">
        <f>AF23*'MASTER SHEET'!D23</f>
        <v>0</v>
      </c>
      <c r="EJ23" s="9">
        <f>AJ23*'MASTER SHEET'!D23</f>
        <v>0</v>
      </c>
      <c r="EK23" s="9">
        <f>AN23*'MASTER SHEET'!D23</f>
        <v>0</v>
      </c>
      <c r="EL23" s="9">
        <f>AR23*'MASTER SHEET'!D23</f>
        <v>0</v>
      </c>
      <c r="EM23" s="9">
        <f>AV23*'MASTER SHEET'!D23</f>
        <v>0</v>
      </c>
      <c r="EN23" s="9">
        <f>AZ23*'MASTER SHEET'!D23</f>
        <v>0</v>
      </c>
      <c r="EO23" s="9">
        <f>BD23*'MASTER SHEET'!D23</f>
        <v>0</v>
      </c>
      <c r="EP23" s="9">
        <f>$BH23*'MASTER SHEET'!$D23</f>
        <v>0</v>
      </c>
      <c r="EQ23" s="9">
        <f>BL23*'MASTER SHEET'!D23</f>
        <v>0</v>
      </c>
      <c r="ER23" s="9">
        <f>BP23*'MASTER SHEET'!D23</f>
        <v>0</v>
      </c>
      <c r="ES23" s="9">
        <f>BT23*'MASTER SHEET'!D23</f>
        <v>0</v>
      </c>
      <c r="ET23" s="9">
        <f>BX23*'MASTER SHEET'!D23</f>
        <v>0</v>
      </c>
      <c r="EU23" s="9">
        <f>CB23*'MASTER SHEET'!D23</f>
        <v>0</v>
      </c>
      <c r="EV23" s="9">
        <f>CF23*'MASTER SHEET'!D23</f>
        <v>0</v>
      </c>
      <c r="EW23" s="9">
        <f>CJ23*'MASTER SHEET'!D23</f>
        <v>0</v>
      </c>
      <c r="EX23" s="9">
        <f>CN23*'MASTER SHEET'!D23</f>
        <v>0</v>
      </c>
      <c r="EY23" s="9">
        <f>CR23*'MASTER SHEET'!D23</f>
        <v>0</v>
      </c>
      <c r="EZ23" s="9">
        <f>$CV23*'MASTER SHEET'!D23</f>
        <v>0</v>
      </c>
      <c r="FA23" s="9">
        <f>CZ23*'MASTER SHEET'!D23</f>
        <v>0</v>
      </c>
      <c r="FB23" s="9">
        <f>DD23*'MASTER SHEET'!D23</f>
        <v>0</v>
      </c>
      <c r="FC23" s="9">
        <f>DH23*'MASTER SHEET'!D23</f>
        <v>0</v>
      </c>
      <c r="FD23" s="9">
        <f>DL23*'MASTER SHEET'!D23</f>
        <v>0</v>
      </c>
      <c r="FE23" s="9">
        <f>DP23*'MASTER SHEET'!D23</f>
        <v>0</v>
      </c>
      <c r="FF23" s="9">
        <f>DT23*'MASTER SHEET'!D23</f>
        <v>0</v>
      </c>
      <c r="FG23" s="9">
        <f>+DX23*'MASTER SHEET'!D23</f>
        <v>0</v>
      </c>
    </row>
    <row r="24" spans="1:163" s="10" customFormat="1" ht="20.25" customHeight="1" x14ac:dyDescent="0.25">
      <c r="A24" s="25">
        <f>'MASTER SHEET'!A24</f>
        <v>22</v>
      </c>
      <c r="B24" s="26" t="str">
        <f>'MASTER SHEET'!B24</f>
        <v>BASE HOUSING</v>
      </c>
      <c r="C24" s="78">
        <f>'MASTER SHEET'!C24</f>
        <v>5017101</v>
      </c>
      <c r="D24" s="159">
        <v>0</v>
      </c>
      <c r="E24" s="28">
        <f>PRODUCTION!F24+'SUPLIER INWARD'!F24</f>
        <v>0</v>
      </c>
      <c r="F24" s="28"/>
      <c r="G24" s="29">
        <v>0</v>
      </c>
      <c r="H24" s="30">
        <f t="shared" si="30"/>
        <v>0</v>
      </c>
      <c r="I24" s="28">
        <f>PRODUCTION!J24+'SUPLIER INWARD'!J24</f>
        <v>0</v>
      </c>
      <c r="J24" s="28"/>
      <c r="K24" s="29">
        <v>0</v>
      </c>
      <c r="L24" s="30">
        <f t="shared" si="31"/>
        <v>0</v>
      </c>
      <c r="M24" s="28">
        <f>PRODUCTION!N24+'SUPLIER INWARD'!N24</f>
        <v>0</v>
      </c>
      <c r="N24" s="28"/>
      <c r="O24" s="29"/>
      <c r="P24" s="30">
        <f t="shared" si="32"/>
        <v>0</v>
      </c>
      <c r="Q24" s="28">
        <f>PRODUCTION!R24+'SUPLIER INWARD'!R24</f>
        <v>0</v>
      </c>
      <c r="R24" s="28"/>
      <c r="S24" s="29">
        <v>0</v>
      </c>
      <c r="T24" s="30">
        <f t="shared" si="33"/>
        <v>0</v>
      </c>
      <c r="U24" s="28">
        <f>PRODUCTION!V24+'SUPLIER INWARD'!V24</f>
        <v>0</v>
      </c>
      <c r="V24" s="28"/>
      <c r="W24" s="29">
        <v>0</v>
      </c>
      <c r="X24" s="30">
        <f t="shared" si="34"/>
        <v>0</v>
      </c>
      <c r="Y24" s="28">
        <f>PRODUCTION!Z24+'SUPLIER INWARD'!Z24</f>
        <v>0</v>
      </c>
      <c r="Z24" s="28"/>
      <c r="AA24" s="29">
        <v>0</v>
      </c>
      <c r="AB24" s="30">
        <f t="shared" si="35"/>
        <v>0</v>
      </c>
      <c r="AC24" s="28">
        <f>PRODUCTION!AD24+'SUPLIER INWARD'!AD24</f>
        <v>0</v>
      </c>
      <c r="AD24" s="151"/>
      <c r="AE24" s="29">
        <v>0</v>
      </c>
      <c r="AF24" s="30">
        <f t="shared" si="36"/>
        <v>0</v>
      </c>
      <c r="AG24" s="28">
        <f>PRODUCTION!AH24+'SUPLIER INWARD'!AH24</f>
        <v>0</v>
      </c>
      <c r="AH24" s="28"/>
      <c r="AI24" s="29">
        <v>0</v>
      </c>
      <c r="AJ24" s="30">
        <f t="shared" si="37"/>
        <v>0</v>
      </c>
      <c r="AK24" s="28">
        <f>PRODUCTION!AL24+'SUPLIER INWARD'!AL24</f>
        <v>0</v>
      </c>
      <c r="AL24" s="28"/>
      <c r="AM24" s="29">
        <v>0</v>
      </c>
      <c r="AN24" s="30">
        <f t="shared" si="38"/>
        <v>0</v>
      </c>
      <c r="AO24" s="28">
        <f>PRODUCTION!AP24+'SUPLIER INWARD'!AP24</f>
        <v>0</v>
      </c>
      <c r="AP24" s="28"/>
      <c r="AQ24" s="29">
        <v>0</v>
      </c>
      <c r="AR24" s="30">
        <f t="shared" si="39"/>
        <v>0</v>
      </c>
      <c r="AS24" s="28">
        <f>PRODUCTION!AT24+'SUPLIER INWARD'!AT24</f>
        <v>0</v>
      </c>
      <c r="AT24" s="28"/>
      <c r="AU24" s="29">
        <v>0</v>
      </c>
      <c r="AV24" s="30">
        <f t="shared" si="40"/>
        <v>0</v>
      </c>
      <c r="AW24" s="28">
        <f>PRODUCTION!AX24+'SUPLIER INWARD'!AX24</f>
        <v>0</v>
      </c>
      <c r="AX24" s="28"/>
      <c r="AY24" s="29"/>
      <c r="AZ24" s="30">
        <f t="shared" si="41"/>
        <v>0</v>
      </c>
      <c r="BA24" s="28">
        <f>PRODUCTION!BB24+'SUPLIER INWARD'!BB24</f>
        <v>0</v>
      </c>
      <c r="BB24" s="28"/>
      <c r="BC24" s="29">
        <v>0</v>
      </c>
      <c r="BD24" s="30">
        <f t="shared" si="42"/>
        <v>0</v>
      </c>
      <c r="BE24" s="28">
        <f>PRODUCTION!BF24+'SUPLIER INWARD'!BF24</f>
        <v>0</v>
      </c>
      <c r="BF24" s="28"/>
      <c r="BG24" s="29">
        <v>0</v>
      </c>
      <c r="BH24" s="30">
        <f t="shared" si="43"/>
        <v>0</v>
      </c>
      <c r="BI24" s="28">
        <f>PRODUCTION!BJ24+'SUPLIER INWARD'!BJ24</f>
        <v>0</v>
      </c>
      <c r="BJ24" s="28"/>
      <c r="BK24" s="29">
        <v>0</v>
      </c>
      <c r="BL24" s="30">
        <f t="shared" si="44"/>
        <v>0</v>
      </c>
      <c r="BM24" s="28">
        <f>PRODUCTION!BN24+'SUPLIER INWARD'!BN24</f>
        <v>0</v>
      </c>
      <c r="BN24" s="28"/>
      <c r="BO24" s="29">
        <v>0</v>
      </c>
      <c r="BP24" s="30">
        <f t="shared" si="45"/>
        <v>0</v>
      </c>
      <c r="BQ24" s="28">
        <f>PRODUCTION!BR24+'SUPLIER INWARD'!BR24</f>
        <v>0</v>
      </c>
      <c r="BR24" s="28"/>
      <c r="BS24" s="29">
        <v>0</v>
      </c>
      <c r="BT24" s="30">
        <f t="shared" si="46"/>
        <v>0</v>
      </c>
      <c r="BU24" s="28">
        <f>PRODUCTION!BV24+'SUPLIER INWARD'!BV24</f>
        <v>0</v>
      </c>
      <c r="BV24" s="28"/>
      <c r="BW24" s="29">
        <v>0</v>
      </c>
      <c r="BX24" s="30">
        <f t="shared" si="47"/>
        <v>0</v>
      </c>
      <c r="BY24" s="28">
        <f>PRODUCTION!BZ24+'SUPLIER INWARD'!BZ24</f>
        <v>0</v>
      </c>
      <c r="BZ24" s="28"/>
      <c r="CA24" s="29">
        <v>0</v>
      </c>
      <c r="CB24" s="30">
        <f t="shared" si="48"/>
        <v>0</v>
      </c>
      <c r="CC24" s="28">
        <f>PRODUCTION!CD24+'SUPLIER INWARD'!CD24</f>
        <v>0</v>
      </c>
      <c r="CD24" s="28"/>
      <c r="CE24" s="29">
        <v>0</v>
      </c>
      <c r="CF24" s="30">
        <f t="shared" si="49"/>
        <v>0</v>
      </c>
      <c r="CG24" s="28">
        <f>PRODUCTION!CH24+'SUPLIER INWARD'!CH24</f>
        <v>0</v>
      </c>
      <c r="CH24" s="28"/>
      <c r="CI24" s="29">
        <v>0</v>
      </c>
      <c r="CJ24" s="30">
        <f t="shared" si="50"/>
        <v>0</v>
      </c>
      <c r="CK24" s="28">
        <f>PRODUCTION!CL24+'SUPLIER INWARD'!CL24</f>
        <v>0</v>
      </c>
      <c r="CL24" s="151"/>
      <c r="CM24" s="152">
        <v>0</v>
      </c>
      <c r="CN24" s="30">
        <f t="shared" si="51"/>
        <v>0</v>
      </c>
      <c r="CO24" s="28">
        <f>PRODUCTION!CP24+'SUPLIER INWARD'!CP24</f>
        <v>0</v>
      </c>
      <c r="CP24" s="151"/>
      <c r="CQ24" s="29">
        <v>0</v>
      </c>
      <c r="CR24" s="30">
        <f t="shared" si="52"/>
        <v>0</v>
      </c>
      <c r="CS24" s="28">
        <f>PRODUCTION!CT24+'SUPLIER INWARD'!CT24</f>
        <v>0</v>
      </c>
      <c r="CT24" s="28"/>
      <c r="CU24" s="29">
        <v>0</v>
      </c>
      <c r="CV24" s="30">
        <f t="shared" si="53"/>
        <v>0</v>
      </c>
      <c r="CW24" s="28">
        <f>PRODUCTION!CX24+'SUPLIER INWARD'!CX24</f>
        <v>0</v>
      </c>
      <c r="CX24" s="28"/>
      <c r="CY24" s="29">
        <v>0</v>
      </c>
      <c r="CZ24" s="30">
        <f t="shared" si="54"/>
        <v>0</v>
      </c>
      <c r="DA24" s="28">
        <f>PRODUCTION!DB24+'SUPLIER INWARD'!DB24</f>
        <v>0</v>
      </c>
      <c r="DB24" s="28"/>
      <c r="DC24" s="29"/>
      <c r="DD24" s="30">
        <f t="shared" si="55"/>
        <v>0</v>
      </c>
      <c r="DE24" s="28">
        <f>PRODUCTION!DF24+'SUPLIER INWARD'!DF24</f>
        <v>0</v>
      </c>
      <c r="DF24" s="28"/>
      <c r="DG24" s="29">
        <v>0</v>
      </c>
      <c r="DH24" s="30">
        <f t="shared" si="56"/>
        <v>0</v>
      </c>
      <c r="DI24" s="28">
        <f>PRODUCTION!DJ24+'SUPLIER INWARD'!DJ24</f>
        <v>0</v>
      </c>
      <c r="DJ24" s="28"/>
      <c r="DK24" s="29">
        <v>0</v>
      </c>
      <c r="DL24" s="30">
        <f t="shared" si="57"/>
        <v>0</v>
      </c>
      <c r="DM24" s="28">
        <f>PRODUCTION!DN24+'SUPLIER INWARD'!DN24</f>
        <v>0</v>
      </c>
      <c r="DN24" s="28"/>
      <c r="DO24" s="29"/>
      <c r="DP24" s="30">
        <f t="shared" si="58"/>
        <v>0</v>
      </c>
      <c r="DQ24" s="28">
        <f>PRODUCTION!DR24+'SUPLIER INWARD'!DR24</f>
        <v>0</v>
      </c>
      <c r="DR24" s="28"/>
      <c r="DS24" s="29"/>
      <c r="DT24" s="30">
        <f t="shared" si="59"/>
        <v>0</v>
      </c>
      <c r="DU24" s="28">
        <f>PRODUCTION!DV24+'SUPLIER INWARD'!DV24</f>
        <v>0</v>
      </c>
      <c r="DV24" s="28"/>
      <c r="DW24" s="29"/>
      <c r="DX24" s="30">
        <f t="shared" si="60"/>
        <v>0</v>
      </c>
      <c r="DY24" s="31">
        <f t="shared" si="61"/>
        <v>0</v>
      </c>
      <c r="DZ24" s="31">
        <f t="shared" si="62"/>
        <v>0</v>
      </c>
      <c r="EA24" s="4">
        <f t="shared" si="63"/>
        <v>0</v>
      </c>
      <c r="EB24" s="9">
        <f>D24*'MASTER SHEET'!D24</f>
        <v>0</v>
      </c>
      <c r="EC24" s="9">
        <f>H24*'MASTER SHEET'!D24</f>
        <v>0</v>
      </c>
      <c r="ED24" s="9">
        <f>L24*'MASTER SHEET'!D24</f>
        <v>0</v>
      </c>
      <c r="EE24" s="9">
        <f>P24*'MASTER SHEET'!D24</f>
        <v>0</v>
      </c>
      <c r="EF24" s="9">
        <f>T24*'MASTER SHEET'!D24</f>
        <v>0</v>
      </c>
      <c r="EG24" s="9">
        <f>X24*'MASTER SHEET'!D24</f>
        <v>0</v>
      </c>
      <c r="EH24" s="9">
        <f>AB24*'MASTER SHEET'!D24</f>
        <v>0</v>
      </c>
      <c r="EI24" s="9">
        <f>AF24*'MASTER SHEET'!D24</f>
        <v>0</v>
      </c>
      <c r="EJ24" s="9">
        <f>AJ24*'MASTER SHEET'!D24</f>
        <v>0</v>
      </c>
      <c r="EK24" s="9">
        <f>AN24*'MASTER SHEET'!D24</f>
        <v>0</v>
      </c>
      <c r="EL24" s="9">
        <f>AR24*'MASTER SHEET'!D24</f>
        <v>0</v>
      </c>
      <c r="EM24" s="9">
        <f>AV24*'MASTER SHEET'!D24</f>
        <v>0</v>
      </c>
      <c r="EN24" s="9">
        <f>AZ24*'MASTER SHEET'!D24</f>
        <v>0</v>
      </c>
      <c r="EO24" s="9">
        <f>BD24*'MASTER SHEET'!D24</f>
        <v>0</v>
      </c>
      <c r="EP24" s="9">
        <f>$BH24*'MASTER SHEET'!$D24</f>
        <v>0</v>
      </c>
      <c r="EQ24" s="9">
        <f>BL24*'MASTER SHEET'!D24</f>
        <v>0</v>
      </c>
      <c r="ER24" s="9">
        <f>BP24*'MASTER SHEET'!D24</f>
        <v>0</v>
      </c>
      <c r="ES24" s="9">
        <f>BT24*'MASTER SHEET'!D24</f>
        <v>0</v>
      </c>
      <c r="ET24" s="9">
        <f>BX24*'MASTER SHEET'!D24</f>
        <v>0</v>
      </c>
      <c r="EU24" s="9">
        <f>CB24*'MASTER SHEET'!D24</f>
        <v>0</v>
      </c>
      <c r="EV24" s="9">
        <f>CF24*'MASTER SHEET'!D24</f>
        <v>0</v>
      </c>
      <c r="EW24" s="9">
        <f>CJ24*'MASTER SHEET'!D24</f>
        <v>0</v>
      </c>
      <c r="EX24" s="9">
        <f>CN24*'MASTER SHEET'!D24</f>
        <v>0</v>
      </c>
      <c r="EY24" s="9">
        <f>CR24*'MASTER SHEET'!D24</f>
        <v>0</v>
      </c>
      <c r="EZ24" s="9">
        <f>$CV24*'MASTER SHEET'!D24</f>
        <v>0</v>
      </c>
      <c r="FA24" s="9">
        <f>CZ24*'MASTER SHEET'!D24</f>
        <v>0</v>
      </c>
      <c r="FB24" s="9">
        <f>DD24*'MASTER SHEET'!D24</f>
        <v>0</v>
      </c>
      <c r="FC24" s="9">
        <f>DH24*'MASTER SHEET'!D24</f>
        <v>0</v>
      </c>
      <c r="FD24" s="9">
        <f>DL24*'MASTER SHEET'!D24</f>
        <v>0</v>
      </c>
      <c r="FE24" s="9">
        <f>DP24*'MASTER SHEET'!D24</f>
        <v>0</v>
      </c>
      <c r="FF24" s="9">
        <f>DT24*'MASTER SHEET'!D24</f>
        <v>0</v>
      </c>
      <c r="FG24" s="9">
        <f>+DX24*'MASTER SHEET'!D24</f>
        <v>0</v>
      </c>
    </row>
    <row r="25" spans="1:163" s="10" customFormat="1" ht="20.25" customHeight="1" x14ac:dyDescent="0.25">
      <c r="A25" s="25">
        <f>'MASTER SHEET'!A25</f>
        <v>23</v>
      </c>
      <c r="B25" s="26" t="str">
        <f>'MASTER SHEET'!B25</f>
        <v>LID HOUSING CRANKCASE</v>
      </c>
      <c r="C25" s="78">
        <f>'MASTER SHEET'!C25</f>
        <v>5017102</v>
      </c>
      <c r="D25" s="159">
        <v>36</v>
      </c>
      <c r="E25" s="28">
        <f>PRODUCTION!F25+'SUPLIER INWARD'!F25</f>
        <v>0</v>
      </c>
      <c r="F25" s="28"/>
      <c r="G25" s="29">
        <v>0</v>
      </c>
      <c r="H25" s="30">
        <f t="shared" si="30"/>
        <v>36</v>
      </c>
      <c r="I25" s="28">
        <f>PRODUCTION!J25+'SUPLIER INWARD'!J25</f>
        <v>0</v>
      </c>
      <c r="J25" s="28"/>
      <c r="K25" s="29">
        <v>0</v>
      </c>
      <c r="L25" s="30">
        <f t="shared" si="31"/>
        <v>36</v>
      </c>
      <c r="M25" s="28">
        <f>PRODUCTION!N25+'SUPLIER INWARD'!N25</f>
        <v>0</v>
      </c>
      <c r="N25" s="28"/>
      <c r="O25" s="29"/>
      <c r="P25" s="30">
        <f t="shared" si="32"/>
        <v>36</v>
      </c>
      <c r="Q25" s="28">
        <f>PRODUCTION!R25+'SUPLIER INWARD'!R25</f>
        <v>0</v>
      </c>
      <c r="R25" s="28"/>
      <c r="S25" s="29">
        <v>0</v>
      </c>
      <c r="T25" s="30">
        <f t="shared" si="33"/>
        <v>36</v>
      </c>
      <c r="U25" s="28">
        <f>PRODUCTION!V25+'SUPLIER INWARD'!V25</f>
        <v>0</v>
      </c>
      <c r="V25" s="28"/>
      <c r="W25" s="29">
        <v>0</v>
      </c>
      <c r="X25" s="30">
        <f t="shared" si="34"/>
        <v>36</v>
      </c>
      <c r="Y25" s="28">
        <f>PRODUCTION!Z25+'SUPLIER INWARD'!Z25</f>
        <v>0</v>
      </c>
      <c r="Z25" s="28"/>
      <c r="AA25" s="29">
        <v>0</v>
      </c>
      <c r="AB25" s="30">
        <f t="shared" si="35"/>
        <v>36</v>
      </c>
      <c r="AC25" s="28">
        <f>PRODUCTION!AD25+'SUPLIER INWARD'!AD25</f>
        <v>0</v>
      </c>
      <c r="AD25" s="151"/>
      <c r="AE25" s="29">
        <v>0</v>
      </c>
      <c r="AF25" s="30">
        <f t="shared" si="36"/>
        <v>36</v>
      </c>
      <c r="AG25" s="28">
        <f>PRODUCTION!AH25+'SUPLIER INWARD'!AH25</f>
        <v>0</v>
      </c>
      <c r="AH25" s="28"/>
      <c r="AI25" s="29">
        <v>0</v>
      </c>
      <c r="AJ25" s="30">
        <f t="shared" si="37"/>
        <v>36</v>
      </c>
      <c r="AK25" s="28">
        <f>PRODUCTION!AL25+'SUPLIER INWARD'!AL25</f>
        <v>0</v>
      </c>
      <c r="AL25" s="28"/>
      <c r="AM25" s="29">
        <v>0</v>
      </c>
      <c r="AN25" s="30">
        <f t="shared" si="38"/>
        <v>36</v>
      </c>
      <c r="AO25" s="28">
        <f>PRODUCTION!AP25+'SUPLIER INWARD'!AP25</f>
        <v>0</v>
      </c>
      <c r="AP25" s="28"/>
      <c r="AQ25" s="29">
        <v>1</v>
      </c>
      <c r="AR25" s="30">
        <f t="shared" si="39"/>
        <v>35</v>
      </c>
      <c r="AS25" s="28">
        <f>PRODUCTION!AT25+'SUPLIER INWARD'!AT25</f>
        <v>0</v>
      </c>
      <c r="AT25" s="28"/>
      <c r="AU25" s="29">
        <v>0</v>
      </c>
      <c r="AV25" s="30">
        <f t="shared" si="40"/>
        <v>35</v>
      </c>
      <c r="AW25" s="28">
        <f>PRODUCTION!AX25+'SUPLIER INWARD'!AX25</f>
        <v>0</v>
      </c>
      <c r="AX25" s="28"/>
      <c r="AY25" s="29"/>
      <c r="AZ25" s="30">
        <f t="shared" si="41"/>
        <v>35</v>
      </c>
      <c r="BA25" s="28">
        <f>PRODUCTION!BB25+'SUPLIER INWARD'!BB25</f>
        <v>0</v>
      </c>
      <c r="BB25" s="28"/>
      <c r="BC25" s="29">
        <v>0</v>
      </c>
      <c r="BD25" s="30">
        <f t="shared" si="42"/>
        <v>35</v>
      </c>
      <c r="BE25" s="28">
        <f>PRODUCTION!BF25+'SUPLIER INWARD'!BF25</f>
        <v>235</v>
      </c>
      <c r="BF25" s="28">
        <v>225</v>
      </c>
      <c r="BG25" s="29">
        <v>42</v>
      </c>
      <c r="BH25" s="30">
        <f t="shared" si="43"/>
        <v>3</v>
      </c>
      <c r="BI25" s="28">
        <f>PRODUCTION!BJ25+'SUPLIER INWARD'!BJ25</f>
        <v>0</v>
      </c>
      <c r="BJ25" s="28"/>
      <c r="BK25" s="29">
        <v>0</v>
      </c>
      <c r="BL25" s="30">
        <f t="shared" si="44"/>
        <v>3</v>
      </c>
      <c r="BM25" s="28">
        <f>PRODUCTION!BN25+'SUPLIER INWARD'!BN25</f>
        <v>0</v>
      </c>
      <c r="BN25" s="28"/>
      <c r="BO25" s="29">
        <v>0</v>
      </c>
      <c r="BP25" s="30">
        <f t="shared" si="45"/>
        <v>3</v>
      </c>
      <c r="BQ25" s="28">
        <f>PRODUCTION!BR25+'SUPLIER INWARD'!BR25</f>
        <v>750</v>
      </c>
      <c r="BR25" s="28">
        <v>500</v>
      </c>
      <c r="BS25" s="29">
        <v>54</v>
      </c>
      <c r="BT25" s="30">
        <f t="shared" si="46"/>
        <v>199</v>
      </c>
      <c r="BU25" s="28">
        <f>PRODUCTION!BV25+'SUPLIER INWARD'!BV25</f>
        <v>0</v>
      </c>
      <c r="BV25" s="28">
        <v>164</v>
      </c>
      <c r="BW25" s="29">
        <v>0</v>
      </c>
      <c r="BX25" s="30">
        <f t="shared" si="47"/>
        <v>35</v>
      </c>
      <c r="BY25" s="28">
        <f>PRODUCTION!BZ25+'SUPLIER INWARD'!BZ25</f>
        <v>0</v>
      </c>
      <c r="BZ25" s="28"/>
      <c r="CA25" s="29">
        <v>0</v>
      </c>
      <c r="CB25" s="30">
        <f t="shared" si="48"/>
        <v>35</v>
      </c>
      <c r="CC25" s="28">
        <f>PRODUCTION!CD25+'SUPLIER INWARD'!CD25</f>
        <v>0</v>
      </c>
      <c r="CD25" s="28"/>
      <c r="CE25" s="29">
        <v>0</v>
      </c>
      <c r="CF25" s="30">
        <f t="shared" si="49"/>
        <v>35</v>
      </c>
      <c r="CG25" s="28">
        <f>PRODUCTION!CH25+'SUPLIER INWARD'!CH25</f>
        <v>0</v>
      </c>
      <c r="CH25" s="28"/>
      <c r="CI25" s="29">
        <v>0</v>
      </c>
      <c r="CJ25" s="30">
        <f t="shared" si="50"/>
        <v>35</v>
      </c>
      <c r="CK25" s="28">
        <f>PRODUCTION!CL25+'SUPLIER INWARD'!CL25</f>
        <v>1550</v>
      </c>
      <c r="CL25" s="151"/>
      <c r="CM25" s="152">
        <v>0</v>
      </c>
      <c r="CN25" s="30">
        <f t="shared" si="51"/>
        <v>1585</v>
      </c>
      <c r="CO25" s="28">
        <f>PRODUCTION!CP25+'SUPLIER INWARD'!CP25</f>
        <v>0</v>
      </c>
      <c r="CP25" s="151"/>
      <c r="CQ25" s="29">
        <v>0</v>
      </c>
      <c r="CR25" s="30">
        <f t="shared" si="52"/>
        <v>1585</v>
      </c>
      <c r="CS25" s="28">
        <f>PRODUCTION!CT25+'SUPLIER INWARD'!CT25</f>
        <v>0</v>
      </c>
      <c r="CT25" s="28"/>
      <c r="CU25" s="29">
        <v>0</v>
      </c>
      <c r="CV25" s="30">
        <f t="shared" si="53"/>
        <v>1585</v>
      </c>
      <c r="CW25" s="28">
        <f>PRODUCTION!CX25+'SUPLIER INWARD'!CX25</f>
        <v>0</v>
      </c>
      <c r="CX25" s="28"/>
      <c r="CY25" s="29">
        <v>0</v>
      </c>
      <c r="CZ25" s="30">
        <f t="shared" si="54"/>
        <v>1585</v>
      </c>
      <c r="DA25" s="28">
        <f>PRODUCTION!DB25+'SUPLIER INWARD'!DB25</f>
        <v>0</v>
      </c>
      <c r="DB25" s="28"/>
      <c r="DC25" s="29"/>
      <c r="DD25" s="30">
        <f t="shared" si="55"/>
        <v>1585</v>
      </c>
      <c r="DE25" s="28">
        <f>PRODUCTION!DF25+'SUPLIER INWARD'!DF25</f>
        <v>0</v>
      </c>
      <c r="DF25" s="28"/>
      <c r="DG25" s="29">
        <v>0</v>
      </c>
      <c r="DH25" s="30">
        <f t="shared" si="56"/>
        <v>1585</v>
      </c>
      <c r="DI25" s="28">
        <f>PRODUCTION!DJ25+'SUPLIER INWARD'!DJ25</f>
        <v>0</v>
      </c>
      <c r="DJ25" s="28"/>
      <c r="DK25" s="29">
        <v>0</v>
      </c>
      <c r="DL25" s="30">
        <f t="shared" si="57"/>
        <v>1585</v>
      </c>
      <c r="DM25" s="28">
        <f>PRODUCTION!DN25+'SUPLIER INWARD'!DN25</f>
        <v>0</v>
      </c>
      <c r="DN25" s="28"/>
      <c r="DO25" s="29"/>
      <c r="DP25" s="30">
        <f t="shared" si="58"/>
        <v>1585</v>
      </c>
      <c r="DQ25" s="28">
        <f>PRODUCTION!DR25+'SUPLIER INWARD'!DR25</f>
        <v>0</v>
      </c>
      <c r="DR25" s="28"/>
      <c r="DS25" s="29"/>
      <c r="DT25" s="30">
        <f t="shared" si="59"/>
        <v>1585</v>
      </c>
      <c r="DU25" s="28">
        <f>PRODUCTION!DV25+'SUPLIER INWARD'!DV25</f>
        <v>0</v>
      </c>
      <c r="DV25" s="28"/>
      <c r="DW25" s="29"/>
      <c r="DX25" s="30">
        <f t="shared" si="60"/>
        <v>1585</v>
      </c>
      <c r="DY25" s="31">
        <f t="shared" si="61"/>
        <v>2535</v>
      </c>
      <c r="DZ25" s="31">
        <f t="shared" si="62"/>
        <v>889</v>
      </c>
      <c r="EA25" s="4">
        <f t="shared" si="63"/>
        <v>97</v>
      </c>
      <c r="EB25" s="9">
        <f>D25*'MASTER SHEET'!D25</f>
        <v>1018.4399999999999</v>
      </c>
      <c r="EC25" s="9">
        <f>H25*'MASTER SHEET'!D25</f>
        <v>1018.4399999999999</v>
      </c>
      <c r="ED25" s="9">
        <f>L25*'MASTER SHEET'!D25</f>
        <v>1018.4399999999999</v>
      </c>
      <c r="EE25" s="9">
        <f>P25*'MASTER SHEET'!D25</f>
        <v>1018.4399999999999</v>
      </c>
      <c r="EF25" s="9">
        <f>T25*'MASTER SHEET'!D25</f>
        <v>1018.4399999999999</v>
      </c>
      <c r="EG25" s="9">
        <f>X25*'MASTER SHEET'!D25</f>
        <v>1018.4399999999999</v>
      </c>
      <c r="EH25" s="9">
        <f>AB25*'MASTER SHEET'!D25</f>
        <v>1018.4399999999999</v>
      </c>
      <c r="EI25" s="9">
        <f>AF25*'MASTER SHEET'!D25</f>
        <v>1018.4399999999999</v>
      </c>
      <c r="EJ25" s="9">
        <f>AJ25*'MASTER SHEET'!D25</f>
        <v>1018.4399999999999</v>
      </c>
      <c r="EK25" s="9">
        <f>AN25*'MASTER SHEET'!D25</f>
        <v>1018.4399999999999</v>
      </c>
      <c r="EL25" s="9">
        <f>AR25*'MASTER SHEET'!D25</f>
        <v>990.15</v>
      </c>
      <c r="EM25" s="9">
        <f>AV25*'MASTER SHEET'!D25</f>
        <v>990.15</v>
      </c>
      <c r="EN25" s="9">
        <f>AZ25*'MASTER SHEET'!D25</f>
        <v>990.15</v>
      </c>
      <c r="EO25" s="9">
        <f>BD25*'MASTER SHEET'!D25</f>
        <v>990.15</v>
      </c>
      <c r="EP25" s="9">
        <f>$BH25*'MASTER SHEET'!$D25</f>
        <v>84.87</v>
      </c>
      <c r="EQ25" s="9">
        <f>BL25*'MASTER SHEET'!D25</f>
        <v>84.87</v>
      </c>
      <c r="ER25" s="9">
        <f>BP25*'MASTER SHEET'!D25</f>
        <v>84.87</v>
      </c>
      <c r="ES25" s="9">
        <f>BT25*'MASTER SHEET'!D25</f>
        <v>5629.71</v>
      </c>
      <c r="ET25" s="9">
        <f>BX25*'MASTER SHEET'!D25</f>
        <v>990.15</v>
      </c>
      <c r="EU25" s="9">
        <f>CB25*'MASTER SHEET'!D25</f>
        <v>990.15</v>
      </c>
      <c r="EV25" s="9">
        <f>CF25*'MASTER SHEET'!D25</f>
        <v>990.15</v>
      </c>
      <c r="EW25" s="9">
        <f>CJ25*'MASTER SHEET'!D25</f>
        <v>990.15</v>
      </c>
      <c r="EX25" s="9">
        <f>CN25*'MASTER SHEET'!D25</f>
        <v>44839.65</v>
      </c>
      <c r="EY25" s="9">
        <f>CR25*'MASTER SHEET'!D25</f>
        <v>44839.65</v>
      </c>
      <c r="EZ25" s="9">
        <f>$CV25*'MASTER SHEET'!D25</f>
        <v>44839.65</v>
      </c>
      <c r="FA25" s="9">
        <f>CZ25*'MASTER SHEET'!D25</f>
        <v>44839.65</v>
      </c>
      <c r="FB25" s="9">
        <f>DD25*'MASTER SHEET'!D25</f>
        <v>44839.65</v>
      </c>
      <c r="FC25" s="9">
        <f>DH25*'MASTER SHEET'!D25</f>
        <v>44839.65</v>
      </c>
      <c r="FD25" s="9">
        <f>DL25*'MASTER SHEET'!D25</f>
        <v>44839.65</v>
      </c>
      <c r="FE25" s="9">
        <f>DP25*'MASTER SHEET'!D25</f>
        <v>44839.65</v>
      </c>
      <c r="FF25" s="9">
        <f>DT25*'MASTER SHEET'!D25</f>
        <v>44839.65</v>
      </c>
      <c r="FG25" s="9">
        <f>+DX25*'MASTER SHEET'!D25</f>
        <v>44839.65</v>
      </c>
    </row>
    <row r="26" spans="1:163" s="10" customFormat="1" ht="20.25" customHeight="1" x14ac:dyDescent="0.25">
      <c r="A26" s="25">
        <f>'MASTER SHEET'!A26</f>
        <v>24</v>
      </c>
      <c r="B26" s="26" t="str">
        <f>'MASTER SHEET'!B26</f>
        <v>CENTER TUBE</v>
      </c>
      <c r="C26" s="78">
        <f>'MASTER SHEET'!C26</f>
        <v>5017886</v>
      </c>
      <c r="D26" s="163">
        <f>1500+1638</f>
        <v>3138</v>
      </c>
      <c r="E26" s="28">
        <f>PRODUCTION!F26+'SUPLIER INWARD'!F26</f>
        <v>3000</v>
      </c>
      <c r="F26" s="28"/>
      <c r="G26" s="29">
        <v>0</v>
      </c>
      <c r="H26" s="30">
        <f t="shared" si="30"/>
        <v>6138</v>
      </c>
      <c r="I26" s="28">
        <f>PRODUCTION!J26+'SUPLIER INWARD'!J26</f>
        <v>2880</v>
      </c>
      <c r="J26" s="28"/>
      <c r="K26" s="29">
        <v>0</v>
      </c>
      <c r="L26" s="30">
        <f t="shared" si="31"/>
        <v>9018</v>
      </c>
      <c r="M26" s="28">
        <f>PRODUCTION!N26+'SUPLIER INWARD'!N26</f>
        <v>0</v>
      </c>
      <c r="N26" s="28"/>
      <c r="O26" s="29"/>
      <c r="P26" s="30">
        <f t="shared" si="32"/>
        <v>9018</v>
      </c>
      <c r="Q26" s="28">
        <f>PRODUCTION!R26+'SUPLIER INWARD'!R26</f>
        <v>0</v>
      </c>
      <c r="R26" s="28">
        <v>3920</v>
      </c>
      <c r="S26" s="29">
        <v>0</v>
      </c>
      <c r="T26" s="30">
        <f t="shared" si="33"/>
        <v>5098</v>
      </c>
      <c r="U26" s="28">
        <f>PRODUCTION!V26+'SUPLIER INWARD'!V26</f>
        <v>0</v>
      </c>
      <c r="V26" s="28"/>
      <c r="W26" s="29">
        <v>0</v>
      </c>
      <c r="X26" s="30">
        <f t="shared" si="34"/>
        <v>5098</v>
      </c>
      <c r="Y26" s="28">
        <f>PRODUCTION!Z26+'SUPLIER INWARD'!Z26</f>
        <v>0</v>
      </c>
      <c r="Z26" s="28">
        <v>720</v>
      </c>
      <c r="AA26" s="29">
        <v>0</v>
      </c>
      <c r="AB26" s="30">
        <f t="shared" si="35"/>
        <v>4378</v>
      </c>
      <c r="AC26" s="28">
        <f>PRODUCTION!AD26+'SUPLIER INWARD'!AD26</f>
        <v>1800</v>
      </c>
      <c r="AD26" s="151">
        <v>3440</v>
      </c>
      <c r="AE26" s="29">
        <v>2</v>
      </c>
      <c r="AF26" s="30">
        <f t="shared" si="36"/>
        <v>2736</v>
      </c>
      <c r="AG26" s="28">
        <f>PRODUCTION!AH26+'SUPLIER INWARD'!AH26</f>
        <v>2640</v>
      </c>
      <c r="AH26" s="28">
        <v>2880</v>
      </c>
      <c r="AI26" s="29">
        <v>0</v>
      </c>
      <c r="AJ26" s="30">
        <f t="shared" si="37"/>
        <v>2496</v>
      </c>
      <c r="AK26" s="28">
        <f>PRODUCTION!AL26+'SUPLIER INWARD'!AL26</f>
        <v>2640</v>
      </c>
      <c r="AL26" s="28">
        <v>4800</v>
      </c>
      <c r="AM26" s="29">
        <v>0</v>
      </c>
      <c r="AN26" s="30">
        <f t="shared" si="38"/>
        <v>336</v>
      </c>
      <c r="AO26" s="28">
        <f>PRODUCTION!AP26+'SUPLIER INWARD'!AP26</f>
        <v>3600</v>
      </c>
      <c r="AP26" s="28">
        <v>1680</v>
      </c>
      <c r="AQ26" s="29">
        <v>0</v>
      </c>
      <c r="AR26" s="30">
        <f t="shared" si="39"/>
        <v>2256</v>
      </c>
      <c r="AS26" s="28">
        <f>PRODUCTION!AT26+'SUPLIER INWARD'!AT26</f>
        <v>3000</v>
      </c>
      <c r="AT26" s="28">
        <v>4160</v>
      </c>
      <c r="AU26" s="29">
        <v>1</v>
      </c>
      <c r="AV26" s="30">
        <f t="shared" si="40"/>
        <v>1095</v>
      </c>
      <c r="AW26" s="28">
        <f>PRODUCTION!AX26+'SUPLIER INWARD'!AX26</f>
        <v>0</v>
      </c>
      <c r="AX26" s="28"/>
      <c r="AY26" s="29"/>
      <c r="AZ26" s="30">
        <f t="shared" si="41"/>
        <v>1095</v>
      </c>
      <c r="BA26" s="28">
        <f>PRODUCTION!BB26+'SUPLIER INWARD'!BB26</f>
        <v>3017</v>
      </c>
      <c r="BB26" s="28">
        <v>2480</v>
      </c>
      <c r="BC26" s="29">
        <v>2</v>
      </c>
      <c r="BD26" s="30">
        <f t="shared" si="42"/>
        <v>1630</v>
      </c>
      <c r="BE26" s="28">
        <f>PRODUCTION!BF26+'SUPLIER INWARD'!BF26</f>
        <v>3600</v>
      </c>
      <c r="BF26" s="28">
        <v>1520</v>
      </c>
      <c r="BG26" s="29">
        <v>0</v>
      </c>
      <c r="BH26" s="30">
        <f t="shared" si="43"/>
        <v>3710</v>
      </c>
      <c r="BI26" s="28">
        <f>PRODUCTION!BJ26+'SUPLIER INWARD'!BJ26</f>
        <v>0</v>
      </c>
      <c r="BJ26" s="28">
        <v>1200</v>
      </c>
      <c r="BK26" s="29">
        <v>0</v>
      </c>
      <c r="BL26" s="30">
        <f t="shared" si="44"/>
        <v>2510</v>
      </c>
      <c r="BM26" s="28">
        <f>PRODUCTION!BN26+'SUPLIER INWARD'!BN26</f>
        <v>3000</v>
      </c>
      <c r="BN26" s="28">
        <v>2640</v>
      </c>
      <c r="BO26" s="29">
        <v>20</v>
      </c>
      <c r="BP26" s="30">
        <f t="shared" si="45"/>
        <v>2850</v>
      </c>
      <c r="BQ26" s="28">
        <f>PRODUCTION!BR26+'SUPLIER INWARD'!BR26</f>
        <v>0</v>
      </c>
      <c r="BR26" s="28">
        <v>1760</v>
      </c>
      <c r="BS26" s="29">
        <v>0</v>
      </c>
      <c r="BT26" s="30">
        <f t="shared" si="46"/>
        <v>1090</v>
      </c>
      <c r="BU26" s="28">
        <f>PRODUCTION!BV26+'SUPLIER INWARD'!BV26</f>
        <v>3480</v>
      </c>
      <c r="BV26" s="151">
        <v>2480</v>
      </c>
      <c r="BW26" s="29">
        <v>0</v>
      </c>
      <c r="BX26" s="30">
        <f t="shared" si="47"/>
        <v>2090</v>
      </c>
      <c r="BY26" s="28">
        <f>PRODUCTION!BZ26+'SUPLIER INWARD'!BZ26</f>
        <v>0</v>
      </c>
      <c r="BZ26" s="28"/>
      <c r="CA26" s="29">
        <v>0</v>
      </c>
      <c r="CB26" s="30">
        <f t="shared" si="48"/>
        <v>2090</v>
      </c>
      <c r="CC26" s="28">
        <f>PRODUCTION!CD26+'SUPLIER INWARD'!CD26</f>
        <v>3480</v>
      </c>
      <c r="CD26" s="28">
        <v>1920</v>
      </c>
      <c r="CE26" s="29">
        <v>0</v>
      </c>
      <c r="CF26" s="30">
        <f t="shared" si="49"/>
        <v>3650</v>
      </c>
      <c r="CG26" s="28">
        <f>PRODUCTION!CH26+'SUPLIER INWARD'!CH26</f>
        <v>1440</v>
      </c>
      <c r="CH26" s="28"/>
      <c r="CI26" s="29">
        <v>0</v>
      </c>
      <c r="CJ26" s="30">
        <f t="shared" si="50"/>
        <v>5090</v>
      </c>
      <c r="CK26" s="28">
        <f>PRODUCTION!CL26+'SUPLIER INWARD'!CL26</f>
        <v>3720</v>
      </c>
      <c r="CL26" s="153"/>
      <c r="CM26" s="152">
        <v>0</v>
      </c>
      <c r="CN26" s="30">
        <f t="shared" si="51"/>
        <v>8810</v>
      </c>
      <c r="CO26" s="28">
        <f>PRODUCTION!CP26+'SUPLIER INWARD'!CP26</f>
        <v>3600</v>
      </c>
      <c r="CP26" s="151">
        <v>1440</v>
      </c>
      <c r="CQ26" s="29">
        <v>0</v>
      </c>
      <c r="CR26" s="30">
        <f t="shared" si="52"/>
        <v>10970</v>
      </c>
      <c r="CS26" s="28">
        <f>PRODUCTION!CT26+'SUPLIER INWARD'!CT26</f>
        <v>4080</v>
      </c>
      <c r="CT26" s="28">
        <v>4080</v>
      </c>
      <c r="CU26" s="29">
        <v>0</v>
      </c>
      <c r="CV26" s="30">
        <f t="shared" si="53"/>
        <v>10970</v>
      </c>
      <c r="CW26" s="28">
        <f>PRODUCTION!CX26+'SUPLIER INWARD'!CX26</f>
        <v>4800</v>
      </c>
      <c r="CX26" s="28">
        <v>4960</v>
      </c>
      <c r="CY26" s="29">
        <v>9</v>
      </c>
      <c r="CZ26" s="30">
        <f t="shared" si="54"/>
        <v>10801</v>
      </c>
      <c r="DA26" s="28">
        <f>PRODUCTION!DB26+'SUPLIER INWARD'!DB26</f>
        <v>0</v>
      </c>
      <c r="DB26" s="28"/>
      <c r="DC26" s="29"/>
      <c r="DD26" s="30">
        <f t="shared" si="55"/>
        <v>10801</v>
      </c>
      <c r="DE26" s="28">
        <f>PRODUCTION!DF26+'SUPLIER INWARD'!DF26</f>
        <v>3720</v>
      </c>
      <c r="DF26" s="28">
        <v>5040</v>
      </c>
      <c r="DG26" s="29">
        <v>0</v>
      </c>
      <c r="DH26" s="30">
        <f t="shared" si="56"/>
        <v>9481</v>
      </c>
      <c r="DI26" s="28">
        <f>PRODUCTION!DJ26+'SUPLIER INWARD'!DJ26</f>
        <v>3360</v>
      </c>
      <c r="DJ26" s="28">
        <v>3680</v>
      </c>
      <c r="DK26" s="29">
        <v>0</v>
      </c>
      <c r="DL26" s="30">
        <f t="shared" si="57"/>
        <v>9161</v>
      </c>
      <c r="DM26" s="28">
        <f>PRODUCTION!DN26+'SUPLIER INWARD'!DN26</f>
        <v>3600</v>
      </c>
      <c r="DN26" s="150">
        <v>4000</v>
      </c>
      <c r="DO26" s="29"/>
      <c r="DP26" s="30">
        <f t="shared" si="58"/>
        <v>8761</v>
      </c>
      <c r="DQ26" s="28">
        <f>PRODUCTION!DR26+'SUPLIER INWARD'!DR26</f>
        <v>0</v>
      </c>
      <c r="DR26" s="28"/>
      <c r="DS26" s="29"/>
      <c r="DT26" s="30">
        <f t="shared" si="59"/>
        <v>8761</v>
      </c>
      <c r="DU26" s="28">
        <f>PRODUCTION!DV26+'SUPLIER INWARD'!DV26</f>
        <v>0</v>
      </c>
      <c r="DV26" s="28"/>
      <c r="DW26" s="29"/>
      <c r="DX26" s="30">
        <f t="shared" si="60"/>
        <v>8761</v>
      </c>
      <c r="DY26" s="31">
        <f t="shared" si="61"/>
        <v>64457</v>
      </c>
      <c r="DZ26" s="31">
        <f t="shared" si="62"/>
        <v>58800</v>
      </c>
      <c r="EA26" s="4">
        <f t="shared" si="63"/>
        <v>34</v>
      </c>
      <c r="EB26" s="9">
        <f>D26*'MASTER SHEET'!D26</f>
        <v>79987.62</v>
      </c>
      <c r="EC26" s="9">
        <f>H26*'MASTER SHEET'!D26</f>
        <v>156457.62</v>
      </c>
      <c r="ED26" s="9">
        <f>L26*'MASTER SHEET'!D26</f>
        <v>229868.81999999998</v>
      </c>
      <c r="EE26" s="9">
        <f>P26*'MASTER SHEET'!D26</f>
        <v>229868.81999999998</v>
      </c>
      <c r="EF26" s="9">
        <f>T26*'MASTER SHEET'!D26</f>
        <v>129948.01999999999</v>
      </c>
      <c r="EG26" s="9">
        <f>X26*'MASTER SHEET'!D26</f>
        <v>129948.01999999999</v>
      </c>
      <c r="EH26" s="9">
        <f>AB26*'MASTER SHEET'!D26</f>
        <v>111595.21999999999</v>
      </c>
      <c r="EI26" s="9">
        <f>AF26*'MASTER SHEET'!D26</f>
        <v>69740.639999999999</v>
      </c>
      <c r="EJ26" s="9">
        <f>AJ26*'MASTER SHEET'!D26</f>
        <v>63623.039999999994</v>
      </c>
      <c r="EK26" s="9">
        <f>AN26*'MASTER SHEET'!D26</f>
        <v>8564.64</v>
      </c>
      <c r="EL26" s="9">
        <f>AR26*'MASTER SHEET'!D26</f>
        <v>57505.439999999995</v>
      </c>
      <c r="EM26" s="9">
        <f>AV26*'MASTER SHEET'!D26</f>
        <v>27911.55</v>
      </c>
      <c r="EN26" s="9">
        <f>AZ26*'MASTER SHEET'!D26</f>
        <v>27911.55</v>
      </c>
      <c r="EO26" s="9">
        <f>BD26*'MASTER SHEET'!D26</f>
        <v>41548.699999999997</v>
      </c>
      <c r="EP26" s="9">
        <f>$BH26*'MASTER SHEET'!$D26</f>
        <v>94567.9</v>
      </c>
      <c r="EQ26" s="9">
        <f>BL26*'MASTER SHEET'!D26</f>
        <v>63979.899999999994</v>
      </c>
      <c r="ER26" s="9">
        <f>BP26*'MASTER SHEET'!D26</f>
        <v>72646.5</v>
      </c>
      <c r="ES26" s="9">
        <f>BT26*'MASTER SHEET'!D26</f>
        <v>27784.1</v>
      </c>
      <c r="ET26" s="9">
        <f>BX26*'MASTER SHEET'!D26</f>
        <v>53274.1</v>
      </c>
      <c r="EU26" s="9">
        <f>CB26*'MASTER SHEET'!D26</f>
        <v>53274.1</v>
      </c>
      <c r="EV26" s="9">
        <f>CF26*'MASTER SHEET'!D26</f>
        <v>93038.5</v>
      </c>
      <c r="EW26" s="9">
        <f>CJ26*'MASTER SHEET'!D26</f>
        <v>129744.09999999999</v>
      </c>
      <c r="EX26" s="9">
        <f>CN26*'MASTER SHEET'!D26</f>
        <v>224566.9</v>
      </c>
      <c r="EY26" s="9">
        <f>CR26*'MASTER SHEET'!D26</f>
        <v>279625.3</v>
      </c>
      <c r="EZ26" s="9">
        <f>$CV26*'MASTER SHEET'!D26</f>
        <v>279625.3</v>
      </c>
      <c r="FA26" s="9">
        <f>CZ26*'MASTER SHEET'!D26</f>
        <v>275317.49</v>
      </c>
      <c r="FB26" s="9">
        <f>DD26*'MASTER SHEET'!D26</f>
        <v>275317.49</v>
      </c>
      <c r="FC26" s="9">
        <f>DH26*'MASTER SHEET'!D26</f>
        <v>241670.68999999997</v>
      </c>
      <c r="FD26" s="9">
        <f>DL26*'MASTER SHEET'!D26</f>
        <v>233513.88999999998</v>
      </c>
      <c r="FE26" s="9">
        <f>DP26*'MASTER SHEET'!D26</f>
        <v>223317.88999999998</v>
      </c>
      <c r="FF26" s="9">
        <f>DT26*'MASTER SHEET'!D26</f>
        <v>223317.88999999998</v>
      </c>
      <c r="FG26" s="9">
        <f>+DX26*'MASTER SHEET'!D26</f>
        <v>223317.88999999998</v>
      </c>
    </row>
    <row r="27" spans="1:163" s="10" customFormat="1" ht="20.25" customHeight="1" x14ac:dyDescent="0.25">
      <c r="A27" s="25">
        <f>'MASTER SHEET'!A27</f>
        <v>25</v>
      </c>
      <c r="B27" s="26" t="str">
        <f>'MASTER SHEET'!B27</f>
        <v xml:space="preserve">CENTER TUBE  </v>
      </c>
      <c r="C27" s="78">
        <f>'MASTER SHEET'!C27</f>
        <v>5017887</v>
      </c>
      <c r="D27" s="159">
        <v>1464</v>
      </c>
      <c r="E27" s="28">
        <f>PRODUCTION!F27+'SUPLIER INWARD'!F27</f>
        <v>0</v>
      </c>
      <c r="F27" s="28">
        <v>800</v>
      </c>
      <c r="G27" s="29">
        <v>0</v>
      </c>
      <c r="H27" s="30">
        <f t="shared" si="30"/>
        <v>664</v>
      </c>
      <c r="I27" s="28">
        <f>PRODUCTION!J27+'SUPLIER INWARD'!J27</f>
        <v>0</v>
      </c>
      <c r="J27" s="28"/>
      <c r="K27" s="29">
        <v>0</v>
      </c>
      <c r="L27" s="30">
        <f t="shared" si="31"/>
        <v>664</v>
      </c>
      <c r="M27" s="28">
        <f>PRODUCTION!N27+'SUPLIER INWARD'!N27</f>
        <v>0</v>
      </c>
      <c r="N27" s="28"/>
      <c r="O27" s="29"/>
      <c r="P27" s="30">
        <f t="shared" si="32"/>
        <v>664</v>
      </c>
      <c r="Q27" s="28">
        <f>PRODUCTION!R27+'SUPLIER INWARD'!R27</f>
        <v>0</v>
      </c>
      <c r="R27" s="28"/>
      <c r="S27" s="29">
        <v>0</v>
      </c>
      <c r="T27" s="30">
        <f t="shared" si="33"/>
        <v>664</v>
      </c>
      <c r="U27" s="28">
        <f>PRODUCTION!V27+'SUPLIER INWARD'!V27</f>
        <v>0</v>
      </c>
      <c r="V27" s="28"/>
      <c r="W27" s="29">
        <v>0</v>
      </c>
      <c r="X27" s="30">
        <f t="shared" si="34"/>
        <v>664</v>
      </c>
      <c r="Y27" s="28">
        <f>PRODUCTION!Z27+'SUPLIER INWARD'!Z27</f>
        <v>0</v>
      </c>
      <c r="Z27" s="28"/>
      <c r="AA27" s="29">
        <v>0</v>
      </c>
      <c r="AB27" s="30">
        <f t="shared" si="35"/>
        <v>664</v>
      </c>
      <c r="AC27" s="28">
        <f>PRODUCTION!AD27+'SUPLIER INWARD'!AD27</f>
        <v>0</v>
      </c>
      <c r="AD27" s="151"/>
      <c r="AE27" s="29">
        <v>0</v>
      </c>
      <c r="AF27" s="30">
        <f t="shared" si="36"/>
        <v>664</v>
      </c>
      <c r="AG27" s="28">
        <f>PRODUCTION!AH27+'SUPLIER INWARD'!AH27</f>
        <v>0</v>
      </c>
      <c r="AH27" s="28"/>
      <c r="AI27" s="29">
        <v>0</v>
      </c>
      <c r="AJ27" s="30">
        <f t="shared" si="37"/>
        <v>664</v>
      </c>
      <c r="AK27" s="28">
        <f>PRODUCTION!AL27+'SUPLIER INWARD'!AL27</f>
        <v>0</v>
      </c>
      <c r="AL27" s="28"/>
      <c r="AM27" s="29">
        <v>0</v>
      </c>
      <c r="AN27" s="30">
        <f t="shared" si="38"/>
        <v>664</v>
      </c>
      <c r="AO27" s="28">
        <f>PRODUCTION!AP27+'SUPLIER INWARD'!AP27</f>
        <v>0</v>
      </c>
      <c r="AP27" s="28"/>
      <c r="AQ27" s="29">
        <v>0</v>
      </c>
      <c r="AR27" s="30">
        <f t="shared" si="39"/>
        <v>664</v>
      </c>
      <c r="AS27" s="28">
        <f>PRODUCTION!AT27+'SUPLIER INWARD'!AT27</f>
        <v>0</v>
      </c>
      <c r="AT27" s="28">
        <v>67</v>
      </c>
      <c r="AU27" s="29">
        <v>0</v>
      </c>
      <c r="AV27" s="30">
        <f t="shared" si="40"/>
        <v>597</v>
      </c>
      <c r="AW27" s="28">
        <f>PRODUCTION!AX27+'SUPLIER INWARD'!AX27</f>
        <v>0</v>
      </c>
      <c r="AX27" s="28"/>
      <c r="AY27" s="29"/>
      <c r="AZ27" s="30">
        <f t="shared" si="41"/>
        <v>597</v>
      </c>
      <c r="BA27" s="28">
        <f>PRODUCTION!BB27+'SUPLIER INWARD'!BB27</f>
        <v>0</v>
      </c>
      <c r="BB27" s="28"/>
      <c r="BC27" s="29">
        <v>0</v>
      </c>
      <c r="BD27" s="30">
        <f t="shared" si="42"/>
        <v>597</v>
      </c>
      <c r="BE27" s="28">
        <f>PRODUCTION!BF27+'SUPLIER INWARD'!BF27</f>
        <v>0</v>
      </c>
      <c r="BF27" s="28"/>
      <c r="BG27" s="29">
        <v>0</v>
      </c>
      <c r="BH27" s="30">
        <f t="shared" si="43"/>
        <v>597</v>
      </c>
      <c r="BI27" s="28">
        <f>PRODUCTION!BJ27+'SUPLIER INWARD'!BJ27</f>
        <v>0</v>
      </c>
      <c r="BJ27" s="28"/>
      <c r="BK27" s="29">
        <v>0</v>
      </c>
      <c r="BL27" s="30">
        <f t="shared" si="44"/>
        <v>597</v>
      </c>
      <c r="BM27" s="28">
        <f>PRODUCTION!BN27+'SUPLIER INWARD'!BN27</f>
        <v>0</v>
      </c>
      <c r="BN27" s="28"/>
      <c r="BO27" s="29">
        <v>0</v>
      </c>
      <c r="BP27" s="30">
        <f t="shared" si="45"/>
        <v>597</v>
      </c>
      <c r="BQ27" s="28">
        <f>PRODUCTION!BR27+'SUPLIER INWARD'!BR27</f>
        <v>0</v>
      </c>
      <c r="BR27" s="28"/>
      <c r="BS27" s="29">
        <v>0</v>
      </c>
      <c r="BT27" s="30">
        <f t="shared" si="46"/>
        <v>597</v>
      </c>
      <c r="BU27" s="28">
        <f>PRODUCTION!BV27+'SUPLIER INWARD'!BV27</f>
        <v>0</v>
      </c>
      <c r="BV27" s="28"/>
      <c r="BW27" s="29">
        <v>0</v>
      </c>
      <c r="BX27" s="30">
        <f t="shared" si="47"/>
        <v>597</v>
      </c>
      <c r="BY27" s="28">
        <f>PRODUCTION!BZ27+'SUPLIER INWARD'!BZ27</f>
        <v>0</v>
      </c>
      <c r="BZ27" s="28"/>
      <c r="CA27" s="29">
        <v>0</v>
      </c>
      <c r="CB27" s="30">
        <f t="shared" si="48"/>
        <v>597</v>
      </c>
      <c r="CC27" s="28">
        <f>PRODUCTION!CD27+'SUPLIER INWARD'!CD27</f>
        <v>0</v>
      </c>
      <c r="CD27" s="28"/>
      <c r="CE27" s="29">
        <v>0</v>
      </c>
      <c r="CF27" s="30">
        <f t="shared" si="49"/>
        <v>597</v>
      </c>
      <c r="CG27" s="28">
        <f>PRODUCTION!CH27+'SUPLIER INWARD'!CH27</f>
        <v>0</v>
      </c>
      <c r="CH27" s="28"/>
      <c r="CI27" s="29">
        <v>0</v>
      </c>
      <c r="CJ27" s="30">
        <f t="shared" si="50"/>
        <v>597</v>
      </c>
      <c r="CK27" s="28">
        <f>PRODUCTION!CL27+'SUPLIER INWARD'!CL27</f>
        <v>0</v>
      </c>
      <c r="CL27" s="151"/>
      <c r="CM27" s="152">
        <v>0</v>
      </c>
      <c r="CN27" s="30">
        <f t="shared" si="51"/>
        <v>597</v>
      </c>
      <c r="CO27" s="28">
        <f>PRODUCTION!CP27+'SUPLIER INWARD'!CP27</f>
        <v>0</v>
      </c>
      <c r="CP27" s="151"/>
      <c r="CQ27" s="29">
        <v>0</v>
      </c>
      <c r="CR27" s="30">
        <f t="shared" si="52"/>
        <v>597</v>
      </c>
      <c r="CS27" s="28">
        <f>PRODUCTION!CT27+'SUPLIER INWARD'!CT27</f>
        <v>0</v>
      </c>
      <c r="CT27" s="28"/>
      <c r="CU27" s="29">
        <v>0</v>
      </c>
      <c r="CV27" s="30">
        <f t="shared" si="53"/>
        <v>597</v>
      </c>
      <c r="CW27" s="28">
        <f>PRODUCTION!CX27+'SUPLIER INWARD'!CX27</f>
        <v>0</v>
      </c>
      <c r="CX27" s="28"/>
      <c r="CY27" s="29">
        <v>0</v>
      </c>
      <c r="CZ27" s="30">
        <f t="shared" si="54"/>
        <v>597</v>
      </c>
      <c r="DA27" s="28">
        <f>PRODUCTION!DB27+'SUPLIER INWARD'!DB27</f>
        <v>0</v>
      </c>
      <c r="DB27" s="28"/>
      <c r="DC27" s="29"/>
      <c r="DD27" s="30">
        <f t="shared" si="55"/>
        <v>597</v>
      </c>
      <c r="DE27" s="28">
        <f>PRODUCTION!DF27+'SUPLIER INWARD'!DF27</f>
        <v>0</v>
      </c>
      <c r="DF27" s="28"/>
      <c r="DG27" s="29">
        <v>0</v>
      </c>
      <c r="DH27" s="30">
        <f t="shared" si="56"/>
        <v>597</v>
      </c>
      <c r="DI27" s="28">
        <f>PRODUCTION!DJ27+'SUPLIER INWARD'!DJ27</f>
        <v>0</v>
      </c>
      <c r="DJ27" s="28"/>
      <c r="DK27" s="29">
        <v>0</v>
      </c>
      <c r="DL27" s="30">
        <f t="shared" si="57"/>
        <v>597</v>
      </c>
      <c r="DM27" s="28">
        <f>PRODUCTION!DN27+'SUPLIER INWARD'!DN27</f>
        <v>0</v>
      </c>
      <c r="DN27" s="28"/>
      <c r="DO27" s="29"/>
      <c r="DP27" s="30">
        <f t="shared" si="58"/>
        <v>597</v>
      </c>
      <c r="DQ27" s="28">
        <f>PRODUCTION!DR27+'SUPLIER INWARD'!DR27</f>
        <v>0</v>
      </c>
      <c r="DR27" s="28"/>
      <c r="DS27" s="29"/>
      <c r="DT27" s="30">
        <f t="shared" si="59"/>
        <v>597</v>
      </c>
      <c r="DU27" s="28">
        <f>PRODUCTION!DV27+'SUPLIER INWARD'!DV27</f>
        <v>0</v>
      </c>
      <c r="DV27" s="28"/>
      <c r="DW27" s="29"/>
      <c r="DX27" s="30">
        <f t="shared" si="60"/>
        <v>597</v>
      </c>
      <c r="DY27" s="31">
        <f t="shared" si="61"/>
        <v>0</v>
      </c>
      <c r="DZ27" s="31">
        <f t="shared" si="62"/>
        <v>867</v>
      </c>
      <c r="EA27" s="4">
        <f t="shared" si="63"/>
        <v>0</v>
      </c>
      <c r="EB27" s="9">
        <f>D27*'MASTER SHEET'!D27</f>
        <v>38781.360000000001</v>
      </c>
      <c r="EC27" s="9">
        <f>H27*'MASTER SHEET'!D27</f>
        <v>17589.36</v>
      </c>
      <c r="ED27" s="9">
        <f>L27*'MASTER SHEET'!D27</f>
        <v>17589.36</v>
      </c>
      <c r="EE27" s="9">
        <f>P27*'MASTER SHEET'!D27</f>
        <v>17589.36</v>
      </c>
      <c r="EF27" s="9">
        <f>T27*'MASTER SHEET'!D27</f>
        <v>17589.36</v>
      </c>
      <c r="EG27" s="9">
        <f>X27*'MASTER SHEET'!D27</f>
        <v>17589.36</v>
      </c>
      <c r="EH27" s="9">
        <f>AB27*'MASTER SHEET'!D27</f>
        <v>17589.36</v>
      </c>
      <c r="EI27" s="9">
        <f>AF27*'MASTER SHEET'!D27</f>
        <v>17589.36</v>
      </c>
      <c r="EJ27" s="9">
        <f>AJ27*'MASTER SHEET'!D27</f>
        <v>17589.36</v>
      </c>
      <c r="EK27" s="9">
        <f>AN27*'MASTER SHEET'!D27</f>
        <v>17589.36</v>
      </c>
      <c r="EL27" s="9">
        <f>AR27*'MASTER SHEET'!D27</f>
        <v>17589.36</v>
      </c>
      <c r="EM27" s="9">
        <f>AV27*'MASTER SHEET'!D27</f>
        <v>15814.529999999999</v>
      </c>
      <c r="EN27" s="9">
        <f>AZ27*'MASTER SHEET'!D27</f>
        <v>15814.529999999999</v>
      </c>
      <c r="EO27" s="9">
        <f>BD27*'MASTER SHEET'!D27</f>
        <v>15814.529999999999</v>
      </c>
      <c r="EP27" s="9">
        <f>$BH27*'MASTER SHEET'!$D27</f>
        <v>15814.529999999999</v>
      </c>
      <c r="EQ27" s="9">
        <f>BL27*'MASTER SHEET'!D27</f>
        <v>15814.529999999999</v>
      </c>
      <c r="ER27" s="9">
        <f>BP27*'MASTER SHEET'!D27</f>
        <v>15814.529999999999</v>
      </c>
      <c r="ES27" s="9">
        <f>BT27*'MASTER SHEET'!D27</f>
        <v>15814.529999999999</v>
      </c>
      <c r="ET27" s="9">
        <f>BX27*'MASTER SHEET'!D27</f>
        <v>15814.529999999999</v>
      </c>
      <c r="EU27" s="9">
        <f>CB27*'MASTER SHEET'!D27</f>
        <v>15814.529999999999</v>
      </c>
      <c r="EV27" s="9">
        <f>CF27*'MASTER SHEET'!D27</f>
        <v>15814.529999999999</v>
      </c>
      <c r="EW27" s="9">
        <f>CJ27*'MASTER SHEET'!D27</f>
        <v>15814.529999999999</v>
      </c>
      <c r="EX27" s="9">
        <f>CN27*'MASTER SHEET'!D27</f>
        <v>15814.529999999999</v>
      </c>
      <c r="EY27" s="9">
        <f>CR27*'MASTER SHEET'!D27</f>
        <v>15814.529999999999</v>
      </c>
      <c r="EZ27" s="9">
        <f>$CV27*'MASTER SHEET'!D27</f>
        <v>15814.529999999999</v>
      </c>
      <c r="FA27" s="9">
        <f>CZ27*'MASTER SHEET'!D27</f>
        <v>15814.529999999999</v>
      </c>
      <c r="FB27" s="9">
        <f>DD27*'MASTER SHEET'!D27</f>
        <v>15814.529999999999</v>
      </c>
      <c r="FC27" s="9">
        <f>DH27*'MASTER SHEET'!D27</f>
        <v>15814.529999999999</v>
      </c>
      <c r="FD27" s="9">
        <f>DL27*'MASTER SHEET'!D27</f>
        <v>15814.529999999999</v>
      </c>
      <c r="FE27" s="9">
        <f>DP27*'MASTER SHEET'!D27</f>
        <v>15814.529999999999</v>
      </c>
      <c r="FF27" s="9">
        <f>DT27*'MASTER SHEET'!D27</f>
        <v>15814.529999999999</v>
      </c>
      <c r="FG27" s="9">
        <f>+DX27*'MASTER SHEET'!D27</f>
        <v>15814.529999999999</v>
      </c>
    </row>
    <row r="28" spans="1:163" s="10" customFormat="1" ht="20.25" customHeight="1" x14ac:dyDescent="0.25">
      <c r="A28" s="25">
        <f>'MASTER SHEET'!A28</f>
        <v>26</v>
      </c>
      <c r="B28" s="26" t="str">
        <f>'MASTER SHEET'!B28</f>
        <v>CENTERTUBE</v>
      </c>
      <c r="C28" s="78">
        <f>'MASTER SHEET'!C28</f>
        <v>5019991</v>
      </c>
      <c r="D28" s="159">
        <v>97</v>
      </c>
      <c r="E28" s="28">
        <f>PRODUCTION!F28+'SUPLIER INWARD'!F28</f>
        <v>0</v>
      </c>
      <c r="F28" s="28"/>
      <c r="G28" s="29">
        <v>0</v>
      </c>
      <c r="H28" s="30">
        <f t="shared" si="30"/>
        <v>97</v>
      </c>
      <c r="I28" s="28">
        <f>PRODUCTION!J28+'SUPLIER INWARD'!J28</f>
        <v>0</v>
      </c>
      <c r="J28" s="28"/>
      <c r="K28" s="29">
        <v>0</v>
      </c>
      <c r="L28" s="30">
        <f t="shared" si="31"/>
        <v>97</v>
      </c>
      <c r="M28" s="28">
        <f>PRODUCTION!N28+'SUPLIER INWARD'!N28</f>
        <v>0</v>
      </c>
      <c r="N28" s="28"/>
      <c r="O28" s="29"/>
      <c r="P28" s="30">
        <f t="shared" si="32"/>
        <v>97</v>
      </c>
      <c r="Q28" s="28">
        <f>PRODUCTION!R28+'SUPLIER INWARD'!R28</f>
        <v>0</v>
      </c>
      <c r="R28" s="28"/>
      <c r="S28" s="29">
        <v>0</v>
      </c>
      <c r="T28" s="30">
        <f t="shared" si="33"/>
        <v>97</v>
      </c>
      <c r="U28" s="28">
        <f>PRODUCTION!V28+'SUPLIER INWARD'!V28</f>
        <v>0</v>
      </c>
      <c r="V28" s="28"/>
      <c r="W28" s="29">
        <v>0</v>
      </c>
      <c r="X28" s="30">
        <f t="shared" si="34"/>
        <v>97</v>
      </c>
      <c r="Y28" s="28">
        <f>PRODUCTION!Z28+'SUPLIER INWARD'!Z28</f>
        <v>0</v>
      </c>
      <c r="Z28" s="28"/>
      <c r="AA28" s="29">
        <v>0</v>
      </c>
      <c r="AB28" s="30">
        <f t="shared" si="35"/>
        <v>97</v>
      </c>
      <c r="AC28" s="28">
        <f>PRODUCTION!AD28+'SUPLIER INWARD'!AD28</f>
        <v>0</v>
      </c>
      <c r="AD28" s="28"/>
      <c r="AE28" s="29">
        <v>0</v>
      </c>
      <c r="AF28" s="30">
        <f t="shared" si="36"/>
        <v>97</v>
      </c>
      <c r="AG28" s="28">
        <f>PRODUCTION!AH28+'SUPLIER INWARD'!AH28</f>
        <v>0</v>
      </c>
      <c r="AH28" s="28"/>
      <c r="AI28" s="29">
        <v>0</v>
      </c>
      <c r="AJ28" s="30">
        <f t="shared" si="37"/>
        <v>97</v>
      </c>
      <c r="AK28" s="28">
        <f>PRODUCTION!AL28+'SUPLIER INWARD'!AL28</f>
        <v>0</v>
      </c>
      <c r="AL28" s="28"/>
      <c r="AM28" s="29">
        <v>0</v>
      </c>
      <c r="AN28" s="30">
        <f t="shared" si="38"/>
        <v>97</v>
      </c>
      <c r="AO28" s="28">
        <f>PRODUCTION!AP28+'SUPLIER INWARD'!AP28</f>
        <v>0</v>
      </c>
      <c r="AP28" s="28"/>
      <c r="AQ28" s="29">
        <v>0</v>
      </c>
      <c r="AR28" s="30">
        <f t="shared" si="39"/>
        <v>97</v>
      </c>
      <c r="AS28" s="28">
        <f>PRODUCTION!AT28+'SUPLIER INWARD'!AT28</f>
        <v>0</v>
      </c>
      <c r="AT28" s="28"/>
      <c r="AU28" s="29">
        <v>0</v>
      </c>
      <c r="AV28" s="30">
        <f t="shared" si="40"/>
        <v>97</v>
      </c>
      <c r="AW28" s="28">
        <f>PRODUCTION!AX28+'SUPLIER INWARD'!AX28</f>
        <v>0</v>
      </c>
      <c r="AX28" s="28"/>
      <c r="AY28" s="29"/>
      <c r="AZ28" s="30">
        <f t="shared" si="41"/>
        <v>97</v>
      </c>
      <c r="BA28" s="28">
        <f>PRODUCTION!BB28+'SUPLIER INWARD'!BB28</f>
        <v>0</v>
      </c>
      <c r="BB28" s="28"/>
      <c r="BC28" s="29">
        <v>0</v>
      </c>
      <c r="BD28" s="30">
        <f t="shared" si="42"/>
        <v>97</v>
      </c>
      <c r="BE28" s="28">
        <f>PRODUCTION!BF28+'SUPLIER INWARD'!BF28</f>
        <v>0</v>
      </c>
      <c r="BF28" s="28"/>
      <c r="BG28" s="29">
        <v>0</v>
      </c>
      <c r="BH28" s="30">
        <f t="shared" si="43"/>
        <v>97</v>
      </c>
      <c r="BI28" s="28">
        <f>PRODUCTION!BJ28+'SUPLIER INWARD'!BJ28</f>
        <v>0</v>
      </c>
      <c r="BJ28" s="28"/>
      <c r="BK28" s="29">
        <v>0</v>
      </c>
      <c r="BL28" s="30">
        <f t="shared" si="44"/>
        <v>97</v>
      </c>
      <c r="BM28" s="28">
        <f>PRODUCTION!BN28+'SUPLIER INWARD'!BN28</f>
        <v>0</v>
      </c>
      <c r="BN28" s="151"/>
      <c r="BO28" s="29">
        <v>0</v>
      </c>
      <c r="BP28" s="30">
        <f t="shared" si="45"/>
        <v>97</v>
      </c>
      <c r="BQ28" s="28">
        <f>PRODUCTION!BR28+'SUPLIER INWARD'!BR28</f>
        <v>0</v>
      </c>
      <c r="BR28" s="28"/>
      <c r="BS28" s="29">
        <v>0</v>
      </c>
      <c r="BT28" s="30">
        <f t="shared" si="46"/>
        <v>97</v>
      </c>
      <c r="BU28" s="28">
        <f>PRODUCTION!BV28+'SUPLIER INWARD'!BV28</f>
        <v>0</v>
      </c>
      <c r="BV28" s="151"/>
      <c r="BW28" s="29">
        <v>0</v>
      </c>
      <c r="BX28" s="30">
        <f t="shared" si="47"/>
        <v>97</v>
      </c>
      <c r="BY28" s="28">
        <f>PRODUCTION!BZ28+'SUPLIER INWARD'!BZ28</f>
        <v>0</v>
      </c>
      <c r="BZ28" s="28"/>
      <c r="CA28" s="29">
        <v>0</v>
      </c>
      <c r="CB28" s="30">
        <f t="shared" si="48"/>
        <v>97</v>
      </c>
      <c r="CC28" s="28">
        <f>PRODUCTION!CD28+'SUPLIER INWARD'!CD28</f>
        <v>0</v>
      </c>
      <c r="CD28" s="28"/>
      <c r="CE28" s="29">
        <v>0</v>
      </c>
      <c r="CF28" s="30">
        <f t="shared" si="49"/>
        <v>97</v>
      </c>
      <c r="CG28" s="28">
        <f>PRODUCTION!CH28+'SUPLIER INWARD'!CH28</f>
        <v>0</v>
      </c>
      <c r="CH28" s="28"/>
      <c r="CI28" s="29">
        <v>0</v>
      </c>
      <c r="CJ28" s="30">
        <f t="shared" si="50"/>
        <v>97</v>
      </c>
      <c r="CK28" s="28">
        <f>PRODUCTION!CL28+'SUPLIER INWARD'!CL28</f>
        <v>0</v>
      </c>
      <c r="CL28" s="153"/>
      <c r="CM28" s="152">
        <v>0</v>
      </c>
      <c r="CN28" s="30">
        <f t="shared" si="51"/>
        <v>97</v>
      </c>
      <c r="CO28" s="28">
        <f>PRODUCTION!CP28+'SUPLIER INWARD'!CP28</f>
        <v>0</v>
      </c>
      <c r="CP28" s="151"/>
      <c r="CQ28" s="29">
        <v>0</v>
      </c>
      <c r="CR28" s="30">
        <f t="shared" si="52"/>
        <v>97</v>
      </c>
      <c r="CS28" s="28">
        <f>PRODUCTION!CT28+'SUPLIER INWARD'!CT28</f>
        <v>0</v>
      </c>
      <c r="CT28" s="28"/>
      <c r="CU28" s="29">
        <v>0</v>
      </c>
      <c r="CV28" s="30">
        <f t="shared" si="53"/>
        <v>97</v>
      </c>
      <c r="CW28" s="28">
        <f>PRODUCTION!CX28+'SUPLIER INWARD'!CX28</f>
        <v>0</v>
      </c>
      <c r="CX28" s="28"/>
      <c r="CY28" s="29">
        <v>0</v>
      </c>
      <c r="CZ28" s="30">
        <f t="shared" si="54"/>
        <v>97</v>
      </c>
      <c r="DA28" s="28">
        <f>PRODUCTION!DB28+'SUPLIER INWARD'!DB28</f>
        <v>0</v>
      </c>
      <c r="DB28" s="28"/>
      <c r="DC28" s="29"/>
      <c r="DD28" s="30">
        <f t="shared" si="55"/>
        <v>97</v>
      </c>
      <c r="DE28" s="28">
        <f>PRODUCTION!DF28+'SUPLIER INWARD'!DF28</f>
        <v>0</v>
      </c>
      <c r="DF28" s="28"/>
      <c r="DG28" s="29">
        <v>0</v>
      </c>
      <c r="DH28" s="30">
        <f t="shared" si="56"/>
        <v>97</v>
      </c>
      <c r="DI28" s="28">
        <f>PRODUCTION!DJ28+'SUPLIER INWARD'!DJ28</f>
        <v>0</v>
      </c>
      <c r="DJ28" s="28"/>
      <c r="DK28" s="29">
        <v>0</v>
      </c>
      <c r="DL28" s="30">
        <f t="shared" si="57"/>
        <v>97</v>
      </c>
      <c r="DM28" s="28">
        <f>PRODUCTION!DN28+'SUPLIER INWARD'!DN28</f>
        <v>0</v>
      </c>
      <c r="DN28" s="28"/>
      <c r="DO28" s="29"/>
      <c r="DP28" s="30">
        <f t="shared" si="58"/>
        <v>97</v>
      </c>
      <c r="DQ28" s="28">
        <f>PRODUCTION!DR28+'SUPLIER INWARD'!DR28</f>
        <v>0</v>
      </c>
      <c r="DR28" s="28"/>
      <c r="DS28" s="29"/>
      <c r="DT28" s="30">
        <f t="shared" si="59"/>
        <v>97</v>
      </c>
      <c r="DU28" s="28">
        <f>PRODUCTION!DV28+'SUPLIER INWARD'!DV28</f>
        <v>0</v>
      </c>
      <c r="DV28" s="28"/>
      <c r="DW28" s="29"/>
      <c r="DX28" s="30">
        <f t="shared" si="60"/>
        <v>97</v>
      </c>
      <c r="DY28" s="31">
        <f t="shared" si="61"/>
        <v>0</v>
      </c>
      <c r="DZ28" s="31">
        <f t="shared" si="62"/>
        <v>0</v>
      </c>
      <c r="EA28" s="4">
        <f t="shared" si="63"/>
        <v>0</v>
      </c>
      <c r="EB28" s="9">
        <f>D28*'MASTER SHEET'!D28</f>
        <v>1112.5900000000001</v>
      </c>
      <c r="EC28" s="9">
        <f>H28*'MASTER SHEET'!D28</f>
        <v>1112.5900000000001</v>
      </c>
      <c r="ED28" s="9">
        <f>L28*'MASTER SHEET'!D28</f>
        <v>1112.5900000000001</v>
      </c>
      <c r="EE28" s="9">
        <f>P28*'MASTER SHEET'!D28</f>
        <v>1112.5900000000001</v>
      </c>
      <c r="EF28" s="9">
        <f>T28*'MASTER SHEET'!D28</f>
        <v>1112.5900000000001</v>
      </c>
      <c r="EG28" s="9">
        <f>X28*'MASTER SHEET'!D28</f>
        <v>1112.5900000000001</v>
      </c>
      <c r="EH28" s="9">
        <f>AB28*'MASTER SHEET'!D28</f>
        <v>1112.5900000000001</v>
      </c>
      <c r="EI28" s="9">
        <f>AF28*'MASTER SHEET'!D28</f>
        <v>1112.5900000000001</v>
      </c>
      <c r="EJ28" s="9">
        <f>AJ28*'MASTER SHEET'!D28</f>
        <v>1112.5900000000001</v>
      </c>
      <c r="EK28" s="9">
        <f>AN28*'MASTER SHEET'!D28</f>
        <v>1112.5900000000001</v>
      </c>
      <c r="EL28" s="9">
        <f>AR28*'MASTER SHEET'!D28</f>
        <v>1112.5900000000001</v>
      </c>
      <c r="EM28" s="9">
        <f>AV28*'MASTER SHEET'!D28</f>
        <v>1112.5900000000001</v>
      </c>
      <c r="EN28" s="9">
        <f>AZ28*'MASTER SHEET'!D28</f>
        <v>1112.5900000000001</v>
      </c>
      <c r="EO28" s="9">
        <f>BD28*'MASTER SHEET'!D28</f>
        <v>1112.5900000000001</v>
      </c>
      <c r="EP28" s="9">
        <f>$BH28*'MASTER SHEET'!$D28</f>
        <v>1112.5900000000001</v>
      </c>
      <c r="EQ28" s="9">
        <f>BL28*'MASTER SHEET'!D28</f>
        <v>1112.5900000000001</v>
      </c>
      <c r="ER28" s="9">
        <f>BP28*'MASTER SHEET'!D28</f>
        <v>1112.5900000000001</v>
      </c>
      <c r="ES28" s="9">
        <f>BT28*'MASTER SHEET'!D28</f>
        <v>1112.5900000000001</v>
      </c>
      <c r="ET28" s="9">
        <f>BX28*'MASTER SHEET'!D28</f>
        <v>1112.5900000000001</v>
      </c>
      <c r="EU28" s="9">
        <f>CB28*'MASTER SHEET'!D28</f>
        <v>1112.5900000000001</v>
      </c>
      <c r="EV28" s="9">
        <f>CF28*'MASTER SHEET'!D28</f>
        <v>1112.5900000000001</v>
      </c>
      <c r="EW28" s="9">
        <f>CJ28*'MASTER SHEET'!D28</f>
        <v>1112.5900000000001</v>
      </c>
      <c r="EX28" s="9">
        <f>CN28*'MASTER SHEET'!D28</f>
        <v>1112.5900000000001</v>
      </c>
      <c r="EY28" s="9">
        <f>CR28*'MASTER SHEET'!D28</f>
        <v>1112.5900000000001</v>
      </c>
      <c r="EZ28" s="9">
        <f>$CV28*'MASTER SHEET'!D28</f>
        <v>1112.5900000000001</v>
      </c>
      <c r="FA28" s="9">
        <f>CZ28*'MASTER SHEET'!D28</f>
        <v>1112.5900000000001</v>
      </c>
      <c r="FB28" s="9">
        <f>DD28*'MASTER SHEET'!D28</f>
        <v>1112.5900000000001</v>
      </c>
      <c r="FC28" s="9">
        <f>DH28*'MASTER SHEET'!D28</f>
        <v>1112.5900000000001</v>
      </c>
      <c r="FD28" s="9">
        <f>DL28*'MASTER SHEET'!D28</f>
        <v>1112.5900000000001</v>
      </c>
      <c r="FE28" s="9">
        <f>DP28*'MASTER SHEET'!D28</f>
        <v>1112.5900000000001</v>
      </c>
      <c r="FF28" s="9">
        <f>DT28*'MASTER SHEET'!D28</f>
        <v>1112.5900000000001</v>
      </c>
      <c r="FG28" s="9">
        <f>+DX28*'MASTER SHEET'!D28</f>
        <v>1112.5900000000001</v>
      </c>
    </row>
    <row r="29" spans="1:163" ht="20.25" customHeight="1" x14ac:dyDescent="0.25">
      <c r="A29" s="25">
        <f>'MASTER SHEET'!A29</f>
        <v>27</v>
      </c>
      <c r="B29" s="26" t="str">
        <f>'MASTER SHEET'!B29</f>
        <v>LID HOUSING CRANKCASE</v>
      </c>
      <c r="C29" s="78">
        <f>'MASTER SHEET'!C29</f>
        <v>5022550</v>
      </c>
      <c r="D29" s="159">
        <v>41</v>
      </c>
      <c r="E29" s="28">
        <f>PRODUCTION!F29+'SUPLIER INWARD'!F29</f>
        <v>0</v>
      </c>
      <c r="F29" s="28"/>
      <c r="G29" s="29">
        <v>0</v>
      </c>
      <c r="H29" s="30">
        <f t="shared" si="30"/>
        <v>41</v>
      </c>
      <c r="I29" s="28">
        <f>PRODUCTION!J29+'SUPLIER INWARD'!J29</f>
        <v>0</v>
      </c>
      <c r="J29" s="28"/>
      <c r="K29" s="29">
        <v>0</v>
      </c>
      <c r="L29" s="30">
        <f t="shared" si="31"/>
        <v>41</v>
      </c>
      <c r="M29" s="28">
        <f>PRODUCTION!N29+'SUPLIER INWARD'!N29</f>
        <v>0</v>
      </c>
      <c r="N29" s="28"/>
      <c r="O29" s="29"/>
      <c r="P29" s="30">
        <f t="shared" si="32"/>
        <v>41</v>
      </c>
      <c r="Q29" s="28">
        <f>PRODUCTION!R29+'SUPLIER INWARD'!R29</f>
        <v>0</v>
      </c>
      <c r="R29" s="28"/>
      <c r="S29" s="29">
        <v>0</v>
      </c>
      <c r="T29" s="30">
        <f t="shared" si="33"/>
        <v>41</v>
      </c>
      <c r="U29" s="28">
        <f>PRODUCTION!V29+'SUPLIER INWARD'!V29</f>
        <v>0</v>
      </c>
      <c r="V29" s="28"/>
      <c r="W29" s="29">
        <v>0</v>
      </c>
      <c r="X29" s="30">
        <f t="shared" si="34"/>
        <v>41</v>
      </c>
      <c r="Y29" s="28">
        <f>PRODUCTION!Z29+'SUPLIER INWARD'!Z29</f>
        <v>0</v>
      </c>
      <c r="Z29" s="28"/>
      <c r="AA29" s="29">
        <v>0</v>
      </c>
      <c r="AB29" s="30">
        <f t="shared" si="35"/>
        <v>41</v>
      </c>
      <c r="AC29" s="28">
        <f>PRODUCTION!AD29+'SUPLIER INWARD'!AD29</f>
        <v>0</v>
      </c>
      <c r="AD29" s="28"/>
      <c r="AE29" s="29">
        <v>0</v>
      </c>
      <c r="AF29" s="30">
        <f t="shared" si="36"/>
        <v>41</v>
      </c>
      <c r="AG29" s="28">
        <f>PRODUCTION!AH29+'SUPLIER INWARD'!AH29</f>
        <v>661</v>
      </c>
      <c r="AH29" s="28"/>
      <c r="AI29" s="29">
        <v>0</v>
      </c>
      <c r="AJ29" s="30">
        <f t="shared" si="37"/>
        <v>702</v>
      </c>
      <c r="AK29" s="28">
        <f>PRODUCTION!AL29+'SUPLIER INWARD'!AL29</f>
        <v>516</v>
      </c>
      <c r="AL29" s="28">
        <v>450</v>
      </c>
      <c r="AM29" s="29">
        <v>12</v>
      </c>
      <c r="AN29" s="30">
        <f t="shared" si="38"/>
        <v>756</v>
      </c>
      <c r="AO29" s="28">
        <f>PRODUCTION!AP29+'SUPLIER INWARD'!AP29</f>
        <v>320</v>
      </c>
      <c r="AP29" s="28"/>
      <c r="AQ29" s="29">
        <v>0</v>
      </c>
      <c r="AR29" s="30">
        <f t="shared" si="39"/>
        <v>1076</v>
      </c>
      <c r="AS29" s="28">
        <f>PRODUCTION!AT29+'SUPLIER INWARD'!AT29</f>
        <v>0</v>
      </c>
      <c r="AT29" s="28">
        <v>300</v>
      </c>
      <c r="AU29" s="29">
        <v>0</v>
      </c>
      <c r="AV29" s="30">
        <f t="shared" si="40"/>
        <v>776</v>
      </c>
      <c r="AW29" s="28">
        <f>PRODUCTION!AX29+'SUPLIER INWARD'!AX29</f>
        <v>0</v>
      </c>
      <c r="AX29" s="28"/>
      <c r="AY29" s="29"/>
      <c r="AZ29" s="30">
        <f t="shared" si="41"/>
        <v>776</v>
      </c>
      <c r="BA29" s="28">
        <f>PRODUCTION!BB29+'SUPLIER INWARD'!BB29</f>
        <v>0</v>
      </c>
      <c r="BB29" s="28">
        <v>400</v>
      </c>
      <c r="BC29" s="29">
        <v>1</v>
      </c>
      <c r="BD29" s="30">
        <f t="shared" si="42"/>
        <v>375</v>
      </c>
      <c r="BE29" s="28">
        <f>PRODUCTION!BF29+'SUPLIER INWARD'!BF29</f>
        <v>0</v>
      </c>
      <c r="BF29" s="28">
        <v>200</v>
      </c>
      <c r="BG29" s="29">
        <v>14</v>
      </c>
      <c r="BH29" s="30">
        <f t="shared" si="43"/>
        <v>161</v>
      </c>
      <c r="BI29" s="28">
        <f>PRODUCTION!BJ29+'SUPLIER INWARD'!BJ29</f>
        <v>0</v>
      </c>
      <c r="BJ29" s="28"/>
      <c r="BK29" s="29">
        <v>0</v>
      </c>
      <c r="BL29" s="30">
        <f t="shared" si="44"/>
        <v>161</v>
      </c>
      <c r="BM29" s="28">
        <f>PRODUCTION!BN29+'SUPLIER INWARD'!BN29</f>
        <v>0</v>
      </c>
      <c r="BN29" s="28"/>
      <c r="BO29" s="29">
        <v>0</v>
      </c>
      <c r="BP29" s="30">
        <f t="shared" si="45"/>
        <v>161</v>
      </c>
      <c r="BQ29" s="28">
        <f>PRODUCTION!BR29+'SUPLIER INWARD'!BR29</f>
        <v>0</v>
      </c>
      <c r="BR29" s="28"/>
      <c r="BS29" s="29">
        <v>0</v>
      </c>
      <c r="BT29" s="30">
        <f t="shared" si="46"/>
        <v>161</v>
      </c>
      <c r="BU29" s="28">
        <f>PRODUCTION!BV29+'SUPLIER INWARD'!BV29</f>
        <v>0</v>
      </c>
      <c r="BV29" s="28"/>
      <c r="BW29" s="29">
        <v>0</v>
      </c>
      <c r="BX29" s="30">
        <f t="shared" si="47"/>
        <v>161</v>
      </c>
      <c r="BY29" s="28">
        <f>PRODUCTION!BZ29+'SUPLIER INWARD'!BZ29</f>
        <v>0</v>
      </c>
      <c r="BZ29" s="28"/>
      <c r="CA29" s="29">
        <v>0</v>
      </c>
      <c r="CB29" s="30">
        <f t="shared" si="48"/>
        <v>161</v>
      </c>
      <c r="CC29" s="28">
        <f>PRODUCTION!CD29+'SUPLIER INWARD'!CD29</f>
        <v>0</v>
      </c>
      <c r="CD29" s="28"/>
      <c r="CE29" s="29">
        <v>0</v>
      </c>
      <c r="CF29" s="30">
        <f t="shared" si="49"/>
        <v>161</v>
      </c>
      <c r="CG29" s="28">
        <f>PRODUCTION!CH29+'SUPLIER INWARD'!CH29</f>
        <v>0</v>
      </c>
      <c r="CH29" s="28"/>
      <c r="CI29" s="29">
        <v>0</v>
      </c>
      <c r="CJ29" s="30">
        <f t="shared" si="50"/>
        <v>161</v>
      </c>
      <c r="CK29" s="28">
        <f>PRODUCTION!CL29+'SUPLIER INWARD'!CL29</f>
        <v>0</v>
      </c>
      <c r="CL29" s="151"/>
      <c r="CM29" s="152">
        <v>0</v>
      </c>
      <c r="CN29" s="30">
        <f t="shared" si="51"/>
        <v>161</v>
      </c>
      <c r="CO29" s="28">
        <f>PRODUCTION!CP29+'SUPLIER INWARD'!CP29</f>
        <v>0</v>
      </c>
      <c r="CP29" s="151"/>
      <c r="CQ29" s="29">
        <v>0</v>
      </c>
      <c r="CR29" s="30">
        <f t="shared" si="52"/>
        <v>161</v>
      </c>
      <c r="CS29" s="28">
        <f>PRODUCTION!CT29+'SUPLIER INWARD'!CT29</f>
        <v>0</v>
      </c>
      <c r="CT29" s="28"/>
      <c r="CU29" s="29">
        <v>0</v>
      </c>
      <c r="CV29" s="30">
        <f t="shared" si="53"/>
        <v>161</v>
      </c>
      <c r="CW29" s="28">
        <f>PRODUCTION!CX29+'SUPLIER INWARD'!CX29</f>
        <v>0</v>
      </c>
      <c r="CX29" s="28"/>
      <c r="CY29" s="29">
        <v>0</v>
      </c>
      <c r="CZ29" s="30">
        <f t="shared" si="54"/>
        <v>161</v>
      </c>
      <c r="DA29" s="28">
        <f>PRODUCTION!DB29+'SUPLIER INWARD'!DB29</f>
        <v>0</v>
      </c>
      <c r="DB29" s="28"/>
      <c r="DC29" s="29"/>
      <c r="DD29" s="30">
        <f t="shared" si="55"/>
        <v>161</v>
      </c>
      <c r="DE29" s="28">
        <f>PRODUCTION!DF29+'SUPLIER INWARD'!DF29</f>
        <v>0</v>
      </c>
      <c r="DF29" s="28"/>
      <c r="DG29" s="29">
        <v>0</v>
      </c>
      <c r="DH29" s="30">
        <f t="shared" si="56"/>
        <v>161</v>
      </c>
      <c r="DI29" s="28">
        <f>PRODUCTION!DJ29+'SUPLIER INWARD'!DJ29</f>
        <v>0</v>
      </c>
      <c r="DJ29" s="28"/>
      <c r="DK29" s="29">
        <v>0</v>
      </c>
      <c r="DL29" s="30">
        <f t="shared" si="57"/>
        <v>161</v>
      </c>
      <c r="DM29" s="28">
        <f>PRODUCTION!DN29+'SUPLIER INWARD'!DN29</f>
        <v>0</v>
      </c>
      <c r="DN29" s="28"/>
      <c r="DO29" s="29"/>
      <c r="DP29" s="30">
        <f t="shared" si="58"/>
        <v>161</v>
      </c>
      <c r="DQ29" s="28">
        <f>PRODUCTION!DR29+'SUPLIER INWARD'!DR29</f>
        <v>0</v>
      </c>
      <c r="DR29" s="28"/>
      <c r="DS29" s="29"/>
      <c r="DT29" s="30">
        <f t="shared" si="59"/>
        <v>161</v>
      </c>
      <c r="DU29" s="28">
        <f>PRODUCTION!DV29+'SUPLIER INWARD'!DV29</f>
        <v>0</v>
      </c>
      <c r="DV29" s="28"/>
      <c r="DW29" s="29"/>
      <c r="DX29" s="30">
        <f t="shared" si="60"/>
        <v>161</v>
      </c>
      <c r="DY29" s="31">
        <f t="shared" si="61"/>
        <v>1497</v>
      </c>
      <c r="DZ29" s="31">
        <f t="shared" si="62"/>
        <v>1350</v>
      </c>
      <c r="EA29" s="4">
        <f t="shared" si="63"/>
        <v>27</v>
      </c>
      <c r="EB29" s="9">
        <f>D29*'MASTER SHEET'!D29</f>
        <v>1647.79</v>
      </c>
      <c r="EC29" s="9">
        <f>H29*'MASTER SHEET'!D29</f>
        <v>1647.79</v>
      </c>
      <c r="ED29" s="9">
        <f>L29*'MASTER SHEET'!D29</f>
        <v>1647.79</v>
      </c>
      <c r="EE29" s="9">
        <f>P29*'MASTER SHEET'!D29</f>
        <v>1647.79</v>
      </c>
      <c r="EF29" s="9">
        <f>T29*'MASTER SHEET'!D29</f>
        <v>1647.79</v>
      </c>
      <c r="EG29" s="9">
        <f>X29*'MASTER SHEET'!D29</f>
        <v>1647.79</v>
      </c>
      <c r="EH29" s="9">
        <f>AB29*'MASTER SHEET'!D29</f>
        <v>1647.79</v>
      </c>
      <c r="EI29" s="9">
        <f>AF29*'MASTER SHEET'!D29</f>
        <v>1647.79</v>
      </c>
      <c r="EJ29" s="9">
        <f>AJ29*'MASTER SHEET'!D29</f>
        <v>28213.379999999997</v>
      </c>
      <c r="EK29" s="9">
        <f>AN29*'MASTER SHEET'!D29</f>
        <v>30383.64</v>
      </c>
      <c r="EL29" s="9">
        <f>AR29*'MASTER SHEET'!D29</f>
        <v>43244.439999999995</v>
      </c>
      <c r="EM29" s="9">
        <f>AV29*'MASTER SHEET'!D29</f>
        <v>31187.439999999999</v>
      </c>
      <c r="EN29" s="9">
        <f>AZ29*'MASTER SHEET'!D29</f>
        <v>31187.439999999999</v>
      </c>
      <c r="EO29" s="9">
        <f>BD29*'MASTER SHEET'!D29</f>
        <v>15071.25</v>
      </c>
      <c r="EP29" s="9">
        <f>$BH29*'MASTER SHEET'!$D29</f>
        <v>6470.5899999999992</v>
      </c>
      <c r="EQ29" s="9">
        <f>BL29*'MASTER SHEET'!D29</f>
        <v>6470.5899999999992</v>
      </c>
      <c r="ER29" s="9">
        <f>BP29*'MASTER SHEET'!D29</f>
        <v>6470.5899999999992</v>
      </c>
      <c r="ES29" s="9">
        <f>BT29*'MASTER SHEET'!D29</f>
        <v>6470.5899999999992</v>
      </c>
      <c r="ET29" s="9">
        <f>BX29*'MASTER SHEET'!D29</f>
        <v>6470.5899999999992</v>
      </c>
      <c r="EU29" s="9">
        <f>CB29*'MASTER SHEET'!D29</f>
        <v>6470.5899999999992</v>
      </c>
      <c r="EV29" s="9">
        <f>CF29*'MASTER SHEET'!D29</f>
        <v>6470.5899999999992</v>
      </c>
      <c r="EW29" s="9">
        <f>CJ29*'MASTER SHEET'!D29</f>
        <v>6470.5899999999992</v>
      </c>
      <c r="EX29" s="9">
        <f>CN29*'MASTER SHEET'!D29</f>
        <v>6470.5899999999992</v>
      </c>
      <c r="EY29" s="9">
        <f>CR29*'MASTER SHEET'!D29</f>
        <v>6470.5899999999992</v>
      </c>
      <c r="EZ29" s="9">
        <f>$CV29*'MASTER SHEET'!D29</f>
        <v>6470.5899999999992</v>
      </c>
      <c r="FA29" s="9">
        <f>CZ29*'MASTER SHEET'!D29</f>
        <v>6470.5899999999992</v>
      </c>
      <c r="FB29" s="9">
        <f>DD29*'MASTER SHEET'!D29</f>
        <v>6470.5899999999992</v>
      </c>
      <c r="FC29" s="9">
        <f>DH29*'MASTER SHEET'!D29</f>
        <v>6470.5899999999992</v>
      </c>
      <c r="FD29" s="9">
        <f>DL29*'MASTER SHEET'!D29</f>
        <v>6470.5899999999992</v>
      </c>
      <c r="FE29" s="9">
        <f>DP29*'MASTER SHEET'!D29</f>
        <v>6470.5899999999992</v>
      </c>
      <c r="FF29" s="9">
        <f>DT29*'MASTER SHEET'!D29</f>
        <v>6470.5899999999992</v>
      </c>
      <c r="FG29" s="9">
        <f>+DX29*'MASTER SHEET'!D29</f>
        <v>6470.5899999999992</v>
      </c>
    </row>
    <row r="30" spans="1:163" ht="20.25" customHeight="1" x14ac:dyDescent="0.25">
      <c r="A30" s="25">
        <f>'MASTER SHEET'!A30</f>
        <v>28</v>
      </c>
      <c r="B30" s="26" t="str">
        <f>'MASTER SHEET'!B30</f>
        <v>END PLATE PLASTIC</v>
      </c>
      <c r="C30" s="78">
        <f>'MASTER SHEET'!C30</f>
        <v>5023380</v>
      </c>
      <c r="D30" s="159">
        <v>9750</v>
      </c>
      <c r="E30" s="28">
        <f>PRODUCTION!F30+'SUPLIER INWARD'!F30</f>
        <v>0</v>
      </c>
      <c r="F30" s="28"/>
      <c r="G30" s="29">
        <v>0</v>
      </c>
      <c r="H30" s="30">
        <f t="shared" si="30"/>
        <v>9750</v>
      </c>
      <c r="I30" s="28">
        <f>PRODUCTION!J30+'SUPLIER INWARD'!J30</f>
        <v>0</v>
      </c>
      <c r="J30" s="28"/>
      <c r="K30" s="29">
        <v>0</v>
      </c>
      <c r="L30" s="30">
        <f t="shared" si="31"/>
        <v>9750</v>
      </c>
      <c r="M30" s="28">
        <f>PRODUCTION!N30+'SUPLIER INWARD'!N30</f>
        <v>0</v>
      </c>
      <c r="N30" s="28"/>
      <c r="O30" s="29"/>
      <c r="P30" s="30">
        <f t="shared" si="32"/>
        <v>9750</v>
      </c>
      <c r="Q30" s="28">
        <f>PRODUCTION!R30+'SUPLIER INWARD'!R30</f>
        <v>0</v>
      </c>
      <c r="R30" s="28"/>
      <c r="S30" s="29">
        <v>0</v>
      </c>
      <c r="T30" s="30">
        <f t="shared" si="33"/>
        <v>9750</v>
      </c>
      <c r="U30" s="28">
        <f>PRODUCTION!V30+'SUPLIER INWARD'!V30</f>
        <v>0</v>
      </c>
      <c r="V30" s="28">
        <v>800</v>
      </c>
      <c r="W30" s="29">
        <v>13</v>
      </c>
      <c r="X30" s="30">
        <f t="shared" si="34"/>
        <v>8937</v>
      </c>
      <c r="Y30" s="28">
        <f>PRODUCTION!Z30+'SUPLIER INWARD'!Z30</f>
        <v>0</v>
      </c>
      <c r="Z30" s="28">
        <v>1700</v>
      </c>
      <c r="AA30" s="29">
        <v>59</v>
      </c>
      <c r="AB30" s="30">
        <f t="shared" si="35"/>
        <v>7178</v>
      </c>
      <c r="AC30" s="28">
        <f>PRODUCTION!AD30+'SUPLIER INWARD'!AD30</f>
        <v>0</v>
      </c>
      <c r="AD30" s="28"/>
      <c r="AE30" s="29">
        <v>0</v>
      </c>
      <c r="AF30" s="30">
        <f t="shared" si="36"/>
        <v>7178</v>
      </c>
      <c r="AG30" s="28">
        <f>PRODUCTION!AH30+'SUPLIER INWARD'!AH30</f>
        <v>0</v>
      </c>
      <c r="AH30" s="28"/>
      <c r="AI30" s="29">
        <v>0</v>
      </c>
      <c r="AJ30" s="30">
        <f t="shared" si="37"/>
        <v>7178</v>
      </c>
      <c r="AK30" s="28">
        <f>PRODUCTION!AL30+'SUPLIER INWARD'!AL30</f>
        <v>0</v>
      </c>
      <c r="AL30" s="28">
        <v>1300</v>
      </c>
      <c r="AM30" s="29">
        <v>9</v>
      </c>
      <c r="AN30" s="30">
        <f t="shared" si="38"/>
        <v>5869</v>
      </c>
      <c r="AO30" s="28">
        <f>PRODUCTION!AP30+'SUPLIER INWARD'!AP30</f>
        <v>0</v>
      </c>
      <c r="AP30" s="28">
        <v>1300</v>
      </c>
      <c r="AQ30" s="29">
        <v>9</v>
      </c>
      <c r="AR30" s="30">
        <f t="shared" si="39"/>
        <v>4560</v>
      </c>
      <c r="AS30" s="28">
        <f>PRODUCTION!AT30+'SUPLIER INWARD'!AT30</f>
        <v>0</v>
      </c>
      <c r="AT30" s="28">
        <v>700</v>
      </c>
      <c r="AU30" s="29">
        <v>0</v>
      </c>
      <c r="AV30" s="30">
        <f t="shared" si="40"/>
        <v>3860</v>
      </c>
      <c r="AW30" s="28">
        <f>PRODUCTION!AX30+'SUPLIER INWARD'!AX30</f>
        <v>0</v>
      </c>
      <c r="AX30" s="28"/>
      <c r="AY30" s="29"/>
      <c r="AZ30" s="30">
        <f t="shared" si="41"/>
        <v>3860</v>
      </c>
      <c r="BA30" s="28">
        <f>PRODUCTION!BB30+'SUPLIER INWARD'!BB30</f>
        <v>0</v>
      </c>
      <c r="BB30" s="28">
        <v>900</v>
      </c>
      <c r="BC30" s="29">
        <v>38</v>
      </c>
      <c r="BD30" s="30">
        <f t="shared" si="42"/>
        <v>2922</v>
      </c>
      <c r="BE30" s="28">
        <f>PRODUCTION!BF30+'SUPLIER INWARD'!BF30</f>
        <v>0</v>
      </c>
      <c r="BF30" s="28">
        <v>800</v>
      </c>
      <c r="BG30" s="29">
        <v>4</v>
      </c>
      <c r="BH30" s="30">
        <f t="shared" si="43"/>
        <v>2118</v>
      </c>
      <c r="BI30" s="28">
        <f>PRODUCTION!BJ30+'SUPLIER INWARD'!BJ30</f>
        <v>0</v>
      </c>
      <c r="BJ30" s="28">
        <v>1500</v>
      </c>
      <c r="BK30" s="29">
        <v>13</v>
      </c>
      <c r="BL30" s="30">
        <f t="shared" si="44"/>
        <v>605</v>
      </c>
      <c r="BM30" s="28">
        <f>PRODUCTION!BN30+'SUPLIER INWARD'!BN30</f>
        <v>0</v>
      </c>
      <c r="BN30" s="151"/>
      <c r="BO30" s="29">
        <v>0</v>
      </c>
      <c r="BP30" s="30">
        <f t="shared" si="45"/>
        <v>605</v>
      </c>
      <c r="BQ30" s="28">
        <f>PRODUCTION!BR30+'SUPLIER INWARD'!BR30</f>
        <v>908</v>
      </c>
      <c r="BR30" s="28">
        <v>700</v>
      </c>
      <c r="BS30" s="29">
        <v>15</v>
      </c>
      <c r="BT30" s="30">
        <f t="shared" si="46"/>
        <v>798</v>
      </c>
      <c r="BU30" s="28">
        <f>PRODUCTION!BV30+'SUPLIER INWARD'!BV30</f>
        <v>5174</v>
      </c>
      <c r="BV30" s="151">
        <v>1000</v>
      </c>
      <c r="BW30" s="29">
        <v>5</v>
      </c>
      <c r="BX30" s="30">
        <f t="shared" si="47"/>
        <v>4967</v>
      </c>
      <c r="BY30" s="28">
        <f>PRODUCTION!BZ30+'SUPLIER INWARD'!BZ30</f>
        <v>0</v>
      </c>
      <c r="BZ30" s="28"/>
      <c r="CA30" s="29">
        <v>0</v>
      </c>
      <c r="CB30" s="30">
        <f t="shared" si="48"/>
        <v>4967</v>
      </c>
      <c r="CC30" s="28">
        <f>PRODUCTION!CD30+'SUPLIER INWARD'!CD30</f>
        <v>3139</v>
      </c>
      <c r="CD30" s="28">
        <v>2500</v>
      </c>
      <c r="CE30" s="29">
        <v>11</v>
      </c>
      <c r="CF30" s="30">
        <f t="shared" si="49"/>
        <v>5595</v>
      </c>
      <c r="CG30" s="28">
        <f>PRODUCTION!CH30+'SUPLIER INWARD'!CH30</f>
        <v>4938</v>
      </c>
      <c r="CH30" s="28">
        <v>3000</v>
      </c>
      <c r="CI30" s="29">
        <v>13</v>
      </c>
      <c r="CJ30" s="30">
        <f t="shared" si="50"/>
        <v>7520</v>
      </c>
      <c r="CK30" s="28">
        <f>PRODUCTION!CL30+'SUPLIER INWARD'!CL30</f>
        <v>2748</v>
      </c>
      <c r="CL30" s="157">
        <v>2000</v>
      </c>
      <c r="CM30" s="152">
        <v>19</v>
      </c>
      <c r="CN30" s="30">
        <f t="shared" si="51"/>
        <v>8249</v>
      </c>
      <c r="CO30" s="28">
        <f>PRODUCTION!CP30+'SUPLIER INWARD'!CP30</f>
        <v>4703</v>
      </c>
      <c r="CP30" s="157">
        <v>3400</v>
      </c>
      <c r="CQ30" s="29">
        <v>96</v>
      </c>
      <c r="CR30" s="30">
        <f t="shared" si="52"/>
        <v>9456</v>
      </c>
      <c r="CS30" s="28">
        <f>PRODUCTION!CT30+'SUPLIER INWARD'!CT30</f>
        <v>4578</v>
      </c>
      <c r="CT30" s="28">
        <v>3800</v>
      </c>
      <c r="CU30" s="29">
        <v>8</v>
      </c>
      <c r="CV30" s="30">
        <f t="shared" si="53"/>
        <v>10226</v>
      </c>
      <c r="CW30" s="28">
        <f>PRODUCTION!CX30+'SUPLIER INWARD'!CX30</f>
        <v>5061</v>
      </c>
      <c r="CX30" s="28">
        <v>1400</v>
      </c>
      <c r="CY30" s="29">
        <v>9</v>
      </c>
      <c r="CZ30" s="30">
        <f t="shared" si="54"/>
        <v>13878</v>
      </c>
      <c r="DA30" s="28">
        <f>PRODUCTION!DB30+'SUPLIER INWARD'!DB30</f>
        <v>0</v>
      </c>
      <c r="DB30" s="28">
        <v>1600</v>
      </c>
      <c r="DC30" s="29"/>
      <c r="DD30" s="30">
        <f t="shared" si="55"/>
        <v>12278</v>
      </c>
      <c r="DE30" s="28">
        <f>PRODUCTION!DF30+'SUPLIER INWARD'!DF30</f>
        <v>2452</v>
      </c>
      <c r="DF30" s="28">
        <v>1400</v>
      </c>
      <c r="DG30" s="29">
        <v>96</v>
      </c>
      <c r="DH30" s="30">
        <f t="shared" si="56"/>
        <v>13234</v>
      </c>
      <c r="DI30" s="28">
        <f>PRODUCTION!DJ30+'SUPLIER INWARD'!DJ30</f>
        <v>2404</v>
      </c>
      <c r="DJ30" s="28">
        <v>900</v>
      </c>
      <c r="DK30" s="29">
        <v>42</v>
      </c>
      <c r="DL30" s="30">
        <f t="shared" si="57"/>
        <v>14696</v>
      </c>
      <c r="DM30" s="28">
        <f>PRODUCTION!DN30+'SUPLIER INWARD'!DN30</f>
        <v>0</v>
      </c>
      <c r="DN30" s="28">
        <v>300</v>
      </c>
      <c r="DO30" s="29"/>
      <c r="DP30" s="30">
        <f t="shared" si="58"/>
        <v>14396</v>
      </c>
      <c r="DQ30" s="28">
        <f>PRODUCTION!DR30+'SUPLIER INWARD'!DR30</f>
        <v>0</v>
      </c>
      <c r="DR30" s="28"/>
      <c r="DS30" s="29"/>
      <c r="DT30" s="30">
        <f t="shared" si="59"/>
        <v>14396</v>
      </c>
      <c r="DU30" s="28">
        <f>PRODUCTION!DV30+'SUPLIER INWARD'!DV30</f>
        <v>0</v>
      </c>
      <c r="DV30" s="28"/>
      <c r="DW30" s="29"/>
      <c r="DX30" s="30">
        <f t="shared" si="60"/>
        <v>14396</v>
      </c>
      <c r="DY30" s="31">
        <f t="shared" si="61"/>
        <v>36105</v>
      </c>
      <c r="DZ30" s="31">
        <f t="shared" si="62"/>
        <v>31000</v>
      </c>
      <c r="EA30" s="4">
        <f t="shared" si="63"/>
        <v>459</v>
      </c>
      <c r="EB30" s="9">
        <f>D30*'MASTER SHEET'!D30</f>
        <v>172964.99999999997</v>
      </c>
      <c r="EC30" s="9">
        <f>H30*'MASTER SHEET'!D30</f>
        <v>172964.99999999997</v>
      </c>
      <c r="ED30" s="9">
        <f>L30*'MASTER SHEET'!D30</f>
        <v>172964.99999999997</v>
      </c>
      <c r="EE30" s="9">
        <f>P30*'MASTER SHEET'!D30</f>
        <v>172964.99999999997</v>
      </c>
      <c r="EF30" s="9">
        <f>T30*'MASTER SHEET'!D30</f>
        <v>172964.99999999997</v>
      </c>
      <c r="EG30" s="9">
        <f>X30*'MASTER SHEET'!D30</f>
        <v>158542.37999999998</v>
      </c>
      <c r="EH30" s="9">
        <f>AB30*'MASTER SHEET'!D30</f>
        <v>127337.71999999999</v>
      </c>
      <c r="EI30" s="9">
        <f>AF30*'MASTER SHEET'!D30</f>
        <v>127337.71999999999</v>
      </c>
      <c r="EJ30" s="9">
        <f>AJ30*'MASTER SHEET'!D30</f>
        <v>127337.71999999999</v>
      </c>
      <c r="EK30" s="9">
        <f>AN30*'MASTER SHEET'!D30</f>
        <v>104116.06</v>
      </c>
      <c r="EL30" s="9">
        <f>AR30*'MASTER SHEET'!D30</f>
        <v>80894.399999999994</v>
      </c>
      <c r="EM30" s="9">
        <f>AV30*'MASTER SHEET'!D30</f>
        <v>68476.399999999994</v>
      </c>
      <c r="EN30" s="9">
        <f>AZ30*'MASTER SHEET'!D30</f>
        <v>68476.399999999994</v>
      </c>
      <c r="EO30" s="9">
        <f>BD30*'MASTER SHEET'!D30</f>
        <v>51836.28</v>
      </c>
      <c r="EP30" s="9">
        <f>$BH30*'MASTER SHEET'!$D30</f>
        <v>37573.32</v>
      </c>
      <c r="EQ30" s="9">
        <f>BL30*'MASTER SHEET'!D30</f>
        <v>10732.699999999999</v>
      </c>
      <c r="ER30" s="9">
        <f>BP30*'MASTER SHEET'!D30</f>
        <v>10732.699999999999</v>
      </c>
      <c r="ES30" s="9">
        <f>BT30*'MASTER SHEET'!D30</f>
        <v>14156.519999999999</v>
      </c>
      <c r="ET30" s="9">
        <f>BX30*'MASTER SHEET'!D30</f>
        <v>88114.579999999987</v>
      </c>
      <c r="EU30" s="9">
        <f>CB30*'MASTER SHEET'!D30</f>
        <v>88114.579999999987</v>
      </c>
      <c r="EV30" s="9">
        <f>CF30*'MASTER SHEET'!D30</f>
        <v>99255.299999999988</v>
      </c>
      <c r="EW30" s="9">
        <f>CJ30*'MASTER SHEET'!D30</f>
        <v>133404.79999999999</v>
      </c>
      <c r="EX30" s="9">
        <f>CN30*'MASTER SHEET'!D30</f>
        <v>146337.25999999998</v>
      </c>
      <c r="EY30" s="9">
        <f>CR30*'MASTER SHEET'!D30</f>
        <v>167749.43999999997</v>
      </c>
      <c r="EZ30" s="9">
        <f>$CV30*'MASTER SHEET'!D30</f>
        <v>181409.24</v>
      </c>
      <c r="FA30" s="9">
        <f>CZ30*'MASTER SHEET'!D30</f>
        <v>246195.71999999997</v>
      </c>
      <c r="FB30" s="9">
        <f>DD30*'MASTER SHEET'!D30</f>
        <v>217811.71999999997</v>
      </c>
      <c r="FC30" s="9">
        <f>DH30*'MASTER SHEET'!D30</f>
        <v>234771.15999999997</v>
      </c>
      <c r="FD30" s="9">
        <f>DL30*'MASTER SHEET'!D30</f>
        <v>260707.03999999998</v>
      </c>
      <c r="FE30" s="9">
        <f>DP30*'MASTER SHEET'!D30</f>
        <v>255385.03999999998</v>
      </c>
      <c r="FF30" s="9">
        <f>DT30*'MASTER SHEET'!D30</f>
        <v>255385.03999999998</v>
      </c>
      <c r="FG30" s="9">
        <f>+DX30*'MASTER SHEET'!D30</f>
        <v>255385.03999999998</v>
      </c>
    </row>
    <row r="31" spans="1:163" ht="20.25" customHeight="1" x14ac:dyDescent="0.25">
      <c r="A31" s="25">
        <f>'MASTER SHEET'!A31</f>
        <v>29</v>
      </c>
      <c r="B31" s="26" t="str">
        <f>'MASTER SHEET'!B31</f>
        <v>CENTERTUBE PLASTIC</v>
      </c>
      <c r="C31" s="78">
        <f>'MASTER SHEET'!C31</f>
        <v>5023573</v>
      </c>
      <c r="D31" s="159">
        <v>3164</v>
      </c>
      <c r="E31" s="28">
        <f>PRODUCTION!F31+'SUPLIER INWARD'!F31</f>
        <v>3144</v>
      </c>
      <c r="F31" s="28">
        <v>3280</v>
      </c>
      <c r="G31" s="29">
        <v>0</v>
      </c>
      <c r="H31" s="30">
        <f t="shared" si="30"/>
        <v>3028</v>
      </c>
      <c r="I31" s="28">
        <f>PRODUCTION!J31+'SUPLIER INWARD'!J31</f>
        <v>4106</v>
      </c>
      <c r="J31" s="28">
        <f>560+1200</f>
        <v>1760</v>
      </c>
      <c r="K31" s="29">
        <v>0</v>
      </c>
      <c r="L31" s="30">
        <f t="shared" si="31"/>
        <v>5374</v>
      </c>
      <c r="M31" s="28">
        <f>PRODUCTION!N31+'SUPLIER INWARD'!N31</f>
        <v>0</v>
      </c>
      <c r="N31" s="28"/>
      <c r="O31" s="29"/>
      <c r="P31" s="30">
        <f t="shared" si="32"/>
        <v>5374</v>
      </c>
      <c r="Q31" s="28">
        <f>PRODUCTION!R31+'SUPLIER INWARD'!R31</f>
        <v>4426</v>
      </c>
      <c r="R31" s="28">
        <v>2400</v>
      </c>
      <c r="S31" s="29">
        <v>0</v>
      </c>
      <c r="T31" s="30">
        <f t="shared" si="33"/>
        <v>7400</v>
      </c>
      <c r="U31" s="28">
        <f>PRODUCTION!V31+'SUPLIER INWARD'!V31</f>
        <v>0</v>
      </c>
      <c r="V31" s="28">
        <f>720+400</f>
        <v>1120</v>
      </c>
      <c r="W31" s="29">
        <v>0</v>
      </c>
      <c r="X31" s="30">
        <f t="shared" si="34"/>
        <v>6280</v>
      </c>
      <c r="Y31" s="28">
        <f>PRODUCTION!Z31+'SUPLIER INWARD'!Z31</f>
        <v>0</v>
      </c>
      <c r="Z31" s="28"/>
      <c r="AA31" s="29">
        <v>0</v>
      </c>
      <c r="AB31" s="30">
        <f t="shared" si="35"/>
        <v>6280</v>
      </c>
      <c r="AC31" s="28">
        <f>PRODUCTION!AD31+'SUPLIER INWARD'!AD31</f>
        <v>0</v>
      </c>
      <c r="AD31" s="28">
        <v>960</v>
      </c>
      <c r="AE31" s="29">
        <v>7</v>
      </c>
      <c r="AF31" s="30">
        <f t="shared" si="36"/>
        <v>5313</v>
      </c>
      <c r="AG31" s="28">
        <f>PRODUCTION!AH31+'SUPLIER INWARD'!AH31</f>
        <v>0</v>
      </c>
      <c r="AH31" s="28"/>
      <c r="AI31" s="29">
        <v>0</v>
      </c>
      <c r="AJ31" s="30">
        <f t="shared" si="37"/>
        <v>5313</v>
      </c>
      <c r="AK31" s="28">
        <f>PRODUCTION!AL31+'SUPLIER INWARD'!AL31</f>
        <v>0</v>
      </c>
      <c r="AL31" s="28"/>
      <c r="AM31" s="29">
        <v>0</v>
      </c>
      <c r="AN31" s="30">
        <f t="shared" si="38"/>
        <v>5313</v>
      </c>
      <c r="AO31" s="28">
        <f>PRODUCTION!AP31+'SUPLIER INWARD'!AP31</f>
        <v>0</v>
      </c>
      <c r="AP31" s="28"/>
      <c r="AQ31" s="29">
        <v>0</v>
      </c>
      <c r="AR31" s="30">
        <f t="shared" si="39"/>
        <v>5313</v>
      </c>
      <c r="AS31" s="28">
        <f>PRODUCTION!AT31+'SUPLIER INWARD'!AT31</f>
        <v>0</v>
      </c>
      <c r="AT31" s="28">
        <v>720</v>
      </c>
      <c r="AU31" s="29">
        <v>0</v>
      </c>
      <c r="AV31" s="30">
        <f t="shared" si="40"/>
        <v>4593</v>
      </c>
      <c r="AW31" s="28">
        <f>PRODUCTION!AX31+'SUPLIER INWARD'!AX31</f>
        <v>0</v>
      </c>
      <c r="AX31" s="28"/>
      <c r="AY31" s="29"/>
      <c r="AZ31" s="30">
        <f t="shared" si="41"/>
        <v>4593</v>
      </c>
      <c r="BA31" s="28">
        <f>PRODUCTION!BB31+'SUPLIER INWARD'!BB31</f>
        <v>0</v>
      </c>
      <c r="BB31" s="28"/>
      <c r="BC31" s="29">
        <v>0</v>
      </c>
      <c r="BD31" s="30">
        <f t="shared" si="42"/>
        <v>4593</v>
      </c>
      <c r="BE31" s="28">
        <f>PRODUCTION!BF31+'SUPLIER INWARD'!BF31</f>
        <v>0</v>
      </c>
      <c r="BF31" s="28">
        <v>480</v>
      </c>
      <c r="BG31" s="29">
        <v>3</v>
      </c>
      <c r="BH31" s="30">
        <f t="shared" si="43"/>
        <v>4110</v>
      </c>
      <c r="BI31" s="28">
        <f>PRODUCTION!BJ31+'SUPLIER INWARD'!BJ31</f>
        <v>0</v>
      </c>
      <c r="BJ31" s="28"/>
      <c r="BK31" s="29">
        <v>0</v>
      </c>
      <c r="BL31" s="30">
        <f t="shared" si="44"/>
        <v>4110</v>
      </c>
      <c r="BM31" s="28">
        <f>PRODUCTION!BN31+'SUPLIER INWARD'!BN31</f>
        <v>0</v>
      </c>
      <c r="BN31" s="151">
        <v>880</v>
      </c>
      <c r="BO31" s="29">
        <v>8</v>
      </c>
      <c r="BP31" s="30">
        <f t="shared" si="45"/>
        <v>3222</v>
      </c>
      <c r="BQ31" s="28">
        <f>PRODUCTION!BR31+'SUPLIER INWARD'!BR31</f>
        <v>0</v>
      </c>
      <c r="BR31" s="28"/>
      <c r="BS31" s="29">
        <v>0</v>
      </c>
      <c r="BT31" s="30">
        <f t="shared" si="46"/>
        <v>3222</v>
      </c>
      <c r="BU31" s="28">
        <f>PRODUCTION!BV31+'SUPLIER INWARD'!BV31</f>
        <v>0</v>
      </c>
      <c r="BV31" s="151"/>
      <c r="BW31" s="29">
        <v>0</v>
      </c>
      <c r="BX31" s="30">
        <f t="shared" si="47"/>
        <v>3222</v>
      </c>
      <c r="BY31" s="28">
        <f>PRODUCTION!BZ31+'SUPLIER INWARD'!BZ31</f>
        <v>0</v>
      </c>
      <c r="BZ31" s="28"/>
      <c r="CA31" s="29">
        <v>0</v>
      </c>
      <c r="CB31" s="30">
        <f t="shared" si="48"/>
        <v>3222</v>
      </c>
      <c r="CC31" s="28">
        <f>PRODUCTION!CD31+'SUPLIER INWARD'!CD31</f>
        <v>0</v>
      </c>
      <c r="CD31" s="28">
        <v>1120</v>
      </c>
      <c r="CE31" s="29">
        <v>22</v>
      </c>
      <c r="CF31" s="30">
        <f t="shared" si="49"/>
        <v>2080</v>
      </c>
      <c r="CG31" s="28">
        <f>PRODUCTION!CH31+'SUPLIER INWARD'!CH31</f>
        <v>0</v>
      </c>
      <c r="CH31" s="28">
        <v>800</v>
      </c>
      <c r="CI31" s="29">
        <v>17</v>
      </c>
      <c r="CJ31" s="30">
        <f t="shared" si="50"/>
        <v>1263</v>
      </c>
      <c r="CK31" s="28">
        <f>PRODUCTION!CL31+'SUPLIER INWARD'!CL31</f>
        <v>0</v>
      </c>
      <c r="CL31" s="151"/>
      <c r="CM31" s="152">
        <v>0</v>
      </c>
      <c r="CN31" s="30">
        <f t="shared" si="51"/>
        <v>1263</v>
      </c>
      <c r="CO31" s="28">
        <f>PRODUCTION!CP31+'SUPLIER INWARD'!CP31</f>
        <v>900</v>
      </c>
      <c r="CP31" s="151">
        <v>800</v>
      </c>
      <c r="CQ31" s="29">
        <v>7</v>
      </c>
      <c r="CR31" s="30">
        <f t="shared" si="52"/>
        <v>1356</v>
      </c>
      <c r="CS31" s="28">
        <f>PRODUCTION!CT31+'SUPLIER INWARD'!CT31</f>
        <v>2000</v>
      </c>
      <c r="CT31" s="28">
        <v>1680</v>
      </c>
      <c r="CU31" s="29">
        <v>15</v>
      </c>
      <c r="CV31" s="30">
        <f t="shared" si="53"/>
        <v>1661</v>
      </c>
      <c r="CW31" s="28">
        <f>PRODUCTION!CX31+'SUPLIER INWARD'!CX31</f>
        <v>0</v>
      </c>
      <c r="CX31" s="28">
        <v>480</v>
      </c>
      <c r="CY31" s="29">
        <v>0</v>
      </c>
      <c r="CZ31" s="30">
        <f t="shared" si="54"/>
        <v>1181</v>
      </c>
      <c r="DA31" s="28">
        <f>PRODUCTION!DB31+'SUPLIER INWARD'!DB31</f>
        <v>0</v>
      </c>
      <c r="DB31" s="28"/>
      <c r="DC31" s="29"/>
      <c r="DD31" s="30">
        <f t="shared" si="55"/>
        <v>1181</v>
      </c>
      <c r="DE31" s="28">
        <f>PRODUCTION!DF31+'SUPLIER INWARD'!DF31</f>
        <v>2000</v>
      </c>
      <c r="DF31" s="28">
        <v>2320</v>
      </c>
      <c r="DG31" s="29">
        <v>8</v>
      </c>
      <c r="DH31" s="30">
        <f t="shared" si="56"/>
        <v>853</v>
      </c>
      <c r="DI31" s="28">
        <f>PRODUCTION!DJ31+'SUPLIER INWARD'!DJ31</f>
        <v>1400</v>
      </c>
      <c r="DJ31" s="28"/>
      <c r="DK31" s="29">
        <v>0</v>
      </c>
      <c r="DL31" s="30">
        <f t="shared" si="57"/>
        <v>2253</v>
      </c>
      <c r="DM31" s="28">
        <f>PRODUCTION!DN31+'SUPLIER INWARD'!DN31</f>
        <v>2000</v>
      </c>
      <c r="DN31" s="28">
        <v>1040</v>
      </c>
      <c r="DO31" s="29"/>
      <c r="DP31" s="30">
        <f t="shared" si="58"/>
        <v>3213</v>
      </c>
      <c r="DQ31" s="28">
        <f>PRODUCTION!DR31+'SUPLIER INWARD'!DR31</f>
        <v>0</v>
      </c>
      <c r="DR31" s="28"/>
      <c r="DS31" s="29"/>
      <c r="DT31" s="30">
        <f t="shared" si="59"/>
        <v>3213</v>
      </c>
      <c r="DU31" s="28">
        <f>PRODUCTION!DV31+'SUPLIER INWARD'!DV31</f>
        <v>0</v>
      </c>
      <c r="DV31" s="28"/>
      <c r="DW31" s="29"/>
      <c r="DX31" s="30">
        <f t="shared" si="60"/>
        <v>3213</v>
      </c>
      <c r="DY31" s="31">
        <f>E31+I31+M31+Q31+U31+Y31+AC31+AG31+AK31+AO31+AS31+AW31+BA31+BE31+BI31+BM31+BQ31+BU31+BY31+CC31+CG31+CK31+CO31+CS31+CW31+DA31+DE31+DI31+DM31+DQ31+DU31</f>
        <v>19976</v>
      </c>
      <c r="DZ31" s="31">
        <f t="shared" si="62"/>
        <v>19840</v>
      </c>
      <c r="EA31" s="4">
        <f t="shared" si="63"/>
        <v>87</v>
      </c>
      <c r="EB31" s="9">
        <f>D31*'MASTER SHEET'!D31</f>
        <v>61476.52</v>
      </c>
      <c r="EC31" s="9">
        <f>H31*'MASTER SHEET'!D31</f>
        <v>58834.04</v>
      </c>
      <c r="ED31" s="9">
        <f>L31*'MASTER SHEET'!D31</f>
        <v>104416.81999999999</v>
      </c>
      <c r="EE31" s="9">
        <f>P31*'MASTER SHEET'!D31</f>
        <v>104416.81999999999</v>
      </c>
      <c r="EF31" s="9">
        <f>T31*'MASTER SHEET'!D31</f>
        <v>143782</v>
      </c>
      <c r="EG31" s="9">
        <f>X31*'MASTER SHEET'!D31</f>
        <v>122020.4</v>
      </c>
      <c r="EH31" s="9">
        <f>AB31*'MASTER SHEET'!D31</f>
        <v>122020.4</v>
      </c>
      <c r="EI31" s="9">
        <f>AF31*'MASTER SHEET'!D31</f>
        <v>103231.59</v>
      </c>
      <c r="EJ31" s="9">
        <f>AJ31*'MASTER SHEET'!D31</f>
        <v>103231.59</v>
      </c>
      <c r="EK31" s="9">
        <f>AN31*'MASTER SHEET'!D31</f>
        <v>103231.59</v>
      </c>
      <c r="EL31" s="9">
        <f>AR31*'MASTER SHEET'!D31</f>
        <v>103231.59</v>
      </c>
      <c r="EM31" s="9">
        <f>AV31*'MASTER SHEET'!D31</f>
        <v>89241.99</v>
      </c>
      <c r="EN31" s="9">
        <f>AZ31*'MASTER SHEET'!D31</f>
        <v>89241.99</v>
      </c>
      <c r="EO31" s="9">
        <f>BD31*'MASTER SHEET'!D31</f>
        <v>89241.99</v>
      </c>
      <c r="EP31" s="9">
        <f>$BH31*'MASTER SHEET'!$D31</f>
        <v>79857.3</v>
      </c>
      <c r="EQ31" s="9">
        <f>BL31*'MASTER SHEET'!D31</f>
        <v>79857.3</v>
      </c>
      <c r="ER31" s="9">
        <f>BP31*'MASTER SHEET'!D31</f>
        <v>62603.46</v>
      </c>
      <c r="ES31" s="9">
        <f>BT31*'MASTER SHEET'!D31</f>
        <v>62603.46</v>
      </c>
      <c r="ET31" s="9">
        <f>BX31*'MASTER SHEET'!D31</f>
        <v>62603.46</v>
      </c>
      <c r="EU31" s="9">
        <f>CB31*'MASTER SHEET'!D31</f>
        <v>62603.46</v>
      </c>
      <c r="EV31" s="9">
        <f>CF31*'MASTER SHEET'!D31</f>
        <v>40414.400000000001</v>
      </c>
      <c r="EW31" s="9">
        <f>CJ31*'MASTER SHEET'!D31</f>
        <v>24540.09</v>
      </c>
      <c r="EX31" s="9">
        <f>CN31*'MASTER SHEET'!D31</f>
        <v>24540.09</v>
      </c>
      <c r="EY31" s="9">
        <f>CR31*'MASTER SHEET'!D31</f>
        <v>26347.079999999998</v>
      </c>
      <c r="EZ31" s="9">
        <f>$CV31*'MASTER SHEET'!D31</f>
        <v>32273.23</v>
      </c>
      <c r="FA31" s="9">
        <f>CZ31*'MASTER SHEET'!D31</f>
        <v>22946.829999999998</v>
      </c>
      <c r="FB31" s="9">
        <f>DD31*'MASTER SHEET'!D31</f>
        <v>22946.829999999998</v>
      </c>
      <c r="FC31" s="9">
        <f>DH31*'MASTER SHEET'!D31</f>
        <v>16573.79</v>
      </c>
      <c r="FD31" s="9">
        <f>DL31*'MASTER SHEET'!D31</f>
        <v>43775.79</v>
      </c>
      <c r="FE31" s="9">
        <f>DP31*'MASTER SHEET'!D31</f>
        <v>62428.59</v>
      </c>
      <c r="FF31" s="9">
        <f>DT31*'MASTER SHEET'!D31</f>
        <v>62428.59</v>
      </c>
      <c r="FG31" s="9">
        <f>+DX31*'MASTER SHEET'!D31</f>
        <v>62428.59</v>
      </c>
    </row>
    <row r="32" spans="1:163" s="10" customFormat="1" ht="20.25" customHeight="1" x14ac:dyDescent="0.25">
      <c r="A32" s="25">
        <f>'MASTER SHEET'!A32</f>
        <v>30</v>
      </c>
      <c r="B32" s="26" t="str">
        <f>'MASTER SHEET'!B32</f>
        <v>PIPE, PLASTIC</v>
      </c>
      <c r="C32" s="78">
        <f>'MASTER SHEET'!C32</f>
        <v>5023934</v>
      </c>
      <c r="D32" s="159">
        <v>0</v>
      </c>
      <c r="E32" s="28">
        <f>PRODUCTION!F32+'SUPLIER INWARD'!F32</f>
        <v>0</v>
      </c>
      <c r="F32" s="28"/>
      <c r="G32" s="29">
        <v>0</v>
      </c>
      <c r="H32" s="30">
        <f t="shared" si="30"/>
        <v>0</v>
      </c>
      <c r="I32" s="28">
        <f>PRODUCTION!J32+'SUPLIER INWARD'!J32</f>
        <v>0</v>
      </c>
      <c r="J32" s="28"/>
      <c r="K32" s="29">
        <v>0</v>
      </c>
      <c r="L32" s="30">
        <f t="shared" si="31"/>
        <v>0</v>
      </c>
      <c r="M32" s="28">
        <f>PRODUCTION!N32+'SUPLIER INWARD'!N32</f>
        <v>0</v>
      </c>
      <c r="N32" s="28"/>
      <c r="O32" s="29"/>
      <c r="P32" s="30">
        <f t="shared" si="32"/>
        <v>0</v>
      </c>
      <c r="Q32" s="28">
        <f>PRODUCTION!R32+'SUPLIER INWARD'!R32</f>
        <v>0</v>
      </c>
      <c r="R32" s="28"/>
      <c r="S32" s="29">
        <v>0</v>
      </c>
      <c r="T32" s="30">
        <f t="shared" si="33"/>
        <v>0</v>
      </c>
      <c r="U32" s="28">
        <f>PRODUCTION!V32+'SUPLIER INWARD'!V32</f>
        <v>0</v>
      </c>
      <c r="V32" s="28"/>
      <c r="W32" s="29">
        <v>0</v>
      </c>
      <c r="X32" s="30">
        <f t="shared" si="34"/>
        <v>0</v>
      </c>
      <c r="Y32" s="28">
        <f>PRODUCTION!Z32+'SUPLIER INWARD'!Z32</f>
        <v>0</v>
      </c>
      <c r="Z32" s="28"/>
      <c r="AA32" s="29">
        <v>0</v>
      </c>
      <c r="AB32" s="30">
        <f t="shared" si="35"/>
        <v>0</v>
      </c>
      <c r="AC32" s="28">
        <f>PRODUCTION!AD32+'SUPLIER INWARD'!AD32</f>
        <v>0</v>
      </c>
      <c r="AD32" s="28"/>
      <c r="AE32" s="29">
        <v>0</v>
      </c>
      <c r="AF32" s="30">
        <f t="shared" si="36"/>
        <v>0</v>
      </c>
      <c r="AG32" s="28">
        <f>PRODUCTION!AH32+'SUPLIER INWARD'!AH32</f>
        <v>0</v>
      </c>
      <c r="AH32" s="28"/>
      <c r="AI32" s="29">
        <v>0</v>
      </c>
      <c r="AJ32" s="30">
        <f t="shared" si="37"/>
        <v>0</v>
      </c>
      <c r="AK32" s="28">
        <f>PRODUCTION!AL32+'SUPLIER INWARD'!AL32</f>
        <v>0</v>
      </c>
      <c r="AL32" s="28"/>
      <c r="AM32" s="29">
        <v>0</v>
      </c>
      <c r="AN32" s="30">
        <f t="shared" si="38"/>
        <v>0</v>
      </c>
      <c r="AO32" s="28">
        <f>PRODUCTION!AP32+'SUPLIER INWARD'!AP32</f>
        <v>0</v>
      </c>
      <c r="AP32" s="28"/>
      <c r="AQ32" s="29">
        <v>0</v>
      </c>
      <c r="AR32" s="30">
        <f t="shared" si="39"/>
        <v>0</v>
      </c>
      <c r="AS32" s="28">
        <f>PRODUCTION!AT32+'SUPLIER INWARD'!AT32</f>
        <v>0</v>
      </c>
      <c r="AT32" s="28"/>
      <c r="AU32" s="29">
        <v>0</v>
      </c>
      <c r="AV32" s="30">
        <f t="shared" si="40"/>
        <v>0</v>
      </c>
      <c r="AW32" s="28">
        <f>PRODUCTION!AX32+'SUPLIER INWARD'!AX32</f>
        <v>0</v>
      </c>
      <c r="AX32" s="28"/>
      <c r="AY32" s="29"/>
      <c r="AZ32" s="30">
        <f t="shared" si="41"/>
        <v>0</v>
      </c>
      <c r="BA32" s="28">
        <f>PRODUCTION!BB32+'SUPLIER INWARD'!BB32</f>
        <v>0</v>
      </c>
      <c r="BB32" s="28"/>
      <c r="BC32" s="29">
        <v>0</v>
      </c>
      <c r="BD32" s="30">
        <f t="shared" si="42"/>
        <v>0</v>
      </c>
      <c r="BE32" s="28">
        <f>PRODUCTION!BF32+'SUPLIER INWARD'!BF32</f>
        <v>0</v>
      </c>
      <c r="BF32" s="28"/>
      <c r="BG32" s="29">
        <v>0</v>
      </c>
      <c r="BH32" s="30">
        <f t="shared" si="43"/>
        <v>0</v>
      </c>
      <c r="BI32" s="28">
        <f>PRODUCTION!BJ32+'SUPLIER INWARD'!BJ32</f>
        <v>0</v>
      </c>
      <c r="BJ32" s="28"/>
      <c r="BK32" s="29">
        <v>0</v>
      </c>
      <c r="BL32" s="30">
        <f t="shared" si="44"/>
        <v>0</v>
      </c>
      <c r="BM32" s="28">
        <f>PRODUCTION!BN32+'SUPLIER INWARD'!BN32</f>
        <v>0</v>
      </c>
      <c r="BN32" s="28"/>
      <c r="BO32" s="29">
        <v>0</v>
      </c>
      <c r="BP32" s="30">
        <f t="shared" si="45"/>
        <v>0</v>
      </c>
      <c r="BQ32" s="28">
        <f>PRODUCTION!BR32+'SUPLIER INWARD'!BR32</f>
        <v>0</v>
      </c>
      <c r="BR32" s="28"/>
      <c r="BS32" s="29">
        <v>0</v>
      </c>
      <c r="BT32" s="30">
        <f t="shared" si="46"/>
        <v>0</v>
      </c>
      <c r="BU32" s="28">
        <f>PRODUCTION!BV32+'SUPLIER INWARD'!BV32</f>
        <v>0</v>
      </c>
      <c r="BV32" s="28"/>
      <c r="BW32" s="29">
        <v>0</v>
      </c>
      <c r="BX32" s="30">
        <f t="shared" si="47"/>
        <v>0</v>
      </c>
      <c r="BY32" s="28">
        <f>PRODUCTION!BZ32+'SUPLIER INWARD'!BZ32</f>
        <v>0</v>
      </c>
      <c r="BZ32" s="28"/>
      <c r="CA32" s="29">
        <v>0</v>
      </c>
      <c r="CB32" s="30">
        <f t="shared" si="48"/>
        <v>0</v>
      </c>
      <c r="CC32" s="28">
        <f>PRODUCTION!CD32+'SUPLIER INWARD'!CD32</f>
        <v>0</v>
      </c>
      <c r="CD32" s="28"/>
      <c r="CE32" s="29">
        <v>0</v>
      </c>
      <c r="CF32" s="30">
        <f t="shared" si="49"/>
        <v>0</v>
      </c>
      <c r="CG32" s="28">
        <f>PRODUCTION!CH32+'SUPLIER INWARD'!CH32</f>
        <v>0</v>
      </c>
      <c r="CH32" s="28"/>
      <c r="CI32" s="29">
        <v>0</v>
      </c>
      <c r="CJ32" s="30">
        <f t="shared" si="50"/>
        <v>0</v>
      </c>
      <c r="CK32" s="28">
        <f>PRODUCTION!CL32+'SUPLIER INWARD'!CL32</f>
        <v>0</v>
      </c>
      <c r="CL32" s="151"/>
      <c r="CM32" s="152">
        <v>0</v>
      </c>
      <c r="CN32" s="30">
        <f t="shared" si="51"/>
        <v>0</v>
      </c>
      <c r="CO32" s="28">
        <f>PRODUCTION!CP32+'SUPLIER INWARD'!CP32</f>
        <v>0</v>
      </c>
      <c r="CP32" s="151"/>
      <c r="CQ32" s="29">
        <v>0</v>
      </c>
      <c r="CR32" s="30">
        <f t="shared" si="52"/>
        <v>0</v>
      </c>
      <c r="CS32" s="28">
        <f>PRODUCTION!CT32+'SUPLIER INWARD'!CT32</f>
        <v>0</v>
      </c>
      <c r="CT32" s="28"/>
      <c r="CU32" s="29">
        <v>0</v>
      </c>
      <c r="CV32" s="30">
        <f t="shared" si="53"/>
        <v>0</v>
      </c>
      <c r="CW32" s="28">
        <f>PRODUCTION!CX32+'SUPLIER INWARD'!CX32</f>
        <v>0</v>
      </c>
      <c r="CX32" s="28"/>
      <c r="CY32" s="29">
        <v>0</v>
      </c>
      <c r="CZ32" s="30">
        <f t="shared" si="54"/>
        <v>0</v>
      </c>
      <c r="DA32" s="28">
        <f>PRODUCTION!DB32+'SUPLIER INWARD'!DB32</f>
        <v>0</v>
      </c>
      <c r="DB32" s="28"/>
      <c r="DC32" s="29"/>
      <c r="DD32" s="30">
        <f t="shared" si="55"/>
        <v>0</v>
      </c>
      <c r="DE32" s="28">
        <f>PRODUCTION!DF32+'SUPLIER INWARD'!DF32</f>
        <v>0</v>
      </c>
      <c r="DF32" s="28"/>
      <c r="DG32" s="29">
        <v>0</v>
      </c>
      <c r="DH32" s="30">
        <f t="shared" si="56"/>
        <v>0</v>
      </c>
      <c r="DI32" s="28">
        <f>PRODUCTION!DJ32+'SUPLIER INWARD'!DJ32</f>
        <v>0</v>
      </c>
      <c r="DJ32" s="28"/>
      <c r="DK32" s="29">
        <v>0</v>
      </c>
      <c r="DL32" s="30">
        <f t="shared" si="57"/>
        <v>0</v>
      </c>
      <c r="DM32" s="28">
        <f>PRODUCTION!DN32+'SUPLIER INWARD'!DN32</f>
        <v>0</v>
      </c>
      <c r="DN32" s="28"/>
      <c r="DO32" s="29"/>
      <c r="DP32" s="30">
        <f t="shared" si="58"/>
        <v>0</v>
      </c>
      <c r="DQ32" s="28">
        <f>PRODUCTION!DR32+'SUPLIER INWARD'!DR32</f>
        <v>0</v>
      </c>
      <c r="DR32" s="28"/>
      <c r="DS32" s="29"/>
      <c r="DT32" s="30">
        <f t="shared" si="59"/>
        <v>0</v>
      </c>
      <c r="DU32" s="28">
        <f>PRODUCTION!DV32+'SUPLIER INWARD'!DV32</f>
        <v>0</v>
      </c>
      <c r="DV32" s="28"/>
      <c r="DW32" s="29"/>
      <c r="DX32" s="30">
        <f t="shared" si="60"/>
        <v>0</v>
      </c>
      <c r="DY32" s="31">
        <f t="shared" si="61"/>
        <v>0</v>
      </c>
      <c r="DZ32" s="31">
        <f t="shared" si="62"/>
        <v>0</v>
      </c>
      <c r="EA32" s="4">
        <f t="shared" si="63"/>
        <v>0</v>
      </c>
      <c r="EB32" s="9">
        <f>D32*'MASTER SHEET'!D32</f>
        <v>0</v>
      </c>
      <c r="EC32" s="9">
        <f>H32*'MASTER SHEET'!D32</f>
        <v>0</v>
      </c>
      <c r="ED32" s="9">
        <f>L32*'MASTER SHEET'!D32</f>
        <v>0</v>
      </c>
      <c r="EE32" s="9">
        <f>P32*'MASTER SHEET'!D32</f>
        <v>0</v>
      </c>
      <c r="EF32" s="9">
        <f>T32*'MASTER SHEET'!D32</f>
        <v>0</v>
      </c>
      <c r="EG32" s="9">
        <f>X32*'MASTER SHEET'!D32</f>
        <v>0</v>
      </c>
      <c r="EH32" s="9">
        <f>AB32*'MASTER SHEET'!D32</f>
        <v>0</v>
      </c>
      <c r="EI32" s="9">
        <f>AF32*'MASTER SHEET'!D32</f>
        <v>0</v>
      </c>
      <c r="EJ32" s="9">
        <f>AJ32*'MASTER SHEET'!D32</f>
        <v>0</v>
      </c>
      <c r="EK32" s="9">
        <f>AN32*'MASTER SHEET'!D32</f>
        <v>0</v>
      </c>
      <c r="EL32" s="9">
        <f>AR32*'MASTER SHEET'!D32</f>
        <v>0</v>
      </c>
      <c r="EM32" s="9">
        <f>AV32*'MASTER SHEET'!D32</f>
        <v>0</v>
      </c>
      <c r="EN32" s="9">
        <f>AZ32*'MASTER SHEET'!D32</f>
        <v>0</v>
      </c>
      <c r="EO32" s="9">
        <f>BD32*'MASTER SHEET'!D32</f>
        <v>0</v>
      </c>
      <c r="EP32" s="9">
        <f>$BH32*'MASTER SHEET'!$D32</f>
        <v>0</v>
      </c>
      <c r="EQ32" s="9">
        <f>BL32*'MASTER SHEET'!D32</f>
        <v>0</v>
      </c>
      <c r="ER32" s="9">
        <f>BP32*'MASTER SHEET'!D32</f>
        <v>0</v>
      </c>
      <c r="ES32" s="9">
        <f>BT32*'MASTER SHEET'!D32</f>
        <v>0</v>
      </c>
      <c r="ET32" s="9">
        <f>BX32*'MASTER SHEET'!D32</f>
        <v>0</v>
      </c>
      <c r="EU32" s="9">
        <f>CB32*'MASTER SHEET'!D32</f>
        <v>0</v>
      </c>
      <c r="EV32" s="9">
        <f>CF32*'MASTER SHEET'!D32</f>
        <v>0</v>
      </c>
      <c r="EW32" s="9">
        <f>CJ32*'MASTER SHEET'!D32</f>
        <v>0</v>
      </c>
      <c r="EX32" s="9">
        <f>CN32*'MASTER SHEET'!D32</f>
        <v>0</v>
      </c>
      <c r="EY32" s="9">
        <f>CR32*'MASTER SHEET'!D32</f>
        <v>0</v>
      </c>
      <c r="EZ32" s="9">
        <f>$CV32*'MASTER SHEET'!D32</f>
        <v>0</v>
      </c>
      <c r="FA32" s="9">
        <f>CZ32*'MASTER SHEET'!D32</f>
        <v>0</v>
      </c>
      <c r="FB32" s="9">
        <f>DD32*'MASTER SHEET'!D32</f>
        <v>0</v>
      </c>
      <c r="FC32" s="9">
        <f>DH32*'MASTER SHEET'!D32</f>
        <v>0</v>
      </c>
      <c r="FD32" s="9">
        <f>DL32*'MASTER SHEET'!D32</f>
        <v>0</v>
      </c>
      <c r="FE32" s="9">
        <f>DP32*'MASTER SHEET'!D32</f>
        <v>0</v>
      </c>
      <c r="FF32" s="9">
        <f>DT32*'MASTER SHEET'!D32</f>
        <v>0</v>
      </c>
      <c r="FG32" s="9">
        <f>+DX32*'MASTER SHEET'!D32</f>
        <v>0</v>
      </c>
    </row>
    <row r="33" spans="1:163" ht="20.25" customHeight="1" x14ac:dyDescent="0.25">
      <c r="A33" s="25">
        <f>'MASTER SHEET'!A33</f>
        <v>31</v>
      </c>
      <c r="B33" s="26" t="str">
        <f>'MASTER SHEET'!B33</f>
        <v>HYDROPHOBIC SCREEN</v>
      </c>
      <c r="C33" s="78">
        <f>'MASTER SHEET'!C33</f>
        <v>5025761</v>
      </c>
      <c r="D33" s="159">
        <v>142</v>
      </c>
      <c r="E33" s="28">
        <f>PRODUCTION!F33+'SUPLIER INWARD'!F33</f>
        <v>0</v>
      </c>
      <c r="F33" s="28"/>
      <c r="G33" s="29">
        <v>0</v>
      </c>
      <c r="H33" s="30">
        <f t="shared" si="30"/>
        <v>142</v>
      </c>
      <c r="I33" s="28">
        <f>PRODUCTION!J33+'SUPLIER INWARD'!J33</f>
        <v>926</v>
      </c>
      <c r="J33" s="28"/>
      <c r="K33" s="29">
        <v>0</v>
      </c>
      <c r="L33" s="30">
        <f t="shared" si="31"/>
        <v>1068</v>
      </c>
      <c r="M33" s="28">
        <f>PRODUCTION!N33+'SUPLIER INWARD'!N33</f>
        <v>0</v>
      </c>
      <c r="N33" s="28"/>
      <c r="O33" s="29"/>
      <c r="P33" s="30">
        <f t="shared" si="32"/>
        <v>1068</v>
      </c>
      <c r="Q33" s="28">
        <f>PRODUCTION!R33+'SUPLIER INWARD'!R33</f>
        <v>2400</v>
      </c>
      <c r="R33" s="28">
        <v>1384</v>
      </c>
      <c r="S33" s="29">
        <v>9</v>
      </c>
      <c r="T33" s="30">
        <f t="shared" si="33"/>
        <v>2075</v>
      </c>
      <c r="U33" s="28">
        <f>PRODUCTION!V33+'SUPLIER INWARD'!V33</f>
        <v>2419</v>
      </c>
      <c r="V33" s="28">
        <v>1764</v>
      </c>
      <c r="W33" s="29">
        <v>11</v>
      </c>
      <c r="X33" s="30">
        <f t="shared" si="34"/>
        <v>2719</v>
      </c>
      <c r="Y33" s="28">
        <f>PRODUCTION!Z33+'SUPLIER INWARD'!Z33</f>
        <v>986</v>
      </c>
      <c r="Z33" s="28">
        <v>1372</v>
      </c>
      <c r="AA33" s="29">
        <v>0</v>
      </c>
      <c r="AB33" s="30">
        <f t="shared" si="35"/>
        <v>2333</v>
      </c>
      <c r="AC33" s="28">
        <f>PRODUCTION!AD33+'SUPLIER INWARD'!AD33</f>
        <v>0</v>
      </c>
      <c r="AD33" s="28">
        <v>1568</v>
      </c>
      <c r="AE33" s="29">
        <v>17</v>
      </c>
      <c r="AF33" s="30">
        <f t="shared" si="36"/>
        <v>748</v>
      </c>
      <c r="AG33" s="28">
        <f>PRODUCTION!AH33+'SUPLIER INWARD'!AH33</f>
        <v>840</v>
      </c>
      <c r="AH33" s="28">
        <v>391</v>
      </c>
      <c r="AI33" s="29">
        <v>0</v>
      </c>
      <c r="AJ33" s="30">
        <f t="shared" si="37"/>
        <v>1197</v>
      </c>
      <c r="AK33" s="28">
        <f>PRODUCTION!AL33+'SUPLIER INWARD'!AL33</f>
        <v>2328</v>
      </c>
      <c r="AL33" s="28">
        <v>1396</v>
      </c>
      <c r="AM33" s="29">
        <v>13</v>
      </c>
      <c r="AN33" s="30">
        <f t="shared" si="38"/>
        <v>2116</v>
      </c>
      <c r="AO33" s="28">
        <f>PRODUCTION!AP33+'SUPLIER INWARD'!AP33</f>
        <v>1349</v>
      </c>
      <c r="AP33" s="28">
        <v>1800</v>
      </c>
      <c r="AQ33" s="29">
        <v>28</v>
      </c>
      <c r="AR33" s="30">
        <f t="shared" si="39"/>
        <v>1637</v>
      </c>
      <c r="AS33" s="28">
        <f>PRODUCTION!AT33+'SUPLIER INWARD'!AT33</f>
        <v>2395</v>
      </c>
      <c r="AT33" s="28">
        <v>1992</v>
      </c>
      <c r="AU33" s="29">
        <v>33</v>
      </c>
      <c r="AV33" s="30">
        <f t="shared" si="40"/>
        <v>2007</v>
      </c>
      <c r="AW33" s="28">
        <f>PRODUCTION!AX33+'SUPLIER INWARD'!AX33</f>
        <v>430</v>
      </c>
      <c r="AX33" s="146"/>
      <c r="AY33" s="29"/>
      <c r="AZ33" s="30">
        <f t="shared" si="41"/>
        <v>2437</v>
      </c>
      <c r="BA33" s="28">
        <f>PRODUCTION!BB33+'SUPLIER INWARD'!BB33</f>
        <v>1240</v>
      </c>
      <c r="BB33" s="28">
        <v>1788</v>
      </c>
      <c r="BC33" s="29">
        <v>60</v>
      </c>
      <c r="BD33" s="30">
        <f t="shared" si="42"/>
        <v>1829</v>
      </c>
      <c r="BE33" s="28">
        <f>PRODUCTION!BF33+'SUPLIER INWARD'!BF33</f>
        <v>1304</v>
      </c>
      <c r="BF33" s="28">
        <v>1792</v>
      </c>
      <c r="BG33" s="29">
        <v>21</v>
      </c>
      <c r="BH33" s="30">
        <f t="shared" si="43"/>
        <v>1320</v>
      </c>
      <c r="BI33" s="28">
        <f>PRODUCTION!BJ33+'SUPLIER INWARD'!BJ33</f>
        <v>1856</v>
      </c>
      <c r="BJ33" s="28">
        <v>1200</v>
      </c>
      <c r="BK33" s="29">
        <v>13</v>
      </c>
      <c r="BL33" s="30">
        <f t="shared" si="44"/>
        <v>1963</v>
      </c>
      <c r="BM33" s="28">
        <f>PRODUCTION!BN33+'SUPLIER INWARD'!BN33</f>
        <v>1366</v>
      </c>
      <c r="BN33" s="151"/>
      <c r="BO33" s="29">
        <v>0</v>
      </c>
      <c r="BP33" s="30">
        <f t="shared" si="45"/>
        <v>3329</v>
      </c>
      <c r="BQ33" s="28">
        <f>PRODUCTION!BR33+'SUPLIER INWARD'!BR33</f>
        <v>534</v>
      </c>
      <c r="BR33" s="28">
        <v>3100</v>
      </c>
      <c r="BS33" s="29">
        <v>35</v>
      </c>
      <c r="BT33" s="30">
        <f t="shared" si="46"/>
        <v>728</v>
      </c>
      <c r="BU33" s="28">
        <f>PRODUCTION!BV33+'SUPLIER INWARD'!BV33</f>
        <v>0</v>
      </c>
      <c r="BV33" s="151"/>
      <c r="BW33" s="29">
        <v>0</v>
      </c>
      <c r="BX33" s="30">
        <f t="shared" si="47"/>
        <v>728</v>
      </c>
      <c r="BY33" s="28">
        <f>PRODUCTION!BZ33+'SUPLIER INWARD'!BZ33</f>
        <v>0</v>
      </c>
      <c r="BZ33" s="28"/>
      <c r="CA33" s="29">
        <v>0</v>
      </c>
      <c r="CB33" s="30">
        <f t="shared" si="48"/>
        <v>728</v>
      </c>
      <c r="CC33" s="28">
        <f>PRODUCTION!CD33+'SUPLIER INWARD'!CD33</f>
        <v>1080</v>
      </c>
      <c r="CD33" s="28"/>
      <c r="CE33" s="29">
        <v>0</v>
      </c>
      <c r="CF33" s="30">
        <f t="shared" si="49"/>
        <v>1808</v>
      </c>
      <c r="CG33" s="28">
        <f>PRODUCTION!CH33+'SUPLIER INWARD'!CH33</f>
        <v>2805</v>
      </c>
      <c r="CH33" s="28"/>
      <c r="CI33" s="29">
        <v>1</v>
      </c>
      <c r="CJ33" s="30">
        <f t="shared" si="50"/>
        <v>4612</v>
      </c>
      <c r="CK33" s="28">
        <f>PRODUCTION!CL33+'SUPLIER INWARD'!CL33</f>
        <v>1402</v>
      </c>
      <c r="CL33" s="153">
        <v>1960</v>
      </c>
      <c r="CM33" s="152">
        <v>4</v>
      </c>
      <c r="CN33" s="30">
        <f t="shared" si="51"/>
        <v>4050</v>
      </c>
      <c r="CO33" s="28">
        <f>PRODUCTION!CP33+'SUPLIER INWARD'!CP33</f>
        <v>1336</v>
      </c>
      <c r="CP33" s="151">
        <v>1200</v>
      </c>
      <c r="CQ33" s="29">
        <v>3</v>
      </c>
      <c r="CR33" s="30">
        <f t="shared" si="52"/>
        <v>4183</v>
      </c>
      <c r="CS33" s="28">
        <f>PRODUCTION!CT33+'SUPLIER INWARD'!CT33</f>
        <v>1080</v>
      </c>
      <c r="CT33" s="28">
        <v>2080</v>
      </c>
      <c r="CU33" s="29">
        <v>103</v>
      </c>
      <c r="CV33" s="30">
        <f t="shared" si="53"/>
        <v>3080</v>
      </c>
      <c r="CW33" s="28">
        <f>PRODUCTION!CX33+'SUPLIER INWARD'!CX33</f>
        <v>1300</v>
      </c>
      <c r="CX33" s="28">
        <f>1308+1568+100</f>
        <v>2976</v>
      </c>
      <c r="CY33" s="29">
        <v>19</v>
      </c>
      <c r="CZ33" s="30">
        <f t="shared" si="54"/>
        <v>1385</v>
      </c>
      <c r="DA33" s="28">
        <f>PRODUCTION!DB33+'SUPLIER INWARD'!DB33</f>
        <v>0</v>
      </c>
      <c r="DB33" s="28"/>
      <c r="DC33" s="29"/>
      <c r="DD33" s="30">
        <f t="shared" si="55"/>
        <v>1385</v>
      </c>
      <c r="DE33" s="28">
        <f>PRODUCTION!DF33+'SUPLIER INWARD'!DF33</f>
        <v>392</v>
      </c>
      <c r="DF33" s="28">
        <v>1100</v>
      </c>
      <c r="DG33" s="29">
        <v>37</v>
      </c>
      <c r="DH33" s="30">
        <f t="shared" si="56"/>
        <v>640</v>
      </c>
      <c r="DI33" s="28">
        <f>PRODUCTION!DJ33+'SUPLIER INWARD'!DJ33</f>
        <v>1725</v>
      </c>
      <c r="DJ33" s="28">
        <v>1096</v>
      </c>
      <c r="DK33" s="29">
        <v>8</v>
      </c>
      <c r="DL33" s="30">
        <f t="shared" si="57"/>
        <v>1261</v>
      </c>
      <c r="DM33" s="28">
        <f>PRODUCTION!DN33+'SUPLIER INWARD'!DN33</f>
        <v>2682</v>
      </c>
      <c r="DN33" s="28">
        <v>392</v>
      </c>
      <c r="DO33" s="29"/>
      <c r="DP33" s="30">
        <f t="shared" si="58"/>
        <v>3551</v>
      </c>
      <c r="DQ33" s="28">
        <f>PRODUCTION!DR33+'SUPLIER INWARD'!DR33</f>
        <v>0</v>
      </c>
      <c r="DR33" s="28"/>
      <c r="DS33" s="29"/>
      <c r="DT33" s="30">
        <f t="shared" si="59"/>
        <v>3551</v>
      </c>
      <c r="DU33" s="28">
        <f>PRODUCTION!DV33+'SUPLIER INWARD'!DV33</f>
        <v>0</v>
      </c>
      <c r="DV33" s="28"/>
      <c r="DW33" s="29"/>
      <c r="DX33" s="30">
        <f t="shared" si="60"/>
        <v>3551</v>
      </c>
      <c r="DY33" s="31">
        <f t="shared" si="61"/>
        <v>34175</v>
      </c>
      <c r="DZ33" s="31">
        <f t="shared" si="62"/>
        <v>30351</v>
      </c>
      <c r="EA33" s="4">
        <f t="shared" si="63"/>
        <v>415</v>
      </c>
      <c r="EB33" s="9">
        <f>D33*'MASTER SHEET'!D33</f>
        <v>3507.4</v>
      </c>
      <c r="EC33" s="9">
        <f>H33*'MASTER SHEET'!D33</f>
        <v>3507.4</v>
      </c>
      <c r="ED33" s="9">
        <f>L33*'MASTER SHEET'!D33</f>
        <v>26379.599999999999</v>
      </c>
      <c r="EE33" s="9">
        <f>P33*'MASTER SHEET'!D33</f>
        <v>26379.599999999999</v>
      </c>
      <c r="EF33" s="9">
        <f>T33*'MASTER SHEET'!D33</f>
        <v>51252.5</v>
      </c>
      <c r="EG33" s="9">
        <f>X33*'MASTER SHEET'!D33</f>
        <v>67159.3</v>
      </c>
      <c r="EH33" s="9">
        <f>AB33*'MASTER SHEET'!D33</f>
        <v>57625.1</v>
      </c>
      <c r="EI33" s="9">
        <f>AF33*'MASTER SHEET'!D33</f>
        <v>18475.599999999999</v>
      </c>
      <c r="EJ33" s="9">
        <f>AJ33*'MASTER SHEET'!D33</f>
        <v>29565.899999999998</v>
      </c>
      <c r="EK33" s="9">
        <f>AN33*'MASTER SHEET'!D33</f>
        <v>52265.2</v>
      </c>
      <c r="EL33" s="9">
        <f>AR33*'MASTER SHEET'!D33</f>
        <v>40433.9</v>
      </c>
      <c r="EM33" s="9">
        <f>AV33*'MASTER SHEET'!D33</f>
        <v>49572.9</v>
      </c>
      <c r="EN33" s="9">
        <f>AZ33*'MASTER SHEET'!D33</f>
        <v>60193.9</v>
      </c>
      <c r="EO33" s="9">
        <f>BD33*'MASTER SHEET'!D33</f>
        <v>45176.299999999996</v>
      </c>
      <c r="EP33" s="9">
        <f>$BH33*'MASTER SHEET'!$D33</f>
        <v>32604</v>
      </c>
      <c r="EQ33" s="9">
        <f>BL33*'MASTER SHEET'!D33</f>
        <v>48486.1</v>
      </c>
      <c r="ER33" s="9">
        <f>BP33*'MASTER SHEET'!D33</f>
        <v>82226.3</v>
      </c>
      <c r="ES33" s="9">
        <f>BT33*'MASTER SHEET'!D33</f>
        <v>17981.599999999999</v>
      </c>
      <c r="ET33" s="9">
        <f>BX33*'MASTER SHEET'!D33</f>
        <v>17981.599999999999</v>
      </c>
      <c r="EU33" s="9">
        <f>CB33*'MASTER SHEET'!D33</f>
        <v>17981.599999999999</v>
      </c>
      <c r="EV33" s="9">
        <f>CF33*'MASTER SHEET'!D33</f>
        <v>44657.599999999999</v>
      </c>
      <c r="EW33" s="9">
        <f>CJ33*'MASTER SHEET'!D33</f>
        <v>113916.4</v>
      </c>
      <c r="EX33" s="9">
        <f>CN33*'MASTER SHEET'!D33</f>
        <v>100035</v>
      </c>
      <c r="EY33" s="9">
        <f>CR33*'MASTER SHEET'!D33</f>
        <v>103320.09999999999</v>
      </c>
      <c r="EZ33" s="9">
        <f>$CV33*'MASTER SHEET'!D33</f>
        <v>76076</v>
      </c>
      <c r="FA33" s="9">
        <f>CZ33*'MASTER SHEET'!D33</f>
        <v>34209.5</v>
      </c>
      <c r="FB33" s="9">
        <f>DD33*'MASTER SHEET'!D33</f>
        <v>34209.5</v>
      </c>
      <c r="FC33" s="9">
        <f>DH33*'MASTER SHEET'!D33</f>
        <v>15808</v>
      </c>
      <c r="FD33" s="9">
        <f>DL33*'MASTER SHEET'!D33</f>
        <v>31146.7</v>
      </c>
      <c r="FE33" s="9">
        <f>DP33*'MASTER SHEET'!D33</f>
        <v>87709.7</v>
      </c>
      <c r="FF33" s="9">
        <f>DT33*'MASTER SHEET'!D33</f>
        <v>87709.7</v>
      </c>
      <c r="FG33" s="9">
        <f>+DX33*'MASTER SHEET'!D33</f>
        <v>87709.7</v>
      </c>
    </row>
    <row r="34" spans="1:163" ht="20.25" customHeight="1" x14ac:dyDescent="0.25">
      <c r="A34" s="25">
        <f>'MASTER SHEET'!A34</f>
        <v>32</v>
      </c>
      <c r="B34" s="26" t="str">
        <f>'MASTER SHEET'!B34</f>
        <v>ENDPLATE ASY, PLASTIC</v>
      </c>
      <c r="C34" s="78">
        <f>'MASTER SHEET'!C34</f>
        <v>5025960</v>
      </c>
      <c r="D34" s="159">
        <v>4023</v>
      </c>
      <c r="E34" s="28">
        <f>PRODUCTION!F34+'SUPLIER INWARD'!F34</f>
        <v>0</v>
      </c>
      <c r="F34" s="28"/>
      <c r="G34" s="29">
        <v>0</v>
      </c>
      <c r="H34" s="30">
        <f t="shared" si="30"/>
        <v>4023</v>
      </c>
      <c r="I34" s="28">
        <f>PRODUCTION!J34+'SUPLIER INWARD'!J34</f>
        <v>0</v>
      </c>
      <c r="J34" s="28"/>
      <c r="K34" s="29">
        <v>0</v>
      </c>
      <c r="L34" s="30">
        <f t="shared" si="31"/>
        <v>4023</v>
      </c>
      <c r="M34" s="28">
        <f>PRODUCTION!N34+'SUPLIER INWARD'!N34</f>
        <v>0</v>
      </c>
      <c r="N34" s="28"/>
      <c r="O34" s="29"/>
      <c r="P34" s="30">
        <f t="shared" si="32"/>
        <v>4023</v>
      </c>
      <c r="Q34" s="28">
        <f>PRODUCTION!R34+'SUPLIER INWARD'!R34</f>
        <v>0</v>
      </c>
      <c r="R34" s="28"/>
      <c r="S34" s="29">
        <v>0</v>
      </c>
      <c r="T34" s="30">
        <f t="shared" si="33"/>
        <v>4023</v>
      </c>
      <c r="U34" s="28">
        <f>PRODUCTION!V34+'SUPLIER INWARD'!V34</f>
        <v>0</v>
      </c>
      <c r="V34" s="28"/>
      <c r="W34" s="29">
        <v>0</v>
      </c>
      <c r="X34" s="30">
        <f t="shared" si="34"/>
        <v>4023</v>
      </c>
      <c r="Y34" s="28">
        <f>PRODUCTION!Z34+'SUPLIER INWARD'!Z34</f>
        <v>0</v>
      </c>
      <c r="Z34" s="28"/>
      <c r="AA34" s="29">
        <v>0</v>
      </c>
      <c r="AB34" s="30">
        <f t="shared" si="35"/>
        <v>4023</v>
      </c>
      <c r="AC34" s="28">
        <f>PRODUCTION!AD34+'SUPLIER INWARD'!AD34</f>
        <v>0</v>
      </c>
      <c r="AD34" s="28"/>
      <c r="AE34" s="29">
        <v>0</v>
      </c>
      <c r="AF34" s="30">
        <f t="shared" si="36"/>
        <v>4023</v>
      </c>
      <c r="AG34" s="28">
        <f>PRODUCTION!AH34+'SUPLIER INWARD'!AH34</f>
        <v>0</v>
      </c>
      <c r="AH34" s="28">
        <v>700</v>
      </c>
      <c r="AI34" s="29">
        <v>1</v>
      </c>
      <c r="AJ34" s="30">
        <f t="shared" si="37"/>
        <v>3322</v>
      </c>
      <c r="AK34" s="28">
        <f>PRODUCTION!AL34+'SUPLIER INWARD'!AL34</f>
        <v>0</v>
      </c>
      <c r="AL34" s="28"/>
      <c r="AM34" s="29">
        <v>0</v>
      </c>
      <c r="AN34" s="30">
        <f t="shared" si="38"/>
        <v>3322</v>
      </c>
      <c r="AO34" s="28">
        <f>PRODUCTION!AP34+'SUPLIER INWARD'!AP34</f>
        <v>0</v>
      </c>
      <c r="AP34" s="28">
        <v>761</v>
      </c>
      <c r="AQ34" s="29">
        <v>3</v>
      </c>
      <c r="AR34" s="30">
        <f t="shared" si="39"/>
        <v>2558</v>
      </c>
      <c r="AS34" s="28">
        <f>PRODUCTION!AT34+'SUPLIER INWARD'!AT34</f>
        <v>0</v>
      </c>
      <c r="AT34" s="28"/>
      <c r="AU34" s="29">
        <v>0</v>
      </c>
      <c r="AV34" s="30">
        <f t="shared" si="40"/>
        <v>2558</v>
      </c>
      <c r="AW34" s="28">
        <f>PRODUCTION!AX34+'SUPLIER INWARD'!AX34</f>
        <v>0</v>
      </c>
      <c r="AX34" s="28"/>
      <c r="AY34" s="29"/>
      <c r="AZ34" s="30">
        <f t="shared" si="41"/>
        <v>2558</v>
      </c>
      <c r="BA34" s="28">
        <f>PRODUCTION!BB34+'SUPLIER INWARD'!BB34</f>
        <v>0</v>
      </c>
      <c r="BB34" s="28"/>
      <c r="BC34" s="29">
        <v>0</v>
      </c>
      <c r="BD34" s="30">
        <f t="shared" si="42"/>
        <v>2558</v>
      </c>
      <c r="BE34" s="28">
        <f>PRODUCTION!BF34+'SUPLIER INWARD'!BF34</f>
        <v>0</v>
      </c>
      <c r="BF34" s="28"/>
      <c r="BG34" s="29">
        <v>0</v>
      </c>
      <c r="BH34" s="30">
        <f t="shared" si="43"/>
        <v>2558</v>
      </c>
      <c r="BI34" s="28">
        <f>PRODUCTION!BJ34+'SUPLIER INWARD'!BJ34</f>
        <v>0</v>
      </c>
      <c r="BJ34" s="28"/>
      <c r="BK34" s="29">
        <v>0</v>
      </c>
      <c r="BL34" s="30">
        <f t="shared" si="44"/>
        <v>2558</v>
      </c>
      <c r="BM34" s="28">
        <f>PRODUCTION!BN34+'SUPLIER INWARD'!BN34</f>
        <v>125</v>
      </c>
      <c r="BN34" s="151"/>
      <c r="BO34" s="29">
        <v>0</v>
      </c>
      <c r="BP34" s="30">
        <f t="shared" si="45"/>
        <v>2683</v>
      </c>
      <c r="BQ34" s="28">
        <f>PRODUCTION!BR34+'SUPLIER INWARD'!BR34</f>
        <v>0</v>
      </c>
      <c r="BR34" s="28"/>
      <c r="BS34" s="29">
        <v>0</v>
      </c>
      <c r="BT34" s="30">
        <f t="shared" si="46"/>
        <v>2683</v>
      </c>
      <c r="BU34" s="28">
        <f>PRODUCTION!BV34+'SUPLIER INWARD'!BV34</f>
        <v>0</v>
      </c>
      <c r="BV34" s="151">
        <v>1500</v>
      </c>
      <c r="BW34" s="29">
        <v>0</v>
      </c>
      <c r="BX34" s="30">
        <f t="shared" si="47"/>
        <v>1183</v>
      </c>
      <c r="BY34" s="28">
        <f>PRODUCTION!BZ34+'SUPLIER INWARD'!BZ34</f>
        <v>0</v>
      </c>
      <c r="BZ34" s="28"/>
      <c r="CA34" s="29">
        <v>0</v>
      </c>
      <c r="CB34" s="30">
        <f t="shared" si="48"/>
        <v>1183</v>
      </c>
      <c r="CC34" s="28">
        <f>PRODUCTION!CD34+'SUPLIER INWARD'!CD34</f>
        <v>0</v>
      </c>
      <c r="CD34" s="28"/>
      <c r="CE34" s="29">
        <v>0</v>
      </c>
      <c r="CF34" s="30">
        <f t="shared" si="49"/>
        <v>1183</v>
      </c>
      <c r="CG34" s="28">
        <f>PRODUCTION!CH34+'SUPLIER INWARD'!CH34</f>
        <v>0</v>
      </c>
      <c r="CH34" s="28">
        <v>100</v>
      </c>
      <c r="CI34" s="29">
        <v>0</v>
      </c>
      <c r="CJ34" s="30">
        <f t="shared" si="50"/>
        <v>1083</v>
      </c>
      <c r="CK34" s="28">
        <f>PRODUCTION!CL34+'SUPLIER INWARD'!CL34</f>
        <v>0</v>
      </c>
      <c r="CL34" s="151"/>
      <c r="CM34" s="152">
        <v>0</v>
      </c>
      <c r="CN34" s="30">
        <f t="shared" si="51"/>
        <v>1083</v>
      </c>
      <c r="CO34" s="28">
        <f>PRODUCTION!CP34+'SUPLIER INWARD'!CP34</f>
        <v>0</v>
      </c>
      <c r="CP34" s="151"/>
      <c r="CQ34" s="29">
        <v>0</v>
      </c>
      <c r="CR34" s="30">
        <f t="shared" si="52"/>
        <v>1083</v>
      </c>
      <c r="CS34" s="28">
        <f>PRODUCTION!CT34+'SUPLIER INWARD'!CT34</f>
        <v>0</v>
      </c>
      <c r="CT34" s="28"/>
      <c r="CU34" s="29">
        <v>0</v>
      </c>
      <c r="CV34" s="30">
        <f t="shared" si="53"/>
        <v>1083</v>
      </c>
      <c r="CW34" s="28">
        <f>PRODUCTION!CX34+'SUPLIER INWARD'!CX34</f>
        <v>0</v>
      </c>
      <c r="CX34" s="28"/>
      <c r="CY34" s="29">
        <v>0</v>
      </c>
      <c r="CZ34" s="30">
        <f t="shared" si="54"/>
        <v>1083</v>
      </c>
      <c r="DA34" s="28">
        <f>PRODUCTION!DB34+'SUPLIER INWARD'!DB34</f>
        <v>0</v>
      </c>
      <c r="DB34" s="28"/>
      <c r="DC34" s="29"/>
      <c r="DD34" s="30">
        <f t="shared" si="55"/>
        <v>1083</v>
      </c>
      <c r="DE34" s="28">
        <f>PRODUCTION!DF34+'SUPLIER INWARD'!DF34</f>
        <v>0</v>
      </c>
      <c r="DF34" s="28"/>
      <c r="DG34" s="29">
        <v>0</v>
      </c>
      <c r="DH34" s="30">
        <f t="shared" si="56"/>
        <v>1083</v>
      </c>
      <c r="DI34" s="28">
        <f>PRODUCTION!DJ34+'SUPLIER INWARD'!DJ34</f>
        <v>0</v>
      </c>
      <c r="DJ34" s="28">
        <v>1000</v>
      </c>
      <c r="DK34" s="29">
        <v>0</v>
      </c>
      <c r="DL34" s="30">
        <f t="shared" si="57"/>
        <v>83</v>
      </c>
      <c r="DM34" s="28">
        <f>PRODUCTION!DN34+'SUPLIER INWARD'!DN34</f>
        <v>0</v>
      </c>
      <c r="DN34" s="28"/>
      <c r="DO34" s="29"/>
      <c r="DP34" s="30">
        <f t="shared" si="58"/>
        <v>83</v>
      </c>
      <c r="DQ34" s="28">
        <f>PRODUCTION!DR34+'SUPLIER INWARD'!DR34</f>
        <v>0</v>
      </c>
      <c r="DR34" s="28"/>
      <c r="DS34" s="29"/>
      <c r="DT34" s="30">
        <f t="shared" si="59"/>
        <v>83</v>
      </c>
      <c r="DU34" s="28">
        <f>PRODUCTION!DV34+'SUPLIER INWARD'!DV34</f>
        <v>0</v>
      </c>
      <c r="DV34" s="28"/>
      <c r="DW34" s="29"/>
      <c r="DX34" s="30">
        <f t="shared" si="60"/>
        <v>83</v>
      </c>
      <c r="DY34" s="31">
        <f t="shared" si="61"/>
        <v>125</v>
      </c>
      <c r="DZ34" s="31">
        <f t="shared" si="62"/>
        <v>4061</v>
      </c>
      <c r="EA34" s="4">
        <f t="shared" si="63"/>
        <v>4</v>
      </c>
      <c r="EB34" s="9">
        <f>D34*'MASTER SHEET'!D34</f>
        <v>267770.88</v>
      </c>
      <c r="EC34" s="9">
        <f>H34*'MASTER SHEET'!D34</f>
        <v>267770.88</v>
      </c>
      <c r="ED34" s="9">
        <f>L34*'MASTER SHEET'!D34</f>
        <v>267770.88</v>
      </c>
      <c r="EE34" s="9">
        <f>P34*'MASTER SHEET'!D34</f>
        <v>267770.88</v>
      </c>
      <c r="EF34" s="9">
        <f>T34*'MASTER SHEET'!D34</f>
        <v>267770.88</v>
      </c>
      <c r="EG34" s="9">
        <f>X34*'MASTER SHEET'!D34</f>
        <v>267770.88</v>
      </c>
      <c r="EH34" s="9">
        <f>AB34*'MASTER SHEET'!D34</f>
        <v>267770.88</v>
      </c>
      <c r="EI34" s="9">
        <f>AF34*'MASTER SHEET'!D34</f>
        <v>267770.88</v>
      </c>
      <c r="EJ34" s="9">
        <f>AJ34*'MASTER SHEET'!D34</f>
        <v>221112.32000000001</v>
      </c>
      <c r="EK34" s="9">
        <f>AN34*'MASTER SHEET'!D34</f>
        <v>221112.32000000001</v>
      </c>
      <c r="EL34" s="9">
        <f>AR34*'MASTER SHEET'!D34</f>
        <v>170260.48000000001</v>
      </c>
      <c r="EM34" s="9">
        <f>AV34*'MASTER SHEET'!D34</f>
        <v>170260.48000000001</v>
      </c>
      <c r="EN34" s="9">
        <f>AZ34*'MASTER SHEET'!D34</f>
        <v>170260.48000000001</v>
      </c>
      <c r="EO34" s="9">
        <f>BD34*'MASTER SHEET'!D34</f>
        <v>170260.48000000001</v>
      </c>
      <c r="EP34" s="9">
        <f>$BH34*'MASTER SHEET'!$D34</f>
        <v>170260.48000000001</v>
      </c>
      <c r="EQ34" s="9">
        <f>BL34*'MASTER SHEET'!D34</f>
        <v>170260.48000000001</v>
      </c>
      <c r="ER34" s="9">
        <f>BP34*'MASTER SHEET'!D34</f>
        <v>178580.48000000001</v>
      </c>
      <c r="ES34" s="9">
        <f>BT34*'MASTER SHEET'!D34</f>
        <v>178580.48000000001</v>
      </c>
      <c r="ET34" s="9">
        <f>BX34*'MASTER SHEET'!D34</f>
        <v>78740.479999999996</v>
      </c>
      <c r="EU34" s="9">
        <f>CB34*'MASTER SHEET'!D34</f>
        <v>78740.479999999996</v>
      </c>
      <c r="EV34" s="9">
        <f>CF34*'MASTER SHEET'!D34</f>
        <v>78740.479999999996</v>
      </c>
      <c r="EW34" s="9">
        <f>CJ34*'MASTER SHEET'!D34</f>
        <v>72084.479999999996</v>
      </c>
      <c r="EX34" s="9">
        <f>CN34*'MASTER SHEET'!D34</f>
        <v>72084.479999999996</v>
      </c>
      <c r="EY34" s="9">
        <f>CR34*'MASTER SHEET'!D34</f>
        <v>72084.479999999996</v>
      </c>
      <c r="EZ34" s="9">
        <f>$CV34*'MASTER SHEET'!D34</f>
        <v>72084.479999999996</v>
      </c>
      <c r="FA34" s="9">
        <f>CZ34*'MASTER SHEET'!D34</f>
        <v>72084.479999999996</v>
      </c>
      <c r="FB34" s="9">
        <f>DD34*'MASTER SHEET'!D34</f>
        <v>72084.479999999996</v>
      </c>
      <c r="FC34" s="9">
        <f>DH34*'MASTER SHEET'!D34</f>
        <v>72084.479999999996</v>
      </c>
      <c r="FD34" s="9">
        <f>DL34*'MASTER SHEET'!D34</f>
        <v>5524.4800000000005</v>
      </c>
      <c r="FE34" s="9">
        <f>DP34*'MASTER SHEET'!D34</f>
        <v>5524.4800000000005</v>
      </c>
      <c r="FF34" s="9">
        <f>DT34*'MASTER SHEET'!D34</f>
        <v>5524.4800000000005</v>
      </c>
      <c r="FG34" s="9">
        <f>+DX34*'MASTER SHEET'!D34</f>
        <v>5524.4800000000005</v>
      </c>
    </row>
    <row r="35" spans="1:163" ht="20.25" customHeight="1" x14ac:dyDescent="0.25">
      <c r="A35" s="25">
        <f>'MASTER SHEET'!A35</f>
        <v>33</v>
      </c>
      <c r="B35" s="26" t="str">
        <f>'MASTER SHEET'!B35</f>
        <v>LID HOUSING</v>
      </c>
      <c r="C35" s="78">
        <f>'MASTER SHEET'!C35</f>
        <v>5026154</v>
      </c>
      <c r="D35" s="159">
        <v>190</v>
      </c>
      <c r="E35" s="28">
        <f>PRODUCTION!F35+'SUPLIER INWARD'!F35</f>
        <v>0</v>
      </c>
      <c r="F35" s="28"/>
      <c r="G35" s="29">
        <v>0</v>
      </c>
      <c r="H35" s="30">
        <f t="shared" ref="H35:H66" si="64">D35+E35-F35-G35</f>
        <v>190</v>
      </c>
      <c r="I35" s="28">
        <f>PRODUCTION!J35+'SUPLIER INWARD'!J35</f>
        <v>0</v>
      </c>
      <c r="J35" s="28"/>
      <c r="K35" s="29">
        <v>0</v>
      </c>
      <c r="L35" s="30">
        <f t="shared" ref="L35:L66" si="65">H35+I35-J35-K35</f>
        <v>190</v>
      </c>
      <c r="M35" s="28">
        <f>PRODUCTION!N35+'SUPLIER INWARD'!N35</f>
        <v>0</v>
      </c>
      <c r="N35" s="28"/>
      <c r="O35" s="29"/>
      <c r="P35" s="30">
        <f t="shared" ref="P35:P66" si="66">L35+M35-N35-O35</f>
        <v>190</v>
      </c>
      <c r="Q35" s="28">
        <f>PRODUCTION!R35+'SUPLIER INWARD'!R35</f>
        <v>0</v>
      </c>
      <c r="R35" s="28"/>
      <c r="S35" s="29">
        <v>0</v>
      </c>
      <c r="T35" s="30">
        <f t="shared" ref="T35:T66" si="67">P35+Q35-R35-S35</f>
        <v>190</v>
      </c>
      <c r="U35" s="28">
        <f>PRODUCTION!V35+'SUPLIER INWARD'!V35</f>
        <v>0</v>
      </c>
      <c r="V35" s="28"/>
      <c r="W35" s="29">
        <v>0</v>
      </c>
      <c r="X35" s="30">
        <f t="shared" ref="X35:X66" si="68">T35+U35-V35-W35</f>
        <v>190</v>
      </c>
      <c r="Y35" s="28">
        <f>PRODUCTION!Z35+'SUPLIER INWARD'!Z35</f>
        <v>0</v>
      </c>
      <c r="Z35" s="28"/>
      <c r="AA35" s="29">
        <v>0</v>
      </c>
      <c r="AB35" s="30">
        <f t="shared" ref="AB35:AB66" si="69">X35+Y35-Z35-AA35</f>
        <v>190</v>
      </c>
      <c r="AC35" s="28">
        <f>PRODUCTION!AD35+'SUPLIER INWARD'!AD35</f>
        <v>0</v>
      </c>
      <c r="AD35" s="28"/>
      <c r="AE35" s="29">
        <v>0</v>
      </c>
      <c r="AF35" s="30">
        <f t="shared" ref="AF35:AF66" si="70">AB35+AC35-AD35-AE35</f>
        <v>190</v>
      </c>
      <c r="AG35" s="28">
        <f>PRODUCTION!AH35+'SUPLIER INWARD'!AH35</f>
        <v>0</v>
      </c>
      <c r="AH35" s="28"/>
      <c r="AI35" s="29">
        <v>0</v>
      </c>
      <c r="AJ35" s="30">
        <f t="shared" ref="AJ35:AJ66" si="71">AF35+AG35-AH35-AI35</f>
        <v>190</v>
      </c>
      <c r="AK35" s="28">
        <f>PRODUCTION!AL35+'SUPLIER INWARD'!AL35</f>
        <v>0</v>
      </c>
      <c r="AL35" s="28">
        <v>189</v>
      </c>
      <c r="AM35" s="29">
        <v>1</v>
      </c>
      <c r="AN35" s="30">
        <f t="shared" ref="AN35:AN66" si="72">AJ35+AK35-AL35-AM35</f>
        <v>0</v>
      </c>
      <c r="AO35" s="28">
        <f>PRODUCTION!AP35+'SUPLIER INWARD'!AP35</f>
        <v>0</v>
      </c>
      <c r="AP35" s="28"/>
      <c r="AQ35" s="29">
        <v>0</v>
      </c>
      <c r="AR35" s="30">
        <f t="shared" ref="AR35:AR66" si="73">AN35+AO35-AP35-AQ35</f>
        <v>0</v>
      </c>
      <c r="AS35" s="28">
        <f>PRODUCTION!AT35+'SUPLIER INWARD'!AT35</f>
        <v>0</v>
      </c>
      <c r="AT35" s="28"/>
      <c r="AU35" s="29">
        <v>0</v>
      </c>
      <c r="AV35" s="30">
        <f t="shared" ref="AV35:AV66" si="74">AR35+AS35-AT35-AU35</f>
        <v>0</v>
      </c>
      <c r="AW35" s="28">
        <f>PRODUCTION!AX35+'SUPLIER INWARD'!AX35</f>
        <v>0</v>
      </c>
      <c r="AX35" s="28"/>
      <c r="AY35" s="29"/>
      <c r="AZ35" s="30">
        <f t="shared" ref="AZ35:AZ66" si="75">AV35+AW35-AX35-AY35</f>
        <v>0</v>
      </c>
      <c r="BA35" s="28">
        <f>PRODUCTION!BB35+'SUPLIER INWARD'!BB35</f>
        <v>0</v>
      </c>
      <c r="BB35" s="28"/>
      <c r="BC35" s="29">
        <v>0</v>
      </c>
      <c r="BD35" s="30">
        <f t="shared" ref="BD35:BD66" si="76">AZ35+BA35-BB35-BC35</f>
        <v>0</v>
      </c>
      <c r="BE35" s="28">
        <f>PRODUCTION!BF35+'SUPLIER INWARD'!BF35</f>
        <v>0</v>
      </c>
      <c r="BF35" s="28"/>
      <c r="BG35" s="29">
        <v>0</v>
      </c>
      <c r="BH35" s="30">
        <f t="shared" ref="BH35:BH66" si="77">BD35+BE35-BF35-BG35</f>
        <v>0</v>
      </c>
      <c r="BI35" s="28">
        <f>PRODUCTION!BJ35+'SUPLIER INWARD'!BJ35</f>
        <v>0</v>
      </c>
      <c r="BJ35" s="28"/>
      <c r="BK35" s="29">
        <v>0</v>
      </c>
      <c r="BL35" s="30">
        <f t="shared" ref="BL35:BL66" si="78">BH35+BI35-BJ35-BK35</f>
        <v>0</v>
      </c>
      <c r="BM35" s="28">
        <f>PRODUCTION!BN35+'SUPLIER INWARD'!BN35</f>
        <v>0</v>
      </c>
      <c r="BN35" s="28"/>
      <c r="BO35" s="29">
        <v>0</v>
      </c>
      <c r="BP35" s="30">
        <f t="shared" ref="BP35:BP66" si="79">BL35+BM35-BN35-BO35</f>
        <v>0</v>
      </c>
      <c r="BQ35" s="28">
        <f>PRODUCTION!BR35+'SUPLIER INWARD'!BR35</f>
        <v>0</v>
      </c>
      <c r="BR35" s="28"/>
      <c r="BS35" s="29">
        <v>0</v>
      </c>
      <c r="BT35" s="30">
        <f t="shared" ref="BT35:BT66" si="80">BP35+BQ35-BR35-BS35</f>
        <v>0</v>
      </c>
      <c r="BU35" s="28">
        <f>PRODUCTION!BV35+'SUPLIER INWARD'!BV35</f>
        <v>737</v>
      </c>
      <c r="BV35" s="28"/>
      <c r="BW35" s="29">
        <v>0</v>
      </c>
      <c r="BX35" s="30">
        <f t="shared" si="47"/>
        <v>737</v>
      </c>
      <c r="BY35" s="28">
        <f>PRODUCTION!BZ35+'SUPLIER INWARD'!BZ35</f>
        <v>0</v>
      </c>
      <c r="BZ35" s="28"/>
      <c r="CA35" s="29">
        <v>0</v>
      </c>
      <c r="CB35" s="30">
        <f t="shared" ref="CB35:CB66" si="81">BX35+BY35-BZ35-CA35</f>
        <v>737</v>
      </c>
      <c r="CC35" s="28">
        <f>PRODUCTION!CD35+'SUPLIER INWARD'!CD35</f>
        <v>335</v>
      </c>
      <c r="CD35" s="28"/>
      <c r="CE35" s="29">
        <v>0</v>
      </c>
      <c r="CF35" s="30">
        <f t="shared" ref="CF35:CF66" si="82">CB35+CC35-CD35-CE35</f>
        <v>1072</v>
      </c>
      <c r="CG35" s="28">
        <f>PRODUCTION!CH35+'SUPLIER INWARD'!CH35</f>
        <v>0</v>
      </c>
      <c r="CH35" s="28">
        <v>336</v>
      </c>
      <c r="CI35" s="29">
        <v>0</v>
      </c>
      <c r="CJ35" s="30">
        <f t="shared" si="50"/>
        <v>736</v>
      </c>
      <c r="CK35" s="28">
        <f>PRODUCTION!CL35+'SUPLIER INWARD'!CL35</f>
        <v>0</v>
      </c>
      <c r="CL35" s="151"/>
      <c r="CM35" s="152">
        <v>0</v>
      </c>
      <c r="CN35" s="30">
        <f t="shared" si="51"/>
        <v>736</v>
      </c>
      <c r="CO35" s="28">
        <f>PRODUCTION!CP35+'SUPLIER INWARD'!CP35</f>
        <v>0</v>
      </c>
      <c r="CP35" s="151"/>
      <c r="CQ35" s="29">
        <v>0</v>
      </c>
      <c r="CR35" s="30">
        <f t="shared" si="52"/>
        <v>736</v>
      </c>
      <c r="CS35" s="28">
        <f>PRODUCTION!CT35+'SUPLIER INWARD'!CT35</f>
        <v>0</v>
      </c>
      <c r="CT35" s="28">
        <v>672</v>
      </c>
      <c r="CU35" s="29">
        <v>7</v>
      </c>
      <c r="CV35" s="30">
        <f t="shared" si="53"/>
        <v>57</v>
      </c>
      <c r="CW35" s="28">
        <f>PRODUCTION!CX35+'SUPLIER INWARD'!CX35</f>
        <v>0</v>
      </c>
      <c r="CX35" s="28"/>
      <c r="CY35" s="29">
        <v>0</v>
      </c>
      <c r="CZ35" s="30">
        <f t="shared" ref="CZ35:CZ66" si="83">CV35+CW35-CX35-CY35</f>
        <v>57</v>
      </c>
      <c r="DA35" s="28">
        <f>PRODUCTION!DB35+'SUPLIER INWARD'!DB35</f>
        <v>0</v>
      </c>
      <c r="DB35" s="28"/>
      <c r="DC35" s="29"/>
      <c r="DD35" s="30">
        <f t="shared" ref="DD35:DD66" si="84">CZ35+DA35-DB35-DC35</f>
        <v>57</v>
      </c>
      <c r="DE35" s="28">
        <f>PRODUCTION!DF35+'SUPLIER INWARD'!DF35</f>
        <v>0</v>
      </c>
      <c r="DF35" s="28"/>
      <c r="DG35" s="29">
        <v>0</v>
      </c>
      <c r="DH35" s="30">
        <f t="shared" ref="DH35:DH66" si="85">DD35+DE35-DF35-DG35</f>
        <v>57</v>
      </c>
      <c r="DI35" s="28">
        <f>PRODUCTION!DJ35+'SUPLIER INWARD'!DJ35</f>
        <v>0</v>
      </c>
      <c r="DJ35" s="28"/>
      <c r="DK35" s="29">
        <v>0</v>
      </c>
      <c r="DL35" s="30">
        <f t="shared" ref="DL35:DL66" si="86">DH35+DI35-DJ35-DK35</f>
        <v>57</v>
      </c>
      <c r="DM35" s="28">
        <f>PRODUCTION!DN35+'SUPLIER INWARD'!DN35</f>
        <v>0</v>
      </c>
      <c r="DN35" s="28"/>
      <c r="DO35" s="29"/>
      <c r="DP35" s="30">
        <f t="shared" ref="DP35:DP66" si="87">DL35+DM35-DN35-DO35</f>
        <v>57</v>
      </c>
      <c r="DQ35" s="28">
        <f>PRODUCTION!DR35+'SUPLIER INWARD'!DR35</f>
        <v>0</v>
      </c>
      <c r="DR35" s="28"/>
      <c r="DS35" s="29"/>
      <c r="DT35" s="30">
        <f t="shared" ref="DT35:DT66" si="88">DP35+DQ35-DR35-DS35</f>
        <v>57</v>
      </c>
      <c r="DU35" s="28">
        <f>PRODUCTION!DV35+'SUPLIER INWARD'!DV35</f>
        <v>0</v>
      </c>
      <c r="DV35" s="28"/>
      <c r="DW35" s="29"/>
      <c r="DX35" s="30">
        <f t="shared" ref="DX35:DX66" si="89">DT35+DU35-DV35-DW35</f>
        <v>57</v>
      </c>
      <c r="DY35" s="31">
        <f t="shared" ref="DY35:DY66" si="90">E35+I35+M35+Q35+U35+Y35+AC35+AG35+AK35+AO35+AS35+AW35+BA35+BE35+BI35+BM35+BQ35+BU35+BY35+CC35+CG35+CK35+CO35+CS35+CW35+DA35+DE35+DI35+DM35+DQ35+DU35</f>
        <v>1072</v>
      </c>
      <c r="DZ35" s="31">
        <f t="shared" ref="DZ35:DZ66" si="91">F35+J35+N35+R35+V35+Z35+AD35+AH35+AL35+AP35+AT35+AX35+BB35+BF35+BJ35+BN35+BR35+BV35+BZ35+CD35+CH35+CL35+CP35+CT35+CX35+DB35+DF35+DJ35+DN35+DR35+DV35</f>
        <v>1197</v>
      </c>
      <c r="EA35" s="4">
        <f t="shared" ref="EA35:EA66" si="92">G35+K35+O35+S35+W35+AA35+AE35+AI35+AM35+AQ35+AU35+AY35+BC35+BG35+BK35+BO35+BS35+BW35+CA35+CE35+CI35+CM35+CQ35+CU35+CY35+DC35+DG35+DK35+DO35+DS35+DW35</f>
        <v>8</v>
      </c>
      <c r="EB35" s="9">
        <f>D35*'MASTER SHEET'!D35</f>
        <v>7795.7</v>
      </c>
      <c r="EC35" s="9">
        <f>H35*'MASTER SHEET'!D35</f>
        <v>7795.7</v>
      </c>
      <c r="ED35" s="9">
        <f>L35*'MASTER SHEET'!D35</f>
        <v>7795.7</v>
      </c>
      <c r="EE35" s="9">
        <f>P35*'MASTER SHEET'!D35</f>
        <v>7795.7</v>
      </c>
      <c r="EF35" s="9">
        <f>T35*'MASTER SHEET'!D35</f>
        <v>7795.7</v>
      </c>
      <c r="EG35" s="9">
        <f>X35*'MASTER SHEET'!D35</f>
        <v>7795.7</v>
      </c>
      <c r="EH35" s="9">
        <f>AB35*'MASTER SHEET'!D35</f>
        <v>7795.7</v>
      </c>
      <c r="EI35" s="9">
        <f>AF35*'MASTER SHEET'!D35</f>
        <v>7795.7</v>
      </c>
      <c r="EJ35" s="9">
        <f>AJ35*'MASTER SHEET'!D35</f>
        <v>7795.7</v>
      </c>
      <c r="EK35" s="9">
        <f>AN35*'MASTER SHEET'!D35</f>
        <v>0</v>
      </c>
      <c r="EL35" s="9">
        <f>AR35*'MASTER SHEET'!D35</f>
        <v>0</v>
      </c>
      <c r="EM35" s="9">
        <f>AV35*'MASTER SHEET'!D35</f>
        <v>0</v>
      </c>
      <c r="EN35" s="9">
        <f>AZ35*'MASTER SHEET'!D35</f>
        <v>0</v>
      </c>
      <c r="EO35" s="9">
        <f>BD35*'MASTER SHEET'!D35</f>
        <v>0</v>
      </c>
      <c r="EP35" s="9">
        <f>$BH35*'MASTER SHEET'!$D35</f>
        <v>0</v>
      </c>
      <c r="EQ35" s="9">
        <f>BL35*'MASTER SHEET'!D35</f>
        <v>0</v>
      </c>
      <c r="ER35" s="9">
        <f>BP35*'MASTER SHEET'!D35</f>
        <v>0</v>
      </c>
      <c r="ES35" s="9">
        <f>BT35*'MASTER SHEET'!D35</f>
        <v>0</v>
      </c>
      <c r="ET35" s="9">
        <f>BX35*'MASTER SHEET'!D35</f>
        <v>30239.11</v>
      </c>
      <c r="EU35" s="9">
        <f>CB35*'MASTER SHEET'!D35</f>
        <v>30239.11</v>
      </c>
      <c r="EV35" s="9">
        <f>CF35*'MASTER SHEET'!D35</f>
        <v>43984.160000000003</v>
      </c>
      <c r="EW35" s="9">
        <f>CJ35*'MASTER SHEET'!D35</f>
        <v>30198.080000000002</v>
      </c>
      <c r="EX35" s="9">
        <f>CN35*'MASTER SHEET'!D35</f>
        <v>30198.080000000002</v>
      </c>
      <c r="EY35" s="9">
        <f>CR35*'MASTER SHEET'!D35</f>
        <v>30198.080000000002</v>
      </c>
      <c r="EZ35" s="9">
        <f>$CV35*'MASTER SHEET'!D35</f>
        <v>2338.71</v>
      </c>
      <c r="FA35" s="9">
        <f>CZ35*'MASTER SHEET'!D35</f>
        <v>2338.71</v>
      </c>
      <c r="FB35" s="9">
        <f>DD35*'MASTER SHEET'!D35</f>
        <v>2338.71</v>
      </c>
      <c r="FC35" s="9">
        <f>DH35*'MASTER SHEET'!D35</f>
        <v>2338.71</v>
      </c>
      <c r="FD35" s="9">
        <f>DL35*'MASTER SHEET'!D35</f>
        <v>2338.71</v>
      </c>
      <c r="FE35" s="9">
        <f>DP35*'MASTER SHEET'!D35</f>
        <v>2338.71</v>
      </c>
      <c r="FF35" s="9">
        <f>DT35*'MASTER SHEET'!D35</f>
        <v>2338.71</v>
      </c>
      <c r="FG35" s="9">
        <f>+DX35*'MASTER SHEET'!D35</f>
        <v>2338.71</v>
      </c>
    </row>
    <row r="36" spans="1:163" ht="20.25" customHeight="1" x14ac:dyDescent="0.25">
      <c r="A36" s="25">
        <f>'MASTER SHEET'!A36</f>
        <v>34</v>
      </c>
      <c r="B36" s="26" t="str">
        <f>'MASTER SHEET'!B36</f>
        <v xml:space="preserve">BASE. HOUSING </v>
      </c>
      <c r="C36" s="78">
        <f>'MASTER SHEET'!C36</f>
        <v>5026669</v>
      </c>
      <c r="D36" s="159">
        <v>39</v>
      </c>
      <c r="E36" s="28">
        <f>PRODUCTION!F36+'SUPLIER INWARD'!F36</f>
        <v>0</v>
      </c>
      <c r="F36" s="28"/>
      <c r="G36" s="29">
        <v>0</v>
      </c>
      <c r="H36" s="30">
        <f t="shared" si="64"/>
        <v>39</v>
      </c>
      <c r="I36" s="28">
        <f>PRODUCTION!J36+'SUPLIER INWARD'!J36</f>
        <v>0</v>
      </c>
      <c r="J36" s="28"/>
      <c r="K36" s="29">
        <v>0</v>
      </c>
      <c r="L36" s="30">
        <f t="shared" si="65"/>
        <v>39</v>
      </c>
      <c r="M36" s="28">
        <f>PRODUCTION!N36+'SUPLIER INWARD'!N36</f>
        <v>0</v>
      </c>
      <c r="N36" s="28"/>
      <c r="O36" s="29"/>
      <c r="P36" s="30">
        <f t="shared" si="66"/>
        <v>39</v>
      </c>
      <c r="Q36" s="28">
        <f>PRODUCTION!R36+'SUPLIER INWARD'!R36</f>
        <v>0</v>
      </c>
      <c r="R36" s="28"/>
      <c r="S36" s="29">
        <v>0</v>
      </c>
      <c r="T36" s="30">
        <f t="shared" si="67"/>
        <v>39</v>
      </c>
      <c r="U36" s="28">
        <f>PRODUCTION!V36+'SUPLIER INWARD'!V36</f>
        <v>0</v>
      </c>
      <c r="V36" s="28"/>
      <c r="W36" s="29">
        <v>0</v>
      </c>
      <c r="X36" s="30">
        <f t="shared" si="68"/>
        <v>39</v>
      </c>
      <c r="Y36" s="28">
        <f>PRODUCTION!Z36+'SUPLIER INWARD'!Z36</f>
        <v>0</v>
      </c>
      <c r="Z36" s="28"/>
      <c r="AA36" s="29">
        <v>0</v>
      </c>
      <c r="AB36" s="30">
        <f t="shared" si="69"/>
        <v>39</v>
      </c>
      <c r="AC36" s="28">
        <f>PRODUCTION!AD36+'SUPLIER INWARD'!AD36</f>
        <v>0</v>
      </c>
      <c r="AD36" s="28"/>
      <c r="AE36" s="29">
        <v>0</v>
      </c>
      <c r="AF36" s="30">
        <f t="shared" si="70"/>
        <v>39</v>
      </c>
      <c r="AG36" s="28">
        <f>PRODUCTION!AH36+'SUPLIER INWARD'!AH36</f>
        <v>0</v>
      </c>
      <c r="AH36" s="28"/>
      <c r="AI36" s="29">
        <v>0</v>
      </c>
      <c r="AJ36" s="30">
        <f t="shared" si="71"/>
        <v>39</v>
      </c>
      <c r="AK36" s="28">
        <f>PRODUCTION!AL36+'SUPLIER INWARD'!AL36</f>
        <v>0</v>
      </c>
      <c r="AL36" s="28"/>
      <c r="AM36" s="29">
        <v>0</v>
      </c>
      <c r="AN36" s="30">
        <f t="shared" si="72"/>
        <v>39</v>
      </c>
      <c r="AO36" s="28">
        <f>PRODUCTION!AP36+'SUPLIER INWARD'!AP36</f>
        <v>0</v>
      </c>
      <c r="AP36" s="28"/>
      <c r="AQ36" s="29">
        <v>0</v>
      </c>
      <c r="AR36" s="30">
        <f t="shared" si="73"/>
        <v>39</v>
      </c>
      <c r="AS36" s="28">
        <f>PRODUCTION!AT36+'SUPLIER INWARD'!AT36</f>
        <v>0</v>
      </c>
      <c r="AT36" s="28"/>
      <c r="AU36" s="29">
        <v>0</v>
      </c>
      <c r="AV36" s="30">
        <f t="shared" si="74"/>
        <v>39</v>
      </c>
      <c r="AW36" s="28">
        <f>PRODUCTION!AX36+'SUPLIER INWARD'!AX36</f>
        <v>0</v>
      </c>
      <c r="AX36" s="28"/>
      <c r="AY36" s="29"/>
      <c r="AZ36" s="30">
        <f t="shared" si="75"/>
        <v>39</v>
      </c>
      <c r="BA36" s="28">
        <f>PRODUCTION!BB36+'SUPLIER INWARD'!BB36</f>
        <v>0</v>
      </c>
      <c r="BB36" s="28"/>
      <c r="BC36" s="29">
        <v>0</v>
      </c>
      <c r="BD36" s="30">
        <f t="shared" si="76"/>
        <v>39</v>
      </c>
      <c r="BE36" s="28">
        <f>PRODUCTION!BF36+'SUPLIER INWARD'!BF36</f>
        <v>0</v>
      </c>
      <c r="BF36" s="28"/>
      <c r="BG36" s="29">
        <v>0</v>
      </c>
      <c r="BH36" s="30">
        <f t="shared" si="77"/>
        <v>39</v>
      </c>
      <c r="BI36" s="28">
        <f>PRODUCTION!BJ36+'SUPLIER INWARD'!BJ36</f>
        <v>0</v>
      </c>
      <c r="BJ36" s="28"/>
      <c r="BK36" s="29">
        <v>0</v>
      </c>
      <c r="BL36" s="30">
        <f t="shared" si="78"/>
        <v>39</v>
      </c>
      <c r="BM36" s="28">
        <f>PRODUCTION!BN36+'SUPLIER INWARD'!BN36</f>
        <v>0</v>
      </c>
      <c r="BN36" s="28"/>
      <c r="BO36" s="29">
        <v>0</v>
      </c>
      <c r="BP36" s="30">
        <f t="shared" si="79"/>
        <v>39</v>
      </c>
      <c r="BQ36" s="28">
        <f>PRODUCTION!BR36+'SUPLIER INWARD'!BR36</f>
        <v>0</v>
      </c>
      <c r="BR36" s="28"/>
      <c r="BS36" s="29">
        <v>0</v>
      </c>
      <c r="BT36" s="30">
        <f t="shared" si="80"/>
        <v>39</v>
      </c>
      <c r="BU36" s="28">
        <f>PRODUCTION!BV36+'SUPLIER INWARD'!BV36</f>
        <v>0</v>
      </c>
      <c r="BV36" s="28"/>
      <c r="BW36" s="29">
        <v>0</v>
      </c>
      <c r="BX36" s="30">
        <f t="shared" si="47"/>
        <v>39</v>
      </c>
      <c r="BY36" s="28">
        <f>PRODUCTION!BZ36+'SUPLIER INWARD'!BZ36</f>
        <v>0</v>
      </c>
      <c r="BZ36" s="28"/>
      <c r="CA36" s="29">
        <v>0</v>
      </c>
      <c r="CB36" s="30">
        <f t="shared" si="81"/>
        <v>39</v>
      </c>
      <c r="CC36" s="28">
        <f>PRODUCTION!CD36+'SUPLIER INWARD'!CD36</f>
        <v>0</v>
      </c>
      <c r="CD36" s="28"/>
      <c r="CE36" s="29">
        <v>0</v>
      </c>
      <c r="CF36" s="30">
        <f t="shared" si="82"/>
        <v>39</v>
      </c>
      <c r="CG36" s="28">
        <f>PRODUCTION!CH36+'SUPLIER INWARD'!CH36</f>
        <v>0</v>
      </c>
      <c r="CH36" s="28"/>
      <c r="CI36" s="29">
        <v>0</v>
      </c>
      <c r="CJ36" s="30">
        <f t="shared" si="50"/>
        <v>39</v>
      </c>
      <c r="CK36" s="28">
        <f>PRODUCTION!CL36+'SUPLIER INWARD'!CL36</f>
        <v>0</v>
      </c>
      <c r="CL36" s="151"/>
      <c r="CM36" s="152">
        <v>0</v>
      </c>
      <c r="CN36" s="30">
        <f t="shared" si="51"/>
        <v>39</v>
      </c>
      <c r="CO36" s="28">
        <f>PRODUCTION!CP36+'SUPLIER INWARD'!CP36</f>
        <v>0</v>
      </c>
      <c r="CP36" s="151"/>
      <c r="CQ36" s="29">
        <v>0</v>
      </c>
      <c r="CR36" s="30">
        <f t="shared" si="52"/>
        <v>39</v>
      </c>
      <c r="CS36" s="28">
        <f>PRODUCTION!CT36+'SUPLIER INWARD'!CT36</f>
        <v>0</v>
      </c>
      <c r="CT36" s="28"/>
      <c r="CU36" s="29">
        <v>0</v>
      </c>
      <c r="CV36" s="30">
        <f t="shared" si="53"/>
        <v>39</v>
      </c>
      <c r="CW36" s="28">
        <f>PRODUCTION!CX36+'SUPLIER INWARD'!CX36</f>
        <v>0</v>
      </c>
      <c r="CX36" s="28"/>
      <c r="CY36" s="29">
        <v>0</v>
      </c>
      <c r="CZ36" s="30">
        <f t="shared" si="83"/>
        <v>39</v>
      </c>
      <c r="DA36" s="28">
        <f>PRODUCTION!DB36+'SUPLIER INWARD'!DB36</f>
        <v>0</v>
      </c>
      <c r="DB36" s="28"/>
      <c r="DC36" s="29"/>
      <c r="DD36" s="30">
        <f t="shared" si="84"/>
        <v>39</v>
      </c>
      <c r="DE36" s="28">
        <f>PRODUCTION!DF36+'SUPLIER INWARD'!DF36</f>
        <v>0</v>
      </c>
      <c r="DF36" s="28"/>
      <c r="DG36" s="29">
        <v>0</v>
      </c>
      <c r="DH36" s="30">
        <f t="shared" si="85"/>
        <v>39</v>
      </c>
      <c r="DI36" s="28">
        <f>PRODUCTION!DJ36+'SUPLIER INWARD'!DJ36</f>
        <v>0</v>
      </c>
      <c r="DJ36" s="28"/>
      <c r="DK36" s="29">
        <v>0</v>
      </c>
      <c r="DL36" s="30">
        <f t="shared" si="86"/>
        <v>39</v>
      </c>
      <c r="DM36" s="28">
        <f>PRODUCTION!DN36+'SUPLIER INWARD'!DN36</f>
        <v>0</v>
      </c>
      <c r="DN36" s="28"/>
      <c r="DO36" s="29"/>
      <c r="DP36" s="30">
        <f t="shared" si="87"/>
        <v>39</v>
      </c>
      <c r="DQ36" s="28">
        <f>PRODUCTION!DR36+'SUPLIER INWARD'!DR36</f>
        <v>0</v>
      </c>
      <c r="DR36" s="28"/>
      <c r="DS36" s="29"/>
      <c r="DT36" s="30">
        <f t="shared" si="88"/>
        <v>39</v>
      </c>
      <c r="DU36" s="28">
        <f>PRODUCTION!DV36+'SUPLIER INWARD'!DV36</f>
        <v>0</v>
      </c>
      <c r="DV36" s="28"/>
      <c r="DW36" s="29"/>
      <c r="DX36" s="30">
        <f t="shared" si="89"/>
        <v>39</v>
      </c>
      <c r="DY36" s="31">
        <f t="shared" si="90"/>
        <v>0</v>
      </c>
      <c r="DZ36" s="31">
        <f t="shared" si="91"/>
        <v>0</v>
      </c>
      <c r="EA36" s="4">
        <f t="shared" si="92"/>
        <v>0</v>
      </c>
      <c r="EB36" s="9">
        <f>D36*'MASTER SHEET'!D36</f>
        <v>1559.6100000000001</v>
      </c>
      <c r="EC36" s="9">
        <f>H36*'MASTER SHEET'!D36</f>
        <v>1559.6100000000001</v>
      </c>
      <c r="ED36" s="9">
        <f>L36*'MASTER SHEET'!D36</f>
        <v>1559.6100000000001</v>
      </c>
      <c r="EE36" s="9">
        <f>P36*'MASTER SHEET'!D36</f>
        <v>1559.6100000000001</v>
      </c>
      <c r="EF36" s="9">
        <f>T36*'MASTER SHEET'!D36</f>
        <v>1559.6100000000001</v>
      </c>
      <c r="EG36" s="9">
        <f>X36*'MASTER SHEET'!D36</f>
        <v>1559.6100000000001</v>
      </c>
      <c r="EH36" s="9">
        <f>AB36*'MASTER SHEET'!D36</f>
        <v>1559.6100000000001</v>
      </c>
      <c r="EI36" s="9">
        <f>AF36*'MASTER SHEET'!D36</f>
        <v>1559.6100000000001</v>
      </c>
      <c r="EJ36" s="9">
        <f>AJ36*'MASTER SHEET'!D36</f>
        <v>1559.6100000000001</v>
      </c>
      <c r="EK36" s="9">
        <f>AN36*'MASTER SHEET'!D36</f>
        <v>1559.6100000000001</v>
      </c>
      <c r="EL36" s="9">
        <f>AR36*'MASTER SHEET'!D36</f>
        <v>1559.6100000000001</v>
      </c>
      <c r="EM36" s="9">
        <f>AV36*'MASTER SHEET'!D36</f>
        <v>1559.6100000000001</v>
      </c>
      <c r="EN36" s="9">
        <f>AZ36*'MASTER SHEET'!D36</f>
        <v>1559.6100000000001</v>
      </c>
      <c r="EO36" s="9">
        <f>BD36*'MASTER SHEET'!D36</f>
        <v>1559.6100000000001</v>
      </c>
      <c r="EP36" s="9">
        <f>$BH36*'MASTER SHEET'!$D36</f>
        <v>1559.6100000000001</v>
      </c>
      <c r="EQ36" s="9">
        <f>BL36*'MASTER SHEET'!D36</f>
        <v>1559.6100000000001</v>
      </c>
      <c r="ER36" s="9">
        <f>BP36*'MASTER SHEET'!D36</f>
        <v>1559.6100000000001</v>
      </c>
      <c r="ES36" s="9">
        <f>BT36*'MASTER SHEET'!D36</f>
        <v>1559.6100000000001</v>
      </c>
      <c r="ET36" s="9">
        <f>BX36*'MASTER SHEET'!D36</f>
        <v>1559.6100000000001</v>
      </c>
      <c r="EU36" s="9">
        <f>CB36*'MASTER SHEET'!D36</f>
        <v>1559.6100000000001</v>
      </c>
      <c r="EV36" s="9">
        <f>CF36*'MASTER SHEET'!D36</f>
        <v>1559.6100000000001</v>
      </c>
      <c r="EW36" s="9">
        <f>CJ36*'MASTER SHEET'!D36</f>
        <v>1559.6100000000001</v>
      </c>
      <c r="EX36" s="9">
        <f>CN36*'MASTER SHEET'!D36</f>
        <v>1559.6100000000001</v>
      </c>
      <c r="EY36" s="9">
        <f>CR36*'MASTER SHEET'!D36</f>
        <v>1559.6100000000001</v>
      </c>
      <c r="EZ36" s="9">
        <f>$CV36*'MASTER SHEET'!D36</f>
        <v>1559.6100000000001</v>
      </c>
      <c r="FA36" s="9">
        <f>CZ36*'MASTER SHEET'!D36</f>
        <v>1559.6100000000001</v>
      </c>
      <c r="FB36" s="9">
        <f>DD36*'MASTER SHEET'!D36</f>
        <v>1559.6100000000001</v>
      </c>
      <c r="FC36" s="9">
        <f>DH36*'MASTER SHEET'!D36</f>
        <v>1559.6100000000001</v>
      </c>
      <c r="FD36" s="9">
        <f>DL36*'MASTER SHEET'!D36</f>
        <v>1559.6100000000001</v>
      </c>
      <c r="FE36" s="9">
        <f>DP36*'MASTER SHEET'!D36</f>
        <v>1559.6100000000001</v>
      </c>
      <c r="FF36" s="9">
        <f>DT36*'MASTER SHEET'!D36</f>
        <v>1559.6100000000001</v>
      </c>
      <c r="FG36" s="9">
        <f>+DX36*'MASTER SHEET'!D36</f>
        <v>1559.6100000000001</v>
      </c>
    </row>
    <row r="37" spans="1:163" ht="20.25" customHeight="1" x14ac:dyDescent="0.25">
      <c r="A37" s="25">
        <f>'MASTER SHEET'!A37</f>
        <v>35</v>
      </c>
      <c r="B37" s="26" t="str">
        <f>'MASTER SHEET'!B37</f>
        <v>VALVE COVER</v>
      </c>
      <c r="C37" s="78">
        <f>'MASTER SHEET'!C37</f>
        <v>5041697</v>
      </c>
      <c r="D37" s="159">
        <v>0</v>
      </c>
      <c r="E37" s="28">
        <f>PRODUCTION!F37+'SUPLIER INWARD'!F37</f>
        <v>0</v>
      </c>
      <c r="F37" s="28"/>
      <c r="G37" s="29">
        <v>0</v>
      </c>
      <c r="H37" s="30">
        <f t="shared" si="64"/>
        <v>0</v>
      </c>
      <c r="I37" s="28">
        <f>PRODUCTION!J37+'SUPLIER INWARD'!J37</f>
        <v>0</v>
      </c>
      <c r="J37" s="28"/>
      <c r="K37" s="29">
        <v>0</v>
      </c>
      <c r="L37" s="30">
        <f t="shared" si="65"/>
        <v>0</v>
      </c>
      <c r="M37" s="28">
        <f>PRODUCTION!N37+'SUPLIER INWARD'!N37</f>
        <v>0</v>
      </c>
      <c r="N37" s="28"/>
      <c r="O37" s="29"/>
      <c r="P37" s="30">
        <f t="shared" si="66"/>
        <v>0</v>
      </c>
      <c r="Q37" s="28">
        <f>PRODUCTION!R37+'SUPLIER INWARD'!R37</f>
        <v>0</v>
      </c>
      <c r="R37" s="28"/>
      <c r="S37" s="29">
        <v>0</v>
      </c>
      <c r="T37" s="30">
        <f t="shared" si="67"/>
        <v>0</v>
      </c>
      <c r="U37" s="28">
        <f>PRODUCTION!V37+'SUPLIER INWARD'!V37</f>
        <v>0</v>
      </c>
      <c r="V37" s="28"/>
      <c r="W37" s="29">
        <v>0</v>
      </c>
      <c r="X37" s="30">
        <f t="shared" si="68"/>
        <v>0</v>
      </c>
      <c r="Y37" s="28">
        <f>PRODUCTION!Z37+'SUPLIER INWARD'!Z37</f>
        <v>0</v>
      </c>
      <c r="Z37" s="28"/>
      <c r="AA37" s="29">
        <v>0</v>
      </c>
      <c r="AB37" s="30">
        <f t="shared" si="69"/>
        <v>0</v>
      </c>
      <c r="AC37" s="28">
        <f>PRODUCTION!AD37+'SUPLIER INWARD'!AD37</f>
        <v>0</v>
      </c>
      <c r="AD37" s="28"/>
      <c r="AE37" s="29">
        <v>0</v>
      </c>
      <c r="AF37" s="30">
        <f t="shared" si="70"/>
        <v>0</v>
      </c>
      <c r="AG37" s="28">
        <f>PRODUCTION!AH37+'SUPLIER INWARD'!AH37</f>
        <v>0</v>
      </c>
      <c r="AH37" s="28"/>
      <c r="AI37" s="29">
        <v>0</v>
      </c>
      <c r="AJ37" s="30">
        <f t="shared" si="71"/>
        <v>0</v>
      </c>
      <c r="AK37" s="28">
        <f>PRODUCTION!AL37+'SUPLIER INWARD'!AL37</f>
        <v>0</v>
      </c>
      <c r="AL37" s="28"/>
      <c r="AM37" s="29">
        <v>0</v>
      </c>
      <c r="AN37" s="30">
        <f t="shared" si="72"/>
        <v>0</v>
      </c>
      <c r="AO37" s="28">
        <f>PRODUCTION!AP37+'SUPLIER INWARD'!AP37</f>
        <v>0</v>
      </c>
      <c r="AP37" s="28"/>
      <c r="AQ37" s="29">
        <v>0</v>
      </c>
      <c r="AR37" s="30">
        <f t="shared" si="73"/>
        <v>0</v>
      </c>
      <c r="AS37" s="28">
        <f>PRODUCTION!AT37+'SUPLIER INWARD'!AT37</f>
        <v>0</v>
      </c>
      <c r="AT37" s="28"/>
      <c r="AU37" s="29">
        <v>0</v>
      </c>
      <c r="AV37" s="30">
        <f t="shared" si="74"/>
        <v>0</v>
      </c>
      <c r="AW37" s="28">
        <f>PRODUCTION!AX37+'SUPLIER INWARD'!AX37</f>
        <v>0</v>
      </c>
      <c r="AX37" s="28"/>
      <c r="AY37" s="29"/>
      <c r="AZ37" s="30">
        <f t="shared" si="75"/>
        <v>0</v>
      </c>
      <c r="BA37" s="28">
        <f>PRODUCTION!BB37+'SUPLIER INWARD'!BB37</f>
        <v>0</v>
      </c>
      <c r="BB37" s="28"/>
      <c r="BC37" s="29">
        <v>0</v>
      </c>
      <c r="BD37" s="30">
        <f t="shared" si="76"/>
        <v>0</v>
      </c>
      <c r="BE37" s="28">
        <f>PRODUCTION!BF37+'SUPLIER INWARD'!BF37</f>
        <v>0</v>
      </c>
      <c r="BF37" s="28"/>
      <c r="BG37" s="29">
        <v>0</v>
      </c>
      <c r="BH37" s="30">
        <f t="shared" si="77"/>
        <v>0</v>
      </c>
      <c r="BI37" s="28">
        <f>PRODUCTION!BJ37+'SUPLIER INWARD'!BJ37</f>
        <v>0</v>
      </c>
      <c r="BJ37" s="28"/>
      <c r="BK37" s="29">
        <v>0</v>
      </c>
      <c r="BL37" s="30">
        <f t="shared" si="78"/>
        <v>0</v>
      </c>
      <c r="BM37" s="28">
        <f>PRODUCTION!BN37+'SUPLIER INWARD'!BN37</f>
        <v>0</v>
      </c>
      <c r="BN37" s="28"/>
      <c r="BO37" s="29">
        <v>0</v>
      </c>
      <c r="BP37" s="30">
        <f t="shared" si="79"/>
        <v>0</v>
      </c>
      <c r="BQ37" s="28">
        <f>PRODUCTION!BR37+'SUPLIER INWARD'!BR37</f>
        <v>0</v>
      </c>
      <c r="BR37" s="28"/>
      <c r="BS37" s="29">
        <v>0</v>
      </c>
      <c r="BT37" s="30">
        <f t="shared" si="80"/>
        <v>0</v>
      </c>
      <c r="BU37" s="28">
        <f>PRODUCTION!BV37+'SUPLIER INWARD'!BV37</f>
        <v>0</v>
      </c>
      <c r="BV37" s="28"/>
      <c r="BW37" s="29">
        <v>0</v>
      </c>
      <c r="BX37" s="30">
        <f t="shared" si="47"/>
        <v>0</v>
      </c>
      <c r="BY37" s="28">
        <f>PRODUCTION!BZ37+'SUPLIER INWARD'!BZ37</f>
        <v>0</v>
      </c>
      <c r="BZ37" s="28"/>
      <c r="CA37" s="29">
        <v>0</v>
      </c>
      <c r="CB37" s="30">
        <f t="shared" si="81"/>
        <v>0</v>
      </c>
      <c r="CC37" s="28">
        <f>PRODUCTION!CD37+'SUPLIER INWARD'!CD37</f>
        <v>0</v>
      </c>
      <c r="CD37" s="28"/>
      <c r="CE37" s="29">
        <v>0</v>
      </c>
      <c r="CF37" s="30">
        <f t="shared" si="82"/>
        <v>0</v>
      </c>
      <c r="CG37" s="28">
        <f>PRODUCTION!CH37+'SUPLIER INWARD'!CH37</f>
        <v>0</v>
      </c>
      <c r="CH37" s="28"/>
      <c r="CI37" s="29">
        <v>0</v>
      </c>
      <c r="CJ37" s="30">
        <f t="shared" si="50"/>
        <v>0</v>
      </c>
      <c r="CK37" s="28">
        <f>PRODUCTION!CL37+'SUPLIER INWARD'!CL37</f>
        <v>0</v>
      </c>
      <c r="CL37" s="151"/>
      <c r="CM37" s="152">
        <v>0</v>
      </c>
      <c r="CN37" s="30">
        <f t="shared" si="51"/>
        <v>0</v>
      </c>
      <c r="CO37" s="28">
        <f>PRODUCTION!CP37+'SUPLIER INWARD'!CP37</f>
        <v>0</v>
      </c>
      <c r="CP37" s="151"/>
      <c r="CQ37" s="29">
        <v>0</v>
      </c>
      <c r="CR37" s="30">
        <f t="shared" si="52"/>
        <v>0</v>
      </c>
      <c r="CS37" s="28">
        <f>PRODUCTION!CT37+'SUPLIER INWARD'!CT37</f>
        <v>0</v>
      </c>
      <c r="CT37" s="28"/>
      <c r="CU37" s="29">
        <v>0</v>
      </c>
      <c r="CV37" s="30">
        <f t="shared" si="53"/>
        <v>0</v>
      </c>
      <c r="CW37" s="28">
        <f>PRODUCTION!CX37+'SUPLIER INWARD'!CX37</f>
        <v>0</v>
      </c>
      <c r="CX37" s="28"/>
      <c r="CY37" s="29">
        <v>0</v>
      </c>
      <c r="CZ37" s="30">
        <f t="shared" si="83"/>
        <v>0</v>
      </c>
      <c r="DA37" s="28">
        <f>PRODUCTION!DB37+'SUPLIER INWARD'!DB37</f>
        <v>0</v>
      </c>
      <c r="DB37" s="28"/>
      <c r="DC37" s="29"/>
      <c r="DD37" s="30">
        <f t="shared" si="84"/>
        <v>0</v>
      </c>
      <c r="DE37" s="28">
        <f>PRODUCTION!DF37+'SUPLIER INWARD'!DF37</f>
        <v>0</v>
      </c>
      <c r="DF37" s="28"/>
      <c r="DG37" s="29">
        <v>0</v>
      </c>
      <c r="DH37" s="30">
        <f t="shared" si="85"/>
        <v>0</v>
      </c>
      <c r="DI37" s="28">
        <f>PRODUCTION!DJ37+'SUPLIER INWARD'!DJ37</f>
        <v>0</v>
      </c>
      <c r="DJ37" s="28"/>
      <c r="DK37" s="29">
        <v>0</v>
      </c>
      <c r="DL37" s="30">
        <f t="shared" si="86"/>
        <v>0</v>
      </c>
      <c r="DM37" s="28">
        <f>PRODUCTION!DN37+'SUPLIER INWARD'!DN37</f>
        <v>0</v>
      </c>
      <c r="DN37" s="28"/>
      <c r="DO37" s="29"/>
      <c r="DP37" s="30">
        <f t="shared" si="87"/>
        <v>0</v>
      </c>
      <c r="DQ37" s="28">
        <f>PRODUCTION!DR37+'SUPLIER INWARD'!DR37</f>
        <v>0</v>
      </c>
      <c r="DR37" s="28"/>
      <c r="DS37" s="29"/>
      <c r="DT37" s="30">
        <f t="shared" si="88"/>
        <v>0</v>
      </c>
      <c r="DU37" s="28">
        <f>PRODUCTION!DV37+'SUPLIER INWARD'!DV37</f>
        <v>0</v>
      </c>
      <c r="DV37" s="28"/>
      <c r="DW37" s="29"/>
      <c r="DX37" s="30">
        <f t="shared" si="89"/>
        <v>0</v>
      </c>
      <c r="DY37" s="31">
        <f t="shared" si="90"/>
        <v>0</v>
      </c>
      <c r="DZ37" s="31">
        <f t="shared" si="91"/>
        <v>0</v>
      </c>
      <c r="EA37" s="4">
        <f t="shared" si="92"/>
        <v>0</v>
      </c>
      <c r="EB37" s="9">
        <f>D37*'MASTER SHEET'!D37</f>
        <v>0</v>
      </c>
      <c r="EC37" s="9">
        <f>H37*'MASTER SHEET'!D37</f>
        <v>0</v>
      </c>
      <c r="ED37" s="9">
        <f>L37*'MASTER SHEET'!D37</f>
        <v>0</v>
      </c>
      <c r="EE37" s="9">
        <f>P37*'MASTER SHEET'!D37</f>
        <v>0</v>
      </c>
      <c r="EF37" s="9">
        <f>T37*'MASTER SHEET'!D37</f>
        <v>0</v>
      </c>
      <c r="EG37" s="9">
        <f>X37*'MASTER SHEET'!D37</f>
        <v>0</v>
      </c>
      <c r="EH37" s="9">
        <f>AB37*'MASTER SHEET'!D37</f>
        <v>0</v>
      </c>
      <c r="EI37" s="9">
        <f>AF37*'MASTER SHEET'!D37</f>
        <v>0</v>
      </c>
      <c r="EJ37" s="9">
        <f>AJ37*'MASTER SHEET'!D37</f>
        <v>0</v>
      </c>
      <c r="EK37" s="9">
        <f>AN37*'MASTER SHEET'!D37</f>
        <v>0</v>
      </c>
      <c r="EL37" s="9">
        <f>AR37*'MASTER SHEET'!D37</f>
        <v>0</v>
      </c>
      <c r="EM37" s="9">
        <f>AV37*'MASTER SHEET'!D37</f>
        <v>0</v>
      </c>
      <c r="EN37" s="9">
        <f>AZ37*'MASTER SHEET'!D37</f>
        <v>0</v>
      </c>
      <c r="EO37" s="9">
        <f>BD37*'MASTER SHEET'!D37</f>
        <v>0</v>
      </c>
      <c r="EP37" s="9">
        <f>$BH37*'MASTER SHEET'!$D37</f>
        <v>0</v>
      </c>
      <c r="EQ37" s="9">
        <f>BL37*'MASTER SHEET'!D37</f>
        <v>0</v>
      </c>
      <c r="ER37" s="9">
        <f>BP37*'MASTER SHEET'!D37</f>
        <v>0</v>
      </c>
      <c r="ES37" s="9">
        <f>BT37*'MASTER SHEET'!D37</f>
        <v>0</v>
      </c>
      <c r="ET37" s="9">
        <f>BX37*'MASTER SHEET'!D37</f>
        <v>0</v>
      </c>
      <c r="EU37" s="9">
        <f>CB37*'MASTER SHEET'!D37</f>
        <v>0</v>
      </c>
      <c r="EV37" s="9">
        <f>CF37*'MASTER SHEET'!D37</f>
        <v>0</v>
      </c>
      <c r="EW37" s="9">
        <f>CJ37*'MASTER SHEET'!D37</f>
        <v>0</v>
      </c>
      <c r="EX37" s="9">
        <f>CN37*'MASTER SHEET'!D37</f>
        <v>0</v>
      </c>
      <c r="EY37" s="9">
        <f>CR37*'MASTER SHEET'!D37</f>
        <v>0</v>
      </c>
      <c r="EZ37" s="9">
        <f>$CV37*'MASTER SHEET'!D37</f>
        <v>0</v>
      </c>
      <c r="FA37" s="9">
        <f>CZ37*'MASTER SHEET'!D37</f>
        <v>0</v>
      </c>
      <c r="FB37" s="9">
        <f>DD37*'MASTER SHEET'!D37</f>
        <v>0</v>
      </c>
      <c r="FC37" s="9">
        <f>DH37*'MASTER SHEET'!D37</f>
        <v>0</v>
      </c>
      <c r="FD37" s="9">
        <f>DL37*'MASTER SHEET'!D37</f>
        <v>0</v>
      </c>
      <c r="FE37" s="9">
        <f>DP37*'MASTER SHEET'!D37</f>
        <v>0</v>
      </c>
      <c r="FF37" s="9">
        <f>DT37*'MASTER SHEET'!D37</f>
        <v>0</v>
      </c>
      <c r="FG37" s="9">
        <f>+DX37*'MASTER SHEET'!D37</f>
        <v>0</v>
      </c>
    </row>
    <row r="38" spans="1:163" ht="20.25" customHeight="1" x14ac:dyDescent="0.25">
      <c r="A38" s="25">
        <f>'MASTER SHEET'!A38</f>
        <v>36</v>
      </c>
      <c r="B38" s="26" t="str">
        <f>'MASTER SHEET'!B38</f>
        <v xml:space="preserve">BASE. HOUSING </v>
      </c>
      <c r="C38" s="78">
        <f>'MASTER SHEET'!C38</f>
        <v>5027236</v>
      </c>
      <c r="D38" s="159">
        <v>0</v>
      </c>
      <c r="E38" s="28">
        <f>PRODUCTION!F38+'SUPLIER INWARD'!F38</f>
        <v>0</v>
      </c>
      <c r="F38" s="28"/>
      <c r="G38" s="29">
        <v>0</v>
      </c>
      <c r="H38" s="30">
        <f t="shared" si="64"/>
        <v>0</v>
      </c>
      <c r="I38" s="28">
        <f>PRODUCTION!J38+'SUPLIER INWARD'!J38</f>
        <v>0</v>
      </c>
      <c r="J38" s="28"/>
      <c r="K38" s="29">
        <v>0</v>
      </c>
      <c r="L38" s="30">
        <f t="shared" si="65"/>
        <v>0</v>
      </c>
      <c r="M38" s="28">
        <f>PRODUCTION!N38+'SUPLIER INWARD'!N38</f>
        <v>0</v>
      </c>
      <c r="N38" s="28"/>
      <c r="O38" s="29"/>
      <c r="P38" s="30">
        <f t="shared" si="66"/>
        <v>0</v>
      </c>
      <c r="Q38" s="28">
        <f>PRODUCTION!R38+'SUPLIER INWARD'!R38</f>
        <v>0</v>
      </c>
      <c r="R38" s="28"/>
      <c r="S38" s="29">
        <v>0</v>
      </c>
      <c r="T38" s="30">
        <f t="shared" si="67"/>
        <v>0</v>
      </c>
      <c r="U38" s="28">
        <f>PRODUCTION!V38+'SUPLIER INWARD'!V38</f>
        <v>0</v>
      </c>
      <c r="V38" s="28"/>
      <c r="W38" s="29">
        <v>0</v>
      </c>
      <c r="X38" s="30">
        <f t="shared" si="68"/>
        <v>0</v>
      </c>
      <c r="Y38" s="28">
        <f>PRODUCTION!Z38+'SUPLIER INWARD'!Z38</f>
        <v>0</v>
      </c>
      <c r="Z38" s="28"/>
      <c r="AA38" s="29">
        <v>0</v>
      </c>
      <c r="AB38" s="30">
        <f t="shared" si="69"/>
        <v>0</v>
      </c>
      <c r="AC38" s="28">
        <f>PRODUCTION!AD38+'SUPLIER INWARD'!AD38</f>
        <v>0</v>
      </c>
      <c r="AD38" s="28"/>
      <c r="AE38" s="29">
        <v>0</v>
      </c>
      <c r="AF38" s="30">
        <f t="shared" si="70"/>
        <v>0</v>
      </c>
      <c r="AG38" s="28">
        <f>PRODUCTION!AH38+'SUPLIER INWARD'!AH38</f>
        <v>0</v>
      </c>
      <c r="AH38" s="28"/>
      <c r="AI38" s="29">
        <v>0</v>
      </c>
      <c r="AJ38" s="30">
        <f t="shared" si="71"/>
        <v>0</v>
      </c>
      <c r="AK38" s="28">
        <f>PRODUCTION!AL38+'SUPLIER INWARD'!AL38</f>
        <v>0</v>
      </c>
      <c r="AL38" s="28"/>
      <c r="AM38" s="29">
        <v>0</v>
      </c>
      <c r="AN38" s="30">
        <f t="shared" si="72"/>
        <v>0</v>
      </c>
      <c r="AO38" s="28">
        <f>PRODUCTION!AP38+'SUPLIER INWARD'!AP38</f>
        <v>0</v>
      </c>
      <c r="AP38" s="28"/>
      <c r="AQ38" s="29">
        <v>0</v>
      </c>
      <c r="AR38" s="30">
        <f t="shared" si="73"/>
        <v>0</v>
      </c>
      <c r="AS38" s="28">
        <f>PRODUCTION!AT38+'SUPLIER INWARD'!AT38</f>
        <v>0</v>
      </c>
      <c r="AT38" s="28"/>
      <c r="AU38" s="29">
        <v>0</v>
      </c>
      <c r="AV38" s="30">
        <f t="shared" si="74"/>
        <v>0</v>
      </c>
      <c r="AW38" s="28">
        <f>PRODUCTION!AX38+'SUPLIER INWARD'!AX38</f>
        <v>0</v>
      </c>
      <c r="AX38" s="28"/>
      <c r="AY38" s="29"/>
      <c r="AZ38" s="30">
        <f t="shared" si="75"/>
        <v>0</v>
      </c>
      <c r="BA38" s="28">
        <f>PRODUCTION!BB38+'SUPLIER INWARD'!BB38</f>
        <v>0</v>
      </c>
      <c r="BB38" s="28"/>
      <c r="BC38" s="29">
        <v>0</v>
      </c>
      <c r="BD38" s="30">
        <f t="shared" si="76"/>
        <v>0</v>
      </c>
      <c r="BE38" s="28">
        <f>PRODUCTION!BF38+'SUPLIER INWARD'!BF38</f>
        <v>0</v>
      </c>
      <c r="BF38" s="28"/>
      <c r="BG38" s="29">
        <v>0</v>
      </c>
      <c r="BH38" s="30">
        <f t="shared" si="77"/>
        <v>0</v>
      </c>
      <c r="BI38" s="28">
        <f>PRODUCTION!BJ38+'SUPLIER INWARD'!BJ38</f>
        <v>0</v>
      </c>
      <c r="BJ38" s="28"/>
      <c r="BK38" s="29">
        <v>0</v>
      </c>
      <c r="BL38" s="30">
        <f t="shared" si="78"/>
        <v>0</v>
      </c>
      <c r="BM38" s="28">
        <f>PRODUCTION!BN38+'SUPLIER INWARD'!BN38</f>
        <v>0</v>
      </c>
      <c r="BN38" s="28"/>
      <c r="BO38" s="29">
        <v>0</v>
      </c>
      <c r="BP38" s="30">
        <f t="shared" si="79"/>
        <v>0</v>
      </c>
      <c r="BQ38" s="28">
        <f>PRODUCTION!BR38+'SUPLIER INWARD'!BR38</f>
        <v>0</v>
      </c>
      <c r="BR38" s="28"/>
      <c r="BS38" s="29">
        <v>0</v>
      </c>
      <c r="BT38" s="30">
        <f t="shared" si="80"/>
        <v>0</v>
      </c>
      <c r="BU38" s="28">
        <f>PRODUCTION!BV38+'SUPLIER INWARD'!BV38</f>
        <v>0</v>
      </c>
      <c r="BV38" s="28"/>
      <c r="BW38" s="29">
        <v>0</v>
      </c>
      <c r="BX38" s="30">
        <f t="shared" si="47"/>
        <v>0</v>
      </c>
      <c r="BY38" s="28">
        <f>PRODUCTION!BZ38+'SUPLIER INWARD'!BZ38</f>
        <v>0</v>
      </c>
      <c r="BZ38" s="28"/>
      <c r="CA38" s="29">
        <v>0</v>
      </c>
      <c r="CB38" s="30">
        <f t="shared" si="81"/>
        <v>0</v>
      </c>
      <c r="CC38" s="28">
        <f>PRODUCTION!CD38+'SUPLIER INWARD'!CD38</f>
        <v>0</v>
      </c>
      <c r="CD38" s="28"/>
      <c r="CE38" s="29">
        <v>0</v>
      </c>
      <c r="CF38" s="30">
        <f t="shared" si="82"/>
        <v>0</v>
      </c>
      <c r="CG38" s="28">
        <f>PRODUCTION!CH38+'SUPLIER INWARD'!CH38</f>
        <v>0</v>
      </c>
      <c r="CH38" s="28"/>
      <c r="CI38" s="29">
        <v>0</v>
      </c>
      <c r="CJ38" s="30">
        <f t="shared" si="50"/>
        <v>0</v>
      </c>
      <c r="CK38" s="28">
        <f>PRODUCTION!CL38+'SUPLIER INWARD'!CL38</f>
        <v>0</v>
      </c>
      <c r="CL38" s="151"/>
      <c r="CM38" s="152">
        <v>0</v>
      </c>
      <c r="CN38" s="30">
        <f t="shared" si="51"/>
        <v>0</v>
      </c>
      <c r="CO38" s="28">
        <f>PRODUCTION!CP38+'SUPLIER INWARD'!CP38</f>
        <v>0</v>
      </c>
      <c r="CP38" s="151"/>
      <c r="CQ38" s="29">
        <v>0</v>
      </c>
      <c r="CR38" s="30">
        <f t="shared" si="52"/>
        <v>0</v>
      </c>
      <c r="CS38" s="28">
        <f>PRODUCTION!CT38+'SUPLIER INWARD'!CT38</f>
        <v>0</v>
      </c>
      <c r="CT38" s="28"/>
      <c r="CU38" s="29">
        <v>0</v>
      </c>
      <c r="CV38" s="30">
        <f t="shared" si="53"/>
        <v>0</v>
      </c>
      <c r="CW38" s="28">
        <f>PRODUCTION!CX38+'SUPLIER INWARD'!CX38</f>
        <v>0</v>
      </c>
      <c r="CX38" s="28"/>
      <c r="CY38" s="29">
        <v>0</v>
      </c>
      <c r="CZ38" s="30">
        <f t="shared" si="83"/>
        <v>0</v>
      </c>
      <c r="DA38" s="28">
        <f>PRODUCTION!DB38+'SUPLIER INWARD'!DB38</f>
        <v>0</v>
      </c>
      <c r="DB38" s="28"/>
      <c r="DC38" s="29"/>
      <c r="DD38" s="30">
        <f t="shared" si="84"/>
        <v>0</v>
      </c>
      <c r="DE38" s="28">
        <f>PRODUCTION!DF38+'SUPLIER INWARD'!DF38</f>
        <v>0</v>
      </c>
      <c r="DF38" s="28"/>
      <c r="DG38" s="29">
        <v>0</v>
      </c>
      <c r="DH38" s="30">
        <f t="shared" si="85"/>
        <v>0</v>
      </c>
      <c r="DI38" s="28">
        <f>PRODUCTION!DJ38+'SUPLIER INWARD'!DJ38</f>
        <v>0</v>
      </c>
      <c r="DJ38" s="28"/>
      <c r="DK38" s="29">
        <v>0</v>
      </c>
      <c r="DL38" s="30">
        <f t="shared" si="86"/>
        <v>0</v>
      </c>
      <c r="DM38" s="28">
        <f>PRODUCTION!DN38+'SUPLIER INWARD'!DN38</f>
        <v>0</v>
      </c>
      <c r="DN38" s="28"/>
      <c r="DO38" s="29"/>
      <c r="DP38" s="30">
        <f t="shared" si="87"/>
        <v>0</v>
      </c>
      <c r="DQ38" s="28">
        <f>PRODUCTION!DR38+'SUPLIER INWARD'!DR38</f>
        <v>0</v>
      </c>
      <c r="DR38" s="28"/>
      <c r="DS38" s="29"/>
      <c r="DT38" s="30">
        <f t="shared" si="88"/>
        <v>0</v>
      </c>
      <c r="DU38" s="28">
        <f>PRODUCTION!DV38+'SUPLIER INWARD'!DV38</f>
        <v>0</v>
      </c>
      <c r="DV38" s="28"/>
      <c r="DW38" s="29"/>
      <c r="DX38" s="30">
        <f t="shared" si="89"/>
        <v>0</v>
      </c>
      <c r="DY38" s="31">
        <f t="shared" si="90"/>
        <v>0</v>
      </c>
      <c r="DZ38" s="31">
        <f t="shared" si="91"/>
        <v>0</v>
      </c>
      <c r="EA38" s="4">
        <f t="shared" si="92"/>
        <v>0</v>
      </c>
      <c r="EB38" s="9">
        <f>D38*'MASTER SHEET'!D38</f>
        <v>0</v>
      </c>
      <c r="EC38" s="9">
        <f>H38*'MASTER SHEET'!D38</f>
        <v>0</v>
      </c>
      <c r="ED38" s="9">
        <f>L38*'MASTER SHEET'!D38</f>
        <v>0</v>
      </c>
      <c r="EE38" s="9">
        <f>P38*'MASTER SHEET'!D38</f>
        <v>0</v>
      </c>
      <c r="EF38" s="9">
        <f>T38*'MASTER SHEET'!D38</f>
        <v>0</v>
      </c>
      <c r="EG38" s="9">
        <f>X38*'MASTER SHEET'!D38</f>
        <v>0</v>
      </c>
      <c r="EH38" s="9">
        <f>AB38*'MASTER SHEET'!D38</f>
        <v>0</v>
      </c>
      <c r="EI38" s="9">
        <f>AF38*'MASTER SHEET'!D38</f>
        <v>0</v>
      </c>
      <c r="EJ38" s="9">
        <f>AJ38*'MASTER SHEET'!D38</f>
        <v>0</v>
      </c>
      <c r="EK38" s="9">
        <f>AN38*'MASTER SHEET'!D38</f>
        <v>0</v>
      </c>
      <c r="EL38" s="9">
        <f>AR38*'MASTER SHEET'!D38</f>
        <v>0</v>
      </c>
      <c r="EM38" s="9">
        <f>AV38*'MASTER SHEET'!D38</f>
        <v>0</v>
      </c>
      <c r="EN38" s="9">
        <f>AZ38*'MASTER SHEET'!D38</f>
        <v>0</v>
      </c>
      <c r="EO38" s="9">
        <f>BD38*'MASTER SHEET'!D38</f>
        <v>0</v>
      </c>
      <c r="EP38" s="9">
        <f>$BH38*'MASTER SHEET'!$D38</f>
        <v>0</v>
      </c>
      <c r="EQ38" s="9">
        <f>BL38*'MASTER SHEET'!D38</f>
        <v>0</v>
      </c>
      <c r="ER38" s="9">
        <f>BP38*'MASTER SHEET'!D38</f>
        <v>0</v>
      </c>
      <c r="ES38" s="9">
        <f>BT38*'MASTER SHEET'!D38</f>
        <v>0</v>
      </c>
      <c r="ET38" s="9">
        <f>BX38*'MASTER SHEET'!D38</f>
        <v>0</v>
      </c>
      <c r="EU38" s="9">
        <f>CB38*'MASTER SHEET'!D38</f>
        <v>0</v>
      </c>
      <c r="EV38" s="9">
        <f>CF38*'MASTER SHEET'!D38</f>
        <v>0</v>
      </c>
      <c r="EW38" s="9">
        <f>CJ38*'MASTER SHEET'!D38</f>
        <v>0</v>
      </c>
      <c r="EX38" s="9">
        <f>CN38*'MASTER SHEET'!D38</f>
        <v>0</v>
      </c>
      <c r="EY38" s="9">
        <f>CR38*'MASTER SHEET'!D38</f>
        <v>0</v>
      </c>
      <c r="EZ38" s="9">
        <f>$CV38*'MASTER SHEET'!D38</f>
        <v>0</v>
      </c>
      <c r="FA38" s="9">
        <f>CZ38*'MASTER SHEET'!D38</f>
        <v>0</v>
      </c>
      <c r="FB38" s="9">
        <f>DD38*'MASTER SHEET'!D38</f>
        <v>0</v>
      </c>
      <c r="FC38" s="9">
        <f>DH38*'MASTER SHEET'!D38</f>
        <v>0</v>
      </c>
      <c r="FD38" s="9">
        <f>DL38*'MASTER SHEET'!D38</f>
        <v>0</v>
      </c>
      <c r="FE38" s="9">
        <f>DP38*'MASTER SHEET'!D38</f>
        <v>0</v>
      </c>
      <c r="FF38" s="9">
        <f>DT38*'MASTER SHEET'!D38</f>
        <v>0</v>
      </c>
      <c r="FG38" s="9">
        <f>+DX38*'MASTER SHEET'!D38</f>
        <v>0</v>
      </c>
    </row>
    <row r="39" spans="1:163" ht="20.25" customHeight="1" x14ac:dyDescent="0.25">
      <c r="A39" s="25">
        <f>'MASTER SHEET'!A39</f>
        <v>37</v>
      </c>
      <c r="B39" s="26" t="str">
        <f>'MASTER SHEET'!B39</f>
        <v>EICHER COVER PLATE</v>
      </c>
      <c r="C39" s="78">
        <f>'MASTER SHEET'!C39</f>
        <v>5027239</v>
      </c>
      <c r="D39" s="163">
        <f>800+14</f>
        <v>814</v>
      </c>
      <c r="E39" s="28">
        <f>PRODUCTION!F39+'SUPLIER INWARD'!F39</f>
        <v>679</v>
      </c>
      <c r="F39" s="28">
        <v>600</v>
      </c>
      <c r="G39" s="29">
        <v>0</v>
      </c>
      <c r="H39" s="30">
        <f t="shared" si="64"/>
        <v>893</v>
      </c>
      <c r="I39" s="28">
        <f>PRODUCTION!J39+'SUPLIER INWARD'!J39</f>
        <v>0</v>
      </c>
      <c r="J39" s="28"/>
      <c r="K39" s="29">
        <v>0</v>
      </c>
      <c r="L39" s="30">
        <f t="shared" si="65"/>
        <v>893</v>
      </c>
      <c r="M39" s="28">
        <f>PRODUCTION!N39+'SUPLIER INWARD'!N39</f>
        <v>0</v>
      </c>
      <c r="N39" s="28"/>
      <c r="O39" s="29"/>
      <c r="P39" s="30">
        <f t="shared" si="66"/>
        <v>893</v>
      </c>
      <c r="Q39" s="28">
        <f>PRODUCTION!R39+'SUPLIER INWARD'!R39</f>
        <v>0</v>
      </c>
      <c r="R39" s="28"/>
      <c r="S39" s="29">
        <v>0</v>
      </c>
      <c r="T39" s="30">
        <f t="shared" si="67"/>
        <v>893</v>
      </c>
      <c r="U39" s="28">
        <f>PRODUCTION!V39+'SUPLIER INWARD'!V39</f>
        <v>0</v>
      </c>
      <c r="V39" s="28"/>
      <c r="W39" s="29">
        <v>0</v>
      </c>
      <c r="X39" s="30">
        <f t="shared" si="68"/>
        <v>893</v>
      </c>
      <c r="Y39" s="28">
        <f>PRODUCTION!Z39+'SUPLIER INWARD'!Z39</f>
        <v>0</v>
      </c>
      <c r="Z39" s="28"/>
      <c r="AA39" s="29">
        <v>0</v>
      </c>
      <c r="AB39" s="30">
        <f t="shared" si="69"/>
        <v>893</v>
      </c>
      <c r="AC39" s="28">
        <f>PRODUCTION!AD39+'SUPLIER INWARD'!AD39</f>
        <v>0</v>
      </c>
      <c r="AD39" s="28">
        <v>800</v>
      </c>
      <c r="AE39" s="29">
        <v>0</v>
      </c>
      <c r="AF39" s="30">
        <f t="shared" si="70"/>
        <v>93</v>
      </c>
      <c r="AG39" s="28">
        <f>PRODUCTION!AH39+'SUPLIER INWARD'!AH39</f>
        <v>0</v>
      </c>
      <c r="AH39" s="28"/>
      <c r="AI39" s="29">
        <v>0</v>
      </c>
      <c r="AJ39" s="30">
        <f t="shared" si="71"/>
        <v>93</v>
      </c>
      <c r="AK39" s="28">
        <f>PRODUCTION!AL39+'SUPLIER INWARD'!AL39</f>
        <v>0</v>
      </c>
      <c r="AL39" s="28"/>
      <c r="AM39" s="29">
        <v>0</v>
      </c>
      <c r="AN39" s="30">
        <f t="shared" si="72"/>
        <v>93</v>
      </c>
      <c r="AO39" s="28">
        <f>PRODUCTION!AP39+'SUPLIER INWARD'!AP39</f>
        <v>0</v>
      </c>
      <c r="AP39" s="28">
        <v>34</v>
      </c>
      <c r="AQ39" s="29">
        <v>0</v>
      </c>
      <c r="AR39" s="30">
        <f t="shared" si="73"/>
        <v>59</v>
      </c>
      <c r="AS39" s="28">
        <f>PRODUCTION!AT39+'SUPLIER INWARD'!AT39</f>
        <v>0</v>
      </c>
      <c r="AT39" s="28"/>
      <c r="AU39" s="29">
        <v>0</v>
      </c>
      <c r="AV39" s="30">
        <f t="shared" si="74"/>
        <v>59</v>
      </c>
      <c r="AW39" s="28">
        <f>PRODUCTION!AX39+'SUPLIER INWARD'!AX39</f>
        <v>0</v>
      </c>
      <c r="AX39" s="28"/>
      <c r="AY39" s="29"/>
      <c r="AZ39" s="30">
        <f t="shared" si="75"/>
        <v>59</v>
      </c>
      <c r="BA39" s="28">
        <f>PRODUCTION!BB39+'SUPLIER INWARD'!BB39</f>
        <v>0</v>
      </c>
      <c r="BB39" s="28"/>
      <c r="BC39" s="29">
        <v>0</v>
      </c>
      <c r="BD39" s="30">
        <f t="shared" si="76"/>
        <v>59</v>
      </c>
      <c r="BE39" s="28">
        <f>PRODUCTION!BF39+'SUPLIER INWARD'!BF39</f>
        <v>0</v>
      </c>
      <c r="BF39" s="28"/>
      <c r="BG39" s="29">
        <v>0</v>
      </c>
      <c r="BH39" s="30">
        <f t="shared" si="77"/>
        <v>59</v>
      </c>
      <c r="BI39" s="28">
        <f>PRODUCTION!BJ39+'SUPLIER INWARD'!BJ39</f>
        <v>0</v>
      </c>
      <c r="BJ39" s="28"/>
      <c r="BK39" s="29">
        <v>0</v>
      </c>
      <c r="BL39" s="30">
        <f t="shared" si="78"/>
        <v>59</v>
      </c>
      <c r="BM39" s="28">
        <f>PRODUCTION!BN39+'SUPLIER INWARD'!BN39</f>
        <v>0</v>
      </c>
      <c r="BN39" s="28"/>
      <c r="BO39" s="29">
        <v>0</v>
      </c>
      <c r="BP39" s="30">
        <f t="shared" si="79"/>
        <v>59</v>
      </c>
      <c r="BQ39" s="28">
        <f>PRODUCTION!BR39+'SUPLIER INWARD'!BR39</f>
        <v>0</v>
      </c>
      <c r="BR39" s="28"/>
      <c r="BS39" s="29">
        <v>0</v>
      </c>
      <c r="BT39" s="30">
        <f t="shared" si="80"/>
        <v>59</v>
      </c>
      <c r="BU39" s="28">
        <f>PRODUCTION!BV39+'SUPLIER INWARD'!BV39</f>
        <v>0</v>
      </c>
      <c r="BV39" s="28"/>
      <c r="BW39" s="29">
        <v>0</v>
      </c>
      <c r="BX39" s="30">
        <f t="shared" si="47"/>
        <v>59</v>
      </c>
      <c r="BY39" s="28">
        <f>PRODUCTION!BZ39+'SUPLIER INWARD'!BZ39</f>
        <v>0</v>
      </c>
      <c r="BZ39" s="28"/>
      <c r="CA39" s="29">
        <v>0</v>
      </c>
      <c r="CB39" s="30">
        <f t="shared" si="81"/>
        <v>59</v>
      </c>
      <c r="CC39" s="28">
        <f>PRODUCTION!CD39+'SUPLIER INWARD'!CD39</f>
        <v>0</v>
      </c>
      <c r="CD39" s="28"/>
      <c r="CE39" s="29">
        <v>0</v>
      </c>
      <c r="CF39" s="30">
        <f t="shared" si="82"/>
        <v>59</v>
      </c>
      <c r="CG39" s="28">
        <f>PRODUCTION!CH39+'SUPLIER INWARD'!CH39</f>
        <v>0</v>
      </c>
      <c r="CH39" s="28"/>
      <c r="CI39" s="29">
        <v>0</v>
      </c>
      <c r="CJ39" s="30">
        <f t="shared" si="50"/>
        <v>59</v>
      </c>
      <c r="CK39" s="28">
        <f>PRODUCTION!CL39+'SUPLIER INWARD'!CL39</f>
        <v>0</v>
      </c>
      <c r="CL39" s="151"/>
      <c r="CM39" s="152">
        <v>0</v>
      </c>
      <c r="CN39" s="30">
        <f t="shared" si="51"/>
        <v>59</v>
      </c>
      <c r="CO39" s="28">
        <f>PRODUCTION!CP39+'SUPLIER INWARD'!CP39</f>
        <v>0</v>
      </c>
      <c r="CP39" s="151"/>
      <c r="CQ39" s="29">
        <v>0</v>
      </c>
      <c r="CR39" s="30">
        <f t="shared" si="52"/>
        <v>59</v>
      </c>
      <c r="CS39" s="28">
        <f>PRODUCTION!CT39+'SUPLIER INWARD'!CT39</f>
        <v>0</v>
      </c>
      <c r="CT39" s="28"/>
      <c r="CU39" s="29">
        <v>0</v>
      </c>
      <c r="CV39" s="30">
        <f t="shared" si="53"/>
        <v>59</v>
      </c>
      <c r="CW39" s="28">
        <f>PRODUCTION!CX39+'SUPLIER INWARD'!CX39</f>
        <v>0</v>
      </c>
      <c r="CX39" s="28"/>
      <c r="CY39" s="29">
        <v>0</v>
      </c>
      <c r="CZ39" s="30">
        <f t="shared" si="83"/>
        <v>59</v>
      </c>
      <c r="DA39" s="28">
        <f>PRODUCTION!DB39+'SUPLIER INWARD'!DB39</f>
        <v>0</v>
      </c>
      <c r="DB39" s="28"/>
      <c r="DC39" s="29"/>
      <c r="DD39" s="30">
        <f t="shared" si="84"/>
        <v>59</v>
      </c>
      <c r="DE39" s="28">
        <f>PRODUCTION!DF39+'SUPLIER INWARD'!DF39</f>
        <v>0</v>
      </c>
      <c r="DF39" s="28"/>
      <c r="DG39" s="29">
        <v>0</v>
      </c>
      <c r="DH39" s="30">
        <f t="shared" si="85"/>
        <v>59</v>
      </c>
      <c r="DI39" s="28">
        <f>PRODUCTION!DJ39+'SUPLIER INWARD'!DJ39</f>
        <v>0</v>
      </c>
      <c r="DJ39" s="28"/>
      <c r="DK39" s="29">
        <v>0</v>
      </c>
      <c r="DL39" s="30">
        <f t="shared" si="86"/>
        <v>59</v>
      </c>
      <c r="DM39" s="28">
        <f>PRODUCTION!DN39+'SUPLIER INWARD'!DN39</f>
        <v>0</v>
      </c>
      <c r="DN39" s="28"/>
      <c r="DO39" s="29"/>
      <c r="DP39" s="30">
        <f t="shared" si="87"/>
        <v>59</v>
      </c>
      <c r="DQ39" s="28">
        <f>PRODUCTION!DR39+'SUPLIER INWARD'!DR39</f>
        <v>0</v>
      </c>
      <c r="DR39" s="28"/>
      <c r="DS39" s="29"/>
      <c r="DT39" s="30">
        <f t="shared" si="88"/>
        <v>59</v>
      </c>
      <c r="DU39" s="28">
        <f>PRODUCTION!DV39+'SUPLIER INWARD'!DV39</f>
        <v>0</v>
      </c>
      <c r="DV39" s="28"/>
      <c r="DW39" s="29"/>
      <c r="DX39" s="30">
        <f t="shared" si="89"/>
        <v>59</v>
      </c>
      <c r="DY39" s="31">
        <f t="shared" si="90"/>
        <v>679</v>
      </c>
      <c r="DZ39" s="31">
        <f t="shared" si="91"/>
        <v>1434</v>
      </c>
      <c r="EA39" s="4">
        <f t="shared" si="92"/>
        <v>0</v>
      </c>
      <c r="EB39" s="9">
        <f>D39*'MASTER SHEET'!D39</f>
        <v>16092.779999999999</v>
      </c>
      <c r="EC39" s="9">
        <f>H39*'MASTER SHEET'!D39</f>
        <v>17654.61</v>
      </c>
      <c r="ED39" s="9">
        <f>L39*'MASTER SHEET'!D39</f>
        <v>17654.61</v>
      </c>
      <c r="EE39" s="9">
        <f>P39*'MASTER SHEET'!D39</f>
        <v>17654.61</v>
      </c>
      <c r="EF39" s="9">
        <f>T39*'MASTER SHEET'!D39</f>
        <v>17654.61</v>
      </c>
      <c r="EG39" s="9">
        <f>X39*'MASTER SHEET'!D39</f>
        <v>17654.61</v>
      </c>
      <c r="EH39" s="9">
        <f>AB39*'MASTER SHEET'!D39</f>
        <v>17654.61</v>
      </c>
      <c r="EI39" s="9">
        <f>AF39*'MASTER SHEET'!D39</f>
        <v>1838.61</v>
      </c>
      <c r="EJ39" s="9">
        <f>AJ39*'MASTER SHEET'!D39</f>
        <v>1838.61</v>
      </c>
      <c r="EK39" s="9">
        <f>AN39*'MASTER SHEET'!D39</f>
        <v>1838.61</v>
      </c>
      <c r="EL39" s="9">
        <f>AR39*'MASTER SHEET'!D39</f>
        <v>1166.43</v>
      </c>
      <c r="EM39" s="9">
        <f>AV39*'MASTER SHEET'!D39</f>
        <v>1166.43</v>
      </c>
      <c r="EN39" s="9">
        <f>AZ39*'MASTER SHEET'!D39</f>
        <v>1166.43</v>
      </c>
      <c r="EO39" s="9">
        <f>BD39*'MASTER SHEET'!D39</f>
        <v>1166.43</v>
      </c>
      <c r="EP39" s="9">
        <f>$BH39*'MASTER SHEET'!$D39</f>
        <v>1166.43</v>
      </c>
      <c r="EQ39" s="9">
        <f>BL39*'MASTER SHEET'!D39</f>
        <v>1166.43</v>
      </c>
      <c r="ER39" s="9">
        <f>BP39*'MASTER SHEET'!D39</f>
        <v>1166.43</v>
      </c>
      <c r="ES39" s="9">
        <f>BT39*'MASTER SHEET'!D39</f>
        <v>1166.43</v>
      </c>
      <c r="ET39" s="9">
        <f>BX39*'MASTER SHEET'!D39</f>
        <v>1166.43</v>
      </c>
      <c r="EU39" s="9">
        <f>CB39*'MASTER SHEET'!D39</f>
        <v>1166.43</v>
      </c>
      <c r="EV39" s="9">
        <f>CF39*'MASTER SHEET'!D39</f>
        <v>1166.43</v>
      </c>
      <c r="EW39" s="9">
        <f>CJ39*'MASTER SHEET'!D39</f>
        <v>1166.43</v>
      </c>
      <c r="EX39" s="9">
        <f>CN39*'MASTER SHEET'!D39</f>
        <v>1166.43</v>
      </c>
      <c r="EY39" s="9">
        <f>CR39*'MASTER SHEET'!D39</f>
        <v>1166.43</v>
      </c>
      <c r="EZ39" s="9">
        <f>$CV39*'MASTER SHEET'!D39</f>
        <v>1166.43</v>
      </c>
      <c r="FA39" s="9">
        <f>CZ39*'MASTER SHEET'!D39</f>
        <v>1166.43</v>
      </c>
      <c r="FB39" s="9">
        <f>DD39*'MASTER SHEET'!D39</f>
        <v>1166.43</v>
      </c>
      <c r="FC39" s="9">
        <f>DH39*'MASTER SHEET'!D39</f>
        <v>1166.43</v>
      </c>
      <c r="FD39" s="9">
        <f>DL39*'MASTER SHEET'!D39</f>
        <v>1166.43</v>
      </c>
      <c r="FE39" s="9">
        <f>DP39*'MASTER SHEET'!D39</f>
        <v>1166.43</v>
      </c>
      <c r="FF39" s="9">
        <f>DT39*'MASTER SHEET'!D39</f>
        <v>1166.43</v>
      </c>
      <c r="FG39" s="9">
        <f>+DX39*'MASTER SHEET'!D39</f>
        <v>1166.43</v>
      </c>
    </row>
    <row r="40" spans="1:163" ht="20.25" customHeight="1" x14ac:dyDescent="0.25">
      <c r="A40" s="25">
        <f>'MASTER SHEET'!A40</f>
        <v>38</v>
      </c>
      <c r="B40" s="26" t="str">
        <f>'MASTER SHEET'!B40</f>
        <v>PIPE ASY PLASTIC</v>
      </c>
      <c r="C40" s="78">
        <f>'MASTER SHEET'!C40</f>
        <v>5027831</v>
      </c>
      <c r="D40" s="159">
        <v>0</v>
      </c>
      <c r="E40" s="28">
        <f>PRODUCTION!F40+'SUPLIER INWARD'!F40</f>
        <v>0</v>
      </c>
      <c r="F40" s="28"/>
      <c r="G40" s="29">
        <v>0</v>
      </c>
      <c r="H40" s="30">
        <f t="shared" si="64"/>
        <v>0</v>
      </c>
      <c r="I40" s="28">
        <f>PRODUCTION!J40+'SUPLIER INWARD'!J40</f>
        <v>0</v>
      </c>
      <c r="J40" s="28"/>
      <c r="K40" s="29">
        <v>0</v>
      </c>
      <c r="L40" s="30">
        <f t="shared" si="65"/>
        <v>0</v>
      </c>
      <c r="M40" s="28">
        <f>PRODUCTION!N40+'SUPLIER INWARD'!N40</f>
        <v>0</v>
      </c>
      <c r="N40" s="28"/>
      <c r="O40" s="29"/>
      <c r="P40" s="30">
        <f t="shared" si="66"/>
        <v>0</v>
      </c>
      <c r="Q40" s="28">
        <f>PRODUCTION!R40+'SUPLIER INWARD'!R40</f>
        <v>0</v>
      </c>
      <c r="R40" s="28"/>
      <c r="S40" s="29">
        <v>0</v>
      </c>
      <c r="T40" s="30">
        <f t="shared" si="67"/>
        <v>0</v>
      </c>
      <c r="U40" s="28">
        <f>PRODUCTION!V40+'SUPLIER INWARD'!V40</f>
        <v>0</v>
      </c>
      <c r="V40" s="28"/>
      <c r="W40" s="29">
        <v>0</v>
      </c>
      <c r="X40" s="30">
        <f t="shared" si="68"/>
        <v>0</v>
      </c>
      <c r="Y40" s="28">
        <f>PRODUCTION!Z40+'SUPLIER INWARD'!Z40</f>
        <v>0</v>
      </c>
      <c r="Z40" s="28"/>
      <c r="AA40" s="29">
        <v>0</v>
      </c>
      <c r="AB40" s="30">
        <f t="shared" si="69"/>
        <v>0</v>
      </c>
      <c r="AC40" s="28">
        <f>PRODUCTION!AD40+'SUPLIER INWARD'!AD40</f>
        <v>0</v>
      </c>
      <c r="AD40" s="28"/>
      <c r="AE40" s="29">
        <v>0</v>
      </c>
      <c r="AF40" s="30">
        <f t="shared" si="70"/>
        <v>0</v>
      </c>
      <c r="AG40" s="28">
        <f>PRODUCTION!AH40+'SUPLIER INWARD'!AH40</f>
        <v>0</v>
      </c>
      <c r="AH40" s="28"/>
      <c r="AI40" s="29">
        <v>0</v>
      </c>
      <c r="AJ40" s="30">
        <f t="shared" si="71"/>
        <v>0</v>
      </c>
      <c r="AK40" s="28">
        <f>PRODUCTION!AL40+'SUPLIER INWARD'!AL40</f>
        <v>0</v>
      </c>
      <c r="AL40" s="28"/>
      <c r="AM40" s="29">
        <v>0</v>
      </c>
      <c r="AN40" s="30">
        <f t="shared" si="72"/>
        <v>0</v>
      </c>
      <c r="AO40" s="28">
        <f>PRODUCTION!AP40+'SUPLIER INWARD'!AP40</f>
        <v>0</v>
      </c>
      <c r="AP40" s="28"/>
      <c r="AQ40" s="29">
        <v>0</v>
      </c>
      <c r="AR40" s="30">
        <f t="shared" si="73"/>
        <v>0</v>
      </c>
      <c r="AS40" s="28">
        <f>PRODUCTION!AT40+'SUPLIER INWARD'!AT40</f>
        <v>0</v>
      </c>
      <c r="AT40" s="28"/>
      <c r="AU40" s="29">
        <v>0</v>
      </c>
      <c r="AV40" s="30">
        <f t="shared" si="74"/>
        <v>0</v>
      </c>
      <c r="AW40" s="28">
        <f>PRODUCTION!AX40+'SUPLIER INWARD'!AX40</f>
        <v>0</v>
      </c>
      <c r="AX40" s="28"/>
      <c r="AY40" s="29"/>
      <c r="AZ40" s="30">
        <f t="shared" si="75"/>
        <v>0</v>
      </c>
      <c r="BA40" s="28">
        <f>PRODUCTION!BB40+'SUPLIER INWARD'!BB40</f>
        <v>0</v>
      </c>
      <c r="BB40" s="28"/>
      <c r="BC40" s="29">
        <v>0</v>
      </c>
      <c r="BD40" s="30">
        <f t="shared" si="76"/>
        <v>0</v>
      </c>
      <c r="BE40" s="28">
        <f>PRODUCTION!BF40+'SUPLIER INWARD'!BF40</f>
        <v>0</v>
      </c>
      <c r="BF40" s="28"/>
      <c r="BG40" s="29">
        <v>0</v>
      </c>
      <c r="BH40" s="30">
        <f t="shared" si="77"/>
        <v>0</v>
      </c>
      <c r="BI40" s="28">
        <f>PRODUCTION!BJ40+'SUPLIER INWARD'!BJ40</f>
        <v>0</v>
      </c>
      <c r="BJ40" s="28"/>
      <c r="BK40" s="29">
        <v>0</v>
      </c>
      <c r="BL40" s="30">
        <f t="shared" si="78"/>
        <v>0</v>
      </c>
      <c r="BM40" s="28">
        <f>PRODUCTION!BN40+'SUPLIER INWARD'!BN40</f>
        <v>0</v>
      </c>
      <c r="BN40" s="28"/>
      <c r="BO40" s="29">
        <v>0</v>
      </c>
      <c r="BP40" s="30">
        <f t="shared" si="79"/>
        <v>0</v>
      </c>
      <c r="BQ40" s="28">
        <f>PRODUCTION!BR40+'SUPLIER INWARD'!BR40</f>
        <v>0</v>
      </c>
      <c r="BR40" s="28"/>
      <c r="BS40" s="29">
        <v>0</v>
      </c>
      <c r="BT40" s="30">
        <f t="shared" si="80"/>
        <v>0</v>
      </c>
      <c r="BU40" s="28">
        <f>PRODUCTION!BV40+'SUPLIER INWARD'!BV40</f>
        <v>0</v>
      </c>
      <c r="BV40" s="28"/>
      <c r="BW40" s="29">
        <v>0</v>
      </c>
      <c r="BX40" s="30">
        <f t="shared" si="47"/>
        <v>0</v>
      </c>
      <c r="BY40" s="28">
        <f>PRODUCTION!BZ40+'SUPLIER INWARD'!BZ40</f>
        <v>0</v>
      </c>
      <c r="BZ40" s="28"/>
      <c r="CA40" s="29">
        <v>0</v>
      </c>
      <c r="CB40" s="30">
        <f t="shared" si="81"/>
        <v>0</v>
      </c>
      <c r="CC40" s="28">
        <f>PRODUCTION!CD40+'SUPLIER INWARD'!CD40</f>
        <v>0</v>
      </c>
      <c r="CD40" s="28"/>
      <c r="CE40" s="29">
        <v>0</v>
      </c>
      <c r="CF40" s="30">
        <f t="shared" si="82"/>
        <v>0</v>
      </c>
      <c r="CG40" s="28">
        <f>PRODUCTION!CH40+'SUPLIER INWARD'!CH40</f>
        <v>0</v>
      </c>
      <c r="CH40" s="28"/>
      <c r="CI40" s="29">
        <v>0</v>
      </c>
      <c r="CJ40" s="30">
        <f t="shared" si="50"/>
        <v>0</v>
      </c>
      <c r="CK40" s="28">
        <f>PRODUCTION!CL40+'SUPLIER INWARD'!CL40</f>
        <v>0</v>
      </c>
      <c r="CL40" s="151"/>
      <c r="CM40" s="152">
        <v>0</v>
      </c>
      <c r="CN40" s="30">
        <f t="shared" si="51"/>
        <v>0</v>
      </c>
      <c r="CO40" s="28">
        <f>PRODUCTION!CP40+'SUPLIER INWARD'!CP40</f>
        <v>0</v>
      </c>
      <c r="CP40" s="151"/>
      <c r="CQ40" s="29">
        <v>0</v>
      </c>
      <c r="CR40" s="30">
        <f t="shared" si="52"/>
        <v>0</v>
      </c>
      <c r="CS40" s="28">
        <f>PRODUCTION!CT40+'SUPLIER INWARD'!CT40</f>
        <v>0</v>
      </c>
      <c r="CT40" s="28"/>
      <c r="CU40" s="29">
        <v>0</v>
      </c>
      <c r="CV40" s="30">
        <f t="shared" si="53"/>
        <v>0</v>
      </c>
      <c r="CW40" s="28">
        <f>PRODUCTION!CX40+'SUPLIER INWARD'!CX40</f>
        <v>0</v>
      </c>
      <c r="CX40" s="28"/>
      <c r="CY40" s="29">
        <v>0</v>
      </c>
      <c r="CZ40" s="30">
        <f t="shared" si="83"/>
        <v>0</v>
      </c>
      <c r="DA40" s="28">
        <f>PRODUCTION!DB40+'SUPLIER INWARD'!DB40</f>
        <v>0</v>
      </c>
      <c r="DB40" s="28"/>
      <c r="DC40" s="29"/>
      <c r="DD40" s="30">
        <f t="shared" si="84"/>
        <v>0</v>
      </c>
      <c r="DE40" s="28">
        <f>PRODUCTION!DF40+'SUPLIER INWARD'!DF40</f>
        <v>0</v>
      </c>
      <c r="DF40" s="28"/>
      <c r="DG40" s="29">
        <v>0</v>
      </c>
      <c r="DH40" s="30">
        <f t="shared" si="85"/>
        <v>0</v>
      </c>
      <c r="DI40" s="28">
        <f>PRODUCTION!DJ40+'SUPLIER INWARD'!DJ40</f>
        <v>0</v>
      </c>
      <c r="DJ40" s="28"/>
      <c r="DK40" s="29">
        <v>0</v>
      </c>
      <c r="DL40" s="30">
        <f t="shared" si="86"/>
        <v>0</v>
      </c>
      <c r="DM40" s="28">
        <f>PRODUCTION!DN40+'SUPLIER INWARD'!DN40</f>
        <v>0</v>
      </c>
      <c r="DN40" s="28"/>
      <c r="DO40" s="29"/>
      <c r="DP40" s="30">
        <f t="shared" si="87"/>
        <v>0</v>
      </c>
      <c r="DQ40" s="28">
        <f>PRODUCTION!DR40+'SUPLIER INWARD'!DR40</f>
        <v>0</v>
      </c>
      <c r="DR40" s="28"/>
      <c r="DS40" s="29"/>
      <c r="DT40" s="30">
        <f t="shared" si="88"/>
        <v>0</v>
      </c>
      <c r="DU40" s="28">
        <f>PRODUCTION!DV40+'SUPLIER INWARD'!DV40</f>
        <v>0</v>
      </c>
      <c r="DV40" s="28"/>
      <c r="DW40" s="29"/>
      <c r="DX40" s="30">
        <f t="shared" si="89"/>
        <v>0</v>
      </c>
      <c r="DY40" s="31">
        <f t="shared" si="90"/>
        <v>0</v>
      </c>
      <c r="DZ40" s="31">
        <f t="shared" si="91"/>
        <v>0</v>
      </c>
      <c r="EA40" s="4">
        <f t="shared" si="92"/>
        <v>0</v>
      </c>
      <c r="EB40" s="9">
        <f>D40*'MASTER SHEET'!D40</f>
        <v>0</v>
      </c>
      <c r="EC40" s="9">
        <f>H40*'MASTER SHEET'!D40</f>
        <v>0</v>
      </c>
      <c r="ED40" s="9">
        <f>L40*'MASTER SHEET'!D40</f>
        <v>0</v>
      </c>
      <c r="EE40" s="9">
        <f>P40*'MASTER SHEET'!D40</f>
        <v>0</v>
      </c>
      <c r="EF40" s="9">
        <f>T40*'MASTER SHEET'!D40</f>
        <v>0</v>
      </c>
      <c r="EG40" s="9">
        <f>X40*'MASTER SHEET'!D40</f>
        <v>0</v>
      </c>
      <c r="EH40" s="9">
        <f>AB40*'MASTER SHEET'!D40</f>
        <v>0</v>
      </c>
      <c r="EI40" s="9">
        <f>AF40*'MASTER SHEET'!D40</f>
        <v>0</v>
      </c>
      <c r="EJ40" s="9">
        <f>AJ40*'MASTER SHEET'!D40</f>
        <v>0</v>
      </c>
      <c r="EK40" s="9">
        <f>AN40*'MASTER SHEET'!D40</f>
        <v>0</v>
      </c>
      <c r="EL40" s="9">
        <f>AR40*'MASTER SHEET'!D40</f>
        <v>0</v>
      </c>
      <c r="EM40" s="9">
        <f>AV40*'MASTER SHEET'!D40</f>
        <v>0</v>
      </c>
      <c r="EN40" s="9">
        <f>AZ40*'MASTER SHEET'!D40</f>
        <v>0</v>
      </c>
      <c r="EO40" s="9">
        <f>BD40*'MASTER SHEET'!D40</f>
        <v>0</v>
      </c>
      <c r="EP40" s="9">
        <f>$BH40*'MASTER SHEET'!$D40</f>
        <v>0</v>
      </c>
      <c r="EQ40" s="9">
        <f>BL40*'MASTER SHEET'!D40</f>
        <v>0</v>
      </c>
      <c r="ER40" s="9">
        <f>BP40*'MASTER SHEET'!D40</f>
        <v>0</v>
      </c>
      <c r="ES40" s="9">
        <f>BT40*'MASTER SHEET'!D40</f>
        <v>0</v>
      </c>
      <c r="ET40" s="9">
        <f>BX40*'MASTER SHEET'!D40</f>
        <v>0</v>
      </c>
      <c r="EU40" s="9">
        <f>CB40*'MASTER SHEET'!D40</f>
        <v>0</v>
      </c>
      <c r="EV40" s="9">
        <f>CF40*'MASTER SHEET'!D40</f>
        <v>0</v>
      </c>
      <c r="EW40" s="9">
        <f>CJ40*'MASTER SHEET'!D40</f>
        <v>0</v>
      </c>
      <c r="EX40" s="9">
        <f>CN40*'MASTER SHEET'!D40</f>
        <v>0</v>
      </c>
      <c r="EY40" s="9">
        <f>CR40*'MASTER SHEET'!D40</f>
        <v>0</v>
      </c>
      <c r="EZ40" s="9">
        <f>$CV40*'MASTER SHEET'!D40</f>
        <v>0</v>
      </c>
      <c r="FA40" s="9">
        <f>CZ40*'MASTER SHEET'!D40</f>
        <v>0</v>
      </c>
      <c r="FB40" s="9">
        <f>DD40*'MASTER SHEET'!D40</f>
        <v>0</v>
      </c>
      <c r="FC40" s="9">
        <f>DH40*'MASTER SHEET'!D40</f>
        <v>0</v>
      </c>
      <c r="FD40" s="9">
        <f>DL40*'MASTER SHEET'!D40</f>
        <v>0</v>
      </c>
      <c r="FE40" s="9">
        <f>DP40*'MASTER SHEET'!D40</f>
        <v>0</v>
      </c>
      <c r="FF40" s="9">
        <f>DT40*'MASTER SHEET'!D40</f>
        <v>0</v>
      </c>
      <c r="FG40" s="9">
        <f>+DX40*'MASTER SHEET'!D40</f>
        <v>0</v>
      </c>
    </row>
    <row r="41" spans="1:163" ht="20.25" customHeight="1" x14ac:dyDescent="0.25">
      <c r="A41" s="25">
        <f>'MASTER SHEET'!A41</f>
        <v>39</v>
      </c>
      <c r="B41" s="26" t="str">
        <f>'MASTER SHEET'!B41</f>
        <v>PIPE ASY PLASTIC</v>
      </c>
      <c r="C41" s="78">
        <f>'MASTER SHEET'!C41</f>
        <v>5027832</v>
      </c>
      <c r="D41" s="159">
        <v>0</v>
      </c>
      <c r="E41" s="28">
        <f>PRODUCTION!F41+'SUPLIER INWARD'!F41</f>
        <v>0</v>
      </c>
      <c r="F41" s="28"/>
      <c r="G41" s="29">
        <v>0</v>
      </c>
      <c r="H41" s="30">
        <f t="shared" si="64"/>
        <v>0</v>
      </c>
      <c r="I41" s="28">
        <f>PRODUCTION!J41+'SUPLIER INWARD'!J41</f>
        <v>0</v>
      </c>
      <c r="J41" s="28"/>
      <c r="K41" s="29">
        <v>0</v>
      </c>
      <c r="L41" s="30">
        <f t="shared" si="65"/>
        <v>0</v>
      </c>
      <c r="M41" s="28">
        <f>PRODUCTION!N41+'SUPLIER INWARD'!N41</f>
        <v>0</v>
      </c>
      <c r="N41" s="28"/>
      <c r="O41" s="29"/>
      <c r="P41" s="30">
        <f t="shared" si="66"/>
        <v>0</v>
      </c>
      <c r="Q41" s="28">
        <f>PRODUCTION!R41+'SUPLIER INWARD'!R41</f>
        <v>0</v>
      </c>
      <c r="R41" s="28"/>
      <c r="S41" s="29">
        <v>0</v>
      </c>
      <c r="T41" s="30">
        <f t="shared" si="67"/>
        <v>0</v>
      </c>
      <c r="U41" s="28">
        <f>PRODUCTION!V41+'SUPLIER INWARD'!V41</f>
        <v>0</v>
      </c>
      <c r="V41" s="28"/>
      <c r="W41" s="29">
        <v>0</v>
      </c>
      <c r="X41" s="30">
        <f t="shared" si="68"/>
        <v>0</v>
      </c>
      <c r="Y41" s="28">
        <f>PRODUCTION!Z41+'SUPLIER INWARD'!Z41</f>
        <v>0</v>
      </c>
      <c r="Z41" s="28"/>
      <c r="AA41" s="29">
        <v>0</v>
      </c>
      <c r="AB41" s="30">
        <f t="shared" si="69"/>
        <v>0</v>
      </c>
      <c r="AC41" s="28">
        <f>PRODUCTION!AD41+'SUPLIER INWARD'!AD41</f>
        <v>0</v>
      </c>
      <c r="AD41" s="28"/>
      <c r="AE41" s="29">
        <v>0</v>
      </c>
      <c r="AF41" s="30">
        <f t="shared" si="70"/>
        <v>0</v>
      </c>
      <c r="AG41" s="28">
        <f>PRODUCTION!AH41+'SUPLIER INWARD'!AH41</f>
        <v>0</v>
      </c>
      <c r="AH41" s="28"/>
      <c r="AI41" s="29">
        <v>0</v>
      </c>
      <c r="AJ41" s="30">
        <f t="shared" si="71"/>
        <v>0</v>
      </c>
      <c r="AK41" s="28">
        <f>PRODUCTION!AL41+'SUPLIER INWARD'!AL41</f>
        <v>0</v>
      </c>
      <c r="AL41" s="28"/>
      <c r="AM41" s="29">
        <v>0</v>
      </c>
      <c r="AN41" s="30">
        <f t="shared" si="72"/>
        <v>0</v>
      </c>
      <c r="AO41" s="28">
        <f>PRODUCTION!AP41+'SUPLIER INWARD'!AP41</f>
        <v>0</v>
      </c>
      <c r="AP41" s="28"/>
      <c r="AQ41" s="29">
        <v>0</v>
      </c>
      <c r="AR41" s="30">
        <f t="shared" si="73"/>
        <v>0</v>
      </c>
      <c r="AS41" s="28">
        <f>PRODUCTION!AT41+'SUPLIER INWARD'!AT41</f>
        <v>0</v>
      </c>
      <c r="AT41" s="28"/>
      <c r="AU41" s="29">
        <v>0</v>
      </c>
      <c r="AV41" s="30">
        <f t="shared" si="74"/>
        <v>0</v>
      </c>
      <c r="AW41" s="28">
        <f>PRODUCTION!AX41+'SUPLIER INWARD'!AX41</f>
        <v>0</v>
      </c>
      <c r="AX41" s="28"/>
      <c r="AY41" s="29"/>
      <c r="AZ41" s="30">
        <f t="shared" si="75"/>
        <v>0</v>
      </c>
      <c r="BA41" s="28">
        <f>PRODUCTION!BB41+'SUPLIER INWARD'!BB41</f>
        <v>0</v>
      </c>
      <c r="BB41" s="28"/>
      <c r="BC41" s="29">
        <v>0</v>
      </c>
      <c r="BD41" s="30">
        <f t="shared" si="76"/>
        <v>0</v>
      </c>
      <c r="BE41" s="28">
        <f>PRODUCTION!BF41+'SUPLIER INWARD'!BF41</f>
        <v>0</v>
      </c>
      <c r="BF41" s="28"/>
      <c r="BG41" s="29">
        <v>0</v>
      </c>
      <c r="BH41" s="30">
        <f t="shared" si="77"/>
        <v>0</v>
      </c>
      <c r="BI41" s="28">
        <f>PRODUCTION!BJ41+'SUPLIER INWARD'!BJ41</f>
        <v>0</v>
      </c>
      <c r="BJ41" s="28"/>
      <c r="BK41" s="29">
        <v>0</v>
      </c>
      <c r="BL41" s="30">
        <f t="shared" si="78"/>
        <v>0</v>
      </c>
      <c r="BM41" s="28">
        <f>PRODUCTION!BN41+'SUPLIER INWARD'!BN41</f>
        <v>0</v>
      </c>
      <c r="BN41" s="28"/>
      <c r="BO41" s="29">
        <v>0</v>
      </c>
      <c r="BP41" s="30">
        <f t="shared" si="79"/>
        <v>0</v>
      </c>
      <c r="BQ41" s="28">
        <f>PRODUCTION!BR41+'SUPLIER INWARD'!BR41</f>
        <v>0</v>
      </c>
      <c r="BR41" s="28"/>
      <c r="BS41" s="29">
        <v>0</v>
      </c>
      <c r="BT41" s="30">
        <f t="shared" si="80"/>
        <v>0</v>
      </c>
      <c r="BU41" s="28">
        <f>PRODUCTION!BV41+'SUPLIER INWARD'!BV41</f>
        <v>0</v>
      </c>
      <c r="BV41" s="28"/>
      <c r="BW41" s="29">
        <v>0</v>
      </c>
      <c r="BX41" s="30">
        <f t="shared" si="47"/>
        <v>0</v>
      </c>
      <c r="BY41" s="28">
        <f>PRODUCTION!BZ41+'SUPLIER INWARD'!BZ41</f>
        <v>0</v>
      </c>
      <c r="BZ41" s="28"/>
      <c r="CA41" s="29">
        <v>0</v>
      </c>
      <c r="CB41" s="30">
        <f t="shared" si="81"/>
        <v>0</v>
      </c>
      <c r="CC41" s="28">
        <f>PRODUCTION!CD41+'SUPLIER INWARD'!CD41</f>
        <v>0</v>
      </c>
      <c r="CD41" s="28"/>
      <c r="CE41" s="29">
        <v>0</v>
      </c>
      <c r="CF41" s="30">
        <f t="shared" si="82"/>
        <v>0</v>
      </c>
      <c r="CG41" s="28">
        <f>PRODUCTION!CH41+'SUPLIER INWARD'!CH41</f>
        <v>0</v>
      </c>
      <c r="CH41" s="28"/>
      <c r="CI41" s="29">
        <v>0</v>
      </c>
      <c r="CJ41" s="30">
        <f t="shared" si="50"/>
        <v>0</v>
      </c>
      <c r="CK41" s="28">
        <f>PRODUCTION!CL41+'SUPLIER INWARD'!CL41</f>
        <v>0</v>
      </c>
      <c r="CL41" s="151"/>
      <c r="CM41" s="152">
        <v>0</v>
      </c>
      <c r="CN41" s="30">
        <f t="shared" si="51"/>
        <v>0</v>
      </c>
      <c r="CO41" s="28">
        <f>PRODUCTION!CP41+'SUPLIER INWARD'!CP41</f>
        <v>0</v>
      </c>
      <c r="CP41" s="151"/>
      <c r="CQ41" s="29">
        <v>0</v>
      </c>
      <c r="CR41" s="30">
        <f t="shared" si="52"/>
        <v>0</v>
      </c>
      <c r="CS41" s="28">
        <f>PRODUCTION!CT41+'SUPLIER INWARD'!CT41</f>
        <v>0</v>
      </c>
      <c r="CT41" s="28"/>
      <c r="CU41" s="29">
        <v>0</v>
      </c>
      <c r="CV41" s="30">
        <f t="shared" si="53"/>
        <v>0</v>
      </c>
      <c r="CW41" s="28">
        <f>PRODUCTION!CX41+'SUPLIER INWARD'!CX41</f>
        <v>0</v>
      </c>
      <c r="CX41" s="28"/>
      <c r="CY41" s="29">
        <v>0</v>
      </c>
      <c r="CZ41" s="30">
        <f t="shared" si="83"/>
        <v>0</v>
      </c>
      <c r="DA41" s="28">
        <f>PRODUCTION!DB41+'SUPLIER INWARD'!DB41</f>
        <v>0</v>
      </c>
      <c r="DB41" s="28"/>
      <c r="DC41" s="29"/>
      <c r="DD41" s="30">
        <f t="shared" si="84"/>
        <v>0</v>
      </c>
      <c r="DE41" s="28">
        <f>PRODUCTION!DF41+'SUPLIER INWARD'!DF41</f>
        <v>0</v>
      </c>
      <c r="DF41" s="28"/>
      <c r="DG41" s="29">
        <v>0</v>
      </c>
      <c r="DH41" s="30">
        <f t="shared" si="85"/>
        <v>0</v>
      </c>
      <c r="DI41" s="28">
        <f>PRODUCTION!DJ41+'SUPLIER INWARD'!DJ41</f>
        <v>0</v>
      </c>
      <c r="DJ41" s="28"/>
      <c r="DK41" s="29">
        <v>0</v>
      </c>
      <c r="DL41" s="30">
        <f t="shared" si="86"/>
        <v>0</v>
      </c>
      <c r="DM41" s="28">
        <f>PRODUCTION!DN41+'SUPLIER INWARD'!DN41</f>
        <v>0</v>
      </c>
      <c r="DN41" s="28"/>
      <c r="DO41" s="29"/>
      <c r="DP41" s="30">
        <f t="shared" si="87"/>
        <v>0</v>
      </c>
      <c r="DQ41" s="28">
        <f>PRODUCTION!DR41+'SUPLIER INWARD'!DR41</f>
        <v>0</v>
      </c>
      <c r="DR41" s="28"/>
      <c r="DS41" s="29"/>
      <c r="DT41" s="30">
        <f t="shared" si="88"/>
        <v>0</v>
      </c>
      <c r="DU41" s="28">
        <f>PRODUCTION!DV41+'SUPLIER INWARD'!DV41</f>
        <v>0</v>
      </c>
      <c r="DV41" s="28"/>
      <c r="DW41" s="29"/>
      <c r="DX41" s="30">
        <f t="shared" si="89"/>
        <v>0</v>
      </c>
      <c r="DY41" s="31">
        <f t="shared" si="90"/>
        <v>0</v>
      </c>
      <c r="DZ41" s="31">
        <f t="shared" si="91"/>
        <v>0</v>
      </c>
      <c r="EA41" s="4">
        <f t="shared" si="92"/>
        <v>0</v>
      </c>
      <c r="EB41" s="9">
        <f>D41*'MASTER SHEET'!D41</f>
        <v>0</v>
      </c>
      <c r="EC41" s="9">
        <f>H41*'MASTER SHEET'!D41</f>
        <v>0</v>
      </c>
      <c r="ED41" s="9">
        <f>L41*'MASTER SHEET'!D41</f>
        <v>0</v>
      </c>
      <c r="EE41" s="9">
        <f>P41*'MASTER SHEET'!D41</f>
        <v>0</v>
      </c>
      <c r="EF41" s="9">
        <f>T41*'MASTER SHEET'!D41</f>
        <v>0</v>
      </c>
      <c r="EG41" s="9">
        <f>X41*'MASTER SHEET'!D41</f>
        <v>0</v>
      </c>
      <c r="EH41" s="9">
        <f>AB41*'MASTER SHEET'!D41</f>
        <v>0</v>
      </c>
      <c r="EI41" s="9">
        <f>AF41*'MASTER SHEET'!D41</f>
        <v>0</v>
      </c>
      <c r="EJ41" s="9">
        <f>AJ41*'MASTER SHEET'!D41</f>
        <v>0</v>
      </c>
      <c r="EK41" s="9">
        <f>AN41*'MASTER SHEET'!D41</f>
        <v>0</v>
      </c>
      <c r="EL41" s="9">
        <f>AR41*'MASTER SHEET'!D41</f>
        <v>0</v>
      </c>
      <c r="EM41" s="9">
        <f>AV41*'MASTER SHEET'!D41</f>
        <v>0</v>
      </c>
      <c r="EN41" s="9">
        <f>AZ41*'MASTER SHEET'!D41</f>
        <v>0</v>
      </c>
      <c r="EO41" s="9">
        <f>BD41*'MASTER SHEET'!D41</f>
        <v>0</v>
      </c>
      <c r="EP41" s="9">
        <f>$BH41*'MASTER SHEET'!$D41</f>
        <v>0</v>
      </c>
      <c r="EQ41" s="9">
        <f>BL41*'MASTER SHEET'!D41</f>
        <v>0</v>
      </c>
      <c r="ER41" s="9">
        <f>BP41*'MASTER SHEET'!D41</f>
        <v>0</v>
      </c>
      <c r="ES41" s="9">
        <f>BT41*'MASTER SHEET'!D41</f>
        <v>0</v>
      </c>
      <c r="ET41" s="9">
        <f>BX41*'MASTER SHEET'!D41</f>
        <v>0</v>
      </c>
      <c r="EU41" s="9">
        <f>CB41*'MASTER SHEET'!D41</f>
        <v>0</v>
      </c>
      <c r="EV41" s="9">
        <f>CF41*'MASTER SHEET'!D41</f>
        <v>0</v>
      </c>
      <c r="EW41" s="9">
        <f>CJ41*'MASTER SHEET'!D41</f>
        <v>0</v>
      </c>
      <c r="EX41" s="9">
        <f>CN41*'MASTER SHEET'!D41</f>
        <v>0</v>
      </c>
      <c r="EY41" s="9">
        <f>CR41*'MASTER SHEET'!D41</f>
        <v>0</v>
      </c>
      <c r="EZ41" s="9">
        <f>$CV41*'MASTER SHEET'!D41</f>
        <v>0</v>
      </c>
      <c r="FA41" s="9">
        <f>CZ41*'MASTER SHEET'!D41</f>
        <v>0</v>
      </c>
      <c r="FB41" s="9">
        <f>DD41*'MASTER SHEET'!D41</f>
        <v>0</v>
      </c>
      <c r="FC41" s="9">
        <f>DH41*'MASTER SHEET'!D41</f>
        <v>0</v>
      </c>
      <c r="FD41" s="9">
        <f>DL41*'MASTER SHEET'!D41</f>
        <v>0</v>
      </c>
      <c r="FE41" s="9">
        <f>DP41*'MASTER SHEET'!D41</f>
        <v>0</v>
      </c>
      <c r="FF41" s="9">
        <f>DT41*'MASTER SHEET'!D41</f>
        <v>0</v>
      </c>
      <c r="FG41" s="9">
        <f>+DX41*'MASTER SHEET'!D41</f>
        <v>0</v>
      </c>
    </row>
    <row r="42" spans="1:163" ht="20.25" customHeight="1" x14ac:dyDescent="0.25">
      <c r="A42" s="25">
        <f>'MASTER SHEET'!A42</f>
        <v>40</v>
      </c>
      <c r="B42" s="26" t="str">
        <f>'MASTER SHEET'!B42</f>
        <v>PIPE ASY PLASTIC</v>
      </c>
      <c r="C42" s="78">
        <f>'MASTER SHEET'!C42</f>
        <v>5027833</v>
      </c>
      <c r="D42" s="159">
        <v>0</v>
      </c>
      <c r="E42" s="28">
        <f>PRODUCTION!F42+'SUPLIER INWARD'!F42</f>
        <v>0</v>
      </c>
      <c r="F42" s="28"/>
      <c r="G42" s="29">
        <v>0</v>
      </c>
      <c r="H42" s="30">
        <f t="shared" si="64"/>
        <v>0</v>
      </c>
      <c r="I42" s="28">
        <f>PRODUCTION!J42+'SUPLIER INWARD'!J42</f>
        <v>0</v>
      </c>
      <c r="J42" s="28"/>
      <c r="K42" s="29">
        <v>0</v>
      </c>
      <c r="L42" s="30">
        <f t="shared" si="65"/>
        <v>0</v>
      </c>
      <c r="M42" s="28">
        <f>PRODUCTION!N42+'SUPLIER INWARD'!N42</f>
        <v>0</v>
      </c>
      <c r="N42" s="28"/>
      <c r="O42" s="29"/>
      <c r="P42" s="30">
        <f t="shared" si="66"/>
        <v>0</v>
      </c>
      <c r="Q42" s="28">
        <f>PRODUCTION!R42+'SUPLIER INWARD'!R42</f>
        <v>0</v>
      </c>
      <c r="R42" s="28"/>
      <c r="S42" s="29">
        <v>0</v>
      </c>
      <c r="T42" s="30">
        <f t="shared" si="67"/>
        <v>0</v>
      </c>
      <c r="U42" s="28">
        <f>PRODUCTION!V42+'SUPLIER INWARD'!V42</f>
        <v>0</v>
      </c>
      <c r="V42" s="28"/>
      <c r="W42" s="29">
        <v>0</v>
      </c>
      <c r="X42" s="30">
        <f t="shared" si="68"/>
        <v>0</v>
      </c>
      <c r="Y42" s="28">
        <f>PRODUCTION!Z42+'SUPLIER INWARD'!Z42</f>
        <v>0</v>
      </c>
      <c r="Z42" s="28"/>
      <c r="AA42" s="29">
        <v>0</v>
      </c>
      <c r="AB42" s="30">
        <f t="shared" si="69"/>
        <v>0</v>
      </c>
      <c r="AC42" s="28">
        <f>PRODUCTION!AD42+'SUPLIER INWARD'!AD42</f>
        <v>0</v>
      </c>
      <c r="AD42" s="28"/>
      <c r="AE42" s="29">
        <v>0</v>
      </c>
      <c r="AF42" s="30">
        <f t="shared" si="70"/>
        <v>0</v>
      </c>
      <c r="AG42" s="28">
        <f>PRODUCTION!AH42+'SUPLIER INWARD'!AH42</f>
        <v>0</v>
      </c>
      <c r="AH42" s="28"/>
      <c r="AI42" s="29">
        <v>0</v>
      </c>
      <c r="AJ42" s="30">
        <f t="shared" si="71"/>
        <v>0</v>
      </c>
      <c r="AK42" s="28">
        <f>PRODUCTION!AL42+'SUPLIER INWARD'!AL42</f>
        <v>0</v>
      </c>
      <c r="AL42" s="28"/>
      <c r="AM42" s="29">
        <v>0</v>
      </c>
      <c r="AN42" s="30">
        <f t="shared" si="72"/>
        <v>0</v>
      </c>
      <c r="AO42" s="28">
        <f>PRODUCTION!AP42+'SUPLIER INWARD'!AP42</f>
        <v>0</v>
      </c>
      <c r="AP42" s="28"/>
      <c r="AQ42" s="29">
        <v>0</v>
      </c>
      <c r="AR42" s="30">
        <f t="shared" si="73"/>
        <v>0</v>
      </c>
      <c r="AS42" s="28">
        <f>PRODUCTION!AT42+'SUPLIER INWARD'!AT42</f>
        <v>0</v>
      </c>
      <c r="AT42" s="28"/>
      <c r="AU42" s="29">
        <v>0</v>
      </c>
      <c r="AV42" s="30">
        <f t="shared" si="74"/>
        <v>0</v>
      </c>
      <c r="AW42" s="28">
        <f>PRODUCTION!AX42+'SUPLIER INWARD'!AX42</f>
        <v>0</v>
      </c>
      <c r="AX42" s="28"/>
      <c r="AY42" s="29"/>
      <c r="AZ42" s="30">
        <f t="shared" si="75"/>
        <v>0</v>
      </c>
      <c r="BA42" s="28">
        <f>PRODUCTION!BB42+'SUPLIER INWARD'!BB42</f>
        <v>0</v>
      </c>
      <c r="BB42" s="28"/>
      <c r="BC42" s="29">
        <v>0</v>
      </c>
      <c r="BD42" s="30">
        <f t="shared" si="76"/>
        <v>0</v>
      </c>
      <c r="BE42" s="28">
        <f>PRODUCTION!BF42+'SUPLIER INWARD'!BF42</f>
        <v>0</v>
      </c>
      <c r="BF42" s="28"/>
      <c r="BG42" s="29">
        <v>0</v>
      </c>
      <c r="BH42" s="30">
        <f t="shared" si="77"/>
        <v>0</v>
      </c>
      <c r="BI42" s="28">
        <f>PRODUCTION!BJ42+'SUPLIER INWARD'!BJ42</f>
        <v>0</v>
      </c>
      <c r="BJ42" s="28"/>
      <c r="BK42" s="29">
        <v>0</v>
      </c>
      <c r="BL42" s="30">
        <f t="shared" si="78"/>
        <v>0</v>
      </c>
      <c r="BM42" s="28">
        <f>PRODUCTION!BN42+'SUPLIER INWARD'!BN42</f>
        <v>0</v>
      </c>
      <c r="BN42" s="28"/>
      <c r="BO42" s="29">
        <v>0</v>
      </c>
      <c r="BP42" s="30">
        <f t="shared" si="79"/>
        <v>0</v>
      </c>
      <c r="BQ42" s="28">
        <f>PRODUCTION!BR42+'SUPLIER INWARD'!BR42</f>
        <v>0</v>
      </c>
      <c r="BR42" s="28"/>
      <c r="BS42" s="29">
        <v>0</v>
      </c>
      <c r="BT42" s="30">
        <f t="shared" si="80"/>
        <v>0</v>
      </c>
      <c r="BU42" s="28">
        <f>PRODUCTION!BV42+'SUPLIER INWARD'!BV42</f>
        <v>0</v>
      </c>
      <c r="BV42" s="28"/>
      <c r="BW42" s="29">
        <v>0</v>
      </c>
      <c r="BX42" s="30">
        <f t="shared" si="47"/>
        <v>0</v>
      </c>
      <c r="BY42" s="28">
        <f>PRODUCTION!BZ42+'SUPLIER INWARD'!BZ42</f>
        <v>0</v>
      </c>
      <c r="BZ42" s="28"/>
      <c r="CA42" s="29">
        <v>0</v>
      </c>
      <c r="CB42" s="30">
        <f t="shared" si="81"/>
        <v>0</v>
      </c>
      <c r="CC42" s="28">
        <f>PRODUCTION!CD42+'SUPLIER INWARD'!CD42</f>
        <v>0</v>
      </c>
      <c r="CD42" s="28"/>
      <c r="CE42" s="29">
        <v>0</v>
      </c>
      <c r="CF42" s="30">
        <f t="shared" si="82"/>
        <v>0</v>
      </c>
      <c r="CG42" s="28">
        <f>PRODUCTION!CH42+'SUPLIER INWARD'!CH42</f>
        <v>0</v>
      </c>
      <c r="CH42" s="28"/>
      <c r="CI42" s="29">
        <v>0</v>
      </c>
      <c r="CJ42" s="30">
        <f t="shared" si="50"/>
        <v>0</v>
      </c>
      <c r="CK42" s="28">
        <f>PRODUCTION!CL42+'SUPLIER INWARD'!CL42</f>
        <v>0</v>
      </c>
      <c r="CL42" s="151"/>
      <c r="CM42" s="152">
        <v>0</v>
      </c>
      <c r="CN42" s="30">
        <f t="shared" si="51"/>
        <v>0</v>
      </c>
      <c r="CO42" s="28">
        <f>PRODUCTION!CP42+'SUPLIER INWARD'!CP42</f>
        <v>0</v>
      </c>
      <c r="CP42" s="151"/>
      <c r="CQ42" s="29">
        <v>0</v>
      </c>
      <c r="CR42" s="30">
        <f t="shared" si="52"/>
        <v>0</v>
      </c>
      <c r="CS42" s="28">
        <f>PRODUCTION!CT42+'SUPLIER INWARD'!CT42</f>
        <v>0</v>
      </c>
      <c r="CT42" s="28"/>
      <c r="CU42" s="29">
        <v>0</v>
      </c>
      <c r="CV42" s="30">
        <f t="shared" si="53"/>
        <v>0</v>
      </c>
      <c r="CW42" s="28">
        <f>PRODUCTION!CX42+'SUPLIER INWARD'!CX42</f>
        <v>0</v>
      </c>
      <c r="CX42" s="28"/>
      <c r="CY42" s="29">
        <v>0</v>
      </c>
      <c r="CZ42" s="30">
        <f t="shared" si="83"/>
        <v>0</v>
      </c>
      <c r="DA42" s="28">
        <f>PRODUCTION!DB42+'SUPLIER INWARD'!DB42</f>
        <v>0</v>
      </c>
      <c r="DB42" s="28"/>
      <c r="DC42" s="29"/>
      <c r="DD42" s="30">
        <f t="shared" si="84"/>
        <v>0</v>
      </c>
      <c r="DE42" s="28">
        <f>PRODUCTION!DF42+'SUPLIER INWARD'!DF42</f>
        <v>0</v>
      </c>
      <c r="DF42" s="28"/>
      <c r="DG42" s="29">
        <v>0</v>
      </c>
      <c r="DH42" s="30">
        <f t="shared" si="85"/>
        <v>0</v>
      </c>
      <c r="DI42" s="28">
        <f>PRODUCTION!DJ42+'SUPLIER INWARD'!DJ42</f>
        <v>0</v>
      </c>
      <c r="DJ42" s="28"/>
      <c r="DK42" s="29">
        <v>0</v>
      </c>
      <c r="DL42" s="30">
        <f t="shared" si="86"/>
        <v>0</v>
      </c>
      <c r="DM42" s="28">
        <f>PRODUCTION!DN42+'SUPLIER INWARD'!DN42</f>
        <v>0</v>
      </c>
      <c r="DN42" s="28"/>
      <c r="DO42" s="29"/>
      <c r="DP42" s="30">
        <f t="shared" si="87"/>
        <v>0</v>
      </c>
      <c r="DQ42" s="28">
        <f>PRODUCTION!DR42+'SUPLIER INWARD'!DR42</f>
        <v>0</v>
      </c>
      <c r="DR42" s="28"/>
      <c r="DS42" s="29"/>
      <c r="DT42" s="30">
        <f t="shared" si="88"/>
        <v>0</v>
      </c>
      <c r="DU42" s="28">
        <f>PRODUCTION!DV42+'SUPLIER INWARD'!DV42</f>
        <v>0</v>
      </c>
      <c r="DV42" s="28"/>
      <c r="DW42" s="29"/>
      <c r="DX42" s="30">
        <f t="shared" si="89"/>
        <v>0</v>
      </c>
      <c r="DY42" s="31">
        <f t="shared" si="90"/>
        <v>0</v>
      </c>
      <c r="DZ42" s="31">
        <f t="shared" si="91"/>
        <v>0</v>
      </c>
      <c r="EA42" s="4">
        <f t="shared" si="92"/>
        <v>0</v>
      </c>
      <c r="EB42" s="9">
        <f>D42*'MASTER SHEET'!D42</f>
        <v>0</v>
      </c>
      <c r="EC42" s="9">
        <f>H42*'MASTER SHEET'!D42</f>
        <v>0</v>
      </c>
      <c r="ED42" s="9">
        <f>L42*'MASTER SHEET'!D42</f>
        <v>0</v>
      </c>
      <c r="EE42" s="9">
        <f>P42*'MASTER SHEET'!D42</f>
        <v>0</v>
      </c>
      <c r="EF42" s="9">
        <f>T42*'MASTER SHEET'!D42</f>
        <v>0</v>
      </c>
      <c r="EG42" s="9">
        <f>X42*'MASTER SHEET'!D42</f>
        <v>0</v>
      </c>
      <c r="EH42" s="9">
        <f>AB42*'MASTER SHEET'!D42</f>
        <v>0</v>
      </c>
      <c r="EI42" s="9">
        <f>AF42*'MASTER SHEET'!D42</f>
        <v>0</v>
      </c>
      <c r="EJ42" s="9">
        <f>AJ42*'MASTER SHEET'!D42</f>
        <v>0</v>
      </c>
      <c r="EK42" s="9">
        <f>AN42*'MASTER SHEET'!D42</f>
        <v>0</v>
      </c>
      <c r="EL42" s="9">
        <f>AR42*'MASTER SHEET'!D42</f>
        <v>0</v>
      </c>
      <c r="EM42" s="9">
        <f>AV42*'MASTER SHEET'!D42</f>
        <v>0</v>
      </c>
      <c r="EN42" s="9">
        <f>AZ42*'MASTER SHEET'!D42</f>
        <v>0</v>
      </c>
      <c r="EO42" s="9">
        <f>BD42*'MASTER SHEET'!D42</f>
        <v>0</v>
      </c>
      <c r="EP42" s="9">
        <f>$BH42*'MASTER SHEET'!$D42</f>
        <v>0</v>
      </c>
      <c r="EQ42" s="9">
        <f>BL42*'MASTER SHEET'!D42</f>
        <v>0</v>
      </c>
      <c r="ER42" s="9">
        <f>BP42*'MASTER SHEET'!D42</f>
        <v>0</v>
      </c>
      <c r="ES42" s="9">
        <f>BT42*'MASTER SHEET'!D42</f>
        <v>0</v>
      </c>
      <c r="ET42" s="9">
        <f>BX42*'MASTER SHEET'!D42</f>
        <v>0</v>
      </c>
      <c r="EU42" s="9">
        <f>CB42*'MASTER SHEET'!D42</f>
        <v>0</v>
      </c>
      <c r="EV42" s="9">
        <f>CF42*'MASTER SHEET'!D42</f>
        <v>0</v>
      </c>
      <c r="EW42" s="9">
        <f>CJ42*'MASTER SHEET'!D42</f>
        <v>0</v>
      </c>
      <c r="EX42" s="9">
        <f>CN42*'MASTER SHEET'!D42</f>
        <v>0</v>
      </c>
      <c r="EY42" s="9">
        <f>CR42*'MASTER SHEET'!D42</f>
        <v>0</v>
      </c>
      <c r="EZ42" s="9">
        <f>$CV42*'MASTER SHEET'!D42</f>
        <v>0</v>
      </c>
      <c r="FA42" s="9">
        <f>CZ42*'MASTER SHEET'!D42</f>
        <v>0</v>
      </c>
      <c r="FB42" s="9">
        <f>DD42*'MASTER SHEET'!D42</f>
        <v>0</v>
      </c>
      <c r="FC42" s="9">
        <f>DH42*'MASTER SHEET'!D42</f>
        <v>0</v>
      </c>
      <c r="FD42" s="9">
        <f>DL42*'MASTER SHEET'!D42</f>
        <v>0</v>
      </c>
      <c r="FE42" s="9">
        <f>DP42*'MASTER SHEET'!D42</f>
        <v>0</v>
      </c>
      <c r="FF42" s="9">
        <f>DT42*'MASTER SHEET'!D42</f>
        <v>0</v>
      </c>
      <c r="FG42" s="9">
        <f>+DX42*'MASTER SHEET'!D42</f>
        <v>0</v>
      </c>
    </row>
    <row r="43" spans="1:163" s="10" customFormat="1" ht="20.25" customHeight="1" x14ac:dyDescent="0.25">
      <c r="A43" s="25">
        <f>'MASTER SHEET'!A43</f>
        <v>41</v>
      </c>
      <c r="B43" s="26" t="str">
        <f>'MASTER SHEET'!B43</f>
        <v>CAP PLASTIC</v>
      </c>
      <c r="C43" s="78">
        <f>'MASTER SHEET'!C43</f>
        <v>5028386</v>
      </c>
      <c r="D43" s="159">
        <v>1177</v>
      </c>
      <c r="E43" s="28">
        <f>PRODUCTION!F43+'SUPLIER INWARD'!F43</f>
        <v>0</v>
      </c>
      <c r="F43" s="28"/>
      <c r="G43" s="29">
        <v>0</v>
      </c>
      <c r="H43" s="30">
        <f t="shared" si="64"/>
        <v>1177</v>
      </c>
      <c r="I43" s="28">
        <f>PRODUCTION!J43+'SUPLIER INWARD'!J43</f>
        <v>0</v>
      </c>
      <c r="J43" s="28"/>
      <c r="K43" s="29">
        <v>0</v>
      </c>
      <c r="L43" s="30">
        <f t="shared" si="65"/>
        <v>1177</v>
      </c>
      <c r="M43" s="28">
        <f>PRODUCTION!N43+'SUPLIER INWARD'!N43</f>
        <v>0</v>
      </c>
      <c r="N43" s="28"/>
      <c r="O43" s="29"/>
      <c r="P43" s="30">
        <f t="shared" si="66"/>
        <v>1177</v>
      </c>
      <c r="Q43" s="28">
        <f>PRODUCTION!R43+'SUPLIER INWARD'!R43</f>
        <v>1165</v>
      </c>
      <c r="R43" s="28">
        <v>210</v>
      </c>
      <c r="S43" s="29">
        <v>0</v>
      </c>
      <c r="T43" s="30">
        <f t="shared" si="67"/>
        <v>2132</v>
      </c>
      <c r="U43" s="28">
        <f>PRODUCTION!V43+'SUPLIER INWARD'!V43</f>
        <v>1946</v>
      </c>
      <c r="V43" s="28"/>
      <c r="W43" s="29">
        <v>0</v>
      </c>
      <c r="X43" s="30">
        <f t="shared" si="68"/>
        <v>4078</v>
      </c>
      <c r="Y43" s="28">
        <f>PRODUCTION!Z43+'SUPLIER INWARD'!Z43</f>
        <v>0</v>
      </c>
      <c r="Z43" s="28">
        <v>1080</v>
      </c>
      <c r="AA43" s="29">
        <v>56</v>
      </c>
      <c r="AB43" s="30">
        <f t="shared" si="69"/>
        <v>2942</v>
      </c>
      <c r="AC43" s="28">
        <f>PRODUCTION!AD43+'SUPLIER INWARD'!AD43</f>
        <v>0</v>
      </c>
      <c r="AD43" s="28">
        <v>2250</v>
      </c>
      <c r="AE43" s="29">
        <v>69</v>
      </c>
      <c r="AF43" s="30">
        <f t="shared" si="70"/>
        <v>623</v>
      </c>
      <c r="AG43" s="28">
        <f>PRODUCTION!AH43+'SUPLIER INWARD'!AH43</f>
        <v>0</v>
      </c>
      <c r="AH43" s="28"/>
      <c r="AI43" s="29">
        <v>0</v>
      </c>
      <c r="AJ43" s="30">
        <f t="shared" si="71"/>
        <v>623</v>
      </c>
      <c r="AK43" s="28">
        <f>PRODUCTION!AL43+'SUPLIER INWARD'!AL43</f>
        <v>0</v>
      </c>
      <c r="AL43" s="28"/>
      <c r="AM43" s="29">
        <v>0</v>
      </c>
      <c r="AN43" s="30">
        <f t="shared" si="72"/>
        <v>623</v>
      </c>
      <c r="AO43" s="28">
        <f>PRODUCTION!AP43+'SUPLIER INWARD'!AP43</f>
        <v>1312</v>
      </c>
      <c r="AP43" s="28">
        <v>210</v>
      </c>
      <c r="AQ43" s="29">
        <v>0</v>
      </c>
      <c r="AR43" s="30">
        <f t="shared" si="73"/>
        <v>1725</v>
      </c>
      <c r="AS43" s="28">
        <f>PRODUCTION!AT43+'SUPLIER INWARD'!AT43</f>
        <v>0</v>
      </c>
      <c r="AT43" s="28"/>
      <c r="AU43" s="29">
        <v>0</v>
      </c>
      <c r="AV43" s="30">
        <f t="shared" si="74"/>
        <v>1725</v>
      </c>
      <c r="AW43" s="28">
        <f>PRODUCTION!AX43+'SUPLIER INWARD'!AX43</f>
        <v>0</v>
      </c>
      <c r="AX43" s="28"/>
      <c r="AY43" s="29"/>
      <c r="AZ43" s="30">
        <f t="shared" si="75"/>
        <v>1725</v>
      </c>
      <c r="BA43" s="28">
        <f>PRODUCTION!BB43+'SUPLIER INWARD'!BB43</f>
        <v>0</v>
      </c>
      <c r="BB43" s="28"/>
      <c r="BC43" s="29">
        <v>0</v>
      </c>
      <c r="BD43" s="30">
        <f t="shared" si="76"/>
        <v>1725</v>
      </c>
      <c r="BE43" s="28">
        <f>PRODUCTION!BF43+'SUPLIER INWARD'!BF43</f>
        <v>0</v>
      </c>
      <c r="BF43" s="28"/>
      <c r="BG43" s="29">
        <v>0</v>
      </c>
      <c r="BH43" s="30">
        <f t="shared" si="77"/>
        <v>1725</v>
      </c>
      <c r="BI43" s="28">
        <f>PRODUCTION!BJ43+'SUPLIER INWARD'!BJ43</f>
        <v>0</v>
      </c>
      <c r="BJ43" s="28">
        <v>1050</v>
      </c>
      <c r="BK43" s="29">
        <v>8</v>
      </c>
      <c r="BL43" s="30">
        <f t="shared" si="78"/>
        <v>667</v>
      </c>
      <c r="BM43" s="28">
        <f>PRODUCTION!BN43+'SUPLIER INWARD'!BN43</f>
        <v>0</v>
      </c>
      <c r="BN43" s="28"/>
      <c r="BO43" s="29">
        <v>0</v>
      </c>
      <c r="BP43" s="30">
        <f t="shared" si="79"/>
        <v>667</v>
      </c>
      <c r="BQ43" s="28">
        <f>PRODUCTION!BR43+'SUPLIER INWARD'!BR43</f>
        <v>208</v>
      </c>
      <c r="BR43" s="28"/>
      <c r="BS43" s="29">
        <v>0</v>
      </c>
      <c r="BT43" s="30">
        <f t="shared" si="80"/>
        <v>875</v>
      </c>
      <c r="BU43" s="28">
        <f>PRODUCTION!BV43+'SUPLIER INWARD'!BV43</f>
        <v>3528</v>
      </c>
      <c r="BV43" s="28">
        <v>1050</v>
      </c>
      <c r="BW43" s="29">
        <v>48</v>
      </c>
      <c r="BX43" s="30">
        <f t="shared" si="47"/>
        <v>3305</v>
      </c>
      <c r="BY43" s="28">
        <f>PRODUCTION!BZ43+'SUPLIER INWARD'!BZ43</f>
        <v>0</v>
      </c>
      <c r="BZ43" s="28"/>
      <c r="CA43" s="29">
        <v>0</v>
      </c>
      <c r="CB43" s="30">
        <f t="shared" si="81"/>
        <v>3305</v>
      </c>
      <c r="CC43" s="28">
        <f>PRODUCTION!CD43+'SUPLIER INWARD'!CD43</f>
        <v>0</v>
      </c>
      <c r="CD43" s="28">
        <v>210</v>
      </c>
      <c r="CE43" s="29">
        <v>0</v>
      </c>
      <c r="CF43" s="30">
        <f t="shared" si="82"/>
        <v>3095</v>
      </c>
      <c r="CG43" s="28">
        <f>PRODUCTION!CH43+'SUPLIER INWARD'!CH43</f>
        <v>0</v>
      </c>
      <c r="CH43" s="28"/>
      <c r="CI43" s="29">
        <v>0</v>
      </c>
      <c r="CJ43" s="30">
        <f t="shared" si="50"/>
        <v>3095</v>
      </c>
      <c r="CK43" s="28">
        <f>PRODUCTION!CL43+'SUPLIER INWARD'!CL43</f>
        <v>0</v>
      </c>
      <c r="CL43" s="151">
        <f>1050+210</f>
        <v>1260</v>
      </c>
      <c r="CM43" s="152">
        <v>4</v>
      </c>
      <c r="CN43" s="30">
        <f t="shared" si="51"/>
        <v>1831</v>
      </c>
      <c r="CO43" s="28">
        <f>PRODUCTION!CP43+'SUPLIER INWARD'!CP43</f>
        <v>0</v>
      </c>
      <c r="CP43" s="151">
        <v>800</v>
      </c>
      <c r="CQ43" s="29">
        <v>34</v>
      </c>
      <c r="CR43" s="30">
        <f t="shared" si="52"/>
        <v>997</v>
      </c>
      <c r="CS43" s="28">
        <f>PRODUCTION!CT43+'SUPLIER INWARD'!CT43</f>
        <v>0</v>
      </c>
      <c r="CT43" s="28"/>
      <c r="CU43" s="29">
        <v>0</v>
      </c>
      <c r="CV43" s="30">
        <f t="shared" si="53"/>
        <v>997</v>
      </c>
      <c r="CW43" s="28">
        <f>PRODUCTION!CX43+'SUPLIER INWARD'!CX43</f>
        <v>1022</v>
      </c>
      <c r="CX43" s="28">
        <v>129</v>
      </c>
      <c r="CY43" s="29">
        <v>0</v>
      </c>
      <c r="CZ43" s="30">
        <f t="shared" si="83"/>
        <v>1890</v>
      </c>
      <c r="DA43" s="28">
        <f>PRODUCTION!DB43+'SUPLIER INWARD'!DB43</f>
        <v>0</v>
      </c>
      <c r="DB43" s="28"/>
      <c r="DC43" s="29"/>
      <c r="DD43" s="30">
        <f t="shared" si="84"/>
        <v>1890</v>
      </c>
      <c r="DE43" s="28">
        <f>PRODUCTION!DF43+'SUPLIER INWARD'!DF43</f>
        <v>0</v>
      </c>
      <c r="DF43" s="28"/>
      <c r="DG43" s="29">
        <v>0</v>
      </c>
      <c r="DH43" s="30">
        <f t="shared" si="85"/>
        <v>1890</v>
      </c>
      <c r="DI43" s="28">
        <f>PRODUCTION!DJ43+'SUPLIER INWARD'!DJ43</f>
        <v>1344</v>
      </c>
      <c r="DJ43" s="28">
        <v>2190</v>
      </c>
      <c r="DK43" s="29">
        <v>0</v>
      </c>
      <c r="DL43" s="30">
        <f t="shared" si="86"/>
        <v>1044</v>
      </c>
      <c r="DM43" s="28">
        <f>PRODUCTION!DN43+'SUPLIER INWARD'!DN43</f>
        <v>499</v>
      </c>
      <c r="DN43" s="28"/>
      <c r="DO43" s="29"/>
      <c r="DP43" s="30">
        <f t="shared" si="87"/>
        <v>1543</v>
      </c>
      <c r="DQ43" s="28">
        <f>PRODUCTION!DR43+'SUPLIER INWARD'!DR43</f>
        <v>0</v>
      </c>
      <c r="DR43" s="28"/>
      <c r="DS43" s="29"/>
      <c r="DT43" s="30">
        <f t="shared" si="88"/>
        <v>1543</v>
      </c>
      <c r="DU43" s="28">
        <f>PRODUCTION!DV43+'SUPLIER INWARD'!DV43</f>
        <v>0</v>
      </c>
      <c r="DV43" s="28"/>
      <c r="DW43" s="29"/>
      <c r="DX43" s="30">
        <f t="shared" si="89"/>
        <v>1543</v>
      </c>
      <c r="DY43" s="31">
        <f t="shared" si="90"/>
        <v>11024</v>
      </c>
      <c r="DZ43" s="31">
        <f t="shared" si="91"/>
        <v>10439</v>
      </c>
      <c r="EA43" s="4">
        <f t="shared" si="92"/>
        <v>219</v>
      </c>
      <c r="EB43" s="9">
        <f>D43*'MASTER SHEET'!D43</f>
        <v>8344.93</v>
      </c>
      <c r="EC43" s="9">
        <f>H43*'MASTER SHEET'!D43</f>
        <v>8344.93</v>
      </c>
      <c r="ED43" s="9">
        <f>L43*'MASTER SHEET'!D43</f>
        <v>8344.93</v>
      </c>
      <c r="EE43" s="9">
        <f>P43*'MASTER SHEET'!D43</f>
        <v>8344.93</v>
      </c>
      <c r="EF43" s="9">
        <f>T43*'MASTER SHEET'!D43</f>
        <v>15115.88</v>
      </c>
      <c r="EG43" s="9">
        <f>X43*'MASTER SHEET'!D43</f>
        <v>28913.02</v>
      </c>
      <c r="EH43" s="9">
        <f>AB43*'MASTER SHEET'!D43</f>
        <v>20858.78</v>
      </c>
      <c r="EI43" s="9">
        <f>AF43*'MASTER SHEET'!D43</f>
        <v>4417.07</v>
      </c>
      <c r="EJ43" s="9">
        <f>AJ43*'MASTER SHEET'!D43</f>
        <v>4417.07</v>
      </c>
      <c r="EK43" s="9">
        <f>AN43*'MASTER SHEET'!D43</f>
        <v>4417.07</v>
      </c>
      <c r="EL43" s="9">
        <f>AR43*'MASTER SHEET'!D43</f>
        <v>12230.25</v>
      </c>
      <c r="EM43" s="9">
        <f>AV43*'MASTER SHEET'!D43</f>
        <v>12230.25</v>
      </c>
      <c r="EN43" s="9">
        <f>AZ43*'MASTER SHEET'!D43</f>
        <v>12230.25</v>
      </c>
      <c r="EO43" s="9">
        <f>BD43*'MASTER SHEET'!D43</f>
        <v>12230.25</v>
      </c>
      <c r="EP43" s="9">
        <f>$BH43*'MASTER SHEET'!$D43</f>
        <v>12230.25</v>
      </c>
      <c r="EQ43" s="9">
        <f>BL43*'MASTER SHEET'!D43</f>
        <v>4729.03</v>
      </c>
      <c r="ER43" s="9">
        <f>BP43*'MASTER SHEET'!D43</f>
        <v>4729.03</v>
      </c>
      <c r="ES43" s="9">
        <f>BT43*'MASTER SHEET'!D43</f>
        <v>6203.75</v>
      </c>
      <c r="ET43" s="9">
        <f>BX43*'MASTER SHEET'!D43</f>
        <v>23432.45</v>
      </c>
      <c r="EU43" s="9">
        <f>CB43*'MASTER SHEET'!D43</f>
        <v>23432.45</v>
      </c>
      <c r="EV43" s="9">
        <f>CF43*'MASTER SHEET'!D43</f>
        <v>21943.55</v>
      </c>
      <c r="EW43" s="9">
        <f>CJ43*'MASTER SHEET'!D43</f>
        <v>21943.55</v>
      </c>
      <c r="EX43" s="9">
        <f>CN43*'MASTER SHEET'!D43</f>
        <v>12981.789999999999</v>
      </c>
      <c r="EY43" s="9">
        <f>CR43*'MASTER SHEET'!D43</f>
        <v>7068.73</v>
      </c>
      <c r="EZ43" s="9">
        <f>$CV43*'MASTER SHEET'!D43</f>
        <v>7068.73</v>
      </c>
      <c r="FA43" s="9">
        <f>CZ43*'MASTER SHEET'!D43</f>
        <v>13400.1</v>
      </c>
      <c r="FB43" s="9">
        <f>DD43*'MASTER SHEET'!D43</f>
        <v>13400.1</v>
      </c>
      <c r="FC43" s="9">
        <f>DH43*'MASTER SHEET'!D43</f>
        <v>13400.1</v>
      </c>
      <c r="FD43" s="9">
        <f>DL43*'MASTER SHEET'!D43</f>
        <v>7401.96</v>
      </c>
      <c r="FE43" s="9">
        <f>DP43*'MASTER SHEET'!D43</f>
        <v>10939.869999999999</v>
      </c>
      <c r="FF43" s="9">
        <f>DT43*'MASTER SHEET'!D43</f>
        <v>10939.869999999999</v>
      </c>
      <c r="FG43" s="9">
        <f>+DX43*'MASTER SHEET'!D43</f>
        <v>10939.869999999999</v>
      </c>
    </row>
    <row r="44" spans="1:163" ht="20.25" customHeight="1" x14ac:dyDescent="0.25">
      <c r="A44" s="25">
        <f>'MASTER SHEET'!A44</f>
        <v>42</v>
      </c>
      <c r="B44" s="26" t="str">
        <f>'MASTER SHEET'!B44</f>
        <v>BASE HOUSING ASSYM</v>
      </c>
      <c r="C44" s="78">
        <f>'MASTER SHEET'!C44</f>
        <v>5028536</v>
      </c>
      <c r="D44" s="163">
        <f>650+125+250+6+150+100+20</f>
        <v>1301</v>
      </c>
      <c r="E44" s="28">
        <f>PRODUCTION!F44+'SUPLIER INWARD'!F44</f>
        <v>0</v>
      </c>
      <c r="F44" s="28">
        <v>650</v>
      </c>
      <c r="G44" s="29">
        <v>0</v>
      </c>
      <c r="H44" s="30">
        <f t="shared" si="64"/>
        <v>651</v>
      </c>
      <c r="I44" s="28">
        <f>PRODUCTION!J44+'SUPLIER INWARD'!J44</f>
        <v>0</v>
      </c>
      <c r="J44" s="28"/>
      <c r="K44" s="29">
        <v>0</v>
      </c>
      <c r="L44" s="30">
        <f t="shared" si="65"/>
        <v>651</v>
      </c>
      <c r="M44" s="28">
        <f>PRODUCTION!N44+'SUPLIER INWARD'!N44</f>
        <v>0</v>
      </c>
      <c r="N44" s="28"/>
      <c r="O44" s="29"/>
      <c r="P44" s="30">
        <f t="shared" si="66"/>
        <v>651</v>
      </c>
      <c r="Q44" s="28">
        <f>PRODUCTION!R44+'SUPLIER INWARD'!R44</f>
        <v>0</v>
      </c>
      <c r="R44" s="28"/>
      <c r="S44" s="29">
        <v>0</v>
      </c>
      <c r="T44" s="30">
        <f t="shared" si="67"/>
        <v>651</v>
      </c>
      <c r="U44" s="28">
        <f>PRODUCTION!V44+'SUPLIER INWARD'!V44</f>
        <v>0</v>
      </c>
      <c r="V44" s="28">
        <v>375</v>
      </c>
      <c r="W44" s="29">
        <v>6</v>
      </c>
      <c r="X44" s="30">
        <f t="shared" si="68"/>
        <v>270</v>
      </c>
      <c r="Y44" s="28">
        <f>PRODUCTION!Z44+'SUPLIER INWARD'!Z44</f>
        <v>0</v>
      </c>
      <c r="Z44" s="28"/>
      <c r="AA44" s="29">
        <v>0</v>
      </c>
      <c r="AB44" s="30">
        <f t="shared" si="69"/>
        <v>270</v>
      </c>
      <c r="AC44" s="28">
        <f>PRODUCTION!AD44+'SUPLIER INWARD'!AD44</f>
        <v>0</v>
      </c>
      <c r="AD44" s="28"/>
      <c r="AE44" s="29">
        <v>0</v>
      </c>
      <c r="AF44" s="30">
        <f t="shared" si="70"/>
        <v>270</v>
      </c>
      <c r="AG44" s="28">
        <f>PRODUCTION!AH44+'SUPLIER INWARD'!AH44</f>
        <v>0</v>
      </c>
      <c r="AH44" s="28"/>
      <c r="AI44" s="29">
        <v>0</v>
      </c>
      <c r="AJ44" s="30">
        <f t="shared" si="71"/>
        <v>270</v>
      </c>
      <c r="AK44" s="28">
        <f>PRODUCTION!AL44+'SUPLIER INWARD'!AL44</f>
        <v>0</v>
      </c>
      <c r="AL44" s="28"/>
      <c r="AM44" s="29">
        <v>0</v>
      </c>
      <c r="AN44" s="30">
        <f t="shared" si="72"/>
        <v>270</v>
      </c>
      <c r="AO44" s="28">
        <f>PRODUCTION!AP44+'SUPLIER INWARD'!AP44</f>
        <v>0</v>
      </c>
      <c r="AP44" s="28">
        <v>150</v>
      </c>
      <c r="AQ44" s="29">
        <v>0</v>
      </c>
      <c r="AR44" s="30">
        <f t="shared" si="73"/>
        <v>120</v>
      </c>
      <c r="AS44" s="28">
        <f>PRODUCTION!AT44+'SUPLIER INWARD'!AT44</f>
        <v>398</v>
      </c>
      <c r="AT44" s="28">
        <v>125</v>
      </c>
      <c r="AU44" s="29">
        <v>0</v>
      </c>
      <c r="AV44" s="30">
        <f t="shared" si="74"/>
        <v>393</v>
      </c>
      <c r="AW44" s="28">
        <f>PRODUCTION!AX44+'SUPLIER INWARD'!AX44</f>
        <v>0</v>
      </c>
      <c r="AX44" s="28"/>
      <c r="AY44" s="29"/>
      <c r="AZ44" s="30">
        <f t="shared" si="75"/>
        <v>393</v>
      </c>
      <c r="BA44" s="28">
        <f>PRODUCTION!BB44+'SUPLIER INWARD'!BB44</f>
        <v>0</v>
      </c>
      <c r="BB44" s="28">
        <v>350</v>
      </c>
      <c r="BC44" s="29">
        <v>0</v>
      </c>
      <c r="BD44" s="30">
        <f t="shared" si="76"/>
        <v>43</v>
      </c>
      <c r="BE44" s="28">
        <f>PRODUCTION!BF44+'SUPLIER INWARD'!BF44</f>
        <v>529</v>
      </c>
      <c r="BF44" s="28">
        <v>43</v>
      </c>
      <c r="BG44" s="29">
        <v>0</v>
      </c>
      <c r="BH44" s="30">
        <f t="shared" si="77"/>
        <v>529</v>
      </c>
      <c r="BI44" s="28">
        <f>PRODUCTION!BJ44+'SUPLIER INWARD'!BJ44</f>
        <v>1111</v>
      </c>
      <c r="BJ44" s="28">
        <v>350</v>
      </c>
      <c r="BK44" s="29">
        <v>0</v>
      </c>
      <c r="BL44" s="30">
        <f t="shared" si="78"/>
        <v>1290</v>
      </c>
      <c r="BM44" s="28">
        <f>PRODUCTION!BN44+'SUPLIER INWARD'!BN44</f>
        <v>1115</v>
      </c>
      <c r="BN44" s="28">
        <v>300</v>
      </c>
      <c r="BO44" s="29">
        <v>0</v>
      </c>
      <c r="BP44" s="30">
        <f t="shared" si="79"/>
        <v>2105</v>
      </c>
      <c r="BQ44" s="28">
        <f>PRODUCTION!BR44+'SUPLIER INWARD'!BR44</f>
        <v>182</v>
      </c>
      <c r="BR44" s="28">
        <v>400</v>
      </c>
      <c r="BS44" s="29">
        <v>2</v>
      </c>
      <c r="BT44" s="30">
        <f t="shared" si="80"/>
        <v>1885</v>
      </c>
      <c r="BU44" s="28">
        <f>PRODUCTION!BV44+'SUPLIER INWARD'!BV44</f>
        <v>0</v>
      </c>
      <c r="BV44" s="28">
        <v>300</v>
      </c>
      <c r="BW44" s="29">
        <v>0</v>
      </c>
      <c r="BX44" s="30">
        <f t="shared" si="47"/>
        <v>1585</v>
      </c>
      <c r="BY44" s="28">
        <f>PRODUCTION!BZ44+'SUPLIER INWARD'!BZ44</f>
        <v>0</v>
      </c>
      <c r="BZ44" s="28"/>
      <c r="CA44" s="29">
        <v>0</v>
      </c>
      <c r="CB44" s="30">
        <f t="shared" si="81"/>
        <v>1585</v>
      </c>
      <c r="CC44" s="28">
        <f>PRODUCTION!CD44+'SUPLIER INWARD'!CD44</f>
        <v>0</v>
      </c>
      <c r="CD44" s="28">
        <v>350</v>
      </c>
      <c r="CE44" s="29">
        <v>0</v>
      </c>
      <c r="CF44" s="30">
        <f t="shared" si="82"/>
        <v>1235</v>
      </c>
      <c r="CG44" s="28">
        <f>PRODUCTION!CH44+'SUPLIER INWARD'!CH44</f>
        <v>0</v>
      </c>
      <c r="CH44" s="28"/>
      <c r="CI44" s="29">
        <v>0</v>
      </c>
      <c r="CJ44" s="30">
        <f t="shared" si="50"/>
        <v>1235</v>
      </c>
      <c r="CK44" s="28">
        <f>PRODUCTION!CL44+'SUPLIER INWARD'!CL44</f>
        <v>0</v>
      </c>
      <c r="CL44" s="151"/>
      <c r="CM44" s="152">
        <v>0</v>
      </c>
      <c r="CN44" s="30">
        <f t="shared" si="51"/>
        <v>1235</v>
      </c>
      <c r="CO44" s="28">
        <f>PRODUCTION!CP44+'SUPLIER INWARD'!CP44</f>
        <v>0</v>
      </c>
      <c r="CP44" s="151">
        <v>175</v>
      </c>
      <c r="CQ44" s="29">
        <v>1</v>
      </c>
      <c r="CR44" s="30">
        <f t="shared" si="52"/>
        <v>1059</v>
      </c>
      <c r="CS44" s="28">
        <f>PRODUCTION!CT44+'SUPLIER INWARD'!CT44</f>
        <v>0</v>
      </c>
      <c r="CT44" s="28"/>
      <c r="CU44" s="29">
        <v>0</v>
      </c>
      <c r="CV44" s="30">
        <f t="shared" si="53"/>
        <v>1059</v>
      </c>
      <c r="CW44" s="28">
        <f>PRODUCTION!CX44+'SUPLIER INWARD'!CX44</f>
        <v>0</v>
      </c>
      <c r="CX44" s="28">
        <v>525</v>
      </c>
      <c r="CY44" s="29">
        <v>6</v>
      </c>
      <c r="CZ44" s="30">
        <f t="shared" si="83"/>
        <v>528</v>
      </c>
      <c r="DA44" s="28">
        <f>PRODUCTION!DB44+'SUPLIER INWARD'!DB44</f>
        <v>0</v>
      </c>
      <c r="DB44" s="28"/>
      <c r="DC44" s="29"/>
      <c r="DD44" s="30">
        <f t="shared" si="84"/>
        <v>528</v>
      </c>
      <c r="DE44" s="28">
        <f>PRODUCTION!DF44+'SUPLIER INWARD'!DF44</f>
        <v>0</v>
      </c>
      <c r="DF44" s="28">
        <v>250</v>
      </c>
      <c r="DG44" s="29">
        <v>3</v>
      </c>
      <c r="DH44" s="30">
        <f t="shared" si="85"/>
        <v>275</v>
      </c>
      <c r="DI44" s="28">
        <f>PRODUCTION!DJ44+'SUPLIER INWARD'!DJ44</f>
        <v>0</v>
      </c>
      <c r="DJ44" s="28">
        <v>275</v>
      </c>
      <c r="DK44" s="29">
        <v>0</v>
      </c>
      <c r="DL44" s="30">
        <f t="shared" si="86"/>
        <v>0</v>
      </c>
      <c r="DM44" s="28">
        <f>PRODUCTION!DN44+'SUPLIER INWARD'!DN44</f>
        <v>0</v>
      </c>
      <c r="DN44" s="28"/>
      <c r="DO44" s="29"/>
      <c r="DP44" s="30">
        <f t="shared" si="87"/>
        <v>0</v>
      </c>
      <c r="DQ44" s="28">
        <f>PRODUCTION!DR44+'SUPLIER INWARD'!DR44</f>
        <v>0</v>
      </c>
      <c r="DR44" s="28"/>
      <c r="DS44" s="29"/>
      <c r="DT44" s="30">
        <f t="shared" si="88"/>
        <v>0</v>
      </c>
      <c r="DU44" s="28">
        <f>PRODUCTION!DV44+'SUPLIER INWARD'!DV44</f>
        <v>0</v>
      </c>
      <c r="DV44" s="28"/>
      <c r="DW44" s="29"/>
      <c r="DX44" s="30">
        <f t="shared" si="89"/>
        <v>0</v>
      </c>
      <c r="DY44" s="31">
        <f t="shared" si="90"/>
        <v>3335</v>
      </c>
      <c r="DZ44" s="31">
        <f t="shared" si="91"/>
        <v>4618</v>
      </c>
      <c r="EA44" s="4">
        <f t="shared" si="92"/>
        <v>18</v>
      </c>
      <c r="EB44" s="9">
        <f>D44*'MASTER SHEET'!D44</f>
        <v>164173.19</v>
      </c>
      <c r="EC44" s="9">
        <f>H44*'MASTER SHEET'!D44</f>
        <v>82149.69</v>
      </c>
      <c r="ED44" s="9">
        <f>L44*'MASTER SHEET'!D44</f>
        <v>82149.69</v>
      </c>
      <c r="EE44" s="9">
        <f>P44*'MASTER SHEET'!D44</f>
        <v>82149.69</v>
      </c>
      <c r="EF44" s="9">
        <f>T44*'MASTER SHEET'!D44</f>
        <v>82149.69</v>
      </c>
      <c r="EG44" s="9">
        <f>X44*'MASTER SHEET'!D44</f>
        <v>34071.300000000003</v>
      </c>
      <c r="EH44" s="9">
        <f>AB44*'MASTER SHEET'!D44</f>
        <v>34071.300000000003</v>
      </c>
      <c r="EI44" s="9">
        <f>AF44*'MASTER SHEET'!D44</f>
        <v>34071.300000000003</v>
      </c>
      <c r="EJ44" s="9">
        <f>AJ44*'MASTER SHEET'!D44</f>
        <v>34071.300000000003</v>
      </c>
      <c r="EK44" s="9">
        <f>AN44*'MASTER SHEET'!D44</f>
        <v>34071.300000000003</v>
      </c>
      <c r="EL44" s="9">
        <f>AR44*'MASTER SHEET'!D44</f>
        <v>15142.8</v>
      </c>
      <c r="EM44" s="9">
        <f>AV44*'MASTER SHEET'!D44</f>
        <v>49592.67</v>
      </c>
      <c r="EN44" s="9">
        <f>AZ44*'MASTER SHEET'!D44</f>
        <v>49592.67</v>
      </c>
      <c r="EO44" s="9">
        <f>BD44*'MASTER SHEET'!D44</f>
        <v>5426.17</v>
      </c>
      <c r="EP44" s="9">
        <f>$BH44*'MASTER SHEET'!$D44</f>
        <v>66754.509999999995</v>
      </c>
      <c r="EQ44" s="9">
        <f>BL44*'MASTER SHEET'!D44</f>
        <v>162785.1</v>
      </c>
      <c r="ER44" s="9">
        <f>BP44*'MASTER SHEET'!D44</f>
        <v>265629.95</v>
      </c>
      <c r="ES44" s="9">
        <f>BT44*'MASTER SHEET'!D44</f>
        <v>237868.15</v>
      </c>
      <c r="ET44" s="9">
        <f>BX44*'MASTER SHEET'!D44</f>
        <v>200011.15</v>
      </c>
      <c r="EU44" s="9">
        <f>CB44*'MASTER SHEET'!D44</f>
        <v>200011.15</v>
      </c>
      <c r="EV44" s="9">
        <f>CF44*'MASTER SHEET'!D44</f>
        <v>155844.65</v>
      </c>
      <c r="EW44" s="9">
        <f>CJ44*'MASTER SHEET'!D44</f>
        <v>155844.65</v>
      </c>
      <c r="EX44" s="9">
        <f>CN44*'MASTER SHEET'!D44</f>
        <v>155844.65</v>
      </c>
      <c r="EY44" s="9">
        <f>CR44*'MASTER SHEET'!D44</f>
        <v>133635.21</v>
      </c>
      <c r="EZ44" s="9">
        <f>$CV44*'MASTER SHEET'!D44</f>
        <v>133635.21</v>
      </c>
      <c r="FA44" s="9">
        <f>CZ44*'MASTER SHEET'!D44</f>
        <v>66628.319999999992</v>
      </c>
      <c r="FB44" s="9">
        <f>DD44*'MASTER SHEET'!D44</f>
        <v>66628.319999999992</v>
      </c>
      <c r="FC44" s="9">
        <f>DH44*'MASTER SHEET'!D44</f>
        <v>34702.25</v>
      </c>
      <c r="FD44" s="9">
        <f>DL44*'MASTER SHEET'!D44</f>
        <v>0</v>
      </c>
      <c r="FE44" s="9">
        <f>DP44*'MASTER SHEET'!D44</f>
        <v>0</v>
      </c>
      <c r="FF44" s="9">
        <f>DT44*'MASTER SHEET'!D44</f>
        <v>0</v>
      </c>
      <c r="FG44" s="9">
        <f>+DX44*'MASTER SHEET'!D44</f>
        <v>0</v>
      </c>
    </row>
    <row r="45" spans="1:163" s="10" customFormat="1" ht="20.25" customHeight="1" x14ac:dyDescent="0.25">
      <c r="A45" s="25">
        <f>'MASTER SHEET'!A45</f>
        <v>43</v>
      </c>
      <c r="B45" s="26" t="str">
        <f>'MASTER SHEET'!B45</f>
        <v>END PLATE PLASTIC</v>
      </c>
      <c r="C45" s="78">
        <f>'MASTER SHEET'!C45</f>
        <v>5029050</v>
      </c>
      <c r="D45" s="159">
        <v>172</v>
      </c>
      <c r="E45" s="28">
        <f>PRODUCTION!F45+'SUPLIER INWARD'!F45</f>
        <v>0</v>
      </c>
      <c r="F45" s="28"/>
      <c r="G45" s="29">
        <v>0</v>
      </c>
      <c r="H45" s="30">
        <f t="shared" si="64"/>
        <v>172</v>
      </c>
      <c r="I45" s="28">
        <f>PRODUCTION!J45+'SUPLIER INWARD'!J45</f>
        <v>0</v>
      </c>
      <c r="J45" s="28"/>
      <c r="K45" s="29">
        <v>0</v>
      </c>
      <c r="L45" s="30">
        <f t="shared" si="65"/>
        <v>172</v>
      </c>
      <c r="M45" s="28">
        <f>PRODUCTION!N45+'SUPLIER INWARD'!N45</f>
        <v>0</v>
      </c>
      <c r="N45" s="28"/>
      <c r="O45" s="29"/>
      <c r="P45" s="30">
        <f t="shared" si="66"/>
        <v>172</v>
      </c>
      <c r="Q45" s="28">
        <f>PRODUCTION!R45+'SUPLIER INWARD'!R45</f>
        <v>0</v>
      </c>
      <c r="R45" s="28"/>
      <c r="S45" s="29">
        <v>0</v>
      </c>
      <c r="T45" s="30">
        <f t="shared" si="67"/>
        <v>172</v>
      </c>
      <c r="U45" s="28">
        <f>PRODUCTION!V45+'SUPLIER INWARD'!V45</f>
        <v>0</v>
      </c>
      <c r="V45" s="28"/>
      <c r="W45" s="29">
        <v>0</v>
      </c>
      <c r="X45" s="30">
        <f t="shared" si="68"/>
        <v>172</v>
      </c>
      <c r="Y45" s="28">
        <f>PRODUCTION!Z45+'SUPLIER INWARD'!Z45</f>
        <v>0</v>
      </c>
      <c r="Z45" s="28"/>
      <c r="AA45" s="29">
        <v>0</v>
      </c>
      <c r="AB45" s="30">
        <f t="shared" si="69"/>
        <v>172</v>
      </c>
      <c r="AC45" s="28">
        <f>PRODUCTION!AD45+'SUPLIER INWARD'!AD45</f>
        <v>0</v>
      </c>
      <c r="AD45" s="28"/>
      <c r="AE45" s="29">
        <v>0</v>
      </c>
      <c r="AF45" s="30">
        <f t="shared" si="70"/>
        <v>172</v>
      </c>
      <c r="AG45" s="28">
        <f>PRODUCTION!AH45+'SUPLIER INWARD'!AH45</f>
        <v>0</v>
      </c>
      <c r="AH45" s="28"/>
      <c r="AI45" s="29">
        <v>0</v>
      </c>
      <c r="AJ45" s="30">
        <f t="shared" si="71"/>
        <v>172</v>
      </c>
      <c r="AK45" s="28">
        <f>PRODUCTION!AL45+'SUPLIER INWARD'!AL45</f>
        <v>0</v>
      </c>
      <c r="AL45" s="28"/>
      <c r="AM45" s="29">
        <v>0</v>
      </c>
      <c r="AN45" s="30">
        <f t="shared" si="72"/>
        <v>172</v>
      </c>
      <c r="AO45" s="28">
        <f>PRODUCTION!AP45+'SUPLIER INWARD'!AP45</f>
        <v>0</v>
      </c>
      <c r="AP45" s="28"/>
      <c r="AQ45" s="29">
        <v>0</v>
      </c>
      <c r="AR45" s="30">
        <f t="shared" si="73"/>
        <v>172</v>
      </c>
      <c r="AS45" s="28">
        <f>PRODUCTION!AT45+'SUPLIER INWARD'!AT45</f>
        <v>0</v>
      </c>
      <c r="AT45" s="28"/>
      <c r="AU45" s="29">
        <v>0</v>
      </c>
      <c r="AV45" s="30">
        <f t="shared" si="74"/>
        <v>172</v>
      </c>
      <c r="AW45" s="28">
        <f>PRODUCTION!AX45+'SUPLIER INWARD'!AX45</f>
        <v>0</v>
      </c>
      <c r="AX45" s="28"/>
      <c r="AY45" s="29"/>
      <c r="AZ45" s="30">
        <f t="shared" si="75"/>
        <v>172</v>
      </c>
      <c r="BA45" s="28">
        <f>PRODUCTION!BB45+'SUPLIER INWARD'!BB45</f>
        <v>0</v>
      </c>
      <c r="BB45" s="28"/>
      <c r="BC45" s="29">
        <v>0</v>
      </c>
      <c r="BD45" s="30">
        <f t="shared" si="76"/>
        <v>172</v>
      </c>
      <c r="BE45" s="28">
        <f>PRODUCTION!BF45+'SUPLIER INWARD'!BF45</f>
        <v>0</v>
      </c>
      <c r="BF45" s="28"/>
      <c r="BG45" s="29">
        <v>0</v>
      </c>
      <c r="BH45" s="30">
        <f t="shared" si="77"/>
        <v>172</v>
      </c>
      <c r="BI45" s="28">
        <f>PRODUCTION!BJ45+'SUPLIER INWARD'!BJ45</f>
        <v>0</v>
      </c>
      <c r="BJ45" s="28"/>
      <c r="BK45" s="29">
        <v>0</v>
      </c>
      <c r="BL45" s="30">
        <f t="shared" si="78"/>
        <v>172</v>
      </c>
      <c r="BM45" s="28">
        <f>PRODUCTION!BN45+'SUPLIER INWARD'!BN45</f>
        <v>0</v>
      </c>
      <c r="BN45" s="28"/>
      <c r="BO45" s="29">
        <v>0</v>
      </c>
      <c r="BP45" s="30">
        <f t="shared" si="79"/>
        <v>172</v>
      </c>
      <c r="BQ45" s="28">
        <f>PRODUCTION!BR45+'SUPLIER INWARD'!BR45</f>
        <v>0</v>
      </c>
      <c r="BR45" s="28"/>
      <c r="BS45" s="29">
        <v>0</v>
      </c>
      <c r="BT45" s="30">
        <f t="shared" si="80"/>
        <v>172</v>
      </c>
      <c r="BU45" s="28">
        <f>PRODUCTION!BV45+'SUPLIER INWARD'!BV45</f>
        <v>0</v>
      </c>
      <c r="BV45" s="28"/>
      <c r="BW45" s="29">
        <v>0</v>
      </c>
      <c r="BX45" s="30">
        <f t="shared" si="47"/>
        <v>172</v>
      </c>
      <c r="BY45" s="28">
        <f>PRODUCTION!BZ45+'SUPLIER INWARD'!BZ45</f>
        <v>0</v>
      </c>
      <c r="BZ45" s="28"/>
      <c r="CA45" s="29">
        <v>0</v>
      </c>
      <c r="CB45" s="30">
        <f t="shared" si="81"/>
        <v>172</v>
      </c>
      <c r="CC45" s="28">
        <f>PRODUCTION!CD45+'SUPLIER INWARD'!CD45</f>
        <v>0</v>
      </c>
      <c r="CD45" s="28"/>
      <c r="CE45" s="29">
        <v>0</v>
      </c>
      <c r="CF45" s="30">
        <f t="shared" si="82"/>
        <v>172</v>
      </c>
      <c r="CG45" s="28">
        <f>PRODUCTION!CH45+'SUPLIER INWARD'!CH45</f>
        <v>0</v>
      </c>
      <c r="CH45" s="28"/>
      <c r="CI45" s="29">
        <v>0</v>
      </c>
      <c r="CJ45" s="30">
        <f t="shared" si="50"/>
        <v>172</v>
      </c>
      <c r="CK45" s="28">
        <f>PRODUCTION!CL45+'SUPLIER INWARD'!CL45</f>
        <v>0</v>
      </c>
      <c r="CL45" s="151"/>
      <c r="CM45" s="152">
        <v>0</v>
      </c>
      <c r="CN45" s="30">
        <f t="shared" si="51"/>
        <v>172</v>
      </c>
      <c r="CO45" s="28">
        <f>PRODUCTION!CP45+'SUPLIER INWARD'!CP45</f>
        <v>0</v>
      </c>
      <c r="CP45" s="151"/>
      <c r="CQ45" s="29">
        <v>0</v>
      </c>
      <c r="CR45" s="30">
        <f t="shared" si="52"/>
        <v>172</v>
      </c>
      <c r="CS45" s="28">
        <f>PRODUCTION!CT45+'SUPLIER INWARD'!CT45</f>
        <v>0</v>
      </c>
      <c r="CT45" s="28"/>
      <c r="CU45" s="29">
        <v>0</v>
      </c>
      <c r="CV45" s="30">
        <f t="shared" si="53"/>
        <v>172</v>
      </c>
      <c r="CW45" s="28">
        <f>PRODUCTION!CX45+'SUPLIER INWARD'!CX45</f>
        <v>0</v>
      </c>
      <c r="CX45" s="28"/>
      <c r="CY45" s="29">
        <v>0</v>
      </c>
      <c r="CZ45" s="30">
        <f t="shared" si="83"/>
        <v>172</v>
      </c>
      <c r="DA45" s="28">
        <f>PRODUCTION!DB45+'SUPLIER INWARD'!DB45</f>
        <v>0</v>
      </c>
      <c r="DB45" s="28"/>
      <c r="DC45" s="29"/>
      <c r="DD45" s="30">
        <f t="shared" si="84"/>
        <v>172</v>
      </c>
      <c r="DE45" s="28">
        <f>PRODUCTION!DF45+'SUPLIER INWARD'!DF45</f>
        <v>0</v>
      </c>
      <c r="DF45" s="28"/>
      <c r="DG45" s="29">
        <v>0</v>
      </c>
      <c r="DH45" s="30">
        <f t="shared" si="85"/>
        <v>172</v>
      </c>
      <c r="DI45" s="28">
        <f>PRODUCTION!DJ45+'SUPLIER INWARD'!DJ45</f>
        <v>0</v>
      </c>
      <c r="DJ45" s="28"/>
      <c r="DK45" s="29">
        <v>0</v>
      </c>
      <c r="DL45" s="30">
        <f t="shared" si="86"/>
        <v>172</v>
      </c>
      <c r="DM45" s="28">
        <f>PRODUCTION!DN45+'SUPLIER INWARD'!DN45</f>
        <v>1372</v>
      </c>
      <c r="DN45" s="28"/>
      <c r="DO45" s="29"/>
      <c r="DP45" s="30">
        <f t="shared" si="87"/>
        <v>1544</v>
      </c>
      <c r="DQ45" s="28">
        <f>PRODUCTION!DR45+'SUPLIER INWARD'!DR45</f>
        <v>0</v>
      </c>
      <c r="DR45" s="28"/>
      <c r="DS45" s="29"/>
      <c r="DT45" s="30">
        <f t="shared" si="88"/>
        <v>1544</v>
      </c>
      <c r="DU45" s="28">
        <f>PRODUCTION!DV45+'SUPLIER INWARD'!DV45</f>
        <v>0</v>
      </c>
      <c r="DV45" s="28"/>
      <c r="DW45" s="29"/>
      <c r="DX45" s="30">
        <f t="shared" si="89"/>
        <v>1544</v>
      </c>
      <c r="DY45" s="31">
        <f t="shared" si="90"/>
        <v>1372</v>
      </c>
      <c r="DZ45" s="31">
        <f t="shared" si="91"/>
        <v>0</v>
      </c>
      <c r="EA45" s="4">
        <f t="shared" si="92"/>
        <v>0</v>
      </c>
      <c r="EB45" s="9">
        <f>D45*'MASTER SHEET'!D45</f>
        <v>1517.04</v>
      </c>
      <c r="EC45" s="9">
        <f>H45*'MASTER SHEET'!D45</f>
        <v>1517.04</v>
      </c>
      <c r="ED45" s="9">
        <f>L45*'MASTER SHEET'!D45</f>
        <v>1517.04</v>
      </c>
      <c r="EE45" s="9">
        <f>P45*'MASTER SHEET'!D45</f>
        <v>1517.04</v>
      </c>
      <c r="EF45" s="9">
        <f>T45*'MASTER SHEET'!D45</f>
        <v>1517.04</v>
      </c>
      <c r="EG45" s="9">
        <f>X45*'MASTER SHEET'!D45</f>
        <v>1517.04</v>
      </c>
      <c r="EH45" s="9">
        <f>AB45*'MASTER SHEET'!D45</f>
        <v>1517.04</v>
      </c>
      <c r="EI45" s="9">
        <f>AF45*'MASTER SHEET'!D45</f>
        <v>1517.04</v>
      </c>
      <c r="EJ45" s="9">
        <f>AJ45*'MASTER SHEET'!D45</f>
        <v>1517.04</v>
      </c>
      <c r="EK45" s="9">
        <f>AN45*'MASTER SHEET'!D45</f>
        <v>1517.04</v>
      </c>
      <c r="EL45" s="9">
        <f>AR45*'MASTER SHEET'!D45</f>
        <v>1517.04</v>
      </c>
      <c r="EM45" s="9">
        <f>AV45*'MASTER SHEET'!D45</f>
        <v>1517.04</v>
      </c>
      <c r="EN45" s="9">
        <f>AZ45*'MASTER SHEET'!D45</f>
        <v>1517.04</v>
      </c>
      <c r="EO45" s="9">
        <f>BD45*'MASTER SHEET'!D45</f>
        <v>1517.04</v>
      </c>
      <c r="EP45" s="9">
        <f>$BH45*'MASTER SHEET'!$D45</f>
        <v>1517.04</v>
      </c>
      <c r="EQ45" s="9">
        <f>BL45*'MASTER SHEET'!D45</f>
        <v>1517.04</v>
      </c>
      <c r="ER45" s="9">
        <f>BP45*'MASTER SHEET'!D45</f>
        <v>1517.04</v>
      </c>
      <c r="ES45" s="9">
        <f>BT45*'MASTER SHEET'!D45</f>
        <v>1517.04</v>
      </c>
      <c r="ET45" s="9">
        <f>BX45*'MASTER SHEET'!D45</f>
        <v>1517.04</v>
      </c>
      <c r="EU45" s="9">
        <f>CB45*'MASTER SHEET'!D45</f>
        <v>1517.04</v>
      </c>
      <c r="EV45" s="9">
        <f>CF45*'MASTER SHEET'!D45</f>
        <v>1517.04</v>
      </c>
      <c r="EW45" s="9">
        <f>CJ45*'MASTER SHEET'!D45</f>
        <v>1517.04</v>
      </c>
      <c r="EX45" s="9">
        <f>CN45*'MASTER SHEET'!D45</f>
        <v>1517.04</v>
      </c>
      <c r="EY45" s="9">
        <f>CR45*'MASTER SHEET'!D45</f>
        <v>1517.04</v>
      </c>
      <c r="EZ45" s="9">
        <f>$CV45*'MASTER SHEET'!D45</f>
        <v>1517.04</v>
      </c>
      <c r="FA45" s="9">
        <f>CZ45*'MASTER SHEET'!D45</f>
        <v>1517.04</v>
      </c>
      <c r="FB45" s="9">
        <f>DD45*'MASTER SHEET'!D45</f>
        <v>1517.04</v>
      </c>
      <c r="FC45" s="9">
        <f>DH45*'MASTER SHEET'!D45</f>
        <v>1517.04</v>
      </c>
      <c r="FD45" s="9">
        <f>DL45*'MASTER SHEET'!D45</f>
        <v>1517.04</v>
      </c>
      <c r="FE45" s="9">
        <f>DP45*'MASTER SHEET'!D45</f>
        <v>13618.08</v>
      </c>
      <c r="FF45" s="9">
        <f>DT45*'MASTER SHEET'!D45</f>
        <v>13618.08</v>
      </c>
      <c r="FG45" s="9">
        <f>+DX45*'MASTER SHEET'!D45</f>
        <v>13618.08</v>
      </c>
    </row>
    <row r="46" spans="1:163" ht="20.25" customHeight="1" x14ac:dyDescent="0.25">
      <c r="A46" s="25">
        <f>'MASTER SHEET'!A46</f>
        <v>44</v>
      </c>
      <c r="B46" s="26" t="str">
        <f>'MASTER SHEET'!B46</f>
        <v>END PLATE PLASTIC</v>
      </c>
      <c r="C46" s="78">
        <f>'MASTER SHEET'!C46</f>
        <v>5029356</v>
      </c>
      <c r="D46" s="159">
        <v>42</v>
      </c>
      <c r="E46" s="28">
        <f>PRODUCTION!F46+'SUPLIER INWARD'!F46</f>
        <v>0</v>
      </c>
      <c r="F46" s="28"/>
      <c r="G46" s="29">
        <v>0</v>
      </c>
      <c r="H46" s="30">
        <f t="shared" si="64"/>
        <v>42</v>
      </c>
      <c r="I46" s="28">
        <f>PRODUCTION!J46+'SUPLIER INWARD'!J46</f>
        <v>0</v>
      </c>
      <c r="J46" s="28"/>
      <c r="K46" s="29">
        <v>0</v>
      </c>
      <c r="L46" s="30">
        <f t="shared" si="65"/>
        <v>42</v>
      </c>
      <c r="M46" s="28">
        <f>PRODUCTION!N46+'SUPLIER INWARD'!N46</f>
        <v>0</v>
      </c>
      <c r="N46" s="28"/>
      <c r="O46" s="29"/>
      <c r="P46" s="30">
        <f t="shared" si="66"/>
        <v>42</v>
      </c>
      <c r="Q46" s="28">
        <f>PRODUCTION!R46+'SUPLIER INWARD'!R46</f>
        <v>0</v>
      </c>
      <c r="R46" s="28"/>
      <c r="S46" s="29">
        <v>0</v>
      </c>
      <c r="T46" s="30">
        <f t="shared" si="67"/>
        <v>42</v>
      </c>
      <c r="U46" s="28">
        <f>PRODUCTION!V46+'SUPLIER INWARD'!V46</f>
        <v>0</v>
      </c>
      <c r="V46" s="28"/>
      <c r="W46" s="29">
        <v>0</v>
      </c>
      <c r="X46" s="30">
        <f t="shared" si="68"/>
        <v>42</v>
      </c>
      <c r="Y46" s="28">
        <f>PRODUCTION!Z46+'SUPLIER INWARD'!Z46</f>
        <v>0</v>
      </c>
      <c r="Z46" s="28"/>
      <c r="AA46" s="29">
        <v>0</v>
      </c>
      <c r="AB46" s="30">
        <f t="shared" si="69"/>
        <v>42</v>
      </c>
      <c r="AC46" s="28">
        <f>PRODUCTION!AD46+'SUPLIER INWARD'!AD46</f>
        <v>0</v>
      </c>
      <c r="AD46" s="28"/>
      <c r="AE46" s="29">
        <v>0</v>
      </c>
      <c r="AF46" s="30">
        <f t="shared" si="70"/>
        <v>42</v>
      </c>
      <c r="AG46" s="28">
        <f>PRODUCTION!AH46+'SUPLIER INWARD'!AH46</f>
        <v>0</v>
      </c>
      <c r="AH46" s="28"/>
      <c r="AI46" s="29">
        <v>0</v>
      </c>
      <c r="AJ46" s="30">
        <f t="shared" si="71"/>
        <v>42</v>
      </c>
      <c r="AK46" s="28">
        <f>PRODUCTION!AL46+'SUPLIER INWARD'!AL46</f>
        <v>0</v>
      </c>
      <c r="AL46" s="28"/>
      <c r="AM46" s="29">
        <v>0</v>
      </c>
      <c r="AN46" s="30">
        <f t="shared" si="72"/>
        <v>42</v>
      </c>
      <c r="AO46" s="28">
        <f>PRODUCTION!AP46+'SUPLIER INWARD'!AP46</f>
        <v>0</v>
      </c>
      <c r="AP46" s="28"/>
      <c r="AQ46" s="29">
        <v>0</v>
      </c>
      <c r="AR46" s="30">
        <f t="shared" si="73"/>
        <v>42</v>
      </c>
      <c r="AS46" s="28">
        <f>PRODUCTION!AT46+'SUPLIER INWARD'!AT46</f>
        <v>0</v>
      </c>
      <c r="AT46" s="28"/>
      <c r="AU46" s="29">
        <v>0</v>
      </c>
      <c r="AV46" s="30">
        <f t="shared" si="74"/>
        <v>42</v>
      </c>
      <c r="AW46" s="28">
        <f>PRODUCTION!AX46+'SUPLIER INWARD'!AX46</f>
        <v>0</v>
      </c>
      <c r="AX46" s="28"/>
      <c r="AY46" s="29"/>
      <c r="AZ46" s="30">
        <f t="shared" si="75"/>
        <v>42</v>
      </c>
      <c r="BA46" s="28">
        <f>PRODUCTION!BB46+'SUPLIER INWARD'!BB46</f>
        <v>0</v>
      </c>
      <c r="BB46" s="28"/>
      <c r="BC46" s="29">
        <v>0</v>
      </c>
      <c r="BD46" s="30">
        <f t="shared" si="76"/>
        <v>42</v>
      </c>
      <c r="BE46" s="28">
        <f>PRODUCTION!BF46+'SUPLIER INWARD'!BF46</f>
        <v>0</v>
      </c>
      <c r="BF46" s="28"/>
      <c r="BG46" s="29">
        <v>0</v>
      </c>
      <c r="BH46" s="30">
        <f t="shared" si="77"/>
        <v>42</v>
      </c>
      <c r="BI46" s="28">
        <f>PRODUCTION!BJ46+'SUPLIER INWARD'!BJ46</f>
        <v>0</v>
      </c>
      <c r="BJ46" s="28"/>
      <c r="BK46" s="29">
        <v>0</v>
      </c>
      <c r="BL46" s="30">
        <f t="shared" si="78"/>
        <v>42</v>
      </c>
      <c r="BM46" s="28">
        <f>PRODUCTION!BN46+'SUPLIER INWARD'!BN46</f>
        <v>0</v>
      </c>
      <c r="BN46" s="28"/>
      <c r="BO46" s="29">
        <v>0</v>
      </c>
      <c r="BP46" s="30">
        <f t="shared" si="79"/>
        <v>42</v>
      </c>
      <c r="BQ46" s="28">
        <f>PRODUCTION!BR46+'SUPLIER INWARD'!BR46</f>
        <v>0</v>
      </c>
      <c r="BR46" s="28"/>
      <c r="BS46" s="29">
        <v>0</v>
      </c>
      <c r="BT46" s="30">
        <f t="shared" si="80"/>
        <v>42</v>
      </c>
      <c r="BU46" s="28">
        <f>PRODUCTION!BV46+'SUPLIER INWARD'!BV46</f>
        <v>0</v>
      </c>
      <c r="BV46" s="28"/>
      <c r="BW46" s="29">
        <v>0</v>
      </c>
      <c r="BX46" s="30">
        <f t="shared" si="47"/>
        <v>42</v>
      </c>
      <c r="BY46" s="28">
        <f>PRODUCTION!BZ46+'SUPLIER INWARD'!BZ46</f>
        <v>0</v>
      </c>
      <c r="BZ46" s="28"/>
      <c r="CA46" s="29">
        <v>0</v>
      </c>
      <c r="CB46" s="30">
        <f t="shared" si="81"/>
        <v>42</v>
      </c>
      <c r="CC46" s="28">
        <f>PRODUCTION!CD46+'SUPLIER INWARD'!CD46</f>
        <v>0</v>
      </c>
      <c r="CD46" s="28"/>
      <c r="CE46" s="29">
        <v>0</v>
      </c>
      <c r="CF46" s="30">
        <f t="shared" si="82"/>
        <v>42</v>
      </c>
      <c r="CG46" s="28">
        <f>PRODUCTION!CH46+'SUPLIER INWARD'!CH46</f>
        <v>0</v>
      </c>
      <c r="CH46" s="28"/>
      <c r="CI46" s="29">
        <v>0</v>
      </c>
      <c r="CJ46" s="30">
        <f t="shared" si="50"/>
        <v>42</v>
      </c>
      <c r="CK46" s="28">
        <f>PRODUCTION!CL46+'SUPLIER INWARD'!CL46</f>
        <v>0</v>
      </c>
      <c r="CL46" s="151"/>
      <c r="CM46" s="152">
        <v>0</v>
      </c>
      <c r="CN46" s="30">
        <f t="shared" si="51"/>
        <v>42</v>
      </c>
      <c r="CO46" s="28">
        <f>PRODUCTION!CP46+'SUPLIER INWARD'!CP46</f>
        <v>0</v>
      </c>
      <c r="CP46" s="151"/>
      <c r="CQ46" s="29">
        <v>0</v>
      </c>
      <c r="CR46" s="30">
        <f t="shared" si="52"/>
        <v>42</v>
      </c>
      <c r="CS46" s="28">
        <f>PRODUCTION!CT46+'SUPLIER INWARD'!CT46</f>
        <v>0</v>
      </c>
      <c r="CT46" s="28"/>
      <c r="CU46" s="29">
        <v>0</v>
      </c>
      <c r="CV46" s="30">
        <f t="shared" si="53"/>
        <v>42</v>
      </c>
      <c r="CW46" s="28">
        <f>PRODUCTION!CX46+'SUPLIER INWARD'!CX46</f>
        <v>0</v>
      </c>
      <c r="CX46" s="28"/>
      <c r="CY46" s="29">
        <v>0</v>
      </c>
      <c r="CZ46" s="30">
        <f t="shared" si="83"/>
        <v>42</v>
      </c>
      <c r="DA46" s="28">
        <f>PRODUCTION!DB46+'SUPLIER INWARD'!DB46</f>
        <v>0</v>
      </c>
      <c r="DB46" s="28"/>
      <c r="DC46" s="29"/>
      <c r="DD46" s="30">
        <f t="shared" si="84"/>
        <v>42</v>
      </c>
      <c r="DE46" s="28">
        <f>PRODUCTION!DF46+'SUPLIER INWARD'!DF46</f>
        <v>0</v>
      </c>
      <c r="DF46" s="28"/>
      <c r="DG46" s="29">
        <v>0</v>
      </c>
      <c r="DH46" s="30">
        <f t="shared" si="85"/>
        <v>42</v>
      </c>
      <c r="DI46" s="28">
        <f>PRODUCTION!DJ46+'SUPLIER INWARD'!DJ46</f>
        <v>0</v>
      </c>
      <c r="DJ46" s="28"/>
      <c r="DK46" s="29">
        <v>0</v>
      </c>
      <c r="DL46" s="30">
        <f t="shared" si="86"/>
        <v>42</v>
      </c>
      <c r="DM46" s="28">
        <f>PRODUCTION!DN46+'SUPLIER INWARD'!DN46</f>
        <v>0</v>
      </c>
      <c r="DN46" s="28"/>
      <c r="DO46" s="29"/>
      <c r="DP46" s="30">
        <f t="shared" si="87"/>
        <v>42</v>
      </c>
      <c r="DQ46" s="28">
        <f>PRODUCTION!DR46+'SUPLIER INWARD'!DR46</f>
        <v>0</v>
      </c>
      <c r="DR46" s="28"/>
      <c r="DS46" s="29"/>
      <c r="DT46" s="30">
        <f t="shared" si="88"/>
        <v>42</v>
      </c>
      <c r="DU46" s="28">
        <f>PRODUCTION!DV46+'SUPLIER INWARD'!DV46</f>
        <v>0</v>
      </c>
      <c r="DV46" s="28"/>
      <c r="DW46" s="29"/>
      <c r="DX46" s="30">
        <f t="shared" si="89"/>
        <v>42</v>
      </c>
      <c r="DY46" s="31">
        <f t="shared" si="90"/>
        <v>0</v>
      </c>
      <c r="DZ46" s="31">
        <f t="shared" si="91"/>
        <v>0</v>
      </c>
      <c r="EA46" s="4">
        <f t="shared" si="92"/>
        <v>0</v>
      </c>
      <c r="EB46" s="9">
        <f>D46*'MASTER SHEET'!D46</f>
        <v>574.55999999999995</v>
      </c>
      <c r="EC46" s="9">
        <f>H46*'MASTER SHEET'!D46</f>
        <v>574.55999999999995</v>
      </c>
      <c r="ED46" s="9">
        <f>L46*'MASTER SHEET'!D46</f>
        <v>574.55999999999995</v>
      </c>
      <c r="EE46" s="9">
        <f>P46*'MASTER SHEET'!D46</f>
        <v>574.55999999999995</v>
      </c>
      <c r="EF46" s="9">
        <f>T46*'MASTER SHEET'!D46</f>
        <v>574.55999999999995</v>
      </c>
      <c r="EG46" s="9">
        <f>X46*'MASTER SHEET'!D46</f>
        <v>574.55999999999995</v>
      </c>
      <c r="EH46" s="9">
        <f>AB46*'MASTER SHEET'!D46</f>
        <v>574.55999999999995</v>
      </c>
      <c r="EI46" s="9">
        <f>AF46*'MASTER SHEET'!D46</f>
        <v>574.55999999999995</v>
      </c>
      <c r="EJ46" s="9">
        <f>AJ46*'MASTER SHEET'!D46</f>
        <v>574.55999999999995</v>
      </c>
      <c r="EK46" s="9">
        <f>AN46*'MASTER SHEET'!D46</f>
        <v>574.55999999999995</v>
      </c>
      <c r="EL46" s="9">
        <f>AR46*'MASTER SHEET'!D46</f>
        <v>574.55999999999995</v>
      </c>
      <c r="EM46" s="9">
        <f>AV46*'MASTER SHEET'!D46</f>
        <v>574.55999999999995</v>
      </c>
      <c r="EN46" s="9">
        <f>AZ46*'MASTER SHEET'!D46</f>
        <v>574.55999999999995</v>
      </c>
      <c r="EO46" s="9">
        <f>BD46*'MASTER SHEET'!D46</f>
        <v>574.55999999999995</v>
      </c>
      <c r="EP46" s="9">
        <f>$BH46*'MASTER SHEET'!$D46</f>
        <v>574.55999999999995</v>
      </c>
      <c r="EQ46" s="9">
        <f>BL46*'MASTER SHEET'!D46</f>
        <v>574.55999999999995</v>
      </c>
      <c r="ER46" s="9">
        <f>BP46*'MASTER SHEET'!D46</f>
        <v>574.55999999999995</v>
      </c>
      <c r="ES46" s="9">
        <f>BT46*'MASTER SHEET'!D46</f>
        <v>574.55999999999995</v>
      </c>
      <c r="ET46" s="9">
        <f>BX46*'MASTER SHEET'!D46</f>
        <v>574.55999999999995</v>
      </c>
      <c r="EU46" s="9">
        <f>CB46*'MASTER SHEET'!D46</f>
        <v>574.55999999999995</v>
      </c>
      <c r="EV46" s="9">
        <f>CF46*'MASTER SHEET'!D46</f>
        <v>574.55999999999995</v>
      </c>
      <c r="EW46" s="9">
        <f>CJ46*'MASTER SHEET'!D46</f>
        <v>574.55999999999995</v>
      </c>
      <c r="EX46" s="9">
        <f>CN46*'MASTER SHEET'!D46</f>
        <v>574.55999999999995</v>
      </c>
      <c r="EY46" s="9">
        <f>CR46*'MASTER SHEET'!D46</f>
        <v>574.55999999999995</v>
      </c>
      <c r="EZ46" s="9">
        <f>$CV46*'MASTER SHEET'!D46</f>
        <v>574.55999999999995</v>
      </c>
      <c r="FA46" s="9">
        <f>CZ46*'MASTER SHEET'!D46</f>
        <v>574.55999999999995</v>
      </c>
      <c r="FB46" s="9">
        <f>DD46*'MASTER SHEET'!D46</f>
        <v>574.55999999999995</v>
      </c>
      <c r="FC46" s="9">
        <f>DH46*'MASTER SHEET'!D46</f>
        <v>574.55999999999995</v>
      </c>
      <c r="FD46" s="9">
        <f>DL46*'MASTER SHEET'!D46</f>
        <v>574.55999999999995</v>
      </c>
      <c r="FE46" s="9">
        <f>DP46*'MASTER SHEET'!D46</f>
        <v>574.55999999999995</v>
      </c>
      <c r="FF46" s="9">
        <f>DT46*'MASTER SHEET'!D46</f>
        <v>574.55999999999995</v>
      </c>
      <c r="FG46" s="9">
        <f>+DX46*'MASTER SHEET'!D46</f>
        <v>574.55999999999995</v>
      </c>
    </row>
    <row r="47" spans="1:163" ht="20.25" customHeight="1" x14ac:dyDescent="0.25">
      <c r="A47" s="25">
        <f>'MASTER SHEET'!A47</f>
        <v>45</v>
      </c>
      <c r="B47" s="26" t="str">
        <f>'MASTER SHEET'!B47</f>
        <v>END PLATE PLASTIC</v>
      </c>
      <c r="C47" s="78">
        <f>'MASTER SHEET'!C47</f>
        <v>5029357</v>
      </c>
      <c r="D47" s="159">
        <v>0</v>
      </c>
      <c r="E47" s="28">
        <f>PRODUCTION!F47+'SUPLIER INWARD'!F47</f>
        <v>0</v>
      </c>
      <c r="F47" s="28"/>
      <c r="G47" s="29">
        <v>0</v>
      </c>
      <c r="H47" s="30">
        <f t="shared" si="64"/>
        <v>0</v>
      </c>
      <c r="I47" s="28">
        <f>PRODUCTION!J47+'SUPLIER INWARD'!J47</f>
        <v>0</v>
      </c>
      <c r="J47" s="28"/>
      <c r="K47" s="29">
        <v>0</v>
      </c>
      <c r="L47" s="30">
        <f t="shared" si="65"/>
        <v>0</v>
      </c>
      <c r="M47" s="28">
        <f>PRODUCTION!N47+'SUPLIER INWARD'!N47</f>
        <v>0</v>
      </c>
      <c r="N47" s="28"/>
      <c r="O47" s="29"/>
      <c r="P47" s="30">
        <f t="shared" si="66"/>
        <v>0</v>
      </c>
      <c r="Q47" s="28">
        <f>PRODUCTION!R47+'SUPLIER INWARD'!R47</f>
        <v>0</v>
      </c>
      <c r="R47" s="28"/>
      <c r="S47" s="29">
        <v>0</v>
      </c>
      <c r="T47" s="30">
        <f t="shared" si="67"/>
        <v>0</v>
      </c>
      <c r="U47" s="28">
        <f>PRODUCTION!V47+'SUPLIER INWARD'!V47</f>
        <v>0</v>
      </c>
      <c r="V47" s="28"/>
      <c r="W47" s="29">
        <v>0</v>
      </c>
      <c r="X47" s="30">
        <f t="shared" si="68"/>
        <v>0</v>
      </c>
      <c r="Y47" s="28">
        <f>PRODUCTION!Z47+'SUPLIER INWARD'!Z47</f>
        <v>0</v>
      </c>
      <c r="Z47" s="28"/>
      <c r="AA47" s="29">
        <v>0</v>
      </c>
      <c r="AB47" s="30">
        <f t="shared" si="69"/>
        <v>0</v>
      </c>
      <c r="AC47" s="28">
        <f>PRODUCTION!AD47+'SUPLIER INWARD'!AD47</f>
        <v>0</v>
      </c>
      <c r="AD47" s="28"/>
      <c r="AE47" s="29">
        <v>0</v>
      </c>
      <c r="AF47" s="30">
        <f t="shared" si="70"/>
        <v>0</v>
      </c>
      <c r="AG47" s="28">
        <f>PRODUCTION!AH47+'SUPLIER INWARD'!AH47</f>
        <v>0</v>
      </c>
      <c r="AH47" s="28"/>
      <c r="AI47" s="29">
        <v>0</v>
      </c>
      <c r="AJ47" s="30">
        <f t="shared" si="71"/>
        <v>0</v>
      </c>
      <c r="AK47" s="28">
        <f>PRODUCTION!AL47+'SUPLIER INWARD'!AL47</f>
        <v>0</v>
      </c>
      <c r="AL47" s="28"/>
      <c r="AM47" s="29">
        <v>0</v>
      </c>
      <c r="AN47" s="30">
        <f t="shared" si="72"/>
        <v>0</v>
      </c>
      <c r="AO47" s="28">
        <f>PRODUCTION!AP47+'SUPLIER INWARD'!AP47</f>
        <v>0</v>
      </c>
      <c r="AP47" s="28"/>
      <c r="AQ47" s="29">
        <v>0</v>
      </c>
      <c r="AR47" s="30">
        <f t="shared" si="73"/>
        <v>0</v>
      </c>
      <c r="AS47" s="28">
        <f>PRODUCTION!AT47+'SUPLIER INWARD'!AT47</f>
        <v>0</v>
      </c>
      <c r="AT47" s="28"/>
      <c r="AU47" s="29">
        <v>0</v>
      </c>
      <c r="AV47" s="30">
        <f t="shared" si="74"/>
        <v>0</v>
      </c>
      <c r="AW47" s="28">
        <f>PRODUCTION!AX47+'SUPLIER INWARD'!AX47</f>
        <v>0</v>
      </c>
      <c r="AX47" s="28"/>
      <c r="AY47" s="29"/>
      <c r="AZ47" s="30">
        <f t="shared" si="75"/>
        <v>0</v>
      </c>
      <c r="BA47" s="28">
        <f>PRODUCTION!BB47+'SUPLIER INWARD'!BB47</f>
        <v>0</v>
      </c>
      <c r="BB47" s="28"/>
      <c r="BC47" s="29">
        <v>0</v>
      </c>
      <c r="BD47" s="30">
        <f t="shared" si="76"/>
        <v>0</v>
      </c>
      <c r="BE47" s="28">
        <f>PRODUCTION!BF47+'SUPLIER INWARD'!BF47</f>
        <v>0</v>
      </c>
      <c r="BF47" s="28"/>
      <c r="BG47" s="29">
        <v>0</v>
      </c>
      <c r="BH47" s="30">
        <f t="shared" si="77"/>
        <v>0</v>
      </c>
      <c r="BI47" s="28">
        <f>PRODUCTION!BJ47+'SUPLIER INWARD'!BJ47</f>
        <v>0</v>
      </c>
      <c r="BJ47" s="28"/>
      <c r="BK47" s="29">
        <v>0</v>
      </c>
      <c r="BL47" s="30">
        <f t="shared" si="78"/>
        <v>0</v>
      </c>
      <c r="BM47" s="28">
        <f>PRODUCTION!BN47+'SUPLIER INWARD'!BN47</f>
        <v>0</v>
      </c>
      <c r="BN47" s="28"/>
      <c r="BO47" s="29">
        <v>0</v>
      </c>
      <c r="BP47" s="30">
        <f t="shared" si="79"/>
        <v>0</v>
      </c>
      <c r="BQ47" s="28">
        <f>PRODUCTION!BR47+'SUPLIER INWARD'!BR47</f>
        <v>0</v>
      </c>
      <c r="BR47" s="28"/>
      <c r="BS47" s="29">
        <v>0</v>
      </c>
      <c r="BT47" s="30">
        <f t="shared" si="80"/>
        <v>0</v>
      </c>
      <c r="BU47" s="28">
        <f>PRODUCTION!BV47+'SUPLIER INWARD'!BV47</f>
        <v>0</v>
      </c>
      <c r="BV47" s="28"/>
      <c r="BW47" s="29">
        <v>0</v>
      </c>
      <c r="BX47" s="30">
        <f t="shared" si="47"/>
        <v>0</v>
      </c>
      <c r="BY47" s="28">
        <f>PRODUCTION!BZ47+'SUPLIER INWARD'!BZ47</f>
        <v>0</v>
      </c>
      <c r="BZ47" s="28"/>
      <c r="CA47" s="29">
        <v>0</v>
      </c>
      <c r="CB47" s="30">
        <f t="shared" si="81"/>
        <v>0</v>
      </c>
      <c r="CC47" s="28">
        <f>PRODUCTION!CD47+'SUPLIER INWARD'!CD47</f>
        <v>0</v>
      </c>
      <c r="CD47" s="28"/>
      <c r="CE47" s="29">
        <v>0</v>
      </c>
      <c r="CF47" s="30">
        <f t="shared" si="82"/>
        <v>0</v>
      </c>
      <c r="CG47" s="28">
        <f>PRODUCTION!CH47+'SUPLIER INWARD'!CH47</f>
        <v>0</v>
      </c>
      <c r="CH47" s="28"/>
      <c r="CI47" s="29">
        <v>0</v>
      </c>
      <c r="CJ47" s="30">
        <f t="shared" si="50"/>
        <v>0</v>
      </c>
      <c r="CK47" s="28">
        <f>PRODUCTION!CL47+'SUPLIER INWARD'!CL47</f>
        <v>0</v>
      </c>
      <c r="CL47" s="151"/>
      <c r="CM47" s="152">
        <v>0</v>
      </c>
      <c r="CN47" s="30">
        <f t="shared" si="51"/>
        <v>0</v>
      </c>
      <c r="CO47" s="28">
        <f>PRODUCTION!CP47+'SUPLIER INWARD'!CP47</f>
        <v>0</v>
      </c>
      <c r="CP47" s="151"/>
      <c r="CQ47" s="29">
        <v>0</v>
      </c>
      <c r="CR47" s="30">
        <f t="shared" si="52"/>
        <v>0</v>
      </c>
      <c r="CS47" s="28">
        <f>PRODUCTION!CT47+'SUPLIER INWARD'!CT47</f>
        <v>0</v>
      </c>
      <c r="CT47" s="28"/>
      <c r="CU47" s="29">
        <v>0</v>
      </c>
      <c r="CV47" s="30">
        <f t="shared" si="53"/>
        <v>0</v>
      </c>
      <c r="CW47" s="28">
        <f>PRODUCTION!CX47+'SUPLIER INWARD'!CX47</f>
        <v>0</v>
      </c>
      <c r="CX47" s="28"/>
      <c r="CY47" s="29">
        <v>0</v>
      </c>
      <c r="CZ47" s="30">
        <f t="shared" si="83"/>
        <v>0</v>
      </c>
      <c r="DA47" s="28">
        <f>PRODUCTION!DB47+'SUPLIER INWARD'!DB47</f>
        <v>0</v>
      </c>
      <c r="DB47" s="28"/>
      <c r="DC47" s="29"/>
      <c r="DD47" s="30">
        <f t="shared" si="84"/>
        <v>0</v>
      </c>
      <c r="DE47" s="28">
        <f>PRODUCTION!DF47+'SUPLIER INWARD'!DF47</f>
        <v>0</v>
      </c>
      <c r="DF47" s="28"/>
      <c r="DG47" s="29">
        <v>0</v>
      </c>
      <c r="DH47" s="30">
        <f t="shared" si="85"/>
        <v>0</v>
      </c>
      <c r="DI47" s="28">
        <f>PRODUCTION!DJ47+'SUPLIER INWARD'!DJ47</f>
        <v>0</v>
      </c>
      <c r="DJ47" s="28"/>
      <c r="DK47" s="29">
        <v>0</v>
      </c>
      <c r="DL47" s="30">
        <f t="shared" si="86"/>
        <v>0</v>
      </c>
      <c r="DM47" s="28">
        <f>PRODUCTION!DN47+'SUPLIER INWARD'!DN47</f>
        <v>0</v>
      </c>
      <c r="DN47" s="28"/>
      <c r="DO47" s="29"/>
      <c r="DP47" s="30">
        <f t="shared" si="87"/>
        <v>0</v>
      </c>
      <c r="DQ47" s="28">
        <f>PRODUCTION!DR47+'SUPLIER INWARD'!DR47</f>
        <v>0</v>
      </c>
      <c r="DR47" s="28"/>
      <c r="DS47" s="29"/>
      <c r="DT47" s="30">
        <f t="shared" si="88"/>
        <v>0</v>
      </c>
      <c r="DU47" s="28">
        <f>PRODUCTION!DV47+'SUPLIER INWARD'!DV47</f>
        <v>0</v>
      </c>
      <c r="DV47" s="28"/>
      <c r="DW47" s="29"/>
      <c r="DX47" s="30">
        <f t="shared" si="89"/>
        <v>0</v>
      </c>
      <c r="DY47" s="31">
        <f t="shared" si="90"/>
        <v>0</v>
      </c>
      <c r="DZ47" s="31">
        <f t="shared" si="91"/>
        <v>0</v>
      </c>
      <c r="EA47" s="4">
        <f t="shared" si="92"/>
        <v>0</v>
      </c>
      <c r="EB47" s="9">
        <f>D47*'MASTER SHEET'!D47</f>
        <v>0</v>
      </c>
      <c r="EC47" s="9">
        <f>H47*'MASTER SHEET'!D47</f>
        <v>0</v>
      </c>
      <c r="ED47" s="9">
        <f>L47*'MASTER SHEET'!D47</f>
        <v>0</v>
      </c>
      <c r="EE47" s="9">
        <f>P47*'MASTER SHEET'!D47</f>
        <v>0</v>
      </c>
      <c r="EF47" s="9">
        <f>T47*'MASTER SHEET'!D47</f>
        <v>0</v>
      </c>
      <c r="EG47" s="9">
        <f>X47*'MASTER SHEET'!D47</f>
        <v>0</v>
      </c>
      <c r="EH47" s="9">
        <f>AB47*'MASTER SHEET'!D47</f>
        <v>0</v>
      </c>
      <c r="EI47" s="9">
        <f>AF47*'MASTER SHEET'!D47</f>
        <v>0</v>
      </c>
      <c r="EJ47" s="9">
        <f>AJ47*'MASTER SHEET'!D47</f>
        <v>0</v>
      </c>
      <c r="EK47" s="9">
        <f>AN47*'MASTER SHEET'!D47</f>
        <v>0</v>
      </c>
      <c r="EL47" s="9">
        <f>AR47*'MASTER SHEET'!D47</f>
        <v>0</v>
      </c>
      <c r="EM47" s="9">
        <f>AV47*'MASTER SHEET'!D47</f>
        <v>0</v>
      </c>
      <c r="EN47" s="9">
        <f>AZ47*'MASTER SHEET'!D47</f>
        <v>0</v>
      </c>
      <c r="EO47" s="9">
        <f>BD47*'MASTER SHEET'!D47</f>
        <v>0</v>
      </c>
      <c r="EP47" s="9">
        <f>$BH47*'MASTER SHEET'!$D47</f>
        <v>0</v>
      </c>
      <c r="EQ47" s="9">
        <f>BL47*'MASTER SHEET'!D47</f>
        <v>0</v>
      </c>
      <c r="ER47" s="9">
        <f>BP47*'MASTER SHEET'!D47</f>
        <v>0</v>
      </c>
      <c r="ES47" s="9">
        <f>BT47*'MASTER SHEET'!D47</f>
        <v>0</v>
      </c>
      <c r="ET47" s="9">
        <f>BX47*'MASTER SHEET'!D47</f>
        <v>0</v>
      </c>
      <c r="EU47" s="9">
        <f>CB47*'MASTER SHEET'!D47</f>
        <v>0</v>
      </c>
      <c r="EV47" s="9">
        <f>CF47*'MASTER SHEET'!D47</f>
        <v>0</v>
      </c>
      <c r="EW47" s="9">
        <f>CJ47*'MASTER SHEET'!D47</f>
        <v>0</v>
      </c>
      <c r="EX47" s="9">
        <f>CN47*'MASTER SHEET'!D47</f>
        <v>0</v>
      </c>
      <c r="EY47" s="9">
        <f>CR47*'MASTER SHEET'!D47</f>
        <v>0</v>
      </c>
      <c r="EZ47" s="9">
        <f>$CV47*'MASTER SHEET'!D47</f>
        <v>0</v>
      </c>
      <c r="FA47" s="9">
        <f>CZ47*'MASTER SHEET'!D47</f>
        <v>0</v>
      </c>
      <c r="FB47" s="9">
        <f>DD47*'MASTER SHEET'!D47</f>
        <v>0</v>
      </c>
      <c r="FC47" s="9">
        <f>DH47*'MASTER SHEET'!D47</f>
        <v>0</v>
      </c>
      <c r="FD47" s="9">
        <f>DL47*'MASTER SHEET'!D47</f>
        <v>0</v>
      </c>
      <c r="FE47" s="9">
        <f>DP47*'MASTER SHEET'!D47</f>
        <v>0</v>
      </c>
      <c r="FF47" s="9">
        <f>DT47*'MASTER SHEET'!D47</f>
        <v>0</v>
      </c>
      <c r="FG47" s="9">
        <f>+DX47*'MASTER SHEET'!D47</f>
        <v>0</v>
      </c>
    </row>
    <row r="48" spans="1:163" s="10" customFormat="1" ht="20.25" customHeight="1" x14ac:dyDescent="0.25">
      <c r="A48" s="25">
        <f>'MASTER SHEET'!A48</f>
        <v>46</v>
      </c>
      <c r="B48" s="26" t="str">
        <f>'MASTER SHEET'!B48</f>
        <v>CENTERTUBE PLASTIC</v>
      </c>
      <c r="C48" s="78">
        <f>'MASTER SHEET'!C48</f>
        <v>5029358</v>
      </c>
      <c r="D48" s="159">
        <v>55</v>
      </c>
      <c r="E48" s="28">
        <f>PRODUCTION!F48+'SUPLIER INWARD'!F48</f>
        <v>0</v>
      </c>
      <c r="F48" s="28"/>
      <c r="G48" s="29">
        <v>0</v>
      </c>
      <c r="H48" s="30">
        <f t="shared" si="64"/>
        <v>55</v>
      </c>
      <c r="I48" s="28">
        <f>PRODUCTION!J48+'SUPLIER INWARD'!J48</f>
        <v>0</v>
      </c>
      <c r="J48" s="28"/>
      <c r="K48" s="29">
        <v>0</v>
      </c>
      <c r="L48" s="30">
        <f t="shared" si="65"/>
        <v>55</v>
      </c>
      <c r="M48" s="28">
        <f>PRODUCTION!N48+'SUPLIER INWARD'!N48</f>
        <v>0</v>
      </c>
      <c r="N48" s="28"/>
      <c r="O48" s="29"/>
      <c r="P48" s="30">
        <f t="shared" si="66"/>
        <v>55</v>
      </c>
      <c r="Q48" s="28">
        <f>PRODUCTION!R48+'SUPLIER INWARD'!R48</f>
        <v>0</v>
      </c>
      <c r="R48" s="28"/>
      <c r="S48" s="29">
        <v>0</v>
      </c>
      <c r="T48" s="30">
        <f t="shared" si="67"/>
        <v>55</v>
      </c>
      <c r="U48" s="28">
        <f>PRODUCTION!V48+'SUPLIER INWARD'!V48</f>
        <v>0</v>
      </c>
      <c r="V48" s="28"/>
      <c r="W48" s="29">
        <v>0</v>
      </c>
      <c r="X48" s="30">
        <f t="shared" si="68"/>
        <v>55</v>
      </c>
      <c r="Y48" s="28">
        <f>PRODUCTION!Z48+'SUPLIER INWARD'!Z48</f>
        <v>0</v>
      </c>
      <c r="Z48" s="28"/>
      <c r="AA48" s="29">
        <v>0</v>
      </c>
      <c r="AB48" s="30">
        <f t="shared" si="69"/>
        <v>55</v>
      </c>
      <c r="AC48" s="28">
        <f>PRODUCTION!AD48+'SUPLIER INWARD'!AD48</f>
        <v>0</v>
      </c>
      <c r="AD48" s="28"/>
      <c r="AE48" s="29">
        <v>0</v>
      </c>
      <c r="AF48" s="30">
        <f t="shared" si="70"/>
        <v>55</v>
      </c>
      <c r="AG48" s="28">
        <f>PRODUCTION!AH48+'SUPLIER INWARD'!AH48</f>
        <v>0</v>
      </c>
      <c r="AH48" s="28"/>
      <c r="AI48" s="29">
        <v>0</v>
      </c>
      <c r="AJ48" s="30">
        <f t="shared" si="71"/>
        <v>55</v>
      </c>
      <c r="AK48" s="28">
        <f>PRODUCTION!AL48+'SUPLIER INWARD'!AL48</f>
        <v>0</v>
      </c>
      <c r="AL48" s="28"/>
      <c r="AM48" s="29">
        <v>0</v>
      </c>
      <c r="AN48" s="30">
        <f t="shared" si="72"/>
        <v>55</v>
      </c>
      <c r="AO48" s="28">
        <f>PRODUCTION!AP48+'SUPLIER INWARD'!AP48</f>
        <v>0</v>
      </c>
      <c r="AP48" s="28"/>
      <c r="AQ48" s="29">
        <v>0</v>
      </c>
      <c r="AR48" s="30">
        <f t="shared" si="73"/>
        <v>55</v>
      </c>
      <c r="AS48" s="28">
        <f>PRODUCTION!AT48+'SUPLIER INWARD'!AT48</f>
        <v>0</v>
      </c>
      <c r="AT48" s="28"/>
      <c r="AU48" s="29">
        <v>0</v>
      </c>
      <c r="AV48" s="30">
        <f t="shared" si="74"/>
        <v>55</v>
      </c>
      <c r="AW48" s="28">
        <f>PRODUCTION!AX48+'SUPLIER INWARD'!AX48</f>
        <v>0</v>
      </c>
      <c r="AX48" s="28"/>
      <c r="AY48" s="29"/>
      <c r="AZ48" s="30">
        <f t="shared" si="75"/>
        <v>55</v>
      </c>
      <c r="BA48" s="28">
        <f>PRODUCTION!BB48+'SUPLIER INWARD'!BB48</f>
        <v>0</v>
      </c>
      <c r="BB48" s="28"/>
      <c r="BC48" s="29">
        <v>0</v>
      </c>
      <c r="BD48" s="30">
        <f t="shared" si="76"/>
        <v>55</v>
      </c>
      <c r="BE48" s="28">
        <f>PRODUCTION!BF48+'SUPLIER INWARD'!BF48</f>
        <v>0</v>
      </c>
      <c r="BF48" s="28"/>
      <c r="BG48" s="29">
        <v>0</v>
      </c>
      <c r="BH48" s="30">
        <f t="shared" si="77"/>
        <v>55</v>
      </c>
      <c r="BI48" s="28">
        <f>PRODUCTION!BJ48+'SUPLIER INWARD'!BJ48</f>
        <v>0</v>
      </c>
      <c r="BJ48" s="28"/>
      <c r="BK48" s="29">
        <v>0</v>
      </c>
      <c r="BL48" s="30">
        <f t="shared" si="78"/>
        <v>55</v>
      </c>
      <c r="BM48" s="28">
        <f>PRODUCTION!BN48+'SUPLIER INWARD'!BN48</f>
        <v>0</v>
      </c>
      <c r="BN48" s="151"/>
      <c r="BO48" s="29">
        <v>0</v>
      </c>
      <c r="BP48" s="30">
        <f t="shared" si="79"/>
        <v>55</v>
      </c>
      <c r="BQ48" s="28">
        <f>PRODUCTION!BR48+'SUPLIER INWARD'!BR48</f>
        <v>0</v>
      </c>
      <c r="BR48" s="28"/>
      <c r="BS48" s="29">
        <v>0</v>
      </c>
      <c r="BT48" s="30">
        <f t="shared" si="80"/>
        <v>55</v>
      </c>
      <c r="BU48" s="28">
        <f>PRODUCTION!BV48+'SUPLIER INWARD'!BV48</f>
        <v>0</v>
      </c>
      <c r="BV48" s="151"/>
      <c r="BW48" s="29">
        <v>0</v>
      </c>
      <c r="BX48" s="30">
        <f t="shared" si="47"/>
        <v>55</v>
      </c>
      <c r="BY48" s="28">
        <f>PRODUCTION!BZ48+'SUPLIER INWARD'!BZ48</f>
        <v>0</v>
      </c>
      <c r="BZ48" s="28"/>
      <c r="CA48" s="29">
        <v>0</v>
      </c>
      <c r="CB48" s="30">
        <f t="shared" si="81"/>
        <v>55</v>
      </c>
      <c r="CC48" s="28">
        <f>PRODUCTION!CD48+'SUPLIER INWARD'!CD48</f>
        <v>0</v>
      </c>
      <c r="CD48" s="28"/>
      <c r="CE48" s="29">
        <v>0</v>
      </c>
      <c r="CF48" s="30">
        <f t="shared" si="82"/>
        <v>55</v>
      </c>
      <c r="CG48" s="28">
        <f>PRODUCTION!CH48+'SUPLIER INWARD'!CH48</f>
        <v>0</v>
      </c>
      <c r="CH48" s="28"/>
      <c r="CI48" s="29">
        <v>0</v>
      </c>
      <c r="CJ48" s="30">
        <f t="shared" si="50"/>
        <v>55</v>
      </c>
      <c r="CK48" s="28">
        <f>PRODUCTION!CL48+'SUPLIER INWARD'!CL48</f>
        <v>0</v>
      </c>
      <c r="CL48" s="151"/>
      <c r="CM48" s="152">
        <v>0</v>
      </c>
      <c r="CN48" s="30">
        <f t="shared" si="51"/>
        <v>55</v>
      </c>
      <c r="CO48" s="28">
        <f>PRODUCTION!CP48+'SUPLIER INWARD'!CP48</f>
        <v>0</v>
      </c>
      <c r="CP48" s="151"/>
      <c r="CQ48" s="29">
        <v>0</v>
      </c>
      <c r="CR48" s="30">
        <f t="shared" si="52"/>
        <v>55</v>
      </c>
      <c r="CS48" s="28">
        <f>PRODUCTION!CT48+'SUPLIER INWARD'!CT48</f>
        <v>0</v>
      </c>
      <c r="CT48" s="28"/>
      <c r="CU48" s="29">
        <v>0</v>
      </c>
      <c r="CV48" s="30">
        <f t="shared" si="53"/>
        <v>55</v>
      </c>
      <c r="CW48" s="28">
        <f>PRODUCTION!CX48+'SUPLIER INWARD'!CX48</f>
        <v>0</v>
      </c>
      <c r="CX48" s="28"/>
      <c r="CY48" s="29">
        <v>0</v>
      </c>
      <c r="CZ48" s="30">
        <f t="shared" si="83"/>
        <v>55</v>
      </c>
      <c r="DA48" s="28">
        <f>PRODUCTION!DB48+'SUPLIER INWARD'!DB48</f>
        <v>0</v>
      </c>
      <c r="DB48" s="146"/>
      <c r="DC48" s="29"/>
      <c r="DD48" s="30">
        <f t="shared" si="84"/>
        <v>55</v>
      </c>
      <c r="DE48" s="28">
        <f>PRODUCTION!DF48+'SUPLIER INWARD'!DF48</f>
        <v>0</v>
      </c>
      <c r="DF48" s="28"/>
      <c r="DG48" s="29">
        <v>0</v>
      </c>
      <c r="DH48" s="30">
        <f t="shared" si="85"/>
        <v>55</v>
      </c>
      <c r="DI48" s="28">
        <f>PRODUCTION!DJ48+'SUPLIER INWARD'!DJ48</f>
        <v>0</v>
      </c>
      <c r="DJ48" s="28"/>
      <c r="DK48" s="29">
        <v>0</v>
      </c>
      <c r="DL48" s="30">
        <f t="shared" si="86"/>
        <v>55</v>
      </c>
      <c r="DM48" s="28">
        <f>PRODUCTION!DN48+'SUPLIER INWARD'!DN48</f>
        <v>0</v>
      </c>
      <c r="DN48" s="28"/>
      <c r="DO48" s="29"/>
      <c r="DP48" s="30">
        <f t="shared" si="87"/>
        <v>55</v>
      </c>
      <c r="DQ48" s="28">
        <f>PRODUCTION!DR48+'SUPLIER INWARD'!DR48</f>
        <v>0</v>
      </c>
      <c r="DR48" s="28"/>
      <c r="DS48" s="29"/>
      <c r="DT48" s="30">
        <f t="shared" si="88"/>
        <v>55</v>
      </c>
      <c r="DU48" s="28">
        <f>PRODUCTION!DV48+'SUPLIER INWARD'!DV48</f>
        <v>0</v>
      </c>
      <c r="DV48" s="28"/>
      <c r="DW48" s="29"/>
      <c r="DX48" s="30">
        <f t="shared" si="89"/>
        <v>55</v>
      </c>
      <c r="DY48" s="31">
        <f t="shared" si="90"/>
        <v>0</v>
      </c>
      <c r="DZ48" s="31">
        <f t="shared" si="91"/>
        <v>0</v>
      </c>
      <c r="EA48" s="4">
        <f t="shared" si="92"/>
        <v>0</v>
      </c>
      <c r="EB48" s="9">
        <f>D48*'MASTER SHEET'!D48</f>
        <v>623.70000000000005</v>
      </c>
      <c r="EC48" s="9">
        <f>H48*'MASTER SHEET'!D48</f>
        <v>623.70000000000005</v>
      </c>
      <c r="ED48" s="9">
        <f>L48*'MASTER SHEET'!D48</f>
        <v>623.70000000000005</v>
      </c>
      <c r="EE48" s="9">
        <f>P48*'MASTER SHEET'!D48</f>
        <v>623.70000000000005</v>
      </c>
      <c r="EF48" s="9">
        <f>T48*'MASTER SHEET'!D48</f>
        <v>623.70000000000005</v>
      </c>
      <c r="EG48" s="9">
        <f>X48*'MASTER SHEET'!D48</f>
        <v>623.70000000000005</v>
      </c>
      <c r="EH48" s="9">
        <f>AB48*'MASTER SHEET'!D48</f>
        <v>623.70000000000005</v>
      </c>
      <c r="EI48" s="9">
        <f>AF48*'MASTER SHEET'!D48</f>
        <v>623.70000000000005</v>
      </c>
      <c r="EJ48" s="9">
        <f>AJ48*'MASTER SHEET'!D48</f>
        <v>623.70000000000005</v>
      </c>
      <c r="EK48" s="9">
        <f>AN48*'MASTER SHEET'!D48</f>
        <v>623.70000000000005</v>
      </c>
      <c r="EL48" s="9">
        <f>AR48*'MASTER SHEET'!D48</f>
        <v>623.70000000000005</v>
      </c>
      <c r="EM48" s="9">
        <f>AV48*'MASTER SHEET'!D48</f>
        <v>623.70000000000005</v>
      </c>
      <c r="EN48" s="9">
        <f>AZ48*'MASTER SHEET'!D48</f>
        <v>623.70000000000005</v>
      </c>
      <c r="EO48" s="9">
        <f>BD48*'MASTER SHEET'!D48</f>
        <v>623.70000000000005</v>
      </c>
      <c r="EP48" s="9">
        <f>$BH48*'MASTER SHEET'!$D48</f>
        <v>623.70000000000005</v>
      </c>
      <c r="EQ48" s="9">
        <f>BL48*'MASTER SHEET'!D48</f>
        <v>623.70000000000005</v>
      </c>
      <c r="ER48" s="9">
        <f>BP48*'MASTER SHEET'!D48</f>
        <v>623.70000000000005</v>
      </c>
      <c r="ES48" s="9">
        <f>BT48*'MASTER SHEET'!D48</f>
        <v>623.70000000000005</v>
      </c>
      <c r="ET48" s="9">
        <f>BX48*'MASTER SHEET'!D48</f>
        <v>623.70000000000005</v>
      </c>
      <c r="EU48" s="9">
        <f>CB48*'MASTER SHEET'!D48</f>
        <v>623.70000000000005</v>
      </c>
      <c r="EV48" s="9">
        <f>CF48*'MASTER SHEET'!D48</f>
        <v>623.70000000000005</v>
      </c>
      <c r="EW48" s="9">
        <f>CJ48*'MASTER SHEET'!D48</f>
        <v>623.70000000000005</v>
      </c>
      <c r="EX48" s="9">
        <f>CN48*'MASTER SHEET'!D48</f>
        <v>623.70000000000005</v>
      </c>
      <c r="EY48" s="9">
        <f>CR48*'MASTER SHEET'!D48</f>
        <v>623.70000000000005</v>
      </c>
      <c r="EZ48" s="9">
        <f>$CV48*'MASTER SHEET'!D48</f>
        <v>623.70000000000005</v>
      </c>
      <c r="FA48" s="9">
        <f>CZ48*'MASTER SHEET'!D48</f>
        <v>623.70000000000005</v>
      </c>
      <c r="FB48" s="9">
        <f>DD48*'MASTER SHEET'!D48</f>
        <v>623.70000000000005</v>
      </c>
      <c r="FC48" s="9">
        <f>DH48*'MASTER SHEET'!D48</f>
        <v>623.70000000000005</v>
      </c>
      <c r="FD48" s="9">
        <f>DL48*'MASTER SHEET'!D48</f>
        <v>623.70000000000005</v>
      </c>
      <c r="FE48" s="9">
        <f>DP48*'MASTER SHEET'!D48</f>
        <v>623.70000000000005</v>
      </c>
      <c r="FF48" s="9">
        <f>DT48*'MASTER SHEET'!D48</f>
        <v>623.70000000000005</v>
      </c>
      <c r="FG48" s="9">
        <f>+DX48*'MASTER SHEET'!D48</f>
        <v>623.70000000000005</v>
      </c>
    </row>
    <row r="49" spans="1:163" ht="20.25" customHeight="1" x14ac:dyDescent="0.25">
      <c r="A49" s="25">
        <f>'MASTER SHEET'!A49</f>
        <v>47</v>
      </c>
      <c r="B49" s="26" t="str">
        <f>'MASTER SHEET'!B49</f>
        <v>CDR CAP</v>
      </c>
      <c r="C49" s="78">
        <f>'MASTER SHEET'!C49</f>
        <v>5030020</v>
      </c>
      <c r="D49" s="163">
        <f>400+50+200</f>
        <v>650</v>
      </c>
      <c r="E49" s="28">
        <f>PRODUCTION!F49+'SUPLIER INWARD'!F49</f>
        <v>0</v>
      </c>
      <c r="F49" s="28"/>
      <c r="G49" s="29">
        <v>0</v>
      </c>
      <c r="H49" s="30">
        <f t="shared" si="64"/>
        <v>650</v>
      </c>
      <c r="I49" s="28">
        <f>PRODUCTION!J49+'SUPLIER INWARD'!J49</f>
        <v>0</v>
      </c>
      <c r="J49" s="28">
        <v>400</v>
      </c>
      <c r="K49" s="29">
        <v>0</v>
      </c>
      <c r="L49" s="30">
        <f t="shared" si="65"/>
        <v>250</v>
      </c>
      <c r="M49" s="28">
        <f>PRODUCTION!N49+'SUPLIER INWARD'!N49</f>
        <v>0</v>
      </c>
      <c r="N49" s="28"/>
      <c r="O49" s="29"/>
      <c r="P49" s="30">
        <f t="shared" si="66"/>
        <v>250</v>
      </c>
      <c r="Q49" s="28">
        <f>PRODUCTION!R49+'SUPLIER INWARD'!R49</f>
        <v>0</v>
      </c>
      <c r="R49" s="28"/>
      <c r="S49" s="29">
        <v>0</v>
      </c>
      <c r="T49" s="30">
        <f t="shared" si="67"/>
        <v>250</v>
      </c>
      <c r="U49" s="28">
        <f>PRODUCTION!V49+'SUPLIER INWARD'!V49</f>
        <v>0</v>
      </c>
      <c r="V49" s="28"/>
      <c r="W49" s="29">
        <v>0</v>
      </c>
      <c r="X49" s="30">
        <f t="shared" si="68"/>
        <v>250</v>
      </c>
      <c r="Y49" s="28">
        <f>PRODUCTION!Z49+'SUPLIER INWARD'!Z49</f>
        <v>0</v>
      </c>
      <c r="Z49" s="28">
        <v>200</v>
      </c>
      <c r="AA49" s="29">
        <v>0</v>
      </c>
      <c r="AB49" s="30">
        <f t="shared" si="69"/>
        <v>50</v>
      </c>
      <c r="AC49" s="28">
        <f>PRODUCTION!AD49+'SUPLIER INWARD'!AD49</f>
        <v>0</v>
      </c>
      <c r="AD49" s="28"/>
      <c r="AE49" s="29">
        <v>0</v>
      </c>
      <c r="AF49" s="30">
        <f t="shared" si="70"/>
        <v>50</v>
      </c>
      <c r="AG49" s="28">
        <f>PRODUCTION!AH49+'SUPLIER INWARD'!AH49</f>
        <v>1485</v>
      </c>
      <c r="AH49" s="28"/>
      <c r="AI49" s="29">
        <v>0</v>
      </c>
      <c r="AJ49" s="30">
        <f t="shared" si="71"/>
        <v>1535</v>
      </c>
      <c r="AK49" s="28">
        <f>PRODUCTION!AL49+'SUPLIER INWARD'!AL49</f>
        <v>1366</v>
      </c>
      <c r="AL49" s="28">
        <v>1100</v>
      </c>
      <c r="AM49" s="29">
        <v>7</v>
      </c>
      <c r="AN49" s="30">
        <f t="shared" si="72"/>
        <v>1794</v>
      </c>
      <c r="AO49" s="28">
        <f>PRODUCTION!AP49+'SUPLIER INWARD'!AP49</f>
        <v>0</v>
      </c>
      <c r="AP49" s="28"/>
      <c r="AQ49" s="29">
        <v>0</v>
      </c>
      <c r="AR49" s="30">
        <f t="shared" si="73"/>
        <v>1794</v>
      </c>
      <c r="AS49" s="28">
        <f>PRODUCTION!AT49+'SUPLIER INWARD'!AT49</f>
        <v>0</v>
      </c>
      <c r="AT49" s="28"/>
      <c r="AU49" s="29">
        <v>0</v>
      </c>
      <c r="AV49" s="30">
        <f t="shared" si="74"/>
        <v>1794</v>
      </c>
      <c r="AW49" s="28">
        <f>PRODUCTION!AX49+'SUPLIER INWARD'!AX49</f>
        <v>0</v>
      </c>
      <c r="AX49" s="28"/>
      <c r="AY49" s="29"/>
      <c r="AZ49" s="30">
        <f t="shared" si="75"/>
        <v>1794</v>
      </c>
      <c r="BA49" s="28">
        <f>PRODUCTION!BB49+'SUPLIER INWARD'!BB49</f>
        <v>0</v>
      </c>
      <c r="BB49" s="28"/>
      <c r="BC49" s="29">
        <v>0</v>
      </c>
      <c r="BD49" s="30">
        <f t="shared" si="76"/>
        <v>1794</v>
      </c>
      <c r="BE49" s="28">
        <f>PRODUCTION!BF49+'SUPLIER INWARD'!BF49</f>
        <v>0</v>
      </c>
      <c r="BF49" s="28"/>
      <c r="BG49" s="29">
        <v>0</v>
      </c>
      <c r="BH49" s="30">
        <f t="shared" si="77"/>
        <v>1794</v>
      </c>
      <c r="BI49" s="28">
        <f>PRODUCTION!BJ49+'SUPLIER INWARD'!BJ49</f>
        <v>0</v>
      </c>
      <c r="BJ49" s="28"/>
      <c r="BK49" s="29">
        <v>0</v>
      </c>
      <c r="BL49" s="30">
        <f t="shared" si="78"/>
        <v>1794</v>
      </c>
      <c r="BM49" s="28">
        <f>PRODUCTION!BN49+'SUPLIER INWARD'!BN49</f>
        <v>0</v>
      </c>
      <c r="BN49" s="28"/>
      <c r="BO49" s="29">
        <v>0</v>
      </c>
      <c r="BP49" s="30">
        <f t="shared" si="79"/>
        <v>1794</v>
      </c>
      <c r="BQ49" s="28">
        <f>PRODUCTION!BR49+'SUPLIER INWARD'!BR49</f>
        <v>0</v>
      </c>
      <c r="BR49" s="28"/>
      <c r="BS49" s="29">
        <v>0</v>
      </c>
      <c r="BT49" s="30">
        <f t="shared" si="80"/>
        <v>1794</v>
      </c>
      <c r="BU49" s="28">
        <f>PRODUCTION!BV49+'SUPLIER INWARD'!BV49</f>
        <v>0</v>
      </c>
      <c r="BV49" s="28"/>
      <c r="BW49" s="29">
        <v>0</v>
      </c>
      <c r="BX49" s="30">
        <f t="shared" si="47"/>
        <v>1794</v>
      </c>
      <c r="BY49" s="28">
        <f>PRODUCTION!BZ49+'SUPLIER INWARD'!BZ49</f>
        <v>0</v>
      </c>
      <c r="BZ49" s="28"/>
      <c r="CA49" s="29">
        <v>0</v>
      </c>
      <c r="CB49" s="30">
        <f t="shared" si="81"/>
        <v>1794</v>
      </c>
      <c r="CC49" s="28">
        <f>PRODUCTION!CD49+'SUPLIER INWARD'!CD49</f>
        <v>0</v>
      </c>
      <c r="CD49" s="28"/>
      <c r="CE49" s="29">
        <v>0</v>
      </c>
      <c r="CF49" s="30">
        <f t="shared" si="82"/>
        <v>1794</v>
      </c>
      <c r="CG49" s="28">
        <f>PRODUCTION!CH49+'SUPLIER INWARD'!CH49</f>
        <v>0</v>
      </c>
      <c r="CH49" s="28"/>
      <c r="CI49" s="29">
        <v>0</v>
      </c>
      <c r="CJ49" s="30">
        <f t="shared" si="50"/>
        <v>1794</v>
      </c>
      <c r="CK49" s="28">
        <f>PRODUCTION!CL49+'SUPLIER INWARD'!CL49</f>
        <v>0</v>
      </c>
      <c r="CL49" s="151"/>
      <c r="CM49" s="152">
        <v>0</v>
      </c>
      <c r="CN49" s="30">
        <f t="shared" si="51"/>
        <v>1794</v>
      </c>
      <c r="CO49" s="28">
        <f>PRODUCTION!CP49+'SUPLIER INWARD'!CP49</f>
        <v>0</v>
      </c>
      <c r="CP49" s="151"/>
      <c r="CQ49" s="29">
        <v>0</v>
      </c>
      <c r="CR49" s="30">
        <f t="shared" si="52"/>
        <v>1794</v>
      </c>
      <c r="CS49" s="28">
        <f>PRODUCTION!CT49+'SUPLIER INWARD'!CT49</f>
        <v>0</v>
      </c>
      <c r="CT49" s="28"/>
      <c r="CU49" s="29">
        <v>0</v>
      </c>
      <c r="CV49" s="30">
        <f t="shared" si="53"/>
        <v>1794</v>
      </c>
      <c r="CW49" s="28">
        <f>PRODUCTION!CX49+'SUPLIER INWARD'!CX49</f>
        <v>0</v>
      </c>
      <c r="CX49" s="28"/>
      <c r="CY49" s="29">
        <v>0</v>
      </c>
      <c r="CZ49" s="30">
        <f t="shared" si="83"/>
        <v>1794</v>
      </c>
      <c r="DA49" s="28">
        <f>PRODUCTION!DB49+'SUPLIER INWARD'!DB49</f>
        <v>0</v>
      </c>
      <c r="DB49" s="28"/>
      <c r="DC49" s="29"/>
      <c r="DD49" s="30">
        <f t="shared" si="84"/>
        <v>1794</v>
      </c>
      <c r="DE49" s="28">
        <f>PRODUCTION!DF49+'SUPLIER INWARD'!DF49</f>
        <v>0</v>
      </c>
      <c r="DF49" s="28"/>
      <c r="DG49" s="29">
        <v>0</v>
      </c>
      <c r="DH49" s="30">
        <f t="shared" si="85"/>
        <v>1794</v>
      </c>
      <c r="DI49" s="28">
        <f>PRODUCTION!DJ49+'SUPLIER INWARD'!DJ49</f>
        <v>0</v>
      </c>
      <c r="DJ49" s="28"/>
      <c r="DK49" s="29">
        <v>0</v>
      </c>
      <c r="DL49" s="30">
        <f t="shared" si="86"/>
        <v>1794</v>
      </c>
      <c r="DM49" s="28">
        <f>PRODUCTION!DN49+'SUPLIER INWARD'!DN49</f>
        <v>0</v>
      </c>
      <c r="DN49" s="28"/>
      <c r="DO49" s="29"/>
      <c r="DP49" s="30">
        <f t="shared" si="87"/>
        <v>1794</v>
      </c>
      <c r="DQ49" s="28">
        <f>PRODUCTION!DR49+'SUPLIER INWARD'!DR49</f>
        <v>0</v>
      </c>
      <c r="DR49" s="28"/>
      <c r="DS49" s="29"/>
      <c r="DT49" s="30">
        <f t="shared" si="88"/>
        <v>1794</v>
      </c>
      <c r="DU49" s="28">
        <f>PRODUCTION!DV49+'SUPLIER INWARD'!DV49</f>
        <v>0</v>
      </c>
      <c r="DV49" s="28"/>
      <c r="DW49" s="29"/>
      <c r="DX49" s="30">
        <f t="shared" si="89"/>
        <v>1794</v>
      </c>
      <c r="DY49" s="31">
        <f t="shared" si="90"/>
        <v>2851</v>
      </c>
      <c r="DZ49" s="31">
        <f t="shared" si="91"/>
        <v>1700</v>
      </c>
      <c r="EA49" s="4">
        <f t="shared" si="92"/>
        <v>7</v>
      </c>
      <c r="EB49" s="9">
        <f>D49*'MASTER SHEET'!D49</f>
        <v>6409</v>
      </c>
      <c r="EC49" s="9">
        <f>H49*'MASTER SHEET'!D49</f>
        <v>6409</v>
      </c>
      <c r="ED49" s="9">
        <f>L49*'MASTER SHEET'!D49</f>
        <v>2465</v>
      </c>
      <c r="EE49" s="9">
        <f>P49*'MASTER SHEET'!D49</f>
        <v>2465</v>
      </c>
      <c r="EF49" s="9">
        <f>T49*'MASTER SHEET'!D49</f>
        <v>2465</v>
      </c>
      <c r="EG49" s="9">
        <f>X49*'MASTER SHEET'!D49</f>
        <v>2465</v>
      </c>
      <c r="EH49" s="9">
        <f>AB49*'MASTER SHEET'!D49</f>
        <v>493</v>
      </c>
      <c r="EI49" s="9">
        <f>AF49*'MASTER SHEET'!D49</f>
        <v>493</v>
      </c>
      <c r="EJ49" s="9">
        <f>AJ49*'MASTER SHEET'!D49</f>
        <v>15135.099999999999</v>
      </c>
      <c r="EK49" s="9">
        <f>AN49*'MASTER SHEET'!D49</f>
        <v>17688.84</v>
      </c>
      <c r="EL49" s="9">
        <f>AR49*'MASTER SHEET'!D49</f>
        <v>17688.84</v>
      </c>
      <c r="EM49" s="9">
        <f>AV49*'MASTER SHEET'!D49</f>
        <v>17688.84</v>
      </c>
      <c r="EN49" s="9">
        <f>AZ49*'MASTER SHEET'!D49</f>
        <v>17688.84</v>
      </c>
      <c r="EO49" s="9">
        <f>BD49*'MASTER SHEET'!D49</f>
        <v>17688.84</v>
      </c>
      <c r="EP49" s="9">
        <f>$BH49*'MASTER SHEET'!$D49</f>
        <v>17688.84</v>
      </c>
      <c r="EQ49" s="9">
        <f>BL49*'MASTER SHEET'!D49</f>
        <v>17688.84</v>
      </c>
      <c r="ER49" s="9">
        <f>BP49*'MASTER SHEET'!D49</f>
        <v>17688.84</v>
      </c>
      <c r="ES49" s="9">
        <f>BT49*'MASTER SHEET'!D49</f>
        <v>17688.84</v>
      </c>
      <c r="ET49" s="9">
        <f>BX49*'MASTER SHEET'!D49</f>
        <v>17688.84</v>
      </c>
      <c r="EU49" s="9">
        <f>CB49*'MASTER SHEET'!D49</f>
        <v>17688.84</v>
      </c>
      <c r="EV49" s="9">
        <f>CF49*'MASTER SHEET'!D49</f>
        <v>17688.84</v>
      </c>
      <c r="EW49" s="9">
        <f>CJ49*'MASTER SHEET'!D49</f>
        <v>17688.84</v>
      </c>
      <c r="EX49" s="9">
        <f>CN49*'MASTER SHEET'!D49</f>
        <v>17688.84</v>
      </c>
      <c r="EY49" s="9">
        <f>CR49*'MASTER SHEET'!D49</f>
        <v>17688.84</v>
      </c>
      <c r="EZ49" s="9">
        <f>$CV49*'MASTER SHEET'!D49</f>
        <v>17688.84</v>
      </c>
      <c r="FA49" s="9">
        <f>CZ49*'MASTER SHEET'!D49</f>
        <v>17688.84</v>
      </c>
      <c r="FB49" s="9">
        <f>DD49*'MASTER SHEET'!D49</f>
        <v>17688.84</v>
      </c>
      <c r="FC49" s="9">
        <f>DH49*'MASTER SHEET'!D49</f>
        <v>17688.84</v>
      </c>
      <c r="FD49" s="9">
        <f>DL49*'MASTER SHEET'!D49</f>
        <v>17688.84</v>
      </c>
      <c r="FE49" s="9">
        <f>DP49*'MASTER SHEET'!D49</f>
        <v>17688.84</v>
      </c>
      <c r="FF49" s="9">
        <f>DT49*'MASTER SHEET'!D49</f>
        <v>17688.84</v>
      </c>
      <c r="FG49" s="9">
        <f>+DX49*'MASTER SHEET'!D49</f>
        <v>17688.84</v>
      </c>
    </row>
    <row r="50" spans="1:163" s="10" customFormat="1" ht="20.25" customHeight="1" x14ac:dyDescent="0.25">
      <c r="A50" s="25">
        <f>'MASTER SHEET'!A50</f>
        <v>48</v>
      </c>
      <c r="B50" s="26" t="str">
        <f>'MASTER SHEET'!B50</f>
        <v xml:space="preserve">CDR HOUSING </v>
      </c>
      <c r="C50" s="78">
        <f>'MASTER SHEET'!C50</f>
        <v>5030021</v>
      </c>
      <c r="D50" s="159">
        <v>0</v>
      </c>
      <c r="E50" s="28">
        <f>PRODUCTION!F50+'SUPLIER INWARD'!F50</f>
        <v>0</v>
      </c>
      <c r="F50" s="28"/>
      <c r="G50" s="29">
        <v>0</v>
      </c>
      <c r="H50" s="30">
        <f t="shared" si="64"/>
        <v>0</v>
      </c>
      <c r="I50" s="28">
        <f>PRODUCTION!J50+'SUPLIER INWARD'!J50</f>
        <v>0</v>
      </c>
      <c r="J50" s="28"/>
      <c r="K50" s="29">
        <v>0</v>
      </c>
      <c r="L50" s="30">
        <f t="shared" si="65"/>
        <v>0</v>
      </c>
      <c r="M50" s="28">
        <f>PRODUCTION!N50+'SUPLIER INWARD'!N50</f>
        <v>0</v>
      </c>
      <c r="N50" s="28"/>
      <c r="O50" s="29"/>
      <c r="P50" s="30">
        <f t="shared" si="66"/>
        <v>0</v>
      </c>
      <c r="Q50" s="28">
        <f>PRODUCTION!R50+'SUPLIER INWARD'!R50</f>
        <v>0</v>
      </c>
      <c r="R50" s="28"/>
      <c r="S50" s="29">
        <v>0</v>
      </c>
      <c r="T50" s="30">
        <f t="shared" si="67"/>
        <v>0</v>
      </c>
      <c r="U50" s="28">
        <f>PRODUCTION!V50+'SUPLIER INWARD'!V50</f>
        <v>0</v>
      </c>
      <c r="V50" s="28"/>
      <c r="W50" s="29">
        <v>0</v>
      </c>
      <c r="X50" s="30">
        <f t="shared" si="68"/>
        <v>0</v>
      </c>
      <c r="Y50" s="28">
        <f>PRODUCTION!Z50+'SUPLIER INWARD'!Z50</f>
        <v>0</v>
      </c>
      <c r="Z50" s="28"/>
      <c r="AA50" s="29">
        <v>0</v>
      </c>
      <c r="AB50" s="30">
        <f t="shared" si="69"/>
        <v>0</v>
      </c>
      <c r="AC50" s="28">
        <f>PRODUCTION!AD50+'SUPLIER INWARD'!AD50</f>
        <v>0</v>
      </c>
      <c r="AD50" s="28"/>
      <c r="AE50" s="29">
        <v>0</v>
      </c>
      <c r="AF50" s="30">
        <f t="shared" si="70"/>
        <v>0</v>
      </c>
      <c r="AG50" s="28">
        <f>PRODUCTION!AH50+'SUPLIER INWARD'!AH50</f>
        <v>0</v>
      </c>
      <c r="AH50" s="28"/>
      <c r="AI50" s="29">
        <v>0</v>
      </c>
      <c r="AJ50" s="30">
        <f t="shared" si="71"/>
        <v>0</v>
      </c>
      <c r="AK50" s="28">
        <f>PRODUCTION!AL50+'SUPLIER INWARD'!AL50</f>
        <v>0</v>
      </c>
      <c r="AL50" s="28"/>
      <c r="AM50" s="29">
        <v>0</v>
      </c>
      <c r="AN50" s="30">
        <f t="shared" si="72"/>
        <v>0</v>
      </c>
      <c r="AO50" s="28">
        <f>PRODUCTION!AP50+'SUPLIER INWARD'!AP50</f>
        <v>0</v>
      </c>
      <c r="AP50" s="28"/>
      <c r="AQ50" s="29">
        <v>0</v>
      </c>
      <c r="AR50" s="30">
        <f t="shared" si="73"/>
        <v>0</v>
      </c>
      <c r="AS50" s="28">
        <f>PRODUCTION!AT50+'SUPLIER INWARD'!AT50</f>
        <v>0</v>
      </c>
      <c r="AT50" s="28"/>
      <c r="AU50" s="29">
        <v>0</v>
      </c>
      <c r="AV50" s="30">
        <f t="shared" si="74"/>
        <v>0</v>
      </c>
      <c r="AW50" s="28">
        <f>PRODUCTION!AX50+'SUPLIER INWARD'!AX50</f>
        <v>0</v>
      </c>
      <c r="AX50" s="28"/>
      <c r="AY50" s="29"/>
      <c r="AZ50" s="30">
        <f t="shared" si="75"/>
        <v>0</v>
      </c>
      <c r="BA50" s="28">
        <f>PRODUCTION!BB50+'SUPLIER INWARD'!BB50</f>
        <v>0</v>
      </c>
      <c r="BB50" s="28"/>
      <c r="BC50" s="29">
        <v>0</v>
      </c>
      <c r="BD50" s="30">
        <f t="shared" si="76"/>
        <v>0</v>
      </c>
      <c r="BE50" s="28">
        <f>PRODUCTION!BF50+'SUPLIER INWARD'!BF50</f>
        <v>0</v>
      </c>
      <c r="BF50" s="28"/>
      <c r="BG50" s="29">
        <v>0</v>
      </c>
      <c r="BH50" s="30">
        <f t="shared" si="77"/>
        <v>0</v>
      </c>
      <c r="BI50" s="28">
        <f>PRODUCTION!BJ50+'SUPLIER INWARD'!BJ50</f>
        <v>0</v>
      </c>
      <c r="BJ50" s="28"/>
      <c r="BK50" s="29">
        <v>0</v>
      </c>
      <c r="BL50" s="30">
        <f t="shared" si="78"/>
        <v>0</v>
      </c>
      <c r="BM50" s="28">
        <f>PRODUCTION!BN50+'SUPLIER INWARD'!BN50</f>
        <v>0</v>
      </c>
      <c r="BN50" s="28"/>
      <c r="BO50" s="29">
        <v>0</v>
      </c>
      <c r="BP50" s="30">
        <f t="shared" si="79"/>
        <v>0</v>
      </c>
      <c r="BQ50" s="28">
        <f>PRODUCTION!BR50+'SUPLIER INWARD'!BR50</f>
        <v>0</v>
      </c>
      <c r="BR50" s="28"/>
      <c r="BS50" s="29">
        <v>0</v>
      </c>
      <c r="BT50" s="30">
        <f t="shared" si="80"/>
        <v>0</v>
      </c>
      <c r="BU50" s="28">
        <f>PRODUCTION!BV50+'SUPLIER INWARD'!BV50</f>
        <v>0</v>
      </c>
      <c r="BV50" s="28"/>
      <c r="BW50" s="29">
        <v>0</v>
      </c>
      <c r="BX50" s="30">
        <f t="shared" si="47"/>
        <v>0</v>
      </c>
      <c r="BY50" s="28">
        <f>PRODUCTION!BZ50+'SUPLIER INWARD'!BZ50</f>
        <v>0</v>
      </c>
      <c r="BZ50" s="28"/>
      <c r="CA50" s="29">
        <v>0</v>
      </c>
      <c r="CB50" s="30">
        <f t="shared" si="81"/>
        <v>0</v>
      </c>
      <c r="CC50" s="28">
        <f>PRODUCTION!CD50+'SUPLIER INWARD'!CD50</f>
        <v>0</v>
      </c>
      <c r="CD50" s="28"/>
      <c r="CE50" s="29">
        <v>0</v>
      </c>
      <c r="CF50" s="30">
        <f t="shared" si="82"/>
        <v>0</v>
      </c>
      <c r="CG50" s="28">
        <f>PRODUCTION!CH50+'SUPLIER INWARD'!CH50</f>
        <v>0</v>
      </c>
      <c r="CH50" s="28"/>
      <c r="CI50" s="29">
        <v>0</v>
      </c>
      <c r="CJ50" s="30">
        <f t="shared" si="50"/>
        <v>0</v>
      </c>
      <c r="CK50" s="28">
        <f>PRODUCTION!CL50+'SUPLIER INWARD'!CL50</f>
        <v>0</v>
      </c>
      <c r="CL50" s="151"/>
      <c r="CM50" s="152">
        <v>0</v>
      </c>
      <c r="CN50" s="30">
        <f t="shared" si="51"/>
        <v>0</v>
      </c>
      <c r="CO50" s="28">
        <f>PRODUCTION!CP50+'SUPLIER INWARD'!CP50</f>
        <v>0</v>
      </c>
      <c r="CP50" s="151"/>
      <c r="CQ50" s="29">
        <v>0</v>
      </c>
      <c r="CR50" s="30">
        <f t="shared" si="52"/>
        <v>0</v>
      </c>
      <c r="CS50" s="28">
        <f>PRODUCTION!CT50+'SUPLIER INWARD'!CT50</f>
        <v>0</v>
      </c>
      <c r="CT50" s="28"/>
      <c r="CU50" s="29">
        <v>0</v>
      </c>
      <c r="CV50" s="30">
        <f t="shared" si="53"/>
        <v>0</v>
      </c>
      <c r="CW50" s="28">
        <f>PRODUCTION!CX50+'SUPLIER INWARD'!CX50</f>
        <v>0</v>
      </c>
      <c r="CX50" s="28"/>
      <c r="CY50" s="29">
        <v>0</v>
      </c>
      <c r="CZ50" s="30">
        <f t="shared" si="83"/>
        <v>0</v>
      </c>
      <c r="DA50" s="28">
        <f>PRODUCTION!DB50+'SUPLIER INWARD'!DB50</f>
        <v>0</v>
      </c>
      <c r="DB50" s="28"/>
      <c r="DC50" s="29"/>
      <c r="DD50" s="30">
        <f t="shared" si="84"/>
        <v>0</v>
      </c>
      <c r="DE50" s="28">
        <f>PRODUCTION!DF50+'SUPLIER INWARD'!DF50</f>
        <v>0</v>
      </c>
      <c r="DF50" s="28"/>
      <c r="DG50" s="29">
        <v>0</v>
      </c>
      <c r="DH50" s="30">
        <f t="shared" si="85"/>
        <v>0</v>
      </c>
      <c r="DI50" s="28">
        <f>PRODUCTION!DJ50+'SUPLIER INWARD'!DJ50</f>
        <v>0</v>
      </c>
      <c r="DJ50" s="28"/>
      <c r="DK50" s="29">
        <v>0</v>
      </c>
      <c r="DL50" s="30">
        <f t="shared" si="86"/>
        <v>0</v>
      </c>
      <c r="DM50" s="28">
        <f>PRODUCTION!DN50+'SUPLIER INWARD'!DN50</f>
        <v>0</v>
      </c>
      <c r="DN50" s="28"/>
      <c r="DO50" s="29"/>
      <c r="DP50" s="30">
        <f t="shared" si="87"/>
        <v>0</v>
      </c>
      <c r="DQ50" s="28">
        <f>PRODUCTION!DR50+'SUPLIER INWARD'!DR50</f>
        <v>0</v>
      </c>
      <c r="DR50" s="28"/>
      <c r="DS50" s="29"/>
      <c r="DT50" s="30">
        <f t="shared" si="88"/>
        <v>0</v>
      </c>
      <c r="DU50" s="28">
        <f>PRODUCTION!DV50+'SUPLIER INWARD'!DV50</f>
        <v>0</v>
      </c>
      <c r="DV50" s="28"/>
      <c r="DW50" s="29"/>
      <c r="DX50" s="30">
        <f t="shared" si="89"/>
        <v>0</v>
      </c>
      <c r="DY50" s="31">
        <f t="shared" si="90"/>
        <v>0</v>
      </c>
      <c r="DZ50" s="31">
        <f t="shared" si="91"/>
        <v>0</v>
      </c>
      <c r="EA50" s="4">
        <f t="shared" si="92"/>
        <v>0</v>
      </c>
      <c r="EB50" s="9">
        <f>D50*'MASTER SHEET'!D50</f>
        <v>0</v>
      </c>
      <c r="EC50" s="9">
        <f>H50*'MASTER SHEET'!D50</f>
        <v>0</v>
      </c>
      <c r="ED50" s="9">
        <f>L50*'MASTER SHEET'!D50</f>
        <v>0</v>
      </c>
      <c r="EE50" s="9">
        <f>P50*'MASTER SHEET'!D50</f>
        <v>0</v>
      </c>
      <c r="EF50" s="9">
        <f>T50*'MASTER SHEET'!D50</f>
        <v>0</v>
      </c>
      <c r="EG50" s="9">
        <f>X50*'MASTER SHEET'!D50</f>
        <v>0</v>
      </c>
      <c r="EH50" s="9">
        <f>AB50*'MASTER SHEET'!D50</f>
        <v>0</v>
      </c>
      <c r="EI50" s="9">
        <f>AF50*'MASTER SHEET'!D50</f>
        <v>0</v>
      </c>
      <c r="EJ50" s="9">
        <f>AJ50*'MASTER SHEET'!D50</f>
        <v>0</v>
      </c>
      <c r="EK50" s="9">
        <f>AN50*'MASTER SHEET'!D50</f>
        <v>0</v>
      </c>
      <c r="EL50" s="9">
        <f>AR50*'MASTER SHEET'!D50</f>
        <v>0</v>
      </c>
      <c r="EM50" s="9">
        <f>AV50*'MASTER SHEET'!D50</f>
        <v>0</v>
      </c>
      <c r="EN50" s="9">
        <f>AZ50*'MASTER SHEET'!D50</f>
        <v>0</v>
      </c>
      <c r="EO50" s="9">
        <f>BD50*'MASTER SHEET'!D50</f>
        <v>0</v>
      </c>
      <c r="EP50" s="9">
        <f>$BH50*'MASTER SHEET'!$D50</f>
        <v>0</v>
      </c>
      <c r="EQ50" s="9">
        <f>BL50*'MASTER SHEET'!D50</f>
        <v>0</v>
      </c>
      <c r="ER50" s="9">
        <f>BP50*'MASTER SHEET'!D50</f>
        <v>0</v>
      </c>
      <c r="ES50" s="9">
        <f>BT50*'MASTER SHEET'!D50</f>
        <v>0</v>
      </c>
      <c r="ET50" s="9">
        <f>BX50*'MASTER SHEET'!D50</f>
        <v>0</v>
      </c>
      <c r="EU50" s="9">
        <f>CB50*'MASTER SHEET'!D50</f>
        <v>0</v>
      </c>
      <c r="EV50" s="9">
        <f>CF50*'MASTER SHEET'!D50</f>
        <v>0</v>
      </c>
      <c r="EW50" s="9">
        <f>CJ50*'MASTER SHEET'!D50</f>
        <v>0</v>
      </c>
      <c r="EX50" s="9">
        <f>CN50*'MASTER SHEET'!D50</f>
        <v>0</v>
      </c>
      <c r="EY50" s="9">
        <f>CR50*'MASTER SHEET'!D50</f>
        <v>0</v>
      </c>
      <c r="EZ50" s="9">
        <f>$CV50*'MASTER SHEET'!D50</f>
        <v>0</v>
      </c>
      <c r="FA50" s="9">
        <f>CZ50*'MASTER SHEET'!D50</f>
        <v>0</v>
      </c>
      <c r="FB50" s="9">
        <f>DD50*'MASTER SHEET'!D50</f>
        <v>0</v>
      </c>
      <c r="FC50" s="9">
        <f>DH50*'MASTER SHEET'!D50</f>
        <v>0</v>
      </c>
      <c r="FD50" s="9">
        <f>DL50*'MASTER SHEET'!D50</f>
        <v>0</v>
      </c>
      <c r="FE50" s="9">
        <f>DP50*'MASTER SHEET'!D50</f>
        <v>0</v>
      </c>
      <c r="FF50" s="9">
        <f>DT50*'MASTER SHEET'!D50</f>
        <v>0</v>
      </c>
      <c r="FG50" s="9">
        <f>+DX50*'MASTER SHEET'!D50</f>
        <v>0</v>
      </c>
    </row>
    <row r="51" spans="1:163" ht="20.25" customHeight="1" x14ac:dyDescent="0.25">
      <c r="A51" s="25">
        <f>'MASTER SHEET'!A51</f>
        <v>49</v>
      </c>
      <c r="B51" s="26" t="str">
        <f>'MASTER SHEET'!B51</f>
        <v>COVER PLATE</v>
      </c>
      <c r="C51" s="78">
        <f>'MASTER SHEET'!C51</f>
        <v>5030022</v>
      </c>
      <c r="D51" s="159">
        <v>59</v>
      </c>
      <c r="E51" s="28">
        <f>PRODUCTION!F51+'SUPLIER INWARD'!F51</f>
        <v>0</v>
      </c>
      <c r="F51" s="28"/>
      <c r="G51" s="29">
        <v>0</v>
      </c>
      <c r="H51" s="30">
        <f t="shared" si="64"/>
        <v>59</v>
      </c>
      <c r="I51" s="28">
        <f>PRODUCTION!J51+'SUPLIER INWARD'!J51</f>
        <v>715</v>
      </c>
      <c r="J51" s="28"/>
      <c r="K51" s="29">
        <v>0</v>
      </c>
      <c r="L51" s="30">
        <f t="shared" si="65"/>
        <v>774</v>
      </c>
      <c r="M51" s="28">
        <f>PRODUCTION!N51+'SUPLIER INWARD'!N51</f>
        <v>0</v>
      </c>
      <c r="N51" s="28"/>
      <c r="O51" s="29"/>
      <c r="P51" s="30">
        <f t="shared" si="66"/>
        <v>774</v>
      </c>
      <c r="Q51" s="28">
        <f>PRODUCTION!R51+'SUPLIER INWARD'!R51</f>
        <v>1205</v>
      </c>
      <c r="R51" s="28"/>
      <c r="S51" s="29">
        <v>0</v>
      </c>
      <c r="T51" s="30">
        <f t="shared" si="67"/>
        <v>1979</v>
      </c>
      <c r="U51" s="28">
        <f>PRODUCTION!V51+'SUPLIER INWARD'!V51</f>
        <v>0</v>
      </c>
      <c r="V51" s="28"/>
      <c r="W51" s="29">
        <v>0</v>
      </c>
      <c r="X51" s="30">
        <f t="shared" si="68"/>
        <v>1979</v>
      </c>
      <c r="Y51" s="28">
        <f>PRODUCTION!Z51+'SUPLIER INWARD'!Z51</f>
        <v>0</v>
      </c>
      <c r="Z51" s="28"/>
      <c r="AA51" s="29">
        <v>0</v>
      </c>
      <c r="AB51" s="30">
        <f t="shared" si="69"/>
        <v>1979</v>
      </c>
      <c r="AC51" s="28">
        <f>PRODUCTION!AD51+'SUPLIER INWARD'!AD51</f>
        <v>0</v>
      </c>
      <c r="AD51" s="28"/>
      <c r="AE51" s="29">
        <v>0</v>
      </c>
      <c r="AF51" s="30">
        <f t="shared" si="70"/>
        <v>1979</v>
      </c>
      <c r="AG51" s="28">
        <f>PRODUCTION!AH51+'SUPLIER INWARD'!AH51</f>
        <v>0</v>
      </c>
      <c r="AH51" s="28"/>
      <c r="AI51" s="29">
        <v>0</v>
      </c>
      <c r="AJ51" s="30">
        <f t="shared" si="71"/>
        <v>1979</v>
      </c>
      <c r="AK51" s="28">
        <f>PRODUCTION!AL51+'SUPLIER INWARD'!AL51</f>
        <v>0</v>
      </c>
      <c r="AL51" s="28"/>
      <c r="AM51" s="29">
        <v>0</v>
      </c>
      <c r="AN51" s="30">
        <f t="shared" si="72"/>
        <v>1979</v>
      </c>
      <c r="AO51" s="28">
        <f>PRODUCTION!AP51+'SUPLIER INWARD'!AP51</f>
        <v>0</v>
      </c>
      <c r="AP51" s="28"/>
      <c r="AQ51" s="29">
        <v>0</v>
      </c>
      <c r="AR51" s="30">
        <f t="shared" si="73"/>
        <v>1979</v>
      </c>
      <c r="AS51" s="28">
        <f>PRODUCTION!AT51+'SUPLIER INWARD'!AT51</f>
        <v>0</v>
      </c>
      <c r="AT51" s="28"/>
      <c r="AU51" s="29">
        <v>0</v>
      </c>
      <c r="AV51" s="30">
        <f t="shared" si="74"/>
        <v>1979</v>
      </c>
      <c r="AW51" s="28">
        <f>PRODUCTION!AX51+'SUPLIER INWARD'!AX51</f>
        <v>0</v>
      </c>
      <c r="AX51" s="28"/>
      <c r="AY51" s="29"/>
      <c r="AZ51" s="30">
        <f t="shared" si="75"/>
        <v>1979</v>
      </c>
      <c r="BA51" s="28">
        <f>PRODUCTION!BB51+'SUPLIER INWARD'!BB51</f>
        <v>0</v>
      </c>
      <c r="BB51" s="28"/>
      <c r="BC51" s="29">
        <v>0</v>
      </c>
      <c r="BD51" s="30">
        <f t="shared" si="76"/>
        <v>1979</v>
      </c>
      <c r="BE51" s="28">
        <f>PRODUCTION!BF51+'SUPLIER INWARD'!BF51</f>
        <v>0</v>
      </c>
      <c r="BF51" s="28"/>
      <c r="BG51" s="29">
        <v>0</v>
      </c>
      <c r="BH51" s="30">
        <f t="shared" si="77"/>
        <v>1979</v>
      </c>
      <c r="BI51" s="28">
        <f>PRODUCTION!BJ51+'SUPLIER INWARD'!BJ51</f>
        <v>0</v>
      </c>
      <c r="BJ51" s="28"/>
      <c r="BK51" s="29">
        <v>0</v>
      </c>
      <c r="BL51" s="30">
        <f t="shared" si="78"/>
        <v>1979</v>
      </c>
      <c r="BM51" s="28">
        <f>PRODUCTION!BN51+'SUPLIER INWARD'!BN51</f>
        <v>0</v>
      </c>
      <c r="BN51" s="28"/>
      <c r="BO51" s="29">
        <v>0</v>
      </c>
      <c r="BP51" s="30">
        <f t="shared" si="79"/>
        <v>1979</v>
      </c>
      <c r="BQ51" s="28">
        <f>PRODUCTION!BR51+'SUPLIER INWARD'!BR51</f>
        <v>0</v>
      </c>
      <c r="BR51" s="28"/>
      <c r="BS51" s="29">
        <v>0</v>
      </c>
      <c r="BT51" s="30">
        <f t="shared" si="80"/>
        <v>1979</v>
      </c>
      <c r="BU51" s="28">
        <f>PRODUCTION!BV51+'SUPLIER INWARD'!BV51</f>
        <v>0</v>
      </c>
      <c r="BV51" s="28"/>
      <c r="BW51" s="29">
        <v>0</v>
      </c>
      <c r="BX51" s="30">
        <f t="shared" si="47"/>
        <v>1979</v>
      </c>
      <c r="BY51" s="28">
        <f>PRODUCTION!BZ51+'SUPLIER INWARD'!BZ51</f>
        <v>0</v>
      </c>
      <c r="BZ51" s="28"/>
      <c r="CA51" s="29">
        <v>0</v>
      </c>
      <c r="CB51" s="30">
        <f t="shared" si="81"/>
        <v>1979</v>
      </c>
      <c r="CC51" s="28">
        <f>PRODUCTION!CD51+'SUPLIER INWARD'!CD51</f>
        <v>0</v>
      </c>
      <c r="CD51" s="28"/>
      <c r="CE51" s="29">
        <v>0</v>
      </c>
      <c r="CF51" s="30">
        <f t="shared" si="82"/>
        <v>1979</v>
      </c>
      <c r="CG51" s="28">
        <f>PRODUCTION!CH51+'SUPLIER INWARD'!CH51</f>
        <v>0</v>
      </c>
      <c r="CH51" s="28"/>
      <c r="CI51" s="29">
        <v>0</v>
      </c>
      <c r="CJ51" s="30">
        <f t="shared" si="50"/>
        <v>1979</v>
      </c>
      <c r="CK51" s="28">
        <f>PRODUCTION!CL51+'SUPLIER INWARD'!CL51</f>
        <v>0</v>
      </c>
      <c r="CL51" s="151"/>
      <c r="CM51" s="152">
        <v>0</v>
      </c>
      <c r="CN51" s="30">
        <f t="shared" si="51"/>
        <v>1979</v>
      </c>
      <c r="CO51" s="28">
        <f>PRODUCTION!CP51+'SUPLIER INWARD'!CP51</f>
        <v>0</v>
      </c>
      <c r="CP51" s="151"/>
      <c r="CQ51" s="29">
        <v>0</v>
      </c>
      <c r="CR51" s="30">
        <f t="shared" si="52"/>
        <v>1979</v>
      </c>
      <c r="CS51" s="28">
        <f>PRODUCTION!CT51+'SUPLIER INWARD'!CT51</f>
        <v>0</v>
      </c>
      <c r="CT51" s="28"/>
      <c r="CU51" s="29">
        <v>0</v>
      </c>
      <c r="CV51" s="30">
        <f t="shared" si="53"/>
        <v>1979</v>
      </c>
      <c r="CW51" s="28">
        <f>PRODUCTION!CX51+'SUPLIER INWARD'!CX51</f>
        <v>0</v>
      </c>
      <c r="CX51" s="28"/>
      <c r="CY51" s="29">
        <v>0</v>
      </c>
      <c r="CZ51" s="30">
        <f t="shared" si="83"/>
        <v>1979</v>
      </c>
      <c r="DA51" s="28">
        <f>PRODUCTION!DB51+'SUPLIER INWARD'!DB51</f>
        <v>0</v>
      </c>
      <c r="DB51" s="28"/>
      <c r="DC51" s="29"/>
      <c r="DD51" s="30">
        <f t="shared" si="84"/>
        <v>1979</v>
      </c>
      <c r="DE51" s="28">
        <f>PRODUCTION!DF51+'SUPLIER INWARD'!DF51</f>
        <v>0</v>
      </c>
      <c r="DF51" s="28"/>
      <c r="DG51" s="29">
        <v>0</v>
      </c>
      <c r="DH51" s="30">
        <f t="shared" si="85"/>
        <v>1979</v>
      </c>
      <c r="DI51" s="28">
        <f>PRODUCTION!DJ51+'SUPLIER INWARD'!DJ51</f>
        <v>0</v>
      </c>
      <c r="DJ51" s="28"/>
      <c r="DK51" s="29">
        <v>0</v>
      </c>
      <c r="DL51" s="30">
        <f t="shared" si="86"/>
        <v>1979</v>
      </c>
      <c r="DM51" s="28">
        <f>PRODUCTION!DN51+'SUPLIER INWARD'!DN51</f>
        <v>0</v>
      </c>
      <c r="DN51" s="28">
        <v>1440</v>
      </c>
      <c r="DO51" s="29"/>
      <c r="DP51" s="30">
        <f t="shared" si="87"/>
        <v>539</v>
      </c>
      <c r="DQ51" s="28">
        <f>PRODUCTION!DR51+'SUPLIER INWARD'!DR51</f>
        <v>0</v>
      </c>
      <c r="DR51" s="28"/>
      <c r="DS51" s="29"/>
      <c r="DT51" s="30">
        <f t="shared" si="88"/>
        <v>539</v>
      </c>
      <c r="DU51" s="28">
        <f>PRODUCTION!DV51+'SUPLIER INWARD'!DV51</f>
        <v>0</v>
      </c>
      <c r="DV51" s="28"/>
      <c r="DW51" s="29"/>
      <c r="DX51" s="30">
        <f t="shared" si="89"/>
        <v>539</v>
      </c>
      <c r="DY51" s="31">
        <f t="shared" si="90"/>
        <v>1920</v>
      </c>
      <c r="DZ51" s="31">
        <f t="shared" si="91"/>
        <v>1440</v>
      </c>
      <c r="EA51" s="4">
        <f t="shared" si="92"/>
        <v>0</v>
      </c>
      <c r="EB51" s="9">
        <f>D51*'MASTER SHEET'!D51</f>
        <v>619.5</v>
      </c>
      <c r="EC51" s="9">
        <f>H51*'MASTER SHEET'!D51</f>
        <v>619.5</v>
      </c>
      <c r="ED51" s="9">
        <f>L51*'MASTER SHEET'!D51</f>
        <v>8127</v>
      </c>
      <c r="EE51" s="9">
        <f>P51*'MASTER SHEET'!D51</f>
        <v>8127</v>
      </c>
      <c r="EF51" s="9">
        <f>T51*'MASTER SHEET'!D51</f>
        <v>20779.5</v>
      </c>
      <c r="EG51" s="9">
        <f>X51*'MASTER SHEET'!D51</f>
        <v>20779.5</v>
      </c>
      <c r="EH51" s="9">
        <f>AB51*'MASTER SHEET'!D51</f>
        <v>20779.5</v>
      </c>
      <c r="EI51" s="9">
        <f>AF51*'MASTER SHEET'!D51</f>
        <v>20779.5</v>
      </c>
      <c r="EJ51" s="9">
        <f>AJ51*'MASTER SHEET'!D51</f>
        <v>20779.5</v>
      </c>
      <c r="EK51" s="9">
        <f>AN51*'MASTER SHEET'!D51</f>
        <v>20779.5</v>
      </c>
      <c r="EL51" s="9">
        <f>AR51*'MASTER SHEET'!D51</f>
        <v>20779.5</v>
      </c>
      <c r="EM51" s="9">
        <f>AV51*'MASTER SHEET'!D51</f>
        <v>20779.5</v>
      </c>
      <c r="EN51" s="9">
        <f>AZ51*'MASTER SHEET'!D51</f>
        <v>20779.5</v>
      </c>
      <c r="EO51" s="9">
        <f>BD51*'MASTER SHEET'!D51</f>
        <v>20779.5</v>
      </c>
      <c r="EP51" s="9">
        <f>$BH51*'MASTER SHEET'!$D51</f>
        <v>20779.5</v>
      </c>
      <c r="EQ51" s="9">
        <f>BL51*'MASTER SHEET'!D51</f>
        <v>20779.5</v>
      </c>
      <c r="ER51" s="9">
        <f>BP51*'MASTER SHEET'!D51</f>
        <v>20779.5</v>
      </c>
      <c r="ES51" s="9">
        <f>BT51*'MASTER SHEET'!D51</f>
        <v>20779.5</v>
      </c>
      <c r="ET51" s="9">
        <f>BX51*'MASTER SHEET'!D51</f>
        <v>20779.5</v>
      </c>
      <c r="EU51" s="9">
        <f>CB51*'MASTER SHEET'!D51</f>
        <v>20779.5</v>
      </c>
      <c r="EV51" s="9">
        <f>CF51*'MASTER SHEET'!D51</f>
        <v>20779.5</v>
      </c>
      <c r="EW51" s="9">
        <f>CJ51*'MASTER SHEET'!D51</f>
        <v>20779.5</v>
      </c>
      <c r="EX51" s="9">
        <f>CN51*'MASTER SHEET'!D51</f>
        <v>20779.5</v>
      </c>
      <c r="EY51" s="9">
        <f>CR51*'MASTER SHEET'!D51</f>
        <v>20779.5</v>
      </c>
      <c r="EZ51" s="9">
        <f>$CV51*'MASTER SHEET'!D51</f>
        <v>20779.5</v>
      </c>
      <c r="FA51" s="9">
        <f>CZ51*'MASTER SHEET'!D51</f>
        <v>20779.5</v>
      </c>
      <c r="FB51" s="9">
        <f>DD51*'MASTER SHEET'!D51</f>
        <v>20779.5</v>
      </c>
      <c r="FC51" s="9">
        <f>DH51*'MASTER SHEET'!D51</f>
        <v>20779.5</v>
      </c>
      <c r="FD51" s="9">
        <f>DL51*'MASTER SHEET'!D51</f>
        <v>20779.5</v>
      </c>
      <c r="FE51" s="9">
        <f>DP51*'MASTER SHEET'!D51</f>
        <v>5659.5</v>
      </c>
      <c r="FF51" s="9">
        <f>DT51*'MASTER SHEET'!D51</f>
        <v>5659.5</v>
      </c>
      <c r="FG51" s="9">
        <f>+DX51*'MASTER SHEET'!D51</f>
        <v>5659.5</v>
      </c>
    </row>
    <row r="52" spans="1:163" ht="20.25" customHeight="1" x14ac:dyDescent="0.25">
      <c r="A52" s="25">
        <f>'MASTER SHEET'!A52</f>
        <v>50</v>
      </c>
      <c r="B52" s="26" t="str">
        <f>'MASTER SHEET'!B52</f>
        <v>SHELL, PLASTIC</v>
      </c>
      <c r="C52" s="78">
        <f>'MASTER SHEET'!C52</f>
        <v>5030061</v>
      </c>
      <c r="D52" s="159">
        <v>0</v>
      </c>
      <c r="E52" s="28">
        <f>PRODUCTION!F52+'SUPLIER INWARD'!F52</f>
        <v>0</v>
      </c>
      <c r="F52" s="28"/>
      <c r="G52" s="29">
        <v>0</v>
      </c>
      <c r="H52" s="30">
        <f t="shared" si="64"/>
        <v>0</v>
      </c>
      <c r="I52" s="28">
        <f>PRODUCTION!J52+'SUPLIER INWARD'!J52</f>
        <v>0</v>
      </c>
      <c r="J52" s="28"/>
      <c r="K52" s="29">
        <v>0</v>
      </c>
      <c r="L52" s="30">
        <f t="shared" si="65"/>
        <v>0</v>
      </c>
      <c r="M52" s="28">
        <f>PRODUCTION!N52+'SUPLIER INWARD'!N52</f>
        <v>0</v>
      </c>
      <c r="N52" s="28"/>
      <c r="O52" s="29"/>
      <c r="P52" s="30">
        <f t="shared" si="66"/>
        <v>0</v>
      </c>
      <c r="Q52" s="28">
        <f>PRODUCTION!R52+'SUPLIER INWARD'!R52</f>
        <v>0</v>
      </c>
      <c r="R52" s="28"/>
      <c r="S52" s="29">
        <v>0</v>
      </c>
      <c r="T52" s="30">
        <f t="shared" si="67"/>
        <v>0</v>
      </c>
      <c r="U52" s="28">
        <f>PRODUCTION!V52+'SUPLIER INWARD'!V52</f>
        <v>0</v>
      </c>
      <c r="V52" s="28"/>
      <c r="W52" s="29">
        <v>0</v>
      </c>
      <c r="X52" s="30">
        <f t="shared" si="68"/>
        <v>0</v>
      </c>
      <c r="Y52" s="28">
        <f>PRODUCTION!Z52+'SUPLIER INWARD'!Z52</f>
        <v>0</v>
      </c>
      <c r="Z52" s="28"/>
      <c r="AA52" s="29">
        <v>0</v>
      </c>
      <c r="AB52" s="30">
        <f t="shared" si="69"/>
        <v>0</v>
      </c>
      <c r="AC52" s="28">
        <f>PRODUCTION!AD52+'SUPLIER INWARD'!AD52</f>
        <v>0</v>
      </c>
      <c r="AD52" s="28"/>
      <c r="AE52" s="29">
        <v>0</v>
      </c>
      <c r="AF52" s="30">
        <f t="shared" si="70"/>
        <v>0</v>
      </c>
      <c r="AG52" s="28">
        <f>PRODUCTION!AH52+'SUPLIER INWARD'!AH52</f>
        <v>0</v>
      </c>
      <c r="AH52" s="28"/>
      <c r="AI52" s="29">
        <v>0</v>
      </c>
      <c r="AJ52" s="30">
        <f t="shared" si="71"/>
        <v>0</v>
      </c>
      <c r="AK52" s="28">
        <f>PRODUCTION!AL52+'SUPLIER INWARD'!AL52</f>
        <v>0</v>
      </c>
      <c r="AL52" s="28"/>
      <c r="AM52" s="29">
        <v>0</v>
      </c>
      <c r="AN52" s="30">
        <f t="shared" si="72"/>
        <v>0</v>
      </c>
      <c r="AO52" s="28">
        <f>PRODUCTION!AP52+'SUPLIER INWARD'!AP52</f>
        <v>0</v>
      </c>
      <c r="AP52" s="28"/>
      <c r="AQ52" s="29">
        <v>0</v>
      </c>
      <c r="AR52" s="30">
        <f t="shared" si="73"/>
        <v>0</v>
      </c>
      <c r="AS52" s="28">
        <f>PRODUCTION!AT52+'SUPLIER INWARD'!AT52</f>
        <v>0</v>
      </c>
      <c r="AT52" s="28"/>
      <c r="AU52" s="29">
        <v>0</v>
      </c>
      <c r="AV52" s="30">
        <f t="shared" si="74"/>
        <v>0</v>
      </c>
      <c r="AW52" s="28">
        <f>PRODUCTION!AX52+'SUPLIER INWARD'!AX52</f>
        <v>0</v>
      </c>
      <c r="AX52" s="28"/>
      <c r="AY52" s="29"/>
      <c r="AZ52" s="30">
        <f t="shared" si="75"/>
        <v>0</v>
      </c>
      <c r="BA52" s="28">
        <f>PRODUCTION!BB52+'SUPLIER INWARD'!BB52</f>
        <v>0</v>
      </c>
      <c r="BB52" s="28"/>
      <c r="BC52" s="29">
        <v>0</v>
      </c>
      <c r="BD52" s="30">
        <f t="shared" si="76"/>
        <v>0</v>
      </c>
      <c r="BE52" s="28">
        <f>PRODUCTION!BF52+'SUPLIER INWARD'!BF52</f>
        <v>0</v>
      </c>
      <c r="BF52" s="28"/>
      <c r="BG52" s="29">
        <v>0</v>
      </c>
      <c r="BH52" s="30">
        <f t="shared" si="77"/>
        <v>0</v>
      </c>
      <c r="BI52" s="28">
        <f>PRODUCTION!BJ52+'SUPLIER INWARD'!BJ52</f>
        <v>0</v>
      </c>
      <c r="BJ52" s="28"/>
      <c r="BK52" s="29">
        <v>0</v>
      </c>
      <c r="BL52" s="30">
        <f t="shared" si="78"/>
        <v>0</v>
      </c>
      <c r="BM52" s="28">
        <f>PRODUCTION!BN52+'SUPLIER INWARD'!BN52</f>
        <v>0</v>
      </c>
      <c r="BN52" s="28"/>
      <c r="BO52" s="29">
        <v>0</v>
      </c>
      <c r="BP52" s="30">
        <f t="shared" si="79"/>
        <v>0</v>
      </c>
      <c r="BQ52" s="28">
        <f>PRODUCTION!BR52+'SUPLIER INWARD'!BR52</f>
        <v>0</v>
      </c>
      <c r="BR52" s="28"/>
      <c r="BS52" s="29">
        <v>0</v>
      </c>
      <c r="BT52" s="30">
        <f t="shared" si="80"/>
        <v>0</v>
      </c>
      <c r="BU52" s="28">
        <f>PRODUCTION!BV52+'SUPLIER INWARD'!BV52</f>
        <v>0</v>
      </c>
      <c r="BV52" s="28"/>
      <c r="BW52" s="29">
        <v>0</v>
      </c>
      <c r="BX52" s="30">
        <f t="shared" si="47"/>
        <v>0</v>
      </c>
      <c r="BY52" s="28">
        <f>PRODUCTION!BZ52+'SUPLIER INWARD'!BZ52</f>
        <v>0</v>
      </c>
      <c r="BZ52" s="28"/>
      <c r="CA52" s="29">
        <v>0</v>
      </c>
      <c r="CB52" s="30">
        <f t="shared" si="81"/>
        <v>0</v>
      </c>
      <c r="CC52" s="28">
        <f>PRODUCTION!CD52+'SUPLIER INWARD'!CD52</f>
        <v>0</v>
      </c>
      <c r="CD52" s="28"/>
      <c r="CE52" s="29">
        <v>0</v>
      </c>
      <c r="CF52" s="30">
        <f t="shared" si="82"/>
        <v>0</v>
      </c>
      <c r="CG52" s="28">
        <f>PRODUCTION!CH52+'SUPLIER INWARD'!CH52</f>
        <v>0</v>
      </c>
      <c r="CH52" s="28"/>
      <c r="CI52" s="29">
        <v>0</v>
      </c>
      <c r="CJ52" s="30">
        <f t="shared" si="50"/>
        <v>0</v>
      </c>
      <c r="CK52" s="28">
        <f>PRODUCTION!CL52+'SUPLIER INWARD'!CL52</f>
        <v>0</v>
      </c>
      <c r="CL52" s="151"/>
      <c r="CM52" s="152">
        <v>0</v>
      </c>
      <c r="CN52" s="30">
        <f t="shared" si="51"/>
        <v>0</v>
      </c>
      <c r="CO52" s="28">
        <f>PRODUCTION!CP52+'SUPLIER INWARD'!CP52</f>
        <v>0</v>
      </c>
      <c r="CP52" s="151"/>
      <c r="CQ52" s="29">
        <v>0</v>
      </c>
      <c r="CR52" s="30">
        <f t="shared" si="52"/>
        <v>0</v>
      </c>
      <c r="CS52" s="28">
        <f>PRODUCTION!CT52+'SUPLIER INWARD'!CT52</f>
        <v>0</v>
      </c>
      <c r="CT52" s="28"/>
      <c r="CU52" s="29">
        <v>0</v>
      </c>
      <c r="CV52" s="30">
        <f t="shared" si="53"/>
        <v>0</v>
      </c>
      <c r="CW52" s="28">
        <f>PRODUCTION!CX52+'SUPLIER INWARD'!CX52</f>
        <v>0</v>
      </c>
      <c r="CX52" s="28"/>
      <c r="CY52" s="29">
        <v>0</v>
      </c>
      <c r="CZ52" s="30">
        <f t="shared" si="83"/>
        <v>0</v>
      </c>
      <c r="DA52" s="28">
        <f>PRODUCTION!DB52+'SUPLIER INWARD'!DB52</f>
        <v>0</v>
      </c>
      <c r="DB52" s="28"/>
      <c r="DC52" s="29"/>
      <c r="DD52" s="30">
        <f t="shared" si="84"/>
        <v>0</v>
      </c>
      <c r="DE52" s="28">
        <f>PRODUCTION!DF52+'SUPLIER INWARD'!DF52</f>
        <v>0</v>
      </c>
      <c r="DF52" s="28"/>
      <c r="DG52" s="29">
        <v>0</v>
      </c>
      <c r="DH52" s="30">
        <f t="shared" si="85"/>
        <v>0</v>
      </c>
      <c r="DI52" s="28">
        <f>PRODUCTION!DJ52+'SUPLIER INWARD'!DJ52</f>
        <v>0</v>
      </c>
      <c r="DJ52" s="28"/>
      <c r="DK52" s="29">
        <v>0</v>
      </c>
      <c r="DL52" s="30">
        <f t="shared" si="86"/>
        <v>0</v>
      </c>
      <c r="DM52" s="28">
        <f>PRODUCTION!DN52+'SUPLIER INWARD'!DN52</f>
        <v>0</v>
      </c>
      <c r="DN52" s="28"/>
      <c r="DO52" s="29"/>
      <c r="DP52" s="30">
        <f t="shared" si="87"/>
        <v>0</v>
      </c>
      <c r="DQ52" s="28">
        <f>PRODUCTION!DR52+'SUPLIER INWARD'!DR52</f>
        <v>0</v>
      </c>
      <c r="DR52" s="28"/>
      <c r="DS52" s="29"/>
      <c r="DT52" s="30">
        <f t="shared" si="88"/>
        <v>0</v>
      </c>
      <c r="DU52" s="28">
        <f>PRODUCTION!DV52+'SUPLIER INWARD'!DV52</f>
        <v>0</v>
      </c>
      <c r="DV52" s="28"/>
      <c r="DW52" s="29"/>
      <c r="DX52" s="30">
        <f t="shared" si="89"/>
        <v>0</v>
      </c>
      <c r="DY52" s="31">
        <f t="shared" si="90"/>
        <v>0</v>
      </c>
      <c r="DZ52" s="31">
        <f t="shared" si="91"/>
        <v>0</v>
      </c>
      <c r="EA52" s="4">
        <f t="shared" si="92"/>
        <v>0</v>
      </c>
      <c r="EB52" s="9">
        <f>D52*'MASTER SHEET'!D52</f>
        <v>0</v>
      </c>
      <c r="EC52" s="9">
        <f>H52*'MASTER SHEET'!D52</f>
        <v>0</v>
      </c>
      <c r="ED52" s="9">
        <f>L52*'MASTER SHEET'!D52</f>
        <v>0</v>
      </c>
      <c r="EE52" s="9">
        <f>P52*'MASTER SHEET'!D52</f>
        <v>0</v>
      </c>
      <c r="EF52" s="9">
        <f>T52*'MASTER SHEET'!D52</f>
        <v>0</v>
      </c>
      <c r="EG52" s="9">
        <f>X52*'MASTER SHEET'!D52</f>
        <v>0</v>
      </c>
      <c r="EH52" s="9">
        <f>AB52*'MASTER SHEET'!D52</f>
        <v>0</v>
      </c>
      <c r="EI52" s="9">
        <f>AF52*'MASTER SHEET'!D52</f>
        <v>0</v>
      </c>
      <c r="EJ52" s="9">
        <f>AJ52*'MASTER SHEET'!D52</f>
        <v>0</v>
      </c>
      <c r="EK52" s="9">
        <f>AN52*'MASTER SHEET'!D52</f>
        <v>0</v>
      </c>
      <c r="EL52" s="9">
        <f>AR52*'MASTER SHEET'!D52</f>
        <v>0</v>
      </c>
      <c r="EM52" s="9">
        <f>AV52*'MASTER SHEET'!D52</f>
        <v>0</v>
      </c>
      <c r="EN52" s="9">
        <f>AZ52*'MASTER SHEET'!D52</f>
        <v>0</v>
      </c>
      <c r="EO52" s="9">
        <f>BD52*'MASTER SHEET'!D52</f>
        <v>0</v>
      </c>
      <c r="EP52" s="9">
        <f>$BH52*'MASTER SHEET'!$D52</f>
        <v>0</v>
      </c>
      <c r="EQ52" s="9">
        <f>BL52*'MASTER SHEET'!D52</f>
        <v>0</v>
      </c>
      <c r="ER52" s="9">
        <f>BP52*'MASTER SHEET'!D52</f>
        <v>0</v>
      </c>
      <c r="ES52" s="9">
        <f>BT52*'MASTER SHEET'!D52</f>
        <v>0</v>
      </c>
      <c r="ET52" s="9">
        <f>BX52*'MASTER SHEET'!D52</f>
        <v>0</v>
      </c>
      <c r="EU52" s="9">
        <f>CB52*'MASTER SHEET'!D52</f>
        <v>0</v>
      </c>
      <c r="EV52" s="9">
        <f>CF52*'MASTER SHEET'!D52</f>
        <v>0</v>
      </c>
      <c r="EW52" s="9">
        <f>CJ52*'MASTER SHEET'!D52</f>
        <v>0</v>
      </c>
      <c r="EX52" s="9">
        <f>CN52*'MASTER SHEET'!D52</f>
        <v>0</v>
      </c>
      <c r="EY52" s="9">
        <f>CR52*'MASTER SHEET'!D52</f>
        <v>0</v>
      </c>
      <c r="EZ52" s="9">
        <f>$CV52*'MASTER SHEET'!D52</f>
        <v>0</v>
      </c>
      <c r="FA52" s="9">
        <f>CZ52*'MASTER SHEET'!D52</f>
        <v>0</v>
      </c>
      <c r="FB52" s="9">
        <f>DD52*'MASTER SHEET'!D52</f>
        <v>0</v>
      </c>
      <c r="FC52" s="9">
        <f>DH52*'MASTER SHEET'!D52</f>
        <v>0</v>
      </c>
      <c r="FD52" s="9">
        <f>DL52*'MASTER SHEET'!D52</f>
        <v>0</v>
      </c>
      <c r="FE52" s="9">
        <f>DP52*'MASTER SHEET'!D52</f>
        <v>0</v>
      </c>
      <c r="FF52" s="9">
        <f>DT52*'MASTER SHEET'!D52</f>
        <v>0</v>
      </c>
      <c r="FG52" s="9">
        <f>+DX52*'MASTER SHEET'!D52</f>
        <v>0</v>
      </c>
    </row>
    <row r="53" spans="1:163" s="10" customFormat="1" ht="20.25" customHeight="1" x14ac:dyDescent="0.25">
      <c r="A53" s="25">
        <f>'MASTER SHEET'!A53</f>
        <v>51</v>
      </c>
      <c r="B53" s="26" t="str">
        <f>'MASTER SHEET'!B53</f>
        <v>NOZZLE PLATE</v>
      </c>
      <c r="C53" s="78">
        <f>'MASTER SHEET'!C53</f>
        <v>5030146</v>
      </c>
      <c r="D53" s="159">
        <v>0</v>
      </c>
      <c r="E53" s="28">
        <f>PRODUCTION!F53+'SUPLIER INWARD'!F53</f>
        <v>556</v>
      </c>
      <c r="F53" s="28"/>
      <c r="G53" s="29">
        <v>0</v>
      </c>
      <c r="H53" s="30">
        <f t="shared" si="64"/>
        <v>556</v>
      </c>
      <c r="I53" s="28">
        <f>PRODUCTION!J53+'SUPLIER INWARD'!J53</f>
        <v>3076</v>
      </c>
      <c r="J53" s="28"/>
      <c r="K53" s="29">
        <v>0</v>
      </c>
      <c r="L53" s="30">
        <f t="shared" si="65"/>
        <v>3632</v>
      </c>
      <c r="M53" s="28">
        <f>PRODUCTION!N53+'SUPLIER INWARD'!N53</f>
        <v>0</v>
      </c>
      <c r="N53" s="28"/>
      <c r="O53" s="29"/>
      <c r="P53" s="30">
        <f t="shared" si="66"/>
        <v>3632</v>
      </c>
      <c r="Q53" s="28">
        <f>PRODUCTION!R53+'SUPLIER INWARD'!R53</f>
        <v>0</v>
      </c>
      <c r="R53" s="28"/>
      <c r="S53" s="29">
        <v>0</v>
      </c>
      <c r="T53" s="30">
        <f t="shared" si="67"/>
        <v>3632</v>
      </c>
      <c r="U53" s="28">
        <f>PRODUCTION!V53+'SUPLIER INWARD'!V53</f>
        <v>0</v>
      </c>
      <c r="V53" s="28"/>
      <c r="W53" s="29">
        <v>0</v>
      </c>
      <c r="X53" s="30">
        <f t="shared" si="68"/>
        <v>3632</v>
      </c>
      <c r="Y53" s="28">
        <f>PRODUCTION!Z53+'SUPLIER INWARD'!Z53</f>
        <v>0</v>
      </c>
      <c r="Z53" s="28"/>
      <c r="AA53" s="29">
        <v>0</v>
      </c>
      <c r="AB53" s="30">
        <f t="shared" si="69"/>
        <v>3632</v>
      </c>
      <c r="AC53" s="28">
        <f>PRODUCTION!AD53+'SUPLIER INWARD'!AD53</f>
        <v>0</v>
      </c>
      <c r="AD53" s="28">
        <v>1000</v>
      </c>
      <c r="AE53" s="29">
        <v>24</v>
      </c>
      <c r="AF53" s="30">
        <f t="shared" si="70"/>
        <v>2608</v>
      </c>
      <c r="AG53" s="28">
        <f>PRODUCTION!AH53+'SUPLIER INWARD'!AH53</f>
        <v>0</v>
      </c>
      <c r="AH53" s="28"/>
      <c r="AI53" s="29">
        <v>0</v>
      </c>
      <c r="AJ53" s="30">
        <f t="shared" si="71"/>
        <v>2608</v>
      </c>
      <c r="AK53" s="28">
        <f>PRODUCTION!AL53+'SUPLIER INWARD'!AL53</f>
        <v>0</v>
      </c>
      <c r="AL53" s="28"/>
      <c r="AM53" s="29">
        <v>0</v>
      </c>
      <c r="AN53" s="30">
        <f t="shared" si="72"/>
        <v>2608</v>
      </c>
      <c r="AO53" s="28">
        <f>PRODUCTION!AP53+'SUPLIER INWARD'!AP53</f>
        <v>0</v>
      </c>
      <c r="AP53" s="28"/>
      <c r="AQ53" s="29">
        <v>0</v>
      </c>
      <c r="AR53" s="30">
        <f t="shared" si="73"/>
        <v>2608</v>
      </c>
      <c r="AS53" s="28">
        <f>PRODUCTION!AT53+'SUPLIER INWARD'!AT53</f>
        <v>0</v>
      </c>
      <c r="AT53" s="28"/>
      <c r="AU53" s="29">
        <v>0</v>
      </c>
      <c r="AV53" s="30">
        <f t="shared" si="74"/>
        <v>2608</v>
      </c>
      <c r="AW53" s="28">
        <f>PRODUCTION!AX53+'SUPLIER INWARD'!AX53</f>
        <v>0</v>
      </c>
      <c r="AX53" s="28"/>
      <c r="AY53" s="29"/>
      <c r="AZ53" s="30">
        <f t="shared" si="75"/>
        <v>2608</v>
      </c>
      <c r="BA53" s="28">
        <f>PRODUCTION!BB53+'SUPLIER INWARD'!BB53</f>
        <v>0</v>
      </c>
      <c r="BB53" s="28"/>
      <c r="BC53" s="29">
        <v>0</v>
      </c>
      <c r="BD53" s="30">
        <f t="shared" si="76"/>
        <v>2608</v>
      </c>
      <c r="BE53" s="28">
        <f>PRODUCTION!BF53+'SUPLIER INWARD'!BF53</f>
        <v>0</v>
      </c>
      <c r="BF53" s="28"/>
      <c r="BG53" s="29">
        <v>0</v>
      </c>
      <c r="BH53" s="30">
        <f t="shared" si="77"/>
        <v>2608</v>
      </c>
      <c r="BI53" s="28">
        <f>PRODUCTION!BJ53+'SUPLIER INWARD'!BJ53</f>
        <v>0</v>
      </c>
      <c r="BJ53" s="28"/>
      <c r="BK53" s="29">
        <v>0</v>
      </c>
      <c r="BL53" s="30">
        <f t="shared" si="78"/>
        <v>2608</v>
      </c>
      <c r="BM53" s="28">
        <f>PRODUCTION!BN53+'SUPLIER INWARD'!BN53</f>
        <v>0</v>
      </c>
      <c r="BN53" s="28"/>
      <c r="BO53" s="29">
        <v>0</v>
      </c>
      <c r="BP53" s="30">
        <f t="shared" si="79"/>
        <v>2608</v>
      </c>
      <c r="BQ53" s="28">
        <f>PRODUCTION!BR53+'SUPLIER INWARD'!BR53</f>
        <v>0</v>
      </c>
      <c r="BR53" s="28"/>
      <c r="BS53" s="29">
        <v>0</v>
      </c>
      <c r="BT53" s="30">
        <f t="shared" si="80"/>
        <v>2608</v>
      </c>
      <c r="BU53" s="28">
        <f>PRODUCTION!BV53+'SUPLIER INWARD'!BV53</f>
        <v>0</v>
      </c>
      <c r="BV53" s="28"/>
      <c r="BW53" s="29">
        <v>0</v>
      </c>
      <c r="BX53" s="30">
        <f t="shared" si="47"/>
        <v>2608</v>
      </c>
      <c r="BY53" s="28">
        <f>PRODUCTION!BZ53+'SUPLIER INWARD'!BZ53</f>
        <v>0</v>
      </c>
      <c r="BZ53" s="28"/>
      <c r="CA53" s="29">
        <v>0</v>
      </c>
      <c r="CB53" s="30">
        <f t="shared" si="81"/>
        <v>2608</v>
      </c>
      <c r="CC53" s="28">
        <f>PRODUCTION!CD53+'SUPLIER INWARD'!CD53</f>
        <v>0</v>
      </c>
      <c r="CD53" s="28"/>
      <c r="CE53" s="29">
        <v>0</v>
      </c>
      <c r="CF53" s="30">
        <f t="shared" si="82"/>
        <v>2608</v>
      </c>
      <c r="CG53" s="28">
        <f>PRODUCTION!CH53+'SUPLIER INWARD'!CH53</f>
        <v>0</v>
      </c>
      <c r="CH53" s="28"/>
      <c r="CI53" s="29">
        <v>0</v>
      </c>
      <c r="CJ53" s="30">
        <f t="shared" si="50"/>
        <v>2608</v>
      </c>
      <c r="CK53" s="28">
        <f>PRODUCTION!CL53+'SUPLIER INWARD'!CL53</f>
        <v>0</v>
      </c>
      <c r="CL53" s="151"/>
      <c r="CM53" s="152">
        <v>0</v>
      </c>
      <c r="CN53" s="30">
        <f t="shared" si="51"/>
        <v>2608</v>
      </c>
      <c r="CO53" s="28">
        <f>PRODUCTION!CP53+'SUPLIER INWARD'!CP53</f>
        <v>0</v>
      </c>
      <c r="CP53" s="151"/>
      <c r="CQ53" s="29">
        <v>0</v>
      </c>
      <c r="CR53" s="30">
        <f t="shared" si="52"/>
        <v>2608</v>
      </c>
      <c r="CS53" s="28">
        <f>PRODUCTION!CT53+'SUPLIER INWARD'!CT53</f>
        <v>0</v>
      </c>
      <c r="CT53" s="28"/>
      <c r="CU53" s="29">
        <v>0</v>
      </c>
      <c r="CV53" s="30">
        <f t="shared" si="53"/>
        <v>2608</v>
      </c>
      <c r="CW53" s="28">
        <f>PRODUCTION!CX53+'SUPLIER INWARD'!CX53</f>
        <v>0</v>
      </c>
      <c r="CX53" s="28">
        <v>1186</v>
      </c>
      <c r="CY53" s="29">
        <v>350</v>
      </c>
      <c r="CZ53" s="30">
        <f t="shared" si="83"/>
        <v>1072</v>
      </c>
      <c r="DA53" s="28">
        <f>PRODUCTION!DB53+'SUPLIER INWARD'!DB53</f>
        <v>0</v>
      </c>
      <c r="DB53" s="28"/>
      <c r="DC53" s="29"/>
      <c r="DD53" s="30">
        <f t="shared" si="84"/>
        <v>1072</v>
      </c>
      <c r="DE53" s="28">
        <f>PRODUCTION!DF53+'SUPLIER INWARD'!DF53</f>
        <v>0</v>
      </c>
      <c r="DF53" s="28"/>
      <c r="DG53" s="29">
        <v>0</v>
      </c>
      <c r="DH53" s="30">
        <f t="shared" si="85"/>
        <v>1072</v>
      </c>
      <c r="DI53" s="28">
        <f>PRODUCTION!DJ53+'SUPLIER INWARD'!DJ53</f>
        <v>0</v>
      </c>
      <c r="DJ53" s="28"/>
      <c r="DK53" s="29">
        <v>0</v>
      </c>
      <c r="DL53" s="30">
        <f t="shared" si="86"/>
        <v>1072</v>
      </c>
      <c r="DM53" s="28">
        <f>PRODUCTION!DN53+'SUPLIER INWARD'!DN53</f>
        <v>0</v>
      </c>
      <c r="DN53" s="28"/>
      <c r="DO53" s="29"/>
      <c r="DP53" s="30">
        <f t="shared" si="87"/>
        <v>1072</v>
      </c>
      <c r="DQ53" s="28">
        <f>PRODUCTION!DR53+'SUPLIER INWARD'!DR53</f>
        <v>0</v>
      </c>
      <c r="DR53" s="28"/>
      <c r="DS53" s="29"/>
      <c r="DT53" s="30">
        <f t="shared" si="88"/>
        <v>1072</v>
      </c>
      <c r="DU53" s="28">
        <f>PRODUCTION!DV53+'SUPLIER INWARD'!DV53</f>
        <v>0</v>
      </c>
      <c r="DV53" s="28"/>
      <c r="DW53" s="29"/>
      <c r="DX53" s="30">
        <f t="shared" si="89"/>
        <v>1072</v>
      </c>
      <c r="DY53" s="31">
        <f t="shared" si="90"/>
        <v>3632</v>
      </c>
      <c r="DZ53" s="31">
        <f t="shared" si="91"/>
        <v>2186</v>
      </c>
      <c r="EA53" s="4">
        <f t="shared" si="92"/>
        <v>374</v>
      </c>
      <c r="EB53" s="9">
        <f>D53*'MASTER SHEET'!D53</f>
        <v>0</v>
      </c>
      <c r="EC53" s="9">
        <f>H53*'MASTER SHEET'!D53</f>
        <v>2946.7999999999997</v>
      </c>
      <c r="ED53" s="9">
        <f>L53*'MASTER SHEET'!D53</f>
        <v>19249.599999999999</v>
      </c>
      <c r="EE53" s="9">
        <f>P53*'MASTER SHEET'!D53</f>
        <v>19249.599999999999</v>
      </c>
      <c r="EF53" s="9">
        <f>T53*'MASTER SHEET'!D53</f>
        <v>19249.599999999999</v>
      </c>
      <c r="EG53" s="9">
        <f>X53*'MASTER SHEET'!D53</f>
        <v>19249.599999999999</v>
      </c>
      <c r="EH53" s="9">
        <f>AB53*'MASTER SHEET'!D53</f>
        <v>19249.599999999999</v>
      </c>
      <c r="EI53" s="9">
        <f>AF53*'MASTER SHEET'!D53</f>
        <v>13822.4</v>
      </c>
      <c r="EJ53" s="9">
        <f>AJ53*'MASTER SHEET'!D53</f>
        <v>13822.4</v>
      </c>
      <c r="EK53" s="9">
        <f>AN53*'MASTER SHEET'!D53</f>
        <v>13822.4</v>
      </c>
      <c r="EL53" s="9">
        <f>AR53*'MASTER SHEET'!D53</f>
        <v>13822.4</v>
      </c>
      <c r="EM53" s="9">
        <f>AV53*'MASTER SHEET'!D53</f>
        <v>13822.4</v>
      </c>
      <c r="EN53" s="9">
        <f>AZ53*'MASTER SHEET'!D53</f>
        <v>13822.4</v>
      </c>
      <c r="EO53" s="9">
        <f>BD53*'MASTER SHEET'!D53</f>
        <v>13822.4</v>
      </c>
      <c r="EP53" s="9">
        <f>$BH53*'MASTER SHEET'!$D53</f>
        <v>13822.4</v>
      </c>
      <c r="EQ53" s="9">
        <f>BL53*'MASTER SHEET'!D53</f>
        <v>13822.4</v>
      </c>
      <c r="ER53" s="9">
        <f>BP53*'MASTER SHEET'!D53</f>
        <v>13822.4</v>
      </c>
      <c r="ES53" s="9">
        <f>BT53*'MASTER SHEET'!D53</f>
        <v>13822.4</v>
      </c>
      <c r="ET53" s="9">
        <f>BX53*'MASTER SHEET'!D53</f>
        <v>13822.4</v>
      </c>
      <c r="EU53" s="9">
        <f>CB53*'MASTER SHEET'!D53</f>
        <v>13822.4</v>
      </c>
      <c r="EV53" s="9">
        <f>CF53*'MASTER SHEET'!D53</f>
        <v>13822.4</v>
      </c>
      <c r="EW53" s="9">
        <f>CJ53*'MASTER SHEET'!D53</f>
        <v>13822.4</v>
      </c>
      <c r="EX53" s="9">
        <f>CN53*'MASTER SHEET'!D53</f>
        <v>13822.4</v>
      </c>
      <c r="EY53" s="9">
        <f>CR53*'MASTER SHEET'!D53</f>
        <v>13822.4</v>
      </c>
      <c r="EZ53" s="9">
        <f>$CV53*'MASTER SHEET'!D53</f>
        <v>13822.4</v>
      </c>
      <c r="FA53" s="9">
        <f>CZ53*'MASTER SHEET'!D53</f>
        <v>5681.5999999999995</v>
      </c>
      <c r="FB53" s="9">
        <f>DD53*'MASTER SHEET'!D53</f>
        <v>5681.5999999999995</v>
      </c>
      <c r="FC53" s="9">
        <f>DH53*'MASTER SHEET'!D53</f>
        <v>5681.5999999999995</v>
      </c>
      <c r="FD53" s="9">
        <f>DL53*'MASTER SHEET'!D53</f>
        <v>5681.5999999999995</v>
      </c>
      <c r="FE53" s="9">
        <f>DP53*'MASTER SHEET'!D53</f>
        <v>5681.5999999999995</v>
      </c>
      <c r="FF53" s="9">
        <f>DT53*'MASTER SHEET'!D53</f>
        <v>5681.5999999999995</v>
      </c>
      <c r="FG53" s="9">
        <f>+DX53*'MASTER SHEET'!D53</f>
        <v>5681.5999999999995</v>
      </c>
    </row>
    <row r="54" spans="1:163" ht="20.25" customHeight="1" x14ac:dyDescent="0.25">
      <c r="A54" s="25">
        <f>'MASTER SHEET'!A54</f>
        <v>52</v>
      </c>
      <c r="B54" s="26" t="str">
        <f>'MASTER SHEET'!B54</f>
        <v>SMALL PIPE</v>
      </c>
      <c r="C54" s="78">
        <f>'MASTER SHEET'!C54</f>
        <v>5030167</v>
      </c>
      <c r="D54" s="159">
        <v>0</v>
      </c>
      <c r="E54" s="28">
        <f>PRODUCTION!F54+'SUPLIER INWARD'!F54</f>
        <v>0</v>
      </c>
      <c r="F54" s="28"/>
      <c r="G54" s="29">
        <v>0</v>
      </c>
      <c r="H54" s="30">
        <f t="shared" si="64"/>
        <v>0</v>
      </c>
      <c r="I54" s="28">
        <f>PRODUCTION!J54+'SUPLIER INWARD'!J54</f>
        <v>0</v>
      </c>
      <c r="J54" s="28"/>
      <c r="K54" s="29">
        <v>0</v>
      </c>
      <c r="L54" s="30">
        <f t="shared" si="65"/>
        <v>0</v>
      </c>
      <c r="M54" s="28">
        <f>PRODUCTION!N54+'SUPLIER INWARD'!N54</f>
        <v>0</v>
      </c>
      <c r="N54" s="28"/>
      <c r="O54" s="29"/>
      <c r="P54" s="30">
        <f t="shared" si="66"/>
        <v>0</v>
      </c>
      <c r="Q54" s="28">
        <f>PRODUCTION!R54+'SUPLIER INWARD'!R54</f>
        <v>0</v>
      </c>
      <c r="R54" s="28"/>
      <c r="S54" s="29">
        <v>0</v>
      </c>
      <c r="T54" s="30">
        <f t="shared" si="67"/>
        <v>0</v>
      </c>
      <c r="U54" s="28">
        <f>PRODUCTION!V54+'SUPLIER INWARD'!V54</f>
        <v>0</v>
      </c>
      <c r="V54" s="28"/>
      <c r="W54" s="29">
        <v>0</v>
      </c>
      <c r="X54" s="30">
        <f t="shared" si="68"/>
        <v>0</v>
      </c>
      <c r="Y54" s="28">
        <f>PRODUCTION!Z54+'SUPLIER INWARD'!Z54</f>
        <v>0</v>
      </c>
      <c r="Z54" s="28"/>
      <c r="AA54" s="29">
        <v>0</v>
      </c>
      <c r="AB54" s="30">
        <f t="shared" si="69"/>
        <v>0</v>
      </c>
      <c r="AC54" s="28">
        <f>PRODUCTION!AD54+'SUPLIER INWARD'!AD54</f>
        <v>0</v>
      </c>
      <c r="AD54" s="28"/>
      <c r="AE54" s="29">
        <v>0</v>
      </c>
      <c r="AF54" s="30">
        <f t="shared" si="70"/>
        <v>0</v>
      </c>
      <c r="AG54" s="28">
        <f>PRODUCTION!AH54+'SUPLIER INWARD'!AH54</f>
        <v>0</v>
      </c>
      <c r="AH54" s="28"/>
      <c r="AI54" s="29">
        <v>0</v>
      </c>
      <c r="AJ54" s="30">
        <f t="shared" si="71"/>
        <v>0</v>
      </c>
      <c r="AK54" s="28">
        <f>PRODUCTION!AL54+'SUPLIER INWARD'!AL54</f>
        <v>0</v>
      </c>
      <c r="AL54" s="28"/>
      <c r="AM54" s="29">
        <v>0</v>
      </c>
      <c r="AN54" s="30">
        <f t="shared" si="72"/>
        <v>0</v>
      </c>
      <c r="AO54" s="28">
        <f>PRODUCTION!AP54+'SUPLIER INWARD'!AP54</f>
        <v>0</v>
      </c>
      <c r="AP54" s="28"/>
      <c r="AQ54" s="29">
        <v>0</v>
      </c>
      <c r="AR54" s="30">
        <f t="shared" si="73"/>
        <v>0</v>
      </c>
      <c r="AS54" s="28">
        <f>PRODUCTION!AT54+'SUPLIER INWARD'!AT54</f>
        <v>0</v>
      </c>
      <c r="AT54" s="28"/>
      <c r="AU54" s="29">
        <v>0</v>
      </c>
      <c r="AV54" s="30">
        <f t="shared" si="74"/>
        <v>0</v>
      </c>
      <c r="AW54" s="28">
        <f>PRODUCTION!AX54+'SUPLIER INWARD'!AX54</f>
        <v>0</v>
      </c>
      <c r="AX54" s="28"/>
      <c r="AY54" s="29"/>
      <c r="AZ54" s="30">
        <f t="shared" si="75"/>
        <v>0</v>
      </c>
      <c r="BA54" s="28">
        <f>PRODUCTION!BB54+'SUPLIER INWARD'!BB54</f>
        <v>0</v>
      </c>
      <c r="BB54" s="28"/>
      <c r="BC54" s="29">
        <v>0</v>
      </c>
      <c r="BD54" s="30">
        <f t="shared" si="76"/>
        <v>0</v>
      </c>
      <c r="BE54" s="28">
        <f>PRODUCTION!BF54+'SUPLIER INWARD'!BF54</f>
        <v>0</v>
      </c>
      <c r="BF54" s="28"/>
      <c r="BG54" s="29">
        <v>0</v>
      </c>
      <c r="BH54" s="30">
        <f t="shared" si="77"/>
        <v>0</v>
      </c>
      <c r="BI54" s="28">
        <f>PRODUCTION!BJ54+'SUPLIER INWARD'!BJ54</f>
        <v>0</v>
      </c>
      <c r="BJ54" s="28"/>
      <c r="BK54" s="29">
        <v>0</v>
      </c>
      <c r="BL54" s="30">
        <f t="shared" si="78"/>
        <v>0</v>
      </c>
      <c r="BM54" s="28">
        <f>PRODUCTION!BN54+'SUPLIER INWARD'!BN54</f>
        <v>0</v>
      </c>
      <c r="BN54" s="28"/>
      <c r="BO54" s="29">
        <v>0</v>
      </c>
      <c r="BP54" s="30">
        <f t="shared" si="79"/>
        <v>0</v>
      </c>
      <c r="BQ54" s="28">
        <f>PRODUCTION!BR54+'SUPLIER INWARD'!BR54</f>
        <v>0</v>
      </c>
      <c r="BR54" s="28"/>
      <c r="BS54" s="29">
        <v>0</v>
      </c>
      <c r="BT54" s="30">
        <f t="shared" si="80"/>
        <v>0</v>
      </c>
      <c r="BU54" s="28">
        <f>PRODUCTION!BV54+'SUPLIER INWARD'!BV54</f>
        <v>0</v>
      </c>
      <c r="BV54" s="28"/>
      <c r="BW54" s="29">
        <v>0</v>
      </c>
      <c r="BX54" s="30">
        <f t="shared" si="47"/>
        <v>0</v>
      </c>
      <c r="BY54" s="28">
        <f>PRODUCTION!BZ54+'SUPLIER INWARD'!BZ54</f>
        <v>0</v>
      </c>
      <c r="BZ54" s="28"/>
      <c r="CA54" s="29">
        <v>0</v>
      </c>
      <c r="CB54" s="30">
        <f t="shared" si="81"/>
        <v>0</v>
      </c>
      <c r="CC54" s="28">
        <f>PRODUCTION!CD54+'SUPLIER INWARD'!CD54</f>
        <v>0</v>
      </c>
      <c r="CD54" s="28"/>
      <c r="CE54" s="29">
        <v>0</v>
      </c>
      <c r="CF54" s="30">
        <f t="shared" si="82"/>
        <v>0</v>
      </c>
      <c r="CG54" s="28">
        <f>PRODUCTION!CH54+'SUPLIER INWARD'!CH54</f>
        <v>0</v>
      </c>
      <c r="CH54" s="28"/>
      <c r="CI54" s="29">
        <v>0</v>
      </c>
      <c r="CJ54" s="30">
        <f t="shared" si="50"/>
        <v>0</v>
      </c>
      <c r="CK54" s="28">
        <f>PRODUCTION!CL54+'SUPLIER INWARD'!CL54</f>
        <v>0</v>
      </c>
      <c r="CL54" s="151"/>
      <c r="CM54" s="152">
        <v>0</v>
      </c>
      <c r="CN54" s="30">
        <f t="shared" si="51"/>
        <v>0</v>
      </c>
      <c r="CO54" s="28">
        <f>PRODUCTION!CP54+'SUPLIER INWARD'!CP54</f>
        <v>0</v>
      </c>
      <c r="CP54" s="151"/>
      <c r="CQ54" s="29">
        <v>0</v>
      </c>
      <c r="CR54" s="30">
        <f t="shared" si="52"/>
        <v>0</v>
      </c>
      <c r="CS54" s="28">
        <f>PRODUCTION!CT54+'SUPLIER INWARD'!CT54</f>
        <v>0</v>
      </c>
      <c r="CT54" s="28"/>
      <c r="CU54" s="29">
        <v>0</v>
      </c>
      <c r="CV54" s="30">
        <f t="shared" si="53"/>
        <v>0</v>
      </c>
      <c r="CW54" s="28">
        <f>PRODUCTION!CX54+'SUPLIER INWARD'!CX54</f>
        <v>0</v>
      </c>
      <c r="CX54" s="28"/>
      <c r="CY54" s="29">
        <v>0</v>
      </c>
      <c r="CZ54" s="30">
        <f t="shared" si="83"/>
        <v>0</v>
      </c>
      <c r="DA54" s="28">
        <f>PRODUCTION!DB54+'SUPLIER INWARD'!DB54</f>
        <v>0</v>
      </c>
      <c r="DB54" s="28"/>
      <c r="DC54" s="29"/>
      <c r="DD54" s="30">
        <f t="shared" si="84"/>
        <v>0</v>
      </c>
      <c r="DE54" s="28">
        <f>PRODUCTION!DF54+'SUPLIER INWARD'!DF54</f>
        <v>0</v>
      </c>
      <c r="DF54" s="28"/>
      <c r="DG54" s="29">
        <v>0</v>
      </c>
      <c r="DH54" s="30">
        <f t="shared" si="85"/>
        <v>0</v>
      </c>
      <c r="DI54" s="28">
        <f>PRODUCTION!DJ54+'SUPLIER INWARD'!DJ54</f>
        <v>0</v>
      </c>
      <c r="DJ54" s="28"/>
      <c r="DK54" s="29">
        <v>0</v>
      </c>
      <c r="DL54" s="30">
        <f t="shared" si="86"/>
        <v>0</v>
      </c>
      <c r="DM54" s="28">
        <f>PRODUCTION!DN54+'SUPLIER INWARD'!DN54</f>
        <v>0</v>
      </c>
      <c r="DN54" s="28"/>
      <c r="DO54" s="29"/>
      <c r="DP54" s="30">
        <f t="shared" si="87"/>
        <v>0</v>
      </c>
      <c r="DQ54" s="28">
        <f>PRODUCTION!DR54+'SUPLIER INWARD'!DR54</f>
        <v>0</v>
      </c>
      <c r="DR54" s="28"/>
      <c r="DS54" s="29"/>
      <c r="DT54" s="30">
        <f t="shared" si="88"/>
        <v>0</v>
      </c>
      <c r="DU54" s="28">
        <f>PRODUCTION!DV54+'SUPLIER INWARD'!DV54</f>
        <v>0</v>
      </c>
      <c r="DV54" s="28"/>
      <c r="DW54" s="29"/>
      <c r="DX54" s="30">
        <f t="shared" si="89"/>
        <v>0</v>
      </c>
      <c r="DY54" s="31">
        <f t="shared" si="90"/>
        <v>0</v>
      </c>
      <c r="DZ54" s="31">
        <f t="shared" si="91"/>
        <v>0</v>
      </c>
      <c r="EA54" s="4">
        <f t="shared" si="92"/>
        <v>0</v>
      </c>
      <c r="EB54" s="9">
        <f>D54*'MASTER SHEET'!D54</f>
        <v>0</v>
      </c>
      <c r="EC54" s="9">
        <f>H54*'MASTER SHEET'!D54</f>
        <v>0</v>
      </c>
      <c r="ED54" s="9">
        <f>L54*'MASTER SHEET'!D54</f>
        <v>0</v>
      </c>
      <c r="EE54" s="9">
        <f>P54*'MASTER SHEET'!D54</f>
        <v>0</v>
      </c>
      <c r="EF54" s="9">
        <f>T54*'MASTER SHEET'!D54</f>
        <v>0</v>
      </c>
      <c r="EG54" s="9">
        <f>X54*'MASTER SHEET'!D54</f>
        <v>0</v>
      </c>
      <c r="EH54" s="9">
        <f>AB54*'MASTER SHEET'!D54</f>
        <v>0</v>
      </c>
      <c r="EI54" s="9">
        <f>AF54*'MASTER SHEET'!D54</f>
        <v>0</v>
      </c>
      <c r="EJ54" s="9">
        <f>AJ54*'MASTER SHEET'!D54</f>
        <v>0</v>
      </c>
      <c r="EK54" s="9">
        <f>AN54*'MASTER SHEET'!D54</f>
        <v>0</v>
      </c>
      <c r="EL54" s="9">
        <f>AR54*'MASTER SHEET'!D54</f>
        <v>0</v>
      </c>
      <c r="EM54" s="9">
        <f>AV54*'MASTER SHEET'!D54</f>
        <v>0</v>
      </c>
      <c r="EN54" s="9">
        <f>AZ54*'MASTER SHEET'!D54</f>
        <v>0</v>
      </c>
      <c r="EO54" s="9">
        <f>BD54*'MASTER SHEET'!D54</f>
        <v>0</v>
      </c>
      <c r="EP54" s="9">
        <f>$BH54*'MASTER SHEET'!$D54</f>
        <v>0</v>
      </c>
      <c r="EQ54" s="9">
        <f>BL54*'MASTER SHEET'!D54</f>
        <v>0</v>
      </c>
      <c r="ER54" s="9">
        <f>BP54*'MASTER SHEET'!D54</f>
        <v>0</v>
      </c>
      <c r="ES54" s="9">
        <f>BT54*'MASTER SHEET'!D54</f>
        <v>0</v>
      </c>
      <c r="ET54" s="9">
        <f>BX54*'MASTER SHEET'!D54</f>
        <v>0</v>
      </c>
      <c r="EU54" s="9">
        <f>CB54*'MASTER SHEET'!D54</f>
        <v>0</v>
      </c>
      <c r="EV54" s="9">
        <f>CF54*'MASTER SHEET'!D54</f>
        <v>0</v>
      </c>
      <c r="EW54" s="9">
        <f>CJ54*'MASTER SHEET'!D54</f>
        <v>0</v>
      </c>
      <c r="EX54" s="9">
        <f>CN54*'MASTER SHEET'!D54</f>
        <v>0</v>
      </c>
      <c r="EY54" s="9">
        <f>CR54*'MASTER SHEET'!D54</f>
        <v>0</v>
      </c>
      <c r="EZ54" s="9">
        <f>$CV54*'MASTER SHEET'!D54</f>
        <v>0</v>
      </c>
      <c r="FA54" s="9">
        <f>CZ54*'MASTER SHEET'!D54</f>
        <v>0</v>
      </c>
      <c r="FB54" s="9">
        <f>DD54*'MASTER SHEET'!D54</f>
        <v>0</v>
      </c>
      <c r="FC54" s="9">
        <f>DH54*'MASTER SHEET'!D54</f>
        <v>0</v>
      </c>
      <c r="FD54" s="9">
        <f>DL54*'MASTER SHEET'!D54</f>
        <v>0</v>
      </c>
      <c r="FE54" s="9">
        <f>DP54*'MASTER SHEET'!D54</f>
        <v>0</v>
      </c>
      <c r="FF54" s="9">
        <f>DT54*'MASTER SHEET'!D54</f>
        <v>0</v>
      </c>
      <c r="FG54" s="9">
        <f>+DX54*'MASTER SHEET'!D54</f>
        <v>0</v>
      </c>
    </row>
    <row r="55" spans="1:163" ht="20.25" customHeight="1" x14ac:dyDescent="0.25">
      <c r="A55" s="25">
        <f>'MASTER SHEET'!A55</f>
        <v>53</v>
      </c>
      <c r="B55" s="26" t="str">
        <f>'MASTER SHEET'!B55</f>
        <v>Mesh Plastic</v>
      </c>
      <c r="C55" s="78">
        <f>'MASTER SHEET'!C55</f>
        <v>5030573</v>
      </c>
      <c r="D55" s="159">
        <v>0</v>
      </c>
      <c r="E55" s="28">
        <f>PRODUCTION!F55+'SUPLIER INWARD'!F55</f>
        <v>0</v>
      </c>
      <c r="F55" s="28"/>
      <c r="G55" s="29">
        <v>0</v>
      </c>
      <c r="H55" s="30">
        <f t="shared" si="64"/>
        <v>0</v>
      </c>
      <c r="I55" s="28">
        <f>PRODUCTION!J55+'SUPLIER INWARD'!J55</f>
        <v>0</v>
      </c>
      <c r="J55" s="28"/>
      <c r="K55" s="29">
        <v>0</v>
      </c>
      <c r="L55" s="30">
        <f t="shared" si="65"/>
        <v>0</v>
      </c>
      <c r="M55" s="28">
        <f>PRODUCTION!N55+'SUPLIER INWARD'!N55</f>
        <v>0</v>
      </c>
      <c r="N55" s="28"/>
      <c r="O55" s="29"/>
      <c r="P55" s="30">
        <f t="shared" si="66"/>
        <v>0</v>
      </c>
      <c r="Q55" s="28">
        <f>PRODUCTION!R55+'SUPLIER INWARD'!R55</f>
        <v>0</v>
      </c>
      <c r="R55" s="28"/>
      <c r="S55" s="29">
        <v>0</v>
      </c>
      <c r="T55" s="30">
        <f t="shared" si="67"/>
        <v>0</v>
      </c>
      <c r="U55" s="28">
        <f>PRODUCTION!V55+'SUPLIER INWARD'!V55</f>
        <v>0</v>
      </c>
      <c r="V55" s="28"/>
      <c r="W55" s="29">
        <v>0</v>
      </c>
      <c r="X55" s="30">
        <f t="shared" si="68"/>
        <v>0</v>
      </c>
      <c r="Y55" s="28">
        <f>PRODUCTION!Z55+'SUPLIER INWARD'!Z55</f>
        <v>0</v>
      </c>
      <c r="Z55" s="28"/>
      <c r="AA55" s="29">
        <v>0</v>
      </c>
      <c r="AB55" s="30">
        <f t="shared" si="69"/>
        <v>0</v>
      </c>
      <c r="AC55" s="28">
        <f>PRODUCTION!AD55+'SUPLIER INWARD'!AD55</f>
        <v>0</v>
      </c>
      <c r="AD55" s="28"/>
      <c r="AE55" s="29">
        <v>0</v>
      </c>
      <c r="AF55" s="30">
        <f t="shared" si="70"/>
        <v>0</v>
      </c>
      <c r="AG55" s="28">
        <f>PRODUCTION!AH55+'SUPLIER INWARD'!AH55</f>
        <v>0</v>
      </c>
      <c r="AH55" s="28"/>
      <c r="AI55" s="29">
        <v>0</v>
      </c>
      <c r="AJ55" s="30">
        <f t="shared" si="71"/>
        <v>0</v>
      </c>
      <c r="AK55" s="28">
        <f>PRODUCTION!AL55+'SUPLIER INWARD'!AL55</f>
        <v>0</v>
      </c>
      <c r="AL55" s="28"/>
      <c r="AM55" s="29">
        <v>0</v>
      </c>
      <c r="AN55" s="30">
        <f t="shared" si="72"/>
        <v>0</v>
      </c>
      <c r="AO55" s="28">
        <f>PRODUCTION!AP55+'SUPLIER INWARD'!AP55</f>
        <v>0</v>
      </c>
      <c r="AP55" s="28"/>
      <c r="AQ55" s="29">
        <v>0</v>
      </c>
      <c r="AR55" s="30">
        <f t="shared" si="73"/>
        <v>0</v>
      </c>
      <c r="AS55" s="28">
        <f>PRODUCTION!AT55+'SUPLIER INWARD'!AT55</f>
        <v>0</v>
      </c>
      <c r="AT55" s="28"/>
      <c r="AU55" s="29">
        <v>0</v>
      </c>
      <c r="AV55" s="30">
        <f t="shared" si="74"/>
        <v>0</v>
      </c>
      <c r="AW55" s="28">
        <f>PRODUCTION!AX55+'SUPLIER INWARD'!AX55</f>
        <v>0</v>
      </c>
      <c r="AX55" s="28"/>
      <c r="AY55" s="29"/>
      <c r="AZ55" s="30">
        <f t="shared" si="75"/>
        <v>0</v>
      </c>
      <c r="BA55" s="28">
        <f>PRODUCTION!BB55+'SUPLIER INWARD'!BB55</f>
        <v>0</v>
      </c>
      <c r="BB55" s="28"/>
      <c r="BC55" s="29">
        <v>0</v>
      </c>
      <c r="BD55" s="30">
        <f t="shared" si="76"/>
        <v>0</v>
      </c>
      <c r="BE55" s="28">
        <f>PRODUCTION!BF55+'SUPLIER INWARD'!BF55</f>
        <v>0</v>
      </c>
      <c r="BF55" s="28"/>
      <c r="BG55" s="29">
        <v>0</v>
      </c>
      <c r="BH55" s="30">
        <f t="shared" si="77"/>
        <v>0</v>
      </c>
      <c r="BI55" s="28">
        <f>PRODUCTION!BJ55+'SUPLIER INWARD'!BJ55</f>
        <v>0</v>
      </c>
      <c r="BJ55" s="28"/>
      <c r="BK55" s="29">
        <v>0</v>
      </c>
      <c r="BL55" s="30">
        <f t="shared" si="78"/>
        <v>0</v>
      </c>
      <c r="BM55" s="28">
        <f>PRODUCTION!BN55+'SUPLIER INWARD'!BN55</f>
        <v>0</v>
      </c>
      <c r="BN55" s="28"/>
      <c r="BO55" s="29">
        <v>0</v>
      </c>
      <c r="BP55" s="30">
        <f t="shared" si="79"/>
        <v>0</v>
      </c>
      <c r="BQ55" s="28">
        <f>PRODUCTION!BR55+'SUPLIER INWARD'!BR55</f>
        <v>0</v>
      </c>
      <c r="BR55" s="28"/>
      <c r="BS55" s="29">
        <v>0</v>
      </c>
      <c r="BT55" s="30">
        <f t="shared" si="80"/>
        <v>0</v>
      </c>
      <c r="BU55" s="28">
        <f>PRODUCTION!BV55+'SUPLIER INWARD'!BV55</f>
        <v>0</v>
      </c>
      <c r="BV55" s="28"/>
      <c r="BW55" s="29">
        <v>0</v>
      </c>
      <c r="BX55" s="30">
        <f t="shared" si="47"/>
        <v>0</v>
      </c>
      <c r="BY55" s="28">
        <f>PRODUCTION!BZ55+'SUPLIER INWARD'!BZ55</f>
        <v>0</v>
      </c>
      <c r="BZ55" s="28"/>
      <c r="CA55" s="29">
        <v>0</v>
      </c>
      <c r="CB55" s="30">
        <f t="shared" si="81"/>
        <v>0</v>
      </c>
      <c r="CC55" s="28">
        <f>PRODUCTION!CD55+'SUPLIER INWARD'!CD55</f>
        <v>0</v>
      </c>
      <c r="CD55" s="28"/>
      <c r="CE55" s="29">
        <v>0</v>
      </c>
      <c r="CF55" s="30">
        <f t="shared" si="82"/>
        <v>0</v>
      </c>
      <c r="CG55" s="28">
        <f>PRODUCTION!CH55+'SUPLIER INWARD'!CH55</f>
        <v>0</v>
      </c>
      <c r="CH55" s="28"/>
      <c r="CI55" s="29">
        <v>0</v>
      </c>
      <c r="CJ55" s="30">
        <f t="shared" si="50"/>
        <v>0</v>
      </c>
      <c r="CK55" s="28">
        <f>PRODUCTION!CL55+'SUPLIER INWARD'!CL55</f>
        <v>0</v>
      </c>
      <c r="CL55" s="151"/>
      <c r="CM55" s="152">
        <v>0</v>
      </c>
      <c r="CN55" s="30">
        <f t="shared" si="51"/>
        <v>0</v>
      </c>
      <c r="CO55" s="28">
        <f>PRODUCTION!CP55+'SUPLIER INWARD'!CP55</f>
        <v>0</v>
      </c>
      <c r="CP55" s="151"/>
      <c r="CQ55" s="29">
        <v>0</v>
      </c>
      <c r="CR55" s="30">
        <f t="shared" si="52"/>
        <v>0</v>
      </c>
      <c r="CS55" s="28">
        <f>PRODUCTION!CT55+'SUPLIER INWARD'!CT55</f>
        <v>0</v>
      </c>
      <c r="CT55" s="28"/>
      <c r="CU55" s="29">
        <v>0</v>
      </c>
      <c r="CV55" s="30">
        <f t="shared" si="53"/>
        <v>0</v>
      </c>
      <c r="CW55" s="28">
        <f>PRODUCTION!CX55+'SUPLIER INWARD'!CX55</f>
        <v>0</v>
      </c>
      <c r="CX55" s="28"/>
      <c r="CY55" s="29">
        <v>0</v>
      </c>
      <c r="CZ55" s="30">
        <f t="shared" si="83"/>
        <v>0</v>
      </c>
      <c r="DA55" s="28">
        <f>PRODUCTION!DB55+'SUPLIER INWARD'!DB55</f>
        <v>0</v>
      </c>
      <c r="DB55" s="28"/>
      <c r="DC55" s="29"/>
      <c r="DD55" s="30">
        <f t="shared" si="84"/>
        <v>0</v>
      </c>
      <c r="DE55" s="28">
        <f>PRODUCTION!DF55+'SUPLIER INWARD'!DF55</f>
        <v>0</v>
      </c>
      <c r="DF55" s="28"/>
      <c r="DG55" s="29">
        <v>0</v>
      </c>
      <c r="DH55" s="30">
        <f t="shared" si="85"/>
        <v>0</v>
      </c>
      <c r="DI55" s="28">
        <f>PRODUCTION!DJ55+'SUPLIER INWARD'!DJ55</f>
        <v>0</v>
      </c>
      <c r="DJ55" s="28"/>
      <c r="DK55" s="29">
        <v>0</v>
      </c>
      <c r="DL55" s="30">
        <f t="shared" si="86"/>
        <v>0</v>
      </c>
      <c r="DM55" s="28">
        <f>PRODUCTION!DN55+'SUPLIER INWARD'!DN55</f>
        <v>0</v>
      </c>
      <c r="DN55" s="28"/>
      <c r="DO55" s="29"/>
      <c r="DP55" s="30">
        <f t="shared" si="87"/>
        <v>0</v>
      </c>
      <c r="DQ55" s="28">
        <f>PRODUCTION!DR55+'SUPLIER INWARD'!DR55</f>
        <v>0</v>
      </c>
      <c r="DR55" s="28"/>
      <c r="DS55" s="29"/>
      <c r="DT55" s="30">
        <f t="shared" si="88"/>
        <v>0</v>
      </c>
      <c r="DU55" s="28">
        <f>PRODUCTION!DV55+'SUPLIER INWARD'!DV55</f>
        <v>0</v>
      </c>
      <c r="DV55" s="28"/>
      <c r="DW55" s="29"/>
      <c r="DX55" s="30">
        <f t="shared" si="89"/>
        <v>0</v>
      </c>
      <c r="DY55" s="31">
        <f t="shared" si="90"/>
        <v>0</v>
      </c>
      <c r="DZ55" s="31">
        <f t="shared" si="91"/>
        <v>0</v>
      </c>
      <c r="EA55" s="4">
        <f t="shared" si="92"/>
        <v>0</v>
      </c>
      <c r="EB55" s="9">
        <f>D55*'MASTER SHEET'!D55</f>
        <v>0</v>
      </c>
      <c r="EC55" s="9">
        <f>H55*'MASTER SHEET'!D55</f>
        <v>0</v>
      </c>
      <c r="ED55" s="9">
        <f>L55*'MASTER SHEET'!D55</f>
        <v>0</v>
      </c>
      <c r="EE55" s="9">
        <f>P55*'MASTER SHEET'!D55</f>
        <v>0</v>
      </c>
      <c r="EF55" s="9">
        <f>T55*'MASTER SHEET'!D55</f>
        <v>0</v>
      </c>
      <c r="EG55" s="9">
        <f>X55*'MASTER SHEET'!D55</f>
        <v>0</v>
      </c>
      <c r="EH55" s="9">
        <f>AB55*'MASTER SHEET'!D55</f>
        <v>0</v>
      </c>
      <c r="EI55" s="9">
        <f>AF55*'MASTER SHEET'!D55</f>
        <v>0</v>
      </c>
      <c r="EJ55" s="9">
        <f>AJ55*'MASTER SHEET'!D55</f>
        <v>0</v>
      </c>
      <c r="EK55" s="9">
        <f>AN55*'MASTER SHEET'!D55</f>
        <v>0</v>
      </c>
      <c r="EL55" s="9">
        <f>AR55*'MASTER SHEET'!D55</f>
        <v>0</v>
      </c>
      <c r="EM55" s="9">
        <f>AV55*'MASTER SHEET'!D55</f>
        <v>0</v>
      </c>
      <c r="EN55" s="9">
        <f>AZ55*'MASTER SHEET'!D55</f>
        <v>0</v>
      </c>
      <c r="EO55" s="9">
        <f>BD55*'MASTER SHEET'!D55</f>
        <v>0</v>
      </c>
      <c r="EP55" s="9">
        <f>$BH55*'MASTER SHEET'!$D55</f>
        <v>0</v>
      </c>
      <c r="EQ55" s="9">
        <f>BL55*'MASTER SHEET'!D55</f>
        <v>0</v>
      </c>
      <c r="ER55" s="9">
        <f>BP55*'MASTER SHEET'!D55</f>
        <v>0</v>
      </c>
      <c r="ES55" s="9">
        <f>BT55*'MASTER SHEET'!D55</f>
        <v>0</v>
      </c>
      <c r="ET55" s="9">
        <f>BX55*'MASTER SHEET'!D55</f>
        <v>0</v>
      </c>
      <c r="EU55" s="9">
        <f>CB55*'MASTER SHEET'!D55</f>
        <v>0</v>
      </c>
      <c r="EV55" s="9">
        <f>CF55*'MASTER SHEET'!D55</f>
        <v>0</v>
      </c>
      <c r="EW55" s="9">
        <f>CJ55*'MASTER SHEET'!D55</f>
        <v>0</v>
      </c>
      <c r="EX55" s="9">
        <f>CN55*'MASTER SHEET'!D55</f>
        <v>0</v>
      </c>
      <c r="EY55" s="9">
        <f>CR55*'MASTER SHEET'!D55</f>
        <v>0</v>
      </c>
      <c r="EZ55" s="9">
        <f>$CV55*'MASTER SHEET'!D55</f>
        <v>0</v>
      </c>
      <c r="FA55" s="9">
        <f>CZ55*'MASTER SHEET'!D55</f>
        <v>0</v>
      </c>
      <c r="FB55" s="9">
        <f>DD55*'MASTER SHEET'!D55</f>
        <v>0</v>
      </c>
      <c r="FC55" s="9">
        <f>DH55*'MASTER SHEET'!D55</f>
        <v>0</v>
      </c>
      <c r="FD55" s="9">
        <f>DL55*'MASTER SHEET'!D55</f>
        <v>0</v>
      </c>
      <c r="FE55" s="9">
        <f>DP55*'MASTER SHEET'!D55</f>
        <v>0</v>
      </c>
      <c r="FF55" s="9">
        <f>DT55*'MASTER SHEET'!D55</f>
        <v>0</v>
      </c>
      <c r="FG55" s="9">
        <f>+DX55*'MASTER SHEET'!D55</f>
        <v>0</v>
      </c>
    </row>
    <row r="56" spans="1:163" ht="20.25" customHeight="1" x14ac:dyDescent="0.25">
      <c r="A56" s="25">
        <f>'MASTER SHEET'!A56</f>
        <v>54</v>
      </c>
      <c r="B56" s="26" t="str">
        <f>'MASTER SHEET'!B56</f>
        <v>BASE HOUSING</v>
      </c>
      <c r="C56" s="78">
        <f>'MASTER SHEET'!C56</f>
        <v>5030721</v>
      </c>
      <c r="D56" s="159">
        <v>0</v>
      </c>
      <c r="E56" s="28">
        <f>PRODUCTION!F56+'SUPLIER INWARD'!F56</f>
        <v>0</v>
      </c>
      <c r="F56" s="28"/>
      <c r="G56" s="29">
        <v>0</v>
      </c>
      <c r="H56" s="30">
        <f t="shared" si="64"/>
        <v>0</v>
      </c>
      <c r="I56" s="28">
        <f>PRODUCTION!J56+'SUPLIER INWARD'!J56</f>
        <v>0</v>
      </c>
      <c r="J56" s="28"/>
      <c r="K56" s="29">
        <v>0</v>
      </c>
      <c r="L56" s="30">
        <f t="shared" si="65"/>
        <v>0</v>
      </c>
      <c r="M56" s="28">
        <f>PRODUCTION!N56+'SUPLIER INWARD'!N56</f>
        <v>0</v>
      </c>
      <c r="N56" s="28"/>
      <c r="O56" s="29"/>
      <c r="P56" s="30">
        <f t="shared" si="66"/>
        <v>0</v>
      </c>
      <c r="Q56" s="28">
        <f>PRODUCTION!R56+'SUPLIER INWARD'!R56</f>
        <v>0</v>
      </c>
      <c r="R56" s="28"/>
      <c r="S56" s="29">
        <v>0</v>
      </c>
      <c r="T56" s="30">
        <f t="shared" si="67"/>
        <v>0</v>
      </c>
      <c r="U56" s="28">
        <f>PRODUCTION!V56+'SUPLIER INWARD'!V56</f>
        <v>0</v>
      </c>
      <c r="V56" s="28"/>
      <c r="W56" s="29">
        <v>0</v>
      </c>
      <c r="X56" s="30">
        <f t="shared" si="68"/>
        <v>0</v>
      </c>
      <c r="Y56" s="28">
        <f>PRODUCTION!Z56+'SUPLIER INWARD'!Z56</f>
        <v>0</v>
      </c>
      <c r="Z56" s="28"/>
      <c r="AA56" s="29">
        <v>0</v>
      </c>
      <c r="AB56" s="30">
        <f t="shared" si="69"/>
        <v>0</v>
      </c>
      <c r="AC56" s="28">
        <f>PRODUCTION!AD56+'SUPLIER INWARD'!AD56</f>
        <v>0</v>
      </c>
      <c r="AD56" s="28"/>
      <c r="AE56" s="29">
        <v>0</v>
      </c>
      <c r="AF56" s="30">
        <f t="shared" si="70"/>
        <v>0</v>
      </c>
      <c r="AG56" s="28">
        <f>PRODUCTION!AH56+'SUPLIER INWARD'!AH56</f>
        <v>0</v>
      </c>
      <c r="AH56" s="28"/>
      <c r="AI56" s="29">
        <v>0</v>
      </c>
      <c r="AJ56" s="30">
        <f t="shared" si="71"/>
        <v>0</v>
      </c>
      <c r="AK56" s="28">
        <f>PRODUCTION!AL56+'SUPLIER INWARD'!AL56</f>
        <v>0</v>
      </c>
      <c r="AL56" s="28"/>
      <c r="AM56" s="29">
        <v>0</v>
      </c>
      <c r="AN56" s="30">
        <f t="shared" si="72"/>
        <v>0</v>
      </c>
      <c r="AO56" s="28">
        <f>PRODUCTION!AP56+'SUPLIER INWARD'!AP56</f>
        <v>0</v>
      </c>
      <c r="AP56" s="28"/>
      <c r="AQ56" s="29">
        <v>0</v>
      </c>
      <c r="AR56" s="30">
        <f t="shared" si="73"/>
        <v>0</v>
      </c>
      <c r="AS56" s="28">
        <f>PRODUCTION!AT56+'SUPLIER INWARD'!AT56</f>
        <v>0</v>
      </c>
      <c r="AT56" s="28"/>
      <c r="AU56" s="29">
        <v>0</v>
      </c>
      <c r="AV56" s="30">
        <f t="shared" si="74"/>
        <v>0</v>
      </c>
      <c r="AW56" s="28">
        <f>PRODUCTION!AX56+'SUPLIER INWARD'!AX56</f>
        <v>0</v>
      </c>
      <c r="AX56" s="28"/>
      <c r="AY56" s="29"/>
      <c r="AZ56" s="30">
        <f t="shared" si="75"/>
        <v>0</v>
      </c>
      <c r="BA56" s="28">
        <f>PRODUCTION!BB56+'SUPLIER INWARD'!BB56</f>
        <v>0</v>
      </c>
      <c r="BB56" s="28"/>
      <c r="BC56" s="29">
        <v>0</v>
      </c>
      <c r="BD56" s="30">
        <f t="shared" si="76"/>
        <v>0</v>
      </c>
      <c r="BE56" s="28">
        <f>PRODUCTION!BF56+'SUPLIER INWARD'!BF56</f>
        <v>0</v>
      </c>
      <c r="BF56" s="28"/>
      <c r="BG56" s="29">
        <v>0</v>
      </c>
      <c r="BH56" s="30">
        <f t="shared" si="77"/>
        <v>0</v>
      </c>
      <c r="BI56" s="28">
        <f>PRODUCTION!BJ56+'SUPLIER INWARD'!BJ56</f>
        <v>0</v>
      </c>
      <c r="BJ56" s="28"/>
      <c r="BK56" s="29">
        <v>0</v>
      </c>
      <c r="BL56" s="30">
        <f t="shared" si="78"/>
        <v>0</v>
      </c>
      <c r="BM56" s="28">
        <f>PRODUCTION!BN56+'SUPLIER INWARD'!BN56</f>
        <v>0</v>
      </c>
      <c r="BN56" s="28"/>
      <c r="BO56" s="29">
        <v>0</v>
      </c>
      <c r="BP56" s="30">
        <f t="shared" si="79"/>
        <v>0</v>
      </c>
      <c r="BQ56" s="28">
        <f>PRODUCTION!BR56+'SUPLIER INWARD'!BR56</f>
        <v>0</v>
      </c>
      <c r="BR56" s="28"/>
      <c r="BS56" s="29">
        <v>0</v>
      </c>
      <c r="BT56" s="30">
        <f t="shared" si="80"/>
        <v>0</v>
      </c>
      <c r="BU56" s="28">
        <f>PRODUCTION!BV56+'SUPLIER INWARD'!BV56</f>
        <v>0</v>
      </c>
      <c r="BV56" s="28"/>
      <c r="BW56" s="29">
        <v>0</v>
      </c>
      <c r="BX56" s="30">
        <f t="shared" si="47"/>
        <v>0</v>
      </c>
      <c r="BY56" s="28">
        <f>PRODUCTION!BZ56+'SUPLIER INWARD'!BZ56</f>
        <v>0</v>
      </c>
      <c r="BZ56" s="28"/>
      <c r="CA56" s="29">
        <v>0</v>
      </c>
      <c r="CB56" s="30">
        <f t="shared" si="81"/>
        <v>0</v>
      </c>
      <c r="CC56" s="28">
        <f>PRODUCTION!CD56+'SUPLIER INWARD'!CD56</f>
        <v>0</v>
      </c>
      <c r="CD56" s="28"/>
      <c r="CE56" s="29">
        <v>0</v>
      </c>
      <c r="CF56" s="30">
        <f t="shared" si="82"/>
        <v>0</v>
      </c>
      <c r="CG56" s="28">
        <f>PRODUCTION!CH56+'SUPLIER INWARD'!CH56</f>
        <v>0</v>
      </c>
      <c r="CH56" s="28"/>
      <c r="CI56" s="29">
        <v>0</v>
      </c>
      <c r="CJ56" s="30">
        <f t="shared" si="50"/>
        <v>0</v>
      </c>
      <c r="CK56" s="28">
        <f>PRODUCTION!CL56+'SUPLIER INWARD'!CL56</f>
        <v>0</v>
      </c>
      <c r="CL56" s="151"/>
      <c r="CM56" s="152">
        <v>0</v>
      </c>
      <c r="CN56" s="30">
        <f t="shared" si="51"/>
        <v>0</v>
      </c>
      <c r="CO56" s="28">
        <f>PRODUCTION!CP56+'SUPLIER INWARD'!CP56</f>
        <v>0</v>
      </c>
      <c r="CP56" s="151"/>
      <c r="CQ56" s="29">
        <v>0</v>
      </c>
      <c r="CR56" s="30">
        <f t="shared" si="52"/>
        <v>0</v>
      </c>
      <c r="CS56" s="28">
        <f>PRODUCTION!CT56+'SUPLIER INWARD'!CT56</f>
        <v>0</v>
      </c>
      <c r="CT56" s="28"/>
      <c r="CU56" s="29">
        <v>0</v>
      </c>
      <c r="CV56" s="30">
        <f t="shared" si="53"/>
        <v>0</v>
      </c>
      <c r="CW56" s="28">
        <f>PRODUCTION!CX56+'SUPLIER INWARD'!CX56</f>
        <v>0</v>
      </c>
      <c r="CX56" s="28"/>
      <c r="CY56" s="29">
        <v>0</v>
      </c>
      <c r="CZ56" s="30">
        <f t="shared" si="83"/>
        <v>0</v>
      </c>
      <c r="DA56" s="28">
        <f>PRODUCTION!DB56+'SUPLIER INWARD'!DB56</f>
        <v>0</v>
      </c>
      <c r="DB56" s="28"/>
      <c r="DC56" s="29"/>
      <c r="DD56" s="30">
        <f t="shared" si="84"/>
        <v>0</v>
      </c>
      <c r="DE56" s="28">
        <f>PRODUCTION!DF56+'SUPLIER INWARD'!DF56</f>
        <v>0</v>
      </c>
      <c r="DF56" s="28"/>
      <c r="DG56" s="29">
        <v>0</v>
      </c>
      <c r="DH56" s="30">
        <f t="shared" si="85"/>
        <v>0</v>
      </c>
      <c r="DI56" s="28">
        <f>PRODUCTION!DJ56+'SUPLIER INWARD'!DJ56</f>
        <v>0</v>
      </c>
      <c r="DJ56" s="28"/>
      <c r="DK56" s="29">
        <v>0</v>
      </c>
      <c r="DL56" s="30">
        <f t="shared" si="86"/>
        <v>0</v>
      </c>
      <c r="DM56" s="28">
        <f>PRODUCTION!DN56+'SUPLIER INWARD'!DN56</f>
        <v>0</v>
      </c>
      <c r="DN56" s="28"/>
      <c r="DO56" s="29"/>
      <c r="DP56" s="30">
        <f t="shared" si="87"/>
        <v>0</v>
      </c>
      <c r="DQ56" s="28">
        <f>PRODUCTION!DR56+'SUPLIER INWARD'!DR56</f>
        <v>0</v>
      </c>
      <c r="DR56" s="28"/>
      <c r="DS56" s="29"/>
      <c r="DT56" s="30">
        <f t="shared" si="88"/>
        <v>0</v>
      </c>
      <c r="DU56" s="28">
        <f>PRODUCTION!DV56+'SUPLIER INWARD'!DV56</f>
        <v>0</v>
      </c>
      <c r="DV56" s="28"/>
      <c r="DW56" s="29"/>
      <c r="DX56" s="30">
        <f t="shared" si="89"/>
        <v>0</v>
      </c>
      <c r="DY56" s="31">
        <f t="shared" si="90"/>
        <v>0</v>
      </c>
      <c r="DZ56" s="31">
        <f t="shared" si="91"/>
        <v>0</v>
      </c>
      <c r="EA56" s="4">
        <f t="shared" si="92"/>
        <v>0</v>
      </c>
      <c r="EB56" s="9">
        <f>D56*'MASTER SHEET'!D56</f>
        <v>0</v>
      </c>
      <c r="EC56" s="9">
        <f>H56*'MASTER SHEET'!D56</f>
        <v>0</v>
      </c>
      <c r="ED56" s="9">
        <f>L56*'MASTER SHEET'!D56</f>
        <v>0</v>
      </c>
      <c r="EE56" s="9">
        <f>P56*'MASTER SHEET'!D56</f>
        <v>0</v>
      </c>
      <c r="EF56" s="9">
        <f>T56*'MASTER SHEET'!D56</f>
        <v>0</v>
      </c>
      <c r="EG56" s="9">
        <f>X56*'MASTER SHEET'!D56</f>
        <v>0</v>
      </c>
      <c r="EH56" s="9">
        <f>AB56*'MASTER SHEET'!D56</f>
        <v>0</v>
      </c>
      <c r="EI56" s="9">
        <f>AF56*'MASTER SHEET'!D56</f>
        <v>0</v>
      </c>
      <c r="EJ56" s="9">
        <f>AJ56*'MASTER SHEET'!D56</f>
        <v>0</v>
      </c>
      <c r="EK56" s="9">
        <f>AN56*'MASTER SHEET'!D56</f>
        <v>0</v>
      </c>
      <c r="EL56" s="9">
        <f>AR56*'MASTER SHEET'!D56</f>
        <v>0</v>
      </c>
      <c r="EM56" s="9">
        <f>AV56*'MASTER SHEET'!D56</f>
        <v>0</v>
      </c>
      <c r="EN56" s="9">
        <f>AZ56*'MASTER SHEET'!D56</f>
        <v>0</v>
      </c>
      <c r="EO56" s="9">
        <f>BD56*'MASTER SHEET'!D56</f>
        <v>0</v>
      </c>
      <c r="EP56" s="9">
        <f>$BH56*'MASTER SHEET'!$D56</f>
        <v>0</v>
      </c>
      <c r="EQ56" s="9">
        <f>BL56*'MASTER SHEET'!D56</f>
        <v>0</v>
      </c>
      <c r="ER56" s="9">
        <f>BP56*'MASTER SHEET'!D56</f>
        <v>0</v>
      </c>
      <c r="ES56" s="9">
        <f>BT56*'MASTER SHEET'!D56</f>
        <v>0</v>
      </c>
      <c r="ET56" s="9">
        <f>BX56*'MASTER SHEET'!D56</f>
        <v>0</v>
      </c>
      <c r="EU56" s="9">
        <f>CB56*'MASTER SHEET'!D56</f>
        <v>0</v>
      </c>
      <c r="EV56" s="9">
        <f>CF56*'MASTER SHEET'!D56</f>
        <v>0</v>
      </c>
      <c r="EW56" s="9">
        <f>CJ56*'MASTER SHEET'!D56</f>
        <v>0</v>
      </c>
      <c r="EX56" s="9">
        <f>CN56*'MASTER SHEET'!D56</f>
        <v>0</v>
      </c>
      <c r="EY56" s="9">
        <f>CR56*'MASTER SHEET'!D56</f>
        <v>0</v>
      </c>
      <c r="EZ56" s="9">
        <f>$CV56*'MASTER SHEET'!D56</f>
        <v>0</v>
      </c>
      <c r="FA56" s="9">
        <f>CZ56*'MASTER SHEET'!D56</f>
        <v>0</v>
      </c>
      <c r="FB56" s="9">
        <f>DD56*'MASTER SHEET'!D56</f>
        <v>0</v>
      </c>
      <c r="FC56" s="9">
        <f>DH56*'MASTER SHEET'!D56</f>
        <v>0</v>
      </c>
      <c r="FD56" s="9">
        <f>DL56*'MASTER SHEET'!D56</f>
        <v>0</v>
      </c>
      <c r="FE56" s="9">
        <f>DP56*'MASTER SHEET'!D56</f>
        <v>0</v>
      </c>
      <c r="FF56" s="9">
        <f>DT56*'MASTER SHEET'!D56</f>
        <v>0</v>
      </c>
      <c r="FG56" s="9">
        <f>+DX56*'MASTER SHEET'!D56</f>
        <v>0</v>
      </c>
    </row>
    <row r="57" spans="1:163" s="10" customFormat="1" ht="20.25" customHeight="1" x14ac:dyDescent="0.25">
      <c r="A57" s="25">
        <f>'MASTER SHEET'!A57</f>
        <v>55</v>
      </c>
      <c r="B57" s="26" t="str">
        <f>'MASTER SHEET'!B57</f>
        <v>HOUSING PLASTIC</v>
      </c>
      <c r="C57" s="78">
        <f>'MASTER SHEET'!C57</f>
        <v>5030557</v>
      </c>
      <c r="D57" s="159">
        <v>0</v>
      </c>
      <c r="E57" s="28">
        <f>PRODUCTION!F57+'SUPLIER INWARD'!F57</f>
        <v>0</v>
      </c>
      <c r="F57" s="28"/>
      <c r="G57" s="29">
        <v>0</v>
      </c>
      <c r="H57" s="30">
        <f t="shared" si="64"/>
        <v>0</v>
      </c>
      <c r="I57" s="28">
        <f>PRODUCTION!J57+'SUPLIER INWARD'!J57</f>
        <v>0</v>
      </c>
      <c r="J57" s="28"/>
      <c r="K57" s="29">
        <v>0</v>
      </c>
      <c r="L57" s="30">
        <f t="shared" si="65"/>
        <v>0</v>
      </c>
      <c r="M57" s="28">
        <f>PRODUCTION!N57+'SUPLIER INWARD'!N57</f>
        <v>0</v>
      </c>
      <c r="N57" s="28"/>
      <c r="O57" s="29"/>
      <c r="P57" s="30">
        <f t="shared" si="66"/>
        <v>0</v>
      </c>
      <c r="Q57" s="28">
        <f>PRODUCTION!R57+'SUPLIER INWARD'!R57</f>
        <v>0</v>
      </c>
      <c r="R57" s="28"/>
      <c r="S57" s="29">
        <v>0</v>
      </c>
      <c r="T57" s="30">
        <f t="shared" si="67"/>
        <v>0</v>
      </c>
      <c r="U57" s="28">
        <f>PRODUCTION!V57+'SUPLIER INWARD'!V57</f>
        <v>0</v>
      </c>
      <c r="V57" s="28"/>
      <c r="W57" s="29">
        <v>0</v>
      </c>
      <c r="X57" s="30">
        <f t="shared" si="68"/>
        <v>0</v>
      </c>
      <c r="Y57" s="28">
        <f>PRODUCTION!Z57+'SUPLIER INWARD'!Z57</f>
        <v>0</v>
      </c>
      <c r="Z57" s="28"/>
      <c r="AA57" s="29">
        <v>0</v>
      </c>
      <c r="AB57" s="30">
        <f t="shared" si="69"/>
        <v>0</v>
      </c>
      <c r="AC57" s="28">
        <f>PRODUCTION!AD57+'SUPLIER INWARD'!AD57</f>
        <v>0</v>
      </c>
      <c r="AD57" s="28"/>
      <c r="AE57" s="29">
        <v>0</v>
      </c>
      <c r="AF57" s="30">
        <f t="shared" si="70"/>
        <v>0</v>
      </c>
      <c r="AG57" s="28">
        <f>PRODUCTION!AH57+'SUPLIER INWARD'!AH57</f>
        <v>0</v>
      </c>
      <c r="AH57" s="28"/>
      <c r="AI57" s="29">
        <v>0</v>
      </c>
      <c r="AJ57" s="30">
        <f t="shared" si="71"/>
        <v>0</v>
      </c>
      <c r="AK57" s="28">
        <f>PRODUCTION!AL57+'SUPLIER INWARD'!AL57</f>
        <v>0</v>
      </c>
      <c r="AL57" s="28"/>
      <c r="AM57" s="29">
        <v>0</v>
      </c>
      <c r="AN57" s="30">
        <f t="shared" si="72"/>
        <v>0</v>
      </c>
      <c r="AO57" s="28">
        <f>PRODUCTION!AP57+'SUPLIER INWARD'!AP57</f>
        <v>0</v>
      </c>
      <c r="AP57" s="28"/>
      <c r="AQ57" s="29">
        <v>0</v>
      </c>
      <c r="AR57" s="30">
        <f t="shared" si="73"/>
        <v>0</v>
      </c>
      <c r="AS57" s="28">
        <f>PRODUCTION!AT57+'SUPLIER INWARD'!AT57</f>
        <v>0</v>
      </c>
      <c r="AT57" s="28"/>
      <c r="AU57" s="29">
        <v>0</v>
      </c>
      <c r="AV57" s="30">
        <f t="shared" si="74"/>
        <v>0</v>
      </c>
      <c r="AW57" s="28">
        <f>PRODUCTION!AX57+'SUPLIER INWARD'!AX57</f>
        <v>0</v>
      </c>
      <c r="AX57" s="28"/>
      <c r="AY57" s="29"/>
      <c r="AZ57" s="30">
        <f t="shared" si="75"/>
        <v>0</v>
      </c>
      <c r="BA57" s="28">
        <f>PRODUCTION!BB57+'SUPLIER INWARD'!BB57</f>
        <v>0</v>
      </c>
      <c r="BB57" s="28"/>
      <c r="BC57" s="29">
        <v>0</v>
      </c>
      <c r="BD57" s="30">
        <f t="shared" si="76"/>
        <v>0</v>
      </c>
      <c r="BE57" s="28">
        <f>PRODUCTION!BF57+'SUPLIER INWARD'!BF57</f>
        <v>0</v>
      </c>
      <c r="BF57" s="28"/>
      <c r="BG57" s="29">
        <v>0</v>
      </c>
      <c r="BH57" s="30">
        <f t="shared" si="77"/>
        <v>0</v>
      </c>
      <c r="BI57" s="28">
        <f>PRODUCTION!BJ57+'SUPLIER INWARD'!BJ57</f>
        <v>0</v>
      </c>
      <c r="BJ57" s="28"/>
      <c r="BK57" s="29">
        <v>0</v>
      </c>
      <c r="BL57" s="30">
        <f t="shared" si="78"/>
        <v>0</v>
      </c>
      <c r="BM57" s="28">
        <f>PRODUCTION!BN57+'SUPLIER INWARD'!BN57</f>
        <v>0</v>
      </c>
      <c r="BN57" s="28"/>
      <c r="BO57" s="29">
        <v>0</v>
      </c>
      <c r="BP57" s="30">
        <f t="shared" si="79"/>
        <v>0</v>
      </c>
      <c r="BQ57" s="28">
        <f>PRODUCTION!BR57+'SUPLIER INWARD'!BR57</f>
        <v>0</v>
      </c>
      <c r="BR57" s="28"/>
      <c r="BS57" s="29">
        <v>0</v>
      </c>
      <c r="BT57" s="30">
        <f t="shared" si="80"/>
        <v>0</v>
      </c>
      <c r="BU57" s="28">
        <f>PRODUCTION!BV57+'SUPLIER INWARD'!BV57</f>
        <v>0</v>
      </c>
      <c r="BV57" s="28"/>
      <c r="BW57" s="29">
        <v>0</v>
      </c>
      <c r="BX57" s="30">
        <f t="shared" si="47"/>
        <v>0</v>
      </c>
      <c r="BY57" s="28">
        <f>PRODUCTION!BZ57+'SUPLIER INWARD'!BZ57</f>
        <v>0</v>
      </c>
      <c r="BZ57" s="28"/>
      <c r="CA57" s="29">
        <v>0</v>
      </c>
      <c r="CB57" s="30">
        <f t="shared" si="81"/>
        <v>0</v>
      </c>
      <c r="CC57" s="28">
        <f>PRODUCTION!CD57+'SUPLIER INWARD'!CD57</f>
        <v>0</v>
      </c>
      <c r="CD57" s="28"/>
      <c r="CE57" s="29">
        <v>0</v>
      </c>
      <c r="CF57" s="30">
        <f t="shared" si="82"/>
        <v>0</v>
      </c>
      <c r="CG57" s="28">
        <f>PRODUCTION!CH57+'SUPLIER INWARD'!CH57</f>
        <v>0</v>
      </c>
      <c r="CH57" s="28"/>
      <c r="CI57" s="29">
        <v>0</v>
      </c>
      <c r="CJ57" s="30">
        <f t="shared" si="50"/>
        <v>0</v>
      </c>
      <c r="CK57" s="28">
        <f>PRODUCTION!CL57+'SUPLIER INWARD'!CL57</f>
        <v>0</v>
      </c>
      <c r="CL57" s="151"/>
      <c r="CM57" s="152">
        <v>0</v>
      </c>
      <c r="CN57" s="30">
        <f t="shared" si="51"/>
        <v>0</v>
      </c>
      <c r="CO57" s="28">
        <f>PRODUCTION!CP57+'SUPLIER INWARD'!CP57</f>
        <v>0</v>
      </c>
      <c r="CP57" s="151"/>
      <c r="CQ57" s="29">
        <v>0</v>
      </c>
      <c r="CR57" s="30">
        <f t="shared" si="52"/>
        <v>0</v>
      </c>
      <c r="CS57" s="28">
        <f>PRODUCTION!CT57+'SUPLIER INWARD'!CT57</f>
        <v>0</v>
      </c>
      <c r="CT57" s="28"/>
      <c r="CU57" s="29">
        <v>0</v>
      </c>
      <c r="CV57" s="30">
        <f t="shared" si="53"/>
        <v>0</v>
      </c>
      <c r="CW57" s="28">
        <f>PRODUCTION!CX57+'SUPLIER INWARD'!CX57</f>
        <v>0</v>
      </c>
      <c r="CX57" s="28"/>
      <c r="CY57" s="29">
        <v>0</v>
      </c>
      <c r="CZ57" s="30">
        <f t="shared" si="83"/>
        <v>0</v>
      </c>
      <c r="DA57" s="28">
        <f>PRODUCTION!DB57+'SUPLIER INWARD'!DB57</f>
        <v>0</v>
      </c>
      <c r="DB57" s="28"/>
      <c r="DC57" s="29"/>
      <c r="DD57" s="30">
        <f t="shared" si="84"/>
        <v>0</v>
      </c>
      <c r="DE57" s="28">
        <f>PRODUCTION!DF57+'SUPLIER INWARD'!DF57</f>
        <v>0</v>
      </c>
      <c r="DF57" s="28"/>
      <c r="DG57" s="29">
        <v>0</v>
      </c>
      <c r="DH57" s="30">
        <f t="shared" si="85"/>
        <v>0</v>
      </c>
      <c r="DI57" s="28">
        <f>PRODUCTION!DJ57+'SUPLIER INWARD'!DJ57</f>
        <v>0</v>
      </c>
      <c r="DJ57" s="28"/>
      <c r="DK57" s="29">
        <v>0</v>
      </c>
      <c r="DL57" s="30">
        <f t="shared" si="86"/>
        <v>0</v>
      </c>
      <c r="DM57" s="28">
        <f>PRODUCTION!DN57+'SUPLIER INWARD'!DN57</f>
        <v>0</v>
      </c>
      <c r="DN57" s="28"/>
      <c r="DO57" s="29"/>
      <c r="DP57" s="30">
        <f t="shared" si="87"/>
        <v>0</v>
      </c>
      <c r="DQ57" s="28">
        <f>PRODUCTION!DR57+'SUPLIER INWARD'!DR57</f>
        <v>0</v>
      </c>
      <c r="DR57" s="28"/>
      <c r="DS57" s="29"/>
      <c r="DT57" s="30">
        <f t="shared" si="88"/>
        <v>0</v>
      </c>
      <c r="DU57" s="28">
        <f>PRODUCTION!DV57+'SUPLIER INWARD'!DV57</f>
        <v>0</v>
      </c>
      <c r="DV57" s="28"/>
      <c r="DW57" s="29"/>
      <c r="DX57" s="30">
        <f t="shared" si="89"/>
        <v>0</v>
      </c>
      <c r="DY57" s="31">
        <f t="shared" si="90"/>
        <v>0</v>
      </c>
      <c r="DZ57" s="31">
        <f t="shared" si="91"/>
        <v>0</v>
      </c>
      <c r="EA57" s="4">
        <f t="shared" si="92"/>
        <v>0</v>
      </c>
      <c r="EB57" s="9">
        <f>D57*'MASTER SHEET'!D57</f>
        <v>0</v>
      </c>
      <c r="EC57" s="9">
        <f>H57*'MASTER SHEET'!D57</f>
        <v>0</v>
      </c>
      <c r="ED57" s="9">
        <f>L57*'MASTER SHEET'!D57</f>
        <v>0</v>
      </c>
      <c r="EE57" s="9">
        <f>P57*'MASTER SHEET'!D57</f>
        <v>0</v>
      </c>
      <c r="EF57" s="9">
        <f>T57*'MASTER SHEET'!D57</f>
        <v>0</v>
      </c>
      <c r="EG57" s="9">
        <f>X57*'MASTER SHEET'!D57</f>
        <v>0</v>
      </c>
      <c r="EH57" s="9">
        <f>AB57*'MASTER SHEET'!D57</f>
        <v>0</v>
      </c>
      <c r="EI57" s="9">
        <f>AF57*'MASTER SHEET'!D57</f>
        <v>0</v>
      </c>
      <c r="EJ57" s="9">
        <f>AJ57*'MASTER SHEET'!D57</f>
        <v>0</v>
      </c>
      <c r="EK57" s="9">
        <f>AN57*'MASTER SHEET'!D57</f>
        <v>0</v>
      </c>
      <c r="EL57" s="9">
        <f>AR57*'MASTER SHEET'!D57</f>
        <v>0</v>
      </c>
      <c r="EM57" s="9">
        <f>AV57*'MASTER SHEET'!D57</f>
        <v>0</v>
      </c>
      <c r="EN57" s="9">
        <f>AZ57*'MASTER SHEET'!D57</f>
        <v>0</v>
      </c>
      <c r="EO57" s="9">
        <f>BD57*'MASTER SHEET'!D57</f>
        <v>0</v>
      </c>
      <c r="EP57" s="9">
        <f>$BH57*'MASTER SHEET'!$D57</f>
        <v>0</v>
      </c>
      <c r="EQ57" s="9">
        <f>BL57*'MASTER SHEET'!D57</f>
        <v>0</v>
      </c>
      <c r="ER57" s="9">
        <f>BP57*'MASTER SHEET'!D57</f>
        <v>0</v>
      </c>
      <c r="ES57" s="9">
        <f>BT57*'MASTER SHEET'!D57</f>
        <v>0</v>
      </c>
      <c r="ET57" s="9">
        <f>BX57*'MASTER SHEET'!D57</f>
        <v>0</v>
      </c>
      <c r="EU57" s="9">
        <f>CB57*'MASTER SHEET'!D57</f>
        <v>0</v>
      </c>
      <c r="EV57" s="9">
        <f>CF57*'MASTER SHEET'!D57</f>
        <v>0</v>
      </c>
      <c r="EW57" s="9">
        <f>CJ57*'MASTER SHEET'!D57</f>
        <v>0</v>
      </c>
      <c r="EX57" s="9">
        <f>CN57*'MASTER SHEET'!D57</f>
        <v>0</v>
      </c>
      <c r="EY57" s="9">
        <f>CR57*'MASTER SHEET'!D57</f>
        <v>0</v>
      </c>
      <c r="EZ57" s="9">
        <f>$CV57*'MASTER SHEET'!D57</f>
        <v>0</v>
      </c>
      <c r="FA57" s="9">
        <f>CZ57*'MASTER SHEET'!D57</f>
        <v>0</v>
      </c>
      <c r="FB57" s="9">
        <f>DD57*'MASTER SHEET'!D57</f>
        <v>0</v>
      </c>
      <c r="FC57" s="9">
        <f>DH57*'MASTER SHEET'!D57</f>
        <v>0</v>
      </c>
      <c r="FD57" s="9">
        <f>DL57*'MASTER SHEET'!D57</f>
        <v>0</v>
      </c>
      <c r="FE57" s="9">
        <f>DP57*'MASTER SHEET'!D57</f>
        <v>0</v>
      </c>
      <c r="FF57" s="9">
        <f>DT57*'MASTER SHEET'!D57</f>
        <v>0</v>
      </c>
      <c r="FG57" s="9">
        <f>+DX57*'MASTER SHEET'!D57</f>
        <v>0</v>
      </c>
    </row>
    <row r="58" spans="1:163" ht="20.25" customHeight="1" x14ac:dyDescent="0.25">
      <c r="A58" s="25">
        <f>'MASTER SHEET'!A58</f>
        <v>56</v>
      </c>
      <c r="B58" s="26" t="str">
        <f>'MASTER SHEET'!B58</f>
        <v>COVER TOP ASSEMBLY</v>
      </c>
      <c r="C58" s="78">
        <f>'MASTER SHEET'!C58</f>
        <v>5031657</v>
      </c>
      <c r="D58" s="159">
        <v>0</v>
      </c>
      <c r="E58" s="28">
        <f>PRODUCTION!F58+'SUPLIER INWARD'!F58</f>
        <v>0</v>
      </c>
      <c r="F58" s="28"/>
      <c r="G58" s="29">
        <v>0</v>
      </c>
      <c r="H58" s="30">
        <f t="shared" si="64"/>
        <v>0</v>
      </c>
      <c r="I58" s="28">
        <f>PRODUCTION!J58+'SUPLIER INWARD'!J58</f>
        <v>0</v>
      </c>
      <c r="J58" s="28"/>
      <c r="K58" s="29">
        <v>0</v>
      </c>
      <c r="L58" s="30">
        <f t="shared" si="65"/>
        <v>0</v>
      </c>
      <c r="M58" s="28">
        <f>PRODUCTION!N58+'SUPLIER INWARD'!N58</f>
        <v>0</v>
      </c>
      <c r="N58" s="28"/>
      <c r="O58" s="29"/>
      <c r="P58" s="30">
        <f t="shared" si="66"/>
        <v>0</v>
      </c>
      <c r="Q58" s="28">
        <f>PRODUCTION!R58+'SUPLIER INWARD'!R58</f>
        <v>0</v>
      </c>
      <c r="R58" s="28"/>
      <c r="S58" s="29">
        <v>0</v>
      </c>
      <c r="T58" s="30">
        <f t="shared" si="67"/>
        <v>0</v>
      </c>
      <c r="U58" s="28">
        <f>PRODUCTION!V58+'SUPLIER INWARD'!V58</f>
        <v>0</v>
      </c>
      <c r="V58" s="28"/>
      <c r="W58" s="29">
        <v>0</v>
      </c>
      <c r="X58" s="30">
        <f t="shared" si="68"/>
        <v>0</v>
      </c>
      <c r="Y58" s="28">
        <f>PRODUCTION!Z58+'SUPLIER INWARD'!Z58</f>
        <v>0</v>
      </c>
      <c r="Z58" s="28"/>
      <c r="AA58" s="29">
        <v>0</v>
      </c>
      <c r="AB58" s="30">
        <f t="shared" si="69"/>
        <v>0</v>
      </c>
      <c r="AC58" s="28">
        <f>PRODUCTION!AD58+'SUPLIER INWARD'!AD58</f>
        <v>0</v>
      </c>
      <c r="AD58" s="28"/>
      <c r="AE58" s="29">
        <v>0</v>
      </c>
      <c r="AF58" s="30">
        <f t="shared" si="70"/>
        <v>0</v>
      </c>
      <c r="AG58" s="28">
        <f>PRODUCTION!AH58+'SUPLIER INWARD'!AH58</f>
        <v>0</v>
      </c>
      <c r="AH58" s="28"/>
      <c r="AI58" s="29">
        <v>0</v>
      </c>
      <c r="AJ58" s="30">
        <f t="shared" si="71"/>
        <v>0</v>
      </c>
      <c r="AK58" s="28">
        <f>PRODUCTION!AL58+'SUPLIER INWARD'!AL58</f>
        <v>0</v>
      </c>
      <c r="AL58" s="28"/>
      <c r="AM58" s="29">
        <v>0</v>
      </c>
      <c r="AN58" s="30">
        <f t="shared" si="72"/>
        <v>0</v>
      </c>
      <c r="AO58" s="28">
        <f>PRODUCTION!AP58+'SUPLIER INWARD'!AP58</f>
        <v>0</v>
      </c>
      <c r="AP58" s="28"/>
      <c r="AQ58" s="29">
        <v>0</v>
      </c>
      <c r="AR58" s="30">
        <f t="shared" si="73"/>
        <v>0</v>
      </c>
      <c r="AS58" s="28">
        <f>PRODUCTION!AT58+'SUPLIER INWARD'!AT58</f>
        <v>0</v>
      </c>
      <c r="AT58" s="28"/>
      <c r="AU58" s="29">
        <v>0</v>
      </c>
      <c r="AV58" s="30">
        <f t="shared" si="74"/>
        <v>0</v>
      </c>
      <c r="AW58" s="28">
        <f>PRODUCTION!AX58+'SUPLIER INWARD'!AX58</f>
        <v>0</v>
      </c>
      <c r="AX58" s="28"/>
      <c r="AY58" s="29"/>
      <c r="AZ58" s="30">
        <f t="shared" si="75"/>
        <v>0</v>
      </c>
      <c r="BA58" s="28">
        <f>PRODUCTION!BB58+'SUPLIER INWARD'!BB58</f>
        <v>0</v>
      </c>
      <c r="BB58" s="28"/>
      <c r="BC58" s="29">
        <v>0</v>
      </c>
      <c r="BD58" s="30">
        <f t="shared" si="76"/>
        <v>0</v>
      </c>
      <c r="BE58" s="28">
        <f>PRODUCTION!BF58+'SUPLIER INWARD'!BF58</f>
        <v>0</v>
      </c>
      <c r="BF58" s="28"/>
      <c r="BG58" s="29">
        <v>0</v>
      </c>
      <c r="BH58" s="30">
        <f t="shared" si="77"/>
        <v>0</v>
      </c>
      <c r="BI58" s="28">
        <f>PRODUCTION!BJ58+'SUPLIER INWARD'!BJ58</f>
        <v>0</v>
      </c>
      <c r="BJ58" s="28"/>
      <c r="BK58" s="29">
        <v>0</v>
      </c>
      <c r="BL58" s="30">
        <f t="shared" si="78"/>
        <v>0</v>
      </c>
      <c r="BM58" s="28">
        <f>PRODUCTION!BN58+'SUPLIER INWARD'!BN58</f>
        <v>0</v>
      </c>
      <c r="BN58" s="28"/>
      <c r="BO58" s="29">
        <v>0</v>
      </c>
      <c r="BP58" s="30">
        <f t="shared" si="79"/>
        <v>0</v>
      </c>
      <c r="BQ58" s="28">
        <f>PRODUCTION!BR58+'SUPLIER INWARD'!BR58</f>
        <v>0</v>
      </c>
      <c r="BR58" s="28"/>
      <c r="BS58" s="29">
        <v>0</v>
      </c>
      <c r="BT58" s="30">
        <f t="shared" si="80"/>
        <v>0</v>
      </c>
      <c r="BU58" s="28">
        <f>PRODUCTION!BV58+'SUPLIER INWARD'!BV58</f>
        <v>0</v>
      </c>
      <c r="BV58" s="28"/>
      <c r="BW58" s="29">
        <v>0</v>
      </c>
      <c r="BX58" s="30">
        <f t="shared" si="47"/>
        <v>0</v>
      </c>
      <c r="BY58" s="28">
        <f>PRODUCTION!BZ58+'SUPLIER INWARD'!BZ58</f>
        <v>0</v>
      </c>
      <c r="BZ58" s="28"/>
      <c r="CA58" s="29">
        <v>0</v>
      </c>
      <c r="CB58" s="30">
        <f t="shared" si="81"/>
        <v>0</v>
      </c>
      <c r="CC58" s="28">
        <f>PRODUCTION!CD58+'SUPLIER INWARD'!CD58</f>
        <v>0</v>
      </c>
      <c r="CD58" s="28"/>
      <c r="CE58" s="29">
        <v>0</v>
      </c>
      <c r="CF58" s="30">
        <f t="shared" si="82"/>
        <v>0</v>
      </c>
      <c r="CG58" s="28">
        <f>PRODUCTION!CH58+'SUPLIER INWARD'!CH58</f>
        <v>0</v>
      </c>
      <c r="CH58" s="28"/>
      <c r="CI58" s="29">
        <v>0</v>
      </c>
      <c r="CJ58" s="30">
        <f t="shared" si="50"/>
        <v>0</v>
      </c>
      <c r="CK58" s="28">
        <f>PRODUCTION!CL58+'SUPLIER INWARD'!CL58</f>
        <v>0</v>
      </c>
      <c r="CL58" s="151"/>
      <c r="CM58" s="152">
        <v>0</v>
      </c>
      <c r="CN58" s="30">
        <f t="shared" si="51"/>
        <v>0</v>
      </c>
      <c r="CO58" s="28">
        <f>PRODUCTION!CP58+'SUPLIER INWARD'!CP58</f>
        <v>0</v>
      </c>
      <c r="CP58" s="151"/>
      <c r="CQ58" s="29">
        <v>0</v>
      </c>
      <c r="CR58" s="30">
        <f t="shared" si="52"/>
        <v>0</v>
      </c>
      <c r="CS58" s="28">
        <f>PRODUCTION!CT58+'SUPLIER INWARD'!CT58</f>
        <v>0</v>
      </c>
      <c r="CT58" s="28"/>
      <c r="CU58" s="29">
        <v>0</v>
      </c>
      <c r="CV58" s="30">
        <f t="shared" si="53"/>
        <v>0</v>
      </c>
      <c r="CW58" s="28">
        <f>PRODUCTION!CX58+'SUPLIER INWARD'!CX58</f>
        <v>0</v>
      </c>
      <c r="CX58" s="28"/>
      <c r="CY58" s="29">
        <v>0</v>
      </c>
      <c r="CZ58" s="30">
        <f t="shared" si="83"/>
        <v>0</v>
      </c>
      <c r="DA58" s="28">
        <f>PRODUCTION!DB58+'SUPLIER INWARD'!DB58</f>
        <v>0</v>
      </c>
      <c r="DB58" s="28"/>
      <c r="DC58" s="29"/>
      <c r="DD58" s="30">
        <f t="shared" si="84"/>
        <v>0</v>
      </c>
      <c r="DE58" s="28">
        <f>PRODUCTION!DF58+'SUPLIER INWARD'!DF58</f>
        <v>0</v>
      </c>
      <c r="DF58" s="28"/>
      <c r="DG58" s="29">
        <v>0</v>
      </c>
      <c r="DH58" s="30">
        <f t="shared" si="85"/>
        <v>0</v>
      </c>
      <c r="DI58" s="28">
        <f>PRODUCTION!DJ58+'SUPLIER INWARD'!DJ58</f>
        <v>0</v>
      </c>
      <c r="DJ58" s="28"/>
      <c r="DK58" s="29">
        <v>0</v>
      </c>
      <c r="DL58" s="30">
        <f t="shared" si="86"/>
        <v>0</v>
      </c>
      <c r="DM58" s="28">
        <f>PRODUCTION!DN58+'SUPLIER INWARD'!DN58</f>
        <v>0</v>
      </c>
      <c r="DN58" s="28"/>
      <c r="DO58" s="29"/>
      <c r="DP58" s="30">
        <f t="shared" si="87"/>
        <v>0</v>
      </c>
      <c r="DQ58" s="28">
        <f>PRODUCTION!DR58+'SUPLIER INWARD'!DR58</f>
        <v>0</v>
      </c>
      <c r="DR58" s="28"/>
      <c r="DS58" s="29"/>
      <c r="DT58" s="30">
        <f t="shared" si="88"/>
        <v>0</v>
      </c>
      <c r="DU58" s="28">
        <f>PRODUCTION!DV58+'SUPLIER INWARD'!DV58</f>
        <v>0</v>
      </c>
      <c r="DV58" s="28"/>
      <c r="DW58" s="29"/>
      <c r="DX58" s="30">
        <f t="shared" si="89"/>
        <v>0</v>
      </c>
      <c r="DY58" s="31">
        <f t="shared" si="90"/>
        <v>0</v>
      </c>
      <c r="DZ58" s="31">
        <f t="shared" si="91"/>
        <v>0</v>
      </c>
      <c r="EA58" s="4">
        <f t="shared" si="92"/>
        <v>0</v>
      </c>
      <c r="EB58" s="9">
        <f>D58*'MASTER SHEET'!D58</f>
        <v>0</v>
      </c>
      <c r="EC58" s="9">
        <f>H58*'MASTER SHEET'!D58</f>
        <v>0</v>
      </c>
      <c r="ED58" s="9">
        <f>L58*'MASTER SHEET'!D58</f>
        <v>0</v>
      </c>
      <c r="EE58" s="9">
        <f>P58*'MASTER SHEET'!D58</f>
        <v>0</v>
      </c>
      <c r="EF58" s="9">
        <f>T58*'MASTER SHEET'!D58</f>
        <v>0</v>
      </c>
      <c r="EG58" s="9">
        <f>X58*'MASTER SHEET'!D58</f>
        <v>0</v>
      </c>
      <c r="EH58" s="9">
        <f>AB58*'MASTER SHEET'!D58</f>
        <v>0</v>
      </c>
      <c r="EI58" s="9">
        <f>AF58*'MASTER SHEET'!D58</f>
        <v>0</v>
      </c>
      <c r="EJ58" s="9">
        <f>AJ58*'MASTER SHEET'!D58</f>
        <v>0</v>
      </c>
      <c r="EK58" s="9">
        <f>AN58*'MASTER SHEET'!D58</f>
        <v>0</v>
      </c>
      <c r="EL58" s="9">
        <f>AR58*'MASTER SHEET'!D58</f>
        <v>0</v>
      </c>
      <c r="EM58" s="9">
        <f>AV58*'MASTER SHEET'!D58</f>
        <v>0</v>
      </c>
      <c r="EN58" s="9">
        <f>AZ58*'MASTER SHEET'!D58</f>
        <v>0</v>
      </c>
      <c r="EO58" s="9">
        <f>BD58*'MASTER SHEET'!D58</f>
        <v>0</v>
      </c>
      <c r="EP58" s="9">
        <f>$BH58*'MASTER SHEET'!$D58</f>
        <v>0</v>
      </c>
      <c r="EQ58" s="9">
        <f>BL58*'MASTER SHEET'!D58</f>
        <v>0</v>
      </c>
      <c r="ER58" s="9">
        <f>BP58*'MASTER SHEET'!D58</f>
        <v>0</v>
      </c>
      <c r="ES58" s="9">
        <f>BT58*'MASTER SHEET'!D58</f>
        <v>0</v>
      </c>
      <c r="ET58" s="9">
        <f>BX58*'MASTER SHEET'!D58</f>
        <v>0</v>
      </c>
      <c r="EU58" s="9">
        <f>CB58*'MASTER SHEET'!D58</f>
        <v>0</v>
      </c>
      <c r="EV58" s="9">
        <f>CF58*'MASTER SHEET'!D58</f>
        <v>0</v>
      </c>
      <c r="EW58" s="9">
        <f>CJ58*'MASTER SHEET'!D58</f>
        <v>0</v>
      </c>
      <c r="EX58" s="9">
        <f>CN58*'MASTER SHEET'!D58</f>
        <v>0</v>
      </c>
      <c r="EY58" s="9">
        <f>CR58*'MASTER SHEET'!D58</f>
        <v>0</v>
      </c>
      <c r="EZ58" s="9">
        <f>$CV58*'MASTER SHEET'!D58</f>
        <v>0</v>
      </c>
      <c r="FA58" s="9">
        <f>CZ58*'MASTER SHEET'!D58</f>
        <v>0</v>
      </c>
      <c r="FB58" s="9">
        <f>DD58*'MASTER SHEET'!D58</f>
        <v>0</v>
      </c>
      <c r="FC58" s="9">
        <f>DH58*'MASTER SHEET'!D58</f>
        <v>0</v>
      </c>
      <c r="FD58" s="9">
        <f>DL58*'MASTER SHEET'!D58</f>
        <v>0</v>
      </c>
      <c r="FE58" s="9">
        <f>DP58*'MASTER SHEET'!D58</f>
        <v>0</v>
      </c>
      <c r="FF58" s="9">
        <f>DT58*'MASTER SHEET'!D58</f>
        <v>0</v>
      </c>
      <c r="FG58" s="9">
        <f>+DX58*'MASTER SHEET'!D58</f>
        <v>0</v>
      </c>
    </row>
    <row r="59" spans="1:163" s="10" customFormat="1" ht="20.25" customHeight="1" x14ac:dyDescent="0.25">
      <c r="A59" s="25">
        <f>'MASTER SHEET'!A59</f>
        <v>57</v>
      </c>
      <c r="B59" s="26" t="str">
        <f>'MASTER SHEET'!B59</f>
        <v>FRAME COVER</v>
      </c>
      <c r="C59" s="78">
        <f>'MASTER SHEET'!C59</f>
        <v>5031102</v>
      </c>
      <c r="D59" s="159">
        <v>0</v>
      </c>
      <c r="E59" s="28">
        <f>PRODUCTION!F59+'SUPLIER INWARD'!F59</f>
        <v>0</v>
      </c>
      <c r="F59" s="28"/>
      <c r="G59" s="29">
        <v>0</v>
      </c>
      <c r="H59" s="30">
        <f t="shared" si="64"/>
        <v>0</v>
      </c>
      <c r="I59" s="28">
        <f>PRODUCTION!J59+'SUPLIER INWARD'!J59</f>
        <v>0</v>
      </c>
      <c r="J59" s="28"/>
      <c r="K59" s="29">
        <v>0</v>
      </c>
      <c r="L59" s="30">
        <f t="shared" si="65"/>
        <v>0</v>
      </c>
      <c r="M59" s="28">
        <f>PRODUCTION!N59+'SUPLIER INWARD'!N59</f>
        <v>0</v>
      </c>
      <c r="N59" s="28"/>
      <c r="O59" s="29"/>
      <c r="P59" s="30">
        <f t="shared" si="66"/>
        <v>0</v>
      </c>
      <c r="Q59" s="28">
        <f>PRODUCTION!R59+'SUPLIER INWARD'!R59</f>
        <v>0</v>
      </c>
      <c r="R59" s="28"/>
      <c r="S59" s="29">
        <v>0</v>
      </c>
      <c r="T59" s="30">
        <f t="shared" si="67"/>
        <v>0</v>
      </c>
      <c r="U59" s="28">
        <f>PRODUCTION!V59+'SUPLIER INWARD'!V59</f>
        <v>0</v>
      </c>
      <c r="V59" s="28"/>
      <c r="W59" s="29">
        <v>0</v>
      </c>
      <c r="X59" s="30">
        <f t="shared" si="68"/>
        <v>0</v>
      </c>
      <c r="Y59" s="28">
        <f>PRODUCTION!Z59+'SUPLIER INWARD'!Z59</f>
        <v>0</v>
      </c>
      <c r="Z59" s="28"/>
      <c r="AA59" s="29">
        <v>0</v>
      </c>
      <c r="AB59" s="30">
        <f t="shared" si="69"/>
        <v>0</v>
      </c>
      <c r="AC59" s="28">
        <f>PRODUCTION!AD59+'SUPLIER INWARD'!AD59</f>
        <v>0</v>
      </c>
      <c r="AD59" s="28"/>
      <c r="AE59" s="29">
        <v>0</v>
      </c>
      <c r="AF59" s="30">
        <f t="shared" si="70"/>
        <v>0</v>
      </c>
      <c r="AG59" s="28">
        <f>PRODUCTION!AH59+'SUPLIER INWARD'!AH59</f>
        <v>0</v>
      </c>
      <c r="AH59" s="28"/>
      <c r="AI59" s="29">
        <v>0</v>
      </c>
      <c r="AJ59" s="30">
        <f t="shared" si="71"/>
        <v>0</v>
      </c>
      <c r="AK59" s="28">
        <f>PRODUCTION!AL59+'SUPLIER INWARD'!AL59</f>
        <v>0</v>
      </c>
      <c r="AL59" s="28"/>
      <c r="AM59" s="29">
        <v>0</v>
      </c>
      <c r="AN59" s="30">
        <f t="shared" si="72"/>
        <v>0</v>
      </c>
      <c r="AO59" s="28">
        <f>PRODUCTION!AP59+'SUPLIER INWARD'!AP59</f>
        <v>0</v>
      </c>
      <c r="AP59" s="28"/>
      <c r="AQ59" s="29">
        <v>0</v>
      </c>
      <c r="AR59" s="30">
        <f t="shared" si="73"/>
        <v>0</v>
      </c>
      <c r="AS59" s="28">
        <f>PRODUCTION!AT59+'SUPLIER INWARD'!AT59</f>
        <v>0</v>
      </c>
      <c r="AT59" s="28"/>
      <c r="AU59" s="29">
        <v>0</v>
      </c>
      <c r="AV59" s="30">
        <f t="shared" si="74"/>
        <v>0</v>
      </c>
      <c r="AW59" s="28">
        <f>PRODUCTION!AX59+'SUPLIER INWARD'!AX59</f>
        <v>0</v>
      </c>
      <c r="AX59" s="28"/>
      <c r="AY59" s="29"/>
      <c r="AZ59" s="30">
        <f t="shared" si="75"/>
        <v>0</v>
      </c>
      <c r="BA59" s="28">
        <f>PRODUCTION!BB59+'SUPLIER INWARD'!BB59</f>
        <v>0</v>
      </c>
      <c r="BB59" s="28"/>
      <c r="BC59" s="29">
        <v>0</v>
      </c>
      <c r="BD59" s="30">
        <f t="shared" si="76"/>
        <v>0</v>
      </c>
      <c r="BE59" s="28">
        <f>PRODUCTION!BF59+'SUPLIER INWARD'!BF59</f>
        <v>0</v>
      </c>
      <c r="BF59" s="28"/>
      <c r="BG59" s="29">
        <v>0</v>
      </c>
      <c r="BH59" s="30">
        <f t="shared" si="77"/>
        <v>0</v>
      </c>
      <c r="BI59" s="28">
        <f>PRODUCTION!BJ59+'SUPLIER INWARD'!BJ59</f>
        <v>0</v>
      </c>
      <c r="BJ59" s="28"/>
      <c r="BK59" s="29">
        <v>0</v>
      </c>
      <c r="BL59" s="30">
        <f t="shared" si="78"/>
        <v>0</v>
      </c>
      <c r="BM59" s="28">
        <f>PRODUCTION!BN59+'SUPLIER INWARD'!BN59</f>
        <v>0</v>
      </c>
      <c r="BN59" s="28"/>
      <c r="BO59" s="29">
        <v>0</v>
      </c>
      <c r="BP59" s="30">
        <f t="shared" si="79"/>
        <v>0</v>
      </c>
      <c r="BQ59" s="28">
        <f>PRODUCTION!BR59+'SUPLIER INWARD'!BR59</f>
        <v>0</v>
      </c>
      <c r="BR59" s="28"/>
      <c r="BS59" s="29">
        <v>0</v>
      </c>
      <c r="BT59" s="30">
        <f t="shared" si="80"/>
        <v>0</v>
      </c>
      <c r="BU59" s="28">
        <f>PRODUCTION!BV59+'SUPLIER INWARD'!BV59</f>
        <v>0</v>
      </c>
      <c r="BV59" s="28"/>
      <c r="BW59" s="29">
        <v>0</v>
      </c>
      <c r="BX59" s="30">
        <f t="shared" si="47"/>
        <v>0</v>
      </c>
      <c r="BY59" s="28">
        <f>PRODUCTION!BZ59+'SUPLIER INWARD'!BZ59</f>
        <v>0</v>
      </c>
      <c r="BZ59" s="28"/>
      <c r="CA59" s="29">
        <v>0</v>
      </c>
      <c r="CB59" s="30">
        <f t="shared" si="81"/>
        <v>0</v>
      </c>
      <c r="CC59" s="28">
        <f>PRODUCTION!CD59+'SUPLIER INWARD'!CD59</f>
        <v>0</v>
      </c>
      <c r="CD59" s="28"/>
      <c r="CE59" s="29">
        <v>0</v>
      </c>
      <c r="CF59" s="30">
        <f t="shared" si="82"/>
        <v>0</v>
      </c>
      <c r="CG59" s="28">
        <f>PRODUCTION!CH59+'SUPLIER INWARD'!CH59</f>
        <v>0</v>
      </c>
      <c r="CH59" s="28"/>
      <c r="CI59" s="29">
        <v>0</v>
      </c>
      <c r="CJ59" s="30">
        <f t="shared" si="50"/>
        <v>0</v>
      </c>
      <c r="CK59" s="28">
        <f>PRODUCTION!CL59+'SUPLIER INWARD'!CL59</f>
        <v>0</v>
      </c>
      <c r="CL59" s="151"/>
      <c r="CM59" s="152">
        <v>0</v>
      </c>
      <c r="CN59" s="30">
        <f t="shared" si="51"/>
        <v>0</v>
      </c>
      <c r="CO59" s="28">
        <f>PRODUCTION!CP59+'SUPLIER INWARD'!CP59</f>
        <v>0</v>
      </c>
      <c r="CP59" s="151"/>
      <c r="CQ59" s="29">
        <v>0</v>
      </c>
      <c r="CR59" s="30">
        <f t="shared" si="52"/>
        <v>0</v>
      </c>
      <c r="CS59" s="28">
        <f>PRODUCTION!CT59+'SUPLIER INWARD'!CT59</f>
        <v>0</v>
      </c>
      <c r="CT59" s="28"/>
      <c r="CU59" s="29">
        <v>0</v>
      </c>
      <c r="CV59" s="30">
        <f t="shared" si="53"/>
        <v>0</v>
      </c>
      <c r="CW59" s="28">
        <f>PRODUCTION!CX59+'SUPLIER INWARD'!CX59</f>
        <v>0</v>
      </c>
      <c r="CX59" s="28"/>
      <c r="CY59" s="29">
        <v>0</v>
      </c>
      <c r="CZ59" s="30">
        <f t="shared" si="83"/>
        <v>0</v>
      </c>
      <c r="DA59" s="28">
        <f>PRODUCTION!DB59+'SUPLIER INWARD'!DB59</f>
        <v>0</v>
      </c>
      <c r="DB59" s="28"/>
      <c r="DC59" s="29"/>
      <c r="DD59" s="30">
        <f t="shared" si="84"/>
        <v>0</v>
      </c>
      <c r="DE59" s="28">
        <f>PRODUCTION!DF59+'SUPLIER INWARD'!DF59</f>
        <v>0</v>
      </c>
      <c r="DF59" s="28"/>
      <c r="DG59" s="29">
        <v>0</v>
      </c>
      <c r="DH59" s="30">
        <f t="shared" si="85"/>
        <v>0</v>
      </c>
      <c r="DI59" s="28">
        <f>PRODUCTION!DJ59+'SUPLIER INWARD'!DJ59</f>
        <v>0</v>
      </c>
      <c r="DJ59" s="28"/>
      <c r="DK59" s="29">
        <v>0</v>
      </c>
      <c r="DL59" s="30">
        <f t="shared" si="86"/>
        <v>0</v>
      </c>
      <c r="DM59" s="28">
        <f>PRODUCTION!DN59+'SUPLIER INWARD'!DN59</f>
        <v>0</v>
      </c>
      <c r="DN59" s="28"/>
      <c r="DO59" s="29"/>
      <c r="DP59" s="30">
        <f t="shared" si="87"/>
        <v>0</v>
      </c>
      <c r="DQ59" s="28">
        <f>PRODUCTION!DR59+'SUPLIER INWARD'!DR59</f>
        <v>0</v>
      </c>
      <c r="DR59" s="28"/>
      <c r="DS59" s="29"/>
      <c r="DT59" s="30">
        <f t="shared" si="88"/>
        <v>0</v>
      </c>
      <c r="DU59" s="28">
        <f>PRODUCTION!DV59+'SUPLIER INWARD'!DV59</f>
        <v>0</v>
      </c>
      <c r="DV59" s="28"/>
      <c r="DW59" s="29"/>
      <c r="DX59" s="30">
        <f t="shared" si="89"/>
        <v>0</v>
      </c>
      <c r="DY59" s="31">
        <f t="shared" si="90"/>
        <v>0</v>
      </c>
      <c r="DZ59" s="31">
        <f t="shared" si="91"/>
        <v>0</v>
      </c>
      <c r="EA59" s="4">
        <f t="shared" si="92"/>
        <v>0</v>
      </c>
      <c r="EB59" s="9">
        <f>D59*'MASTER SHEET'!D59</f>
        <v>0</v>
      </c>
      <c r="EC59" s="9">
        <f>H59*'MASTER SHEET'!D59</f>
        <v>0</v>
      </c>
      <c r="ED59" s="9">
        <f>L59*'MASTER SHEET'!D59</f>
        <v>0</v>
      </c>
      <c r="EE59" s="9">
        <f>P59*'MASTER SHEET'!D59</f>
        <v>0</v>
      </c>
      <c r="EF59" s="9">
        <f>T59*'MASTER SHEET'!D59</f>
        <v>0</v>
      </c>
      <c r="EG59" s="9">
        <f>X59*'MASTER SHEET'!D59</f>
        <v>0</v>
      </c>
      <c r="EH59" s="9">
        <f>AB59*'MASTER SHEET'!D59</f>
        <v>0</v>
      </c>
      <c r="EI59" s="9">
        <f>AF59*'MASTER SHEET'!D59</f>
        <v>0</v>
      </c>
      <c r="EJ59" s="9">
        <f>AJ59*'MASTER SHEET'!D59</f>
        <v>0</v>
      </c>
      <c r="EK59" s="9">
        <f>AN59*'MASTER SHEET'!D59</f>
        <v>0</v>
      </c>
      <c r="EL59" s="9">
        <f>AR59*'MASTER SHEET'!D59</f>
        <v>0</v>
      </c>
      <c r="EM59" s="9">
        <f>AV59*'MASTER SHEET'!D59</f>
        <v>0</v>
      </c>
      <c r="EN59" s="9">
        <f>AZ59*'MASTER SHEET'!D59</f>
        <v>0</v>
      </c>
      <c r="EO59" s="9">
        <f>BD59*'MASTER SHEET'!D59</f>
        <v>0</v>
      </c>
      <c r="EP59" s="9">
        <f>$BH59*'MASTER SHEET'!$D59</f>
        <v>0</v>
      </c>
      <c r="EQ59" s="9">
        <f>BL59*'MASTER SHEET'!D59</f>
        <v>0</v>
      </c>
      <c r="ER59" s="9">
        <f>BP59*'MASTER SHEET'!D59</f>
        <v>0</v>
      </c>
      <c r="ES59" s="9">
        <f>BT59*'MASTER SHEET'!D59</f>
        <v>0</v>
      </c>
      <c r="ET59" s="9">
        <f>BX59*'MASTER SHEET'!D59</f>
        <v>0</v>
      </c>
      <c r="EU59" s="9">
        <f>CB59*'MASTER SHEET'!D59</f>
        <v>0</v>
      </c>
      <c r="EV59" s="9">
        <f>CF59*'MASTER SHEET'!D59</f>
        <v>0</v>
      </c>
      <c r="EW59" s="9">
        <f>CJ59*'MASTER SHEET'!D59</f>
        <v>0</v>
      </c>
      <c r="EX59" s="9">
        <f>CN59*'MASTER SHEET'!D59</f>
        <v>0</v>
      </c>
      <c r="EY59" s="9">
        <f>CR59*'MASTER SHEET'!D59</f>
        <v>0</v>
      </c>
      <c r="EZ59" s="9">
        <f>$CV59*'MASTER SHEET'!D59</f>
        <v>0</v>
      </c>
      <c r="FA59" s="9">
        <f>CZ59*'MASTER SHEET'!D59</f>
        <v>0</v>
      </c>
      <c r="FB59" s="9">
        <f>DD59*'MASTER SHEET'!D59</f>
        <v>0</v>
      </c>
      <c r="FC59" s="9">
        <f>DH59*'MASTER SHEET'!D59</f>
        <v>0</v>
      </c>
      <c r="FD59" s="9">
        <f>DL59*'MASTER SHEET'!D59</f>
        <v>0</v>
      </c>
      <c r="FE59" s="9">
        <f>DP59*'MASTER SHEET'!D59</f>
        <v>0</v>
      </c>
      <c r="FF59" s="9">
        <f>DT59*'MASTER SHEET'!D59</f>
        <v>0</v>
      </c>
      <c r="FG59" s="9">
        <f>+DX59*'MASTER SHEET'!D59</f>
        <v>0</v>
      </c>
    </row>
    <row r="60" spans="1:163" ht="20.25" customHeight="1" x14ac:dyDescent="0.25">
      <c r="A60" s="25">
        <f>'MASTER SHEET'!A60</f>
        <v>58</v>
      </c>
      <c r="B60" s="26" t="str">
        <f>'MASTER SHEET'!B60</f>
        <v>BASE, HOUSING CRANKCASE VENTILATION</v>
      </c>
      <c r="C60" s="78">
        <f>'MASTER SHEET'!C60</f>
        <v>5032453</v>
      </c>
      <c r="D60" s="159">
        <v>0</v>
      </c>
      <c r="E60" s="28">
        <f>PRODUCTION!F60+'SUPLIER INWARD'!F60</f>
        <v>0</v>
      </c>
      <c r="F60" s="28"/>
      <c r="G60" s="29">
        <v>0</v>
      </c>
      <c r="H60" s="30">
        <f t="shared" si="64"/>
        <v>0</v>
      </c>
      <c r="I60" s="28">
        <f>PRODUCTION!J60+'SUPLIER INWARD'!J60</f>
        <v>0</v>
      </c>
      <c r="J60" s="28"/>
      <c r="K60" s="29">
        <v>0</v>
      </c>
      <c r="L60" s="30">
        <f t="shared" si="65"/>
        <v>0</v>
      </c>
      <c r="M60" s="28">
        <f>PRODUCTION!N60+'SUPLIER INWARD'!N60</f>
        <v>0</v>
      </c>
      <c r="N60" s="28"/>
      <c r="O60" s="29"/>
      <c r="P60" s="30">
        <f t="shared" si="66"/>
        <v>0</v>
      </c>
      <c r="Q60" s="28">
        <f>PRODUCTION!R60+'SUPLIER INWARD'!R60</f>
        <v>0</v>
      </c>
      <c r="R60" s="28"/>
      <c r="S60" s="29">
        <v>0</v>
      </c>
      <c r="T60" s="30">
        <f t="shared" si="67"/>
        <v>0</v>
      </c>
      <c r="U60" s="28">
        <f>PRODUCTION!V60+'SUPLIER INWARD'!V60</f>
        <v>0</v>
      </c>
      <c r="V60" s="28"/>
      <c r="W60" s="29">
        <v>0</v>
      </c>
      <c r="X60" s="30">
        <f t="shared" si="68"/>
        <v>0</v>
      </c>
      <c r="Y60" s="28">
        <f>PRODUCTION!Z60+'SUPLIER INWARD'!Z60</f>
        <v>0</v>
      </c>
      <c r="Z60" s="28"/>
      <c r="AA60" s="29">
        <v>0</v>
      </c>
      <c r="AB60" s="30">
        <f t="shared" si="69"/>
        <v>0</v>
      </c>
      <c r="AC60" s="28">
        <f>PRODUCTION!AD60+'SUPLIER INWARD'!AD60</f>
        <v>0</v>
      </c>
      <c r="AD60" s="28"/>
      <c r="AE60" s="29">
        <v>0</v>
      </c>
      <c r="AF60" s="30">
        <f t="shared" si="70"/>
        <v>0</v>
      </c>
      <c r="AG60" s="28">
        <f>PRODUCTION!AH60+'SUPLIER INWARD'!AH60</f>
        <v>0</v>
      </c>
      <c r="AH60" s="28"/>
      <c r="AI60" s="29">
        <v>0</v>
      </c>
      <c r="AJ60" s="30">
        <f t="shared" si="71"/>
        <v>0</v>
      </c>
      <c r="AK60" s="28">
        <f>PRODUCTION!AL60+'SUPLIER INWARD'!AL60</f>
        <v>0</v>
      </c>
      <c r="AL60" s="28"/>
      <c r="AM60" s="29">
        <v>0</v>
      </c>
      <c r="AN60" s="30">
        <f t="shared" si="72"/>
        <v>0</v>
      </c>
      <c r="AO60" s="28">
        <f>PRODUCTION!AP60+'SUPLIER INWARD'!AP60</f>
        <v>0</v>
      </c>
      <c r="AP60" s="28"/>
      <c r="AQ60" s="29">
        <v>0</v>
      </c>
      <c r="AR60" s="30">
        <f t="shared" si="73"/>
        <v>0</v>
      </c>
      <c r="AS60" s="28">
        <f>PRODUCTION!AT60+'SUPLIER INWARD'!AT60</f>
        <v>0</v>
      </c>
      <c r="AT60" s="28"/>
      <c r="AU60" s="29">
        <v>0</v>
      </c>
      <c r="AV60" s="30">
        <f t="shared" si="74"/>
        <v>0</v>
      </c>
      <c r="AW60" s="28">
        <f>PRODUCTION!AX60+'SUPLIER INWARD'!AX60</f>
        <v>0</v>
      </c>
      <c r="AX60" s="28"/>
      <c r="AY60" s="29"/>
      <c r="AZ60" s="30">
        <f t="shared" si="75"/>
        <v>0</v>
      </c>
      <c r="BA60" s="28">
        <f>PRODUCTION!BB60+'SUPLIER INWARD'!BB60</f>
        <v>0</v>
      </c>
      <c r="BB60" s="28"/>
      <c r="BC60" s="29">
        <v>0</v>
      </c>
      <c r="BD60" s="30">
        <f t="shared" si="76"/>
        <v>0</v>
      </c>
      <c r="BE60" s="28">
        <f>PRODUCTION!BF60+'SUPLIER INWARD'!BF60</f>
        <v>0</v>
      </c>
      <c r="BF60" s="28"/>
      <c r="BG60" s="29">
        <v>0</v>
      </c>
      <c r="BH60" s="30">
        <f t="shared" si="77"/>
        <v>0</v>
      </c>
      <c r="BI60" s="28">
        <f>PRODUCTION!BJ60+'SUPLIER INWARD'!BJ60</f>
        <v>0</v>
      </c>
      <c r="BJ60" s="28"/>
      <c r="BK60" s="29">
        <v>0</v>
      </c>
      <c r="BL60" s="30">
        <f t="shared" si="78"/>
        <v>0</v>
      </c>
      <c r="BM60" s="28">
        <f>PRODUCTION!BN60+'SUPLIER INWARD'!BN60</f>
        <v>0</v>
      </c>
      <c r="BN60" s="28"/>
      <c r="BO60" s="29">
        <v>0</v>
      </c>
      <c r="BP60" s="30">
        <f t="shared" si="79"/>
        <v>0</v>
      </c>
      <c r="BQ60" s="28">
        <f>PRODUCTION!BR60+'SUPLIER INWARD'!BR60</f>
        <v>0</v>
      </c>
      <c r="BR60" s="28"/>
      <c r="BS60" s="29">
        <v>0</v>
      </c>
      <c r="BT60" s="30">
        <f t="shared" si="80"/>
        <v>0</v>
      </c>
      <c r="BU60" s="28">
        <f>PRODUCTION!BV60+'SUPLIER INWARD'!BV60</f>
        <v>0</v>
      </c>
      <c r="BV60" s="28"/>
      <c r="BW60" s="29">
        <v>0</v>
      </c>
      <c r="BX60" s="30">
        <f t="shared" si="47"/>
        <v>0</v>
      </c>
      <c r="BY60" s="28">
        <f>PRODUCTION!BZ60+'SUPLIER INWARD'!BZ60</f>
        <v>0</v>
      </c>
      <c r="BZ60" s="28"/>
      <c r="CA60" s="29">
        <v>0</v>
      </c>
      <c r="CB60" s="30">
        <f t="shared" si="81"/>
        <v>0</v>
      </c>
      <c r="CC60" s="28">
        <f>PRODUCTION!CD60+'SUPLIER INWARD'!CD60</f>
        <v>0</v>
      </c>
      <c r="CD60" s="28"/>
      <c r="CE60" s="29">
        <v>0</v>
      </c>
      <c r="CF60" s="30">
        <f t="shared" si="82"/>
        <v>0</v>
      </c>
      <c r="CG60" s="28">
        <f>PRODUCTION!CH60+'SUPLIER INWARD'!CH60</f>
        <v>0</v>
      </c>
      <c r="CH60" s="28"/>
      <c r="CI60" s="29">
        <v>0</v>
      </c>
      <c r="CJ60" s="30">
        <f t="shared" si="50"/>
        <v>0</v>
      </c>
      <c r="CK60" s="28">
        <f>PRODUCTION!CL60+'SUPLIER INWARD'!CL60</f>
        <v>0</v>
      </c>
      <c r="CL60" s="151"/>
      <c r="CM60" s="152">
        <v>0</v>
      </c>
      <c r="CN60" s="30">
        <f t="shared" si="51"/>
        <v>0</v>
      </c>
      <c r="CO60" s="28">
        <f>PRODUCTION!CP60+'SUPLIER INWARD'!CP60</f>
        <v>0</v>
      </c>
      <c r="CP60" s="151"/>
      <c r="CQ60" s="29">
        <v>0</v>
      </c>
      <c r="CR60" s="30">
        <f t="shared" si="52"/>
        <v>0</v>
      </c>
      <c r="CS60" s="28">
        <f>PRODUCTION!CT60+'SUPLIER INWARD'!CT60</f>
        <v>0</v>
      </c>
      <c r="CT60" s="28"/>
      <c r="CU60" s="29">
        <v>0</v>
      </c>
      <c r="CV60" s="30">
        <f t="shared" si="53"/>
        <v>0</v>
      </c>
      <c r="CW60" s="28">
        <f>PRODUCTION!CX60+'SUPLIER INWARD'!CX60</f>
        <v>0</v>
      </c>
      <c r="CX60" s="28"/>
      <c r="CY60" s="29">
        <v>0</v>
      </c>
      <c r="CZ60" s="30">
        <f t="shared" si="83"/>
        <v>0</v>
      </c>
      <c r="DA60" s="28">
        <f>PRODUCTION!DB60+'SUPLIER INWARD'!DB60</f>
        <v>0</v>
      </c>
      <c r="DB60" s="28"/>
      <c r="DC60" s="29"/>
      <c r="DD60" s="30">
        <f t="shared" si="84"/>
        <v>0</v>
      </c>
      <c r="DE60" s="28">
        <f>PRODUCTION!DF60+'SUPLIER INWARD'!DF60</f>
        <v>0</v>
      </c>
      <c r="DF60" s="28"/>
      <c r="DG60" s="29">
        <v>0</v>
      </c>
      <c r="DH60" s="30">
        <f t="shared" si="85"/>
        <v>0</v>
      </c>
      <c r="DI60" s="28">
        <f>PRODUCTION!DJ60+'SUPLIER INWARD'!DJ60</f>
        <v>0</v>
      </c>
      <c r="DJ60" s="28"/>
      <c r="DK60" s="29">
        <v>0</v>
      </c>
      <c r="DL60" s="30">
        <f t="shared" si="86"/>
        <v>0</v>
      </c>
      <c r="DM60" s="28">
        <f>PRODUCTION!DN60+'SUPLIER INWARD'!DN60</f>
        <v>0</v>
      </c>
      <c r="DN60" s="28"/>
      <c r="DO60" s="29"/>
      <c r="DP60" s="30">
        <f t="shared" si="87"/>
        <v>0</v>
      </c>
      <c r="DQ60" s="28">
        <f>PRODUCTION!DR60+'SUPLIER INWARD'!DR60</f>
        <v>0</v>
      </c>
      <c r="DR60" s="28"/>
      <c r="DS60" s="29"/>
      <c r="DT60" s="30">
        <f t="shared" si="88"/>
        <v>0</v>
      </c>
      <c r="DU60" s="28">
        <f>PRODUCTION!DV60+'SUPLIER INWARD'!DV60</f>
        <v>0</v>
      </c>
      <c r="DV60" s="28"/>
      <c r="DW60" s="29"/>
      <c r="DX60" s="30">
        <f t="shared" si="89"/>
        <v>0</v>
      </c>
      <c r="DY60" s="31">
        <f t="shared" si="90"/>
        <v>0</v>
      </c>
      <c r="DZ60" s="31">
        <f t="shared" si="91"/>
        <v>0</v>
      </c>
      <c r="EA60" s="4">
        <f t="shared" si="92"/>
        <v>0</v>
      </c>
      <c r="EB60" s="9">
        <f>D60*'MASTER SHEET'!D60</f>
        <v>0</v>
      </c>
      <c r="EC60" s="9">
        <f>H60*'MASTER SHEET'!D60</f>
        <v>0</v>
      </c>
      <c r="ED60" s="9">
        <f>L60*'MASTER SHEET'!D60</f>
        <v>0</v>
      </c>
      <c r="EE60" s="9">
        <f>P60*'MASTER SHEET'!D60</f>
        <v>0</v>
      </c>
      <c r="EF60" s="9">
        <f>T60*'MASTER SHEET'!D60</f>
        <v>0</v>
      </c>
      <c r="EG60" s="9">
        <f>X60*'MASTER SHEET'!D60</f>
        <v>0</v>
      </c>
      <c r="EH60" s="9">
        <f>AB60*'MASTER SHEET'!D60</f>
        <v>0</v>
      </c>
      <c r="EI60" s="9">
        <f>AF60*'MASTER SHEET'!D60</f>
        <v>0</v>
      </c>
      <c r="EJ60" s="9">
        <f>AJ60*'MASTER SHEET'!D60</f>
        <v>0</v>
      </c>
      <c r="EK60" s="9">
        <f>AN60*'MASTER SHEET'!D60</f>
        <v>0</v>
      </c>
      <c r="EL60" s="9">
        <f>AR60*'MASTER SHEET'!D60</f>
        <v>0</v>
      </c>
      <c r="EM60" s="9">
        <f>AV60*'MASTER SHEET'!D60</f>
        <v>0</v>
      </c>
      <c r="EN60" s="9">
        <f>AZ60*'MASTER SHEET'!D60</f>
        <v>0</v>
      </c>
      <c r="EO60" s="9">
        <f>BD60*'MASTER SHEET'!D60</f>
        <v>0</v>
      </c>
      <c r="EP60" s="9">
        <f>$BH60*'MASTER SHEET'!$D60</f>
        <v>0</v>
      </c>
      <c r="EQ60" s="9">
        <f>BL60*'MASTER SHEET'!D60</f>
        <v>0</v>
      </c>
      <c r="ER60" s="9">
        <f>BP60*'MASTER SHEET'!D60</f>
        <v>0</v>
      </c>
      <c r="ES60" s="9">
        <f>BT60*'MASTER SHEET'!D60</f>
        <v>0</v>
      </c>
      <c r="ET60" s="9">
        <f>BX60*'MASTER SHEET'!D60</f>
        <v>0</v>
      </c>
      <c r="EU60" s="9">
        <f>CB60*'MASTER SHEET'!D60</f>
        <v>0</v>
      </c>
      <c r="EV60" s="9">
        <f>CF60*'MASTER SHEET'!D60</f>
        <v>0</v>
      </c>
      <c r="EW60" s="9">
        <f>CJ60*'MASTER SHEET'!D60</f>
        <v>0</v>
      </c>
      <c r="EX60" s="9">
        <f>CN60*'MASTER SHEET'!D60</f>
        <v>0</v>
      </c>
      <c r="EY60" s="9">
        <f>CR60*'MASTER SHEET'!D60</f>
        <v>0</v>
      </c>
      <c r="EZ60" s="9">
        <f>$CV60*'MASTER SHEET'!D60</f>
        <v>0</v>
      </c>
      <c r="FA60" s="9">
        <f>CZ60*'MASTER SHEET'!D60</f>
        <v>0</v>
      </c>
      <c r="FB60" s="9">
        <f>DD60*'MASTER SHEET'!D60</f>
        <v>0</v>
      </c>
      <c r="FC60" s="9">
        <f>DH60*'MASTER SHEET'!D60</f>
        <v>0</v>
      </c>
      <c r="FD60" s="9">
        <f>DL60*'MASTER SHEET'!D60</f>
        <v>0</v>
      </c>
      <c r="FE60" s="9">
        <f>DP60*'MASTER SHEET'!D60</f>
        <v>0</v>
      </c>
      <c r="FF60" s="9">
        <f>DT60*'MASTER SHEET'!D60</f>
        <v>0</v>
      </c>
      <c r="FG60" s="9">
        <f>+DX60*'MASTER SHEET'!D60</f>
        <v>0</v>
      </c>
    </row>
    <row r="61" spans="1:163" ht="20.25" customHeight="1" x14ac:dyDescent="0.25">
      <c r="A61" s="25">
        <f>'MASTER SHEET'!A61</f>
        <v>59</v>
      </c>
      <c r="B61" s="26" t="str">
        <f>'MASTER SHEET'!B61</f>
        <v>BASE HOUSING</v>
      </c>
      <c r="C61" s="78">
        <f>'MASTER SHEET'!C61</f>
        <v>5032512</v>
      </c>
      <c r="D61" s="159">
        <v>489</v>
      </c>
      <c r="E61" s="28">
        <f>PRODUCTION!F61+'SUPLIER INWARD'!F61</f>
        <v>0</v>
      </c>
      <c r="F61" s="28"/>
      <c r="G61" s="29">
        <v>0</v>
      </c>
      <c r="H61" s="30">
        <f t="shared" si="64"/>
        <v>489</v>
      </c>
      <c r="I61" s="28">
        <f>PRODUCTION!J61+'SUPLIER INWARD'!J61</f>
        <v>0</v>
      </c>
      <c r="J61" s="28">
        <v>485</v>
      </c>
      <c r="K61" s="29">
        <v>4</v>
      </c>
      <c r="L61" s="30">
        <f t="shared" si="65"/>
        <v>0</v>
      </c>
      <c r="M61" s="28">
        <f>PRODUCTION!N61+'SUPLIER INWARD'!N61</f>
        <v>0</v>
      </c>
      <c r="N61" s="146"/>
      <c r="O61" s="29"/>
      <c r="P61" s="30">
        <f t="shared" si="66"/>
        <v>0</v>
      </c>
      <c r="Q61" s="28">
        <f>PRODUCTION!R61+'SUPLIER INWARD'!R61</f>
        <v>0</v>
      </c>
      <c r="R61" s="28"/>
      <c r="S61" s="29">
        <v>0</v>
      </c>
      <c r="T61" s="30">
        <f t="shared" si="67"/>
        <v>0</v>
      </c>
      <c r="U61" s="28">
        <f>PRODUCTION!V61+'SUPLIER INWARD'!V61</f>
        <v>0</v>
      </c>
      <c r="V61" s="28"/>
      <c r="W61" s="29">
        <v>0</v>
      </c>
      <c r="X61" s="30">
        <f t="shared" si="68"/>
        <v>0</v>
      </c>
      <c r="Y61" s="28">
        <f>PRODUCTION!Z61+'SUPLIER INWARD'!Z61</f>
        <v>529</v>
      </c>
      <c r="Z61" s="28">
        <v>180</v>
      </c>
      <c r="AA61" s="29">
        <v>0</v>
      </c>
      <c r="AB61" s="30">
        <f t="shared" si="69"/>
        <v>349</v>
      </c>
      <c r="AC61" s="28">
        <f>PRODUCTION!AD61+'SUPLIER INWARD'!AD61</f>
        <v>1110</v>
      </c>
      <c r="AD61" s="28">
        <v>250</v>
      </c>
      <c r="AE61" s="29">
        <v>13</v>
      </c>
      <c r="AF61" s="30">
        <f t="shared" si="70"/>
        <v>1196</v>
      </c>
      <c r="AG61" s="28">
        <f>PRODUCTION!AH61+'SUPLIER INWARD'!AH61</f>
        <v>509</v>
      </c>
      <c r="AH61" s="28">
        <v>550</v>
      </c>
      <c r="AI61" s="29">
        <v>17</v>
      </c>
      <c r="AJ61" s="30">
        <f t="shared" si="71"/>
        <v>1138</v>
      </c>
      <c r="AK61" s="28">
        <f>PRODUCTION!AL61+'SUPLIER INWARD'!AL61</f>
        <v>110</v>
      </c>
      <c r="AL61" s="28">
        <v>480</v>
      </c>
      <c r="AM61" s="29">
        <v>17</v>
      </c>
      <c r="AN61" s="30">
        <f t="shared" si="72"/>
        <v>751</v>
      </c>
      <c r="AO61" s="28">
        <f>PRODUCTION!AP61+'SUPLIER INWARD'!AP61</f>
        <v>0</v>
      </c>
      <c r="AP61" s="28"/>
      <c r="AQ61" s="29">
        <v>0</v>
      </c>
      <c r="AR61" s="30">
        <f t="shared" si="73"/>
        <v>751</v>
      </c>
      <c r="AS61" s="28">
        <f>PRODUCTION!AT61+'SUPLIER INWARD'!AT61</f>
        <v>0</v>
      </c>
      <c r="AT61" s="28"/>
      <c r="AU61" s="29">
        <v>0</v>
      </c>
      <c r="AV61" s="30">
        <f t="shared" si="74"/>
        <v>751</v>
      </c>
      <c r="AW61" s="28">
        <f>PRODUCTION!AX61+'SUPLIER INWARD'!AX61</f>
        <v>0</v>
      </c>
      <c r="AX61" s="28"/>
      <c r="AY61" s="29"/>
      <c r="AZ61" s="30">
        <f t="shared" si="75"/>
        <v>751</v>
      </c>
      <c r="BA61" s="28">
        <f>PRODUCTION!BB61+'SUPLIER INWARD'!BB61</f>
        <v>0</v>
      </c>
      <c r="BB61" s="28">
        <v>320</v>
      </c>
      <c r="BC61" s="29">
        <v>10</v>
      </c>
      <c r="BD61" s="30">
        <f t="shared" si="76"/>
        <v>421</v>
      </c>
      <c r="BE61" s="28">
        <f>PRODUCTION!BF61+'SUPLIER INWARD'!BF61</f>
        <v>0</v>
      </c>
      <c r="BF61" s="28">
        <v>275</v>
      </c>
      <c r="BG61" s="29">
        <v>19</v>
      </c>
      <c r="BH61" s="30">
        <f t="shared" si="77"/>
        <v>127</v>
      </c>
      <c r="BI61" s="28">
        <f>PRODUCTION!BJ61+'SUPLIER INWARD'!BJ61</f>
        <v>81</v>
      </c>
      <c r="BJ61" s="28"/>
      <c r="BK61" s="29">
        <v>0</v>
      </c>
      <c r="BL61" s="30">
        <f t="shared" si="78"/>
        <v>208</v>
      </c>
      <c r="BM61" s="28">
        <f>PRODUCTION!BN61+'SUPLIER INWARD'!BN61</f>
        <v>1113</v>
      </c>
      <c r="BN61" s="28"/>
      <c r="BO61" s="29">
        <v>0</v>
      </c>
      <c r="BP61" s="30">
        <f t="shared" si="79"/>
        <v>1321</v>
      </c>
      <c r="BQ61" s="28">
        <f>PRODUCTION!BR61+'SUPLIER INWARD'!BR61</f>
        <v>86</v>
      </c>
      <c r="BR61" s="28">
        <v>815</v>
      </c>
      <c r="BS61" s="29">
        <v>0</v>
      </c>
      <c r="BT61" s="30">
        <f t="shared" si="80"/>
        <v>592</v>
      </c>
      <c r="BU61" s="28">
        <f>PRODUCTION!BV61+'SUPLIER INWARD'!BV61</f>
        <v>0</v>
      </c>
      <c r="BV61" s="28"/>
      <c r="BW61" s="29">
        <v>0</v>
      </c>
      <c r="BX61" s="30">
        <f t="shared" si="47"/>
        <v>592</v>
      </c>
      <c r="BY61" s="28">
        <f>PRODUCTION!BZ61+'SUPLIER INWARD'!BZ61</f>
        <v>0</v>
      </c>
      <c r="BZ61" s="28"/>
      <c r="CA61" s="29">
        <v>0</v>
      </c>
      <c r="CB61" s="30">
        <f t="shared" si="81"/>
        <v>592</v>
      </c>
      <c r="CC61" s="28">
        <f>PRODUCTION!CD61+'SUPLIER INWARD'!CD61</f>
        <v>0</v>
      </c>
      <c r="CD61" s="28"/>
      <c r="CE61" s="29">
        <v>0</v>
      </c>
      <c r="CF61" s="30">
        <f t="shared" si="82"/>
        <v>592</v>
      </c>
      <c r="CG61" s="28">
        <f>PRODUCTION!CH61+'SUPLIER INWARD'!CH61</f>
        <v>0</v>
      </c>
      <c r="CH61" s="28">
        <v>200</v>
      </c>
      <c r="CI61" s="29">
        <v>6</v>
      </c>
      <c r="CJ61" s="30">
        <f t="shared" si="50"/>
        <v>386</v>
      </c>
      <c r="CK61" s="28">
        <f>PRODUCTION!CL61+'SUPLIER INWARD'!CL61</f>
        <v>0</v>
      </c>
      <c r="CL61" s="153"/>
      <c r="CM61" s="152">
        <v>0</v>
      </c>
      <c r="CN61" s="30">
        <f t="shared" si="51"/>
        <v>386</v>
      </c>
      <c r="CO61" s="28">
        <f>PRODUCTION!CP61+'SUPLIER INWARD'!CP61</f>
        <v>0</v>
      </c>
      <c r="CP61" s="151"/>
      <c r="CQ61" s="29">
        <v>0</v>
      </c>
      <c r="CR61" s="30">
        <f t="shared" si="52"/>
        <v>386</v>
      </c>
      <c r="CS61" s="28">
        <f>PRODUCTION!CT61+'SUPLIER INWARD'!CT61</f>
        <v>0</v>
      </c>
      <c r="CT61" s="28"/>
      <c r="CU61" s="29">
        <v>0</v>
      </c>
      <c r="CV61" s="30">
        <f t="shared" si="53"/>
        <v>386</v>
      </c>
      <c r="CW61" s="28">
        <f>PRODUCTION!CX61+'SUPLIER INWARD'!CX61</f>
        <v>0</v>
      </c>
      <c r="CX61" s="28">
        <v>200</v>
      </c>
      <c r="CY61" s="29">
        <v>0</v>
      </c>
      <c r="CZ61" s="30">
        <f t="shared" si="83"/>
        <v>186</v>
      </c>
      <c r="DA61" s="28">
        <f>PRODUCTION!DB61+'SUPLIER INWARD'!DB61</f>
        <v>0</v>
      </c>
      <c r="DB61" s="28"/>
      <c r="DC61" s="29"/>
      <c r="DD61" s="30">
        <f t="shared" si="84"/>
        <v>186</v>
      </c>
      <c r="DE61" s="28">
        <f>PRODUCTION!DF61+'SUPLIER INWARD'!DF61</f>
        <v>0</v>
      </c>
      <c r="DF61" s="28"/>
      <c r="DG61" s="29">
        <v>0</v>
      </c>
      <c r="DH61" s="30">
        <f t="shared" si="85"/>
        <v>186</v>
      </c>
      <c r="DI61" s="28">
        <f>PRODUCTION!DJ61+'SUPLIER INWARD'!DJ61</f>
        <v>604</v>
      </c>
      <c r="DJ61" s="28">
        <v>350</v>
      </c>
      <c r="DK61" s="29">
        <v>0</v>
      </c>
      <c r="DL61" s="30">
        <f t="shared" si="86"/>
        <v>440</v>
      </c>
      <c r="DM61" s="28">
        <f>PRODUCTION!DN61+'SUPLIER INWARD'!DN61</f>
        <v>253</v>
      </c>
      <c r="DN61" s="28">
        <v>200</v>
      </c>
      <c r="DO61" s="29"/>
      <c r="DP61" s="30">
        <f t="shared" si="87"/>
        <v>493</v>
      </c>
      <c r="DQ61" s="28">
        <f>PRODUCTION!DR61+'SUPLIER INWARD'!DR61</f>
        <v>0</v>
      </c>
      <c r="DR61" s="28"/>
      <c r="DS61" s="29"/>
      <c r="DT61" s="30">
        <f t="shared" si="88"/>
        <v>493</v>
      </c>
      <c r="DU61" s="28">
        <f>PRODUCTION!DV61+'SUPLIER INWARD'!DV61</f>
        <v>0</v>
      </c>
      <c r="DV61" s="28"/>
      <c r="DW61" s="29"/>
      <c r="DX61" s="30">
        <f t="shared" si="89"/>
        <v>493</v>
      </c>
      <c r="DY61" s="31">
        <f t="shared" si="90"/>
        <v>4395</v>
      </c>
      <c r="DZ61" s="31">
        <f t="shared" si="91"/>
        <v>4305</v>
      </c>
      <c r="EA61" s="4">
        <f t="shared" si="92"/>
        <v>86</v>
      </c>
      <c r="EB61" s="9">
        <f>D61*'MASTER SHEET'!D61</f>
        <v>26420.670000000002</v>
      </c>
      <c r="EC61" s="9">
        <f>H61*'MASTER SHEET'!D61</f>
        <v>26420.670000000002</v>
      </c>
      <c r="ED61" s="9">
        <f>L61*'MASTER SHEET'!D61</f>
        <v>0</v>
      </c>
      <c r="EE61" s="9">
        <f>P61*'MASTER SHEET'!D61</f>
        <v>0</v>
      </c>
      <c r="EF61" s="9">
        <f>T61*'MASTER SHEET'!D61</f>
        <v>0</v>
      </c>
      <c r="EG61" s="9">
        <f>X61*'MASTER SHEET'!D61</f>
        <v>0</v>
      </c>
      <c r="EH61" s="9">
        <f>AB61*'MASTER SHEET'!D61</f>
        <v>18856.47</v>
      </c>
      <c r="EI61" s="9">
        <f>AF61*'MASTER SHEET'!D61</f>
        <v>64619.880000000005</v>
      </c>
      <c r="EJ61" s="9">
        <f>AJ61*'MASTER SHEET'!D61</f>
        <v>61486.14</v>
      </c>
      <c r="EK61" s="9">
        <f>AN61*'MASTER SHEET'!D61</f>
        <v>40576.53</v>
      </c>
      <c r="EL61" s="9">
        <f>AR61*'MASTER SHEET'!D61</f>
        <v>40576.53</v>
      </c>
      <c r="EM61" s="9">
        <f>AV61*'MASTER SHEET'!D61</f>
        <v>40576.53</v>
      </c>
      <c r="EN61" s="9">
        <f>AZ61*'MASTER SHEET'!D61</f>
        <v>40576.53</v>
      </c>
      <c r="EO61" s="9">
        <f>BD61*'MASTER SHEET'!D61</f>
        <v>22746.63</v>
      </c>
      <c r="EP61" s="9">
        <f>$BH61*'MASTER SHEET'!$D61</f>
        <v>6861.81</v>
      </c>
      <c r="EQ61" s="9">
        <f>BL61*'MASTER SHEET'!D61</f>
        <v>11238.24</v>
      </c>
      <c r="ER61" s="9">
        <f>BP61*'MASTER SHEET'!D61</f>
        <v>71373.63</v>
      </c>
      <c r="ES61" s="9">
        <f>BT61*'MASTER SHEET'!D61</f>
        <v>31985.760000000002</v>
      </c>
      <c r="ET61" s="9">
        <f>BX61*'MASTER SHEET'!D61</f>
        <v>31985.760000000002</v>
      </c>
      <c r="EU61" s="9">
        <f>CB61*'MASTER SHEET'!D61</f>
        <v>31985.760000000002</v>
      </c>
      <c r="EV61" s="9">
        <f>CF61*'MASTER SHEET'!D61</f>
        <v>31985.760000000002</v>
      </c>
      <c r="EW61" s="9">
        <f>CJ61*'MASTER SHEET'!D61</f>
        <v>20855.580000000002</v>
      </c>
      <c r="EX61" s="9">
        <f>CN61*'MASTER SHEET'!D61</f>
        <v>20855.580000000002</v>
      </c>
      <c r="EY61" s="9">
        <f>CR61*'MASTER SHEET'!D61</f>
        <v>20855.580000000002</v>
      </c>
      <c r="EZ61" s="9">
        <f>$CV61*'MASTER SHEET'!D61</f>
        <v>20855.580000000002</v>
      </c>
      <c r="FA61" s="9">
        <f>CZ61*'MASTER SHEET'!D61</f>
        <v>10049.58</v>
      </c>
      <c r="FB61" s="9">
        <f>DD61*'MASTER SHEET'!D61</f>
        <v>10049.58</v>
      </c>
      <c r="FC61" s="9">
        <f>DH61*'MASTER SHEET'!D61</f>
        <v>10049.58</v>
      </c>
      <c r="FD61" s="9">
        <f>DL61*'MASTER SHEET'!D61</f>
        <v>23773.200000000001</v>
      </c>
      <c r="FE61" s="9">
        <f>DP61*'MASTER SHEET'!D61</f>
        <v>26636.79</v>
      </c>
      <c r="FF61" s="9">
        <f>DT61*'MASTER SHEET'!D61</f>
        <v>26636.79</v>
      </c>
      <c r="FG61" s="9">
        <f>+DX61*'MASTER SHEET'!D61</f>
        <v>26636.79</v>
      </c>
    </row>
    <row r="62" spans="1:163" ht="20.25" customHeight="1" x14ac:dyDescent="0.25">
      <c r="A62" s="25">
        <f>'MASTER SHEET'!A62</f>
        <v>60</v>
      </c>
      <c r="B62" s="26" t="str">
        <f>'MASTER SHEET'!B62</f>
        <v>CENTERTUBE</v>
      </c>
      <c r="C62" s="78">
        <f>'MASTER SHEET'!C62</f>
        <v>5033843</v>
      </c>
      <c r="D62" s="159">
        <v>0</v>
      </c>
      <c r="E62" s="28">
        <f>PRODUCTION!F62+'SUPLIER INWARD'!F62</f>
        <v>0</v>
      </c>
      <c r="F62" s="28"/>
      <c r="G62" s="29">
        <v>0</v>
      </c>
      <c r="H62" s="30">
        <f t="shared" si="64"/>
        <v>0</v>
      </c>
      <c r="I62" s="28">
        <f>PRODUCTION!J62+'SUPLIER INWARD'!J62</f>
        <v>0</v>
      </c>
      <c r="J62" s="28"/>
      <c r="K62" s="29">
        <v>0</v>
      </c>
      <c r="L62" s="30">
        <f t="shared" si="65"/>
        <v>0</v>
      </c>
      <c r="M62" s="28">
        <f>PRODUCTION!N62+'SUPLIER INWARD'!N62</f>
        <v>0</v>
      </c>
      <c r="N62" s="28"/>
      <c r="O62" s="29"/>
      <c r="P62" s="30">
        <f t="shared" si="66"/>
        <v>0</v>
      </c>
      <c r="Q62" s="28">
        <f>PRODUCTION!R62+'SUPLIER INWARD'!R62</f>
        <v>0</v>
      </c>
      <c r="R62" s="28"/>
      <c r="S62" s="29">
        <v>0</v>
      </c>
      <c r="T62" s="30">
        <f t="shared" si="67"/>
        <v>0</v>
      </c>
      <c r="U62" s="28">
        <f>PRODUCTION!V62+'SUPLIER INWARD'!V62</f>
        <v>0</v>
      </c>
      <c r="V62" s="28"/>
      <c r="W62" s="29">
        <v>0</v>
      </c>
      <c r="X62" s="30">
        <f t="shared" si="68"/>
        <v>0</v>
      </c>
      <c r="Y62" s="28">
        <f>PRODUCTION!Z62+'SUPLIER INWARD'!Z62</f>
        <v>0</v>
      </c>
      <c r="Z62" s="28"/>
      <c r="AA62" s="29">
        <v>0</v>
      </c>
      <c r="AB62" s="30">
        <f t="shared" si="69"/>
        <v>0</v>
      </c>
      <c r="AC62" s="28">
        <f>PRODUCTION!AD62+'SUPLIER INWARD'!AD62</f>
        <v>0</v>
      </c>
      <c r="AD62" s="28"/>
      <c r="AE62" s="29">
        <v>0</v>
      </c>
      <c r="AF62" s="30">
        <f t="shared" si="70"/>
        <v>0</v>
      </c>
      <c r="AG62" s="28">
        <f>PRODUCTION!AH62+'SUPLIER INWARD'!AH62</f>
        <v>0</v>
      </c>
      <c r="AH62" s="28"/>
      <c r="AI62" s="29">
        <v>0</v>
      </c>
      <c r="AJ62" s="30">
        <f t="shared" si="71"/>
        <v>0</v>
      </c>
      <c r="AK62" s="28">
        <f>PRODUCTION!AL62+'SUPLIER INWARD'!AL62</f>
        <v>0</v>
      </c>
      <c r="AL62" s="28"/>
      <c r="AM62" s="29">
        <v>0</v>
      </c>
      <c r="AN62" s="30">
        <f t="shared" si="72"/>
        <v>0</v>
      </c>
      <c r="AO62" s="28">
        <f>PRODUCTION!AP62+'SUPLIER INWARD'!AP62</f>
        <v>0</v>
      </c>
      <c r="AP62" s="28"/>
      <c r="AQ62" s="29">
        <v>0</v>
      </c>
      <c r="AR62" s="30">
        <f t="shared" si="73"/>
        <v>0</v>
      </c>
      <c r="AS62" s="28">
        <f>PRODUCTION!AT62+'SUPLIER INWARD'!AT62</f>
        <v>0</v>
      </c>
      <c r="AT62" s="28"/>
      <c r="AU62" s="29">
        <v>0</v>
      </c>
      <c r="AV62" s="30">
        <f t="shared" si="74"/>
        <v>0</v>
      </c>
      <c r="AW62" s="28">
        <f>PRODUCTION!AX62+'SUPLIER INWARD'!AX62</f>
        <v>0</v>
      </c>
      <c r="AX62" s="28"/>
      <c r="AY62" s="29"/>
      <c r="AZ62" s="30">
        <f t="shared" si="75"/>
        <v>0</v>
      </c>
      <c r="BA62" s="28">
        <f>PRODUCTION!BB62+'SUPLIER INWARD'!BB62</f>
        <v>0</v>
      </c>
      <c r="BB62" s="28"/>
      <c r="BC62" s="29">
        <v>0</v>
      </c>
      <c r="BD62" s="30">
        <f t="shared" si="76"/>
        <v>0</v>
      </c>
      <c r="BE62" s="28">
        <f>PRODUCTION!BF62+'SUPLIER INWARD'!BF62</f>
        <v>0</v>
      </c>
      <c r="BF62" s="28"/>
      <c r="BG62" s="29">
        <v>0</v>
      </c>
      <c r="BH62" s="30">
        <f t="shared" si="77"/>
        <v>0</v>
      </c>
      <c r="BI62" s="28">
        <f>PRODUCTION!BJ62+'SUPLIER INWARD'!BJ62</f>
        <v>0</v>
      </c>
      <c r="BJ62" s="28"/>
      <c r="BK62" s="29">
        <v>0</v>
      </c>
      <c r="BL62" s="30">
        <f t="shared" si="78"/>
        <v>0</v>
      </c>
      <c r="BM62" s="28">
        <f>PRODUCTION!BN62+'SUPLIER INWARD'!BN62</f>
        <v>0</v>
      </c>
      <c r="BN62" s="28"/>
      <c r="BO62" s="29">
        <v>0</v>
      </c>
      <c r="BP62" s="30">
        <f t="shared" si="79"/>
        <v>0</v>
      </c>
      <c r="BQ62" s="28">
        <f>PRODUCTION!BR62+'SUPLIER INWARD'!BR62</f>
        <v>0</v>
      </c>
      <c r="BR62" s="28"/>
      <c r="BS62" s="29">
        <v>0</v>
      </c>
      <c r="BT62" s="30">
        <f t="shared" si="80"/>
        <v>0</v>
      </c>
      <c r="BU62" s="28">
        <f>PRODUCTION!BV62+'SUPLIER INWARD'!BV62</f>
        <v>0</v>
      </c>
      <c r="BV62" s="28"/>
      <c r="BW62" s="29">
        <v>0</v>
      </c>
      <c r="BX62" s="30">
        <f t="shared" si="47"/>
        <v>0</v>
      </c>
      <c r="BY62" s="28">
        <f>PRODUCTION!BZ62+'SUPLIER INWARD'!BZ62</f>
        <v>0</v>
      </c>
      <c r="BZ62" s="28"/>
      <c r="CA62" s="29">
        <v>0</v>
      </c>
      <c r="CB62" s="30">
        <f t="shared" si="81"/>
        <v>0</v>
      </c>
      <c r="CC62" s="28">
        <f>PRODUCTION!CD62+'SUPLIER INWARD'!CD62</f>
        <v>0</v>
      </c>
      <c r="CD62" s="28"/>
      <c r="CE62" s="29">
        <v>0</v>
      </c>
      <c r="CF62" s="30">
        <f t="shared" si="82"/>
        <v>0</v>
      </c>
      <c r="CG62" s="28">
        <f>PRODUCTION!CH62+'SUPLIER INWARD'!CH62</f>
        <v>0</v>
      </c>
      <c r="CH62" s="28"/>
      <c r="CI62" s="29">
        <v>0</v>
      </c>
      <c r="CJ62" s="30">
        <f t="shared" si="50"/>
        <v>0</v>
      </c>
      <c r="CK62" s="28">
        <f>PRODUCTION!CL62+'SUPLIER INWARD'!CL62</f>
        <v>0</v>
      </c>
      <c r="CL62" s="151"/>
      <c r="CM62" s="152">
        <v>0</v>
      </c>
      <c r="CN62" s="30">
        <f t="shared" si="51"/>
        <v>0</v>
      </c>
      <c r="CO62" s="28">
        <f>PRODUCTION!CP62+'SUPLIER INWARD'!CP62</f>
        <v>0</v>
      </c>
      <c r="CP62" s="151"/>
      <c r="CQ62" s="29">
        <v>0</v>
      </c>
      <c r="CR62" s="30">
        <f t="shared" si="52"/>
        <v>0</v>
      </c>
      <c r="CS62" s="28">
        <f>PRODUCTION!CT62+'SUPLIER INWARD'!CT62</f>
        <v>0</v>
      </c>
      <c r="CT62" s="28"/>
      <c r="CU62" s="29">
        <v>0</v>
      </c>
      <c r="CV62" s="30">
        <f t="shared" si="53"/>
        <v>0</v>
      </c>
      <c r="CW62" s="28">
        <f>PRODUCTION!CX62+'SUPLIER INWARD'!CX62</f>
        <v>0</v>
      </c>
      <c r="CX62" s="28"/>
      <c r="CY62" s="29">
        <v>0</v>
      </c>
      <c r="CZ62" s="30">
        <f t="shared" si="83"/>
        <v>0</v>
      </c>
      <c r="DA62" s="28">
        <f>PRODUCTION!DB62+'SUPLIER INWARD'!DB62</f>
        <v>0</v>
      </c>
      <c r="DB62" s="28"/>
      <c r="DC62" s="29"/>
      <c r="DD62" s="30">
        <f t="shared" si="84"/>
        <v>0</v>
      </c>
      <c r="DE62" s="28">
        <f>PRODUCTION!DF62+'SUPLIER INWARD'!DF62</f>
        <v>0</v>
      </c>
      <c r="DF62" s="28"/>
      <c r="DG62" s="29">
        <v>0</v>
      </c>
      <c r="DH62" s="30">
        <f t="shared" si="85"/>
        <v>0</v>
      </c>
      <c r="DI62" s="28">
        <f>PRODUCTION!DJ62+'SUPLIER INWARD'!DJ62</f>
        <v>0</v>
      </c>
      <c r="DJ62" s="28"/>
      <c r="DK62" s="29">
        <v>0</v>
      </c>
      <c r="DL62" s="30">
        <f t="shared" si="86"/>
        <v>0</v>
      </c>
      <c r="DM62" s="28">
        <f>PRODUCTION!DN62+'SUPLIER INWARD'!DN62</f>
        <v>0</v>
      </c>
      <c r="DN62" s="28"/>
      <c r="DO62" s="29"/>
      <c r="DP62" s="30">
        <f t="shared" si="87"/>
        <v>0</v>
      </c>
      <c r="DQ62" s="28">
        <f>PRODUCTION!DR62+'SUPLIER INWARD'!DR62</f>
        <v>0</v>
      </c>
      <c r="DR62" s="28"/>
      <c r="DS62" s="29"/>
      <c r="DT62" s="30">
        <f t="shared" si="88"/>
        <v>0</v>
      </c>
      <c r="DU62" s="28">
        <f>PRODUCTION!DV62+'SUPLIER INWARD'!DV62</f>
        <v>0</v>
      </c>
      <c r="DV62" s="28"/>
      <c r="DW62" s="29"/>
      <c r="DX62" s="30">
        <f t="shared" si="89"/>
        <v>0</v>
      </c>
      <c r="DY62" s="31">
        <f t="shared" si="90"/>
        <v>0</v>
      </c>
      <c r="DZ62" s="31">
        <f t="shared" si="91"/>
        <v>0</v>
      </c>
      <c r="EA62" s="4">
        <f t="shared" si="92"/>
        <v>0</v>
      </c>
      <c r="EB62" s="9">
        <f>D62*'MASTER SHEET'!D62</f>
        <v>0</v>
      </c>
      <c r="EC62" s="9">
        <f>H62*'MASTER SHEET'!D62</f>
        <v>0</v>
      </c>
      <c r="ED62" s="9">
        <f>L62*'MASTER SHEET'!D62</f>
        <v>0</v>
      </c>
      <c r="EE62" s="9">
        <f>P62*'MASTER SHEET'!D62</f>
        <v>0</v>
      </c>
      <c r="EF62" s="9">
        <f>T62*'MASTER SHEET'!D62</f>
        <v>0</v>
      </c>
      <c r="EG62" s="9">
        <f>X62*'MASTER SHEET'!D62</f>
        <v>0</v>
      </c>
      <c r="EH62" s="9">
        <f>AB62*'MASTER SHEET'!D62</f>
        <v>0</v>
      </c>
      <c r="EI62" s="9">
        <f>AF62*'MASTER SHEET'!D62</f>
        <v>0</v>
      </c>
      <c r="EJ62" s="9">
        <f>AJ62*'MASTER SHEET'!D62</f>
        <v>0</v>
      </c>
      <c r="EK62" s="9">
        <f>AN62*'MASTER SHEET'!D62</f>
        <v>0</v>
      </c>
      <c r="EL62" s="9">
        <f>AR62*'MASTER SHEET'!D62</f>
        <v>0</v>
      </c>
      <c r="EM62" s="9">
        <f>AV62*'MASTER SHEET'!D62</f>
        <v>0</v>
      </c>
      <c r="EN62" s="9">
        <f>AZ62*'MASTER SHEET'!D62</f>
        <v>0</v>
      </c>
      <c r="EO62" s="9">
        <f>BD62*'MASTER SHEET'!D62</f>
        <v>0</v>
      </c>
      <c r="EP62" s="9">
        <f>$BH62*'MASTER SHEET'!$D62</f>
        <v>0</v>
      </c>
      <c r="EQ62" s="9">
        <f>BL62*'MASTER SHEET'!D62</f>
        <v>0</v>
      </c>
      <c r="ER62" s="9">
        <f>BP62*'MASTER SHEET'!D62</f>
        <v>0</v>
      </c>
      <c r="ES62" s="9">
        <f>BT62*'MASTER SHEET'!D62</f>
        <v>0</v>
      </c>
      <c r="ET62" s="9">
        <f>BX62*'MASTER SHEET'!D62</f>
        <v>0</v>
      </c>
      <c r="EU62" s="9">
        <f>CB62*'MASTER SHEET'!D62</f>
        <v>0</v>
      </c>
      <c r="EV62" s="9">
        <f>CF62*'MASTER SHEET'!D62</f>
        <v>0</v>
      </c>
      <c r="EW62" s="9">
        <f>CJ62*'MASTER SHEET'!D62</f>
        <v>0</v>
      </c>
      <c r="EX62" s="9">
        <f>CN62*'MASTER SHEET'!D62</f>
        <v>0</v>
      </c>
      <c r="EY62" s="9">
        <f>CR62*'MASTER SHEET'!D62</f>
        <v>0</v>
      </c>
      <c r="EZ62" s="9">
        <f>$CV62*'MASTER SHEET'!D62</f>
        <v>0</v>
      </c>
      <c r="FA62" s="9">
        <f>CZ62*'MASTER SHEET'!D62</f>
        <v>0</v>
      </c>
      <c r="FB62" s="9">
        <f>DD62*'MASTER SHEET'!D62</f>
        <v>0</v>
      </c>
      <c r="FC62" s="9">
        <f>DH62*'MASTER SHEET'!D62</f>
        <v>0</v>
      </c>
      <c r="FD62" s="9">
        <f>DL62*'MASTER SHEET'!D62</f>
        <v>0</v>
      </c>
      <c r="FE62" s="9">
        <f>DP62*'MASTER SHEET'!D62</f>
        <v>0</v>
      </c>
      <c r="FF62" s="9">
        <f>DT62*'MASTER SHEET'!D62</f>
        <v>0</v>
      </c>
      <c r="FG62" s="9">
        <f>+DX62*'MASTER SHEET'!D62</f>
        <v>0</v>
      </c>
    </row>
    <row r="63" spans="1:163" ht="20.25" customHeight="1" x14ac:dyDescent="0.25">
      <c r="A63" s="25">
        <f>'MASTER SHEET'!A63</f>
        <v>61</v>
      </c>
      <c r="B63" s="26" t="str">
        <f>'MASTER SHEET'!B63</f>
        <v>ENDPLATE, PLASTIC</v>
      </c>
      <c r="C63" s="78">
        <f>'MASTER SHEET'!C63</f>
        <v>5032201</v>
      </c>
      <c r="D63" s="159">
        <v>0</v>
      </c>
      <c r="E63" s="28">
        <f>PRODUCTION!F63+'SUPLIER INWARD'!F63</f>
        <v>0</v>
      </c>
      <c r="F63" s="28"/>
      <c r="G63" s="29">
        <v>0</v>
      </c>
      <c r="H63" s="30">
        <f t="shared" si="64"/>
        <v>0</v>
      </c>
      <c r="I63" s="28">
        <f>PRODUCTION!J63+'SUPLIER INWARD'!J63</f>
        <v>0</v>
      </c>
      <c r="J63" s="28"/>
      <c r="K63" s="29">
        <v>0</v>
      </c>
      <c r="L63" s="30">
        <f t="shared" si="65"/>
        <v>0</v>
      </c>
      <c r="M63" s="28">
        <f>PRODUCTION!N63+'SUPLIER INWARD'!N63</f>
        <v>0</v>
      </c>
      <c r="N63" s="28"/>
      <c r="O63" s="29"/>
      <c r="P63" s="30">
        <f t="shared" si="66"/>
        <v>0</v>
      </c>
      <c r="Q63" s="28">
        <f>PRODUCTION!R63+'SUPLIER INWARD'!R63</f>
        <v>0</v>
      </c>
      <c r="R63" s="28"/>
      <c r="S63" s="29">
        <v>0</v>
      </c>
      <c r="T63" s="30">
        <f t="shared" si="67"/>
        <v>0</v>
      </c>
      <c r="U63" s="28">
        <f>PRODUCTION!V63+'SUPLIER INWARD'!V63</f>
        <v>0</v>
      </c>
      <c r="V63" s="28"/>
      <c r="W63" s="29">
        <v>0</v>
      </c>
      <c r="X63" s="30">
        <f t="shared" si="68"/>
        <v>0</v>
      </c>
      <c r="Y63" s="28">
        <f>PRODUCTION!Z63+'SUPLIER INWARD'!Z63</f>
        <v>0</v>
      </c>
      <c r="Z63" s="28"/>
      <c r="AA63" s="29">
        <v>0</v>
      </c>
      <c r="AB63" s="30">
        <f t="shared" si="69"/>
        <v>0</v>
      </c>
      <c r="AC63" s="28">
        <f>PRODUCTION!AD63+'SUPLIER INWARD'!AD63</f>
        <v>0</v>
      </c>
      <c r="AD63" s="28"/>
      <c r="AE63" s="29">
        <v>0</v>
      </c>
      <c r="AF63" s="30">
        <f t="shared" si="70"/>
        <v>0</v>
      </c>
      <c r="AG63" s="28">
        <f>PRODUCTION!AH63+'SUPLIER INWARD'!AH63</f>
        <v>0</v>
      </c>
      <c r="AH63" s="28"/>
      <c r="AI63" s="29">
        <v>0</v>
      </c>
      <c r="AJ63" s="30">
        <f t="shared" si="71"/>
        <v>0</v>
      </c>
      <c r="AK63" s="28">
        <f>PRODUCTION!AL63+'SUPLIER INWARD'!AL63</f>
        <v>0</v>
      </c>
      <c r="AL63" s="28"/>
      <c r="AM63" s="29">
        <v>0</v>
      </c>
      <c r="AN63" s="30">
        <f t="shared" si="72"/>
        <v>0</v>
      </c>
      <c r="AO63" s="28">
        <f>PRODUCTION!AP63+'SUPLIER INWARD'!AP63</f>
        <v>0</v>
      </c>
      <c r="AP63" s="28"/>
      <c r="AQ63" s="29">
        <v>0</v>
      </c>
      <c r="AR63" s="30">
        <f t="shared" si="73"/>
        <v>0</v>
      </c>
      <c r="AS63" s="28">
        <f>PRODUCTION!AT63+'SUPLIER INWARD'!AT63</f>
        <v>0</v>
      </c>
      <c r="AT63" s="28"/>
      <c r="AU63" s="29">
        <v>0</v>
      </c>
      <c r="AV63" s="30">
        <f t="shared" si="74"/>
        <v>0</v>
      </c>
      <c r="AW63" s="28">
        <f>PRODUCTION!AX63+'SUPLIER INWARD'!AX63</f>
        <v>0</v>
      </c>
      <c r="AX63" s="28"/>
      <c r="AY63" s="29"/>
      <c r="AZ63" s="30">
        <f t="shared" si="75"/>
        <v>0</v>
      </c>
      <c r="BA63" s="28">
        <f>PRODUCTION!BB63+'SUPLIER INWARD'!BB63</f>
        <v>0</v>
      </c>
      <c r="BB63" s="28"/>
      <c r="BC63" s="29">
        <v>0</v>
      </c>
      <c r="BD63" s="30">
        <f t="shared" si="76"/>
        <v>0</v>
      </c>
      <c r="BE63" s="28">
        <f>PRODUCTION!BF63+'SUPLIER INWARD'!BF63</f>
        <v>0</v>
      </c>
      <c r="BF63" s="28"/>
      <c r="BG63" s="29">
        <v>0</v>
      </c>
      <c r="BH63" s="30">
        <f t="shared" si="77"/>
        <v>0</v>
      </c>
      <c r="BI63" s="28">
        <f>PRODUCTION!BJ63+'SUPLIER INWARD'!BJ63</f>
        <v>0</v>
      </c>
      <c r="BJ63" s="28"/>
      <c r="BK63" s="29">
        <v>0</v>
      </c>
      <c r="BL63" s="30">
        <f t="shared" si="78"/>
        <v>0</v>
      </c>
      <c r="BM63" s="28">
        <f>PRODUCTION!BN63+'SUPLIER INWARD'!BN63</f>
        <v>0</v>
      </c>
      <c r="BN63" s="28"/>
      <c r="BO63" s="29">
        <v>0</v>
      </c>
      <c r="BP63" s="30">
        <f t="shared" si="79"/>
        <v>0</v>
      </c>
      <c r="BQ63" s="28">
        <f>PRODUCTION!BR63+'SUPLIER INWARD'!BR63</f>
        <v>0</v>
      </c>
      <c r="BR63" s="28"/>
      <c r="BS63" s="29">
        <v>0</v>
      </c>
      <c r="BT63" s="30">
        <f t="shared" si="80"/>
        <v>0</v>
      </c>
      <c r="BU63" s="28">
        <f>PRODUCTION!BV63+'SUPLIER INWARD'!BV63</f>
        <v>0</v>
      </c>
      <c r="BV63" s="28"/>
      <c r="BW63" s="29">
        <v>0</v>
      </c>
      <c r="BX63" s="30">
        <f t="shared" si="47"/>
        <v>0</v>
      </c>
      <c r="BY63" s="28">
        <f>PRODUCTION!BZ63+'SUPLIER INWARD'!BZ63</f>
        <v>0</v>
      </c>
      <c r="BZ63" s="28"/>
      <c r="CA63" s="29">
        <v>0</v>
      </c>
      <c r="CB63" s="30">
        <f t="shared" si="81"/>
        <v>0</v>
      </c>
      <c r="CC63" s="28">
        <f>PRODUCTION!CD63+'SUPLIER INWARD'!CD63</f>
        <v>0</v>
      </c>
      <c r="CD63" s="28"/>
      <c r="CE63" s="29">
        <v>0</v>
      </c>
      <c r="CF63" s="30">
        <f t="shared" si="82"/>
        <v>0</v>
      </c>
      <c r="CG63" s="28">
        <f>PRODUCTION!CH63+'SUPLIER INWARD'!CH63</f>
        <v>0</v>
      </c>
      <c r="CH63" s="28"/>
      <c r="CI63" s="29">
        <v>0</v>
      </c>
      <c r="CJ63" s="30">
        <f t="shared" si="50"/>
        <v>0</v>
      </c>
      <c r="CK63" s="28">
        <f>PRODUCTION!CL63+'SUPLIER INWARD'!CL63</f>
        <v>0</v>
      </c>
      <c r="CL63" s="151"/>
      <c r="CM63" s="152">
        <v>0</v>
      </c>
      <c r="CN63" s="30">
        <f t="shared" si="51"/>
        <v>0</v>
      </c>
      <c r="CO63" s="28">
        <f>PRODUCTION!CP63+'SUPLIER INWARD'!CP63</f>
        <v>0</v>
      </c>
      <c r="CP63" s="151"/>
      <c r="CQ63" s="29">
        <v>0</v>
      </c>
      <c r="CR63" s="30">
        <f t="shared" si="52"/>
        <v>0</v>
      </c>
      <c r="CS63" s="28">
        <f>PRODUCTION!CT63+'SUPLIER INWARD'!CT63</f>
        <v>0</v>
      </c>
      <c r="CT63" s="28"/>
      <c r="CU63" s="29">
        <v>0</v>
      </c>
      <c r="CV63" s="30">
        <f t="shared" si="53"/>
        <v>0</v>
      </c>
      <c r="CW63" s="28">
        <f>PRODUCTION!CX63+'SUPLIER INWARD'!CX63</f>
        <v>0</v>
      </c>
      <c r="CX63" s="28"/>
      <c r="CY63" s="29">
        <v>0</v>
      </c>
      <c r="CZ63" s="30">
        <f t="shared" si="83"/>
        <v>0</v>
      </c>
      <c r="DA63" s="28">
        <f>PRODUCTION!DB63+'SUPLIER INWARD'!DB63</f>
        <v>0</v>
      </c>
      <c r="DB63" s="28"/>
      <c r="DC63" s="29"/>
      <c r="DD63" s="30">
        <f t="shared" si="84"/>
        <v>0</v>
      </c>
      <c r="DE63" s="28">
        <f>PRODUCTION!DF63+'SUPLIER INWARD'!DF63</f>
        <v>0</v>
      </c>
      <c r="DF63" s="28"/>
      <c r="DG63" s="29">
        <v>0</v>
      </c>
      <c r="DH63" s="30">
        <f t="shared" si="85"/>
        <v>0</v>
      </c>
      <c r="DI63" s="28">
        <f>PRODUCTION!DJ63+'SUPLIER INWARD'!DJ63</f>
        <v>0</v>
      </c>
      <c r="DJ63" s="28"/>
      <c r="DK63" s="29">
        <v>0</v>
      </c>
      <c r="DL63" s="30">
        <f t="shared" si="86"/>
        <v>0</v>
      </c>
      <c r="DM63" s="28">
        <f>PRODUCTION!DN63+'SUPLIER INWARD'!DN63</f>
        <v>0</v>
      </c>
      <c r="DN63" s="28"/>
      <c r="DO63" s="29"/>
      <c r="DP63" s="30">
        <f t="shared" si="87"/>
        <v>0</v>
      </c>
      <c r="DQ63" s="28">
        <f>PRODUCTION!DR63+'SUPLIER INWARD'!DR63</f>
        <v>0</v>
      </c>
      <c r="DR63" s="28"/>
      <c r="DS63" s="29"/>
      <c r="DT63" s="30">
        <f t="shared" si="88"/>
        <v>0</v>
      </c>
      <c r="DU63" s="28">
        <f>PRODUCTION!DV63+'SUPLIER INWARD'!DV63</f>
        <v>0</v>
      </c>
      <c r="DV63" s="28"/>
      <c r="DW63" s="29"/>
      <c r="DX63" s="30">
        <f t="shared" si="89"/>
        <v>0</v>
      </c>
      <c r="DY63" s="31">
        <f t="shared" si="90"/>
        <v>0</v>
      </c>
      <c r="DZ63" s="31">
        <f t="shared" si="91"/>
        <v>0</v>
      </c>
      <c r="EA63" s="4">
        <f t="shared" si="92"/>
        <v>0</v>
      </c>
      <c r="EB63" s="9">
        <f>D63*'MASTER SHEET'!D63</f>
        <v>0</v>
      </c>
      <c r="EC63" s="9">
        <f>H63*'MASTER SHEET'!D63</f>
        <v>0</v>
      </c>
      <c r="ED63" s="9">
        <f>L63*'MASTER SHEET'!D63</f>
        <v>0</v>
      </c>
      <c r="EE63" s="9">
        <f>P63*'MASTER SHEET'!D63</f>
        <v>0</v>
      </c>
      <c r="EF63" s="9">
        <f>T63*'MASTER SHEET'!D63</f>
        <v>0</v>
      </c>
      <c r="EG63" s="9">
        <f>X63*'MASTER SHEET'!D63</f>
        <v>0</v>
      </c>
      <c r="EH63" s="9">
        <f>AB63*'MASTER SHEET'!D63</f>
        <v>0</v>
      </c>
      <c r="EI63" s="9">
        <f>AF63*'MASTER SHEET'!D63</f>
        <v>0</v>
      </c>
      <c r="EJ63" s="9">
        <f>AJ63*'MASTER SHEET'!D63</f>
        <v>0</v>
      </c>
      <c r="EK63" s="9">
        <f>AN63*'MASTER SHEET'!D63</f>
        <v>0</v>
      </c>
      <c r="EL63" s="9">
        <f>AR63*'MASTER SHEET'!D63</f>
        <v>0</v>
      </c>
      <c r="EM63" s="9">
        <f>AV63*'MASTER SHEET'!D63</f>
        <v>0</v>
      </c>
      <c r="EN63" s="9">
        <f>AZ63*'MASTER SHEET'!D63</f>
        <v>0</v>
      </c>
      <c r="EO63" s="9">
        <f>BD63*'MASTER SHEET'!D63</f>
        <v>0</v>
      </c>
      <c r="EP63" s="9">
        <f>$BH63*'MASTER SHEET'!$D63</f>
        <v>0</v>
      </c>
      <c r="EQ63" s="9">
        <f>BL63*'MASTER SHEET'!D63</f>
        <v>0</v>
      </c>
      <c r="ER63" s="9">
        <f>BP63*'MASTER SHEET'!D63</f>
        <v>0</v>
      </c>
      <c r="ES63" s="9">
        <f>BT63*'MASTER SHEET'!D63</f>
        <v>0</v>
      </c>
      <c r="ET63" s="9">
        <f>BX63*'MASTER SHEET'!D63</f>
        <v>0</v>
      </c>
      <c r="EU63" s="9">
        <f>CB63*'MASTER SHEET'!D63</f>
        <v>0</v>
      </c>
      <c r="EV63" s="9">
        <f>CF63*'MASTER SHEET'!D63</f>
        <v>0</v>
      </c>
      <c r="EW63" s="9">
        <f>CJ63*'MASTER SHEET'!D63</f>
        <v>0</v>
      </c>
      <c r="EX63" s="9">
        <f>CN63*'MASTER SHEET'!D63</f>
        <v>0</v>
      </c>
      <c r="EY63" s="9">
        <f>CR63*'MASTER SHEET'!D63</f>
        <v>0</v>
      </c>
      <c r="EZ63" s="9">
        <f>$CV63*'MASTER SHEET'!D63</f>
        <v>0</v>
      </c>
      <c r="FA63" s="9">
        <f>CZ63*'MASTER SHEET'!D63</f>
        <v>0</v>
      </c>
      <c r="FB63" s="9">
        <f>DD63*'MASTER SHEET'!D63</f>
        <v>0</v>
      </c>
      <c r="FC63" s="9">
        <f>DH63*'MASTER SHEET'!D63</f>
        <v>0</v>
      </c>
      <c r="FD63" s="9">
        <f>DL63*'MASTER SHEET'!D63</f>
        <v>0</v>
      </c>
      <c r="FE63" s="9">
        <f>DP63*'MASTER SHEET'!D63</f>
        <v>0</v>
      </c>
      <c r="FF63" s="9">
        <f>DT63*'MASTER SHEET'!D63</f>
        <v>0</v>
      </c>
      <c r="FG63" s="9">
        <f>+DX63*'MASTER SHEET'!D63</f>
        <v>0</v>
      </c>
    </row>
    <row r="64" spans="1:163" ht="20.25" customHeight="1" x14ac:dyDescent="0.25">
      <c r="A64" s="25">
        <f>'MASTER SHEET'!A64</f>
        <v>62</v>
      </c>
      <c r="B64" s="26" t="str">
        <f>'MASTER SHEET'!B64</f>
        <v>ENDPLATE, PLASTIC</v>
      </c>
      <c r="C64" s="78">
        <f>'MASTER SHEET'!C64</f>
        <v>5032202</v>
      </c>
      <c r="D64" s="159">
        <v>0</v>
      </c>
      <c r="E64" s="28">
        <f>PRODUCTION!F64+'SUPLIER INWARD'!F64</f>
        <v>0</v>
      </c>
      <c r="F64" s="28"/>
      <c r="G64" s="29">
        <v>0</v>
      </c>
      <c r="H64" s="30">
        <f t="shared" si="64"/>
        <v>0</v>
      </c>
      <c r="I64" s="28">
        <f>PRODUCTION!J64+'SUPLIER INWARD'!J64</f>
        <v>0</v>
      </c>
      <c r="J64" s="28"/>
      <c r="K64" s="29">
        <v>0</v>
      </c>
      <c r="L64" s="30">
        <f t="shared" si="65"/>
        <v>0</v>
      </c>
      <c r="M64" s="28">
        <f>PRODUCTION!N64+'SUPLIER INWARD'!N64</f>
        <v>0</v>
      </c>
      <c r="N64" s="28"/>
      <c r="O64" s="29"/>
      <c r="P64" s="30">
        <f t="shared" si="66"/>
        <v>0</v>
      </c>
      <c r="Q64" s="28">
        <f>PRODUCTION!R64+'SUPLIER INWARD'!R64</f>
        <v>0</v>
      </c>
      <c r="R64" s="28"/>
      <c r="S64" s="29">
        <v>0</v>
      </c>
      <c r="T64" s="30">
        <f t="shared" si="67"/>
        <v>0</v>
      </c>
      <c r="U64" s="28">
        <f>PRODUCTION!V64+'SUPLIER INWARD'!V64</f>
        <v>0</v>
      </c>
      <c r="V64" s="28"/>
      <c r="W64" s="29">
        <v>0</v>
      </c>
      <c r="X64" s="30">
        <f t="shared" si="68"/>
        <v>0</v>
      </c>
      <c r="Y64" s="28">
        <f>PRODUCTION!Z64+'SUPLIER INWARD'!Z64</f>
        <v>0</v>
      </c>
      <c r="Z64" s="28"/>
      <c r="AA64" s="29">
        <v>0</v>
      </c>
      <c r="AB64" s="30">
        <f t="shared" si="69"/>
        <v>0</v>
      </c>
      <c r="AC64" s="28">
        <f>PRODUCTION!AD64+'SUPLIER INWARD'!AD64</f>
        <v>0</v>
      </c>
      <c r="AD64" s="28"/>
      <c r="AE64" s="29">
        <v>0</v>
      </c>
      <c r="AF64" s="30">
        <f t="shared" si="70"/>
        <v>0</v>
      </c>
      <c r="AG64" s="28">
        <f>PRODUCTION!AH64+'SUPLIER INWARD'!AH64</f>
        <v>0</v>
      </c>
      <c r="AH64" s="28"/>
      <c r="AI64" s="29">
        <v>0</v>
      </c>
      <c r="AJ64" s="30">
        <f t="shared" si="71"/>
        <v>0</v>
      </c>
      <c r="AK64" s="28">
        <f>PRODUCTION!AL64+'SUPLIER INWARD'!AL64</f>
        <v>0</v>
      </c>
      <c r="AL64" s="28"/>
      <c r="AM64" s="29">
        <v>0</v>
      </c>
      <c r="AN64" s="30">
        <f t="shared" si="72"/>
        <v>0</v>
      </c>
      <c r="AO64" s="28">
        <f>PRODUCTION!AP64+'SUPLIER INWARD'!AP64</f>
        <v>0</v>
      </c>
      <c r="AP64" s="28"/>
      <c r="AQ64" s="29">
        <v>0</v>
      </c>
      <c r="AR64" s="30">
        <f t="shared" si="73"/>
        <v>0</v>
      </c>
      <c r="AS64" s="28">
        <f>PRODUCTION!AT64+'SUPLIER INWARD'!AT64</f>
        <v>0</v>
      </c>
      <c r="AT64" s="28"/>
      <c r="AU64" s="29">
        <v>0</v>
      </c>
      <c r="AV64" s="30">
        <f t="shared" si="74"/>
        <v>0</v>
      </c>
      <c r="AW64" s="28">
        <f>PRODUCTION!AX64+'SUPLIER INWARD'!AX64</f>
        <v>0</v>
      </c>
      <c r="AX64" s="28"/>
      <c r="AY64" s="29"/>
      <c r="AZ64" s="30">
        <f t="shared" si="75"/>
        <v>0</v>
      </c>
      <c r="BA64" s="28">
        <f>PRODUCTION!BB64+'SUPLIER INWARD'!BB64</f>
        <v>0</v>
      </c>
      <c r="BB64" s="28"/>
      <c r="BC64" s="29">
        <v>0</v>
      </c>
      <c r="BD64" s="30">
        <f t="shared" si="76"/>
        <v>0</v>
      </c>
      <c r="BE64" s="28">
        <f>PRODUCTION!BF64+'SUPLIER INWARD'!BF64</f>
        <v>0</v>
      </c>
      <c r="BF64" s="28"/>
      <c r="BG64" s="29">
        <v>0</v>
      </c>
      <c r="BH64" s="30">
        <f t="shared" si="77"/>
        <v>0</v>
      </c>
      <c r="BI64" s="28">
        <f>PRODUCTION!BJ64+'SUPLIER INWARD'!BJ64</f>
        <v>0</v>
      </c>
      <c r="BJ64" s="28"/>
      <c r="BK64" s="29">
        <v>0</v>
      </c>
      <c r="BL64" s="30">
        <f t="shared" si="78"/>
        <v>0</v>
      </c>
      <c r="BM64" s="28">
        <f>PRODUCTION!BN64+'SUPLIER INWARD'!BN64</f>
        <v>0</v>
      </c>
      <c r="BN64" s="28"/>
      <c r="BO64" s="29">
        <v>0</v>
      </c>
      <c r="BP64" s="30">
        <f t="shared" si="79"/>
        <v>0</v>
      </c>
      <c r="BQ64" s="28">
        <f>PRODUCTION!BR64+'SUPLIER INWARD'!BR64</f>
        <v>0</v>
      </c>
      <c r="BR64" s="28"/>
      <c r="BS64" s="29">
        <v>0</v>
      </c>
      <c r="BT64" s="30">
        <f t="shared" si="80"/>
        <v>0</v>
      </c>
      <c r="BU64" s="28">
        <f>PRODUCTION!BV64+'SUPLIER INWARD'!BV64</f>
        <v>0</v>
      </c>
      <c r="BV64" s="28"/>
      <c r="BW64" s="29">
        <v>0</v>
      </c>
      <c r="BX64" s="30">
        <f t="shared" si="47"/>
        <v>0</v>
      </c>
      <c r="BY64" s="28">
        <f>PRODUCTION!BZ64+'SUPLIER INWARD'!BZ64</f>
        <v>0</v>
      </c>
      <c r="BZ64" s="28"/>
      <c r="CA64" s="29">
        <v>0</v>
      </c>
      <c r="CB64" s="30">
        <f t="shared" si="81"/>
        <v>0</v>
      </c>
      <c r="CC64" s="28">
        <f>PRODUCTION!CD64+'SUPLIER INWARD'!CD64</f>
        <v>0</v>
      </c>
      <c r="CD64" s="28"/>
      <c r="CE64" s="29">
        <v>0</v>
      </c>
      <c r="CF64" s="30">
        <f t="shared" si="82"/>
        <v>0</v>
      </c>
      <c r="CG64" s="28">
        <f>PRODUCTION!CH64+'SUPLIER INWARD'!CH64</f>
        <v>0</v>
      </c>
      <c r="CH64" s="28"/>
      <c r="CI64" s="29">
        <v>0</v>
      </c>
      <c r="CJ64" s="30">
        <f t="shared" si="50"/>
        <v>0</v>
      </c>
      <c r="CK64" s="28">
        <f>PRODUCTION!CL64+'SUPLIER INWARD'!CL64</f>
        <v>0</v>
      </c>
      <c r="CL64" s="151"/>
      <c r="CM64" s="152">
        <v>0</v>
      </c>
      <c r="CN64" s="30">
        <f t="shared" si="51"/>
        <v>0</v>
      </c>
      <c r="CO64" s="28">
        <f>PRODUCTION!CP64+'SUPLIER INWARD'!CP64</f>
        <v>0</v>
      </c>
      <c r="CP64" s="151"/>
      <c r="CQ64" s="29">
        <v>0</v>
      </c>
      <c r="CR64" s="30">
        <f t="shared" si="52"/>
        <v>0</v>
      </c>
      <c r="CS64" s="28">
        <f>PRODUCTION!CT64+'SUPLIER INWARD'!CT64</f>
        <v>0</v>
      </c>
      <c r="CT64" s="28"/>
      <c r="CU64" s="29">
        <v>0</v>
      </c>
      <c r="CV64" s="30">
        <f t="shared" si="53"/>
        <v>0</v>
      </c>
      <c r="CW64" s="28">
        <f>PRODUCTION!CX64+'SUPLIER INWARD'!CX64</f>
        <v>0</v>
      </c>
      <c r="CX64" s="28"/>
      <c r="CY64" s="29">
        <v>0</v>
      </c>
      <c r="CZ64" s="30">
        <f t="shared" si="83"/>
        <v>0</v>
      </c>
      <c r="DA64" s="28">
        <f>PRODUCTION!DB64+'SUPLIER INWARD'!DB64</f>
        <v>0</v>
      </c>
      <c r="DB64" s="28"/>
      <c r="DC64" s="29"/>
      <c r="DD64" s="30">
        <f t="shared" si="84"/>
        <v>0</v>
      </c>
      <c r="DE64" s="28">
        <f>PRODUCTION!DF64+'SUPLIER INWARD'!DF64</f>
        <v>0</v>
      </c>
      <c r="DF64" s="28"/>
      <c r="DG64" s="29">
        <v>0</v>
      </c>
      <c r="DH64" s="30">
        <f t="shared" si="85"/>
        <v>0</v>
      </c>
      <c r="DI64" s="28">
        <f>PRODUCTION!DJ64+'SUPLIER INWARD'!DJ64</f>
        <v>0</v>
      </c>
      <c r="DJ64" s="28"/>
      <c r="DK64" s="29">
        <v>0</v>
      </c>
      <c r="DL64" s="30">
        <f t="shared" si="86"/>
        <v>0</v>
      </c>
      <c r="DM64" s="28">
        <f>PRODUCTION!DN64+'SUPLIER INWARD'!DN64</f>
        <v>0</v>
      </c>
      <c r="DN64" s="28"/>
      <c r="DO64" s="29"/>
      <c r="DP64" s="30">
        <f t="shared" si="87"/>
        <v>0</v>
      </c>
      <c r="DQ64" s="28">
        <f>PRODUCTION!DR64+'SUPLIER INWARD'!DR64</f>
        <v>0</v>
      </c>
      <c r="DR64" s="28"/>
      <c r="DS64" s="29"/>
      <c r="DT64" s="30">
        <f t="shared" si="88"/>
        <v>0</v>
      </c>
      <c r="DU64" s="28">
        <f>PRODUCTION!DV64+'SUPLIER INWARD'!DV64</f>
        <v>0</v>
      </c>
      <c r="DV64" s="28"/>
      <c r="DW64" s="29"/>
      <c r="DX64" s="30">
        <f t="shared" si="89"/>
        <v>0</v>
      </c>
      <c r="DY64" s="31">
        <f t="shared" si="90"/>
        <v>0</v>
      </c>
      <c r="DZ64" s="31">
        <f t="shared" si="91"/>
        <v>0</v>
      </c>
      <c r="EA64" s="4">
        <f t="shared" si="92"/>
        <v>0</v>
      </c>
      <c r="EB64" s="9">
        <f>D64*'MASTER SHEET'!D64</f>
        <v>0</v>
      </c>
      <c r="EC64" s="9">
        <f>H64*'MASTER SHEET'!D64</f>
        <v>0</v>
      </c>
      <c r="ED64" s="9">
        <f>L64*'MASTER SHEET'!D64</f>
        <v>0</v>
      </c>
      <c r="EE64" s="9">
        <f>P64*'MASTER SHEET'!D64</f>
        <v>0</v>
      </c>
      <c r="EF64" s="9">
        <f>T64*'MASTER SHEET'!D64</f>
        <v>0</v>
      </c>
      <c r="EG64" s="9">
        <f>X64*'MASTER SHEET'!D64</f>
        <v>0</v>
      </c>
      <c r="EH64" s="9">
        <f>AB64*'MASTER SHEET'!D64</f>
        <v>0</v>
      </c>
      <c r="EI64" s="9">
        <f>AF64*'MASTER SHEET'!D64</f>
        <v>0</v>
      </c>
      <c r="EJ64" s="9">
        <f>AJ64*'MASTER SHEET'!D64</f>
        <v>0</v>
      </c>
      <c r="EK64" s="9">
        <f>AN64*'MASTER SHEET'!D64</f>
        <v>0</v>
      </c>
      <c r="EL64" s="9">
        <f>AR64*'MASTER SHEET'!D64</f>
        <v>0</v>
      </c>
      <c r="EM64" s="9">
        <f>AV64*'MASTER SHEET'!D64</f>
        <v>0</v>
      </c>
      <c r="EN64" s="9">
        <f>AZ64*'MASTER SHEET'!D64</f>
        <v>0</v>
      </c>
      <c r="EO64" s="9">
        <f>BD64*'MASTER SHEET'!D64</f>
        <v>0</v>
      </c>
      <c r="EP64" s="9">
        <f>$BH64*'MASTER SHEET'!$D64</f>
        <v>0</v>
      </c>
      <c r="EQ64" s="9">
        <f>BL64*'MASTER SHEET'!D64</f>
        <v>0</v>
      </c>
      <c r="ER64" s="9">
        <f>BP64*'MASTER SHEET'!D64</f>
        <v>0</v>
      </c>
      <c r="ES64" s="9">
        <f>BT64*'MASTER SHEET'!D64</f>
        <v>0</v>
      </c>
      <c r="ET64" s="9">
        <f>BX64*'MASTER SHEET'!D64</f>
        <v>0</v>
      </c>
      <c r="EU64" s="9">
        <f>CB64*'MASTER SHEET'!D64</f>
        <v>0</v>
      </c>
      <c r="EV64" s="9">
        <f>CF64*'MASTER SHEET'!D64</f>
        <v>0</v>
      </c>
      <c r="EW64" s="9">
        <f>CJ64*'MASTER SHEET'!D64</f>
        <v>0</v>
      </c>
      <c r="EX64" s="9">
        <f>CN64*'MASTER SHEET'!D64</f>
        <v>0</v>
      </c>
      <c r="EY64" s="9">
        <f>CR64*'MASTER SHEET'!D64</f>
        <v>0</v>
      </c>
      <c r="EZ64" s="9">
        <f>$CV64*'MASTER SHEET'!D64</f>
        <v>0</v>
      </c>
      <c r="FA64" s="9">
        <f>CZ64*'MASTER SHEET'!D64</f>
        <v>0</v>
      </c>
      <c r="FB64" s="9">
        <f>DD64*'MASTER SHEET'!D64</f>
        <v>0</v>
      </c>
      <c r="FC64" s="9">
        <f>DH64*'MASTER SHEET'!D64</f>
        <v>0</v>
      </c>
      <c r="FD64" s="9">
        <f>DL64*'MASTER SHEET'!D64</f>
        <v>0</v>
      </c>
      <c r="FE64" s="9">
        <f>DP64*'MASTER SHEET'!D64</f>
        <v>0</v>
      </c>
      <c r="FF64" s="9">
        <f>DT64*'MASTER SHEET'!D64</f>
        <v>0</v>
      </c>
      <c r="FG64" s="9">
        <f>+DX64*'MASTER SHEET'!D64</f>
        <v>0</v>
      </c>
    </row>
    <row r="65" spans="1:163" ht="20.25" customHeight="1" x14ac:dyDescent="0.25">
      <c r="A65" s="25">
        <f>'MASTER SHEET'!A65</f>
        <v>63</v>
      </c>
      <c r="B65" s="26" t="str">
        <f>'MASTER SHEET'!B65</f>
        <v>BASE HOUSING CV</v>
      </c>
      <c r="C65" s="78">
        <f>'MASTER SHEET'!C65</f>
        <v>5032452</v>
      </c>
      <c r="D65" s="159">
        <v>0</v>
      </c>
      <c r="E65" s="28">
        <f>PRODUCTION!F65+'SUPLIER INWARD'!F65</f>
        <v>0</v>
      </c>
      <c r="F65" s="28"/>
      <c r="G65" s="29">
        <v>0</v>
      </c>
      <c r="H65" s="30">
        <f t="shared" si="64"/>
        <v>0</v>
      </c>
      <c r="I65" s="28">
        <f>PRODUCTION!J65+'SUPLIER INWARD'!J65</f>
        <v>0</v>
      </c>
      <c r="J65" s="28"/>
      <c r="K65" s="29">
        <v>0</v>
      </c>
      <c r="L65" s="30">
        <f t="shared" si="65"/>
        <v>0</v>
      </c>
      <c r="M65" s="28">
        <f>PRODUCTION!N65+'SUPLIER INWARD'!N65</f>
        <v>0</v>
      </c>
      <c r="N65" s="28"/>
      <c r="O65" s="29"/>
      <c r="P65" s="30">
        <f t="shared" si="66"/>
        <v>0</v>
      </c>
      <c r="Q65" s="28">
        <f>PRODUCTION!R65+'SUPLIER INWARD'!R65</f>
        <v>0</v>
      </c>
      <c r="R65" s="28"/>
      <c r="S65" s="29">
        <v>0</v>
      </c>
      <c r="T65" s="30">
        <f t="shared" si="67"/>
        <v>0</v>
      </c>
      <c r="U65" s="28">
        <f>PRODUCTION!V65+'SUPLIER INWARD'!V65</f>
        <v>0</v>
      </c>
      <c r="V65" s="28"/>
      <c r="W65" s="29">
        <v>0</v>
      </c>
      <c r="X65" s="30">
        <f t="shared" si="68"/>
        <v>0</v>
      </c>
      <c r="Y65" s="28">
        <f>PRODUCTION!Z65+'SUPLIER INWARD'!Z65</f>
        <v>0</v>
      </c>
      <c r="Z65" s="28"/>
      <c r="AA65" s="29">
        <v>0</v>
      </c>
      <c r="AB65" s="30">
        <f t="shared" si="69"/>
        <v>0</v>
      </c>
      <c r="AC65" s="28">
        <f>PRODUCTION!AD65+'SUPLIER INWARD'!AD65</f>
        <v>0</v>
      </c>
      <c r="AD65" s="28"/>
      <c r="AE65" s="29">
        <v>0</v>
      </c>
      <c r="AF65" s="30">
        <f t="shared" si="70"/>
        <v>0</v>
      </c>
      <c r="AG65" s="28">
        <f>PRODUCTION!AH65+'SUPLIER INWARD'!AH65</f>
        <v>0</v>
      </c>
      <c r="AH65" s="28"/>
      <c r="AI65" s="29">
        <v>0</v>
      </c>
      <c r="AJ65" s="30">
        <f t="shared" si="71"/>
        <v>0</v>
      </c>
      <c r="AK65" s="28">
        <f>PRODUCTION!AL65+'SUPLIER INWARD'!AL65</f>
        <v>0</v>
      </c>
      <c r="AL65" s="28"/>
      <c r="AM65" s="29">
        <v>0</v>
      </c>
      <c r="AN65" s="30">
        <f t="shared" si="72"/>
        <v>0</v>
      </c>
      <c r="AO65" s="28">
        <f>PRODUCTION!AP65+'SUPLIER INWARD'!AP65</f>
        <v>0</v>
      </c>
      <c r="AP65" s="28"/>
      <c r="AQ65" s="29">
        <v>0</v>
      </c>
      <c r="AR65" s="30">
        <f t="shared" si="73"/>
        <v>0</v>
      </c>
      <c r="AS65" s="28">
        <f>PRODUCTION!AT65+'SUPLIER INWARD'!AT65</f>
        <v>0</v>
      </c>
      <c r="AT65" s="28"/>
      <c r="AU65" s="29">
        <v>0</v>
      </c>
      <c r="AV65" s="30">
        <f t="shared" si="74"/>
        <v>0</v>
      </c>
      <c r="AW65" s="28">
        <f>PRODUCTION!AX65+'SUPLIER INWARD'!AX65</f>
        <v>0</v>
      </c>
      <c r="AX65" s="28"/>
      <c r="AY65" s="29"/>
      <c r="AZ65" s="30">
        <f t="shared" si="75"/>
        <v>0</v>
      </c>
      <c r="BA65" s="28">
        <f>PRODUCTION!BB65+'SUPLIER INWARD'!BB65</f>
        <v>0</v>
      </c>
      <c r="BB65" s="28"/>
      <c r="BC65" s="29">
        <v>0</v>
      </c>
      <c r="BD65" s="30">
        <f t="shared" si="76"/>
        <v>0</v>
      </c>
      <c r="BE65" s="28">
        <f>PRODUCTION!BF65+'SUPLIER INWARD'!BF65</f>
        <v>0</v>
      </c>
      <c r="BF65" s="28"/>
      <c r="BG65" s="29">
        <v>0</v>
      </c>
      <c r="BH65" s="30">
        <f t="shared" si="77"/>
        <v>0</v>
      </c>
      <c r="BI65" s="28">
        <f>PRODUCTION!BJ65+'SUPLIER INWARD'!BJ65</f>
        <v>0</v>
      </c>
      <c r="BJ65" s="28"/>
      <c r="BK65" s="29">
        <v>0</v>
      </c>
      <c r="BL65" s="30">
        <f t="shared" si="78"/>
        <v>0</v>
      </c>
      <c r="BM65" s="28">
        <f>PRODUCTION!BN65+'SUPLIER INWARD'!BN65</f>
        <v>0</v>
      </c>
      <c r="BN65" s="28"/>
      <c r="BO65" s="29">
        <v>0</v>
      </c>
      <c r="BP65" s="30">
        <f t="shared" si="79"/>
        <v>0</v>
      </c>
      <c r="BQ65" s="28">
        <f>PRODUCTION!BR65+'SUPLIER INWARD'!BR65</f>
        <v>0</v>
      </c>
      <c r="BR65" s="28"/>
      <c r="BS65" s="29">
        <v>0</v>
      </c>
      <c r="BT65" s="30">
        <f t="shared" si="80"/>
        <v>0</v>
      </c>
      <c r="BU65" s="28">
        <f>PRODUCTION!BV65+'SUPLIER INWARD'!BV65</f>
        <v>0</v>
      </c>
      <c r="BV65" s="28"/>
      <c r="BW65" s="29">
        <v>0</v>
      </c>
      <c r="BX65" s="30">
        <f t="shared" si="47"/>
        <v>0</v>
      </c>
      <c r="BY65" s="28">
        <f>PRODUCTION!BZ65+'SUPLIER INWARD'!BZ65</f>
        <v>0</v>
      </c>
      <c r="BZ65" s="28"/>
      <c r="CA65" s="29">
        <v>0</v>
      </c>
      <c r="CB65" s="30">
        <f t="shared" si="81"/>
        <v>0</v>
      </c>
      <c r="CC65" s="28">
        <f>PRODUCTION!CD65+'SUPLIER INWARD'!CD65</f>
        <v>0</v>
      </c>
      <c r="CD65" s="28"/>
      <c r="CE65" s="29">
        <v>0</v>
      </c>
      <c r="CF65" s="30">
        <f t="shared" si="82"/>
        <v>0</v>
      </c>
      <c r="CG65" s="28">
        <f>PRODUCTION!CH65+'SUPLIER INWARD'!CH65</f>
        <v>0</v>
      </c>
      <c r="CH65" s="28"/>
      <c r="CI65" s="29">
        <v>0</v>
      </c>
      <c r="CJ65" s="30">
        <f t="shared" si="50"/>
        <v>0</v>
      </c>
      <c r="CK65" s="28">
        <f>PRODUCTION!CL65+'SUPLIER INWARD'!CL65</f>
        <v>0</v>
      </c>
      <c r="CL65" s="151"/>
      <c r="CM65" s="152">
        <v>0</v>
      </c>
      <c r="CN65" s="30">
        <f t="shared" si="51"/>
        <v>0</v>
      </c>
      <c r="CO65" s="28">
        <f>PRODUCTION!CP65+'SUPLIER INWARD'!CP65</f>
        <v>0</v>
      </c>
      <c r="CP65" s="151"/>
      <c r="CQ65" s="29">
        <v>0</v>
      </c>
      <c r="CR65" s="30">
        <f t="shared" si="52"/>
        <v>0</v>
      </c>
      <c r="CS65" s="28">
        <f>PRODUCTION!CT65+'SUPLIER INWARD'!CT65</f>
        <v>0</v>
      </c>
      <c r="CT65" s="28"/>
      <c r="CU65" s="29">
        <v>0</v>
      </c>
      <c r="CV65" s="30">
        <f t="shared" si="53"/>
        <v>0</v>
      </c>
      <c r="CW65" s="28">
        <f>PRODUCTION!CX65+'SUPLIER INWARD'!CX65</f>
        <v>0</v>
      </c>
      <c r="CX65" s="28"/>
      <c r="CY65" s="29">
        <v>0</v>
      </c>
      <c r="CZ65" s="30">
        <f t="shared" si="83"/>
        <v>0</v>
      </c>
      <c r="DA65" s="28">
        <f>PRODUCTION!DB65+'SUPLIER INWARD'!DB65</f>
        <v>0</v>
      </c>
      <c r="DB65" s="28"/>
      <c r="DC65" s="29"/>
      <c r="DD65" s="30">
        <f t="shared" si="84"/>
        <v>0</v>
      </c>
      <c r="DE65" s="28">
        <f>PRODUCTION!DF65+'SUPLIER INWARD'!DF65</f>
        <v>0</v>
      </c>
      <c r="DF65" s="28"/>
      <c r="DG65" s="29">
        <v>0</v>
      </c>
      <c r="DH65" s="30">
        <f t="shared" si="85"/>
        <v>0</v>
      </c>
      <c r="DI65" s="28">
        <f>PRODUCTION!DJ65+'SUPLIER INWARD'!DJ65</f>
        <v>0</v>
      </c>
      <c r="DJ65" s="28"/>
      <c r="DK65" s="29">
        <v>0</v>
      </c>
      <c r="DL65" s="30">
        <f t="shared" si="86"/>
        <v>0</v>
      </c>
      <c r="DM65" s="28">
        <f>PRODUCTION!DN65+'SUPLIER INWARD'!DN65</f>
        <v>0</v>
      </c>
      <c r="DN65" s="28"/>
      <c r="DO65" s="29"/>
      <c r="DP65" s="30">
        <f t="shared" si="87"/>
        <v>0</v>
      </c>
      <c r="DQ65" s="28">
        <f>PRODUCTION!DR65+'SUPLIER INWARD'!DR65</f>
        <v>0</v>
      </c>
      <c r="DR65" s="28"/>
      <c r="DS65" s="29"/>
      <c r="DT65" s="30">
        <f t="shared" si="88"/>
        <v>0</v>
      </c>
      <c r="DU65" s="28">
        <f>PRODUCTION!DV65+'SUPLIER INWARD'!DV65</f>
        <v>0</v>
      </c>
      <c r="DV65" s="28"/>
      <c r="DW65" s="29"/>
      <c r="DX65" s="30">
        <f t="shared" si="89"/>
        <v>0</v>
      </c>
      <c r="DY65" s="31">
        <f t="shared" si="90"/>
        <v>0</v>
      </c>
      <c r="DZ65" s="31">
        <f t="shared" si="91"/>
        <v>0</v>
      </c>
      <c r="EA65" s="4">
        <f t="shared" si="92"/>
        <v>0</v>
      </c>
      <c r="EB65" s="9">
        <f>D65*'MASTER SHEET'!D65</f>
        <v>0</v>
      </c>
      <c r="EC65" s="9">
        <f>H65*'MASTER SHEET'!D65</f>
        <v>0</v>
      </c>
      <c r="ED65" s="9">
        <f>L65*'MASTER SHEET'!D65</f>
        <v>0</v>
      </c>
      <c r="EE65" s="9">
        <f>P65*'MASTER SHEET'!D65</f>
        <v>0</v>
      </c>
      <c r="EF65" s="9">
        <f>T65*'MASTER SHEET'!D65</f>
        <v>0</v>
      </c>
      <c r="EG65" s="9">
        <f>X65*'MASTER SHEET'!D65</f>
        <v>0</v>
      </c>
      <c r="EH65" s="9">
        <f>AB65*'MASTER SHEET'!D65</f>
        <v>0</v>
      </c>
      <c r="EI65" s="9">
        <f>AF65*'MASTER SHEET'!D65</f>
        <v>0</v>
      </c>
      <c r="EJ65" s="9">
        <f>AJ65*'MASTER SHEET'!D65</f>
        <v>0</v>
      </c>
      <c r="EK65" s="9">
        <f>AN65*'MASTER SHEET'!D65</f>
        <v>0</v>
      </c>
      <c r="EL65" s="9">
        <f>AR65*'MASTER SHEET'!D65</f>
        <v>0</v>
      </c>
      <c r="EM65" s="9">
        <f>AV65*'MASTER SHEET'!D65</f>
        <v>0</v>
      </c>
      <c r="EN65" s="9">
        <f>AZ65*'MASTER SHEET'!D65</f>
        <v>0</v>
      </c>
      <c r="EO65" s="9">
        <f>BD65*'MASTER SHEET'!D65</f>
        <v>0</v>
      </c>
      <c r="EP65" s="9">
        <f>$BH65*'MASTER SHEET'!$D65</f>
        <v>0</v>
      </c>
      <c r="EQ65" s="9">
        <f>BL65*'MASTER SHEET'!D65</f>
        <v>0</v>
      </c>
      <c r="ER65" s="9">
        <f>BP65*'MASTER SHEET'!D65</f>
        <v>0</v>
      </c>
      <c r="ES65" s="9">
        <f>BT65*'MASTER SHEET'!D65</f>
        <v>0</v>
      </c>
      <c r="ET65" s="9">
        <f>BX65*'MASTER SHEET'!D65</f>
        <v>0</v>
      </c>
      <c r="EU65" s="9">
        <f>CB65*'MASTER SHEET'!D65</f>
        <v>0</v>
      </c>
      <c r="EV65" s="9">
        <f>CF65*'MASTER SHEET'!D65</f>
        <v>0</v>
      </c>
      <c r="EW65" s="9">
        <f>CJ65*'MASTER SHEET'!D65</f>
        <v>0</v>
      </c>
      <c r="EX65" s="9">
        <f>CN65*'MASTER SHEET'!D65</f>
        <v>0</v>
      </c>
      <c r="EY65" s="9">
        <f>CR65*'MASTER SHEET'!D65</f>
        <v>0</v>
      </c>
      <c r="EZ65" s="9">
        <f>$CV65*'MASTER SHEET'!D65</f>
        <v>0</v>
      </c>
      <c r="FA65" s="9">
        <f>CZ65*'MASTER SHEET'!D65</f>
        <v>0</v>
      </c>
      <c r="FB65" s="9">
        <f>DD65*'MASTER SHEET'!D65</f>
        <v>0</v>
      </c>
      <c r="FC65" s="9">
        <f>DH65*'MASTER SHEET'!D65</f>
        <v>0</v>
      </c>
      <c r="FD65" s="9">
        <f>DL65*'MASTER SHEET'!D65</f>
        <v>0</v>
      </c>
      <c r="FE65" s="9">
        <f>DP65*'MASTER SHEET'!D65</f>
        <v>0</v>
      </c>
      <c r="FF65" s="9">
        <f>DT65*'MASTER SHEET'!D65</f>
        <v>0</v>
      </c>
      <c r="FG65" s="9">
        <f>+DX65*'MASTER SHEET'!D65</f>
        <v>0</v>
      </c>
    </row>
    <row r="66" spans="1:163" ht="20.25" customHeight="1" x14ac:dyDescent="0.25">
      <c r="A66" s="25">
        <f>'MASTER SHEET'!A66</f>
        <v>64</v>
      </c>
      <c r="B66" s="26" t="str">
        <f>'MASTER SHEET'!B66</f>
        <v>LID HOUSING CV</v>
      </c>
      <c r="C66" s="78">
        <f>'MASTER SHEET'!C66</f>
        <v>5032459</v>
      </c>
      <c r="D66" s="159">
        <v>0</v>
      </c>
      <c r="E66" s="28">
        <f>PRODUCTION!F66+'SUPLIER INWARD'!F66</f>
        <v>0</v>
      </c>
      <c r="F66" s="28"/>
      <c r="G66" s="29">
        <v>0</v>
      </c>
      <c r="H66" s="30">
        <f t="shared" si="64"/>
        <v>0</v>
      </c>
      <c r="I66" s="28">
        <f>PRODUCTION!J66+'SUPLIER INWARD'!J66</f>
        <v>0</v>
      </c>
      <c r="J66" s="28"/>
      <c r="K66" s="29">
        <v>0</v>
      </c>
      <c r="L66" s="30">
        <f t="shared" si="65"/>
        <v>0</v>
      </c>
      <c r="M66" s="28">
        <f>PRODUCTION!N66+'SUPLIER INWARD'!N66</f>
        <v>0</v>
      </c>
      <c r="N66" s="28"/>
      <c r="O66" s="29"/>
      <c r="P66" s="30">
        <f t="shared" si="66"/>
        <v>0</v>
      </c>
      <c r="Q66" s="28">
        <f>PRODUCTION!R66+'SUPLIER INWARD'!R66</f>
        <v>0</v>
      </c>
      <c r="R66" s="28"/>
      <c r="S66" s="29">
        <v>0</v>
      </c>
      <c r="T66" s="30">
        <f t="shared" si="67"/>
        <v>0</v>
      </c>
      <c r="U66" s="28">
        <f>PRODUCTION!V66+'SUPLIER INWARD'!V66</f>
        <v>0</v>
      </c>
      <c r="V66" s="28"/>
      <c r="W66" s="29">
        <v>0</v>
      </c>
      <c r="X66" s="30">
        <f t="shared" si="68"/>
        <v>0</v>
      </c>
      <c r="Y66" s="28">
        <f>PRODUCTION!Z66+'SUPLIER INWARD'!Z66</f>
        <v>0</v>
      </c>
      <c r="Z66" s="28"/>
      <c r="AA66" s="29">
        <v>0</v>
      </c>
      <c r="AB66" s="30">
        <f t="shared" si="69"/>
        <v>0</v>
      </c>
      <c r="AC66" s="28">
        <f>PRODUCTION!AD66+'SUPLIER INWARD'!AD66</f>
        <v>0</v>
      </c>
      <c r="AD66" s="28"/>
      <c r="AE66" s="29">
        <v>0</v>
      </c>
      <c r="AF66" s="30">
        <f t="shared" si="70"/>
        <v>0</v>
      </c>
      <c r="AG66" s="28">
        <f>PRODUCTION!AH66+'SUPLIER INWARD'!AH66</f>
        <v>0</v>
      </c>
      <c r="AH66" s="28"/>
      <c r="AI66" s="29">
        <v>0</v>
      </c>
      <c r="AJ66" s="30">
        <f t="shared" si="71"/>
        <v>0</v>
      </c>
      <c r="AK66" s="28">
        <f>PRODUCTION!AL66+'SUPLIER INWARD'!AL66</f>
        <v>0</v>
      </c>
      <c r="AL66" s="28"/>
      <c r="AM66" s="29">
        <v>0</v>
      </c>
      <c r="AN66" s="30">
        <f t="shared" si="72"/>
        <v>0</v>
      </c>
      <c r="AO66" s="28">
        <f>PRODUCTION!AP66+'SUPLIER INWARD'!AP66</f>
        <v>0</v>
      </c>
      <c r="AP66" s="28"/>
      <c r="AQ66" s="29">
        <v>0</v>
      </c>
      <c r="AR66" s="30">
        <f t="shared" si="73"/>
        <v>0</v>
      </c>
      <c r="AS66" s="28">
        <f>PRODUCTION!AT66+'SUPLIER INWARD'!AT66</f>
        <v>0</v>
      </c>
      <c r="AT66" s="28"/>
      <c r="AU66" s="29">
        <v>0</v>
      </c>
      <c r="AV66" s="30">
        <f t="shared" si="74"/>
        <v>0</v>
      </c>
      <c r="AW66" s="28">
        <f>PRODUCTION!AX66+'SUPLIER INWARD'!AX66</f>
        <v>0</v>
      </c>
      <c r="AX66" s="28"/>
      <c r="AY66" s="29"/>
      <c r="AZ66" s="30">
        <f t="shared" si="75"/>
        <v>0</v>
      </c>
      <c r="BA66" s="28">
        <f>PRODUCTION!BB66+'SUPLIER INWARD'!BB66</f>
        <v>0</v>
      </c>
      <c r="BB66" s="28"/>
      <c r="BC66" s="29">
        <v>0</v>
      </c>
      <c r="BD66" s="30">
        <f t="shared" si="76"/>
        <v>0</v>
      </c>
      <c r="BE66" s="28">
        <f>PRODUCTION!BF66+'SUPLIER INWARD'!BF66</f>
        <v>0</v>
      </c>
      <c r="BF66" s="28"/>
      <c r="BG66" s="29">
        <v>0</v>
      </c>
      <c r="BH66" s="30">
        <f t="shared" si="77"/>
        <v>0</v>
      </c>
      <c r="BI66" s="28">
        <f>PRODUCTION!BJ66+'SUPLIER INWARD'!BJ66</f>
        <v>0</v>
      </c>
      <c r="BJ66" s="28"/>
      <c r="BK66" s="29">
        <v>0</v>
      </c>
      <c r="BL66" s="30">
        <f t="shared" si="78"/>
        <v>0</v>
      </c>
      <c r="BM66" s="28">
        <f>PRODUCTION!BN66+'SUPLIER INWARD'!BN66</f>
        <v>0</v>
      </c>
      <c r="BN66" s="28"/>
      <c r="BO66" s="29">
        <v>0</v>
      </c>
      <c r="BP66" s="30">
        <f t="shared" si="79"/>
        <v>0</v>
      </c>
      <c r="BQ66" s="28">
        <f>PRODUCTION!BR66+'SUPLIER INWARD'!BR66</f>
        <v>0</v>
      </c>
      <c r="BR66" s="28"/>
      <c r="BS66" s="29">
        <v>0</v>
      </c>
      <c r="BT66" s="30">
        <f t="shared" si="80"/>
        <v>0</v>
      </c>
      <c r="BU66" s="28">
        <f>PRODUCTION!BV66+'SUPLIER INWARD'!BV66</f>
        <v>0</v>
      </c>
      <c r="BV66" s="28"/>
      <c r="BW66" s="29">
        <v>0</v>
      </c>
      <c r="BX66" s="30">
        <f t="shared" si="47"/>
        <v>0</v>
      </c>
      <c r="BY66" s="28">
        <f>PRODUCTION!BZ66+'SUPLIER INWARD'!BZ66</f>
        <v>0</v>
      </c>
      <c r="BZ66" s="28"/>
      <c r="CA66" s="29">
        <v>0</v>
      </c>
      <c r="CB66" s="30">
        <f t="shared" si="81"/>
        <v>0</v>
      </c>
      <c r="CC66" s="28">
        <f>PRODUCTION!CD66+'SUPLIER INWARD'!CD66</f>
        <v>0</v>
      </c>
      <c r="CD66" s="28"/>
      <c r="CE66" s="29">
        <v>0</v>
      </c>
      <c r="CF66" s="30">
        <f t="shared" si="82"/>
        <v>0</v>
      </c>
      <c r="CG66" s="28">
        <f>PRODUCTION!CH66+'SUPLIER INWARD'!CH66</f>
        <v>0</v>
      </c>
      <c r="CH66" s="28"/>
      <c r="CI66" s="29">
        <v>0</v>
      </c>
      <c r="CJ66" s="30">
        <f t="shared" si="50"/>
        <v>0</v>
      </c>
      <c r="CK66" s="28">
        <f>PRODUCTION!CL66+'SUPLIER INWARD'!CL66</f>
        <v>0</v>
      </c>
      <c r="CL66" s="151"/>
      <c r="CM66" s="152">
        <v>0</v>
      </c>
      <c r="CN66" s="30">
        <f t="shared" si="51"/>
        <v>0</v>
      </c>
      <c r="CO66" s="28">
        <f>PRODUCTION!CP66+'SUPLIER INWARD'!CP66</f>
        <v>0</v>
      </c>
      <c r="CP66" s="151"/>
      <c r="CQ66" s="29">
        <v>0</v>
      </c>
      <c r="CR66" s="30">
        <f t="shared" si="52"/>
        <v>0</v>
      </c>
      <c r="CS66" s="28">
        <f>PRODUCTION!CT66+'SUPLIER INWARD'!CT66</f>
        <v>0</v>
      </c>
      <c r="CT66" s="28"/>
      <c r="CU66" s="29">
        <v>0</v>
      </c>
      <c r="CV66" s="30">
        <f t="shared" si="53"/>
        <v>0</v>
      </c>
      <c r="CW66" s="28">
        <f>PRODUCTION!CX66+'SUPLIER INWARD'!CX66</f>
        <v>0</v>
      </c>
      <c r="CX66" s="28"/>
      <c r="CY66" s="29">
        <v>0</v>
      </c>
      <c r="CZ66" s="30">
        <f t="shared" si="83"/>
        <v>0</v>
      </c>
      <c r="DA66" s="28">
        <f>PRODUCTION!DB66+'SUPLIER INWARD'!DB66</f>
        <v>0</v>
      </c>
      <c r="DB66" s="28"/>
      <c r="DC66" s="29"/>
      <c r="DD66" s="30">
        <f t="shared" si="84"/>
        <v>0</v>
      </c>
      <c r="DE66" s="28">
        <f>PRODUCTION!DF66+'SUPLIER INWARD'!DF66</f>
        <v>0</v>
      </c>
      <c r="DF66" s="28"/>
      <c r="DG66" s="29">
        <v>0</v>
      </c>
      <c r="DH66" s="30">
        <f t="shared" si="85"/>
        <v>0</v>
      </c>
      <c r="DI66" s="28">
        <f>PRODUCTION!DJ66+'SUPLIER INWARD'!DJ66</f>
        <v>0</v>
      </c>
      <c r="DJ66" s="28"/>
      <c r="DK66" s="29">
        <v>0</v>
      </c>
      <c r="DL66" s="30">
        <f t="shared" si="86"/>
        <v>0</v>
      </c>
      <c r="DM66" s="28">
        <f>PRODUCTION!DN66+'SUPLIER INWARD'!DN66</f>
        <v>0</v>
      </c>
      <c r="DN66" s="28"/>
      <c r="DO66" s="29"/>
      <c r="DP66" s="30">
        <f t="shared" si="87"/>
        <v>0</v>
      </c>
      <c r="DQ66" s="28">
        <f>PRODUCTION!DR66+'SUPLIER INWARD'!DR66</f>
        <v>0</v>
      </c>
      <c r="DR66" s="28"/>
      <c r="DS66" s="29"/>
      <c r="DT66" s="30">
        <f t="shared" si="88"/>
        <v>0</v>
      </c>
      <c r="DU66" s="28">
        <f>PRODUCTION!DV66+'SUPLIER INWARD'!DV66</f>
        <v>0</v>
      </c>
      <c r="DV66" s="28"/>
      <c r="DW66" s="29"/>
      <c r="DX66" s="30">
        <f t="shared" si="89"/>
        <v>0</v>
      </c>
      <c r="DY66" s="31">
        <f t="shared" si="90"/>
        <v>0</v>
      </c>
      <c r="DZ66" s="31">
        <f t="shared" si="91"/>
        <v>0</v>
      </c>
      <c r="EA66" s="4">
        <f t="shared" si="92"/>
        <v>0</v>
      </c>
      <c r="EB66" s="9">
        <f>D66*'MASTER SHEET'!D66</f>
        <v>0</v>
      </c>
      <c r="EC66" s="9">
        <f>H66*'MASTER SHEET'!D66</f>
        <v>0</v>
      </c>
      <c r="ED66" s="9">
        <f>L66*'MASTER SHEET'!D66</f>
        <v>0</v>
      </c>
      <c r="EE66" s="9">
        <f>P66*'MASTER SHEET'!D66</f>
        <v>0</v>
      </c>
      <c r="EF66" s="9">
        <f>T66*'MASTER SHEET'!D66</f>
        <v>0</v>
      </c>
      <c r="EG66" s="9">
        <f>X66*'MASTER SHEET'!D66</f>
        <v>0</v>
      </c>
      <c r="EH66" s="9">
        <f>AB66*'MASTER SHEET'!D66</f>
        <v>0</v>
      </c>
      <c r="EI66" s="9">
        <f>AF66*'MASTER SHEET'!D66</f>
        <v>0</v>
      </c>
      <c r="EJ66" s="9">
        <f>AJ66*'MASTER SHEET'!D66</f>
        <v>0</v>
      </c>
      <c r="EK66" s="9">
        <f>AN66*'MASTER SHEET'!D66</f>
        <v>0</v>
      </c>
      <c r="EL66" s="9">
        <f>AR66*'MASTER SHEET'!D66</f>
        <v>0</v>
      </c>
      <c r="EM66" s="9">
        <f>AV66*'MASTER SHEET'!D66</f>
        <v>0</v>
      </c>
      <c r="EN66" s="9">
        <f>AZ66*'MASTER SHEET'!D66</f>
        <v>0</v>
      </c>
      <c r="EO66" s="9">
        <f>BD66*'MASTER SHEET'!D66</f>
        <v>0</v>
      </c>
      <c r="EP66" s="9">
        <f>$BH66*'MASTER SHEET'!$D66</f>
        <v>0</v>
      </c>
      <c r="EQ66" s="9">
        <f>BL66*'MASTER SHEET'!D66</f>
        <v>0</v>
      </c>
      <c r="ER66" s="9">
        <f>BP66*'MASTER SHEET'!D66</f>
        <v>0</v>
      </c>
      <c r="ES66" s="9">
        <f>BT66*'MASTER SHEET'!D66</f>
        <v>0</v>
      </c>
      <c r="ET66" s="9">
        <f>BX66*'MASTER SHEET'!D66</f>
        <v>0</v>
      </c>
      <c r="EU66" s="9">
        <f>CB66*'MASTER SHEET'!D66</f>
        <v>0</v>
      </c>
      <c r="EV66" s="9">
        <f>CF66*'MASTER SHEET'!D66</f>
        <v>0</v>
      </c>
      <c r="EW66" s="9">
        <f>CJ66*'MASTER SHEET'!D66</f>
        <v>0</v>
      </c>
      <c r="EX66" s="9">
        <f>CN66*'MASTER SHEET'!D66</f>
        <v>0</v>
      </c>
      <c r="EY66" s="9">
        <f>CR66*'MASTER SHEET'!D66</f>
        <v>0</v>
      </c>
      <c r="EZ66" s="9">
        <f>$CV66*'MASTER SHEET'!D66</f>
        <v>0</v>
      </c>
      <c r="FA66" s="9">
        <f>CZ66*'MASTER SHEET'!D66</f>
        <v>0</v>
      </c>
      <c r="FB66" s="9">
        <f>DD66*'MASTER SHEET'!D66</f>
        <v>0</v>
      </c>
      <c r="FC66" s="9">
        <f>DH66*'MASTER SHEET'!D66</f>
        <v>0</v>
      </c>
      <c r="FD66" s="9">
        <f>DL66*'MASTER SHEET'!D66</f>
        <v>0</v>
      </c>
      <c r="FE66" s="9">
        <f>DP66*'MASTER SHEET'!D66</f>
        <v>0</v>
      </c>
      <c r="FF66" s="9">
        <f>DT66*'MASTER SHEET'!D66</f>
        <v>0</v>
      </c>
      <c r="FG66" s="9">
        <f>+DX66*'MASTER SHEET'!D66</f>
        <v>0</v>
      </c>
    </row>
    <row r="67" spans="1:163" ht="20.25" customHeight="1" x14ac:dyDescent="0.25">
      <c r="A67" s="25">
        <f>'MASTER SHEET'!A67</f>
        <v>65</v>
      </c>
      <c r="B67" s="26" t="str">
        <f>'MASTER SHEET'!B67</f>
        <v>MBP PIPE</v>
      </c>
      <c r="C67" s="78">
        <f>'MASTER SHEET'!C67</f>
        <v>5032473</v>
      </c>
      <c r="D67" s="159">
        <v>36</v>
      </c>
      <c r="E67" s="28">
        <f>PRODUCTION!F67+'SUPLIER INWARD'!F67</f>
        <v>0</v>
      </c>
      <c r="F67" s="28"/>
      <c r="G67" s="29">
        <v>0</v>
      </c>
      <c r="H67" s="30">
        <f t="shared" ref="H67:H98" si="93">D67+E67-F67-G67</f>
        <v>36</v>
      </c>
      <c r="I67" s="28">
        <f>PRODUCTION!J67+'SUPLIER INWARD'!J67</f>
        <v>0</v>
      </c>
      <c r="J67" s="28"/>
      <c r="K67" s="29">
        <v>0</v>
      </c>
      <c r="L67" s="30">
        <f t="shared" ref="L67:L98" si="94">H67+I67-J67-K67</f>
        <v>36</v>
      </c>
      <c r="M67" s="28">
        <f>PRODUCTION!N67+'SUPLIER INWARD'!N67</f>
        <v>0</v>
      </c>
      <c r="N67" s="28"/>
      <c r="O67" s="29"/>
      <c r="P67" s="30">
        <f t="shared" ref="P67:P98" si="95">L67+M67-N67-O67</f>
        <v>36</v>
      </c>
      <c r="Q67" s="28">
        <f>PRODUCTION!R67+'SUPLIER INWARD'!R67</f>
        <v>0</v>
      </c>
      <c r="R67" s="28"/>
      <c r="S67" s="29">
        <v>0</v>
      </c>
      <c r="T67" s="30">
        <f t="shared" ref="T67:T98" si="96">P67+Q67-R67-S67</f>
        <v>36</v>
      </c>
      <c r="U67" s="28">
        <f>PRODUCTION!V67+'SUPLIER INWARD'!V67</f>
        <v>0</v>
      </c>
      <c r="V67" s="28"/>
      <c r="W67" s="29">
        <v>0</v>
      </c>
      <c r="X67" s="30">
        <f t="shared" ref="X67:X98" si="97">T67+U67-V67-W67</f>
        <v>36</v>
      </c>
      <c r="Y67" s="28">
        <f>PRODUCTION!Z67+'SUPLIER INWARD'!Z67</f>
        <v>0</v>
      </c>
      <c r="Z67" s="28"/>
      <c r="AA67" s="29">
        <v>0</v>
      </c>
      <c r="AB67" s="30">
        <f t="shared" ref="AB67:AB98" si="98">X67+Y67-Z67-AA67</f>
        <v>36</v>
      </c>
      <c r="AC67" s="28">
        <f>PRODUCTION!AD67+'SUPLIER INWARD'!AD67</f>
        <v>0</v>
      </c>
      <c r="AD67" s="28"/>
      <c r="AE67" s="29">
        <v>0</v>
      </c>
      <c r="AF67" s="30">
        <f t="shared" ref="AF67:AF98" si="99">AB67+AC67-AD67-AE67</f>
        <v>36</v>
      </c>
      <c r="AG67" s="28">
        <f>PRODUCTION!AH67+'SUPLIER INWARD'!AH67</f>
        <v>0</v>
      </c>
      <c r="AH67" s="28"/>
      <c r="AI67" s="29">
        <v>0</v>
      </c>
      <c r="AJ67" s="30">
        <f t="shared" ref="AJ67:AJ98" si="100">AF67+AG67-AH67-AI67</f>
        <v>36</v>
      </c>
      <c r="AK67" s="28">
        <f>PRODUCTION!AL67+'SUPLIER INWARD'!AL67</f>
        <v>0</v>
      </c>
      <c r="AL67" s="28"/>
      <c r="AM67" s="29">
        <v>0</v>
      </c>
      <c r="AN67" s="30">
        <f t="shared" ref="AN67:AN98" si="101">AJ67+AK67-AL67-AM67</f>
        <v>36</v>
      </c>
      <c r="AO67" s="28">
        <f>PRODUCTION!AP67+'SUPLIER INWARD'!AP67</f>
        <v>0</v>
      </c>
      <c r="AP67" s="28"/>
      <c r="AQ67" s="29">
        <v>0</v>
      </c>
      <c r="AR67" s="30">
        <f t="shared" ref="AR67:AR98" si="102">AN67+AO67-AP67-AQ67</f>
        <v>36</v>
      </c>
      <c r="AS67" s="28">
        <f>PRODUCTION!AT67+'SUPLIER INWARD'!AT67</f>
        <v>0</v>
      </c>
      <c r="AT67" s="28"/>
      <c r="AU67" s="29">
        <v>0</v>
      </c>
      <c r="AV67" s="30">
        <f t="shared" ref="AV67:AV98" si="103">AR67+AS67-AT67-AU67</f>
        <v>36</v>
      </c>
      <c r="AW67" s="28">
        <f>PRODUCTION!AX67+'SUPLIER INWARD'!AX67</f>
        <v>0</v>
      </c>
      <c r="AX67" s="28"/>
      <c r="AY67" s="29"/>
      <c r="AZ67" s="30">
        <f t="shared" ref="AZ67:AZ98" si="104">AV67+AW67-AX67-AY67</f>
        <v>36</v>
      </c>
      <c r="BA67" s="28">
        <f>PRODUCTION!BB67+'SUPLIER INWARD'!BB67</f>
        <v>0</v>
      </c>
      <c r="BB67" s="28"/>
      <c r="BC67" s="29">
        <v>0</v>
      </c>
      <c r="BD67" s="30">
        <f t="shared" ref="BD67:BD98" si="105">AZ67+BA67-BB67-BC67</f>
        <v>36</v>
      </c>
      <c r="BE67" s="28">
        <f>PRODUCTION!BF67+'SUPLIER INWARD'!BF67</f>
        <v>0</v>
      </c>
      <c r="BF67" s="28"/>
      <c r="BG67" s="29">
        <v>0</v>
      </c>
      <c r="BH67" s="30">
        <f t="shared" ref="BH67:BH98" si="106">BD67+BE67-BF67-BG67</f>
        <v>36</v>
      </c>
      <c r="BI67" s="28">
        <f>PRODUCTION!BJ67+'SUPLIER INWARD'!BJ67</f>
        <v>0</v>
      </c>
      <c r="BJ67" s="28"/>
      <c r="BK67" s="29">
        <v>0</v>
      </c>
      <c r="BL67" s="30">
        <f t="shared" ref="BL67:BL98" si="107">BH67+BI67-BJ67-BK67</f>
        <v>36</v>
      </c>
      <c r="BM67" s="28">
        <f>PRODUCTION!BN67+'SUPLIER INWARD'!BN67</f>
        <v>0</v>
      </c>
      <c r="BN67" s="28"/>
      <c r="BO67" s="29">
        <v>0</v>
      </c>
      <c r="BP67" s="30">
        <f t="shared" ref="BP67:BP98" si="108">BL67+BM67-BN67-BO67</f>
        <v>36</v>
      </c>
      <c r="BQ67" s="28">
        <f>PRODUCTION!BR67+'SUPLIER INWARD'!BR67</f>
        <v>0</v>
      </c>
      <c r="BR67" s="28"/>
      <c r="BS67" s="29">
        <v>0</v>
      </c>
      <c r="BT67" s="30">
        <f t="shared" ref="BT67:BT98" si="109">BP67+BQ67-BR67-BS67</f>
        <v>36</v>
      </c>
      <c r="BU67" s="28">
        <f>PRODUCTION!BV67+'SUPLIER INWARD'!BV67</f>
        <v>0</v>
      </c>
      <c r="BV67" s="28"/>
      <c r="BW67" s="29">
        <v>0</v>
      </c>
      <c r="BX67" s="30">
        <f t="shared" ref="BX67:BX130" si="110">BT67+BU67-BV67-BW67</f>
        <v>36</v>
      </c>
      <c r="BY67" s="28">
        <f>PRODUCTION!BZ67+'SUPLIER INWARD'!BZ67</f>
        <v>0</v>
      </c>
      <c r="BZ67" s="28"/>
      <c r="CA67" s="29">
        <v>0</v>
      </c>
      <c r="CB67" s="30">
        <f t="shared" ref="CB67:CB98" si="111">BX67+BY67-BZ67-CA67</f>
        <v>36</v>
      </c>
      <c r="CC67" s="28">
        <f>PRODUCTION!CD67+'SUPLIER INWARD'!CD67</f>
        <v>0</v>
      </c>
      <c r="CD67" s="28"/>
      <c r="CE67" s="29">
        <v>0</v>
      </c>
      <c r="CF67" s="30">
        <f t="shared" ref="CF67:CF98" si="112">CB67+CC67-CD67-CE67</f>
        <v>36</v>
      </c>
      <c r="CG67" s="28">
        <f>PRODUCTION!CH67+'SUPLIER INWARD'!CH67</f>
        <v>0</v>
      </c>
      <c r="CH67" s="28"/>
      <c r="CI67" s="29">
        <v>0</v>
      </c>
      <c r="CJ67" s="30">
        <f t="shared" ref="CJ67:CJ130" si="113">CF67+CG67-CH67-CI67</f>
        <v>36</v>
      </c>
      <c r="CK67" s="28">
        <f>PRODUCTION!CL67+'SUPLIER INWARD'!CL67</f>
        <v>0</v>
      </c>
      <c r="CL67" s="151"/>
      <c r="CM67" s="152">
        <v>0</v>
      </c>
      <c r="CN67" s="30">
        <f t="shared" ref="CN67:CN130" si="114">CJ67+CK67-CL67-CM67</f>
        <v>36</v>
      </c>
      <c r="CO67" s="28">
        <f>PRODUCTION!CP67+'SUPLIER INWARD'!CP67</f>
        <v>0</v>
      </c>
      <c r="CP67" s="151"/>
      <c r="CQ67" s="29">
        <v>0</v>
      </c>
      <c r="CR67" s="30">
        <f t="shared" ref="CR67:CR130" si="115">CN67+CO67-CP67-CQ67</f>
        <v>36</v>
      </c>
      <c r="CS67" s="28">
        <f>PRODUCTION!CT67+'SUPLIER INWARD'!CT67</f>
        <v>0</v>
      </c>
      <c r="CT67" s="28"/>
      <c r="CU67" s="29">
        <v>0</v>
      </c>
      <c r="CV67" s="30">
        <f t="shared" ref="CV67:CV130" si="116">CR67+CS67-CT67-CU67</f>
        <v>36</v>
      </c>
      <c r="CW67" s="28">
        <f>PRODUCTION!CX67+'SUPLIER INWARD'!CX67</f>
        <v>0</v>
      </c>
      <c r="CX67" s="28"/>
      <c r="CY67" s="29">
        <v>0</v>
      </c>
      <c r="CZ67" s="30">
        <f t="shared" ref="CZ67:CZ98" si="117">CV67+CW67-CX67-CY67</f>
        <v>36</v>
      </c>
      <c r="DA67" s="28">
        <f>PRODUCTION!DB67+'SUPLIER INWARD'!DB67</f>
        <v>0</v>
      </c>
      <c r="DB67" s="28"/>
      <c r="DC67" s="29"/>
      <c r="DD67" s="30">
        <f t="shared" ref="DD67:DD98" si="118">CZ67+DA67-DB67-DC67</f>
        <v>36</v>
      </c>
      <c r="DE67" s="28">
        <f>PRODUCTION!DF67+'SUPLIER INWARD'!DF67</f>
        <v>0</v>
      </c>
      <c r="DF67" s="28"/>
      <c r="DG67" s="29">
        <v>0</v>
      </c>
      <c r="DH67" s="30">
        <f t="shared" ref="DH67:DH98" si="119">DD67+DE67-DF67-DG67</f>
        <v>36</v>
      </c>
      <c r="DI67" s="28">
        <f>PRODUCTION!DJ67+'SUPLIER INWARD'!DJ67</f>
        <v>0</v>
      </c>
      <c r="DJ67" s="28"/>
      <c r="DK67" s="29">
        <v>0</v>
      </c>
      <c r="DL67" s="30">
        <f t="shared" ref="DL67:DL98" si="120">DH67+DI67-DJ67-DK67</f>
        <v>36</v>
      </c>
      <c r="DM67" s="28">
        <f>PRODUCTION!DN67+'SUPLIER INWARD'!DN67</f>
        <v>0</v>
      </c>
      <c r="DN67" s="28"/>
      <c r="DO67" s="29"/>
      <c r="DP67" s="30">
        <f t="shared" ref="DP67:DP98" si="121">DL67+DM67-DN67-DO67</f>
        <v>36</v>
      </c>
      <c r="DQ67" s="28">
        <f>PRODUCTION!DR67+'SUPLIER INWARD'!DR67</f>
        <v>0</v>
      </c>
      <c r="DR67" s="28"/>
      <c r="DS67" s="29"/>
      <c r="DT67" s="30">
        <f t="shared" ref="DT67:DT98" si="122">DP67+DQ67-DR67-DS67</f>
        <v>36</v>
      </c>
      <c r="DU67" s="28">
        <f>PRODUCTION!DV67+'SUPLIER INWARD'!DV67</f>
        <v>0</v>
      </c>
      <c r="DV67" s="28"/>
      <c r="DW67" s="29"/>
      <c r="DX67" s="30">
        <f t="shared" ref="DX67:DX98" si="123">DT67+DU67-DV67-DW67</f>
        <v>36</v>
      </c>
      <c r="DY67" s="31">
        <f t="shared" ref="DY67:DY98" si="124">E67+I67+M67+Q67+U67+Y67+AC67+AG67+AK67+AO67+AS67+AW67+BA67+BE67+BI67+BM67+BQ67+BU67+BY67+CC67+CG67+CK67+CO67+CS67+CW67+DA67+DE67+DI67+DM67+DQ67+DU67</f>
        <v>0</v>
      </c>
      <c r="DZ67" s="31">
        <f t="shared" ref="DZ67:DZ98" si="125">F67+J67+N67+R67+V67+Z67+AD67+AH67+AL67+AP67+AT67+AX67+BB67+BF67+BJ67+BN67+BR67+BV67+BZ67+CD67+CH67+CL67+CP67+CT67+CX67+DB67+DF67+DJ67+DN67+DR67+DV67</f>
        <v>0</v>
      </c>
      <c r="EA67" s="4">
        <f t="shared" ref="EA67:EA98" si="126">G67+K67+O67+S67+W67+AA67+AE67+AI67+AM67+AQ67+AU67+AY67+BC67+BG67+BK67+BO67+BS67+BW67+CA67+CE67+CI67+CM67+CQ67+CU67+CY67+DC67+DG67+DK67+DO67+DS67+DW67</f>
        <v>0</v>
      </c>
      <c r="EB67" s="9">
        <f>D67*'MASTER SHEET'!D67</f>
        <v>5966.28</v>
      </c>
      <c r="EC67" s="9">
        <f>H67*'MASTER SHEET'!D67</f>
        <v>5966.28</v>
      </c>
      <c r="ED67" s="9">
        <f>L67*'MASTER SHEET'!D67</f>
        <v>5966.28</v>
      </c>
      <c r="EE67" s="9">
        <f>P67*'MASTER SHEET'!D67</f>
        <v>5966.28</v>
      </c>
      <c r="EF67" s="9">
        <f>T67*'MASTER SHEET'!D67</f>
        <v>5966.28</v>
      </c>
      <c r="EG67" s="9">
        <f>X67*'MASTER SHEET'!D67</f>
        <v>5966.28</v>
      </c>
      <c r="EH67" s="9">
        <f>AB67*'MASTER SHEET'!D67</f>
        <v>5966.28</v>
      </c>
      <c r="EI67" s="9">
        <f>AF67*'MASTER SHEET'!D67</f>
        <v>5966.28</v>
      </c>
      <c r="EJ67" s="9">
        <f>AJ67*'MASTER SHEET'!D67</f>
        <v>5966.28</v>
      </c>
      <c r="EK67" s="9">
        <f>AN67*'MASTER SHEET'!D67</f>
        <v>5966.28</v>
      </c>
      <c r="EL67" s="9">
        <f>AR67*'MASTER SHEET'!D67</f>
        <v>5966.28</v>
      </c>
      <c r="EM67" s="9">
        <f>AV67*'MASTER SHEET'!D67</f>
        <v>5966.28</v>
      </c>
      <c r="EN67" s="9">
        <f>AZ67*'MASTER SHEET'!D67</f>
        <v>5966.28</v>
      </c>
      <c r="EO67" s="9">
        <f>BD67*'MASTER SHEET'!D67</f>
        <v>5966.28</v>
      </c>
      <c r="EP67" s="9">
        <f>$BH67*'MASTER SHEET'!$D67</f>
        <v>5966.28</v>
      </c>
      <c r="EQ67" s="9">
        <f>BL67*'MASTER SHEET'!D67</f>
        <v>5966.28</v>
      </c>
      <c r="ER67" s="9">
        <f>BP67*'MASTER SHEET'!D67</f>
        <v>5966.28</v>
      </c>
      <c r="ES67" s="9">
        <f>BT67*'MASTER SHEET'!D67</f>
        <v>5966.28</v>
      </c>
      <c r="ET67" s="9">
        <f>BX67*'MASTER SHEET'!D67</f>
        <v>5966.28</v>
      </c>
      <c r="EU67" s="9">
        <f>CB67*'MASTER SHEET'!D67</f>
        <v>5966.28</v>
      </c>
      <c r="EV67" s="9">
        <f>CF67*'MASTER SHEET'!D67</f>
        <v>5966.28</v>
      </c>
      <c r="EW67" s="9">
        <f>CJ67*'MASTER SHEET'!D67</f>
        <v>5966.28</v>
      </c>
      <c r="EX67" s="9">
        <f>CN67*'MASTER SHEET'!D67</f>
        <v>5966.28</v>
      </c>
      <c r="EY67" s="9">
        <f>CR67*'MASTER SHEET'!D67</f>
        <v>5966.28</v>
      </c>
      <c r="EZ67" s="9">
        <f>$CV67*'MASTER SHEET'!D67</f>
        <v>5966.28</v>
      </c>
      <c r="FA67" s="9">
        <f>CZ67*'MASTER SHEET'!D67</f>
        <v>5966.28</v>
      </c>
      <c r="FB67" s="9">
        <f>DD67*'MASTER SHEET'!D67</f>
        <v>5966.28</v>
      </c>
      <c r="FC67" s="9">
        <f>DH67*'MASTER SHEET'!D67</f>
        <v>5966.28</v>
      </c>
      <c r="FD67" s="9">
        <f>DL67*'MASTER SHEET'!D67</f>
        <v>5966.28</v>
      </c>
      <c r="FE67" s="9">
        <f>DP67*'MASTER SHEET'!D67</f>
        <v>5966.28</v>
      </c>
      <c r="FF67" s="9">
        <f>DT67*'MASTER SHEET'!D67</f>
        <v>5966.28</v>
      </c>
      <c r="FG67" s="9">
        <f>+DX67*'MASTER SHEET'!D67</f>
        <v>5966.28</v>
      </c>
    </row>
    <row r="68" spans="1:163" s="10" customFormat="1" ht="20.25" customHeight="1" x14ac:dyDescent="0.25">
      <c r="A68" s="25">
        <f>'MASTER SHEET'!A68</f>
        <v>66</v>
      </c>
      <c r="B68" s="26" t="str">
        <f>'MASTER SHEET'!B68</f>
        <v>BASE HOUSING</v>
      </c>
      <c r="C68" s="78">
        <f>'MASTER SHEET'!C68</f>
        <v>5034048</v>
      </c>
      <c r="D68" s="159">
        <v>0</v>
      </c>
      <c r="E68" s="28">
        <f>PRODUCTION!F68+'SUPLIER INWARD'!F68</f>
        <v>0</v>
      </c>
      <c r="F68" s="28"/>
      <c r="G68" s="29">
        <v>0</v>
      </c>
      <c r="H68" s="30">
        <f t="shared" si="93"/>
        <v>0</v>
      </c>
      <c r="I68" s="28">
        <f>PRODUCTION!J68+'SUPLIER INWARD'!J68</f>
        <v>0</v>
      </c>
      <c r="J68" s="28"/>
      <c r="K68" s="29">
        <v>0</v>
      </c>
      <c r="L68" s="30">
        <f t="shared" si="94"/>
        <v>0</v>
      </c>
      <c r="M68" s="28">
        <f>PRODUCTION!N68+'SUPLIER INWARD'!N68</f>
        <v>0</v>
      </c>
      <c r="N68" s="28"/>
      <c r="O68" s="29"/>
      <c r="P68" s="30">
        <f t="shared" si="95"/>
        <v>0</v>
      </c>
      <c r="Q68" s="28">
        <f>PRODUCTION!R68+'SUPLIER INWARD'!R68</f>
        <v>0</v>
      </c>
      <c r="R68" s="28"/>
      <c r="S68" s="29">
        <v>0</v>
      </c>
      <c r="T68" s="30">
        <f t="shared" si="96"/>
        <v>0</v>
      </c>
      <c r="U68" s="28">
        <f>PRODUCTION!V68+'SUPLIER INWARD'!V68</f>
        <v>0</v>
      </c>
      <c r="V68" s="28"/>
      <c r="W68" s="29">
        <v>0</v>
      </c>
      <c r="X68" s="30">
        <f t="shared" si="97"/>
        <v>0</v>
      </c>
      <c r="Y68" s="28">
        <f>PRODUCTION!Z68+'SUPLIER INWARD'!Z68</f>
        <v>0</v>
      </c>
      <c r="Z68" s="28"/>
      <c r="AA68" s="29">
        <v>0</v>
      </c>
      <c r="AB68" s="30">
        <f t="shared" si="98"/>
        <v>0</v>
      </c>
      <c r="AC68" s="28">
        <f>PRODUCTION!AD68+'SUPLIER INWARD'!AD68</f>
        <v>0</v>
      </c>
      <c r="AD68" s="28"/>
      <c r="AE68" s="29">
        <v>0</v>
      </c>
      <c r="AF68" s="30">
        <f t="shared" si="99"/>
        <v>0</v>
      </c>
      <c r="AG68" s="28">
        <f>PRODUCTION!AH68+'SUPLIER INWARD'!AH68</f>
        <v>0</v>
      </c>
      <c r="AH68" s="28"/>
      <c r="AI68" s="29">
        <v>0</v>
      </c>
      <c r="AJ68" s="30">
        <f t="shared" si="100"/>
        <v>0</v>
      </c>
      <c r="AK68" s="28">
        <f>PRODUCTION!AL68+'SUPLIER INWARD'!AL68</f>
        <v>0</v>
      </c>
      <c r="AL68" s="28"/>
      <c r="AM68" s="29">
        <v>0</v>
      </c>
      <c r="AN68" s="30">
        <f t="shared" si="101"/>
        <v>0</v>
      </c>
      <c r="AO68" s="28">
        <f>PRODUCTION!AP68+'SUPLIER INWARD'!AP68</f>
        <v>0</v>
      </c>
      <c r="AP68" s="28"/>
      <c r="AQ68" s="29">
        <v>0</v>
      </c>
      <c r="AR68" s="30">
        <f t="shared" si="102"/>
        <v>0</v>
      </c>
      <c r="AS68" s="28">
        <f>PRODUCTION!AT68+'SUPLIER INWARD'!AT68</f>
        <v>0</v>
      </c>
      <c r="AT68" s="28"/>
      <c r="AU68" s="29">
        <v>0</v>
      </c>
      <c r="AV68" s="30">
        <f t="shared" si="103"/>
        <v>0</v>
      </c>
      <c r="AW68" s="28">
        <f>PRODUCTION!AX68+'SUPLIER INWARD'!AX68</f>
        <v>0</v>
      </c>
      <c r="AX68" s="28"/>
      <c r="AY68" s="29"/>
      <c r="AZ68" s="30">
        <f t="shared" si="104"/>
        <v>0</v>
      </c>
      <c r="BA68" s="28">
        <f>PRODUCTION!BB68+'SUPLIER INWARD'!BB68</f>
        <v>0</v>
      </c>
      <c r="BB68" s="28"/>
      <c r="BC68" s="29">
        <v>0</v>
      </c>
      <c r="BD68" s="30">
        <f t="shared" si="105"/>
        <v>0</v>
      </c>
      <c r="BE68" s="28">
        <f>PRODUCTION!BF68+'SUPLIER INWARD'!BF68</f>
        <v>0</v>
      </c>
      <c r="BF68" s="28"/>
      <c r="BG68" s="29">
        <v>0</v>
      </c>
      <c r="BH68" s="30">
        <f t="shared" si="106"/>
        <v>0</v>
      </c>
      <c r="BI68" s="28">
        <f>PRODUCTION!BJ68+'SUPLIER INWARD'!BJ68</f>
        <v>0</v>
      </c>
      <c r="BJ68" s="28"/>
      <c r="BK68" s="29">
        <v>0</v>
      </c>
      <c r="BL68" s="30">
        <f t="shared" si="107"/>
        <v>0</v>
      </c>
      <c r="BM68" s="28">
        <f>PRODUCTION!BN68+'SUPLIER INWARD'!BN68</f>
        <v>0</v>
      </c>
      <c r="BN68" s="151"/>
      <c r="BO68" s="29">
        <v>0</v>
      </c>
      <c r="BP68" s="30">
        <f t="shared" si="108"/>
        <v>0</v>
      </c>
      <c r="BQ68" s="28">
        <f>PRODUCTION!BR68+'SUPLIER INWARD'!BR68</f>
        <v>0</v>
      </c>
      <c r="BR68" s="28"/>
      <c r="BS68" s="29">
        <v>0</v>
      </c>
      <c r="BT68" s="30">
        <f t="shared" si="109"/>
        <v>0</v>
      </c>
      <c r="BU68" s="28">
        <f>PRODUCTION!BV68+'SUPLIER INWARD'!BV68</f>
        <v>0</v>
      </c>
      <c r="BV68" s="151"/>
      <c r="BW68" s="29">
        <v>0</v>
      </c>
      <c r="BX68" s="30">
        <f t="shared" si="110"/>
        <v>0</v>
      </c>
      <c r="BY68" s="28">
        <f>PRODUCTION!BZ68+'SUPLIER INWARD'!BZ68</f>
        <v>0</v>
      </c>
      <c r="BZ68" s="28"/>
      <c r="CA68" s="29">
        <v>0</v>
      </c>
      <c r="CB68" s="30">
        <f t="shared" si="111"/>
        <v>0</v>
      </c>
      <c r="CC68" s="28">
        <f>PRODUCTION!CD68+'SUPLIER INWARD'!CD68</f>
        <v>0</v>
      </c>
      <c r="CD68" s="28"/>
      <c r="CE68" s="29">
        <v>0</v>
      </c>
      <c r="CF68" s="30">
        <f t="shared" si="112"/>
        <v>0</v>
      </c>
      <c r="CG68" s="28">
        <f>PRODUCTION!CH68+'SUPLIER INWARD'!CH68</f>
        <v>0</v>
      </c>
      <c r="CH68" s="28"/>
      <c r="CI68" s="29">
        <v>0</v>
      </c>
      <c r="CJ68" s="30">
        <f t="shared" si="113"/>
        <v>0</v>
      </c>
      <c r="CK68" s="28">
        <f>PRODUCTION!CL68+'SUPLIER INWARD'!CL68</f>
        <v>0</v>
      </c>
      <c r="CL68" s="151"/>
      <c r="CM68" s="152">
        <v>0</v>
      </c>
      <c r="CN68" s="30">
        <f t="shared" si="114"/>
        <v>0</v>
      </c>
      <c r="CO68" s="28">
        <f>PRODUCTION!CP68+'SUPLIER INWARD'!CP68</f>
        <v>0</v>
      </c>
      <c r="CP68" s="151"/>
      <c r="CQ68" s="29">
        <v>0</v>
      </c>
      <c r="CR68" s="30">
        <f t="shared" si="115"/>
        <v>0</v>
      </c>
      <c r="CS68" s="28">
        <f>PRODUCTION!CT68+'SUPLIER INWARD'!CT68</f>
        <v>0</v>
      </c>
      <c r="CT68" s="28"/>
      <c r="CU68" s="29">
        <v>0</v>
      </c>
      <c r="CV68" s="30">
        <f t="shared" si="116"/>
        <v>0</v>
      </c>
      <c r="CW68" s="28">
        <f>PRODUCTION!CX68+'SUPLIER INWARD'!CX68</f>
        <v>0</v>
      </c>
      <c r="CX68" s="28"/>
      <c r="CY68" s="29">
        <v>0</v>
      </c>
      <c r="CZ68" s="30">
        <f t="shared" si="117"/>
        <v>0</v>
      </c>
      <c r="DA68" s="28">
        <f>PRODUCTION!DB68+'SUPLIER INWARD'!DB68</f>
        <v>0</v>
      </c>
      <c r="DB68" s="28"/>
      <c r="DC68" s="29"/>
      <c r="DD68" s="30">
        <f t="shared" si="118"/>
        <v>0</v>
      </c>
      <c r="DE68" s="28">
        <f>PRODUCTION!DF68+'SUPLIER INWARD'!DF68</f>
        <v>0</v>
      </c>
      <c r="DF68" s="28"/>
      <c r="DG68" s="29">
        <v>0</v>
      </c>
      <c r="DH68" s="30">
        <f t="shared" si="119"/>
        <v>0</v>
      </c>
      <c r="DI68" s="28">
        <f>PRODUCTION!DJ68+'SUPLIER INWARD'!DJ68</f>
        <v>0</v>
      </c>
      <c r="DJ68" s="28"/>
      <c r="DK68" s="29">
        <v>0</v>
      </c>
      <c r="DL68" s="30">
        <f t="shared" si="120"/>
        <v>0</v>
      </c>
      <c r="DM68" s="28">
        <f>PRODUCTION!DN68+'SUPLIER INWARD'!DN68</f>
        <v>0</v>
      </c>
      <c r="DN68" s="28"/>
      <c r="DO68" s="29"/>
      <c r="DP68" s="30">
        <f t="shared" si="121"/>
        <v>0</v>
      </c>
      <c r="DQ68" s="28">
        <f>PRODUCTION!DR68+'SUPLIER INWARD'!DR68</f>
        <v>0</v>
      </c>
      <c r="DR68" s="28"/>
      <c r="DS68" s="29"/>
      <c r="DT68" s="30">
        <f t="shared" si="122"/>
        <v>0</v>
      </c>
      <c r="DU68" s="28">
        <f>PRODUCTION!DV68+'SUPLIER INWARD'!DV68</f>
        <v>0</v>
      </c>
      <c r="DV68" s="28"/>
      <c r="DW68" s="29"/>
      <c r="DX68" s="30">
        <f t="shared" si="123"/>
        <v>0</v>
      </c>
      <c r="DY68" s="31">
        <f t="shared" si="124"/>
        <v>0</v>
      </c>
      <c r="DZ68" s="31">
        <f t="shared" si="125"/>
        <v>0</v>
      </c>
      <c r="EA68" s="4">
        <f t="shared" si="126"/>
        <v>0</v>
      </c>
      <c r="EB68" s="9">
        <f>D68*'MASTER SHEET'!D68</f>
        <v>0</v>
      </c>
      <c r="EC68" s="9">
        <f>H68*'MASTER SHEET'!D68</f>
        <v>0</v>
      </c>
      <c r="ED68" s="9">
        <f>L68*'MASTER SHEET'!D68</f>
        <v>0</v>
      </c>
      <c r="EE68" s="9">
        <f>P68*'MASTER SHEET'!D68</f>
        <v>0</v>
      </c>
      <c r="EF68" s="9">
        <f>T68*'MASTER SHEET'!D68</f>
        <v>0</v>
      </c>
      <c r="EG68" s="9">
        <f>X68*'MASTER SHEET'!D68</f>
        <v>0</v>
      </c>
      <c r="EH68" s="9">
        <f>AB68*'MASTER SHEET'!D68</f>
        <v>0</v>
      </c>
      <c r="EI68" s="9">
        <f>AF68*'MASTER SHEET'!D68</f>
        <v>0</v>
      </c>
      <c r="EJ68" s="9">
        <f>AJ68*'MASTER SHEET'!D68</f>
        <v>0</v>
      </c>
      <c r="EK68" s="9">
        <f>AN68*'MASTER SHEET'!D68</f>
        <v>0</v>
      </c>
      <c r="EL68" s="9">
        <f>AR68*'MASTER SHEET'!D68</f>
        <v>0</v>
      </c>
      <c r="EM68" s="9">
        <f>AV68*'MASTER SHEET'!D68</f>
        <v>0</v>
      </c>
      <c r="EN68" s="9">
        <f>AZ68*'MASTER SHEET'!D68</f>
        <v>0</v>
      </c>
      <c r="EO68" s="9">
        <f>BD68*'MASTER SHEET'!D68</f>
        <v>0</v>
      </c>
      <c r="EP68" s="9">
        <f>$BH68*'MASTER SHEET'!$D68</f>
        <v>0</v>
      </c>
      <c r="EQ68" s="9">
        <f>BL68*'MASTER SHEET'!D68</f>
        <v>0</v>
      </c>
      <c r="ER68" s="9">
        <f>BP68*'MASTER SHEET'!D68</f>
        <v>0</v>
      </c>
      <c r="ES68" s="9">
        <f>BT68*'MASTER SHEET'!D68</f>
        <v>0</v>
      </c>
      <c r="ET68" s="9">
        <f>BX68*'MASTER SHEET'!D68</f>
        <v>0</v>
      </c>
      <c r="EU68" s="9">
        <f>CB68*'MASTER SHEET'!D68</f>
        <v>0</v>
      </c>
      <c r="EV68" s="9">
        <f>CF68*'MASTER SHEET'!D68</f>
        <v>0</v>
      </c>
      <c r="EW68" s="9">
        <f>CJ68*'MASTER SHEET'!D68</f>
        <v>0</v>
      </c>
      <c r="EX68" s="9">
        <f>CN68*'MASTER SHEET'!D68</f>
        <v>0</v>
      </c>
      <c r="EY68" s="9">
        <f>CR68*'MASTER SHEET'!D68</f>
        <v>0</v>
      </c>
      <c r="EZ68" s="9">
        <f>$CV68*'MASTER SHEET'!D68</f>
        <v>0</v>
      </c>
      <c r="FA68" s="9">
        <f>CZ68*'MASTER SHEET'!D68</f>
        <v>0</v>
      </c>
      <c r="FB68" s="9">
        <f>DD68*'MASTER SHEET'!D68</f>
        <v>0</v>
      </c>
      <c r="FC68" s="9">
        <f>DH68*'MASTER SHEET'!D68</f>
        <v>0</v>
      </c>
      <c r="FD68" s="9">
        <f>DL68*'MASTER SHEET'!D68</f>
        <v>0</v>
      </c>
      <c r="FE68" s="9">
        <f>DP68*'MASTER SHEET'!D68</f>
        <v>0</v>
      </c>
      <c r="FF68" s="9">
        <f>DT68*'MASTER SHEET'!D68</f>
        <v>0</v>
      </c>
      <c r="FG68" s="9">
        <f>+DX68*'MASTER SHEET'!D68</f>
        <v>0</v>
      </c>
    </row>
    <row r="69" spans="1:163" ht="20.25" customHeight="1" x14ac:dyDescent="0.25">
      <c r="A69" s="25">
        <f>'MASTER SHEET'!A69</f>
        <v>67</v>
      </c>
      <c r="B69" s="26" t="str">
        <f>'MASTER SHEET'!B69</f>
        <v>BASE HOUSING</v>
      </c>
      <c r="C69" s="78">
        <f>'MASTER SHEET'!C69</f>
        <v>5034683</v>
      </c>
      <c r="D69" s="159">
        <v>0</v>
      </c>
      <c r="E69" s="28">
        <f>PRODUCTION!F69+'SUPLIER INWARD'!F69</f>
        <v>0</v>
      </c>
      <c r="F69" s="28"/>
      <c r="G69" s="29">
        <v>0</v>
      </c>
      <c r="H69" s="30">
        <f t="shared" si="93"/>
        <v>0</v>
      </c>
      <c r="I69" s="28">
        <f>PRODUCTION!J69+'SUPLIER INWARD'!J69</f>
        <v>0</v>
      </c>
      <c r="J69" s="28"/>
      <c r="K69" s="29">
        <v>0</v>
      </c>
      <c r="L69" s="30">
        <f t="shared" si="94"/>
        <v>0</v>
      </c>
      <c r="M69" s="28">
        <f>PRODUCTION!N69+'SUPLIER INWARD'!N69</f>
        <v>0</v>
      </c>
      <c r="N69" s="28"/>
      <c r="O69" s="29"/>
      <c r="P69" s="30">
        <f t="shared" si="95"/>
        <v>0</v>
      </c>
      <c r="Q69" s="28">
        <f>PRODUCTION!R69+'SUPLIER INWARD'!R69</f>
        <v>0</v>
      </c>
      <c r="R69" s="28"/>
      <c r="S69" s="29">
        <v>0</v>
      </c>
      <c r="T69" s="30">
        <f t="shared" si="96"/>
        <v>0</v>
      </c>
      <c r="U69" s="28">
        <f>PRODUCTION!V69+'SUPLIER INWARD'!V69</f>
        <v>0</v>
      </c>
      <c r="V69" s="28"/>
      <c r="W69" s="29">
        <v>0</v>
      </c>
      <c r="X69" s="30">
        <f t="shared" si="97"/>
        <v>0</v>
      </c>
      <c r="Y69" s="28">
        <f>PRODUCTION!Z69+'SUPLIER INWARD'!Z69</f>
        <v>0</v>
      </c>
      <c r="Z69" s="28"/>
      <c r="AA69" s="29">
        <v>0</v>
      </c>
      <c r="AB69" s="30">
        <f t="shared" si="98"/>
        <v>0</v>
      </c>
      <c r="AC69" s="28">
        <f>PRODUCTION!AD69+'SUPLIER INWARD'!AD69</f>
        <v>0</v>
      </c>
      <c r="AD69" s="28"/>
      <c r="AE69" s="29">
        <v>0</v>
      </c>
      <c r="AF69" s="30">
        <f t="shared" si="99"/>
        <v>0</v>
      </c>
      <c r="AG69" s="28">
        <f>PRODUCTION!AH69+'SUPLIER INWARD'!AH69</f>
        <v>0</v>
      </c>
      <c r="AH69" s="28"/>
      <c r="AI69" s="29">
        <v>0</v>
      </c>
      <c r="AJ69" s="30">
        <f t="shared" si="100"/>
        <v>0</v>
      </c>
      <c r="AK69" s="28">
        <f>PRODUCTION!AL69+'SUPLIER INWARD'!AL69</f>
        <v>0</v>
      </c>
      <c r="AL69" s="28"/>
      <c r="AM69" s="29">
        <v>0</v>
      </c>
      <c r="AN69" s="30">
        <f t="shared" si="101"/>
        <v>0</v>
      </c>
      <c r="AO69" s="28">
        <f>PRODUCTION!AP69+'SUPLIER INWARD'!AP69</f>
        <v>0</v>
      </c>
      <c r="AP69" s="28"/>
      <c r="AQ69" s="29">
        <v>0</v>
      </c>
      <c r="AR69" s="30">
        <f t="shared" si="102"/>
        <v>0</v>
      </c>
      <c r="AS69" s="28">
        <f>PRODUCTION!AT69+'SUPLIER INWARD'!AT69</f>
        <v>0</v>
      </c>
      <c r="AT69" s="28"/>
      <c r="AU69" s="29">
        <v>0</v>
      </c>
      <c r="AV69" s="30">
        <f t="shared" si="103"/>
        <v>0</v>
      </c>
      <c r="AW69" s="28">
        <f>PRODUCTION!AX69+'SUPLIER INWARD'!AX69</f>
        <v>0</v>
      </c>
      <c r="AX69" s="28"/>
      <c r="AY69" s="29"/>
      <c r="AZ69" s="30">
        <f t="shared" si="104"/>
        <v>0</v>
      </c>
      <c r="BA69" s="28">
        <f>PRODUCTION!BB69+'SUPLIER INWARD'!BB69</f>
        <v>0</v>
      </c>
      <c r="BB69" s="28"/>
      <c r="BC69" s="29">
        <v>0</v>
      </c>
      <c r="BD69" s="30">
        <f t="shared" si="105"/>
        <v>0</v>
      </c>
      <c r="BE69" s="28">
        <f>PRODUCTION!BF69+'SUPLIER INWARD'!BF69</f>
        <v>0</v>
      </c>
      <c r="BF69" s="28"/>
      <c r="BG69" s="29">
        <v>0</v>
      </c>
      <c r="BH69" s="30">
        <f t="shared" si="106"/>
        <v>0</v>
      </c>
      <c r="BI69" s="28">
        <f>PRODUCTION!BJ69+'SUPLIER INWARD'!BJ69</f>
        <v>0</v>
      </c>
      <c r="BJ69" s="28"/>
      <c r="BK69" s="29">
        <v>0</v>
      </c>
      <c r="BL69" s="30">
        <f t="shared" si="107"/>
        <v>0</v>
      </c>
      <c r="BM69" s="28">
        <f>PRODUCTION!BN69+'SUPLIER INWARD'!BN69</f>
        <v>0</v>
      </c>
      <c r="BN69" s="28"/>
      <c r="BO69" s="29">
        <v>0</v>
      </c>
      <c r="BP69" s="30">
        <f t="shared" si="108"/>
        <v>0</v>
      </c>
      <c r="BQ69" s="28">
        <f>PRODUCTION!BR69+'SUPLIER INWARD'!BR69</f>
        <v>0</v>
      </c>
      <c r="BR69" s="28"/>
      <c r="BS69" s="29">
        <v>0</v>
      </c>
      <c r="BT69" s="30">
        <f t="shared" si="109"/>
        <v>0</v>
      </c>
      <c r="BU69" s="28">
        <f>PRODUCTION!BV69+'SUPLIER INWARD'!BV69</f>
        <v>0</v>
      </c>
      <c r="BV69" s="28"/>
      <c r="BW69" s="29">
        <v>0</v>
      </c>
      <c r="BX69" s="30">
        <f t="shared" si="110"/>
        <v>0</v>
      </c>
      <c r="BY69" s="28">
        <f>PRODUCTION!BZ69+'SUPLIER INWARD'!BZ69</f>
        <v>0</v>
      </c>
      <c r="BZ69" s="28"/>
      <c r="CA69" s="29">
        <v>0</v>
      </c>
      <c r="CB69" s="30">
        <f t="shared" si="111"/>
        <v>0</v>
      </c>
      <c r="CC69" s="28">
        <f>PRODUCTION!CD69+'SUPLIER INWARD'!CD69</f>
        <v>0</v>
      </c>
      <c r="CD69" s="28"/>
      <c r="CE69" s="29">
        <v>0</v>
      </c>
      <c r="CF69" s="30">
        <f t="shared" si="112"/>
        <v>0</v>
      </c>
      <c r="CG69" s="28">
        <f>PRODUCTION!CH69+'SUPLIER INWARD'!CH69</f>
        <v>0</v>
      </c>
      <c r="CH69" s="28"/>
      <c r="CI69" s="29">
        <v>0</v>
      </c>
      <c r="CJ69" s="30">
        <f t="shared" si="113"/>
        <v>0</v>
      </c>
      <c r="CK69" s="28">
        <f>PRODUCTION!CL69+'SUPLIER INWARD'!CL69</f>
        <v>0</v>
      </c>
      <c r="CL69" s="151"/>
      <c r="CM69" s="152">
        <v>0</v>
      </c>
      <c r="CN69" s="30">
        <f t="shared" si="114"/>
        <v>0</v>
      </c>
      <c r="CO69" s="28">
        <f>PRODUCTION!CP69+'SUPLIER INWARD'!CP69</f>
        <v>0</v>
      </c>
      <c r="CP69" s="151"/>
      <c r="CQ69" s="29">
        <v>0</v>
      </c>
      <c r="CR69" s="30">
        <f t="shared" si="115"/>
        <v>0</v>
      </c>
      <c r="CS69" s="28">
        <f>PRODUCTION!CT69+'SUPLIER INWARD'!CT69</f>
        <v>0</v>
      </c>
      <c r="CT69" s="28"/>
      <c r="CU69" s="29">
        <v>0</v>
      </c>
      <c r="CV69" s="30">
        <f t="shared" si="116"/>
        <v>0</v>
      </c>
      <c r="CW69" s="28">
        <f>PRODUCTION!CX69+'SUPLIER INWARD'!CX69</f>
        <v>0</v>
      </c>
      <c r="CX69" s="28"/>
      <c r="CY69" s="29">
        <v>0</v>
      </c>
      <c r="CZ69" s="30">
        <f t="shared" si="117"/>
        <v>0</v>
      </c>
      <c r="DA69" s="28">
        <f>PRODUCTION!DB69+'SUPLIER INWARD'!DB69</f>
        <v>0</v>
      </c>
      <c r="DB69" s="28"/>
      <c r="DC69" s="29"/>
      <c r="DD69" s="30">
        <f t="shared" si="118"/>
        <v>0</v>
      </c>
      <c r="DE69" s="28">
        <f>PRODUCTION!DF69+'SUPLIER INWARD'!DF69</f>
        <v>0</v>
      </c>
      <c r="DF69" s="28"/>
      <c r="DG69" s="29">
        <v>0</v>
      </c>
      <c r="DH69" s="30">
        <f t="shared" si="119"/>
        <v>0</v>
      </c>
      <c r="DI69" s="28">
        <f>PRODUCTION!DJ69+'SUPLIER INWARD'!DJ69</f>
        <v>0</v>
      </c>
      <c r="DJ69" s="28"/>
      <c r="DK69" s="29">
        <v>0</v>
      </c>
      <c r="DL69" s="30">
        <f t="shared" si="120"/>
        <v>0</v>
      </c>
      <c r="DM69" s="28">
        <f>PRODUCTION!DN69+'SUPLIER INWARD'!DN69</f>
        <v>0</v>
      </c>
      <c r="DN69" s="28"/>
      <c r="DO69" s="29"/>
      <c r="DP69" s="30">
        <f t="shared" si="121"/>
        <v>0</v>
      </c>
      <c r="DQ69" s="28">
        <f>PRODUCTION!DR69+'SUPLIER INWARD'!DR69</f>
        <v>0</v>
      </c>
      <c r="DR69" s="28"/>
      <c r="DS69" s="29"/>
      <c r="DT69" s="30">
        <f t="shared" si="122"/>
        <v>0</v>
      </c>
      <c r="DU69" s="28">
        <f>PRODUCTION!DV69+'SUPLIER INWARD'!DV69</f>
        <v>0</v>
      </c>
      <c r="DV69" s="28"/>
      <c r="DW69" s="29"/>
      <c r="DX69" s="30">
        <f t="shared" si="123"/>
        <v>0</v>
      </c>
      <c r="DY69" s="31">
        <f t="shared" si="124"/>
        <v>0</v>
      </c>
      <c r="DZ69" s="31">
        <f t="shared" si="125"/>
        <v>0</v>
      </c>
      <c r="EA69" s="4">
        <f t="shared" si="126"/>
        <v>0</v>
      </c>
      <c r="EB69" s="9">
        <f>D69*'MASTER SHEET'!D69</f>
        <v>0</v>
      </c>
      <c r="EC69" s="9">
        <f>H69*'MASTER SHEET'!D69</f>
        <v>0</v>
      </c>
      <c r="ED69" s="9">
        <f>L69*'MASTER SHEET'!D69</f>
        <v>0</v>
      </c>
      <c r="EE69" s="9">
        <f>P69*'MASTER SHEET'!D69</f>
        <v>0</v>
      </c>
      <c r="EF69" s="9">
        <f>T69*'MASTER SHEET'!D69</f>
        <v>0</v>
      </c>
      <c r="EG69" s="9">
        <f>X69*'MASTER SHEET'!D69</f>
        <v>0</v>
      </c>
      <c r="EH69" s="9">
        <f>AB69*'MASTER SHEET'!D69</f>
        <v>0</v>
      </c>
      <c r="EI69" s="9">
        <f>AF69*'MASTER SHEET'!D69</f>
        <v>0</v>
      </c>
      <c r="EJ69" s="9">
        <f>AJ69*'MASTER SHEET'!D69</f>
        <v>0</v>
      </c>
      <c r="EK69" s="9">
        <f>AN69*'MASTER SHEET'!D69</f>
        <v>0</v>
      </c>
      <c r="EL69" s="9">
        <f>AR69*'MASTER SHEET'!D69</f>
        <v>0</v>
      </c>
      <c r="EM69" s="9">
        <f>AV69*'MASTER SHEET'!D69</f>
        <v>0</v>
      </c>
      <c r="EN69" s="9">
        <f>AZ69*'MASTER SHEET'!D69</f>
        <v>0</v>
      </c>
      <c r="EO69" s="9">
        <f>BD69*'MASTER SHEET'!D69</f>
        <v>0</v>
      </c>
      <c r="EP69" s="9">
        <f>$BH69*'MASTER SHEET'!$D69</f>
        <v>0</v>
      </c>
      <c r="EQ69" s="9">
        <f>BL69*'MASTER SHEET'!D69</f>
        <v>0</v>
      </c>
      <c r="ER69" s="9">
        <f>BP69*'MASTER SHEET'!D69</f>
        <v>0</v>
      </c>
      <c r="ES69" s="9">
        <f>BT69*'MASTER SHEET'!D69</f>
        <v>0</v>
      </c>
      <c r="ET69" s="9">
        <f>BX69*'MASTER SHEET'!D69</f>
        <v>0</v>
      </c>
      <c r="EU69" s="9">
        <f>CB69*'MASTER SHEET'!D69</f>
        <v>0</v>
      </c>
      <c r="EV69" s="9">
        <f>CF69*'MASTER SHEET'!D69</f>
        <v>0</v>
      </c>
      <c r="EW69" s="9">
        <f>CJ69*'MASTER SHEET'!D69</f>
        <v>0</v>
      </c>
      <c r="EX69" s="9">
        <f>CN69*'MASTER SHEET'!D69</f>
        <v>0</v>
      </c>
      <c r="EY69" s="9">
        <f>CR69*'MASTER SHEET'!D69</f>
        <v>0</v>
      </c>
      <c r="EZ69" s="9">
        <f>$CV69*'MASTER SHEET'!D69</f>
        <v>0</v>
      </c>
      <c r="FA69" s="9">
        <f>CZ69*'MASTER SHEET'!D69</f>
        <v>0</v>
      </c>
      <c r="FB69" s="9">
        <f>DD69*'MASTER SHEET'!D69</f>
        <v>0</v>
      </c>
      <c r="FC69" s="9">
        <f>DH69*'MASTER SHEET'!D69</f>
        <v>0</v>
      </c>
      <c r="FD69" s="9">
        <f>DL69*'MASTER SHEET'!D69</f>
        <v>0</v>
      </c>
      <c r="FE69" s="9">
        <f>DP69*'MASTER SHEET'!D69</f>
        <v>0</v>
      </c>
      <c r="FF69" s="9">
        <f>DT69*'MASTER SHEET'!D69</f>
        <v>0</v>
      </c>
      <c r="FG69" s="9">
        <f>+DX69*'MASTER SHEET'!D69</f>
        <v>0</v>
      </c>
    </row>
    <row r="70" spans="1:163" ht="20.25" customHeight="1" x14ac:dyDescent="0.25">
      <c r="A70" s="25">
        <f>'MASTER SHEET'!A70</f>
        <v>68</v>
      </c>
      <c r="B70" s="26" t="str">
        <f>'MASTER SHEET'!B70</f>
        <v>SHELL PLASTIC</v>
      </c>
      <c r="C70" s="78">
        <f>'MASTER SHEET'!C70</f>
        <v>5035269</v>
      </c>
      <c r="D70" s="163">
        <v>55</v>
      </c>
      <c r="E70" s="28">
        <f>PRODUCTION!F70+'SUPLIER INWARD'!F70</f>
        <v>0</v>
      </c>
      <c r="F70" s="28"/>
      <c r="G70" s="29">
        <v>0</v>
      </c>
      <c r="H70" s="30">
        <f t="shared" si="93"/>
        <v>55</v>
      </c>
      <c r="I70" s="28">
        <f>PRODUCTION!J70+'SUPLIER INWARD'!J70</f>
        <v>0</v>
      </c>
      <c r="J70" s="28"/>
      <c r="K70" s="29">
        <v>0</v>
      </c>
      <c r="L70" s="30">
        <f t="shared" si="94"/>
        <v>55</v>
      </c>
      <c r="M70" s="28">
        <f>PRODUCTION!N70+'SUPLIER INWARD'!N70</f>
        <v>0</v>
      </c>
      <c r="N70" s="28"/>
      <c r="O70" s="29"/>
      <c r="P70" s="30">
        <f t="shared" si="95"/>
        <v>55</v>
      </c>
      <c r="Q70" s="28">
        <f>PRODUCTION!R70+'SUPLIER INWARD'!R70</f>
        <v>0</v>
      </c>
      <c r="R70" s="28"/>
      <c r="S70" s="29">
        <v>0</v>
      </c>
      <c r="T70" s="30">
        <f t="shared" si="96"/>
        <v>55</v>
      </c>
      <c r="U70" s="28">
        <f>PRODUCTION!V70+'SUPLIER INWARD'!V70</f>
        <v>0</v>
      </c>
      <c r="V70" s="28"/>
      <c r="W70" s="29">
        <v>0</v>
      </c>
      <c r="X70" s="30">
        <f t="shared" si="97"/>
        <v>55</v>
      </c>
      <c r="Y70" s="28">
        <f>PRODUCTION!Z70+'SUPLIER INWARD'!Z70</f>
        <v>0</v>
      </c>
      <c r="Z70" s="28">
        <v>55</v>
      </c>
      <c r="AA70" s="29">
        <v>0</v>
      </c>
      <c r="AB70" s="30">
        <f t="shared" si="98"/>
        <v>0</v>
      </c>
      <c r="AC70" s="28">
        <f>PRODUCTION!AD70+'SUPLIER INWARD'!AD70</f>
        <v>0</v>
      </c>
      <c r="AD70" s="28"/>
      <c r="AE70" s="29">
        <v>0</v>
      </c>
      <c r="AF70" s="30">
        <f t="shared" si="99"/>
        <v>0</v>
      </c>
      <c r="AG70" s="28">
        <f>PRODUCTION!AH70+'SUPLIER INWARD'!AH70</f>
        <v>0</v>
      </c>
      <c r="AH70" s="28"/>
      <c r="AI70" s="29">
        <v>0</v>
      </c>
      <c r="AJ70" s="30">
        <f t="shared" si="100"/>
        <v>0</v>
      </c>
      <c r="AK70" s="28">
        <f>PRODUCTION!AL70+'SUPLIER INWARD'!AL70</f>
        <v>0</v>
      </c>
      <c r="AL70" s="28"/>
      <c r="AM70" s="29">
        <v>0</v>
      </c>
      <c r="AN70" s="30">
        <f t="shared" si="101"/>
        <v>0</v>
      </c>
      <c r="AO70" s="28">
        <f>PRODUCTION!AP70+'SUPLIER INWARD'!AP70</f>
        <v>0</v>
      </c>
      <c r="AP70" s="28"/>
      <c r="AQ70" s="29">
        <v>0</v>
      </c>
      <c r="AR70" s="30">
        <f t="shared" si="102"/>
        <v>0</v>
      </c>
      <c r="AS70" s="28">
        <f>PRODUCTION!AT70+'SUPLIER INWARD'!AT70</f>
        <v>0</v>
      </c>
      <c r="AT70" s="28"/>
      <c r="AU70" s="29">
        <v>0</v>
      </c>
      <c r="AV70" s="30">
        <f t="shared" si="103"/>
        <v>0</v>
      </c>
      <c r="AW70" s="28">
        <f>PRODUCTION!AX70+'SUPLIER INWARD'!AX70</f>
        <v>0</v>
      </c>
      <c r="AX70" s="28"/>
      <c r="AY70" s="29"/>
      <c r="AZ70" s="30">
        <f t="shared" si="104"/>
        <v>0</v>
      </c>
      <c r="BA70" s="28">
        <f>PRODUCTION!BB70+'SUPLIER INWARD'!BB70</f>
        <v>0</v>
      </c>
      <c r="BB70" s="28"/>
      <c r="BC70" s="29">
        <v>0</v>
      </c>
      <c r="BD70" s="30">
        <f t="shared" si="105"/>
        <v>0</v>
      </c>
      <c r="BE70" s="28">
        <f>PRODUCTION!BF70+'SUPLIER INWARD'!BF70</f>
        <v>0</v>
      </c>
      <c r="BF70" s="28"/>
      <c r="BG70" s="29">
        <v>0</v>
      </c>
      <c r="BH70" s="30">
        <f t="shared" si="106"/>
        <v>0</v>
      </c>
      <c r="BI70" s="28">
        <f>PRODUCTION!BJ70+'SUPLIER INWARD'!BJ70</f>
        <v>0</v>
      </c>
      <c r="BJ70" s="28"/>
      <c r="BK70" s="29">
        <v>0</v>
      </c>
      <c r="BL70" s="30">
        <f t="shared" si="107"/>
        <v>0</v>
      </c>
      <c r="BM70" s="28">
        <f>PRODUCTION!BN70+'SUPLIER INWARD'!BN70</f>
        <v>0</v>
      </c>
      <c r="BN70" s="28"/>
      <c r="BO70" s="29">
        <v>0</v>
      </c>
      <c r="BP70" s="30">
        <f t="shared" si="108"/>
        <v>0</v>
      </c>
      <c r="BQ70" s="28">
        <f>PRODUCTION!BR70+'SUPLIER INWARD'!BR70</f>
        <v>0</v>
      </c>
      <c r="BR70" s="28"/>
      <c r="BS70" s="29">
        <v>0</v>
      </c>
      <c r="BT70" s="30">
        <f t="shared" si="109"/>
        <v>0</v>
      </c>
      <c r="BU70" s="28">
        <f>PRODUCTION!BV70+'SUPLIER INWARD'!BV70</f>
        <v>0</v>
      </c>
      <c r="BV70" s="28"/>
      <c r="BW70" s="29">
        <v>0</v>
      </c>
      <c r="BX70" s="30">
        <f t="shared" si="110"/>
        <v>0</v>
      </c>
      <c r="BY70" s="28">
        <f>PRODUCTION!BZ70+'SUPLIER INWARD'!BZ70</f>
        <v>0</v>
      </c>
      <c r="BZ70" s="28"/>
      <c r="CA70" s="29">
        <v>0</v>
      </c>
      <c r="CB70" s="30">
        <f t="shared" si="111"/>
        <v>0</v>
      </c>
      <c r="CC70" s="28">
        <f>PRODUCTION!CD70+'SUPLIER INWARD'!CD70</f>
        <v>0</v>
      </c>
      <c r="CD70" s="28"/>
      <c r="CE70" s="29">
        <v>0</v>
      </c>
      <c r="CF70" s="30">
        <f t="shared" si="112"/>
        <v>0</v>
      </c>
      <c r="CG70" s="28">
        <f>PRODUCTION!CH70+'SUPLIER INWARD'!CH70</f>
        <v>0</v>
      </c>
      <c r="CH70" s="28"/>
      <c r="CI70" s="29">
        <v>0</v>
      </c>
      <c r="CJ70" s="30">
        <f t="shared" si="113"/>
        <v>0</v>
      </c>
      <c r="CK70" s="28">
        <f>PRODUCTION!CL70+'SUPLIER INWARD'!CL70</f>
        <v>0</v>
      </c>
      <c r="CL70" s="151"/>
      <c r="CM70" s="152">
        <v>0</v>
      </c>
      <c r="CN70" s="30">
        <f t="shared" si="114"/>
        <v>0</v>
      </c>
      <c r="CO70" s="28">
        <f>PRODUCTION!CP70+'SUPLIER INWARD'!CP70</f>
        <v>0</v>
      </c>
      <c r="CP70" s="151"/>
      <c r="CQ70" s="29">
        <v>0</v>
      </c>
      <c r="CR70" s="30">
        <f t="shared" si="115"/>
        <v>0</v>
      </c>
      <c r="CS70" s="28">
        <f>PRODUCTION!CT70+'SUPLIER INWARD'!CT70</f>
        <v>0</v>
      </c>
      <c r="CT70" s="28"/>
      <c r="CU70" s="29">
        <v>0</v>
      </c>
      <c r="CV70" s="30">
        <f t="shared" si="116"/>
        <v>0</v>
      </c>
      <c r="CW70" s="28">
        <f>PRODUCTION!CX70+'SUPLIER INWARD'!CX70</f>
        <v>0</v>
      </c>
      <c r="CX70" s="28"/>
      <c r="CY70" s="29">
        <v>0</v>
      </c>
      <c r="CZ70" s="30">
        <f t="shared" si="117"/>
        <v>0</v>
      </c>
      <c r="DA70" s="28">
        <f>PRODUCTION!DB70+'SUPLIER INWARD'!DB70</f>
        <v>0</v>
      </c>
      <c r="DB70" s="28"/>
      <c r="DC70" s="29"/>
      <c r="DD70" s="30">
        <f t="shared" si="118"/>
        <v>0</v>
      </c>
      <c r="DE70" s="28">
        <f>PRODUCTION!DF70+'SUPLIER INWARD'!DF70</f>
        <v>0</v>
      </c>
      <c r="DF70" s="28"/>
      <c r="DG70" s="29">
        <v>0</v>
      </c>
      <c r="DH70" s="30">
        <f t="shared" si="119"/>
        <v>0</v>
      </c>
      <c r="DI70" s="28">
        <f>PRODUCTION!DJ70+'SUPLIER INWARD'!DJ70</f>
        <v>0</v>
      </c>
      <c r="DJ70" s="28"/>
      <c r="DK70" s="29">
        <v>0</v>
      </c>
      <c r="DL70" s="30">
        <f t="shared" si="120"/>
        <v>0</v>
      </c>
      <c r="DM70" s="28">
        <f>PRODUCTION!DN70+'SUPLIER INWARD'!DN70</f>
        <v>0</v>
      </c>
      <c r="DN70" s="28"/>
      <c r="DO70" s="29"/>
      <c r="DP70" s="30">
        <f t="shared" si="121"/>
        <v>0</v>
      </c>
      <c r="DQ70" s="28">
        <f>PRODUCTION!DR70+'SUPLIER INWARD'!DR70</f>
        <v>0</v>
      </c>
      <c r="DR70" s="28"/>
      <c r="DS70" s="29"/>
      <c r="DT70" s="30">
        <f t="shared" si="122"/>
        <v>0</v>
      </c>
      <c r="DU70" s="28">
        <f>PRODUCTION!DV70+'SUPLIER INWARD'!DV70</f>
        <v>0</v>
      </c>
      <c r="DV70" s="28"/>
      <c r="DW70" s="29"/>
      <c r="DX70" s="30">
        <f t="shared" si="123"/>
        <v>0</v>
      </c>
      <c r="DY70" s="31">
        <f t="shared" si="124"/>
        <v>0</v>
      </c>
      <c r="DZ70" s="31">
        <f t="shared" si="125"/>
        <v>55</v>
      </c>
      <c r="EA70" s="4">
        <f t="shared" si="126"/>
        <v>0</v>
      </c>
      <c r="EB70" s="9">
        <f>D70*'MASTER SHEET'!D70</f>
        <v>13359.5</v>
      </c>
      <c r="EC70" s="9">
        <f>H70*'MASTER SHEET'!D70</f>
        <v>13359.5</v>
      </c>
      <c r="ED70" s="9">
        <f>L70*'MASTER SHEET'!D70</f>
        <v>13359.5</v>
      </c>
      <c r="EE70" s="9">
        <f>P70*'MASTER SHEET'!D70</f>
        <v>13359.5</v>
      </c>
      <c r="EF70" s="9">
        <f>T70*'MASTER SHEET'!D70</f>
        <v>13359.5</v>
      </c>
      <c r="EG70" s="9">
        <f>X70*'MASTER SHEET'!D70</f>
        <v>13359.5</v>
      </c>
      <c r="EH70" s="9">
        <f>AB70*'MASTER SHEET'!D70</f>
        <v>0</v>
      </c>
      <c r="EI70" s="9">
        <f>AF70*'MASTER SHEET'!D70</f>
        <v>0</v>
      </c>
      <c r="EJ70" s="9">
        <f>AJ70*'MASTER SHEET'!D70</f>
        <v>0</v>
      </c>
      <c r="EK70" s="9">
        <f>AN70*'MASTER SHEET'!D70</f>
        <v>0</v>
      </c>
      <c r="EL70" s="9">
        <f>AR70*'MASTER SHEET'!D70</f>
        <v>0</v>
      </c>
      <c r="EM70" s="9">
        <f>AV70*'MASTER SHEET'!D70</f>
        <v>0</v>
      </c>
      <c r="EN70" s="9">
        <f>AZ70*'MASTER SHEET'!D70</f>
        <v>0</v>
      </c>
      <c r="EO70" s="9">
        <f>BD70*'MASTER SHEET'!D70</f>
        <v>0</v>
      </c>
      <c r="EP70" s="9">
        <f>$BH70*'MASTER SHEET'!$D70</f>
        <v>0</v>
      </c>
      <c r="EQ70" s="9">
        <f>BL70*'MASTER SHEET'!D70</f>
        <v>0</v>
      </c>
      <c r="ER70" s="9">
        <f>BP70*'MASTER SHEET'!D70</f>
        <v>0</v>
      </c>
      <c r="ES70" s="9">
        <f>BT70*'MASTER SHEET'!D70</f>
        <v>0</v>
      </c>
      <c r="ET70" s="9">
        <f>BX70*'MASTER SHEET'!D70</f>
        <v>0</v>
      </c>
      <c r="EU70" s="9">
        <f>CB70*'MASTER SHEET'!D70</f>
        <v>0</v>
      </c>
      <c r="EV70" s="9">
        <f>CF70*'MASTER SHEET'!D70</f>
        <v>0</v>
      </c>
      <c r="EW70" s="9">
        <f>CJ70*'MASTER SHEET'!D70</f>
        <v>0</v>
      </c>
      <c r="EX70" s="9">
        <f>CN70*'MASTER SHEET'!D70</f>
        <v>0</v>
      </c>
      <c r="EY70" s="9">
        <f>CR70*'MASTER SHEET'!D70</f>
        <v>0</v>
      </c>
      <c r="EZ70" s="9">
        <f>$CV70*'MASTER SHEET'!D70</f>
        <v>0</v>
      </c>
      <c r="FA70" s="9">
        <f>CZ70*'MASTER SHEET'!D70</f>
        <v>0</v>
      </c>
      <c r="FB70" s="9">
        <f>DD70*'MASTER SHEET'!D70</f>
        <v>0</v>
      </c>
      <c r="FC70" s="9">
        <f>DH70*'MASTER SHEET'!D70</f>
        <v>0</v>
      </c>
      <c r="FD70" s="9">
        <f>DL70*'MASTER SHEET'!D70</f>
        <v>0</v>
      </c>
      <c r="FE70" s="9">
        <f>DP70*'MASTER SHEET'!D70</f>
        <v>0</v>
      </c>
      <c r="FF70" s="9">
        <f>DT70*'MASTER SHEET'!D70</f>
        <v>0</v>
      </c>
      <c r="FG70" s="9">
        <f>+DX70*'MASTER SHEET'!D70</f>
        <v>0</v>
      </c>
    </row>
    <row r="71" spans="1:163" ht="20.25" customHeight="1" x14ac:dyDescent="0.25">
      <c r="A71" s="25">
        <f>'MASTER SHEET'!A71</f>
        <v>69</v>
      </c>
      <c r="B71" s="26" t="str">
        <f>'MASTER SHEET'!B71</f>
        <v>LID, HOUSING CRANKCASE VENTILATION</v>
      </c>
      <c r="C71" s="78">
        <f>'MASTER SHEET'!C71</f>
        <v>5035729</v>
      </c>
      <c r="D71" s="159">
        <v>0</v>
      </c>
      <c r="E71" s="28">
        <f>PRODUCTION!F71+'SUPLIER INWARD'!F71</f>
        <v>0</v>
      </c>
      <c r="F71" s="28"/>
      <c r="G71" s="29">
        <v>0</v>
      </c>
      <c r="H71" s="30">
        <f t="shared" si="93"/>
        <v>0</v>
      </c>
      <c r="I71" s="28">
        <f>PRODUCTION!J71+'SUPLIER INWARD'!J71</f>
        <v>0</v>
      </c>
      <c r="J71" s="28"/>
      <c r="K71" s="29">
        <v>0</v>
      </c>
      <c r="L71" s="30">
        <f t="shared" si="94"/>
        <v>0</v>
      </c>
      <c r="M71" s="28">
        <f>PRODUCTION!N71+'SUPLIER INWARD'!N71</f>
        <v>0</v>
      </c>
      <c r="N71" s="28"/>
      <c r="O71" s="29"/>
      <c r="P71" s="30">
        <f t="shared" si="95"/>
        <v>0</v>
      </c>
      <c r="Q71" s="28">
        <f>PRODUCTION!R71+'SUPLIER INWARD'!R71</f>
        <v>0</v>
      </c>
      <c r="R71" s="28"/>
      <c r="S71" s="29">
        <v>0</v>
      </c>
      <c r="T71" s="30">
        <f t="shared" si="96"/>
        <v>0</v>
      </c>
      <c r="U71" s="28">
        <f>PRODUCTION!V71+'SUPLIER INWARD'!V71</f>
        <v>0</v>
      </c>
      <c r="V71" s="28"/>
      <c r="W71" s="29">
        <v>0</v>
      </c>
      <c r="X71" s="30">
        <f t="shared" si="97"/>
        <v>0</v>
      </c>
      <c r="Y71" s="28">
        <f>PRODUCTION!Z71+'SUPLIER INWARD'!Z71</f>
        <v>0</v>
      </c>
      <c r="Z71" s="28"/>
      <c r="AA71" s="29">
        <v>0</v>
      </c>
      <c r="AB71" s="30">
        <f t="shared" si="98"/>
        <v>0</v>
      </c>
      <c r="AC71" s="28">
        <f>PRODUCTION!AD71+'SUPLIER INWARD'!AD71</f>
        <v>0</v>
      </c>
      <c r="AD71" s="28"/>
      <c r="AE71" s="29">
        <v>0</v>
      </c>
      <c r="AF71" s="30">
        <f t="shared" si="99"/>
        <v>0</v>
      </c>
      <c r="AG71" s="28">
        <f>PRODUCTION!AH71+'SUPLIER INWARD'!AH71</f>
        <v>0</v>
      </c>
      <c r="AH71" s="28"/>
      <c r="AI71" s="29">
        <v>0</v>
      </c>
      <c r="AJ71" s="30">
        <f t="shared" si="100"/>
        <v>0</v>
      </c>
      <c r="AK71" s="28">
        <f>PRODUCTION!AL71+'SUPLIER INWARD'!AL71</f>
        <v>0</v>
      </c>
      <c r="AL71" s="28"/>
      <c r="AM71" s="29">
        <v>0</v>
      </c>
      <c r="AN71" s="30">
        <f t="shared" si="101"/>
        <v>0</v>
      </c>
      <c r="AO71" s="28">
        <f>PRODUCTION!AP71+'SUPLIER INWARD'!AP71</f>
        <v>0</v>
      </c>
      <c r="AP71" s="28"/>
      <c r="AQ71" s="29">
        <v>0</v>
      </c>
      <c r="AR71" s="30">
        <f t="shared" si="102"/>
        <v>0</v>
      </c>
      <c r="AS71" s="28">
        <f>PRODUCTION!AT71+'SUPLIER INWARD'!AT71</f>
        <v>0</v>
      </c>
      <c r="AT71" s="28"/>
      <c r="AU71" s="29">
        <v>0</v>
      </c>
      <c r="AV71" s="30">
        <f t="shared" si="103"/>
        <v>0</v>
      </c>
      <c r="AW71" s="28">
        <f>PRODUCTION!AX71+'SUPLIER INWARD'!AX71</f>
        <v>0</v>
      </c>
      <c r="AX71" s="28"/>
      <c r="AY71" s="29"/>
      <c r="AZ71" s="30">
        <f t="shared" si="104"/>
        <v>0</v>
      </c>
      <c r="BA71" s="28">
        <f>PRODUCTION!BB71+'SUPLIER INWARD'!BB71</f>
        <v>0</v>
      </c>
      <c r="BB71" s="28"/>
      <c r="BC71" s="29">
        <v>0</v>
      </c>
      <c r="BD71" s="30">
        <f t="shared" si="105"/>
        <v>0</v>
      </c>
      <c r="BE71" s="28">
        <f>PRODUCTION!BF71+'SUPLIER INWARD'!BF71</f>
        <v>0</v>
      </c>
      <c r="BF71" s="28"/>
      <c r="BG71" s="29">
        <v>0</v>
      </c>
      <c r="BH71" s="30">
        <f t="shared" si="106"/>
        <v>0</v>
      </c>
      <c r="BI71" s="28">
        <f>PRODUCTION!BJ71+'SUPLIER INWARD'!BJ71</f>
        <v>0</v>
      </c>
      <c r="BJ71" s="28"/>
      <c r="BK71" s="29">
        <v>0</v>
      </c>
      <c r="BL71" s="30">
        <f t="shared" si="107"/>
        <v>0</v>
      </c>
      <c r="BM71" s="28">
        <f>PRODUCTION!BN71+'SUPLIER INWARD'!BN71</f>
        <v>0</v>
      </c>
      <c r="BN71" s="28"/>
      <c r="BO71" s="29">
        <v>0</v>
      </c>
      <c r="BP71" s="30">
        <f t="shared" si="108"/>
        <v>0</v>
      </c>
      <c r="BQ71" s="28">
        <f>PRODUCTION!BR71+'SUPLIER INWARD'!BR71</f>
        <v>0</v>
      </c>
      <c r="BR71" s="28"/>
      <c r="BS71" s="29">
        <v>0</v>
      </c>
      <c r="BT71" s="30">
        <f t="shared" si="109"/>
        <v>0</v>
      </c>
      <c r="BU71" s="28">
        <f>PRODUCTION!BV71+'SUPLIER INWARD'!BV71</f>
        <v>0</v>
      </c>
      <c r="BV71" s="28"/>
      <c r="BW71" s="29">
        <v>0</v>
      </c>
      <c r="BX71" s="30">
        <f t="shared" si="110"/>
        <v>0</v>
      </c>
      <c r="BY71" s="28">
        <f>PRODUCTION!BZ71+'SUPLIER INWARD'!BZ71</f>
        <v>0</v>
      </c>
      <c r="BZ71" s="28"/>
      <c r="CA71" s="29">
        <v>0</v>
      </c>
      <c r="CB71" s="30">
        <f t="shared" si="111"/>
        <v>0</v>
      </c>
      <c r="CC71" s="28">
        <f>PRODUCTION!CD71+'SUPLIER INWARD'!CD71</f>
        <v>0</v>
      </c>
      <c r="CD71" s="28"/>
      <c r="CE71" s="29">
        <v>0</v>
      </c>
      <c r="CF71" s="30">
        <f t="shared" si="112"/>
        <v>0</v>
      </c>
      <c r="CG71" s="28">
        <f>PRODUCTION!CH71+'SUPLIER INWARD'!CH71</f>
        <v>0</v>
      </c>
      <c r="CH71" s="28"/>
      <c r="CI71" s="29">
        <v>0</v>
      </c>
      <c r="CJ71" s="30">
        <f t="shared" si="113"/>
        <v>0</v>
      </c>
      <c r="CK71" s="28">
        <f>PRODUCTION!CL71+'SUPLIER INWARD'!CL71</f>
        <v>0</v>
      </c>
      <c r="CL71" s="151"/>
      <c r="CM71" s="152">
        <v>0</v>
      </c>
      <c r="CN71" s="30">
        <f t="shared" si="114"/>
        <v>0</v>
      </c>
      <c r="CO71" s="28">
        <f>PRODUCTION!CP71+'SUPLIER INWARD'!CP71</f>
        <v>0</v>
      </c>
      <c r="CP71" s="151"/>
      <c r="CQ71" s="29">
        <v>0</v>
      </c>
      <c r="CR71" s="30">
        <f t="shared" si="115"/>
        <v>0</v>
      </c>
      <c r="CS71" s="28">
        <f>PRODUCTION!CT71+'SUPLIER INWARD'!CT71</f>
        <v>0</v>
      </c>
      <c r="CT71" s="28"/>
      <c r="CU71" s="29">
        <v>0</v>
      </c>
      <c r="CV71" s="30">
        <f t="shared" si="116"/>
        <v>0</v>
      </c>
      <c r="CW71" s="28">
        <f>PRODUCTION!CX71+'SUPLIER INWARD'!CX71</f>
        <v>0</v>
      </c>
      <c r="CX71" s="28"/>
      <c r="CY71" s="29">
        <v>0</v>
      </c>
      <c r="CZ71" s="30">
        <f t="shared" si="117"/>
        <v>0</v>
      </c>
      <c r="DA71" s="28">
        <f>PRODUCTION!DB71+'SUPLIER INWARD'!DB71</f>
        <v>0</v>
      </c>
      <c r="DB71" s="28"/>
      <c r="DC71" s="29"/>
      <c r="DD71" s="30">
        <f t="shared" si="118"/>
        <v>0</v>
      </c>
      <c r="DE71" s="28">
        <f>PRODUCTION!DF71+'SUPLIER INWARD'!DF71</f>
        <v>0</v>
      </c>
      <c r="DF71" s="28"/>
      <c r="DG71" s="29">
        <v>0</v>
      </c>
      <c r="DH71" s="30">
        <f t="shared" si="119"/>
        <v>0</v>
      </c>
      <c r="DI71" s="28">
        <f>PRODUCTION!DJ71+'SUPLIER INWARD'!DJ71</f>
        <v>0</v>
      </c>
      <c r="DJ71" s="28"/>
      <c r="DK71" s="29">
        <v>0</v>
      </c>
      <c r="DL71" s="30">
        <f t="shared" si="120"/>
        <v>0</v>
      </c>
      <c r="DM71" s="28">
        <f>PRODUCTION!DN71+'SUPLIER INWARD'!DN71</f>
        <v>0</v>
      </c>
      <c r="DN71" s="28"/>
      <c r="DO71" s="29"/>
      <c r="DP71" s="30">
        <f t="shared" si="121"/>
        <v>0</v>
      </c>
      <c r="DQ71" s="28">
        <f>PRODUCTION!DR71+'SUPLIER INWARD'!DR71</f>
        <v>0</v>
      </c>
      <c r="DR71" s="28"/>
      <c r="DS71" s="29"/>
      <c r="DT71" s="30">
        <f t="shared" si="122"/>
        <v>0</v>
      </c>
      <c r="DU71" s="28">
        <f>PRODUCTION!DV71+'SUPLIER INWARD'!DV71</f>
        <v>0</v>
      </c>
      <c r="DV71" s="28"/>
      <c r="DW71" s="29"/>
      <c r="DX71" s="30">
        <f t="shared" si="123"/>
        <v>0</v>
      </c>
      <c r="DY71" s="31">
        <f t="shared" si="124"/>
        <v>0</v>
      </c>
      <c r="DZ71" s="31">
        <f t="shared" si="125"/>
        <v>0</v>
      </c>
      <c r="EA71" s="4">
        <f t="shared" si="126"/>
        <v>0</v>
      </c>
      <c r="EB71" s="9">
        <f>D71*'MASTER SHEET'!D71</f>
        <v>0</v>
      </c>
      <c r="EC71" s="9">
        <f>H71*'MASTER SHEET'!D71</f>
        <v>0</v>
      </c>
      <c r="ED71" s="9">
        <f>L71*'MASTER SHEET'!D71</f>
        <v>0</v>
      </c>
      <c r="EE71" s="9">
        <f>P71*'MASTER SHEET'!D71</f>
        <v>0</v>
      </c>
      <c r="EF71" s="9">
        <f>T71*'MASTER SHEET'!D71</f>
        <v>0</v>
      </c>
      <c r="EG71" s="9">
        <f>X71*'MASTER SHEET'!D71</f>
        <v>0</v>
      </c>
      <c r="EH71" s="9">
        <f>AB71*'MASTER SHEET'!D71</f>
        <v>0</v>
      </c>
      <c r="EI71" s="9">
        <f>AF71*'MASTER SHEET'!D71</f>
        <v>0</v>
      </c>
      <c r="EJ71" s="9">
        <f>AJ71*'MASTER SHEET'!D71</f>
        <v>0</v>
      </c>
      <c r="EK71" s="9">
        <f>AN71*'MASTER SHEET'!D71</f>
        <v>0</v>
      </c>
      <c r="EL71" s="9">
        <f>AR71*'MASTER SHEET'!D71</f>
        <v>0</v>
      </c>
      <c r="EM71" s="9">
        <f>AV71*'MASTER SHEET'!D71</f>
        <v>0</v>
      </c>
      <c r="EN71" s="9">
        <f>AZ71*'MASTER SHEET'!D71</f>
        <v>0</v>
      </c>
      <c r="EO71" s="9">
        <f>BD71*'MASTER SHEET'!D71</f>
        <v>0</v>
      </c>
      <c r="EP71" s="9">
        <f>$BH71*'MASTER SHEET'!$D71</f>
        <v>0</v>
      </c>
      <c r="EQ71" s="9">
        <f>BL71*'MASTER SHEET'!D71</f>
        <v>0</v>
      </c>
      <c r="ER71" s="9">
        <f>BP71*'MASTER SHEET'!D71</f>
        <v>0</v>
      </c>
      <c r="ES71" s="9">
        <f>BT71*'MASTER SHEET'!D71</f>
        <v>0</v>
      </c>
      <c r="ET71" s="9">
        <f>BX71*'MASTER SHEET'!D71</f>
        <v>0</v>
      </c>
      <c r="EU71" s="9">
        <f>CB71*'MASTER SHEET'!D71</f>
        <v>0</v>
      </c>
      <c r="EV71" s="9">
        <f>CF71*'MASTER SHEET'!D71</f>
        <v>0</v>
      </c>
      <c r="EW71" s="9">
        <f>CJ71*'MASTER SHEET'!D71</f>
        <v>0</v>
      </c>
      <c r="EX71" s="9">
        <f>CN71*'MASTER SHEET'!D71</f>
        <v>0</v>
      </c>
      <c r="EY71" s="9">
        <f>CR71*'MASTER SHEET'!D71</f>
        <v>0</v>
      </c>
      <c r="EZ71" s="9">
        <f>$CV71*'MASTER SHEET'!D71</f>
        <v>0</v>
      </c>
      <c r="FA71" s="9">
        <f>CZ71*'MASTER SHEET'!D71</f>
        <v>0</v>
      </c>
      <c r="FB71" s="9">
        <f>DD71*'MASTER SHEET'!D71</f>
        <v>0</v>
      </c>
      <c r="FC71" s="9">
        <f>DH71*'MASTER SHEET'!D71</f>
        <v>0</v>
      </c>
      <c r="FD71" s="9">
        <f>DL71*'MASTER SHEET'!D71</f>
        <v>0</v>
      </c>
      <c r="FE71" s="9">
        <f>DP71*'MASTER SHEET'!D71</f>
        <v>0</v>
      </c>
      <c r="FF71" s="9">
        <f>DT71*'MASTER SHEET'!D71</f>
        <v>0</v>
      </c>
      <c r="FG71" s="9">
        <f>+DX71*'MASTER SHEET'!D71</f>
        <v>0</v>
      </c>
    </row>
    <row r="72" spans="1:163" ht="20.25" customHeight="1" x14ac:dyDescent="0.25">
      <c r="A72" s="25">
        <f>'MASTER SHEET'!A72</f>
        <v>70</v>
      </c>
      <c r="B72" s="26" t="str">
        <f>'MASTER SHEET'!B72</f>
        <v>HYDROPHOBIC SCREEN</v>
      </c>
      <c r="C72" s="78">
        <f>'MASTER SHEET'!C72</f>
        <v>5037987</v>
      </c>
      <c r="D72" s="159">
        <v>108</v>
      </c>
      <c r="E72" s="28">
        <f>PRODUCTION!F72+'SUPLIER INWARD'!F72</f>
        <v>0</v>
      </c>
      <c r="F72" s="28"/>
      <c r="G72" s="29">
        <v>0</v>
      </c>
      <c r="H72" s="30">
        <f t="shared" si="93"/>
        <v>108</v>
      </c>
      <c r="I72" s="28">
        <f>PRODUCTION!J72+'SUPLIER INWARD'!J72</f>
        <v>0</v>
      </c>
      <c r="J72" s="28"/>
      <c r="K72" s="29">
        <v>0</v>
      </c>
      <c r="L72" s="30">
        <f t="shared" si="94"/>
        <v>108</v>
      </c>
      <c r="M72" s="28">
        <f>PRODUCTION!N72+'SUPLIER INWARD'!N72</f>
        <v>0</v>
      </c>
      <c r="N72" s="28"/>
      <c r="O72" s="29"/>
      <c r="P72" s="30">
        <f t="shared" si="95"/>
        <v>108</v>
      </c>
      <c r="Q72" s="28">
        <f>PRODUCTION!R72+'SUPLIER INWARD'!R72</f>
        <v>0</v>
      </c>
      <c r="R72" s="28">
        <v>77</v>
      </c>
      <c r="S72" s="29">
        <v>0</v>
      </c>
      <c r="T72" s="30">
        <f t="shared" si="96"/>
        <v>31</v>
      </c>
      <c r="U72" s="28">
        <f>PRODUCTION!V72+'SUPLIER INWARD'!V72</f>
        <v>0</v>
      </c>
      <c r="V72" s="28"/>
      <c r="W72" s="29">
        <v>0</v>
      </c>
      <c r="X72" s="30">
        <f t="shared" si="97"/>
        <v>31</v>
      </c>
      <c r="Y72" s="28">
        <f>PRODUCTION!Z72+'SUPLIER INWARD'!Z72</f>
        <v>0</v>
      </c>
      <c r="Z72" s="28"/>
      <c r="AA72" s="29">
        <v>0</v>
      </c>
      <c r="AB72" s="30">
        <f t="shared" si="98"/>
        <v>31</v>
      </c>
      <c r="AC72" s="28">
        <f>PRODUCTION!AD72+'SUPLIER INWARD'!AD72</f>
        <v>0</v>
      </c>
      <c r="AD72" s="28"/>
      <c r="AE72" s="29">
        <v>0</v>
      </c>
      <c r="AF72" s="30">
        <f t="shared" si="99"/>
        <v>31</v>
      </c>
      <c r="AG72" s="28">
        <f>PRODUCTION!AH72+'SUPLIER INWARD'!AH72</f>
        <v>0</v>
      </c>
      <c r="AH72" s="28"/>
      <c r="AI72" s="29">
        <v>0</v>
      </c>
      <c r="AJ72" s="30">
        <f t="shared" si="100"/>
        <v>31</v>
      </c>
      <c r="AK72" s="28">
        <f>PRODUCTION!AL72+'SUPLIER INWARD'!AL72</f>
        <v>0</v>
      </c>
      <c r="AL72" s="28"/>
      <c r="AM72" s="29">
        <v>0</v>
      </c>
      <c r="AN72" s="30">
        <f t="shared" si="101"/>
        <v>31</v>
      </c>
      <c r="AO72" s="28">
        <f>PRODUCTION!AP72+'SUPLIER INWARD'!AP72</f>
        <v>0</v>
      </c>
      <c r="AP72" s="28"/>
      <c r="AQ72" s="29">
        <v>0</v>
      </c>
      <c r="AR72" s="30">
        <f t="shared" si="102"/>
        <v>31</v>
      </c>
      <c r="AS72" s="28">
        <f>PRODUCTION!AT72+'SUPLIER INWARD'!AT72</f>
        <v>0</v>
      </c>
      <c r="AT72" s="28"/>
      <c r="AU72" s="29">
        <v>0</v>
      </c>
      <c r="AV72" s="30">
        <f t="shared" si="103"/>
        <v>31</v>
      </c>
      <c r="AW72" s="28">
        <f>PRODUCTION!AX72+'SUPLIER INWARD'!AX72</f>
        <v>0</v>
      </c>
      <c r="AX72" s="28"/>
      <c r="AY72" s="29"/>
      <c r="AZ72" s="30">
        <f t="shared" si="104"/>
        <v>31</v>
      </c>
      <c r="BA72" s="28">
        <f>PRODUCTION!BB72+'SUPLIER INWARD'!BB72</f>
        <v>0</v>
      </c>
      <c r="BB72" s="28"/>
      <c r="BC72" s="29">
        <v>0</v>
      </c>
      <c r="BD72" s="30">
        <f t="shared" si="105"/>
        <v>31</v>
      </c>
      <c r="BE72" s="28">
        <f>PRODUCTION!BF72+'SUPLIER INWARD'!BF72</f>
        <v>0</v>
      </c>
      <c r="BF72" s="28"/>
      <c r="BG72" s="29">
        <v>0</v>
      </c>
      <c r="BH72" s="30">
        <f t="shared" si="106"/>
        <v>31</v>
      </c>
      <c r="BI72" s="28">
        <f>PRODUCTION!BJ72+'SUPLIER INWARD'!BJ72</f>
        <v>0</v>
      </c>
      <c r="BJ72" s="28"/>
      <c r="BK72" s="29">
        <v>0</v>
      </c>
      <c r="BL72" s="30">
        <f t="shared" si="107"/>
        <v>31</v>
      </c>
      <c r="BM72" s="28">
        <f>PRODUCTION!BN72+'SUPLIER INWARD'!BN72</f>
        <v>0</v>
      </c>
      <c r="BN72" s="28"/>
      <c r="BO72" s="29">
        <v>0</v>
      </c>
      <c r="BP72" s="30">
        <f t="shared" si="108"/>
        <v>31</v>
      </c>
      <c r="BQ72" s="28">
        <f>PRODUCTION!BR72+'SUPLIER INWARD'!BR72</f>
        <v>0</v>
      </c>
      <c r="BR72" s="28"/>
      <c r="BS72" s="29">
        <v>0</v>
      </c>
      <c r="BT72" s="30">
        <f t="shared" si="109"/>
        <v>31</v>
      </c>
      <c r="BU72" s="28">
        <f>PRODUCTION!BV72+'SUPLIER INWARD'!BV72</f>
        <v>0</v>
      </c>
      <c r="BV72" s="28"/>
      <c r="BW72" s="29">
        <v>0</v>
      </c>
      <c r="BX72" s="30">
        <f t="shared" si="110"/>
        <v>31</v>
      </c>
      <c r="BY72" s="28">
        <f>PRODUCTION!BZ72+'SUPLIER INWARD'!BZ72</f>
        <v>0</v>
      </c>
      <c r="BZ72" s="28"/>
      <c r="CA72" s="29">
        <v>0</v>
      </c>
      <c r="CB72" s="30">
        <f t="shared" si="111"/>
        <v>31</v>
      </c>
      <c r="CC72" s="28">
        <f>PRODUCTION!CD72+'SUPLIER INWARD'!CD72</f>
        <v>0</v>
      </c>
      <c r="CD72" s="28"/>
      <c r="CE72" s="29">
        <v>0</v>
      </c>
      <c r="CF72" s="30">
        <f t="shared" si="112"/>
        <v>31</v>
      </c>
      <c r="CG72" s="28">
        <f>PRODUCTION!CH72+'SUPLIER INWARD'!CH72</f>
        <v>0</v>
      </c>
      <c r="CH72" s="28"/>
      <c r="CI72" s="29">
        <v>0</v>
      </c>
      <c r="CJ72" s="30">
        <f t="shared" si="113"/>
        <v>31</v>
      </c>
      <c r="CK72" s="28">
        <f>PRODUCTION!CL72+'SUPLIER INWARD'!CL72</f>
        <v>0</v>
      </c>
      <c r="CL72" s="151"/>
      <c r="CM72" s="152">
        <v>0</v>
      </c>
      <c r="CN72" s="30">
        <f t="shared" si="114"/>
        <v>31</v>
      </c>
      <c r="CO72" s="28">
        <f>PRODUCTION!CP72+'SUPLIER INWARD'!CP72</f>
        <v>0</v>
      </c>
      <c r="CP72" s="151"/>
      <c r="CQ72" s="29">
        <v>0</v>
      </c>
      <c r="CR72" s="30">
        <f t="shared" si="115"/>
        <v>31</v>
      </c>
      <c r="CS72" s="28">
        <f>PRODUCTION!CT72+'SUPLIER INWARD'!CT72</f>
        <v>0</v>
      </c>
      <c r="CT72" s="28"/>
      <c r="CU72" s="29">
        <v>0</v>
      </c>
      <c r="CV72" s="30">
        <f t="shared" si="116"/>
        <v>31</v>
      </c>
      <c r="CW72" s="28">
        <f>PRODUCTION!CX72+'SUPLIER INWARD'!CX72</f>
        <v>0</v>
      </c>
      <c r="CX72" s="28"/>
      <c r="CY72" s="29">
        <v>0</v>
      </c>
      <c r="CZ72" s="30">
        <f t="shared" si="117"/>
        <v>31</v>
      </c>
      <c r="DA72" s="28">
        <f>PRODUCTION!DB72+'SUPLIER INWARD'!DB72</f>
        <v>0</v>
      </c>
      <c r="DB72" s="28"/>
      <c r="DC72" s="29"/>
      <c r="DD72" s="30">
        <f t="shared" si="118"/>
        <v>31</v>
      </c>
      <c r="DE72" s="28">
        <f>PRODUCTION!DF72+'SUPLIER INWARD'!DF72</f>
        <v>0</v>
      </c>
      <c r="DF72" s="28"/>
      <c r="DG72" s="29">
        <v>0</v>
      </c>
      <c r="DH72" s="30">
        <f t="shared" si="119"/>
        <v>31</v>
      </c>
      <c r="DI72" s="28">
        <f>PRODUCTION!DJ72+'SUPLIER INWARD'!DJ72</f>
        <v>1031</v>
      </c>
      <c r="DJ72" s="28">
        <v>300</v>
      </c>
      <c r="DK72" s="29">
        <v>41</v>
      </c>
      <c r="DL72" s="30">
        <f t="shared" si="120"/>
        <v>721</v>
      </c>
      <c r="DM72" s="28">
        <f>PRODUCTION!DN72+'SUPLIER INWARD'!DN72</f>
        <v>0</v>
      </c>
      <c r="DN72" s="28">
        <v>496</v>
      </c>
      <c r="DO72" s="29"/>
      <c r="DP72" s="30">
        <f t="shared" si="121"/>
        <v>225</v>
      </c>
      <c r="DQ72" s="28">
        <f>PRODUCTION!DR72+'SUPLIER INWARD'!DR72</f>
        <v>0</v>
      </c>
      <c r="DR72" s="28"/>
      <c r="DS72" s="29"/>
      <c r="DT72" s="30">
        <f t="shared" si="122"/>
        <v>225</v>
      </c>
      <c r="DU72" s="28">
        <f>PRODUCTION!DV72+'SUPLIER INWARD'!DV72</f>
        <v>0</v>
      </c>
      <c r="DV72" s="28"/>
      <c r="DW72" s="29"/>
      <c r="DX72" s="30">
        <f t="shared" si="123"/>
        <v>225</v>
      </c>
      <c r="DY72" s="31">
        <f t="shared" si="124"/>
        <v>1031</v>
      </c>
      <c r="DZ72" s="31">
        <f t="shared" si="125"/>
        <v>873</v>
      </c>
      <c r="EA72" s="4">
        <f t="shared" si="126"/>
        <v>41</v>
      </c>
      <c r="EB72" s="9">
        <f>D72*'MASTER SHEET'!D72</f>
        <v>3497.0400000000004</v>
      </c>
      <c r="EC72" s="9">
        <f>H72*'MASTER SHEET'!D72</f>
        <v>3497.0400000000004</v>
      </c>
      <c r="ED72" s="9">
        <f>L72*'MASTER SHEET'!D72</f>
        <v>3497.0400000000004</v>
      </c>
      <c r="EE72" s="9">
        <f>P72*'MASTER SHEET'!D72</f>
        <v>3497.0400000000004</v>
      </c>
      <c r="EF72" s="9">
        <f>T72*'MASTER SHEET'!D72</f>
        <v>1003.7800000000001</v>
      </c>
      <c r="EG72" s="9">
        <f>X72*'MASTER SHEET'!D72</f>
        <v>1003.7800000000001</v>
      </c>
      <c r="EH72" s="9">
        <f>AB72*'MASTER SHEET'!D72</f>
        <v>1003.7800000000001</v>
      </c>
      <c r="EI72" s="9">
        <f>AF72*'MASTER SHEET'!D72</f>
        <v>1003.7800000000001</v>
      </c>
      <c r="EJ72" s="9">
        <f>AJ72*'MASTER SHEET'!D72</f>
        <v>1003.7800000000001</v>
      </c>
      <c r="EK72" s="9">
        <f>AN72*'MASTER SHEET'!D72</f>
        <v>1003.7800000000001</v>
      </c>
      <c r="EL72" s="9">
        <f>AR72*'MASTER SHEET'!D72</f>
        <v>1003.7800000000001</v>
      </c>
      <c r="EM72" s="9">
        <f>AV72*'MASTER SHEET'!D72</f>
        <v>1003.7800000000001</v>
      </c>
      <c r="EN72" s="9">
        <f>AZ72*'MASTER SHEET'!D72</f>
        <v>1003.7800000000001</v>
      </c>
      <c r="EO72" s="9">
        <f>BD72*'MASTER SHEET'!D72</f>
        <v>1003.7800000000001</v>
      </c>
      <c r="EP72" s="9">
        <f>$BH72*'MASTER SHEET'!$D72</f>
        <v>1003.7800000000001</v>
      </c>
      <c r="EQ72" s="9">
        <f>BL72*'MASTER SHEET'!D72</f>
        <v>1003.7800000000001</v>
      </c>
      <c r="ER72" s="9">
        <f>BP72*'MASTER SHEET'!D72</f>
        <v>1003.7800000000001</v>
      </c>
      <c r="ES72" s="9">
        <f>BT72*'MASTER SHEET'!D72</f>
        <v>1003.7800000000001</v>
      </c>
      <c r="ET72" s="9">
        <f>BX72*'MASTER SHEET'!D72</f>
        <v>1003.7800000000001</v>
      </c>
      <c r="EU72" s="9">
        <f>CB72*'MASTER SHEET'!D72</f>
        <v>1003.7800000000001</v>
      </c>
      <c r="EV72" s="9">
        <f>CF72*'MASTER SHEET'!D72</f>
        <v>1003.7800000000001</v>
      </c>
      <c r="EW72" s="9">
        <f>CJ72*'MASTER SHEET'!D72</f>
        <v>1003.7800000000001</v>
      </c>
      <c r="EX72" s="9">
        <f>CN72*'MASTER SHEET'!D72</f>
        <v>1003.7800000000001</v>
      </c>
      <c r="EY72" s="9">
        <f>CR72*'MASTER SHEET'!D72</f>
        <v>1003.7800000000001</v>
      </c>
      <c r="EZ72" s="9">
        <f>$CV72*'MASTER SHEET'!D72</f>
        <v>1003.7800000000001</v>
      </c>
      <c r="FA72" s="9">
        <f>CZ72*'MASTER SHEET'!D72</f>
        <v>1003.7800000000001</v>
      </c>
      <c r="FB72" s="9">
        <f>DD72*'MASTER SHEET'!D72</f>
        <v>1003.7800000000001</v>
      </c>
      <c r="FC72" s="9">
        <f>DH72*'MASTER SHEET'!D72</f>
        <v>1003.7800000000001</v>
      </c>
      <c r="FD72" s="9">
        <f>DL72*'MASTER SHEET'!D72</f>
        <v>23345.980000000003</v>
      </c>
      <c r="FE72" s="9">
        <f>DP72*'MASTER SHEET'!D72</f>
        <v>7285.5000000000009</v>
      </c>
      <c r="FF72" s="9">
        <f>DT72*'MASTER SHEET'!D72</f>
        <v>7285.5000000000009</v>
      </c>
      <c r="FG72" s="9">
        <f>+DX72*'MASTER SHEET'!D72</f>
        <v>7285.5000000000009</v>
      </c>
    </row>
    <row r="73" spans="1:163" ht="20.25" customHeight="1" x14ac:dyDescent="0.25">
      <c r="A73" s="25">
        <f>'MASTER SHEET'!A73</f>
        <v>71</v>
      </c>
      <c r="B73" s="26" t="str">
        <f>'MASTER SHEET'!B73</f>
        <v>CENTERTUBE</v>
      </c>
      <c r="C73" s="78">
        <f>'MASTER SHEET'!C73</f>
        <v>5038940</v>
      </c>
      <c r="D73" s="159">
        <v>37</v>
      </c>
      <c r="E73" s="28">
        <f>PRODUCTION!F73+'SUPLIER INWARD'!F73</f>
        <v>0</v>
      </c>
      <c r="F73" s="28"/>
      <c r="G73" s="29">
        <v>0</v>
      </c>
      <c r="H73" s="30">
        <f t="shared" si="93"/>
        <v>37</v>
      </c>
      <c r="I73" s="28">
        <f>PRODUCTION!J73+'SUPLIER INWARD'!J73</f>
        <v>0</v>
      </c>
      <c r="J73" s="28"/>
      <c r="K73" s="29">
        <v>0</v>
      </c>
      <c r="L73" s="30">
        <f t="shared" si="94"/>
        <v>37</v>
      </c>
      <c r="M73" s="28">
        <f>PRODUCTION!N73+'SUPLIER INWARD'!N73</f>
        <v>0</v>
      </c>
      <c r="N73" s="28"/>
      <c r="O73" s="29"/>
      <c r="P73" s="30">
        <f t="shared" si="95"/>
        <v>37</v>
      </c>
      <c r="Q73" s="28">
        <f>PRODUCTION!R73+'SUPLIER INWARD'!R73</f>
        <v>0</v>
      </c>
      <c r="R73" s="28"/>
      <c r="S73" s="29">
        <v>0</v>
      </c>
      <c r="T73" s="30">
        <f t="shared" si="96"/>
        <v>37</v>
      </c>
      <c r="U73" s="28">
        <f>PRODUCTION!V73+'SUPLIER INWARD'!V73</f>
        <v>0</v>
      </c>
      <c r="V73" s="28"/>
      <c r="W73" s="29">
        <v>0</v>
      </c>
      <c r="X73" s="30">
        <f t="shared" si="97"/>
        <v>37</v>
      </c>
      <c r="Y73" s="28">
        <f>PRODUCTION!Z73+'SUPLIER INWARD'!Z73</f>
        <v>3840</v>
      </c>
      <c r="Z73" s="28">
        <v>3360</v>
      </c>
      <c r="AA73" s="29">
        <v>0</v>
      </c>
      <c r="AB73" s="30">
        <f t="shared" si="98"/>
        <v>517</v>
      </c>
      <c r="AC73" s="28">
        <f>PRODUCTION!AD73+'SUPLIER INWARD'!AD73</f>
        <v>0</v>
      </c>
      <c r="AD73" s="28">
        <v>80</v>
      </c>
      <c r="AE73" s="29">
        <v>0</v>
      </c>
      <c r="AF73" s="30">
        <f t="shared" si="99"/>
        <v>437</v>
      </c>
      <c r="AG73" s="28">
        <f>PRODUCTION!AH73+'SUPLIER INWARD'!AH73</f>
        <v>0</v>
      </c>
      <c r="AH73" s="28"/>
      <c r="AI73" s="29">
        <v>0</v>
      </c>
      <c r="AJ73" s="30">
        <f t="shared" si="100"/>
        <v>437</v>
      </c>
      <c r="AK73" s="28">
        <f>PRODUCTION!AL73+'SUPLIER INWARD'!AL73</f>
        <v>0</v>
      </c>
      <c r="AL73" s="28"/>
      <c r="AM73" s="29">
        <v>0</v>
      </c>
      <c r="AN73" s="30">
        <f t="shared" si="101"/>
        <v>437</v>
      </c>
      <c r="AO73" s="28">
        <f>PRODUCTION!AP73+'SUPLIER INWARD'!AP73</f>
        <v>0</v>
      </c>
      <c r="AP73" s="28"/>
      <c r="AQ73" s="29">
        <v>0</v>
      </c>
      <c r="AR73" s="30">
        <f t="shared" si="102"/>
        <v>437</v>
      </c>
      <c r="AS73" s="28">
        <f>PRODUCTION!AT73+'SUPLIER INWARD'!AT73</f>
        <v>0</v>
      </c>
      <c r="AT73" s="28"/>
      <c r="AU73" s="29">
        <v>0</v>
      </c>
      <c r="AV73" s="30">
        <f t="shared" si="103"/>
        <v>437</v>
      </c>
      <c r="AW73" s="28">
        <f>PRODUCTION!AX73+'SUPLIER INWARD'!AX73</f>
        <v>0</v>
      </c>
      <c r="AX73" s="28"/>
      <c r="AY73" s="29"/>
      <c r="AZ73" s="30">
        <f t="shared" si="104"/>
        <v>437</v>
      </c>
      <c r="BA73" s="28">
        <f>PRODUCTION!BB73+'SUPLIER INWARD'!BB73</f>
        <v>0</v>
      </c>
      <c r="BB73" s="28"/>
      <c r="BC73" s="29">
        <v>0</v>
      </c>
      <c r="BD73" s="30">
        <f t="shared" si="105"/>
        <v>437</v>
      </c>
      <c r="BE73" s="28">
        <f>PRODUCTION!BF73+'SUPLIER INWARD'!BF73</f>
        <v>0</v>
      </c>
      <c r="BF73" s="28"/>
      <c r="BG73" s="29">
        <v>0</v>
      </c>
      <c r="BH73" s="30">
        <f t="shared" si="106"/>
        <v>437</v>
      </c>
      <c r="BI73" s="28">
        <f>PRODUCTION!BJ73+'SUPLIER INWARD'!BJ73</f>
        <v>0</v>
      </c>
      <c r="BJ73" s="28"/>
      <c r="BK73" s="29">
        <v>0</v>
      </c>
      <c r="BL73" s="30">
        <f t="shared" si="107"/>
        <v>437</v>
      </c>
      <c r="BM73" s="28">
        <f>PRODUCTION!BN73+'SUPLIER INWARD'!BN73</f>
        <v>0</v>
      </c>
      <c r="BN73" s="151"/>
      <c r="BO73" s="29">
        <v>0</v>
      </c>
      <c r="BP73" s="30">
        <f t="shared" si="108"/>
        <v>437</v>
      </c>
      <c r="BQ73" s="28">
        <f>PRODUCTION!BR73+'SUPLIER INWARD'!BR73</f>
        <v>1600</v>
      </c>
      <c r="BR73" s="28">
        <v>1600</v>
      </c>
      <c r="BS73" s="29">
        <v>0</v>
      </c>
      <c r="BT73" s="30">
        <f t="shared" si="109"/>
        <v>437</v>
      </c>
      <c r="BU73" s="28">
        <f>PRODUCTION!BV73+'SUPLIER INWARD'!BV73</f>
        <v>1000</v>
      </c>
      <c r="BV73" s="151">
        <v>800</v>
      </c>
      <c r="BW73" s="29">
        <v>0</v>
      </c>
      <c r="BX73" s="30">
        <f t="shared" si="110"/>
        <v>637</v>
      </c>
      <c r="BY73" s="28">
        <f>PRODUCTION!BZ73+'SUPLIER INWARD'!BZ73</f>
        <v>0</v>
      </c>
      <c r="BZ73" s="28"/>
      <c r="CA73" s="29">
        <v>0</v>
      </c>
      <c r="CB73" s="30">
        <f t="shared" si="111"/>
        <v>637</v>
      </c>
      <c r="CC73" s="28">
        <f>PRODUCTION!CD73+'SUPLIER INWARD'!CD73</f>
        <v>2000</v>
      </c>
      <c r="CD73" s="28"/>
      <c r="CE73" s="29">
        <v>0</v>
      </c>
      <c r="CF73" s="30">
        <f t="shared" si="112"/>
        <v>2637</v>
      </c>
      <c r="CG73" s="28">
        <f>PRODUCTION!CH73+'SUPLIER INWARD'!CH73</f>
        <v>1600</v>
      </c>
      <c r="CH73" s="28"/>
      <c r="CI73" s="29">
        <v>0</v>
      </c>
      <c r="CJ73" s="30">
        <f t="shared" si="113"/>
        <v>4237</v>
      </c>
      <c r="CK73" s="28">
        <f>PRODUCTION!CL73+'SUPLIER INWARD'!CL73</f>
        <v>0</v>
      </c>
      <c r="CL73" s="151"/>
      <c r="CM73" s="152">
        <v>0</v>
      </c>
      <c r="CN73" s="30">
        <f t="shared" si="114"/>
        <v>4237</v>
      </c>
      <c r="CO73" s="28">
        <f>PRODUCTION!CP73+'SUPLIER INWARD'!CP73</f>
        <v>0</v>
      </c>
      <c r="CP73" s="151"/>
      <c r="CQ73" s="29">
        <v>0</v>
      </c>
      <c r="CR73" s="30">
        <f t="shared" si="115"/>
        <v>4237</v>
      </c>
      <c r="CS73" s="28">
        <f>PRODUCTION!CT73+'SUPLIER INWARD'!CT73</f>
        <v>800</v>
      </c>
      <c r="CT73" s="28"/>
      <c r="CU73" s="29">
        <v>0</v>
      </c>
      <c r="CV73" s="30">
        <f t="shared" si="116"/>
        <v>5037</v>
      </c>
      <c r="CW73" s="28">
        <f>PRODUCTION!CX73+'SUPLIER INWARD'!CX73</f>
        <v>0</v>
      </c>
      <c r="CX73" s="28"/>
      <c r="CY73" s="29">
        <v>0</v>
      </c>
      <c r="CZ73" s="30">
        <f t="shared" si="117"/>
        <v>5037</v>
      </c>
      <c r="DA73" s="28">
        <f>PRODUCTION!DB73+'SUPLIER INWARD'!DB73</f>
        <v>0</v>
      </c>
      <c r="DB73" s="28"/>
      <c r="DC73" s="29"/>
      <c r="DD73" s="30">
        <f t="shared" si="118"/>
        <v>5037</v>
      </c>
      <c r="DE73" s="28">
        <f>PRODUCTION!DF73+'SUPLIER INWARD'!DF73</f>
        <v>0</v>
      </c>
      <c r="DF73" s="28"/>
      <c r="DG73" s="29">
        <v>0</v>
      </c>
      <c r="DH73" s="30">
        <f t="shared" si="119"/>
        <v>5037</v>
      </c>
      <c r="DI73" s="28">
        <f>PRODUCTION!DJ73+'SUPLIER INWARD'!DJ73</f>
        <v>0</v>
      </c>
      <c r="DJ73" s="28"/>
      <c r="DK73" s="29">
        <v>0</v>
      </c>
      <c r="DL73" s="30">
        <f t="shared" si="120"/>
        <v>5037</v>
      </c>
      <c r="DM73" s="28">
        <f>PRODUCTION!DN73+'SUPLIER INWARD'!DN73</f>
        <v>0</v>
      </c>
      <c r="DN73" s="28"/>
      <c r="DO73" s="29"/>
      <c r="DP73" s="30">
        <f t="shared" si="121"/>
        <v>5037</v>
      </c>
      <c r="DQ73" s="28">
        <f>PRODUCTION!DR73+'SUPLIER INWARD'!DR73</f>
        <v>0</v>
      </c>
      <c r="DR73" s="28"/>
      <c r="DS73" s="29"/>
      <c r="DT73" s="30">
        <f t="shared" si="122"/>
        <v>5037</v>
      </c>
      <c r="DU73" s="28">
        <f>PRODUCTION!DV73+'SUPLIER INWARD'!DV73</f>
        <v>0</v>
      </c>
      <c r="DV73" s="28"/>
      <c r="DW73" s="29"/>
      <c r="DX73" s="30">
        <f t="shared" si="123"/>
        <v>5037</v>
      </c>
      <c r="DY73" s="31">
        <f t="shared" si="124"/>
        <v>10840</v>
      </c>
      <c r="DZ73" s="31">
        <f t="shared" si="125"/>
        <v>5840</v>
      </c>
      <c r="EA73" s="4">
        <f t="shared" si="126"/>
        <v>0</v>
      </c>
      <c r="EB73" s="9">
        <f>D73*'MASTER SHEET'!D73</f>
        <v>690.42</v>
      </c>
      <c r="EC73" s="9">
        <f>H73*'MASTER SHEET'!D73</f>
        <v>690.42</v>
      </c>
      <c r="ED73" s="9">
        <f>L73*'MASTER SHEET'!D73</f>
        <v>690.42</v>
      </c>
      <c r="EE73" s="9">
        <f>P73*'MASTER SHEET'!D73</f>
        <v>690.42</v>
      </c>
      <c r="EF73" s="9">
        <f>T73*'MASTER SHEET'!D73</f>
        <v>690.42</v>
      </c>
      <c r="EG73" s="9">
        <f>X73*'MASTER SHEET'!D73</f>
        <v>690.42</v>
      </c>
      <c r="EH73" s="9">
        <f>AB73*'MASTER SHEET'!D73</f>
        <v>9647.2199999999993</v>
      </c>
      <c r="EI73" s="9">
        <f>AF73*'MASTER SHEET'!D73</f>
        <v>8154.42</v>
      </c>
      <c r="EJ73" s="9">
        <f>AJ73*'MASTER SHEET'!D73</f>
        <v>8154.42</v>
      </c>
      <c r="EK73" s="9">
        <f>AN73*'MASTER SHEET'!D73</f>
        <v>8154.42</v>
      </c>
      <c r="EL73" s="9">
        <f>AR73*'MASTER SHEET'!D73</f>
        <v>8154.42</v>
      </c>
      <c r="EM73" s="9">
        <f>AV73*'MASTER SHEET'!D73</f>
        <v>8154.42</v>
      </c>
      <c r="EN73" s="9">
        <f>AZ73*'MASTER SHEET'!D73</f>
        <v>8154.42</v>
      </c>
      <c r="EO73" s="9">
        <f>BD73*'MASTER SHEET'!D73</f>
        <v>8154.42</v>
      </c>
      <c r="EP73" s="9">
        <f>$BH73*'MASTER SHEET'!$D73</f>
        <v>8154.42</v>
      </c>
      <c r="EQ73" s="9">
        <f>BL73*'MASTER SHEET'!D73</f>
        <v>8154.42</v>
      </c>
      <c r="ER73" s="9">
        <f>BP73*'MASTER SHEET'!D73</f>
        <v>8154.42</v>
      </c>
      <c r="ES73" s="9">
        <f>BT73*'MASTER SHEET'!D73</f>
        <v>8154.42</v>
      </c>
      <c r="ET73" s="9">
        <f>BX73*'MASTER SHEET'!D73</f>
        <v>11886.42</v>
      </c>
      <c r="EU73" s="9">
        <f>CB73*'MASTER SHEET'!D73</f>
        <v>11886.42</v>
      </c>
      <c r="EV73" s="9">
        <f>CF73*'MASTER SHEET'!D73</f>
        <v>49206.42</v>
      </c>
      <c r="EW73" s="9">
        <f>CJ73*'MASTER SHEET'!D73</f>
        <v>79062.42</v>
      </c>
      <c r="EX73" s="9">
        <f>CN73*'MASTER SHEET'!D73</f>
        <v>79062.42</v>
      </c>
      <c r="EY73" s="9">
        <f>CR73*'MASTER SHEET'!D73</f>
        <v>79062.42</v>
      </c>
      <c r="EZ73" s="9">
        <f>$CV73*'MASTER SHEET'!D73</f>
        <v>93990.42</v>
      </c>
      <c r="FA73" s="9">
        <f>CZ73*'MASTER SHEET'!D73</f>
        <v>93990.42</v>
      </c>
      <c r="FB73" s="9">
        <f>DD73*'MASTER SHEET'!D73</f>
        <v>93990.42</v>
      </c>
      <c r="FC73" s="9">
        <f>DH73*'MASTER SHEET'!D73</f>
        <v>93990.42</v>
      </c>
      <c r="FD73" s="9">
        <f>DL73*'MASTER SHEET'!D73</f>
        <v>93990.42</v>
      </c>
      <c r="FE73" s="9">
        <f>DP73*'MASTER SHEET'!D73</f>
        <v>93990.42</v>
      </c>
      <c r="FF73" s="9">
        <f>DT73*'MASTER SHEET'!D73</f>
        <v>93990.42</v>
      </c>
      <c r="FG73" s="9">
        <f>+DX73*'MASTER SHEET'!D73</f>
        <v>93990.42</v>
      </c>
    </row>
    <row r="74" spans="1:163" ht="20.25" customHeight="1" x14ac:dyDescent="0.25">
      <c r="A74" s="25">
        <f>'MASTER SHEET'!A74</f>
        <v>72</v>
      </c>
      <c r="B74" s="26" t="str">
        <f>'MASTER SHEET'!B74</f>
        <v>CENTERTUBE</v>
      </c>
      <c r="C74" s="78">
        <f>'MASTER SHEET'!C74</f>
        <v>5038950</v>
      </c>
      <c r="D74" s="159">
        <v>3145</v>
      </c>
      <c r="E74" s="28">
        <f>PRODUCTION!F74+'SUPLIER INWARD'!F74</f>
        <v>0</v>
      </c>
      <c r="F74" s="28"/>
      <c r="G74" s="29">
        <v>0</v>
      </c>
      <c r="H74" s="30">
        <f t="shared" si="93"/>
        <v>3145</v>
      </c>
      <c r="I74" s="28">
        <f>PRODUCTION!J74+'SUPLIER INWARD'!J74</f>
        <v>0</v>
      </c>
      <c r="J74" s="28"/>
      <c r="K74" s="29">
        <v>0</v>
      </c>
      <c r="L74" s="30">
        <f t="shared" si="94"/>
        <v>3145</v>
      </c>
      <c r="M74" s="28">
        <f>PRODUCTION!N74+'SUPLIER INWARD'!N74</f>
        <v>0</v>
      </c>
      <c r="N74" s="28"/>
      <c r="O74" s="29"/>
      <c r="P74" s="30">
        <f t="shared" si="95"/>
        <v>3145</v>
      </c>
      <c r="Q74" s="28">
        <f>PRODUCTION!R74+'SUPLIER INWARD'!R74</f>
        <v>0</v>
      </c>
      <c r="R74" s="28"/>
      <c r="S74" s="29">
        <v>0</v>
      </c>
      <c r="T74" s="30">
        <f t="shared" si="96"/>
        <v>3145</v>
      </c>
      <c r="U74" s="28">
        <f>PRODUCTION!V74+'SUPLIER INWARD'!V74</f>
        <v>0</v>
      </c>
      <c r="V74" s="28"/>
      <c r="W74" s="29">
        <v>0</v>
      </c>
      <c r="X74" s="30">
        <f t="shared" si="97"/>
        <v>3145</v>
      </c>
      <c r="Y74" s="28">
        <f>PRODUCTION!Z74+'SUPLIER INWARD'!Z74</f>
        <v>0</v>
      </c>
      <c r="Z74" s="28"/>
      <c r="AA74" s="29">
        <v>0</v>
      </c>
      <c r="AB74" s="30">
        <f t="shared" si="98"/>
        <v>3145</v>
      </c>
      <c r="AC74" s="28">
        <f>PRODUCTION!AD74+'SUPLIER INWARD'!AD74</f>
        <v>0</v>
      </c>
      <c r="AD74" s="28"/>
      <c r="AE74" s="29">
        <v>0</v>
      </c>
      <c r="AF74" s="30">
        <f t="shared" si="99"/>
        <v>3145</v>
      </c>
      <c r="AG74" s="28">
        <f>PRODUCTION!AH74+'SUPLIER INWARD'!AH74</f>
        <v>0</v>
      </c>
      <c r="AH74" s="28"/>
      <c r="AI74" s="29">
        <v>0</v>
      </c>
      <c r="AJ74" s="30">
        <f t="shared" si="100"/>
        <v>3145</v>
      </c>
      <c r="AK74" s="28">
        <f>PRODUCTION!AL74+'SUPLIER INWARD'!AL74</f>
        <v>0</v>
      </c>
      <c r="AL74" s="28"/>
      <c r="AM74" s="29">
        <v>0</v>
      </c>
      <c r="AN74" s="30">
        <f t="shared" si="101"/>
        <v>3145</v>
      </c>
      <c r="AO74" s="28">
        <f>PRODUCTION!AP74+'SUPLIER INWARD'!AP74</f>
        <v>0</v>
      </c>
      <c r="AP74" s="28"/>
      <c r="AQ74" s="29">
        <v>0</v>
      </c>
      <c r="AR74" s="30">
        <f t="shared" si="102"/>
        <v>3145</v>
      </c>
      <c r="AS74" s="28">
        <f>PRODUCTION!AT74+'SUPLIER INWARD'!AT74</f>
        <v>0</v>
      </c>
      <c r="AT74" s="28"/>
      <c r="AU74" s="29">
        <v>0</v>
      </c>
      <c r="AV74" s="30">
        <f t="shared" si="103"/>
        <v>3145</v>
      </c>
      <c r="AW74" s="28">
        <f>PRODUCTION!AX74+'SUPLIER INWARD'!AX74</f>
        <v>0</v>
      </c>
      <c r="AX74" s="28"/>
      <c r="AY74" s="29"/>
      <c r="AZ74" s="30">
        <f t="shared" si="104"/>
        <v>3145</v>
      </c>
      <c r="BA74" s="28">
        <f>PRODUCTION!BB74+'SUPLIER INWARD'!BB74</f>
        <v>0</v>
      </c>
      <c r="BB74" s="28"/>
      <c r="BC74" s="29">
        <v>0</v>
      </c>
      <c r="BD74" s="30">
        <f t="shared" si="105"/>
        <v>3145</v>
      </c>
      <c r="BE74" s="28">
        <f>PRODUCTION!BF74+'SUPLIER INWARD'!BF74</f>
        <v>0</v>
      </c>
      <c r="BF74" s="28"/>
      <c r="BG74" s="29">
        <v>0</v>
      </c>
      <c r="BH74" s="30">
        <f t="shared" si="106"/>
        <v>3145</v>
      </c>
      <c r="BI74" s="28">
        <f>PRODUCTION!BJ74+'SUPLIER INWARD'!BJ74</f>
        <v>0</v>
      </c>
      <c r="BJ74" s="28"/>
      <c r="BK74" s="29">
        <v>0</v>
      </c>
      <c r="BL74" s="30">
        <f t="shared" si="107"/>
        <v>3145</v>
      </c>
      <c r="BM74" s="28">
        <f>PRODUCTION!BN74+'SUPLIER INWARD'!BN74</f>
        <v>0</v>
      </c>
      <c r="BN74" s="28"/>
      <c r="BO74" s="29">
        <v>0</v>
      </c>
      <c r="BP74" s="30">
        <f t="shared" si="108"/>
        <v>3145</v>
      </c>
      <c r="BQ74" s="28">
        <f>PRODUCTION!BR74+'SUPLIER INWARD'!BR74</f>
        <v>0</v>
      </c>
      <c r="BR74" s="28">
        <v>480</v>
      </c>
      <c r="BS74" s="29">
        <v>0</v>
      </c>
      <c r="BT74" s="30">
        <f t="shared" si="109"/>
        <v>2665</v>
      </c>
      <c r="BU74" s="28">
        <f>PRODUCTION!BV74+'SUPLIER INWARD'!BV74</f>
        <v>0</v>
      </c>
      <c r="BV74" s="29">
        <v>1440</v>
      </c>
      <c r="BW74" s="29">
        <v>0</v>
      </c>
      <c r="BX74" s="30">
        <f t="shared" si="110"/>
        <v>1225</v>
      </c>
      <c r="BY74" s="28">
        <f>PRODUCTION!BZ74+'SUPLIER INWARD'!BZ74</f>
        <v>0</v>
      </c>
      <c r="BZ74" s="28"/>
      <c r="CA74" s="29">
        <v>0</v>
      </c>
      <c r="CB74" s="30">
        <f t="shared" si="111"/>
        <v>1225</v>
      </c>
      <c r="CC74" s="28">
        <f>PRODUCTION!CD74+'SUPLIER INWARD'!CD74</f>
        <v>1400</v>
      </c>
      <c r="CD74" s="28"/>
      <c r="CE74" s="29">
        <v>0</v>
      </c>
      <c r="CF74" s="30">
        <f t="shared" si="112"/>
        <v>2625</v>
      </c>
      <c r="CG74" s="28">
        <f>PRODUCTION!CH74+'SUPLIER INWARD'!CH74</f>
        <v>2800</v>
      </c>
      <c r="CH74" s="28">
        <v>1120</v>
      </c>
      <c r="CI74" s="29">
        <v>0</v>
      </c>
      <c r="CJ74" s="30">
        <f t="shared" si="113"/>
        <v>4305</v>
      </c>
      <c r="CK74" s="28">
        <f>PRODUCTION!CL74+'SUPLIER INWARD'!CL74</f>
        <v>2400</v>
      </c>
      <c r="CL74" s="151"/>
      <c r="CM74" s="152">
        <v>0</v>
      </c>
      <c r="CN74" s="30">
        <f t="shared" si="114"/>
        <v>6705</v>
      </c>
      <c r="CO74" s="28">
        <f>PRODUCTION!CP74+'SUPLIER INWARD'!CP74</f>
        <v>3000</v>
      </c>
      <c r="CP74" s="151">
        <v>800</v>
      </c>
      <c r="CQ74" s="29">
        <v>0</v>
      </c>
      <c r="CR74" s="30">
        <f t="shared" si="115"/>
        <v>8905</v>
      </c>
      <c r="CS74" s="28">
        <f>PRODUCTION!CT74+'SUPLIER INWARD'!CT74</f>
        <v>2000</v>
      </c>
      <c r="CT74" s="28">
        <v>800</v>
      </c>
      <c r="CU74" s="29">
        <v>0</v>
      </c>
      <c r="CV74" s="30">
        <f t="shared" si="116"/>
        <v>10105</v>
      </c>
      <c r="CW74" s="28">
        <f>PRODUCTION!CX74+'SUPLIER INWARD'!CX74</f>
        <v>2000</v>
      </c>
      <c r="CX74" s="28"/>
      <c r="CY74" s="29">
        <v>0</v>
      </c>
      <c r="CZ74" s="30">
        <f t="shared" si="117"/>
        <v>12105</v>
      </c>
      <c r="DA74" s="28">
        <f>PRODUCTION!DB74+'SUPLIER INWARD'!DB74</f>
        <v>0</v>
      </c>
      <c r="DB74" s="28"/>
      <c r="DC74" s="29"/>
      <c r="DD74" s="30">
        <f t="shared" si="118"/>
        <v>12105</v>
      </c>
      <c r="DE74" s="28">
        <f>PRODUCTION!DF74+'SUPLIER INWARD'!DF74</f>
        <v>1400</v>
      </c>
      <c r="DF74" s="28">
        <v>1440</v>
      </c>
      <c r="DG74" s="29">
        <v>0</v>
      </c>
      <c r="DH74" s="30">
        <f t="shared" si="119"/>
        <v>12065</v>
      </c>
      <c r="DI74" s="28">
        <f>PRODUCTION!DJ74+'SUPLIER INWARD'!DJ74</f>
        <v>0</v>
      </c>
      <c r="DJ74" s="28"/>
      <c r="DK74" s="29">
        <v>0</v>
      </c>
      <c r="DL74" s="30">
        <f t="shared" si="120"/>
        <v>12065</v>
      </c>
      <c r="DM74" s="28">
        <f>PRODUCTION!DN74+'SUPLIER INWARD'!DN74</f>
        <v>0</v>
      </c>
      <c r="DN74" s="28"/>
      <c r="DO74" s="29"/>
      <c r="DP74" s="30">
        <f t="shared" si="121"/>
        <v>12065</v>
      </c>
      <c r="DQ74" s="28">
        <f>PRODUCTION!DR74+'SUPLIER INWARD'!DR74</f>
        <v>0</v>
      </c>
      <c r="DR74" s="28"/>
      <c r="DS74" s="29"/>
      <c r="DT74" s="30">
        <f t="shared" si="122"/>
        <v>12065</v>
      </c>
      <c r="DU74" s="28">
        <f>PRODUCTION!DV74+'SUPLIER INWARD'!DV74</f>
        <v>0</v>
      </c>
      <c r="DV74" s="28"/>
      <c r="DW74" s="29"/>
      <c r="DX74" s="30">
        <f t="shared" si="123"/>
        <v>12065</v>
      </c>
      <c r="DY74" s="31">
        <f t="shared" si="124"/>
        <v>15000</v>
      </c>
      <c r="DZ74" s="31">
        <f t="shared" si="125"/>
        <v>6080</v>
      </c>
      <c r="EA74" s="4">
        <f t="shared" si="126"/>
        <v>0</v>
      </c>
      <c r="EB74" s="9">
        <f>D74*'MASTER SHEET'!D74</f>
        <v>31229.85</v>
      </c>
      <c r="EC74" s="9">
        <f>H74*'MASTER SHEET'!D74</f>
        <v>31229.85</v>
      </c>
      <c r="ED74" s="9">
        <f>L74*'MASTER SHEET'!D74</f>
        <v>31229.85</v>
      </c>
      <c r="EE74" s="9">
        <f>P74*'MASTER SHEET'!D74</f>
        <v>31229.85</v>
      </c>
      <c r="EF74" s="9">
        <f>T74*'MASTER SHEET'!D74</f>
        <v>31229.85</v>
      </c>
      <c r="EG74" s="9">
        <f>X74*'MASTER SHEET'!D74</f>
        <v>31229.85</v>
      </c>
      <c r="EH74" s="9">
        <f>AB74*'MASTER SHEET'!D74</f>
        <v>31229.85</v>
      </c>
      <c r="EI74" s="9">
        <f>AF74*'MASTER SHEET'!D74</f>
        <v>31229.85</v>
      </c>
      <c r="EJ74" s="9">
        <f>AJ74*'MASTER SHEET'!D74</f>
        <v>31229.85</v>
      </c>
      <c r="EK74" s="9">
        <f>AN74*'MASTER SHEET'!D74</f>
        <v>31229.85</v>
      </c>
      <c r="EL74" s="9">
        <f>AR74*'MASTER SHEET'!D74</f>
        <v>31229.85</v>
      </c>
      <c r="EM74" s="9">
        <f>AV74*'MASTER SHEET'!D74</f>
        <v>31229.85</v>
      </c>
      <c r="EN74" s="9">
        <f>AZ74*'MASTER SHEET'!D74</f>
        <v>31229.85</v>
      </c>
      <c r="EO74" s="9">
        <f>BD74*'MASTER SHEET'!D74</f>
        <v>31229.85</v>
      </c>
      <c r="EP74" s="9">
        <f>$BH74*'MASTER SHEET'!$D74</f>
        <v>31229.85</v>
      </c>
      <c r="EQ74" s="9">
        <f>BL74*'MASTER SHEET'!D74</f>
        <v>31229.85</v>
      </c>
      <c r="ER74" s="9">
        <f>BP74*'MASTER SHEET'!D74</f>
        <v>31229.85</v>
      </c>
      <c r="ES74" s="9">
        <f>BT74*'MASTER SHEET'!D74</f>
        <v>26463.45</v>
      </c>
      <c r="ET74" s="9">
        <f>BX74*'MASTER SHEET'!D74</f>
        <v>12164.25</v>
      </c>
      <c r="EU74" s="9">
        <f>CB74*'MASTER SHEET'!D74</f>
        <v>12164.25</v>
      </c>
      <c r="EV74" s="9">
        <f>CF74*'MASTER SHEET'!D74</f>
        <v>26066.25</v>
      </c>
      <c r="EW74" s="9">
        <f>CJ74*'MASTER SHEET'!D74</f>
        <v>42748.65</v>
      </c>
      <c r="EX74" s="9">
        <f>CN74*'MASTER SHEET'!D74</f>
        <v>66580.649999999994</v>
      </c>
      <c r="EY74" s="9">
        <f>CR74*'MASTER SHEET'!D74</f>
        <v>88426.65</v>
      </c>
      <c r="EZ74" s="9">
        <f>$CV74*'MASTER SHEET'!D74</f>
        <v>100342.65</v>
      </c>
      <c r="FA74" s="9">
        <f>CZ74*'MASTER SHEET'!D74</f>
        <v>120202.65</v>
      </c>
      <c r="FB74" s="9">
        <f>DD74*'MASTER SHEET'!D74</f>
        <v>120202.65</v>
      </c>
      <c r="FC74" s="9">
        <f>DH74*'MASTER SHEET'!D74</f>
        <v>119805.45</v>
      </c>
      <c r="FD74" s="9">
        <f>DL74*'MASTER SHEET'!D74</f>
        <v>119805.45</v>
      </c>
      <c r="FE74" s="9">
        <f>DP74*'MASTER SHEET'!D74</f>
        <v>119805.45</v>
      </c>
      <c r="FF74" s="9">
        <f>DT74*'MASTER SHEET'!D74</f>
        <v>119805.45</v>
      </c>
      <c r="FG74" s="9">
        <f>+DX74*'MASTER SHEET'!D74</f>
        <v>119805.45</v>
      </c>
    </row>
    <row r="75" spans="1:163" ht="20.25" customHeight="1" x14ac:dyDescent="0.25">
      <c r="A75" s="25">
        <f>'MASTER SHEET'!A75</f>
        <v>73</v>
      </c>
      <c r="B75" s="26" t="str">
        <f>'MASTER SHEET'!B75</f>
        <v>SHELL, PLASTIC,   (9880)</v>
      </c>
      <c r="C75" s="78">
        <f>'MASTER SHEET'!C75</f>
        <v>5036297</v>
      </c>
      <c r="D75" s="159">
        <v>0</v>
      </c>
      <c r="E75" s="28">
        <f>PRODUCTION!F75+'SUPLIER INWARD'!F75</f>
        <v>0</v>
      </c>
      <c r="F75" s="28"/>
      <c r="G75" s="29">
        <v>0</v>
      </c>
      <c r="H75" s="30">
        <f t="shared" si="93"/>
        <v>0</v>
      </c>
      <c r="I75" s="28">
        <f>PRODUCTION!J75+'SUPLIER INWARD'!J75</f>
        <v>0</v>
      </c>
      <c r="J75" s="28"/>
      <c r="K75" s="29">
        <v>0</v>
      </c>
      <c r="L75" s="30">
        <f t="shared" si="94"/>
        <v>0</v>
      </c>
      <c r="M75" s="28">
        <f>PRODUCTION!N75+'SUPLIER INWARD'!N75</f>
        <v>0</v>
      </c>
      <c r="N75" s="28"/>
      <c r="O75" s="29"/>
      <c r="P75" s="30">
        <f t="shared" si="95"/>
        <v>0</v>
      </c>
      <c r="Q75" s="28">
        <f>PRODUCTION!R75+'SUPLIER INWARD'!R75</f>
        <v>0</v>
      </c>
      <c r="R75" s="28"/>
      <c r="S75" s="29">
        <v>0</v>
      </c>
      <c r="T75" s="30">
        <f t="shared" si="96"/>
        <v>0</v>
      </c>
      <c r="U75" s="28">
        <f>PRODUCTION!V75+'SUPLIER INWARD'!V75</f>
        <v>0</v>
      </c>
      <c r="V75" s="28"/>
      <c r="W75" s="29">
        <v>0</v>
      </c>
      <c r="X75" s="30">
        <f t="shared" si="97"/>
        <v>0</v>
      </c>
      <c r="Y75" s="28">
        <f>PRODUCTION!Z75+'SUPLIER INWARD'!Z75</f>
        <v>0</v>
      </c>
      <c r="Z75" s="28"/>
      <c r="AA75" s="29">
        <v>0</v>
      </c>
      <c r="AB75" s="30">
        <f t="shared" si="98"/>
        <v>0</v>
      </c>
      <c r="AC75" s="28">
        <f>PRODUCTION!AD75+'SUPLIER INWARD'!AD75</f>
        <v>0</v>
      </c>
      <c r="AD75" s="28"/>
      <c r="AE75" s="29">
        <v>0</v>
      </c>
      <c r="AF75" s="30">
        <f t="shared" si="99"/>
        <v>0</v>
      </c>
      <c r="AG75" s="28">
        <f>PRODUCTION!AH75+'SUPLIER INWARD'!AH75</f>
        <v>0</v>
      </c>
      <c r="AH75" s="28"/>
      <c r="AI75" s="29">
        <v>0</v>
      </c>
      <c r="AJ75" s="30">
        <f t="shared" si="100"/>
        <v>0</v>
      </c>
      <c r="AK75" s="28">
        <f>PRODUCTION!AL75+'SUPLIER INWARD'!AL75</f>
        <v>0</v>
      </c>
      <c r="AL75" s="28"/>
      <c r="AM75" s="29">
        <v>0</v>
      </c>
      <c r="AN75" s="30">
        <f t="shared" si="101"/>
        <v>0</v>
      </c>
      <c r="AO75" s="28">
        <f>PRODUCTION!AP75+'SUPLIER INWARD'!AP75</f>
        <v>0</v>
      </c>
      <c r="AP75" s="28"/>
      <c r="AQ75" s="29">
        <v>0</v>
      </c>
      <c r="AR75" s="30">
        <f t="shared" si="102"/>
        <v>0</v>
      </c>
      <c r="AS75" s="28">
        <f>PRODUCTION!AT75+'SUPLIER INWARD'!AT75</f>
        <v>0</v>
      </c>
      <c r="AT75" s="28"/>
      <c r="AU75" s="29">
        <v>0</v>
      </c>
      <c r="AV75" s="30">
        <f t="shared" si="103"/>
        <v>0</v>
      </c>
      <c r="AW75" s="28">
        <f>PRODUCTION!AX75+'SUPLIER INWARD'!AX75</f>
        <v>0</v>
      </c>
      <c r="AX75" s="28"/>
      <c r="AY75" s="29"/>
      <c r="AZ75" s="30">
        <f t="shared" si="104"/>
        <v>0</v>
      </c>
      <c r="BA75" s="28">
        <f>PRODUCTION!BB75+'SUPLIER INWARD'!BB75</f>
        <v>0</v>
      </c>
      <c r="BB75" s="28"/>
      <c r="BC75" s="29">
        <v>0</v>
      </c>
      <c r="BD75" s="30">
        <f t="shared" si="105"/>
        <v>0</v>
      </c>
      <c r="BE75" s="28">
        <f>PRODUCTION!BF75+'SUPLIER INWARD'!BF75</f>
        <v>0</v>
      </c>
      <c r="BF75" s="28"/>
      <c r="BG75" s="29">
        <v>0</v>
      </c>
      <c r="BH75" s="30">
        <f t="shared" si="106"/>
        <v>0</v>
      </c>
      <c r="BI75" s="28">
        <f>PRODUCTION!BJ75+'SUPLIER INWARD'!BJ75</f>
        <v>0</v>
      </c>
      <c r="BJ75" s="28"/>
      <c r="BK75" s="29">
        <v>0</v>
      </c>
      <c r="BL75" s="30">
        <f t="shared" si="107"/>
        <v>0</v>
      </c>
      <c r="BM75" s="28">
        <f>PRODUCTION!BN75+'SUPLIER INWARD'!BN75</f>
        <v>0</v>
      </c>
      <c r="BN75" s="28"/>
      <c r="BO75" s="29">
        <v>0</v>
      </c>
      <c r="BP75" s="30">
        <f t="shared" si="108"/>
        <v>0</v>
      </c>
      <c r="BQ75" s="28">
        <f>PRODUCTION!BR75+'SUPLIER INWARD'!BR75</f>
        <v>0</v>
      </c>
      <c r="BR75" s="28"/>
      <c r="BS75" s="29">
        <v>0</v>
      </c>
      <c r="BT75" s="30">
        <f t="shared" si="109"/>
        <v>0</v>
      </c>
      <c r="BU75" s="28">
        <f>PRODUCTION!BV75+'SUPLIER INWARD'!BV75</f>
        <v>0</v>
      </c>
      <c r="BV75" s="28"/>
      <c r="BW75" s="29">
        <v>0</v>
      </c>
      <c r="BX75" s="30">
        <f t="shared" si="110"/>
        <v>0</v>
      </c>
      <c r="BY75" s="28">
        <f>PRODUCTION!BZ75+'SUPLIER INWARD'!BZ75</f>
        <v>0</v>
      </c>
      <c r="BZ75" s="28"/>
      <c r="CA75" s="29">
        <v>0</v>
      </c>
      <c r="CB75" s="30">
        <f t="shared" si="111"/>
        <v>0</v>
      </c>
      <c r="CC75" s="28">
        <f>PRODUCTION!CD75+'SUPLIER INWARD'!CD75</f>
        <v>0</v>
      </c>
      <c r="CD75" s="28"/>
      <c r="CE75" s="29">
        <v>0</v>
      </c>
      <c r="CF75" s="30">
        <f t="shared" si="112"/>
        <v>0</v>
      </c>
      <c r="CG75" s="28">
        <f>PRODUCTION!CH75+'SUPLIER INWARD'!CH75</f>
        <v>0</v>
      </c>
      <c r="CH75" s="28"/>
      <c r="CI75" s="29">
        <v>0</v>
      </c>
      <c r="CJ75" s="30">
        <f t="shared" si="113"/>
        <v>0</v>
      </c>
      <c r="CK75" s="28">
        <f>PRODUCTION!CL75+'SUPLIER INWARD'!CL75</f>
        <v>0</v>
      </c>
      <c r="CL75" s="151"/>
      <c r="CM75" s="152">
        <v>0</v>
      </c>
      <c r="CN75" s="30">
        <f t="shared" si="114"/>
        <v>0</v>
      </c>
      <c r="CO75" s="28">
        <f>PRODUCTION!CP75+'SUPLIER INWARD'!CP75</f>
        <v>0</v>
      </c>
      <c r="CP75" s="151"/>
      <c r="CQ75" s="29">
        <v>0</v>
      </c>
      <c r="CR75" s="30">
        <f t="shared" si="115"/>
        <v>0</v>
      </c>
      <c r="CS75" s="28">
        <f>PRODUCTION!CT75+'SUPLIER INWARD'!CT75</f>
        <v>0</v>
      </c>
      <c r="CT75" s="28"/>
      <c r="CU75" s="29">
        <v>0</v>
      </c>
      <c r="CV75" s="30">
        <f t="shared" si="116"/>
        <v>0</v>
      </c>
      <c r="CW75" s="28">
        <f>PRODUCTION!CX75+'SUPLIER INWARD'!CX75</f>
        <v>0</v>
      </c>
      <c r="CX75" s="28"/>
      <c r="CY75" s="29">
        <v>0</v>
      </c>
      <c r="CZ75" s="30">
        <f t="shared" si="117"/>
        <v>0</v>
      </c>
      <c r="DA75" s="28">
        <f>PRODUCTION!DB75+'SUPLIER INWARD'!DB75</f>
        <v>0</v>
      </c>
      <c r="DB75" s="28"/>
      <c r="DC75" s="29"/>
      <c r="DD75" s="30">
        <f t="shared" si="118"/>
        <v>0</v>
      </c>
      <c r="DE75" s="28">
        <f>PRODUCTION!DF75+'SUPLIER INWARD'!DF75</f>
        <v>0</v>
      </c>
      <c r="DF75" s="28"/>
      <c r="DG75" s="29">
        <v>0</v>
      </c>
      <c r="DH75" s="30">
        <f t="shared" si="119"/>
        <v>0</v>
      </c>
      <c r="DI75" s="28">
        <f>PRODUCTION!DJ75+'SUPLIER INWARD'!DJ75</f>
        <v>0</v>
      </c>
      <c r="DJ75" s="28"/>
      <c r="DK75" s="29">
        <v>0</v>
      </c>
      <c r="DL75" s="30">
        <f t="shared" si="120"/>
        <v>0</v>
      </c>
      <c r="DM75" s="28">
        <f>PRODUCTION!DN75+'SUPLIER INWARD'!DN75</f>
        <v>0</v>
      </c>
      <c r="DN75" s="28"/>
      <c r="DO75" s="29"/>
      <c r="DP75" s="30">
        <f t="shared" si="121"/>
        <v>0</v>
      </c>
      <c r="DQ75" s="28">
        <f>PRODUCTION!DR75+'SUPLIER INWARD'!DR75</f>
        <v>0</v>
      </c>
      <c r="DR75" s="28"/>
      <c r="DS75" s="29"/>
      <c r="DT75" s="30">
        <f t="shared" si="122"/>
        <v>0</v>
      </c>
      <c r="DU75" s="28">
        <f>PRODUCTION!DV75+'SUPLIER INWARD'!DV75</f>
        <v>0</v>
      </c>
      <c r="DV75" s="28"/>
      <c r="DW75" s="29"/>
      <c r="DX75" s="30">
        <f t="shared" si="123"/>
        <v>0</v>
      </c>
      <c r="DY75" s="31">
        <f t="shared" si="124"/>
        <v>0</v>
      </c>
      <c r="DZ75" s="31">
        <f t="shared" si="125"/>
        <v>0</v>
      </c>
      <c r="EA75" s="4">
        <f t="shared" si="126"/>
        <v>0</v>
      </c>
      <c r="EB75" s="9">
        <f>D75*'MASTER SHEET'!D75</f>
        <v>0</v>
      </c>
      <c r="EC75" s="9">
        <f>H75*'MASTER SHEET'!D75</f>
        <v>0</v>
      </c>
      <c r="ED75" s="9">
        <f>L75*'MASTER SHEET'!D75</f>
        <v>0</v>
      </c>
      <c r="EE75" s="9">
        <f>P75*'MASTER SHEET'!D75</f>
        <v>0</v>
      </c>
      <c r="EF75" s="9">
        <f>T75*'MASTER SHEET'!D75</f>
        <v>0</v>
      </c>
      <c r="EG75" s="9">
        <f>X75*'MASTER SHEET'!D75</f>
        <v>0</v>
      </c>
      <c r="EH75" s="9">
        <f>AB75*'MASTER SHEET'!D75</f>
        <v>0</v>
      </c>
      <c r="EI75" s="9">
        <f>AF75*'MASTER SHEET'!D75</f>
        <v>0</v>
      </c>
      <c r="EJ75" s="9">
        <f>AJ75*'MASTER SHEET'!D75</f>
        <v>0</v>
      </c>
      <c r="EK75" s="9">
        <f>AN75*'MASTER SHEET'!D75</f>
        <v>0</v>
      </c>
      <c r="EL75" s="9">
        <f>AR75*'MASTER SHEET'!D75</f>
        <v>0</v>
      </c>
      <c r="EM75" s="9">
        <f>AV75*'MASTER SHEET'!D75</f>
        <v>0</v>
      </c>
      <c r="EN75" s="9">
        <f>AZ75*'MASTER SHEET'!D75</f>
        <v>0</v>
      </c>
      <c r="EO75" s="9">
        <f>BD75*'MASTER SHEET'!D75</f>
        <v>0</v>
      </c>
      <c r="EP75" s="9">
        <f>$BH75*'MASTER SHEET'!$D75</f>
        <v>0</v>
      </c>
      <c r="EQ75" s="9">
        <f>BL75*'MASTER SHEET'!D75</f>
        <v>0</v>
      </c>
      <c r="ER75" s="9">
        <f>BP75*'MASTER SHEET'!D75</f>
        <v>0</v>
      </c>
      <c r="ES75" s="9">
        <f>BT75*'MASTER SHEET'!D75</f>
        <v>0</v>
      </c>
      <c r="ET75" s="9">
        <f>BX75*'MASTER SHEET'!D75</f>
        <v>0</v>
      </c>
      <c r="EU75" s="9">
        <f>CB75*'MASTER SHEET'!D75</f>
        <v>0</v>
      </c>
      <c r="EV75" s="9">
        <f>CF75*'MASTER SHEET'!D75</f>
        <v>0</v>
      </c>
      <c r="EW75" s="9">
        <f>CJ75*'MASTER SHEET'!D75</f>
        <v>0</v>
      </c>
      <c r="EX75" s="9">
        <f>CN75*'MASTER SHEET'!D75</f>
        <v>0</v>
      </c>
      <c r="EY75" s="9">
        <f>CR75*'MASTER SHEET'!D75</f>
        <v>0</v>
      </c>
      <c r="EZ75" s="9">
        <f>$CV75*'MASTER SHEET'!D75</f>
        <v>0</v>
      </c>
      <c r="FA75" s="9">
        <f>CZ75*'MASTER SHEET'!D75</f>
        <v>0</v>
      </c>
      <c r="FB75" s="9">
        <f>DD75*'MASTER SHEET'!D75</f>
        <v>0</v>
      </c>
      <c r="FC75" s="9">
        <f>DH75*'MASTER SHEET'!D75</f>
        <v>0</v>
      </c>
      <c r="FD75" s="9">
        <f>DL75*'MASTER SHEET'!D75</f>
        <v>0</v>
      </c>
      <c r="FE75" s="9">
        <f>DP75*'MASTER SHEET'!D75</f>
        <v>0</v>
      </c>
      <c r="FF75" s="9">
        <f>DT75*'MASTER SHEET'!D75</f>
        <v>0</v>
      </c>
      <c r="FG75" s="9">
        <f>+DX75*'MASTER SHEET'!D75</f>
        <v>0</v>
      </c>
    </row>
    <row r="76" spans="1:163" ht="20.25" customHeight="1" x14ac:dyDescent="0.25">
      <c r="A76" s="25">
        <f>'MASTER SHEET'!A76</f>
        <v>74</v>
      </c>
      <c r="B76" s="26" t="str">
        <f>'MASTER SHEET'!B76</f>
        <v>TUBE OVER FLOW HOSUR</v>
      </c>
      <c r="C76" s="78">
        <f>'MASTER SHEET'!C76</f>
        <v>832000299</v>
      </c>
      <c r="D76" s="159">
        <v>0</v>
      </c>
      <c r="E76" s="28">
        <f>PRODUCTION!F76+'SUPLIER INWARD'!F76</f>
        <v>0</v>
      </c>
      <c r="F76" s="28"/>
      <c r="G76" s="29">
        <v>0</v>
      </c>
      <c r="H76" s="30">
        <f t="shared" si="93"/>
        <v>0</v>
      </c>
      <c r="I76" s="28">
        <f>PRODUCTION!J76+'SUPLIER INWARD'!J76</f>
        <v>0</v>
      </c>
      <c r="J76" s="28"/>
      <c r="K76" s="29">
        <v>0</v>
      </c>
      <c r="L76" s="30">
        <f t="shared" si="94"/>
        <v>0</v>
      </c>
      <c r="M76" s="28">
        <f>PRODUCTION!N76+'SUPLIER INWARD'!N76</f>
        <v>0</v>
      </c>
      <c r="N76" s="28"/>
      <c r="O76" s="29"/>
      <c r="P76" s="30">
        <f t="shared" si="95"/>
        <v>0</v>
      </c>
      <c r="Q76" s="28">
        <f>PRODUCTION!R76+'SUPLIER INWARD'!R76</f>
        <v>0</v>
      </c>
      <c r="R76" s="28"/>
      <c r="S76" s="29">
        <v>0</v>
      </c>
      <c r="T76" s="30">
        <f t="shared" si="96"/>
        <v>0</v>
      </c>
      <c r="U76" s="28">
        <f>PRODUCTION!V76+'SUPLIER INWARD'!V76</f>
        <v>0</v>
      </c>
      <c r="V76" s="28"/>
      <c r="W76" s="29">
        <v>0</v>
      </c>
      <c r="X76" s="30">
        <f t="shared" si="97"/>
        <v>0</v>
      </c>
      <c r="Y76" s="28">
        <f>PRODUCTION!Z76+'SUPLIER INWARD'!Z76</f>
        <v>0</v>
      </c>
      <c r="Z76" s="28"/>
      <c r="AA76" s="29">
        <v>0</v>
      </c>
      <c r="AB76" s="30">
        <f t="shared" si="98"/>
        <v>0</v>
      </c>
      <c r="AC76" s="28">
        <f>PRODUCTION!AD76+'SUPLIER INWARD'!AD76</f>
        <v>0</v>
      </c>
      <c r="AD76" s="28"/>
      <c r="AE76" s="29">
        <v>0</v>
      </c>
      <c r="AF76" s="30">
        <f t="shared" si="99"/>
        <v>0</v>
      </c>
      <c r="AG76" s="28">
        <f>PRODUCTION!AH76+'SUPLIER INWARD'!AH76</f>
        <v>0</v>
      </c>
      <c r="AH76" s="28"/>
      <c r="AI76" s="29">
        <v>0</v>
      </c>
      <c r="AJ76" s="30">
        <f t="shared" si="100"/>
        <v>0</v>
      </c>
      <c r="AK76" s="28">
        <f>PRODUCTION!AL76+'SUPLIER INWARD'!AL76</f>
        <v>0</v>
      </c>
      <c r="AL76" s="28"/>
      <c r="AM76" s="29">
        <v>0</v>
      </c>
      <c r="AN76" s="30">
        <f t="shared" si="101"/>
        <v>0</v>
      </c>
      <c r="AO76" s="28">
        <f>PRODUCTION!AP76+'SUPLIER INWARD'!AP76</f>
        <v>0</v>
      </c>
      <c r="AP76" s="28"/>
      <c r="AQ76" s="29">
        <v>0</v>
      </c>
      <c r="AR76" s="30">
        <f t="shared" si="102"/>
        <v>0</v>
      </c>
      <c r="AS76" s="28">
        <f>PRODUCTION!AT76+'SUPLIER INWARD'!AT76</f>
        <v>0</v>
      </c>
      <c r="AT76" s="28"/>
      <c r="AU76" s="29">
        <v>0</v>
      </c>
      <c r="AV76" s="30">
        <f t="shared" si="103"/>
        <v>0</v>
      </c>
      <c r="AW76" s="28">
        <f>PRODUCTION!AX76+'SUPLIER INWARD'!AX76</f>
        <v>0</v>
      </c>
      <c r="AX76" s="28"/>
      <c r="AY76" s="29"/>
      <c r="AZ76" s="30">
        <f t="shared" si="104"/>
        <v>0</v>
      </c>
      <c r="BA76" s="28">
        <f>PRODUCTION!BB76+'SUPLIER INWARD'!BB76</f>
        <v>0</v>
      </c>
      <c r="BB76" s="28"/>
      <c r="BC76" s="29">
        <v>0</v>
      </c>
      <c r="BD76" s="30">
        <f t="shared" si="105"/>
        <v>0</v>
      </c>
      <c r="BE76" s="28">
        <f>PRODUCTION!BF76+'SUPLIER INWARD'!BF76</f>
        <v>0</v>
      </c>
      <c r="BF76" s="28"/>
      <c r="BG76" s="29">
        <v>0</v>
      </c>
      <c r="BH76" s="30">
        <f t="shared" si="106"/>
        <v>0</v>
      </c>
      <c r="BI76" s="28">
        <f>PRODUCTION!BJ76+'SUPLIER INWARD'!BJ76</f>
        <v>0</v>
      </c>
      <c r="BJ76" s="28"/>
      <c r="BK76" s="29">
        <v>0</v>
      </c>
      <c r="BL76" s="30">
        <f t="shared" si="107"/>
        <v>0</v>
      </c>
      <c r="BM76" s="28">
        <f>PRODUCTION!BN76+'SUPLIER INWARD'!BN76</f>
        <v>0</v>
      </c>
      <c r="BN76" s="28"/>
      <c r="BO76" s="29">
        <v>0</v>
      </c>
      <c r="BP76" s="30">
        <f t="shared" si="108"/>
        <v>0</v>
      </c>
      <c r="BQ76" s="28">
        <f>PRODUCTION!BR76+'SUPLIER INWARD'!BR76</f>
        <v>0</v>
      </c>
      <c r="BR76" s="28"/>
      <c r="BS76" s="29">
        <v>0</v>
      </c>
      <c r="BT76" s="30">
        <f t="shared" si="109"/>
        <v>0</v>
      </c>
      <c r="BU76" s="28">
        <f>PRODUCTION!BV76+'SUPLIER INWARD'!BV76</f>
        <v>0</v>
      </c>
      <c r="BV76" s="28"/>
      <c r="BW76" s="29">
        <v>0</v>
      </c>
      <c r="BX76" s="30">
        <f t="shared" si="110"/>
        <v>0</v>
      </c>
      <c r="BY76" s="28">
        <f>PRODUCTION!BZ76+'SUPLIER INWARD'!BZ76</f>
        <v>0</v>
      </c>
      <c r="BZ76" s="28"/>
      <c r="CA76" s="29">
        <v>0</v>
      </c>
      <c r="CB76" s="30">
        <f t="shared" si="111"/>
        <v>0</v>
      </c>
      <c r="CC76" s="28">
        <f>PRODUCTION!CD76+'SUPLIER INWARD'!CD76</f>
        <v>0</v>
      </c>
      <c r="CD76" s="28"/>
      <c r="CE76" s="29">
        <v>0</v>
      </c>
      <c r="CF76" s="30">
        <f t="shared" si="112"/>
        <v>0</v>
      </c>
      <c r="CG76" s="28">
        <f>PRODUCTION!CH76+'SUPLIER INWARD'!CH76</f>
        <v>0</v>
      </c>
      <c r="CH76" s="28"/>
      <c r="CI76" s="29">
        <v>0</v>
      </c>
      <c r="CJ76" s="30">
        <f t="shared" si="113"/>
        <v>0</v>
      </c>
      <c r="CK76" s="28">
        <f>PRODUCTION!CL76+'SUPLIER INWARD'!CL76</f>
        <v>0</v>
      </c>
      <c r="CL76" s="151"/>
      <c r="CM76" s="152">
        <v>0</v>
      </c>
      <c r="CN76" s="30">
        <f t="shared" si="114"/>
        <v>0</v>
      </c>
      <c r="CO76" s="28">
        <f>PRODUCTION!CP76+'SUPLIER INWARD'!CP76</f>
        <v>0</v>
      </c>
      <c r="CP76" s="151"/>
      <c r="CQ76" s="29">
        <v>0</v>
      </c>
      <c r="CR76" s="30">
        <f t="shared" si="115"/>
        <v>0</v>
      </c>
      <c r="CS76" s="28">
        <f>PRODUCTION!CT76+'SUPLIER INWARD'!CT76</f>
        <v>0</v>
      </c>
      <c r="CT76" s="28"/>
      <c r="CU76" s="29">
        <v>0</v>
      </c>
      <c r="CV76" s="30">
        <f t="shared" si="116"/>
        <v>0</v>
      </c>
      <c r="CW76" s="28">
        <f>PRODUCTION!CX76+'SUPLIER INWARD'!CX76</f>
        <v>0</v>
      </c>
      <c r="CX76" s="28"/>
      <c r="CY76" s="29">
        <v>0</v>
      </c>
      <c r="CZ76" s="30">
        <f t="shared" si="117"/>
        <v>0</v>
      </c>
      <c r="DA76" s="28">
        <f>PRODUCTION!DB76+'SUPLIER INWARD'!DB76</f>
        <v>0</v>
      </c>
      <c r="DB76" s="28"/>
      <c r="DC76" s="29"/>
      <c r="DD76" s="30">
        <f t="shared" si="118"/>
        <v>0</v>
      </c>
      <c r="DE76" s="28">
        <f>PRODUCTION!DF76+'SUPLIER INWARD'!DF76</f>
        <v>0</v>
      </c>
      <c r="DF76" s="28"/>
      <c r="DG76" s="29">
        <v>0</v>
      </c>
      <c r="DH76" s="30">
        <f t="shared" si="119"/>
        <v>0</v>
      </c>
      <c r="DI76" s="28">
        <f>PRODUCTION!DJ76+'SUPLIER INWARD'!DJ76</f>
        <v>0</v>
      </c>
      <c r="DJ76" s="28"/>
      <c r="DK76" s="29">
        <v>0</v>
      </c>
      <c r="DL76" s="30">
        <f t="shared" si="120"/>
        <v>0</v>
      </c>
      <c r="DM76" s="28">
        <f>PRODUCTION!DN76+'SUPLIER INWARD'!DN76</f>
        <v>0</v>
      </c>
      <c r="DN76" s="28"/>
      <c r="DO76" s="29"/>
      <c r="DP76" s="30">
        <f t="shared" si="121"/>
        <v>0</v>
      </c>
      <c r="DQ76" s="28">
        <f>PRODUCTION!DR76+'SUPLIER INWARD'!DR76</f>
        <v>0</v>
      </c>
      <c r="DR76" s="28"/>
      <c r="DS76" s="29"/>
      <c r="DT76" s="30">
        <f t="shared" si="122"/>
        <v>0</v>
      </c>
      <c r="DU76" s="28">
        <f>PRODUCTION!DV76+'SUPLIER INWARD'!DV76</f>
        <v>0</v>
      </c>
      <c r="DV76" s="28"/>
      <c r="DW76" s="29"/>
      <c r="DX76" s="30">
        <f t="shared" si="123"/>
        <v>0</v>
      </c>
      <c r="DY76" s="31">
        <f t="shared" si="124"/>
        <v>0</v>
      </c>
      <c r="DZ76" s="31">
        <f t="shared" si="125"/>
        <v>0</v>
      </c>
      <c r="EA76" s="4">
        <f t="shared" si="126"/>
        <v>0</v>
      </c>
      <c r="EB76" s="9">
        <f>D76*'MASTER SHEET'!D76</f>
        <v>0</v>
      </c>
      <c r="EC76" s="9">
        <f>H76*'MASTER SHEET'!D76</f>
        <v>0</v>
      </c>
      <c r="ED76" s="9">
        <f>L76*'MASTER SHEET'!D76</f>
        <v>0</v>
      </c>
      <c r="EE76" s="9">
        <f>P76*'MASTER SHEET'!D76</f>
        <v>0</v>
      </c>
      <c r="EF76" s="9">
        <f>T76*'MASTER SHEET'!D76</f>
        <v>0</v>
      </c>
      <c r="EG76" s="9">
        <f>X76*'MASTER SHEET'!D76</f>
        <v>0</v>
      </c>
      <c r="EH76" s="9">
        <f>AB76*'MASTER SHEET'!D76</f>
        <v>0</v>
      </c>
      <c r="EI76" s="9">
        <f>AF76*'MASTER SHEET'!D76</f>
        <v>0</v>
      </c>
      <c r="EJ76" s="9">
        <f>AJ76*'MASTER SHEET'!D76</f>
        <v>0</v>
      </c>
      <c r="EK76" s="9">
        <f>AN76*'MASTER SHEET'!D76</f>
        <v>0</v>
      </c>
      <c r="EL76" s="9">
        <f>AR76*'MASTER SHEET'!D76</f>
        <v>0</v>
      </c>
      <c r="EM76" s="9">
        <f>AV76*'MASTER SHEET'!D76</f>
        <v>0</v>
      </c>
      <c r="EN76" s="9">
        <f>AZ76*'MASTER SHEET'!D76</f>
        <v>0</v>
      </c>
      <c r="EO76" s="9">
        <f>BD76*'MASTER SHEET'!D76</f>
        <v>0</v>
      </c>
      <c r="EP76" s="9">
        <f>$BH76*'MASTER SHEET'!$D76</f>
        <v>0</v>
      </c>
      <c r="EQ76" s="9">
        <f>BL76*'MASTER SHEET'!D76</f>
        <v>0</v>
      </c>
      <c r="ER76" s="9">
        <f>BP76*'MASTER SHEET'!D76</f>
        <v>0</v>
      </c>
      <c r="ES76" s="9">
        <f>BT76*'MASTER SHEET'!D76</f>
        <v>0</v>
      </c>
      <c r="ET76" s="9">
        <f>BX76*'MASTER SHEET'!D76</f>
        <v>0</v>
      </c>
      <c r="EU76" s="9">
        <f>CB76*'MASTER SHEET'!D76</f>
        <v>0</v>
      </c>
      <c r="EV76" s="9">
        <f>CF76*'MASTER SHEET'!D76</f>
        <v>0</v>
      </c>
      <c r="EW76" s="9">
        <f>CJ76*'MASTER SHEET'!D76</f>
        <v>0</v>
      </c>
      <c r="EX76" s="9">
        <f>CN76*'MASTER SHEET'!D76</f>
        <v>0</v>
      </c>
      <c r="EY76" s="9">
        <f>CR76*'MASTER SHEET'!D76</f>
        <v>0</v>
      </c>
      <c r="EZ76" s="9">
        <f>$CV76*'MASTER SHEET'!D76</f>
        <v>0</v>
      </c>
      <c r="FA76" s="9">
        <f>CZ76*'MASTER SHEET'!D76</f>
        <v>0</v>
      </c>
      <c r="FB76" s="9">
        <f>DD76*'MASTER SHEET'!D76</f>
        <v>0</v>
      </c>
      <c r="FC76" s="9">
        <f>DH76*'MASTER SHEET'!D76</f>
        <v>0</v>
      </c>
      <c r="FD76" s="9">
        <f>DL76*'MASTER SHEET'!D76</f>
        <v>0</v>
      </c>
      <c r="FE76" s="9">
        <f>DP76*'MASTER SHEET'!D76</f>
        <v>0</v>
      </c>
      <c r="FF76" s="9">
        <f>DT76*'MASTER SHEET'!D76</f>
        <v>0</v>
      </c>
      <c r="FG76" s="9">
        <f>+DX76*'MASTER SHEET'!D76</f>
        <v>0</v>
      </c>
    </row>
    <row r="77" spans="1:163" ht="20.25" customHeight="1" x14ac:dyDescent="0.25">
      <c r="A77" s="25">
        <f>'MASTER SHEET'!A77</f>
        <v>75</v>
      </c>
      <c r="B77" s="26" t="str">
        <f>'MASTER SHEET'!B77</f>
        <v>CAP PLASTIC</v>
      </c>
      <c r="C77" s="78">
        <f>'MASTER SHEET'!C77</f>
        <v>5037040</v>
      </c>
      <c r="D77" s="159">
        <v>0</v>
      </c>
      <c r="E77" s="28">
        <f>PRODUCTION!F77+'SUPLIER INWARD'!F77</f>
        <v>0</v>
      </c>
      <c r="F77" s="28"/>
      <c r="G77" s="29">
        <v>0</v>
      </c>
      <c r="H77" s="30">
        <f t="shared" si="93"/>
        <v>0</v>
      </c>
      <c r="I77" s="28">
        <f>PRODUCTION!J77+'SUPLIER INWARD'!J77</f>
        <v>0</v>
      </c>
      <c r="J77" s="28"/>
      <c r="K77" s="29">
        <v>0</v>
      </c>
      <c r="L77" s="30">
        <f t="shared" si="94"/>
        <v>0</v>
      </c>
      <c r="M77" s="28">
        <f>PRODUCTION!N77+'SUPLIER INWARD'!N77</f>
        <v>0</v>
      </c>
      <c r="N77" s="28"/>
      <c r="O77" s="29"/>
      <c r="P77" s="30">
        <f t="shared" si="95"/>
        <v>0</v>
      </c>
      <c r="Q77" s="28">
        <f>PRODUCTION!R77+'SUPLIER INWARD'!R77</f>
        <v>0</v>
      </c>
      <c r="R77" s="28"/>
      <c r="S77" s="29">
        <v>0</v>
      </c>
      <c r="T77" s="30">
        <f t="shared" si="96"/>
        <v>0</v>
      </c>
      <c r="U77" s="28">
        <f>PRODUCTION!V77+'SUPLIER INWARD'!V77</f>
        <v>0</v>
      </c>
      <c r="V77" s="28"/>
      <c r="W77" s="29">
        <v>0</v>
      </c>
      <c r="X77" s="30">
        <f t="shared" si="97"/>
        <v>0</v>
      </c>
      <c r="Y77" s="28">
        <f>PRODUCTION!Z77+'SUPLIER INWARD'!Z77</f>
        <v>0</v>
      </c>
      <c r="Z77" s="28"/>
      <c r="AA77" s="29">
        <v>0</v>
      </c>
      <c r="AB77" s="30">
        <f t="shared" si="98"/>
        <v>0</v>
      </c>
      <c r="AC77" s="28">
        <f>PRODUCTION!AD77+'SUPLIER INWARD'!AD77</f>
        <v>0</v>
      </c>
      <c r="AD77" s="28"/>
      <c r="AE77" s="29">
        <v>0</v>
      </c>
      <c r="AF77" s="30">
        <f t="shared" si="99"/>
        <v>0</v>
      </c>
      <c r="AG77" s="28">
        <f>PRODUCTION!AH77+'SUPLIER INWARD'!AH77</f>
        <v>0</v>
      </c>
      <c r="AH77" s="28"/>
      <c r="AI77" s="29">
        <v>0</v>
      </c>
      <c r="AJ77" s="30">
        <f t="shared" si="100"/>
        <v>0</v>
      </c>
      <c r="AK77" s="28">
        <f>PRODUCTION!AL77+'SUPLIER INWARD'!AL77</f>
        <v>0</v>
      </c>
      <c r="AL77" s="28"/>
      <c r="AM77" s="29">
        <v>0</v>
      </c>
      <c r="AN77" s="30">
        <f t="shared" si="101"/>
        <v>0</v>
      </c>
      <c r="AO77" s="28">
        <f>PRODUCTION!AP77+'SUPLIER INWARD'!AP77</f>
        <v>0</v>
      </c>
      <c r="AP77" s="28"/>
      <c r="AQ77" s="29">
        <v>0</v>
      </c>
      <c r="AR77" s="30">
        <f t="shared" si="102"/>
        <v>0</v>
      </c>
      <c r="AS77" s="28">
        <f>PRODUCTION!AT77+'SUPLIER INWARD'!AT77</f>
        <v>0</v>
      </c>
      <c r="AT77" s="28"/>
      <c r="AU77" s="29">
        <v>0</v>
      </c>
      <c r="AV77" s="30">
        <f t="shared" si="103"/>
        <v>0</v>
      </c>
      <c r="AW77" s="28">
        <f>PRODUCTION!AX77+'SUPLIER INWARD'!AX77</f>
        <v>0</v>
      </c>
      <c r="AX77" s="28"/>
      <c r="AY77" s="29"/>
      <c r="AZ77" s="30">
        <f t="shared" si="104"/>
        <v>0</v>
      </c>
      <c r="BA77" s="28">
        <f>PRODUCTION!BB77+'SUPLIER INWARD'!BB77</f>
        <v>0</v>
      </c>
      <c r="BB77" s="28"/>
      <c r="BC77" s="29">
        <v>0</v>
      </c>
      <c r="BD77" s="30">
        <f t="shared" si="105"/>
        <v>0</v>
      </c>
      <c r="BE77" s="28">
        <f>PRODUCTION!BF77+'SUPLIER INWARD'!BF77</f>
        <v>0</v>
      </c>
      <c r="BF77" s="28"/>
      <c r="BG77" s="29">
        <v>0</v>
      </c>
      <c r="BH77" s="30">
        <f t="shared" si="106"/>
        <v>0</v>
      </c>
      <c r="BI77" s="28">
        <f>PRODUCTION!BJ77+'SUPLIER INWARD'!BJ77</f>
        <v>0</v>
      </c>
      <c r="BJ77" s="28"/>
      <c r="BK77" s="29">
        <v>0</v>
      </c>
      <c r="BL77" s="30">
        <f t="shared" si="107"/>
        <v>0</v>
      </c>
      <c r="BM77" s="28">
        <f>PRODUCTION!BN77+'SUPLIER INWARD'!BN77</f>
        <v>0</v>
      </c>
      <c r="BN77" s="28"/>
      <c r="BO77" s="29">
        <v>0</v>
      </c>
      <c r="BP77" s="30">
        <f t="shared" si="108"/>
        <v>0</v>
      </c>
      <c r="BQ77" s="28">
        <f>PRODUCTION!BR77+'SUPLIER INWARD'!BR77</f>
        <v>0</v>
      </c>
      <c r="BR77" s="28"/>
      <c r="BS77" s="29">
        <v>0</v>
      </c>
      <c r="BT77" s="30">
        <f t="shared" si="109"/>
        <v>0</v>
      </c>
      <c r="BU77" s="28">
        <f>PRODUCTION!BV77+'SUPLIER INWARD'!BV77</f>
        <v>0</v>
      </c>
      <c r="BV77" s="28"/>
      <c r="BW77" s="29">
        <v>0</v>
      </c>
      <c r="BX77" s="30">
        <f t="shared" si="110"/>
        <v>0</v>
      </c>
      <c r="BY77" s="28">
        <f>PRODUCTION!BZ77+'SUPLIER INWARD'!BZ77</f>
        <v>0</v>
      </c>
      <c r="BZ77" s="28"/>
      <c r="CA77" s="29">
        <v>0</v>
      </c>
      <c r="CB77" s="30">
        <f t="shared" si="111"/>
        <v>0</v>
      </c>
      <c r="CC77" s="28">
        <f>PRODUCTION!CD77+'SUPLIER INWARD'!CD77</f>
        <v>0</v>
      </c>
      <c r="CD77" s="28"/>
      <c r="CE77" s="29">
        <v>0</v>
      </c>
      <c r="CF77" s="30">
        <f t="shared" si="112"/>
        <v>0</v>
      </c>
      <c r="CG77" s="28">
        <f>PRODUCTION!CH77+'SUPLIER INWARD'!CH77</f>
        <v>0</v>
      </c>
      <c r="CH77" s="28"/>
      <c r="CI77" s="29">
        <v>0</v>
      </c>
      <c r="CJ77" s="30">
        <f t="shared" si="113"/>
        <v>0</v>
      </c>
      <c r="CK77" s="28">
        <f>PRODUCTION!CL77+'SUPLIER INWARD'!CL77</f>
        <v>0</v>
      </c>
      <c r="CL77" s="151"/>
      <c r="CM77" s="152">
        <v>0</v>
      </c>
      <c r="CN77" s="30">
        <f t="shared" si="114"/>
        <v>0</v>
      </c>
      <c r="CO77" s="28">
        <f>PRODUCTION!CP77+'SUPLIER INWARD'!CP77</f>
        <v>0</v>
      </c>
      <c r="CP77" s="151"/>
      <c r="CQ77" s="29">
        <v>0</v>
      </c>
      <c r="CR77" s="30">
        <f t="shared" si="115"/>
        <v>0</v>
      </c>
      <c r="CS77" s="28">
        <f>PRODUCTION!CT77+'SUPLIER INWARD'!CT77</f>
        <v>0</v>
      </c>
      <c r="CT77" s="28"/>
      <c r="CU77" s="29">
        <v>0</v>
      </c>
      <c r="CV77" s="30">
        <f t="shared" si="116"/>
        <v>0</v>
      </c>
      <c r="CW77" s="28">
        <f>PRODUCTION!CX77+'SUPLIER INWARD'!CX77</f>
        <v>0</v>
      </c>
      <c r="CX77" s="28"/>
      <c r="CY77" s="29">
        <v>0</v>
      </c>
      <c r="CZ77" s="30">
        <f t="shared" si="117"/>
        <v>0</v>
      </c>
      <c r="DA77" s="28">
        <f>PRODUCTION!DB77+'SUPLIER INWARD'!DB77</f>
        <v>0</v>
      </c>
      <c r="DB77" s="28"/>
      <c r="DC77" s="29"/>
      <c r="DD77" s="30">
        <f t="shared" si="118"/>
        <v>0</v>
      </c>
      <c r="DE77" s="28">
        <f>PRODUCTION!DF77+'SUPLIER INWARD'!DF77</f>
        <v>0</v>
      </c>
      <c r="DF77" s="28"/>
      <c r="DG77" s="29">
        <v>0</v>
      </c>
      <c r="DH77" s="30">
        <f t="shared" si="119"/>
        <v>0</v>
      </c>
      <c r="DI77" s="28">
        <f>PRODUCTION!DJ77+'SUPLIER INWARD'!DJ77</f>
        <v>0</v>
      </c>
      <c r="DJ77" s="28"/>
      <c r="DK77" s="29">
        <v>0</v>
      </c>
      <c r="DL77" s="30">
        <f t="shared" si="120"/>
        <v>0</v>
      </c>
      <c r="DM77" s="28">
        <f>PRODUCTION!DN77+'SUPLIER INWARD'!DN77</f>
        <v>0</v>
      </c>
      <c r="DN77" s="28"/>
      <c r="DO77" s="29"/>
      <c r="DP77" s="30">
        <f t="shared" si="121"/>
        <v>0</v>
      </c>
      <c r="DQ77" s="28">
        <f>PRODUCTION!DR77+'SUPLIER INWARD'!DR77</f>
        <v>0</v>
      </c>
      <c r="DR77" s="28"/>
      <c r="DS77" s="29"/>
      <c r="DT77" s="30">
        <f t="shared" si="122"/>
        <v>0</v>
      </c>
      <c r="DU77" s="28">
        <f>PRODUCTION!DV77+'SUPLIER INWARD'!DV77</f>
        <v>0</v>
      </c>
      <c r="DV77" s="28"/>
      <c r="DW77" s="29"/>
      <c r="DX77" s="30">
        <f t="shared" si="123"/>
        <v>0</v>
      </c>
      <c r="DY77" s="31">
        <f t="shared" si="124"/>
        <v>0</v>
      </c>
      <c r="DZ77" s="31">
        <f t="shared" si="125"/>
        <v>0</v>
      </c>
      <c r="EA77" s="4">
        <f t="shared" si="126"/>
        <v>0</v>
      </c>
      <c r="EB77" s="9">
        <f>D77*'MASTER SHEET'!D77</f>
        <v>0</v>
      </c>
      <c r="EC77" s="9">
        <f>H77*'MASTER SHEET'!D77</f>
        <v>0</v>
      </c>
      <c r="ED77" s="9">
        <f>L77*'MASTER SHEET'!D77</f>
        <v>0</v>
      </c>
      <c r="EE77" s="9">
        <f>P77*'MASTER SHEET'!D77</f>
        <v>0</v>
      </c>
      <c r="EF77" s="9">
        <f>T77*'MASTER SHEET'!D77</f>
        <v>0</v>
      </c>
      <c r="EG77" s="9">
        <f>X77*'MASTER SHEET'!D77</f>
        <v>0</v>
      </c>
      <c r="EH77" s="9">
        <f>AB77*'MASTER SHEET'!D77</f>
        <v>0</v>
      </c>
      <c r="EI77" s="9">
        <f>AF77*'MASTER SHEET'!D77</f>
        <v>0</v>
      </c>
      <c r="EJ77" s="9">
        <f>AJ77*'MASTER SHEET'!D77</f>
        <v>0</v>
      </c>
      <c r="EK77" s="9">
        <f>AN77*'MASTER SHEET'!D77</f>
        <v>0</v>
      </c>
      <c r="EL77" s="9">
        <f>AR77*'MASTER SHEET'!D77</f>
        <v>0</v>
      </c>
      <c r="EM77" s="9">
        <f>AV77*'MASTER SHEET'!D77</f>
        <v>0</v>
      </c>
      <c r="EN77" s="9">
        <f>AZ77*'MASTER SHEET'!D77</f>
        <v>0</v>
      </c>
      <c r="EO77" s="9">
        <f>BD77*'MASTER SHEET'!D77</f>
        <v>0</v>
      </c>
      <c r="EP77" s="9">
        <f>$BH77*'MASTER SHEET'!$D77</f>
        <v>0</v>
      </c>
      <c r="EQ77" s="9">
        <f>BL77*'MASTER SHEET'!D77</f>
        <v>0</v>
      </c>
      <c r="ER77" s="9">
        <f>BP77*'MASTER SHEET'!D77</f>
        <v>0</v>
      </c>
      <c r="ES77" s="9">
        <f>BT77*'MASTER SHEET'!D77</f>
        <v>0</v>
      </c>
      <c r="ET77" s="9">
        <f>BX77*'MASTER SHEET'!D77</f>
        <v>0</v>
      </c>
      <c r="EU77" s="9">
        <f>CB77*'MASTER SHEET'!D77</f>
        <v>0</v>
      </c>
      <c r="EV77" s="9">
        <f>CF77*'MASTER SHEET'!D77</f>
        <v>0</v>
      </c>
      <c r="EW77" s="9">
        <f>CJ77*'MASTER SHEET'!D77</f>
        <v>0</v>
      </c>
      <c r="EX77" s="9">
        <f>CN77*'MASTER SHEET'!D77</f>
        <v>0</v>
      </c>
      <c r="EY77" s="9">
        <f>CR77*'MASTER SHEET'!D77</f>
        <v>0</v>
      </c>
      <c r="EZ77" s="9">
        <f>$CV77*'MASTER SHEET'!D77</f>
        <v>0</v>
      </c>
      <c r="FA77" s="9">
        <f>CZ77*'MASTER SHEET'!D77</f>
        <v>0</v>
      </c>
      <c r="FB77" s="9">
        <f>DD77*'MASTER SHEET'!D77</f>
        <v>0</v>
      </c>
      <c r="FC77" s="9">
        <f>DH77*'MASTER SHEET'!D77</f>
        <v>0</v>
      </c>
      <c r="FD77" s="9">
        <f>DL77*'MASTER SHEET'!D77</f>
        <v>0</v>
      </c>
      <c r="FE77" s="9">
        <f>DP77*'MASTER SHEET'!D77</f>
        <v>0</v>
      </c>
      <c r="FF77" s="9">
        <f>DT77*'MASTER SHEET'!D77</f>
        <v>0</v>
      </c>
      <c r="FG77" s="9">
        <f>+DX77*'MASTER SHEET'!D77</f>
        <v>0</v>
      </c>
    </row>
    <row r="78" spans="1:163" ht="20.25" customHeight="1" x14ac:dyDescent="0.25">
      <c r="A78" s="25">
        <f>'MASTER SHEET'!A78</f>
        <v>76</v>
      </c>
      <c r="B78" s="26" t="str">
        <f>'MASTER SHEET'!B78</f>
        <v>BASE HOUSING CRANKCASE</v>
      </c>
      <c r="C78" s="78">
        <f>'MASTER SHEET'!C78</f>
        <v>5024978</v>
      </c>
      <c r="D78" s="159">
        <v>0</v>
      </c>
      <c r="E78" s="28">
        <f>PRODUCTION!F78+'SUPLIER INWARD'!F78</f>
        <v>0</v>
      </c>
      <c r="F78" s="28"/>
      <c r="G78" s="29">
        <v>0</v>
      </c>
      <c r="H78" s="30">
        <f t="shared" si="93"/>
        <v>0</v>
      </c>
      <c r="I78" s="28">
        <f>PRODUCTION!J78+'SUPLIER INWARD'!J78</f>
        <v>0</v>
      </c>
      <c r="J78" s="28"/>
      <c r="K78" s="29">
        <v>0</v>
      </c>
      <c r="L78" s="30">
        <f t="shared" si="94"/>
        <v>0</v>
      </c>
      <c r="M78" s="28">
        <f>PRODUCTION!N78+'SUPLIER INWARD'!N78</f>
        <v>0</v>
      </c>
      <c r="N78" s="28"/>
      <c r="O78" s="29"/>
      <c r="P78" s="30">
        <f t="shared" si="95"/>
        <v>0</v>
      </c>
      <c r="Q78" s="28">
        <f>PRODUCTION!R78+'SUPLIER INWARD'!R78</f>
        <v>0</v>
      </c>
      <c r="R78" s="28"/>
      <c r="S78" s="29">
        <v>0</v>
      </c>
      <c r="T78" s="30">
        <f t="shared" si="96"/>
        <v>0</v>
      </c>
      <c r="U78" s="28">
        <f>PRODUCTION!V78+'SUPLIER INWARD'!V78</f>
        <v>0</v>
      </c>
      <c r="V78" s="28"/>
      <c r="W78" s="29">
        <v>0</v>
      </c>
      <c r="X78" s="30">
        <f t="shared" si="97"/>
        <v>0</v>
      </c>
      <c r="Y78" s="28">
        <f>PRODUCTION!Z78+'SUPLIER INWARD'!Z78</f>
        <v>0</v>
      </c>
      <c r="Z78" s="28"/>
      <c r="AA78" s="29">
        <v>0</v>
      </c>
      <c r="AB78" s="30">
        <f t="shared" si="98"/>
        <v>0</v>
      </c>
      <c r="AC78" s="28">
        <f>PRODUCTION!AD78+'SUPLIER INWARD'!AD78</f>
        <v>0</v>
      </c>
      <c r="AD78" s="28"/>
      <c r="AE78" s="29">
        <v>0</v>
      </c>
      <c r="AF78" s="30">
        <f t="shared" si="99"/>
        <v>0</v>
      </c>
      <c r="AG78" s="28">
        <f>PRODUCTION!AH78+'SUPLIER INWARD'!AH78</f>
        <v>0</v>
      </c>
      <c r="AH78" s="28"/>
      <c r="AI78" s="29">
        <v>0</v>
      </c>
      <c r="AJ78" s="30">
        <f t="shared" si="100"/>
        <v>0</v>
      </c>
      <c r="AK78" s="28">
        <f>PRODUCTION!AL78+'SUPLIER INWARD'!AL78</f>
        <v>0</v>
      </c>
      <c r="AL78" s="28"/>
      <c r="AM78" s="29">
        <v>0</v>
      </c>
      <c r="AN78" s="30">
        <f t="shared" si="101"/>
        <v>0</v>
      </c>
      <c r="AO78" s="28">
        <f>PRODUCTION!AP78+'SUPLIER INWARD'!AP78</f>
        <v>0</v>
      </c>
      <c r="AP78" s="28"/>
      <c r="AQ78" s="29">
        <v>0</v>
      </c>
      <c r="AR78" s="30">
        <f t="shared" si="102"/>
        <v>0</v>
      </c>
      <c r="AS78" s="28">
        <f>PRODUCTION!AT78+'SUPLIER INWARD'!AT78</f>
        <v>343</v>
      </c>
      <c r="AT78" s="28">
        <v>100</v>
      </c>
      <c r="AU78" s="29">
        <v>0</v>
      </c>
      <c r="AV78" s="30">
        <f t="shared" si="103"/>
        <v>243</v>
      </c>
      <c r="AW78" s="28">
        <f>PRODUCTION!AX78+'SUPLIER INWARD'!AX78</f>
        <v>0</v>
      </c>
      <c r="AX78" s="28"/>
      <c r="AY78" s="29"/>
      <c r="AZ78" s="30">
        <f t="shared" si="104"/>
        <v>243</v>
      </c>
      <c r="BA78" s="28">
        <f>PRODUCTION!BB78+'SUPLIER INWARD'!BB78</f>
        <v>0</v>
      </c>
      <c r="BB78" s="28"/>
      <c r="BC78" s="29">
        <v>0</v>
      </c>
      <c r="BD78" s="30">
        <f t="shared" si="105"/>
        <v>243</v>
      </c>
      <c r="BE78" s="28">
        <f>PRODUCTION!BF78+'SUPLIER INWARD'!BF78</f>
        <v>0</v>
      </c>
      <c r="BF78" s="28"/>
      <c r="BG78" s="29">
        <v>0</v>
      </c>
      <c r="BH78" s="30">
        <f t="shared" si="106"/>
        <v>243</v>
      </c>
      <c r="BI78" s="28">
        <f>PRODUCTION!BJ78+'SUPLIER INWARD'!BJ78</f>
        <v>0</v>
      </c>
      <c r="BJ78" s="28"/>
      <c r="BK78" s="29">
        <v>0</v>
      </c>
      <c r="BL78" s="30">
        <f t="shared" si="107"/>
        <v>243</v>
      </c>
      <c r="BM78" s="28">
        <f>PRODUCTION!BN78+'SUPLIER INWARD'!BN78</f>
        <v>0</v>
      </c>
      <c r="BN78" s="28"/>
      <c r="BO78" s="29">
        <v>0</v>
      </c>
      <c r="BP78" s="30">
        <f t="shared" si="108"/>
        <v>243</v>
      </c>
      <c r="BQ78" s="28">
        <f>PRODUCTION!BR78+'SUPLIER INWARD'!BR78</f>
        <v>0</v>
      </c>
      <c r="BR78" s="28"/>
      <c r="BS78" s="29">
        <v>0</v>
      </c>
      <c r="BT78" s="30">
        <f t="shared" si="109"/>
        <v>243</v>
      </c>
      <c r="BU78" s="28">
        <f>PRODUCTION!BV78+'SUPLIER INWARD'!BV78</f>
        <v>0</v>
      </c>
      <c r="BV78" s="28"/>
      <c r="BW78" s="29">
        <v>0</v>
      </c>
      <c r="BX78" s="30">
        <f t="shared" si="110"/>
        <v>243</v>
      </c>
      <c r="BY78" s="28">
        <f>PRODUCTION!BZ78+'SUPLIER INWARD'!BZ78</f>
        <v>0</v>
      </c>
      <c r="BZ78" s="28"/>
      <c r="CA78" s="29">
        <v>0</v>
      </c>
      <c r="CB78" s="30">
        <f t="shared" si="111"/>
        <v>243</v>
      </c>
      <c r="CC78" s="28">
        <f>PRODUCTION!CD78+'SUPLIER INWARD'!CD78</f>
        <v>0</v>
      </c>
      <c r="CD78" s="28"/>
      <c r="CE78" s="29">
        <v>0</v>
      </c>
      <c r="CF78" s="30">
        <f t="shared" si="112"/>
        <v>243</v>
      </c>
      <c r="CG78" s="28">
        <f>PRODUCTION!CH78+'SUPLIER INWARD'!CH78</f>
        <v>0</v>
      </c>
      <c r="CH78" s="28"/>
      <c r="CI78" s="29">
        <v>0</v>
      </c>
      <c r="CJ78" s="30">
        <f t="shared" si="113"/>
        <v>243</v>
      </c>
      <c r="CK78" s="28">
        <f>PRODUCTION!CL78+'SUPLIER INWARD'!CL78</f>
        <v>0</v>
      </c>
      <c r="CL78" s="151"/>
      <c r="CM78" s="152">
        <v>0</v>
      </c>
      <c r="CN78" s="30">
        <f t="shared" si="114"/>
        <v>243</v>
      </c>
      <c r="CO78" s="28">
        <f>PRODUCTION!CP78+'SUPLIER INWARD'!CP78</f>
        <v>0</v>
      </c>
      <c r="CP78" s="151"/>
      <c r="CQ78" s="29">
        <v>0</v>
      </c>
      <c r="CR78" s="30">
        <f t="shared" si="115"/>
        <v>243</v>
      </c>
      <c r="CS78" s="28">
        <f>PRODUCTION!CT78+'SUPLIER INWARD'!CT78</f>
        <v>0</v>
      </c>
      <c r="CT78" s="28"/>
      <c r="CU78" s="29">
        <v>0</v>
      </c>
      <c r="CV78" s="30">
        <f t="shared" si="116"/>
        <v>243</v>
      </c>
      <c r="CW78" s="28">
        <f>PRODUCTION!CX78+'SUPLIER INWARD'!CX78</f>
        <v>0</v>
      </c>
      <c r="CX78" s="28"/>
      <c r="CY78" s="29">
        <v>0</v>
      </c>
      <c r="CZ78" s="30">
        <f t="shared" si="117"/>
        <v>243</v>
      </c>
      <c r="DA78" s="28">
        <f>PRODUCTION!DB78+'SUPLIER INWARD'!DB78</f>
        <v>0</v>
      </c>
      <c r="DB78" s="28"/>
      <c r="DC78" s="29"/>
      <c r="DD78" s="30">
        <f t="shared" si="118"/>
        <v>243</v>
      </c>
      <c r="DE78" s="28">
        <f>PRODUCTION!DF78+'SUPLIER INWARD'!DF78</f>
        <v>0</v>
      </c>
      <c r="DF78" s="28"/>
      <c r="DG78" s="29">
        <v>0</v>
      </c>
      <c r="DH78" s="30">
        <f t="shared" si="119"/>
        <v>243</v>
      </c>
      <c r="DI78" s="28">
        <f>PRODUCTION!DJ78+'SUPLIER INWARD'!DJ78</f>
        <v>0</v>
      </c>
      <c r="DJ78" s="28"/>
      <c r="DK78" s="29">
        <v>0</v>
      </c>
      <c r="DL78" s="30">
        <f t="shared" si="120"/>
        <v>243</v>
      </c>
      <c r="DM78" s="28">
        <f>PRODUCTION!DN78+'SUPLIER INWARD'!DN78</f>
        <v>0</v>
      </c>
      <c r="DN78" s="28"/>
      <c r="DO78" s="29"/>
      <c r="DP78" s="30">
        <f t="shared" si="121"/>
        <v>243</v>
      </c>
      <c r="DQ78" s="28">
        <f>PRODUCTION!DR78+'SUPLIER INWARD'!DR78</f>
        <v>0</v>
      </c>
      <c r="DR78" s="28"/>
      <c r="DS78" s="29"/>
      <c r="DT78" s="30">
        <f t="shared" si="122"/>
        <v>243</v>
      </c>
      <c r="DU78" s="28">
        <f>PRODUCTION!DV78+'SUPLIER INWARD'!DV78</f>
        <v>0</v>
      </c>
      <c r="DV78" s="28"/>
      <c r="DW78" s="29"/>
      <c r="DX78" s="30">
        <f t="shared" si="123"/>
        <v>243</v>
      </c>
      <c r="DY78" s="31">
        <f t="shared" si="124"/>
        <v>343</v>
      </c>
      <c r="DZ78" s="31">
        <f t="shared" si="125"/>
        <v>100</v>
      </c>
      <c r="EA78" s="4">
        <f t="shared" si="126"/>
        <v>0</v>
      </c>
      <c r="EB78" s="9">
        <f>D78*'MASTER SHEET'!D78</f>
        <v>0</v>
      </c>
      <c r="EC78" s="9">
        <f>H78*'MASTER SHEET'!D78</f>
        <v>0</v>
      </c>
      <c r="ED78" s="9">
        <f>L78*'MASTER SHEET'!D78</f>
        <v>0</v>
      </c>
      <c r="EE78" s="9">
        <f>P78*'MASTER SHEET'!D78</f>
        <v>0</v>
      </c>
      <c r="EF78" s="9">
        <f>T78*'MASTER SHEET'!D78</f>
        <v>0</v>
      </c>
      <c r="EG78" s="9">
        <f>X78*'MASTER SHEET'!D78</f>
        <v>0</v>
      </c>
      <c r="EH78" s="9">
        <f>AB78*'MASTER SHEET'!D78</f>
        <v>0</v>
      </c>
      <c r="EI78" s="9">
        <f>AF78*'MASTER SHEET'!D78</f>
        <v>0</v>
      </c>
      <c r="EJ78" s="9">
        <f>AJ78*'MASTER SHEET'!D78</f>
        <v>0</v>
      </c>
      <c r="EK78" s="9">
        <f>AN78*'MASTER SHEET'!D78</f>
        <v>0</v>
      </c>
      <c r="EL78" s="9">
        <f>AR78*'MASTER SHEET'!D78</f>
        <v>0</v>
      </c>
      <c r="EM78" s="9">
        <f>AV78*'MASTER SHEET'!D78</f>
        <v>18696.419999999998</v>
      </c>
      <c r="EN78" s="9">
        <f>AZ78*'MASTER SHEET'!D78</f>
        <v>18696.419999999998</v>
      </c>
      <c r="EO78" s="9">
        <f>BD78*'MASTER SHEET'!D78</f>
        <v>18696.419999999998</v>
      </c>
      <c r="EP78" s="9">
        <f>$BH78*'MASTER SHEET'!$D78</f>
        <v>18696.419999999998</v>
      </c>
      <c r="EQ78" s="9">
        <f>BL78*'MASTER SHEET'!D78</f>
        <v>18696.419999999998</v>
      </c>
      <c r="ER78" s="9">
        <f>BP78*'MASTER SHEET'!D78</f>
        <v>18696.419999999998</v>
      </c>
      <c r="ES78" s="9">
        <f>BT78*'MASTER SHEET'!D78</f>
        <v>18696.419999999998</v>
      </c>
      <c r="ET78" s="9">
        <f>BX78*'MASTER SHEET'!D78</f>
        <v>18696.419999999998</v>
      </c>
      <c r="EU78" s="9">
        <f>CB78*'MASTER SHEET'!D78</f>
        <v>18696.419999999998</v>
      </c>
      <c r="EV78" s="9">
        <f>CF78*'MASTER SHEET'!D78</f>
        <v>18696.419999999998</v>
      </c>
      <c r="EW78" s="9">
        <f>CJ78*'MASTER SHEET'!D78</f>
        <v>18696.419999999998</v>
      </c>
      <c r="EX78" s="9">
        <f>CN78*'MASTER SHEET'!D78</f>
        <v>18696.419999999998</v>
      </c>
      <c r="EY78" s="9">
        <f>CR78*'MASTER SHEET'!D78</f>
        <v>18696.419999999998</v>
      </c>
      <c r="EZ78" s="9">
        <f>$CV78*'MASTER SHEET'!D78</f>
        <v>18696.419999999998</v>
      </c>
      <c r="FA78" s="9">
        <f>CZ78*'MASTER SHEET'!D78</f>
        <v>18696.419999999998</v>
      </c>
      <c r="FB78" s="9">
        <f>DD78*'MASTER SHEET'!D78</f>
        <v>18696.419999999998</v>
      </c>
      <c r="FC78" s="9">
        <f>DH78*'MASTER SHEET'!D78</f>
        <v>18696.419999999998</v>
      </c>
      <c r="FD78" s="9">
        <f>DL78*'MASTER SHEET'!D78</f>
        <v>18696.419999999998</v>
      </c>
      <c r="FE78" s="9">
        <f>DP78*'MASTER SHEET'!D78</f>
        <v>18696.419999999998</v>
      </c>
      <c r="FF78" s="9">
        <f>DT78*'MASTER SHEET'!D78</f>
        <v>18696.419999999998</v>
      </c>
      <c r="FG78" s="9">
        <f>+DX78*'MASTER SHEET'!D78</f>
        <v>18696.419999999998</v>
      </c>
    </row>
    <row r="79" spans="1:163" ht="20.25" customHeight="1" x14ac:dyDescent="0.25">
      <c r="A79" s="25">
        <f>'MASTER SHEET'!A79</f>
        <v>77</v>
      </c>
      <c r="B79" s="26">
        <f>'MASTER SHEET'!B79</f>
        <v>0</v>
      </c>
      <c r="C79" s="78">
        <f>'MASTER SHEET'!C79</f>
        <v>5032514</v>
      </c>
      <c r="D79" s="163">
        <f>382+1120+1100</f>
        <v>2602</v>
      </c>
      <c r="E79" s="28">
        <f>PRODUCTION!F79+'SUPLIER INWARD'!F79</f>
        <v>0</v>
      </c>
      <c r="F79" s="28"/>
      <c r="G79" s="29">
        <v>0</v>
      </c>
      <c r="H79" s="30">
        <f t="shared" si="93"/>
        <v>2602</v>
      </c>
      <c r="I79" s="28">
        <f>PRODUCTION!J79+'SUPLIER INWARD'!J79</f>
        <v>0</v>
      </c>
      <c r="J79" s="28"/>
      <c r="K79" s="29">
        <v>0</v>
      </c>
      <c r="L79" s="30">
        <f t="shared" si="94"/>
        <v>2602</v>
      </c>
      <c r="M79" s="28">
        <f>PRODUCTION!N79+'SUPLIER INWARD'!N79</f>
        <v>0</v>
      </c>
      <c r="N79" s="28"/>
      <c r="O79" s="29"/>
      <c r="P79" s="30">
        <f t="shared" si="95"/>
        <v>2602</v>
      </c>
      <c r="Q79" s="28">
        <f>PRODUCTION!R79+'SUPLIER INWARD'!R79</f>
        <v>0</v>
      </c>
      <c r="R79" s="28">
        <v>500</v>
      </c>
      <c r="S79" s="29">
        <v>1</v>
      </c>
      <c r="T79" s="30">
        <f t="shared" si="96"/>
        <v>2101</v>
      </c>
      <c r="U79" s="28">
        <f>PRODUCTION!V79+'SUPLIER INWARD'!V79</f>
        <v>0</v>
      </c>
      <c r="V79" s="28"/>
      <c r="W79" s="29">
        <v>0</v>
      </c>
      <c r="X79" s="30">
        <f t="shared" si="97"/>
        <v>2101</v>
      </c>
      <c r="Y79" s="28">
        <f>PRODUCTION!Z79+'SUPLIER INWARD'!Z79</f>
        <v>0</v>
      </c>
      <c r="Z79" s="28"/>
      <c r="AA79" s="29">
        <v>0</v>
      </c>
      <c r="AB79" s="30">
        <f t="shared" si="98"/>
        <v>2101</v>
      </c>
      <c r="AC79" s="28">
        <f>PRODUCTION!AD79+'SUPLIER INWARD'!AD79</f>
        <v>0</v>
      </c>
      <c r="AD79" s="28"/>
      <c r="AE79" s="29">
        <v>0</v>
      </c>
      <c r="AF79" s="30">
        <f t="shared" si="99"/>
        <v>2101</v>
      </c>
      <c r="AG79" s="28">
        <f>PRODUCTION!AH79+'SUPLIER INWARD'!AH79</f>
        <v>0</v>
      </c>
      <c r="AH79" s="28"/>
      <c r="AI79" s="29">
        <v>0</v>
      </c>
      <c r="AJ79" s="30">
        <f t="shared" si="100"/>
        <v>2101</v>
      </c>
      <c r="AK79" s="28">
        <f>PRODUCTION!AL79+'SUPLIER INWARD'!AL79</f>
        <v>0</v>
      </c>
      <c r="AL79" s="28"/>
      <c r="AM79" s="29">
        <v>0</v>
      </c>
      <c r="AN79" s="30">
        <f t="shared" si="101"/>
        <v>2101</v>
      </c>
      <c r="AO79" s="28">
        <f>PRODUCTION!AP79+'SUPLIER INWARD'!AP79</f>
        <v>0</v>
      </c>
      <c r="AP79" s="28">
        <v>100</v>
      </c>
      <c r="AQ79" s="29">
        <v>0</v>
      </c>
      <c r="AR79" s="30">
        <f t="shared" si="102"/>
        <v>2001</v>
      </c>
      <c r="AS79" s="28">
        <f>PRODUCTION!AT79+'SUPLIER INWARD'!AT79</f>
        <v>0</v>
      </c>
      <c r="AT79" s="28"/>
      <c r="AU79" s="29">
        <v>0</v>
      </c>
      <c r="AV79" s="30">
        <f t="shared" si="103"/>
        <v>2001</v>
      </c>
      <c r="AW79" s="28">
        <f>PRODUCTION!AX79+'SUPLIER INWARD'!AX79</f>
        <v>0</v>
      </c>
      <c r="AX79" s="28"/>
      <c r="AY79" s="29"/>
      <c r="AZ79" s="30">
        <f t="shared" si="104"/>
        <v>2001</v>
      </c>
      <c r="BA79" s="28">
        <f>PRODUCTION!BB79+'SUPLIER INWARD'!BB79</f>
        <v>0</v>
      </c>
      <c r="BB79" s="28"/>
      <c r="BC79" s="29">
        <v>1</v>
      </c>
      <c r="BD79" s="30">
        <f t="shared" si="105"/>
        <v>2000</v>
      </c>
      <c r="BE79" s="28">
        <f>PRODUCTION!BF79+'SUPLIER INWARD'!BF79</f>
        <v>0</v>
      </c>
      <c r="BF79" s="28">
        <v>900</v>
      </c>
      <c r="BG79" s="29">
        <v>0</v>
      </c>
      <c r="BH79" s="30">
        <f t="shared" si="106"/>
        <v>1100</v>
      </c>
      <c r="BI79" s="28">
        <f>PRODUCTION!BJ79+'SUPLIER INWARD'!BJ79</f>
        <v>0</v>
      </c>
      <c r="BJ79" s="28"/>
      <c r="BK79" s="29">
        <v>0</v>
      </c>
      <c r="BL79" s="30">
        <f t="shared" si="107"/>
        <v>1100</v>
      </c>
      <c r="BM79" s="28">
        <f>PRODUCTION!BN79+'SUPLIER INWARD'!BN79</f>
        <v>0</v>
      </c>
      <c r="BN79" s="151">
        <v>1100</v>
      </c>
      <c r="BO79" s="29">
        <v>0</v>
      </c>
      <c r="BP79" s="30">
        <f t="shared" si="108"/>
        <v>0</v>
      </c>
      <c r="BQ79" s="28">
        <f>PRODUCTION!BR79+'SUPLIER INWARD'!BR79</f>
        <v>0</v>
      </c>
      <c r="BR79" s="28"/>
      <c r="BS79" s="29">
        <v>0</v>
      </c>
      <c r="BT79" s="30">
        <f t="shared" si="109"/>
        <v>0</v>
      </c>
      <c r="BU79" s="28">
        <f>PRODUCTION!BV79+'SUPLIER INWARD'!BV79</f>
        <v>0</v>
      </c>
      <c r="BV79" s="151"/>
      <c r="BW79" s="29">
        <v>0</v>
      </c>
      <c r="BX79" s="30">
        <f t="shared" si="110"/>
        <v>0</v>
      </c>
      <c r="BY79" s="28">
        <f>PRODUCTION!BZ79+'SUPLIER INWARD'!BZ79</f>
        <v>0</v>
      </c>
      <c r="BZ79" s="28"/>
      <c r="CA79" s="29">
        <v>0</v>
      </c>
      <c r="CB79" s="30">
        <f t="shared" si="111"/>
        <v>0</v>
      </c>
      <c r="CC79" s="28">
        <f>PRODUCTION!CD79+'SUPLIER INWARD'!CD79</f>
        <v>0</v>
      </c>
      <c r="CD79" s="28"/>
      <c r="CE79" s="29">
        <v>0</v>
      </c>
      <c r="CF79" s="30">
        <f t="shared" si="112"/>
        <v>0</v>
      </c>
      <c r="CG79" s="28">
        <f>PRODUCTION!CH79+'SUPLIER INWARD'!CH79</f>
        <v>0</v>
      </c>
      <c r="CH79" s="28"/>
      <c r="CI79" s="29">
        <v>0</v>
      </c>
      <c r="CJ79" s="30">
        <f t="shared" si="113"/>
        <v>0</v>
      </c>
      <c r="CK79" s="28">
        <f>PRODUCTION!CL79+'SUPLIER INWARD'!CL79</f>
        <v>1596</v>
      </c>
      <c r="CL79" s="151"/>
      <c r="CM79" s="152">
        <v>0</v>
      </c>
      <c r="CN79" s="30">
        <f t="shared" si="114"/>
        <v>1596</v>
      </c>
      <c r="CO79" s="28">
        <f>PRODUCTION!CP79+'SUPLIER INWARD'!CP79</f>
        <v>888</v>
      </c>
      <c r="CP79" s="151"/>
      <c r="CQ79" s="29">
        <v>0</v>
      </c>
      <c r="CR79" s="30">
        <f t="shared" si="115"/>
        <v>2484</v>
      </c>
      <c r="CS79" s="28">
        <f>PRODUCTION!CT79+'SUPLIER INWARD'!CT79</f>
        <v>0</v>
      </c>
      <c r="CT79" s="28"/>
      <c r="CU79" s="29">
        <v>0</v>
      </c>
      <c r="CV79" s="30">
        <f t="shared" si="116"/>
        <v>2484</v>
      </c>
      <c r="CW79" s="28">
        <f>PRODUCTION!CX79+'SUPLIER INWARD'!CX79</f>
        <v>0</v>
      </c>
      <c r="CX79" s="28"/>
      <c r="CY79" s="29">
        <v>0</v>
      </c>
      <c r="CZ79" s="30">
        <f t="shared" si="117"/>
        <v>2484</v>
      </c>
      <c r="DA79" s="28">
        <f>PRODUCTION!DB79+'SUPLIER INWARD'!DB79</f>
        <v>0</v>
      </c>
      <c r="DB79" s="28"/>
      <c r="DC79" s="29"/>
      <c r="DD79" s="30">
        <f t="shared" si="118"/>
        <v>2484</v>
      </c>
      <c r="DE79" s="28">
        <f>PRODUCTION!DF79+'SUPLIER INWARD'!DF79</f>
        <v>0</v>
      </c>
      <c r="DF79" s="28">
        <v>1700</v>
      </c>
      <c r="DG79" s="29">
        <v>1</v>
      </c>
      <c r="DH79" s="30">
        <f t="shared" si="119"/>
        <v>783</v>
      </c>
      <c r="DI79" s="28">
        <f>PRODUCTION!DJ79+'SUPLIER INWARD'!DJ79</f>
        <v>0</v>
      </c>
      <c r="DJ79" s="28"/>
      <c r="DK79" s="29">
        <v>0</v>
      </c>
      <c r="DL79" s="30">
        <f t="shared" si="120"/>
        <v>783</v>
      </c>
      <c r="DM79" s="28">
        <f>PRODUCTION!DN79+'SUPLIER INWARD'!DN79</f>
        <v>0</v>
      </c>
      <c r="DN79" s="28"/>
      <c r="DO79" s="29"/>
      <c r="DP79" s="30">
        <f t="shared" si="121"/>
        <v>783</v>
      </c>
      <c r="DQ79" s="28">
        <f>PRODUCTION!DR79+'SUPLIER INWARD'!DR79</f>
        <v>0</v>
      </c>
      <c r="DR79" s="28"/>
      <c r="DS79" s="29"/>
      <c r="DT79" s="30">
        <f t="shared" si="122"/>
        <v>783</v>
      </c>
      <c r="DU79" s="28">
        <f>PRODUCTION!DV79+'SUPLIER INWARD'!DV79</f>
        <v>0</v>
      </c>
      <c r="DV79" s="28"/>
      <c r="DW79" s="29"/>
      <c r="DX79" s="30">
        <f t="shared" si="123"/>
        <v>783</v>
      </c>
      <c r="DY79" s="31">
        <f t="shared" si="124"/>
        <v>2484</v>
      </c>
      <c r="DZ79" s="31">
        <f t="shared" si="125"/>
        <v>4300</v>
      </c>
      <c r="EA79" s="4">
        <f t="shared" si="126"/>
        <v>3</v>
      </c>
      <c r="EB79" s="9">
        <f>D79*'MASTER SHEET'!D79</f>
        <v>6687.1399999999994</v>
      </c>
      <c r="EC79" s="9">
        <f>H79*'MASTER SHEET'!D79</f>
        <v>6687.1399999999994</v>
      </c>
      <c r="ED79" s="9">
        <f>L79*'MASTER SHEET'!D79</f>
        <v>6687.1399999999994</v>
      </c>
      <c r="EE79" s="9">
        <f>P79*'MASTER SHEET'!D79</f>
        <v>6687.1399999999994</v>
      </c>
      <c r="EF79" s="9">
        <f>T79*'MASTER SHEET'!D79</f>
        <v>5399.57</v>
      </c>
      <c r="EG79" s="9">
        <f>X79*'MASTER SHEET'!D79</f>
        <v>5399.57</v>
      </c>
      <c r="EH79" s="9">
        <f>AB79*'MASTER SHEET'!D79</f>
        <v>5399.57</v>
      </c>
      <c r="EI79" s="9">
        <f>AF79*'MASTER SHEET'!D79</f>
        <v>5399.57</v>
      </c>
      <c r="EJ79" s="9">
        <f>AJ79*'MASTER SHEET'!D79</f>
        <v>5399.57</v>
      </c>
      <c r="EK79" s="9">
        <f>AN79*'MASTER SHEET'!D79</f>
        <v>5399.57</v>
      </c>
      <c r="EL79" s="9">
        <f>AR79*'MASTER SHEET'!D79</f>
        <v>5142.57</v>
      </c>
      <c r="EM79" s="9">
        <f>AV79*'MASTER SHEET'!D79</f>
        <v>5142.57</v>
      </c>
      <c r="EN79" s="9">
        <f>AZ79*'MASTER SHEET'!D79</f>
        <v>5142.57</v>
      </c>
      <c r="EO79" s="9">
        <f>BD79*'MASTER SHEET'!D79</f>
        <v>5140</v>
      </c>
      <c r="EP79" s="9">
        <f>$BH79*'MASTER SHEET'!$D79</f>
        <v>2827</v>
      </c>
      <c r="EQ79" s="9">
        <f>BL79*'MASTER SHEET'!D79</f>
        <v>2827</v>
      </c>
      <c r="ER79" s="9">
        <f>BP79*'MASTER SHEET'!D79</f>
        <v>0</v>
      </c>
      <c r="ES79" s="9">
        <f>BT79*'MASTER SHEET'!D79</f>
        <v>0</v>
      </c>
      <c r="ET79" s="9">
        <f>BX79*'MASTER SHEET'!D79</f>
        <v>0</v>
      </c>
      <c r="EU79" s="9">
        <f>CB79*'MASTER SHEET'!D79</f>
        <v>0</v>
      </c>
      <c r="EV79" s="9">
        <f>CF79*'MASTER SHEET'!D79</f>
        <v>0</v>
      </c>
      <c r="EW79" s="9">
        <f>CJ79*'MASTER SHEET'!D79</f>
        <v>0</v>
      </c>
      <c r="EX79" s="9">
        <f>CN79*'MASTER SHEET'!D79</f>
        <v>4101.7199999999993</v>
      </c>
      <c r="EY79" s="9">
        <f>CR79*'MASTER SHEET'!D79</f>
        <v>6383.8799999999992</v>
      </c>
      <c r="EZ79" s="9">
        <f>$CV79*'MASTER SHEET'!D79</f>
        <v>6383.8799999999992</v>
      </c>
      <c r="FA79" s="9">
        <f>CZ79*'MASTER SHEET'!D79</f>
        <v>6383.8799999999992</v>
      </c>
      <c r="FB79" s="9">
        <f>DD79*'MASTER SHEET'!D79</f>
        <v>6383.8799999999992</v>
      </c>
      <c r="FC79" s="9">
        <f>DH79*'MASTER SHEET'!D79</f>
        <v>2012.31</v>
      </c>
      <c r="FD79" s="9">
        <f>DL79*'MASTER SHEET'!D79</f>
        <v>2012.31</v>
      </c>
      <c r="FE79" s="9">
        <f>DP79*'MASTER SHEET'!D79</f>
        <v>2012.31</v>
      </c>
      <c r="FF79" s="9">
        <f>DT79*'MASTER SHEET'!D79</f>
        <v>2012.31</v>
      </c>
      <c r="FG79" s="9">
        <f>+DX79*'MASTER SHEET'!D79</f>
        <v>2012.31</v>
      </c>
    </row>
    <row r="80" spans="1:163" ht="20.25" customHeight="1" x14ac:dyDescent="0.25">
      <c r="A80" s="25">
        <f>'MASTER SHEET'!A80</f>
        <v>78</v>
      </c>
      <c r="B80" s="26">
        <f>'MASTER SHEET'!B80</f>
        <v>0</v>
      </c>
      <c r="C80" s="78">
        <f>'MASTER SHEET'!C80</f>
        <v>5031194</v>
      </c>
      <c r="D80" s="159">
        <v>43</v>
      </c>
      <c r="E80" s="28">
        <f>PRODUCTION!F80+'SUPLIER INWARD'!F80</f>
        <v>0</v>
      </c>
      <c r="F80" s="28"/>
      <c r="G80" s="29">
        <v>0</v>
      </c>
      <c r="H80" s="30">
        <f t="shared" si="93"/>
        <v>43</v>
      </c>
      <c r="I80" s="28">
        <f>PRODUCTION!J80+'SUPLIER INWARD'!J80</f>
        <v>0</v>
      </c>
      <c r="J80" s="28"/>
      <c r="K80" s="29">
        <v>0</v>
      </c>
      <c r="L80" s="30">
        <f t="shared" si="94"/>
        <v>43</v>
      </c>
      <c r="M80" s="28">
        <f>PRODUCTION!N80+'SUPLIER INWARD'!N80</f>
        <v>0</v>
      </c>
      <c r="N80" s="28"/>
      <c r="O80" s="29"/>
      <c r="P80" s="30">
        <f t="shared" si="95"/>
        <v>43</v>
      </c>
      <c r="Q80" s="28">
        <f>PRODUCTION!R80+'SUPLIER INWARD'!R80</f>
        <v>0</v>
      </c>
      <c r="R80" s="28"/>
      <c r="S80" s="29">
        <v>0</v>
      </c>
      <c r="T80" s="30">
        <f t="shared" si="96"/>
        <v>43</v>
      </c>
      <c r="U80" s="28">
        <f>PRODUCTION!V80+'SUPLIER INWARD'!V80</f>
        <v>0</v>
      </c>
      <c r="V80" s="28"/>
      <c r="W80" s="29">
        <v>0</v>
      </c>
      <c r="X80" s="30">
        <f t="shared" si="97"/>
        <v>43</v>
      </c>
      <c r="Y80" s="28">
        <f>PRODUCTION!Z80+'SUPLIER INWARD'!Z80</f>
        <v>0</v>
      </c>
      <c r="Z80" s="28"/>
      <c r="AA80" s="29">
        <v>0</v>
      </c>
      <c r="AB80" s="30">
        <f t="shared" si="98"/>
        <v>43</v>
      </c>
      <c r="AC80" s="28">
        <f>PRODUCTION!AD80+'SUPLIER INWARD'!AD80</f>
        <v>0</v>
      </c>
      <c r="AD80" s="28"/>
      <c r="AE80" s="29">
        <v>0</v>
      </c>
      <c r="AF80" s="30">
        <f t="shared" si="99"/>
        <v>43</v>
      </c>
      <c r="AG80" s="28">
        <f>PRODUCTION!AH80+'SUPLIER INWARD'!AH80</f>
        <v>0</v>
      </c>
      <c r="AH80" s="28"/>
      <c r="AI80" s="29">
        <v>0</v>
      </c>
      <c r="AJ80" s="30">
        <f t="shared" si="100"/>
        <v>43</v>
      </c>
      <c r="AK80" s="28">
        <f>PRODUCTION!AL80+'SUPLIER INWARD'!AL80</f>
        <v>0</v>
      </c>
      <c r="AL80" s="28"/>
      <c r="AM80" s="29">
        <v>0</v>
      </c>
      <c r="AN80" s="30">
        <f t="shared" si="101"/>
        <v>43</v>
      </c>
      <c r="AO80" s="28">
        <f>PRODUCTION!AP80+'SUPLIER INWARD'!AP80</f>
        <v>0</v>
      </c>
      <c r="AP80" s="28"/>
      <c r="AQ80" s="29">
        <v>0</v>
      </c>
      <c r="AR80" s="30">
        <f t="shared" si="102"/>
        <v>43</v>
      </c>
      <c r="AS80" s="28">
        <f>PRODUCTION!AT80+'SUPLIER INWARD'!AT80</f>
        <v>0</v>
      </c>
      <c r="AT80" s="28"/>
      <c r="AU80" s="29">
        <v>0</v>
      </c>
      <c r="AV80" s="30">
        <f t="shared" si="103"/>
        <v>43</v>
      </c>
      <c r="AW80" s="28">
        <f>PRODUCTION!AX80+'SUPLIER INWARD'!AX80</f>
        <v>0</v>
      </c>
      <c r="AX80" s="28"/>
      <c r="AY80" s="29"/>
      <c r="AZ80" s="30">
        <f t="shared" si="104"/>
        <v>43</v>
      </c>
      <c r="BA80" s="28">
        <f>PRODUCTION!BB80+'SUPLIER INWARD'!BB80</f>
        <v>0</v>
      </c>
      <c r="BB80" s="28"/>
      <c r="BC80" s="29">
        <v>0</v>
      </c>
      <c r="BD80" s="30">
        <f t="shared" si="105"/>
        <v>43</v>
      </c>
      <c r="BE80" s="28">
        <f>PRODUCTION!BF80+'SUPLIER INWARD'!BF80</f>
        <v>0</v>
      </c>
      <c r="BF80" s="28"/>
      <c r="BG80" s="29">
        <v>0</v>
      </c>
      <c r="BH80" s="30">
        <f t="shared" si="106"/>
        <v>43</v>
      </c>
      <c r="BI80" s="28">
        <f>PRODUCTION!BJ80+'SUPLIER INWARD'!BJ80</f>
        <v>0</v>
      </c>
      <c r="BJ80" s="28"/>
      <c r="BK80" s="29">
        <v>0</v>
      </c>
      <c r="BL80" s="30">
        <f t="shared" si="107"/>
        <v>43</v>
      </c>
      <c r="BM80" s="28">
        <f>PRODUCTION!BN80+'SUPLIER INWARD'!BN80</f>
        <v>0</v>
      </c>
      <c r="BN80" s="28"/>
      <c r="BO80" s="29">
        <v>0</v>
      </c>
      <c r="BP80" s="30">
        <f t="shared" si="108"/>
        <v>43</v>
      </c>
      <c r="BQ80" s="28">
        <f>PRODUCTION!BR80+'SUPLIER INWARD'!BR80</f>
        <v>0</v>
      </c>
      <c r="BR80" s="28"/>
      <c r="BS80" s="29">
        <v>0</v>
      </c>
      <c r="BT80" s="30">
        <f t="shared" si="109"/>
        <v>43</v>
      </c>
      <c r="BU80" s="28">
        <f>PRODUCTION!BV80+'SUPLIER INWARD'!BV80</f>
        <v>0</v>
      </c>
      <c r="BV80" s="28"/>
      <c r="BW80" s="29">
        <v>0</v>
      </c>
      <c r="BX80" s="30">
        <f t="shared" si="110"/>
        <v>43</v>
      </c>
      <c r="BY80" s="28">
        <f>PRODUCTION!BZ80+'SUPLIER INWARD'!BZ80</f>
        <v>0</v>
      </c>
      <c r="BZ80" s="28"/>
      <c r="CA80" s="29">
        <v>0</v>
      </c>
      <c r="CB80" s="30">
        <f t="shared" si="111"/>
        <v>43</v>
      </c>
      <c r="CC80" s="28">
        <f>PRODUCTION!CD80+'SUPLIER INWARD'!CD80</f>
        <v>0</v>
      </c>
      <c r="CD80" s="28"/>
      <c r="CE80" s="29">
        <v>0</v>
      </c>
      <c r="CF80" s="30">
        <f t="shared" si="112"/>
        <v>43</v>
      </c>
      <c r="CG80" s="28">
        <f>PRODUCTION!CH80+'SUPLIER INWARD'!CH80</f>
        <v>0</v>
      </c>
      <c r="CH80" s="28"/>
      <c r="CI80" s="29">
        <v>0</v>
      </c>
      <c r="CJ80" s="30">
        <f t="shared" si="113"/>
        <v>43</v>
      </c>
      <c r="CK80" s="28">
        <f>PRODUCTION!CL80+'SUPLIER INWARD'!CL80</f>
        <v>0</v>
      </c>
      <c r="CL80" s="151"/>
      <c r="CM80" s="152">
        <v>0</v>
      </c>
      <c r="CN80" s="30">
        <f t="shared" si="114"/>
        <v>43</v>
      </c>
      <c r="CO80" s="28">
        <f>PRODUCTION!CP80+'SUPLIER INWARD'!CP80</f>
        <v>0</v>
      </c>
      <c r="CP80" s="151"/>
      <c r="CQ80" s="29">
        <v>0</v>
      </c>
      <c r="CR80" s="30">
        <f t="shared" si="115"/>
        <v>43</v>
      </c>
      <c r="CS80" s="28">
        <f>PRODUCTION!CT80+'SUPLIER INWARD'!CT80</f>
        <v>0</v>
      </c>
      <c r="CT80" s="28"/>
      <c r="CU80" s="29">
        <v>0</v>
      </c>
      <c r="CV80" s="30">
        <f t="shared" si="116"/>
        <v>43</v>
      </c>
      <c r="CW80" s="28">
        <f>PRODUCTION!CX80+'SUPLIER INWARD'!CX80</f>
        <v>0</v>
      </c>
      <c r="CX80" s="28"/>
      <c r="CY80" s="29">
        <v>0</v>
      </c>
      <c r="CZ80" s="30">
        <f t="shared" si="117"/>
        <v>43</v>
      </c>
      <c r="DA80" s="28">
        <f>PRODUCTION!DB80+'SUPLIER INWARD'!DB80</f>
        <v>0</v>
      </c>
      <c r="DB80" s="28"/>
      <c r="DC80" s="29"/>
      <c r="DD80" s="30">
        <f t="shared" si="118"/>
        <v>43</v>
      </c>
      <c r="DE80" s="28">
        <f>PRODUCTION!DF80+'SUPLIER INWARD'!DF80</f>
        <v>0</v>
      </c>
      <c r="DF80" s="28"/>
      <c r="DG80" s="29">
        <v>0</v>
      </c>
      <c r="DH80" s="30">
        <f t="shared" si="119"/>
        <v>43</v>
      </c>
      <c r="DI80" s="28">
        <f>PRODUCTION!DJ80+'SUPLIER INWARD'!DJ80</f>
        <v>0</v>
      </c>
      <c r="DJ80" s="28"/>
      <c r="DK80" s="29">
        <v>0</v>
      </c>
      <c r="DL80" s="30">
        <f t="shared" si="120"/>
        <v>43</v>
      </c>
      <c r="DM80" s="28">
        <f>PRODUCTION!DN80+'SUPLIER INWARD'!DN80</f>
        <v>0</v>
      </c>
      <c r="DN80" s="28"/>
      <c r="DO80" s="29"/>
      <c r="DP80" s="30">
        <f t="shared" si="121"/>
        <v>43</v>
      </c>
      <c r="DQ80" s="28">
        <f>PRODUCTION!DR80+'SUPLIER INWARD'!DR80</f>
        <v>0</v>
      </c>
      <c r="DR80" s="28"/>
      <c r="DS80" s="29"/>
      <c r="DT80" s="30">
        <f t="shared" si="122"/>
        <v>43</v>
      </c>
      <c r="DU80" s="28">
        <f>PRODUCTION!DV80+'SUPLIER INWARD'!DV80</f>
        <v>0</v>
      </c>
      <c r="DV80" s="28"/>
      <c r="DW80" s="29"/>
      <c r="DX80" s="30">
        <f t="shared" si="123"/>
        <v>43</v>
      </c>
      <c r="DY80" s="31">
        <f t="shared" si="124"/>
        <v>0</v>
      </c>
      <c r="DZ80" s="31">
        <f t="shared" si="125"/>
        <v>0</v>
      </c>
      <c r="EA80" s="4">
        <f t="shared" si="126"/>
        <v>0</v>
      </c>
      <c r="EB80" s="9">
        <f>D80*'MASTER SHEET'!D80</f>
        <v>838.93000000000006</v>
      </c>
      <c r="EC80" s="9">
        <f>H80*'MASTER SHEET'!D80</f>
        <v>838.93000000000006</v>
      </c>
      <c r="ED80" s="9">
        <f>L80*'MASTER SHEET'!D80</f>
        <v>838.93000000000006</v>
      </c>
      <c r="EE80" s="9">
        <f>P80*'MASTER SHEET'!D80</f>
        <v>838.93000000000006</v>
      </c>
      <c r="EF80" s="9">
        <f>T80*'MASTER SHEET'!D80</f>
        <v>838.93000000000006</v>
      </c>
      <c r="EG80" s="9">
        <f>X80*'MASTER SHEET'!D80</f>
        <v>838.93000000000006</v>
      </c>
      <c r="EH80" s="9">
        <f>AB80*'MASTER SHEET'!D80</f>
        <v>838.93000000000006</v>
      </c>
      <c r="EI80" s="9">
        <f>AF80*'MASTER SHEET'!D80</f>
        <v>838.93000000000006</v>
      </c>
      <c r="EJ80" s="9">
        <f>AJ80*'MASTER SHEET'!D80</f>
        <v>838.93000000000006</v>
      </c>
      <c r="EK80" s="9">
        <f>AN80*'MASTER SHEET'!D80</f>
        <v>838.93000000000006</v>
      </c>
      <c r="EL80" s="9">
        <f>AR80*'MASTER SHEET'!D80</f>
        <v>838.93000000000006</v>
      </c>
      <c r="EM80" s="9">
        <f>AV80*'MASTER SHEET'!D80</f>
        <v>838.93000000000006</v>
      </c>
      <c r="EN80" s="9">
        <f>AZ80*'MASTER SHEET'!D80</f>
        <v>838.93000000000006</v>
      </c>
      <c r="EO80" s="9">
        <f>BD80*'MASTER SHEET'!D80</f>
        <v>838.93000000000006</v>
      </c>
      <c r="EP80" s="9">
        <f>$BH80*'MASTER SHEET'!$D80</f>
        <v>838.93000000000006</v>
      </c>
      <c r="EQ80" s="9">
        <f>BL80*'MASTER SHEET'!D80</f>
        <v>838.93000000000006</v>
      </c>
      <c r="ER80" s="9">
        <f>BP80*'MASTER SHEET'!D80</f>
        <v>838.93000000000006</v>
      </c>
      <c r="ES80" s="9">
        <f>BT80*'MASTER SHEET'!D80</f>
        <v>838.93000000000006</v>
      </c>
      <c r="ET80" s="9">
        <f>BX80*'MASTER SHEET'!D80</f>
        <v>838.93000000000006</v>
      </c>
      <c r="EU80" s="9">
        <f>CB80*'MASTER SHEET'!D80</f>
        <v>838.93000000000006</v>
      </c>
      <c r="EV80" s="9">
        <f>CF80*'MASTER SHEET'!D80</f>
        <v>838.93000000000006</v>
      </c>
      <c r="EW80" s="9">
        <f>CJ80*'MASTER SHEET'!D80</f>
        <v>838.93000000000006</v>
      </c>
      <c r="EX80" s="9">
        <f>CN80*'MASTER SHEET'!D80</f>
        <v>838.93000000000006</v>
      </c>
      <c r="EY80" s="9">
        <f>CR80*'MASTER SHEET'!D80</f>
        <v>838.93000000000006</v>
      </c>
      <c r="EZ80" s="9">
        <f>$CV80*'MASTER SHEET'!D80</f>
        <v>838.93000000000006</v>
      </c>
      <c r="FA80" s="9">
        <f>CZ80*'MASTER SHEET'!D80</f>
        <v>838.93000000000006</v>
      </c>
      <c r="FB80" s="9">
        <f>DD80*'MASTER SHEET'!D80</f>
        <v>838.93000000000006</v>
      </c>
      <c r="FC80" s="9">
        <f>DH80*'MASTER SHEET'!D80</f>
        <v>838.93000000000006</v>
      </c>
      <c r="FD80" s="9">
        <f>DL80*'MASTER SHEET'!D80</f>
        <v>838.93000000000006</v>
      </c>
      <c r="FE80" s="9">
        <f>DP80*'MASTER SHEET'!D80</f>
        <v>838.93000000000006</v>
      </c>
      <c r="FF80" s="9">
        <f>DT80*'MASTER SHEET'!D80</f>
        <v>838.93000000000006</v>
      </c>
      <c r="FG80" s="9">
        <f>+DX80*'MASTER SHEET'!D80</f>
        <v>838.93000000000006</v>
      </c>
    </row>
    <row r="81" spans="1:163" ht="20.25" customHeight="1" x14ac:dyDescent="0.25">
      <c r="A81" s="25">
        <f>'MASTER SHEET'!A81</f>
        <v>79</v>
      </c>
      <c r="B81" s="26" t="str">
        <f>'MASTER SHEET'!B81</f>
        <v>COVER TOP, PLASTIC</v>
      </c>
      <c r="C81" s="78">
        <f>'MASTER SHEET'!C81</f>
        <v>5040709</v>
      </c>
      <c r="D81" s="159">
        <v>0</v>
      </c>
      <c r="E81" s="28">
        <f>PRODUCTION!F81+'SUPLIER INWARD'!F81</f>
        <v>0</v>
      </c>
      <c r="F81" s="28"/>
      <c r="G81" s="29">
        <v>0</v>
      </c>
      <c r="H81" s="30">
        <f t="shared" si="93"/>
        <v>0</v>
      </c>
      <c r="I81" s="28">
        <f>PRODUCTION!J81+'SUPLIER INWARD'!J81</f>
        <v>0</v>
      </c>
      <c r="J81" s="28"/>
      <c r="K81" s="29">
        <v>0</v>
      </c>
      <c r="L81" s="30">
        <f t="shared" si="94"/>
        <v>0</v>
      </c>
      <c r="M81" s="28">
        <f>PRODUCTION!N81+'SUPLIER INWARD'!N81</f>
        <v>0</v>
      </c>
      <c r="N81" s="28"/>
      <c r="O81" s="29"/>
      <c r="P81" s="30">
        <f t="shared" si="95"/>
        <v>0</v>
      </c>
      <c r="Q81" s="28">
        <f>PRODUCTION!R81+'SUPLIER INWARD'!R81</f>
        <v>0</v>
      </c>
      <c r="R81" s="28"/>
      <c r="S81" s="29">
        <v>0</v>
      </c>
      <c r="T81" s="30">
        <f t="shared" si="96"/>
        <v>0</v>
      </c>
      <c r="U81" s="28">
        <f>PRODUCTION!V81+'SUPLIER INWARD'!V81</f>
        <v>0</v>
      </c>
      <c r="V81" s="28"/>
      <c r="W81" s="29">
        <v>0</v>
      </c>
      <c r="X81" s="30">
        <f t="shared" si="97"/>
        <v>0</v>
      </c>
      <c r="Y81" s="28">
        <f>PRODUCTION!Z81+'SUPLIER INWARD'!Z81</f>
        <v>0</v>
      </c>
      <c r="Z81" s="28"/>
      <c r="AA81" s="29">
        <v>0</v>
      </c>
      <c r="AB81" s="30">
        <f t="shared" si="98"/>
        <v>0</v>
      </c>
      <c r="AC81" s="28">
        <f>PRODUCTION!AD81+'SUPLIER INWARD'!AD81</f>
        <v>0</v>
      </c>
      <c r="AD81" s="28"/>
      <c r="AE81" s="29">
        <v>0</v>
      </c>
      <c r="AF81" s="30">
        <f t="shared" si="99"/>
        <v>0</v>
      </c>
      <c r="AG81" s="28">
        <f>PRODUCTION!AH81+'SUPLIER INWARD'!AH81</f>
        <v>0</v>
      </c>
      <c r="AH81" s="28"/>
      <c r="AI81" s="29">
        <v>0</v>
      </c>
      <c r="AJ81" s="30">
        <f t="shared" si="100"/>
        <v>0</v>
      </c>
      <c r="AK81" s="28">
        <f>PRODUCTION!AL81+'SUPLIER INWARD'!AL81</f>
        <v>0</v>
      </c>
      <c r="AL81" s="28"/>
      <c r="AM81" s="29">
        <v>0</v>
      </c>
      <c r="AN81" s="30">
        <f t="shared" si="101"/>
        <v>0</v>
      </c>
      <c r="AO81" s="28">
        <f>PRODUCTION!AP81+'SUPLIER INWARD'!AP81</f>
        <v>0</v>
      </c>
      <c r="AP81" s="28"/>
      <c r="AQ81" s="29">
        <v>0</v>
      </c>
      <c r="AR81" s="30">
        <f t="shared" si="102"/>
        <v>0</v>
      </c>
      <c r="AS81" s="28">
        <f>PRODUCTION!AT81+'SUPLIER INWARD'!AT81</f>
        <v>0</v>
      </c>
      <c r="AT81" s="28"/>
      <c r="AU81" s="29">
        <v>0</v>
      </c>
      <c r="AV81" s="30">
        <f t="shared" si="103"/>
        <v>0</v>
      </c>
      <c r="AW81" s="28">
        <f>PRODUCTION!AX81+'SUPLIER INWARD'!AX81</f>
        <v>0</v>
      </c>
      <c r="AX81" s="28"/>
      <c r="AY81" s="29"/>
      <c r="AZ81" s="30">
        <f t="shared" si="104"/>
        <v>0</v>
      </c>
      <c r="BA81" s="28">
        <f>PRODUCTION!BB81+'SUPLIER INWARD'!BB81</f>
        <v>0</v>
      </c>
      <c r="BB81" s="28"/>
      <c r="BC81" s="29">
        <v>0</v>
      </c>
      <c r="BD81" s="30">
        <f t="shared" si="105"/>
        <v>0</v>
      </c>
      <c r="BE81" s="28">
        <f>PRODUCTION!BF81+'SUPLIER INWARD'!BF81</f>
        <v>0</v>
      </c>
      <c r="BF81" s="28"/>
      <c r="BG81" s="29">
        <v>0</v>
      </c>
      <c r="BH81" s="30">
        <f t="shared" si="106"/>
        <v>0</v>
      </c>
      <c r="BI81" s="28">
        <f>PRODUCTION!BJ81+'SUPLIER INWARD'!BJ81</f>
        <v>0</v>
      </c>
      <c r="BJ81" s="28"/>
      <c r="BK81" s="29">
        <v>0</v>
      </c>
      <c r="BL81" s="30">
        <f t="shared" si="107"/>
        <v>0</v>
      </c>
      <c r="BM81" s="28">
        <f>PRODUCTION!BN81+'SUPLIER INWARD'!BN81</f>
        <v>0</v>
      </c>
      <c r="BN81" s="28"/>
      <c r="BO81" s="29">
        <v>0</v>
      </c>
      <c r="BP81" s="30">
        <f t="shared" si="108"/>
        <v>0</v>
      </c>
      <c r="BQ81" s="28">
        <f>PRODUCTION!BR81+'SUPLIER INWARD'!BR81</f>
        <v>0</v>
      </c>
      <c r="BR81" s="28"/>
      <c r="BS81" s="29">
        <v>0</v>
      </c>
      <c r="BT81" s="30">
        <f t="shared" si="109"/>
        <v>0</v>
      </c>
      <c r="BU81" s="28">
        <f>PRODUCTION!BV81+'SUPLIER INWARD'!BV81</f>
        <v>0</v>
      </c>
      <c r="BV81" s="28"/>
      <c r="BW81" s="29">
        <v>0</v>
      </c>
      <c r="BX81" s="30">
        <f t="shared" si="110"/>
        <v>0</v>
      </c>
      <c r="BY81" s="28">
        <f>PRODUCTION!BZ81+'SUPLIER INWARD'!BZ81</f>
        <v>0</v>
      </c>
      <c r="BZ81" s="28"/>
      <c r="CA81" s="29">
        <v>0</v>
      </c>
      <c r="CB81" s="30">
        <f t="shared" si="111"/>
        <v>0</v>
      </c>
      <c r="CC81" s="28">
        <f>PRODUCTION!CD81+'SUPLIER INWARD'!CD81</f>
        <v>0</v>
      </c>
      <c r="CD81" s="28"/>
      <c r="CE81" s="29">
        <v>0</v>
      </c>
      <c r="CF81" s="30">
        <f t="shared" si="112"/>
        <v>0</v>
      </c>
      <c r="CG81" s="28">
        <f>PRODUCTION!CH81+'SUPLIER INWARD'!CH81</f>
        <v>0</v>
      </c>
      <c r="CH81" s="28"/>
      <c r="CI81" s="29">
        <v>0</v>
      </c>
      <c r="CJ81" s="30">
        <f t="shared" si="113"/>
        <v>0</v>
      </c>
      <c r="CK81" s="28">
        <f>PRODUCTION!CL81+'SUPLIER INWARD'!CL81</f>
        <v>0</v>
      </c>
      <c r="CL81" s="151"/>
      <c r="CM81" s="152">
        <v>0</v>
      </c>
      <c r="CN81" s="30">
        <f t="shared" si="114"/>
        <v>0</v>
      </c>
      <c r="CO81" s="28">
        <f>PRODUCTION!CP81+'SUPLIER INWARD'!CP81</f>
        <v>0</v>
      </c>
      <c r="CP81" s="151"/>
      <c r="CQ81" s="29">
        <v>0</v>
      </c>
      <c r="CR81" s="30">
        <f t="shared" si="115"/>
        <v>0</v>
      </c>
      <c r="CS81" s="28">
        <f>PRODUCTION!CT81+'SUPLIER INWARD'!CT81</f>
        <v>0</v>
      </c>
      <c r="CT81" s="28"/>
      <c r="CU81" s="29">
        <v>0</v>
      </c>
      <c r="CV81" s="30">
        <f t="shared" si="116"/>
        <v>0</v>
      </c>
      <c r="CW81" s="28">
        <f>PRODUCTION!CX81+'SUPLIER INWARD'!CX81</f>
        <v>0</v>
      </c>
      <c r="CX81" s="28"/>
      <c r="CY81" s="29">
        <v>0</v>
      </c>
      <c r="CZ81" s="30">
        <f t="shared" si="117"/>
        <v>0</v>
      </c>
      <c r="DA81" s="28">
        <f>PRODUCTION!DB81+'SUPLIER INWARD'!DB81</f>
        <v>0</v>
      </c>
      <c r="DB81" s="28"/>
      <c r="DC81" s="29"/>
      <c r="DD81" s="30">
        <f t="shared" si="118"/>
        <v>0</v>
      </c>
      <c r="DE81" s="28">
        <f>PRODUCTION!DF81+'SUPLIER INWARD'!DF81</f>
        <v>0</v>
      </c>
      <c r="DF81" s="28"/>
      <c r="DG81" s="29">
        <v>0</v>
      </c>
      <c r="DH81" s="30">
        <f t="shared" si="119"/>
        <v>0</v>
      </c>
      <c r="DI81" s="28">
        <f>PRODUCTION!DJ81+'SUPLIER INWARD'!DJ81</f>
        <v>0</v>
      </c>
      <c r="DJ81" s="28"/>
      <c r="DK81" s="29">
        <v>0</v>
      </c>
      <c r="DL81" s="30">
        <f t="shared" si="120"/>
        <v>0</v>
      </c>
      <c r="DM81" s="28">
        <f>PRODUCTION!DN81+'SUPLIER INWARD'!DN81</f>
        <v>0</v>
      </c>
      <c r="DN81" s="28"/>
      <c r="DO81" s="29"/>
      <c r="DP81" s="30">
        <f t="shared" si="121"/>
        <v>0</v>
      </c>
      <c r="DQ81" s="28">
        <f>PRODUCTION!DR81+'SUPLIER INWARD'!DR81</f>
        <v>0</v>
      </c>
      <c r="DR81" s="28"/>
      <c r="DS81" s="29"/>
      <c r="DT81" s="30">
        <f t="shared" si="122"/>
        <v>0</v>
      </c>
      <c r="DU81" s="28">
        <f>PRODUCTION!DV81+'SUPLIER INWARD'!DV81</f>
        <v>0</v>
      </c>
      <c r="DV81" s="28"/>
      <c r="DW81" s="29"/>
      <c r="DX81" s="30">
        <f t="shared" si="123"/>
        <v>0</v>
      </c>
      <c r="DY81" s="31">
        <f t="shared" si="124"/>
        <v>0</v>
      </c>
      <c r="DZ81" s="31">
        <f t="shared" si="125"/>
        <v>0</v>
      </c>
      <c r="EA81" s="4">
        <f t="shared" si="126"/>
        <v>0</v>
      </c>
      <c r="EB81" s="9">
        <f>D81*'MASTER SHEET'!D81</f>
        <v>0</v>
      </c>
      <c r="EC81" s="9">
        <f>H81*'MASTER SHEET'!D81</f>
        <v>0</v>
      </c>
      <c r="ED81" s="9">
        <f>L81*'MASTER SHEET'!D81</f>
        <v>0</v>
      </c>
      <c r="EE81" s="9">
        <f>P81*'MASTER SHEET'!D81</f>
        <v>0</v>
      </c>
      <c r="EF81" s="9">
        <f>T81*'MASTER SHEET'!D81</f>
        <v>0</v>
      </c>
      <c r="EG81" s="9">
        <f>X81*'MASTER SHEET'!D81</f>
        <v>0</v>
      </c>
      <c r="EH81" s="9">
        <f>AB81*'MASTER SHEET'!D81</f>
        <v>0</v>
      </c>
      <c r="EI81" s="9">
        <f>AF81*'MASTER SHEET'!D81</f>
        <v>0</v>
      </c>
      <c r="EJ81" s="9">
        <f>AJ81*'MASTER SHEET'!D81</f>
        <v>0</v>
      </c>
      <c r="EK81" s="9">
        <f>AN81*'MASTER SHEET'!D81</f>
        <v>0</v>
      </c>
      <c r="EL81" s="9">
        <f>AR81*'MASTER SHEET'!D81</f>
        <v>0</v>
      </c>
      <c r="EM81" s="9">
        <f>AV81*'MASTER SHEET'!D81</f>
        <v>0</v>
      </c>
      <c r="EN81" s="9">
        <f>AZ81*'MASTER SHEET'!D81</f>
        <v>0</v>
      </c>
      <c r="EO81" s="9">
        <f>BD81*'MASTER SHEET'!D81</f>
        <v>0</v>
      </c>
      <c r="EP81" s="9">
        <f>$BH81*'MASTER SHEET'!$D81</f>
        <v>0</v>
      </c>
      <c r="EQ81" s="9">
        <f>BL81*'MASTER SHEET'!D81</f>
        <v>0</v>
      </c>
      <c r="ER81" s="9">
        <f>BP81*'MASTER SHEET'!D81</f>
        <v>0</v>
      </c>
      <c r="ES81" s="9">
        <f>BT81*'MASTER SHEET'!D81</f>
        <v>0</v>
      </c>
      <c r="ET81" s="9">
        <f>BX81*'MASTER SHEET'!D81</f>
        <v>0</v>
      </c>
      <c r="EU81" s="9">
        <f>CB81*'MASTER SHEET'!D81</f>
        <v>0</v>
      </c>
      <c r="EV81" s="9">
        <f>CF81*'MASTER SHEET'!D81</f>
        <v>0</v>
      </c>
      <c r="EW81" s="9">
        <f>CJ81*'MASTER SHEET'!D81</f>
        <v>0</v>
      </c>
      <c r="EX81" s="9">
        <f>CN81*'MASTER SHEET'!D81</f>
        <v>0</v>
      </c>
      <c r="EY81" s="9">
        <f>CR81*'MASTER SHEET'!D81</f>
        <v>0</v>
      </c>
      <c r="EZ81" s="9">
        <f>$CV81*'MASTER SHEET'!D81</f>
        <v>0</v>
      </c>
      <c r="FA81" s="9">
        <f>CZ81*'MASTER SHEET'!D81</f>
        <v>0</v>
      </c>
      <c r="FB81" s="9">
        <f>DD81*'MASTER SHEET'!D81</f>
        <v>0</v>
      </c>
      <c r="FC81" s="9">
        <f>DH81*'MASTER SHEET'!D81</f>
        <v>0</v>
      </c>
      <c r="FD81" s="9">
        <f>DL81*'MASTER SHEET'!D81</f>
        <v>0</v>
      </c>
      <c r="FE81" s="9">
        <f>DP81*'MASTER SHEET'!D81</f>
        <v>0</v>
      </c>
      <c r="FF81" s="9">
        <f>DT81*'MASTER SHEET'!D81</f>
        <v>0</v>
      </c>
      <c r="FG81" s="9">
        <f>+DX81*'MASTER SHEET'!D81</f>
        <v>0</v>
      </c>
    </row>
    <row r="82" spans="1:163" ht="20.25" customHeight="1" x14ac:dyDescent="0.25">
      <c r="A82" s="25">
        <f>'MASTER SHEET'!A82</f>
        <v>80</v>
      </c>
      <c r="B82" s="26" t="str">
        <f>'MASTER SHEET'!B82</f>
        <v>VALVE BODY, PLASTIC</v>
      </c>
      <c r="C82" s="78">
        <f>'MASTER SHEET'!C82</f>
        <v>5040058</v>
      </c>
      <c r="D82" s="159">
        <v>0</v>
      </c>
      <c r="E82" s="28">
        <f>PRODUCTION!F82+'SUPLIER INWARD'!F82</f>
        <v>0</v>
      </c>
      <c r="F82" s="28"/>
      <c r="G82" s="29">
        <v>0</v>
      </c>
      <c r="H82" s="30">
        <f t="shared" si="93"/>
        <v>0</v>
      </c>
      <c r="I82" s="28">
        <f>PRODUCTION!J82+'SUPLIER INWARD'!J82</f>
        <v>0</v>
      </c>
      <c r="J82" s="28"/>
      <c r="K82" s="29">
        <v>0</v>
      </c>
      <c r="L82" s="30">
        <f t="shared" si="94"/>
        <v>0</v>
      </c>
      <c r="M82" s="28">
        <f>PRODUCTION!N82+'SUPLIER INWARD'!N82</f>
        <v>0</v>
      </c>
      <c r="N82" s="28"/>
      <c r="O82" s="29"/>
      <c r="P82" s="30">
        <f t="shared" si="95"/>
        <v>0</v>
      </c>
      <c r="Q82" s="28">
        <f>PRODUCTION!R82+'SUPLIER INWARD'!R82</f>
        <v>0</v>
      </c>
      <c r="R82" s="28"/>
      <c r="S82" s="29">
        <v>0</v>
      </c>
      <c r="T82" s="30">
        <f t="shared" si="96"/>
        <v>0</v>
      </c>
      <c r="U82" s="28">
        <f>PRODUCTION!V82+'SUPLIER INWARD'!V82</f>
        <v>0</v>
      </c>
      <c r="V82" s="28"/>
      <c r="W82" s="29">
        <v>0</v>
      </c>
      <c r="X82" s="30">
        <f t="shared" si="97"/>
        <v>0</v>
      </c>
      <c r="Y82" s="28">
        <f>PRODUCTION!Z82+'SUPLIER INWARD'!Z82</f>
        <v>0</v>
      </c>
      <c r="Z82" s="28"/>
      <c r="AA82" s="29">
        <v>0</v>
      </c>
      <c r="AB82" s="30">
        <f t="shared" si="98"/>
        <v>0</v>
      </c>
      <c r="AC82" s="28">
        <f>PRODUCTION!AD82+'SUPLIER INWARD'!AD82</f>
        <v>0</v>
      </c>
      <c r="AD82" s="28"/>
      <c r="AE82" s="29">
        <v>0</v>
      </c>
      <c r="AF82" s="30">
        <f t="shared" si="99"/>
        <v>0</v>
      </c>
      <c r="AG82" s="28">
        <f>PRODUCTION!AH82+'SUPLIER INWARD'!AH82</f>
        <v>0</v>
      </c>
      <c r="AH82" s="28"/>
      <c r="AI82" s="29">
        <v>0</v>
      </c>
      <c r="AJ82" s="30">
        <f t="shared" si="100"/>
        <v>0</v>
      </c>
      <c r="AK82" s="28">
        <f>PRODUCTION!AL82+'SUPLIER INWARD'!AL82</f>
        <v>0</v>
      </c>
      <c r="AL82" s="28"/>
      <c r="AM82" s="29">
        <v>0</v>
      </c>
      <c r="AN82" s="30">
        <f t="shared" si="101"/>
        <v>0</v>
      </c>
      <c r="AO82" s="28">
        <f>PRODUCTION!AP82+'SUPLIER INWARD'!AP82</f>
        <v>0</v>
      </c>
      <c r="AP82" s="28"/>
      <c r="AQ82" s="29">
        <v>0</v>
      </c>
      <c r="AR82" s="30">
        <f t="shared" si="102"/>
        <v>0</v>
      </c>
      <c r="AS82" s="28">
        <f>PRODUCTION!AT82+'SUPLIER INWARD'!AT82</f>
        <v>0</v>
      </c>
      <c r="AT82" s="28"/>
      <c r="AU82" s="29">
        <v>0</v>
      </c>
      <c r="AV82" s="30">
        <f t="shared" si="103"/>
        <v>0</v>
      </c>
      <c r="AW82" s="28">
        <f>PRODUCTION!AX82+'SUPLIER INWARD'!AX82</f>
        <v>0</v>
      </c>
      <c r="AX82" s="28"/>
      <c r="AY82" s="29"/>
      <c r="AZ82" s="30">
        <f t="shared" si="104"/>
        <v>0</v>
      </c>
      <c r="BA82" s="28">
        <f>PRODUCTION!BB82+'SUPLIER INWARD'!BB82</f>
        <v>0</v>
      </c>
      <c r="BB82" s="28"/>
      <c r="BC82" s="29">
        <v>0</v>
      </c>
      <c r="BD82" s="30">
        <f t="shared" si="105"/>
        <v>0</v>
      </c>
      <c r="BE82" s="28">
        <f>PRODUCTION!BF82+'SUPLIER INWARD'!BF82</f>
        <v>0</v>
      </c>
      <c r="BF82" s="28"/>
      <c r="BG82" s="29">
        <v>0</v>
      </c>
      <c r="BH82" s="30">
        <f t="shared" si="106"/>
        <v>0</v>
      </c>
      <c r="BI82" s="28">
        <f>PRODUCTION!BJ82+'SUPLIER INWARD'!BJ82</f>
        <v>0</v>
      </c>
      <c r="BJ82" s="28"/>
      <c r="BK82" s="29">
        <v>0</v>
      </c>
      <c r="BL82" s="30">
        <f t="shared" si="107"/>
        <v>0</v>
      </c>
      <c r="BM82" s="28">
        <f>PRODUCTION!BN82+'SUPLIER INWARD'!BN82</f>
        <v>0</v>
      </c>
      <c r="BN82" s="28"/>
      <c r="BO82" s="29">
        <v>0</v>
      </c>
      <c r="BP82" s="30">
        <f t="shared" si="108"/>
        <v>0</v>
      </c>
      <c r="BQ82" s="28">
        <f>PRODUCTION!BR82+'SUPLIER INWARD'!BR82</f>
        <v>0</v>
      </c>
      <c r="BR82" s="28"/>
      <c r="BS82" s="29">
        <v>0</v>
      </c>
      <c r="BT82" s="30">
        <f t="shared" si="109"/>
        <v>0</v>
      </c>
      <c r="BU82" s="28">
        <f>PRODUCTION!BV82+'SUPLIER INWARD'!BV82</f>
        <v>0</v>
      </c>
      <c r="BV82" s="28"/>
      <c r="BW82" s="29">
        <v>0</v>
      </c>
      <c r="BX82" s="30">
        <f t="shared" si="110"/>
        <v>0</v>
      </c>
      <c r="BY82" s="28">
        <f>PRODUCTION!BZ82+'SUPLIER INWARD'!BZ82</f>
        <v>0</v>
      </c>
      <c r="BZ82" s="28"/>
      <c r="CA82" s="29">
        <v>0</v>
      </c>
      <c r="CB82" s="30">
        <f t="shared" si="111"/>
        <v>0</v>
      </c>
      <c r="CC82" s="28">
        <f>PRODUCTION!CD82+'SUPLIER INWARD'!CD82</f>
        <v>0</v>
      </c>
      <c r="CD82" s="28"/>
      <c r="CE82" s="29">
        <v>0</v>
      </c>
      <c r="CF82" s="30">
        <f t="shared" si="112"/>
        <v>0</v>
      </c>
      <c r="CG82" s="28">
        <f>PRODUCTION!CH82+'SUPLIER INWARD'!CH82</f>
        <v>0</v>
      </c>
      <c r="CH82" s="28"/>
      <c r="CI82" s="29">
        <v>0</v>
      </c>
      <c r="CJ82" s="30">
        <f t="shared" si="113"/>
        <v>0</v>
      </c>
      <c r="CK82" s="28">
        <f>PRODUCTION!CL82+'SUPLIER INWARD'!CL82</f>
        <v>0</v>
      </c>
      <c r="CL82" s="151"/>
      <c r="CM82" s="152">
        <v>0</v>
      </c>
      <c r="CN82" s="30">
        <f t="shared" si="114"/>
        <v>0</v>
      </c>
      <c r="CO82" s="28">
        <f>PRODUCTION!CP82+'SUPLIER INWARD'!CP82</f>
        <v>0</v>
      </c>
      <c r="CP82" s="151"/>
      <c r="CQ82" s="29">
        <v>0</v>
      </c>
      <c r="CR82" s="30">
        <f t="shared" si="115"/>
        <v>0</v>
      </c>
      <c r="CS82" s="28">
        <f>PRODUCTION!CT82+'SUPLIER INWARD'!CT82</f>
        <v>0</v>
      </c>
      <c r="CT82" s="28"/>
      <c r="CU82" s="29">
        <v>0</v>
      </c>
      <c r="CV82" s="30">
        <f t="shared" si="116"/>
        <v>0</v>
      </c>
      <c r="CW82" s="28">
        <f>PRODUCTION!CX82+'SUPLIER INWARD'!CX82</f>
        <v>0</v>
      </c>
      <c r="CX82" s="28"/>
      <c r="CY82" s="29">
        <v>0</v>
      </c>
      <c r="CZ82" s="30">
        <f t="shared" si="117"/>
        <v>0</v>
      </c>
      <c r="DA82" s="28">
        <f>PRODUCTION!DB82+'SUPLIER INWARD'!DB82</f>
        <v>0</v>
      </c>
      <c r="DB82" s="28"/>
      <c r="DC82" s="29"/>
      <c r="DD82" s="30">
        <f t="shared" si="118"/>
        <v>0</v>
      </c>
      <c r="DE82" s="28">
        <f>PRODUCTION!DF82+'SUPLIER INWARD'!DF82</f>
        <v>0</v>
      </c>
      <c r="DF82" s="28"/>
      <c r="DG82" s="29">
        <v>0</v>
      </c>
      <c r="DH82" s="30">
        <f t="shared" si="119"/>
        <v>0</v>
      </c>
      <c r="DI82" s="28">
        <f>PRODUCTION!DJ82+'SUPLIER INWARD'!DJ82</f>
        <v>0</v>
      </c>
      <c r="DJ82" s="28"/>
      <c r="DK82" s="29">
        <v>0</v>
      </c>
      <c r="DL82" s="30">
        <f t="shared" si="120"/>
        <v>0</v>
      </c>
      <c r="DM82" s="28">
        <f>PRODUCTION!DN82+'SUPLIER INWARD'!DN82</f>
        <v>0</v>
      </c>
      <c r="DN82" s="28"/>
      <c r="DO82" s="29"/>
      <c r="DP82" s="30">
        <f t="shared" si="121"/>
        <v>0</v>
      </c>
      <c r="DQ82" s="28">
        <f>PRODUCTION!DR82+'SUPLIER INWARD'!DR82</f>
        <v>0</v>
      </c>
      <c r="DR82" s="28"/>
      <c r="DS82" s="29"/>
      <c r="DT82" s="30">
        <f t="shared" si="122"/>
        <v>0</v>
      </c>
      <c r="DU82" s="28">
        <f>PRODUCTION!DV82+'SUPLIER INWARD'!DV82</f>
        <v>0</v>
      </c>
      <c r="DV82" s="28"/>
      <c r="DW82" s="29"/>
      <c r="DX82" s="30">
        <f t="shared" si="123"/>
        <v>0</v>
      </c>
      <c r="DY82" s="31">
        <f t="shared" si="124"/>
        <v>0</v>
      </c>
      <c r="DZ82" s="31">
        <f t="shared" si="125"/>
        <v>0</v>
      </c>
      <c r="EA82" s="4">
        <f t="shared" si="126"/>
        <v>0</v>
      </c>
      <c r="EB82" s="9">
        <f>D82*'MASTER SHEET'!D82</f>
        <v>0</v>
      </c>
      <c r="EC82" s="9">
        <f>H82*'MASTER SHEET'!D82</f>
        <v>0</v>
      </c>
      <c r="ED82" s="9">
        <f>L82*'MASTER SHEET'!D82</f>
        <v>0</v>
      </c>
      <c r="EE82" s="9">
        <f>P82*'MASTER SHEET'!D82</f>
        <v>0</v>
      </c>
      <c r="EF82" s="9">
        <f>T82*'MASTER SHEET'!D82</f>
        <v>0</v>
      </c>
      <c r="EG82" s="9">
        <f>X82*'MASTER SHEET'!D82</f>
        <v>0</v>
      </c>
      <c r="EH82" s="9">
        <f>AB82*'MASTER SHEET'!D82</f>
        <v>0</v>
      </c>
      <c r="EI82" s="9">
        <f>AF82*'MASTER SHEET'!D82</f>
        <v>0</v>
      </c>
      <c r="EJ82" s="9">
        <f>AJ82*'MASTER SHEET'!D82</f>
        <v>0</v>
      </c>
      <c r="EK82" s="9">
        <f>AN82*'MASTER SHEET'!D82</f>
        <v>0</v>
      </c>
      <c r="EL82" s="9">
        <f>AR82*'MASTER SHEET'!D82</f>
        <v>0</v>
      </c>
      <c r="EM82" s="9">
        <f>AV82*'MASTER SHEET'!D82</f>
        <v>0</v>
      </c>
      <c r="EN82" s="9">
        <f>AZ82*'MASTER SHEET'!D82</f>
        <v>0</v>
      </c>
      <c r="EO82" s="9">
        <f>BD82*'MASTER SHEET'!D82</f>
        <v>0</v>
      </c>
      <c r="EP82" s="9">
        <f>$BH82*'MASTER SHEET'!$D82</f>
        <v>0</v>
      </c>
      <c r="EQ82" s="9">
        <f>BL82*'MASTER SHEET'!D82</f>
        <v>0</v>
      </c>
      <c r="ER82" s="9">
        <f>BP82*'MASTER SHEET'!D82</f>
        <v>0</v>
      </c>
      <c r="ES82" s="9">
        <f>BT82*'MASTER SHEET'!D82</f>
        <v>0</v>
      </c>
      <c r="ET82" s="9">
        <f>BX82*'MASTER SHEET'!D82</f>
        <v>0</v>
      </c>
      <c r="EU82" s="9">
        <f>CB82*'MASTER SHEET'!D82</f>
        <v>0</v>
      </c>
      <c r="EV82" s="9">
        <f>CF82*'MASTER SHEET'!D82</f>
        <v>0</v>
      </c>
      <c r="EW82" s="9">
        <f>CJ82*'MASTER SHEET'!D82</f>
        <v>0</v>
      </c>
      <c r="EX82" s="9">
        <f>CN82*'MASTER SHEET'!D82</f>
        <v>0</v>
      </c>
      <c r="EY82" s="9">
        <f>CR82*'MASTER SHEET'!D82</f>
        <v>0</v>
      </c>
      <c r="EZ82" s="9">
        <f>$CV82*'MASTER SHEET'!D82</f>
        <v>0</v>
      </c>
      <c r="FA82" s="9">
        <f>CZ82*'MASTER SHEET'!D82</f>
        <v>0</v>
      </c>
      <c r="FB82" s="9">
        <f>DD82*'MASTER SHEET'!D82</f>
        <v>0</v>
      </c>
      <c r="FC82" s="9">
        <f>DH82*'MASTER SHEET'!D82</f>
        <v>0</v>
      </c>
      <c r="FD82" s="9">
        <f>DL82*'MASTER SHEET'!D82</f>
        <v>0</v>
      </c>
      <c r="FE82" s="9">
        <f>DP82*'MASTER SHEET'!D82</f>
        <v>0</v>
      </c>
      <c r="FF82" s="9">
        <f>DT82*'MASTER SHEET'!D82</f>
        <v>0</v>
      </c>
      <c r="FG82" s="9">
        <f>+DX82*'MASTER SHEET'!D82</f>
        <v>0</v>
      </c>
    </row>
    <row r="83" spans="1:163" ht="20.25" customHeight="1" x14ac:dyDescent="0.25">
      <c r="A83" s="25">
        <f>'MASTER SHEET'!A83</f>
        <v>81</v>
      </c>
      <c r="B83" s="26" t="str">
        <f>'MASTER SHEET'!B83</f>
        <v>3-MBP Pipe--CV</v>
      </c>
      <c r="C83" s="78">
        <f>'MASTER SHEET'!C83</f>
        <v>5030173</v>
      </c>
      <c r="D83" s="159">
        <v>37</v>
      </c>
      <c r="E83" s="28">
        <f>PRODUCTION!F83+'SUPLIER INWARD'!F83</f>
        <v>0</v>
      </c>
      <c r="F83" s="28"/>
      <c r="G83" s="29">
        <v>0</v>
      </c>
      <c r="H83" s="30">
        <f t="shared" si="93"/>
        <v>37</v>
      </c>
      <c r="I83" s="28">
        <f>PRODUCTION!J83+'SUPLIER INWARD'!J83</f>
        <v>0</v>
      </c>
      <c r="J83" s="28"/>
      <c r="K83" s="29">
        <v>0</v>
      </c>
      <c r="L83" s="30">
        <f t="shared" si="94"/>
        <v>37</v>
      </c>
      <c r="M83" s="28">
        <f>PRODUCTION!N83+'SUPLIER INWARD'!N83</f>
        <v>0</v>
      </c>
      <c r="N83" s="28"/>
      <c r="O83" s="29"/>
      <c r="P83" s="30">
        <f t="shared" si="95"/>
        <v>37</v>
      </c>
      <c r="Q83" s="28">
        <f>PRODUCTION!R83+'SUPLIER INWARD'!R83</f>
        <v>0</v>
      </c>
      <c r="R83" s="28"/>
      <c r="S83" s="29">
        <v>0</v>
      </c>
      <c r="T83" s="30">
        <f t="shared" si="96"/>
        <v>37</v>
      </c>
      <c r="U83" s="28">
        <f>PRODUCTION!V83+'SUPLIER INWARD'!V83</f>
        <v>0</v>
      </c>
      <c r="V83" s="28"/>
      <c r="W83" s="29">
        <v>0</v>
      </c>
      <c r="X83" s="30">
        <f t="shared" si="97"/>
        <v>37</v>
      </c>
      <c r="Y83" s="28">
        <f>PRODUCTION!Z83+'SUPLIER INWARD'!Z83</f>
        <v>0</v>
      </c>
      <c r="Z83" s="28"/>
      <c r="AA83" s="29">
        <v>0</v>
      </c>
      <c r="AB83" s="30">
        <f t="shared" si="98"/>
        <v>37</v>
      </c>
      <c r="AC83" s="28">
        <f>PRODUCTION!AD83+'SUPLIER INWARD'!AD83</f>
        <v>0</v>
      </c>
      <c r="AD83" s="28"/>
      <c r="AE83" s="29">
        <v>0</v>
      </c>
      <c r="AF83" s="30">
        <f t="shared" si="99"/>
        <v>37</v>
      </c>
      <c r="AG83" s="28">
        <f>PRODUCTION!AH83+'SUPLIER INWARD'!AH83</f>
        <v>0</v>
      </c>
      <c r="AH83" s="28"/>
      <c r="AI83" s="29">
        <v>0</v>
      </c>
      <c r="AJ83" s="30">
        <f t="shared" si="100"/>
        <v>37</v>
      </c>
      <c r="AK83" s="28">
        <f>PRODUCTION!AL83+'SUPLIER INWARD'!AL83</f>
        <v>0</v>
      </c>
      <c r="AL83" s="28"/>
      <c r="AM83" s="29">
        <v>0</v>
      </c>
      <c r="AN83" s="30">
        <f t="shared" si="101"/>
        <v>37</v>
      </c>
      <c r="AO83" s="28">
        <f>PRODUCTION!AP83+'SUPLIER INWARD'!AP83</f>
        <v>0</v>
      </c>
      <c r="AP83" s="28"/>
      <c r="AQ83" s="29">
        <v>0</v>
      </c>
      <c r="AR83" s="30">
        <f t="shared" si="102"/>
        <v>37</v>
      </c>
      <c r="AS83" s="28">
        <f>PRODUCTION!AT83+'SUPLIER INWARD'!AT83</f>
        <v>0</v>
      </c>
      <c r="AT83" s="28"/>
      <c r="AU83" s="29">
        <v>0</v>
      </c>
      <c r="AV83" s="30">
        <f t="shared" si="103"/>
        <v>37</v>
      </c>
      <c r="AW83" s="28">
        <f>PRODUCTION!AX83+'SUPLIER INWARD'!AX83</f>
        <v>0</v>
      </c>
      <c r="AX83" s="28"/>
      <c r="AY83" s="29"/>
      <c r="AZ83" s="30">
        <f t="shared" si="104"/>
        <v>37</v>
      </c>
      <c r="BA83" s="28">
        <f>PRODUCTION!BB83+'SUPLIER INWARD'!BB83</f>
        <v>0</v>
      </c>
      <c r="BB83" s="28"/>
      <c r="BC83" s="29">
        <v>0</v>
      </c>
      <c r="BD83" s="30">
        <f t="shared" si="105"/>
        <v>37</v>
      </c>
      <c r="BE83" s="28">
        <f>PRODUCTION!BF83+'SUPLIER INWARD'!BF83</f>
        <v>0</v>
      </c>
      <c r="BF83" s="28"/>
      <c r="BG83" s="29">
        <v>0</v>
      </c>
      <c r="BH83" s="30">
        <f t="shared" si="106"/>
        <v>37</v>
      </c>
      <c r="BI83" s="28">
        <f>PRODUCTION!BJ83+'SUPLIER INWARD'!BJ83</f>
        <v>0</v>
      </c>
      <c r="BJ83" s="28"/>
      <c r="BK83" s="29">
        <v>0</v>
      </c>
      <c r="BL83" s="30">
        <f t="shared" si="107"/>
        <v>37</v>
      </c>
      <c r="BM83" s="28">
        <f>PRODUCTION!BN83+'SUPLIER INWARD'!BN83</f>
        <v>0</v>
      </c>
      <c r="BN83" s="28"/>
      <c r="BO83" s="29">
        <v>0</v>
      </c>
      <c r="BP83" s="30">
        <f t="shared" si="108"/>
        <v>37</v>
      </c>
      <c r="BQ83" s="28">
        <f>PRODUCTION!BR83+'SUPLIER INWARD'!BR83</f>
        <v>0</v>
      </c>
      <c r="BR83" s="28"/>
      <c r="BS83" s="29">
        <v>0</v>
      </c>
      <c r="BT83" s="30">
        <f t="shared" si="109"/>
        <v>37</v>
      </c>
      <c r="BU83" s="28">
        <f>PRODUCTION!BV83+'SUPLIER INWARD'!BV83</f>
        <v>0</v>
      </c>
      <c r="BV83" s="28"/>
      <c r="BW83" s="29">
        <v>0</v>
      </c>
      <c r="BX83" s="30">
        <f t="shared" si="110"/>
        <v>37</v>
      </c>
      <c r="BY83" s="28">
        <f>PRODUCTION!BZ83+'SUPLIER INWARD'!BZ83</f>
        <v>0</v>
      </c>
      <c r="BZ83" s="28"/>
      <c r="CA83" s="29">
        <v>0</v>
      </c>
      <c r="CB83" s="30">
        <f t="shared" si="111"/>
        <v>37</v>
      </c>
      <c r="CC83" s="28">
        <f>PRODUCTION!CD83+'SUPLIER INWARD'!CD83</f>
        <v>0</v>
      </c>
      <c r="CD83" s="28"/>
      <c r="CE83" s="29">
        <v>0</v>
      </c>
      <c r="CF83" s="30">
        <f t="shared" si="112"/>
        <v>37</v>
      </c>
      <c r="CG83" s="28">
        <f>PRODUCTION!CH83+'SUPLIER INWARD'!CH83</f>
        <v>0</v>
      </c>
      <c r="CH83" s="28"/>
      <c r="CI83" s="29">
        <v>0</v>
      </c>
      <c r="CJ83" s="30">
        <f t="shared" si="113"/>
        <v>37</v>
      </c>
      <c r="CK83" s="28">
        <f>PRODUCTION!CL83+'SUPLIER INWARD'!CL83</f>
        <v>0</v>
      </c>
      <c r="CL83" s="151"/>
      <c r="CM83" s="152">
        <v>0</v>
      </c>
      <c r="CN83" s="30">
        <f t="shared" si="114"/>
        <v>37</v>
      </c>
      <c r="CO83" s="28">
        <f>PRODUCTION!CP83+'SUPLIER INWARD'!CP83</f>
        <v>0</v>
      </c>
      <c r="CP83" s="151"/>
      <c r="CQ83" s="29">
        <v>0</v>
      </c>
      <c r="CR83" s="30">
        <f t="shared" si="115"/>
        <v>37</v>
      </c>
      <c r="CS83" s="28">
        <f>PRODUCTION!CT83+'SUPLIER INWARD'!CT83</f>
        <v>0</v>
      </c>
      <c r="CT83" s="28"/>
      <c r="CU83" s="29">
        <v>0</v>
      </c>
      <c r="CV83" s="30">
        <f t="shared" si="116"/>
        <v>37</v>
      </c>
      <c r="CW83" s="28">
        <f>PRODUCTION!CX83+'SUPLIER INWARD'!CX83</f>
        <v>0</v>
      </c>
      <c r="CX83" s="28"/>
      <c r="CY83" s="29">
        <v>0</v>
      </c>
      <c r="CZ83" s="30">
        <f t="shared" si="117"/>
        <v>37</v>
      </c>
      <c r="DA83" s="28">
        <f>PRODUCTION!DB83+'SUPLIER INWARD'!DB83</f>
        <v>0</v>
      </c>
      <c r="DB83" s="28"/>
      <c r="DC83" s="29"/>
      <c r="DD83" s="30">
        <f t="shared" si="118"/>
        <v>37</v>
      </c>
      <c r="DE83" s="28">
        <f>PRODUCTION!DF83+'SUPLIER INWARD'!DF83</f>
        <v>0</v>
      </c>
      <c r="DF83" s="28"/>
      <c r="DG83" s="29">
        <v>0</v>
      </c>
      <c r="DH83" s="30">
        <f t="shared" si="119"/>
        <v>37</v>
      </c>
      <c r="DI83" s="28">
        <f>PRODUCTION!DJ83+'SUPLIER INWARD'!DJ83</f>
        <v>0</v>
      </c>
      <c r="DJ83" s="28"/>
      <c r="DK83" s="29">
        <v>0</v>
      </c>
      <c r="DL83" s="30">
        <f t="shared" si="120"/>
        <v>37</v>
      </c>
      <c r="DM83" s="28">
        <f>PRODUCTION!DN83+'SUPLIER INWARD'!DN83</f>
        <v>0</v>
      </c>
      <c r="DN83" s="28"/>
      <c r="DO83" s="29"/>
      <c r="DP83" s="30">
        <f t="shared" si="121"/>
        <v>37</v>
      </c>
      <c r="DQ83" s="28">
        <f>PRODUCTION!DR83+'SUPLIER INWARD'!DR83</f>
        <v>0</v>
      </c>
      <c r="DR83" s="28"/>
      <c r="DS83" s="29"/>
      <c r="DT83" s="30">
        <f t="shared" si="122"/>
        <v>37</v>
      </c>
      <c r="DU83" s="28">
        <f>PRODUCTION!DV83+'SUPLIER INWARD'!DV83</f>
        <v>0</v>
      </c>
      <c r="DV83" s="28"/>
      <c r="DW83" s="29"/>
      <c r="DX83" s="30">
        <f t="shared" si="123"/>
        <v>37</v>
      </c>
      <c r="DY83" s="31">
        <f t="shared" si="124"/>
        <v>0</v>
      </c>
      <c r="DZ83" s="31">
        <f t="shared" si="125"/>
        <v>0</v>
      </c>
      <c r="EA83" s="4">
        <f t="shared" si="126"/>
        <v>0</v>
      </c>
      <c r="EB83" s="9">
        <f>D83*'MASTER SHEET'!D83</f>
        <v>618.64</v>
      </c>
      <c r="EC83" s="9">
        <f>H83*'MASTER SHEET'!D83</f>
        <v>618.64</v>
      </c>
      <c r="ED83" s="9">
        <f>L83*'MASTER SHEET'!D83</f>
        <v>618.64</v>
      </c>
      <c r="EE83" s="9">
        <f>P83*'MASTER SHEET'!D83</f>
        <v>618.64</v>
      </c>
      <c r="EF83" s="9">
        <f>T83*'MASTER SHEET'!D83</f>
        <v>618.64</v>
      </c>
      <c r="EG83" s="9">
        <f>X83*'MASTER SHEET'!D83</f>
        <v>618.64</v>
      </c>
      <c r="EH83" s="9">
        <f>AB83*'MASTER SHEET'!D83</f>
        <v>618.64</v>
      </c>
      <c r="EI83" s="9">
        <f>AF83*'MASTER SHEET'!D83</f>
        <v>618.64</v>
      </c>
      <c r="EJ83" s="9">
        <f>AJ83*'MASTER SHEET'!D83</f>
        <v>618.64</v>
      </c>
      <c r="EK83" s="9">
        <f>AN83*'MASTER SHEET'!D83</f>
        <v>618.64</v>
      </c>
      <c r="EL83" s="9">
        <f>AR83*'MASTER SHEET'!D83</f>
        <v>618.64</v>
      </c>
      <c r="EM83" s="9">
        <f>AV83*'MASTER SHEET'!D83</f>
        <v>618.64</v>
      </c>
      <c r="EN83" s="9">
        <f>AZ83*'MASTER SHEET'!D83</f>
        <v>618.64</v>
      </c>
      <c r="EO83" s="9">
        <f>BD83*'MASTER SHEET'!D83</f>
        <v>618.64</v>
      </c>
      <c r="EP83" s="9">
        <f>$BH83*'MASTER SHEET'!$D83</f>
        <v>618.64</v>
      </c>
      <c r="EQ83" s="9">
        <f>BL83*'MASTER SHEET'!D83</f>
        <v>618.64</v>
      </c>
      <c r="ER83" s="9">
        <f>BP83*'MASTER SHEET'!D83</f>
        <v>618.64</v>
      </c>
      <c r="ES83" s="9">
        <f>BT83*'MASTER SHEET'!D83</f>
        <v>618.64</v>
      </c>
      <c r="ET83" s="9">
        <f>BX83*'MASTER SHEET'!D83</f>
        <v>618.64</v>
      </c>
      <c r="EU83" s="9">
        <f>CB83*'MASTER SHEET'!D83</f>
        <v>618.64</v>
      </c>
      <c r="EV83" s="9">
        <f>CF83*'MASTER SHEET'!D83</f>
        <v>618.64</v>
      </c>
      <c r="EW83" s="9">
        <f>CJ83*'MASTER SHEET'!D83</f>
        <v>618.64</v>
      </c>
      <c r="EX83" s="9">
        <f>CN83*'MASTER SHEET'!D83</f>
        <v>618.64</v>
      </c>
      <c r="EY83" s="9">
        <f>CR83*'MASTER SHEET'!D83</f>
        <v>618.64</v>
      </c>
      <c r="EZ83" s="9">
        <f>$CV83*'MASTER SHEET'!D83</f>
        <v>618.64</v>
      </c>
      <c r="FA83" s="9">
        <f>CZ83*'MASTER SHEET'!D83</f>
        <v>618.64</v>
      </c>
      <c r="FB83" s="9">
        <f>DD83*'MASTER SHEET'!D83</f>
        <v>618.64</v>
      </c>
      <c r="FC83" s="9">
        <f>DH83*'MASTER SHEET'!D83</f>
        <v>618.64</v>
      </c>
      <c r="FD83" s="9">
        <f>DL83*'MASTER SHEET'!D83</f>
        <v>618.64</v>
      </c>
      <c r="FE83" s="9">
        <f>DP83*'MASTER SHEET'!D83</f>
        <v>618.64</v>
      </c>
      <c r="FF83" s="9">
        <f>DT83*'MASTER SHEET'!D83</f>
        <v>618.64</v>
      </c>
      <c r="FG83" s="9">
        <f>+DX83*'MASTER SHEET'!D83</f>
        <v>618.64</v>
      </c>
    </row>
    <row r="84" spans="1:163" s="10" customFormat="1" ht="20.25" customHeight="1" x14ac:dyDescent="0.25">
      <c r="A84" s="25">
        <f>'MASTER SHEET'!A84</f>
        <v>82</v>
      </c>
      <c r="B84" s="26" t="str">
        <f>'MASTER SHEET'!B84</f>
        <v>3-MBP Pipe--CV</v>
      </c>
      <c r="C84" s="78">
        <f>'MASTER SHEET'!C84</f>
        <v>5037374</v>
      </c>
      <c r="D84" s="159">
        <v>0</v>
      </c>
      <c r="E84" s="28">
        <f>PRODUCTION!F84+'SUPLIER INWARD'!F84</f>
        <v>0</v>
      </c>
      <c r="F84" s="28"/>
      <c r="G84" s="29">
        <v>0</v>
      </c>
      <c r="H84" s="30">
        <f t="shared" si="93"/>
        <v>0</v>
      </c>
      <c r="I84" s="28">
        <f>PRODUCTION!J84+'SUPLIER INWARD'!J84</f>
        <v>0</v>
      </c>
      <c r="J84" s="28"/>
      <c r="K84" s="29">
        <v>0</v>
      </c>
      <c r="L84" s="30">
        <f t="shared" si="94"/>
        <v>0</v>
      </c>
      <c r="M84" s="28">
        <f>PRODUCTION!N84+'SUPLIER INWARD'!N84</f>
        <v>0</v>
      </c>
      <c r="N84" s="28"/>
      <c r="O84" s="29"/>
      <c r="P84" s="30">
        <f t="shared" si="95"/>
        <v>0</v>
      </c>
      <c r="Q84" s="28">
        <f>PRODUCTION!R84+'SUPLIER INWARD'!R84</f>
        <v>0</v>
      </c>
      <c r="R84" s="28"/>
      <c r="S84" s="29">
        <v>0</v>
      </c>
      <c r="T84" s="30">
        <f t="shared" si="96"/>
        <v>0</v>
      </c>
      <c r="U84" s="28">
        <f>PRODUCTION!V84+'SUPLIER INWARD'!V84</f>
        <v>0</v>
      </c>
      <c r="V84" s="28"/>
      <c r="W84" s="29">
        <v>0</v>
      </c>
      <c r="X84" s="30">
        <f t="shared" si="97"/>
        <v>0</v>
      </c>
      <c r="Y84" s="28">
        <f>PRODUCTION!Z84+'SUPLIER INWARD'!Z84</f>
        <v>0</v>
      </c>
      <c r="Z84" s="28"/>
      <c r="AA84" s="29">
        <v>0</v>
      </c>
      <c r="AB84" s="30">
        <f t="shared" si="98"/>
        <v>0</v>
      </c>
      <c r="AC84" s="28">
        <f>PRODUCTION!AD84+'SUPLIER INWARD'!AD84</f>
        <v>0</v>
      </c>
      <c r="AD84" s="28"/>
      <c r="AE84" s="29">
        <v>0</v>
      </c>
      <c r="AF84" s="30">
        <f t="shared" si="99"/>
        <v>0</v>
      </c>
      <c r="AG84" s="28">
        <f>PRODUCTION!AH84+'SUPLIER INWARD'!AH84</f>
        <v>0</v>
      </c>
      <c r="AH84" s="28"/>
      <c r="AI84" s="29">
        <v>0</v>
      </c>
      <c r="AJ84" s="30">
        <f t="shared" si="100"/>
        <v>0</v>
      </c>
      <c r="AK84" s="28">
        <f>PRODUCTION!AL84+'SUPLIER INWARD'!AL84</f>
        <v>0</v>
      </c>
      <c r="AL84" s="28"/>
      <c r="AM84" s="29">
        <v>0</v>
      </c>
      <c r="AN84" s="30">
        <f t="shared" si="101"/>
        <v>0</v>
      </c>
      <c r="AO84" s="28">
        <f>PRODUCTION!AP84+'SUPLIER INWARD'!AP84</f>
        <v>0</v>
      </c>
      <c r="AP84" s="28"/>
      <c r="AQ84" s="29">
        <v>0</v>
      </c>
      <c r="AR84" s="30">
        <f t="shared" si="102"/>
        <v>0</v>
      </c>
      <c r="AS84" s="28">
        <f>PRODUCTION!AT84+'SUPLIER INWARD'!AT84</f>
        <v>0</v>
      </c>
      <c r="AT84" s="28"/>
      <c r="AU84" s="29">
        <v>0</v>
      </c>
      <c r="AV84" s="30">
        <f t="shared" si="103"/>
        <v>0</v>
      </c>
      <c r="AW84" s="28">
        <f>PRODUCTION!AX84+'SUPLIER INWARD'!AX84</f>
        <v>0</v>
      </c>
      <c r="AX84" s="28"/>
      <c r="AY84" s="29"/>
      <c r="AZ84" s="30">
        <f t="shared" si="104"/>
        <v>0</v>
      </c>
      <c r="BA84" s="28">
        <f>PRODUCTION!BB84+'SUPLIER INWARD'!BB84</f>
        <v>0</v>
      </c>
      <c r="BB84" s="28"/>
      <c r="BC84" s="29">
        <v>0</v>
      </c>
      <c r="BD84" s="30">
        <f t="shared" si="105"/>
        <v>0</v>
      </c>
      <c r="BE84" s="28">
        <f>PRODUCTION!BF84+'SUPLIER INWARD'!BF84</f>
        <v>0</v>
      </c>
      <c r="BF84" s="28"/>
      <c r="BG84" s="29">
        <v>0</v>
      </c>
      <c r="BH84" s="30">
        <f t="shared" si="106"/>
        <v>0</v>
      </c>
      <c r="BI84" s="28">
        <f>PRODUCTION!BJ84+'SUPLIER INWARD'!BJ84</f>
        <v>0</v>
      </c>
      <c r="BJ84" s="28"/>
      <c r="BK84" s="29">
        <v>0</v>
      </c>
      <c r="BL84" s="30">
        <f t="shared" si="107"/>
        <v>0</v>
      </c>
      <c r="BM84" s="28">
        <f>PRODUCTION!BN84+'SUPLIER INWARD'!BN84</f>
        <v>0</v>
      </c>
      <c r="BN84" s="28"/>
      <c r="BO84" s="29">
        <v>0</v>
      </c>
      <c r="BP84" s="30">
        <f t="shared" si="108"/>
        <v>0</v>
      </c>
      <c r="BQ84" s="28">
        <f>PRODUCTION!BR84+'SUPLIER INWARD'!BR84</f>
        <v>0</v>
      </c>
      <c r="BR84" s="28"/>
      <c r="BS84" s="29">
        <v>0</v>
      </c>
      <c r="BT84" s="30">
        <f t="shared" si="109"/>
        <v>0</v>
      </c>
      <c r="BU84" s="28">
        <f>PRODUCTION!BV84+'SUPLIER INWARD'!BV84</f>
        <v>0</v>
      </c>
      <c r="BV84" s="28"/>
      <c r="BW84" s="29">
        <v>0</v>
      </c>
      <c r="BX84" s="30">
        <f t="shared" si="110"/>
        <v>0</v>
      </c>
      <c r="BY84" s="28">
        <f>PRODUCTION!BZ84+'SUPLIER INWARD'!BZ84</f>
        <v>0</v>
      </c>
      <c r="BZ84" s="28"/>
      <c r="CA84" s="29">
        <v>0</v>
      </c>
      <c r="CB84" s="30">
        <f t="shared" si="111"/>
        <v>0</v>
      </c>
      <c r="CC84" s="28">
        <f>PRODUCTION!CD84+'SUPLIER INWARD'!CD84</f>
        <v>0</v>
      </c>
      <c r="CD84" s="28"/>
      <c r="CE84" s="29">
        <v>0</v>
      </c>
      <c r="CF84" s="30">
        <f t="shared" si="112"/>
        <v>0</v>
      </c>
      <c r="CG84" s="28">
        <f>PRODUCTION!CH84+'SUPLIER INWARD'!CH84</f>
        <v>0</v>
      </c>
      <c r="CH84" s="28"/>
      <c r="CI84" s="29">
        <v>0</v>
      </c>
      <c r="CJ84" s="30">
        <f t="shared" si="113"/>
        <v>0</v>
      </c>
      <c r="CK84" s="28">
        <f>PRODUCTION!CL84+'SUPLIER INWARD'!CL84</f>
        <v>0</v>
      </c>
      <c r="CL84" s="151"/>
      <c r="CM84" s="152">
        <v>0</v>
      </c>
      <c r="CN84" s="30">
        <f t="shared" si="114"/>
        <v>0</v>
      </c>
      <c r="CO84" s="28">
        <f>PRODUCTION!CP84+'SUPLIER INWARD'!CP84</f>
        <v>0</v>
      </c>
      <c r="CP84" s="151"/>
      <c r="CQ84" s="29">
        <v>0</v>
      </c>
      <c r="CR84" s="30">
        <f t="shared" si="115"/>
        <v>0</v>
      </c>
      <c r="CS84" s="28">
        <f>PRODUCTION!CT84+'SUPLIER INWARD'!CT84</f>
        <v>0</v>
      </c>
      <c r="CT84" s="28"/>
      <c r="CU84" s="29">
        <v>0</v>
      </c>
      <c r="CV84" s="30">
        <f t="shared" si="116"/>
        <v>0</v>
      </c>
      <c r="CW84" s="28">
        <f>PRODUCTION!CX84+'SUPLIER INWARD'!CX84</f>
        <v>0</v>
      </c>
      <c r="CX84" s="28"/>
      <c r="CY84" s="29">
        <v>0</v>
      </c>
      <c r="CZ84" s="30">
        <f t="shared" si="117"/>
        <v>0</v>
      </c>
      <c r="DA84" s="28">
        <f>PRODUCTION!DB84+'SUPLIER INWARD'!DB84</f>
        <v>0</v>
      </c>
      <c r="DB84" s="28"/>
      <c r="DC84" s="29"/>
      <c r="DD84" s="30">
        <f t="shared" si="118"/>
        <v>0</v>
      </c>
      <c r="DE84" s="28">
        <f>PRODUCTION!DF84+'SUPLIER INWARD'!DF84</f>
        <v>0</v>
      </c>
      <c r="DF84" s="28"/>
      <c r="DG84" s="29">
        <v>0</v>
      </c>
      <c r="DH84" s="30">
        <f t="shared" si="119"/>
        <v>0</v>
      </c>
      <c r="DI84" s="28">
        <f>PRODUCTION!DJ84+'SUPLIER INWARD'!DJ84</f>
        <v>0</v>
      </c>
      <c r="DJ84" s="28"/>
      <c r="DK84" s="29">
        <v>0</v>
      </c>
      <c r="DL84" s="30">
        <f t="shared" si="120"/>
        <v>0</v>
      </c>
      <c r="DM84" s="28">
        <f>PRODUCTION!DN84+'SUPLIER INWARD'!DN84</f>
        <v>0</v>
      </c>
      <c r="DN84" s="28"/>
      <c r="DO84" s="29"/>
      <c r="DP84" s="30">
        <f t="shared" si="121"/>
        <v>0</v>
      </c>
      <c r="DQ84" s="28">
        <f>PRODUCTION!DR84+'SUPLIER INWARD'!DR84</f>
        <v>0</v>
      </c>
      <c r="DR84" s="28"/>
      <c r="DS84" s="29"/>
      <c r="DT84" s="30">
        <f t="shared" si="122"/>
        <v>0</v>
      </c>
      <c r="DU84" s="28">
        <f>PRODUCTION!DV84+'SUPLIER INWARD'!DV84</f>
        <v>0</v>
      </c>
      <c r="DV84" s="28"/>
      <c r="DW84" s="29"/>
      <c r="DX84" s="30">
        <f t="shared" si="123"/>
        <v>0</v>
      </c>
      <c r="DY84" s="31">
        <f t="shared" si="124"/>
        <v>0</v>
      </c>
      <c r="DZ84" s="31">
        <f t="shared" si="125"/>
        <v>0</v>
      </c>
      <c r="EA84" s="4">
        <f t="shared" si="126"/>
        <v>0</v>
      </c>
      <c r="EB84" s="9">
        <f>D84*'MASTER SHEET'!D84</f>
        <v>0</v>
      </c>
      <c r="EC84" s="9">
        <f>H84*'MASTER SHEET'!D84</f>
        <v>0</v>
      </c>
      <c r="ED84" s="9">
        <f>L84*'MASTER SHEET'!D84</f>
        <v>0</v>
      </c>
      <c r="EE84" s="9">
        <f>P84*'MASTER SHEET'!D84</f>
        <v>0</v>
      </c>
      <c r="EF84" s="9">
        <f>T84*'MASTER SHEET'!D84</f>
        <v>0</v>
      </c>
      <c r="EG84" s="9">
        <f>X84*'MASTER SHEET'!D84</f>
        <v>0</v>
      </c>
      <c r="EH84" s="9">
        <f>AB84*'MASTER SHEET'!D84</f>
        <v>0</v>
      </c>
      <c r="EI84" s="9">
        <f>AF84*'MASTER SHEET'!D84</f>
        <v>0</v>
      </c>
      <c r="EJ84" s="9">
        <f>AJ84*'MASTER SHEET'!D84</f>
        <v>0</v>
      </c>
      <c r="EK84" s="9">
        <f>AN84*'MASTER SHEET'!D84</f>
        <v>0</v>
      </c>
      <c r="EL84" s="9">
        <f>AR84*'MASTER SHEET'!D84</f>
        <v>0</v>
      </c>
      <c r="EM84" s="9">
        <f>AV84*'MASTER SHEET'!D84</f>
        <v>0</v>
      </c>
      <c r="EN84" s="9">
        <f>AZ84*'MASTER SHEET'!D84</f>
        <v>0</v>
      </c>
      <c r="EO84" s="9">
        <f>BD84*'MASTER SHEET'!D84</f>
        <v>0</v>
      </c>
      <c r="EP84" s="9">
        <f>$BH84*'MASTER SHEET'!$D84</f>
        <v>0</v>
      </c>
      <c r="EQ84" s="9">
        <f>BL84*'MASTER SHEET'!D84</f>
        <v>0</v>
      </c>
      <c r="ER84" s="9">
        <f>BP84*'MASTER SHEET'!D84</f>
        <v>0</v>
      </c>
      <c r="ES84" s="9">
        <f>BT84*'MASTER SHEET'!D84</f>
        <v>0</v>
      </c>
      <c r="ET84" s="9">
        <f>BX84*'MASTER SHEET'!D84</f>
        <v>0</v>
      </c>
      <c r="EU84" s="9">
        <f>CB84*'MASTER SHEET'!D84</f>
        <v>0</v>
      </c>
      <c r="EV84" s="9">
        <f>CF84*'MASTER SHEET'!D84</f>
        <v>0</v>
      </c>
      <c r="EW84" s="9">
        <f>CJ84*'MASTER SHEET'!D84</f>
        <v>0</v>
      </c>
      <c r="EX84" s="9">
        <f>CN84*'MASTER SHEET'!D84</f>
        <v>0</v>
      </c>
      <c r="EY84" s="9">
        <f>CR84*'MASTER SHEET'!D84</f>
        <v>0</v>
      </c>
      <c r="EZ84" s="9">
        <f>$CV84*'MASTER SHEET'!D84</f>
        <v>0</v>
      </c>
      <c r="FA84" s="9">
        <f>CZ84*'MASTER SHEET'!D84</f>
        <v>0</v>
      </c>
      <c r="FB84" s="9">
        <f>DD84*'MASTER SHEET'!D84</f>
        <v>0</v>
      </c>
      <c r="FC84" s="9">
        <f>DH84*'MASTER SHEET'!D84</f>
        <v>0</v>
      </c>
      <c r="FD84" s="9">
        <f>DL84*'MASTER SHEET'!D84</f>
        <v>0</v>
      </c>
      <c r="FE84" s="9">
        <f>DP84*'MASTER SHEET'!D84</f>
        <v>0</v>
      </c>
      <c r="FF84" s="9">
        <f>DT84*'MASTER SHEET'!D84</f>
        <v>0</v>
      </c>
      <c r="FG84" s="9">
        <f>+DX84*'MASTER SHEET'!D84</f>
        <v>0</v>
      </c>
    </row>
    <row r="85" spans="1:163" s="11" customFormat="1" ht="20.25" customHeight="1" x14ac:dyDescent="0.25">
      <c r="A85" s="25">
        <f>'MASTER SHEET'!A85</f>
        <v>83</v>
      </c>
      <c r="B85" s="26" t="str">
        <f>'MASTER SHEET'!B85</f>
        <v>PLATE, NOZZEL</v>
      </c>
      <c r="C85" s="78">
        <f>'MASTER SHEET'!C85</f>
        <v>5044037</v>
      </c>
      <c r="D85" s="159">
        <v>157</v>
      </c>
      <c r="E85" s="28">
        <f>PRODUCTION!F85+'SUPLIER INWARD'!F85</f>
        <v>0</v>
      </c>
      <c r="F85" s="28"/>
      <c r="G85" s="29">
        <v>0</v>
      </c>
      <c r="H85" s="30">
        <f t="shared" si="93"/>
        <v>157</v>
      </c>
      <c r="I85" s="28">
        <f>PRODUCTION!J85+'SUPLIER INWARD'!J85</f>
        <v>0</v>
      </c>
      <c r="J85" s="28"/>
      <c r="K85" s="29">
        <v>0</v>
      </c>
      <c r="L85" s="30">
        <f t="shared" si="94"/>
        <v>157</v>
      </c>
      <c r="M85" s="28">
        <f>PRODUCTION!N85+'SUPLIER INWARD'!N85</f>
        <v>0</v>
      </c>
      <c r="N85" s="28"/>
      <c r="O85" s="29"/>
      <c r="P85" s="30">
        <f t="shared" si="95"/>
        <v>157</v>
      </c>
      <c r="Q85" s="28">
        <f>PRODUCTION!R85+'SUPLIER INWARD'!R85</f>
        <v>0</v>
      </c>
      <c r="R85" s="28"/>
      <c r="S85" s="29">
        <v>0</v>
      </c>
      <c r="T85" s="30">
        <f t="shared" si="96"/>
        <v>157</v>
      </c>
      <c r="U85" s="28">
        <f>PRODUCTION!V85+'SUPLIER INWARD'!V85</f>
        <v>0</v>
      </c>
      <c r="V85" s="28"/>
      <c r="W85" s="29">
        <v>0</v>
      </c>
      <c r="X85" s="30">
        <f t="shared" si="97"/>
        <v>157</v>
      </c>
      <c r="Y85" s="28">
        <f>PRODUCTION!Z85+'SUPLIER INWARD'!Z85</f>
        <v>0</v>
      </c>
      <c r="Z85" s="28"/>
      <c r="AA85" s="29">
        <v>0</v>
      </c>
      <c r="AB85" s="30">
        <f t="shared" si="98"/>
        <v>157</v>
      </c>
      <c r="AC85" s="28">
        <f>PRODUCTION!AD85+'SUPLIER INWARD'!AD85</f>
        <v>0</v>
      </c>
      <c r="AD85" s="28"/>
      <c r="AE85" s="29">
        <v>0</v>
      </c>
      <c r="AF85" s="30">
        <f t="shared" si="99"/>
        <v>157</v>
      </c>
      <c r="AG85" s="28">
        <f>PRODUCTION!AH85+'SUPLIER INWARD'!AH85</f>
        <v>0</v>
      </c>
      <c r="AH85" s="28"/>
      <c r="AI85" s="29">
        <v>0</v>
      </c>
      <c r="AJ85" s="30">
        <f t="shared" si="100"/>
        <v>157</v>
      </c>
      <c r="AK85" s="28">
        <f>PRODUCTION!AL85+'SUPLIER INWARD'!AL85</f>
        <v>0</v>
      </c>
      <c r="AL85" s="28"/>
      <c r="AM85" s="29">
        <v>0</v>
      </c>
      <c r="AN85" s="30">
        <f t="shared" si="101"/>
        <v>157</v>
      </c>
      <c r="AO85" s="28">
        <f>PRODUCTION!AP85+'SUPLIER INWARD'!AP85</f>
        <v>0</v>
      </c>
      <c r="AP85" s="28"/>
      <c r="AQ85" s="29">
        <v>0</v>
      </c>
      <c r="AR85" s="30">
        <f t="shared" si="102"/>
        <v>157</v>
      </c>
      <c r="AS85" s="28">
        <f>PRODUCTION!AT85+'SUPLIER INWARD'!AT85</f>
        <v>0</v>
      </c>
      <c r="AT85" s="28"/>
      <c r="AU85" s="29">
        <v>0</v>
      </c>
      <c r="AV85" s="30">
        <f t="shared" si="103"/>
        <v>157</v>
      </c>
      <c r="AW85" s="28">
        <f>PRODUCTION!AX85+'SUPLIER INWARD'!AX85</f>
        <v>0</v>
      </c>
      <c r="AX85" s="28"/>
      <c r="AY85" s="29"/>
      <c r="AZ85" s="30">
        <f t="shared" si="104"/>
        <v>157</v>
      </c>
      <c r="BA85" s="28">
        <f>PRODUCTION!BB85+'SUPLIER INWARD'!BB85</f>
        <v>0</v>
      </c>
      <c r="BB85" s="28"/>
      <c r="BC85" s="29">
        <v>0</v>
      </c>
      <c r="BD85" s="30">
        <f t="shared" si="105"/>
        <v>157</v>
      </c>
      <c r="BE85" s="28">
        <f>PRODUCTION!BF85+'SUPLIER INWARD'!BF85</f>
        <v>0</v>
      </c>
      <c r="BF85" s="28"/>
      <c r="BG85" s="29">
        <v>0</v>
      </c>
      <c r="BH85" s="30">
        <f t="shared" si="106"/>
        <v>157</v>
      </c>
      <c r="BI85" s="28">
        <f>PRODUCTION!BJ85+'SUPLIER INWARD'!BJ85</f>
        <v>0</v>
      </c>
      <c r="BJ85" s="28"/>
      <c r="BK85" s="29">
        <v>0</v>
      </c>
      <c r="BL85" s="30">
        <f t="shared" si="107"/>
        <v>157</v>
      </c>
      <c r="BM85" s="28">
        <f>PRODUCTION!BN85+'SUPLIER INWARD'!BN85</f>
        <v>0</v>
      </c>
      <c r="BN85" s="28"/>
      <c r="BO85" s="29">
        <v>0</v>
      </c>
      <c r="BP85" s="30">
        <f t="shared" si="108"/>
        <v>157</v>
      </c>
      <c r="BQ85" s="28">
        <f>PRODUCTION!BR85+'SUPLIER INWARD'!BR85</f>
        <v>0</v>
      </c>
      <c r="BR85" s="28"/>
      <c r="BS85" s="29">
        <v>0</v>
      </c>
      <c r="BT85" s="30">
        <f t="shared" si="109"/>
        <v>157</v>
      </c>
      <c r="BU85" s="28">
        <f>PRODUCTION!BV85+'SUPLIER INWARD'!BV85</f>
        <v>0</v>
      </c>
      <c r="BV85" s="28"/>
      <c r="BW85" s="29">
        <v>0</v>
      </c>
      <c r="BX85" s="30">
        <f t="shared" si="110"/>
        <v>157</v>
      </c>
      <c r="BY85" s="28">
        <f>PRODUCTION!BZ85+'SUPLIER INWARD'!BZ85</f>
        <v>0</v>
      </c>
      <c r="BZ85" s="28"/>
      <c r="CA85" s="29">
        <v>0</v>
      </c>
      <c r="CB85" s="30">
        <f t="shared" si="111"/>
        <v>157</v>
      </c>
      <c r="CC85" s="28">
        <f>PRODUCTION!CD85+'SUPLIER INWARD'!CD85</f>
        <v>0</v>
      </c>
      <c r="CD85" s="28"/>
      <c r="CE85" s="29">
        <v>0</v>
      </c>
      <c r="CF85" s="30">
        <f t="shared" si="112"/>
        <v>157</v>
      </c>
      <c r="CG85" s="28">
        <f>PRODUCTION!CH85+'SUPLIER INWARD'!CH85</f>
        <v>0</v>
      </c>
      <c r="CH85" s="28">
        <v>153</v>
      </c>
      <c r="CI85" s="29">
        <v>0</v>
      </c>
      <c r="CJ85" s="30">
        <f t="shared" si="113"/>
        <v>4</v>
      </c>
      <c r="CK85" s="28">
        <f>PRODUCTION!CL85+'SUPLIER INWARD'!CL85</f>
        <v>0</v>
      </c>
      <c r="CL85" s="151"/>
      <c r="CM85" s="152">
        <v>0</v>
      </c>
      <c r="CN85" s="30">
        <f t="shared" si="114"/>
        <v>4</v>
      </c>
      <c r="CO85" s="28">
        <f>PRODUCTION!CP85+'SUPLIER INWARD'!CP85</f>
        <v>0</v>
      </c>
      <c r="CP85" s="151"/>
      <c r="CQ85" s="29">
        <v>0</v>
      </c>
      <c r="CR85" s="30">
        <f t="shared" si="115"/>
        <v>4</v>
      </c>
      <c r="CS85" s="28">
        <f>PRODUCTION!CT85+'SUPLIER INWARD'!CT85</f>
        <v>0</v>
      </c>
      <c r="CT85" s="28"/>
      <c r="CU85" s="29">
        <v>0</v>
      </c>
      <c r="CV85" s="30">
        <f t="shared" si="116"/>
        <v>4</v>
      </c>
      <c r="CW85" s="28">
        <f>PRODUCTION!CX85+'SUPLIER INWARD'!CX85</f>
        <v>0</v>
      </c>
      <c r="CX85" s="28"/>
      <c r="CY85" s="29">
        <v>0</v>
      </c>
      <c r="CZ85" s="30">
        <f t="shared" si="117"/>
        <v>4</v>
      </c>
      <c r="DA85" s="28">
        <f>PRODUCTION!DB85+'SUPLIER INWARD'!DB85</f>
        <v>0</v>
      </c>
      <c r="DB85" s="28"/>
      <c r="DC85" s="29"/>
      <c r="DD85" s="30">
        <f t="shared" si="118"/>
        <v>4</v>
      </c>
      <c r="DE85" s="28">
        <f>PRODUCTION!DF85+'SUPLIER INWARD'!DF85</f>
        <v>0</v>
      </c>
      <c r="DF85" s="28"/>
      <c r="DG85" s="29">
        <v>0</v>
      </c>
      <c r="DH85" s="30">
        <f t="shared" si="119"/>
        <v>4</v>
      </c>
      <c r="DI85" s="28">
        <f>PRODUCTION!DJ85+'SUPLIER INWARD'!DJ85</f>
        <v>0</v>
      </c>
      <c r="DJ85" s="28"/>
      <c r="DK85" s="29">
        <v>0</v>
      </c>
      <c r="DL85" s="30">
        <f t="shared" si="120"/>
        <v>4</v>
      </c>
      <c r="DM85" s="28">
        <f>PRODUCTION!DN85+'SUPLIER INWARD'!DN85</f>
        <v>1484</v>
      </c>
      <c r="DN85" s="28"/>
      <c r="DO85" s="29"/>
      <c r="DP85" s="30">
        <f t="shared" si="121"/>
        <v>1488</v>
      </c>
      <c r="DQ85" s="28">
        <f>PRODUCTION!DR85+'SUPLIER INWARD'!DR85</f>
        <v>0</v>
      </c>
      <c r="DR85" s="28"/>
      <c r="DS85" s="29"/>
      <c r="DT85" s="30">
        <f t="shared" si="122"/>
        <v>1488</v>
      </c>
      <c r="DU85" s="28">
        <f>PRODUCTION!DV85+'SUPLIER INWARD'!DV85</f>
        <v>0</v>
      </c>
      <c r="DV85" s="28"/>
      <c r="DW85" s="29"/>
      <c r="DX85" s="30">
        <f t="shared" si="123"/>
        <v>1488</v>
      </c>
      <c r="DY85" s="31">
        <f t="shared" si="124"/>
        <v>1484</v>
      </c>
      <c r="DZ85" s="31">
        <f t="shared" si="125"/>
        <v>153</v>
      </c>
      <c r="EA85" s="4">
        <f t="shared" si="126"/>
        <v>0</v>
      </c>
      <c r="EB85" s="9">
        <f>D85*'MASTER SHEET'!D85</f>
        <v>883.91</v>
      </c>
      <c r="EC85" s="9">
        <f>H85*'MASTER SHEET'!D85</f>
        <v>883.91</v>
      </c>
      <c r="ED85" s="9">
        <f>L85*'MASTER SHEET'!D85</f>
        <v>883.91</v>
      </c>
      <c r="EE85" s="9">
        <f>P85*'MASTER SHEET'!D85</f>
        <v>883.91</v>
      </c>
      <c r="EF85" s="9">
        <f>T85*'MASTER SHEET'!D85</f>
        <v>883.91</v>
      </c>
      <c r="EG85" s="9">
        <f>X85*'MASTER SHEET'!D85</f>
        <v>883.91</v>
      </c>
      <c r="EH85" s="9">
        <f>AB85*'MASTER SHEET'!D85</f>
        <v>883.91</v>
      </c>
      <c r="EI85" s="9">
        <f>AF85*'MASTER SHEET'!D85</f>
        <v>883.91</v>
      </c>
      <c r="EJ85" s="9">
        <f>AJ85*'MASTER SHEET'!D85</f>
        <v>883.91</v>
      </c>
      <c r="EK85" s="9">
        <f>AN85*'MASTER SHEET'!D85</f>
        <v>883.91</v>
      </c>
      <c r="EL85" s="9">
        <f>AR85*'MASTER SHEET'!D85</f>
        <v>883.91</v>
      </c>
      <c r="EM85" s="9">
        <f>AV85*'MASTER SHEET'!D85</f>
        <v>883.91</v>
      </c>
      <c r="EN85" s="9">
        <f>AZ85*'MASTER SHEET'!D85</f>
        <v>883.91</v>
      </c>
      <c r="EO85" s="9">
        <f>BD85*'MASTER SHEET'!D85</f>
        <v>883.91</v>
      </c>
      <c r="EP85" s="9">
        <f>$BH85*'MASTER SHEET'!$D85</f>
        <v>883.91</v>
      </c>
      <c r="EQ85" s="9">
        <f>BL85*'MASTER SHEET'!D85</f>
        <v>883.91</v>
      </c>
      <c r="ER85" s="9">
        <f>BP85*'MASTER SHEET'!D85</f>
        <v>883.91</v>
      </c>
      <c r="ES85" s="9">
        <f>BT85*'MASTER SHEET'!D85</f>
        <v>883.91</v>
      </c>
      <c r="ET85" s="9">
        <f>BX85*'MASTER SHEET'!D85</f>
        <v>883.91</v>
      </c>
      <c r="EU85" s="9">
        <f>CB85*'MASTER SHEET'!D85</f>
        <v>883.91</v>
      </c>
      <c r="EV85" s="9">
        <f>CF85*'MASTER SHEET'!D85</f>
        <v>883.91</v>
      </c>
      <c r="EW85" s="9">
        <f>CJ85*'MASTER SHEET'!D85</f>
        <v>22.52</v>
      </c>
      <c r="EX85" s="9">
        <f>CN85*'MASTER SHEET'!D85</f>
        <v>22.52</v>
      </c>
      <c r="EY85" s="9">
        <f>CR85*'MASTER SHEET'!D85</f>
        <v>22.52</v>
      </c>
      <c r="EZ85" s="9">
        <f>$CV85*'MASTER SHEET'!D85</f>
        <v>22.52</v>
      </c>
      <c r="FA85" s="9">
        <f>CZ85*'MASTER SHEET'!D85</f>
        <v>22.52</v>
      </c>
      <c r="FB85" s="9">
        <f>DD85*'MASTER SHEET'!D85</f>
        <v>22.52</v>
      </c>
      <c r="FC85" s="9">
        <f>DH85*'MASTER SHEET'!D85</f>
        <v>22.52</v>
      </c>
      <c r="FD85" s="9">
        <f>DL85*'MASTER SHEET'!D85</f>
        <v>22.52</v>
      </c>
      <c r="FE85" s="9">
        <f>DP85*'MASTER SHEET'!D85</f>
        <v>8377.44</v>
      </c>
      <c r="FF85" s="9">
        <f>DT85*'MASTER SHEET'!D85</f>
        <v>8377.44</v>
      </c>
      <c r="FG85" s="9">
        <f>+DX85*'MASTER SHEET'!D85</f>
        <v>8377.44</v>
      </c>
    </row>
    <row r="86" spans="1:163" ht="20.25" customHeight="1" x14ac:dyDescent="0.25">
      <c r="A86" s="25">
        <f>'MASTER SHEET'!A86</f>
        <v>84</v>
      </c>
      <c r="B86" s="26" t="str">
        <f>'MASTER SHEET'!B86</f>
        <v>BASE HOUSING CRANKCASE</v>
      </c>
      <c r="C86" s="78">
        <f>'MASTER SHEET'!C86</f>
        <v>5044040</v>
      </c>
      <c r="D86" s="159">
        <v>19</v>
      </c>
      <c r="E86" s="28">
        <f>PRODUCTION!F86+'SUPLIER INWARD'!F86</f>
        <v>0</v>
      </c>
      <c r="F86" s="28"/>
      <c r="G86" s="29">
        <v>0</v>
      </c>
      <c r="H86" s="30">
        <f t="shared" si="93"/>
        <v>19</v>
      </c>
      <c r="I86" s="28">
        <f>PRODUCTION!J86+'SUPLIER INWARD'!J86</f>
        <v>0</v>
      </c>
      <c r="J86" s="28"/>
      <c r="K86" s="29">
        <v>0</v>
      </c>
      <c r="L86" s="30">
        <f t="shared" si="94"/>
        <v>19</v>
      </c>
      <c r="M86" s="28">
        <f>PRODUCTION!N86+'SUPLIER INWARD'!N86</f>
        <v>0</v>
      </c>
      <c r="N86" s="28"/>
      <c r="O86" s="29"/>
      <c r="P86" s="30">
        <f t="shared" si="95"/>
        <v>19</v>
      </c>
      <c r="Q86" s="28">
        <f>PRODUCTION!R86+'SUPLIER INWARD'!R86</f>
        <v>0</v>
      </c>
      <c r="R86" s="28"/>
      <c r="S86" s="29">
        <v>0</v>
      </c>
      <c r="T86" s="30">
        <f t="shared" si="96"/>
        <v>19</v>
      </c>
      <c r="U86" s="28">
        <f>PRODUCTION!V86+'SUPLIER INWARD'!V86</f>
        <v>0</v>
      </c>
      <c r="V86" s="28"/>
      <c r="W86" s="29">
        <v>0</v>
      </c>
      <c r="X86" s="30">
        <f t="shared" si="97"/>
        <v>19</v>
      </c>
      <c r="Y86" s="28">
        <f>PRODUCTION!Z86+'SUPLIER INWARD'!Z86</f>
        <v>0</v>
      </c>
      <c r="Z86" s="28"/>
      <c r="AA86" s="29">
        <v>0</v>
      </c>
      <c r="AB86" s="30">
        <f t="shared" si="98"/>
        <v>19</v>
      </c>
      <c r="AC86" s="28">
        <f>PRODUCTION!AD86+'SUPLIER INWARD'!AD86</f>
        <v>0</v>
      </c>
      <c r="AD86" s="28"/>
      <c r="AE86" s="29">
        <v>0</v>
      </c>
      <c r="AF86" s="30">
        <f t="shared" si="99"/>
        <v>19</v>
      </c>
      <c r="AG86" s="28">
        <f>PRODUCTION!AH86+'SUPLIER INWARD'!AH86</f>
        <v>0</v>
      </c>
      <c r="AH86" s="28"/>
      <c r="AI86" s="29">
        <v>0</v>
      </c>
      <c r="AJ86" s="30">
        <f t="shared" si="100"/>
        <v>19</v>
      </c>
      <c r="AK86" s="28">
        <f>PRODUCTION!AL86+'SUPLIER INWARD'!AL86</f>
        <v>0</v>
      </c>
      <c r="AL86" s="28"/>
      <c r="AM86" s="29">
        <v>0</v>
      </c>
      <c r="AN86" s="30">
        <f t="shared" si="101"/>
        <v>19</v>
      </c>
      <c r="AO86" s="28">
        <f>PRODUCTION!AP86+'SUPLIER INWARD'!AP86</f>
        <v>0</v>
      </c>
      <c r="AP86" s="28"/>
      <c r="AQ86" s="29">
        <v>0</v>
      </c>
      <c r="AR86" s="30">
        <f t="shared" si="102"/>
        <v>19</v>
      </c>
      <c r="AS86" s="28">
        <f>PRODUCTION!AT86+'SUPLIER INWARD'!AT86</f>
        <v>0</v>
      </c>
      <c r="AT86" s="28"/>
      <c r="AU86" s="29">
        <v>0</v>
      </c>
      <c r="AV86" s="30">
        <f t="shared" si="103"/>
        <v>19</v>
      </c>
      <c r="AW86" s="28">
        <f>PRODUCTION!AX86+'SUPLIER INWARD'!AX86</f>
        <v>0</v>
      </c>
      <c r="AX86" s="28"/>
      <c r="AY86" s="29"/>
      <c r="AZ86" s="30">
        <f t="shared" si="104"/>
        <v>19</v>
      </c>
      <c r="BA86" s="28">
        <f>PRODUCTION!BB86+'SUPLIER INWARD'!BB86</f>
        <v>0</v>
      </c>
      <c r="BB86" s="28"/>
      <c r="BC86" s="29">
        <v>0</v>
      </c>
      <c r="BD86" s="30">
        <f t="shared" si="105"/>
        <v>19</v>
      </c>
      <c r="BE86" s="28">
        <f>PRODUCTION!BF86+'SUPLIER INWARD'!BF86</f>
        <v>0</v>
      </c>
      <c r="BF86" s="28"/>
      <c r="BG86" s="29">
        <v>0</v>
      </c>
      <c r="BH86" s="30">
        <f t="shared" si="106"/>
        <v>19</v>
      </c>
      <c r="BI86" s="28">
        <f>PRODUCTION!BJ86+'SUPLIER INWARD'!BJ86</f>
        <v>0</v>
      </c>
      <c r="BJ86" s="28"/>
      <c r="BK86" s="29">
        <v>0</v>
      </c>
      <c r="BL86" s="30">
        <f t="shared" si="107"/>
        <v>19</v>
      </c>
      <c r="BM86" s="28">
        <f>PRODUCTION!BN86+'SUPLIER INWARD'!BN86</f>
        <v>0</v>
      </c>
      <c r="BN86" s="28"/>
      <c r="BO86" s="29">
        <v>0</v>
      </c>
      <c r="BP86" s="30">
        <f t="shared" si="108"/>
        <v>19</v>
      </c>
      <c r="BQ86" s="28">
        <f>PRODUCTION!BR86+'SUPLIER INWARD'!BR86</f>
        <v>0</v>
      </c>
      <c r="BR86" s="28"/>
      <c r="BS86" s="29">
        <v>0</v>
      </c>
      <c r="BT86" s="30">
        <f t="shared" si="109"/>
        <v>19</v>
      </c>
      <c r="BU86" s="28">
        <f>PRODUCTION!BV86+'SUPLIER INWARD'!BV86</f>
        <v>0</v>
      </c>
      <c r="BV86" s="28"/>
      <c r="BW86" s="29">
        <v>0</v>
      </c>
      <c r="BX86" s="30">
        <f t="shared" si="110"/>
        <v>19</v>
      </c>
      <c r="BY86" s="28">
        <f>PRODUCTION!BZ86+'SUPLIER INWARD'!BZ86</f>
        <v>0</v>
      </c>
      <c r="BZ86" s="28"/>
      <c r="CA86" s="29">
        <v>0</v>
      </c>
      <c r="CB86" s="30">
        <f t="shared" si="111"/>
        <v>19</v>
      </c>
      <c r="CC86" s="28">
        <f>PRODUCTION!CD86+'SUPLIER INWARD'!CD86</f>
        <v>0</v>
      </c>
      <c r="CD86" s="28"/>
      <c r="CE86" s="29">
        <v>0</v>
      </c>
      <c r="CF86" s="30">
        <f t="shared" si="112"/>
        <v>19</v>
      </c>
      <c r="CG86" s="28">
        <f>PRODUCTION!CH86+'SUPLIER INWARD'!CH86</f>
        <v>0</v>
      </c>
      <c r="CH86" s="28"/>
      <c r="CI86" s="29">
        <v>0</v>
      </c>
      <c r="CJ86" s="30">
        <f t="shared" si="113"/>
        <v>19</v>
      </c>
      <c r="CK86" s="28">
        <f>PRODUCTION!CL86+'SUPLIER INWARD'!CL86</f>
        <v>0</v>
      </c>
      <c r="CL86" s="151"/>
      <c r="CM86" s="152">
        <v>0</v>
      </c>
      <c r="CN86" s="30">
        <f t="shared" si="114"/>
        <v>19</v>
      </c>
      <c r="CO86" s="28">
        <f>PRODUCTION!CP86+'SUPLIER INWARD'!CP86</f>
        <v>0</v>
      </c>
      <c r="CP86" s="151"/>
      <c r="CQ86" s="29">
        <v>0</v>
      </c>
      <c r="CR86" s="30">
        <f t="shared" si="115"/>
        <v>19</v>
      </c>
      <c r="CS86" s="28">
        <f>PRODUCTION!CT86+'SUPLIER INWARD'!CT86</f>
        <v>0</v>
      </c>
      <c r="CT86" s="28"/>
      <c r="CU86" s="29">
        <v>0</v>
      </c>
      <c r="CV86" s="30">
        <f t="shared" si="116"/>
        <v>19</v>
      </c>
      <c r="CW86" s="28">
        <f>PRODUCTION!CX86+'SUPLIER INWARD'!CX86</f>
        <v>0</v>
      </c>
      <c r="CX86" s="28"/>
      <c r="CY86" s="29">
        <v>0</v>
      </c>
      <c r="CZ86" s="30">
        <f t="shared" si="117"/>
        <v>19</v>
      </c>
      <c r="DA86" s="28">
        <f>PRODUCTION!DB86+'SUPLIER INWARD'!DB86</f>
        <v>0</v>
      </c>
      <c r="DB86" s="28"/>
      <c r="DC86" s="29"/>
      <c r="DD86" s="30">
        <f t="shared" si="118"/>
        <v>19</v>
      </c>
      <c r="DE86" s="28">
        <f>PRODUCTION!DF86+'SUPLIER INWARD'!DF86</f>
        <v>0</v>
      </c>
      <c r="DF86" s="28"/>
      <c r="DG86" s="29">
        <v>0</v>
      </c>
      <c r="DH86" s="30">
        <f t="shared" si="119"/>
        <v>19</v>
      </c>
      <c r="DI86" s="28">
        <f>PRODUCTION!DJ86+'SUPLIER INWARD'!DJ86</f>
        <v>0</v>
      </c>
      <c r="DJ86" s="28"/>
      <c r="DK86" s="29">
        <v>0</v>
      </c>
      <c r="DL86" s="30">
        <f t="shared" si="120"/>
        <v>19</v>
      </c>
      <c r="DM86" s="28">
        <f>PRODUCTION!DN86+'SUPLIER INWARD'!DN86</f>
        <v>0</v>
      </c>
      <c r="DN86" s="28"/>
      <c r="DO86" s="29"/>
      <c r="DP86" s="30">
        <f t="shared" si="121"/>
        <v>19</v>
      </c>
      <c r="DQ86" s="28">
        <f>PRODUCTION!DR86+'SUPLIER INWARD'!DR86</f>
        <v>0</v>
      </c>
      <c r="DR86" s="28"/>
      <c r="DS86" s="29"/>
      <c r="DT86" s="30">
        <f t="shared" si="122"/>
        <v>19</v>
      </c>
      <c r="DU86" s="28">
        <f>PRODUCTION!DV86+'SUPLIER INWARD'!DV86</f>
        <v>0</v>
      </c>
      <c r="DV86" s="28"/>
      <c r="DW86" s="29"/>
      <c r="DX86" s="30">
        <f t="shared" si="123"/>
        <v>19</v>
      </c>
      <c r="DY86" s="31">
        <f t="shared" si="124"/>
        <v>0</v>
      </c>
      <c r="DZ86" s="31">
        <f t="shared" si="125"/>
        <v>0</v>
      </c>
      <c r="EA86" s="4">
        <f t="shared" si="126"/>
        <v>0</v>
      </c>
      <c r="EB86" s="9">
        <f>D86*'MASTER SHEET'!D86</f>
        <v>908.96</v>
      </c>
      <c r="EC86" s="9">
        <f>H86*'MASTER SHEET'!D86</f>
        <v>908.96</v>
      </c>
      <c r="ED86" s="9">
        <f>L86*'MASTER SHEET'!D86</f>
        <v>908.96</v>
      </c>
      <c r="EE86" s="9">
        <f>P86*'MASTER SHEET'!D86</f>
        <v>908.96</v>
      </c>
      <c r="EF86" s="9">
        <f>T86*'MASTER SHEET'!D86</f>
        <v>908.96</v>
      </c>
      <c r="EG86" s="9">
        <f>X86*'MASTER SHEET'!D86</f>
        <v>908.96</v>
      </c>
      <c r="EH86" s="9">
        <f>AB86*'MASTER SHEET'!D86</f>
        <v>908.96</v>
      </c>
      <c r="EI86" s="9">
        <f>AF86*'MASTER SHEET'!D86</f>
        <v>908.96</v>
      </c>
      <c r="EJ86" s="9">
        <f>AJ86*'MASTER SHEET'!D86</f>
        <v>908.96</v>
      </c>
      <c r="EK86" s="9">
        <f>AN86*'MASTER SHEET'!D86</f>
        <v>908.96</v>
      </c>
      <c r="EL86" s="9">
        <f>AR86*'MASTER SHEET'!D86</f>
        <v>908.96</v>
      </c>
      <c r="EM86" s="9">
        <f>AV86*'MASTER SHEET'!D86</f>
        <v>908.96</v>
      </c>
      <c r="EN86" s="9">
        <f>AZ86*'MASTER SHEET'!D86</f>
        <v>908.96</v>
      </c>
      <c r="EO86" s="9">
        <f>BD86*'MASTER SHEET'!D86</f>
        <v>908.96</v>
      </c>
      <c r="EP86" s="9">
        <f>$BH86*'MASTER SHEET'!$D86</f>
        <v>908.96</v>
      </c>
      <c r="EQ86" s="9">
        <f>BL86*'MASTER SHEET'!D86</f>
        <v>908.96</v>
      </c>
      <c r="ER86" s="9">
        <f>BP86*'MASTER SHEET'!D86</f>
        <v>908.96</v>
      </c>
      <c r="ES86" s="9">
        <f>BT86*'MASTER SHEET'!D86</f>
        <v>908.96</v>
      </c>
      <c r="ET86" s="9">
        <f>BX86*'MASTER SHEET'!D86</f>
        <v>908.96</v>
      </c>
      <c r="EU86" s="9">
        <f>CB86*'MASTER SHEET'!D86</f>
        <v>908.96</v>
      </c>
      <c r="EV86" s="9">
        <f>CF86*'MASTER SHEET'!D86</f>
        <v>908.96</v>
      </c>
      <c r="EW86" s="9">
        <f>CJ86*'MASTER SHEET'!D86</f>
        <v>908.96</v>
      </c>
      <c r="EX86" s="9">
        <f>CN86*'MASTER SHEET'!D86</f>
        <v>908.96</v>
      </c>
      <c r="EY86" s="9">
        <f>CR86*'MASTER SHEET'!D86</f>
        <v>908.96</v>
      </c>
      <c r="EZ86" s="9">
        <f>$CV86*'MASTER SHEET'!D86</f>
        <v>908.96</v>
      </c>
      <c r="FA86" s="9">
        <f>CZ86*'MASTER SHEET'!D86</f>
        <v>908.96</v>
      </c>
      <c r="FB86" s="9">
        <f>DD86*'MASTER SHEET'!D86</f>
        <v>908.96</v>
      </c>
      <c r="FC86" s="9">
        <f>DH86*'MASTER SHEET'!D86</f>
        <v>908.96</v>
      </c>
      <c r="FD86" s="9">
        <f>DL86*'MASTER SHEET'!D86</f>
        <v>908.96</v>
      </c>
      <c r="FE86" s="9">
        <f>DP86*'MASTER SHEET'!D86</f>
        <v>908.96</v>
      </c>
      <c r="FF86" s="9">
        <f>DT86*'MASTER SHEET'!D86</f>
        <v>908.96</v>
      </c>
      <c r="FG86" s="9">
        <f>+DX86*'MASTER SHEET'!D86</f>
        <v>908.96</v>
      </c>
    </row>
    <row r="87" spans="1:163" ht="20.25" customHeight="1" x14ac:dyDescent="0.25">
      <c r="A87" s="25">
        <f>'MASTER SHEET'!A87</f>
        <v>85</v>
      </c>
      <c r="B87" s="26" t="str">
        <f>'MASTER SHEET'!B87</f>
        <v>ENDPLATE PLASTIC</v>
      </c>
      <c r="C87" s="78">
        <f>'MASTER SHEET'!C87</f>
        <v>5028374</v>
      </c>
      <c r="D87" s="159">
        <v>0</v>
      </c>
      <c r="E87" s="28">
        <f>PRODUCTION!F87+'SUPLIER INWARD'!F87</f>
        <v>0</v>
      </c>
      <c r="F87" s="28"/>
      <c r="G87" s="29">
        <v>0</v>
      </c>
      <c r="H87" s="30">
        <f t="shared" si="93"/>
        <v>0</v>
      </c>
      <c r="I87" s="28">
        <f>PRODUCTION!J87+'SUPLIER INWARD'!J87</f>
        <v>0</v>
      </c>
      <c r="J87" s="28"/>
      <c r="K87" s="29">
        <v>0</v>
      </c>
      <c r="L87" s="30">
        <f t="shared" si="94"/>
        <v>0</v>
      </c>
      <c r="M87" s="28">
        <f>PRODUCTION!N87+'SUPLIER INWARD'!N87</f>
        <v>0</v>
      </c>
      <c r="N87" s="28"/>
      <c r="O87" s="29"/>
      <c r="P87" s="30">
        <f t="shared" si="95"/>
        <v>0</v>
      </c>
      <c r="Q87" s="28">
        <f>PRODUCTION!R87+'SUPLIER INWARD'!R87</f>
        <v>0</v>
      </c>
      <c r="R87" s="28"/>
      <c r="S87" s="29">
        <v>0</v>
      </c>
      <c r="T87" s="30">
        <f t="shared" si="96"/>
        <v>0</v>
      </c>
      <c r="U87" s="28">
        <f>PRODUCTION!V87+'SUPLIER INWARD'!V87</f>
        <v>0</v>
      </c>
      <c r="V87" s="28"/>
      <c r="W87" s="29">
        <v>0</v>
      </c>
      <c r="X87" s="30">
        <f t="shared" si="97"/>
        <v>0</v>
      </c>
      <c r="Y87" s="28">
        <f>PRODUCTION!Z87+'SUPLIER INWARD'!Z87</f>
        <v>0</v>
      </c>
      <c r="Z87" s="28"/>
      <c r="AA87" s="29">
        <v>0</v>
      </c>
      <c r="AB87" s="30">
        <f t="shared" si="98"/>
        <v>0</v>
      </c>
      <c r="AC87" s="28">
        <f>PRODUCTION!AD87+'SUPLIER INWARD'!AD87</f>
        <v>0</v>
      </c>
      <c r="AD87" s="28"/>
      <c r="AE87" s="29">
        <v>0</v>
      </c>
      <c r="AF87" s="30">
        <f t="shared" si="99"/>
        <v>0</v>
      </c>
      <c r="AG87" s="28">
        <f>PRODUCTION!AH87+'SUPLIER INWARD'!AH87</f>
        <v>0</v>
      </c>
      <c r="AH87" s="28"/>
      <c r="AI87" s="29">
        <v>0</v>
      </c>
      <c r="AJ87" s="30">
        <f t="shared" si="100"/>
        <v>0</v>
      </c>
      <c r="AK87" s="28">
        <f>PRODUCTION!AL87+'SUPLIER INWARD'!AL87</f>
        <v>0</v>
      </c>
      <c r="AL87" s="28"/>
      <c r="AM87" s="29">
        <v>0</v>
      </c>
      <c r="AN87" s="30">
        <f t="shared" si="101"/>
        <v>0</v>
      </c>
      <c r="AO87" s="28">
        <f>PRODUCTION!AP87+'SUPLIER INWARD'!AP87</f>
        <v>0</v>
      </c>
      <c r="AP87" s="28"/>
      <c r="AQ87" s="29">
        <v>0</v>
      </c>
      <c r="AR87" s="30">
        <f t="shared" si="102"/>
        <v>0</v>
      </c>
      <c r="AS87" s="28">
        <f>PRODUCTION!AT87+'SUPLIER INWARD'!AT87</f>
        <v>0</v>
      </c>
      <c r="AT87" s="28"/>
      <c r="AU87" s="29">
        <v>0</v>
      </c>
      <c r="AV87" s="30">
        <f t="shared" si="103"/>
        <v>0</v>
      </c>
      <c r="AW87" s="28">
        <f>PRODUCTION!AX87+'SUPLIER INWARD'!AX87</f>
        <v>0</v>
      </c>
      <c r="AX87" s="28"/>
      <c r="AY87" s="29"/>
      <c r="AZ87" s="30">
        <f t="shared" si="104"/>
        <v>0</v>
      </c>
      <c r="BA87" s="28">
        <f>PRODUCTION!BB87+'SUPLIER INWARD'!BB87</f>
        <v>0</v>
      </c>
      <c r="BB87" s="28"/>
      <c r="BC87" s="29">
        <v>0</v>
      </c>
      <c r="BD87" s="30">
        <f t="shared" si="105"/>
        <v>0</v>
      </c>
      <c r="BE87" s="28">
        <f>PRODUCTION!BF87+'SUPLIER INWARD'!BF87</f>
        <v>0</v>
      </c>
      <c r="BF87" s="28"/>
      <c r="BG87" s="29">
        <v>0</v>
      </c>
      <c r="BH87" s="30">
        <f t="shared" si="106"/>
        <v>0</v>
      </c>
      <c r="BI87" s="28">
        <f>PRODUCTION!BJ87+'SUPLIER INWARD'!BJ87</f>
        <v>0</v>
      </c>
      <c r="BJ87" s="28"/>
      <c r="BK87" s="29">
        <v>0</v>
      </c>
      <c r="BL87" s="30">
        <f t="shared" si="107"/>
        <v>0</v>
      </c>
      <c r="BM87" s="28">
        <f>PRODUCTION!BN87+'SUPLIER INWARD'!BN87</f>
        <v>0</v>
      </c>
      <c r="BN87" s="28"/>
      <c r="BO87" s="29">
        <v>0</v>
      </c>
      <c r="BP87" s="30">
        <f t="shared" si="108"/>
        <v>0</v>
      </c>
      <c r="BQ87" s="28">
        <f>PRODUCTION!BR87+'SUPLIER INWARD'!BR87</f>
        <v>0</v>
      </c>
      <c r="BR87" s="28"/>
      <c r="BS87" s="29">
        <v>0</v>
      </c>
      <c r="BT87" s="30">
        <f t="shared" si="109"/>
        <v>0</v>
      </c>
      <c r="BU87" s="28">
        <f>PRODUCTION!BV87+'SUPLIER INWARD'!BV87</f>
        <v>0</v>
      </c>
      <c r="BV87" s="28"/>
      <c r="BW87" s="29">
        <v>0</v>
      </c>
      <c r="BX87" s="30">
        <f t="shared" si="110"/>
        <v>0</v>
      </c>
      <c r="BY87" s="28">
        <f>PRODUCTION!BZ87+'SUPLIER INWARD'!BZ87</f>
        <v>0</v>
      </c>
      <c r="BZ87" s="28"/>
      <c r="CA87" s="29">
        <v>0</v>
      </c>
      <c r="CB87" s="30">
        <f t="shared" si="111"/>
        <v>0</v>
      </c>
      <c r="CC87" s="28">
        <f>PRODUCTION!CD87+'SUPLIER INWARD'!CD87</f>
        <v>0</v>
      </c>
      <c r="CD87" s="28"/>
      <c r="CE87" s="29">
        <v>0</v>
      </c>
      <c r="CF87" s="30">
        <f t="shared" si="112"/>
        <v>0</v>
      </c>
      <c r="CG87" s="28">
        <f>PRODUCTION!CH87+'SUPLIER INWARD'!CH87</f>
        <v>0</v>
      </c>
      <c r="CH87" s="28"/>
      <c r="CI87" s="29">
        <v>0</v>
      </c>
      <c r="CJ87" s="30">
        <f t="shared" si="113"/>
        <v>0</v>
      </c>
      <c r="CK87" s="28">
        <f>PRODUCTION!CL87+'SUPLIER INWARD'!CL87</f>
        <v>0</v>
      </c>
      <c r="CL87" s="151"/>
      <c r="CM87" s="152">
        <v>0</v>
      </c>
      <c r="CN87" s="30">
        <f t="shared" si="114"/>
        <v>0</v>
      </c>
      <c r="CO87" s="28">
        <f>PRODUCTION!CP87+'SUPLIER INWARD'!CP87</f>
        <v>0</v>
      </c>
      <c r="CP87" s="151"/>
      <c r="CQ87" s="29">
        <v>0</v>
      </c>
      <c r="CR87" s="30">
        <f t="shared" si="115"/>
        <v>0</v>
      </c>
      <c r="CS87" s="28">
        <f>PRODUCTION!CT87+'SUPLIER INWARD'!CT87</f>
        <v>0</v>
      </c>
      <c r="CT87" s="28"/>
      <c r="CU87" s="29">
        <v>0</v>
      </c>
      <c r="CV87" s="30">
        <f t="shared" si="116"/>
        <v>0</v>
      </c>
      <c r="CW87" s="28">
        <f>PRODUCTION!CX87+'SUPLIER INWARD'!CX87</f>
        <v>0</v>
      </c>
      <c r="CX87" s="28"/>
      <c r="CY87" s="29">
        <v>0</v>
      </c>
      <c r="CZ87" s="30">
        <f t="shared" si="117"/>
        <v>0</v>
      </c>
      <c r="DA87" s="28">
        <f>PRODUCTION!DB87+'SUPLIER INWARD'!DB87</f>
        <v>0</v>
      </c>
      <c r="DB87" s="28"/>
      <c r="DC87" s="29"/>
      <c r="DD87" s="30">
        <f t="shared" si="118"/>
        <v>0</v>
      </c>
      <c r="DE87" s="28">
        <f>PRODUCTION!DF87+'SUPLIER INWARD'!DF87</f>
        <v>0</v>
      </c>
      <c r="DF87" s="28"/>
      <c r="DG87" s="29">
        <v>0</v>
      </c>
      <c r="DH87" s="30">
        <f t="shared" si="119"/>
        <v>0</v>
      </c>
      <c r="DI87" s="28">
        <f>PRODUCTION!DJ87+'SUPLIER INWARD'!DJ87</f>
        <v>0</v>
      </c>
      <c r="DJ87" s="28"/>
      <c r="DK87" s="29">
        <v>0</v>
      </c>
      <c r="DL87" s="30">
        <f t="shared" si="120"/>
        <v>0</v>
      </c>
      <c r="DM87" s="28">
        <f>PRODUCTION!DN87+'SUPLIER INWARD'!DN87</f>
        <v>0</v>
      </c>
      <c r="DN87" s="28"/>
      <c r="DO87" s="29"/>
      <c r="DP87" s="30">
        <f t="shared" si="121"/>
        <v>0</v>
      </c>
      <c r="DQ87" s="28">
        <f>PRODUCTION!DR87+'SUPLIER INWARD'!DR87</f>
        <v>0</v>
      </c>
      <c r="DR87" s="28"/>
      <c r="DS87" s="29"/>
      <c r="DT87" s="30">
        <f t="shared" si="122"/>
        <v>0</v>
      </c>
      <c r="DU87" s="28">
        <f>PRODUCTION!DV87+'SUPLIER INWARD'!DV87</f>
        <v>0</v>
      </c>
      <c r="DV87" s="28"/>
      <c r="DW87" s="29"/>
      <c r="DX87" s="30">
        <f t="shared" si="123"/>
        <v>0</v>
      </c>
      <c r="DY87" s="31">
        <f t="shared" si="124"/>
        <v>0</v>
      </c>
      <c r="DZ87" s="31">
        <f t="shared" si="125"/>
        <v>0</v>
      </c>
      <c r="EA87" s="4">
        <f t="shared" si="126"/>
        <v>0</v>
      </c>
      <c r="EB87" s="9">
        <f>D87*'MASTER SHEET'!D87</f>
        <v>0</v>
      </c>
      <c r="EC87" s="9">
        <f>H87*'MASTER SHEET'!D87</f>
        <v>0</v>
      </c>
      <c r="ED87" s="9">
        <f>L87*'MASTER SHEET'!D87</f>
        <v>0</v>
      </c>
      <c r="EE87" s="9">
        <f>P87*'MASTER SHEET'!D87</f>
        <v>0</v>
      </c>
      <c r="EF87" s="9">
        <f>T87*'MASTER SHEET'!D87</f>
        <v>0</v>
      </c>
      <c r="EG87" s="9">
        <f>X87*'MASTER SHEET'!D87</f>
        <v>0</v>
      </c>
      <c r="EH87" s="9">
        <f>AB87*'MASTER SHEET'!D87</f>
        <v>0</v>
      </c>
      <c r="EI87" s="9">
        <f>AF87*'MASTER SHEET'!D87</f>
        <v>0</v>
      </c>
      <c r="EJ87" s="9">
        <f>AJ87*'MASTER SHEET'!D87</f>
        <v>0</v>
      </c>
      <c r="EK87" s="9">
        <f>AN87*'MASTER SHEET'!D87</f>
        <v>0</v>
      </c>
      <c r="EL87" s="9">
        <f>AR87*'MASTER SHEET'!D87</f>
        <v>0</v>
      </c>
      <c r="EM87" s="9">
        <f>AV87*'MASTER SHEET'!D87</f>
        <v>0</v>
      </c>
      <c r="EN87" s="9">
        <f>AZ87*'MASTER SHEET'!D87</f>
        <v>0</v>
      </c>
      <c r="EO87" s="9">
        <f>BD87*'MASTER SHEET'!D87</f>
        <v>0</v>
      </c>
      <c r="EP87" s="9">
        <f>$BH87*'MASTER SHEET'!$D87</f>
        <v>0</v>
      </c>
      <c r="EQ87" s="9">
        <f>BL87*'MASTER SHEET'!D87</f>
        <v>0</v>
      </c>
      <c r="ER87" s="9">
        <f>BP87*'MASTER SHEET'!D87</f>
        <v>0</v>
      </c>
      <c r="ES87" s="9">
        <f>BT87*'MASTER SHEET'!D87</f>
        <v>0</v>
      </c>
      <c r="ET87" s="9">
        <f>BX87*'MASTER SHEET'!D87</f>
        <v>0</v>
      </c>
      <c r="EU87" s="9">
        <f>CB87*'MASTER SHEET'!D87</f>
        <v>0</v>
      </c>
      <c r="EV87" s="9">
        <f>CF87*'MASTER SHEET'!D87</f>
        <v>0</v>
      </c>
      <c r="EW87" s="9">
        <f>CJ87*'MASTER SHEET'!D87</f>
        <v>0</v>
      </c>
      <c r="EX87" s="9">
        <f>CN87*'MASTER SHEET'!D87</f>
        <v>0</v>
      </c>
      <c r="EY87" s="9">
        <f>CR87*'MASTER SHEET'!D87</f>
        <v>0</v>
      </c>
      <c r="EZ87" s="9">
        <f>$CV87*'MASTER SHEET'!D87</f>
        <v>0</v>
      </c>
      <c r="FA87" s="9">
        <f>CZ87*'MASTER SHEET'!D87</f>
        <v>0</v>
      </c>
      <c r="FB87" s="9">
        <f>DD87*'MASTER SHEET'!D87</f>
        <v>0</v>
      </c>
      <c r="FC87" s="9">
        <f>DH87*'MASTER SHEET'!D87</f>
        <v>0</v>
      </c>
      <c r="FD87" s="9">
        <f>DL87*'MASTER SHEET'!D87</f>
        <v>0</v>
      </c>
      <c r="FE87" s="9">
        <f>DP87*'MASTER SHEET'!D87</f>
        <v>0</v>
      </c>
      <c r="FF87" s="9">
        <f>DT87*'MASTER SHEET'!D87</f>
        <v>0</v>
      </c>
      <c r="FG87" s="9">
        <f>+DX87*'MASTER SHEET'!D87</f>
        <v>0</v>
      </c>
    </row>
    <row r="88" spans="1:163" ht="20.25" customHeight="1" x14ac:dyDescent="0.25">
      <c r="A88" s="25">
        <f>'MASTER SHEET'!A88</f>
        <v>86</v>
      </c>
      <c r="B88" s="26" t="str">
        <f>'MASTER SHEET'!B88</f>
        <v xml:space="preserve">ENDPLATE </v>
      </c>
      <c r="C88" s="78">
        <f>'MASTER SHEET'!C88</f>
        <v>5040212</v>
      </c>
      <c r="D88" s="159">
        <v>0</v>
      </c>
      <c r="E88" s="28">
        <f>PRODUCTION!F88+'SUPLIER INWARD'!F88</f>
        <v>0</v>
      </c>
      <c r="F88" s="28"/>
      <c r="G88" s="29">
        <v>0</v>
      </c>
      <c r="H88" s="30">
        <f t="shared" si="93"/>
        <v>0</v>
      </c>
      <c r="I88" s="28">
        <f>PRODUCTION!J88+'SUPLIER INWARD'!J88</f>
        <v>0</v>
      </c>
      <c r="J88" s="28"/>
      <c r="K88" s="29">
        <v>0</v>
      </c>
      <c r="L88" s="30">
        <f t="shared" si="94"/>
        <v>0</v>
      </c>
      <c r="M88" s="28">
        <f>PRODUCTION!N88+'SUPLIER INWARD'!N88</f>
        <v>0</v>
      </c>
      <c r="N88" s="28"/>
      <c r="O88" s="29"/>
      <c r="P88" s="30">
        <f t="shared" si="95"/>
        <v>0</v>
      </c>
      <c r="Q88" s="28">
        <f>PRODUCTION!R88+'SUPLIER INWARD'!R88</f>
        <v>0</v>
      </c>
      <c r="R88" s="28"/>
      <c r="S88" s="29">
        <v>0</v>
      </c>
      <c r="T88" s="30">
        <f t="shared" si="96"/>
        <v>0</v>
      </c>
      <c r="U88" s="28">
        <f>PRODUCTION!V88+'SUPLIER INWARD'!V88</f>
        <v>0</v>
      </c>
      <c r="V88" s="28"/>
      <c r="W88" s="29">
        <v>0</v>
      </c>
      <c r="X88" s="30">
        <f t="shared" si="97"/>
        <v>0</v>
      </c>
      <c r="Y88" s="28">
        <f>PRODUCTION!Z88+'SUPLIER INWARD'!Z88</f>
        <v>0</v>
      </c>
      <c r="Z88" s="28"/>
      <c r="AA88" s="29">
        <v>0</v>
      </c>
      <c r="AB88" s="30">
        <f t="shared" si="98"/>
        <v>0</v>
      </c>
      <c r="AC88" s="28">
        <f>PRODUCTION!AD88+'SUPLIER INWARD'!AD88</f>
        <v>0</v>
      </c>
      <c r="AD88" s="28"/>
      <c r="AE88" s="29">
        <v>0</v>
      </c>
      <c r="AF88" s="30">
        <f t="shared" si="99"/>
        <v>0</v>
      </c>
      <c r="AG88" s="28">
        <f>PRODUCTION!AH88+'SUPLIER INWARD'!AH88</f>
        <v>0</v>
      </c>
      <c r="AH88" s="28"/>
      <c r="AI88" s="29">
        <v>0</v>
      </c>
      <c r="AJ88" s="30">
        <f t="shared" si="100"/>
        <v>0</v>
      </c>
      <c r="AK88" s="28">
        <f>PRODUCTION!AL88+'SUPLIER INWARD'!AL88</f>
        <v>0</v>
      </c>
      <c r="AL88" s="28"/>
      <c r="AM88" s="29">
        <v>0</v>
      </c>
      <c r="AN88" s="30">
        <f t="shared" si="101"/>
        <v>0</v>
      </c>
      <c r="AO88" s="28">
        <f>PRODUCTION!AP88+'SUPLIER INWARD'!AP88</f>
        <v>0</v>
      </c>
      <c r="AP88" s="28"/>
      <c r="AQ88" s="29">
        <v>0</v>
      </c>
      <c r="AR88" s="30">
        <f t="shared" si="102"/>
        <v>0</v>
      </c>
      <c r="AS88" s="28">
        <f>PRODUCTION!AT88+'SUPLIER INWARD'!AT88</f>
        <v>0</v>
      </c>
      <c r="AT88" s="28"/>
      <c r="AU88" s="29">
        <v>0</v>
      </c>
      <c r="AV88" s="30">
        <f t="shared" si="103"/>
        <v>0</v>
      </c>
      <c r="AW88" s="28">
        <f>PRODUCTION!AX88+'SUPLIER INWARD'!AX88</f>
        <v>0</v>
      </c>
      <c r="AX88" s="28"/>
      <c r="AY88" s="29"/>
      <c r="AZ88" s="30">
        <f t="shared" si="104"/>
        <v>0</v>
      </c>
      <c r="BA88" s="28">
        <f>PRODUCTION!BB88+'SUPLIER INWARD'!BB88</f>
        <v>0</v>
      </c>
      <c r="BB88" s="28"/>
      <c r="BC88" s="29">
        <v>0</v>
      </c>
      <c r="BD88" s="30">
        <f t="shared" si="105"/>
        <v>0</v>
      </c>
      <c r="BE88" s="28">
        <f>PRODUCTION!BF88+'SUPLIER INWARD'!BF88</f>
        <v>0</v>
      </c>
      <c r="BF88" s="28"/>
      <c r="BG88" s="29">
        <v>0</v>
      </c>
      <c r="BH88" s="30">
        <f t="shared" si="106"/>
        <v>0</v>
      </c>
      <c r="BI88" s="28">
        <f>PRODUCTION!BJ88+'SUPLIER INWARD'!BJ88</f>
        <v>0</v>
      </c>
      <c r="BJ88" s="28"/>
      <c r="BK88" s="29">
        <v>0</v>
      </c>
      <c r="BL88" s="30">
        <f t="shared" si="107"/>
        <v>0</v>
      </c>
      <c r="BM88" s="28">
        <f>PRODUCTION!BN88+'SUPLIER INWARD'!BN88</f>
        <v>0</v>
      </c>
      <c r="BN88" s="28"/>
      <c r="BO88" s="29">
        <v>0</v>
      </c>
      <c r="BP88" s="30">
        <f t="shared" si="108"/>
        <v>0</v>
      </c>
      <c r="BQ88" s="28">
        <f>PRODUCTION!BR88+'SUPLIER INWARD'!BR88</f>
        <v>0</v>
      </c>
      <c r="BR88" s="28"/>
      <c r="BS88" s="29">
        <v>0</v>
      </c>
      <c r="BT88" s="30">
        <f t="shared" si="109"/>
        <v>0</v>
      </c>
      <c r="BU88" s="28">
        <f>PRODUCTION!BV88+'SUPLIER INWARD'!BV88</f>
        <v>0</v>
      </c>
      <c r="BV88" s="28"/>
      <c r="BW88" s="29">
        <v>0</v>
      </c>
      <c r="BX88" s="30">
        <f t="shared" si="110"/>
        <v>0</v>
      </c>
      <c r="BY88" s="28">
        <f>PRODUCTION!BZ88+'SUPLIER INWARD'!BZ88</f>
        <v>0</v>
      </c>
      <c r="BZ88" s="28"/>
      <c r="CA88" s="29">
        <v>0</v>
      </c>
      <c r="CB88" s="30">
        <f t="shared" si="111"/>
        <v>0</v>
      </c>
      <c r="CC88" s="28">
        <f>PRODUCTION!CD88+'SUPLIER INWARD'!CD88</f>
        <v>0</v>
      </c>
      <c r="CD88" s="28"/>
      <c r="CE88" s="29">
        <v>0</v>
      </c>
      <c r="CF88" s="30">
        <f t="shared" si="112"/>
        <v>0</v>
      </c>
      <c r="CG88" s="28">
        <f>PRODUCTION!CH88+'SUPLIER INWARD'!CH88</f>
        <v>0</v>
      </c>
      <c r="CH88" s="28"/>
      <c r="CI88" s="29">
        <v>0</v>
      </c>
      <c r="CJ88" s="30">
        <f t="shared" si="113"/>
        <v>0</v>
      </c>
      <c r="CK88" s="28">
        <f>PRODUCTION!CL88+'SUPLIER INWARD'!CL88</f>
        <v>0</v>
      </c>
      <c r="CL88" s="151"/>
      <c r="CM88" s="152">
        <v>0</v>
      </c>
      <c r="CN88" s="30">
        <f t="shared" si="114"/>
        <v>0</v>
      </c>
      <c r="CO88" s="28">
        <f>PRODUCTION!CP88+'SUPLIER INWARD'!CP88</f>
        <v>0</v>
      </c>
      <c r="CP88" s="151"/>
      <c r="CQ88" s="29">
        <v>0</v>
      </c>
      <c r="CR88" s="30">
        <f t="shared" si="115"/>
        <v>0</v>
      </c>
      <c r="CS88" s="28">
        <f>PRODUCTION!CT88+'SUPLIER INWARD'!CT88</f>
        <v>0</v>
      </c>
      <c r="CT88" s="28"/>
      <c r="CU88" s="29">
        <v>0</v>
      </c>
      <c r="CV88" s="30">
        <f t="shared" si="116"/>
        <v>0</v>
      </c>
      <c r="CW88" s="28">
        <f>PRODUCTION!CX88+'SUPLIER INWARD'!CX88</f>
        <v>0</v>
      </c>
      <c r="CX88" s="28"/>
      <c r="CY88" s="29">
        <v>0</v>
      </c>
      <c r="CZ88" s="30">
        <f t="shared" si="117"/>
        <v>0</v>
      </c>
      <c r="DA88" s="28">
        <f>PRODUCTION!DB88+'SUPLIER INWARD'!DB88</f>
        <v>0</v>
      </c>
      <c r="DB88" s="28"/>
      <c r="DC88" s="29"/>
      <c r="DD88" s="30">
        <f t="shared" si="118"/>
        <v>0</v>
      </c>
      <c r="DE88" s="28">
        <f>PRODUCTION!DF88+'SUPLIER INWARD'!DF88</f>
        <v>0</v>
      </c>
      <c r="DF88" s="28"/>
      <c r="DG88" s="29">
        <v>0</v>
      </c>
      <c r="DH88" s="30">
        <f t="shared" si="119"/>
        <v>0</v>
      </c>
      <c r="DI88" s="28">
        <f>PRODUCTION!DJ88+'SUPLIER INWARD'!DJ88</f>
        <v>0</v>
      </c>
      <c r="DJ88" s="28"/>
      <c r="DK88" s="29">
        <v>0</v>
      </c>
      <c r="DL88" s="30">
        <f t="shared" si="120"/>
        <v>0</v>
      </c>
      <c r="DM88" s="28">
        <f>PRODUCTION!DN88+'SUPLIER INWARD'!DN88</f>
        <v>0</v>
      </c>
      <c r="DN88" s="28"/>
      <c r="DO88" s="29"/>
      <c r="DP88" s="30">
        <f t="shared" si="121"/>
        <v>0</v>
      </c>
      <c r="DQ88" s="28">
        <f>PRODUCTION!DR88+'SUPLIER INWARD'!DR88</f>
        <v>0</v>
      </c>
      <c r="DR88" s="28"/>
      <c r="DS88" s="29"/>
      <c r="DT88" s="30">
        <f t="shared" si="122"/>
        <v>0</v>
      </c>
      <c r="DU88" s="28">
        <f>PRODUCTION!DV88+'SUPLIER INWARD'!DV88</f>
        <v>0</v>
      </c>
      <c r="DV88" s="28"/>
      <c r="DW88" s="29"/>
      <c r="DX88" s="30">
        <f t="shared" si="123"/>
        <v>0</v>
      </c>
      <c r="DY88" s="31">
        <f t="shared" si="124"/>
        <v>0</v>
      </c>
      <c r="DZ88" s="31">
        <f t="shared" si="125"/>
        <v>0</v>
      </c>
      <c r="EA88" s="4">
        <f t="shared" si="126"/>
        <v>0</v>
      </c>
      <c r="EB88" s="9">
        <f>D88*'MASTER SHEET'!D88</f>
        <v>0</v>
      </c>
      <c r="EC88" s="9">
        <f>H88*'MASTER SHEET'!D88</f>
        <v>0</v>
      </c>
      <c r="ED88" s="9">
        <f>L88*'MASTER SHEET'!D88</f>
        <v>0</v>
      </c>
      <c r="EE88" s="9">
        <f>P88*'MASTER SHEET'!D88</f>
        <v>0</v>
      </c>
      <c r="EF88" s="9">
        <f>T88*'MASTER SHEET'!D88</f>
        <v>0</v>
      </c>
      <c r="EG88" s="9">
        <f>X88*'MASTER SHEET'!D88</f>
        <v>0</v>
      </c>
      <c r="EH88" s="9">
        <f>AB88*'MASTER SHEET'!D88</f>
        <v>0</v>
      </c>
      <c r="EI88" s="9">
        <f>AF88*'MASTER SHEET'!D88</f>
        <v>0</v>
      </c>
      <c r="EJ88" s="9">
        <f>AJ88*'MASTER SHEET'!D88</f>
        <v>0</v>
      </c>
      <c r="EK88" s="9">
        <f>AN88*'MASTER SHEET'!D88</f>
        <v>0</v>
      </c>
      <c r="EL88" s="9">
        <f>AR88*'MASTER SHEET'!D88</f>
        <v>0</v>
      </c>
      <c r="EM88" s="9">
        <f>AV88*'MASTER SHEET'!D88</f>
        <v>0</v>
      </c>
      <c r="EN88" s="9">
        <f>AZ88*'MASTER SHEET'!D88</f>
        <v>0</v>
      </c>
      <c r="EO88" s="9">
        <f>BD88*'MASTER SHEET'!D88</f>
        <v>0</v>
      </c>
      <c r="EP88" s="9">
        <f>$BH88*'MASTER SHEET'!$D88</f>
        <v>0</v>
      </c>
      <c r="EQ88" s="9">
        <f>BL88*'MASTER SHEET'!D88</f>
        <v>0</v>
      </c>
      <c r="ER88" s="9">
        <f>BP88*'MASTER SHEET'!D88</f>
        <v>0</v>
      </c>
      <c r="ES88" s="9">
        <f>BT88*'MASTER SHEET'!D88</f>
        <v>0</v>
      </c>
      <c r="ET88" s="9">
        <f>BX88*'MASTER SHEET'!D88</f>
        <v>0</v>
      </c>
      <c r="EU88" s="9">
        <f>CB88*'MASTER SHEET'!D88</f>
        <v>0</v>
      </c>
      <c r="EV88" s="9">
        <f>CF88*'MASTER SHEET'!D88</f>
        <v>0</v>
      </c>
      <c r="EW88" s="9">
        <f>CJ88*'MASTER SHEET'!D88</f>
        <v>0</v>
      </c>
      <c r="EX88" s="9">
        <f>CN88*'MASTER SHEET'!D88</f>
        <v>0</v>
      </c>
      <c r="EY88" s="9">
        <f>CR88*'MASTER SHEET'!D88</f>
        <v>0</v>
      </c>
      <c r="EZ88" s="9">
        <f>$CV88*'MASTER SHEET'!D88</f>
        <v>0</v>
      </c>
      <c r="FA88" s="9">
        <f>CZ88*'MASTER SHEET'!D88</f>
        <v>0</v>
      </c>
      <c r="FB88" s="9">
        <f>DD88*'MASTER SHEET'!D88</f>
        <v>0</v>
      </c>
      <c r="FC88" s="9">
        <f>DH88*'MASTER SHEET'!D88</f>
        <v>0</v>
      </c>
      <c r="FD88" s="9">
        <f>DL88*'MASTER SHEET'!D88</f>
        <v>0</v>
      </c>
      <c r="FE88" s="9">
        <f>DP88*'MASTER SHEET'!D88</f>
        <v>0</v>
      </c>
      <c r="FF88" s="9">
        <f>DT88*'MASTER SHEET'!D88</f>
        <v>0</v>
      </c>
      <c r="FG88" s="9">
        <f>+DX88*'MASTER SHEET'!D88</f>
        <v>0</v>
      </c>
    </row>
    <row r="89" spans="1:163" ht="20.25" customHeight="1" x14ac:dyDescent="0.25">
      <c r="A89" s="25">
        <f>'MASTER SHEET'!A89</f>
        <v>87</v>
      </c>
      <c r="B89" s="26" t="str">
        <f>'MASTER SHEET'!B89</f>
        <v>SHELL PLASTIC</v>
      </c>
      <c r="C89" s="78">
        <f>'MASTER SHEET'!C89</f>
        <v>5043828</v>
      </c>
      <c r="D89" s="159">
        <v>0</v>
      </c>
      <c r="E89" s="28">
        <f>PRODUCTION!F89+'SUPLIER INWARD'!F89</f>
        <v>0</v>
      </c>
      <c r="F89" s="28"/>
      <c r="G89" s="29">
        <v>0</v>
      </c>
      <c r="H89" s="30">
        <f t="shared" si="93"/>
        <v>0</v>
      </c>
      <c r="I89" s="28">
        <f>PRODUCTION!J89+'SUPLIER INWARD'!J89</f>
        <v>0</v>
      </c>
      <c r="J89" s="28"/>
      <c r="K89" s="29">
        <v>0</v>
      </c>
      <c r="L89" s="30">
        <f t="shared" si="94"/>
        <v>0</v>
      </c>
      <c r="M89" s="28">
        <f>PRODUCTION!N89+'SUPLIER INWARD'!N89</f>
        <v>0</v>
      </c>
      <c r="N89" s="28"/>
      <c r="O89" s="29"/>
      <c r="P89" s="30">
        <f t="shared" si="95"/>
        <v>0</v>
      </c>
      <c r="Q89" s="28">
        <f>PRODUCTION!R89+'SUPLIER INWARD'!R89</f>
        <v>0</v>
      </c>
      <c r="R89" s="28"/>
      <c r="S89" s="29">
        <v>0</v>
      </c>
      <c r="T89" s="30">
        <f t="shared" si="96"/>
        <v>0</v>
      </c>
      <c r="U89" s="28">
        <f>PRODUCTION!V89+'SUPLIER INWARD'!V89</f>
        <v>0</v>
      </c>
      <c r="V89" s="28"/>
      <c r="W89" s="29">
        <v>0</v>
      </c>
      <c r="X89" s="30">
        <f t="shared" si="97"/>
        <v>0</v>
      </c>
      <c r="Y89" s="28">
        <f>PRODUCTION!Z89+'SUPLIER INWARD'!Z89</f>
        <v>0</v>
      </c>
      <c r="Z89" s="28"/>
      <c r="AA89" s="29">
        <v>0</v>
      </c>
      <c r="AB89" s="30">
        <f t="shared" si="98"/>
        <v>0</v>
      </c>
      <c r="AC89" s="28">
        <f>PRODUCTION!AD89+'SUPLIER INWARD'!AD89</f>
        <v>0</v>
      </c>
      <c r="AD89" s="28"/>
      <c r="AE89" s="29">
        <v>0</v>
      </c>
      <c r="AF89" s="30">
        <f t="shared" si="99"/>
        <v>0</v>
      </c>
      <c r="AG89" s="28">
        <f>PRODUCTION!AH89+'SUPLIER INWARD'!AH89</f>
        <v>0</v>
      </c>
      <c r="AH89" s="28"/>
      <c r="AI89" s="29">
        <v>0</v>
      </c>
      <c r="AJ89" s="30">
        <f t="shared" si="100"/>
        <v>0</v>
      </c>
      <c r="AK89" s="28">
        <f>PRODUCTION!AL89+'SUPLIER INWARD'!AL89</f>
        <v>0</v>
      </c>
      <c r="AL89" s="28"/>
      <c r="AM89" s="29">
        <v>0</v>
      </c>
      <c r="AN89" s="30">
        <f t="shared" si="101"/>
        <v>0</v>
      </c>
      <c r="AO89" s="28">
        <f>PRODUCTION!AP89+'SUPLIER INWARD'!AP89</f>
        <v>0</v>
      </c>
      <c r="AP89" s="28"/>
      <c r="AQ89" s="29">
        <v>0</v>
      </c>
      <c r="AR89" s="30">
        <f t="shared" si="102"/>
        <v>0</v>
      </c>
      <c r="AS89" s="28">
        <f>PRODUCTION!AT89+'SUPLIER INWARD'!AT89</f>
        <v>0</v>
      </c>
      <c r="AT89" s="28"/>
      <c r="AU89" s="29">
        <v>0</v>
      </c>
      <c r="AV89" s="30">
        <f t="shared" si="103"/>
        <v>0</v>
      </c>
      <c r="AW89" s="28">
        <f>PRODUCTION!AX89+'SUPLIER INWARD'!AX89</f>
        <v>0</v>
      </c>
      <c r="AX89" s="28"/>
      <c r="AY89" s="29"/>
      <c r="AZ89" s="30">
        <f t="shared" si="104"/>
        <v>0</v>
      </c>
      <c r="BA89" s="28">
        <f>PRODUCTION!BB89+'SUPLIER INWARD'!BB89</f>
        <v>0</v>
      </c>
      <c r="BB89" s="28"/>
      <c r="BC89" s="29">
        <v>0</v>
      </c>
      <c r="BD89" s="30">
        <f t="shared" si="105"/>
        <v>0</v>
      </c>
      <c r="BE89" s="28">
        <f>PRODUCTION!BF89+'SUPLIER INWARD'!BF89</f>
        <v>0</v>
      </c>
      <c r="BF89" s="28"/>
      <c r="BG89" s="29">
        <v>0</v>
      </c>
      <c r="BH89" s="30">
        <f t="shared" si="106"/>
        <v>0</v>
      </c>
      <c r="BI89" s="28">
        <f>PRODUCTION!BJ89+'SUPLIER INWARD'!BJ89</f>
        <v>0</v>
      </c>
      <c r="BJ89" s="28"/>
      <c r="BK89" s="29">
        <v>0</v>
      </c>
      <c r="BL89" s="30">
        <f t="shared" si="107"/>
        <v>0</v>
      </c>
      <c r="BM89" s="28">
        <f>PRODUCTION!BN89+'SUPLIER INWARD'!BN89</f>
        <v>0</v>
      </c>
      <c r="BN89" s="28"/>
      <c r="BO89" s="29">
        <v>0</v>
      </c>
      <c r="BP89" s="30">
        <f t="shared" si="108"/>
        <v>0</v>
      </c>
      <c r="BQ89" s="28">
        <f>PRODUCTION!BR89+'SUPLIER INWARD'!BR89</f>
        <v>0</v>
      </c>
      <c r="BR89" s="28"/>
      <c r="BS89" s="29">
        <v>0</v>
      </c>
      <c r="BT89" s="30">
        <f t="shared" si="109"/>
        <v>0</v>
      </c>
      <c r="BU89" s="28">
        <f>PRODUCTION!BV89+'SUPLIER INWARD'!BV89</f>
        <v>0</v>
      </c>
      <c r="BV89" s="28"/>
      <c r="BW89" s="29">
        <v>0</v>
      </c>
      <c r="BX89" s="30">
        <f t="shared" si="110"/>
        <v>0</v>
      </c>
      <c r="BY89" s="28">
        <f>PRODUCTION!BZ89+'SUPLIER INWARD'!BZ89</f>
        <v>0</v>
      </c>
      <c r="BZ89" s="28"/>
      <c r="CA89" s="29">
        <v>0</v>
      </c>
      <c r="CB89" s="30">
        <f t="shared" si="111"/>
        <v>0</v>
      </c>
      <c r="CC89" s="28">
        <f>PRODUCTION!CD89+'SUPLIER INWARD'!CD89</f>
        <v>0</v>
      </c>
      <c r="CD89" s="28"/>
      <c r="CE89" s="29">
        <v>0</v>
      </c>
      <c r="CF89" s="30">
        <f t="shared" si="112"/>
        <v>0</v>
      </c>
      <c r="CG89" s="28">
        <f>PRODUCTION!CH89+'SUPLIER INWARD'!CH89</f>
        <v>0</v>
      </c>
      <c r="CH89" s="28"/>
      <c r="CI89" s="29">
        <v>0</v>
      </c>
      <c r="CJ89" s="30">
        <f t="shared" si="113"/>
        <v>0</v>
      </c>
      <c r="CK89" s="28">
        <f>PRODUCTION!CL89+'SUPLIER INWARD'!CL89</f>
        <v>0</v>
      </c>
      <c r="CL89" s="151"/>
      <c r="CM89" s="152">
        <v>0</v>
      </c>
      <c r="CN89" s="30">
        <f t="shared" si="114"/>
        <v>0</v>
      </c>
      <c r="CO89" s="28">
        <f>PRODUCTION!CP89+'SUPLIER INWARD'!CP89</f>
        <v>0</v>
      </c>
      <c r="CP89" s="151"/>
      <c r="CQ89" s="29">
        <v>0</v>
      </c>
      <c r="CR89" s="30">
        <f t="shared" si="115"/>
        <v>0</v>
      </c>
      <c r="CS89" s="28">
        <f>PRODUCTION!CT89+'SUPLIER INWARD'!CT89</f>
        <v>0</v>
      </c>
      <c r="CT89" s="28"/>
      <c r="CU89" s="29">
        <v>0</v>
      </c>
      <c r="CV89" s="30">
        <f t="shared" si="116"/>
        <v>0</v>
      </c>
      <c r="CW89" s="28">
        <f>PRODUCTION!CX89+'SUPLIER INWARD'!CX89</f>
        <v>0</v>
      </c>
      <c r="CX89" s="28"/>
      <c r="CY89" s="29">
        <v>0</v>
      </c>
      <c r="CZ89" s="30">
        <f t="shared" si="117"/>
        <v>0</v>
      </c>
      <c r="DA89" s="28">
        <f>PRODUCTION!DB89+'SUPLIER INWARD'!DB89</f>
        <v>0</v>
      </c>
      <c r="DB89" s="28"/>
      <c r="DC89" s="29"/>
      <c r="DD89" s="30">
        <f t="shared" si="118"/>
        <v>0</v>
      </c>
      <c r="DE89" s="28">
        <f>PRODUCTION!DF89+'SUPLIER INWARD'!DF89</f>
        <v>0</v>
      </c>
      <c r="DF89" s="28"/>
      <c r="DG89" s="29">
        <v>0</v>
      </c>
      <c r="DH89" s="30">
        <f t="shared" si="119"/>
        <v>0</v>
      </c>
      <c r="DI89" s="28">
        <f>PRODUCTION!DJ89+'SUPLIER INWARD'!DJ89</f>
        <v>0</v>
      </c>
      <c r="DJ89" s="28"/>
      <c r="DK89" s="29">
        <v>0</v>
      </c>
      <c r="DL89" s="30">
        <f t="shared" si="120"/>
        <v>0</v>
      </c>
      <c r="DM89" s="28">
        <f>PRODUCTION!DN89+'SUPLIER INWARD'!DN89</f>
        <v>0</v>
      </c>
      <c r="DN89" s="28"/>
      <c r="DO89" s="29"/>
      <c r="DP89" s="30">
        <f t="shared" si="121"/>
        <v>0</v>
      </c>
      <c r="DQ89" s="28">
        <f>PRODUCTION!DR89+'SUPLIER INWARD'!DR89</f>
        <v>0</v>
      </c>
      <c r="DR89" s="28"/>
      <c r="DS89" s="29"/>
      <c r="DT89" s="30">
        <f t="shared" si="122"/>
        <v>0</v>
      </c>
      <c r="DU89" s="28">
        <f>PRODUCTION!DV89+'SUPLIER INWARD'!DV89</f>
        <v>0</v>
      </c>
      <c r="DV89" s="28"/>
      <c r="DW89" s="29"/>
      <c r="DX89" s="30">
        <f t="shared" si="123"/>
        <v>0</v>
      </c>
      <c r="DY89" s="31">
        <f t="shared" si="124"/>
        <v>0</v>
      </c>
      <c r="DZ89" s="31">
        <f t="shared" si="125"/>
        <v>0</v>
      </c>
      <c r="EA89" s="4">
        <f t="shared" si="126"/>
        <v>0</v>
      </c>
      <c r="EB89" s="9">
        <f>D89*'MASTER SHEET'!D89</f>
        <v>0</v>
      </c>
      <c r="EC89" s="9">
        <f>H89*'MASTER SHEET'!D89</f>
        <v>0</v>
      </c>
      <c r="ED89" s="9">
        <f>L89*'MASTER SHEET'!D89</f>
        <v>0</v>
      </c>
      <c r="EE89" s="9">
        <f>P89*'MASTER SHEET'!D89</f>
        <v>0</v>
      </c>
      <c r="EF89" s="9">
        <f>T89*'MASTER SHEET'!D89</f>
        <v>0</v>
      </c>
      <c r="EG89" s="9">
        <f>X89*'MASTER SHEET'!D89</f>
        <v>0</v>
      </c>
      <c r="EH89" s="9">
        <f>AB89*'MASTER SHEET'!D89</f>
        <v>0</v>
      </c>
      <c r="EI89" s="9">
        <f>AF89*'MASTER SHEET'!D89</f>
        <v>0</v>
      </c>
      <c r="EJ89" s="9">
        <f>AJ89*'MASTER SHEET'!D89</f>
        <v>0</v>
      </c>
      <c r="EK89" s="9">
        <f>AN89*'MASTER SHEET'!D89</f>
        <v>0</v>
      </c>
      <c r="EL89" s="9">
        <f>AR89*'MASTER SHEET'!D89</f>
        <v>0</v>
      </c>
      <c r="EM89" s="9">
        <f>AV89*'MASTER SHEET'!D89</f>
        <v>0</v>
      </c>
      <c r="EN89" s="9">
        <f>AZ89*'MASTER SHEET'!D89</f>
        <v>0</v>
      </c>
      <c r="EO89" s="9">
        <f>BD89*'MASTER SHEET'!D89</f>
        <v>0</v>
      </c>
      <c r="EP89" s="9">
        <f>$BH89*'MASTER SHEET'!$D89</f>
        <v>0</v>
      </c>
      <c r="EQ89" s="9">
        <f>BL89*'MASTER SHEET'!D89</f>
        <v>0</v>
      </c>
      <c r="ER89" s="9">
        <f>BP89*'MASTER SHEET'!D89</f>
        <v>0</v>
      </c>
      <c r="ES89" s="9">
        <f>BT89*'MASTER SHEET'!D89</f>
        <v>0</v>
      </c>
      <c r="ET89" s="9">
        <f>BX89*'MASTER SHEET'!D89</f>
        <v>0</v>
      </c>
      <c r="EU89" s="9">
        <f>CB89*'MASTER SHEET'!D89</f>
        <v>0</v>
      </c>
      <c r="EV89" s="9">
        <f>CF89*'MASTER SHEET'!D89</f>
        <v>0</v>
      </c>
      <c r="EW89" s="9">
        <f>CJ89*'MASTER SHEET'!D89</f>
        <v>0</v>
      </c>
      <c r="EX89" s="9">
        <f>CN89*'MASTER SHEET'!D89</f>
        <v>0</v>
      </c>
      <c r="EY89" s="9">
        <f>CR89*'MASTER SHEET'!D89</f>
        <v>0</v>
      </c>
      <c r="EZ89" s="9">
        <f>$CV89*'MASTER SHEET'!D89</f>
        <v>0</v>
      </c>
      <c r="FA89" s="9">
        <f>CZ89*'MASTER SHEET'!D89</f>
        <v>0</v>
      </c>
      <c r="FB89" s="9">
        <f>DD89*'MASTER SHEET'!D89</f>
        <v>0</v>
      </c>
      <c r="FC89" s="9">
        <f>DH89*'MASTER SHEET'!D89</f>
        <v>0</v>
      </c>
      <c r="FD89" s="9">
        <f>DL89*'MASTER SHEET'!D89</f>
        <v>0</v>
      </c>
      <c r="FE89" s="9">
        <f>DP89*'MASTER SHEET'!D89</f>
        <v>0</v>
      </c>
      <c r="FF89" s="9">
        <f>DT89*'MASTER SHEET'!D89</f>
        <v>0</v>
      </c>
      <c r="FG89" s="9">
        <f>+DX89*'MASTER SHEET'!D89</f>
        <v>0</v>
      </c>
    </row>
    <row r="90" spans="1:163" ht="20.25" customHeight="1" x14ac:dyDescent="0.25">
      <c r="A90" s="25">
        <f>'MASTER SHEET'!A90</f>
        <v>88</v>
      </c>
      <c r="B90" s="26" t="str">
        <f>'MASTER SHEET'!B90</f>
        <v>PRECLEANER</v>
      </c>
      <c r="C90" s="78">
        <f>'MASTER SHEET'!C90</f>
        <v>5012394</v>
      </c>
      <c r="D90" s="163">
        <f>300+318+300</f>
        <v>918</v>
      </c>
      <c r="E90" s="28">
        <f>PRODUCTION!F90+'SUPLIER INWARD'!F90</f>
        <v>0</v>
      </c>
      <c r="F90" s="28"/>
      <c r="G90" s="29">
        <v>0</v>
      </c>
      <c r="H90" s="30">
        <f t="shared" si="93"/>
        <v>918</v>
      </c>
      <c r="I90" s="28">
        <f>PRODUCTION!J90+'SUPLIER INWARD'!J90</f>
        <v>0</v>
      </c>
      <c r="J90" s="28">
        <v>200</v>
      </c>
      <c r="K90" s="29">
        <v>2</v>
      </c>
      <c r="L90" s="30">
        <f t="shared" si="94"/>
        <v>716</v>
      </c>
      <c r="M90" s="28">
        <f>PRODUCTION!N90+'SUPLIER INWARD'!N90</f>
        <v>0</v>
      </c>
      <c r="N90" s="28"/>
      <c r="O90" s="29"/>
      <c r="P90" s="30">
        <f t="shared" si="95"/>
        <v>716</v>
      </c>
      <c r="Q90" s="28">
        <f>PRODUCTION!R90+'SUPLIER INWARD'!R90</f>
        <v>0</v>
      </c>
      <c r="R90" s="28">
        <v>70</v>
      </c>
      <c r="S90" s="29">
        <v>7</v>
      </c>
      <c r="T90" s="30">
        <f t="shared" si="96"/>
        <v>639</v>
      </c>
      <c r="U90" s="28">
        <f>PRODUCTION!V90+'SUPLIER INWARD'!V90</f>
        <v>0</v>
      </c>
      <c r="V90" s="28"/>
      <c r="W90" s="29">
        <v>0</v>
      </c>
      <c r="X90" s="30">
        <f t="shared" si="97"/>
        <v>639</v>
      </c>
      <c r="Y90" s="28">
        <f>PRODUCTION!Z90+'SUPLIER INWARD'!Z90</f>
        <v>0</v>
      </c>
      <c r="Z90" s="28">
        <v>110</v>
      </c>
      <c r="AA90" s="29">
        <v>0</v>
      </c>
      <c r="AB90" s="30">
        <f t="shared" si="98"/>
        <v>529</v>
      </c>
      <c r="AC90" s="28">
        <f>PRODUCTION!AD90+'SUPLIER INWARD'!AD90</f>
        <v>0</v>
      </c>
      <c r="AD90" s="28"/>
      <c r="AE90" s="29">
        <v>0</v>
      </c>
      <c r="AF90" s="30">
        <f t="shared" si="99"/>
        <v>529</v>
      </c>
      <c r="AG90" s="28">
        <f>PRODUCTION!AH90+'SUPLIER INWARD'!AH90</f>
        <v>0</v>
      </c>
      <c r="AH90" s="28">
        <v>60</v>
      </c>
      <c r="AI90" s="29">
        <v>1</v>
      </c>
      <c r="AJ90" s="30">
        <f t="shared" si="100"/>
        <v>468</v>
      </c>
      <c r="AK90" s="28">
        <f>PRODUCTION!AL90+'SUPLIER INWARD'!AL90</f>
        <v>0</v>
      </c>
      <c r="AL90" s="28"/>
      <c r="AM90" s="29">
        <v>0</v>
      </c>
      <c r="AN90" s="30">
        <f t="shared" si="101"/>
        <v>468</v>
      </c>
      <c r="AO90" s="28">
        <f>PRODUCTION!AP90+'SUPLIER INWARD'!AP90</f>
        <v>367</v>
      </c>
      <c r="AP90" s="28"/>
      <c r="AQ90" s="29">
        <v>0</v>
      </c>
      <c r="AR90" s="30">
        <f t="shared" si="102"/>
        <v>835</v>
      </c>
      <c r="AS90" s="28">
        <f>PRODUCTION!AT90+'SUPLIER INWARD'!AT90</f>
        <v>629</v>
      </c>
      <c r="AT90" s="28">
        <v>350</v>
      </c>
      <c r="AU90" s="29">
        <v>0</v>
      </c>
      <c r="AV90" s="30">
        <f t="shared" si="103"/>
        <v>1114</v>
      </c>
      <c r="AW90" s="28">
        <f>PRODUCTION!AX90+'SUPLIER INWARD'!AX90</f>
        <v>0</v>
      </c>
      <c r="AX90" s="28"/>
      <c r="AY90" s="29"/>
      <c r="AZ90" s="30">
        <f t="shared" si="104"/>
        <v>1114</v>
      </c>
      <c r="BA90" s="28">
        <f>PRODUCTION!BB90+'SUPLIER INWARD'!BB90</f>
        <v>630</v>
      </c>
      <c r="BB90" s="28"/>
      <c r="BC90" s="29">
        <v>0</v>
      </c>
      <c r="BD90" s="30">
        <f t="shared" si="105"/>
        <v>1744</v>
      </c>
      <c r="BE90" s="28">
        <f>PRODUCTION!BF90+'SUPLIER INWARD'!BF90</f>
        <v>492</v>
      </c>
      <c r="BF90" s="28">
        <v>400</v>
      </c>
      <c r="BG90" s="29">
        <v>2</v>
      </c>
      <c r="BH90" s="30">
        <f t="shared" si="106"/>
        <v>1834</v>
      </c>
      <c r="BI90" s="28">
        <f>PRODUCTION!BJ90+'SUPLIER INWARD'!BJ90</f>
        <v>475</v>
      </c>
      <c r="BJ90" s="28">
        <v>150</v>
      </c>
      <c r="BK90" s="29">
        <v>0</v>
      </c>
      <c r="BL90" s="30">
        <f t="shared" si="107"/>
        <v>2159</v>
      </c>
      <c r="BM90" s="28">
        <f>PRODUCTION!BN90+'SUPLIER INWARD'!BN90</f>
        <v>0</v>
      </c>
      <c r="BN90" s="28">
        <v>300</v>
      </c>
      <c r="BO90" s="29">
        <v>2</v>
      </c>
      <c r="BP90" s="30">
        <f t="shared" si="108"/>
        <v>1857</v>
      </c>
      <c r="BQ90" s="28">
        <f>PRODUCTION!BR90+'SUPLIER INWARD'!BR90</f>
        <v>0</v>
      </c>
      <c r="BR90" s="28"/>
      <c r="BS90" s="29">
        <v>0</v>
      </c>
      <c r="BT90" s="30">
        <f t="shared" si="109"/>
        <v>1857</v>
      </c>
      <c r="BU90" s="28">
        <f>PRODUCTION!BV90+'SUPLIER INWARD'!BV90</f>
        <v>0</v>
      </c>
      <c r="BV90" s="28">
        <v>300</v>
      </c>
      <c r="BW90" s="29">
        <v>0</v>
      </c>
      <c r="BX90" s="30">
        <f t="shared" si="110"/>
        <v>1557</v>
      </c>
      <c r="BY90" s="28">
        <f>PRODUCTION!BZ90+'SUPLIER INWARD'!BZ90</f>
        <v>0</v>
      </c>
      <c r="BZ90" s="28"/>
      <c r="CA90" s="29">
        <v>0</v>
      </c>
      <c r="CB90" s="30">
        <f t="shared" si="111"/>
        <v>1557</v>
      </c>
      <c r="CC90" s="28">
        <f>PRODUCTION!CD90+'SUPLIER INWARD'!CD90</f>
        <v>0</v>
      </c>
      <c r="CD90" s="28">
        <v>130</v>
      </c>
      <c r="CE90" s="29">
        <v>0</v>
      </c>
      <c r="CF90" s="30">
        <f t="shared" si="112"/>
        <v>1427</v>
      </c>
      <c r="CG90" s="28">
        <f>PRODUCTION!CH90+'SUPLIER INWARD'!CH90</f>
        <v>0</v>
      </c>
      <c r="CH90" s="28">
        <v>500</v>
      </c>
      <c r="CI90" s="29">
        <v>4</v>
      </c>
      <c r="CJ90" s="30">
        <f t="shared" si="113"/>
        <v>923</v>
      </c>
      <c r="CK90" s="28">
        <f>PRODUCTION!CL90+'SUPLIER INWARD'!CL90</f>
        <v>0</v>
      </c>
      <c r="CL90" s="151">
        <v>280</v>
      </c>
      <c r="CM90" s="152">
        <v>1</v>
      </c>
      <c r="CN90" s="30">
        <f t="shared" si="114"/>
        <v>642</v>
      </c>
      <c r="CO90" s="28">
        <f>PRODUCTION!CP90+'SUPLIER INWARD'!CP90</f>
        <v>0</v>
      </c>
      <c r="CP90" s="151"/>
      <c r="CQ90" s="29">
        <v>0</v>
      </c>
      <c r="CR90" s="30">
        <f t="shared" si="115"/>
        <v>642</v>
      </c>
      <c r="CS90" s="28">
        <f>PRODUCTION!CT90+'SUPLIER INWARD'!CT90</f>
        <v>0</v>
      </c>
      <c r="CT90" s="28">
        <v>300</v>
      </c>
      <c r="CU90" s="29">
        <v>0</v>
      </c>
      <c r="CV90" s="30">
        <f t="shared" si="116"/>
        <v>342</v>
      </c>
      <c r="CW90" s="28">
        <f>PRODUCTION!CX90+'SUPLIER INWARD'!CX90</f>
        <v>0</v>
      </c>
      <c r="CX90" s="28">
        <v>200</v>
      </c>
      <c r="CY90" s="29">
        <v>4</v>
      </c>
      <c r="CZ90" s="30">
        <f t="shared" si="117"/>
        <v>138</v>
      </c>
      <c r="DA90" s="28">
        <f>PRODUCTION!DB90+'SUPLIER INWARD'!DB90</f>
        <v>0</v>
      </c>
      <c r="DB90" s="28"/>
      <c r="DC90" s="29"/>
      <c r="DD90" s="30">
        <f t="shared" si="118"/>
        <v>138</v>
      </c>
      <c r="DE90" s="28">
        <f>PRODUCTION!DF90+'SUPLIER INWARD'!DF90</f>
        <v>0</v>
      </c>
      <c r="DF90" s="28">
        <v>100</v>
      </c>
      <c r="DG90" s="29">
        <v>2</v>
      </c>
      <c r="DH90" s="30">
        <f t="shared" si="119"/>
        <v>36</v>
      </c>
      <c r="DI90" s="28">
        <f>PRODUCTION!DJ90+'SUPLIER INWARD'!DJ90</f>
        <v>0</v>
      </c>
      <c r="DJ90" s="28"/>
      <c r="DK90" s="29">
        <v>0</v>
      </c>
      <c r="DL90" s="30">
        <f t="shared" si="120"/>
        <v>36</v>
      </c>
      <c r="DM90" s="28">
        <f>PRODUCTION!DN90+'SUPLIER INWARD'!DN90</f>
        <v>0</v>
      </c>
      <c r="DN90" s="28"/>
      <c r="DO90" s="29"/>
      <c r="DP90" s="30">
        <f t="shared" si="121"/>
        <v>36</v>
      </c>
      <c r="DQ90" s="28">
        <f>PRODUCTION!DR90+'SUPLIER INWARD'!DR90</f>
        <v>0</v>
      </c>
      <c r="DR90" s="28"/>
      <c r="DS90" s="29"/>
      <c r="DT90" s="30">
        <f t="shared" si="122"/>
        <v>36</v>
      </c>
      <c r="DU90" s="28">
        <f>PRODUCTION!DV90+'SUPLIER INWARD'!DV90</f>
        <v>0</v>
      </c>
      <c r="DV90" s="28"/>
      <c r="DW90" s="29"/>
      <c r="DX90" s="30">
        <f t="shared" si="123"/>
        <v>36</v>
      </c>
      <c r="DY90" s="31">
        <f t="shared" si="124"/>
        <v>2593</v>
      </c>
      <c r="DZ90" s="31">
        <f t="shared" si="125"/>
        <v>3450</v>
      </c>
      <c r="EA90" s="4">
        <f t="shared" si="126"/>
        <v>25</v>
      </c>
      <c r="EB90" s="9">
        <f>D90*'MASTER SHEET'!D90</f>
        <v>138149.82</v>
      </c>
      <c r="EC90" s="9">
        <f>H90*'MASTER SHEET'!D90</f>
        <v>138149.82</v>
      </c>
      <c r="ED90" s="9">
        <f>L90*'MASTER SHEET'!D90</f>
        <v>107750.84000000001</v>
      </c>
      <c r="EE90" s="9">
        <f>P90*'MASTER SHEET'!D90</f>
        <v>107750.84000000001</v>
      </c>
      <c r="EF90" s="9">
        <f>T90*'MASTER SHEET'!D90</f>
        <v>96163.11</v>
      </c>
      <c r="EG90" s="9">
        <f>X90*'MASTER SHEET'!D90</f>
        <v>96163.11</v>
      </c>
      <c r="EH90" s="9">
        <f>AB90*'MASTER SHEET'!D90</f>
        <v>79609.210000000006</v>
      </c>
      <c r="EI90" s="9">
        <f>AF90*'MASTER SHEET'!D90</f>
        <v>79609.210000000006</v>
      </c>
      <c r="EJ90" s="9">
        <f>AJ90*'MASTER SHEET'!D90</f>
        <v>70429.320000000007</v>
      </c>
      <c r="EK90" s="9">
        <f>AN90*'MASTER SHEET'!D90</f>
        <v>70429.320000000007</v>
      </c>
      <c r="EL90" s="9">
        <f>AR90*'MASTER SHEET'!D90</f>
        <v>125659.15000000001</v>
      </c>
      <c r="EM90" s="9">
        <f>AV90*'MASTER SHEET'!D90</f>
        <v>167645.86000000002</v>
      </c>
      <c r="EN90" s="9">
        <f>AZ90*'MASTER SHEET'!D90</f>
        <v>167645.86000000002</v>
      </c>
      <c r="EO90" s="9">
        <f>BD90*'MASTER SHEET'!D90</f>
        <v>262454.56</v>
      </c>
      <c r="EP90" s="9">
        <f>$BH90*'MASTER SHEET'!$D90</f>
        <v>275998.66000000003</v>
      </c>
      <c r="EQ90" s="9">
        <f>BL90*'MASTER SHEET'!D90</f>
        <v>324907.91000000003</v>
      </c>
      <c r="ER90" s="9">
        <f>BP90*'MASTER SHEET'!D90</f>
        <v>279459.93</v>
      </c>
      <c r="ES90" s="9">
        <f>BT90*'MASTER SHEET'!D90</f>
        <v>279459.93</v>
      </c>
      <c r="ET90" s="9">
        <f>BX90*'MASTER SHEET'!D90</f>
        <v>234312.93000000002</v>
      </c>
      <c r="EU90" s="9">
        <f>CB90*'MASTER SHEET'!D90</f>
        <v>234312.93000000002</v>
      </c>
      <c r="EV90" s="9">
        <f>CF90*'MASTER SHEET'!D90</f>
        <v>214749.23</v>
      </c>
      <c r="EW90" s="9">
        <f>CJ90*'MASTER SHEET'!D90</f>
        <v>138902.27000000002</v>
      </c>
      <c r="EX90" s="9">
        <f>CN90*'MASTER SHEET'!D90</f>
        <v>96614.58</v>
      </c>
      <c r="EY90" s="9">
        <f>CR90*'MASTER SHEET'!D90</f>
        <v>96614.58</v>
      </c>
      <c r="EZ90" s="9">
        <f>$CV90*'MASTER SHEET'!D90</f>
        <v>51467.58</v>
      </c>
      <c r="FA90" s="9">
        <f>CZ90*'MASTER SHEET'!D90</f>
        <v>20767.620000000003</v>
      </c>
      <c r="FB90" s="9">
        <f>DD90*'MASTER SHEET'!D90</f>
        <v>20767.620000000003</v>
      </c>
      <c r="FC90" s="9">
        <f>DH90*'MASTER SHEET'!D90</f>
        <v>5417.64</v>
      </c>
      <c r="FD90" s="9">
        <f>DL90*'MASTER SHEET'!D90</f>
        <v>5417.64</v>
      </c>
      <c r="FE90" s="9">
        <f>DP90*'MASTER SHEET'!D90</f>
        <v>5417.64</v>
      </c>
      <c r="FF90" s="9">
        <f>DT90*'MASTER SHEET'!D90</f>
        <v>5417.64</v>
      </c>
      <c r="FG90" s="9">
        <f>+DX90*'MASTER SHEET'!D90</f>
        <v>5417.64</v>
      </c>
    </row>
    <row r="91" spans="1:163" ht="20.25" customHeight="1" x14ac:dyDescent="0.25">
      <c r="A91" s="25">
        <f>'MASTER SHEET'!A91</f>
        <v>89</v>
      </c>
      <c r="B91" s="26" t="str">
        <f>'MASTER SHEET'!B91</f>
        <v>TOP COVER</v>
      </c>
      <c r="C91" s="78">
        <f>'MASTER SHEET'!C91</f>
        <v>5036677</v>
      </c>
      <c r="D91" s="159">
        <f>150+33</f>
        <v>183</v>
      </c>
      <c r="E91" s="28">
        <f>PRODUCTION!F91+'SUPLIER INWARD'!F91</f>
        <v>765</v>
      </c>
      <c r="F91" s="28"/>
      <c r="G91" s="29">
        <v>0</v>
      </c>
      <c r="H91" s="30">
        <f t="shared" si="93"/>
        <v>948</v>
      </c>
      <c r="I91" s="28">
        <f>PRODUCTION!J91+'SUPLIER INWARD'!J91</f>
        <v>0</v>
      </c>
      <c r="J91" s="28">
        <v>480</v>
      </c>
      <c r="K91" s="29">
        <v>0</v>
      </c>
      <c r="L91" s="30">
        <f t="shared" si="94"/>
        <v>468</v>
      </c>
      <c r="M91" s="28">
        <f>PRODUCTION!N91+'SUPLIER INWARD'!N91</f>
        <v>0</v>
      </c>
      <c r="N91" s="28"/>
      <c r="O91" s="29"/>
      <c r="P91" s="30">
        <f t="shared" si="95"/>
        <v>468</v>
      </c>
      <c r="Q91" s="28">
        <f>PRODUCTION!R91+'SUPLIER INWARD'!R91</f>
        <v>0</v>
      </c>
      <c r="R91" s="28">
        <v>420</v>
      </c>
      <c r="S91" s="29">
        <v>0</v>
      </c>
      <c r="T91" s="30">
        <f t="shared" si="96"/>
        <v>48</v>
      </c>
      <c r="U91" s="28">
        <f>PRODUCTION!V91+'SUPLIER INWARD'!V91</f>
        <v>161</v>
      </c>
      <c r="V91" s="28"/>
      <c r="W91" s="29">
        <v>0</v>
      </c>
      <c r="X91" s="30">
        <f t="shared" si="97"/>
        <v>209</v>
      </c>
      <c r="Y91" s="28">
        <f>PRODUCTION!Z91+'SUPLIER INWARD'!Z91</f>
        <v>162</v>
      </c>
      <c r="Z91" s="28"/>
      <c r="AA91" s="29">
        <v>0</v>
      </c>
      <c r="AB91" s="30">
        <f t="shared" si="98"/>
        <v>371</v>
      </c>
      <c r="AC91" s="28">
        <f>PRODUCTION!AD91+'SUPLIER INWARD'!AD91</f>
        <v>707</v>
      </c>
      <c r="AD91" s="28"/>
      <c r="AE91" s="29">
        <v>0</v>
      </c>
      <c r="AF91" s="147">
        <f t="shared" si="99"/>
        <v>1078</v>
      </c>
      <c r="AG91" s="28">
        <f>PRODUCTION!AH91+'SUPLIER INWARD'!AH91</f>
        <v>551</v>
      </c>
      <c r="AH91" s="28">
        <v>144</v>
      </c>
      <c r="AI91" s="29">
        <v>0</v>
      </c>
      <c r="AJ91" s="30">
        <f t="shared" si="100"/>
        <v>1485</v>
      </c>
      <c r="AK91" s="28">
        <f>PRODUCTION!AL91+'SUPLIER INWARD'!AL91</f>
        <v>137</v>
      </c>
      <c r="AL91" s="28">
        <v>540</v>
      </c>
      <c r="AM91" s="29">
        <v>0</v>
      </c>
      <c r="AN91" s="30">
        <f t="shared" si="101"/>
        <v>1082</v>
      </c>
      <c r="AO91" s="28">
        <f>PRODUCTION!AP91+'SUPLIER INWARD'!AP91</f>
        <v>0</v>
      </c>
      <c r="AP91" s="146">
        <f>84+276</f>
        <v>360</v>
      </c>
      <c r="AQ91" s="29">
        <v>0</v>
      </c>
      <c r="AR91" s="30">
        <f t="shared" si="102"/>
        <v>722</v>
      </c>
      <c r="AS91" s="28">
        <f>PRODUCTION!AT91+'SUPLIER INWARD'!AT91</f>
        <v>0</v>
      </c>
      <c r="AT91" s="28">
        <v>72</v>
      </c>
      <c r="AU91" s="29">
        <v>0</v>
      </c>
      <c r="AV91" s="30">
        <f t="shared" si="103"/>
        <v>650</v>
      </c>
      <c r="AW91" s="28">
        <f>PRODUCTION!AX91+'SUPLIER INWARD'!AX91</f>
        <v>0</v>
      </c>
      <c r="AX91" s="28"/>
      <c r="AY91" s="29"/>
      <c r="AZ91" s="30">
        <f t="shared" si="104"/>
        <v>650</v>
      </c>
      <c r="BA91" s="28">
        <f>PRODUCTION!BB91+'SUPLIER INWARD'!BB91</f>
        <v>0</v>
      </c>
      <c r="BB91" s="28"/>
      <c r="BC91" s="29">
        <v>0</v>
      </c>
      <c r="BD91" s="30">
        <f t="shared" si="105"/>
        <v>650</v>
      </c>
      <c r="BE91" s="28">
        <f>PRODUCTION!BF91+'SUPLIER INWARD'!BF91</f>
        <v>0</v>
      </c>
      <c r="BF91" s="28"/>
      <c r="BG91" s="29">
        <v>0</v>
      </c>
      <c r="BH91" s="30">
        <f t="shared" si="106"/>
        <v>650</v>
      </c>
      <c r="BI91" s="28">
        <f>PRODUCTION!BJ91+'SUPLIER INWARD'!BJ91</f>
        <v>0</v>
      </c>
      <c r="BJ91" s="28"/>
      <c r="BK91" s="29">
        <v>0</v>
      </c>
      <c r="BL91" s="30">
        <f t="shared" si="107"/>
        <v>650</v>
      </c>
      <c r="BM91" s="28">
        <f>PRODUCTION!BN91+'SUPLIER INWARD'!BN91</f>
        <v>742</v>
      </c>
      <c r="BN91" s="151">
        <v>240</v>
      </c>
      <c r="BO91" s="29">
        <v>0</v>
      </c>
      <c r="BP91" s="30">
        <f t="shared" si="108"/>
        <v>1152</v>
      </c>
      <c r="BQ91" s="28">
        <f>PRODUCTION!BR91+'SUPLIER INWARD'!BR91</f>
        <v>639</v>
      </c>
      <c r="BR91" s="28">
        <v>864</v>
      </c>
      <c r="BS91" s="29">
        <v>0</v>
      </c>
      <c r="BT91" s="30">
        <f t="shared" si="109"/>
        <v>927</v>
      </c>
      <c r="BU91" s="28">
        <f>PRODUCTION!BV91+'SUPLIER INWARD'!BV91</f>
        <v>0</v>
      </c>
      <c r="BV91" s="151">
        <v>324</v>
      </c>
      <c r="BW91" s="29">
        <v>0</v>
      </c>
      <c r="BX91" s="30">
        <f t="shared" si="110"/>
        <v>603</v>
      </c>
      <c r="BY91" s="28">
        <f>PRODUCTION!BZ91+'SUPLIER INWARD'!BZ91</f>
        <v>0</v>
      </c>
      <c r="BZ91" s="28"/>
      <c r="CA91" s="29">
        <v>0</v>
      </c>
      <c r="CB91" s="30">
        <f t="shared" si="111"/>
        <v>603</v>
      </c>
      <c r="CC91" s="28">
        <f>PRODUCTION!CD91+'SUPLIER INWARD'!CD91</f>
        <v>0</v>
      </c>
      <c r="CD91" s="28">
        <v>36</v>
      </c>
      <c r="CE91" s="29">
        <v>0</v>
      </c>
      <c r="CF91" s="30">
        <f t="shared" si="112"/>
        <v>567</v>
      </c>
      <c r="CG91" s="28">
        <f>PRODUCTION!CH91+'SUPLIER INWARD'!CH91</f>
        <v>637</v>
      </c>
      <c r="CH91" s="28">
        <v>180</v>
      </c>
      <c r="CI91" s="29">
        <v>0</v>
      </c>
      <c r="CJ91" s="30">
        <f t="shared" si="113"/>
        <v>1024</v>
      </c>
      <c r="CK91" s="28">
        <f>PRODUCTION!CL91+'SUPLIER INWARD'!CL91</f>
        <v>330</v>
      </c>
      <c r="CL91" s="151">
        <v>432</v>
      </c>
      <c r="CM91" s="152">
        <v>0</v>
      </c>
      <c r="CN91" s="30">
        <f t="shared" si="114"/>
        <v>922</v>
      </c>
      <c r="CO91" s="28">
        <f>PRODUCTION!CP91+'SUPLIER INWARD'!CP91</f>
        <v>790</v>
      </c>
      <c r="CP91" s="151">
        <v>648</v>
      </c>
      <c r="CQ91" s="29">
        <v>0</v>
      </c>
      <c r="CR91" s="30">
        <f t="shared" si="115"/>
        <v>1064</v>
      </c>
      <c r="CS91" s="28">
        <f>PRODUCTION!CT91+'SUPLIER INWARD'!CT91</f>
        <v>106</v>
      </c>
      <c r="CT91" s="28">
        <v>588</v>
      </c>
      <c r="CU91" s="29">
        <v>0</v>
      </c>
      <c r="CV91" s="30">
        <f t="shared" si="116"/>
        <v>582</v>
      </c>
      <c r="CW91" s="28">
        <f>PRODUCTION!CX91+'SUPLIER INWARD'!CX91</f>
        <v>0</v>
      </c>
      <c r="CX91" s="28"/>
      <c r="CY91" s="29">
        <v>0</v>
      </c>
      <c r="CZ91" s="30">
        <f t="shared" si="117"/>
        <v>582</v>
      </c>
      <c r="DA91" s="28">
        <f>PRODUCTION!DB91+'SUPLIER INWARD'!DB91</f>
        <v>0</v>
      </c>
      <c r="DB91" s="28"/>
      <c r="DC91" s="29"/>
      <c r="DD91" s="30">
        <f t="shared" si="118"/>
        <v>582</v>
      </c>
      <c r="DE91" s="28">
        <f>PRODUCTION!DF91+'SUPLIER INWARD'!DF91</f>
        <v>0</v>
      </c>
      <c r="DF91" s="28"/>
      <c r="DG91" s="29">
        <v>0</v>
      </c>
      <c r="DH91" s="30">
        <f t="shared" si="119"/>
        <v>582</v>
      </c>
      <c r="DI91" s="28">
        <f>PRODUCTION!DJ91+'SUPLIER INWARD'!DJ91</f>
        <v>0</v>
      </c>
      <c r="DJ91" s="28">
        <v>12</v>
      </c>
      <c r="DK91" s="29">
        <v>0</v>
      </c>
      <c r="DL91" s="30">
        <f t="shared" si="120"/>
        <v>570</v>
      </c>
      <c r="DM91" s="28">
        <f>PRODUCTION!DN91+'SUPLIER INWARD'!DN91</f>
        <v>0</v>
      </c>
      <c r="DN91" s="28"/>
      <c r="DO91" s="29"/>
      <c r="DP91" s="30">
        <f t="shared" si="121"/>
        <v>570</v>
      </c>
      <c r="DQ91" s="28">
        <f>PRODUCTION!DR91+'SUPLIER INWARD'!DR91</f>
        <v>0</v>
      </c>
      <c r="DR91" s="28"/>
      <c r="DS91" s="29"/>
      <c r="DT91" s="30">
        <f t="shared" si="122"/>
        <v>570</v>
      </c>
      <c r="DU91" s="28">
        <f>PRODUCTION!DV91+'SUPLIER INWARD'!DV91</f>
        <v>0</v>
      </c>
      <c r="DV91" s="28"/>
      <c r="DW91" s="29"/>
      <c r="DX91" s="30">
        <f t="shared" si="123"/>
        <v>570</v>
      </c>
      <c r="DY91" s="31">
        <f t="shared" si="124"/>
        <v>5727</v>
      </c>
      <c r="DZ91" s="31">
        <f t="shared" si="125"/>
        <v>5340</v>
      </c>
      <c r="EA91" s="4">
        <f t="shared" si="126"/>
        <v>0</v>
      </c>
      <c r="EB91" s="9">
        <f>D91*'MASTER SHEET'!D91</f>
        <v>24666.57</v>
      </c>
      <c r="EC91" s="9">
        <f>H91*'MASTER SHEET'!D91</f>
        <v>127780.92</v>
      </c>
      <c r="ED91" s="9">
        <f>L91*'MASTER SHEET'!D91</f>
        <v>63081.719999999994</v>
      </c>
      <c r="EE91" s="9">
        <f>P91*'MASTER SHEET'!D91</f>
        <v>63081.719999999994</v>
      </c>
      <c r="EF91" s="9">
        <f>T91*'MASTER SHEET'!D91</f>
        <v>6469.92</v>
      </c>
      <c r="EG91" s="9">
        <f>X91*'MASTER SHEET'!D91</f>
        <v>28171.109999999997</v>
      </c>
      <c r="EH91" s="9">
        <f>AB91*'MASTER SHEET'!D91</f>
        <v>50007.09</v>
      </c>
      <c r="EI91" s="9">
        <f>AF91*'MASTER SHEET'!D91</f>
        <v>145303.62</v>
      </c>
      <c r="EJ91" s="9">
        <f>AJ91*'MASTER SHEET'!D91</f>
        <v>200163.15</v>
      </c>
      <c r="EK91" s="9">
        <f>AN91*'MASTER SHEET'!D91</f>
        <v>145842.78</v>
      </c>
      <c r="EL91" s="9">
        <f>AR91*'MASTER SHEET'!D91</f>
        <v>97318.37999999999</v>
      </c>
      <c r="EM91" s="9">
        <f>AV91*'MASTER SHEET'!D91</f>
        <v>87613.5</v>
      </c>
      <c r="EN91" s="9">
        <f>AZ91*'MASTER SHEET'!D91</f>
        <v>87613.5</v>
      </c>
      <c r="EO91" s="9">
        <f>BD91*'MASTER SHEET'!D91</f>
        <v>87613.5</v>
      </c>
      <c r="EP91" s="9">
        <f>$BH91*'MASTER SHEET'!$D91</f>
        <v>87613.5</v>
      </c>
      <c r="EQ91" s="9">
        <f>BL91*'MASTER SHEET'!D91</f>
        <v>87613.5</v>
      </c>
      <c r="ER91" s="9">
        <f>BP91*'MASTER SHEET'!D91</f>
        <v>155278.07999999999</v>
      </c>
      <c r="ES91" s="9">
        <f>BT91*'MASTER SHEET'!D91</f>
        <v>124950.32999999999</v>
      </c>
      <c r="ET91" s="9">
        <f>BX91*'MASTER SHEET'!D91</f>
        <v>81278.37</v>
      </c>
      <c r="EU91" s="9">
        <f>CB91*'MASTER SHEET'!D91</f>
        <v>81278.37</v>
      </c>
      <c r="EV91" s="9">
        <f>CF91*'MASTER SHEET'!D91</f>
        <v>76425.929999999993</v>
      </c>
      <c r="EW91" s="9">
        <f>CJ91*'MASTER SHEET'!D91</f>
        <v>138024.95999999999</v>
      </c>
      <c r="EX91" s="9">
        <f>CN91*'MASTER SHEET'!D91</f>
        <v>124276.37999999999</v>
      </c>
      <c r="EY91" s="9">
        <f>CR91*'MASTER SHEET'!D91</f>
        <v>143416.56</v>
      </c>
      <c r="EZ91" s="9">
        <f>$CV91*'MASTER SHEET'!D91</f>
        <v>78447.78</v>
      </c>
      <c r="FA91" s="9">
        <f>CZ91*'MASTER SHEET'!D91</f>
        <v>78447.78</v>
      </c>
      <c r="FB91" s="9">
        <f>DD91*'MASTER SHEET'!D91</f>
        <v>78447.78</v>
      </c>
      <c r="FC91" s="9">
        <f>DH91*'MASTER SHEET'!D91</f>
        <v>78447.78</v>
      </c>
      <c r="FD91" s="9">
        <f>DL91*'MASTER SHEET'!D91</f>
        <v>76830.299999999988</v>
      </c>
      <c r="FE91" s="9">
        <f>DP91*'MASTER SHEET'!D91</f>
        <v>76830.299999999988</v>
      </c>
      <c r="FF91" s="9">
        <f>DT91*'MASTER SHEET'!D91</f>
        <v>76830.299999999988</v>
      </c>
      <c r="FG91" s="9">
        <f>+DX91*'MASTER SHEET'!D91</f>
        <v>76830.299999999988</v>
      </c>
    </row>
    <row r="92" spans="1:163" ht="20.25" customHeight="1" x14ac:dyDescent="0.25">
      <c r="A92" s="25">
        <f>'MASTER SHEET'!A92</f>
        <v>90</v>
      </c>
      <c r="B92" s="26" t="str">
        <f>'MASTER SHEET'!B92</f>
        <v>TOP COVER</v>
      </c>
      <c r="C92" s="78">
        <f>'MASTER SHEET'!C92</f>
        <v>5012083</v>
      </c>
      <c r="D92" s="159">
        <v>0</v>
      </c>
      <c r="E92" s="28">
        <f>PRODUCTION!F92+'SUPLIER INWARD'!F92</f>
        <v>0</v>
      </c>
      <c r="F92" s="28"/>
      <c r="G92" s="29">
        <v>0</v>
      </c>
      <c r="H92" s="30">
        <f t="shared" si="93"/>
        <v>0</v>
      </c>
      <c r="I92" s="28">
        <f>PRODUCTION!J92+'SUPLIER INWARD'!J92</f>
        <v>0</v>
      </c>
      <c r="J92" s="28"/>
      <c r="K92" s="29">
        <v>0</v>
      </c>
      <c r="L92" s="30">
        <f t="shared" si="94"/>
        <v>0</v>
      </c>
      <c r="M92" s="28">
        <f>PRODUCTION!N92+'SUPLIER INWARD'!N92</f>
        <v>0</v>
      </c>
      <c r="N92" s="28"/>
      <c r="O92" s="29"/>
      <c r="P92" s="30">
        <f t="shared" si="95"/>
        <v>0</v>
      </c>
      <c r="Q92" s="28">
        <f>PRODUCTION!R92+'SUPLIER INWARD'!R92</f>
        <v>0</v>
      </c>
      <c r="R92" s="28"/>
      <c r="S92" s="29">
        <v>0</v>
      </c>
      <c r="T92" s="30">
        <f t="shared" si="96"/>
        <v>0</v>
      </c>
      <c r="U92" s="28">
        <f>PRODUCTION!V92+'SUPLIER INWARD'!V92</f>
        <v>0</v>
      </c>
      <c r="V92" s="28"/>
      <c r="W92" s="29">
        <v>0</v>
      </c>
      <c r="X92" s="30">
        <f t="shared" si="97"/>
        <v>0</v>
      </c>
      <c r="Y92" s="28">
        <f>PRODUCTION!Z92+'SUPLIER INWARD'!Z92</f>
        <v>0</v>
      </c>
      <c r="Z92" s="28"/>
      <c r="AA92" s="29">
        <v>0</v>
      </c>
      <c r="AB92" s="30">
        <f t="shared" si="98"/>
        <v>0</v>
      </c>
      <c r="AC92" s="28">
        <f>PRODUCTION!AD92+'SUPLIER INWARD'!AD92</f>
        <v>0</v>
      </c>
      <c r="AD92" s="28"/>
      <c r="AE92" s="29">
        <v>0</v>
      </c>
      <c r="AF92" s="30">
        <f t="shared" si="99"/>
        <v>0</v>
      </c>
      <c r="AG92" s="28">
        <f>PRODUCTION!AH92+'SUPLIER INWARD'!AH92</f>
        <v>0</v>
      </c>
      <c r="AH92" s="28"/>
      <c r="AI92" s="29">
        <v>0</v>
      </c>
      <c r="AJ92" s="30">
        <f t="shared" si="100"/>
        <v>0</v>
      </c>
      <c r="AK92" s="28">
        <f>PRODUCTION!AL92+'SUPLIER INWARD'!AL92</f>
        <v>0</v>
      </c>
      <c r="AL92" s="28"/>
      <c r="AM92" s="29">
        <v>0</v>
      </c>
      <c r="AN92" s="30">
        <f t="shared" si="101"/>
        <v>0</v>
      </c>
      <c r="AO92" s="28">
        <f>PRODUCTION!AP92+'SUPLIER INWARD'!AP92</f>
        <v>0</v>
      </c>
      <c r="AP92" s="28"/>
      <c r="AQ92" s="29">
        <v>0</v>
      </c>
      <c r="AR92" s="30">
        <f t="shared" si="102"/>
        <v>0</v>
      </c>
      <c r="AS92" s="28">
        <f>PRODUCTION!AT92+'SUPLIER INWARD'!AT92</f>
        <v>0</v>
      </c>
      <c r="AT92" s="28"/>
      <c r="AU92" s="29">
        <v>0</v>
      </c>
      <c r="AV92" s="30">
        <f t="shared" si="103"/>
        <v>0</v>
      </c>
      <c r="AW92" s="28">
        <f>PRODUCTION!AX92+'SUPLIER INWARD'!AX92</f>
        <v>0</v>
      </c>
      <c r="AX92" s="28"/>
      <c r="AY92" s="29"/>
      <c r="AZ92" s="30">
        <f t="shared" si="104"/>
        <v>0</v>
      </c>
      <c r="BA92" s="28">
        <f>PRODUCTION!BB92+'SUPLIER INWARD'!BB92</f>
        <v>0</v>
      </c>
      <c r="BB92" s="28"/>
      <c r="BC92" s="29">
        <v>0</v>
      </c>
      <c r="BD92" s="30">
        <f t="shared" si="105"/>
        <v>0</v>
      </c>
      <c r="BE92" s="28">
        <f>PRODUCTION!BF92+'SUPLIER INWARD'!BF92</f>
        <v>0</v>
      </c>
      <c r="BF92" s="28"/>
      <c r="BG92" s="29">
        <v>0</v>
      </c>
      <c r="BH92" s="30">
        <f t="shared" si="106"/>
        <v>0</v>
      </c>
      <c r="BI92" s="28">
        <f>PRODUCTION!BJ92+'SUPLIER INWARD'!BJ92</f>
        <v>0</v>
      </c>
      <c r="BJ92" s="28"/>
      <c r="BK92" s="29">
        <v>0</v>
      </c>
      <c r="BL92" s="30">
        <f t="shared" si="107"/>
        <v>0</v>
      </c>
      <c r="BM92" s="28">
        <f>PRODUCTION!BN92+'SUPLIER INWARD'!BN92</f>
        <v>0</v>
      </c>
      <c r="BN92" s="28"/>
      <c r="BO92" s="29">
        <v>0</v>
      </c>
      <c r="BP92" s="30">
        <f t="shared" si="108"/>
        <v>0</v>
      </c>
      <c r="BQ92" s="28">
        <f>PRODUCTION!BR92+'SUPLIER INWARD'!BR92</f>
        <v>0</v>
      </c>
      <c r="BR92" s="28"/>
      <c r="BS92" s="29">
        <v>0</v>
      </c>
      <c r="BT92" s="30">
        <f t="shared" si="109"/>
        <v>0</v>
      </c>
      <c r="BU92" s="28">
        <f>PRODUCTION!BV92+'SUPLIER INWARD'!BV92</f>
        <v>0</v>
      </c>
      <c r="BV92" s="28"/>
      <c r="BW92" s="29">
        <v>0</v>
      </c>
      <c r="BX92" s="30">
        <f t="shared" si="110"/>
        <v>0</v>
      </c>
      <c r="BY92" s="28">
        <f>PRODUCTION!BZ92+'SUPLIER INWARD'!BZ92</f>
        <v>0</v>
      </c>
      <c r="BZ92" s="28"/>
      <c r="CA92" s="29">
        <v>0</v>
      </c>
      <c r="CB92" s="30">
        <f t="shared" si="111"/>
        <v>0</v>
      </c>
      <c r="CC92" s="28">
        <f>PRODUCTION!CD92+'SUPLIER INWARD'!CD92</f>
        <v>0</v>
      </c>
      <c r="CD92" s="28"/>
      <c r="CE92" s="29">
        <v>0</v>
      </c>
      <c r="CF92" s="30">
        <f t="shared" si="112"/>
        <v>0</v>
      </c>
      <c r="CG92" s="28">
        <f>PRODUCTION!CH92+'SUPLIER INWARD'!CH92</f>
        <v>0</v>
      </c>
      <c r="CH92" s="28"/>
      <c r="CI92" s="29">
        <v>0</v>
      </c>
      <c r="CJ92" s="30">
        <f t="shared" si="113"/>
        <v>0</v>
      </c>
      <c r="CK92" s="28">
        <f>PRODUCTION!CL92+'SUPLIER INWARD'!CL92</f>
        <v>0</v>
      </c>
      <c r="CL92" s="151"/>
      <c r="CM92" s="152">
        <v>0</v>
      </c>
      <c r="CN92" s="30">
        <f t="shared" si="114"/>
        <v>0</v>
      </c>
      <c r="CO92" s="28">
        <f>PRODUCTION!CP92+'SUPLIER INWARD'!CP92</f>
        <v>0</v>
      </c>
      <c r="CP92" s="151"/>
      <c r="CQ92" s="29">
        <v>0</v>
      </c>
      <c r="CR92" s="30">
        <f t="shared" si="115"/>
        <v>0</v>
      </c>
      <c r="CS92" s="28">
        <f>PRODUCTION!CT92+'SUPLIER INWARD'!CT92</f>
        <v>0</v>
      </c>
      <c r="CT92" s="28"/>
      <c r="CU92" s="29">
        <v>0</v>
      </c>
      <c r="CV92" s="30">
        <f t="shared" si="116"/>
        <v>0</v>
      </c>
      <c r="CW92" s="28">
        <f>PRODUCTION!CX92+'SUPLIER INWARD'!CX92</f>
        <v>0</v>
      </c>
      <c r="CX92" s="28"/>
      <c r="CY92" s="29">
        <v>0</v>
      </c>
      <c r="CZ92" s="30">
        <f t="shared" si="117"/>
        <v>0</v>
      </c>
      <c r="DA92" s="28">
        <f>PRODUCTION!DB92+'SUPLIER INWARD'!DB92</f>
        <v>0</v>
      </c>
      <c r="DB92" s="28"/>
      <c r="DC92" s="29"/>
      <c r="DD92" s="30">
        <f t="shared" si="118"/>
        <v>0</v>
      </c>
      <c r="DE92" s="28">
        <f>PRODUCTION!DF92+'SUPLIER INWARD'!DF92</f>
        <v>0</v>
      </c>
      <c r="DF92" s="28"/>
      <c r="DG92" s="29">
        <v>0</v>
      </c>
      <c r="DH92" s="30">
        <f t="shared" si="119"/>
        <v>0</v>
      </c>
      <c r="DI92" s="28">
        <f>PRODUCTION!DJ92+'SUPLIER INWARD'!DJ92</f>
        <v>0</v>
      </c>
      <c r="DJ92" s="28"/>
      <c r="DK92" s="29">
        <v>0</v>
      </c>
      <c r="DL92" s="30">
        <f t="shared" si="120"/>
        <v>0</v>
      </c>
      <c r="DM92" s="28">
        <f>PRODUCTION!DN92+'SUPLIER INWARD'!DN92</f>
        <v>0</v>
      </c>
      <c r="DN92" s="28"/>
      <c r="DO92" s="29"/>
      <c r="DP92" s="30">
        <f t="shared" si="121"/>
        <v>0</v>
      </c>
      <c r="DQ92" s="28">
        <f>PRODUCTION!DR92+'SUPLIER INWARD'!DR92</f>
        <v>0</v>
      </c>
      <c r="DR92" s="28"/>
      <c r="DS92" s="29"/>
      <c r="DT92" s="30">
        <f t="shared" si="122"/>
        <v>0</v>
      </c>
      <c r="DU92" s="28">
        <f>PRODUCTION!DV92+'SUPLIER INWARD'!DV92</f>
        <v>0</v>
      </c>
      <c r="DV92" s="28"/>
      <c r="DW92" s="29"/>
      <c r="DX92" s="30">
        <f t="shared" si="123"/>
        <v>0</v>
      </c>
      <c r="DY92" s="31">
        <f t="shared" si="124"/>
        <v>0</v>
      </c>
      <c r="DZ92" s="31">
        <f t="shared" si="125"/>
        <v>0</v>
      </c>
      <c r="EA92" s="4">
        <f t="shared" si="126"/>
        <v>0</v>
      </c>
      <c r="EB92" s="9">
        <f>D92*'MASTER SHEET'!D92</f>
        <v>0</v>
      </c>
      <c r="EC92" s="9">
        <f>H92*'MASTER SHEET'!D92</f>
        <v>0</v>
      </c>
      <c r="ED92" s="9">
        <f>L92*'MASTER SHEET'!D92</f>
        <v>0</v>
      </c>
      <c r="EE92" s="9">
        <f>P92*'MASTER SHEET'!D92</f>
        <v>0</v>
      </c>
      <c r="EF92" s="9">
        <f>T92*'MASTER SHEET'!D92</f>
        <v>0</v>
      </c>
      <c r="EG92" s="9">
        <f>X92*'MASTER SHEET'!D92</f>
        <v>0</v>
      </c>
      <c r="EH92" s="9">
        <f>AB92*'MASTER SHEET'!D92</f>
        <v>0</v>
      </c>
      <c r="EI92" s="9">
        <f>AF92*'MASTER SHEET'!D92</f>
        <v>0</v>
      </c>
      <c r="EJ92" s="9">
        <f>AJ92*'MASTER SHEET'!D92</f>
        <v>0</v>
      </c>
      <c r="EK92" s="9">
        <f>AN92*'MASTER SHEET'!D92</f>
        <v>0</v>
      </c>
      <c r="EL92" s="9">
        <f>AR92*'MASTER SHEET'!D92</f>
        <v>0</v>
      </c>
      <c r="EM92" s="9">
        <f>AV92*'MASTER SHEET'!D92</f>
        <v>0</v>
      </c>
      <c r="EN92" s="9">
        <f>AZ92*'MASTER SHEET'!D92</f>
        <v>0</v>
      </c>
      <c r="EO92" s="9">
        <f>BD92*'MASTER SHEET'!D92</f>
        <v>0</v>
      </c>
      <c r="EP92" s="9">
        <f>$BH92*'MASTER SHEET'!$D92</f>
        <v>0</v>
      </c>
      <c r="EQ92" s="9">
        <f>BL92*'MASTER SHEET'!D92</f>
        <v>0</v>
      </c>
      <c r="ER92" s="9">
        <f>BP92*'MASTER SHEET'!D92</f>
        <v>0</v>
      </c>
      <c r="ES92" s="9">
        <f>BT92*'MASTER SHEET'!D92</f>
        <v>0</v>
      </c>
      <c r="ET92" s="9">
        <f>BX92*'MASTER SHEET'!D92</f>
        <v>0</v>
      </c>
      <c r="EU92" s="9">
        <f>CB92*'MASTER SHEET'!D92</f>
        <v>0</v>
      </c>
      <c r="EV92" s="9">
        <f>CF92*'MASTER SHEET'!D92</f>
        <v>0</v>
      </c>
      <c r="EW92" s="9">
        <f>CJ92*'MASTER SHEET'!D92</f>
        <v>0</v>
      </c>
      <c r="EX92" s="9">
        <f>CN92*'MASTER SHEET'!D92</f>
        <v>0</v>
      </c>
      <c r="EY92" s="9">
        <f>CR92*'MASTER SHEET'!D92</f>
        <v>0</v>
      </c>
      <c r="EZ92" s="9">
        <f>$CV92*'MASTER SHEET'!D92</f>
        <v>0</v>
      </c>
      <c r="FA92" s="9">
        <f>CZ92*'MASTER SHEET'!D92</f>
        <v>0</v>
      </c>
      <c r="FB92" s="9">
        <f>DD92*'MASTER SHEET'!D92</f>
        <v>0</v>
      </c>
      <c r="FC92" s="9">
        <f>DH92*'MASTER SHEET'!D92</f>
        <v>0</v>
      </c>
      <c r="FD92" s="9">
        <f>DL92*'MASTER SHEET'!D92</f>
        <v>0</v>
      </c>
      <c r="FE92" s="9">
        <f>DP92*'MASTER SHEET'!D92</f>
        <v>0</v>
      </c>
      <c r="FF92" s="9">
        <f>DT92*'MASTER SHEET'!D92</f>
        <v>0</v>
      </c>
      <c r="FG92" s="9">
        <f>+DX92*'MASTER SHEET'!D92</f>
        <v>0</v>
      </c>
    </row>
    <row r="93" spans="1:163" s="10" customFormat="1" ht="20.25" customHeight="1" x14ac:dyDescent="0.25">
      <c r="A93" s="25">
        <f>'MASTER SHEET'!A93</f>
        <v>91</v>
      </c>
      <c r="B93" s="26" t="str">
        <f>'MASTER SHEET'!B93</f>
        <v>PIPE PLASTIC LONI</v>
      </c>
      <c r="C93" s="78">
        <f>'MASTER SHEET'!C93</f>
        <v>5010647</v>
      </c>
      <c r="D93" s="159">
        <v>0</v>
      </c>
      <c r="E93" s="28">
        <f>PRODUCTION!F93+'SUPLIER INWARD'!F93</f>
        <v>0</v>
      </c>
      <c r="F93" s="28"/>
      <c r="G93" s="29">
        <v>0</v>
      </c>
      <c r="H93" s="30">
        <f t="shared" si="93"/>
        <v>0</v>
      </c>
      <c r="I93" s="28">
        <f>PRODUCTION!J93+'SUPLIER INWARD'!J93</f>
        <v>0</v>
      </c>
      <c r="J93" s="28"/>
      <c r="K93" s="29">
        <v>0</v>
      </c>
      <c r="L93" s="30">
        <f t="shared" si="94"/>
        <v>0</v>
      </c>
      <c r="M93" s="28">
        <f>PRODUCTION!N93+'SUPLIER INWARD'!N93</f>
        <v>0</v>
      </c>
      <c r="N93" s="28"/>
      <c r="O93" s="29"/>
      <c r="P93" s="30">
        <f t="shared" si="95"/>
        <v>0</v>
      </c>
      <c r="Q93" s="28">
        <f>PRODUCTION!R93+'SUPLIER INWARD'!R93</f>
        <v>0</v>
      </c>
      <c r="R93" s="28"/>
      <c r="S93" s="29">
        <v>0</v>
      </c>
      <c r="T93" s="30">
        <f t="shared" si="96"/>
        <v>0</v>
      </c>
      <c r="U93" s="28">
        <f>PRODUCTION!V93+'SUPLIER INWARD'!V93</f>
        <v>0</v>
      </c>
      <c r="V93" s="28"/>
      <c r="W93" s="29">
        <v>0</v>
      </c>
      <c r="X93" s="30">
        <f t="shared" si="97"/>
        <v>0</v>
      </c>
      <c r="Y93" s="28">
        <f>PRODUCTION!Z93+'SUPLIER INWARD'!Z93</f>
        <v>0</v>
      </c>
      <c r="Z93" s="28"/>
      <c r="AA93" s="29">
        <v>0</v>
      </c>
      <c r="AB93" s="30">
        <f t="shared" si="98"/>
        <v>0</v>
      </c>
      <c r="AC93" s="28">
        <f>PRODUCTION!AD93+'SUPLIER INWARD'!AD93</f>
        <v>0</v>
      </c>
      <c r="AD93" s="28"/>
      <c r="AE93" s="29">
        <v>0</v>
      </c>
      <c r="AF93" s="30">
        <f t="shared" si="99"/>
        <v>0</v>
      </c>
      <c r="AG93" s="28">
        <f>PRODUCTION!AH93+'SUPLIER INWARD'!AH93</f>
        <v>0</v>
      </c>
      <c r="AH93" s="28"/>
      <c r="AI93" s="29">
        <v>0</v>
      </c>
      <c r="AJ93" s="30">
        <f t="shared" si="100"/>
        <v>0</v>
      </c>
      <c r="AK93" s="28">
        <f>PRODUCTION!AL93+'SUPLIER INWARD'!AL93</f>
        <v>0</v>
      </c>
      <c r="AL93" s="28"/>
      <c r="AM93" s="29">
        <v>0</v>
      </c>
      <c r="AN93" s="30">
        <f t="shared" si="101"/>
        <v>0</v>
      </c>
      <c r="AO93" s="28">
        <f>PRODUCTION!AP93+'SUPLIER INWARD'!AP93</f>
        <v>0</v>
      </c>
      <c r="AP93" s="28"/>
      <c r="AQ93" s="29">
        <v>0</v>
      </c>
      <c r="AR93" s="30">
        <f t="shared" si="102"/>
        <v>0</v>
      </c>
      <c r="AS93" s="28">
        <f>PRODUCTION!AT93+'SUPLIER INWARD'!AT93</f>
        <v>0</v>
      </c>
      <c r="AT93" s="28"/>
      <c r="AU93" s="29">
        <v>0</v>
      </c>
      <c r="AV93" s="30">
        <f t="shared" si="103"/>
        <v>0</v>
      </c>
      <c r="AW93" s="28">
        <f>PRODUCTION!AX93+'SUPLIER INWARD'!AX93</f>
        <v>0</v>
      </c>
      <c r="AX93" s="28"/>
      <c r="AY93" s="29"/>
      <c r="AZ93" s="30">
        <f t="shared" si="104"/>
        <v>0</v>
      </c>
      <c r="BA93" s="28">
        <f>PRODUCTION!BB93+'SUPLIER INWARD'!BB93</f>
        <v>0</v>
      </c>
      <c r="BB93" s="28"/>
      <c r="BC93" s="29">
        <v>0</v>
      </c>
      <c r="BD93" s="30">
        <f t="shared" si="105"/>
        <v>0</v>
      </c>
      <c r="BE93" s="28">
        <f>PRODUCTION!BF93+'SUPLIER INWARD'!BF93</f>
        <v>0</v>
      </c>
      <c r="BF93" s="28"/>
      <c r="BG93" s="29">
        <v>0</v>
      </c>
      <c r="BH93" s="30">
        <f t="shared" si="106"/>
        <v>0</v>
      </c>
      <c r="BI93" s="28">
        <f>PRODUCTION!BJ93+'SUPLIER INWARD'!BJ93</f>
        <v>0</v>
      </c>
      <c r="BJ93" s="28"/>
      <c r="BK93" s="29">
        <v>0</v>
      </c>
      <c r="BL93" s="30">
        <f t="shared" si="107"/>
        <v>0</v>
      </c>
      <c r="BM93" s="28">
        <f>PRODUCTION!BN93+'SUPLIER INWARD'!BN93</f>
        <v>0</v>
      </c>
      <c r="BN93" s="28"/>
      <c r="BO93" s="29">
        <v>0</v>
      </c>
      <c r="BP93" s="30">
        <f t="shared" si="108"/>
        <v>0</v>
      </c>
      <c r="BQ93" s="28">
        <f>PRODUCTION!BR93+'SUPLIER INWARD'!BR93</f>
        <v>0</v>
      </c>
      <c r="BR93" s="28"/>
      <c r="BS93" s="29">
        <v>0</v>
      </c>
      <c r="BT93" s="30">
        <f t="shared" si="109"/>
        <v>0</v>
      </c>
      <c r="BU93" s="28">
        <f>PRODUCTION!BV93+'SUPLIER INWARD'!BV93</f>
        <v>0</v>
      </c>
      <c r="BV93" s="28"/>
      <c r="BW93" s="29">
        <v>0</v>
      </c>
      <c r="BX93" s="30">
        <f t="shared" si="110"/>
        <v>0</v>
      </c>
      <c r="BY93" s="28">
        <f>PRODUCTION!BZ93+'SUPLIER INWARD'!BZ93</f>
        <v>0</v>
      </c>
      <c r="BZ93" s="28"/>
      <c r="CA93" s="29">
        <v>0</v>
      </c>
      <c r="CB93" s="30">
        <f t="shared" si="111"/>
        <v>0</v>
      </c>
      <c r="CC93" s="28">
        <f>PRODUCTION!CD93+'SUPLIER INWARD'!CD93</f>
        <v>0</v>
      </c>
      <c r="CD93" s="28"/>
      <c r="CE93" s="29">
        <v>0</v>
      </c>
      <c r="CF93" s="30">
        <f t="shared" si="112"/>
        <v>0</v>
      </c>
      <c r="CG93" s="28">
        <f>PRODUCTION!CH93+'SUPLIER INWARD'!CH93</f>
        <v>0</v>
      </c>
      <c r="CH93" s="28"/>
      <c r="CI93" s="29">
        <v>0</v>
      </c>
      <c r="CJ93" s="30">
        <f t="shared" si="113"/>
        <v>0</v>
      </c>
      <c r="CK93" s="28">
        <f>PRODUCTION!CL93+'SUPLIER INWARD'!CL93</f>
        <v>0</v>
      </c>
      <c r="CL93" s="151"/>
      <c r="CM93" s="152">
        <v>0</v>
      </c>
      <c r="CN93" s="30">
        <f t="shared" si="114"/>
        <v>0</v>
      </c>
      <c r="CO93" s="28">
        <f>PRODUCTION!CP93+'SUPLIER INWARD'!CP93</f>
        <v>0</v>
      </c>
      <c r="CP93" s="151"/>
      <c r="CQ93" s="29">
        <v>0</v>
      </c>
      <c r="CR93" s="30">
        <f t="shared" si="115"/>
        <v>0</v>
      </c>
      <c r="CS93" s="28">
        <f>PRODUCTION!CT93+'SUPLIER INWARD'!CT93</f>
        <v>0</v>
      </c>
      <c r="CT93" s="28"/>
      <c r="CU93" s="29">
        <v>0</v>
      </c>
      <c r="CV93" s="30">
        <f t="shared" si="116"/>
        <v>0</v>
      </c>
      <c r="CW93" s="28">
        <f>PRODUCTION!CX93+'SUPLIER INWARD'!CX93</f>
        <v>0</v>
      </c>
      <c r="CX93" s="28"/>
      <c r="CY93" s="29">
        <v>0</v>
      </c>
      <c r="CZ93" s="30">
        <f t="shared" si="117"/>
        <v>0</v>
      </c>
      <c r="DA93" s="28">
        <f>PRODUCTION!DB93+'SUPLIER INWARD'!DB93</f>
        <v>0</v>
      </c>
      <c r="DB93" s="28"/>
      <c r="DC93" s="29"/>
      <c r="DD93" s="30">
        <f t="shared" si="118"/>
        <v>0</v>
      </c>
      <c r="DE93" s="28">
        <f>PRODUCTION!DF93+'SUPLIER INWARD'!DF93</f>
        <v>0</v>
      </c>
      <c r="DF93" s="28"/>
      <c r="DG93" s="29">
        <v>0</v>
      </c>
      <c r="DH93" s="30">
        <f t="shared" si="119"/>
        <v>0</v>
      </c>
      <c r="DI93" s="28">
        <f>PRODUCTION!DJ93+'SUPLIER INWARD'!DJ93</f>
        <v>0</v>
      </c>
      <c r="DJ93" s="28"/>
      <c r="DK93" s="29">
        <v>0</v>
      </c>
      <c r="DL93" s="30">
        <f t="shared" si="120"/>
        <v>0</v>
      </c>
      <c r="DM93" s="28">
        <f>PRODUCTION!DN93+'SUPLIER INWARD'!DN93</f>
        <v>0</v>
      </c>
      <c r="DN93" s="28"/>
      <c r="DO93" s="29"/>
      <c r="DP93" s="30">
        <f t="shared" si="121"/>
        <v>0</v>
      </c>
      <c r="DQ93" s="28">
        <f>PRODUCTION!DR93+'SUPLIER INWARD'!DR93</f>
        <v>0</v>
      </c>
      <c r="DR93" s="28"/>
      <c r="DS93" s="29"/>
      <c r="DT93" s="30">
        <f t="shared" si="122"/>
        <v>0</v>
      </c>
      <c r="DU93" s="28">
        <f>PRODUCTION!DV93+'SUPLIER INWARD'!DV93</f>
        <v>0</v>
      </c>
      <c r="DV93" s="28"/>
      <c r="DW93" s="29"/>
      <c r="DX93" s="30">
        <f t="shared" si="123"/>
        <v>0</v>
      </c>
      <c r="DY93" s="31">
        <f t="shared" si="124"/>
        <v>0</v>
      </c>
      <c r="DZ93" s="31">
        <f t="shared" si="125"/>
        <v>0</v>
      </c>
      <c r="EA93" s="4">
        <f t="shared" si="126"/>
        <v>0</v>
      </c>
      <c r="EB93" s="9">
        <f>D93*'MASTER SHEET'!D93</f>
        <v>0</v>
      </c>
      <c r="EC93" s="9">
        <f>H93*'MASTER SHEET'!D93</f>
        <v>0</v>
      </c>
      <c r="ED93" s="9">
        <f>L93*'MASTER SHEET'!D93</f>
        <v>0</v>
      </c>
      <c r="EE93" s="9">
        <f>P93*'MASTER SHEET'!D93</f>
        <v>0</v>
      </c>
      <c r="EF93" s="9">
        <f>T93*'MASTER SHEET'!D93</f>
        <v>0</v>
      </c>
      <c r="EG93" s="9">
        <f>X93*'MASTER SHEET'!D93</f>
        <v>0</v>
      </c>
      <c r="EH93" s="9">
        <f>AB93*'MASTER SHEET'!D93</f>
        <v>0</v>
      </c>
      <c r="EI93" s="9">
        <f>AF93*'MASTER SHEET'!D93</f>
        <v>0</v>
      </c>
      <c r="EJ93" s="9">
        <f>AJ93*'MASTER SHEET'!D93</f>
        <v>0</v>
      </c>
      <c r="EK93" s="9">
        <f>AN93*'MASTER SHEET'!D93</f>
        <v>0</v>
      </c>
      <c r="EL93" s="9">
        <f>AR93*'MASTER SHEET'!D93</f>
        <v>0</v>
      </c>
      <c r="EM93" s="9">
        <f>AV93*'MASTER SHEET'!D93</f>
        <v>0</v>
      </c>
      <c r="EN93" s="9">
        <f>AZ93*'MASTER SHEET'!D93</f>
        <v>0</v>
      </c>
      <c r="EO93" s="9">
        <f>BD93*'MASTER SHEET'!D93</f>
        <v>0</v>
      </c>
      <c r="EP93" s="9">
        <f>$BH93*'MASTER SHEET'!$D93</f>
        <v>0</v>
      </c>
      <c r="EQ93" s="9">
        <f>BL93*'MASTER SHEET'!D93</f>
        <v>0</v>
      </c>
      <c r="ER93" s="9">
        <f>BP93*'MASTER SHEET'!D93</f>
        <v>0</v>
      </c>
      <c r="ES93" s="9">
        <f>BT93*'MASTER SHEET'!D93</f>
        <v>0</v>
      </c>
      <c r="ET93" s="9">
        <f>BX93*'MASTER SHEET'!D93</f>
        <v>0</v>
      </c>
      <c r="EU93" s="9">
        <f>CB93*'MASTER SHEET'!D93</f>
        <v>0</v>
      </c>
      <c r="EV93" s="9">
        <f>CF93*'MASTER SHEET'!D93</f>
        <v>0</v>
      </c>
      <c r="EW93" s="9">
        <f>CJ93*'MASTER SHEET'!D93</f>
        <v>0</v>
      </c>
      <c r="EX93" s="9">
        <f>CN93*'MASTER SHEET'!D93</f>
        <v>0</v>
      </c>
      <c r="EY93" s="9">
        <f>CR93*'MASTER SHEET'!D93</f>
        <v>0</v>
      </c>
      <c r="EZ93" s="9">
        <f>$CV93*'MASTER SHEET'!D93</f>
        <v>0</v>
      </c>
      <c r="FA93" s="9">
        <f>CZ93*'MASTER SHEET'!D93</f>
        <v>0</v>
      </c>
      <c r="FB93" s="9">
        <f>DD93*'MASTER SHEET'!D93</f>
        <v>0</v>
      </c>
      <c r="FC93" s="9">
        <f>DH93*'MASTER SHEET'!D93</f>
        <v>0</v>
      </c>
      <c r="FD93" s="9">
        <f>DL93*'MASTER SHEET'!D93</f>
        <v>0</v>
      </c>
      <c r="FE93" s="9">
        <f>DP93*'MASTER SHEET'!D93</f>
        <v>0</v>
      </c>
      <c r="FF93" s="9">
        <f>DT93*'MASTER SHEET'!D93</f>
        <v>0</v>
      </c>
      <c r="FG93" s="9">
        <f>+DX93*'MASTER SHEET'!D93</f>
        <v>0</v>
      </c>
    </row>
    <row r="94" spans="1:163" s="10" customFormat="1" ht="20.25" customHeight="1" x14ac:dyDescent="0.25">
      <c r="A94" s="25">
        <f>'MASTER SHEET'!A94</f>
        <v>92</v>
      </c>
      <c r="B94" s="26" t="str">
        <f>'MASTER SHEET'!B94</f>
        <v>TOP COVER</v>
      </c>
      <c r="C94" s="78">
        <f>'MASTER SHEET'!C94</f>
        <v>5007581</v>
      </c>
      <c r="D94" s="159">
        <v>109</v>
      </c>
      <c r="E94" s="28">
        <f>PRODUCTION!F94+'SUPLIER INWARD'!F94</f>
        <v>0</v>
      </c>
      <c r="F94" s="28"/>
      <c r="G94" s="29">
        <v>0</v>
      </c>
      <c r="H94" s="30">
        <f t="shared" si="93"/>
        <v>109</v>
      </c>
      <c r="I94" s="28">
        <f>PRODUCTION!J94+'SUPLIER INWARD'!J94</f>
        <v>0</v>
      </c>
      <c r="J94" s="28"/>
      <c r="K94" s="29">
        <v>0</v>
      </c>
      <c r="L94" s="30">
        <f t="shared" si="94"/>
        <v>109</v>
      </c>
      <c r="M94" s="28">
        <f>PRODUCTION!N94+'SUPLIER INWARD'!N94</f>
        <v>0</v>
      </c>
      <c r="N94" s="28"/>
      <c r="O94" s="29"/>
      <c r="P94" s="30">
        <f t="shared" si="95"/>
        <v>109</v>
      </c>
      <c r="Q94" s="28">
        <f>PRODUCTION!R94+'SUPLIER INWARD'!R94</f>
        <v>0</v>
      </c>
      <c r="R94" s="28"/>
      <c r="S94" s="29">
        <v>0</v>
      </c>
      <c r="T94" s="30">
        <f t="shared" si="96"/>
        <v>109</v>
      </c>
      <c r="U94" s="28">
        <f>PRODUCTION!V94+'SUPLIER INWARD'!V94</f>
        <v>0</v>
      </c>
      <c r="V94" s="28"/>
      <c r="W94" s="29">
        <v>0</v>
      </c>
      <c r="X94" s="30">
        <f t="shared" si="97"/>
        <v>109</v>
      </c>
      <c r="Y94" s="28">
        <f>PRODUCTION!Z94+'SUPLIER INWARD'!Z94</f>
        <v>0</v>
      </c>
      <c r="Z94" s="28"/>
      <c r="AA94" s="29">
        <v>0</v>
      </c>
      <c r="AB94" s="30">
        <f t="shared" si="98"/>
        <v>109</v>
      </c>
      <c r="AC94" s="28">
        <f>PRODUCTION!AD94+'SUPLIER INWARD'!AD94</f>
        <v>0</v>
      </c>
      <c r="AD94" s="28"/>
      <c r="AE94" s="29">
        <v>0</v>
      </c>
      <c r="AF94" s="30">
        <f t="shared" si="99"/>
        <v>109</v>
      </c>
      <c r="AG94" s="28">
        <f>PRODUCTION!AH94+'SUPLIER INWARD'!AH94</f>
        <v>0</v>
      </c>
      <c r="AH94" s="28"/>
      <c r="AI94" s="29">
        <v>0</v>
      </c>
      <c r="AJ94" s="30">
        <f t="shared" si="100"/>
        <v>109</v>
      </c>
      <c r="AK94" s="28">
        <f>PRODUCTION!AL94+'SUPLIER INWARD'!AL94</f>
        <v>0</v>
      </c>
      <c r="AL94" s="28"/>
      <c r="AM94" s="29">
        <v>0</v>
      </c>
      <c r="AN94" s="30">
        <f t="shared" si="101"/>
        <v>109</v>
      </c>
      <c r="AO94" s="28">
        <f>PRODUCTION!AP94+'SUPLIER INWARD'!AP94</f>
        <v>0</v>
      </c>
      <c r="AP94" s="28"/>
      <c r="AQ94" s="29">
        <v>0</v>
      </c>
      <c r="AR94" s="30">
        <f t="shared" si="102"/>
        <v>109</v>
      </c>
      <c r="AS94" s="28">
        <f>PRODUCTION!AT94+'SUPLIER INWARD'!AT94</f>
        <v>0</v>
      </c>
      <c r="AT94" s="28"/>
      <c r="AU94" s="29">
        <v>0</v>
      </c>
      <c r="AV94" s="30">
        <f t="shared" si="103"/>
        <v>109</v>
      </c>
      <c r="AW94" s="28">
        <f>PRODUCTION!AX94+'SUPLIER INWARD'!AX94</f>
        <v>0</v>
      </c>
      <c r="AX94" s="28"/>
      <c r="AY94" s="29"/>
      <c r="AZ94" s="30">
        <f t="shared" si="104"/>
        <v>109</v>
      </c>
      <c r="BA94" s="28">
        <f>PRODUCTION!BB94+'SUPLIER INWARD'!BB94</f>
        <v>0</v>
      </c>
      <c r="BB94" s="28"/>
      <c r="BC94" s="29">
        <v>0</v>
      </c>
      <c r="BD94" s="30">
        <f t="shared" si="105"/>
        <v>109</v>
      </c>
      <c r="BE94" s="28">
        <f>PRODUCTION!BF94+'SUPLIER INWARD'!BF94</f>
        <v>0</v>
      </c>
      <c r="BF94" s="28"/>
      <c r="BG94" s="29">
        <v>0</v>
      </c>
      <c r="BH94" s="30">
        <f t="shared" si="106"/>
        <v>109</v>
      </c>
      <c r="BI94" s="28">
        <f>PRODUCTION!BJ94+'SUPLIER INWARD'!BJ94</f>
        <v>0</v>
      </c>
      <c r="BJ94" s="28"/>
      <c r="BK94" s="29">
        <v>0</v>
      </c>
      <c r="BL94" s="30">
        <f t="shared" si="107"/>
        <v>109</v>
      </c>
      <c r="BM94" s="28">
        <f>PRODUCTION!BN94+'SUPLIER INWARD'!BN94</f>
        <v>0</v>
      </c>
      <c r="BN94" s="28"/>
      <c r="BO94" s="29">
        <v>0</v>
      </c>
      <c r="BP94" s="30">
        <f t="shared" si="108"/>
        <v>109</v>
      </c>
      <c r="BQ94" s="28">
        <f>PRODUCTION!BR94+'SUPLIER INWARD'!BR94</f>
        <v>0</v>
      </c>
      <c r="BR94" s="28"/>
      <c r="BS94" s="29">
        <v>0</v>
      </c>
      <c r="BT94" s="30">
        <f t="shared" si="109"/>
        <v>109</v>
      </c>
      <c r="BU94" s="28">
        <f>PRODUCTION!BV94+'SUPLIER INWARD'!BV94</f>
        <v>0</v>
      </c>
      <c r="BV94" s="28"/>
      <c r="BW94" s="29">
        <v>0</v>
      </c>
      <c r="BX94" s="30">
        <f t="shared" si="110"/>
        <v>109</v>
      </c>
      <c r="BY94" s="28">
        <f>PRODUCTION!BZ94+'SUPLIER INWARD'!BZ94</f>
        <v>0</v>
      </c>
      <c r="BZ94" s="28"/>
      <c r="CA94" s="29">
        <v>0</v>
      </c>
      <c r="CB94" s="30">
        <f t="shared" si="111"/>
        <v>109</v>
      </c>
      <c r="CC94" s="28">
        <f>PRODUCTION!CD94+'SUPLIER INWARD'!CD94</f>
        <v>0</v>
      </c>
      <c r="CD94" s="28"/>
      <c r="CE94" s="29">
        <v>0</v>
      </c>
      <c r="CF94" s="30">
        <f t="shared" si="112"/>
        <v>109</v>
      </c>
      <c r="CG94" s="28">
        <f>PRODUCTION!CH94+'SUPLIER INWARD'!CH94</f>
        <v>0</v>
      </c>
      <c r="CH94" s="28"/>
      <c r="CI94" s="29">
        <v>0</v>
      </c>
      <c r="CJ94" s="30">
        <f t="shared" si="113"/>
        <v>109</v>
      </c>
      <c r="CK94" s="28">
        <f>PRODUCTION!CL94+'SUPLIER INWARD'!CL94</f>
        <v>0</v>
      </c>
      <c r="CL94" s="151"/>
      <c r="CM94" s="152">
        <v>0</v>
      </c>
      <c r="CN94" s="30">
        <f t="shared" si="114"/>
        <v>109</v>
      </c>
      <c r="CO94" s="28">
        <f>PRODUCTION!CP94+'SUPLIER INWARD'!CP94</f>
        <v>0</v>
      </c>
      <c r="CP94" s="151"/>
      <c r="CQ94" s="29">
        <v>0</v>
      </c>
      <c r="CR94" s="30">
        <f t="shared" si="115"/>
        <v>109</v>
      </c>
      <c r="CS94" s="28">
        <f>PRODUCTION!CT94+'SUPLIER INWARD'!CT94</f>
        <v>0</v>
      </c>
      <c r="CT94" s="28"/>
      <c r="CU94" s="29">
        <v>0</v>
      </c>
      <c r="CV94" s="30">
        <f t="shared" si="116"/>
        <v>109</v>
      </c>
      <c r="CW94" s="28">
        <f>PRODUCTION!CX94+'SUPLIER INWARD'!CX94</f>
        <v>0</v>
      </c>
      <c r="CX94" s="28"/>
      <c r="CY94" s="29">
        <v>0</v>
      </c>
      <c r="CZ94" s="30">
        <f t="shared" si="117"/>
        <v>109</v>
      </c>
      <c r="DA94" s="28">
        <f>PRODUCTION!DB94+'SUPLIER INWARD'!DB94</f>
        <v>554</v>
      </c>
      <c r="DB94" s="28"/>
      <c r="DC94" s="29"/>
      <c r="DD94" s="30">
        <f t="shared" si="118"/>
        <v>663</v>
      </c>
      <c r="DE94" s="28">
        <f>PRODUCTION!DF94+'SUPLIER INWARD'!DF94</f>
        <v>1905</v>
      </c>
      <c r="DF94" s="28">
        <v>600</v>
      </c>
      <c r="DG94" s="29">
        <v>0</v>
      </c>
      <c r="DH94" s="30">
        <f t="shared" si="119"/>
        <v>1968</v>
      </c>
      <c r="DI94" s="28">
        <f>PRODUCTION!DJ94+'SUPLIER INWARD'!DJ94</f>
        <v>227</v>
      </c>
      <c r="DJ94" s="28">
        <v>1200</v>
      </c>
      <c r="DK94" s="29">
        <v>0</v>
      </c>
      <c r="DL94" s="30">
        <f t="shared" si="120"/>
        <v>995</v>
      </c>
      <c r="DM94" s="28">
        <f>PRODUCTION!DN94+'SUPLIER INWARD'!DN94</f>
        <v>0</v>
      </c>
      <c r="DN94" s="28"/>
      <c r="DO94" s="29"/>
      <c r="DP94" s="30">
        <f t="shared" si="121"/>
        <v>995</v>
      </c>
      <c r="DQ94" s="28">
        <f>PRODUCTION!DR94+'SUPLIER INWARD'!DR94</f>
        <v>0</v>
      </c>
      <c r="DR94" s="28"/>
      <c r="DS94" s="29"/>
      <c r="DT94" s="30">
        <f t="shared" si="122"/>
        <v>995</v>
      </c>
      <c r="DU94" s="28">
        <f>PRODUCTION!DV94+'SUPLIER INWARD'!DV94</f>
        <v>0</v>
      </c>
      <c r="DV94" s="28"/>
      <c r="DW94" s="29"/>
      <c r="DX94" s="30">
        <f t="shared" si="123"/>
        <v>995</v>
      </c>
      <c r="DY94" s="31">
        <f t="shared" si="124"/>
        <v>2686</v>
      </c>
      <c r="DZ94" s="31">
        <f t="shared" si="125"/>
        <v>1800</v>
      </c>
      <c r="EA94" s="4">
        <f t="shared" si="126"/>
        <v>0</v>
      </c>
      <c r="EB94" s="9">
        <f>D94*'MASTER SHEET'!D94</f>
        <v>6586.87</v>
      </c>
      <c r="EC94" s="9">
        <f>H94*'MASTER SHEET'!D94</f>
        <v>6586.87</v>
      </c>
      <c r="ED94" s="9">
        <f>L94*'MASTER SHEET'!D94</f>
        <v>6586.87</v>
      </c>
      <c r="EE94" s="9">
        <f>P94*'MASTER SHEET'!D94</f>
        <v>6586.87</v>
      </c>
      <c r="EF94" s="9">
        <f>T94*'MASTER SHEET'!D94</f>
        <v>6586.87</v>
      </c>
      <c r="EG94" s="9">
        <f>X94*'MASTER SHEET'!D94</f>
        <v>6586.87</v>
      </c>
      <c r="EH94" s="9">
        <f>AB94*'MASTER SHEET'!D94</f>
        <v>6586.87</v>
      </c>
      <c r="EI94" s="9">
        <f>AF94*'MASTER SHEET'!D94</f>
        <v>6586.87</v>
      </c>
      <c r="EJ94" s="9">
        <f>AJ94*'MASTER SHEET'!D94</f>
        <v>6586.87</v>
      </c>
      <c r="EK94" s="9">
        <f>AN94*'MASTER SHEET'!D94</f>
        <v>6586.87</v>
      </c>
      <c r="EL94" s="9">
        <f>AR94*'MASTER SHEET'!D94</f>
        <v>6586.87</v>
      </c>
      <c r="EM94" s="9">
        <f>AV94*'MASTER SHEET'!D94</f>
        <v>6586.87</v>
      </c>
      <c r="EN94" s="9">
        <f>AZ94*'MASTER SHEET'!D94</f>
        <v>6586.87</v>
      </c>
      <c r="EO94" s="9">
        <f>BD94*'MASTER SHEET'!D94</f>
        <v>6586.87</v>
      </c>
      <c r="EP94" s="9">
        <f>$BH94*'MASTER SHEET'!$D94</f>
        <v>6586.87</v>
      </c>
      <c r="EQ94" s="9">
        <f>BL94*'MASTER SHEET'!D94</f>
        <v>6586.87</v>
      </c>
      <c r="ER94" s="9">
        <f>BP94*'MASTER SHEET'!D94</f>
        <v>6586.87</v>
      </c>
      <c r="ES94" s="9">
        <f>BT94*'MASTER SHEET'!D94</f>
        <v>6586.87</v>
      </c>
      <c r="ET94" s="9">
        <f>BX94*'MASTER SHEET'!D94</f>
        <v>6586.87</v>
      </c>
      <c r="EU94" s="9">
        <f>CB94*'MASTER SHEET'!D94</f>
        <v>6586.87</v>
      </c>
      <c r="EV94" s="9">
        <f>CF94*'MASTER SHEET'!D94</f>
        <v>6586.87</v>
      </c>
      <c r="EW94" s="9">
        <f>CJ94*'MASTER SHEET'!D94</f>
        <v>6586.87</v>
      </c>
      <c r="EX94" s="9">
        <f>CN94*'MASTER SHEET'!D94</f>
        <v>6586.87</v>
      </c>
      <c r="EY94" s="9">
        <f>CR94*'MASTER SHEET'!D94</f>
        <v>6586.87</v>
      </c>
      <c r="EZ94" s="9">
        <f>$CV94*'MASTER SHEET'!D94</f>
        <v>6586.87</v>
      </c>
      <c r="FA94" s="9">
        <f>CZ94*'MASTER SHEET'!D94</f>
        <v>6586.87</v>
      </c>
      <c r="FB94" s="9">
        <f>DD94*'MASTER SHEET'!D94</f>
        <v>40065.089999999997</v>
      </c>
      <c r="FC94" s="9">
        <f>DH94*'MASTER SHEET'!D94</f>
        <v>118926.24</v>
      </c>
      <c r="FD94" s="9">
        <f>DL94*'MASTER SHEET'!D94</f>
        <v>60127.85</v>
      </c>
      <c r="FE94" s="9">
        <f>DP94*'MASTER SHEET'!D94</f>
        <v>60127.85</v>
      </c>
      <c r="FF94" s="9">
        <f>DT94*'MASTER SHEET'!D94</f>
        <v>60127.85</v>
      </c>
      <c r="FG94" s="9">
        <f>+DX94*'MASTER SHEET'!D94</f>
        <v>60127.85</v>
      </c>
    </row>
    <row r="95" spans="1:163" ht="20.25" customHeight="1" x14ac:dyDescent="0.25">
      <c r="A95" s="25">
        <f>'MASTER SHEET'!A95</f>
        <v>93</v>
      </c>
      <c r="B95" s="26" t="str">
        <f>'MASTER SHEET'!B95</f>
        <v>BOTTOM COVER</v>
      </c>
      <c r="C95" s="78">
        <f>'MASTER SHEET'!C95</f>
        <v>5007582</v>
      </c>
      <c r="D95" s="159">
        <v>31</v>
      </c>
      <c r="E95" s="28">
        <f>PRODUCTION!F95+'SUPLIER INWARD'!F95</f>
        <v>0</v>
      </c>
      <c r="F95" s="28"/>
      <c r="G95" s="29">
        <v>0</v>
      </c>
      <c r="H95" s="30">
        <f t="shared" si="93"/>
        <v>31</v>
      </c>
      <c r="I95" s="28">
        <f>PRODUCTION!J95+'SUPLIER INWARD'!J95</f>
        <v>0</v>
      </c>
      <c r="J95" s="28"/>
      <c r="K95" s="29">
        <v>0</v>
      </c>
      <c r="L95" s="30">
        <f t="shared" si="94"/>
        <v>31</v>
      </c>
      <c r="M95" s="28">
        <f>PRODUCTION!N95+'SUPLIER INWARD'!N95</f>
        <v>0</v>
      </c>
      <c r="N95" s="28"/>
      <c r="O95" s="29"/>
      <c r="P95" s="30">
        <f t="shared" si="95"/>
        <v>31</v>
      </c>
      <c r="Q95" s="28">
        <f>PRODUCTION!R95+'SUPLIER INWARD'!R95</f>
        <v>0</v>
      </c>
      <c r="R95" s="28"/>
      <c r="S95" s="29">
        <v>0</v>
      </c>
      <c r="T95" s="30">
        <f t="shared" si="96"/>
        <v>31</v>
      </c>
      <c r="U95" s="28">
        <f>PRODUCTION!V95+'SUPLIER INWARD'!V95</f>
        <v>0</v>
      </c>
      <c r="V95" s="28"/>
      <c r="W95" s="29">
        <v>0</v>
      </c>
      <c r="X95" s="30">
        <f t="shared" si="97"/>
        <v>31</v>
      </c>
      <c r="Y95" s="28">
        <f>PRODUCTION!Z95+'SUPLIER INWARD'!Z95</f>
        <v>0</v>
      </c>
      <c r="Z95" s="28"/>
      <c r="AA95" s="29">
        <v>0</v>
      </c>
      <c r="AB95" s="30">
        <f t="shared" si="98"/>
        <v>31</v>
      </c>
      <c r="AC95" s="28">
        <f>PRODUCTION!AD95+'SUPLIER INWARD'!AD95</f>
        <v>0</v>
      </c>
      <c r="AD95" s="28"/>
      <c r="AE95" s="29">
        <v>0</v>
      </c>
      <c r="AF95" s="30">
        <f t="shared" si="99"/>
        <v>31</v>
      </c>
      <c r="AG95" s="28">
        <f>PRODUCTION!AH95+'SUPLIER INWARD'!AH95</f>
        <v>0</v>
      </c>
      <c r="AH95" s="28"/>
      <c r="AI95" s="29">
        <v>0</v>
      </c>
      <c r="AJ95" s="30">
        <f t="shared" si="100"/>
        <v>31</v>
      </c>
      <c r="AK95" s="28">
        <f>PRODUCTION!AL95+'SUPLIER INWARD'!AL95</f>
        <v>0</v>
      </c>
      <c r="AL95" s="28"/>
      <c r="AM95" s="29">
        <v>0</v>
      </c>
      <c r="AN95" s="30">
        <f t="shared" si="101"/>
        <v>31</v>
      </c>
      <c r="AO95" s="28">
        <f>PRODUCTION!AP95+'SUPLIER INWARD'!AP95</f>
        <v>0</v>
      </c>
      <c r="AP95" s="28"/>
      <c r="AQ95" s="29">
        <v>0</v>
      </c>
      <c r="AR95" s="30">
        <f t="shared" si="102"/>
        <v>31</v>
      </c>
      <c r="AS95" s="28">
        <f>PRODUCTION!AT95+'SUPLIER INWARD'!AT95</f>
        <v>0</v>
      </c>
      <c r="AT95" s="28"/>
      <c r="AU95" s="29">
        <v>0</v>
      </c>
      <c r="AV95" s="30">
        <f t="shared" si="103"/>
        <v>31</v>
      </c>
      <c r="AW95" s="28">
        <f>PRODUCTION!AX95+'SUPLIER INWARD'!AX95</f>
        <v>0</v>
      </c>
      <c r="AX95" s="28"/>
      <c r="AY95" s="29"/>
      <c r="AZ95" s="30">
        <f t="shared" si="104"/>
        <v>31</v>
      </c>
      <c r="BA95" s="28">
        <f>PRODUCTION!BB95+'SUPLIER INWARD'!BB95</f>
        <v>0</v>
      </c>
      <c r="BB95" s="28"/>
      <c r="BC95" s="29">
        <v>0</v>
      </c>
      <c r="BD95" s="30">
        <f t="shared" si="105"/>
        <v>31</v>
      </c>
      <c r="BE95" s="28">
        <f>PRODUCTION!BF95+'SUPLIER INWARD'!BF95</f>
        <v>0</v>
      </c>
      <c r="BF95" s="28"/>
      <c r="BG95" s="29">
        <v>0</v>
      </c>
      <c r="BH95" s="30">
        <f t="shared" si="106"/>
        <v>31</v>
      </c>
      <c r="BI95" s="28">
        <f>PRODUCTION!BJ95+'SUPLIER INWARD'!BJ95</f>
        <v>0</v>
      </c>
      <c r="BJ95" s="28"/>
      <c r="BK95" s="29">
        <v>0</v>
      </c>
      <c r="BL95" s="30">
        <f t="shared" si="107"/>
        <v>31</v>
      </c>
      <c r="BM95" s="28">
        <f>PRODUCTION!BN95+'SUPLIER INWARD'!BN95</f>
        <v>0</v>
      </c>
      <c r="BN95" s="28"/>
      <c r="BO95" s="29">
        <v>0</v>
      </c>
      <c r="BP95" s="30">
        <f t="shared" si="108"/>
        <v>31</v>
      </c>
      <c r="BQ95" s="28">
        <f>PRODUCTION!BR95+'SUPLIER INWARD'!BR95</f>
        <v>0</v>
      </c>
      <c r="BR95" s="28"/>
      <c r="BS95" s="29">
        <v>0</v>
      </c>
      <c r="BT95" s="30">
        <f t="shared" si="109"/>
        <v>31</v>
      </c>
      <c r="BU95" s="28">
        <f>PRODUCTION!BV95+'SUPLIER INWARD'!BV95</f>
        <v>0</v>
      </c>
      <c r="BV95" s="28"/>
      <c r="BW95" s="29">
        <v>0</v>
      </c>
      <c r="BX95" s="30">
        <f t="shared" si="110"/>
        <v>31</v>
      </c>
      <c r="BY95" s="28">
        <f>PRODUCTION!BZ95+'SUPLIER INWARD'!BZ95</f>
        <v>0</v>
      </c>
      <c r="BZ95" s="28"/>
      <c r="CA95" s="29">
        <v>0</v>
      </c>
      <c r="CB95" s="30">
        <f t="shared" si="111"/>
        <v>31</v>
      </c>
      <c r="CC95" s="28">
        <f>PRODUCTION!CD95+'SUPLIER INWARD'!CD95</f>
        <v>0</v>
      </c>
      <c r="CD95" s="28"/>
      <c r="CE95" s="29">
        <v>0</v>
      </c>
      <c r="CF95" s="30">
        <f t="shared" si="112"/>
        <v>31</v>
      </c>
      <c r="CG95" s="28">
        <f>PRODUCTION!CH95+'SUPLIER INWARD'!CH95</f>
        <v>0</v>
      </c>
      <c r="CH95" s="28"/>
      <c r="CI95" s="29">
        <v>0</v>
      </c>
      <c r="CJ95" s="30">
        <f t="shared" si="113"/>
        <v>31</v>
      </c>
      <c r="CK95" s="28">
        <f>PRODUCTION!CL95+'SUPLIER INWARD'!CL95</f>
        <v>0</v>
      </c>
      <c r="CL95" s="151"/>
      <c r="CM95" s="152">
        <v>0</v>
      </c>
      <c r="CN95" s="30">
        <f t="shared" si="114"/>
        <v>31</v>
      </c>
      <c r="CO95" s="28">
        <f>PRODUCTION!CP95+'SUPLIER INWARD'!CP95</f>
        <v>0</v>
      </c>
      <c r="CP95" s="151"/>
      <c r="CQ95" s="29">
        <v>0</v>
      </c>
      <c r="CR95" s="30">
        <f t="shared" si="115"/>
        <v>31</v>
      </c>
      <c r="CS95" s="28">
        <f>PRODUCTION!CT95+'SUPLIER INWARD'!CT95</f>
        <v>0</v>
      </c>
      <c r="CT95" s="28"/>
      <c r="CU95" s="29">
        <v>0</v>
      </c>
      <c r="CV95" s="30">
        <f t="shared" si="116"/>
        <v>31</v>
      </c>
      <c r="CW95" s="28">
        <f>PRODUCTION!CX95+'SUPLIER INWARD'!CX95</f>
        <v>0</v>
      </c>
      <c r="CX95" s="28"/>
      <c r="CY95" s="29">
        <v>0</v>
      </c>
      <c r="CZ95" s="30">
        <f t="shared" si="117"/>
        <v>31</v>
      </c>
      <c r="DA95" s="28">
        <f>PRODUCTION!DB95+'SUPLIER INWARD'!DB95</f>
        <v>0</v>
      </c>
      <c r="DB95" s="28"/>
      <c r="DC95" s="29"/>
      <c r="DD95" s="30">
        <f t="shared" si="118"/>
        <v>31</v>
      </c>
      <c r="DE95" s="28">
        <f>PRODUCTION!DF95+'SUPLIER INWARD'!DF95</f>
        <v>1749</v>
      </c>
      <c r="DF95" s="28">
        <v>600</v>
      </c>
      <c r="DG95" s="29">
        <v>0</v>
      </c>
      <c r="DH95" s="30">
        <f t="shared" si="119"/>
        <v>1180</v>
      </c>
      <c r="DI95" s="28">
        <f>PRODUCTION!DJ95+'SUPLIER INWARD'!DJ95</f>
        <v>116</v>
      </c>
      <c r="DJ95" s="28">
        <v>1200</v>
      </c>
      <c r="DK95" s="29">
        <v>0</v>
      </c>
      <c r="DL95" s="30">
        <f t="shared" si="120"/>
        <v>96</v>
      </c>
      <c r="DM95" s="28">
        <f>PRODUCTION!DN95+'SUPLIER INWARD'!DN95</f>
        <v>0</v>
      </c>
      <c r="DN95" s="28"/>
      <c r="DO95" s="29"/>
      <c r="DP95" s="30">
        <f t="shared" si="121"/>
        <v>96</v>
      </c>
      <c r="DQ95" s="28">
        <f>PRODUCTION!DR95+'SUPLIER INWARD'!DR95</f>
        <v>0</v>
      </c>
      <c r="DR95" s="28"/>
      <c r="DS95" s="29"/>
      <c r="DT95" s="30">
        <f t="shared" si="122"/>
        <v>96</v>
      </c>
      <c r="DU95" s="28">
        <f>PRODUCTION!DV95+'SUPLIER INWARD'!DV95</f>
        <v>0</v>
      </c>
      <c r="DV95" s="28"/>
      <c r="DW95" s="29"/>
      <c r="DX95" s="30">
        <f t="shared" si="123"/>
        <v>96</v>
      </c>
      <c r="DY95" s="31">
        <f t="shared" si="124"/>
        <v>1865</v>
      </c>
      <c r="DZ95" s="31">
        <f t="shared" si="125"/>
        <v>1800</v>
      </c>
      <c r="EA95" s="4">
        <f t="shared" si="126"/>
        <v>0</v>
      </c>
      <c r="EB95" s="9">
        <f>D95*'MASTER SHEET'!D95</f>
        <v>1988.0299999999997</v>
      </c>
      <c r="EC95" s="9">
        <f>H95*'MASTER SHEET'!D95</f>
        <v>1988.0299999999997</v>
      </c>
      <c r="ED95" s="9">
        <f>L95*'MASTER SHEET'!D95</f>
        <v>1988.0299999999997</v>
      </c>
      <c r="EE95" s="9">
        <f>P95*'MASTER SHEET'!D95</f>
        <v>1988.0299999999997</v>
      </c>
      <c r="EF95" s="9">
        <f>T95*'MASTER SHEET'!D95</f>
        <v>1988.0299999999997</v>
      </c>
      <c r="EG95" s="9">
        <f>X95*'MASTER SHEET'!D95</f>
        <v>1988.0299999999997</v>
      </c>
      <c r="EH95" s="9">
        <f>AB95*'MASTER SHEET'!D95</f>
        <v>1988.0299999999997</v>
      </c>
      <c r="EI95" s="9">
        <f>AF95*'MASTER SHEET'!D95</f>
        <v>1988.0299999999997</v>
      </c>
      <c r="EJ95" s="9">
        <f>AJ95*'MASTER SHEET'!D95</f>
        <v>1988.0299999999997</v>
      </c>
      <c r="EK95" s="9">
        <f>AN95*'MASTER SHEET'!D95</f>
        <v>1988.0299999999997</v>
      </c>
      <c r="EL95" s="9">
        <f>AR95*'MASTER SHEET'!D95</f>
        <v>1988.0299999999997</v>
      </c>
      <c r="EM95" s="9">
        <f>AV95*'MASTER SHEET'!D95</f>
        <v>1988.0299999999997</v>
      </c>
      <c r="EN95" s="9">
        <f>AZ95*'MASTER SHEET'!D95</f>
        <v>1988.0299999999997</v>
      </c>
      <c r="EO95" s="9">
        <f>BD95*'MASTER SHEET'!D95</f>
        <v>1988.0299999999997</v>
      </c>
      <c r="EP95" s="9">
        <f>$BH95*'MASTER SHEET'!$D95</f>
        <v>1988.0299999999997</v>
      </c>
      <c r="EQ95" s="9">
        <f>BL95*'MASTER SHEET'!D95</f>
        <v>1988.0299999999997</v>
      </c>
      <c r="ER95" s="9">
        <f>BP95*'MASTER SHEET'!D95</f>
        <v>1988.0299999999997</v>
      </c>
      <c r="ES95" s="9">
        <f>BT95*'MASTER SHEET'!D95</f>
        <v>1988.0299999999997</v>
      </c>
      <c r="ET95" s="9">
        <f>BX95*'MASTER SHEET'!D95</f>
        <v>1988.0299999999997</v>
      </c>
      <c r="EU95" s="9">
        <f>CB95*'MASTER SHEET'!D95</f>
        <v>1988.0299999999997</v>
      </c>
      <c r="EV95" s="9">
        <f>CF95*'MASTER SHEET'!D95</f>
        <v>1988.0299999999997</v>
      </c>
      <c r="EW95" s="9">
        <f>CJ95*'MASTER SHEET'!D95</f>
        <v>1988.0299999999997</v>
      </c>
      <c r="EX95" s="9">
        <f>CN95*'MASTER SHEET'!D95</f>
        <v>1988.0299999999997</v>
      </c>
      <c r="EY95" s="9">
        <f>CR95*'MASTER SHEET'!D95</f>
        <v>1988.0299999999997</v>
      </c>
      <c r="EZ95" s="9">
        <f>$CV95*'MASTER SHEET'!D95</f>
        <v>1988.0299999999997</v>
      </c>
      <c r="FA95" s="9">
        <f>CZ95*'MASTER SHEET'!D95</f>
        <v>1988.0299999999997</v>
      </c>
      <c r="FB95" s="9">
        <f>DD95*'MASTER SHEET'!D95</f>
        <v>1988.0299999999997</v>
      </c>
      <c r="FC95" s="9">
        <f>DH95*'MASTER SHEET'!D95</f>
        <v>75673.399999999994</v>
      </c>
      <c r="FD95" s="9">
        <f>DL95*'MASTER SHEET'!D95</f>
        <v>6156.48</v>
      </c>
      <c r="FE95" s="9">
        <f>DP95*'MASTER SHEET'!D95</f>
        <v>6156.48</v>
      </c>
      <c r="FF95" s="9">
        <f>DT95*'MASTER SHEET'!D95</f>
        <v>6156.48</v>
      </c>
      <c r="FG95" s="9">
        <f>+DX95*'MASTER SHEET'!D95</f>
        <v>6156.48</v>
      </c>
    </row>
    <row r="96" spans="1:163" ht="20.25" customHeight="1" x14ac:dyDescent="0.25">
      <c r="A96" s="25">
        <f>'MASTER SHEET'!A96</f>
        <v>94</v>
      </c>
      <c r="B96" s="26" t="str">
        <f>'MASTER SHEET'!B96</f>
        <v>LOUVER PLASTIC</v>
      </c>
      <c r="C96" s="78">
        <f>'MASTER SHEET'!C96</f>
        <v>5024347</v>
      </c>
      <c r="D96" s="159">
        <v>633</v>
      </c>
      <c r="E96" s="28">
        <f>PRODUCTION!F96+'SUPLIER INWARD'!F96</f>
        <v>0</v>
      </c>
      <c r="F96" s="28"/>
      <c r="G96" s="29">
        <v>0</v>
      </c>
      <c r="H96" s="30">
        <f t="shared" si="93"/>
        <v>633</v>
      </c>
      <c r="I96" s="28">
        <f>PRODUCTION!J96+'SUPLIER INWARD'!J96</f>
        <v>0</v>
      </c>
      <c r="J96" s="28"/>
      <c r="K96" s="29">
        <v>0</v>
      </c>
      <c r="L96" s="30">
        <f t="shared" si="94"/>
        <v>633</v>
      </c>
      <c r="M96" s="28">
        <f>PRODUCTION!N96+'SUPLIER INWARD'!N96</f>
        <v>0</v>
      </c>
      <c r="N96" s="28"/>
      <c r="O96" s="29"/>
      <c r="P96" s="30">
        <f t="shared" si="95"/>
        <v>633</v>
      </c>
      <c r="Q96" s="28">
        <f>PRODUCTION!R96+'SUPLIER INWARD'!R96</f>
        <v>0</v>
      </c>
      <c r="R96" s="28"/>
      <c r="S96" s="29">
        <v>0</v>
      </c>
      <c r="T96" s="30">
        <f t="shared" si="96"/>
        <v>633</v>
      </c>
      <c r="U96" s="28">
        <f>PRODUCTION!V96+'SUPLIER INWARD'!V96</f>
        <v>0</v>
      </c>
      <c r="V96" s="28"/>
      <c r="W96" s="29">
        <v>0</v>
      </c>
      <c r="X96" s="30">
        <f t="shared" si="97"/>
        <v>633</v>
      </c>
      <c r="Y96" s="28">
        <f>PRODUCTION!Z96+'SUPLIER INWARD'!Z96</f>
        <v>0</v>
      </c>
      <c r="Z96" s="28"/>
      <c r="AA96" s="29">
        <v>0</v>
      </c>
      <c r="AB96" s="30">
        <f t="shared" si="98"/>
        <v>633</v>
      </c>
      <c r="AC96" s="28">
        <f>PRODUCTION!AD96+'SUPLIER INWARD'!AD96</f>
        <v>0</v>
      </c>
      <c r="AD96" s="28"/>
      <c r="AE96" s="29">
        <v>0</v>
      </c>
      <c r="AF96" s="30">
        <f t="shared" si="99"/>
        <v>633</v>
      </c>
      <c r="AG96" s="28">
        <f>PRODUCTION!AH96+'SUPLIER INWARD'!AH96</f>
        <v>0</v>
      </c>
      <c r="AH96" s="28"/>
      <c r="AI96" s="29">
        <v>0</v>
      </c>
      <c r="AJ96" s="30">
        <f t="shared" si="100"/>
        <v>633</v>
      </c>
      <c r="AK96" s="28">
        <f>PRODUCTION!AL96+'SUPLIER INWARD'!AL96</f>
        <v>0</v>
      </c>
      <c r="AL96" s="28"/>
      <c r="AM96" s="29">
        <v>0</v>
      </c>
      <c r="AN96" s="30">
        <f t="shared" si="101"/>
        <v>633</v>
      </c>
      <c r="AO96" s="28">
        <f>PRODUCTION!AP96+'SUPLIER INWARD'!AP96</f>
        <v>0</v>
      </c>
      <c r="AP96" s="28"/>
      <c r="AQ96" s="29">
        <v>0</v>
      </c>
      <c r="AR96" s="30">
        <f t="shared" si="102"/>
        <v>633</v>
      </c>
      <c r="AS96" s="28">
        <f>PRODUCTION!AT96+'SUPLIER INWARD'!AT96</f>
        <v>0</v>
      </c>
      <c r="AT96" s="28"/>
      <c r="AU96" s="29">
        <v>0</v>
      </c>
      <c r="AV96" s="30">
        <f t="shared" si="103"/>
        <v>633</v>
      </c>
      <c r="AW96" s="28">
        <f>PRODUCTION!AX96+'SUPLIER INWARD'!AX96</f>
        <v>0</v>
      </c>
      <c r="AX96" s="28"/>
      <c r="AY96" s="29"/>
      <c r="AZ96" s="30">
        <f t="shared" si="104"/>
        <v>633</v>
      </c>
      <c r="BA96" s="28">
        <f>PRODUCTION!BB96+'SUPLIER INWARD'!BB96</f>
        <v>0</v>
      </c>
      <c r="BB96" s="28"/>
      <c r="BC96" s="29">
        <v>0</v>
      </c>
      <c r="BD96" s="30">
        <f t="shared" si="105"/>
        <v>633</v>
      </c>
      <c r="BE96" s="28">
        <f>PRODUCTION!BF96+'SUPLIER INWARD'!BF96</f>
        <v>0</v>
      </c>
      <c r="BF96" s="28"/>
      <c r="BG96" s="29">
        <v>0</v>
      </c>
      <c r="BH96" s="30">
        <f t="shared" si="106"/>
        <v>633</v>
      </c>
      <c r="BI96" s="28">
        <f>PRODUCTION!BJ96+'SUPLIER INWARD'!BJ96</f>
        <v>0</v>
      </c>
      <c r="BJ96" s="28"/>
      <c r="BK96" s="29">
        <v>0</v>
      </c>
      <c r="BL96" s="30">
        <f t="shared" si="107"/>
        <v>633</v>
      </c>
      <c r="BM96" s="28">
        <f>PRODUCTION!BN96+'SUPLIER INWARD'!BN96</f>
        <v>0</v>
      </c>
      <c r="BN96" s="28"/>
      <c r="BO96" s="29">
        <v>0</v>
      </c>
      <c r="BP96" s="30">
        <f t="shared" si="108"/>
        <v>633</v>
      </c>
      <c r="BQ96" s="28">
        <f>PRODUCTION!BR96+'SUPLIER INWARD'!BR96</f>
        <v>0</v>
      </c>
      <c r="BR96" s="28"/>
      <c r="BS96" s="29">
        <v>0</v>
      </c>
      <c r="BT96" s="30">
        <f t="shared" si="109"/>
        <v>633</v>
      </c>
      <c r="BU96" s="28">
        <f>PRODUCTION!BV96+'SUPLIER INWARD'!BV96</f>
        <v>0</v>
      </c>
      <c r="BV96" s="28"/>
      <c r="BW96" s="29">
        <v>0</v>
      </c>
      <c r="BX96" s="30">
        <f t="shared" si="110"/>
        <v>633</v>
      </c>
      <c r="BY96" s="28">
        <f>PRODUCTION!BZ96+'SUPLIER INWARD'!BZ96</f>
        <v>0</v>
      </c>
      <c r="BZ96" s="28"/>
      <c r="CA96" s="29">
        <v>0</v>
      </c>
      <c r="CB96" s="30">
        <f t="shared" si="111"/>
        <v>633</v>
      </c>
      <c r="CC96" s="28">
        <f>PRODUCTION!CD96+'SUPLIER INWARD'!CD96</f>
        <v>0</v>
      </c>
      <c r="CD96" s="28"/>
      <c r="CE96" s="29">
        <v>0</v>
      </c>
      <c r="CF96" s="30">
        <f t="shared" si="112"/>
        <v>633</v>
      </c>
      <c r="CG96" s="28">
        <f>PRODUCTION!CH96+'SUPLIER INWARD'!CH96</f>
        <v>0</v>
      </c>
      <c r="CH96" s="28"/>
      <c r="CI96" s="29">
        <v>0</v>
      </c>
      <c r="CJ96" s="30">
        <f t="shared" si="113"/>
        <v>633</v>
      </c>
      <c r="CK96" s="28">
        <f>PRODUCTION!CL96+'SUPLIER INWARD'!CL96</f>
        <v>0</v>
      </c>
      <c r="CL96" s="151"/>
      <c r="CM96" s="152">
        <v>0</v>
      </c>
      <c r="CN96" s="30">
        <f t="shared" si="114"/>
        <v>633</v>
      </c>
      <c r="CO96" s="28">
        <f>PRODUCTION!CP96+'SUPLIER INWARD'!CP96</f>
        <v>0</v>
      </c>
      <c r="CP96" s="151"/>
      <c r="CQ96" s="29">
        <v>0</v>
      </c>
      <c r="CR96" s="30">
        <f t="shared" si="115"/>
        <v>633</v>
      </c>
      <c r="CS96" s="28">
        <f>PRODUCTION!CT96+'SUPLIER INWARD'!CT96</f>
        <v>0</v>
      </c>
      <c r="CT96" s="28"/>
      <c r="CU96" s="29">
        <v>0</v>
      </c>
      <c r="CV96" s="30">
        <f t="shared" si="116"/>
        <v>633</v>
      </c>
      <c r="CW96" s="28">
        <f>PRODUCTION!CX96+'SUPLIER INWARD'!CX96</f>
        <v>0</v>
      </c>
      <c r="CX96" s="28"/>
      <c r="CY96" s="29">
        <v>0</v>
      </c>
      <c r="CZ96" s="30">
        <f t="shared" si="117"/>
        <v>633</v>
      </c>
      <c r="DA96" s="28">
        <f>PRODUCTION!DB96+'SUPLIER INWARD'!DB96</f>
        <v>0</v>
      </c>
      <c r="DB96" s="28"/>
      <c r="DC96" s="29"/>
      <c r="DD96" s="30">
        <f t="shared" si="118"/>
        <v>633</v>
      </c>
      <c r="DE96" s="28">
        <f>PRODUCTION!DF96+'SUPLIER INWARD'!DF96</f>
        <v>0</v>
      </c>
      <c r="DF96" s="28"/>
      <c r="DG96" s="29">
        <v>0</v>
      </c>
      <c r="DH96" s="30">
        <f t="shared" si="119"/>
        <v>633</v>
      </c>
      <c r="DI96" s="28">
        <f>PRODUCTION!DJ96+'SUPLIER INWARD'!DJ96</f>
        <v>0</v>
      </c>
      <c r="DJ96" s="28"/>
      <c r="DK96" s="29">
        <v>0</v>
      </c>
      <c r="DL96" s="30">
        <f t="shared" si="120"/>
        <v>633</v>
      </c>
      <c r="DM96" s="28">
        <f>PRODUCTION!DN96+'SUPLIER INWARD'!DN96</f>
        <v>0</v>
      </c>
      <c r="DN96" s="28"/>
      <c r="DO96" s="29"/>
      <c r="DP96" s="30">
        <f t="shared" si="121"/>
        <v>633</v>
      </c>
      <c r="DQ96" s="28">
        <f>PRODUCTION!DR96+'SUPLIER INWARD'!DR96</f>
        <v>0</v>
      </c>
      <c r="DR96" s="28"/>
      <c r="DS96" s="29"/>
      <c r="DT96" s="30">
        <f t="shared" si="122"/>
        <v>633</v>
      </c>
      <c r="DU96" s="28">
        <f>PRODUCTION!DV96+'SUPLIER INWARD'!DV96</f>
        <v>0</v>
      </c>
      <c r="DV96" s="28"/>
      <c r="DW96" s="29"/>
      <c r="DX96" s="30">
        <f t="shared" si="123"/>
        <v>633</v>
      </c>
      <c r="DY96" s="31">
        <f t="shared" si="124"/>
        <v>0</v>
      </c>
      <c r="DZ96" s="31">
        <f t="shared" si="125"/>
        <v>0</v>
      </c>
      <c r="EA96" s="4">
        <f t="shared" si="126"/>
        <v>0</v>
      </c>
      <c r="EB96" s="9">
        <f>D96*'MASTER SHEET'!D96</f>
        <v>8450.5499999999993</v>
      </c>
      <c r="EC96" s="9">
        <f>H96*'MASTER SHEET'!D96</f>
        <v>8450.5499999999993</v>
      </c>
      <c r="ED96" s="9">
        <f>L96*'MASTER SHEET'!D96</f>
        <v>8450.5499999999993</v>
      </c>
      <c r="EE96" s="9">
        <f>P96*'MASTER SHEET'!D96</f>
        <v>8450.5499999999993</v>
      </c>
      <c r="EF96" s="9">
        <f>T96*'MASTER SHEET'!D96</f>
        <v>8450.5499999999993</v>
      </c>
      <c r="EG96" s="9">
        <f>X96*'MASTER SHEET'!D96</f>
        <v>8450.5499999999993</v>
      </c>
      <c r="EH96" s="9">
        <f>AB96*'MASTER SHEET'!D96</f>
        <v>8450.5499999999993</v>
      </c>
      <c r="EI96" s="9">
        <f>AF96*'MASTER SHEET'!D96</f>
        <v>8450.5499999999993</v>
      </c>
      <c r="EJ96" s="9">
        <f>AJ96*'MASTER SHEET'!D96</f>
        <v>8450.5499999999993</v>
      </c>
      <c r="EK96" s="9">
        <f>AN96*'MASTER SHEET'!D96</f>
        <v>8450.5499999999993</v>
      </c>
      <c r="EL96" s="9">
        <f>AR96*'MASTER SHEET'!D96</f>
        <v>8450.5499999999993</v>
      </c>
      <c r="EM96" s="9">
        <f>AV96*'MASTER SHEET'!D96</f>
        <v>8450.5499999999993</v>
      </c>
      <c r="EN96" s="9">
        <f>AZ96*'MASTER SHEET'!D96</f>
        <v>8450.5499999999993</v>
      </c>
      <c r="EO96" s="9">
        <f>BD96*'MASTER SHEET'!D96</f>
        <v>8450.5499999999993</v>
      </c>
      <c r="EP96" s="9">
        <f>$BH96*'MASTER SHEET'!$D96</f>
        <v>8450.5499999999993</v>
      </c>
      <c r="EQ96" s="9">
        <f>BL96*'MASTER SHEET'!D96</f>
        <v>8450.5499999999993</v>
      </c>
      <c r="ER96" s="9">
        <f>BP96*'MASTER SHEET'!D96</f>
        <v>8450.5499999999993</v>
      </c>
      <c r="ES96" s="9">
        <f>BT96*'MASTER SHEET'!D96</f>
        <v>8450.5499999999993</v>
      </c>
      <c r="ET96" s="9">
        <f>BX96*'MASTER SHEET'!D96</f>
        <v>8450.5499999999993</v>
      </c>
      <c r="EU96" s="9">
        <f>CB96*'MASTER SHEET'!D96</f>
        <v>8450.5499999999993</v>
      </c>
      <c r="EV96" s="9">
        <f>CF96*'MASTER SHEET'!D96</f>
        <v>8450.5499999999993</v>
      </c>
      <c r="EW96" s="9">
        <f>CJ96*'MASTER SHEET'!D96</f>
        <v>8450.5499999999993</v>
      </c>
      <c r="EX96" s="9">
        <f>CN96*'MASTER SHEET'!D96</f>
        <v>8450.5499999999993</v>
      </c>
      <c r="EY96" s="9">
        <f>CR96*'MASTER SHEET'!D96</f>
        <v>8450.5499999999993</v>
      </c>
      <c r="EZ96" s="9">
        <f>$CV96*'MASTER SHEET'!D96</f>
        <v>8450.5499999999993</v>
      </c>
      <c r="FA96" s="9">
        <f>CZ96*'MASTER SHEET'!D96</f>
        <v>8450.5499999999993</v>
      </c>
      <c r="FB96" s="9">
        <f>DD96*'MASTER SHEET'!D96</f>
        <v>8450.5499999999993</v>
      </c>
      <c r="FC96" s="9">
        <f>DH96*'MASTER SHEET'!D96</f>
        <v>8450.5499999999993</v>
      </c>
      <c r="FD96" s="9">
        <f>DL96*'MASTER SHEET'!D96</f>
        <v>8450.5499999999993</v>
      </c>
      <c r="FE96" s="9">
        <f>DP96*'MASTER SHEET'!D96</f>
        <v>8450.5499999999993</v>
      </c>
      <c r="FF96" s="9">
        <f>DT96*'MASTER SHEET'!D96</f>
        <v>8450.5499999999993</v>
      </c>
      <c r="FG96" s="9">
        <f>+DX96*'MASTER SHEET'!D96</f>
        <v>8450.5499999999993</v>
      </c>
    </row>
    <row r="97" spans="1:163" ht="20.25" customHeight="1" x14ac:dyDescent="0.25">
      <c r="A97" s="25">
        <f>'MASTER SHEET'!A97</f>
        <v>95</v>
      </c>
      <c r="B97" s="26" t="str">
        <f>'MASTER SHEET'!B97</f>
        <v>PRECLEANER, PLASTIC</v>
      </c>
      <c r="C97" s="78">
        <f>'MASTER SHEET'!C97</f>
        <v>5024345</v>
      </c>
      <c r="D97" s="159">
        <f>40+2+8</f>
        <v>50</v>
      </c>
      <c r="E97" s="28">
        <f>PRODUCTION!F97+'SUPLIER INWARD'!F97</f>
        <v>0</v>
      </c>
      <c r="F97" s="28"/>
      <c r="G97" s="29">
        <v>0</v>
      </c>
      <c r="H97" s="30">
        <f t="shared" si="93"/>
        <v>50</v>
      </c>
      <c r="I97" s="28">
        <f>PRODUCTION!J97+'SUPLIER INWARD'!J97</f>
        <v>0</v>
      </c>
      <c r="J97" s="28"/>
      <c r="K97" s="29">
        <v>0</v>
      </c>
      <c r="L97" s="30">
        <f t="shared" si="94"/>
        <v>50</v>
      </c>
      <c r="M97" s="28">
        <f>PRODUCTION!N97+'SUPLIER INWARD'!N97</f>
        <v>0</v>
      </c>
      <c r="N97" s="28"/>
      <c r="O97" s="29"/>
      <c r="P97" s="30">
        <f t="shared" si="95"/>
        <v>50</v>
      </c>
      <c r="Q97" s="28">
        <f>PRODUCTION!R97+'SUPLIER INWARD'!R97</f>
        <v>0</v>
      </c>
      <c r="R97" s="28"/>
      <c r="S97" s="29">
        <v>0</v>
      </c>
      <c r="T97" s="30">
        <f t="shared" si="96"/>
        <v>50</v>
      </c>
      <c r="U97" s="28">
        <f>PRODUCTION!V97+'SUPLIER INWARD'!V97</f>
        <v>0</v>
      </c>
      <c r="V97" s="28"/>
      <c r="W97" s="29">
        <v>0</v>
      </c>
      <c r="X97" s="30">
        <f t="shared" si="97"/>
        <v>50</v>
      </c>
      <c r="Y97" s="28">
        <f>PRODUCTION!Z97+'SUPLIER INWARD'!Z97</f>
        <v>0</v>
      </c>
      <c r="Z97" s="28"/>
      <c r="AA97" s="29">
        <v>0</v>
      </c>
      <c r="AB97" s="30">
        <f t="shared" si="98"/>
        <v>50</v>
      </c>
      <c r="AC97" s="28">
        <f>PRODUCTION!AD97+'SUPLIER INWARD'!AD97</f>
        <v>0</v>
      </c>
      <c r="AD97" s="28"/>
      <c r="AE97" s="29">
        <v>0</v>
      </c>
      <c r="AF97" s="30">
        <f t="shared" si="99"/>
        <v>50</v>
      </c>
      <c r="AG97" s="28">
        <f>PRODUCTION!AH97+'SUPLIER INWARD'!AH97</f>
        <v>0</v>
      </c>
      <c r="AH97" s="28"/>
      <c r="AI97" s="29">
        <v>0</v>
      </c>
      <c r="AJ97" s="30">
        <f t="shared" si="100"/>
        <v>50</v>
      </c>
      <c r="AK97" s="28">
        <f>PRODUCTION!AL97+'SUPLIER INWARD'!AL97</f>
        <v>0</v>
      </c>
      <c r="AL97" s="28"/>
      <c r="AM97" s="29">
        <v>0</v>
      </c>
      <c r="AN97" s="30">
        <f t="shared" si="101"/>
        <v>50</v>
      </c>
      <c r="AO97" s="28">
        <f>PRODUCTION!AP97+'SUPLIER INWARD'!AP97</f>
        <v>0</v>
      </c>
      <c r="AP97" s="28"/>
      <c r="AQ97" s="29">
        <v>0</v>
      </c>
      <c r="AR97" s="30">
        <f t="shared" si="102"/>
        <v>50</v>
      </c>
      <c r="AS97" s="28">
        <f>PRODUCTION!AT97+'SUPLIER INWARD'!AT97</f>
        <v>0</v>
      </c>
      <c r="AT97" s="28"/>
      <c r="AU97" s="29">
        <v>0</v>
      </c>
      <c r="AV97" s="30">
        <f t="shared" si="103"/>
        <v>50</v>
      </c>
      <c r="AW97" s="28">
        <f>PRODUCTION!AX97+'SUPLIER INWARD'!AX97</f>
        <v>0</v>
      </c>
      <c r="AX97" s="28"/>
      <c r="AY97" s="29"/>
      <c r="AZ97" s="30">
        <f t="shared" si="104"/>
        <v>50</v>
      </c>
      <c r="BA97" s="28">
        <f>PRODUCTION!BB97+'SUPLIER INWARD'!BB97</f>
        <v>0</v>
      </c>
      <c r="BB97" s="28"/>
      <c r="BC97" s="29">
        <v>0</v>
      </c>
      <c r="BD97" s="30">
        <f t="shared" si="105"/>
        <v>50</v>
      </c>
      <c r="BE97" s="28">
        <f>PRODUCTION!BF97+'SUPLIER INWARD'!BF97</f>
        <v>0</v>
      </c>
      <c r="BF97" s="28"/>
      <c r="BG97" s="29">
        <v>0</v>
      </c>
      <c r="BH97" s="30">
        <f t="shared" si="106"/>
        <v>50</v>
      </c>
      <c r="BI97" s="28">
        <f>PRODUCTION!BJ97+'SUPLIER INWARD'!BJ97</f>
        <v>0</v>
      </c>
      <c r="BJ97" s="28"/>
      <c r="BK97" s="29">
        <v>0</v>
      </c>
      <c r="BL97" s="30">
        <f t="shared" si="107"/>
        <v>50</v>
      </c>
      <c r="BM97" s="28">
        <f>PRODUCTION!BN97+'SUPLIER INWARD'!BN97</f>
        <v>0</v>
      </c>
      <c r="BN97" s="28"/>
      <c r="BO97" s="29">
        <v>0</v>
      </c>
      <c r="BP97" s="30">
        <f t="shared" si="108"/>
        <v>50</v>
      </c>
      <c r="BQ97" s="28">
        <f>PRODUCTION!BR97+'SUPLIER INWARD'!BR97</f>
        <v>0</v>
      </c>
      <c r="BR97" s="28"/>
      <c r="BS97" s="29">
        <v>0</v>
      </c>
      <c r="BT97" s="30">
        <f t="shared" si="109"/>
        <v>50</v>
      </c>
      <c r="BU97" s="28">
        <f>PRODUCTION!BV97+'SUPLIER INWARD'!BV97</f>
        <v>0</v>
      </c>
      <c r="BV97" s="28"/>
      <c r="BW97" s="29">
        <v>0</v>
      </c>
      <c r="BX97" s="30">
        <f t="shared" si="110"/>
        <v>50</v>
      </c>
      <c r="BY97" s="28">
        <f>PRODUCTION!BZ97+'SUPLIER INWARD'!BZ97</f>
        <v>0</v>
      </c>
      <c r="BZ97" s="28"/>
      <c r="CA97" s="29">
        <v>0</v>
      </c>
      <c r="CB97" s="30">
        <f t="shared" si="111"/>
        <v>50</v>
      </c>
      <c r="CC97" s="28">
        <f>PRODUCTION!CD97+'SUPLIER INWARD'!CD97</f>
        <v>0</v>
      </c>
      <c r="CD97" s="28"/>
      <c r="CE97" s="29">
        <v>0</v>
      </c>
      <c r="CF97" s="30">
        <f t="shared" si="112"/>
        <v>50</v>
      </c>
      <c r="CG97" s="28">
        <f>PRODUCTION!CH97+'SUPLIER INWARD'!CH97</f>
        <v>0</v>
      </c>
      <c r="CH97" s="28"/>
      <c r="CI97" s="29">
        <v>0</v>
      </c>
      <c r="CJ97" s="30">
        <f t="shared" si="113"/>
        <v>50</v>
      </c>
      <c r="CK97" s="28">
        <f>PRODUCTION!CL97+'SUPLIER INWARD'!CL97</f>
        <v>20</v>
      </c>
      <c r="CL97" s="151">
        <v>20</v>
      </c>
      <c r="CM97" s="152">
        <v>0</v>
      </c>
      <c r="CN97" s="30">
        <f t="shared" si="114"/>
        <v>50</v>
      </c>
      <c r="CO97" s="28">
        <f>PRODUCTION!CP97+'SUPLIER INWARD'!CP97</f>
        <v>0</v>
      </c>
      <c r="CP97" s="151"/>
      <c r="CQ97" s="29">
        <v>0</v>
      </c>
      <c r="CR97" s="30">
        <f t="shared" si="115"/>
        <v>50</v>
      </c>
      <c r="CS97" s="28">
        <f>PRODUCTION!CT97+'SUPLIER INWARD'!CT97</f>
        <v>0</v>
      </c>
      <c r="CT97" s="28"/>
      <c r="CU97" s="29">
        <v>0</v>
      </c>
      <c r="CV97" s="30">
        <f t="shared" si="116"/>
        <v>50</v>
      </c>
      <c r="CW97" s="28">
        <f>PRODUCTION!CX97+'SUPLIER INWARD'!CX97</f>
        <v>0</v>
      </c>
      <c r="CX97" s="28"/>
      <c r="CY97" s="29">
        <v>0</v>
      </c>
      <c r="CZ97" s="30">
        <f t="shared" si="117"/>
        <v>50</v>
      </c>
      <c r="DA97" s="28">
        <f>PRODUCTION!DB97+'SUPLIER INWARD'!DB97</f>
        <v>0</v>
      </c>
      <c r="DB97" s="28"/>
      <c r="DC97" s="29"/>
      <c r="DD97" s="30">
        <f t="shared" si="118"/>
        <v>50</v>
      </c>
      <c r="DE97" s="28">
        <f>PRODUCTION!DF97+'SUPLIER INWARD'!DF97</f>
        <v>0</v>
      </c>
      <c r="DF97" s="28"/>
      <c r="DG97" s="29">
        <v>0</v>
      </c>
      <c r="DH97" s="30">
        <f t="shared" si="119"/>
        <v>50</v>
      </c>
      <c r="DI97" s="28">
        <f>PRODUCTION!DJ97+'SUPLIER INWARD'!DJ97</f>
        <v>0</v>
      </c>
      <c r="DJ97" s="28">
        <v>30</v>
      </c>
      <c r="DK97" s="29">
        <v>1</v>
      </c>
      <c r="DL97" s="30">
        <f t="shared" si="120"/>
        <v>19</v>
      </c>
      <c r="DM97" s="28">
        <f>PRODUCTION!DN97+'SUPLIER INWARD'!DN97</f>
        <v>0</v>
      </c>
      <c r="DN97" s="28">
        <v>18</v>
      </c>
      <c r="DO97" s="29"/>
      <c r="DP97" s="30">
        <f t="shared" si="121"/>
        <v>1</v>
      </c>
      <c r="DQ97" s="28">
        <f>PRODUCTION!DR97+'SUPLIER INWARD'!DR97</f>
        <v>0</v>
      </c>
      <c r="DR97" s="28"/>
      <c r="DS97" s="29"/>
      <c r="DT97" s="30">
        <f t="shared" si="122"/>
        <v>1</v>
      </c>
      <c r="DU97" s="28">
        <f>PRODUCTION!DV97+'SUPLIER INWARD'!DV97</f>
        <v>0</v>
      </c>
      <c r="DV97" s="28"/>
      <c r="DW97" s="29"/>
      <c r="DX97" s="30">
        <f t="shared" si="123"/>
        <v>1</v>
      </c>
      <c r="DY97" s="31">
        <f t="shared" si="124"/>
        <v>20</v>
      </c>
      <c r="DZ97" s="31">
        <f t="shared" si="125"/>
        <v>68</v>
      </c>
      <c r="EA97" s="4">
        <f t="shared" si="126"/>
        <v>1</v>
      </c>
      <c r="EB97" s="9">
        <f>D97*'MASTER SHEET'!D97</f>
        <v>24737</v>
      </c>
      <c r="EC97" s="9">
        <f>H97*'MASTER SHEET'!D97</f>
        <v>24737</v>
      </c>
      <c r="ED97" s="9">
        <f>L97*'MASTER SHEET'!D97</f>
        <v>24737</v>
      </c>
      <c r="EE97" s="9">
        <f>P97*'MASTER SHEET'!D97</f>
        <v>24737</v>
      </c>
      <c r="EF97" s="9">
        <f>T97*'MASTER SHEET'!D97</f>
        <v>24737</v>
      </c>
      <c r="EG97" s="9">
        <f>X97*'MASTER SHEET'!D97</f>
        <v>24737</v>
      </c>
      <c r="EH97" s="9">
        <f>AB97*'MASTER SHEET'!D97</f>
        <v>24737</v>
      </c>
      <c r="EI97" s="9">
        <f>AF97*'MASTER SHEET'!D97</f>
        <v>24737</v>
      </c>
      <c r="EJ97" s="9">
        <f>AJ97*'MASTER SHEET'!D97</f>
        <v>24737</v>
      </c>
      <c r="EK97" s="9">
        <f>AN97*'MASTER SHEET'!D97</f>
        <v>24737</v>
      </c>
      <c r="EL97" s="9">
        <f>AR97*'MASTER SHEET'!D97</f>
        <v>24737</v>
      </c>
      <c r="EM97" s="9">
        <f>AV97*'MASTER SHEET'!D97</f>
        <v>24737</v>
      </c>
      <c r="EN97" s="9">
        <f>AZ97*'MASTER SHEET'!D97</f>
        <v>24737</v>
      </c>
      <c r="EO97" s="9">
        <f>BD97*'MASTER SHEET'!D97</f>
        <v>24737</v>
      </c>
      <c r="EP97" s="9">
        <f>$BH97*'MASTER SHEET'!$D97</f>
        <v>24737</v>
      </c>
      <c r="EQ97" s="9">
        <f>BL97*'MASTER SHEET'!D97</f>
        <v>24737</v>
      </c>
      <c r="ER97" s="9">
        <f>BP97*'MASTER SHEET'!D97</f>
        <v>24737</v>
      </c>
      <c r="ES97" s="9">
        <f>BT97*'MASTER SHEET'!D97</f>
        <v>24737</v>
      </c>
      <c r="ET97" s="9">
        <f>BX97*'MASTER SHEET'!D97</f>
        <v>24737</v>
      </c>
      <c r="EU97" s="9">
        <f>CB97*'MASTER SHEET'!D97</f>
        <v>24737</v>
      </c>
      <c r="EV97" s="9">
        <f>CF97*'MASTER SHEET'!D97</f>
        <v>24737</v>
      </c>
      <c r="EW97" s="9">
        <f>CJ97*'MASTER SHEET'!D97</f>
        <v>24737</v>
      </c>
      <c r="EX97" s="9">
        <f>CN97*'MASTER SHEET'!D97</f>
        <v>24737</v>
      </c>
      <c r="EY97" s="9">
        <f>CR97*'MASTER SHEET'!D97</f>
        <v>24737</v>
      </c>
      <c r="EZ97" s="9">
        <f>$CV97*'MASTER SHEET'!D97</f>
        <v>24737</v>
      </c>
      <c r="FA97" s="9">
        <f>CZ97*'MASTER SHEET'!D97</f>
        <v>24737</v>
      </c>
      <c r="FB97" s="9">
        <f>DD97*'MASTER SHEET'!D97</f>
        <v>24737</v>
      </c>
      <c r="FC97" s="9">
        <f>DH97*'MASTER SHEET'!D97</f>
        <v>24737</v>
      </c>
      <c r="FD97" s="9">
        <f>DL97*'MASTER SHEET'!D97</f>
        <v>9400.06</v>
      </c>
      <c r="FE97" s="9">
        <f>DP97*'MASTER SHEET'!D97</f>
        <v>494.74</v>
      </c>
      <c r="FF97" s="9">
        <f>DT97*'MASTER SHEET'!D97</f>
        <v>494.74</v>
      </c>
      <c r="FG97" s="9">
        <f>+DX97*'MASTER SHEET'!D97</f>
        <v>494.74</v>
      </c>
    </row>
    <row r="98" spans="1:163" ht="20.25" customHeight="1" x14ac:dyDescent="0.25">
      <c r="A98" s="25">
        <f>'MASTER SHEET'!A98</f>
        <v>96</v>
      </c>
      <c r="B98" s="26" t="str">
        <f>'MASTER SHEET'!B98</f>
        <v>PIPE PLASTIC</v>
      </c>
      <c r="C98" s="78">
        <f>'MASTER SHEET'!C98</f>
        <v>5025752</v>
      </c>
      <c r="D98" s="159">
        <v>153</v>
      </c>
      <c r="E98" s="28">
        <f>PRODUCTION!F98+'SUPLIER INWARD'!F98</f>
        <v>0</v>
      </c>
      <c r="F98" s="28"/>
      <c r="G98" s="29">
        <v>0</v>
      </c>
      <c r="H98" s="30">
        <f t="shared" si="93"/>
        <v>153</v>
      </c>
      <c r="I98" s="28">
        <f>PRODUCTION!J98+'SUPLIER INWARD'!J98</f>
        <v>0</v>
      </c>
      <c r="J98" s="28"/>
      <c r="K98" s="29">
        <v>0</v>
      </c>
      <c r="L98" s="30">
        <f t="shared" si="94"/>
        <v>153</v>
      </c>
      <c r="M98" s="28">
        <f>PRODUCTION!N98+'SUPLIER INWARD'!N98</f>
        <v>0</v>
      </c>
      <c r="N98" s="28"/>
      <c r="O98" s="29"/>
      <c r="P98" s="30">
        <f t="shared" si="95"/>
        <v>153</v>
      </c>
      <c r="Q98" s="28">
        <f>PRODUCTION!R98+'SUPLIER INWARD'!R98</f>
        <v>0</v>
      </c>
      <c r="R98" s="28"/>
      <c r="S98" s="29">
        <v>0</v>
      </c>
      <c r="T98" s="30">
        <f t="shared" si="96"/>
        <v>153</v>
      </c>
      <c r="U98" s="28">
        <f>PRODUCTION!V98+'SUPLIER INWARD'!V98</f>
        <v>0</v>
      </c>
      <c r="V98" s="28">
        <v>40</v>
      </c>
      <c r="W98" s="29">
        <v>0</v>
      </c>
      <c r="X98" s="30">
        <f t="shared" si="97"/>
        <v>113</v>
      </c>
      <c r="Y98" s="28">
        <f>PRODUCTION!Z98+'SUPLIER INWARD'!Z98</f>
        <v>0</v>
      </c>
      <c r="Z98" s="28">
        <v>40</v>
      </c>
      <c r="AA98" s="29">
        <v>0</v>
      </c>
      <c r="AB98" s="30">
        <f t="shared" si="98"/>
        <v>73</v>
      </c>
      <c r="AC98" s="28">
        <f>PRODUCTION!AD98+'SUPLIER INWARD'!AD98</f>
        <v>0</v>
      </c>
      <c r="AD98" s="28"/>
      <c r="AE98" s="29">
        <v>0</v>
      </c>
      <c r="AF98" s="30">
        <f t="shared" si="99"/>
        <v>73</v>
      </c>
      <c r="AG98" s="28">
        <f>PRODUCTION!AH98+'SUPLIER INWARD'!AH98</f>
        <v>0</v>
      </c>
      <c r="AH98" s="28"/>
      <c r="AI98" s="29">
        <v>0</v>
      </c>
      <c r="AJ98" s="30">
        <f t="shared" si="100"/>
        <v>73</v>
      </c>
      <c r="AK98" s="28">
        <f>PRODUCTION!AL98+'SUPLIER INWARD'!AL98</f>
        <v>0</v>
      </c>
      <c r="AL98" s="28"/>
      <c r="AM98" s="29">
        <v>0</v>
      </c>
      <c r="AN98" s="30">
        <f t="shared" si="101"/>
        <v>73</v>
      </c>
      <c r="AO98" s="28">
        <f>PRODUCTION!AP98+'SUPLIER INWARD'!AP98</f>
        <v>0</v>
      </c>
      <c r="AP98" s="28">
        <v>46</v>
      </c>
      <c r="AQ98" s="29">
        <v>0</v>
      </c>
      <c r="AR98" s="30">
        <f t="shared" si="102"/>
        <v>27</v>
      </c>
      <c r="AS98" s="28">
        <f>PRODUCTION!AT98+'SUPLIER INWARD'!AT98</f>
        <v>0</v>
      </c>
      <c r="AT98" s="28"/>
      <c r="AU98" s="29">
        <v>0</v>
      </c>
      <c r="AV98" s="30">
        <f t="shared" si="103"/>
        <v>27</v>
      </c>
      <c r="AW98" s="28">
        <f>PRODUCTION!AX98+'SUPLIER INWARD'!AX98</f>
        <v>0</v>
      </c>
      <c r="AX98" s="28"/>
      <c r="AY98" s="29"/>
      <c r="AZ98" s="30">
        <f t="shared" si="104"/>
        <v>27</v>
      </c>
      <c r="BA98" s="28">
        <f>PRODUCTION!BB98+'SUPLIER INWARD'!BB98</f>
        <v>0</v>
      </c>
      <c r="BB98" s="28"/>
      <c r="BC98" s="29">
        <v>0</v>
      </c>
      <c r="BD98" s="30">
        <f t="shared" si="105"/>
        <v>27</v>
      </c>
      <c r="BE98" s="28">
        <f>PRODUCTION!BF98+'SUPLIER INWARD'!BF98</f>
        <v>0</v>
      </c>
      <c r="BF98" s="28"/>
      <c r="BG98" s="29">
        <v>0</v>
      </c>
      <c r="BH98" s="30">
        <f t="shared" si="106"/>
        <v>27</v>
      </c>
      <c r="BI98" s="28">
        <f>PRODUCTION!BJ98+'SUPLIER INWARD'!BJ98</f>
        <v>0</v>
      </c>
      <c r="BJ98" s="28"/>
      <c r="BK98" s="29">
        <v>0</v>
      </c>
      <c r="BL98" s="30">
        <f t="shared" si="107"/>
        <v>27</v>
      </c>
      <c r="BM98" s="28">
        <f>PRODUCTION!BN98+'SUPLIER INWARD'!BN98</f>
        <v>0</v>
      </c>
      <c r="BN98" s="28"/>
      <c r="BO98" s="29">
        <v>0</v>
      </c>
      <c r="BP98" s="30">
        <f t="shared" si="108"/>
        <v>27</v>
      </c>
      <c r="BQ98" s="28">
        <f>PRODUCTION!BR98+'SUPLIER INWARD'!BR98</f>
        <v>0</v>
      </c>
      <c r="BR98" s="28"/>
      <c r="BS98" s="29">
        <v>0</v>
      </c>
      <c r="BT98" s="30">
        <f t="shared" si="109"/>
        <v>27</v>
      </c>
      <c r="BU98" s="28">
        <f>PRODUCTION!BV98+'SUPLIER INWARD'!BV98</f>
        <v>0</v>
      </c>
      <c r="BV98" s="28"/>
      <c r="BW98" s="29">
        <v>0</v>
      </c>
      <c r="BX98" s="30">
        <f t="shared" si="110"/>
        <v>27</v>
      </c>
      <c r="BY98" s="28">
        <f>PRODUCTION!BZ98+'SUPLIER INWARD'!BZ98</f>
        <v>0</v>
      </c>
      <c r="BZ98" s="28"/>
      <c r="CA98" s="29">
        <v>0</v>
      </c>
      <c r="CB98" s="30">
        <f t="shared" si="111"/>
        <v>27</v>
      </c>
      <c r="CC98" s="28">
        <f>PRODUCTION!CD98+'SUPLIER INWARD'!CD98</f>
        <v>0</v>
      </c>
      <c r="CD98" s="28"/>
      <c r="CE98" s="29">
        <v>0</v>
      </c>
      <c r="CF98" s="30">
        <f t="shared" si="112"/>
        <v>27</v>
      </c>
      <c r="CG98" s="28">
        <f>PRODUCTION!CH98+'SUPLIER INWARD'!CH98</f>
        <v>0</v>
      </c>
      <c r="CH98" s="28"/>
      <c r="CI98" s="29">
        <v>0</v>
      </c>
      <c r="CJ98" s="30">
        <f t="shared" si="113"/>
        <v>27</v>
      </c>
      <c r="CK98" s="28">
        <f>PRODUCTION!CL98+'SUPLIER INWARD'!CL98</f>
        <v>0</v>
      </c>
      <c r="CL98" s="151"/>
      <c r="CM98" s="152">
        <v>0</v>
      </c>
      <c r="CN98" s="30">
        <f t="shared" si="114"/>
        <v>27</v>
      </c>
      <c r="CO98" s="28">
        <f>PRODUCTION!CP98+'SUPLIER INWARD'!CP98</f>
        <v>0</v>
      </c>
      <c r="CP98" s="151"/>
      <c r="CQ98" s="29">
        <v>0</v>
      </c>
      <c r="CR98" s="30">
        <f t="shared" si="115"/>
        <v>27</v>
      </c>
      <c r="CS98" s="28">
        <f>PRODUCTION!CT98+'SUPLIER INWARD'!CT98</f>
        <v>0</v>
      </c>
      <c r="CT98" s="28"/>
      <c r="CU98" s="29">
        <v>0</v>
      </c>
      <c r="CV98" s="30">
        <f t="shared" si="116"/>
        <v>27</v>
      </c>
      <c r="CW98" s="28">
        <f>PRODUCTION!CX98+'SUPLIER INWARD'!CX98</f>
        <v>0</v>
      </c>
      <c r="CX98" s="28"/>
      <c r="CY98" s="29">
        <v>0</v>
      </c>
      <c r="CZ98" s="30">
        <f t="shared" si="117"/>
        <v>27</v>
      </c>
      <c r="DA98" s="28">
        <f>PRODUCTION!DB98+'SUPLIER INWARD'!DB98</f>
        <v>0</v>
      </c>
      <c r="DB98" s="28"/>
      <c r="DC98" s="29"/>
      <c r="DD98" s="30">
        <f t="shared" si="118"/>
        <v>27</v>
      </c>
      <c r="DE98" s="28">
        <f>PRODUCTION!DF98+'SUPLIER INWARD'!DF98</f>
        <v>0</v>
      </c>
      <c r="DF98" s="28"/>
      <c r="DG98" s="29">
        <v>0</v>
      </c>
      <c r="DH98" s="30">
        <f t="shared" si="119"/>
        <v>27</v>
      </c>
      <c r="DI98" s="28">
        <f>PRODUCTION!DJ98+'SUPLIER INWARD'!DJ98</f>
        <v>389</v>
      </c>
      <c r="DJ98" s="28"/>
      <c r="DK98" s="29">
        <v>0</v>
      </c>
      <c r="DL98" s="30">
        <f t="shared" si="120"/>
        <v>416</v>
      </c>
      <c r="DM98" s="28">
        <f>PRODUCTION!DN98+'SUPLIER INWARD'!DN98</f>
        <v>0</v>
      </c>
      <c r="DN98" s="28"/>
      <c r="DO98" s="29"/>
      <c r="DP98" s="30">
        <f t="shared" si="121"/>
        <v>416</v>
      </c>
      <c r="DQ98" s="28">
        <f>PRODUCTION!DR98+'SUPLIER INWARD'!DR98</f>
        <v>0</v>
      </c>
      <c r="DR98" s="28"/>
      <c r="DS98" s="29"/>
      <c r="DT98" s="30">
        <f t="shared" si="122"/>
        <v>416</v>
      </c>
      <c r="DU98" s="28">
        <f>PRODUCTION!DV98+'SUPLIER INWARD'!DV98</f>
        <v>0</v>
      </c>
      <c r="DV98" s="28"/>
      <c r="DW98" s="29"/>
      <c r="DX98" s="30">
        <f t="shared" si="123"/>
        <v>416</v>
      </c>
      <c r="DY98" s="31">
        <f t="shared" si="124"/>
        <v>389</v>
      </c>
      <c r="DZ98" s="31">
        <f t="shared" si="125"/>
        <v>126</v>
      </c>
      <c r="EA98" s="4">
        <f t="shared" si="126"/>
        <v>0</v>
      </c>
      <c r="EB98" s="9">
        <f>D98*'MASTER SHEET'!D98</f>
        <v>8413.4700000000012</v>
      </c>
      <c r="EC98" s="9">
        <f>H98*'MASTER SHEET'!D98</f>
        <v>8413.4700000000012</v>
      </c>
      <c r="ED98" s="9">
        <f>L98*'MASTER SHEET'!D98</f>
        <v>8413.4700000000012</v>
      </c>
      <c r="EE98" s="9">
        <f>P98*'MASTER SHEET'!D98</f>
        <v>8413.4700000000012</v>
      </c>
      <c r="EF98" s="9">
        <f>T98*'MASTER SHEET'!D98</f>
        <v>8413.4700000000012</v>
      </c>
      <c r="EG98" s="9">
        <f>X98*'MASTER SHEET'!D98</f>
        <v>6213.87</v>
      </c>
      <c r="EH98" s="9">
        <f>AB98*'MASTER SHEET'!D98</f>
        <v>4014.27</v>
      </c>
      <c r="EI98" s="9">
        <f>AF98*'MASTER SHEET'!D98</f>
        <v>4014.27</v>
      </c>
      <c r="EJ98" s="9">
        <f>AJ98*'MASTER SHEET'!D98</f>
        <v>4014.27</v>
      </c>
      <c r="EK98" s="9">
        <f>AN98*'MASTER SHEET'!D98</f>
        <v>4014.27</v>
      </c>
      <c r="EL98" s="9">
        <f>AR98*'MASTER SHEET'!D98</f>
        <v>1484.73</v>
      </c>
      <c r="EM98" s="9">
        <f>AV98*'MASTER SHEET'!D98</f>
        <v>1484.73</v>
      </c>
      <c r="EN98" s="9">
        <f>AZ98*'MASTER SHEET'!D98</f>
        <v>1484.73</v>
      </c>
      <c r="EO98" s="9">
        <f>BD98*'MASTER SHEET'!D98</f>
        <v>1484.73</v>
      </c>
      <c r="EP98" s="9">
        <f>$BH98*'MASTER SHEET'!$D98</f>
        <v>1484.73</v>
      </c>
      <c r="EQ98" s="9">
        <f>BL98*'MASTER SHEET'!D98</f>
        <v>1484.73</v>
      </c>
      <c r="ER98" s="9">
        <f>BP98*'MASTER SHEET'!D98</f>
        <v>1484.73</v>
      </c>
      <c r="ES98" s="9">
        <f>BT98*'MASTER SHEET'!D98</f>
        <v>1484.73</v>
      </c>
      <c r="ET98" s="9">
        <f>BX98*'MASTER SHEET'!D98</f>
        <v>1484.73</v>
      </c>
      <c r="EU98" s="9">
        <f>CB98*'MASTER SHEET'!D98</f>
        <v>1484.73</v>
      </c>
      <c r="EV98" s="9">
        <f>CF98*'MASTER SHEET'!D98</f>
        <v>1484.73</v>
      </c>
      <c r="EW98" s="9">
        <f>CJ98*'MASTER SHEET'!D98</f>
        <v>1484.73</v>
      </c>
      <c r="EX98" s="9">
        <f>CN98*'MASTER SHEET'!D98</f>
        <v>1484.73</v>
      </c>
      <c r="EY98" s="9">
        <f>CR98*'MASTER SHEET'!D98</f>
        <v>1484.73</v>
      </c>
      <c r="EZ98" s="9">
        <f>$CV98*'MASTER SHEET'!D98</f>
        <v>1484.73</v>
      </c>
      <c r="FA98" s="9">
        <f>CZ98*'MASTER SHEET'!D98</f>
        <v>1484.73</v>
      </c>
      <c r="FB98" s="9">
        <f>DD98*'MASTER SHEET'!D98</f>
        <v>1484.73</v>
      </c>
      <c r="FC98" s="9">
        <f>DH98*'MASTER SHEET'!D98</f>
        <v>1484.73</v>
      </c>
      <c r="FD98" s="9">
        <f>DL98*'MASTER SHEET'!D98</f>
        <v>22875.84</v>
      </c>
      <c r="FE98" s="9">
        <f>DP98*'MASTER SHEET'!D98</f>
        <v>22875.84</v>
      </c>
      <c r="FF98" s="9">
        <f>DT98*'MASTER SHEET'!D98</f>
        <v>22875.84</v>
      </c>
      <c r="FG98" s="9">
        <f>+DX98*'MASTER SHEET'!D98</f>
        <v>22875.84</v>
      </c>
    </row>
    <row r="99" spans="1:163" ht="20.25" customHeight="1" x14ac:dyDescent="0.25">
      <c r="A99" s="25">
        <f>'MASTER SHEET'!A99</f>
        <v>97</v>
      </c>
      <c r="B99" s="26" t="str">
        <f>'MASTER SHEET'!B99</f>
        <v>FIN ASSEMBLY</v>
      </c>
      <c r="C99" s="78">
        <f>'MASTER SHEET'!C99</f>
        <v>5025607</v>
      </c>
      <c r="D99" s="159">
        <v>9</v>
      </c>
      <c r="E99" s="28">
        <f>PRODUCTION!F99+'SUPLIER INWARD'!F99</f>
        <v>0</v>
      </c>
      <c r="F99" s="28"/>
      <c r="G99" s="29">
        <v>0</v>
      </c>
      <c r="H99" s="30">
        <f t="shared" ref="H99:H130" si="127">D99+E99-F99-G99</f>
        <v>9</v>
      </c>
      <c r="I99" s="28">
        <f>PRODUCTION!J99+'SUPLIER INWARD'!J99</f>
        <v>0</v>
      </c>
      <c r="J99" s="28"/>
      <c r="K99" s="29">
        <v>0</v>
      </c>
      <c r="L99" s="30">
        <f t="shared" ref="L99:L130" si="128">H99+I99-J99-K99</f>
        <v>9</v>
      </c>
      <c r="M99" s="28">
        <f>PRODUCTION!N99+'SUPLIER INWARD'!N99</f>
        <v>0</v>
      </c>
      <c r="N99" s="28"/>
      <c r="O99" s="29"/>
      <c r="P99" s="30">
        <f t="shared" ref="P99:P130" si="129">L99+M99-N99-O99</f>
        <v>9</v>
      </c>
      <c r="Q99" s="28">
        <f>PRODUCTION!R99+'SUPLIER INWARD'!R99</f>
        <v>0</v>
      </c>
      <c r="R99" s="28"/>
      <c r="S99" s="29">
        <v>0</v>
      </c>
      <c r="T99" s="30">
        <f t="shared" ref="T99:T130" si="130">P99+Q99-R99-S99</f>
        <v>9</v>
      </c>
      <c r="U99" s="28">
        <f>PRODUCTION!V99+'SUPLIER INWARD'!V99</f>
        <v>0</v>
      </c>
      <c r="V99" s="28"/>
      <c r="W99" s="29">
        <v>0</v>
      </c>
      <c r="X99" s="30">
        <f t="shared" ref="X99:X130" si="131">T99+U99-V99-W99</f>
        <v>9</v>
      </c>
      <c r="Y99" s="28">
        <f>PRODUCTION!Z99+'SUPLIER INWARD'!Z99</f>
        <v>0</v>
      </c>
      <c r="Z99" s="28">
        <v>9</v>
      </c>
      <c r="AA99" s="29">
        <v>0</v>
      </c>
      <c r="AB99" s="30">
        <f t="shared" ref="AB99:AB130" si="132">X99+Y99-Z99-AA99</f>
        <v>0</v>
      </c>
      <c r="AC99" s="28">
        <f>PRODUCTION!AD99+'SUPLIER INWARD'!AD99</f>
        <v>0</v>
      </c>
      <c r="AD99" s="28"/>
      <c r="AE99" s="29">
        <v>0</v>
      </c>
      <c r="AF99" s="30">
        <f t="shared" ref="AF99:AF130" si="133">AB99+AC99-AD99-AE99</f>
        <v>0</v>
      </c>
      <c r="AG99" s="28">
        <f>PRODUCTION!AH99+'SUPLIER INWARD'!AH99</f>
        <v>0</v>
      </c>
      <c r="AH99" s="28"/>
      <c r="AI99" s="29">
        <v>0</v>
      </c>
      <c r="AJ99" s="30">
        <f t="shared" ref="AJ99:AJ130" si="134">AF99+AG99-AH99-AI99</f>
        <v>0</v>
      </c>
      <c r="AK99" s="28">
        <f>PRODUCTION!AL99+'SUPLIER INWARD'!AL99</f>
        <v>0</v>
      </c>
      <c r="AL99" s="28"/>
      <c r="AM99" s="29">
        <v>0</v>
      </c>
      <c r="AN99" s="30">
        <f t="shared" ref="AN99:AN130" si="135">AJ99+AK99-AL99-AM99</f>
        <v>0</v>
      </c>
      <c r="AO99" s="28">
        <f>PRODUCTION!AP99+'SUPLIER INWARD'!AP99</f>
        <v>0</v>
      </c>
      <c r="AP99" s="28"/>
      <c r="AQ99" s="29">
        <v>0</v>
      </c>
      <c r="AR99" s="30">
        <f t="shared" ref="AR99:AR130" si="136">AN99+AO99-AP99-AQ99</f>
        <v>0</v>
      </c>
      <c r="AS99" s="28">
        <f>PRODUCTION!AT99+'SUPLIER INWARD'!AT99</f>
        <v>0</v>
      </c>
      <c r="AT99" s="28"/>
      <c r="AU99" s="29">
        <v>0</v>
      </c>
      <c r="AV99" s="30">
        <f t="shared" ref="AV99:AV130" si="137">AR99+AS99-AT99-AU99</f>
        <v>0</v>
      </c>
      <c r="AW99" s="28">
        <f>PRODUCTION!AX99+'SUPLIER INWARD'!AX99</f>
        <v>0</v>
      </c>
      <c r="AX99" s="28"/>
      <c r="AY99" s="29"/>
      <c r="AZ99" s="30">
        <f t="shared" ref="AZ99:AZ130" si="138">AV99+AW99-AX99-AY99</f>
        <v>0</v>
      </c>
      <c r="BA99" s="28">
        <f>PRODUCTION!BB99+'SUPLIER INWARD'!BB99</f>
        <v>0</v>
      </c>
      <c r="BB99" s="28"/>
      <c r="BC99" s="29">
        <v>0</v>
      </c>
      <c r="BD99" s="30">
        <f t="shared" ref="BD99:BD130" si="139">AZ99+BA99-BB99-BC99</f>
        <v>0</v>
      </c>
      <c r="BE99" s="28">
        <f>PRODUCTION!BF99+'SUPLIER INWARD'!BF99</f>
        <v>0</v>
      </c>
      <c r="BF99" s="28"/>
      <c r="BG99" s="29">
        <v>0</v>
      </c>
      <c r="BH99" s="30">
        <f t="shared" ref="BH99:BH130" si="140">BD99+BE99-BF99-BG99</f>
        <v>0</v>
      </c>
      <c r="BI99" s="28">
        <f>PRODUCTION!BJ99+'SUPLIER INWARD'!BJ99</f>
        <v>0</v>
      </c>
      <c r="BJ99" s="28"/>
      <c r="BK99" s="29">
        <v>0</v>
      </c>
      <c r="BL99" s="30">
        <f t="shared" ref="BL99:BL130" si="141">BH99+BI99-BJ99-BK99</f>
        <v>0</v>
      </c>
      <c r="BM99" s="28">
        <f>PRODUCTION!BN99+'SUPLIER INWARD'!BN99</f>
        <v>0</v>
      </c>
      <c r="BN99" s="28"/>
      <c r="BO99" s="29">
        <v>0</v>
      </c>
      <c r="BP99" s="30">
        <f t="shared" ref="BP99:BP130" si="142">BL99+BM99-BN99-BO99</f>
        <v>0</v>
      </c>
      <c r="BQ99" s="28">
        <f>PRODUCTION!BR99+'SUPLIER INWARD'!BR99</f>
        <v>0</v>
      </c>
      <c r="BR99" s="28"/>
      <c r="BS99" s="29">
        <v>0</v>
      </c>
      <c r="BT99" s="30">
        <f t="shared" ref="BT99:BT130" si="143">BP99+BQ99-BR99-BS99</f>
        <v>0</v>
      </c>
      <c r="BU99" s="28">
        <f>PRODUCTION!BV99+'SUPLIER INWARD'!BV99</f>
        <v>0</v>
      </c>
      <c r="BV99" s="28"/>
      <c r="BW99" s="29">
        <v>0</v>
      </c>
      <c r="BX99" s="30">
        <f t="shared" si="110"/>
        <v>0</v>
      </c>
      <c r="BY99" s="28">
        <f>PRODUCTION!BZ99+'SUPLIER INWARD'!BZ99</f>
        <v>0</v>
      </c>
      <c r="BZ99" s="28"/>
      <c r="CA99" s="29">
        <v>0</v>
      </c>
      <c r="CB99" s="30">
        <f t="shared" ref="CB99:CB130" si="144">BX99+BY99-BZ99-CA99</f>
        <v>0</v>
      </c>
      <c r="CC99" s="28">
        <f>PRODUCTION!CD99+'SUPLIER INWARD'!CD99</f>
        <v>0</v>
      </c>
      <c r="CD99" s="28"/>
      <c r="CE99" s="29">
        <v>0</v>
      </c>
      <c r="CF99" s="30">
        <f t="shared" ref="CF99:CF130" si="145">CB99+CC99-CD99-CE99</f>
        <v>0</v>
      </c>
      <c r="CG99" s="28">
        <f>PRODUCTION!CH99+'SUPLIER INWARD'!CH99</f>
        <v>0</v>
      </c>
      <c r="CH99" s="28"/>
      <c r="CI99" s="29">
        <v>0</v>
      </c>
      <c r="CJ99" s="30">
        <f t="shared" si="113"/>
        <v>0</v>
      </c>
      <c r="CK99" s="28">
        <f>PRODUCTION!CL99+'SUPLIER INWARD'!CL99</f>
        <v>0</v>
      </c>
      <c r="CL99" s="151"/>
      <c r="CM99" s="152">
        <v>0</v>
      </c>
      <c r="CN99" s="30">
        <f t="shared" si="114"/>
        <v>0</v>
      </c>
      <c r="CO99" s="28">
        <f>PRODUCTION!CP99+'SUPLIER INWARD'!CP99</f>
        <v>0</v>
      </c>
      <c r="CP99" s="151"/>
      <c r="CQ99" s="29">
        <v>0</v>
      </c>
      <c r="CR99" s="30">
        <f t="shared" si="115"/>
        <v>0</v>
      </c>
      <c r="CS99" s="28">
        <f>PRODUCTION!CT99+'SUPLIER INWARD'!CT99</f>
        <v>0</v>
      </c>
      <c r="CT99" s="28"/>
      <c r="CU99" s="29">
        <v>0</v>
      </c>
      <c r="CV99" s="30">
        <f t="shared" si="116"/>
        <v>0</v>
      </c>
      <c r="CW99" s="28">
        <f>PRODUCTION!CX99+'SUPLIER INWARD'!CX99</f>
        <v>0</v>
      </c>
      <c r="CX99" s="28"/>
      <c r="CY99" s="29">
        <v>0</v>
      </c>
      <c r="CZ99" s="30">
        <f t="shared" ref="CZ99:CZ130" si="146">CV99+CW99-CX99-CY99</f>
        <v>0</v>
      </c>
      <c r="DA99" s="28">
        <f>PRODUCTION!DB99+'SUPLIER INWARD'!DB99</f>
        <v>0</v>
      </c>
      <c r="DB99" s="28"/>
      <c r="DC99" s="29"/>
      <c r="DD99" s="30">
        <f t="shared" ref="DD99:DD130" si="147">CZ99+DA99-DB99-DC99</f>
        <v>0</v>
      </c>
      <c r="DE99" s="28">
        <f>PRODUCTION!DF99+'SUPLIER INWARD'!DF99</f>
        <v>0</v>
      </c>
      <c r="DF99" s="28"/>
      <c r="DG99" s="29">
        <v>0</v>
      </c>
      <c r="DH99" s="30">
        <f t="shared" ref="DH99:DH130" si="148">DD99+DE99-DF99-DG99</f>
        <v>0</v>
      </c>
      <c r="DI99" s="28">
        <f>PRODUCTION!DJ99+'SUPLIER INWARD'!DJ99</f>
        <v>0</v>
      </c>
      <c r="DJ99" s="28"/>
      <c r="DK99" s="29">
        <v>0</v>
      </c>
      <c r="DL99" s="30">
        <f t="shared" ref="DL99:DL130" si="149">DH99+DI99-DJ99-DK99</f>
        <v>0</v>
      </c>
      <c r="DM99" s="28">
        <f>PRODUCTION!DN99+'SUPLIER INWARD'!DN99</f>
        <v>0</v>
      </c>
      <c r="DN99" s="28"/>
      <c r="DO99" s="29"/>
      <c r="DP99" s="30">
        <f t="shared" ref="DP99:DP130" si="150">DL99+DM99-DN99-DO99</f>
        <v>0</v>
      </c>
      <c r="DQ99" s="28">
        <f>PRODUCTION!DR99+'SUPLIER INWARD'!DR99</f>
        <v>0</v>
      </c>
      <c r="DR99" s="28"/>
      <c r="DS99" s="29"/>
      <c r="DT99" s="30">
        <f t="shared" ref="DT99:DT130" si="151">DP99+DQ99-DR99-DS99</f>
        <v>0</v>
      </c>
      <c r="DU99" s="28">
        <f>PRODUCTION!DV99+'SUPLIER INWARD'!DV99</f>
        <v>0</v>
      </c>
      <c r="DV99" s="28"/>
      <c r="DW99" s="29"/>
      <c r="DX99" s="30">
        <f t="shared" ref="DX99:DX130" si="152">DT99+DU99-DV99-DW99</f>
        <v>0</v>
      </c>
      <c r="DY99" s="31">
        <f t="shared" ref="DY99:DY108" si="153">E99+I99+M99+Q99+U99+Y99+AC99+AG99+AK99+AO99+AS99+AW99+BA99+BE99+BI99+BM99+BQ99+BU99+BY99+CC99+CG99+CK99+CO99+CS99+CW99+DA99+DE99+DI99+DM99+DQ99+DU99</f>
        <v>0</v>
      </c>
      <c r="DZ99" s="31">
        <f t="shared" ref="DZ99:DZ108" si="154">F99+J99+N99+R99+V99+Z99+AD99+AH99+AL99+AP99+AT99+AX99+BB99+BF99+BJ99+BN99+BR99+BV99+BZ99+CD99+CH99+CL99+CP99+CT99+CX99+DB99+DF99+DJ99+DN99+DR99+DV99</f>
        <v>9</v>
      </c>
      <c r="EA99" s="4">
        <f t="shared" ref="EA99:EA108" si="155">G99+K99+O99+S99+W99+AA99+AE99+AI99+AM99+AQ99+AU99+AY99+BC99+BG99+BK99+BO99+BS99+BW99+CA99+CE99+CI99+CM99+CQ99+CU99+CY99+DC99+DG99+DK99+DO99+DS99+DW99</f>
        <v>0</v>
      </c>
      <c r="EB99" s="9">
        <f>D99*'MASTER SHEET'!D99</f>
        <v>956.52</v>
      </c>
      <c r="EC99" s="9">
        <f>H99*'MASTER SHEET'!D99</f>
        <v>956.52</v>
      </c>
      <c r="ED99" s="9">
        <f>L99*'MASTER SHEET'!D99</f>
        <v>956.52</v>
      </c>
      <c r="EE99" s="9">
        <f>P99*'MASTER SHEET'!D99</f>
        <v>956.52</v>
      </c>
      <c r="EF99" s="9">
        <f>T99*'MASTER SHEET'!D99</f>
        <v>956.52</v>
      </c>
      <c r="EG99" s="9">
        <f>X99*'MASTER SHEET'!D99</f>
        <v>956.52</v>
      </c>
      <c r="EH99" s="9">
        <f>AB99*'MASTER SHEET'!D99</f>
        <v>0</v>
      </c>
      <c r="EI99" s="9">
        <f>AF99*'MASTER SHEET'!D99</f>
        <v>0</v>
      </c>
      <c r="EJ99" s="9">
        <f>AJ99*'MASTER SHEET'!D99</f>
        <v>0</v>
      </c>
      <c r="EK99" s="9">
        <f>AN99*'MASTER SHEET'!D99</f>
        <v>0</v>
      </c>
      <c r="EL99" s="9">
        <f>AR99*'MASTER SHEET'!D99</f>
        <v>0</v>
      </c>
      <c r="EM99" s="9">
        <f>AV99*'MASTER SHEET'!D99</f>
        <v>0</v>
      </c>
      <c r="EN99" s="9">
        <f>AZ99*'MASTER SHEET'!D99</f>
        <v>0</v>
      </c>
      <c r="EO99" s="9">
        <f>BD99*'MASTER SHEET'!D99</f>
        <v>0</v>
      </c>
      <c r="EP99" s="9">
        <f>$BH99*'MASTER SHEET'!$D99</f>
        <v>0</v>
      </c>
      <c r="EQ99" s="9">
        <f>BL99*'MASTER SHEET'!D99</f>
        <v>0</v>
      </c>
      <c r="ER99" s="9">
        <f>BP99*'MASTER SHEET'!D99</f>
        <v>0</v>
      </c>
      <c r="ES99" s="9">
        <f>BT99*'MASTER SHEET'!D99</f>
        <v>0</v>
      </c>
      <c r="ET99" s="9">
        <f>BX99*'MASTER SHEET'!D99</f>
        <v>0</v>
      </c>
      <c r="EU99" s="9">
        <f>CB99*'MASTER SHEET'!D99</f>
        <v>0</v>
      </c>
      <c r="EV99" s="9">
        <f>CF99*'MASTER SHEET'!D99</f>
        <v>0</v>
      </c>
      <c r="EW99" s="9">
        <f>CJ99*'MASTER SHEET'!D99</f>
        <v>0</v>
      </c>
      <c r="EX99" s="9">
        <f>CN99*'MASTER SHEET'!D99</f>
        <v>0</v>
      </c>
      <c r="EY99" s="9">
        <f>CR99*'MASTER SHEET'!D99</f>
        <v>0</v>
      </c>
      <c r="EZ99" s="9">
        <f>$CV99*'MASTER SHEET'!D99</f>
        <v>0</v>
      </c>
      <c r="FA99" s="9">
        <f>CZ99*'MASTER SHEET'!D99</f>
        <v>0</v>
      </c>
      <c r="FB99" s="9">
        <f>DD99*'MASTER SHEET'!D99</f>
        <v>0</v>
      </c>
      <c r="FC99" s="9">
        <f>DH99*'MASTER SHEET'!D99</f>
        <v>0</v>
      </c>
      <c r="FD99" s="9">
        <f>DL99*'MASTER SHEET'!D99</f>
        <v>0</v>
      </c>
      <c r="FE99" s="9">
        <f>DP99*'MASTER SHEET'!D99</f>
        <v>0</v>
      </c>
      <c r="FF99" s="9">
        <f>DT99*'MASTER SHEET'!D99</f>
        <v>0</v>
      </c>
      <c r="FG99" s="9">
        <f>+DX99*'MASTER SHEET'!D99</f>
        <v>0</v>
      </c>
    </row>
    <row r="100" spans="1:163" ht="20.25" customHeight="1" x14ac:dyDescent="0.25">
      <c r="A100" s="25">
        <f>'MASTER SHEET'!A100</f>
        <v>98</v>
      </c>
      <c r="B100" s="26" t="str">
        <f>'MASTER SHEET'!B100</f>
        <v>PIPE PLASTIC</v>
      </c>
      <c r="C100" s="78">
        <f>'MASTER SHEET'!C100</f>
        <v>5029411</v>
      </c>
      <c r="D100" s="159">
        <v>73</v>
      </c>
      <c r="E100" s="28">
        <f>PRODUCTION!F100+'SUPLIER INWARD'!F100</f>
        <v>0</v>
      </c>
      <c r="F100" s="28"/>
      <c r="G100" s="29">
        <v>0</v>
      </c>
      <c r="H100" s="30">
        <f t="shared" si="127"/>
        <v>73</v>
      </c>
      <c r="I100" s="28">
        <f>PRODUCTION!J100+'SUPLIER INWARD'!J100</f>
        <v>0</v>
      </c>
      <c r="J100" s="28"/>
      <c r="K100" s="29">
        <v>0</v>
      </c>
      <c r="L100" s="30">
        <f t="shared" si="128"/>
        <v>73</v>
      </c>
      <c r="M100" s="28">
        <f>PRODUCTION!N100+'SUPLIER INWARD'!N100</f>
        <v>0</v>
      </c>
      <c r="N100" s="28"/>
      <c r="O100" s="29"/>
      <c r="P100" s="30">
        <f t="shared" si="129"/>
        <v>73</v>
      </c>
      <c r="Q100" s="28">
        <f>PRODUCTION!R100+'SUPLIER INWARD'!R100</f>
        <v>0</v>
      </c>
      <c r="R100" s="28"/>
      <c r="S100" s="29">
        <v>0</v>
      </c>
      <c r="T100" s="30">
        <f t="shared" si="130"/>
        <v>73</v>
      </c>
      <c r="U100" s="28">
        <f>PRODUCTION!V100+'SUPLIER INWARD'!V100</f>
        <v>0</v>
      </c>
      <c r="V100" s="28"/>
      <c r="W100" s="29">
        <v>0</v>
      </c>
      <c r="X100" s="30">
        <f t="shared" si="131"/>
        <v>73</v>
      </c>
      <c r="Y100" s="28">
        <f>PRODUCTION!Z100+'SUPLIER INWARD'!Z100</f>
        <v>0</v>
      </c>
      <c r="Z100" s="28"/>
      <c r="AA100" s="29">
        <v>0</v>
      </c>
      <c r="AB100" s="30">
        <f t="shared" si="132"/>
        <v>73</v>
      </c>
      <c r="AC100" s="28">
        <f>PRODUCTION!AD100+'SUPLIER INWARD'!AD100</f>
        <v>0</v>
      </c>
      <c r="AD100" s="28"/>
      <c r="AE100" s="29">
        <v>0</v>
      </c>
      <c r="AF100" s="30">
        <f t="shared" si="133"/>
        <v>73</v>
      </c>
      <c r="AG100" s="28">
        <f>PRODUCTION!AH100+'SUPLIER INWARD'!AH100</f>
        <v>0</v>
      </c>
      <c r="AH100" s="28"/>
      <c r="AI100" s="29">
        <v>0</v>
      </c>
      <c r="AJ100" s="30">
        <f t="shared" si="134"/>
        <v>73</v>
      </c>
      <c r="AK100" s="28">
        <f>PRODUCTION!AL100+'SUPLIER INWARD'!AL100</f>
        <v>0</v>
      </c>
      <c r="AL100" s="28"/>
      <c r="AM100" s="29">
        <v>0</v>
      </c>
      <c r="AN100" s="30">
        <f t="shared" si="135"/>
        <v>73</v>
      </c>
      <c r="AO100" s="28">
        <f>PRODUCTION!AP100+'SUPLIER INWARD'!AP100</f>
        <v>0</v>
      </c>
      <c r="AP100" s="28"/>
      <c r="AQ100" s="29">
        <v>0</v>
      </c>
      <c r="AR100" s="30">
        <f t="shared" si="136"/>
        <v>73</v>
      </c>
      <c r="AS100" s="28">
        <f>PRODUCTION!AT100+'SUPLIER INWARD'!AT100</f>
        <v>0</v>
      </c>
      <c r="AT100" s="28"/>
      <c r="AU100" s="29">
        <v>0</v>
      </c>
      <c r="AV100" s="30">
        <f t="shared" si="137"/>
        <v>73</v>
      </c>
      <c r="AW100" s="28">
        <f>PRODUCTION!AX100+'SUPLIER INWARD'!AX100</f>
        <v>0</v>
      </c>
      <c r="AX100" s="28"/>
      <c r="AY100" s="29"/>
      <c r="AZ100" s="30">
        <f t="shared" si="138"/>
        <v>73</v>
      </c>
      <c r="BA100" s="28">
        <f>PRODUCTION!BB100+'SUPLIER INWARD'!BB100</f>
        <v>0</v>
      </c>
      <c r="BB100" s="28"/>
      <c r="BC100" s="29">
        <v>0</v>
      </c>
      <c r="BD100" s="30">
        <f t="shared" si="139"/>
        <v>73</v>
      </c>
      <c r="BE100" s="28">
        <f>PRODUCTION!BF100+'SUPLIER INWARD'!BF100</f>
        <v>0</v>
      </c>
      <c r="BF100" s="28"/>
      <c r="BG100" s="29">
        <v>0</v>
      </c>
      <c r="BH100" s="30">
        <f t="shared" si="140"/>
        <v>73</v>
      </c>
      <c r="BI100" s="28">
        <f>PRODUCTION!BJ100+'SUPLIER INWARD'!BJ100</f>
        <v>0</v>
      </c>
      <c r="BJ100" s="28">
        <v>50</v>
      </c>
      <c r="BK100" s="29">
        <v>0</v>
      </c>
      <c r="BL100" s="30">
        <f t="shared" si="141"/>
        <v>23</v>
      </c>
      <c r="BM100" s="28">
        <f>PRODUCTION!BN100+'SUPLIER INWARD'!BN100</f>
        <v>0</v>
      </c>
      <c r="BN100" s="28"/>
      <c r="BO100" s="29">
        <v>0</v>
      </c>
      <c r="BP100" s="30">
        <f t="shared" si="142"/>
        <v>23</v>
      </c>
      <c r="BQ100" s="28">
        <f>PRODUCTION!BR100+'SUPLIER INWARD'!BR100</f>
        <v>0</v>
      </c>
      <c r="BR100" s="28"/>
      <c r="BS100" s="29">
        <v>0</v>
      </c>
      <c r="BT100" s="30">
        <f t="shared" si="143"/>
        <v>23</v>
      </c>
      <c r="BU100" s="28">
        <f>PRODUCTION!BV100+'SUPLIER INWARD'!BV100</f>
        <v>0</v>
      </c>
      <c r="BV100" s="28"/>
      <c r="BW100" s="29">
        <v>0</v>
      </c>
      <c r="BX100" s="30">
        <f t="shared" si="110"/>
        <v>23</v>
      </c>
      <c r="BY100" s="28">
        <f>PRODUCTION!BZ100+'SUPLIER INWARD'!BZ100</f>
        <v>0</v>
      </c>
      <c r="BZ100" s="28"/>
      <c r="CA100" s="29">
        <v>0</v>
      </c>
      <c r="CB100" s="30">
        <f t="shared" si="144"/>
        <v>23</v>
      </c>
      <c r="CC100" s="28">
        <f>PRODUCTION!CD100+'SUPLIER INWARD'!CD100</f>
        <v>0</v>
      </c>
      <c r="CD100" s="28"/>
      <c r="CE100" s="29">
        <v>0</v>
      </c>
      <c r="CF100" s="30">
        <f t="shared" si="145"/>
        <v>23</v>
      </c>
      <c r="CG100" s="28">
        <f>PRODUCTION!CH100+'SUPLIER INWARD'!CH100</f>
        <v>0</v>
      </c>
      <c r="CH100" s="28"/>
      <c r="CI100" s="29">
        <v>0</v>
      </c>
      <c r="CJ100" s="30">
        <f t="shared" si="113"/>
        <v>23</v>
      </c>
      <c r="CK100" s="28">
        <f>PRODUCTION!CL100+'SUPLIER INWARD'!CL100</f>
        <v>0</v>
      </c>
      <c r="CL100" s="151"/>
      <c r="CM100" s="152">
        <v>0</v>
      </c>
      <c r="CN100" s="30">
        <f t="shared" si="114"/>
        <v>23</v>
      </c>
      <c r="CO100" s="28">
        <f>PRODUCTION!CP100+'SUPLIER INWARD'!CP100</f>
        <v>0</v>
      </c>
      <c r="CP100" s="151"/>
      <c r="CQ100" s="29">
        <v>0</v>
      </c>
      <c r="CR100" s="30">
        <f t="shared" si="115"/>
        <v>23</v>
      </c>
      <c r="CS100" s="28">
        <f>PRODUCTION!CT100+'SUPLIER INWARD'!CT100</f>
        <v>114</v>
      </c>
      <c r="CT100" s="28"/>
      <c r="CU100" s="29">
        <v>0</v>
      </c>
      <c r="CV100" s="30">
        <f t="shared" si="116"/>
        <v>137</v>
      </c>
      <c r="CW100" s="28">
        <f>PRODUCTION!CX100+'SUPLIER INWARD'!CX100</f>
        <v>245</v>
      </c>
      <c r="CX100" s="28">
        <v>210</v>
      </c>
      <c r="CY100" s="29">
        <v>2</v>
      </c>
      <c r="CZ100" s="30">
        <f t="shared" si="146"/>
        <v>170</v>
      </c>
      <c r="DA100" s="28">
        <f>PRODUCTION!DB100+'SUPLIER INWARD'!DB100</f>
        <v>0</v>
      </c>
      <c r="DB100" s="28"/>
      <c r="DC100" s="29"/>
      <c r="DD100" s="30">
        <f t="shared" si="147"/>
        <v>170</v>
      </c>
      <c r="DE100" s="28">
        <f>PRODUCTION!DF100+'SUPLIER INWARD'!DF100</f>
        <v>0</v>
      </c>
      <c r="DF100" s="28"/>
      <c r="DG100" s="29">
        <v>0</v>
      </c>
      <c r="DH100" s="30">
        <f t="shared" si="148"/>
        <v>170</v>
      </c>
      <c r="DI100" s="28">
        <f>PRODUCTION!DJ100+'SUPLIER INWARD'!DJ100</f>
        <v>0</v>
      </c>
      <c r="DJ100" s="28"/>
      <c r="DK100" s="29">
        <v>0</v>
      </c>
      <c r="DL100" s="30">
        <f t="shared" si="149"/>
        <v>170</v>
      </c>
      <c r="DM100" s="28">
        <f>PRODUCTION!DN100+'SUPLIER INWARD'!DN100</f>
        <v>0</v>
      </c>
      <c r="DN100" s="28"/>
      <c r="DO100" s="29"/>
      <c r="DP100" s="30">
        <f t="shared" si="150"/>
        <v>170</v>
      </c>
      <c r="DQ100" s="28">
        <f>PRODUCTION!DR100+'SUPLIER INWARD'!DR100</f>
        <v>0</v>
      </c>
      <c r="DR100" s="28"/>
      <c r="DS100" s="29"/>
      <c r="DT100" s="30">
        <f t="shared" si="151"/>
        <v>170</v>
      </c>
      <c r="DU100" s="28">
        <f>PRODUCTION!DV100+'SUPLIER INWARD'!DV100</f>
        <v>0</v>
      </c>
      <c r="DV100" s="28"/>
      <c r="DW100" s="29"/>
      <c r="DX100" s="30">
        <f t="shared" si="152"/>
        <v>170</v>
      </c>
      <c r="DY100" s="31">
        <f t="shared" si="153"/>
        <v>359</v>
      </c>
      <c r="DZ100" s="31">
        <f t="shared" si="154"/>
        <v>260</v>
      </c>
      <c r="EA100" s="4">
        <f t="shared" si="155"/>
        <v>2</v>
      </c>
      <c r="EB100" s="9">
        <f>D100*'MASTER SHEET'!D100</f>
        <v>7779.61</v>
      </c>
      <c r="EC100" s="9">
        <f>H100*'MASTER SHEET'!D100</f>
        <v>7779.61</v>
      </c>
      <c r="ED100" s="9">
        <f>L100*'MASTER SHEET'!D100</f>
        <v>7779.61</v>
      </c>
      <c r="EE100" s="9">
        <f>P100*'MASTER SHEET'!D100</f>
        <v>7779.61</v>
      </c>
      <c r="EF100" s="9">
        <f>T100*'MASTER SHEET'!D100</f>
        <v>7779.61</v>
      </c>
      <c r="EG100" s="9">
        <f>X100*'MASTER SHEET'!D100</f>
        <v>7779.61</v>
      </c>
      <c r="EH100" s="9">
        <f>AB100*'MASTER SHEET'!D100</f>
        <v>7779.61</v>
      </c>
      <c r="EI100" s="9">
        <f>AF100*'MASTER SHEET'!D100</f>
        <v>7779.61</v>
      </c>
      <c r="EJ100" s="9">
        <f>AJ100*'MASTER SHEET'!D100</f>
        <v>7779.61</v>
      </c>
      <c r="EK100" s="9">
        <f>AN100*'MASTER SHEET'!D100</f>
        <v>7779.61</v>
      </c>
      <c r="EL100" s="9">
        <f>AR100*'MASTER SHEET'!D100</f>
        <v>7779.61</v>
      </c>
      <c r="EM100" s="9">
        <f>AV100*'MASTER SHEET'!D100</f>
        <v>7779.61</v>
      </c>
      <c r="EN100" s="9">
        <f>AZ100*'MASTER SHEET'!D100</f>
        <v>7779.61</v>
      </c>
      <c r="EO100" s="9">
        <f>BD100*'MASTER SHEET'!D100</f>
        <v>7779.61</v>
      </c>
      <c r="EP100" s="9">
        <f>$BH100*'MASTER SHEET'!$D100</f>
        <v>7779.61</v>
      </c>
      <c r="EQ100" s="9">
        <f>BL100*'MASTER SHEET'!D100</f>
        <v>2451.1099999999997</v>
      </c>
      <c r="ER100" s="9">
        <f>BP100*'MASTER SHEET'!D100</f>
        <v>2451.1099999999997</v>
      </c>
      <c r="ES100" s="9">
        <f>BT100*'MASTER SHEET'!D100</f>
        <v>2451.1099999999997</v>
      </c>
      <c r="ET100" s="9">
        <f>BX100*'MASTER SHEET'!D100</f>
        <v>2451.1099999999997</v>
      </c>
      <c r="EU100" s="9">
        <f>CB100*'MASTER SHEET'!D100</f>
        <v>2451.1099999999997</v>
      </c>
      <c r="EV100" s="9">
        <f>CF100*'MASTER SHEET'!D100</f>
        <v>2451.1099999999997</v>
      </c>
      <c r="EW100" s="9">
        <f>CJ100*'MASTER SHEET'!D100</f>
        <v>2451.1099999999997</v>
      </c>
      <c r="EX100" s="9">
        <f>CN100*'MASTER SHEET'!D100</f>
        <v>2451.1099999999997</v>
      </c>
      <c r="EY100" s="9">
        <f>CR100*'MASTER SHEET'!D100</f>
        <v>2451.1099999999997</v>
      </c>
      <c r="EZ100" s="9">
        <f>$CV100*'MASTER SHEET'!D100</f>
        <v>14600.089999999998</v>
      </c>
      <c r="FA100" s="9">
        <f>CZ100*'MASTER SHEET'!D100</f>
        <v>18116.899999999998</v>
      </c>
      <c r="FB100" s="9">
        <f>DD100*'MASTER SHEET'!D100</f>
        <v>18116.899999999998</v>
      </c>
      <c r="FC100" s="9">
        <f>DH100*'MASTER SHEET'!D100</f>
        <v>18116.899999999998</v>
      </c>
      <c r="FD100" s="9">
        <f>DL100*'MASTER SHEET'!D100</f>
        <v>18116.899999999998</v>
      </c>
      <c r="FE100" s="9">
        <f>DP100*'MASTER SHEET'!D100</f>
        <v>18116.899999999998</v>
      </c>
      <c r="FF100" s="9">
        <f>DT100*'MASTER SHEET'!D100</f>
        <v>18116.899999999998</v>
      </c>
      <c r="FG100" s="9">
        <f>+DX100*'MASTER SHEET'!D100</f>
        <v>18116.899999999998</v>
      </c>
    </row>
    <row r="101" spans="1:163" s="10" customFormat="1" ht="20.25" customHeight="1" x14ac:dyDescent="0.25">
      <c r="A101" s="25">
        <f>'MASTER SHEET'!A101</f>
        <v>99</v>
      </c>
      <c r="B101" s="26" t="str">
        <f>'MASTER SHEET'!B101</f>
        <v>RING PLASTIC</v>
      </c>
      <c r="C101" s="78">
        <f>'MASTER SHEET'!C101</f>
        <v>5031751</v>
      </c>
      <c r="D101" s="159">
        <v>0</v>
      </c>
      <c r="E101" s="28">
        <f>PRODUCTION!F101+'SUPLIER INWARD'!F101</f>
        <v>0</v>
      </c>
      <c r="F101" s="28"/>
      <c r="G101" s="29">
        <v>0</v>
      </c>
      <c r="H101" s="30">
        <f t="shared" si="127"/>
        <v>0</v>
      </c>
      <c r="I101" s="28">
        <f>PRODUCTION!J101+'SUPLIER INWARD'!J101</f>
        <v>0</v>
      </c>
      <c r="J101" s="28"/>
      <c r="K101" s="29">
        <v>0</v>
      </c>
      <c r="L101" s="30">
        <f t="shared" si="128"/>
        <v>0</v>
      </c>
      <c r="M101" s="28">
        <f>PRODUCTION!N101+'SUPLIER INWARD'!N101</f>
        <v>0</v>
      </c>
      <c r="N101" s="28"/>
      <c r="O101" s="29"/>
      <c r="P101" s="30">
        <f t="shared" si="129"/>
        <v>0</v>
      </c>
      <c r="Q101" s="28">
        <f>PRODUCTION!R101+'SUPLIER INWARD'!R101</f>
        <v>0</v>
      </c>
      <c r="R101" s="28"/>
      <c r="S101" s="29">
        <v>0</v>
      </c>
      <c r="T101" s="30">
        <f t="shared" si="130"/>
        <v>0</v>
      </c>
      <c r="U101" s="28">
        <f>PRODUCTION!V101+'SUPLIER INWARD'!V101</f>
        <v>0</v>
      </c>
      <c r="V101" s="28"/>
      <c r="W101" s="29">
        <v>0</v>
      </c>
      <c r="X101" s="30">
        <f t="shared" si="131"/>
        <v>0</v>
      </c>
      <c r="Y101" s="28">
        <f>PRODUCTION!Z101+'SUPLIER INWARD'!Z101</f>
        <v>0</v>
      </c>
      <c r="Z101" s="28"/>
      <c r="AA101" s="29">
        <v>0</v>
      </c>
      <c r="AB101" s="30">
        <f t="shared" si="132"/>
        <v>0</v>
      </c>
      <c r="AC101" s="28">
        <f>PRODUCTION!AD101+'SUPLIER INWARD'!AD101</f>
        <v>0</v>
      </c>
      <c r="AD101" s="28"/>
      <c r="AE101" s="29">
        <v>0</v>
      </c>
      <c r="AF101" s="30">
        <f t="shared" si="133"/>
        <v>0</v>
      </c>
      <c r="AG101" s="28">
        <f>PRODUCTION!AH101+'SUPLIER INWARD'!AH101</f>
        <v>0</v>
      </c>
      <c r="AH101" s="28"/>
      <c r="AI101" s="29">
        <v>0</v>
      </c>
      <c r="AJ101" s="30">
        <f t="shared" si="134"/>
        <v>0</v>
      </c>
      <c r="AK101" s="28">
        <f>PRODUCTION!AL101+'SUPLIER INWARD'!AL101</f>
        <v>0</v>
      </c>
      <c r="AL101" s="28"/>
      <c r="AM101" s="29">
        <v>0</v>
      </c>
      <c r="AN101" s="30">
        <f t="shared" si="135"/>
        <v>0</v>
      </c>
      <c r="AO101" s="28">
        <f>PRODUCTION!AP101+'SUPLIER INWARD'!AP101</f>
        <v>0</v>
      </c>
      <c r="AP101" s="28"/>
      <c r="AQ101" s="29">
        <v>0</v>
      </c>
      <c r="AR101" s="30">
        <f t="shared" si="136"/>
        <v>0</v>
      </c>
      <c r="AS101" s="28">
        <f>PRODUCTION!AT101+'SUPLIER INWARD'!AT101</f>
        <v>0</v>
      </c>
      <c r="AT101" s="28"/>
      <c r="AU101" s="29">
        <v>0</v>
      </c>
      <c r="AV101" s="30">
        <f t="shared" si="137"/>
        <v>0</v>
      </c>
      <c r="AW101" s="28">
        <f>PRODUCTION!AX101+'SUPLIER INWARD'!AX101</f>
        <v>0</v>
      </c>
      <c r="AX101" s="28"/>
      <c r="AY101" s="29"/>
      <c r="AZ101" s="30">
        <f t="shared" si="138"/>
        <v>0</v>
      </c>
      <c r="BA101" s="28">
        <f>PRODUCTION!BB101+'SUPLIER INWARD'!BB101</f>
        <v>0</v>
      </c>
      <c r="BB101" s="28"/>
      <c r="BC101" s="29">
        <v>0</v>
      </c>
      <c r="BD101" s="30">
        <f t="shared" si="139"/>
        <v>0</v>
      </c>
      <c r="BE101" s="28">
        <f>PRODUCTION!BF101+'SUPLIER INWARD'!BF101</f>
        <v>0</v>
      </c>
      <c r="BF101" s="28"/>
      <c r="BG101" s="29">
        <v>0</v>
      </c>
      <c r="BH101" s="30">
        <f t="shared" si="140"/>
        <v>0</v>
      </c>
      <c r="BI101" s="28">
        <f>PRODUCTION!BJ101+'SUPLIER INWARD'!BJ101</f>
        <v>0</v>
      </c>
      <c r="BJ101" s="28"/>
      <c r="BK101" s="29">
        <v>0</v>
      </c>
      <c r="BL101" s="30">
        <f t="shared" si="141"/>
        <v>0</v>
      </c>
      <c r="BM101" s="28">
        <f>PRODUCTION!BN101+'SUPLIER INWARD'!BN101</f>
        <v>0</v>
      </c>
      <c r="BN101" s="28"/>
      <c r="BO101" s="29">
        <v>0</v>
      </c>
      <c r="BP101" s="30">
        <f t="shared" si="142"/>
        <v>0</v>
      </c>
      <c r="BQ101" s="28">
        <f>PRODUCTION!BR101+'SUPLIER INWARD'!BR101</f>
        <v>0</v>
      </c>
      <c r="BR101" s="28"/>
      <c r="BS101" s="29">
        <v>0</v>
      </c>
      <c r="BT101" s="30">
        <f t="shared" si="143"/>
        <v>0</v>
      </c>
      <c r="BU101" s="28">
        <f>PRODUCTION!BV101+'SUPLIER INWARD'!BV101</f>
        <v>0</v>
      </c>
      <c r="BV101" s="28"/>
      <c r="BW101" s="29">
        <v>0</v>
      </c>
      <c r="BX101" s="30">
        <f t="shared" si="110"/>
        <v>0</v>
      </c>
      <c r="BY101" s="28">
        <f>PRODUCTION!BZ101+'SUPLIER INWARD'!BZ101</f>
        <v>0</v>
      </c>
      <c r="BZ101" s="28"/>
      <c r="CA101" s="29">
        <v>0</v>
      </c>
      <c r="CB101" s="30">
        <f t="shared" si="144"/>
        <v>0</v>
      </c>
      <c r="CC101" s="28">
        <f>PRODUCTION!CD101+'SUPLIER INWARD'!CD101</f>
        <v>0</v>
      </c>
      <c r="CD101" s="28"/>
      <c r="CE101" s="29">
        <v>0</v>
      </c>
      <c r="CF101" s="30">
        <f t="shared" si="145"/>
        <v>0</v>
      </c>
      <c r="CG101" s="28">
        <f>PRODUCTION!CH101+'SUPLIER INWARD'!CH101</f>
        <v>0</v>
      </c>
      <c r="CH101" s="28"/>
      <c r="CI101" s="29">
        <v>0</v>
      </c>
      <c r="CJ101" s="30">
        <f t="shared" si="113"/>
        <v>0</v>
      </c>
      <c r="CK101" s="28">
        <f>PRODUCTION!CL101+'SUPLIER INWARD'!CL101</f>
        <v>0</v>
      </c>
      <c r="CL101" s="151"/>
      <c r="CM101" s="152">
        <v>0</v>
      </c>
      <c r="CN101" s="30">
        <f t="shared" si="114"/>
        <v>0</v>
      </c>
      <c r="CO101" s="28">
        <f>PRODUCTION!CP101+'SUPLIER INWARD'!CP101</f>
        <v>0</v>
      </c>
      <c r="CP101" s="151"/>
      <c r="CQ101" s="29">
        <v>0</v>
      </c>
      <c r="CR101" s="30">
        <f t="shared" si="115"/>
        <v>0</v>
      </c>
      <c r="CS101" s="28">
        <f>PRODUCTION!CT101+'SUPLIER INWARD'!CT101</f>
        <v>0</v>
      </c>
      <c r="CT101" s="28"/>
      <c r="CU101" s="29">
        <v>0</v>
      </c>
      <c r="CV101" s="30">
        <f t="shared" si="116"/>
        <v>0</v>
      </c>
      <c r="CW101" s="28">
        <f>PRODUCTION!CX101+'SUPLIER INWARD'!CX101</f>
        <v>0</v>
      </c>
      <c r="CX101" s="28"/>
      <c r="CY101" s="29">
        <v>0</v>
      </c>
      <c r="CZ101" s="30">
        <f t="shared" si="146"/>
        <v>0</v>
      </c>
      <c r="DA101" s="28">
        <f>PRODUCTION!DB101+'SUPLIER INWARD'!DB101</f>
        <v>0</v>
      </c>
      <c r="DB101" s="28"/>
      <c r="DC101" s="29"/>
      <c r="DD101" s="30">
        <f t="shared" si="147"/>
        <v>0</v>
      </c>
      <c r="DE101" s="28">
        <f>PRODUCTION!DF101+'SUPLIER INWARD'!DF101</f>
        <v>0</v>
      </c>
      <c r="DF101" s="28"/>
      <c r="DG101" s="29">
        <v>0</v>
      </c>
      <c r="DH101" s="30">
        <f t="shared" si="148"/>
        <v>0</v>
      </c>
      <c r="DI101" s="28">
        <f>PRODUCTION!DJ101+'SUPLIER INWARD'!DJ101</f>
        <v>0</v>
      </c>
      <c r="DJ101" s="28"/>
      <c r="DK101" s="29">
        <v>0</v>
      </c>
      <c r="DL101" s="30">
        <f t="shared" si="149"/>
        <v>0</v>
      </c>
      <c r="DM101" s="28">
        <f>PRODUCTION!DN101+'SUPLIER INWARD'!DN101</f>
        <v>0</v>
      </c>
      <c r="DN101" s="28"/>
      <c r="DO101" s="29"/>
      <c r="DP101" s="30">
        <f t="shared" si="150"/>
        <v>0</v>
      </c>
      <c r="DQ101" s="28">
        <f>PRODUCTION!DR101+'SUPLIER INWARD'!DR101</f>
        <v>0</v>
      </c>
      <c r="DR101" s="28"/>
      <c r="DS101" s="29"/>
      <c r="DT101" s="30">
        <f t="shared" si="151"/>
        <v>0</v>
      </c>
      <c r="DU101" s="28">
        <f>PRODUCTION!DV101+'SUPLIER INWARD'!DV101</f>
        <v>0</v>
      </c>
      <c r="DV101" s="28"/>
      <c r="DW101" s="29"/>
      <c r="DX101" s="30">
        <f t="shared" si="152"/>
        <v>0</v>
      </c>
      <c r="DY101" s="31">
        <f t="shared" si="153"/>
        <v>0</v>
      </c>
      <c r="DZ101" s="31">
        <f t="shared" si="154"/>
        <v>0</v>
      </c>
      <c r="EA101" s="4">
        <f t="shared" si="155"/>
        <v>0</v>
      </c>
      <c r="EB101" s="9">
        <f>D101*'MASTER SHEET'!D101</f>
        <v>0</v>
      </c>
      <c r="EC101" s="9">
        <f>H101*'MASTER SHEET'!D101</f>
        <v>0</v>
      </c>
      <c r="ED101" s="9">
        <f>L101*'MASTER SHEET'!D101</f>
        <v>0</v>
      </c>
      <c r="EE101" s="9">
        <f>P101*'MASTER SHEET'!D101</f>
        <v>0</v>
      </c>
      <c r="EF101" s="9">
        <f>T101*'MASTER SHEET'!D101</f>
        <v>0</v>
      </c>
      <c r="EG101" s="9">
        <f>X101*'MASTER SHEET'!D101</f>
        <v>0</v>
      </c>
      <c r="EH101" s="9">
        <f>AB101*'MASTER SHEET'!D101</f>
        <v>0</v>
      </c>
      <c r="EI101" s="9">
        <f>AF101*'MASTER SHEET'!D101</f>
        <v>0</v>
      </c>
      <c r="EJ101" s="9">
        <f>AJ101*'MASTER SHEET'!D101</f>
        <v>0</v>
      </c>
      <c r="EK101" s="9">
        <f>AN101*'MASTER SHEET'!D101</f>
        <v>0</v>
      </c>
      <c r="EL101" s="9">
        <f>AR101*'MASTER SHEET'!D101</f>
        <v>0</v>
      </c>
      <c r="EM101" s="9">
        <f>AV101*'MASTER SHEET'!D101</f>
        <v>0</v>
      </c>
      <c r="EN101" s="9">
        <f>AZ101*'MASTER SHEET'!D101</f>
        <v>0</v>
      </c>
      <c r="EO101" s="9">
        <f>BD101*'MASTER SHEET'!D101</f>
        <v>0</v>
      </c>
      <c r="EP101" s="9">
        <f>$BH101*'MASTER SHEET'!$D101</f>
        <v>0</v>
      </c>
      <c r="EQ101" s="9">
        <f>BL101*'MASTER SHEET'!D101</f>
        <v>0</v>
      </c>
      <c r="ER101" s="9">
        <f>BP101*'MASTER SHEET'!D101</f>
        <v>0</v>
      </c>
      <c r="ES101" s="9">
        <f>BT101*'MASTER SHEET'!D101</f>
        <v>0</v>
      </c>
      <c r="ET101" s="9">
        <f>BX101*'MASTER SHEET'!D101</f>
        <v>0</v>
      </c>
      <c r="EU101" s="9">
        <f>CB101*'MASTER SHEET'!D101</f>
        <v>0</v>
      </c>
      <c r="EV101" s="9">
        <f>CF101*'MASTER SHEET'!D101</f>
        <v>0</v>
      </c>
      <c r="EW101" s="9">
        <f>CJ101*'MASTER SHEET'!D101</f>
        <v>0</v>
      </c>
      <c r="EX101" s="9">
        <f>CN101*'MASTER SHEET'!D101</f>
        <v>0</v>
      </c>
      <c r="EY101" s="9">
        <f>CR101*'MASTER SHEET'!D101</f>
        <v>0</v>
      </c>
      <c r="EZ101" s="9">
        <f>$CV101*'MASTER SHEET'!D101</f>
        <v>0</v>
      </c>
      <c r="FA101" s="9">
        <f>CZ101*'MASTER SHEET'!D101</f>
        <v>0</v>
      </c>
      <c r="FB101" s="9">
        <f>DD101*'MASTER SHEET'!D101</f>
        <v>0</v>
      </c>
      <c r="FC101" s="9">
        <f>DH101*'MASTER SHEET'!D101</f>
        <v>0</v>
      </c>
      <c r="FD101" s="9">
        <f>DL101*'MASTER SHEET'!D101</f>
        <v>0</v>
      </c>
      <c r="FE101" s="9">
        <f>DP101*'MASTER SHEET'!D101</f>
        <v>0</v>
      </c>
      <c r="FF101" s="9">
        <f>DT101*'MASTER SHEET'!D101</f>
        <v>0</v>
      </c>
      <c r="FG101" s="9">
        <f>+DX101*'MASTER SHEET'!D101</f>
        <v>0</v>
      </c>
    </row>
    <row r="102" spans="1:163" ht="20.25" customHeight="1" x14ac:dyDescent="0.25">
      <c r="A102" s="25">
        <f>'MASTER SHEET'!A102</f>
        <v>100</v>
      </c>
      <c r="B102" s="26" t="str">
        <f>'MASTER SHEET'!B102</f>
        <v>WIREMESH</v>
      </c>
      <c r="C102" s="78">
        <f>'MASTER SHEET'!C102</f>
        <v>5017139</v>
      </c>
      <c r="D102" s="159">
        <v>6353</v>
      </c>
      <c r="E102" s="28">
        <f>PRODUCTION!F102+'SUPLIER INWARD'!F102</f>
        <v>0</v>
      </c>
      <c r="F102" s="28"/>
      <c r="G102" s="29">
        <v>0</v>
      </c>
      <c r="H102" s="30">
        <f t="shared" si="127"/>
        <v>6353</v>
      </c>
      <c r="I102" s="28">
        <f>PRODUCTION!J102+'SUPLIER INWARD'!J102</f>
        <v>0</v>
      </c>
      <c r="J102" s="28"/>
      <c r="K102" s="29">
        <v>0</v>
      </c>
      <c r="L102" s="30">
        <f t="shared" si="128"/>
        <v>6353</v>
      </c>
      <c r="M102" s="28">
        <f>PRODUCTION!N102+'SUPLIER INWARD'!N102</f>
        <v>0</v>
      </c>
      <c r="N102" s="28"/>
      <c r="O102" s="29"/>
      <c r="P102" s="30">
        <f t="shared" si="129"/>
        <v>6353</v>
      </c>
      <c r="Q102" s="28">
        <f>PRODUCTION!R102+'SUPLIER INWARD'!R102</f>
        <v>0</v>
      </c>
      <c r="R102" s="28">
        <v>1800</v>
      </c>
      <c r="S102" s="29">
        <v>1</v>
      </c>
      <c r="T102" s="30">
        <f t="shared" si="130"/>
        <v>4552</v>
      </c>
      <c r="U102" s="28">
        <f>PRODUCTION!V102+'SUPLIER INWARD'!V102</f>
        <v>0</v>
      </c>
      <c r="V102" s="28">
        <v>720</v>
      </c>
      <c r="W102" s="29">
        <v>0</v>
      </c>
      <c r="X102" s="30">
        <f t="shared" si="131"/>
        <v>3832</v>
      </c>
      <c r="Y102" s="28">
        <f>PRODUCTION!Z102+'SUPLIER INWARD'!Z102</f>
        <v>6122</v>
      </c>
      <c r="Z102" s="28">
        <v>1200</v>
      </c>
      <c r="AA102" s="29">
        <v>2</v>
      </c>
      <c r="AB102" s="30">
        <f t="shared" si="132"/>
        <v>8752</v>
      </c>
      <c r="AC102" s="28">
        <f>PRODUCTION!AD102+'SUPLIER INWARD'!AD102</f>
        <v>0</v>
      </c>
      <c r="AD102" s="28">
        <v>600</v>
      </c>
      <c r="AE102" s="29">
        <v>2</v>
      </c>
      <c r="AF102" s="30">
        <f t="shared" si="133"/>
        <v>8150</v>
      </c>
      <c r="AG102" s="28">
        <f>PRODUCTION!AH102+'SUPLIER INWARD'!AH102</f>
        <v>0</v>
      </c>
      <c r="AH102" s="28"/>
      <c r="AI102" s="29">
        <v>0</v>
      </c>
      <c r="AJ102" s="30">
        <f t="shared" si="134"/>
        <v>8150</v>
      </c>
      <c r="AK102" s="28">
        <f>PRODUCTION!AL102+'SUPLIER INWARD'!AL102</f>
        <v>0</v>
      </c>
      <c r="AL102" s="146">
        <v>1440</v>
      </c>
      <c r="AM102" s="29">
        <v>0</v>
      </c>
      <c r="AN102" s="30">
        <f t="shared" si="135"/>
        <v>6710</v>
      </c>
      <c r="AO102" s="28">
        <f>PRODUCTION!AP102+'SUPLIER INWARD'!AP102</f>
        <v>0</v>
      </c>
      <c r="AP102" s="28"/>
      <c r="AQ102" s="29">
        <v>0</v>
      </c>
      <c r="AR102" s="30">
        <f t="shared" si="136"/>
        <v>6710</v>
      </c>
      <c r="AS102" s="28">
        <f>PRODUCTION!AT102+'SUPLIER INWARD'!AT102</f>
        <v>0</v>
      </c>
      <c r="AT102" s="28">
        <v>840</v>
      </c>
      <c r="AU102" s="29">
        <v>11</v>
      </c>
      <c r="AV102" s="30">
        <f t="shared" si="137"/>
        <v>5859</v>
      </c>
      <c r="AW102" s="28">
        <f>PRODUCTION!AX102+'SUPLIER INWARD'!AX102</f>
        <v>0</v>
      </c>
      <c r="AX102" s="28"/>
      <c r="AY102" s="29"/>
      <c r="AZ102" s="30">
        <f t="shared" si="138"/>
        <v>5859</v>
      </c>
      <c r="BA102" s="28">
        <f>PRODUCTION!BB102+'SUPLIER INWARD'!BB102</f>
        <v>0</v>
      </c>
      <c r="BB102" s="28"/>
      <c r="BC102" s="29">
        <v>0</v>
      </c>
      <c r="BD102" s="30">
        <f t="shared" si="139"/>
        <v>5859</v>
      </c>
      <c r="BE102" s="28">
        <f>PRODUCTION!BF102+'SUPLIER INWARD'!BF102</f>
        <v>0</v>
      </c>
      <c r="BF102" s="28"/>
      <c r="BG102" s="29">
        <v>0</v>
      </c>
      <c r="BH102" s="30">
        <f t="shared" si="140"/>
        <v>5859</v>
      </c>
      <c r="BI102" s="28">
        <f>PRODUCTION!BJ102+'SUPLIER INWARD'!BJ102</f>
        <v>0</v>
      </c>
      <c r="BJ102" s="28">
        <v>1080</v>
      </c>
      <c r="BK102" s="29">
        <v>2</v>
      </c>
      <c r="BL102" s="30">
        <f t="shared" si="141"/>
        <v>4777</v>
      </c>
      <c r="BM102" s="28">
        <f>PRODUCTION!BN102+'SUPLIER INWARD'!BN102</f>
        <v>0</v>
      </c>
      <c r="BN102" s="151">
        <v>960</v>
      </c>
      <c r="BO102" s="29">
        <v>0</v>
      </c>
      <c r="BP102" s="30">
        <f t="shared" si="142"/>
        <v>3817</v>
      </c>
      <c r="BQ102" s="28">
        <f>PRODUCTION!BR102+'SUPLIER INWARD'!BR102</f>
        <v>0</v>
      </c>
      <c r="BR102" s="28"/>
      <c r="BS102" s="29">
        <v>0</v>
      </c>
      <c r="BT102" s="30">
        <f t="shared" si="143"/>
        <v>3817</v>
      </c>
      <c r="BU102" s="28">
        <f>PRODUCTION!BV102+'SUPLIER INWARD'!BV102</f>
        <v>0</v>
      </c>
      <c r="BV102" s="151"/>
      <c r="BW102" s="29">
        <v>0</v>
      </c>
      <c r="BX102" s="30">
        <f t="shared" si="110"/>
        <v>3817</v>
      </c>
      <c r="BY102" s="28">
        <f>PRODUCTION!BZ102+'SUPLIER INWARD'!BZ102</f>
        <v>0</v>
      </c>
      <c r="BZ102" s="28"/>
      <c r="CA102" s="29">
        <v>0</v>
      </c>
      <c r="CB102" s="30">
        <f t="shared" si="144"/>
        <v>3817</v>
      </c>
      <c r="CC102" s="28">
        <f>PRODUCTION!CD102+'SUPLIER INWARD'!CD102</f>
        <v>0</v>
      </c>
      <c r="CD102" s="28">
        <v>720</v>
      </c>
      <c r="CE102" s="29">
        <v>0</v>
      </c>
      <c r="CF102" s="30">
        <f t="shared" si="145"/>
        <v>3097</v>
      </c>
      <c r="CG102" s="28">
        <f>PRODUCTION!CH102+'SUPLIER INWARD'!CH102</f>
        <v>0</v>
      </c>
      <c r="CH102" s="28"/>
      <c r="CI102" s="29">
        <v>0</v>
      </c>
      <c r="CJ102" s="30">
        <f t="shared" si="113"/>
        <v>3097</v>
      </c>
      <c r="CK102" s="28">
        <f>PRODUCTION!CL102+'SUPLIER INWARD'!CL102</f>
        <v>0</v>
      </c>
      <c r="CL102" s="151"/>
      <c r="CM102" s="152">
        <v>0</v>
      </c>
      <c r="CN102" s="30">
        <f t="shared" si="114"/>
        <v>3097</v>
      </c>
      <c r="CO102" s="28">
        <f>PRODUCTION!CP102+'SUPLIER INWARD'!CP102</f>
        <v>0</v>
      </c>
      <c r="CP102" s="151"/>
      <c r="CQ102" s="29">
        <v>0</v>
      </c>
      <c r="CR102" s="30">
        <f t="shared" si="115"/>
        <v>3097</v>
      </c>
      <c r="CS102" s="28">
        <f>PRODUCTION!CT102+'SUPLIER INWARD'!CT102</f>
        <v>0</v>
      </c>
      <c r="CT102" s="28">
        <v>1560</v>
      </c>
      <c r="CU102" s="29">
        <v>4</v>
      </c>
      <c r="CV102" s="30">
        <f t="shared" si="116"/>
        <v>1533</v>
      </c>
      <c r="CW102" s="28">
        <f>PRODUCTION!CX102+'SUPLIER INWARD'!CX102</f>
        <v>0</v>
      </c>
      <c r="CX102" s="28">
        <v>1080</v>
      </c>
      <c r="CY102" s="29">
        <v>1</v>
      </c>
      <c r="CZ102" s="30">
        <f t="shared" si="146"/>
        <v>452</v>
      </c>
      <c r="DA102" s="28">
        <f>PRODUCTION!DB102+'SUPLIER INWARD'!DB102</f>
        <v>0</v>
      </c>
      <c r="DB102" s="28"/>
      <c r="DC102" s="29"/>
      <c r="DD102" s="30">
        <f t="shared" si="147"/>
        <v>452</v>
      </c>
      <c r="DE102" s="28">
        <f>PRODUCTION!DF102+'SUPLIER INWARD'!DF102</f>
        <v>0</v>
      </c>
      <c r="DF102" s="28"/>
      <c r="DG102" s="29">
        <v>0</v>
      </c>
      <c r="DH102" s="30">
        <f t="shared" si="148"/>
        <v>452</v>
      </c>
      <c r="DI102" s="28">
        <f>PRODUCTION!DJ102+'SUPLIER INWARD'!DJ102</f>
        <v>0</v>
      </c>
      <c r="DJ102" s="28"/>
      <c r="DK102" s="29">
        <v>0</v>
      </c>
      <c r="DL102" s="30">
        <f t="shared" si="149"/>
        <v>452</v>
      </c>
      <c r="DM102" s="28">
        <f>PRODUCTION!DN102+'SUPLIER INWARD'!DN102</f>
        <v>0</v>
      </c>
      <c r="DN102" s="28"/>
      <c r="DO102" s="29"/>
      <c r="DP102" s="30">
        <f t="shared" si="150"/>
        <v>452</v>
      </c>
      <c r="DQ102" s="28">
        <f>PRODUCTION!DR102+'SUPLIER INWARD'!DR102</f>
        <v>0</v>
      </c>
      <c r="DR102" s="28"/>
      <c r="DS102" s="29"/>
      <c r="DT102" s="30">
        <f t="shared" si="151"/>
        <v>452</v>
      </c>
      <c r="DU102" s="28">
        <f>PRODUCTION!DV102+'SUPLIER INWARD'!DV102</f>
        <v>0</v>
      </c>
      <c r="DV102" s="28"/>
      <c r="DW102" s="29"/>
      <c r="DX102" s="30">
        <f t="shared" si="152"/>
        <v>452</v>
      </c>
      <c r="DY102" s="31">
        <f t="shared" si="153"/>
        <v>6122</v>
      </c>
      <c r="DZ102" s="31">
        <f t="shared" si="154"/>
        <v>12000</v>
      </c>
      <c r="EA102" s="4">
        <f t="shared" si="155"/>
        <v>23</v>
      </c>
      <c r="EB102" s="9">
        <f>D102*'MASTER SHEET'!D102</f>
        <v>126107.05</v>
      </c>
      <c r="EC102" s="9">
        <f>H102*'MASTER SHEET'!D102</f>
        <v>126107.05</v>
      </c>
      <c r="ED102" s="9">
        <f>L102*'MASTER SHEET'!D102</f>
        <v>126107.05</v>
      </c>
      <c r="EE102" s="9">
        <f>P102*'MASTER SHEET'!D102</f>
        <v>126107.05</v>
      </c>
      <c r="EF102" s="9">
        <f>T102*'MASTER SHEET'!D102</f>
        <v>90357.200000000012</v>
      </c>
      <c r="EG102" s="9">
        <f>X102*'MASTER SHEET'!D102</f>
        <v>76065.200000000012</v>
      </c>
      <c r="EH102" s="9">
        <f>AB102*'MASTER SHEET'!D102</f>
        <v>173727.2</v>
      </c>
      <c r="EI102" s="9">
        <f>AF102*'MASTER SHEET'!D102</f>
        <v>161777.5</v>
      </c>
      <c r="EJ102" s="9">
        <f>AJ102*'MASTER SHEET'!D102</f>
        <v>161777.5</v>
      </c>
      <c r="EK102" s="9">
        <f>AN102*'MASTER SHEET'!D102</f>
        <v>133193.5</v>
      </c>
      <c r="EL102" s="9">
        <f>AR102*'MASTER SHEET'!D102</f>
        <v>133193.5</v>
      </c>
      <c r="EM102" s="9">
        <f>AV102*'MASTER SHEET'!D102</f>
        <v>116301.15000000001</v>
      </c>
      <c r="EN102" s="9">
        <f>AZ102*'MASTER SHEET'!D102</f>
        <v>116301.15000000001</v>
      </c>
      <c r="EO102" s="9">
        <f>BD102*'MASTER SHEET'!D102</f>
        <v>116301.15000000001</v>
      </c>
      <c r="EP102" s="9">
        <f>$BH102*'MASTER SHEET'!$D102</f>
        <v>116301.15000000001</v>
      </c>
      <c r="EQ102" s="9">
        <f>BL102*'MASTER SHEET'!D102</f>
        <v>94823.450000000012</v>
      </c>
      <c r="ER102" s="9">
        <f>BP102*'MASTER SHEET'!D102</f>
        <v>75767.450000000012</v>
      </c>
      <c r="ES102" s="9">
        <f>BT102*'MASTER SHEET'!D102</f>
        <v>75767.450000000012</v>
      </c>
      <c r="ET102" s="9">
        <f>BX102*'MASTER SHEET'!D102</f>
        <v>75767.450000000012</v>
      </c>
      <c r="EU102" s="9">
        <f>CB102*'MASTER SHEET'!D102</f>
        <v>75767.450000000012</v>
      </c>
      <c r="EV102" s="9">
        <f>CF102*'MASTER SHEET'!D102</f>
        <v>61475.450000000004</v>
      </c>
      <c r="EW102" s="9">
        <f>CJ102*'MASTER SHEET'!D102</f>
        <v>61475.450000000004</v>
      </c>
      <c r="EX102" s="9">
        <f>CN102*'MASTER SHEET'!D102</f>
        <v>61475.450000000004</v>
      </c>
      <c r="EY102" s="9">
        <f>CR102*'MASTER SHEET'!D102</f>
        <v>61475.450000000004</v>
      </c>
      <c r="EZ102" s="9">
        <f>$CV102*'MASTER SHEET'!D102</f>
        <v>30430.050000000003</v>
      </c>
      <c r="FA102" s="9">
        <f>CZ102*'MASTER SHEET'!D102</f>
        <v>8972.2000000000007</v>
      </c>
      <c r="FB102" s="9">
        <f>DD102*'MASTER SHEET'!D102</f>
        <v>8972.2000000000007</v>
      </c>
      <c r="FC102" s="9">
        <f>DH102*'MASTER SHEET'!D102</f>
        <v>8972.2000000000007</v>
      </c>
      <c r="FD102" s="9">
        <f>DL102*'MASTER SHEET'!D102</f>
        <v>8972.2000000000007</v>
      </c>
      <c r="FE102" s="9">
        <f>DP102*'MASTER SHEET'!D102</f>
        <v>8972.2000000000007</v>
      </c>
      <c r="FF102" s="9">
        <f>DT102*'MASTER SHEET'!D102</f>
        <v>8972.2000000000007</v>
      </c>
      <c r="FG102" s="9">
        <f>+DX102*'MASTER SHEET'!D102</f>
        <v>8972.2000000000007</v>
      </c>
    </row>
    <row r="103" spans="1:163" ht="20.25" customHeight="1" x14ac:dyDescent="0.25">
      <c r="A103" s="25">
        <f>'MASTER SHEET'!A103</f>
        <v>101</v>
      </c>
      <c r="B103" s="26" t="str">
        <f>'MASTER SHEET'!B103</f>
        <v>END Plate</v>
      </c>
      <c r="C103" s="78">
        <f>'MASTER SHEET'!C103</f>
        <v>5014444</v>
      </c>
      <c r="D103" s="159">
        <v>0</v>
      </c>
      <c r="E103" s="28">
        <f>PRODUCTION!F103</f>
        <v>0</v>
      </c>
      <c r="F103" s="28"/>
      <c r="G103" s="29">
        <v>0</v>
      </c>
      <c r="H103" s="30">
        <f t="shared" si="127"/>
        <v>0</v>
      </c>
      <c r="I103" s="28">
        <f>PRODUCTION!J103</f>
        <v>0</v>
      </c>
      <c r="J103" s="28"/>
      <c r="K103" s="29">
        <v>0</v>
      </c>
      <c r="L103" s="30">
        <f t="shared" si="128"/>
        <v>0</v>
      </c>
      <c r="M103" s="28">
        <f>PRODUCTION!N103</f>
        <v>0</v>
      </c>
      <c r="N103" s="28"/>
      <c r="O103" s="29"/>
      <c r="P103" s="30">
        <f t="shared" si="129"/>
        <v>0</v>
      </c>
      <c r="Q103" s="28">
        <f>PRODUCTION!R103</f>
        <v>0</v>
      </c>
      <c r="R103" s="28"/>
      <c r="S103" s="29">
        <v>0</v>
      </c>
      <c r="T103" s="30">
        <f t="shared" si="130"/>
        <v>0</v>
      </c>
      <c r="U103" s="28">
        <f>PRODUCTION!V103</f>
        <v>0</v>
      </c>
      <c r="V103" s="28"/>
      <c r="W103" s="29">
        <v>0</v>
      </c>
      <c r="X103" s="30">
        <f t="shared" si="131"/>
        <v>0</v>
      </c>
      <c r="Y103" s="28">
        <f>PRODUCTION!Z103</f>
        <v>2538</v>
      </c>
      <c r="Z103" s="28"/>
      <c r="AA103" s="29">
        <v>0</v>
      </c>
      <c r="AB103" s="30">
        <f t="shared" si="132"/>
        <v>2538</v>
      </c>
      <c r="AC103" s="28">
        <f>PRODUCTION!AD103</f>
        <v>3203</v>
      </c>
      <c r="AD103" s="28">
        <v>1750</v>
      </c>
      <c r="AE103" s="29">
        <v>0</v>
      </c>
      <c r="AF103" s="30">
        <f t="shared" si="133"/>
        <v>3991</v>
      </c>
      <c r="AG103" s="28">
        <f>PRODUCTION!AH103</f>
        <v>3406</v>
      </c>
      <c r="AH103" s="28">
        <v>1000</v>
      </c>
      <c r="AI103" s="29">
        <v>0</v>
      </c>
      <c r="AJ103" s="30">
        <f t="shared" si="134"/>
        <v>6397</v>
      </c>
      <c r="AK103" s="28">
        <f>PRODUCTION!AL103</f>
        <v>3298</v>
      </c>
      <c r="AL103" s="28">
        <v>3600</v>
      </c>
      <c r="AM103" s="29">
        <v>0</v>
      </c>
      <c r="AN103" s="30">
        <f t="shared" si="135"/>
        <v>6095</v>
      </c>
      <c r="AO103" s="28">
        <f>PRODUCTION!AP103</f>
        <v>1534</v>
      </c>
      <c r="AP103" s="28">
        <v>1650</v>
      </c>
      <c r="AQ103" s="29">
        <v>0</v>
      </c>
      <c r="AR103" s="30">
        <f t="shared" si="136"/>
        <v>5979</v>
      </c>
      <c r="AS103" s="28">
        <f>PRODUCTION!AT103</f>
        <v>0</v>
      </c>
      <c r="AT103" s="28">
        <v>1500</v>
      </c>
      <c r="AU103" s="29">
        <v>0</v>
      </c>
      <c r="AV103" s="30">
        <f t="shared" si="137"/>
        <v>4479</v>
      </c>
      <c r="AW103" s="28">
        <f>PRODUCTION!AX103</f>
        <v>1296</v>
      </c>
      <c r="AX103" s="28"/>
      <c r="AY103" s="29"/>
      <c r="AZ103" s="30">
        <f t="shared" si="138"/>
        <v>5775</v>
      </c>
      <c r="BA103" s="28">
        <f>PRODUCTION!BB103</f>
        <v>278</v>
      </c>
      <c r="BB103" s="28"/>
      <c r="BC103" s="29">
        <v>0</v>
      </c>
      <c r="BD103" s="30">
        <f t="shared" si="139"/>
        <v>6053</v>
      </c>
      <c r="BE103" s="28">
        <f>PRODUCTION!BF103</f>
        <v>0</v>
      </c>
      <c r="BF103" s="28">
        <v>1700</v>
      </c>
      <c r="BG103" s="29">
        <v>0</v>
      </c>
      <c r="BH103" s="30">
        <f t="shared" si="140"/>
        <v>4353</v>
      </c>
      <c r="BI103" s="28">
        <f>PRODUCTION!BJ103</f>
        <v>0</v>
      </c>
      <c r="BJ103" s="28"/>
      <c r="BK103" s="29">
        <v>0</v>
      </c>
      <c r="BL103" s="30">
        <f t="shared" si="141"/>
        <v>4353</v>
      </c>
      <c r="BM103" s="28">
        <f>PRODUCTION!BN103</f>
        <v>0</v>
      </c>
      <c r="BN103" s="28"/>
      <c r="BO103" s="29">
        <v>0</v>
      </c>
      <c r="BP103" s="30">
        <f t="shared" si="142"/>
        <v>4353</v>
      </c>
      <c r="BQ103" s="28">
        <f>PRODUCTION!BR103</f>
        <v>0</v>
      </c>
      <c r="BR103" s="28"/>
      <c r="BS103" s="29">
        <v>0</v>
      </c>
      <c r="BT103" s="30">
        <f t="shared" si="143"/>
        <v>4353</v>
      </c>
      <c r="BU103" s="28">
        <f>PRODUCTION!BV103</f>
        <v>0</v>
      </c>
      <c r="BV103" s="151"/>
      <c r="BW103" s="29">
        <v>0</v>
      </c>
      <c r="BX103" s="30">
        <f t="shared" si="110"/>
        <v>4353</v>
      </c>
      <c r="BY103" s="28">
        <f>PRODUCTION!BZ103</f>
        <v>0</v>
      </c>
      <c r="BZ103" s="28"/>
      <c r="CA103" s="29">
        <v>0</v>
      </c>
      <c r="CB103" s="30">
        <f t="shared" si="144"/>
        <v>4353</v>
      </c>
      <c r="CC103" s="28">
        <f>PRODUCTION!CD103</f>
        <v>0</v>
      </c>
      <c r="CD103" s="28"/>
      <c r="CE103" s="29">
        <v>0</v>
      </c>
      <c r="CF103" s="30">
        <f t="shared" si="145"/>
        <v>4353</v>
      </c>
      <c r="CG103" s="28">
        <f>PRODUCTION!CH103</f>
        <v>0</v>
      </c>
      <c r="CH103" s="28"/>
      <c r="CI103" s="29">
        <v>0</v>
      </c>
      <c r="CJ103" s="30">
        <f t="shared" si="113"/>
        <v>4353</v>
      </c>
      <c r="CK103" s="28">
        <f>PRODUCTION!CL103</f>
        <v>0</v>
      </c>
      <c r="CL103" s="151"/>
      <c r="CM103" s="152">
        <v>0</v>
      </c>
      <c r="CN103" s="30">
        <f t="shared" si="114"/>
        <v>4353</v>
      </c>
      <c r="CO103" s="28">
        <f>PRODUCTION!CP103</f>
        <v>0</v>
      </c>
      <c r="CP103" s="151"/>
      <c r="CQ103" s="29">
        <v>0</v>
      </c>
      <c r="CR103" s="30">
        <f t="shared" si="115"/>
        <v>4353</v>
      </c>
      <c r="CS103" s="28">
        <f>PRODUCTION!CT103</f>
        <v>0</v>
      </c>
      <c r="CT103" s="28"/>
      <c r="CU103" s="29">
        <v>0</v>
      </c>
      <c r="CV103" s="30">
        <f t="shared" si="116"/>
        <v>4353</v>
      </c>
      <c r="CW103" s="28">
        <f>PRODUCTION!CX103</f>
        <v>0</v>
      </c>
      <c r="CX103" s="160"/>
      <c r="CY103" s="29">
        <v>0</v>
      </c>
      <c r="CZ103" s="30">
        <f t="shared" si="146"/>
        <v>4353</v>
      </c>
      <c r="DA103" s="28">
        <f>PRODUCTION!DB103</f>
        <v>0</v>
      </c>
      <c r="DB103" s="28"/>
      <c r="DC103" s="29"/>
      <c r="DD103" s="30">
        <f t="shared" si="147"/>
        <v>4353</v>
      </c>
      <c r="DE103" s="28">
        <f>PRODUCTION!DF103</f>
        <v>0</v>
      </c>
      <c r="DF103" s="28"/>
      <c r="DG103" s="29">
        <v>0</v>
      </c>
      <c r="DH103" s="30">
        <f t="shared" si="148"/>
        <v>4353</v>
      </c>
      <c r="DI103" s="28">
        <f>PRODUCTION!DJ103</f>
        <v>0</v>
      </c>
      <c r="DJ103" s="28"/>
      <c r="DK103" s="29">
        <v>0</v>
      </c>
      <c r="DL103" s="30">
        <f t="shared" si="149"/>
        <v>4353</v>
      </c>
      <c r="DM103" s="28">
        <f>PRODUCTION!DN103</f>
        <v>0</v>
      </c>
      <c r="DN103" s="28"/>
      <c r="DO103" s="29"/>
      <c r="DP103" s="30">
        <f t="shared" si="150"/>
        <v>4353</v>
      </c>
      <c r="DQ103" s="28">
        <f>PRODUCTION!DR103</f>
        <v>0</v>
      </c>
      <c r="DR103" s="28"/>
      <c r="DS103" s="29"/>
      <c r="DT103" s="30">
        <f t="shared" si="151"/>
        <v>4353</v>
      </c>
      <c r="DU103" s="28">
        <f>PRODUCTION!DV103</f>
        <v>0</v>
      </c>
      <c r="DV103" s="28"/>
      <c r="DW103" s="29"/>
      <c r="DX103" s="30">
        <f t="shared" si="152"/>
        <v>4353</v>
      </c>
      <c r="DY103" s="31">
        <f t="shared" si="153"/>
        <v>15553</v>
      </c>
      <c r="DZ103" s="31">
        <f t="shared" si="154"/>
        <v>11200</v>
      </c>
      <c r="EA103" s="4">
        <f t="shared" si="155"/>
        <v>0</v>
      </c>
      <c r="EB103" s="9">
        <f>D103*'MASTER SHEET'!D103</f>
        <v>0</v>
      </c>
      <c r="EC103" s="9">
        <f>H103*'MASTER SHEET'!D103</f>
        <v>0</v>
      </c>
      <c r="ED103" s="9">
        <f>L103*'MASTER SHEET'!D103</f>
        <v>0</v>
      </c>
      <c r="EE103" s="9">
        <f>P103*'MASTER SHEET'!D103</f>
        <v>0</v>
      </c>
      <c r="EF103" s="9">
        <f>T103*'MASTER SHEET'!D103</f>
        <v>0</v>
      </c>
      <c r="EG103" s="9">
        <f>X103*'MASTER SHEET'!D103</f>
        <v>0</v>
      </c>
      <c r="EH103" s="9">
        <f>AB103*'MASTER SHEET'!D103</f>
        <v>35227.440000000002</v>
      </c>
      <c r="EI103" s="9">
        <f>AF103*'MASTER SHEET'!D103</f>
        <v>55395.08</v>
      </c>
      <c r="EJ103" s="9">
        <f>AJ103*'MASTER SHEET'!D103</f>
        <v>88790.36</v>
      </c>
      <c r="EK103" s="9">
        <f>AN103*'MASTER SHEET'!D103</f>
        <v>84598.6</v>
      </c>
      <c r="EL103" s="9">
        <f>AR103*'MASTER SHEET'!D103</f>
        <v>82988.52</v>
      </c>
      <c r="EM103" s="9">
        <f>AV103*'MASTER SHEET'!D103</f>
        <v>62168.520000000004</v>
      </c>
      <c r="EN103" s="9">
        <f>AZ103*'MASTER SHEET'!D103</f>
        <v>80157</v>
      </c>
      <c r="EO103" s="9">
        <f>BD103*'MASTER SHEET'!D103</f>
        <v>84015.64</v>
      </c>
      <c r="EP103" s="9">
        <f>$BH103*'MASTER SHEET'!$D103</f>
        <v>60419.640000000007</v>
      </c>
      <c r="EQ103" s="9">
        <f>BL103*'MASTER SHEET'!D103</f>
        <v>60419.640000000007</v>
      </c>
      <c r="ER103" s="9">
        <f>BP103*'MASTER SHEET'!D103</f>
        <v>60419.640000000007</v>
      </c>
      <c r="ES103" s="9">
        <f>BT103*'MASTER SHEET'!D103</f>
        <v>60419.640000000007</v>
      </c>
      <c r="ET103" s="9">
        <f>BX103*'MASTER SHEET'!D103</f>
        <v>60419.640000000007</v>
      </c>
      <c r="EU103" s="9">
        <f>CB103*'MASTER SHEET'!D103</f>
        <v>60419.640000000007</v>
      </c>
      <c r="EV103" s="9">
        <f>CF103*'MASTER SHEET'!D103</f>
        <v>60419.640000000007</v>
      </c>
      <c r="EW103" s="9">
        <f>CJ103*'MASTER SHEET'!D103</f>
        <v>60419.640000000007</v>
      </c>
      <c r="EX103" s="9">
        <f>CN103*'MASTER SHEET'!D103</f>
        <v>60419.640000000007</v>
      </c>
      <c r="EY103" s="9">
        <f>CR103*'MASTER SHEET'!D103</f>
        <v>60419.640000000007</v>
      </c>
      <c r="EZ103" s="9">
        <f>$CV103*'MASTER SHEET'!D103</f>
        <v>60419.640000000007</v>
      </c>
      <c r="FA103" s="9">
        <f>CZ103*'MASTER SHEET'!D103</f>
        <v>60419.640000000007</v>
      </c>
      <c r="FB103" s="9">
        <f>DD103*'MASTER SHEET'!D103</f>
        <v>60419.640000000007</v>
      </c>
      <c r="FC103" s="9">
        <f>DH103*'MASTER SHEET'!D103</f>
        <v>60419.640000000007</v>
      </c>
      <c r="FD103" s="9">
        <f>DL103*'MASTER SHEET'!D103</f>
        <v>60419.640000000007</v>
      </c>
      <c r="FE103" s="9">
        <f>DP103*'MASTER SHEET'!D103</f>
        <v>60419.640000000007</v>
      </c>
      <c r="FF103" s="9">
        <f>DT103*'MASTER SHEET'!D103</f>
        <v>60419.640000000007</v>
      </c>
      <c r="FG103" s="9">
        <f>+DX103*'MASTER SHEET'!D103</f>
        <v>60419.640000000007</v>
      </c>
    </row>
    <row r="104" spans="1:163" ht="20.25" customHeight="1" x14ac:dyDescent="0.25">
      <c r="A104" s="25">
        <f>'MASTER SHEET'!A104</f>
        <v>102</v>
      </c>
      <c r="B104" s="26" t="str">
        <f>'MASTER SHEET'!B104</f>
        <v>INNER RING PLASTIC</v>
      </c>
      <c r="C104" s="78">
        <f>'MASTER SHEET'!C104</f>
        <v>5046070</v>
      </c>
      <c r="D104" s="159">
        <v>0</v>
      </c>
      <c r="E104" s="28">
        <f>PRODUCTION!F104+'SUPLIER INWARD'!F104</f>
        <v>0</v>
      </c>
      <c r="F104" s="28"/>
      <c r="G104" s="29">
        <v>0</v>
      </c>
      <c r="H104" s="30">
        <f t="shared" si="127"/>
        <v>0</v>
      </c>
      <c r="I104" s="28">
        <f>PRODUCTION!J104+'SUPLIER INWARD'!J104</f>
        <v>0</v>
      </c>
      <c r="J104" s="28"/>
      <c r="K104" s="29">
        <v>0</v>
      </c>
      <c r="L104" s="30">
        <f t="shared" si="128"/>
        <v>0</v>
      </c>
      <c r="M104" s="28">
        <f>PRODUCTION!N104+'SUPLIER INWARD'!N104</f>
        <v>0</v>
      </c>
      <c r="N104" s="28"/>
      <c r="O104" s="29"/>
      <c r="P104" s="30">
        <f t="shared" si="129"/>
        <v>0</v>
      </c>
      <c r="Q104" s="28">
        <f>PRODUCTION!R104+'SUPLIER INWARD'!R104</f>
        <v>0</v>
      </c>
      <c r="R104" s="28"/>
      <c r="S104" s="29">
        <v>0</v>
      </c>
      <c r="T104" s="30">
        <f t="shared" si="130"/>
        <v>0</v>
      </c>
      <c r="U104" s="28">
        <f>PRODUCTION!V104+'SUPLIER INWARD'!V104</f>
        <v>0</v>
      </c>
      <c r="V104" s="28"/>
      <c r="W104" s="29">
        <v>0</v>
      </c>
      <c r="X104" s="30">
        <f t="shared" si="131"/>
        <v>0</v>
      </c>
      <c r="Y104" s="28">
        <f>PRODUCTION!Z104+'SUPLIER INWARD'!Z104</f>
        <v>0</v>
      </c>
      <c r="Z104" s="28"/>
      <c r="AA104" s="29">
        <v>0</v>
      </c>
      <c r="AB104" s="30">
        <f t="shared" si="132"/>
        <v>0</v>
      </c>
      <c r="AC104" s="28">
        <f>PRODUCTION!AD104+'SUPLIER INWARD'!AD104</f>
        <v>0</v>
      </c>
      <c r="AD104" s="28"/>
      <c r="AE104" s="29">
        <v>0</v>
      </c>
      <c r="AF104" s="30">
        <f t="shared" si="133"/>
        <v>0</v>
      </c>
      <c r="AG104" s="28">
        <f>PRODUCTION!AH104+'SUPLIER INWARD'!AH104</f>
        <v>0</v>
      </c>
      <c r="AH104" s="28"/>
      <c r="AI104" s="29">
        <v>0</v>
      </c>
      <c r="AJ104" s="30">
        <f t="shared" si="134"/>
        <v>0</v>
      </c>
      <c r="AK104" s="28">
        <f>PRODUCTION!AL104+'SUPLIER INWARD'!AL104</f>
        <v>0</v>
      </c>
      <c r="AL104" s="28"/>
      <c r="AM104" s="29">
        <v>0</v>
      </c>
      <c r="AN104" s="30">
        <f t="shared" si="135"/>
        <v>0</v>
      </c>
      <c r="AO104" s="28">
        <f>PRODUCTION!AP104+'SUPLIER INWARD'!AP104</f>
        <v>0</v>
      </c>
      <c r="AP104" s="28"/>
      <c r="AQ104" s="29">
        <v>0</v>
      </c>
      <c r="AR104" s="30">
        <f t="shared" si="136"/>
        <v>0</v>
      </c>
      <c r="AS104" s="28">
        <f>PRODUCTION!AT104+'SUPLIER INWARD'!AT104</f>
        <v>0</v>
      </c>
      <c r="AT104" s="28"/>
      <c r="AU104" s="29">
        <v>0</v>
      </c>
      <c r="AV104" s="30">
        <f t="shared" si="137"/>
        <v>0</v>
      </c>
      <c r="AW104" s="28">
        <f>PRODUCTION!AX104+'SUPLIER INWARD'!AX104</f>
        <v>0</v>
      </c>
      <c r="AX104" s="28"/>
      <c r="AY104" s="29"/>
      <c r="AZ104" s="30">
        <f t="shared" si="138"/>
        <v>0</v>
      </c>
      <c r="BA104" s="28">
        <f>PRODUCTION!BB104+'SUPLIER INWARD'!BB104</f>
        <v>0</v>
      </c>
      <c r="BB104" s="28"/>
      <c r="BC104" s="29">
        <v>0</v>
      </c>
      <c r="BD104" s="30">
        <f t="shared" si="139"/>
        <v>0</v>
      </c>
      <c r="BE104" s="28">
        <f>PRODUCTION!BF104+'SUPLIER INWARD'!BF104</f>
        <v>0</v>
      </c>
      <c r="BF104" s="28"/>
      <c r="BG104" s="29">
        <v>0</v>
      </c>
      <c r="BH104" s="30">
        <f t="shared" si="140"/>
        <v>0</v>
      </c>
      <c r="BI104" s="28">
        <f>PRODUCTION!BJ104+'SUPLIER INWARD'!BJ104</f>
        <v>0</v>
      </c>
      <c r="BJ104" s="28"/>
      <c r="BK104" s="29">
        <v>0</v>
      </c>
      <c r="BL104" s="30">
        <f t="shared" si="141"/>
        <v>0</v>
      </c>
      <c r="BM104" s="28">
        <f>PRODUCTION!BN104+'SUPLIER INWARD'!BN104</f>
        <v>0</v>
      </c>
      <c r="BN104" s="28"/>
      <c r="BO104" s="29">
        <v>0</v>
      </c>
      <c r="BP104" s="30">
        <f t="shared" si="142"/>
        <v>0</v>
      </c>
      <c r="BQ104" s="28">
        <f>PRODUCTION!BR104+'SUPLIER INWARD'!BR104</f>
        <v>0</v>
      </c>
      <c r="BR104" s="28"/>
      <c r="BS104" s="29">
        <v>0</v>
      </c>
      <c r="BT104" s="30">
        <f t="shared" si="143"/>
        <v>0</v>
      </c>
      <c r="BU104" s="28">
        <f>PRODUCTION!BV104+'SUPLIER INWARD'!BV104</f>
        <v>0</v>
      </c>
      <c r="BV104" s="28"/>
      <c r="BW104" s="29">
        <v>0</v>
      </c>
      <c r="BX104" s="30">
        <f t="shared" si="110"/>
        <v>0</v>
      </c>
      <c r="BY104" s="28">
        <f>PRODUCTION!BZ104+'SUPLIER INWARD'!BZ104</f>
        <v>0</v>
      </c>
      <c r="BZ104" s="28"/>
      <c r="CA104" s="29">
        <v>0</v>
      </c>
      <c r="CB104" s="30">
        <f t="shared" si="144"/>
        <v>0</v>
      </c>
      <c r="CC104" s="28">
        <f>PRODUCTION!CD104+'SUPLIER INWARD'!CD104</f>
        <v>0</v>
      </c>
      <c r="CD104" s="28"/>
      <c r="CE104" s="29">
        <v>0</v>
      </c>
      <c r="CF104" s="30">
        <f t="shared" si="145"/>
        <v>0</v>
      </c>
      <c r="CG104" s="28">
        <f>PRODUCTION!CH104+'SUPLIER INWARD'!CH104</f>
        <v>0</v>
      </c>
      <c r="CH104" s="28"/>
      <c r="CI104" s="29">
        <v>0</v>
      </c>
      <c r="CJ104" s="30">
        <f t="shared" si="113"/>
        <v>0</v>
      </c>
      <c r="CK104" s="28">
        <f>PRODUCTION!CL104+'SUPLIER INWARD'!CL104</f>
        <v>0</v>
      </c>
      <c r="CL104" s="151"/>
      <c r="CM104" s="152">
        <v>0</v>
      </c>
      <c r="CN104" s="30">
        <f t="shared" si="114"/>
        <v>0</v>
      </c>
      <c r="CO104" s="28">
        <f>PRODUCTION!CP104+'SUPLIER INWARD'!CP104</f>
        <v>0</v>
      </c>
      <c r="CP104" s="151"/>
      <c r="CQ104" s="29">
        <v>0</v>
      </c>
      <c r="CR104" s="30">
        <f t="shared" si="115"/>
        <v>0</v>
      </c>
      <c r="CS104" s="28">
        <f>PRODUCTION!CT104+'SUPLIER INWARD'!CT104</f>
        <v>0</v>
      </c>
      <c r="CT104" s="28"/>
      <c r="CU104" s="29">
        <v>0</v>
      </c>
      <c r="CV104" s="30">
        <f t="shared" si="116"/>
        <v>0</v>
      </c>
      <c r="CW104" s="28">
        <f>PRODUCTION!CX104+'SUPLIER INWARD'!CX104</f>
        <v>0</v>
      </c>
      <c r="CX104" s="28"/>
      <c r="CY104" s="29">
        <v>0</v>
      </c>
      <c r="CZ104" s="30">
        <f t="shared" si="146"/>
        <v>0</v>
      </c>
      <c r="DA104" s="28">
        <f>PRODUCTION!DB104+'SUPLIER INWARD'!DB104</f>
        <v>0</v>
      </c>
      <c r="DB104" s="28"/>
      <c r="DC104" s="29"/>
      <c r="DD104" s="30">
        <f t="shared" si="147"/>
        <v>0</v>
      </c>
      <c r="DE104" s="28">
        <f>PRODUCTION!DF104+'SUPLIER INWARD'!DF104</f>
        <v>0</v>
      </c>
      <c r="DF104" s="28"/>
      <c r="DG104" s="29">
        <v>0</v>
      </c>
      <c r="DH104" s="30">
        <f t="shared" si="148"/>
        <v>0</v>
      </c>
      <c r="DI104" s="28">
        <f>PRODUCTION!DJ104+'SUPLIER INWARD'!DJ104</f>
        <v>0</v>
      </c>
      <c r="DJ104" s="28"/>
      <c r="DK104" s="29">
        <v>0</v>
      </c>
      <c r="DL104" s="30">
        <f t="shared" si="149"/>
        <v>0</v>
      </c>
      <c r="DM104" s="28">
        <f>PRODUCTION!DN104+'SUPLIER INWARD'!DN104</f>
        <v>0</v>
      </c>
      <c r="DN104" s="28"/>
      <c r="DO104" s="29"/>
      <c r="DP104" s="30">
        <f t="shared" si="150"/>
        <v>0</v>
      </c>
      <c r="DQ104" s="28">
        <f>PRODUCTION!DR104+'SUPLIER INWARD'!DR104</f>
        <v>0</v>
      </c>
      <c r="DR104" s="28"/>
      <c r="DS104" s="29"/>
      <c r="DT104" s="30">
        <f t="shared" si="151"/>
        <v>0</v>
      </c>
      <c r="DU104" s="28">
        <f>PRODUCTION!DV104+'SUPLIER INWARD'!DV104</f>
        <v>0</v>
      </c>
      <c r="DV104" s="28"/>
      <c r="DW104" s="29"/>
      <c r="DX104" s="30">
        <f t="shared" si="152"/>
        <v>0</v>
      </c>
      <c r="DY104" s="31">
        <f t="shared" si="153"/>
        <v>0</v>
      </c>
      <c r="DZ104" s="31">
        <f t="shared" si="154"/>
        <v>0</v>
      </c>
      <c r="EA104" s="4">
        <f t="shared" si="155"/>
        <v>0</v>
      </c>
      <c r="EB104" s="9">
        <f>D104*'MASTER SHEET'!D104</f>
        <v>0</v>
      </c>
      <c r="EC104" s="9">
        <f>H104*'MASTER SHEET'!D104</f>
        <v>0</v>
      </c>
      <c r="ED104" s="9">
        <f>L104*'MASTER SHEET'!D104</f>
        <v>0</v>
      </c>
      <c r="EE104" s="9">
        <f>P104*'MASTER SHEET'!D104</f>
        <v>0</v>
      </c>
      <c r="EF104" s="9">
        <f>T104*'MASTER SHEET'!D104</f>
        <v>0</v>
      </c>
      <c r="EG104" s="9">
        <f>X104*'MASTER SHEET'!D104</f>
        <v>0</v>
      </c>
      <c r="EH104" s="9">
        <f>AB104*'MASTER SHEET'!D104</f>
        <v>0</v>
      </c>
      <c r="EI104" s="9">
        <f>AF104*'MASTER SHEET'!D104</f>
        <v>0</v>
      </c>
      <c r="EJ104" s="9">
        <f>AJ104*'MASTER SHEET'!D104</f>
        <v>0</v>
      </c>
      <c r="EK104" s="9">
        <f>AN104*'MASTER SHEET'!D104</f>
        <v>0</v>
      </c>
      <c r="EL104" s="9">
        <f>AR104*'MASTER SHEET'!D104</f>
        <v>0</v>
      </c>
      <c r="EM104" s="9">
        <f>AV104*'MASTER SHEET'!D104</f>
        <v>0</v>
      </c>
      <c r="EN104" s="9">
        <f>AZ104*'MASTER SHEET'!D104</f>
        <v>0</v>
      </c>
      <c r="EO104" s="9">
        <f>BD104*'MASTER SHEET'!D104</f>
        <v>0</v>
      </c>
      <c r="EP104" s="9">
        <f>$BH104*'MASTER SHEET'!$D104</f>
        <v>0</v>
      </c>
      <c r="EQ104" s="9">
        <f>BL104*'MASTER SHEET'!D104</f>
        <v>0</v>
      </c>
      <c r="ER104" s="9">
        <f>BP104*'MASTER SHEET'!D104</f>
        <v>0</v>
      </c>
      <c r="ES104" s="9">
        <f>BT104*'MASTER SHEET'!D104</f>
        <v>0</v>
      </c>
      <c r="ET104" s="9">
        <f>BX104*'MASTER SHEET'!D104</f>
        <v>0</v>
      </c>
      <c r="EU104" s="9">
        <f>CB104*'MASTER SHEET'!D104</f>
        <v>0</v>
      </c>
      <c r="EV104" s="9">
        <f>CF104*'MASTER SHEET'!D104</f>
        <v>0</v>
      </c>
      <c r="EW104" s="9">
        <f>CJ104*'MASTER SHEET'!D104</f>
        <v>0</v>
      </c>
      <c r="EX104" s="9">
        <f>CN104*'MASTER SHEET'!D104</f>
        <v>0</v>
      </c>
      <c r="EY104" s="9">
        <f>CR104*'MASTER SHEET'!D104</f>
        <v>0</v>
      </c>
      <c r="EZ104" s="9">
        <f>$CV104*'MASTER SHEET'!D104</f>
        <v>0</v>
      </c>
      <c r="FA104" s="9">
        <f>CZ104*'MASTER SHEET'!D104</f>
        <v>0</v>
      </c>
      <c r="FB104" s="9">
        <f>DD104*'MASTER SHEET'!D104</f>
        <v>0</v>
      </c>
      <c r="FC104" s="9">
        <f>DH104*'MASTER SHEET'!D104</f>
        <v>0</v>
      </c>
      <c r="FD104" s="9">
        <f>DL104*'MASTER SHEET'!D104</f>
        <v>0</v>
      </c>
      <c r="FE104" s="9">
        <f>DP104*'MASTER SHEET'!D104</f>
        <v>0</v>
      </c>
      <c r="FF104" s="9">
        <f>DT104*'MASTER SHEET'!D104</f>
        <v>0</v>
      </c>
      <c r="FG104" s="9">
        <f>+DX104*'MASTER SHEET'!D104</f>
        <v>0</v>
      </c>
    </row>
    <row r="105" spans="1:163" ht="20.25" customHeight="1" x14ac:dyDescent="0.25">
      <c r="A105" s="25">
        <f>'MASTER SHEET'!A105</f>
        <v>103</v>
      </c>
      <c r="B105" s="26" t="str">
        <f>'MASTER SHEET'!B105</f>
        <v>TOP COVER</v>
      </c>
      <c r="C105" s="78">
        <f>'MASTER SHEET'!C105</f>
        <v>5060364</v>
      </c>
      <c r="D105" s="159">
        <v>0</v>
      </c>
      <c r="E105" s="28">
        <f>PRODUCTION!F105+'SUPLIER INWARD'!F105</f>
        <v>0</v>
      </c>
      <c r="F105" s="28"/>
      <c r="G105" s="29">
        <v>0</v>
      </c>
      <c r="H105" s="30">
        <f t="shared" si="127"/>
        <v>0</v>
      </c>
      <c r="I105" s="28">
        <f>PRODUCTION!J105+'SUPLIER INWARD'!J105</f>
        <v>0</v>
      </c>
      <c r="J105" s="28"/>
      <c r="K105" s="29">
        <v>0</v>
      </c>
      <c r="L105" s="30">
        <f t="shared" si="128"/>
        <v>0</v>
      </c>
      <c r="M105" s="28">
        <f>PRODUCTION!N105+'SUPLIER INWARD'!N105</f>
        <v>0</v>
      </c>
      <c r="N105" s="28"/>
      <c r="O105" s="29"/>
      <c r="P105" s="30">
        <f t="shared" si="129"/>
        <v>0</v>
      </c>
      <c r="Q105" s="28">
        <f>PRODUCTION!R105+'SUPLIER INWARD'!R105</f>
        <v>0</v>
      </c>
      <c r="R105" s="28"/>
      <c r="S105" s="29">
        <v>0</v>
      </c>
      <c r="T105" s="30">
        <f t="shared" si="130"/>
        <v>0</v>
      </c>
      <c r="U105" s="28">
        <f>PRODUCTION!V105+'SUPLIER INWARD'!V105</f>
        <v>0</v>
      </c>
      <c r="V105" s="28"/>
      <c r="W105" s="29">
        <v>0</v>
      </c>
      <c r="X105" s="30">
        <f t="shared" si="131"/>
        <v>0</v>
      </c>
      <c r="Y105" s="28">
        <f>PRODUCTION!Z105+'SUPLIER INWARD'!Z105</f>
        <v>0</v>
      </c>
      <c r="Z105" s="28"/>
      <c r="AA105" s="29">
        <v>0</v>
      </c>
      <c r="AB105" s="30">
        <f t="shared" si="132"/>
        <v>0</v>
      </c>
      <c r="AC105" s="28">
        <f>PRODUCTION!AD105+'SUPLIER INWARD'!AD105</f>
        <v>0</v>
      </c>
      <c r="AD105" s="28"/>
      <c r="AE105" s="29">
        <v>0</v>
      </c>
      <c r="AF105" s="30">
        <f t="shared" si="133"/>
        <v>0</v>
      </c>
      <c r="AG105" s="28">
        <f>PRODUCTION!AH105+'SUPLIER INWARD'!AH105</f>
        <v>0</v>
      </c>
      <c r="AH105" s="28"/>
      <c r="AI105" s="29">
        <v>0</v>
      </c>
      <c r="AJ105" s="30">
        <f t="shared" si="134"/>
        <v>0</v>
      </c>
      <c r="AK105" s="28">
        <f>PRODUCTION!AL105+'SUPLIER INWARD'!AL105</f>
        <v>0</v>
      </c>
      <c r="AL105" s="28"/>
      <c r="AM105" s="29">
        <v>0</v>
      </c>
      <c r="AN105" s="30">
        <f t="shared" si="135"/>
        <v>0</v>
      </c>
      <c r="AO105" s="28">
        <f>PRODUCTION!AP105+'SUPLIER INWARD'!AP105</f>
        <v>0</v>
      </c>
      <c r="AP105" s="28"/>
      <c r="AQ105" s="29">
        <v>0</v>
      </c>
      <c r="AR105" s="30">
        <f t="shared" si="136"/>
        <v>0</v>
      </c>
      <c r="AS105" s="28">
        <f>PRODUCTION!AT105+'SUPLIER INWARD'!AT105</f>
        <v>0</v>
      </c>
      <c r="AT105" s="28"/>
      <c r="AU105" s="29">
        <v>0</v>
      </c>
      <c r="AV105" s="30">
        <f t="shared" si="137"/>
        <v>0</v>
      </c>
      <c r="AW105" s="28">
        <f>PRODUCTION!AX105+'SUPLIER INWARD'!AX105</f>
        <v>0</v>
      </c>
      <c r="AX105" s="28"/>
      <c r="AY105" s="29"/>
      <c r="AZ105" s="30">
        <f t="shared" si="138"/>
        <v>0</v>
      </c>
      <c r="BA105" s="28">
        <f>PRODUCTION!BB105+'SUPLIER INWARD'!BB105</f>
        <v>0</v>
      </c>
      <c r="BB105" s="28"/>
      <c r="BC105" s="29">
        <v>0</v>
      </c>
      <c r="BD105" s="30">
        <f t="shared" si="139"/>
        <v>0</v>
      </c>
      <c r="BE105" s="28">
        <f>PRODUCTION!BF105+'SUPLIER INWARD'!BF105</f>
        <v>0</v>
      </c>
      <c r="BF105" s="28"/>
      <c r="BG105" s="29">
        <v>0</v>
      </c>
      <c r="BH105" s="30">
        <f t="shared" si="140"/>
        <v>0</v>
      </c>
      <c r="BI105" s="28">
        <f>PRODUCTION!BJ105+'SUPLIER INWARD'!BJ105</f>
        <v>0</v>
      </c>
      <c r="BJ105" s="28"/>
      <c r="BK105" s="29">
        <v>0</v>
      </c>
      <c r="BL105" s="30">
        <f t="shared" si="141"/>
        <v>0</v>
      </c>
      <c r="BM105" s="28">
        <f>PRODUCTION!BN105+'SUPLIER INWARD'!BN105</f>
        <v>0</v>
      </c>
      <c r="BN105" s="28"/>
      <c r="BO105" s="29">
        <v>0</v>
      </c>
      <c r="BP105" s="30">
        <f t="shared" si="142"/>
        <v>0</v>
      </c>
      <c r="BQ105" s="28">
        <f>PRODUCTION!BR105+'SUPLIER INWARD'!BR105</f>
        <v>0</v>
      </c>
      <c r="BR105" s="28"/>
      <c r="BS105" s="29">
        <v>0</v>
      </c>
      <c r="BT105" s="30">
        <f t="shared" si="143"/>
        <v>0</v>
      </c>
      <c r="BU105" s="28">
        <f>PRODUCTION!BV105+'SUPLIER INWARD'!BV105</f>
        <v>0</v>
      </c>
      <c r="BV105" s="28"/>
      <c r="BW105" s="29">
        <v>0</v>
      </c>
      <c r="BX105" s="30">
        <f t="shared" si="110"/>
        <v>0</v>
      </c>
      <c r="BY105" s="28">
        <f>PRODUCTION!BZ105+'SUPLIER INWARD'!BZ105</f>
        <v>0</v>
      </c>
      <c r="BZ105" s="28"/>
      <c r="CA105" s="29">
        <v>0</v>
      </c>
      <c r="CB105" s="30">
        <f t="shared" si="144"/>
        <v>0</v>
      </c>
      <c r="CC105" s="28">
        <f>PRODUCTION!CD105+'SUPLIER INWARD'!CD105</f>
        <v>0</v>
      </c>
      <c r="CD105" s="28"/>
      <c r="CE105" s="29">
        <v>0</v>
      </c>
      <c r="CF105" s="30">
        <f t="shared" si="145"/>
        <v>0</v>
      </c>
      <c r="CG105" s="28">
        <f>PRODUCTION!CH105+'SUPLIER INWARD'!CH105</f>
        <v>0</v>
      </c>
      <c r="CH105" s="28"/>
      <c r="CI105" s="29">
        <v>0</v>
      </c>
      <c r="CJ105" s="30">
        <f t="shared" si="113"/>
        <v>0</v>
      </c>
      <c r="CK105" s="28">
        <f>PRODUCTION!CL105+'SUPLIER INWARD'!CL105</f>
        <v>0</v>
      </c>
      <c r="CL105" s="151"/>
      <c r="CM105" s="152">
        <v>0</v>
      </c>
      <c r="CN105" s="30">
        <f t="shared" si="114"/>
        <v>0</v>
      </c>
      <c r="CO105" s="28">
        <f>PRODUCTION!CP105+'SUPLIER INWARD'!CP105</f>
        <v>0</v>
      </c>
      <c r="CP105" s="151"/>
      <c r="CQ105" s="29">
        <v>0</v>
      </c>
      <c r="CR105" s="30">
        <f t="shared" si="115"/>
        <v>0</v>
      </c>
      <c r="CS105" s="28">
        <f>PRODUCTION!CT105+'SUPLIER INWARD'!CT105</f>
        <v>397</v>
      </c>
      <c r="CT105" s="28">
        <v>390</v>
      </c>
      <c r="CU105" s="29">
        <v>0</v>
      </c>
      <c r="CV105" s="30">
        <f t="shared" si="116"/>
        <v>7</v>
      </c>
      <c r="CW105" s="28">
        <f>PRODUCTION!CX105+'SUPLIER INWARD'!CX105</f>
        <v>132</v>
      </c>
      <c r="CX105" s="28">
        <v>120</v>
      </c>
      <c r="CY105" s="29">
        <v>0</v>
      </c>
      <c r="CZ105" s="30">
        <f t="shared" si="146"/>
        <v>19</v>
      </c>
      <c r="DA105" s="28">
        <f>PRODUCTION!DB105+'SUPLIER INWARD'!DB105</f>
        <v>0</v>
      </c>
      <c r="DB105" s="28"/>
      <c r="DC105" s="29"/>
      <c r="DD105" s="30">
        <f t="shared" si="147"/>
        <v>19</v>
      </c>
      <c r="DE105" s="28">
        <f>PRODUCTION!DF105+'SUPLIER INWARD'!DF105</f>
        <v>0</v>
      </c>
      <c r="DF105" s="28"/>
      <c r="DG105" s="29">
        <v>0</v>
      </c>
      <c r="DH105" s="30">
        <f t="shared" si="148"/>
        <v>19</v>
      </c>
      <c r="DI105" s="28">
        <f>PRODUCTION!DJ105+'SUPLIER INWARD'!DJ105</f>
        <v>0</v>
      </c>
      <c r="DJ105" s="28"/>
      <c r="DK105" s="29">
        <v>0</v>
      </c>
      <c r="DL105" s="30">
        <f t="shared" si="149"/>
        <v>19</v>
      </c>
      <c r="DM105" s="28">
        <f>PRODUCTION!DN105+'SUPLIER INWARD'!DN105</f>
        <v>0</v>
      </c>
      <c r="DN105" s="28"/>
      <c r="DO105" s="29"/>
      <c r="DP105" s="30">
        <f t="shared" si="150"/>
        <v>19</v>
      </c>
      <c r="DQ105" s="28">
        <f>PRODUCTION!DR105+'SUPLIER INWARD'!DR105</f>
        <v>0</v>
      </c>
      <c r="DR105" s="28"/>
      <c r="DS105" s="29"/>
      <c r="DT105" s="30">
        <f t="shared" si="151"/>
        <v>19</v>
      </c>
      <c r="DU105" s="28">
        <f>PRODUCTION!DV105+'SUPLIER INWARD'!DV105</f>
        <v>0</v>
      </c>
      <c r="DV105" s="28"/>
      <c r="DW105" s="29"/>
      <c r="DX105" s="30">
        <f t="shared" si="152"/>
        <v>19</v>
      </c>
      <c r="DY105" s="31">
        <f t="shared" si="153"/>
        <v>529</v>
      </c>
      <c r="DZ105" s="31">
        <f t="shared" si="154"/>
        <v>510</v>
      </c>
      <c r="EA105" s="4">
        <f t="shared" si="155"/>
        <v>0</v>
      </c>
      <c r="EB105" s="9">
        <f>D105*'MASTER SHEET'!D105</f>
        <v>0</v>
      </c>
      <c r="EC105" s="9">
        <f>H105*'MASTER SHEET'!D105</f>
        <v>0</v>
      </c>
      <c r="ED105" s="9">
        <f>L105*'MASTER SHEET'!D105</f>
        <v>0</v>
      </c>
      <c r="EE105" s="9">
        <f>P105*'MASTER SHEET'!D105</f>
        <v>0</v>
      </c>
      <c r="EF105" s="9">
        <f>T105*'MASTER SHEET'!D105</f>
        <v>0</v>
      </c>
      <c r="EG105" s="9">
        <f>X105*'MASTER SHEET'!D105</f>
        <v>0</v>
      </c>
      <c r="EH105" s="9">
        <f>AB105*'MASTER SHEET'!D105</f>
        <v>0</v>
      </c>
      <c r="EI105" s="9">
        <f>AF105*'MASTER SHEET'!D105</f>
        <v>0</v>
      </c>
      <c r="EJ105" s="9">
        <f>AJ105*'MASTER SHEET'!D105</f>
        <v>0</v>
      </c>
      <c r="EK105" s="9">
        <f>AN105*'MASTER SHEET'!D105</f>
        <v>0</v>
      </c>
      <c r="EL105" s="9">
        <f>AR105*'MASTER SHEET'!D105</f>
        <v>0</v>
      </c>
      <c r="EM105" s="9">
        <f>AV105*'MASTER SHEET'!D105</f>
        <v>0</v>
      </c>
      <c r="EN105" s="9">
        <f>AZ105*'MASTER SHEET'!D105</f>
        <v>0</v>
      </c>
      <c r="EO105" s="9">
        <f>BD105*'MASTER SHEET'!D105</f>
        <v>0</v>
      </c>
      <c r="EP105" s="9">
        <f>$BH105*'MASTER SHEET'!$D105</f>
        <v>0</v>
      </c>
      <c r="EQ105" s="9">
        <f>BL105*'MASTER SHEET'!D105</f>
        <v>0</v>
      </c>
      <c r="ER105" s="9">
        <f>BP105*'MASTER SHEET'!D105</f>
        <v>0</v>
      </c>
      <c r="ES105" s="9">
        <f>BT105*'MASTER SHEET'!D105</f>
        <v>0</v>
      </c>
      <c r="ET105" s="9">
        <f>BX105*'MASTER SHEET'!D105</f>
        <v>0</v>
      </c>
      <c r="EU105" s="9">
        <f>CB105*'MASTER SHEET'!D105</f>
        <v>0</v>
      </c>
      <c r="EV105" s="9">
        <f>CF105*'MASTER SHEET'!D105</f>
        <v>0</v>
      </c>
      <c r="EW105" s="9">
        <f>CJ105*'MASTER SHEET'!D105</f>
        <v>0</v>
      </c>
      <c r="EX105" s="9">
        <f>CN105*'MASTER SHEET'!D105</f>
        <v>0</v>
      </c>
      <c r="EY105" s="9">
        <f>CR105*'MASTER SHEET'!D105</f>
        <v>0</v>
      </c>
      <c r="EZ105" s="9">
        <f>$CV105*'MASTER SHEET'!D105</f>
        <v>1488.8999999999999</v>
      </c>
      <c r="FA105" s="9">
        <f>CZ105*'MASTER SHEET'!D105</f>
        <v>4041.2999999999997</v>
      </c>
      <c r="FB105" s="9">
        <f>DD105*'MASTER SHEET'!D105</f>
        <v>4041.2999999999997</v>
      </c>
      <c r="FC105" s="9">
        <f>DH105*'MASTER SHEET'!D105</f>
        <v>4041.2999999999997</v>
      </c>
      <c r="FD105" s="9">
        <f>DL105*'MASTER SHEET'!D105</f>
        <v>4041.2999999999997</v>
      </c>
      <c r="FE105" s="9">
        <f>DP105*'MASTER SHEET'!D105</f>
        <v>4041.2999999999997</v>
      </c>
      <c r="FF105" s="9">
        <f>DT105*'MASTER SHEET'!D105</f>
        <v>4041.2999999999997</v>
      </c>
      <c r="FG105" s="9">
        <f>+DX105*'MASTER SHEET'!D105</f>
        <v>4041.2999999999997</v>
      </c>
    </row>
    <row r="106" spans="1:163" ht="20.25" customHeight="1" x14ac:dyDescent="0.25">
      <c r="A106" s="25">
        <f>'MASTER SHEET'!A106</f>
        <v>104</v>
      </c>
      <c r="B106" s="26" t="str">
        <f>'MASTER SHEET'!B106</f>
        <v>LOUVER PLASTIC</v>
      </c>
      <c r="C106" s="78">
        <f>'MASTER SHEET'!C106</f>
        <v>5042399</v>
      </c>
      <c r="D106" s="163">
        <v>10</v>
      </c>
      <c r="E106" s="28">
        <f>PRODUCTION!F106+'SUPLIER INWARD'!F106</f>
        <v>0</v>
      </c>
      <c r="F106" s="28"/>
      <c r="G106" s="29">
        <v>0</v>
      </c>
      <c r="H106" s="30">
        <f t="shared" si="127"/>
        <v>10</v>
      </c>
      <c r="I106" s="28">
        <f>PRODUCTION!J106+'SUPLIER INWARD'!J106</f>
        <v>0</v>
      </c>
      <c r="J106" s="28"/>
      <c r="K106" s="29">
        <v>0</v>
      </c>
      <c r="L106" s="30">
        <f t="shared" si="128"/>
        <v>10</v>
      </c>
      <c r="M106" s="28">
        <f>PRODUCTION!N106+'SUPLIER INWARD'!N106</f>
        <v>0</v>
      </c>
      <c r="N106" s="28"/>
      <c r="O106" s="29"/>
      <c r="P106" s="30">
        <f t="shared" si="129"/>
        <v>10</v>
      </c>
      <c r="Q106" s="28">
        <f>PRODUCTION!R106+'SUPLIER INWARD'!R106</f>
        <v>0</v>
      </c>
      <c r="R106" s="146"/>
      <c r="S106" s="29">
        <v>0</v>
      </c>
      <c r="T106" s="30">
        <f t="shared" si="130"/>
        <v>10</v>
      </c>
      <c r="U106" s="28">
        <f>PRODUCTION!V106+'SUPLIER INWARD'!V106</f>
        <v>0</v>
      </c>
      <c r="V106" s="28"/>
      <c r="W106" s="29">
        <v>0</v>
      </c>
      <c r="X106" s="30">
        <f t="shared" si="131"/>
        <v>10</v>
      </c>
      <c r="Y106" s="28">
        <f>PRODUCTION!Z106+'SUPLIER INWARD'!Z106</f>
        <v>0</v>
      </c>
      <c r="Z106" s="28"/>
      <c r="AA106" s="29">
        <v>0</v>
      </c>
      <c r="AB106" s="30">
        <f t="shared" si="132"/>
        <v>10</v>
      </c>
      <c r="AC106" s="28">
        <f>PRODUCTION!AD106+'SUPLIER INWARD'!AD106</f>
        <v>0</v>
      </c>
      <c r="AD106" s="28"/>
      <c r="AE106" s="29">
        <v>0</v>
      </c>
      <c r="AF106" s="30">
        <f t="shared" si="133"/>
        <v>10</v>
      </c>
      <c r="AG106" s="28">
        <f>PRODUCTION!AH106+'SUPLIER INWARD'!AH106</f>
        <v>0</v>
      </c>
      <c r="AH106" s="28"/>
      <c r="AI106" s="29">
        <v>0</v>
      </c>
      <c r="AJ106" s="30">
        <f t="shared" si="134"/>
        <v>10</v>
      </c>
      <c r="AK106" s="28">
        <f>PRODUCTION!AL106+'SUPLIER INWARD'!AL106</f>
        <v>0</v>
      </c>
      <c r="AL106" s="28"/>
      <c r="AM106" s="29">
        <v>0</v>
      </c>
      <c r="AN106" s="30">
        <f t="shared" si="135"/>
        <v>10</v>
      </c>
      <c r="AO106" s="28">
        <f>PRODUCTION!AP106+'SUPLIER INWARD'!AP106</f>
        <v>0</v>
      </c>
      <c r="AP106" s="28"/>
      <c r="AQ106" s="29">
        <v>0</v>
      </c>
      <c r="AR106" s="30">
        <f t="shared" si="136"/>
        <v>10</v>
      </c>
      <c r="AS106" s="28">
        <f>PRODUCTION!AT106+'SUPLIER INWARD'!AT106</f>
        <v>0</v>
      </c>
      <c r="AT106" s="28"/>
      <c r="AU106" s="29">
        <v>0</v>
      </c>
      <c r="AV106" s="30">
        <f t="shared" si="137"/>
        <v>10</v>
      </c>
      <c r="AW106" s="28">
        <f>PRODUCTION!AX106+'SUPLIER INWARD'!AX106</f>
        <v>601</v>
      </c>
      <c r="AX106" s="28"/>
      <c r="AY106" s="29"/>
      <c r="AZ106" s="30">
        <f t="shared" si="138"/>
        <v>611</v>
      </c>
      <c r="BA106" s="28">
        <f>PRODUCTION!BB106+'SUPLIER INWARD'!BB106</f>
        <v>349</v>
      </c>
      <c r="BB106" s="28">
        <v>930</v>
      </c>
      <c r="BC106" s="29">
        <v>0</v>
      </c>
      <c r="BD106" s="30">
        <f t="shared" si="139"/>
        <v>30</v>
      </c>
      <c r="BE106" s="28">
        <f>PRODUCTION!BF106+'SUPLIER INWARD'!BF106</f>
        <v>0</v>
      </c>
      <c r="BF106" s="28">
        <v>30</v>
      </c>
      <c r="BG106" s="29">
        <v>0</v>
      </c>
      <c r="BH106" s="30">
        <f t="shared" si="140"/>
        <v>0</v>
      </c>
      <c r="BI106" s="28">
        <f>PRODUCTION!BJ106+'SUPLIER INWARD'!BJ106</f>
        <v>0</v>
      </c>
      <c r="BJ106" s="28"/>
      <c r="BK106" s="29">
        <v>0</v>
      </c>
      <c r="BL106" s="30">
        <f t="shared" si="141"/>
        <v>0</v>
      </c>
      <c r="BM106" s="28">
        <f>PRODUCTION!BN106+'SUPLIER INWARD'!BN106</f>
        <v>0</v>
      </c>
      <c r="BN106" s="28"/>
      <c r="BO106" s="29">
        <v>0</v>
      </c>
      <c r="BP106" s="30">
        <f t="shared" si="142"/>
        <v>0</v>
      </c>
      <c r="BQ106" s="28">
        <f>PRODUCTION!BR106+'SUPLIER INWARD'!BR106</f>
        <v>0</v>
      </c>
      <c r="BR106" s="28"/>
      <c r="BS106" s="29">
        <v>0</v>
      </c>
      <c r="BT106" s="30">
        <f t="shared" si="143"/>
        <v>0</v>
      </c>
      <c r="BU106" s="28">
        <f>PRODUCTION!BV106+'SUPLIER INWARD'!BV106</f>
        <v>0</v>
      </c>
      <c r="BV106" s="28"/>
      <c r="BW106" s="29">
        <v>0</v>
      </c>
      <c r="BX106" s="30">
        <f t="shared" si="110"/>
        <v>0</v>
      </c>
      <c r="BY106" s="28">
        <f>PRODUCTION!BZ106+'SUPLIER INWARD'!BZ106</f>
        <v>0</v>
      </c>
      <c r="BZ106" s="28"/>
      <c r="CA106" s="29">
        <v>0</v>
      </c>
      <c r="CB106" s="30">
        <f t="shared" si="144"/>
        <v>0</v>
      </c>
      <c r="CC106" s="28">
        <f>PRODUCTION!CD106+'SUPLIER INWARD'!CD106</f>
        <v>0</v>
      </c>
      <c r="CD106" s="28"/>
      <c r="CE106" s="29">
        <v>0</v>
      </c>
      <c r="CF106" s="30">
        <f t="shared" si="145"/>
        <v>0</v>
      </c>
      <c r="CG106" s="28">
        <f>PRODUCTION!CH106+'SUPLIER INWARD'!CH106</f>
        <v>0</v>
      </c>
      <c r="CH106" s="28"/>
      <c r="CI106" s="29">
        <v>0</v>
      </c>
      <c r="CJ106" s="30">
        <f t="shared" si="113"/>
        <v>0</v>
      </c>
      <c r="CK106" s="28">
        <f>PRODUCTION!CL106+'SUPLIER INWARD'!CL106</f>
        <v>0</v>
      </c>
      <c r="CL106" s="151"/>
      <c r="CM106" s="152">
        <v>0</v>
      </c>
      <c r="CN106" s="30">
        <f t="shared" si="114"/>
        <v>0</v>
      </c>
      <c r="CO106" s="28">
        <f>PRODUCTION!CP106+'SUPLIER INWARD'!CP106</f>
        <v>0</v>
      </c>
      <c r="CP106" s="151"/>
      <c r="CQ106" s="29">
        <v>0</v>
      </c>
      <c r="CR106" s="30">
        <f t="shared" si="115"/>
        <v>0</v>
      </c>
      <c r="CS106" s="28">
        <f>PRODUCTION!CT106+'SUPLIER INWARD'!CT106</f>
        <v>0</v>
      </c>
      <c r="CT106" s="28"/>
      <c r="CU106" s="29">
        <v>0</v>
      </c>
      <c r="CV106" s="30">
        <f t="shared" si="116"/>
        <v>0</v>
      </c>
      <c r="CW106" s="28">
        <f>PRODUCTION!CX106+'SUPLIER INWARD'!CX106</f>
        <v>0</v>
      </c>
      <c r="CX106" s="28"/>
      <c r="CY106" s="29">
        <v>0</v>
      </c>
      <c r="CZ106" s="30">
        <f t="shared" si="146"/>
        <v>0</v>
      </c>
      <c r="DA106" s="28">
        <f>PRODUCTION!DB106+'SUPLIER INWARD'!DB106</f>
        <v>0</v>
      </c>
      <c r="DB106" s="28"/>
      <c r="DC106" s="29"/>
      <c r="DD106" s="30">
        <f t="shared" si="147"/>
        <v>0</v>
      </c>
      <c r="DE106" s="28">
        <f>PRODUCTION!DF106+'SUPLIER INWARD'!DF106</f>
        <v>0</v>
      </c>
      <c r="DF106" s="28"/>
      <c r="DG106" s="29">
        <v>0</v>
      </c>
      <c r="DH106" s="30">
        <f t="shared" si="148"/>
        <v>0</v>
      </c>
      <c r="DI106" s="28">
        <f>PRODUCTION!DJ106+'SUPLIER INWARD'!DJ106</f>
        <v>0</v>
      </c>
      <c r="DJ106" s="28"/>
      <c r="DK106" s="29">
        <v>0</v>
      </c>
      <c r="DL106" s="30">
        <f t="shared" si="149"/>
        <v>0</v>
      </c>
      <c r="DM106" s="28">
        <f>PRODUCTION!DN106+'SUPLIER INWARD'!DN106</f>
        <v>0</v>
      </c>
      <c r="DN106" s="28"/>
      <c r="DO106" s="29"/>
      <c r="DP106" s="30">
        <f t="shared" si="150"/>
        <v>0</v>
      </c>
      <c r="DQ106" s="28">
        <f>PRODUCTION!DR106+'SUPLIER INWARD'!DR106</f>
        <v>0</v>
      </c>
      <c r="DR106" s="28"/>
      <c r="DS106" s="29"/>
      <c r="DT106" s="30">
        <f t="shared" si="151"/>
        <v>0</v>
      </c>
      <c r="DU106" s="28">
        <f>PRODUCTION!DV106+'SUPLIER INWARD'!DV106</f>
        <v>0</v>
      </c>
      <c r="DV106" s="28"/>
      <c r="DW106" s="29"/>
      <c r="DX106" s="30">
        <f t="shared" si="152"/>
        <v>0</v>
      </c>
      <c r="DY106" s="31">
        <f t="shared" si="153"/>
        <v>950</v>
      </c>
      <c r="DZ106" s="31">
        <f t="shared" si="154"/>
        <v>960</v>
      </c>
      <c r="EA106" s="4">
        <f t="shared" si="155"/>
        <v>0</v>
      </c>
      <c r="EB106" s="9">
        <f>D106*'MASTER SHEET'!D106</f>
        <v>184.4</v>
      </c>
      <c r="EC106" s="9">
        <f>H106*'MASTER SHEET'!D106</f>
        <v>184.4</v>
      </c>
      <c r="ED106" s="9">
        <f>L106*'MASTER SHEET'!D106</f>
        <v>184.4</v>
      </c>
      <c r="EE106" s="9">
        <f>P106*'MASTER SHEET'!D106</f>
        <v>184.4</v>
      </c>
      <c r="EF106" s="9">
        <f>T106*'MASTER SHEET'!D106</f>
        <v>184.4</v>
      </c>
      <c r="EG106" s="9">
        <f>X106*'MASTER SHEET'!D106</f>
        <v>184.4</v>
      </c>
      <c r="EH106" s="9">
        <f>AB106*'MASTER SHEET'!D106</f>
        <v>184.4</v>
      </c>
      <c r="EI106" s="9">
        <f>AF106*'MASTER SHEET'!D106</f>
        <v>184.4</v>
      </c>
      <c r="EJ106" s="9">
        <f>AJ106*'MASTER SHEET'!D106</f>
        <v>184.4</v>
      </c>
      <c r="EK106" s="9">
        <f>AN106*'MASTER SHEET'!D106</f>
        <v>184.4</v>
      </c>
      <c r="EL106" s="9">
        <f>AR106*'MASTER SHEET'!D106</f>
        <v>184.4</v>
      </c>
      <c r="EM106" s="9">
        <f>AV106*'MASTER SHEET'!D106</f>
        <v>184.4</v>
      </c>
      <c r="EN106" s="9">
        <f>AZ106*'MASTER SHEET'!D106</f>
        <v>11266.84</v>
      </c>
      <c r="EO106" s="9">
        <f>BD106*'MASTER SHEET'!D106</f>
        <v>553.20000000000005</v>
      </c>
      <c r="EP106" s="9">
        <f>$BH106*'MASTER SHEET'!$D106</f>
        <v>0</v>
      </c>
      <c r="EQ106" s="9">
        <f>BL106*'MASTER SHEET'!D106</f>
        <v>0</v>
      </c>
      <c r="ER106" s="9">
        <f>BP106*'MASTER SHEET'!D106</f>
        <v>0</v>
      </c>
      <c r="ES106" s="9">
        <f>BT106*'MASTER SHEET'!D106</f>
        <v>0</v>
      </c>
      <c r="ET106" s="9">
        <f>BX106*'MASTER SHEET'!D106</f>
        <v>0</v>
      </c>
      <c r="EU106" s="9">
        <f>CB106*'MASTER SHEET'!D106</f>
        <v>0</v>
      </c>
      <c r="EV106" s="9">
        <f>CF106*'MASTER SHEET'!D106</f>
        <v>0</v>
      </c>
      <c r="EW106" s="9">
        <f>CJ106*'MASTER SHEET'!D106</f>
        <v>0</v>
      </c>
      <c r="EX106" s="9">
        <f>CN106*'MASTER SHEET'!D106</f>
        <v>0</v>
      </c>
      <c r="EY106" s="9">
        <f>CR106*'MASTER SHEET'!D106</f>
        <v>0</v>
      </c>
      <c r="EZ106" s="9">
        <f>$CV106*'MASTER SHEET'!D106</f>
        <v>0</v>
      </c>
      <c r="FA106" s="9">
        <f>CZ106*'MASTER SHEET'!D106</f>
        <v>0</v>
      </c>
      <c r="FB106" s="9">
        <f>DD106*'MASTER SHEET'!D106</f>
        <v>0</v>
      </c>
      <c r="FC106" s="9">
        <f>DH106*'MASTER SHEET'!D106</f>
        <v>0</v>
      </c>
      <c r="FD106" s="9">
        <f>DL106*'MASTER SHEET'!D106</f>
        <v>0</v>
      </c>
      <c r="FE106" s="9">
        <f>DP106*'MASTER SHEET'!D106</f>
        <v>0</v>
      </c>
      <c r="FF106" s="9">
        <f>DT106*'MASTER SHEET'!D106</f>
        <v>0</v>
      </c>
      <c r="FG106" s="9">
        <f>+DX106*'MASTER SHEET'!D106</f>
        <v>0</v>
      </c>
    </row>
    <row r="107" spans="1:163" ht="20.25" customHeight="1" x14ac:dyDescent="0.25">
      <c r="A107" s="25">
        <f>'MASTER SHEET'!A107</f>
        <v>105</v>
      </c>
      <c r="B107" s="26" t="str">
        <f>'MASTER SHEET'!B107</f>
        <v>END Plate</v>
      </c>
      <c r="C107" s="78">
        <f>'MASTER SHEET'!C107</f>
        <v>5027149</v>
      </c>
      <c r="D107" s="159">
        <v>0</v>
      </c>
      <c r="E107" s="28">
        <f>PRODUCTION!F107+'SUPLIER INWARD'!F107</f>
        <v>0</v>
      </c>
      <c r="F107" s="28"/>
      <c r="G107" s="29">
        <v>0</v>
      </c>
      <c r="H107" s="30">
        <f t="shared" si="127"/>
        <v>0</v>
      </c>
      <c r="I107" s="28">
        <f>PRODUCTION!J107+'SUPLIER INWARD'!J107</f>
        <v>0</v>
      </c>
      <c r="J107" s="28"/>
      <c r="K107" s="29">
        <v>0</v>
      </c>
      <c r="L107" s="30">
        <f t="shared" si="128"/>
        <v>0</v>
      </c>
      <c r="M107" s="28">
        <f>PRODUCTION!N107+'SUPLIER INWARD'!N107</f>
        <v>0</v>
      </c>
      <c r="N107" s="28"/>
      <c r="O107" s="29"/>
      <c r="P107" s="30">
        <f t="shared" si="129"/>
        <v>0</v>
      </c>
      <c r="Q107" s="28">
        <f>PRODUCTION!R107+'SUPLIER INWARD'!R107</f>
        <v>0</v>
      </c>
      <c r="R107" s="28"/>
      <c r="S107" s="29">
        <v>0</v>
      </c>
      <c r="T107" s="30">
        <f t="shared" si="130"/>
        <v>0</v>
      </c>
      <c r="U107" s="28">
        <f>PRODUCTION!V107+'SUPLIER INWARD'!V107</f>
        <v>0</v>
      </c>
      <c r="V107" s="28"/>
      <c r="W107" s="29">
        <v>0</v>
      </c>
      <c r="X107" s="30">
        <f t="shared" si="131"/>
        <v>0</v>
      </c>
      <c r="Y107" s="28">
        <f>PRODUCTION!Z107+'SUPLIER INWARD'!Z107</f>
        <v>0</v>
      </c>
      <c r="Z107" s="28"/>
      <c r="AA107" s="29">
        <v>0</v>
      </c>
      <c r="AB107" s="30">
        <f t="shared" si="132"/>
        <v>0</v>
      </c>
      <c r="AC107" s="28">
        <f>PRODUCTION!AD107+'SUPLIER INWARD'!AD107</f>
        <v>0</v>
      </c>
      <c r="AD107" s="28"/>
      <c r="AE107" s="29">
        <v>0</v>
      </c>
      <c r="AF107" s="30">
        <f t="shared" si="133"/>
        <v>0</v>
      </c>
      <c r="AG107" s="28">
        <f>PRODUCTION!AH107+'SUPLIER INWARD'!AH107</f>
        <v>0</v>
      </c>
      <c r="AH107" s="28"/>
      <c r="AI107" s="29">
        <v>0</v>
      </c>
      <c r="AJ107" s="30">
        <f t="shared" si="134"/>
        <v>0</v>
      </c>
      <c r="AK107" s="28">
        <f>PRODUCTION!AL107+'SUPLIER INWARD'!AL107</f>
        <v>0</v>
      </c>
      <c r="AL107" s="28"/>
      <c r="AM107" s="29">
        <v>0</v>
      </c>
      <c r="AN107" s="30">
        <f t="shared" si="135"/>
        <v>0</v>
      </c>
      <c r="AO107" s="28">
        <f>PRODUCTION!AP107+'SUPLIER INWARD'!AP107</f>
        <v>0</v>
      </c>
      <c r="AP107" s="28"/>
      <c r="AQ107" s="29">
        <v>0</v>
      </c>
      <c r="AR107" s="30">
        <f t="shared" si="136"/>
        <v>0</v>
      </c>
      <c r="AS107" s="28">
        <f>PRODUCTION!AT107+'SUPLIER INWARD'!AT107</f>
        <v>0</v>
      </c>
      <c r="AT107" s="28"/>
      <c r="AU107" s="29">
        <v>0</v>
      </c>
      <c r="AV107" s="30">
        <f t="shared" si="137"/>
        <v>0</v>
      </c>
      <c r="AW107" s="28">
        <f>PRODUCTION!AX107+'SUPLIER INWARD'!AX107</f>
        <v>0</v>
      </c>
      <c r="AX107" s="28"/>
      <c r="AY107" s="29"/>
      <c r="AZ107" s="30">
        <f t="shared" si="138"/>
        <v>0</v>
      </c>
      <c r="BA107" s="28">
        <f>PRODUCTION!BB107+'SUPLIER INWARD'!BB107</f>
        <v>0</v>
      </c>
      <c r="BB107" s="28"/>
      <c r="BC107" s="29">
        <v>0</v>
      </c>
      <c r="BD107" s="30">
        <f t="shared" si="139"/>
        <v>0</v>
      </c>
      <c r="BE107" s="28">
        <f>PRODUCTION!BF107+'SUPLIER INWARD'!BF107</f>
        <v>0</v>
      </c>
      <c r="BF107" s="28"/>
      <c r="BG107" s="29">
        <v>0</v>
      </c>
      <c r="BH107" s="30">
        <f t="shared" si="140"/>
        <v>0</v>
      </c>
      <c r="BI107" s="28">
        <f>PRODUCTION!BJ107+'SUPLIER INWARD'!BJ107</f>
        <v>0</v>
      </c>
      <c r="BJ107" s="28"/>
      <c r="BK107" s="29">
        <v>0</v>
      </c>
      <c r="BL107" s="30">
        <f t="shared" si="141"/>
        <v>0</v>
      </c>
      <c r="BM107" s="28">
        <f>PRODUCTION!BN107+'SUPLIER INWARD'!BN107</f>
        <v>0</v>
      </c>
      <c r="BN107" s="28"/>
      <c r="BO107" s="29">
        <v>0</v>
      </c>
      <c r="BP107" s="30">
        <f t="shared" si="142"/>
        <v>0</v>
      </c>
      <c r="BQ107" s="28">
        <f>PRODUCTION!BR107+'SUPLIER INWARD'!BR107</f>
        <v>0</v>
      </c>
      <c r="BR107" s="28"/>
      <c r="BS107" s="29">
        <v>0</v>
      </c>
      <c r="BT107" s="30">
        <f t="shared" si="143"/>
        <v>0</v>
      </c>
      <c r="BU107" s="28">
        <f>PRODUCTION!BV107+'SUPLIER INWARD'!BV107</f>
        <v>0</v>
      </c>
      <c r="BV107" s="28"/>
      <c r="BW107" s="29">
        <v>0</v>
      </c>
      <c r="BX107" s="30">
        <f t="shared" si="110"/>
        <v>0</v>
      </c>
      <c r="BY107" s="28">
        <f>PRODUCTION!BZ107+'SUPLIER INWARD'!BZ107</f>
        <v>0</v>
      </c>
      <c r="BZ107" s="28"/>
      <c r="CA107" s="29">
        <v>0</v>
      </c>
      <c r="CB107" s="30">
        <f t="shared" si="144"/>
        <v>0</v>
      </c>
      <c r="CC107" s="28">
        <f>PRODUCTION!CD107+'SUPLIER INWARD'!CD107</f>
        <v>0</v>
      </c>
      <c r="CD107" s="28"/>
      <c r="CE107" s="29">
        <v>0</v>
      </c>
      <c r="CF107" s="30">
        <f t="shared" si="145"/>
        <v>0</v>
      </c>
      <c r="CG107" s="28">
        <f>PRODUCTION!CH107+'SUPLIER INWARD'!CH107</f>
        <v>0</v>
      </c>
      <c r="CH107" s="28"/>
      <c r="CI107" s="29">
        <v>0</v>
      </c>
      <c r="CJ107" s="30">
        <f t="shared" si="113"/>
        <v>0</v>
      </c>
      <c r="CK107" s="28">
        <f>PRODUCTION!CL107+'SUPLIER INWARD'!CL107</f>
        <v>0</v>
      </c>
      <c r="CL107" s="151"/>
      <c r="CM107" s="152">
        <v>0</v>
      </c>
      <c r="CN107" s="30">
        <f t="shared" si="114"/>
        <v>0</v>
      </c>
      <c r="CO107" s="28">
        <f>PRODUCTION!CP107+'SUPLIER INWARD'!CP107</f>
        <v>0</v>
      </c>
      <c r="CP107" s="151"/>
      <c r="CQ107" s="29">
        <v>0</v>
      </c>
      <c r="CR107" s="30">
        <f t="shared" si="115"/>
        <v>0</v>
      </c>
      <c r="CS107" s="28">
        <f>PRODUCTION!CT107+'SUPLIER INWARD'!CT107</f>
        <v>0</v>
      </c>
      <c r="CT107" s="28"/>
      <c r="CU107" s="29">
        <v>0</v>
      </c>
      <c r="CV107" s="30">
        <f t="shared" si="116"/>
        <v>0</v>
      </c>
      <c r="CW107" s="28">
        <f>PRODUCTION!CX107+'SUPLIER INWARD'!CX107</f>
        <v>0</v>
      </c>
      <c r="CX107" s="28"/>
      <c r="CY107" s="29">
        <v>0</v>
      </c>
      <c r="CZ107" s="30">
        <f t="shared" si="146"/>
        <v>0</v>
      </c>
      <c r="DA107" s="28">
        <f>PRODUCTION!DB107+'SUPLIER INWARD'!DB107</f>
        <v>0</v>
      </c>
      <c r="DB107" s="28"/>
      <c r="DC107" s="29"/>
      <c r="DD107" s="30">
        <f t="shared" si="147"/>
        <v>0</v>
      </c>
      <c r="DE107" s="28">
        <f>PRODUCTION!DF107+'SUPLIER INWARD'!DF107</f>
        <v>0</v>
      </c>
      <c r="DF107" s="28"/>
      <c r="DG107" s="29">
        <v>0</v>
      </c>
      <c r="DH107" s="30">
        <f t="shared" si="148"/>
        <v>0</v>
      </c>
      <c r="DI107" s="28">
        <f>PRODUCTION!DJ107+'SUPLIER INWARD'!DJ107</f>
        <v>0</v>
      </c>
      <c r="DJ107" s="28"/>
      <c r="DK107" s="29">
        <v>0</v>
      </c>
      <c r="DL107" s="30">
        <f t="shared" si="149"/>
        <v>0</v>
      </c>
      <c r="DM107" s="28">
        <f>PRODUCTION!DN107+'SUPLIER INWARD'!DN107</f>
        <v>0</v>
      </c>
      <c r="DN107" s="28"/>
      <c r="DO107" s="29"/>
      <c r="DP107" s="30">
        <f t="shared" si="150"/>
        <v>0</v>
      </c>
      <c r="DQ107" s="28">
        <f>PRODUCTION!DR107+'SUPLIER INWARD'!DR107</f>
        <v>0</v>
      </c>
      <c r="DR107" s="28"/>
      <c r="DS107" s="29"/>
      <c r="DT107" s="30">
        <f t="shared" si="151"/>
        <v>0</v>
      </c>
      <c r="DU107" s="28">
        <f>PRODUCTION!DV107+'SUPLIER INWARD'!DV107</f>
        <v>0</v>
      </c>
      <c r="DV107" s="28"/>
      <c r="DW107" s="29"/>
      <c r="DX107" s="30">
        <f t="shared" si="152"/>
        <v>0</v>
      </c>
      <c r="DY107" s="31">
        <f t="shared" si="153"/>
        <v>0</v>
      </c>
      <c r="DZ107" s="31">
        <f t="shared" si="154"/>
        <v>0</v>
      </c>
      <c r="EA107" s="4">
        <f t="shared" si="155"/>
        <v>0</v>
      </c>
      <c r="EB107" s="9">
        <f>D107*'MASTER SHEET'!D107</f>
        <v>0</v>
      </c>
      <c r="EC107" s="9">
        <f>H107*'MASTER SHEET'!D107</f>
        <v>0</v>
      </c>
      <c r="ED107" s="9">
        <f>L107*'MASTER SHEET'!D107</f>
        <v>0</v>
      </c>
      <c r="EE107" s="9">
        <f>P107*'MASTER SHEET'!D107</f>
        <v>0</v>
      </c>
      <c r="EF107" s="9">
        <f>T107*'MASTER SHEET'!D107</f>
        <v>0</v>
      </c>
      <c r="EG107" s="9">
        <f>X107*'MASTER SHEET'!D107</f>
        <v>0</v>
      </c>
      <c r="EH107" s="9">
        <f>AB107*'MASTER SHEET'!D107</f>
        <v>0</v>
      </c>
      <c r="EI107" s="9">
        <f>AF107*'MASTER SHEET'!D107</f>
        <v>0</v>
      </c>
      <c r="EJ107" s="9">
        <f>AJ107*'MASTER SHEET'!D107</f>
        <v>0</v>
      </c>
      <c r="EK107" s="9">
        <f>AN107*'MASTER SHEET'!D107</f>
        <v>0</v>
      </c>
      <c r="EL107" s="9">
        <f>AR107*'MASTER SHEET'!D107</f>
        <v>0</v>
      </c>
      <c r="EM107" s="9">
        <f>AV107*'MASTER SHEET'!D107</f>
        <v>0</v>
      </c>
      <c r="EN107" s="9">
        <f>AZ107*'MASTER SHEET'!D107</f>
        <v>0</v>
      </c>
      <c r="EO107" s="9">
        <f>BD107*'MASTER SHEET'!D107</f>
        <v>0</v>
      </c>
      <c r="EP107" s="9">
        <f>$BH107*'MASTER SHEET'!$D107</f>
        <v>0</v>
      </c>
      <c r="EQ107" s="9">
        <f>BL107*'MASTER SHEET'!D107</f>
        <v>0</v>
      </c>
      <c r="ER107" s="9">
        <f>BP107*'MASTER SHEET'!D107</f>
        <v>0</v>
      </c>
      <c r="ES107" s="9">
        <f>BT107*'MASTER SHEET'!D107</f>
        <v>0</v>
      </c>
      <c r="ET107" s="9">
        <f>BX107*'MASTER SHEET'!D107</f>
        <v>0</v>
      </c>
      <c r="EU107" s="9">
        <f>CB107*'MASTER SHEET'!D107</f>
        <v>0</v>
      </c>
      <c r="EV107" s="9">
        <f>CF107*'MASTER SHEET'!D107</f>
        <v>0</v>
      </c>
      <c r="EW107" s="9">
        <f>CJ107*'MASTER SHEET'!D107</f>
        <v>0</v>
      </c>
      <c r="EX107" s="9">
        <f>CN107*'MASTER SHEET'!D107</f>
        <v>0</v>
      </c>
      <c r="EY107" s="9">
        <f>CR107*'MASTER SHEET'!D107</f>
        <v>0</v>
      </c>
      <c r="EZ107" s="9">
        <f>$CV107*'MASTER SHEET'!D107</f>
        <v>0</v>
      </c>
      <c r="FA107" s="9">
        <f>CZ107*'MASTER SHEET'!D107</f>
        <v>0</v>
      </c>
      <c r="FB107" s="9">
        <f>DD107*'MASTER SHEET'!D107</f>
        <v>0</v>
      </c>
      <c r="FC107" s="9">
        <f>DH107*'MASTER SHEET'!D107</f>
        <v>0</v>
      </c>
      <c r="FD107" s="9">
        <f>DL107*'MASTER SHEET'!D107</f>
        <v>0</v>
      </c>
      <c r="FE107" s="9">
        <f>DP107*'MASTER SHEET'!D107</f>
        <v>0</v>
      </c>
      <c r="FF107" s="9">
        <f>DT107*'MASTER SHEET'!D107</f>
        <v>0</v>
      </c>
      <c r="FG107" s="9">
        <f>+DX107*'MASTER SHEET'!D107</f>
        <v>0</v>
      </c>
    </row>
    <row r="108" spans="1:163" ht="20.25" customHeight="1" x14ac:dyDescent="0.25">
      <c r="A108" s="25">
        <f>'MASTER SHEET'!A108</f>
        <v>106</v>
      </c>
      <c r="B108" s="26" t="str">
        <f>'MASTER SHEET'!B108</f>
        <v>CENTER TUBE</v>
      </c>
      <c r="C108" s="78">
        <f>'MASTER SHEET'!C108</f>
        <v>5027150</v>
      </c>
      <c r="D108" s="159">
        <v>0</v>
      </c>
      <c r="E108" s="28">
        <f>PRODUCTION!F108+'SUPLIER INWARD'!F108</f>
        <v>0</v>
      </c>
      <c r="F108" s="28"/>
      <c r="G108" s="29">
        <v>0</v>
      </c>
      <c r="H108" s="30">
        <f t="shared" si="127"/>
        <v>0</v>
      </c>
      <c r="I108" s="28">
        <f>PRODUCTION!J108+'SUPLIER INWARD'!J108</f>
        <v>0</v>
      </c>
      <c r="J108" s="28"/>
      <c r="K108" s="29">
        <v>0</v>
      </c>
      <c r="L108" s="30">
        <f t="shared" si="128"/>
        <v>0</v>
      </c>
      <c r="M108" s="28">
        <f>PRODUCTION!N108+'SUPLIER INWARD'!N108</f>
        <v>0</v>
      </c>
      <c r="N108" s="28"/>
      <c r="O108" s="29"/>
      <c r="P108" s="30">
        <f t="shared" si="129"/>
        <v>0</v>
      </c>
      <c r="Q108" s="28">
        <f>PRODUCTION!R108+'SUPLIER INWARD'!R108</f>
        <v>0</v>
      </c>
      <c r="R108" s="28"/>
      <c r="S108" s="29">
        <v>0</v>
      </c>
      <c r="T108" s="30">
        <f t="shared" si="130"/>
        <v>0</v>
      </c>
      <c r="U108" s="28">
        <f>PRODUCTION!V108+'SUPLIER INWARD'!V108</f>
        <v>0</v>
      </c>
      <c r="V108" s="28"/>
      <c r="W108" s="29">
        <v>0</v>
      </c>
      <c r="X108" s="30">
        <f t="shared" si="131"/>
        <v>0</v>
      </c>
      <c r="Y108" s="28">
        <f>PRODUCTION!Z108+'SUPLIER INWARD'!Z108</f>
        <v>0</v>
      </c>
      <c r="Z108" s="28"/>
      <c r="AA108" s="29">
        <v>0</v>
      </c>
      <c r="AB108" s="30">
        <f t="shared" si="132"/>
        <v>0</v>
      </c>
      <c r="AC108" s="28">
        <f>PRODUCTION!AD108+'SUPLIER INWARD'!AD108</f>
        <v>0</v>
      </c>
      <c r="AD108" s="28"/>
      <c r="AE108" s="29">
        <v>0</v>
      </c>
      <c r="AF108" s="30">
        <f t="shared" si="133"/>
        <v>0</v>
      </c>
      <c r="AG108" s="28">
        <f>PRODUCTION!AH108+'SUPLIER INWARD'!AH108</f>
        <v>0</v>
      </c>
      <c r="AH108" s="28"/>
      <c r="AI108" s="29">
        <v>0</v>
      </c>
      <c r="AJ108" s="30">
        <f t="shared" si="134"/>
        <v>0</v>
      </c>
      <c r="AK108" s="28">
        <f>PRODUCTION!AL108+'SUPLIER INWARD'!AL108</f>
        <v>0</v>
      </c>
      <c r="AL108" s="28"/>
      <c r="AM108" s="29">
        <v>0</v>
      </c>
      <c r="AN108" s="30">
        <f t="shared" si="135"/>
        <v>0</v>
      </c>
      <c r="AO108" s="28">
        <f>PRODUCTION!AP108+'SUPLIER INWARD'!AP108</f>
        <v>0</v>
      </c>
      <c r="AP108" s="28"/>
      <c r="AQ108" s="29">
        <v>0</v>
      </c>
      <c r="AR108" s="30">
        <f t="shared" si="136"/>
        <v>0</v>
      </c>
      <c r="AS108" s="28">
        <f>PRODUCTION!AT108+'SUPLIER INWARD'!AT108</f>
        <v>0</v>
      </c>
      <c r="AT108" s="28"/>
      <c r="AU108" s="29">
        <v>0</v>
      </c>
      <c r="AV108" s="30">
        <f t="shared" si="137"/>
        <v>0</v>
      </c>
      <c r="AW108" s="28">
        <f>PRODUCTION!AX108+'SUPLIER INWARD'!AX108</f>
        <v>0</v>
      </c>
      <c r="AX108" s="28"/>
      <c r="AY108" s="29"/>
      <c r="AZ108" s="30">
        <f t="shared" si="138"/>
        <v>0</v>
      </c>
      <c r="BA108" s="28">
        <f>PRODUCTION!BB108+'SUPLIER INWARD'!BB108</f>
        <v>0</v>
      </c>
      <c r="BB108" s="28"/>
      <c r="BC108" s="29">
        <v>0</v>
      </c>
      <c r="BD108" s="30">
        <f t="shared" si="139"/>
        <v>0</v>
      </c>
      <c r="BE108" s="28">
        <f>PRODUCTION!BF108+'SUPLIER INWARD'!BF108</f>
        <v>0</v>
      </c>
      <c r="BF108" s="28"/>
      <c r="BG108" s="29">
        <v>0</v>
      </c>
      <c r="BH108" s="30">
        <f t="shared" si="140"/>
        <v>0</v>
      </c>
      <c r="BI108" s="28">
        <f>PRODUCTION!BJ108+'SUPLIER INWARD'!BJ108</f>
        <v>0</v>
      </c>
      <c r="BJ108" s="28"/>
      <c r="BK108" s="29">
        <v>0</v>
      </c>
      <c r="BL108" s="30">
        <f t="shared" si="141"/>
        <v>0</v>
      </c>
      <c r="BM108" s="28">
        <f>PRODUCTION!BN108+'SUPLIER INWARD'!BN108</f>
        <v>0</v>
      </c>
      <c r="BN108" s="28"/>
      <c r="BO108" s="29">
        <v>0</v>
      </c>
      <c r="BP108" s="30">
        <f t="shared" si="142"/>
        <v>0</v>
      </c>
      <c r="BQ108" s="28">
        <f>PRODUCTION!BR108+'SUPLIER INWARD'!BR108</f>
        <v>0</v>
      </c>
      <c r="BR108" s="28"/>
      <c r="BS108" s="29">
        <v>0</v>
      </c>
      <c r="BT108" s="30">
        <f t="shared" si="143"/>
        <v>0</v>
      </c>
      <c r="BU108" s="28">
        <f>PRODUCTION!BV108+'SUPLIER INWARD'!BV108</f>
        <v>0</v>
      </c>
      <c r="BV108" s="28"/>
      <c r="BW108" s="29">
        <v>0</v>
      </c>
      <c r="BX108" s="30">
        <f t="shared" si="110"/>
        <v>0</v>
      </c>
      <c r="BY108" s="28">
        <f>PRODUCTION!BZ108+'SUPLIER INWARD'!BZ108</f>
        <v>0</v>
      </c>
      <c r="BZ108" s="28"/>
      <c r="CA108" s="29">
        <v>0</v>
      </c>
      <c r="CB108" s="30">
        <f t="shared" si="144"/>
        <v>0</v>
      </c>
      <c r="CC108" s="28">
        <f>PRODUCTION!CD108+'SUPLIER INWARD'!CD108</f>
        <v>0</v>
      </c>
      <c r="CD108" s="28"/>
      <c r="CE108" s="29">
        <v>0</v>
      </c>
      <c r="CF108" s="30">
        <f t="shared" si="145"/>
        <v>0</v>
      </c>
      <c r="CG108" s="28">
        <f>PRODUCTION!CH108+'SUPLIER INWARD'!CH108</f>
        <v>0</v>
      </c>
      <c r="CH108" s="28"/>
      <c r="CI108" s="29">
        <v>0</v>
      </c>
      <c r="CJ108" s="30">
        <f t="shared" si="113"/>
        <v>0</v>
      </c>
      <c r="CK108" s="28">
        <f>PRODUCTION!CL108+'SUPLIER INWARD'!CL108</f>
        <v>0</v>
      </c>
      <c r="CL108" s="151"/>
      <c r="CM108" s="152">
        <v>0</v>
      </c>
      <c r="CN108" s="30">
        <f t="shared" si="114"/>
        <v>0</v>
      </c>
      <c r="CO108" s="28">
        <f>PRODUCTION!CP108+'SUPLIER INWARD'!CP108</f>
        <v>0</v>
      </c>
      <c r="CP108" s="151"/>
      <c r="CQ108" s="29">
        <v>0</v>
      </c>
      <c r="CR108" s="30">
        <f t="shared" si="115"/>
        <v>0</v>
      </c>
      <c r="CS108" s="28">
        <f>PRODUCTION!CT108+'SUPLIER INWARD'!CT108</f>
        <v>0</v>
      </c>
      <c r="CT108" s="28"/>
      <c r="CU108" s="29">
        <v>0</v>
      </c>
      <c r="CV108" s="30">
        <f t="shared" si="116"/>
        <v>0</v>
      </c>
      <c r="CW108" s="28">
        <f>PRODUCTION!CX108+'SUPLIER INWARD'!CX108</f>
        <v>0</v>
      </c>
      <c r="CX108" s="28"/>
      <c r="CY108" s="29">
        <v>0</v>
      </c>
      <c r="CZ108" s="30">
        <f t="shared" si="146"/>
        <v>0</v>
      </c>
      <c r="DA108" s="28">
        <f>PRODUCTION!DB108+'SUPLIER INWARD'!DB108</f>
        <v>0</v>
      </c>
      <c r="DB108" s="28"/>
      <c r="DC108" s="29"/>
      <c r="DD108" s="30">
        <f t="shared" si="147"/>
        <v>0</v>
      </c>
      <c r="DE108" s="28">
        <f>PRODUCTION!DF108+'SUPLIER INWARD'!DF108</f>
        <v>0</v>
      </c>
      <c r="DF108" s="28"/>
      <c r="DG108" s="29">
        <v>0</v>
      </c>
      <c r="DH108" s="30">
        <f t="shared" si="148"/>
        <v>0</v>
      </c>
      <c r="DI108" s="28">
        <f>PRODUCTION!DJ108+'SUPLIER INWARD'!DJ108</f>
        <v>0</v>
      </c>
      <c r="DJ108" s="28"/>
      <c r="DK108" s="29">
        <v>0</v>
      </c>
      <c r="DL108" s="30">
        <f t="shared" si="149"/>
        <v>0</v>
      </c>
      <c r="DM108" s="28">
        <f>PRODUCTION!DN108+'SUPLIER INWARD'!DN108</f>
        <v>0</v>
      </c>
      <c r="DN108" s="28"/>
      <c r="DO108" s="29"/>
      <c r="DP108" s="30">
        <f t="shared" si="150"/>
        <v>0</v>
      </c>
      <c r="DQ108" s="28">
        <f>PRODUCTION!DR108+'SUPLIER INWARD'!DR108</f>
        <v>0</v>
      </c>
      <c r="DR108" s="28"/>
      <c r="DS108" s="29"/>
      <c r="DT108" s="30">
        <f t="shared" si="151"/>
        <v>0</v>
      </c>
      <c r="DU108" s="28">
        <f>PRODUCTION!DV108+'SUPLIER INWARD'!DV108</f>
        <v>0</v>
      </c>
      <c r="DV108" s="28"/>
      <c r="DW108" s="29"/>
      <c r="DX108" s="30">
        <f t="shared" si="152"/>
        <v>0</v>
      </c>
      <c r="DY108" s="31">
        <f t="shared" si="153"/>
        <v>0</v>
      </c>
      <c r="DZ108" s="31">
        <f t="shared" si="154"/>
        <v>0</v>
      </c>
      <c r="EA108" s="4">
        <f t="shared" si="155"/>
        <v>0</v>
      </c>
      <c r="EB108" s="9">
        <f>D108*'MASTER SHEET'!D108</f>
        <v>0</v>
      </c>
      <c r="EC108" s="9">
        <f>H108*'MASTER SHEET'!D108</f>
        <v>0</v>
      </c>
      <c r="ED108" s="9">
        <f>L108*'MASTER SHEET'!D108</f>
        <v>0</v>
      </c>
      <c r="EE108" s="9">
        <f>P108*'MASTER SHEET'!D108</f>
        <v>0</v>
      </c>
      <c r="EF108" s="9">
        <f>T108*'MASTER SHEET'!D108</f>
        <v>0</v>
      </c>
      <c r="EG108" s="9">
        <f>X108*'MASTER SHEET'!D108</f>
        <v>0</v>
      </c>
      <c r="EH108" s="9">
        <f>AB108*'MASTER SHEET'!D108</f>
        <v>0</v>
      </c>
      <c r="EI108" s="9">
        <f>AF108*'MASTER SHEET'!D108</f>
        <v>0</v>
      </c>
      <c r="EJ108" s="9">
        <f>AJ108*'MASTER SHEET'!D108</f>
        <v>0</v>
      </c>
      <c r="EK108" s="9">
        <f>AN108*'MASTER SHEET'!D108</f>
        <v>0</v>
      </c>
      <c r="EL108" s="9">
        <f>AR108*'MASTER SHEET'!D108</f>
        <v>0</v>
      </c>
      <c r="EM108" s="9">
        <f>AV108*'MASTER SHEET'!D108</f>
        <v>0</v>
      </c>
      <c r="EN108" s="9">
        <f>AZ108*'MASTER SHEET'!D108</f>
        <v>0</v>
      </c>
      <c r="EO108" s="9">
        <f>BD108*'MASTER SHEET'!D108</f>
        <v>0</v>
      </c>
      <c r="EP108" s="9">
        <f>$BH108*'MASTER SHEET'!$D108</f>
        <v>0</v>
      </c>
      <c r="EQ108" s="9">
        <f>BL108*'MASTER SHEET'!D108</f>
        <v>0</v>
      </c>
      <c r="ER108" s="9">
        <f>BP108*'MASTER SHEET'!D108</f>
        <v>0</v>
      </c>
      <c r="ES108" s="9">
        <f>BT108*'MASTER SHEET'!D108</f>
        <v>0</v>
      </c>
      <c r="ET108" s="9">
        <f>BX108*'MASTER SHEET'!D108</f>
        <v>0</v>
      </c>
      <c r="EU108" s="9">
        <f>CB108*'MASTER SHEET'!D108</f>
        <v>0</v>
      </c>
      <c r="EV108" s="9">
        <f>CF108*'MASTER SHEET'!D108</f>
        <v>0</v>
      </c>
      <c r="EW108" s="9">
        <f>CJ108*'MASTER SHEET'!D108</f>
        <v>0</v>
      </c>
      <c r="EX108" s="9">
        <f>CN108*'MASTER SHEET'!D108</f>
        <v>0</v>
      </c>
      <c r="EY108" s="9">
        <f>CR108*'MASTER SHEET'!D108</f>
        <v>0</v>
      </c>
      <c r="EZ108" s="9">
        <f>$CV108*'MASTER SHEET'!D108</f>
        <v>0</v>
      </c>
      <c r="FA108" s="9">
        <f>CZ108*'MASTER SHEET'!D108</f>
        <v>0</v>
      </c>
      <c r="FB108" s="9">
        <f>DD108*'MASTER SHEET'!D108</f>
        <v>0</v>
      </c>
      <c r="FC108" s="9">
        <f>DH108*'MASTER SHEET'!D108</f>
        <v>0</v>
      </c>
      <c r="FD108" s="9">
        <f>DL108*'MASTER SHEET'!D108</f>
        <v>0</v>
      </c>
      <c r="FE108" s="9">
        <f>DP108*'MASTER SHEET'!D108</f>
        <v>0</v>
      </c>
      <c r="FF108" s="9">
        <f>DT108*'MASTER SHEET'!D108</f>
        <v>0</v>
      </c>
      <c r="FG108" s="9">
        <f>+DX108*'MASTER SHEET'!D108</f>
        <v>0</v>
      </c>
    </row>
    <row r="109" spans="1:163" ht="20.25" customHeight="1" x14ac:dyDescent="0.25">
      <c r="A109" s="25">
        <f>'MASTER SHEET'!A109</f>
        <v>107</v>
      </c>
      <c r="B109" s="26" t="str">
        <f>'MASTER SHEET'!B109</f>
        <v>END PLATE</v>
      </c>
      <c r="C109" s="78">
        <f>'MASTER SHEET'!C109</f>
        <v>5011415</v>
      </c>
      <c r="D109" s="159">
        <v>0</v>
      </c>
      <c r="E109" s="28">
        <f>PRODUCTION!F109</f>
        <v>0</v>
      </c>
      <c r="F109" s="28"/>
      <c r="G109" s="29">
        <v>0</v>
      </c>
      <c r="H109" s="30">
        <f t="shared" si="127"/>
        <v>0</v>
      </c>
      <c r="I109" s="28">
        <f>PRODUCTION!J109</f>
        <v>0</v>
      </c>
      <c r="J109" s="28"/>
      <c r="K109" s="29">
        <v>0</v>
      </c>
      <c r="L109" s="30">
        <f t="shared" si="128"/>
        <v>0</v>
      </c>
      <c r="M109" s="28">
        <f>PRODUCTION!N109</f>
        <v>0</v>
      </c>
      <c r="N109" s="28"/>
      <c r="O109" s="29"/>
      <c r="P109" s="30">
        <f t="shared" si="129"/>
        <v>0</v>
      </c>
      <c r="Q109" s="28">
        <f>PRODUCTION!R109</f>
        <v>0</v>
      </c>
      <c r="R109" s="28"/>
      <c r="S109" s="29">
        <v>0</v>
      </c>
      <c r="T109" s="30">
        <f t="shared" si="130"/>
        <v>0</v>
      </c>
      <c r="U109" s="28">
        <f>PRODUCTION!V109</f>
        <v>0</v>
      </c>
      <c r="V109" s="28"/>
      <c r="W109" s="29">
        <v>0</v>
      </c>
      <c r="X109" s="30">
        <f t="shared" si="131"/>
        <v>0</v>
      </c>
      <c r="Y109" s="28">
        <f>PRODUCTION!Z109</f>
        <v>0</v>
      </c>
      <c r="Z109" s="28"/>
      <c r="AA109" s="29">
        <v>0</v>
      </c>
      <c r="AB109" s="30">
        <f t="shared" si="132"/>
        <v>0</v>
      </c>
      <c r="AC109" s="28">
        <f>PRODUCTION!AD109</f>
        <v>0</v>
      </c>
      <c r="AD109" s="28"/>
      <c r="AE109" s="29">
        <v>0</v>
      </c>
      <c r="AF109" s="30">
        <f t="shared" si="133"/>
        <v>0</v>
      </c>
      <c r="AG109" s="28">
        <f>PRODUCTION!AH109</f>
        <v>0</v>
      </c>
      <c r="AH109" s="28"/>
      <c r="AI109" s="29">
        <v>0</v>
      </c>
      <c r="AJ109" s="30">
        <f t="shared" si="134"/>
        <v>0</v>
      </c>
      <c r="AK109" s="28">
        <f>PRODUCTION!AL109</f>
        <v>0</v>
      </c>
      <c r="AL109" s="28"/>
      <c r="AM109" s="29">
        <v>0</v>
      </c>
      <c r="AN109" s="30">
        <f t="shared" si="135"/>
        <v>0</v>
      </c>
      <c r="AO109" s="28">
        <f>PRODUCTION!AP109</f>
        <v>0</v>
      </c>
      <c r="AP109" s="28"/>
      <c r="AQ109" s="29">
        <v>0</v>
      </c>
      <c r="AR109" s="30">
        <f t="shared" si="136"/>
        <v>0</v>
      </c>
      <c r="AS109" s="28">
        <f>PRODUCTION!AT109</f>
        <v>0</v>
      </c>
      <c r="AT109" s="28"/>
      <c r="AU109" s="29">
        <v>0</v>
      </c>
      <c r="AV109" s="30">
        <f t="shared" si="137"/>
        <v>0</v>
      </c>
      <c r="AW109" s="28">
        <f>PRODUCTION!AX109</f>
        <v>0</v>
      </c>
      <c r="AX109" s="28"/>
      <c r="AY109" s="29"/>
      <c r="AZ109" s="30">
        <f t="shared" si="138"/>
        <v>0</v>
      </c>
      <c r="BA109" s="28">
        <f>PRODUCTION!BB109</f>
        <v>0</v>
      </c>
      <c r="BB109" s="28"/>
      <c r="BC109" s="29">
        <v>0</v>
      </c>
      <c r="BD109" s="30">
        <f t="shared" si="139"/>
        <v>0</v>
      </c>
      <c r="BE109" s="28">
        <f>PRODUCTION!BF109</f>
        <v>0</v>
      </c>
      <c r="BF109" s="28"/>
      <c r="BG109" s="29">
        <v>0</v>
      </c>
      <c r="BH109" s="30">
        <f t="shared" si="140"/>
        <v>0</v>
      </c>
      <c r="BI109" s="28">
        <f>PRODUCTION!BJ109</f>
        <v>0</v>
      </c>
      <c r="BJ109" s="28"/>
      <c r="BK109" s="29">
        <v>0</v>
      </c>
      <c r="BL109" s="30">
        <f t="shared" si="141"/>
        <v>0</v>
      </c>
      <c r="BM109" s="28">
        <f>PRODUCTION!BN109</f>
        <v>0</v>
      </c>
      <c r="BN109" s="28"/>
      <c r="BO109" s="29">
        <v>0</v>
      </c>
      <c r="BP109" s="30">
        <f t="shared" si="142"/>
        <v>0</v>
      </c>
      <c r="BQ109" s="28">
        <f>PRODUCTION!BR109</f>
        <v>0</v>
      </c>
      <c r="BR109" s="28"/>
      <c r="BS109" s="29">
        <v>0</v>
      </c>
      <c r="BT109" s="30">
        <f t="shared" si="143"/>
        <v>0</v>
      </c>
      <c r="BU109" s="28">
        <f>PRODUCTION!BV109</f>
        <v>0</v>
      </c>
      <c r="BV109" s="28"/>
      <c r="BW109" s="29">
        <v>0</v>
      </c>
      <c r="BX109" s="30">
        <f t="shared" si="110"/>
        <v>0</v>
      </c>
      <c r="BY109" s="28">
        <f>PRODUCTION!BZ109</f>
        <v>0</v>
      </c>
      <c r="BZ109" s="28"/>
      <c r="CA109" s="29">
        <v>0</v>
      </c>
      <c r="CB109" s="30">
        <f t="shared" si="144"/>
        <v>0</v>
      </c>
      <c r="CC109" s="28">
        <f>PRODUCTION!CD109</f>
        <v>0</v>
      </c>
      <c r="CD109" s="28"/>
      <c r="CE109" s="29">
        <v>0</v>
      </c>
      <c r="CF109" s="30">
        <f t="shared" si="145"/>
        <v>0</v>
      </c>
      <c r="CG109" s="28">
        <f>PRODUCTION!CH109</f>
        <v>0</v>
      </c>
      <c r="CH109" s="28"/>
      <c r="CI109" s="29">
        <v>0</v>
      </c>
      <c r="CJ109" s="30">
        <f t="shared" si="113"/>
        <v>0</v>
      </c>
      <c r="CK109" s="28">
        <f>PRODUCTION!CL109</f>
        <v>0</v>
      </c>
      <c r="CL109" s="151"/>
      <c r="CM109" s="152">
        <v>0</v>
      </c>
      <c r="CN109" s="30">
        <f t="shared" si="114"/>
        <v>0</v>
      </c>
      <c r="CO109" s="28">
        <f>PRODUCTION!CP109</f>
        <v>0</v>
      </c>
      <c r="CP109" s="151"/>
      <c r="CQ109" s="29">
        <v>0</v>
      </c>
      <c r="CR109" s="30">
        <f t="shared" si="115"/>
        <v>0</v>
      </c>
      <c r="CS109" s="28">
        <f>PRODUCTION!CT109</f>
        <v>0</v>
      </c>
      <c r="CT109" s="28"/>
      <c r="CU109" s="29">
        <v>0</v>
      </c>
      <c r="CV109" s="30">
        <f t="shared" si="116"/>
        <v>0</v>
      </c>
      <c r="CW109" s="28">
        <f>PRODUCTION!CX109</f>
        <v>0</v>
      </c>
      <c r="CX109" s="28"/>
      <c r="CY109" s="29">
        <v>0</v>
      </c>
      <c r="CZ109" s="30">
        <f t="shared" si="146"/>
        <v>0</v>
      </c>
      <c r="DA109" s="28">
        <f>PRODUCTION!DB109</f>
        <v>0</v>
      </c>
      <c r="DB109" s="28"/>
      <c r="DC109" s="29"/>
      <c r="DD109" s="30">
        <f t="shared" si="147"/>
        <v>0</v>
      </c>
      <c r="DE109" s="28">
        <f>PRODUCTION!DF109</f>
        <v>0</v>
      </c>
      <c r="DF109" s="28"/>
      <c r="DG109" s="29">
        <v>0</v>
      </c>
      <c r="DH109" s="30">
        <f t="shared" si="148"/>
        <v>0</v>
      </c>
      <c r="DI109" s="28">
        <f>PRODUCTION!DJ109</f>
        <v>0</v>
      </c>
      <c r="DJ109" s="28"/>
      <c r="DK109" s="29">
        <v>0</v>
      </c>
      <c r="DL109" s="30">
        <f t="shared" si="149"/>
        <v>0</v>
      </c>
      <c r="DM109" s="28">
        <f>PRODUCTION!DN109</f>
        <v>0</v>
      </c>
      <c r="DN109" s="28"/>
      <c r="DO109" s="29"/>
      <c r="DP109" s="30">
        <f t="shared" si="150"/>
        <v>0</v>
      </c>
      <c r="DQ109" s="28">
        <f>PRODUCTION!DR109</f>
        <v>0</v>
      </c>
      <c r="DR109" s="28"/>
      <c r="DS109" s="29"/>
      <c r="DT109" s="30">
        <f t="shared" si="151"/>
        <v>0</v>
      </c>
      <c r="DU109" s="28">
        <f>PRODUCTION!DV109</f>
        <v>0</v>
      </c>
      <c r="DV109" s="28"/>
      <c r="DW109" s="29"/>
      <c r="DX109" s="30">
        <f t="shared" si="152"/>
        <v>0</v>
      </c>
      <c r="DY109" s="31">
        <f>PRODUCTION!EA109</f>
        <v>0</v>
      </c>
      <c r="DZ109" s="31">
        <f t="shared" ref="DZ109:DZ140" si="156">F109+J109+N109+R109+V109+Z109+AD109+AH109+AL109+AP109+AT109+AX109+BB109+BF109+BJ109+BN109+BR109+BV109+BZ109+CD109+CH109+CL109+CP109+CT109+CX109+DB109+DF109+DJ109+DN109+DR109+DV109</f>
        <v>0</v>
      </c>
      <c r="EA109" s="4">
        <f t="shared" ref="EA109:EA140" si="157">G109+K109+O109+S109+W109+AA109+AE109+AI109+AM109+AQ109+AU109+AY109+BC109+BG109+BK109+BO109+BS109+BW109+CA109+CE109+CI109+CM109+CQ109+CU109+CY109+DC109+DG109+DK109+DO109+DS109+DW109</f>
        <v>0</v>
      </c>
      <c r="EB109" s="9">
        <f>D109*'MASTER SHEET'!D109</f>
        <v>0</v>
      </c>
      <c r="EC109" s="9">
        <f>H109*'MASTER SHEET'!D109</f>
        <v>0</v>
      </c>
      <c r="ED109" s="9">
        <f>L109*'MASTER SHEET'!D109</f>
        <v>0</v>
      </c>
      <c r="EE109" s="9">
        <f>P109*'MASTER SHEET'!D109</f>
        <v>0</v>
      </c>
      <c r="EF109" s="9">
        <f>T109*'MASTER SHEET'!D109</f>
        <v>0</v>
      </c>
      <c r="EG109" s="9">
        <f>X109*'MASTER SHEET'!D109</f>
        <v>0</v>
      </c>
      <c r="EH109" s="9">
        <f>AB109*'MASTER SHEET'!D109</f>
        <v>0</v>
      </c>
      <c r="EI109" s="9">
        <f>AF109*'MASTER SHEET'!D109</f>
        <v>0</v>
      </c>
      <c r="EJ109" s="9">
        <f>AJ109*'MASTER SHEET'!D109</f>
        <v>0</v>
      </c>
      <c r="EK109" s="9">
        <f>AN109*'MASTER SHEET'!D109</f>
        <v>0</v>
      </c>
      <c r="EL109" s="9">
        <f>AR109*'MASTER SHEET'!D109</f>
        <v>0</v>
      </c>
      <c r="EM109" s="9">
        <f>AV109*'MASTER SHEET'!D109</f>
        <v>0</v>
      </c>
      <c r="EN109" s="9">
        <f>AZ109*'MASTER SHEET'!D109</f>
        <v>0</v>
      </c>
      <c r="EO109" s="9">
        <f>BD109*'MASTER SHEET'!D109</f>
        <v>0</v>
      </c>
      <c r="EP109" s="9">
        <f>$BH109*'MASTER SHEET'!$D109</f>
        <v>0</v>
      </c>
      <c r="EQ109" s="9">
        <f>BL109*'MASTER SHEET'!D109</f>
        <v>0</v>
      </c>
      <c r="ER109" s="9">
        <f>BP109*'MASTER SHEET'!D109</f>
        <v>0</v>
      </c>
      <c r="ES109" s="9">
        <f>BT109*'MASTER SHEET'!D109</f>
        <v>0</v>
      </c>
      <c r="ET109" s="9">
        <f>BX109*'MASTER SHEET'!D109</f>
        <v>0</v>
      </c>
      <c r="EU109" s="9">
        <f>CB109*'MASTER SHEET'!D109</f>
        <v>0</v>
      </c>
      <c r="EV109" s="9">
        <f>CF109*'MASTER SHEET'!D109</f>
        <v>0</v>
      </c>
      <c r="EW109" s="9">
        <f>CJ109*'MASTER SHEET'!D109</f>
        <v>0</v>
      </c>
      <c r="EX109" s="9">
        <f>CN109*'MASTER SHEET'!D109</f>
        <v>0</v>
      </c>
      <c r="EY109" s="9">
        <f>CR109*'MASTER SHEET'!D109</f>
        <v>0</v>
      </c>
      <c r="EZ109" s="9">
        <f>$CV109*'MASTER SHEET'!D109</f>
        <v>0</v>
      </c>
      <c r="FA109" s="9">
        <f>CZ109*'MASTER SHEET'!D109</f>
        <v>0</v>
      </c>
      <c r="FB109" s="9">
        <f>DD109*'MASTER SHEET'!D109</f>
        <v>0</v>
      </c>
      <c r="FC109" s="9">
        <f>DH109*'MASTER SHEET'!D109</f>
        <v>0</v>
      </c>
      <c r="FD109" s="9">
        <f>DL109*'MASTER SHEET'!D109</f>
        <v>0</v>
      </c>
      <c r="FE109" s="9">
        <f>DP109*'MASTER SHEET'!D109</f>
        <v>0</v>
      </c>
      <c r="FF109" s="9">
        <f>DT109*'MASTER SHEET'!D109</f>
        <v>0</v>
      </c>
      <c r="FG109" s="9">
        <f>+DX109*'MASTER SHEET'!D109</f>
        <v>0</v>
      </c>
    </row>
    <row r="110" spans="1:163" ht="20.25" customHeight="1" x14ac:dyDescent="0.25">
      <c r="A110" s="25">
        <f>'MASTER SHEET'!A110</f>
        <v>108</v>
      </c>
      <c r="B110" s="26" t="str">
        <f>'MASTER SHEET'!B110</f>
        <v>END PLATE</v>
      </c>
      <c r="C110" s="78">
        <f>'MASTER SHEET'!C110</f>
        <v>5016811</v>
      </c>
      <c r="D110" s="159">
        <v>0</v>
      </c>
      <c r="E110" s="28">
        <f>PRODUCTION!F110</f>
        <v>0</v>
      </c>
      <c r="F110" s="28"/>
      <c r="G110" s="29">
        <v>0</v>
      </c>
      <c r="H110" s="30">
        <f t="shared" si="127"/>
        <v>0</v>
      </c>
      <c r="I110" s="28">
        <f>PRODUCTION!J110</f>
        <v>0</v>
      </c>
      <c r="J110" s="28"/>
      <c r="K110" s="29">
        <v>0</v>
      </c>
      <c r="L110" s="30">
        <f t="shared" si="128"/>
        <v>0</v>
      </c>
      <c r="M110" s="28">
        <f>PRODUCTION!N110</f>
        <v>0</v>
      </c>
      <c r="N110" s="28"/>
      <c r="O110" s="29"/>
      <c r="P110" s="30">
        <f t="shared" si="129"/>
        <v>0</v>
      </c>
      <c r="Q110" s="28">
        <f>PRODUCTION!R110</f>
        <v>0</v>
      </c>
      <c r="R110" s="28"/>
      <c r="S110" s="29">
        <v>0</v>
      </c>
      <c r="T110" s="30">
        <f t="shared" si="130"/>
        <v>0</v>
      </c>
      <c r="U110" s="28">
        <f>PRODUCTION!V110</f>
        <v>0</v>
      </c>
      <c r="V110" s="28"/>
      <c r="W110" s="29">
        <v>0</v>
      </c>
      <c r="X110" s="30">
        <f t="shared" si="131"/>
        <v>0</v>
      </c>
      <c r="Y110" s="28">
        <f>PRODUCTION!Z110</f>
        <v>0</v>
      </c>
      <c r="Z110" s="28"/>
      <c r="AA110" s="29">
        <v>0</v>
      </c>
      <c r="AB110" s="30">
        <f t="shared" si="132"/>
        <v>0</v>
      </c>
      <c r="AC110" s="28">
        <f>PRODUCTION!AD110</f>
        <v>0</v>
      </c>
      <c r="AD110" s="28"/>
      <c r="AE110" s="29">
        <v>0</v>
      </c>
      <c r="AF110" s="30">
        <f t="shared" si="133"/>
        <v>0</v>
      </c>
      <c r="AG110" s="28">
        <f>PRODUCTION!AH110</f>
        <v>0</v>
      </c>
      <c r="AH110" s="28"/>
      <c r="AI110" s="29">
        <v>0</v>
      </c>
      <c r="AJ110" s="30">
        <f t="shared" si="134"/>
        <v>0</v>
      </c>
      <c r="AK110" s="28">
        <f>PRODUCTION!AL110</f>
        <v>0</v>
      </c>
      <c r="AL110" s="28"/>
      <c r="AM110" s="29">
        <v>0</v>
      </c>
      <c r="AN110" s="30">
        <f t="shared" si="135"/>
        <v>0</v>
      </c>
      <c r="AO110" s="28">
        <f>PRODUCTION!AP110</f>
        <v>0</v>
      </c>
      <c r="AP110" s="28"/>
      <c r="AQ110" s="29">
        <v>0</v>
      </c>
      <c r="AR110" s="30">
        <f t="shared" si="136"/>
        <v>0</v>
      </c>
      <c r="AS110" s="28">
        <f>PRODUCTION!AT110</f>
        <v>0</v>
      </c>
      <c r="AT110" s="28"/>
      <c r="AU110" s="29">
        <v>0</v>
      </c>
      <c r="AV110" s="30">
        <f t="shared" si="137"/>
        <v>0</v>
      </c>
      <c r="AW110" s="28">
        <f>PRODUCTION!AX110</f>
        <v>0</v>
      </c>
      <c r="AX110" s="28"/>
      <c r="AY110" s="29"/>
      <c r="AZ110" s="30">
        <f t="shared" si="138"/>
        <v>0</v>
      </c>
      <c r="BA110" s="28">
        <f>PRODUCTION!BB110</f>
        <v>0</v>
      </c>
      <c r="BB110" s="28"/>
      <c r="BC110" s="29">
        <v>0</v>
      </c>
      <c r="BD110" s="30">
        <f t="shared" si="139"/>
        <v>0</v>
      </c>
      <c r="BE110" s="28">
        <f>PRODUCTION!BF110</f>
        <v>0</v>
      </c>
      <c r="BF110" s="28"/>
      <c r="BG110" s="29">
        <v>0</v>
      </c>
      <c r="BH110" s="30">
        <f t="shared" si="140"/>
        <v>0</v>
      </c>
      <c r="BI110" s="28">
        <f>PRODUCTION!BJ110</f>
        <v>0</v>
      </c>
      <c r="BJ110" s="28"/>
      <c r="BK110" s="29">
        <v>0</v>
      </c>
      <c r="BL110" s="30">
        <f t="shared" si="141"/>
        <v>0</v>
      </c>
      <c r="BM110" s="28">
        <f>PRODUCTION!BN110</f>
        <v>0</v>
      </c>
      <c r="BN110" s="28"/>
      <c r="BO110" s="29">
        <v>0</v>
      </c>
      <c r="BP110" s="30">
        <f t="shared" si="142"/>
        <v>0</v>
      </c>
      <c r="BQ110" s="28">
        <f>PRODUCTION!BR110</f>
        <v>0</v>
      </c>
      <c r="BR110" s="28"/>
      <c r="BS110" s="29">
        <v>0</v>
      </c>
      <c r="BT110" s="30">
        <f t="shared" si="143"/>
        <v>0</v>
      </c>
      <c r="BU110" s="28">
        <f>PRODUCTION!BV110</f>
        <v>0</v>
      </c>
      <c r="BV110" s="28"/>
      <c r="BW110" s="29">
        <v>0</v>
      </c>
      <c r="BX110" s="30">
        <f t="shared" si="110"/>
        <v>0</v>
      </c>
      <c r="BY110" s="28">
        <f>PRODUCTION!BZ110</f>
        <v>0</v>
      </c>
      <c r="BZ110" s="28"/>
      <c r="CA110" s="29">
        <v>0</v>
      </c>
      <c r="CB110" s="30">
        <f t="shared" si="144"/>
        <v>0</v>
      </c>
      <c r="CC110" s="28">
        <f>PRODUCTION!CD110</f>
        <v>0</v>
      </c>
      <c r="CD110" s="28"/>
      <c r="CE110" s="29">
        <v>0</v>
      </c>
      <c r="CF110" s="30">
        <f t="shared" si="145"/>
        <v>0</v>
      </c>
      <c r="CG110" s="28">
        <f>PRODUCTION!CH110</f>
        <v>0</v>
      </c>
      <c r="CH110" s="28"/>
      <c r="CI110" s="29">
        <v>0</v>
      </c>
      <c r="CJ110" s="30">
        <f t="shared" si="113"/>
        <v>0</v>
      </c>
      <c r="CK110" s="28">
        <f>PRODUCTION!CL110</f>
        <v>0</v>
      </c>
      <c r="CL110" s="151"/>
      <c r="CM110" s="152">
        <v>0</v>
      </c>
      <c r="CN110" s="30">
        <f t="shared" si="114"/>
        <v>0</v>
      </c>
      <c r="CO110" s="28">
        <f>PRODUCTION!CP110</f>
        <v>0</v>
      </c>
      <c r="CP110" s="151"/>
      <c r="CQ110" s="29">
        <v>0</v>
      </c>
      <c r="CR110" s="30">
        <f t="shared" si="115"/>
        <v>0</v>
      </c>
      <c r="CS110" s="28">
        <f>PRODUCTION!CT110</f>
        <v>0</v>
      </c>
      <c r="CT110" s="28"/>
      <c r="CU110" s="29">
        <v>0</v>
      </c>
      <c r="CV110" s="30">
        <f t="shared" si="116"/>
        <v>0</v>
      </c>
      <c r="CW110" s="28">
        <f>PRODUCTION!CX110</f>
        <v>0</v>
      </c>
      <c r="CX110" s="28"/>
      <c r="CY110" s="29">
        <v>0</v>
      </c>
      <c r="CZ110" s="30">
        <f t="shared" si="146"/>
        <v>0</v>
      </c>
      <c r="DA110" s="28">
        <f>PRODUCTION!DB110</f>
        <v>0</v>
      </c>
      <c r="DB110" s="28"/>
      <c r="DC110" s="29"/>
      <c r="DD110" s="30">
        <f t="shared" si="147"/>
        <v>0</v>
      </c>
      <c r="DE110" s="28">
        <f>PRODUCTION!DF110</f>
        <v>0</v>
      </c>
      <c r="DF110" s="28"/>
      <c r="DG110" s="29">
        <v>0</v>
      </c>
      <c r="DH110" s="30">
        <f t="shared" si="148"/>
        <v>0</v>
      </c>
      <c r="DI110" s="28">
        <f>PRODUCTION!DJ110</f>
        <v>0</v>
      </c>
      <c r="DJ110" s="28"/>
      <c r="DK110" s="29">
        <v>0</v>
      </c>
      <c r="DL110" s="30">
        <f t="shared" si="149"/>
        <v>0</v>
      </c>
      <c r="DM110" s="28">
        <f>PRODUCTION!DN110</f>
        <v>0</v>
      </c>
      <c r="DN110" s="28"/>
      <c r="DO110" s="29"/>
      <c r="DP110" s="30">
        <f t="shared" si="150"/>
        <v>0</v>
      </c>
      <c r="DQ110" s="28">
        <f>PRODUCTION!DR110</f>
        <v>0</v>
      </c>
      <c r="DR110" s="28"/>
      <c r="DS110" s="29"/>
      <c r="DT110" s="30">
        <f t="shared" si="151"/>
        <v>0</v>
      </c>
      <c r="DU110" s="28">
        <f>PRODUCTION!DV110</f>
        <v>0</v>
      </c>
      <c r="DV110" s="28"/>
      <c r="DW110" s="29"/>
      <c r="DX110" s="30">
        <f t="shared" si="152"/>
        <v>0</v>
      </c>
      <c r="DY110" s="31">
        <f t="shared" ref="DY110:DY141" si="158">E110+I110+M110+Q110+U110+Y110+AC110+AG110+AK110+AO110+AS110+AW110+BA110+BE110+BI110+BM110+BQ110+BU110+BY110+CC110+CG110+CK110+CO110+CS110+CW110+DA110+DE110+DI110+DM110+DQ110+DU110</f>
        <v>0</v>
      </c>
      <c r="DZ110" s="31">
        <f t="shared" si="156"/>
        <v>0</v>
      </c>
      <c r="EA110" s="4">
        <f t="shared" si="157"/>
        <v>0</v>
      </c>
      <c r="EB110" s="9">
        <f>D110*'MASTER SHEET'!D110</f>
        <v>0</v>
      </c>
      <c r="EC110" s="9">
        <f>H110*'MASTER SHEET'!D110</f>
        <v>0</v>
      </c>
      <c r="ED110" s="9">
        <f>L110*'MASTER SHEET'!D110</f>
        <v>0</v>
      </c>
      <c r="EE110" s="9">
        <f>P110*'MASTER SHEET'!D110</f>
        <v>0</v>
      </c>
      <c r="EF110" s="9">
        <f>T110*'MASTER SHEET'!D110</f>
        <v>0</v>
      </c>
      <c r="EG110" s="9">
        <f>X110*'MASTER SHEET'!D110</f>
        <v>0</v>
      </c>
      <c r="EH110" s="9">
        <f>AB110*'MASTER SHEET'!D110</f>
        <v>0</v>
      </c>
      <c r="EI110" s="9">
        <f>AF110*'MASTER SHEET'!D110</f>
        <v>0</v>
      </c>
      <c r="EJ110" s="9">
        <f>AJ110*'MASTER SHEET'!D110</f>
        <v>0</v>
      </c>
      <c r="EK110" s="9">
        <f>AN110*'MASTER SHEET'!D110</f>
        <v>0</v>
      </c>
      <c r="EL110" s="9">
        <f>AR110*'MASTER SHEET'!D110</f>
        <v>0</v>
      </c>
      <c r="EM110" s="9">
        <f>AV110*'MASTER SHEET'!D110</f>
        <v>0</v>
      </c>
      <c r="EN110" s="9">
        <f>AZ110*'MASTER SHEET'!D110</f>
        <v>0</v>
      </c>
      <c r="EO110" s="9">
        <f>BD110*'MASTER SHEET'!D110</f>
        <v>0</v>
      </c>
      <c r="EP110" s="9">
        <f>$BH110*'MASTER SHEET'!$D110</f>
        <v>0</v>
      </c>
      <c r="EQ110" s="9">
        <f>BL110*'MASTER SHEET'!D110</f>
        <v>0</v>
      </c>
      <c r="ER110" s="9">
        <f>BP110*'MASTER SHEET'!D110</f>
        <v>0</v>
      </c>
      <c r="ES110" s="9">
        <f>BT110*'MASTER SHEET'!D110</f>
        <v>0</v>
      </c>
      <c r="ET110" s="9">
        <f>BX110*'MASTER SHEET'!D110</f>
        <v>0</v>
      </c>
      <c r="EU110" s="9">
        <f>CB110*'MASTER SHEET'!D110</f>
        <v>0</v>
      </c>
      <c r="EV110" s="9">
        <f>CF110*'MASTER SHEET'!D110</f>
        <v>0</v>
      </c>
      <c r="EW110" s="9">
        <f>CJ110*'MASTER SHEET'!D110</f>
        <v>0</v>
      </c>
      <c r="EX110" s="9">
        <f>CN110*'MASTER SHEET'!D110</f>
        <v>0</v>
      </c>
      <c r="EY110" s="9">
        <f>CR110*'MASTER SHEET'!D110</f>
        <v>0</v>
      </c>
      <c r="EZ110" s="9">
        <f>$CV110*'MASTER SHEET'!D110</f>
        <v>0</v>
      </c>
      <c r="FA110" s="9">
        <f>CZ110*'MASTER SHEET'!D110</f>
        <v>0</v>
      </c>
      <c r="FB110" s="9">
        <f>DD110*'MASTER SHEET'!D110</f>
        <v>0</v>
      </c>
      <c r="FC110" s="9">
        <f>DH110*'MASTER SHEET'!D110</f>
        <v>0</v>
      </c>
      <c r="FD110" s="9">
        <f>DL110*'MASTER SHEET'!D110</f>
        <v>0</v>
      </c>
      <c r="FE110" s="9">
        <f>DP110*'MASTER SHEET'!D110</f>
        <v>0</v>
      </c>
      <c r="FF110" s="9">
        <f>DT110*'MASTER SHEET'!D110</f>
        <v>0</v>
      </c>
      <c r="FG110" s="9">
        <f>+DX110*'MASTER SHEET'!D110</f>
        <v>0</v>
      </c>
    </row>
    <row r="111" spans="1:163" ht="20.25" customHeight="1" x14ac:dyDescent="0.25">
      <c r="A111" s="25">
        <f>'MASTER SHEET'!A111</f>
        <v>109</v>
      </c>
      <c r="B111" s="26" t="str">
        <f>'MASTER SHEET'!B111</f>
        <v>TUBE OVER FLOW</v>
      </c>
      <c r="C111" s="78">
        <f>'MASTER SHEET'!C111</f>
        <v>5030786</v>
      </c>
      <c r="D111" s="159">
        <v>440</v>
      </c>
      <c r="E111" s="28">
        <f>PRODUCTION!F111+'SUPLIER INWARD'!F111</f>
        <v>0</v>
      </c>
      <c r="F111" s="28"/>
      <c r="G111" s="29">
        <v>0</v>
      </c>
      <c r="H111" s="30">
        <f t="shared" si="127"/>
        <v>440</v>
      </c>
      <c r="I111" s="28">
        <f>PRODUCTION!J111+'SUPLIER INWARD'!J111</f>
        <v>0</v>
      </c>
      <c r="J111" s="28"/>
      <c r="K111" s="29">
        <v>0</v>
      </c>
      <c r="L111" s="30">
        <f t="shared" si="128"/>
        <v>440</v>
      </c>
      <c r="M111" s="28">
        <f>PRODUCTION!N111+'SUPLIER INWARD'!N111</f>
        <v>0</v>
      </c>
      <c r="N111" s="28"/>
      <c r="O111" s="29"/>
      <c r="P111" s="30">
        <f t="shared" si="129"/>
        <v>440</v>
      </c>
      <c r="Q111" s="28">
        <f>PRODUCTION!R111+'SUPLIER INWARD'!R111</f>
        <v>0</v>
      </c>
      <c r="R111" s="28"/>
      <c r="S111" s="29">
        <v>0</v>
      </c>
      <c r="T111" s="30">
        <f t="shared" si="130"/>
        <v>440</v>
      </c>
      <c r="U111" s="28">
        <f>PRODUCTION!V111+'SUPLIER INWARD'!V111</f>
        <v>0</v>
      </c>
      <c r="V111" s="28"/>
      <c r="W111" s="29">
        <v>0</v>
      </c>
      <c r="X111" s="30">
        <f t="shared" si="131"/>
        <v>440</v>
      </c>
      <c r="Y111" s="28">
        <f>PRODUCTION!Z111+'SUPLIER INWARD'!Z111</f>
        <v>0</v>
      </c>
      <c r="Z111" s="28"/>
      <c r="AA111" s="29">
        <v>0</v>
      </c>
      <c r="AB111" s="30">
        <f t="shared" si="132"/>
        <v>440</v>
      </c>
      <c r="AC111" s="28">
        <f>PRODUCTION!AD111+'SUPLIER INWARD'!AD111</f>
        <v>0</v>
      </c>
      <c r="AD111" s="28"/>
      <c r="AE111" s="29">
        <v>0</v>
      </c>
      <c r="AF111" s="30">
        <f t="shared" si="133"/>
        <v>440</v>
      </c>
      <c r="AG111" s="28">
        <f>PRODUCTION!AH111+'SUPLIER INWARD'!AH111</f>
        <v>0</v>
      </c>
      <c r="AH111" s="28"/>
      <c r="AI111" s="29">
        <v>0</v>
      </c>
      <c r="AJ111" s="30">
        <f t="shared" si="134"/>
        <v>440</v>
      </c>
      <c r="AK111" s="28">
        <f>PRODUCTION!AL111+'SUPLIER INWARD'!AL111</f>
        <v>0</v>
      </c>
      <c r="AL111" s="28"/>
      <c r="AM111" s="29">
        <v>0</v>
      </c>
      <c r="AN111" s="30">
        <f t="shared" si="135"/>
        <v>440</v>
      </c>
      <c r="AO111" s="28">
        <f>PRODUCTION!AP111+'SUPLIER INWARD'!AP111</f>
        <v>0</v>
      </c>
      <c r="AP111" s="28"/>
      <c r="AQ111" s="29">
        <v>0</v>
      </c>
      <c r="AR111" s="30">
        <f t="shared" si="136"/>
        <v>440</v>
      </c>
      <c r="AS111" s="28">
        <f>PRODUCTION!AT111+'SUPLIER INWARD'!AT111</f>
        <v>0</v>
      </c>
      <c r="AT111" s="28"/>
      <c r="AU111" s="29">
        <v>0</v>
      </c>
      <c r="AV111" s="30">
        <f t="shared" si="137"/>
        <v>440</v>
      </c>
      <c r="AW111" s="28">
        <f>PRODUCTION!AX111+'SUPLIER INWARD'!AX111</f>
        <v>0</v>
      </c>
      <c r="AX111" s="28"/>
      <c r="AY111" s="29"/>
      <c r="AZ111" s="30">
        <f t="shared" si="138"/>
        <v>440</v>
      </c>
      <c r="BA111" s="28">
        <f>PRODUCTION!BB111+'SUPLIER INWARD'!BB111</f>
        <v>0</v>
      </c>
      <c r="BB111" s="28"/>
      <c r="BC111" s="29">
        <v>0</v>
      </c>
      <c r="BD111" s="30">
        <f t="shared" si="139"/>
        <v>440</v>
      </c>
      <c r="BE111" s="28">
        <f>PRODUCTION!BF111+'SUPLIER INWARD'!BF111</f>
        <v>0</v>
      </c>
      <c r="BF111" s="28"/>
      <c r="BG111" s="29">
        <v>0</v>
      </c>
      <c r="BH111" s="30">
        <f t="shared" si="140"/>
        <v>440</v>
      </c>
      <c r="BI111" s="28">
        <f>PRODUCTION!BJ111+'SUPLIER INWARD'!BJ111</f>
        <v>0</v>
      </c>
      <c r="BJ111" s="28"/>
      <c r="BK111" s="29">
        <v>0</v>
      </c>
      <c r="BL111" s="30">
        <f t="shared" si="141"/>
        <v>440</v>
      </c>
      <c r="BM111" s="28">
        <f>PRODUCTION!BN111+'SUPLIER INWARD'!BN111</f>
        <v>0</v>
      </c>
      <c r="BN111" s="28"/>
      <c r="BO111" s="29">
        <v>0</v>
      </c>
      <c r="BP111" s="30">
        <f t="shared" si="142"/>
        <v>440</v>
      </c>
      <c r="BQ111" s="28">
        <f>PRODUCTION!BR111+'SUPLIER INWARD'!BR111</f>
        <v>0</v>
      </c>
      <c r="BR111" s="28"/>
      <c r="BS111" s="29">
        <v>0</v>
      </c>
      <c r="BT111" s="30">
        <f t="shared" si="143"/>
        <v>440</v>
      </c>
      <c r="BU111" s="28">
        <f>PRODUCTION!BV111+'SUPLIER INWARD'!BV111</f>
        <v>0</v>
      </c>
      <c r="BV111" s="28"/>
      <c r="BW111" s="29">
        <v>0</v>
      </c>
      <c r="BX111" s="30">
        <f t="shared" si="110"/>
        <v>440</v>
      </c>
      <c r="BY111" s="28">
        <f>PRODUCTION!BZ111+'SUPLIER INWARD'!BZ111</f>
        <v>0</v>
      </c>
      <c r="BZ111" s="28"/>
      <c r="CA111" s="29">
        <v>0</v>
      </c>
      <c r="CB111" s="30">
        <f t="shared" si="144"/>
        <v>440</v>
      </c>
      <c r="CC111" s="28">
        <f>PRODUCTION!CD111+'SUPLIER INWARD'!CD111</f>
        <v>0</v>
      </c>
      <c r="CD111" s="28"/>
      <c r="CE111" s="29">
        <v>0</v>
      </c>
      <c r="CF111" s="30">
        <f t="shared" si="145"/>
        <v>440</v>
      </c>
      <c r="CG111" s="28">
        <f>PRODUCTION!CH111+'SUPLIER INWARD'!CH111</f>
        <v>0</v>
      </c>
      <c r="CH111" s="28"/>
      <c r="CI111" s="29">
        <v>0</v>
      </c>
      <c r="CJ111" s="30">
        <f t="shared" si="113"/>
        <v>440</v>
      </c>
      <c r="CK111" s="28">
        <f>PRODUCTION!CL111+'SUPLIER INWARD'!CL111</f>
        <v>0</v>
      </c>
      <c r="CL111" s="151"/>
      <c r="CM111" s="152">
        <v>0</v>
      </c>
      <c r="CN111" s="30">
        <f t="shared" si="114"/>
        <v>440</v>
      </c>
      <c r="CO111" s="28">
        <f>PRODUCTION!CP111+'SUPLIER INWARD'!CP111</f>
        <v>0</v>
      </c>
      <c r="CP111" s="151"/>
      <c r="CQ111" s="29">
        <v>0</v>
      </c>
      <c r="CR111" s="30">
        <f t="shared" si="115"/>
        <v>440</v>
      </c>
      <c r="CS111" s="28">
        <f>PRODUCTION!CT111+'SUPLIER INWARD'!CT111</f>
        <v>0</v>
      </c>
      <c r="CT111" s="28"/>
      <c r="CU111" s="29">
        <v>0</v>
      </c>
      <c r="CV111" s="30">
        <f t="shared" si="116"/>
        <v>440</v>
      </c>
      <c r="CW111" s="28">
        <f>PRODUCTION!CX111+'SUPLIER INWARD'!CX111</f>
        <v>0</v>
      </c>
      <c r="CX111" s="28"/>
      <c r="CY111" s="29">
        <v>0</v>
      </c>
      <c r="CZ111" s="30">
        <f t="shared" si="146"/>
        <v>440</v>
      </c>
      <c r="DA111" s="28">
        <f>PRODUCTION!DB111+'SUPLIER INWARD'!DB111</f>
        <v>0</v>
      </c>
      <c r="DB111" s="28"/>
      <c r="DC111" s="29"/>
      <c r="DD111" s="30">
        <f t="shared" si="147"/>
        <v>440</v>
      </c>
      <c r="DE111" s="28">
        <f>PRODUCTION!DF111+'SUPLIER INWARD'!DF111</f>
        <v>0</v>
      </c>
      <c r="DF111" s="28"/>
      <c r="DG111" s="29">
        <v>0</v>
      </c>
      <c r="DH111" s="30">
        <f t="shared" si="148"/>
        <v>440</v>
      </c>
      <c r="DI111" s="28">
        <f>PRODUCTION!DJ111+'SUPLIER INWARD'!DJ111</f>
        <v>0</v>
      </c>
      <c r="DJ111" s="28"/>
      <c r="DK111" s="29">
        <v>0</v>
      </c>
      <c r="DL111" s="30">
        <f t="shared" si="149"/>
        <v>440</v>
      </c>
      <c r="DM111" s="28">
        <f>PRODUCTION!DN111+'SUPLIER INWARD'!DN111</f>
        <v>0</v>
      </c>
      <c r="DN111" s="28"/>
      <c r="DO111" s="29"/>
      <c r="DP111" s="30">
        <f t="shared" si="150"/>
        <v>440</v>
      </c>
      <c r="DQ111" s="28">
        <f>PRODUCTION!DR111+'SUPLIER INWARD'!DR111</f>
        <v>0</v>
      </c>
      <c r="DR111" s="28"/>
      <c r="DS111" s="29"/>
      <c r="DT111" s="30">
        <f t="shared" si="151"/>
        <v>440</v>
      </c>
      <c r="DU111" s="28">
        <f>PRODUCTION!DV111+'SUPLIER INWARD'!DV111</f>
        <v>0</v>
      </c>
      <c r="DV111" s="28"/>
      <c r="DW111" s="29"/>
      <c r="DX111" s="30">
        <f t="shared" si="152"/>
        <v>440</v>
      </c>
      <c r="DY111" s="31">
        <f t="shared" si="158"/>
        <v>0</v>
      </c>
      <c r="DZ111" s="31">
        <f t="shared" si="156"/>
        <v>0</v>
      </c>
      <c r="EA111" s="4">
        <f t="shared" si="157"/>
        <v>0</v>
      </c>
      <c r="EB111" s="9">
        <f>D111*'MASTER SHEET'!D111</f>
        <v>2930.4</v>
      </c>
      <c r="EC111" s="9">
        <f>H111*'MASTER SHEET'!D111</f>
        <v>2930.4</v>
      </c>
      <c r="ED111" s="9">
        <f>L111*'MASTER SHEET'!D111</f>
        <v>2930.4</v>
      </c>
      <c r="EE111" s="9">
        <f>P111*'MASTER SHEET'!D111</f>
        <v>2930.4</v>
      </c>
      <c r="EF111" s="9">
        <f>T111*'MASTER SHEET'!D111</f>
        <v>2930.4</v>
      </c>
      <c r="EG111" s="9">
        <f>X111*'MASTER SHEET'!D111</f>
        <v>2930.4</v>
      </c>
      <c r="EH111" s="9">
        <f>AB111*'MASTER SHEET'!D111</f>
        <v>2930.4</v>
      </c>
      <c r="EI111" s="9">
        <f>AF111*'MASTER SHEET'!D111</f>
        <v>2930.4</v>
      </c>
      <c r="EJ111" s="9">
        <f>AJ111*'MASTER SHEET'!D111</f>
        <v>2930.4</v>
      </c>
      <c r="EK111" s="9">
        <f>AN111*'MASTER SHEET'!D111</f>
        <v>2930.4</v>
      </c>
      <c r="EL111" s="9">
        <f>AR111*'MASTER SHEET'!D111</f>
        <v>2930.4</v>
      </c>
      <c r="EM111" s="9">
        <f>AV111*'MASTER SHEET'!D111</f>
        <v>2930.4</v>
      </c>
      <c r="EN111" s="9">
        <f>AZ111*'MASTER SHEET'!D111</f>
        <v>2930.4</v>
      </c>
      <c r="EO111" s="9">
        <f>BD111*'MASTER SHEET'!D111</f>
        <v>2930.4</v>
      </c>
      <c r="EP111" s="9">
        <f>$BH111*'MASTER SHEET'!$D111</f>
        <v>2930.4</v>
      </c>
      <c r="EQ111" s="9">
        <f>BL111*'MASTER SHEET'!D111</f>
        <v>2930.4</v>
      </c>
      <c r="ER111" s="9">
        <f>BP111*'MASTER SHEET'!D111</f>
        <v>2930.4</v>
      </c>
      <c r="ES111" s="9">
        <f>BT111*'MASTER SHEET'!D111</f>
        <v>2930.4</v>
      </c>
      <c r="ET111" s="9">
        <f>BX111*'MASTER SHEET'!D111</f>
        <v>2930.4</v>
      </c>
      <c r="EU111" s="9">
        <f>CB111*'MASTER SHEET'!D111</f>
        <v>2930.4</v>
      </c>
      <c r="EV111" s="9">
        <f>CF111*'MASTER SHEET'!D111</f>
        <v>2930.4</v>
      </c>
      <c r="EW111" s="9">
        <f>CJ111*'MASTER SHEET'!D111</f>
        <v>2930.4</v>
      </c>
      <c r="EX111" s="9">
        <f>CN111*'MASTER SHEET'!D111</f>
        <v>2930.4</v>
      </c>
      <c r="EY111" s="9">
        <f>CR111*'MASTER SHEET'!D111</f>
        <v>2930.4</v>
      </c>
      <c r="EZ111" s="9">
        <f>$CV111*'MASTER SHEET'!D111</f>
        <v>2930.4</v>
      </c>
      <c r="FA111" s="9">
        <f>CZ111*'MASTER SHEET'!D111</f>
        <v>2930.4</v>
      </c>
      <c r="FB111" s="9">
        <f>DD111*'MASTER SHEET'!D111</f>
        <v>2930.4</v>
      </c>
      <c r="FC111" s="9">
        <f>DH111*'MASTER SHEET'!D111</f>
        <v>2930.4</v>
      </c>
      <c r="FD111" s="9">
        <f>DL111*'MASTER SHEET'!D111</f>
        <v>2930.4</v>
      </c>
      <c r="FE111" s="9">
        <f>DP111*'MASTER SHEET'!D111</f>
        <v>2930.4</v>
      </c>
      <c r="FF111" s="9">
        <f>DT111*'MASTER SHEET'!D111</f>
        <v>2930.4</v>
      </c>
      <c r="FG111" s="9">
        <f>+DX111*'MASTER SHEET'!D111</f>
        <v>2930.4</v>
      </c>
    </row>
    <row r="112" spans="1:163" ht="20.25" customHeight="1" x14ac:dyDescent="0.25">
      <c r="A112" s="25">
        <f>'MASTER SHEET'!A112</f>
        <v>110</v>
      </c>
      <c r="B112" s="26" t="str">
        <f>'MASTER SHEET'!B112</f>
        <v>PIPE ASSLY. PLASTIC</v>
      </c>
      <c r="C112" s="78">
        <f>'MASTER SHEET'!C112</f>
        <v>5033855</v>
      </c>
      <c r="D112" s="159">
        <v>0</v>
      </c>
      <c r="E112" s="28">
        <f>PRODUCTION!F112+'SUPLIER INWARD'!F112</f>
        <v>0</v>
      </c>
      <c r="F112" s="28"/>
      <c r="G112" s="29">
        <v>0</v>
      </c>
      <c r="H112" s="30">
        <f t="shared" si="127"/>
        <v>0</v>
      </c>
      <c r="I112" s="28">
        <f>PRODUCTION!J112+'SUPLIER INWARD'!J112</f>
        <v>0</v>
      </c>
      <c r="J112" s="28"/>
      <c r="K112" s="29">
        <v>0</v>
      </c>
      <c r="L112" s="30">
        <f t="shared" si="128"/>
        <v>0</v>
      </c>
      <c r="M112" s="28">
        <f>PRODUCTION!N112+'SUPLIER INWARD'!N112</f>
        <v>0</v>
      </c>
      <c r="N112" s="28"/>
      <c r="O112" s="29"/>
      <c r="P112" s="30">
        <f t="shared" si="129"/>
        <v>0</v>
      </c>
      <c r="Q112" s="28">
        <f>PRODUCTION!R112+'SUPLIER INWARD'!R112</f>
        <v>0</v>
      </c>
      <c r="R112" s="28"/>
      <c r="S112" s="29">
        <v>0</v>
      </c>
      <c r="T112" s="30">
        <f t="shared" si="130"/>
        <v>0</v>
      </c>
      <c r="U112" s="28">
        <f>PRODUCTION!V112+'SUPLIER INWARD'!V112</f>
        <v>0</v>
      </c>
      <c r="V112" s="28"/>
      <c r="W112" s="29">
        <v>0</v>
      </c>
      <c r="X112" s="30">
        <f t="shared" si="131"/>
        <v>0</v>
      </c>
      <c r="Y112" s="28">
        <f>PRODUCTION!Z112+'SUPLIER INWARD'!Z112</f>
        <v>0</v>
      </c>
      <c r="Z112" s="28"/>
      <c r="AA112" s="29">
        <v>0</v>
      </c>
      <c r="AB112" s="30">
        <f t="shared" si="132"/>
        <v>0</v>
      </c>
      <c r="AC112" s="28">
        <f>PRODUCTION!AD112+'SUPLIER INWARD'!AD112</f>
        <v>0</v>
      </c>
      <c r="AD112" s="28"/>
      <c r="AE112" s="29">
        <v>0</v>
      </c>
      <c r="AF112" s="30">
        <f t="shared" si="133"/>
        <v>0</v>
      </c>
      <c r="AG112" s="28">
        <f>PRODUCTION!AH112+'SUPLIER INWARD'!AH112</f>
        <v>0</v>
      </c>
      <c r="AH112" s="28"/>
      <c r="AI112" s="29">
        <v>0</v>
      </c>
      <c r="AJ112" s="30">
        <f t="shared" si="134"/>
        <v>0</v>
      </c>
      <c r="AK112" s="28">
        <f>PRODUCTION!AL112+'SUPLIER INWARD'!AL112</f>
        <v>0</v>
      </c>
      <c r="AL112" s="28"/>
      <c r="AM112" s="29">
        <v>0</v>
      </c>
      <c r="AN112" s="30">
        <f t="shared" si="135"/>
        <v>0</v>
      </c>
      <c r="AO112" s="28">
        <f>PRODUCTION!AP112+'SUPLIER INWARD'!AP112</f>
        <v>0</v>
      </c>
      <c r="AP112" s="28"/>
      <c r="AQ112" s="29">
        <v>0</v>
      </c>
      <c r="AR112" s="30">
        <f t="shared" si="136"/>
        <v>0</v>
      </c>
      <c r="AS112" s="28">
        <f>PRODUCTION!AT112+'SUPLIER INWARD'!AT112</f>
        <v>0</v>
      </c>
      <c r="AT112" s="28"/>
      <c r="AU112" s="29">
        <v>0</v>
      </c>
      <c r="AV112" s="30">
        <f t="shared" si="137"/>
        <v>0</v>
      </c>
      <c r="AW112" s="28">
        <f>PRODUCTION!AX112+'SUPLIER INWARD'!AX112</f>
        <v>0</v>
      </c>
      <c r="AX112" s="28"/>
      <c r="AY112" s="29"/>
      <c r="AZ112" s="30">
        <f t="shared" si="138"/>
        <v>0</v>
      </c>
      <c r="BA112" s="28">
        <f>PRODUCTION!BB112+'SUPLIER INWARD'!BB112</f>
        <v>0</v>
      </c>
      <c r="BB112" s="28"/>
      <c r="BC112" s="29">
        <v>0</v>
      </c>
      <c r="BD112" s="30">
        <f t="shared" si="139"/>
        <v>0</v>
      </c>
      <c r="BE112" s="28">
        <f>PRODUCTION!BF112+'SUPLIER INWARD'!BF112</f>
        <v>0</v>
      </c>
      <c r="BF112" s="28"/>
      <c r="BG112" s="29">
        <v>0</v>
      </c>
      <c r="BH112" s="30">
        <f t="shared" si="140"/>
        <v>0</v>
      </c>
      <c r="BI112" s="28">
        <f>PRODUCTION!BJ112+'SUPLIER INWARD'!BJ112</f>
        <v>0</v>
      </c>
      <c r="BJ112" s="28"/>
      <c r="BK112" s="29">
        <v>0</v>
      </c>
      <c r="BL112" s="30">
        <f t="shared" si="141"/>
        <v>0</v>
      </c>
      <c r="BM112" s="28">
        <f>PRODUCTION!BN112+'SUPLIER INWARD'!BN112</f>
        <v>0</v>
      </c>
      <c r="BN112" s="28"/>
      <c r="BO112" s="29">
        <v>0</v>
      </c>
      <c r="BP112" s="30">
        <f t="shared" si="142"/>
        <v>0</v>
      </c>
      <c r="BQ112" s="28">
        <f>PRODUCTION!BR112+'SUPLIER INWARD'!BR112</f>
        <v>0</v>
      </c>
      <c r="BR112" s="28"/>
      <c r="BS112" s="29">
        <v>0</v>
      </c>
      <c r="BT112" s="30">
        <f t="shared" si="143"/>
        <v>0</v>
      </c>
      <c r="BU112" s="28">
        <f>PRODUCTION!BV112+'SUPLIER INWARD'!BV112</f>
        <v>0</v>
      </c>
      <c r="BV112" s="28"/>
      <c r="BW112" s="29">
        <v>0</v>
      </c>
      <c r="BX112" s="30">
        <f t="shared" si="110"/>
        <v>0</v>
      </c>
      <c r="BY112" s="28">
        <f>PRODUCTION!BZ112+'SUPLIER INWARD'!BZ112</f>
        <v>0</v>
      </c>
      <c r="BZ112" s="28"/>
      <c r="CA112" s="29">
        <v>0</v>
      </c>
      <c r="CB112" s="30">
        <f t="shared" si="144"/>
        <v>0</v>
      </c>
      <c r="CC112" s="28">
        <f>PRODUCTION!CD112+'SUPLIER INWARD'!CD112</f>
        <v>0</v>
      </c>
      <c r="CD112" s="28"/>
      <c r="CE112" s="29">
        <v>0</v>
      </c>
      <c r="CF112" s="30">
        <f t="shared" si="145"/>
        <v>0</v>
      </c>
      <c r="CG112" s="28">
        <f>PRODUCTION!CH112+'SUPLIER INWARD'!CH112</f>
        <v>0</v>
      </c>
      <c r="CH112" s="28"/>
      <c r="CI112" s="29">
        <v>0</v>
      </c>
      <c r="CJ112" s="30">
        <f t="shared" si="113"/>
        <v>0</v>
      </c>
      <c r="CK112" s="28">
        <f>PRODUCTION!CL112+'SUPLIER INWARD'!CL112</f>
        <v>0</v>
      </c>
      <c r="CL112" s="151"/>
      <c r="CM112" s="152">
        <v>0</v>
      </c>
      <c r="CN112" s="30">
        <f t="shared" si="114"/>
        <v>0</v>
      </c>
      <c r="CO112" s="28">
        <f>PRODUCTION!CP112+'SUPLIER INWARD'!CP112</f>
        <v>0</v>
      </c>
      <c r="CP112" s="151"/>
      <c r="CQ112" s="29">
        <v>0</v>
      </c>
      <c r="CR112" s="30">
        <f t="shared" si="115"/>
        <v>0</v>
      </c>
      <c r="CS112" s="28">
        <f>PRODUCTION!CT112+'SUPLIER INWARD'!CT112</f>
        <v>0</v>
      </c>
      <c r="CT112" s="28"/>
      <c r="CU112" s="29">
        <v>0</v>
      </c>
      <c r="CV112" s="30">
        <f t="shared" si="116"/>
        <v>0</v>
      </c>
      <c r="CW112" s="28">
        <f>PRODUCTION!CX112+'SUPLIER INWARD'!CX112</f>
        <v>0</v>
      </c>
      <c r="CX112" s="28"/>
      <c r="CY112" s="29">
        <v>0</v>
      </c>
      <c r="CZ112" s="30">
        <f t="shared" si="146"/>
        <v>0</v>
      </c>
      <c r="DA112" s="28">
        <f>PRODUCTION!DB112+'SUPLIER INWARD'!DB112</f>
        <v>0</v>
      </c>
      <c r="DB112" s="28"/>
      <c r="DC112" s="29"/>
      <c r="DD112" s="30">
        <f t="shared" si="147"/>
        <v>0</v>
      </c>
      <c r="DE112" s="28">
        <f>PRODUCTION!DF112+'SUPLIER INWARD'!DF112</f>
        <v>0</v>
      </c>
      <c r="DF112" s="28"/>
      <c r="DG112" s="29">
        <v>0</v>
      </c>
      <c r="DH112" s="30">
        <f t="shared" si="148"/>
        <v>0</v>
      </c>
      <c r="DI112" s="28">
        <f>PRODUCTION!DJ112+'SUPLIER INWARD'!DJ112</f>
        <v>0</v>
      </c>
      <c r="DJ112" s="28"/>
      <c r="DK112" s="29">
        <v>0</v>
      </c>
      <c r="DL112" s="30">
        <f t="shared" si="149"/>
        <v>0</v>
      </c>
      <c r="DM112" s="28">
        <f>PRODUCTION!DN112+'SUPLIER INWARD'!DN112</f>
        <v>0</v>
      </c>
      <c r="DN112" s="28"/>
      <c r="DO112" s="29"/>
      <c r="DP112" s="30">
        <f t="shared" si="150"/>
        <v>0</v>
      </c>
      <c r="DQ112" s="28">
        <f>PRODUCTION!DR112+'SUPLIER INWARD'!DR112</f>
        <v>0</v>
      </c>
      <c r="DR112" s="28"/>
      <c r="DS112" s="29"/>
      <c r="DT112" s="30">
        <f t="shared" si="151"/>
        <v>0</v>
      </c>
      <c r="DU112" s="28">
        <f>PRODUCTION!DV112+'SUPLIER INWARD'!DV112</f>
        <v>0</v>
      </c>
      <c r="DV112" s="28"/>
      <c r="DW112" s="29"/>
      <c r="DX112" s="30">
        <f t="shared" si="152"/>
        <v>0</v>
      </c>
      <c r="DY112" s="31">
        <f t="shared" si="158"/>
        <v>0</v>
      </c>
      <c r="DZ112" s="31">
        <f t="shared" si="156"/>
        <v>0</v>
      </c>
      <c r="EA112" s="4">
        <f t="shared" si="157"/>
        <v>0</v>
      </c>
      <c r="EB112" s="9">
        <f>D112*'MASTER SHEET'!D112</f>
        <v>0</v>
      </c>
      <c r="EC112" s="9">
        <f>H112*'MASTER SHEET'!D112</f>
        <v>0</v>
      </c>
      <c r="ED112" s="9">
        <f>L112*'MASTER SHEET'!D112</f>
        <v>0</v>
      </c>
      <c r="EE112" s="9">
        <f>P112*'MASTER SHEET'!D112</f>
        <v>0</v>
      </c>
      <c r="EF112" s="9">
        <f>T112*'MASTER SHEET'!D112</f>
        <v>0</v>
      </c>
      <c r="EG112" s="9">
        <f>X112*'MASTER SHEET'!D112</f>
        <v>0</v>
      </c>
      <c r="EH112" s="9">
        <f>AB112*'MASTER SHEET'!D112</f>
        <v>0</v>
      </c>
      <c r="EI112" s="9">
        <f>AF112*'MASTER SHEET'!D112</f>
        <v>0</v>
      </c>
      <c r="EJ112" s="9">
        <f>AJ112*'MASTER SHEET'!D112</f>
        <v>0</v>
      </c>
      <c r="EK112" s="9">
        <f>AN112*'MASTER SHEET'!D112</f>
        <v>0</v>
      </c>
      <c r="EL112" s="9">
        <f>AR112*'MASTER SHEET'!D112</f>
        <v>0</v>
      </c>
      <c r="EM112" s="9">
        <f>AV112*'MASTER SHEET'!D112</f>
        <v>0</v>
      </c>
      <c r="EN112" s="9">
        <f>AZ112*'MASTER SHEET'!D112</f>
        <v>0</v>
      </c>
      <c r="EO112" s="9">
        <f>BD112*'MASTER SHEET'!D112</f>
        <v>0</v>
      </c>
      <c r="EP112" s="9">
        <f>$BH112*'MASTER SHEET'!$D112</f>
        <v>0</v>
      </c>
      <c r="EQ112" s="9">
        <f>BL112*'MASTER SHEET'!D112</f>
        <v>0</v>
      </c>
      <c r="ER112" s="9">
        <f>BP112*'MASTER SHEET'!D112</f>
        <v>0</v>
      </c>
      <c r="ES112" s="9">
        <f>BT112*'MASTER SHEET'!D112</f>
        <v>0</v>
      </c>
      <c r="ET112" s="9">
        <f>BX112*'MASTER SHEET'!D112</f>
        <v>0</v>
      </c>
      <c r="EU112" s="9">
        <f>CB112*'MASTER SHEET'!D112</f>
        <v>0</v>
      </c>
      <c r="EV112" s="9">
        <f>CF112*'MASTER SHEET'!D112</f>
        <v>0</v>
      </c>
      <c r="EW112" s="9">
        <f>CJ112*'MASTER SHEET'!D112</f>
        <v>0</v>
      </c>
      <c r="EX112" s="9">
        <f>CN112*'MASTER SHEET'!D112</f>
        <v>0</v>
      </c>
      <c r="EY112" s="9">
        <f>CR112*'MASTER SHEET'!D112</f>
        <v>0</v>
      </c>
      <c r="EZ112" s="9">
        <f>$CV112*'MASTER SHEET'!D112</f>
        <v>0</v>
      </c>
      <c r="FA112" s="9">
        <f>CZ112*'MASTER SHEET'!D112</f>
        <v>0</v>
      </c>
      <c r="FB112" s="9">
        <f>DD112*'MASTER SHEET'!D112</f>
        <v>0</v>
      </c>
      <c r="FC112" s="9">
        <f>DH112*'MASTER SHEET'!D112</f>
        <v>0</v>
      </c>
      <c r="FD112" s="9">
        <f>DL112*'MASTER SHEET'!D112</f>
        <v>0</v>
      </c>
      <c r="FE112" s="9">
        <f>DP112*'MASTER SHEET'!D112</f>
        <v>0</v>
      </c>
      <c r="FF112" s="9">
        <f>DT112*'MASTER SHEET'!D112</f>
        <v>0</v>
      </c>
      <c r="FG112" s="9">
        <f>+DX112*'MASTER SHEET'!D112</f>
        <v>0</v>
      </c>
    </row>
    <row r="113" spans="1:163" ht="20.25" customHeight="1" x14ac:dyDescent="0.25">
      <c r="A113" s="25">
        <f>'MASTER SHEET'!A113</f>
        <v>111</v>
      </c>
      <c r="B113" s="26" t="str">
        <f>'MASTER SHEET'!B113</f>
        <v>PIPE PLASTIC</v>
      </c>
      <c r="C113" s="78">
        <f>'MASTER SHEET'!C113</f>
        <v>5029670</v>
      </c>
      <c r="D113" s="159">
        <v>0</v>
      </c>
      <c r="E113" s="28">
        <f>PRODUCTION!F113+'SUPLIER INWARD'!F113</f>
        <v>0</v>
      </c>
      <c r="F113" s="28"/>
      <c r="G113" s="29">
        <v>0</v>
      </c>
      <c r="H113" s="30">
        <f t="shared" si="127"/>
        <v>0</v>
      </c>
      <c r="I113" s="28">
        <f>PRODUCTION!J113+'SUPLIER INWARD'!J113</f>
        <v>0</v>
      </c>
      <c r="J113" s="28"/>
      <c r="K113" s="29">
        <v>0</v>
      </c>
      <c r="L113" s="30">
        <f t="shared" si="128"/>
        <v>0</v>
      </c>
      <c r="M113" s="28">
        <f>PRODUCTION!N113+'SUPLIER INWARD'!N113</f>
        <v>0</v>
      </c>
      <c r="N113" s="28"/>
      <c r="O113" s="29"/>
      <c r="P113" s="30">
        <f t="shared" si="129"/>
        <v>0</v>
      </c>
      <c r="Q113" s="28">
        <f>PRODUCTION!R113+'SUPLIER INWARD'!R113</f>
        <v>0</v>
      </c>
      <c r="R113" s="28"/>
      <c r="S113" s="29">
        <v>0</v>
      </c>
      <c r="T113" s="30">
        <f t="shared" si="130"/>
        <v>0</v>
      </c>
      <c r="U113" s="28">
        <f>PRODUCTION!V113+'SUPLIER INWARD'!V113</f>
        <v>0</v>
      </c>
      <c r="V113" s="28"/>
      <c r="W113" s="29">
        <v>0</v>
      </c>
      <c r="X113" s="30">
        <f t="shared" si="131"/>
        <v>0</v>
      </c>
      <c r="Y113" s="28">
        <f>PRODUCTION!Z113+'SUPLIER INWARD'!Z113</f>
        <v>0</v>
      </c>
      <c r="Z113" s="28"/>
      <c r="AA113" s="29">
        <v>0</v>
      </c>
      <c r="AB113" s="30">
        <f t="shared" si="132"/>
        <v>0</v>
      </c>
      <c r="AC113" s="28">
        <f>PRODUCTION!AD113+'SUPLIER INWARD'!AD113</f>
        <v>0</v>
      </c>
      <c r="AD113" s="28"/>
      <c r="AE113" s="29">
        <v>0</v>
      </c>
      <c r="AF113" s="30">
        <f t="shared" si="133"/>
        <v>0</v>
      </c>
      <c r="AG113" s="28">
        <f>PRODUCTION!AH113+'SUPLIER INWARD'!AH113</f>
        <v>0</v>
      </c>
      <c r="AH113" s="28"/>
      <c r="AI113" s="29">
        <v>0</v>
      </c>
      <c r="AJ113" s="30">
        <f t="shared" si="134"/>
        <v>0</v>
      </c>
      <c r="AK113" s="28">
        <f>PRODUCTION!AL113+'SUPLIER INWARD'!AL113</f>
        <v>0</v>
      </c>
      <c r="AL113" s="28"/>
      <c r="AM113" s="29">
        <v>0</v>
      </c>
      <c r="AN113" s="30">
        <f t="shared" si="135"/>
        <v>0</v>
      </c>
      <c r="AO113" s="28">
        <f>PRODUCTION!AP113+'SUPLIER INWARD'!AP113</f>
        <v>0</v>
      </c>
      <c r="AP113" s="28"/>
      <c r="AQ113" s="29">
        <v>0</v>
      </c>
      <c r="AR113" s="30">
        <f t="shared" si="136"/>
        <v>0</v>
      </c>
      <c r="AS113" s="28">
        <f>PRODUCTION!AT113+'SUPLIER INWARD'!AT113</f>
        <v>0</v>
      </c>
      <c r="AT113" s="28"/>
      <c r="AU113" s="29">
        <v>0</v>
      </c>
      <c r="AV113" s="30">
        <f t="shared" si="137"/>
        <v>0</v>
      </c>
      <c r="AW113" s="28">
        <f>PRODUCTION!AX113+'SUPLIER INWARD'!AX113</f>
        <v>0</v>
      </c>
      <c r="AX113" s="28"/>
      <c r="AY113" s="29"/>
      <c r="AZ113" s="30">
        <f t="shared" si="138"/>
        <v>0</v>
      </c>
      <c r="BA113" s="28">
        <f>PRODUCTION!BB113+'SUPLIER INWARD'!BB113</f>
        <v>0</v>
      </c>
      <c r="BB113" s="28"/>
      <c r="BC113" s="29">
        <v>0</v>
      </c>
      <c r="BD113" s="30">
        <f t="shared" si="139"/>
        <v>0</v>
      </c>
      <c r="BE113" s="28">
        <f>PRODUCTION!BF113+'SUPLIER INWARD'!BF113</f>
        <v>0</v>
      </c>
      <c r="BF113" s="28"/>
      <c r="BG113" s="29">
        <v>0</v>
      </c>
      <c r="BH113" s="30">
        <f t="shared" si="140"/>
        <v>0</v>
      </c>
      <c r="BI113" s="28">
        <f>PRODUCTION!BJ113+'SUPLIER INWARD'!BJ113</f>
        <v>0</v>
      </c>
      <c r="BJ113" s="28"/>
      <c r="BK113" s="29">
        <v>0</v>
      </c>
      <c r="BL113" s="30">
        <f t="shared" si="141"/>
        <v>0</v>
      </c>
      <c r="BM113" s="28">
        <f>PRODUCTION!BN113+'SUPLIER INWARD'!BN113</f>
        <v>0</v>
      </c>
      <c r="BN113" s="28"/>
      <c r="BO113" s="29">
        <v>0</v>
      </c>
      <c r="BP113" s="30">
        <f t="shared" si="142"/>
        <v>0</v>
      </c>
      <c r="BQ113" s="28">
        <f>PRODUCTION!BR113+'SUPLIER INWARD'!BR113</f>
        <v>0</v>
      </c>
      <c r="BR113" s="28"/>
      <c r="BS113" s="29">
        <v>0</v>
      </c>
      <c r="BT113" s="30">
        <f t="shared" si="143"/>
        <v>0</v>
      </c>
      <c r="BU113" s="28">
        <f>PRODUCTION!BV113+'SUPLIER INWARD'!BV113</f>
        <v>0</v>
      </c>
      <c r="BV113" s="28"/>
      <c r="BW113" s="29">
        <v>0</v>
      </c>
      <c r="BX113" s="30">
        <f t="shared" si="110"/>
        <v>0</v>
      </c>
      <c r="BY113" s="28">
        <f>PRODUCTION!BZ113+'SUPLIER INWARD'!BZ113</f>
        <v>0</v>
      </c>
      <c r="BZ113" s="28"/>
      <c r="CA113" s="29">
        <v>0</v>
      </c>
      <c r="CB113" s="30">
        <f t="shared" si="144"/>
        <v>0</v>
      </c>
      <c r="CC113" s="28">
        <f>PRODUCTION!CD113+'SUPLIER INWARD'!CD113</f>
        <v>0</v>
      </c>
      <c r="CD113" s="28"/>
      <c r="CE113" s="29">
        <v>0</v>
      </c>
      <c r="CF113" s="30">
        <f t="shared" si="145"/>
        <v>0</v>
      </c>
      <c r="CG113" s="28">
        <f>PRODUCTION!CH113+'SUPLIER INWARD'!CH113</f>
        <v>0</v>
      </c>
      <c r="CH113" s="28"/>
      <c r="CI113" s="29">
        <v>0</v>
      </c>
      <c r="CJ113" s="30">
        <f t="shared" si="113"/>
        <v>0</v>
      </c>
      <c r="CK113" s="28">
        <f>PRODUCTION!CL113+'SUPLIER INWARD'!CL113</f>
        <v>0</v>
      </c>
      <c r="CL113" s="151"/>
      <c r="CM113" s="152">
        <v>0</v>
      </c>
      <c r="CN113" s="30">
        <f t="shared" si="114"/>
        <v>0</v>
      </c>
      <c r="CO113" s="28">
        <f>PRODUCTION!CP113+'SUPLIER INWARD'!CP113</f>
        <v>0</v>
      </c>
      <c r="CP113" s="151"/>
      <c r="CQ113" s="29">
        <v>0</v>
      </c>
      <c r="CR113" s="30">
        <f t="shared" si="115"/>
        <v>0</v>
      </c>
      <c r="CS113" s="28">
        <f>PRODUCTION!CT113+'SUPLIER INWARD'!CT113</f>
        <v>0</v>
      </c>
      <c r="CT113" s="28"/>
      <c r="CU113" s="29">
        <v>0</v>
      </c>
      <c r="CV113" s="30">
        <f t="shared" si="116"/>
        <v>0</v>
      </c>
      <c r="CW113" s="28">
        <f>PRODUCTION!CX113+'SUPLIER INWARD'!CX113</f>
        <v>0</v>
      </c>
      <c r="CX113" s="28"/>
      <c r="CY113" s="29">
        <v>0</v>
      </c>
      <c r="CZ113" s="30">
        <f t="shared" si="146"/>
        <v>0</v>
      </c>
      <c r="DA113" s="28">
        <f>PRODUCTION!DB113+'SUPLIER INWARD'!DB113</f>
        <v>0</v>
      </c>
      <c r="DB113" s="28"/>
      <c r="DC113" s="29"/>
      <c r="DD113" s="30">
        <f t="shared" si="147"/>
        <v>0</v>
      </c>
      <c r="DE113" s="28">
        <f>PRODUCTION!DF113+'SUPLIER INWARD'!DF113</f>
        <v>0</v>
      </c>
      <c r="DF113" s="28"/>
      <c r="DG113" s="29">
        <v>0</v>
      </c>
      <c r="DH113" s="30">
        <f t="shared" si="148"/>
        <v>0</v>
      </c>
      <c r="DI113" s="28">
        <f>PRODUCTION!DJ113+'SUPLIER INWARD'!DJ113</f>
        <v>0</v>
      </c>
      <c r="DJ113" s="28"/>
      <c r="DK113" s="29">
        <v>0</v>
      </c>
      <c r="DL113" s="30">
        <f t="shared" si="149"/>
        <v>0</v>
      </c>
      <c r="DM113" s="28">
        <f>PRODUCTION!DN113+'SUPLIER INWARD'!DN113</f>
        <v>0</v>
      </c>
      <c r="DN113" s="28"/>
      <c r="DO113" s="29"/>
      <c r="DP113" s="30">
        <f t="shared" si="150"/>
        <v>0</v>
      </c>
      <c r="DQ113" s="28">
        <f>PRODUCTION!DR113+'SUPLIER INWARD'!DR113</f>
        <v>0</v>
      </c>
      <c r="DR113" s="28"/>
      <c r="DS113" s="29"/>
      <c r="DT113" s="30">
        <f t="shared" si="151"/>
        <v>0</v>
      </c>
      <c r="DU113" s="28">
        <f>PRODUCTION!DV113+'SUPLIER INWARD'!DV113</f>
        <v>0</v>
      </c>
      <c r="DV113" s="28"/>
      <c r="DW113" s="29"/>
      <c r="DX113" s="30">
        <f t="shared" si="152"/>
        <v>0</v>
      </c>
      <c r="DY113" s="31">
        <f t="shared" si="158"/>
        <v>0</v>
      </c>
      <c r="DZ113" s="31">
        <f t="shared" si="156"/>
        <v>0</v>
      </c>
      <c r="EA113" s="4">
        <f t="shared" si="157"/>
        <v>0</v>
      </c>
      <c r="EB113" s="9">
        <f>D113*'MASTER SHEET'!D113</f>
        <v>0</v>
      </c>
      <c r="EC113" s="9">
        <f>H113*'MASTER SHEET'!D113</f>
        <v>0</v>
      </c>
      <c r="ED113" s="9">
        <f>L113*'MASTER SHEET'!D113</f>
        <v>0</v>
      </c>
      <c r="EE113" s="9">
        <f>P113*'MASTER SHEET'!D113</f>
        <v>0</v>
      </c>
      <c r="EF113" s="9">
        <f>T113*'MASTER SHEET'!D113</f>
        <v>0</v>
      </c>
      <c r="EG113" s="9">
        <f>X113*'MASTER SHEET'!D113</f>
        <v>0</v>
      </c>
      <c r="EH113" s="9">
        <f>AB113*'MASTER SHEET'!D113</f>
        <v>0</v>
      </c>
      <c r="EI113" s="9">
        <f>AF113*'MASTER SHEET'!D113</f>
        <v>0</v>
      </c>
      <c r="EJ113" s="9">
        <f>AJ113*'MASTER SHEET'!D113</f>
        <v>0</v>
      </c>
      <c r="EK113" s="9">
        <f>AN113*'MASTER SHEET'!D113</f>
        <v>0</v>
      </c>
      <c r="EL113" s="9">
        <f>AR113*'MASTER SHEET'!D113</f>
        <v>0</v>
      </c>
      <c r="EM113" s="9">
        <f>AV113*'MASTER SHEET'!D113</f>
        <v>0</v>
      </c>
      <c r="EN113" s="9">
        <f>AZ113*'MASTER SHEET'!D113</f>
        <v>0</v>
      </c>
      <c r="EO113" s="9">
        <f>BD113*'MASTER SHEET'!D113</f>
        <v>0</v>
      </c>
      <c r="EP113" s="9">
        <f>$BH113*'MASTER SHEET'!$D113</f>
        <v>0</v>
      </c>
      <c r="EQ113" s="9">
        <f>BL113*'MASTER SHEET'!D113</f>
        <v>0</v>
      </c>
      <c r="ER113" s="9">
        <f>BP113*'MASTER SHEET'!D113</f>
        <v>0</v>
      </c>
      <c r="ES113" s="9">
        <f>BT113*'MASTER SHEET'!D113</f>
        <v>0</v>
      </c>
      <c r="ET113" s="9">
        <f>BX113*'MASTER SHEET'!D113</f>
        <v>0</v>
      </c>
      <c r="EU113" s="9">
        <f>CB113*'MASTER SHEET'!D113</f>
        <v>0</v>
      </c>
      <c r="EV113" s="9">
        <f>CF113*'MASTER SHEET'!D113</f>
        <v>0</v>
      </c>
      <c r="EW113" s="9">
        <f>CJ113*'MASTER SHEET'!D113</f>
        <v>0</v>
      </c>
      <c r="EX113" s="9">
        <f>CN113*'MASTER SHEET'!D113</f>
        <v>0</v>
      </c>
      <c r="EY113" s="9">
        <f>CR113*'MASTER SHEET'!D113</f>
        <v>0</v>
      </c>
      <c r="EZ113" s="9">
        <f>$CV113*'MASTER SHEET'!D113</f>
        <v>0</v>
      </c>
      <c r="FA113" s="9">
        <f>CZ113*'MASTER SHEET'!D113</f>
        <v>0</v>
      </c>
      <c r="FB113" s="9">
        <f>DD113*'MASTER SHEET'!D113</f>
        <v>0</v>
      </c>
      <c r="FC113" s="9">
        <f>DH113*'MASTER SHEET'!D113</f>
        <v>0</v>
      </c>
      <c r="FD113" s="9">
        <f>DL113*'MASTER SHEET'!D113</f>
        <v>0</v>
      </c>
      <c r="FE113" s="9">
        <f>DP113*'MASTER SHEET'!D113</f>
        <v>0</v>
      </c>
      <c r="FF113" s="9">
        <f>DT113*'MASTER SHEET'!D113</f>
        <v>0</v>
      </c>
      <c r="FG113" s="9">
        <f>+DX113*'MASTER SHEET'!D113</f>
        <v>0</v>
      </c>
    </row>
    <row r="114" spans="1:163" ht="20.25" customHeight="1" x14ac:dyDescent="0.25">
      <c r="A114" s="25">
        <f>'MASTER SHEET'!A114</f>
        <v>112</v>
      </c>
      <c r="B114" s="26" t="str">
        <f>'MASTER SHEET'!B114</f>
        <v>WIREMESH</v>
      </c>
      <c r="C114" s="78">
        <f>'MASTER SHEET'!C114</f>
        <v>5007007</v>
      </c>
      <c r="D114" s="159">
        <v>0</v>
      </c>
      <c r="E114" s="28">
        <f>PRODUCTION!F114+'SUPLIER INWARD'!F114</f>
        <v>0</v>
      </c>
      <c r="F114" s="28"/>
      <c r="G114" s="29">
        <v>0</v>
      </c>
      <c r="H114" s="30">
        <f t="shared" si="127"/>
        <v>0</v>
      </c>
      <c r="I114" s="28">
        <f>PRODUCTION!J114+'SUPLIER INWARD'!J114</f>
        <v>0</v>
      </c>
      <c r="J114" s="28"/>
      <c r="K114" s="29">
        <v>0</v>
      </c>
      <c r="L114" s="30">
        <f t="shared" si="128"/>
        <v>0</v>
      </c>
      <c r="M114" s="28">
        <f>PRODUCTION!N114+'SUPLIER INWARD'!N114</f>
        <v>0</v>
      </c>
      <c r="N114" s="28"/>
      <c r="O114" s="29"/>
      <c r="P114" s="30">
        <f t="shared" si="129"/>
        <v>0</v>
      </c>
      <c r="Q114" s="28">
        <f>PRODUCTION!R114+'SUPLIER INWARD'!R114</f>
        <v>0</v>
      </c>
      <c r="R114" s="28"/>
      <c r="S114" s="29">
        <v>0</v>
      </c>
      <c r="T114" s="30">
        <f t="shared" si="130"/>
        <v>0</v>
      </c>
      <c r="U114" s="28">
        <f>PRODUCTION!V114+'SUPLIER INWARD'!V114</f>
        <v>0</v>
      </c>
      <c r="V114" s="28"/>
      <c r="W114" s="29">
        <v>0</v>
      </c>
      <c r="X114" s="30">
        <f t="shared" si="131"/>
        <v>0</v>
      </c>
      <c r="Y114" s="28">
        <f>PRODUCTION!Z114+'SUPLIER INWARD'!Z114</f>
        <v>0</v>
      </c>
      <c r="Z114" s="28"/>
      <c r="AA114" s="29">
        <v>0</v>
      </c>
      <c r="AB114" s="30">
        <f t="shared" si="132"/>
        <v>0</v>
      </c>
      <c r="AC114" s="28">
        <f>PRODUCTION!AD114+'SUPLIER INWARD'!AD114</f>
        <v>0</v>
      </c>
      <c r="AD114" s="28"/>
      <c r="AE114" s="29">
        <v>0</v>
      </c>
      <c r="AF114" s="30">
        <f t="shared" si="133"/>
        <v>0</v>
      </c>
      <c r="AG114" s="28">
        <f>PRODUCTION!AH114+'SUPLIER INWARD'!AH114</f>
        <v>0</v>
      </c>
      <c r="AH114" s="28"/>
      <c r="AI114" s="29">
        <v>0</v>
      </c>
      <c r="AJ114" s="30">
        <f t="shared" si="134"/>
        <v>0</v>
      </c>
      <c r="AK114" s="28">
        <f>PRODUCTION!AL114+'SUPLIER INWARD'!AL114</f>
        <v>0</v>
      </c>
      <c r="AL114" s="28"/>
      <c r="AM114" s="29">
        <v>0</v>
      </c>
      <c r="AN114" s="30">
        <f t="shared" si="135"/>
        <v>0</v>
      </c>
      <c r="AO114" s="28">
        <f>PRODUCTION!AP114+'SUPLIER INWARD'!AP114</f>
        <v>0</v>
      </c>
      <c r="AP114" s="28"/>
      <c r="AQ114" s="29">
        <v>0</v>
      </c>
      <c r="AR114" s="30">
        <f t="shared" si="136"/>
        <v>0</v>
      </c>
      <c r="AS114" s="28">
        <f>PRODUCTION!AT114+'SUPLIER INWARD'!AT114</f>
        <v>0</v>
      </c>
      <c r="AT114" s="28"/>
      <c r="AU114" s="29">
        <v>0</v>
      </c>
      <c r="AV114" s="30">
        <f t="shared" si="137"/>
        <v>0</v>
      </c>
      <c r="AW114" s="28">
        <f>PRODUCTION!AX114+'SUPLIER INWARD'!AX114</f>
        <v>0</v>
      </c>
      <c r="AX114" s="28"/>
      <c r="AY114" s="29"/>
      <c r="AZ114" s="30">
        <f t="shared" si="138"/>
        <v>0</v>
      </c>
      <c r="BA114" s="28">
        <f>PRODUCTION!BB114+'SUPLIER INWARD'!BB114</f>
        <v>0</v>
      </c>
      <c r="BB114" s="28"/>
      <c r="BC114" s="29">
        <v>0</v>
      </c>
      <c r="BD114" s="30">
        <f t="shared" si="139"/>
        <v>0</v>
      </c>
      <c r="BE114" s="28">
        <f>PRODUCTION!BF114+'SUPLIER INWARD'!BF114</f>
        <v>0</v>
      </c>
      <c r="BF114" s="28"/>
      <c r="BG114" s="29">
        <v>0</v>
      </c>
      <c r="BH114" s="30">
        <f t="shared" si="140"/>
        <v>0</v>
      </c>
      <c r="BI114" s="28">
        <f>PRODUCTION!BJ114+'SUPLIER INWARD'!BJ114</f>
        <v>0</v>
      </c>
      <c r="BJ114" s="28"/>
      <c r="BK114" s="29">
        <v>0</v>
      </c>
      <c r="BL114" s="30">
        <f t="shared" si="141"/>
        <v>0</v>
      </c>
      <c r="BM114" s="28">
        <f>PRODUCTION!BN114+'SUPLIER INWARD'!BN114</f>
        <v>0</v>
      </c>
      <c r="BN114" s="28"/>
      <c r="BO114" s="29">
        <v>0</v>
      </c>
      <c r="BP114" s="30">
        <f t="shared" si="142"/>
        <v>0</v>
      </c>
      <c r="BQ114" s="28">
        <f>PRODUCTION!BR114+'SUPLIER INWARD'!BR114</f>
        <v>0</v>
      </c>
      <c r="BR114" s="28"/>
      <c r="BS114" s="29">
        <v>0</v>
      </c>
      <c r="BT114" s="30">
        <f t="shared" si="143"/>
        <v>0</v>
      </c>
      <c r="BU114" s="28">
        <f>PRODUCTION!BV114+'SUPLIER INWARD'!BV114</f>
        <v>0</v>
      </c>
      <c r="BV114" s="28"/>
      <c r="BW114" s="29">
        <v>0</v>
      </c>
      <c r="BX114" s="30">
        <f t="shared" si="110"/>
        <v>0</v>
      </c>
      <c r="BY114" s="28">
        <f>PRODUCTION!BZ114+'SUPLIER INWARD'!BZ114</f>
        <v>0</v>
      </c>
      <c r="BZ114" s="28"/>
      <c r="CA114" s="29">
        <v>0</v>
      </c>
      <c r="CB114" s="30">
        <f t="shared" si="144"/>
        <v>0</v>
      </c>
      <c r="CC114" s="28">
        <f>PRODUCTION!CD114+'SUPLIER INWARD'!CD114</f>
        <v>0</v>
      </c>
      <c r="CD114" s="28"/>
      <c r="CE114" s="29">
        <v>0</v>
      </c>
      <c r="CF114" s="30">
        <f t="shared" si="145"/>
        <v>0</v>
      </c>
      <c r="CG114" s="28">
        <f>PRODUCTION!CH114+'SUPLIER INWARD'!CH114</f>
        <v>0</v>
      </c>
      <c r="CH114" s="28"/>
      <c r="CI114" s="29">
        <v>0</v>
      </c>
      <c r="CJ114" s="30">
        <f t="shared" si="113"/>
        <v>0</v>
      </c>
      <c r="CK114" s="28">
        <f>PRODUCTION!CL114+'SUPLIER INWARD'!CL114</f>
        <v>0</v>
      </c>
      <c r="CL114" s="151"/>
      <c r="CM114" s="152">
        <v>0</v>
      </c>
      <c r="CN114" s="30">
        <f t="shared" si="114"/>
        <v>0</v>
      </c>
      <c r="CO114" s="28">
        <f>PRODUCTION!CP114+'SUPLIER INWARD'!CP114</f>
        <v>0</v>
      </c>
      <c r="CP114" s="151"/>
      <c r="CQ114" s="29">
        <v>0</v>
      </c>
      <c r="CR114" s="30">
        <f t="shared" si="115"/>
        <v>0</v>
      </c>
      <c r="CS114" s="28">
        <f>PRODUCTION!CT114+'SUPLIER INWARD'!CT114</f>
        <v>0</v>
      </c>
      <c r="CT114" s="28"/>
      <c r="CU114" s="29">
        <v>0</v>
      </c>
      <c r="CV114" s="30">
        <f t="shared" si="116"/>
        <v>0</v>
      </c>
      <c r="CW114" s="28">
        <f>PRODUCTION!CX114+'SUPLIER INWARD'!CX114</f>
        <v>0</v>
      </c>
      <c r="CX114" s="28"/>
      <c r="CY114" s="29">
        <v>0</v>
      </c>
      <c r="CZ114" s="30">
        <f t="shared" si="146"/>
        <v>0</v>
      </c>
      <c r="DA114" s="28">
        <f>PRODUCTION!DB114+'SUPLIER INWARD'!DB114</f>
        <v>0</v>
      </c>
      <c r="DB114" s="28"/>
      <c r="DC114" s="29"/>
      <c r="DD114" s="30">
        <f t="shared" si="147"/>
        <v>0</v>
      </c>
      <c r="DE114" s="28">
        <f>PRODUCTION!DF114+'SUPLIER INWARD'!DF114</f>
        <v>0</v>
      </c>
      <c r="DF114" s="28"/>
      <c r="DG114" s="29">
        <v>0</v>
      </c>
      <c r="DH114" s="30">
        <f t="shared" si="148"/>
        <v>0</v>
      </c>
      <c r="DI114" s="28">
        <f>PRODUCTION!DJ114+'SUPLIER INWARD'!DJ114</f>
        <v>0</v>
      </c>
      <c r="DJ114" s="28"/>
      <c r="DK114" s="29">
        <v>0</v>
      </c>
      <c r="DL114" s="30">
        <f t="shared" si="149"/>
        <v>0</v>
      </c>
      <c r="DM114" s="28">
        <f>PRODUCTION!DN114+'SUPLIER INWARD'!DN114</f>
        <v>0</v>
      </c>
      <c r="DN114" s="28"/>
      <c r="DO114" s="29"/>
      <c r="DP114" s="30">
        <f t="shared" si="150"/>
        <v>0</v>
      </c>
      <c r="DQ114" s="28">
        <f>PRODUCTION!DR114+'SUPLIER INWARD'!DR114</f>
        <v>0</v>
      </c>
      <c r="DR114" s="28"/>
      <c r="DS114" s="29"/>
      <c r="DT114" s="30">
        <f t="shared" si="151"/>
        <v>0</v>
      </c>
      <c r="DU114" s="28">
        <f>PRODUCTION!DV114+'SUPLIER INWARD'!DV114</f>
        <v>0</v>
      </c>
      <c r="DV114" s="28"/>
      <c r="DW114" s="29"/>
      <c r="DX114" s="30">
        <f t="shared" si="152"/>
        <v>0</v>
      </c>
      <c r="DY114" s="31">
        <f t="shared" si="158"/>
        <v>0</v>
      </c>
      <c r="DZ114" s="31">
        <f t="shared" si="156"/>
        <v>0</v>
      </c>
      <c r="EA114" s="4">
        <f t="shared" si="157"/>
        <v>0</v>
      </c>
      <c r="EB114" s="9">
        <f>D114*'MASTER SHEET'!D114</f>
        <v>0</v>
      </c>
      <c r="EC114" s="9">
        <f>H114*'MASTER SHEET'!D114</f>
        <v>0</v>
      </c>
      <c r="ED114" s="9">
        <f>L114*'MASTER SHEET'!D114</f>
        <v>0</v>
      </c>
      <c r="EE114" s="9">
        <f>P114*'MASTER SHEET'!D114</f>
        <v>0</v>
      </c>
      <c r="EF114" s="9">
        <f>T114*'MASTER SHEET'!D114</f>
        <v>0</v>
      </c>
      <c r="EG114" s="9">
        <f>X114*'MASTER SHEET'!D114</f>
        <v>0</v>
      </c>
      <c r="EH114" s="9">
        <f>AB114*'MASTER SHEET'!D114</f>
        <v>0</v>
      </c>
      <c r="EI114" s="9">
        <f>AF114*'MASTER SHEET'!D114</f>
        <v>0</v>
      </c>
      <c r="EJ114" s="9">
        <f>AJ114*'MASTER SHEET'!D114</f>
        <v>0</v>
      </c>
      <c r="EK114" s="9">
        <f>AN114*'MASTER SHEET'!D114</f>
        <v>0</v>
      </c>
      <c r="EL114" s="9">
        <f>AR114*'MASTER SHEET'!D114</f>
        <v>0</v>
      </c>
      <c r="EM114" s="9">
        <f>AV114*'MASTER SHEET'!D114</f>
        <v>0</v>
      </c>
      <c r="EN114" s="9">
        <f>AZ114*'MASTER SHEET'!D114</f>
        <v>0</v>
      </c>
      <c r="EO114" s="9">
        <f>BD114*'MASTER SHEET'!D114</f>
        <v>0</v>
      </c>
      <c r="EP114" s="9">
        <f>$BH114*'MASTER SHEET'!$D114</f>
        <v>0</v>
      </c>
      <c r="EQ114" s="9">
        <f>BL114*'MASTER SHEET'!D114</f>
        <v>0</v>
      </c>
      <c r="ER114" s="9">
        <f>BP114*'MASTER SHEET'!D114</f>
        <v>0</v>
      </c>
      <c r="ES114" s="9">
        <f>BT114*'MASTER SHEET'!D114</f>
        <v>0</v>
      </c>
      <c r="ET114" s="9">
        <f>BX114*'MASTER SHEET'!D114</f>
        <v>0</v>
      </c>
      <c r="EU114" s="9">
        <f>CB114*'MASTER SHEET'!D114</f>
        <v>0</v>
      </c>
      <c r="EV114" s="9">
        <f>CF114*'MASTER SHEET'!D114</f>
        <v>0</v>
      </c>
      <c r="EW114" s="9">
        <f>CJ114*'MASTER SHEET'!D114</f>
        <v>0</v>
      </c>
      <c r="EX114" s="9">
        <f>CN114*'MASTER SHEET'!D114</f>
        <v>0</v>
      </c>
      <c r="EY114" s="9">
        <f>CR114*'MASTER SHEET'!D114</f>
        <v>0</v>
      </c>
      <c r="EZ114" s="9">
        <f>$CV114*'MASTER SHEET'!D114</f>
        <v>0</v>
      </c>
      <c r="FA114" s="9">
        <f>CZ114*'MASTER SHEET'!D114</f>
        <v>0</v>
      </c>
      <c r="FB114" s="9">
        <f>DD114*'MASTER SHEET'!D114</f>
        <v>0</v>
      </c>
      <c r="FC114" s="9">
        <f>DH114*'MASTER SHEET'!D114</f>
        <v>0</v>
      </c>
      <c r="FD114" s="9">
        <f>DL114*'MASTER SHEET'!D114</f>
        <v>0</v>
      </c>
      <c r="FE114" s="9">
        <f>DP114*'MASTER SHEET'!D114</f>
        <v>0</v>
      </c>
      <c r="FF114" s="9">
        <f>DT114*'MASTER SHEET'!D114</f>
        <v>0</v>
      </c>
      <c r="FG114" s="9">
        <f>+DX114*'MASTER SHEET'!D114</f>
        <v>0</v>
      </c>
    </row>
    <row r="115" spans="1:163" ht="20.25" customHeight="1" x14ac:dyDescent="0.25">
      <c r="A115" s="25">
        <f>'MASTER SHEET'!A115</f>
        <v>113</v>
      </c>
      <c r="B115" s="26" t="str">
        <f>'MASTER SHEET'!B115</f>
        <v>PHONIX PIPE</v>
      </c>
      <c r="C115" s="78">
        <f>'MASTER SHEET'!C115</f>
        <v>5026025</v>
      </c>
      <c r="D115" s="159">
        <v>0</v>
      </c>
      <c r="E115" s="28">
        <f>PRODUCTION!F115+'SUPLIER INWARD'!F115</f>
        <v>0</v>
      </c>
      <c r="F115" s="28"/>
      <c r="G115" s="29">
        <v>0</v>
      </c>
      <c r="H115" s="30">
        <f t="shared" si="127"/>
        <v>0</v>
      </c>
      <c r="I115" s="28">
        <f>PRODUCTION!J115+'SUPLIER INWARD'!J115</f>
        <v>0</v>
      </c>
      <c r="J115" s="28"/>
      <c r="K115" s="29">
        <v>0</v>
      </c>
      <c r="L115" s="30">
        <f t="shared" si="128"/>
        <v>0</v>
      </c>
      <c r="M115" s="28">
        <f>PRODUCTION!N115+'SUPLIER INWARD'!N115</f>
        <v>0</v>
      </c>
      <c r="N115" s="28"/>
      <c r="O115" s="29"/>
      <c r="P115" s="30">
        <f t="shared" si="129"/>
        <v>0</v>
      </c>
      <c r="Q115" s="28">
        <f>PRODUCTION!R115+'SUPLIER INWARD'!R115</f>
        <v>0</v>
      </c>
      <c r="R115" s="28"/>
      <c r="S115" s="29">
        <v>0</v>
      </c>
      <c r="T115" s="30">
        <f t="shared" si="130"/>
        <v>0</v>
      </c>
      <c r="U115" s="28">
        <f>PRODUCTION!V115+'SUPLIER INWARD'!V115</f>
        <v>0</v>
      </c>
      <c r="V115" s="28"/>
      <c r="W115" s="29">
        <v>0</v>
      </c>
      <c r="X115" s="30">
        <f t="shared" si="131"/>
        <v>0</v>
      </c>
      <c r="Y115" s="28">
        <f>PRODUCTION!Z115+'SUPLIER INWARD'!Z115</f>
        <v>0</v>
      </c>
      <c r="Z115" s="28"/>
      <c r="AA115" s="29">
        <v>0</v>
      </c>
      <c r="AB115" s="30">
        <f t="shared" si="132"/>
        <v>0</v>
      </c>
      <c r="AC115" s="28">
        <f>PRODUCTION!AD115+'SUPLIER INWARD'!AD115</f>
        <v>0</v>
      </c>
      <c r="AD115" s="28"/>
      <c r="AE115" s="29">
        <v>0</v>
      </c>
      <c r="AF115" s="30">
        <f t="shared" si="133"/>
        <v>0</v>
      </c>
      <c r="AG115" s="28">
        <f>PRODUCTION!AH115+'SUPLIER INWARD'!AH115</f>
        <v>0</v>
      </c>
      <c r="AH115" s="28"/>
      <c r="AI115" s="29">
        <v>0</v>
      </c>
      <c r="AJ115" s="30">
        <f t="shared" si="134"/>
        <v>0</v>
      </c>
      <c r="AK115" s="28">
        <f>PRODUCTION!AL115+'SUPLIER INWARD'!AL115</f>
        <v>0</v>
      </c>
      <c r="AL115" s="28"/>
      <c r="AM115" s="29">
        <v>0</v>
      </c>
      <c r="AN115" s="30">
        <f t="shared" si="135"/>
        <v>0</v>
      </c>
      <c r="AO115" s="28">
        <f>PRODUCTION!AP115+'SUPLIER INWARD'!AP115</f>
        <v>0</v>
      </c>
      <c r="AP115" s="28"/>
      <c r="AQ115" s="29">
        <v>0</v>
      </c>
      <c r="AR115" s="30">
        <f t="shared" si="136"/>
        <v>0</v>
      </c>
      <c r="AS115" s="28">
        <f>PRODUCTION!AT115+'SUPLIER INWARD'!AT115</f>
        <v>0</v>
      </c>
      <c r="AT115" s="28"/>
      <c r="AU115" s="29">
        <v>0</v>
      </c>
      <c r="AV115" s="30">
        <f t="shared" si="137"/>
        <v>0</v>
      </c>
      <c r="AW115" s="28">
        <f>PRODUCTION!AX115+'SUPLIER INWARD'!AX115</f>
        <v>0</v>
      </c>
      <c r="AX115" s="28"/>
      <c r="AY115" s="29"/>
      <c r="AZ115" s="30">
        <f t="shared" si="138"/>
        <v>0</v>
      </c>
      <c r="BA115" s="28">
        <f>PRODUCTION!BB115+'SUPLIER INWARD'!BB115</f>
        <v>0</v>
      </c>
      <c r="BB115" s="28"/>
      <c r="BC115" s="29">
        <v>0</v>
      </c>
      <c r="BD115" s="30">
        <f t="shared" si="139"/>
        <v>0</v>
      </c>
      <c r="BE115" s="28">
        <f>PRODUCTION!BF115+'SUPLIER INWARD'!BF115</f>
        <v>0</v>
      </c>
      <c r="BF115" s="28"/>
      <c r="BG115" s="29">
        <v>0</v>
      </c>
      <c r="BH115" s="30">
        <f t="shared" si="140"/>
        <v>0</v>
      </c>
      <c r="BI115" s="28">
        <f>PRODUCTION!BJ115+'SUPLIER INWARD'!BJ115</f>
        <v>0</v>
      </c>
      <c r="BJ115" s="28"/>
      <c r="BK115" s="29">
        <v>0</v>
      </c>
      <c r="BL115" s="30">
        <f t="shared" si="141"/>
        <v>0</v>
      </c>
      <c r="BM115" s="28">
        <f>PRODUCTION!BN115+'SUPLIER INWARD'!BN115</f>
        <v>0</v>
      </c>
      <c r="BN115" s="28"/>
      <c r="BO115" s="29">
        <v>0</v>
      </c>
      <c r="BP115" s="30">
        <f t="shared" si="142"/>
        <v>0</v>
      </c>
      <c r="BQ115" s="28">
        <f>PRODUCTION!BR115+'SUPLIER INWARD'!BR115</f>
        <v>0</v>
      </c>
      <c r="BR115" s="28"/>
      <c r="BS115" s="29">
        <v>0</v>
      </c>
      <c r="BT115" s="30">
        <f t="shared" si="143"/>
        <v>0</v>
      </c>
      <c r="BU115" s="28">
        <f>PRODUCTION!BV115+'SUPLIER INWARD'!BV115</f>
        <v>0</v>
      </c>
      <c r="BV115" s="28"/>
      <c r="BW115" s="29">
        <v>0</v>
      </c>
      <c r="BX115" s="30">
        <f t="shared" si="110"/>
        <v>0</v>
      </c>
      <c r="BY115" s="28">
        <f>PRODUCTION!BZ115+'SUPLIER INWARD'!BZ115</f>
        <v>0</v>
      </c>
      <c r="BZ115" s="28"/>
      <c r="CA115" s="29">
        <v>0</v>
      </c>
      <c r="CB115" s="30">
        <f t="shared" si="144"/>
        <v>0</v>
      </c>
      <c r="CC115" s="28">
        <f>PRODUCTION!CD115+'SUPLIER INWARD'!CD115</f>
        <v>0</v>
      </c>
      <c r="CD115" s="28"/>
      <c r="CE115" s="29">
        <v>0</v>
      </c>
      <c r="CF115" s="30">
        <f t="shared" si="145"/>
        <v>0</v>
      </c>
      <c r="CG115" s="28">
        <f>PRODUCTION!CH115+'SUPLIER INWARD'!CH115</f>
        <v>0</v>
      </c>
      <c r="CH115" s="28"/>
      <c r="CI115" s="29">
        <v>0</v>
      </c>
      <c r="CJ115" s="30">
        <f t="shared" si="113"/>
        <v>0</v>
      </c>
      <c r="CK115" s="28">
        <f>PRODUCTION!CL115+'SUPLIER INWARD'!CL115</f>
        <v>0</v>
      </c>
      <c r="CL115" s="151"/>
      <c r="CM115" s="152">
        <v>0</v>
      </c>
      <c r="CN115" s="30">
        <f t="shared" si="114"/>
        <v>0</v>
      </c>
      <c r="CO115" s="28">
        <f>PRODUCTION!CP115+'SUPLIER INWARD'!CP115</f>
        <v>0</v>
      </c>
      <c r="CP115" s="151"/>
      <c r="CQ115" s="29">
        <v>0</v>
      </c>
      <c r="CR115" s="30">
        <f t="shared" si="115"/>
        <v>0</v>
      </c>
      <c r="CS115" s="28">
        <f>PRODUCTION!CT115+'SUPLIER INWARD'!CT115</f>
        <v>0</v>
      </c>
      <c r="CT115" s="28"/>
      <c r="CU115" s="29">
        <v>0</v>
      </c>
      <c r="CV115" s="30">
        <f t="shared" si="116"/>
        <v>0</v>
      </c>
      <c r="CW115" s="28">
        <f>PRODUCTION!CX115+'SUPLIER INWARD'!CX115</f>
        <v>0</v>
      </c>
      <c r="CX115" s="28"/>
      <c r="CY115" s="29">
        <v>0</v>
      </c>
      <c r="CZ115" s="30">
        <f t="shared" si="146"/>
        <v>0</v>
      </c>
      <c r="DA115" s="28">
        <f>PRODUCTION!DB115+'SUPLIER INWARD'!DB115</f>
        <v>0</v>
      </c>
      <c r="DB115" s="28"/>
      <c r="DC115" s="29"/>
      <c r="DD115" s="30">
        <f t="shared" si="147"/>
        <v>0</v>
      </c>
      <c r="DE115" s="28">
        <f>PRODUCTION!DF115+'SUPLIER INWARD'!DF115</f>
        <v>0</v>
      </c>
      <c r="DF115" s="28"/>
      <c r="DG115" s="29">
        <v>0</v>
      </c>
      <c r="DH115" s="30">
        <f t="shared" si="148"/>
        <v>0</v>
      </c>
      <c r="DI115" s="28">
        <f>PRODUCTION!DJ115+'SUPLIER INWARD'!DJ115</f>
        <v>0</v>
      </c>
      <c r="DJ115" s="28"/>
      <c r="DK115" s="29">
        <v>0</v>
      </c>
      <c r="DL115" s="30">
        <f t="shared" si="149"/>
        <v>0</v>
      </c>
      <c r="DM115" s="28">
        <f>PRODUCTION!DN115+'SUPLIER INWARD'!DN115</f>
        <v>0</v>
      </c>
      <c r="DN115" s="28"/>
      <c r="DO115" s="29"/>
      <c r="DP115" s="30">
        <f t="shared" si="150"/>
        <v>0</v>
      </c>
      <c r="DQ115" s="28">
        <f>PRODUCTION!DR115+'SUPLIER INWARD'!DR115</f>
        <v>0</v>
      </c>
      <c r="DR115" s="28"/>
      <c r="DS115" s="29"/>
      <c r="DT115" s="30">
        <f t="shared" si="151"/>
        <v>0</v>
      </c>
      <c r="DU115" s="28">
        <f>PRODUCTION!DV115+'SUPLIER INWARD'!DV115</f>
        <v>0</v>
      </c>
      <c r="DV115" s="28"/>
      <c r="DW115" s="29"/>
      <c r="DX115" s="30">
        <f t="shared" si="152"/>
        <v>0</v>
      </c>
      <c r="DY115" s="31">
        <f t="shared" si="158"/>
        <v>0</v>
      </c>
      <c r="DZ115" s="31">
        <f t="shared" si="156"/>
        <v>0</v>
      </c>
      <c r="EA115" s="4">
        <f t="shared" si="157"/>
        <v>0</v>
      </c>
      <c r="EB115" s="9">
        <f>D115*'MASTER SHEET'!D115</f>
        <v>0</v>
      </c>
      <c r="EC115" s="9">
        <f>H115*'MASTER SHEET'!D115</f>
        <v>0</v>
      </c>
      <c r="ED115" s="9">
        <f>L115*'MASTER SHEET'!D115</f>
        <v>0</v>
      </c>
      <c r="EE115" s="9">
        <f>P115*'MASTER SHEET'!D115</f>
        <v>0</v>
      </c>
      <c r="EF115" s="9">
        <f>T115*'MASTER SHEET'!D115</f>
        <v>0</v>
      </c>
      <c r="EG115" s="9">
        <f>X115*'MASTER SHEET'!D115</f>
        <v>0</v>
      </c>
      <c r="EH115" s="9">
        <f>AB115*'MASTER SHEET'!D115</f>
        <v>0</v>
      </c>
      <c r="EI115" s="9">
        <f>AF115*'MASTER SHEET'!D115</f>
        <v>0</v>
      </c>
      <c r="EJ115" s="9">
        <f>AJ115*'MASTER SHEET'!D115</f>
        <v>0</v>
      </c>
      <c r="EK115" s="9">
        <f>AN115*'MASTER SHEET'!D115</f>
        <v>0</v>
      </c>
      <c r="EL115" s="9">
        <f>AR115*'MASTER SHEET'!D115</f>
        <v>0</v>
      </c>
      <c r="EM115" s="9">
        <f>AV115*'MASTER SHEET'!D115</f>
        <v>0</v>
      </c>
      <c r="EN115" s="9">
        <f>AZ115*'MASTER SHEET'!D115</f>
        <v>0</v>
      </c>
      <c r="EO115" s="9">
        <f>BD115*'MASTER SHEET'!D115</f>
        <v>0</v>
      </c>
      <c r="EP115" s="9">
        <f>$BH115*'MASTER SHEET'!$D115</f>
        <v>0</v>
      </c>
      <c r="EQ115" s="9">
        <f>BL115*'MASTER SHEET'!D115</f>
        <v>0</v>
      </c>
      <c r="ER115" s="9">
        <f>BP115*'MASTER SHEET'!D115</f>
        <v>0</v>
      </c>
      <c r="ES115" s="9">
        <f>BT115*'MASTER SHEET'!D115</f>
        <v>0</v>
      </c>
      <c r="ET115" s="9">
        <f>BX115*'MASTER SHEET'!D115</f>
        <v>0</v>
      </c>
      <c r="EU115" s="9">
        <f>CB115*'MASTER SHEET'!D115</f>
        <v>0</v>
      </c>
      <c r="EV115" s="9">
        <f>CF115*'MASTER SHEET'!D115</f>
        <v>0</v>
      </c>
      <c r="EW115" s="9">
        <f>CJ115*'MASTER SHEET'!D115</f>
        <v>0</v>
      </c>
      <c r="EX115" s="9">
        <f>CN115*'MASTER SHEET'!D115</f>
        <v>0</v>
      </c>
      <c r="EY115" s="9">
        <f>CR115*'MASTER SHEET'!D115</f>
        <v>0</v>
      </c>
      <c r="EZ115" s="9">
        <f>$CV115*'MASTER SHEET'!D115</f>
        <v>0</v>
      </c>
      <c r="FA115" s="9">
        <f>CZ115*'MASTER SHEET'!D115</f>
        <v>0</v>
      </c>
      <c r="FB115" s="9">
        <f>DD115*'MASTER SHEET'!D115</f>
        <v>0</v>
      </c>
      <c r="FC115" s="9">
        <f>DH115*'MASTER SHEET'!D115</f>
        <v>0</v>
      </c>
      <c r="FD115" s="9">
        <f>DL115*'MASTER SHEET'!D115</f>
        <v>0</v>
      </c>
      <c r="FE115" s="9">
        <f>DP115*'MASTER SHEET'!D115</f>
        <v>0</v>
      </c>
      <c r="FF115" s="9">
        <f>DT115*'MASTER SHEET'!D115</f>
        <v>0</v>
      </c>
      <c r="FG115" s="9">
        <f>+DX115*'MASTER SHEET'!D115</f>
        <v>0</v>
      </c>
    </row>
    <row r="116" spans="1:163" s="10" customFormat="1" ht="20.25" customHeight="1" x14ac:dyDescent="0.25">
      <c r="A116" s="25">
        <f>'MASTER SHEET'!A116</f>
        <v>114</v>
      </c>
      <c r="B116" s="26">
        <f>'MASTER SHEET'!B116</f>
        <v>0</v>
      </c>
      <c r="C116" s="78">
        <f>'MASTER SHEET'!C116</f>
        <v>5026515</v>
      </c>
      <c r="D116" s="159">
        <v>60</v>
      </c>
      <c r="E116" s="28">
        <f>PRODUCTION!F116+'SUPLIER INWARD'!F116</f>
        <v>0</v>
      </c>
      <c r="F116" s="28"/>
      <c r="G116" s="29">
        <v>0</v>
      </c>
      <c r="H116" s="30">
        <f t="shared" si="127"/>
        <v>60</v>
      </c>
      <c r="I116" s="28">
        <f>PRODUCTION!J116+'SUPLIER INWARD'!J116</f>
        <v>0</v>
      </c>
      <c r="J116" s="28"/>
      <c r="K116" s="29">
        <v>0</v>
      </c>
      <c r="L116" s="30">
        <f t="shared" si="128"/>
        <v>60</v>
      </c>
      <c r="M116" s="28">
        <f>PRODUCTION!N116+'SUPLIER INWARD'!N116</f>
        <v>0</v>
      </c>
      <c r="N116" s="28"/>
      <c r="O116" s="29"/>
      <c r="P116" s="30">
        <f t="shared" si="129"/>
        <v>60</v>
      </c>
      <c r="Q116" s="28">
        <f>PRODUCTION!R116+'SUPLIER INWARD'!R116</f>
        <v>0</v>
      </c>
      <c r="R116" s="28"/>
      <c r="S116" s="29">
        <v>0</v>
      </c>
      <c r="T116" s="30">
        <f t="shared" si="130"/>
        <v>60</v>
      </c>
      <c r="U116" s="28">
        <f>PRODUCTION!V116+'SUPLIER INWARD'!V116</f>
        <v>0</v>
      </c>
      <c r="V116" s="28"/>
      <c r="W116" s="29">
        <v>0</v>
      </c>
      <c r="X116" s="30">
        <f t="shared" si="131"/>
        <v>60</v>
      </c>
      <c r="Y116" s="28">
        <f>PRODUCTION!Z116+'SUPLIER INWARD'!Z116</f>
        <v>0</v>
      </c>
      <c r="Z116" s="28"/>
      <c r="AA116" s="29">
        <v>0</v>
      </c>
      <c r="AB116" s="30">
        <f t="shared" si="132"/>
        <v>60</v>
      </c>
      <c r="AC116" s="28">
        <f>PRODUCTION!AD116+'SUPLIER INWARD'!AD116</f>
        <v>0</v>
      </c>
      <c r="AD116" s="28"/>
      <c r="AE116" s="29">
        <v>0</v>
      </c>
      <c r="AF116" s="30">
        <f t="shared" si="133"/>
        <v>60</v>
      </c>
      <c r="AG116" s="28">
        <f>PRODUCTION!AH116+'SUPLIER INWARD'!AH116</f>
        <v>0</v>
      </c>
      <c r="AH116" s="28"/>
      <c r="AI116" s="29">
        <v>0</v>
      </c>
      <c r="AJ116" s="30">
        <f t="shared" si="134"/>
        <v>60</v>
      </c>
      <c r="AK116" s="28">
        <f>PRODUCTION!AL116+'SUPLIER INWARD'!AL116</f>
        <v>0</v>
      </c>
      <c r="AL116" s="28"/>
      <c r="AM116" s="29">
        <v>0</v>
      </c>
      <c r="AN116" s="30">
        <f t="shared" si="135"/>
        <v>60</v>
      </c>
      <c r="AO116" s="28">
        <f>PRODUCTION!AP116+'SUPLIER INWARD'!AP116</f>
        <v>0</v>
      </c>
      <c r="AP116" s="28"/>
      <c r="AQ116" s="29">
        <v>0</v>
      </c>
      <c r="AR116" s="30">
        <f t="shared" si="136"/>
        <v>60</v>
      </c>
      <c r="AS116" s="28">
        <f>PRODUCTION!AT116+'SUPLIER INWARD'!AT116</f>
        <v>0</v>
      </c>
      <c r="AT116" s="28"/>
      <c r="AU116" s="29">
        <v>0</v>
      </c>
      <c r="AV116" s="30">
        <f t="shared" si="137"/>
        <v>60</v>
      </c>
      <c r="AW116" s="28">
        <f>PRODUCTION!AX116+'SUPLIER INWARD'!AX116</f>
        <v>0</v>
      </c>
      <c r="AX116" s="28"/>
      <c r="AY116" s="29"/>
      <c r="AZ116" s="30">
        <f t="shared" si="138"/>
        <v>60</v>
      </c>
      <c r="BA116" s="28">
        <f>PRODUCTION!BB116+'SUPLIER INWARD'!BB116</f>
        <v>0</v>
      </c>
      <c r="BB116" s="28"/>
      <c r="BC116" s="29">
        <v>0</v>
      </c>
      <c r="BD116" s="30">
        <f t="shared" si="139"/>
        <v>60</v>
      </c>
      <c r="BE116" s="28">
        <f>PRODUCTION!BF116+'SUPLIER INWARD'!BF116</f>
        <v>0</v>
      </c>
      <c r="BF116" s="28"/>
      <c r="BG116" s="29">
        <v>0</v>
      </c>
      <c r="BH116" s="30">
        <f t="shared" si="140"/>
        <v>60</v>
      </c>
      <c r="BI116" s="28">
        <f>PRODUCTION!BJ116+'SUPLIER INWARD'!BJ116</f>
        <v>0</v>
      </c>
      <c r="BJ116" s="28"/>
      <c r="BK116" s="29">
        <v>0</v>
      </c>
      <c r="BL116" s="30">
        <f t="shared" si="141"/>
        <v>60</v>
      </c>
      <c r="BM116" s="28">
        <f>PRODUCTION!BN116+'SUPLIER INWARD'!BN116</f>
        <v>0</v>
      </c>
      <c r="BN116" s="28"/>
      <c r="BO116" s="29">
        <v>0</v>
      </c>
      <c r="BP116" s="30">
        <f t="shared" si="142"/>
        <v>60</v>
      </c>
      <c r="BQ116" s="28">
        <f>PRODUCTION!BR116+'SUPLIER INWARD'!BR116</f>
        <v>0</v>
      </c>
      <c r="BR116" s="28"/>
      <c r="BS116" s="29">
        <v>0</v>
      </c>
      <c r="BT116" s="30">
        <f t="shared" si="143"/>
        <v>60</v>
      </c>
      <c r="BU116" s="28">
        <f>PRODUCTION!BV116+'SUPLIER INWARD'!BV116</f>
        <v>0</v>
      </c>
      <c r="BV116" s="151"/>
      <c r="BW116" s="29">
        <v>0</v>
      </c>
      <c r="BX116" s="30">
        <f t="shared" si="110"/>
        <v>60</v>
      </c>
      <c r="BY116" s="28">
        <f>PRODUCTION!BZ116+'SUPLIER INWARD'!BZ116</f>
        <v>0</v>
      </c>
      <c r="BZ116" s="28"/>
      <c r="CA116" s="29">
        <v>0</v>
      </c>
      <c r="CB116" s="30">
        <f t="shared" si="144"/>
        <v>60</v>
      </c>
      <c r="CC116" s="28">
        <f>PRODUCTION!CD116+'SUPLIER INWARD'!CD116</f>
        <v>0</v>
      </c>
      <c r="CD116" s="28"/>
      <c r="CE116" s="29">
        <v>0</v>
      </c>
      <c r="CF116" s="30">
        <f t="shared" si="145"/>
        <v>60</v>
      </c>
      <c r="CG116" s="28">
        <f>PRODUCTION!CH116+'SUPLIER INWARD'!CH116</f>
        <v>0</v>
      </c>
      <c r="CH116" s="28"/>
      <c r="CI116" s="29">
        <v>0</v>
      </c>
      <c r="CJ116" s="30">
        <f t="shared" si="113"/>
        <v>60</v>
      </c>
      <c r="CK116" s="28">
        <f>PRODUCTION!CL116+'SUPLIER INWARD'!CL116</f>
        <v>0</v>
      </c>
      <c r="CL116" s="151"/>
      <c r="CM116" s="152">
        <v>0</v>
      </c>
      <c r="CN116" s="30">
        <f t="shared" si="114"/>
        <v>60</v>
      </c>
      <c r="CO116" s="28">
        <f>PRODUCTION!CP116+'SUPLIER INWARD'!CP116</f>
        <v>0</v>
      </c>
      <c r="CP116" s="151"/>
      <c r="CQ116" s="29">
        <v>0</v>
      </c>
      <c r="CR116" s="30">
        <f t="shared" si="115"/>
        <v>60</v>
      </c>
      <c r="CS116" s="28">
        <f>PRODUCTION!CT116+'SUPLIER INWARD'!CT116</f>
        <v>0</v>
      </c>
      <c r="CT116" s="28"/>
      <c r="CU116" s="29">
        <v>0</v>
      </c>
      <c r="CV116" s="30">
        <f t="shared" si="116"/>
        <v>60</v>
      </c>
      <c r="CW116" s="28">
        <f>PRODUCTION!CX116+'SUPLIER INWARD'!CX116</f>
        <v>0</v>
      </c>
      <c r="CX116" s="28"/>
      <c r="CY116" s="29">
        <v>0</v>
      </c>
      <c r="CZ116" s="30">
        <f t="shared" si="146"/>
        <v>60</v>
      </c>
      <c r="DA116" s="28">
        <f>PRODUCTION!DB116+'SUPLIER INWARD'!DB116</f>
        <v>0</v>
      </c>
      <c r="DB116" s="28"/>
      <c r="DC116" s="29"/>
      <c r="DD116" s="30">
        <f t="shared" si="147"/>
        <v>60</v>
      </c>
      <c r="DE116" s="28">
        <f>PRODUCTION!DF116+'SUPLIER INWARD'!DF116</f>
        <v>0</v>
      </c>
      <c r="DF116" s="28"/>
      <c r="DG116" s="29">
        <v>0</v>
      </c>
      <c r="DH116" s="30">
        <f t="shared" si="148"/>
        <v>60</v>
      </c>
      <c r="DI116" s="28">
        <f>PRODUCTION!DJ116+'SUPLIER INWARD'!DJ116</f>
        <v>0</v>
      </c>
      <c r="DJ116" s="28"/>
      <c r="DK116" s="29">
        <v>0</v>
      </c>
      <c r="DL116" s="30">
        <f t="shared" si="149"/>
        <v>60</v>
      </c>
      <c r="DM116" s="28">
        <f>PRODUCTION!DN116+'SUPLIER INWARD'!DN116</f>
        <v>0</v>
      </c>
      <c r="DN116" s="28"/>
      <c r="DO116" s="29"/>
      <c r="DP116" s="30">
        <f t="shared" si="150"/>
        <v>60</v>
      </c>
      <c r="DQ116" s="28">
        <f>PRODUCTION!DR116+'SUPLIER INWARD'!DR116</f>
        <v>0</v>
      </c>
      <c r="DR116" s="28"/>
      <c r="DS116" s="29"/>
      <c r="DT116" s="30">
        <f t="shared" si="151"/>
        <v>60</v>
      </c>
      <c r="DU116" s="28">
        <f>PRODUCTION!DV116+'SUPLIER INWARD'!DV116</f>
        <v>0</v>
      </c>
      <c r="DV116" s="28"/>
      <c r="DW116" s="29"/>
      <c r="DX116" s="30">
        <f t="shared" si="152"/>
        <v>60</v>
      </c>
      <c r="DY116" s="31">
        <f t="shared" si="158"/>
        <v>0</v>
      </c>
      <c r="DZ116" s="31">
        <f t="shared" si="156"/>
        <v>0</v>
      </c>
      <c r="EA116" s="4">
        <f t="shared" si="157"/>
        <v>0</v>
      </c>
      <c r="EB116" s="9">
        <f>D116*'MASTER SHEET'!D116</f>
        <v>1108.8</v>
      </c>
      <c r="EC116" s="9">
        <f>H116*'MASTER SHEET'!D116</f>
        <v>1108.8</v>
      </c>
      <c r="ED116" s="9">
        <f>L116*'MASTER SHEET'!D116</f>
        <v>1108.8</v>
      </c>
      <c r="EE116" s="9">
        <f>P116*'MASTER SHEET'!D116</f>
        <v>1108.8</v>
      </c>
      <c r="EF116" s="9">
        <f>T116*'MASTER SHEET'!D116</f>
        <v>1108.8</v>
      </c>
      <c r="EG116" s="9">
        <f>X116*'MASTER SHEET'!D116</f>
        <v>1108.8</v>
      </c>
      <c r="EH116" s="9">
        <f>AB116*'MASTER SHEET'!D116</f>
        <v>1108.8</v>
      </c>
      <c r="EI116" s="9">
        <f>AF116*'MASTER SHEET'!D116</f>
        <v>1108.8</v>
      </c>
      <c r="EJ116" s="9">
        <f>AJ116*'MASTER SHEET'!D116</f>
        <v>1108.8</v>
      </c>
      <c r="EK116" s="9">
        <f>AN116*'MASTER SHEET'!D116</f>
        <v>1108.8</v>
      </c>
      <c r="EL116" s="9">
        <f>AR116*'MASTER SHEET'!D116</f>
        <v>1108.8</v>
      </c>
      <c r="EM116" s="9">
        <f>AV116*'MASTER SHEET'!D116</f>
        <v>1108.8</v>
      </c>
      <c r="EN116" s="9">
        <f>AZ116*'MASTER SHEET'!D116</f>
        <v>1108.8</v>
      </c>
      <c r="EO116" s="9">
        <f>BD116*'MASTER SHEET'!D116</f>
        <v>1108.8</v>
      </c>
      <c r="EP116" s="9">
        <f>$BH116*'MASTER SHEET'!$D116</f>
        <v>1108.8</v>
      </c>
      <c r="EQ116" s="9">
        <f>BL116*'MASTER SHEET'!D116</f>
        <v>1108.8</v>
      </c>
      <c r="ER116" s="9">
        <f>BP116*'MASTER SHEET'!D116</f>
        <v>1108.8</v>
      </c>
      <c r="ES116" s="9">
        <f>BT116*'MASTER SHEET'!D116</f>
        <v>1108.8</v>
      </c>
      <c r="ET116" s="9">
        <f>BX116*'MASTER SHEET'!D116</f>
        <v>1108.8</v>
      </c>
      <c r="EU116" s="9">
        <f>CB116*'MASTER SHEET'!D116</f>
        <v>1108.8</v>
      </c>
      <c r="EV116" s="9">
        <f>CF116*'MASTER SHEET'!D116</f>
        <v>1108.8</v>
      </c>
      <c r="EW116" s="9">
        <f>CJ116*'MASTER SHEET'!D116</f>
        <v>1108.8</v>
      </c>
      <c r="EX116" s="9">
        <f>CN116*'MASTER SHEET'!D116</f>
        <v>1108.8</v>
      </c>
      <c r="EY116" s="9">
        <f>CR116*'MASTER SHEET'!D116</f>
        <v>1108.8</v>
      </c>
      <c r="EZ116" s="9">
        <f>$CV116*'MASTER SHEET'!D116</f>
        <v>1108.8</v>
      </c>
      <c r="FA116" s="9">
        <f>CZ116*'MASTER SHEET'!D116</f>
        <v>1108.8</v>
      </c>
      <c r="FB116" s="9">
        <f>DD116*'MASTER SHEET'!D116</f>
        <v>1108.8</v>
      </c>
      <c r="FC116" s="9">
        <f>DH116*'MASTER SHEET'!D116</f>
        <v>1108.8</v>
      </c>
      <c r="FD116" s="9">
        <f>DL116*'MASTER SHEET'!D116</f>
        <v>1108.8</v>
      </c>
      <c r="FE116" s="9">
        <f>DP116*'MASTER SHEET'!D116</f>
        <v>1108.8</v>
      </c>
      <c r="FF116" s="9">
        <f>DT116*'MASTER SHEET'!D116</f>
        <v>1108.8</v>
      </c>
      <c r="FG116" s="9">
        <f>+DX116*'MASTER SHEET'!D116</f>
        <v>1108.8</v>
      </c>
    </row>
    <row r="117" spans="1:163" ht="20.25" customHeight="1" x14ac:dyDescent="0.25">
      <c r="A117" s="25">
        <f>'MASTER SHEET'!A117</f>
        <v>115</v>
      </c>
      <c r="B117" s="26">
        <f>'MASTER SHEET'!B117</f>
        <v>0</v>
      </c>
      <c r="C117" s="78">
        <f>'MASTER SHEET'!C117</f>
        <v>5025642</v>
      </c>
      <c r="D117" s="159">
        <v>500</v>
      </c>
      <c r="E117" s="28">
        <f>PRODUCTION!F117+'SUPLIER INWARD'!F117</f>
        <v>0</v>
      </c>
      <c r="F117" s="28"/>
      <c r="G117" s="29">
        <v>0</v>
      </c>
      <c r="H117" s="30">
        <f t="shared" si="127"/>
        <v>500</v>
      </c>
      <c r="I117" s="28">
        <f>PRODUCTION!J117+'SUPLIER INWARD'!J117</f>
        <v>1780</v>
      </c>
      <c r="J117" s="28"/>
      <c r="K117" s="29">
        <v>0</v>
      </c>
      <c r="L117" s="30">
        <f t="shared" si="128"/>
        <v>2280</v>
      </c>
      <c r="M117" s="28">
        <f>PRODUCTION!N117+'SUPLIER INWARD'!N117</f>
        <v>0</v>
      </c>
      <c r="N117" s="28"/>
      <c r="O117" s="29"/>
      <c r="P117" s="30">
        <f t="shared" si="129"/>
        <v>2280</v>
      </c>
      <c r="Q117" s="28">
        <f>PRODUCTION!R117+'SUPLIER INWARD'!R117</f>
        <v>1200</v>
      </c>
      <c r="R117" s="28">
        <v>2000</v>
      </c>
      <c r="S117" s="29">
        <v>0</v>
      </c>
      <c r="T117" s="30">
        <f t="shared" si="130"/>
        <v>1480</v>
      </c>
      <c r="U117" s="28">
        <f>PRODUCTION!V117+'SUPLIER INWARD'!V117</f>
        <v>0</v>
      </c>
      <c r="V117" s="28"/>
      <c r="W117" s="29">
        <v>0</v>
      </c>
      <c r="X117" s="30">
        <f t="shared" si="131"/>
        <v>1480</v>
      </c>
      <c r="Y117" s="28">
        <f>PRODUCTION!Z117+'SUPLIER INWARD'!Z117</f>
        <v>0</v>
      </c>
      <c r="Z117" s="28"/>
      <c r="AA117" s="29">
        <v>0</v>
      </c>
      <c r="AB117" s="30">
        <f t="shared" si="132"/>
        <v>1480</v>
      </c>
      <c r="AC117" s="28">
        <f>PRODUCTION!AD117+'SUPLIER INWARD'!AD117</f>
        <v>0</v>
      </c>
      <c r="AD117" s="28">
        <v>600</v>
      </c>
      <c r="AE117" s="29">
        <v>0</v>
      </c>
      <c r="AF117" s="30">
        <f t="shared" si="133"/>
        <v>880</v>
      </c>
      <c r="AG117" s="28">
        <f>PRODUCTION!AH117+'SUPLIER INWARD'!AH117</f>
        <v>1200</v>
      </c>
      <c r="AH117" s="28"/>
      <c r="AI117" s="29">
        <v>0</v>
      </c>
      <c r="AJ117" s="30">
        <f t="shared" si="134"/>
        <v>2080</v>
      </c>
      <c r="AK117" s="28">
        <f>PRODUCTION!AL117+'SUPLIER INWARD'!AL117</f>
        <v>0</v>
      </c>
      <c r="AL117" s="28"/>
      <c r="AM117" s="29">
        <v>0</v>
      </c>
      <c r="AN117" s="30">
        <f t="shared" si="135"/>
        <v>2080</v>
      </c>
      <c r="AO117" s="28">
        <f>PRODUCTION!AP117+'SUPLIER INWARD'!AP117</f>
        <v>0</v>
      </c>
      <c r="AP117" s="28"/>
      <c r="AQ117" s="29">
        <v>0</v>
      </c>
      <c r="AR117" s="30">
        <f t="shared" si="136"/>
        <v>2080</v>
      </c>
      <c r="AS117" s="28">
        <f>PRODUCTION!AT117+'SUPLIER INWARD'!AT117</f>
        <v>0</v>
      </c>
      <c r="AT117" s="28"/>
      <c r="AU117" s="29">
        <v>0</v>
      </c>
      <c r="AV117" s="30">
        <f t="shared" si="137"/>
        <v>2080</v>
      </c>
      <c r="AW117" s="28">
        <f>PRODUCTION!AX117+'SUPLIER INWARD'!AX117</f>
        <v>0</v>
      </c>
      <c r="AX117" s="28"/>
      <c r="AY117" s="29"/>
      <c r="AZ117" s="30">
        <f t="shared" si="138"/>
        <v>2080</v>
      </c>
      <c r="BA117" s="28">
        <f>PRODUCTION!BB117+'SUPLIER INWARD'!BB117</f>
        <v>0</v>
      </c>
      <c r="BB117" s="28"/>
      <c r="BC117" s="29">
        <v>0</v>
      </c>
      <c r="BD117" s="30">
        <f t="shared" si="139"/>
        <v>2080</v>
      </c>
      <c r="BE117" s="28">
        <f>PRODUCTION!BF117+'SUPLIER INWARD'!BF117</f>
        <v>0</v>
      </c>
      <c r="BF117" s="28"/>
      <c r="BG117" s="29">
        <v>0</v>
      </c>
      <c r="BH117" s="30">
        <f t="shared" si="140"/>
        <v>2080</v>
      </c>
      <c r="BI117" s="28">
        <f>PRODUCTION!BJ117+'SUPLIER INWARD'!BJ117</f>
        <v>0</v>
      </c>
      <c r="BJ117" s="28"/>
      <c r="BK117" s="29">
        <v>0</v>
      </c>
      <c r="BL117" s="30">
        <f t="shared" si="141"/>
        <v>2080</v>
      </c>
      <c r="BM117" s="28">
        <f>PRODUCTION!BN117+'SUPLIER INWARD'!BN117</f>
        <v>0</v>
      </c>
      <c r="BN117" s="28"/>
      <c r="BO117" s="29">
        <v>0</v>
      </c>
      <c r="BP117" s="30">
        <f t="shared" si="142"/>
        <v>2080</v>
      </c>
      <c r="BQ117" s="28">
        <f>PRODUCTION!BR117+'SUPLIER INWARD'!BR117</f>
        <v>0</v>
      </c>
      <c r="BR117" s="28"/>
      <c r="BS117" s="29">
        <v>0</v>
      </c>
      <c r="BT117" s="30">
        <f t="shared" si="143"/>
        <v>2080</v>
      </c>
      <c r="BU117" s="28">
        <f>PRODUCTION!BV117+'SUPLIER INWARD'!BV117</f>
        <v>0</v>
      </c>
      <c r="BV117" s="28"/>
      <c r="BW117" s="29">
        <v>0</v>
      </c>
      <c r="BX117" s="30">
        <f t="shared" si="110"/>
        <v>2080</v>
      </c>
      <c r="BY117" s="28">
        <f>PRODUCTION!BZ117+'SUPLIER INWARD'!BZ117</f>
        <v>0</v>
      </c>
      <c r="BZ117" s="28"/>
      <c r="CA117" s="29">
        <v>0</v>
      </c>
      <c r="CB117" s="30">
        <f t="shared" si="144"/>
        <v>2080</v>
      </c>
      <c r="CC117" s="28">
        <f>PRODUCTION!CD117+'SUPLIER INWARD'!CD117</f>
        <v>0</v>
      </c>
      <c r="CD117" s="28"/>
      <c r="CE117" s="29">
        <v>0</v>
      </c>
      <c r="CF117" s="30">
        <f t="shared" si="145"/>
        <v>2080</v>
      </c>
      <c r="CG117" s="28">
        <f>PRODUCTION!CH117+'SUPLIER INWARD'!CH117</f>
        <v>0</v>
      </c>
      <c r="CH117" s="28"/>
      <c r="CI117" s="29">
        <v>0</v>
      </c>
      <c r="CJ117" s="30">
        <f t="shared" si="113"/>
        <v>2080</v>
      </c>
      <c r="CK117" s="28">
        <f>PRODUCTION!CL117+'SUPLIER INWARD'!CL117</f>
        <v>0</v>
      </c>
      <c r="CL117" s="151"/>
      <c r="CM117" s="152">
        <v>0</v>
      </c>
      <c r="CN117" s="30">
        <f t="shared" si="114"/>
        <v>2080</v>
      </c>
      <c r="CO117" s="28">
        <f>PRODUCTION!CP117+'SUPLIER INWARD'!CP117</f>
        <v>0</v>
      </c>
      <c r="CP117" s="151"/>
      <c r="CQ117" s="29">
        <v>0</v>
      </c>
      <c r="CR117" s="30">
        <f t="shared" si="115"/>
        <v>2080</v>
      </c>
      <c r="CS117" s="28">
        <f>PRODUCTION!CT117+'SUPLIER INWARD'!CT117</f>
        <v>0</v>
      </c>
      <c r="CT117" s="28"/>
      <c r="CU117" s="29">
        <v>0</v>
      </c>
      <c r="CV117" s="30">
        <f t="shared" si="116"/>
        <v>2080</v>
      </c>
      <c r="CW117" s="28">
        <f>PRODUCTION!CX117+'SUPLIER INWARD'!CX117</f>
        <v>0</v>
      </c>
      <c r="CX117" s="28"/>
      <c r="CY117" s="29">
        <v>0</v>
      </c>
      <c r="CZ117" s="30">
        <f t="shared" si="146"/>
        <v>2080</v>
      </c>
      <c r="DA117" s="28">
        <f>PRODUCTION!DB117+'SUPLIER INWARD'!DB117</f>
        <v>0</v>
      </c>
      <c r="DB117" s="28"/>
      <c r="DC117" s="29"/>
      <c r="DD117" s="30">
        <f t="shared" si="147"/>
        <v>2080</v>
      </c>
      <c r="DE117" s="28">
        <f>PRODUCTION!DF117+'SUPLIER INWARD'!DF117</f>
        <v>0</v>
      </c>
      <c r="DF117" s="28"/>
      <c r="DG117" s="29">
        <v>0</v>
      </c>
      <c r="DH117" s="30">
        <f t="shared" si="148"/>
        <v>2080</v>
      </c>
      <c r="DI117" s="28">
        <f>PRODUCTION!DJ117+'SUPLIER INWARD'!DJ117</f>
        <v>0</v>
      </c>
      <c r="DJ117" s="28"/>
      <c r="DK117" s="29">
        <v>0</v>
      </c>
      <c r="DL117" s="30">
        <f t="shared" si="149"/>
        <v>2080</v>
      </c>
      <c r="DM117" s="28">
        <f>PRODUCTION!DN117+'SUPLIER INWARD'!DN117</f>
        <v>0</v>
      </c>
      <c r="DN117" s="28"/>
      <c r="DO117" s="29"/>
      <c r="DP117" s="30">
        <f t="shared" si="150"/>
        <v>2080</v>
      </c>
      <c r="DQ117" s="28">
        <f>PRODUCTION!DR117+'SUPLIER INWARD'!DR117</f>
        <v>0</v>
      </c>
      <c r="DR117" s="28"/>
      <c r="DS117" s="29"/>
      <c r="DT117" s="30">
        <f t="shared" si="151"/>
        <v>2080</v>
      </c>
      <c r="DU117" s="28">
        <f>PRODUCTION!DV117+'SUPLIER INWARD'!DV117</f>
        <v>0</v>
      </c>
      <c r="DV117" s="28"/>
      <c r="DW117" s="29"/>
      <c r="DX117" s="30">
        <f t="shared" si="152"/>
        <v>2080</v>
      </c>
      <c r="DY117" s="31">
        <f t="shared" si="158"/>
        <v>4180</v>
      </c>
      <c r="DZ117" s="31">
        <f t="shared" si="156"/>
        <v>2600</v>
      </c>
      <c r="EA117" s="4">
        <f t="shared" si="157"/>
        <v>0</v>
      </c>
      <c r="EB117" s="9">
        <f>D117*'MASTER SHEET'!D117</f>
        <v>13895</v>
      </c>
      <c r="EC117" s="9">
        <f>H117*'MASTER SHEET'!D117</f>
        <v>13895</v>
      </c>
      <c r="ED117" s="9">
        <f>L117*'MASTER SHEET'!D117</f>
        <v>63361.2</v>
      </c>
      <c r="EE117" s="9">
        <f>P117*'MASTER SHEET'!D117</f>
        <v>63361.2</v>
      </c>
      <c r="EF117" s="9">
        <f>T117*'MASTER SHEET'!D117</f>
        <v>41129.199999999997</v>
      </c>
      <c r="EG117" s="9">
        <f>X117*'MASTER SHEET'!D117</f>
        <v>41129.199999999997</v>
      </c>
      <c r="EH117" s="9">
        <f>AB117*'MASTER SHEET'!D117</f>
        <v>41129.199999999997</v>
      </c>
      <c r="EI117" s="9">
        <f>AF117*'MASTER SHEET'!D117</f>
        <v>24455.200000000001</v>
      </c>
      <c r="EJ117" s="9">
        <f>AJ117*'MASTER SHEET'!D117</f>
        <v>57803.199999999997</v>
      </c>
      <c r="EK117" s="9">
        <f>AN117*'MASTER SHEET'!D117</f>
        <v>57803.199999999997</v>
      </c>
      <c r="EL117" s="9">
        <f>AR117*'MASTER SHEET'!D117</f>
        <v>57803.199999999997</v>
      </c>
      <c r="EM117" s="9">
        <f>AV117*'MASTER SHEET'!D117</f>
        <v>57803.199999999997</v>
      </c>
      <c r="EN117" s="9">
        <f>AZ117*'MASTER SHEET'!D117</f>
        <v>57803.199999999997</v>
      </c>
      <c r="EO117" s="9">
        <f>BD117*'MASTER SHEET'!D117</f>
        <v>57803.199999999997</v>
      </c>
      <c r="EP117" s="9">
        <f>$BH117*'MASTER SHEET'!$D117</f>
        <v>57803.199999999997</v>
      </c>
      <c r="EQ117" s="9">
        <f>BL117*'MASTER SHEET'!D117</f>
        <v>57803.199999999997</v>
      </c>
      <c r="ER117" s="9">
        <f>BP117*'MASTER SHEET'!D117</f>
        <v>57803.199999999997</v>
      </c>
      <c r="ES117" s="9">
        <f>BT117*'MASTER SHEET'!D117</f>
        <v>57803.199999999997</v>
      </c>
      <c r="ET117" s="9">
        <f>BX117*'MASTER SHEET'!D117</f>
        <v>57803.199999999997</v>
      </c>
      <c r="EU117" s="9">
        <f>CB117*'MASTER SHEET'!D117</f>
        <v>57803.199999999997</v>
      </c>
      <c r="EV117" s="9">
        <f>CF117*'MASTER SHEET'!D117</f>
        <v>57803.199999999997</v>
      </c>
      <c r="EW117" s="9">
        <f>CJ117*'MASTER SHEET'!D117</f>
        <v>57803.199999999997</v>
      </c>
      <c r="EX117" s="9">
        <f>CN117*'MASTER SHEET'!D117</f>
        <v>57803.199999999997</v>
      </c>
      <c r="EY117" s="9">
        <f>CR117*'MASTER SHEET'!D117</f>
        <v>57803.199999999997</v>
      </c>
      <c r="EZ117" s="9">
        <f>$CV117*'MASTER SHEET'!D117</f>
        <v>57803.199999999997</v>
      </c>
      <c r="FA117" s="9">
        <f>CZ117*'MASTER SHEET'!D117</f>
        <v>57803.199999999997</v>
      </c>
      <c r="FB117" s="9">
        <f>DD117*'MASTER SHEET'!D117</f>
        <v>57803.199999999997</v>
      </c>
      <c r="FC117" s="9">
        <f>DH117*'MASTER SHEET'!D117</f>
        <v>57803.199999999997</v>
      </c>
      <c r="FD117" s="9">
        <f>DL117*'MASTER SHEET'!D117</f>
        <v>57803.199999999997</v>
      </c>
      <c r="FE117" s="9">
        <f>DP117*'MASTER SHEET'!D117</f>
        <v>57803.199999999997</v>
      </c>
      <c r="FF117" s="9">
        <f>DT117*'MASTER SHEET'!D117</f>
        <v>57803.199999999997</v>
      </c>
      <c r="FG117" s="9">
        <f>+DX117*'MASTER SHEET'!D117</f>
        <v>57803.199999999997</v>
      </c>
    </row>
    <row r="118" spans="1:163" ht="20.25" customHeight="1" x14ac:dyDescent="0.25">
      <c r="A118" s="25">
        <f>'MASTER SHEET'!A118</f>
        <v>116</v>
      </c>
      <c r="B118" s="26" t="str">
        <f>'MASTER SHEET'!B118</f>
        <v>FUEL STAINER</v>
      </c>
      <c r="C118" s="78">
        <f>'MASTER SHEET'!C118</f>
        <v>5030878</v>
      </c>
      <c r="D118" s="159">
        <v>300</v>
      </c>
      <c r="E118" s="28">
        <f>PRODUCTION!F118+'SUPLIER INWARD'!F118</f>
        <v>0</v>
      </c>
      <c r="F118" s="28"/>
      <c r="G118" s="29">
        <v>0</v>
      </c>
      <c r="H118" s="30">
        <f t="shared" si="127"/>
        <v>300</v>
      </c>
      <c r="I118" s="28">
        <f>PRODUCTION!J118+'SUPLIER INWARD'!J118</f>
        <v>0</v>
      </c>
      <c r="J118" s="28"/>
      <c r="K118" s="29">
        <v>0</v>
      </c>
      <c r="L118" s="30">
        <f t="shared" si="128"/>
        <v>300</v>
      </c>
      <c r="M118" s="28">
        <f>PRODUCTION!N118+'SUPLIER INWARD'!N118</f>
        <v>0</v>
      </c>
      <c r="N118" s="28"/>
      <c r="O118" s="29"/>
      <c r="P118" s="30">
        <f t="shared" si="129"/>
        <v>300</v>
      </c>
      <c r="Q118" s="28">
        <f>PRODUCTION!R118+'SUPLIER INWARD'!R118</f>
        <v>0</v>
      </c>
      <c r="R118" s="28"/>
      <c r="S118" s="29">
        <v>0</v>
      </c>
      <c r="T118" s="30">
        <f t="shared" si="130"/>
        <v>300</v>
      </c>
      <c r="U118" s="28">
        <f>PRODUCTION!V118+'SUPLIER INWARD'!V118</f>
        <v>0</v>
      </c>
      <c r="V118" s="28"/>
      <c r="W118" s="29">
        <v>0</v>
      </c>
      <c r="X118" s="30">
        <f t="shared" si="131"/>
        <v>300</v>
      </c>
      <c r="Y118" s="28">
        <f>PRODUCTION!Z118+'SUPLIER INWARD'!Z118</f>
        <v>0</v>
      </c>
      <c r="Z118" s="28"/>
      <c r="AA118" s="29">
        <v>0</v>
      </c>
      <c r="AB118" s="30">
        <f t="shared" si="132"/>
        <v>300</v>
      </c>
      <c r="AC118" s="28">
        <f>PRODUCTION!AD118+'SUPLIER INWARD'!AD118</f>
        <v>0</v>
      </c>
      <c r="AD118" s="28"/>
      <c r="AE118" s="29">
        <v>0</v>
      </c>
      <c r="AF118" s="30">
        <f t="shared" si="133"/>
        <v>300</v>
      </c>
      <c r="AG118" s="28">
        <f>PRODUCTION!AH118+'SUPLIER INWARD'!AH118</f>
        <v>0</v>
      </c>
      <c r="AH118" s="28"/>
      <c r="AI118" s="29">
        <v>0</v>
      </c>
      <c r="AJ118" s="30">
        <f t="shared" si="134"/>
        <v>300</v>
      </c>
      <c r="AK118" s="28">
        <f>PRODUCTION!AL118+'SUPLIER INWARD'!AL118</f>
        <v>0</v>
      </c>
      <c r="AL118" s="28"/>
      <c r="AM118" s="29">
        <v>0</v>
      </c>
      <c r="AN118" s="30">
        <f t="shared" si="135"/>
        <v>300</v>
      </c>
      <c r="AO118" s="28">
        <f>PRODUCTION!AP118+'SUPLIER INWARD'!AP118</f>
        <v>0</v>
      </c>
      <c r="AP118" s="28"/>
      <c r="AQ118" s="29">
        <v>0</v>
      </c>
      <c r="AR118" s="30">
        <f t="shared" si="136"/>
        <v>300</v>
      </c>
      <c r="AS118" s="28">
        <f>PRODUCTION!AT118+'SUPLIER INWARD'!AT118</f>
        <v>495</v>
      </c>
      <c r="AT118" s="28"/>
      <c r="AU118" s="29">
        <v>0</v>
      </c>
      <c r="AV118" s="30">
        <f t="shared" si="137"/>
        <v>795</v>
      </c>
      <c r="AW118" s="28">
        <f>PRODUCTION!AX118+'SUPLIER INWARD'!AX118</f>
        <v>0</v>
      </c>
      <c r="AX118" s="28"/>
      <c r="AY118" s="29"/>
      <c r="AZ118" s="30">
        <f t="shared" si="138"/>
        <v>795</v>
      </c>
      <c r="BA118" s="28">
        <f>PRODUCTION!BB118+'SUPLIER INWARD'!BB118</f>
        <v>0</v>
      </c>
      <c r="BB118" s="28">
        <v>480</v>
      </c>
      <c r="BC118" s="29">
        <v>3</v>
      </c>
      <c r="BD118" s="30">
        <f t="shared" si="139"/>
        <v>312</v>
      </c>
      <c r="BE118" s="28">
        <f>PRODUCTION!BF118+'SUPLIER INWARD'!BF118</f>
        <v>0</v>
      </c>
      <c r="BF118" s="28"/>
      <c r="BG118" s="29">
        <v>0</v>
      </c>
      <c r="BH118" s="30">
        <f t="shared" si="140"/>
        <v>312</v>
      </c>
      <c r="BI118" s="28">
        <f>PRODUCTION!BJ118+'SUPLIER INWARD'!BJ118</f>
        <v>0</v>
      </c>
      <c r="BJ118" s="28"/>
      <c r="BK118" s="29">
        <v>0</v>
      </c>
      <c r="BL118" s="30">
        <f t="shared" si="141"/>
        <v>312</v>
      </c>
      <c r="BM118" s="28">
        <f>PRODUCTION!BN118+'SUPLIER INWARD'!BN118</f>
        <v>0</v>
      </c>
      <c r="BN118" s="28"/>
      <c r="BO118" s="29">
        <v>0</v>
      </c>
      <c r="BP118" s="30">
        <f t="shared" si="142"/>
        <v>312</v>
      </c>
      <c r="BQ118" s="28">
        <f>PRODUCTION!BR118+'SUPLIER INWARD'!BR118</f>
        <v>0</v>
      </c>
      <c r="BR118" s="28"/>
      <c r="BS118" s="29">
        <v>0</v>
      </c>
      <c r="BT118" s="30">
        <f t="shared" si="143"/>
        <v>312</v>
      </c>
      <c r="BU118" s="28">
        <f>PRODUCTION!BV118+'SUPLIER INWARD'!BV118</f>
        <v>0</v>
      </c>
      <c r="BV118" s="28"/>
      <c r="BW118" s="29">
        <v>0</v>
      </c>
      <c r="BX118" s="30">
        <f t="shared" si="110"/>
        <v>312</v>
      </c>
      <c r="BY118" s="28">
        <f>PRODUCTION!BZ118+'SUPLIER INWARD'!BZ118</f>
        <v>0</v>
      </c>
      <c r="BZ118" s="28"/>
      <c r="CA118" s="29">
        <v>0</v>
      </c>
      <c r="CB118" s="30">
        <f t="shared" si="144"/>
        <v>312</v>
      </c>
      <c r="CC118" s="28">
        <f>PRODUCTION!CD118+'SUPLIER INWARD'!CD118</f>
        <v>0</v>
      </c>
      <c r="CD118" s="28"/>
      <c r="CE118" s="29">
        <v>0</v>
      </c>
      <c r="CF118" s="30">
        <f t="shared" si="145"/>
        <v>312</v>
      </c>
      <c r="CG118" s="28">
        <f>PRODUCTION!CH118+'SUPLIER INWARD'!CH118</f>
        <v>0</v>
      </c>
      <c r="CH118" s="28"/>
      <c r="CI118" s="29">
        <v>0</v>
      </c>
      <c r="CJ118" s="30">
        <f t="shared" si="113"/>
        <v>312</v>
      </c>
      <c r="CK118" s="28">
        <f>PRODUCTION!CL118+'SUPLIER INWARD'!CL118</f>
        <v>0</v>
      </c>
      <c r="CL118" s="151"/>
      <c r="CM118" s="152">
        <v>0</v>
      </c>
      <c r="CN118" s="30">
        <f t="shared" si="114"/>
        <v>312</v>
      </c>
      <c r="CO118" s="28">
        <f>PRODUCTION!CP118+'SUPLIER INWARD'!CP118</f>
        <v>0</v>
      </c>
      <c r="CP118" s="151"/>
      <c r="CQ118" s="29">
        <v>0</v>
      </c>
      <c r="CR118" s="30">
        <f t="shared" si="115"/>
        <v>312</v>
      </c>
      <c r="CS118" s="28">
        <f>PRODUCTION!CT118+'SUPLIER INWARD'!CT118</f>
        <v>287</v>
      </c>
      <c r="CT118" s="28"/>
      <c r="CU118" s="29">
        <v>0</v>
      </c>
      <c r="CV118" s="30">
        <f t="shared" si="116"/>
        <v>599</v>
      </c>
      <c r="CW118" s="28">
        <f>PRODUCTION!CX118+'SUPLIER INWARD'!CX118</f>
        <v>380</v>
      </c>
      <c r="CX118" s="28"/>
      <c r="CY118" s="29">
        <v>0</v>
      </c>
      <c r="CZ118" s="30">
        <f t="shared" si="146"/>
        <v>979</v>
      </c>
      <c r="DA118" s="28">
        <f>PRODUCTION!DB118+'SUPLIER INWARD'!DB118</f>
        <v>181</v>
      </c>
      <c r="DB118" s="28"/>
      <c r="DC118" s="29"/>
      <c r="DD118" s="30">
        <f t="shared" si="147"/>
        <v>1160</v>
      </c>
      <c r="DE118" s="28">
        <f>PRODUCTION!DF118+'SUPLIER INWARD'!DF118</f>
        <v>0</v>
      </c>
      <c r="DF118" s="28">
        <v>432</v>
      </c>
      <c r="DG118" s="29">
        <v>26</v>
      </c>
      <c r="DH118" s="30">
        <f t="shared" si="148"/>
        <v>702</v>
      </c>
      <c r="DI118" s="28">
        <f>PRODUCTION!DJ118+'SUPLIER INWARD'!DJ118</f>
        <v>0</v>
      </c>
      <c r="DJ118" s="28"/>
      <c r="DK118" s="29">
        <v>0</v>
      </c>
      <c r="DL118" s="30">
        <f t="shared" si="149"/>
        <v>702</v>
      </c>
      <c r="DM118" s="28">
        <f>PRODUCTION!DN118+'SUPLIER INWARD'!DN118</f>
        <v>0</v>
      </c>
      <c r="DN118" s="28"/>
      <c r="DO118" s="29"/>
      <c r="DP118" s="30">
        <f t="shared" si="150"/>
        <v>702</v>
      </c>
      <c r="DQ118" s="28">
        <f>PRODUCTION!DR118+'SUPLIER INWARD'!DR118</f>
        <v>0</v>
      </c>
      <c r="DR118" s="28"/>
      <c r="DS118" s="29"/>
      <c r="DT118" s="30">
        <f t="shared" si="151"/>
        <v>702</v>
      </c>
      <c r="DU118" s="28">
        <f>PRODUCTION!DV118+'SUPLIER INWARD'!DV118</f>
        <v>0</v>
      </c>
      <c r="DV118" s="28"/>
      <c r="DW118" s="29"/>
      <c r="DX118" s="30">
        <f t="shared" si="152"/>
        <v>702</v>
      </c>
      <c r="DY118" s="31">
        <f t="shared" si="158"/>
        <v>1343</v>
      </c>
      <c r="DZ118" s="31">
        <f t="shared" si="156"/>
        <v>912</v>
      </c>
      <c r="EA118" s="4">
        <f t="shared" si="157"/>
        <v>29</v>
      </c>
      <c r="EB118" s="9">
        <f>D118*'MASTER SHEET'!D118</f>
        <v>19377</v>
      </c>
      <c r="EC118" s="9">
        <f>H118*'MASTER SHEET'!D118</f>
        <v>19377</v>
      </c>
      <c r="ED118" s="9">
        <f>L118*'MASTER SHEET'!D118</f>
        <v>19377</v>
      </c>
      <c r="EE118" s="9">
        <f>P118*'MASTER SHEET'!D118</f>
        <v>19377</v>
      </c>
      <c r="EF118" s="9">
        <f>T118*'MASTER SHEET'!D118</f>
        <v>19377</v>
      </c>
      <c r="EG118" s="9">
        <f>X118*'MASTER SHEET'!D118</f>
        <v>19377</v>
      </c>
      <c r="EH118" s="9">
        <f>AB118*'MASTER SHEET'!D118</f>
        <v>19377</v>
      </c>
      <c r="EI118" s="9">
        <f>AF118*'MASTER SHEET'!D118</f>
        <v>19377</v>
      </c>
      <c r="EJ118" s="9">
        <f>AJ118*'MASTER SHEET'!D118</f>
        <v>19377</v>
      </c>
      <c r="EK118" s="9">
        <f>AN118*'MASTER SHEET'!D118</f>
        <v>19377</v>
      </c>
      <c r="EL118" s="9">
        <f>AR118*'MASTER SHEET'!D118</f>
        <v>19377</v>
      </c>
      <c r="EM118" s="9">
        <f>AV118*'MASTER SHEET'!D118</f>
        <v>51349.05</v>
      </c>
      <c r="EN118" s="9">
        <f>AZ118*'MASTER SHEET'!D118</f>
        <v>51349.05</v>
      </c>
      <c r="EO118" s="9">
        <f>BD118*'MASTER SHEET'!D118</f>
        <v>20152.080000000002</v>
      </c>
      <c r="EP118" s="9">
        <f>$BH118*'MASTER SHEET'!$D118</f>
        <v>20152.080000000002</v>
      </c>
      <c r="EQ118" s="9">
        <f>BL118*'MASTER SHEET'!D118</f>
        <v>20152.080000000002</v>
      </c>
      <c r="ER118" s="9">
        <f>BP118*'MASTER SHEET'!D118</f>
        <v>20152.080000000002</v>
      </c>
      <c r="ES118" s="9">
        <f>BT118*'MASTER SHEET'!D118</f>
        <v>20152.080000000002</v>
      </c>
      <c r="ET118" s="9">
        <f>BX118*'MASTER SHEET'!D118</f>
        <v>20152.080000000002</v>
      </c>
      <c r="EU118" s="9">
        <f>CB118*'MASTER SHEET'!D118</f>
        <v>20152.080000000002</v>
      </c>
      <c r="EV118" s="9">
        <f>CF118*'MASTER SHEET'!D118</f>
        <v>20152.080000000002</v>
      </c>
      <c r="EW118" s="9">
        <f>CJ118*'MASTER SHEET'!D118</f>
        <v>20152.080000000002</v>
      </c>
      <c r="EX118" s="9">
        <f>CN118*'MASTER SHEET'!D118</f>
        <v>20152.080000000002</v>
      </c>
      <c r="EY118" s="9">
        <f>CR118*'MASTER SHEET'!D118</f>
        <v>20152.080000000002</v>
      </c>
      <c r="EZ118" s="9">
        <f>$CV118*'MASTER SHEET'!D118</f>
        <v>38689.410000000003</v>
      </c>
      <c r="FA118" s="9">
        <f>CZ118*'MASTER SHEET'!D118</f>
        <v>63233.61</v>
      </c>
      <c r="FB118" s="9">
        <f>DD118*'MASTER SHEET'!D118</f>
        <v>74924.400000000009</v>
      </c>
      <c r="FC118" s="9">
        <f>DH118*'MASTER SHEET'!D118</f>
        <v>45342.18</v>
      </c>
      <c r="FD118" s="9">
        <f>DL118*'MASTER SHEET'!D118</f>
        <v>45342.18</v>
      </c>
      <c r="FE118" s="9">
        <f>DP118*'MASTER SHEET'!D118</f>
        <v>45342.18</v>
      </c>
      <c r="FF118" s="9">
        <f>DT118*'MASTER SHEET'!D118</f>
        <v>45342.18</v>
      </c>
      <c r="FG118" s="9">
        <f>+DX118*'MASTER SHEET'!D118</f>
        <v>45342.18</v>
      </c>
    </row>
    <row r="119" spans="1:163" ht="20.25" customHeight="1" x14ac:dyDescent="0.25">
      <c r="A119" s="25">
        <f>'MASTER SHEET'!A119</f>
        <v>117</v>
      </c>
      <c r="B119" s="26" t="str">
        <f>'MASTER SHEET'!B119</f>
        <v>FLANGE ASS.,PLASTIC</v>
      </c>
      <c r="C119" s="78">
        <f>'MASTER SHEET'!C119</f>
        <v>5049200</v>
      </c>
      <c r="D119" s="159">
        <v>0</v>
      </c>
      <c r="E119" s="28">
        <f>PRODUCTION!F119+'SUPLIER INWARD'!F119</f>
        <v>0</v>
      </c>
      <c r="F119" s="28"/>
      <c r="G119" s="29">
        <v>0</v>
      </c>
      <c r="H119" s="30">
        <f t="shared" si="127"/>
        <v>0</v>
      </c>
      <c r="I119" s="28">
        <f>PRODUCTION!J119+'SUPLIER INWARD'!J119</f>
        <v>0</v>
      </c>
      <c r="J119" s="28"/>
      <c r="K119" s="29">
        <v>0</v>
      </c>
      <c r="L119" s="30">
        <f t="shared" si="128"/>
        <v>0</v>
      </c>
      <c r="M119" s="28">
        <f>PRODUCTION!N119+'SUPLIER INWARD'!N119</f>
        <v>0</v>
      </c>
      <c r="N119" s="28"/>
      <c r="O119" s="29"/>
      <c r="P119" s="30">
        <f t="shared" si="129"/>
        <v>0</v>
      </c>
      <c r="Q119" s="28">
        <f>PRODUCTION!R119+'SUPLIER INWARD'!R119</f>
        <v>0</v>
      </c>
      <c r="R119" s="28"/>
      <c r="S119" s="29">
        <v>0</v>
      </c>
      <c r="T119" s="30">
        <f t="shared" si="130"/>
        <v>0</v>
      </c>
      <c r="U119" s="28">
        <f>PRODUCTION!V119+'SUPLIER INWARD'!V119</f>
        <v>0</v>
      </c>
      <c r="V119" s="28"/>
      <c r="W119" s="29">
        <v>0</v>
      </c>
      <c r="X119" s="30">
        <f t="shared" si="131"/>
        <v>0</v>
      </c>
      <c r="Y119" s="28">
        <f>PRODUCTION!Z119+'SUPLIER INWARD'!Z119</f>
        <v>0</v>
      </c>
      <c r="Z119" s="28"/>
      <c r="AA119" s="29">
        <v>0</v>
      </c>
      <c r="AB119" s="30">
        <f t="shared" si="132"/>
        <v>0</v>
      </c>
      <c r="AC119" s="28">
        <f>PRODUCTION!AD119+'SUPLIER INWARD'!AD119</f>
        <v>0</v>
      </c>
      <c r="AD119" s="28"/>
      <c r="AE119" s="29">
        <v>0</v>
      </c>
      <c r="AF119" s="30">
        <f t="shared" si="133"/>
        <v>0</v>
      </c>
      <c r="AG119" s="28">
        <f>PRODUCTION!AH119+'SUPLIER INWARD'!AH119</f>
        <v>0</v>
      </c>
      <c r="AH119" s="28"/>
      <c r="AI119" s="29">
        <v>0</v>
      </c>
      <c r="AJ119" s="30">
        <f t="shared" si="134"/>
        <v>0</v>
      </c>
      <c r="AK119" s="28">
        <f>PRODUCTION!AL119+'SUPLIER INWARD'!AL119</f>
        <v>0</v>
      </c>
      <c r="AL119" s="28"/>
      <c r="AM119" s="29">
        <v>0</v>
      </c>
      <c r="AN119" s="30">
        <f t="shared" si="135"/>
        <v>0</v>
      </c>
      <c r="AO119" s="28">
        <f>PRODUCTION!AP119+'SUPLIER INWARD'!AP119</f>
        <v>0</v>
      </c>
      <c r="AP119" s="28"/>
      <c r="AQ119" s="29">
        <v>0</v>
      </c>
      <c r="AR119" s="30">
        <f t="shared" si="136"/>
        <v>0</v>
      </c>
      <c r="AS119" s="28">
        <f>PRODUCTION!AT119+'SUPLIER INWARD'!AT119</f>
        <v>0</v>
      </c>
      <c r="AT119" s="28"/>
      <c r="AU119" s="29">
        <v>0</v>
      </c>
      <c r="AV119" s="30">
        <f t="shared" si="137"/>
        <v>0</v>
      </c>
      <c r="AW119" s="28">
        <f>PRODUCTION!AX119+'SUPLIER INWARD'!AX119</f>
        <v>0</v>
      </c>
      <c r="AX119" s="28"/>
      <c r="AY119" s="29"/>
      <c r="AZ119" s="30">
        <f t="shared" si="138"/>
        <v>0</v>
      </c>
      <c r="BA119" s="28">
        <f>PRODUCTION!BB119+'SUPLIER INWARD'!BB119</f>
        <v>0</v>
      </c>
      <c r="BB119" s="28"/>
      <c r="BC119" s="29">
        <v>0</v>
      </c>
      <c r="BD119" s="30">
        <f t="shared" si="139"/>
        <v>0</v>
      </c>
      <c r="BE119" s="28">
        <f>PRODUCTION!BF119+'SUPLIER INWARD'!BF119</f>
        <v>0</v>
      </c>
      <c r="BF119" s="28"/>
      <c r="BG119" s="29">
        <v>0</v>
      </c>
      <c r="BH119" s="30">
        <f t="shared" si="140"/>
        <v>0</v>
      </c>
      <c r="BI119" s="28">
        <f>PRODUCTION!BJ119+'SUPLIER INWARD'!BJ119</f>
        <v>0</v>
      </c>
      <c r="BJ119" s="28"/>
      <c r="BK119" s="29">
        <v>0</v>
      </c>
      <c r="BL119" s="30">
        <f t="shared" si="141"/>
        <v>0</v>
      </c>
      <c r="BM119" s="28">
        <f>PRODUCTION!BN119+'SUPLIER INWARD'!BN119</f>
        <v>0</v>
      </c>
      <c r="BN119" s="28"/>
      <c r="BO119" s="29">
        <v>0</v>
      </c>
      <c r="BP119" s="30">
        <f t="shared" si="142"/>
        <v>0</v>
      </c>
      <c r="BQ119" s="28">
        <f>PRODUCTION!BR119+'SUPLIER INWARD'!BR119</f>
        <v>0</v>
      </c>
      <c r="BR119" s="28"/>
      <c r="BS119" s="29">
        <v>0</v>
      </c>
      <c r="BT119" s="30">
        <f t="shared" si="143"/>
        <v>0</v>
      </c>
      <c r="BU119" s="28">
        <f>PRODUCTION!BV119+'SUPLIER INWARD'!BV119</f>
        <v>0</v>
      </c>
      <c r="BV119" s="28"/>
      <c r="BW119" s="29">
        <v>0</v>
      </c>
      <c r="BX119" s="30">
        <f t="shared" si="110"/>
        <v>0</v>
      </c>
      <c r="BY119" s="28">
        <f>PRODUCTION!BZ119+'SUPLIER INWARD'!BZ119</f>
        <v>0</v>
      </c>
      <c r="BZ119" s="28"/>
      <c r="CA119" s="29">
        <v>0</v>
      </c>
      <c r="CB119" s="30">
        <f t="shared" si="144"/>
        <v>0</v>
      </c>
      <c r="CC119" s="28">
        <f>PRODUCTION!CD119+'SUPLIER INWARD'!CD119</f>
        <v>0</v>
      </c>
      <c r="CD119" s="28"/>
      <c r="CE119" s="29">
        <v>0</v>
      </c>
      <c r="CF119" s="30">
        <f t="shared" si="145"/>
        <v>0</v>
      </c>
      <c r="CG119" s="28">
        <f>PRODUCTION!CH119+'SUPLIER INWARD'!CH119</f>
        <v>0</v>
      </c>
      <c r="CH119" s="28"/>
      <c r="CI119" s="29">
        <v>0</v>
      </c>
      <c r="CJ119" s="30">
        <f t="shared" si="113"/>
        <v>0</v>
      </c>
      <c r="CK119" s="28">
        <f>PRODUCTION!CL119+'SUPLIER INWARD'!CL119</f>
        <v>0</v>
      </c>
      <c r="CL119" s="151"/>
      <c r="CM119" s="152">
        <v>0</v>
      </c>
      <c r="CN119" s="30">
        <f t="shared" si="114"/>
        <v>0</v>
      </c>
      <c r="CO119" s="28">
        <f>PRODUCTION!CP119+'SUPLIER INWARD'!CP119</f>
        <v>0</v>
      </c>
      <c r="CP119" s="151"/>
      <c r="CQ119" s="29">
        <v>0</v>
      </c>
      <c r="CR119" s="30">
        <f t="shared" si="115"/>
        <v>0</v>
      </c>
      <c r="CS119" s="28">
        <f>PRODUCTION!CT119+'SUPLIER INWARD'!CT119</f>
        <v>0</v>
      </c>
      <c r="CT119" s="28"/>
      <c r="CU119" s="29">
        <v>0</v>
      </c>
      <c r="CV119" s="30">
        <f t="shared" si="116"/>
        <v>0</v>
      </c>
      <c r="CW119" s="28">
        <f>PRODUCTION!CX119+'SUPLIER INWARD'!CX119</f>
        <v>0</v>
      </c>
      <c r="CX119" s="28"/>
      <c r="CY119" s="29">
        <v>0</v>
      </c>
      <c r="CZ119" s="30">
        <f t="shared" si="146"/>
        <v>0</v>
      </c>
      <c r="DA119" s="28">
        <f>PRODUCTION!DB119+'SUPLIER INWARD'!DB119</f>
        <v>0</v>
      </c>
      <c r="DB119" s="28"/>
      <c r="DC119" s="29"/>
      <c r="DD119" s="30">
        <f t="shared" si="147"/>
        <v>0</v>
      </c>
      <c r="DE119" s="28">
        <f>PRODUCTION!DF119+'SUPLIER INWARD'!DF119</f>
        <v>0</v>
      </c>
      <c r="DF119" s="28"/>
      <c r="DG119" s="29">
        <v>0</v>
      </c>
      <c r="DH119" s="30">
        <f t="shared" si="148"/>
        <v>0</v>
      </c>
      <c r="DI119" s="28">
        <f>PRODUCTION!DJ119+'SUPLIER INWARD'!DJ119</f>
        <v>0</v>
      </c>
      <c r="DJ119" s="28"/>
      <c r="DK119" s="29">
        <v>0</v>
      </c>
      <c r="DL119" s="30">
        <f t="shared" si="149"/>
        <v>0</v>
      </c>
      <c r="DM119" s="28">
        <f>PRODUCTION!DN119+'SUPLIER INWARD'!DN119</f>
        <v>0</v>
      </c>
      <c r="DN119" s="28"/>
      <c r="DO119" s="29"/>
      <c r="DP119" s="30">
        <f t="shared" si="150"/>
        <v>0</v>
      </c>
      <c r="DQ119" s="28">
        <f>PRODUCTION!DR119+'SUPLIER INWARD'!DR119</f>
        <v>0</v>
      </c>
      <c r="DR119" s="28"/>
      <c r="DS119" s="29"/>
      <c r="DT119" s="30">
        <f t="shared" si="151"/>
        <v>0</v>
      </c>
      <c r="DU119" s="28">
        <f>PRODUCTION!DV119+'SUPLIER INWARD'!DV119</f>
        <v>0</v>
      </c>
      <c r="DV119" s="28"/>
      <c r="DW119" s="29"/>
      <c r="DX119" s="30">
        <f t="shared" si="152"/>
        <v>0</v>
      </c>
      <c r="DY119" s="31">
        <f t="shared" si="158"/>
        <v>0</v>
      </c>
      <c r="DZ119" s="31">
        <f t="shared" si="156"/>
        <v>0</v>
      </c>
      <c r="EA119" s="4">
        <f t="shared" si="157"/>
        <v>0</v>
      </c>
      <c r="EB119" s="9">
        <f>D119*'MASTER SHEET'!D119</f>
        <v>0</v>
      </c>
      <c r="EC119" s="9">
        <f>H119*'MASTER SHEET'!D119</f>
        <v>0</v>
      </c>
      <c r="ED119" s="9">
        <f>L119*'MASTER SHEET'!D119</f>
        <v>0</v>
      </c>
      <c r="EE119" s="9">
        <f>P119*'MASTER SHEET'!D119</f>
        <v>0</v>
      </c>
      <c r="EF119" s="9">
        <f>T119*'MASTER SHEET'!D119</f>
        <v>0</v>
      </c>
      <c r="EG119" s="9">
        <f>X119*'MASTER SHEET'!D119</f>
        <v>0</v>
      </c>
      <c r="EH119" s="9">
        <f>AB119*'MASTER SHEET'!D119</f>
        <v>0</v>
      </c>
      <c r="EI119" s="9">
        <f>AF119*'MASTER SHEET'!D119</f>
        <v>0</v>
      </c>
      <c r="EJ119" s="9">
        <f>AJ119*'MASTER SHEET'!D119</f>
        <v>0</v>
      </c>
      <c r="EK119" s="9">
        <f>AN119*'MASTER SHEET'!D119</f>
        <v>0</v>
      </c>
      <c r="EL119" s="9">
        <f>AR119*'MASTER SHEET'!D119</f>
        <v>0</v>
      </c>
      <c r="EM119" s="9">
        <f>AV119*'MASTER SHEET'!D119</f>
        <v>0</v>
      </c>
      <c r="EN119" s="9">
        <f>AZ119*'MASTER SHEET'!D119</f>
        <v>0</v>
      </c>
      <c r="EO119" s="9">
        <f>BD119*'MASTER SHEET'!D119</f>
        <v>0</v>
      </c>
      <c r="EP119" s="9">
        <f>$BH119*'MASTER SHEET'!$D119</f>
        <v>0</v>
      </c>
      <c r="EQ119" s="9">
        <f>BL119*'MASTER SHEET'!D119</f>
        <v>0</v>
      </c>
      <c r="ER119" s="9">
        <f>BP119*'MASTER SHEET'!D119</f>
        <v>0</v>
      </c>
      <c r="ES119" s="9">
        <f>BT119*'MASTER SHEET'!D119</f>
        <v>0</v>
      </c>
      <c r="ET119" s="9">
        <f>BX119*'MASTER SHEET'!D119</f>
        <v>0</v>
      </c>
      <c r="EU119" s="9">
        <f>CB119*'MASTER SHEET'!D119</f>
        <v>0</v>
      </c>
      <c r="EV119" s="9">
        <f>CF119*'MASTER SHEET'!D119</f>
        <v>0</v>
      </c>
      <c r="EW119" s="9">
        <f>CJ119*'MASTER SHEET'!D119</f>
        <v>0</v>
      </c>
      <c r="EX119" s="9">
        <f>CN119*'MASTER SHEET'!D119</f>
        <v>0</v>
      </c>
      <c r="EY119" s="9">
        <f>CR119*'MASTER SHEET'!D119</f>
        <v>0</v>
      </c>
      <c r="EZ119" s="9">
        <f>$CV119*'MASTER SHEET'!D119</f>
        <v>0</v>
      </c>
      <c r="FA119" s="9">
        <f>CZ119*'MASTER SHEET'!D119</f>
        <v>0</v>
      </c>
      <c r="FB119" s="9">
        <f>DD119*'MASTER SHEET'!D119</f>
        <v>0</v>
      </c>
      <c r="FC119" s="9">
        <f>DH119*'MASTER SHEET'!D119</f>
        <v>0</v>
      </c>
      <c r="FD119" s="9">
        <f>DL119*'MASTER SHEET'!D119</f>
        <v>0</v>
      </c>
      <c r="FE119" s="9">
        <f>DP119*'MASTER SHEET'!D119</f>
        <v>0</v>
      </c>
      <c r="FF119" s="9">
        <f>DT119*'MASTER SHEET'!D119</f>
        <v>0</v>
      </c>
      <c r="FG119" s="9">
        <f>+DX119*'MASTER SHEET'!D119</f>
        <v>0</v>
      </c>
    </row>
    <row r="120" spans="1:163" ht="20.25" customHeight="1" x14ac:dyDescent="0.25">
      <c r="A120" s="25">
        <f>'MASTER SHEET'!A120</f>
        <v>118</v>
      </c>
      <c r="B120" s="168" t="str">
        <f>'MASTER SHEET'!B120</f>
        <v>CLAMP</v>
      </c>
      <c r="C120" s="169">
        <f>'MASTER SHEET'!C120</f>
        <v>65254</v>
      </c>
      <c r="D120" s="159">
        <v>1850</v>
      </c>
      <c r="E120" s="28">
        <f>PRODUCTION!F120+'SUPLIER INWARD'!F120</f>
        <v>0</v>
      </c>
      <c r="F120" s="28"/>
      <c r="G120" s="29">
        <v>0</v>
      </c>
      <c r="H120" s="30">
        <f t="shared" si="127"/>
        <v>1850</v>
      </c>
      <c r="I120" s="28">
        <f>PRODUCTION!J120+'SUPLIER INWARD'!J120</f>
        <v>0</v>
      </c>
      <c r="J120" s="28"/>
      <c r="K120" s="29">
        <v>0</v>
      </c>
      <c r="L120" s="30">
        <f t="shared" si="128"/>
        <v>1850</v>
      </c>
      <c r="M120" s="28">
        <f>PRODUCTION!N120+'SUPLIER INWARD'!N120</f>
        <v>0</v>
      </c>
      <c r="N120" s="28"/>
      <c r="O120" s="29"/>
      <c r="P120" s="30">
        <f t="shared" si="129"/>
        <v>1850</v>
      </c>
      <c r="Q120" s="28">
        <f>PRODUCTION!R120+'SUPLIER INWARD'!R120</f>
        <v>0</v>
      </c>
      <c r="R120" s="28"/>
      <c r="S120" s="29">
        <v>0</v>
      </c>
      <c r="T120" s="30">
        <f t="shared" si="130"/>
        <v>1850</v>
      </c>
      <c r="U120" s="28">
        <f>PRODUCTION!V120+'SUPLIER INWARD'!V120</f>
        <v>0</v>
      </c>
      <c r="V120" s="28"/>
      <c r="W120" s="29">
        <v>0</v>
      </c>
      <c r="X120" s="30">
        <f t="shared" si="131"/>
        <v>1850</v>
      </c>
      <c r="Y120" s="28">
        <f>PRODUCTION!Z120+'SUPLIER INWARD'!Z120</f>
        <v>0</v>
      </c>
      <c r="Z120" s="28"/>
      <c r="AA120" s="29">
        <v>0</v>
      </c>
      <c r="AB120" s="30">
        <f t="shared" si="132"/>
        <v>1850</v>
      </c>
      <c r="AC120" s="28">
        <f>PRODUCTION!AD120+'SUPLIER INWARD'!AD120</f>
        <v>0</v>
      </c>
      <c r="AD120" s="28"/>
      <c r="AE120" s="29">
        <v>0</v>
      </c>
      <c r="AF120" s="30">
        <f t="shared" si="133"/>
        <v>1850</v>
      </c>
      <c r="AG120" s="28">
        <f>PRODUCTION!AH120+'SUPLIER INWARD'!AH120</f>
        <v>0</v>
      </c>
      <c r="AH120" s="28"/>
      <c r="AI120" s="29">
        <v>0</v>
      </c>
      <c r="AJ120" s="30">
        <f t="shared" si="134"/>
        <v>1850</v>
      </c>
      <c r="AK120" s="28">
        <f>PRODUCTION!AL120+'SUPLIER INWARD'!AL120</f>
        <v>0</v>
      </c>
      <c r="AL120" s="28"/>
      <c r="AM120" s="29">
        <v>0</v>
      </c>
      <c r="AN120" s="30">
        <f t="shared" si="135"/>
        <v>1850</v>
      </c>
      <c r="AO120" s="28">
        <f>PRODUCTION!AP120+'SUPLIER INWARD'!AP120</f>
        <v>0</v>
      </c>
      <c r="AP120" s="28"/>
      <c r="AQ120" s="29">
        <v>0</v>
      </c>
      <c r="AR120" s="30">
        <f t="shared" si="136"/>
        <v>1850</v>
      </c>
      <c r="AS120" s="28">
        <f>PRODUCTION!AT120+'SUPLIER INWARD'!AT120</f>
        <v>0</v>
      </c>
      <c r="AT120" s="28"/>
      <c r="AU120" s="29">
        <v>0</v>
      </c>
      <c r="AV120" s="30">
        <f t="shared" si="137"/>
        <v>1850</v>
      </c>
      <c r="AW120" s="28">
        <f>PRODUCTION!AX120+'SUPLIER INWARD'!AX120</f>
        <v>0</v>
      </c>
      <c r="AX120" s="28"/>
      <c r="AY120" s="29"/>
      <c r="AZ120" s="30">
        <f t="shared" si="138"/>
        <v>1850</v>
      </c>
      <c r="BA120" s="28">
        <f>PRODUCTION!BB120+'SUPLIER INWARD'!BB120</f>
        <v>0</v>
      </c>
      <c r="BB120" s="28"/>
      <c r="BC120" s="29">
        <v>0</v>
      </c>
      <c r="BD120" s="30">
        <f t="shared" si="139"/>
        <v>1850</v>
      </c>
      <c r="BE120" s="28">
        <f>PRODUCTION!BF120+'SUPLIER INWARD'!BF120</f>
        <v>0</v>
      </c>
      <c r="BF120" s="28"/>
      <c r="BG120" s="29">
        <v>0</v>
      </c>
      <c r="BH120" s="30">
        <f t="shared" si="140"/>
        <v>1850</v>
      </c>
      <c r="BI120" s="28">
        <f>PRODUCTION!BJ120+'SUPLIER INWARD'!BJ120</f>
        <v>0</v>
      </c>
      <c r="BJ120" s="28"/>
      <c r="BK120" s="29">
        <v>0</v>
      </c>
      <c r="BL120" s="30">
        <f t="shared" si="141"/>
        <v>1850</v>
      </c>
      <c r="BM120" s="28">
        <f>PRODUCTION!BN120+'SUPLIER INWARD'!BN120</f>
        <v>0</v>
      </c>
      <c r="BN120" s="28"/>
      <c r="BO120" s="29">
        <v>0</v>
      </c>
      <c r="BP120" s="30">
        <f t="shared" si="142"/>
        <v>1850</v>
      </c>
      <c r="BQ120" s="28">
        <f>PRODUCTION!BR120+'SUPLIER INWARD'!BR120</f>
        <v>0</v>
      </c>
      <c r="BR120" s="28"/>
      <c r="BS120" s="29">
        <v>0</v>
      </c>
      <c r="BT120" s="30">
        <f t="shared" si="143"/>
        <v>1850</v>
      </c>
      <c r="BU120" s="28">
        <f>PRODUCTION!BV120+'SUPLIER INWARD'!BV120</f>
        <v>0</v>
      </c>
      <c r="BV120" s="28"/>
      <c r="BW120" s="29">
        <v>0</v>
      </c>
      <c r="BX120" s="30">
        <f t="shared" si="110"/>
        <v>1850</v>
      </c>
      <c r="BY120" s="28">
        <f>PRODUCTION!BZ120+'SUPLIER INWARD'!BZ120</f>
        <v>0</v>
      </c>
      <c r="BZ120" s="28"/>
      <c r="CA120" s="29">
        <v>0</v>
      </c>
      <c r="CB120" s="30">
        <f t="shared" si="144"/>
        <v>1850</v>
      </c>
      <c r="CC120" s="28">
        <f>PRODUCTION!CD120+'SUPLIER INWARD'!CD120</f>
        <v>0</v>
      </c>
      <c r="CD120" s="28"/>
      <c r="CE120" s="29">
        <v>0</v>
      </c>
      <c r="CF120" s="30">
        <f t="shared" si="145"/>
        <v>1850</v>
      </c>
      <c r="CG120" s="28">
        <f>PRODUCTION!CH120+'SUPLIER INWARD'!CH120</f>
        <v>2136</v>
      </c>
      <c r="CH120" s="28">
        <v>0</v>
      </c>
      <c r="CI120" s="29">
        <v>0</v>
      </c>
      <c r="CJ120" s="30">
        <f t="shared" si="113"/>
        <v>3986</v>
      </c>
      <c r="CK120" s="28">
        <f>PRODUCTION!CL120+'SUPLIER INWARD'!CL120</f>
        <v>1124</v>
      </c>
      <c r="CL120" s="151">
        <v>1500</v>
      </c>
      <c r="CM120" s="152">
        <v>0</v>
      </c>
      <c r="CN120" s="30">
        <f t="shared" si="114"/>
        <v>3610</v>
      </c>
      <c r="CO120" s="28">
        <f>PRODUCTION!CP120+'SUPLIER INWARD'!CP120</f>
        <v>0</v>
      </c>
      <c r="CP120" s="151"/>
      <c r="CQ120" s="29">
        <v>0</v>
      </c>
      <c r="CR120" s="30">
        <f t="shared" si="115"/>
        <v>3610</v>
      </c>
      <c r="CS120" s="28">
        <f>PRODUCTION!CT120+'SUPLIER INWARD'!CT120</f>
        <v>0</v>
      </c>
      <c r="CT120" s="28"/>
      <c r="CU120" s="29">
        <v>600</v>
      </c>
      <c r="CV120" s="30">
        <f t="shared" si="116"/>
        <v>3010</v>
      </c>
      <c r="CW120" s="28">
        <f>PRODUCTION!CX120+'SUPLIER INWARD'!CX120</f>
        <v>0</v>
      </c>
      <c r="CX120" s="28">
        <v>3000</v>
      </c>
      <c r="CY120" s="29">
        <v>0</v>
      </c>
      <c r="CZ120" s="30">
        <f t="shared" si="146"/>
        <v>10</v>
      </c>
      <c r="DA120" s="28">
        <f>PRODUCTION!DB120+'SUPLIER INWARD'!DB120</f>
        <v>0</v>
      </c>
      <c r="DB120" s="28"/>
      <c r="DC120" s="29"/>
      <c r="DD120" s="30">
        <f t="shared" si="147"/>
        <v>10</v>
      </c>
      <c r="DE120" s="28">
        <f>PRODUCTION!DF120+'SUPLIER INWARD'!DF120</f>
        <v>0</v>
      </c>
      <c r="DF120" s="28"/>
      <c r="DG120" s="29">
        <v>0</v>
      </c>
      <c r="DH120" s="30">
        <f t="shared" si="148"/>
        <v>10</v>
      </c>
      <c r="DI120" s="28">
        <f>PRODUCTION!DJ120+'SUPLIER INWARD'!DJ120</f>
        <v>0</v>
      </c>
      <c r="DJ120" s="28">
        <v>0</v>
      </c>
      <c r="DK120" s="29">
        <v>0</v>
      </c>
      <c r="DL120" s="30">
        <f t="shared" si="149"/>
        <v>10</v>
      </c>
      <c r="DM120" s="28">
        <f>PRODUCTION!DN120+'SUPLIER INWARD'!DN120</f>
        <v>0</v>
      </c>
      <c r="DN120" s="28"/>
      <c r="DO120" s="29"/>
      <c r="DP120" s="30">
        <f t="shared" si="150"/>
        <v>10</v>
      </c>
      <c r="DQ120" s="28">
        <f>PRODUCTION!DR120+'SUPLIER INWARD'!DR120</f>
        <v>0</v>
      </c>
      <c r="DR120" s="28"/>
      <c r="DS120" s="29"/>
      <c r="DT120" s="30">
        <f t="shared" si="151"/>
        <v>10</v>
      </c>
      <c r="DU120" s="28">
        <f>PRODUCTION!DV120+'SUPLIER INWARD'!DV120</f>
        <v>0</v>
      </c>
      <c r="DV120" s="28"/>
      <c r="DW120" s="29"/>
      <c r="DX120" s="30">
        <f t="shared" si="152"/>
        <v>10</v>
      </c>
      <c r="DY120" s="31">
        <f t="shared" si="158"/>
        <v>3260</v>
      </c>
      <c r="DZ120" s="31">
        <f t="shared" si="156"/>
        <v>4500</v>
      </c>
      <c r="EA120" s="4">
        <f t="shared" si="157"/>
        <v>600</v>
      </c>
      <c r="EB120" s="9">
        <f>D120*'MASTER SHEET'!D120</f>
        <v>0</v>
      </c>
      <c r="EC120" s="9">
        <f>H120*'MASTER SHEET'!D120</f>
        <v>0</v>
      </c>
      <c r="ED120" s="9">
        <f>L120*'MASTER SHEET'!D120</f>
        <v>0</v>
      </c>
      <c r="EE120" s="9">
        <f>P120*'MASTER SHEET'!D120</f>
        <v>0</v>
      </c>
      <c r="EF120" s="9">
        <f>T120*'MASTER SHEET'!D120</f>
        <v>0</v>
      </c>
      <c r="EG120" s="9">
        <f>X120*'MASTER SHEET'!D120</f>
        <v>0</v>
      </c>
      <c r="EH120" s="9">
        <f>AB120*'MASTER SHEET'!D120</f>
        <v>0</v>
      </c>
      <c r="EI120" s="9">
        <f>AF120*'MASTER SHEET'!D120</f>
        <v>0</v>
      </c>
      <c r="EJ120" s="9">
        <f>AJ120*'MASTER SHEET'!D120</f>
        <v>0</v>
      </c>
      <c r="EK120" s="9">
        <f>AN120*'MASTER SHEET'!D120</f>
        <v>0</v>
      </c>
      <c r="EL120" s="9">
        <f>AR120*'MASTER SHEET'!D120</f>
        <v>0</v>
      </c>
      <c r="EM120" s="9">
        <f>AV120*'MASTER SHEET'!D120</f>
        <v>0</v>
      </c>
      <c r="EN120" s="9">
        <f>AZ120*'MASTER SHEET'!D120</f>
        <v>0</v>
      </c>
      <c r="EO120" s="9">
        <f>BD120*'MASTER SHEET'!D120</f>
        <v>0</v>
      </c>
      <c r="EP120" s="9">
        <f>$BH120*'MASTER SHEET'!$D120</f>
        <v>0</v>
      </c>
      <c r="EQ120" s="9">
        <f>BL120*'MASTER SHEET'!D120</f>
        <v>0</v>
      </c>
      <c r="ER120" s="9">
        <f>BP120*'MASTER SHEET'!D120</f>
        <v>0</v>
      </c>
      <c r="ES120" s="9">
        <f>BT120*'MASTER SHEET'!D120</f>
        <v>0</v>
      </c>
      <c r="ET120" s="9">
        <f>BX120*'MASTER SHEET'!D120</f>
        <v>0</v>
      </c>
      <c r="EU120" s="9">
        <f>CB120*'MASTER SHEET'!D120</f>
        <v>0</v>
      </c>
      <c r="EV120" s="9">
        <f>CF120*'MASTER SHEET'!D120</f>
        <v>0</v>
      </c>
      <c r="EW120" s="9">
        <f>CJ120*'MASTER SHEET'!D120</f>
        <v>0</v>
      </c>
      <c r="EX120" s="9">
        <f>CN120*'MASTER SHEET'!D120</f>
        <v>0</v>
      </c>
      <c r="EY120" s="9">
        <f>CR120*'MASTER SHEET'!D120</f>
        <v>0</v>
      </c>
      <c r="EZ120" s="9">
        <f>$CV120*'MASTER SHEET'!D120</f>
        <v>0</v>
      </c>
      <c r="FA120" s="9">
        <f>CZ120*'MASTER SHEET'!D120</f>
        <v>0</v>
      </c>
      <c r="FB120" s="9">
        <f>DD120*'MASTER SHEET'!D120</f>
        <v>0</v>
      </c>
      <c r="FC120" s="9">
        <f>DH120*'MASTER SHEET'!D120</f>
        <v>0</v>
      </c>
      <c r="FD120" s="9">
        <f>DL120*'MASTER SHEET'!D120</f>
        <v>0</v>
      </c>
      <c r="FE120" s="9">
        <f>DP120*'MASTER SHEET'!D120</f>
        <v>0</v>
      </c>
      <c r="FF120" s="9">
        <f>DT120*'MASTER SHEET'!D120</f>
        <v>0</v>
      </c>
      <c r="FG120" s="9">
        <f>+DX120*'MASTER SHEET'!D120</f>
        <v>0</v>
      </c>
    </row>
    <row r="121" spans="1:163" ht="20.25" customHeight="1" x14ac:dyDescent="0.25">
      <c r="A121" s="25">
        <f>'MASTER SHEET'!A121</f>
        <v>119</v>
      </c>
      <c r="B121" s="168" t="str">
        <f>'MASTER SHEET'!B121</f>
        <v>LALITPUR GREY</v>
      </c>
      <c r="C121" s="169" t="str">
        <f>'MASTER SHEET'!C121</f>
        <v>JA00002476</v>
      </c>
      <c r="D121" s="159">
        <v>2017</v>
      </c>
      <c r="E121" s="28">
        <f>PRODUCTION!F121+'SUPLIER INWARD'!F121</f>
        <v>0</v>
      </c>
      <c r="F121" s="28"/>
      <c r="G121" s="29">
        <v>0</v>
      </c>
      <c r="H121" s="30">
        <f t="shared" si="127"/>
        <v>2017</v>
      </c>
      <c r="I121" s="28">
        <f>PRODUCTION!J121+'SUPLIER INWARD'!J121</f>
        <v>0</v>
      </c>
      <c r="J121" s="28"/>
      <c r="K121" s="29">
        <v>0</v>
      </c>
      <c r="L121" s="30">
        <f t="shared" si="128"/>
        <v>2017</v>
      </c>
      <c r="M121" s="28">
        <f>PRODUCTION!N121+'SUPLIER INWARD'!N121</f>
        <v>0</v>
      </c>
      <c r="N121" s="58"/>
      <c r="O121" s="29"/>
      <c r="P121" s="30">
        <f t="shared" si="129"/>
        <v>2017</v>
      </c>
      <c r="Q121" s="28">
        <f>PRODUCTION!R121+'SUPLIER INWARD'!R121</f>
        <v>6968</v>
      </c>
      <c r="R121" s="58">
        <v>1200</v>
      </c>
      <c r="S121" s="29">
        <v>72</v>
      </c>
      <c r="T121" s="30">
        <f t="shared" si="130"/>
        <v>7713</v>
      </c>
      <c r="U121" s="28">
        <f>PRODUCTION!V121+'SUPLIER INWARD'!V121</f>
        <v>11614</v>
      </c>
      <c r="V121" s="58">
        <v>0</v>
      </c>
      <c r="W121" s="29">
        <v>0</v>
      </c>
      <c r="X121" s="30">
        <f t="shared" si="131"/>
        <v>19327</v>
      </c>
      <c r="Y121" s="28">
        <f>PRODUCTION!Z121+'SUPLIER INWARD'!Z121</f>
        <v>11952</v>
      </c>
      <c r="Z121" s="58">
        <v>1200</v>
      </c>
      <c r="AA121" s="29">
        <v>42</v>
      </c>
      <c r="AB121" s="30">
        <f t="shared" si="132"/>
        <v>30037</v>
      </c>
      <c r="AC121" s="28">
        <f>PRODUCTION!AD121+'SUPLIER INWARD'!AD121</f>
        <v>11744</v>
      </c>
      <c r="AD121" s="58">
        <v>5400</v>
      </c>
      <c r="AE121" s="29">
        <v>62</v>
      </c>
      <c r="AF121" s="30">
        <f t="shared" si="133"/>
        <v>36319</v>
      </c>
      <c r="AG121" s="28">
        <f>PRODUCTION!AH121+'SUPLIER INWARD'!AH121</f>
        <v>8973</v>
      </c>
      <c r="AH121" s="58">
        <v>6000</v>
      </c>
      <c r="AI121" s="29">
        <v>34</v>
      </c>
      <c r="AJ121" s="30">
        <f t="shared" si="134"/>
        <v>39258</v>
      </c>
      <c r="AK121" s="28">
        <f>PRODUCTION!AL121+'SUPLIER INWARD'!AL121</f>
        <v>0</v>
      </c>
      <c r="AL121" s="58">
        <v>3600</v>
      </c>
      <c r="AM121" s="29">
        <v>35</v>
      </c>
      <c r="AN121" s="30">
        <f t="shared" si="135"/>
        <v>35623</v>
      </c>
      <c r="AO121" s="28">
        <f>PRODUCTION!AP121+'SUPLIER INWARD'!AP121</f>
        <v>0</v>
      </c>
      <c r="AP121" s="28">
        <v>6600</v>
      </c>
      <c r="AQ121" s="29">
        <v>31</v>
      </c>
      <c r="AR121" s="30">
        <f t="shared" si="136"/>
        <v>28992</v>
      </c>
      <c r="AS121" s="28">
        <f>PRODUCTION!AT121+'SUPLIER INWARD'!AT121</f>
        <v>0</v>
      </c>
      <c r="AT121" s="28">
        <v>3000</v>
      </c>
      <c r="AU121" s="29">
        <v>36</v>
      </c>
      <c r="AV121" s="30">
        <f t="shared" si="137"/>
        <v>25956</v>
      </c>
      <c r="AW121" s="28">
        <f>PRODUCTION!AX121+'SUPLIER INWARD'!AX121</f>
        <v>0</v>
      </c>
      <c r="AX121" s="28"/>
      <c r="AY121" s="29"/>
      <c r="AZ121" s="30">
        <f t="shared" si="138"/>
        <v>25956</v>
      </c>
      <c r="BA121" s="28">
        <f>PRODUCTION!BB121+'SUPLIER INWARD'!BB121</f>
        <v>0</v>
      </c>
      <c r="BB121" s="58">
        <v>3600</v>
      </c>
      <c r="BC121" s="29">
        <v>38</v>
      </c>
      <c r="BD121" s="30">
        <f t="shared" si="139"/>
        <v>22318</v>
      </c>
      <c r="BE121" s="28">
        <f>PRODUCTION!BF121+'SUPLIER INWARD'!BF121</f>
        <v>0</v>
      </c>
      <c r="BF121" s="58"/>
      <c r="BG121" s="29">
        <v>0</v>
      </c>
      <c r="BH121" s="30">
        <f t="shared" si="140"/>
        <v>22318</v>
      </c>
      <c r="BI121" s="28">
        <f>PRODUCTION!BJ121+'SUPLIER INWARD'!BJ121</f>
        <v>0</v>
      </c>
      <c r="BJ121" s="58">
        <v>0</v>
      </c>
      <c r="BK121" s="29">
        <v>0</v>
      </c>
      <c r="BL121" s="30">
        <f t="shared" si="141"/>
        <v>22318</v>
      </c>
      <c r="BM121" s="28">
        <f>PRODUCTION!BN121+'SUPLIER INWARD'!BN121</f>
        <v>0</v>
      </c>
      <c r="BN121" s="58">
        <v>3000</v>
      </c>
      <c r="BO121" s="29">
        <v>82</v>
      </c>
      <c r="BP121" s="30">
        <f t="shared" si="142"/>
        <v>19236</v>
      </c>
      <c r="BQ121" s="28">
        <f>PRODUCTION!BR121+'SUPLIER INWARD'!BR121</f>
        <v>0</v>
      </c>
      <c r="BR121" s="58">
        <v>5400</v>
      </c>
      <c r="BS121" s="29">
        <v>232</v>
      </c>
      <c r="BT121" s="30">
        <f t="shared" si="143"/>
        <v>13604</v>
      </c>
      <c r="BU121" s="28">
        <f>PRODUCTION!BV121+'SUPLIER INWARD'!BV121</f>
        <v>0</v>
      </c>
      <c r="BV121" s="58">
        <v>600</v>
      </c>
      <c r="BW121" s="29">
        <v>0</v>
      </c>
      <c r="BX121" s="30">
        <f t="shared" si="110"/>
        <v>13004</v>
      </c>
      <c r="BY121" s="28">
        <f>PRODUCTION!BZ121+'SUPLIER INWARD'!BZ121</f>
        <v>0</v>
      </c>
      <c r="BZ121" s="58"/>
      <c r="CA121" s="29">
        <v>50</v>
      </c>
      <c r="CB121" s="30">
        <f t="shared" si="144"/>
        <v>12954</v>
      </c>
      <c r="CC121" s="28">
        <f>PRODUCTION!CD121+'SUPLIER INWARD'!CD121</f>
        <v>0</v>
      </c>
      <c r="CD121" s="58">
        <v>4800</v>
      </c>
      <c r="CE121" s="29">
        <v>0</v>
      </c>
      <c r="CF121" s="30">
        <f t="shared" si="145"/>
        <v>8154</v>
      </c>
      <c r="CG121" s="28">
        <f>PRODUCTION!CH121+'SUPLIER INWARD'!CH121</f>
        <v>0</v>
      </c>
      <c r="CH121" s="58">
        <v>0</v>
      </c>
      <c r="CI121" s="29">
        <v>0</v>
      </c>
      <c r="CJ121" s="30">
        <f t="shared" si="113"/>
        <v>8154</v>
      </c>
      <c r="CK121" s="28">
        <f>PRODUCTION!CL121+'SUPLIER INWARD'!CL121</f>
        <v>0</v>
      </c>
      <c r="CL121" s="58"/>
      <c r="CM121" s="152">
        <v>0</v>
      </c>
      <c r="CN121" s="30">
        <f t="shared" si="114"/>
        <v>8154</v>
      </c>
      <c r="CO121" s="28">
        <f>PRODUCTION!CP121+'SUPLIER INWARD'!CP121</f>
        <v>11252</v>
      </c>
      <c r="CP121" s="58">
        <v>0</v>
      </c>
      <c r="CQ121" s="29">
        <v>0</v>
      </c>
      <c r="CR121" s="30">
        <f t="shared" si="115"/>
        <v>19406</v>
      </c>
      <c r="CS121" s="28">
        <f>PRODUCTION!CT121+'SUPLIER INWARD'!CT121</f>
        <v>1508</v>
      </c>
      <c r="CT121" s="28">
        <v>0</v>
      </c>
      <c r="CU121" s="29">
        <v>0</v>
      </c>
      <c r="CV121" s="30">
        <f t="shared" si="116"/>
        <v>20914</v>
      </c>
      <c r="CW121" s="28">
        <f>PRODUCTION!CX121+'SUPLIER INWARD'!CX121</f>
        <v>0</v>
      </c>
      <c r="CX121" s="58">
        <v>0</v>
      </c>
      <c r="CY121" s="29">
        <v>0</v>
      </c>
      <c r="CZ121" s="30">
        <f t="shared" si="146"/>
        <v>20914</v>
      </c>
      <c r="DA121" s="28">
        <f>PRODUCTION!DB121+'SUPLIER INWARD'!DB121</f>
        <v>0</v>
      </c>
      <c r="DB121" s="58"/>
      <c r="DC121" s="29"/>
      <c r="DD121" s="30">
        <f t="shared" si="147"/>
        <v>20914</v>
      </c>
      <c r="DE121" s="28">
        <f>PRODUCTION!DF121+'SUPLIER INWARD'!DF121</f>
        <v>0</v>
      </c>
      <c r="DF121" s="58">
        <v>4000</v>
      </c>
      <c r="DG121" s="29">
        <v>0</v>
      </c>
      <c r="DH121" s="30">
        <f t="shared" si="148"/>
        <v>16914</v>
      </c>
      <c r="DI121" s="28">
        <f>PRODUCTION!DJ121+'SUPLIER INWARD'!DJ121</f>
        <v>0</v>
      </c>
      <c r="DJ121" s="58">
        <v>0</v>
      </c>
      <c r="DK121" s="29">
        <v>0</v>
      </c>
      <c r="DL121" s="30">
        <f t="shared" si="149"/>
        <v>16914</v>
      </c>
      <c r="DM121" s="28"/>
      <c r="DN121" s="58">
        <v>4200</v>
      </c>
      <c r="DO121" s="29"/>
      <c r="DP121" s="30">
        <f t="shared" si="150"/>
        <v>12714</v>
      </c>
      <c r="DQ121" s="28">
        <f>PRODUCTION!DR121+'SUPLIER INWARD'!DR121</f>
        <v>0</v>
      </c>
      <c r="DR121" s="57"/>
      <c r="DS121" s="29"/>
      <c r="DT121" s="30">
        <f t="shared" si="151"/>
        <v>12714</v>
      </c>
      <c r="DU121" s="28">
        <f>PRODUCTION!DV121+'SUPLIER INWARD'!DV121</f>
        <v>0</v>
      </c>
      <c r="DV121" s="58"/>
      <c r="DW121" s="29"/>
      <c r="DX121" s="30">
        <f t="shared" si="152"/>
        <v>12714</v>
      </c>
      <c r="DY121" s="31">
        <f t="shared" si="158"/>
        <v>64011</v>
      </c>
      <c r="DZ121" s="31">
        <f t="shared" si="156"/>
        <v>52600</v>
      </c>
      <c r="EA121" s="4">
        <f t="shared" si="157"/>
        <v>714</v>
      </c>
      <c r="EB121" s="9">
        <f>D121*'MASTER SHEET'!D121</f>
        <v>10085</v>
      </c>
      <c r="EC121" s="9">
        <f>H121*'MASTER SHEET'!D121</f>
        <v>10085</v>
      </c>
      <c r="ED121" s="9">
        <f>L121*'MASTER SHEET'!D121</f>
        <v>10085</v>
      </c>
      <c r="EE121" s="9">
        <f>P121*'MASTER SHEET'!D121</f>
        <v>10085</v>
      </c>
      <c r="EF121" s="9">
        <f>T121*'MASTER SHEET'!D121</f>
        <v>38565</v>
      </c>
      <c r="EG121" s="9">
        <f>X121*'MASTER SHEET'!D121</f>
        <v>96635</v>
      </c>
      <c r="EH121" s="9">
        <f>AB121*'MASTER SHEET'!D121</f>
        <v>150185</v>
      </c>
      <c r="EI121" s="9">
        <f>AF121*'MASTER SHEET'!D121</f>
        <v>181595</v>
      </c>
      <c r="EJ121" s="9">
        <f>AJ121*'MASTER SHEET'!D121</f>
        <v>196290</v>
      </c>
      <c r="EK121" s="9">
        <f>AN121*'MASTER SHEET'!D121</f>
        <v>178115</v>
      </c>
      <c r="EL121" s="9">
        <f>AR121*'MASTER SHEET'!D121</f>
        <v>144960</v>
      </c>
      <c r="EM121" s="9">
        <f>AV121*'MASTER SHEET'!D121</f>
        <v>129780</v>
      </c>
      <c r="EN121" s="9">
        <f>AZ121*'MASTER SHEET'!D121</f>
        <v>129780</v>
      </c>
      <c r="EO121" s="9">
        <f>BD121*'MASTER SHEET'!D121</f>
        <v>111590</v>
      </c>
      <c r="EP121" s="9">
        <f>$BH121*'MASTER SHEET'!$D121</f>
        <v>111590</v>
      </c>
      <c r="EQ121" s="9">
        <f>BL121*'MASTER SHEET'!D121</f>
        <v>111590</v>
      </c>
      <c r="ER121" s="9">
        <f>BP121*'MASTER SHEET'!D121</f>
        <v>96180</v>
      </c>
      <c r="ES121" s="9">
        <f>BT121*'MASTER SHEET'!D121</f>
        <v>68020</v>
      </c>
      <c r="ET121" s="9">
        <f>BX121*'MASTER SHEET'!D121</f>
        <v>65020</v>
      </c>
      <c r="EU121" s="9">
        <f>CB121*'MASTER SHEET'!D121</f>
        <v>64770</v>
      </c>
      <c r="EV121" s="9">
        <f>CF121*'MASTER SHEET'!D121</f>
        <v>40770</v>
      </c>
      <c r="EW121" s="9">
        <f>CJ121*'MASTER SHEET'!D121</f>
        <v>40770</v>
      </c>
      <c r="EX121" s="9">
        <f>CN121*'MASTER SHEET'!D121</f>
        <v>40770</v>
      </c>
      <c r="EY121" s="9">
        <f>CR121*'MASTER SHEET'!D121</f>
        <v>97030</v>
      </c>
      <c r="EZ121" s="9">
        <f>$CV121*'MASTER SHEET'!D121</f>
        <v>104570</v>
      </c>
      <c r="FA121" s="9">
        <f>CZ121*'MASTER SHEET'!D121</f>
        <v>104570</v>
      </c>
      <c r="FB121" s="9">
        <f>DD121*'MASTER SHEET'!D121</f>
        <v>104570</v>
      </c>
      <c r="FC121" s="9">
        <f>DH121*'MASTER SHEET'!D121</f>
        <v>84570</v>
      </c>
      <c r="FD121" s="9">
        <f>DL121*'MASTER SHEET'!D121</f>
        <v>84570</v>
      </c>
      <c r="FE121" s="9">
        <f>DP121*'MASTER SHEET'!D121</f>
        <v>63570</v>
      </c>
      <c r="FF121" s="9">
        <f>DT121*'MASTER SHEET'!D121</f>
        <v>63570</v>
      </c>
      <c r="FG121" s="9">
        <f>+DX121*'MASTER SHEET'!D121</f>
        <v>63570</v>
      </c>
    </row>
    <row r="122" spans="1:163" ht="20.25" customHeight="1" x14ac:dyDescent="0.25">
      <c r="A122" s="25">
        <f>'MASTER SHEET'!A122</f>
        <v>120</v>
      </c>
      <c r="B122" s="168" t="str">
        <f>'MASTER SHEET'!B122</f>
        <v>KOTA GREY</v>
      </c>
      <c r="C122" s="169" t="str">
        <f>'MASTER SHEET'!C122</f>
        <v>JA00004142</v>
      </c>
      <c r="D122" s="159">
        <v>3786</v>
      </c>
      <c r="E122" s="28">
        <f>PRODUCTION!F122+'SUPLIER INWARD'!F122</f>
        <v>0</v>
      </c>
      <c r="F122" s="28"/>
      <c r="G122" s="29">
        <v>0</v>
      </c>
      <c r="H122" s="30">
        <f t="shared" si="127"/>
        <v>3786</v>
      </c>
      <c r="I122" s="28">
        <f>PRODUCTION!J122+'SUPLIER INWARD'!J122</f>
        <v>0</v>
      </c>
      <c r="J122" s="28"/>
      <c r="K122" s="29">
        <v>0</v>
      </c>
      <c r="L122" s="30">
        <f t="shared" si="128"/>
        <v>3786</v>
      </c>
      <c r="M122" s="28">
        <f>PRODUCTION!N122+'SUPLIER INWARD'!N122</f>
        <v>0</v>
      </c>
      <c r="N122" s="58"/>
      <c r="O122" s="29"/>
      <c r="P122" s="30">
        <f t="shared" si="129"/>
        <v>3786</v>
      </c>
      <c r="Q122" s="28">
        <f>PRODUCTION!R122+'SUPLIER INWARD'!R122</f>
        <v>0</v>
      </c>
      <c r="R122" s="58">
        <v>1800</v>
      </c>
      <c r="S122" s="29">
        <v>60</v>
      </c>
      <c r="T122" s="30">
        <f t="shared" si="130"/>
        <v>1926</v>
      </c>
      <c r="U122" s="28">
        <f>PRODUCTION!V122+'SUPLIER INWARD'!V122</f>
        <v>0</v>
      </c>
      <c r="V122" s="58">
        <v>0</v>
      </c>
      <c r="W122" s="29">
        <v>0</v>
      </c>
      <c r="X122" s="30">
        <f t="shared" si="131"/>
        <v>1926</v>
      </c>
      <c r="Y122" s="28">
        <f>PRODUCTION!Z122+'SUPLIER INWARD'!Z122</f>
        <v>0</v>
      </c>
      <c r="Z122" s="58">
        <v>0</v>
      </c>
      <c r="AA122" s="29">
        <v>0</v>
      </c>
      <c r="AB122" s="30">
        <f t="shared" si="132"/>
        <v>1926</v>
      </c>
      <c r="AC122" s="28">
        <f>PRODUCTION!AD122+'SUPLIER INWARD'!AD122</f>
        <v>0</v>
      </c>
      <c r="AD122" s="58">
        <v>0</v>
      </c>
      <c r="AE122" s="29">
        <v>0</v>
      </c>
      <c r="AF122" s="30">
        <f t="shared" si="133"/>
        <v>1926</v>
      </c>
      <c r="AG122" s="28">
        <f>PRODUCTION!AH122+'SUPLIER INWARD'!AH122</f>
        <v>2328</v>
      </c>
      <c r="AH122" s="58">
        <v>0</v>
      </c>
      <c r="AI122" s="29">
        <v>0</v>
      </c>
      <c r="AJ122" s="30">
        <f t="shared" si="134"/>
        <v>4254</v>
      </c>
      <c r="AK122" s="28">
        <f>PRODUCTION!AL122+'SUPLIER INWARD'!AL122</f>
        <v>11112</v>
      </c>
      <c r="AL122" s="58">
        <v>0</v>
      </c>
      <c r="AM122" s="29">
        <v>0</v>
      </c>
      <c r="AN122" s="30">
        <f t="shared" si="135"/>
        <v>15366</v>
      </c>
      <c r="AO122" s="28">
        <f>PRODUCTION!AP122+'SUPLIER INWARD'!AP122</f>
        <v>7856</v>
      </c>
      <c r="AP122" s="28"/>
      <c r="AQ122" s="29">
        <v>0</v>
      </c>
      <c r="AR122" s="30">
        <f t="shared" si="136"/>
        <v>23222</v>
      </c>
      <c r="AS122" s="28">
        <f>PRODUCTION!AT122+'SUPLIER INWARD'!AT122</f>
        <v>0</v>
      </c>
      <c r="AT122" s="28">
        <v>2400</v>
      </c>
      <c r="AU122" s="29">
        <v>12</v>
      </c>
      <c r="AV122" s="30">
        <f t="shared" si="137"/>
        <v>20810</v>
      </c>
      <c r="AW122" s="28">
        <f>PRODUCTION!AX122+'SUPLIER INWARD'!AX122</f>
        <v>0</v>
      </c>
      <c r="AX122" s="28"/>
      <c r="AY122" s="29"/>
      <c r="AZ122" s="30">
        <f t="shared" si="138"/>
        <v>20810</v>
      </c>
      <c r="BA122" s="28">
        <f>PRODUCTION!BB122+'SUPLIER INWARD'!BB122</f>
        <v>0</v>
      </c>
      <c r="BB122" s="58">
        <v>4200</v>
      </c>
      <c r="BC122" s="29">
        <v>16</v>
      </c>
      <c r="BD122" s="30">
        <f t="shared" si="139"/>
        <v>16594</v>
      </c>
      <c r="BE122" s="28">
        <f>PRODUCTION!BF122+'SUPLIER INWARD'!BF122</f>
        <v>0</v>
      </c>
      <c r="BF122" s="58">
        <v>6600</v>
      </c>
      <c r="BG122" s="29">
        <v>90</v>
      </c>
      <c r="BH122" s="30">
        <f t="shared" si="140"/>
        <v>9904</v>
      </c>
      <c r="BI122" s="28">
        <f>PRODUCTION!BJ122+'SUPLIER INWARD'!BJ122</f>
        <v>0</v>
      </c>
      <c r="BJ122" s="58">
        <v>3600</v>
      </c>
      <c r="BK122" s="29">
        <v>6</v>
      </c>
      <c r="BL122" s="30">
        <f t="shared" si="141"/>
        <v>6298</v>
      </c>
      <c r="BM122" s="28">
        <f>PRODUCTION!BN122+'SUPLIER INWARD'!BN122</f>
        <v>0</v>
      </c>
      <c r="BN122" s="58">
        <v>0</v>
      </c>
      <c r="BO122" s="29">
        <v>0</v>
      </c>
      <c r="BP122" s="30">
        <f t="shared" si="142"/>
        <v>6298</v>
      </c>
      <c r="BQ122" s="28">
        <f>PRODUCTION!BR122+'SUPLIER INWARD'!BR122</f>
        <v>10268</v>
      </c>
      <c r="BR122" s="58">
        <v>0</v>
      </c>
      <c r="BS122" s="29">
        <v>0</v>
      </c>
      <c r="BT122" s="30">
        <f t="shared" si="143"/>
        <v>16566</v>
      </c>
      <c r="BU122" s="28">
        <f>PRODUCTION!BV122+'SUPLIER INWARD'!BV122</f>
        <v>11712</v>
      </c>
      <c r="BV122" s="58">
        <v>3600</v>
      </c>
      <c r="BW122" s="29">
        <v>63</v>
      </c>
      <c r="BX122" s="30">
        <f t="shared" si="110"/>
        <v>24615</v>
      </c>
      <c r="BY122" s="28">
        <f>PRODUCTION!BZ122+'SUPLIER INWARD'!BZ122</f>
        <v>0</v>
      </c>
      <c r="BZ122" s="58"/>
      <c r="CA122" s="29">
        <v>113</v>
      </c>
      <c r="CB122" s="30">
        <f t="shared" si="144"/>
        <v>24502</v>
      </c>
      <c r="CC122" s="28">
        <f>PRODUCTION!CD122+'SUPLIER INWARD'!CD122</f>
        <v>6852</v>
      </c>
      <c r="CD122" s="58">
        <v>6600</v>
      </c>
      <c r="CE122" s="29">
        <v>50</v>
      </c>
      <c r="CF122" s="30">
        <f t="shared" si="145"/>
        <v>24704</v>
      </c>
      <c r="CG122" s="28">
        <f>PRODUCTION!CH122+'SUPLIER INWARD'!CH122</f>
        <v>0</v>
      </c>
      <c r="CH122" s="58">
        <v>1200</v>
      </c>
      <c r="CI122" s="29">
        <v>0</v>
      </c>
      <c r="CJ122" s="30">
        <f t="shared" si="113"/>
        <v>23504</v>
      </c>
      <c r="CK122" s="28">
        <f>PRODUCTION!CL122+'SUPLIER INWARD'!CL122</f>
        <v>9102</v>
      </c>
      <c r="CL122" s="58"/>
      <c r="CM122" s="152">
        <v>0</v>
      </c>
      <c r="CN122" s="30">
        <f t="shared" si="114"/>
        <v>32606</v>
      </c>
      <c r="CO122" s="28">
        <f>PRODUCTION!CP122+'SUPLIER INWARD'!CP122</f>
        <v>0</v>
      </c>
      <c r="CP122" s="58">
        <v>3000</v>
      </c>
      <c r="CQ122" s="29">
        <v>78</v>
      </c>
      <c r="CR122" s="30">
        <f t="shared" si="115"/>
        <v>29528</v>
      </c>
      <c r="CS122" s="28">
        <f>PRODUCTION!CT122+'SUPLIER INWARD'!CT122</f>
        <v>0</v>
      </c>
      <c r="CT122" s="28">
        <v>600</v>
      </c>
      <c r="CU122" s="29">
        <v>0</v>
      </c>
      <c r="CV122" s="30">
        <f t="shared" si="116"/>
        <v>28928</v>
      </c>
      <c r="CW122" s="28">
        <f>PRODUCTION!CX122+'SUPLIER INWARD'!CX122</f>
        <v>0</v>
      </c>
      <c r="CX122" s="58">
        <v>0</v>
      </c>
      <c r="CY122" s="29">
        <v>0</v>
      </c>
      <c r="CZ122" s="30">
        <f t="shared" si="146"/>
        <v>28928</v>
      </c>
      <c r="DA122" s="28">
        <f>PRODUCTION!DB122+'SUPLIER INWARD'!DB122</f>
        <v>0</v>
      </c>
      <c r="DB122" s="58"/>
      <c r="DC122" s="29"/>
      <c r="DD122" s="30">
        <f t="shared" si="147"/>
        <v>28928</v>
      </c>
      <c r="DE122" s="28">
        <f>PRODUCTION!DF122+'SUPLIER INWARD'!DF122</f>
        <v>0</v>
      </c>
      <c r="DF122" s="58">
        <v>0</v>
      </c>
      <c r="DG122" s="29">
        <v>0</v>
      </c>
      <c r="DH122" s="30">
        <f t="shared" si="148"/>
        <v>28928</v>
      </c>
      <c r="DI122" s="28">
        <f>PRODUCTION!DJ122+'SUPLIER INWARD'!DJ122</f>
        <v>0</v>
      </c>
      <c r="DJ122" s="58">
        <v>5400</v>
      </c>
      <c r="DK122" s="29">
        <v>0</v>
      </c>
      <c r="DL122" s="30">
        <f t="shared" si="149"/>
        <v>23528</v>
      </c>
      <c r="DM122" s="28">
        <f>PRODUCTION!DN122+'SUPLIER INWARD'!DN122</f>
        <v>0</v>
      </c>
      <c r="DN122" s="58">
        <v>4200</v>
      </c>
      <c r="DO122" s="29"/>
      <c r="DP122" s="30">
        <f t="shared" si="150"/>
        <v>19328</v>
      </c>
      <c r="DQ122" s="28">
        <f>PRODUCTION!DR122+'SUPLIER INWARD'!DR122</f>
        <v>0</v>
      </c>
      <c r="DR122" s="57"/>
      <c r="DS122" s="29"/>
      <c r="DT122" s="30">
        <f t="shared" si="151"/>
        <v>19328</v>
      </c>
      <c r="DU122" s="28">
        <f>PRODUCTION!DV122+'SUPLIER INWARD'!DV122</f>
        <v>0</v>
      </c>
      <c r="DV122" s="58"/>
      <c r="DW122" s="29"/>
      <c r="DX122" s="30">
        <f t="shared" si="152"/>
        <v>19328</v>
      </c>
      <c r="DY122" s="31">
        <f t="shared" si="158"/>
        <v>59230</v>
      </c>
      <c r="DZ122" s="31">
        <f t="shared" si="156"/>
        <v>43200</v>
      </c>
      <c r="EA122" s="4">
        <f t="shared" si="157"/>
        <v>488</v>
      </c>
      <c r="EB122" s="9">
        <f>D122*'MASTER SHEET'!D122</f>
        <v>19687.2</v>
      </c>
      <c r="EC122" s="9">
        <f>H122*'MASTER SHEET'!D122</f>
        <v>19687.2</v>
      </c>
      <c r="ED122" s="9">
        <f>L122*'MASTER SHEET'!D122</f>
        <v>19687.2</v>
      </c>
      <c r="EE122" s="9">
        <f>P122*'MASTER SHEET'!D122</f>
        <v>19687.2</v>
      </c>
      <c r="EF122" s="9">
        <f>T122*'MASTER SHEET'!D122</f>
        <v>10015.200000000001</v>
      </c>
      <c r="EG122" s="9">
        <f>X122*'MASTER SHEET'!D122</f>
        <v>10015.200000000001</v>
      </c>
      <c r="EH122" s="9">
        <f>AB122*'MASTER SHEET'!D122</f>
        <v>10015.200000000001</v>
      </c>
      <c r="EI122" s="9">
        <f>AF122*'MASTER SHEET'!D122</f>
        <v>10015.200000000001</v>
      </c>
      <c r="EJ122" s="9">
        <f>AJ122*'MASTER SHEET'!D122</f>
        <v>22120.799999999999</v>
      </c>
      <c r="EK122" s="9">
        <f>AN122*'MASTER SHEET'!D122</f>
        <v>79903.199999999997</v>
      </c>
      <c r="EL122" s="9">
        <f>AR122*'MASTER SHEET'!D122</f>
        <v>120754.40000000001</v>
      </c>
      <c r="EM122" s="9">
        <f>AV122*'MASTER SHEET'!D122</f>
        <v>108212</v>
      </c>
      <c r="EN122" s="9">
        <f>AZ122*'MASTER SHEET'!D122</f>
        <v>108212</v>
      </c>
      <c r="EO122" s="9">
        <f>BD122*'MASTER SHEET'!D122</f>
        <v>86288.8</v>
      </c>
      <c r="EP122" s="9">
        <f>$BH122*'MASTER SHEET'!$D122</f>
        <v>51500.800000000003</v>
      </c>
      <c r="EQ122" s="9">
        <f>BL122*'MASTER SHEET'!D122</f>
        <v>32749.600000000002</v>
      </c>
      <c r="ER122" s="9">
        <f>BP122*'MASTER SHEET'!D122</f>
        <v>32749.600000000002</v>
      </c>
      <c r="ES122" s="9">
        <f>BT122*'MASTER SHEET'!D122</f>
        <v>86143.2</v>
      </c>
      <c r="ET122" s="9">
        <f>BX122*'MASTER SHEET'!D122</f>
        <v>127998</v>
      </c>
      <c r="EU122" s="9">
        <f>CB122*'MASTER SHEET'!D122</f>
        <v>127410.40000000001</v>
      </c>
      <c r="EV122" s="9">
        <f>CF122*'MASTER SHEET'!D122</f>
        <v>128460.8</v>
      </c>
      <c r="EW122" s="9">
        <f>CJ122*'MASTER SHEET'!D122</f>
        <v>122220.8</v>
      </c>
      <c r="EX122" s="9">
        <f>CN122*'MASTER SHEET'!D122</f>
        <v>169551.2</v>
      </c>
      <c r="EY122" s="9">
        <f>CR122*'MASTER SHEET'!D122</f>
        <v>153545.60000000001</v>
      </c>
      <c r="EZ122" s="9">
        <f>$CV122*'MASTER SHEET'!D122</f>
        <v>150425.60000000001</v>
      </c>
      <c r="FA122" s="9">
        <f>CZ122*'MASTER SHEET'!D122</f>
        <v>150425.60000000001</v>
      </c>
      <c r="FB122" s="9">
        <f>DD122*'MASTER SHEET'!D122</f>
        <v>150425.60000000001</v>
      </c>
      <c r="FC122" s="9">
        <f>DH122*'MASTER SHEET'!D122</f>
        <v>150425.60000000001</v>
      </c>
      <c r="FD122" s="9">
        <f>DL122*'MASTER SHEET'!D122</f>
        <v>122345.60000000001</v>
      </c>
      <c r="FE122" s="9">
        <f>DP122*'MASTER SHEET'!D122</f>
        <v>100505.60000000001</v>
      </c>
      <c r="FF122" s="9">
        <f>DT122*'MASTER SHEET'!D122</f>
        <v>100505.60000000001</v>
      </c>
      <c r="FG122" s="9">
        <f>+DX122*'MASTER SHEET'!D122</f>
        <v>100505.60000000001</v>
      </c>
    </row>
    <row r="123" spans="1:163" ht="20.25" customHeight="1" x14ac:dyDescent="0.25">
      <c r="A123" s="25">
        <f>'MASTER SHEET'!A123</f>
        <v>121</v>
      </c>
      <c r="B123" s="168" t="str">
        <f>'MASTER SHEET'!B123</f>
        <v xml:space="preserve">GRANITE BLACK </v>
      </c>
      <c r="C123" s="169" t="str">
        <f>'MASTER SHEET'!C123</f>
        <v>JA00003924</v>
      </c>
      <c r="D123" s="159">
        <v>1184</v>
      </c>
      <c r="E123" s="28">
        <f>PRODUCTION!F123+'SUPLIER INWARD'!F123</f>
        <v>0</v>
      </c>
      <c r="F123" s="28"/>
      <c r="G123" s="29">
        <v>0</v>
      </c>
      <c r="H123" s="30">
        <f t="shared" si="127"/>
        <v>1184</v>
      </c>
      <c r="I123" s="28">
        <f>PRODUCTION!J123+'SUPLIER INWARD'!J123</f>
        <v>0</v>
      </c>
      <c r="J123" s="28"/>
      <c r="K123" s="29">
        <v>0</v>
      </c>
      <c r="L123" s="30">
        <f t="shared" si="128"/>
        <v>1184</v>
      </c>
      <c r="M123" s="28">
        <f>PRODUCTION!N123+'SUPLIER INWARD'!N123</f>
        <v>0</v>
      </c>
      <c r="N123" s="58"/>
      <c r="O123" s="29"/>
      <c r="P123" s="30">
        <f t="shared" si="129"/>
        <v>1184</v>
      </c>
      <c r="Q123" s="28">
        <f>PRODUCTION!R123+'SUPLIER INWARD'!R123</f>
        <v>0</v>
      </c>
      <c r="R123" s="58"/>
      <c r="S123" s="29">
        <v>0</v>
      </c>
      <c r="T123" s="30">
        <f t="shared" si="130"/>
        <v>1184</v>
      </c>
      <c r="U123" s="28">
        <f>PRODUCTION!V123+'SUPLIER INWARD'!V123</f>
        <v>0</v>
      </c>
      <c r="V123" s="58">
        <v>0</v>
      </c>
      <c r="W123" s="29">
        <v>0</v>
      </c>
      <c r="X123" s="30">
        <f t="shared" si="131"/>
        <v>1184</v>
      </c>
      <c r="Y123" s="28">
        <f>PRODUCTION!Z123+'SUPLIER INWARD'!Z123</f>
        <v>0</v>
      </c>
      <c r="Z123" s="58">
        <v>0</v>
      </c>
      <c r="AA123" s="29">
        <v>0</v>
      </c>
      <c r="AB123" s="30">
        <f t="shared" si="132"/>
        <v>1184</v>
      </c>
      <c r="AC123" s="28">
        <f>PRODUCTION!AD123+'SUPLIER INWARD'!AD123</f>
        <v>0</v>
      </c>
      <c r="AD123" s="58">
        <v>0</v>
      </c>
      <c r="AE123" s="29">
        <v>0</v>
      </c>
      <c r="AF123" s="30">
        <f t="shared" si="133"/>
        <v>1184</v>
      </c>
      <c r="AG123" s="28">
        <f>PRODUCTION!AH123+'SUPLIER INWARD'!AH123</f>
        <v>0</v>
      </c>
      <c r="AH123" s="58">
        <v>0</v>
      </c>
      <c r="AI123" s="29">
        <v>0</v>
      </c>
      <c r="AJ123" s="30">
        <f t="shared" si="134"/>
        <v>1184</v>
      </c>
      <c r="AK123" s="28">
        <f>PRODUCTION!AL123+'SUPLIER INWARD'!AL123</f>
        <v>0</v>
      </c>
      <c r="AL123" s="58">
        <v>0</v>
      </c>
      <c r="AM123" s="29">
        <v>0</v>
      </c>
      <c r="AN123" s="30">
        <f t="shared" si="135"/>
        <v>1184</v>
      </c>
      <c r="AO123" s="28">
        <f>PRODUCTION!AP123+'SUPLIER INWARD'!AP123</f>
        <v>0</v>
      </c>
      <c r="AP123" s="28"/>
      <c r="AQ123" s="29">
        <v>0</v>
      </c>
      <c r="AR123" s="30">
        <f t="shared" si="136"/>
        <v>1184</v>
      </c>
      <c r="AS123" s="28">
        <f>PRODUCTION!AT123+'SUPLIER INWARD'!AT123</f>
        <v>0</v>
      </c>
      <c r="AT123" s="28">
        <v>0</v>
      </c>
      <c r="AU123" s="29">
        <v>0</v>
      </c>
      <c r="AV123" s="30">
        <f t="shared" si="137"/>
        <v>1184</v>
      </c>
      <c r="AW123" s="28">
        <f>PRODUCTION!AX123+'SUPLIER INWARD'!AX123</f>
        <v>0</v>
      </c>
      <c r="AX123" s="28"/>
      <c r="AY123" s="29"/>
      <c r="AZ123" s="30">
        <f t="shared" si="138"/>
        <v>1184</v>
      </c>
      <c r="BA123" s="28">
        <f>PRODUCTION!BB123+'SUPLIER INWARD'!BB123</f>
        <v>0</v>
      </c>
      <c r="BB123" s="58">
        <v>0</v>
      </c>
      <c r="BC123" s="29">
        <v>0</v>
      </c>
      <c r="BD123" s="30">
        <f t="shared" si="139"/>
        <v>1184</v>
      </c>
      <c r="BE123" s="28">
        <f>PRODUCTION!BF123+'SUPLIER INWARD'!BF123</f>
        <v>0</v>
      </c>
      <c r="BF123" s="58"/>
      <c r="BG123" s="29">
        <v>0</v>
      </c>
      <c r="BH123" s="30">
        <f t="shared" si="140"/>
        <v>1184</v>
      </c>
      <c r="BI123" s="28">
        <f>PRODUCTION!BJ123+'SUPLIER INWARD'!BJ123</f>
        <v>0</v>
      </c>
      <c r="BJ123" s="58">
        <v>0</v>
      </c>
      <c r="BK123" s="29">
        <v>0</v>
      </c>
      <c r="BL123" s="30">
        <f t="shared" si="141"/>
        <v>1184</v>
      </c>
      <c r="BM123" s="28">
        <f>PRODUCTION!BN123+'SUPLIER INWARD'!BN123</f>
        <v>0</v>
      </c>
      <c r="BN123" s="58">
        <v>0</v>
      </c>
      <c r="BO123" s="29">
        <v>0</v>
      </c>
      <c r="BP123" s="30">
        <f t="shared" si="142"/>
        <v>1184</v>
      </c>
      <c r="BQ123" s="28">
        <f>PRODUCTION!BR123+'SUPLIER INWARD'!BR123</f>
        <v>0</v>
      </c>
      <c r="BR123" s="58">
        <v>0</v>
      </c>
      <c r="BS123" s="29">
        <v>0</v>
      </c>
      <c r="BT123" s="30">
        <f t="shared" si="143"/>
        <v>1184</v>
      </c>
      <c r="BU123" s="28">
        <f>PRODUCTION!BV123+'SUPLIER INWARD'!BV123</f>
        <v>0</v>
      </c>
      <c r="BV123" s="58">
        <v>0</v>
      </c>
      <c r="BW123" s="29">
        <v>0</v>
      </c>
      <c r="BX123" s="30">
        <f t="shared" si="110"/>
        <v>1184</v>
      </c>
      <c r="BY123" s="28">
        <f>PRODUCTION!BZ123+'SUPLIER INWARD'!BZ123</f>
        <v>0</v>
      </c>
      <c r="BZ123" s="58"/>
      <c r="CA123" s="29">
        <v>0</v>
      </c>
      <c r="CB123" s="30">
        <f t="shared" si="144"/>
        <v>1184</v>
      </c>
      <c r="CC123" s="28">
        <f>PRODUCTION!CD123+'SUPLIER INWARD'!CD123</f>
        <v>0</v>
      </c>
      <c r="CD123" s="58">
        <v>0</v>
      </c>
      <c r="CE123" s="29">
        <v>0</v>
      </c>
      <c r="CF123" s="30">
        <f t="shared" si="145"/>
        <v>1184</v>
      </c>
      <c r="CG123" s="28">
        <f>PRODUCTION!CH123+'SUPLIER INWARD'!CH123</f>
        <v>0</v>
      </c>
      <c r="CH123" s="58">
        <v>0</v>
      </c>
      <c r="CI123" s="29">
        <v>0</v>
      </c>
      <c r="CJ123" s="30">
        <f t="shared" si="113"/>
        <v>1184</v>
      </c>
      <c r="CK123" s="28">
        <f>PRODUCTION!CL123+'SUPLIER INWARD'!CL123</f>
        <v>0</v>
      </c>
      <c r="CL123" s="58"/>
      <c r="CM123" s="152">
        <v>0</v>
      </c>
      <c r="CN123" s="30">
        <f t="shared" si="114"/>
        <v>1184</v>
      </c>
      <c r="CO123" s="28">
        <f>PRODUCTION!CP123+'SUPLIER INWARD'!CP123</f>
        <v>0</v>
      </c>
      <c r="CP123" s="58">
        <v>0</v>
      </c>
      <c r="CQ123" s="29">
        <v>0</v>
      </c>
      <c r="CR123" s="30">
        <f t="shared" si="115"/>
        <v>1184</v>
      </c>
      <c r="CS123" s="28">
        <f>PRODUCTION!CT123+'SUPLIER INWARD'!CT123</f>
        <v>0</v>
      </c>
      <c r="CT123" s="28">
        <v>0</v>
      </c>
      <c r="CU123" s="29">
        <v>0</v>
      </c>
      <c r="CV123" s="30">
        <f t="shared" si="116"/>
        <v>1184</v>
      </c>
      <c r="CW123" s="28">
        <f>PRODUCTION!CX123+'SUPLIER INWARD'!CX123</f>
        <v>0</v>
      </c>
      <c r="CX123" s="58">
        <v>0</v>
      </c>
      <c r="CY123" s="29">
        <v>0</v>
      </c>
      <c r="CZ123" s="30">
        <f t="shared" si="146"/>
        <v>1184</v>
      </c>
      <c r="DA123" s="28">
        <f>PRODUCTION!DB123+'SUPLIER INWARD'!DB123</f>
        <v>0</v>
      </c>
      <c r="DB123" s="58"/>
      <c r="DC123" s="29"/>
      <c r="DD123" s="30">
        <f t="shared" si="147"/>
        <v>1184</v>
      </c>
      <c r="DE123" s="28">
        <f>PRODUCTION!DF123+'SUPLIER INWARD'!DF123</f>
        <v>0</v>
      </c>
      <c r="DF123" s="58">
        <v>0</v>
      </c>
      <c r="DG123" s="29">
        <v>0</v>
      </c>
      <c r="DH123" s="30">
        <f t="shared" si="148"/>
        <v>1184</v>
      </c>
      <c r="DI123" s="28">
        <f>PRODUCTION!DJ123+'SUPLIER INWARD'!DJ123</f>
        <v>0</v>
      </c>
      <c r="DJ123" s="58">
        <v>0</v>
      </c>
      <c r="DK123" s="29">
        <v>0</v>
      </c>
      <c r="DL123" s="30">
        <f t="shared" si="149"/>
        <v>1184</v>
      </c>
      <c r="DM123" s="28">
        <f>PRODUCTION!DN123+'SUPLIER INWARD'!DN123</f>
        <v>2896</v>
      </c>
      <c r="DN123" s="58">
        <v>0</v>
      </c>
      <c r="DO123" s="29"/>
      <c r="DP123" s="30">
        <f t="shared" si="150"/>
        <v>4080</v>
      </c>
      <c r="DQ123" s="28">
        <f>PRODUCTION!DR123+'SUPLIER INWARD'!DR123</f>
        <v>0</v>
      </c>
      <c r="DR123" s="57"/>
      <c r="DS123" s="29"/>
      <c r="DT123" s="30">
        <f t="shared" si="151"/>
        <v>4080</v>
      </c>
      <c r="DU123" s="28">
        <f>PRODUCTION!DV123+'SUPLIER INWARD'!DV123</f>
        <v>0</v>
      </c>
      <c r="DV123" s="58"/>
      <c r="DW123" s="29"/>
      <c r="DX123" s="30">
        <f t="shared" si="152"/>
        <v>4080</v>
      </c>
      <c r="DY123" s="31">
        <f t="shared" si="158"/>
        <v>2896</v>
      </c>
      <c r="DZ123" s="31">
        <f t="shared" si="156"/>
        <v>0</v>
      </c>
      <c r="EA123" s="4">
        <f t="shared" si="157"/>
        <v>0</v>
      </c>
      <c r="EB123" s="9">
        <f>D123*'MASTER SHEET'!D123</f>
        <v>5635.84</v>
      </c>
      <c r="EC123" s="9">
        <f>H123*'MASTER SHEET'!D123</f>
        <v>5635.84</v>
      </c>
      <c r="ED123" s="9">
        <f>L123*'MASTER SHEET'!D123</f>
        <v>5635.84</v>
      </c>
      <c r="EE123" s="9">
        <f>P123*'MASTER SHEET'!D123</f>
        <v>5635.84</v>
      </c>
      <c r="EF123" s="9">
        <f>T123*'MASTER SHEET'!D123</f>
        <v>5635.84</v>
      </c>
      <c r="EG123" s="9">
        <f>X123*'MASTER SHEET'!D123</f>
        <v>5635.84</v>
      </c>
      <c r="EH123" s="9">
        <f>AB123*'MASTER SHEET'!D123</f>
        <v>5635.84</v>
      </c>
      <c r="EI123" s="9">
        <f>AF123*'MASTER SHEET'!D123</f>
        <v>5635.84</v>
      </c>
      <c r="EJ123" s="9">
        <f>AJ123*'MASTER SHEET'!D123</f>
        <v>5635.84</v>
      </c>
      <c r="EK123" s="9">
        <f>AN123*'MASTER SHEET'!D123</f>
        <v>5635.84</v>
      </c>
      <c r="EL123" s="9">
        <f>AR123*'MASTER SHEET'!D123</f>
        <v>5635.84</v>
      </c>
      <c r="EM123" s="9">
        <f>AV123*'MASTER SHEET'!D123</f>
        <v>5635.84</v>
      </c>
      <c r="EN123" s="9">
        <f>AZ123*'MASTER SHEET'!D123</f>
        <v>5635.84</v>
      </c>
      <c r="EO123" s="9">
        <f>BD123*'MASTER SHEET'!D123</f>
        <v>5635.84</v>
      </c>
      <c r="EP123" s="9">
        <f>$BH123*'MASTER SHEET'!$D123</f>
        <v>5635.84</v>
      </c>
      <c r="EQ123" s="9">
        <f>BL123*'MASTER SHEET'!D123</f>
        <v>5635.84</v>
      </c>
      <c r="ER123" s="9">
        <f>BP123*'MASTER SHEET'!D123</f>
        <v>5635.84</v>
      </c>
      <c r="ES123" s="9">
        <f>BT123*'MASTER SHEET'!D123</f>
        <v>5635.84</v>
      </c>
      <c r="ET123" s="9">
        <f>BX123*'MASTER SHEET'!D123</f>
        <v>5635.84</v>
      </c>
      <c r="EU123" s="9">
        <f>CB123*'MASTER SHEET'!D123</f>
        <v>5635.84</v>
      </c>
      <c r="EV123" s="9">
        <f>CF123*'MASTER SHEET'!D123</f>
        <v>5635.84</v>
      </c>
      <c r="EW123" s="9">
        <f>CJ123*'MASTER SHEET'!D123</f>
        <v>5635.84</v>
      </c>
      <c r="EX123" s="9">
        <f>CN123*'MASTER SHEET'!D123</f>
        <v>5635.84</v>
      </c>
      <c r="EY123" s="9">
        <f>CR123*'MASTER SHEET'!D123</f>
        <v>5635.84</v>
      </c>
      <c r="EZ123" s="9">
        <f>$CV123*'MASTER SHEET'!D123</f>
        <v>5635.84</v>
      </c>
      <c r="FA123" s="9">
        <f>CZ123*'MASTER SHEET'!D123</f>
        <v>5635.84</v>
      </c>
      <c r="FB123" s="9">
        <f>DD123*'MASTER SHEET'!D123</f>
        <v>5635.84</v>
      </c>
      <c r="FC123" s="9">
        <f>DH123*'MASTER SHEET'!D123</f>
        <v>5635.84</v>
      </c>
      <c r="FD123" s="9">
        <f>DL123*'MASTER SHEET'!D123</f>
        <v>5635.84</v>
      </c>
      <c r="FE123" s="9">
        <f>DP123*'MASTER SHEET'!D123</f>
        <v>19420.8</v>
      </c>
      <c r="FF123" s="9">
        <f>DT123*'MASTER SHEET'!D123</f>
        <v>19420.8</v>
      </c>
      <c r="FG123" s="9">
        <f>+DX123*'MASTER SHEET'!D123</f>
        <v>19420.8</v>
      </c>
    </row>
    <row r="124" spans="1:163" ht="20.25" customHeight="1" x14ac:dyDescent="0.25">
      <c r="A124" s="25">
        <f>'MASTER SHEET'!A124</f>
        <v>122</v>
      </c>
      <c r="B124" s="168" t="str">
        <f>'MASTER SHEET'!B124</f>
        <v>YOM HRSKNOBASSY INSERT MOLDING5 PK</v>
      </c>
      <c r="C124" s="169" t="str">
        <f>'MASTER SHEET'!C124</f>
        <v>GA00007422</v>
      </c>
      <c r="D124" s="163">
        <f>5000+4868</f>
        <v>9868</v>
      </c>
      <c r="E124" s="28">
        <f>PRODUCTION!F124+'SUPLIER INWARD'!F124</f>
        <v>20744</v>
      </c>
      <c r="F124" s="28">
        <v>16500</v>
      </c>
      <c r="G124" s="29">
        <v>44</v>
      </c>
      <c r="H124" s="30">
        <f t="shared" si="127"/>
        <v>14068</v>
      </c>
      <c r="I124" s="28">
        <f>PRODUCTION!J124+'SUPLIER INWARD'!J124</f>
        <v>18080</v>
      </c>
      <c r="J124" s="28">
        <v>19000</v>
      </c>
      <c r="K124" s="29">
        <v>24</v>
      </c>
      <c r="L124" s="30">
        <f t="shared" si="128"/>
        <v>13124</v>
      </c>
      <c r="M124" s="28">
        <f>PRODUCTION!N124+'SUPLIER INWARD'!N124</f>
        <v>0</v>
      </c>
      <c r="N124" s="58"/>
      <c r="O124" s="29"/>
      <c r="P124" s="30">
        <f t="shared" si="129"/>
        <v>13124</v>
      </c>
      <c r="Q124" s="28">
        <f>PRODUCTION!R124+'SUPLIER INWARD'!R124</f>
        <v>13736</v>
      </c>
      <c r="R124" s="58">
        <v>16500</v>
      </c>
      <c r="S124" s="29">
        <v>90</v>
      </c>
      <c r="T124" s="30">
        <f t="shared" si="130"/>
        <v>10270</v>
      </c>
      <c r="U124" s="28">
        <f>PRODUCTION!V124+'SUPLIER INWARD'!V124</f>
        <v>15664</v>
      </c>
      <c r="V124" s="58">
        <v>16500</v>
      </c>
      <c r="W124" s="29">
        <v>11</v>
      </c>
      <c r="X124" s="30">
        <f t="shared" si="131"/>
        <v>9423</v>
      </c>
      <c r="Y124" s="28">
        <f>PRODUCTION!Z124+'SUPLIER INWARD'!Z124</f>
        <v>16804</v>
      </c>
      <c r="Z124" s="58">
        <v>16500</v>
      </c>
      <c r="AA124" s="29">
        <v>40</v>
      </c>
      <c r="AB124" s="30">
        <f t="shared" si="132"/>
        <v>9687</v>
      </c>
      <c r="AC124" s="28">
        <f>PRODUCTION!AD124+'SUPLIER INWARD'!AD124</f>
        <v>16754</v>
      </c>
      <c r="AD124" s="58">
        <v>9000</v>
      </c>
      <c r="AE124" s="29">
        <v>101</v>
      </c>
      <c r="AF124" s="30">
        <f t="shared" si="133"/>
        <v>17340</v>
      </c>
      <c r="AG124" s="28">
        <f>PRODUCTION!AH124+'SUPLIER INWARD'!AH124</f>
        <v>19296</v>
      </c>
      <c r="AH124" s="58">
        <v>16000</v>
      </c>
      <c r="AI124" s="29">
        <v>30</v>
      </c>
      <c r="AJ124" s="30">
        <f t="shared" si="134"/>
        <v>20606</v>
      </c>
      <c r="AK124" s="28">
        <f>PRODUCTION!AL124+'SUPLIER INWARD'!AL124</f>
        <v>0</v>
      </c>
      <c r="AL124" s="58">
        <v>18000</v>
      </c>
      <c r="AM124" s="29">
        <v>115</v>
      </c>
      <c r="AN124" s="30">
        <f t="shared" si="135"/>
        <v>2491</v>
      </c>
      <c r="AO124" s="28">
        <f>PRODUCTION!AP124+'SUPLIER INWARD'!AP124</f>
        <v>11000</v>
      </c>
      <c r="AP124" s="28">
        <v>6000</v>
      </c>
      <c r="AQ124" s="29">
        <v>15</v>
      </c>
      <c r="AR124" s="30">
        <f t="shared" si="136"/>
        <v>7476</v>
      </c>
      <c r="AS124" s="28">
        <f>PRODUCTION!AT124+'SUPLIER INWARD'!AT124</f>
        <v>0</v>
      </c>
      <c r="AT124" s="28">
        <v>0</v>
      </c>
      <c r="AU124" s="29">
        <v>0</v>
      </c>
      <c r="AV124" s="30">
        <f t="shared" si="137"/>
        <v>7476</v>
      </c>
      <c r="AW124" s="28">
        <f>PRODUCTION!AX124+'SUPLIER INWARD'!AX124</f>
        <v>0</v>
      </c>
      <c r="AX124" s="28"/>
      <c r="AY124" s="29"/>
      <c r="AZ124" s="30">
        <f t="shared" si="138"/>
        <v>7476</v>
      </c>
      <c r="BA124" s="28">
        <f>PRODUCTION!BB124+'SUPLIER INWARD'!BB124</f>
        <v>6363</v>
      </c>
      <c r="BB124" s="58">
        <v>0</v>
      </c>
      <c r="BC124" s="29">
        <v>0</v>
      </c>
      <c r="BD124" s="30">
        <f t="shared" si="139"/>
        <v>13839</v>
      </c>
      <c r="BE124" s="28">
        <f>PRODUCTION!BF124+'SUPLIER INWARD'!BF124</f>
        <v>11947</v>
      </c>
      <c r="BF124" s="58">
        <v>3500</v>
      </c>
      <c r="BG124" s="29">
        <v>0</v>
      </c>
      <c r="BH124" s="30">
        <f t="shared" si="140"/>
        <v>22286</v>
      </c>
      <c r="BI124" s="28">
        <f>PRODUCTION!BJ124+'SUPLIER INWARD'!BJ124</f>
        <v>14582</v>
      </c>
      <c r="BJ124" s="58">
        <v>9000</v>
      </c>
      <c r="BK124" s="29">
        <v>0</v>
      </c>
      <c r="BL124" s="30">
        <f t="shared" si="141"/>
        <v>27868</v>
      </c>
      <c r="BM124" s="28">
        <f>PRODUCTION!BN124+'SUPLIER INWARD'!BN124</f>
        <v>14631</v>
      </c>
      <c r="BN124" s="58">
        <v>6000</v>
      </c>
      <c r="BO124" s="29">
        <v>10</v>
      </c>
      <c r="BP124" s="30">
        <f t="shared" si="142"/>
        <v>36489</v>
      </c>
      <c r="BQ124" s="28">
        <f>PRODUCTION!BR124+'SUPLIER INWARD'!BR124</f>
        <v>1631</v>
      </c>
      <c r="BR124" s="58">
        <v>13500</v>
      </c>
      <c r="BS124" s="29">
        <v>139</v>
      </c>
      <c r="BT124" s="30">
        <f t="shared" si="143"/>
        <v>24481</v>
      </c>
      <c r="BU124" s="28">
        <f>PRODUCTION!BV124+'SUPLIER INWARD'!BV124</f>
        <v>0</v>
      </c>
      <c r="BV124" s="58">
        <v>10500</v>
      </c>
      <c r="BW124" s="29">
        <v>0</v>
      </c>
      <c r="BX124" s="30">
        <f t="shared" si="110"/>
        <v>13981</v>
      </c>
      <c r="BY124" s="28">
        <f>PRODUCTION!BZ124+'SUPLIER INWARD'!BZ124</f>
        <v>0</v>
      </c>
      <c r="BZ124" s="58">
        <v>4000</v>
      </c>
      <c r="CA124" s="29">
        <v>0</v>
      </c>
      <c r="CB124" s="30">
        <f t="shared" si="144"/>
        <v>9981</v>
      </c>
      <c r="CC124" s="28">
        <f>PRODUCTION!CD124+'SUPLIER INWARD'!CD124</f>
        <v>17415</v>
      </c>
      <c r="CD124" s="58">
        <v>15000</v>
      </c>
      <c r="CE124" s="29">
        <v>0</v>
      </c>
      <c r="CF124" s="30">
        <f t="shared" si="145"/>
        <v>12396</v>
      </c>
      <c r="CG124" s="28">
        <f>PRODUCTION!CH124+'SUPLIER INWARD'!CH124</f>
        <v>10707</v>
      </c>
      <c r="CH124" s="58">
        <v>8000</v>
      </c>
      <c r="CI124" s="29">
        <v>0</v>
      </c>
      <c r="CJ124" s="30">
        <f t="shared" si="113"/>
        <v>15103</v>
      </c>
      <c r="CK124" s="28">
        <f>PRODUCTION!CL124+'SUPLIER INWARD'!CL124</f>
        <v>18648</v>
      </c>
      <c r="CL124" s="58">
        <v>14500</v>
      </c>
      <c r="CM124" s="152">
        <v>0</v>
      </c>
      <c r="CN124" s="30">
        <f t="shared" si="114"/>
        <v>19251</v>
      </c>
      <c r="CO124" s="28">
        <f>PRODUCTION!CP124+'SUPLIER INWARD'!CP124</f>
        <v>19033</v>
      </c>
      <c r="CP124" s="58">
        <v>13500</v>
      </c>
      <c r="CQ124" s="29">
        <v>155</v>
      </c>
      <c r="CR124" s="30">
        <f t="shared" si="115"/>
        <v>24629</v>
      </c>
      <c r="CS124" s="28">
        <f>PRODUCTION!CT124+'SUPLIER INWARD'!CT124</f>
        <v>18172</v>
      </c>
      <c r="CT124" s="28">
        <v>16500</v>
      </c>
      <c r="CU124" s="29">
        <v>88</v>
      </c>
      <c r="CV124" s="30">
        <f t="shared" si="116"/>
        <v>26213</v>
      </c>
      <c r="CW124" s="28">
        <f>PRODUCTION!CX124+'SUPLIER INWARD'!CX124</f>
        <v>18304</v>
      </c>
      <c r="CX124" s="58">
        <v>16500</v>
      </c>
      <c r="CY124" s="29">
        <v>62</v>
      </c>
      <c r="CZ124" s="30">
        <f t="shared" si="146"/>
        <v>27955</v>
      </c>
      <c r="DA124" s="28">
        <f>PRODUCTION!DB124+'SUPLIER INWARD'!DB124</f>
        <v>6002</v>
      </c>
      <c r="DB124" s="58"/>
      <c r="DC124" s="29"/>
      <c r="DD124" s="30">
        <f t="shared" si="147"/>
        <v>33957</v>
      </c>
      <c r="DE124" s="28">
        <f>PRODUCTION!DF124+'SUPLIER INWARD'!DF124</f>
        <v>7168</v>
      </c>
      <c r="DF124" s="58">
        <v>18000</v>
      </c>
      <c r="DG124" s="29">
        <v>1820</v>
      </c>
      <c r="DH124" s="30">
        <f t="shared" si="148"/>
        <v>21305</v>
      </c>
      <c r="DI124" s="28">
        <f>PRODUCTION!DJ124+'SUPLIER INWARD'!DJ124</f>
        <v>3745</v>
      </c>
      <c r="DJ124" s="58">
        <v>16500</v>
      </c>
      <c r="DK124" s="29">
        <v>0</v>
      </c>
      <c r="DL124" s="30">
        <f t="shared" si="149"/>
        <v>8550</v>
      </c>
      <c r="DM124" s="28">
        <f>PRODUCTION!DN124+'SUPLIER INWARD'!DN124</f>
        <v>0</v>
      </c>
      <c r="DN124" s="58">
        <v>13500</v>
      </c>
      <c r="DO124" s="29"/>
      <c r="DP124" s="30">
        <f t="shared" si="150"/>
        <v>-4950</v>
      </c>
      <c r="DQ124" s="28">
        <f>PRODUCTION!DR124+'SUPLIER INWARD'!DR124</f>
        <v>0</v>
      </c>
      <c r="DR124" s="57"/>
      <c r="DS124" s="29"/>
      <c r="DT124" s="30">
        <f t="shared" si="151"/>
        <v>-4950</v>
      </c>
      <c r="DU124" s="28">
        <f>PRODUCTION!DV124+'SUPLIER INWARD'!DV124</f>
        <v>0</v>
      </c>
      <c r="DV124" s="58"/>
      <c r="DW124" s="29"/>
      <c r="DX124" s="30">
        <f t="shared" si="152"/>
        <v>-4950</v>
      </c>
      <c r="DY124" s="31">
        <f t="shared" si="158"/>
        <v>300426</v>
      </c>
      <c r="DZ124" s="31">
        <f t="shared" si="156"/>
        <v>312500</v>
      </c>
      <c r="EA124" s="4">
        <f t="shared" si="157"/>
        <v>2744</v>
      </c>
      <c r="EB124" s="9">
        <f>D124*'MASTER SHEET'!D124</f>
        <v>25163.399999999998</v>
      </c>
      <c r="EC124" s="9">
        <f>H124*'MASTER SHEET'!D124</f>
        <v>35873.399999999994</v>
      </c>
      <c r="ED124" s="9">
        <f>L124*'MASTER SHEET'!D124</f>
        <v>33466.199999999997</v>
      </c>
      <c r="EE124" s="9">
        <f>P124*'MASTER SHEET'!D124</f>
        <v>33466.199999999997</v>
      </c>
      <c r="EF124" s="9">
        <f>T124*'MASTER SHEET'!D124</f>
        <v>26188.499999999996</v>
      </c>
      <c r="EG124" s="9">
        <f>X124*'MASTER SHEET'!D124</f>
        <v>24028.649999999998</v>
      </c>
      <c r="EH124" s="9">
        <f>AB124*'MASTER SHEET'!D124</f>
        <v>24701.85</v>
      </c>
      <c r="EI124" s="9">
        <f>AF124*'MASTER SHEET'!D124</f>
        <v>44217</v>
      </c>
      <c r="EJ124" s="9">
        <f>AJ124*'MASTER SHEET'!D124</f>
        <v>52545.299999999996</v>
      </c>
      <c r="EK124" s="9">
        <f>AN124*'MASTER SHEET'!D124</f>
        <v>6352.0499999999993</v>
      </c>
      <c r="EL124" s="9">
        <f>AR124*'MASTER SHEET'!D124</f>
        <v>19063.8</v>
      </c>
      <c r="EM124" s="9">
        <f>AV124*'MASTER SHEET'!D124</f>
        <v>19063.8</v>
      </c>
      <c r="EN124" s="9">
        <f>AZ124*'MASTER SHEET'!D124</f>
        <v>19063.8</v>
      </c>
      <c r="EO124" s="9">
        <f>BD124*'MASTER SHEET'!D124</f>
        <v>35289.449999999997</v>
      </c>
      <c r="EP124" s="9">
        <f>$BH124*'MASTER SHEET'!$D124</f>
        <v>56829.299999999996</v>
      </c>
      <c r="EQ124" s="9">
        <f>BL124*'MASTER SHEET'!D124</f>
        <v>71063.399999999994</v>
      </c>
      <c r="ER124" s="9">
        <f>BP124*'MASTER SHEET'!D124</f>
        <v>93046.95</v>
      </c>
      <c r="ES124" s="9">
        <f>BT124*'MASTER SHEET'!D124</f>
        <v>62426.549999999996</v>
      </c>
      <c r="ET124" s="9">
        <f>BX124*'MASTER SHEET'!D124</f>
        <v>35651.549999999996</v>
      </c>
      <c r="EU124" s="9">
        <f>CB124*'MASTER SHEET'!D124</f>
        <v>25451.55</v>
      </c>
      <c r="EV124" s="9">
        <f>CF124*'MASTER SHEET'!D124</f>
        <v>31609.8</v>
      </c>
      <c r="EW124" s="9">
        <f>CJ124*'MASTER SHEET'!D124</f>
        <v>38512.649999999994</v>
      </c>
      <c r="EX124" s="9">
        <f>CN124*'MASTER SHEET'!D124</f>
        <v>49090.049999999996</v>
      </c>
      <c r="EY124" s="9">
        <f>CR124*'MASTER SHEET'!D124</f>
        <v>62803.95</v>
      </c>
      <c r="EZ124" s="9">
        <f>$CV124*'MASTER SHEET'!D124</f>
        <v>66843.149999999994</v>
      </c>
      <c r="FA124" s="9">
        <f>CZ124*'MASTER SHEET'!D124</f>
        <v>71285.25</v>
      </c>
      <c r="FB124" s="9">
        <f>DD124*'MASTER SHEET'!D124</f>
        <v>86590.349999999991</v>
      </c>
      <c r="FC124" s="9">
        <f>DH124*'MASTER SHEET'!D124</f>
        <v>54327.749999999993</v>
      </c>
      <c r="FD124" s="9">
        <f>DL124*'MASTER SHEET'!D124</f>
        <v>21802.5</v>
      </c>
      <c r="FE124" s="9">
        <f>DP124*'MASTER SHEET'!D124</f>
        <v>-12622.5</v>
      </c>
      <c r="FF124" s="9">
        <f>DT124*'MASTER SHEET'!D124</f>
        <v>-12622.5</v>
      </c>
      <c r="FG124" s="9">
        <f>+DX124*'MASTER SHEET'!D124</f>
        <v>-12622.5</v>
      </c>
    </row>
    <row r="125" spans="1:163" ht="20.25" customHeight="1" x14ac:dyDescent="0.25">
      <c r="A125" s="25">
        <f>'MASTER SHEET'!A125</f>
        <v>123</v>
      </c>
      <c r="B125" s="168" t="str">
        <f>'MASTER SHEET'!B125</f>
        <v>KNOB LH</v>
      </c>
      <c r="C125" s="169" t="str">
        <f>'MASTER SHEET'!C125</f>
        <v>CB0000557500</v>
      </c>
      <c r="D125" s="159">
        <v>2559</v>
      </c>
      <c r="E125" s="28">
        <f>PRODUCTION!F125+'SUPLIER INWARD'!F125</f>
        <v>0</v>
      </c>
      <c r="F125" s="28"/>
      <c r="G125" s="29">
        <v>0</v>
      </c>
      <c r="H125" s="30">
        <f t="shared" si="127"/>
        <v>2559</v>
      </c>
      <c r="I125" s="28">
        <f>PRODUCTION!J125+'SUPLIER INWARD'!J125</f>
        <v>0</v>
      </c>
      <c r="J125" s="28"/>
      <c r="K125" s="29">
        <v>0</v>
      </c>
      <c r="L125" s="30">
        <f t="shared" si="128"/>
        <v>2559</v>
      </c>
      <c r="M125" s="28">
        <f>PRODUCTION!N125+'SUPLIER INWARD'!N125</f>
        <v>0</v>
      </c>
      <c r="N125" s="58"/>
      <c r="O125" s="29"/>
      <c r="P125" s="30">
        <f t="shared" si="129"/>
        <v>2559</v>
      </c>
      <c r="Q125" s="28">
        <f>PRODUCTION!R125+'SUPLIER INWARD'!R125</f>
        <v>0</v>
      </c>
      <c r="R125" s="58"/>
      <c r="S125" s="29">
        <v>0</v>
      </c>
      <c r="T125" s="30">
        <f t="shared" si="130"/>
        <v>2559</v>
      </c>
      <c r="U125" s="28">
        <f>PRODUCTION!V125+'SUPLIER INWARD'!V125</f>
        <v>0</v>
      </c>
      <c r="V125" s="58">
        <v>0</v>
      </c>
      <c r="W125" s="29">
        <v>0</v>
      </c>
      <c r="X125" s="30">
        <f t="shared" si="131"/>
        <v>2559</v>
      </c>
      <c r="Y125" s="28">
        <f>PRODUCTION!Z125+'SUPLIER INWARD'!Z125</f>
        <v>0</v>
      </c>
      <c r="Z125" s="58">
        <v>0</v>
      </c>
      <c r="AA125" s="29">
        <v>0</v>
      </c>
      <c r="AB125" s="30">
        <f t="shared" si="132"/>
        <v>2559</v>
      </c>
      <c r="AC125" s="28">
        <f>PRODUCTION!AD125+'SUPLIER INWARD'!AD125</f>
        <v>0</v>
      </c>
      <c r="AD125" s="58">
        <v>0</v>
      </c>
      <c r="AE125" s="29">
        <v>0</v>
      </c>
      <c r="AF125" s="30">
        <f t="shared" si="133"/>
        <v>2559</v>
      </c>
      <c r="AG125" s="28">
        <f>PRODUCTION!AH125+'SUPLIER INWARD'!AH125</f>
        <v>0</v>
      </c>
      <c r="AH125" s="58">
        <v>0</v>
      </c>
      <c r="AI125" s="29">
        <v>0</v>
      </c>
      <c r="AJ125" s="30">
        <f t="shared" si="134"/>
        <v>2559</v>
      </c>
      <c r="AK125" s="28">
        <f>PRODUCTION!AL125+'SUPLIER INWARD'!AL125</f>
        <v>4472</v>
      </c>
      <c r="AL125" s="58">
        <v>0</v>
      </c>
      <c r="AM125" s="29">
        <v>0</v>
      </c>
      <c r="AN125" s="30">
        <f t="shared" si="135"/>
        <v>7031</v>
      </c>
      <c r="AO125" s="28">
        <f>PRODUCTION!AP125+'SUPLIER INWARD'!AP125</f>
        <v>6352</v>
      </c>
      <c r="AP125" s="28"/>
      <c r="AQ125" s="29">
        <v>0</v>
      </c>
      <c r="AR125" s="30">
        <f t="shared" si="136"/>
        <v>13383</v>
      </c>
      <c r="AS125" s="28">
        <f>PRODUCTION!AT125+'SUPLIER INWARD'!AT125</f>
        <v>0</v>
      </c>
      <c r="AT125" s="28">
        <v>0</v>
      </c>
      <c r="AU125" s="29">
        <v>0</v>
      </c>
      <c r="AV125" s="30">
        <f t="shared" si="137"/>
        <v>13383</v>
      </c>
      <c r="AW125" s="28">
        <f>PRODUCTION!AX125+'SUPLIER INWARD'!AX125</f>
        <v>0</v>
      </c>
      <c r="AX125" s="28"/>
      <c r="AY125" s="29"/>
      <c r="AZ125" s="30">
        <f t="shared" si="138"/>
        <v>13383</v>
      </c>
      <c r="BA125" s="28">
        <f>PRODUCTION!BB125+'SUPLIER INWARD'!BB125</f>
        <v>0</v>
      </c>
      <c r="BB125" s="58">
        <v>0</v>
      </c>
      <c r="BC125" s="29">
        <v>0</v>
      </c>
      <c r="BD125" s="30">
        <f t="shared" si="139"/>
        <v>13383</v>
      </c>
      <c r="BE125" s="28">
        <f>PRODUCTION!BF125+'SUPLIER INWARD'!BF125</f>
        <v>0</v>
      </c>
      <c r="BF125" s="58">
        <v>4000</v>
      </c>
      <c r="BG125" s="29">
        <v>0</v>
      </c>
      <c r="BH125" s="30">
        <f t="shared" si="140"/>
        <v>9383</v>
      </c>
      <c r="BI125" s="28">
        <f>PRODUCTION!BJ125+'SUPLIER INWARD'!BJ125</f>
        <v>0</v>
      </c>
      <c r="BJ125" s="58">
        <v>2000</v>
      </c>
      <c r="BK125" s="29">
        <v>20</v>
      </c>
      <c r="BL125" s="30">
        <f t="shared" si="141"/>
        <v>7363</v>
      </c>
      <c r="BM125" s="28">
        <f>PRODUCTION!BN125+'SUPLIER INWARD'!BN125</f>
        <v>0</v>
      </c>
      <c r="BN125" s="58">
        <v>0</v>
      </c>
      <c r="BO125" s="29">
        <v>0</v>
      </c>
      <c r="BP125" s="30">
        <f t="shared" si="142"/>
        <v>7363</v>
      </c>
      <c r="BQ125" s="28">
        <f>PRODUCTION!BR125+'SUPLIER INWARD'!BR125</f>
        <v>0</v>
      </c>
      <c r="BR125" s="58">
        <v>0</v>
      </c>
      <c r="BS125" s="29">
        <v>0</v>
      </c>
      <c r="BT125" s="30">
        <f t="shared" si="143"/>
        <v>7363</v>
      </c>
      <c r="BU125" s="28">
        <f>PRODUCTION!BV125+'SUPLIER INWARD'!BV125</f>
        <v>0</v>
      </c>
      <c r="BV125" s="58">
        <v>0</v>
      </c>
      <c r="BW125" s="29">
        <v>0</v>
      </c>
      <c r="BX125" s="30">
        <f t="shared" si="110"/>
        <v>7363</v>
      </c>
      <c r="BY125" s="28">
        <f>PRODUCTION!BZ125+'SUPLIER INWARD'!BZ125</f>
        <v>0</v>
      </c>
      <c r="BZ125" s="58"/>
      <c r="CA125" s="29">
        <v>0</v>
      </c>
      <c r="CB125" s="30">
        <f t="shared" si="144"/>
        <v>7363</v>
      </c>
      <c r="CC125" s="28">
        <f>PRODUCTION!CD125+'SUPLIER INWARD'!CD125</f>
        <v>0</v>
      </c>
      <c r="CD125" s="58">
        <v>0</v>
      </c>
      <c r="CE125" s="29">
        <v>0</v>
      </c>
      <c r="CF125" s="30">
        <f t="shared" si="145"/>
        <v>7363</v>
      </c>
      <c r="CG125" s="28">
        <f>PRODUCTION!CH125+'SUPLIER INWARD'!CH125</f>
        <v>0</v>
      </c>
      <c r="CH125" s="58">
        <v>0</v>
      </c>
      <c r="CI125" s="29">
        <v>0</v>
      </c>
      <c r="CJ125" s="30">
        <f t="shared" si="113"/>
        <v>7363</v>
      </c>
      <c r="CK125" s="28">
        <f>PRODUCTION!CL125+'SUPLIER INWARD'!CL125</f>
        <v>0</v>
      </c>
      <c r="CL125" s="58"/>
      <c r="CM125" s="152">
        <v>0</v>
      </c>
      <c r="CN125" s="30">
        <f t="shared" si="114"/>
        <v>7363</v>
      </c>
      <c r="CO125" s="28">
        <f>PRODUCTION!CP125+'SUPLIER INWARD'!CP125</f>
        <v>0</v>
      </c>
      <c r="CP125" s="58">
        <v>0</v>
      </c>
      <c r="CQ125" s="29">
        <v>0</v>
      </c>
      <c r="CR125" s="30">
        <f t="shared" si="115"/>
        <v>7363</v>
      </c>
      <c r="CS125" s="28">
        <f>PRODUCTION!CT125+'SUPLIER INWARD'!CT125</f>
        <v>0</v>
      </c>
      <c r="CT125" s="28">
        <v>0</v>
      </c>
      <c r="CU125" s="29">
        <v>0</v>
      </c>
      <c r="CV125" s="30">
        <f t="shared" si="116"/>
        <v>7363</v>
      </c>
      <c r="CW125" s="28">
        <f>PRODUCTION!CX125+'SUPLIER INWARD'!CX125</f>
        <v>0</v>
      </c>
      <c r="CX125" s="58">
        <v>3000</v>
      </c>
      <c r="CY125" s="29">
        <v>0</v>
      </c>
      <c r="CZ125" s="30">
        <f t="shared" si="146"/>
        <v>4363</v>
      </c>
      <c r="DA125" s="28">
        <f>PRODUCTION!DB125+'SUPLIER INWARD'!DB125</f>
        <v>0</v>
      </c>
      <c r="DB125" s="58"/>
      <c r="DC125" s="29"/>
      <c r="DD125" s="30">
        <f t="shared" si="147"/>
        <v>4363</v>
      </c>
      <c r="DE125" s="28">
        <f>PRODUCTION!DF125+'SUPLIER INWARD'!DF125</f>
        <v>0</v>
      </c>
      <c r="DF125" s="58">
        <v>3000</v>
      </c>
      <c r="DG125" s="29">
        <v>36</v>
      </c>
      <c r="DH125" s="30">
        <f t="shared" si="148"/>
        <v>1327</v>
      </c>
      <c r="DI125" s="28">
        <f>PRODUCTION!DJ125+'SUPLIER INWARD'!DJ125</f>
        <v>0</v>
      </c>
      <c r="DJ125" s="58">
        <v>1000</v>
      </c>
      <c r="DK125" s="29">
        <v>114</v>
      </c>
      <c r="DL125" s="30">
        <f t="shared" si="149"/>
        <v>213</v>
      </c>
      <c r="DM125" s="28">
        <f>PRODUCTION!DN125+'SUPLIER INWARD'!DN125</f>
        <v>0</v>
      </c>
      <c r="DN125" s="58">
        <v>0</v>
      </c>
      <c r="DO125" s="29"/>
      <c r="DP125" s="30">
        <f t="shared" si="150"/>
        <v>213</v>
      </c>
      <c r="DQ125" s="28">
        <f>PRODUCTION!DR125+'SUPLIER INWARD'!DR125</f>
        <v>0</v>
      </c>
      <c r="DR125" s="57"/>
      <c r="DS125" s="29"/>
      <c r="DT125" s="30">
        <f t="shared" si="151"/>
        <v>213</v>
      </c>
      <c r="DU125" s="28">
        <f>PRODUCTION!DV125+'SUPLIER INWARD'!DV125</f>
        <v>0</v>
      </c>
      <c r="DV125" s="58"/>
      <c r="DW125" s="29"/>
      <c r="DX125" s="30">
        <f t="shared" si="152"/>
        <v>213</v>
      </c>
      <c r="DY125" s="31">
        <f t="shared" si="158"/>
        <v>10824</v>
      </c>
      <c r="DZ125" s="31">
        <f t="shared" si="156"/>
        <v>13000</v>
      </c>
      <c r="EA125" s="4">
        <f t="shared" si="157"/>
        <v>170</v>
      </c>
      <c r="EB125" s="9">
        <f>D125*'MASTER SHEET'!D125</f>
        <v>14458.35</v>
      </c>
      <c r="EC125" s="9">
        <f>H125*'MASTER SHEET'!D125</f>
        <v>14458.35</v>
      </c>
      <c r="ED125" s="9">
        <f>L125*'MASTER SHEET'!D125</f>
        <v>14458.35</v>
      </c>
      <c r="EE125" s="9">
        <f>P125*'MASTER SHEET'!D125</f>
        <v>14458.35</v>
      </c>
      <c r="EF125" s="9">
        <f>T125*'MASTER SHEET'!D125</f>
        <v>14458.35</v>
      </c>
      <c r="EG125" s="9">
        <f>X125*'MASTER SHEET'!D125</f>
        <v>14458.35</v>
      </c>
      <c r="EH125" s="9">
        <f>AB125*'MASTER SHEET'!D125</f>
        <v>14458.35</v>
      </c>
      <c r="EI125" s="9">
        <f>AF125*'MASTER SHEET'!D125</f>
        <v>14458.35</v>
      </c>
      <c r="EJ125" s="9">
        <f>AJ125*'MASTER SHEET'!D125</f>
        <v>14458.35</v>
      </c>
      <c r="EK125" s="9">
        <f>AN125*'MASTER SHEET'!D125</f>
        <v>39725.15</v>
      </c>
      <c r="EL125" s="9">
        <f>AR125*'MASTER SHEET'!D125</f>
        <v>75613.950000000012</v>
      </c>
      <c r="EM125" s="9">
        <f>AV125*'MASTER SHEET'!D125</f>
        <v>75613.950000000012</v>
      </c>
      <c r="EN125" s="9">
        <f>AZ125*'MASTER SHEET'!D125</f>
        <v>75613.950000000012</v>
      </c>
      <c r="EO125" s="9">
        <f>BD125*'MASTER SHEET'!D125</f>
        <v>75613.950000000012</v>
      </c>
      <c r="EP125" s="9">
        <f>$BH125*'MASTER SHEET'!$D125</f>
        <v>53013.950000000004</v>
      </c>
      <c r="EQ125" s="9">
        <f>BL125*'MASTER SHEET'!D125</f>
        <v>41600.950000000004</v>
      </c>
      <c r="ER125" s="9">
        <f>BP125*'MASTER SHEET'!D125</f>
        <v>41600.950000000004</v>
      </c>
      <c r="ES125" s="9">
        <f>BT125*'MASTER SHEET'!D125</f>
        <v>41600.950000000004</v>
      </c>
      <c r="ET125" s="9">
        <f>BX125*'MASTER SHEET'!D125</f>
        <v>41600.950000000004</v>
      </c>
      <c r="EU125" s="9">
        <f>CB125*'MASTER SHEET'!D125</f>
        <v>41600.950000000004</v>
      </c>
      <c r="EV125" s="9">
        <f>CF125*'MASTER SHEET'!D125</f>
        <v>41600.950000000004</v>
      </c>
      <c r="EW125" s="9">
        <f>CJ125*'MASTER SHEET'!D125</f>
        <v>41600.950000000004</v>
      </c>
      <c r="EX125" s="9">
        <f>CN125*'MASTER SHEET'!D125</f>
        <v>41600.950000000004</v>
      </c>
      <c r="EY125" s="9">
        <f>CR125*'MASTER SHEET'!D125</f>
        <v>41600.950000000004</v>
      </c>
      <c r="EZ125" s="9">
        <f>$CV125*'MASTER SHEET'!D125</f>
        <v>41600.950000000004</v>
      </c>
      <c r="FA125" s="9">
        <f>CZ125*'MASTER SHEET'!D125</f>
        <v>24650.95</v>
      </c>
      <c r="FB125" s="9">
        <f>DD125*'MASTER SHEET'!D125</f>
        <v>24650.95</v>
      </c>
      <c r="FC125" s="9">
        <f>DH125*'MASTER SHEET'!D125</f>
        <v>7497.55</v>
      </c>
      <c r="FD125" s="9">
        <f>DL125*'MASTER SHEET'!D125</f>
        <v>1203.45</v>
      </c>
      <c r="FE125" s="9">
        <f>DP125*'MASTER SHEET'!D125</f>
        <v>1203.45</v>
      </c>
      <c r="FF125" s="9">
        <f>DT125*'MASTER SHEET'!D125</f>
        <v>1203.45</v>
      </c>
      <c r="FG125" s="9">
        <f>+DX125*'MASTER SHEET'!D125</f>
        <v>1203.45</v>
      </c>
    </row>
    <row r="126" spans="1:163" ht="20.25" customHeight="1" x14ac:dyDescent="0.25">
      <c r="A126" s="25">
        <f>'MASTER SHEET'!A126</f>
        <v>124</v>
      </c>
      <c r="B126" s="168" t="str">
        <f>'MASTER SHEET'!B126</f>
        <v>KNOB RH</v>
      </c>
      <c r="C126" s="169" t="str">
        <f>'MASTER SHEET'!C126</f>
        <v>CC0000557600</v>
      </c>
      <c r="D126" s="159">
        <v>2455</v>
      </c>
      <c r="E126" s="28">
        <f>PRODUCTION!F126+'SUPLIER INWARD'!F126</f>
        <v>0</v>
      </c>
      <c r="F126" s="28">
        <v>1000</v>
      </c>
      <c r="G126" s="29">
        <v>0</v>
      </c>
      <c r="H126" s="30">
        <f t="shared" si="127"/>
        <v>1455</v>
      </c>
      <c r="I126" s="28">
        <f>PRODUCTION!J126+'SUPLIER INWARD'!J126</f>
        <v>0</v>
      </c>
      <c r="J126" s="28"/>
      <c r="K126" s="29">
        <v>0</v>
      </c>
      <c r="L126" s="30">
        <f t="shared" si="128"/>
        <v>1455</v>
      </c>
      <c r="M126" s="28">
        <f>PRODUCTION!N126+'SUPLIER INWARD'!N126</f>
        <v>0</v>
      </c>
      <c r="N126" s="58"/>
      <c r="O126" s="29"/>
      <c r="P126" s="30">
        <f t="shared" si="129"/>
        <v>1455</v>
      </c>
      <c r="Q126" s="28">
        <f>PRODUCTION!R126+'SUPLIER INWARD'!R126</f>
        <v>0</v>
      </c>
      <c r="R126" s="58"/>
      <c r="S126" s="29">
        <v>0</v>
      </c>
      <c r="T126" s="30">
        <f t="shared" si="130"/>
        <v>1455</v>
      </c>
      <c r="U126" s="28">
        <f>PRODUCTION!V126+'SUPLIER INWARD'!V126</f>
        <v>0</v>
      </c>
      <c r="V126" s="58">
        <v>0</v>
      </c>
      <c r="W126" s="29">
        <v>0</v>
      </c>
      <c r="X126" s="30">
        <f t="shared" si="131"/>
        <v>1455</v>
      </c>
      <c r="Y126" s="28">
        <f>PRODUCTION!Z126+'SUPLIER INWARD'!Z126</f>
        <v>0</v>
      </c>
      <c r="Z126" s="58">
        <v>0</v>
      </c>
      <c r="AA126" s="29">
        <v>0</v>
      </c>
      <c r="AB126" s="30">
        <f t="shared" si="132"/>
        <v>1455</v>
      </c>
      <c r="AC126" s="28">
        <f>PRODUCTION!AD126+'SUPLIER INWARD'!AD126</f>
        <v>0</v>
      </c>
      <c r="AD126" s="58">
        <v>0</v>
      </c>
      <c r="AE126" s="29">
        <v>0</v>
      </c>
      <c r="AF126" s="30">
        <f t="shared" si="133"/>
        <v>1455</v>
      </c>
      <c r="AG126" s="28">
        <f>PRODUCTION!AH126+'SUPLIER INWARD'!AH126</f>
        <v>0</v>
      </c>
      <c r="AH126" s="58">
        <v>0</v>
      </c>
      <c r="AI126" s="29">
        <v>0</v>
      </c>
      <c r="AJ126" s="30">
        <f t="shared" si="134"/>
        <v>1455</v>
      </c>
      <c r="AK126" s="28">
        <f>PRODUCTION!AL126+'SUPLIER INWARD'!AL126</f>
        <v>4472</v>
      </c>
      <c r="AL126" s="58">
        <v>0</v>
      </c>
      <c r="AM126" s="29">
        <v>0</v>
      </c>
      <c r="AN126" s="30">
        <f t="shared" si="135"/>
        <v>5927</v>
      </c>
      <c r="AO126" s="28">
        <f>PRODUCTION!AP126+'SUPLIER INWARD'!AP126</f>
        <v>6352</v>
      </c>
      <c r="AP126" s="28"/>
      <c r="AQ126" s="29">
        <v>0</v>
      </c>
      <c r="AR126" s="30">
        <f t="shared" si="136"/>
        <v>12279</v>
      </c>
      <c r="AS126" s="28">
        <f>PRODUCTION!AT126+'SUPLIER INWARD'!AT126</f>
        <v>0</v>
      </c>
      <c r="AT126" s="28">
        <v>0</v>
      </c>
      <c r="AU126" s="29">
        <v>0</v>
      </c>
      <c r="AV126" s="30">
        <f t="shared" si="137"/>
        <v>12279</v>
      </c>
      <c r="AW126" s="28">
        <f>PRODUCTION!AX126+'SUPLIER INWARD'!AX126</f>
        <v>0</v>
      </c>
      <c r="AX126" s="28"/>
      <c r="AY126" s="29"/>
      <c r="AZ126" s="30">
        <f t="shared" si="138"/>
        <v>12279</v>
      </c>
      <c r="BA126" s="28">
        <f>PRODUCTION!BB126+'SUPLIER INWARD'!BB126</f>
        <v>0</v>
      </c>
      <c r="BB126" s="58">
        <v>0</v>
      </c>
      <c r="BC126" s="29">
        <v>0</v>
      </c>
      <c r="BD126" s="30">
        <f t="shared" si="139"/>
        <v>12279</v>
      </c>
      <c r="BE126" s="28">
        <f>PRODUCTION!BF126+'SUPLIER INWARD'!BF126</f>
        <v>0</v>
      </c>
      <c r="BF126" s="58"/>
      <c r="BG126" s="29">
        <v>0</v>
      </c>
      <c r="BH126" s="30">
        <f t="shared" si="140"/>
        <v>12279</v>
      </c>
      <c r="BI126" s="28">
        <f>PRODUCTION!BJ126+'SUPLIER INWARD'!BJ126</f>
        <v>0</v>
      </c>
      <c r="BJ126" s="58">
        <v>2000</v>
      </c>
      <c r="BK126" s="29">
        <v>47</v>
      </c>
      <c r="BL126" s="30">
        <f t="shared" si="141"/>
        <v>10232</v>
      </c>
      <c r="BM126" s="28">
        <f>PRODUCTION!BN126+'SUPLIER INWARD'!BN126</f>
        <v>0</v>
      </c>
      <c r="BN126" s="58">
        <v>0</v>
      </c>
      <c r="BO126" s="29">
        <v>0</v>
      </c>
      <c r="BP126" s="30">
        <f t="shared" si="142"/>
        <v>10232</v>
      </c>
      <c r="BQ126" s="28">
        <f>PRODUCTION!BR126+'SUPLIER INWARD'!BR126</f>
        <v>0</v>
      </c>
      <c r="BR126" s="58">
        <v>0</v>
      </c>
      <c r="BS126" s="29">
        <v>0</v>
      </c>
      <c r="BT126" s="30">
        <f t="shared" si="143"/>
        <v>10232</v>
      </c>
      <c r="BU126" s="28">
        <f>PRODUCTION!BV126+'SUPLIER INWARD'!BV126</f>
        <v>0</v>
      </c>
      <c r="BV126" s="58">
        <v>0</v>
      </c>
      <c r="BW126" s="29">
        <v>0</v>
      </c>
      <c r="BX126" s="30">
        <f t="shared" si="110"/>
        <v>10232</v>
      </c>
      <c r="BY126" s="28">
        <f>PRODUCTION!BZ126+'SUPLIER INWARD'!BZ126</f>
        <v>0</v>
      </c>
      <c r="BZ126" s="58"/>
      <c r="CA126" s="29">
        <v>0</v>
      </c>
      <c r="CB126" s="30">
        <f t="shared" si="144"/>
        <v>10232</v>
      </c>
      <c r="CC126" s="28">
        <f>PRODUCTION!CD126+'SUPLIER INWARD'!CD126</f>
        <v>0</v>
      </c>
      <c r="CD126" s="58">
        <v>0</v>
      </c>
      <c r="CE126" s="29">
        <v>0</v>
      </c>
      <c r="CF126" s="30">
        <f t="shared" si="145"/>
        <v>10232</v>
      </c>
      <c r="CG126" s="28">
        <f>PRODUCTION!CH126+'SUPLIER INWARD'!CH126</f>
        <v>0</v>
      </c>
      <c r="CH126" s="58">
        <v>0</v>
      </c>
      <c r="CI126" s="29">
        <v>0</v>
      </c>
      <c r="CJ126" s="30">
        <f t="shared" si="113"/>
        <v>10232</v>
      </c>
      <c r="CK126" s="28">
        <f>PRODUCTION!CL126+'SUPLIER INWARD'!CL126</f>
        <v>0</v>
      </c>
      <c r="CL126" s="58"/>
      <c r="CM126" s="152">
        <v>0</v>
      </c>
      <c r="CN126" s="30">
        <f t="shared" si="114"/>
        <v>10232</v>
      </c>
      <c r="CO126" s="28">
        <f>PRODUCTION!CP126+'SUPLIER INWARD'!CP126</f>
        <v>0</v>
      </c>
      <c r="CP126" s="58">
        <v>0</v>
      </c>
      <c r="CQ126" s="29">
        <v>0</v>
      </c>
      <c r="CR126" s="30">
        <f t="shared" si="115"/>
        <v>10232</v>
      </c>
      <c r="CS126" s="28">
        <f>PRODUCTION!CT126+'SUPLIER INWARD'!CT126</f>
        <v>0</v>
      </c>
      <c r="CT126" s="28">
        <v>0</v>
      </c>
      <c r="CU126" s="29">
        <v>0</v>
      </c>
      <c r="CV126" s="30">
        <f t="shared" si="116"/>
        <v>10232</v>
      </c>
      <c r="CW126" s="28">
        <f>PRODUCTION!CX126+'SUPLIER INWARD'!CX126</f>
        <v>0</v>
      </c>
      <c r="CX126" s="58">
        <v>3000</v>
      </c>
      <c r="CY126" s="29">
        <v>0</v>
      </c>
      <c r="CZ126" s="30">
        <f t="shared" si="146"/>
        <v>7232</v>
      </c>
      <c r="DA126" s="28">
        <f>PRODUCTION!DB126+'SUPLIER INWARD'!DB126</f>
        <v>0</v>
      </c>
      <c r="DB126" s="58"/>
      <c r="DC126" s="29"/>
      <c r="DD126" s="30">
        <f t="shared" si="147"/>
        <v>7232</v>
      </c>
      <c r="DE126" s="28">
        <f>PRODUCTION!DF126+'SUPLIER INWARD'!DF126</f>
        <v>0</v>
      </c>
      <c r="DF126" s="58">
        <v>3000</v>
      </c>
      <c r="DG126" s="29">
        <v>9</v>
      </c>
      <c r="DH126" s="30">
        <f t="shared" si="148"/>
        <v>4223</v>
      </c>
      <c r="DI126" s="28">
        <f>PRODUCTION!DJ126+'SUPLIER INWARD'!DJ126</f>
        <v>0</v>
      </c>
      <c r="DJ126" s="58">
        <v>3000</v>
      </c>
      <c r="DK126" s="29">
        <v>29</v>
      </c>
      <c r="DL126" s="30">
        <f t="shared" si="149"/>
        <v>1194</v>
      </c>
      <c r="DM126" s="28">
        <f>PRODUCTION!DN126+'SUPLIER INWARD'!DN126</f>
        <v>0</v>
      </c>
      <c r="DN126" s="58">
        <v>0</v>
      </c>
      <c r="DO126" s="29"/>
      <c r="DP126" s="30">
        <f t="shared" si="150"/>
        <v>1194</v>
      </c>
      <c r="DQ126" s="28">
        <f>PRODUCTION!DR126+'SUPLIER INWARD'!DR126</f>
        <v>0</v>
      </c>
      <c r="DR126" s="57"/>
      <c r="DS126" s="29"/>
      <c r="DT126" s="30">
        <f t="shared" si="151"/>
        <v>1194</v>
      </c>
      <c r="DU126" s="28">
        <f>PRODUCTION!DV126+'SUPLIER INWARD'!DV126</f>
        <v>0</v>
      </c>
      <c r="DV126" s="58"/>
      <c r="DW126" s="29"/>
      <c r="DX126" s="30">
        <f t="shared" si="152"/>
        <v>1194</v>
      </c>
      <c r="DY126" s="31">
        <f t="shared" si="158"/>
        <v>10824</v>
      </c>
      <c r="DZ126" s="31">
        <f t="shared" si="156"/>
        <v>12000</v>
      </c>
      <c r="EA126" s="4">
        <f t="shared" si="157"/>
        <v>85</v>
      </c>
      <c r="EB126" s="9">
        <f>D126*'MASTER SHEET'!D126</f>
        <v>13870.75</v>
      </c>
      <c r="EC126" s="9">
        <f>H126*'MASTER SHEET'!D126</f>
        <v>8220.75</v>
      </c>
      <c r="ED126" s="9">
        <f>L126*'MASTER SHEET'!D126</f>
        <v>8220.75</v>
      </c>
      <c r="EE126" s="9">
        <f>P126*'MASTER SHEET'!D126</f>
        <v>8220.75</v>
      </c>
      <c r="EF126" s="9">
        <f>T126*'MASTER SHEET'!D126</f>
        <v>8220.75</v>
      </c>
      <c r="EG126" s="9">
        <f>X126*'MASTER SHEET'!D126</f>
        <v>8220.75</v>
      </c>
      <c r="EH126" s="9">
        <f>AB126*'MASTER SHEET'!D126</f>
        <v>8220.75</v>
      </c>
      <c r="EI126" s="9">
        <f>AF126*'MASTER SHEET'!D126</f>
        <v>8220.75</v>
      </c>
      <c r="EJ126" s="9">
        <f>AJ126*'MASTER SHEET'!D126</f>
        <v>8220.75</v>
      </c>
      <c r="EK126" s="9">
        <f>AN126*'MASTER SHEET'!D126</f>
        <v>33487.550000000003</v>
      </c>
      <c r="EL126" s="9">
        <f>AR126*'MASTER SHEET'!D126</f>
        <v>69376.350000000006</v>
      </c>
      <c r="EM126" s="9">
        <f>AV126*'MASTER SHEET'!D126</f>
        <v>69376.350000000006</v>
      </c>
      <c r="EN126" s="9">
        <f>AZ126*'MASTER SHEET'!D126</f>
        <v>69376.350000000006</v>
      </c>
      <c r="EO126" s="9">
        <f>BD126*'MASTER SHEET'!D126</f>
        <v>69376.350000000006</v>
      </c>
      <c r="EP126" s="9">
        <f>$BH126*'MASTER SHEET'!$D126</f>
        <v>69376.350000000006</v>
      </c>
      <c r="EQ126" s="9">
        <f>BL126*'MASTER SHEET'!D126</f>
        <v>57810.8</v>
      </c>
      <c r="ER126" s="9">
        <f>BP126*'MASTER SHEET'!D126</f>
        <v>57810.8</v>
      </c>
      <c r="ES126" s="9">
        <f>BT126*'MASTER SHEET'!D126</f>
        <v>57810.8</v>
      </c>
      <c r="ET126" s="9">
        <f>BX126*'MASTER SHEET'!D126</f>
        <v>57810.8</v>
      </c>
      <c r="EU126" s="9">
        <f>CB126*'MASTER SHEET'!D126</f>
        <v>57810.8</v>
      </c>
      <c r="EV126" s="9">
        <f>CF126*'MASTER SHEET'!D126</f>
        <v>57810.8</v>
      </c>
      <c r="EW126" s="9">
        <f>CJ126*'MASTER SHEET'!D126</f>
        <v>57810.8</v>
      </c>
      <c r="EX126" s="9">
        <f>CN126*'MASTER SHEET'!D126</f>
        <v>57810.8</v>
      </c>
      <c r="EY126" s="9">
        <f>CR126*'MASTER SHEET'!D126</f>
        <v>57810.8</v>
      </c>
      <c r="EZ126" s="9">
        <f>$CV126*'MASTER SHEET'!D126</f>
        <v>57810.8</v>
      </c>
      <c r="FA126" s="9">
        <f>CZ126*'MASTER SHEET'!D126</f>
        <v>40860.800000000003</v>
      </c>
      <c r="FB126" s="9">
        <f>DD126*'MASTER SHEET'!D126</f>
        <v>40860.800000000003</v>
      </c>
      <c r="FC126" s="9">
        <f>DH126*'MASTER SHEET'!D126</f>
        <v>23859.95</v>
      </c>
      <c r="FD126" s="9">
        <f>DL126*'MASTER SHEET'!D126</f>
        <v>6746.1</v>
      </c>
      <c r="FE126" s="9">
        <f>DP126*'MASTER SHEET'!D126</f>
        <v>6746.1</v>
      </c>
      <c r="FF126" s="9">
        <f>DT126*'MASTER SHEET'!D126</f>
        <v>6746.1</v>
      </c>
      <c r="FG126" s="9">
        <f>+DX126*'MASTER SHEET'!D126</f>
        <v>6746.1</v>
      </c>
    </row>
    <row r="127" spans="1:163" ht="20.25" customHeight="1" x14ac:dyDescent="0.25">
      <c r="A127" s="25">
        <f>'MASTER SHEET'!A127</f>
        <v>125</v>
      </c>
      <c r="B127" s="168" t="str">
        <f>'MASTER SHEET'!B127</f>
        <v>TIAGO MCE IDH LEVER GRAINED RH</v>
      </c>
      <c r="C127" s="169" t="str">
        <f>'MASTER SHEET'!C127</f>
        <v>CC00004728</v>
      </c>
      <c r="D127" s="163">
        <f>500+200</f>
        <v>700</v>
      </c>
      <c r="E127" s="28">
        <f>PRODUCTION!F127+'SUPLIER INWARD'!F127</f>
        <v>0</v>
      </c>
      <c r="F127" s="28"/>
      <c r="G127" s="29">
        <v>0</v>
      </c>
      <c r="H127" s="30">
        <f t="shared" si="127"/>
        <v>700</v>
      </c>
      <c r="I127" s="28">
        <f>PRODUCTION!J127+'SUPLIER INWARD'!J127</f>
        <v>0</v>
      </c>
      <c r="J127" s="28"/>
      <c r="K127" s="29">
        <v>0</v>
      </c>
      <c r="L127" s="30">
        <f t="shared" si="128"/>
        <v>700</v>
      </c>
      <c r="M127" s="28">
        <f>PRODUCTION!N127+'SUPLIER INWARD'!N127</f>
        <v>0</v>
      </c>
      <c r="N127" s="58"/>
      <c r="O127" s="29"/>
      <c r="P127" s="30">
        <f t="shared" si="129"/>
        <v>700</v>
      </c>
      <c r="Q127" s="28">
        <f>PRODUCTION!R127+'SUPLIER INWARD'!R127</f>
        <v>0</v>
      </c>
      <c r="R127" s="58"/>
      <c r="S127" s="29">
        <v>0</v>
      </c>
      <c r="T127" s="30">
        <f t="shared" si="130"/>
        <v>700</v>
      </c>
      <c r="U127" s="28">
        <f>PRODUCTION!V127+'SUPLIER INWARD'!V127</f>
        <v>0</v>
      </c>
      <c r="V127" s="58">
        <v>0</v>
      </c>
      <c r="W127" s="29">
        <v>0</v>
      </c>
      <c r="X127" s="30">
        <f t="shared" si="131"/>
        <v>700</v>
      </c>
      <c r="Y127" s="28">
        <f>PRODUCTION!Z127+'SUPLIER INWARD'!Z127</f>
        <v>0</v>
      </c>
      <c r="Z127" s="58">
        <v>0</v>
      </c>
      <c r="AA127" s="29">
        <v>0</v>
      </c>
      <c r="AB127" s="30">
        <f t="shared" si="132"/>
        <v>700</v>
      </c>
      <c r="AC127" s="28">
        <f>PRODUCTION!AD127+'SUPLIER INWARD'!AD127</f>
        <v>2062</v>
      </c>
      <c r="AD127" s="58">
        <v>714</v>
      </c>
      <c r="AE127" s="29">
        <v>0</v>
      </c>
      <c r="AF127" s="30">
        <f t="shared" si="133"/>
        <v>2048</v>
      </c>
      <c r="AG127" s="28">
        <f>PRODUCTION!AH127+'SUPLIER INWARD'!AH127</f>
        <v>1996</v>
      </c>
      <c r="AH127" s="58">
        <v>2176</v>
      </c>
      <c r="AI127" s="29">
        <v>0</v>
      </c>
      <c r="AJ127" s="30">
        <f t="shared" si="134"/>
        <v>1868</v>
      </c>
      <c r="AK127" s="28">
        <f>PRODUCTION!AL127+'SUPLIER INWARD'!AL127</f>
        <v>0</v>
      </c>
      <c r="AL127" s="58">
        <v>1632</v>
      </c>
      <c r="AM127" s="29">
        <v>0</v>
      </c>
      <c r="AN127" s="30">
        <f t="shared" si="135"/>
        <v>236</v>
      </c>
      <c r="AO127" s="28">
        <f>PRODUCTION!AP127+'SUPLIER INWARD'!AP127</f>
        <v>0</v>
      </c>
      <c r="AP127" s="28"/>
      <c r="AQ127" s="29">
        <v>0</v>
      </c>
      <c r="AR127" s="30">
        <f t="shared" si="136"/>
        <v>236</v>
      </c>
      <c r="AS127" s="28">
        <f>PRODUCTION!AT127+'SUPLIER INWARD'!AT127</f>
        <v>0</v>
      </c>
      <c r="AT127" s="28">
        <v>0</v>
      </c>
      <c r="AU127" s="29">
        <v>0</v>
      </c>
      <c r="AV127" s="30">
        <f t="shared" si="137"/>
        <v>236</v>
      </c>
      <c r="AW127" s="28">
        <f>PRODUCTION!AX127+'SUPLIER INWARD'!AX127</f>
        <v>0</v>
      </c>
      <c r="AX127" s="28"/>
      <c r="AY127" s="29"/>
      <c r="AZ127" s="30">
        <f t="shared" si="138"/>
        <v>236</v>
      </c>
      <c r="BA127" s="28">
        <f>PRODUCTION!BB127+'SUPLIER INWARD'!BB127</f>
        <v>2337</v>
      </c>
      <c r="BB127" s="58">
        <v>918</v>
      </c>
      <c r="BC127" s="29">
        <v>0</v>
      </c>
      <c r="BD127" s="30">
        <f t="shared" si="139"/>
        <v>1655</v>
      </c>
      <c r="BE127" s="28">
        <f>PRODUCTION!BF127+'SUPLIER INWARD'!BF127</f>
        <v>2458</v>
      </c>
      <c r="BF127" s="58">
        <v>2142</v>
      </c>
      <c r="BG127" s="29">
        <v>0</v>
      </c>
      <c r="BH127" s="30">
        <f t="shared" si="140"/>
        <v>1971</v>
      </c>
      <c r="BI127" s="28">
        <f>PRODUCTION!BJ127+'SUPLIER INWARD'!BJ127</f>
        <v>383</v>
      </c>
      <c r="BJ127" s="58">
        <v>2176</v>
      </c>
      <c r="BK127" s="29">
        <v>0</v>
      </c>
      <c r="BL127" s="30">
        <f t="shared" si="141"/>
        <v>178</v>
      </c>
      <c r="BM127" s="28">
        <f>PRODUCTION!BN127+'SUPLIER INWARD'!BN127</f>
        <v>0</v>
      </c>
      <c r="BN127" s="58">
        <v>0</v>
      </c>
      <c r="BO127" s="29">
        <v>0</v>
      </c>
      <c r="BP127" s="30">
        <f t="shared" si="142"/>
        <v>178</v>
      </c>
      <c r="BQ127" s="28">
        <f>PRODUCTION!BR127+'SUPLIER INWARD'!BR127</f>
        <v>0</v>
      </c>
      <c r="BR127" s="58">
        <v>0</v>
      </c>
      <c r="BS127" s="29">
        <v>0</v>
      </c>
      <c r="BT127" s="30">
        <f t="shared" si="143"/>
        <v>178</v>
      </c>
      <c r="BU127" s="28">
        <f>PRODUCTION!BV127+'SUPLIER INWARD'!BV127</f>
        <v>0</v>
      </c>
      <c r="BV127" s="58">
        <v>0</v>
      </c>
      <c r="BW127" s="29">
        <v>0</v>
      </c>
      <c r="BX127" s="30">
        <f t="shared" si="110"/>
        <v>178</v>
      </c>
      <c r="BY127" s="28">
        <f>PRODUCTION!BZ127+'SUPLIER INWARD'!BZ127</f>
        <v>0</v>
      </c>
      <c r="BZ127" s="58"/>
      <c r="CA127" s="29">
        <v>0</v>
      </c>
      <c r="CB127" s="30">
        <f t="shared" si="144"/>
        <v>178</v>
      </c>
      <c r="CC127" s="28">
        <f>PRODUCTION!CD127+'SUPLIER INWARD'!CD127</f>
        <v>0</v>
      </c>
      <c r="CD127" s="58">
        <v>0</v>
      </c>
      <c r="CE127" s="29">
        <v>0</v>
      </c>
      <c r="CF127" s="30">
        <f t="shared" si="145"/>
        <v>178</v>
      </c>
      <c r="CG127" s="28">
        <f>PRODUCTION!CH127+'SUPLIER INWARD'!CH127</f>
        <v>0</v>
      </c>
      <c r="CH127" s="58">
        <v>0</v>
      </c>
      <c r="CI127" s="29">
        <v>0</v>
      </c>
      <c r="CJ127" s="30">
        <f t="shared" si="113"/>
        <v>178</v>
      </c>
      <c r="CK127" s="28">
        <f>PRODUCTION!CL127+'SUPLIER INWARD'!CL127</f>
        <v>2754</v>
      </c>
      <c r="CL127" s="58"/>
      <c r="CM127" s="152">
        <v>0</v>
      </c>
      <c r="CN127" s="30">
        <f t="shared" si="114"/>
        <v>2932</v>
      </c>
      <c r="CO127" s="28">
        <f>PRODUCTION!CP127+'SUPLIER INWARD'!CP127</f>
        <v>2584</v>
      </c>
      <c r="CP127" s="58">
        <v>2346</v>
      </c>
      <c r="CQ127" s="29">
        <v>0</v>
      </c>
      <c r="CR127" s="30">
        <f t="shared" si="115"/>
        <v>3170</v>
      </c>
      <c r="CS127" s="28">
        <f>PRODUCTION!CT127+'SUPLIER INWARD'!CT127</f>
        <v>1158</v>
      </c>
      <c r="CT127" s="28">
        <v>2176</v>
      </c>
      <c r="CU127" s="29">
        <v>0</v>
      </c>
      <c r="CV127" s="30">
        <f t="shared" si="116"/>
        <v>2152</v>
      </c>
      <c r="CW127" s="28">
        <f>PRODUCTION!CX127+'SUPLIER INWARD'!CX127</f>
        <v>1023</v>
      </c>
      <c r="CX127" s="58">
        <v>1088</v>
      </c>
      <c r="CY127" s="29">
        <v>0</v>
      </c>
      <c r="CZ127" s="30">
        <f t="shared" si="146"/>
        <v>2087</v>
      </c>
      <c r="DA127" s="28">
        <f>PRODUCTION!DB127+'SUPLIER INWARD'!DB127</f>
        <v>0</v>
      </c>
      <c r="DB127" s="58"/>
      <c r="DC127" s="29"/>
      <c r="DD127" s="30">
        <f t="shared" si="147"/>
        <v>2087</v>
      </c>
      <c r="DE127" s="28">
        <f>PRODUCTION!DF127+'SUPLIER INWARD'!DF127</f>
        <v>0</v>
      </c>
      <c r="DF127" s="58">
        <v>272</v>
      </c>
      <c r="DG127" s="29">
        <v>0</v>
      </c>
      <c r="DH127" s="30">
        <f t="shared" si="148"/>
        <v>1815</v>
      </c>
      <c r="DI127" s="28">
        <f>PRODUCTION!DJ127+'SUPLIER INWARD'!DJ127</f>
        <v>0</v>
      </c>
      <c r="DJ127" s="58">
        <v>0</v>
      </c>
      <c r="DK127" s="29">
        <v>0</v>
      </c>
      <c r="DL127" s="30">
        <f t="shared" si="149"/>
        <v>1815</v>
      </c>
      <c r="DM127" s="28">
        <f>PRODUCTION!DN127+'SUPLIER INWARD'!DN127</f>
        <v>21</v>
      </c>
      <c r="DN127" s="58">
        <v>0</v>
      </c>
      <c r="DO127" s="29"/>
      <c r="DP127" s="30">
        <f t="shared" si="150"/>
        <v>1836</v>
      </c>
      <c r="DQ127" s="28">
        <f>PRODUCTION!DR127+'SUPLIER INWARD'!DR127</f>
        <v>0</v>
      </c>
      <c r="DR127" s="57"/>
      <c r="DS127" s="29"/>
      <c r="DT127" s="30">
        <f t="shared" si="151"/>
        <v>1836</v>
      </c>
      <c r="DU127" s="28">
        <f>PRODUCTION!DV127+'SUPLIER INWARD'!DV127</f>
        <v>0</v>
      </c>
      <c r="DV127" s="58"/>
      <c r="DW127" s="29"/>
      <c r="DX127" s="30">
        <f t="shared" si="152"/>
        <v>1836</v>
      </c>
      <c r="DY127" s="31">
        <f t="shared" si="158"/>
        <v>16776</v>
      </c>
      <c r="DZ127" s="31">
        <f t="shared" si="156"/>
        <v>15640</v>
      </c>
      <c r="EA127" s="4">
        <f t="shared" si="157"/>
        <v>0</v>
      </c>
      <c r="EB127" s="9">
        <f>D127*'MASTER SHEET'!D127</f>
        <v>9345</v>
      </c>
      <c r="EC127" s="9">
        <f>H127*'MASTER SHEET'!D127</f>
        <v>9345</v>
      </c>
      <c r="ED127" s="9">
        <f>L127*'MASTER SHEET'!D127</f>
        <v>9345</v>
      </c>
      <c r="EE127" s="9">
        <f>P127*'MASTER SHEET'!D127</f>
        <v>9345</v>
      </c>
      <c r="EF127" s="9">
        <f>T127*'MASTER SHEET'!D127</f>
        <v>9345</v>
      </c>
      <c r="EG127" s="9">
        <f>X127*'MASTER SHEET'!D127</f>
        <v>9345</v>
      </c>
      <c r="EH127" s="9">
        <f>AB127*'MASTER SHEET'!D127</f>
        <v>9345</v>
      </c>
      <c r="EI127" s="9">
        <f>AF127*'MASTER SHEET'!D127</f>
        <v>27340.799999999999</v>
      </c>
      <c r="EJ127" s="9">
        <f>AJ127*'MASTER SHEET'!D127</f>
        <v>24937.8</v>
      </c>
      <c r="EK127" s="9">
        <f>AN127*'MASTER SHEET'!D127</f>
        <v>3150.6</v>
      </c>
      <c r="EL127" s="9">
        <f>AR127*'MASTER SHEET'!D127</f>
        <v>3150.6</v>
      </c>
      <c r="EM127" s="9">
        <f>AV127*'MASTER SHEET'!D127</f>
        <v>3150.6</v>
      </c>
      <c r="EN127" s="9">
        <f>AZ127*'MASTER SHEET'!D127</f>
        <v>3150.6</v>
      </c>
      <c r="EO127" s="9">
        <f>BD127*'MASTER SHEET'!D127</f>
        <v>22094.25</v>
      </c>
      <c r="EP127" s="9">
        <f>$BH127*'MASTER SHEET'!$D127</f>
        <v>26312.85</v>
      </c>
      <c r="EQ127" s="9">
        <f>BL127*'MASTER SHEET'!D127</f>
        <v>2376.2999999999997</v>
      </c>
      <c r="ER127" s="9">
        <f>BP127*'MASTER SHEET'!D127</f>
        <v>2376.2999999999997</v>
      </c>
      <c r="ES127" s="9">
        <f>BT127*'MASTER SHEET'!D127</f>
        <v>2376.2999999999997</v>
      </c>
      <c r="ET127" s="9">
        <f>BX127*'MASTER SHEET'!D127</f>
        <v>2376.2999999999997</v>
      </c>
      <c r="EU127" s="9">
        <f>CB127*'MASTER SHEET'!D127</f>
        <v>2376.2999999999997</v>
      </c>
      <c r="EV127" s="9">
        <f>CF127*'MASTER SHEET'!D127</f>
        <v>2376.2999999999997</v>
      </c>
      <c r="EW127" s="9">
        <f>CJ127*'MASTER SHEET'!D127</f>
        <v>2376.2999999999997</v>
      </c>
      <c r="EX127" s="9">
        <f>CN127*'MASTER SHEET'!D127</f>
        <v>39142.199999999997</v>
      </c>
      <c r="EY127" s="9">
        <f>CR127*'MASTER SHEET'!D127</f>
        <v>42319.5</v>
      </c>
      <c r="EZ127" s="9">
        <f>$CV127*'MASTER SHEET'!D127</f>
        <v>28729.200000000001</v>
      </c>
      <c r="FA127" s="9">
        <f>CZ127*'MASTER SHEET'!D127</f>
        <v>27861.45</v>
      </c>
      <c r="FB127" s="9">
        <f>DD127*'MASTER SHEET'!D127</f>
        <v>27861.45</v>
      </c>
      <c r="FC127" s="9">
        <f>DH127*'MASTER SHEET'!D127</f>
        <v>24230.25</v>
      </c>
      <c r="FD127" s="9">
        <f>DL127*'MASTER SHEET'!D127</f>
        <v>24230.25</v>
      </c>
      <c r="FE127" s="9">
        <f>DP127*'MASTER SHEET'!D127</f>
        <v>24510.6</v>
      </c>
      <c r="FF127" s="9">
        <f>DT127*'MASTER SHEET'!D127</f>
        <v>24510.6</v>
      </c>
      <c r="FG127" s="9">
        <f>+DX127*'MASTER SHEET'!D127</f>
        <v>24510.6</v>
      </c>
    </row>
    <row r="128" spans="1:163" ht="20.25" customHeight="1" x14ac:dyDescent="0.25">
      <c r="A128" s="25">
        <f>'MASTER SHEET'!A128</f>
        <v>126</v>
      </c>
      <c r="B128" s="168" t="str">
        <f>'MASTER SHEET'!B128</f>
        <v>DUMMY LOCK</v>
      </c>
      <c r="C128" s="169" t="str">
        <f>'MASTER SHEET'!C128</f>
        <v>BD00003423</v>
      </c>
      <c r="D128" s="159">
        <v>7089</v>
      </c>
      <c r="E128" s="28">
        <f>PRODUCTION!F128+'SUPLIER INWARD'!F128</f>
        <v>0</v>
      </c>
      <c r="F128" s="28"/>
      <c r="G128" s="29">
        <v>0</v>
      </c>
      <c r="H128" s="30">
        <f t="shared" si="127"/>
        <v>7089</v>
      </c>
      <c r="I128" s="28">
        <f>PRODUCTION!J128+'SUPLIER INWARD'!J128</f>
        <v>0</v>
      </c>
      <c r="J128" s="28"/>
      <c r="K128" s="29">
        <v>0</v>
      </c>
      <c r="L128" s="30">
        <f t="shared" si="128"/>
        <v>7089</v>
      </c>
      <c r="M128" s="28">
        <f>PRODUCTION!N128+'SUPLIER INWARD'!N128</f>
        <v>0</v>
      </c>
      <c r="N128" s="58"/>
      <c r="O128" s="29"/>
      <c r="P128" s="30">
        <f t="shared" si="129"/>
        <v>7089</v>
      </c>
      <c r="Q128" s="28">
        <f>PRODUCTION!R128+'SUPLIER INWARD'!R128</f>
        <v>0</v>
      </c>
      <c r="R128" s="58"/>
      <c r="S128" s="29">
        <v>0</v>
      </c>
      <c r="T128" s="30">
        <f t="shared" si="130"/>
        <v>7089</v>
      </c>
      <c r="U128" s="28">
        <f>PRODUCTION!V128+'SUPLIER INWARD'!V128</f>
        <v>0</v>
      </c>
      <c r="V128" s="58">
        <v>0</v>
      </c>
      <c r="W128" s="29">
        <v>0</v>
      </c>
      <c r="X128" s="30">
        <f t="shared" si="131"/>
        <v>7089</v>
      </c>
      <c r="Y128" s="28">
        <f>PRODUCTION!Z128+'SUPLIER INWARD'!Z128</f>
        <v>0</v>
      </c>
      <c r="Z128" s="58">
        <v>0</v>
      </c>
      <c r="AA128" s="29">
        <v>0</v>
      </c>
      <c r="AB128" s="30">
        <f t="shared" si="132"/>
        <v>7089</v>
      </c>
      <c r="AC128" s="28">
        <f>PRODUCTION!AD128+'SUPLIER INWARD'!AD128</f>
        <v>0</v>
      </c>
      <c r="AD128" s="58">
        <v>0</v>
      </c>
      <c r="AE128" s="29">
        <v>0</v>
      </c>
      <c r="AF128" s="30">
        <f t="shared" si="133"/>
        <v>7089</v>
      </c>
      <c r="AG128" s="28">
        <f>PRODUCTION!AH128+'SUPLIER INWARD'!AH128</f>
        <v>0</v>
      </c>
      <c r="AH128" s="58">
        <v>0</v>
      </c>
      <c r="AI128" s="29">
        <v>0</v>
      </c>
      <c r="AJ128" s="30">
        <f t="shared" si="134"/>
        <v>7089</v>
      </c>
      <c r="AK128" s="28">
        <f>PRODUCTION!AL128+'SUPLIER INWARD'!AL128</f>
        <v>0</v>
      </c>
      <c r="AL128" s="58">
        <v>0</v>
      </c>
      <c r="AM128" s="29">
        <v>0</v>
      </c>
      <c r="AN128" s="30">
        <f t="shared" si="135"/>
        <v>7089</v>
      </c>
      <c r="AO128" s="28">
        <f>PRODUCTION!AP128+'SUPLIER INWARD'!AP128</f>
        <v>0</v>
      </c>
      <c r="AP128" s="28"/>
      <c r="AQ128" s="29">
        <v>0</v>
      </c>
      <c r="AR128" s="30">
        <f t="shared" si="136"/>
        <v>7089</v>
      </c>
      <c r="AS128" s="28">
        <f>PRODUCTION!AT128+'SUPLIER INWARD'!AT128</f>
        <v>0</v>
      </c>
      <c r="AT128" s="28">
        <v>0</v>
      </c>
      <c r="AU128" s="29">
        <v>0</v>
      </c>
      <c r="AV128" s="30">
        <f t="shared" si="137"/>
        <v>7089</v>
      </c>
      <c r="AW128" s="28">
        <f>PRODUCTION!AX128+'SUPLIER INWARD'!AX128</f>
        <v>0</v>
      </c>
      <c r="AX128" s="28"/>
      <c r="AY128" s="29"/>
      <c r="AZ128" s="30">
        <f t="shared" si="138"/>
        <v>7089</v>
      </c>
      <c r="BA128" s="28">
        <f>PRODUCTION!BB128+'SUPLIER INWARD'!BB128</f>
        <v>0</v>
      </c>
      <c r="BB128" s="58">
        <v>0</v>
      </c>
      <c r="BC128" s="29">
        <v>0</v>
      </c>
      <c r="BD128" s="30">
        <f t="shared" si="139"/>
        <v>7089</v>
      </c>
      <c r="BE128" s="28">
        <f>PRODUCTION!BF128+'SUPLIER INWARD'!BF128</f>
        <v>0</v>
      </c>
      <c r="BF128" s="58"/>
      <c r="BG128" s="29">
        <v>0</v>
      </c>
      <c r="BH128" s="30">
        <f t="shared" si="140"/>
        <v>7089</v>
      </c>
      <c r="BI128" s="28">
        <f>PRODUCTION!BJ128+'SUPLIER INWARD'!BJ128</f>
        <v>0</v>
      </c>
      <c r="BJ128" s="58">
        <v>1200</v>
      </c>
      <c r="BK128" s="29">
        <v>0</v>
      </c>
      <c r="BL128" s="30">
        <f t="shared" si="141"/>
        <v>5889</v>
      </c>
      <c r="BM128" s="28">
        <f>PRODUCTION!BN128+'SUPLIER INWARD'!BN128</f>
        <v>0</v>
      </c>
      <c r="BN128" s="58">
        <v>0</v>
      </c>
      <c r="BO128" s="29">
        <v>0</v>
      </c>
      <c r="BP128" s="30">
        <f t="shared" si="142"/>
        <v>5889</v>
      </c>
      <c r="BQ128" s="28">
        <f>PRODUCTION!BR128+'SUPLIER INWARD'!BR128</f>
        <v>0</v>
      </c>
      <c r="BR128" s="58">
        <v>0</v>
      </c>
      <c r="BS128" s="29">
        <v>0</v>
      </c>
      <c r="BT128" s="30">
        <f t="shared" si="143"/>
        <v>5889</v>
      </c>
      <c r="BU128" s="28">
        <f>PRODUCTION!BV128+'SUPLIER INWARD'!BV128</f>
        <v>0</v>
      </c>
      <c r="BV128" s="58">
        <v>4800</v>
      </c>
      <c r="BW128" s="29">
        <v>12</v>
      </c>
      <c r="BX128" s="30">
        <f t="shared" si="110"/>
        <v>1077</v>
      </c>
      <c r="BY128" s="28">
        <f>PRODUCTION!BZ128+'SUPLIER INWARD'!BZ128</f>
        <v>0</v>
      </c>
      <c r="BZ128" s="58"/>
      <c r="CA128" s="29">
        <v>0</v>
      </c>
      <c r="CB128" s="30">
        <f t="shared" si="144"/>
        <v>1077</v>
      </c>
      <c r="CC128" s="28">
        <f>PRODUCTION!CD128+'SUPLIER INWARD'!CD128</f>
        <v>0</v>
      </c>
      <c r="CD128" s="58">
        <v>0</v>
      </c>
      <c r="CE128" s="29">
        <v>0</v>
      </c>
      <c r="CF128" s="30">
        <f t="shared" si="145"/>
        <v>1077</v>
      </c>
      <c r="CG128" s="28">
        <f>PRODUCTION!CH128+'SUPLIER INWARD'!CH128</f>
        <v>0</v>
      </c>
      <c r="CH128" s="58">
        <v>0</v>
      </c>
      <c r="CI128" s="29">
        <v>0</v>
      </c>
      <c r="CJ128" s="30">
        <f t="shared" si="113"/>
        <v>1077</v>
      </c>
      <c r="CK128" s="28">
        <f>PRODUCTION!CL128+'SUPLIER INWARD'!CL128</f>
        <v>0</v>
      </c>
      <c r="CL128" s="58"/>
      <c r="CM128" s="152">
        <v>0</v>
      </c>
      <c r="CN128" s="30">
        <f t="shared" si="114"/>
        <v>1077</v>
      </c>
      <c r="CO128" s="28">
        <f>PRODUCTION!CP128+'SUPLIER INWARD'!CP128</f>
        <v>0</v>
      </c>
      <c r="CP128" s="58">
        <v>0</v>
      </c>
      <c r="CQ128" s="29">
        <v>0</v>
      </c>
      <c r="CR128" s="30">
        <f t="shared" si="115"/>
        <v>1077</v>
      </c>
      <c r="CS128" s="28">
        <f>PRODUCTION!CT128+'SUPLIER INWARD'!CT128</f>
        <v>0</v>
      </c>
      <c r="CT128" s="28">
        <v>0</v>
      </c>
      <c r="CU128" s="29">
        <v>0</v>
      </c>
      <c r="CV128" s="30">
        <f t="shared" si="116"/>
        <v>1077</v>
      </c>
      <c r="CW128" s="28">
        <f>PRODUCTION!CX128+'SUPLIER INWARD'!CX128</f>
        <v>0</v>
      </c>
      <c r="CX128" s="58">
        <v>0</v>
      </c>
      <c r="CY128" s="29">
        <v>0</v>
      </c>
      <c r="CZ128" s="30">
        <f t="shared" si="146"/>
        <v>1077</v>
      </c>
      <c r="DA128" s="28">
        <f>PRODUCTION!DB128+'SUPLIER INWARD'!DB128</f>
        <v>0</v>
      </c>
      <c r="DB128" s="58"/>
      <c r="DC128" s="29"/>
      <c r="DD128" s="30">
        <f t="shared" si="147"/>
        <v>1077</v>
      </c>
      <c r="DE128" s="28">
        <f>PRODUCTION!DF128+'SUPLIER INWARD'!DF128</f>
        <v>0</v>
      </c>
      <c r="DF128" s="58">
        <v>800</v>
      </c>
      <c r="DG128" s="29">
        <v>0</v>
      </c>
      <c r="DH128" s="30">
        <f t="shared" si="148"/>
        <v>277</v>
      </c>
      <c r="DI128" s="28">
        <f>PRODUCTION!DJ128+'SUPLIER INWARD'!DJ128</f>
        <v>4268</v>
      </c>
      <c r="DJ128" s="58">
        <v>0</v>
      </c>
      <c r="DK128" s="29">
        <v>0</v>
      </c>
      <c r="DL128" s="30">
        <f t="shared" si="149"/>
        <v>4545</v>
      </c>
      <c r="DM128" s="28">
        <f>PRODUCTION!DN128+'SUPLIER INWARD'!DN128</f>
        <v>9740</v>
      </c>
      <c r="DN128" s="58">
        <v>6600</v>
      </c>
      <c r="DO128" s="29"/>
      <c r="DP128" s="30">
        <f t="shared" si="150"/>
        <v>7685</v>
      </c>
      <c r="DQ128" s="28">
        <f>PRODUCTION!DR128+'SUPLIER INWARD'!DR128</f>
        <v>0</v>
      </c>
      <c r="DR128" s="57"/>
      <c r="DS128" s="29"/>
      <c r="DT128" s="30">
        <f t="shared" si="151"/>
        <v>7685</v>
      </c>
      <c r="DU128" s="28">
        <f>PRODUCTION!DV128+'SUPLIER INWARD'!DV128</f>
        <v>0</v>
      </c>
      <c r="DV128" s="58"/>
      <c r="DW128" s="29"/>
      <c r="DX128" s="30">
        <f t="shared" si="152"/>
        <v>7685</v>
      </c>
      <c r="DY128" s="31">
        <f t="shared" si="158"/>
        <v>14008</v>
      </c>
      <c r="DZ128" s="31">
        <f t="shared" si="156"/>
        <v>13400</v>
      </c>
      <c r="EA128" s="4">
        <f t="shared" si="157"/>
        <v>12</v>
      </c>
      <c r="EB128" s="9">
        <f>D128*'MASTER SHEET'!D128</f>
        <v>25591.29</v>
      </c>
      <c r="EC128" s="9">
        <f>H128*'MASTER SHEET'!D128</f>
        <v>25591.29</v>
      </c>
      <c r="ED128" s="9">
        <f>L128*'MASTER SHEET'!D128</f>
        <v>25591.29</v>
      </c>
      <c r="EE128" s="9">
        <f>P128*'MASTER SHEET'!D128</f>
        <v>25591.29</v>
      </c>
      <c r="EF128" s="9">
        <f>T128*'MASTER SHEET'!D128</f>
        <v>25591.29</v>
      </c>
      <c r="EG128" s="9">
        <f>X128*'MASTER SHEET'!D128</f>
        <v>25591.29</v>
      </c>
      <c r="EH128" s="9">
        <f>AB128*'MASTER SHEET'!D128</f>
        <v>25591.29</v>
      </c>
      <c r="EI128" s="9">
        <f>AF128*'MASTER SHEET'!D128</f>
        <v>25591.29</v>
      </c>
      <c r="EJ128" s="9">
        <f>AJ128*'MASTER SHEET'!D128</f>
        <v>25591.29</v>
      </c>
      <c r="EK128" s="9">
        <f>AN128*'MASTER SHEET'!D128</f>
        <v>25591.29</v>
      </c>
      <c r="EL128" s="9">
        <f>AR128*'MASTER SHEET'!D128</f>
        <v>25591.29</v>
      </c>
      <c r="EM128" s="9">
        <f>AV128*'MASTER SHEET'!D128</f>
        <v>25591.29</v>
      </c>
      <c r="EN128" s="9">
        <f>AZ128*'MASTER SHEET'!D128</f>
        <v>25591.29</v>
      </c>
      <c r="EO128" s="9">
        <f>BD128*'MASTER SHEET'!D128</f>
        <v>25591.29</v>
      </c>
      <c r="EP128" s="9">
        <f>$BH128*'MASTER SHEET'!$D128</f>
        <v>25591.29</v>
      </c>
      <c r="EQ128" s="9">
        <f>BL128*'MASTER SHEET'!D128</f>
        <v>21259.29</v>
      </c>
      <c r="ER128" s="9">
        <f>BP128*'MASTER SHEET'!D128</f>
        <v>21259.29</v>
      </c>
      <c r="ES128" s="9">
        <f>BT128*'MASTER SHEET'!D128</f>
        <v>21259.29</v>
      </c>
      <c r="ET128" s="9">
        <f>BX128*'MASTER SHEET'!D128</f>
        <v>3887.97</v>
      </c>
      <c r="EU128" s="9">
        <f>CB128*'MASTER SHEET'!D128</f>
        <v>3887.97</v>
      </c>
      <c r="EV128" s="9">
        <f>CF128*'MASTER SHEET'!D128</f>
        <v>3887.97</v>
      </c>
      <c r="EW128" s="9">
        <f>CJ128*'MASTER SHEET'!D128</f>
        <v>3887.97</v>
      </c>
      <c r="EX128" s="9">
        <f>CN128*'MASTER SHEET'!D128</f>
        <v>3887.97</v>
      </c>
      <c r="EY128" s="9">
        <f>CR128*'MASTER SHEET'!D128</f>
        <v>3887.97</v>
      </c>
      <c r="EZ128" s="9">
        <f>$CV128*'MASTER SHEET'!D128</f>
        <v>3887.97</v>
      </c>
      <c r="FA128" s="9">
        <f>CZ128*'MASTER SHEET'!D128</f>
        <v>3887.97</v>
      </c>
      <c r="FB128" s="9">
        <f>DD128*'MASTER SHEET'!D128</f>
        <v>3887.97</v>
      </c>
      <c r="FC128" s="9">
        <f>DH128*'MASTER SHEET'!D128</f>
        <v>999.96999999999991</v>
      </c>
      <c r="FD128" s="9">
        <f>DL128*'MASTER SHEET'!D128</f>
        <v>16407.45</v>
      </c>
      <c r="FE128" s="9">
        <f>DP128*'MASTER SHEET'!D128</f>
        <v>27742.85</v>
      </c>
      <c r="FF128" s="9">
        <f>DT128*'MASTER SHEET'!D128</f>
        <v>27742.85</v>
      </c>
      <c r="FG128" s="9">
        <f>+DX128*'MASTER SHEET'!D128</f>
        <v>27742.85</v>
      </c>
    </row>
    <row r="129" spans="1:163" ht="20.25" customHeight="1" x14ac:dyDescent="0.25">
      <c r="A129" s="25">
        <f>'MASTER SHEET'!A129</f>
        <v>127</v>
      </c>
      <c r="B129" s="168" t="str">
        <f>'MASTER SHEET'!B129</f>
        <v>3 WAY CLAMP</v>
      </c>
      <c r="C129" s="169">
        <f>'MASTER SHEET'!C129</f>
        <v>62207</v>
      </c>
      <c r="D129" s="159"/>
      <c r="E129" s="28">
        <f>PRODUCTION!F129+'SUPLIER INWARD'!F129</f>
        <v>0</v>
      </c>
      <c r="F129" s="28"/>
      <c r="G129" s="29">
        <v>0</v>
      </c>
      <c r="H129" s="30">
        <f t="shared" si="127"/>
        <v>0</v>
      </c>
      <c r="I129" s="28">
        <f>PRODUCTION!J129+'SUPLIER INWARD'!J129</f>
        <v>0</v>
      </c>
      <c r="J129" s="28"/>
      <c r="K129" s="29">
        <v>0</v>
      </c>
      <c r="L129" s="30">
        <f t="shared" si="128"/>
        <v>0</v>
      </c>
      <c r="M129" s="28">
        <f>PRODUCTION!N129+'SUPLIER INWARD'!N129</f>
        <v>0</v>
      </c>
      <c r="N129" s="58"/>
      <c r="O129" s="29"/>
      <c r="P129" s="30">
        <f t="shared" si="129"/>
        <v>0</v>
      </c>
      <c r="Q129" s="28">
        <f>PRODUCTION!R129+'SUPLIER INWARD'!R129</f>
        <v>0</v>
      </c>
      <c r="R129" s="58"/>
      <c r="S129" s="29">
        <v>0</v>
      </c>
      <c r="T129" s="30">
        <f t="shared" si="130"/>
        <v>0</v>
      </c>
      <c r="U129" s="28">
        <f>PRODUCTION!V129+'SUPLIER INWARD'!V129</f>
        <v>0</v>
      </c>
      <c r="V129" s="58">
        <v>0</v>
      </c>
      <c r="W129" s="29">
        <v>0</v>
      </c>
      <c r="X129" s="30">
        <f t="shared" si="131"/>
        <v>0</v>
      </c>
      <c r="Y129" s="28">
        <f>PRODUCTION!Z129+'SUPLIER INWARD'!Z129</f>
        <v>0</v>
      </c>
      <c r="Z129" s="58">
        <v>0</v>
      </c>
      <c r="AA129" s="29">
        <v>0</v>
      </c>
      <c r="AB129" s="30">
        <f t="shared" si="132"/>
        <v>0</v>
      </c>
      <c r="AC129" s="28">
        <f>PRODUCTION!AD129+'SUPLIER INWARD'!AD129</f>
        <v>0</v>
      </c>
      <c r="AD129" s="58">
        <v>0</v>
      </c>
      <c r="AE129" s="29">
        <v>0</v>
      </c>
      <c r="AF129" s="30">
        <f t="shared" si="133"/>
        <v>0</v>
      </c>
      <c r="AG129" s="28">
        <f>PRODUCTION!AH129+'SUPLIER INWARD'!AH129</f>
        <v>0</v>
      </c>
      <c r="AH129" s="58">
        <v>0</v>
      </c>
      <c r="AI129" s="29">
        <v>0</v>
      </c>
      <c r="AJ129" s="30">
        <f t="shared" si="134"/>
        <v>0</v>
      </c>
      <c r="AK129" s="28">
        <f>PRODUCTION!AL129+'SUPLIER INWARD'!AL129</f>
        <v>0</v>
      </c>
      <c r="AL129" s="58">
        <v>0</v>
      </c>
      <c r="AM129" s="29">
        <v>0</v>
      </c>
      <c r="AN129" s="30">
        <f t="shared" si="135"/>
        <v>0</v>
      </c>
      <c r="AO129" s="28">
        <f>PRODUCTION!AP129+'SUPLIER INWARD'!AP129</f>
        <v>0</v>
      </c>
      <c r="AP129" s="28"/>
      <c r="AQ129" s="29">
        <v>0</v>
      </c>
      <c r="AR129" s="30">
        <f t="shared" si="136"/>
        <v>0</v>
      </c>
      <c r="AS129" s="28">
        <f>PRODUCTION!AT129+'SUPLIER INWARD'!AT129</f>
        <v>0</v>
      </c>
      <c r="AT129" s="28">
        <v>0</v>
      </c>
      <c r="AU129" s="29">
        <v>0</v>
      </c>
      <c r="AV129" s="30">
        <f t="shared" si="137"/>
        <v>0</v>
      </c>
      <c r="AW129" s="28">
        <f>PRODUCTION!AX129+'SUPLIER INWARD'!AX129</f>
        <v>0</v>
      </c>
      <c r="AX129" s="28"/>
      <c r="AY129" s="29"/>
      <c r="AZ129" s="30">
        <f t="shared" si="138"/>
        <v>0</v>
      </c>
      <c r="BA129" s="28">
        <f>PRODUCTION!BB129+'SUPLIER INWARD'!BB129</f>
        <v>0</v>
      </c>
      <c r="BB129" s="58">
        <v>0</v>
      </c>
      <c r="BC129" s="29">
        <v>0</v>
      </c>
      <c r="BD129" s="30">
        <f t="shared" si="139"/>
        <v>0</v>
      </c>
      <c r="BE129" s="28">
        <f>PRODUCTION!BF129+'SUPLIER INWARD'!BF129</f>
        <v>0</v>
      </c>
      <c r="BF129" s="58"/>
      <c r="BG129" s="29">
        <v>0</v>
      </c>
      <c r="BH129" s="30">
        <f t="shared" si="140"/>
        <v>0</v>
      </c>
      <c r="BI129" s="28">
        <f>PRODUCTION!BJ129+'SUPLIER INWARD'!BJ129</f>
        <v>0</v>
      </c>
      <c r="BJ129" s="58">
        <v>0</v>
      </c>
      <c r="BK129" s="29">
        <v>0</v>
      </c>
      <c r="BL129" s="30">
        <f t="shared" si="141"/>
        <v>0</v>
      </c>
      <c r="BM129" s="28">
        <f>PRODUCTION!BN129+'SUPLIER INWARD'!BN129</f>
        <v>0</v>
      </c>
      <c r="BN129" s="58">
        <v>0</v>
      </c>
      <c r="BO129" s="29">
        <v>0</v>
      </c>
      <c r="BP129" s="30">
        <f t="shared" si="142"/>
        <v>0</v>
      </c>
      <c r="BQ129" s="28">
        <f>PRODUCTION!BR129+'SUPLIER INWARD'!BR129</f>
        <v>0</v>
      </c>
      <c r="BR129" s="58">
        <v>0</v>
      </c>
      <c r="BS129" s="29">
        <v>0</v>
      </c>
      <c r="BT129" s="30">
        <f t="shared" si="143"/>
        <v>0</v>
      </c>
      <c r="BU129" s="28">
        <f>PRODUCTION!BV129+'SUPLIER INWARD'!BV129</f>
        <v>0</v>
      </c>
      <c r="BV129" s="58">
        <v>0</v>
      </c>
      <c r="BW129" s="29">
        <v>0</v>
      </c>
      <c r="BX129" s="30">
        <f t="shared" si="110"/>
        <v>0</v>
      </c>
      <c r="BY129" s="28">
        <f>PRODUCTION!BZ129+'SUPLIER INWARD'!BZ129</f>
        <v>0</v>
      </c>
      <c r="BZ129" s="58"/>
      <c r="CA129" s="29">
        <v>0</v>
      </c>
      <c r="CB129" s="30">
        <f t="shared" si="144"/>
        <v>0</v>
      </c>
      <c r="CC129" s="28">
        <f>PRODUCTION!CD129+'SUPLIER INWARD'!CD129</f>
        <v>0</v>
      </c>
      <c r="CD129" s="58">
        <v>0</v>
      </c>
      <c r="CE129" s="29">
        <v>0</v>
      </c>
      <c r="CF129" s="30">
        <f t="shared" si="145"/>
        <v>0</v>
      </c>
      <c r="CG129" s="28">
        <f>PRODUCTION!CH129+'SUPLIER INWARD'!CH129</f>
        <v>0</v>
      </c>
      <c r="CH129" s="58">
        <v>0</v>
      </c>
      <c r="CI129" s="29">
        <v>0</v>
      </c>
      <c r="CJ129" s="30">
        <f t="shared" si="113"/>
        <v>0</v>
      </c>
      <c r="CK129" s="28">
        <f>PRODUCTION!CL129+'SUPLIER INWARD'!CL129</f>
        <v>0</v>
      </c>
      <c r="CL129" s="58"/>
      <c r="CM129" s="152">
        <v>0</v>
      </c>
      <c r="CN129" s="30">
        <f t="shared" si="114"/>
        <v>0</v>
      </c>
      <c r="CO129" s="28">
        <f>PRODUCTION!CP129+'SUPLIER INWARD'!CP129</f>
        <v>0</v>
      </c>
      <c r="CP129" s="58">
        <v>0</v>
      </c>
      <c r="CQ129" s="29">
        <v>0</v>
      </c>
      <c r="CR129" s="30">
        <f t="shared" si="115"/>
        <v>0</v>
      </c>
      <c r="CS129" s="28">
        <f>PRODUCTION!CT129+'SUPLIER INWARD'!CT129</f>
        <v>0</v>
      </c>
      <c r="CT129" s="28">
        <v>0</v>
      </c>
      <c r="CU129" s="29">
        <v>0</v>
      </c>
      <c r="CV129" s="30">
        <f t="shared" si="116"/>
        <v>0</v>
      </c>
      <c r="CW129" s="28">
        <f>PRODUCTION!CX129+'SUPLIER INWARD'!CX129</f>
        <v>0</v>
      </c>
      <c r="CX129" s="58">
        <v>0</v>
      </c>
      <c r="CY129" s="29">
        <v>0</v>
      </c>
      <c r="CZ129" s="30">
        <f t="shared" si="146"/>
        <v>0</v>
      </c>
      <c r="DA129" s="28">
        <f>PRODUCTION!DB129+'SUPLIER INWARD'!DB129</f>
        <v>0</v>
      </c>
      <c r="DB129" s="58"/>
      <c r="DC129" s="29"/>
      <c r="DD129" s="30">
        <f t="shared" si="147"/>
        <v>0</v>
      </c>
      <c r="DE129" s="28">
        <f>PRODUCTION!DF129+'SUPLIER INWARD'!DF129</f>
        <v>0</v>
      </c>
      <c r="DF129" s="58">
        <v>0</v>
      </c>
      <c r="DG129" s="29">
        <v>0</v>
      </c>
      <c r="DH129" s="30">
        <f t="shared" si="148"/>
        <v>0</v>
      </c>
      <c r="DI129" s="28">
        <f>PRODUCTION!DJ129+'SUPLIER INWARD'!DJ129</f>
        <v>0</v>
      </c>
      <c r="DJ129" s="58">
        <v>0</v>
      </c>
      <c r="DK129" s="29">
        <v>0</v>
      </c>
      <c r="DL129" s="30">
        <f t="shared" si="149"/>
        <v>0</v>
      </c>
      <c r="DM129" s="28">
        <f>PRODUCTION!DN129+'SUPLIER INWARD'!DN129</f>
        <v>0</v>
      </c>
      <c r="DN129" s="58">
        <v>0</v>
      </c>
      <c r="DO129" s="29"/>
      <c r="DP129" s="30">
        <f t="shared" si="150"/>
        <v>0</v>
      </c>
      <c r="DQ129" s="28">
        <f>PRODUCTION!DR129+'SUPLIER INWARD'!DR129</f>
        <v>0</v>
      </c>
      <c r="DR129" s="57"/>
      <c r="DS129" s="29"/>
      <c r="DT129" s="30">
        <f t="shared" si="151"/>
        <v>0</v>
      </c>
      <c r="DU129" s="28">
        <f>PRODUCTION!DV129+'SUPLIER INWARD'!DV129</f>
        <v>0</v>
      </c>
      <c r="DV129" s="58"/>
      <c r="DW129" s="29"/>
      <c r="DX129" s="30">
        <f t="shared" si="152"/>
        <v>0</v>
      </c>
      <c r="DY129" s="31">
        <f t="shared" si="158"/>
        <v>0</v>
      </c>
      <c r="DZ129" s="31">
        <f t="shared" si="156"/>
        <v>0</v>
      </c>
      <c r="EA129" s="4">
        <f t="shared" si="157"/>
        <v>0</v>
      </c>
      <c r="EB129" s="9">
        <f>D129*'MASTER SHEET'!D129</f>
        <v>0</v>
      </c>
      <c r="EC129" s="9">
        <f>H129*'MASTER SHEET'!D129</f>
        <v>0</v>
      </c>
      <c r="ED129" s="9">
        <f>L129*'MASTER SHEET'!D129</f>
        <v>0</v>
      </c>
      <c r="EE129" s="9">
        <f>P129*'MASTER SHEET'!D129</f>
        <v>0</v>
      </c>
      <c r="EF129" s="9">
        <f>T129*'MASTER SHEET'!D129</f>
        <v>0</v>
      </c>
      <c r="EG129" s="9">
        <f>X129*'MASTER SHEET'!D129</f>
        <v>0</v>
      </c>
      <c r="EH129" s="9">
        <f>AB129*'MASTER SHEET'!D129</f>
        <v>0</v>
      </c>
      <c r="EI129" s="9">
        <f>AF129*'MASTER SHEET'!D129</f>
        <v>0</v>
      </c>
      <c r="EJ129" s="9">
        <f>AJ129*'MASTER SHEET'!D129</f>
        <v>0</v>
      </c>
      <c r="EK129" s="9">
        <f>AN129*'MASTER SHEET'!D129</f>
        <v>0</v>
      </c>
      <c r="EL129" s="9">
        <f>AR129*'MASTER SHEET'!D129</f>
        <v>0</v>
      </c>
      <c r="EM129" s="9">
        <f>AV129*'MASTER SHEET'!D129</f>
        <v>0</v>
      </c>
      <c r="EN129" s="9">
        <f>AZ129*'MASTER SHEET'!D129</f>
        <v>0</v>
      </c>
      <c r="EO129" s="9">
        <f>BD129*'MASTER SHEET'!D129</f>
        <v>0</v>
      </c>
      <c r="EP129" s="9">
        <f>$BH129*'MASTER SHEET'!$D129</f>
        <v>0</v>
      </c>
      <c r="EQ129" s="9">
        <f>BL129*'MASTER SHEET'!D129</f>
        <v>0</v>
      </c>
      <c r="ER129" s="9">
        <f>BP129*'MASTER SHEET'!D129</f>
        <v>0</v>
      </c>
      <c r="ES129" s="9">
        <f>BT129*'MASTER SHEET'!D129</f>
        <v>0</v>
      </c>
      <c r="ET129" s="9">
        <f>BX129*'MASTER SHEET'!D129</f>
        <v>0</v>
      </c>
      <c r="EU129" s="9">
        <f>CB129*'MASTER SHEET'!D129</f>
        <v>0</v>
      </c>
      <c r="EV129" s="9">
        <f>CF129*'MASTER SHEET'!D129</f>
        <v>0</v>
      </c>
      <c r="EW129" s="9">
        <f>CJ129*'MASTER SHEET'!D129</f>
        <v>0</v>
      </c>
      <c r="EX129" s="9">
        <f>CN129*'MASTER SHEET'!D129</f>
        <v>0</v>
      </c>
      <c r="EY129" s="9">
        <f>CR129*'MASTER SHEET'!D129</f>
        <v>0</v>
      </c>
      <c r="EZ129" s="9">
        <f>$CV129*'MASTER SHEET'!D129</f>
        <v>0</v>
      </c>
      <c r="FA129" s="9">
        <f>CZ129*'MASTER SHEET'!D129</f>
        <v>0</v>
      </c>
      <c r="FB129" s="9">
        <f>DD129*'MASTER SHEET'!D129</f>
        <v>0</v>
      </c>
      <c r="FC129" s="9">
        <f>DH129*'MASTER SHEET'!D129</f>
        <v>0</v>
      </c>
      <c r="FD129" s="9">
        <f>DL129*'MASTER SHEET'!D129</f>
        <v>0</v>
      </c>
      <c r="FE129" s="9">
        <f>DP129*'MASTER SHEET'!D129</f>
        <v>0</v>
      </c>
      <c r="FF129" s="9">
        <f>DT129*'MASTER SHEET'!D129</f>
        <v>0</v>
      </c>
      <c r="FG129" s="9">
        <f>+DX129*'MASTER SHEET'!D129</f>
        <v>0</v>
      </c>
    </row>
    <row r="130" spans="1:163" ht="20.25" customHeight="1" x14ac:dyDescent="0.25">
      <c r="A130" s="25">
        <f>'MASTER SHEET'!A130</f>
        <v>128</v>
      </c>
      <c r="B130" s="168" t="str">
        <f>'MASTER SHEET'!B130</f>
        <v>NUT</v>
      </c>
      <c r="C130" s="169">
        <f>'MASTER SHEET'!C130</f>
        <v>61577</v>
      </c>
      <c r="D130" s="159">
        <v>19807</v>
      </c>
      <c r="E130" s="28">
        <f>PRODUCTION!F130+'SUPLIER INWARD'!F130</f>
        <v>0</v>
      </c>
      <c r="F130" s="28"/>
      <c r="G130" s="29">
        <v>0</v>
      </c>
      <c r="H130" s="30">
        <f t="shared" si="127"/>
        <v>19807</v>
      </c>
      <c r="I130" s="28">
        <f>PRODUCTION!J130+'SUPLIER INWARD'!J130</f>
        <v>0</v>
      </c>
      <c r="J130" s="28"/>
      <c r="K130" s="29">
        <v>0</v>
      </c>
      <c r="L130" s="30">
        <f t="shared" si="128"/>
        <v>19807</v>
      </c>
      <c r="M130" s="28">
        <f>PRODUCTION!N130+'SUPLIER INWARD'!N130</f>
        <v>0</v>
      </c>
      <c r="N130" s="58"/>
      <c r="O130" s="29"/>
      <c r="P130" s="30">
        <f t="shared" si="129"/>
        <v>19807</v>
      </c>
      <c r="Q130" s="28">
        <f>PRODUCTION!R130+'SUPLIER INWARD'!R130</f>
        <v>0</v>
      </c>
      <c r="R130" s="58"/>
      <c r="S130" s="29">
        <v>0</v>
      </c>
      <c r="T130" s="30">
        <f t="shared" si="130"/>
        <v>19807</v>
      </c>
      <c r="U130" s="28">
        <f>PRODUCTION!V130+'SUPLIER INWARD'!V130</f>
        <v>0</v>
      </c>
      <c r="V130" s="58">
        <v>0</v>
      </c>
      <c r="W130" s="29">
        <v>0</v>
      </c>
      <c r="X130" s="30">
        <f t="shared" si="131"/>
        <v>19807</v>
      </c>
      <c r="Y130" s="28">
        <f>PRODUCTION!Z130+'SUPLIER INWARD'!Z130</f>
        <v>0</v>
      </c>
      <c r="Z130" s="58">
        <v>0</v>
      </c>
      <c r="AA130" s="29">
        <v>0</v>
      </c>
      <c r="AB130" s="30">
        <f t="shared" si="132"/>
        <v>19807</v>
      </c>
      <c r="AC130" s="28">
        <f>PRODUCTION!AD130+'SUPLIER INWARD'!AD130</f>
        <v>0</v>
      </c>
      <c r="AD130" s="58">
        <v>0</v>
      </c>
      <c r="AE130" s="29">
        <v>0</v>
      </c>
      <c r="AF130" s="30">
        <f t="shared" si="133"/>
        <v>19807</v>
      </c>
      <c r="AG130" s="28">
        <f>PRODUCTION!AH130+'SUPLIER INWARD'!AH130</f>
        <v>0</v>
      </c>
      <c r="AH130" s="58">
        <v>0</v>
      </c>
      <c r="AI130" s="29">
        <v>0</v>
      </c>
      <c r="AJ130" s="30">
        <f t="shared" si="134"/>
        <v>19807</v>
      </c>
      <c r="AK130" s="28">
        <f>PRODUCTION!AL130+'SUPLIER INWARD'!AL130</f>
        <v>0</v>
      </c>
      <c r="AL130" s="58">
        <v>0</v>
      </c>
      <c r="AM130" s="29">
        <v>0</v>
      </c>
      <c r="AN130" s="30">
        <f t="shared" si="135"/>
        <v>19807</v>
      </c>
      <c r="AO130" s="28">
        <f>PRODUCTION!AP130+'SUPLIER INWARD'!AP130</f>
        <v>0</v>
      </c>
      <c r="AP130" s="28"/>
      <c r="AQ130" s="29">
        <v>0</v>
      </c>
      <c r="AR130" s="30">
        <f t="shared" si="136"/>
        <v>19807</v>
      </c>
      <c r="AS130" s="28">
        <f>PRODUCTION!AT130+'SUPLIER INWARD'!AT130</f>
        <v>0</v>
      </c>
      <c r="AT130" s="28">
        <v>0</v>
      </c>
      <c r="AU130" s="29">
        <v>0</v>
      </c>
      <c r="AV130" s="30">
        <f t="shared" si="137"/>
        <v>19807</v>
      </c>
      <c r="AW130" s="28">
        <f>PRODUCTION!AX130+'SUPLIER INWARD'!AX130</f>
        <v>0</v>
      </c>
      <c r="AX130" s="28"/>
      <c r="AY130" s="29"/>
      <c r="AZ130" s="30">
        <f t="shared" si="138"/>
        <v>19807</v>
      </c>
      <c r="BA130" s="28">
        <f>PRODUCTION!BB130+'SUPLIER INWARD'!BB130</f>
        <v>0</v>
      </c>
      <c r="BB130" s="58">
        <v>0</v>
      </c>
      <c r="BC130" s="29">
        <v>0</v>
      </c>
      <c r="BD130" s="30">
        <f t="shared" si="139"/>
        <v>19807</v>
      </c>
      <c r="BE130" s="28">
        <f>PRODUCTION!BF130+'SUPLIER INWARD'!BF130</f>
        <v>0</v>
      </c>
      <c r="BF130" s="58"/>
      <c r="BG130" s="29">
        <v>0</v>
      </c>
      <c r="BH130" s="30">
        <f t="shared" si="140"/>
        <v>19807</v>
      </c>
      <c r="BI130" s="28">
        <f>PRODUCTION!BJ130+'SUPLIER INWARD'!BJ130</f>
        <v>0</v>
      </c>
      <c r="BJ130" s="58">
        <v>0</v>
      </c>
      <c r="BK130" s="29">
        <v>0</v>
      </c>
      <c r="BL130" s="30">
        <f t="shared" si="141"/>
        <v>19807</v>
      </c>
      <c r="BM130" s="28">
        <f>PRODUCTION!BN130+'SUPLIER INWARD'!BN130</f>
        <v>0</v>
      </c>
      <c r="BN130" s="58">
        <v>0</v>
      </c>
      <c r="BO130" s="29">
        <v>0</v>
      </c>
      <c r="BP130" s="30">
        <f t="shared" si="142"/>
        <v>19807</v>
      </c>
      <c r="BQ130" s="28">
        <f>PRODUCTION!BR130+'SUPLIER INWARD'!BR130</f>
        <v>0</v>
      </c>
      <c r="BR130" s="58">
        <v>0</v>
      </c>
      <c r="BS130" s="29">
        <v>0</v>
      </c>
      <c r="BT130" s="30">
        <f t="shared" si="143"/>
        <v>19807</v>
      </c>
      <c r="BU130" s="28">
        <f>PRODUCTION!BV130+'SUPLIER INWARD'!BV130</f>
        <v>0</v>
      </c>
      <c r="BV130" s="58">
        <v>0</v>
      </c>
      <c r="BW130" s="29">
        <v>0</v>
      </c>
      <c r="BX130" s="30">
        <f t="shared" si="110"/>
        <v>19807</v>
      </c>
      <c r="BY130" s="28">
        <f>PRODUCTION!BZ130+'SUPLIER INWARD'!BZ130</f>
        <v>0</v>
      </c>
      <c r="BZ130" s="58"/>
      <c r="CA130" s="29">
        <v>0</v>
      </c>
      <c r="CB130" s="30">
        <f t="shared" si="144"/>
        <v>19807</v>
      </c>
      <c r="CC130" s="28">
        <f>PRODUCTION!CD130+'SUPLIER INWARD'!CD130</f>
        <v>0</v>
      </c>
      <c r="CD130" s="58">
        <v>0</v>
      </c>
      <c r="CE130" s="29">
        <v>0</v>
      </c>
      <c r="CF130" s="30">
        <f t="shared" si="145"/>
        <v>19807</v>
      </c>
      <c r="CG130" s="28">
        <f>PRODUCTION!CH130+'SUPLIER INWARD'!CH130</f>
        <v>0</v>
      </c>
      <c r="CH130" s="58">
        <v>0</v>
      </c>
      <c r="CI130" s="29">
        <v>0</v>
      </c>
      <c r="CJ130" s="30">
        <f t="shared" si="113"/>
        <v>19807</v>
      </c>
      <c r="CK130" s="28">
        <f>PRODUCTION!CL130+'SUPLIER INWARD'!CL130</f>
        <v>0</v>
      </c>
      <c r="CL130" s="58"/>
      <c r="CM130" s="152">
        <v>0</v>
      </c>
      <c r="CN130" s="30">
        <f t="shared" si="114"/>
        <v>19807</v>
      </c>
      <c r="CO130" s="28">
        <f>PRODUCTION!CP130+'SUPLIER INWARD'!CP130</f>
        <v>0</v>
      </c>
      <c r="CP130" s="58">
        <v>0</v>
      </c>
      <c r="CQ130" s="29">
        <v>0</v>
      </c>
      <c r="CR130" s="30">
        <f t="shared" si="115"/>
        <v>19807</v>
      </c>
      <c r="CS130" s="28">
        <f>PRODUCTION!CT130+'SUPLIER INWARD'!CT130</f>
        <v>0</v>
      </c>
      <c r="CT130" s="28">
        <v>0</v>
      </c>
      <c r="CU130" s="29">
        <v>0</v>
      </c>
      <c r="CV130" s="30">
        <f t="shared" si="116"/>
        <v>19807</v>
      </c>
      <c r="CW130" s="28">
        <f>PRODUCTION!CX130+'SUPLIER INWARD'!CX130</f>
        <v>0</v>
      </c>
      <c r="CX130" s="58">
        <v>0</v>
      </c>
      <c r="CY130" s="29">
        <v>0</v>
      </c>
      <c r="CZ130" s="30">
        <f t="shared" si="146"/>
        <v>19807</v>
      </c>
      <c r="DA130" s="28">
        <f>PRODUCTION!DB130+'SUPLIER INWARD'!DB130</f>
        <v>0</v>
      </c>
      <c r="DB130" s="58"/>
      <c r="DC130" s="29"/>
      <c r="DD130" s="30">
        <f t="shared" si="147"/>
        <v>19807</v>
      </c>
      <c r="DE130" s="28">
        <f>PRODUCTION!DF130+'SUPLIER INWARD'!DF130</f>
        <v>0</v>
      </c>
      <c r="DF130" s="58">
        <v>0</v>
      </c>
      <c r="DG130" s="29">
        <v>0</v>
      </c>
      <c r="DH130" s="30">
        <f t="shared" si="148"/>
        <v>19807</v>
      </c>
      <c r="DI130" s="28">
        <f>PRODUCTION!DJ130+'SUPLIER INWARD'!DJ130</f>
        <v>0</v>
      </c>
      <c r="DJ130" s="58">
        <v>0</v>
      </c>
      <c r="DK130" s="29">
        <v>0</v>
      </c>
      <c r="DL130" s="30">
        <f t="shared" si="149"/>
        <v>19807</v>
      </c>
      <c r="DM130" s="28">
        <f>PRODUCTION!DN130+'SUPLIER INWARD'!DN130</f>
        <v>0</v>
      </c>
      <c r="DN130" s="58">
        <v>0</v>
      </c>
      <c r="DO130" s="29"/>
      <c r="DP130" s="30">
        <f t="shared" si="150"/>
        <v>19807</v>
      </c>
      <c r="DQ130" s="28">
        <f>PRODUCTION!DR130+'SUPLIER INWARD'!DR130</f>
        <v>0</v>
      </c>
      <c r="DR130" s="57"/>
      <c r="DS130" s="29"/>
      <c r="DT130" s="30">
        <f t="shared" si="151"/>
        <v>19807</v>
      </c>
      <c r="DU130" s="28">
        <f>PRODUCTION!DV130+'SUPLIER INWARD'!DV130</f>
        <v>0</v>
      </c>
      <c r="DV130" s="58"/>
      <c r="DW130" s="29"/>
      <c r="DX130" s="30">
        <f t="shared" si="152"/>
        <v>19807</v>
      </c>
      <c r="DY130" s="31">
        <f t="shared" si="158"/>
        <v>0</v>
      </c>
      <c r="DZ130" s="31">
        <f t="shared" si="156"/>
        <v>0</v>
      </c>
      <c r="EA130" s="4">
        <f t="shared" si="157"/>
        <v>0</v>
      </c>
      <c r="EB130" s="9">
        <f>D130*'MASTER SHEET'!D130</f>
        <v>33473.83</v>
      </c>
      <c r="EC130" s="9">
        <f>H130*'MASTER SHEET'!D130</f>
        <v>33473.83</v>
      </c>
      <c r="ED130" s="9">
        <f>L130*'MASTER SHEET'!D130</f>
        <v>33473.83</v>
      </c>
      <c r="EE130" s="9">
        <f>P130*'MASTER SHEET'!D130</f>
        <v>33473.83</v>
      </c>
      <c r="EF130" s="9">
        <f>T130*'MASTER SHEET'!D130</f>
        <v>33473.83</v>
      </c>
      <c r="EG130" s="9">
        <f>X130*'MASTER SHEET'!D130</f>
        <v>33473.83</v>
      </c>
      <c r="EH130" s="9">
        <f>AB130*'MASTER SHEET'!D130</f>
        <v>33473.83</v>
      </c>
      <c r="EI130" s="9">
        <f>AF130*'MASTER SHEET'!D130</f>
        <v>33473.83</v>
      </c>
      <c r="EJ130" s="9">
        <f>AJ130*'MASTER SHEET'!D130</f>
        <v>33473.83</v>
      </c>
      <c r="EK130" s="9">
        <f>AN130*'MASTER SHEET'!D130</f>
        <v>33473.83</v>
      </c>
      <c r="EL130" s="9">
        <f>AR130*'MASTER SHEET'!D130</f>
        <v>33473.83</v>
      </c>
      <c r="EM130" s="9">
        <f>AV130*'MASTER SHEET'!D130</f>
        <v>33473.83</v>
      </c>
      <c r="EN130" s="9">
        <f>AZ130*'MASTER SHEET'!D130</f>
        <v>33473.83</v>
      </c>
      <c r="EO130" s="9">
        <f>BD130*'MASTER SHEET'!D130</f>
        <v>33473.83</v>
      </c>
      <c r="EP130" s="9">
        <f>$BH130*'MASTER SHEET'!$D130</f>
        <v>33473.83</v>
      </c>
      <c r="EQ130" s="9">
        <f>BL130*'MASTER SHEET'!D130</f>
        <v>33473.83</v>
      </c>
      <c r="ER130" s="9">
        <f>BP130*'MASTER SHEET'!D130</f>
        <v>33473.83</v>
      </c>
      <c r="ES130" s="9">
        <f>BT130*'MASTER SHEET'!D130</f>
        <v>33473.83</v>
      </c>
      <c r="ET130" s="9">
        <f>BX130*'MASTER SHEET'!D130</f>
        <v>33473.83</v>
      </c>
      <c r="EU130" s="9">
        <f>CB130*'MASTER SHEET'!D130</f>
        <v>33473.83</v>
      </c>
      <c r="EV130" s="9">
        <f>CF130*'MASTER SHEET'!D130</f>
        <v>33473.83</v>
      </c>
      <c r="EW130" s="9">
        <f>CJ130*'MASTER SHEET'!D130</f>
        <v>33473.83</v>
      </c>
      <c r="EX130" s="9">
        <f>CN130*'MASTER SHEET'!D130</f>
        <v>33473.83</v>
      </c>
      <c r="EY130" s="9">
        <f>CR130*'MASTER SHEET'!D130</f>
        <v>33473.83</v>
      </c>
      <c r="EZ130" s="9">
        <f>$CV130*'MASTER SHEET'!D130</f>
        <v>33473.83</v>
      </c>
      <c r="FA130" s="9">
        <f>CZ130*'MASTER SHEET'!D130</f>
        <v>33473.83</v>
      </c>
      <c r="FB130" s="9">
        <f>DD130*'MASTER SHEET'!D130</f>
        <v>33473.83</v>
      </c>
      <c r="FC130" s="9">
        <f>DH130*'MASTER SHEET'!D130</f>
        <v>33473.83</v>
      </c>
      <c r="FD130" s="9">
        <f>DL130*'MASTER SHEET'!D130</f>
        <v>33473.83</v>
      </c>
      <c r="FE130" s="9">
        <f>DP130*'MASTER SHEET'!D130</f>
        <v>33473.83</v>
      </c>
      <c r="FF130" s="9">
        <f>DT130*'MASTER SHEET'!D130</f>
        <v>33473.83</v>
      </c>
      <c r="FG130" s="9">
        <f>+DX130*'MASTER SHEET'!D130</f>
        <v>33473.83</v>
      </c>
    </row>
    <row r="131" spans="1:163" ht="20.25" customHeight="1" x14ac:dyDescent="0.25">
      <c r="A131" s="25">
        <f>'MASTER SHEET'!A131</f>
        <v>129</v>
      </c>
      <c r="B131" s="168" t="str">
        <f>'MASTER SHEET'!B131</f>
        <v>WBASE CLIP</v>
      </c>
      <c r="C131" s="169">
        <f>'MASTER SHEET'!C131</f>
        <v>62153</v>
      </c>
      <c r="D131" s="159">
        <v>513</v>
      </c>
      <c r="E131" s="28">
        <f>PRODUCTION!F131+'SUPLIER INWARD'!F131</f>
        <v>0</v>
      </c>
      <c r="F131" s="28"/>
      <c r="G131" s="29">
        <v>0</v>
      </c>
      <c r="H131" s="30">
        <f t="shared" ref="H131:H162" si="159">D131+E131-F131-G131</f>
        <v>513</v>
      </c>
      <c r="I131" s="28">
        <f>PRODUCTION!J131+'SUPLIER INWARD'!J131</f>
        <v>0</v>
      </c>
      <c r="J131" s="28"/>
      <c r="K131" s="29">
        <v>0</v>
      </c>
      <c r="L131" s="30">
        <f t="shared" ref="L131:L162" si="160">H131+I131-J131-K131</f>
        <v>513</v>
      </c>
      <c r="M131" s="28">
        <f>PRODUCTION!N131+'SUPLIER INWARD'!N131</f>
        <v>0</v>
      </c>
      <c r="N131" s="58"/>
      <c r="O131" s="29"/>
      <c r="P131" s="30">
        <f t="shared" ref="P131:P162" si="161">L131+M131-N131-O131</f>
        <v>513</v>
      </c>
      <c r="Q131" s="28">
        <f>PRODUCTION!R131+'SUPLIER INWARD'!R131</f>
        <v>0</v>
      </c>
      <c r="R131" s="58"/>
      <c r="S131" s="29">
        <v>0</v>
      </c>
      <c r="T131" s="30">
        <f t="shared" ref="T131:T162" si="162">P131+Q131-R131-S131</f>
        <v>513</v>
      </c>
      <c r="U131" s="28">
        <f>PRODUCTION!V131+'SUPLIER INWARD'!V131</f>
        <v>0</v>
      </c>
      <c r="V131" s="58">
        <v>0</v>
      </c>
      <c r="W131" s="29">
        <v>0</v>
      </c>
      <c r="X131" s="30">
        <f t="shared" ref="X131:X162" si="163">T131+U131-V131-W131</f>
        <v>513</v>
      </c>
      <c r="Y131" s="28">
        <f>PRODUCTION!Z131+'SUPLIER INWARD'!Z131</f>
        <v>0</v>
      </c>
      <c r="Z131" s="58">
        <v>0</v>
      </c>
      <c r="AA131" s="29">
        <v>0</v>
      </c>
      <c r="AB131" s="30">
        <f t="shared" ref="AB131:AB162" si="164">X131+Y131-Z131-AA131</f>
        <v>513</v>
      </c>
      <c r="AC131" s="28">
        <f>PRODUCTION!AD131+'SUPLIER INWARD'!AD131</f>
        <v>0</v>
      </c>
      <c r="AD131" s="58">
        <v>0</v>
      </c>
      <c r="AE131" s="29">
        <v>0</v>
      </c>
      <c r="AF131" s="30">
        <f t="shared" ref="AF131:AF162" si="165">AB131+AC131-AD131-AE131</f>
        <v>513</v>
      </c>
      <c r="AG131" s="28">
        <f>PRODUCTION!AH131+'SUPLIER INWARD'!AH131</f>
        <v>0</v>
      </c>
      <c r="AH131" s="58">
        <v>0</v>
      </c>
      <c r="AI131" s="29">
        <v>0</v>
      </c>
      <c r="AJ131" s="30">
        <f t="shared" ref="AJ131:AJ162" si="166">AF131+AG131-AH131-AI131</f>
        <v>513</v>
      </c>
      <c r="AK131" s="28">
        <f>PRODUCTION!AL131+'SUPLIER INWARD'!AL131</f>
        <v>0</v>
      </c>
      <c r="AL131" s="58">
        <v>0</v>
      </c>
      <c r="AM131" s="29">
        <v>0</v>
      </c>
      <c r="AN131" s="30">
        <f t="shared" ref="AN131:AN162" si="167">AJ131+AK131-AL131-AM131</f>
        <v>513</v>
      </c>
      <c r="AO131" s="28">
        <f>PRODUCTION!AP131+'SUPLIER INWARD'!AP131</f>
        <v>0</v>
      </c>
      <c r="AP131" s="28"/>
      <c r="AQ131" s="29">
        <v>0</v>
      </c>
      <c r="AR131" s="30">
        <f t="shared" ref="AR131:AR162" si="168">AN131+AO131-AP131-AQ131</f>
        <v>513</v>
      </c>
      <c r="AS131" s="28">
        <f>PRODUCTION!AT131+'SUPLIER INWARD'!AT131</f>
        <v>0</v>
      </c>
      <c r="AT131" s="28">
        <v>0</v>
      </c>
      <c r="AU131" s="29">
        <v>0</v>
      </c>
      <c r="AV131" s="30">
        <f t="shared" ref="AV131:AV162" si="169">AR131+AS131-AT131-AU131</f>
        <v>513</v>
      </c>
      <c r="AW131" s="28">
        <f>PRODUCTION!AX131+'SUPLIER INWARD'!AX131</f>
        <v>0</v>
      </c>
      <c r="AX131" s="28"/>
      <c r="AY131" s="29"/>
      <c r="AZ131" s="30">
        <f t="shared" ref="AZ131:AZ162" si="170">AV131+AW131-AX131-AY131</f>
        <v>513</v>
      </c>
      <c r="BA131" s="28">
        <f>PRODUCTION!BB131+'SUPLIER INWARD'!BB131</f>
        <v>0</v>
      </c>
      <c r="BB131" s="58">
        <v>0</v>
      </c>
      <c r="BC131" s="29">
        <v>0</v>
      </c>
      <c r="BD131" s="30">
        <f t="shared" ref="BD131:BD162" si="171">AZ131+BA131-BB131-BC131</f>
        <v>513</v>
      </c>
      <c r="BE131" s="28">
        <f>PRODUCTION!BF131+'SUPLIER INWARD'!BF131</f>
        <v>0</v>
      </c>
      <c r="BF131" s="58"/>
      <c r="BG131" s="29">
        <v>0</v>
      </c>
      <c r="BH131" s="30">
        <f t="shared" ref="BH131:BH162" si="172">BD131+BE131-BF131-BG131</f>
        <v>513</v>
      </c>
      <c r="BI131" s="28">
        <f>PRODUCTION!BJ131+'SUPLIER INWARD'!BJ131</f>
        <v>0</v>
      </c>
      <c r="BJ131" s="58">
        <v>0</v>
      </c>
      <c r="BK131" s="29">
        <v>0</v>
      </c>
      <c r="BL131" s="30">
        <f t="shared" ref="BL131:BL162" si="173">BH131+BI131-BJ131-BK131</f>
        <v>513</v>
      </c>
      <c r="BM131" s="28">
        <f>PRODUCTION!BN131+'SUPLIER INWARD'!BN131</f>
        <v>0</v>
      </c>
      <c r="BN131" s="58">
        <v>0</v>
      </c>
      <c r="BO131" s="29">
        <v>0</v>
      </c>
      <c r="BP131" s="30">
        <f t="shared" ref="BP131:BP162" si="174">BL131+BM131-BN131-BO131</f>
        <v>513</v>
      </c>
      <c r="BQ131" s="28">
        <f>PRODUCTION!BR131+'SUPLIER INWARD'!BR131</f>
        <v>0</v>
      </c>
      <c r="BR131" s="58">
        <v>0</v>
      </c>
      <c r="BS131" s="29">
        <v>0</v>
      </c>
      <c r="BT131" s="30">
        <f t="shared" ref="BT131:BT162" si="175">BP131+BQ131-BR131-BS131</f>
        <v>513</v>
      </c>
      <c r="BU131" s="28">
        <f>PRODUCTION!BV131+'SUPLIER INWARD'!BV131</f>
        <v>0</v>
      </c>
      <c r="BV131" s="58">
        <v>0</v>
      </c>
      <c r="BW131" s="29">
        <v>0</v>
      </c>
      <c r="BX131" s="30">
        <f t="shared" ref="BX131:BX194" si="176">BT131+BU131-BV131-BW131</f>
        <v>513</v>
      </c>
      <c r="BY131" s="28">
        <f>PRODUCTION!BZ131+'SUPLIER INWARD'!BZ131</f>
        <v>0</v>
      </c>
      <c r="BZ131" s="58"/>
      <c r="CA131" s="29">
        <v>0</v>
      </c>
      <c r="CB131" s="30">
        <f t="shared" ref="CB131:CB162" si="177">BX131+BY131-BZ131-CA131</f>
        <v>513</v>
      </c>
      <c r="CC131" s="28">
        <f>PRODUCTION!CD131+'SUPLIER INWARD'!CD131</f>
        <v>0</v>
      </c>
      <c r="CD131" s="58">
        <v>0</v>
      </c>
      <c r="CE131" s="29">
        <v>0</v>
      </c>
      <c r="CF131" s="30">
        <f t="shared" ref="CF131:CF162" si="178">CB131+CC131-CD131-CE131</f>
        <v>513</v>
      </c>
      <c r="CG131" s="28">
        <f>PRODUCTION!CH131+'SUPLIER INWARD'!CH131</f>
        <v>0</v>
      </c>
      <c r="CH131" s="58">
        <v>0</v>
      </c>
      <c r="CI131" s="29">
        <v>0</v>
      </c>
      <c r="CJ131" s="30">
        <f t="shared" ref="CJ131:CJ194" si="179">CF131+CG131-CH131-CI131</f>
        <v>513</v>
      </c>
      <c r="CK131" s="28">
        <f>PRODUCTION!CL131+'SUPLIER INWARD'!CL131</f>
        <v>0</v>
      </c>
      <c r="CL131" s="58"/>
      <c r="CM131" s="152">
        <v>0</v>
      </c>
      <c r="CN131" s="30">
        <f t="shared" ref="CN131:CN194" si="180">CJ131+CK131-CL131-CM131</f>
        <v>513</v>
      </c>
      <c r="CO131" s="28">
        <f>PRODUCTION!CP131+'SUPLIER INWARD'!CP131</f>
        <v>0</v>
      </c>
      <c r="CP131" s="58">
        <v>0</v>
      </c>
      <c r="CQ131" s="29">
        <v>0</v>
      </c>
      <c r="CR131" s="30">
        <f t="shared" ref="CR131:CR194" si="181">CN131+CO131-CP131-CQ131</f>
        <v>513</v>
      </c>
      <c r="CS131" s="28">
        <f>PRODUCTION!CT131+'SUPLIER INWARD'!CT131</f>
        <v>0</v>
      </c>
      <c r="CT131" s="28">
        <v>0</v>
      </c>
      <c r="CU131" s="29">
        <v>0</v>
      </c>
      <c r="CV131" s="30">
        <f t="shared" ref="CV131:CV194" si="182">CR131+CS131-CT131-CU131</f>
        <v>513</v>
      </c>
      <c r="CW131" s="28">
        <f>PRODUCTION!CX131+'SUPLIER INWARD'!CX131</f>
        <v>0</v>
      </c>
      <c r="CX131" s="58">
        <v>0</v>
      </c>
      <c r="CY131" s="29">
        <v>0</v>
      </c>
      <c r="CZ131" s="30">
        <f t="shared" ref="CZ131:CZ162" si="183">CV131+CW131-CX131-CY131</f>
        <v>513</v>
      </c>
      <c r="DA131" s="28">
        <f>PRODUCTION!DB131+'SUPLIER INWARD'!DB131</f>
        <v>0</v>
      </c>
      <c r="DB131" s="58"/>
      <c r="DC131" s="29"/>
      <c r="DD131" s="30">
        <f t="shared" ref="DD131:DD162" si="184">CZ131+DA131-DB131-DC131</f>
        <v>513</v>
      </c>
      <c r="DE131" s="28">
        <f>PRODUCTION!DF131+'SUPLIER INWARD'!DF131</f>
        <v>0</v>
      </c>
      <c r="DF131" s="58">
        <v>0</v>
      </c>
      <c r="DG131" s="29">
        <v>0</v>
      </c>
      <c r="DH131" s="30">
        <f t="shared" ref="DH131:DH162" si="185">DD131+DE131-DF131-DG131</f>
        <v>513</v>
      </c>
      <c r="DI131" s="28">
        <f>PRODUCTION!DJ131+'SUPLIER INWARD'!DJ131</f>
        <v>0</v>
      </c>
      <c r="DJ131" s="58">
        <v>0</v>
      </c>
      <c r="DK131" s="29">
        <v>0</v>
      </c>
      <c r="DL131" s="30">
        <f t="shared" ref="DL131:DL162" si="186">DH131+DI131-DJ131-DK131</f>
        <v>513</v>
      </c>
      <c r="DM131" s="28">
        <f>PRODUCTION!DN131+'SUPLIER INWARD'!DN131</f>
        <v>0</v>
      </c>
      <c r="DN131" s="58">
        <v>0</v>
      </c>
      <c r="DO131" s="29"/>
      <c r="DP131" s="30">
        <f t="shared" ref="DP131:DP162" si="187">DL131+DM131-DN131-DO131</f>
        <v>513</v>
      </c>
      <c r="DQ131" s="28">
        <f>PRODUCTION!DR131+'SUPLIER INWARD'!DR131</f>
        <v>0</v>
      </c>
      <c r="DR131" s="57"/>
      <c r="DS131" s="29"/>
      <c r="DT131" s="30">
        <f t="shared" ref="DT131:DT162" si="188">DP131+DQ131-DR131-DS131</f>
        <v>513</v>
      </c>
      <c r="DU131" s="28">
        <f>PRODUCTION!DV131+'SUPLIER INWARD'!DV131</f>
        <v>0</v>
      </c>
      <c r="DV131" s="58"/>
      <c r="DW131" s="29"/>
      <c r="DX131" s="30">
        <f t="shared" ref="DX131:DX162" si="189">DT131+DU131-DV131-DW131</f>
        <v>513</v>
      </c>
      <c r="DY131" s="141">
        <f t="shared" si="158"/>
        <v>0</v>
      </c>
      <c r="DZ131" s="141">
        <f t="shared" si="156"/>
        <v>0</v>
      </c>
      <c r="EA131" s="4">
        <f t="shared" si="157"/>
        <v>0</v>
      </c>
      <c r="EB131" s="9">
        <f>D131*'MASTER SHEET'!D131</f>
        <v>625.86</v>
      </c>
      <c r="EC131" s="9">
        <f>H131*'MASTER SHEET'!D131</f>
        <v>625.86</v>
      </c>
      <c r="ED131" s="9">
        <f>L131*'MASTER SHEET'!D131</f>
        <v>625.86</v>
      </c>
      <c r="EE131" s="9">
        <f>P131*'MASTER SHEET'!D131</f>
        <v>625.86</v>
      </c>
      <c r="EF131" s="9">
        <f>T131*'MASTER SHEET'!D131</f>
        <v>625.86</v>
      </c>
      <c r="EG131" s="9">
        <f>X131*'MASTER SHEET'!D131</f>
        <v>625.86</v>
      </c>
      <c r="EH131" s="9">
        <f>AB131*'MASTER SHEET'!D131</f>
        <v>625.86</v>
      </c>
      <c r="EI131" s="9">
        <f>AF131*'MASTER SHEET'!D131</f>
        <v>625.86</v>
      </c>
      <c r="EJ131" s="9">
        <f>AJ131*'MASTER SHEET'!D131</f>
        <v>625.86</v>
      </c>
      <c r="EK131" s="9">
        <f>AN131*'MASTER SHEET'!D131</f>
        <v>625.86</v>
      </c>
      <c r="EL131" s="9">
        <f>AR131*'MASTER SHEET'!D131</f>
        <v>625.86</v>
      </c>
      <c r="EM131" s="9">
        <f>AV131*'MASTER SHEET'!D131</f>
        <v>625.86</v>
      </c>
      <c r="EN131" s="9">
        <f>AZ131*'MASTER SHEET'!D131</f>
        <v>625.86</v>
      </c>
      <c r="EO131" s="9">
        <f>BD131*'MASTER SHEET'!D131</f>
        <v>625.86</v>
      </c>
      <c r="EP131" s="9">
        <f>$BH131*'MASTER SHEET'!$D131</f>
        <v>625.86</v>
      </c>
      <c r="EQ131" s="9">
        <f>BL131*'MASTER SHEET'!D131</f>
        <v>625.86</v>
      </c>
      <c r="ER131" s="9">
        <f>BP131*'MASTER SHEET'!D131</f>
        <v>625.86</v>
      </c>
      <c r="ES131" s="9">
        <f>BT131*'MASTER SHEET'!D131</f>
        <v>625.86</v>
      </c>
      <c r="ET131" s="9">
        <f>BX131*'MASTER SHEET'!D131</f>
        <v>625.86</v>
      </c>
      <c r="EU131" s="9">
        <f>CB131*'MASTER SHEET'!D131</f>
        <v>625.86</v>
      </c>
      <c r="EV131" s="9">
        <f>CF131*'MASTER SHEET'!D131</f>
        <v>625.86</v>
      </c>
      <c r="EW131" s="9">
        <f>CJ131*'MASTER SHEET'!D131</f>
        <v>625.86</v>
      </c>
      <c r="EX131" s="9">
        <f>CN131*'MASTER SHEET'!D131</f>
        <v>625.86</v>
      </c>
      <c r="EY131" s="9">
        <f>CR131*'MASTER SHEET'!D131</f>
        <v>625.86</v>
      </c>
      <c r="EZ131" s="9">
        <f>$CV131*'MASTER SHEET'!D131</f>
        <v>625.86</v>
      </c>
      <c r="FA131" s="9">
        <f>CZ131*'MASTER SHEET'!D131</f>
        <v>625.86</v>
      </c>
      <c r="FB131" s="9">
        <f>DD131*'MASTER SHEET'!D131</f>
        <v>625.86</v>
      </c>
      <c r="FC131" s="9">
        <f>DH131*'MASTER SHEET'!D131</f>
        <v>625.86</v>
      </c>
      <c r="FD131" s="9">
        <f>DL131*'MASTER SHEET'!D131</f>
        <v>625.86</v>
      </c>
      <c r="FE131" s="9">
        <f>DP131*'MASTER SHEET'!D131</f>
        <v>625.86</v>
      </c>
      <c r="FF131" s="9">
        <f>DT131*'MASTER SHEET'!D131</f>
        <v>625.86</v>
      </c>
      <c r="FG131" s="9">
        <f>+DX131*'MASTER SHEET'!D131</f>
        <v>625.86</v>
      </c>
    </row>
    <row r="132" spans="1:163" ht="20.25" customHeight="1" x14ac:dyDescent="0.25">
      <c r="A132" s="25">
        <f>'MASTER SHEET'!A132</f>
        <v>130</v>
      </c>
      <c r="B132" s="168" t="str">
        <f>'MASTER SHEET'!B132</f>
        <v>GRAPPING HOOK</v>
      </c>
      <c r="C132" s="169">
        <f>'MASTER SHEET'!C132</f>
        <v>62286</v>
      </c>
      <c r="D132" s="163">
        <f>8186+700</f>
        <v>8886</v>
      </c>
      <c r="E132" s="28">
        <f>PRODUCTION!F132+'SUPLIER INWARD'!F132</f>
        <v>0</v>
      </c>
      <c r="F132" s="28"/>
      <c r="G132" s="29">
        <v>0</v>
      </c>
      <c r="H132" s="30">
        <f t="shared" si="159"/>
        <v>8886</v>
      </c>
      <c r="I132" s="28">
        <f>PRODUCTION!J132+'SUPLIER INWARD'!J132</f>
        <v>0</v>
      </c>
      <c r="J132" s="28"/>
      <c r="K132" s="29">
        <v>0</v>
      </c>
      <c r="L132" s="30">
        <f t="shared" si="160"/>
        <v>8886</v>
      </c>
      <c r="M132" s="28">
        <f>PRODUCTION!N132+'SUPLIER INWARD'!N132</f>
        <v>0</v>
      </c>
      <c r="N132" s="58"/>
      <c r="O132" s="29"/>
      <c r="P132" s="30">
        <f t="shared" si="161"/>
        <v>8886</v>
      </c>
      <c r="Q132" s="28">
        <f>PRODUCTION!R132+'SUPLIER INWARD'!R132</f>
        <v>0</v>
      </c>
      <c r="R132" s="58"/>
      <c r="S132" s="29">
        <v>0</v>
      </c>
      <c r="T132" s="30">
        <f t="shared" si="162"/>
        <v>8886</v>
      </c>
      <c r="U132" s="28">
        <f>PRODUCTION!V132+'SUPLIER INWARD'!V132</f>
        <v>0</v>
      </c>
      <c r="V132" s="58">
        <v>0</v>
      </c>
      <c r="W132" s="29">
        <v>0</v>
      </c>
      <c r="X132" s="30">
        <f t="shared" si="163"/>
        <v>8886</v>
      </c>
      <c r="Y132" s="28">
        <f>PRODUCTION!Z132+'SUPLIER INWARD'!Z132</f>
        <v>0</v>
      </c>
      <c r="Z132" s="58">
        <v>0</v>
      </c>
      <c r="AA132" s="29">
        <v>0</v>
      </c>
      <c r="AB132" s="30">
        <f t="shared" si="164"/>
        <v>8886</v>
      </c>
      <c r="AC132" s="28">
        <f>PRODUCTION!AD132+'SUPLIER INWARD'!AD132</f>
        <v>0</v>
      </c>
      <c r="AD132" s="58">
        <v>0</v>
      </c>
      <c r="AE132" s="29">
        <v>0</v>
      </c>
      <c r="AF132" s="30">
        <f t="shared" si="165"/>
        <v>8886</v>
      </c>
      <c r="AG132" s="28">
        <f>PRODUCTION!AH132+'SUPLIER INWARD'!AH132</f>
        <v>0</v>
      </c>
      <c r="AH132" s="58">
        <v>0</v>
      </c>
      <c r="AI132" s="29">
        <v>0</v>
      </c>
      <c r="AJ132" s="30">
        <f t="shared" si="166"/>
        <v>8886</v>
      </c>
      <c r="AK132" s="28">
        <f>PRODUCTION!AL132+'SUPLIER INWARD'!AL132</f>
        <v>0</v>
      </c>
      <c r="AL132" s="58">
        <v>0</v>
      </c>
      <c r="AM132" s="29">
        <v>0</v>
      </c>
      <c r="AN132" s="30">
        <f t="shared" si="167"/>
        <v>8886</v>
      </c>
      <c r="AO132" s="28">
        <f>PRODUCTION!AP132+'SUPLIER INWARD'!AP132</f>
        <v>0</v>
      </c>
      <c r="AP132" s="28"/>
      <c r="AQ132" s="29">
        <v>0</v>
      </c>
      <c r="AR132" s="30">
        <f t="shared" si="168"/>
        <v>8886</v>
      </c>
      <c r="AS132" s="28">
        <f>PRODUCTION!AT132+'SUPLIER INWARD'!AT132</f>
        <v>0</v>
      </c>
      <c r="AT132" s="28">
        <v>0</v>
      </c>
      <c r="AU132" s="29">
        <v>0</v>
      </c>
      <c r="AV132" s="30">
        <f t="shared" si="169"/>
        <v>8886</v>
      </c>
      <c r="AW132" s="28">
        <f>PRODUCTION!AX132+'SUPLIER INWARD'!AX132</f>
        <v>0</v>
      </c>
      <c r="AX132" s="28"/>
      <c r="AY132" s="29"/>
      <c r="AZ132" s="30">
        <f t="shared" si="170"/>
        <v>8886</v>
      </c>
      <c r="BA132" s="28">
        <f>PRODUCTION!BB132+'SUPLIER INWARD'!BB132</f>
        <v>0</v>
      </c>
      <c r="BB132" s="58">
        <v>6000</v>
      </c>
      <c r="BC132" s="29">
        <v>0</v>
      </c>
      <c r="BD132" s="30">
        <f t="shared" si="171"/>
        <v>2886</v>
      </c>
      <c r="BE132" s="28">
        <f>PRODUCTION!BF132+'SUPLIER INWARD'!BF132</f>
        <v>0</v>
      </c>
      <c r="BF132" s="58">
        <v>2000</v>
      </c>
      <c r="BG132" s="29">
        <v>0</v>
      </c>
      <c r="BH132" s="30">
        <f t="shared" si="172"/>
        <v>886</v>
      </c>
      <c r="BI132" s="28">
        <f>PRODUCTION!BJ132+'SUPLIER INWARD'!BJ132</f>
        <v>0</v>
      </c>
      <c r="BJ132" s="58">
        <v>0</v>
      </c>
      <c r="BK132" s="29">
        <v>0</v>
      </c>
      <c r="BL132" s="30">
        <f t="shared" si="173"/>
        <v>886</v>
      </c>
      <c r="BM132" s="28">
        <f>PRODUCTION!BN132+'SUPLIER INWARD'!BN132</f>
        <v>0</v>
      </c>
      <c r="BN132" s="58">
        <v>0</v>
      </c>
      <c r="BO132" s="29">
        <v>0</v>
      </c>
      <c r="BP132" s="30">
        <f t="shared" si="174"/>
        <v>886</v>
      </c>
      <c r="BQ132" s="28">
        <f>PRODUCTION!BR132+'SUPLIER INWARD'!BR132</f>
        <v>0</v>
      </c>
      <c r="BR132" s="58">
        <v>0</v>
      </c>
      <c r="BS132" s="29">
        <v>0</v>
      </c>
      <c r="BT132" s="30">
        <f t="shared" si="175"/>
        <v>886</v>
      </c>
      <c r="BU132" s="28">
        <f>PRODUCTION!BV132+'SUPLIER INWARD'!BV132</f>
        <v>0</v>
      </c>
      <c r="BV132" s="58">
        <v>0</v>
      </c>
      <c r="BW132" s="29">
        <v>0</v>
      </c>
      <c r="BX132" s="30">
        <f t="shared" si="176"/>
        <v>886</v>
      </c>
      <c r="BY132" s="28">
        <f>PRODUCTION!BZ132+'SUPLIER INWARD'!BZ132</f>
        <v>0</v>
      </c>
      <c r="BZ132" s="58"/>
      <c r="CA132" s="29">
        <v>0</v>
      </c>
      <c r="CB132" s="30">
        <f t="shared" si="177"/>
        <v>886</v>
      </c>
      <c r="CC132" s="28">
        <f>PRODUCTION!CD132+'SUPLIER INWARD'!CD132</f>
        <v>0</v>
      </c>
      <c r="CD132" s="58">
        <v>0</v>
      </c>
      <c r="CE132" s="29">
        <v>0</v>
      </c>
      <c r="CF132" s="30">
        <f t="shared" si="178"/>
        <v>886</v>
      </c>
      <c r="CG132" s="28">
        <f>PRODUCTION!CH132+'SUPLIER INWARD'!CH132</f>
        <v>0</v>
      </c>
      <c r="CH132" s="58">
        <v>0</v>
      </c>
      <c r="CI132" s="29">
        <v>0</v>
      </c>
      <c r="CJ132" s="30">
        <f t="shared" si="179"/>
        <v>886</v>
      </c>
      <c r="CK132" s="28">
        <f>PRODUCTION!CL132+'SUPLIER INWARD'!CL132</f>
        <v>0</v>
      </c>
      <c r="CL132" s="58"/>
      <c r="CM132" s="152">
        <v>0</v>
      </c>
      <c r="CN132" s="30">
        <f t="shared" si="180"/>
        <v>886</v>
      </c>
      <c r="CO132" s="28">
        <f>PRODUCTION!CP132+'SUPLIER INWARD'!CP132</f>
        <v>0</v>
      </c>
      <c r="CP132" s="58">
        <v>0</v>
      </c>
      <c r="CQ132" s="29">
        <v>0</v>
      </c>
      <c r="CR132" s="30">
        <f t="shared" si="181"/>
        <v>886</v>
      </c>
      <c r="CS132" s="28">
        <f>PRODUCTION!CT132+'SUPLIER INWARD'!CT132</f>
        <v>0</v>
      </c>
      <c r="CT132" s="28">
        <v>0</v>
      </c>
      <c r="CU132" s="29">
        <v>0</v>
      </c>
      <c r="CV132" s="30">
        <f t="shared" si="182"/>
        <v>886</v>
      </c>
      <c r="CW132" s="28">
        <f>PRODUCTION!CX132+'SUPLIER INWARD'!CX132</f>
        <v>0</v>
      </c>
      <c r="CX132" s="58">
        <v>0</v>
      </c>
      <c r="CY132" s="29">
        <v>0</v>
      </c>
      <c r="CZ132" s="30">
        <f t="shared" si="183"/>
        <v>886</v>
      </c>
      <c r="DA132" s="28">
        <f>PRODUCTION!DB132+'SUPLIER INWARD'!DB132</f>
        <v>8712</v>
      </c>
      <c r="DB132" s="58"/>
      <c r="DC132" s="29"/>
      <c r="DD132" s="30">
        <f t="shared" si="184"/>
        <v>9598</v>
      </c>
      <c r="DE132" s="28">
        <f>PRODUCTION!DF132+'SUPLIER INWARD'!DF132</f>
        <v>17907</v>
      </c>
      <c r="DF132" s="58">
        <v>16000</v>
      </c>
      <c r="DG132" s="29">
        <v>0</v>
      </c>
      <c r="DH132" s="30">
        <f t="shared" si="185"/>
        <v>11505</v>
      </c>
      <c r="DI132" s="28">
        <f>PRODUCTION!DJ132+'SUPLIER INWARD'!DJ132</f>
        <v>2594</v>
      </c>
      <c r="DJ132" s="58">
        <v>14000</v>
      </c>
      <c r="DK132" s="29">
        <v>0</v>
      </c>
      <c r="DL132" s="30">
        <f t="shared" si="186"/>
        <v>99</v>
      </c>
      <c r="DM132" s="28">
        <f>PRODUCTION!DN132+'SUPLIER INWARD'!DN132</f>
        <v>0</v>
      </c>
      <c r="DN132" s="58">
        <v>2000</v>
      </c>
      <c r="DO132" s="29"/>
      <c r="DP132" s="30">
        <f t="shared" si="187"/>
        <v>-1901</v>
      </c>
      <c r="DQ132" s="28">
        <f>PRODUCTION!DR132+'SUPLIER INWARD'!DR132</f>
        <v>0</v>
      </c>
      <c r="DR132" s="57"/>
      <c r="DS132" s="29"/>
      <c r="DT132" s="30">
        <f t="shared" si="188"/>
        <v>-1901</v>
      </c>
      <c r="DU132" s="28">
        <f>PRODUCTION!DV132+'SUPLIER INWARD'!DV132</f>
        <v>0</v>
      </c>
      <c r="DV132" s="58"/>
      <c r="DW132" s="29"/>
      <c r="DX132" s="30">
        <f t="shared" si="189"/>
        <v>-1901</v>
      </c>
      <c r="DY132" s="141">
        <f t="shared" si="158"/>
        <v>29213</v>
      </c>
      <c r="DZ132" s="141">
        <f t="shared" si="156"/>
        <v>40000</v>
      </c>
      <c r="EA132" s="4">
        <f t="shared" si="157"/>
        <v>0</v>
      </c>
      <c r="EB132" s="9">
        <f>D132*'MASTER SHEET'!D132</f>
        <v>27457.739999999998</v>
      </c>
      <c r="EC132" s="9">
        <f>H132*'MASTER SHEET'!D132</f>
        <v>27457.739999999998</v>
      </c>
      <c r="ED132" s="9">
        <f>L132*'MASTER SHEET'!D132</f>
        <v>27457.739999999998</v>
      </c>
      <c r="EE132" s="9">
        <f>P132*'MASTER SHEET'!D132</f>
        <v>27457.739999999998</v>
      </c>
      <c r="EF132" s="9">
        <f>T132*'MASTER SHEET'!D132</f>
        <v>27457.739999999998</v>
      </c>
      <c r="EG132" s="9">
        <f>X132*'MASTER SHEET'!D132</f>
        <v>27457.739999999998</v>
      </c>
      <c r="EH132" s="9">
        <f>AB132*'MASTER SHEET'!D132</f>
        <v>27457.739999999998</v>
      </c>
      <c r="EI132" s="9">
        <f>AF132*'MASTER SHEET'!D132</f>
        <v>27457.739999999998</v>
      </c>
      <c r="EJ132" s="9">
        <f>AJ132*'MASTER SHEET'!D132</f>
        <v>27457.739999999998</v>
      </c>
      <c r="EK132" s="9">
        <f>AN132*'MASTER SHEET'!D132</f>
        <v>27457.739999999998</v>
      </c>
      <c r="EL132" s="9">
        <f>AR132*'MASTER SHEET'!D132</f>
        <v>27457.739999999998</v>
      </c>
      <c r="EM132" s="9">
        <f>AV132*'MASTER SHEET'!D132</f>
        <v>27457.739999999998</v>
      </c>
      <c r="EN132" s="9">
        <f>AZ132*'MASTER SHEET'!D132</f>
        <v>27457.739999999998</v>
      </c>
      <c r="EO132" s="9">
        <f>BD132*'MASTER SHEET'!D132</f>
        <v>8917.74</v>
      </c>
      <c r="EP132" s="9">
        <f>$BH132*'MASTER SHEET'!$D132</f>
        <v>2737.74</v>
      </c>
      <c r="EQ132" s="9">
        <f>BL132*'MASTER SHEET'!D132</f>
        <v>2737.74</v>
      </c>
      <c r="ER132" s="9">
        <f>BP132*'MASTER SHEET'!D132</f>
        <v>2737.74</v>
      </c>
      <c r="ES132" s="9">
        <f>BT132*'MASTER SHEET'!D132</f>
        <v>2737.74</v>
      </c>
      <c r="ET132" s="9">
        <f>BX132*'MASTER SHEET'!D132</f>
        <v>2737.74</v>
      </c>
      <c r="EU132" s="9">
        <f>CB132*'MASTER SHEET'!D132</f>
        <v>2737.74</v>
      </c>
      <c r="EV132" s="9">
        <f>CF132*'MASTER SHEET'!D132</f>
        <v>2737.74</v>
      </c>
      <c r="EW132" s="9">
        <f>CJ132*'MASTER SHEET'!D132</f>
        <v>2737.74</v>
      </c>
      <c r="EX132" s="9">
        <f>CN132*'MASTER SHEET'!D132</f>
        <v>2737.74</v>
      </c>
      <c r="EY132" s="9">
        <f>CR132*'MASTER SHEET'!D132</f>
        <v>2737.74</v>
      </c>
      <c r="EZ132" s="9">
        <f>$CV132*'MASTER SHEET'!D132</f>
        <v>2737.74</v>
      </c>
      <c r="FA132" s="9">
        <f>CZ132*'MASTER SHEET'!D132</f>
        <v>2737.74</v>
      </c>
      <c r="FB132" s="9">
        <f>DD132*'MASTER SHEET'!D132</f>
        <v>29657.82</v>
      </c>
      <c r="FC132" s="9">
        <f>DH132*'MASTER SHEET'!D132</f>
        <v>35550.449999999997</v>
      </c>
      <c r="FD132" s="9">
        <f>DL132*'MASTER SHEET'!D132</f>
        <v>305.90999999999997</v>
      </c>
      <c r="FE132" s="9">
        <f>DP132*'MASTER SHEET'!D132</f>
        <v>-5874.09</v>
      </c>
      <c r="FF132" s="9">
        <f>DT132*'MASTER SHEET'!D132</f>
        <v>-5874.09</v>
      </c>
      <c r="FG132" s="9">
        <f>+DX132*'MASTER SHEET'!D132</f>
        <v>-5874.09</v>
      </c>
    </row>
    <row r="133" spans="1:163" ht="20.25" customHeight="1" x14ac:dyDescent="0.25">
      <c r="A133" s="25">
        <f>'MASTER SHEET'!A133</f>
        <v>131</v>
      </c>
      <c r="B133" s="168" t="str">
        <f>'MASTER SHEET'!B133</f>
        <v>ODH ACTUATOR RH</v>
      </c>
      <c r="C133" s="169" t="str">
        <f>'MASTER SHEET'!C133</f>
        <v>BE00003048</v>
      </c>
      <c r="D133" s="159">
        <v>1400</v>
      </c>
      <c r="E133" s="28">
        <f>PRODUCTION!F133+'SUPLIER INWARD'!F133</f>
        <v>0</v>
      </c>
      <c r="F133" s="28"/>
      <c r="G133" s="29">
        <v>0</v>
      </c>
      <c r="H133" s="30">
        <f t="shared" si="159"/>
        <v>1400</v>
      </c>
      <c r="I133" s="28">
        <f>PRODUCTION!J133+'SUPLIER INWARD'!J133</f>
        <v>0</v>
      </c>
      <c r="J133" s="28"/>
      <c r="K133" s="29">
        <v>0</v>
      </c>
      <c r="L133" s="30">
        <f t="shared" si="160"/>
        <v>1400</v>
      </c>
      <c r="M133" s="28">
        <f>PRODUCTION!N133+'SUPLIER INWARD'!N133</f>
        <v>0</v>
      </c>
      <c r="N133" s="58"/>
      <c r="O133" s="29"/>
      <c r="P133" s="30">
        <f t="shared" si="161"/>
        <v>1400</v>
      </c>
      <c r="Q133" s="28">
        <f>PRODUCTION!R133+'SUPLIER INWARD'!R133</f>
        <v>0</v>
      </c>
      <c r="R133" s="58"/>
      <c r="S133" s="29">
        <v>0</v>
      </c>
      <c r="T133" s="30">
        <f t="shared" si="162"/>
        <v>1400</v>
      </c>
      <c r="U133" s="28">
        <f>PRODUCTION!V133+'SUPLIER INWARD'!V133</f>
        <v>5417</v>
      </c>
      <c r="V133" s="58">
        <v>1400</v>
      </c>
      <c r="W133" s="29">
        <v>0</v>
      </c>
      <c r="X133" s="30">
        <f t="shared" si="163"/>
        <v>5417</v>
      </c>
      <c r="Y133" s="28">
        <f>PRODUCTION!Z133+'SUPLIER INWARD'!Z133</f>
        <v>12627</v>
      </c>
      <c r="Z133" s="58">
        <v>3000</v>
      </c>
      <c r="AA133" s="29">
        <v>8</v>
      </c>
      <c r="AB133" s="30">
        <f t="shared" si="164"/>
        <v>15036</v>
      </c>
      <c r="AC133" s="28">
        <f>PRODUCTION!AD133+'SUPLIER INWARD'!AD133</f>
        <v>2724</v>
      </c>
      <c r="AD133" s="58">
        <v>3000</v>
      </c>
      <c r="AE133" s="29">
        <v>130</v>
      </c>
      <c r="AF133" s="30">
        <f t="shared" si="165"/>
        <v>14630</v>
      </c>
      <c r="AG133" s="28">
        <f>PRODUCTION!AH133+'SUPLIER INWARD'!AH133</f>
        <v>0</v>
      </c>
      <c r="AH133" s="58">
        <v>3000</v>
      </c>
      <c r="AI133" s="29">
        <v>145</v>
      </c>
      <c r="AJ133" s="30">
        <f t="shared" si="166"/>
        <v>11485</v>
      </c>
      <c r="AK133" s="28">
        <f>PRODUCTION!AL133+'SUPLIER INWARD'!AL133</f>
        <v>0</v>
      </c>
      <c r="AL133" s="58">
        <v>0</v>
      </c>
      <c r="AM133" s="29">
        <v>0</v>
      </c>
      <c r="AN133" s="30">
        <f t="shared" si="167"/>
        <v>11485</v>
      </c>
      <c r="AO133" s="28">
        <f>PRODUCTION!AP133+'SUPLIER INWARD'!AP133</f>
        <v>0</v>
      </c>
      <c r="AP133" s="28"/>
      <c r="AQ133" s="29">
        <v>0</v>
      </c>
      <c r="AR133" s="30">
        <f t="shared" si="168"/>
        <v>11485</v>
      </c>
      <c r="AS133" s="28">
        <f>PRODUCTION!AT133+'SUPLIER INWARD'!AT133</f>
        <v>0</v>
      </c>
      <c r="AT133" s="28">
        <v>0</v>
      </c>
      <c r="AU133" s="29">
        <v>0</v>
      </c>
      <c r="AV133" s="30">
        <f t="shared" si="169"/>
        <v>11485</v>
      </c>
      <c r="AW133" s="28">
        <f>PRODUCTION!AX133+'SUPLIER INWARD'!AX133</f>
        <v>0</v>
      </c>
      <c r="AX133" s="28"/>
      <c r="AY133" s="29"/>
      <c r="AZ133" s="30">
        <f t="shared" si="170"/>
        <v>11485</v>
      </c>
      <c r="BA133" s="28">
        <f>PRODUCTION!BB133+'SUPLIER INWARD'!BB133</f>
        <v>0</v>
      </c>
      <c r="BB133" s="58">
        <v>0</v>
      </c>
      <c r="BC133" s="29">
        <v>0</v>
      </c>
      <c r="BD133" s="30">
        <f t="shared" si="171"/>
        <v>11485</v>
      </c>
      <c r="BE133" s="28">
        <f>PRODUCTION!BF133+'SUPLIER INWARD'!BF133</f>
        <v>0</v>
      </c>
      <c r="BF133" s="58"/>
      <c r="BG133" s="29">
        <v>0</v>
      </c>
      <c r="BH133" s="30">
        <f t="shared" si="172"/>
        <v>11485</v>
      </c>
      <c r="BI133" s="28">
        <f>PRODUCTION!BJ133+'SUPLIER INWARD'!BJ133</f>
        <v>0</v>
      </c>
      <c r="BJ133" s="58">
        <v>0</v>
      </c>
      <c r="BK133" s="29">
        <v>0</v>
      </c>
      <c r="BL133" s="30">
        <f t="shared" si="173"/>
        <v>11485</v>
      </c>
      <c r="BM133" s="28">
        <f>PRODUCTION!BN133+'SUPLIER INWARD'!BN133</f>
        <v>0</v>
      </c>
      <c r="BN133" s="58">
        <v>0</v>
      </c>
      <c r="BO133" s="29">
        <v>0</v>
      </c>
      <c r="BP133" s="30">
        <f t="shared" si="174"/>
        <v>11485</v>
      </c>
      <c r="BQ133" s="28">
        <f>PRODUCTION!BR133+'SUPLIER INWARD'!BR133</f>
        <v>0</v>
      </c>
      <c r="BR133" s="58">
        <v>0</v>
      </c>
      <c r="BS133" s="29">
        <v>0</v>
      </c>
      <c r="BT133" s="30">
        <f t="shared" si="175"/>
        <v>11485</v>
      </c>
      <c r="BU133" s="28">
        <f>PRODUCTION!BV133+'SUPLIER INWARD'!BV133</f>
        <v>0</v>
      </c>
      <c r="BV133" s="58">
        <v>0</v>
      </c>
      <c r="BW133" s="29">
        <v>0</v>
      </c>
      <c r="BX133" s="30">
        <f t="shared" si="176"/>
        <v>11485</v>
      </c>
      <c r="BY133" s="28">
        <f>PRODUCTION!BZ133+'SUPLIER INWARD'!BZ133</f>
        <v>0</v>
      </c>
      <c r="BZ133" s="58"/>
      <c r="CA133" s="29">
        <v>0</v>
      </c>
      <c r="CB133" s="30">
        <f t="shared" si="177"/>
        <v>11485</v>
      </c>
      <c r="CC133" s="28">
        <f>PRODUCTION!CD133+'SUPLIER INWARD'!CD133</f>
        <v>0</v>
      </c>
      <c r="CD133" s="58">
        <v>0</v>
      </c>
      <c r="CE133" s="29">
        <v>0</v>
      </c>
      <c r="CF133" s="30">
        <f t="shared" si="178"/>
        <v>11485</v>
      </c>
      <c r="CG133" s="28">
        <f>PRODUCTION!CH133+'SUPLIER INWARD'!CH133</f>
        <v>0</v>
      </c>
      <c r="CH133" s="58">
        <v>0</v>
      </c>
      <c r="CI133" s="29">
        <v>0</v>
      </c>
      <c r="CJ133" s="30">
        <f t="shared" si="179"/>
        <v>11485</v>
      </c>
      <c r="CK133" s="28">
        <f>PRODUCTION!CL133+'SUPLIER INWARD'!CL133</f>
        <v>0</v>
      </c>
      <c r="CL133" s="58"/>
      <c r="CM133" s="152">
        <v>0</v>
      </c>
      <c r="CN133" s="30">
        <f t="shared" si="180"/>
        <v>11485</v>
      </c>
      <c r="CO133" s="28">
        <f>PRODUCTION!CP133+'SUPLIER INWARD'!CP133</f>
        <v>0</v>
      </c>
      <c r="CP133" s="58">
        <v>0</v>
      </c>
      <c r="CQ133" s="29">
        <v>0</v>
      </c>
      <c r="CR133" s="30">
        <f t="shared" si="181"/>
        <v>11485</v>
      </c>
      <c r="CS133" s="28">
        <f>PRODUCTION!CT133+'SUPLIER INWARD'!CT133</f>
        <v>0</v>
      </c>
      <c r="CT133" s="28">
        <v>0</v>
      </c>
      <c r="CU133" s="29">
        <v>0</v>
      </c>
      <c r="CV133" s="30">
        <f t="shared" si="182"/>
        <v>11485</v>
      </c>
      <c r="CW133" s="28">
        <f>PRODUCTION!CX133+'SUPLIER INWARD'!CX133</f>
        <v>0</v>
      </c>
      <c r="CX133" s="58">
        <v>0</v>
      </c>
      <c r="CY133" s="29">
        <v>0</v>
      </c>
      <c r="CZ133" s="30">
        <f t="shared" si="183"/>
        <v>11485</v>
      </c>
      <c r="DA133" s="28">
        <f>PRODUCTION!DB133+'SUPLIER INWARD'!DB133</f>
        <v>0</v>
      </c>
      <c r="DB133" s="58"/>
      <c r="DC133" s="29"/>
      <c r="DD133" s="30">
        <f t="shared" si="184"/>
        <v>11485</v>
      </c>
      <c r="DE133" s="28">
        <f>PRODUCTION!DF133+'SUPLIER INWARD'!DF133</f>
        <v>0</v>
      </c>
      <c r="DF133" s="58">
        <v>0</v>
      </c>
      <c r="DG133" s="29">
        <v>0</v>
      </c>
      <c r="DH133" s="30">
        <f t="shared" si="185"/>
        <v>11485</v>
      </c>
      <c r="DI133" s="28">
        <f>PRODUCTION!DJ133+'SUPLIER INWARD'!DJ133</f>
        <v>0</v>
      </c>
      <c r="DJ133" s="58">
        <v>0</v>
      </c>
      <c r="DK133" s="29">
        <v>0</v>
      </c>
      <c r="DL133" s="30">
        <f t="shared" si="186"/>
        <v>11485</v>
      </c>
      <c r="DM133" s="28">
        <f>PRODUCTION!DN133+'SUPLIER INWARD'!DN133</f>
        <v>0</v>
      </c>
      <c r="DN133" s="58">
        <v>2800</v>
      </c>
      <c r="DO133" s="29"/>
      <c r="DP133" s="30">
        <f t="shared" si="187"/>
        <v>8685</v>
      </c>
      <c r="DQ133" s="28">
        <f>PRODUCTION!DR133+'SUPLIER INWARD'!DR133</f>
        <v>0</v>
      </c>
      <c r="DR133" s="57"/>
      <c r="DS133" s="29"/>
      <c r="DT133" s="30">
        <f t="shared" si="188"/>
        <v>8685</v>
      </c>
      <c r="DU133" s="28">
        <f>PRODUCTION!DV133+'SUPLIER INWARD'!DV133</f>
        <v>0</v>
      </c>
      <c r="DV133" s="58"/>
      <c r="DW133" s="29"/>
      <c r="DX133" s="30">
        <f t="shared" si="189"/>
        <v>8685</v>
      </c>
      <c r="DY133" s="141">
        <f t="shared" si="158"/>
        <v>20768</v>
      </c>
      <c r="DZ133" s="141">
        <f t="shared" si="156"/>
        <v>13200</v>
      </c>
      <c r="EA133" s="4">
        <f t="shared" si="157"/>
        <v>283</v>
      </c>
      <c r="EB133" s="9">
        <f>D133*'MASTER SHEET'!D133</f>
        <v>1372</v>
      </c>
      <c r="EC133" s="9">
        <f>H133*'MASTER SHEET'!D133</f>
        <v>1372</v>
      </c>
      <c r="ED133" s="9">
        <f>L133*'MASTER SHEET'!D133</f>
        <v>1372</v>
      </c>
      <c r="EE133" s="9">
        <f>P133*'MASTER SHEET'!D133</f>
        <v>1372</v>
      </c>
      <c r="EF133" s="9">
        <f>T133*'MASTER SHEET'!D133</f>
        <v>1372</v>
      </c>
      <c r="EG133" s="9">
        <f>X133*'MASTER SHEET'!D133</f>
        <v>5308.66</v>
      </c>
      <c r="EH133" s="9">
        <f>AB133*'MASTER SHEET'!D133</f>
        <v>14735.279999999999</v>
      </c>
      <c r="EI133" s="9">
        <f>AF133*'MASTER SHEET'!D133</f>
        <v>14337.4</v>
      </c>
      <c r="EJ133" s="9">
        <f>AJ133*'MASTER SHEET'!D133</f>
        <v>11255.3</v>
      </c>
      <c r="EK133" s="9">
        <f>AN133*'MASTER SHEET'!D133</f>
        <v>11255.3</v>
      </c>
      <c r="EL133" s="9">
        <f>AR133*'MASTER SHEET'!D133</f>
        <v>11255.3</v>
      </c>
      <c r="EM133" s="9">
        <f>AV133*'MASTER SHEET'!D133</f>
        <v>11255.3</v>
      </c>
      <c r="EN133" s="9">
        <f>AZ133*'MASTER SHEET'!D133</f>
        <v>11255.3</v>
      </c>
      <c r="EO133" s="9">
        <f>BD133*'MASTER SHEET'!D133</f>
        <v>11255.3</v>
      </c>
      <c r="EP133" s="9">
        <f>$BH133*'MASTER SHEET'!$D133</f>
        <v>11255.3</v>
      </c>
      <c r="EQ133" s="9">
        <f>BL133*'MASTER SHEET'!D133</f>
        <v>11255.3</v>
      </c>
      <c r="ER133" s="9">
        <f>BP133*'MASTER SHEET'!D133</f>
        <v>11255.3</v>
      </c>
      <c r="ES133" s="9">
        <f>BT133*'MASTER SHEET'!D133</f>
        <v>11255.3</v>
      </c>
      <c r="ET133" s="9">
        <f>BX133*'MASTER SHEET'!D133</f>
        <v>11255.3</v>
      </c>
      <c r="EU133" s="9">
        <f>CB133*'MASTER SHEET'!D133</f>
        <v>11255.3</v>
      </c>
      <c r="EV133" s="9">
        <f>CF133*'MASTER SHEET'!D133</f>
        <v>11255.3</v>
      </c>
      <c r="EW133" s="9">
        <f>CJ133*'MASTER SHEET'!D133</f>
        <v>11255.3</v>
      </c>
      <c r="EX133" s="9">
        <f>CN133*'MASTER SHEET'!D133</f>
        <v>11255.3</v>
      </c>
      <c r="EY133" s="9">
        <f>CR133*'MASTER SHEET'!D133</f>
        <v>11255.3</v>
      </c>
      <c r="EZ133" s="9">
        <f>$CV133*'MASTER SHEET'!D133</f>
        <v>11255.3</v>
      </c>
      <c r="FA133" s="9">
        <f>CZ133*'MASTER SHEET'!D133</f>
        <v>11255.3</v>
      </c>
      <c r="FB133" s="9">
        <f>DD133*'MASTER SHEET'!D133</f>
        <v>11255.3</v>
      </c>
      <c r="FC133" s="9">
        <f>DH133*'MASTER SHEET'!D133</f>
        <v>11255.3</v>
      </c>
      <c r="FD133" s="9">
        <f>DL133*'MASTER SHEET'!D133</f>
        <v>11255.3</v>
      </c>
      <c r="FE133" s="9">
        <f>DP133*'MASTER SHEET'!D133</f>
        <v>8511.2999999999993</v>
      </c>
      <c r="FF133" s="9">
        <f>DT133*'MASTER SHEET'!D133</f>
        <v>8511.2999999999993</v>
      </c>
      <c r="FG133" s="9">
        <f>+DX133*'MASTER SHEET'!D133</f>
        <v>8511.2999999999993</v>
      </c>
    </row>
    <row r="134" spans="1:163" ht="20.25" customHeight="1" x14ac:dyDescent="0.25">
      <c r="A134" s="25">
        <f>'MASTER SHEET'!A134</f>
        <v>132</v>
      </c>
      <c r="B134" s="168" t="str">
        <f>'MASTER SHEET'!B134</f>
        <v>2TG CLIP DRAIN TUBE LH</v>
      </c>
      <c r="C134" s="169">
        <f>'MASTER SHEET'!C134</f>
        <v>62311</v>
      </c>
      <c r="D134" s="159">
        <v>673</v>
      </c>
      <c r="E134" s="28">
        <f>PRODUCTION!F134+'SUPLIER INWARD'!F134</f>
        <v>0</v>
      </c>
      <c r="F134" s="28"/>
      <c r="G134" s="29">
        <v>0</v>
      </c>
      <c r="H134" s="30">
        <f t="shared" si="159"/>
        <v>673</v>
      </c>
      <c r="I134" s="28">
        <f>PRODUCTION!J134+'SUPLIER INWARD'!J134</f>
        <v>0</v>
      </c>
      <c r="J134" s="28"/>
      <c r="K134" s="29">
        <v>0</v>
      </c>
      <c r="L134" s="30">
        <f t="shared" si="160"/>
        <v>673</v>
      </c>
      <c r="M134" s="28">
        <f>PRODUCTION!N134+'SUPLIER INWARD'!N134</f>
        <v>0</v>
      </c>
      <c r="N134" s="58"/>
      <c r="O134" s="29"/>
      <c r="P134" s="30">
        <f t="shared" si="161"/>
        <v>673</v>
      </c>
      <c r="Q134" s="28">
        <f>PRODUCTION!R134+'SUPLIER INWARD'!R134</f>
        <v>0</v>
      </c>
      <c r="R134" s="58"/>
      <c r="S134" s="29">
        <v>0</v>
      </c>
      <c r="T134" s="30">
        <f t="shared" si="162"/>
        <v>673</v>
      </c>
      <c r="U134" s="28">
        <f>PRODUCTION!V134+'SUPLIER INWARD'!V134</f>
        <v>0</v>
      </c>
      <c r="V134" s="58">
        <v>0</v>
      </c>
      <c r="W134" s="29">
        <v>0</v>
      </c>
      <c r="X134" s="30">
        <f t="shared" si="163"/>
        <v>673</v>
      </c>
      <c r="Y134" s="28">
        <f>PRODUCTION!Z134+'SUPLIER INWARD'!Z134</f>
        <v>0</v>
      </c>
      <c r="Z134" s="58">
        <v>0</v>
      </c>
      <c r="AA134" s="29">
        <v>0</v>
      </c>
      <c r="AB134" s="30">
        <f t="shared" si="164"/>
        <v>673</v>
      </c>
      <c r="AC134" s="28">
        <f>PRODUCTION!AD134+'SUPLIER INWARD'!AD134</f>
        <v>0</v>
      </c>
      <c r="AD134" s="58">
        <v>0</v>
      </c>
      <c r="AE134" s="29">
        <v>0</v>
      </c>
      <c r="AF134" s="30">
        <f t="shared" si="165"/>
        <v>673</v>
      </c>
      <c r="AG134" s="28">
        <f>PRODUCTION!AH134+'SUPLIER INWARD'!AH134</f>
        <v>0</v>
      </c>
      <c r="AH134" s="58">
        <v>0</v>
      </c>
      <c r="AI134" s="29">
        <v>0</v>
      </c>
      <c r="AJ134" s="30">
        <f t="shared" si="166"/>
        <v>673</v>
      </c>
      <c r="AK134" s="28">
        <f>PRODUCTION!AL134+'SUPLIER INWARD'!AL134</f>
        <v>0</v>
      </c>
      <c r="AL134" s="58">
        <v>0</v>
      </c>
      <c r="AM134" s="29">
        <v>0</v>
      </c>
      <c r="AN134" s="30">
        <f t="shared" si="167"/>
        <v>673</v>
      </c>
      <c r="AO134" s="28">
        <f>PRODUCTION!AP134+'SUPLIER INWARD'!AP134</f>
        <v>0</v>
      </c>
      <c r="AP134" s="28"/>
      <c r="AQ134" s="29">
        <v>0</v>
      </c>
      <c r="AR134" s="30">
        <f t="shared" si="168"/>
        <v>673</v>
      </c>
      <c r="AS134" s="28">
        <f>PRODUCTION!AT134+'SUPLIER INWARD'!AT134</f>
        <v>0</v>
      </c>
      <c r="AT134" s="28">
        <v>0</v>
      </c>
      <c r="AU134" s="29">
        <v>0</v>
      </c>
      <c r="AV134" s="30">
        <f t="shared" si="169"/>
        <v>673</v>
      </c>
      <c r="AW134" s="28">
        <f>PRODUCTION!AX134+'SUPLIER INWARD'!AX134</f>
        <v>0</v>
      </c>
      <c r="AX134" s="28"/>
      <c r="AY134" s="29"/>
      <c r="AZ134" s="30">
        <f t="shared" si="170"/>
        <v>673</v>
      </c>
      <c r="BA134" s="28">
        <f>PRODUCTION!BB134+'SUPLIER INWARD'!BB134</f>
        <v>0</v>
      </c>
      <c r="BB134" s="58">
        <v>0</v>
      </c>
      <c r="BC134" s="29">
        <v>0</v>
      </c>
      <c r="BD134" s="30">
        <f t="shared" si="171"/>
        <v>673</v>
      </c>
      <c r="BE134" s="28">
        <f>PRODUCTION!BF134+'SUPLIER INWARD'!BF134</f>
        <v>2380</v>
      </c>
      <c r="BF134" s="58">
        <v>600</v>
      </c>
      <c r="BG134" s="29">
        <v>8</v>
      </c>
      <c r="BH134" s="30">
        <f t="shared" si="172"/>
        <v>2445</v>
      </c>
      <c r="BI134" s="28">
        <f>PRODUCTION!BJ134+'SUPLIER INWARD'!BJ134</f>
        <v>0</v>
      </c>
      <c r="BJ134" s="58">
        <v>0</v>
      </c>
      <c r="BK134" s="29">
        <v>0</v>
      </c>
      <c r="BL134" s="30">
        <f t="shared" si="173"/>
        <v>2445</v>
      </c>
      <c r="BM134" s="28">
        <f>PRODUCTION!BN134+'SUPLIER INWARD'!BN134</f>
        <v>0</v>
      </c>
      <c r="BN134" s="58">
        <v>0</v>
      </c>
      <c r="BO134" s="29">
        <v>0</v>
      </c>
      <c r="BP134" s="30">
        <f t="shared" si="174"/>
        <v>2445</v>
      </c>
      <c r="BQ134" s="28">
        <f>PRODUCTION!BR134+'SUPLIER INWARD'!BR134</f>
        <v>0</v>
      </c>
      <c r="BR134" s="58">
        <v>0</v>
      </c>
      <c r="BS134" s="29">
        <v>0</v>
      </c>
      <c r="BT134" s="30">
        <f t="shared" si="175"/>
        <v>2445</v>
      </c>
      <c r="BU134" s="28">
        <f>PRODUCTION!BV134+'SUPLIER INWARD'!BV134</f>
        <v>0</v>
      </c>
      <c r="BV134" s="58">
        <v>0</v>
      </c>
      <c r="BW134" s="29">
        <v>0</v>
      </c>
      <c r="BX134" s="30">
        <f t="shared" si="176"/>
        <v>2445</v>
      </c>
      <c r="BY134" s="28">
        <f>PRODUCTION!BZ134+'SUPLIER INWARD'!BZ134</f>
        <v>0</v>
      </c>
      <c r="BZ134" s="58"/>
      <c r="CA134" s="29">
        <v>0</v>
      </c>
      <c r="CB134" s="30">
        <f t="shared" si="177"/>
        <v>2445</v>
      </c>
      <c r="CC134" s="28">
        <f>PRODUCTION!CD134+'SUPLIER INWARD'!CD134</f>
        <v>0</v>
      </c>
      <c r="CD134" s="58">
        <v>0</v>
      </c>
      <c r="CE134" s="29">
        <v>0</v>
      </c>
      <c r="CF134" s="30">
        <f t="shared" si="178"/>
        <v>2445</v>
      </c>
      <c r="CG134" s="28">
        <f>PRODUCTION!CH134+'SUPLIER INWARD'!CH134</f>
        <v>0</v>
      </c>
      <c r="CH134" s="58">
        <v>0</v>
      </c>
      <c r="CI134" s="29">
        <v>0</v>
      </c>
      <c r="CJ134" s="30">
        <f t="shared" si="179"/>
        <v>2445</v>
      </c>
      <c r="CK134" s="28">
        <f>PRODUCTION!CL134+'SUPLIER INWARD'!CL134</f>
        <v>0</v>
      </c>
      <c r="CL134" s="58"/>
      <c r="CM134" s="152">
        <v>0</v>
      </c>
      <c r="CN134" s="30">
        <f t="shared" si="180"/>
        <v>2445</v>
      </c>
      <c r="CO134" s="28">
        <f>PRODUCTION!CP134+'SUPLIER INWARD'!CP134</f>
        <v>0</v>
      </c>
      <c r="CP134" s="58">
        <v>0</v>
      </c>
      <c r="CQ134" s="29">
        <v>0</v>
      </c>
      <c r="CR134" s="30">
        <f t="shared" si="181"/>
        <v>2445</v>
      </c>
      <c r="CS134" s="28">
        <f>PRODUCTION!CT134+'SUPLIER INWARD'!CT134</f>
        <v>0</v>
      </c>
      <c r="CT134" s="28">
        <v>0</v>
      </c>
      <c r="CU134" s="29">
        <v>0</v>
      </c>
      <c r="CV134" s="30">
        <f t="shared" si="182"/>
        <v>2445</v>
      </c>
      <c r="CW134" s="28">
        <f>PRODUCTION!CX134+'SUPLIER INWARD'!CX134</f>
        <v>0</v>
      </c>
      <c r="CX134" s="58">
        <v>0</v>
      </c>
      <c r="CY134" s="29">
        <v>0</v>
      </c>
      <c r="CZ134" s="30">
        <f t="shared" si="183"/>
        <v>2445</v>
      </c>
      <c r="DA134" s="28">
        <f>PRODUCTION!DB134+'SUPLIER INWARD'!DB134</f>
        <v>0</v>
      </c>
      <c r="DB134" s="58"/>
      <c r="DC134" s="29"/>
      <c r="DD134" s="30">
        <f t="shared" si="184"/>
        <v>2445</v>
      </c>
      <c r="DE134" s="28">
        <f>PRODUCTION!DF134+'SUPLIER INWARD'!DF134</f>
        <v>0</v>
      </c>
      <c r="DF134" s="58">
        <v>0</v>
      </c>
      <c r="DG134" s="29">
        <v>0</v>
      </c>
      <c r="DH134" s="30">
        <f t="shared" si="185"/>
        <v>2445</v>
      </c>
      <c r="DI134" s="28">
        <f>PRODUCTION!DJ134+'SUPLIER INWARD'!DJ134</f>
        <v>0</v>
      </c>
      <c r="DJ134" s="58">
        <v>0</v>
      </c>
      <c r="DK134" s="29">
        <v>0</v>
      </c>
      <c r="DL134" s="30">
        <f t="shared" si="186"/>
        <v>2445</v>
      </c>
      <c r="DM134" s="28">
        <f>PRODUCTION!DN134+'SUPLIER INWARD'!DN134</f>
        <v>0</v>
      </c>
      <c r="DN134" s="58">
        <v>0</v>
      </c>
      <c r="DO134" s="29"/>
      <c r="DP134" s="30">
        <f t="shared" si="187"/>
        <v>2445</v>
      </c>
      <c r="DQ134" s="28">
        <f>PRODUCTION!DR134+'SUPLIER INWARD'!DR134</f>
        <v>0</v>
      </c>
      <c r="DR134" s="57"/>
      <c r="DS134" s="29"/>
      <c r="DT134" s="30">
        <f t="shared" si="188"/>
        <v>2445</v>
      </c>
      <c r="DU134" s="28">
        <f>PRODUCTION!DV134+'SUPLIER INWARD'!DV134</f>
        <v>0</v>
      </c>
      <c r="DV134" s="58"/>
      <c r="DW134" s="29"/>
      <c r="DX134" s="30">
        <f t="shared" si="189"/>
        <v>2445</v>
      </c>
      <c r="DY134" s="141">
        <f t="shared" si="158"/>
        <v>2380</v>
      </c>
      <c r="DZ134" s="141">
        <f t="shared" si="156"/>
        <v>600</v>
      </c>
      <c r="EA134" s="4">
        <f t="shared" si="157"/>
        <v>8</v>
      </c>
      <c r="EB134" s="9">
        <f>D134*'MASTER SHEET'!D134</f>
        <v>1655.58</v>
      </c>
      <c r="EC134" s="9">
        <f>H134*'MASTER SHEET'!D134</f>
        <v>1655.58</v>
      </c>
      <c r="ED134" s="9">
        <f>L134*'MASTER SHEET'!D134</f>
        <v>1655.58</v>
      </c>
      <c r="EE134" s="9">
        <f>P134*'MASTER SHEET'!D134</f>
        <v>1655.58</v>
      </c>
      <c r="EF134" s="9">
        <f>T134*'MASTER SHEET'!D134</f>
        <v>1655.58</v>
      </c>
      <c r="EG134" s="9">
        <f>X134*'MASTER SHEET'!D134</f>
        <v>1655.58</v>
      </c>
      <c r="EH134" s="9">
        <f>AB134*'MASTER SHEET'!D134</f>
        <v>1655.58</v>
      </c>
      <c r="EI134" s="9">
        <f>AF134*'MASTER SHEET'!D134</f>
        <v>1655.58</v>
      </c>
      <c r="EJ134" s="9">
        <f>AJ134*'MASTER SHEET'!D134</f>
        <v>1655.58</v>
      </c>
      <c r="EK134" s="9">
        <f>AN134*'MASTER SHEET'!D134</f>
        <v>1655.58</v>
      </c>
      <c r="EL134" s="9">
        <f>AR134*'MASTER SHEET'!D134</f>
        <v>1655.58</v>
      </c>
      <c r="EM134" s="9">
        <f>AV134*'MASTER SHEET'!D134</f>
        <v>1655.58</v>
      </c>
      <c r="EN134" s="9">
        <f>AZ134*'MASTER SHEET'!D134</f>
        <v>1655.58</v>
      </c>
      <c r="EO134" s="9">
        <f>BD134*'MASTER SHEET'!D134</f>
        <v>1655.58</v>
      </c>
      <c r="EP134" s="9">
        <f>$BH134*'MASTER SHEET'!$D134</f>
        <v>6014.7</v>
      </c>
      <c r="EQ134" s="9">
        <f>BL134*'MASTER SHEET'!D134</f>
        <v>6014.7</v>
      </c>
      <c r="ER134" s="9">
        <f>BP134*'MASTER SHEET'!D134</f>
        <v>6014.7</v>
      </c>
      <c r="ES134" s="9">
        <f>BT134*'MASTER SHEET'!D134</f>
        <v>6014.7</v>
      </c>
      <c r="ET134" s="9">
        <f>BX134*'MASTER SHEET'!D134</f>
        <v>6014.7</v>
      </c>
      <c r="EU134" s="9">
        <f>CB134*'MASTER SHEET'!D134</f>
        <v>6014.7</v>
      </c>
      <c r="EV134" s="9">
        <f>CF134*'MASTER SHEET'!D134</f>
        <v>6014.7</v>
      </c>
      <c r="EW134" s="9">
        <f>CJ134*'MASTER SHEET'!D134</f>
        <v>6014.7</v>
      </c>
      <c r="EX134" s="9">
        <f>CN134*'MASTER SHEET'!D134</f>
        <v>6014.7</v>
      </c>
      <c r="EY134" s="9">
        <f>CR134*'MASTER SHEET'!D134</f>
        <v>6014.7</v>
      </c>
      <c r="EZ134" s="9">
        <f>$CV134*'MASTER SHEET'!D134</f>
        <v>6014.7</v>
      </c>
      <c r="FA134" s="9">
        <f>CZ134*'MASTER SHEET'!D134</f>
        <v>6014.7</v>
      </c>
      <c r="FB134" s="9">
        <f>DD134*'MASTER SHEET'!D134</f>
        <v>6014.7</v>
      </c>
      <c r="FC134" s="9">
        <f>DH134*'MASTER SHEET'!D134</f>
        <v>6014.7</v>
      </c>
      <c r="FD134" s="9">
        <f>DL134*'MASTER SHEET'!D134</f>
        <v>6014.7</v>
      </c>
      <c r="FE134" s="9">
        <f>DP134*'MASTER SHEET'!D134</f>
        <v>6014.7</v>
      </c>
      <c r="FF134" s="9">
        <f>DT134*'MASTER SHEET'!D134</f>
        <v>6014.7</v>
      </c>
      <c r="FG134" s="9">
        <f>+DX134*'MASTER SHEET'!D134</f>
        <v>6014.7</v>
      </c>
    </row>
    <row r="135" spans="1:163" ht="20.25" customHeight="1" x14ac:dyDescent="0.25">
      <c r="A135" s="25">
        <f>'MASTER SHEET'!A135</f>
        <v>133</v>
      </c>
      <c r="B135" s="168" t="str">
        <f>'MASTER SHEET'!B135</f>
        <v>2TG CLIP DRAIN TUBE RH</v>
      </c>
      <c r="C135" s="169">
        <f>'MASTER SHEET'!C135</f>
        <v>62368</v>
      </c>
      <c r="D135" s="159">
        <v>637</v>
      </c>
      <c r="E135" s="28">
        <f>PRODUCTION!F135+'SUPLIER INWARD'!F135</f>
        <v>0</v>
      </c>
      <c r="F135" s="28"/>
      <c r="G135" s="29">
        <v>0</v>
      </c>
      <c r="H135" s="30">
        <f t="shared" si="159"/>
        <v>637</v>
      </c>
      <c r="I135" s="28">
        <f>PRODUCTION!J135+'SUPLIER INWARD'!J135</f>
        <v>0</v>
      </c>
      <c r="J135" s="28"/>
      <c r="K135" s="29">
        <v>0</v>
      </c>
      <c r="L135" s="30">
        <f t="shared" si="160"/>
        <v>637</v>
      </c>
      <c r="M135" s="28">
        <f>PRODUCTION!N135+'SUPLIER INWARD'!N135</f>
        <v>0</v>
      </c>
      <c r="N135" s="58"/>
      <c r="O135" s="29"/>
      <c r="P135" s="30">
        <f t="shared" si="161"/>
        <v>637</v>
      </c>
      <c r="Q135" s="28">
        <f>PRODUCTION!R135+'SUPLIER INWARD'!R135</f>
        <v>0</v>
      </c>
      <c r="R135" s="58"/>
      <c r="S135" s="29">
        <v>0</v>
      </c>
      <c r="T135" s="30">
        <f t="shared" si="162"/>
        <v>637</v>
      </c>
      <c r="U135" s="28">
        <f>PRODUCTION!V135+'SUPLIER INWARD'!V135</f>
        <v>0</v>
      </c>
      <c r="V135" s="58">
        <v>0</v>
      </c>
      <c r="W135" s="29">
        <v>0</v>
      </c>
      <c r="X135" s="30">
        <f t="shared" si="163"/>
        <v>637</v>
      </c>
      <c r="Y135" s="28">
        <f>PRODUCTION!Z135+'SUPLIER INWARD'!Z135</f>
        <v>0</v>
      </c>
      <c r="Z135" s="58">
        <v>0</v>
      </c>
      <c r="AA135" s="29">
        <v>0</v>
      </c>
      <c r="AB135" s="30">
        <f t="shared" si="164"/>
        <v>637</v>
      </c>
      <c r="AC135" s="28">
        <f>PRODUCTION!AD135+'SUPLIER INWARD'!AD135</f>
        <v>0</v>
      </c>
      <c r="AD135" s="58">
        <v>0</v>
      </c>
      <c r="AE135" s="29">
        <v>0</v>
      </c>
      <c r="AF135" s="30">
        <f t="shared" si="165"/>
        <v>637</v>
      </c>
      <c r="AG135" s="28">
        <f>PRODUCTION!AH135+'SUPLIER INWARD'!AH135</f>
        <v>0</v>
      </c>
      <c r="AH135" s="58">
        <v>0</v>
      </c>
      <c r="AI135" s="29">
        <v>0</v>
      </c>
      <c r="AJ135" s="30">
        <f t="shared" si="166"/>
        <v>637</v>
      </c>
      <c r="AK135" s="28">
        <f>PRODUCTION!AL135+'SUPLIER INWARD'!AL135</f>
        <v>0</v>
      </c>
      <c r="AL135" s="58">
        <v>0</v>
      </c>
      <c r="AM135" s="29">
        <v>0</v>
      </c>
      <c r="AN135" s="30">
        <f t="shared" si="167"/>
        <v>637</v>
      </c>
      <c r="AO135" s="28">
        <f>PRODUCTION!AP135+'SUPLIER INWARD'!AP135</f>
        <v>0</v>
      </c>
      <c r="AP135" s="28"/>
      <c r="AQ135" s="29">
        <v>0</v>
      </c>
      <c r="AR135" s="30">
        <f t="shared" si="168"/>
        <v>637</v>
      </c>
      <c r="AS135" s="28">
        <f>PRODUCTION!AT135+'SUPLIER INWARD'!AT135</f>
        <v>0</v>
      </c>
      <c r="AT135" s="28">
        <v>0</v>
      </c>
      <c r="AU135" s="29">
        <v>0</v>
      </c>
      <c r="AV135" s="30">
        <f t="shared" si="169"/>
        <v>637</v>
      </c>
      <c r="AW135" s="28">
        <f>PRODUCTION!AX135+'SUPLIER INWARD'!AX135</f>
        <v>0</v>
      </c>
      <c r="AX135" s="28"/>
      <c r="AY135" s="29"/>
      <c r="AZ135" s="30">
        <f t="shared" si="170"/>
        <v>637</v>
      </c>
      <c r="BA135" s="28">
        <f>PRODUCTION!BB135+'SUPLIER INWARD'!BB135</f>
        <v>0</v>
      </c>
      <c r="BB135" s="58">
        <v>0</v>
      </c>
      <c r="BC135" s="29">
        <v>0</v>
      </c>
      <c r="BD135" s="30">
        <f t="shared" si="171"/>
        <v>637</v>
      </c>
      <c r="BE135" s="28">
        <f>PRODUCTION!BF135+'SUPLIER INWARD'!BF135</f>
        <v>2380</v>
      </c>
      <c r="BF135" s="58">
        <v>600</v>
      </c>
      <c r="BG135" s="29">
        <v>13</v>
      </c>
      <c r="BH135" s="30">
        <f t="shared" si="172"/>
        <v>2404</v>
      </c>
      <c r="BI135" s="28">
        <f>PRODUCTION!BJ135+'SUPLIER INWARD'!BJ135</f>
        <v>0</v>
      </c>
      <c r="BJ135" s="58">
        <v>0</v>
      </c>
      <c r="BK135" s="29">
        <v>0</v>
      </c>
      <c r="BL135" s="30">
        <f t="shared" si="173"/>
        <v>2404</v>
      </c>
      <c r="BM135" s="28">
        <f>PRODUCTION!BN135+'SUPLIER INWARD'!BN135</f>
        <v>0</v>
      </c>
      <c r="BN135" s="58">
        <v>0</v>
      </c>
      <c r="BO135" s="29">
        <v>0</v>
      </c>
      <c r="BP135" s="30">
        <f t="shared" si="174"/>
        <v>2404</v>
      </c>
      <c r="BQ135" s="28">
        <f>PRODUCTION!BR135+'SUPLIER INWARD'!BR135</f>
        <v>0</v>
      </c>
      <c r="BR135" s="58">
        <v>0</v>
      </c>
      <c r="BS135" s="29">
        <v>0</v>
      </c>
      <c r="BT135" s="30">
        <f t="shared" si="175"/>
        <v>2404</v>
      </c>
      <c r="BU135" s="28">
        <f>PRODUCTION!BV135+'SUPLIER INWARD'!BV135</f>
        <v>0</v>
      </c>
      <c r="BV135" s="58">
        <v>0</v>
      </c>
      <c r="BW135" s="29">
        <v>0</v>
      </c>
      <c r="BX135" s="30">
        <f t="shared" si="176"/>
        <v>2404</v>
      </c>
      <c r="BY135" s="28">
        <f>PRODUCTION!BZ135+'SUPLIER INWARD'!BZ135</f>
        <v>0</v>
      </c>
      <c r="BZ135" s="58"/>
      <c r="CA135" s="29">
        <v>0</v>
      </c>
      <c r="CB135" s="30">
        <f t="shared" si="177"/>
        <v>2404</v>
      </c>
      <c r="CC135" s="28">
        <f>PRODUCTION!CD135+'SUPLIER INWARD'!CD135</f>
        <v>0</v>
      </c>
      <c r="CD135" s="58">
        <v>0</v>
      </c>
      <c r="CE135" s="29">
        <v>0</v>
      </c>
      <c r="CF135" s="30">
        <f t="shared" si="178"/>
        <v>2404</v>
      </c>
      <c r="CG135" s="28">
        <f>PRODUCTION!CH135+'SUPLIER INWARD'!CH135</f>
        <v>0</v>
      </c>
      <c r="CH135" s="58">
        <v>0</v>
      </c>
      <c r="CI135" s="29">
        <v>0</v>
      </c>
      <c r="CJ135" s="30">
        <f t="shared" si="179"/>
        <v>2404</v>
      </c>
      <c r="CK135" s="28">
        <f>PRODUCTION!CL135+'SUPLIER INWARD'!CL135</f>
        <v>0</v>
      </c>
      <c r="CL135" s="58"/>
      <c r="CM135" s="152">
        <v>0</v>
      </c>
      <c r="CN135" s="30">
        <f t="shared" si="180"/>
        <v>2404</v>
      </c>
      <c r="CO135" s="28">
        <f>PRODUCTION!CP135+'SUPLIER INWARD'!CP135</f>
        <v>0</v>
      </c>
      <c r="CP135" s="58">
        <v>0</v>
      </c>
      <c r="CQ135" s="29">
        <v>0</v>
      </c>
      <c r="CR135" s="30">
        <f t="shared" si="181"/>
        <v>2404</v>
      </c>
      <c r="CS135" s="28">
        <f>PRODUCTION!CT135+'SUPLIER INWARD'!CT135</f>
        <v>0</v>
      </c>
      <c r="CT135" s="28">
        <v>0</v>
      </c>
      <c r="CU135" s="29">
        <v>0</v>
      </c>
      <c r="CV135" s="30">
        <f t="shared" si="182"/>
        <v>2404</v>
      </c>
      <c r="CW135" s="28">
        <f>PRODUCTION!CX135+'SUPLIER INWARD'!CX135</f>
        <v>0</v>
      </c>
      <c r="CX135" s="58">
        <v>0</v>
      </c>
      <c r="CY135" s="29">
        <v>0</v>
      </c>
      <c r="CZ135" s="30">
        <f t="shared" si="183"/>
        <v>2404</v>
      </c>
      <c r="DA135" s="28">
        <f>PRODUCTION!DB135+'SUPLIER INWARD'!DB135</f>
        <v>0</v>
      </c>
      <c r="DB135" s="58"/>
      <c r="DC135" s="29"/>
      <c r="DD135" s="30">
        <f t="shared" si="184"/>
        <v>2404</v>
      </c>
      <c r="DE135" s="28">
        <f>PRODUCTION!DF135+'SUPLIER INWARD'!DF135</f>
        <v>0</v>
      </c>
      <c r="DF135" s="58">
        <v>0</v>
      </c>
      <c r="DG135" s="29">
        <v>0</v>
      </c>
      <c r="DH135" s="30">
        <f t="shared" si="185"/>
        <v>2404</v>
      </c>
      <c r="DI135" s="28">
        <f>PRODUCTION!DJ135+'SUPLIER INWARD'!DJ135</f>
        <v>0</v>
      </c>
      <c r="DJ135" s="58">
        <v>0</v>
      </c>
      <c r="DK135" s="29">
        <v>0</v>
      </c>
      <c r="DL135" s="30">
        <f t="shared" si="186"/>
        <v>2404</v>
      </c>
      <c r="DM135" s="28">
        <f>PRODUCTION!DN135+'SUPLIER INWARD'!DN135</f>
        <v>0</v>
      </c>
      <c r="DN135" s="58">
        <v>0</v>
      </c>
      <c r="DO135" s="29"/>
      <c r="DP135" s="30">
        <f t="shared" si="187"/>
        <v>2404</v>
      </c>
      <c r="DQ135" s="28">
        <f>PRODUCTION!DR135+'SUPLIER INWARD'!DR135</f>
        <v>0</v>
      </c>
      <c r="DR135" s="57"/>
      <c r="DS135" s="29"/>
      <c r="DT135" s="30">
        <f t="shared" si="188"/>
        <v>2404</v>
      </c>
      <c r="DU135" s="28">
        <f>PRODUCTION!DV135+'SUPLIER INWARD'!DV135</f>
        <v>0</v>
      </c>
      <c r="DV135" s="58"/>
      <c r="DW135" s="29"/>
      <c r="DX135" s="30">
        <f t="shared" si="189"/>
        <v>2404</v>
      </c>
      <c r="DY135" s="141">
        <f t="shared" si="158"/>
        <v>2380</v>
      </c>
      <c r="DZ135" s="141">
        <f t="shared" si="156"/>
        <v>600</v>
      </c>
      <c r="EA135" s="4">
        <f t="shared" si="157"/>
        <v>13</v>
      </c>
      <c r="EB135" s="9">
        <f>D135*'MASTER SHEET'!D135</f>
        <v>1567.02</v>
      </c>
      <c r="EC135" s="9">
        <f>H135*'MASTER SHEET'!D135</f>
        <v>1567.02</v>
      </c>
      <c r="ED135" s="9">
        <f>L135*'MASTER SHEET'!D135</f>
        <v>1567.02</v>
      </c>
      <c r="EE135" s="9">
        <f>P135*'MASTER SHEET'!D135</f>
        <v>1567.02</v>
      </c>
      <c r="EF135" s="9">
        <f>T135*'MASTER SHEET'!D135</f>
        <v>1567.02</v>
      </c>
      <c r="EG135" s="9">
        <f>X135*'MASTER SHEET'!D135</f>
        <v>1567.02</v>
      </c>
      <c r="EH135" s="9">
        <f>AB135*'MASTER SHEET'!D135</f>
        <v>1567.02</v>
      </c>
      <c r="EI135" s="9">
        <f>AF135*'MASTER SHEET'!D135</f>
        <v>1567.02</v>
      </c>
      <c r="EJ135" s="9">
        <f>AJ135*'MASTER SHEET'!D135</f>
        <v>1567.02</v>
      </c>
      <c r="EK135" s="9">
        <f>AN135*'MASTER SHEET'!D135</f>
        <v>1567.02</v>
      </c>
      <c r="EL135" s="9">
        <f>AR135*'MASTER SHEET'!D135</f>
        <v>1567.02</v>
      </c>
      <c r="EM135" s="9">
        <f>AV135*'MASTER SHEET'!D135</f>
        <v>1567.02</v>
      </c>
      <c r="EN135" s="9">
        <f>AZ135*'MASTER SHEET'!D135</f>
        <v>1567.02</v>
      </c>
      <c r="EO135" s="9">
        <f>BD135*'MASTER SHEET'!D135</f>
        <v>1567.02</v>
      </c>
      <c r="EP135" s="9">
        <f>$BH135*'MASTER SHEET'!$D135</f>
        <v>5913.84</v>
      </c>
      <c r="EQ135" s="9">
        <f>BL135*'MASTER SHEET'!D135</f>
        <v>5913.84</v>
      </c>
      <c r="ER135" s="9">
        <f>BP135*'MASTER SHEET'!D135</f>
        <v>5913.84</v>
      </c>
      <c r="ES135" s="9">
        <f>BT135*'MASTER SHEET'!D135</f>
        <v>5913.84</v>
      </c>
      <c r="ET135" s="9">
        <f>BX135*'MASTER SHEET'!D135</f>
        <v>5913.84</v>
      </c>
      <c r="EU135" s="9">
        <f>CB135*'MASTER SHEET'!D135</f>
        <v>5913.84</v>
      </c>
      <c r="EV135" s="9">
        <f>CF135*'MASTER SHEET'!D135</f>
        <v>5913.84</v>
      </c>
      <c r="EW135" s="9">
        <f>CJ135*'MASTER SHEET'!D135</f>
        <v>5913.84</v>
      </c>
      <c r="EX135" s="9">
        <f>CN135*'MASTER SHEET'!D135</f>
        <v>5913.84</v>
      </c>
      <c r="EY135" s="9">
        <f>CR135*'MASTER SHEET'!D135</f>
        <v>5913.84</v>
      </c>
      <c r="EZ135" s="9">
        <f>$CV135*'MASTER SHEET'!D135</f>
        <v>5913.84</v>
      </c>
      <c r="FA135" s="9">
        <f>CZ135*'MASTER SHEET'!D135</f>
        <v>5913.84</v>
      </c>
      <c r="FB135" s="9">
        <f>DD135*'MASTER SHEET'!D135</f>
        <v>5913.84</v>
      </c>
      <c r="FC135" s="9">
        <f>DH135*'MASTER SHEET'!D135</f>
        <v>5913.84</v>
      </c>
      <c r="FD135" s="9">
        <f>DL135*'MASTER SHEET'!D135</f>
        <v>5913.84</v>
      </c>
      <c r="FE135" s="9">
        <f>DP135*'MASTER SHEET'!D135</f>
        <v>5913.84</v>
      </c>
      <c r="FF135" s="9">
        <f>DT135*'MASTER SHEET'!D135</f>
        <v>5913.84</v>
      </c>
      <c r="FG135" s="9">
        <f>+DX135*'MASTER SHEET'!D135</f>
        <v>5913.84</v>
      </c>
    </row>
    <row r="136" spans="1:163" ht="20.25" customHeight="1" x14ac:dyDescent="0.25">
      <c r="A136" s="25">
        <f>'MASTER SHEET'!A136</f>
        <v>134</v>
      </c>
      <c r="B136" s="168" t="str">
        <f>'MASTER SHEET'!B136</f>
        <v>GROMMET</v>
      </c>
      <c r="C136" s="169">
        <f>'MASTER SHEET'!C136</f>
        <v>61984</v>
      </c>
      <c r="D136" s="159">
        <v>7857</v>
      </c>
      <c r="E136" s="28">
        <f>PRODUCTION!F136+'SUPLIER INWARD'!F136</f>
        <v>0</v>
      </c>
      <c r="F136" s="28"/>
      <c r="G136" s="29">
        <v>0</v>
      </c>
      <c r="H136" s="30">
        <f t="shared" si="159"/>
        <v>7857</v>
      </c>
      <c r="I136" s="28">
        <f>PRODUCTION!J136+'SUPLIER INWARD'!J136</f>
        <v>0</v>
      </c>
      <c r="J136" s="28"/>
      <c r="K136" s="29">
        <v>0</v>
      </c>
      <c r="L136" s="30">
        <f t="shared" si="160"/>
        <v>7857</v>
      </c>
      <c r="M136" s="28">
        <f>PRODUCTION!N136+'SUPLIER INWARD'!N136</f>
        <v>0</v>
      </c>
      <c r="N136" s="58"/>
      <c r="O136" s="29"/>
      <c r="P136" s="30">
        <f t="shared" si="161"/>
        <v>7857</v>
      </c>
      <c r="Q136" s="28">
        <f>PRODUCTION!R136+'SUPLIER INWARD'!R136</f>
        <v>0</v>
      </c>
      <c r="R136" s="58"/>
      <c r="S136" s="29">
        <v>0</v>
      </c>
      <c r="T136" s="30">
        <f t="shared" si="162"/>
        <v>7857</v>
      </c>
      <c r="U136" s="28">
        <f>PRODUCTION!V136+'SUPLIER INWARD'!V136</f>
        <v>0</v>
      </c>
      <c r="V136" s="58">
        <v>0</v>
      </c>
      <c r="W136" s="29">
        <v>0</v>
      </c>
      <c r="X136" s="30">
        <f t="shared" si="163"/>
        <v>7857</v>
      </c>
      <c r="Y136" s="28">
        <f>PRODUCTION!Z136+'SUPLIER INWARD'!Z136</f>
        <v>0</v>
      </c>
      <c r="Z136" s="58">
        <v>0</v>
      </c>
      <c r="AA136" s="29">
        <v>0</v>
      </c>
      <c r="AB136" s="30">
        <f t="shared" si="164"/>
        <v>7857</v>
      </c>
      <c r="AC136" s="28">
        <f>PRODUCTION!AD136+'SUPLIER INWARD'!AD136</f>
        <v>23812</v>
      </c>
      <c r="AD136" s="58">
        <v>0</v>
      </c>
      <c r="AE136" s="29">
        <v>0</v>
      </c>
      <c r="AF136" s="30">
        <f t="shared" si="165"/>
        <v>31669</v>
      </c>
      <c r="AG136" s="28">
        <f>PRODUCTION!AH136+'SUPLIER INWARD'!AH136</f>
        <v>29400</v>
      </c>
      <c r="AH136" s="58">
        <v>10000</v>
      </c>
      <c r="AI136" s="29">
        <v>0</v>
      </c>
      <c r="AJ136" s="30">
        <f t="shared" si="166"/>
        <v>51069</v>
      </c>
      <c r="AK136" s="28">
        <f>PRODUCTION!AL136+'SUPLIER INWARD'!AL136</f>
        <v>0</v>
      </c>
      <c r="AL136" s="58">
        <v>0</v>
      </c>
      <c r="AM136" s="29">
        <v>0</v>
      </c>
      <c r="AN136" s="30">
        <f t="shared" si="167"/>
        <v>51069</v>
      </c>
      <c r="AO136" s="28">
        <f>PRODUCTION!AP136+'SUPLIER INWARD'!AP136</f>
        <v>0</v>
      </c>
      <c r="AP136" s="28"/>
      <c r="AQ136" s="29">
        <v>0</v>
      </c>
      <c r="AR136" s="30">
        <f t="shared" si="168"/>
        <v>51069</v>
      </c>
      <c r="AS136" s="28">
        <f>PRODUCTION!AT136+'SUPLIER INWARD'!AT136</f>
        <v>0</v>
      </c>
      <c r="AT136" s="28">
        <v>0</v>
      </c>
      <c r="AU136" s="29">
        <v>0</v>
      </c>
      <c r="AV136" s="30">
        <f t="shared" si="169"/>
        <v>51069</v>
      </c>
      <c r="AW136" s="28">
        <f>PRODUCTION!AX136+'SUPLIER INWARD'!AX136</f>
        <v>0</v>
      </c>
      <c r="AX136" s="28"/>
      <c r="AY136" s="29"/>
      <c r="AZ136" s="30">
        <f t="shared" si="170"/>
        <v>51069</v>
      </c>
      <c r="BA136" s="28">
        <f>PRODUCTION!BB136+'SUPLIER INWARD'!BB136</f>
        <v>0</v>
      </c>
      <c r="BB136" s="58">
        <v>10000</v>
      </c>
      <c r="BC136" s="29">
        <v>40</v>
      </c>
      <c r="BD136" s="30">
        <f t="shared" si="171"/>
        <v>41029</v>
      </c>
      <c r="BE136" s="28">
        <f>PRODUCTION!BF136+'SUPLIER INWARD'!BF136</f>
        <v>0</v>
      </c>
      <c r="BF136" s="58"/>
      <c r="BG136" s="29">
        <v>0</v>
      </c>
      <c r="BH136" s="30">
        <f t="shared" si="172"/>
        <v>41029</v>
      </c>
      <c r="BI136" s="28">
        <f>PRODUCTION!BJ136+'SUPLIER INWARD'!BJ136</f>
        <v>0</v>
      </c>
      <c r="BJ136" s="58">
        <v>0</v>
      </c>
      <c r="BK136" s="29">
        <v>0</v>
      </c>
      <c r="BL136" s="30">
        <f t="shared" si="173"/>
        <v>41029</v>
      </c>
      <c r="BM136" s="28">
        <f>PRODUCTION!BN136+'SUPLIER INWARD'!BN136</f>
        <v>0</v>
      </c>
      <c r="BN136" s="58">
        <v>0</v>
      </c>
      <c r="BO136" s="29">
        <v>0</v>
      </c>
      <c r="BP136" s="30">
        <f t="shared" si="174"/>
        <v>41029</v>
      </c>
      <c r="BQ136" s="28">
        <f>PRODUCTION!BR136+'SUPLIER INWARD'!BR136</f>
        <v>0</v>
      </c>
      <c r="BR136" s="58">
        <v>0</v>
      </c>
      <c r="BS136" s="29">
        <v>0</v>
      </c>
      <c r="BT136" s="30">
        <f t="shared" si="175"/>
        <v>41029</v>
      </c>
      <c r="BU136" s="28">
        <f>PRODUCTION!BV136+'SUPLIER INWARD'!BV136</f>
        <v>0</v>
      </c>
      <c r="BV136" s="58">
        <v>0</v>
      </c>
      <c r="BW136" s="29">
        <v>0</v>
      </c>
      <c r="BX136" s="30">
        <f t="shared" si="176"/>
        <v>41029</v>
      </c>
      <c r="BY136" s="28">
        <f>PRODUCTION!BZ136+'SUPLIER INWARD'!BZ136</f>
        <v>0</v>
      </c>
      <c r="BZ136" s="58"/>
      <c r="CA136" s="29">
        <v>20</v>
      </c>
      <c r="CB136" s="30">
        <f t="shared" si="177"/>
        <v>41009</v>
      </c>
      <c r="CC136" s="28">
        <f>PRODUCTION!CD136+'SUPLIER INWARD'!CD136</f>
        <v>0</v>
      </c>
      <c r="CD136" s="58">
        <v>10000</v>
      </c>
      <c r="CE136" s="29">
        <v>0</v>
      </c>
      <c r="CF136" s="30">
        <f t="shared" si="178"/>
        <v>31009</v>
      </c>
      <c r="CG136" s="28">
        <f>PRODUCTION!CH136+'SUPLIER INWARD'!CH136</f>
        <v>0</v>
      </c>
      <c r="CH136" s="58">
        <v>0</v>
      </c>
      <c r="CI136" s="29">
        <v>0</v>
      </c>
      <c r="CJ136" s="30">
        <f t="shared" si="179"/>
        <v>31009</v>
      </c>
      <c r="CK136" s="28">
        <f>PRODUCTION!CL136+'SUPLIER INWARD'!CL136</f>
        <v>0</v>
      </c>
      <c r="CL136" s="58"/>
      <c r="CM136" s="152">
        <v>0</v>
      </c>
      <c r="CN136" s="30">
        <f t="shared" si="180"/>
        <v>31009</v>
      </c>
      <c r="CO136" s="28">
        <f>PRODUCTION!CP136+'SUPLIER INWARD'!CP136</f>
        <v>0</v>
      </c>
      <c r="CP136" s="58">
        <v>0</v>
      </c>
      <c r="CQ136" s="29">
        <v>0</v>
      </c>
      <c r="CR136" s="30">
        <f t="shared" si="181"/>
        <v>31009</v>
      </c>
      <c r="CS136" s="28">
        <f>PRODUCTION!CT136+'SUPLIER INWARD'!CT136</f>
        <v>0</v>
      </c>
      <c r="CT136" s="28">
        <v>0</v>
      </c>
      <c r="CU136" s="29">
        <v>0</v>
      </c>
      <c r="CV136" s="30">
        <f t="shared" si="182"/>
        <v>31009</v>
      </c>
      <c r="CW136" s="28">
        <f>PRODUCTION!CX136+'SUPLIER INWARD'!CX136</f>
        <v>0</v>
      </c>
      <c r="CX136" s="58">
        <v>0</v>
      </c>
      <c r="CY136" s="29">
        <v>0</v>
      </c>
      <c r="CZ136" s="30">
        <f t="shared" si="183"/>
        <v>31009</v>
      </c>
      <c r="DA136" s="28">
        <f>PRODUCTION!DB136+'SUPLIER INWARD'!DB136</f>
        <v>0</v>
      </c>
      <c r="DB136" s="58"/>
      <c r="DC136" s="29"/>
      <c r="DD136" s="30">
        <f t="shared" si="184"/>
        <v>31009</v>
      </c>
      <c r="DE136" s="28">
        <f>PRODUCTION!DF136+'SUPLIER INWARD'!DF136</f>
        <v>0</v>
      </c>
      <c r="DF136" s="58">
        <v>10000</v>
      </c>
      <c r="DG136" s="29">
        <v>0</v>
      </c>
      <c r="DH136" s="30">
        <f t="shared" si="185"/>
        <v>21009</v>
      </c>
      <c r="DI136" s="28">
        <f>PRODUCTION!DJ136+'SUPLIER INWARD'!DJ136</f>
        <v>0</v>
      </c>
      <c r="DJ136" s="58">
        <v>0</v>
      </c>
      <c r="DK136" s="29">
        <v>0</v>
      </c>
      <c r="DL136" s="30">
        <f t="shared" si="186"/>
        <v>21009</v>
      </c>
      <c r="DM136" s="28">
        <f>PRODUCTION!DN136+'SUPLIER INWARD'!DN136</f>
        <v>0</v>
      </c>
      <c r="DN136" s="58">
        <v>0</v>
      </c>
      <c r="DO136" s="29"/>
      <c r="DP136" s="30">
        <f t="shared" si="187"/>
        <v>21009</v>
      </c>
      <c r="DQ136" s="28">
        <f>PRODUCTION!DR136+'SUPLIER INWARD'!DR136</f>
        <v>0</v>
      </c>
      <c r="DR136" s="57"/>
      <c r="DS136" s="29"/>
      <c r="DT136" s="30">
        <f t="shared" si="188"/>
        <v>21009</v>
      </c>
      <c r="DU136" s="28">
        <f>PRODUCTION!DV136+'SUPLIER INWARD'!DV136</f>
        <v>0</v>
      </c>
      <c r="DV136" s="58"/>
      <c r="DW136" s="29"/>
      <c r="DX136" s="30">
        <f t="shared" si="189"/>
        <v>21009</v>
      </c>
      <c r="DY136" s="141">
        <f t="shared" si="158"/>
        <v>53212</v>
      </c>
      <c r="DZ136" s="141">
        <f t="shared" si="156"/>
        <v>40000</v>
      </c>
      <c r="EA136" s="4">
        <f t="shared" si="157"/>
        <v>60</v>
      </c>
      <c r="EB136" s="9">
        <f>D136*'MASTER SHEET'!D136</f>
        <v>13278.33</v>
      </c>
      <c r="EC136" s="9">
        <f>H136*'MASTER SHEET'!D136</f>
        <v>13278.33</v>
      </c>
      <c r="ED136" s="9">
        <f>L136*'MASTER SHEET'!D136</f>
        <v>13278.33</v>
      </c>
      <c r="EE136" s="9">
        <f>P136*'MASTER SHEET'!D136</f>
        <v>13278.33</v>
      </c>
      <c r="EF136" s="9">
        <f>T136*'MASTER SHEET'!D136</f>
        <v>13278.33</v>
      </c>
      <c r="EG136" s="9">
        <f>X136*'MASTER SHEET'!D136</f>
        <v>13278.33</v>
      </c>
      <c r="EH136" s="9">
        <f>AB136*'MASTER SHEET'!D136</f>
        <v>13278.33</v>
      </c>
      <c r="EI136" s="9">
        <f>AF136*'MASTER SHEET'!D136</f>
        <v>53520.61</v>
      </c>
      <c r="EJ136" s="9">
        <f>AJ136*'MASTER SHEET'!D136</f>
        <v>86306.61</v>
      </c>
      <c r="EK136" s="9">
        <f>AN136*'MASTER SHEET'!D136</f>
        <v>86306.61</v>
      </c>
      <c r="EL136" s="9">
        <f>AR136*'MASTER SHEET'!D136</f>
        <v>86306.61</v>
      </c>
      <c r="EM136" s="9">
        <f>AV136*'MASTER SHEET'!D136</f>
        <v>86306.61</v>
      </c>
      <c r="EN136" s="9">
        <f>AZ136*'MASTER SHEET'!D136</f>
        <v>86306.61</v>
      </c>
      <c r="EO136" s="9">
        <f>BD136*'MASTER SHEET'!D136</f>
        <v>69339.009999999995</v>
      </c>
      <c r="EP136" s="9">
        <f>$BH136*'MASTER SHEET'!$D136</f>
        <v>69339.009999999995</v>
      </c>
      <c r="EQ136" s="9">
        <f>BL136*'MASTER SHEET'!D136</f>
        <v>69339.009999999995</v>
      </c>
      <c r="ER136" s="9">
        <f>BP136*'MASTER SHEET'!D136</f>
        <v>69339.009999999995</v>
      </c>
      <c r="ES136" s="9">
        <f>BT136*'MASTER SHEET'!D136</f>
        <v>69339.009999999995</v>
      </c>
      <c r="ET136" s="9">
        <f>BX136*'MASTER SHEET'!D136</f>
        <v>69339.009999999995</v>
      </c>
      <c r="EU136" s="9">
        <f>CB136*'MASTER SHEET'!D136</f>
        <v>69305.209999999992</v>
      </c>
      <c r="EV136" s="9">
        <f>CF136*'MASTER SHEET'!D136</f>
        <v>52405.21</v>
      </c>
      <c r="EW136" s="9">
        <f>CJ136*'MASTER SHEET'!D136</f>
        <v>52405.21</v>
      </c>
      <c r="EX136" s="9">
        <f>CN136*'MASTER SHEET'!D136</f>
        <v>52405.21</v>
      </c>
      <c r="EY136" s="9">
        <f>CR136*'MASTER SHEET'!D136</f>
        <v>52405.21</v>
      </c>
      <c r="EZ136" s="9">
        <f>$CV136*'MASTER SHEET'!D136</f>
        <v>52405.21</v>
      </c>
      <c r="FA136" s="9">
        <f>CZ136*'MASTER SHEET'!D136</f>
        <v>52405.21</v>
      </c>
      <c r="FB136" s="9">
        <f>DD136*'MASTER SHEET'!D136</f>
        <v>52405.21</v>
      </c>
      <c r="FC136" s="9">
        <f>DH136*'MASTER SHEET'!D136</f>
        <v>35505.21</v>
      </c>
      <c r="FD136" s="9">
        <f>DL136*'MASTER SHEET'!D136</f>
        <v>35505.21</v>
      </c>
      <c r="FE136" s="9">
        <f>DP136*'MASTER SHEET'!D136</f>
        <v>35505.21</v>
      </c>
      <c r="FF136" s="9">
        <f>DT136*'MASTER SHEET'!D136</f>
        <v>35505.21</v>
      </c>
      <c r="FG136" s="9">
        <f>+DX136*'MASTER SHEET'!D136</f>
        <v>35505.21</v>
      </c>
    </row>
    <row r="137" spans="1:163" ht="20.25" customHeight="1" x14ac:dyDescent="0.25">
      <c r="A137" s="25">
        <f>'MASTER SHEET'!A137</f>
        <v>135</v>
      </c>
      <c r="B137" s="168" t="str">
        <f>'MASTER SHEET'!B137</f>
        <v>ODH BUMP STOP FOR MOTOR ACTUATOR</v>
      </c>
      <c r="C137" s="169" t="str">
        <f>'MASTER SHEET'!C137</f>
        <v>BA00005305</v>
      </c>
      <c r="D137" s="159">
        <v>9000</v>
      </c>
      <c r="E137" s="28">
        <f>PRODUCTION!F137+'SUPLIER INWARD'!F137</f>
        <v>0</v>
      </c>
      <c r="F137" s="28">
        <v>9000</v>
      </c>
      <c r="G137" s="29">
        <v>0</v>
      </c>
      <c r="H137" s="30">
        <f t="shared" si="159"/>
        <v>0</v>
      </c>
      <c r="I137" s="28">
        <f>PRODUCTION!J137+'SUPLIER INWARD'!J137</f>
        <v>0</v>
      </c>
      <c r="J137" s="28"/>
      <c r="K137" s="29">
        <v>0</v>
      </c>
      <c r="L137" s="30">
        <f t="shared" si="160"/>
        <v>0</v>
      </c>
      <c r="M137" s="28">
        <f>PRODUCTION!N137+'SUPLIER INWARD'!N137</f>
        <v>0</v>
      </c>
      <c r="N137" s="58"/>
      <c r="O137" s="29"/>
      <c r="P137" s="30">
        <f t="shared" si="161"/>
        <v>0</v>
      </c>
      <c r="Q137" s="28">
        <f>PRODUCTION!R137+'SUPLIER INWARD'!R137</f>
        <v>0</v>
      </c>
      <c r="R137" s="58"/>
      <c r="S137" s="29">
        <v>0</v>
      </c>
      <c r="T137" s="30">
        <f t="shared" si="162"/>
        <v>0</v>
      </c>
      <c r="U137" s="28">
        <f>PRODUCTION!V137+'SUPLIER INWARD'!V137</f>
        <v>0</v>
      </c>
      <c r="V137" s="58">
        <v>0</v>
      </c>
      <c r="W137" s="29">
        <v>0</v>
      </c>
      <c r="X137" s="30">
        <f t="shared" si="163"/>
        <v>0</v>
      </c>
      <c r="Y137" s="28">
        <f>PRODUCTION!Z137+'SUPLIER INWARD'!Z137</f>
        <v>8228</v>
      </c>
      <c r="Z137" s="58">
        <v>0</v>
      </c>
      <c r="AA137" s="29">
        <v>0</v>
      </c>
      <c r="AB137" s="30">
        <f t="shared" si="164"/>
        <v>8228</v>
      </c>
      <c r="AC137" s="28">
        <f>PRODUCTION!AD137+'SUPLIER INWARD'!AD137</f>
        <v>15058</v>
      </c>
      <c r="AD137" s="58">
        <v>10000</v>
      </c>
      <c r="AE137" s="29">
        <v>40</v>
      </c>
      <c r="AF137" s="30">
        <f t="shared" si="165"/>
        <v>13246</v>
      </c>
      <c r="AG137" s="28">
        <f>PRODUCTION!AH137+'SUPLIER INWARD'!AH137</f>
        <v>19140</v>
      </c>
      <c r="AH137" s="58">
        <v>10000</v>
      </c>
      <c r="AI137" s="29">
        <v>0</v>
      </c>
      <c r="AJ137" s="30">
        <f t="shared" si="166"/>
        <v>22386</v>
      </c>
      <c r="AK137" s="28">
        <f>PRODUCTION!AL137+'SUPLIER INWARD'!AL137</f>
        <v>9140</v>
      </c>
      <c r="AL137" s="58">
        <v>10000</v>
      </c>
      <c r="AM137" s="29">
        <v>0</v>
      </c>
      <c r="AN137" s="30">
        <f t="shared" si="167"/>
        <v>21526</v>
      </c>
      <c r="AO137" s="28">
        <f>PRODUCTION!AP137+'SUPLIER INWARD'!AP137</f>
        <v>3064</v>
      </c>
      <c r="AP137" s="28">
        <v>10000</v>
      </c>
      <c r="AQ137" s="29">
        <v>0</v>
      </c>
      <c r="AR137" s="30">
        <f t="shared" si="168"/>
        <v>14590</v>
      </c>
      <c r="AS137" s="28">
        <f>PRODUCTION!AT137+'SUPLIER INWARD'!AT137</f>
        <v>0</v>
      </c>
      <c r="AT137" s="28">
        <v>0</v>
      </c>
      <c r="AU137" s="29">
        <v>0</v>
      </c>
      <c r="AV137" s="30">
        <f t="shared" si="169"/>
        <v>14590</v>
      </c>
      <c r="AW137" s="28">
        <f>PRODUCTION!AX137+'SUPLIER INWARD'!AX137</f>
        <v>0</v>
      </c>
      <c r="AX137" s="28"/>
      <c r="AY137" s="29"/>
      <c r="AZ137" s="30">
        <f t="shared" si="170"/>
        <v>14590</v>
      </c>
      <c r="BA137" s="28">
        <f>PRODUCTION!BB137+'SUPLIER INWARD'!BB137</f>
        <v>0</v>
      </c>
      <c r="BB137" s="58">
        <v>0</v>
      </c>
      <c r="BC137" s="29">
        <v>0</v>
      </c>
      <c r="BD137" s="30">
        <f t="shared" si="171"/>
        <v>14590</v>
      </c>
      <c r="BE137" s="28">
        <f>PRODUCTION!BF137+'SUPLIER INWARD'!BF137</f>
        <v>0</v>
      </c>
      <c r="BF137" s="58"/>
      <c r="BG137" s="29">
        <v>0</v>
      </c>
      <c r="BH137" s="30">
        <f t="shared" si="172"/>
        <v>14590</v>
      </c>
      <c r="BI137" s="28">
        <f>PRODUCTION!BJ137+'SUPLIER INWARD'!BJ137</f>
        <v>0</v>
      </c>
      <c r="BJ137" s="58">
        <v>0</v>
      </c>
      <c r="BK137" s="29">
        <v>0</v>
      </c>
      <c r="BL137" s="30">
        <f t="shared" si="173"/>
        <v>14590</v>
      </c>
      <c r="BM137" s="28">
        <f>PRODUCTION!BN137+'SUPLIER INWARD'!BN137</f>
        <v>15436</v>
      </c>
      <c r="BN137" s="58">
        <v>0</v>
      </c>
      <c r="BO137" s="29">
        <v>0</v>
      </c>
      <c r="BP137" s="30">
        <f t="shared" si="174"/>
        <v>30026</v>
      </c>
      <c r="BQ137" s="28">
        <f>PRODUCTION!BR137+'SUPLIER INWARD'!BR137</f>
        <v>21012</v>
      </c>
      <c r="BR137" s="58">
        <v>10000</v>
      </c>
      <c r="BS137" s="29">
        <v>0</v>
      </c>
      <c r="BT137" s="30">
        <f t="shared" si="175"/>
        <v>41038</v>
      </c>
      <c r="BU137" s="28">
        <f>PRODUCTION!BV137+'SUPLIER INWARD'!BV137</f>
        <v>19428</v>
      </c>
      <c r="BV137" s="58">
        <v>20000</v>
      </c>
      <c r="BW137" s="29">
        <v>0</v>
      </c>
      <c r="BX137" s="30">
        <f t="shared" si="176"/>
        <v>40466</v>
      </c>
      <c r="BY137" s="28">
        <f>PRODUCTION!BZ137+'SUPLIER INWARD'!BZ137</f>
        <v>0</v>
      </c>
      <c r="BZ137" s="58"/>
      <c r="CA137" s="29">
        <v>41</v>
      </c>
      <c r="CB137" s="30">
        <f t="shared" si="177"/>
        <v>40425</v>
      </c>
      <c r="CC137" s="28">
        <f>PRODUCTION!CD137+'SUPLIER INWARD'!CD137</f>
        <v>0</v>
      </c>
      <c r="CD137" s="58">
        <v>10000</v>
      </c>
      <c r="CE137" s="29">
        <v>0</v>
      </c>
      <c r="CF137" s="30">
        <f t="shared" si="178"/>
        <v>30425</v>
      </c>
      <c r="CG137" s="28">
        <f>PRODUCTION!CH137+'SUPLIER INWARD'!CH137</f>
        <v>0</v>
      </c>
      <c r="CH137" s="58">
        <v>0</v>
      </c>
      <c r="CI137" s="29">
        <v>0</v>
      </c>
      <c r="CJ137" s="30">
        <f t="shared" si="179"/>
        <v>30425</v>
      </c>
      <c r="CK137" s="28">
        <f>PRODUCTION!CL137+'SUPLIER INWARD'!CL137</f>
        <v>0</v>
      </c>
      <c r="CL137" s="58"/>
      <c r="CM137" s="152">
        <v>0</v>
      </c>
      <c r="CN137" s="30">
        <f t="shared" si="180"/>
        <v>30425</v>
      </c>
      <c r="CO137" s="28">
        <f>PRODUCTION!CP137+'SUPLIER INWARD'!CP137</f>
        <v>0</v>
      </c>
      <c r="CP137" s="58">
        <v>0</v>
      </c>
      <c r="CQ137" s="29">
        <v>0</v>
      </c>
      <c r="CR137" s="30">
        <f t="shared" si="181"/>
        <v>30425</v>
      </c>
      <c r="CS137" s="28">
        <f>PRODUCTION!CT137+'SUPLIER INWARD'!CT137</f>
        <v>0</v>
      </c>
      <c r="CT137" s="28">
        <v>0</v>
      </c>
      <c r="CU137" s="29">
        <v>0</v>
      </c>
      <c r="CV137" s="30">
        <f t="shared" si="182"/>
        <v>30425</v>
      </c>
      <c r="CW137" s="28">
        <f>PRODUCTION!CX137+'SUPLIER INWARD'!CX137</f>
        <v>0</v>
      </c>
      <c r="CX137" s="58">
        <v>0</v>
      </c>
      <c r="CY137" s="29">
        <v>0</v>
      </c>
      <c r="CZ137" s="30">
        <f t="shared" si="183"/>
        <v>30425</v>
      </c>
      <c r="DA137" s="28">
        <f>PRODUCTION!DB137+'SUPLIER INWARD'!DB137</f>
        <v>0</v>
      </c>
      <c r="DB137" s="58"/>
      <c r="DC137" s="29"/>
      <c r="DD137" s="30">
        <f t="shared" si="184"/>
        <v>30425</v>
      </c>
      <c r="DE137" s="28">
        <f>PRODUCTION!DF137+'SUPLIER INWARD'!DF137</f>
        <v>0</v>
      </c>
      <c r="DF137" s="58">
        <v>0</v>
      </c>
      <c r="DG137" s="29">
        <v>0</v>
      </c>
      <c r="DH137" s="30">
        <f t="shared" si="185"/>
        <v>30425</v>
      </c>
      <c r="DI137" s="28">
        <f>PRODUCTION!DJ137+'SUPLIER INWARD'!DJ137</f>
        <v>0</v>
      </c>
      <c r="DJ137" s="58">
        <v>0</v>
      </c>
      <c r="DK137" s="29">
        <v>0</v>
      </c>
      <c r="DL137" s="30">
        <f t="shared" si="186"/>
        <v>30425</v>
      </c>
      <c r="DM137" s="28">
        <f>PRODUCTION!DN137+'SUPLIER INWARD'!DN137</f>
        <v>0</v>
      </c>
      <c r="DN137" s="58">
        <v>0</v>
      </c>
      <c r="DO137" s="29"/>
      <c r="DP137" s="30">
        <f t="shared" si="187"/>
        <v>30425</v>
      </c>
      <c r="DQ137" s="28">
        <f>PRODUCTION!DR137+'SUPLIER INWARD'!DR137</f>
        <v>0</v>
      </c>
      <c r="DR137" s="57"/>
      <c r="DS137" s="29"/>
      <c r="DT137" s="30">
        <f t="shared" si="188"/>
        <v>30425</v>
      </c>
      <c r="DU137" s="28">
        <f>PRODUCTION!DV137+'SUPLIER INWARD'!DV137</f>
        <v>0</v>
      </c>
      <c r="DV137" s="58"/>
      <c r="DW137" s="29"/>
      <c r="DX137" s="30">
        <f t="shared" si="189"/>
        <v>30425</v>
      </c>
      <c r="DY137" s="141">
        <f t="shared" si="158"/>
        <v>110506</v>
      </c>
      <c r="DZ137" s="141">
        <f t="shared" si="156"/>
        <v>89000</v>
      </c>
      <c r="EA137" s="4">
        <f t="shared" si="157"/>
        <v>81</v>
      </c>
      <c r="EB137" s="9">
        <f>D137*'MASTER SHEET'!D137</f>
        <v>15210</v>
      </c>
      <c r="EC137" s="9">
        <f>H137*'MASTER SHEET'!D137</f>
        <v>0</v>
      </c>
      <c r="ED137" s="9">
        <f>L137*'MASTER SHEET'!D137</f>
        <v>0</v>
      </c>
      <c r="EE137" s="9">
        <f>P137*'MASTER SHEET'!D137</f>
        <v>0</v>
      </c>
      <c r="EF137" s="9">
        <f>T137*'MASTER SHEET'!D137</f>
        <v>0</v>
      </c>
      <c r="EG137" s="9">
        <f>X137*'MASTER SHEET'!D137</f>
        <v>0</v>
      </c>
      <c r="EH137" s="9">
        <f>AB137*'MASTER SHEET'!D137</f>
        <v>13905.32</v>
      </c>
      <c r="EI137" s="9">
        <f>AF137*'MASTER SHEET'!D137</f>
        <v>22385.739999999998</v>
      </c>
      <c r="EJ137" s="9">
        <f>AJ137*'MASTER SHEET'!D137</f>
        <v>37832.339999999997</v>
      </c>
      <c r="EK137" s="9">
        <f>AN137*'MASTER SHEET'!D137</f>
        <v>36378.94</v>
      </c>
      <c r="EL137" s="9">
        <f>AR137*'MASTER SHEET'!D137</f>
        <v>24657.1</v>
      </c>
      <c r="EM137" s="9">
        <f>AV137*'MASTER SHEET'!D137</f>
        <v>24657.1</v>
      </c>
      <c r="EN137" s="9">
        <f>AZ137*'MASTER SHEET'!D137</f>
        <v>24657.1</v>
      </c>
      <c r="EO137" s="9">
        <f>BD137*'MASTER SHEET'!D137</f>
        <v>24657.1</v>
      </c>
      <c r="EP137" s="9">
        <f>$BH137*'MASTER SHEET'!$D137</f>
        <v>24657.1</v>
      </c>
      <c r="EQ137" s="9">
        <f>BL137*'MASTER SHEET'!D137</f>
        <v>24657.1</v>
      </c>
      <c r="ER137" s="9">
        <f>BP137*'MASTER SHEET'!D137</f>
        <v>50743.939999999995</v>
      </c>
      <c r="ES137" s="9">
        <f>BT137*'MASTER SHEET'!D137</f>
        <v>69354.22</v>
      </c>
      <c r="ET137" s="9">
        <f>BX137*'MASTER SHEET'!D137</f>
        <v>68387.539999999994</v>
      </c>
      <c r="EU137" s="9">
        <f>CB137*'MASTER SHEET'!D137</f>
        <v>68318.25</v>
      </c>
      <c r="EV137" s="9">
        <f>CF137*'MASTER SHEET'!D137</f>
        <v>51418.25</v>
      </c>
      <c r="EW137" s="9">
        <f>CJ137*'MASTER SHEET'!D137</f>
        <v>51418.25</v>
      </c>
      <c r="EX137" s="9">
        <f>CN137*'MASTER SHEET'!D137</f>
        <v>51418.25</v>
      </c>
      <c r="EY137" s="9">
        <f>CR137*'MASTER SHEET'!D137</f>
        <v>51418.25</v>
      </c>
      <c r="EZ137" s="9">
        <f>$CV137*'MASTER SHEET'!D137</f>
        <v>51418.25</v>
      </c>
      <c r="FA137" s="9">
        <f>CZ137*'MASTER SHEET'!D137</f>
        <v>51418.25</v>
      </c>
      <c r="FB137" s="9">
        <f>DD137*'MASTER SHEET'!D137</f>
        <v>51418.25</v>
      </c>
      <c r="FC137" s="9">
        <f>DH137*'MASTER SHEET'!D137</f>
        <v>51418.25</v>
      </c>
      <c r="FD137" s="9">
        <f>DL137*'MASTER SHEET'!D137</f>
        <v>51418.25</v>
      </c>
      <c r="FE137" s="9">
        <f>DP137*'MASTER SHEET'!D137</f>
        <v>51418.25</v>
      </c>
      <c r="FF137" s="9">
        <f>DT137*'MASTER SHEET'!D137</f>
        <v>51418.25</v>
      </c>
      <c r="FG137" s="9">
        <f>+DX137*'MASTER SHEET'!D137</f>
        <v>51418.25</v>
      </c>
    </row>
    <row r="138" spans="1:163" ht="20.25" customHeight="1" x14ac:dyDescent="0.25">
      <c r="A138" s="25">
        <f>'MASTER SHEET'!A138</f>
        <v>136</v>
      </c>
      <c r="B138" s="168" t="str">
        <f>'MASTER SHEET'!B138</f>
        <v>TIAGO MCE IDH LEVER GRAINED LH</v>
      </c>
      <c r="C138" s="169" t="str">
        <f>'MASTER SHEET'!C138</f>
        <v>CB00004725</v>
      </c>
      <c r="D138" s="163">
        <f>500+200</f>
        <v>700</v>
      </c>
      <c r="E138" s="28">
        <f>PRODUCTION!F138+'SUPLIER INWARD'!F138</f>
        <v>0</v>
      </c>
      <c r="F138" s="28"/>
      <c r="G138" s="29">
        <v>0</v>
      </c>
      <c r="H138" s="30">
        <f t="shared" si="159"/>
        <v>700</v>
      </c>
      <c r="I138" s="28">
        <f>PRODUCTION!J138+'SUPLIER INWARD'!J138</f>
        <v>0</v>
      </c>
      <c r="J138" s="28"/>
      <c r="K138" s="29">
        <v>0</v>
      </c>
      <c r="L138" s="30">
        <f t="shared" si="160"/>
        <v>700</v>
      </c>
      <c r="M138" s="28">
        <f>PRODUCTION!N138+'SUPLIER INWARD'!N138</f>
        <v>0</v>
      </c>
      <c r="N138" s="58"/>
      <c r="O138" s="29"/>
      <c r="P138" s="30">
        <f t="shared" si="161"/>
        <v>700</v>
      </c>
      <c r="Q138" s="28">
        <f>PRODUCTION!R138+'SUPLIER INWARD'!R138</f>
        <v>0</v>
      </c>
      <c r="R138" s="58"/>
      <c r="S138" s="29">
        <v>0</v>
      </c>
      <c r="T138" s="30">
        <f t="shared" si="162"/>
        <v>700</v>
      </c>
      <c r="U138" s="28">
        <f>PRODUCTION!V138+'SUPLIER INWARD'!V138</f>
        <v>0</v>
      </c>
      <c r="V138" s="58">
        <v>0</v>
      </c>
      <c r="W138" s="29">
        <v>0</v>
      </c>
      <c r="X138" s="30">
        <f t="shared" si="163"/>
        <v>700</v>
      </c>
      <c r="Y138" s="28">
        <f>PRODUCTION!Z138+'SUPLIER INWARD'!Z138</f>
        <v>0</v>
      </c>
      <c r="Z138" s="58">
        <v>0</v>
      </c>
      <c r="AA138" s="29">
        <v>0</v>
      </c>
      <c r="AB138" s="30">
        <f t="shared" si="164"/>
        <v>700</v>
      </c>
      <c r="AC138" s="28">
        <f>PRODUCTION!AD138+'SUPLIER INWARD'!AD138</f>
        <v>2062</v>
      </c>
      <c r="AD138" s="58">
        <v>714</v>
      </c>
      <c r="AE138" s="29">
        <v>0</v>
      </c>
      <c r="AF138" s="30">
        <f t="shared" si="165"/>
        <v>2048</v>
      </c>
      <c r="AG138" s="28">
        <f>PRODUCTION!AH138+'SUPLIER INWARD'!AH138</f>
        <v>1996</v>
      </c>
      <c r="AH138" s="58">
        <v>2176</v>
      </c>
      <c r="AI138" s="29">
        <v>0</v>
      </c>
      <c r="AJ138" s="30">
        <f t="shared" si="166"/>
        <v>1868</v>
      </c>
      <c r="AK138" s="28">
        <f>PRODUCTION!AL138+'SUPLIER INWARD'!AL138</f>
        <v>0</v>
      </c>
      <c r="AL138" s="58">
        <v>1632</v>
      </c>
      <c r="AM138" s="29">
        <v>0</v>
      </c>
      <c r="AN138" s="30">
        <f t="shared" si="167"/>
        <v>236</v>
      </c>
      <c r="AO138" s="28">
        <f>PRODUCTION!AP138+'SUPLIER INWARD'!AP138</f>
        <v>0</v>
      </c>
      <c r="AP138" s="28"/>
      <c r="AQ138" s="29">
        <v>0</v>
      </c>
      <c r="AR138" s="30">
        <f t="shared" si="168"/>
        <v>236</v>
      </c>
      <c r="AS138" s="28">
        <f>PRODUCTION!AT138+'SUPLIER INWARD'!AT138</f>
        <v>0</v>
      </c>
      <c r="AT138" s="28">
        <v>0</v>
      </c>
      <c r="AU138" s="29">
        <v>0</v>
      </c>
      <c r="AV138" s="30">
        <f t="shared" si="169"/>
        <v>236</v>
      </c>
      <c r="AW138" s="28">
        <f>PRODUCTION!AX138+'SUPLIER INWARD'!AX138</f>
        <v>0</v>
      </c>
      <c r="AX138" s="28"/>
      <c r="AY138" s="29"/>
      <c r="AZ138" s="30">
        <f t="shared" si="170"/>
        <v>236</v>
      </c>
      <c r="BA138" s="28">
        <f>PRODUCTION!BB138+'SUPLIER INWARD'!BB138</f>
        <v>2337</v>
      </c>
      <c r="BB138" s="58">
        <v>918</v>
      </c>
      <c r="BC138" s="29">
        <v>0</v>
      </c>
      <c r="BD138" s="30">
        <f t="shared" si="171"/>
        <v>1655</v>
      </c>
      <c r="BE138" s="28">
        <f>PRODUCTION!BF138+'SUPLIER INWARD'!BF138</f>
        <v>2458</v>
      </c>
      <c r="BF138" s="58">
        <v>2142</v>
      </c>
      <c r="BG138" s="29">
        <v>0</v>
      </c>
      <c r="BH138" s="30">
        <f t="shared" si="172"/>
        <v>1971</v>
      </c>
      <c r="BI138" s="28">
        <f>PRODUCTION!BJ138+'SUPLIER INWARD'!BJ138</f>
        <v>383</v>
      </c>
      <c r="BJ138" s="58">
        <v>2176</v>
      </c>
      <c r="BK138" s="29">
        <v>0</v>
      </c>
      <c r="BL138" s="30">
        <f t="shared" si="173"/>
        <v>178</v>
      </c>
      <c r="BM138" s="28">
        <f>PRODUCTION!BN138+'SUPLIER INWARD'!BN138</f>
        <v>0</v>
      </c>
      <c r="BN138" s="58">
        <v>0</v>
      </c>
      <c r="BO138" s="29">
        <v>0</v>
      </c>
      <c r="BP138" s="30">
        <f t="shared" si="174"/>
        <v>178</v>
      </c>
      <c r="BQ138" s="28">
        <f>PRODUCTION!BR138+'SUPLIER INWARD'!BR138</f>
        <v>0</v>
      </c>
      <c r="BR138" s="58">
        <v>0</v>
      </c>
      <c r="BS138" s="29">
        <v>0</v>
      </c>
      <c r="BT138" s="30">
        <f t="shared" si="175"/>
        <v>178</v>
      </c>
      <c r="BU138" s="28">
        <f>PRODUCTION!BV138+'SUPLIER INWARD'!BV138</f>
        <v>0</v>
      </c>
      <c r="BV138" s="58">
        <v>0</v>
      </c>
      <c r="BW138" s="29">
        <v>0</v>
      </c>
      <c r="BX138" s="30">
        <f t="shared" si="176"/>
        <v>178</v>
      </c>
      <c r="BY138" s="28">
        <f>PRODUCTION!BZ138+'SUPLIER INWARD'!BZ138</f>
        <v>0</v>
      </c>
      <c r="BZ138" s="58"/>
      <c r="CA138" s="29">
        <v>0</v>
      </c>
      <c r="CB138" s="30">
        <f t="shared" si="177"/>
        <v>178</v>
      </c>
      <c r="CC138" s="28">
        <f>PRODUCTION!CD138+'SUPLIER INWARD'!CD138</f>
        <v>0</v>
      </c>
      <c r="CD138" s="58">
        <v>0</v>
      </c>
      <c r="CE138" s="29">
        <v>0</v>
      </c>
      <c r="CF138" s="30">
        <f t="shared" si="178"/>
        <v>178</v>
      </c>
      <c r="CG138" s="28">
        <f>PRODUCTION!CH138+'SUPLIER INWARD'!CH138</f>
        <v>0</v>
      </c>
      <c r="CH138" s="58">
        <v>0</v>
      </c>
      <c r="CI138" s="29">
        <v>0</v>
      </c>
      <c r="CJ138" s="30">
        <f t="shared" si="179"/>
        <v>178</v>
      </c>
      <c r="CK138" s="28">
        <f>PRODUCTION!CL138+'SUPLIER INWARD'!CL138</f>
        <v>2754</v>
      </c>
      <c r="CL138" s="58"/>
      <c r="CM138" s="152">
        <v>0</v>
      </c>
      <c r="CN138" s="30">
        <f t="shared" si="180"/>
        <v>2932</v>
      </c>
      <c r="CO138" s="28">
        <f>PRODUCTION!CP138+'SUPLIER INWARD'!CP138</f>
        <v>2584</v>
      </c>
      <c r="CP138" s="58">
        <v>2346</v>
      </c>
      <c r="CQ138" s="29">
        <v>0</v>
      </c>
      <c r="CR138" s="30">
        <f t="shared" si="181"/>
        <v>3170</v>
      </c>
      <c r="CS138" s="28">
        <f>PRODUCTION!CT138+'SUPLIER INWARD'!CT138</f>
        <v>1158</v>
      </c>
      <c r="CT138" s="28">
        <v>2176</v>
      </c>
      <c r="CU138" s="29">
        <v>0</v>
      </c>
      <c r="CV138" s="30">
        <f t="shared" si="182"/>
        <v>2152</v>
      </c>
      <c r="CW138" s="28">
        <f>PRODUCTION!CX138+'SUPLIER INWARD'!CX138</f>
        <v>1023</v>
      </c>
      <c r="CX138" s="58">
        <v>1088</v>
      </c>
      <c r="CY138" s="29">
        <v>0</v>
      </c>
      <c r="CZ138" s="30">
        <f t="shared" si="183"/>
        <v>2087</v>
      </c>
      <c r="DA138" s="28">
        <f>PRODUCTION!DB138+'SUPLIER INWARD'!DB138</f>
        <v>0</v>
      </c>
      <c r="DB138" s="58"/>
      <c r="DC138" s="29"/>
      <c r="DD138" s="30">
        <f t="shared" si="184"/>
        <v>2087</v>
      </c>
      <c r="DE138" s="28">
        <f>PRODUCTION!DF138+'SUPLIER INWARD'!DF138</f>
        <v>0</v>
      </c>
      <c r="DF138" s="58">
        <v>272</v>
      </c>
      <c r="DG138" s="29">
        <v>0</v>
      </c>
      <c r="DH138" s="30">
        <f t="shared" si="185"/>
        <v>1815</v>
      </c>
      <c r="DI138" s="28">
        <f>PRODUCTION!DJ138+'SUPLIER INWARD'!DJ138</f>
        <v>0</v>
      </c>
      <c r="DJ138" s="58">
        <v>0</v>
      </c>
      <c r="DK138" s="29">
        <v>0</v>
      </c>
      <c r="DL138" s="30">
        <f t="shared" si="186"/>
        <v>1815</v>
      </c>
      <c r="DM138" s="28">
        <f>PRODUCTION!DN138+'SUPLIER INWARD'!DN138</f>
        <v>21</v>
      </c>
      <c r="DN138" s="58">
        <v>0</v>
      </c>
      <c r="DO138" s="29"/>
      <c r="DP138" s="30">
        <f t="shared" si="187"/>
        <v>1836</v>
      </c>
      <c r="DQ138" s="28">
        <f>PRODUCTION!DR138+'SUPLIER INWARD'!DR138</f>
        <v>0</v>
      </c>
      <c r="DR138" s="57"/>
      <c r="DS138" s="29"/>
      <c r="DT138" s="30">
        <f t="shared" si="188"/>
        <v>1836</v>
      </c>
      <c r="DU138" s="28">
        <f>PRODUCTION!DV138+'SUPLIER INWARD'!DV138</f>
        <v>0</v>
      </c>
      <c r="DV138" s="58"/>
      <c r="DW138" s="29"/>
      <c r="DX138" s="30">
        <f t="shared" si="189"/>
        <v>1836</v>
      </c>
      <c r="DY138" s="141">
        <f t="shared" si="158"/>
        <v>16776</v>
      </c>
      <c r="DZ138" s="141">
        <f t="shared" si="156"/>
        <v>15640</v>
      </c>
      <c r="EA138" s="4">
        <f t="shared" si="157"/>
        <v>0</v>
      </c>
      <c r="EB138" s="9">
        <f>D138*'MASTER SHEET'!D138</f>
        <v>9345</v>
      </c>
      <c r="EC138" s="9">
        <f>H138*'MASTER SHEET'!D138</f>
        <v>9345</v>
      </c>
      <c r="ED138" s="9">
        <f>L138*'MASTER SHEET'!D138</f>
        <v>9345</v>
      </c>
      <c r="EE138" s="9">
        <f>P138*'MASTER SHEET'!D138</f>
        <v>9345</v>
      </c>
      <c r="EF138" s="9">
        <f>T138*'MASTER SHEET'!D138</f>
        <v>9345</v>
      </c>
      <c r="EG138" s="9">
        <f>X138*'MASTER SHEET'!D138</f>
        <v>9345</v>
      </c>
      <c r="EH138" s="9">
        <f>AB138*'MASTER SHEET'!D138</f>
        <v>9345</v>
      </c>
      <c r="EI138" s="9">
        <f>AF138*'MASTER SHEET'!D138</f>
        <v>27340.799999999999</v>
      </c>
      <c r="EJ138" s="9">
        <f>AJ138*'MASTER SHEET'!D138</f>
        <v>24937.8</v>
      </c>
      <c r="EK138" s="9">
        <f>AN138*'MASTER SHEET'!D138</f>
        <v>3150.6</v>
      </c>
      <c r="EL138" s="9">
        <f>AR138*'MASTER SHEET'!D138</f>
        <v>3150.6</v>
      </c>
      <c r="EM138" s="9">
        <f>AV138*'MASTER SHEET'!D138</f>
        <v>3150.6</v>
      </c>
      <c r="EN138" s="9">
        <f>AZ138*'MASTER SHEET'!D138</f>
        <v>3150.6</v>
      </c>
      <c r="EO138" s="9">
        <f>BD138*'MASTER SHEET'!D138</f>
        <v>22094.25</v>
      </c>
      <c r="EP138" s="9">
        <f>$BH138*'MASTER SHEET'!$D138</f>
        <v>26312.85</v>
      </c>
      <c r="EQ138" s="9">
        <f>BL138*'MASTER SHEET'!D138</f>
        <v>2376.2999999999997</v>
      </c>
      <c r="ER138" s="9">
        <f>BP138*'MASTER SHEET'!D138</f>
        <v>2376.2999999999997</v>
      </c>
      <c r="ES138" s="9">
        <f>BT138*'MASTER SHEET'!D138</f>
        <v>2376.2999999999997</v>
      </c>
      <c r="ET138" s="9">
        <f>BX138*'MASTER SHEET'!D138</f>
        <v>2376.2999999999997</v>
      </c>
      <c r="EU138" s="9">
        <f>CB138*'MASTER SHEET'!D138</f>
        <v>2376.2999999999997</v>
      </c>
      <c r="EV138" s="9">
        <f>CF138*'MASTER SHEET'!D138</f>
        <v>2376.2999999999997</v>
      </c>
      <c r="EW138" s="9">
        <f>CJ138*'MASTER SHEET'!D138</f>
        <v>2376.2999999999997</v>
      </c>
      <c r="EX138" s="9">
        <f>CN138*'MASTER SHEET'!D138</f>
        <v>39142.199999999997</v>
      </c>
      <c r="EY138" s="9">
        <f>CR138*'MASTER SHEET'!D138</f>
        <v>42319.5</v>
      </c>
      <c r="EZ138" s="9">
        <f>$CV138*'MASTER SHEET'!D138</f>
        <v>28729.200000000001</v>
      </c>
      <c r="FA138" s="9">
        <f>CZ138*'MASTER SHEET'!D138</f>
        <v>27861.45</v>
      </c>
      <c r="FB138" s="9">
        <f>DD138*'MASTER SHEET'!D138</f>
        <v>27861.45</v>
      </c>
      <c r="FC138" s="9">
        <f>DH138*'MASTER SHEET'!D138</f>
        <v>24230.25</v>
      </c>
      <c r="FD138" s="9">
        <f>DL138*'MASTER SHEET'!D138</f>
        <v>24230.25</v>
      </c>
      <c r="FE138" s="9">
        <f>DP138*'MASTER SHEET'!D138</f>
        <v>24510.6</v>
      </c>
      <c r="FF138" s="9">
        <f>DT138*'MASTER SHEET'!D138</f>
        <v>24510.6</v>
      </c>
      <c r="FG138" s="9">
        <f>+DX138*'MASTER SHEET'!D138</f>
        <v>24510.6</v>
      </c>
    </row>
    <row r="139" spans="1:163" ht="20.25" customHeight="1" x14ac:dyDescent="0.25">
      <c r="A139" s="25">
        <f>'MASTER SHEET'!A139</f>
        <v>137</v>
      </c>
      <c r="B139" s="168" t="str">
        <f>'MASTER SHEET'!B139</f>
        <v>AIR EXTRACTOR HOUSING</v>
      </c>
      <c r="C139" s="169">
        <f>'MASTER SHEET'!C139</f>
        <v>62185</v>
      </c>
      <c r="D139" s="159">
        <v>0</v>
      </c>
      <c r="E139" s="28">
        <f>PRODUCTION!F139+'SUPLIER INWARD'!F139</f>
        <v>0</v>
      </c>
      <c r="F139" s="28"/>
      <c r="G139" s="29">
        <v>0</v>
      </c>
      <c r="H139" s="30">
        <f t="shared" si="159"/>
        <v>0</v>
      </c>
      <c r="I139" s="28">
        <f>PRODUCTION!J139+'SUPLIER INWARD'!J139</f>
        <v>0</v>
      </c>
      <c r="J139" s="28"/>
      <c r="K139" s="29">
        <v>0</v>
      </c>
      <c r="L139" s="30">
        <f t="shared" si="160"/>
        <v>0</v>
      </c>
      <c r="M139" s="28">
        <f>PRODUCTION!N139+'SUPLIER INWARD'!N139</f>
        <v>0</v>
      </c>
      <c r="N139" s="58"/>
      <c r="O139" s="29"/>
      <c r="P139" s="30">
        <f t="shared" si="161"/>
        <v>0</v>
      </c>
      <c r="Q139" s="28">
        <f>PRODUCTION!R139+'SUPLIER INWARD'!R139</f>
        <v>0</v>
      </c>
      <c r="R139" s="58"/>
      <c r="S139" s="29">
        <v>0</v>
      </c>
      <c r="T139" s="30">
        <f t="shared" si="162"/>
        <v>0</v>
      </c>
      <c r="U139" s="28">
        <f>PRODUCTION!V139+'SUPLIER INWARD'!V139</f>
        <v>0</v>
      </c>
      <c r="V139" s="58">
        <v>0</v>
      </c>
      <c r="W139" s="29">
        <v>0</v>
      </c>
      <c r="X139" s="30">
        <f t="shared" si="163"/>
        <v>0</v>
      </c>
      <c r="Y139" s="28">
        <f>PRODUCTION!Z139+'SUPLIER INWARD'!Z139</f>
        <v>0</v>
      </c>
      <c r="Z139" s="58">
        <v>0</v>
      </c>
      <c r="AA139" s="29">
        <v>0</v>
      </c>
      <c r="AB139" s="30">
        <f t="shared" si="164"/>
        <v>0</v>
      </c>
      <c r="AC139" s="28">
        <f>PRODUCTION!AD139+'SUPLIER INWARD'!AD139</f>
        <v>0</v>
      </c>
      <c r="AD139" s="58">
        <v>0</v>
      </c>
      <c r="AE139" s="29">
        <v>0</v>
      </c>
      <c r="AF139" s="30">
        <f t="shared" si="165"/>
        <v>0</v>
      </c>
      <c r="AG139" s="28">
        <f>PRODUCTION!AH139+'SUPLIER INWARD'!AH139</f>
        <v>0</v>
      </c>
      <c r="AH139" s="58">
        <v>0</v>
      </c>
      <c r="AI139" s="29">
        <v>0</v>
      </c>
      <c r="AJ139" s="30">
        <f t="shared" si="166"/>
        <v>0</v>
      </c>
      <c r="AK139" s="28">
        <f>PRODUCTION!AL139+'SUPLIER INWARD'!AL139</f>
        <v>0</v>
      </c>
      <c r="AL139" s="58">
        <v>0</v>
      </c>
      <c r="AM139" s="29">
        <v>0</v>
      </c>
      <c r="AN139" s="30">
        <f t="shared" si="167"/>
        <v>0</v>
      </c>
      <c r="AO139" s="28">
        <f>PRODUCTION!AP139+'SUPLIER INWARD'!AP139</f>
        <v>0</v>
      </c>
      <c r="AP139" s="28"/>
      <c r="AQ139" s="29">
        <v>0</v>
      </c>
      <c r="AR139" s="30">
        <f t="shared" si="168"/>
        <v>0</v>
      </c>
      <c r="AS139" s="28">
        <f>PRODUCTION!AT139+'SUPLIER INWARD'!AT139</f>
        <v>0</v>
      </c>
      <c r="AT139" s="28">
        <v>0</v>
      </c>
      <c r="AU139" s="29">
        <v>0</v>
      </c>
      <c r="AV139" s="30">
        <f t="shared" si="169"/>
        <v>0</v>
      </c>
      <c r="AW139" s="28">
        <f>PRODUCTION!AX139+'SUPLIER INWARD'!AX139</f>
        <v>0</v>
      </c>
      <c r="AX139" s="28"/>
      <c r="AY139" s="29"/>
      <c r="AZ139" s="30">
        <f t="shared" si="170"/>
        <v>0</v>
      </c>
      <c r="BA139" s="28">
        <f>PRODUCTION!BB139+'SUPLIER INWARD'!BB139</f>
        <v>0</v>
      </c>
      <c r="BB139" s="58">
        <v>0</v>
      </c>
      <c r="BC139" s="29">
        <v>0</v>
      </c>
      <c r="BD139" s="30">
        <f t="shared" si="171"/>
        <v>0</v>
      </c>
      <c r="BE139" s="28">
        <f>PRODUCTION!BF139+'SUPLIER INWARD'!BF139</f>
        <v>0</v>
      </c>
      <c r="BF139" s="58"/>
      <c r="BG139" s="29">
        <v>0</v>
      </c>
      <c r="BH139" s="30">
        <f t="shared" si="172"/>
        <v>0</v>
      </c>
      <c r="BI139" s="28">
        <f>PRODUCTION!BJ139+'SUPLIER INWARD'!BJ139</f>
        <v>0</v>
      </c>
      <c r="BJ139" s="58">
        <v>0</v>
      </c>
      <c r="BK139" s="29">
        <v>0</v>
      </c>
      <c r="BL139" s="30">
        <f t="shared" si="173"/>
        <v>0</v>
      </c>
      <c r="BM139" s="28">
        <f>PRODUCTION!BN139+'SUPLIER INWARD'!BN139</f>
        <v>0</v>
      </c>
      <c r="BN139" s="58">
        <v>0</v>
      </c>
      <c r="BO139" s="29">
        <v>0</v>
      </c>
      <c r="BP139" s="30">
        <f t="shared" si="174"/>
        <v>0</v>
      </c>
      <c r="BQ139" s="28">
        <f>PRODUCTION!BR139+'SUPLIER INWARD'!BR139</f>
        <v>0</v>
      </c>
      <c r="BR139" s="58">
        <v>0</v>
      </c>
      <c r="BS139" s="29">
        <v>0</v>
      </c>
      <c r="BT139" s="30">
        <f t="shared" si="175"/>
        <v>0</v>
      </c>
      <c r="BU139" s="28">
        <f>PRODUCTION!BV139+'SUPLIER INWARD'!BV139</f>
        <v>0</v>
      </c>
      <c r="BV139" s="58">
        <v>0</v>
      </c>
      <c r="BW139" s="29">
        <v>0</v>
      </c>
      <c r="BX139" s="30">
        <f t="shared" si="176"/>
        <v>0</v>
      </c>
      <c r="BY139" s="28">
        <f>PRODUCTION!BZ139+'SUPLIER INWARD'!BZ139</f>
        <v>0</v>
      </c>
      <c r="BZ139" s="58"/>
      <c r="CA139" s="29">
        <v>0</v>
      </c>
      <c r="CB139" s="30">
        <f t="shared" si="177"/>
        <v>0</v>
      </c>
      <c r="CC139" s="28">
        <f>PRODUCTION!CD139+'SUPLIER INWARD'!CD139</f>
        <v>0</v>
      </c>
      <c r="CD139" s="58">
        <v>0</v>
      </c>
      <c r="CE139" s="29">
        <v>0</v>
      </c>
      <c r="CF139" s="30">
        <f t="shared" si="178"/>
        <v>0</v>
      </c>
      <c r="CG139" s="28">
        <f>PRODUCTION!CH139+'SUPLIER INWARD'!CH139</f>
        <v>0</v>
      </c>
      <c r="CH139" s="58">
        <v>0</v>
      </c>
      <c r="CI139" s="29">
        <v>0</v>
      </c>
      <c r="CJ139" s="30">
        <f t="shared" si="179"/>
        <v>0</v>
      </c>
      <c r="CK139" s="28">
        <f>PRODUCTION!CL139+'SUPLIER INWARD'!CL139</f>
        <v>0</v>
      </c>
      <c r="CL139" s="58"/>
      <c r="CM139" s="152">
        <v>0</v>
      </c>
      <c r="CN139" s="30">
        <f t="shared" si="180"/>
        <v>0</v>
      </c>
      <c r="CO139" s="28">
        <f>PRODUCTION!CP139+'SUPLIER INWARD'!CP139</f>
        <v>0</v>
      </c>
      <c r="CP139" s="58">
        <v>0</v>
      </c>
      <c r="CQ139" s="29">
        <v>0</v>
      </c>
      <c r="CR139" s="30">
        <f t="shared" si="181"/>
        <v>0</v>
      </c>
      <c r="CS139" s="28">
        <f>PRODUCTION!CT139+'SUPLIER INWARD'!CT139</f>
        <v>0</v>
      </c>
      <c r="CT139" s="28">
        <v>0</v>
      </c>
      <c r="CU139" s="29">
        <v>0</v>
      </c>
      <c r="CV139" s="30">
        <f t="shared" si="182"/>
        <v>0</v>
      </c>
      <c r="CW139" s="28">
        <f>PRODUCTION!CX139+'SUPLIER INWARD'!CX139</f>
        <v>0</v>
      </c>
      <c r="CX139" s="58">
        <v>0</v>
      </c>
      <c r="CY139" s="29">
        <v>0</v>
      </c>
      <c r="CZ139" s="30">
        <f t="shared" si="183"/>
        <v>0</v>
      </c>
      <c r="DA139" s="28">
        <f>PRODUCTION!DB139+'SUPLIER INWARD'!DB139</f>
        <v>0</v>
      </c>
      <c r="DB139" s="58"/>
      <c r="DC139" s="29"/>
      <c r="DD139" s="30">
        <f t="shared" si="184"/>
        <v>0</v>
      </c>
      <c r="DE139" s="28">
        <f>PRODUCTION!DF139+'SUPLIER INWARD'!DF139</f>
        <v>0</v>
      </c>
      <c r="DF139" s="58">
        <v>0</v>
      </c>
      <c r="DG139" s="29">
        <v>0</v>
      </c>
      <c r="DH139" s="30">
        <f t="shared" si="185"/>
        <v>0</v>
      </c>
      <c r="DI139" s="28">
        <f>PRODUCTION!DJ139+'SUPLIER INWARD'!DJ139</f>
        <v>0</v>
      </c>
      <c r="DJ139" s="58">
        <v>0</v>
      </c>
      <c r="DK139" s="29">
        <v>0</v>
      </c>
      <c r="DL139" s="30">
        <f t="shared" si="186"/>
        <v>0</v>
      </c>
      <c r="DM139" s="28">
        <f>PRODUCTION!DN139+'SUPLIER INWARD'!DN139</f>
        <v>0</v>
      </c>
      <c r="DN139" s="58">
        <v>0</v>
      </c>
      <c r="DO139" s="29"/>
      <c r="DP139" s="30">
        <f t="shared" si="187"/>
        <v>0</v>
      </c>
      <c r="DQ139" s="28">
        <f>PRODUCTION!DR139+'SUPLIER INWARD'!DR139</f>
        <v>0</v>
      </c>
      <c r="DR139" s="57"/>
      <c r="DS139" s="29"/>
      <c r="DT139" s="30">
        <f t="shared" si="188"/>
        <v>0</v>
      </c>
      <c r="DU139" s="28">
        <f>PRODUCTION!DV139+'SUPLIER INWARD'!DV139</f>
        <v>0</v>
      </c>
      <c r="DV139" s="58"/>
      <c r="DW139" s="29"/>
      <c r="DX139" s="30">
        <f t="shared" si="189"/>
        <v>0</v>
      </c>
      <c r="DY139" s="141">
        <f t="shared" si="158"/>
        <v>0</v>
      </c>
      <c r="DZ139" s="141">
        <f t="shared" si="156"/>
        <v>0</v>
      </c>
      <c r="EA139" s="4">
        <f t="shared" si="157"/>
        <v>0</v>
      </c>
      <c r="EB139" s="9">
        <f>D139*'MASTER SHEET'!D139</f>
        <v>0</v>
      </c>
      <c r="EC139" s="9">
        <f>H139*'MASTER SHEET'!D139</f>
        <v>0</v>
      </c>
      <c r="ED139" s="9">
        <f>L139*'MASTER SHEET'!D139</f>
        <v>0</v>
      </c>
      <c r="EE139" s="9">
        <f>P139*'MASTER SHEET'!D139</f>
        <v>0</v>
      </c>
      <c r="EF139" s="9">
        <f>T139*'MASTER SHEET'!D139</f>
        <v>0</v>
      </c>
      <c r="EG139" s="9">
        <f>X139*'MASTER SHEET'!D139</f>
        <v>0</v>
      </c>
      <c r="EH139" s="9">
        <f>AB139*'MASTER SHEET'!D139</f>
        <v>0</v>
      </c>
      <c r="EI139" s="9">
        <f>AF139*'MASTER SHEET'!D139</f>
        <v>0</v>
      </c>
      <c r="EJ139" s="9">
        <f>AJ139*'MASTER SHEET'!D139</f>
        <v>0</v>
      </c>
      <c r="EK139" s="9">
        <f>AN139*'MASTER SHEET'!D139</f>
        <v>0</v>
      </c>
      <c r="EL139" s="9">
        <f>AR139*'MASTER SHEET'!D139</f>
        <v>0</v>
      </c>
      <c r="EM139" s="9">
        <f>AV139*'MASTER SHEET'!D139</f>
        <v>0</v>
      </c>
      <c r="EN139" s="9">
        <f>AZ139*'MASTER SHEET'!D139</f>
        <v>0</v>
      </c>
      <c r="EO139" s="9">
        <f>BD139*'MASTER SHEET'!D139</f>
        <v>0</v>
      </c>
      <c r="EP139" s="9">
        <f>$BH139*'MASTER SHEET'!$D139</f>
        <v>0</v>
      </c>
      <c r="EQ139" s="9">
        <f>BL139*'MASTER SHEET'!D139</f>
        <v>0</v>
      </c>
      <c r="ER139" s="9">
        <f>BP139*'MASTER SHEET'!D139</f>
        <v>0</v>
      </c>
      <c r="ES139" s="9">
        <f>BT139*'MASTER SHEET'!D139</f>
        <v>0</v>
      </c>
      <c r="ET139" s="9">
        <f>BX139*'MASTER SHEET'!D139</f>
        <v>0</v>
      </c>
      <c r="EU139" s="9">
        <f>CB139*'MASTER SHEET'!D139</f>
        <v>0</v>
      </c>
      <c r="EV139" s="9">
        <f>CF139*'MASTER SHEET'!D139</f>
        <v>0</v>
      </c>
      <c r="EW139" s="9">
        <f>CJ139*'MASTER SHEET'!D139</f>
        <v>0</v>
      </c>
      <c r="EX139" s="9">
        <f>CN139*'MASTER SHEET'!D139</f>
        <v>0</v>
      </c>
      <c r="EY139" s="9">
        <f>CR139*'MASTER SHEET'!D139</f>
        <v>0</v>
      </c>
      <c r="EZ139" s="9">
        <f>$CV139*'MASTER SHEET'!D139</f>
        <v>0</v>
      </c>
      <c r="FA139" s="9">
        <f>CZ139*'MASTER SHEET'!D139</f>
        <v>0</v>
      </c>
      <c r="FB139" s="9">
        <f>DD139*'MASTER SHEET'!D139</f>
        <v>0</v>
      </c>
      <c r="FC139" s="9">
        <f>DH139*'MASTER SHEET'!D139</f>
        <v>0</v>
      </c>
      <c r="FD139" s="9">
        <f>DL139*'MASTER SHEET'!D139</f>
        <v>0</v>
      </c>
      <c r="FE139" s="9">
        <f>DP139*'MASTER SHEET'!D139</f>
        <v>0</v>
      </c>
      <c r="FF139" s="9">
        <f>DT139*'MASTER SHEET'!D139</f>
        <v>0</v>
      </c>
      <c r="FG139" s="9">
        <f>+DX139*'MASTER SHEET'!D139</f>
        <v>0</v>
      </c>
    </row>
    <row r="140" spans="1:163" ht="20.25" customHeight="1" x14ac:dyDescent="0.25">
      <c r="A140" s="25">
        <f>'MASTER SHEET'!A140</f>
        <v>138</v>
      </c>
      <c r="B140" s="168" t="str">
        <f>'MASTER SHEET'!B140</f>
        <v>W601 ODH CAP FOR DOOR LOCK</v>
      </c>
      <c r="C140" s="169" t="str">
        <f>'MASTER SHEET'!C140</f>
        <v>BA00005294</v>
      </c>
      <c r="D140" s="159">
        <v>800</v>
      </c>
      <c r="E140" s="28">
        <f>PRODUCTION!F140+'SUPLIER INWARD'!F140</f>
        <v>0</v>
      </c>
      <c r="F140" s="28"/>
      <c r="G140" s="29">
        <v>0</v>
      </c>
      <c r="H140" s="30">
        <f t="shared" si="159"/>
        <v>800</v>
      </c>
      <c r="I140" s="28">
        <f>PRODUCTION!J140+'SUPLIER INWARD'!J140</f>
        <v>0</v>
      </c>
      <c r="J140" s="28"/>
      <c r="K140" s="29">
        <v>0</v>
      </c>
      <c r="L140" s="30">
        <f t="shared" si="160"/>
        <v>800</v>
      </c>
      <c r="M140" s="28">
        <f>PRODUCTION!N140+'SUPLIER INWARD'!N140</f>
        <v>0</v>
      </c>
      <c r="N140" s="58"/>
      <c r="O140" s="29"/>
      <c r="P140" s="30">
        <f t="shared" si="161"/>
        <v>800</v>
      </c>
      <c r="Q140" s="28">
        <f>PRODUCTION!R140+'SUPLIER INWARD'!R140</f>
        <v>0</v>
      </c>
      <c r="R140" s="58">
        <v>800</v>
      </c>
      <c r="S140" s="29">
        <v>0</v>
      </c>
      <c r="T140" s="30">
        <f t="shared" si="162"/>
        <v>0</v>
      </c>
      <c r="U140" s="28">
        <f>PRODUCTION!V140+'SUPLIER INWARD'!V140</f>
        <v>15778</v>
      </c>
      <c r="V140" s="58">
        <v>2400</v>
      </c>
      <c r="W140" s="29">
        <v>0</v>
      </c>
      <c r="X140" s="30">
        <f t="shared" si="163"/>
        <v>13378</v>
      </c>
      <c r="Y140" s="28">
        <f>PRODUCTION!Z140+'SUPLIER INWARD'!Z140</f>
        <v>6128</v>
      </c>
      <c r="Z140" s="58">
        <v>16800</v>
      </c>
      <c r="AA140" s="29">
        <v>0</v>
      </c>
      <c r="AB140" s="30">
        <f t="shared" si="164"/>
        <v>2706</v>
      </c>
      <c r="AC140" s="28">
        <f>PRODUCTION!AD140+'SUPLIER INWARD'!AD140</f>
        <v>0</v>
      </c>
      <c r="AD140" s="58">
        <v>0</v>
      </c>
      <c r="AE140" s="29">
        <v>0</v>
      </c>
      <c r="AF140" s="30">
        <f t="shared" si="165"/>
        <v>2706</v>
      </c>
      <c r="AG140" s="28">
        <f>PRODUCTION!AH140+'SUPLIER INWARD'!AH140</f>
        <v>0</v>
      </c>
      <c r="AH140" s="58">
        <v>0</v>
      </c>
      <c r="AI140" s="29">
        <v>0</v>
      </c>
      <c r="AJ140" s="30">
        <f t="shared" si="166"/>
        <v>2706</v>
      </c>
      <c r="AK140" s="28">
        <f>PRODUCTION!AL140+'SUPLIER INWARD'!AL140</f>
        <v>8000</v>
      </c>
      <c r="AL140" s="58">
        <v>0</v>
      </c>
      <c r="AM140" s="29">
        <v>0</v>
      </c>
      <c r="AN140" s="30">
        <f t="shared" si="167"/>
        <v>10706</v>
      </c>
      <c r="AO140" s="28">
        <f>PRODUCTION!AP140+'SUPLIER INWARD'!AP140</f>
        <v>0</v>
      </c>
      <c r="AP140" s="28">
        <v>7200</v>
      </c>
      <c r="AQ140" s="29">
        <v>0</v>
      </c>
      <c r="AR140" s="30">
        <f t="shared" si="168"/>
        <v>3506</v>
      </c>
      <c r="AS140" s="28">
        <f>PRODUCTION!AT140+'SUPLIER INWARD'!AT140</f>
        <v>5000</v>
      </c>
      <c r="AT140" s="28">
        <v>0</v>
      </c>
      <c r="AU140" s="29">
        <v>2</v>
      </c>
      <c r="AV140" s="30">
        <f t="shared" si="169"/>
        <v>8504</v>
      </c>
      <c r="AW140" s="28">
        <f>PRODUCTION!AX140+'SUPLIER INWARD'!AX140</f>
        <v>0</v>
      </c>
      <c r="AX140" s="28"/>
      <c r="AY140" s="29"/>
      <c r="AZ140" s="30">
        <f t="shared" si="170"/>
        <v>8504</v>
      </c>
      <c r="BA140" s="28">
        <f>PRODUCTION!BB140+'SUPLIER INWARD'!BB140</f>
        <v>9000</v>
      </c>
      <c r="BB140" s="58">
        <v>4800</v>
      </c>
      <c r="BC140" s="29">
        <v>0</v>
      </c>
      <c r="BD140" s="30">
        <f t="shared" si="171"/>
        <v>12704</v>
      </c>
      <c r="BE140" s="28">
        <f>PRODUCTION!BF140+'SUPLIER INWARD'!BF140</f>
        <v>0</v>
      </c>
      <c r="BF140" s="58">
        <v>1200</v>
      </c>
      <c r="BG140" s="29">
        <v>5</v>
      </c>
      <c r="BH140" s="30">
        <f t="shared" si="172"/>
        <v>11499</v>
      </c>
      <c r="BI140" s="28">
        <f>PRODUCTION!BJ140+'SUPLIER INWARD'!BJ140</f>
        <v>0</v>
      </c>
      <c r="BJ140" s="58">
        <v>4800</v>
      </c>
      <c r="BK140" s="29">
        <v>5</v>
      </c>
      <c r="BL140" s="30">
        <f t="shared" si="173"/>
        <v>6694</v>
      </c>
      <c r="BM140" s="28">
        <f>PRODUCTION!BN140+'SUPLIER INWARD'!BN140</f>
        <v>0</v>
      </c>
      <c r="BN140" s="58">
        <v>3600</v>
      </c>
      <c r="BO140" s="29">
        <v>0</v>
      </c>
      <c r="BP140" s="30">
        <f t="shared" si="174"/>
        <v>3094</v>
      </c>
      <c r="BQ140" s="28">
        <f>PRODUCTION!BR140+'SUPLIER INWARD'!BR140</f>
        <v>0</v>
      </c>
      <c r="BR140" s="58">
        <v>0</v>
      </c>
      <c r="BS140" s="29">
        <v>0</v>
      </c>
      <c r="BT140" s="30">
        <f t="shared" si="175"/>
        <v>3094</v>
      </c>
      <c r="BU140" s="28">
        <f>PRODUCTION!BV140+'SUPLIER INWARD'!BV140</f>
        <v>0</v>
      </c>
      <c r="BV140" s="58">
        <v>0</v>
      </c>
      <c r="BW140" s="29">
        <v>0</v>
      </c>
      <c r="BX140" s="30">
        <f t="shared" si="176"/>
        <v>3094</v>
      </c>
      <c r="BY140" s="28">
        <f>PRODUCTION!BZ140+'SUPLIER INWARD'!BZ140</f>
        <v>0</v>
      </c>
      <c r="BZ140" s="58"/>
      <c r="CA140" s="29">
        <v>0</v>
      </c>
      <c r="CB140" s="30">
        <f t="shared" si="177"/>
        <v>3094</v>
      </c>
      <c r="CC140" s="28">
        <f>PRODUCTION!CD140+'SUPLIER INWARD'!CD140</f>
        <v>0</v>
      </c>
      <c r="CD140" s="58">
        <v>0</v>
      </c>
      <c r="CE140" s="29">
        <v>0</v>
      </c>
      <c r="CF140" s="30">
        <f t="shared" si="178"/>
        <v>3094</v>
      </c>
      <c r="CG140" s="28">
        <f>PRODUCTION!CH140+'SUPLIER INWARD'!CH140</f>
        <v>0</v>
      </c>
      <c r="CH140" s="58">
        <v>0</v>
      </c>
      <c r="CI140" s="29">
        <v>0</v>
      </c>
      <c r="CJ140" s="30">
        <f t="shared" si="179"/>
        <v>3094</v>
      </c>
      <c r="CK140" s="28">
        <f>PRODUCTION!CL140+'SUPLIER INWARD'!CL140</f>
        <v>0</v>
      </c>
      <c r="CL140" s="58"/>
      <c r="CM140" s="152">
        <v>0</v>
      </c>
      <c r="CN140" s="30">
        <f t="shared" si="180"/>
        <v>3094</v>
      </c>
      <c r="CO140" s="28">
        <f>PRODUCTION!CP140+'SUPLIER INWARD'!CP140</f>
        <v>0</v>
      </c>
      <c r="CP140" s="58">
        <v>0</v>
      </c>
      <c r="CQ140" s="29">
        <v>0</v>
      </c>
      <c r="CR140" s="30">
        <f t="shared" si="181"/>
        <v>3094</v>
      </c>
      <c r="CS140" s="28">
        <f>PRODUCTION!CT140+'SUPLIER INWARD'!CT140</f>
        <v>0</v>
      </c>
      <c r="CT140" s="28">
        <v>0</v>
      </c>
      <c r="CU140" s="29">
        <v>0</v>
      </c>
      <c r="CV140" s="30">
        <f t="shared" si="182"/>
        <v>3094</v>
      </c>
      <c r="CW140" s="28">
        <f>PRODUCTION!CX140+'SUPLIER INWARD'!CX140</f>
        <v>0</v>
      </c>
      <c r="CX140" s="58">
        <v>0</v>
      </c>
      <c r="CY140" s="29">
        <v>0</v>
      </c>
      <c r="CZ140" s="30">
        <f t="shared" si="183"/>
        <v>3094</v>
      </c>
      <c r="DA140" s="28">
        <f>PRODUCTION!DB140+'SUPLIER INWARD'!DB140</f>
        <v>0</v>
      </c>
      <c r="DB140" s="58"/>
      <c r="DC140" s="29"/>
      <c r="DD140" s="30">
        <f t="shared" si="184"/>
        <v>3094</v>
      </c>
      <c r="DE140" s="28">
        <f>PRODUCTION!DF140+'SUPLIER INWARD'!DF140</f>
        <v>0</v>
      </c>
      <c r="DF140" s="58">
        <v>0</v>
      </c>
      <c r="DG140" s="29">
        <v>0</v>
      </c>
      <c r="DH140" s="30">
        <f t="shared" si="185"/>
        <v>3094</v>
      </c>
      <c r="DI140" s="28">
        <f>PRODUCTION!DJ140+'SUPLIER INWARD'!DJ140</f>
        <v>0</v>
      </c>
      <c r="DJ140" s="58">
        <v>0</v>
      </c>
      <c r="DK140" s="29">
        <v>0</v>
      </c>
      <c r="DL140" s="30">
        <f t="shared" si="186"/>
        <v>3094</v>
      </c>
      <c r="DM140" s="28">
        <f>PRODUCTION!DN140+'SUPLIER INWARD'!DN140</f>
        <v>0</v>
      </c>
      <c r="DN140" s="58">
        <v>0</v>
      </c>
      <c r="DO140" s="29"/>
      <c r="DP140" s="30">
        <f t="shared" si="187"/>
        <v>3094</v>
      </c>
      <c r="DQ140" s="28">
        <f>PRODUCTION!DR140+'SUPLIER INWARD'!DR140</f>
        <v>0</v>
      </c>
      <c r="DR140" s="57"/>
      <c r="DS140" s="29"/>
      <c r="DT140" s="30">
        <f t="shared" si="188"/>
        <v>3094</v>
      </c>
      <c r="DU140" s="28">
        <f>PRODUCTION!DV140+'SUPLIER INWARD'!DV140</f>
        <v>0</v>
      </c>
      <c r="DV140" s="58"/>
      <c r="DW140" s="29"/>
      <c r="DX140" s="30">
        <f t="shared" si="189"/>
        <v>3094</v>
      </c>
      <c r="DY140" s="141">
        <f t="shared" si="158"/>
        <v>43906</v>
      </c>
      <c r="DZ140" s="141">
        <f t="shared" si="156"/>
        <v>41600</v>
      </c>
      <c r="EA140" s="4">
        <f t="shared" si="157"/>
        <v>12</v>
      </c>
      <c r="EB140" s="9">
        <f>D140*'MASTER SHEET'!D140</f>
        <v>1936</v>
      </c>
      <c r="EC140" s="9">
        <f>H140*'MASTER SHEET'!D140</f>
        <v>1936</v>
      </c>
      <c r="ED140" s="9">
        <f>L140*'MASTER SHEET'!D140</f>
        <v>1936</v>
      </c>
      <c r="EE140" s="9">
        <f>P140*'MASTER SHEET'!D140</f>
        <v>1936</v>
      </c>
      <c r="EF140" s="9">
        <f>T140*'MASTER SHEET'!D140</f>
        <v>0</v>
      </c>
      <c r="EG140" s="9">
        <f>X140*'MASTER SHEET'!D140</f>
        <v>32374.76</v>
      </c>
      <c r="EH140" s="9">
        <f>AB140*'MASTER SHEET'!D140</f>
        <v>6548.5199999999995</v>
      </c>
      <c r="EI140" s="9">
        <f>AF140*'MASTER SHEET'!D140</f>
        <v>6548.5199999999995</v>
      </c>
      <c r="EJ140" s="9">
        <f>AJ140*'MASTER SHEET'!D140</f>
        <v>6548.5199999999995</v>
      </c>
      <c r="EK140" s="9">
        <f>AN140*'MASTER SHEET'!D140</f>
        <v>25908.52</v>
      </c>
      <c r="EL140" s="9">
        <f>AR140*'MASTER SHEET'!D140</f>
        <v>8484.52</v>
      </c>
      <c r="EM140" s="9">
        <f>AV140*'MASTER SHEET'!D140</f>
        <v>20579.68</v>
      </c>
      <c r="EN140" s="9">
        <f>AZ140*'MASTER SHEET'!D140</f>
        <v>20579.68</v>
      </c>
      <c r="EO140" s="9">
        <f>BD140*'MASTER SHEET'!D140</f>
        <v>30743.68</v>
      </c>
      <c r="EP140" s="9">
        <f>$BH140*'MASTER SHEET'!$D140</f>
        <v>27827.579999999998</v>
      </c>
      <c r="EQ140" s="9">
        <f>BL140*'MASTER SHEET'!D140</f>
        <v>16199.48</v>
      </c>
      <c r="ER140" s="9">
        <f>BP140*'MASTER SHEET'!D140</f>
        <v>7487.48</v>
      </c>
      <c r="ES140" s="9">
        <f>BT140*'MASTER SHEET'!D140</f>
        <v>7487.48</v>
      </c>
      <c r="ET140" s="9">
        <f>BX140*'MASTER SHEET'!D140</f>
        <v>7487.48</v>
      </c>
      <c r="EU140" s="9">
        <f>CB140*'MASTER SHEET'!D140</f>
        <v>7487.48</v>
      </c>
      <c r="EV140" s="9">
        <f>CF140*'MASTER SHEET'!D140</f>
        <v>7487.48</v>
      </c>
      <c r="EW140" s="9">
        <f>CJ140*'MASTER SHEET'!D140</f>
        <v>7487.48</v>
      </c>
      <c r="EX140" s="9">
        <f>CN140*'MASTER SHEET'!D140</f>
        <v>7487.48</v>
      </c>
      <c r="EY140" s="9">
        <f>CR140*'MASTER SHEET'!D140</f>
        <v>7487.48</v>
      </c>
      <c r="EZ140" s="9">
        <f>$CV140*'MASTER SHEET'!D140</f>
        <v>7487.48</v>
      </c>
      <c r="FA140" s="9">
        <f>CZ140*'MASTER SHEET'!D140</f>
        <v>7487.48</v>
      </c>
      <c r="FB140" s="9">
        <f>DD140*'MASTER SHEET'!D140</f>
        <v>7487.48</v>
      </c>
      <c r="FC140" s="9">
        <f>DH140*'MASTER SHEET'!D140</f>
        <v>7487.48</v>
      </c>
      <c r="FD140" s="9">
        <f>DL140*'MASTER SHEET'!D140</f>
        <v>7487.48</v>
      </c>
      <c r="FE140" s="9">
        <f>DP140*'MASTER SHEET'!D140</f>
        <v>7487.48</v>
      </c>
      <c r="FF140" s="9">
        <f>DT140*'MASTER SHEET'!D140</f>
        <v>7487.48</v>
      </c>
      <c r="FG140" s="9">
        <f>+DX140*'MASTER SHEET'!D140</f>
        <v>7487.48</v>
      </c>
    </row>
    <row r="141" spans="1:163" ht="20.25" customHeight="1" x14ac:dyDescent="0.25">
      <c r="A141" s="25">
        <f>'MASTER SHEET'!A141</f>
        <v>139</v>
      </c>
      <c r="B141" s="168" t="str">
        <f>'MASTER SHEET'!B141</f>
        <v>W601 HOUSING FOR PUSH PUSH</v>
      </c>
      <c r="C141" s="169" t="str">
        <f>'MASTER SHEET'!C141</f>
        <v>BB00004913</v>
      </c>
      <c r="D141" s="159">
        <v>536</v>
      </c>
      <c r="E141" s="28">
        <f>PRODUCTION!F141+'SUPLIER INWARD'!F141</f>
        <v>822</v>
      </c>
      <c r="F141" s="28"/>
      <c r="G141" s="29">
        <v>0</v>
      </c>
      <c r="H141" s="30">
        <f t="shared" si="159"/>
        <v>1358</v>
      </c>
      <c r="I141" s="28">
        <f>PRODUCTION!J141+'SUPLIER INWARD'!J141</f>
        <v>0</v>
      </c>
      <c r="J141" s="28">
        <v>600</v>
      </c>
      <c r="K141" s="29">
        <v>0</v>
      </c>
      <c r="L141" s="30">
        <f t="shared" si="160"/>
        <v>758</v>
      </c>
      <c r="M141" s="28">
        <f>PRODUCTION!N141+'SUPLIER INWARD'!N141</f>
        <v>0</v>
      </c>
      <c r="N141" s="58"/>
      <c r="O141" s="29"/>
      <c r="P141" s="30">
        <f t="shared" si="161"/>
        <v>758</v>
      </c>
      <c r="Q141" s="28">
        <f>PRODUCTION!R141+'SUPLIER INWARD'!R141</f>
        <v>0</v>
      </c>
      <c r="R141" s="58"/>
      <c r="S141" s="29">
        <v>0</v>
      </c>
      <c r="T141" s="30">
        <f t="shared" si="162"/>
        <v>758</v>
      </c>
      <c r="U141" s="28">
        <f>PRODUCTION!V141+'SUPLIER INWARD'!V141</f>
        <v>0</v>
      </c>
      <c r="V141" s="58">
        <v>0</v>
      </c>
      <c r="W141" s="29">
        <v>0</v>
      </c>
      <c r="X141" s="30">
        <f t="shared" si="163"/>
        <v>758</v>
      </c>
      <c r="Y141" s="28">
        <f>PRODUCTION!Z141+'SUPLIER INWARD'!Z141</f>
        <v>0</v>
      </c>
      <c r="Z141" s="58">
        <v>0</v>
      </c>
      <c r="AA141" s="29">
        <v>0</v>
      </c>
      <c r="AB141" s="30">
        <f t="shared" si="164"/>
        <v>758</v>
      </c>
      <c r="AC141" s="28">
        <f>PRODUCTION!AD141+'SUPLIER INWARD'!AD141</f>
        <v>0</v>
      </c>
      <c r="AD141" s="58">
        <v>0</v>
      </c>
      <c r="AE141" s="29">
        <v>0</v>
      </c>
      <c r="AF141" s="30">
        <f t="shared" si="165"/>
        <v>758</v>
      </c>
      <c r="AG141" s="28">
        <f>PRODUCTION!AH141+'SUPLIER INWARD'!AH141</f>
        <v>0</v>
      </c>
      <c r="AH141" s="58">
        <v>0</v>
      </c>
      <c r="AI141" s="29">
        <v>0</v>
      </c>
      <c r="AJ141" s="30">
        <f t="shared" si="166"/>
        <v>758</v>
      </c>
      <c r="AK141" s="28">
        <f>PRODUCTION!AL141+'SUPLIER INWARD'!AL141</f>
        <v>0</v>
      </c>
      <c r="AL141" s="58">
        <v>0</v>
      </c>
      <c r="AM141" s="29">
        <v>0</v>
      </c>
      <c r="AN141" s="30">
        <f t="shared" si="167"/>
        <v>758</v>
      </c>
      <c r="AO141" s="28">
        <f>PRODUCTION!AP141+'SUPLIER INWARD'!AP141</f>
        <v>0</v>
      </c>
      <c r="AP141" s="28"/>
      <c r="AQ141" s="29">
        <v>0</v>
      </c>
      <c r="AR141" s="30">
        <f t="shared" si="168"/>
        <v>758</v>
      </c>
      <c r="AS141" s="28">
        <f>PRODUCTION!AT141+'SUPLIER INWARD'!AT141</f>
        <v>0</v>
      </c>
      <c r="AT141" s="28">
        <v>0</v>
      </c>
      <c r="AU141" s="29">
        <v>0</v>
      </c>
      <c r="AV141" s="30">
        <f t="shared" si="169"/>
        <v>758</v>
      </c>
      <c r="AW141" s="28">
        <f>PRODUCTION!AX141+'SUPLIER INWARD'!AX141</f>
        <v>0</v>
      </c>
      <c r="AX141" s="28"/>
      <c r="AY141" s="29"/>
      <c r="AZ141" s="30">
        <f t="shared" si="170"/>
        <v>758</v>
      </c>
      <c r="BA141" s="28">
        <f>PRODUCTION!BB141+'SUPLIER INWARD'!BB141</f>
        <v>0</v>
      </c>
      <c r="BB141" s="58">
        <v>0</v>
      </c>
      <c r="BC141" s="29">
        <v>0</v>
      </c>
      <c r="BD141" s="30">
        <f t="shared" si="171"/>
        <v>758</v>
      </c>
      <c r="BE141" s="28">
        <f>PRODUCTION!BF141+'SUPLIER INWARD'!BF141</f>
        <v>0</v>
      </c>
      <c r="BF141" s="58"/>
      <c r="BG141" s="29">
        <v>0</v>
      </c>
      <c r="BH141" s="30">
        <f t="shared" si="172"/>
        <v>758</v>
      </c>
      <c r="BI141" s="28">
        <f>PRODUCTION!BJ141+'SUPLIER INWARD'!BJ141</f>
        <v>0</v>
      </c>
      <c r="BJ141" s="58">
        <v>0</v>
      </c>
      <c r="BK141" s="29">
        <v>0</v>
      </c>
      <c r="BL141" s="30">
        <f t="shared" si="173"/>
        <v>758</v>
      </c>
      <c r="BM141" s="28">
        <f>PRODUCTION!BN141+'SUPLIER INWARD'!BN141</f>
        <v>0</v>
      </c>
      <c r="BN141" s="58">
        <v>0</v>
      </c>
      <c r="BO141" s="29">
        <v>0</v>
      </c>
      <c r="BP141" s="30">
        <f t="shared" si="174"/>
        <v>758</v>
      </c>
      <c r="BQ141" s="28">
        <f>PRODUCTION!BR141+'SUPLIER INWARD'!BR141</f>
        <v>0</v>
      </c>
      <c r="BR141" s="58">
        <v>0</v>
      </c>
      <c r="BS141" s="29">
        <v>0</v>
      </c>
      <c r="BT141" s="30">
        <f t="shared" si="175"/>
        <v>758</v>
      </c>
      <c r="BU141" s="28">
        <f>PRODUCTION!BV141+'SUPLIER INWARD'!BV141</f>
        <v>0</v>
      </c>
      <c r="BV141" s="58">
        <v>0</v>
      </c>
      <c r="BW141" s="29">
        <v>0</v>
      </c>
      <c r="BX141" s="30">
        <f t="shared" si="176"/>
        <v>758</v>
      </c>
      <c r="BY141" s="28">
        <f>PRODUCTION!BZ141+'SUPLIER INWARD'!BZ141</f>
        <v>0</v>
      </c>
      <c r="BZ141" s="58"/>
      <c r="CA141" s="29">
        <v>0</v>
      </c>
      <c r="CB141" s="30">
        <f t="shared" si="177"/>
        <v>758</v>
      </c>
      <c r="CC141" s="28">
        <f>PRODUCTION!CD141+'SUPLIER INWARD'!CD141</f>
        <v>789</v>
      </c>
      <c r="CD141" s="58">
        <v>0</v>
      </c>
      <c r="CE141" s="29">
        <v>0</v>
      </c>
      <c r="CF141" s="30">
        <f t="shared" si="178"/>
        <v>1547</v>
      </c>
      <c r="CG141" s="28">
        <f>PRODUCTION!CH141+'SUPLIER INWARD'!CH141</f>
        <v>3430</v>
      </c>
      <c r="CH141" s="58">
        <v>0</v>
      </c>
      <c r="CI141" s="29">
        <v>0</v>
      </c>
      <c r="CJ141" s="30">
        <f t="shared" si="179"/>
        <v>4977</v>
      </c>
      <c r="CK141" s="28">
        <f>PRODUCTION!CL141+'SUPLIER INWARD'!CL141</f>
        <v>1314</v>
      </c>
      <c r="CL141" s="58">
        <v>5400</v>
      </c>
      <c r="CM141" s="152">
        <v>0</v>
      </c>
      <c r="CN141" s="30">
        <f t="shared" si="180"/>
        <v>891</v>
      </c>
      <c r="CO141" s="28">
        <f>PRODUCTION!CP141+'SUPLIER INWARD'!CP141</f>
        <v>2812</v>
      </c>
      <c r="CP141" s="58">
        <v>0</v>
      </c>
      <c r="CQ141" s="29">
        <v>0</v>
      </c>
      <c r="CR141" s="30">
        <f t="shared" si="181"/>
        <v>3703</v>
      </c>
      <c r="CS141" s="28">
        <f>PRODUCTION!CT141+'SUPLIER INWARD'!CT141</f>
        <v>314</v>
      </c>
      <c r="CT141" s="28">
        <v>0</v>
      </c>
      <c r="CU141" s="29">
        <v>0</v>
      </c>
      <c r="CV141" s="30">
        <f t="shared" si="182"/>
        <v>4017</v>
      </c>
      <c r="CW141" s="28">
        <f>PRODUCTION!CX141+'SUPLIER INWARD'!CX141</f>
        <v>0</v>
      </c>
      <c r="CX141" s="58">
        <v>0</v>
      </c>
      <c r="CY141" s="29">
        <v>0</v>
      </c>
      <c r="CZ141" s="30">
        <f t="shared" si="183"/>
        <v>4017</v>
      </c>
      <c r="DA141" s="28">
        <f>PRODUCTION!DB141+'SUPLIER INWARD'!DB141</f>
        <v>0</v>
      </c>
      <c r="DB141" s="58"/>
      <c r="DC141" s="29"/>
      <c r="DD141" s="30">
        <f t="shared" si="184"/>
        <v>4017</v>
      </c>
      <c r="DE141" s="28">
        <f>PRODUCTION!DF141+'SUPLIER INWARD'!DF141</f>
        <v>0</v>
      </c>
      <c r="DF141" s="58">
        <v>0</v>
      </c>
      <c r="DG141" s="29">
        <v>0</v>
      </c>
      <c r="DH141" s="30">
        <f t="shared" si="185"/>
        <v>4017</v>
      </c>
      <c r="DI141" s="28">
        <f>PRODUCTION!DJ141+'SUPLIER INWARD'!DJ141</f>
        <v>0</v>
      </c>
      <c r="DJ141" s="58">
        <v>0</v>
      </c>
      <c r="DK141" s="29">
        <v>0</v>
      </c>
      <c r="DL141" s="30">
        <f t="shared" si="186"/>
        <v>4017</v>
      </c>
      <c r="DM141" s="28">
        <f>PRODUCTION!DN141+'SUPLIER INWARD'!DN141</f>
        <v>0</v>
      </c>
      <c r="DN141" s="58">
        <v>1600</v>
      </c>
      <c r="DO141" s="29"/>
      <c r="DP141" s="30">
        <f t="shared" si="187"/>
        <v>2417</v>
      </c>
      <c r="DQ141" s="28">
        <f>PRODUCTION!DR141+'SUPLIER INWARD'!DR141</f>
        <v>0</v>
      </c>
      <c r="DR141" s="57"/>
      <c r="DS141" s="29"/>
      <c r="DT141" s="30">
        <f t="shared" si="188"/>
        <v>2417</v>
      </c>
      <c r="DU141" s="28">
        <f>PRODUCTION!DV141+'SUPLIER INWARD'!DV141</f>
        <v>0</v>
      </c>
      <c r="DV141" s="58"/>
      <c r="DW141" s="29"/>
      <c r="DX141" s="30">
        <f t="shared" si="189"/>
        <v>2417</v>
      </c>
      <c r="DY141" s="141">
        <f t="shared" si="158"/>
        <v>9481</v>
      </c>
      <c r="DZ141" s="141">
        <f t="shared" ref="DZ141:DZ172" si="190">F141+J141+N141+R141+V141+Z141+AD141+AH141+AL141+AP141+AT141+AX141+BB141+BF141+BJ141+BN141+BR141+BV141+BZ141+CD141+CH141+CL141+CP141+CT141+CX141+DB141+DF141+DJ141+DN141+DR141+DV141</f>
        <v>7600</v>
      </c>
      <c r="EA141" s="4">
        <f t="shared" ref="EA141:EA172" si="191">G141+K141+O141+S141+W141+AA141+AE141+AI141+AM141+AQ141+AU141+AY141+BC141+BG141+BK141+BO141+BS141+BW141+CA141+CE141+CI141+CM141+CQ141+CU141+CY141+DC141+DG141+DK141+DO141+DS141+DW141</f>
        <v>0</v>
      </c>
      <c r="EB141" s="9">
        <f>D141*'MASTER SHEET'!D141</f>
        <v>8752.8799999999992</v>
      </c>
      <c r="EC141" s="9">
        <f>H141*'MASTER SHEET'!D141</f>
        <v>22176.14</v>
      </c>
      <c r="ED141" s="9">
        <f>L141*'MASTER SHEET'!D141</f>
        <v>12378.14</v>
      </c>
      <c r="EE141" s="9">
        <f>P141*'MASTER SHEET'!D141</f>
        <v>12378.14</v>
      </c>
      <c r="EF141" s="9">
        <f>T141*'MASTER SHEET'!D141</f>
        <v>12378.14</v>
      </c>
      <c r="EG141" s="9">
        <f>X141*'MASTER SHEET'!D141</f>
        <v>12378.14</v>
      </c>
      <c r="EH141" s="9">
        <f>AB141*'MASTER SHEET'!D141</f>
        <v>12378.14</v>
      </c>
      <c r="EI141" s="9">
        <f>AF141*'MASTER SHEET'!D141</f>
        <v>12378.14</v>
      </c>
      <c r="EJ141" s="9">
        <f>AJ141*'MASTER SHEET'!D141</f>
        <v>12378.14</v>
      </c>
      <c r="EK141" s="9">
        <f>AN141*'MASTER SHEET'!D141</f>
        <v>12378.14</v>
      </c>
      <c r="EL141" s="9">
        <f>AR141*'MASTER SHEET'!D141</f>
        <v>12378.14</v>
      </c>
      <c r="EM141" s="9">
        <f>AV141*'MASTER SHEET'!D141</f>
        <v>12378.14</v>
      </c>
      <c r="EN141" s="9">
        <f>AZ141*'MASTER SHEET'!D141</f>
        <v>12378.14</v>
      </c>
      <c r="EO141" s="9">
        <f>BD141*'MASTER SHEET'!D141</f>
        <v>12378.14</v>
      </c>
      <c r="EP141" s="9">
        <f>$BH141*'MASTER SHEET'!$D141</f>
        <v>12378.14</v>
      </c>
      <c r="EQ141" s="9">
        <f>BL141*'MASTER SHEET'!D141</f>
        <v>12378.14</v>
      </c>
      <c r="ER141" s="9">
        <f>BP141*'MASTER SHEET'!D141</f>
        <v>12378.14</v>
      </c>
      <c r="ES141" s="9">
        <f>BT141*'MASTER SHEET'!D141</f>
        <v>12378.14</v>
      </c>
      <c r="ET141" s="9">
        <f>BX141*'MASTER SHEET'!D141</f>
        <v>12378.14</v>
      </c>
      <c r="EU141" s="9">
        <f>CB141*'MASTER SHEET'!D141</f>
        <v>12378.14</v>
      </c>
      <c r="EV141" s="9">
        <f>CF141*'MASTER SHEET'!D141</f>
        <v>25262.51</v>
      </c>
      <c r="EW141" s="9">
        <f>CJ141*'MASTER SHEET'!D141</f>
        <v>81274.409999999989</v>
      </c>
      <c r="EX141" s="9">
        <f>CN141*'MASTER SHEET'!D141</f>
        <v>14550.029999999999</v>
      </c>
      <c r="EY141" s="9">
        <f>CR141*'MASTER SHEET'!D141</f>
        <v>60469.989999999991</v>
      </c>
      <c r="EZ141" s="9">
        <f>$CV141*'MASTER SHEET'!D141</f>
        <v>65597.609999999986</v>
      </c>
      <c r="FA141" s="9">
        <f>CZ141*'MASTER SHEET'!D141</f>
        <v>65597.609999999986</v>
      </c>
      <c r="FB141" s="9">
        <f>DD141*'MASTER SHEET'!D141</f>
        <v>65597.609999999986</v>
      </c>
      <c r="FC141" s="9">
        <f>DH141*'MASTER SHEET'!D141</f>
        <v>65597.609999999986</v>
      </c>
      <c r="FD141" s="9">
        <f>DL141*'MASTER SHEET'!D141</f>
        <v>65597.609999999986</v>
      </c>
      <c r="FE141" s="9">
        <f>DP141*'MASTER SHEET'!D141</f>
        <v>39469.609999999993</v>
      </c>
      <c r="FF141" s="9">
        <f>DT141*'MASTER SHEET'!D141</f>
        <v>39469.609999999993</v>
      </c>
      <c r="FG141" s="9">
        <f>+DX141*'MASTER SHEET'!D141</f>
        <v>39469.609999999993</v>
      </c>
    </row>
    <row r="142" spans="1:163" ht="20.25" customHeight="1" x14ac:dyDescent="0.25">
      <c r="A142" s="25">
        <f>'MASTER SHEET'!A142</f>
        <v>140</v>
      </c>
      <c r="B142" s="168" t="str">
        <f>'MASTER SHEET'!B142</f>
        <v>W601 HOUSING SEAL LH</v>
      </c>
      <c r="C142" s="169" t="str">
        <f>'MASTER SHEET'!C142</f>
        <v>BB00005299</v>
      </c>
      <c r="D142" s="159">
        <v>700</v>
      </c>
      <c r="E142" s="28">
        <f>PRODUCTION!F142+'SUPLIER INWARD'!F142</f>
        <v>1352</v>
      </c>
      <c r="F142" s="28">
        <v>400</v>
      </c>
      <c r="G142" s="29">
        <v>0</v>
      </c>
      <c r="H142" s="30">
        <f t="shared" si="159"/>
        <v>1652</v>
      </c>
      <c r="I142" s="28">
        <f>PRODUCTION!J142+'SUPLIER INWARD'!J142</f>
        <v>2968</v>
      </c>
      <c r="J142" s="28">
        <v>1800</v>
      </c>
      <c r="K142" s="29">
        <v>8</v>
      </c>
      <c r="L142" s="30">
        <f t="shared" si="160"/>
        <v>2812</v>
      </c>
      <c r="M142" s="28">
        <f>PRODUCTION!N142+'SUPLIER INWARD'!N142</f>
        <v>0</v>
      </c>
      <c r="N142" s="58"/>
      <c r="O142" s="29"/>
      <c r="P142" s="30">
        <f t="shared" si="161"/>
        <v>2812</v>
      </c>
      <c r="Q142" s="28">
        <f>PRODUCTION!R142+'SUPLIER INWARD'!R142</f>
        <v>2905</v>
      </c>
      <c r="R142" s="58">
        <v>2700</v>
      </c>
      <c r="S142" s="29">
        <v>8</v>
      </c>
      <c r="T142" s="30">
        <f t="shared" si="162"/>
        <v>3009</v>
      </c>
      <c r="U142" s="28">
        <f>PRODUCTION!V142+'SUPLIER INWARD'!V142</f>
        <v>3281</v>
      </c>
      <c r="V142" s="58">
        <v>1800</v>
      </c>
      <c r="W142" s="29">
        <v>0</v>
      </c>
      <c r="X142" s="30">
        <f t="shared" si="163"/>
        <v>4490</v>
      </c>
      <c r="Y142" s="28">
        <f>PRODUCTION!Z142+'SUPLIER INWARD'!Z142</f>
        <v>1669</v>
      </c>
      <c r="Z142" s="58">
        <v>3600</v>
      </c>
      <c r="AA142" s="29">
        <v>0</v>
      </c>
      <c r="AB142" s="30">
        <f t="shared" si="164"/>
        <v>2559</v>
      </c>
      <c r="AC142" s="28">
        <f>PRODUCTION!AD142+'SUPLIER INWARD'!AD142</f>
        <v>0</v>
      </c>
      <c r="AD142" s="58">
        <v>0</v>
      </c>
      <c r="AE142" s="29">
        <v>0</v>
      </c>
      <c r="AF142" s="30">
        <f t="shared" si="165"/>
        <v>2559</v>
      </c>
      <c r="AG142" s="28">
        <f>PRODUCTION!AH142+'SUPLIER INWARD'!AH142</f>
        <v>0</v>
      </c>
      <c r="AH142" s="58">
        <v>0</v>
      </c>
      <c r="AI142" s="29">
        <v>0</v>
      </c>
      <c r="AJ142" s="30">
        <f t="shared" si="166"/>
        <v>2559</v>
      </c>
      <c r="AK142" s="28">
        <f>PRODUCTION!AL142+'SUPLIER INWARD'!AL142</f>
        <v>0</v>
      </c>
      <c r="AL142" s="58">
        <v>0</v>
      </c>
      <c r="AM142" s="29">
        <v>0</v>
      </c>
      <c r="AN142" s="30">
        <f t="shared" si="167"/>
        <v>2559</v>
      </c>
      <c r="AO142" s="28">
        <f>PRODUCTION!AP142+'SUPLIER INWARD'!AP142</f>
        <v>3196</v>
      </c>
      <c r="AP142" s="28">
        <v>1800</v>
      </c>
      <c r="AQ142" s="29">
        <v>2</v>
      </c>
      <c r="AR142" s="30">
        <f t="shared" si="168"/>
        <v>3953</v>
      </c>
      <c r="AS142" s="28">
        <f>PRODUCTION!AT142+'SUPLIER INWARD'!AT142</f>
        <v>3206</v>
      </c>
      <c r="AT142" s="28">
        <v>1800</v>
      </c>
      <c r="AU142" s="29">
        <v>92</v>
      </c>
      <c r="AV142" s="30">
        <f t="shared" si="169"/>
        <v>5267</v>
      </c>
      <c r="AW142" s="28">
        <f>PRODUCTION!AX142+'SUPLIER INWARD'!AX142</f>
        <v>0</v>
      </c>
      <c r="AX142" s="28"/>
      <c r="AY142" s="29"/>
      <c r="AZ142" s="30">
        <f t="shared" si="170"/>
        <v>5267</v>
      </c>
      <c r="BA142" s="28">
        <f>PRODUCTION!BB142+'SUPLIER INWARD'!BB142</f>
        <v>1447</v>
      </c>
      <c r="BB142" s="58">
        <v>3600</v>
      </c>
      <c r="BC142" s="29">
        <v>60</v>
      </c>
      <c r="BD142" s="30">
        <f t="shared" si="171"/>
        <v>3054</v>
      </c>
      <c r="BE142" s="28">
        <f>PRODUCTION!BF142+'SUPLIER INWARD'!BF142</f>
        <v>2834</v>
      </c>
      <c r="BF142" s="58">
        <v>1800</v>
      </c>
      <c r="BG142" s="29">
        <v>0</v>
      </c>
      <c r="BH142" s="30">
        <f t="shared" si="172"/>
        <v>4088</v>
      </c>
      <c r="BI142" s="28">
        <f>PRODUCTION!BJ142+'SUPLIER INWARD'!BJ142</f>
        <v>849</v>
      </c>
      <c r="BJ142" s="58">
        <v>1800</v>
      </c>
      <c r="BK142" s="29">
        <v>0</v>
      </c>
      <c r="BL142" s="30">
        <f t="shared" si="173"/>
        <v>3137</v>
      </c>
      <c r="BM142" s="28">
        <f>PRODUCTION!BN142+'SUPLIER INWARD'!BN142</f>
        <v>0</v>
      </c>
      <c r="BN142" s="58">
        <v>0</v>
      </c>
      <c r="BO142" s="29">
        <v>0</v>
      </c>
      <c r="BP142" s="30">
        <f t="shared" si="174"/>
        <v>3137</v>
      </c>
      <c r="BQ142" s="28">
        <f>PRODUCTION!BR142+'SUPLIER INWARD'!BR142</f>
        <v>0</v>
      </c>
      <c r="BR142" s="58">
        <v>0</v>
      </c>
      <c r="BS142" s="29">
        <v>23</v>
      </c>
      <c r="BT142" s="30">
        <f t="shared" si="175"/>
        <v>3114</v>
      </c>
      <c r="BU142" s="28">
        <f>PRODUCTION!BV142+'SUPLIER INWARD'!BV142</f>
        <v>0</v>
      </c>
      <c r="BV142" s="58">
        <v>0</v>
      </c>
      <c r="BW142" s="29">
        <v>0</v>
      </c>
      <c r="BX142" s="30">
        <f t="shared" si="176"/>
        <v>3114</v>
      </c>
      <c r="BY142" s="28">
        <f>PRODUCTION!BZ142+'SUPLIER INWARD'!BZ142</f>
        <v>0</v>
      </c>
      <c r="BZ142" s="58"/>
      <c r="CA142" s="29">
        <v>0</v>
      </c>
      <c r="CB142" s="30">
        <f t="shared" si="177"/>
        <v>3114</v>
      </c>
      <c r="CC142" s="28">
        <f>PRODUCTION!CD142+'SUPLIER INWARD'!CD142</f>
        <v>0</v>
      </c>
      <c r="CD142" s="58">
        <v>0</v>
      </c>
      <c r="CE142" s="29">
        <v>0</v>
      </c>
      <c r="CF142" s="30">
        <f t="shared" si="178"/>
        <v>3114</v>
      </c>
      <c r="CG142" s="28">
        <f>PRODUCTION!CH142+'SUPLIER INWARD'!CH142</f>
        <v>0</v>
      </c>
      <c r="CH142" s="58">
        <v>0</v>
      </c>
      <c r="CI142" s="29">
        <v>0</v>
      </c>
      <c r="CJ142" s="30">
        <f t="shared" si="179"/>
        <v>3114</v>
      </c>
      <c r="CK142" s="28">
        <f>PRODUCTION!CL142+'SUPLIER INWARD'!CL142</f>
        <v>2990</v>
      </c>
      <c r="CL142" s="58"/>
      <c r="CM142" s="152"/>
      <c r="CN142" s="30">
        <f t="shared" si="180"/>
        <v>6104</v>
      </c>
      <c r="CO142" s="28">
        <f>PRODUCTION!CP142+'SUPLIER INWARD'!CP142</f>
        <v>655</v>
      </c>
      <c r="CP142" s="58">
        <v>1800</v>
      </c>
      <c r="CQ142" s="29">
        <v>0</v>
      </c>
      <c r="CR142" s="30">
        <f t="shared" si="181"/>
        <v>4959</v>
      </c>
      <c r="CS142" s="28">
        <f>PRODUCTION!CT142+'SUPLIER INWARD'!CT142</f>
        <v>0</v>
      </c>
      <c r="CT142" s="28">
        <v>0</v>
      </c>
      <c r="CU142" s="29">
        <v>0</v>
      </c>
      <c r="CV142" s="30">
        <f t="shared" si="182"/>
        <v>4959</v>
      </c>
      <c r="CW142" s="28">
        <f>PRODUCTION!CX142+'SUPLIER INWARD'!CX142</f>
        <v>0</v>
      </c>
      <c r="CX142" s="58">
        <v>0</v>
      </c>
      <c r="CY142" s="29">
        <v>0</v>
      </c>
      <c r="CZ142" s="30">
        <f t="shared" si="183"/>
        <v>4959</v>
      </c>
      <c r="DA142" s="28">
        <f>PRODUCTION!DB142+'SUPLIER INWARD'!DB142</f>
        <v>0</v>
      </c>
      <c r="DB142" s="58"/>
      <c r="DC142" s="29"/>
      <c r="DD142" s="30">
        <f t="shared" si="184"/>
        <v>4959</v>
      </c>
      <c r="DE142" s="28">
        <f>PRODUCTION!DF142+'SUPLIER INWARD'!DF142</f>
        <v>0</v>
      </c>
      <c r="DF142" s="58">
        <v>0</v>
      </c>
      <c r="DG142" s="29">
        <v>0</v>
      </c>
      <c r="DH142" s="30">
        <f t="shared" si="185"/>
        <v>4959</v>
      </c>
      <c r="DI142" s="28">
        <f>PRODUCTION!DJ142+'SUPLIER INWARD'!DJ142</f>
        <v>327</v>
      </c>
      <c r="DJ142" s="58">
        <v>0</v>
      </c>
      <c r="DK142" s="29">
        <v>0</v>
      </c>
      <c r="DL142" s="30">
        <f t="shared" si="186"/>
        <v>5286</v>
      </c>
      <c r="DM142" s="28">
        <f>PRODUCTION!DN142+'SUPLIER INWARD'!DN142</f>
        <v>1865</v>
      </c>
      <c r="DN142" s="58">
        <v>1800</v>
      </c>
      <c r="DO142" s="29"/>
      <c r="DP142" s="30">
        <f t="shared" si="187"/>
        <v>5351</v>
      </c>
      <c r="DQ142" s="28">
        <f>PRODUCTION!DR142+'SUPLIER INWARD'!DR142</f>
        <v>0</v>
      </c>
      <c r="DR142" s="57"/>
      <c r="DS142" s="29"/>
      <c r="DT142" s="30">
        <f t="shared" si="188"/>
        <v>5351</v>
      </c>
      <c r="DU142" s="28">
        <f>PRODUCTION!DV142+'SUPLIER INWARD'!DV142</f>
        <v>0</v>
      </c>
      <c r="DV142" s="58"/>
      <c r="DW142" s="29"/>
      <c r="DX142" s="30">
        <f t="shared" si="189"/>
        <v>5351</v>
      </c>
      <c r="DY142" s="141">
        <f t="shared" ref="DY142:DY173" si="192">E142+I142+M142+Q142+U142+Y142+AC142+AG142+AK142+AO142+AS142+AW142+BA142+BE142+BI142+BM142+BQ142+BU142+BY142+CC142+CG142+CK142+CO142+CS142+CW142+DA142+DE142+DI142+DM142+DQ142+DU142</f>
        <v>29544</v>
      </c>
      <c r="DZ142" s="141">
        <f t="shared" si="190"/>
        <v>24700</v>
      </c>
      <c r="EA142" s="4">
        <f t="shared" si="191"/>
        <v>193</v>
      </c>
      <c r="EB142" s="9">
        <f>D142*'MASTER SHEET'!D142</f>
        <v>3626</v>
      </c>
      <c r="EC142" s="9">
        <f>H142*'MASTER SHEET'!D142</f>
        <v>8557.3599999999988</v>
      </c>
      <c r="ED142" s="9">
        <f>L142*'MASTER SHEET'!D142</f>
        <v>14566.16</v>
      </c>
      <c r="EE142" s="9">
        <f>P142*'MASTER SHEET'!D142</f>
        <v>14566.16</v>
      </c>
      <c r="EF142" s="9">
        <f>T142*'MASTER SHEET'!D142</f>
        <v>15586.619999999999</v>
      </c>
      <c r="EG142" s="9">
        <f>X142*'MASTER SHEET'!D142</f>
        <v>23258.199999999997</v>
      </c>
      <c r="EH142" s="9">
        <f>AB142*'MASTER SHEET'!D142</f>
        <v>13255.619999999999</v>
      </c>
      <c r="EI142" s="9">
        <f>AF142*'MASTER SHEET'!D142</f>
        <v>13255.619999999999</v>
      </c>
      <c r="EJ142" s="9">
        <f>AJ142*'MASTER SHEET'!D142</f>
        <v>13255.619999999999</v>
      </c>
      <c r="EK142" s="9">
        <f>AN142*'MASTER SHEET'!D142</f>
        <v>13255.619999999999</v>
      </c>
      <c r="EL142" s="9">
        <f>AR142*'MASTER SHEET'!D142</f>
        <v>20476.539999999997</v>
      </c>
      <c r="EM142" s="9">
        <f>AV142*'MASTER SHEET'!D142</f>
        <v>27283.059999999998</v>
      </c>
      <c r="EN142" s="9">
        <f>AZ142*'MASTER SHEET'!D142</f>
        <v>27283.059999999998</v>
      </c>
      <c r="EO142" s="9">
        <f>BD142*'MASTER SHEET'!D142</f>
        <v>15819.72</v>
      </c>
      <c r="EP142" s="9">
        <f>$BH142*'MASTER SHEET'!$D142</f>
        <v>21175.84</v>
      </c>
      <c r="EQ142" s="9">
        <f>BL142*'MASTER SHEET'!D142</f>
        <v>16249.66</v>
      </c>
      <c r="ER142" s="9">
        <f>BP142*'MASTER SHEET'!D142</f>
        <v>16249.66</v>
      </c>
      <c r="ES142" s="9">
        <f>BT142*'MASTER SHEET'!D142</f>
        <v>16130.519999999999</v>
      </c>
      <c r="ET142" s="9">
        <f>BX142*'MASTER SHEET'!D142</f>
        <v>16130.519999999999</v>
      </c>
      <c r="EU142" s="9">
        <f>CB142*'MASTER SHEET'!D142</f>
        <v>16130.519999999999</v>
      </c>
      <c r="EV142" s="9">
        <f>CF142*'MASTER SHEET'!D142</f>
        <v>16130.519999999999</v>
      </c>
      <c r="EW142" s="9">
        <f>CJ142*'MASTER SHEET'!D142</f>
        <v>16130.519999999999</v>
      </c>
      <c r="EX142" s="9">
        <f>CN142*'MASTER SHEET'!D142</f>
        <v>31618.719999999998</v>
      </c>
      <c r="EY142" s="9">
        <f>CR142*'MASTER SHEET'!D142</f>
        <v>25687.62</v>
      </c>
      <c r="EZ142" s="9">
        <f>$CV142*'MASTER SHEET'!D142</f>
        <v>25687.62</v>
      </c>
      <c r="FA142" s="9">
        <f>CZ142*'MASTER SHEET'!D142</f>
        <v>25687.62</v>
      </c>
      <c r="FB142" s="9">
        <f>DD142*'MASTER SHEET'!D142</f>
        <v>25687.62</v>
      </c>
      <c r="FC142" s="9">
        <f>DH142*'MASTER SHEET'!D142</f>
        <v>25687.62</v>
      </c>
      <c r="FD142" s="9">
        <f>DL142*'MASTER SHEET'!D142</f>
        <v>27381.48</v>
      </c>
      <c r="FE142" s="9">
        <f>DP142*'MASTER SHEET'!D142</f>
        <v>27718.18</v>
      </c>
      <c r="FF142" s="9">
        <f>DT142*'MASTER SHEET'!D142</f>
        <v>27718.18</v>
      </c>
      <c r="FG142" s="9">
        <f>+DX142*'MASTER SHEET'!D142</f>
        <v>27718.18</v>
      </c>
    </row>
    <row r="143" spans="1:163" ht="20.25" customHeight="1" x14ac:dyDescent="0.25">
      <c r="A143" s="25">
        <f>'MASTER SHEET'!A143</f>
        <v>141</v>
      </c>
      <c r="B143" s="168" t="str">
        <f>'MASTER SHEET'!B143</f>
        <v>W601 HOUSING SEAL RH</v>
      </c>
      <c r="C143" s="169" t="str">
        <f>'MASTER SHEET'!C143</f>
        <v>BC00005292</v>
      </c>
      <c r="D143" s="159">
        <v>420</v>
      </c>
      <c r="E143" s="28">
        <f>PRODUCTION!F143+'SUPLIER INWARD'!F143</f>
        <v>1352</v>
      </c>
      <c r="F143" s="28">
        <v>400</v>
      </c>
      <c r="G143" s="29">
        <v>0</v>
      </c>
      <c r="H143" s="30">
        <f t="shared" si="159"/>
        <v>1372</v>
      </c>
      <c r="I143" s="28">
        <f>PRODUCTION!J143+'SUPLIER INWARD'!J143</f>
        <v>2968</v>
      </c>
      <c r="J143" s="28">
        <v>1800</v>
      </c>
      <c r="K143" s="29">
        <v>0</v>
      </c>
      <c r="L143" s="30">
        <f t="shared" si="160"/>
        <v>2540</v>
      </c>
      <c r="M143" s="28">
        <f>PRODUCTION!N143+'SUPLIER INWARD'!N143</f>
        <v>0</v>
      </c>
      <c r="N143" s="58"/>
      <c r="O143" s="29"/>
      <c r="P143" s="30">
        <f t="shared" si="161"/>
        <v>2540</v>
      </c>
      <c r="Q143" s="28">
        <f>PRODUCTION!R143+'SUPLIER INWARD'!R143</f>
        <v>2905</v>
      </c>
      <c r="R143" s="58">
        <v>2700</v>
      </c>
      <c r="S143" s="29">
        <v>0</v>
      </c>
      <c r="T143" s="30">
        <f t="shared" si="162"/>
        <v>2745</v>
      </c>
      <c r="U143" s="28">
        <f>PRODUCTION!V143+'SUPLIER INWARD'!V143</f>
        <v>3281</v>
      </c>
      <c r="V143" s="58">
        <v>1800</v>
      </c>
      <c r="W143" s="29">
        <v>0</v>
      </c>
      <c r="X143" s="30">
        <f t="shared" si="163"/>
        <v>4226</v>
      </c>
      <c r="Y143" s="28">
        <f>PRODUCTION!Z143+'SUPLIER INWARD'!Z143</f>
        <v>1669</v>
      </c>
      <c r="Z143" s="58">
        <v>3600</v>
      </c>
      <c r="AA143" s="29">
        <v>0</v>
      </c>
      <c r="AB143" s="30">
        <f t="shared" si="164"/>
        <v>2295</v>
      </c>
      <c r="AC143" s="28">
        <f>PRODUCTION!AD143+'SUPLIER INWARD'!AD143</f>
        <v>0</v>
      </c>
      <c r="AD143" s="58">
        <v>0</v>
      </c>
      <c r="AE143" s="29">
        <v>0</v>
      </c>
      <c r="AF143" s="30">
        <f t="shared" si="165"/>
        <v>2295</v>
      </c>
      <c r="AG143" s="28">
        <f>PRODUCTION!AH143+'SUPLIER INWARD'!AH143</f>
        <v>0</v>
      </c>
      <c r="AH143" s="58">
        <v>0</v>
      </c>
      <c r="AI143" s="29">
        <v>0</v>
      </c>
      <c r="AJ143" s="30">
        <f t="shared" si="166"/>
        <v>2295</v>
      </c>
      <c r="AK143" s="28">
        <f>PRODUCTION!AL143+'SUPLIER INWARD'!AL143</f>
        <v>0</v>
      </c>
      <c r="AL143" s="58">
        <v>0</v>
      </c>
      <c r="AM143" s="29">
        <v>0</v>
      </c>
      <c r="AN143" s="30">
        <f t="shared" si="167"/>
        <v>2295</v>
      </c>
      <c r="AO143" s="28">
        <f>PRODUCTION!AP143+'SUPLIER INWARD'!AP143</f>
        <v>3196</v>
      </c>
      <c r="AP143" s="28">
        <v>1800</v>
      </c>
      <c r="AQ143" s="29">
        <v>0</v>
      </c>
      <c r="AR143" s="30">
        <f t="shared" si="168"/>
        <v>3691</v>
      </c>
      <c r="AS143" s="28">
        <f>PRODUCTION!AT143+'SUPLIER INWARD'!AT143</f>
        <v>3206</v>
      </c>
      <c r="AT143" s="28">
        <v>1800</v>
      </c>
      <c r="AU143" s="29">
        <v>0</v>
      </c>
      <c r="AV143" s="30">
        <f t="shared" si="169"/>
        <v>5097</v>
      </c>
      <c r="AW143" s="28">
        <f>PRODUCTION!AX143+'SUPLIER INWARD'!AX143</f>
        <v>0</v>
      </c>
      <c r="AX143" s="28"/>
      <c r="AY143" s="29"/>
      <c r="AZ143" s="30">
        <f t="shared" si="170"/>
        <v>5097</v>
      </c>
      <c r="BA143" s="28">
        <f>PRODUCTION!BB143+'SUPLIER INWARD'!BB143</f>
        <v>1447</v>
      </c>
      <c r="BB143" s="58">
        <v>3600</v>
      </c>
      <c r="BC143" s="29">
        <v>0</v>
      </c>
      <c r="BD143" s="30">
        <f t="shared" si="171"/>
        <v>2944</v>
      </c>
      <c r="BE143" s="28">
        <f>PRODUCTION!BF143+'SUPLIER INWARD'!BF143</f>
        <v>2834</v>
      </c>
      <c r="BF143" s="58">
        <v>1800</v>
      </c>
      <c r="BG143" s="29">
        <v>0</v>
      </c>
      <c r="BH143" s="30">
        <f t="shared" si="172"/>
        <v>3978</v>
      </c>
      <c r="BI143" s="28">
        <f>PRODUCTION!BJ143+'SUPLIER INWARD'!BJ143</f>
        <v>849</v>
      </c>
      <c r="BJ143" s="58">
        <v>1800</v>
      </c>
      <c r="BK143" s="29">
        <v>0</v>
      </c>
      <c r="BL143" s="30">
        <f t="shared" si="173"/>
        <v>3027</v>
      </c>
      <c r="BM143" s="28">
        <f>PRODUCTION!BN143+'SUPLIER INWARD'!BN143</f>
        <v>0</v>
      </c>
      <c r="BN143" s="58">
        <v>0</v>
      </c>
      <c r="BO143" s="29">
        <v>0</v>
      </c>
      <c r="BP143" s="30">
        <f t="shared" si="174"/>
        <v>3027</v>
      </c>
      <c r="BQ143" s="28">
        <f>PRODUCTION!BR143+'SUPLIER INWARD'!BR143</f>
        <v>0</v>
      </c>
      <c r="BR143" s="58">
        <v>0</v>
      </c>
      <c r="BS143" s="29">
        <v>0</v>
      </c>
      <c r="BT143" s="30">
        <f t="shared" si="175"/>
        <v>3027</v>
      </c>
      <c r="BU143" s="28">
        <f>PRODUCTION!BV143+'SUPLIER INWARD'!BV143</f>
        <v>0</v>
      </c>
      <c r="BV143" s="58">
        <v>0</v>
      </c>
      <c r="BW143" s="29">
        <v>0</v>
      </c>
      <c r="BX143" s="30">
        <f t="shared" si="176"/>
        <v>3027</v>
      </c>
      <c r="BY143" s="28">
        <f>PRODUCTION!BZ143+'SUPLIER INWARD'!BZ143</f>
        <v>0</v>
      </c>
      <c r="BZ143" s="58"/>
      <c r="CA143" s="29">
        <v>0</v>
      </c>
      <c r="CB143" s="30">
        <f t="shared" si="177"/>
        <v>3027</v>
      </c>
      <c r="CC143" s="28">
        <f>PRODUCTION!CD143+'SUPLIER INWARD'!CD143</f>
        <v>0</v>
      </c>
      <c r="CD143" s="58">
        <v>0</v>
      </c>
      <c r="CE143" s="29">
        <v>0</v>
      </c>
      <c r="CF143" s="30">
        <f t="shared" si="178"/>
        <v>3027</v>
      </c>
      <c r="CG143" s="28">
        <f>PRODUCTION!CH143+'SUPLIER INWARD'!CH143</f>
        <v>0</v>
      </c>
      <c r="CH143" s="58">
        <v>0</v>
      </c>
      <c r="CI143" s="29">
        <v>0</v>
      </c>
      <c r="CJ143" s="30">
        <f t="shared" si="179"/>
        <v>3027</v>
      </c>
      <c r="CK143" s="28">
        <f>PRODUCTION!CL143+'SUPLIER INWARD'!CL143</f>
        <v>0</v>
      </c>
      <c r="CL143" s="58"/>
      <c r="CM143" s="152"/>
      <c r="CN143" s="30">
        <f t="shared" si="180"/>
        <v>3027</v>
      </c>
      <c r="CO143" s="28">
        <f>PRODUCTION!CP143+'SUPLIER INWARD'!CP143</f>
        <v>655</v>
      </c>
      <c r="CP143" s="58">
        <v>1800</v>
      </c>
      <c r="CQ143" s="29">
        <v>0</v>
      </c>
      <c r="CR143" s="30">
        <f t="shared" si="181"/>
        <v>1882</v>
      </c>
      <c r="CS143" s="28">
        <f>PRODUCTION!CT143+'SUPLIER INWARD'!CT143</f>
        <v>0</v>
      </c>
      <c r="CT143" s="28">
        <v>0</v>
      </c>
      <c r="CU143" s="29">
        <v>0</v>
      </c>
      <c r="CV143" s="30">
        <f t="shared" si="182"/>
        <v>1882</v>
      </c>
      <c r="CW143" s="28">
        <f>PRODUCTION!CX143+'SUPLIER INWARD'!CX143</f>
        <v>0</v>
      </c>
      <c r="CX143" s="58">
        <v>0</v>
      </c>
      <c r="CY143" s="29">
        <v>0</v>
      </c>
      <c r="CZ143" s="30">
        <f t="shared" si="183"/>
        <v>1882</v>
      </c>
      <c r="DA143" s="28">
        <f>PRODUCTION!DB143+'SUPLIER INWARD'!DB143</f>
        <v>0</v>
      </c>
      <c r="DB143" s="58"/>
      <c r="DC143" s="29"/>
      <c r="DD143" s="30">
        <f t="shared" si="184"/>
        <v>1882</v>
      </c>
      <c r="DE143" s="28">
        <f>PRODUCTION!DF143+'SUPLIER INWARD'!DF143</f>
        <v>0</v>
      </c>
      <c r="DF143" s="58">
        <v>0</v>
      </c>
      <c r="DG143" s="29">
        <v>0</v>
      </c>
      <c r="DH143" s="30">
        <f t="shared" si="185"/>
        <v>1882</v>
      </c>
      <c r="DI143" s="28">
        <f>PRODUCTION!DJ143+'SUPLIER INWARD'!DJ143</f>
        <v>327</v>
      </c>
      <c r="DJ143" s="58">
        <v>0</v>
      </c>
      <c r="DK143" s="29">
        <v>0</v>
      </c>
      <c r="DL143" s="30">
        <f t="shared" si="186"/>
        <v>2209</v>
      </c>
      <c r="DM143" s="28">
        <f>PRODUCTION!DN143+'SUPLIER INWARD'!DN143</f>
        <v>1865</v>
      </c>
      <c r="DN143" s="58">
        <v>1800</v>
      </c>
      <c r="DO143" s="29"/>
      <c r="DP143" s="30">
        <f t="shared" si="187"/>
        <v>2274</v>
      </c>
      <c r="DQ143" s="28">
        <f>PRODUCTION!DR143+'SUPLIER INWARD'!DR143</f>
        <v>0</v>
      </c>
      <c r="DR143" s="57"/>
      <c r="DS143" s="29"/>
      <c r="DT143" s="30">
        <f t="shared" si="188"/>
        <v>2274</v>
      </c>
      <c r="DU143" s="28">
        <f>PRODUCTION!DV143+'SUPLIER INWARD'!DV143</f>
        <v>0</v>
      </c>
      <c r="DV143" s="58"/>
      <c r="DW143" s="29"/>
      <c r="DX143" s="30">
        <f t="shared" si="189"/>
        <v>2274</v>
      </c>
      <c r="DY143" s="141">
        <f t="shared" si="192"/>
        <v>26554</v>
      </c>
      <c r="DZ143" s="141">
        <f t="shared" si="190"/>
        <v>24700</v>
      </c>
      <c r="EA143" s="4">
        <f t="shared" si="191"/>
        <v>0</v>
      </c>
      <c r="EB143" s="9">
        <f>D143*'MASTER SHEET'!D143</f>
        <v>2175.6</v>
      </c>
      <c r="EC143" s="9">
        <f>H143*'MASTER SHEET'!D143</f>
        <v>7106.96</v>
      </c>
      <c r="ED143" s="9">
        <f>L143*'MASTER SHEET'!D143</f>
        <v>13157.199999999999</v>
      </c>
      <c r="EE143" s="9">
        <f>P143*'MASTER SHEET'!D143</f>
        <v>13157.199999999999</v>
      </c>
      <c r="EF143" s="9">
        <f>T143*'MASTER SHEET'!D143</f>
        <v>14219.099999999999</v>
      </c>
      <c r="EG143" s="9">
        <f>X143*'MASTER SHEET'!D143</f>
        <v>21890.68</v>
      </c>
      <c r="EH143" s="9">
        <f>AB143*'MASTER SHEET'!D143</f>
        <v>11888.099999999999</v>
      </c>
      <c r="EI143" s="9">
        <f>AF143*'MASTER SHEET'!D143</f>
        <v>11888.099999999999</v>
      </c>
      <c r="EJ143" s="9">
        <f>AJ143*'MASTER SHEET'!D143</f>
        <v>11888.099999999999</v>
      </c>
      <c r="EK143" s="9">
        <f>AN143*'MASTER SHEET'!D143</f>
        <v>11888.099999999999</v>
      </c>
      <c r="EL143" s="9">
        <f>AR143*'MASTER SHEET'!D143</f>
        <v>19119.379999999997</v>
      </c>
      <c r="EM143" s="9">
        <f>AV143*'MASTER SHEET'!D143</f>
        <v>26402.46</v>
      </c>
      <c r="EN143" s="9">
        <f>AZ143*'MASTER SHEET'!D143</f>
        <v>26402.46</v>
      </c>
      <c r="EO143" s="9">
        <f>BD143*'MASTER SHEET'!D143</f>
        <v>15249.919999999998</v>
      </c>
      <c r="EP143" s="9">
        <f>$BH143*'MASTER SHEET'!$D143</f>
        <v>20606.039999999997</v>
      </c>
      <c r="EQ143" s="9">
        <f>BL143*'MASTER SHEET'!D143</f>
        <v>15679.859999999999</v>
      </c>
      <c r="ER143" s="9">
        <f>BP143*'MASTER SHEET'!D143</f>
        <v>15679.859999999999</v>
      </c>
      <c r="ES143" s="9">
        <f>BT143*'MASTER SHEET'!D143</f>
        <v>15679.859999999999</v>
      </c>
      <c r="ET143" s="9">
        <f>BX143*'MASTER SHEET'!D143</f>
        <v>15679.859999999999</v>
      </c>
      <c r="EU143" s="9">
        <f>CB143*'MASTER SHEET'!D143</f>
        <v>15679.859999999999</v>
      </c>
      <c r="EV143" s="9">
        <f>CF143*'MASTER SHEET'!D143</f>
        <v>15679.859999999999</v>
      </c>
      <c r="EW143" s="9">
        <f>CJ143*'MASTER SHEET'!D143</f>
        <v>15679.859999999999</v>
      </c>
      <c r="EX143" s="9">
        <f>CN143*'MASTER SHEET'!D143</f>
        <v>15679.859999999999</v>
      </c>
      <c r="EY143" s="9">
        <f>CR143*'MASTER SHEET'!D143</f>
        <v>9748.76</v>
      </c>
      <c r="EZ143" s="9">
        <f>$CV143*'MASTER SHEET'!D143</f>
        <v>9748.76</v>
      </c>
      <c r="FA143" s="9">
        <f>CZ143*'MASTER SHEET'!D143</f>
        <v>9748.76</v>
      </c>
      <c r="FB143" s="9">
        <f>DD143*'MASTER SHEET'!D143</f>
        <v>9748.76</v>
      </c>
      <c r="FC143" s="9">
        <f>DH143*'MASTER SHEET'!D143</f>
        <v>9748.76</v>
      </c>
      <c r="FD143" s="9">
        <f>DL143*'MASTER SHEET'!D143</f>
        <v>11442.619999999999</v>
      </c>
      <c r="FE143" s="9">
        <f>DP143*'MASTER SHEET'!D143</f>
        <v>11779.32</v>
      </c>
      <c r="FF143" s="9">
        <f>DT143*'MASTER SHEET'!D143</f>
        <v>11779.32</v>
      </c>
      <c r="FG143" s="9">
        <f>+DX143*'MASTER SHEET'!D143</f>
        <v>11779.32</v>
      </c>
    </row>
    <row r="144" spans="1:163" ht="20.25" customHeight="1" x14ac:dyDescent="0.25">
      <c r="A144" s="25">
        <f>'MASTER SHEET'!A144</f>
        <v>142</v>
      </c>
      <c r="B144" s="168" t="str">
        <f>'MASTER SHEET'!B144</f>
        <v>CLAMP BRAKE PIPE</v>
      </c>
      <c r="C144" s="169">
        <f>'MASTER SHEET'!C144</f>
        <v>62598</v>
      </c>
      <c r="D144" s="159">
        <v>6068</v>
      </c>
      <c r="E144" s="28">
        <f>PRODUCTION!F144+'SUPLIER INWARD'!F144</f>
        <v>0</v>
      </c>
      <c r="F144" s="28"/>
      <c r="G144" s="29">
        <v>0</v>
      </c>
      <c r="H144" s="30">
        <f t="shared" si="159"/>
        <v>6068</v>
      </c>
      <c r="I144" s="28">
        <f>PRODUCTION!J144+'SUPLIER INWARD'!J144</f>
        <v>0</v>
      </c>
      <c r="J144" s="28"/>
      <c r="K144" s="29">
        <v>0</v>
      </c>
      <c r="L144" s="30">
        <f t="shared" si="160"/>
        <v>6068</v>
      </c>
      <c r="M144" s="28">
        <f>PRODUCTION!N144+'SUPLIER INWARD'!N144</f>
        <v>0</v>
      </c>
      <c r="N144" s="58"/>
      <c r="O144" s="29"/>
      <c r="P144" s="30">
        <f t="shared" si="161"/>
        <v>6068</v>
      </c>
      <c r="Q144" s="28">
        <f>PRODUCTION!R144+'SUPLIER INWARD'!R144</f>
        <v>0</v>
      </c>
      <c r="R144" s="58"/>
      <c r="S144" s="29">
        <v>0</v>
      </c>
      <c r="T144" s="30">
        <f t="shared" si="162"/>
        <v>6068</v>
      </c>
      <c r="U144" s="28">
        <f>PRODUCTION!V144+'SUPLIER INWARD'!V144</f>
        <v>0</v>
      </c>
      <c r="V144" s="58">
        <v>0</v>
      </c>
      <c r="W144" s="29">
        <v>0</v>
      </c>
      <c r="X144" s="30">
        <f t="shared" si="163"/>
        <v>6068</v>
      </c>
      <c r="Y144" s="28">
        <f>PRODUCTION!Z144+'SUPLIER INWARD'!Z144</f>
        <v>0</v>
      </c>
      <c r="Z144" s="58">
        <v>0</v>
      </c>
      <c r="AA144" s="29">
        <v>0</v>
      </c>
      <c r="AB144" s="30">
        <f t="shared" si="164"/>
        <v>6068</v>
      </c>
      <c r="AC144" s="28">
        <f>PRODUCTION!AD144+'SUPLIER INWARD'!AD144</f>
        <v>0</v>
      </c>
      <c r="AD144" s="58">
        <v>0</v>
      </c>
      <c r="AE144" s="29">
        <v>0</v>
      </c>
      <c r="AF144" s="30">
        <f t="shared" si="165"/>
        <v>6068</v>
      </c>
      <c r="AG144" s="28">
        <f>PRODUCTION!AH144+'SUPLIER INWARD'!AH144</f>
        <v>0</v>
      </c>
      <c r="AH144" s="58">
        <v>0</v>
      </c>
      <c r="AI144" s="29">
        <v>0</v>
      </c>
      <c r="AJ144" s="30">
        <f t="shared" si="166"/>
        <v>6068</v>
      </c>
      <c r="AK144" s="28">
        <f>PRODUCTION!AL144+'SUPLIER INWARD'!AL144</f>
        <v>0</v>
      </c>
      <c r="AL144" s="58">
        <v>0</v>
      </c>
      <c r="AM144" s="29">
        <v>0</v>
      </c>
      <c r="AN144" s="30">
        <f t="shared" si="167"/>
        <v>6068</v>
      </c>
      <c r="AO144" s="28">
        <f>PRODUCTION!AP144+'SUPLIER INWARD'!AP144</f>
        <v>0</v>
      </c>
      <c r="AP144" s="28"/>
      <c r="AQ144" s="29">
        <v>0</v>
      </c>
      <c r="AR144" s="30">
        <f t="shared" si="168"/>
        <v>6068</v>
      </c>
      <c r="AS144" s="28">
        <f>PRODUCTION!AT144+'SUPLIER INWARD'!AT144</f>
        <v>0</v>
      </c>
      <c r="AT144" s="28">
        <v>0</v>
      </c>
      <c r="AU144" s="29">
        <v>0</v>
      </c>
      <c r="AV144" s="30">
        <f t="shared" si="169"/>
        <v>6068</v>
      </c>
      <c r="AW144" s="28">
        <f>PRODUCTION!AX144+'SUPLIER INWARD'!AX144</f>
        <v>0</v>
      </c>
      <c r="AX144" s="28"/>
      <c r="AY144" s="29"/>
      <c r="AZ144" s="30">
        <f t="shared" si="170"/>
        <v>6068</v>
      </c>
      <c r="BA144" s="28">
        <f>PRODUCTION!BB144+'SUPLIER INWARD'!BB144</f>
        <v>0</v>
      </c>
      <c r="BB144" s="58">
        <v>0</v>
      </c>
      <c r="BC144" s="29">
        <v>0</v>
      </c>
      <c r="BD144" s="30">
        <f t="shared" si="171"/>
        <v>6068</v>
      </c>
      <c r="BE144" s="28">
        <f>PRODUCTION!BF144+'SUPLIER INWARD'!BF144</f>
        <v>0</v>
      </c>
      <c r="BF144" s="58"/>
      <c r="BG144" s="29">
        <v>0</v>
      </c>
      <c r="BH144" s="30">
        <f t="shared" si="172"/>
        <v>6068</v>
      </c>
      <c r="BI144" s="28">
        <f>PRODUCTION!BJ144+'SUPLIER INWARD'!BJ144</f>
        <v>0</v>
      </c>
      <c r="BJ144" s="58">
        <v>0</v>
      </c>
      <c r="BK144" s="29">
        <v>0</v>
      </c>
      <c r="BL144" s="30">
        <f t="shared" si="173"/>
        <v>6068</v>
      </c>
      <c r="BM144" s="28">
        <f>PRODUCTION!BN144+'SUPLIER INWARD'!BN144</f>
        <v>0</v>
      </c>
      <c r="BN144" s="58">
        <v>0</v>
      </c>
      <c r="BO144" s="29">
        <v>0</v>
      </c>
      <c r="BP144" s="30">
        <f t="shared" si="174"/>
        <v>6068</v>
      </c>
      <c r="BQ144" s="28">
        <f>PRODUCTION!BR144+'SUPLIER INWARD'!BR144</f>
        <v>0</v>
      </c>
      <c r="BR144" s="58">
        <v>0</v>
      </c>
      <c r="BS144" s="29">
        <v>0</v>
      </c>
      <c r="BT144" s="30">
        <f t="shared" si="175"/>
        <v>6068</v>
      </c>
      <c r="BU144" s="28">
        <f>PRODUCTION!BV144+'SUPLIER INWARD'!BV144</f>
        <v>0</v>
      </c>
      <c r="BV144" s="58">
        <v>0</v>
      </c>
      <c r="BW144" s="29">
        <v>0</v>
      </c>
      <c r="BX144" s="30">
        <f t="shared" si="176"/>
        <v>6068</v>
      </c>
      <c r="BY144" s="28">
        <f>PRODUCTION!BZ144+'SUPLIER INWARD'!BZ144</f>
        <v>0</v>
      </c>
      <c r="BZ144" s="58"/>
      <c r="CA144" s="29">
        <v>0</v>
      </c>
      <c r="CB144" s="30">
        <f t="shared" si="177"/>
        <v>6068</v>
      </c>
      <c r="CC144" s="28">
        <f>PRODUCTION!CD144+'SUPLIER INWARD'!CD144</f>
        <v>0</v>
      </c>
      <c r="CD144" s="58">
        <v>0</v>
      </c>
      <c r="CE144" s="29">
        <v>0</v>
      </c>
      <c r="CF144" s="30">
        <f t="shared" si="178"/>
        <v>6068</v>
      </c>
      <c r="CG144" s="28">
        <f>PRODUCTION!CH144+'SUPLIER INWARD'!CH144</f>
        <v>0</v>
      </c>
      <c r="CH144" s="58">
        <v>0</v>
      </c>
      <c r="CI144" s="29">
        <v>0</v>
      </c>
      <c r="CJ144" s="30">
        <f t="shared" si="179"/>
        <v>6068</v>
      </c>
      <c r="CK144" s="28">
        <f>PRODUCTION!CL144+'SUPLIER INWARD'!CL144</f>
        <v>0</v>
      </c>
      <c r="CL144" s="58"/>
      <c r="CM144" s="152"/>
      <c r="CN144" s="30">
        <f t="shared" si="180"/>
        <v>6068</v>
      </c>
      <c r="CO144" s="28">
        <f>PRODUCTION!CP144+'SUPLIER INWARD'!CP144</f>
        <v>0</v>
      </c>
      <c r="CP144" s="58">
        <v>0</v>
      </c>
      <c r="CQ144" s="29">
        <v>0</v>
      </c>
      <c r="CR144" s="30">
        <f t="shared" si="181"/>
        <v>6068</v>
      </c>
      <c r="CS144" s="28">
        <f>PRODUCTION!CT144+'SUPLIER INWARD'!CT144</f>
        <v>0</v>
      </c>
      <c r="CT144" s="28">
        <v>0</v>
      </c>
      <c r="CU144" s="29">
        <v>0</v>
      </c>
      <c r="CV144" s="30">
        <f t="shared" si="182"/>
        <v>6068</v>
      </c>
      <c r="CW144" s="28">
        <f>PRODUCTION!CX144+'SUPLIER INWARD'!CX144</f>
        <v>0</v>
      </c>
      <c r="CX144" s="58">
        <v>4000</v>
      </c>
      <c r="CY144" s="29">
        <v>108</v>
      </c>
      <c r="CZ144" s="30">
        <f t="shared" si="183"/>
        <v>1960</v>
      </c>
      <c r="DA144" s="28">
        <f>PRODUCTION!DB144+'SUPLIER INWARD'!DB144</f>
        <v>0</v>
      </c>
      <c r="DB144" s="58"/>
      <c r="DC144" s="29"/>
      <c r="DD144" s="30">
        <f t="shared" si="184"/>
        <v>1960</v>
      </c>
      <c r="DE144" s="28">
        <f>PRODUCTION!DF144+'SUPLIER INWARD'!DF144</f>
        <v>0</v>
      </c>
      <c r="DF144" s="58">
        <v>0</v>
      </c>
      <c r="DG144" s="29">
        <v>0</v>
      </c>
      <c r="DH144" s="30">
        <f t="shared" si="185"/>
        <v>1960</v>
      </c>
      <c r="DI144" s="28">
        <f>PRODUCTION!DJ144+'SUPLIER INWARD'!DJ144</f>
        <v>0</v>
      </c>
      <c r="DJ144" s="58">
        <v>0</v>
      </c>
      <c r="DK144" s="29">
        <v>0</v>
      </c>
      <c r="DL144" s="30">
        <f t="shared" si="186"/>
        <v>1960</v>
      </c>
      <c r="DM144" s="28">
        <f>PRODUCTION!DN144+'SUPLIER INWARD'!DN144</f>
        <v>0</v>
      </c>
      <c r="DN144" s="58">
        <v>1000</v>
      </c>
      <c r="DO144" s="29"/>
      <c r="DP144" s="30">
        <f t="shared" si="187"/>
        <v>960</v>
      </c>
      <c r="DQ144" s="28">
        <f>PRODUCTION!DR144+'SUPLIER INWARD'!DR144</f>
        <v>0</v>
      </c>
      <c r="DR144" s="57"/>
      <c r="DS144" s="29"/>
      <c r="DT144" s="30">
        <f t="shared" si="188"/>
        <v>960</v>
      </c>
      <c r="DU144" s="28">
        <f>PRODUCTION!DV144+'SUPLIER INWARD'!DV144</f>
        <v>0</v>
      </c>
      <c r="DV144" s="58"/>
      <c r="DW144" s="29"/>
      <c r="DX144" s="30">
        <f t="shared" si="189"/>
        <v>960</v>
      </c>
      <c r="DY144" s="141">
        <f t="shared" si="192"/>
        <v>0</v>
      </c>
      <c r="DZ144" s="141">
        <f t="shared" si="190"/>
        <v>5000</v>
      </c>
      <c r="EA144" s="4">
        <f t="shared" si="191"/>
        <v>108</v>
      </c>
      <c r="EB144" s="9">
        <f>D144*'MASTER SHEET'!D144</f>
        <v>3822.84</v>
      </c>
      <c r="EC144" s="9">
        <f>H144*'MASTER SHEET'!D144</f>
        <v>3822.84</v>
      </c>
      <c r="ED144" s="9">
        <f>L144*'MASTER SHEET'!D144</f>
        <v>3822.84</v>
      </c>
      <c r="EE144" s="9">
        <f>P144*'MASTER SHEET'!D144</f>
        <v>3822.84</v>
      </c>
      <c r="EF144" s="9">
        <f>T144*'MASTER SHEET'!D144</f>
        <v>3822.84</v>
      </c>
      <c r="EG144" s="9">
        <f>X144*'MASTER SHEET'!D144</f>
        <v>3822.84</v>
      </c>
      <c r="EH144" s="9">
        <f>AB144*'MASTER SHEET'!D144</f>
        <v>3822.84</v>
      </c>
      <c r="EI144" s="9">
        <f>AF144*'MASTER SHEET'!D144</f>
        <v>3822.84</v>
      </c>
      <c r="EJ144" s="9">
        <f>AJ144*'MASTER SHEET'!D144</f>
        <v>3822.84</v>
      </c>
      <c r="EK144" s="9">
        <f>AN144*'MASTER SHEET'!D144</f>
        <v>3822.84</v>
      </c>
      <c r="EL144" s="9">
        <f>AR144*'MASTER SHEET'!D144</f>
        <v>3822.84</v>
      </c>
      <c r="EM144" s="9">
        <f>AV144*'MASTER SHEET'!D144</f>
        <v>3822.84</v>
      </c>
      <c r="EN144" s="9">
        <f>AZ144*'MASTER SHEET'!D144</f>
        <v>3822.84</v>
      </c>
      <c r="EO144" s="9">
        <f>BD144*'MASTER SHEET'!D144</f>
        <v>3822.84</v>
      </c>
      <c r="EP144" s="9">
        <f>$BH144*'MASTER SHEET'!$D144</f>
        <v>3822.84</v>
      </c>
      <c r="EQ144" s="9">
        <f>BL144*'MASTER SHEET'!D144</f>
        <v>3822.84</v>
      </c>
      <c r="ER144" s="9">
        <f>BP144*'MASTER SHEET'!D144</f>
        <v>3822.84</v>
      </c>
      <c r="ES144" s="9">
        <f>BT144*'MASTER SHEET'!D144</f>
        <v>3822.84</v>
      </c>
      <c r="ET144" s="9">
        <f>BX144*'MASTER SHEET'!D144</f>
        <v>3822.84</v>
      </c>
      <c r="EU144" s="9">
        <f>CB144*'MASTER SHEET'!D144</f>
        <v>3822.84</v>
      </c>
      <c r="EV144" s="9">
        <f>CF144*'MASTER SHEET'!D144</f>
        <v>3822.84</v>
      </c>
      <c r="EW144" s="9">
        <f>CJ144*'MASTER SHEET'!D144</f>
        <v>3822.84</v>
      </c>
      <c r="EX144" s="9">
        <f>CN144*'MASTER SHEET'!D144</f>
        <v>3822.84</v>
      </c>
      <c r="EY144" s="9">
        <f>CR144*'MASTER SHEET'!D144</f>
        <v>3822.84</v>
      </c>
      <c r="EZ144" s="9">
        <f>$CV144*'MASTER SHEET'!D144</f>
        <v>3822.84</v>
      </c>
      <c r="FA144" s="9">
        <f>CZ144*'MASTER SHEET'!D144</f>
        <v>1234.8</v>
      </c>
      <c r="FB144" s="9">
        <f>DD144*'MASTER SHEET'!D144</f>
        <v>1234.8</v>
      </c>
      <c r="FC144" s="9">
        <f>DH144*'MASTER SHEET'!D144</f>
        <v>1234.8</v>
      </c>
      <c r="FD144" s="9">
        <f>DL144*'MASTER SHEET'!D144</f>
        <v>1234.8</v>
      </c>
      <c r="FE144" s="9">
        <f>DP144*'MASTER SHEET'!D144</f>
        <v>604.79999999999995</v>
      </c>
      <c r="FF144" s="9">
        <f>DT144*'MASTER SHEET'!D144</f>
        <v>604.79999999999995</v>
      </c>
      <c r="FG144" s="9">
        <f>+DX144*'MASTER SHEET'!D144</f>
        <v>604.79999999999995</v>
      </c>
    </row>
    <row r="145" spans="1:163" ht="20.25" customHeight="1" x14ac:dyDescent="0.25">
      <c r="A145" s="25">
        <f>'MASTER SHEET'!A145</f>
        <v>143</v>
      </c>
      <c r="B145" s="168" t="str">
        <f>'MASTER SHEET'!B145</f>
        <v>CLAMP BRAKE PIPE</v>
      </c>
      <c r="C145" s="169">
        <f>'MASTER SHEET'!C145</f>
        <v>62129</v>
      </c>
      <c r="D145" s="159">
        <v>3081</v>
      </c>
      <c r="E145" s="28">
        <f>PRODUCTION!F145+'SUPLIER INWARD'!F145</f>
        <v>0</v>
      </c>
      <c r="F145" s="28"/>
      <c r="G145" s="29">
        <v>0</v>
      </c>
      <c r="H145" s="30">
        <f t="shared" si="159"/>
        <v>3081</v>
      </c>
      <c r="I145" s="28">
        <f>PRODUCTION!J145+'SUPLIER INWARD'!J145</f>
        <v>0</v>
      </c>
      <c r="J145" s="28"/>
      <c r="K145" s="29">
        <v>0</v>
      </c>
      <c r="L145" s="30">
        <f t="shared" si="160"/>
        <v>3081</v>
      </c>
      <c r="M145" s="28">
        <f>PRODUCTION!N145+'SUPLIER INWARD'!N145</f>
        <v>0</v>
      </c>
      <c r="N145" s="58"/>
      <c r="O145" s="29"/>
      <c r="P145" s="30">
        <f t="shared" si="161"/>
        <v>3081</v>
      </c>
      <c r="Q145" s="28">
        <f>PRODUCTION!R145+'SUPLIER INWARD'!R145</f>
        <v>0</v>
      </c>
      <c r="R145" s="58"/>
      <c r="S145" s="29">
        <v>0</v>
      </c>
      <c r="T145" s="30">
        <f t="shared" si="162"/>
        <v>3081</v>
      </c>
      <c r="U145" s="28">
        <f>PRODUCTION!V145+'SUPLIER INWARD'!V145</f>
        <v>0</v>
      </c>
      <c r="V145" s="58">
        <v>0</v>
      </c>
      <c r="W145" s="29">
        <v>0</v>
      </c>
      <c r="X145" s="30">
        <f t="shared" si="163"/>
        <v>3081</v>
      </c>
      <c r="Y145" s="28">
        <f>PRODUCTION!Z145+'SUPLIER INWARD'!Z145</f>
        <v>0</v>
      </c>
      <c r="Z145" s="58">
        <v>0</v>
      </c>
      <c r="AA145" s="29">
        <v>0</v>
      </c>
      <c r="AB145" s="30">
        <f t="shared" si="164"/>
        <v>3081</v>
      </c>
      <c r="AC145" s="28">
        <f>PRODUCTION!AD145+'SUPLIER INWARD'!AD145</f>
        <v>0</v>
      </c>
      <c r="AD145" s="58">
        <v>0</v>
      </c>
      <c r="AE145" s="29">
        <v>0</v>
      </c>
      <c r="AF145" s="30">
        <f t="shared" si="165"/>
        <v>3081</v>
      </c>
      <c r="AG145" s="28">
        <f>PRODUCTION!AH145+'SUPLIER INWARD'!AH145</f>
        <v>0</v>
      </c>
      <c r="AH145" s="58">
        <v>0</v>
      </c>
      <c r="AI145" s="29">
        <v>0</v>
      </c>
      <c r="AJ145" s="30">
        <f t="shared" si="166"/>
        <v>3081</v>
      </c>
      <c r="AK145" s="28">
        <f>PRODUCTION!AL145+'SUPLIER INWARD'!AL145</f>
        <v>0</v>
      </c>
      <c r="AL145" s="58">
        <v>0</v>
      </c>
      <c r="AM145" s="29">
        <v>0</v>
      </c>
      <c r="AN145" s="30">
        <f t="shared" si="167"/>
        <v>3081</v>
      </c>
      <c r="AO145" s="28">
        <f>PRODUCTION!AP145+'SUPLIER INWARD'!AP145</f>
        <v>0</v>
      </c>
      <c r="AP145" s="28"/>
      <c r="AQ145" s="29">
        <v>0</v>
      </c>
      <c r="AR145" s="30">
        <f t="shared" si="168"/>
        <v>3081</v>
      </c>
      <c r="AS145" s="28">
        <f>PRODUCTION!AT145+'SUPLIER INWARD'!AT145</f>
        <v>0</v>
      </c>
      <c r="AT145" s="28">
        <v>0</v>
      </c>
      <c r="AU145" s="29">
        <v>0</v>
      </c>
      <c r="AV145" s="30">
        <f t="shared" si="169"/>
        <v>3081</v>
      </c>
      <c r="AW145" s="28">
        <f>PRODUCTION!AX145+'SUPLIER INWARD'!AX145</f>
        <v>0</v>
      </c>
      <c r="AX145" s="28"/>
      <c r="AY145" s="29"/>
      <c r="AZ145" s="30">
        <f t="shared" si="170"/>
        <v>3081</v>
      </c>
      <c r="BA145" s="28">
        <f>PRODUCTION!BB145+'SUPLIER INWARD'!BB145</f>
        <v>0</v>
      </c>
      <c r="BB145" s="58">
        <v>0</v>
      </c>
      <c r="BC145" s="29">
        <v>0</v>
      </c>
      <c r="BD145" s="30">
        <f t="shared" si="171"/>
        <v>3081</v>
      </c>
      <c r="BE145" s="28">
        <f>PRODUCTION!BF145+'SUPLIER INWARD'!BF145</f>
        <v>0</v>
      </c>
      <c r="BF145" s="58"/>
      <c r="BG145" s="29">
        <v>0</v>
      </c>
      <c r="BH145" s="30">
        <f t="shared" si="172"/>
        <v>3081</v>
      </c>
      <c r="BI145" s="28">
        <f>PRODUCTION!BJ145+'SUPLIER INWARD'!BJ145</f>
        <v>0</v>
      </c>
      <c r="BJ145" s="58">
        <v>1800</v>
      </c>
      <c r="BK145" s="29">
        <v>3</v>
      </c>
      <c r="BL145" s="30">
        <f t="shared" si="173"/>
        <v>1278</v>
      </c>
      <c r="BM145" s="28">
        <f>PRODUCTION!BN145+'SUPLIER INWARD'!BN145</f>
        <v>4190</v>
      </c>
      <c r="BN145" s="58">
        <v>0</v>
      </c>
      <c r="BO145" s="29">
        <v>0</v>
      </c>
      <c r="BP145" s="30">
        <f t="shared" si="174"/>
        <v>5468</v>
      </c>
      <c r="BQ145" s="28">
        <f>PRODUCTION!BR145+'SUPLIER INWARD'!BR145</f>
        <v>0</v>
      </c>
      <c r="BR145" s="58">
        <v>1800</v>
      </c>
      <c r="BS145" s="29">
        <v>0</v>
      </c>
      <c r="BT145" s="30">
        <f t="shared" si="175"/>
        <v>3668</v>
      </c>
      <c r="BU145" s="28">
        <f>PRODUCTION!BV145+'SUPLIER INWARD'!BV145</f>
        <v>0</v>
      </c>
      <c r="BV145" s="58">
        <v>1800</v>
      </c>
      <c r="BW145" s="29">
        <v>90</v>
      </c>
      <c r="BX145" s="30">
        <f t="shared" si="176"/>
        <v>1778</v>
      </c>
      <c r="BY145" s="28">
        <f>PRODUCTION!BZ145+'SUPLIER INWARD'!BZ145</f>
        <v>0</v>
      </c>
      <c r="BZ145" s="58"/>
      <c r="CA145" s="29">
        <v>0</v>
      </c>
      <c r="CB145" s="30">
        <f t="shared" si="177"/>
        <v>1778</v>
      </c>
      <c r="CC145" s="28">
        <f>PRODUCTION!CD145+'SUPLIER INWARD'!CD145</f>
        <v>2955</v>
      </c>
      <c r="CD145" s="58">
        <v>0</v>
      </c>
      <c r="CE145" s="29">
        <v>0</v>
      </c>
      <c r="CF145" s="30">
        <f t="shared" si="178"/>
        <v>4733</v>
      </c>
      <c r="CG145" s="28">
        <f>PRODUCTION!CH145+'SUPLIER INWARD'!CH145</f>
        <v>7698</v>
      </c>
      <c r="CH145" s="58">
        <v>0</v>
      </c>
      <c r="CI145" s="29">
        <v>0</v>
      </c>
      <c r="CJ145" s="30">
        <f t="shared" si="179"/>
        <v>12431</v>
      </c>
      <c r="CK145" s="28">
        <f>PRODUCTION!CL145+'SUPLIER INWARD'!CL145</f>
        <v>4782</v>
      </c>
      <c r="CL145" s="58">
        <v>3600</v>
      </c>
      <c r="CM145" s="152"/>
      <c r="CN145" s="30">
        <f t="shared" si="180"/>
        <v>13613</v>
      </c>
      <c r="CO145" s="28">
        <f>PRODUCTION!CP145+'SUPLIER INWARD'!CP145</f>
        <v>0</v>
      </c>
      <c r="CP145" s="58">
        <v>0</v>
      </c>
      <c r="CQ145" s="29">
        <v>0</v>
      </c>
      <c r="CR145" s="30">
        <f t="shared" si="181"/>
        <v>13613</v>
      </c>
      <c r="CS145" s="28">
        <f>PRODUCTION!CT145+'SUPLIER INWARD'!CT145</f>
        <v>0</v>
      </c>
      <c r="CT145" s="28">
        <v>0</v>
      </c>
      <c r="CU145" s="29">
        <v>0</v>
      </c>
      <c r="CV145" s="30">
        <f t="shared" si="182"/>
        <v>13613</v>
      </c>
      <c r="CW145" s="28">
        <f>PRODUCTION!CX145+'SUPLIER INWARD'!CX145</f>
        <v>0</v>
      </c>
      <c r="CX145" s="58">
        <v>1800</v>
      </c>
      <c r="CY145" s="29">
        <v>0</v>
      </c>
      <c r="CZ145" s="30">
        <f t="shared" si="183"/>
        <v>11813</v>
      </c>
      <c r="DA145" s="28">
        <f>PRODUCTION!DB145+'SUPLIER INWARD'!DB145</f>
        <v>0</v>
      </c>
      <c r="DB145" s="58"/>
      <c r="DC145" s="29"/>
      <c r="DD145" s="30">
        <f t="shared" si="184"/>
        <v>11813</v>
      </c>
      <c r="DE145" s="28">
        <f>PRODUCTION!DF145+'SUPLIER INWARD'!DF145</f>
        <v>0</v>
      </c>
      <c r="DF145" s="58">
        <v>1800</v>
      </c>
      <c r="DG145" s="29">
        <v>3</v>
      </c>
      <c r="DH145" s="30">
        <f t="shared" si="185"/>
        <v>10010</v>
      </c>
      <c r="DI145" s="28">
        <f>PRODUCTION!DJ145+'SUPLIER INWARD'!DJ145</f>
        <v>0</v>
      </c>
      <c r="DJ145" s="58">
        <v>0</v>
      </c>
      <c r="DK145" s="29">
        <v>0</v>
      </c>
      <c r="DL145" s="30">
        <f t="shared" si="186"/>
        <v>10010</v>
      </c>
      <c r="DM145" s="28">
        <f>PRODUCTION!DN145+'SUPLIER INWARD'!DN145</f>
        <v>0</v>
      </c>
      <c r="DN145" s="58">
        <v>0</v>
      </c>
      <c r="DO145" s="29"/>
      <c r="DP145" s="30">
        <f t="shared" si="187"/>
        <v>10010</v>
      </c>
      <c r="DQ145" s="28">
        <f>PRODUCTION!DR145+'SUPLIER INWARD'!DR145</f>
        <v>0</v>
      </c>
      <c r="DR145" s="57"/>
      <c r="DS145" s="29"/>
      <c r="DT145" s="30">
        <f t="shared" si="188"/>
        <v>10010</v>
      </c>
      <c r="DU145" s="28">
        <f>PRODUCTION!DV145+'SUPLIER INWARD'!DV145</f>
        <v>0</v>
      </c>
      <c r="DV145" s="58"/>
      <c r="DW145" s="29"/>
      <c r="DX145" s="30">
        <f t="shared" si="189"/>
        <v>10010</v>
      </c>
      <c r="DY145" s="141">
        <f t="shared" si="192"/>
        <v>19625</v>
      </c>
      <c r="DZ145" s="141">
        <f t="shared" si="190"/>
        <v>12600</v>
      </c>
      <c r="EA145" s="4">
        <f t="shared" si="191"/>
        <v>96</v>
      </c>
      <c r="EB145" s="9">
        <f>D145*'MASTER SHEET'!D145</f>
        <v>5237.7</v>
      </c>
      <c r="EC145" s="9">
        <f>H145*'MASTER SHEET'!D145</f>
        <v>5237.7</v>
      </c>
      <c r="ED145" s="9">
        <f>L145*'MASTER SHEET'!D145</f>
        <v>5237.7</v>
      </c>
      <c r="EE145" s="9">
        <f>P145*'MASTER SHEET'!D145</f>
        <v>5237.7</v>
      </c>
      <c r="EF145" s="9">
        <f>T145*'MASTER SHEET'!D145</f>
        <v>5237.7</v>
      </c>
      <c r="EG145" s="9">
        <f>X145*'MASTER SHEET'!D145</f>
        <v>5237.7</v>
      </c>
      <c r="EH145" s="9">
        <f>AB145*'MASTER SHEET'!D145</f>
        <v>5237.7</v>
      </c>
      <c r="EI145" s="9">
        <f>AF145*'MASTER SHEET'!D145</f>
        <v>5237.7</v>
      </c>
      <c r="EJ145" s="9">
        <f>AJ145*'MASTER SHEET'!D145</f>
        <v>5237.7</v>
      </c>
      <c r="EK145" s="9">
        <f>AN145*'MASTER SHEET'!D145</f>
        <v>5237.7</v>
      </c>
      <c r="EL145" s="9">
        <f>AR145*'MASTER SHEET'!D145</f>
        <v>5237.7</v>
      </c>
      <c r="EM145" s="9">
        <f>AV145*'MASTER SHEET'!D145</f>
        <v>5237.7</v>
      </c>
      <c r="EN145" s="9">
        <f>AZ145*'MASTER SHEET'!D145</f>
        <v>5237.7</v>
      </c>
      <c r="EO145" s="9">
        <f>BD145*'MASTER SHEET'!D145</f>
        <v>5237.7</v>
      </c>
      <c r="EP145" s="9">
        <f>$BH145*'MASTER SHEET'!$D145</f>
        <v>5237.7</v>
      </c>
      <c r="EQ145" s="9">
        <f>BL145*'MASTER SHEET'!D145</f>
        <v>2172.6</v>
      </c>
      <c r="ER145" s="9">
        <f>BP145*'MASTER SHEET'!D145</f>
        <v>9295.6</v>
      </c>
      <c r="ES145" s="9">
        <f>BT145*'MASTER SHEET'!D145</f>
        <v>6235.5999999999995</v>
      </c>
      <c r="ET145" s="9">
        <f>BX145*'MASTER SHEET'!D145</f>
        <v>3022.6</v>
      </c>
      <c r="EU145" s="9">
        <f>CB145*'MASTER SHEET'!D145</f>
        <v>3022.6</v>
      </c>
      <c r="EV145" s="9">
        <f>CF145*'MASTER SHEET'!D145</f>
        <v>8046.0999999999995</v>
      </c>
      <c r="EW145" s="9">
        <f>CJ145*'MASTER SHEET'!D145</f>
        <v>21132.7</v>
      </c>
      <c r="EX145" s="9">
        <f>CN145*'MASTER SHEET'!D145</f>
        <v>23142.1</v>
      </c>
      <c r="EY145" s="9">
        <f>CR145*'MASTER SHEET'!D145</f>
        <v>23142.1</v>
      </c>
      <c r="EZ145" s="9">
        <f>$CV145*'MASTER SHEET'!D145</f>
        <v>23142.1</v>
      </c>
      <c r="FA145" s="9">
        <f>CZ145*'MASTER SHEET'!D145</f>
        <v>20082.099999999999</v>
      </c>
      <c r="FB145" s="9">
        <f>DD145*'MASTER SHEET'!D145</f>
        <v>20082.099999999999</v>
      </c>
      <c r="FC145" s="9">
        <f>DH145*'MASTER SHEET'!D145</f>
        <v>17017</v>
      </c>
      <c r="FD145" s="9">
        <f>DL145*'MASTER SHEET'!D145</f>
        <v>17017</v>
      </c>
      <c r="FE145" s="9">
        <f>DP145*'MASTER SHEET'!D145</f>
        <v>17017</v>
      </c>
      <c r="FF145" s="9">
        <f>DT145*'MASTER SHEET'!D145</f>
        <v>17017</v>
      </c>
      <c r="FG145" s="9">
        <f>+DX145*'MASTER SHEET'!D145</f>
        <v>17017</v>
      </c>
    </row>
    <row r="146" spans="1:163" ht="20.25" customHeight="1" x14ac:dyDescent="0.25">
      <c r="A146" s="25">
        <f>'MASTER SHEET'!A146</f>
        <v>144</v>
      </c>
      <c r="B146" s="168" t="str">
        <f>'MASTER SHEET'!B146</f>
        <v>CLAMP BK PIPE DASH TRIPLE</v>
      </c>
      <c r="C146" s="169">
        <f>'MASTER SHEET'!C146</f>
        <v>62437</v>
      </c>
      <c r="D146" s="159">
        <v>1000</v>
      </c>
      <c r="E146" s="28">
        <f>PRODUCTION!F146+'SUPLIER INWARD'!F146</f>
        <v>0</v>
      </c>
      <c r="F146" s="28"/>
      <c r="G146" s="29">
        <v>0</v>
      </c>
      <c r="H146" s="30">
        <f t="shared" si="159"/>
        <v>1000</v>
      </c>
      <c r="I146" s="28">
        <f>PRODUCTION!J146+'SUPLIER INWARD'!J146</f>
        <v>0</v>
      </c>
      <c r="J146" s="28"/>
      <c r="K146" s="29">
        <v>0</v>
      </c>
      <c r="L146" s="30">
        <f t="shared" si="160"/>
        <v>1000</v>
      </c>
      <c r="M146" s="28">
        <f>PRODUCTION!N146+'SUPLIER INWARD'!N146</f>
        <v>0</v>
      </c>
      <c r="N146" s="58"/>
      <c r="O146" s="29"/>
      <c r="P146" s="30">
        <f t="shared" si="161"/>
        <v>1000</v>
      </c>
      <c r="Q146" s="28">
        <f>PRODUCTION!R146+'SUPLIER INWARD'!R146</f>
        <v>0</v>
      </c>
      <c r="R146" s="58"/>
      <c r="S146" s="29">
        <v>0</v>
      </c>
      <c r="T146" s="30">
        <f t="shared" si="162"/>
        <v>1000</v>
      </c>
      <c r="U146" s="28">
        <f>PRODUCTION!V146+'SUPLIER INWARD'!V146</f>
        <v>0</v>
      </c>
      <c r="V146" s="58">
        <v>0</v>
      </c>
      <c r="W146" s="29">
        <v>0</v>
      </c>
      <c r="X146" s="30">
        <f t="shared" si="163"/>
        <v>1000</v>
      </c>
      <c r="Y146" s="28">
        <f>PRODUCTION!Z146+'SUPLIER INWARD'!Z146</f>
        <v>0</v>
      </c>
      <c r="Z146" s="58">
        <v>0</v>
      </c>
      <c r="AA146" s="29">
        <v>0</v>
      </c>
      <c r="AB146" s="30">
        <f t="shared" si="164"/>
        <v>1000</v>
      </c>
      <c r="AC146" s="28">
        <f>PRODUCTION!AD146+'SUPLIER INWARD'!AD146</f>
        <v>0</v>
      </c>
      <c r="AD146" s="58">
        <v>0</v>
      </c>
      <c r="AE146" s="29">
        <v>0</v>
      </c>
      <c r="AF146" s="30">
        <f t="shared" si="165"/>
        <v>1000</v>
      </c>
      <c r="AG146" s="28">
        <f>PRODUCTION!AH146+'SUPLIER INWARD'!AH146</f>
        <v>0</v>
      </c>
      <c r="AH146" s="58">
        <v>0</v>
      </c>
      <c r="AI146" s="29">
        <v>0</v>
      </c>
      <c r="AJ146" s="30">
        <f t="shared" si="166"/>
        <v>1000</v>
      </c>
      <c r="AK146" s="28">
        <f>PRODUCTION!AL146+'SUPLIER INWARD'!AL146</f>
        <v>0</v>
      </c>
      <c r="AL146" s="58">
        <v>0</v>
      </c>
      <c r="AM146" s="29">
        <v>0</v>
      </c>
      <c r="AN146" s="30">
        <f t="shared" si="167"/>
        <v>1000</v>
      </c>
      <c r="AO146" s="28">
        <f>PRODUCTION!AP146+'SUPLIER INWARD'!AP146</f>
        <v>0</v>
      </c>
      <c r="AP146" s="28"/>
      <c r="AQ146" s="29">
        <v>0</v>
      </c>
      <c r="AR146" s="30">
        <f t="shared" si="168"/>
        <v>1000</v>
      </c>
      <c r="AS146" s="28">
        <f>PRODUCTION!AT146+'SUPLIER INWARD'!AT146</f>
        <v>0</v>
      </c>
      <c r="AT146" s="28">
        <v>0</v>
      </c>
      <c r="AU146" s="29">
        <v>0</v>
      </c>
      <c r="AV146" s="30">
        <f t="shared" si="169"/>
        <v>1000</v>
      </c>
      <c r="AW146" s="28">
        <f>PRODUCTION!AX146+'SUPLIER INWARD'!AX146</f>
        <v>0</v>
      </c>
      <c r="AX146" s="28"/>
      <c r="AY146" s="29"/>
      <c r="AZ146" s="30">
        <f t="shared" si="170"/>
        <v>1000</v>
      </c>
      <c r="BA146" s="28">
        <f>PRODUCTION!BB146+'SUPLIER INWARD'!BB146</f>
        <v>0</v>
      </c>
      <c r="BB146" s="58">
        <v>0</v>
      </c>
      <c r="BC146" s="29">
        <v>0</v>
      </c>
      <c r="BD146" s="30">
        <f t="shared" si="171"/>
        <v>1000</v>
      </c>
      <c r="BE146" s="28">
        <f>PRODUCTION!BF146+'SUPLIER INWARD'!BF146</f>
        <v>6316</v>
      </c>
      <c r="BF146" s="58">
        <v>1000</v>
      </c>
      <c r="BG146" s="29">
        <v>0</v>
      </c>
      <c r="BH146" s="30">
        <f t="shared" si="172"/>
        <v>6316</v>
      </c>
      <c r="BI146" s="28">
        <f>PRODUCTION!BJ146+'SUPLIER INWARD'!BJ146</f>
        <v>14053</v>
      </c>
      <c r="BJ146" s="58">
        <v>3600</v>
      </c>
      <c r="BK146" s="29">
        <v>9</v>
      </c>
      <c r="BL146" s="30">
        <f t="shared" si="173"/>
        <v>16760</v>
      </c>
      <c r="BM146" s="28">
        <f>PRODUCTION!BN146+'SUPLIER INWARD'!BN146</f>
        <v>5800</v>
      </c>
      <c r="BN146" s="58">
        <v>3600</v>
      </c>
      <c r="BO146" s="29">
        <v>1</v>
      </c>
      <c r="BP146" s="30">
        <f t="shared" si="174"/>
        <v>18959</v>
      </c>
      <c r="BQ146" s="28">
        <f>PRODUCTION!BR146+'SUPLIER INWARD'!BR146</f>
        <v>0</v>
      </c>
      <c r="BR146" s="58">
        <v>0</v>
      </c>
      <c r="BS146" s="29">
        <v>0</v>
      </c>
      <c r="BT146" s="30">
        <f t="shared" si="175"/>
        <v>18959</v>
      </c>
      <c r="BU146" s="28">
        <f>PRODUCTION!BV146+'SUPLIER INWARD'!BV146</f>
        <v>0</v>
      </c>
      <c r="BV146" s="58">
        <v>1200</v>
      </c>
      <c r="BW146" s="29">
        <v>0</v>
      </c>
      <c r="BX146" s="30">
        <f t="shared" si="176"/>
        <v>17759</v>
      </c>
      <c r="BY146" s="28">
        <f>PRODUCTION!BZ146+'SUPLIER INWARD'!BZ146</f>
        <v>0</v>
      </c>
      <c r="BZ146" s="58"/>
      <c r="CA146" s="29">
        <v>0</v>
      </c>
      <c r="CB146" s="30">
        <f t="shared" si="177"/>
        <v>17759</v>
      </c>
      <c r="CC146" s="28">
        <f>PRODUCTION!CD146+'SUPLIER INWARD'!CD146</f>
        <v>0</v>
      </c>
      <c r="CD146" s="58">
        <v>3600</v>
      </c>
      <c r="CE146" s="29">
        <v>0</v>
      </c>
      <c r="CF146" s="30">
        <f t="shared" si="178"/>
        <v>14159</v>
      </c>
      <c r="CG146" s="28">
        <f>PRODUCTION!CH146+'SUPLIER INWARD'!CH146</f>
        <v>0</v>
      </c>
      <c r="CH146" s="58">
        <v>0</v>
      </c>
      <c r="CI146" s="29">
        <v>0</v>
      </c>
      <c r="CJ146" s="30">
        <f t="shared" si="179"/>
        <v>14159</v>
      </c>
      <c r="CK146" s="28">
        <f>PRODUCTION!CL146+'SUPLIER INWARD'!CL146</f>
        <v>0</v>
      </c>
      <c r="CL146" s="58"/>
      <c r="CM146" s="152"/>
      <c r="CN146" s="30">
        <f t="shared" si="180"/>
        <v>14159</v>
      </c>
      <c r="CO146" s="28">
        <f>PRODUCTION!CP146+'SUPLIER INWARD'!CP146</f>
        <v>0</v>
      </c>
      <c r="CP146" s="58">
        <v>0</v>
      </c>
      <c r="CQ146" s="29">
        <v>0</v>
      </c>
      <c r="CR146" s="30">
        <f t="shared" si="181"/>
        <v>14159</v>
      </c>
      <c r="CS146" s="28">
        <f>PRODUCTION!CT146+'SUPLIER INWARD'!CT146</f>
        <v>0</v>
      </c>
      <c r="CT146" s="28">
        <v>0</v>
      </c>
      <c r="CU146" s="29">
        <v>0</v>
      </c>
      <c r="CV146" s="30">
        <f t="shared" si="182"/>
        <v>14159</v>
      </c>
      <c r="CW146" s="28">
        <f>PRODUCTION!CX146+'SUPLIER INWARD'!CX146</f>
        <v>0</v>
      </c>
      <c r="CX146" s="58">
        <v>2400</v>
      </c>
      <c r="CY146" s="29">
        <v>0</v>
      </c>
      <c r="CZ146" s="30">
        <f t="shared" si="183"/>
        <v>11759</v>
      </c>
      <c r="DA146" s="28">
        <f>PRODUCTION!DB146+'SUPLIER INWARD'!DB146</f>
        <v>0</v>
      </c>
      <c r="DB146" s="58"/>
      <c r="DC146" s="29"/>
      <c r="DD146" s="30">
        <f t="shared" si="184"/>
        <v>11759</v>
      </c>
      <c r="DE146" s="28">
        <f>PRODUCTION!DF146+'SUPLIER INWARD'!DF146</f>
        <v>0</v>
      </c>
      <c r="DF146" s="58">
        <v>1200</v>
      </c>
      <c r="DG146" s="29">
        <v>0</v>
      </c>
      <c r="DH146" s="30">
        <f t="shared" si="185"/>
        <v>10559</v>
      </c>
      <c r="DI146" s="28">
        <f>PRODUCTION!DJ146+'SUPLIER INWARD'!DJ146</f>
        <v>0</v>
      </c>
      <c r="DJ146" s="58">
        <v>0</v>
      </c>
      <c r="DK146" s="29">
        <v>0</v>
      </c>
      <c r="DL146" s="30">
        <f t="shared" si="186"/>
        <v>10559</v>
      </c>
      <c r="DM146" s="28">
        <f>PRODUCTION!DN146+'SUPLIER INWARD'!DN146</f>
        <v>0</v>
      </c>
      <c r="DN146" s="58">
        <v>2400</v>
      </c>
      <c r="DO146" s="29"/>
      <c r="DP146" s="30">
        <f t="shared" si="187"/>
        <v>8159</v>
      </c>
      <c r="DQ146" s="28">
        <f>PRODUCTION!DR146+'SUPLIER INWARD'!DR146</f>
        <v>0</v>
      </c>
      <c r="DR146" s="57"/>
      <c r="DS146" s="29"/>
      <c r="DT146" s="30">
        <f t="shared" si="188"/>
        <v>8159</v>
      </c>
      <c r="DU146" s="28">
        <f>PRODUCTION!DV146+'SUPLIER INWARD'!DV146</f>
        <v>0</v>
      </c>
      <c r="DV146" s="58"/>
      <c r="DW146" s="29"/>
      <c r="DX146" s="30">
        <f t="shared" si="189"/>
        <v>8159</v>
      </c>
      <c r="DY146" s="141">
        <f t="shared" si="192"/>
        <v>26169</v>
      </c>
      <c r="DZ146" s="141">
        <f t="shared" si="190"/>
        <v>19000</v>
      </c>
      <c r="EA146" s="4">
        <f t="shared" si="191"/>
        <v>10</v>
      </c>
      <c r="EB146" s="9">
        <f>D146*'MASTER SHEET'!D146</f>
        <v>2110</v>
      </c>
      <c r="EC146" s="9">
        <f>H146*'MASTER SHEET'!D146</f>
        <v>2110</v>
      </c>
      <c r="ED146" s="9">
        <f>L146*'MASTER SHEET'!D146</f>
        <v>2110</v>
      </c>
      <c r="EE146" s="9">
        <f>P146*'MASTER SHEET'!D146</f>
        <v>2110</v>
      </c>
      <c r="EF146" s="9">
        <f>T146*'MASTER SHEET'!D146</f>
        <v>2110</v>
      </c>
      <c r="EG146" s="9">
        <f>X146*'MASTER SHEET'!D146</f>
        <v>2110</v>
      </c>
      <c r="EH146" s="9">
        <f>AB146*'MASTER SHEET'!D146</f>
        <v>2110</v>
      </c>
      <c r="EI146" s="9">
        <f>AF146*'MASTER SHEET'!D146</f>
        <v>2110</v>
      </c>
      <c r="EJ146" s="9">
        <f>AJ146*'MASTER SHEET'!D146</f>
        <v>2110</v>
      </c>
      <c r="EK146" s="9">
        <f>AN146*'MASTER SHEET'!D146</f>
        <v>2110</v>
      </c>
      <c r="EL146" s="9">
        <f>AR146*'MASTER SHEET'!D146</f>
        <v>2110</v>
      </c>
      <c r="EM146" s="9">
        <f>AV146*'MASTER SHEET'!D146</f>
        <v>2110</v>
      </c>
      <c r="EN146" s="9">
        <f>AZ146*'MASTER SHEET'!D146</f>
        <v>2110</v>
      </c>
      <c r="EO146" s="9">
        <f>BD146*'MASTER SHEET'!D146</f>
        <v>2110</v>
      </c>
      <c r="EP146" s="9">
        <f>$BH146*'MASTER SHEET'!$D146</f>
        <v>13326.759999999998</v>
      </c>
      <c r="EQ146" s="9">
        <f>BL146*'MASTER SHEET'!D146</f>
        <v>35363.599999999999</v>
      </c>
      <c r="ER146" s="9">
        <f>BP146*'MASTER SHEET'!D146</f>
        <v>40003.49</v>
      </c>
      <c r="ES146" s="9">
        <f>BT146*'MASTER SHEET'!D146</f>
        <v>40003.49</v>
      </c>
      <c r="ET146" s="9">
        <f>BX146*'MASTER SHEET'!D146</f>
        <v>37471.49</v>
      </c>
      <c r="EU146" s="9">
        <f>CB146*'MASTER SHEET'!D146</f>
        <v>37471.49</v>
      </c>
      <c r="EV146" s="9">
        <f>CF146*'MASTER SHEET'!D146</f>
        <v>29875.489999999998</v>
      </c>
      <c r="EW146" s="9">
        <f>CJ146*'MASTER SHEET'!D146</f>
        <v>29875.489999999998</v>
      </c>
      <c r="EX146" s="9">
        <f>CN146*'MASTER SHEET'!D146</f>
        <v>29875.489999999998</v>
      </c>
      <c r="EY146" s="9">
        <f>CR146*'MASTER SHEET'!D146</f>
        <v>29875.489999999998</v>
      </c>
      <c r="EZ146" s="9">
        <f>$CV146*'MASTER SHEET'!D146</f>
        <v>29875.489999999998</v>
      </c>
      <c r="FA146" s="9">
        <f>CZ146*'MASTER SHEET'!D146</f>
        <v>24811.489999999998</v>
      </c>
      <c r="FB146" s="9">
        <f>DD146*'MASTER SHEET'!D146</f>
        <v>24811.489999999998</v>
      </c>
      <c r="FC146" s="9">
        <f>DH146*'MASTER SHEET'!D146</f>
        <v>22279.489999999998</v>
      </c>
      <c r="FD146" s="9">
        <f>DL146*'MASTER SHEET'!D146</f>
        <v>22279.489999999998</v>
      </c>
      <c r="FE146" s="9">
        <f>DP146*'MASTER SHEET'!D146</f>
        <v>17215.489999999998</v>
      </c>
      <c r="FF146" s="9">
        <f>DT146*'MASTER SHEET'!D146</f>
        <v>17215.489999999998</v>
      </c>
      <c r="FG146" s="9">
        <f>+DX146*'MASTER SHEET'!D146</f>
        <v>17215.489999999998</v>
      </c>
    </row>
    <row r="147" spans="1:163" ht="20.25" customHeight="1" x14ac:dyDescent="0.25">
      <c r="A147" s="25">
        <f>'MASTER SHEET'!A147</f>
        <v>145</v>
      </c>
      <c r="B147" s="168" t="str">
        <f>'MASTER SHEET'!B147</f>
        <v>CLAMP CNG PIPE</v>
      </c>
      <c r="C147" s="169">
        <f>'MASTER SHEET'!C147</f>
        <v>62438</v>
      </c>
      <c r="D147" s="159">
        <v>3166</v>
      </c>
      <c r="E147" s="28">
        <f>PRODUCTION!F147+'SUPLIER INWARD'!F147</f>
        <v>0</v>
      </c>
      <c r="F147" s="28"/>
      <c r="G147" s="29">
        <v>0</v>
      </c>
      <c r="H147" s="30">
        <f t="shared" si="159"/>
        <v>3166</v>
      </c>
      <c r="I147" s="28">
        <f>PRODUCTION!J147+'SUPLIER INWARD'!J147</f>
        <v>9160</v>
      </c>
      <c r="J147" s="28">
        <v>1500</v>
      </c>
      <c r="K147" s="29">
        <v>112</v>
      </c>
      <c r="L147" s="30">
        <f t="shared" si="160"/>
        <v>10714</v>
      </c>
      <c r="M147" s="28">
        <f>PRODUCTION!N147+'SUPLIER INWARD'!N147</f>
        <v>0</v>
      </c>
      <c r="N147" s="58"/>
      <c r="O147" s="29"/>
      <c r="P147" s="30">
        <f t="shared" si="161"/>
        <v>10714</v>
      </c>
      <c r="Q147" s="28">
        <f>PRODUCTION!R147+'SUPLIER INWARD'!R147</f>
        <v>11808</v>
      </c>
      <c r="R147" s="58"/>
      <c r="S147" s="29">
        <v>0</v>
      </c>
      <c r="T147" s="30">
        <f t="shared" si="162"/>
        <v>22522</v>
      </c>
      <c r="U147" s="28">
        <f>PRODUCTION!V147+'SUPLIER INWARD'!V147</f>
        <v>0</v>
      </c>
      <c r="V147" s="58">
        <v>4500</v>
      </c>
      <c r="W147" s="29">
        <v>97</v>
      </c>
      <c r="X147" s="30">
        <f t="shared" si="163"/>
        <v>17925</v>
      </c>
      <c r="Y147" s="28">
        <f>PRODUCTION!Z147+'SUPLIER INWARD'!Z147</f>
        <v>0</v>
      </c>
      <c r="Z147" s="58">
        <v>0</v>
      </c>
      <c r="AA147" s="29">
        <v>0</v>
      </c>
      <c r="AB147" s="30">
        <f t="shared" si="164"/>
        <v>17925</v>
      </c>
      <c r="AC147" s="28">
        <f>PRODUCTION!AD147+'SUPLIER INWARD'!AD147</f>
        <v>0</v>
      </c>
      <c r="AD147" s="58">
        <v>0</v>
      </c>
      <c r="AE147" s="29">
        <v>0</v>
      </c>
      <c r="AF147" s="30">
        <f t="shared" si="165"/>
        <v>17925</v>
      </c>
      <c r="AG147" s="28">
        <f>PRODUCTION!AH147+'SUPLIER INWARD'!AH147</f>
        <v>0</v>
      </c>
      <c r="AH147" s="58">
        <v>3000</v>
      </c>
      <c r="AI147" s="29">
        <v>119</v>
      </c>
      <c r="AJ147" s="30">
        <f t="shared" si="166"/>
        <v>14806</v>
      </c>
      <c r="AK147" s="28">
        <f>PRODUCTION!AL147+'SUPLIER INWARD'!AL147</f>
        <v>0</v>
      </c>
      <c r="AL147" s="58">
        <v>4500</v>
      </c>
      <c r="AM147" s="29">
        <v>0</v>
      </c>
      <c r="AN147" s="30">
        <f t="shared" si="167"/>
        <v>10306</v>
      </c>
      <c r="AO147" s="28">
        <f>PRODUCTION!AP147+'SUPLIER INWARD'!AP147</f>
        <v>0</v>
      </c>
      <c r="AP147" s="28"/>
      <c r="AQ147" s="29">
        <v>0</v>
      </c>
      <c r="AR147" s="30">
        <f t="shared" si="168"/>
        <v>10306</v>
      </c>
      <c r="AS147" s="28">
        <f>PRODUCTION!AT147+'SUPLIER INWARD'!AT147</f>
        <v>14462</v>
      </c>
      <c r="AT147" s="28">
        <v>0</v>
      </c>
      <c r="AU147" s="29">
        <v>0</v>
      </c>
      <c r="AV147" s="30">
        <f t="shared" si="169"/>
        <v>24768</v>
      </c>
      <c r="AW147" s="28">
        <f>PRODUCTION!AX147+'SUPLIER INWARD'!AX147</f>
        <v>0</v>
      </c>
      <c r="AX147" s="28"/>
      <c r="AY147" s="29"/>
      <c r="AZ147" s="30">
        <f t="shared" si="170"/>
        <v>24768</v>
      </c>
      <c r="BA147" s="28">
        <f>PRODUCTION!BB147+'SUPLIER INWARD'!BB147</f>
        <v>12728</v>
      </c>
      <c r="BB147" s="58">
        <v>13500</v>
      </c>
      <c r="BC147" s="29">
        <v>0</v>
      </c>
      <c r="BD147" s="30">
        <f t="shared" si="171"/>
        <v>23996</v>
      </c>
      <c r="BE147" s="28">
        <f>PRODUCTION!BF147+'SUPLIER INWARD'!BF147</f>
        <v>6458</v>
      </c>
      <c r="BF147" s="58">
        <v>7500</v>
      </c>
      <c r="BG147" s="29">
        <v>95</v>
      </c>
      <c r="BH147" s="30">
        <f t="shared" si="172"/>
        <v>22859</v>
      </c>
      <c r="BI147" s="28">
        <f>PRODUCTION!BJ147+'SUPLIER INWARD'!BJ147</f>
        <v>0</v>
      </c>
      <c r="BJ147" s="58">
        <v>0</v>
      </c>
      <c r="BK147" s="29">
        <v>0</v>
      </c>
      <c r="BL147" s="30">
        <f t="shared" si="173"/>
        <v>22859</v>
      </c>
      <c r="BM147" s="28">
        <f>PRODUCTION!BN147+'SUPLIER INWARD'!BN147</f>
        <v>0</v>
      </c>
      <c r="BN147" s="58">
        <v>6000</v>
      </c>
      <c r="BO147" s="29">
        <v>230</v>
      </c>
      <c r="BP147" s="30">
        <f t="shared" si="174"/>
        <v>16629</v>
      </c>
      <c r="BQ147" s="28">
        <f>PRODUCTION!BR147+'SUPLIER INWARD'!BR147</f>
        <v>0</v>
      </c>
      <c r="BR147" s="58">
        <v>6000</v>
      </c>
      <c r="BS147" s="29">
        <v>726</v>
      </c>
      <c r="BT147" s="30">
        <f t="shared" si="175"/>
        <v>9903</v>
      </c>
      <c r="BU147" s="28">
        <f>PRODUCTION!BV147+'SUPLIER INWARD'!BV147</f>
        <v>0</v>
      </c>
      <c r="BV147" s="58">
        <v>0</v>
      </c>
      <c r="BW147" s="29">
        <v>0</v>
      </c>
      <c r="BX147" s="30">
        <f t="shared" si="176"/>
        <v>9903</v>
      </c>
      <c r="BY147" s="28">
        <f>PRODUCTION!BZ147+'SUPLIER INWARD'!BZ147</f>
        <v>0</v>
      </c>
      <c r="BZ147" s="58"/>
      <c r="CA147" s="29">
        <v>0</v>
      </c>
      <c r="CB147" s="30">
        <f t="shared" si="177"/>
        <v>9903</v>
      </c>
      <c r="CC147" s="28">
        <f>PRODUCTION!CD147+'SUPLIER INWARD'!CD147</f>
        <v>0</v>
      </c>
      <c r="CD147" s="58">
        <v>0</v>
      </c>
      <c r="CE147" s="29">
        <v>0</v>
      </c>
      <c r="CF147" s="30">
        <f t="shared" si="178"/>
        <v>9903</v>
      </c>
      <c r="CG147" s="28">
        <f>PRODUCTION!CH147+'SUPLIER INWARD'!CH147</f>
        <v>0</v>
      </c>
      <c r="CH147" s="58">
        <v>0</v>
      </c>
      <c r="CI147" s="29">
        <v>0</v>
      </c>
      <c r="CJ147" s="30">
        <f t="shared" si="179"/>
        <v>9903</v>
      </c>
      <c r="CK147" s="28">
        <f>PRODUCTION!CL147+'SUPLIER INWARD'!CL147</f>
        <v>0</v>
      </c>
      <c r="CL147" s="58"/>
      <c r="CM147" s="152"/>
      <c r="CN147" s="30">
        <f t="shared" si="180"/>
        <v>9903</v>
      </c>
      <c r="CO147" s="28">
        <f>PRODUCTION!CP147+'SUPLIER INWARD'!CP147</f>
        <v>0</v>
      </c>
      <c r="CP147" s="58">
        <v>0</v>
      </c>
      <c r="CQ147" s="29">
        <v>0</v>
      </c>
      <c r="CR147" s="30">
        <f t="shared" si="181"/>
        <v>9903</v>
      </c>
      <c r="CS147" s="28">
        <f>PRODUCTION!CT147+'SUPLIER INWARD'!CT147</f>
        <v>13798</v>
      </c>
      <c r="CT147" s="28">
        <v>0</v>
      </c>
      <c r="CU147" s="29">
        <v>0</v>
      </c>
      <c r="CV147" s="30">
        <f t="shared" si="182"/>
        <v>23701</v>
      </c>
      <c r="CW147" s="28">
        <f>PRODUCTION!CX147+'SUPLIER INWARD'!CX147</f>
        <v>0</v>
      </c>
      <c r="CX147" s="58">
        <v>13500</v>
      </c>
      <c r="CY147" s="29">
        <v>0</v>
      </c>
      <c r="CZ147" s="30">
        <f t="shared" si="183"/>
        <v>10201</v>
      </c>
      <c r="DA147" s="28">
        <f>PRODUCTION!DB147+'SUPLIER INWARD'!DB147</f>
        <v>0</v>
      </c>
      <c r="DB147" s="58"/>
      <c r="DC147" s="29"/>
      <c r="DD147" s="30">
        <f t="shared" si="184"/>
        <v>10201</v>
      </c>
      <c r="DE147" s="28">
        <f>PRODUCTION!DF147+'SUPLIER INWARD'!DF147</f>
        <v>0</v>
      </c>
      <c r="DF147" s="58">
        <v>0</v>
      </c>
      <c r="DG147" s="29">
        <v>0</v>
      </c>
      <c r="DH147" s="30">
        <f t="shared" si="185"/>
        <v>10201</v>
      </c>
      <c r="DI147" s="28">
        <f>PRODUCTION!DJ147+'SUPLIER INWARD'!DJ147</f>
        <v>0</v>
      </c>
      <c r="DJ147" s="58">
        <v>0</v>
      </c>
      <c r="DK147" s="29">
        <v>0</v>
      </c>
      <c r="DL147" s="30">
        <f t="shared" si="186"/>
        <v>10201</v>
      </c>
      <c r="DM147" s="28">
        <f>PRODUCTION!DN147+'SUPLIER INWARD'!DN147</f>
        <v>0</v>
      </c>
      <c r="DN147" s="58">
        <v>0</v>
      </c>
      <c r="DO147" s="29"/>
      <c r="DP147" s="30">
        <f t="shared" si="187"/>
        <v>10201</v>
      </c>
      <c r="DQ147" s="28">
        <f>PRODUCTION!DR147+'SUPLIER INWARD'!DR147</f>
        <v>0</v>
      </c>
      <c r="DR147" s="57"/>
      <c r="DS147" s="29"/>
      <c r="DT147" s="30">
        <f t="shared" si="188"/>
        <v>10201</v>
      </c>
      <c r="DU147" s="28">
        <f>PRODUCTION!DV147+'SUPLIER INWARD'!DV147</f>
        <v>0</v>
      </c>
      <c r="DV147" s="58"/>
      <c r="DW147" s="29"/>
      <c r="DX147" s="30">
        <f t="shared" si="189"/>
        <v>10201</v>
      </c>
      <c r="DY147" s="141">
        <f t="shared" si="192"/>
        <v>68414</v>
      </c>
      <c r="DZ147" s="141">
        <f t="shared" si="190"/>
        <v>60000</v>
      </c>
      <c r="EA147" s="4">
        <f t="shared" si="191"/>
        <v>1379</v>
      </c>
      <c r="EB147" s="9">
        <f>D147*'MASTER SHEET'!D147</f>
        <v>2786.08</v>
      </c>
      <c r="EC147" s="9">
        <f>H147*'MASTER SHEET'!D147</f>
        <v>2786.08</v>
      </c>
      <c r="ED147" s="9">
        <f>L147*'MASTER SHEET'!D147</f>
        <v>9428.32</v>
      </c>
      <c r="EE147" s="9">
        <f>P147*'MASTER SHEET'!D147</f>
        <v>9428.32</v>
      </c>
      <c r="EF147" s="9">
        <f>T147*'MASTER SHEET'!D147</f>
        <v>19819.36</v>
      </c>
      <c r="EG147" s="9">
        <f>X147*'MASTER SHEET'!D147</f>
        <v>15774</v>
      </c>
      <c r="EH147" s="9">
        <f>AB147*'MASTER SHEET'!D147</f>
        <v>15774</v>
      </c>
      <c r="EI147" s="9">
        <f>AF147*'MASTER SHEET'!D147</f>
        <v>15774</v>
      </c>
      <c r="EJ147" s="9">
        <f>AJ147*'MASTER SHEET'!D147</f>
        <v>13029.28</v>
      </c>
      <c r="EK147" s="9">
        <f>AN147*'MASTER SHEET'!D147</f>
        <v>9069.2800000000007</v>
      </c>
      <c r="EL147" s="9">
        <f>AR147*'MASTER SHEET'!D147</f>
        <v>9069.2800000000007</v>
      </c>
      <c r="EM147" s="9">
        <f>AV147*'MASTER SHEET'!D147</f>
        <v>21795.84</v>
      </c>
      <c r="EN147" s="9">
        <f>AZ147*'MASTER SHEET'!D147</f>
        <v>21795.84</v>
      </c>
      <c r="EO147" s="9">
        <f>BD147*'MASTER SHEET'!D147</f>
        <v>21116.48</v>
      </c>
      <c r="EP147" s="9">
        <f>$BH147*'MASTER SHEET'!$D147</f>
        <v>20115.920000000002</v>
      </c>
      <c r="EQ147" s="9">
        <f>BL147*'MASTER SHEET'!D147</f>
        <v>20115.920000000002</v>
      </c>
      <c r="ER147" s="9">
        <f>BP147*'MASTER SHEET'!D147</f>
        <v>14633.52</v>
      </c>
      <c r="ES147" s="9">
        <f>BT147*'MASTER SHEET'!D147</f>
        <v>8714.64</v>
      </c>
      <c r="ET147" s="9">
        <f>BX147*'MASTER SHEET'!D147</f>
        <v>8714.64</v>
      </c>
      <c r="EU147" s="9">
        <f>CB147*'MASTER SHEET'!D147</f>
        <v>8714.64</v>
      </c>
      <c r="EV147" s="9">
        <f>CF147*'MASTER SHEET'!D147</f>
        <v>8714.64</v>
      </c>
      <c r="EW147" s="9">
        <f>CJ147*'MASTER SHEET'!D147</f>
        <v>8714.64</v>
      </c>
      <c r="EX147" s="9">
        <f>CN147*'MASTER SHEET'!D147</f>
        <v>8714.64</v>
      </c>
      <c r="EY147" s="9">
        <f>CR147*'MASTER SHEET'!D147</f>
        <v>8714.64</v>
      </c>
      <c r="EZ147" s="9">
        <f>$CV147*'MASTER SHEET'!D147</f>
        <v>20856.88</v>
      </c>
      <c r="FA147" s="9">
        <f>CZ147*'MASTER SHEET'!D147</f>
        <v>8976.8799999999992</v>
      </c>
      <c r="FB147" s="9">
        <f>DD147*'MASTER SHEET'!D147</f>
        <v>8976.8799999999992</v>
      </c>
      <c r="FC147" s="9">
        <f>DH147*'MASTER SHEET'!D147</f>
        <v>8976.8799999999992</v>
      </c>
      <c r="FD147" s="9">
        <f>DL147*'MASTER SHEET'!D147</f>
        <v>8976.8799999999992</v>
      </c>
      <c r="FE147" s="9">
        <f>DP147*'MASTER SHEET'!D147</f>
        <v>8976.8799999999992</v>
      </c>
      <c r="FF147" s="9">
        <f>DT147*'MASTER SHEET'!D147</f>
        <v>8976.8799999999992</v>
      </c>
      <c r="FG147" s="9">
        <f>+DX147*'MASTER SHEET'!D147</f>
        <v>8976.8799999999992</v>
      </c>
    </row>
    <row r="148" spans="1:163" ht="20.25" customHeight="1" x14ac:dyDescent="0.25">
      <c r="A148" s="25">
        <f>'MASTER SHEET'!A148</f>
        <v>146</v>
      </c>
      <c r="B148" s="168" t="str">
        <f>'MASTER SHEET'!B148</f>
        <v>CLAMP VACCUME PIPE</v>
      </c>
      <c r="C148" s="169">
        <f>'MASTER SHEET'!C148</f>
        <v>62481</v>
      </c>
      <c r="D148" s="159">
        <v>10700</v>
      </c>
      <c r="E148" s="28">
        <f>PRODUCTION!F148+'SUPLIER INWARD'!F148</f>
        <v>6620</v>
      </c>
      <c r="F148" s="28">
        <v>1200</v>
      </c>
      <c r="G148" s="29">
        <v>0</v>
      </c>
      <c r="H148" s="30">
        <f t="shared" si="159"/>
        <v>16120</v>
      </c>
      <c r="I148" s="28">
        <f>PRODUCTION!J148+'SUPLIER INWARD'!J148</f>
        <v>11012</v>
      </c>
      <c r="J148" s="28">
        <v>3600</v>
      </c>
      <c r="K148" s="29">
        <v>180</v>
      </c>
      <c r="L148" s="30">
        <f t="shared" si="160"/>
        <v>23352</v>
      </c>
      <c r="M148" s="28">
        <f>PRODUCTION!N148+'SUPLIER INWARD'!N148</f>
        <v>0</v>
      </c>
      <c r="N148" s="58"/>
      <c r="O148" s="29"/>
      <c r="P148" s="30">
        <f t="shared" si="161"/>
        <v>23352</v>
      </c>
      <c r="Q148" s="28">
        <f>PRODUCTION!R148+'SUPLIER INWARD'!R148</f>
        <v>0</v>
      </c>
      <c r="R148" s="58">
        <v>1200</v>
      </c>
      <c r="S148" s="29">
        <v>105</v>
      </c>
      <c r="T148" s="30">
        <f t="shared" si="162"/>
        <v>22047</v>
      </c>
      <c r="U148" s="28">
        <f>PRODUCTION!V148+'SUPLIER INWARD'!V148</f>
        <v>0</v>
      </c>
      <c r="V148" s="58">
        <v>3600</v>
      </c>
      <c r="W148" s="29">
        <v>0</v>
      </c>
      <c r="X148" s="30">
        <f t="shared" si="163"/>
        <v>18447</v>
      </c>
      <c r="Y148" s="28">
        <f>PRODUCTION!Z148+'SUPLIER INWARD'!Z148</f>
        <v>0</v>
      </c>
      <c r="Z148" s="58">
        <v>4800</v>
      </c>
      <c r="AA148" s="29">
        <v>221</v>
      </c>
      <c r="AB148" s="30">
        <f t="shared" si="164"/>
        <v>13426</v>
      </c>
      <c r="AC148" s="28">
        <f>PRODUCTION!AD148+'SUPLIER INWARD'!AD148</f>
        <v>0</v>
      </c>
      <c r="AD148" s="58">
        <v>1200</v>
      </c>
      <c r="AE148" s="29">
        <v>20</v>
      </c>
      <c r="AF148" s="30">
        <f t="shared" si="165"/>
        <v>12206</v>
      </c>
      <c r="AG148" s="28">
        <f>PRODUCTION!AH148+'SUPLIER INWARD'!AH148</f>
        <v>0</v>
      </c>
      <c r="AH148" s="58">
        <v>0</v>
      </c>
      <c r="AI148" s="29">
        <v>0</v>
      </c>
      <c r="AJ148" s="30">
        <f t="shared" si="166"/>
        <v>12206</v>
      </c>
      <c r="AK148" s="28">
        <f>PRODUCTION!AL148+'SUPLIER INWARD'!AL148</f>
        <v>0</v>
      </c>
      <c r="AL148" s="58">
        <v>4800</v>
      </c>
      <c r="AM148" s="29">
        <v>300</v>
      </c>
      <c r="AN148" s="30">
        <f t="shared" si="167"/>
        <v>7106</v>
      </c>
      <c r="AO148" s="28">
        <f>PRODUCTION!AP148+'SUPLIER INWARD'!AP148</f>
        <v>0</v>
      </c>
      <c r="AP148" s="28"/>
      <c r="AQ148" s="29">
        <v>0</v>
      </c>
      <c r="AR148" s="30">
        <f t="shared" si="168"/>
        <v>7106</v>
      </c>
      <c r="AS148" s="28">
        <f>PRODUCTION!AT148+'SUPLIER INWARD'!AT148</f>
        <v>0</v>
      </c>
      <c r="AT148" s="28">
        <v>0</v>
      </c>
      <c r="AU148" s="29">
        <v>0</v>
      </c>
      <c r="AV148" s="30">
        <f t="shared" si="169"/>
        <v>7106</v>
      </c>
      <c r="AW148" s="28">
        <f>PRODUCTION!AX148+'SUPLIER INWARD'!AX148</f>
        <v>0</v>
      </c>
      <c r="AX148" s="28"/>
      <c r="AY148" s="29"/>
      <c r="AZ148" s="30">
        <f t="shared" si="170"/>
        <v>7106</v>
      </c>
      <c r="BA148" s="28">
        <f>PRODUCTION!BB148+'SUPLIER INWARD'!BB148</f>
        <v>0</v>
      </c>
      <c r="BB148" s="58">
        <v>0</v>
      </c>
      <c r="BC148" s="29">
        <v>0</v>
      </c>
      <c r="BD148" s="30">
        <f t="shared" si="171"/>
        <v>7106</v>
      </c>
      <c r="BE148" s="28">
        <f>PRODUCTION!BF148+'SUPLIER INWARD'!BF148</f>
        <v>0</v>
      </c>
      <c r="BF148" s="58"/>
      <c r="BG148" s="29">
        <v>0</v>
      </c>
      <c r="BH148" s="30">
        <f t="shared" si="172"/>
        <v>7106</v>
      </c>
      <c r="BI148" s="28">
        <f>PRODUCTION!BJ148+'SUPLIER INWARD'!BJ148</f>
        <v>0</v>
      </c>
      <c r="BJ148" s="58">
        <v>0</v>
      </c>
      <c r="BK148" s="29">
        <v>0</v>
      </c>
      <c r="BL148" s="30">
        <f t="shared" si="173"/>
        <v>7106</v>
      </c>
      <c r="BM148" s="28">
        <f>PRODUCTION!BN148+'SUPLIER INWARD'!BN148</f>
        <v>0</v>
      </c>
      <c r="BN148" s="58">
        <v>0</v>
      </c>
      <c r="BO148" s="29">
        <v>0</v>
      </c>
      <c r="BP148" s="30">
        <f t="shared" si="174"/>
        <v>7106</v>
      </c>
      <c r="BQ148" s="28">
        <f>PRODUCTION!BR148+'SUPLIER INWARD'!BR148</f>
        <v>0</v>
      </c>
      <c r="BR148" s="58">
        <v>0</v>
      </c>
      <c r="BS148" s="29">
        <v>0</v>
      </c>
      <c r="BT148" s="30">
        <f t="shared" si="175"/>
        <v>7106</v>
      </c>
      <c r="BU148" s="28">
        <f>PRODUCTION!BV148+'SUPLIER INWARD'!BV148</f>
        <v>0</v>
      </c>
      <c r="BV148" s="58">
        <v>0</v>
      </c>
      <c r="BW148" s="29">
        <v>0</v>
      </c>
      <c r="BX148" s="30">
        <f t="shared" si="176"/>
        <v>7106</v>
      </c>
      <c r="BY148" s="28">
        <f>PRODUCTION!BZ148+'SUPLIER INWARD'!BZ148</f>
        <v>0</v>
      </c>
      <c r="BZ148" s="58"/>
      <c r="CA148" s="29">
        <v>0</v>
      </c>
      <c r="CB148" s="30">
        <f t="shared" si="177"/>
        <v>7106</v>
      </c>
      <c r="CC148" s="28">
        <f>PRODUCTION!CD148+'SUPLIER INWARD'!CD148</f>
        <v>0</v>
      </c>
      <c r="CD148" s="58">
        <v>0</v>
      </c>
      <c r="CE148" s="29">
        <v>0</v>
      </c>
      <c r="CF148" s="30">
        <f t="shared" si="178"/>
        <v>7106</v>
      </c>
      <c r="CG148" s="28">
        <f>PRODUCTION!CH148+'SUPLIER INWARD'!CH148</f>
        <v>0</v>
      </c>
      <c r="CH148" s="58">
        <v>0</v>
      </c>
      <c r="CI148" s="29">
        <v>0</v>
      </c>
      <c r="CJ148" s="30">
        <f t="shared" si="179"/>
        <v>7106</v>
      </c>
      <c r="CK148" s="28">
        <f>PRODUCTION!CL148+'SUPLIER INWARD'!CL148</f>
        <v>0</v>
      </c>
      <c r="CL148" s="58"/>
      <c r="CM148" s="152"/>
      <c r="CN148" s="30">
        <f t="shared" si="180"/>
        <v>7106</v>
      </c>
      <c r="CO148" s="28">
        <f>PRODUCTION!CP148+'SUPLIER INWARD'!CP148</f>
        <v>0</v>
      </c>
      <c r="CP148" s="58">
        <v>0</v>
      </c>
      <c r="CQ148" s="29">
        <v>0</v>
      </c>
      <c r="CR148" s="30">
        <f t="shared" si="181"/>
        <v>7106</v>
      </c>
      <c r="CS148" s="28">
        <f>PRODUCTION!CT148+'SUPLIER INWARD'!CT148</f>
        <v>0</v>
      </c>
      <c r="CT148" s="28">
        <v>0</v>
      </c>
      <c r="CU148" s="29">
        <v>0</v>
      </c>
      <c r="CV148" s="30">
        <f t="shared" si="182"/>
        <v>7106</v>
      </c>
      <c r="CW148" s="28">
        <f>PRODUCTION!CX148+'SUPLIER INWARD'!CX148</f>
        <v>0</v>
      </c>
      <c r="CX148" s="58">
        <v>0</v>
      </c>
      <c r="CY148" s="29">
        <v>0</v>
      </c>
      <c r="CZ148" s="30">
        <f t="shared" si="183"/>
        <v>7106</v>
      </c>
      <c r="DA148" s="28">
        <f>PRODUCTION!DB148+'SUPLIER INWARD'!DB148</f>
        <v>0</v>
      </c>
      <c r="DB148" s="58"/>
      <c r="DC148" s="29"/>
      <c r="DD148" s="30">
        <f t="shared" si="184"/>
        <v>7106</v>
      </c>
      <c r="DE148" s="28">
        <f>PRODUCTION!DF148+'SUPLIER INWARD'!DF148</f>
        <v>0</v>
      </c>
      <c r="DF148" s="58">
        <v>0</v>
      </c>
      <c r="DG148" s="29">
        <v>0</v>
      </c>
      <c r="DH148" s="30">
        <f t="shared" si="185"/>
        <v>7106</v>
      </c>
      <c r="DI148" s="28">
        <f>PRODUCTION!DJ148+'SUPLIER INWARD'!DJ148</f>
        <v>0</v>
      </c>
      <c r="DJ148" s="58">
        <v>0</v>
      </c>
      <c r="DK148" s="29">
        <v>0</v>
      </c>
      <c r="DL148" s="30">
        <f t="shared" si="186"/>
        <v>7106</v>
      </c>
      <c r="DM148" s="28">
        <f>PRODUCTION!DN148+'SUPLIER INWARD'!DN148</f>
        <v>0</v>
      </c>
      <c r="DN148" s="58">
        <v>3600</v>
      </c>
      <c r="DO148" s="29"/>
      <c r="DP148" s="30">
        <f t="shared" si="187"/>
        <v>3506</v>
      </c>
      <c r="DQ148" s="28">
        <f>PRODUCTION!DR148+'SUPLIER INWARD'!DR148</f>
        <v>0</v>
      </c>
      <c r="DR148" s="57"/>
      <c r="DS148" s="29"/>
      <c r="DT148" s="30">
        <f t="shared" si="188"/>
        <v>3506</v>
      </c>
      <c r="DU148" s="28">
        <f>PRODUCTION!DV148+'SUPLIER INWARD'!DV148</f>
        <v>0</v>
      </c>
      <c r="DV148" s="58"/>
      <c r="DW148" s="29"/>
      <c r="DX148" s="30">
        <f t="shared" si="189"/>
        <v>3506</v>
      </c>
      <c r="DY148" s="141">
        <f t="shared" si="192"/>
        <v>17632</v>
      </c>
      <c r="DZ148" s="141">
        <f t="shared" si="190"/>
        <v>24000</v>
      </c>
      <c r="EA148" s="4">
        <f t="shared" si="191"/>
        <v>826</v>
      </c>
      <c r="EB148" s="9">
        <f>D148*'MASTER SHEET'!D148</f>
        <v>13054</v>
      </c>
      <c r="EC148" s="9">
        <f>H148*'MASTER SHEET'!D148</f>
        <v>19666.399999999998</v>
      </c>
      <c r="ED148" s="9">
        <f>L148*'MASTER SHEET'!D148</f>
        <v>28489.439999999999</v>
      </c>
      <c r="EE148" s="9">
        <f>P148*'MASTER SHEET'!D148</f>
        <v>28489.439999999999</v>
      </c>
      <c r="EF148" s="9">
        <f>T148*'MASTER SHEET'!D148</f>
        <v>26897.34</v>
      </c>
      <c r="EG148" s="9">
        <f>X148*'MASTER SHEET'!D148</f>
        <v>22505.34</v>
      </c>
      <c r="EH148" s="9">
        <f>AB148*'MASTER SHEET'!D148</f>
        <v>16379.72</v>
      </c>
      <c r="EI148" s="9">
        <f>AF148*'MASTER SHEET'!D148</f>
        <v>14891.32</v>
      </c>
      <c r="EJ148" s="9">
        <f>AJ148*'MASTER SHEET'!D148</f>
        <v>14891.32</v>
      </c>
      <c r="EK148" s="9">
        <f>AN148*'MASTER SHEET'!D148</f>
        <v>8669.32</v>
      </c>
      <c r="EL148" s="9">
        <f>AR148*'MASTER SHEET'!D148</f>
        <v>8669.32</v>
      </c>
      <c r="EM148" s="9">
        <f>AV148*'MASTER SHEET'!D148</f>
        <v>8669.32</v>
      </c>
      <c r="EN148" s="9">
        <f>AZ148*'MASTER SHEET'!D148</f>
        <v>8669.32</v>
      </c>
      <c r="EO148" s="9">
        <f>BD148*'MASTER SHEET'!D148</f>
        <v>8669.32</v>
      </c>
      <c r="EP148" s="9">
        <f>$BH148*'MASTER SHEET'!$D148</f>
        <v>8669.32</v>
      </c>
      <c r="EQ148" s="9">
        <f>BL148*'MASTER SHEET'!D148</f>
        <v>8669.32</v>
      </c>
      <c r="ER148" s="9">
        <f>BP148*'MASTER SHEET'!D148</f>
        <v>8669.32</v>
      </c>
      <c r="ES148" s="9">
        <f>BT148*'MASTER SHEET'!D148</f>
        <v>8669.32</v>
      </c>
      <c r="ET148" s="9">
        <f>BX148*'MASTER SHEET'!D148</f>
        <v>8669.32</v>
      </c>
      <c r="EU148" s="9">
        <f>CB148*'MASTER SHEET'!D148</f>
        <v>8669.32</v>
      </c>
      <c r="EV148" s="9">
        <f>CF148*'MASTER SHEET'!D148</f>
        <v>8669.32</v>
      </c>
      <c r="EW148" s="9">
        <f>CJ148*'MASTER SHEET'!D148</f>
        <v>8669.32</v>
      </c>
      <c r="EX148" s="9">
        <f>CN148*'MASTER SHEET'!D148</f>
        <v>8669.32</v>
      </c>
      <c r="EY148" s="9">
        <f>CR148*'MASTER SHEET'!D148</f>
        <v>8669.32</v>
      </c>
      <c r="EZ148" s="9">
        <f>$CV148*'MASTER SHEET'!D148</f>
        <v>8669.32</v>
      </c>
      <c r="FA148" s="9">
        <f>CZ148*'MASTER SHEET'!D148</f>
        <v>8669.32</v>
      </c>
      <c r="FB148" s="9">
        <f>DD148*'MASTER SHEET'!D148</f>
        <v>8669.32</v>
      </c>
      <c r="FC148" s="9">
        <f>DH148*'MASTER SHEET'!D148</f>
        <v>8669.32</v>
      </c>
      <c r="FD148" s="9">
        <f>DL148*'MASTER SHEET'!D148</f>
        <v>8669.32</v>
      </c>
      <c r="FE148" s="9">
        <f>DP148*'MASTER SHEET'!D148</f>
        <v>4277.32</v>
      </c>
      <c r="FF148" s="9">
        <f>DT148*'MASTER SHEET'!D148</f>
        <v>4277.32</v>
      </c>
      <c r="FG148" s="9">
        <f>+DX148*'MASTER SHEET'!D148</f>
        <v>4277.32</v>
      </c>
    </row>
    <row r="149" spans="1:163" ht="20.25" customHeight="1" x14ac:dyDescent="0.25">
      <c r="A149" s="25">
        <f>'MASTER SHEET'!A149</f>
        <v>147</v>
      </c>
      <c r="B149" s="168" t="str">
        <f>'MASTER SHEET'!B149</f>
        <v>DIA 10MM PLUG</v>
      </c>
      <c r="C149" s="169">
        <f>'MASTER SHEET'!C149</f>
        <v>62486</v>
      </c>
      <c r="D149" s="159"/>
      <c r="E149" s="28">
        <f>PRODUCTION!F149+'SUPLIER INWARD'!F149</f>
        <v>0</v>
      </c>
      <c r="F149" s="28"/>
      <c r="G149" s="29">
        <v>0</v>
      </c>
      <c r="H149" s="30">
        <f t="shared" si="159"/>
        <v>0</v>
      </c>
      <c r="I149" s="28">
        <f>PRODUCTION!J149+'SUPLIER INWARD'!J149</f>
        <v>0</v>
      </c>
      <c r="J149" s="28"/>
      <c r="K149" s="29">
        <v>0</v>
      </c>
      <c r="L149" s="30">
        <f t="shared" si="160"/>
        <v>0</v>
      </c>
      <c r="M149" s="28">
        <f>PRODUCTION!N149+'SUPLIER INWARD'!N149</f>
        <v>0</v>
      </c>
      <c r="N149" s="58"/>
      <c r="O149" s="29"/>
      <c r="P149" s="30">
        <f t="shared" si="161"/>
        <v>0</v>
      </c>
      <c r="Q149" s="28">
        <f>PRODUCTION!R149+'SUPLIER INWARD'!R149</f>
        <v>0</v>
      </c>
      <c r="R149" s="58"/>
      <c r="S149" s="29">
        <v>0</v>
      </c>
      <c r="T149" s="30">
        <f t="shared" si="162"/>
        <v>0</v>
      </c>
      <c r="U149" s="28">
        <f>PRODUCTION!V149+'SUPLIER INWARD'!V149</f>
        <v>0</v>
      </c>
      <c r="V149" s="58">
        <v>0</v>
      </c>
      <c r="W149" s="29">
        <v>0</v>
      </c>
      <c r="X149" s="30">
        <f t="shared" si="163"/>
        <v>0</v>
      </c>
      <c r="Y149" s="28">
        <f>PRODUCTION!Z149+'SUPLIER INWARD'!Z149</f>
        <v>0</v>
      </c>
      <c r="Z149" s="58">
        <v>0</v>
      </c>
      <c r="AA149" s="29">
        <v>0</v>
      </c>
      <c r="AB149" s="30">
        <f t="shared" si="164"/>
        <v>0</v>
      </c>
      <c r="AC149" s="28">
        <f>PRODUCTION!AD149+'SUPLIER INWARD'!AD149</f>
        <v>0</v>
      </c>
      <c r="AD149" s="58">
        <v>0</v>
      </c>
      <c r="AE149" s="29">
        <v>0</v>
      </c>
      <c r="AF149" s="30">
        <f t="shared" si="165"/>
        <v>0</v>
      </c>
      <c r="AG149" s="28">
        <f>PRODUCTION!AH149+'SUPLIER INWARD'!AH149</f>
        <v>0</v>
      </c>
      <c r="AH149" s="58">
        <v>0</v>
      </c>
      <c r="AI149" s="29">
        <v>0</v>
      </c>
      <c r="AJ149" s="30">
        <f t="shared" si="166"/>
        <v>0</v>
      </c>
      <c r="AK149" s="28">
        <f>PRODUCTION!AL149+'SUPLIER INWARD'!AL149</f>
        <v>0</v>
      </c>
      <c r="AL149" s="58">
        <v>0</v>
      </c>
      <c r="AM149" s="29">
        <v>0</v>
      </c>
      <c r="AN149" s="30">
        <f t="shared" si="167"/>
        <v>0</v>
      </c>
      <c r="AO149" s="28">
        <f>PRODUCTION!AP149+'SUPLIER INWARD'!AP149</f>
        <v>0</v>
      </c>
      <c r="AP149" s="28"/>
      <c r="AQ149" s="29">
        <v>0</v>
      </c>
      <c r="AR149" s="30">
        <f t="shared" si="168"/>
        <v>0</v>
      </c>
      <c r="AS149" s="28">
        <f>PRODUCTION!AT149+'SUPLIER INWARD'!AT149</f>
        <v>0</v>
      </c>
      <c r="AT149" s="28">
        <v>0</v>
      </c>
      <c r="AU149" s="29">
        <v>0</v>
      </c>
      <c r="AV149" s="30">
        <f t="shared" si="169"/>
        <v>0</v>
      </c>
      <c r="AW149" s="28">
        <f>PRODUCTION!AX149+'SUPLIER INWARD'!AX149</f>
        <v>0</v>
      </c>
      <c r="AX149" s="28"/>
      <c r="AY149" s="29"/>
      <c r="AZ149" s="30">
        <f t="shared" si="170"/>
        <v>0</v>
      </c>
      <c r="BA149" s="28">
        <f>PRODUCTION!BB149+'SUPLIER INWARD'!BB149</f>
        <v>0</v>
      </c>
      <c r="BB149" s="58">
        <v>0</v>
      </c>
      <c r="BC149" s="29">
        <v>0</v>
      </c>
      <c r="BD149" s="30">
        <f t="shared" si="171"/>
        <v>0</v>
      </c>
      <c r="BE149" s="28">
        <f>PRODUCTION!BF149+'SUPLIER INWARD'!BF149</f>
        <v>0</v>
      </c>
      <c r="BF149" s="58"/>
      <c r="BG149" s="29">
        <v>0</v>
      </c>
      <c r="BH149" s="30">
        <f t="shared" si="172"/>
        <v>0</v>
      </c>
      <c r="BI149" s="28">
        <f>PRODUCTION!BJ149+'SUPLIER INWARD'!BJ149</f>
        <v>0</v>
      </c>
      <c r="BJ149" s="58">
        <v>0</v>
      </c>
      <c r="BK149" s="29">
        <v>0</v>
      </c>
      <c r="BL149" s="30">
        <f t="shared" si="173"/>
        <v>0</v>
      </c>
      <c r="BM149" s="28">
        <f>PRODUCTION!BN149+'SUPLIER INWARD'!BN149</f>
        <v>0</v>
      </c>
      <c r="BN149" s="58">
        <v>0</v>
      </c>
      <c r="BO149" s="29">
        <v>0</v>
      </c>
      <c r="BP149" s="30">
        <f t="shared" si="174"/>
        <v>0</v>
      </c>
      <c r="BQ149" s="28">
        <f>PRODUCTION!BR149+'SUPLIER INWARD'!BR149</f>
        <v>0</v>
      </c>
      <c r="BR149" s="58">
        <v>0</v>
      </c>
      <c r="BS149" s="29">
        <v>0</v>
      </c>
      <c r="BT149" s="30">
        <f t="shared" si="175"/>
        <v>0</v>
      </c>
      <c r="BU149" s="28">
        <f>PRODUCTION!BV149+'SUPLIER INWARD'!BV149</f>
        <v>0</v>
      </c>
      <c r="BV149" s="58">
        <v>0</v>
      </c>
      <c r="BW149" s="29">
        <v>0</v>
      </c>
      <c r="BX149" s="30">
        <f t="shared" si="176"/>
        <v>0</v>
      </c>
      <c r="BY149" s="28">
        <f>PRODUCTION!BZ149+'SUPLIER INWARD'!BZ149</f>
        <v>0</v>
      </c>
      <c r="BZ149" s="58"/>
      <c r="CA149" s="29">
        <v>0</v>
      </c>
      <c r="CB149" s="30">
        <f t="shared" si="177"/>
        <v>0</v>
      </c>
      <c r="CC149" s="28">
        <f>PRODUCTION!CD149+'SUPLIER INWARD'!CD149</f>
        <v>0</v>
      </c>
      <c r="CD149" s="58">
        <v>0</v>
      </c>
      <c r="CE149" s="29">
        <v>0</v>
      </c>
      <c r="CF149" s="30">
        <f t="shared" si="178"/>
        <v>0</v>
      </c>
      <c r="CG149" s="28">
        <f>PRODUCTION!CH149+'SUPLIER INWARD'!CH149</f>
        <v>0</v>
      </c>
      <c r="CH149" s="58">
        <v>0</v>
      </c>
      <c r="CI149" s="29">
        <v>0</v>
      </c>
      <c r="CJ149" s="30">
        <f t="shared" si="179"/>
        <v>0</v>
      </c>
      <c r="CK149" s="28">
        <f>PRODUCTION!CL149+'SUPLIER INWARD'!CL149</f>
        <v>0</v>
      </c>
      <c r="CL149" s="58"/>
      <c r="CM149" s="152"/>
      <c r="CN149" s="30">
        <f t="shared" si="180"/>
        <v>0</v>
      </c>
      <c r="CO149" s="28">
        <f>PRODUCTION!CP149+'SUPLIER INWARD'!CP149</f>
        <v>0</v>
      </c>
      <c r="CP149" s="58">
        <v>0</v>
      </c>
      <c r="CQ149" s="29">
        <v>0</v>
      </c>
      <c r="CR149" s="30">
        <f t="shared" si="181"/>
        <v>0</v>
      </c>
      <c r="CS149" s="28">
        <f>PRODUCTION!CT149+'SUPLIER INWARD'!CT149</f>
        <v>0</v>
      </c>
      <c r="CT149" s="28">
        <v>0</v>
      </c>
      <c r="CU149" s="29">
        <v>0</v>
      </c>
      <c r="CV149" s="30">
        <f t="shared" si="182"/>
        <v>0</v>
      </c>
      <c r="CW149" s="28">
        <f>PRODUCTION!CX149+'SUPLIER INWARD'!CX149</f>
        <v>0</v>
      </c>
      <c r="CX149" s="58">
        <v>0</v>
      </c>
      <c r="CY149" s="29">
        <v>0</v>
      </c>
      <c r="CZ149" s="30">
        <f t="shared" si="183"/>
        <v>0</v>
      </c>
      <c r="DA149" s="28">
        <f>PRODUCTION!DB149+'SUPLIER INWARD'!DB149</f>
        <v>0</v>
      </c>
      <c r="DB149" s="58"/>
      <c r="DC149" s="29"/>
      <c r="DD149" s="30">
        <f t="shared" si="184"/>
        <v>0</v>
      </c>
      <c r="DE149" s="28">
        <f>PRODUCTION!DF149+'SUPLIER INWARD'!DF149</f>
        <v>0</v>
      </c>
      <c r="DF149" s="58">
        <v>0</v>
      </c>
      <c r="DG149" s="29">
        <v>0</v>
      </c>
      <c r="DH149" s="30">
        <f t="shared" si="185"/>
        <v>0</v>
      </c>
      <c r="DI149" s="28">
        <f>PRODUCTION!DJ149+'SUPLIER INWARD'!DJ149</f>
        <v>0</v>
      </c>
      <c r="DJ149" s="58">
        <v>0</v>
      </c>
      <c r="DK149" s="29">
        <v>0</v>
      </c>
      <c r="DL149" s="30">
        <f t="shared" si="186"/>
        <v>0</v>
      </c>
      <c r="DM149" s="28">
        <f>PRODUCTION!DN149+'SUPLIER INWARD'!DN149</f>
        <v>0</v>
      </c>
      <c r="DN149" s="58">
        <v>0</v>
      </c>
      <c r="DO149" s="29"/>
      <c r="DP149" s="30">
        <f t="shared" si="187"/>
        <v>0</v>
      </c>
      <c r="DQ149" s="28">
        <f>PRODUCTION!DR149+'SUPLIER INWARD'!DR149</f>
        <v>0</v>
      </c>
      <c r="DR149" s="57"/>
      <c r="DS149" s="29"/>
      <c r="DT149" s="30">
        <f t="shared" si="188"/>
        <v>0</v>
      </c>
      <c r="DU149" s="28">
        <f>PRODUCTION!DV149+'SUPLIER INWARD'!DV149</f>
        <v>0</v>
      </c>
      <c r="DV149" s="58"/>
      <c r="DW149" s="29"/>
      <c r="DX149" s="30">
        <f t="shared" si="189"/>
        <v>0</v>
      </c>
      <c r="DY149" s="141">
        <f t="shared" si="192"/>
        <v>0</v>
      </c>
      <c r="DZ149" s="141">
        <f t="shared" si="190"/>
        <v>0</v>
      </c>
      <c r="EA149" s="4">
        <f t="shared" si="191"/>
        <v>0</v>
      </c>
      <c r="EB149" s="9">
        <f>D149*'MASTER SHEET'!D149</f>
        <v>0</v>
      </c>
      <c r="EC149" s="9">
        <f>H149*'MASTER SHEET'!D149</f>
        <v>0</v>
      </c>
      <c r="ED149" s="9">
        <f>L149*'MASTER SHEET'!D149</f>
        <v>0</v>
      </c>
      <c r="EE149" s="9">
        <f>P149*'MASTER SHEET'!D149</f>
        <v>0</v>
      </c>
      <c r="EF149" s="9">
        <f>T149*'MASTER SHEET'!D149</f>
        <v>0</v>
      </c>
      <c r="EG149" s="9">
        <f>X149*'MASTER SHEET'!D149</f>
        <v>0</v>
      </c>
      <c r="EH149" s="9">
        <f>AB149*'MASTER SHEET'!D149</f>
        <v>0</v>
      </c>
      <c r="EI149" s="9">
        <f>AF149*'MASTER SHEET'!D149</f>
        <v>0</v>
      </c>
      <c r="EJ149" s="9">
        <f>AJ149*'MASTER SHEET'!D149</f>
        <v>0</v>
      </c>
      <c r="EK149" s="9">
        <f>AN149*'MASTER SHEET'!D149</f>
        <v>0</v>
      </c>
      <c r="EL149" s="9">
        <f>AR149*'MASTER SHEET'!D149</f>
        <v>0</v>
      </c>
      <c r="EM149" s="9">
        <f>AV149*'MASTER SHEET'!D149</f>
        <v>0</v>
      </c>
      <c r="EN149" s="9">
        <f>AZ149*'MASTER SHEET'!D149</f>
        <v>0</v>
      </c>
      <c r="EO149" s="9">
        <f>BD149*'MASTER SHEET'!D149</f>
        <v>0</v>
      </c>
      <c r="EP149" s="9">
        <f>$BH149*'MASTER SHEET'!$D149</f>
        <v>0</v>
      </c>
      <c r="EQ149" s="9">
        <f>BL149*'MASTER SHEET'!D149</f>
        <v>0</v>
      </c>
      <c r="ER149" s="9">
        <f>BP149*'MASTER SHEET'!D149</f>
        <v>0</v>
      </c>
      <c r="ES149" s="9">
        <f>BT149*'MASTER SHEET'!D149</f>
        <v>0</v>
      </c>
      <c r="ET149" s="9">
        <f>BX149*'MASTER SHEET'!D149</f>
        <v>0</v>
      </c>
      <c r="EU149" s="9">
        <f>CB149*'MASTER SHEET'!D149</f>
        <v>0</v>
      </c>
      <c r="EV149" s="9">
        <f>CF149*'MASTER SHEET'!D149</f>
        <v>0</v>
      </c>
      <c r="EW149" s="9">
        <f>CJ149*'MASTER SHEET'!D149</f>
        <v>0</v>
      </c>
      <c r="EX149" s="9">
        <f>CN149*'MASTER SHEET'!D149</f>
        <v>0</v>
      </c>
      <c r="EY149" s="9">
        <f>CR149*'MASTER SHEET'!D149</f>
        <v>0</v>
      </c>
      <c r="EZ149" s="9">
        <f>$CV149*'MASTER SHEET'!D149</f>
        <v>0</v>
      </c>
      <c r="FA149" s="9">
        <f>CZ149*'MASTER SHEET'!D149</f>
        <v>0</v>
      </c>
      <c r="FB149" s="9">
        <f>DD149*'MASTER SHEET'!D149</f>
        <v>0</v>
      </c>
      <c r="FC149" s="9">
        <f>DH149*'MASTER SHEET'!D149</f>
        <v>0</v>
      </c>
      <c r="FD149" s="9">
        <f>DL149*'MASTER SHEET'!D149</f>
        <v>0</v>
      </c>
      <c r="FE149" s="9">
        <f>DP149*'MASTER SHEET'!D149</f>
        <v>0</v>
      </c>
      <c r="FF149" s="9">
        <f>DT149*'MASTER SHEET'!D149</f>
        <v>0</v>
      </c>
      <c r="FG149" s="9">
        <f>+DX149*'MASTER SHEET'!D149</f>
        <v>0</v>
      </c>
    </row>
    <row r="150" spans="1:163" ht="20.25" customHeight="1" x14ac:dyDescent="0.25">
      <c r="A150" s="25">
        <f>'MASTER SHEET'!A150</f>
        <v>148</v>
      </c>
      <c r="B150" s="168" t="str">
        <f>'MASTER SHEET'!B150</f>
        <v>CLAMP</v>
      </c>
      <c r="C150" s="169">
        <f>'MASTER SHEET'!C150</f>
        <v>62487</v>
      </c>
      <c r="D150" s="159">
        <v>0</v>
      </c>
      <c r="E150" s="28">
        <f>PRODUCTION!F150+'SUPLIER INWARD'!F150</f>
        <v>0</v>
      </c>
      <c r="F150" s="28"/>
      <c r="G150" s="29">
        <v>0</v>
      </c>
      <c r="H150" s="30">
        <f t="shared" si="159"/>
        <v>0</v>
      </c>
      <c r="I150" s="28">
        <f>PRODUCTION!J150+'SUPLIER INWARD'!J150</f>
        <v>0</v>
      </c>
      <c r="J150" s="28"/>
      <c r="K150" s="29">
        <v>0</v>
      </c>
      <c r="L150" s="30">
        <f t="shared" si="160"/>
        <v>0</v>
      </c>
      <c r="M150" s="28">
        <f>PRODUCTION!N150+'SUPLIER INWARD'!N150</f>
        <v>0</v>
      </c>
      <c r="N150" s="58"/>
      <c r="O150" s="29"/>
      <c r="P150" s="30">
        <f t="shared" si="161"/>
        <v>0</v>
      </c>
      <c r="Q150" s="28">
        <f>PRODUCTION!R150+'SUPLIER INWARD'!R150</f>
        <v>0</v>
      </c>
      <c r="R150" s="58"/>
      <c r="S150" s="29">
        <v>0</v>
      </c>
      <c r="T150" s="30">
        <f t="shared" si="162"/>
        <v>0</v>
      </c>
      <c r="U150" s="28">
        <f>PRODUCTION!V150+'SUPLIER INWARD'!V150</f>
        <v>0</v>
      </c>
      <c r="V150" s="58">
        <v>0</v>
      </c>
      <c r="W150" s="29">
        <v>0</v>
      </c>
      <c r="X150" s="30">
        <f t="shared" si="163"/>
        <v>0</v>
      </c>
      <c r="Y150" s="28">
        <f>PRODUCTION!Z150+'SUPLIER INWARD'!Z150</f>
        <v>0</v>
      </c>
      <c r="Z150" s="58">
        <v>0</v>
      </c>
      <c r="AA150" s="29">
        <v>0</v>
      </c>
      <c r="AB150" s="30">
        <f t="shared" si="164"/>
        <v>0</v>
      </c>
      <c r="AC150" s="28">
        <f>PRODUCTION!AD150+'SUPLIER INWARD'!AD150</f>
        <v>0</v>
      </c>
      <c r="AD150" s="58">
        <v>0</v>
      </c>
      <c r="AE150" s="29">
        <v>0</v>
      </c>
      <c r="AF150" s="30">
        <f t="shared" si="165"/>
        <v>0</v>
      </c>
      <c r="AG150" s="28">
        <f>PRODUCTION!AH150+'SUPLIER INWARD'!AH150</f>
        <v>0</v>
      </c>
      <c r="AH150" s="58">
        <v>0</v>
      </c>
      <c r="AI150" s="29">
        <v>0</v>
      </c>
      <c r="AJ150" s="30">
        <f t="shared" si="166"/>
        <v>0</v>
      </c>
      <c r="AK150" s="28">
        <f>PRODUCTION!AL150+'SUPLIER INWARD'!AL150</f>
        <v>0</v>
      </c>
      <c r="AL150" s="58">
        <v>0</v>
      </c>
      <c r="AM150" s="29">
        <v>0</v>
      </c>
      <c r="AN150" s="30">
        <f t="shared" si="167"/>
        <v>0</v>
      </c>
      <c r="AO150" s="28">
        <f>PRODUCTION!AP150+'SUPLIER INWARD'!AP150</f>
        <v>0</v>
      </c>
      <c r="AP150" s="28"/>
      <c r="AQ150" s="29">
        <v>0</v>
      </c>
      <c r="AR150" s="30">
        <f t="shared" si="168"/>
        <v>0</v>
      </c>
      <c r="AS150" s="28">
        <f>PRODUCTION!AT150+'SUPLIER INWARD'!AT150</f>
        <v>0</v>
      </c>
      <c r="AT150" s="28">
        <v>0</v>
      </c>
      <c r="AU150" s="29">
        <v>0</v>
      </c>
      <c r="AV150" s="30">
        <f t="shared" si="169"/>
        <v>0</v>
      </c>
      <c r="AW150" s="28">
        <f>PRODUCTION!AX150+'SUPLIER INWARD'!AX150</f>
        <v>0</v>
      </c>
      <c r="AX150" s="28"/>
      <c r="AY150" s="29"/>
      <c r="AZ150" s="30">
        <f t="shared" si="170"/>
        <v>0</v>
      </c>
      <c r="BA150" s="28">
        <f>PRODUCTION!BB150+'SUPLIER INWARD'!BB150</f>
        <v>12190</v>
      </c>
      <c r="BB150" s="58">
        <v>0</v>
      </c>
      <c r="BC150" s="29">
        <v>0</v>
      </c>
      <c r="BD150" s="30">
        <f t="shared" si="171"/>
        <v>12190</v>
      </c>
      <c r="BE150" s="28">
        <f>PRODUCTION!BF150+'SUPLIER INWARD'!BF150</f>
        <v>4620</v>
      </c>
      <c r="BF150" s="58">
        <v>10000</v>
      </c>
      <c r="BG150" s="29">
        <v>60</v>
      </c>
      <c r="BH150" s="30">
        <f t="shared" si="172"/>
        <v>6750</v>
      </c>
      <c r="BI150" s="28">
        <f>PRODUCTION!BJ150+'SUPLIER INWARD'!BJ150</f>
        <v>0</v>
      </c>
      <c r="BJ150" s="58">
        <v>0</v>
      </c>
      <c r="BK150" s="29">
        <v>0</v>
      </c>
      <c r="BL150" s="30">
        <f t="shared" si="173"/>
        <v>6750</v>
      </c>
      <c r="BM150" s="28">
        <f>PRODUCTION!BN150+'SUPLIER INWARD'!BN150</f>
        <v>0</v>
      </c>
      <c r="BN150" s="58">
        <v>0</v>
      </c>
      <c r="BO150" s="29">
        <v>0</v>
      </c>
      <c r="BP150" s="30">
        <f t="shared" si="174"/>
        <v>6750</v>
      </c>
      <c r="BQ150" s="28">
        <f>PRODUCTION!BR150+'SUPLIER INWARD'!BR150</f>
        <v>0</v>
      </c>
      <c r="BR150" s="58">
        <v>0</v>
      </c>
      <c r="BS150" s="29">
        <v>0</v>
      </c>
      <c r="BT150" s="30">
        <f t="shared" si="175"/>
        <v>6750</v>
      </c>
      <c r="BU150" s="28">
        <f>PRODUCTION!BV150+'SUPLIER INWARD'!BV150</f>
        <v>0</v>
      </c>
      <c r="BV150" s="58">
        <v>0</v>
      </c>
      <c r="BW150" s="29">
        <v>0</v>
      </c>
      <c r="BX150" s="30">
        <f t="shared" si="176"/>
        <v>6750</v>
      </c>
      <c r="BY150" s="28">
        <f>PRODUCTION!BZ150+'SUPLIER INWARD'!BZ150</f>
        <v>0</v>
      </c>
      <c r="BZ150" s="58"/>
      <c r="CA150" s="29">
        <v>0</v>
      </c>
      <c r="CB150" s="30">
        <f t="shared" si="177"/>
        <v>6750</v>
      </c>
      <c r="CC150" s="28">
        <f>PRODUCTION!CD150+'SUPLIER INWARD'!CD150</f>
        <v>0</v>
      </c>
      <c r="CD150" s="58">
        <v>4000</v>
      </c>
      <c r="CE150" s="29">
        <v>13</v>
      </c>
      <c r="CF150" s="30">
        <f t="shared" si="178"/>
        <v>2737</v>
      </c>
      <c r="CG150" s="28">
        <f>PRODUCTION!CH150+'SUPLIER INWARD'!CH150</f>
        <v>0</v>
      </c>
      <c r="CH150" s="58">
        <v>0</v>
      </c>
      <c r="CI150" s="29">
        <v>0</v>
      </c>
      <c r="CJ150" s="30">
        <f t="shared" si="179"/>
        <v>2737</v>
      </c>
      <c r="CK150" s="28">
        <f>PRODUCTION!CL150+'SUPLIER INWARD'!CL150</f>
        <v>0</v>
      </c>
      <c r="CL150" s="58"/>
      <c r="CM150" s="152"/>
      <c r="CN150" s="30">
        <f t="shared" si="180"/>
        <v>2737</v>
      </c>
      <c r="CO150" s="28">
        <f>PRODUCTION!CP150+'SUPLIER INWARD'!CP150</f>
        <v>0</v>
      </c>
      <c r="CP150" s="58">
        <v>0</v>
      </c>
      <c r="CQ150" s="29">
        <v>0</v>
      </c>
      <c r="CR150" s="30">
        <f t="shared" si="181"/>
        <v>2737</v>
      </c>
      <c r="CS150" s="28">
        <f>PRODUCTION!CT150+'SUPLIER INWARD'!CT150</f>
        <v>0</v>
      </c>
      <c r="CT150" s="28">
        <v>0</v>
      </c>
      <c r="CU150" s="29">
        <v>0</v>
      </c>
      <c r="CV150" s="30">
        <f t="shared" si="182"/>
        <v>2737</v>
      </c>
      <c r="CW150" s="28">
        <f>PRODUCTION!CX150+'SUPLIER INWARD'!CX150</f>
        <v>0</v>
      </c>
      <c r="CX150" s="58">
        <v>0</v>
      </c>
      <c r="CY150" s="29">
        <v>0</v>
      </c>
      <c r="CZ150" s="30">
        <f t="shared" si="183"/>
        <v>2737</v>
      </c>
      <c r="DA150" s="28">
        <f>PRODUCTION!DB150+'SUPLIER INWARD'!DB150</f>
        <v>0</v>
      </c>
      <c r="DB150" s="58"/>
      <c r="DC150" s="29"/>
      <c r="DD150" s="30">
        <f t="shared" si="184"/>
        <v>2737</v>
      </c>
      <c r="DE150" s="28">
        <f>PRODUCTION!DF150+'SUPLIER INWARD'!DF150</f>
        <v>0</v>
      </c>
      <c r="DF150" s="58">
        <v>0</v>
      </c>
      <c r="DG150" s="29">
        <v>0</v>
      </c>
      <c r="DH150" s="30">
        <f t="shared" si="185"/>
        <v>2737</v>
      </c>
      <c r="DI150" s="28">
        <f>PRODUCTION!DJ150+'SUPLIER INWARD'!DJ150</f>
        <v>0</v>
      </c>
      <c r="DJ150" s="58">
        <v>0</v>
      </c>
      <c r="DK150" s="29">
        <v>0</v>
      </c>
      <c r="DL150" s="30">
        <f t="shared" si="186"/>
        <v>2737</v>
      </c>
      <c r="DM150" s="28">
        <f>PRODUCTION!DN150+'SUPLIER INWARD'!DN150</f>
        <v>0</v>
      </c>
      <c r="DN150" s="58">
        <v>0</v>
      </c>
      <c r="DO150" s="29"/>
      <c r="DP150" s="30">
        <f t="shared" si="187"/>
        <v>2737</v>
      </c>
      <c r="DQ150" s="28">
        <f>PRODUCTION!DR150+'SUPLIER INWARD'!DR150</f>
        <v>0</v>
      </c>
      <c r="DR150" s="57"/>
      <c r="DS150" s="29"/>
      <c r="DT150" s="30">
        <f t="shared" si="188"/>
        <v>2737</v>
      </c>
      <c r="DU150" s="28">
        <f>PRODUCTION!DV150+'SUPLIER INWARD'!DV150</f>
        <v>0</v>
      </c>
      <c r="DV150" s="58"/>
      <c r="DW150" s="29"/>
      <c r="DX150" s="30">
        <f t="shared" si="189"/>
        <v>2737</v>
      </c>
      <c r="DY150" s="141">
        <f t="shared" si="192"/>
        <v>16810</v>
      </c>
      <c r="DZ150" s="141">
        <f t="shared" si="190"/>
        <v>14000</v>
      </c>
      <c r="EA150" s="4">
        <f t="shared" si="191"/>
        <v>73</v>
      </c>
      <c r="EB150" s="9">
        <f>D150*'MASTER SHEET'!D150</f>
        <v>0</v>
      </c>
      <c r="EC150" s="9">
        <f>H150*'MASTER SHEET'!D150</f>
        <v>0</v>
      </c>
      <c r="ED150" s="9">
        <f>L150*'MASTER SHEET'!D150</f>
        <v>0</v>
      </c>
      <c r="EE150" s="9">
        <f>P150*'MASTER SHEET'!D150</f>
        <v>0</v>
      </c>
      <c r="EF150" s="9">
        <f>T150*'MASTER SHEET'!D150</f>
        <v>0</v>
      </c>
      <c r="EG150" s="9">
        <f>X150*'MASTER SHEET'!D150</f>
        <v>0</v>
      </c>
      <c r="EH150" s="9">
        <f>AB150*'MASTER SHEET'!D150</f>
        <v>0</v>
      </c>
      <c r="EI150" s="9">
        <f>AF150*'MASTER SHEET'!D150</f>
        <v>0</v>
      </c>
      <c r="EJ150" s="9">
        <f>AJ150*'MASTER SHEET'!D150</f>
        <v>0</v>
      </c>
      <c r="EK150" s="9">
        <f>AN150*'MASTER SHEET'!D150</f>
        <v>0</v>
      </c>
      <c r="EL150" s="9">
        <f>AR150*'MASTER SHEET'!D150</f>
        <v>0</v>
      </c>
      <c r="EM150" s="9">
        <f>AV150*'MASTER SHEET'!D150</f>
        <v>0</v>
      </c>
      <c r="EN150" s="9">
        <f>AZ150*'MASTER SHEET'!D150</f>
        <v>0</v>
      </c>
      <c r="EO150" s="9">
        <f>BD150*'MASTER SHEET'!D150</f>
        <v>3535.1</v>
      </c>
      <c r="EP150" s="9">
        <f>$BH150*'MASTER SHEET'!$D150</f>
        <v>1957.4999999999998</v>
      </c>
      <c r="EQ150" s="9">
        <f>BL150*'MASTER SHEET'!D150</f>
        <v>1957.4999999999998</v>
      </c>
      <c r="ER150" s="9">
        <f>BP150*'MASTER SHEET'!D150</f>
        <v>1957.4999999999998</v>
      </c>
      <c r="ES150" s="9">
        <f>BT150*'MASTER SHEET'!D150</f>
        <v>1957.4999999999998</v>
      </c>
      <c r="ET150" s="9">
        <f>BX150*'MASTER SHEET'!D150</f>
        <v>1957.4999999999998</v>
      </c>
      <c r="EU150" s="9">
        <f>CB150*'MASTER SHEET'!D150</f>
        <v>1957.4999999999998</v>
      </c>
      <c r="EV150" s="9">
        <f>CF150*'MASTER SHEET'!D150</f>
        <v>793.7299999999999</v>
      </c>
      <c r="EW150" s="9">
        <f>CJ150*'MASTER SHEET'!D150</f>
        <v>793.7299999999999</v>
      </c>
      <c r="EX150" s="9">
        <f>CN150*'MASTER SHEET'!D150</f>
        <v>793.7299999999999</v>
      </c>
      <c r="EY150" s="9">
        <f>CR150*'MASTER SHEET'!D150</f>
        <v>793.7299999999999</v>
      </c>
      <c r="EZ150" s="9">
        <f>$CV150*'MASTER SHEET'!D150</f>
        <v>793.7299999999999</v>
      </c>
      <c r="FA150" s="9">
        <f>CZ150*'MASTER SHEET'!D150</f>
        <v>793.7299999999999</v>
      </c>
      <c r="FB150" s="9">
        <f>DD150*'MASTER SHEET'!D150</f>
        <v>793.7299999999999</v>
      </c>
      <c r="FC150" s="9">
        <f>DH150*'MASTER SHEET'!D150</f>
        <v>793.7299999999999</v>
      </c>
      <c r="FD150" s="9">
        <f>DL150*'MASTER SHEET'!D150</f>
        <v>793.7299999999999</v>
      </c>
      <c r="FE150" s="9">
        <f>DP150*'MASTER SHEET'!D150</f>
        <v>793.7299999999999</v>
      </c>
      <c r="FF150" s="9">
        <f>DT150*'MASTER SHEET'!D150</f>
        <v>793.7299999999999</v>
      </c>
      <c r="FG150" s="9">
        <f>+DX150*'MASTER SHEET'!D150</f>
        <v>793.7299999999999</v>
      </c>
    </row>
    <row r="151" spans="1:163" ht="20.25" customHeight="1" x14ac:dyDescent="0.25">
      <c r="A151" s="25">
        <f>'MASTER SHEET'!A151</f>
        <v>149</v>
      </c>
      <c r="B151" s="168" t="str">
        <f>'MASTER SHEET'!B151</f>
        <v>CLIP PIN</v>
      </c>
      <c r="C151" s="169">
        <f>'MASTER SHEET'!C151</f>
        <v>70025</v>
      </c>
      <c r="D151" s="159">
        <v>375</v>
      </c>
      <c r="E151" s="28">
        <f>PRODUCTION!F151+'SUPLIER INWARD'!F151</f>
        <v>0</v>
      </c>
      <c r="F151" s="28"/>
      <c r="G151" s="29">
        <v>0</v>
      </c>
      <c r="H151" s="30">
        <f t="shared" si="159"/>
        <v>375</v>
      </c>
      <c r="I151" s="28">
        <f>PRODUCTION!J151+'SUPLIER INWARD'!J151</f>
        <v>0</v>
      </c>
      <c r="J151" s="28"/>
      <c r="K151" s="29">
        <v>0</v>
      </c>
      <c r="L151" s="30">
        <f t="shared" si="160"/>
        <v>375</v>
      </c>
      <c r="M151" s="28">
        <f>PRODUCTION!N151+'SUPLIER INWARD'!N151</f>
        <v>0</v>
      </c>
      <c r="N151" s="58"/>
      <c r="O151" s="29"/>
      <c r="P151" s="30">
        <f t="shared" si="161"/>
        <v>375</v>
      </c>
      <c r="Q151" s="28">
        <f>PRODUCTION!R151+'SUPLIER INWARD'!R151</f>
        <v>0</v>
      </c>
      <c r="R151" s="58"/>
      <c r="S151" s="29">
        <v>0</v>
      </c>
      <c r="T151" s="30">
        <f t="shared" si="162"/>
        <v>375</v>
      </c>
      <c r="U151" s="28">
        <f>PRODUCTION!V151+'SUPLIER INWARD'!V151</f>
        <v>0</v>
      </c>
      <c r="V151" s="58">
        <v>0</v>
      </c>
      <c r="W151" s="29">
        <v>0</v>
      </c>
      <c r="X151" s="30">
        <f t="shared" si="163"/>
        <v>375</v>
      </c>
      <c r="Y151" s="28">
        <f>PRODUCTION!Z151+'SUPLIER INWARD'!Z151</f>
        <v>0</v>
      </c>
      <c r="Z151" s="58">
        <v>0</v>
      </c>
      <c r="AA151" s="29">
        <v>0</v>
      </c>
      <c r="AB151" s="30">
        <f t="shared" si="164"/>
        <v>375</v>
      </c>
      <c r="AC151" s="28">
        <f>PRODUCTION!AD151+'SUPLIER INWARD'!AD151</f>
        <v>0</v>
      </c>
      <c r="AD151" s="58">
        <v>0</v>
      </c>
      <c r="AE151" s="29">
        <v>0</v>
      </c>
      <c r="AF151" s="30">
        <f t="shared" si="165"/>
        <v>375</v>
      </c>
      <c r="AG151" s="28">
        <f>PRODUCTION!AH151+'SUPLIER INWARD'!AH151</f>
        <v>0</v>
      </c>
      <c r="AH151" s="58">
        <v>0</v>
      </c>
      <c r="AI151" s="29">
        <v>0</v>
      </c>
      <c r="AJ151" s="30">
        <f t="shared" si="166"/>
        <v>375</v>
      </c>
      <c r="AK151" s="28">
        <f>PRODUCTION!AL151+'SUPLIER INWARD'!AL151</f>
        <v>0</v>
      </c>
      <c r="AL151" s="58">
        <v>0</v>
      </c>
      <c r="AM151" s="29">
        <v>0</v>
      </c>
      <c r="AN151" s="30">
        <f t="shared" si="167"/>
        <v>375</v>
      </c>
      <c r="AO151" s="28">
        <f>PRODUCTION!AP151+'SUPLIER INWARD'!AP151</f>
        <v>0</v>
      </c>
      <c r="AP151" s="28"/>
      <c r="AQ151" s="29">
        <v>0</v>
      </c>
      <c r="AR151" s="30">
        <f t="shared" si="168"/>
        <v>375</v>
      </c>
      <c r="AS151" s="28">
        <f>PRODUCTION!AT151+'SUPLIER INWARD'!AT151</f>
        <v>0</v>
      </c>
      <c r="AT151" s="28">
        <v>0</v>
      </c>
      <c r="AU151" s="29">
        <v>0</v>
      </c>
      <c r="AV151" s="30">
        <f t="shared" si="169"/>
        <v>375</v>
      </c>
      <c r="AW151" s="28">
        <f>PRODUCTION!AX151+'SUPLIER INWARD'!AX151</f>
        <v>0</v>
      </c>
      <c r="AX151" s="28"/>
      <c r="AY151" s="29"/>
      <c r="AZ151" s="30">
        <f t="shared" si="170"/>
        <v>375</v>
      </c>
      <c r="BA151" s="28">
        <f>PRODUCTION!BB151+'SUPLIER INWARD'!BB151</f>
        <v>0</v>
      </c>
      <c r="BB151" s="58">
        <v>0</v>
      </c>
      <c r="BC151" s="29">
        <v>0</v>
      </c>
      <c r="BD151" s="30">
        <f t="shared" si="171"/>
        <v>375</v>
      </c>
      <c r="BE151" s="28">
        <f>PRODUCTION!BF151+'SUPLIER INWARD'!BF151</f>
        <v>0</v>
      </c>
      <c r="BF151" s="58"/>
      <c r="BG151" s="29">
        <v>0</v>
      </c>
      <c r="BH151" s="30">
        <f t="shared" si="172"/>
        <v>375</v>
      </c>
      <c r="BI151" s="28">
        <f>PRODUCTION!BJ151+'SUPLIER INWARD'!BJ151</f>
        <v>0</v>
      </c>
      <c r="BJ151" s="58">
        <v>0</v>
      </c>
      <c r="BK151" s="29">
        <v>0</v>
      </c>
      <c r="BL151" s="30">
        <f t="shared" si="173"/>
        <v>375</v>
      </c>
      <c r="BM151" s="28">
        <f>PRODUCTION!BN151+'SUPLIER INWARD'!BN151</f>
        <v>0</v>
      </c>
      <c r="BN151" s="58">
        <v>0</v>
      </c>
      <c r="BO151" s="29">
        <v>0</v>
      </c>
      <c r="BP151" s="30">
        <f t="shared" si="174"/>
        <v>375</v>
      </c>
      <c r="BQ151" s="28">
        <f>PRODUCTION!BR151+'SUPLIER INWARD'!BR151</f>
        <v>0</v>
      </c>
      <c r="BR151" s="58">
        <v>0</v>
      </c>
      <c r="BS151" s="29">
        <v>0</v>
      </c>
      <c r="BT151" s="30">
        <f t="shared" si="175"/>
        <v>375</v>
      </c>
      <c r="BU151" s="28">
        <f>PRODUCTION!BV151+'SUPLIER INWARD'!BV151</f>
        <v>0</v>
      </c>
      <c r="BV151" s="58">
        <v>0</v>
      </c>
      <c r="BW151" s="29">
        <v>0</v>
      </c>
      <c r="BX151" s="30">
        <f t="shared" si="176"/>
        <v>375</v>
      </c>
      <c r="BY151" s="28">
        <f>PRODUCTION!BZ151+'SUPLIER INWARD'!BZ151</f>
        <v>0</v>
      </c>
      <c r="BZ151" s="58"/>
      <c r="CA151" s="29">
        <v>0</v>
      </c>
      <c r="CB151" s="30">
        <f t="shared" si="177"/>
        <v>375</v>
      </c>
      <c r="CC151" s="28">
        <f>PRODUCTION!CD151+'SUPLIER INWARD'!CD151</f>
        <v>0</v>
      </c>
      <c r="CD151" s="58">
        <v>0</v>
      </c>
      <c r="CE151" s="29">
        <v>0</v>
      </c>
      <c r="CF151" s="30">
        <f t="shared" si="178"/>
        <v>375</v>
      </c>
      <c r="CG151" s="28">
        <f>PRODUCTION!CH151+'SUPLIER INWARD'!CH151</f>
        <v>0</v>
      </c>
      <c r="CH151" s="58">
        <v>0</v>
      </c>
      <c r="CI151" s="29">
        <v>0</v>
      </c>
      <c r="CJ151" s="30">
        <f t="shared" si="179"/>
        <v>375</v>
      </c>
      <c r="CK151" s="28">
        <f>PRODUCTION!CL151+'SUPLIER INWARD'!CL151</f>
        <v>0</v>
      </c>
      <c r="CL151" s="58"/>
      <c r="CM151" s="152"/>
      <c r="CN151" s="30">
        <f t="shared" si="180"/>
        <v>375</v>
      </c>
      <c r="CO151" s="28">
        <f>PRODUCTION!CP151+'SUPLIER INWARD'!CP151</f>
        <v>0</v>
      </c>
      <c r="CP151" s="58">
        <v>0</v>
      </c>
      <c r="CQ151" s="29">
        <v>0</v>
      </c>
      <c r="CR151" s="30">
        <f t="shared" si="181"/>
        <v>375</v>
      </c>
      <c r="CS151" s="28">
        <f>PRODUCTION!CT151+'SUPLIER INWARD'!CT151</f>
        <v>0</v>
      </c>
      <c r="CT151" s="28">
        <v>0</v>
      </c>
      <c r="CU151" s="29">
        <v>0</v>
      </c>
      <c r="CV151" s="30">
        <f t="shared" si="182"/>
        <v>375</v>
      </c>
      <c r="CW151" s="28">
        <f>PRODUCTION!CX151+'SUPLIER INWARD'!CX151</f>
        <v>0</v>
      </c>
      <c r="CX151" s="58">
        <v>0</v>
      </c>
      <c r="CY151" s="29">
        <v>0</v>
      </c>
      <c r="CZ151" s="30">
        <f t="shared" si="183"/>
        <v>375</v>
      </c>
      <c r="DA151" s="28">
        <f>PRODUCTION!DB151+'SUPLIER INWARD'!DB151</f>
        <v>0</v>
      </c>
      <c r="DB151" s="58"/>
      <c r="DC151" s="29"/>
      <c r="DD151" s="30">
        <f t="shared" si="184"/>
        <v>375</v>
      </c>
      <c r="DE151" s="28">
        <f>PRODUCTION!DF151+'SUPLIER INWARD'!DF151</f>
        <v>0</v>
      </c>
      <c r="DF151" s="58">
        <v>0</v>
      </c>
      <c r="DG151" s="29">
        <v>0</v>
      </c>
      <c r="DH151" s="30">
        <f t="shared" si="185"/>
        <v>375</v>
      </c>
      <c r="DI151" s="28">
        <f>PRODUCTION!DJ151+'SUPLIER INWARD'!DJ151</f>
        <v>0</v>
      </c>
      <c r="DJ151" s="58">
        <v>0</v>
      </c>
      <c r="DK151" s="29">
        <v>0</v>
      </c>
      <c r="DL151" s="30">
        <f t="shared" si="186"/>
        <v>375</v>
      </c>
      <c r="DM151" s="28">
        <f>PRODUCTION!DN151+'SUPLIER INWARD'!DN151</f>
        <v>0</v>
      </c>
      <c r="DN151" s="58">
        <v>0</v>
      </c>
      <c r="DO151" s="29"/>
      <c r="DP151" s="30">
        <f t="shared" si="187"/>
        <v>375</v>
      </c>
      <c r="DQ151" s="28">
        <f>PRODUCTION!DR151+'SUPLIER INWARD'!DR151</f>
        <v>0</v>
      </c>
      <c r="DR151" s="57"/>
      <c r="DS151" s="29"/>
      <c r="DT151" s="30">
        <f t="shared" si="188"/>
        <v>375</v>
      </c>
      <c r="DU151" s="28">
        <f>PRODUCTION!DV151+'SUPLIER INWARD'!DV151</f>
        <v>0</v>
      </c>
      <c r="DV151" s="58"/>
      <c r="DW151" s="29"/>
      <c r="DX151" s="30">
        <f t="shared" si="189"/>
        <v>375</v>
      </c>
      <c r="DY151" s="141">
        <f t="shared" si="192"/>
        <v>0</v>
      </c>
      <c r="DZ151" s="141">
        <f t="shared" si="190"/>
        <v>0</v>
      </c>
      <c r="EA151" s="4">
        <f t="shared" si="191"/>
        <v>0</v>
      </c>
      <c r="EB151" s="9">
        <f>D151*'MASTER SHEET'!D151</f>
        <v>765</v>
      </c>
      <c r="EC151" s="9">
        <f>H151*'MASTER SHEET'!D151</f>
        <v>765</v>
      </c>
      <c r="ED151" s="9">
        <f>L151*'MASTER SHEET'!D151</f>
        <v>765</v>
      </c>
      <c r="EE151" s="9">
        <f>P151*'MASTER SHEET'!D151</f>
        <v>765</v>
      </c>
      <c r="EF151" s="9">
        <f>T151*'MASTER SHEET'!D151</f>
        <v>765</v>
      </c>
      <c r="EG151" s="9">
        <f>X151*'MASTER SHEET'!D151</f>
        <v>765</v>
      </c>
      <c r="EH151" s="9">
        <f>AB151*'MASTER SHEET'!D151</f>
        <v>765</v>
      </c>
      <c r="EI151" s="9">
        <f>AF151*'MASTER SHEET'!D151</f>
        <v>765</v>
      </c>
      <c r="EJ151" s="9">
        <f>AJ151*'MASTER SHEET'!D151</f>
        <v>765</v>
      </c>
      <c r="EK151" s="9">
        <f>AN151*'MASTER SHEET'!D151</f>
        <v>765</v>
      </c>
      <c r="EL151" s="9">
        <f>AR151*'MASTER SHEET'!D151</f>
        <v>765</v>
      </c>
      <c r="EM151" s="9">
        <f>AV151*'MASTER SHEET'!D151</f>
        <v>765</v>
      </c>
      <c r="EN151" s="9">
        <f>AZ151*'MASTER SHEET'!D151</f>
        <v>765</v>
      </c>
      <c r="EO151" s="9">
        <f>BD151*'MASTER SHEET'!D151</f>
        <v>765</v>
      </c>
      <c r="EP151" s="9">
        <f>$BH151*'MASTER SHEET'!$D151</f>
        <v>765</v>
      </c>
      <c r="EQ151" s="9">
        <f>BL151*'MASTER SHEET'!D151</f>
        <v>765</v>
      </c>
      <c r="ER151" s="9">
        <f>BP151*'MASTER SHEET'!D151</f>
        <v>765</v>
      </c>
      <c r="ES151" s="9">
        <f>BT151*'MASTER SHEET'!D151</f>
        <v>765</v>
      </c>
      <c r="ET151" s="9">
        <f>BX151*'MASTER SHEET'!D151</f>
        <v>765</v>
      </c>
      <c r="EU151" s="9">
        <f>CB151*'MASTER SHEET'!D151</f>
        <v>765</v>
      </c>
      <c r="EV151" s="9">
        <f>CF151*'MASTER SHEET'!D151</f>
        <v>765</v>
      </c>
      <c r="EW151" s="9">
        <f>CJ151*'MASTER SHEET'!D151</f>
        <v>765</v>
      </c>
      <c r="EX151" s="9">
        <f>CN151*'MASTER SHEET'!D151</f>
        <v>765</v>
      </c>
      <c r="EY151" s="9">
        <f>CR151*'MASTER SHEET'!D151</f>
        <v>765</v>
      </c>
      <c r="EZ151" s="9">
        <f>$CV151*'MASTER SHEET'!D151</f>
        <v>765</v>
      </c>
      <c r="FA151" s="9">
        <f>CZ151*'MASTER SHEET'!D151</f>
        <v>765</v>
      </c>
      <c r="FB151" s="9">
        <f>DD151*'MASTER SHEET'!D151</f>
        <v>765</v>
      </c>
      <c r="FC151" s="9">
        <f>DH151*'MASTER SHEET'!D151</f>
        <v>765</v>
      </c>
      <c r="FD151" s="9">
        <f>DL151*'MASTER SHEET'!D151</f>
        <v>765</v>
      </c>
      <c r="FE151" s="9">
        <f>DP151*'MASTER SHEET'!D151</f>
        <v>765</v>
      </c>
      <c r="FF151" s="9">
        <f>DT151*'MASTER SHEET'!D151</f>
        <v>765</v>
      </c>
      <c r="FG151" s="9">
        <f>+DX151*'MASTER SHEET'!D151</f>
        <v>765</v>
      </c>
    </row>
    <row r="152" spans="1:163" ht="20.25" customHeight="1" x14ac:dyDescent="0.25">
      <c r="A152" s="25">
        <f>'MASTER SHEET'!A152</f>
        <v>150</v>
      </c>
      <c r="B152" s="168" t="str">
        <f>'MASTER SHEET'!B152</f>
        <v>CLIP PIN</v>
      </c>
      <c r="C152" s="169">
        <f>'MASTER SHEET'!C152</f>
        <v>70026</v>
      </c>
      <c r="D152" s="159">
        <v>427</v>
      </c>
      <c r="E152" s="28">
        <f>PRODUCTION!F152+'SUPLIER INWARD'!F152</f>
        <v>0</v>
      </c>
      <c r="F152" s="28"/>
      <c r="G152" s="29">
        <v>0</v>
      </c>
      <c r="H152" s="30">
        <f t="shared" si="159"/>
        <v>427</v>
      </c>
      <c r="I152" s="28">
        <f>PRODUCTION!J152+'SUPLIER INWARD'!J152</f>
        <v>0</v>
      </c>
      <c r="J152" s="28"/>
      <c r="K152" s="29">
        <v>0</v>
      </c>
      <c r="L152" s="30">
        <f t="shared" si="160"/>
        <v>427</v>
      </c>
      <c r="M152" s="28">
        <f>PRODUCTION!N152+'SUPLIER INWARD'!N152</f>
        <v>0</v>
      </c>
      <c r="N152" s="58"/>
      <c r="O152" s="29"/>
      <c r="P152" s="30">
        <f t="shared" si="161"/>
        <v>427</v>
      </c>
      <c r="Q152" s="28">
        <f>PRODUCTION!R152+'SUPLIER INWARD'!R152</f>
        <v>0</v>
      </c>
      <c r="R152" s="58"/>
      <c r="S152" s="29">
        <v>0</v>
      </c>
      <c r="T152" s="30">
        <f t="shared" si="162"/>
        <v>427</v>
      </c>
      <c r="U152" s="28">
        <f>PRODUCTION!V152+'SUPLIER INWARD'!V152</f>
        <v>0</v>
      </c>
      <c r="V152" s="58">
        <v>0</v>
      </c>
      <c r="W152" s="29">
        <v>0</v>
      </c>
      <c r="X152" s="30">
        <f t="shared" si="163"/>
        <v>427</v>
      </c>
      <c r="Y152" s="28">
        <f>PRODUCTION!Z152+'SUPLIER INWARD'!Z152</f>
        <v>0</v>
      </c>
      <c r="Z152" s="58">
        <v>0</v>
      </c>
      <c r="AA152" s="29">
        <v>0</v>
      </c>
      <c r="AB152" s="30">
        <f t="shared" si="164"/>
        <v>427</v>
      </c>
      <c r="AC152" s="28">
        <f>PRODUCTION!AD152+'SUPLIER INWARD'!AD152</f>
        <v>0</v>
      </c>
      <c r="AD152" s="58">
        <v>0</v>
      </c>
      <c r="AE152" s="29">
        <v>0</v>
      </c>
      <c r="AF152" s="30">
        <f t="shared" si="165"/>
        <v>427</v>
      </c>
      <c r="AG152" s="28">
        <f>PRODUCTION!AH152+'SUPLIER INWARD'!AH152</f>
        <v>0</v>
      </c>
      <c r="AH152" s="58">
        <v>0</v>
      </c>
      <c r="AI152" s="29">
        <v>0</v>
      </c>
      <c r="AJ152" s="30">
        <f t="shared" si="166"/>
        <v>427</v>
      </c>
      <c r="AK152" s="28">
        <f>PRODUCTION!AL152+'SUPLIER INWARD'!AL152</f>
        <v>0</v>
      </c>
      <c r="AL152" s="58">
        <v>0</v>
      </c>
      <c r="AM152" s="29">
        <v>0</v>
      </c>
      <c r="AN152" s="30">
        <f t="shared" si="167"/>
        <v>427</v>
      </c>
      <c r="AO152" s="28">
        <f>PRODUCTION!AP152+'SUPLIER INWARD'!AP152</f>
        <v>0</v>
      </c>
      <c r="AP152" s="28"/>
      <c r="AQ152" s="29">
        <v>0</v>
      </c>
      <c r="AR152" s="30">
        <f t="shared" si="168"/>
        <v>427</v>
      </c>
      <c r="AS152" s="28">
        <f>PRODUCTION!AT152+'SUPLIER INWARD'!AT152</f>
        <v>0</v>
      </c>
      <c r="AT152" s="28">
        <v>0</v>
      </c>
      <c r="AU152" s="29">
        <v>0</v>
      </c>
      <c r="AV152" s="30">
        <f t="shared" si="169"/>
        <v>427</v>
      </c>
      <c r="AW152" s="28">
        <f>PRODUCTION!AX152+'SUPLIER INWARD'!AX152</f>
        <v>0</v>
      </c>
      <c r="AX152" s="28"/>
      <c r="AY152" s="29"/>
      <c r="AZ152" s="30">
        <f t="shared" si="170"/>
        <v>427</v>
      </c>
      <c r="BA152" s="28">
        <f>PRODUCTION!BB152+'SUPLIER INWARD'!BB152</f>
        <v>0</v>
      </c>
      <c r="BB152" s="58">
        <v>0</v>
      </c>
      <c r="BC152" s="29">
        <v>0</v>
      </c>
      <c r="BD152" s="30">
        <f t="shared" si="171"/>
        <v>427</v>
      </c>
      <c r="BE152" s="28">
        <f>PRODUCTION!BF152+'SUPLIER INWARD'!BF152</f>
        <v>0</v>
      </c>
      <c r="BF152" s="58"/>
      <c r="BG152" s="29">
        <v>0</v>
      </c>
      <c r="BH152" s="30">
        <f t="shared" si="172"/>
        <v>427</v>
      </c>
      <c r="BI152" s="28">
        <f>PRODUCTION!BJ152+'SUPLIER INWARD'!BJ152</f>
        <v>0</v>
      </c>
      <c r="BJ152" s="58">
        <v>0</v>
      </c>
      <c r="BK152" s="29">
        <v>0</v>
      </c>
      <c r="BL152" s="30">
        <f t="shared" si="173"/>
        <v>427</v>
      </c>
      <c r="BM152" s="28">
        <f>PRODUCTION!BN152+'SUPLIER INWARD'!BN152</f>
        <v>0</v>
      </c>
      <c r="BN152" s="58">
        <v>0</v>
      </c>
      <c r="BO152" s="29">
        <v>0</v>
      </c>
      <c r="BP152" s="30">
        <f t="shared" si="174"/>
        <v>427</v>
      </c>
      <c r="BQ152" s="28">
        <f>PRODUCTION!BR152+'SUPLIER INWARD'!BR152</f>
        <v>0</v>
      </c>
      <c r="BR152" s="58">
        <v>0</v>
      </c>
      <c r="BS152" s="29">
        <v>0</v>
      </c>
      <c r="BT152" s="30">
        <f t="shared" si="175"/>
        <v>427</v>
      </c>
      <c r="BU152" s="28">
        <f>PRODUCTION!BV152+'SUPLIER INWARD'!BV152</f>
        <v>0</v>
      </c>
      <c r="BV152" s="58">
        <v>0</v>
      </c>
      <c r="BW152" s="29">
        <v>0</v>
      </c>
      <c r="BX152" s="30">
        <f t="shared" si="176"/>
        <v>427</v>
      </c>
      <c r="BY152" s="28">
        <f>PRODUCTION!BZ152+'SUPLIER INWARD'!BZ152</f>
        <v>0</v>
      </c>
      <c r="BZ152" s="58"/>
      <c r="CA152" s="29">
        <v>0</v>
      </c>
      <c r="CB152" s="30">
        <f t="shared" si="177"/>
        <v>427</v>
      </c>
      <c r="CC152" s="28">
        <f>PRODUCTION!CD152+'SUPLIER INWARD'!CD152</f>
        <v>0</v>
      </c>
      <c r="CD152" s="58">
        <v>0</v>
      </c>
      <c r="CE152" s="29">
        <v>0</v>
      </c>
      <c r="CF152" s="30">
        <f t="shared" si="178"/>
        <v>427</v>
      </c>
      <c r="CG152" s="28">
        <f>PRODUCTION!CH152+'SUPLIER INWARD'!CH152</f>
        <v>0</v>
      </c>
      <c r="CH152" s="58">
        <v>0</v>
      </c>
      <c r="CI152" s="29">
        <v>0</v>
      </c>
      <c r="CJ152" s="30">
        <f t="shared" si="179"/>
        <v>427</v>
      </c>
      <c r="CK152" s="28">
        <f>PRODUCTION!CL152+'SUPLIER INWARD'!CL152</f>
        <v>0</v>
      </c>
      <c r="CL152" s="58"/>
      <c r="CM152" s="152"/>
      <c r="CN152" s="30">
        <f t="shared" si="180"/>
        <v>427</v>
      </c>
      <c r="CO152" s="28">
        <f>PRODUCTION!CP152+'SUPLIER INWARD'!CP152</f>
        <v>0</v>
      </c>
      <c r="CP152" s="58">
        <v>0</v>
      </c>
      <c r="CQ152" s="29">
        <v>0</v>
      </c>
      <c r="CR152" s="30">
        <f t="shared" si="181"/>
        <v>427</v>
      </c>
      <c r="CS152" s="28">
        <f>PRODUCTION!CT152+'SUPLIER INWARD'!CT152</f>
        <v>0</v>
      </c>
      <c r="CT152" s="28">
        <v>0</v>
      </c>
      <c r="CU152" s="29">
        <v>0</v>
      </c>
      <c r="CV152" s="30">
        <f t="shared" si="182"/>
        <v>427</v>
      </c>
      <c r="CW152" s="28">
        <f>PRODUCTION!CX152+'SUPLIER INWARD'!CX152</f>
        <v>0</v>
      </c>
      <c r="CX152" s="58">
        <v>0</v>
      </c>
      <c r="CY152" s="29">
        <v>0</v>
      </c>
      <c r="CZ152" s="30">
        <f t="shared" si="183"/>
        <v>427</v>
      </c>
      <c r="DA152" s="28">
        <f>PRODUCTION!DB152+'SUPLIER INWARD'!DB152</f>
        <v>0</v>
      </c>
      <c r="DB152" s="58"/>
      <c r="DC152" s="29"/>
      <c r="DD152" s="30">
        <f t="shared" si="184"/>
        <v>427</v>
      </c>
      <c r="DE152" s="28">
        <f>PRODUCTION!DF152+'SUPLIER INWARD'!DF152</f>
        <v>0</v>
      </c>
      <c r="DF152" s="58">
        <v>0</v>
      </c>
      <c r="DG152" s="29">
        <v>0</v>
      </c>
      <c r="DH152" s="30">
        <f t="shared" si="185"/>
        <v>427</v>
      </c>
      <c r="DI152" s="28">
        <f>PRODUCTION!DJ152+'SUPLIER INWARD'!DJ152</f>
        <v>0</v>
      </c>
      <c r="DJ152" s="58">
        <v>0</v>
      </c>
      <c r="DK152" s="29">
        <v>0</v>
      </c>
      <c r="DL152" s="30">
        <f t="shared" si="186"/>
        <v>427</v>
      </c>
      <c r="DM152" s="28">
        <f>PRODUCTION!DN152+'SUPLIER INWARD'!DN152</f>
        <v>0</v>
      </c>
      <c r="DN152" s="58">
        <v>0</v>
      </c>
      <c r="DO152" s="29"/>
      <c r="DP152" s="30">
        <f t="shared" si="187"/>
        <v>427</v>
      </c>
      <c r="DQ152" s="28">
        <f>PRODUCTION!DR152+'SUPLIER INWARD'!DR152</f>
        <v>0</v>
      </c>
      <c r="DR152" s="57"/>
      <c r="DS152" s="29"/>
      <c r="DT152" s="30">
        <f t="shared" si="188"/>
        <v>427</v>
      </c>
      <c r="DU152" s="28">
        <f>PRODUCTION!DV152+'SUPLIER INWARD'!DV152</f>
        <v>0</v>
      </c>
      <c r="DV152" s="58"/>
      <c r="DW152" s="29"/>
      <c r="DX152" s="30">
        <f t="shared" si="189"/>
        <v>427</v>
      </c>
      <c r="DY152" s="141">
        <f t="shared" si="192"/>
        <v>0</v>
      </c>
      <c r="DZ152" s="141">
        <f t="shared" si="190"/>
        <v>0</v>
      </c>
      <c r="EA152" s="4">
        <f t="shared" si="191"/>
        <v>0</v>
      </c>
      <c r="EB152" s="9">
        <f>D152*'MASTER SHEET'!D152</f>
        <v>525.21</v>
      </c>
      <c r="EC152" s="9">
        <f>H152*'MASTER SHEET'!D152</f>
        <v>525.21</v>
      </c>
      <c r="ED152" s="9">
        <f>L152*'MASTER SHEET'!D152</f>
        <v>525.21</v>
      </c>
      <c r="EE152" s="9">
        <f>P152*'MASTER SHEET'!D152</f>
        <v>525.21</v>
      </c>
      <c r="EF152" s="9">
        <f>T152*'MASTER SHEET'!D152</f>
        <v>525.21</v>
      </c>
      <c r="EG152" s="9">
        <f>X152*'MASTER SHEET'!D152</f>
        <v>525.21</v>
      </c>
      <c r="EH152" s="9">
        <f>AB152*'MASTER SHEET'!D152</f>
        <v>525.21</v>
      </c>
      <c r="EI152" s="9">
        <f>AF152*'MASTER SHEET'!D152</f>
        <v>525.21</v>
      </c>
      <c r="EJ152" s="9">
        <f>AJ152*'MASTER SHEET'!D152</f>
        <v>525.21</v>
      </c>
      <c r="EK152" s="9">
        <f>AN152*'MASTER SHEET'!D152</f>
        <v>525.21</v>
      </c>
      <c r="EL152" s="9">
        <f>AR152*'MASTER SHEET'!D152</f>
        <v>525.21</v>
      </c>
      <c r="EM152" s="9">
        <f>AV152*'MASTER SHEET'!D152</f>
        <v>525.21</v>
      </c>
      <c r="EN152" s="9">
        <f>AZ152*'MASTER SHEET'!D152</f>
        <v>525.21</v>
      </c>
      <c r="EO152" s="9">
        <f>BD152*'MASTER SHEET'!D152</f>
        <v>525.21</v>
      </c>
      <c r="EP152" s="9">
        <f>$BH152*'MASTER SHEET'!$D152</f>
        <v>525.21</v>
      </c>
      <c r="EQ152" s="9">
        <f>BL152*'MASTER SHEET'!D152</f>
        <v>525.21</v>
      </c>
      <c r="ER152" s="9">
        <f>BP152*'MASTER SHEET'!D152</f>
        <v>525.21</v>
      </c>
      <c r="ES152" s="9">
        <f>BT152*'MASTER SHEET'!D152</f>
        <v>525.21</v>
      </c>
      <c r="ET152" s="9">
        <f>BX152*'MASTER SHEET'!D152</f>
        <v>525.21</v>
      </c>
      <c r="EU152" s="9">
        <f>CB152*'MASTER SHEET'!D152</f>
        <v>525.21</v>
      </c>
      <c r="EV152" s="9">
        <f>CF152*'MASTER SHEET'!D152</f>
        <v>525.21</v>
      </c>
      <c r="EW152" s="9">
        <f>CJ152*'MASTER SHEET'!D152</f>
        <v>525.21</v>
      </c>
      <c r="EX152" s="9">
        <f>CN152*'MASTER SHEET'!D152</f>
        <v>525.21</v>
      </c>
      <c r="EY152" s="9">
        <f>CR152*'MASTER SHEET'!D152</f>
        <v>525.21</v>
      </c>
      <c r="EZ152" s="9">
        <f>$CV152*'MASTER SHEET'!D152</f>
        <v>525.21</v>
      </c>
      <c r="FA152" s="9">
        <f>CZ152*'MASTER SHEET'!D152</f>
        <v>525.21</v>
      </c>
      <c r="FB152" s="9">
        <f>DD152*'MASTER SHEET'!D152</f>
        <v>525.21</v>
      </c>
      <c r="FC152" s="9">
        <f>DH152*'MASTER SHEET'!D152</f>
        <v>525.21</v>
      </c>
      <c r="FD152" s="9">
        <f>DL152*'MASTER SHEET'!D152</f>
        <v>525.21</v>
      </c>
      <c r="FE152" s="9">
        <f>DP152*'MASTER SHEET'!D152</f>
        <v>525.21</v>
      </c>
      <c r="FF152" s="9">
        <f>DT152*'MASTER SHEET'!D152</f>
        <v>525.21</v>
      </c>
      <c r="FG152" s="9">
        <f>+DX152*'MASTER SHEET'!D152</f>
        <v>525.21</v>
      </c>
    </row>
    <row r="153" spans="1:163" ht="20.25" customHeight="1" x14ac:dyDescent="0.25">
      <c r="A153" s="25">
        <f>'MASTER SHEET'!A153</f>
        <v>151</v>
      </c>
      <c r="B153" s="168" t="str">
        <f>'MASTER SHEET'!B153</f>
        <v>CLAMP D,FUEL PIPE</v>
      </c>
      <c r="C153" s="169">
        <f>'MASTER SHEET'!C153</f>
        <v>70007</v>
      </c>
      <c r="D153" s="159">
        <v>329</v>
      </c>
      <c r="E153" s="28">
        <f>PRODUCTION!F153+'SUPLIER INWARD'!F153</f>
        <v>0</v>
      </c>
      <c r="F153" s="28"/>
      <c r="G153" s="29">
        <v>0</v>
      </c>
      <c r="H153" s="30">
        <f t="shared" si="159"/>
        <v>329</v>
      </c>
      <c r="I153" s="28">
        <f>PRODUCTION!J153+'SUPLIER INWARD'!J153</f>
        <v>0</v>
      </c>
      <c r="J153" s="28"/>
      <c r="K153" s="29">
        <v>0</v>
      </c>
      <c r="L153" s="30">
        <f t="shared" si="160"/>
        <v>329</v>
      </c>
      <c r="M153" s="28">
        <f>PRODUCTION!N153+'SUPLIER INWARD'!N153</f>
        <v>0</v>
      </c>
      <c r="N153" s="58"/>
      <c r="O153" s="29"/>
      <c r="P153" s="30">
        <f t="shared" si="161"/>
        <v>329</v>
      </c>
      <c r="Q153" s="28">
        <f>PRODUCTION!R153+'SUPLIER INWARD'!R153</f>
        <v>0</v>
      </c>
      <c r="R153" s="58"/>
      <c r="S153" s="29">
        <v>0</v>
      </c>
      <c r="T153" s="30">
        <f t="shared" si="162"/>
        <v>329</v>
      </c>
      <c r="U153" s="28">
        <f>PRODUCTION!V153+'SUPLIER INWARD'!V153</f>
        <v>2850</v>
      </c>
      <c r="V153" s="58">
        <v>0</v>
      </c>
      <c r="W153" s="29">
        <v>0</v>
      </c>
      <c r="X153" s="30">
        <f t="shared" si="163"/>
        <v>3179</v>
      </c>
      <c r="Y153" s="28">
        <f>PRODUCTION!Z153+'SUPLIER INWARD'!Z153</f>
        <v>2642</v>
      </c>
      <c r="Z153" s="58">
        <v>1200</v>
      </c>
      <c r="AA153" s="29">
        <v>20</v>
      </c>
      <c r="AB153" s="30">
        <f t="shared" si="164"/>
        <v>4601</v>
      </c>
      <c r="AC153" s="28">
        <f>PRODUCTION!AD153+'SUPLIER INWARD'!AD153</f>
        <v>0</v>
      </c>
      <c r="AD153" s="58">
        <v>1200</v>
      </c>
      <c r="AE153" s="29">
        <v>125</v>
      </c>
      <c r="AF153" s="30">
        <f t="shared" si="165"/>
        <v>3276</v>
      </c>
      <c r="AG153" s="28">
        <f>PRODUCTION!AH153+'SUPLIER INWARD'!AH153</f>
        <v>0</v>
      </c>
      <c r="AH153" s="58">
        <v>0</v>
      </c>
      <c r="AI153" s="29">
        <v>0</v>
      </c>
      <c r="AJ153" s="30">
        <f t="shared" si="166"/>
        <v>3276</v>
      </c>
      <c r="AK153" s="28">
        <f>PRODUCTION!AL153+'SUPLIER INWARD'!AL153</f>
        <v>0</v>
      </c>
      <c r="AL153" s="58">
        <v>0</v>
      </c>
      <c r="AM153" s="29">
        <v>0</v>
      </c>
      <c r="AN153" s="30">
        <f t="shared" si="167"/>
        <v>3276</v>
      </c>
      <c r="AO153" s="28">
        <f>PRODUCTION!AP153+'SUPLIER INWARD'!AP153</f>
        <v>0</v>
      </c>
      <c r="AP153" s="28"/>
      <c r="AQ153" s="29">
        <v>0</v>
      </c>
      <c r="AR153" s="30">
        <f t="shared" si="168"/>
        <v>3276</v>
      </c>
      <c r="AS153" s="28">
        <f>PRODUCTION!AT153+'SUPLIER INWARD'!AT153</f>
        <v>0</v>
      </c>
      <c r="AT153" s="28">
        <v>0</v>
      </c>
      <c r="AU153" s="29">
        <v>0</v>
      </c>
      <c r="AV153" s="30">
        <f t="shared" si="169"/>
        <v>3276</v>
      </c>
      <c r="AW153" s="28">
        <f>PRODUCTION!AX153+'SUPLIER INWARD'!AX153</f>
        <v>0</v>
      </c>
      <c r="AX153" s="28"/>
      <c r="AY153" s="29"/>
      <c r="AZ153" s="30">
        <f t="shared" si="170"/>
        <v>3276</v>
      </c>
      <c r="BA153" s="28">
        <f>PRODUCTION!BB153+'SUPLIER INWARD'!BB153</f>
        <v>0</v>
      </c>
      <c r="BB153" s="58">
        <v>600</v>
      </c>
      <c r="BC153" s="29">
        <v>219</v>
      </c>
      <c r="BD153" s="30">
        <f t="shared" si="171"/>
        <v>2457</v>
      </c>
      <c r="BE153" s="28">
        <f>PRODUCTION!BF153+'SUPLIER INWARD'!BF153</f>
        <v>0</v>
      </c>
      <c r="BF153" s="58">
        <v>600</v>
      </c>
      <c r="BG153" s="29">
        <v>35</v>
      </c>
      <c r="BH153" s="30">
        <f t="shared" si="172"/>
        <v>1822</v>
      </c>
      <c r="BI153" s="28">
        <f>PRODUCTION!BJ153+'SUPLIER INWARD'!BJ153</f>
        <v>0</v>
      </c>
      <c r="BJ153" s="58">
        <v>0</v>
      </c>
      <c r="BK153" s="29">
        <v>0</v>
      </c>
      <c r="BL153" s="30">
        <f t="shared" si="173"/>
        <v>1822</v>
      </c>
      <c r="BM153" s="28">
        <f>PRODUCTION!BN153+'SUPLIER INWARD'!BN153</f>
        <v>0</v>
      </c>
      <c r="BN153" s="58">
        <v>0</v>
      </c>
      <c r="BO153" s="29">
        <v>0</v>
      </c>
      <c r="BP153" s="30">
        <f t="shared" si="174"/>
        <v>1822</v>
      </c>
      <c r="BQ153" s="28">
        <f>PRODUCTION!BR153+'SUPLIER INWARD'!BR153</f>
        <v>0</v>
      </c>
      <c r="BR153" s="58">
        <v>0</v>
      </c>
      <c r="BS153" s="29">
        <v>0</v>
      </c>
      <c r="BT153" s="30">
        <f t="shared" si="175"/>
        <v>1822</v>
      </c>
      <c r="BU153" s="28">
        <f>PRODUCTION!BV153+'SUPLIER INWARD'!BV153</f>
        <v>0</v>
      </c>
      <c r="BV153" s="58">
        <v>0</v>
      </c>
      <c r="BW153" s="29">
        <v>0</v>
      </c>
      <c r="BX153" s="30">
        <f t="shared" si="176"/>
        <v>1822</v>
      </c>
      <c r="BY153" s="28">
        <f>PRODUCTION!BZ153+'SUPLIER INWARD'!BZ153</f>
        <v>0</v>
      </c>
      <c r="BZ153" s="58"/>
      <c r="CA153" s="29">
        <v>0</v>
      </c>
      <c r="CB153" s="30">
        <f t="shared" si="177"/>
        <v>1822</v>
      </c>
      <c r="CC153" s="28">
        <f>PRODUCTION!CD153+'SUPLIER INWARD'!CD153</f>
        <v>0</v>
      </c>
      <c r="CD153" s="58">
        <v>0</v>
      </c>
      <c r="CE153" s="29">
        <v>0</v>
      </c>
      <c r="CF153" s="30">
        <f t="shared" si="178"/>
        <v>1822</v>
      </c>
      <c r="CG153" s="28">
        <f>PRODUCTION!CH153+'SUPLIER INWARD'!CH153</f>
        <v>0</v>
      </c>
      <c r="CH153" s="58">
        <v>0</v>
      </c>
      <c r="CI153" s="29">
        <v>0</v>
      </c>
      <c r="CJ153" s="30">
        <f t="shared" si="179"/>
        <v>1822</v>
      </c>
      <c r="CK153" s="28">
        <f>PRODUCTION!CL153+'SUPLIER INWARD'!CL153</f>
        <v>0</v>
      </c>
      <c r="CL153" s="58"/>
      <c r="CM153" s="152"/>
      <c r="CN153" s="30">
        <f t="shared" si="180"/>
        <v>1822</v>
      </c>
      <c r="CO153" s="28">
        <f>PRODUCTION!CP153+'SUPLIER INWARD'!CP153</f>
        <v>0</v>
      </c>
      <c r="CP153" s="58">
        <v>0</v>
      </c>
      <c r="CQ153" s="29">
        <v>0</v>
      </c>
      <c r="CR153" s="30">
        <f t="shared" si="181"/>
        <v>1822</v>
      </c>
      <c r="CS153" s="28">
        <f>PRODUCTION!CT153+'SUPLIER INWARD'!CT153</f>
        <v>0</v>
      </c>
      <c r="CT153" s="28">
        <v>0</v>
      </c>
      <c r="CU153" s="29">
        <v>0</v>
      </c>
      <c r="CV153" s="30">
        <f t="shared" si="182"/>
        <v>1822</v>
      </c>
      <c r="CW153" s="28">
        <f>PRODUCTION!CX153+'SUPLIER INWARD'!CX153</f>
        <v>0</v>
      </c>
      <c r="CX153" s="58">
        <v>0</v>
      </c>
      <c r="CY153" s="29">
        <v>0</v>
      </c>
      <c r="CZ153" s="30">
        <f t="shared" si="183"/>
        <v>1822</v>
      </c>
      <c r="DA153" s="28">
        <f>PRODUCTION!DB153+'SUPLIER INWARD'!DB153</f>
        <v>0</v>
      </c>
      <c r="DB153" s="58"/>
      <c r="DC153" s="29"/>
      <c r="DD153" s="30">
        <f t="shared" si="184"/>
        <v>1822</v>
      </c>
      <c r="DE153" s="28">
        <f>PRODUCTION!DF153+'SUPLIER INWARD'!DF153</f>
        <v>0</v>
      </c>
      <c r="DF153" s="58">
        <v>0</v>
      </c>
      <c r="DG153" s="29">
        <v>0</v>
      </c>
      <c r="DH153" s="30">
        <f t="shared" si="185"/>
        <v>1822</v>
      </c>
      <c r="DI153" s="28">
        <f>PRODUCTION!DJ153+'SUPLIER INWARD'!DJ153</f>
        <v>0</v>
      </c>
      <c r="DJ153" s="58">
        <v>0</v>
      </c>
      <c r="DK153" s="29">
        <v>0</v>
      </c>
      <c r="DL153" s="30">
        <f t="shared" si="186"/>
        <v>1822</v>
      </c>
      <c r="DM153" s="28">
        <f>PRODUCTION!DN153+'SUPLIER INWARD'!DN153</f>
        <v>0</v>
      </c>
      <c r="DN153" s="58">
        <v>0</v>
      </c>
      <c r="DO153" s="29"/>
      <c r="DP153" s="30">
        <f t="shared" si="187"/>
        <v>1822</v>
      </c>
      <c r="DQ153" s="28">
        <f>PRODUCTION!DR153+'SUPLIER INWARD'!DR153</f>
        <v>0</v>
      </c>
      <c r="DR153" s="57"/>
      <c r="DS153" s="29"/>
      <c r="DT153" s="30">
        <f t="shared" si="188"/>
        <v>1822</v>
      </c>
      <c r="DU153" s="28">
        <f>PRODUCTION!DV153+'SUPLIER INWARD'!DV153</f>
        <v>0</v>
      </c>
      <c r="DV153" s="58"/>
      <c r="DW153" s="29"/>
      <c r="DX153" s="30">
        <f t="shared" si="189"/>
        <v>1822</v>
      </c>
      <c r="DY153" s="141">
        <f t="shared" si="192"/>
        <v>5492</v>
      </c>
      <c r="DZ153" s="141">
        <f t="shared" si="190"/>
        <v>3600</v>
      </c>
      <c r="EA153" s="4">
        <f t="shared" si="191"/>
        <v>399</v>
      </c>
      <c r="EB153" s="9">
        <f>D153*'MASTER SHEET'!D153</f>
        <v>1835.82</v>
      </c>
      <c r="EC153" s="9">
        <f>H153*'MASTER SHEET'!D153</f>
        <v>1835.82</v>
      </c>
      <c r="ED153" s="9">
        <f>L153*'MASTER SHEET'!D153</f>
        <v>1835.82</v>
      </c>
      <c r="EE153" s="9">
        <f>P153*'MASTER SHEET'!D153</f>
        <v>1835.82</v>
      </c>
      <c r="EF153" s="9">
        <f>T153*'MASTER SHEET'!D153</f>
        <v>1835.82</v>
      </c>
      <c r="EG153" s="9">
        <f>X153*'MASTER SHEET'!D153</f>
        <v>17738.82</v>
      </c>
      <c r="EH153" s="9">
        <f>AB153*'MASTER SHEET'!D153</f>
        <v>25673.58</v>
      </c>
      <c r="EI153" s="9">
        <f>AF153*'MASTER SHEET'!D153</f>
        <v>18280.080000000002</v>
      </c>
      <c r="EJ153" s="9">
        <f>AJ153*'MASTER SHEET'!D153</f>
        <v>18280.080000000002</v>
      </c>
      <c r="EK153" s="9">
        <f>AN153*'MASTER SHEET'!D153</f>
        <v>18280.080000000002</v>
      </c>
      <c r="EL153" s="9">
        <f>AR153*'MASTER SHEET'!D153</f>
        <v>18280.080000000002</v>
      </c>
      <c r="EM153" s="9">
        <f>AV153*'MASTER SHEET'!D153</f>
        <v>18280.080000000002</v>
      </c>
      <c r="EN153" s="9">
        <f>AZ153*'MASTER SHEET'!D153</f>
        <v>18280.080000000002</v>
      </c>
      <c r="EO153" s="9">
        <f>BD153*'MASTER SHEET'!D153</f>
        <v>13710.06</v>
      </c>
      <c r="EP153" s="9">
        <f>$BH153*'MASTER SHEET'!$D153</f>
        <v>10166.76</v>
      </c>
      <c r="EQ153" s="9">
        <f>BL153*'MASTER SHEET'!D153</f>
        <v>10166.76</v>
      </c>
      <c r="ER153" s="9">
        <f>BP153*'MASTER SHEET'!D153</f>
        <v>10166.76</v>
      </c>
      <c r="ES153" s="9">
        <f>BT153*'MASTER SHEET'!D153</f>
        <v>10166.76</v>
      </c>
      <c r="ET153" s="9">
        <f>BX153*'MASTER SHEET'!D153</f>
        <v>10166.76</v>
      </c>
      <c r="EU153" s="9">
        <f>CB153*'MASTER SHEET'!D153</f>
        <v>10166.76</v>
      </c>
      <c r="EV153" s="9">
        <f>CF153*'MASTER SHEET'!D153</f>
        <v>10166.76</v>
      </c>
      <c r="EW153" s="9">
        <f>CJ153*'MASTER SHEET'!D153</f>
        <v>10166.76</v>
      </c>
      <c r="EX153" s="9">
        <f>CN153*'MASTER SHEET'!D153</f>
        <v>10166.76</v>
      </c>
      <c r="EY153" s="9">
        <f>CR153*'MASTER SHEET'!D153</f>
        <v>10166.76</v>
      </c>
      <c r="EZ153" s="9">
        <f>$CV153*'MASTER SHEET'!D153</f>
        <v>10166.76</v>
      </c>
      <c r="FA153" s="9">
        <f>CZ153*'MASTER SHEET'!D153</f>
        <v>10166.76</v>
      </c>
      <c r="FB153" s="9">
        <f>DD153*'MASTER SHEET'!D153</f>
        <v>10166.76</v>
      </c>
      <c r="FC153" s="9">
        <f>DH153*'MASTER SHEET'!D153</f>
        <v>10166.76</v>
      </c>
      <c r="FD153" s="9">
        <f>DL153*'MASTER SHEET'!D153</f>
        <v>10166.76</v>
      </c>
      <c r="FE153" s="9">
        <f>DP153*'MASTER SHEET'!D153</f>
        <v>10166.76</v>
      </c>
      <c r="FF153" s="9">
        <f>DT153*'MASTER SHEET'!D153</f>
        <v>10166.76</v>
      </c>
      <c r="FG153" s="9">
        <f>+DX153*'MASTER SHEET'!D153</f>
        <v>10166.76</v>
      </c>
    </row>
    <row r="154" spans="1:163" ht="20.25" customHeight="1" x14ac:dyDescent="0.25">
      <c r="A154" s="25">
        <f>'MASTER SHEET'!A154</f>
        <v>152</v>
      </c>
      <c r="B154" s="168" t="str">
        <f>'MASTER SHEET'!B154</f>
        <v>CLAMP B,FUEL PIPE</v>
      </c>
      <c r="C154" s="169">
        <f>'MASTER SHEET'!C154</f>
        <v>70005</v>
      </c>
      <c r="D154" s="159">
        <v>341</v>
      </c>
      <c r="E154" s="28">
        <f>PRODUCTION!F154+'SUPLIER INWARD'!F154</f>
        <v>3736</v>
      </c>
      <c r="F154" s="28"/>
      <c r="G154" s="29">
        <v>0</v>
      </c>
      <c r="H154" s="30">
        <f t="shared" si="159"/>
        <v>4077</v>
      </c>
      <c r="I154" s="28">
        <f>PRODUCTION!J154+'SUPLIER INWARD'!J154</f>
        <v>1972</v>
      </c>
      <c r="J154" s="28">
        <v>2400</v>
      </c>
      <c r="K154" s="29">
        <v>55</v>
      </c>
      <c r="L154" s="30">
        <f t="shared" si="160"/>
        <v>3594</v>
      </c>
      <c r="M154" s="28">
        <f>PRODUCTION!N154+'SUPLIER INWARD'!N154</f>
        <v>0</v>
      </c>
      <c r="N154" s="58"/>
      <c r="O154" s="29"/>
      <c r="P154" s="30">
        <f t="shared" si="161"/>
        <v>3594</v>
      </c>
      <c r="Q154" s="28">
        <f>PRODUCTION!R154+'SUPLIER INWARD'!R154</f>
        <v>0</v>
      </c>
      <c r="R154" s="58"/>
      <c r="S154" s="29">
        <v>0</v>
      </c>
      <c r="T154" s="30">
        <f t="shared" si="162"/>
        <v>3594</v>
      </c>
      <c r="U154" s="28">
        <f>PRODUCTION!V154+'SUPLIER INWARD'!V154</f>
        <v>184</v>
      </c>
      <c r="V154" s="58">
        <v>2400</v>
      </c>
      <c r="W154" s="29">
        <v>155</v>
      </c>
      <c r="X154" s="30">
        <f t="shared" si="163"/>
        <v>1223</v>
      </c>
      <c r="Y154" s="28">
        <f>PRODUCTION!Z154+'SUPLIER INWARD'!Z154</f>
        <v>0</v>
      </c>
      <c r="Z154" s="58">
        <v>600</v>
      </c>
      <c r="AA154" s="29">
        <v>56</v>
      </c>
      <c r="AB154" s="30">
        <f t="shared" si="164"/>
        <v>567</v>
      </c>
      <c r="AC154" s="28">
        <f>PRODUCTION!AD154+'SUPLIER INWARD'!AD154</f>
        <v>0</v>
      </c>
      <c r="AD154" s="58">
        <v>0</v>
      </c>
      <c r="AE154" s="29">
        <v>0</v>
      </c>
      <c r="AF154" s="30">
        <f t="shared" si="165"/>
        <v>567</v>
      </c>
      <c r="AG154" s="28">
        <f>PRODUCTION!AH154+'SUPLIER INWARD'!AH154</f>
        <v>0</v>
      </c>
      <c r="AH154" s="58">
        <v>0</v>
      </c>
      <c r="AI154" s="29">
        <v>0</v>
      </c>
      <c r="AJ154" s="30">
        <f t="shared" si="166"/>
        <v>567</v>
      </c>
      <c r="AK154" s="28">
        <f>PRODUCTION!AL154+'SUPLIER INWARD'!AL154</f>
        <v>0</v>
      </c>
      <c r="AL154" s="58">
        <v>0</v>
      </c>
      <c r="AM154" s="29">
        <v>0</v>
      </c>
      <c r="AN154" s="30">
        <f t="shared" si="167"/>
        <v>567</v>
      </c>
      <c r="AO154" s="28">
        <f>PRODUCTION!AP154+'SUPLIER INWARD'!AP154</f>
        <v>0</v>
      </c>
      <c r="AP154" s="28"/>
      <c r="AQ154" s="29">
        <v>0</v>
      </c>
      <c r="AR154" s="30">
        <f t="shared" si="168"/>
        <v>567</v>
      </c>
      <c r="AS154" s="28">
        <f>PRODUCTION!AT154+'SUPLIER INWARD'!AT154</f>
        <v>0</v>
      </c>
      <c r="AT154" s="28">
        <v>0</v>
      </c>
      <c r="AU154" s="29">
        <v>0</v>
      </c>
      <c r="AV154" s="30">
        <f t="shared" si="169"/>
        <v>567</v>
      </c>
      <c r="AW154" s="28">
        <f>PRODUCTION!AX154+'SUPLIER INWARD'!AX154</f>
        <v>0</v>
      </c>
      <c r="AX154" s="28"/>
      <c r="AY154" s="29"/>
      <c r="AZ154" s="30">
        <f t="shared" si="170"/>
        <v>567</v>
      </c>
      <c r="BA154" s="28">
        <f>PRODUCTION!BB154+'SUPLIER INWARD'!BB154</f>
        <v>0</v>
      </c>
      <c r="BB154" s="58">
        <v>0</v>
      </c>
      <c r="BC154" s="29">
        <v>0</v>
      </c>
      <c r="BD154" s="30">
        <f t="shared" si="171"/>
        <v>567</v>
      </c>
      <c r="BE154" s="28">
        <f>PRODUCTION!BF154+'SUPLIER INWARD'!BF154</f>
        <v>0</v>
      </c>
      <c r="BF154" s="58"/>
      <c r="BG154" s="29">
        <v>0</v>
      </c>
      <c r="BH154" s="30">
        <f t="shared" si="172"/>
        <v>567</v>
      </c>
      <c r="BI154" s="28">
        <f>PRODUCTION!BJ154+'SUPLIER INWARD'!BJ154</f>
        <v>0</v>
      </c>
      <c r="BJ154" s="58">
        <v>0</v>
      </c>
      <c r="BK154" s="29">
        <v>0</v>
      </c>
      <c r="BL154" s="30">
        <f t="shared" si="173"/>
        <v>567</v>
      </c>
      <c r="BM154" s="28">
        <f>PRODUCTION!BN154+'SUPLIER INWARD'!BN154</f>
        <v>0</v>
      </c>
      <c r="BN154" s="58">
        <v>0</v>
      </c>
      <c r="BO154" s="29">
        <v>0</v>
      </c>
      <c r="BP154" s="30">
        <f t="shared" si="174"/>
        <v>567</v>
      </c>
      <c r="BQ154" s="28">
        <f>PRODUCTION!BR154+'SUPLIER INWARD'!BR154</f>
        <v>0</v>
      </c>
      <c r="BR154" s="58">
        <v>0</v>
      </c>
      <c r="BS154" s="29">
        <v>0</v>
      </c>
      <c r="BT154" s="30">
        <f t="shared" si="175"/>
        <v>567</v>
      </c>
      <c r="BU154" s="28">
        <f>PRODUCTION!BV154+'SUPLIER INWARD'!BV154</f>
        <v>1922</v>
      </c>
      <c r="BV154" s="58">
        <v>0</v>
      </c>
      <c r="BW154" s="29">
        <v>0</v>
      </c>
      <c r="BX154" s="30">
        <f t="shared" si="176"/>
        <v>2489</v>
      </c>
      <c r="BY154" s="28">
        <f>PRODUCTION!BZ154+'SUPLIER INWARD'!BZ154</f>
        <v>0</v>
      </c>
      <c r="BZ154" s="58"/>
      <c r="CA154" s="29">
        <v>0</v>
      </c>
      <c r="CB154" s="30">
        <f t="shared" si="177"/>
        <v>2489</v>
      </c>
      <c r="CC154" s="28">
        <f>PRODUCTION!CD154+'SUPLIER INWARD'!CD154</f>
        <v>3293</v>
      </c>
      <c r="CD154" s="58">
        <v>1800</v>
      </c>
      <c r="CE154" s="29">
        <v>38</v>
      </c>
      <c r="CF154" s="30">
        <f t="shared" si="178"/>
        <v>3944</v>
      </c>
      <c r="CG154" s="28">
        <f>PRODUCTION!CH154+'SUPLIER INWARD'!CH154</f>
        <v>0</v>
      </c>
      <c r="CH154" s="58">
        <v>0</v>
      </c>
      <c r="CI154" s="29">
        <v>0</v>
      </c>
      <c r="CJ154" s="30">
        <f t="shared" si="179"/>
        <v>3944</v>
      </c>
      <c r="CK154" s="28">
        <f>PRODUCTION!CL154+'SUPLIER INWARD'!CL154</f>
        <v>0</v>
      </c>
      <c r="CL154" s="58"/>
      <c r="CM154" s="152"/>
      <c r="CN154" s="30">
        <f t="shared" si="180"/>
        <v>3944</v>
      </c>
      <c r="CO154" s="28">
        <f>PRODUCTION!CP154+'SUPLIER INWARD'!CP154</f>
        <v>0</v>
      </c>
      <c r="CP154" s="58">
        <v>0</v>
      </c>
      <c r="CQ154" s="29">
        <v>0</v>
      </c>
      <c r="CR154" s="30">
        <f t="shared" si="181"/>
        <v>3944</v>
      </c>
      <c r="CS154" s="28">
        <f>PRODUCTION!CT154+'SUPLIER INWARD'!CT154</f>
        <v>0</v>
      </c>
      <c r="CT154" s="28">
        <v>0</v>
      </c>
      <c r="CU154" s="29">
        <v>0</v>
      </c>
      <c r="CV154" s="30">
        <f t="shared" si="182"/>
        <v>3944</v>
      </c>
      <c r="CW154" s="28">
        <f>PRODUCTION!CX154+'SUPLIER INWARD'!CX154</f>
        <v>0</v>
      </c>
      <c r="CX154" s="58">
        <v>0</v>
      </c>
      <c r="CY154" s="29">
        <v>0</v>
      </c>
      <c r="CZ154" s="30">
        <f t="shared" si="183"/>
        <v>3944</v>
      </c>
      <c r="DA154" s="28">
        <f>PRODUCTION!DB154+'SUPLIER INWARD'!DB154</f>
        <v>0</v>
      </c>
      <c r="DB154" s="58"/>
      <c r="DC154" s="29"/>
      <c r="DD154" s="30">
        <f t="shared" si="184"/>
        <v>3944</v>
      </c>
      <c r="DE154" s="28">
        <f>PRODUCTION!DF154+'SUPLIER INWARD'!DF154</f>
        <v>0</v>
      </c>
      <c r="DF154" s="58">
        <v>0</v>
      </c>
      <c r="DG154" s="29">
        <v>0</v>
      </c>
      <c r="DH154" s="30">
        <f t="shared" si="185"/>
        <v>3944</v>
      </c>
      <c r="DI154" s="28">
        <f>PRODUCTION!DJ154+'SUPLIER INWARD'!DJ154</f>
        <v>0</v>
      </c>
      <c r="DJ154" s="58">
        <v>0</v>
      </c>
      <c r="DK154" s="29">
        <v>0</v>
      </c>
      <c r="DL154" s="30">
        <f t="shared" si="186"/>
        <v>3944</v>
      </c>
      <c r="DM154" s="28">
        <f>PRODUCTION!DN154+'SUPLIER INWARD'!DN154</f>
        <v>0</v>
      </c>
      <c r="DN154" s="58">
        <v>0</v>
      </c>
      <c r="DO154" s="29"/>
      <c r="DP154" s="30">
        <f t="shared" si="187"/>
        <v>3944</v>
      </c>
      <c r="DQ154" s="28">
        <f>PRODUCTION!DR154+'SUPLIER INWARD'!DR154</f>
        <v>0</v>
      </c>
      <c r="DR154" s="57"/>
      <c r="DS154" s="29"/>
      <c r="DT154" s="30">
        <f t="shared" si="188"/>
        <v>3944</v>
      </c>
      <c r="DU154" s="28">
        <f>PRODUCTION!DV154+'SUPLIER INWARD'!DV154</f>
        <v>0</v>
      </c>
      <c r="DV154" s="58"/>
      <c r="DW154" s="29"/>
      <c r="DX154" s="30">
        <f t="shared" si="189"/>
        <v>3944</v>
      </c>
      <c r="DY154" s="141">
        <f t="shared" si="192"/>
        <v>11107</v>
      </c>
      <c r="DZ154" s="141">
        <f t="shared" si="190"/>
        <v>7200</v>
      </c>
      <c r="EA154" s="4">
        <f t="shared" si="191"/>
        <v>304</v>
      </c>
      <c r="EB154" s="9">
        <f>D154*'MASTER SHEET'!D154</f>
        <v>2485.89</v>
      </c>
      <c r="EC154" s="9">
        <f>H154*'MASTER SHEET'!D154</f>
        <v>29721.33</v>
      </c>
      <c r="ED154" s="9">
        <f>L154*'MASTER SHEET'!D154</f>
        <v>26200.26</v>
      </c>
      <c r="EE154" s="9">
        <f>P154*'MASTER SHEET'!D154</f>
        <v>26200.26</v>
      </c>
      <c r="EF154" s="9">
        <f>T154*'MASTER SHEET'!D154</f>
        <v>26200.26</v>
      </c>
      <c r="EG154" s="9">
        <f>X154*'MASTER SHEET'!D154</f>
        <v>8915.67</v>
      </c>
      <c r="EH154" s="9">
        <f>AB154*'MASTER SHEET'!D154</f>
        <v>4133.43</v>
      </c>
      <c r="EI154" s="9">
        <f>AF154*'MASTER SHEET'!D154</f>
        <v>4133.43</v>
      </c>
      <c r="EJ154" s="9">
        <f>AJ154*'MASTER SHEET'!D154</f>
        <v>4133.43</v>
      </c>
      <c r="EK154" s="9">
        <f>AN154*'MASTER SHEET'!D154</f>
        <v>4133.43</v>
      </c>
      <c r="EL154" s="9">
        <f>AR154*'MASTER SHEET'!D154</f>
        <v>4133.43</v>
      </c>
      <c r="EM154" s="9">
        <f>AV154*'MASTER SHEET'!D154</f>
        <v>4133.43</v>
      </c>
      <c r="EN154" s="9">
        <f>AZ154*'MASTER SHEET'!D154</f>
        <v>4133.43</v>
      </c>
      <c r="EO154" s="9">
        <f>BD154*'MASTER SHEET'!D154</f>
        <v>4133.43</v>
      </c>
      <c r="EP154" s="9">
        <f>$BH154*'MASTER SHEET'!$D154</f>
        <v>4133.43</v>
      </c>
      <c r="EQ154" s="9">
        <f>BL154*'MASTER SHEET'!D154</f>
        <v>4133.43</v>
      </c>
      <c r="ER154" s="9">
        <f>BP154*'MASTER SHEET'!D154</f>
        <v>4133.43</v>
      </c>
      <c r="ES154" s="9">
        <f>BT154*'MASTER SHEET'!D154</f>
        <v>4133.43</v>
      </c>
      <c r="ET154" s="9">
        <f>BX154*'MASTER SHEET'!D154</f>
        <v>18144.810000000001</v>
      </c>
      <c r="EU154" s="9">
        <f>CB154*'MASTER SHEET'!D154</f>
        <v>18144.810000000001</v>
      </c>
      <c r="EV154" s="9">
        <f>CF154*'MASTER SHEET'!D154</f>
        <v>28751.759999999998</v>
      </c>
      <c r="EW154" s="9">
        <f>CJ154*'MASTER SHEET'!D154</f>
        <v>28751.759999999998</v>
      </c>
      <c r="EX154" s="9">
        <f>CN154*'MASTER SHEET'!D154</f>
        <v>28751.759999999998</v>
      </c>
      <c r="EY154" s="9">
        <f>CR154*'MASTER SHEET'!D154</f>
        <v>28751.759999999998</v>
      </c>
      <c r="EZ154" s="9">
        <f>$CV154*'MASTER SHEET'!D154</f>
        <v>28751.759999999998</v>
      </c>
      <c r="FA154" s="9">
        <f>CZ154*'MASTER SHEET'!D154</f>
        <v>28751.759999999998</v>
      </c>
      <c r="FB154" s="9">
        <f>DD154*'MASTER SHEET'!D154</f>
        <v>28751.759999999998</v>
      </c>
      <c r="FC154" s="9">
        <f>DH154*'MASTER SHEET'!D154</f>
        <v>28751.759999999998</v>
      </c>
      <c r="FD154" s="9">
        <f>DL154*'MASTER SHEET'!D154</f>
        <v>28751.759999999998</v>
      </c>
      <c r="FE154" s="9">
        <f>DP154*'MASTER SHEET'!D154</f>
        <v>28751.759999999998</v>
      </c>
      <c r="FF154" s="9">
        <f>DT154*'MASTER SHEET'!D154</f>
        <v>28751.759999999998</v>
      </c>
      <c r="FG154" s="9">
        <f>+DX154*'MASTER SHEET'!D154</f>
        <v>28751.759999999998</v>
      </c>
    </row>
    <row r="155" spans="1:163" ht="20.25" customHeight="1" x14ac:dyDescent="0.25">
      <c r="A155" s="25">
        <f>'MASTER SHEET'!A155</f>
        <v>153</v>
      </c>
      <c r="B155" s="168" t="str">
        <f>'MASTER SHEET'!B155</f>
        <v>CLAMP</v>
      </c>
      <c r="C155" s="169">
        <f>'MASTER SHEET'!C155</f>
        <v>62543</v>
      </c>
      <c r="D155" s="159">
        <v>1000</v>
      </c>
      <c r="E155" s="28">
        <f>PRODUCTION!F155+'SUPLIER INWARD'!F155</f>
        <v>0</v>
      </c>
      <c r="F155" s="28"/>
      <c r="G155" s="29">
        <v>0</v>
      </c>
      <c r="H155" s="30">
        <f t="shared" si="159"/>
        <v>1000</v>
      </c>
      <c r="I155" s="28">
        <f>PRODUCTION!J155+'SUPLIER INWARD'!J155</f>
        <v>0</v>
      </c>
      <c r="J155" s="28"/>
      <c r="K155" s="29">
        <v>0</v>
      </c>
      <c r="L155" s="30">
        <f t="shared" si="160"/>
        <v>1000</v>
      </c>
      <c r="M155" s="28">
        <f>PRODUCTION!N155+'SUPLIER INWARD'!N155</f>
        <v>0</v>
      </c>
      <c r="N155" s="58"/>
      <c r="O155" s="29"/>
      <c r="P155" s="30">
        <f t="shared" si="161"/>
        <v>1000</v>
      </c>
      <c r="Q155" s="28">
        <f>PRODUCTION!R155+'SUPLIER INWARD'!R155</f>
        <v>0</v>
      </c>
      <c r="R155" s="58"/>
      <c r="S155" s="29">
        <v>0</v>
      </c>
      <c r="T155" s="30">
        <f t="shared" si="162"/>
        <v>1000</v>
      </c>
      <c r="U155" s="28">
        <f>PRODUCTION!V155+'SUPLIER INWARD'!V155</f>
        <v>0</v>
      </c>
      <c r="V155" s="58">
        <v>0</v>
      </c>
      <c r="W155" s="29">
        <v>0</v>
      </c>
      <c r="X155" s="30">
        <f t="shared" si="163"/>
        <v>1000</v>
      </c>
      <c r="Y155" s="28">
        <f>PRODUCTION!Z155+'SUPLIER INWARD'!Z155</f>
        <v>0</v>
      </c>
      <c r="Z155" s="58">
        <v>0</v>
      </c>
      <c r="AA155" s="29">
        <v>0</v>
      </c>
      <c r="AB155" s="30">
        <f t="shared" si="164"/>
        <v>1000</v>
      </c>
      <c r="AC155" s="28">
        <f>PRODUCTION!AD155+'SUPLIER INWARD'!AD155</f>
        <v>0</v>
      </c>
      <c r="AD155" s="58">
        <v>0</v>
      </c>
      <c r="AE155" s="29">
        <v>0</v>
      </c>
      <c r="AF155" s="30">
        <f t="shared" si="165"/>
        <v>1000</v>
      </c>
      <c r="AG155" s="28">
        <f>PRODUCTION!AH155+'SUPLIER INWARD'!AH155</f>
        <v>0</v>
      </c>
      <c r="AH155" s="58">
        <v>0</v>
      </c>
      <c r="AI155" s="29">
        <v>0</v>
      </c>
      <c r="AJ155" s="30">
        <f t="shared" si="166"/>
        <v>1000</v>
      </c>
      <c r="AK155" s="28">
        <f>PRODUCTION!AL155+'SUPLIER INWARD'!AL155</f>
        <v>0</v>
      </c>
      <c r="AL155" s="58">
        <v>0</v>
      </c>
      <c r="AM155" s="29">
        <v>0</v>
      </c>
      <c r="AN155" s="30">
        <f t="shared" si="167"/>
        <v>1000</v>
      </c>
      <c r="AO155" s="28">
        <f>PRODUCTION!AP155+'SUPLIER INWARD'!AP155</f>
        <v>0</v>
      </c>
      <c r="AP155" s="28"/>
      <c r="AQ155" s="29">
        <v>0</v>
      </c>
      <c r="AR155" s="30">
        <f t="shared" si="168"/>
        <v>1000</v>
      </c>
      <c r="AS155" s="28">
        <f>PRODUCTION!AT155+'SUPLIER INWARD'!AT155</f>
        <v>0</v>
      </c>
      <c r="AT155" s="28">
        <v>0</v>
      </c>
      <c r="AU155" s="29">
        <v>0</v>
      </c>
      <c r="AV155" s="30">
        <f t="shared" si="169"/>
        <v>1000</v>
      </c>
      <c r="AW155" s="28">
        <f>PRODUCTION!AX155+'SUPLIER INWARD'!AX155</f>
        <v>0</v>
      </c>
      <c r="AX155" s="28"/>
      <c r="AY155" s="29"/>
      <c r="AZ155" s="30">
        <f t="shared" si="170"/>
        <v>1000</v>
      </c>
      <c r="BA155" s="28">
        <f>PRODUCTION!BB155+'SUPLIER INWARD'!BB155</f>
        <v>0</v>
      </c>
      <c r="BB155" s="58">
        <v>0</v>
      </c>
      <c r="BC155" s="29">
        <v>0</v>
      </c>
      <c r="BD155" s="30">
        <f t="shared" si="171"/>
        <v>1000</v>
      </c>
      <c r="BE155" s="28">
        <f>PRODUCTION!BF155+'SUPLIER INWARD'!BF155</f>
        <v>0</v>
      </c>
      <c r="BF155" s="58"/>
      <c r="BG155" s="29">
        <v>0</v>
      </c>
      <c r="BH155" s="30">
        <f t="shared" si="172"/>
        <v>1000</v>
      </c>
      <c r="BI155" s="28">
        <f>PRODUCTION!BJ155+'SUPLIER INWARD'!BJ155</f>
        <v>0</v>
      </c>
      <c r="BJ155" s="58">
        <v>0</v>
      </c>
      <c r="BK155" s="29">
        <v>0</v>
      </c>
      <c r="BL155" s="30">
        <f t="shared" si="173"/>
        <v>1000</v>
      </c>
      <c r="BM155" s="28">
        <f>PRODUCTION!BN155+'SUPLIER INWARD'!BN155</f>
        <v>0</v>
      </c>
      <c r="BN155" s="58">
        <v>0</v>
      </c>
      <c r="BO155" s="29">
        <v>0</v>
      </c>
      <c r="BP155" s="30">
        <f t="shared" si="174"/>
        <v>1000</v>
      </c>
      <c r="BQ155" s="28">
        <f>PRODUCTION!BR155+'SUPLIER INWARD'!BR155</f>
        <v>0</v>
      </c>
      <c r="BR155" s="58">
        <v>0</v>
      </c>
      <c r="BS155" s="29">
        <v>0</v>
      </c>
      <c r="BT155" s="30">
        <f t="shared" si="175"/>
        <v>1000</v>
      </c>
      <c r="BU155" s="28">
        <f>PRODUCTION!BV155+'SUPLIER INWARD'!BV155</f>
        <v>0</v>
      </c>
      <c r="BV155" s="58">
        <v>0</v>
      </c>
      <c r="BW155" s="29">
        <v>0</v>
      </c>
      <c r="BX155" s="30">
        <f t="shared" si="176"/>
        <v>1000</v>
      </c>
      <c r="BY155" s="28">
        <f>PRODUCTION!BZ155+'SUPLIER INWARD'!BZ155</f>
        <v>0</v>
      </c>
      <c r="BZ155" s="58"/>
      <c r="CA155" s="29">
        <v>0</v>
      </c>
      <c r="CB155" s="30">
        <f t="shared" si="177"/>
        <v>1000</v>
      </c>
      <c r="CC155" s="28">
        <f>PRODUCTION!CD155+'SUPLIER INWARD'!CD155</f>
        <v>0</v>
      </c>
      <c r="CD155" s="58">
        <v>0</v>
      </c>
      <c r="CE155" s="29">
        <v>0</v>
      </c>
      <c r="CF155" s="30">
        <f t="shared" si="178"/>
        <v>1000</v>
      </c>
      <c r="CG155" s="28">
        <f>PRODUCTION!CH155+'SUPLIER INWARD'!CH155</f>
        <v>0</v>
      </c>
      <c r="CH155" s="58">
        <v>0</v>
      </c>
      <c r="CI155" s="29">
        <v>0</v>
      </c>
      <c r="CJ155" s="30">
        <f t="shared" si="179"/>
        <v>1000</v>
      </c>
      <c r="CK155" s="28">
        <f>PRODUCTION!CL155+'SUPLIER INWARD'!CL155</f>
        <v>0</v>
      </c>
      <c r="CL155" s="58"/>
      <c r="CM155" s="152"/>
      <c r="CN155" s="30">
        <f t="shared" si="180"/>
        <v>1000</v>
      </c>
      <c r="CO155" s="28">
        <f>PRODUCTION!CP155+'SUPLIER INWARD'!CP155</f>
        <v>0</v>
      </c>
      <c r="CP155" s="58">
        <v>0</v>
      </c>
      <c r="CQ155" s="29">
        <v>0</v>
      </c>
      <c r="CR155" s="30">
        <f t="shared" si="181"/>
        <v>1000</v>
      </c>
      <c r="CS155" s="28">
        <f>PRODUCTION!CT155+'SUPLIER INWARD'!CT155</f>
        <v>0</v>
      </c>
      <c r="CT155" s="28">
        <v>0</v>
      </c>
      <c r="CU155" s="29">
        <v>0</v>
      </c>
      <c r="CV155" s="30">
        <f t="shared" si="182"/>
        <v>1000</v>
      </c>
      <c r="CW155" s="28">
        <f>PRODUCTION!CX155+'SUPLIER INWARD'!CX155</f>
        <v>0</v>
      </c>
      <c r="CX155" s="58">
        <v>0</v>
      </c>
      <c r="CY155" s="29">
        <v>0</v>
      </c>
      <c r="CZ155" s="30">
        <f t="shared" si="183"/>
        <v>1000</v>
      </c>
      <c r="DA155" s="28">
        <f>PRODUCTION!DB155+'SUPLIER INWARD'!DB155</f>
        <v>0</v>
      </c>
      <c r="DB155" s="58"/>
      <c r="DC155" s="29"/>
      <c r="DD155" s="30">
        <f t="shared" si="184"/>
        <v>1000</v>
      </c>
      <c r="DE155" s="28">
        <f>PRODUCTION!DF155+'SUPLIER INWARD'!DF155</f>
        <v>0</v>
      </c>
      <c r="DF155" s="58">
        <v>0</v>
      </c>
      <c r="DG155" s="29">
        <v>0</v>
      </c>
      <c r="DH155" s="30">
        <f t="shared" si="185"/>
        <v>1000</v>
      </c>
      <c r="DI155" s="28">
        <f>PRODUCTION!DJ155+'SUPLIER INWARD'!DJ155</f>
        <v>0</v>
      </c>
      <c r="DJ155" s="58">
        <v>0</v>
      </c>
      <c r="DK155" s="29">
        <v>0</v>
      </c>
      <c r="DL155" s="30">
        <f t="shared" si="186"/>
        <v>1000</v>
      </c>
      <c r="DM155" s="28">
        <f>PRODUCTION!DN155+'SUPLIER INWARD'!DN155</f>
        <v>0</v>
      </c>
      <c r="DN155" s="58">
        <v>0</v>
      </c>
      <c r="DO155" s="29"/>
      <c r="DP155" s="30">
        <f t="shared" si="187"/>
        <v>1000</v>
      </c>
      <c r="DQ155" s="28">
        <f>PRODUCTION!DR155+'SUPLIER INWARD'!DR155</f>
        <v>0</v>
      </c>
      <c r="DR155" s="57"/>
      <c r="DS155" s="29"/>
      <c r="DT155" s="30">
        <f t="shared" si="188"/>
        <v>1000</v>
      </c>
      <c r="DU155" s="28">
        <f>PRODUCTION!DV155+'SUPLIER INWARD'!DV155</f>
        <v>0</v>
      </c>
      <c r="DV155" s="58"/>
      <c r="DW155" s="29"/>
      <c r="DX155" s="30">
        <f t="shared" si="189"/>
        <v>1000</v>
      </c>
      <c r="DY155" s="141">
        <f t="shared" si="192"/>
        <v>0</v>
      </c>
      <c r="DZ155" s="141">
        <f t="shared" si="190"/>
        <v>0</v>
      </c>
      <c r="EA155" s="4">
        <f t="shared" si="191"/>
        <v>0</v>
      </c>
      <c r="EB155" s="9">
        <f>D155*'MASTER SHEET'!D155</f>
        <v>960</v>
      </c>
      <c r="EC155" s="9">
        <f>H155*'MASTER SHEET'!D155</f>
        <v>960</v>
      </c>
      <c r="ED155" s="9">
        <f>L155*'MASTER SHEET'!D155</f>
        <v>960</v>
      </c>
      <c r="EE155" s="9">
        <f>P155*'MASTER SHEET'!D155</f>
        <v>960</v>
      </c>
      <c r="EF155" s="9">
        <f>T155*'MASTER SHEET'!D155</f>
        <v>960</v>
      </c>
      <c r="EG155" s="9">
        <f>X155*'MASTER SHEET'!D155</f>
        <v>960</v>
      </c>
      <c r="EH155" s="9">
        <f>AB155*'MASTER SHEET'!D155</f>
        <v>960</v>
      </c>
      <c r="EI155" s="9">
        <f>AF155*'MASTER SHEET'!D155</f>
        <v>960</v>
      </c>
      <c r="EJ155" s="9">
        <f>AJ155*'MASTER SHEET'!D155</f>
        <v>960</v>
      </c>
      <c r="EK155" s="9">
        <f>AN155*'MASTER SHEET'!D155</f>
        <v>960</v>
      </c>
      <c r="EL155" s="9">
        <f>AR155*'MASTER SHEET'!D155</f>
        <v>960</v>
      </c>
      <c r="EM155" s="9">
        <f>AV155*'MASTER SHEET'!D155</f>
        <v>960</v>
      </c>
      <c r="EN155" s="9">
        <f>AZ155*'MASTER SHEET'!D155</f>
        <v>960</v>
      </c>
      <c r="EO155" s="9">
        <f>BD155*'MASTER SHEET'!D155</f>
        <v>960</v>
      </c>
      <c r="EP155" s="9">
        <f>$BH155*'MASTER SHEET'!$D155</f>
        <v>960</v>
      </c>
      <c r="EQ155" s="9">
        <f>BL155*'MASTER SHEET'!D155</f>
        <v>960</v>
      </c>
      <c r="ER155" s="9">
        <f>BP155*'MASTER SHEET'!D155</f>
        <v>960</v>
      </c>
      <c r="ES155" s="9">
        <f>BT155*'MASTER SHEET'!D155</f>
        <v>960</v>
      </c>
      <c r="ET155" s="9">
        <f>BX155*'MASTER SHEET'!D155</f>
        <v>960</v>
      </c>
      <c r="EU155" s="9">
        <f>CB155*'MASTER SHEET'!D155</f>
        <v>960</v>
      </c>
      <c r="EV155" s="9">
        <f>CF155*'MASTER SHEET'!D155</f>
        <v>960</v>
      </c>
      <c r="EW155" s="9">
        <f>CJ155*'MASTER SHEET'!D155</f>
        <v>960</v>
      </c>
      <c r="EX155" s="9">
        <f>CN155*'MASTER SHEET'!D155</f>
        <v>960</v>
      </c>
      <c r="EY155" s="9">
        <f>CR155*'MASTER SHEET'!D155</f>
        <v>960</v>
      </c>
      <c r="EZ155" s="9">
        <f>$CV155*'MASTER SHEET'!D155</f>
        <v>960</v>
      </c>
      <c r="FA155" s="9">
        <f>CZ155*'MASTER SHEET'!D155</f>
        <v>960</v>
      </c>
      <c r="FB155" s="9">
        <f>DD155*'MASTER SHEET'!D155</f>
        <v>960</v>
      </c>
      <c r="FC155" s="9">
        <f>DH155*'MASTER SHEET'!D155</f>
        <v>960</v>
      </c>
      <c r="FD155" s="9">
        <f>DL155*'MASTER SHEET'!D155</f>
        <v>960</v>
      </c>
      <c r="FE155" s="9">
        <f>DP155*'MASTER SHEET'!D155</f>
        <v>960</v>
      </c>
      <c r="FF155" s="9">
        <f>DT155*'MASTER SHEET'!D155</f>
        <v>960</v>
      </c>
      <c r="FG155" s="9">
        <f>+DX155*'MASTER SHEET'!D155</f>
        <v>960</v>
      </c>
    </row>
    <row r="156" spans="1:163" ht="20.25" customHeight="1" x14ac:dyDescent="0.25">
      <c r="A156" s="25">
        <f>'MASTER SHEET'!A156</f>
        <v>154</v>
      </c>
      <c r="B156" s="168" t="str">
        <f>'MASTER SHEET'!B156</f>
        <v>CAP</v>
      </c>
      <c r="C156" s="169">
        <f>'MASTER SHEET'!C156</f>
        <v>62620</v>
      </c>
      <c r="D156" s="159">
        <v>698</v>
      </c>
      <c r="E156" s="28">
        <f>PRODUCTION!F156+'SUPLIER INWARD'!F156</f>
        <v>0</v>
      </c>
      <c r="F156" s="28"/>
      <c r="G156" s="29">
        <v>0</v>
      </c>
      <c r="H156" s="30">
        <f t="shared" si="159"/>
        <v>698</v>
      </c>
      <c r="I156" s="28">
        <f>PRODUCTION!J156+'SUPLIER INWARD'!J156</f>
        <v>0</v>
      </c>
      <c r="J156" s="28"/>
      <c r="K156" s="29">
        <v>0</v>
      </c>
      <c r="L156" s="30">
        <f t="shared" si="160"/>
        <v>698</v>
      </c>
      <c r="M156" s="28">
        <f>PRODUCTION!N156+'SUPLIER INWARD'!N156</f>
        <v>0</v>
      </c>
      <c r="N156" s="58"/>
      <c r="O156" s="29"/>
      <c r="P156" s="30">
        <f t="shared" si="161"/>
        <v>698</v>
      </c>
      <c r="Q156" s="28">
        <f>PRODUCTION!R156+'SUPLIER INWARD'!R156</f>
        <v>0</v>
      </c>
      <c r="R156" s="58"/>
      <c r="S156" s="29">
        <v>0</v>
      </c>
      <c r="T156" s="30">
        <f t="shared" si="162"/>
        <v>698</v>
      </c>
      <c r="U156" s="28">
        <f>PRODUCTION!V156+'SUPLIER INWARD'!V156</f>
        <v>0</v>
      </c>
      <c r="V156" s="58">
        <v>0</v>
      </c>
      <c r="W156" s="29">
        <v>0</v>
      </c>
      <c r="X156" s="30">
        <f t="shared" si="163"/>
        <v>698</v>
      </c>
      <c r="Y156" s="28">
        <f>PRODUCTION!Z156+'SUPLIER INWARD'!Z156</f>
        <v>0</v>
      </c>
      <c r="Z156" s="58">
        <v>0</v>
      </c>
      <c r="AA156" s="29">
        <v>0</v>
      </c>
      <c r="AB156" s="30">
        <f t="shared" si="164"/>
        <v>698</v>
      </c>
      <c r="AC156" s="28">
        <f>PRODUCTION!AD156+'SUPLIER INWARD'!AD156</f>
        <v>0</v>
      </c>
      <c r="AD156" s="58">
        <v>0</v>
      </c>
      <c r="AE156" s="29">
        <v>0</v>
      </c>
      <c r="AF156" s="30">
        <f t="shared" si="165"/>
        <v>698</v>
      </c>
      <c r="AG156" s="28">
        <f>PRODUCTION!AH156+'SUPLIER INWARD'!AH156</f>
        <v>0</v>
      </c>
      <c r="AH156" s="58">
        <v>0</v>
      </c>
      <c r="AI156" s="29">
        <v>0</v>
      </c>
      <c r="AJ156" s="30">
        <f t="shared" si="166"/>
        <v>698</v>
      </c>
      <c r="AK156" s="28">
        <f>PRODUCTION!AL156+'SUPLIER INWARD'!AL156</f>
        <v>0</v>
      </c>
      <c r="AL156" s="58">
        <v>0</v>
      </c>
      <c r="AM156" s="29">
        <v>0</v>
      </c>
      <c r="AN156" s="30">
        <f t="shared" si="167"/>
        <v>698</v>
      </c>
      <c r="AO156" s="28">
        <f>PRODUCTION!AP156+'SUPLIER INWARD'!AP156</f>
        <v>0</v>
      </c>
      <c r="AP156" s="28"/>
      <c r="AQ156" s="29">
        <v>0</v>
      </c>
      <c r="AR156" s="30">
        <f t="shared" si="168"/>
        <v>698</v>
      </c>
      <c r="AS156" s="28">
        <f>PRODUCTION!AT156+'SUPLIER INWARD'!AT156</f>
        <v>0</v>
      </c>
      <c r="AT156" s="28">
        <v>0</v>
      </c>
      <c r="AU156" s="29">
        <v>0</v>
      </c>
      <c r="AV156" s="30">
        <f t="shared" si="169"/>
        <v>698</v>
      </c>
      <c r="AW156" s="28">
        <f>PRODUCTION!AX156+'SUPLIER INWARD'!AX156</f>
        <v>0</v>
      </c>
      <c r="AX156" s="28"/>
      <c r="AY156" s="29"/>
      <c r="AZ156" s="30">
        <f t="shared" si="170"/>
        <v>698</v>
      </c>
      <c r="BA156" s="28">
        <f>PRODUCTION!BB156+'SUPLIER INWARD'!BB156</f>
        <v>0</v>
      </c>
      <c r="BB156" s="58">
        <v>0</v>
      </c>
      <c r="BC156" s="29">
        <v>0</v>
      </c>
      <c r="BD156" s="30">
        <f t="shared" si="171"/>
        <v>698</v>
      </c>
      <c r="BE156" s="28">
        <f>PRODUCTION!BF156+'SUPLIER INWARD'!BF156</f>
        <v>0</v>
      </c>
      <c r="BF156" s="58"/>
      <c r="BG156" s="29">
        <v>0</v>
      </c>
      <c r="BH156" s="30">
        <f t="shared" si="172"/>
        <v>698</v>
      </c>
      <c r="BI156" s="28">
        <f>PRODUCTION!BJ156+'SUPLIER INWARD'!BJ156</f>
        <v>0</v>
      </c>
      <c r="BJ156" s="58">
        <v>0</v>
      </c>
      <c r="BK156" s="29">
        <v>0</v>
      </c>
      <c r="BL156" s="30">
        <f t="shared" si="173"/>
        <v>698</v>
      </c>
      <c r="BM156" s="28">
        <f>PRODUCTION!BN156+'SUPLIER INWARD'!BN156</f>
        <v>0</v>
      </c>
      <c r="BN156" s="58">
        <v>0</v>
      </c>
      <c r="BO156" s="29">
        <v>0</v>
      </c>
      <c r="BP156" s="30">
        <f t="shared" si="174"/>
        <v>698</v>
      </c>
      <c r="BQ156" s="28">
        <f>PRODUCTION!BR156+'SUPLIER INWARD'!BR156</f>
        <v>0</v>
      </c>
      <c r="BR156" s="58">
        <v>0</v>
      </c>
      <c r="BS156" s="29">
        <v>0</v>
      </c>
      <c r="BT156" s="30">
        <f t="shared" si="175"/>
        <v>698</v>
      </c>
      <c r="BU156" s="28">
        <f>PRODUCTION!BV156+'SUPLIER INWARD'!BV156</f>
        <v>0</v>
      </c>
      <c r="BV156" s="58">
        <v>0</v>
      </c>
      <c r="BW156" s="29">
        <v>0</v>
      </c>
      <c r="BX156" s="30">
        <f t="shared" si="176"/>
        <v>698</v>
      </c>
      <c r="BY156" s="28">
        <f>PRODUCTION!BZ156+'SUPLIER INWARD'!BZ156</f>
        <v>0</v>
      </c>
      <c r="BZ156" s="58"/>
      <c r="CA156" s="29">
        <v>0</v>
      </c>
      <c r="CB156" s="30">
        <f t="shared" si="177"/>
        <v>698</v>
      </c>
      <c r="CC156" s="28">
        <f>PRODUCTION!CD156+'SUPLIER INWARD'!CD156</f>
        <v>0</v>
      </c>
      <c r="CD156" s="58">
        <v>0</v>
      </c>
      <c r="CE156" s="29">
        <v>0</v>
      </c>
      <c r="CF156" s="30">
        <f t="shared" si="178"/>
        <v>698</v>
      </c>
      <c r="CG156" s="28">
        <f>PRODUCTION!CH156+'SUPLIER INWARD'!CH156</f>
        <v>0</v>
      </c>
      <c r="CH156" s="58">
        <v>0</v>
      </c>
      <c r="CI156" s="29">
        <v>0</v>
      </c>
      <c r="CJ156" s="30">
        <f t="shared" si="179"/>
        <v>698</v>
      </c>
      <c r="CK156" s="28">
        <f>PRODUCTION!CL156+'SUPLIER INWARD'!CL156</f>
        <v>0</v>
      </c>
      <c r="CL156" s="58"/>
      <c r="CM156" s="152"/>
      <c r="CN156" s="30">
        <f t="shared" si="180"/>
        <v>698</v>
      </c>
      <c r="CO156" s="28">
        <f>PRODUCTION!CP156+'SUPLIER INWARD'!CP156</f>
        <v>0</v>
      </c>
      <c r="CP156" s="58">
        <v>0</v>
      </c>
      <c r="CQ156" s="29">
        <v>0</v>
      </c>
      <c r="CR156" s="30">
        <f t="shared" si="181"/>
        <v>698</v>
      </c>
      <c r="CS156" s="28">
        <f>PRODUCTION!CT156+'SUPLIER INWARD'!CT156</f>
        <v>0</v>
      </c>
      <c r="CT156" s="28">
        <v>0</v>
      </c>
      <c r="CU156" s="29">
        <v>0</v>
      </c>
      <c r="CV156" s="30">
        <f t="shared" si="182"/>
        <v>698</v>
      </c>
      <c r="CW156" s="28">
        <f>PRODUCTION!CX156+'SUPLIER INWARD'!CX156</f>
        <v>0</v>
      </c>
      <c r="CX156" s="58">
        <v>0</v>
      </c>
      <c r="CY156" s="29">
        <v>0</v>
      </c>
      <c r="CZ156" s="30">
        <f t="shared" si="183"/>
        <v>698</v>
      </c>
      <c r="DA156" s="28">
        <f>PRODUCTION!DB156+'SUPLIER INWARD'!DB156</f>
        <v>0</v>
      </c>
      <c r="DB156" s="58"/>
      <c r="DC156" s="29"/>
      <c r="DD156" s="30">
        <f t="shared" si="184"/>
        <v>698</v>
      </c>
      <c r="DE156" s="28">
        <f>PRODUCTION!DF156+'SUPLIER INWARD'!DF156</f>
        <v>0</v>
      </c>
      <c r="DF156" s="58">
        <v>0</v>
      </c>
      <c r="DG156" s="29">
        <v>0</v>
      </c>
      <c r="DH156" s="30">
        <f t="shared" si="185"/>
        <v>698</v>
      </c>
      <c r="DI156" s="28">
        <f>PRODUCTION!DJ156+'SUPLIER INWARD'!DJ156</f>
        <v>0</v>
      </c>
      <c r="DJ156" s="58">
        <v>0</v>
      </c>
      <c r="DK156" s="29">
        <v>0</v>
      </c>
      <c r="DL156" s="30">
        <f t="shared" si="186"/>
        <v>698</v>
      </c>
      <c r="DM156" s="28">
        <f>PRODUCTION!DN156+'SUPLIER INWARD'!DN156</f>
        <v>0</v>
      </c>
      <c r="DN156" s="58">
        <v>0</v>
      </c>
      <c r="DO156" s="29"/>
      <c r="DP156" s="30">
        <f t="shared" si="187"/>
        <v>698</v>
      </c>
      <c r="DQ156" s="28">
        <f>PRODUCTION!DR156+'SUPLIER INWARD'!DR156</f>
        <v>0</v>
      </c>
      <c r="DR156" s="57"/>
      <c r="DS156" s="29"/>
      <c r="DT156" s="30">
        <f t="shared" si="188"/>
        <v>698</v>
      </c>
      <c r="DU156" s="28">
        <f>PRODUCTION!DV156+'SUPLIER INWARD'!DV156</f>
        <v>0</v>
      </c>
      <c r="DV156" s="58"/>
      <c r="DW156" s="29"/>
      <c r="DX156" s="30">
        <f t="shared" si="189"/>
        <v>698</v>
      </c>
      <c r="DY156" s="141">
        <f t="shared" si="192"/>
        <v>0</v>
      </c>
      <c r="DZ156" s="141">
        <f t="shared" si="190"/>
        <v>0</v>
      </c>
      <c r="EA156" s="4">
        <f t="shared" si="191"/>
        <v>0</v>
      </c>
      <c r="EB156" s="9">
        <f>D156*'MASTER SHEET'!D156</f>
        <v>0</v>
      </c>
      <c r="EC156" s="9">
        <f>H156*'MASTER SHEET'!D156</f>
        <v>0</v>
      </c>
      <c r="ED156" s="9">
        <f>L156*'MASTER SHEET'!D156</f>
        <v>0</v>
      </c>
      <c r="EE156" s="9">
        <f>P156*'MASTER SHEET'!D156</f>
        <v>0</v>
      </c>
      <c r="EF156" s="9">
        <f>T156*'MASTER SHEET'!D156</f>
        <v>0</v>
      </c>
      <c r="EG156" s="9">
        <f>X156*'MASTER SHEET'!D156</f>
        <v>0</v>
      </c>
      <c r="EH156" s="9">
        <f>AB156*'MASTER SHEET'!D156</f>
        <v>0</v>
      </c>
      <c r="EI156" s="9">
        <f>AF156*'MASTER SHEET'!D156</f>
        <v>0</v>
      </c>
      <c r="EJ156" s="9">
        <f>AJ156*'MASTER SHEET'!D156</f>
        <v>0</v>
      </c>
      <c r="EK156" s="9">
        <f>AN156*'MASTER SHEET'!D156</f>
        <v>0</v>
      </c>
      <c r="EL156" s="9">
        <f>AR156*'MASTER SHEET'!D156</f>
        <v>0</v>
      </c>
      <c r="EM156" s="9">
        <f>AV156*'MASTER SHEET'!D156</f>
        <v>0</v>
      </c>
      <c r="EN156" s="9">
        <f>AZ156*'MASTER SHEET'!D156</f>
        <v>0</v>
      </c>
      <c r="EO156" s="9">
        <f>BD156*'MASTER SHEET'!D156</f>
        <v>0</v>
      </c>
      <c r="EP156" s="9">
        <f>$BH156*'MASTER SHEET'!$D156</f>
        <v>0</v>
      </c>
      <c r="EQ156" s="9">
        <f>BL156*'MASTER SHEET'!D156</f>
        <v>0</v>
      </c>
      <c r="ER156" s="9">
        <f>BP156*'MASTER SHEET'!D156</f>
        <v>0</v>
      </c>
      <c r="ES156" s="9">
        <f>BT156*'MASTER SHEET'!D156</f>
        <v>0</v>
      </c>
      <c r="ET156" s="9">
        <f>BX156*'MASTER SHEET'!D156</f>
        <v>0</v>
      </c>
      <c r="EU156" s="9">
        <f>CB156*'MASTER SHEET'!D156</f>
        <v>0</v>
      </c>
      <c r="EV156" s="9">
        <f>CF156*'MASTER SHEET'!D156</f>
        <v>0</v>
      </c>
      <c r="EW156" s="9">
        <f>CJ156*'MASTER SHEET'!D156</f>
        <v>0</v>
      </c>
      <c r="EX156" s="9">
        <f>CN156*'MASTER SHEET'!D156</f>
        <v>0</v>
      </c>
      <c r="EY156" s="9">
        <f>CR156*'MASTER SHEET'!D156</f>
        <v>0</v>
      </c>
      <c r="EZ156" s="9">
        <f>$CV156*'MASTER SHEET'!D156</f>
        <v>0</v>
      </c>
      <c r="FA156" s="9">
        <f>CZ156*'MASTER SHEET'!D156</f>
        <v>0</v>
      </c>
      <c r="FB156" s="9">
        <f>DD156*'MASTER SHEET'!D156</f>
        <v>0</v>
      </c>
      <c r="FC156" s="9">
        <f>DH156*'MASTER SHEET'!D156</f>
        <v>0</v>
      </c>
      <c r="FD156" s="9">
        <f>DL156*'MASTER SHEET'!D156</f>
        <v>0</v>
      </c>
      <c r="FE156" s="9">
        <f>DP156*'MASTER SHEET'!D156</f>
        <v>0</v>
      </c>
      <c r="FF156" s="9">
        <f>DT156*'MASTER SHEET'!D156</f>
        <v>0</v>
      </c>
      <c r="FG156" s="9">
        <f>+DX156*'MASTER SHEET'!D156</f>
        <v>0</v>
      </c>
    </row>
    <row r="157" spans="1:163" ht="20.25" customHeight="1" x14ac:dyDescent="0.25">
      <c r="A157" s="25">
        <f>'MASTER SHEET'!A157</f>
        <v>155</v>
      </c>
      <c r="B157" s="168" t="str">
        <f>'MASTER SHEET'!B157</f>
        <v>CLAMP HEATER NOSE</v>
      </c>
      <c r="C157" s="169">
        <f>'MASTER SHEET'!C157</f>
        <v>62625</v>
      </c>
      <c r="D157" s="159">
        <v>0</v>
      </c>
      <c r="E157" s="28">
        <f>PRODUCTION!F157+'SUPLIER INWARD'!F157</f>
        <v>0</v>
      </c>
      <c r="F157" s="28"/>
      <c r="G157" s="29">
        <v>0</v>
      </c>
      <c r="H157" s="30">
        <f t="shared" si="159"/>
        <v>0</v>
      </c>
      <c r="I157" s="28">
        <f>PRODUCTION!J157+'SUPLIER INWARD'!J157</f>
        <v>0</v>
      </c>
      <c r="J157" s="28"/>
      <c r="K157" s="29">
        <v>0</v>
      </c>
      <c r="L157" s="30">
        <f t="shared" si="160"/>
        <v>0</v>
      </c>
      <c r="M157" s="28">
        <f>PRODUCTION!N157+'SUPLIER INWARD'!N157</f>
        <v>0</v>
      </c>
      <c r="N157" s="58"/>
      <c r="O157" s="29"/>
      <c r="P157" s="30">
        <f t="shared" si="161"/>
        <v>0</v>
      </c>
      <c r="Q157" s="28">
        <f>PRODUCTION!R157+'SUPLIER INWARD'!R157</f>
        <v>0</v>
      </c>
      <c r="R157" s="58"/>
      <c r="S157" s="29">
        <v>0</v>
      </c>
      <c r="T157" s="30">
        <f t="shared" si="162"/>
        <v>0</v>
      </c>
      <c r="U157" s="28">
        <f>PRODUCTION!V157+'SUPLIER INWARD'!V157</f>
        <v>0</v>
      </c>
      <c r="V157" s="58">
        <v>0</v>
      </c>
      <c r="W157" s="29">
        <v>0</v>
      </c>
      <c r="X157" s="30">
        <f t="shared" si="163"/>
        <v>0</v>
      </c>
      <c r="Y157" s="28">
        <f>PRODUCTION!Z157+'SUPLIER INWARD'!Z157</f>
        <v>0</v>
      </c>
      <c r="Z157" s="58">
        <v>0</v>
      </c>
      <c r="AA157" s="29">
        <v>0</v>
      </c>
      <c r="AB157" s="30">
        <f t="shared" si="164"/>
        <v>0</v>
      </c>
      <c r="AC157" s="28">
        <f>PRODUCTION!AD157+'SUPLIER INWARD'!AD157</f>
        <v>0</v>
      </c>
      <c r="AD157" s="58">
        <v>0</v>
      </c>
      <c r="AE157" s="29">
        <v>0</v>
      </c>
      <c r="AF157" s="30">
        <f t="shared" si="165"/>
        <v>0</v>
      </c>
      <c r="AG157" s="28">
        <f>PRODUCTION!AH157+'SUPLIER INWARD'!AH157</f>
        <v>0</v>
      </c>
      <c r="AH157" s="58">
        <v>0</v>
      </c>
      <c r="AI157" s="29">
        <v>0</v>
      </c>
      <c r="AJ157" s="30">
        <f t="shared" si="166"/>
        <v>0</v>
      </c>
      <c r="AK157" s="28">
        <f>PRODUCTION!AL157+'SUPLIER INWARD'!AL157</f>
        <v>0</v>
      </c>
      <c r="AL157" s="58">
        <v>0</v>
      </c>
      <c r="AM157" s="29">
        <v>0</v>
      </c>
      <c r="AN157" s="30">
        <f t="shared" si="167"/>
        <v>0</v>
      </c>
      <c r="AO157" s="28">
        <f>PRODUCTION!AP157+'SUPLIER INWARD'!AP157</f>
        <v>3612</v>
      </c>
      <c r="AP157" s="28"/>
      <c r="AQ157" s="29">
        <v>0</v>
      </c>
      <c r="AR157" s="30">
        <f t="shared" si="168"/>
        <v>3612</v>
      </c>
      <c r="AS157" s="28">
        <f>PRODUCTION!AT157+'SUPLIER INWARD'!AT157</f>
        <v>0</v>
      </c>
      <c r="AT157" s="28">
        <v>2000</v>
      </c>
      <c r="AU157" s="29">
        <v>75</v>
      </c>
      <c r="AV157" s="30">
        <f t="shared" si="169"/>
        <v>1537</v>
      </c>
      <c r="AW157" s="28">
        <f>PRODUCTION!AX157+'SUPLIER INWARD'!AX157</f>
        <v>0</v>
      </c>
      <c r="AX157" s="28"/>
      <c r="AY157" s="29"/>
      <c r="AZ157" s="30">
        <f t="shared" si="170"/>
        <v>1537</v>
      </c>
      <c r="BA157" s="28">
        <f>PRODUCTION!BB157+'SUPLIER INWARD'!BB157</f>
        <v>0</v>
      </c>
      <c r="BB157" s="58">
        <v>0</v>
      </c>
      <c r="BC157" s="29">
        <v>0</v>
      </c>
      <c r="BD157" s="30">
        <f t="shared" si="171"/>
        <v>1537</v>
      </c>
      <c r="BE157" s="28">
        <f>PRODUCTION!BF157+'SUPLIER INWARD'!BF157</f>
        <v>0</v>
      </c>
      <c r="BF157" s="58"/>
      <c r="BG157" s="29">
        <v>0</v>
      </c>
      <c r="BH157" s="30">
        <f t="shared" si="172"/>
        <v>1537</v>
      </c>
      <c r="BI157" s="28">
        <f>PRODUCTION!BJ157+'SUPLIER INWARD'!BJ157</f>
        <v>0</v>
      </c>
      <c r="BJ157" s="58">
        <v>0</v>
      </c>
      <c r="BK157" s="29">
        <v>0</v>
      </c>
      <c r="BL157" s="30">
        <f t="shared" si="173"/>
        <v>1537</v>
      </c>
      <c r="BM157" s="28">
        <f>PRODUCTION!BN157+'SUPLIER INWARD'!BN157</f>
        <v>0</v>
      </c>
      <c r="BN157" s="58">
        <v>0</v>
      </c>
      <c r="BO157" s="29">
        <v>0</v>
      </c>
      <c r="BP157" s="30">
        <f t="shared" si="174"/>
        <v>1537</v>
      </c>
      <c r="BQ157" s="28">
        <f>PRODUCTION!BR157+'SUPLIER INWARD'!BR157</f>
        <v>0</v>
      </c>
      <c r="BR157" s="58">
        <v>0</v>
      </c>
      <c r="BS157" s="29">
        <v>0</v>
      </c>
      <c r="BT157" s="30">
        <f t="shared" si="175"/>
        <v>1537</v>
      </c>
      <c r="BU157" s="28">
        <f>PRODUCTION!BV157+'SUPLIER INWARD'!BV157</f>
        <v>0</v>
      </c>
      <c r="BV157" s="58">
        <v>0</v>
      </c>
      <c r="BW157" s="29">
        <v>0</v>
      </c>
      <c r="BX157" s="30">
        <f t="shared" si="176"/>
        <v>1537</v>
      </c>
      <c r="BY157" s="28">
        <f>PRODUCTION!BZ157+'SUPLIER INWARD'!BZ157</f>
        <v>0</v>
      </c>
      <c r="BZ157" s="58"/>
      <c r="CA157" s="29">
        <v>0</v>
      </c>
      <c r="CB157" s="30">
        <f t="shared" si="177"/>
        <v>1537</v>
      </c>
      <c r="CC157" s="28">
        <f>PRODUCTION!CD157+'SUPLIER INWARD'!CD157</f>
        <v>0</v>
      </c>
      <c r="CD157" s="58">
        <v>0</v>
      </c>
      <c r="CE157" s="29">
        <v>0</v>
      </c>
      <c r="CF157" s="30">
        <f t="shared" si="178"/>
        <v>1537</v>
      </c>
      <c r="CG157" s="28">
        <f>PRODUCTION!CH157+'SUPLIER INWARD'!CH157</f>
        <v>0</v>
      </c>
      <c r="CH157" s="58">
        <v>0</v>
      </c>
      <c r="CI157" s="29">
        <v>0</v>
      </c>
      <c r="CJ157" s="30">
        <f t="shared" si="179"/>
        <v>1537</v>
      </c>
      <c r="CK157" s="28">
        <f>PRODUCTION!CL157+'SUPLIER INWARD'!CL157</f>
        <v>0</v>
      </c>
      <c r="CL157" s="58"/>
      <c r="CM157" s="152"/>
      <c r="CN157" s="30">
        <f t="shared" si="180"/>
        <v>1537</v>
      </c>
      <c r="CO157" s="28">
        <f>PRODUCTION!CP157+'SUPLIER INWARD'!CP157</f>
        <v>0</v>
      </c>
      <c r="CP157" s="58">
        <v>0</v>
      </c>
      <c r="CQ157" s="29">
        <v>0</v>
      </c>
      <c r="CR157" s="30">
        <f t="shared" si="181"/>
        <v>1537</v>
      </c>
      <c r="CS157" s="28">
        <f>PRODUCTION!CT157+'SUPLIER INWARD'!CT157</f>
        <v>0</v>
      </c>
      <c r="CT157" s="28">
        <v>0</v>
      </c>
      <c r="CU157" s="29">
        <v>0</v>
      </c>
      <c r="CV157" s="30">
        <f t="shared" si="182"/>
        <v>1537</v>
      </c>
      <c r="CW157" s="28">
        <f>PRODUCTION!CX157+'SUPLIER INWARD'!CX157</f>
        <v>0</v>
      </c>
      <c r="CX157" s="58">
        <v>0</v>
      </c>
      <c r="CY157" s="29">
        <v>0</v>
      </c>
      <c r="CZ157" s="30">
        <f t="shared" si="183"/>
        <v>1537</v>
      </c>
      <c r="DA157" s="28">
        <f>PRODUCTION!DB157+'SUPLIER INWARD'!DB157</f>
        <v>0</v>
      </c>
      <c r="DB157" s="58"/>
      <c r="DC157" s="29"/>
      <c r="DD157" s="30">
        <f t="shared" si="184"/>
        <v>1537</v>
      </c>
      <c r="DE157" s="28">
        <f>PRODUCTION!DF157+'SUPLIER INWARD'!DF157</f>
        <v>0</v>
      </c>
      <c r="DF157" s="58">
        <v>1000</v>
      </c>
      <c r="DG157" s="29">
        <v>0</v>
      </c>
      <c r="DH157" s="30">
        <f t="shared" si="185"/>
        <v>537</v>
      </c>
      <c r="DI157" s="28">
        <f>PRODUCTION!DJ157+'SUPLIER INWARD'!DJ157</f>
        <v>0</v>
      </c>
      <c r="DJ157" s="58">
        <v>0</v>
      </c>
      <c r="DK157" s="29">
        <v>0</v>
      </c>
      <c r="DL157" s="30">
        <f t="shared" si="186"/>
        <v>537</v>
      </c>
      <c r="DM157" s="28">
        <f>PRODUCTION!DN157+'SUPLIER INWARD'!DN157</f>
        <v>0</v>
      </c>
      <c r="DN157" s="58">
        <v>0</v>
      </c>
      <c r="DO157" s="29"/>
      <c r="DP157" s="30">
        <f t="shared" si="187"/>
        <v>537</v>
      </c>
      <c r="DQ157" s="28">
        <f>PRODUCTION!DR157+'SUPLIER INWARD'!DR157</f>
        <v>0</v>
      </c>
      <c r="DR157" s="57"/>
      <c r="DS157" s="29"/>
      <c r="DT157" s="30">
        <f t="shared" si="188"/>
        <v>537</v>
      </c>
      <c r="DU157" s="28">
        <f>PRODUCTION!DV157+'SUPLIER INWARD'!DV157</f>
        <v>0</v>
      </c>
      <c r="DV157" s="58"/>
      <c r="DW157" s="29"/>
      <c r="DX157" s="30">
        <f t="shared" si="189"/>
        <v>537</v>
      </c>
      <c r="DY157" s="141">
        <f t="shared" si="192"/>
        <v>3612</v>
      </c>
      <c r="DZ157" s="141">
        <f t="shared" si="190"/>
        <v>3000</v>
      </c>
      <c r="EA157" s="4">
        <f t="shared" si="191"/>
        <v>75</v>
      </c>
      <c r="EB157" s="9">
        <f>D157*'MASTER SHEET'!D157</f>
        <v>0</v>
      </c>
      <c r="EC157" s="9">
        <f>H157*'MASTER SHEET'!D157</f>
        <v>0</v>
      </c>
      <c r="ED157" s="9">
        <f>L157*'MASTER SHEET'!D157</f>
        <v>0</v>
      </c>
      <c r="EE157" s="9">
        <f>P157*'MASTER SHEET'!D157</f>
        <v>0</v>
      </c>
      <c r="EF157" s="9">
        <f>T157*'MASTER SHEET'!D157</f>
        <v>0</v>
      </c>
      <c r="EG157" s="9">
        <f>X157*'MASTER SHEET'!D157</f>
        <v>0</v>
      </c>
      <c r="EH157" s="9">
        <f>AB157*'MASTER SHEET'!D157</f>
        <v>0</v>
      </c>
      <c r="EI157" s="9">
        <f>AF157*'MASTER SHEET'!D157</f>
        <v>0</v>
      </c>
      <c r="EJ157" s="9">
        <f>AJ157*'MASTER SHEET'!D157</f>
        <v>0</v>
      </c>
      <c r="EK157" s="9">
        <f>AN157*'MASTER SHEET'!D157</f>
        <v>0</v>
      </c>
      <c r="EL157" s="9">
        <f>AR157*'MASTER SHEET'!D157</f>
        <v>4370.5199999999995</v>
      </c>
      <c r="EM157" s="9">
        <f>AV157*'MASTER SHEET'!D157</f>
        <v>1859.77</v>
      </c>
      <c r="EN157" s="9">
        <f>AZ157*'MASTER SHEET'!D157</f>
        <v>1859.77</v>
      </c>
      <c r="EO157" s="9">
        <f>BD157*'MASTER SHEET'!D157</f>
        <v>1859.77</v>
      </c>
      <c r="EP157" s="9">
        <f>$BH157*'MASTER SHEET'!$D157</f>
        <v>1859.77</v>
      </c>
      <c r="EQ157" s="9">
        <f>BL157*'MASTER SHEET'!D157</f>
        <v>1859.77</v>
      </c>
      <c r="ER157" s="9">
        <f>BP157*'MASTER SHEET'!D157</f>
        <v>1859.77</v>
      </c>
      <c r="ES157" s="9">
        <f>BT157*'MASTER SHEET'!D157</f>
        <v>1859.77</v>
      </c>
      <c r="ET157" s="9">
        <f>BX157*'MASTER SHEET'!D157</f>
        <v>1859.77</v>
      </c>
      <c r="EU157" s="9">
        <f>CB157*'MASTER SHEET'!D157</f>
        <v>1859.77</v>
      </c>
      <c r="EV157" s="9">
        <f>CF157*'MASTER SHEET'!D157</f>
        <v>1859.77</v>
      </c>
      <c r="EW157" s="9">
        <f>CJ157*'MASTER SHEET'!D157</f>
        <v>1859.77</v>
      </c>
      <c r="EX157" s="9">
        <f>CN157*'MASTER SHEET'!D157</f>
        <v>1859.77</v>
      </c>
      <c r="EY157" s="9">
        <f>CR157*'MASTER SHEET'!D157</f>
        <v>1859.77</v>
      </c>
      <c r="EZ157" s="9">
        <f>$CV157*'MASTER SHEET'!D157</f>
        <v>1859.77</v>
      </c>
      <c r="FA157" s="9">
        <f>CZ157*'MASTER SHEET'!D157</f>
        <v>1859.77</v>
      </c>
      <c r="FB157" s="9">
        <f>DD157*'MASTER SHEET'!D157</f>
        <v>1859.77</v>
      </c>
      <c r="FC157" s="9">
        <f>DH157*'MASTER SHEET'!D157</f>
        <v>649.77</v>
      </c>
      <c r="FD157" s="9">
        <f>DL157*'MASTER SHEET'!D157</f>
        <v>649.77</v>
      </c>
      <c r="FE157" s="9">
        <f>DP157*'MASTER SHEET'!D157</f>
        <v>649.77</v>
      </c>
      <c r="FF157" s="9">
        <f>DT157*'MASTER SHEET'!D157</f>
        <v>649.77</v>
      </c>
      <c r="FG157" s="9">
        <f>+DX157*'MASTER SHEET'!D157</f>
        <v>649.77</v>
      </c>
    </row>
    <row r="158" spans="1:163" ht="20.25" customHeight="1" x14ac:dyDescent="0.25">
      <c r="A158" s="25">
        <f>'MASTER SHEET'!A158</f>
        <v>156</v>
      </c>
      <c r="B158" s="168" t="str">
        <f>'MASTER SHEET'!B158</f>
        <v>CLAMP</v>
      </c>
      <c r="C158" s="169">
        <f>'MASTER SHEET'!C158</f>
        <v>62591</v>
      </c>
      <c r="D158" s="159">
        <v>7700</v>
      </c>
      <c r="E158" s="28">
        <f>PRODUCTION!F158+'SUPLIER INWARD'!F158</f>
        <v>0</v>
      </c>
      <c r="F158" s="28"/>
      <c r="G158" s="29">
        <v>0</v>
      </c>
      <c r="H158" s="30">
        <f t="shared" si="159"/>
        <v>7700</v>
      </c>
      <c r="I158" s="28">
        <f>PRODUCTION!J158+'SUPLIER INWARD'!J158</f>
        <v>0</v>
      </c>
      <c r="J158" s="28"/>
      <c r="K158" s="29">
        <v>0</v>
      </c>
      <c r="L158" s="30">
        <f t="shared" si="160"/>
        <v>7700</v>
      </c>
      <c r="M158" s="28">
        <f>PRODUCTION!N158+'SUPLIER INWARD'!N158</f>
        <v>0</v>
      </c>
      <c r="N158" s="58"/>
      <c r="O158" s="29"/>
      <c r="P158" s="30">
        <f t="shared" si="161"/>
        <v>7700</v>
      </c>
      <c r="Q158" s="28">
        <f>PRODUCTION!R158+'SUPLIER INWARD'!R158</f>
        <v>0</v>
      </c>
      <c r="R158" s="58"/>
      <c r="S158" s="29">
        <v>0</v>
      </c>
      <c r="T158" s="30">
        <f t="shared" si="162"/>
        <v>7700</v>
      </c>
      <c r="U158" s="28">
        <f>PRODUCTION!V158+'SUPLIER INWARD'!V158</f>
        <v>0</v>
      </c>
      <c r="V158" s="58">
        <v>0</v>
      </c>
      <c r="W158" s="29">
        <v>0</v>
      </c>
      <c r="X158" s="30">
        <f t="shared" si="163"/>
        <v>7700</v>
      </c>
      <c r="Y158" s="28">
        <f>PRODUCTION!Z158+'SUPLIER INWARD'!Z158</f>
        <v>0</v>
      </c>
      <c r="Z158" s="58">
        <v>0</v>
      </c>
      <c r="AA158" s="29">
        <v>0</v>
      </c>
      <c r="AB158" s="30">
        <f t="shared" si="164"/>
        <v>7700</v>
      </c>
      <c r="AC158" s="28">
        <f>PRODUCTION!AD158+'SUPLIER INWARD'!AD158</f>
        <v>0</v>
      </c>
      <c r="AD158" s="58">
        <v>0</v>
      </c>
      <c r="AE158" s="29">
        <v>0</v>
      </c>
      <c r="AF158" s="30">
        <f t="shared" si="165"/>
        <v>7700</v>
      </c>
      <c r="AG158" s="28">
        <f>PRODUCTION!AH158+'SUPLIER INWARD'!AH158</f>
        <v>0</v>
      </c>
      <c r="AH158" s="58">
        <v>0</v>
      </c>
      <c r="AI158" s="29">
        <v>0</v>
      </c>
      <c r="AJ158" s="30">
        <f t="shared" si="166"/>
        <v>7700</v>
      </c>
      <c r="AK158" s="28">
        <f>PRODUCTION!AL158+'SUPLIER INWARD'!AL158</f>
        <v>0</v>
      </c>
      <c r="AL158" s="58">
        <v>0</v>
      </c>
      <c r="AM158" s="29">
        <v>0</v>
      </c>
      <c r="AN158" s="30">
        <f t="shared" si="167"/>
        <v>7700</v>
      </c>
      <c r="AO158" s="28">
        <f>PRODUCTION!AP158+'SUPLIER INWARD'!AP158</f>
        <v>0</v>
      </c>
      <c r="AP158" s="28"/>
      <c r="AQ158" s="29">
        <v>0</v>
      </c>
      <c r="AR158" s="30">
        <f t="shared" si="168"/>
        <v>7700</v>
      </c>
      <c r="AS158" s="28">
        <f>PRODUCTION!AT158+'SUPLIER INWARD'!AT158</f>
        <v>0</v>
      </c>
      <c r="AT158" s="28">
        <v>3000</v>
      </c>
      <c r="AU158" s="29">
        <v>42</v>
      </c>
      <c r="AV158" s="30">
        <f t="shared" si="169"/>
        <v>4658</v>
      </c>
      <c r="AW158" s="28">
        <f>PRODUCTION!AX158+'SUPLIER INWARD'!AX158</f>
        <v>0</v>
      </c>
      <c r="AX158" s="28"/>
      <c r="AY158" s="29"/>
      <c r="AZ158" s="30">
        <f t="shared" si="170"/>
        <v>4658</v>
      </c>
      <c r="BA158" s="28">
        <f>PRODUCTION!BB158+'SUPLIER INWARD'!BB158</f>
        <v>0</v>
      </c>
      <c r="BB158" s="58">
        <v>0</v>
      </c>
      <c r="BC158" s="29">
        <v>0</v>
      </c>
      <c r="BD158" s="30">
        <f t="shared" si="171"/>
        <v>4658</v>
      </c>
      <c r="BE158" s="28">
        <f>PRODUCTION!BF158+'SUPLIER INWARD'!BF158</f>
        <v>0</v>
      </c>
      <c r="BF158" s="58"/>
      <c r="BG158" s="29">
        <v>0</v>
      </c>
      <c r="BH158" s="30">
        <f t="shared" si="172"/>
        <v>4658</v>
      </c>
      <c r="BI158" s="28">
        <f>PRODUCTION!BJ158+'SUPLIER INWARD'!BJ158</f>
        <v>0</v>
      </c>
      <c r="BJ158" s="58">
        <v>0</v>
      </c>
      <c r="BK158" s="29">
        <v>0</v>
      </c>
      <c r="BL158" s="30">
        <f t="shared" si="173"/>
        <v>4658</v>
      </c>
      <c r="BM158" s="28">
        <f>PRODUCTION!BN158+'SUPLIER INWARD'!BN158</f>
        <v>0</v>
      </c>
      <c r="BN158" s="58">
        <v>0</v>
      </c>
      <c r="BO158" s="29">
        <v>0</v>
      </c>
      <c r="BP158" s="30">
        <f t="shared" si="174"/>
        <v>4658</v>
      </c>
      <c r="BQ158" s="28">
        <f>PRODUCTION!BR158+'SUPLIER INWARD'!BR158</f>
        <v>0</v>
      </c>
      <c r="BR158" s="58">
        <v>0</v>
      </c>
      <c r="BS158" s="29">
        <v>0</v>
      </c>
      <c r="BT158" s="30">
        <f t="shared" si="175"/>
        <v>4658</v>
      </c>
      <c r="BU158" s="28">
        <f>PRODUCTION!BV158+'SUPLIER INWARD'!BV158</f>
        <v>0</v>
      </c>
      <c r="BV158" s="58">
        <v>0</v>
      </c>
      <c r="BW158" s="29">
        <v>0</v>
      </c>
      <c r="BX158" s="30">
        <f t="shared" si="176"/>
        <v>4658</v>
      </c>
      <c r="BY158" s="28">
        <f>PRODUCTION!BZ158+'SUPLIER INWARD'!BZ158</f>
        <v>0</v>
      </c>
      <c r="BZ158" s="58"/>
      <c r="CA158" s="29">
        <v>0</v>
      </c>
      <c r="CB158" s="30">
        <f t="shared" si="177"/>
        <v>4658</v>
      </c>
      <c r="CC158" s="28">
        <f>PRODUCTION!CD158+'SUPLIER INWARD'!CD158</f>
        <v>2420</v>
      </c>
      <c r="CD158" s="58">
        <v>0</v>
      </c>
      <c r="CE158" s="29">
        <v>0</v>
      </c>
      <c r="CF158" s="30">
        <f t="shared" si="178"/>
        <v>7078</v>
      </c>
      <c r="CG158" s="28">
        <f>PRODUCTION!CH158+'SUPLIER INWARD'!CH158</f>
        <v>9652</v>
      </c>
      <c r="CH158" s="58">
        <v>0</v>
      </c>
      <c r="CI158" s="29">
        <v>0</v>
      </c>
      <c r="CJ158" s="30">
        <f t="shared" si="179"/>
        <v>16730</v>
      </c>
      <c r="CK158" s="28">
        <f>PRODUCTION!CL158+'SUPLIER INWARD'!CL158</f>
        <v>0</v>
      </c>
      <c r="CL158" s="58">
        <v>10000</v>
      </c>
      <c r="CM158" s="152"/>
      <c r="CN158" s="30">
        <f t="shared" si="180"/>
        <v>6730</v>
      </c>
      <c r="CO158" s="28">
        <f>PRODUCTION!CP158+'SUPLIER INWARD'!CP158</f>
        <v>0</v>
      </c>
      <c r="CP158" s="58">
        <v>0</v>
      </c>
      <c r="CQ158" s="29">
        <v>0</v>
      </c>
      <c r="CR158" s="30">
        <f t="shared" si="181"/>
        <v>6730</v>
      </c>
      <c r="CS158" s="28">
        <f>PRODUCTION!CT158+'SUPLIER INWARD'!CT158</f>
        <v>0</v>
      </c>
      <c r="CT158" s="28">
        <v>0</v>
      </c>
      <c r="CU158" s="29">
        <v>0</v>
      </c>
      <c r="CV158" s="30">
        <f t="shared" si="182"/>
        <v>6730</v>
      </c>
      <c r="CW158" s="28">
        <f>PRODUCTION!CX158+'SUPLIER INWARD'!CX158</f>
        <v>0</v>
      </c>
      <c r="CX158" s="58">
        <v>0</v>
      </c>
      <c r="CY158" s="29">
        <v>0</v>
      </c>
      <c r="CZ158" s="30">
        <f t="shared" si="183"/>
        <v>6730</v>
      </c>
      <c r="DA158" s="28">
        <f>PRODUCTION!DB158+'SUPLIER INWARD'!DB158</f>
        <v>0</v>
      </c>
      <c r="DB158" s="58"/>
      <c r="DC158" s="29"/>
      <c r="DD158" s="30">
        <f t="shared" si="184"/>
        <v>6730</v>
      </c>
      <c r="DE158" s="28">
        <f>PRODUCTION!DF158+'SUPLIER INWARD'!DF158</f>
        <v>0</v>
      </c>
      <c r="DF158" s="58">
        <v>0</v>
      </c>
      <c r="DG158" s="29">
        <v>0</v>
      </c>
      <c r="DH158" s="30">
        <f t="shared" si="185"/>
        <v>6730</v>
      </c>
      <c r="DI158" s="28">
        <f>PRODUCTION!DJ158+'SUPLIER INWARD'!DJ158</f>
        <v>0</v>
      </c>
      <c r="DJ158" s="58">
        <v>0</v>
      </c>
      <c r="DK158" s="29">
        <v>0</v>
      </c>
      <c r="DL158" s="30">
        <f t="shared" si="186"/>
        <v>6730</v>
      </c>
      <c r="DM158" s="28">
        <f>PRODUCTION!DN158+'SUPLIER INWARD'!DN158</f>
        <v>0</v>
      </c>
      <c r="DN158" s="58">
        <v>0</v>
      </c>
      <c r="DO158" s="29"/>
      <c r="DP158" s="30">
        <f t="shared" si="187"/>
        <v>6730</v>
      </c>
      <c r="DQ158" s="28">
        <f>PRODUCTION!DR158+'SUPLIER INWARD'!DR158</f>
        <v>0</v>
      </c>
      <c r="DR158" s="57"/>
      <c r="DS158" s="29"/>
      <c r="DT158" s="30">
        <f t="shared" si="188"/>
        <v>6730</v>
      </c>
      <c r="DU158" s="28">
        <f>PRODUCTION!DV158+'SUPLIER INWARD'!DV158</f>
        <v>0</v>
      </c>
      <c r="DV158" s="58"/>
      <c r="DW158" s="29"/>
      <c r="DX158" s="30">
        <f t="shared" si="189"/>
        <v>6730</v>
      </c>
      <c r="DY158" s="141">
        <f t="shared" si="192"/>
        <v>12072</v>
      </c>
      <c r="DZ158" s="141">
        <f t="shared" si="190"/>
        <v>13000</v>
      </c>
      <c r="EA158" s="4">
        <f t="shared" si="191"/>
        <v>42</v>
      </c>
      <c r="EB158" s="9">
        <f>D158*'MASTER SHEET'!D158</f>
        <v>9317</v>
      </c>
      <c r="EC158" s="9">
        <f>H158*'MASTER SHEET'!D158</f>
        <v>9317</v>
      </c>
      <c r="ED158" s="9">
        <f>L158*'MASTER SHEET'!D158</f>
        <v>9317</v>
      </c>
      <c r="EE158" s="9">
        <f>P158*'MASTER SHEET'!D158</f>
        <v>9317</v>
      </c>
      <c r="EF158" s="9">
        <f>T158*'MASTER SHEET'!D158</f>
        <v>9317</v>
      </c>
      <c r="EG158" s="9">
        <f>X158*'MASTER SHEET'!D158</f>
        <v>9317</v>
      </c>
      <c r="EH158" s="9">
        <f>AB158*'MASTER SHEET'!D158</f>
        <v>9317</v>
      </c>
      <c r="EI158" s="9">
        <f>AF158*'MASTER SHEET'!D158</f>
        <v>9317</v>
      </c>
      <c r="EJ158" s="9">
        <f>AJ158*'MASTER SHEET'!D158</f>
        <v>9317</v>
      </c>
      <c r="EK158" s="9">
        <f>AN158*'MASTER SHEET'!D158</f>
        <v>9317</v>
      </c>
      <c r="EL158" s="9">
        <f>AR158*'MASTER SHEET'!D158</f>
        <v>9317</v>
      </c>
      <c r="EM158" s="9">
        <f>AV158*'MASTER SHEET'!D158</f>
        <v>5636.1799999999994</v>
      </c>
      <c r="EN158" s="9">
        <f>AZ158*'MASTER SHEET'!D158</f>
        <v>5636.1799999999994</v>
      </c>
      <c r="EO158" s="9">
        <f>BD158*'MASTER SHEET'!D158</f>
        <v>5636.1799999999994</v>
      </c>
      <c r="EP158" s="9">
        <f>$BH158*'MASTER SHEET'!$D158</f>
        <v>5636.1799999999994</v>
      </c>
      <c r="EQ158" s="9">
        <f>BL158*'MASTER SHEET'!D158</f>
        <v>5636.1799999999994</v>
      </c>
      <c r="ER158" s="9">
        <f>BP158*'MASTER SHEET'!D158</f>
        <v>5636.1799999999994</v>
      </c>
      <c r="ES158" s="9">
        <f>BT158*'MASTER SHEET'!D158</f>
        <v>5636.1799999999994</v>
      </c>
      <c r="ET158" s="9">
        <f>BX158*'MASTER SHEET'!D158</f>
        <v>5636.1799999999994</v>
      </c>
      <c r="EU158" s="9">
        <f>CB158*'MASTER SHEET'!D158</f>
        <v>5636.1799999999994</v>
      </c>
      <c r="EV158" s="9">
        <f>CF158*'MASTER SHEET'!D158</f>
        <v>8564.3799999999992</v>
      </c>
      <c r="EW158" s="9">
        <f>CJ158*'MASTER SHEET'!D158</f>
        <v>20243.3</v>
      </c>
      <c r="EX158" s="9">
        <f>CN158*'MASTER SHEET'!D158</f>
        <v>8143.3</v>
      </c>
      <c r="EY158" s="9">
        <f>CR158*'MASTER SHEET'!D158</f>
        <v>8143.3</v>
      </c>
      <c r="EZ158" s="9">
        <f>$CV158*'MASTER SHEET'!D158</f>
        <v>8143.3</v>
      </c>
      <c r="FA158" s="9">
        <f>CZ158*'MASTER SHEET'!D158</f>
        <v>8143.3</v>
      </c>
      <c r="FB158" s="9">
        <f>DD158*'MASTER SHEET'!D158</f>
        <v>8143.3</v>
      </c>
      <c r="FC158" s="9">
        <f>DH158*'MASTER SHEET'!D158</f>
        <v>8143.3</v>
      </c>
      <c r="FD158" s="9">
        <f>DL158*'MASTER SHEET'!D158</f>
        <v>8143.3</v>
      </c>
      <c r="FE158" s="9">
        <f>DP158*'MASTER SHEET'!D158</f>
        <v>8143.3</v>
      </c>
      <c r="FF158" s="9">
        <f>DT158*'MASTER SHEET'!D158</f>
        <v>8143.3</v>
      </c>
      <c r="FG158" s="9">
        <f>+DX158*'MASTER SHEET'!D158</f>
        <v>8143.3</v>
      </c>
    </row>
    <row r="159" spans="1:163" ht="20.25" customHeight="1" x14ac:dyDescent="0.25">
      <c r="A159" s="25">
        <f>'MASTER SHEET'!A159</f>
        <v>157</v>
      </c>
      <c r="B159" s="168" t="str">
        <f>'MASTER SHEET'!B159</f>
        <v>CAP TAIL MEMBER</v>
      </c>
      <c r="C159" s="169">
        <f>'MASTER SHEET'!C159</f>
        <v>62479</v>
      </c>
      <c r="D159" s="159"/>
      <c r="E159" s="28">
        <f>PRODUCTION!F159+'SUPLIER INWARD'!F159</f>
        <v>0</v>
      </c>
      <c r="F159" s="28"/>
      <c r="G159" s="29">
        <v>0</v>
      </c>
      <c r="H159" s="30">
        <f t="shared" si="159"/>
        <v>0</v>
      </c>
      <c r="I159" s="28">
        <f>PRODUCTION!J159+'SUPLIER INWARD'!J159</f>
        <v>0</v>
      </c>
      <c r="J159" s="28"/>
      <c r="K159" s="29">
        <v>0</v>
      </c>
      <c r="L159" s="30">
        <f t="shared" si="160"/>
        <v>0</v>
      </c>
      <c r="M159" s="28">
        <f>PRODUCTION!N159+'SUPLIER INWARD'!N159</f>
        <v>0</v>
      </c>
      <c r="N159" s="58"/>
      <c r="O159" s="29"/>
      <c r="P159" s="30">
        <f t="shared" si="161"/>
        <v>0</v>
      </c>
      <c r="Q159" s="28">
        <f>PRODUCTION!R159+'SUPLIER INWARD'!R159</f>
        <v>0</v>
      </c>
      <c r="R159" s="58"/>
      <c r="S159" s="29">
        <v>0</v>
      </c>
      <c r="T159" s="30">
        <f t="shared" si="162"/>
        <v>0</v>
      </c>
      <c r="U159" s="28">
        <f>PRODUCTION!V159+'SUPLIER INWARD'!V159</f>
        <v>0</v>
      </c>
      <c r="V159" s="58">
        <v>0</v>
      </c>
      <c r="W159" s="29">
        <v>0</v>
      </c>
      <c r="X159" s="30">
        <f t="shared" si="163"/>
        <v>0</v>
      </c>
      <c r="Y159" s="28">
        <f>PRODUCTION!Z159+'SUPLIER INWARD'!Z159</f>
        <v>0</v>
      </c>
      <c r="Z159" s="58">
        <v>0</v>
      </c>
      <c r="AA159" s="29">
        <v>0</v>
      </c>
      <c r="AB159" s="30">
        <f t="shared" si="164"/>
        <v>0</v>
      </c>
      <c r="AC159" s="28">
        <f>PRODUCTION!AD159+'SUPLIER INWARD'!AD159</f>
        <v>0</v>
      </c>
      <c r="AD159" s="58">
        <v>0</v>
      </c>
      <c r="AE159" s="29">
        <v>0</v>
      </c>
      <c r="AF159" s="30">
        <f t="shared" si="165"/>
        <v>0</v>
      </c>
      <c r="AG159" s="28">
        <f>PRODUCTION!AH159+'SUPLIER INWARD'!AH159</f>
        <v>0</v>
      </c>
      <c r="AH159" s="58">
        <v>0</v>
      </c>
      <c r="AI159" s="29">
        <v>0</v>
      </c>
      <c r="AJ159" s="30">
        <f t="shared" si="166"/>
        <v>0</v>
      </c>
      <c r="AK159" s="28">
        <f>PRODUCTION!AL159+'SUPLIER INWARD'!AL159</f>
        <v>0</v>
      </c>
      <c r="AL159" s="58">
        <v>0</v>
      </c>
      <c r="AM159" s="29">
        <v>0</v>
      </c>
      <c r="AN159" s="30">
        <f t="shared" si="167"/>
        <v>0</v>
      </c>
      <c r="AO159" s="28">
        <f>PRODUCTION!AP159+'SUPLIER INWARD'!AP159</f>
        <v>0</v>
      </c>
      <c r="AP159" s="28"/>
      <c r="AQ159" s="29">
        <v>0</v>
      </c>
      <c r="AR159" s="30">
        <f t="shared" si="168"/>
        <v>0</v>
      </c>
      <c r="AS159" s="28">
        <f>PRODUCTION!AT159+'SUPLIER INWARD'!AT159</f>
        <v>0</v>
      </c>
      <c r="AT159" s="28">
        <v>0</v>
      </c>
      <c r="AU159" s="29">
        <v>0</v>
      </c>
      <c r="AV159" s="30">
        <f t="shared" si="169"/>
        <v>0</v>
      </c>
      <c r="AW159" s="28">
        <f>PRODUCTION!AX159+'SUPLIER INWARD'!AX159</f>
        <v>0</v>
      </c>
      <c r="AX159" s="28"/>
      <c r="AY159" s="29"/>
      <c r="AZ159" s="30">
        <f t="shared" si="170"/>
        <v>0</v>
      </c>
      <c r="BA159" s="28">
        <f>PRODUCTION!BB159+'SUPLIER INWARD'!BB159</f>
        <v>0</v>
      </c>
      <c r="BB159" s="58">
        <v>0</v>
      </c>
      <c r="BC159" s="29">
        <v>0</v>
      </c>
      <c r="BD159" s="30">
        <f t="shared" si="171"/>
        <v>0</v>
      </c>
      <c r="BE159" s="28">
        <f>PRODUCTION!BF159+'SUPLIER INWARD'!BF159</f>
        <v>0</v>
      </c>
      <c r="BF159" s="58"/>
      <c r="BG159" s="29">
        <v>0</v>
      </c>
      <c r="BH159" s="30">
        <f t="shared" si="172"/>
        <v>0</v>
      </c>
      <c r="BI159" s="28">
        <f>PRODUCTION!BJ159+'SUPLIER INWARD'!BJ159</f>
        <v>0</v>
      </c>
      <c r="BJ159" s="58">
        <v>0</v>
      </c>
      <c r="BK159" s="29">
        <v>0</v>
      </c>
      <c r="BL159" s="30">
        <f t="shared" si="173"/>
        <v>0</v>
      </c>
      <c r="BM159" s="28">
        <f>PRODUCTION!BN159+'SUPLIER INWARD'!BN159</f>
        <v>0</v>
      </c>
      <c r="BN159" s="58">
        <v>0</v>
      </c>
      <c r="BO159" s="29">
        <v>0</v>
      </c>
      <c r="BP159" s="30">
        <f t="shared" si="174"/>
        <v>0</v>
      </c>
      <c r="BQ159" s="28">
        <f>PRODUCTION!BR159+'SUPLIER INWARD'!BR159</f>
        <v>0</v>
      </c>
      <c r="BR159" s="58">
        <v>0</v>
      </c>
      <c r="BS159" s="29">
        <v>0</v>
      </c>
      <c r="BT159" s="30">
        <f t="shared" si="175"/>
        <v>0</v>
      </c>
      <c r="BU159" s="28">
        <f>PRODUCTION!BV159+'SUPLIER INWARD'!BV159</f>
        <v>0</v>
      </c>
      <c r="BV159" s="58">
        <v>0</v>
      </c>
      <c r="BW159" s="29">
        <v>0</v>
      </c>
      <c r="BX159" s="30">
        <f t="shared" si="176"/>
        <v>0</v>
      </c>
      <c r="BY159" s="28">
        <f>PRODUCTION!BZ159+'SUPLIER INWARD'!BZ159</f>
        <v>0</v>
      </c>
      <c r="BZ159" s="58"/>
      <c r="CA159" s="29">
        <v>0</v>
      </c>
      <c r="CB159" s="30">
        <f t="shared" si="177"/>
        <v>0</v>
      </c>
      <c r="CC159" s="28">
        <f>PRODUCTION!CD159+'SUPLIER INWARD'!CD159</f>
        <v>0</v>
      </c>
      <c r="CD159" s="58">
        <v>0</v>
      </c>
      <c r="CE159" s="29">
        <v>0</v>
      </c>
      <c r="CF159" s="30">
        <f t="shared" si="178"/>
        <v>0</v>
      </c>
      <c r="CG159" s="28">
        <f>PRODUCTION!CH159+'SUPLIER INWARD'!CH159</f>
        <v>0</v>
      </c>
      <c r="CH159" s="58">
        <v>0</v>
      </c>
      <c r="CI159" s="29">
        <v>0</v>
      </c>
      <c r="CJ159" s="30">
        <f t="shared" si="179"/>
        <v>0</v>
      </c>
      <c r="CK159" s="28">
        <f>PRODUCTION!CL159+'SUPLIER INWARD'!CL159</f>
        <v>0</v>
      </c>
      <c r="CL159" s="58"/>
      <c r="CM159" s="152"/>
      <c r="CN159" s="30">
        <f t="shared" si="180"/>
        <v>0</v>
      </c>
      <c r="CO159" s="28">
        <f>PRODUCTION!CP159+'SUPLIER INWARD'!CP159</f>
        <v>0</v>
      </c>
      <c r="CP159" s="58">
        <v>0</v>
      </c>
      <c r="CQ159" s="29">
        <v>0</v>
      </c>
      <c r="CR159" s="30">
        <f t="shared" si="181"/>
        <v>0</v>
      </c>
      <c r="CS159" s="28">
        <f>PRODUCTION!CT159+'SUPLIER INWARD'!CT159</f>
        <v>0</v>
      </c>
      <c r="CT159" s="28">
        <v>0</v>
      </c>
      <c r="CU159" s="29">
        <v>0</v>
      </c>
      <c r="CV159" s="30">
        <f t="shared" si="182"/>
        <v>0</v>
      </c>
      <c r="CW159" s="28">
        <f>PRODUCTION!CX159+'SUPLIER INWARD'!CX159</f>
        <v>0</v>
      </c>
      <c r="CX159" s="58">
        <v>0</v>
      </c>
      <c r="CY159" s="29">
        <v>0</v>
      </c>
      <c r="CZ159" s="30">
        <f t="shared" si="183"/>
        <v>0</v>
      </c>
      <c r="DA159" s="28">
        <f>PRODUCTION!DB159+'SUPLIER INWARD'!DB159</f>
        <v>0</v>
      </c>
      <c r="DB159" s="58"/>
      <c r="DC159" s="29"/>
      <c r="DD159" s="30">
        <f t="shared" si="184"/>
        <v>0</v>
      </c>
      <c r="DE159" s="28">
        <f>PRODUCTION!DF159+'SUPLIER INWARD'!DF159</f>
        <v>0</v>
      </c>
      <c r="DF159" s="58">
        <v>0</v>
      </c>
      <c r="DG159" s="29">
        <v>0</v>
      </c>
      <c r="DH159" s="30">
        <f t="shared" si="185"/>
        <v>0</v>
      </c>
      <c r="DI159" s="28">
        <f>PRODUCTION!DJ159+'SUPLIER INWARD'!DJ159</f>
        <v>0</v>
      </c>
      <c r="DJ159" s="58">
        <v>0</v>
      </c>
      <c r="DK159" s="29">
        <v>0</v>
      </c>
      <c r="DL159" s="30">
        <f t="shared" si="186"/>
        <v>0</v>
      </c>
      <c r="DM159" s="28">
        <f>PRODUCTION!DN159+'SUPLIER INWARD'!DN159</f>
        <v>0</v>
      </c>
      <c r="DN159" s="58">
        <v>0</v>
      </c>
      <c r="DO159" s="29"/>
      <c r="DP159" s="30">
        <f t="shared" si="187"/>
        <v>0</v>
      </c>
      <c r="DQ159" s="28">
        <f>PRODUCTION!DR159+'SUPLIER INWARD'!DR159</f>
        <v>0</v>
      </c>
      <c r="DR159" s="57"/>
      <c r="DS159" s="29"/>
      <c r="DT159" s="30">
        <f t="shared" si="188"/>
        <v>0</v>
      </c>
      <c r="DU159" s="28">
        <f>PRODUCTION!DV159+'SUPLIER INWARD'!DV159</f>
        <v>0</v>
      </c>
      <c r="DV159" s="58"/>
      <c r="DW159" s="29"/>
      <c r="DX159" s="30">
        <f t="shared" si="189"/>
        <v>0</v>
      </c>
      <c r="DY159" s="141">
        <f t="shared" si="192"/>
        <v>0</v>
      </c>
      <c r="DZ159" s="141">
        <f t="shared" si="190"/>
        <v>0</v>
      </c>
      <c r="EA159" s="4">
        <f t="shared" si="191"/>
        <v>0</v>
      </c>
      <c r="EB159" s="9">
        <f>D159*'MASTER SHEET'!D159</f>
        <v>0</v>
      </c>
      <c r="EC159" s="9">
        <f>H159*'MASTER SHEET'!D159</f>
        <v>0</v>
      </c>
      <c r="ED159" s="9">
        <f>L159*'MASTER SHEET'!D159</f>
        <v>0</v>
      </c>
      <c r="EE159" s="9">
        <f>P159*'MASTER SHEET'!D159</f>
        <v>0</v>
      </c>
      <c r="EF159" s="9">
        <f>T159*'MASTER SHEET'!D159</f>
        <v>0</v>
      </c>
      <c r="EG159" s="9">
        <f>X159*'MASTER SHEET'!D159</f>
        <v>0</v>
      </c>
      <c r="EH159" s="9">
        <f>AB159*'MASTER SHEET'!D159</f>
        <v>0</v>
      </c>
      <c r="EI159" s="9">
        <f>AF159*'MASTER SHEET'!D159</f>
        <v>0</v>
      </c>
      <c r="EJ159" s="9">
        <f>AJ159*'MASTER SHEET'!D159</f>
        <v>0</v>
      </c>
      <c r="EK159" s="9">
        <f>AN159*'MASTER SHEET'!D159</f>
        <v>0</v>
      </c>
      <c r="EL159" s="9">
        <f>AR159*'MASTER SHEET'!D159</f>
        <v>0</v>
      </c>
      <c r="EM159" s="9">
        <f>AV159*'MASTER SHEET'!D159</f>
        <v>0</v>
      </c>
      <c r="EN159" s="9">
        <f>AZ159*'MASTER SHEET'!D159</f>
        <v>0</v>
      </c>
      <c r="EO159" s="9">
        <f>BD159*'MASTER SHEET'!D159</f>
        <v>0</v>
      </c>
      <c r="EP159" s="9">
        <f>$BH159*'MASTER SHEET'!$D159</f>
        <v>0</v>
      </c>
      <c r="EQ159" s="9">
        <f>BL159*'MASTER SHEET'!D159</f>
        <v>0</v>
      </c>
      <c r="ER159" s="9">
        <f>BP159*'MASTER SHEET'!D159</f>
        <v>0</v>
      </c>
      <c r="ES159" s="9">
        <f>BT159*'MASTER SHEET'!D159</f>
        <v>0</v>
      </c>
      <c r="ET159" s="9">
        <f>BX159*'MASTER SHEET'!D159</f>
        <v>0</v>
      </c>
      <c r="EU159" s="9">
        <f>CB159*'MASTER SHEET'!D159</f>
        <v>0</v>
      </c>
      <c r="EV159" s="9">
        <f>CF159*'MASTER SHEET'!D159</f>
        <v>0</v>
      </c>
      <c r="EW159" s="9">
        <f>CJ159*'MASTER SHEET'!D159</f>
        <v>0</v>
      </c>
      <c r="EX159" s="9">
        <f>CN159*'MASTER SHEET'!D159</f>
        <v>0</v>
      </c>
      <c r="EY159" s="9">
        <f>CR159*'MASTER SHEET'!D159</f>
        <v>0</v>
      </c>
      <c r="EZ159" s="9">
        <f>$CV159*'MASTER SHEET'!D159</f>
        <v>0</v>
      </c>
      <c r="FA159" s="9">
        <f>CZ159*'MASTER SHEET'!D159</f>
        <v>0</v>
      </c>
      <c r="FB159" s="9">
        <f>DD159*'MASTER SHEET'!D159</f>
        <v>0</v>
      </c>
      <c r="FC159" s="9">
        <f>DH159*'MASTER SHEET'!D159</f>
        <v>0</v>
      </c>
      <c r="FD159" s="9">
        <f>DL159*'MASTER SHEET'!D159</f>
        <v>0</v>
      </c>
      <c r="FE159" s="9">
        <f>DP159*'MASTER SHEET'!D159</f>
        <v>0</v>
      </c>
      <c r="FF159" s="9">
        <f>DT159*'MASTER SHEET'!D159</f>
        <v>0</v>
      </c>
      <c r="FG159" s="9">
        <f>+DX159*'MASTER SHEET'!D159</f>
        <v>0</v>
      </c>
    </row>
    <row r="160" spans="1:163" ht="20.25" customHeight="1" x14ac:dyDescent="0.25">
      <c r="A160" s="25">
        <f>'MASTER SHEET'!A160</f>
        <v>158</v>
      </c>
      <c r="B160" s="168" t="str">
        <f>'MASTER SHEET'!B160</f>
        <v>FILTER AIR SUNCTION</v>
      </c>
      <c r="C160" s="169">
        <f>'MASTER SHEET'!C160</f>
        <v>62624</v>
      </c>
      <c r="D160" s="159">
        <v>865</v>
      </c>
      <c r="E160" s="28">
        <f>PRODUCTION!F160+'SUPLIER INWARD'!F160</f>
        <v>13546</v>
      </c>
      <c r="F160" s="28"/>
      <c r="G160" s="29">
        <v>0</v>
      </c>
      <c r="H160" s="30">
        <f t="shared" si="159"/>
        <v>14411</v>
      </c>
      <c r="I160" s="28">
        <f>PRODUCTION!J160+'SUPLIER INWARD'!J160</f>
        <v>0</v>
      </c>
      <c r="J160" s="28"/>
      <c r="K160" s="29">
        <v>0</v>
      </c>
      <c r="L160" s="30">
        <f t="shared" si="160"/>
        <v>14411</v>
      </c>
      <c r="M160" s="28">
        <f>PRODUCTION!N160+'SUPLIER INWARD'!N160</f>
        <v>0</v>
      </c>
      <c r="N160" s="58"/>
      <c r="O160" s="29"/>
      <c r="P160" s="30">
        <f t="shared" si="161"/>
        <v>14411</v>
      </c>
      <c r="Q160" s="28">
        <f>PRODUCTION!R160+'SUPLIER INWARD'!R160</f>
        <v>0</v>
      </c>
      <c r="R160" s="58"/>
      <c r="S160" s="29">
        <v>0</v>
      </c>
      <c r="T160" s="30">
        <f t="shared" si="162"/>
        <v>14411</v>
      </c>
      <c r="U160" s="28">
        <f>PRODUCTION!V160+'SUPLIER INWARD'!V160</f>
        <v>0</v>
      </c>
      <c r="V160" s="58">
        <v>0</v>
      </c>
      <c r="W160" s="29">
        <v>0</v>
      </c>
      <c r="X160" s="30">
        <f t="shared" si="163"/>
        <v>14411</v>
      </c>
      <c r="Y160" s="28">
        <f>PRODUCTION!Z160+'SUPLIER INWARD'!Z160</f>
        <v>0</v>
      </c>
      <c r="Z160" s="58">
        <v>3600</v>
      </c>
      <c r="AA160" s="29">
        <v>9</v>
      </c>
      <c r="AB160" s="30">
        <f t="shared" si="164"/>
        <v>10802</v>
      </c>
      <c r="AC160" s="28">
        <f>PRODUCTION!AD160+'SUPLIER INWARD'!AD160</f>
        <v>0</v>
      </c>
      <c r="AD160" s="58">
        <v>1200</v>
      </c>
      <c r="AE160" s="29">
        <v>0</v>
      </c>
      <c r="AF160" s="30">
        <f t="shared" si="165"/>
        <v>9602</v>
      </c>
      <c r="AG160" s="28">
        <f>PRODUCTION!AH160+'SUPLIER INWARD'!AH160</f>
        <v>0</v>
      </c>
      <c r="AH160" s="58">
        <v>0</v>
      </c>
      <c r="AI160" s="29">
        <v>0</v>
      </c>
      <c r="AJ160" s="30">
        <f t="shared" si="166"/>
        <v>9602</v>
      </c>
      <c r="AK160" s="28">
        <f>PRODUCTION!AL160+'SUPLIER INWARD'!AL160</f>
        <v>0</v>
      </c>
      <c r="AL160" s="58">
        <v>3600</v>
      </c>
      <c r="AM160" s="29">
        <v>0</v>
      </c>
      <c r="AN160" s="30">
        <f t="shared" si="167"/>
        <v>6002</v>
      </c>
      <c r="AO160" s="28">
        <f>PRODUCTION!AP160+'SUPLIER INWARD'!AP160</f>
        <v>0</v>
      </c>
      <c r="AP160" s="28">
        <v>2400</v>
      </c>
      <c r="AQ160" s="29">
        <v>0</v>
      </c>
      <c r="AR160" s="30">
        <f t="shared" si="168"/>
        <v>3602</v>
      </c>
      <c r="AS160" s="28">
        <f>PRODUCTION!AT160+'SUPLIER INWARD'!AT160</f>
        <v>0</v>
      </c>
      <c r="AT160" s="28">
        <v>0</v>
      </c>
      <c r="AU160" s="29">
        <v>0</v>
      </c>
      <c r="AV160" s="30">
        <f t="shared" si="169"/>
        <v>3602</v>
      </c>
      <c r="AW160" s="28">
        <f>PRODUCTION!AX160+'SUPLIER INWARD'!AX160</f>
        <v>0</v>
      </c>
      <c r="AX160" s="28"/>
      <c r="AY160" s="29"/>
      <c r="AZ160" s="30">
        <f t="shared" si="170"/>
        <v>3602</v>
      </c>
      <c r="BA160" s="28">
        <f>PRODUCTION!BB160+'SUPLIER INWARD'!BB160</f>
        <v>0</v>
      </c>
      <c r="BB160" s="58">
        <v>0</v>
      </c>
      <c r="BC160" s="29">
        <v>0</v>
      </c>
      <c r="BD160" s="30">
        <f t="shared" si="171"/>
        <v>3602</v>
      </c>
      <c r="BE160" s="28">
        <f>PRODUCTION!BF160+'SUPLIER INWARD'!BF160</f>
        <v>0</v>
      </c>
      <c r="BF160" s="58">
        <v>3600</v>
      </c>
      <c r="BG160" s="29">
        <v>0</v>
      </c>
      <c r="BH160" s="30">
        <f t="shared" si="172"/>
        <v>2</v>
      </c>
      <c r="BI160" s="28">
        <f>PRODUCTION!BJ160+'SUPLIER INWARD'!BJ160</f>
        <v>0</v>
      </c>
      <c r="BJ160" s="58">
        <v>0</v>
      </c>
      <c r="BK160" s="29">
        <v>0</v>
      </c>
      <c r="BL160" s="30">
        <f t="shared" si="173"/>
        <v>2</v>
      </c>
      <c r="BM160" s="28">
        <f>PRODUCTION!BN160+'SUPLIER INWARD'!BN160</f>
        <v>0</v>
      </c>
      <c r="BN160" s="58">
        <v>0</v>
      </c>
      <c r="BO160" s="29">
        <v>0</v>
      </c>
      <c r="BP160" s="30">
        <f t="shared" si="174"/>
        <v>2</v>
      </c>
      <c r="BQ160" s="28">
        <f>PRODUCTION!BR160+'SUPLIER INWARD'!BR160</f>
        <v>0</v>
      </c>
      <c r="BR160" s="58">
        <v>0</v>
      </c>
      <c r="BS160" s="29">
        <v>0</v>
      </c>
      <c r="BT160" s="30">
        <f t="shared" si="175"/>
        <v>2</v>
      </c>
      <c r="BU160" s="28">
        <f>PRODUCTION!BV160+'SUPLIER INWARD'!BV160</f>
        <v>0</v>
      </c>
      <c r="BV160" s="58">
        <v>0</v>
      </c>
      <c r="BW160" s="29">
        <v>0</v>
      </c>
      <c r="BX160" s="30">
        <f t="shared" si="176"/>
        <v>2</v>
      </c>
      <c r="BY160" s="28">
        <f>PRODUCTION!BZ160+'SUPLIER INWARD'!BZ160</f>
        <v>0</v>
      </c>
      <c r="BZ160" s="58"/>
      <c r="CA160" s="29">
        <v>0</v>
      </c>
      <c r="CB160" s="30">
        <f t="shared" si="177"/>
        <v>2</v>
      </c>
      <c r="CC160" s="28">
        <f>PRODUCTION!CD160+'SUPLIER INWARD'!CD160</f>
        <v>7632</v>
      </c>
      <c r="CD160" s="58">
        <v>0</v>
      </c>
      <c r="CE160" s="29">
        <v>0</v>
      </c>
      <c r="CF160" s="30">
        <f t="shared" si="178"/>
        <v>7634</v>
      </c>
      <c r="CG160" s="28">
        <f>PRODUCTION!CH160+'SUPLIER INWARD'!CH160</f>
        <v>20378</v>
      </c>
      <c r="CH160" s="58">
        <v>6000</v>
      </c>
      <c r="CI160" s="29">
        <v>0</v>
      </c>
      <c r="CJ160" s="30">
        <f t="shared" si="179"/>
        <v>22012</v>
      </c>
      <c r="CK160" s="28">
        <f>PRODUCTION!CL160+'SUPLIER INWARD'!CL160</f>
        <v>3361</v>
      </c>
      <c r="CL160" s="58">
        <v>18000</v>
      </c>
      <c r="CM160" s="152"/>
      <c r="CN160" s="30">
        <f t="shared" si="180"/>
        <v>7373</v>
      </c>
      <c r="CO160" s="28">
        <f>PRODUCTION!CP160+'SUPLIER INWARD'!CP160</f>
        <v>0</v>
      </c>
      <c r="CP160" s="58">
        <v>0</v>
      </c>
      <c r="CQ160" s="29">
        <v>0</v>
      </c>
      <c r="CR160" s="30">
        <f t="shared" si="181"/>
        <v>7373</v>
      </c>
      <c r="CS160" s="28">
        <f>PRODUCTION!CT160+'SUPLIER INWARD'!CT160</f>
        <v>0</v>
      </c>
      <c r="CT160" s="28">
        <v>0</v>
      </c>
      <c r="CU160" s="29">
        <v>0</v>
      </c>
      <c r="CV160" s="30">
        <f t="shared" si="182"/>
        <v>7373</v>
      </c>
      <c r="CW160" s="28">
        <f>PRODUCTION!CX160+'SUPLIER INWARD'!CX160</f>
        <v>0</v>
      </c>
      <c r="CX160" s="58">
        <v>0</v>
      </c>
      <c r="CY160" s="29">
        <v>0</v>
      </c>
      <c r="CZ160" s="30">
        <f t="shared" si="183"/>
        <v>7373</v>
      </c>
      <c r="DA160" s="28">
        <f>PRODUCTION!DB160+'SUPLIER INWARD'!DB160</f>
        <v>0</v>
      </c>
      <c r="DB160" s="58"/>
      <c r="DC160" s="29"/>
      <c r="DD160" s="30">
        <f t="shared" si="184"/>
        <v>7373</v>
      </c>
      <c r="DE160" s="28">
        <f>PRODUCTION!DF160+'SUPLIER INWARD'!DF160</f>
        <v>0</v>
      </c>
      <c r="DF160" s="58">
        <v>0</v>
      </c>
      <c r="DG160" s="29">
        <v>0</v>
      </c>
      <c r="DH160" s="30">
        <f t="shared" si="185"/>
        <v>7373</v>
      </c>
      <c r="DI160" s="28">
        <f>PRODUCTION!DJ160+'SUPLIER INWARD'!DJ160</f>
        <v>0</v>
      </c>
      <c r="DJ160" s="58">
        <v>0</v>
      </c>
      <c r="DK160" s="29">
        <v>0</v>
      </c>
      <c r="DL160" s="30">
        <f t="shared" si="186"/>
        <v>7373</v>
      </c>
      <c r="DM160" s="28">
        <f>PRODUCTION!DN160+'SUPLIER INWARD'!DN160</f>
        <v>0</v>
      </c>
      <c r="DN160" s="58">
        <v>0</v>
      </c>
      <c r="DO160" s="29"/>
      <c r="DP160" s="30">
        <f t="shared" si="187"/>
        <v>7373</v>
      </c>
      <c r="DQ160" s="28">
        <f>PRODUCTION!DR160+'SUPLIER INWARD'!DR160</f>
        <v>0</v>
      </c>
      <c r="DR160" s="57"/>
      <c r="DS160" s="29"/>
      <c r="DT160" s="30">
        <f t="shared" si="188"/>
        <v>7373</v>
      </c>
      <c r="DU160" s="28">
        <f>PRODUCTION!DV160+'SUPLIER INWARD'!DV160</f>
        <v>0</v>
      </c>
      <c r="DV160" s="58"/>
      <c r="DW160" s="29"/>
      <c r="DX160" s="30">
        <f t="shared" si="189"/>
        <v>7373</v>
      </c>
      <c r="DY160" s="141">
        <f t="shared" si="192"/>
        <v>44917</v>
      </c>
      <c r="DZ160" s="141">
        <f t="shared" si="190"/>
        <v>38400</v>
      </c>
      <c r="EA160" s="4">
        <f t="shared" si="191"/>
        <v>9</v>
      </c>
      <c r="EB160" s="9">
        <f>D160*'MASTER SHEET'!D160</f>
        <v>622.79999999999995</v>
      </c>
      <c r="EC160" s="9">
        <f>H160*'MASTER SHEET'!D160</f>
        <v>10375.92</v>
      </c>
      <c r="ED160" s="9">
        <f>L160*'MASTER SHEET'!D160</f>
        <v>10375.92</v>
      </c>
      <c r="EE160" s="9">
        <f>P160*'MASTER SHEET'!D160</f>
        <v>10375.92</v>
      </c>
      <c r="EF160" s="9">
        <f>T160*'MASTER SHEET'!D160</f>
        <v>10375.92</v>
      </c>
      <c r="EG160" s="9">
        <f>X160*'MASTER SHEET'!D160</f>
        <v>10375.92</v>
      </c>
      <c r="EH160" s="9">
        <f>AB160*'MASTER SHEET'!D160</f>
        <v>7777.44</v>
      </c>
      <c r="EI160" s="9">
        <f>AF160*'MASTER SHEET'!D160</f>
        <v>6913.44</v>
      </c>
      <c r="EJ160" s="9">
        <f>AJ160*'MASTER SHEET'!D160</f>
        <v>6913.44</v>
      </c>
      <c r="EK160" s="9">
        <f>AN160*'MASTER SHEET'!D160</f>
        <v>4321.4399999999996</v>
      </c>
      <c r="EL160" s="9">
        <f>AR160*'MASTER SHEET'!D160</f>
        <v>2593.44</v>
      </c>
      <c r="EM160" s="9">
        <f>AV160*'MASTER SHEET'!D160</f>
        <v>2593.44</v>
      </c>
      <c r="EN160" s="9">
        <f>AZ160*'MASTER SHEET'!D160</f>
        <v>2593.44</v>
      </c>
      <c r="EO160" s="9">
        <f>BD160*'MASTER SHEET'!D160</f>
        <v>2593.44</v>
      </c>
      <c r="EP160" s="9">
        <f>$BH160*'MASTER SHEET'!$D160</f>
        <v>1.44</v>
      </c>
      <c r="EQ160" s="9">
        <f>BL160*'MASTER SHEET'!D160</f>
        <v>1.44</v>
      </c>
      <c r="ER160" s="9">
        <f>BP160*'MASTER SHEET'!D160</f>
        <v>1.44</v>
      </c>
      <c r="ES160" s="9">
        <f>BT160*'MASTER SHEET'!D160</f>
        <v>1.44</v>
      </c>
      <c r="ET160" s="9">
        <f>BX160*'MASTER SHEET'!D160</f>
        <v>1.44</v>
      </c>
      <c r="EU160" s="9">
        <f>CB160*'MASTER SHEET'!D160</f>
        <v>1.44</v>
      </c>
      <c r="EV160" s="9">
        <f>CF160*'MASTER SHEET'!D160</f>
        <v>5496.48</v>
      </c>
      <c r="EW160" s="9">
        <f>CJ160*'MASTER SHEET'!D160</f>
        <v>15848.64</v>
      </c>
      <c r="EX160" s="9">
        <f>CN160*'MASTER SHEET'!D160</f>
        <v>5308.5599999999995</v>
      </c>
      <c r="EY160" s="9">
        <f>CR160*'MASTER SHEET'!D160</f>
        <v>5308.5599999999995</v>
      </c>
      <c r="EZ160" s="9">
        <f>$CV160*'MASTER SHEET'!D160</f>
        <v>5308.5599999999995</v>
      </c>
      <c r="FA160" s="9">
        <f>CZ160*'MASTER SHEET'!D160</f>
        <v>5308.5599999999995</v>
      </c>
      <c r="FB160" s="9">
        <f>DD160*'MASTER SHEET'!D160</f>
        <v>5308.5599999999995</v>
      </c>
      <c r="FC160" s="9">
        <f>DH160*'MASTER SHEET'!D160</f>
        <v>5308.5599999999995</v>
      </c>
      <c r="FD160" s="9">
        <f>DL160*'MASTER SHEET'!D160</f>
        <v>5308.5599999999995</v>
      </c>
      <c r="FE160" s="9">
        <f>DP160*'MASTER SHEET'!D160</f>
        <v>5308.5599999999995</v>
      </c>
      <c r="FF160" s="9">
        <f>DT160*'MASTER SHEET'!D160</f>
        <v>5308.5599999999995</v>
      </c>
      <c r="FG160" s="9">
        <f>+DX160*'MASTER SHEET'!D160</f>
        <v>5308.5599999999995</v>
      </c>
    </row>
    <row r="161" spans="1:163" ht="20.25" customHeight="1" x14ac:dyDescent="0.25">
      <c r="A161" s="25">
        <f>'MASTER SHEET'!A161</f>
        <v>159</v>
      </c>
      <c r="B161" s="168" t="str">
        <f>'MASTER SHEET'!B161</f>
        <v>VF36 ACTUATOR</v>
      </c>
      <c r="C161" s="169" t="str">
        <f>'MASTER SHEET'!C161</f>
        <v>BB00006043</v>
      </c>
      <c r="D161" s="159"/>
      <c r="E161" s="28">
        <f>PRODUCTION!F161+'SUPLIER INWARD'!F161</f>
        <v>0</v>
      </c>
      <c r="F161" s="28"/>
      <c r="G161" s="29">
        <v>0</v>
      </c>
      <c r="H161" s="30">
        <f t="shared" si="159"/>
        <v>0</v>
      </c>
      <c r="I161" s="28">
        <f>PRODUCTION!J161+'SUPLIER INWARD'!J161</f>
        <v>0</v>
      </c>
      <c r="J161" s="28"/>
      <c r="K161" s="29">
        <v>0</v>
      </c>
      <c r="L161" s="30">
        <f t="shared" si="160"/>
        <v>0</v>
      </c>
      <c r="M161" s="28">
        <f>PRODUCTION!N161+'SUPLIER INWARD'!N161</f>
        <v>0</v>
      </c>
      <c r="N161" s="58"/>
      <c r="O161" s="29"/>
      <c r="P161" s="30">
        <f t="shared" si="161"/>
        <v>0</v>
      </c>
      <c r="Q161" s="28">
        <f>PRODUCTION!R161+'SUPLIER INWARD'!R161</f>
        <v>0</v>
      </c>
      <c r="R161" s="58"/>
      <c r="S161" s="29">
        <v>0</v>
      </c>
      <c r="T161" s="30">
        <f t="shared" si="162"/>
        <v>0</v>
      </c>
      <c r="U161" s="28">
        <f>PRODUCTION!V161+'SUPLIER INWARD'!V161</f>
        <v>0</v>
      </c>
      <c r="V161" s="58">
        <v>0</v>
      </c>
      <c r="W161" s="29">
        <v>0</v>
      </c>
      <c r="X161" s="30">
        <f t="shared" si="163"/>
        <v>0</v>
      </c>
      <c r="Y161" s="28">
        <f>PRODUCTION!Z161+'SUPLIER INWARD'!Z161</f>
        <v>0</v>
      </c>
      <c r="Z161" s="58">
        <v>0</v>
      </c>
      <c r="AA161" s="29">
        <v>0</v>
      </c>
      <c r="AB161" s="30">
        <f t="shared" si="164"/>
        <v>0</v>
      </c>
      <c r="AC161" s="28">
        <f>PRODUCTION!AD161+'SUPLIER INWARD'!AD161</f>
        <v>0</v>
      </c>
      <c r="AD161" s="58">
        <v>0</v>
      </c>
      <c r="AE161" s="29">
        <v>0</v>
      </c>
      <c r="AF161" s="30">
        <f t="shared" si="165"/>
        <v>0</v>
      </c>
      <c r="AG161" s="28">
        <f>PRODUCTION!AH161+'SUPLIER INWARD'!AH161</f>
        <v>0</v>
      </c>
      <c r="AH161" s="58">
        <v>0</v>
      </c>
      <c r="AI161" s="29">
        <v>0</v>
      </c>
      <c r="AJ161" s="30">
        <f t="shared" si="166"/>
        <v>0</v>
      </c>
      <c r="AK161" s="28">
        <f>PRODUCTION!AL161+'SUPLIER INWARD'!AL161</f>
        <v>0</v>
      </c>
      <c r="AL161" s="58">
        <v>0</v>
      </c>
      <c r="AM161" s="29">
        <v>0</v>
      </c>
      <c r="AN161" s="30">
        <f t="shared" si="167"/>
        <v>0</v>
      </c>
      <c r="AO161" s="28">
        <f>PRODUCTION!AP161+'SUPLIER INWARD'!AP161</f>
        <v>0</v>
      </c>
      <c r="AP161" s="28"/>
      <c r="AQ161" s="29">
        <v>0</v>
      </c>
      <c r="AR161" s="30">
        <f t="shared" si="168"/>
        <v>0</v>
      </c>
      <c r="AS161" s="28">
        <f>PRODUCTION!AT161+'SUPLIER INWARD'!AT161</f>
        <v>0</v>
      </c>
      <c r="AT161" s="28">
        <v>0</v>
      </c>
      <c r="AU161" s="29">
        <v>0</v>
      </c>
      <c r="AV161" s="30">
        <f t="shared" si="169"/>
        <v>0</v>
      </c>
      <c r="AW161" s="28">
        <f>PRODUCTION!AX161+'SUPLIER INWARD'!AX161</f>
        <v>0</v>
      </c>
      <c r="AX161" s="28"/>
      <c r="AY161" s="29"/>
      <c r="AZ161" s="30">
        <f t="shared" si="170"/>
        <v>0</v>
      </c>
      <c r="BA161" s="28">
        <f>PRODUCTION!BB161+'SUPLIER INWARD'!BB161</f>
        <v>0</v>
      </c>
      <c r="BB161" s="58">
        <v>0</v>
      </c>
      <c r="BC161" s="29">
        <v>0</v>
      </c>
      <c r="BD161" s="30">
        <f t="shared" si="171"/>
        <v>0</v>
      </c>
      <c r="BE161" s="28">
        <f>PRODUCTION!BF161+'SUPLIER INWARD'!BF161</f>
        <v>0</v>
      </c>
      <c r="BF161" s="58"/>
      <c r="BG161" s="29">
        <v>0</v>
      </c>
      <c r="BH161" s="30">
        <f t="shared" si="172"/>
        <v>0</v>
      </c>
      <c r="BI161" s="28">
        <f>PRODUCTION!BJ161+'SUPLIER INWARD'!BJ161</f>
        <v>0</v>
      </c>
      <c r="BJ161" s="58">
        <v>0</v>
      </c>
      <c r="BK161" s="29">
        <v>0</v>
      </c>
      <c r="BL161" s="30">
        <f t="shared" si="173"/>
        <v>0</v>
      </c>
      <c r="BM161" s="28">
        <f>PRODUCTION!BN161+'SUPLIER INWARD'!BN161</f>
        <v>0</v>
      </c>
      <c r="BN161" s="58">
        <v>0</v>
      </c>
      <c r="BO161" s="29">
        <v>0</v>
      </c>
      <c r="BP161" s="30">
        <f t="shared" si="174"/>
        <v>0</v>
      </c>
      <c r="BQ161" s="28">
        <f>PRODUCTION!BR161+'SUPLIER INWARD'!BR161</f>
        <v>0</v>
      </c>
      <c r="BR161" s="58">
        <v>0</v>
      </c>
      <c r="BS161" s="29">
        <v>0</v>
      </c>
      <c r="BT161" s="30">
        <f t="shared" si="175"/>
        <v>0</v>
      </c>
      <c r="BU161" s="28">
        <f>PRODUCTION!BV161+'SUPLIER INWARD'!BV161</f>
        <v>0</v>
      </c>
      <c r="BV161" s="58">
        <v>0</v>
      </c>
      <c r="BW161" s="29">
        <v>0</v>
      </c>
      <c r="BX161" s="30">
        <f t="shared" si="176"/>
        <v>0</v>
      </c>
      <c r="BY161" s="28">
        <f>PRODUCTION!BZ161+'SUPLIER INWARD'!BZ161</f>
        <v>0</v>
      </c>
      <c r="BZ161" s="58"/>
      <c r="CA161" s="29">
        <v>0</v>
      </c>
      <c r="CB161" s="30">
        <f t="shared" si="177"/>
        <v>0</v>
      </c>
      <c r="CC161" s="28">
        <f>PRODUCTION!CD161+'SUPLIER INWARD'!CD161</f>
        <v>0</v>
      </c>
      <c r="CD161" s="58">
        <v>0</v>
      </c>
      <c r="CE161" s="29">
        <v>0</v>
      </c>
      <c r="CF161" s="30">
        <f t="shared" si="178"/>
        <v>0</v>
      </c>
      <c r="CG161" s="28">
        <f>PRODUCTION!CH161+'SUPLIER INWARD'!CH161</f>
        <v>0</v>
      </c>
      <c r="CH161" s="58">
        <v>0</v>
      </c>
      <c r="CI161" s="29">
        <v>0</v>
      </c>
      <c r="CJ161" s="30">
        <f t="shared" si="179"/>
        <v>0</v>
      </c>
      <c r="CK161" s="28">
        <f>PRODUCTION!CL161+'SUPLIER INWARD'!CL161</f>
        <v>0</v>
      </c>
      <c r="CL161" s="58"/>
      <c r="CM161" s="152"/>
      <c r="CN161" s="30">
        <f t="shared" si="180"/>
        <v>0</v>
      </c>
      <c r="CO161" s="28">
        <f>PRODUCTION!CP161+'SUPLIER INWARD'!CP161</f>
        <v>0</v>
      </c>
      <c r="CP161" s="58">
        <v>0</v>
      </c>
      <c r="CQ161" s="29">
        <v>0</v>
      </c>
      <c r="CR161" s="30">
        <f t="shared" si="181"/>
        <v>0</v>
      </c>
      <c r="CS161" s="28">
        <f>PRODUCTION!CT161+'SUPLIER INWARD'!CT161</f>
        <v>0</v>
      </c>
      <c r="CT161" s="28">
        <v>0</v>
      </c>
      <c r="CU161" s="29">
        <v>0</v>
      </c>
      <c r="CV161" s="30">
        <f t="shared" si="182"/>
        <v>0</v>
      </c>
      <c r="CW161" s="28">
        <f>PRODUCTION!CX161+'SUPLIER INWARD'!CX161</f>
        <v>0</v>
      </c>
      <c r="CX161" s="58">
        <v>0</v>
      </c>
      <c r="CY161" s="29">
        <v>0</v>
      </c>
      <c r="CZ161" s="30">
        <f t="shared" si="183"/>
        <v>0</v>
      </c>
      <c r="DA161" s="28">
        <f>PRODUCTION!DB161+'SUPLIER INWARD'!DB161</f>
        <v>0</v>
      </c>
      <c r="DB161" s="58"/>
      <c r="DC161" s="29"/>
      <c r="DD161" s="30">
        <f t="shared" si="184"/>
        <v>0</v>
      </c>
      <c r="DE161" s="28">
        <f>PRODUCTION!DF161+'SUPLIER INWARD'!DF161</f>
        <v>0</v>
      </c>
      <c r="DF161" s="58">
        <v>0</v>
      </c>
      <c r="DG161" s="29">
        <v>0</v>
      </c>
      <c r="DH161" s="30">
        <f t="shared" si="185"/>
        <v>0</v>
      </c>
      <c r="DI161" s="28">
        <f>PRODUCTION!DJ161+'SUPLIER INWARD'!DJ161</f>
        <v>0</v>
      </c>
      <c r="DJ161" s="58">
        <v>0</v>
      </c>
      <c r="DK161" s="29">
        <v>0</v>
      </c>
      <c r="DL161" s="30">
        <f t="shared" si="186"/>
        <v>0</v>
      </c>
      <c r="DM161" s="28">
        <f>PRODUCTION!DN161+'SUPLIER INWARD'!DN161</f>
        <v>0</v>
      </c>
      <c r="DN161" s="58">
        <v>0</v>
      </c>
      <c r="DO161" s="29"/>
      <c r="DP161" s="30">
        <f t="shared" si="187"/>
        <v>0</v>
      </c>
      <c r="DQ161" s="28">
        <f>PRODUCTION!DR161+'SUPLIER INWARD'!DR161</f>
        <v>0</v>
      </c>
      <c r="DR161" s="57"/>
      <c r="DS161" s="29"/>
      <c r="DT161" s="30">
        <f t="shared" si="188"/>
        <v>0</v>
      </c>
      <c r="DU161" s="28">
        <f>PRODUCTION!DV161+'SUPLIER INWARD'!DV161</f>
        <v>0</v>
      </c>
      <c r="DV161" s="58"/>
      <c r="DW161" s="29"/>
      <c r="DX161" s="30">
        <f t="shared" si="189"/>
        <v>0</v>
      </c>
      <c r="DY161" s="141">
        <f t="shared" si="192"/>
        <v>0</v>
      </c>
      <c r="DZ161" s="141">
        <f t="shared" si="190"/>
        <v>0</v>
      </c>
      <c r="EA161" s="4">
        <f t="shared" si="191"/>
        <v>0</v>
      </c>
      <c r="EB161" s="9">
        <f>D161*'MASTER SHEET'!D161</f>
        <v>0</v>
      </c>
      <c r="EC161" s="9">
        <f>H161*'MASTER SHEET'!D161</f>
        <v>0</v>
      </c>
      <c r="ED161" s="9">
        <f>L161*'MASTER SHEET'!D161</f>
        <v>0</v>
      </c>
      <c r="EE161" s="9">
        <f>P161*'MASTER SHEET'!D161</f>
        <v>0</v>
      </c>
      <c r="EF161" s="9">
        <f>T161*'MASTER SHEET'!D161</f>
        <v>0</v>
      </c>
      <c r="EG161" s="9">
        <f>X161*'MASTER SHEET'!D161</f>
        <v>0</v>
      </c>
      <c r="EH161" s="9">
        <f>AB161*'MASTER SHEET'!D161</f>
        <v>0</v>
      </c>
      <c r="EI161" s="9">
        <f>AF161*'MASTER SHEET'!D161</f>
        <v>0</v>
      </c>
      <c r="EJ161" s="9">
        <f>AJ161*'MASTER SHEET'!D161</f>
        <v>0</v>
      </c>
      <c r="EK161" s="9">
        <f>AN161*'MASTER SHEET'!D161</f>
        <v>0</v>
      </c>
      <c r="EL161" s="9">
        <f>AR161*'MASTER SHEET'!D161</f>
        <v>0</v>
      </c>
      <c r="EM161" s="9">
        <f>AV161*'MASTER SHEET'!D161</f>
        <v>0</v>
      </c>
      <c r="EN161" s="9">
        <f>AZ161*'MASTER SHEET'!D161</f>
        <v>0</v>
      </c>
      <c r="EO161" s="9">
        <f>BD161*'MASTER SHEET'!D161</f>
        <v>0</v>
      </c>
      <c r="EP161" s="9">
        <f>$BH161*'MASTER SHEET'!$D161</f>
        <v>0</v>
      </c>
      <c r="EQ161" s="9">
        <f>BL161*'MASTER SHEET'!D161</f>
        <v>0</v>
      </c>
      <c r="ER161" s="9">
        <f>BP161*'MASTER SHEET'!D161</f>
        <v>0</v>
      </c>
      <c r="ES161" s="9">
        <f>BT161*'MASTER SHEET'!D161</f>
        <v>0</v>
      </c>
      <c r="ET161" s="9">
        <f>BX161*'MASTER SHEET'!D161</f>
        <v>0</v>
      </c>
      <c r="EU161" s="9">
        <f>CB161*'MASTER SHEET'!D161</f>
        <v>0</v>
      </c>
      <c r="EV161" s="9">
        <f>CF161*'MASTER SHEET'!D161</f>
        <v>0</v>
      </c>
      <c r="EW161" s="9">
        <f>CJ161*'MASTER SHEET'!D161</f>
        <v>0</v>
      </c>
      <c r="EX161" s="9">
        <f>CN161*'MASTER SHEET'!D161</f>
        <v>0</v>
      </c>
      <c r="EY161" s="9">
        <f>CR161*'MASTER SHEET'!D161</f>
        <v>0</v>
      </c>
      <c r="EZ161" s="9">
        <f>$CV161*'MASTER SHEET'!D161</f>
        <v>0</v>
      </c>
      <c r="FA161" s="9">
        <f>CZ161*'MASTER SHEET'!D161</f>
        <v>0</v>
      </c>
      <c r="FB161" s="9">
        <f>DD161*'MASTER SHEET'!D161</f>
        <v>0</v>
      </c>
      <c r="FC161" s="9">
        <f>DH161*'MASTER SHEET'!D161</f>
        <v>0</v>
      </c>
      <c r="FD161" s="9">
        <f>DL161*'MASTER SHEET'!D161</f>
        <v>0</v>
      </c>
      <c r="FE161" s="9">
        <f>DP161*'MASTER SHEET'!D161</f>
        <v>0</v>
      </c>
      <c r="FF161" s="9">
        <f>DT161*'MASTER SHEET'!D161</f>
        <v>0</v>
      </c>
      <c r="FG161" s="9">
        <f>+DX161*'MASTER SHEET'!D161</f>
        <v>0</v>
      </c>
    </row>
    <row r="162" spans="1:163" ht="20.25" customHeight="1" x14ac:dyDescent="0.25">
      <c r="A162" s="25">
        <f>'MASTER SHEET'!A162</f>
        <v>160</v>
      </c>
      <c r="B162" s="168" t="str">
        <f>'MASTER SHEET'!B162</f>
        <v>DUMMY CAP LH</v>
      </c>
      <c r="C162" s="169" t="str">
        <f>'MASTER SHEET'!C162</f>
        <v>CB00004193</v>
      </c>
      <c r="D162" s="159">
        <v>5612</v>
      </c>
      <c r="E162" s="28">
        <f>PRODUCTION!F162+'SUPLIER INWARD'!F162</f>
        <v>0</v>
      </c>
      <c r="F162" s="28"/>
      <c r="G162" s="29">
        <v>0</v>
      </c>
      <c r="H162" s="30">
        <f t="shared" si="159"/>
        <v>5612</v>
      </c>
      <c r="I162" s="28">
        <f>PRODUCTION!J162+'SUPLIER INWARD'!J162</f>
        <v>0</v>
      </c>
      <c r="J162" s="28"/>
      <c r="K162" s="29">
        <v>0</v>
      </c>
      <c r="L162" s="30">
        <f t="shared" si="160"/>
        <v>5612</v>
      </c>
      <c r="M162" s="28">
        <f>PRODUCTION!N162+'SUPLIER INWARD'!N162</f>
        <v>0</v>
      </c>
      <c r="N162" s="58"/>
      <c r="O162" s="29"/>
      <c r="P162" s="30">
        <f t="shared" si="161"/>
        <v>5612</v>
      </c>
      <c r="Q162" s="28">
        <f>PRODUCTION!R162+'SUPLIER INWARD'!R162</f>
        <v>0</v>
      </c>
      <c r="R162" s="58"/>
      <c r="S162" s="29">
        <v>0</v>
      </c>
      <c r="T162" s="30">
        <f t="shared" si="162"/>
        <v>5612</v>
      </c>
      <c r="U162" s="28">
        <f>PRODUCTION!V162+'SUPLIER INWARD'!V162</f>
        <v>0</v>
      </c>
      <c r="V162" s="58">
        <v>0</v>
      </c>
      <c r="W162" s="29">
        <v>0</v>
      </c>
      <c r="X162" s="30">
        <f t="shared" si="163"/>
        <v>5612</v>
      </c>
      <c r="Y162" s="28">
        <f>PRODUCTION!Z162+'SUPLIER INWARD'!Z162</f>
        <v>0</v>
      </c>
      <c r="Z162" s="58">
        <v>0</v>
      </c>
      <c r="AA162" s="29">
        <v>0</v>
      </c>
      <c r="AB162" s="30">
        <f t="shared" si="164"/>
        <v>5612</v>
      </c>
      <c r="AC162" s="28">
        <f>PRODUCTION!AD162+'SUPLIER INWARD'!AD162</f>
        <v>0</v>
      </c>
      <c r="AD162" s="58">
        <v>0</v>
      </c>
      <c r="AE162" s="29">
        <v>0</v>
      </c>
      <c r="AF162" s="30">
        <f t="shared" si="165"/>
        <v>5612</v>
      </c>
      <c r="AG162" s="28">
        <f>PRODUCTION!AH162+'SUPLIER INWARD'!AH162</f>
        <v>0</v>
      </c>
      <c r="AH162" s="58">
        <v>0</v>
      </c>
      <c r="AI162" s="29">
        <v>0</v>
      </c>
      <c r="AJ162" s="30">
        <f t="shared" si="166"/>
        <v>5612</v>
      </c>
      <c r="AK162" s="28">
        <f>PRODUCTION!AL162+'SUPLIER INWARD'!AL162</f>
        <v>0</v>
      </c>
      <c r="AL162" s="58">
        <v>0</v>
      </c>
      <c r="AM162" s="29">
        <v>0</v>
      </c>
      <c r="AN162" s="30">
        <f t="shared" si="167"/>
        <v>5612</v>
      </c>
      <c r="AO162" s="28">
        <f>PRODUCTION!AP162+'SUPLIER INWARD'!AP162</f>
        <v>0</v>
      </c>
      <c r="AP162" s="28"/>
      <c r="AQ162" s="29">
        <v>0</v>
      </c>
      <c r="AR162" s="30">
        <f t="shared" si="168"/>
        <v>5612</v>
      </c>
      <c r="AS162" s="28">
        <f>PRODUCTION!AT162+'SUPLIER INWARD'!AT162</f>
        <v>0</v>
      </c>
      <c r="AT162" s="28">
        <v>0</v>
      </c>
      <c r="AU162" s="29">
        <v>0</v>
      </c>
      <c r="AV162" s="30">
        <f t="shared" si="169"/>
        <v>5612</v>
      </c>
      <c r="AW162" s="28">
        <f>PRODUCTION!AX162+'SUPLIER INWARD'!AX162</f>
        <v>0</v>
      </c>
      <c r="AX162" s="28"/>
      <c r="AY162" s="29"/>
      <c r="AZ162" s="30">
        <f t="shared" si="170"/>
        <v>5612</v>
      </c>
      <c r="BA162" s="28">
        <f>PRODUCTION!BB162+'SUPLIER INWARD'!BB162</f>
        <v>0</v>
      </c>
      <c r="BB162" s="58">
        <v>0</v>
      </c>
      <c r="BC162" s="29">
        <v>0</v>
      </c>
      <c r="BD162" s="30">
        <f t="shared" si="171"/>
        <v>5612</v>
      </c>
      <c r="BE162" s="28">
        <f>PRODUCTION!BF162+'SUPLIER INWARD'!BF162</f>
        <v>0</v>
      </c>
      <c r="BF162" s="58"/>
      <c r="BG162" s="29">
        <v>0</v>
      </c>
      <c r="BH162" s="30">
        <f t="shared" si="172"/>
        <v>5612</v>
      </c>
      <c r="BI162" s="28">
        <f>PRODUCTION!BJ162+'SUPLIER INWARD'!BJ162</f>
        <v>0</v>
      </c>
      <c r="BJ162" s="58">
        <v>0</v>
      </c>
      <c r="BK162" s="29">
        <v>0</v>
      </c>
      <c r="BL162" s="30">
        <f t="shared" si="173"/>
        <v>5612</v>
      </c>
      <c r="BM162" s="28">
        <f>PRODUCTION!BN162+'SUPLIER INWARD'!BN162</f>
        <v>4760</v>
      </c>
      <c r="BN162" s="58">
        <v>0</v>
      </c>
      <c r="BO162" s="29">
        <v>0</v>
      </c>
      <c r="BP162" s="30">
        <f t="shared" si="174"/>
        <v>10372</v>
      </c>
      <c r="BQ162" s="28">
        <f>PRODUCTION!BR162+'SUPLIER INWARD'!BR162</f>
        <v>15836</v>
      </c>
      <c r="BR162" s="58">
        <v>3000</v>
      </c>
      <c r="BS162" s="29">
        <v>0</v>
      </c>
      <c r="BT162" s="30">
        <f t="shared" si="175"/>
        <v>23208</v>
      </c>
      <c r="BU162" s="28">
        <f>PRODUCTION!BV162+'SUPLIER INWARD'!BV162</f>
        <v>0</v>
      </c>
      <c r="BV162" s="58">
        <v>3000</v>
      </c>
      <c r="BW162" s="29">
        <v>0</v>
      </c>
      <c r="BX162" s="30">
        <f t="shared" si="176"/>
        <v>20208</v>
      </c>
      <c r="BY162" s="28">
        <f>PRODUCTION!BZ162+'SUPLIER INWARD'!BZ162</f>
        <v>0</v>
      </c>
      <c r="BZ162" s="58"/>
      <c r="CA162" s="29">
        <v>0</v>
      </c>
      <c r="CB162" s="30">
        <f t="shared" si="177"/>
        <v>20208</v>
      </c>
      <c r="CC162" s="28">
        <f>PRODUCTION!CD162+'SUPLIER INWARD'!CD162</f>
        <v>0</v>
      </c>
      <c r="CD162" s="58">
        <v>0</v>
      </c>
      <c r="CE162" s="29">
        <v>0</v>
      </c>
      <c r="CF162" s="30">
        <f t="shared" si="178"/>
        <v>20208</v>
      </c>
      <c r="CG162" s="28">
        <f>PRODUCTION!CH162+'SUPLIER INWARD'!CH162</f>
        <v>0</v>
      </c>
      <c r="CH162" s="58">
        <v>0</v>
      </c>
      <c r="CI162" s="29">
        <v>0</v>
      </c>
      <c r="CJ162" s="30">
        <f t="shared" si="179"/>
        <v>20208</v>
      </c>
      <c r="CK162" s="28">
        <f>PRODUCTION!CL162+'SUPLIER INWARD'!CL162</f>
        <v>0</v>
      </c>
      <c r="CL162" s="58"/>
      <c r="CM162" s="152"/>
      <c r="CN162" s="30">
        <f t="shared" si="180"/>
        <v>20208</v>
      </c>
      <c r="CO162" s="28">
        <f>PRODUCTION!CP162+'SUPLIER INWARD'!CP162</f>
        <v>0</v>
      </c>
      <c r="CP162" s="58">
        <v>0</v>
      </c>
      <c r="CQ162" s="29">
        <v>0</v>
      </c>
      <c r="CR162" s="30">
        <f t="shared" si="181"/>
        <v>20208</v>
      </c>
      <c r="CS162" s="28">
        <f>PRODUCTION!CT162+'SUPLIER INWARD'!CT162</f>
        <v>0</v>
      </c>
      <c r="CT162" s="28">
        <v>0</v>
      </c>
      <c r="CU162" s="29">
        <v>0</v>
      </c>
      <c r="CV162" s="30">
        <f t="shared" si="182"/>
        <v>20208</v>
      </c>
      <c r="CW162" s="28">
        <f>PRODUCTION!CX162+'SUPLIER INWARD'!CX162</f>
        <v>0</v>
      </c>
      <c r="CX162" s="58">
        <v>0</v>
      </c>
      <c r="CY162" s="29">
        <v>0</v>
      </c>
      <c r="CZ162" s="30">
        <f t="shared" si="183"/>
        <v>20208</v>
      </c>
      <c r="DA162" s="28">
        <f>PRODUCTION!DB162+'SUPLIER INWARD'!DB162</f>
        <v>0</v>
      </c>
      <c r="DB162" s="58"/>
      <c r="DC162" s="29"/>
      <c r="DD162" s="30">
        <f t="shared" si="184"/>
        <v>20208</v>
      </c>
      <c r="DE162" s="28">
        <f>PRODUCTION!DF162+'SUPLIER INWARD'!DF162</f>
        <v>0</v>
      </c>
      <c r="DF162" s="58">
        <v>0</v>
      </c>
      <c r="DG162" s="29">
        <v>0</v>
      </c>
      <c r="DH162" s="30">
        <f t="shared" si="185"/>
        <v>20208</v>
      </c>
      <c r="DI162" s="28">
        <f>PRODUCTION!DJ162+'SUPLIER INWARD'!DJ162</f>
        <v>0</v>
      </c>
      <c r="DJ162" s="58">
        <v>3000</v>
      </c>
      <c r="DK162" s="29">
        <v>0</v>
      </c>
      <c r="DL162" s="30">
        <f t="shared" si="186"/>
        <v>17208</v>
      </c>
      <c r="DM162" s="28">
        <f>PRODUCTION!DN162+'SUPLIER INWARD'!DN162</f>
        <v>0</v>
      </c>
      <c r="DN162" s="58">
        <v>3000</v>
      </c>
      <c r="DO162" s="29"/>
      <c r="DP162" s="30">
        <f t="shared" si="187"/>
        <v>14208</v>
      </c>
      <c r="DQ162" s="28">
        <f>PRODUCTION!DR162+'SUPLIER INWARD'!DR162</f>
        <v>0</v>
      </c>
      <c r="DR162" s="57"/>
      <c r="DS162" s="29"/>
      <c r="DT162" s="30">
        <f t="shared" si="188"/>
        <v>14208</v>
      </c>
      <c r="DU162" s="28">
        <f>PRODUCTION!DV162+'SUPLIER INWARD'!DV162</f>
        <v>0</v>
      </c>
      <c r="DV162" s="58"/>
      <c r="DW162" s="29"/>
      <c r="DX162" s="30">
        <f t="shared" si="189"/>
        <v>14208</v>
      </c>
      <c r="DY162" s="141">
        <f t="shared" si="192"/>
        <v>20596</v>
      </c>
      <c r="DZ162" s="141">
        <f t="shared" si="190"/>
        <v>12000</v>
      </c>
      <c r="EA162" s="4">
        <f t="shared" si="191"/>
        <v>0</v>
      </c>
      <c r="EB162" s="9">
        <f>D162*'MASTER SHEET'!D162</f>
        <v>9147.56</v>
      </c>
      <c r="EC162" s="9">
        <f>H162*'MASTER SHEET'!D162</f>
        <v>9147.56</v>
      </c>
      <c r="ED162" s="9">
        <f>L162*'MASTER SHEET'!D162</f>
        <v>9147.56</v>
      </c>
      <c r="EE162" s="9">
        <f>P162*'MASTER SHEET'!D162</f>
        <v>9147.56</v>
      </c>
      <c r="EF162" s="9">
        <f>T162*'MASTER SHEET'!D162</f>
        <v>9147.56</v>
      </c>
      <c r="EG162" s="9">
        <f>X162*'MASTER SHEET'!D162</f>
        <v>9147.56</v>
      </c>
      <c r="EH162" s="9">
        <f>AB162*'MASTER SHEET'!D162</f>
        <v>9147.56</v>
      </c>
      <c r="EI162" s="9">
        <f>AF162*'MASTER SHEET'!D162</f>
        <v>9147.56</v>
      </c>
      <c r="EJ162" s="9">
        <f>AJ162*'MASTER SHEET'!D162</f>
        <v>9147.56</v>
      </c>
      <c r="EK162" s="9">
        <f>AN162*'MASTER SHEET'!D162</f>
        <v>9147.56</v>
      </c>
      <c r="EL162" s="9">
        <f>AR162*'MASTER SHEET'!D162</f>
        <v>9147.56</v>
      </c>
      <c r="EM162" s="9">
        <f>AV162*'MASTER SHEET'!D162</f>
        <v>9147.56</v>
      </c>
      <c r="EN162" s="9">
        <f>AZ162*'MASTER SHEET'!D162</f>
        <v>9147.56</v>
      </c>
      <c r="EO162" s="9">
        <f>BD162*'MASTER SHEET'!D162</f>
        <v>9147.56</v>
      </c>
      <c r="EP162" s="9">
        <f>$BH162*'MASTER SHEET'!$D162</f>
        <v>9147.56</v>
      </c>
      <c r="EQ162" s="9">
        <f>BL162*'MASTER SHEET'!D162</f>
        <v>9147.56</v>
      </c>
      <c r="ER162" s="9">
        <f>BP162*'MASTER SHEET'!D162</f>
        <v>16906.36</v>
      </c>
      <c r="ES162" s="9">
        <f>BT162*'MASTER SHEET'!D162</f>
        <v>37829.040000000001</v>
      </c>
      <c r="ET162" s="9">
        <f>BX162*'MASTER SHEET'!D162</f>
        <v>32939.040000000001</v>
      </c>
      <c r="EU162" s="9">
        <f>CB162*'MASTER SHEET'!D162</f>
        <v>32939.040000000001</v>
      </c>
      <c r="EV162" s="9">
        <f>CF162*'MASTER SHEET'!D162</f>
        <v>32939.040000000001</v>
      </c>
      <c r="EW162" s="9">
        <f>CJ162*'MASTER SHEET'!D162</f>
        <v>32939.040000000001</v>
      </c>
      <c r="EX162" s="9">
        <f>CN162*'MASTER SHEET'!D162</f>
        <v>32939.040000000001</v>
      </c>
      <c r="EY162" s="9">
        <f>CR162*'MASTER SHEET'!D162</f>
        <v>32939.040000000001</v>
      </c>
      <c r="EZ162" s="9">
        <f>$CV162*'MASTER SHEET'!D162</f>
        <v>32939.040000000001</v>
      </c>
      <c r="FA162" s="9">
        <f>CZ162*'MASTER SHEET'!D162</f>
        <v>32939.040000000001</v>
      </c>
      <c r="FB162" s="9">
        <f>DD162*'MASTER SHEET'!D162</f>
        <v>32939.040000000001</v>
      </c>
      <c r="FC162" s="9">
        <f>DH162*'MASTER SHEET'!D162</f>
        <v>32939.040000000001</v>
      </c>
      <c r="FD162" s="9">
        <f>DL162*'MASTER SHEET'!D162</f>
        <v>28049.039999999997</v>
      </c>
      <c r="FE162" s="9">
        <f>DP162*'MASTER SHEET'!D162</f>
        <v>23159.039999999997</v>
      </c>
      <c r="FF162" s="9">
        <f>DT162*'MASTER SHEET'!D162</f>
        <v>23159.039999999997</v>
      </c>
      <c r="FG162" s="9">
        <f>+DX162*'MASTER SHEET'!D162</f>
        <v>23159.039999999997</v>
      </c>
    </row>
    <row r="163" spans="1:163" ht="20.25" customHeight="1" x14ac:dyDescent="0.25">
      <c r="A163" s="25">
        <f>'MASTER SHEET'!A163</f>
        <v>161</v>
      </c>
      <c r="B163" s="168" t="str">
        <f>'MASTER SHEET'!B163</f>
        <v>FDUMMY CAP RH</v>
      </c>
      <c r="C163" s="169" t="str">
        <f>'MASTER SHEET'!C163</f>
        <v>CC00004189</v>
      </c>
      <c r="D163" s="163">
        <f>1800+7887</f>
        <v>9687</v>
      </c>
      <c r="E163" s="28">
        <f>PRODUCTION!F163+'SUPLIER INWARD'!F163</f>
        <v>0</v>
      </c>
      <c r="F163" s="28"/>
      <c r="G163" s="29">
        <v>0</v>
      </c>
      <c r="H163" s="30">
        <f t="shared" ref="H163:H194" si="193">D163+E163-F163-G163</f>
        <v>9687</v>
      </c>
      <c r="I163" s="28">
        <f>PRODUCTION!J163+'SUPLIER INWARD'!J163</f>
        <v>0</v>
      </c>
      <c r="J163" s="28"/>
      <c r="K163" s="29">
        <v>0</v>
      </c>
      <c r="L163" s="30">
        <f t="shared" ref="L163:L194" si="194">H163+I163-J163-K163</f>
        <v>9687</v>
      </c>
      <c r="M163" s="28">
        <f>PRODUCTION!N163+'SUPLIER INWARD'!N163</f>
        <v>0</v>
      </c>
      <c r="N163" s="58"/>
      <c r="O163" s="29"/>
      <c r="P163" s="30">
        <f t="shared" ref="P163:P194" si="195">L163+M163-N163-O163</f>
        <v>9687</v>
      </c>
      <c r="Q163" s="28">
        <f>PRODUCTION!R163+'SUPLIER INWARD'!R163</f>
        <v>0</v>
      </c>
      <c r="R163" s="58"/>
      <c r="S163" s="29">
        <v>0</v>
      </c>
      <c r="T163" s="30">
        <f t="shared" ref="T163:T194" si="196">P163+Q163-R163-S163</f>
        <v>9687</v>
      </c>
      <c r="U163" s="28">
        <f>PRODUCTION!V163+'SUPLIER INWARD'!V163</f>
        <v>0</v>
      </c>
      <c r="V163" s="58">
        <v>0</v>
      </c>
      <c r="W163" s="29">
        <v>0</v>
      </c>
      <c r="X163" s="30">
        <f t="shared" ref="X163:X194" si="197">T163+U163-V163-W163</f>
        <v>9687</v>
      </c>
      <c r="Y163" s="28">
        <f>PRODUCTION!Z163+'SUPLIER INWARD'!Z163</f>
        <v>0</v>
      </c>
      <c r="Z163" s="58">
        <v>0</v>
      </c>
      <c r="AA163" s="29">
        <v>0</v>
      </c>
      <c r="AB163" s="30">
        <f t="shared" ref="AB163:AB194" si="198">X163+Y163-Z163-AA163</f>
        <v>9687</v>
      </c>
      <c r="AC163" s="28">
        <f>PRODUCTION!AD163+'SUPLIER INWARD'!AD163</f>
        <v>0</v>
      </c>
      <c r="AD163" s="58">
        <v>0</v>
      </c>
      <c r="AE163" s="29">
        <v>0</v>
      </c>
      <c r="AF163" s="30">
        <f t="shared" ref="AF163:AF194" si="199">AB163+AC163-AD163-AE163</f>
        <v>9687</v>
      </c>
      <c r="AG163" s="28">
        <f>PRODUCTION!AH163+'SUPLIER INWARD'!AH163</f>
        <v>0</v>
      </c>
      <c r="AH163" s="58">
        <v>0</v>
      </c>
      <c r="AI163" s="29">
        <v>0</v>
      </c>
      <c r="AJ163" s="30">
        <f t="shared" ref="AJ163:AJ194" si="200">AF163+AG163-AH163-AI163</f>
        <v>9687</v>
      </c>
      <c r="AK163" s="28">
        <f>PRODUCTION!AL163+'SUPLIER INWARD'!AL163</f>
        <v>0</v>
      </c>
      <c r="AL163" s="58">
        <v>0</v>
      </c>
      <c r="AM163" s="29">
        <v>0</v>
      </c>
      <c r="AN163" s="30">
        <f t="shared" ref="AN163:AN194" si="201">AJ163+AK163-AL163-AM163</f>
        <v>9687</v>
      </c>
      <c r="AO163" s="28">
        <f>PRODUCTION!AP163+'SUPLIER INWARD'!AP163</f>
        <v>0</v>
      </c>
      <c r="AP163" s="28"/>
      <c r="AQ163" s="29">
        <v>0</v>
      </c>
      <c r="AR163" s="30">
        <f t="shared" ref="AR163:AR194" si="202">AN163+AO163-AP163-AQ163</f>
        <v>9687</v>
      </c>
      <c r="AS163" s="28">
        <f>PRODUCTION!AT163+'SUPLIER INWARD'!AT163</f>
        <v>0</v>
      </c>
      <c r="AT163" s="28">
        <v>0</v>
      </c>
      <c r="AU163" s="29">
        <v>0</v>
      </c>
      <c r="AV163" s="30">
        <f t="shared" ref="AV163:AV194" si="203">AR163+AS163-AT163-AU163</f>
        <v>9687</v>
      </c>
      <c r="AW163" s="28">
        <f>PRODUCTION!AX163+'SUPLIER INWARD'!AX163</f>
        <v>0</v>
      </c>
      <c r="AX163" s="28"/>
      <c r="AY163" s="29"/>
      <c r="AZ163" s="30">
        <f t="shared" ref="AZ163:AZ194" si="204">AV163+AW163-AX163-AY163</f>
        <v>9687</v>
      </c>
      <c r="BA163" s="28">
        <f>PRODUCTION!BB163+'SUPLIER INWARD'!BB163</f>
        <v>0</v>
      </c>
      <c r="BB163" s="58">
        <v>0</v>
      </c>
      <c r="BC163" s="29">
        <v>0</v>
      </c>
      <c r="BD163" s="30">
        <f t="shared" ref="BD163:BD194" si="205">AZ163+BA163-BB163-BC163</f>
        <v>9687</v>
      </c>
      <c r="BE163" s="28">
        <f>PRODUCTION!BF163+'SUPLIER INWARD'!BF163</f>
        <v>0</v>
      </c>
      <c r="BF163" s="58"/>
      <c r="BG163" s="29">
        <v>0</v>
      </c>
      <c r="BH163" s="30">
        <f t="shared" ref="BH163:BH194" si="206">BD163+BE163-BF163-BG163</f>
        <v>9687</v>
      </c>
      <c r="BI163" s="28">
        <f>PRODUCTION!BJ163+'SUPLIER INWARD'!BJ163</f>
        <v>0</v>
      </c>
      <c r="BJ163" s="58">
        <v>0</v>
      </c>
      <c r="BK163" s="29">
        <v>0</v>
      </c>
      <c r="BL163" s="30">
        <f t="shared" ref="BL163:BL194" si="207">BH163+BI163-BJ163-BK163</f>
        <v>9687</v>
      </c>
      <c r="BM163" s="28">
        <f>PRODUCTION!BN163+'SUPLIER INWARD'!BN163</f>
        <v>0</v>
      </c>
      <c r="BN163" s="58">
        <v>0</v>
      </c>
      <c r="BO163" s="29">
        <v>0</v>
      </c>
      <c r="BP163" s="30">
        <f t="shared" ref="BP163:BP194" si="208">BL163+BM163-BN163-BO163</f>
        <v>9687</v>
      </c>
      <c r="BQ163" s="28">
        <f>PRODUCTION!BR163+'SUPLIER INWARD'!BR163</f>
        <v>0</v>
      </c>
      <c r="BR163" s="58">
        <v>3000</v>
      </c>
      <c r="BS163" s="29">
        <v>0</v>
      </c>
      <c r="BT163" s="30">
        <f t="shared" ref="BT163:BT194" si="209">BP163+BQ163-BR163-BS163</f>
        <v>6687</v>
      </c>
      <c r="BU163" s="28">
        <f>PRODUCTION!BV163+'SUPLIER INWARD'!BV163</f>
        <v>0</v>
      </c>
      <c r="BV163" s="58">
        <v>3000</v>
      </c>
      <c r="BW163" s="29">
        <v>0</v>
      </c>
      <c r="BX163" s="30">
        <f t="shared" si="176"/>
        <v>3687</v>
      </c>
      <c r="BY163" s="28">
        <f>PRODUCTION!BZ163+'SUPLIER INWARD'!BZ163</f>
        <v>0</v>
      </c>
      <c r="BZ163" s="58"/>
      <c r="CA163" s="29">
        <v>0</v>
      </c>
      <c r="CB163" s="30">
        <f t="shared" ref="CB163:CB194" si="210">BX163+BY163-BZ163-CA163</f>
        <v>3687</v>
      </c>
      <c r="CC163" s="28">
        <f>PRODUCTION!CD163+'SUPLIER INWARD'!CD163</f>
        <v>0</v>
      </c>
      <c r="CD163" s="58">
        <v>0</v>
      </c>
      <c r="CE163" s="29">
        <v>0</v>
      </c>
      <c r="CF163" s="30">
        <f t="shared" ref="CF163:CF194" si="211">CB163+CC163-CD163-CE163</f>
        <v>3687</v>
      </c>
      <c r="CG163" s="28">
        <f>PRODUCTION!CH163+'SUPLIER INWARD'!CH163</f>
        <v>0</v>
      </c>
      <c r="CH163" s="58">
        <v>0</v>
      </c>
      <c r="CI163" s="29">
        <v>0</v>
      </c>
      <c r="CJ163" s="30">
        <f t="shared" si="179"/>
        <v>3687</v>
      </c>
      <c r="CK163" s="28">
        <f>PRODUCTION!CL163+'SUPLIER INWARD'!CL163</f>
        <v>0</v>
      </c>
      <c r="CL163" s="58"/>
      <c r="CM163" s="152"/>
      <c r="CN163" s="30">
        <f t="shared" si="180"/>
        <v>3687</v>
      </c>
      <c r="CO163" s="28">
        <f>PRODUCTION!CP163+'SUPLIER INWARD'!CP163</f>
        <v>0</v>
      </c>
      <c r="CP163" s="58">
        <v>0</v>
      </c>
      <c r="CQ163" s="29">
        <v>0</v>
      </c>
      <c r="CR163" s="30">
        <f t="shared" si="181"/>
        <v>3687</v>
      </c>
      <c r="CS163" s="28">
        <f>PRODUCTION!CT163+'SUPLIER INWARD'!CT163</f>
        <v>0</v>
      </c>
      <c r="CT163" s="28">
        <v>0</v>
      </c>
      <c r="CU163" s="29">
        <v>0</v>
      </c>
      <c r="CV163" s="30">
        <f t="shared" si="182"/>
        <v>3687</v>
      </c>
      <c r="CW163" s="28">
        <f>PRODUCTION!CX163+'SUPLIER INWARD'!CX163</f>
        <v>0</v>
      </c>
      <c r="CX163" s="58">
        <v>0</v>
      </c>
      <c r="CY163" s="29">
        <v>0</v>
      </c>
      <c r="CZ163" s="30">
        <f t="shared" ref="CZ163:CZ194" si="212">CV163+CW163-CX163-CY163</f>
        <v>3687</v>
      </c>
      <c r="DA163" s="28">
        <f>PRODUCTION!DB163+'SUPLIER INWARD'!DB163</f>
        <v>0</v>
      </c>
      <c r="DB163" s="58"/>
      <c r="DC163" s="29"/>
      <c r="DD163" s="30">
        <f t="shared" ref="DD163:DD194" si="213">CZ163+DA163-DB163-DC163</f>
        <v>3687</v>
      </c>
      <c r="DE163" s="28">
        <f>PRODUCTION!DF163+'SUPLIER INWARD'!DF163</f>
        <v>0</v>
      </c>
      <c r="DF163" s="58">
        <v>0</v>
      </c>
      <c r="DG163" s="29">
        <v>0</v>
      </c>
      <c r="DH163" s="30">
        <f t="shared" ref="DH163:DH194" si="214">DD163+DE163-DF163-DG163</f>
        <v>3687</v>
      </c>
      <c r="DI163" s="28">
        <f>PRODUCTION!DJ163+'SUPLIER INWARD'!DJ163</f>
        <v>0</v>
      </c>
      <c r="DJ163" s="58">
        <v>3000</v>
      </c>
      <c r="DK163" s="29">
        <v>0</v>
      </c>
      <c r="DL163" s="30">
        <f t="shared" ref="DL163:DL194" si="215">DH163+DI163-DJ163-DK163</f>
        <v>687</v>
      </c>
      <c r="DM163" s="28">
        <f>PRODUCTION!DN163+'SUPLIER INWARD'!DN163</f>
        <v>0</v>
      </c>
      <c r="DN163" s="58">
        <v>3000</v>
      </c>
      <c r="DO163" s="29"/>
      <c r="DP163" s="30">
        <f t="shared" ref="DP163:DP194" si="216">DL163+DM163-DN163-DO163</f>
        <v>-2313</v>
      </c>
      <c r="DQ163" s="28">
        <f>PRODUCTION!DR163+'SUPLIER INWARD'!DR163</f>
        <v>0</v>
      </c>
      <c r="DR163" s="57"/>
      <c r="DS163" s="29"/>
      <c r="DT163" s="30">
        <f t="shared" ref="DT163:DT194" si="217">DP163+DQ163-DR163-DS163</f>
        <v>-2313</v>
      </c>
      <c r="DU163" s="28">
        <f>PRODUCTION!DV163+'SUPLIER INWARD'!DV163</f>
        <v>0</v>
      </c>
      <c r="DV163" s="58"/>
      <c r="DW163" s="29"/>
      <c r="DX163" s="30">
        <f t="shared" ref="DX163:DX194" si="218">DT163+DU163-DV163-DW163</f>
        <v>-2313</v>
      </c>
      <c r="DY163" s="141">
        <f t="shared" si="192"/>
        <v>0</v>
      </c>
      <c r="DZ163" s="141">
        <f t="shared" si="190"/>
        <v>12000</v>
      </c>
      <c r="EA163" s="4">
        <f t="shared" si="191"/>
        <v>0</v>
      </c>
      <c r="EB163" s="9">
        <f>D163*'MASTER SHEET'!D163</f>
        <v>15789.81</v>
      </c>
      <c r="EC163" s="9">
        <f>H163*'MASTER SHEET'!D163</f>
        <v>15789.81</v>
      </c>
      <c r="ED163" s="9">
        <f>L163*'MASTER SHEET'!D163</f>
        <v>15789.81</v>
      </c>
      <c r="EE163" s="9">
        <f>P163*'MASTER SHEET'!D163</f>
        <v>15789.81</v>
      </c>
      <c r="EF163" s="9">
        <f>T163*'MASTER SHEET'!D163</f>
        <v>15789.81</v>
      </c>
      <c r="EG163" s="9">
        <f>X163*'MASTER SHEET'!D163</f>
        <v>15789.81</v>
      </c>
      <c r="EH163" s="9">
        <f>AB163*'MASTER SHEET'!D163</f>
        <v>15789.81</v>
      </c>
      <c r="EI163" s="9">
        <f>AF163*'MASTER SHEET'!D163</f>
        <v>15789.81</v>
      </c>
      <c r="EJ163" s="9">
        <f>AJ163*'MASTER SHEET'!D163</f>
        <v>15789.81</v>
      </c>
      <c r="EK163" s="9">
        <f>AN163*'MASTER SHEET'!D163</f>
        <v>15789.81</v>
      </c>
      <c r="EL163" s="9">
        <f>AR163*'MASTER SHEET'!D163</f>
        <v>15789.81</v>
      </c>
      <c r="EM163" s="9">
        <f>AV163*'MASTER SHEET'!D163</f>
        <v>15789.81</v>
      </c>
      <c r="EN163" s="9">
        <f>AZ163*'MASTER SHEET'!D163</f>
        <v>15789.81</v>
      </c>
      <c r="EO163" s="9">
        <f>BD163*'MASTER SHEET'!D163</f>
        <v>15789.81</v>
      </c>
      <c r="EP163" s="9">
        <f>$BH163*'MASTER SHEET'!$D163</f>
        <v>15789.81</v>
      </c>
      <c r="EQ163" s="9">
        <f>BL163*'MASTER SHEET'!D163</f>
        <v>15789.81</v>
      </c>
      <c r="ER163" s="9">
        <f>BP163*'MASTER SHEET'!D163</f>
        <v>15789.81</v>
      </c>
      <c r="ES163" s="9">
        <f>BT163*'MASTER SHEET'!D163</f>
        <v>10899.81</v>
      </c>
      <c r="ET163" s="9">
        <f>BX163*'MASTER SHEET'!D163</f>
        <v>6009.8099999999995</v>
      </c>
      <c r="EU163" s="9">
        <f>CB163*'MASTER SHEET'!D163</f>
        <v>6009.8099999999995</v>
      </c>
      <c r="EV163" s="9">
        <f>CF163*'MASTER SHEET'!D163</f>
        <v>6009.8099999999995</v>
      </c>
      <c r="EW163" s="9">
        <f>CJ163*'MASTER SHEET'!D163</f>
        <v>6009.8099999999995</v>
      </c>
      <c r="EX163" s="9">
        <f>CN163*'MASTER SHEET'!D163</f>
        <v>6009.8099999999995</v>
      </c>
      <c r="EY163" s="9">
        <f>CR163*'MASTER SHEET'!D163</f>
        <v>6009.8099999999995</v>
      </c>
      <c r="EZ163" s="9">
        <f>$CV163*'MASTER SHEET'!D163</f>
        <v>6009.8099999999995</v>
      </c>
      <c r="FA163" s="9">
        <f>CZ163*'MASTER SHEET'!D163</f>
        <v>6009.8099999999995</v>
      </c>
      <c r="FB163" s="9">
        <f>DD163*'MASTER SHEET'!D163</f>
        <v>6009.8099999999995</v>
      </c>
      <c r="FC163" s="9">
        <f>DH163*'MASTER SHEET'!D163</f>
        <v>6009.8099999999995</v>
      </c>
      <c r="FD163" s="9">
        <f>DL163*'MASTER SHEET'!D163</f>
        <v>1119.81</v>
      </c>
      <c r="FE163" s="9">
        <f>DP163*'MASTER SHEET'!D163</f>
        <v>-3770.1899999999996</v>
      </c>
      <c r="FF163" s="9">
        <f>DT163*'MASTER SHEET'!D163</f>
        <v>-3770.1899999999996</v>
      </c>
      <c r="FG163" s="9">
        <f>+DX163*'MASTER SHEET'!D163</f>
        <v>-3770.1899999999996</v>
      </c>
    </row>
    <row r="164" spans="1:163" ht="20.25" customHeight="1" x14ac:dyDescent="0.25">
      <c r="A164" s="25">
        <f>'MASTER SHEET'!A164</f>
        <v>162</v>
      </c>
      <c r="B164" s="168" t="str">
        <f>'MASTER SHEET'!B164</f>
        <v>Hood Stay Rod</v>
      </c>
      <c r="C164" s="169">
        <f>'MASTER SHEET'!C164</f>
        <v>62124</v>
      </c>
      <c r="D164" s="159">
        <v>0</v>
      </c>
      <c r="E164" s="28">
        <f>PRODUCTION!F164+'SUPLIER INWARD'!F164</f>
        <v>0</v>
      </c>
      <c r="F164" s="28"/>
      <c r="G164" s="29">
        <v>0</v>
      </c>
      <c r="H164" s="30">
        <f t="shared" si="193"/>
        <v>0</v>
      </c>
      <c r="I164" s="28">
        <f>PRODUCTION!J164+'SUPLIER INWARD'!J164</f>
        <v>9500</v>
      </c>
      <c r="J164" s="28"/>
      <c r="K164" s="29">
        <v>0</v>
      </c>
      <c r="L164" s="30">
        <f t="shared" si="194"/>
        <v>9500</v>
      </c>
      <c r="M164" s="28">
        <f>PRODUCTION!N164+'SUPLIER INWARD'!N164</f>
        <v>0</v>
      </c>
      <c r="N164" s="58"/>
      <c r="O164" s="29"/>
      <c r="P164" s="30">
        <f t="shared" si="195"/>
        <v>9500</v>
      </c>
      <c r="Q164" s="28">
        <f>PRODUCTION!R164+'SUPLIER INWARD'!R164</f>
        <v>0</v>
      </c>
      <c r="R164" s="58">
        <v>6000</v>
      </c>
      <c r="S164" s="29">
        <v>16</v>
      </c>
      <c r="T164" s="30">
        <f t="shared" si="196"/>
        <v>3484</v>
      </c>
      <c r="U164" s="28">
        <f>PRODUCTION!V164+'SUPLIER INWARD'!V164</f>
        <v>0</v>
      </c>
      <c r="V164" s="58">
        <v>3000</v>
      </c>
      <c r="W164" s="29">
        <v>0</v>
      </c>
      <c r="X164" s="30">
        <f t="shared" si="197"/>
        <v>484</v>
      </c>
      <c r="Y164" s="28">
        <f>PRODUCTION!Z164+'SUPLIER INWARD'!Z164</f>
        <v>6500</v>
      </c>
      <c r="Z164" s="58">
        <v>1000</v>
      </c>
      <c r="AA164" s="29">
        <v>0</v>
      </c>
      <c r="AB164" s="30">
        <f t="shared" si="198"/>
        <v>5984</v>
      </c>
      <c r="AC164" s="28">
        <f>PRODUCTION!AD164+'SUPLIER INWARD'!AD164</f>
        <v>0</v>
      </c>
      <c r="AD164" s="58">
        <v>0</v>
      </c>
      <c r="AE164" s="29">
        <v>0</v>
      </c>
      <c r="AF164" s="30">
        <f t="shared" si="199"/>
        <v>5984</v>
      </c>
      <c r="AG164" s="28">
        <f>PRODUCTION!AH164+'SUPLIER INWARD'!AH164</f>
        <v>0</v>
      </c>
      <c r="AH164" s="58">
        <v>0</v>
      </c>
      <c r="AI164" s="29">
        <v>0</v>
      </c>
      <c r="AJ164" s="30">
        <f t="shared" si="200"/>
        <v>5984</v>
      </c>
      <c r="AK164" s="28">
        <f>PRODUCTION!AL164+'SUPLIER INWARD'!AL164</f>
        <v>0</v>
      </c>
      <c r="AL164" s="58">
        <v>0</v>
      </c>
      <c r="AM164" s="29">
        <v>0</v>
      </c>
      <c r="AN164" s="30">
        <f t="shared" si="201"/>
        <v>5984</v>
      </c>
      <c r="AO164" s="28">
        <f>PRODUCTION!AP164+'SUPLIER INWARD'!AP164</f>
        <v>0</v>
      </c>
      <c r="AP164" s="28"/>
      <c r="AQ164" s="29">
        <v>0</v>
      </c>
      <c r="AR164" s="30">
        <f t="shared" si="202"/>
        <v>5984</v>
      </c>
      <c r="AS164" s="28">
        <f>PRODUCTION!AT164+'SUPLIER INWARD'!AT164</f>
        <v>0</v>
      </c>
      <c r="AT164" s="28">
        <v>0</v>
      </c>
      <c r="AU164" s="29">
        <v>0</v>
      </c>
      <c r="AV164" s="30">
        <f t="shared" si="203"/>
        <v>5984</v>
      </c>
      <c r="AW164" s="28">
        <f>PRODUCTION!AX164+'SUPLIER INWARD'!AX164</f>
        <v>0</v>
      </c>
      <c r="AX164" s="28"/>
      <c r="AY164" s="29"/>
      <c r="AZ164" s="30">
        <f t="shared" si="204"/>
        <v>5984</v>
      </c>
      <c r="BA164" s="28">
        <f>PRODUCTION!BB164+'SUPLIER INWARD'!BB164</f>
        <v>0</v>
      </c>
      <c r="BB164" s="58">
        <v>3000</v>
      </c>
      <c r="BC164" s="29">
        <v>41</v>
      </c>
      <c r="BD164" s="30">
        <f t="shared" si="205"/>
        <v>2943</v>
      </c>
      <c r="BE164" s="28">
        <f>PRODUCTION!BF164+'SUPLIER INWARD'!BF164</f>
        <v>0</v>
      </c>
      <c r="BF164" s="58">
        <v>2000</v>
      </c>
      <c r="BG164" s="29">
        <v>45</v>
      </c>
      <c r="BH164" s="30">
        <f t="shared" si="206"/>
        <v>898</v>
      </c>
      <c r="BI164" s="28">
        <f>PRODUCTION!BJ164+'SUPLIER INWARD'!BJ164</f>
        <v>0</v>
      </c>
      <c r="BJ164" s="58">
        <v>0</v>
      </c>
      <c r="BK164" s="29">
        <v>0</v>
      </c>
      <c r="BL164" s="30">
        <f t="shared" si="207"/>
        <v>898</v>
      </c>
      <c r="BM164" s="28">
        <f>PRODUCTION!BN164+'SUPLIER INWARD'!BN164</f>
        <v>0</v>
      </c>
      <c r="BN164" s="58">
        <v>0</v>
      </c>
      <c r="BO164" s="29">
        <v>0</v>
      </c>
      <c r="BP164" s="30">
        <f t="shared" si="208"/>
        <v>898</v>
      </c>
      <c r="BQ164" s="28">
        <f>PRODUCTION!BR164+'SUPLIER INWARD'!BR164</f>
        <v>0</v>
      </c>
      <c r="BR164" s="58">
        <v>0</v>
      </c>
      <c r="BS164" s="29">
        <v>0</v>
      </c>
      <c r="BT164" s="30">
        <f t="shared" si="209"/>
        <v>898</v>
      </c>
      <c r="BU164" s="28">
        <f>PRODUCTION!BV164+'SUPLIER INWARD'!BV164</f>
        <v>4500</v>
      </c>
      <c r="BV164" s="58">
        <v>0</v>
      </c>
      <c r="BW164" s="29">
        <v>0</v>
      </c>
      <c r="BX164" s="30">
        <f t="shared" si="176"/>
        <v>5398</v>
      </c>
      <c r="BY164" s="28">
        <f>PRODUCTION!BZ164+'SUPLIER INWARD'!BZ164</f>
        <v>0</v>
      </c>
      <c r="BZ164" s="58"/>
      <c r="CA164" s="29">
        <v>283</v>
      </c>
      <c r="CB164" s="30">
        <f t="shared" si="210"/>
        <v>5115</v>
      </c>
      <c r="CC164" s="28">
        <f>PRODUCTION!CD164+'SUPLIER INWARD'!CD164</f>
        <v>0</v>
      </c>
      <c r="CD164" s="58">
        <v>5000</v>
      </c>
      <c r="CE164" s="29">
        <v>0</v>
      </c>
      <c r="CF164" s="30">
        <f t="shared" si="211"/>
        <v>115</v>
      </c>
      <c r="CG164" s="28">
        <f>PRODUCTION!CH164+'SUPLIER INWARD'!CH164</f>
        <v>0</v>
      </c>
      <c r="CH164" s="58">
        <v>0</v>
      </c>
      <c r="CI164" s="29">
        <v>0</v>
      </c>
      <c r="CJ164" s="30">
        <f t="shared" si="179"/>
        <v>115</v>
      </c>
      <c r="CK164" s="28">
        <f>PRODUCTION!CL164+'SUPLIER INWARD'!CL164</f>
        <v>10000</v>
      </c>
      <c r="CL164" s="58">
        <v>3000</v>
      </c>
      <c r="CM164" s="152"/>
      <c r="CN164" s="30">
        <f t="shared" si="180"/>
        <v>7115</v>
      </c>
      <c r="CO164" s="28">
        <f>PRODUCTION!CP164+'SUPLIER INWARD'!CP164</f>
        <v>10000</v>
      </c>
      <c r="CP164" s="58">
        <v>3000</v>
      </c>
      <c r="CQ164" s="29">
        <v>35</v>
      </c>
      <c r="CR164" s="30">
        <f t="shared" si="181"/>
        <v>14080</v>
      </c>
      <c r="CS164" s="28">
        <f>PRODUCTION!CT164+'SUPLIER INWARD'!CT164</f>
        <v>0</v>
      </c>
      <c r="CT164" s="28">
        <v>0</v>
      </c>
      <c r="CU164" s="29">
        <v>0</v>
      </c>
      <c r="CV164" s="30">
        <f t="shared" si="182"/>
        <v>14080</v>
      </c>
      <c r="CW164" s="28">
        <f>PRODUCTION!CX164+'SUPLIER INWARD'!CX164</f>
        <v>0</v>
      </c>
      <c r="CX164" s="58">
        <v>9000</v>
      </c>
      <c r="CY164" s="29">
        <v>0</v>
      </c>
      <c r="CZ164" s="30">
        <f t="shared" si="212"/>
        <v>5080</v>
      </c>
      <c r="DA164" s="28">
        <f>PRODUCTION!DB164+'SUPLIER INWARD'!DB164</f>
        <v>0</v>
      </c>
      <c r="DB164" s="58"/>
      <c r="DC164" s="29"/>
      <c r="DD164" s="30">
        <f t="shared" si="213"/>
        <v>5080</v>
      </c>
      <c r="DE164" s="28">
        <f>PRODUCTION!DF164+'SUPLIER INWARD'!DF164</f>
        <v>14500</v>
      </c>
      <c r="DF164" s="58">
        <v>0</v>
      </c>
      <c r="DG164" s="29">
        <v>0</v>
      </c>
      <c r="DH164" s="30">
        <f t="shared" si="214"/>
        <v>19580</v>
      </c>
      <c r="DI164" s="28">
        <f>PRODUCTION!DJ164+'SUPLIER INWARD'!DJ164</f>
        <v>0</v>
      </c>
      <c r="DJ164" s="58">
        <v>9000</v>
      </c>
      <c r="DK164" s="29">
        <v>0</v>
      </c>
      <c r="DL164" s="30">
        <f t="shared" si="215"/>
        <v>10580</v>
      </c>
      <c r="DM164" s="28">
        <f>PRODUCTION!DN164+'SUPLIER INWARD'!DN164</f>
        <v>8000</v>
      </c>
      <c r="DN164" s="58">
        <v>5000</v>
      </c>
      <c r="DO164" s="29"/>
      <c r="DP164" s="30">
        <f t="shared" si="216"/>
        <v>13580</v>
      </c>
      <c r="DQ164" s="28">
        <f>PRODUCTION!DR164+'SUPLIER INWARD'!DR164</f>
        <v>0</v>
      </c>
      <c r="DR164" s="57"/>
      <c r="DS164" s="29"/>
      <c r="DT164" s="30">
        <f t="shared" si="217"/>
        <v>13580</v>
      </c>
      <c r="DU164" s="28">
        <f>PRODUCTION!DV164+'SUPLIER INWARD'!DV164</f>
        <v>0</v>
      </c>
      <c r="DV164" s="58"/>
      <c r="DW164" s="29"/>
      <c r="DX164" s="30">
        <f t="shared" si="218"/>
        <v>13580</v>
      </c>
      <c r="DY164" s="141">
        <f t="shared" si="192"/>
        <v>63000</v>
      </c>
      <c r="DZ164" s="141">
        <f t="shared" si="190"/>
        <v>49000</v>
      </c>
      <c r="EA164" s="4">
        <f t="shared" si="191"/>
        <v>420</v>
      </c>
      <c r="EB164" s="9">
        <f>D164*'MASTER SHEET'!D164</f>
        <v>0</v>
      </c>
      <c r="EC164" s="9">
        <f>H164*'MASTER SHEET'!D164</f>
        <v>0</v>
      </c>
      <c r="ED164" s="9">
        <f>L164*'MASTER SHEET'!D164</f>
        <v>26219.999999999996</v>
      </c>
      <c r="EE164" s="9">
        <f>P164*'MASTER SHEET'!D164</f>
        <v>26219.999999999996</v>
      </c>
      <c r="EF164" s="9">
        <f>T164*'MASTER SHEET'!D164</f>
        <v>9615.84</v>
      </c>
      <c r="EG164" s="9">
        <f>X164*'MASTER SHEET'!D164</f>
        <v>1335.84</v>
      </c>
      <c r="EH164" s="9">
        <f>AB164*'MASTER SHEET'!D164</f>
        <v>16515.84</v>
      </c>
      <c r="EI164" s="9">
        <f>AF164*'MASTER SHEET'!D164</f>
        <v>16515.84</v>
      </c>
      <c r="EJ164" s="9">
        <f>AJ164*'MASTER SHEET'!D164</f>
        <v>16515.84</v>
      </c>
      <c r="EK164" s="9">
        <f>AN164*'MASTER SHEET'!D164</f>
        <v>16515.84</v>
      </c>
      <c r="EL164" s="9">
        <f>AR164*'MASTER SHEET'!D164</f>
        <v>16515.84</v>
      </c>
      <c r="EM164" s="9">
        <f>AV164*'MASTER SHEET'!D164</f>
        <v>16515.84</v>
      </c>
      <c r="EN164" s="9">
        <f>AZ164*'MASTER SHEET'!D164</f>
        <v>16515.84</v>
      </c>
      <c r="EO164" s="9">
        <f>BD164*'MASTER SHEET'!D164</f>
        <v>8122.6799999999994</v>
      </c>
      <c r="EP164" s="9">
        <f>$BH164*'MASTER SHEET'!$D164</f>
        <v>2478.48</v>
      </c>
      <c r="EQ164" s="9">
        <f>BL164*'MASTER SHEET'!D164</f>
        <v>2478.48</v>
      </c>
      <c r="ER164" s="9">
        <f>BP164*'MASTER SHEET'!D164</f>
        <v>2478.48</v>
      </c>
      <c r="ES164" s="9">
        <f>BT164*'MASTER SHEET'!D164</f>
        <v>2478.48</v>
      </c>
      <c r="ET164" s="9">
        <f>BX164*'MASTER SHEET'!D164</f>
        <v>14898.48</v>
      </c>
      <c r="EU164" s="9">
        <f>CB164*'MASTER SHEET'!D164</f>
        <v>14117.4</v>
      </c>
      <c r="EV164" s="9">
        <f>CF164*'MASTER SHEET'!D164</f>
        <v>317.39999999999998</v>
      </c>
      <c r="EW164" s="9">
        <f>CJ164*'MASTER SHEET'!D164</f>
        <v>317.39999999999998</v>
      </c>
      <c r="EX164" s="9">
        <f>CN164*'MASTER SHEET'!D164</f>
        <v>19637.399999999998</v>
      </c>
      <c r="EY164" s="9">
        <f>CR164*'MASTER SHEET'!D164</f>
        <v>38860.799999999996</v>
      </c>
      <c r="EZ164" s="9">
        <f>$CV164*'MASTER SHEET'!D164</f>
        <v>38860.799999999996</v>
      </c>
      <c r="FA164" s="9">
        <f>CZ164*'MASTER SHEET'!D164</f>
        <v>14020.8</v>
      </c>
      <c r="FB164" s="9">
        <f>DD164*'MASTER SHEET'!D164</f>
        <v>14020.8</v>
      </c>
      <c r="FC164" s="9">
        <f>DH164*'MASTER SHEET'!D164</f>
        <v>54040.799999999996</v>
      </c>
      <c r="FD164" s="9">
        <f>DL164*'MASTER SHEET'!D164</f>
        <v>29200.799999999999</v>
      </c>
      <c r="FE164" s="9">
        <f>DP164*'MASTER SHEET'!D164</f>
        <v>37480.799999999996</v>
      </c>
      <c r="FF164" s="9">
        <f>DT164*'MASTER SHEET'!D164</f>
        <v>37480.799999999996</v>
      </c>
      <c r="FG164" s="9">
        <f>+DX164*'MASTER SHEET'!D164</f>
        <v>37480.799999999996</v>
      </c>
    </row>
    <row r="165" spans="1:163" ht="20.25" customHeight="1" x14ac:dyDescent="0.25">
      <c r="A165" s="25">
        <f>'MASTER SHEET'!A165</f>
        <v>163</v>
      </c>
      <c r="B165" s="168" t="str">
        <f>'MASTER SHEET'!B165</f>
        <v>RIBLOK</v>
      </c>
      <c r="C165" s="169">
        <f>'MASTER SHEET'!C165</f>
        <v>60250</v>
      </c>
      <c r="D165" s="159">
        <v>57600</v>
      </c>
      <c r="E165" s="28">
        <f>PRODUCTION!F165+'SUPLIER INWARD'!F165</f>
        <v>0</v>
      </c>
      <c r="F165" s="28"/>
      <c r="G165" s="29">
        <v>0</v>
      </c>
      <c r="H165" s="30">
        <f t="shared" si="193"/>
        <v>57600</v>
      </c>
      <c r="I165" s="28">
        <f>PRODUCTION!J165+'SUPLIER INWARD'!J165</f>
        <v>0</v>
      </c>
      <c r="J165" s="28"/>
      <c r="K165" s="29">
        <v>0</v>
      </c>
      <c r="L165" s="30">
        <f t="shared" si="194"/>
        <v>57600</v>
      </c>
      <c r="M165" s="28">
        <f>PRODUCTION!N165+'SUPLIER INWARD'!N165</f>
        <v>0</v>
      </c>
      <c r="N165" s="58"/>
      <c r="O165" s="29"/>
      <c r="P165" s="30">
        <f t="shared" si="195"/>
        <v>57600</v>
      </c>
      <c r="Q165" s="28">
        <f>PRODUCTION!R165+'SUPLIER INWARD'!R165</f>
        <v>0</v>
      </c>
      <c r="R165" s="58">
        <v>5000</v>
      </c>
      <c r="S165" s="29">
        <v>0</v>
      </c>
      <c r="T165" s="30">
        <f t="shared" si="196"/>
        <v>52600</v>
      </c>
      <c r="U165" s="28">
        <f>PRODUCTION!V165+'SUPLIER INWARD'!V165</f>
        <v>0</v>
      </c>
      <c r="V165" s="58">
        <v>0</v>
      </c>
      <c r="W165" s="29">
        <v>0</v>
      </c>
      <c r="X165" s="30">
        <f t="shared" si="197"/>
        <v>52600</v>
      </c>
      <c r="Y165" s="28">
        <f>PRODUCTION!Z165+'SUPLIER INWARD'!Z165</f>
        <v>0</v>
      </c>
      <c r="Z165" s="58">
        <v>0</v>
      </c>
      <c r="AA165" s="29">
        <v>0</v>
      </c>
      <c r="AB165" s="30">
        <f t="shared" si="198"/>
        <v>52600</v>
      </c>
      <c r="AC165" s="28">
        <f>PRODUCTION!AD165+'SUPLIER INWARD'!AD165</f>
        <v>0</v>
      </c>
      <c r="AD165" s="58">
        <v>0</v>
      </c>
      <c r="AE165" s="29">
        <v>0</v>
      </c>
      <c r="AF165" s="30">
        <f t="shared" si="199"/>
        <v>52600</v>
      </c>
      <c r="AG165" s="28">
        <f>PRODUCTION!AH165+'SUPLIER INWARD'!AH165</f>
        <v>0</v>
      </c>
      <c r="AH165" s="58">
        <v>0</v>
      </c>
      <c r="AI165" s="29">
        <v>0</v>
      </c>
      <c r="AJ165" s="30">
        <f t="shared" si="200"/>
        <v>52600</v>
      </c>
      <c r="AK165" s="28">
        <f>PRODUCTION!AL165+'SUPLIER INWARD'!AL165</f>
        <v>0</v>
      </c>
      <c r="AL165" s="58">
        <v>0</v>
      </c>
      <c r="AM165" s="29">
        <v>0</v>
      </c>
      <c r="AN165" s="30">
        <f t="shared" si="201"/>
        <v>52600</v>
      </c>
      <c r="AO165" s="28">
        <f>PRODUCTION!AP165+'SUPLIER INWARD'!AP165</f>
        <v>0</v>
      </c>
      <c r="AP165" s="28"/>
      <c r="AQ165" s="29">
        <v>0</v>
      </c>
      <c r="AR165" s="30">
        <f t="shared" si="202"/>
        <v>52600</v>
      </c>
      <c r="AS165" s="28">
        <f>PRODUCTION!AT165+'SUPLIER INWARD'!AT165</f>
        <v>0</v>
      </c>
      <c r="AT165" s="28">
        <v>0</v>
      </c>
      <c r="AU165" s="29">
        <v>0</v>
      </c>
      <c r="AV165" s="30">
        <f t="shared" si="203"/>
        <v>52600</v>
      </c>
      <c r="AW165" s="28">
        <f>PRODUCTION!AX165+'SUPLIER INWARD'!AX165</f>
        <v>0</v>
      </c>
      <c r="AX165" s="28"/>
      <c r="AY165" s="29"/>
      <c r="AZ165" s="30">
        <f t="shared" si="204"/>
        <v>52600</v>
      </c>
      <c r="BA165" s="28">
        <f>PRODUCTION!BB165+'SUPLIER INWARD'!BB165</f>
        <v>0</v>
      </c>
      <c r="BB165" s="58">
        <v>0</v>
      </c>
      <c r="BC165" s="29">
        <v>0</v>
      </c>
      <c r="BD165" s="30">
        <f t="shared" si="205"/>
        <v>52600</v>
      </c>
      <c r="BE165" s="28">
        <f>PRODUCTION!BF165+'SUPLIER INWARD'!BF165</f>
        <v>0</v>
      </c>
      <c r="BF165" s="58"/>
      <c r="BG165" s="29">
        <v>0</v>
      </c>
      <c r="BH165" s="30">
        <f t="shared" si="206"/>
        <v>52600</v>
      </c>
      <c r="BI165" s="28">
        <f>PRODUCTION!BJ165+'SUPLIER INWARD'!BJ165</f>
        <v>0</v>
      </c>
      <c r="BJ165" s="58">
        <v>0</v>
      </c>
      <c r="BK165" s="29">
        <v>0</v>
      </c>
      <c r="BL165" s="30">
        <f t="shared" si="207"/>
        <v>52600</v>
      </c>
      <c r="BM165" s="28">
        <f>PRODUCTION!BN165+'SUPLIER INWARD'!BN165</f>
        <v>0</v>
      </c>
      <c r="BN165" s="58">
        <v>0</v>
      </c>
      <c r="BO165" s="29">
        <v>0</v>
      </c>
      <c r="BP165" s="30">
        <f t="shared" si="208"/>
        <v>52600</v>
      </c>
      <c r="BQ165" s="28">
        <f>PRODUCTION!BR165+'SUPLIER INWARD'!BR165</f>
        <v>0</v>
      </c>
      <c r="BR165" s="58">
        <v>0</v>
      </c>
      <c r="BS165" s="29">
        <v>0</v>
      </c>
      <c r="BT165" s="30">
        <f t="shared" si="209"/>
        <v>52600</v>
      </c>
      <c r="BU165" s="28">
        <f>PRODUCTION!BV165+'SUPLIER INWARD'!BV165</f>
        <v>0</v>
      </c>
      <c r="BV165" s="58">
        <v>0</v>
      </c>
      <c r="BW165" s="29">
        <v>0</v>
      </c>
      <c r="BX165" s="30">
        <f t="shared" si="176"/>
        <v>52600</v>
      </c>
      <c r="BY165" s="28">
        <f>PRODUCTION!BZ165+'SUPLIER INWARD'!BZ165</f>
        <v>0</v>
      </c>
      <c r="BZ165" s="58"/>
      <c r="CA165" s="29">
        <v>0</v>
      </c>
      <c r="CB165" s="30">
        <f t="shared" si="210"/>
        <v>52600</v>
      </c>
      <c r="CC165" s="28">
        <f>PRODUCTION!CD165+'SUPLIER INWARD'!CD165</f>
        <v>0</v>
      </c>
      <c r="CD165" s="58">
        <v>0</v>
      </c>
      <c r="CE165" s="29">
        <v>0</v>
      </c>
      <c r="CF165" s="30">
        <f t="shared" si="211"/>
        <v>52600</v>
      </c>
      <c r="CG165" s="28">
        <f>PRODUCTION!CH165+'SUPLIER INWARD'!CH165</f>
        <v>0</v>
      </c>
      <c r="CH165" s="58">
        <v>0</v>
      </c>
      <c r="CI165" s="29">
        <v>0</v>
      </c>
      <c r="CJ165" s="30">
        <f t="shared" si="179"/>
        <v>52600</v>
      </c>
      <c r="CK165" s="28">
        <f>PRODUCTION!CL165+'SUPLIER INWARD'!CL165</f>
        <v>0</v>
      </c>
      <c r="CL165" s="58"/>
      <c r="CM165" s="152"/>
      <c r="CN165" s="30">
        <f t="shared" si="180"/>
        <v>52600</v>
      </c>
      <c r="CO165" s="28">
        <f>PRODUCTION!CP165+'SUPLIER INWARD'!CP165</f>
        <v>0</v>
      </c>
      <c r="CP165" s="58">
        <v>0</v>
      </c>
      <c r="CQ165" s="29">
        <v>0</v>
      </c>
      <c r="CR165" s="30">
        <f t="shared" si="181"/>
        <v>52600</v>
      </c>
      <c r="CS165" s="28">
        <f>PRODUCTION!CT165+'SUPLIER INWARD'!CT165</f>
        <v>0</v>
      </c>
      <c r="CT165" s="28">
        <v>0</v>
      </c>
      <c r="CU165" s="29">
        <v>0</v>
      </c>
      <c r="CV165" s="30">
        <f t="shared" si="182"/>
        <v>52600</v>
      </c>
      <c r="CW165" s="28">
        <f>PRODUCTION!CX165+'SUPLIER INWARD'!CX165</f>
        <v>0</v>
      </c>
      <c r="CX165" s="58">
        <v>0</v>
      </c>
      <c r="CY165" s="29">
        <v>0</v>
      </c>
      <c r="CZ165" s="30">
        <f t="shared" si="212"/>
        <v>52600</v>
      </c>
      <c r="DA165" s="28">
        <f>PRODUCTION!DB165+'SUPLIER INWARD'!DB165</f>
        <v>0</v>
      </c>
      <c r="DB165" s="58"/>
      <c r="DC165" s="29"/>
      <c r="DD165" s="30">
        <f t="shared" si="213"/>
        <v>52600</v>
      </c>
      <c r="DE165" s="28">
        <f>PRODUCTION!DF165+'SUPLIER INWARD'!DF165</f>
        <v>0</v>
      </c>
      <c r="DF165" s="58">
        <v>0</v>
      </c>
      <c r="DG165" s="29">
        <v>0</v>
      </c>
      <c r="DH165" s="30">
        <f t="shared" si="214"/>
        <v>52600</v>
      </c>
      <c r="DI165" s="28">
        <f>PRODUCTION!DJ165+'SUPLIER INWARD'!DJ165</f>
        <v>0</v>
      </c>
      <c r="DJ165" s="58">
        <v>0</v>
      </c>
      <c r="DK165" s="29">
        <v>0</v>
      </c>
      <c r="DL165" s="30">
        <f t="shared" si="215"/>
        <v>52600</v>
      </c>
      <c r="DM165" s="28">
        <f>PRODUCTION!DN165+'SUPLIER INWARD'!DN165</f>
        <v>0</v>
      </c>
      <c r="DN165" s="58">
        <v>0</v>
      </c>
      <c r="DO165" s="29"/>
      <c r="DP165" s="30">
        <f t="shared" si="216"/>
        <v>52600</v>
      </c>
      <c r="DQ165" s="28">
        <f>PRODUCTION!DR165+'SUPLIER INWARD'!DR165</f>
        <v>0</v>
      </c>
      <c r="DR165" s="57"/>
      <c r="DS165" s="29"/>
      <c r="DT165" s="30">
        <f t="shared" si="217"/>
        <v>52600</v>
      </c>
      <c r="DU165" s="28">
        <f>PRODUCTION!DV165+'SUPLIER INWARD'!DV165</f>
        <v>0</v>
      </c>
      <c r="DV165" s="58"/>
      <c r="DW165" s="29"/>
      <c r="DX165" s="30">
        <f t="shared" si="218"/>
        <v>52600</v>
      </c>
      <c r="DY165" s="141">
        <f t="shared" si="192"/>
        <v>0</v>
      </c>
      <c r="DZ165" s="141">
        <f t="shared" si="190"/>
        <v>5000</v>
      </c>
      <c r="EA165" s="4">
        <f t="shared" si="191"/>
        <v>0</v>
      </c>
      <c r="EB165" s="9">
        <f>D165*'MASTER SHEET'!D165</f>
        <v>48384</v>
      </c>
      <c r="EC165" s="9">
        <f>H165*'MASTER SHEET'!D165</f>
        <v>48384</v>
      </c>
      <c r="ED165" s="9">
        <f>L165*'MASTER SHEET'!D165</f>
        <v>48384</v>
      </c>
      <c r="EE165" s="9">
        <f>P165*'MASTER SHEET'!D165</f>
        <v>48384</v>
      </c>
      <c r="EF165" s="9">
        <f>T165*'MASTER SHEET'!D165</f>
        <v>44184</v>
      </c>
      <c r="EG165" s="9">
        <f>X165*'MASTER SHEET'!D165</f>
        <v>44184</v>
      </c>
      <c r="EH165" s="9">
        <f>AB165*'MASTER SHEET'!D165</f>
        <v>44184</v>
      </c>
      <c r="EI165" s="9">
        <f>AF165*'MASTER SHEET'!D165</f>
        <v>44184</v>
      </c>
      <c r="EJ165" s="9">
        <f>AJ165*'MASTER SHEET'!D165</f>
        <v>44184</v>
      </c>
      <c r="EK165" s="9">
        <f>AN165*'MASTER SHEET'!D165</f>
        <v>44184</v>
      </c>
      <c r="EL165" s="9">
        <f>AR165*'MASTER SHEET'!D165</f>
        <v>44184</v>
      </c>
      <c r="EM165" s="9">
        <f>AV165*'MASTER SHEET'!D165</f>
        <v>44184</v>
      </c>
      <c r="EN165" s="9">
        <f>AZ165*'MASTER SHEET'!D165</f>
        <v>44184</v>
      </c>
      <c r="EO165" s="9">
        <f>BD165*'MASTER SHEET'!D165</f>
        <v>44184</v>
      </c>
      <c r="EP165" s="9">
        <f>$BH165*'MASTER SHEET'!$D165</f>
        <v>44184</v>
      </c>
      <c r="EQ165" s="9">
        <f>BL165*'MASTER SHEET'!D165</f>
        <v>44184</v>
      </c>
      <c r="ER165" s="9">
        <f>BP165*'MASTER SHEET'!D165</f>
        <v>44184</v>
      </c>
      <c r="ES165" s="9">
        <f>BT165*'MASTER SHEET'!D165</f>
        <v>44184</v>
      </c>
      <c r="ET165" s="9">
        <f>BX165*'MASTER SHEET'!D165</f>
        <v>44184</v>
      </c>
      <c r="EU165" s="9">
        <f>CB165*'MASTER SHEET'!D165</f>
        <v>44184</v>
      </c>
      <c r="EV165" s="9">
        <f>CF165*'MASTER SHEET'!D165</f>
        <v>44184</v>
      </c>
      <c r="EW165" s="9">
        <f>CJ165*'MASTER SHEET'!D165</f>
        <v>44184</v>
      </c>
      <c r="EX165" s="9">
        <f>CN165*'MASTER SHEET'!D165</f>
        <v>44184</v>
      </c>
      <c r="EY165" s="9">
        <f>CR165*'MASTER SHEET'!D165</f>
        <v>44184</v>
      </c>
      <c r="EZ165" s="9">
        <f>$CV165*'MASTER SHEET'!D165</f>
        <v>44184</v>
      </c>
      <c r="FA165" s="9">
        <f>CZ165*'MASTER SHEET'!D165</f>
        <v>44184</v>
      </c>
      <c r="FB165" s="9">
        <f>DD165*'MASTER SHEET'!D165</f>
        <v>44184</v>
      </c>
      <c r="FC165" s="9">
        <f>DH165*'MASTER SHEET'!D165</f>
        <v>44184</v>
      </c>
      <c r="FD165" s="9">
        <f>DL165*'MASTER SHEET'!D165</f>
        <v>44184</v>
      </c>
      <c r="FE165" s="9">
        <f>DP165*'MASTER SHEET'!D165</f>
        <v>44184</v>
      </c>
      <c r="FF165" s="9">
        <f>DT165*'MASTER SHEET'!D165</f>
        <v>44184</v>
      </c>
      <c r="FG165" s="9">
        <f>+DX165*'MASTER SHEET'!D165</f>
        <v>44184</v>
      </c>
    </row>
    <row r="166" spans="1:163" ht="20.25" customHeight="1" x14ac:dyDescent="0.25">
      <c r="A166" s="25">
        <f>'MASTER SHEET'!A166</f>
        <v>164</v>
      </c>
      <c r="B166" s="168" t="str">
        <f>'MASTER SHEET'!B166</f>
        <v>AIR EXTRACTOR HOUSING</v>
      </c>
      <c r="C166" s="169">
        <f>'MASTER SHEET'!C166</f>
        <v>62182</v>
      </c>
      <c r="D166" s="159">
        <v>3505</v>
      </c>
      <c r="E166" s="28">
        <f>PRODUCTION!F166+'SUPLIER INWARD'!F166</f>
        <v>0</v>
      </c>
      <c r="F166" s="28"/>
      <c r="G166" s="29">
        <v>0</v>
      </c>
      <c r="H166" s="30">
        <f t="shared" si="193"/>
        <v>3505</v>
      </c>
      <c r="I166" s="28">
        <f>PRODUCTION!J166+'SUPLIER INWARD'!J166</f>
        <v>0</v>
      </c>
      <c r="J166" s="28"/>
      <c r="K166" s="29">
        <v>0</v>
      </c>
      <c r="L166" s="30">
        <f t="shared" si="194"/>
        <v>3505</v>
      </c>
      <c r="M166" s="28">
        <f>PRODUCTION!N166+'SUPLIER INWARD'!N166</f>
        <v>0</v>
      </c>
      <c r="N166" s="58"/>
      <c r="O166" s="29"/>
      <c r="P166" s="30">
        <f t="shared" si="195"/>
        <v>3505</v>
      </c>
      <c r="Q166" s="28">
        <f>PRODUCTION!R166+'SUPLIER INWARD'!R166</f>
        <v>0</v>
      </c>
      <c r="R166" s="58"/>
      <c r="S166" s="29">
        <v>0</v>
      </c>
      <c r="T166" s="30">
        <f t="shared" si="196"/>
        <v>3505</v>
      </c>
      <c r="U166" s="28">
        <f>PRODUCTION!V166+'SUPLIER INWARD'!V166</f>
        <v>0</v>
      </c>
      <c r="V166" s="58">
        <v>0</v>
      </c>
      <c r="W166" s="29">
        <v>0</v>
      </c>
      <c r="X166" s="30">
        <f t="shared" si="197"/>
        <v>3505</v>
      </c>
      <c r="Y166" s="28">
        <f>PRODUCTION!Z166+'SUPLIER INWARD'!Z166</f>
        <v>0</v>
      </c>
      <c r="Z166" s="58">
        <v>0</v>
      </c>
      <c r="AA166" s="29">
        <v>0</v>
      </c>
      <c r="AB166" s="30">
        <f t="shared" si="198"/>
        <v>3505</v>
      </c>
      <c r="AC166" s="28">
        <f>PRODUCTION!AD166+'SUPLIER INWARD'!AD166</f>
        <v>0</v>
      </c>
      <c r="AD166" s="58">
        <v>0</v>
      </c>
      <c r="AE166" s="29">
        <v>0</v>
      </c>
      <c r="AF166" s="30">
        <f t="shared" si="199"/>
        <v>3505</v>
      </c>
      <c r="AG166" s="28">
        <f>PRODUCTION!AH166+'SUPLIER INWARD'!AH166</f>
        <v>0</v>
      </c>
      <c r="AH166" s="58">
        <v>0</v>
      </c>
      <c r="AI166" s="29">
        <v>0</v>
      </c>
      <c r="AJ166" s="30">
        <f t="shared" si="200"/>
        <v>3505</v>
      </c>
      <c r="AK166" s="28">
        <f>PRODUCTION!AL166+'SUPLIER INWARD'!AL166</f>
        <v>0</v>
      </c>
      <c r="AL166" s="58">
        <v>0</v>
      </c>
      <c r="AM166" s="29">
        <v>0</v>
      </c>
      <c r="AN166" s="30">
        <f t="shared" si="201"/>
        <v>3505</v>
      </c>
      <c r="AO166" s="28">
        <f>PRODUCTION!AP166+'SUPLIER INWARD'!AP166</f>
        <v>0</v>
      </c>
      <c r="AP166" s="28"/>
      <c r="AQ166" s="29">
        <v>0</v>
      </c>
      <c r="AR166" s="30">
        <f t="shared" si="202"/>
        <v>3505</v>
      </c>
      <c r="AS166" s="28">
        <f>PRODUCTION!AT166+'SUPLIER INWARD'!AT166</f>
        <v>0</v>
      </c>
      <c r="AT166" s="28">
        <v>0</v>
      </c>
      <c r="AU166" s="29">
        <v>0</v>
      </c>
      <c r="AV166" s="30">
        <f t="shared" si="203"/>
        <v>3505</v>
      </c>
      <c r="AW166" s="28">
        <f>PRODUCTION!AX166+'SUPLIER INWARD'!AX166</f>
        <v>0</v>
      </c>
      <c r="AX166" s="28"/>
      <c r="AY166" s="29"/>
      <c r="AZ166" s="30">
        <f t="shared" si="204"/>
        <v>3505</v>
      </c>
      <c r="BA166" s="28">
        <f>PRODUCTION!BB166+'SUPLIER INWARD'!BB166</f>
        <v>0</v>
      </c>
      <c r="BB166" s="58">
        <v>0</v>
      </c>
      <c r="BC166" s="29">
        <v>0</v>
      </c>
      <c r="BD166" s="30">
        <f t="shared" si="205"/>
        <v>3505</v>
      </c>
      <c r="BE166" s="28">
        <f>PRODUCTION!BF166+'SUPLIER INWARD'!BF166</f>
        <v>0</v>
      </c>
      <c r="BF166" s="58"/>
      <c r="BG166" s="29">
        <v>0</v>
      </c>
      <c r="BH166" s="30">
        <f t="shared" si="206"/>
        <v>3505</v>
      </c>
      <c r="BI166" s="28">
        <f>PRODUCTION!BJ166+'SUPLIER INWARD'!BJ166</f>
        <v>0</v>
      </c>
      <c r="BJ166" s="58">
        <v>0</v>
      </c>
      <c r="BK166" s="29">
        <v>0</v>
      </c>
      <c r="BL166" s="30">
        <f t="shared" si="207"/>
        <v>3505</v>
      </c>
      <c r="BM166" s="28">
        <f>PRODUCTION!BN166+'SUPLIER INWARD'!BN166</f>
        <v>0</v>
      </c>
      <c r="BN166" s="58">
        <v>0</v>
      </c>
      <c r="BO166" s="29">
        <v>0</v>
      </c>
      <c r="BP166" s="30">
        <f t="shared" si="208"/>
        <v>3505</v>
      </c>
      <c r="BQ166" s="28">
        <f>PRODUCTION!BR166+'SUPLIER INWARD'!BR166</f>
        <v>0</v>
      </c>
      <c r="BR166" s="58">
        <v>0</v>
      </c>
      <c r="BS166" s="29">
        <v>0</v>
      </c>
      <c r="BT166" s="30">
        <f t="shared" si="209"/>
        <v>3505</v>
      </c>
      <c r="BU166" s="28">
        <f>PRODUCTION!BV166+'SUPLIER INWARD'!BV166</f>
        <v>0</v>
      </c>
      <c r="BV166" s="58">
        <v>0</v>
      </c>
      <c r="BW166" s="29">
        <v>0</v>
      </c>
      <c r="BX166" s="30">
        <f t="shared" si="176"/>
        <v>3505</v>
      </c>
      <c r="BY166" s="28">
        <f>PRODUCTION!BZ166+'SUPLIER INWARD'!BZ166</f>
        <v>0</v>
      </c>
      <c r="BZ166" s="58"/>
      <c r="CA166" s="29">
        <v>0</v>
      </c>
      <c r="CB166" s="30">
        <f t="shared" si="210"/>
        <v>3505</v>
      </c>
      <c r="CC166" s="28">
        <f>PRODUCTION!CD166+'SUPLIER INWARD'!CD166</f>
        <v>0</v>
      </c>
      <c r="CD166" s="58">
        <v>0</v>
      </c>
      <c r="CE166" s="29">
        <v>0</v>
      </c>
      <c r="CF166" s="30">
        <f t="shared" si="211"/>
        <v>3505</v>
      </c>
      <c r="CG166" s="28">
        <f>PRODUCTION!CH166+'SUPLIER INWARD'!CH166</f>
        <v>0</v>
      </c>
      <c r="CH166" s="58">
        <v>0</v>
      </c>
      <c r="CI166" s="29">
        <v>0</v>
      </c>
      <c r="CJ166" s="30">
        <f t="shared" si="179"/>
        <v>3505</v>
      </c>
      <c r="CK166" s="28">
        <f>PRODUCTION!CL166+'SUPLIER INWARD'!CL166</f>
        <v>0</v>
      </c>
      <c r="CL166" s="58"/>
      <c r="CM166" s="152"/>
      <c r="CN166" s="30">
        <f t="shared" si="180"/>
        <v>3505</v>
      </c>
      <c r="CO166" s="28">
        <f>PRODUCTION!CP166+'SUPLIER INWARD'!CP166</f>
        <v>0</v>
      </c>
      <c r="CP166" s="58">
        <v>0</v>
      </c>
      <c r="CQ166" s="29">
        <v>0</v>
      </c>
      <c r="CR166" s="30">
        <f t="shared" si="181"/>
        <v>3505</v>
      </c>
      <c r="CS166" s="28">
        <f>PRODUCTION!CT166+'SUPLIER INWARD'!CT166</f>
        <v>0</v>
      </c>
      <c r="CT166" s="28">
        <v>0</v>
      </c>
      <c r="CU166" s="29">
        <v>0</v>
      </c>
      <c r="CV166" s="30">
        <f t="shared" si="182"/>
        <v>3505</v>
      </c>
      <c r="CW166" s="28">
        <f>PRODUCTION!CX166+'SUPLIER INWARD'!CX166</f>
        <v>0</v>
      </c>
      <c r="CX166" s="58">
        <v>0</v>
      </c>
      <c r="CY166" s="29">
        <v>0</v>
      </c>
      <c r="CZ166" s="30">
        <f t="shared" si="212"/>
        <v>3505</v>
      </c>
      <c r="DA166" s="28">
        <f>PRODUCTION!DB166+'SUPLIER INWARD'!DB166</f>
        <v>0</v>
      </c>
      <c r="DB166" s="58"/>
      <c r="DC166" s="29"/>
      <c r="DD166" s="30">
        <f t="shared" si="213"/>
        <v>3505</v>
      </c>
      <c r="DE166" s="28">
        <f>PRODUCTION!DF166+'SUPLIER INWARD'!DF166</f>
        <v>0</v>
      </c>
      <c r="DF166" s="58">
        <v>0</v>
      </c>
      <c r="DG166" s="29">
        <v>0</v>
      </c>
      <c r="DH166" s="30">
        <f t="shared" si="214"/>
        <v>3505</v>
      </c>
      <c r="DI166" s="28">
        <f>PRODUCTION!DJ166+'SUPLIER INWARD'!DJ166</f>
        <v>0</v>
      </c>
      <c r="DJ166" s="58">
        <v>0</v>
      </c>
      <c r="DK166" s="29">
        <v>0</v>
      </c>
      <c r="DL166" s="30">
        <f t="shared" si="215"/>
        <v>3505</v>
      </c>
      <c r="DM166" s="28">
        <f>PRODUCTION!DN166+'SUPLIER INWARD'!DN166</f>
        <v>0</v>
      </c>
      <c r="DN166" s="58">
        <v>0</v>
      </c>
      <c r="DO166" s="29"/>
      <c r="DP166" s="30">
        <f t="shared" si="216"/>
        <v>3505</v>
      </c>
      <c r="DQ166" s="28">
        <f>PRODUCTION!DR166+'SUPLIER INWARD'!DR166</f>
        <v>0</v>
      </c>
      <c r="DR166" s="57"/>
      <c r="DS166" s="29"/>
      <c r="DT166" s="30">
        <f t="shared" si="217"/>
        <v>3505</v>
      </c>
      <c r="DU166" s="28">
        <f>PRODUCTION!DV166+'SUPLIER INWARD'!DV166</f>
        <v>0</v>
      </c>
      <c r="DV166" s="58"/>
      <c r="DW166" s="29"/>
      <c r="DX166" s="30">
        <f t="shared" si="218"/>
        <v>3505</v>
      </c>
      <c r="DY166" s="141">
        <f t="shared" si="192"/>
        <v>0</v>
      </c>
      <c r="DZ166" s="141">
        <f t="shared" si="190"/>
        <v>0</v>
      </c>
      <c r="EA166" s="4">
        <f t="shared" si="191"/>
        <v>0</v>
      </c>
      <c r="EB166" s="9">
        <f>D166*'MASTER SHEET'!D166</f>
        <v>59059.250000000007</v>
      </c>
      <c r="EC166" s="9">
        <f>H166*'MASTER SHEET'!D166</f>
        <v>59059.250000000007</v>
      </c>
      <c r="ED166" s="9">
        <f>L166*'MASTER SHEET'!D166</f>
        <v>59059.250000000007</v>
      </c>
      <c r="EE166" s="9">
        <f>P166*'MASTER SHEET'!D166</f>
        <v>59059.250000000007</v>
      </c>
      <c r="EF166" s="9">
        <f>T166*'MASTER SHEET'!D166</f>
        <v>59059.250000000007</v>
      </c>
      <c r="EG166" s="9">
        <f>X166*'MASTER SHEET'!D166</f>
        <v>59059.250000000007</v>
      </c>
      <c r="EH166" s="9">
        <f>AB166*'MASTER SHEET'!D166</f>
        <v>59059.250000000007</v>
      </c>
      <c r="EI166" s="9">
        <f>AF166*'MASTER SHEET'!D166</f>
        <v>59059.250000000007</v>
      </c>
      <c r="EJ166" s="9">
        <f>AJ166*'MASTER SHEET'!D166</f>
        <v>59059.250000000007</v>
      </c>
      <c r="EK166" s="9">
        <f>AN166*'MASTER SHEET'!D166</f>
        <v>59059.250000000007</v>
      </c>
      <c r="EL166" s="9">
        <f>AR166*'MASTER SHEET'!D166</f>
        <v>59059.250000000007</v>
      </c>
      <c r="EM166" s="9">
        <f>AV166*'MASTER SHEET'!D166</f>
        <v>59059.250000000007</v>
      </c>
      <c r="EN166" s="9">
        <f>AZ166*'MASTER SHEET'!D166</f>
        <v>59059.250000000007</v>
      </c>
      <c r="EO166" s="9">
        <f>BD166*'MASTER SHEET'!D166</f>
        <v>59059.250000000007</v>
      </c>
      <c r="EP166" s="9">
        <f>$BH166*'MASTER SHEET'!$D166</f>
        <v>59059.250000000007</v>
      </c>
      <c r="EQ166" s="9">
        <f>BL166*'MASTER SHEET'!D166</f>
        <v>59059.250000000007</v>
      </c>
      <c r="ER166" s="9">
        <f>BP166*'MASTER SHEET'!D166</f>
        <v>59059.250000000007</v>
      </c>
      <c r="ES166" s="9">
        <f>BT166*'MASTER SHEET'!D166</f>
        <v>59059.250000000007</v>
      </c>
      <c r="ET166" s="9">
        <f>BX166*'MASTER SHEET'!D166</f>
        <v>59059.250000000007</v>
      </c>
      <c r="EU166" s="9">
        <f>CB166*'MASTER SHEET'!D166</f>
        <v>59059.250000000007</v>
      </c>
      <c r="EV166" s="9">
        <f>CF166*'MASTER SHEET'!D166</f>
        <v>59059.250000000007</v>
      </c>
      <c r="EW166" s="9">
        <f>CJ166*'MASTER SHEET'!D166</f>
        <v>59059.250000000007</v>
      </c>
      <c r="EX166" s="9">
        <f>CN166*'MASTER SHEET'!D166</f>
        <v>59059.250000000007</v>
      </c>
      <c r="EY166" s="9">
        <f>CR166*'MASTER SHEET'!D166</f>
        <v>59059.250000000007</v>
      </c>
      <c r="EZ166" s="9">
        <f>$CV166*'MASTER SHEET'!D166</f>
        <v>59059.250000000007</v>
      </c>
      <c r="FA166" s="9">
        <f>CZ166*'MASTER SHEET'!D166</f>
        <v>59059.250000000007</v>
      </c>
      <c r="FB166" s="9">
        <f>DD166*'MASTER SHEET'!D166</f>
        <v>59059.250000000007</v>
      </c>
      <c r="FC166" s="9">
        <f>DH166*'MASTER SHEET'!D166</f>
        <v>59059.250000000007</v>
      </c>
      <c r="FD166" s="9">
        <f>DL166*'MASTER SHEET'!D166</f>
        <v>59059.250000000007</v>
      </c>
      <c r="FE166" s="9">
        <f>DP166*'MASTER SHEET'!D166</f>
        <v>59059.250000000007</v>
      </c>
      <c r="FF166" s="9">
        <f>DT166*'MASTER SHEET'!D166</f>
        <v>59059.250000000007</v>
      </c>
      <c r="FG166" s="9">
        <f>+DX166*'MASTER SHEET'!D166</f>
        <v>59059.250000000007</v>
      </c>
    </row>
    <row r="167" spans="1:163" ht="20.25" customHeight="1" x14ac:dyDescent="0.25">
      <c r="A167" s="25">
        <f>'MASTER SHEET'!A167</f>
        <v>165</v>
      </c>
      <c r="B167" s="168" t="str">
        <f>'MASTER SHEET'!B167</f>
        <v>GROMMET ASSY.</v>
      </c>
      <c r="C167" s="169">
        <f>'MASTER SHEET'!C167</f>
        <v>626778</v>
      </c>
      <c r="D167" s="159">
        <v>2553</v>
      </c>
      <c r="E167" s="28">
        <f>PRODUCTION!F167+'SUPLIER INWARD'!F167</f>
        <v>0</v>
      </c>
      <c r="F167" s="28"/>
      <c r="G167" s="29">
        <v>0</v>
      </c>
      <c r="H167" s="30">
        <f t="shared" si="193"/>
        <v>2553</v>
      </c>
      <c r="I167" s="28">
        <f>PRODUCTION!J167+'SUPLIER INWARD'!J167</f>
        <v>0</v>
      </c>
      <c r="J167" s="28"/>
      <c r="K167" s="29">
        <v>0</v>
      </c>
      <c r="L167" s="30">
        <f t="shared" si="194"/>
        <v>2553</v>
      </c>
      <c r="M167" s="28">
        <f>PRODUCTION!N167+'SUPLIER INWARD'!N167</f>
        <v>0</v>
      </c>
      <c r="N167" s="58"/>
      <c r="O167" s="29"/>
      <c r="P167" s="30">
        <f t="shared" si="195"/>
        <v>2553</v>
      </c>
      <c r="Q167" s="28">
        <f>PRODUCTION!R167+'SUPLIER INWARD'!R167</f>
        <v>0</v>
      </c>
      <c r="R167" s="58"/>
      <c r="S167" s="29">
        <v>0</v>
      </c>
      <c r="T167" s="30">
        <f t="shared" si="196"/>
        <v>2553</v>
      </c>
      <c r="U167" s="28">
        <f>PRODUCTION!V167+'SUPLIER INWARD'!V167</f>
        <v>0</v>
      </c>
      <c r="V167" s="58">
        <v>0</v>
      </c>
      <c r="W167" s="29">
        <v>0</v>
      </c>
      <c r="X167" s="30">
        <f t="shared" si="197"/>
        <v>2553</v>
      </c>
      <c r="Y167" s="28">
        <f>PRODUCTION!Z167+'SUPLIER INWARD'!Z167</f>
        <v>0</v>
      </c>
      <c r="Z167" s="58">
        <v>0</v>
      </c>
      <c r="AA167" s="29">
        <v>0</v>
      </c>
      <c r="AB167" s="30">
        <f t="shared" si="198"/>
        <v>2553</v>
      </c>
      <c r="AC167" s="28">
        <f>PRODUCTION!AD167+'SUPLIER INWARD'!AD167</f>
        <v>0</v>
      </c>
      <c r="AD167" s="58">
        <v>0</v>
      </c>
      <c r="AE167" s="29">
        <v>0</v>
      </c>
      <c r="AF167" s="30">
        <f t="shared" si="199"/>
        <v>2553</v>
      </c>
      <c r="AG167" s="28">
        <f>PRODUCTION!AH167+'SUPLIER INWARD'!AH167</f>
        <v>0</v>
      </c>
      <c r="AH167" s="58">
        <v>0</v>
      </c>
      <c r="AI167" s="29">
        <v>0</v>
      </c>
      <c r="AJ167" s="30">
        <f t="shared" si="200"/>
        <v>2553</v>
      </c>
      <c r="AK167" s="28">
        <f>PRODUCTION!AL167+'SUPLIER INWARD'!AL167</f>
        <v>0</v>
      </c>
      <c r="AL167" s="58">
        <v>0</v>
      </c>
      <c r="AM167" s="29">
        <v>0</v>
      </c>
      <c r="AN167" s="30">
        <f t="shared" si="201"/>
        <v>2553</v>
      </c>
      <c r="AO167" s="28">
        <f>PRODUCTION!AP167+'SUPLIER INWARD'!AP167</f>
        <v>0</v>
      </c>
      <c r="AP167" s="28"/>
      <c r="AQ167" s="29">
        <v>0</v>
      </c>
      <c r="AR167" s="30">
        <f t="shared" si="202"/>
        <v>2553</v>
      </c>
      <c r="AS167" s="28">
        <f>PRODUCTION!AT167+'SUPLIER INWARD'!AT167</f>
        <v>0</v>
      </c>
      <c r="AT167" s="28">
        <v>0</v>
      </c>
      <c r="AU167" s="29">
        <v>0</v>
      </c>
      <c r="AV167" s="30">
        <f t="shared" si="203"/>
        <v>2553</v>
      </c>
      <c r="AW167" s="28">
        <f>PRODUCTION!AX167+'SUPLIER INWARD'!AX167</f>
        <v>0</v>
      </c>
      <c r="AX167" s="28"/>
      <c r="AY167" s="29"/>
      <c r="AZ167" s="30">
        <f t="shared" si="204"/>
        <v>2553</v>
      </c>
      <c r="BA167" s="28">
        <f>PRODUCTION!BB167+'SUPLIER INWARD'!BB167</f>
        <v>0</v>
      </c>
      <c r="BB167" s="58">
        <v>0</v>
      </c>
      <c r="BC167" s="29">
        <v>0</v>
      </c>
      <c r="BD167" s="30">
        <f t="shared" si="205"/>
        <v>2553</v>
      </c>
      <c r="BE167" s="28">
        <f>PRODUCTION!BF167+'SUPLIER INWARD'!BF167</f>
        <v>0</v>
      </c>
      <c r="BF167" s="58"/>
      <c r="BG167" s="29">
        <v>0</v>
      </c>
      <c r="BH167" s="30">
        <f t="shared" si="206"/>
        <v>2553</v>
      </c>
      <c r="BI167" s="28">
        <f>PRODUCTION!BJ167+'SUPLIER INWARD'!BJ167</f>
        <v>0</v>
      </c>
      <c r="BJ167" s="58">
        <v>0</v>
      </c>
      <c r="BK167" s="29">
        <v>0</v>
      </c>
      <c r="BL167" s="30">
        <f t="shared" si="207"/>
        <v>2553</v>
      </c>
      <c r="BM167" s="28">
        <f>PRODUCTION!BN167+'SUPLIER INWARD'!BN167</f>
        <v>0</v>
      </c>
      <c r="BN167" s="58">
        <v>0</v>
      </c>
      <c r="BO167" s="29">
        <v>0</v>
      </c>
      <c r="BP167" s="30">
        <f t="shared" si="208"/>
        <v>2553</v>
      </c>
      <c r="BQ167" s="28">
        <f>PRODUCTION!BR167+'SUPLIER INWARD'!BR167</f>
        <v>0</v>
      </c>
      <c r="BR167" s="58">
        <v>0</v>
      </c>
      <c r="BS167" s="29">
        <v>0</v>
      </c>
      <c r="BT167" s="30">
        <f t="shared" si="209"/>
        <v>2553</v>
      </c>
      <c r="BU167" s="28">
        <f>PRODUCTION!BV167+'SUPLIER INWARD'!BV167</f>
        <v>0</v>
      </c>
      <c r="BV167" s="58">
        <v>0</v>
      </c>
      <c r="BW167" s="29">
        <v>0</v>
      </c>
      <c r="BX167" s="30">
        <f t="shared" si="176"/>
        <v>2553</v>
      </c>
      <c r="BY167" s="28">
        <f>PRODUCTION!BZ167+'SUPLIER INWARD'!BZ167</f>
        <v>0</v>
      </c>
      <c r="BZ167" s="58"/>
      <c r="CA167" s="29">
        <v>0</v>
      </c>
      <c r="CB167" s="30">
        <f t="shared" si="210"/>
        <v>2553</v>
      </c>
      <c r="CC167" s="28">
        <f>PRODUCTION!CD167+'SUPLIER INWARD'!CD167</f>
        <v>0</v>
      </c>
      <c r="CD167" s="58">
        <v>0</v>
      </c>
      <c r="CE167" s="29">
        <v>0</v>
      </c>
      <c r="CF167" s="30">
        <f t="shared" si="211"/>
        <v>2553</v>
      </c>
      <c r="CG167" s="28">
        <f>PRODUCTION!CH167+'SUPLIER INWARD'!CH167</f>
        <v>0</v>
      </c>
      <c r="CH167" s="58">
        <v>0</v>
      </c>
      <c r="CI167" s="29">
        <v>0</v>
      </c>
      <c r="CJ167" s="30">
        <f t="shared" si="179"/>
        <v>2553</v>
      </c>
      <c r="CK167" s="28">
        <f>PRODUCTION!CL167+'SUPLIER INWARD'!CL167</f>
        <v>0</v>
      </c>
      <c r="CL167" s="58"/>
      <c r="CM167" s="152"/>
      <c r="CN167" s="30">
        <f t="shared" si="180"/>
        <v>2553</v>
      </c>
      <c r="CO167" s="28">
        <f>PRODUCTION!CP167+'SUPLIER INWARD'!CP167</f>
        <v>0</v>
      </c>
      <c r="CP167" s="58">
        <v>0</v>
      </c>
      <c r="CQ167" s="29">
        <v>0</v>
      </c>
      <c r="CR167" s="30">
        <f t="shared" si="181"/>
        <v>2553</v>
      </c>
      <c r="CS167" s="28">
        <f>PRODUCTION!CT167+'SUPLIER INWARD'!CT167</f>
        <v>0</v>
      </c>
      <c r="CT167" s="28">
        <v>0</v>
      </c>
      <c r="CU167" s="29">
        <v>0</v>
      </c>
      <c r="CV167" s="30">
        <f t="shared" si="182"/>
        <v>2553</v>
      </c>
      <c r="CW167" s="28">
        <f>PRODUCTION!CX167+'SUPLIER INWARD'!CX167</f>
        <v>0</v>
      </c>
      <c r="CX167" s="58">
        <v>0</v>
      </c>
      <c r="CY167" s="29">
        <v>0</v>
      </c>
      <c r="CZ167" s="30">
        <f t="shared" si="212"/>
        <v>2553</v>
      </c>
      <c r="DA167" s="28">
        <f>PRODUCTION!DB167+'SUPLIER INWARD'!DB167</f>
        <v>0</v>
      </c>
      <c r="DB167" s="58"/>
      <c r="DC167" s="29"/>
      <c r="DD167" s="30">
        <f t="shared" si="213"/>
        <v>2553</v>
      </c>
      <c r="DE167" s="28">
        <f>PRODUCTION!DF167+'SUPLIER INWARD'!DF167</f>
        <v>0</v>
      </c>
      <c r="DF167" s="58">
        <v>0</v>
      </c>
      <c r="DG167" s="29">
        <v>0</v>
      </c>
      <c r="DH167" s="30">
        <f t="shared" si="214"/>
        <v>2553</v>
      </c>
      <c r="DI167" s="28">
        <f>PRODUCTION!DJ167+'SUPLIER INWARD'!DJ167</f>
        <v>0</v>
      </c>
      <c r="DJ167" s="58">
        <v>0</v>
      </c>
      <c r="DK167" s="29">
        <v>0</v>
      </c>
      <c r="DL167" s="30">
        <f t="shared" si="215"/>
        <v>2553</v>
      </c>
      <c r="DM167" s="28">
        <f>PRODUCTION!DN167+'SUPLIER INWARD'!DN167</f>
        <v>0</v>
      </c>
      <c r="DN167" s="58">
        <v>0</v>
      </c>
      <c r="DO167" s="29"/>
      <c r="DP167" s="30">
        <f t="shared" si="216"/>
        <v>2553</v>
      </c>
      <c r="DQ167" s="28">
        <f>PRODUCTION!DR167+'SUPLIER INWARD'!DR167</f>
        <v>0</v>
      </c>
      <c r="DR167" s="57"/>
      <c r="DS167" s="29"/>
      <c r="DT167" s="30">
        <f t="shared" si="217"/>
        <v>2553</v>
      </c>
      <c r="DU167" s="28">
        <f>PRODUCTION!DV167+'SUPLIER INWARD'!DV167</f>
        <v>0</v>
      </c>
      <c r="DV167" s="58"/>
      <c r="DW167" s="29"/>
      <c r="DX167" s="30">
        <f t="shared" si="218"/>
        <v>2553</v>
      </c>
      <c r="DY167" s="141">
        <f t="shared" si="192"/>
        <v>0</v>
      </c>
      <c r="DZ167" s="141">
        <f t="shared" si="190"/>
        <v>0</v>
      </c>
      <c r="EA167" s="4">
        <f t="shared" si="191"/>
        <v>0</v>
      </c>
      <c r="EB167" s="9">
        <f>D167*'MASTER SHEET'!D167</f>
        <v>4314.57</v>
      </c>
      <c r="EC167" s="9">
        <f>H167*'MASTER SHEET'!D167</f>
        <v>4314.57</v>
      </c>
      <c r="ED167" s="9">
        <f>L167*'MASTER SHEET'!D167</f>
        <v>4314.57</v>
      </c>
      <c r="EE167" s="9">
        <f>P167*'MASTER SHEET'!D167</f>
        <v>4314.57</v>
      </c>
      <c r="EF167" s="9">
        <f>T167*'MASTER SHEET'!D167</f>
        <v>4314.57</v>
      </c>
      <c r="EG167" s="9">
        <f>X167*'MASTER SHEET'!D167</f>
        <v>4314.57</v>
      </c>
      <c r="EH167" s="9">
        <f>AB167*'MASTER SHEET'!D167</f>
        <v>4314.57</v>
      </c>
      <c r="EI167" s="9">
        <f>AF167*'MASTER SHEET'!D167</f>
        <v>4314.57</v>
      </c>
      <c r="EJ167" s="9">
        <f>AJ167*'MASTER SHEET'!D167</f>
        <v>4314.57</v>
      </c>
      <c r="EK167" s="9">
        <f>AN167*'MASTER SHEET'!D167</f>
        <v>4314.57</v>
      </c>
      <c r="EL167" s="9">
        <f>AR167*'MASTER SHEET'!D167</f>
        <v>4314.57</v>
      </c>
      <c r="EM167" s="9">
        <f>AV167*'MASTER SHEET'!D167</f>
        <v>4314.57</v>
      </c>
      <c r="EN167" s="9">
        <f>AZ167*'MASTER SHEET'!D167</f>
        <v>4314.57</v>
      </c>
      <c r="EO167" s="9">
        <f>BD167*'MASTER SHEET'!D167</f>
        <v>4314.57</v>
      </c>
      <c r="EP167" s="9">
        <f>$BH167*'MASTER SHEET'!$D167</f>
        <v>4314.57</v>
      </c>
      <c r="EQ167" s="9">
        <f>BL167*'MASTER SHEET'!D167</f>
        <v>4314.57</v>
      </c>
      <c r="ER167" s="9">
        <f>BP167*'MASTER SHEET'!D167</f>
        <v>4314.57</v>
      </c>
      <c r="ES167" s="9">
        <f>BT167*'MASTER SHEET'!D167</f>
        <v>4314.57</v>
      </c>
      <c r="ET167" s="9">
        <f>BX167*'MASTER SHEET'!D167</f>
        <v>4314.57</v>
      </c>
      <c r="EU167" s="9">
        <f>CB167*'MASTER SHEET'!D167</f>
        <v>4314.57</v>
      </c>
      <c r="EV167" s="9">
        <f>CF167*'MASTER SHEET'!D167</f>
        <v>4314.57</v>
      </c>
      <c r="EW167" s="9">
        <f>CJ167*'MASTER SHEET'!D167</f>
        <v>4314.57</v>
      </c>
      <c r="EX167" s="9">
        <f>CN167*'MASTER SHEET'!D167</f>
        <v>4314.57</v>
      </c>
      <c r="EY167" s="9">
        <f>CR167*'MASTER SHEET'!D167</f>
        <v>4314.57</v>
      </c>
      <c r="EZ167" s="9">
        <f>$CV167*'MASTER SHEET'!D167</f>
        <v>4314.57</v>
      </c>
      <c r="FA167" s="9">
        <f>CZ167*'MASTER SHEET'!D167</f>
        <v>4314.57</v>
      </c>
      <c r="FB167" s="9">
        <f>DD167*'MASTER SHEET'!D167</f>
        <v>4314.57</v>
      </c>
      <c r="FC167" s="9">
        <f>DH167*'MASTER SHEET'!D167</f>
        <v>4314.57</v>
      </c>
      <c r="FD167" s="9">
        <f>DL167*'MASTER SHEET'!D167</f>
        <v>4314.57</v>
      </c>
      <c r="FE167" s="9">
        <f>DP167*'MASTER SHEET'!D167</f>
        <v>4314.57</v>
      </c>
      <c r="FF167" s="9">
        <f>DT167*'MASTER SHEET'!D167</f>
        <v>4314.57</v>
      </c>
      <c r="FG167" s="9">
        <f>+DX167*'MASTER SHEET'!D167</f>
        <v>4314.57</v>
      </c>
    </row>
    <row r="168" spans="1:163" ht="20.25" customHeight="1" x14ac:dyDescent="0.25">
      <c r="A168" s="25">
        <f>'MASTER SHEET'!A168</f>
        <v>166</v>
      </c>
      <c r="B168" s="168" t="str">
        <f>'MASTER SHEET'!B168</f>
        <v>PIVOT PIN LH</v>
      </c>
      <c r="C168" s="169" t="str">
        <f>'MASTER SHEET'!C168</f>
        <v>BB00006046</v>
      </c>
      <c r="D168" s="159">
        <v>171</v>
      </c>
      <c r="E168" s="28">
        <f>PRODUCTION!F168+'SUPLIER INWARD'!F168</f>
        <v>0</v>
      </c>
      <c r="F168" s="28"/>
      <c r="G168" s="29">
        <v>0</v>
      </c>
      <c r="H168" s="30">
        <f t="shared" si="193"/>
        <v>171</v>
      </c>
      <c r="I168" s="28">
        <f>PRODUCTION!J168+'SUPLIER INWARD'!J168</f>
        <v>0</v>
      </c>
      <c r="J168" s="28"/>
      <c r="K168" s="29">
        <v>0</v>
      </c>
      <c r="L168" s="30">
        <f t="shared" si="194"/>
        <v>171</v>
      </c>
      <c r="M168" s="28">
        <f>PRODUCTION!N168+'SUPLIER INWARD'!N168</f>
        <v>0</v>
      </c>
      <c r="N168" s="58"/>
      <c r="O168" s="29"/>
      <c r="P168" s="30">
        <f t="shared" si="195"/>
        <v>171</v>
      </c>
      <c r="Q168" s="28">
        <f>PRODUCTION!R168+'SUPLIER INWARD'!R168</f>
        <v>0</v>
      </c>
      <c r="R168" s="58"/>
      <c r="S168" s="29">
        <v>0</v>
      </c>
      <c r="T168" s="30">
        <f t="shared" si="196"/>
        <v>171</v>
      </c>
      <c r="U168" s="28">
        <f>PRODUCTION!V168+'SUPLIER INWARD'!V168</f>
        <v>0</v>
      </c>
      <c r="V168" s="58">
        <v>0</v>
      </c>
      <c r="W168" s="29">
        <v>0</v>
      </c>
      <c r="X168" s="30">
        <f t="shared" si="197"/>
        <v>171</v>
      </c>
      <c r="Y168" s="28">
        <f>PRODUCTION!Z168+'SUPLIER INWARD'!Z168</f>
        <v>0</v>
      </c>
      <c r="Z168" s="58">
        <v>0</v>
      </c>
      <c r="AA168" s="29">
        <v>0</v>
      </c>
      <c r="AB168" s="30">
        <f t="shared" si="198"/>
        <v>171</v>
      </c>
      <c r="AC168" s="28">
        <f>PRODUCTION!AD168+'SUPLIER INWARD'!AD168</f>
        <v>0</v>
      </c>
      <c r="AD168" s="58">
        <v>0</v>
      </c>
      <c r="AE168" s="29">
        <v>0</v>
      </c>
      <c r="AF168" s="30">
        <f t="shared" si="199"/>
        <v>171</v>
      </c>
      <c r="AG168" s="28">
        <f>PRODUCTION!AH168+'SUPLIER INWARD'!AH168</f>
        <v>0</v>
      </c>
      <c r="AH168" s="58">
        <v>0</v>
      </c>
      <c r="AI168" s="29">
        <v>0</v>
      </c>
      <c r="AJ168" s="30">
        <f t="shared" si="200"/>
        <v>171</v>
      </c>
      <c r="AK168" s="28">
        <f>PRODUCTION!AL168+'SUPLIER INWARD'!AL168</f>
        <v>0</v>
      </c>
      <c r="AL168" s="58">
        <v>0</v>
      </c>
      <c r="AM168" s="29">
        <v>0</v>
      </c>
      <c r="AN168" s="30">
        <f t="shared" si="201"/>
        <v>171</v>
      </c>
      <c r="AO168" s="28">
        <f>PRODUCTION!AP168+'SUPLIER INWARD'!AP168</f>
        <v>0</v>
      </c>
      <c r="AP168" s="28"/>
      <c r="AQ168" s="29">
        <v>0</v>
      </c>
      <c r="AR168" s="30">
        <f t="shared" si="202"/>
        <v>171</v>
      </c>
      <c r="AS168" s="28">
        <f>PRODUCTION!AT168+'SUPLIER INWARD'!AT168</f>
        <v>0</v>
      </c>
      <c r="AT168" s="28">
        <v>0</v>
      </c>
      <c r="AU168" s="29">
        <v>0</v>
      </c>
      <c r="AV168" s="30">
        <f t="shared" si="203"/>
        <v>171</v>
      </c>
      <c r="AW168" s="28">
        <f>PRODUCTION!AX168+'SUPLIER INWARD'!AX168</f>
        <v>0</v>
      </c>
      <c r="AX168" s="28"/>
      <c r="AY168" s="29"/>
      <c r="AZ168" s="30">
        <f t="shared" si="204"/>
        <v>171</v>
      </c>
      <c r="BA168" s="28">
        <f>PRODUCTION!BB168+'SUPLIER INWARD'!BB168</f>
        <v>0</v>
      </c>
      <c r="BB168" s="58">
        <v>0</v>
      </c>
      <c r="BC168" s="29">
        <v>0</v>
      </c>
      <c r="BD168" s="30">
        <f t="shared" si="205"/>
        <v>171</v>
      </c>
      <c r="BE168" s="28">
        <f>PRODUCTION!BF168+'SUPLIER INWARD'!BF168</f>
        <v>0</v>
      </c>
      <c r="BF168" s="58"/>
      <c r="BG168" s="29">
        <v>0</v>
      </c>
      <c r="BH168" s="30">
        <f t="shared" si="206"/>
        <v>171</v>
      </c>
      <c r="BI168" s="28">
        <f>PRODUCTION!BJ168+'SUPLIER INWARD'!BJ168</f>
        <v>0</v>
      </c>
      <c r="BJ168" s="58">
        <v>0</v>
      </c>
      <c r="BK168" s="29">
        <v>0</v>
      </c>
      <c r="BL168" s="30">
        <f t="shared" si="207"/>
        <v>171</v>
      </c>
      <c r="BM168" s="28">
        <f>PRODUCTION!BN168+'SUPLIER INWARD'!BN168</f>
        <v>0</v>
      </c>
      <c r="BN168" s="58">
        <v>0</v>
      </c>
      <c r="BO168" s="29">
        <v>0</v>
      </c>
      <c r="BP168" s="30">
        <f t="shared" si="208"/>
        <v>171</v>
      </c>
      <c r="BQ168" s="28">
        <f>PRODUCTION!BR168+'SUPLIER INWARD'!BR168</f>
        <v>0</v>
      </c>
      <c r="BR168" s="58">
        <v>0</v>
      </c>
      <c r="BS168" s="29">
        <v>0</v>
      </c>
      <c r="BT168" s="30">
        <f t="shared" si="209"/>
        <v>171</v>
      </c>
      <c r="BU168" s="28">
        <f>PRODUCTION!BV168+'SUPLIER INWARD'!BV168</f>
        <v>0</v>
      </c>
      <c r="BV168" s="58">
        <v>0</v>
      </c>
      <c r="BW168" s="29">
        <v>0</v>
      </c>
      <c r="BX168" s="30">
        <f t="shared" si="176"/>
        <v>171</v>
      </c>
      <c r="BY168" s="28">
        <f>PRODUCTION!BZ168+'SUPLIER INWARD'!BZ168</f>
        <v>0</v>
      </c>
      <c r="BZ168" s="58"/>
      <c r="CA168" s="29">
        <v>0</v>
      </c>
      <c r="CB168" s="30">
        <f t="shared" si="210"/>
        <v>171</v>
      </c>
      <c r="CC168" s="28">
        <f>PRODUCTION!CD168+'SUPLIER INWARD'!CD168</f>
        <v>0</v>
      </c>
      <c r="CD168" s="58">
        <v>0</v>
      </c>
      <c r="CE168" s="29">
        <v>0</v>
      </c>
      <c r="CF168" s="30">
        <f t="shared" si="211"/>
        <v>171</v>
      </c>
      <c r="CG168" s="28">
        <f>PRODUCTION!CH168+'SUPLIER INWARD'!CH168</f>
        <v>0</v>
      </c>
      <c r="CH168" s="58">
        <v>0</v>
      </c>
      <c r="CI168" s="29">
        <v>0</v>
      </c>
      <c r="CJ168" s="30">
        <f t="shared" si="179"/>
        <v>171</v>
      </c>
      <c r="CK168" s="28">
        <f>PRODUCTION!CL168+'SUPLIER INWARD'!CL168</f>
        <v>0</v>
      </c>
      <c r="CL168" s="58"/>
      <c r="CM168" s="152"/>
      <c r="CN168" s="30">
        <f t="shared" si="180"/>
        <v>171</v>
      </c>
      <c r="CO168" s="28">
        <f>PRODUCTION!CP168+'SUPLIER INWARD'!CP168</f>
        <v>0</v>
      </c>
      <c r="CP168" s="58">
        <v>0</v>
      </c>
      <c r="CQ168" s="29">
        <v>0</v>
      </c>
      <c r="CR168" s="30">
        <f t="shared" si="181"/>
        <v>171</v>
      </c>
      <c r="CS168" s="28">
        <f>PRODUCTION!CT168+'SUPLIER INWARD'!CT168</f>
        <v>0</v>
      </c>
      <c r="CT168" s="28">
        <v>0</v>
      </c>
      <c r="CU168" s="29">
        <v>0</v>
      </c>
      <c r="CV168" s="30">
        <f t="shared" si="182"/>
        <v>171</v>
      </c>
      <c r="CW168" s="28">
        <f>PRODUCTION!CX168+'SUPLIER INWARD'!CX168</f>
        <v>0</v>
      </c>
      <c r="CX168" s="58">
        <v>0</v>
      </c>
      <c r="CY168" s="29">
        <v>0</v>
      </c>
      <c r="CZ168" s="30">
        <f t="shared" si="212"/>
        <v>171</v>
      </c>
      <c r="DA168" s="28">
        <f>PRODUCTION!DB168+'SUPLIER INWARD'!DB168</f>
        <v>0</v>
      </c>
      <c r="DB168" s="58"/>
      <c r="DC168" s="29"/>
      <c r="DD168" s="30">
        <f t="shared" si="213"/>
        <v>171</v>
      </c>
      <c r="DE168" s="28">
        <f>PRODUCTION!DF168+'SUPLIER INWARD'!DF168</f>
        <v>0</v>
      </c>
      <c r="DF168" s="58">
        <v>0</v>
      </c>
      <c r="DG168" s="29">
        <v>0</v>
      </c>
      <c r="DH168" s="30">
        <f t="shared" si="214"/>
        <v>171</v>
      </c>
      <c r="DI168" s="28">
        <f>PRODUCTION!DJ168+'SUPLIER INWARD'!DJ168</f>
        <v>0</v>
      </c>
      <c r="DJ168" s="58">
        <v>0</v>
      </c>
      <c r="DK168" s="29">
        <v>0</v>
      </c>
      <c r="DL168" s="30">
        <f t="shared" si="215"/>
        <v>171</v>
      </c>
      <c r="DM168" s="28">
        <f>PRODUCTION!DN168+'SUPLIER INWARD'!DN168</f>
        <v>0</v>
      </c>
      <c r="DN168" s="58">
        <v>0</v>
      </c>
      <c r="DO168" s="29"/>
      <c r="DP168" s="30">
        <f t="shared" si="216"/>
        <v>171</v>
      </c>
      <c r="DQ168" s="28">
        <f>PRODUCTION!DR168+'SUPLIER INWARD'!DR168</f>
        <v>0</v>
      </c>
      <c r="DR168" s="57"/>
      <c r="DS168" s="29"/>
      <c r="DT168" s="30">
        <f t="shared" si="217"/>
        <v>171</v>
      </c>
      <c r="DU168" s="28">
        <f>PRODUCTION!DV168+'SUPLIER INWARD'!DV168</f>
        <v>0</v>
      </c>
      <c r="DV168" s="58"/>
      <c r="DW168" s="29"/>
      <c r="DX168" s="30">
        <f t="shared" si="218"/>
        <v>171</v>
      </c>
      <c r="DY168" s="141">
        <f t="shared" si="192"/>
        <v>0</v>
      </c>
      <c r="DZ168" s="141">
        <f t="shared" si="190"/>
        <v>0</v>
      </c>
      <c r="EA168" s="4">
        <f t="shared" si="191"/>
        <v>0</v>
      </c>
      <c r="EB168" s="9">
        <f>D168*'MASTER SHEET'!D168</f>
        <v>766.08</v>
      </c>
      <c r="EC168" s="9">
        <f>H168*'MASTER SHEET'!D168</f>
        <v>766.08</v>
      </c>
      <c r="ED168" s="9">
        <f>L168*'MASTER SHEET'!D168</f>
        <v>766.08</v>
      </c>
      <c r="EE168" s="9">
        <f>P168*'MASTER SHEET'!D168</f>
        <v>766.08</v>
      </c>
      <c r="EF168" s="9">
        <f>T168*'MASTER SHEET'!D168</f>
        <v>766.08</v>
      </c>
      <c r="EG168" s="9">
        <f>X168*'MASTER SHEET'!D168</f>
        <v>766.08</v>
      </c>
      <c r="EH168" s="9">
        <f>AB168*'MASTER SHEET'!D168</f>
        <v>766.08</v>
      </c>
      <c r="EI168" s="9">
        <f>AF168*'MASTER SHEET'!D168</f>
        <v>766.08</v>
      </c>
      <c r="EJ168" s="9">
        <f>AJ168*'MASTER SHEET'!D168</f>
        <v>766.08</v>
      </c>
      <c r="EK168" s="9">
        <f>AN168*'MASTER SHEET'!D168</f>
        <v>766.08</v>
      </c>
      <c r="EL168" s="9">
        <f>AR168*'MASTER SHEET'!D168</f>
        <v>766.08</v>
      </c>
      <c r="EM168" s="9">
        <f>AV168*'MASTER SHEET'!D168</f>
        <v>766.08</v>
      </c>
      <c r="EN168" s="9">
        <f>AZ168*'MASTER SHEET'!D168</f>
        <v>766.08</v>
      </c>
      <c r="EO168" s="9">
        <f>BD168*'MASTER SHEET'!D168</f>
        <v>766.08</v>
      </c>
      <c r="EP168" s="9">
        <f>$BH168*'MASTER SHEET'!$D168</f>
        <v>766.08</v>
      </c>
      <c r="EQ168" s="9">
        <f>BL168*'MASTER SHEET'!D168</f>
        <v>766.08</v>
      </c>
      <c r="ER168" s="9">
        <f>BP168*'MASTER SHEET'!D168</f>
        <v>766.08</v>
      </c>
      <c r="ES168" s="9">
        <f>BT168*'MASTER SHEET'!D168</f>
        <v>766.08</v>
      </c>
      <c r="ET168" s="9">
        <f>BX168*'MASTER SHEET'!D168</f>
        <v>766.08</v>
      </c>
      <c r="EU168" s="9">
        <f>CB168*'MASTER SHEET'!D168</f>
        <v>766.08</v>
      </c>
      <c r="EV168" s="9">
        <f>CF168*'MASTER SHEET'!D168</f>
        <v>766.08</v>
      </c>
      <c r="EW168" s="9">
        <f>CJ168*'MASTER SHEET'!D168</f>
        <v>766.08</v>
      </c>
      <c r="EX168" s="9">
        <f>CN168*'MASTER SHEET'!D168</f>
        <v>766.08</v>
      </c>
      <c r="EY168" s="9">
        <f>CR168*'MASTER SHEET'!D168</f>
        <v>766.08</v>
      </c>
      <c r="EZ168" s="9">
        <f>$CV168*'MASTER SHEET'!D168</f>
        <v>766.08</v>
      </c>
      <c r="FA168" s="9">
        <f>CZ168*'MASTER SHEET'!D168</f>
        <v>766.08</v>
      </c>
      <c r="FB168" s="9">
        <f>DD168*'MASTER SHEET'!D168</f>
        <v>766.08</v>
      </c>
      <c r="FC168" s="9">
        <f>DH168*'MASTER SHEET'!D168</f>
        <v>766.08</v>
      </c>
      <c r="FD168" s="9">
        <f>DL168*'MASTER SHEET'!D168</f>
        <v>766.08</v>
      </c>
      <c r="FE168" s="9">
        <f>DP168*'MASTER SHEET'!D168</f>
        <v>766.08</v>
      </c>
      <c r="FF168" s="9">
        <f>DT168*'MASTER SHEET'!D168</f>
        <v>766.08</v>
      </c>
      <c r="FG168" s="9">
        <f>+DX168*'MASTER SHEET'!D168</f>
        <v>766.08</v>
      </c>
    </row>
    <row r="169" spans="1:163" ht="20.25" customHeight="1" x14ac:dyDescent="0.25">
      <c r="A169" s="25">
        <f>'MASTER SHEET'!A169</f>
        <v>167</v>
      </c>
      <c r="B169" s="168" t="str">
        <f>'MASTER SHEET'!B169</f>
        <v>PIVOT PIN RH</v>
      </c>
      <c r="C169" s="169" t="str">
        <f>'MASTER SHEET'!C169</f>
        <v>BC00006047</v>
      </c>
      <c r="D169" s="159">
        <v>168</v>
      </c>
      <c r="E169" s="28">
        <f>PRODUCTION!F169+'SUPLIER INWARD'!F169</f>
        <v>0</v>
      </c>
      <c r="F169" s="28"/>
      <c r="G169" s="29">
        <v>0</v>
      </c>
      <c r="H169" s="30">
        <f t="shared" si="193"/>
        <v>168</v>
      </c>
      <c r="I169" s="28">
        <f>PRODUCTION!J169+'SUPLIER INWARD'!J169</f>
        <v>0</v>
      </c>
      <c r="J169" s="28"/>
      <c r="K169" s="29">
        <v>0</v>
      </c>
      <c r="L169" s="30">
        <f t="shared" si="194"/>
        <v>168</v>
      </c>
      <c r="M169" s="28">
        <f>PRODUCTION!N169+'SUPLIER INWARD'!N169</f>
        <v>0</v>
      </c>
      <c r="N169" s="58"/>
      <c r="O169" s="29"/>
      <c r="P169" s="30">
        <f t="shared" si="195"/>
        <v>168</v>
      </c>
      <c r="Q169" s="28">
        <f>PRODUCTION!R169+'SUPLIER INWARD'!R169</f>
        <v>0</v>
      </c>
      <c r="R169" s="58"/>
      <c r="S169" s="29">
        <v>0</v>
      </c>
      <c r="T169" s="30">
        <f t="shared" si="196"/>
        <v>168</v>
      </c>
      <c r="U169" s="28">
        <f>PRODUCTION!V169+'SUPLIER INWARD'!V169</f>
        <v>0</v>
      </c>
      <c r="V169" s="58">
        <v>0</v>
      </c>
      <c r="W169" s="29">
        <v>0</v>
      </c>
      <c r="X169" s="30">
        <f t="shared" si="197"/>
        <v>168</v>
      </c>
      <c r="Y169" s="28">
        <f>PRODUCTION!Z169+'SUPLIER INWARD'!Z169</f>
        <v>0</v>
      </c>
      <c r="Z169" s="58">
        <v>0</v>
      </c>
      <c r="AA169" s="29">
        <v>0</v>
      </c>
      <c r="AB169" s="30">
        <f t="shared" si="198"/>
        <v>168</v>
      </c>
      <c r="AC169" s="28">
        <f>PRODUCTION!AD169+'SUPLIER INWARD'!AD169</f>
        <v>0</v>
      </c>
      <c r="AD169" s="58">
        <v>0</v>
      </c>
      <c r="AE169" s="29">
        <v>0</v>
      </c>
      <c r="AF169" s="30">
        <f t="shared" si="199"/>
        <v>168</v>
      </c>
      <c r="AG169" s="28">
        <f>PRODUCTION!AH169+'SUPLIER INWARD'!AH169</f>
        <v>0</v>
      </c>
      <c r="AH169" s="58">
        <v>0</v>
      </c>
      <c r="AI169" s="29">
        <v>0</v>
      </c>
      <c r="AJ169" s="30">
        <f t="shared" si="200"/>
        <v>168</v>
      </c>
      <c r="AK169" s="28">
        <f>PRODUCTION!AL169+'SUPLIER INWARD'!AL169</f>
        <v>0</v>
      </c>
      <c r="AL169" s="58">
        <v>0</v>
      </c>
      <c r="AM169" s="29">
        <v>0</v>
      </c>
      <c r="AN169" s="30">
        <f t="shared" si="201"/>
        <v>168</v>
      </c>
      <c r="AO169" s="28">
        <f>PRODUCTION!AP169+'SUPLIER INWARD'!AP169</f>
        <v>0</v>
      </c>
      <c r="AP169" s="28"/>
      <c r="AQ169" s="29">
        <v>0</v>
      </c>
      <c r="AR169" s="30">
        <f t="shared" si="202"/>
        <v>168</v>
      </c>
      <c r="AS169" s="28">
        <f>PRODUCTION!AT169+'SUPLIER INWARD'!AT169</f>
        <v>0</v>
      </c>
      <c r="AT169" s="28">
        <v>0</v>
      </c>
      <c r="AU169" s="29">
        <v>0</v>
      </c>
      <c r="AV169" s="30">
        <f t="shared" si="203"/>
        <v>168</v>
      </c>
      <c r="AW169" s="28">
        <f>PRODUCTION!AX169+'SUPLIER INWARD'!AX169</f>
        <v>0</v>
      </c>
      <c r="AX169" s="28"/>
      <c r="AY169" s="29"/>
      <c r="AZ169" s="30">
        <f t="shared" si="204"/>
        <v>168</v>
      </c>
      <c r="BA169" s="28">
        <f>PRODUCTION!BB169+'SUPLIER INWARD'!BB169</f>
        <v>0</v>
      </c>
      <c r="BB169" s="58">
        <v>0</v>
      </c>
      <c r="BC169" s="29">
        <v>0</v>
      </c>
      <c r="BD169" s="30">
        <f t="shared" si="205"/>
        <v>168</v>
      </c>
      <c r="BE169" s="28">
        <f>PRODUCTION!BF169+'SUPLIER INWARD'!BF169</f>
        <v>0</v>
      </c>
      <c r="BF169" s="58"/>
      <c r="BG169" s="29">
        <v>0</v>
      </c>
      <c r="BH169" s="30">
        <f t="shared" si="206"/>
        <v>168</v>
      </c>
      <c r="BI169" s="28">
        <f>PRODUCTION!BJ169+'SUPLIER INWARD'!BJ169</f>
        <v>0</v>
      </c>
      <c r="BJ169" s="58">
        <v>0</v>
      </c>
      <c r="BK169" s="29">
        <v>0</v>
      </c>
      <c r="BL169" s="30">
        <f t="shared" si="207"/>
        <v>168</v>
      </c>
      <c r="BM169" s="28">
        <f>PRODUCTION!BN169+'SUPLIER INWARD'!BN169</f>
        <v>0</v>
      </c>
      <c r="BN169" s="58">
        <v>0</v>
      </c>
      <c r="BO169" s="29">
        <v>0</v>
      </c>
      <c r="BP169" s="30">
        <f t="shared" si="208"/>
        <v>168</v>
      </c>
      <c r="BQ169" s="28">
        <f>PRODUCTION!BR169+'SUPLIER INWARD'!BR169</f>
        <v>0</v>
      </c>
      <c r="BR169" s="58">
        <v>0</v>
      </c>
      <c r="BS169" s="29">
        <v>0</v>
      </c>
      <c r="BT169" s="30">
        <f t="shared" si="209"/>
        <v>168</v>
      </c>
      <c r="BU169" s="28">
        <f>PRODUCTION!BV169+'SUPLIER INWARD'!BV169</f>
        <v>0</v>
      </c>
      <c r="BV169" s="58">
        <v>0</v>
      </c>
      <c r="BW169" s="29">
        <v>0</v>
      </c>
      <c r="BX169" s="30">
        <f t="shared" si="176"/>
        <v>168</v>
      </c>
      <c r="BY169" s="28">
        <f>PRODUCTION!BZ169+'SUPLIER INWARD'!BZ169</f>
        <v>0</v>
      </c>
      <c r="BZ169" s="58"/>
      <c r="CA169" s="29">
        <v>0</v>
      </c>
      <c r="CB169" s="30">
        <f t="shared" si="210"/>
        <v>168</v>
      </c>
      <c r="CC169" s="28">
        <f>PRODUCTION!CD169+'SUPLIER INWARD'!CD169</f>
        <v>0</v>
      </c>
      <c r="CD169" s="58">
        <v>0</v>
      </c>
      <c r="CE169" s="29">
        <v>0</v>
      </c>
      <c r="CF169" s="30">
        <f t="shared" si="211"/>
        <v>168</v>
      </c>
      <c r="CG169" s="28">
        <f>PRODUCTION!CH169+'SUPLIER INWARD'!CH169</f>
        <v>0</v>
      </c>
      <c r="CH169" s="58">
        <v>0</v>
      </c>
      <c r="CI169" s="29">
        <v>0</v>
      </c>
      <c r="CJ169" s="30">
        <f t="shared" si="179"/>
        <v>168</v>
      </c>
      <c r="CK169" s="28">
        <f>PRODUCTION!CL169+'SUPLIER INWARD'!CL169</f>
        <v>0</v>
      </c>
      <c r="CL169" s="58"/>
      <c r="CM169" s="152"/>
      <c r="CN169" s="30">
        <f t="shared" si="180"/>
        <v>168</v>
      </c>
      <c r="CO169" s="28">
        <f>PRODUCTION!CP169+'SUPLIER INWARD'!CP169</f>
        <v>0</v>
      </c>
      <c r="CP169" s="58">
        <v>0</v>
      </c>
      <c r="CQ169" s="29">
        <v>0</v>
      </c>
      <c r="CR169" s="30">
        <f t="shared" si="181"/>
        <v>168</v>
      </c>
      <c r="CS169" s="28">
        <f>PRODUCTION!CT169+'SUPLIER INWARD'!CT169</f>
        <v>0</v>
      </c>
      <c r="CT169" s="28">
        <v>0</v>
      </c>
      <c r="CU169" s="29">
        <v>0</v>
      </c>
      <c r="CV169" s="30">
        <f t="shared" si="182"/>
        <v>168</v>
      </c>
      <c r="CW169" s="28">
        <f>PRODUCTION!CX169+'SUPLIER INWARD'!CX169</f>
        <v>0</v>
      </c>
      <c r="CX169" s="58">
        <v>0</v>
      </c>
      <c r="CY169" s="29">
        <v>0</v>
      </c>
      <c r="CZ169" s="30">
        <f t="shared" si="212"/>
        <v>168</v>
      </c>
      <c r="DA169" s="28">
        <f>PRODUCTION!DB169+'SUPLIER INWARD'!DB169</f>
        <v>0</v>
      </c>
      <c r="DB169" s="58"/>
      <c r="DC169" s="29"/>
      <c r="DD169" s="30">
        <f t="shared" si="213"/>
        <v>168</v>
      </c>
      <c r="DE169" s="28">
        <f>PRODUCTION!DF169+'SUPLIER INWARD'!DF169</f>
        <v>0</v>
      </c>
      <c r="DF169" s="58">
        <v>0</v>
      </c>
      <c r="DG169" s="29">
        <v>0</v>
      </c>
      <c r="DH169" s="30">
        <f t="shared" si="214"/>
        <v>168</v>
      </c>
      <c r="DI169" s="28">
        <f>PRODUCTION!DJ169+'SUPLIER INWARD'!DJ169</f>
        <v>0</v>
      </c>
      <c r="DJ169" s="58">
        <v>0</v>
      </c>
      <c r="DK169" s="29">
        <v>0</v>
      </c>
      <c r="DL169" s="30">
        <f t="shared" si="215"/>
        <v>168</v>
      </c>
      <c r="DM169" s="28">
        <f>PRODUCTION!DN169+'SUPLIER INWARD'!DN169</f>
        <v>0</v>
      </c>
      <c r="DN169" s="58">
        <v>0</v>
      </c>
      <c r="DO169" s="29"/>
      <c r="DP169" s="30">
        <f t="shared" si="216"/>
        <v>168</v>
      </c>
      <c r="DQ169" s="28">
        <f>PRODUCTION!DR169+'SUPLIER INWARD'!DR169</f>
        <v>0</v>
      </c>
      <c r="DR169" s="57"/>
      <c r="DS169" s="29"/>
      <c r="DT169" s="30">
        <f t="shared" si="217"/>
        <v>168</v>
      </c>
      <c r="DU169" s="28">
        <f>PRODUCTION!DV169+'SUPLIER INWARD'!DV169</f>
        <v>0</v>
      </c>
      <c r="DV169" s="58"/>
      <c r="DW169" s="29"/>
      <c r="DX169" s="30">
        <f t="shared" si="218"/>
        <v>168</v>
      </c>
      <c r="DY169" s="141">
        <f t="shared" si="192"/>
        <v>0</v>
      </c>
      <c r="DZ169" s="141">
        <f t="shared" si="190"/>
        <v>0</v>
      </c>
      <c r="EA169" s="4">
        <f t="shared" si="191"/>
        <v>0</v>
      </c>
      <c r="EB169" s="9">
        <f>D169*'MASTER SHEET'!D169</f>
        <v>752.6400000000001</v>
      </c>
      <c r="EC169" s="9">
        <f>H169*'MASTER SHEET'!D169</f>
        <v>752.6400000000001</v>
      </c>
      <c r="ED169" s="9">
        <f>L169*'MASTER SHEET'!D169</f>
        <v>752.6400000000001</v>
      </c>
      <c r="EE169" s="9">
        <f>P169*'MASTER SHEET'!D169</f>
        <v>752.6400000000001</v>
      </c>
      <c r="EF169" s="9">
        <f>T169*'MASTER SHEET'!D169</f>
        <v>752.6400000000001</v>
      </c>
      <c r="EG169" s="9">
        <f>X169*'MASTER SHEET'!D169</f>
        <v>752.6400000000001</v>
      </c>
      <c r="EH169" s="9">
        <f>AB169*'MASTER SHEET'!D169</f>
        <v>752.6400000000001</v>
      </c>
      <c r="EI169" s="9">
        <f>AF169*'MASTER SHEET'!D169</f>
        <v>752.6400000000001</v>
      </c>
      <c r="EJ169" s="9">
        <f>AJ169*'MASTER SHEET'!D169</f>
        <v>752.6400000000001</v>
      </c>
      <c r="EK169" s="9">
        <f>AN169*'MASTER SHEET'!D169</f>
        <v>752.6400000000001</v>
      </c>
      <c r="EL169" s="9">
        <f>AR169*'MASTER SHEET'!D169</f>
        <v>752.6400000000001</v>
      </c>
      <c r="EM169" s="9">
        <f>AV169*'MASTER SHEET'!D169</f>
        <v>752.6400000000001</v>
      </c>
      <c r="EN169" s="9">
        <f>AZ169*'MASTER SHEET'!D169</f>
        <v>752.6400000000001</v>
      </c>
      <c r="EO169" s="9">
        <f>BD169*'MASTER SHEET'!D169</f>
        <v>752.6400000000001</v>
      </c>
      <c r="EP169" s="9">
        <f>$BH169*'MASTER SHEET'!$D169</f>
        <v>752.6400000000001</v>
      </c>
      <c r="EQ169" s="9">
        <f>BL169*'MASTER SHEET'!D169</f>
        <v>752.6400000000001</v>
      </c>
      <c r="ER169" s="9">
        <f>BP169*'MASTER SHEET'!D169</f>
        <v>752.6400000000001</v>
      </c>
      <c r="ES169" s="9">
        <f>BT169*'MASTER SHEET'!D169</f>
        <v>752.6400000000001</v>
      </c>
      <c r="ET169" s="9">
        <f>BX169*'MASTER SHEET'!D169</f>
        <v>752.6400000000001</v>
      </c>
      <c r="EU169" s="9">
        <f>CB169*'MASTER SHEET'!D169</f>
        <v>752.6400000000001</v>
      </c>
      <c r="EV169" s="9">
        <f>CF169*'MASTER SHEET'!D169</f>
        <v>752.6400000000001</v>
      </c>
      <c r="EW169" s="9">
        <f>CJ169*'MASTER SHEET'!D169</f>
        <v>752.6400000000001</v>
      </c>
      <c r="EX169" s="9">
        <f>CN169*'MASTER SHEET'!D169</f>
        <v>752.6400000000001</v>
      </c>
      <c r="EY169" s="9">
        <f>CR169*'MASTER SHEET'!D169</f>
        <v>752.6400000000001</v>
      </c>
      <c r="EZ169" s="9">
        <f>$CV169*'MASTER SHEET'!D169</f>
        <v>752.6400000000001</v>
      </c>
      <c r="FA169" s="9">
        <f>CZ169*'MASTER SHEET'!D169</f>
        <v>752.6400000000001</v>
      </c>
      <c r="FB169" s="9">
        <f>DD169*'MASTER SHEET'!D169</f>
        <v>752.6400000000001</v>
      </c>
      <c r="FC169" s="9">
        <f>DH169*'MASTER SHEET'!D169</f>
        <v>752.6400000000001</v>
      </c>
      <c r="FD169" s="9">
        <f>DL169*'MASTER SHEET'!D169</f>
        <v>752.6400000000001</v>
      </c>
      <c r="FE169" s="9">
        <f>DP169*'MASTER SHEET'!D169</f>
        <v>752.6400000000001</v>
      </c>
      <c r="FF169" s="9">
        <f>DT169*'MASTER SHEET'!D169</f>
        <v>752.6400000000001</v>
      </c>
      <c r="FG169" s="9">
        <f>+DX169*'MASTER SHEET'!D169</f>
        <v>752.6400000000001</v>
      </c>
    </row>
    <row r="170" spans="1:163" ht="20.25" customHeight="1" x14ac:dyDescent="0.25">
      <c r="A170" s="25">
        <f>'MASTER SHEET'!A170</f>
        <v>168</v>
      </c>
      <c r="B170" s="168" t="str">
        <f>'MASTER SHEET'!B170</f>
        <v xml:space="preserve"> BELL CRANK LH</v>
      </c>
      <c r="C170" s="169" t="str">
        <f>'MASTER SHEET'!C170</f>
        <v>BB00006044</v>
      </c>
      <c r="D170" s="159">
        <v>525</v>
      </c>
      <c r="E170" s="28">
        <f>PRODUCTION!F170+'SUPLIER INWARD'!F170</f>
        <v>0</v>
      </c>
      <c r="F170" s="28"/>
      <c r="G170" s="29">
        <v>0</v>
      </c>
      <c r="H170" s="30">
        <f t="shared" si="193"/>
        <v>525</v>
      </c>
      <c r="I170" s="28">
        <f>PRODUCTION!J170+'SUPLIER INWARD'!J170</f>
        <v>0</v>
      </c>
      <c r="J170" s="28"/>
      <c r="K170" s="29">
        <v>0</v>
      </c>
      <c r="L170" s="30">
        <f t="shared" si="194"/>
        <v>525</v>
      </c>
      <c r="M170" s="28">
        <f>PRODUCTION!N170+'SUPLIER INWARD'!N170</f>
        <v>0</v>
      </c>
      <c r="N170" s="58"/>
      <c r="O170" s="29"/>
      <c r="P170" s="30">
        <f t="shared" si="195"/>
        <v>525</v>
      </c>
      <c r="Q170" s="28">
        <f>PRODUCTION!R170+'SUPLIER INWARD'!R170</f>
        <v>0</v>
      </c>
      <c r="R170" s="58"/>
      <c r="S170" s="29">
        <v>0</v>
      </c>
      <c r="T170" s="30">
        <f t="shared" si="196"/>
        <v>525</v>
      </c>
      <c r="U170" s="28">
        <f>PRODUCTION!V170+'SUPLIER INWARD'!V170</f>
        <v>0</v>
      </c>
      <c r="V170" s="58">
        <v>0</v>
      </c>
      <c r="W170" s="29">
        <v>0</v>
      </c>
      <c r="X170" s="30">
        <f t="shared" si="197"/>
        <v>525</v>
      </c>
      <c r="Y170" s="28">
        <f>PRODUCTION!Z170+'SUPLIER INWARD'!Z170</f>
        <v>0</v>
      </c>
      <c r="Z170" s="58">
        <v>0</v>
      </c>
      <c r="AA170" s="29">
        <v>0</v>
      </c>
      <c r="AB170" s="30">
        <f t="shared" si="198"/>
        <v>525</v>
      </c>
      <c r="AC170" s="28">
        <f>PRODUCTION!AD170+'SUPLIER INWARD'!AD170</f>
        <v>0</v>
      </c>
      <c r="AD170" s="58">
        <v>0</v>
      </c>
      <c r="AE170" s="29">
        <v>0</v>
      </c>
      <c r="AF170" s="30">
        <f t="shared" si="199"/>
        <v>525</v>
      </c>
      <c r="AG170" s="28">
        <f>PRODUCTION!AH170+'SUPLIER INWARD'!AH170</f>
        <v>0</v>
      </c>
      <c r="AH170" s="58">
        <v>0</v>
      </c>
      <c r="AI170" s="29">
        <v>0</v>
      </c>
      <c r="AJ170" s="30">
        <f t="shared" si="200"/>
        <v>525</v>
      </c>
      <c r="AK170" s="28">
        <f>PRODUCTION!AL170+'SUPLIER INWARD'!AL170</f>
        <v>0</v>
      </c>
      <c r="AL170" s="58">
        <v>0</v>
      </c>
      <c r="AM170" s="29">
        <v>0</v>
      </c>
      <c r="AN170" s="30">
        <f t="shared" si="201"/>
        <v>525</v>
      </c>
      <c r="AO170" s="28">
        <f>PRODUCTION!AP170+'SUPLIER INWARD'!AP170</f>
        <v>0</v>
      </c>
      <c r="AP170" s="28"/>
      <c r="AQ170" s="29">
        <v>0</v>
      </c>
      <c r="AR170" s="30">
        <f t="shared" si="202"/>
        <v>525</v>
      </c>
      <c r="AS170" s="28">
        <f>PRODUCTION!AT170+'SUPLIER INWARD'!AT170</f>
        <v>0</v>
      </c>
      <c r="AT170" s="28">
        <v>0</v>
      </c>
      <c r="AU170" s="29">
        <v>0</v>
      </c>
      <c r="AV170" s="30">
        <f t="shared" si="203"/>
        <v>525</v>
      </c>
      <c r="AW170" s="28">
        <f>PRODUCTION!AX170+'SUPLIER INWARD'!AX170</f>
        <v>0</v>
      </c>
      <c r="AX170" s="28"/>
      <c r="AY170" s="29"/>
      <c r="AZ170" s="30">
        <f t="shared" si="204"/>
        <v>525</v>
      </c>
      <c r="BA170" s="28">
        <f>PRODUCTION!BB170+'SUPLIER INWARD'!BB170</f>
        <v>0</v>
      </c>
      <c r="BB170" s="58">
        <v>0</v>
      </c>
      <c r="BC170" s="29">
        <v>0</v>
      </c>
      <c r="BD170" s="30">
        <f t="shared" si="205"/>
        <v>525</v>
      </c>
      <c r="BE170" s="28">
        <f>PRODUCTION!BF170+'SUPLIER INWARD'!BF170</f>
        <v>0</v>
      </c>
      <c r="BF170" s="58"/>
      <c r="BG170" s="29">
        <v>0</v>
      </c>
      <c r="BH170" s="30">
        <f t="shared" si="206"/>
        <v>525</v>
      </c>
      <c r="BI170" s="28">
        <f>PRODUCTION!BJ170+'SUPLIER INWARD'!BJ170</f>
        <v>0</v>
      </c>
      <c r="BJ170" s="58">
        <v>0</v>
      </c>
      <c r="BK170" s="29">
        <v>0</v>
      </c>
      <c r="BL170" s="30">
        <f t="shared" si="207"/>
        <v>525</v>
      </c>
      <c r="BM170" s="28">
        <f>PRODUCTION!BN170+'SUPLIER INWARD'!BN170</f>
        <v>0</v>
      </c>
      <c r="BN170" s="58">
        <v>0</v>
      </c>
      <c r="BO170" s="29">
        <v>0</v>
      </c>
      <c r="BP170" s="30">
        <f t="shared" si="208"/>
        <v>525</v>
      </c>
      <c r="BQ170" s="28">
        <f>PRODUCTION!BR170+'SUPLIER INWARD'!BR170</f>
        <v>0</v>
      </c>
      <c r="BR170" s="58">
        <v>0</v>
      </c>
      <c r="BS170" s="29">
        <v>0</v>
      </c>
      <c r="BT170" s="30">
        <f t="shared" si="209"/>
        <v>525</v>
      </c>
      <c r="BU170" s="28">
        <f>PRODUCTION!BV170+'SUPLIER INWARD'!BV170</f>
        <v>0</v>
      </c>
      <c r="BV170" s="58">
        <v>0</v>
      </c>
      <c r="BW170" s="29">
        <v>0</v>
      </c>
      <c r="BX170" s="30">
        <f t="shared" si="176"/>
        <v>525</v>
      </c>
      <c r="BY170" s="28">
        <f>PRODUCTION!BZ170+'SUPLIER INWARD'!BZ170</f>
        <v>0</v>
      </c>
      <c r="BZ170" s="58"/>
      <c r="CA170" s="29">
        <v>0</v>
      </c>
      <c r="CB170" s="30">
        <f t="shared" si="210"/>
        <v>525</v>
      </c>
      <c r="CC170" s="28">
        <f>PRODUCTION!CD170+'SUPLIER INWARD'!CD170</f>
        <v>0</v>
      </c>
      <c r="CD170" s="58">
        <v>0</v>
      </c>
      <c r="CE170" s="29">
        <v>0</v>
      </c>
      <c r="CF170" s="30">
        <f t="shared" si="211"/>
        <v>525</v>
      </c>
      <c r="CG170" s="28">
        <f>PRODUCTION!CH170+'SUPLIER INWARD'!CH170</f>
        <v>0</v>
      </c>
      <c r="CH170" s="58">
        <v>0</v>
      </c>
      <c r="CI170" s="29">
        <v>0</v>
      </c>
      <c r="CJ170" s="30">
        <f t="shared" si="179"/>
        <v>525</v>
      </c>
      <c r="CK170" s="28">
        <f>PRODUCTION!CL170+'SUPLIER INWARD'!CL170</f>
        <v>0</v>
      </c>
      <c r="CL170" s="58"/>
      <c r="CM170" s="152"/>
      <c r="CN170" s="30">
        <f t="shared" si="180"/>
        <v>525</v>
      </c>
      <c r="CO170" s="28">
        <f>PRODUCTION!CP170+'SUPLIER INWARD'!CP170</f>
        <v>0</v>
      </c>
      <c r="CP170" s="58">
        <v>0</v>
      </c>
      <c r="CQ170" s="29">
        <v>0</v>
      </c>
      <c r="CR170" s="30">
        <f t="shared" si="181"/>
        <v>525</v>
      </c>
      <c r="CS170" s="28">
        <f>PRODUCTION!CT170+'SUPLIER INWARD'!CT170</f>
        <v>0</v>
      </c>
      <c r="CT170" s="28">
        <v>0</v>
      </c>
      <c r="CU170" s="29">
        <v>0</v>
      </c>
      <c r="CV170" s="30">
        <f t="shared" si="182"/>
        <v>525</v>
      </c>
      <c r="CW170" s="28">
        <f>PRODUCTION!CX170+'SUPLIER INWARD'!CX170</f>
        <v>0</v>
      </c>
      <c r="CX170" s="58">
        <v>0</v>
      </c>
      <c r="CY170" s="29">
        <v>0</v>
      </c>
      <c r="CZ170" s="30">
        <f t="shared" si="212"/>
        <v>525</v>
      </c>
      <c r="DA170" s="28">
        <f>PRODUCTION!DB170+'SUPLIER INWARD'!DB170</f>
        <v>0</v>
      </c>
      <c r="DB170" s="58"/>
      <c r="DC170" s="29"/>
      <c r="DD170" s="30">
        <f t="shared" si="213"/>
        <v>525</v>
      </c>
      <c r="DE170" s="28">
        <f>PRODUCTION!DF170+'SUPLIER INWARD'!DF170</f>
        <v>0</v>
      </c>
      <c r="DF170" s="58">
        <v>0</v>
      </c>
      <c r="DG170" s="29">
        <v>0</v>
      </c>
      <c r="DH170" s="30">
        <f t="shared" si="214"/>
        <v>525</v>
      </c>
      <c r="DI170" s="28">
        <f>PRODUCTION!DJ170+'SUPLIER INWARD'!DJ170</f>
        <v>0</v>
      </c>
      <c r="DJ170" s="58">
        <v>0</v>
      </c>
      <c r="DK170" s="29">
        <v>0</v>
      </c>
      <c r="DL170" s="30">
        <f t="shared" si="215"/>
        <v>525</v>
      </c>
      <c r="DM170" s="28">
        <f>PRODUCTION!DN170+'SUPLIER INWARD'!DN170</f>
        <v>0</v>
      </c>
      <c r="DN170" s="58">
        <v>0</v>
      </c>
      <c r="DO170" s="29"/>
      <c r="DP170" s="30">
        <f t="shared" si="216"/>
        <v>525</v>
      </c>
      <c r="DQ170" s="28">
        <f>PRODUCTION!DR170+'SUPLIER INWARD'!DR170</f>
        <v>0</v>
      </c>
      <c r="DR170" s="57"/>
      <c r="DS170" s="29"/>
      <c r="DT170" s="30">
        <f t="shared" si="217"/>
        <v>525</v>
      </c>
      <c r="DU170" s="28">
        <f>PRODUCTION!DV170+'SUPLIER INWARD'!DV170</f>
        <v>0</v>
      </c>
      <c r="DV170" s="58"/>
      <c r="DW170" s="29"/>
      <c r="DX170" s="30">
        <f t="shared" si="218"/>
        <v>525</v>
      </c>
      <c r="DY170" s="141">
        <f t="shared" si="192"/>
        <v>0</v>
      </c>
      <c r="DZ170" s="141">
        <f t="shared" si="190"/>
        <v>0</v>
      </c>
      <c r="EA170" s="4">
        <f t="shared" si="191"/>
        <v>0</v>
      </c>
      <c r="EB170" s="9">
        <f>D170*'MASTER SHEET'!D170</f>
        <v>4389</v>
      </c>
      <c r="EC170" s="9">
        <f>H170*'MASTER SHEET'!D170</f>
        <v>4389</v>
      </c>
      <c r="ED170" s="9">
        <f>L170*'MASTER SHEET'!D170</f>
        <v>4389</v>
      </c>
      <c r="EE170" s="9">
        <f>P170*'MASTER SHEET'!D170</f>
        <v>4389</v>
      </c>
      <c r="EF170" s="9">
        <f>T170*'MASTER SHEET'!D170</f>
        <v>4389</v>
      </c>
      <c r="EG170" s="9">
        <f>X170*'MASTER SHEET'!D170</f>
        <v>4389</v>
      </c>
      <c r="EH170" s="9">
        <f>AB170*'MASTER SHEET'!D170</f>
        <v>4389</v>
      </c>
      <c r="EI170" s="9">
        <f>AF170*'MASTER SHEET'!D170</f>
        <v>4389</v>
      </c>
      <c r="EJ170" s="9">
        <f>AJ170*'MASTER SHEET'!D170</f>
        <v>4389</v>
      </c>
      <c r="EK170" s="9">
        <f>AN170*'MASTER SHEET'!D170</f>
        <v>4389</v>
      </c>
      <c r="EL170" s="9">
        <f>AR170*'MASTER SHEET'!D170</f>
        <v>4389</v>
      </c>
      <c r="EM170" s="9">
        <f>AV170*'MASTER SHEET'!D170</f>
        <v>4389</v>
      </c>
      <c r="EN170" s="9">
        <f>AZ170*'MASTER SHEET'!D170</f>
        <v>4389</v>
      </c>
      <c r="EO170" s="9">
        <f>BD170*'MASTER SHEET'!D170</f>
        <v>4389</v>
      </c>
      <c r="EP170" s="9">
        <f>$BH170*'MASTER SHEET'!$D170</f>
        <v>4389</v>
      </c>
      <c r="EQ170" s="9">
        <f>BL170*'MASTER SHEET'!D170</f>
        <v>4389</v>
      </c>
      <c r="ER170" s="9">
        <f>BP170*'MASTER SHEET'!D170</f>
        <v>4389</v>
      </c>
      <c r="ES170" s="9">
        <f>BT170*'MASTER SHEET'!D170</f>
        <v>4389</v>
      </c>
      <c r="ET170" s="9">
        <f>BX170*'MASTER SHEET'!D170</f>
        <v>4389</v>
      </c>
      <c r="EU170" s="9">
        <f>CB170*'MASTER SHEET'!D170</f>
        <v>4389</v>
      </c>
      <c r="EV170" s="9">
        <f>CF170*'MASTER SHEET'!D170</f>
        <v>4389</v>
      </c>
      <c r="EW170" s="9">
        <f>CJ170*'MASTER SHEET'!D170</f>
        <v>4389</v>
      </c>
      <c r="EX170" s="9">
        <f>CN170*'MASTER SHEET'!D170</f>
        <v>4389</v>
      </c>
      <c r="EY170" s="9">
        <f>CR170*'MASTER SHEET'!D170</f>
        <v>4389</v>
      </c>
      <c r="EZ170" s="9">
        <f>$CV170*'MASTER SHEET'!D170</f>
        <v>4389</v>
      </c>
      <c r="FA170" s="9">
        <f>CZ170*'MASTER SHEET'!D170</f>
        <v>4389</v>
      </c>
      <c r="FB170" s="9">
        <f>DD170*'MASTER SHEET'!D170</f>
        <v>4389</v>
      </c>
      <c r="FC170" s="9">
        <f>DH170*'MASTER SHEET'!D170</f>
        <v>4389</v>
      </c>
      <c r="FD170" s="9">
        <f>DL170*'MASTER SHEET'!D170</f>
        <v>4389</v>
      </c>
      <c r="FE170" s="9">
        <f>DP170*'MASTER SHEET'!D170</f>
        <v>4389</v>
      </c>
      <c r="FF170" s="9">
        <f>DT170*'MASTER SHEET'!D170</f>
        <v>4389</v>
      </c>
      <c r="FG170" s="9">
        <f>+DX170*'MASTER SHEET'!D170</f>
        <v>4389</v>
      </c>
    </row>
    <row r="171" spans="1:163" ht="20.25" customHeight="1" x14ac:dyDescent="0.25">
      <c r="A171" s="25">
        <f>'MASTER SHEET'!A171</f>
        <v>169</v>
      </c>
      <c r="B171" s="168" t="str">
        <f>'MASTER SHEET'!B171</f>
        <v>BELL CRANK RH</v>
      </c>
      <c r="C171" s="169" t="str">
        <f>'MASTER SHEET'!C171</f>
        <v>BC00006045</v>
      </c>
      <c r="D171" s="159">
        <v>493</v>
      </c>
      <c r="E171" s="28">
        <f>PRODUCTION!F171+'SUPLIER INWARD'!F171</f>
        <v>0</v>
      </c>
      <c r="F171" s="28"/>
      <c r="G171" s="29">
        <v>0</v>
      </c>
      <c r="H171" s="30">
        <f t="shared" si="193"/>
        <v>493</v>
      </c>
      <c r="I171" s="28">
        <f>PRODUCTION!J171+'SUPLIER INWARD'!J171</f>
        <v>0</v>
      </c>
      <c r="J171" s="28"/>
      <c r="K171" s="29">
        <v>0</v>
      </c>
      <c r="L171" s="30">
        <f t="shared" si="194"/>
        <v>493</v>
      </c>
      <c r="M171" s="28">
        <f>PRODUCTION!N171+'SUPLIER INWARD'!N171</f>
        <v>0</v>
      </c>
      <c r="N171" s="58"/>
      <c r="O171" s="29"/>
      <c r="P171" s="30">
        <f t="shared" si="195"/>
        <v>493</v>
      </c>
      <c r="Q171" s="28">
        <f>PRODUCTION!R171+'SUPLIER INWARD'!R171</f>
        <v>0</v>
      </c>
      <c r="R171" s="58"/>
      <c r="S171" s="29">
        <v>0</v>
      </c>
      <c r="T171" s="30">
        <f t="shared" si="196"/>
        <v>493</v>
      </c>
      <c r="U171" s="28">
        <f>PRODUCTION!V171+'SUPLIER INWARD'!V171</f>
        <v>0</v>
      </c>
      <c r="V171" s="58">
        <v>0</v>
      </c>
      <c r="W171" s="29">
        <v>0</v>
      </c>
      <c r="X171" s="30">
        <f t="shared" si="197"/>
        <v>493</v>
      </c>
      <c r="Y171" s="28">
        <f>PRODUCTION!Z171+'SUPLIER INWARD'!Z171</f>
        <v>0</v>
      </c>
      <c r="Z171" s="58">
        <v>0</v>
      </c>
      <c r="AA171" s="29">
        <v>0</v>
      </c>
      <c r="AB171" s="30">
        <f t="shared" si="198"/>
        <v>493</v>
      </c>
      <c r="AC171" s="28">
        <f>PRODUCTION!AD171+'SUPLIER INWARD'!AD171</f>
        <v>0</v>
      </c>
      <c r="AD171" s="58">
        <v>0</v>
      </c>
      <c r="AE171" s="29">
        <v>0</v>
      </c>
      <c r="AF171" s="30">
        <f t="shared" si="199"/>
        <v>493</v>
      </c>
      <c r="AG171" s="28">
        <f>PRODUCTION!AH171+'SUPLIER INWARD'!AH171</f>
        <v>0</v>
      </c>
      <c r="AH171" s="58">
        <v>0</v>
      </c>
      <c r="AI171" s="29">
        <v>0</v>
      </c>
      <c r="AJ171" s="30">
        <f t="shared" si="200"/>
        <v>493</v>
      </c>
      <c r="AK171" s="28">
        <f>PRODUCTION!AL171+'SUPLIER INWARD'!AL171</f>
        <v>0</v>
      </c>
      <c r="AL171" s="58">
        <v>0</v>
      </c>
      <c r="AM171" s="29">
        <v>0</v>
      </c>
      <c r="AN171" s="30">
        <f t="shared" si="201"/>
        <v>493</v>
      </c>
      <c r="AO171" s="28">
        <f>PRODUCTION!AP171+'SUPLIER INWARD'!AP171</f>
        <v>0</v>
      </c>
      <c r="AP171" s="28"/>
      <c r="AQ171" s="29">
        <v>0</v>
      </c>
      <c r="AR171" s="30">
        <f t="shared" si="202"/>
        <v>493</v>
      </c>
      <c r="AS171" s="28">
        <f>PRODUCTION!AT171+'SUPLIER INWARD'!AT171</f>
        <v>0</v>
      </c>
      <c r="AT171" s="28">
        <v>0</v>
      </c>
      <c r="AU171" s="29">
        <v>0</v>
      </c>
      <c r="AV171" s="30">
        <f t="shared" si="203"/>
        <v>493</v>
      </c>
      <c r="AW171" s="28">
        <f>PRODUCTION!AX171+'SUPLIER INWARD'!AX171</f>
        <v>0</v>
      </c>
      <c r="AX171" s="28"/>
      <c r="AY171" s="29"/>
      <c r="AZ171" s="30">
        <f t="shared" si="204"/>
        <v>493</v>
      </c>
      <c r="BA171" s="28">
        <f>PRODUCTION!BB171+'SUPLIER INWARD'!BB171</f>
        <v>0</v>
      </c>
      <c r="BB171" s="58">
        <v>0</v>
      </c>
      <c r="BC171" s="29">
        <v>0</v>
      </c>
      <c r="BD171" s="30">
        <f t="shared" si="205"/>
        <v>493</v>
      </c>
      <c r="BE171" s="28">
        <f>PRODUCTION!BF171+'SUPLIER INWARD'!BF171</f>
        <v>0</v>
      </c>
      <c r="BF171" s="58"/>
      <c r="BG171" s="29">
        <v>0</v>
      </c>
      <c r="BH171" s="30">
        <f t="shared" si="206"/>
        <v>493</v>
      </c>
      <c r="BI171" s="28">
        <f>PRODUCTION!BJ171+'SUPLIER INWARD'!BJ171</f>
        <v>0</v>
      </c>
      <c r="BJ171" s="58">
        <v>0</v>
      </c>
      <c r="BK171" s="29">
        <v>0</v>
      </c>
      <c r="BL171" s="30">
        <f t="shared" si="207"/>
        <v>493</v>
      </c>
      <c r="BM171" s="28">
        <f>PRODUCTION!BN171+'SUPLIER INWARD'!BN171</f>
        <v>0</v>
      </c>
      <c r="BN171" s="58">
        <v>0</v>
      </c>
      <c r="BO171" s="29">
        <v>0</v>
      </c>
      <c r="BP171" s="30">
        <f t="shared" si="208"/>
        <v>493</v>
      </c>
      <c r="BQ171" s="28">
        <f>PRODUCTION!BR171+'SUPLIER INWARD'!BR171</f>
        <v>0</v>
      </c>
      <c r="BR171" s="58">
        <v>0</v>
      </c>
      <c r="BS171" s="29">
        <v>0</v>
      </c>
      <c r="BT171" s="30">
        <f t="shared" si="209"/>
        <v>493</v>
      </c>
      <c r="BU171" s="28">
        <f>PRODUCTION!BV171+'SUPLIER INWARD'!BV171</f>
        <v>0</v>
      </c>
      <c r="BV171" s="58">
        <v>0</v>
      </c>
      <c r="BW171" s="29">
        <v>0</v>
      </c>
      <c r="BX171" s="30">
        <f t="shared" si="176"/>
        <v>493</v>
      </c>
      <c r="BY171" s="28">
        <f>PRODUCTION!BZ171+'SUPLIER INWARD'!BZ171</f>
        <v>0</v>
      </c>
      <c r="BZ171" s="58"/>
      <c r="CA171" s="29">
        <v>0</v>
      </c>
      <c r="CB171" s="30">
        <f t="shared" si="210"/>
        <v>493</v>
      </c>
      <c r="CC171" s="28">
        <f>PRODUCTION!CD171+'SUPLIER INWARD'!CD171</f>
        <v>0</v>
      </c>
      <c r="CD171" s="58">
        <v>0</v>
      </c>
      <c r="CE171" s="29">
        <v>0</v>
      </c>
      <c r="CF171" s="30">
        <f t="shared" si="211"/>
        <v>493</v>
      </c>
      <c r="CG171" s="28">
        <f>PRODUCTION!CH171+'SUPLIER INWARD'!CH171</f>
        <v>0</v>
      </c>
      <c r="CH171" s="58">
        <v>0</v>
      </c>
      <c r="CI171" s="29">
        <v>0</v>
      </c>
      <c r="CJ171" s="30">
        <f t="shared" si="179"/>
        <v>493</v>
      </c>
      <c r="CK171" s="28">
        <f>PRODUCTION!CL171+'SUPLIER INWARD'!CL171</f>
        <v>0</v>
      </c>
      <c r="CL171" s="58"/>
      <c r="CM171" s="152"/>
      <c r="CN171" s="30">
        <f t="shared" si="180"/>
        <v>493</v>
      </c>
      <c r="CO171" s="28">
        <f>PRODUCTION!CP171+'SUPLIER INWARD'!CP171</f>
        <v>0</v>
      </c>
      <c r="CP171" s="58">
        <v>0</v>
      </c>
      <c r="CQ171" s="29">
        <v>0</v>
      </c>
      <c r="CR171" s="30">
        <f t="shared" si="181"/>
        <v>493</v>
      </c>
      <c r="CS171" s="28">
        <f>PRODUCTION!CT171+'SUPLIER INWARD'!CT171</f>
        <v>0</v>
      </c>
      <c r="CT171" s="28">
        <v>0</v>
      </c>
      <c r="CU171" s="29">
        <v>0</v>
      </c>
      <c r="CV171" s="30">
        <f t="shared" si="182"/>
        <v>493</v>
      </c>
      <c r="CW171" s="28">
        <f>PRODUCTION!CX171+'SUPLIER INWARD'!CX171</f>
        <v>0</v>
      </c>
      <c r="CX171" s="58">
        <v>0</v>
      </c>
      <c r="CY171" s="29">
        <v>0</v>
      </c>
      <c r="CZ171" s="30">
        <f t="shared" si="212"/>
        <v>493</v>
      </c>
      <c r="DA171" s="28">
        <f>PRODUCTION!DB171+'SUPLIER INWARD'!DB171</f>
        <v>0</v>
      </c>
      <c r="DB171" s="58"/>
      <c r="DC171" s="29"/>
      <c r="DD171" s="30">
        <f t="shared" si="213"/>
        <v>493</v>
      </c>
      <c r="DE171" s="28">
        <f>PRODUCTION!DF171+'SUPLIER INWARD'!DF171</f>
        <v>0</v>
      </c>
      <c r="DF171" s="58">
        <v>0</v>
      </c>
      <c r="DG171" s="29">
        <v>0</v>
      </c>
      <c r="DH171" s="30">
        <f t="shared" si="214"/>
        <v>493</v>
      </c>
      <c r="DI171" s="28">
        <f>PRODUCTION!DJ171+'SUPLIER INWARD'!DJ171</f>
        <v>0</v>
      </c>
      <c r="DJ171" s="58">
        <v>0</v>
      </c>
      <c r="DK171" s="29">
        <v>0</v>
      </c>
      <c r="DL171" s="30">
        <f t="shared" si="215"/>
        <v>493</v>
      </c>
      <c r="DM171" s="28">
        <f>PRODUCTION!DN171+'SUPLIER INWARD'!DN171</f>
        <v>0</v>
      </c>
      <c r="DN171" s="58">
        <v>0</v>
      </c>
      <c r="DO171" s="29"/>
      <c r="DP171" s="30">
        <f t="shared" si="216"/>
        <v>493</v>
      </c>
      <c r="DQ171" s="28">
        <f>PRODUCTION!DR171+'SUPLIER INWARD'!DR171</f>
        <v>0</v>
      </c>
      <c r="DR171" s="57"/>
      <c r="DS171" s="29"/>
      <c r="DT171" s="30">
        <f t="shared" si="217"/>
        <v>493</v>
      </c>
      <c r="DU171" s="28">
        <f>PRODUCTION!DV171+'SUPLIER INWARD'!DV171</f>
        <v>0</v>
      </c>
      <c r="DV171" s="58"/>
      <c r="DW171" s="29"/>
      <c r="DX171" s="30">
        <f t="shared" si="218"/>
        <v>493</v>
      </c>
      <c r="DY171" s="141">
        <f t="shared" si="192"/>
        <v>0</v>
      </c>
      <c r="DZ171" s="141">
        <f t="shared" si="190"/>
        <v>0</v>
      </c>
      <c r="EA171" s="4">
        <f t="shared" si="191"/>
        <v>0</v>
      </c>
      <c r="EB171" s="9">
        <f>D171*'MASTER SHEET'!D171</f>
        <v>4121.4799999999996</v>
      </c>
      <c r="EC171" s="9">
        <f>H171*'MASTER SHEET'!D171</f>
        <v>4121.4799999999996</v>
      </c>
      <c r="ED171" s="9">
        <f>L171*'MASTER SHEET'!D171</f>
        <v>4121.4799999999996</v>
      </c>
      <c r="EE171" s="9">
        <f>P171*'MASTER SHEET'!D171</f>
        <v>4121.4799999999996</v>
      </c>
      <c r="EF171" s="9">
        <f>T171*'MASTER SHEET'!D171</f>
        <v>4121.4799999999996</v>
      </c>
      <c r="EG171" s="9">
        <f>X171*'MASTER SHEET'!D171</f>
        <v>4121.4799999999996</v>
      </c>
      <c r="EH171" s="9">
        <f>AB171*'MASTER SHEET'!D171</f>
        <v>4121.4799999999996</v>
      </c>
      <c r="EI171" s="9">
        <f>AF171*'MASTER SHEET'!D171</f>
        <v>4121.4799999999996</v>
      </c>
      <c r="EJ171" s="9">
        <f>AJ171*'MASTER SHEET'!D171</f>
        <v>4121.4799999999996</v>
      </c>
      <c r="EK171" s="9">
        <f>AN171*'MASTER SHEET'!D171</f>
        <v>4121.4799999999996</v>
      </c>
      <c r="EL171" s="9">
        <f>AR171*'MASTER SHEET'!D171</f>
        <v>4121.4799999999996</v>
      </c>
      <c r="EM171" s="9">
        <f>AV171*'MASTER SHEET'!D171</f>
        <v>4121.4799999999996</v>
      </c>
      <c r="EN171" s="9">
        <f>AZ171*'MASTER SHEET'!D171</f>
        <v>4121.4799999999996</v>
      </c>
      <c r="EO171" s="9">
        <f>BD171*'MASTER SHEET'!D171</f>
        <v>4121.4799999999996</v>
      </c>
      <c r="EP171" s="9">
        <f>$BH171*'MASTER SHEET'!$D171</f>
        <v>4121.4799999999996</v>
      </c>
      <c r="EQ171" s="9">
        <f>BL171*'MASTER SHEET'!D171</f>
        <v>4121.4799999999996</v>
      </c>
      <c r="ER171" s="9">
        <f>BP171*'MASTER SHEET'!D171</f>
        <v>4121.4799999999996</v>
      </c>
      <c r="ES171" s="9">
        <f>BT171*'MASTER SHEET'!D171</f>
        <v>4121.4799999999996</v>
      </c>
      <c r="ET171" s="9">
        <f>BX171*'MASTER SHEET'!D171</f>
        <v>4121.4799999999996</v>
      </c>
      <c r="EU171" s="9">
        <f>CB171*'MASTER SHEET'!D171</f>
        <v>4121.4799999999996</v>
      </c>
      <c r="EV171" s="9">
        <f>CF171*'MASTER SHEET'!D171</f>
        <v>4121.4799999999996</v>
      </c>
      <c r="EW171" s="9">
        <f>CJ171*'MASTER SHEET'!D171</f>
        <v>4121.4799999999996</v>
      </c>
      <c r="EX171" s="9">
        <f>CN171*'MASTER SHEET'!D171</f>
        <v>4121.4799999999996</v>
      </c>
      <c r="EY171" s="9">
        <f>CR171*'MASTER SHEET'!D171</f>
        <v>4121.4799999999996</v>
      </c>
      <c r="EZ171" s="9">
        <f>$CV171*'MASTER SHEET'!D171</f>
        <v>4121.4799999999996</v>
      </c>
      <c r="FA171" s="9">
        <f>CZ171*'MASTER SHEET'!D171</f>
        <v>4121.4799999999996</v>
      </c>
      <c r="FB171" s="9">
        <f>DD171*'MASTER SHEET'!D171</f>
        <v>4121.4799999999996</v>
      </c>
      <c r="FC171" s="9">
        <f>DH171*'MASTER SHEET'!D171</f>
        <v>4121.4799999999996</v>
      </c>
      <c r="FD171" s="9">
        <f>DL171*'MASTER SHEET'!D171</f>
        <v>4121.4799999999996</v>
      </c>
      <c r="FE171" s="9">
        <f>DP171*'MASTER SHEET'!D171</f>
        <v>4121.4799999999996</v>
      </c>
      <c r="FF171" s="9">
        <f>DT171*'MASTER SHEET'!D171</f>
        <v>4121.4799999999996</v>
      </c>
      <c r="FG171" s="9">
        <f>+DX171*'MASTER SHEET'!D171</f>
        <v>4121.4799999999996</v>
      </c>
    </row>
    <row r="172" spans="1:163" ht="20.25" customHeight="1" x14ac:dyDescent="0.25">
      <c r="A172" s="25">
        <f>'MASTER SHEET'!A172</f>
        <v>170</v>
      </c>
      <c r="B172" s="168" t="str">
        <f>'MASTER SHEET'!B172</f>
        <v>ACTUATOR PLUNGER</v>
      </c>
      <c r="C172" s="169" t="str">
        <f>'MASTER SHEET'!C172</f>
        <v>BA00005304</v>
      </c>
      <c r="D172" s="159">
        <v>428</v>
      </c>
      <c r="E172" s="28">
        <f>PRODUCTION!F172+'SUPLIER INWARD'!F172</f>
        <v>0</v>
      </c>
      <c r="F172" s="28"/>
      <c r="G172" s="29">
        <v>0</v>
      </c>
      <c r="H172" s="30">
        <f t="shared" si="193"/>
        <v>428</v>
      </c>
      <c r="I172" s="28">
        <f>PRODUCTION!J172+'SUPLIER INWARD'!J172</f>
        <v>0</v>
      </c>
      <c r="J172" s="28"/>
      <c r="K172" s="29">
        <v>0</v>
      </c>
      <c r="L172" s="30">
        <f t="shared" si="194"/>
        <v>428</v>
      </c>
      <c r="M172" s="28">
        <f>PRODUCTION!N172+'SUPLIER INWARD'!N172</f>
        <v>0</v>
      </c>
      <c r="N172" s="58"/>
      <c r="O172" s="29"/>
      <c r="P172" s="30">
        <f t="shared" si="195"/>
        <v>428</v>
      </c>
      <c r="Q172" s="28">
        <f>PRODUCTION!R172+'SUPLIER INWARD'!R172</f>
        <v>0</v>
      </c>
      <c r="R172" s="58"/>
      <c r="S172" s="29">
        <v>0</v>
      </c>
      <c r="T172" s="30">
        <f t="shared" si="196"/>
        <v>428</v>
      </c>
      <c r="U172" s="28">
        <f>PRODUCTION!V172+'SUPLIER INWARD'!V172</f>
        <v>0</v>
      </c>
      <c r="V172" s="58">
        <v>0</v>
      </c>
      <c r="W172" s="29">
        <v>0</v>
      </c>
      <c r="X172" s="30">
        <f t="shared" si="197"/>
        <v>428</v>
      </c>
      <c r="Y172" s="28">
        <f>PRODUCTION!Z172+'SUPLIER INWARD'!Z172</f>
        <v>0</v>
      </c>
      <c r="Z172" s="58">
        <v>0</v>
      </c>
      <c r="AA172" s="29">
        <v>0</v>
      </c>
      <c r="AB172" s="30">
        <f t="shared" si="198"/>
        <v>428</v>
      </c>
      <c r="AC172" s="28">
        <f>PRODUCTION!AD172+'SUPLIER INWARD'!AD172</f>
        <v>0</v>
      </c>
      <c r="AD172" s="58">
        <v>0</v>
      </c>
      <c r="AE172" s="29">
        <v>0</v>
      </c>
      <c r="AF172" s="30">
        <f t="shared" si="199"/>
        <v>428</v>
      </c>
      <c r="AG172" s="28">
        <f>PRODUCTION!AH172+'SUPLIER INWARD'!AH172</f>
        <v>0</v>
      </c>
      <c r="AH172" s="58">
        <v>0</v>
      </c>
      <c r="AI172" s="29">
        <v>0</v>
      </c>
      <c r="AJ172" s="30">
        <f t="shared" si="200"/>
        <v>428</v>
      </c>
      <c r="AK172" s="28">
        <f>PRODUCTION!AL172+'SUPLIER INWARD'!AL172</f>
        <v>0</v>
      </c>
      <c r="AL172" s="58">
        <v>0</v>
      </c>
      <c r="AM172" s="29">
        <v>0</v>
      </c>
      <c r="AN172" s="30">
        <f t="shared" si="201"/>
        <v>428</v>
      </c>
      <c r="AO172" s="28">
        <f>PRODUCTION!AP172+'SUPLIER INWARD'!AP172</f>
        <v>0</v>
      </c>
      <c r="AP172" s="28"/>
      <c r="AQ172" s="29">
        <v>0</v>
      </c>
      <c r="AR172" s="30">
        <f t="shared" si="202"/>
        <v>428</v>
      </c>
      <c r="AS172" s="28">
        <f>PRODUCTION!AT172+'SUPLIER INWARD'!AT172</f>
        <v>0</v>
      </c>
      <c r="AT172" s="28">
        <v>0</v>
      </c>
      <c r="AU172" s="29">
        <v>0</v>
      </c>
      <c r="AV172" s="30">
        <f t="shared" si="203"/>
        <v>428</v>
      </c>
      <c r="AW172" s="28">
        <f>PRODUCTION!AX172+'SUPLIER INWARD'!AX172</f>
        <v>0</v>
      </c>
      <c r="AX172" s="28"/>
      <c r="AY172" s="29"/>
      <c r="AZ172" s="30">
        <f t="shared" si="204"/>
        <v>428</v>
      </c>
      <c r="BA172" s="28">
        <f>PRODUCTION!BB172+'SUPLIER INWARD'!BB172</f>
        <v>0</v>
      </c>
      <c r="BB172" s="58">
        <v>0</v>
      </c>
      <c r="BC172" s="29">
        <v>0</v>
      </c>
      <c r="BD172" s="30">
        <f t="shared" si="205"/>
        <v>428</v>
      </c>
      <c r="BE172" s="28">
        <f>PRODUCTION!BF172+'SUPLIER INWARD'!BF172</f>
        <v>0</v>
      </c>
      <c r="BF172" s="58"/>
      <c r="BG172" s="29">
        <v>0</v>
      </c>
      <c r="BH172" s="30">
        <f t="shared" si="206"/>
        <v>428</v>
      </c>
      <c r="BI172" s="28">
        <f>PRODUCTION!BJ172+'SUPLIER INWARD'!BJ172</f>
        <v>0</v>
      </c>
      <c r="BJ172" s="58">
        <v>0</v>
      </c>
      <c r="BK172" s="29">
        <v>0</v>
      </c>
      <c r="BL172" s="30">
        <f t="shared" si="207"/>
        <v>428</v>
      </c>
      <c r="BM172" s="28">
        <f>PRODUCTION!BN172+'SUPLIER INWARD'!BN172</f>
        <v>0</v>
      </c>
      <c r="BN172" s="58">
        <v>0</v>
      </c>
      <c r="BO172" s="29">
        <v>0</v>
      </c>
      <c r="BP172" s="30">
        <f t="shared" si="208"/>
        <v>428</v>
      </c>
      <c r="BQ172" s="28">
        <f>PRODUCTION!BR172+'SUPLIER INWARD'!BR172</f>
        <v>0</v>
      </c>
      <c r="BR172" s="58">
        <v>0</v>
      </c>
      <c r="BS172" s="29">
        <v>0</v>
      </c>
      <c r="BT172" s="30">
        <f t="shared" si="209"/>
        <v>428</v>
      </c>
      <c r="BU172" s="28">
        <f>PRODUCTION!BV172+'SUPLIER INWARD'!BV172</f>
        <v>0</v>
      </c>
      <c r="BV172" s="58">
        <v>0</v>
      </c>
      <c r="BW172" s="29">
        <v>0</v>
      </c>
      <c r="BX172" s="30">
        <f t="shared" si="176"/>
        <v>428</v>
      </c>
      <c r="BY172" s="28">
        <f>PRODUCTION!BZ172+'SUPLIER INWARD'!BZ172</f>
        <v>0</v>
      </c>
      <c r="BZ172" s="58"/>
      <c r="CA172" s="29">
        <v>0</v>
      </c>
      <c r="CB172" s="30">
        <f t="shared" si="210"/>
        <v>428</v>
      </c>
      <c r="CC172" s="28">
        <f>PRODUCTION!CD172+'SUPLIER INWARD'!CD172</f>
        <v>0</v>
      </c>
      <c r="CD172" s="58">
        <v>0</v>
      </c>
      <c r="CE172" s="29">
        <v>0</v>
      </c>
      <c r="CF172" s="30">
        <f t="shared" si="211"/>
        <v>428</v>
      </c>
      <c r="CG172" s="28">
        <f>PRODUCTION!CH172+'SUPLIER INWARD'!CH172</f>
        <v>0</v>
      </c>
      <c r="CH172" s="58">
        <v>0</v>
      </c>
      <c r="CI172" s="29">
        <v>0</v>
      </c>
      <c r="CJ172" s="30">
        <f t="shared" si="179"/>
        <v>428</v>
      </c>
      <c r="CK172" s="28">
        <f>PRODUCTION!CL172+'SUPLIER INWARD'!CL172</f>
        <v>0</v>
      </c>
      <c r="CL172" s="58"/>
      <c r="CM172" s="152"/>
      <c r="CN172" s="30">
        <f t="shared" si="180"/>
        <v>428</v>
      </c>
      <c r="CO172" s="28">
        <f>PRODUCTION!CP172+'SUPLIER INWARD'!CP172</f>
        <v>0</v>
      </c>
      <c r="CP172" s="58">
        <v>0</v>
      </c>
      <c r="CQ172" s="29">
        <v>0</v>
      </c>
      <c r="CR172" s="30">
        <f t="shared" si="181"/>
        <v>428</v>
      </c>
      <c r="CS172" s="28">
        <f>PRODUCTION!CT172+'SUPLIER INWARD'!CT172</f>
        <v>0</v>
      </c>
      <c r="CT172" s="28">
        <v>0</v>
      </c>
      <c r="CU172" s="29">
        <v>0</v>
      </c>
      <c r="CV172" s="30">
        <f t="shared" si="182"/>
        <v>428</v>
      </c>
      <c r="CW172" s="28">
        <f>PRODUCTION!CX172+'SUPLIER INWARD'!CX172</f>
        <v>0</v>
      </c>
      <c r="CX172" s="58">
        <v>0</v>
      </c>
      <c r="CY172" s="29">
        <v>0</v>
      </c>
      <c r="CZ172" s="30">
        <f t="shared" si="212"/>
        <v>428</v>
      </c>
      <c r="DA172" s="28">
        <f>PRODUCTION!DB172+'SUPLIER INWARD'!DB172</f>
        <v>0</v>
      </c>
      <c r="DB172" s="58"/>
      <c r="DC172" s="29"/>
      <c r="DD172" s="30">
        <f t="shared" si="213"/>
        <v>428</v>
      </c>
      <c r="DE172" s="28">
        <f>PRODUCTION!DF172+'SUPLIER INWARD'!DF172</f>
        <v>0</v>
      </c>
      <c r="DF172" s="58">
        <v>0</v>
      </c>
      <c r="DG172" s="29">
        <v>0</v>
      </c>
      <c r="DH172" s="30">
        <f t="shared" si="214"/>
        <v>428</v>
      </c>
      <c r="DI172" s="28">
        <f>PRODUCTION!DJ172+'SUPLIER INWARD'!DJ172</f>
        <v>0</v>
      </c>
      <c r="DJ172" s="58">
        <v>0</v>
      </c>
      <c r="DK172" s="29">
        <v>0</v>
      </c>
      <c r="DL172" s="30">
        <f t="shared" si="215"/>
        <v>428</v>
      </c>
      <c r="DM172" s="28">
        <f>PRODUCTION!DN172+'SUPLIER INWARD'!DN172</f>
        <v>0</v>
      </c>
      <c r="DN172" s="58">
        <v>0</v>
      </c>
      <c r="DO172" s="29"/>
      <c r="DP172" s="30">
        <f t="shared" si="216"/>
        <v>428</v>
      </c>
      <c r="DQ172" s="28">
        <f>PRODUCTION!DR172+'SUPLIER INWARD'!DR172</f>
        <v>0</v>
      </c>
      <c r="DR172" s="57"/>
      <c r="DS172" s="29"/>
      <c r="DT172" s="30">
        <f t="shared" si="217"/>
        <v>428</v>
      </c>
      <c r="DU172" s="28">
        <f>PRODUCTION!DV172+'SUPLIER INWARD'!DV172</f>
        <v>0</v>
      </c>
      <c r="DV172" s="58"/>
      <c r="DW172" s="29"/>
      <c r="DX172" s="30">
        <f t="shared" si="218"/>
        <v>428</v>
      </c>
      <c r="DY172" s="141">
        <f t="shared" si="192"/>
        <v>0</v>
      </c>
      <c r="DZ172" s="141">
        <f t="shared" si="190"/>
        <v>0</v>
      </c>
      <c r="EA172" s="4">
        <f t="shared" si="191"/>
        <v>0</v>
      </c>
      <c r="EB172" s="9">
        <f>D172*'MASTER SHEET'!D172</f>
        <v>774.68000000000006</v>
      </c>
      <c r="EC172" s="9">
        <f>H172*'MASTER SHEET'!D172</f>
        <v>774.68000000000006</v>
      </c>
      <c r="ED172" s="9">
        <f>L172*'MASTER SHEET'!D172</f>
        <v>774.68000000000006</v>
      </c>
      <c r="EE172" s="9">
        <f>P172*'MASTER SHEET'!D172</f>
        <v>774.68000000000006</v>
      </c>
      <c r="EF172" s="9">
        <f>T172*'MASTER SHEET'!D172</f>
        <v>774.68000000000006</v>
      </c>
      <c r="EG172" s="9">
        <f>X172*'MASTER SHEET'!D172</f>
        <v>774.68000000000006</v>
      </c>
      <c r="EH172" s="9">
        <f>AB172*'MASTER SHEET'!D172</f>
        <v>774.68000000000006</v>
      </c>
      <c r="EI172" s="9">
        <f>AF172*'MASTER SHEET'!D172</f>
        <v>774.68000000000006</v>
      </c>
      <c r="EJ172" s="9">
        <f>AJ172*'MASTER SHEET'!D172</f>
        <v>774.68000000000006</v>
      </c>
      <c r="EK172" s="9">
        <f>AN172*'MASTER SHEET'!D172</f>
        <v>774.68000000000006</v>
      </c>
      <c r="EL172" s="9">
        <f>AR172*'MASTER SHEET'!D172</f>
        <v>774.68000000000006</v>
      </c>
      <c r="EM172" s="9">
        <f>AV172*'MASTER SHEET'!D172</f>
        <v>774.68000000000006</v>
      </c>
      <c r="EN172" s="9">
        <f>AZ172*'MASTER SHEET'!D172</f>
        <v>774.68000000000006</v>
      </c>
      <c r="EO172" s="9">
        <f>BD172*'MASTER SHEET'!D172</f>
        <v>774.68000000000006</v>
      </c>
      <c r="EP172" s="9">
        <f>$BH172*'MASTER SHEET'!$D172</f>
        <v>774.68000000000006</v>
      </c>
      <c r="EQ172" s="9">
        <f>BL172*'MASTER SHEET'!D172</f>
        <v>774.68000000000006</v>
      </c>
      <c r="ER172" s="9">
        <f>BP172*'MASTER SHEET'!D172</f>
        <v>774.68000000000006</v>
      </c>
      <c r="ES172" s="9">
        <f>BT172*'MASTER SHEET'!D172</f>
        <v>774.68000000000006</v>
      </c>
      <c r="ET172" s="9">
        <f>BX172*'MASTER SHEET'!D172</f>
        <v>774.68000000000006</v>
      </c>
      <c r="EU172" s="9">
        <f>CB172*'MASTER SHEET'!D172</f>
        <v>774.68000000000006</v>
      </c>
      <c r="EV172" s="9">
        <f>CF172*'MASTER SHEET'!D172</f>
        <v>774.68000000000006</v>
      </c>
      <c r="EW172" s="9">
        <f>CJ172*'MASTER SHEET'!D172</f>
        <v>774.68000000000006</v>
      </c>
      <c r="EX172" s="9">
        <f>CN172*'MASTER SHEET'!D172</f>
        <v>774.68000000000006</v>
      </c>
      <c r="EY172" s="9">
        <f>CR172*'MASTER SHEET'!D172</f>
        <v>774.68000000000006</v>
      </c>
      <c r="EZ172" s="9">
        <f>$CV172*'MASTER SHEET'!D172</f>
        <v>774.68000000000006</v>
      </c>
      <c r="FA172" s="9">
        <f>CZ172*'MASTER SHEET'!D172</f>
        <v>774.68000000000006</v>
      </c>
      <c r="FB172" s="9">
        <f>DD172*'MASTER SHEET'!D172</f>
        <v>774.68000000000006</v>
      </c>
      <c r="FC172" s="9">
        <f>DH172*'MASTER SHEET'!D172</f>
        <v>774.68000000000006</v>
      </c>
      <c r="FD172" s="9">
        <f>DL172*'MASTER SHEET'!D172</f>
        <v>774.68000000000006</v>
      </c>
      <c r="FE172" s="9">
        <f>DP172*'MASTER SHEET'!D172</f>
        <v>774.68000000000006</v>
      </c>
      <c r="FF172" s="9">
        <f>DT172*'MASTER SHEET'!D172</f>
        <v>774.68000000000006</v>
      </c>
      <c r="FG172" s="9">
        <f>+DX172*'MASTER SHEET'!D172</f>
        <v>774.68000000000006</v>
      </c>
    </row>
    <row r="173" spans="1:163" ht="20.25" customHeight="1" x14ac:dyDescent="0.25">
      <c r="A173" s="25">
        <f>'MASTER SHEET'!A173</f>
        <v>171</v>
      </c>
      <c r="B173" s="168" t="str">
        <f>'MASTER SHEET'!B173</f>
        <v>W BASE TRIM CLIP</v>
      </c>
      <c r="C173" s="169">
        <f>'MASTER SHEET'!C173</f>
        <v>62802</v>
      </c>
      <c r="D173" s="159">
        <v>50500</v>
      </c>
      <c r="E173" s="28">
        <f>PRODUCTION!F173+'SUPLIER INWARD'!F173</f>
        <v>0</v>
      </c>
      <c r="F173" s="28"/>
      <c r="G173" s="29">
        <v>0</v>
      </c>
      <c r="H173" s="30">
        <f t="shared" si="193"/>
        <v>50500</v>
      </c>
      <c r="I173" s="28">
        <f>PRODUCTION!J173+'SUPLIER INWARD'!J173</f>
        <v>0</v>
      </c>
      <c r="J173" s="28"/>
      <c r="K173" s="29">
        <v>0</v>
      </c>
      <c r="L173" s="30">
        <f t="shared" si="194"/>
        <v>50500</v>
      </c>
      <c r="M173" s="28">
        <f>PRODUCTION!N173+'SUPLIER INWARD'!N173</f>
        <v>0</v>
      </c>
      <c r="N173" s="58"/>
      <c r="O173" s="29"/>
      <c r="P173" s="30">
        <f t="shared" si="195"/>
        <v>50500</v>
      </c>
      <c r="Q173" s="28">
        <f>PRODUCTION!R173+'SUPLIER INWARD'!R173</f>
        <v>0</v>
      </c>
      <c r="R173" s="58"/>
      <c r="S173" s="29">
        <v>0</v>
      </c>
      <c r="T173" s="30">
        <f t="shared" si="196"/>
        <v>50500</v>
      </c>
      <c r="U173" s="28">
        <f>PRODUCTION!V173+'SUPLIER INWARD'!V173</f>
        <v>0</v>
      </c>
      <c r="V173" s="58">
        <v>0</v>
      </c>
      <c r="W173" s="29">
        <v>0</v>
      </c>
      <c r="X173" s="30">
        <f t="shared" si="197"/>
        <v>50500</v>
      </c>
      <c r="Y173" s="28">
        <f>PRODUCTION!Z173+'SUPLIER INWARD'!Z173</f>
        <v>0</v>
      </c>
      <c r="Z173" s="58">
        <v>0</v>
      </c>
      <c r="AA173" s="29">
        <v>0</v>
      </c>
      <c r="AB173" s="30">
        <f t="shared" si="198"/>
        <v>50500</v>
      </c>
      <c r="AC173" s="28">
        <f>PRODUCTION!AD173+'SUPLIER INWARD'!AD173</f>
        <v>0</v>
      </c>
      <c r="AD173" s="58">
        <v>0</v>
      </c>
      <c r="AE173" s="29">
        <v>0</v>
      </c>
      <c r="AF173" s="30">
        <f t="shared" si="199"/>
        <v>50500</v>
      </c>
      <c r="AG173" s="28">
        <f>PRODUCTION!AH173+'SUPLIER INWARD'!AH173</f>
        <v>0</v>
      </c>
      <c r="AH173" s="58">
        <v>0</v>
      </c>
      <c r="AI173" s="29">
        <v>0</v>
      </c>
      <c r="AJ173" s="30">
        <f t="shared" si="200"/>
        <v>50500</v>
      </c>
      <c r="AK173" s="28">
        <f>PRODUCTION!AL173+'SUPLIER INWARD'!AL173</f>
        <v>0</v>
      </c>
      <c r="AL173" s="58">
        <v>0</v>
      </c>
      <c r="AM173" s="29">
        <v>0</v>
      </c>
      <c r="AN173" s="30">
        <f t="shared" si="201"/>
        <v>50500</v>
      </c>
      <c r="AO173" s="28">
        <f>PRODUCTION!AP173+'SUPLIER INWARD'!AP173</f>
        <v>0</v>
      </c>
      <c r="AP173" s="28"/>
      <c r="AQ173" s="29">
        <v>0</v>
      </c>
      <c r="AR173" s="30">
        <f t="shared" si="202"/>
        <v>50500</v>
      </c>
      <c r="AS173" s="28">
        <f>PRODUCTION!AT173+'SUPLIER INWARD'!AT173</f>
        <v>0</v>
      </c>
      <c r="AT173" s="28">
        <v>0</v>
      </c>
      <c r="AU173" s="29">
        <v>0</v>
      </c>
      <c r="AV173" s="30">
        <f t="shared" si="203"/>
        <v>50500</v>
      </c>
      <c r="AW173" s="28">
        <f>PRODUCTION!AX173+'SUPLIER INWARD'!AX173</f>
        <v>0</v>
      </c>
      <c r="AX173" s="28"/>
      <c r="AY173" s="29"/>
      <c r="AZ173" s="30">
        <f t="shared" si="204"/>
        <v>50500</v>
      </c>
      <c r="BA173" s="28">
        <f>PRODUCTION!BB173+'SUPLIER INWARD'!BB173</f>
        <v>0</v>
      </c>
      <c r="BB173" s="58">
        <v>0</v>
      </c>
      <c r="BC173" s="29">
        <v>0</v>
      </c>
      <c r="BD173" s="30">
        <f t="shared" si="205"/>
        <v>50500</v>
      </c>
      <c r="BE173" s="28">
        <f>PRODUCTION!BF173+'SUPLIER INWARD'!BF173</f>
        <v>0</v>
      </c>
      <c r="BF173" s="58"/>
      <c r="BG173" s="29">
        <v>0</v>
      </c>
      <c r="BH173" s="30">
        <f t="shared" si="206"/>
        <v>50500</v>
      </c>
      <c r="BI173" s="28">
        <f>PRODUCTION!BJ173+'SUPLIER INWARD'!BJ173</f>
        <v>0</v>
      </c>
      <c r="BJ173" s="58">
        <v>0</v>
      </c>
      <c r="BK173" s="29">
        <v>0</v>
      </c>
      <c r="BL173" s="30">
        <f t="shared" si="207"/>
        <v>50500</v>
      </c>
      <c r="BM173" s="28">
        <f>PRODUCTION!BN173+'SUPLIER INWARD'!BN173</f>
        <v>0</v>
      </c>
      <c r="BN173" s="58">
        <v>0</v>
      </c>
      <c r="BO173" s="29">
        <v>0</v>
      </c>
      <c r="BP173" s="30">
        <f t="shared" si="208"/>
        <v>50500</v>
      </c>
      <c r="BQ173" s="28">
        <f>PRODUCTION!BR173+'SUPLIER INWARD'!BR173</f>
        <v>0</v>
      </c>
      <c r="BR173" s="58">
        <v>0</v>
      </c>
      <c r="BS173" s="29">
        <v>0</v>
      </c>
      <c r="BT173" s="30">
        <f t="shared" si="209"/>
        <v>50500</v>
      </c>
      <c r="BU173" s="28">
        <f>PRODUCTION!BV173+'SUPLIER INWARD'!BV173</f>
        <v>0</v>
      </c>
      <c r="BV173" s="58">
        <v>0</v>
      </c>
      <c r="BW173" s="29">
        <v>0</v>
      </c>
      <c r="BX173" s="30">
        <f t="shared" si="176"/>
        <v>50500</v>
      </c>
      <c r="BY173" s="28">
        <f>PRODUCTION!BZ173+'SUPLIER INWARD'!BZ173</f>
        <v>0</v>
      </c>
      <c r="BZ173" s="58"/>
      <c r="CA173" s="29">
        <v>0</v>
      </c>
      <c r="CB173" s="30">
        <f t="shared" si="210"/>
        <v>50500</v>
      </c>
      <c r="CC173" s="28">
        <f>PRODUCTION!CD173+'SUPLIER INWARD'!CD173</f>
        <v>0</v>
      </c>
      <c r="CD173" s="58">
        <v>0</v>
      </c>
      <c r="CE173" s="29">
        <v>0</v>
      </c>
      <c r="CF173" s="30">
        <f t="shared" si="211"/>
        <v>50500</v>
      </c>
      <c r="CG173" s="28">
        <f>PRODUCTION!CH173+'SUPLIER INWARD'!CH173</f>
        <v>0</v>
      </c>
      <c r="CH173" s="58">
        <v>0</v>
      </c>
      <c r="CI173" s="29">
        <v>0</v>
      </c>
      <c r="CJ173" s="30">
        <f t="shared" si="179"/>
        <v>50500</v>
      </c>
      <c r="CK173" s="28">
        <f>PRODUCTION!CL173+'SUPLIER INWARD'!CL173</f>
        <v>0</v>
      </c>
      <c r="CL173" s="58"/>
      <c r="CM173" s="152"/>
      <c r="CN173" s="30">
        <f t="shared" si="180"/>
        <v>50500</v>
      </c>
      <c r="CO173" s="28">
        <f>PRODUCTION!CP173+'SUPLIER INWARD'!CP173</f>
        <v>0</v>
      </c>
      <c r="CP173" s="58">
        <v>0</v>
      </c>
      <c r="CQ173" s="29">
        <v>0</v>
      </c>
      <c r="CR173" s="30">
        <f t="shared" si="181"/>
        <v>50500</v>
      </c>
      <c r="CS173" s="28">
        <f>PRODUCTION!CT173+'SUPLIER INWARD'!CT173</f>
        <v>0</v>
      </c>
      <c r="CT173" s="28">
        <v>0</v>
      </c>
      <c r="CU173" s="29">
        <v>0</v>
      </c>
      <c r="CV173" s="30">
        <f t="shared" si="182"/>
        <v>50500</v>
      </c>
      <c r="CW173" s="28">
        <f>PRODUCTION!CX173+'SUPLIER INWARD'!CX173</f>
        <v>0</v>
      </c>
      <c r="CX173" s="58">
        <v>0</v>
      </c>
      <c r="CY173" s="29">
        <v>0</v>
      </c>
      <c r="CZ173" s="30">
        <f t="shared" si="212"/>
        <v>50500</v>
      </c>
      <c r="DA173" s="28">
        <f>PRODUCTION!DB173+'SUPLIER INWARD'!DB173</f>
        <v>0</v>
      </c>
      <c r="DB173" s="58"/>
      <c r="DC173" s="29"/>
      <c r="DD173" s="30">
        <f t="shared" si="213"/>
        <v>50500</v>
      </c>
      <c r="DE173" s="28">
        <f>PRODUCTION!DF173+'SUPLIER INWARD'!DF173</f>
        <v>0</v>
      </c>
      <c r="DF173" s="58">
        <v>0</v>
      </c>
      <c r="DG173" s="29">
        <v>0</v>
      </c>
      <c r="DH173" s="30">
        <f t="shared" si="214"/>
        <v>50500</v>
      </c>
      <c r="DI173" s="28">
        <f>PRODUCTION!DJ173+'SUPLIER INWARD'!DJ173</f>
        <v>0</v>
      </c>
      <c r="DJ173" s="58">
        <v>0</v>
      </c>
      <c r="DK173" s="29">
        <v>0</v>
      </c>
      <c r="DL173" s="30">
        <f t="shared" si="215"/>
        <v>50500</v>
      </c>
      <c r="DM173" s="28">
        <f>PRODUCTION!DN173+'SUPLIER INWARD'!DN173</f>
        <v>0</v>
      </c>
      <c r="DN173" s="58">
        <v>0</v>
      </c>
      <c r="DO173" s="29"/>
      <c r="DP173" s="30">
        <f t="shared" si="216"/>
        <v>50500</v>
      </c>
      <c r="DQ173" s="28">
        <f>PRODUCTION!DR173+'SUPLIER INWARD'!DR173</f>
        <v>0</v>
      </c>
      <c r="DR173" s="57"/>
      <c r="DS173" s="29"/>
      <c r="DT173" s="30">
        <f t="shared" si="217"/>
        <v>50500</v>
      </c>
      <c r="DU173" s="28">
        <f>PRODUCTION!DV173+'SUPLIER INWARD'!DV173</f>
        <v>0</v>
      </c>
      <c r="DV173" s="58"/>
      <c r="DW173" s="29"/>
      <c r="DX173" s="30">
        <f t="shared" si="218"/>
        <v>50500</v>
      </c>
      <c r="DY173" s="31">
        <f t="shared" si="192"/>
        <v>0</v>
      </c>
      <c r="DZ173" s="141">
        <f t="shared" ref="DZ173:DZ202" si="219">F173+J173+N173+R173+V173+Z173+AD173+AH173+AL173+AP173+AT173+AX173+BB173+BF173+BJ173+BN173+BR173+BV173+BZ173+CD173+CH173+CL173+CP173+CT173+CX173+DB173+DF173+DJ173+DN173+DR173+DV173</f>
        <v>0</v>
      </c>
      <c r="EA173" s="4">
        <f t="shared" ref="EA173:EA202" si="220">G173+K173+O173+S173+W173+AA173+AE173+AI173+AM173+AQ173+AU173+AY173+BC173+BG173+BK173+BO173+BS173+BW173+CA173+CE173+CI173+CM173+CQ173+CU173+CY173+DC173+DG173+DK173+DO173+DS173+DW173</f>
        <v>0</v>
      </c>
      <c r="EB173" s="9">
        <f>D173*'MASTER SHEET'!D173</f>
        <v>8080</v>
      </c>
      <c r="EC173" s="9">
        <f>H173*'MASTER SHEET'!D173</f>
        <v>8080</v>
      </c>
      <c r="ED173" s="9">
        <f>L173*'MASTER SHEET'!D173</f>
        <v>8080</v>
      </c>
      <c r="EE173" s="9">
        <f>P173*'MASTER SHEET'!D173</f>
        <v>8080</v>
      </c>
      <c r="EF173" s="9">
        <f>T173*'MASTER SHEET'!D173</f>
        <v>8080</v>
      </c>
      <c r="EG173" s="9">
        <f>X173*'MASTER SHEET'!D173</f>
        <v>8080</v>
      </c>
      <c r="EH173" s="9">
        <f>AB173*'MASTER SHEET'!D173</f>
        <v>8080</v>
      </c>
      <c r="EI173" s="9">
        <f>AF173*'MASTER SHEET'!D173</f>
        <v>8080</v>
      </c>
      <c r="EJ173" s="9">
        <f>AJ173*'MASTER SHEET'!D173</f>
        <v>8080</v>
      </c>
      <c r="EK173" s="9">
        <f>AN173*'MASTER SHEET'!D173</f>
        <v>8080</v>
      </c>
      <c r="EL173" s="9">
        <f>AR173*'MASTER SHEET'!D173</f>
        <v>8080</v>
      </c>
      <c r="EM173" s="9">
        <f>AV173*'MASTER SHEET'!D173</f>
        <v>8080</v>
      </c>
      <c r="EN173" s="9">
        <f>AZ173*'MASTER SHEET'!D173</f>
        <v>8080</v>
      </c>
      <c r="EO173" s="9">
        <f>BD173*'MASTER SHEET'!D173</f>
        <v>8080</v>
      </c>
      <c r="EP173" s="9">
        <f>$BH173*'MASTER SHEET'!$D173</f>
        <v>8080</v>
      </c>
      <c r="EQ173" s="9">
        <f>BL173*'MASTER SHEET'!D173</f>
        <v>8080</v>
      </c>
      <c r="ER173" s="9">
        <f>BP173*'MASTER SHEET'!D173</f>
        <v>8080</v>
      </c>
      <c r="ES173" s="9">
        <f>BT173*'MASTER SHEET'!D173</f>
        <v>8080</v>
      </c>
      <c r="ET173" s="9">
        <f>BX173*'MASTER SHEET'!D173</f>
        <v>8080</v>
      </c>
      <c r="EU173" s="9">
        <f>CB173*'MASTER SHEET'!D173</f>
        <v>8080</v>
      </c>
      <c r="EV173" s="9">
        <f>CF173*'MASTER SHEET'!D173</f>
        <v>8080</v>
      </c>
      <c r="EW173" s="9">
        <f>CJ173*'MASTER SHEET'!D173</f>
        <v>8080</v>
      </c>
      <c r="EX173" s="9">
        <f>CN173*'MASTER SHEET'!D173</f>
        <v>8080</v>
      </c>
      <c r="EY173" s="9">
        <f>CR173*'MASTER SHEET'!D173</f>
        <v>8080</v>
      </c>
      <c r="EZ173" s="9">
        <f>$CV173*'MASTER SHEET'!D173</f>
        <v>8080</v>
      </c>
      <c r="FA173" s="9">
        <f>CZ173*'MASTER SHEET'!D173</f>
        <v>8080</v>
      </c>
      <c r="FB173" s="9">
        <f>DD173*'MASTER SHEET'!D173</f>
        <v>8080</v>
      </c>
      <c r="FC173" s="9">
        <f>DH173*'MASTER SHEET'!D173</f>
        <v>8080</v>
      </c>
      <c r="FD173" s="9">
        <f>DL173*'MASTER SHEET'!D173</f>
        <v>8080</v>
      </c>
      <c r="FE173" s="9">
        <f>DP173*'MASTER SHEET'!D173</f>
        <v>8080</v>
      </c>
      <c r="FF173" s="9">
        <f>DT173*'MASTER SHEET'!D173</f>
        <v>8080</v>
      </c>
      <c r="FG173" s="9">
        <f>+DX173*'MASTER SHEET'!D173</f>
        <v>8080</v>
      </c>
    </row>
    <row r="174" spans="1:163" ht="20.25" customHeight="1" x14ac:dyDescent="0.25">
      <c r="A174" s="25">
        <f>'MASTER SHEET'!A174</f>
        <v>172</v>
      </c>
      <c r="B174" s="168" t="str">
        <f>'MASTER SHEET'!B174</f>
        <v>YOM_YHC_ HRS_KNOB INSERT MOLDING V6N</v>
      </c>
      <c r="C174" s="169" t="str">
        <f>'MASTER SHEET'!C174</f>
        <v>GA00007775</v>
      </c>
      <c r="D174" s="163">
        <f>8000+500+3000</f>
        <v>11500</v>
      </c>
      <c r="E174" s="28">
        <f>PRODUCTION!F174+'SUPLIER INWARD'!F174</f>
        <v>0</v>
      </c>
      <c r="F174" s="28"/>
      <c r="G174" s="29">
        <v>0</v>
      </c>
      <c r="H174" s="30">
        <f t="shared" si="193"/>
        <v>11500</v>
      </c>
      <c r="I174" s="28">
        <f>PRODUCTION!J174+'SUPLIER INWARD'!J174</f>
        <v>0</v>
      </c>
      <c r="J174" s="28">
        <v>1500</v>
      </c>
      <c r="K174" s="29">
        <v>0</v>
      </c>
      <c r="L174" s="30">
        <f t="shared" si="194"/>
        <v>10000</v>
      </c>
      <c r="M174" s="28">
        <f>PRODUCTION!N174+'SUPLIER INWARD'!N174</f>
        <v>0</v>
      </c>
      <c r="N174" s="28"/>
      <c r="O174" s="29"/>
      <c r="P174" s="30">
        <f t="shared" si="195"/>
        <v>10000</v>
      </c>
      <c r="Q174" s="28">
        <f>PRODUCTION!R174+'SUPLIER INWARD'!R174</f>
        <v>0</v>
      </c>
      <c r="R174" s="28"/>
      <c r="S174" s="29">
        <v>0</v>
      </c>
      <c r="T174" s="30">
        <f t="shared" si="196"/>
        <v>10000</v>
      </c>
      <c r="U174" s="28">
        <f>PRODUCTION!V174+'SUPLIER INWARD'!V174</f>
        <v>0</v>
      </c>
      <c r="V174" s="28">
        <v>0</v>
      </c>
      <c r="W174" s="29">
        <v>0</v>
      </c>
      <c r="X174" s="30">
        <f t="shared" si="197"/>
        <v>10000</v>
      </c>
      <c r="Y174" s="28">
        <f>PRODUCTION!Z174+'SUPLIER INWARD'!Z174</f>
        <v>0</v>
      </c>
      <c r="Z174" s="58">
        <v>0</v>
      </c>
      <c r="AA174" s="29">
        <v>0</v>
      </c>
      <c r="AB174" s="30">
        <f t="shared" si="198"/>
        <v>10000</v>
      </c>
      <c r="AC174" s="28">
        <f>PRODUCTION!AD174+'SUPLIER INWARD'!AD174</f>
        <v>0</v>
      </c>
      <c r="AD174" s="58">
        <v>7000</v>
      </c>
      <c r="AE174" s="29">
        <v>0</v>
      </c>
      <c r="AF174" s="30">
        <f t="shared" si="199"/>
        <v>3000</v>
      </c>
      <c r="AG174" s="28">
        <f>PRODUCTION!AH174+'SUPLIER INWARD'!AH174</f>
        <v>0</v>
      </c>
      <c r="AH174" s="58">
        <v>0</v>
      </c>
      <c r="AI174" s="29">
        <v>0</v>
      </c>
      <c r="AJ174" s="30">
        <f t="shared" si="200"/>
        <v>3000</v>
      </c>
      <c r="AK174" s="28">
        <f>PRODUCTION!AL174+'SUPLIER INWARD'!AL174</f>
        <v>8985</v>
      </c>
      <c r="AL174" s="58">
        <v>0</v>
      </c>
      <c r="AM174" s="29">
        <v>0</v>
      </c>
      <c r="AN174" s="30">
        <f t="shared" si="201"/>
        <v>11985</v>
      </c>
      <c r="AO174" s="28">
        <f>PRODUCTION!AP174+'SUPLIER INWARD'!AP174</f>
        <v>9548</v>
      </c>
      <c r="AP174" s="28">
        <v>10000</v>
      </c>
      <c r="AQ174" s="29">
        <v>80</v>
      </c>
      <c r="AR174" s="30">
        <f t="shared" si="202"/>
        <v>11453</v>
      </c>
      <c r="AS174" s="28">
        <f>PRODUCTION!AT174+'SUPLIER INWARD'!AT174</f>
        <v>8166</v>
      </c>
      <c r="AT174" s="28">
        <v>10500</v>
      </c>
      <c r="AU174" s="29">
        <v>66</v>
      </c>
      <c r="AV174" s="30">
        <f t="shared" si="203"/>
        <v>9053</v>
      </c>
      <c r="AW174" s="28">
        <f>PRODUCTION!AX174+'SUPLIER INWARD'!AX174</f>
        <v>0</v>
      </c>
      <c r="AX174" s="28"/>
      <c r="AY174" s="29"/>
      <c r="AZ174" s="30">
        <f t="shared" si="204"/>
        <v>9053</v>
      </c>
      <c r="BA174" s="28">
        <f>PRODUCTION!BB174+'SUPLIER INWARD'!BB174</f>
        <v>1729</v>
      </c>
      <c r="BB174" s="58">
        <v>10500</v>
      </c>
      <c r="BC174" s="29">
        <v>0</v>
      </c>
      <c r="BD174" s="30">
        <f t="shared" si="205"/>
        <v>282</v>
      </c>
      <c r="BE174" s="28">
        <f>PRODUCTION!BF174+'SUPLIER INWARD'!BF174</f>
        <v>0</v>
      </c>
      <c r="BF174" s="58"/>
      <c r="BG174" s="29">
        <v>0</v>
      </c>
      <c r="BH174" s="30">
        <f t="shared" si="206"/>
        <v>282</v>
      </c>
      <c r="BI174" s="28">
        <f>PRODUCTION!BJ174+'SUPLIER INWARD'!BJ174</f>
        <v>0</v>
      </c>
      <c r="BJ174" s="28">
        <v>0</v>
      </c>
      <c r="BK174" s="29">
        <v>0</v>
      </c>
      <c r="BL174" s="30">
        <f t="shared" si="207"/>
        <v>282</v>
      </c>
      <c r="BM174" s="28">
        <f>PRODUCTION!BN174+'SUPLIER INWARD'!BN174</f>
        <v>0</v>
      </c>
      <c r="BN174" s="28">
        <v>0</v>
      </c>
      <c r="BO174" s="29">
        <v>0</v>
      </c>
      <c r="BP174" s="30">
        <f t="shared" si="208"/>
        <v>282</v>
      </c>
      <c r="BQ174" s="28">
        <f>PRODUCTION!BR174+'SUPLIER INWARD'!BR174</f>
        <v>0</v>
      </c>
      <c r="BR174" s="28">
        <v>0</v>
      </c>
      <c r="BS174" s="29">
        <v>0</v>
      </c>
      <c r="BT174" s="30">
        <f t="shared" si="209"/>
        <v>282</v>
      </c>
      <c r="BU174" s="28">
        <f>PRODUCTION!BV174+'SUPLIER INWARD'!BV174</f>
        <v>0</v>
      </c>
      <c r="BV174" s="28">
        <v>0</v>
      </c>
      <c r="BW174" s="29">
        <v>0</v>
      </c>
      <c r="BX174" s="30">
        <f t="shared" si="176"/>
        <v>282</v>
      </c>
      <c r="BY174" s="28">
        <f>PRODUCTION!BZ174+'SUPLIER INWARD'!BZ174</f>
        <v>0</v>
      </c>
      <c r="BZ174" s="28"/>
      <c r="CA174" s="29">
        <v>0</v>
      </c>
      <c r="CB174" s="30">
        <f t="shared" si="210"/>
        <v>282</v>
      </c>
      <c r="CC174" s="28">
        <f>PRODUCTION!CD174+'SUPLIER INWARD'!CD174</f>
        <v>0</v>
      </c>
      <c r="CD174" s="28">
        <v>0</v>
      </c>
      <c r="CE174" s="29">
        <v>0</v>
      </c>
      <c r="CF174" s="30">
        <f t="shared" si="211"/>
        <v>282</v>
      </c>
      <c r="CG174" s="28">
        <f>PRODUCTION!CH174+'SUPLIER INWARD'!CH174</f>
        <v>0</v>
      </c>
      <c r="CH174" s="28">
        <v>0</v>
      </c>
      <c r="CI174" s="29">
        <v>0</v>
      </c>
      <c r="CJ174" s="30">
        <f t="shared" si="179"/>
        <v>282</v>
      </c>
      <c r="CK174" s="28">
        <f>PRODUCTION!CL174+'SUPLIER INWARD'!CL174</f>
        <v>0</v>
      </c>
      <c r="CL174" s="151"/>
      <c r="CM174" s="152"/>
      <c r="CN174" s="30">
        <f t="shared" si="180"/>
        <v>282</v>
      </c>
      <c r="CO174" s="28">
        <f>PRODUCTION!CP174+'SUPLIER INWARD'!CP174</f>
        <v>0</v>
      </c>
      <c r="CP174" s="151">
        <v>0</v>
      </c>
      <c r="CQ174" s="29">
        <v>0</v>
      </c>
      <c r="CR174" s="30">
        <f t="shared" si="181"/>
        <v>282</v>
      </c>
      <c r="CS174" s="28">
        <f>PRODUCTION!CT174+'SUPLIER INWARD'!CT174</f>
        <v>0</v>
      </c>
      <c r="CT174" s="28">
        <v>0</v>
      </c>
      <c r="CU174" s="29">
        <v>0</v>
      </c>
      <c r="CV174" s="30">
        <f t="shared" si="182"/>
        <v>282</v>
      </c>
      <c r="CW174" s="28">
        <f>PRODUCTION!CX174+'SUPLIER INWARD'!CX174</f>
        <v>0</v>
      </c>
      <c r="CX174" s="58">
        <v>0</v>
      </c>
      <c r="CY174" s="29">
        <v>0</v>
      </c>
      <c r="CZ174" s="30">
        <f t="shared" si="212"/>
        <v>282</v>
      </c>
      <c r="DA174" s="28">
        <f>PRODUCTION!DB174+'SUPLIER INWARD'!DB174</f>
        <v>0</v>
      </c>
      <c r="DB174" s="28"/>
      <c r="DC174" s="29"/>
      <c r="DD174" s="30">
        <f t="shared" si="213"/>
        <v>282</v>
      </c>
      <c r="DE174" s="28">
        <f>PRODUCTION!DF174+'SUPLIER INWARD'!DF174</f>
        <v>0</v>
      </c>
      <c r="DF174" s="58">
        <v>0</v>
      </c>
      <c r="DG174" s="29">
        <v>0</v>
      </c>
      <c r="DH174" s="30">
        <f t="shared" si="214"/>
        <v>282</v>
      </c>
      <c r="DI174" s="28">
        <f>PRODUCTION!DJ174+'SUPLIER INWARD'!DJ174</f>
        <v>8540</v>
      </c>
      <c r="DJ174" s="28">
        <v>0</v>
      </c>
      <c r="DK174" s="29">
        <v>0</v>
      </c>
      <c r="DL174" s="30">
        <f t="shared" si="215"/>
        <v>8822</v>
      </c>
      <c r="DM174" s="28">
        <f>PRODUCTION!DN174+'SUPLIER INWARD'!DN174</f>
        <v>15266</v>
      </c>
      <c r="DN174" s="28">
        <v>6000</v>
      </c>
      <c r="DO174" s="29"/>
      <c r="DP174" s="30">
        <f t="shared" si="216"/>
        <v>18088</v>
      </c>
      <c r="DQ174" s="28">
        <f>PRODUCTION!DR174+'SUPLIER INWARD'!DR174</f>
        <v>0</v>
      </c>
      <c r="DR174" s="28"/>
      <c r="DS174" s="29"/>
      <c r="DT174" s="30">
        <f t="shared" si="217"/>
        <v>18088</v>
      </c>
      <c r="DU174" s="28">
        <f>PRODUCTION!DV174+'SUPLIER INWARD'!DV174</f>
        <v>0</v>
      </c>
      <c r="DV174" s="28"/>
      <c r="DW174" s="29"/>
      <c r="DX174" s="30">
        <f t="shared" si="218"/>
        <v>18088</v>
      </c>
      <c r="DY174" s="31">
        <f t="shared" ref="DY174:DY202" si="221">E174+I174+M174+Q174+U174+Y174+AC174+AG174+AK174+AO174+AS174+AW174+BA174+BE174+BI174+BM174+BQ174+BU174+BY174+CC174+CG174+CK174+CO174+CS174+CW174+DA174+DE174+DI174+DM174+DQ174+DU174</f>
        <v>52234</v>
      </c>
      <c r="DZ174" s="141">
        <f t="shared" si="219"/>
        <v>45500</v>
      </c>
      <c r="EA174" s="4">
        <f t="shared" si="220"/>
        <v>146</v>
      </c>
      <c r="EB174" s="9">
        <f>D174*'MASTER SHEET'!D174</f>
        <v>29324.999999999996</v>
      </c>
      <c r="EC174" s="9">
        <f>H174*'MASTER SHEET'!D174</f>
        <v>29324.999999999996</v>
      </c>
      <c r="ED174" s="9">
        <f>L174*'MASTER SHEET'!D174</f>
        <v>25500</v>
      </c>
      <c r="EE174" s="9">
        <f>P174*'MASTER SHEET'!D174</f>
        <v>25500</v>
      </c>
      <c r="EF174" s="9">
        <f>T174*'MASTER SHEET'!D174</f>
        <v>25500</v>
      </c>
      <c r="EG174" s="9">
        <f>X174*'MASTER SHEET'!D174</f>
        <v>25500</v>
      </c>
      <c r="EH174" s="9">
        <f>AB174*'MASTER SHEET'!D174</f>
        <v>25500</v>
      </c>
      <c r="EI174" s="9">
        <f>AF174*'MASTER SHEET'!D174</f>
        <v>7649.9999999999991</v>
      </c>
      <c r="EJ174" s="9">
        <f>AJ174*'MASTER SHEET'!D174</f>
        <v>7649.9999999999991</v>
      </c>
      <c r="EK174" s="9">
        <f>AN174*'MASTER SHEET'!D174</f>
        <v>30561.749999999996</v>
      </c>
      <c r="EL174" s="9">
        <f>AR174*'MASTER SHEET'!D174</f>
        <v>29205.149999999998</v>
      </c>
      <c r="EM174" s="9">
        <f>AV174*'MASTER SHEET'!D174</f>
        <v>23085.149999999998</v>
      </c>
      <c r="EN174" s="9">
        <f>AZ174*'MASTER SHEET'!D174</f>
        <v>23085.149999999998</v>
      </c>
      <c r="EO174" s="9">
        <f>BD174*'MASTER SHEET'!D174</f>
        <v>719.09999999999991</v>
      </c>
      <c r="EP174" s="9">
        <f>$BH174*'MASTER SHEET'!$D174</f>
        <v>719.09999999999991</v>
      </c>
      <c r="EQ174" s="9">
        <f>BL174*'MASTER SHEET'!D174</f>
        <v>719.09999999999991</v>
      </c>
      <c r="ER174" s="9">
        <f>BP174*'MASTER SHEET'!D174</f>
        <v>719.09999999999991</v>
      </c>
      <c r="ES174" s="9">
        <f>BT174*'MASTER SHEET'!D174</f>
        <v>719.09999999999991</v>
      </c>
      <c r="ET174" s="9">
        <f>BX174*'MASTER SHEET'!D174</f>
        <v>719.09999999999991</v>
      </c>
      <c r="EU174" s="9">
        <f>CB174*'MASTER SHEET'!D174</f>
        <v>719.09999999999991</v>
      </c>
      <c r="EV174" s="9">
        <f>CF174*'MASTER SHEET'!D174</f>
        <v>719.09999999999991</v>
      </c>
      <c r="EW174" s="9">
        <f>CJ174*'MASTER SHEET'!D174</f>
        <v>719.09999999999991</v>
      </c>
      <c r="EX174" s="9">
        <f>CN174*'MASTER SHEET'!D174</f>
        <v>719.09999999999991</v>
      </c>
      <c r="EY174" s="9">
        <f>CR174*'MASTER SHEET'!D174</f>
        <v>719.09999999999991</v>
      </c>
      <c r="EZ174" s="9">
        <f>$CV174*'MASTER SHEET'!D174</f>
        <v>719.09999999999991</v>
      </c>
      <c r="FA174" s="9">
        <f>CZ174*'MASTER SHEET'!D174</f>
        <v>719.09999999999991</v>
      </c>
      <c r="FB174" s="9">
        <f>DD174*'MASTER SHEET'!D174</f>
        <v>719.09999999999991</v>
      </c>
      <c r="FC174" s="9">
        <f>DH174*'MASTER SHEET'!D174</f>
        <v>719.09999999999991</v>
      </c>
      <c r="FD174" s="9">
        <f>DL174*'MASTER SHEET'!D174</f>
        <v>22496.1</v>
      </c>
      <c r="FE174" s="9">
        <f>DP174*'MASTER SHEET'!D174</f>
        <v>46124.399999999994</v>
      </c>
      <c r="FF174" s="9">
        <f>DT174*'MASTER SHEET'!D174</f>
        <v>46124.399999999994</v>
      </c>
      <c r="FG174" s="9">
        <f>+DX174*'MASTER SHEET'!D174</f>
        <v>46124.399999999994</v>
      </c>
    </row>
    <row r="175" spans="1:163" ht="20.25" customHeight="1" x14ac:dyDescent="0.25">
      <c r="A175" s="25">
        <f>'MASTER SHEET'!A175</f>
        <v>173</v>
      </c>
      <c r="B175" s="168" t="str">
        <f>'MASTER SHEET'!B175</f>
        <v>CLAMP ASSY_3 WAY MODULAR</v>
      </c>
      <c r="C175" s="169">
        <f>'MASTER SHEET'!C175</f>
        <v>65062</v>
      </c>
      <c r="D175" s="159">
        <v>0</v>
      </c>
      <c r="E175" s="28">
        <f>PRODUCTION!F175+'SUPLIER INWARD'!F175</f>
        <v>0</v>
      </c>
      <c r="F175" s="28"/>
      <c r="G175" s="29">
        <v>0</v>
      </c>
      <c r="H175" s="30">
        <f t="shared" si="193"/>
        <v>0</v>
      </c>
      <c r="I175" s="28">
        <f>PRODUCTION!J175+'SUPLIER INWARD'!J175</f>
        <v>0</v>
      </c>
      <c r="J175" s="28"/>
      <c r="K175" s="29">
        <v>0</v>
      </c>
      <c r="L175" s="30">
        <f t="shared" si="194"/>
        <v>0</v>
      </c>
      <c r="M175" s="28">
        <f>PRODUCTION!N175+'SUPLIER INWARD'!N175</f>
        <v>0</v>
      </c>
      <c r="N175" s="28"/>
      <c r="O175" s="29"/>
      <c r="P175" s="30">
        <f t="shared" si="195"/>
        <v>0</v>
      </c>
      <c r="Q175" s="28">
        <f>PRODUCTION!R175+'SUPLIER INWARD'!R175</f>
        <v>0</v>
      </c>
      <c r="R175" s="28"/>
      <c r="S175" s="29">
        <v>0</v>
      </c>
      <c r="T175" s="30">
        <f t="shared" si="196"/>
        <v>0</v>
      </c>
      <c r="U175" s="28">
        <f>PRODUCTION!V175+'SUPLIER INWARD'!V175</f>
        <v>0</v>
      </c>
      <c r="V175" s="28">
        <v>0</v>
      </c>
      <c r="W175" s="29">
        <v>0</v>
      </c>
      <c r="X175" s="30">
        <f t="shared" si="197"/>
        <v>0</v>
      </c>
      <c r="Y175" s="28">
        <f>PRODUCTION!Z175+'SUPLIER INWARD'!Z175</f>
        <v>0</v>
      </c>
      <c r="Z175" s="58">
        <v>0</v>
      </c>
      <c r="AA175" s="29">
        <v>0</v>
      </c>
      <c r="AB175" s="30">
        <f t="shared" si="198"/>
        <v>0</v>
      </c>
      <c r="AC175" s="28">
        <f>PRODUCTION!AD175+'SUPLIER INWARD'!AD175</f>
        <v>0</v>
      </c>
      <c r="AD175" s="58">
        <v>0</v>
      </c>
      <c r="AE175" s="29">
        <v>0</v>
      </c>
      <c r="AF175" s="30">
        <f t="shared" si="199"/>
        <v>0</v>
      </c>
      <c r="AG175" s="28">
        <f>PRODUCTION!AH175+'SUPLIER INWARD'!AH175</f>
        <v>0</v>
      </c>
      <c r="AH175" s="58">
        <v>0</v>
      </c>
      <c r="AI175" s="29">
        <v>0</v>
      </c>
      <c r="AJ175" s="30">
        <f t="shared" si="200"/>
        <v>0</v>
      </c>
      <c r="AK175" s="28">
        <f>PRODUCTION!AL175+'SUPLIER INWARD'!AL175</f>
        <v>0</v>
      </c>
      <c r="AL175" s="58">
        <v>0</v>
      </c>
      <c r="AM175" s="29">
        <v>0</v>
      </c>
      <c r="AN175" s="30">
        <f t="shared" si="201"/>
        <v>0</v>
      </c>
      <c r="AO175" s="28">
        <f>PRODUCTION!AP175+'SUPLIER INWARD'!AP175</f>
        <v>0</v>
      </c>
      <c r="AP175" s="28"/>
      <c r="AQ175" s="29">
        <v>0</v>
      </c>
      <c r="AR175" s="30">
        <f t="shared" si="202"/>
        <v>0</v>
      </c>
      <c r="AS175" s="28">
        <f>PRODUCTION!AT175+'SUPLIER INWARD'!AT175</f>
        <v>0</v>
      </c>
      <c r="AT175" s="28">
        <v>0</v>
      </c>
      <c r="AU175" s="29">
        <v>0</v>
      </c>
      <c r="AV175" s="30">
        <f t="shared" si="203"/>
        <v>0</v>
      </c>
      <c r="AW175" s="28">
        <f>PRODUCTION!AX175+'SUPLIER INWARD'!AX175</f>
        <v>0</v>
      </c>
      <c r="AX175" s="28"/>
      <c r="AY175" s="29"/>
      <c r="AZ175" s="30">
        <f t="shared" si="204"/>
        <v>0</v>
      </c>
      <c r="BA175" s="28">
        <f>PRODUCTION!BB175+'SUPLIER INWARD'!BB175</f>
        <v>0</v>
      </c>
      <c r="BB175" s="58">
        <v>0</v>
      </c>
      <c r="BC175" s="29">
        <v>0</v>
      </c>
      <c r="BD175" s="30">
        <f t="shared" si="205"/>
        <v>0</v>
      </c>
      <c r="BE175" s="28">
        <f>PRODUCTION!BF175+'SUPLIER INWARD'!BF175</f>
        <v>0</v>
      </c>
      <c r="BF175" s="58"/>
      <c r="BG175" s="29">
        <v>0</v>
      </c>
      <c r="BH175" s="30">
        <f t="shared" si="206"/>
        <v>0</v>
      </c>
      <c r="BI175" s="28">
        <f>PRODUCTION!BJ175+'SUPLIER INWARD'!BJ175</f>
        <v>0</v>
      </c>
      <c r="BJ175" s="28">
        <v>0</v>
      </c>
      <c r="BK175" s="29">
        <v>0</v>
      </c>
      <c r="BL175" s="30">
        <f t="shared" si="207"/>
        <v>0</v>
      </c>
      <c r="BM175" s="28">
        <f>PRODUCTION!BN175+'SUPLIER INWARD'!BN175</f>
        <v>0</v>
      </c>
      <c r="BN175" s="28">
        <v>0</v>
      </c>
      <c r="BO175" s="29">
        <v>0</v>
      </c>
      <c r="BP175" s="30">
        <f t="shared" si="208"/>
        <v>0</v>
      </c>
      <c r="BQ175" s="28">
        <f>PRODUCTION!BR175+'SUPLIER INWARD'!BR175</f>
        <v>0</v>
      </c>
      <c r="BR175" s="28">
        <v>0</v>
      </c>
      <c r="BS175" s="29">
        <v>0</v>
      </c>
      <c r="BT175" s="30">
        <f t="shared" si="209"/>
        <v>0</v>
      </c>
      <c r="BU175" s="28">
        <f>PRODUCTION!BV175+'SUPLIER INWARD'!BV175</f>
        <v>0</v>
      </c>
      <c r="BV175" s="28">
        <v>0</v>
      </c>
      <c r="BW175" s="29">
        <v>0</v>
      </c>
      <c r="BX175" s="30">
        <f t="shared" si="176"/>
        <v>0</v>
      </c>
      <c r="BY175" s="28">
        <f>PRODUCTION!BZ175+'SUPLIER INWARD'!BZ175</f>
        <v>0</v>
      </c>
      <c r="BZ175" s="28"/>
      <c r="CA175" s="29">
        <v>0</v>
      </c>
      <c r="CB175" s="30">
        <f t="shared" si="210"/>
        <v>0</v>
      </c>
      <c r="CC175" s="28">
        <f>PRODUCTION!CD175+'SUPLIER INWARD'!CD175</f>
        <v>0</v>
      </c>
      <c r="CD175" s="28">
        <v>0</v>
      </c>
      <c r="CE175" s="29">
        <v>0</v>
      </c>
      <c r="CF175" s="30">
        <f t="shared" si="211"/>
        <v>0</v>
      </c>
      <c r="CG175" s="28">
        <f>PRODUCTION!CH175+'SUPLIER INWARD'!CH175</f>
        <v>0</v>
      </c>
      <c r="CH175" s="28">
        <v>0</v>
      </c>
      <c r="CI175" s="29">
        <v>0</v>
      </c>
      <c r="CJ175" s="30">
        <f t="shared" si="179"/>
        <v>0</v>
      </c>
      <c r="CK175" s="28">
        <f>PRODUCTION!CL175+'SUPLIER INWARD'!CL175</f>
        <v>0</v>
      </c>
      <c r="CL175" s="151"/>
      <c r="CM175" s="152"/>
      <c r="CN175" s="30">
        <f t="shared" si="180"/>
        <v>0</v>
      </c>
      <c r="CO175" s="28">
        <f>PRODUCTION!CP175+'SUPLIER INWARD'!CP175</f>
        <v>0</v>
      </c>
      <c r="CP175" s="151">
        <v>0</v>
      </c>
      <c r="CQ175" s="29">
        <v>0</v>
      </c>
      <c r="CR175" s="30">
        <f t="shared" si="181"/>
        <v>0</v>
      </c>
      <c r="CS175" s="28">
        <f>PRODUCTION!CT175+'SUPLIER INWARD'!CT175</f>
        <v>1800</v>
      </c>
      <c r="CT175" s="28">
        <v>1800</v>
      </c>
      <c r="CU175" s="29">
        <v>0</v>
      </c>
      <c r="CV175" s="30">
        <f t="shared" si="182"/>
        <v>0</v>
      </c>
      <c r="CW175" s="28">
        <f>PRODUCTION!CX175+'SUPLIER INWARD'!CX175</f>
        <v>0</v>
      </c>
      <c r="CX175" s="58">
        <v>0</v>
      </c>
      <c r="CY175" s="29">
        <v>0</v>
      </c>
      <c r="CZ175" s="30">
        <f t="shared" si="212"/>
        <v>0</v>
      </c>
      <c r="DA175" s="28">
        <f>PRODUCTION!DB175+'SUPLIER INWARD'!DB175</f>
        <v>0</v>
      </c>
      <c r="DB175" s="28"/>
      <c r="DC175" s="29"/>
      <c r="DD175" s="30">
        <f t="shared" si="213"/>
        <v>0</v>
      </c>
      <c r="DE175" s="28">
        <f>PRODUCTION!DF175+'SUPLIER INWARD'!DF175</f>
        <v>1000</v>
      </c>
      <c r="DF175" s="58">
        <v>1000</v>
      </c>
      <c r="DG175" s="29">
        <v>0</v>
      </c>
      <c r="DH175" s="30">
        <f t="shared" si="214"/>
        <v>0</v>
      </c>
      <c r="DI175" s="28">
        <f>PRODUCTION!DJ175+'SUPLIER INWARD'!DJ175</f>
        <v>500</v>
      </c>
      <c r="DJ175" s="28">
        <v>500</v>
      </c>
      <c r="DK175" s="29">
        <v>0</v>
      </c>
      <c r="DL175" s="30">
        <f t="shared" si="215"/>
        <v>0</v>
      </c>
      <c r="DM175" s="28">
        <f>PRODUCTION!DN175+'SUPLIER INWARD'!DN175</f>
        <v>0</v>
      </c>
      <c r="DN175" s="28">
        <v>0</v>
      </c>
      <c r="DO175" s="29"/>
      <c r="DP175" s="30">
        <f t="shared" si="216"/>
        <v>0</v>
      </c>
      <c r="DQ175" s="28">
        <f>PRODUCTION!DR175+'SUPLIER INWARD'!DR175</f>
        <v>0</v>
      </c>
      <c r="DR175" s="28"/>
      <c r="DS175" s="29"/>
      <c r="DT175" s="30">
        <f t="shared" si="217"/>
        <v>0</v>
      </c>
      <c r="DU175" s="28">
        <f>PRODUCTION!DV175+'SUPLIER INWARD'!DV175</f>
        <v>0</v>
      </c>
      <c r="DV175" s="28"/>
      <c r="DW175" s="29"/>
      <c r="DX175" s="30">
        <f t="shared" si="218"/>
        <v>0</v>
      </c>
      <c r="DY175" s="31">
        <f t="shared" si="221"/>
        <v>3300</v>
      </c>
      <c r="DZ175" s="141">
        <f t="shared" si="219"/>
        <v>3300</v>
      </c>
      <c r="EA175" s="4">
        <f t="shared" si="220"/>
        <v>0</v>
      </c>
      <c r="EB175" s="9">
        <f>D175*'MASTER SHEET'!D175</f>
        <v>0</v>
      </c>
      <c r="EC175" s="9">
        <f>H175*'MASTER SHEET'!D175</f>
        <v>0</v>
      </c>
      <c r="ED175" s="9">
        <f>L175*'MASTER SHEET'!D175</f>
        <v>0</v>
      </c>
      <c r="EE175" s="9">
        <f>P175*'MASTER SHEET'!D175</f>
        <v>0</v>
      </c>
      <c r="EF175" s="9">
        <f>T175*'MASTER SHEET'!D175</f>
        <v>0</v>
      </c>
      <c r="EG175" s="9">
        <f>X175*'MASTER SHEET'!D175</f>
        <v>0</v>
      </c>
      <c r="EH175" s="9">
        <f>AB175*'MASTER SHEET'!D175</f>
        <v>0</v>
      </c>
      <c r="EI175" s="9">
        <f>AF175*'MASTER SHEET'!D175</f>
        <v>0</v>
      </c>
      <c r="EJ175" s="9">
        <f>AJ175*'MASTER SHEET'!D175</f>
        <v>0</v>
      </c>
      <c r="EK175" s="9">
        <f>AN175*'MASTER SHEET'!D175</f>
        <v>0</v>
      </c>
      <c r="EL175" s="9">
        <f>AR175*'MASTER SHEET'!D175</f>
        <v>0</v>
      </c>
      <c r="EM175" s="9">
        <f>AV175*'MASTER SHEET'!D175</f>
        <v>0</v>
      </c>
      <c r="EN175" s="9">
        <f>AZ175*'MASTER SHEET'!D175</f>
        <v>0</v>
      </c>
      <c r="EO175" s="9">
        <f>BD175*'MASTER SHEET'!D175</f>
        <v>0</v>
      </c>
      <c r="EP175" s="9">
        <f>$BH175*'MASTER SHEET'!$D175</f>
        <v>0</v>
      </c>
      <c r="EQ175" s="9">
        <f>BL175*'MASTER SHEET'!D175</f>
        <v>0</v>
      </c>
      <c r="ER175" s="9">
        <f>BP175*'MASTER SHEET'!D175</f>
        <v>0</v>
      </c>
      <c r="ES175" s="9">
        <f>BT175*'MASTER SHEET'!D175</f>
        <v>0</v>
      </c>
      <c r="ET175" s="9">
        <f>BX175*'MASTER SHEET'!D175</f>
        <v>0</v>
      </c>
      <c r="EU175" s="9">
        <f>CB175*'MASTER SHEET'!D175</f>
        <v>0</v>
      </c>
      <c r="EV175" s="9">
        <f>CF175*'MASTER SHEET'!D175</f>
        <v>0</v>
      </c>
      <c r="EW175" s="9">
        <f>CJ175*'MASTER SHEET'!D175</f>
        <v>0</v>
      </c>
      <c r="EX175" s="9">
        <f>CN175*'MASTER SHEET'!D175</f>
        <v>0</v>
      </c>
      <c r="EY175" s="9">
        <f>CR175*'MASTER SHEET'!D175</f>
        <v>0</v>
      </c>
      <c r="EZ175" s="9">
        <f>$CV175*'MASTER SHEET'!D175</f>
        <v>0</v>
      </c>
      <c r="FA175" s="9">
        <f>CZ175*'MASTER SHEET'!D175</f>
        <v>0</v>
      </c>
      <c r="FB175" s="9">
        <f>DD175*'MASTER SHEET'!D175</f>
        <v>0</v>
      </c>
      <c r="FC175" s="9">
        <f>DH175*'MASTER SHEET'!D175</f>
        <v>0</v>
      </c>
      <c r="FD175" s="9">
        <f>DL175*'MASTER SHEET'!D175</f>
        <v>0</v>
      </c>
      <c r="FE175" s="9">
        <f>DP175*'MASTER SHEET'!D175</f>
        <v>0</v>
      </c>
      <c r="FF175" s="9">
        <f>DT175*'MASTER SHEET'!D175</f>
        <v>0</v>
      </c>
      <c r="FG175" s="9">
        <f>+DX175*'MASTER SHEET'!D175</f>
        <v>0</v>
      </c>
    </row>
    <row r="176" spans="1:163" ht="20.25" customHeight="1" x14ac:dyDescent="0.25">
      <c r="A176" s="25">
        <f>'MASTER SHEET'!A176</f>
        <v>174</v>
      </c>
      <c r="B176" s="168" t="str">
        <f>'MASTER SHEET'!B176</f>
        <v>CLAMP</v>
      </c>
      <c r="C176" s="169">
        <f>'MASTER SHEET'!C176</f>
        <v>65060</v>
      </c>
      <c r="D176" s="159">
        <v>11426</v>
      </c>
      <c r="E176" s="28">
        <f>PRODUCTION!F176+'SUPLIER INWARD'!F176</f>
        <v>0</v>
      </c>
      <c r="F176" s="28"/>
      <c r="G176" s="29">
        <v>0</v>
      </c>
      <c r="H176" s="30">
        <f t="shared" si="193"/>
        <v>11426</v>
      </c>
      <c r="I176" s="28">
        <f>PRODUCTION!J176+'SUPLIER INWARD'!J176</f>
        <v>0</v>
      </c>
      <c r="J176" s="28"/>
      <c r="K176" s="29">
        <v>0</v>
      </c>
      <c r="L176" s="30">
        <f t="shared" si="194"/>
        <v>11426</v>
      </c>
      <c r="M176" s="28">
        <f>PRODUCTION!N176+'SUPLIER INWARD'!N176</f>
        <v>0</v>
      </c>
      <c r="N176" s="28"/>
      <c r="O176" s="29"/>
      <c r="P176" s="30">
        <f t="shared" si="195"/>
        <v>11426</v>
      </c>
      <c r="Q176" s="28">
        <f>PRODUCTION!R176+'SUPLIER INWARD'!R176</f>
        <v>0</v>
      </c>
      <c r="R176" s="28"/>
      <c r="S176" s="29">
        <v>0</v>
      </c>
      <c r="T176" s="30">
        <f t="shared" si="196"/>
        <v>11426</v>
      </c>
      <c r="U176" s="28">
        <f>PRODUCTION!V176+'SUPLIER INWARD'!V176</f>
        <v>0</v>
      </c>
      <c r="V176" s="28">
        <v>0</v>
      </c>
      <c r="W176" s="29">
        <v>0</v>
      </c>
      <c r="X176" s="30">
        <f t="shared" si="197"/>
        <v>11426</v>
      </c>
      <c r="Y176" s="28">
        <f>PRODUCTION!Z176+'SUPLIER INWARD'!Z176</f>
        <v>0</v>
      </c>
      <c r="Z176" s="58">
        <v>0</v>
      </c>
      <c r="AA176" s="29">
        <v>0</v>
      </c>
      <c r="AB176" s="30">
        <f t="shared" si="198"/>
        <v>11426</v>
      </c>
      <c r="AC176" s="28">
        <f>PRODUCTION!AD176+'SUPLIER INWARD'!AD176</f>
        <v>0</v>
      </c>
      <c r="AD176" s="58">
        <v>0</v>
      </c>
      <c r="AE176" s="29">
        <v>0</v>
      </c>
      <c r="AF176" s="30">
        <f t="shared" si="199"/>
        <v>11426</v>
      </c>
      <c r="AG176" s="28">
        <f>PRODUCTION!AH176+'SUPLIER INWARD'!AH176</f>
        <v>0</v>
      </c>
      <c r="AH176" s="58">
        <v>0</v>
      </c>
      <c r="AI176" s="29">
        <v>0</v>
      </c>
      <c r="AJ176" s="30">
        <f t="shared" si="200"/>
        <v>11426</v>
      </c>
      <c r="AK176" s="28">
        <f>PRODUCTION!AL176+'SUPLIER INWARD'!AL176</f>
        <v>0</v>
      </c>
      <c r="AL176" s="58">
        <v>0</v>
      </c>
      <c r="AM176" s="29">
        <v>0</v>
      </c>
      <c r="AN176" s="30">
        <f t="shared" si="201"/>
        <v>11426</v>
      </c>
      <c r="AO176" s="28">
        <f>PRODUCTION!AP176+'SUPLIER INWARD'!AP176</f>
        <v>0</v>
      </c>
      <c r="AP176" s="28"/>
      <c r="AQ176" s="29">
        <v>0</v>
      </c>
      <c r="AR176" s="30">
        <f t="shared" si="202"/>
        <v>11426</v>
      </c>
      <c r="AS176" s="28">
        <f>PRODUCTION!AT176+'SUPLIER INWARD'!AT176</f>
        <v>0</v>
      </c>
      <c r="AT176" s="28">
        <v>0</v>
      </c>
      <c r="AU176" s="29">
        <v>0</v>
      </c>
      <c r="AV176" s="30">
        <f t="shared" si="203"/>
        <v>11426</v>
      </c>
      <c r="AW176" s="28">
        <f>PRODUCTION!AX176+'SUPLIER INWARD'!AX176</f>
        <v>0</v>
      </c>
      <c r="AX176" s="28"/>
      <c r="AY176" s="29"/>
      <c r="AZ176" s="30">
        <f t="shared" si="204"/>
        <v>11426</v>
      </c>
      <c r="BA176" s="28">
        <f>PRODUCTION!BB176+'SUPLIER INWARD'!BB176</f>
        <v>0</v>
      </c>
      <c r="BB176" s="58">
        <v>0</v>
      </c>
      <c r="BC176" s="29">
        <v>0</v>
      </c>
      <c r="BD176" s="30">
        <f t="shared" si="205"/>
        <v>11426</v>
      </c>
      <c r="BE176" s="28">
        <f>PRODUCTION!BF176+'SUPLIER INWARD'!BF176</f>
        <v>0</v>
      </c>
      <c r="BF176" s="58"/>
      <c r="BG176" s="29">
        <v>0</v>
      </c>
      <c r="BH176" s="30">
        <f t="shared" si="206"/>
        <v>11426</v>
      </c>
      <c r="BI176" s="28">
        <f>PRODUCTION!BJ176+'SUPLIER INWARD'!BJ176</f>
        <v>0</v>
      </c>
      <c r="BJ176" s="28">
        <v>0</v>
      </c>
      <c r="BK176" s="29">
        <v>0</v>
      </c>
      <c r="BL176" s="30">
        <f t="shared" si="207"/>
        <v>11426</v>
      </c>
      <c r="BM176" s="28">
        <f>PRODUCTION!BN176+'SUPLIER INWARD'!BN176</f>
        <v>0</v>
      </c>
      <c r="BN176" s="28">
        <v>0</v>
      </c>
      <c r="BO176" s="29">
        <v>0</v>
      </c>
      <c r="BP176" s="30">
        <f t="shared" si="208"/>
        <v>11426</v>
      </c>
      <c r="BQ176" s="28">
        <f>PRODUCTION!BR176+'SUPLIER INWARD'!BR176</f>
        <v>0</v>
      </c>
      <c r="BR176" s="28">
        <v>0</v>
      </c>
      <c r="BS176" s="29">
        <v>0</v>
      </c>
      <c r="BT176" s="30">
        <f t="shared" si="209"/>
        <v>11426</v>
      </c>
      <c r="BU176" s="28">
        <f>PRODUCTION!BV176+'SUPLIER INWARD'!BV176</f>
        <v>0</v>
      </c>
      <c r="BV176" s="28">
        <v>0</v>
      </c>
      <c r="BW176" s="29">
        <v>0</v>
      </c>
      <c r="BX176" s="30">
        <f t="shared" si="176"/>
        <v>11426</v>
      </c>
      <c r="BY176" s="28">
        <f>PRODUCTION!BZ176+'SUPLIER INWARD'!BZ176</f>
        <v>0</v>
      </c>
      <c r="BZ176" s="28"/>
      <c r="CA176" s="29">
        <v>0</v>
      </c>
      <c r="CB176" s="30">
        <f t="shared" si="210"/>
        <v>11426</v>
      </c>
      <c r="CC176" s="28">
        <f>PRODUCTION!CD176+'SUPLIER INWARD'!CD176</f>
        <v>0</v>
      </c>
      <c r="CD176" s="28">
        <v>0</v>
      </c>
      <c r="CE176" s="29">
        <v>0</v>
      </c>
      <c r="CF176" s="30">
        <f t="shared" si="211"/>
        <v>11426</v>
      </c>
      <c r="CG176" s="28">
        <f>PRODUCTION!CH176+'SUPLIER INWARD'!CH176</f>
        <v>0</v>
      </c>
      <c r="CH176" s="28">
        <v>0</v>
      </c>
      <c r="CI176" s="29">
        <v>0</v>
      </c>
      <c r="CJ176" s="30">
        <f t="shared" si="179"/>
        <v>11426</v>
      </c>
      <c r="CK176" s="28">
        <f>PRODUCTION!CL176+'SUPLIER INWARD'!CL176</f>
        <v>0</v>
      </c>
      <c r="CL176" s="151"/>
      <c r="CM176" s="152"/>
      <c r="CN176" s="30">
        <f t="shared" si="180"/>
        <v>11426</v>
      </c>
      <c r="CO176" s="28">
        <f>PRODUCTION!CP176+'SUPLIER INWARD'!CP176</f>
        <v>8052</v>
      </c>
      <c r="CP176" s="151">
        <v>0</v>
      </c>
      <c r="CQ176" s="29">
        <v>0</v>
      </c>
      <c r="CR176" s="30">
        <f t="shared" si="181"/>
        <v>19478</v>
      </c>
      <c r="CS176" s="28">
        <f>PRODUCTION!CT176+'SUPLIER INWARD'!CT176</f>
        <v>9244</v>
      </c>
      <c r="CT176" s="28">
        <v>0</v>
      </c>
      <c r="CU176" s="29">
        <v>1800</v>
      </c>
      <c r="CV176" s="30">
        <f t="shared" si="182"/>
        <v>26922</v>
      </c>
      <c r="CW176" s="28">
        <f>PRODUCTION!CX176+'SUPLIER INWARD'!CX176</f>
        <v>0</v>
      </c>
      <c r="CX176" s="58">
        <v>0</v>
      </c>
      <c r="CY176" s="29">
        <v>0</v>
      </c>
      <c r="CZ176" s="30">
        <f t="shared" si="212"/>
        <v>26922</v>
      </c>
      <c r="DA176" s="28">
        <f>PRODUCTION!DB176+'SUPLIER INWARD'!DB176</f>
        <v>0</v>
      </c>
      <c r="DB176" s="28"/>
      <c r="DC176" s="29"/>
      <c r="DD176" s="30">
        <f t="shared" si="213"/>
        <v>26922</v>
      </c>
      <c r="DE176" s="28">
        <f>PRODUCTION!DF176+'SUPLIER INWARD'!DF176</f>
        <v>0</v>
      </c>
      <c r="DF176" s="58">
        <v>0</v>
      </c>
      <c r="DG176" s="29">
        <v>1000</v>
      </c>
      <c r="DH176" s="30">
        <f t="shared" si="214"/>
        <v>25922</v>
      </c>
      <c r="DI176" s="28">
        <f>PRODUCTION!DJ176+'SUPLIER INWARD'!DJ176</f>
        <v>0</v>
      </c>
      <c r="DJ176" s="28">
        <v>0</v>
      </c>
      <c r="DK176" s="29">
        <v>500</v>
      </c>
      <c r="DL176" s="30">
        <f t="shared" si="215"/>
        <v>25422</v>
      </c>
      <c r="DM176" s="28">
        <f>PRODUCTION!DN176+'SUPLIER INWARD'!DN176</f>
        <v>0</v>
      </c>
      <c r="DN176" s="28">
        <v>0</v>
      </c>
      <c r="DO176" s="29"/>
      <c r="DP176" s="30">
        <f t="shared" si="216"/>
        <v>25422</v>
      </c>
      <c r="DQ176" s="28">
        <f>PRODUCTION!DR176+'SUPLIER INWARD'!DR176</f>
        <v>0</v>
      </c>
      <c r="DR176" s="28"/>
      <c r="DS176" s="29"/>
      <c r="DT176" s="30">
        <f t="shared" si="217"/>
        <v>25422</v>
      </c>
      <c r="DU176" s="28">
        <f>PRODUCTION!DV176+'SUPLIER INWARD'!DV176</f>
        <v>0</v>
      </c>
      <c r="DV176" s="28"/>
      <c r="DW176" s="29"/>
      <c r="DX176" s="30">
        <f t="shared" si="218"/>
        <v>25422</v>
      </c>
      <c r="DY176" s="31">
        <f t="shared" si="221"/>
        <v>17296</v>
      </c>
      <c r="DZ176" s="141">
        <f t="shared" si="219"/>
        <v>0</v>
      </c>
      <c r="EA176" s="4">
        <f t="shared" si="220"/>
        <v>3300</v>
      </c>
      <c r="EB176" s="9">
        <f>D176*'MASTER SHEET'!D176</f>
        <v>0</v>
      </c>
      <c r="EC176" s="9">
        <f>H176*'MASTER SHEET'!D176</f>
        <v>0</v>
      </c>
      <c r="ED176" s="9">
        <f>L176*'MASTER SHEET'!D176</f>
        <v>0</v>
      </c>
      <c r="EE176" s="9">
        <f>P176*'MASTER SHEET'!D176</f>
        <v>0</v>
      </c>
      <c r="EF176" s="9">
        <f>T176*'MASTER SHEET'!D176</f>
        <v>0</v>
      </c>
      <c r="EG176" s="9">
        <f>X176*'MASTER SHEET'!D176</f>
        <v>0</v>
      </c>
      <c r="EH176" s="9">
        <f>AB176*'MASTER SHEET'!D176</f>
        <v>0</v>
      </c>
      <c r="EI176" s="9">
        <f>AF176*'MASTER SHEET'!D176</f>
        <v>0</v>
      </c>
      <c r="EJ176" s="9">
        <f>AJ176*'MASTER SHEET'!D176</f>
        <v>0</v>
      </c>
      <c r="EK176" s="9">
        <f>AN176*'MASTER SHEET'!D176</f>
        <v>0</v>
      </c>
      <c r="EL176" s="9">
        <f>AR176*'MASTER SHEET'!D176</f>
        <v>0</v>
      </c>
      <c r="EM176" s="9">
        <f>AV176*'MASTER SHEET'!D176</f>
        <v>0</v>
      </c>
      <c r="EN176" s="9">
        <f>AZ176*'MASTER SHEET'!D176</f>
        <v>0</v>
      </c>
      <c r="EO176" s="9">
        <f>BD176*'MASTER SHEET'!D176</f>
        <v>0</v>
      </c>
      <c r="EP176" s="9">
        <f>$BH176*'MASTER SHEET'!$D176</f>
        <v>0</v>
      </c>
      <c r="EQ176" s="9">
        <f>BL176*'MASTER SHEET'!D176</f>
        <v>0</v>
      </c>
      <c r="ER176" s="9">
        <f>BP176*'MASTER SHEET'!D176</f>
        <v>0</v>
      </c>
      <c r="ES176" s="9">
        <f>BT176*'MASTER SHEET'!D176</f>
        <v>0</v>
      </c>
      <c r="ET176" s="9">
        <f>BX176*'MASTER SHEET'!D176</f>
        <v>0</v>
      </c>
      <c r="EU176" s="9">
        <f>CB176*'MASTER SHEET'!D176</f>
        <v>0</v>
      </c>
      <c r="EV176" s="9">
        <f>CF176*'MASTER SHEET'!D176</f>
        <v>0</v>
      </c>
      <c r="EW176" s="9">
        <f>CJ176*'MASTER SHEET'!D176</f>
        <v>0</v>
      </c>
      <c r="EX176" s="9">
        <f>CN176*'MASTER SHEET'!D176</f>
        <v>0</v>
      </c>
      <c r="EY176" s="9">
        <f>CR176*'MASTER SHEET'!D176</f>
        <v>0</v>
      </c>
      <c r="EZ176" s="9">
        <f>$CV176*'MASTER SHEET'!D176</f>
        <v>0</v>
      </c>
      <c r="FA176" s="9">
        <f>CZ176*'MASTER SHEET'!D176</f>
        <v>0</v>
      </c>
      <c r="FB176" s="9">
        <f>DD176*'MASTER SHEET'!D176</f>
        <v>0</v>
      </c>
      <c r="FC176" s="9">
        <f>DH176*'MASTER SHEET'!D176</f>
        <v>0</v>
      </c>
      <c r="FD176" s="9">
        <f>DL176*'MASTER SHEET'!D176</f>
        <v>0</v>
      </c>
      <c r="FE176" s="9">
        <f>DP176*'MASTER SHEET'!D176</f>
        <v>0</v>
      </c>
      <c r="FF176" s="9">
        <f>DT176*'MASTER SHEET'!D176</f>
        <v>0</v>
      </c>
      <c r="FG176" s="9">
        <f>+DX176*'MASTER SHEET'!D176</f>
        <v>0</v>
      </c>
    </row>
    <row r="177" spans="1:163" ht="20.25" customHeight="1" x14ac:dyDescent="0.25">
      <c r="A177" s="25">
        <f>'MASTER SHEET'!A177</f>
        <v>175</v>
      </c>
      <c r="B177" s="168" t="str">
        <f>'MASTER SHEET'!B177</f>
        <v>CLAMP</v>
      </c>
      <c r="C177" s="169">
        <f>'MASTER SHEET'!C177</f>
        <v>65061</v>
      </c>
      <c r="D177" s="159">
        <v>1989</v>
      </c>
      <c r="E177" s="28">
        <f>PRODUCTION!F177+'SUPLIER INWARD'!F177</f>
        <v>0</v>
      </c>
      <c r="F177" s="28"/>
      <c r="G177" s="29">
        <v>0</v>
      </c>
      <c r="H177" s="30">
        <f t="shared" si="193"/>
        <v>1989</v>
      </c>
      <c r="I177" s="28">
        <f>PRODUCTION!J177+'SUPLIER INWARD'!J177</f>
        <v>0</v>
      </c>
      <c r="J177" s="28"/>
      <c r="K177" s="29">
        <v>0</v>
      </c>
      <c r="L177" s="30">
        <f t="shared" si="194"/>
        <v>1989</v>
      </c>
      <c r="M177" s="28">
        <f>PRODUCTION!N177+'SUPLIER INWARD'!N177</f>
        <v>0</v>
      </c>
      <c r="N177" s="28"/>
      <c r="O177" s="29"/>
      <c r="P177" s="30">
        <f t="shared" si="195"/>
        <v>1989</v>
      </c>
      <c r="Q177" s="28">
        <f>PRODUCTION!R177+'SUPLIER INWARD'!R177</f>
        <v>0</v>
      </c>
      <c r="R177" s="28"/>
      <c r="S177" s="29">
        <v>0</v>
      </c>
      <c r="T177" s="30">
        <f t="shared" si="196"/>
        <v>1989</v>
      </c>
      <c r="U177" s="28">
        <f>PRODUCTION!V177+'SUPLIER INWARD'!V177</f>
        <v>0</v>
      </c>
      <c r="V177" s="28">
        <v>0</v>
      </c>
      <c r="W177" s="29">
        <v>0</v>
      </c>
      <c r="X177" s="30">
        <f t="shared" si="197"/>
        <v>1989</v>
      </c>
      <c r="Y177" s="28">
        <f>PRODUCTION!Z177+'SUPLIER INWARD'!Z177</f>
        <v>0</v>
      </c>
      <c r="Z177" s="58">
        <v>0</v>
      </c>
      <c r="AA177" s="29">
        <v>0</v>
      </c>
      <c r="AB177" s="30">
        <f t="shared" si="198"/>
        <v>1989</v>
      </c>
      <c r="AC177" s="28">
        <f>PRODUCTION!AD177+'SUPLIER INWARD'!AD177</f>
        <v>0</v>
      </c>
      <c r="AD177" s="58">
        <v>0</v>
      </c>
      <c r="AE177" s="29">
        <v>0</v>
      </c>
      <c r="AF177" s="30">
        <f t="shared" si="199"/>
        <v>1989</v>
      </c>
      <c r="AG177" s="28">
        <f>PRODUCTION!AH177+'SUPLIER INWARD'!AH177</f>
        <v>0</v>
      </c>
      <c r="AH177" s="58">
        <v>0</v>
      </c>
      <c r="AI177" s="29">
        <v>0</v>
      </c>
      <c r="AJ177" s="30">
        <f t="shared" si="200"/>
        <v>1989</v>
      </c>
      <c r="AK177" s="28">
        <f>PRODUCTION!AL177+'SUPLIER INWARD'!AL177</f>
        <v>0</v>
      </c>
      <c r="AL177" s="58">
        <v>0</v>
      </c>
      <c r="AM177" s="29">
        <v>0</v>
      </c>
      <c r="AN177" s="30">
        <f t="shared" si="201"/>
        <v>1989</v>
      </c>
      <c r="AO177" s="28">
        <f>PRODUCTION!AP177+'SUPLIER INWARD'!AP177</f>
        <v>0</v>
      </c>
      <c r="AP177" s="28"/>
      <c r="AQ177" s="29">
        <v>0</v>
      </c>
      <c r="AR177" s="30">
        <f t="shared" si="202"/>
        <v>1989</v>
      </c>
      <c r="AS177" s="28">
        <f>PRODUCTION!AT177+'SUPLIER INWARD'!AT177</f>
        <v>0</v>
      </c>
      <c r="AT177" s="28">
        <v>0</v>
      </c>
      <c r="AU177" s="29">
        <v>0</v>
      </c>
      <c r="AV177" s="30">
        <f t="shared" si="203"/>
        <v>1989</v>
      </c>
      <c r="AW177" s="28">
        <f>PRODUCTION!AX177+'SUPLIER INWARD'!AX177</f>
        <v>0</v>
      </c>
      <c r="AX177" s="28"/>
      <c r="AY177" s="29"/>
      <c r="AZ177" s="30">
        <f t="shared" si="204"/>
        <v>1989</v>
      </c>
      <c r="BA177" s="28">
        <f>PRODUCTION!BB177+'SUPLIER INWARD'!BB177</f>
        <v>0</v>
      </c>
      <c r="BB177" s="58">
        <v>0</v>
      </c>
      <c r="BC177" s="29">
        <v>0</v>
      </c>
      <c r="BD177" s="30">
        <f t="shared" si="205"/>
        <v>1989</v>
      </c>
      <c r="BE177" s="28">
        <f>PRODUCTION!BF177+'SUPLIER INWARD'!BF177</f>
        <v>0</v>
      </c>
      <c r="BF177" s="58"/>
      <c r="BG177" s="29">
        <v>0</v>
      </c>
      <c r="BH177" s="30">
        <f t="shared" si="206"/>
        <v>1989</v>
      </c>
      <c r="BI177" s="28">
        <f>PRODUCTION!BJ177+'SUPLIER INWARD'!BJ177</f>
        <v>0</v>
      </c>
      <c r="BJ177" s="28">
        <v>0</v>
      </c>
      <c r="BK177" s="29">
        <v>0</v>
      </c>
      <c r="BL177" s="30">
        <f t="shared" si="207"/>
        <v>1989</v>
      </c>
      <c r="BM177" s="28">
        <f>PRODUCTION!BN177+'SUPLIER INWARD'!BN177</f>
        <v>0</v>
      </c>
      <c r="BN177" s="28">
        <v>0</v>
      </c>
      <c r="BO177" s="29">
        <v>0</v>
      </c>
      <c r="BP177" s="30">
        <f t="shared" si="208"/>
        <v>1989</v>
      </c>
      <c r="BQ177" s="28">
        <f>PRODUCTION!BR177+'SUPLIER INWARD'!BR177</f>
        <v>0</v>
      </c>
      <c r="BR177" s="28">
        <v>0</v>
      </c>
      <c r="BS177" s="29">
        <v>0</v>
      </c>
      <c r="BT177" s="30">
        <f t="shared" si="209"/>
        <v>1989</v>
      </c>
      <c r="BU177" s="28">
        <f>PRODUCTION!BV177+'SUPLIER INWARD'!BV177</f>
        <v>0</v>
      </c>
      <c r="BV177" s="28">
        <v>0</v>
      </c>
      <c r="BW177" s="29">
        <v>0</v>
      </c>
      <c r="BX177" s="30">
        <f t="shared" si="176"/>
        <v>1989</v>
      </c>
      <c r="BY177" s="28">
        <f>PRODUCTION!BZ177+'SUPLIER INWARD'!BZ177</f>
        <v>0</v>
      </c>
      <c r="BZ177" s="28"/>
      <c r="CA177" s="29">
        <v>0</v>
      </c>
      <c r="CB177" s="30">
        <f t="shared" si="210"/>
        <v>1989</v>
      </c>
      <c r="CC177" s="28">
        <f>PRODUCTION!CD177+'SUPLIER INWARD'!CD177</f>
        <v>0</v>
      </c>
      <c r="CD177" s="28">
        <v>0</v>
      </c>
      <c r="CE177" s="29">
        <v>0</v>
      </c>
      <c r="CF177" s="30">
        <f t="shared" si="211"/>
        <v>1989</v>
      </c>
      <c r="CG177" s="28">
        <f>PRODUCTION!CH177+'SUPLIER INWARD'!CH177</f>
        <v>0</v>
      </c>
      <c r="CH177" s="28">
        <v>0</v>
      </c>
      <c r="CI177" s="29">
        <v>0</v>
      </c>
      <c r="CJ177" s="30">
        <f t="shared" si="179"/>
        <v>1989</v>
      </c>
      <c r="CK177" s="28">
        <f>PRODUCTION!CL177+'SUPLIER INWARD'!CL177</f>
        <v>0</v>
      </c>
      <c r="CL177" s="151"/>
      <c r="CM177" s="152"/>
      <c r="CN177" s="30">
        <f t="shared" si="180"/>
        <v>1989</v>
      </c>
      <c r="CO177" s="28">
        <f>PRODUCTION!CP177+'SUPLIER INWARD'!CP177</f>
        <v>0</v>
      </c>
      <c r="CP177" s="151">
        <v>0</v>
      </c>
      <c r="CQ177" s="29">
        <v>0</v>
      </c>
      <c r="CR177" s="30">
        <f t="shared" si="181"/>
        <v>1989</v>
      </c>
      <c r="CS177" s="28">
        <f>PRODUCTION!CT177+'SUPLIER INWARD'!CT177</f>
        <v>5446</v>
      </c>
      <c r="CT177" s="28">
        <v>0</v>
      </c>
      <c r="CU177" s="29">
        <v>180</v>
      </c>
      <c r="CV177" s="30">
        <f t="shared" si="182"/>
        <v>7255</v>
      </c>
      <c r="CW177" s="28">
        <f>PRODUCTION!CX177+'SUPLIER INWARD'!CX177</f>
        <v>7124</v>
      </c>
      <c r="CX177" s="58">
        <v>0</v>
      </c>
      <c r="CY177" s="29">
        <v>0</v>
      </c>
      <c r="CZ177" s="30">
        <f t="shared" si="212"/>
        <v>14379</v>
      </c>
      <c r="DA177" s="28">
        <f>PRODUCTION!DB177+'SUPLIER INWARD'!DB177</f>
        <v>0</v>
      </c>
      <c r="DB177" s="28"/>
      <c r="DC177" s="29"/>
      <c r="DD177" s="30">
        <f t="shared" si="213"/>
        <v>14379</v>
      </c>
      <c r="DE177" s="28">
        <f>PRODUCTION!DF177+'SUPLIER INWARD'!DF177</f>
        <v>0</v>
      </c>
      <c r="DF177" s="28">
        <v>0</v>
      </c>
      <c r="DG177" s="29">
        <v>1000</v>
      </c>
      <c r="DH177" s="30">
        <f t="shared" si="214"/>
        <v>13379</v>
      </c>
      <c r="DI177" s="28">
        <f>PRODUCTION!DJ177+'SUPLIER INWARD'!DJ177</f>
        <v>0</v>
      </c>
      <c r="DJ177" s="28">
        <v>0</v>
      </c>
      <c r="DK177" s="29">
        <v>500</v>
      </c>
      <c r="DL177" s="30">
        <f t="shared" si="215"/>
        <v>12879</v>
      </c>
      <c r="DM177" s="28">
        <f>PRODUCTION!DN177+'SUPLIER INWARD'!DN177</f>
        <v>0</v>
      </c>
      <c r="DN177" s="28">
        <v>0</v>
      </c>
      <c r="DO177" s="29"/>
      <c r="DP177" s="30">
        <f t="shared" si="216"/>
        <v>12879</v>
      </c>
      <c r="DQ177" s="28">
        <f>PRODUCTION!DR177+'SUPLIER INWARD'!DR177</f>
        <v>0</v>
      </c>
      <c r="DR177" s="28"/>
      <c r="DS177" s="29"/>
      <c r="DT177" s="30">
        <f t="shared" si="217"/>
        <v>12879</v>
      </c>
      <c r="DU177" s="28">
        <f>PRODUCTION!DV177+'SUPLIER INWARD'!DV177</f>
        <v>0</v>
      </c>
      <c r="DV177" s="28"/>
      <c r="DW177" s="29"/>
      <c r="DX177" s="30">
        <f t="shared" si="218"/>
        <v>12879</v>
      </c>
      <c r="DY177" s="31">
        <f t="shared" si="221"/>
        <v>12570</v>
      </c>
      <c r="DZ177" s="141">
        <f t="shared" si="219"/>
        <v>0</v>
      </c>
      <c r="EA177" s="4">
        <f t="shared" si="220"/>
        <v>1680</v>
      </c>
      <c r="EB177" s="9">
        <f>D177*'MASTER SHEET'!D177</f>
        <v>0</v>
      </c>
      <c r="EC177" s="9">
        <f>H177*'MASTER SHEET'!D177</f>
        <v>0</v>
      </c>
      <c r="ED177" s="9">
        <f>L177*'MASTER SHEET'!D177</f>
        <v>0</v>
      </c>
      <c r="EE177" s="9">
        <f>P177*'MASTER SHEET'!D177</f>
        <v>0</v>
      </c>
      <c r="EF177" s="9">
        <f>T177*'MASTER SHEET'!D177</f>
        <v>0</v>
      </c>
      <c r="EG177" s="9">
        <f>X177*'MASTER SHEET'!D177</f>
        <v>0</v>
      </c>
      <c r="EH177" s="9">
        <f>AB177*'MASTER SHEET'!D177</f>
        <v>0</v>
      </c>
      <c r="EI177" s="9">
        <f>AF177*'MASTER SHEET'!D177</f>
        <v>0</v>
      </c>
      <c r="EJ177" s="9">
        <f>AJ177*'MASTER SHEET'!D177</f>
        <v>0</v>
      </c>
      <c r="EK177" s="9">
        <f>AN177*'MASTER SHEET'!D177</f>
        <v>0</v>
      </c>
      <c r="EL177" s="9">
        <f>AR177*'MASTER SHEET'!D177</f>
        <v>0</v>
      </c>
      <c r="EM177" s="9">
        <f>AV177*'MASTER SHEET'!D177</f>
        <v>0</v>
      </c>
      <c r="EN177" s="9">
        <f>AZ177*'MASTER SHEET'!D177</f>
        <v>0</v>
      </c>
      <c r="EO177" s="9">
        <f>BD177*'MASTER SHEET'!D177</f>
        <v>0</v>
      </c>
      <c r="EP177" s="9">
        <f>$BH177*'MASTER SHEET'!$D177</f>
        <v>0</v>
      </c>
      <c r="EQ177" s="9">
        <f>BL177*'MASTER SHEET'!D177</f>
        <v>0</v>
      </c>
      <c r="ER177" s="9">
        <f>BP177*'MASTER SHEET'!D177</f>
        <v>0</v>
      </c>
      <c r="ES177" s="9">
        <f>BT177*'MASTER SHEET'!D177</f>
        <v>0</v>
      </c>
      <c r="ET177" s="9">
        <f>BX177*'MASTER SHEET'!D177</f>
        <v>0</v>
      </c>
      <c r="EU177" s="9">
        <f>CB177*'MASTER SHEET'!D177</f>
        <v>0</v>
      </c>
      <c r="EV177" s="9">
        <f>CF177*'MASTER SHEET'!D177</f>
        <v>0</v>
      </c>
      <c r="EW177" s="9">
        <f>CJ177*'MASTER SHEET'!D177</f>
        <v>0</v>
      </c>
      <c r="EX177" s="9">
        <f>CN177*'MASTER SHEET'!D177</f>
        <v>0</v>
      </c>
      <c r="EY177" s="9">
        <f>CR177*'MASTER SHEET'!D177</f>
        <v>0</v>
      </c>
      <c r="EZ177" s="9">
        <f>$CV177*'MASTER SHEET'!D177</f>
        <v>0</v>
      </c>
      <c r="FA177" s="9">
        <f>CZ177*'MASTER SHEET'!D177</f>
        <v>0</v>
      </c>
      <c r="FB177" s="9">
        <f>DD177*'MASTER SHEET'!D177</f>
        <v>0</v>
      </c>
      <c r="FC177" s="9">
        <f>DH177*'MASTER SHEET'!D177</f>
        <v>0</v>
      </c>
      <c r="FD177" s="9">
        <f>DL177*'MASTER SHEET'!D177</f>
        <v>0</v>
      </c>
      <c r="FE177" s="9">
        <f>DP177*'MASTER SHEET'!D177</f>
        <v>0</v>
      </c>
      <c r="FF177" s="9">
        <f>DT177*'MASTER SHEET'!D177</f>
        <v>0</v>
      </c>
      <c r="FG177" s="9">
        <f>+DX177*'MASTER SHEET'!D177</f>
        <v>0</v>
      </c>
    </row>
    <row r="178" spans="1:163" ht="20.25" customHeight="1" x14ac:dyDescent="0.25">
      <c r="A178" s="25">
        <f>'MASTER SHEET'!A178</f>
        <v>176</v>
      </c>
      <c r="B178" s="168" t="str">
        <f>'MASTER SHEET'!B178</f>
        <v>X451 RR BAZEL PASSIVE</v>
      </c>
      <c r="C178" s="169" t="str">
        <f>'MASTER SHEET'!C178</f>
        <v>GA00002917</v>
      </c>
      <c r="D178" s="159">
        <v>500</v>
      </c>
      <c r="E178" s="28">
        <f>PRODUCTION!F178+'SUPLIER INWARD'!F178</f>
        <v>5040</v>
      </c>
      <c r="F178" s="29">
        <v>1200</v>
      </c>
      <c r="G178" s="29">
        <v>0</v>
      </c>
      <c r="H178" s="30">
        <f t="shared" si="193"/>
        <v>4340</v>
      </c>
      <c r="I178" s="28">
        <f>PRODUCTION!J178+'SUPLIER INWARD'!J178</f>
        <v>1732</v>
      </c>
      <c r="J178" s="28">
        <v>3000</v>
      </c>
      <c r="K178" s="29">
        <v>0</v>
      </c>
      <c r="L178" s="30">
        <f t="shared" si="194"/>
        <v>3072</v>
      </c>
      <c r="M178" s="28">
        <f>PRODUCTION!N178+'SUPLIER INWARD'!N178</f>
        <v>0</v>
      </c>
      <c r="N178" s="28"/>
      <c r="O178" s="29"/>
      <c r="P178" s="30">
        <f t="shared" si="195"/>
        <v>3072</v>
      </c>
      <c r="Q178" s="28">
        <f>PRODUCTION!R178+'SUPLIER INWARD'!R178</f>
        <v>0</v>
      </c>
      <c r="R178" s="28"/>
      <c r="S178" s="29">
        <v>0</v>
      </c>
      <c r="T178" s="30">
        <f t="shared" si="196"/>
        <v>3072</v>
      </c>
      <c r="U178" s="28">
        <f>PRODUCTION!V178+'SUPLIER INWARD'!V178</f>
        <v>0</v>
      </c>
      <c r="V178" s="28">
        <v>1200</v>
      </c>
      <c r="W178" s="29">
        <v>0</v>
      </c>
      <c r="X178" s="30">
        <f t="shared" si="197"/>
        <v>1872</v>
      </c>
      <c r="Y178" s="28">
        <f>PRODUCTION!Z178+'SUPLIER INWARD'!Z178</f>
        <v>0</v>
      </c>
      <c r="Z178" s="28">
        <v>1800</v>
      </c>
      <c r="AA178" s="29">
        <v>19</v>
      </c>
      <c r="AB178" s="30">
        <f t="shared" si="198"/>
        <v>53</v>
      </c>
      <c r="AC178" s="28">
        <f>PRODUCTION!AD178+'SUPLIER INWARD'!AD178</f>
        <v>0</v>
      </c>
      <c r="AD178" s="28">
        <v>0</v>
      </c>
      <c r="AE178" s="29">
        <v>0</v>
      </c>
      <c r="AF178" s="30">
        <f t="shared" si="199"/>
        <v>53</v>
      </c>
      <c r="AG178" s="28">
        <f>PRODUCTION!AH178+'SUPLIER INWARD'!AH178</f>
        <v>0</v>
      </c>
      <c r="AH178" s="28">
        <v>0</v>
      </c>
      <c r="AI178" s="29">
        <v>0</v>
      </c>
      <c r="AJ178" s="30">
        <f t="shared" si="200"/>
        <v>53</v>
      </c>
      <c r="AK178" s="28">
        <f>PRODUCTION!AL178+'SUPLIER INWARD'!AL178</f>
        <v>0</v>
      </c>
      <c r="AL178" s="28">
        <v>0</v>
      </c>
      <c r="AM178" s="29">
        <v>0</v>
      </c>
      <c r="AN178" s="30">
        <f t="shared" si="201"/>
        <v>53</v>
      </c>
      <c r="AO178" s="28">
        <f>PRODUCTION!AP178+'SUPLIER INWARD'!AP178</f>
        <v>0</v>
      </c>
      <c r="AP178" s="28"/>
      <c r="AQ178" s="29">
        <v>0</v>
      </c>
      <c r="AR178" s="30">
        <f t="shared" si="202"/>
        <v>53</v>
      </c>
      <c r="AS178" s="28">
        <f>PRODUCTION!AT178+'SUPLIER INWARD'!AT178</f>
        <v>0</v>
      </c>
      <c r="AT178" s="28">
        <v>0</v>
      </c>
      <c r="AU178" s="29">
        <v>0</v>
      </c>
      <c r="AV178" s="30">
        <f t="shared" si="203"/>
        <v>53</v>
      </c>
      <c r="AW178" s="28">
        <f>PRODUCTION!AX178+'SUPLIER INWARD'!AX178</f>
        <v>0</v>
      </c>
      <c r="AX178" s="28"/>
      <c r="AY178" s="29"/>
      <c r="AZ178" s="30">
        <f t="shared" si="204"/>
        <v>53</v>
      </c>
      <c r="BA178" s="28">
        <f>PRODUCTION!BB178+'SUPLIER INWARD'!BB178</f>
        <v>4792</v>
      </c>
      <c r="BB178" s="28">
        <v>1200</v>
      </c>
      <c r="BC178" s="29">
        <v>0</v>
      </c>
      <c r="BD178" s="30">
        <f t="shared" si="205"/>
        <v>3645</v>
      </c>
      <c r="BE178" s="28">
        <f>PRODUCTION!BF178+'SUPLIER INWARD'!BF178</f>
        <v>5652</v>
      </c>
      <c r="BF178" s="58">
        <v>5600</v>
      </c>
      <c r="BG178" s="29">
        <v>0</v>
      </c>
      <c r="BH178" s="30">
        <f t="shared" si="206"/>
        <v>3697</v>
      </c>
      <c r="BI178" s="28">
        <f>PRODUCTION!BJ178+'SUPLIER INWARD'!BJ178</f>
        <v>4950</v>
      </c>
      <c r="BJ178" s="28">
        <v>4800</v>
      </c>
      <c r="BK178" s="29">
        <v>0</v>
      </c>
      <c r="BL178" s="30">
        <f t="shared" si="207"/>
        <v>3847</v>
      </c>
      <c r="BM178" s="28">
        <f>PRODUCTION!BN178+'SUPLIER INWARD'!BN178</f>
        <v>6179</v>
      </c>
      <c r="BN178" s="28">
        <v>2400</v>
      </c>
      <c r="BO178" s="29">
        <v>0</v>
      </c>
      <c r="BP178" s="30">
        <f t="shared" si="208"/>
        <v>7626</v>
      </c>
      <c r="BQ178" s="28">
        <f>PRODUCTION!BR178+'SUPLIER INWARD'!BR178</f>
        <v>6336</v>
      </c>
      <c r="BR178" s="28">
        <v>7000</v>
      </c>
      <c r="BS178" s="29">
        <v>0</v>
      </c>
      <c r="BT178" s="30">
        <f t="shared" si="209"/>
        <v>6962</v>
      </c>
      <c r="BU178" s="28">
        <f>PRODUCTION!BV178+'SUPLIER INWARD'!BV178</f>
        <v>6250</v>
      </c>
      <c r="BV178" s="28">
        <v>6000</v>
      </c>
      <c r="BW178" s="29">
        <v>0</v>
      </c>
      <c r="BX178" s="30">
        <f t="shared" si="176"/>
        <v>7212</v>
      </c>
      <c r="BY178" s="28">
        <f>PRODUCTION!BZ178+'SUPLIER INWARD'!BZ178</f>
        <v>0</v>
      </c>
      <c r="BZ178" s="28"/>
      <c r="CA178" s="29">
        <v>0</v>
      </c>
      <c r="CB178" s="30">
        <f t="shared" si="210"/>
        <v>7212</v>
      </c>
      <c r="CC178" s="28">
        <f>PRODUCTION!CD178+'SUPLIER INWARD'!CD178</f>
        <v>4833</v>
      </c>
      <c r="CD178" s="28">
        <v>4800</v>
      </c>
      <c r="CE178" s="29">
        <v>0</v>
      </c>
      <c r="CF178" s="30">
        <f t="shared" si="211"/>
        <v>7245</v>
      </c>
      <c r="CG178" s="28">
        <f>PRODUCTION!CH178+'SUPLIER INWARD'!CH178</f>
        <v>6259</v>
      </c>
      <c r="CH178" s="28">
        <v>3200</v>
      </c>
      <c r="CI178" s="29">
        <v>0</v>
      </c>
      <c r="CJ178" s="30">
        <f t="shared" si="179"/>
        <v>10304</v>
      </c>
      <c r="CK178" s="28">
        <f>PRODUCTION!CL178+'SUPLIER INWARD'!CL178</f>
        <v>12584</v>
      </c>
      <c r="CL178" s="151">
        <v>10000</v>
      </c>
      <c r="CM178" s="152"/>
      <c r="CN178" s="30">
        <f t="shared" si="180"/>
        <v>12888</v>
      </c>
      <c r="CO178" s="28">
        <f>PRODUCTION!CP178+'SUPLIER INWARD'!CP178</f>
        <v>6266</v>
      </c>
      <c r="CP178" s="151">
        <v>6800</v>
      </c>
      <c r="CQ178" s="29">
        <v>0</v>
      </c>
      <c r="CR178" s="30">
        <f t="shared" si="181"/>
        <v>12354</v>
      </c>
      <c r="CS178" s="28">
        <f>PRODUCTION!CT178+'SUPLIER INWARD'!CT178</f>
        <v>1491</v>
      </c>
      <c r="CT178" s="28">
        <v>4800</v>
      </c>
      <c r="CU178" s="29">
        <v>0</v>
      </c>
      <c r="CV178" s="30">
        <f t="shared" si="182"/>
        <v>9045</v>
      </c>
      <c r="CW178" s="28">
        <f>PRODUCTION!CX178+'SUPLIER INWARD'!CX178</f>
        <v>0</v>
      </c>
      <c r="CX178" s="28">
        <v>800</v>
      </c>
      <c r="CY178" s="29">
        <v>0</v>
      </c>
      <c r="CZ178" s="30">
        <f t="shared" si="212"/>
        <v>8245</v>
      </c>
      <c r="DA178" s="28">
        <f>PRODUCTION!DB178+'SUPLIER INWARD'!DB178</f>
        <v>0</v>
      </c>
      <c r="DB178" s="28"/>
      <c r="DC178" s="29"/>
      <c r="DD178" s="30">
        <f t="shared" si="213"/>
        <v>8245</v>
      </c>
      <c r="DE178" s="28">
        <f>PRODUCTION!DF178+'SUPLIER INWARD'!DF178</f>
        <v>0</v>
      </c>
      <c r="DF178" s="28">
        <v>0</v>
      </c>
      <c r="DG178" s="29">
        <v>0</v>
      </c>
      <c r="DH178" s="30">
        <f t="shared" si="214"/>
        <v>8245</v>
      </c>
      <c r="DI178" s="28">
        <f>PRODUCTION!DJ178+'SUPLIER INWARD'!DJ178</f>
        <v>0</v>
      </c>
      <c r="DJ178" s="28">
        <v>0</v>
      </c>
      <c r="DK178" s="29">
        <v>0</v>
      </c>
      <c r="DL178" s="30">
        <f t="shared" si="215"/>
        <v>8245</v>
      </c>
      <c r="DM178" s="28">
        <f>PRODUCTION!DN178+'SUPLIER INWARD'!DN178</f>
        <v>0</v>
      </c>
      <c r="DN178" s="28">
        <v>0</v>
      </c>
      <c r="DO178" s="29"/>
      <c r="DP178" s="30">
        <f t="shared" si="216"/>
        <v>8245</v>
      </c>
      <c r="DQ178" s="28">
        <f>PRODUCTION!DR178+'SUPLIER INWARD'!DR178</f>
        <v>0</v>
      </c>
      <c r="DR178" s="28"/>
      <c r="DS178" s="29"/>
      <c r="DT178" s="30">
        <f t="shared" si="217"/>
        <v>8245</v>
      </c>
      <c r="DU178" s="28">
        <f>PRODUCTION!DV178+'SUPLIER INWARD'!DV178</f>
        <v>0</v>
      </c>
      <c r="DV178" s="28"/>
      <c r="DW178" s="29"/>
      <c r="DX178" s="30">
        <f t="shared" si="218"/>
        <v>8245</v>
      </c>
      <c r="DY178" s="31">
        <f t="shared" si="221"/>
        <v>72364</v>
      </c>
      <c r="DZ178" s="141">
        <f t="shared" si="219"/>
        <v>64600</v>
      </c>
      <c r="EA178" s="4">
        <f t="shared" si="220"/>
        <v>19</v>
      </c>
      <c r="EB178" s="9">
        <f>D178*'MASTER SHEET'!D178</f>
        <v>2130</v>
      </c>
      <c r="EC178" s="9">
        <f>H178*'MASTER SHEET'!D178</f>
        <v>18488.399999999998</v>
      </c>
      <c r="ED178" s="9">
        <f>L178*'MASTER SHEET'!D178</f>
        <v>13086.72</v>
      </c>
      <c r="EE178" s="9">
        <f>P178*'MASTER SHEET'!D178</f>
        <v>13086.72</v>
      </c>
      <c r="EF178" s="9">
        <f>T178*'MASTER SHEET'!D178</f>
        <v>13086.72</v>
      </c>
      <c r="EG178" s="9">
        <f>X178*'MASTER SHEET'!D178</f>
        <v>7974.7199999999993</v>
      </c>
      <c r="EH178" s="9">
        <f>AB178*'MASTER SHEET'!D178</f>
        <v>225.78</v>
      </c>
      <c r="EI178" s="9">
        <f>AF178*'MASTER SHEET'!D178</f>
        <v>225.78</v>
      </c>
      <c r="EJ178" s="9">
        <f>AJ178*'MASTER SHEET'!D178</f>
        <v>225.78</v>
      </c>
      <c r="EK178" s="9">
        <f>AN178*'MASTER SHEET'!D178</f>
        <v>225.78</v>
      </c>
      <c r="EL178" s="9">
        <f>AR178*'MASTER SHEET'!D178</f>
        <v>225.78</v>
      </c>
      <c r="EM178" s="9">
        <f>AV178*'MASTER SHEET'!D178</f>
        <v>225.78</v>
      </c>
      <c r="EN178" s="9">
        <f>AZ178*'MASTER SHEET'!D178</f>
        <v>225.78</v>
      </c>
      <c r="EO178" s="9">
        <f>BD178*'MASTER SHEET'!D178</f>
        <v>15527.699999999999</v>
      </c>
      <c r="EP178" s="9">
        <f>$BH178*'MASTER SHEET'!$D178</f>
        <v>15749.22</v>
      </c>
      <c r="EQ178" s="9">
        <f>BL178*'MASTER SHEET'!D178</f>
        <v>16388.219999999998</v>
      </c>
      <c r="ER178" s="9">
        <f>BP178*'MASTER SHEET'!D178</f>
        <v>32486.76</v>
      </c>
      <c r="ES178" s="9">
        <f>BT178*'MASTER SHEET'!D178</f>
        <v>29658.12</v>
      </c>
      <c r="ET178" s="9">
        <f>BX178*'MASTER SHEET'!D178</f>
        <v>30723.119999999999</v>
      </c>
      <c r="EU178" s="9">
        <f>CB178*'MASTER SHEET'!D178</f>
        <v>30723.119999999999</v>
      </c>
      <c r="EV178" s="9">
        <f>CF178*'MASTER SHEET'!D178</f>
        <v>30863.699999999997</v>
      </c>
      <c r="EW178" s="9">
        <f>CJ178*'MASTER SHEET'!D178</f>
        <v>43895.040000000001</v>
      </c>
      <c r="EX178" s="9">
        <f>CN178*'MASTER SHEET'!D178</f>
        <v>54902.879999999997</v>
      </c>
      <c r="EY178" s="9">
        <f>CR178*'MASTER SHEET'!D178</f>
        <v>52628.04</v>
      </c>
      <c r="EZ178" s="9">
        <f>$CV178*'MASTER SHEET'!D178</f>
        <v>38531.699999999997</v>
      </c>
      <c r="FA178" s="9">
        <f>CZ178*'MASTER SHEET'!D178</f>
        <v>35123.699999999997</v>
      </c>
      <c r="FB178" s="9">
        <f>DD178*'MASTER SHEET'!D178</f>
        <v>35123.699999999997</v>
      </c>
      <c r="FC178" s="9">
        <f>DH178*'MASTER SHEET'!D178</f>
        <v>35123.699999999997</v>
      </c>
      <c r="FD178" s="9">
        <f>DL178*'MASTER SHEET'!D178</f>
        <v>35123.699999999997</v>
      </c>
      <c r="FE178" s="9">
        <f>DP178*'MASTER SHEET'!D178</f>
        <v>35123.699999999997</v>
      </c>
      <c r="FF178" s="9">
        <f>DT178*'MASTER SHEET'!D178</f>
        <v>35123.699999999997</v>
      </c>
      <c r="FG178" s="9">
        <f>+DX178*'MASTER SHEET'!D178</f>
        <v>35123.699999999997</v>
      </c>
    </row>
    <row r="179" spans="1:163" ht="20.25" customHeight="1" x14ac:dyDescent="0.25">
      <c r="A179" s="25">
        <f>'MASTER SHEET'!A179</f>
        <v>177</v>
      </c>
      <c r="B179" s="168" t="str">
        <f>'MASTER SHEET'!B179</f>
        <v>X451 RR BAZEL ACTIVE</v>
      </c>
      <c r="C179" s="169" t="str">
        <f>'MASTER SHEET'!C179</f>
        <v>GA00002914</v>
      </c>
      <c r="D179" s="159">
        <v>1100</v>
      </c>
      <c r="E179" s="28">
        <f>PRODUCTION!F179+'SUPLIER INWARD'!F179</f>
        <v>5040</v>
      </c>
      <c r="F179" s="29">
        <v>1200</v>
      </c>
      <c r="G179" s="29">
        <v>0</v>
      </c>
      <c r="H179" s="30">
        <f t="shared" si="193"/>
        <v>4940</v>
      </c>
      <c r="I179" s="28">
        <f>PRODUCTION!J179+'SUPLIER INWARD'!J179</f>
        <v>1732</v>
      </c>
      <c r="J179" s="28">
        <v>3000</v>
      </c>
      <c r="K179" s="29">
        <v>0</v>
      </c>
      <c r="L179" s="30">
        <f t="shared" si="194"/>
        <v>3672</v>
      </c>
      <c r="M179" s="28">
        <f>PRODUCTION!N179+'SUPLIER INWARD'!N179</f>
        <v>0</v>
      </c>
      <c r="N179" s="28"/>
      <c r="O179" s="29"/>
      <c r="P179" s="30">
        <f t="shared" si="195"/>
        <v>3672</v>
      </c>
      <c r="Q179" s="28">
        <f>PRODUCTION!R179+'SUPLIER INWARD'!R179</f>
        <v>0</v>
      </c>
      <c r="R179" s="28"/>
      <c r="S179" s="29">
        <v>0</v>
      </c>
      <c r="T179" s="30">
        <f t="shared" si="196"/>
        <v>3672</v>
      </c>
      <c r="U179" s="28">
        <f>PRODUCTION!V179+'SUPLIER INWARD'!V179</f>
        <v>0</v>
      </c>
      <c r="V179" s="28">
        <v>1200</v>
      </c>
      <c r="W179" s="29">
        <v>0</v>
      </c>
      <c r="X179" s="30">
        <f t="shared" si="197"/>
        <v>2472</v>
      </c>
      <c r="Y179" s="28">
        <f>PRODUCTION!Z179+'SUPLIER INWARD'!Z179</f>
        <v>0</v>
      </c>
      <c r="Z179" s="28">
        <v>2400</v>
      </c>
      <c r="AA179" s="29">
        <v>20</v>
      </c>
      <c r="AB179" s="30">
        <f t="shared" si="198"/>
        <v>52</v>
      </c>
      <c r="AC179" s="28">
        <f>PRODUCTION!AD179+'SUPLIER INWARD'!AD179</f>
        <v>0</v>
      </c>
      <c r="AD179" s="28">
        <v>0</v>
      </c>
      <c r="AE179" s="29">
        <v>0</v>
      </c>
      <c r="AF179" s="30">
        <f t="shared" si="199"/>
        <v>52</v>
      </c>
      <c r="AG179" s="28">
        <f>PRODUCTION!AH179+'SUPLIER INWARD'!AH179</f>
        <v>0</v>
      </c>
      <c r="AH179" s="28">
        <v>0</v>
      </c>
      <c r="AI179" s="29">
        <v>0</v>
      </c>
      <c r="AJ179" s="30">
        <f t="shared" si="200"/>
        <v>52</v>
      </c>
      <c r="AK179" s="28">
        <f>PRODUCTION!AL179+'SUPLIER INWARD'!AL179</f>
        <v>0</v>
      </c>
      <c r="AL179" s="28">
        <v>0</v>
      </c>
      <c r="AM179" s="29">
        <v>0</v>
      </c>
      <c r="AN179" s="30">
        <f t="shared" si="201"/>
        <v>52</v>
      </c>
      <c r="AO179" s="28">
        <f>PRODUCTION!AP179+'SUPLIER INWARD'!AP179</f>
        <v>0</v>
      </c>
      <c r="AP179" s="28"/>
      <c r="AQ179" s="29">
        <v>0</v>
      </c>
      <c r="AR179" s="30">
        <f t="shared" si="202"/>
        <v>52</v>
      </c>
      <c r="AS179" s="28">
        <f>PRODUCTION!AT179+'SUPLIER INWARD'!AT179</f>
        <v>0</v>
      </c>
      <c r="AT179" s="28">
        <v>0</v>
      </c>
      <c r="AU179" s="29">
        <v>0</v>
      </c>
      <c r="AV179" s="30">
        <f t="shared" si="203"/>
        <v>52</v>
      </c>
      <c r="AW179" s="28">
        <f>PRODUCTION!AX179+'SUPLIER INWARD'!AX179</f>
        <v>0</v>
      </c>
      <c r="AX179" s="28"/>
      <c r="AY179" s="29"/>
      <c r="AZ179" s="30">
        <f t="shared" si="204"/>
        <v>52</v>
      </c>
      <c r="BA179" s="28">
        <f>PRODUCTION!BB179+'SUPLIER INWARD'!BB179</f>
        <v>4792</v>
      </c>
      <c r="BB179" s="28">
        <v>1200</v>
      </c>
      <c r="BC179" s="29">
        <v>0</v>
      </c>
      <c r="BD179" s="30">
        <f t="shared" si="205"/>
        <v>3644</v>
      </c>
      <c r="BE179" s="28">
        <f>PRODUCTION!BF179+'SUPLIER INWARD'!BF179</f>
        <v>5652</v>
      </c>
      <c r="BF179" s="58">
        <v>5600</v>
      </c>
      <c r="BG179" s="29">
        <v>0</v>
      </c>
      <c r="BH179" s="30">
        <f t="shared" si="206"/>
        <v>3696</v>
      </c>
      <c r="BI179" s="28">
        <f>PRODUCTION!BJ179+'SUPLIER INWARD'!BJ179</f>
        <v>4950</v>
      </c>
      <c r="BJ179" s="28">
        <v>4800</v>
      </c>
      <c r="BK179" s="29">
        <v>0</v>
      </c>
      <c r="BL179" s="30">
        <f t="shared" si="207"/>
        <v>3846</v>
      </c>
      <c r="BM179" s="28">
        <f>PRODUCTION!BN179+'SUPLIER INWARD'!BN179</f>
        <v>6179</v>
      </c>
      <c r="BN179" s="28">
        <v>2400</v>
      </c>
      <c r="BO179" s="29">
        <v>0</v>
      </c>
      <c r="BP179" s="30">
        <f t="shared" si="208"/>
        <v>7625</v>
      </c>
      <c r="BQ179" s="28">
        <f>PRODUCTION!BR179+'SUPLIER INWARD'!BR179</f>
        <v>6336</v>
      </c>
      <c r="BR179" s="28">
        <v>6400</v>
      </c>
      <c r="BS179" s="29">
        <v>0</v>
      </c>
      <c r="BT179" s="30">
        <f t="shared" si="209"/>
        <v>7561</v>
      </c>
      <c r="BU179" s="28">
        <f>PRODUCTION!BV179+'SUPLIER INWARD'!BV179</f>
        <v>6250</v>
      </c>
      <c r="BV179" s="28">
        <v>6000</v>
      </c>
      <c r="BW179" s="29">
        <v>0</v>
      </c>
      <c r="BX179" s="30">
        <f t="shared" si="176"/>
        <v>7811</v>
      </c>
      <c r="BY179" s="28">
        <f>PRODUCTION!BZ179+'SUPLIER INWARD'!BZ179</f>
        <v>0</v>
      </c>
      <c r="BZ179" s="28"/>
      <c r="CA179" s="29">
        <v>0</v>
      </c>
      <c r="CB179" s="30">
        <f t="shared" si="210"/>
        <v>7811</v>
      </c>
      <c r="CC179" s="28">
        <f>PRODUCTION!CD179+'SUPLIER INWARD'!CD179</f>
        <v>4833</v>
      </c>
      <c r="CD179" s="28">
        <v>4800</v>
      </c>
      <c r="CE179" s="29">
        <v>0</v>
      </c>
      <c r="CF179" s="30">
        <f t="shared" si="211"/>
        <v>7844</v>
      </c>
      <c r="CG179" s="28">
        <f>PRODUCTION!CH179+'SUPLIER INWARD'!CH179</f>
        <v>6259</v>
      </c>
      <c r="CH179" s="28">
        <v>3200</v>
      </c>
      <c r="CI179" s="29">
        <v>0</v>
      </c>
      <c r="CJ179" s="30">
        <f t="shared" si="179"/>
        <v>10903</v>
      </c>
      <c r="CK179" s="28">
        <f>PRODUCTION!CL179+'SUPLIER INWARD'!CL179</f>
        <v>12584</v>
      </c>
      <c r="CL179" s="151">
        <v>10000</v>
      </c>
      <c r="CM179" s="152"/>
      <c r="CN179" s="30">
        <f t="shared" si="180"/>
        <v>13487</v>
      </c>
      <c r="CO179" s="28">
        <f>PRODUCTION!CP179+'SUPLIER INWARD'!CP179</f>
        <v>6266</v>
      </c>
      <c r="CP179" s="151">
        <v>6800</v>
      </c>
      <c r="CQ179" s="29">
        <v>0</v>
      </c>
      <c r="CR179" s="30">
        <f t="shared" si="181"/>
        <v>12953</v>
      </c>
      <c r="CS179" s="28">
        <f>PRODUCTION!CT179+'SUPLIER INWARD'!CT179</f>
        <v>1491</v>
      </c>
      <c r="CT179" s="28">
        <v>4800</v>
      </c>
      <c r="CU179" s="29">
        <v>0</v>
      </c>
      <c r="CV179" s="30">
        <f t="shared" si="182"/>
        <v>9644</v>
      </c>
      <c r="CW179" s="28">
        <f>PRODUCTION!CX179+'SUPLIER INWARD'!CX179</f>
        <v>0</v>
      </c>
      <c r="CX179" s="28">
        <v>800</v>
      </c>
      <c r="CY179" s="29">
        <v>0</v>
      </c>
      <c r="CZ179" s="30">
        <f t="shared" si="212"/>
        <v>8844</v>
      </c>
      <c r="DA179" s="28">
        <f>PRODUCTION!DB179+'SUPLIER INWARD'!DB179</f>
        <v>0</v>
      </c>
      <c r="DB179" s="28"/>
      <c r="DC179" s="29"/>
      <c r="DD179" s="30">
        <f t="shared" si="213"/>
        <v>8844</v>
      </c>
      <c r="DE179" s="28">
        <f>PRODUCTION!DF179+'SUPLIER INWARD'!DF179</f>
        <v>0</v>
      </c>
      <c r="DF179" s="28">
        <v>0</v>
      </c>
      <c r="DG179" s="29">
        <v>0</v>
      </c>
      <c r="DH179" s="30">
        <f t="shared" si="214"/>
        <v>8844</v>
      </c>
      <c r="DI179" s="28">
        <f>PRODUCTION!DJ179+'SUPLIER INWARD'!DJ179</f>
        <v>0</v>
      </c>
      <c r="DJ179" s="28">
        <v>0</v>
      </c>
      <c r="DK179" s="29">
        <v>0</v>
      </c>
      <c r="DL179" s="30">
        <f t="shared" si="215"/>
        <v>8844</v>
      </c>
      <c r="DM179" s="28">
        <f>PRODUCTION!DN179+'SUPLIER INWARD'!DN179</f>
        <v>0</v>
      </c>
      <c r="DN179" s="28">
        <v>0</v>
      </c>
      <c r="DO179" s="29"/>
      <c r="DP179" s="30">
        <f t="shared" si="216"/>
        <v>8844</v>
      </c>
      <c r="DQ179" s="28">
        <f>PRODUCTION!DR179+'SUPLIER INWARD'!DR179</f>
        <v>0</v>
      </c>
      <c r="DR179" s="28"/>
      <c r="DS179" s="29"/>
      <c r="DT179" s="30">
        <f t="shared" si="217"/>
        <v>8844</v>
      </c>
      <c r="DU179" s="28">
        <f>PRODUCTION!DV179+'SUPLIER INWARD'!DV179</f>
        <v>0</v>
      </c>
      <c r="DV179" s="28"/>
      <c r="DW179" s="29"/>
      <c r="DX179" s="30">
        <f t="shared" si="218"/>
        <v>8844</v>
      </c>
      <c r="DY179" s="31">
        <f t="shared" si="221"/>
        <v>72364</v>
      </c>
      <c r="DZ179" s="141">
        <f t="shared" si="219"/>
        <v>64600</v>
      </c>
      <c r="EA179" s="4">
        <f t="shared" si="220"/>
        <v>20</v>
      </c>
      <c r="EB179" s="9">
        <f>D179*'MASTER SHEET'!D179</f>
        <v>4686</v>
      </c>
      <c r="EC179" s="9">
        <f>H179*'MASTER SHEET'!D179</f>
        <v>21044.399999999998</v>
      </c>
      <c r="ED179" s="9">
        <f>L179*'MASTER SHEET'!D179</f>
        <v>15642.72</v>
      </c>
      <c r="EE179" s="9">
        <f>P179*'MASTER SHEET'!D179</f>
        <v>15642.72</v>
      </c>
      <c r="EF179" s="9">
        <f>T179*'MASTER SHEET'!D179</f>
        <v>15642.72</v>
      </c>
      <c r="EG179" s="9">
        <f>X179*'MASTER SHEET'!D179</f>
        <v>10530.72</v>
      </c>
      <c r="EH179" s="9">
        <f>AB179*'MASTER SHEET'!D179</f>
        <v>221.51999999999998</v>
      </c>
      <c r="EI179" s="9">
        <f>AF179*'MASTER SHEET'!D179</f>
        <v>221.51999999999998</v>
      </c>
      <c r="EJ179" s="9">
        <f>AJ179*'MASTER SHEET'!D179</f>
        <v>221.51999999999998</v>
      </c>
      <c r="EK179" s="9">
        <f>AN179*'MASTER SHEET'!D179</f>
        <v>221.51999999999998</v>
      </c>
      <c r="EL179" s="9">
        <f>AR179*'MASTER SHEET'!D179</f>
        <v>221.51999999999998</v>
      </c>
      <c r="EM179" s="9">
        <f>AV179*'MASTER SHEET'!D179</f>
        <v>221.51999999999998</v>
      </c>
      <c r="EN179" s="9">
        <f>AZ179*'MASTER SHEET'!D179</f>
        <v>221.51999999999998</v>
      </c>
      <c r="EO179" s="9">
        <f>BD179*'MASTER SHEET'!D179</f>
        <v>15523.439999999999</v>
      </c>
      <c r="EP179" s="9">
        <f>$BH179*'MASTER SHEET'!$D179</f>
        <v>15744.96</v>
      </c>
      <c r="EQ179" s="9">
        <f>BL179*'MASTER SHEET'!D179</f>
        <v>16383.96</v>
      </c>
      <c r="ER179" s="9">
        <f>BP179*'MASTER SHEET'!D179</f>
        <v>32482.5</v>
      </c>
      <c r="ES179" s="9">
        <f>BT179*'MASTER SHEET'!D179</f>
        <v>32209.859999999997</v>
      </c>
      <c r="ET179" s="9">
        <f>BX179*'MASTER SHEET'!D179</f>
        <v>33274.86</v>
      </c>
      <c r="EU179" s="9">
        <f>CB179*'MASTER SHEET'!D179</f>
        <v>33274.86</v>
      </c>
      <c r="EV179" s="9">
        <f>CF179*'MASTER SHEET'!D179</f>
        <v>33415.439999999995</v>
      </c>
      <c r="EW179" s="9">
        <f>CJ179*'MASTER SHEET'!D179</f>
        <v>46446.78</v>
      </c>
      <c r="EX179" s="9">
        <f>CN179*'MASTER SHEET'!D179</f>
        <v>57454.619999999995</v>
      </c>
      <c r="EY179" s="9">
        <f>CR179*'MASTER SHEET'!D179</f>
        <v>55179.78</v>
      </c>
      <c r="EZ179" s="9">
        <f>$CV179*'MASTER SHEET'!D179</f>
        <v>41083.439999999995</v>
      </c>
      <c r="FA179" s="9">
        <f>CZ179*'MASTER SHEET'!D179</f>
        <v>37675.439999999995</v>
      </c>
      <c r="FB179" s="9">
        <f>DD179*'MASTER SHEET'!D179</f>
        <v>37675.439999999995</v>
      </c>
      <c r="FC179" s="9">
        <f>DH179*'MASTER SHEET'!D179</f>
        <v>37675.439999999995</v>
      </c>
      <c r="FD179" s="9">
        <f>DL179*'MASTER SHEET'!D179</f>
        <v>37675.439999999995</v>
      </c>
      <c r="FE179" s="9">
        <f>DP179*'MASTER SHEET'!D179</f>
        <v>37675.439999999995</v>
      </c>
      <c r="FF179" s="9">
        <f>DT179*'MASTER SHEET'!D179</f>
        <v>37675.439999999995</v>
      </c>
      <c r="FG179" s="9">
        <f>+DX179*'MASTER SHEET'!D179</f>
        <v>37675.439999999995</v>
      </c>
    </row>
    <row r="180" spans="1:163" ht="20.25" customHeight="1" x14ac:dyDescent="0.25">
      <c r="A180" s="25">
        <f>'MASTER SHEET'!A180</f>
        <v>178</v>
      </c>
      <c r="B180" s="168" t="str">
        <f>'MASTER SHEET'!B180</f>
        <v>W601 ODH SUPPORT PLANK</v>
      </c>
      <c r="C180" s="169" t="str">
        <f>'MASTER SHEET'!C180</f>
        <v>BC00004915</v>
      </c>
      <c r="D180" s="159">
        <v>0</v>
      </c>
      <c r="E180" s="28">
        <f>PRODUCTION!F180+'SUPLIER INWARD'!F180</f>
        <v>0</v>
      </c>
      <c r="F180" s="28"/>
      <c r="G180" s="29">
        <v>0</v>
      </c>
      <c r="H180" s="30">
        <f t="shared" si="193"/>
        <v>0</v>
      </c>
      <c r="I180" s="28">
        <f>PRODUCTION!J180+'SUPLIER INWARD'!J180</f>
        <v>6000</v>
      </c>
      <c r="J180" s="28"/>
      <c r="K180" s="29">
        <v>0</v>
      </c>
      <c r="L180" s="30">
        <f t="shared" si="194"/>
        <v>6000</v>
      </c>
      <c r="M180" s="28">
        <f>PRODUCTION!N180+'SUPLIER INWARD'!N180</f>
        <v>0</v>
      </c>
      <c r="N180" s="28"/>
      <c r="O180" s="29"/>
      <c r="P180" s="30">
        <f t="shared" si="195"/>
        <v>6000</v>
      </c>
      <c r="Q180" s="28">
        <f>PRODUCTION!R180+'SUPLIER INWARD'!R180</f>
        <v>7000</v>
      </c>
      <c r="R180" s="28">
        <v>12500</v>
      </c>
      <c r="S180" s="29">
        <v>0</v>
      </c>
      <c r="T180" s="30">
        <f t="shared" si="196"/>
        <v>500</v>
      </c>
      <c r="U180" s="28">
        <f>PRODUCTION!V180+'SUPLIER INWARD'!V180</f>
        <v>0</v>
      </c>
      <c r="V180" s="28">
        <v>0</v>
      </c>
      <c r="W180" s="29">
        <v>0</v>
      </c>
      <c r="X180" s="30">
        <f t="shared" si="197"/>
        <v>500</v>
      </c>
      <c r="Y180" s="28">
        <f>PRODUCTION!Z180+'SUPLIER INWARD'!Z180</f>
        <v>2000</v>
      </c>
      <c r="Z180" s="28">
        <v>2000</v>
      </c>
      <c r="AA180" s="29">
        <v>0</v>
      </c>
      <c r="AB180" s="30">
        <f t="shared" si="198"/>
        <v>500</v>
      </c>
      <c r="AC180" s="28">
        <f>PRODUCTION!AD180+'SUPLIER INWARD'!AD180</f>
        <v>5900</v>
      </c>
      <c r="AD180" s="28">
        <v>0</v>
      </c>
      <c r="AE180" s="29">
        <v>0</v>
      </c>
      <c r="AF180" s="30">
        <f t="shared" si="199"/>
        <v>6400</v>
      </c>
      <c r="AG180" s="28">
        <f>PRODUCTION!AH180+'SUPLIER INWARD'!AH180</f>
        <v>6000</v>
      </c>
      <c r="AH180" s="28">
        <v>8000</v>
      </c>
      <c r="AI180" s="29">
        <v>0</v>
      </c>
      <c r="AJ180" s="30">
        <f t="shared" si="200"/>
        <v>4400</v>
      </c>
      <c r="AK180" s="28">
        <f>PRODUCTION!AL180+'SUPLIER INWARD'!AL180</f>
        <v>6500</v>
      </c>
      <c r="AL180" s="28">
        <v>6500</v>
      </c>
      <c r="AM180" s="29">
        <v>0</v>
      </c>
      <c r="AN180" s="30">
        <f t="shared" si="201"/>
        <v>4400</v>
      </c>
      <c r="AO180" s="28">
        <f>PRODUCTION!AP180+'SUPLIER INWARD'!AP180</f>
        <v>7000</v>
      </c>
      <c r="AP180" s="28">
        <v>5000</v>
      </c>
      <c r="AQ180" s="29">
        <v>0</v>
      </c>
      <c r="AR180" s="30">
        <f t="shared" si="202"/>
        <v>6400</v>
      </c>
      <c r="AS180" s="28">
        <f>PRODUCTION!AT180+'SUPLIER INWARD'!AT180</f>
        <v>9000</v>
      </c>
      <c r="AT180" s="28">
        <v>4000</v>
      </c>
      <c r="AU180" s="29">
        <v>0</v>
      </c>
      <c r="AV180" s="30">
        <f t="shared" si="203"/>
        <v>11400</v>
      </c>
      <c r="AW180" s="28">
        <f>PRODUCTION!AX180+'SUPLIER INWARD'!AX180</f>
        <v>0</v>
      </c>
      <c r="AX180" s="28"/>
      <c r="AY180" s="29"/>
      <c r="AZ180" s="30">
        <f t="shared" si="204"/>
        <v>11400</v>
      </c>
      <c r="BA180" s="28">
        <f>PRODUCTION!BB180+'SUPLIER INWARD'!BB180</f>
        <v>7500</v>
      </c>
      <c r="BB180" s="28">
        <v>9500</v>
      </c>
      <c r="BC180" s="29">
        <v>0</v>
      </c>
      <c r="BD180" s="30">
        <f t="shared" si="205"/>
        <v>9400</v>
      </c>
      <c r="BE180" s="28">
        <f>PRODUCTION!BF180+'SUPLIER INWARD'!BF180</f>
        <v>6000</v>
      </c>
      <c r="BF180" s="58">
        <v>12000</v>
      </c>
      <c r="BG180" s="29">
        <v>0</v>
      </c>
      <c r="BH180" s="30">
        <f t="shared" si="206"/>
        <v>3400</v>
      </c>
      <c r="BI180" s="28">
        <f>PRODUCTION!BJ180+'SUPLIER INWARD'!BJ180</f>
        <v>0</v>
      </c>
      <c r="BJ180" s="28">
        <v>0</v>
      </c>
      <c r="BK180" s="29">
        <v>0</v>
      </c>
      <c r="BL180" s="30">
        <f t="shared" si="207"/>
        <v>3400</v>
      </c>
      <c r="BM180" s="28">
        <f>PRODUCTION!BN180+'SUPLIER INWARD'!BN180</f>
        <v>0</v>
      </c>
      <c r="BN180" s="28">
        <v>0</v>
      </c>
      <c r="BO180" s="29">
        <v>0</v>
      </c>
      <c r="BP180" s="30">
        <f t="shared" si="208"/>
        <v>3400</v>
      </c>
      <c r="BQ180" s="28">
        <f>PRODUCTION!BR180+'SUPLIER INWARD'!BR180</f>
        <v>14000</v>
      </c>
      <c r="BR180" s="28">
        <v>0</v>
      </c>
      <c r="BS180" s="29">
        <v>0</v>
      </c>
      <c r="BT180" s="30">
        <f t="shared" si="209"/>
        <v>17400</v>
      </c>
      <c r="BU180" s="28">
        <f>PRODUCTION!BV180+'SUPLIER INWARD'!BV180</f>
        <v>8000</v>
      </c>
      <c r="BV180" s="28">
        <v>9500</v>
      </c>
      <c r="BW180" s="29">
        <v>16</v>
      </c>
      <c r="BX180" s="30">
        <f t="shared" si="176"/>
        <v>15884</v>
      </c>
      <c r="BY180" s="28">
        <f>PRODUCTION!BZ180+'SUPLIER INWARD'!BZ180</f>
        <v>0</v>
      </c>
      <c r="BZ180" s="28"/>
      <c r="CA180" s="29">
        <v>7</v>
      </c>
      <c r="CB180" s="30">
        <f t="shared" si="210"/>
        <v>15877</v>
      </c>
      <c r="CC180" s="28">
        <f>PRODUCTION!CD180+'SUPLIER INWARD'!CD180</f>
        <v>10000</v>
      </c>
      <c r="CD180" s="28">
        <v>5000</v>
      </c>
      <c r="CE180" s="29">
        <v>7</v>
      </c>
      <c r="CF180" s="30">
        <f t="shared" si="211"/>
        <v>20870</v>
      </c>
      <c r="CG180" s="28">
        <f>PRODUCTION!CH180+'SUPLIER INWARD'!CH180</f>
        <v>8000</v>
      </c>
      <c r="CH180" s="28">
        <v>0</v>
      </c>
      <c r="CI180" s="29">
        <v>0</v>
      </c>
      <c r="CJ180" s="30">
        <f t="shared" si="179"/>
        <v>28870</v>
      </c>
      <c r="CK180" s="28">
        <f>PRODUCTION!CL180+'SUPLIER INWARD'!CL180</f>
        <v>8000</v>
      </c>
      <c r="CL180" s="151">
        <v>5000</v>
      </c>
      <c r="CM180" s="152"/>
      <c r="CN180" s="30">
        <f t="shared" si="180"/>
        <v>31870</v>
      </c>
      <c r="CO180" s="28">
        <f>PRODUCTION!CP180+'SUPLIER INWARD'!CP180</f>
        <v>6000</v>
      </c>
      <c r="CP180" s="151">
        <v>0</v>
      </c>
      <c r="CQ180" s="29">
        <v>0</v>
      </c>
      <c r="CR180" s="30">
        <f t="shared" si="181"/>
        <v>37870</v>
      </c>
      <c r="CS180" s="28">
        <f>PRODUCTION!CT180+'SUPLIER INWARD'!CT180</f>
        <v>0</v>
      </c>
      <c r="CT180" s="28">
        <v>0</v>
      </c>
      <c r="CU180" s="29">
        <v>0</v>
      </c>
      <c r="CV180" s="30">
        <f t="shared" si="182"/>
        <v>37870</v>
      </c>
      <c r="CW180" s="28">
        <f>PRODUCTION!CX180+'SUPLIER INWARD'!CX180</f>
        <v>0</v>
      </c>
      <c r="CX180" s="28">
        <v>12500</v>
      </c>
      <c r="CY180" s="29">
        <v>0</v>
      </c>
      <c r="CZ180" s="30">
        <f t="shared" si="212"/>
        <v>25370</v>
      </c>
      <c r="DA180" s="28">
        <f>PRODUCTION!DB180+'SUPLIER INWARD'!DB180</f>
        <v>0</v>
      </c>
      <c r="DB180" s="28"/>
      <c r="DC180" s="29"/>
      <c r="DD180" s="30">
        <f t="shared" si="213"/>
        <v>25370</v>
      </c>
      <c r="DE180" s="28">
        <f>PRODUCTION!DF180+'SUPLIER INWARD'!DF180</f>
        <v>0</v>
      </c>
      <c r="DF180" s="28">
        <v>21000</v>
      </c>
      <c r="DG180" s="29">
        <v>7</v>
      </c>
      <c r="DH180" s="30">
        <f t="shared" si="214"/>
        <v>4363</v>
      </c>
      <c r="DI180" s="28">
        <f>PRODUCTION!DJ180+'SUPLIER INWARD'!DJ180</f>
        <v>5000</v>
      </c>
      <c r="DJ180" s="28">
        <v>0</v>
      </c>
      <c r="DK180" s="29">
        <v>0</v>
      </c>
      <c r="DL180" s="30">
        <f t="shared" si="215"/>
        <v>9363</v>
      </c>
      <c r="DM180" s="28">
        <f>PRODUCTION!DN180+'SUPLIER INWARD'!DN180</f>
        <v>5000</v>
      </c>
      <c r="DN180" s="28">
        <v>3000</v>
      </c>
      <c r="DO180" s="29"/>
      <c r="DP180" s="30">
        <f t="shared" si="216"/>
        <v>11363</v>
      </c>
      <c r="DQ180" s="28">
        <f>PRODUCTION!DR180+'SUPLIER INWARD'!DR180</f>
        <v>0</v>
      </c>
      <c r="DR180" s="28"/>
      <c r="DS180" s="29"/>
      <c r="DT180" s="30">
        <f t="shared" si="217"/>
        <v>11363</v>
      </c>
      <c r="DU180" s="28">
        <f>PRODUCTION!DV180+'SUPLIER INWARD'!DV180</f>
        <v>0</v>
      </c>
      <c r="DV180" s="28"/>
      <c r="DW180" s="29"/>
      <c r="DX180" s="30">
        <f t="shared" si="218"/>
        <v>11363</v>
      </c>
      <c r="DY180" s="31">
        <f t="shared" si="221"/>
        <v>126900</v>
      </c>
      <c r="DZ180" s="141">
        <f t="shared" si="219"/>
        <v>115500</v>
      </c>
      <c r="EA180" s="4">
        <f t="shared" si="220"/>
        <v>37</v>
      </c>
      <c r="EB180" s="9">
        <f>D180*'MASTER SHEET'!D180</f>
        <v>0</v>
      </c>
      <c r="EC180" s="9">
        <f>H180*'MASTER SHEET'!D180</f>
        <v>0</v>
      </c>
      <c r="ED180" s="9">
        <f>L180*'MASTER SHEET'!D180</f>
        <v>13080.000000000002</v>
      </c>
      <c r="EE180" s="9">
        <f>P180*'MASTER SHEET'!D180</f>
        <v>13080.000000000002</v>
      </c>
      <c r="EF180" s="9">
        <f>T180*'MASTER SHEET'!D180</f>
        <v>1090</v>
      </c>
      <c r="EG180" s="9">
        <f>X180*'MASTER SHEET'!D180</f>
        <v>1090</v>
      </c>
      <c r="EH180" s="9">
        <f>AB180*'MASTER SHEET'!D180</f>
        <v>1090</v>
      </c>
      <c r="EI180" s="9">
        <f>AF180*'MASTER SHEET'!D180</f>
        <v>13952.000000000002</v>
      </c>
      <c r="EJ180" s="9">
        <f>AJ180*'MASTER SHEET'!D180</f>
        <v>9592</v>
      </c>
      <c r="EK180" s="9">
        <f>AN180*'MASTER SHEET'!D180</f>
        <v>9592</v>
      </c>
      <c r="EL180" s="9">
        <f>AR180*'MASTER SHEET'!D180</f>
        <v>13952.000000000002</v>
      </c>
      <c r="EM180" s="9">
        <f>AV180*'MASTER SHEET'!D180</f>
        <v>24852.000000000004</v>
      </c>
      <c r="EN180" s="9">
        <f>AZ180*'MASTER SHEET'!D180</f>
        <v>24852.000000000004</v>
      </c>
      <c r="EO180" s="9">
        <f>BD180*'MASTER SHEET'!D180</f>
        <v>20492</v>
      </c>
      <c r="EP180" s="9">
        <f>$BH180*'MASTER SHEET'!$D180</f>
        <v>7412.0000000000009</v>
      </c>
      <c r="EQ180" s="9">
        <f>BL180*'MASTER SHEET'!D180</f>
        <v>7412.0000000000009</v>
      </c>
      <c r="ER180" s="9">
        <f>BP180*'MASTER SHEET'!D180</f>
        <v>7412.0000000000009</v>
      </c>
      <c r="ES180" s="9">
        <f>BT180*'MASTER SHEET'!D180</f>
        <v>37932</v>
      </c>
      <c r="ET180" s="9">
        <f>BX180*'MASTER SHEET'!D180</f>
        <v>34627.120000000003</v>
      </c>
      <c r="EU180" s="9">
        <f>CB180*'MASTER SHEET'!D180</f>
        <v>34611.86</v>
      </c>
      <c r="EV180" s="9">
        <f>CF180*'MASTER SHEET'!D180</f>
        <v>45496.600000000006</v>
      </c>
      <c r="EW180" s="9">
        <f>CJ180*'MASTER SHEET'!D180</f>
        <v>62936.600000000006</v>
      </c>
      <c r="EX180" s="9">
        <f>CN180*'MASTER SHEET'!D180</f>
        <v>69476.600000000006</v>
      </c>
      <c r="EY180" s="9">
        <f>CR180*'MASTER SHEET'!D180</f>
        <v>82556.600000000006</v>
      </c>
      <c r="EZ180" s="9">
        <f>$CV180*'MASTER SHEET'!D180</f>
        <v>82556.600000000006</v>
      </c>
      <c r="FA180" s="9">
        <f>CZ180*'MASTER SHEET'!D180</f>
        <v>55306.600000000006</v>
      </c>
      <c r="FB180" s="9">
        <f>DD180*'MASTER SHEET'!D180</f>
        <v>55306.600000000006</v>
      </c>
      <c r="FC180" s="9">
        <f>DH180*'MASTER SHEET'!D180</f>
        <v>9511.34</v>
      </c>
      <c r="FD180" s="9">
        <f>DL180*'MASTER SHEET'!D180</f>
        <v>20411.34</v>
      </c>
      <c r="FE180" s="9">
        <f>DP180*'MASTER SHEET'!D180</f>
        <v>24771.34</v>
      </c>
      <c r="FF180" s="9">
        <f>DT180*'MASTER SHEET'!D180</f>
        <v>24771.34</v>
      </c>
      <c r="FG180" s="9">
        <f>+DX180*'MASTER SHEET'!D180</f>
        <v>24771.34</v>
      </c>
    </row>
    <row r="181" spans="1:163" ht="20.25" customHeight="1" x14ac:dyDescent="0.25">
      <c r="A181" s="25">
        <f>'MASTER SHEET'!A181</f>
        <v>179</v>
      </c>
      <c r="B181" s="168" t="str">
        <f>'MASTER SHEET'!B181</f>
        <v>TIAGO MCE IDH HOUSING LH</v>
      </c>
      <c r="C181" s="169" t="str">
        <f>'MASTER SHEET'!C181</f>
        <v>CB00004717</v>
      </c>
      <c r="D181" s="163">
        <v>750</v>
      </c>
      <c r="E181" s="28">
        <f>PRODUCTION!F181+'SUPLIER INWARD'!F181</f>
        <v>0</v>
      </c>
      <c r="F181" s="28"/>
      <c r="G181" s="29">
        <v>0</v>
      </c>
      <c r="H181" s="30">
        <f t="shared" si="193"/>
        <v>750</v>
      </c>
      <c r="I181" s="28">
        <f>PRODUCTION!J181+'SUPLIER INWARD'!J181</f>
        <v>0</v>
      </c>
      <c r="J181" s="28"/>
      <c r="K181" s="29">
        <v>0</v>
      </c>
      <c r="L181" s="30">
        <f t="shared" si="194"/>
        <v>750</v>
      </c>
      <c r="M181" s="28">
        <f>PRODUCTION!N181+'SUPLIER INWARD'!N181</f>
        <v>0</v>
      </c>
      <c r="N181" s="28"/>
      <c r="O181" s="29"/>
      <c r="P181" s="30">
        <f t="shared" si="195"/>
        <v>750</v>
      </c>
      <c r="Q181" s="28">
        <f>PRODUCTION!R181+'SUPLIER INWARD'!R181</f>
        <v>0</v>
      </c>
      <c r="R181" s="28"/>
      <c r="S181" s="29">
        <v>0</v>
      </c>
      <c r="T181" s="30">
        <f t="shared" si="196"/>
        <v>750</v>
      </c>
      <c r="U181" s="28">
        <f>PRODUCTION!V181+'SUPLIER INWARD'!V181</f>
        <v>0</v>
      </c>
      <c r="V181" s="28">
        <v>0</v>
      </c>
      <c r="W181" s="29">
        <v>0</v>
      </c>
      <c r="X181" s="30">
        <f t="shared" si="197"/>
        <v>750</v>
      </c>
      <c r="Y181" s="28">
        <f>PRODUCTION!Z181+'SUPLIER INWARD'!Z181</f>
        <v>0</v>
      </c>
      <c r="Z181" s="28">
        <v>0</v>
      </c>
      <c r="AA181" s="29">
        <v>0</v>
      </c>
      <c r="AB181" s="30">
        <f t="shared" si="198"/>
        <v>750</v>
      </c>
      <c r="AC181" s="28">
        <f>PRODUCTION!AD181+'SUPLIER INWARD'!AD181</f>
        <v>0</v>
      </c>
      <c r="AD181" s="28">
        <v>750</v>
      </c>
      <c r="AE181" s="29">
        <v>0</v>
      </c>
      <c r="AF181" s="30">
        <f t="shared" si="199"/>
        <v>0</v>
      </c>
      <c r="AG181" s="28">
        <f>PRODUCTION!AH181+'SUPLIER INWARD'!AH181</f>
        <v>0</v>
      </c>
      <c r="AH181" s="28"/>
      <c r="AI181" s="29">
        <v>0</v>
      </c>
      <c r="AJ181" s="30">
        <f t="shared" si="200"/>
        <v>0</v>
      </c>
      <c r="AK181" s="28">
        <f>PRODUCTION!AL181+'SUPLIER INWARD'!AL181</f>
        <v>1050</v>
      </c>
      <c r="AL181" s="28"/>
      <c r="AM181" s="29">
        <v>0</v>
      </c>
      <c r="AN181" s="30">
        <f t="shared" si="201"/>
        <v>1050</v>
      </c>
      <c r="AO181" s="28">
        <f>PRODUCTION!AP181+'SUPLIER INWARD'!AP181</f>
        <v>1343</v>
      </c>
      <c r="AP181" s="28">
        <f>980-500</f>
        <v>480</v>
      </c>
      <c r="AQ181" s="29">
        <v>0</v>
      </c>
      <c r="AR181" s="30">
        <f t="shared" si="202"/>
        <v>1913</v>
      </c>
      <c r="AS181" s="28">
        <f>PRODUCTION!AT181+'SUPLIER INWARD'!AT181</f>
        <v>1963</v>
      </c>
      <c r="AT181" s="28">
        <v>1760</v>
      </c>
      <c r="AU181" s="29">
        <v>0</v>
      </c>
      <c r="AV181" s="30">
        <f t="shared" si="203"/>
        <v>2116</v>
      </c>
      <c r="AW181" s="28">
        <f>PRODUCTION!AX181+'SUPLIER INWARD'!AX181</f>
        <v>0</v>
      </c>
      <c r="AX181" s="28"/>
      <c r="AY181" s="29"/>
      <c r="AZ181" s="30">
        <f t="shared" si="204"/>
        <v>2116</v>
      </c>
      <c r="BA181" s="28">
        <f>PRODUCTION!BB181+'SUPLIER INWARD'!BB181</f>
        <v>2126</v>
      </c>
      <c r="BB181" s="28">
        <v>410</v>
      </c>
      <c r="BC181" s="29">
        <v>0</v>
      </c>
      <c r="BD181" s="30">
        <f t="shared" si="205"/>
        <v>3832</v>
      </c>
      <c r="BE181" s="28">
        <f>PRODUCTION!BF181+'SUPLIER INWARD'!BF181</f>
        <v>1085</v>
      </c>
      <c r="BF181" s="58">
        <v>2240</v>
      </c>
      <c r="BG181" s="29">
        <v>0</v>
      </c>
      <c r="BH181" s="30">
        <f t="shared" si="206"/>
        <v>2677</v>
      </c>
      <c r="BI181" s="28">
        <f>PRODUCTION!BJ181+'SUPLIER INWARD'!BJ181</f>
        <v>0</v>
      </c>
      <c r="BJ181" s="28">
        <v>480</v>
      </c>
      <c r="BK181" s="29">
        <v>0</v>
      </c>
      <c r="BL181" s="30">
        <f t="shared" si="207"/>
        <v>2197</v>
      </c>
      <c r="BM181" s="28">
        <f>PRODUCTION!BN181+'SUPLIER INWARD'!BN181</f>
        <v>0</v>
      </c>
      <c r="BN181" s="28">
        <v>0</v>
      </c>
      <c r="BO181" s="29">
        <v>0</v>
      </c>
      <c r="BP181" s="30">
        <f t="shared" si="208"/>
        <v>2197</v>
      </c>
      <c r="BQ181" s="28">
        <f>PRODUCTION!BR181+'SUPLIER INWARD'!BR181</f>
        <v>0</v>
      </c>
      <c r="BR181" s="28">
        <v>0</v>
      </c>
      <c r="BS181" s="29">
        <v>0</v>
      </c>
      <c r="BT181" s="30">
        <f t="shared" si="209"/>
        <v>2197</v>
      </c>
      <c r="BU181" s="28">
        <f>PRODUCTION!BV181+'SUPLIER INWARD'!BV181</f>
        <v>0</v>
      </c>
      <c r="BV181" s="28">
        <v>0</v>
      </c>
      <c r="BW181" s="29">
        <v>0</v>
      </c>
      <c r="BX181" s="30">
        <f t="shared" si="176"/>
        <v>2197</v>
      </c>
      <c r="BY181" s="28">
        <f>PRODUCTION!BZ181+'SUPLIER INWARD'!BZ181</f>
        <v>0</v>
      </c>
      <c r="BZ181" s="28"/>
      <c r="CA181" s="29">
        <v>0</v>
      </c>
      <c r="CB181" s="30">
        <f t="shared" si="210"/>
        <v>2197</v>
      </c>
      <c r="CC181" s="28">
        <f>PRODUCTION!CD181+'SUPLIER INWARD'!CD181</f>
        <v>0</v>
      </c>
      <c r="CD181" s="28">
        <v>0</v>
      </c>
      <c r="CE181" s="29">
        <v>0</v>
      </c>
      <c r="CF181" s="30">
        <f t="shared" si="211"/>
        <v>2197</v>
      </c>
      <c r="CG181" s="28">
        <f>PRODUCTION!CH181+'SUPLIER INWARD'!CH181</f>
        <v>0</v>
      </c>
      <c r="CH181" s="28">
        <v>0</v>
      </c>
      <c r="CI181" s="29">
        <v>0</v>
      </c>
      <c r="CJ181" s="30">
        <f t="shared" si="179"/>
        <v>2197</v>
      </c>
      <c r="CK181" s="28">
        <f>PRODUCTION!CL181+'SUPLIER INWARD'!CL181</f>
        <v>2221</v>
      </c>
      <c r="CL181" s="151"/>
      <c r="CM181" s="152"/>
      <c r="CN181" s="30">
        <f t="shared" si="180"/>
        <v>4418</v>
      </c>
      <c r="CO181" s="28">
        <f>PRODUCTION!CP181+'SUPLIER INWARD'!CP181</f>
        <v>2091</v>
      </c>
      <c r="CP181" s="151">
        <v>1920</v>
      </c>
      <c r="CQ181" s="29">
        <v>0</v>
      </c>
      <c r="CR181" s="30">
        <f t="shared" si="181"/>
        <v>4589</v>
      </c>
      <c r="CS181" s="28">
        <f>PRODUCTION!CT181+'SUPLIER INWARD'!CT181</f>
        <v>28</v>
      </c>
      <c r="CT181" s="28">
        <v>1280</v>
      </c>
      <c r="CU181" s="29">
        <v>0</v>
      </c>
      <c r="CV181" s="30">
        <f t="shared" si="182"/>
        <v>3337</v>
      </c>
      <c r="CW181" s="28">
        <f>PRODUCTION!CX181+'SUPLIER INWARD'!CX181</f>
        <v>2789</v>
      </c>
      <c r="CX181" s="28">
        <v>0</v>
      </c>
      <c r="CY181" s="29">
        <v>0</v>
      </c>
      <c r="CZ181" s="30">
        <f t="shared" si="212"/>
        <v>6126</v>
      </c>
      <c r="DA181" s="28">
        <f>PRODUCTION!DB181+'SUPLIER INWARD'!DB181</f>
        <v>0</v>
      </c>
      <c r="DB181" s="28"/>
      <c r="DC181" s="29"/>
      <c r="DD181" s="30">
        <f t="shared" si="213"/>
        <v>6126</v>
      </c>
      <c r="DE181" s="28">
        <f>PRODUCTION!DF181+'SUPLIER INWARD'!DF181</f>
        <v>2374</v>
      </c>
      <c r="DF181" s="28">
        <v>1920</v>
      </c>
      <c r="DG181" s="29">
        <v>0</v>
      </c>
      <c r="DH181" s="30">
        <f t="shared" si="214"/>
        <v>6580</v>
      </c>
      <c r="DI181" s="28">
        <f>PRODUCTION!DJ181+'SUPLIER INWARD'!DJ181</f>
        <v>0</v>
      </c>
      <c r="DJ181" s="28">
        <v>1760</v>
      </c>
      <c r="DK181" s="29">
        <v>0</v>
      </c>
      <c r="DL181" s="30">
        <f t="shared" si="215"/>
        <v>4820</v>
      </c>
      <c r="DM181" s="28">
        <f>PRODUCTION!DN181+'SUPLIER INWARD'!DN181</f>
        <v>0</v>
      </c>
      <c r="DN181" s="28">
        <v>320</v>
      </c>
      <c r="DO181" s="29"/>
      <c r="DP181" s="30">
        <f t="shared" si="216"/>
        <v>4500</v>
      </c>
      <c r="DQ181" s="28">
        <f>PRODUCTION!DR181+'SUPLIER INWARD'!DR181</f>
        <v>0</v>
      </c>
      <c r="DR181" s="28"/>
      <c r="DS181" s="29"/>
      <c r="DT181" s="30">
        <f t="shared" si="217"/>
        <v>4500</v>
      </c>
      <c r="DU181" s="28">
        <f>PRODUCTION!DV181+'SUPLIER INWARD'!DV181</f>
        <v>0</v>
      </c>
      <c r="DV181" s="28"/>
      <c r="DW181" s="29"/>
      <c r="DX181" s="30">
        <f t="shared" si="218"/>
        <v>4500</v>
      </c>
      <c r="DY181" s="31">
        <f t="shared" si="221"/>
        <v>17070</v>
      </c>
      <c r="DZ181" s="141">
        <f t="shared" si="219"/>
        <v>13320</v>
      </c>
      <c r="EA181" s="4">
        <f t="shared" si="220"/>
        <v>0</v>
      </c>
      <c r="EB181" s="9">
        <f>D181*'MASTER SHEET'!D181</f>
        <v>16890</v>
      </c>
      <c r="EC181" s="9">
        <f>H181*'MASTER SHEET'!D181</f>
        <v>16890</v>
      </c>
      <c r="ED181" s="9">
        <f>L181*'MASTER SHEET'!D181</f>
        <v>16890</v>
      </c>
      <c r="EE181" s="9">
        <f>P181*'MASTER SHEET'!D181</f>
        <v>16890</v>
      </c>
      <c r="EF181" s="9">
        <f>T181*'MASTER SHEET'!D181</f>
        <v>16890</v>
      </c>
      <c r="EG181" s="9">
        <f>X181*'MASTER SHEET'!D181</f>
        <v>16890</v>
      </c>
      <c r="EH181" s="9">
        <f>AB181*'MASTER SHEET'!D181</f>
        <v>16890</v>
      </c>
      <c r="EI181" s="9">
        <f>AF181*'MASTER SHEET'!D181</f>
        <v>0</v>
      </c>
      <c r="EJ181" s="9">
        <f>AJ181*'MASTER SHEET'!D181</f>
        <v>0</v>
      </c>
      <c r="EK181" s="9">
        <f>AN181*'MASTER SHEET'!D181</f>
        <v>23646</v>
      </c>
      <c r="EL181" s="9">
        <f>AR181*'MASTER SHEET'!D181</f>
        <v>43080.76</v>
      </c>
      <c r="EM181" s="9">
        <f>AV181*'MASTER SHEET'!D181</f>
        <v>47652.32</v>
      </c>
      <c r="EN181" s="9">
        <f>AZ181*'MASTER SHEET'!D181</f>
        <v>47652.32</v>
      </c>
      <c r="EO181" s="9">
        <f>BD181*'MASTER SHEET'!D181</f>
        <v>86296.639999999999</v>
      </c>
      <c r="EP181" s="9">
        <f>$BH181*'MASTER SHEET'!$D181</f>
        <v>60286.04</v>
      </c>
      <c r="EQ181" s="9">
        <f>BL181*'MASTER SHEET'!D181</f>
        <v>49476.44</v>
      </c>
      <c r="ER181" s="9">
        <f>BP181*'MASTER SHEET'!D181</f>
        <v>49476.44</v>
      </c>
      <c r="ES181" s="9">
        <f>BT181*'MASTER SHEET'!D181</f>
        <v>49476.44</v>
      </c>
      <c r="ET181" s="9">
        <f>BX181*'MASTER SHEET'!D181</f>
        <v>49476.44</v>
      </c>
      <c r="EU181" s="9">
        <f>CB181*'MASTER SHEET'!D181</f>
        <v>49476.44</v>
      </c>
      <c r="EV181" s="9">
        <f>CF181*'MASTER SHEET'!D181</f>
        <v>49476.44</v>
      </c>
      <c r="EW181" s="9">
        <f>CJ181*'MASTER SHEET'!D181</f>
        <v>49476.44</v>
      </c>
      <c r="EX181" s="9">
        <f>CN181*'MASTER SHEET'!D181</f>
        <v>99493.36</v>
      </c>
      <c r="EY181" s="9">
        <f>CR181*'MASTER SHEET'!D181</f>
        <v>103344.28</v>
      </c>
      <c r="EZ181" s="9">
        <f>$CV181*'MASTER SHEET'!D181</f>
        <v>75149.240000000005</v>
      </c>
      <c r="FA181" s="9">
        <f>CZ181*'MASTER SHEET'!D181</f>
        <v>137957.51999999999</v>
      </c>
      <c r="FB181" s="9">
        <f>DD181*'MASTER SHEET'!D181</f>
        <v>137957.51999999999</v>
      </c>
      <c r="FC181" s="9">
        <f>DH181*'MASTER SHEET'!D181</f>
        <v>148181.6</v>
      </c>
      <c r="FD181" s="9">
        <f>DL181*'MASTER SHEET'!D181</f>
        <v>108546.4</v>
      </c>
      <c r="FE181" s="9">
        <f>DP181*'MASTER SHEET'!D181</f>
        <v>101340</v>
      </c>
      <c r="FF181" s="9">
        <f>DT181*'MASTER SHEET'!D181</f>
        <v>101340</v>
      </c>
      <c r="FG181" s="9">
        <f>+DX181*'MASTER SHEET'!D181</f>
        <v>101340</v>
      </c>
    </row>
    <row r="182" spans="1:163" ht="20.25" customHeight="1" x14ac:dyDescent="0.25">
      <c r="A182" s="25">
        <f>'MASTER SHEET'!A182</f>
        <v>180</v>
      </c>
      <c r="B182" s="168" t="str">
        <f>'MASTER SHEET'!B182</f>
        <v>TIAGO MCE IDH HOUSING RH</v>
      </c>
      <c r="C182" s="169" t="str">
        <f>'MASTER SHEET'!C182</f>
        <v>CC00004721</v>
      </c>
      <c r="D182" s="163">
        <v>750</v>
      </c>
      <c r="E182" s="28">
        <f>PRODUCTION!F182+'SUPLIER INWARD'!F182</f>
        <v>0</v>
      </c>
      <c r="F182" s="28"/>
      <c r="G182" s="29">
        <v>0</v>
      </c>
      <c r="H182" s="30">
        <f t="shared" si="193"/>
        <v>750</v>
      </c>
      <c r="I182" s="28">
        <f>PRODUCTION!J182+'SUPLIER INWARD'!J182</f>
        <v>0</v>
      </c>
      <c r="J182" s="28"/>
      <c r="K182" s="29">
        <v>0</v>
      </c>
      <c r="L182" s="30">
        <f t="shared" si="194"/>
        <v>750</v>
      </c>
      <c r="M182" s="28">
        <f>PRODUCTION!N182+'SUPLIER INWARD'!N182</f>
        <v>0</v>
      </c>
      <c r="N182" s="28"/>
      <c r="O182" s="29"/>
      <c r="P182" s="30">
        <f t="shared" si="195"/>
        <v>750</v>
      </c>
      <c r="Q182" s="28">
        <f>PRODUCTION!R182+'SUPLIER INWARD'!R182</f>
        <v>0</v>
      </c>
      <c r="R182" s="28"/>
      <c r="S182" s="29">
        <v>0</v>
      </c>
      <c r="T182" s="30">
        <f t="shared" si="196"/>
        <v>750</v>
      </c>
      <c r="U182" s="28">
        <f>PRODUCTION!V182+'SUPLIER INWARD'!V182</f>
        <v>0</v>
      </c>
      <c r="V182" s="28">
        <v>0</v>
      </c>
      <c r="W182" s="29">
        <v>0</v>
      </c>
      <c r="X182" s="30">
        <f t="shared" si="197"/>
        <v>750</v>
      </c>
      <c r="Y182" s="28">
        <f>PRODUCTION!Z182+'SUPLIER INWARD'!Z182</f>
        <v>0</v>
      </c>
      <c r="Z182" s="28">
        <v>0</v>
      </c>
      <c r="AA182" s="29">
        <v>0</v>
      </c>
      <c r="AB182" s="30">
        <f t="shared" si="198"/>
        <v>750</v>
      </c>
      <c r="AC182" s="28">
        <f>PRODUCTION!AD182+'SUPLIER INWARD'!AD182</f>
        <v>0</v>
      </c>
      <c r="AD182" s="28">
        <v>750</v>
      </c>
      <c r="AE182" s="29">
        <v>0</v>
      </c>
      <c r="AF182" s="30">
        <f t="shared" si="199"/>
        <v>0</v>
      </c>
      <c r="AG182" s="28">
        <f>PRODUCTION!AH182+'SUPLIER INWARD'!AH182</f>
        <v>0</v>
      </c>
      <c r="AH182" s="28"/>
      <c r="AI182" s="29">
        <v>0</v>
      </c>
      <c r="AJ182" s="30">
        <f t="shared" si="200"/>
        <v>0</v>
      </c>
      <c r="AK182" s="28">
        <f>PRODUCTION!AL182+'SUPLIER INWARD'!AL182</f>
        <v>1050</v>
      </c>
      <c r="AL182" s="28"/>
      <c r="AM182" s="29">
        <v>0</v>
      </c>
      <c r="AN182" s="30">
        <f t="shared" si="201"/>
        <v>1050</v>
      </c>
      <c r="AO182" s="28">
        <f>PRODUCTION!AP182+'SUPLIER INWARD'!AP182</f>
        <v>1343</v>
      </c>
      <c r="AP182" s="28">
        <v>480</v>
      </c>
      <c r="AQ182" s="29">
        <v>0</v>
      </c>
      <c r="AR182" s="30">
        <f t="shared" si="202"/>
        <v>1913</v>
      </c>
      <c r="AS182" s="28">
        <f>PRODUCTION!AT182+'SUPLIER INWARD'!AT182</f>
        <v>1963</v>
      </c>
      <c r="AT182" s="28">
        <v>1760</v>
      </c>
      <c r="AU182" s="29">
        <v>0</v>
      </c>
      <c r="AV182" s="30">
        <f t="shared" si="203"/>
        <v>2116</v>
      </c>
      <c r="AW182" s="28">
        <f>PRODUCTION!AX182+'SUPLIER INWARD'!AX182</f>
        <v>0</v>
      </c>
      <c r="AX182" s="28"/>
      <c r="AY182" s="29"/>
      <c r="AZ182" s="30">
        <f t="shared" si="204"/>
        <v>2116</v>
      </c>
      <c r="BA182" s="28">
        <f>PRODUCTION!BB182+'SUPLIER INWARD'!BB182</f>
        <v>2126</v>
      </c>
      <c r="BB182" s="28">
        <v>410</v>
      </c>
      <c r="BC182" s="29">
        <v>0</v>
      </c>
      <c r="BD182" s="30">
        <f t="shared" si="205"/>
        <v>3832</v>
      </c>
      <c r="BE182" s="28">
        <f>PRODUCTION!BF182+'SUPLIER INWARD'!BF182</f>
        <v>1085</v>
      </c>
      <c r="BF182" s="58">
        <v>2240</v>
      </c>
      <c r="BG182" s="29">
        <v>0</v>
      </c>
      <c r="BH182" s="30">
        <f t="shared" si="206"/>
        <v>2677</v>
      </c>
      <c r="BI182" s="28">
        <f>PRODUCTION!BJ182+'SUPLIER INWARD'!BJ182</f>
        <v>0</v>
      </c>
      <c r="BJ182" s="28">
        <v>250</v>
      </c>
      <c r="BK182" s="29">
        <v>0</v>
      </c>
      <c r="BL182" s="30">
        <f t="shared" si="207"/>
        <v>2427</v>
      </c>
      <c r="BM182" s="28">
        <f>PRODUCTION!BN182+'SUPLIER INWARD'!BN182</f>
        <v>0</v>
      </c>
      <c r="BN182" s="28">
        <v>0</v>
      </c>
      <c r="BO182" s="29">
        <v>0</v>
      </c>
      <c r="BP182" s="30">
        <f t="shared" si="208"/>
        <v>2427</v>
      </c>
      <c r="BQ182" s="28">
        <f>PRODUCTION!BR182+'SUPLIER INWARD'!BR182</f>
        <v>0</v>
      </c>
      <c r="BR182" s="28">
        <v>0</v>
      </c>
      <c r="BS182" s="29">
        <v>0</v>
      </c>
      <c r="BT182" s="30">
        <f t="shared" si="209"/>
        <v>2427</v>
      </c>
      <c r="BU182" s="28">
        <f>PRODUCTION!BV182+'SUPLIER INWARD'!BV182</f>
        <v>0</v>
      </c>
      <c r="BV182" s="28">
        <v>0</v>
      </c>
      <c r="BW182" s="29">
        <v>0</v>
      </c>
      <c r="BX182" s="30">
        <f t="shared" si="176"/>
        <v>2427</v>
      </c>
      <c r="BY182" s="28">
        <f>PRODUCTION!BZ182+'SUPLIER INWARD'!BZ182</f>
        <v>0</v>
      </c>
      <c r="BZ182" s="28"/>
      <c r="CA182" s="29">
        <v>0</v>
      </c>
      <c r="CB182" s="30">
        <f t="shared" si="210"/>
        <v>2427</v>
      </c>
      <c r="CC182" s="28">
        <f>PRODUCTION!CD182+'SUPLIER INWARD'!CD182</f>
        <v>0</v>
      </c>
      <c r="CD182" s="28">
        <v>0</v>
      </c>
      <c r="CE182" s="29">
        <v>0</v>
      </c>
      <c r="CF182" s="30">
        <f t="shared" si="211"/>
        <v>2427</v>
      </c>
      <c r="CG182" s="28">
        <f>PRODUCTION!CH182+'SUPLIER INWARD'!CH182</f>
        <v>0</v>
      </c>
      <c r="CH182" s="28">
        <v>0</v>
      </c>
      <c r="CI182" s="29">
        <v>0</v>
      </c>
      <c r="CJ182" s="30">
        <f t="shared" si="179"/>
        <v>2427</v>
      </c>
      <c r="CK182" s="28">
        <f>PRODUCTION!CL182+'SUPLIER INWARD'!CL182</f>
        <v>2221</v>
      </c>
      <c r="CL182" s="151"/>
      <c r="CM182" s="152"/>
      <c r="CN182" s="30">
        <f t="shared" si="180"/>
        <v>4648</v>
      </c>
      <c r="CO182" s="28">
        <f>PRODUCTION!CP182+'SUPLIER INWARD'!CP182</f>
        <v>2091</v>
      </c>
      <c r="CP182" s="151">
        <v>1920</v>
      </c>
      <c r="CQ182" s="29">
        <v>0</v>
      </c>
      <c r="CR182" s="30">
        <f t="shared" si="181"/>
        <v>4819</v>
      </c>
      <c r="CS182" s="28">
        <f>PRODUCTION!CT182+'SUPLIER INWARD'!CT182</f>
        <v>28</v>
      </c>
      <c r="CT182" s="28">
        <v>1280</v>
      </c>
      <c r="CU182" s="29">
        <v>0</v>
      </c>
      <c r="CV182" s="30">
        <f t="shared" si="182"/>
        <v>3567</v>
      </c>
      <c r="CW182" s="28">
        <f>PRODUCTION!CX182+'SUPLIER INWARD'!CX182</f>
        <v>2789</v>
      </c>
      <c r="CX182" s="28">
        <v>0</v>
      </c>
      <c r="CY182" s="29">
        <v>0</v>
      </c>
      <c r="CZ182" s="30">
        <f t="shared" si="212"/>
        <v>6356</v>
      </c>
      <c r="DA182" s="28">
        <f>PRODUCTION!DB182+'SUPLIER INWARD'!DB182</f>
        <v>0</v>
      </c>
      <c r="DB182" s="28"/>
      <c r="DC182" s="29"/>
      <c r="DD182" s="30">
        <f t="shared" si="213"/>
        <v>6356</v>
      </c>
      <c r="DE182" s="28">
        <f>PRODUCTION!DF182+'SUPLIER INWARD'!DF182</f>
        <v>2374</v>
      </c>
      <c r="DF182" s="28">
        <v>1920</v>
      </c>
      <c r="DG182" s="29">
        <v>0</v>
      </c>
      <c r="DH182" s="30">
        <f t="shared" si="214"/>
        <v>6810</v>
      </c>
      <c r="DI182" s="28">
        <f>PRODUCTION!DJ182+'SUPLIER INWARD'!DJ182</f>
        <v>0</v>
      </c>
      <c r="DJ182" s="28">
        <v>1760</v>
      </c>
      <c r="DK182" s="29">
        <v>0</v>
      </c>
      <c r="DL182" s="30">
        <f t="shared" si="215"/>
        <v>5050</v>
      </c>
      <c r="DM182" s="28">
        <f>PRODUCTION!DN182+'SUPLIER INWARD'!DN182</f>
        <v>0</v>
      </c>
      <c r="DN182" s="28">
        <v>320</v>
      </c>
      <c r="DO182" s="29"/>
      <c r="DP182" s="30">
        <f t="shared" si="216"/>
        <v>4730</v>
      </c>
      <c r="DQ182" s="28">
        <f>PRODUCTION!DR182+'SUPLIER INWARD'!DR182</f>
        <v>0</v>
      </c>
      <c r="DR182" s="28"/>
      <c r="DS182" s="29"/>
      <c r="DT182" s="30">
        <f t="shared" si="217"/>
        <v>4730</v>
      </c>
      <c r="DU182" s="28">
        <f>PRODUCTION!DV182+'SUPLIER INWARD'!DV182</f>
        <v>0</v>
      </c>
      <c r="DV182" s="28"/>
      <c r="DW182" s="29"/>
      <c r="DX182" s="30">
        <f t="shared" si="218"/>
        <v>4730</v>
      </c>
      <c r="DY182" s="31">
        <f t="shared" si="221"/>
        <v>17070</v>
      </c>
      <c r="DZ182" s="141">
        <f t="shared" si="219"/>
        <v>13090</v>
      </c>
      <c r="EA182" s="4">
        <f t="shared" si="220"/>
        <v>0</v>
      </c>
      <c r="EB182" s="9">
        <f>D182*'MASTER SHEET'!D182</f>
        <v>16890</v>
      </c>
      <c r="EC182" s="9">
        <f>H182*'MASTER SHEET'!D182</f>
        <v>16890</v>
      </c>
      <c r="ED182" s="9">
        <f>L182*'MASTER SHEET'!D182</f>
        <v>16890</v>
      </c>
      <c r="EE182" s="9">
        <f>P182*'MASTER SHEET'!D182</f>
        <v>16890</v>
      </c>
      <c r="EF182" s="9">
        <f>T182*'MASTER SHEET'!D182</f>
        <v>16890</v>
      </c>
      <c r="EG182" s="9">
        <f>X182*'MASTER SHEET'!D182</f>
        <v>16890</v>
      </c>
      <c r="EH182" s="9">
        <f>AB182*'MASTER SHEET'!D182</f>
        <v>16890</v>
      </c>
      <c r="EI182" s="9">
        <f>AF182*'MASTER SHEET'!D182</f>
        <v>0</v>
      </c>
      <c r="EJ182" s="9">
        <f>AJ182*'MASTER SHEET'!D182</f>
        <v>0</v>
      </c>
      <c r="EK182" s="9">
        <f>AN182*'MASTER SHEET'!D182</f>
        <v>23646</v>
      </c>
      <c r="EL182" s="9">
        <f>AR182*'MASTER SHEET'!D182</f>
        <v>43080.76</v>
      </c>
      <c r="EM182" s="9">
        <f>AV182*'MASTER SHEET'!D182</f>
        <v>47652.32</v>
      </c>
      <c r="EN182" s="9">
        <f>AZ182*'MASTER SHEET'!D182</f>
        <v>47652.32</v>
      </c>
      <c r="EO182" s="9">
        <f>BD182*'MASTER SHEET'!D182</f>
        <v>86296.639999999999</v>
      </c>
      <c r="EP182" s="9">
        <f>$BH182*'MASTER SHEET'!$D182</f>
        <v>60286.04</v>
      </c>
      <c r="EQ182" s="9">
        <f>BL182*'MASTER SHEET'!D182</f>
        <v>54656.04</v>
      </c>
      <c r="ER182" s="9">
        <f>BP182*'MASTER SHEET'!D182</f>
        <v>54656.04</v>
      </c>
      <c r="ES182" s="9">
        <f>BT182*'MASTER SHEET'!D182</f>
        <v>54656.04</v>
      </c>
      <c r="ET182" s="9">
        <f>BX182*'MASTER SHEET'!D182</f>
        <v>54656.04</v>
      </c>
      <c r="EU182" s="9">
        <f>CB182*'MASTER SHEET'!D182</f>
        <v>54656.04</v>
      </c>
      <c r="EV182" s="9">
        <f>CF182*'MASTER SHEET'!D182</f>
        <v>54656.04</v>
      </c>
      <c r="EW182" s="9">
        <f>CJ182*'MASTER SHEET'!D182</f>
        <v>54656.04</v>
      </c>
      <c r="EX182" s="9">
        <f>CN182*'MASTER SHEET'!D182</f>
        <v>104672.95999999999</v>
      </c>
      <c r="EY182" s="9">
        <f>CR182*'MASTER SHEET'!D182</f>
        <v>108523.88</v>
      </c>
      <c r="EZ182" s="9">
        <f>$CV182*'MASTER SHEET'!D182</f>
        <v>80328.84</v>
      </c>
      <c r="FA182" s="9">
        <f>CZ182*'MASTER SHEET'!D182</f>
        <v>143137.12</v>
      </c>
      <c r="FB182" s="9">
        <f>DD182*'MASTER SHEET'!D182</f>
        <v>143137.12</v>
      </c>
      <c r="FC182" s="9">
        <f>DH182*'MASTER SHEET'!D182</f>
        <v>153361.20000000001</v>
      </c>
      <c r="FD182" s="9">
        <f>DL182*'MASTER SHEET'!D182</f>
        <v>113726</v>
      </c>
      <c r="FE182" s="9">
        <f>DP182*'MASTER SHEET'!D182</f>
        <v>106519.59999999999</v>
      </c>
      <c r="FF182" s="9">
        <f>DT182*'MASTER SHEET'!D182</f>
        <v>106519.59999999999</v>
      </c>
      <c r="FG182" s="9">
        <f>+DX182*'MASTER SHEET'!D182</f>
        <v>106519.59999999999</v>
      </c>
    </row>
    <row r="183" spans="1:163" ht="20.25" customHeight="1" x14ac:dyDescent="0.25">
      <c r="A183" s="25">
        <f>'MASTER SHEET'!A183</f>
        <v>181</v>
      </c>
      <c r="B183" s="26" t="str">
        <f>'MASTER SHEET'!B183</f>
        <v>SPACER PLASTIC</v>
      </c>
      <c r="C183" s="78">
        <f>'MASTER SHEET'!C183</f>
        <v>5061537</v>
      </c>
      <c r="D183" s="159">
        <v>0</v>
      </c>
      <c r="E183" s="28">
        <f>PRODUCTION!F183+'SUPLIER INWARD'!F183</f>
        <v>0</v>
      </c>
      <c r="F183" s="28"/>
      <c r="G183" s="29">
        <v>0</v>
      </c>
      <c r="H183" s="30">
        <f t="shared" si="193"/>
        <v>0</v>
      </c>
      <c r="I183" s="28">
        <f>PRODUCTION!J183+'SUPLIER INWARD'!J183</f>
        <v>0</v>
      </c>
      <c r="J183" s="28"/>
      <c r="K183" s="29">
        <v>0</v>
      </c>
      <c r="L183" s="30">
        <f t="shared" si="194"/>
        <v>0</v>
      </c>
      <c r="M183" s="28">
        <f>PRODUCTION!N183+'SUPLIER INWARD'!N183</f>
        <v>0</v>
      </c>
      <c r="N183" s="28"/>
      <c r="O183" s="29"/>
      <c r="P183" s="30">
        <f t="shared" si="195"/>
        <v>0</v>
      </c>
      <c r="Q183" s="28">
        <f>PRODUCTION!R183+'SUPLIER INWARD'!R183</f>
        <v>0</v>
      </c>
      <c r="R183" s="28"/>
      <c r="S183" s="29">
        <v>0</v>
      </c>
      <c r="T183" s="30">
        <f t="shared" si="196"/>
        <v>0</v>
      </c>
      <c r="U183" s="28">
        <f>PRODUCTION!V183+'SUPLIER INWARD'!V183</f>
        <v>0</v>
      </c>
      <c r="V183" s="28"/>
      <c r="W183" s="29">
        <v>0</v>
      </c>
      <c r="X183" s="30">
        <f t="shared" si="197"/>
        <v>0</v>
      </c>
      <c r="Y183" s="28">
        <f>PRODUCTION!Z183+'SUPLIER INWARD'!Z183</f>
        <v>0</v>
      </c>
      <c r="Z183" s="28"/>
      <c r="AA183" s="29">
        <v>0</v>
      </c>
      <c r="AB183" s="30">
        <f t="shared" si="198"/>
        <v>0</v>
      </c>
      <c r="AC183" s="28">
        <f>PRODUCTION!AD183+'SUPLIER INWARD'!AD183</f>
        <v>0</v>
      </c>
      <c r="AD183" s="28"/>
      <c r="AE183" s="29">
        <v>0</v>
      </c>
      <c r="AF183" s="30">
        <f t="shared" si="199"/>
        <v>0</v>
      </c>
      <c r="AG183" s="28">
        <f>PRODUCTION!AH183+'SUPLIER INWARD'!AH183</f>
        <v>0</v>
      </c>
      <c r="AH183" s="28"/>
      <c r="AI183" s="29">
        <v>0</v>
      </c>
      <c r="AJ183" s="30">
        <f t="shared" si="200"/>
        <v>0</v>
      </c>
      <c r="AK183" s="28">
        <f>PRODUCTION!AL183+'SUPLIER INWARD'!AL183</f>
        <v>0</v>
      </c>
      <c r="AL183" s="28"/>
      <c r="AM183" s="29">
        <v>0</v>
      </c>
      <c r="AN183" s="30">
        <f t="shared" si="201"/>
        <v>0</v>
      </c>
      <c r="AO183" s="28">
        <f>PRODUCTION!AP183+'SUPLIER INWARD'!AP183</f>
        <v>0</v>
      </c>
      <c r="AP183" s="28"/>
      <c r="AQ183" s="29">
        <v>0</v>
      </c>
      <c r="AR183" s="30">
        <f t="shared" si="202"/>
        <v>0</v>
      </c>
      <c r="AS183" s="28">
        <f>PRODUCTION!AT183+'SUPLIER INWARD'!AT183</f>
        <v>0</v>
      </c>
      <c r="AT183" s="28"/>
      <c r="AU183" s="29">
        <v>0</v>
      </c>
      <c r="AV183" s="30">
        <f t="shared" si="203"/>
        <v>0</v>
      </c>
      <c r="AW183" s="28">
        <f>PRODUCTION!AX183+'SUPLIER INWARD'!AX183</f>
        <v>0</v>
      </c>
      <c r="AX183" s="28"/>
      <c r="AY183" s="29"/>
      <c r="AZ183" s="30">
        <f t="shared" si="204"/>
        <v>0</v>
      </c>
      <c r="BA183" s="28">
        <f>PRODUCTION!BB183+'SUPLIER INWARD'!BB183</f>
        <v>0</v>
      </c>
      <c r="BB183" s="28"/>
      <c r="BC183" s="29">
        <v>0</v>
      </c>
      <c r="BD183" s="30">
        <f t="shared" si="205"/>
        <v>0</v>
      </c>
      <c r="BE183" s="28">
        <f>PRODUCTION!BF183+'SUPLIER INWARD'!BF183</f>
        <v>0</v>
      </c>
      <c r="BF183" s="28"/>
      <c r="BG183" s="29">
        <v>0</v>
      </c>
      <c r="BH183" s="30">
        <f t="shared" si="206"/>
        <v>0</v>
      </c>
      <c r="BI183" s="28">
        <f>PRODUCTION!BJ183+'SUPLIER INWARD'!BJ183</f>
        <v>0</v>
      </c>
      <c r="BJ183" s="28"/>
      <c r="BK183" s="29">
        <v>0</v>
      </c>
      <c r="BL183" s="30">
        <f t="shared" si="207"/>
        <v>0</v>
      </c>
      <c r="BM183" s="28">
        <f>PRODUCTION!BN183+'SUPLIER INWARD'!BN183</f>
        <v>0</v>
      </c>
      <c r="BN183" s="28"/>
      <c r="BO183" s="29">
        <v>0</v>
      </c>
      <c r="BP183" s="30">
        <f t="shared" si="208"/>
        <v>0</v>
      </c>
      <c r="BQ183" s="28">
        <f>PRODUCTION!BR183+'SUPLIER INWARD'!BR183</f>
        <v>0</v>
      </c>
      <c r="BR183" s="28"/>
      <c r="BS183" s="29">
        <v>0</v>
      </c>
      <c r="BT183" s="30">
        <f t="shared" si="209"/>
        <v>0</v>
      </c>
      <c r="BU183" s="28">
        <f>PRODUCTION!BV183+'SUPLIER INWARD'!BV183</f>
        <v>0</v>
      </c>
      <c r="BV183" s="28"/>
      <c r="BW183" s="29">
        <v>0</v>
      </c>
      <c r="BX183" s="30">
        <f t="shared" si="176"/>
        <v>0</v>
      </c>
      <c r="BY183" s="28">
        <f>PRODUCTION!BZ183+'SUPLIER INWARD'!BZ183</f>
        <v>0</v>
      </c>
      <c r="BZ183" s="28"/>
      <c r="CA183" s="29">
        <v>0</v>
      </c>
      <c r="CB183" s="30">
        <f t="shared" si="210"/>
        <v>0</v>
      </c>
      <c r="CC183" s="28">
        <f>PRODUCTION!CD183+'SUPLIER INWARD'!CD183</f>
        <v>0</v>
      </c>
      <c r="CD183" s="28"/>
      <c r="CE183" s="29">
        <v>0</v>
      </c>
      <c r="CF183" s="30">
        <f t="shared" si="211"/>
        <v>0</v>
      </c>
      <c r="CG183" s="28">
        <f>PRODUCTION!CH183+'SUPLIER INWARD'!CH183</f>
        <v>0</v>
      </c>
      <c r="CH183" s="28"/>
      <c r="CI183" s="29">
        <v>0</v>
      </c>
      <c r="CJ183" s="30">
        <f t="shared" si="179"/>
        <v>0</v>
      </c>
      <c r="CK183" s="28">
        <f>PRODUCTION!CL183+'SUPLIER INWARD'!CL183</f>
        <v>0</v>
      </c>
      <c r="CL183" s="151"/>
      <c r="CM183" s="152"/>
      <c r="CN183" s="30">
        <f t="shared" si="180"/>
        <v>0</v>
      </c>
      <c r="CO183" s="28">
        <f>PRODUCTION!CP183+'SUPLIER INWARD'!CP183</f>
        <v>0</v>
      </c>
      <c r="CP183" s="151"/>
      <c r="CQ183" s="29">
        <v>0</v>
      </c>
      <c r="CR183" s="30">
        <f t="shared" si="181"/>
        <v>0</v>
      </c>
      <c r="CS183" s="28">
        <f>PRODUCTION!CT183+'SUPLIER INWARD'!CT183</f>
        <v>0</v>
      </c>
      <c r="CT183" s="28"/>
      <c r="CU183" s="29">
        <v>0</v>
      </c>
      <c r="CV183" s="30">
        <f t="shared" si="182"/>
        <v>0</v>
      </c>
      <c r="CW183" s="28">
        <f>PRODUCTION!CX183+'SUPLIER INWARD'!CX183</f>
        <v>0</v>
      </c>
      <c r="CX183" s="28"/>
      <c r="CY183" s="29">
        <v>0</v>
      </c>
      <c r="CZ183" s="30">
        <f t="shared" si="212"/>
        <v>0</v>
      </c>
      <c r="DA183" s="28">
        <f>PRODUCTION!DB183+'SUPLIER INWARD'!DB183</f>
        <v>0</v>
      </c>
      <c r="DB183" s="28"/>
      <c r="DC183" s="29"/>
      <c r="DD183" s="30">
        <f t="shared" si="213"/>
        <v>0</v>
      </c>
      <c r="DE183" s="28">
        <f>PRODUCTION!DF183+'SUPLIER INWARD'!DF183</f>
        <v>0</v>
      </c>
      <c r="DF183" s="28"/>
      <c r="DG183" s="29">
        <v>0</v>
      </c>
      <c r="DH183" s="30">
        <f t="shared" si="214"/>
        <v>0</v>
      </c>
      <c r="DI183" s="28">
        <f>PRODUCTION!DJ183+'SUPLIER INWARD'!DJ183</f>
        <v>0</v>
      </c>
      <c r="DJ183" s="28"/>
      <c r="DK183" s="29">
        <v>0</v>
      </c>
      <c r="DL183" s="30">
        <f t="shared" si="215"/>
        <v>0</v>
      </c>
      <c r="DM183" s="28">
        <f>PRODUCTION!DN183+'SUPLIER INWARD'!DN183</f>
        <v>0</v>
      </c>
      <c r="DN183" s="28"/>
      <c r="DO183" s="29"/>
      <c r="DP183" s="30">
        <f t="shared" si="216"/>
        <v>0</v>
      </c>
      <c r="DQ183" s="28">
        <f>PRODUCTION!DR183+'SUPLIER INWARD'!DR183</f>
        <v>0</v>
      </c>
      <c r="DR183" s="28"/>
      <c r="DS183" s="29"/>
      <c r="DT183" s="30">
        <f t="shared" si="217"/>
        <v>0</v>
      </c>
      <c r="DU183" s="28">
        <f>PRODUCTION!DV183+'SUPLIER INWARD'!DV183</f>
        <v>0</v>
      </c>
      <c r="DV183" s="28"/>
      <c r="DW183" s="29"/>
      <c r="DX183" s="30">
        <f t="shared" si="218"/>
        <v>0</v>
      </c>
      <c r="DY183" s="31">
        <f t="shared" si="221"/>
        <v>0</v>
      </c>
      <c r="DZ183" s="141">
        <f t="shared" si="219"/>
        <v>0</v>
      </c>
      <c r="EA183" s="4">
        <f t="shared" si="220"/>
        <v>0</v>
      </c>
      <c r="EB183" s="9">
        <f>D183*'MASTER SHEET'!D183</f>
        <v>0</v>
      </c>
      <c r="EC183" s="9">
        <f>H183*'MASTER SHEET'!D183</f>
        <v>0</v>
      </c>
      <c r="ED183" s="9">
        <f>L183*'MASTER SHEET'!D183</f>
        <v>0</v>
      </c>
      <c r="EE183" s="9">
        <f>P183*'MASTER SHEET'!D183</f>
        <v>0</v>
      </c>
      <c r="EF183" s="9">
        <f>T183*'MASTER SHEET'!D183</f>
        <v>0</v>
      </c>
      <c r="EG183" s="9">
        <f>X183*'MASTER SHEET'!D183</f>
        <v>0</v>
      </c>
      <c r="EH183" s="9">
        <f>AB183*'MASTER SHEET'!D183</f>
        <v>0</v>
      </c>
      <c r="EI183" s="9">
        <f>AF183*'MASTER SHEET'!D183</f>
        <v>0</v>
      </c>
      <c r="EJ183" s="9">
        <f>AJ183*'MASTER SHEET'!D183</f>
        <v>0</v>
      </c>
      <c r="EK183" s="9">
        <f>AN183*'MASTER SHEET'!D183</f>
        <v>0</v>
      </c>
      <c r="EL183" s="9">
        <f>AR183*'MASTER SHEET'!D183</f>
        <v>0</v>
      </c>
      <c r="EM183" s="9">
        <f>AV183*'MASTER SHEET'!D183</f>
        <v>0</v>
      </c>
      <c r="EN183" s="9">
        <f>AZ183*'MASTER SHEET'!D183</f>
        <v>0</v>
      </c>
      <c r="EO183" s="9">
        <f>BD183*'MASTER SHEET'!D183</f>
        <v>0</v>
      </c>
      <c r="EP183" s="9">
        <f>$BH183*'MASTER SHEET'!$D183</f>
        <v>0</v>
      </c>
      <c r="EQ183" s="9">
        <f>BL183*'MASTER SHEET'!D183</f>
        <v>0</v>
      </c>
      <c r="ER183" s="9">
        <f>BP183*'MASTER SHEET'!D183</f>
        <v>0</v>
      </c>
      <c r="ES183" s="9">
        <f>BT183*'MASTER SHEET'!D183</f>
        <v>0</v>
      </c>
      <c r="ET183" s="9">
        <f>BX183*'MASTER SHEET'!D183</f>
        <v>0</v>
      </c>
      <c r="EU183" s="9">
        <f>CB183*'MASTER SHEET'!D183</f>
        <v>0</v>
      </c>
      <c r="EV183" s="9">
        <f>CF183*'MASTER SHEET'!D183</f>
        <v>0</v>
      </c>
      <c r="EW183" s="9">
        <f>CJ183*'MASTER SHEET'!D183</f>
        <v>0</v>
      </c>
      <c r="EX183" s="9">
        <f>CN183*'MASTER SHEET'!D183</f>
        <v>0</v>
      </c>
      <c r="EY183" s="9">
        <f>CR183*'MASTER SHEET'!D183</f>
        <v>0</v>
      </c>
      <c r="EZ183" s="9">
        <f>$CV183*'MASTER SHEET'!D183</f>
        <v>0</v>
      </c>
      <c r="FA183" s="9">
        <f>CZ183*'MASTER SHEET'!D183</f>
        <v>0</v>
      </c>
      <c r="FB183" s="9">
        <f>DD183*'MASTER SHEET'!D183</f>
        <v>0</v>
      </c>
      <c r="FC183" s="9">
        <f>DH183*'MASTER SHEET'!D183</f>
        <v>0</v>
      </c>
      <c r="FD183" s="9">
        <f>DL183*'MASTER SHEET'!D183</f>
        <v>0</v>
      </c>
      <c r="FE183" s="9">
        <f>DP183*'MASTER SHEET'!D183</f>
        <v>0</v>
      </c>
      <c r="FF183" s="9">
        <f>DT183*'MASTER SHEET'!D183</f>
        <v>0</v>
      </c>
      <c r="FG183" s="9">
        <f>+DX183*'MASTER SHEET'!D183</f>
        <v>0</v>
      </c>
    </row>
    <row r="184" spans="1:163" ht="20.25" customHeight="1" x14ac:dyDescent="0.25">
      <c r="A184" s="25">
        <f>'MASTER SHEET'!A184</f>
        <v>182</v>
      </c>
      <c r="B184" s="26" t="str">
        <f>'MASTER SHEET'!B184</f>
        <v>ENDPLATE, PLASTIC</v>
      </c>
      <c r="C184" s="78">
        <f>'MASTER SHEET'!C184</f>
        <v>5046448</v>
      </c>
      <c r="D184" s="159">
        <v>0</v>
      </c>
      <c r="E184" s="28">
        <f>PRODUCTION!F184+'SUPLIER INWARD'!F184</f>
        <v>0</v>
      </c>
      <c r="F184" s="28"/>
      <c r="G184" s="29">
        <v>0</v>
      </c>
      <c r="H184" s="30">
        <f t="shared" si="193"/>
        <v>0</v>
      </c>
      <c r="I184" s="28">
        <f>PRODUCTION!J184+'SUPLIER INWARD'!J184</f>
        <v>0</v>
      </c>
      <c r="J184" s="28"/>
      <c r="K184" s="29">
        <v>0</v>
      </c>
      <c r="L184" s="30">
        <f t="shared" si="194"/>
        <v>0</v>
      </c>
      <c r="M184" s="28">
        <f>PRODUCTION!N184+'SUPLIER INWARD'!N184</f>
        <v>0</v>
      </c>
      <c r="N184" s="28"/>
      <c r="O184" s="29"/>
      <c r="P184" s="30">
        <f t="shared" si="195"/>
        <v>0</v>
      </c>
      <c r="Q184" s="28">
        <f>PRODUCTION!R184+'SUPLIER INWARD'!R184</f>
        <v>0</v>
      </c>
      <c r="R184" s="28"/>
      <c r="S184" s="29">
        <v>0</v>
      </c>
      <c r="T184" s="30">
        <f t="shared" si="196"/>
        <v>0</v>
      </c>
      <c r="U184" s="28">
        <f>PRODUCTION!V184+'SUPLIER INWARD'!V184</f>
        <v>0</v>
      </c>
      <c r="V184" s="28"/>
      <c r="W184" s="29">
        <v>0</v>
      </c>
      <c r="X184" s="30">
        <f t="shared" si="197"/>
        <v>0</v>
      </c>
      <c r="Y184" s="28">
        <f>PRODUCTION!Z184+'SUPLIER INWARD'!Z184</f>
        <v>0</v>
      </c>
      <c r="Z184" s="28"/>
      <c r="AA184" s="29">
        <v>0</v>
      </c>
      <c r="AB184" s="30">
        <f t="shared" si="198"/>
        <v>0</v>
      </c>
      <c r="AC184" s="28">
        <f>PRODUCTION!AD184+'SUPLIER INWARD'!AD184</f>
        <v>0</v>
      </c>
      <c r="AD184" s="28"/>
      <c r="AE184" s="29">
        <v>0</v>
      </c>
      <c r="AF184" s="30">
        <f t="shared" si="199"/>
        <v>0</v>
      </c>
      <c r="AG184" s="28">
        <f>PRODUCTION!AH184+'SUPLIER INWARD'!AH184</f>
        <v>0</v>
      </c>
      <c r="AH184" s="28"/>
      <c r="AI184" s="29">
        <v>0</v>
      </c>
      <c r="AJ184" s="30">
        <f t="shared" si="200"/>
        <v>0</v>
      </c>
      <c r="AK184" s="28">
        <f>PRODUCTION!AL184+'SUPLIER INWARD'!AL184</f>
        <v>0</v>
      </c>
      <c r="AL184" s="28"/>
      <c r="AM184" s="29">
        <v>0</v>
      </c>
      <c r="AN184" s="30">
        <f t="shared" si="201"/>
        <v>0</v>
      </c>
      <c r="AO184" s="28">
        <f>PRODUCTION!AP184+'SUPLIER INWARD'!AP184</f>
        <v>0</v>
      </c>
      <c r="AP184" s="28"/>
      <c r="AQ184" s="29">
        <v>0</v>
      </c>
      <c r="AR184" s="30">
        <f t="shared" si="202"/>
        <v>0</v>
      </c>
      <c r="AS184" s="28">
        <f>PRODUCTION!AT184+'SUPLIER INWARD'!AT184</f>
        <v>0</v>
      </c>
      <c r="AT184" s="28"/>
      <c r="AU184" s="29">
        <v>0</v>
      </c>
      <c r="AV184" s="30">
        <f t="shared" si="203"/>
        <v>0</v>
      </c>
      <c r="AW184" s="28">
        <f>PRODUCTION!AX184+'SUPLIER INWARD'!AX184</f>
        <v>0</v>
      </c>
      <c r="AX184" s="28"/>
      <c r="AY184" s="29"/>
      <c r="AZ184" s="30">
        <f t="shared" si="204"/>
        <v>0</v>
      </c>
      <c r="BA184" s="28">
        <f>PRODUCTION!BB184+'SUPLIER INWARD'!BB184</f>
        <v>0</v>
      </c>
      <c r="BB184" s="28"/>
      <c r="BC184" s="29">
        <v>0</v>
      </c>
      <c r="BD184" s="30">
        <f t="shared" si="205"/>
        <v>0</v>
      </c>
      <c r="BE184" s="28">
        <f>PRODUCTION!BF184+'SUPLIER INWARD'!BF184</f>
        <v>0</v>
      </c>
      <c r="BF184" s="28"/>
      <c r="BG184" s="29">
        <v>0</v>
      </c>
      <c r="BH184" s="30">
        <f t="shared" si="206"/>
        <v>0</v>
      </c>
      <c r="BI184" s="28">
        <f>PRODUCTION!BJ184+'SUPLIER INWARD'!BJ184</f>
        <v>0</v>
      </c>
      <c r="BJ184" s="28"/>
      <c r="BK184" s="29">
        <v>0</v>
      </c>
      <c r="BL184" s="30">
        <f t="shared" si="207"/>
        <v>0</v>
      </c>
      <c r="BM184" s="28">
        <f>PRODUCTION!BN184+'SUPLIER INWARD'!BN184</f>
        <v>0</v>
      </c>
      <c r="BN184" s="28"/>
      <c r="BO184" s="29">
        <v>0</v>
      </c>
      <c r="BP184" s="30">
        <f t="shared" si="208"/>
        <v>0</v>
      </c>
      <c r="BQ184" s="28">
        <f>PRODUCTION!BR184+'SUPLIER INWARD'!BR184</f>
        <v>1114</v>
      </c>
      <c r="BR184" s="28">
        <v>200</v>
      </c>
      <c r="BS184" s="29">
        <v>1</v>
      </c>
      <c r="BT184" s="30">
        <f t="shared" si="209"/>
        <v>913</v>
      </c>
      <c r="BU184" s="28">
        <f>PRODUCTION!BV184+'SUPLIER INWARD'!BV184</f>
        <v>0</v>
      </c>
      <c r="BV184" s="28"/>
      <c r="BW184" s="29">
        <v>0</v>
      </c>
      <c r="BX184" s="30">
        <f t="shared" si="176"/>
        <v>913</v>
      </c>
      <c r="BY184" s="28">
        <f>PRODUCTION!BZ184+'SUPLIER INWARD'!BZ184</f>
        <v>0</v>
      </c>
      <c r="BZ184" s="28"/>
      <c r="CA184" s="29">
        <v>0</v>
      </c>
      <c r="CB184" s="30">
        <f t="shared" si="210"/>
        <v>913</v>
      </c>
      <c r="CC184" s="28">
        <f>PRODUCTION!CD184+'SUPLIER INWARD'!CD184</f>
        <v>0</v>
      </c>
      <c r="CD184" s="28"/>
      <c r="CE184" s="29">
        <v>0</v>
      </c>
      <c r="CF184" s="30">
        <f t="shared" si="211"/>
        <v>913</v>
      </c>
      <c r="CG184" s="28">
        <f>PRODUCTION!CH184+'SUPLIER INWARD'!CH184</f>
        <v>0</v>
      </c>
      <c r="CH184" s="28"/>
      <c r="CI184" s="29">
        <v>0</v>
      </c>
      <c r="CJ184" s="30">
        <f t="shared" si="179"/>
        <v>913</v>
      </c>
      <c r="CK184" s="28">
        <f>PRODUCTION!CL184+'SUPLIER INWARD'!CL184</f>
        <v>0</v>
      </c>
      <c r="CL184" s="151"/>
      <c r="CM184" s="152"/>
      <c r="CN184" s="30">
        <f t="shared" si="180"/>
        <v>913</v>
      </c>
      <c r="CO184" s="28">
        <f>PRODUCTION!CP184+'SUPLIER INWARD'!CP184</f>
        <v>0</v>
      </c>
      <c r="CP184" s="151"/>
      <c r="CQ184" s="29">
        <v>0</v>
      </c>
      <c r="CR184" s="30">
        <f t="shared" si="181"/>
        <v>913</v>
      </c>
      <c r="CS184" s="28">
        <f>PRODUCTION!CT184+'SUPLIER INWARD'!CT184</f>
        <v>0</v>
      </c>
      <c r="CT184" s="28"/>
      <c r="CU184" s="29">
        <v>0</v>
      </c>
      <c r="CV184" s="30">
        <f t="shared" si="182"/>
        <v>913</v>
      </c>
      <c r="CW184" s="28">
        <f>PRODUCTION!CX184+'SUPLIER INWARD'!CX184</f>
        <v>0</v>
      </c>
      <c r="CX184" s="28"/>
      <c r="CY184" s="29">
        <v>0</v>
      </c>
      <c r="CZ184" s="30">
        <f t="shared" si="212"/>
        <v>913</v>
      </c>
      <c r="DA184" s="28">
        <f>PRODUCTION!DB184+'SUPLIER INWARD'!DB184</f>
        <v>0</v>
      </c>
      <c r="DB184" s="28"/>
      <c r="DC184" s="29"/>
      <c r="DD184" s="30">
        <f t="shared" si="213"/>
        <v>913</v>
      </c>
      <c r="DE184" s="28">
        <f>PRODUCTION!DF184+'SUPLIER INWARD'!DF184</f>
        <v>0</v>
      </c>
      <c r="DF184" s="28"/>
      <c r="DG184" s="29">
        <v>0</v>
      </c>
      <c r="DH184" s="30">
        <f t="shared" si="214"/>
        <v>913</v>
      </c>
      <c r="DI184" s="28">
        <f>PRODUCTION!DJ184+'SUPLIER INWARD'!DJ184</f>
        <v>0</v>
      </c>
      <c r="DJ184" s="28">
        <v>900</v>
      </c>
      <c r="DK184" s="29">
        <v>1</v>
      </c>
      <c r="DL184" s="30">
        <f t="shared" si="215"/>
        <v>12</v>
      </c>
      <c r="DM184" s="28">
        <f>PRODUCTION!DN184+'SUPLIER INWARD'!DN184</f>
        <v>0</v>
      </c>
      <c r="DN184" s="28"/>
      <c r="DO184" s="29"/>
      <c r="DP184" s="30">
        <f t="shared" si="216"/>
        <v>12</v>
      </c>
      <c r="DQ184" s="28">
        <f>PRODUCTION!DR184+'SUPLIER INWARD'!DR184</f>
        <v>0</v>
      </c>
      <c r="DR184" s="28"/>
      <c r="DS184" s="29"/>
      <c r="DT184" s="30">
        <f t="shared" si="217"/>
        <v>12</v>
      </c>
      <c r="DU184" s="28">
        <f>PRODUCTION!DV184+'SUPLIER INWARD'!DV184</f>
        <v>0</v>
      </c>
      <c r="DV184" s="28"/>
      <c r="DW184" s="29"/>
      <c r="DX184" s="30">
        <f t="shared" si="218"/>
        <v>12</v>
      </c>
      <c r="DY184" s="31">
        <f t="shared" si="221"/>
        <v>1114</v>
      </c>
      <c r="DZ184" s="141">
        <f t="shared" si="219"/>
        <v>1100</v>
      </c>
      <c r="EA184" s="4">
        <f t="shared" si="220"/>
        <v>2</v>
      </c>
      <c r="EB184" s="9">
        <f>D184*'MASTER SHEET'!D184</f>
        <v>0</v>
      </c>
      <c r="EC184" s="9">
        <f>H184*'MASTER SHEET'!D184</f>
        <v>0</v>
      </c>
      <c r="ED184" s="9">
        <f>L184*'MASTER SHEET'!D184</f>
        <v>0</v>
      </c>
      <c r="EE184" s="9">
        <f>P184*'MASTER SHEET'!D184</f>
        <v>0</v>
      </c>
      <c r="EF184" s="9">
        <f>T184*'MASTER SHEET'!D184</f>
        <v>0</v>
      </c>
      <c r="EG184" s="9">
        <f>X184*'MASTER SHEET'!D184</f>
        <v>0</v>
      </c>
      <c r="EH184" s="9">
        <f>AB184*'MASTER SHEET'!D184</f>
        <v>0</v>
      </c>
      <c r="EI184" s="9">
        <f>AF184*'MASTER SHEET'!D184</f>
        <v>0</v>
      </c>
      <c r="EJ184" s="9">
        <f>AJ184*'MASTER SHEET'!D184</f>
        <v>0</v>
      </c>
      <c r="EK184" s="9">
        <f>AN184*'MASTER SHEET'!D184</f>
        <v>0</v>
      </c>
      <c r="EL184" s="9">
        <f>AR184*'MASTER SHEET'!D184</f>
        <v>0</v>
      </c>
      <c r="EM184" s="9">
        <f>AV184*'MASTER SHEET'!D184</f>
        <v>0</v>
      </c>
      <c r="EN184" s="9">
        <f>AZ184*'MASTER SHEET'!D184</f>
        <v>0</v>
      </c>
      <c r="EO184" s="9">
        <f>BD184*'MASTER SHEET'!D184</f>
        <v>0</v>
      </c>
      <c r="EP184" s="9">
        <f>$BH184*'MASTER SHEET'!$D184</f>
        <v>0</v>
      </c>
      <c r="EQ184" s="9">
        <f>BL184*'MASTER SHEET'!D184</f>
        <v>0</v>
      </c>
      <c r="ER184" s="9">
        <f>BP184*'MASTER SHEET'!D184</f>
        <v>0</v>
      </c>
      <c r="ES184" s="9">
        <f>BT184*'MASTER SHEET'!D184</f>
        <v>13430.230000000001</v>
      </c>
      <c r="ET184" s="9">
        <f>BX184*'MASTER SHEET'!D184</f>
        <v>13430.230000000001</v>
      </c>
      <c r="EU184" s="9">
        <f>CB184*'MASTER SHEET'!D184</f>
        <v>13430.230000000001</v>
      </c>
      <c r="EV184" s="9">
        <f>CF184*'MASTER SHEET'!D184</f>
        <v>13430.230000000001</v>
      </c>
      <c r="EW184" s="9">
        <f>CJ184*'MASTER SHEET'!D184</f>
        <v>13430.230000000001</v>
      </c>
      <c r="EX184" s="9">
        <f>CN184*'MASTER SHEET'!D184</f>
        <v>13430.230000000001</v>
      </c>
      <c r="EY184" s="9">
        <f>CR184*'MASTER SHEET'!D184</f>
        <v>13430.230000000001</v>
      </c>
      <c r="EZ184" s="9">
        <f>$CV184*'MASTER SHEET'!D184</f>
        <v>13430.230000000001</v>
      </c>
      <c r="FA184" s="9">
        <f>CZ184*'MASTER SHEET'!D184</f>
        <v>13430.230000000001</v>
      </c>
      <c r="FB184" s="9">
        <f>DD184*'MASTER SHEET'!D184</f>
        <v>13430.230000000001</v>
      </c>
      <c r="FC184" s="9">
        <f>DH184*'MASTER SHEET'!D184</f>
        <v>13430.230000000001</v>
      </c>
      <c r="FD184" s="9">
        <f>DL184*'MASTER SHEET'!D184</f>
        <v>176.52</v>
      </c>
      <c r="FE184" s="9">
        <f>DP184*'MASTER SHEET'!D184</f>
        <v>176.52</v>
      </c>
      <c r="FF184" s="9">
        <f>DT184*'MASTER SHEET'!D184</f>
        <v>176.52</v>
      </c>
      <c r="FG184" s="9">
        <f>+DX184*'MASTER SHEET'!D184</f>
        <v>176.52</v>
      </c>
    </row>
    <row r="185" spans="1:163" ht="20.25" customHeight="1" x14ac:dyDescent="0.25">
      <c r="A185" s="25">
        <f>'MASTER SHEET'!A185</f>
        <v>183</v>
      </c>
      <c r="B185" s="26" t="str">
        <f>'MASTER SHEET'!B185</f>
        <v>HYDROPHOBIC SCREEN, ASY</v>
      </c>
      <c r="C185" s="78">
        <f>'MASTER SHEET'!C185</f>
        <v>5046453</v>
      </c>
      <c r="D185" s="159">
        <v>32</v>
      </c>
      <c r="E185" s="28">
        <f>PRODUCTION!F185+'SUPLIER INWARD'!F185</f>
        <v>0</v>
      </c>
      <c r="F185" s="28"/>
      <c r="G185" s="29">
        <v>0</v>
      </c>
      <c r="H185" s="30">
        <f t="shared" si="193"/>
        <v>32</v>
      </c>
      <c r="I185" s="28">
        <f>PRODUCTION!J185+'SUPLIER INWARD'!J185</f>
        <v>0</v>
      </c>
      <c r="J185" s="28"/>
      <c r="K185" s="29">
        <v>0</v>
      </c>
      <c r="L185" s="30">
        <f t="shared" si="194"/>
        <v>32</v>
      </c>
      <c r="M185" s="28">
        <f>PRODUCTION!N185+'SUPLIER INWARD'!N185</f>
        <v>0</v>
      </c>
      <c r="N185" s="28"/>
      <c r="O185" s="29"/>
      <c r="P185" s="30">
        <f t="shared" si="195"/>
        <v>32</v>
      </c>
      <c r="Q185" s="28">
        <f>PRODUCTION!R185+'SUPLIER INWARD'!R185</f>
        <v>0</v>
      </c>
      <c r="R185" s="28"/>
      <c r="S185" s="29">
        <v>0</v>
      </c>
      <c r="T185" s="30">
        <f t="shared" si="196"/>
        <v>32</v>
      </c>
      <c r="U185" s="28">
        <f>PRODUCTION!V185+'SUPLIER INWARD'!V185</f>
        <v>0</v>
      </c>
      <c r="V185" s="28"/>
      <c r="W185" s="29">
        <v>0</v>
      </c>
      <c r="X185" s="30">
        <f t="shared" si="197"/>
        <v>32</v>
      </c>
      <c r="Y185" s="28">
        <f>PRODUCTION!Z185+'SUPLIER INWARD'!Z185</f>
        <v>0</v>
      </c>
      <c r="Z185" s="28"/>
      <c r="AA185" s="29">
        <v>0</v>
      </c>
      <c r="AB185" s="30">
        <f t="shared" si="198"/>
        <v>32</v>
      </c>
      <c r="AC185" s="28">
        <f>PRODUCTION!AD185+'SUPLIER INWARD'!AD185</f>
        <v>0</v>
      </c>
      <c r="AD185" s="28">
        <v>32</v>
      </c>
      <c r="AE185" s="29">
        <v>0</v>
      </c>
      <c r="AF185" s="30">
        <f t="shared" si="199"/>
        <v>0</v>
      </c>
      <c r="AG185" s="28">
        <f>PRODUCTION!AH185+'SUPLIER INWARD'!AH185</f>
        <v>0</v>
      </c>
      <c r="AH185" s="28"/>
      <c r="AI185" s="29">
        <v>0</v>
      </c>
      <c r="AJ185" s="30">
        <f t="shared" si="200"/>
        <v>0</v>
      </c>
      <c r="AK185" s="28">
        <f>PRODUCTION!AL185+'SUPLIER INWARD'!AL185</f>
        <v>0</v>
      </c>
      <c r="AL185" s="28"/>
      <c r="AM185" s="29">
        <v>0</v>
      </c>
      <c r="AN185" s="30">
        <f t="shared" si="201"/>
        <v>0</v>
      </c>
      <c r="AO185" s="28">
        <f>PRODUCTION!AP185+'SUPLIER INWARD'!AP185</f>
        <v>0</v>
      </c>
      <c r="AP185" s="28"/>
      <c r="AQ185" s="29">
        <v>0</v>
      </c>
      <c r="AR185" s="30">
        <f t="shared" si="202"/>
        <v>0</v>
      </c>
      <c r="AS185" s="28">
        <f>PRODUCTION!AT185+'SUPLIER INWARD'!AT185</f>
        <v>0</v>
      </c>
      <c r="AT185" s="28"/>
      <c r="AU185" s="29">
        <v>0</v>
      </c>
      <c r="AV185" s="30">
        <f t="shared" si="203"/>
        <v>0</v>
      </c>
      <c r="AW185" s="28">
        <f>PRODUCTION!AX185+'SUPLIER INWARD'!AX185</f>
        <v>0</v>
      </c>
      <c r="AX185" s="28"/>
      <c r="AY185" s="29"/>
      <c r="AZ185" s="30">
        <f t="shared" si="204"/>
        <v>0</v>
      </c>
      <c r="BA185" s="28">
        <f>PRODUCTION!BB185+'SUPLIER INWARD'!BB185</f>
        <v>0</v>
      </c>
      <c r="BB185" s="28"/>
      <c r="BC185" s="29">
        <v>0</v>
      </c>
      <c r="BD185" s="30">
        <f t="shared" si="205"/>
        <v>0</v>
      </c>
      <c r="BE185" s="28">
        <f>PRODUCTION!BF185+'SUPLIER INWARD'!BF185</f>
        <v>0</v>
      </c>
      <c r="BF185" s="28"/>
      <c r="BG185" s="29">
        <v>0</v>
      </c>
      <c r="BH185" s="30">
        <f t="shared" si="206"/>
        <v>0</v>
      </c>
      <c r="BI185" s="28">
        <f>PRODUCTION!BJ185+'SUPLIER INWARD'!BJ185</f>
        <v>530</v>
      </c>
      <c r="BJ185" s="28">
        <v>80</v>
      </c>
      <c r="BK185" s="29">
        <v>11</v>
      </c>
      <c r="BL185" s="30">
        <f t="shared" si="207"/>
        <v>439</v>
      </c>
      <c r="BM185" s="28">
        <f>PRODUCTION!BN185+'SUPLIER INWARD'!BN185</f>
        <v>0</v>
      </c>
      <c r="BN185" s="28">
        <v>400</v>
      </c>
      <c r="BO185" s="29">
        <v>13</v>
      </c>
      <c r="BP185" s="30">
        <f t="shared" si="208"/>
        <v>26</v>
      </c>
      <c r="BQ185" s="28">
        <f>PRODUCTION!BR185+'SUPLIER INWARD'!BR185</f>
        <v>0</v>
      </c>
      <c r="BR185" s="28"/>
      <c r="BS185" s="29">
        <v>0</v>
      </c>
      <c r="BT185" s="30">
        <f t="shared" si="209"/>
        <v>26</v>
      </c>
      <c r="BU185" s="28">
        <f>PRODUCTION!BV185+'SUPLIER INWARD'!BV185</f>
        <v>0</v>
      </c>
      <c r="BV185" s="28"/>
      <c r="BW185" s="29">
        <v>0</v>
      </c>
      <c r="BX185" s="30">
        <f t="shared" si="176"/>
        <v>26</v>
      </c>
      <c r="BY185" s="28">
        <f>PRODUCTION!BZ185+'SUPLIER INWARD'!BZ185</f>
        <v>0</v>
      </c>
      <c r="BZ185" s="28"/>
      <c r="CA185" s="29">
        <v>0</v>
      </c>
      <c r="CB185" s="30">
        <f t="shared" si="210"/>
        <v>26</v>
      </c>
      <c r="CC185" s="28">
        <f>PRODUCTION!CD185+'SUPLIER INWARD'!CD185</f>
        <v>0</v>
      </c>
      <c r="CD185" s="28"/>
      <c r="CE185" s="29">
        <v>0</v>
      </c>
      <c r="CF185" s="30">
        <f t="shared" si="211"/>
        <v>26</v>
      </c>
      <c r="CG185" s="28">
        <f>PRODUCTION!CH185+'SUPLIER INWARD'!CH185</f>
        <v>0</v>
      </c>
      <c r="CH185" s="28"/>
      <c r="CI185" s="29">
        <v>0</v>
      </c>
      <c r="CJ185" s="30">
        <f t="shared" si="179"/>
        <v>26</v>
      </c>
      <c r="CK185" s="28">
        <f>PRODUCTION!CL185+'SUPLIER INWARD'!CL185</f>
        <v>0</v>
      </c>
      <c r="CL185" s="151"/>
      <c r="CM185" s="152"/>
      <c r="CN185" s="30">
        <f t="shared" si="180"/>
        <v>26</v>
      </c>
      <c r="CO185" s="28">
        <f>PRODUCTION!CP185+'SUPLIER INWARD'!CP185</f>
        <v>0</v>
      </c>
      <c r="CP185" s="151"/>
      <c r="CQ185" s="29">
        <v>0</v>
      </c>
      <c r="CR185" s="30">
        <f t="shared" si="181"/>
        <v>26</v>
      </c>
      <c r="CS185" s="28">
        <f>PRODUCTION!CT185+'SUPLIER INWARD'!CT185</f>
        <v>0</v>
      </c>
      <c r="CT185" s="28"/>
      <c r="CU185" s="29">
        <v>0</v>
      </c>
      <c r="CV185" s="30">
        <f t="shared" si="182"/>
        <v>26</v>
      </c>
      <c r="CW185" s="28">
        <f>PRODUCTION!CX185+'SUPLIER INWARD'!CX185</f>
        <v>0</v>
      </c>
      <c r="CX185" s="28"/>
      <c r="CY185" s="29">
        <v>0</v>
      </c>
      <c r="CZ185" s="30">
        <f t="shared" si="212"/>
        <v>26</v>
      </c>
      <c r="DA185" s="28">
        <f>PRODUCTION!DB185+'SUPLIER INWARD'!DB185</f>
        <v>0</v>
      </c>
      <c r="DB185" s="28"/>
      <c r="DC185" s="29"/>
      <c r="DD185" s="30">
        <f t="shared" si="213"/>
        <v>26</v>
      </c>
      <c r="DE185" s="28">
        <f>PRODUCTION!DF185+'SUPLIER INWARD'!DF185</f>
        <v>0</v>
      </c>
      <c r="DF185" s="28"/>
      <c r="DG185" s="29">
        <v>0</v>
      </c>
      <c r="DH185" s="30">
        <f t="shared" si="214"/>
        <v>26</v>
      </c>
      <c r="DI185" s="28">
        <f>PRODUCTION!DJ185+'SUPLIER INWARD'!DJ185</f>
        <v>0</v>
      </c>
      <c r="DJ185" s="28"/>
      <c r="DK185" s="29">
        <v>0</v>
      </c>
      <c r="DL185" s="30">
        <f t="shared" si="215"/>
        <v>26</v>
      </c>
      <c r="DM185" s="28">
        <f>PRODUCTION!DN185+'SUPLIER INWARD'!DN185</f>
        <v>0</v>
      </c>
      <c r="DN185" s="28"/>
      <c r="DO185" s="29"/>
      <c r="DP185" s="30">
        <f t="shared" si="216"/>
        <v>26</v>
      </c>
      <c r="DQ185" s="28">
        <f>PRODUCTION!DR185+'SUPLIER INWARD'!DR185</f>
        <v>0</v>
      </c>
      <c r="DR185" s="28"/>
      <c r="DS185" s="29"/>
      <c r="DT185" s="30">
        <f t="shared" si="217"/>
        <v>26</v>
      </c>
      <c r="DU185" s="28">
        <f>PRODUCTION!DV185+'SUPLIER INWARD'!DV185</f>
        <v>0</v>
      </c>
      <c r="DV185" s="28"/>
      <c r="DW185" s="29"/>
      <c r="DX185" s="30">
        <f t="shared" si="218"/>
        <v>26</v>
      </c>
      <c r="DY185" s="31">
        <f t="shared" si="221"/>
        <v>530</v>
      </c>
      <c r="DZ185" s="141">
        <f t="shared" si="219"/>
        <v>512</v>
      </c>
      <c r="EA185" s="4">
        <f t="shared" si="220"/>
        <v>24</v>
      </c>
      <c r="EB185" s="9">
        <f>D185*'MASTER SHEET'!D185</f>
        <v>2874.24</v>
      </c>
      <c r="EC185" s="9">
        <f>H185*'MASTER SHEET'!D185</f>
        <v>2874.24</v>
      </c>
      <c r="ED185" s="9">
        <f>L185*'MASTER SHEET'!D185</f>
        <v>2874.24</v>
      </c>
      <c r="EE185" s="9">
        <f>P185*'MASTER SHEET'!D185</f>
        <v>2874.24</v>
      </c>
      <c r="EF185" s="9">
        <f>T185*'MASTER SHEET'!D185</f>
        <v>2874.24</v>
      </c>
      <c r="EG185" s="9">
        <f>X185*'MASTER SHEET'!D185</f>
        <v>2874.24</v>
      </c>
      <c r="EH185" s="9">
        <f>AB185*'MASTER SHEET'!D185</f>
        <v>2874.24</v>
      </c>
      <c r="EI185" s="9">
        <f>AF185*'MASTER SHEET'!D185</f>
        <v>0</v>
      </c>
      <c r="EJ185" s="9">
        <f>AJ185*'MASTER SHEET'!D185</f>
        <v>0</v>
      </c>
      <c r="EK185" s="9">
        <f>AN185*'MASTER SHEET'!D185</f>
        <v>0</v>
      </c>
      <c r="EL185" s="9">
        <f>AR185*'MASTER SHEET'!D185</f>
        <v>0</v>
      </c>
      <c r="EM185" s="9">
        <f>AV185*'MASTER SHEET'!D185</f>
        <v>0</v>
      </c>
      <c r="EN185" s="9">
        <f>AZ185*'MASTER SHEET'!D185</f>
        <v>0</v>
      </c>
      <c r="EO185" s="9">
        <f>BD185*'MASTER SHEET'!D185</f>
        <v>0</v>
      </c>
      <c r="EP185" s="9">
        <f>$BH185*'MASTER SHEET'!$D185</f>
        <v>0</v>
      </c>
      <c r="EQ185" s="9">
        <f>BL185*'MASTER SHEET'!D185</f>
        <v>39430.979999999996</v>
      </c>
      <c r="ER185" s="9">
        <f>BP185*'MASTER SHEET'!D185</f>
        <v>2335.3199999999997</v>
      </c>
      <c r="ES185" s="9">
        <f>BT185*'MASTER SHEET'!D185</f>
        <v>2335.3199999999997</v>
      </c>
      <c r="ET185" s="9">
        <f>BX185*'MASTER SHEET'!D185</f>
        <v>2335.3199999999997</v>
      </c>
      <c r="EU185" s="9">
        <f>CB185*'MASTER SHEET'!D185</f>
        <v>2335.3199999999997</v>
      </c>
      <c r="EV185" s="9">
        <f>CF185*'MASTER SHEET'!D185</f>
        <v>2335.3199999999997</v>
      </c>
      <c r="EW185" s="9">
        <f>CJ185*'MASTER SHEET'!D185</f>
        <v>2335.3199999999997</v>
      </c>
      <c r="EX185" s="9">
        <f>CN185*'MASTER SHEET'!D185</f>
        <v>2335.3199999999997</v>
      </c>
      <c r="EY185" s="9">
        <f>CR185*'MASTER SHEET'!D185</f>
        <v>2335.3199999999997</v>
      </c>
      <c r="EZ185" s="9">
        <f>$CV185*'MASTER SHEET'!D185</f>
        <v>2335.3199999999997</v>
      </c>
      <c r="FA185" s="9">
        <f>CZ185*'MASTER SHEET'!D185</f>
        <v>2335.3199999999997</v>
      </c>
      <c r="FB185" s="9">
        <f>DD185*'MASTER SHEET'!D185</f>
        <v>2335.3199999999997</v>
      </c>
      <c r="FC185" s="9">
        <f>DH185*'MASTER SHEET'!D185</f>
        <v>2335.3199999999997</v>
      </c>
      <c r="FD185" s="9">
        <f>DL185*'MASTER SHEET'!D185</f>
        <v>2335.3199999999997</v>
      </c>
      <c r="FE185" s="9">
        <f>DP185*'MASTER SHEET'!D185</f>
        <v>2335.3199999999997</v>
      </c>
      <c r="FF185" s="9">
        <f>DT185*'MASTER SHEET'!D185</f>
        <v>2335.3199999999997</v>
      </c>
      <c r="FG185" s="9">
        <f>+DX185*'MASTER SHEET'!D185</f>
        <v>2335.3199999999997</v>
      </c>
    </row>
    <row r="186" spans="1:163" ht="20.25" customHeight="1" x14ac:dyDescent="0.25">
      <c r="A186" s="25">
        <f>'MASTER SHEET'!A186</f>
        <v>184</v>
      </c>
      <c r="B186" s="26" t="str">
        <f>'MASTER SHEET'!B186</f>
        <v>CENTERTUBE, PLASTIC</v>
      </c>
      <c r="C186" s="78">
        <f>'MASTER SHEET'!C186</f>
        <v>5046456</v>
      </c>
      <c r="D186" s="163">
        <f>997+43</f>
        <v>1040</v>
      </c>
      <c r="E186" s="28">
        <f>PRODUCTION!F186+'SUPLIER INWARD'!F186</f>
        <v>0</v>
      </c>
      <c r="F186" s="28"/>
      <c r="G186" s="29">
        <v>0</v>
      </c>
      <c r="H186" s="30">
        <f t="shared" si="193"/>
        <v>1040</v>
      </c>
      <c r="I186" s="28">
        <f>PRODUCTION!J186+'SUPLIER INWARD'!J186</f>
        <v>0</v>
      </c>
      <c r="J186" s="28"/>
      <c r="K186" s="29">
        <v>0</v>
      </c>
      <c r="L186" s="30">
        <f t="shared" si="194"/>
        <v>1040</v>
      </c>
      <c r="M186" s="28">
        <f>PRODUCTION!N186+'SUPLIER INWARD'!N186</f>
        <v>0</v>
      </c>
      <c r="N186" s="28"/>
      <c r="O186" s="29"/>
      <c r="P186" s="30">
        <f t="shared" si="195"/>
        <v>1040</v>
      </c>
      <c r="Q186" s="28">
        <f>PRODUCTION!R186+'SUPLIER INWARD'!R186</f>
        <v>0</v>
      </c>
      <c r="R186" s="28">
        <v>400</v>
      </c>
      <c r="S186" s="29">
        <v>0</v>
      </c>
      <c r="T186" s="30">
        <f t="shared" si="196"/>
        <v>640</v>
      </c>
      <c r="U186" s="28">
        <f>PRODUCTION!V186+'SUPLIER INWARD'!V186</f>
        <v>0</v>
      </c>
      <c r="V186" s="28"/>
      <c r="W186" s="29">
        <v>0</v>
      </c>
      <c r="X186" s="30">
        <f t="shared" si="197"/>
        <v>640</v>
      </c>
      <c r="Y186" s="28">
        <f>PRODUCTION!Z186+'SUPLIER INWARD'!Z186</f>
        <v>0</v>
      </c>
      <c r="Z186" s="28"/>
      <c r="AA186" s="29">
        <v>0</v>
      </c>
      <c r="AB186" s="30">
        <f t="shared" si="198"/>
        <v>640</v>
      </c>
      <c r="AC186" s="28">
        <f>PRODUCTION!AD186+'SUPLIER INWARD'!AD186</f>
        <v>0</v>
      </c>
      <c r="AD186" s="28"/>
      <c r="AE186" s="29">
        <v>0</v>
      </c>
      <c r="AF186" s="30">
        <f t="shared" si="199"/>
        <v>640</v>
      </c>
      <c r="AG186" s="28">
        <f>PRODUCTION!AH186+'SUPLIER INWARD'!AH186</f>
        <v>0</v>
      </c>
      <c r="AH186" s="28">
        <v>640</v>
      </c>
      <c r="AI186" s="29">
        <v>0</v>
      </c>
      <c r="AJ186" s="30">
        <f t="shared" si="200"/>
        <v>0</v>
      </c>
      <c r="AK186" s="28">
        <f>PRODUCTION!AL186+'SUPLIER INWARD'!AL186</f>
        <v>0</v>
      </c>
      <c r="AL186" s="28"/>
      <c r="AM186" s="29">
        <v>0</v>
      </c>
      <c r="AN186" s="30">
        <f t="shared" si="201"/>
        <v>0</v>
      </c>
      <c r="AO186" s="28">
        <f>PRODUCTION!AP186+'SUPLIER INWARD'!AP186</f>
        <v>0</v>
      </c>
      <c r="AP186" s="28"/>
      <c r="AQ186" s="29">
        <v>0</v>
      </c>
      <c r="AR186" s="30">
        <f t="shared" si="202"/>
        <v>0</v>
      </c>
      <c r="AS186" s="28">
        <f>PRODUCTION!AT186+'SUPLIER INWARD'!AT186</f>
        <v>0</v>
      </c>
      <c r="AT186" s="28"/>
      <c r="AU186" s="29">
        <v>0</v>
      </c>
      <c r="AV186" s="30">
        <f t="shared" si="203"/>
        <v>0</v>
      </c>
      <c r="AW186" s="28">
        <f>PRODUCTION!AX186+'SUPLIER INWARD'!AX186</f>
        <v>0</v>
      </c>
      <c r="AX186" s="28"/>
      <c r="AY186" s="29"/>
      <c r="AZ186" s="30">
        <f t="shared" si="204"/>
        <v>0</v>
      </c>
      <c r="BA186" s="28">
        <f>PRODUCTION!BB186+'SUPLIER INWARD'!BB186</f>
        <v>0</v>
      </c>
      <c r="BB186" s="28"/>
      <c r="BC186" s="29">
        <v>0</v>
      </c>
      <c r="BD186" s="30">
        <f t="shared" si="205"/>
        <v>0</v>
      </c>
      <c r="BE186" s="28">
        <f>PRODUCTION!BF186+'SUPLIER INWARD'!BF186</f>
        <v>0</v>
      </c>
      <c r="BF186" s="28"/>
      <c r="BG186" s="29">
        <v>0</v>
      </c>
      <c r="BH186" s="30">
        <f t="shared" si="206"/>
        <v>0</v>
      </c>
      <c r="BI186" s="28">
        <f>PRODUCTION!BJ186+'SUPLIER INWARD'!BJ186</f>
        <v>0</v>
      </c>
      <c r="BJ186" s="28"/>
      <c r="BK186" s="29">
        <v>0</v>
      </c>
      <c r="BL186" s="30">
        <f t="shared" si="207"/>
        <v>0</v>
      </c>
      <c r="BM186" s="28">
        <f>PRODUCTION!BN186+'SUPLIER INWARD'!BN186</f>
        <v>0</v>
      </c>
      <c r="BN186" s="28"/>
      <c r="BO186" s="29">
        <v>0</v>
      </c>
      <c r="BP186" s="30">
        <f t="shared" si="208"/>
        <v>0</v>
      </c>
      <c r="BQ186" s="28">
        <f>PRODUCTION!BR186+'SUPLIER INWARD'!BR186</f>
        <v>0</v>
      </c>
      <c r="BR186" s="28"/>
      <c r="BS186" s="29">
        <v>0</v>
      </c>
      <c r="BT186" s="30">
        <f t="shared" si="209"/>
        <v>0</v>
      </c>
      <c r="BU186" s="28">
        <f>PRODUCTION!BV186+'SUPLIER INWARD'!BV186</f>
        <v>0</v>
      </c>
      <c r="BV186" s="28"/>
      <c r="BW186" s="29">
        <v>0</v>
      </c>
      <c r="BX186" s="30">
        <f t="shared" si="176"/>
        <v>0</v>
      </c>
      <c r="BY186" s="28">
        <f>PRODUCTION!BZ186+'SUPLIER INWARD'!BZ186</f>
        <v>0</v>
      </c>
      <c r="BZ186" s="28"/>
      <c r="CA186" s="29">
        <v>0</v>
      </c>
      <c r="CB186" s="30">
        <f t="shared" si="210"/>
        <v>0</v>
      </c>
      <c r="CC186" s="28">
        <f>PRODUCTION!CD186+'SUPLIER INWARD'!CD186</f>
        <v>0</v>
      </c>
      <c r="CD186" s="28"/>
      <c r="CE186" s="29">
        <v>0</v>
      </c>
      <c r="CF186" s="30">
        <f t="shared" si="211"/>
        <v>0</v>
      </c>
      <c r="CG186" s="28">
        <f>PRODUCTION!CH186+'SUPLIER INWARD'!CH186</f>
        <v>0</v>
      </c>
      <c r="CH186" s="28"/>
      <c r="CI186" s="29">
        <v>0</v>
      </c>
      <c r="CJ186" s="30">
        <f t="shared" si="179"/>
        <v>0</v>
      </c>
      <c r="CK186" s="28">
        <f>PRODUCTION!CL186+'SUPLIER INWARD'!CL186</f>
        <v>0</v>
      </c>
      <c r="CL186" s="151"/>
      <c r="CM186" s="152"/>
      <c r="CN186" s="30">
        <f t="shared" si="180"/>
        <v>0</v>
      </c>
      <c r="CO186" s="28">
        <f>PRODUCTION!CP186+'SUPLIER INWARD'!CP186</f>
        <v>0</v>
      </c>
      <c r="CP186" s="151"/>
      <c r="CQ186" s="29">
        <v>0</v>
      </c>
      <c r="CR186" s="30">
        <f t="shared" si="181"/>
        <v>0</v>
      </c>
      <c r="CS186" s="28">
        <f>PRODUCTION!CT186+'SUPLIER INWARD'!CT186</f>
        <v>0</v>
      </c>
      <c r="CT186" s="28"/>
      <c r="CU186" s="29">
        <v>0</v>
      </c>
      <c r="CV186" s="30">
        <f t="shared" si="182"/>
        <v>0</v>
      </c>
      <c r="CW186" s="28">
        <f>PRODUCTION!CX186+'SUPLIER INWARD'!CX186</f>
        <v>0</v>
      </c>
      <c r="CX186" s="28"/>
      <c r="CY186" s="29">
        <v>0</v>
      </c>
      <c r="CZ186" s="30">
        <f t="shared" si="212"/>
        <v>0</v>
      </c>
      <c r="DA186" s="28">
        <f>PRODUCTION!DB186+'SUPLIER INWARD'!DB186</f>
        <v>0</v>
      </c>
      <c r="DB186" s="28"/>
      <c r="DC186" s="29"/>
      <c r="DD186" s="30">
        <f t="shared" si="213"/>
        <v>0</v>
      </c>
      <c r="DE186" s="28">
        <f>PRODUCTION!DF186+'SUPLIER INWARD'!DF186</f>
        <v>0</v>
      </c>
      <c r="DF186" s="28"/>
      <c r="DG186" s="29">
        <v>0</v>
      </c>
      <c r="DH186" s="30">
        <f t="shared" si="214"/>
        <v>0</v>
      </c>
      <c r="DI186" s="28">
        <f>PRODUCTION!DJ186+'SUPLIER INWARD'!DJ186</f>
        <v>0</v>
      </c>
      <c r="DJ186" s="28"/>
      <c r="DK186" s="29">
        <v>0</v>
      </c>
      <c r="DL186" s="30">
        <f t="shared" si="215"/>
        <v>0</v>
      </c>
      <c r="DM186" s="28">
        <f>PRODUCTION!DN186+'SUPLIER INWARD'!DN186</f>
        <v>0</v>
      </c>
      <c r="DN186" s="28"/>
      <c r="DO186" s="29"/>
      <c r="DP186" s="30">
        <f t="shared" si="216"/>
        <v>0</v>
      </c>
      <c r="DQ186" s="28">
        <f>PRODUCTION!DR186+'SUPLIER INWARD'!DR186</f>
        <v>0</v>
      </c>
      <c r="DR186" s="28"/>
      <c r="DS186" s="29"/>
      <c r="DT186" s="30">
        <f t="shared" si="217"/>
        <v>0</v>
      </c>
      <c r="DU186" s="28">
        <f>PRODUCTION!DV186+'SUPLIER INWARD'!DV186</f>
        <v>0</v>
      </c>
      <c r="DV186" s="28"/>
      <c r="DW186" s="29"/>
      <c r="DX186" s="30">
        <f t="shared" si="218"/>
        <v>0</v>
      </c>
      <c r="DY186" s="31">
        <f t="shared" si="221"/>
        <v>0</v>
      </c>
      <c r="DZ186" s="141">
        <f t="shared" si="219"/>
        <v>1040</v>
      </c>
      <c r="EA186" s="4">
        <f t="shared" si="220"/>
        <v>0</v>
      </c>
      <c r="EB186" s="9">
        <f>D186*'MASTER SHEET'!D186</f>
        <v>14466.4</v>
      </c>
      <c r="EC186" s="9">
        <f>H186*'MASTER SHEET'!D186</f>
        <v>14466.4</v>
      </c>
      <c r="ED186" s="9">
        <f>L186*'MASTER SHEET'!D186</f>
        <v>14466.4</v>
      </c>
      <c r="EE186" s="9">
        <f>P186*'MASTER SHEET'!D186</f>
        <v>14466.4</v>
      </c>
      <c r="EF186" s="9">
        <f>T186*'MASTER SHEET'!D186</f>
        <v>8902.4</v>
      </c>
      <c r="EG186" s="9">
        <f>X186*'MASTER SHEET'!D186</f>
        <v>8902.4</v>
      </c>
      <c r="EH186" s="9">
        <f>AB186*'MASTER SHEET'!D186</f>
        <v>8902.4</v>
      </c>
      <c r="EI186" s="9">
        <f>AF186*'MASTER SHEET'!D186</f>
        <v>8902.4</v>
      </c>
      <c r="EJ186" s="9">
        <f>AJ186*'MASTER SHEET'!D186</f>
        <v>0</v>
      </c>
      <c r="EK186" s="9">
        <f>AN186*'MASTER SHEET'!D186</f>
        <v>0</v>
      </c>
      <c r="EL186" s="9">
        <f>AR186*'MASTER SHEET'!D186</f>
        <v>0</v>
      </c>
      <c r="EM186" s="9">
        <f>AV186*'MASTER SHEET'!D186</f>
        <v>0</v>
      </c>
      <c r="EN186" s="9">
        <f>AZ186*'MASTER SHEET'!D186</f>
        <v>0</v>
      </c>
      <c r="EO186" s="9">
        <f>BD186*'MASTER SHEET'!D186</f>
        <v>0</v>
      </c>
      <c r="EP186" s="9">
        <f>$BH186*'MASTER SHEET'!$D186</f>
        <v>0</v>
      </c>
      <c r="EQ186" s="9">
        <f>BL186*'MASTER SHEET'!D186</f>
        <v>0</v>
      </c>
      <c r="ER186" s="9">
        <f>BP186*'MASTER SHEET'!D186</f>
        <v>0</v>
      </c>
      <c r="ES186" s="9">
        <f>BT186*'MASTER SHEET'!D186</f>
        <v>0</v>
      </c>
      <c r="ET186" s="9">
        <f>BX186*'MASTER SHEET'!D186</f>
        <v>0</v>
      </c>
      <c r="EU186" s="9">
        <f>CB186*'MASTER SHEET'!D186</f>
        <v>0</v>
      </c>
      <c r="EV186" s="9">
        <f>CF186*'MASTER SHEET'!D186</f>
        <v>0</v>
      </c>
      <c r="EW186" s="9">
        <f>CJ186*'MASTER SHEET'!D186</f>
        <v>0</v>
      </c>
      <c r="EX186" s="9">
        <f>CN186*'MASTER SHEET'!D186</f>
        <v>0</v>
      </c>
      <c r="EY186" s="9">
        <f>CR186*'MASTER SHEET'!D186</f>
        <v>0</v>
      </c>
      <c r="EZ186" s="9">
        <f>$CV186*'MASTER SHEET'!D186</f>
        <v>0</v>
      </c>
      <c r="FA186" s="9">
        <f>CZ186*'MASTER SHEET'!D186</f>
        <v>0</v>
      </c>
      <c r="FB186" s="9">
        <f>DD186*'MASTER SHEET'!D186</f>
        <v>0</v>
      </c>
      <c r="FC186" s="9">
        <f>DH186*'MASTER SHEET'!D186</f>
        <v>0</v>
      </c>
      <c r="FD186" s="9">
        <f>DL186*'MASTER SHEET'!D186</f>
        <v>0</v>
      </c>
      <c r="FE186" s="9">
        <f>DP186*'MASTER SHEET'!D186</f>
        <v>0</v>
      </c>
      <c r="FF186" s="9">
        <f>DT186*'MASTER SHEET'!D186</f>
        <v>0</v>
      </c>
      <c r="FG186" s="9">
        <f>+DX186*'MASTER SHEET'!D186</f>
        <v>0</v>
      </c>
    </row>
    <row r="187" spans="1:163" ht="20.25" customHeight="1" x14ac:dyDescent="0.25">
      <c r="A187" s="25">
        <f>'MASTER SHEET'!A187</f>
        <v>185</v>
      </c>
      <c r="B187" s="26" t="str">
        <f>'MASTER SHEET'!B187</f>
        <v>KINETIC SHROUD</v>
      </c>
      <c r="C187" s="78" t="str">
        <f>'MASTER SHEET'!C187</f>
        <v>FS3200000A</v>
      </c>
      <c r="D187" s="159">
        <v>0</v>
      </c>
      <c r="E187" s="28">
        <f>PRODUCTION!F187+'SUPLIER INWARD'!F187</f>
        <v>0</v>
      </c>
      <c r="F187" s="28"/>
      <c r="G187" s="29">
        <v>0</v>
      </c>
      <c r="H187" s="30">
        <f t="shared" si="193"/>
        <v>0</v>
      </c>
      <c r="I187" s="28">
        <f>PRODUCTION!J187+'SUPLIER INWARD'!J187</f>
        <v>665</v>
      </c>
      <c r="J187" s="28">
        <v>612</v>
      </c>
      <c r="K187" s="29">
        <v>0</v>
      </c>
      <c r="L187" s="30">
        <f t="shared" si="194"/>
        <v>53</v>
      </c>
      <c r="M187" s="28">
        <f>PRODUCTION!N187+'SUPLIER INWARD'!N187</f>
        <v>0</v>
      </c>
      <c r="N187" s="28"/>
      <c r="O187" s="29"/>
      <c r="P187" s="30">
        <f t="shared" si="195"/>
        <v>53</v>
      </c>
      <c r="Q187" s="28">
        <f>PRODUCTION!R187+'SUPLIER INWARD'!R187</f>
        <v>1085</v>
      </c>
      <c r="R187" s="28"/>
      <c r="S187" s="29">
        <v>0</v>
      </c>
      <c r="T187" s="30">
        <f t="shared" si="196"/>
        <v>1138</v>
      </c>
      <c r="U187" s="28">
        <f>PRODUCTION!V187+'SUPLIER INWARD'!V187</f>
        <v>226</v>
      </c>
      <c r="V187" s="28">
        <v>612</v>
      </c>
      <c r="W187" s="29">
        <v>0</v>
      </c>
      <c r="X187" s="30">
        <f t="shared" si="197"/>
        <v>752</v>
      </c>
      <c r="Y187" s="28">
        <f>PRODUCTION!Z187+'SUPLIER INWARD'!Z187</f>
        <v>0</v>
      </c>
      <c r="Z187" s="28">
        <v>738</v>
      </c>
      <c r="AA187" s="29">
        <v>0</v>
      </c>
      <c r="AB187" s="30">
        <f t="shared" si="198"/>
        <v>14</v>
      </c>
      <c r="AC187" s="28">
        <f>PRODUCTION!AD187+'SUPLIER INWARD'!AD187</f>
        <v>0</v>
      </c>
      <c r="AD187" s="28"/>
      <c r="AE187" s="29">
        <v>0</v>
      </c>
      <c r="AF187" s="30">
        <f t="shared" si="199"/>
        <v>14</v>
      </c>
      <c r="AG187" s="28">
        <f>PRODUCTION!AH187+'SUPLIER INWARD'!AH187</f>
        <v>0</v>
      </c>
      <c r="AH187" s="28"/>
      <c r="AI187" s="29">
        <v>0</v>
      </c>
      <c r="AJ187" s="30">
        <f t="shared" si="200"/>
        <v>14</v>
      </c>
      <c r="AK187" s="28">
        <f>PRODUCTION!AL187+'SUPLIER INWARD'!AL187</f>
        <v>665</v>
      </c>
      <c r="AL187" s="28">
        <f>37*18</f>
        <v>666</v>
      </c>
      <c r="AM187" s="29">
        <v>0</v>
      </c>
      <c r="AN187" s="30">
        <f t="shared" si="201"/>
        <v>13</v>
      </c>
      <c r="AO187" s="28">
        <f>PRODUCTION!AP187+'SUPLIER INWARD'!AP187</f>
        <v>320</v>
      </c>
      <c r="AP187" s="28"/>
      <c r="AQ187" s="29">
        <v>0</v>
      </c>
      <c r="AR187" s="30">
        <f t="shared" si="202"/>
        <v>333</v>
      </c>
      <c r="AS187" s="28">
        <f>PRODUCTION!AT187+'SUPLIER INWARD'!AT187</f>
        <v>0</v>
      </c>
      <c r="AT187" s="28">
        <v>270</v>
      </c>
      <c r="AU187" s="29">
        <v>0</v>
      </c>
      <c r="AV187" s="30">
        <f t="shared" si="203"/>
        <v>63</v>
      </c>
      <c r="AW187" s="28">
        <f>PRODUCTION!AX187+'SUPLIER INWARD'!AX187</f>
        <v>0</v>
      </c>
      <c r="AX187" s="28"/>
      <c r="AY187" s="29"/>
      <c r="AZ187" s="30">
        <f t="shared" si="204"/>
        <v>63</v>
      </c>
      <c r="BA187" s="28">
        <f>PRODUCTION!BB187+'SUPLIER INWARD'!BB187</f>
        <v>0</v>
      </c>
      <c r="BB187" s="28"/>
      <c r="BC187" s="29">
        <v>0</v>
      </c>
      <c r="BD187" s="30">
        <f t="shared" si="205"/>
        <v>63</v>
      </c>
      <c r="BE187" s="28">
        <f>PRODUCTION!BF187+'SUPLIER INWARD'!BF187</f>
        <v>0</v>
      </c>
      <c r="BF187" s="28"/>
      <c r="BG187" s="29">
        <v>0</v>
      </c>
      <c r="BH187" s="30">
        <f t="shared" si="206"/>
        <v>63</v>
      </c>
      <c r="BI187" s="28">
        <f>PRODUCTION!BJ187+'SUPLIER INWARD'!BJ187</f>
        <v>0</v>
      </c>
      <c r="BJ187" s="28"/>
      <c r="BK187" s="29">
        <v>0</v>
      </c>
      <c r="BL187" s="30">
        <f t="shared" si="207"/>
        <v>63</v>
      </c>
      <c r="BM187" s="28">
        <f>PRODUCTION!BN187+'SUPLIER INWARD'!BN187</f>
        <v>0</v>
      </c>
      <c r="BN187" s="28"/>
      <c r="BO187" s="29">
        <v>0</v>
      </c>
      <c r="BP187" s="30">
        <f t="shared" si="208"/>
        <v>63</v>
      </c>
      <c r="BQ187" s="28">
        <f>PRODUCTION!BR187+'SUPLIER INWARD'!BR187</f>
        <v>165</v>
      </c>
      <c r="BR187" s="28"/>
      <c r="BS187" s="29">
        <v>0</v>
      </c>
      <c r="BT187" s="30">
        <f t="shared" si="209"/>
        <v>228</v>
      </c>
      <c r="BU187" s="28">
        <f>PRODUCTION!BV187+'SUPLIER INWARD'!BV187</f>
        <v>1134</v>
      </c>
      <c r="BV187" s="151">
        <v>1350</v>
      </c>
      <c r="BW187" s="29">
        <v>0</v>
      </c>
      <c r="BX187" s="30">
        <f t="shared" si="176"/>
        <v>12</v>
      </c>
      <c r="BY187" s="28">
        <f>PRODUCTION!BZ187+'SUPLIER INWARD'!BZ187</f>
        <v>0</v>
      </c>
      <c r="BZ187" s="28"/>
      <c r="CA187" s="29">
        <v>0</v>
      </c>
      <c r="CB187" s="30">
        <f t="shared" si="210"/>
        <v>12</v>
      </c>
      <c r="CC187" s="28">
        <f>PRODUCTION!CD187+'SUPLIER INWARD'!CD187</f>
        <v>999</v>
      </c>
      <c r="CD187" s="28"/>
      <c r="CE187" s="29">
        <v>0</v>
      </c>
      <c r="CF187" s="30">
        <f t="shared" si="211"/>
        <v>1011</v>
      </c>
      <c r="CG187" s="28">
        <f>PRODUCTION!CH187+'SUPLIER INWARD'!CH187</f>
        <v>0</v>
      </c>
      <c r="CH187" s="28"/>
      <c r="CI187" s="29">
        <v>0</v>
      </c>
      <c r="CJ187" s="30">
        <f t="shared" si="179"/>
        <v>1011</v>
      </c>
      <c r="CK187" s="28">
        <f>PRODUCTION!CL187+'SUPLIER INWARD'!CL187</f>
        <v>0</v>
      </c>
      <c r="CL187" s="151"/>
      <c r="CM187" s="152"/>
      <c r="CN187" s="30">
        <f t="shared" si="180"/>
        <v>1011</v>
      </c>
      <c r="CO187" s="28">
        <f>PRODUCTION!CP187+'SUPLIER INWARD'!CP187</f>
        <v>0</v>
      </c>
      <c r="CP187" s="151"/>
      <c r="CQ187" s="29">
        <v>0</v>
      </c>
      <c r="CR187" s="30">
        <f t="shared" si="181"/>
        <v>1011</v>
      </c>
      <c r="CS187" s="28">
        <f>PRODUCTION!CT187+'SUPLIER INWARD'!CT187</f>
        <v>0</v>
      </c>
      <c r="CT187" s="28">
        <f>56*18</f>
        <v>1008</v>
      </c>
      <c r="CU187" s="29">
        <v>0</v>
      </c>
      <c r="CV187" s="30">
        <f t="shared" si="182"/>
        <v>3</v>
      </c>
      <c r="CW187" s="28">
        <f>PRODUCTION!CX187+'SUPLIER INWARD'!CX187</f>
        <v>0</v>
      </c>
      <c r="CX187" s="28"/>
      <c r="CY187" s="29">
        <v>0</v>
      </c>
      <c r="CZ187" s="30">
        <f t="shared" si="212"/>
        <v>3</v>
      </c>
      <c r="DA187" s="28">
        <f>PRODUCTION!DB187+'SUPLIER INWARD'!DB187</f>
        <v>0</v>
      </c>
      <c r="DB187" s="28"/>
      <c r="DC187" s="29"/>
      <c r="DD187" s="30">
        <f t="shared" si="213"/>
        <v>3</v>
      </c>
      <c r="DE187" s="28">
        <f>PRODUCTION!DF187+'SUPLIER INWARD'!DF187</f>
        <v>0</v>
      </c>
      <c r="DF187" s="28"/>
      <c r="DG187" s="29">
        <v>0</v>
      </c>
      <c r="DH187" s="30">
        <f t="shared" si="214"/>
        <v>3</v>
      </c>
      <c r="DI187" s="28">
        <f>PRODUCTION!DJ187+'SUPLIER INWARD'!DJ187</f>
        <v>0</v>
      </c>
      <c r="DJ187" s="28"/>
      <c r="DK187" s="29">
        <v>0</v>
      </c>
      <c r="DL187" s="30">
        <f t="shared" si="215"/>
        <v>3</v>
      </c>
      <c r="DM187" s="28">
        <f>PRODUCTION!DN187+'SUPLIER INWARD'!DN187</f>
        <v>147</v>
      </c>
      <c r="DN187" s="28"/>
      <c r="DO187" s="29"/>
      <c r="DP187" s="30">
        <f t="shared" si="216"/>
        <v>150</v>
      </c>
      <c r="DQ187" s="28">
        <f>PRODUCTION!DR187+'SUPLIER INWARD'!DR187</f>
        <v>0</v>
      </c>
      <c r="DR187" s="28"/>
      <c r="DS187" s="29"/>
      <c r="DT187" s="30">
        <f t="shared" si="217"/>
        <v>150</v>
      </c>
      <c r="DU187" s="28">
        <f>PRODUCTION!DV187+'SUPLIER INWARD'!DV187</f>
        <v>0</v>
      </c>
      <c r="DV187" s="28"/>
      <c r="DW187" s="29"/>
      <c r="DX187" s="30">
        <f t="shared" si="218"/>
        <v>150</v>
      </c>
      <c r="DY187" s="31">
        <f t="shared" si="221"/>
        <v>5406</v>
      </c>
      <c r="DZ187" s="141">
        <f t="shared" si="219"/>
        <v>5256</v>
      </c>
      <c r="EA187" s="4">
        <f t="shared" si="220"/>
        <v>0</v>
      </c>
      <c r="EB187" s="9">
        <f>D187*'MASTER SHEET'!D187</f>
        <v>0</v>
      </c>
      <c r="EC187" s="9">
        <f>H187*'MASTER SHEET'!D187</f>
        <v>0</v>
      </c>
      <c r="ED187" s="9">
        <f>L187*'MASTER SHEET'!D187</f>
        <v>8473.64</v>
      </c>
      <c r="EE187" s="9">
        <f>P187*'MASTER SHEET'!D187</f>
        <v>8473.64</v>
      </c>
      <c r="EF187" s="9">
        <f>T187*'MASTER SHEET'!D187</f>
        <v>181943.44</v>
      </c>
      <c r="EG187" s="9">
        <f>X187*'MASTER SHEET'!D187</f>
        <v>120229.75999999999</v>
      </c>
      <c r="EH187" s="9">
        <f>AB187*'MASTER SHEET'!D187</f>
        <v>2238.3199999999997</v>
      </c>
      <c r="EI187" s="9">
        <f>AF187*'MASTER SHEET'!D187</f>
        <v>2238.3199999999997</v>
      </c>
      <c r="EJ187" s="9">
        <f>AJ187*'MASTER SHEET'!D187</f>
        <v>2238.3199999999997</v>
      </c>
      <c r="EK187" s="9">
        <f>AN187*'MASTER SHEET'!D187</f>
        <v>2078.44</v>
      </c>
      <c r="EL187" s="9">
        <f>AR187*'MASTER SHEET'!D187</f>
        <v>53240.04</v>
      </c>
      <c r="EM187" s="9">
        <f>AV187*'MASTER SHEET'!D187</f>
        <v>10072.44</v>
      </c>
      <c r="EN187" s="9">
        <f>AZ187*'MASTER SHEET'!D187</f>
        <v>10072.44</v>
      </c>
      <c r="EO187" s="9">
        <f>BD187*'MASTER SHEET'!D187</f>
        <v>10072.44</v>
      </c>
      <c r="EP187" s="9">
        <f>$BH187*'MASTER SHEET'!$D187</f>
        <v>10072.44</v>
      </c>
      <c r="EQ187" s="9">
        <f>BL187*'MASTER SHEET'!D187</f>
        <v>10072.44</v>
      </c>
      <c r="ER187" s="9">
        <f>BP187*'MASTER SHEET'!D187</f>
        <v>10072.44</v>
      </c>
      <c r="ES187" s="9">
        <f>BT187*'MASTER SHEET'!D187</f>
        <v>36452.639999999999</v>
      </c>
      <c r="ET187" s="9">
        <f>BX187*'MASTER SHEET'!D187</f>
        <v>1918.56</v>
      </c>
      <c r="EU187" s="9">
        <f>CB187*'MASTER SHEET'!D187</f>
        <v>1918.56</v>
      </c>
      <c r="EV187" s="9">
        <f>CF187*'MASTER SHEET'!D187</f>
        <v>161638.68</v>
      </c>
      <c r="EW187" s="9">
        <f>CJ187*'MASTER SHEET'!D187</f>
        <v>161638.68</v>
      </c>
      <c r="EX187" s="9">
        <f>CN187*'MASTER SHEET'!D187</f>
        <v>161638.68</v>
      </c>
      <c r="EY187" s="9">
        <f>CR187*'MASTER SHEET'!D187</f>
        <v>161638.68</v>
      </c>
      <c r="EZ187" s="9">
        <f>$CV187*'MASTER SHEET'!D187</f>
        <v>479.64</v>
      </c>
      <c r="FA187" s="9">
        <f>CZ187*'MASTER SHEET'!D187</f>
        <v>479.64</v>
      </c>
      <c r="FB187" s="9">
        <f>DD187*'MASTER SHEET'!D187</f>
        <v>479.64</v>
      </c>
      <c r="FC187" s="9">
        <f>DH187*'MASTER SHEET'!D187</f>
        <v>479.64</v>
      </c>
      <c r="FD187" s="9">
        <f>DL187*'MASTER SHEET'!D187</f>
        <v>479.64</v>
      </c>
      <c r="FE187" s="9">
        <f>DP187*'MASTER SHEET'!D187</f>
        <v>23982</v>
      </c>
      <c r="FF187" s="9">
        <f>DT187*'MASTER SHEET'!D187</f>
        <v>23982</v>
      </c>
      <c r="FG187" s="9">
        <f>+DX187*'MASTER SHEET'!D187</f>
        <v>23982</v>
      </c>
    </row>
    <row r="188" spans="1:163" ht="20.25" customHeight="1" x14ac:dyDescent="0.25">
      <c r="A188" s="25">
        <f>'MASTER SHEET'!A188</f>
        <v>186</v>
      </c>
      <c r="B188" s="26" t="str">
        <f>'MASTER SHEET'!B188</f>
        <v>PREMIER SEALS</v>
      </c>
      <c r="C188" s="78">
        <f>'MASTER SHEET'!C188</f>
        <v>5024440</v>
      </c>
      <c r="D188" s="159">
        <v>12</v>
      </c>
      <c r="E188" s="28">
        <f>PRODUCTION!F188+'SUPLIER INWARD'!F188</f>
        <v>0</v>
      </c>
      <c r="F188" s="28"/>
      <c r="G188" s="29">
        <v>0</v>
      </c>
      <c r="H188" s="30">
        <f t="shared" si="193"/>
        <v>12</v>
      </c>
      <c r="I188" s="28">
        <f>PRODUCTION!J188+'SUPLIER INWARD'!J188</f>
        <v>0</v>
      </c>
      <c r="J188" s="28"/>
      <c r="K188" s="29">
        <v>0</v>
      </c>
      <c r="L188" s="30">
        <f t="shared" si="194"/>
        <v>12</v>
      </c>
      <c r="M188" s="28">
        <f>PRODUCTION!N188+'SUPLIER INWARD'!N188</f>
        <v>0</v>
      </c>
      <c r="N188" s="28"/>
      <c r="O188" s="29"/>
      <c r="P188" s="30">
        <f t="shared" si="195"/>
        <v>12</v>
      </c>
      <c r="Q188" s="28">
        <f>PRODUCTION!R188+'SUPLIER INWARD'!R188</f>
        <v>0</v>
      </c>
      <c r="R188" s="28"/>
      <c r="S188" s="29">
        <v>0</v>
      </c>
      <c r="T188" s="30">
        <f t="shared" si="196"/>
        <v>12</v>
      </c>
      <c r="U188" s="28">
        <f>PRODUCTION!V188+'SUPLIER INWARD'!V188</f>
        <v>0</v>
      </c>
      <c r="V188" s="28"/>
      <c r="W188" s="29">
        <v>0</v>
      </c>
      <c r="X188" s="30">
        <f t="shared" si="197"/>
        <v>12</v>
      </c>
      <c r="Y188" s="28">
        <f>PRODUCTION!Z188+'SUPLIER INWARD'!Z188</f>
        <v>0</v>
      </c>
      <c r="Z188" s="28"/>
      <c r="AA188" s="29">
        <v>0</v>
      </c>
      <c r="AB188" s="30">
        <f t="shared" si="198"/>
        <v>12</v>
      </c>
      <c r="AC188" s="28">
        <f>PRODUCTION!AD188+'SUPLIER INWARD'!AD188</f>
        <v>0</v>
      </c>
      <c r="AD188" s="28"/>
      <c r="AE188" s="29">
        <v>0</v>
      </c>
      <c r="AF188" s="30">
        <f t="shared" si="199"/>
        <v>12</v>
      </c>
      <c r="AG188" s="28">
        <f>PRODUCTION!AH188+'SUPLIER INWARD'!AH188</f>
        <v>0</v>
      </c>
      <c r="AH188" s="28"/>
      <c r="AI188" s="29">
        <v>0</v>
      </c>
      <c r="AJ188" s="30">
        <f t="shared" si="200"/>
        <v>12</v>
      </c>
      <c r="AK188" s="28">
        <f>PRODUCTION!AL188+'SUPLIER INWARD'!AL188</f>
        <v>0</v>
      </c>
      <c r="AL188" s="28"/>
      <c r="AM188" s="29">
        <v>0</v>
      </c>
      <c r="AN188" s="30">
        <f t="shared" si="201"/>
        <v>12</v>
      </c>
      <c r="AO188" s="28">
        <f>PRODUCTION!AP188+'SUPLIER INWARD'!AP188</f>
        <v>0</v>
      </c>
      <c r="AP188" s="28"/>
      <c r="AQ188" s="29">
        <v>0</v>
      </c>
      <c r="AR188" s="30">
        <f t="shared" si="202"/>
        <v>12</v>
      </c>
      <c r="AS188" s="28">
        <f>PRODUCTION!AT188+'SUPLIER INWARD'!AT188</f>
        <v>0</v>
      </c>
      <c r="AT188" s="28"/>
      <c r="AU188" s="29">
        <v>0</v>
      </c>
      <c r="AV188" s="30">
        <f t="shared" si="203"/>
        <v>12</v>
      </c>
      <c r="AW188" s="28">
        <f>PRODUCTION!AX188+'SUPLIER INWARD'!AX188</f>
        <v>0</v>
      </c>
      <c r="AX188" s="28"/>
      <c r="AY188" s="29"/>
      <c r="AZ188" s="30">
        <f t="shared" si="204"/>
        <v>12</v>
      </c>
      <c r="BA188" s="28">
        <f>PRODUCTION!BB188+'SUPLIER INWARD'!BB188</f>
        <v>0</v>
      </c>
      <c r="BB188" s="28"/>
      <c r="BC188" s="29">
        <v>0</v>
      </c>
      <c r="BD188" s="30">
        <f t="shared" si="205"/>
        <v>12</v>
      </c>
      <c r="BE188" s="28">
        <f>PRODUCTION!BF188+'SUPLIER INWARD'!BF188</f>
        <v>0</v>
      </c>
      <c r="BF188" s="28"/>
      <c r="BG188" s="29">
        <v>0</v>
      </c>
      <c r="BH188" s="30">
        <f t="shared" si="206"/>
        <v>12</v>
      </c>
      <c r="BI188" s="28">
        <f>PRODUCTION!BJ188+'SUPLIER INWARD'!BJ188</f>
        <v>0</v>
      </c>
      <c r="BJ188" s="28"/>
      <c r="BK188" s="29">
        <v>0</v>
      </c>
      <c r="BL188" s="30">
        <f t="shared" si="207"/>
        <v>12</v>
      </c>
      <c r="BM188" s="28">
        <f>PRODUCTION!BN188+'SUPLIER INWARD'!BN188</f>
        <v>0</v>
      </c>
      <c r="BN188" s="28"/>
      <c r="BO188" s="29">
        <v>0</v>
      </c>
      <c r="BP188" s="30">
        <f t="shared" si="208"/>
        <v>12</v>
      </c>
      <c r="BQ188" s="28">
        <f>PRODUCTION!BR188+'SUPLIER INWARD'!BR188</f>
        <v>0</v>
      </c>
      <c r="BR188" s="28"/>
      <c r="BS188" s="29">
        <v>0</v>
      </c>
      <c r="BT188" s="30">
        <f t="shared" si="209"/>
        <v>12</v>
      </c>
      <c r="BU188" s="28">
        <f>PRODUCTION!BV188+'SUPLIER INWARD'!BV188</f>
        <v>0</v>
      </c>
      <c r="BV188" s="28"/>
      <c r="BW188" s="29">
        <v>0</v>
      </c>
      <c r="BX188" s="30">
        <f t="shared" si="176"/>
        <v>12</v>
      </c>
      <c r="BY188" s="28">
        <f>PRODUCTION!BZ188+'SUPLIER INWARD'!BZ188</f>
        <v>0</v>
      </c>
      <c r="BZ188" s="28"/>
      <c r="CA188" s="29">
        <v>0</v>
      </c>
      <c r="CB188" s="30">
        <f t="shared" si="210"/>
        <v>12</v>
      </c>
      <c r="CC188" s="28">
        <f>PRODUCTION!CD188+'SUPLIER INWARD'!CD188</f>
        <v>0</v>
      </c>
      <c r="CD188" s="28"/>
      <c r="CE188" s="29">
        <v>0</v>
      </c>
      <c r="CF188" s="30">
        <f t="shared" si="211"/>
        <v>12</v>
      </c>
      <c r="CG188" s="28">
        <f>PRODUCTION!CH188+'SUPLIER INWARD'!CH188</f>
        <v>0</v>
      </c>
      <c r="CH188" s="28"/>
      <c r="CI188" s="29">
        <v>0</v>
      </c>
      <c r="CJ188" s="30">
        <f t="shared" si="179"/>
        <v>12</v>
      </c>
      <c r="CK188" s="28">
        <f>PRODUCTION!CL188+'SUPLIER INWARD'!CL188</f>
        <v>0</v>
      </c>
      <c r="CL188" s="151"/>
      <c r="CM188" s="152"/>
      <c r="CN188" s="30">
        <f t="shared" si="180"/>
        <v>12</v>
      </c>
      <c r="CO188" s="28">
        <f>PRODUCTION!CP188+'SUPLIER INWARD'!CP188</f>
        <v>0</v>
      </c>
      <c r="CP188" s="151"/>
      <c r="CQ188" s="29">
        <v>0</v>
      </c>
      <c r="CR188" s="30">
        <f t="shared" si="181"/>
        <v>12</v>
      </c>
      <c r="CS188" s="28">
        <f>PRODUCTION!CT188+'SUPLIER INWARD'!CT188</f>
        <v>0</v>
      </c>
      <c r="CT188" s="28"/>
      <c r="CU188" s="29">
        <v>0</v>
      </c>
      <c r="CV188" s="30">
        <f t="shared" si="182"/>
        <v>12</v>
      </c>
      <c r="CW188" s="28">
        <f>PRODUCTION!CX188+'SUPLIER INWARD'!CX188</f>
        <v>0</v>
      </c>
      <c r="CX188" s="28"/>
      <c r="CY188" s="29">
        <v>0</v>
      </c>
      <c r="CZ188" s="30">
        <f t="shared" si="212"/>
        <v>12</v>
      </c>
      <c r="DA188" s="28">
        <f>PRODUCTION!DB188+'SUPLIER INWARD'!DB188</f>
        <v>0</v>
      </c>
      <c r="DB188" s="28"/>
      <c r="DC188" s="29"/>
      <c r="DD188" s="30">
        <f t="shared" si="213"/>
        <v>12</v>
      </c>
      <c r="DE188" s="28">
        <f>PRODUCTION!DF188+'SUPLIER INWARD'!DF188</f>
        <v>0</v>
      </c>
      <c r="DF188" s="28"/>
      <c r="DG188" s="29">
        <v>0</v>
      </c>
      <c r="DH188" s="30">
        <f t="shared" si="214"/>
        <v>12</v>
      </c>
      <c r="DI188" s="28">
        <f>PRODUCTION!DJ188+'SUPLIER INWARD'!DJ188</f>
        <v>0</v>
      </c>
      <c r="DJ188" s="28"/>
      <c r="DK188" s="29">
        <v>0</v>
      </c>
      <c r="DL188" s="30">
        <f t="shared" si="215"/>
        <v>12</v>
      </c>
      <c r="DM188" s="28">
        <f>PRODUCTION!DN188+'SUPLIER INWARD'!DN188</f>
        <v>0</v>
      </c>
      <c r="DN188" s="28"/>
      <c r="DO188" s="29"/>
      <c r="DP188" s="30">
        <f t="shared" si="216"/>
        <v>12</v>
      </c>
      <c r="DQ188" s="28">
        <f>PRODUCTION!DR188+'SUPLIER INWARD'!DR188</f>
        <v>0</v>
      </c>
      <c r="DR188" s="28"/>
      <c r="DS188" s="29"/>
      <c r="DT188" s="30">
        <f t="shared" si="217"/>
        <v>12</v>
      </c>
      <c r="DU188" s="28">
        <f>PRODUCTION!DV188+'SUPLIER INWARD'!DV188</f>
        <v>0</v>
      </c>
      <c r="DV188" s="28"/>
      <c r="DW188" s="29"/>
      <c r="DX188" s="30">
        <f t="shared" si="218"/>
        <v>12</v>
      </c>
      <c r="DY188" s="31">
        <f t="shared" si="221"/>
        <v>0</v>
      </c>
      <c r="DZ188" s="141">
        <f t="shared" si="219"/>
        <v>0</v>
      </c>
      <c r="EA188" s="4">
        <f t="shared" si="220"/>
        <v>0</v>
      </c>
      <c r="EB188" s="9">
        <f>D188*'MASTER SHEET'!D188</f>
        <v>998.52</v>
      </c>
      <c r="EC188" s="9">
        <f>H188*'MASTER SHEET'!D188</f>
        <v>998.52</v>
      </c>
      <c r="ED188" s="9">
        <f>L188*'MASTER SHEET'!D188</f>
        <v>998.52</v>
      </c>
      <c r="EE188" s="9">
        <f>P188*'MASTER SHEET'!D188</f>
        <v>998.52</v>
      </c>
      <c r="EF188" s="9">
        <f>T188*'MASTER SHEET'!D188</f>
        <v>998.52</v>
      </c>
      <c r="EG188" s="9">
        <f>X188*'MASTER SHEET'!D188</f>
        <v>998.52</v>
      </c>
      <c r="EH188" s="9">
        <f>AB188*'MASTER SHEET'!D188</f>
        <v>998.52</v>
      </c>
      <c r="EI188" s="9">
        <f>AF188*'MASTER SHEET'!D188</f>
        <v>998.52</v>
      </c>
      <c r="EJ188" s="9">
        <f>AJ188*'MASTER SHEET'!D188</f>
        <v>998.52</v>
      </c>
      <c r="EK188" s="9">
        <f>AN188*'MASTER SHEET'!D188</f>
        <v>998.52</v>
      </c>
      <c r="EL188" s="9">
        <f>AR188*'MASTER SHEET'!D188</f>
        <v>998.52</v>
      </c>
      <c r="EM188" s="9">
        <f>AV188*'MASTER SHEET'!D188</f>
        <v>998.52</v>
      </c>
      <c r="EN188" s="9">
        <f>AZ188*'MASTER SHEET'!D188</f>
        <v>998.52</v>
      </c>
      <c r="EO188" s="9">
        <f>BD188*'MASTER SHEET'!D188</f>
        <v>998.52</v>
      </c>
      <c r="EP188" s="9">
        <f>$BH188*'MASTER SHEET'!$D188</f>
        <v>998.52</v>
      </c>
      <c r="EQ188" s="9">
        <f>BL188*'MASTER SHEET'!D188</f>
        <v>998.52</v>
      </c>
      <c r="ER188" s="9">
        <f>BP188*'MASTER SHEET'!D188</f>
        <v>998.52</v>
      </c>
      <c r="ES188" s="9">
        <f>BT188*'MASTER SHEET'!D188</f>
        <v>998.52</v>
      </c>
      <c r="ET188" s="9">
        <f>BX188*'MASTER SHEET'!D188</f>
        <v>998.52</v>
      </c>
      <c r="EU188" s="9">
        <f>CB188*'MASTER SHEET'!D188</f>
        <v>998.52</v>
      </c>
      <c r="EV188" s="9">
        <f>CF188*'MASTER SHEET'!D188</f>
        <v>998.52</v>
      </c>
      <c r="EW188" s="9">
        <f>CJ188*'MASTER SHEET'!D188</f>
        <v>998.52</v>
      </c>
      <c r="EX188" s="9">
        <f>CN188*'MASTER SHEET'!D188</f>
        <v>998.52</v>
      </c>
      <c r="EY188" s="9">
        <f>CR188*'MASTER SHEET'!D188</f>
        <v>998.52</v>
      </c>
      <c r="EZ188" s="9">
        <f>$CV188*'MASTER SHEET'!D188</f>
        <v>998.52</v>
      </c>
      <c r="FA188" s="9">
        <f>CZ188*'MASTER SHEET'!D188</f>
        <v>998.52</v>
      </c>
      <c r="FB188" s="9">
        <f>DD188*'MASTER SHEET'!D188</f>
        <v>998.52</v>
      </c>
      <c r="FC188" s="9">
        <f>DH188*'MASTER SHEET'!D188</f>
        <v>998.52</v>
      </c>
      <c r="FD188" s="9">
        <f>DL188*'MASTER SHEET'!D188</f>
        <v>998.52</v>
      </c>
      <c r="FE188" s="9">
        <f>DP188*'MASTER SHEET'!D188</f>
        <v>998.52</v>
      </c>
      <c r="FF188" s="9">
        <f>DT188*'MASTER SHEET'!D188</f>
        <v>998.52</v>
      </c>
      <c r="FG188" s="9">
        <f>+DX188*'MASTER SHEET'!D188</f>
        <v>998.52</v>
      </c>
    </row>
    <row r="189" spans="1:163" ht="20.25" customHeight="1" x14ac:dyDescent="0.25">
      <c r="A189" s="25">
        <f>'MASTER SHEET'!A189</f>
        <v>187</v>
      </c>
      <c r="B189" s="26">
        <f>'MASTER SHEET'!B189</f>
        <v>0</v>
      </c>
      <c r="C189" s="78">
        <f>'MASTER SHEET'!C189</f>
        <v>5038799</v>
      </c>
      <c r="D189" s="159">
        <v>0</v>
      </c>
      <c r="E189" s="28">
        <f>PRODUCTION!F189+'SUPLIER INWARD'!F189</f>
        <v>0</v>
      </c>
      <c r="F189" s="28"/>
      <c r="G189" s="29">
        <v>0</v>
      </c>
      <c r="H189" s="30">
        <f t="shared" si="193"/>
        <v>0</v>
      </c>
      <c r="I189" s="28">
        <f>PRODUCTION!J189+'SUPLIER INWARD'!J189</f>
        <v>0</v>
      </c>
      <c r="J189" s="28"/>
      <c r="K189" s="29">
        <v>0</v>
      </c>
      <c r="L189" s="30">
        <f t="shared" si="194"/>
        <v>0</v>
      </c>
      <c r="M189" s="28">
        <f>PRODUCTION!N189+'SUPLIER INWARD'!N189</f>
        <v>0</v>
      </c>
      <c r="N189" s="28"/>
      <c r="O189" s="29"/>
      <c r="P189" s="30">
        <f t="shared" si="195"/>
        <v>0</v>
      </c>
      <c r="Q189" s="28">
        <f>PRODUCTION!R189+'SUPLIER INWARD'!R189</f>
        <v>0</v>
      </c>
      <c r="R189" s="28"/>
      <c r="S189" s="29">
        <v>0</v>
      </c>
      <c r="T189" s="30">
        <f t="shared" si="196"/>
        <v>0</v>
      </c>
      <c r="U189" s="28">
        <f>PRODUCTION!V189+'SUPLIER INWARD'!V189</f>
        <v>0</v>
      </c>
      <c r="V189" s="28"/>
      <c r="W189" s="29">
        <v>0</v>
      </c>
      <c r="X189" s="30">
        <f t="shared" si="197"/>
        <v>0</v>
      </c>
      <c r="Y189" s="28">
        <f>PRODUCTION!Z189+'SUPLIER INWARD'!Z189</f>
        <v>0</v>
      </c>
      <c r="Z189" s="28"/>
      <c r="AA189" s="29">
        <v>0</v>
      </c>
      <c r="AB189" s="30">
        <f t="shared" si="198"/>
        <v>0</v>
      </c>
      <c r="AC189" s="28">
        <f>PRODUCTION!AD189+'SUPLIER INWARD'!AD189</f>
        <v>0</v>
      </c>
      <c r="AD189" s="28"/>
      <c r="AE189" s="29">
        <v>0</v>
      </c>
      <c r="AF189" s="30">
        <f t="shared" si="199"/>
        <v>0</v>
      </c>
      <c r="AG189" s="28">
        <f>PRODUCTION!AH189+'SUPLIER INWARD'!AH189</f>
        <v>0</v>
      </c>
      <c r="AH189" s="28"/>
      <c r="AI189" s="29">
        <v>0</v>
      </c>
      <c r="AJ189" s="30">
        <f t="shared" si="200"/>
        <v>0</v>
      </c>
      <c r="AK189" s="28">
        <f>PRODUCTION!AL189+'SUPLIER INWARD'!AL189</f>
        <v>0</v>
      </c>
      <c r="AL189" s="28"/>
      <c r="AM189" s="29">
        <v>0</v>
      </c>
      <c r="AN189" s="30">
        <f t="shared" si="201"/>
        <v>0</v>
      </c>
      <c r="AO189" s="28">
        <f>PRODUCTION!AP189+'SUPLIER INWARD'!AP189</f>
        <v>0</v>
      </c>
      <c r="AP189" s="28"/>
      <c r="AQ189" s="29">
        <v>0</v>
      </c>
      <c r="AR189" s="30">
        <f t="shared" si="202"/>
        <v>0</v>
      </c>
      <c r="AS189" s="28">
        <f>PRODUCTION!AT189+'SUPLIER INWARD'!AT189</f>
        <v>0</v>
      </c>
      <c r="AT189" s="28"/>
      <c r="AU189" s="29">
        <v>0</v>
      </c>
      <c r="AV189" s="30">
        <f t="shared" si="203"/>
        <v>0</v>
      </c>
      <c r="AW189" s="28">
        <f>PRODUCTION!AX189+'SUPLIER INWARD'!AX189</f>
        <v>0</v>
      </c>
      <c r="AX189" s="28"/>
      <c r="AY189" s="29"/>
      <c r="AZ189" s="30">
        <f t="shared" si="204"/>
        <v>0</v>
      </c>
      <c r="BA189" s="28">
        <f>PRODUCTION!BB189+'SUPLIER INWARD'!BB189</f>
        <v>0</v>
      </c>
      <c r="BB189" s="28"/>
      <c r="BC189" s="29">
        <v>0</v>
      </c>
      <c r="BD189" s="30">
        <f t="shared" si="205"/>
        <v>0</v>
      </c>
      <c r="BE189" s="28">
        <f>PRODUCTION!BF189+'SUPLIER INWARD'!BF189</f>
        <v>0</v>
      </c>
      <c r="BF189" s="28"/>
      <c r="BG189" s="29">
        <v>0</v>
      </c>
      <c r="BH189" s="30">
        <f t="shared" si="206"/>
        <v>0</v>
      </c>
      <c r="BI189" s="28">
        <f>PRODUCTION!BJ189+'SUPLIER INWARD'!BJ189</f>
        <v>0</v>
      </c>
      <c r="BJ189" s="28"/>
      <c r="BK189" s="29">
        <v>0</v>
      </c>
      <c r="BL189" s="30">
        <f t="shared" si="207"/>
        <v>0</v>
      </c>
      <c r="BM189" s="28">
        <f>PRODUCTION!BN189+'SUPLIER INWARD'!BN189</f>
        <v>0</v>
      </c>
      <c r="BN189" s="28"/>
      <c r="BO189" s="29">
        <v>0</v>
      </c>
      <c r="BP189" s="30">
        <f t="shared" si="208"/>
        <v>0</v>
      </c>
      <c r="BQ189" s="28">
        <f>PRODUCTION!BR189+'SUPLIER INWARD'!BR189</f>
        <v>0</v>
      </c>
      <c r="BR189" s="28"/>
      <c r="BS189" s="29">
        <v>0</v>
      </c>
      <c r="BT189" s="30">
        <f t="shared" si="209"/>
        <v>0</v>
      </c>
      <c r="BU189" s="28">
        <f>PRODUCTION!BV189+'SUPLIER INWARD'!BV189</f>
        <v>0</v>
      </c>
      <c r="BV189" s="28"/>
      <c r="BW189" s="29">
        <v>0</v>
      </c>
      <c r="BX189" s="30">
        <f t="shared" si="176"/>
        <v>0</v>
      </c>
      <c r="BY189" s="28">
        <f>PRODUCTION!BZ189+'SUPLIER INWARD'!BZ189</f>
        <v>0</v>
      </c>
      <c r="BZ189" s="28"/>
      <c r="CA189" s="29">
        <v>0</v>
      </c>
      <c r="CB189" s="30">
        <f t="shared" si="210"/>
        <v>0</v>
      </c>
      <c r="CC189" s="28">
        <f>PRODUCTION!CD189+'SUPLIER INWARD'!CD189</f>
        <v>0</v>
      </c>
      <c r="CD189" s="28"/>
      <c r="CE189" s="29">
        <v>0</v>
      </c>
      <c r="CF189" s="30">
        <f t="shared" si="211"/>
        <v>0</v>
      </c>
      <c r="CG189" s="28">
        <f>PRODUCTION!CH189+'SUPLIER INWARD'!CH189</f>
        <v>0</v>
      </c>
      <c r="CH189" s="28"/>
      <c r="CI189" s="29">
        <v>0</v>
      </c>
      <c r="CJ189" s="30">
        <f t="shared" si="179"/>
        <v>0</v>
      </c>
      <c r="CK189" s="28">
        <f>PRODUCTION!CL189+'SUPLIER INWARD'!CL189</f>
        <v>0</v>
      </c>
      <c r="CL189" s="151"/>
      <c r="CM189" s="152"/>
      <c r="CN189" s="30">
        <f t="shared" si="180"/>
        <v>0</v>
      </c>
      <c r="CO189" s="28">
        <f>PRODUCTION!CP189+'SUPLIER INWARD'!CP189</f>
        <v>0</v>
      </c>
      <c r="CP189" s="151"/>
      <c r="CQ189" s="29">
        <v>0</v>
      </c>
      <c r="CR189" s="30">
        <f t="shared" si="181"/>
        <v>0</v>
      </c>
      <c r="CS189" s="28">
        <f>PRODUCTION!CT189+'SUPLIER INWARD'!CT189</f>
        <v>0</v>
      </c>
      <c r="CT189" s="28"/>
      <c r="CU189" s="29">
        <v>0</v>
      </c>
      <c r="CV189" s="30">
        <f t="shared" si="182"/>
        <v>0</v>
      </c>
      <c r="CW189" s="28">
        <f>PRODUCTION!CX189+'SUPLIER INWARD'!CX189</f>
        <v>0</v>
      </c>
      <c r="CX189" s="28"/>
      <c r="CY189" s="29">
        <v>0</v>
      </c>
      <c r="CZ189" s="30">
        <f t="shared" si="212"/>
        <v>0</v>
      </c>
      <c r="DA189" s="28">
        <f>PRODUCTION!DB189+'SUPLIER INWARD'!DB189</f>
        <v>0</v>
      </c>
      <c r="DB189" s="28"/>
      <c r="DC189" s="29"/>
      <c r="DD189" s="30">
        <f t="shared" si="213"/>
        <v>0</v>
      </c>
      <c r="DE189" s="28">
        <f>PRODUCTION!DF189+'SUPLIER INWARD'!DF189</f>
        <v>0</v>
      </c>
      <c r="DF189" s="28"/>
      <c r="DG189" s="29">
        <v>0</v>
      </c>
      <c r="DH189" s="30">
        <f t="shared" si="214"/>
        <v>0</v>
      </c>
      <c r="DI189" s="28">
        <f>PRODUCTION!DJ189+'SUPLIER INWARD'!DJ189</f>
        <v>0</v>
      </c>
      <c r="DJ189" s="28"/>
      <c r="DK189" s="29">
        <v>0</v>
      </c>
      <c r="DL189" s="30">
        <f t="shared" si="215"/>
        <v>0</v>
      </c>
      <c r="DM189" s="28">
        <f>PRODUCTION!DN189+'SUPLIER INWARD'!DN189</f>
        <v>0</v>
      </c>
      <c r="DN189" s="28"/>
      <c r="DO189" s="29"/>
      <c r="DP189" s="30">
        <f t="shared" si="216"/>
        <v>0</v>
      </c>
      <c r="DQ189" s="28">
        <f>PRODUCTION!DR189+'SUPLIER INWARD'!DR189</f>
        <v>0</v>
      </c>
      <c r="DR189" s="28"/>
      <c r="DS189" s="29"/>
      <c r="DT189" s="30">
        <f t="shared" si="217"/>
        <v>0</v>
      </c>
      <c r="DU189" s="28">
        <f>PRODUCTION!DV189+'SUPLIER INWARD'!DV189</f>
        <v>0</v>
      </c>
      <c r="DV189" s="28"/>
      <c r="DW189" s="29"/>
      <c r="DX189" s="30">
        <f t="shared" si="218"/>
        <v>0</v>
      </c>
      <c r="DY189" s="31">
        <f t="shared" si="221"/>
        <v>0</v>
      </c>
      <c r="DZ189" s="141">
        <f t="shared" si="219"/>
        <v>0</v>
      </c>
      <c r="EA189" s="4">
        <f t="shared" si="220"/>
        <v>0</v>
      </c>
      <c r="EB189" s="9">
        <f>D189*'MASTER SHEET'!D189</f>
        <v>0</v>
      </c>
      <c r="EC189" s="9">
        <f>H189*'MASTER SHEET'!D189</f>
        <v>0</v>
      </c>
      <c r="ED189" s="9">
        <f>L189*'MASTER SHEET'!D189</f>
        <v>0</v>
      </c>
      <c r="EE189" s="9">
        <f>P189*'MASTER SHEET'!D189</f>
        <v>0</v>
      </c>
      <c r="EF189" s="9">
        <f>T189*'MASTER SHEET'!D189</f>
        <v>0</v>
      </c>
      <c r="EG189" s="9">
        <f>X189*'MASTER SHEET'!D189</f>
        <v>0</v>
      </c>
      <c r="EH189" s="9">
        <f>AB189*'MASTER SHEET'!D189</f>
        <v>0</v>
      </c>
      <c r="EI189" s="9">
        <f>AF189*'MASTER SHEET'!D189</f>
        <v>0</v>
      </c>
      <c r="EJ189" s="9">
        <f>AJ189*'MASTER SHEET'!D189</f>
        <v>0</v>
      </c>
      <c r="EK189" s="9">
        <f>AN189*'MASTER SHEET'!D189</f>
        <v>0</v>
      </c>
      <c r="EL189" s="9">
        <f>AR189*'MASTER SHEET'!D189</f>
        <v>0</v>
      </c>
      <c r="EM189" s="9">
        <f>AV189*'MASTER SHEET'!D189</f>
        <v>0</v>
      </c>
      <c r="EN189" s="9">
        <f>AZ189*'MASTER SHEET'!D189</f>
        <v>0</v>
      </c>
      <c r="EO189" s="9">
        <f>BD189*'MASTER SHEET'!D189</f>
        <v>0</v>
      </c>
      <c r="EP189" s="9">
        <f>$BH189*'MASTER SHEET'!$D189</f>
        <v>0</v>
      </c>
      <c r="EQ189" s="9">
        <f>BL189*'MASTER SHEET'!D189</f>
        <v>0</v>
      </c>
      <c r="ER189" s="9">
        <f>BP189*'MASTER SHEET'!D189</f>
        <v>0</v>
      </c>
      <c r="ES189" s="9">
        <f>BT189*'MASTER SHEET'!D189</f>
        <v>0</v>
      </c>
      <c r="ET189" s="9">
        <f>BX189*'MASTER SHEET'!D189</f>
        <v>0</v>
      </c>
      <c r="EU189" s="9">
        <f>CB189*'MASTER SHEET'!D189</f>
        <v>0</v>
      </c>
      <c r="EV189" s="9">
        <f>CF189*'MASTER SHEET'!D189</f>
        <v>0</v>
      </c>
      <c r="EW189" s="9">
        <f>CJ189*'MASTER SHEET'!D189</f>
        <v>0</v>
      </c>
      <c r="EX189" s="9">
        <f>CN189*'MASTER SHEET'!D189</f>
        <v>0</v>
      </c>
      <c r="EY189" s="9">
        <f>CR189*'MASTER SHEET'!D189</f>
        <v>0</v>
      </c>
      <c r="EZ189" s="9">
        <f>$CV189*'MASTER SHEET'!D189</f>
        <v>0</v>
      </c>
      <c r="FA189" s="9">
        <f>CZ189*'MASTER SHEET'!D189</f>
        <v>0</v>
      </c>
      <c r="FB189" s="9">
        <f>DD189*'MASTER SHEET'!D189</f>
        <v>0</v>
      </c>
      <c r="FC189" s="9">
        <f>DH189*'MASTER SHEET'!D189</f>
        <v>0</v>
      </c>
      <c r="FD189" s="9">
        <f>DL189*'MASTER SHEET'!D189</f>
        <v>0</v>
      </c>
      <c r="FE189" s="9">
        <f>DP189*'MASTER SHEET'!D189</f>
        <v>0</v>
      </c>
      <c r="FF189" s="9">
        <f>DT189*'MASTER SHEET'!D189</f>
        <v>0</v>
      </c>
      <c r="FG189" s="9">
        <f>+DX189*'MASTER SHEET'!D189</f>
        <v>0</v>
      </c>
    </row>
    <row r="190" spans="1:163" ht="20.25" customHeight="1" x14ac:dyDescent="0.25">
      <c r="A190" s="25">
        <f>'MASTER SHEET'!A190</f>
        <v>188</v>
      </c>
      <c r="B190" s="26" t="str">
        <f>'MASTER SHEET'!B190</f>
        <v>COVER PLASTIC</v>
      </c>
      <c r="C190" s="78">
        <f>'MASTER SHEET'!C190</f>
        <v>5013929</v>
      </c>
      <c r="D190" s="159">
        <v>0</v>
      </c>
      <c r="E190" s="28">
        <f>PRODUCTION!F190+'SUPLIER INWARD'!F190</f>
        <v>0</v>
      </c>
      <c r="F190" s="28"/>
      <c r="G190" s="29">
        <v>0</v>
      </c>
      <c r="H190" s="30">
        <f t="shared" si="193"/>
        <v>0</v>
      </c>
      <c r="I190" s="28">
        <f>PRODUCTION!J190+'SUPLIER INWARD'!J190</f>
        <v>0</v>
      </c>
      <c r="J190" s="28"/>
      <c r="K190" s="29">
        <v>0</v>
      </c>
      <c r="L190" s="30">
        <f t="shared" si="194"/>
        <v>0</v>
      </c>
      <c r="M190" s="28">
        <f>PRODUCTION!N190+'SUPLIER INWARD'!N190</f>
        <v>0</v>
      </c>
      <c r="N190" s="28"/>
      <c r="O190" s="29"/>
      <c r="P190" s="30">
        <f t="shared" si="195"/>
        <v>0</v>
      </c>
      <c r="Q190" s="28">
        <f>PRODUCTION!R190+'SUPLIER INWARD'!R190</f>
        <v>0</v>
      </c>
      <c r="R190" s="28"/>
      <c r="S190" s="29">
        <v>0</v>
      </c>
      <c r="T190" s="30">
        <f t="shared" si="196"/>
        <v>0</v>
      </c>
      <c r="U190" s="28">
        <f>PRODUCTION!V190+'SUPLIER INWARD'!V190</f>
        <v>0</v>
      </c>
      <c r="V190" s="28"/>
      <c r="W190" s="29">
        <v>0</v>
      </c>
      <c r="X190" s="30">
        <f t="shared" si="197"/>
        <v>0</v>
      </c>
      <c r="Y190" s="28">
        <f>PRODUCTION!Z190+'SUPLIER INWARD'!Z190</f>
        <v>0</v>
      </c>
      <c r="Z190" s="28"/>
      <c r="AA190" s="29">
        <v>0</v>
      </c>
      <c r="AB190" s="30">
        <f t="shared" si="198"/>
        <v>0</v>
      </c>
      <c r="AC190" s="28">
        <f>PRODUCTION!AD190+'SUPLIER INWARD'!AD190</f>
        <v>0</v>
      </c>
      <c r="AD190" s="28"/>
      <c r="AE190" s="29">
        <v>0</v>
      </c>
      <c r="AF190" s="30">
        <f t="shared" si="199"/>
        <v>0</v>
      </c>
      <c r="AG190" s="28">
        <f>PRODUCTION!AH190+'SUPLIER INWARD'!AH190</f>
        <v>0</v>
      </c>
      <c r="AH190" s="28"/>
      <c r="AI190" s="29">
        <v>0</v>
      </c>
      <c r="AJ190" s="30">
        <f t="shared" si="200"/>
        <v>0</v>
      </c>
      <c r="AK190" s="28">
        <f>PRODUCTION!AL190+'SUPLIER INWARD'!AL190</f>
        <v>0</v>
      </c>
      <c r="AL190" s="28"/>
      <c r="AM190" s="29">
        <v>0</v>
      </c>
      <c r="AN190" s="30">
        <f t="shared" si="201"/>
        <v>0</v>
      </c>
      <c r="AO190" s="28">
        <f>PRODUCTION!AP190+'SUPLIER INWARD'!AP190</f>
        <v>0</v>
      </c>
      <c r="AP190" s="28"/>
      <c r="AQ190" s="29">
        <v>0</v>
      </c>
      <c r="AR190" s="30">
        <f t="shared" si="202"/>
        <v>0</v>
      </c>
      <c r="AS190" s="28">
        <f>PRODUCTION!AT190+'SUPLIER INWARD'!AT190</f>
        <v>0</v>
      </c>
      <c r="AT190" s="28"/>
      <c r="AU190" s="29">
        <v>0</v>
      </c>
      <c r="AV190" s="30">
        <f t="shared" si="203"/>
        <v>0</v>
      </c>
      <c r="AW190" s="28">
        <f>PRODUCTION!AX190+'SUPLIER INWARD'!AX190</f>
        <v>0</v>
      </c>
      <c r="AX190" s="28"/>
      <c r="AY190" s="29"/>
      <c r="AZ190" s="30">
        <f t="shared" si="204"/>
        <v>0</v>
      </c>
      <c r="BA190" s="28">
        <f>PRODUCTION!BB190+'SUPLIER INWARD'!BB190</f>
        <v>0</v>
      </c>
      <c r="BB190" s="28"/>
      <c r="BC190" s="29">
        <v>0</v>
      </c>
      <c r="BD190" s="30">
        <f t="shared" si="205"/>
        <v>0</v>
      </c>
      <c r="BE190" s="28">
        <f>PRODUCTION!BF190+'SUPLIER INWARD'!BF190</f>
        <v>0</v>
      </c>
      <c r="BF190" s="28"/>
      <c r="BG190" s="29">
        <v>0</v>
      </c>
      <c r="BH190" s="30">
        <f t="shared" si="206"/>
        <v>0</v>
      </c>
      <c r="BI190" s="28">
        <f>PRODUCTION!BJ190+'SUPLIER INWARD'!BJ190</f>
        <v>0</v>
      </c>
      <c r="BJ190" s="28"/>
      <c r="BK190" s="29">
        <v>0</v>
      </c>
      <c r="BL190" s="30">
        <f t="shared" si="207"/>
        <v>0</v>
      </c>
      <c r="BM190" s="28">
        <f>PRODUCTION!BN190+'SUPLIER INWARD'!BN190</f>
        <v>0</v>
      </c>
      <c r="BN190" s="28"/>
      <c r="BO190" s="29">
        <v>0</v>
      </c>
      <c r="BP190" s="30">
        <f t="shared" si="208"/>
        <v>0</v>
      </c>
      <c r="BQ190" s="28">
        <f>PRODUCTION!BR190+'SUPLIER INWARD'!BR190</f>
        <v>0</v>
      </c>
      <c r="BR190" s="28"/>
      <c r="BS190" s="29">
        <v>0</v>
      </c>
      <c r="BT190" s="30">
        <f t="shared" si="209"/>
        <v>0</v>
      </c>
      <c r="BU190" s="28">
        <f>PRODUCTION!BV190+'SUPLIER INWARD'!BV190</f>
        <v>0</v>
      </c>
      <c r="BV190" s="28"/>
      <c r="BW190" s="29">
        <v>0</v>
      </c>
      <c r="BX190" s="30">
        <f t="shared" si="176"/>
        <v>0</v>
      </c>
      <c r="BY190" s="28">
        <f>PRODUCTION!BZ190+'SUPLIER INWARD'!BZ190</f>
        <v>0</v>
      </c>
      <c r="BZ190" s="28"/>
      <c r="CA190" s="29">
        <v>0</v>
      </c>
      <c r="CB190" s="30">
        <f t="shared" si="210"/>
        <v>0</v>
      </c>
      <c r="CC190" s="28">
        <f>PRODUCTION!CD190+'SUPLIER INWARD'!CD190</f>
        <v>0</v>
      </c>
      <c r="CD190" s="28"/>
      <c r="CE190" s="29">
        <v>0</v>
      </c>
      <c r="CF190" s="30">
        <f t="shared" si="211"/>
        <v>0</v>
      </c>
      <c r="CG190" s="28">
        <f>PRODUCTION!CH190+'SUPLIER INWARD'!CH190</f>
        <v>0</v>
      </c>
      <c r="CH190" s="28"/>
      <c r="CI190" s="29">
        <v>0</v>
      </c>
      <c r="CJ190" s="30">
        <f t="shared" si="179"/>
        <v>0</v>
      </c>
      <c r="CK190" s="28">
        <f>PRODUCTION!CL190+'SUPLIER INWARD'!CL190</f>
        <v>0</v>
      </c>
      <c r="CL190" s="151"/>
      <c r="CM190" s="152"/>
      <c r="CN190" s="30">
        <f t="shared" si="180"/>
        <v>0</v>
      </c>
      <c r="CO190" s="28">
        <f>PRODUCTION!CP190+'SUPLIER INWARD'!CP190</f>
        <v>0</v>
      </c>
      <c r="CP190" s="151"/>
      <c r="CQ190" s="29">
        <v>0</v>
      </c>
      <c r="CR190" s="30">
        <f t="shared" si="181"/>
        <v>0</v>
      </c>
      <c r="CS190" s="28">
        <f>PRODUCTION!CT190+'SUPLIER INWARD'!CT190</f>
        <v>0</v>
      </c>
      <c r="CT190" s="28"/>
      <c r="CU190" s="29">
        <v>0</v>
      </c>
      <c r="CV190" s="30">
        <f t="shared" si="182"/>
        <v>0</v>
      </c>
      <c r="CW190" s="28">
        <f>PRODUCTION!CX190+'SUPLIER INWARD'!CX190</f>
        <v>0</v>
      </c>
      <c r="CX190" s="28"/>
      <c r="CY190" s="29">
        <v>0</v>
      </c>
      <c r="CZ190" s="30">
        <f t="shared" si="212"/>
        <v>0</v>
      </c>
      <c r="DA190" s="28">
        <f>PRODUCTION!DB190+'SUPLIER INWARD'!DB190</f>
        <v>0</v>
      </c>
      <c r="DB190" s="28"/>
      <c r="DC190" s="29"/>
      <c r="DD190" s="30">
        <f t="shared" si="213"/>
        <v>0</v>
      </c>
      <c r="DE190" s="28">
        <f>PRODUCTION!DF190+'SUPLIER INWARD'!DF190</f>
        <v>0</v>
      </c>
      <c r="DF190" s="28"/>
      <c r="DG190" s="29">
        <v>0</v>
      </c>
      <c r="DH190" s="30">
        <f t="shared" si="214"/>
        <v>0</v>
      </c>
      <c r="DI190" s="28">
        <f>PRODUCTION!DJ190+'SUPLIER INWARD'!DJ190</f>
        <v>0</v>
      </c>
      <c r="DJ190" s="28"/>
      <c r="DK190" s="29">
        <v>0</v>
      </c>
      <c r="DL190" s="30">
        <f t="shared" si="215"/>
        <v>0</v>
      </c>
      <c r="DM190" s="28">
        <f>PRODUCTION!DN190+'SUPLIER INWARD'!DN190</f>
        <v>0</v>
      </c>
      <c r="DN190" s="28"/>
      <c r="DO190" s="29"/>
      <c r="DP190" s="30">
        <f t="shared" si="216"/>
        <v>0</v>
      </c>
      <c r="DQ190" s="28">
        <f>PRODUCTION!DR190+'SUPLIER INWARD'!DR190</f>
        <v>0</v>
      </c>
      <c r="DR190" s="28"/>
      <c r="DS190" s="29"/>
      <c r="DT190" s="30">
        <f t="shared" si="217"/>
        <v>0</v>
      </c>
      <c r="DU190" s="28">
        <f>PRODUCTION!DV190+'SUPLIER INWARD'!DV190</f>
        <v>0</v>
      </c>
      <c r="DV190" s="28"/>
      <c r="DW190" s="29"/>
      <c r="DX190" s="30">
        <f t="shared" si="218"/>
        <v>0</v>
      </c>
      <c r="DY190" s="31">
        <f t="shared" si="221"/>
        <v>0</v>
      </c>
      <c r="DZ190" s="141">
        <f t="shared" si="219"/>
        <v>0</v>
      </c>
      <c r="EA190" s="4">
        <f t="shared" si="220"/>
        <v>0</v>
      </c>
      <c r="EB190" s="9">
        <f>D190*'MASTER SHEET'!D190</f>
        <v>0</v>
      </c>
      <c r="EC190" s="9">
        <f>H190*'MASTER SHEET'!D190</f>
        <v>0</v>
      </c>
      <c r="ED190" s="9">
        <f>L190*'MASTER SHEET'!D190</f>
        <v>0</v>
      </c>
      <c r="EE190" s="9">
        <f>P190*'MASTER SHEET'!D190</f>
        <v>0</v>
      </c>
      <c r="EF190" s="9">
        <f>T190*'MASTER SHEET'!D190</f>
        <v>0</v>
      </c>
      <c r="EG190" s="9">
        <f>X190*'MASTER SHEET'!D190</f>
        <v>0</v>
      </c>
      <c r="EH190" s="9">
        <f>AB190*'MASTER SHEET'!D190</f>
        <v>0</v>
      </c>
      <c r="EI190" s="9">
        <f>AF190*'MASTER SHEET'!D190</f>
        <v>0</v>
      </c>
      <c r="EJ190" s="9">
        <f>AJ190*'MASTER SHEET'!D190</f>
        <v>0</v>
      </c>
      <c r="EK190" s="9">
        <f>AN190*'MASTER SHEET'!D190</f>
        <v>0</v>
      </c>
      <c r="EL190" s="9">
        <f>AR190*'MASTER SHEET'!D190</f>
        <v>0</v>
      </c>
      <c r="EM190" s="9">
        <f>AV190*'MASTER SHEET'!D190</f>
        <v>0</v>
      </c>
      <c r="EN190" s="9">
        <f>AZ190*'MASTER SHEET'!D190</f>
        <v>0</v>
      </c>
      <c r="EO190" s="9">
        <f>BD190*'MASTER SHEET'!D190</f>
        <v>0</v>
      </c>
      <c r="EP190" s="9">
        <f>$BH190*'MASTER SHEET'!$D190</f>
        <v>0</v>
      </c>
      <c r="EQ190" s="9">
        <f>BL190*'MASTER SHEET'!D190</f>
        <v>0</v>
      </c>
      <c r="ER190" s="9">
        <f>BP190*'MASTER SHEET'!D190</f>
        <v>0</v>
      </c>
      <c r="ES190" s="9">
        <f>BT190*'MASTER SHEET'!D190</f>
        <v>0</v>
      </c>
      <c r="ET190" s="9">
        <f>BX190*'MASTER SHEET'!D190</f>
        <v>0</v>
      </c>
      <c r="EU190" s="9">
        <f>CB190*'MASTER SHEET'!D190</f>
        <v>0</v>
      </c>
      <c r="EV190" s="9">
        <f>CF190*'MASTER SHEET'!D190</f>
        <v>0</v>
      </c>
      <c r="EW190" s="9">
        <f>CJ190*'MASTER SHEET'!D190</f>
        <v>0</v>
      </c>
      <c r="EX190" s="9">
        <f>CN190*'MASTER SHEET'!D190</f>
        <v>0</v>
      </c>
      <c r="EY190" s="9">
        <f>CR190*'MASTER SHEET'!D190</f>
        <v>0</v>
      </c>
      <c r="EZ190" s="9">
        <f>$CV190*'MASTER SHEET'!D190</f>
        <v>0</v>
      </c>
      <c r="FA190" s="9">
        <f>CZ190*'MASTER SHEET'!D190</f>
        <v>0</v>
      </c>
      <c r="FB190" s="9">
        <f>DD190*'MASTER SHEET'!D190</f>
        <v>0</v>
      </c>
      <c r="FC190" s="9">
        <f>DH190*'MASTER SHEET'!D190</f>
        <v>0</v>
      </c>
      <c r="FD190" s="9">
        <f>DL190*'MASTER SHEET'!D190</f>
        <v>0</v>
      </c>
      <c r="FE190" s="9">
        <f>DP190*'MASTER SHEET'!D190</f>
        <v>0</v>
      </c>
      <c r="FF190" s="9">
        <f>DT190*'MASTER SHEET'!D190</f>
        <v>0</v>
      </c>
      <c r="FG190" s="9">
        <f>+DX190*'MASTER SHEET'!D190</f>
        <v>0</v>
      </c>
    </row>
    <row r="191" spans="1:163" ht="20.25" customHeight="1" x14ac:dyDescent="0.25">
      <c r="A191" s="25">
        <f>'MASTER SHEET'!A191</f>
        <v>189</v>
      </c>
      <c r="B191" s="26">
        <f>'MASTER SHEET'!B191</f>
        <v>0</v>
      </c>
      <c r="C191" s="78">
        <f>'MASTER SHEET'!C191</f>
        <v>5045480</v>
      </c>
      <c r="D191" s="159">
        <v>0</v>
      </c>
      <c r="E191" s="28">
        <f>PRODUCTION!F191+'SUPLIER INWARD'!F191</f>
        <v>0</v>
      </c>
      <c r="F191" s="28"/>
      <c r="G191" s="29">
        <v>0</v>
      </c>
      <c r="H191" s="30">
        <f t="shared" si="193"/>
        <v>0</v>
      </c>
      <c r="I191" s="28">
        <f>PRODUCTION!J191+'SUPLIER INWARD'!J191</f>
        <v>0</v>
      </c>
      <c r="J191" s="28"/>
      <c r="K191" s="29">
        <v>0</v>
      </c>
      <c r="L191" s="30">
        <f t="shared" si="194"/>
        <v>0</v>
      </c>
      <c r="M191" s="28">
        <f>PRODUCTION!N191+'SUPLIER INWARD'!N191</f>
        <v>0</v>
      </c>
      <c r="N191" s="28"/>
      <c r="O191" s="29"/>
      <c r="P191" s="30">
        <f t="shared" si="195"/>
        <v>0</v>
      </c>
      <c r="Q191" s="28">
        <f>PRODUCTION!R191+'SUPLIER INWARD'!R191</f>
        <v>0</v>
      </c>
      <c r="R191" s="28"/>
      <c r="S191" s="29">
        <v>0</v>
      </c>
      <c r="T191" s="30">
        <f t="shared" si="196"/>
        <v>0</v>
      </c>
      <c r="U191" s="28">
        <f>PRODUCTION!V191+'SUPLIER INWARD'!V191</f>
        <v>0</v>
      </c>
      <c r="V191" s="28"/>
      <c r="W191" s="29">
        <v>0</v>
      </c>
      <c r="X191" s="30">
        <f t="shared" si="197"/>
        <v>0</v>
      </c>
      <c r="Y191" s="28">
        <f>PRODUCTION!Z191+'SUPLIER INWARD'!Z191</f>
        <v>0</v>
      </c>
      <c r="Z191" s="28"/>
      <c r="AA191" s="29">
        <v>0</v>
      </c>
      <c r="AB191" s="30">
        <f t="shared" si="198"/>
        <v>0</v>
      </c>
      <c r="AC191" s="28">
        <f>PRODUCTION!AD191+'SUPLIER INWARD'!AD191</f>
        <v>0</v>
      </c>
      <c r="AD191" s="28"/>
      <c r="AE191" s="29">
        <v>0</v>
      </c>
      <c r="AF191" s="30">
        <f t="shared" si="199"/>
        <v>0</v>
      </c>
      <c r="AG191" s="28">
        <f>PRODUCTION!AH191+'SUPLIER INWARD'!AH191</f>
        <v>0</v>
      </c>
      <c r="AH191" s="28"/>
      <c r="AI191" s="29">
        <v>0</v>
      </c>
      <c r="AJ191" s="30">
        <f t="shared" si="200"/>
        <v>0</v>
      </c>
      <c r="AK191" s="28">
        <f>PRODUCTION!AL191+'SUPLIER INWARD'!AL191</f>
        <v>0</v>
      </c>
      <c r="AL191" s="28"/>
      <c r="AM191" s="29">
        <v>0</v>
      </c>
      <c r="AN191" s="30">
        <f t="shared" si="201"/>
        <v>0</v>
      </c>
      <c r="AO191" s="28">
        <f>PRODUCTION!AP191+'SUPLIER INWARD'!AP191</f>
        <v>0</v>
      </c>
      <c r="AP191" s="28"/>
      <c r="AQ191" s="29">
        <v>0</v>
      </c>
      <c r="AR191" s="30">
        <f t="shared" si="202"/>
        <v>0</v>
      </c>
      <c r="AS191" s="28">
        <f>PRODUCTION!AT191+'SUPLIER INWARD'!AT191</f>
        <v>0</v>
      </c>
      <c r="AT191" s="28"/>
      <c r="AU191" s="29">
        <v>0</v>
      </c>
      <c r="AV191" s="30">
        <f t="shared" si="203"/>
        <v>0</v>
      </c>
      <c r="AW191" s="28">
        <f>PRODUCTION!AX191+'SUPLIER INWARD'!AX191</f>
        <v>0</v>
      </c>
      <c r="AX191" s="28"/>
      <c r="AY191" s="29"/>
      <c r="AZ191" s="30">
        <f t="shared" si="204"/>
        <v>0</v>
      </c>
      <c r="BA191" s="28">
        <f>PRODUCTION!BB191+'SUPLIER INWARD'!BB191</f>
        <v>0</v>
      </c>
      <c r="BB191" s="28"/>
      <c r="BC191" s="29">
        <v>0</v>
      </c>
      <c r="BD191" s="30">
        <f t="shared" si="205"/>
        <v>0</v>
      </c>
      <c r="BE191" s="28">
        <f>PRODUCTION!BF191+'SUPLIER INWARD'!BF191</f>
        <v>0</v>
      </c>
      <c r="BF191" s="28"/>
      <c r="BG191" s="29">
        <v>0</v>
      </c>
      <c r="BH191" s="30">
        <f t="shared" si="206"/>
        <v>0</v>
      </c>
      <c r="BI191" s="28">
        <f>PRODUCTION!BJ191+'SUPLIER INWARD'!BJ191</f>
        <v>0</v>
      </c>
      <c r="BJ191" s="28"/>
      <c r="BK191" s="29">
        <v>0</v>
      </c>
      <c r="BL191" s="30">
        <f t="shared" si="207"/>
        <v>0</v>
      </c>
      <c r="BM191" s="28">
        <f>PRODUCTION!BN191+'SUPLIER INWARD'!BN191</f>
        <v>0</v>
      </c>
      <c r="BN191" s="28"/>
      <c r="BO191" s="29">
        <v>0</v>
      </c>
      <c r="BP191" s="30">
        <f t="shared" si="208"/>
        <v>0</v>
      </c>
      <c r="BQ191" s="28">
        <f>PRODUCTION!BR191+'SUPLIER INWARD'!BR191</f>
        <v>0</v>
      </c>
      <c r="BR191" s="28"/>
      <c r="BS191" s="29">
        <v>0</v>
      </c>
      <c r="BT191" s="30">
        <f t="shared" si="209"/>
        <v>0</v>
      </c>
      <c r="BU191" s="28">
        <f>PRODUCTION!BV191+'SUPLIER INWARD'!BV191</f>
        <v>0</v>
      </c>
      <c r="BV191" s="28"/>
      <c r="BW191" s="29">
        <v>0</v>
      </c>
      <c r="BX191" s="30">
        <f t="shared" si="176"/>
        <v>0</v>
      </c>
      <c r="BY191" s="28">
        <f>PRODUCTION!BZ191+'SUPLIER INWARD'!BZ191</f>
        <v>0</v>
      </c>
      <c r="BZ191" s="28"/>
      <c r="CA191" s="29">
        <v>0</v>
      </c>
      <c r="CB191" s="30">
        <f t="shared" si="210"/>
        <v>0</v>
      </c>
      <c r="CC191" s="28">
        <f>PRODUCTION!CD191+'SUPLIER INWARD'!CD191</f>
        <v>0</v>
      </c>
      <c r="CD191" s="28"/>
      <c r="CE191" s="29">
        <v>0</v>
      </c>
      <c r="CF191" s="30">
        <f t="shared" si="211"/>
        <v>0</v>
      </c>
      <c r="CG191" s="28">
        <f>PRODUCTION!CH191+'SUPLIER INWARD'!CH191</f>
        <v>0</v>
      </c>
      <c r="CH191" s="28"/>
      <c r="CI191" s="29">
        <v>0</v>
      </c>
      <c r="CJ191" s="30">
        <f t="shared" si="179"/>
        <v>0</v>
      </c>
      <c r="CK191" s="28">
        <f>PRODUCTION!CL191+'SUPLIER INWARD'!CL191</f>
        <v>0</v>
      </c>
      <c r="CL191" s="151"/>
      <c r="CM191" s="152"/>
      <c r="CN191" s="30">
        <f t="shared" si="180"/>
        <v>0</v>
      </c>
      <c r="CO191" s="28">
        <f>PRODUCTION!CP191+'SUPLIER INWARD'!CP191</f>
        <v>0</v>
      </c>
      <c r="CP191" s="151"/>
      <c r="CQ191" s="29">
        <v>0</v>
      </c>
      <c r="CR191" s="30">
        <f t="shared" si="181"/>
        <v>0</v>
      </c>
      <c r="CS191" s="28">
        <f>PRODUCTION!CT191+'SUPLIER INWARD'!CT191</f>
        <v>0</v>
      </c>
      <c r="CT191" s="28"/>
      <c r="CU191" s="29">
        <v>0</v>
      </c>
      <c r="CV191" s="30">
        <f t="shared" si="182"/>
        <v>0</v>
      </c>
      <c r="CW191" s="28">
        <f>PRODUCTION!CX191+'SUPLIER INWARD'!CX191</f>
        <v>0</v>
      </c>
      <c r="CX191" s="28"/>
      <c r="CY191" s="29">
        <v>0</v>
      </c>
      <c r="CZ191" s="30">
        <f t="shared" si="212"/>
        <v>0</v>
      </c>
      <c r="DA191" s="28">
        <f>PRODUCTION!DB191+'SUPLIER INWARD'!DB191</f>
        <v>0</v>
      </c>
      <c r="DB191" s="28"/>
      <c r="DC191" s="29"/>
      <c r="DD191" s="30">
        <f t="shared" si="213"/>
        <v>0</v>
      </c>
      <c r="DE191" s="28">
        <f>PRODUCTION!DF191+'SUPLIER INWARD'!DF191</f>
        <v>0</v>
      </c>
      <c r="DF191" s="28"/>
      <c r="DG191" s="29">
        <v>0</v>
      </c>
      <c r="DH191" s="30">
        <f t="shared" si="214"/>
        <v>0</v>
      </c>
      <c r="DI191" s="28">
        <f>PRODUCTION!DJ191+'SUPLIER INWARD'!DJ191</f>
        <v>0</v>
      </c>
      <c r="DJ191" s="28"/>
      <c r="DK191" s="29">
        <v>0</v>
      </c>
      <c r="DL191" s="30">
        <f t="shared" si="215"/>
        <v>0</v>
      </c>
      <c r="DM191" s="28">
        <f>PRODUCTION!DN191+'SUPLIER INWARD'!DN191</f>
        <v>0</v>
      </c>
      <c r="DN191" s="28"/>
      <c r="DO191" s="29"/>
      <c r="DP191" s="30">
        <f t="shared" si="216"/>
        <v>0</v>
      </c>
      <c r="DQ191" s="28">
        <f>PRODUCTION!DR191+'SUPLIER INWARD'!DR191</f>
        <v>0</v>
      </c>
      <c r="DR191" s="28"/>
      <c r="DS191" s="29"/>
      <c r="DT191" s="30">
        <f t="shared" si="217"/>
        <v>0</v>
      </c>
      <c r="DU191" s="28">
        <f>PRODUCTION!DV191+'SUPLIER INWARD'!DV191</f>
        <v>0</v>
      </c>
      <c r="DV191" s="28"/>
      <c r="DW191" s="29"/>
      <c r="DX191" s="30">
        <f t="shared" si="218"/>
        <v>0</v>
      </c>
      <c r="DY191" s="31">
        <f t="shared" si="221"/>
        <v>0</v>
      </c>
      <c r="DZ191" s="141">
        <f t="shared" si="219"/>
        <v>0</v>
      </c>
      <c r="EA191" s="4">
        <f t="shared" si="220"/>
        <v>0</v>
      </c>
      <c r="EB191" s="9">
        <f>D191*'MASTER SHEET'!D191</f>
        <v>0</v>
      </c>
      <c r="EC191" s="9">
        <f>H191*'MASTER SHEET'!D191</f>
        <v>0</v>
      </c>
      <c r="ED191" s="9">
        <f>L191*'MASTER SHEET'!D191</f>
        <v>0</v>
      </c>
      <c r="EE191" s="9">
        <f>P191*'MASTER SHEET'!D191</f>
        <v>0</v>
      </c>
      <c r="EF191" s="9">
        <f>T191*'MASTER SHEET'!D191</f>
        <v>0</v>
      </c>
      <c r="EG191" s="9">
        <f>X191*'MASTER SHEET'!D191</f>
        <v>0</v>
      </c>
      <c r="EH191" s="9">
        <f>AB191*'MASTER SHEET'!D191</f>
        <v>0</v>
      </c>
      <c r="EI191" s="9">
        <f>AF191*'MASTER SHEET'!D191</f>
        <v>0</v>
      </c>
      <c r="EJ191" s="9">
        <f>AJ191*'MASTER SHEET'!D191</f>
        <v>0</v>
      </c>
      <c r="EK191" s="9">
        <f>AN191*'MASTER SHEET'!D191</f>
        <v>0</v>
      </c>
      <c r="EL191" s="9">
        <f>AR191*'MASTER SHEET'!D191</f>
        <v>0</v>
      </c>
      <c r="EM191" s="9">
        <f>AV191*'MASTER SHEET'!D191</f>
        <v>0</v>
      </c>
      <c r="EN191" s="9">
        <f>AZ191*'MASTER SHEET'!D191</f>
        <v>0</v>
      </c>
      <c r="EO191" s="9">
        <f>BD191*'MASTER SHEET'!D191</f>
        <v>0</v>
      </c>
      <c r="EP191" s="9">
        <f>$BH191*'MASTER SHEET'!$D191</f>
        <v>0</v>
      </c>
      <c r="EQ191" s="9">
        <f>BL191*'MASTER SHEET'!D191</f>
        <v>0</v>
      </c>
      <c r="ER191" s="9">
        <f>BP191*'MASTER SHEET'!D191</f>
        <v>0</v>
      </c>
      <c r="ES191" s="9">
        <f>BT191*'MASTER SHEET'!D191</f>
        <v>0</v>
      </c>
      <c r="ET191" s="9">
        <f>BX191*'MASTER SHEET'!D191</f>
        <v>0</v>
      </c>
      <c r="EU191" s="9">
        <f>CB191*'MASTER SHEET'!D191</f>
        <v>0</v>
      </c>
      <c r="EV191" s="9">
        <f>CF191*'MASTER SHEET'!D191</f>
        <v>0</v>
      </c>
      <c r="EW191" s="9">
        <f>CJ191*'MASTER SHEET'!D191</f>
        <v>0</v>
      </c>
      <c r="EX191" s="9">
        <f>CN191*'MASTER SHEET'!D191</f>
        <v>0</v>
      </c>
      <c r="EY191" s="9">
        <f>CR191*'MASTER SHEET'!D191</f>
        <v>0</v>
      </c>
      <c r="EZ191" s="9">
        <f>$CV191*'MASTER SHEET'!D191</f>
        <v>0</v>
      </c>
      <c r="FA191" s="9">
        <f>CZ191*'MASTER SHEET'!D191</f>
        <v>0</v>
      </c>
      <c r="FB191" s="9">
        <f>DD191*'MASTER SHEET'!D191</f>
        <v>0</v>
      </c>
      <c r="FC191" s="9">
        <f>DH191*'MASTER SHEET'!D191</f>
        <v>0</v>
      </c>
      <c r="FD191" s="9">
        <f>DL191*'MASTER SHEET'!D191</f>
        <v>0</v>
      </c>
      <c r="FE191" s="9">
        <f>DP191*'MASTER SHEET'!D191</f>
        <v>0</v>
      </c>
      <c r="FF191" s="9">
        <f>DT191*'MASTER SHEET'!D191</f>
        <v>0</v>
      </c>
      <c r="FG191" s="9">
        <f>+DX191*'MASTER SHEET'!D191</f>
        <v>0</v>
      </c>
    </row>
    <row r="192" spans="1:163" ht="20.25" customHeight="1" x14ac:dyDescent="0.25">
      <c r="A192" s="25">
        <f>'MASTER SHEET'!A192</f>
        <v>190</v>
      </c>
      <c r="B192" s="26" t="str">
        <f>'MASTER SHEET'!B192</f>
        <v>CAGE ASSY.</v>
      </c>
      <c r="C192" s="78">
        <f>'MASTER SHEET'!C192</f>
        <v>5043164</v>
      </c>
      <c r="D192" s="159">
        <v>0</v>
      </c>
      <c r="E192" s="28">
        <f>PRODUCTION!F192+'SUPLIER INWARD'!F192</f>
        <v>0</v>
      </c>
      <c r="F192" s="28"/>
      <c r="G192" s="29">
        <v>0</v>
      </c>
      <c r="H192" s="30">
        <f t="shared" si="193"/>
        <v>0</v>
      </c>
      <c r="I192" s="28">
        <f>PRODUCTION!J192+'SUPLIER INWARD'!J192</f>
        <v>0</v>
      </c>
      <c r="J192" s="28"/>
      <c r="K192" s="29">
        <v>0</v>
      </c>
      <c r="L192" s="30">
        <f t="shared" si="194"/>
        <v>0</v>
      </c>
      <c r="M192" s="28">
        <f>PRODUCTION!N192+'SUPLIER INWARD'!N192</f>
        <v>0</v>
      </c>
      <c r="N192" s="28"/>
      <c r="O192" s="29"/>
      <c r="P192" s="30">
        <f t="shared" si="195"/>
        <v>0</v>
      </c>
      <c r="Q192" s="28">
        <f>PRODUCTION!R192+'SUPLIER INWARD'!R192</f>
        <v>0</v>
      </c>
      <c r="R192" s="28"/>
      <c r="S192" s="29">
        <v>0</v>
      </c>
      <c r="T192" s="30">
        <f t="shared" si="196"/>
        <v>0</v>
      </c>
      <c r="U192" s="28">
        <f>PRODUCTION!V192+'SUPLIER INWARD'!V192</f>
        <v>0</v>
      </c>
      <c r="V192" s="28"/>
      <c r="W192" s="29">
        <v>0</v>
      </c>
      <c r="X192" s="30">
        <f t="shared" si="197"/>
        <v>0</v>
      </c>
      <c r="Y192" s="28">
        <f>PRODUCTION!Z192+'SUPLIER INWARD'!Z192</f>
        <v>0</v>
      </c>
      <c r="Z192" s="28"/>
      <c r="AA192" s="29">
        <v>0</v>
      </c>
      <c r="AB192" s="30">
        <f t="shared" si="198"/>
        <v>0</v>
      </c>
      <c r="AC192" s="28">
        <f>PRODUCTION!AD192+'SUPLIER INWARD'!AD192</f>
        <v>0</v>
      </c>
      <c r="AD192" s="28"/>
      <c r="AE192" s="29">
        <v>0</v>
      </c>
      <c r="AF192" s="30">
        <f t="shared" si="199"/>
        <v>0</v>
      </c>
      <c r="AG192" s="28">
        <f>PRODUCTION!AH192+'SUPLIER INWARD'!AH192</f>
        <v>0</v>
      </c>
      <c r="AH192" s="28"/>
      <c r="AI192" s="29">
        <v>0</v>
      </c>
      <c r="AJ192" s="30">
        <f t="shared" si="200"/>
        <v>0</v>
      </c>
      <c r="AK192" s="28">
        <f>PRODUCTION!AL192+'SUPLIER INWARD'!AL192</f>
        <v>0</v>
      </c>
      <c r="AL192" s="28"/>
      <c r="AM192" s="29">
        <v>0</v>
      </c>
      <c r="AN192" s="30">
        <f t="shared" si="201"/>
        <v>0</v>
      </c>
      <c r="AO192" s="28">
        <f>PRODUCTION!AP192+'SUPLIER INWARD'!AP192</f>
        <v>0</v>
      </c>
      <c r="AP192" s="28"/>
      <c r="AQ192" s="29">
        <v>0</v>
      </c>
      <c r="AR192" s="30">
        <f t="shared" si="202"/>
        <v>0</v>
      </c>
      <c r="AS192" s="28">
        <f>PRODUCTION!AT192+'SUPLIER INWARD'!AT192</f>
        <v>0</v>
      </c>
      <c r="AT192" s="28"/>
      <c r="AU192" s="29">
        <v>0</v>
      </c>
      <c r="AV192" s="30">
        <f t="shared" si="203"/>
        <v>0</v>
      </c>
      <c r="AW192" s="28">
        <f>PRODUCTION!AX192+'SUPLIER INWARD'!AX192</f>
        <v>0</v>
      </c>
      <c r="AX192" s="28"/>
      <c r="AY192" s="29"/>
      <c r="AZ192" s="30">
        <f t="shared" si="204"/>
        <v>0</v>
      </c>
      <c r="BA192" s="28">
        <f>PRODUCTION!BB192+'SUPLIER INWARD'!BB192</f>
        <v>0</v>
      </c>
      <c r="BB192" s="28"/>
      <c r="BC192" s="29">
        <v>0</v>
      </c>
      <c r="BD192" s="30">
        <f t="shared" si="205"/>
        <v>0</v>
      </c>
      <c r="BE192" s="28">
        <f>PRODUCTION!BF192+'SUPLIER INWARD'!BF192</f>
        <v>0</v>
      </c>
      <c r="BF192" s="28"/>
      <c r="BG192" s="29">
        <v>0</v>
      </c>
      <c r="BH192" s="30">
        <f t="shared" si="206"/>
        <v>0</v>
      </c>
      <c r="BI192" s="28">
        <f>PRODUCTION!BJ192+'SUPLIER INWARD'!BJ192</f>
        <v>0</v>
      </c>
      <c r="BJ192" s="28"/>
      <c r="BK192" s="29">
        <v>0</v>
      </c>
      <c r="BL192" s="30">
        <f t="shared" si="207"/>
        <v>0</v>
      </c>
      <c r="BM192" s="28">
        <f>PRODUCTION!BN192+'SUPLIER INWARD'!BN192</f>
        <v>0</v>
      </c>
      <c r="BN192" s="28"/>
      <c r="BO192" s="29">
        <v>0</v>
      </c>
      <c r="BP192" s="30">
        <f t="shared" si="208"/>
        <v>0</v>
      </c>
      <c r="BQ192" s="28">
        <f>PRODUCTION!BR192+'SUPLIER INWARD'!BR192</f>
        <v>0</v>
      </c>
      <c r="BR192" s="28"/>
      <c r="BS192" s="29">
        <v>0</v>
      </c>
      <c r="BT192" s="30">
        <f t="shared" si="209"/>
        <v>0</v>
      </c>
      <c r="BU192" s="28">
        <f>PRODUCTION!BV192+'SUPLIER INWARD'!BV192</f>
        <v>0</v>
      </c>
      <c r="BV192" s="28"/>
      <c r="BW192" s="29">
        <v>0</v>
      </c>
      <c r="BX192" s="30">
        <f t="shared" si="176"/>
        <v>0</v>
      </c>
      <c r="BY192" s="28">
        <f>PRODUCTION!BZ192+'SUPLIER INWARD'!BZ192</f>
        <v>0</v>
      </c>
      <c r="BZ192" s="28"/>
      <c r="CA192" s="29">
        <v>0</v>
      </c>
      <c r="CB192" s="30">
        <f t="shared" si="210"/>
        <v>0</v>
      </c>
      <c r="CC192" s="28">
        <f>PRODUCTION!CD192+'SUPLIER INWARD'!CD192</f>
        <v>0</v>
      </c>
      <c r="CD192" s="28"/>
      <c r="CE192" s="29">
        <v>0</v>
      </c>
      <c r="CF192" s="30">
        <f t="shared" si="211"/>
        <v>0</v>
      </c>
      <c r="CG192" s="28">
        <f>PRODUCTION!CH192+'SUPLIER INWARD'!CH192</f>
        <v>0</v>
      </c>
      <c r="CH192" s="28"/>
      <c r="CI192" s="29">
        <v>0</v>
      </c>
      <c r="CJ192" s="30">
        <f t="shared" si="179"/>
        <v>0</v>
      </c>
      <c r="CK192" s="28">
        <f>PRODUCTION!CL192+'SUPLIER INWARD'!CL192</f>
        <v>0</v>
      </c>
      <c r="CL192" s="151"/>
      <c r="CM192" s="152"/>
      <c r="CN192" s="30">
        <f t="shared" si="180"/>
        <v>0</v>
      </c>
      <c r="CO192" s="28">
        <f>PRODUCTION!CP192+'SUPLIER INWARD'!CP192</f>
        <v>0</v>
      </c>
      <c r="CP192" s="151"/>
      <c r="CQ192" s="29">
        <v>0</v>
      </c>
      <c r="CR192" s="30">
        <f t="shared" si="181"/>
        <v>0</v>
      </c>
      <c r="CS192" s="28">
        <f>PRODUCTION!CT192+'SUPLIER INWARD'!CT192</f>
        <v>0</v>
      </c>
      <c r="CT192" s="28"/>
      <c r="CU192" s="29">
        <v>0</v>
      </c>
      <c r="CV192" s="30">
        <f t="shared" si="182"/>
        <v>0</v>
      </c>
      <c r="CW192" s="28">
        <f>PRODUCTION!CX192+'SUPLIER INWARD'!CX192</f>
        <v>0</v>
      </c>
      <c r="CX192" s="28"/>
      <c r="CY192" s="29">
        <v>0</v>
      </c>
      <c r="CZ192" s="30">
        <f t="shared" si="212"/>
        <v>0</v>
      </c>
      <c r="DA192" s="28">
        <f>PRODUCTION!DB192+'SUPLIER INWARD'!DB192</f>
        <v>0</v>
      </c>
      <c r="DB192" s="28"/>
      <c r="DC192" s="29"/>
      <c r="DD192" s="30">
        <f t="shared" si="213"/>
        <v>0</v>
      </c>
      <c r="DE192" s="28">
        <f>PRODUCTION!DF192+'SUPLIER INWARD'!DF192</f>
        <v>0</v>
      </c>
      <c r="DF192" s="28"/>
      <c r="DG192" s="29">
        <v>0</v>
      </c>
      <c r="DH192" s="30">
        <f t="shared" si="214"/>
        <v>0</v>
      </c>
      <c r="DI192" s="28">
        <f>PRODUCTION!DJ192+'SUPLIER INWARD'!DJ192</f>
        <v>0</v>
      </c>
      <c r="DJ192" s="28"/>
      <c r="DK192" s="29">
        <v>0</v>
      </c>
      <c r="DL192" s="30">
        <f t="shared" si="215"/>
        <v>0</v>
      </c>
      <c r="DM192" s="28">
        <f>PRODUCTION!DN192+'SUPLIER INWARD'!DN192</f>
        <v>0</v>
      </c>
      <c r="DN192" s="28"/>
      <c r="DO192" s="29"/>
      <c r="DP192" s="30">
        <f t="shared" si="216"/>
        <v>0</v>
      </c>
      <c r="DQ192" s="28">
        <f>PRODUCTION!DR192+'SUPLIER INWARD'!DR192</f>
        <v>0</v>
      </c>
      <c r="DR192" s="28"/>
      <c r="DS192" s="29"/>
      <c r="DT192" s="30">
        <f t="shared" si="217"/>
        <v>0</v>
      </c>
      <c r="DU192" s="28">
        <f>PRODUCTION!DV192+'SUPLIER INWARD'!DV192</f>
        <v>0</v>
      </c>
      <c r="DV192" s="28"/>
      <c r="DW192" s="29"/>
      <c r="DX192" s="30">
        <f t="shared" si="218"/>
        <v>0</v>
      </c>
      <c r="DY192" s="31">
        <f t="shared" si="221"/>
        <v>0</v>
      </c>
      <c r="DZ192" s="141">
        <f t="shared" si="219"/>
        <v>0</v>
      </c>
      <c r="EA192" s="4">
        <f t="shared" si="220"/>
        <v>0</v>
      </c>
      <c r="EB192" s="9">
        <f>D192*'MASTER SHEET'!D192</f>
        <v>0</v>
      </c>
      <c r="EC192" s="9">
        <f>H192*'MASTER SHEET'!D192</f>
        <v>0</v>
      </c>
      <c r="ED192" s="9">
        <f>L192*'MASTER SHEET'!D192</f>
        <v>0</v>
      </c>
      <c r="EE192" s="9">
        <f>P192*'MASTER SHEET'!D192</f>
        <v>0</v>
      </c>
      <c r="EF192" s="9">
        <f>T192*'MASTER SHEET'!D192</f>
        <v>0</v>
      </c>
      <c r="EG192" s="9">
        <f>X192*'MASTER SHEET'!D192</f>
        <v>0</v>
      </c>
      <c r="EH192" s="9">
        <f>AB192*'MASTER SHEET'!D192</f>
        <v>0</v>
      </c>
      <c r="EI192" s="9">
        <f>AF192*'MASTER SHEET'!D192</f>
        <v>0</v>
      </c>
      <c r="EJ192" s="9">
        <f>AJ192*'MASTER SHEET'!D192</f>
        <v>0</v>
      </c>
      <c r="EK192" s="9">
        <f>AN192*'MASTER SHEET'!D192</f>
        <v>0</v>
      </c>
      <c r="EL192" s="9">
        <f>AR192*'MASTER SHEET'!D192</f>
        <v>0</v>
      </c>
      <c r="EM192" s="9">
        <f>AV192*'MASTER SHEET'!D192</f>
        <v>0</v>
      </c>
      <c r="EN192" s="9">
        <f>AZ192*'MASTER SHEET'!D192</f>
        <v>0</v>
      </c>
      <c r="EO192" s="9">
        <f>BD192*'MASTER SHEET'!D192</f>
        <v>0</v>
      </c>
      <c r="EP192" s="9">
        <f>$BH192*'MASTER SHEET'!$D192</f>
        <v>0</v>
      </c>
      <c r="EQ192" s="9">
        <f>BL192*'MASTER SHEET'!D192</f>
        <v>0</v>
      </c>
      <c r="ER192" s="9">
        <f>BP192*'MASTER SHEET'!D192</f>
        <v>0</v>
      </c>
      <c r="ES192" s="9">
        <f>BT192*'MASTER SHEET'!D192</f>
        <v>0</v>
      </c>
      <c r="ET192" s="9">
        <f>BX192*'MASTER SHEET'!D192</f>
        <v>0</v>
      </c>
      <c r="EU192" s="9">
        <f>CB192*'MASTER SHEET'!D192</f>
        <v>0</v>
      </c>
      <c r="EV192" s="9">
        <f>CF192*'MASTER SHEET'!D192</f>
        <v>0</v>
      </c>
      <c r="EW192" s="9">
        <f>CJ192*'MASTER SHEET'!D192</f>
        <v>0</v>
      </c>
      <c r="EX192" s="9">
        <f>CN192*'MASTER SHEET'!D192</f>
        <v>0</v>
      </c>
      <c r="EY192" s="9">
        <f>CR192*'MASTER SHEET'!D192</f>
        <v>0</v>
      </c>
      <c r="EZ192" s="9">
        <f>$CV192*'MASTER SHEET'!D192</f>
        <v>0</v>
      </c>
      <c r="FA192" s="9">
        <f>CZ192*'MASTER SHEET'!D192</f>
        <v>0</v>
      </c>
      <c r="FB192" s="9">
        <f>DD192*'MASTER SHEET'!D192</f>
        <v>0</v>
      </c>
      <c r="FC192" s="9">
        <f>DH192*'MASTER SHEET'!D192</f>
        <v>0</v>
      </c>
      <c r="FD192" s="9">
        <f>DL192*'MASTER SHEET'!D192</f>
        <v>0</v>
      </c>
      <c r="FE192" s="9">
        <f>DP192*'MASTER SHEET'!D192</f>
        <v>0</v>
      </c>
      <c r="FF192" s="9">
        <f>DT192*'MASTER SHEET'!D192</f>
        <v>0</v>
      </c>
      <c r="FG192" s="9">
        <f>+DX192*'MASTER SHEET'!D192</f>
        <v>0</v>
      </c>
    </row>
    <row r="193" spans="1:163" ht="20.25" customHeight="1" x14ac:dyDescent="0.25">
      <c r="A193" s="25">
        <f>'MASTER SHEET'!A193</f>
        <v>191</v>
      </c>
      <c r="B193" s="26" t="str">
        <f>'MASTER SHEET'!B193</f>
        <v>CAP PLASTIC</v>
      </c>
      <c r="C193" s="78">
        <f>'MASTER SHEET'!C193</f>
        <v>5039586</v>
      </c>
      <c r="D193" s="159">
        <v>0</v>
      </c>
      <c r="E193" s="28">
        <f>PRODUCTION!F193+'SUPLIER INWARD'!F193</f>
        <v>0</v>
      </c>
      <c r="F193" s="28"/>
      <c r="G193" s="29">
        <v>0</v>
      </c>
      <c r="H193" s="30">
        <f t="shared" si="193"/>
        <v>0</v>
      </c>
      <c r="I193" s="28">
        <f>PRODUCTION!J193+'SUPLIER INWARD'!J193</f>
        <v>0</v>
      </c>
      <c r="J193" s="28"/>
      <c r="K193" s="29">
        <v>0</v>
      </c>
      <c r="L193" s="30">
        <f t="shared" si="194"/>
        <v>0</v>
      </c>
      <c r="M193" s="28">
        <f>PRODUCTION!N193+'SUPLIER INWARD'!N193</f>
        <v>0</v>
      </c>
      <c r="N193" s="28"/>
      <c r="O193" s="29"/>
      <c r="P193" s="30">
        <f t="shared" si="195"/>
        <v>0</v>
      </c>
      <c r="Q193" s="28">
        <f>PRODUCTION!R193+'SUPLIER INWARD'!R193</f>
        <v>0</v>
      </c>
      <c r="R193" s="28"/>
      <c r="S193" s="29">
        <v>0</v>
      </c>
      <c r="T193" s="30">
        <f t="shared" si="196"/>
        <v>0</v>
      </c>
      <c r="U193" s="28">
        <f>PRODUCTION!V193+'SUPLIER INWARD'!V193</f>
        <v>0</v>
      </c>
      <c r="V193" s="28"/>
      <c r="W193" s="29">
        <v>0</v>
      </c>
      <c r="X193" s="30">
        <f t="shared" si="197"/>
        <v>0</v>
      </c>
      <c r="Y193" s="28">
        <f>PRODUCTION!Z193+'SUPLIER INWARD'!Z193</f>
        <v>0</v>
      </c>
      <c r="Z193" s="28"/>
      <c r="AA193" s="29">
        <v>0</v>
      </c>
      <c r="AB193" s="30">
        <f t="shared" si="198"/>
        <v>0</v>
      </c>
      <c r="AC193" s="28">
        <f>PRODUCTION!AD193+'SUPLIER INWARD'!AD193</f>
        <v>0</v>
      </c>
      <c r="AD193" s="28"/>
      <c r="AE193" s="29">
        <v>0</v>
      </c>
      <c r="AF193" s="30">
        <f t="shared" si="199"/>
        <v>0</v>
      </c>
      <c r="AG193" s="28">
        <f>PRODUCTION!AH193+'SUPLIER INWARD'!AH193</f>
        <v>0</v>
      </c>
      <c r="AH193" s="28"/>
      <c r="AI193" s="29">
        <v>0</v>
      </c>
      <c r="AJ193" s="30">
        <f t="shared" si="200"/>
        <v>0</v>
      </c>
      <c r="AK193" s="28">
        <f>PRODUCTION!AL193+'SUPLIER INWARD'!AL193</f>
        <v>0</v>
      </c>
      <c r="AL193" s="28"/>
      <c r="AM193" s="29">
        <v>0</v>
      </c>
      <c r="AN193" s="30">
        <f t="shared" si="201"/>
        <v>0</v>
      </c>
      <c r="AO193" s="28">
        <f>PRODUCTION!AP193+'SUPLIER INWARD'!AP193</f>
        <v>0</v>
      </c>
      <c r="AP193" s="28"/>
      <c r="AQ193" s="29">
        <v>0</v>
      </c>
      <c r="AR193" s="30">
        <f t="shared" si="202"/>
        <v>0</v>
      </c>
      <c r="AS193" s="28">
        <f>PRODUCTION!AT193+'SUPLIER INWARD'!AT193</f>
        <v>0</v>
      </c>
      <c r="AT193" s="28"/>
      <c r="AU193" s="29">
        <v>0</v>
      </c>
      <c r="AV193" s="30">
        <f t="shared" si="203"/>
        <v>0</v>
      </c>
      <c r="AW193" s="28">
        <f>PRODUCTION!AX193+'SUPLIER INWARD'!AX193</f>
        <v>0</v>
      </c>
      <c r="AX193" s="28"/>
      <c r="AY193" s="29"/>
      <c r="AZ193" s="30">
        <f t="shared" si="204"/>
        <v>0</v>
      </c>
      <c r="BA193" s="28">
        <f>PRODUCTION!BB193+'SUPLIER INWARD'!BB193</f>
        <v>912</v>
      </c>
      <c r="BB193" s="28"/>
      <c r="BC193" s="29">
        <v>0</v>
      </c>
      <c r="BD193" s="30">
        <f t="shared" si="205"/>
        <v>912</v>
      </c>
      <c r="BE193" s="28">
        <f>PRODUCTION!BF193+'SUPLIER INWARD'!BF193</f>
        <v>2492</v>
      </c>
      <c r="BF193" s="28">
        <v>1900</v>
      </c>
      <c r="BG193" s="29">
        <v>0</v>
      </c>
      <c r="BH193" s="30">
        <f t="shared" si="206"/>
        <v>1504</v>
      </c>
      <c r="BI193" s="28">
        <f>PRODUCTION!BJ193+'SUPLIER INWARD'!BJ193</f>
        <v>0</v>
      </c>
      <c r="BJ193" s="28">
        <v>784</v>
      </c>
      <c r="BK193" s="29">
        <v>3</v>
      </c>
      <c r="BL193" s="30">
        <f t="shared" si="207"/>
        <v>717</v>
      </c>
      <c r="BM193" s="28">
        <f>PRODUCTION!BN193+'SUPLIER INWARD'!BN193</f>
        <v>0</v>
      </c>
      <c r="BN193" s="28">
        <v>700</v>
      </c>
      <c r="BO193" s="29">
        <v>0</v>
      </c>
      <c r="BP193" s="30">
        <f t="shared" si="208"/>
        <v>17</v>
      </c>
      <c r="BQ193" s="28">
        <f>PRODUCTION!BR193+'SUPLIER INWARD'!BR193</f>
        <v>0</v>
      </c>
      <c r="BR193" s="28"/>
      <c r="BS193" s="29">
        <v>0</v>
      </c>
      <c r="BT193" s="30">
        <f t="shared" si="209"/>
        <v>17</v>
      </c>
      <c r="BU193" s="28">
        <f>PRODUCTION!BV193+'SUPLIER INWARD'!BV193</f>
        <v>0</v>
      </c>
      <c r="BV193" s="28"/>
      <c r="BW193" s="29">
        <v>0</v>
      </c>
      <c r="BX193" s="30">
        <f t="shared" si="176"/>
        <v>17</v>
      </c>
      <c r="BY193" s="28">
        <f>PRODUCTION!BZ193+'SUPLIER INWARD'!BZ193</f>
        <v>0</v>
      </c>
      <c r="BZ193" s="28"/>
      <c r="CA193" s="29">
        <v>0</v>
      </c>
      <c r="CB193" s="30">
        <f t="shared" si="210"/>
        <v>17</v>
      </c>
      <c r="CC193" s="28">
        <f>PRODUCTION!CD193+'SUPLIER INWARD'!CD193</f>
        <v>2618</v>
      </c>
      <c r="CD193" s="28"/>
      <c r="CE193" s="29">
        <v>0</v>
      </c>
      <c r="CF193" s="30">
        <f t="shared" si="211"/>
        <v>2635</v>
      </c>
      <c r="CG193" s="28">
        <f>PRODUCTION!CH193+'SUPLIER INWARD'!CH193</f>
        <v>0</v>
      </c>
      <c r="CH193" s="28"/>
      <c r="CI193" s="29">
        <v>0</v>
      </c>
      <c r="CJ193" s="30">
        <f t="shared" si="179"/>
        <v>2635</v>
      </c>
      <c r="CK193" s="28">
        <f>PRODUCTION!CL193+'SUPLIER INWARD'!CL193</f>
        <v>0</v>
      </c>
      <c r="CL193" s="151"/>
      <c r="CM193" s="152"/>
      <c r="CN193" s="30">
        <f t="shared" si="180"/>
        <v>2635</v>
      </c>
      <c r="CO193" s="28">
        <f>PRODUCTION!CP193+'SUPLIER INWARD'!CP193</f>
        <v>0</v>
      </c>
      <c r="CP193" s="151"/>
      <c r="CQ193" s="29">
        <v>0</v>
      </c>
      <c r="CR193" s="30">
        <f t="shared" si="181"/>
        <v>2635</v>
      </c>
      <c r="CS193" s="28">
        <f>PRODUCTION!CT193+'SUPLIER INWARD'!CT193</f>
        <v>0</v>
      </c>
      <c r="CT193" s="28"/>
      <c r="CU193" s="29">
        <v>0</v>
      </c>
      <c r="CV193" s="30">
        <f t="shared" si="182"/>
        <v>2635</v>
      </c>
      <c r="CW193" s="28">
        <f>PRODUCTION!CX193+'SUPLIER INWARD'!CX193</f>
        <v>0</v>
      </c>
      <c r="CX193" s="28"/>
      <c r="CY193" s="29">
        <v>0</v>
      </c>
      <c r="CZ193" s="30">
        <f t="shared" si="212"/>
        <v>2635</v>
      </c>
      <c r="DA193" s="28">
        <f>PRODUCTION!DB193+'SUPLIER INWARD'!DB193</f>
        <v>0</v>
      </c>
      <c r="DB193" s="28"/>
      <c r="DC193" s="29"/>
      <c r="DD193" s="30">
        <f t="shared" si="213"/>
        <v>2635</v>
      </c>
      <c r="DE193" s="28">
        <f>PRODUCTION!DF193+'SUPLIER INWARD'!DF193</f>
        <v>0</v>
      </c>
      <c r="DF193" s="28"/>
      <c r="DG193" s="29">
        <v>0</v>
      </c>
      <c r="DH193" s="30">
        <f t="shared" si="214"/>
        <v>2635</v>
      </c>
      <c r="DI193" s="28">
        <f>PRODUCTION!DJ193+'SUPLIER INWARD'!DJ193</f>
        <v>0</v>
      </c>
      <c r="DJ193" s="28"/>
      <c r="DK193" s="29">
        <v>0</v>
      </c>
      <c r="DL193" s="30">
        <f t="shared" si="215"/>
        <v>2635</v>
      </c>
      <c r="DM193" s="28">
        <f>PRODUCTION!DN193+'SUPLIER INWARD'!DN193</f>
        <v>0</v>
      </c>
      <c r="DN193" s="28"/>
      <c r="DO193" s="29"/>
      <c r="DP193" s="30">
        <f t="shared" si="216"/>
        <v>2635</v>
      </c>
      <c r="DQ193" s="28">
        <f>PRODUCTION!DR193+'SUPLIER INWARD'!DR193</f>
        <v>0</v>
      </c>
      <c r="DR193" s="28"/>
      <c r="DS193" s="29"/>
      <c r="DT193" s="30">
        <f t="shared" si="217"/>
        <v>2635</v>
      </c>
      <c r="DU193" s="28">
        <f>PRODUCTION!DV193+'SUPLIER INWARD'!DV193</f>
        <v>0</v>
      </c>
      <c r="DV193" s="28"/>
      <c r="DW193" s="29"/>
      <c r="DX193" s="30">
        <f t="shared" si="218"/>
        <v>2635</v>
      </c>
      <c r="DY193" s="31">
        <f t="shared" si="221"/>
        <v>6022</v>
      </c>
      <c r="DZ193" s="141">
        <f t="shared" si="219"/>
        <v>3384</v>
      </c>
      <c r="EA193" s="4">
        <f t="shared" si="220"/>
        <v>3</v>
      </c>
      <c r="EB193" s="9">
        <f>D193*'MASTER SHEET'!D193</f>
        <v>0</v>
      </c>
      <c r="EC193" s="9">
        <f>H193*'MASTER SHEET'!D193</f>
        <v>0</v>
      </c>
      <c r="ED193" s="9">
        <f>L193*'MASTER SHEET'!D193</f>
        <v>0</v>
      </c>
      <c r="EE193" s="9">
        <f>P193*'MASTER SHEET'!D193</f>
        <v>0</v>
      </c>
      <c r="EF193" s="9">
        <f>T193*'MASTER SHEET'!D193</f>
        <v>0</v>
      </c>
      <c r="EG193" s="9">
        <f>X193*'MASTER SHEET'!D193</f>
        <v>0</v>
      </c>
      <c r="EH193" s="9">
        <f>AB193*'MASTER SHEET'!D193</f>
        <v>0</v>
      </c>
      <c r="EI193" s="9">
        <f>AF193*'MASTER SHEET'!D193</f>
        <v>0</v>
      </c>
      <c r="EJ193" s="9">
        <f>AJ193*'MASTER SHEET'!D193</f>
        <v>0</v>
      </c>
      <c r="EK193" s="9">
        <f>AN193*'MASTER SHEET'!D193</f>
        <v>0</v>
      </c>
      <c r="EL193" s="9">
        <f>AR193*'MASTER SHEET'!D193</f>
        <v>0</v>
      </c>
      <c r="EM193" s="9">
        <f>AV193*'MASTER SHEET'!D193</f>
        <v>0</v>
      </c>
      <c r="EN193" s="9">
        <f>AZ193*'MASTER SHEET'!D193</f>
        <v>0</v>
      </c>
      <c r="EO193" s="9">
        <f>BD193*'MASTER SHEET'!D193</f>
        <v>4952.16</v>
      </c>
      <c r="EP193" s="9">
        <f>$BH193*'MASTER SHEET'!$D193</f>
        <v>8166.7199999999993</v>
      </c>
      <c r="EQ193" s="9">
        <f>BL193*'MASTER SHEET'!D193</f>
        <v>3893.31</v>
      </c>
      <c r="ER193" s="9">
        <f>BP193*'MASTER SHEET'!D193</f>
        <v>92.31</v>
      </c>
      <c r="ES193" s="9">
        <f>BT193*'MASTER SHEET'!D193</f>
        <v>92.31</v>
      </c>
      <c r="ET193" s="9">
        <f>BX193*'MASTER SHEET'!D193</f>
        <v>92.31</v>
      </c>
      <c r="EU193" s="9">
        <f>CB193*'MASTER SHEET'!D193</f>
        <v>92.31</v>
      </c>
      <c r="EV193" s="9">
        <f>CF193*'MASTER SHEET'!D193</f>
        <v>14308.05</v>
      </c>
      <c r="EW193" s="9">
        <f>CJ193*'MASTER SHEET'!D193</f>
        <v>14308.05</v>
      </c>
      <c r="EX193" s="9">
        <f>CN193*'MASTER SHEET'!D193</f>
        <v>14308.05</v>
      </c>
      <c r="EY193" s="9">
        <f>CR193*'MASTER SHEET'!D193</f>
        <v>14308.05</v>
      </c>
      <c r="EZ193" s="9">
        <f>$CV193*'MASTER SHEET'!D193</f>
        <v>14308.05</v>
      </c>
      <c r="FA193" s="9">
        <f>CZ193*'MASTER SHEET'!D193</f>
        <v>14308.05</v>
      </c>
      <c r="FB193" s="9">
        <f>DD193*'MASTER SHEET'!D193</f>
        <v>14308.05</v>
      </c>
      <c r="FC193" s="9">
        <f>DH193*'MASTER SHEET'!D193</f>
        <v>14308.05</v>
      </c>
      <c r="FD193" s="9">
        <f>DL193*'MASTER SHEET'!D193</f>
        <v>14308.05</v>
      </c>
      <c r="FE193" s="9">
        <f>DP193*'MASTER SHEET'!D193</f>
        <v>14308.05</v>
      </c>
      <c r="FF193" s="9">
        <f>DT193*'MASTER SHEET'!D193</f>
        <v>14308.05</v>
      </c>
      <c r="FG193" s="9">
        <f>+DX193*'MASTER SHEET'!D193</f>
        <v>14308.05</v>
      </c>
    </row>
    <row r="194" spans="1:163" ht="20.25" customHeight="1" x14ac:dyDescent="0.25">
      <c r="A194" s="25">
        <f>'MASTER SHEET'!A194</f>
        <v>192</v>
      </c>
      <c r="B194" s="26" t="str">
        <f>'MASTER SHEET'!B194</f>
        <v xml:space="preserve"> MBP N6 PRECLEANER</v>
      </c>
      <c r="C194" s="78">
        <f>'MASTER SHEET'!C194</f>
        <v>5033867</v>
      </c>
      <c r="D194" s="159">
        <v>0</v>
      </c>
      <c r="E194" s="28">
        <f>PRODUCTION!F194+'SUPLIER INWARD'!F194</f>
        <v>0</v>
      </c>
      <c r="F194" s="28"/>
      <c r="G194" s="29">
        <v>0</v>
      </c>
      <c r="H194" s="30">
        <f t="shared" si="193"/>
        <v>0</v>
      </c>
      <c r="I194" s="28">
        <f>PRODUCTION!J194+'SUPLIER INWARD'!J194</f>
        <v>0</v>
      </c>
      <c r="J194" s="28"/>
      <c r="K194" s="29">
        <v>0</v>
      </c>
      <c r="L194" s="30">
        <f t="shared" si="194"/>
        <v>0</v>
      </c>
      <c r="M194" s="28">
        <f>PRODUCTION!N194+'SUPLIER INWARD'!N194</f>
        <v>0</v>
      </c>
      <c r="N194" s="28"/>
      <c r="O194" s="29"/>
      <c r="P194" s="30">
        <f t="shared" si="195"/>
        <v>0</v>
      </c>
      <c r="Q194" s="28">
        <f>PRODUCTION!R194+'SUPLIER INWARD'!R194</f>
        <v>0</v>
      </c>
      <c r="R194" s="28"/>
      <c r="S194" s="29">
        <v>0</v>
      </c>
      <c r="T194" s="30">
        <f t="shared" si="196"/>
        <v>0</v>
      </c>
      <c r="U194" s="28">
        <f>PRODUCTION!V194+'SUPLIER INWARD'!V194</f>
        <v>0</v>
      </c>
      <c r="V194" s="28"/>
      <c r="W194" s="29">
        <v>0</v>
      </c>
      <c r="X194" s="30">
        <f t="shared" si="197"/>
        <v>0</v>
      </c>
      <c r="Y194" s="28">
        <f>PRODUCTION!Z194+'SUPLIER INWARD'!Z194</f>
        <v>0</v>
      </c>
      <c r="Z194" s="28"/>
      <c r="AA194" s="29">
        <v>0</v>
      </c>
      <c r="AB194" s="30">
        <f t="shared" si="198"/>
        <v>0</v>
      </c>
      <c r="AC194" s="28">
        <f>PRODUCTION!AD194+'SUPLIER INWARD'!AD194</f>
        <v>0</v>
      </c>
      <c r="AD194" s="28"/>
      <c r="AE194" s="29">
        <v>0</v>
      </c>
      <c r="AF194" s="30">
        <f t="shared" si="199"/>
        <v>0</v>
      </c>
      <c r="AG194" s="28">
        <f>PRODUCTION!AH194+'SUPLIER INWARD'!AH194</f>
        <v>0</v>
      </c>
      <c r="AH194" s="28"/>
      <c r="AI194" s="29">
        <v>0</v>
      </c>
      <c r="AJ194" s="30">
        <f t="shared" si="200"/>
        <v>0</v>
      </c>
      <c r="AK194" s="28">
        <f>PRODUCTION!AL194+'SUPLIER INWARD'!AL194</f>
        <v>0</v>
      </c>
      <c r="AL194" s="28"/>
      <c r="AM194" s="29">
        <v>0</v>
      </c>
      <c r="AN194" s="30">
        <f t="shared" si="201"/>
        <v>0</v>
      </c>
      <c r="AO194" s="28">
        <f>PRODUCTION!AP194+'SUPLIER INWARD'!AP194</f>
        <v>0</v>
      </c>
      <c r="AP194" s="28"/>
      <c r="AQ194" s="29">
        <v>0</v>
      </c>
      <c r="AR194" s="30">
        <f t="shared" si="202"/>
        <v>0</v>
      </c>
      <c r="AS194" s="28">
        <f>PRODUCTION!AT194+'SUPLIER INWARD'!AT194</f>
        <v>0</v>
      </c>
      <c r="AT194" s="28"/>
      <c r="AU194" s="29">
        <v>0</v>
      </c>
      <c r="AV194" s="30">
        <f t="shared" si="203"/>
        <v>0</v>
      </c>
      <c r="AW194" s="28">
        <f>PRODUCTION!AX194+'SUPLIER INWARD'!AX194</f>
        <v>0</v>
      </c>
      <c r="AX194" s="28"/>
      <c r="AY194" s="29"/>
      <c r="AZ194" s="30">
        <f t="shared" si="204"/>
        <v>0</v>
      </c>
      <c r="BA194" s="28">
        <f>PRODUCTION!BB194+'SUPLIER INWARD'!BB194</f>
        <v>0</v>
      </c>
      <c r="BB194" s="28"/>
      <c r="BC194" s="29">
        <v>0</v>
      </c>
      <c r="BD194" s="30">
        <f t="shared" si="205"/>
        <v>0</v>
      </c>
      <c r="BE194" s="28">
        <f>PRODUCTION!BF194+'SUPLIER INWARD'!BF194</f>
        <v>0</v>
      </c>
      <c r="BF194" s="28"/>
      <c r="BG194" s="29">
        <v>0</v>
      </c>
      <c r="BH194" s="30">
        <f t="shared" si="206"/>
        <v>0</v>
      </c>
      <c r="BI194" s="28">
        <f>PRODUCTION!BJ194+'SUPLIER INWARD'!BJ194</f>
        <v>0</v>
      </c>
      <c r="BJ194" s="28"/>
      <c r="BK194" s="29">
        <v>0</v>
      </c>
      <c r="BL194" s="30">
        <f t="shared" si="207"/>
        <v>0</v>
      </c>
      <c r="BM194" s="28">
        <f>PRODUCTION!BN194+'SUPLIER INWARD'!BN194</f>
        <v>0</v>
      </c>
      <c r="BN194" s="28"/>
      <c r="BO194" s="29">
        <v>0</v>
      </c>
      <c r="BP194" s="30">
        <f t="shared" si="208"/>
        <v>0</v>
      </c>
      <c r="BQ194" s="28">
        <f>PRODUCTION!BR194+'SUPLIER INWARD'!BR194</f>
        <v>0</v>
      </c>
      <c r="BR194" s="28"/>
      <c r="BS194" s="29">
        <v>0</v>
      </c>
      <c r="BT194" s="30">
        <f t="shared" si="209"/>
        <v>0</v>
      </c>
      <c r="BU194" s="28">
        <f>PRODUCTION!BV194+'SUPLIER INWARD'!BV194</f>
        <v>0</v>
      </c>
      <c r="BV194" s="28"/>
      <c r="BW194" s="29">
        <v>0</v>
      </c>
      <c r="BX194" s="30">
        <f t="shared" si="176"/>
        <v>0</v>
      </c>
      <c r="BY194" s="28">
        <f>PRODUCTION!BZ194+'SUPLIER INWARD'!BZ194</f>
        <v>0</v>
      </c>
      <c r="BZ194" s="28"/>
      <c r="CA194" s="29">
        <v>0</v>
      </c>
      <c r="CB194" s="30">
        <f t="shared" si="210"/>
        <v>0</v>
      </c>
      <c r="CC194" s="28">
        <f>PRODUCTION!CD194+'SUPLIER INWARD'!CD194</f>
        <v>0</v>
      </c>
      <c r="CD194" s="28"/>
      <c r="CE194" s="29">
        <v>0</v>
      </c>
      <c r="CF194" s="30">
        <f t="shared" si="211"/>
        <v>0</v>
      </c>
      <c r="CG194" s="28">
        <f>PRODUCTION!CH194+'SUPLIER INWARD'!CH194</f>
        <v>0</v>
      </c>
      <c r="CH194" s="28"/>
      <c r="CI194" s="29">
        <v>0</v>
      </c>
      <c r="CJ194" s="30">
        <f t="shared" si="179"/>
        <v>0</v>
      </c>
      <c r="CK194" s="28">
        <f>PRODUCTION!CL194+'SUPLIER INWARD'!CL194</f>
        <v>0</v>
      </c>
      <c r="CL194" s="151"/>
      <c r="CM194" s="152"/>
      <c r="CN194" s="30">
        <f t="shared" si="180"/>
        <v>0</v>
      </c>
      <c r="CO194" s="28">
        <f>PRODUCTION!CP194+'SUPLIER INWARD'!CP194</f>
        <v>0</v>
      </c>
      <c r="CP194" s="151"/>
      <c r="CQ194" s="29">
        <v>0</v>
      </c>
      <c r="CR194" s="30">
        <f t="shared" si="181"/>
        <v>0</v>
      </c>
      <c r="CS194" s="28">
        <f>PRODUCTION!CT194+'SUPLIER INWARD'!CT194</f>
        <v>0</v>
      </c>
      <c r="CT194" s="28"/>
      <c r="CU194" s="29">
        <v>0</v>
      </c>
      <c r="CV194" s="30">
        <f t="shared" si="182"/>
        <v>0</v>
      </c>
      <c r="CW194" s="28">
        <f>PRODUCTION!CX194+'SUPLIER INWARD'!CX194</f>
        <v>0</v>
      </c>
      <c r="CX194" s="28"/>
      <c r="CY194" s="29">
        <v>0</v>
      </c>
      <c r="CZ194" s="30">
        <f t="shared" si="212"/>
        <v>0</v>
      </c>
      <c r="DA194" s="28">
        <f>PRODUCTION!DB194+'SUPLIER INWARD'!DB194</f>
        <v>0</v>
      </c>
      <c r="DB194" s="28"/>
      <c r="DC194" s="29"/>
      <c r="DD194" s="30">
        <f t="shared" si="213"/>
        <v>0</v>
      </c>
      <c r="DE194" s="28">
        <f>PRODUCTION!DF194+'SUPLIER INWARD'!DF194</f>
        <v>0</v>
      </c>
      <c r="DF194" s="28"/>
      <c r="DG194" s="29">
        <v>0</v>
      </c>
      <c r="DH194" s="30">
        <f t="shared" si="214"/>
        <v>0</v>
      </c>
      <c r="DI194" s="28">
        <f>PRODUCTION!DJ194+'SUPLIER INWARD'!DJ194</f>
        <v>0</v>
      </c>
      <c r="DJ194" s="28"/>
      <c r="DK194" s="29">
        <v>0</v>
      </c>
      <c r="DL194" s="30">
        <f t="shared" si="215"/>
        <v>0</v>
      </c>
      <c r="DM194" s="28">
        <f>PRODUCTION!DN194+'SUPLIER INWARD'!DN194</f>
        <v>0</v>
      </c>
      <c r="DN194" s="28"/>
      <c r="DO194" s="29"/>
      <c r="DP194" s="30">
        <f t="shared" si="216"/>
        <v>0</v>
      </c>
      <c r="DQ194" s="28">
        <f>PRODUCTION!DR194+'SUPLIER INWARD'!DR194</f>
        <v>0</v>
      </c>
      <c r="DR194" s="28"/>
      <c r="DS194" s="29"/>
      <c r="DT194" s="30">
        <f t="shared" si="217"/>
        <v>0</v>
      </c>
      <c r="DU194" s="28">
        <f>PRODUCTION!DV194+'SUPLIER INWARD'!DV194</f>
        <v>0</v>
      </c>
      <c r="DV194" s="28"/>
      <c r="DW194" s="29"/>
      <c r="DX194" s="30">
        <f t="shared" si="218"/>
        <v>0</v>
      </c>
      <c r="DY194" s="31">
        <f t="shared" si="221"/>
        <v>0</v>
      </c>
      <c r="DZ194" s="141">
        <f t="shared" si="219"/>
        <v>0</v>
      </c>
      <c r="EA194" s="4">
        <f t="shared" si="220"/>
        <v>0</v>
      </c>
      <c r="EB194" s="9">
        <f>D194*'MASTER SHEET'!D194</f>
        <v>0</v>
      </c>
      <c r="EC194" s="9">
        <f>H194*'MASTER SHEET'!D194</f>
        <v>0</v>
      </c>
      <c r="ED194" s="9">
        <f>L194*'MASTER SHEET'!D194</f>
        <v>0</v>
      </c>
      <c r="EE194" s="9">
        <f>P194*'MASTER SHEET'!D194</f>
        <v>0</v>
      </c>
      <c r="EF194" s="9">
        <f>T194*'MASTER SHEET'!D194</f>
        <v>0</v>
      </c>
      <c r="EG194" s="9">
        <f>X194*'MASTER SHEET'!D194</f>
        <v>0</v>
      </c>
      <c r="EH194" s="9">
        <f>AB194*'MASTER SHEET'!D194</f>
        <v>0</v>
      </c>
      <c r="EI194" s="9">
        <f>AF194*'MASTER SHEET'!D194</f>
        <v>0</v>
      </c>
      <c r="EJ194" s="9">
        <f>AJ194*'MASTER SHEET'!D194</f>
        <v>0</v>
      </c>
      <c r="EK194" s="9">
        <f>AN194*'MASTER SHEET'!D194</f>
        <v>0</v>
      </c>
      <c r="EL194" s="9">
        <f>AR194*'MASTER SHEET'!D194</f>
        <v>0</v>
      </c>
      <c r="EM194" s="9">
        <f>AV194*'MASTER SHEET'!D194</f>
        <v>0</v>
      </c>
      <c r="EN194" s="9">
        <f>AZ194*'MASTER SHEET'!D194</f>
        <v>0</v>
      </c>
      <c r="EO194" s="9">
        <f>BD194*'MASTER SHEET'!D194</f>
        <v>0</v>
      </c>
      <c r="EP194" s="9">
        <f>$BH194*'MASTER SHEET'!$D194</f>
        <v>0</v>
      </c>
      <c r="EQ194" s="9">
        <f>BL194*'MASTER SHEET'!D194</f>
        <v>0</v>
      </c>
      <c r="ER194" s="9">
        <f>BP194*'MASTER SHEET'!D194</f>
        <v>0</v>
      </c>
      <c r="ES194" s="9">
        <f>BT194*'MASTER SHEET'!D194</f>
        <v>0</v>
      </c>
      <c r="ET194" s="9">
        <f>BX194*'MASTER SHEET'!D194</f>
        <v>0</v>
      </c>
      <c r="EU194" s="9">
        <f>CB194*'MASTER SHEET'!D194</f>
        <v>0</v>
      </c>
      <c r="EV194" s="9">
        <f>CF194*'MASTER SHEET'!D194</f>
        <v>0</v>
      </c>
      <c r="EW194" s="9">
        <f>CJ194*'MASTER SHEET'!D194</f>
        <v>0</v>
      </c>
      <c r="EX194" s="9">
        <f>CN194*'MASTER SHEET'!D194</f>
        <v>0</v>
      </c>
      <c r="EY194" s="9">
        <f>CR194*'MASTER SHEET'!D194</f>
        <v>0</v>
      </c>
      <c r="EZ194" s="9">
        <f>$CV194*'MASTER SHEET'!D194</f>
        <v>0</v>
      </c>
      <c r="FA194" s="9">
        <f>CZ194*'MASTER SHEET'!D194</f>
        <v>0</v>
      </c>
      <c r="FB194" s="9">
        <f>DD194*'MASTER SHEET'!D194</f>
        <v>0</v>
      </c>
      <c r="FC194" s="9">
        <f>DH194*'MASTER SHEET'!D194</f>
        <v>0</v>
      </c>
      <c r="FD194" s="9">
        <f>DL194*'MASTER SHEET'!D194</f>
        <v>0</v>
      </c>
      <c r="FE194" s="9">
        <f>DP194*'MASTER SHEET'!D194</f>
        <v>0</v>
      </c>
      <c r="FF194" s="9">
        <f>DT194*'MASTER SHEET'!D194</f>
        <v>0</v>
      </c>
      <c r="FG194" s="9">
        <f>+DX194*'MASTER SHEET'!D194</f>
        <v>0</v>
      </c>
    </row>
    <row r="195" spans="1:163" ht="20.25" customHeight="1" x14ac:dyDescent="0.25">
      <c r="A195" s="25">
        <f>'MASTER SHEET'!A195</f>
        <v>193</v>
      </c>
      <c r="B195" s="26" t="str">
        <f>'MASTER SHEET'!B195</f>
        <v>BOWL PLASTIC</v>
      </c>
      <c r="C195" s="78">
        <f>'MASTER SHEET'!C195</f>
        <v>5011024</v>
      </c>
      <c r="D195" s="159">
        <v>16</v>
      </c>
      <c r="E195" s="28">
        <f>PRODUCTION!F195+'SUPLIER INWARD'!F195</f>
        <v>0</v>
      </c>
      <c r="F195" s="28"/>
      <c r="G195" s="29">
        <v>0</v>
      </c>
      <c r="H195" s="30">
        <f t="shared" ref="H195:H202" si="222">D195+E195-F195-G195</f>
        <v>16</v>
      </c>
      <c r="I195" s="28">
        <f>PRODUCTION!J195+'SUPLIER INWARD'!J195</f>
        <v>0</v>
      </c>
      <c r="J195" s="28"/>
      <c r="K195" s="29">
        <v>0</v>
      </c>
      <c r="L195" s="30">
        <f t="shared" ref="L195:L202" si="223">H195+I195-J195-K195</f>
        <v>16</v>
      </c>
      <c r="M195" s="28">
        <f>PRODUCTION!N195+'SUPLIER INWARD'!N195</f>
        <v>0</v>
      </c>
      <c r="N195" s="28"/>
      <c r="O195" s="29"/>
      <c r="P195" s="30">
        <f t="shared" ref="P195:P202" si="224">L195+M195-N195-O195</f>
        <v>16</v>
      </c>
      <c r="Q195" s="28">
        <f>PRODUCTION!R195+'SUPLIER INWARD'!R195</f>
        <v>0</v>
      </c>
      <c r="R195" s="28"/>
      <c r="S195" s="29">
        <v>0</v>
      </c>
      <c r="T195" s="30">
        <f t="shared" ref="T195:T202" si="225">P195+Q195-R195-S195</f>
        <v>16</v>
      </c>
      <c r="U195" s="28">
        <f>PRODUCTION!V195+'SUPLIER INWARD'!V195</f>
        <v>0</v>
      </c>
      <c r="V195" s="28"/>
      <c r="W195" s="29">
        <v>0</v>
      </c>
      <c r="X195" s="30">
        <f t="shared" ref="X195:X202" si="226">T195+U195-V195-W195</f>
        <v>16</v>
      </c>
      <c r="Y195" s="28">
        <f>PRODUCTION!Z195+'SUPLIER INWARD'!Z195</f>
        <v>0</v>
      </c>
      <c r="Z195" s="28"/>
      <c r="AA195" s="29">
        <v>0</v>
      </c>
      <c r="AB195" s="30">
        <f t="shared" ref="AB195:AB202" si="227">X195+Y195-Z195-AA195</f>
        <v>16</v>
      </c>
      <c r="AC195" s="28">
        <f>PRODUCTION!AD195+'SUPLIER INWARD'!AD195</f>
        <v>0</v>
      </c>
      <c r="AD195" s="28"/>
      <c r="AE195" s="29">
        <v>0</v>
      </c>
      <c r="AF195" s="30">
        <f t="shared" ref="AF195:AF202" si="228">AB195+AC195-AD195-AE195</f>
        <v>16</v>
      </c>
      <c r="AG195" s="28">
        <f>PRODUCTION!AH195+'SUPLIER INWARD'!AH195</f>
        <v>0</v>
      </c>
      <c r="AH195" s="28"/>
      <c r="AI195" s="29">
        <v>0</v>
      </c>
      <c r="AJ195" s="30">
        <f t="shared" ref="AJ195:AJ202" si="229">AF195+AG195-AH195-AI195</f>
        <v>16</v>
      </c>
      <c r="AK195" s="28">
        <f>PRODUCTION!AL195+'SUPLIER INWARD'!AL195</f>
        <v>0</v>
      </c>
      <c r="AL195" s="28"/>
      <c r="AM195" s="29">
        <v>0</v>
      </c>
      <c r="AN195" s="30">
        <f t="shared" ref="AN195:AN202" si="230">AJ195+AK195-AL195-AM195</f>
        <v>16</v>
      </c>
      <c r="AO195" s="28">
        <f>PRODUCTION!AP195+'SUPLIER INWARD'!AP195</f>
        <v>0</v>
      </c>
      <c r="AP195" s="28"/>
      <c r="AQ195" s="29">
        <v>0</v>
      </c>
      <c r="AR195" s="30">
        <f t="shared" ref="AR195:AR202" si="231">AN195+AO195-AP195-AQ195</f>
        <v>16</v>
      </c>
      <c r="AS195" s="28">
        <f>PRODUCTION!AT195+'SUPLIER INWARD'!AT195</f>
        <v>0</v>
      </c>
      <c r="AT195" s="28"/>
      <c r="AU195" s="29">
        <v>0</v>
      </c>
      <c r="AV195" s="30">
        <f t="shared" ref="AV195:AV202" si="232">AR195+AS195-AT195-AU195</f>
        <v>16</v>
      </c>
      <c r="AW195" s="28">
        <f>PRODUCTION!AX195+'SUPLIER INWARD'!AX195</f>
        <v>0</v>
      </c>
      <c r="AX195" s="28"/>
      <c r="AY195" s="29"/>
      <c r="AZ195" s="30">
        <f t="shared" ref="AZ195:AZ202" si="233">AV195+AW195-AX195-AY195</f>
        <v>16</v>
      </c>
      <c r="BA195" s="28">
        <f>PRODUCTION!BB195+'SUPLIER INWARD'!BB195</f>
        <v>0</v>
      </c>
      <c r="BB195" s="28"/>
      <c r="BC195" s="29">
        <v>0</v>
      </c>
      <c r="BD195" s="30">
        <f t="shared" ref="BD195:BD202" si="234">AZ195+BA195-BB195-BC195</f>
        <v>16</v>
      </c>
      <c r="BE195" s="28">
        <f>PRODUCTION!BF195+'SUPLIER INWARD'!BF195</f>
        <v>0</v>
      </c>
      <c r="BF195" s="28"/>
      <c r="BG195" s="29">
        <v>0</v>
      </c>
      <c r="BH195" s="30">
        <f t="shared" ref="BH195:BH202" si="235">BD195+BE195-BF195-BG195</f>
        <v>16</v>
      </c>
      <c r="BI195" s="28">
        <f>PRODUCTION!BJ195+'SUPLIER INWARD'!BJ195</f>
        <v>0</v>
      </c>
      <c r="BJ195" s="28"/>
      <c r="BK195" s="29">
        <v>0</v>
      </c>
      <c r="BL195" s="30">
        <f t="shared" ref="BL195:BL202" si="236">BH195+BI195-BJ195-BK195</f>
        <v>16</v>
      </c>
      <c r="BM195" s="28">
        <f>PRODUCTION!BN195+'SUPLIER INWARD'!BN195</f>
        <v>0</v>
      </c>
      <c r="BN195" s="28"/>
      <c r="BO195" s="29">
        <v>0</v>
      </c>
      <c r="BP195" s="30">
        <f t="shared" ref="BP195:BP202" si="237">BL195+BM195-BN195-BO195</f>
        <v>16</v>
      </c>
      <c r="BQ195" s="28">
        <f>PRODUCTION!BR195+'SUPLIER INWARD'!BR195</f>
        <v>0</v>
      </c>
      <c r="BR195" s="28"/>
      <c r="BS195" s="29">
        <v>0</v>
      </c>
      <c r="BT195" s="30">
        <f t="shared" ref="BT195:BT202" si="238">BP195+BQ195-BR195-BS195</f>
        <v>16</v>
      </c>
      <c r="BU195" s="28">
        <f>PRODUCTION!BV195+'SUPLIER INWARD'!BV195</f>
        <v>0</v>
      </c>
      <c r="BV195" s="28"/>
      <c r="BW195" s="29">
        <v>0</v>
      </c>
      <c r="BX195" s="30">
        <f t="shared" ref="BX195:BX202" si="239">BT195+BU195-BV195-BW195</f>
        <v>16</v>
      </c>
      <c r="BY195" s="28">
        <f>PRODUCTION!BZ195+'SUPLIER INWARD'!BZ195</f>
        <v>0</v>
      </c>
      <c r="BZ195" s="28"/>
      <c r="CA195" s="29">
        <v>0</v>
      </c>
      <c r="CB195" s="30">
        <f t="shared" ref="CB195:CB202" si="240">BX195+BY195-BZ195-CA195</f>
        <v>16</v>
      </c>
      <c r="CC195" s="28">
        <f>PRODUCTION!CD195+'SUPLIER INWARD'!CD195</f>
        <v>0</v>
      </c>
      <c r="CD195" s="28"/>
      <c r="CE195" s="29">
        <v>0</v>
      </c>
      <c r="CF195" s="30">
        <f t="shared" ref="CF195:CF202" si="241">CB195+CC195-CD195-CE195</f>
        <v>16</v>
      </c>
      <c r="CG195" s="28">
        <f>PRODUCTION!CH195+'SUPLIER INWARD'!CH195</f>
        <v>0</v>
      </c>
      <c r="CH195" s="28"/>
      <c r="CI195" s="29">
        <v>0</v>
      </c>
      <c r="CJ195" s="30">
        <f t="shared" ref="CJ195:CJ202" si="242">CF195+CG195-CH195-CI195</f>
        <v>16</v>
      </c>
      <c r="CK195" s="28">
        <f>PRODUCTION!CL195+'SUPLIER INWARD'!CL195</f>
        <v>0</v>
      </c>
      <c r="CL195" s="151"/>
      <c r="CM195" s="152"/>
      <c r="CN195" s="30">
        <f t="shared" ref="CN195:CN202" si="243">CJ195+CK195-CL195-CM195</f>
        <v>16</v>
      </c>
      <c r="CO195" s="28">
        <f>PRODUCTION!CP195+'SUPLIER INWARD'!CP195</f>
        <v>0</v>
      </c>
      <c r="CP195" s="151"/>
      <c r="CQ195" s="29">
        <v>0</v>
      </c>
      <c r="CR195" s="30">
        <f t="shared" ref="CR195:CR202" si="244">CN195+CO195-CP195-CQ195</f>
        <v>16</v>
      </c>
      <c r="CS195" s="28">
        <f>PRODUCTION!CT195+'SUPLIER INWARD'!CT195</f>
        <v>0</v>
      </c>
      <c r="CT195" s="28"/>
      <c r="CU195" s="29">
        <v>0</v>
      </c>
      <c r="CV195" s="30">
        <f t="shared" ref="CV195:CV202" si="245">CR195+CS195-CT195-CU195</f>
        <v>16</v>
      </c>
      <c r="CW195" s="28">
        <f>PRODUCTION!CX195+'SUPLIER INWARD'!CX195</f>
        <v>0</v>
      </c>
      <c r="CX195" s="28"/>
      <c r="CY195" s="29">
        <v>0</v>
      </c>
      <c r="CZ195" s="30">
        <f t="shared" ref="CZ195:CZ202" si="246">CV195+CW195-CX195-CY195</f>
        <v>16</v>
      </c>
      <c r="DA195" s="28">
        <f>PRODUCTION!DB195+'SUPLIER INWARD'!DB195</f>
        <v>0</v>
      </c>
      <c r="DB195" s="28"/>
      <c r="DC195" s="29"/>
      <c r="DD195" s="30">
        <f t="shared" ref="DD195:DD202" si="247">CZ195+DA195-DB195-DC195</f>
        <v>16</v>
      </c>
      <c r="DE195" s="28">
        <f>PRODUCTION!DF195+'SUPLIER INWARD'!DF195</f>
        <v>0</v>
      </c>
      <c r="DF195" s="28"/>
      <c r="DG195" s="29">
        <v>0</v>
      </c>
      <c r="DH195" s="30">
        <f t="shared" ref="DH195:DH202" si="248">DD195+DE195-DF195-DG195</f>
        <v>16</v>
      </c>
      <c r="DI195" s="28">
        <f>PRODUCTION!DJ195+'SUPLIER INWARD'!DJ195</f>
        <v>0</v>
      </c>
      <c r="DJ195" s="28"/>
      <c r="DK195" s="29">
        <v>0</v>
      </c>
      <c r="DL195" s="30">
        <f t="shared" ref="DL195:DL202" si="249">DH195+DI195-DJ195-DK195</f>
        <v>16</v>
      </c>
      <c r="DM195" s="28">
        <f>PRODUCTION!DN195+'SUPLIER INWARD'!DN195</f>
        <v>0</v>
      </c>
      <c r="DN195" s="28"/>
      <c r="DO195" s="29"/>
      <c r="DP195" s="30">
        <f t="shared" ref="DP195:DP202" si="250">DL195+DM195-DN195-DO195</f>
        <v>16</v>
      </c>
      <c r="DQ195" s="28">
        <f>PRODUCTION!DR195+'SUPLIER INWARD'!DR195</f>
        <v>0</v>
      </c>
      <c r="DR195" s="28"/>
      <c r="DS195" s="29"/>
      <c r="DT195" s="30">
        <f t="shared" ref="DT195:DT202" si="251">DP195+DQ195-DR195-DS195</f>
        <v>16</v>
      </c>
      <c r="DU195" s="28">
        <f>PRODUCTION!DV195+'SUPLIER INWARD'!DV195</f>
        <v>0</v>
      </c>
      <c r="DV195" s="28"/>
      <c r="DW195" s="29"/>
      <c r="DX195" s="30">
        <f t="shared" ref="DX195:DX202" si="252">DT195+DU195-DV195-DW195</f>
        <v>16</v>
      </c>
      <c r="DY195" s="31">
        <f t="shared" si="221"/>
        <v>0</v>
      </c>
      <c r="DZ195" s="141">
        <f t="shared" si="219"/>
        <v>0</v>
      </c>
      <c r="EA195" s="4">
        <f t="shared" si="220"/>
        <v>0</v>
      </c>
      <c r="EB195" s="9">
        <f>D195*'MASTER SHEET'!D195</f>
        <v>725.92</v>
      </c>
      <c r="EC195" s="9">
        <f>H195*'MASTER SHEET'!D195</f>
        <v>725.92</v>
      </c>
      <c r="ED195" s="9">
        <f>L195*'MASTER SHEET'!D195</f>
        <v>725.92</v>
      </c>
      <c r="EE195" s="9">
        <f>P195*'MASTER SHEET'!D195</f>
        <v>725.92</v>
      </c>
      <c r="EF195" s="9">
        <f>T195*'MASTER SHEET'!D195</f>
        <v>725.92</v>
      </c>
      <c r="EG195" s="9">
        <f>X195*'MASTER SHEET'!D195</f>
        <v>725.92</v>
      </c>
      <c r="EH195" s="9">
        <f>AB195*'MASTER SHEET'!D195</f>
        <v>725.92</v>
      </c>
      <c r="EI195" s="9">
        <f>AF195*'MASTER SHEET'!D195</f>
        <v>725.92</v>
      </c>
      <c r="EJ195" s="9">
        <f>AJ195*'MASTER SHEET'!D195</f>
        <v>725.92</v>
      </c>
      <c r="EK195" s="9">
        <f>AN195*'MASTER SHEET'!D195</f>
        <v>725.92</v>
      </c>
      <c r="EL195" s="9">
        <f>AR195*'MASTER SHEET'!D195</f>
        <v>725.92</v>
      </c>
      <c r="EM195" s="9">
        <f>AV195*'MASTER SHEET'!D195</f>
        <v>725.92</v>
      </c>
      <c r="EN195" s="9">
        <f>AZ195*'MASTER SHEET'!D195</f>
        <v>725.92</v>
      </c>
      <c r="EO195" s="9">
        <f>BD195*'MASTER SHEET'!D195</f>
        <v>725.92</v>
      </c>
      <c r="EP195" s="9">
        <f>$BH195*'MASTER SHEET'!$D195</f>
        <v>725.92</v>
      </c>
      <c r="EQ195" s="9">
        <f>BL195*'MASTER SHEET'!D195</f>
        <v>725.92</v>
      </c>
      <c r="ER195" s="9">
        <f>BP195*'MASTER SHEET'!D195</f>
        <v>725.92</v>
      </c>
      <c r="ES195" s="9">
        <f>BT195*'MASTER SHEET'!D195</f>
        <v>725.92</v>
      </c>
      <c r="ET195" s="9">
        <f>BX195*'MASTER SHEET'!D195</f>
        <v>725.92</v>
      </c>
      <c r="EU195" s="9">
        <f>CB195*'MASTER SHEET'!D195</f>
        <v>725.92</v>
      </c>
      <c r="EV195" s="9">
        <f>CF195*'MASTER SHEET'!D195</f>
        <v>725.92</v>
      </c>
      <c r="EW195" s="9">
        <f>CJ195*'MASTER SHEET'!D195</f>
        <v>725.92</v>
      </c>
      <c r="EX195" s="9">
        <f>CN195*'MASTER SHEET'!D195</f>
        <v>725.92</v>
      </c>
      <c r="EY195" s="9">
        <f>CR195*'MASTER SHEET'!D195</f>
        <v>725.92</v>
      </c>
      <c r="EZ195" s="9">
        <f>$CV195*'MASTER SHEET'!D195</f>
        <v>725.92</v>
      </c>
      <c r="FA195" s="9">
        <f>CZ195*'MASTER SHEET'!D195</f>
        <v>725.92</v>
      </c>
      <c r="FB195" s="9">
        <f>DD195*'MASTER SHEET'!D195</f>
        <v>725.92</v>
      </c>
      <c r="FC195" s="9">
        <f>DH195*'MASTER SHEET'!D195</f>
        <v>725.92</v>
      </c>
      <c r="FD195" s="9">
        <f>DL195*'MASTER SHEET'!D195</f>
        <v>725.92</v>
      </c>
      <c r="FE195" s="9">
        <f>DP195*'MASTER SHEET'!D195</f>
        <v>725.92</v>
      </c>
      <c r="FF195" s="9">
        <f>DT195*'MASTER SHEET'!D195</f>
        <v>725.92</v>
      </c>
      <c r="FG195" s="9">
        <f>+DX195*'MASTER SHEET'!D195</f>
        <v>725.92</v>
      </c>
    </row>
    <row r="196" spans="1:163" ht="20.25" customHeight="1" x14ac:dyDescent="0.25">
      <c r="A196" s="25">
        <f>'MASTER SHEET'!A196</f>
        <v>194</v>
      </c>
      <c r="B196" s="26">
        <f>'MASTER SHEET'!B196</f>
        <v>0</v>
      </c>
      <c r="C196" s="78">
        <f>'MASTER SHEET'!C196</f>
        <v>5038801</v>
      </c>
      <c r="D196" s="159">
        <v>15</v>
      </c>
      <c r="E196" s="28">
        <f>PRODUCTION!F196+'SUPLIER INWARD'!F196</f>
        <v>0</v>
      </c>
      <c r="F196" s="28"/>
      <c r="G196" s="29">
        <v>0</v>
      </c>
      <c r="H196" s="30">
        <f t="shared" si="222"/>
        <v>15</v>
      </c>
      <c r="I196" s="28">
        <f>PRODUCTION!J196+'SUPLIER INWARD'!J196</f>
        <v>0</v>
      </c>
      <c r="J196" s="28"/>
      <c r="K196" s="29">
        <v>0</v>
      </c>
      <c r="L196" s="30">
        <f t="shared" si="223"/>
        <v>15</v>
      </c>
      <c r="M196" s="28">
        <f>PRODUCTION!N196+'SUPLIER INWARD'!N196</f>
        <v>0</v>
      </c>
      <c r="N196" s="28"/>
      <c r="O196" s="29"/>
      <c r="P196" s="30">
        <f t="shared" si="224"/>
        <v>15</v>
      </c>
      <c r="Q196" s="28">
        <f>PRODUCTION!R196+'SUPLIER INWARD'!R196</f>
        <v>0</v>
      </c>
      <c r="R196" s="28"/>
      <c r="S196" s="29">
        <v>0</v>
      </c>
      <c r="T196" s="30">
        <f t="shared" si="225"/>
        <v>15</v>
      </c>
      <c r="U196" s="28">
        <f>PRODUCTION!V196+'SUPLIER INWARD'!V196</f>
        <v>0</v>
      </c>
      <c r="V196" s="28"/>
      <c r="W196" s="29">
        <v>0</v>
      </c>
      <c r="X196" s="30">
        <f t="shared" si="226"/>
        <v>15</v>
      </c>
      <c r="Y196" s="28">
        <f>PRODUCTION!Z196+'SUPLIER INWARD'!Z196</f>
        <v>0</v>
      </c>
      <c r="Z196" s="28"/>
      <c r="AA196" s="29">
        <v>0</v>
      </c>
      <c r="AB196" s="30">
        <f t="shared" si="227"/>
        <v>15</v>
      </c>
      <c r="AC196" s="28">
        <f>PRODUCTION!AD196+'SUPLIER INWARD'!AD196</f>
        <v>0</v>
      </c>
      <c r="AD196" s="28"/>
      <c r="AE196" s="29">
        <v>0</v>
      </c>
      <c r="AF196" s="30">
        <f t="shared" si="228"/>
        <v>15</v>
      </c>
      <c r="AG196" s="28">
        <f>PRODUCTION!AH196+'SUPLIER INWARD'!AH196</f>
        <v>0</v>
      </c>
      <c r="AH196" s="28"/>
      <c r="AI196" s="29">
        <v>0</v>
      </c>
      <c r="AJ196" s="30">
        <f t="shared" si="229"/>
        <v>15</v>
      </c>
      <c r="AK196" s="28">
        <f>PRODUCTION!AL196+'SUPLIER INWARD'!AL196</f>
        <v>0</v>
      </c>
      <c r="AL196" s="28"/>
      <c r="AM196" s="29">
        <v>0</v>
      </c>
      <c r="AN196" s="30">
        <f t="shared" si="230"/>
        <v>15</v>
      </c>
      <c r="AO196" s="28">
        <f>PRODUCTION!AP196+'SUPLIER INWARD'!AP196</f>
        <v>0</v>
      </c>
      <c r="AP196" s="28"/>
      <c r="AQ196" s="29">
        <v>0</v>
      </c>
      <c r="AR196" s="30">
        <f t="shared" si="231"/>
        <v>15</v>
      </c>
      <c r="AS196" s="28">
        <f>PRODUCTION!AT196+'SUPLIER INWARD'!AT196</f>
        <v>0</v>
      </c>
      <c r="AT196" s="28"/>
      <c r="AU196" s="29">
        <v>0</v>
      </c>
      <c r="AV196" s="30">
        <f t="shared" si="232"/>
        <v>15</v>
      </c>
      <c r="AW196" s="28">
        <f>PRODUCTION!AX196+'SUPLIER INWARD'!AX196</f>
        <v>0</v>
      </c>
      <c r="AX196" s="28"/>
      <c r="AY196" s="29"/>
      <c r="AZ196" s="30">
        <f t="shared" si="233"/>
        <v>15</v>
      </c>
      <c r="BA196" s="28">
        <f>PRODUCTION!BB196+'SUPLIER INWARD'!BB196</f>
        <v>0</v>
      </c>
      <c r="BB196" s="28"/>
      <c r="BC196" s="29">
        <v>0</v>
      </c>
      <c r="BD196" s="30">
        <f t="shared" si="234"/>
        <v>15</v>
      </c>
      <c r="BE196" s="28">
        <f>PRODUCTION!BF196+'SUPLIER INWARD'!BF196</f>
        <v>0</v>
      </c>
      <c r="BF196" s="28"/>
      <c r="BG196" s="29">
        <v>0</v>
      </c>
      <c r="BH196" s="30">
        <f t="shared" si="235"/>
        <v>15</v>
      </c>
      <c r="BI196" s="28">
        <f>PRODUCTION!BJ196+'SUPLIER INWARD'!BJ196</f>
        <v>0</v>
      </c>
      <c r="BJ196" s="28"/>
      <c r="BK196" s="29">
        <v>0</v>
      </c>
      <c r="BL196" s="30">
        <f t="shared" si="236"/>
        <v>15</v>
      </c>
      <c r="BM196" s="28">
        <f>PRODUCTION!BN196+'SUPLIER INWARD'!BN196</f>
        <v>0</v>
      </c>
      <c r="BN196" s="28"/>
      <c r="BO196" s="29">
        <v>0</v>
      </c>
      <c r="BP196" s="30">
        <f t="shared" si="237"/>
        <v>15</v>
      </c>
      <c r="BQ196" s="28">
        <f>PRODUCTION!BR196+'SUPLIER INWARD'!BR196</f>
        <v>0</v>
      </c>
      <c r="BR196" s="28"/>
      <c r="BS196" s="29">
        <v>0</v>
      </c>
      <c r="BT196" s="30">
        <f t="shared" si="238"/>
        <v>15</v>
      </c>
      <c r="BU196" s="28">
        <f>PRODUCTION!BV196+'SUPLIER INWARD'!BV196</f>
        <v>0</v>
      </c>
      <c r="BV196" s="28"/>
      <c r="BW196" s="29">
        <v>0</v>
      </c>
      <c r="BX196" s="30">
        <f t="shared" si="239"/>
        <v>15</v>
      </c>
      <c r="BY196" s="28">
        <f>PRODUCTION!BZ196+'SUPLIER INWARD'!BZ196</f>
        <v>0</v>
      </c>
      <c r="BZ196" s="28"/>
      <c r="CA196" s="29">
        <v>0</v>
      </c>
      <c r="CB196" s="30">
        <f t="shared" si="240"/>
        <v>15</v>
      </c>
      <c r="CC196" s="28">
        <f>PRODUCTION!CD196+'SUPLIER INWARD'!CD196</f>
        <v>0</v>
      </c>
      <c r="CD196" s="28"/>
      <c r="CE196" s="29">
        <v>0</v>
      </c>
      <c r="CF196" s="30">
        <f t="shared" si="241"/>
        <v>15</v>
      </c>
      <c r="CG196" s="28">
        <f>PRODUCTION!CH196+'SUPLIER INWARD'!CH196</f>
        <v>0</v>
      </c>
      <c r="CH196" s="28"/>
      <c r="CI196" s="29">
        <v>0</v>
      </c>
      <c r="CJ196" s="30">
        <f t="shared" si="242"/>
        <v>15</v>
      </c>
      <c r="CK196" s="28">
        <f>PRODUCTION!CL196+'SUPLIER INWARD'!CL196</f>
        <v>0</v>
      </c>
      <c r="CL196" s="151"/>
      <c r="CM196" s="152"/>
      <c r="CN196" s="30">
        <f t="shared" si="243"/>
        <v>15</v>
      </c>
      <c r="CO196" s="28">
        <f>PRODUCTION!CP196+'SUPLIER INWARD'!CP196</f>
        <v>0</v>
      </c>
      <c r="CP196" s="151"/>
      <c r="CQ196" s="29">
        <v>0</v>
      </c>
      <c r="CR196" s="30">
        <f t="shared" si="244"/>
        <v>15</v>
      </c>
      <c r="CS196" s="28">
        <f>PRODUCTION!CT196+'SUPLIER INWARD'!CT196</f>
        <v>0</v>
      </c>
      <c r="CT196" s="28"/>
      <c r="CU196" s="29">
        <v>0</v>
      </c>
      <c r="CV196" s="30">
        <f t="shared" si="245"/>
        <v>15</v>
      </c>
      <c r="CW196" s="28">
        <f>PRODUCTION!CX196+'SUPLIER INWARD'!CX196</f>
        <v>0</v>
      </c>
      <c r="CX196" s="28"/>
      <c r="CY196" s="29">
        <v>0</v>
      </c>
      <c r="CZ196" s="30">
        <f t="shared" si="246"/>
        <v>15</v>
      </c>
      <c r="DA196" s="28">
        <f>PRODUCTION!DB196+'SUPLIER INWARD'!DB196</f>
        <v>0</v>
      </c>
      <c r="DB196" s="28"/>
      <c r="DC196" s="29"/>
      <c r="DD196" s="30">
        <f t="shared" si="247"/>
        <v>15</v>
      </c>
      <c r="DE196" s="28">
        <f>PRODUCTION!DF196+'SUPLIER INWARD'!DF196</f>
        <v>0</v>
      </c>
      <c r="DF196" s="28"/>
      <c r="DG196" s="29">
        <v>0</v>
      </c>
      <c r="DH196" s="30">
        <f t="shared" si="248"/>
        <v>15</v>
      </c>
      <c r="DI196" s="28">
        <f>PRODUCTION!DJ196+'SUPLIER INWARD'!DJ196</f>
        <v>0</v>
      </c>
      <c r="DJ196" s="28"/>
      <c r="DK196" s="29">
        <v>0</v>
      </c>
      <c r="DL196" s="30">
        <f t="shared" si="249"/>
        <v>15</v>
      </c>
      <c r="DM196" s="28">
        <f>PRODUCTION!DN196+'SUPLIER INWARD'!DN196</f>
        <v>0</v>
      </c>
      <c r="DN196" s="28"/>
      <c r="DO196" s="29"/>
      <c r="DP196" s="30">
        <f t="shared" si="250"/>
        <v>15</v>
      </c>
      <c r="DQ196" s="28">
        <f>PRODUCTION!DR196+'SUPLIER INWARD'!DR196</f>
        <v>0</v>
      </c>
      <c r="DR196" s="28"/>
      <c r="DS196" s="29"/>
      <c r="DT196" s="30">
        <f t="shared" si="251"/>
        <v>15</v>
      </c>
      <c r="DU196" s="28">
        <f>PRODUCTION!DV196+'SUPLIER INWARD'!DV196</f>
        <v>0</v>
      </c>
      <c r="DV196" s="28"/>
      <c r="DW196" s="29"/>
      <c r="DX196" s="30">
        <f t="shared" si="252"/>
        <v>15</v>
      </c>
      <c r="DY196" s="31">
        <f t="shared" si="221"/>
        <v>0</v>
      </c>
      <c r="DZ196" s="141">
        <f t="shared" si="219"/>
        <v>0</v>
      </c>
      <c r="EA196" s="4">
        <f t="shared" si="220"/>
        <v>0</v>
      </c>
      <c r="EB196" s="9">
        <f>D196*'MASTER SHEET'!D196</f>
        <v>0</v>
      </c>
      <c r="EC196" s="9">
        <f>H196*'MASTER SHEET'!D196</f>
        <v>0</v>
      </c>
      <c r="ED196" s="9">
        <f>L196*'MASTER SHEET'!D196</f>
        <v>0</v>
      </c>
      <c r="EE196" s="9">
        <f>P196*'MASTER SHEET'!D196</f>
        <v>0</v>
      </c>
      <c r="EF196" s="9">
        <f>T196*'MASTER SHEET'!D196</f>
        <v>0</v>
      </c>
      <c r="EG196" s="9">
        <f>X196*'MASTER SHEET'!D196</f>
        <v>0</v>
      </c>
      <c r="EH196" s="9">
        <f>AB196*'MASTER SHEET'!D196</f>
        <v>0</v>
      </c>
      <c r="EI196" s="9">
        <f>AF196*'MASTER SHEET'!D196</f>
        <v>0</v>
      </c>
      <c r="EJ196" s="9">
        <f>AJ196*'MASTER SHEET'!D196</f>
        <v>0</v>
      </c>
      <c r="EK196" s="9">
        <f>AN196*'MASTER SHEET'!D196</f>
        <v>0</v>
      </c>
      <c r="EL196" s="9">
        <f>AR196*'MASTER SHEET'!D196</f>
        <v>0</v>
      </c>
      <c r="EM196" s="9">
        <f>AV196*'MASTER SHEET'!D196</f>
        <v>0</v>
      </c>
      <c r="EN196" s="9">
        <f>AZ196*'MASTER SHEET'!D196</f>
        <v>0</v>
      </c>
      <c r="EO196" s="9">
        <f>BD196*'MASTER SHEET'!D196</f>
        <v>0</v>
      </c>
      <c r="EP196" s="9">
        <f>$BH196*'MASTER SHEET'!$D196</f>
        <v>0</v>
      </c>
      <c r="EQ196" s="9">
        <f>BL196*'MASTER SHEET'!D196</f>
        <v>0</v>
      </c>
      <c r="ER196" s="9">
        <f>BP196*'MASTER SHEET'!D196</f>
        <v>0</v>
      </c>
      <c r="ES196" s="9">
        <f>BT196*'MASTER SHEET'!D196</f>
        <v>0</v>
      </c>
      <c r="ET196" s="9">
        <f>BX196*'MASTER SHEET'!D196</f>
        <v>0</v>
      </c>
      <c r="EU196" s="9">
        <f>CB196*'MASTER SHEET'!D196</f>
        <v>0</v>
      </c>
      <c r="EV196" s="9">
        <f>CF196*'MASTER SHEET'!D196</f>
        <v>0</v>
      </c>
      <c r="EW196" s="9">
        <f>CJ196*'MASTER SHEET'!D196</f>
        <v>0</v>
      </c>
      <c r="EX196" s="9">
        <f>CN196*'MASTER SHEET'!D196</f>
        <v>0</v>
      </c>
      <c r="EY196" s="9">
        <f>CR196*'MASTER SHEET'!D196</f>
        <v>0</v>
      </c>
      <c r="EZ196" s="9">
        <f>$CV196*'MASTER SHEET'!D196</f>
        <v>0</v>
      </c>
      <c r="FA196" s="9">
        <f>CZ196*'MASTER SHEET'!D196</f>
        <v>0</v>
      </c>
      <c r="FB196" s="9">
        <f>DD196*'MASTER SHEET'!D196</f>
        <v>0</v>
      </c>
      <c r="FC196" s="9">
        <f>DH196*'MASTER SHEET'!D196</f>
        <v>0</v>
      </c>
      <c r="FD196" s="9">
        <f>DL196*'MASTER SHEET'!D196</f>
        <v>0</v>
      </c>
      <c r="FE196" s="9">
        <f>DP196*'MASTER SHEET'!D196</f>
        <v>0</v>
      </c>
      <c r="FF196" s="9">
        <f>DT196*'MASTER SHEET'!D196</f>
        <v>0</v>
      </c>
      <c r="FG196" s="9">
        <f>+DX196*'MASTER SHEET'!D196</f>
        <v>0</v>
      </c>
    </row>
    <row r="197" spans="1:163" ht="20.25" customHeight="1" x14ac:dyDescent="0.25">
      <c r="A197" s="25">
        <f>'MASTER SHEET'!A197</f>
        <v>195</v>
      </c>
      <c r="B197" s="26" t="str">
        <f>'MASTER SHEET'!B197</f>
        <v>END PLATE PLASTIC</v>
      </c>
      <c r="C197" s="78">
        <f>'MASTER SHEET'!C197</f>
        <v>5006637</v>
      </c>
      <c r="D197" s="159">
        <v>0</v>
      </c>
      <c r="E197" s="28">
        <f>PRODUCTION!F197+'SUPLIER INWARD'!F197</f>
        <v>0</v>
      </c>
      <c r="F197" s="28"/>
      <c r="G197" s="29">
        <v>0</v>
      </c>
      <c r="H197" s="30">
        <f t="shared" si="222"/>
        <v>0</v>
      </c>
      <c r="I197" s="28">
        <f>PRODUCTION!J197+'SUPLIER INWARD'!J197</f>
        <v>0</v>
      </c>
      <c r="J197" s="28"/>
      <c r="K197" s="29">
        <v>0</v>
      </c>
      <c r="L197" s="30">
        <f t="shared" si="223"/>
        <v>0</v>
      </c>
      <c r="M197" s="28">
        <f>PRODUCTION!N197+'SUPLIER INWARD'!N197</f>
        <v>0</v>
      </c>
      <c r="N197" s="28"/>
      <c r="O197" s="29"/>
      <c r="P197" s="30">
        <f t="shared" si="224"/>
        <v>0</v>
      </c>
      <c r="Q197" s="28">
        <f>PRODUCTION!R197+'SUPLIER INWARD'!R197</f>
        <v>0</v>
      </c>
      <c r="R197" s="28"/>
      <c r="S197" s="29">
        <v>0</v>
      </c>
      <c r="T197" s="30">
        <f t="shared" si="225"/>
        <v>0</v>
      </c>
      <c r="U197" s="28">
        <f>PRODUCTION!V197+'SUPLIER INWARD'!V197</f>
        <v>0</v>
      </c>
      <c r="V197" s="28"/>
      <c r="W197" s="29">
        <v>0</v>
      </c>
      <c r="X197" s="30">
        <f t="shared" si="226"/>
        <v>0</v>
      </c>
      <c r="Y197" s="28">
        <f>PRODUCTION!Z197+'SUPLIER INWARD'!Z197</f>
        <v>0</v>
      </c>
      <c r="Z197" s="28"/>
      <c r="AA197" s="29">
        <v>0</v>
      </c>
      <c r="AB197" s="30">
        <f t="shared" si="227"/>
        <v>0</v>
      </c>
      <c r="AC197" s="28">
        <f>PRODUCTION!AD197+'SUPLIER INWARD'!AD197</f>
        <v>0</v>
      </c>
      <c r="AD197" s="28"/>
      <c r="AE197" s="29">
        <v>0</v>
      </c>
      <c r="AF197" s="30">
        <f t="shared" si="228"/>
        <v>0</v>
      </c>
      <c r="AG197" s="28">
        <f>PRODUCTION!AH197+'SUPLIER INWARD'!AH197</f>
        <v>0</v>
      </c>
      <c r="AH197" s="28"/>
      <c r="AI197" s="29">
        <v>0</v>
      </c>
      <c r="AJ197" s="30">
        <f t="shared" si="229"/>
        <v>0</v>
      </c>
      <c r="AK197" s="28">
        <f>PRODUCTION!AL197+'SUPLIER INWARD'!AL197</f>
        <v>0</v>
      </c>
      <c r="AL197" s="28"/>
      <c r="AM197" s="29">
        <v>0</v>
      </c>
      <c r="AN197" s="30">
        <f t="shared" si="230"/>
        <v>0</v>
      </c>
      <c r="AO197" s="28">
        <f>PRODUCTION!AP197+'SUPLIER INWARD'!AP197</f>
        <v>0</v>
      </c>
      <c r="AP197" s="28"/>
      <c r="AQ197" s="29">
        <v>0</v>
      </c>
      <c r="AR197" s="30">
        <f t="shared" si="231"/>
        <v>0</v>
      </c>
      <c r="AS197" s="28">
        <f>PRODUCTION!AT197+'SUPLIER INWARD'!AT197</f>
        <v>0</v>
      </c>
      <c r="AT197" s="28"/>
      <c r="AU197" s="29">
        <v>0</v>
      </c>
      <c r="AV197" s="30">
        <f t="shared" si="232"/>
        <v>0</v>
      </c>
      <c r="AW197" s="28">
        <f>PRODUCTION!AX197+'SUPLIER INWARD'!AX197</f>
        <v>0</v>
      </c>
      <c r="AX197" s="28"/>
      <c r="AY197" s="29"/>
      <c r="AZ197" s="30">
        <f t="shared" si="233"/>
        <v>0</v>
      </c>
      <c r="BA197" s="28">
        <f>PRODUCTION!BB197+'SUPLIER INWARD'!BB197</f>
        <v>0</v>
      </c>
      <c r="BB197" s="28"/>
      <c r="BC197" s="29">
        <v>0</v>
      </c>
      <c r="BD197" s="30">
        <f t="shared" si="234"/>
        <v>0</v>
      </c>
      <c r="BE197" s="28">
        <f>PRODUCTION!BF197+'SUPLIER INWARD'!BF197</f>
        <v>0</v>
      </c>
      <c r="BF197" s="28"/>
      <c r="BG197" s="29">
        <v>0</v>
      </c>
      <c r="BH197" s="30">
        <f t="shared" si="235"/>
        <v>0</v>
      </c>
      <c r="BI197" s="28">
        <f>PRODUCTION!BJ197+'SUPLIER INWARD'!BJ197</f>
        <v>0</v>
      </c>
      <c r="BJ197" s="28"/>
      <c r="BK197" s="29">
        <v>0</v>
      </c>
      <c r="BL197" s="30">
        <f t="shared" si="236"/>
        <v>0</v>
      </c>
      <c r="BM197" s="28">
        <f>PRODUCTION!BN197+'SUPLIER INWARD'!BN197</f>
        <v>0</v>
      </c>
      <c r="BN197" s="28"/>
      <c r="BO197" s="29">
        <v>0</v>
      </c>
      <c r="BP197" s="30">
        <f t="shared" si="237"/>
        <v>0</v>
      </c>
      <c r="BQ197" s="28">
        <f>PRODUCTION!BR197+'SUPLIER INWARD'!BR197</f>
        <v>0</v>
      </c>
      <c r="BR197" s="28"/>
      <c r="BS197" s="29">
        <v>0</v>
      </c>
      <c r="BT197" s="30">
        <f t="shared" si="238"/>
        <v>0</v>
      </c>
      <c r="BU197" s="28">
        <f>PRODUCTION!BV197+'SUPLIER INWARD'!BV197</f>
        <v>0</v>
      </c>
      <c r="BV197" s="28"/>
      <c r="BW197" s="29">
        <v>0</v>
      </c>
      <c r="BX197" s="30">
        <f t="shared" si="239"/>
        <v>0</v>
      </c>
      <c r="BY197" s="28">
        <f>PRODUCTION!BZ197+'SUPLIER INWARD'!BZ197</f>
        <v>0</v>
      </c>
      <c r="BZ197" s="28"/>
      <c r="CA197" s="29">
        <v>0</v>
      </c>
      <c r="CB197" s="30">
        <f t="shared" si="240"/>
        <v>0</v>
      </c>
      <c r="CC197" s="28">
        <f>PRODUCTION!CD197+'SUPLIER INWARD'!CD197</f>
        <v>0</v>
      </c>
      <c r="CD197" s="28"/>
      <c r="CE197" s="29">
        <v>0</v>
      </c>
      <c r="CF197" s="30">
        <f t="shared" si="241"/>
        <v>0</v>
      </c>
      <c r="CG197" s="28">
        <f>PRODUCTION!CH197+'SUPLIER INWARD'!CH197</f>
        <v>0</v>
      </c>
      <c r="CH197" s="28"/>
      <c r="CI197" s="29">
        <v>0</v>
      </c>
      <c r="CJ197" s="30">
        <f t="shared" si="242"/>
        <v>0</v>
      </c>
      <c r="CK197" s="28">
        <f>PRODUCTION!CL197+'SUPLIER INWARD'!CL197</f>
        <v>0</v>
      </c>
      <c r="CL197" s="151"/>
      <c r="CM197" s="152"/>
      <c r="CN197" s="30">
        <f t="shared" si="243"/>
        <v>0</v>
      </c>
      <c r="CO197" s="28">
        <f>PRODUCTION!CP197+'SUPLIER INWARD'!CP197</f>
        <v>0</v>
      </c>
      <c r="CP197" s="151"/>
      <c r="CQ197" s="29">
        <v>0</v>
      </c>
      <c r="CR197" s="30">
        <f t="shared" si="244"/>
        <v>0</v>
      </c>
      <c r="CS197" s="28">
        <f>PRODUCTION!CT197+'SUPLIER INWARD'!CT197</f>
        <v>0</v>
      </c>
      <c r="CT197" s="28"/>
      <c r="CU197" s="29">
        <v>0</v>
      </c>
      <c r="CV197" s="30">
        <f t="shared" si="245"/>
        <v>0</v>
      </c>
      <c r="CW197" s="28">
        <f>PRODUCTION!CX197+'SUPLIER INWARD'!CX197</f>
        <v>0</v>
      </c>
      <c r="CX197" s="28"/>
      <c r="CY197" s="29">
        <v>0</v>
      </c>
      <c r="CZ197" s="30">
        <f t="shared" si="246"/>
        <v>0</v>
      </c>
      <c r="DA197" s="28">
        <f>PRODUCTION!DB197+'SUPLIER INWARD'!DB197</f>
        <v>0</v>
      </c>
      <c r="DB197" s="28"/>
      <c r="DC197" s="29"/>
      <c r="DD197" s="30">
        <f t="shared" si="247"/>
        <v>0</v>
      </c>
      <c r="DE197" s="28">
        <f>PRODUCTION!DF197+'SUPLIER INWARD'!DF197</f>
        <v>0</v>
      </c>
      <c r="DF197" s="28"/>
      <c r="DG197" s="29">
        <v>0</v>
      </c>
      <c r="DH197" s="30">
        <f t="shared" si="248"/>
        <v>0</v>
      </c>
      <c r="DI197" s="28">
        <f>PRODUCTION!DJ197+'SUPLIER INWARD'!DJ197</f>
        <v>0</v>
      </c>
      <c r="DJ197" s="28"/>
      <c r="DK197" s="29">
        <v>0</v>
      </c>
      <c r="DL197" s="30">
        <f t="shared" si="249"/>
        <v>0</v>
      </c>
      <c r="DM197" s="28">
        <f>PRODUCTION!DN197+'SUPLIER INWARD'!DN197</f>
        <v>0</v>
      </c>
      <c r="DN197" s="28"/>
      <c r="DO197" s="29"/>
      <c r="DP197" s="30">
        <f t="shared" si="250"/>
        <v>0</v>
      </c>
      <c r="DQ197" s="28">
        <f>PRODUCTION!DR197+'SUPLIER INWARD'!DR197</f>
        <v>0</v>
      </c>
      <c r="DR197" s="28"/>
      <c r="DS197" s="29"/>
      <c r="DT197" s="30">
        <f t="shared" si="251"/>
        <v>0</v>
      </c>
      <c r="DU197" s="28">
        <f>PRODUCTION!DV197+'SUPLIER INWARD'!DV197</f>
        <v>0</v>
      </c>
      <c r="DV197" s="28"/>
      <c r="DW197" s="29"/>
      <c r="DX197" s="30">
        <f t="shared" si="252"/>
        <v>0</v>
      </c>
      <c r="DY197" s="31">
        <f t="shared" si="221"/>
        <v>0</v>
      </c>
      <c r="DZ197" s="141">
        <f t="shared" si="219"/>
        <v>0</v>
      </c>
      <c r="EA197" s="4">
        <f t="shared" si="220"/>
        <v>0</v>
      </c>
      <c r="EB197" s="9">
        <f>D197*'MASTER SHEET'!D197</f>
        <v>0</v>
      </c>
      <c r="EC197" s="9">
        <f>H197*'MASTER SHEET'!D197</f>
        <v>0</v>
      </c>
      <c r="ED197" s="9">
        <f>L197*'MASTER SHEET'!D197</f>
        <v>0</v>
      </c>
      <c r="EE197" s="9">
        <f>P197*'MASTER SHEET'!D197</f>
        <v>0</v>
      </c>
      <c r="EF197" s="9">
        <f>T197*'MASTER SHEET'!D197</f>
        <v>0</v>
      </c>
      <c r="EG197" s="9">
        <f>X197*'MASTER SHEET'!D197</f>
        <v>0</v>
      </c>
      <c r="EH197" s="9">
        <f>AB197*'MASTER SHEET'!D197</f>
        <v>0</v>
      </c>
      <c r="EI197" s="9">
        <f>AF197*'MASTER SHEET'!D197</f>
        <v>0</v>
      </c>
      <c r="EJ197" s="9">
        <f>AJ197*'MASTER SHEET'!D197</f>
        <v>0</v>
      </c>
      <c r="EK197" s="9">
        <f>AN197*'MASTER SHEET'!D197</f>
        <v>0</v>
      </c>
      <c r="EL197" s="9">
        <f>AR197*'MASTER SHEET'!D197</f>
        <v>0</v>
      </c>
      <c r="EM197" s="9">
        <f>AV197*'MASTER SHEET'!D197</f>
        <v>0</v>
      </c>
      <c r="EN197" s="9">
        <f>AZ197*'MASTER SHEET'!D197</f>
        <v>0</v>
      </c>
      <c r="EO197" s="9">
        <f>BD197*'MASTER SHEET'!D197</f>
        <v>0</v>
      </c>
      <c r="EP197" s="9">
        <f>$BH197*'MASTER SHEET'!$D197</f>
        <v>0</v>
      </c>
      <c r="EQ197" s="9">
        <f>BL197*'MASTER SHEET'!D197</f>
        <v>0</v>
      </c>
      <c r="ER197" s="9">
        <f>BP197*'MASTER SHEET'!D197</f>
        <v>0</v>
      </c>
      <c r="ES197" s="9">
        <f>BT197*'MASTER SHEET'!D197</f>
        <v>0</v>
      </c>
      <c r="ET197" s="9">
        <f>BX197*'MASTER SHEET'!D197</f>
        <v>0</v>
      </c>
      <c r="EU197" s="9">
        <f>CB197*'MASTER SHEET'!D197</f>
        <v>0</v>
      </c>
      <c r="EV197" s="9">
        <f>CF197*'MASTER SHEET'!D197</f>
        <v>0</v>
      </c>
      <c r="EW197" s="9">
        <f>CJ197*'MASTER SHEET'!D197</f>
        <v>0</v>
      </c>
      <c r="EX197" s="9">
        <f>CN197*'MASTER SHEET'!D197</f>
        <v>0</v>
      </c>
      <c r="EY197" s="9">
        <f>CR197*'MASTER SHEET'!D197</f>
        <v>0</v>
      </c>
      <c r="EZ197" s="9">
        <f>$CV197*'MASTER SHEET'!D197</f>
        <v>0</v>
      </c>
      <c r="FA197" s="9">
        <f>CZ197*'MASTER SHEET'!D197</f>
        <v>0</v>
      </c>
      <c r="FB197" s="9">
        <f>DD197*'MASTER SHEET'!D197</f>
        <v>0</v>
      </c>
      <c r="FC197" s="9">
        <f>DH197*'MASTER SHEET'!D197</f>
        <v>0</v>
      </c>
      <c r="FD197" s="9">
        <f>DL197*'MASTER SHEET'!D197</f>
        <v>0</v>
      </c>
      <c r="FE197" s="9">
        <f>DP197*'MASTER SHEET'!D197</f>
        <v>0</v>
      </c>
      <c r="FF197" s="9">
        <f>DT197*'MASTER SHEET'!D197</f>
        <v>0</v>
      </c>
      <c r="FG197" s="9">
        <f>+DX197*'MASTER SHEET'!D197</f>
        <v>0</v>
      </c>
    </row>
    <row r="198" spans="1:163" ht="20.25" customHeight="1" x14ac:dyDescent="0.25">
      <c r="A198" s="25">
        <f>'MASTER SHEET'!A198</f>
        <v>196</v>
      </c>
      <c r="B198" s="26" t="str">
        <f>'MASTER SHEET'!B198</f>
        <v>BOTTOM COVER</v>
      </c>
      <c r="C198" s="78">
        <f>'MASTER SHEET'!C198</f>
        <v>5037943</v>
      </c>
      <c r="D198" s="159">
        <v>39</v>
      </c>
      <c r="E198" s="28">
        <f>PRODUCTION!F198+'SUPLIER INWARD'!F198</f>
        <v>0</v>
      </c>
      <c r="F198" s="28"/>
      <c r="G198" s="29">
        <v>0</v>
      </c>
      <c r="H198" s="30">
        <f t="shared" si="222"/>
        <v>39</v>
      </c>
      <c r="I198" s="28">
        <f>PRODUCTION!J198+'SUPLIER INWARD'!J198</f>
        <v>0</v>
      </c>
      <c r="J198" s="28"/>
      <c r="K198" s="29">
        <v>0</v>
      </c>
      <c r="L198" s="30">
        <f t="shared" si="223"/>
        <v>39</v>
      </c>
      <c r="M198" s="28">
        <f>PRODUCTION!N198+'SUPLIER INWARD'!N198</f>
        <v>0</v>
      </c>
      <c r="N198" s="28"/>
      <c r="O198" s="29"/>
      <c r="P198" s="30">
        <f t="shared" si="224"/>
        <v>39</v>
      </c>
      <c r="Q198" s="28">
        <f>PRODUCTION!R198+'SUPLIER INWARD'!R198</f>
        <v>0</v>
      </c>
      <c r="R198" s="28"/>
      <c r="S198" s="29">
        <v>0</v>
      </c>
      <c r="T198" s="30">
        <f t="shared" si="225"/>
        <v>39</v>
      </c>
      <c r="U198" s="28">
        <f>PRODUCTION!V198+'SUPLIER INWARD'!V198</f>
        <v>0</v>
      </c>
      <c r="V198" s="28"/>
      <c r="W198" s="29">
        <v>0</v>
      </c>
      <c r="X198" s="30">
        <f t="shared" si="226"/>
        <v>39</v>
      </c>
      <c r="Y198" s="28">
        <f>PRODUCTION!Z198+'SUPLIER INWARD'!Z198</f>
        <v>0</v>
      </c>
      <c r="Z198" s="28"/>
      <c r="AA198" s="29">
        <v>0</v>
      </c>
      <c r="AB198" s="30">
        <f t="shared" si="227"/>
        <v>39</v>
      </c>
      <c r="AC198" s="28">
        <f>PRODUCTION!AD198+'SUPLIER INWARD'!AD198</f>
        <v>144</v>
      </c>
      <c r="AD198" s="28">
        <v>40</v>
      </c>
      <c r="AE198" s="29">
        <v>1</v>
      </c>
      <c r="AF198" s="30">
        <f t="shared" si="228"/>
        <v>142</v>
      </c>
      <c r="AG198" s="28">
        <f>PRODUCTION!AH198+'SUPLIER INWARD'!AH198</f>
        <v>72</v>
      </c>
      <c r="AH198" s="28">
        <v>100</v>
      </c>
      <c r="AI198" s="29">
        <v>0</v>
      </c>
      <c r="AJ198" s="30">
        <f t="shared" si="229"/>
        <v>114</v>
      </c>
      <c r="AK198" s="28">
        <f>PRODUCTION!AL198+'SUPLIER INWARD'!AL198</f>
        <v>208</v>
      </c>
      <c r="AL198" s="28">
        <v>64</v>
      </c>
      <c r="AM198" s="29">
        <v>0</v>
      </c>
      <c r="AN198" s="30">
        <f t="shared" si="230"/>
        <v>258</v>
      </c>
      <c r="AO198" s="28">
        <f>PRODUCTION!AP198+'SUPLIER INWARD'!AP198</f>
        <v>0</v>
      </c>
      <c r="AP198" s="28">
        <v>28</v>
      </c>
      <c r="AQ198" s="29">
        <v>0</v>
      </c>
      <c r="AR198" s="30">
        <f t="shared" si="231"/>
        <v>230</v>
      </c>
      <c r="AS198" s="28">
        <f>PRODUCTION!AT198+'SUPLIER INWARD'!AT198</f>
        <v>0</v>
      </c>
      <c r="AT198" s="28"/>
      <c r="AU198" s="29">
        <v>0</v>
      </c>
      <c r="AV198" s="30">
        <f t="shared" si="232"/>
        <v>230</v>
      </c>
      <c r="AW198" s="28">
        <f>PRODUCTION!AX198+'SUPLIER INWARD'!AX198</f>
        <v>0</v>
      </c>
      <c r="AX198" s="28"/>
      <c r="AY198" s="29"/>
      <c r="AZ198" s="30">
        <f t="shared" si="233"/>
        <v>230</v>
      </c>
      <c r="BA198" s="28">
        <f>PRODUCTION!BB198+'SUPLIER INWARD'!BB198</f>
        <v>0</v>
      </c>
      <c r="BB198" s="28"/>
      <c r="BC198" s="29">
        <v>0</v>
      </c>
      <c r="BD198" s="30">
        <f t="shared" si="234"/>
        <v>230</v>
      </c>
      <c r="BE198" s="28">
        <f>PRODUCTION!BF198+'SUPLIER INWARD'!BF198</f>
        <v>0</v>
      </c>
      <c r="BF198" s="28"/>
      <c r="BG198" s="29">
        <v>0</v>
      </c>
      <c r="BH198" s="30">
        <f t="shared" si="235"/>
        <v>230</v>
      </c>
      <c r="BI198" s="28">
        <f>PRODUCTION!BJ198+'SUPLIER INWARD'!BJ198</f>
        <v>0</v>
      </c>
      <c r="BJ198" s="28"/>
      <c r="BK198" s="29">
        <v>0</v>
      </c>
      <c r="BL198" s="30">
        <f t="shared" si="236"/>
        <v>230</v>
      </c>
      <c r="BM198" s="28">
        <f>PRODUCTION!BN198+'SUPLIER INWARD'!BN198</f>
        <v>0</v>
      </c>
      <c r="BN198" s="28"/>
      <c r="BO198" s="29">
        <v>0</v>
      </c>
      <c r="BP198" s="30">
        <f t="shared" si="237"/>
        <v>230</v>
      </c>
      <c r="BQ198" s="28">
        <f>PRODUCTION!BR198+'SUPLIER INWARD'!BR198</f>
        <v>0</v>
      </c>
      <c r="BR198" s="28"/>
      <c r="BS198" s="29">
        <v>0</v>
      </c>
      <c r="BT198" s="30">
        <f t="shared" si="238"/>
        <v>230</v>
      </c>
      <c r="BU198" s="28">
        <f>PRODUCTION!BV198+'SUPLIER INWARD'!BV198</f>
        <v>0</v>
      </c>
      <c r="BV198" s="28"/>
      <c r="BW198" s="29">
        <v>0</v>
      </c>
      <c r="BX198" s="30">
        <f t="shared" si="239"/>
        <v>230</v>
      </c>
      <c r="BY198" s="28">
        <f>PRODUCTION!BZ198+'SUPLIER INWARD'!BZ198</f>
        <v>0</v>
      </c>
      <c r="BZ198" s="28"/>
      <c r="CA198" s="29">
        <v>0</v>
      </c>
      <c r="CB198" s="30">
        <f t="shared" si="240"/>
        <v>230</v>
      </c>
      <c r="CC198" s="28">
        <f>PRODUCTION!CD198+'SUPLIER INWARD'!CD198</f>
        <v>0</v>
      </c>
      <c r="CD198" s="28"/>
      <c r="CE198" s="29">
        <v>0</v>
      </c>
      <c r="CF198" s="30">
        <f t="shared" si="241"/>
        <v>230</v>
      </c>
      <c r="CG198" s="28">
        <f>PRODUCTION!CH198+'SUPLIER INWARD'!CH198</f>
        <v>0</v>
      </c>
      <c r="CH198" s="28"/>
      <c r="CI198" s="29">
        <v>0</v>
      </c>
      <c r="CJ198" s="30">
        <f t="shared" si="242"/>
        <v>230</v>
      </c>
      <c r="CK198" s="28">
        <f>PRODUCTION!CL198+'SUPLIER INWARD'!CL198</f>
        <v>0</v>
      </c>
      <c r="CL198" s="151">
        <v>20</v>
      </c>
      <c r="CM198" s="152"/>
      <c r="CN198" s="30">
        <f t="shared" si="243"/>
        <v>210</v>
      </c>
      <c r="CO198" s="28">
        <f>PRODUCTION!CP198+'SUPLIER INWARD'!CP198</f>
        <v>0</v>
      </c>
      <c r="CP198" s="151">
        <v>40</v>
      </c>
      <c r="CQ198" s="29">
        <v>2</v>
      </c>
      <c r="CR198" s="30">
        <f t="shared" si="244"/>
        <v>168</v>
      </c>
      <c r="CS198" s="28">
        <f>PRODUCTION!CT198+'SUPLIER INWARD'!CT198</f>
        <v>0</v>
      </c>
      <c r="CT198" s="28"/>
      <c r="CU198" s="29">
        <v>0</v>
      </c>
      <c r="CV198" s="30">
        <f t="shared" si="245"/>
        <v>168</v>
      </c>
      <c r="CW198" s="28">
        <f>PRODUCTION!CX198+'SUPLIER INWARD'!CX198</f>
        <v>0</v>
      </c>
      <c r="CX198" s="28"/>
      <c r="CY198" s="29">
        <v>0</v>
      </c>
      <c r="CZ198" s="30">
        <f t="shared" si="246"/>
        <v>168</v>
      </c>
      <c r="DA198" s="28">
        <f>PRODUCTION!DB198+'SUPLIER INWARD'!DB198</f>
        <v>0</v>
      </c>
      <c r="DB198" s="28"/>
      <c r="DC198" s="29"/>
      <c r="DD198" s="30">
        <f t="shared" si="247"/>
        <v>168</v>
      </c>
      <c r="DE198" s="28">
        <f>PRODUCTION!DF198+'SUPLIER INWARD'!DF198</f>
        <v>0</v>
      </c>
      <c r="DF198" s="28"/>
      <c r="DG198" s="29">
        <v>0</v>
      </c>
      <c r="DH198" s="30">
        <f t="shared" si="248"/>
        <v>168</v>
      </c>
      <c r="DI198" s="28">
        <f>PRODUCTION!DJ198+'SUPLIER INWARD'!DJ198</f>
        <v>0</v>
      </c>
      <c r="DJ198" s="28">
        <v>60</v>
      </c>
      <c r="DK198" s="29">
        <v>1</v>
      </c>
      <c r="DL198" s="30">
        <f t="shared" si="249"/>
        <v>107</v>
      </c>
      <c r="DM198" s="28">
        <f>PRODUCTION!DN198+'SUPLIER INWARD'!DN198</f>
        <v>0</v>
      </c>
      <c r="DN198" s="28">
        <v>66</v>
      </c>
      <c r="DO198" s="29"/>
      <c r="DP198" s="30">
        <f t="shared" si="250"/>
        <v>41</v>
      </c>
      <c r="DQ198" s="28">
        <f>PRODUCTION!DR198+'SUPLIER INWARD'!DR198</f>
        <v>0</v>
      </c>
      <c r="DR198" s="28"/>
      <c r="DS198" s="29"/>
      <c r="DT198" s="30">
        <f t="shared" si="251"/>
        <v>41</v>
      </c>
      <c r="DU198" s="28">
        <f>PRODUCTION!DV198+'SUPLIER INWARD'!DV198</f>
        <v>0</v>
      </c>
      <c r="DV198" s="28"/>
      <c r="DW198" s="29"/>
      <c r="DX198" s="30">
        <f t="shared" si="252"/>
        <v>41</v>
      </c>
      <c r="DY198" s="31">
        <f t="shared" si="221"/>
        <v>424</v>
      </c>
      <c r="DZ198" s="141">
        <f t="shared" si="219"/>
        <v>418</v>
      </c>
      <c r="EA198" s="4">
        <f t="shared" si="220"/>
        <v>4</v>
      </c>
      <c r="EB198" s="9">
        <f>D198*'MASTER SHEET'!D198</f>
        <v>56448.990000000005</v>
      </c>
      <c r="EC198" s="9">
        <f>H198*'MASTER SHEET'!D198</f>
        <v>56448.990000000005</v>
      </c>
      <c r="ED198" s="9">
        <f>L198*'MASTER SHEET'!D198</f>
        <v>56448.990000000005</v>
      </c>
      <c r="EE198" s="9">
        <f>P198*'MASTER SHEET'!D198</f>
        <v>56448.990000000005</v>
      </c>
      <c r="EF198" s="9">
        <f>T198*'MASTER SHEET'!D198</f>
        <v>56448.990000000005</v>
      </c>
      <c r="EG198" s="9">
        <f>X198*'MASTER SHEET'!D198</f>
        <v>56448.990000000005</v>
      </c>
      <c r="EH198" s="9">
        <f>AB198*'MASTER SHEET'!D198</f>
        <v>56448.990000000005</v>
      </c>
      <c r="EI198" s="9">
        <f>AF198*'MASTER SHEET'!D198</f>
        <v>205532.22</v>
      </c>
      <c r="EJ198" s="9">
        <f>AJ198*'MASTER SHEET'!D198</f>
        <v>165004.74000000002</v>
      </c>
      <c r="EK198" s="9">
        <f>AN198*'MASTER SHEET'!D198</f>
        <v>373431.78</v>
      </c>
      <c r="EL198" s="9">
        <f>AR198*'MASTER SHEET'!D198</f>
        <v>332904.30000000005</v>
      </c>
      <c r="EM198" s="9">
        <f>AV198*'MASTER SHEET'!D198</f>
        <v>332904.30000000005</v>
      </c>
      <c r="EN198" s="9">
        <f>AZ198*'MASTER SHEET'!D198</f>
        <v>332904.30000000005</v>
      </c>
      <c r="EO198" s="9">
        <f>BD198*'MASTER SHEET'!D198</f>
        <v>332904.30000000005</v>
      </c>
      <c r="EP198" s="9">
        <f>$BH198*'MASTER SHEET'!$D198</f>
        <v>332904.30000000005</v>
      </c>
      <c r="EQ198" s="9">
        <f>BL198*'MASTER SHEET'!D198</f>
        <v>332904.30000000005</v>
      </c>
      <c r="ER198" s="9">
        <f>BP198*'MASTER SHEET'!D198</f>
        <v>332904.30000000005</v>
      </c>
      <c r="ES198" s="9">
        <f>BT198*'MASTER SHEET'!D198</f>
        <v>332904.30000000005</v>
      </c>
      <c r="ET198" s="9">
        <f>BX198*'MASTER SHEET'!D198</f>
        <v>332904.30000000005</v>
      </c>
      <c r="EU198" s="9">
        <f>CB198*'MASTER SHEET'!D198</f>
        <v>332904.30000000005</v>
      </c>
      <c r="EV198" s="9">
        <f>CF198*'MASTER SHEET'!D198</f>
        <v>332904.30000000005</v>
      </c>
      <c r="EW198" s="9">
        <f>CJ198*'MASTER SHEET'!D198</f>
        <v>332904.30000000005</v>
      </c>
      <c r="EX198" s="9">
        <f>CN198*'MASTER SHEET'!D198</f>
        <v>303956.10000000003</v>
      </c>
      <c r="EY198" s="9">
        <f>CR198*'MASTER SHEET'!D198</f>
        <v>243164.88</v>
      </c>
      <c r="EZ198" s="9">
        <f>$CV198*'MASTER SHEET'!D198</f>
        <v>243164.88</v>
      </c>
      <c r="FA198" s="9">
        <f>CZ198*'MASTER SHEET'!D198</f>
        <v>243164.88</v>
      </c>
      <c r="FB198" s="9">
        <f>DD198*'MASTER SHEET'!D198</f>
        <v>243164.88</v>
      </c>
      <c r="FC198" s="9">
        <f>DH198*'MASTER SHEET'!D198</f>
        <v>243164.88</v>
      </c>
      <c r="FD198" s="9">
        <f>DL198*'MASTER SHEET'!D198</f>
        <v>154872.87</v>
      </c>
      <c r="FE198" s="9">
        <f>DP198*'MASTER SHEET'!D198</f>
        <v>59343.810000000005</v>
      </c>
      <c r="FF198" s="9">
        <f>DT198*'MASTER SHEET'!D198</f>
        <v>59343.810000000005</v>
      </c>
      <c r="FG198" s="9">
        <f>+DX198*'MASTER SHEET'!D198</f>
        <v>59343.810000000005</v>
      </c>
    </row>
    <row r="199" spans="1:163" ht="20.25" customHeight="1" x14ac:dyDescent="0.25">
      <c r="A199" s="25">
        <f>'MASTER SHEET'!A199</f>
        <v>197</v>
      </c>
      <c r="B199" s="26" t="str">
        <f>'MASTER SHEET'!B199</f>
        <v>END PLATE</v>
      </c>
      <c r="C199" s="78">
        <f>'MASTER SHEET'!C199</f>
        <v>5045083</v>
      </c>
      <c r="D199" s="159">
        <v>496</v>
      </c>
      <c r="E199" s="28">
        <f>PRODUCTION!F199+'SUPLIER INWARD'!F199</f>
        <v>0</v>
      </c>
      <c r="F199" s="28"/>
      <c r="G199" s="29">
        <v>0</v>
      </c>
      <c r="H199" s="30">
        <f t="shared" si="222"/>
        <v>496</v>
      </c>
      <c r="I199" s="28">
        <f>PRODUCTION!J199+'SUPLIER INWARD'!J199</f>
        <v>0</v>
      </c>
      <c r="J199" s="28"/>
      <c r="K199" s="29">
        <v>0</v>
      </c>
      <c r="L199" s="30">
        <f t="shared" si="223"/>
        <v>496</v>
      </c>
      <c r="M199" s="28">
        <f>PRODUCTION!N199+'SUPLIER INWARD'!N199</f>
        <v>0</v>
      </c>
      <c r="N199" s="28"/>
      <c r="O199" s="29"/>
      <c r="P199" s="30">
        <f t="shared" si="224"/>
        <v>496</v>
      </c>
      <c r="Q199" s="28">
        <f>PRODUCTION!R199+'SUPLIER INWARD'!R199</f>
        <v>0</v>
      </c>
      <c r="R199" s="28"/>
      <c r="S199" s="29">
        <v>0</v>
      </c>
      <c r="T199" s="30">
        <f t="shared" si="225"/>
        <v>496</v>
      </c>
      <c r="U199" s="28">
        <f>PRODUCTION!V199+'SUPLIER INWARD'!V199</f>
        <v>0</v>
      </c>
      <c r="V199" s="28"/>
      <c r="W199" s="29">
        <v>0</v>
      </c>
      <c r="X199" s="30">
        <f t="shared" si="226"/>
        <v>496</v>
      </c>
      <c r="Y199" s="28">
        <f>PRODUCTION!Z199+'SUPLIER INWARD'!Z199</f>
        <v>0</v>
      </c>
      <c r="Z199" s="28"/>
      <c r="AA199" s="29">
        <v>0</v>
      </c>
      <c r="AB199" s="30">
        <f t="shared" si="227"/>
        <v>496</v>
      </c>
      <c r="AC199" s="28">
        <f>PRODUCTION!AD199+'SUPLIER INWARD'!AD199</f>
        <v>0</v>
      </c>
      <c r="AD199" s="28"/>
      <c r="AE199" s="29">
        <v>0</v>
      </c>
      <c r="AF199" s="30">
        <f t="shared" si="228"/>
        <v>496</v>
      </c>
      <c r="AG199" s="28">
        <f>PRODUCTION!AH199+'SUPLIER INWARD'!AH199</f>
        <v>0</v>
      </c>
      <c r="AH199" s="28"/>
      <c r="AI199" s="29">
        <v>0</v>
      </c>
      <c r="AJ199" s="30">
        <f t="shared" si="229"/>
        <v>496</v>
      </c>
      <c r="AK199" s="28">
        <f>PRODUCTION!AL199+'SUPLIER INWARD'!AL199</f>
        <v>0</v>
      </c>
      <c r="AL199" s="28"/>
      <c r="AM199" s="29">
        <v>0</v>
      </c>
      <c r="AN199" s="30">
        <f t="shared" si="230"/>
        <v>496</v>
      </c>
      <c r="AO199" s="28">
        <f>PRODUCTION!AP199+'SUPLIER INWARD'!AP199</f>
        <v>0</v>
      </c>
      <c r="AP199" s="28"/>
      <c r="AQ199" s="29">
        <v>0</v>
      </c>
      <c r="AR199" s="30">
        <f t="shared" si="231"/>
        <v>496</v>
      </c>
      <c r="AS199" s="28">
        <f>PRODUCTION!AT199+'SUPLIER INWARD'!AT199</f>
        <v>0</v>
      </c>
      <c r="AT199" s="28"/>
      <c r="AU199" s="29">
        <v>0</v>
      </c>
      <c r="AV199" s="30">
        <f t="shared" si="232"/>
        <v>496</v>
      </c>
      <c r="AW199" s="28">
        <f>PRODUCTION!AX199+'SUPLIER INWARD'!AX199</f>
        <v>0</v>
      </c>
      <c r="AX199" s="28"/>
      <c r="AY199" s="29"/>
      <c r="AZ199" s="30">
        <f t="shared" si="233"/>
        <v>496</v>
      </c>
      <c r="BA199" s="28">
        <f>PRODUCTION!BB199+'SUPLIER INWARD'!BB199</f>
        <v>0</v>
      </c>
      <c r="BB199" s="28"/>
      <c r="BC199" s="29">
        <v>0</v>
      </c>
      <c r="BD199" s="30">
        <f t="shared" si="234"/>
        <v>496</v>
      </c>
      <c r="BE199" s="28">
        <f>PRODUCTION!BF199+'SUPLIER INWARD'!BF199</f>
        <v>0</v>
      </c>
      <c r="BF199" s="28"/>
      <c r="BG199" s="29">
        <v>0</v>
      </c>
      <c r="BH199" s="30">
        <f t="shared" si="235"/>
        <v>496</v>
      </c>
      <c r="BI199" s="28">
        <f>PRODUCTION!BJ199+'SUPLIER INWARD'!BJ199</f>
        <v>0</v>
      </c>
      <c r="BJ199" s="28"/>
      <c r="BK199" s="29">
        <v>0</v>
      </c>
      <c r="BL199" s="30">
        <f t="shared" si="236"/>
        <v>496</v>
      </c>
      <c r="BM199" s="28">
        <f>PRODUCTION!BN199+'SUPLIER INWARD'!BN199</f>
        <v>0</v>
      </c>
      <c r="BN199" s="28"/>
      <c r="BO199" s="29">
        <v>0</v>
      </c>
      <c r="BP199" s="30">
        <f t="shared" si="237"/>
        <v>496</v>
      </c>
      <c r="BQ199" s="28">
        <f>PRODUCTION!BR199+'SUPLIER INWARD'!BR199</f>
        <v>0</v>
      </c>
      <c r="BR199" s="28"/>
      <c r="BS199" s="29">
        <v>0</v>
      </c>
      <c r="BT199" s="30">
        <f t="shared" si="238"/>
        <v>496</v>
      </c>
      <c r="BU199" s="28">
        <f>PRODUCTION!BV199+'SUPLIER INWARD'!BV199</f>
        <v>0</v>
      </c>
      <c r="BV199" s="28"/>
      <c r="BW199" s="29">
        <v>0</v>
      </c>
      <c r="BX199" s="30">
        <f t="shared" si="239"/>
        <v>496</v>
      </c>
      <c r="BY199" s="28">
        <f>PRODUCTION!BZ199+'SUPLIER INWARD'!BZ199</f>
        <v>0</v>
      </c>
      <c r="BZ199" s="28"/>
      <c r="CA199" s="29">
        <v>0</v>
      </c>
      <c r="CB199" s="30">
        <f t="shared" si="240"/>
        <v>496</v>
      </c>
      <c r="CC199" s="28">
        <f>PRODUCTION!CD199+'SUPLIER INWARD'!CD199</f>
        <v>0</v>
      </c>
      <c r="CD199" s="28"/>
      <c r="CE199" s="29">
        <v>0</v>
      </c>
      <c r="CF199" s="30">
        <f t="shared" si="241"/>
        <v>496</v>
      </c>
      <c r="CG199" s="28">
        <f>PRODUCTION!CH199+'SUPLIER INWARD'!CH199</f>
        <v>0</v>
      </c>
      <c r="CH199" s="28"/>
      <c r="CI199" s="29">
        <v>0</v>
      </c>
      <c r="CJ199" s="30">
        <f t="shared" si="242"/>
        <v>496</v>
      </c>
      <c r="CK199" s="28">
        <f>PRODUCTION!CL199+'SUPLIER INWARD'!CL199</f>
        <v>0</v>
      </c>
      <c r="CL199" s="151"/>
      <c r="CM199" s="152"/>
      <c r="CN199" s="30">
        <f t="shared" si="243"/>
        <v>496</v>
      </c>
      <c r="CO199" s="28">
        <f>PRODUCTION!CP199+'SUPLIER INWARD'!CP199</f>
        <v>0</v>
      </c>
      <c r="CP199" s="151">
        <v>49</v>
      </c>
      <c r="CQ199" s="29">
        <v>0</v>
      </c>
      <c r="CR199" s="30">
        <f t="shared" si="244"/>
        <v>447</v>
      </c>
      <c r="CS199" s="28">
        <f>PRODUCTION!CT199+'SUPLIER INWARD'!CT199</f>
        <v>0</v>
      </c>
      <c r="CT199" s="28"/>
      <c r="CU199" s="29">
        <v>0</v>
      </c>
      <c r="CV199" s="30">
        <f t="shared" si="245"/>
        <v>447</v>
      </c>
      <c r="CW199" s="28">
        <f>PRODUCTION!CX199+'SUPLIER INWARD'!CX199</f>
        <v>0</v>
      </c>
      <c r="CX199" s="28"/>
      <c r="CY199" s="29">
        <v>0</v>
      </c>
      <c r="CZ199" s="30">
        <f t="shared" si="246"/>
        <v>447</v>
      </c>
      <c r="DA199" s="28">
        <f>PRODUCTION!DB199+'SUPLIER INWARD'!DB199</f>
        <v>0</v>
      </c>
      <c r="DB199" s="28"/>
      <c r="DC199" s="29"/>
      <c r="DD199" s="30">
        <f t="shared" si="247"/>
        <v>447</v>
      </c>
      <c r="DE199" s="28">
        <f>PRODUCTION!DF199+'SUPLIER INWARD'!DF199</f>
        <v>0</v>
      </c>
      <c r="DF199" s="28"/>
      <c r="DG199" s="29">
        <v>0</v>
      </c>
      <c r="DH199" s="30">
        <f t="shared" si="248"/>
        <v>447</v>
      </c>
      <c r="DI199" s="28">
        <f>PRODUCTION!DJ199+'SUPLIER INWARD'!DJ199</f>
        <v>0</v>
      </c>
      <c r="DJ199" s="28"/>
      <c r="DK199" s="29">
        <v>0</v>
      </c>
      <c r="DL199" s="30">
        <f t="shared" si="249"/>
        <v>447</v>
      </c>
      <c r="DM199" s="28">
        <f>PRODUCTION!DN199+'SUPLIER INWARD'!DN199</f>
        <v>0</v>
      </c>
      <c r="DN199" s="28"/>
      <c r="DO199" s="29"/>
      <c r="DP199" s="30">
        <f t="shared" si="250"/>
        <v>447</v>
      </c>
      <c r="DQ199" s="28">
        <f>PRODUCTION!DR199+'SUPLIER INWARD'!DR199</f>
        <v>0</v>
      </c>
      <c r="DR199" s="28"/>
      <c r="DS199" s="29"/>
      <c r="DT199" s="30">
        <f t="shared" si="251"/>
        <v>447</v>
      </c>
      <c r="DU199" s="28">
        <f>PRODUCTION!DV199+'SUPLIER INWARD'!DV199</f>
        <v>0</v>
      </c>
      <c r="DV199" s="28"/>
      <c r="DW199" s="29"/>
      <c r="DX199" s="30">
        <f t="shared" si="252"/>
        <v>447</v>
      </c>
      <c r="DY199" s="31">
        <f t="shared" si="221"/>
        <v>0</v>
      </c>
      <c r="DZ199" s="141">
        <f t="shared" si="219"/>
        <v>49</v>
      </c>
      <c r="EA199" s="4">
        <f t="shared" si="220"/>
        <v>0</v>
      </c>
      <c r="EB199" s="9">
        <f>D199*'MASTER SHEET'!D199</f>
        <v>12831.52</v>
      </c>
      <c r="EC199" s="9">
        <f>H199*'MASTER SHEET'!D199</f>
        <v>12831.52</v>
      </c>
      <c r="ED199" s="9">
        <f>L199*'MASTER SHEET'!D199</f>
        <v>12831.52</v>
      </c>
      <c r="EE199" s="9">
        <f>P199*'MASTER SHEET'!D199</f>
        <v>12831.52</v>
      </c>
      <c r="EF199" s="9">
        <f>T199*'MASTER SHEET'!D199</f>
        <v>12831.52</v>
      </c>
      <c r="EG199" s="9">
        <f>X199*'MASTER SHEET'!D199</f>
        <v>12831.52</v>
      </c>
      <c r="EH199" s="9">
        <f>AB199*'MASTER SHEET'!D199</f>
        <v>12831.52</v>
      </c>
      <c r="EI199" s="9">
        <f>AF199*'MASTER SHEET'!D199</f>
        <v>12831.52</v>
      </c>
      <c r="EJ199" s="9">
        <f>AJ199*'MASTER SHEET'!D199</f>
        <v>12831.52</v>
      </c>
      <c r="EK199" s="9">
        <f>AN199*'MASTER SHEET'!D199</f>
        <v>12831.52</v>
      </c>
      <c r="EL199" s="9">
        <f>AR199*'MASTER SHEET'!D199</f>
        <v>12831.52</v>
      </c>
      <c r="EM199" s="9">
        <f>AV199*'MASTER SHEET'!D199</f>
        <v>12831.52</v>
      </c>
      <c r="EN199" s="9">
        <f>AZ199*'MASTER SHEET'!D199</f>
        <v>12831.52</v>
      </c>
      <c r="EO199" s="9">
        <f>BD199*'MASTER SHEET'!D199</f>
        <v>12831.52</v>
      </c>
      <c r="EP199" s="9">
        <f>$BH199*'MASTER SHEET'!$D199</f>
        <v>12831.52</v>
      </c>
      <c r="EQ199" s="9">
        <f>BL199*'MASTER SHEET'!D199</f>
        <v>12831.52</v>
      </c>
      <c r="ER199" s="9">
        <f>BP199*'MASTER SHEET'!D199</f>
        <v>12831.52</v>
      </c>
      <c r="ES199" s="9">
        <f>BT199*'MASTER SHEET'!D199</f>
        <v>12831.52</v>
      </c>
      <c r="ET199" s="9">
        <f>BX199*'MASTER SHEET'!D199</f>
        <v>12831.52</v>
      </c>
      <c r="EU199" s="9">
        <f>CB199*'MASTER SHEET'!D199</f>
        <v>12831.52</v>
      </c>
      <c r="EV199" s="9">
        <f>CF199*'MASTER SHEET'!D199</f>
        <v>12831.52</v>
      </c>
      <c r="EW199" s="9">
        <f>CJ199*'MASTER SHEET'!D199</f>
        <v>12831.52</v>
      </c>
      <c r="EX199" s="9">
        <f>CN199*'MASTER SHEET'!D199</f>
        <v>12831.52</v>
      </c>
      <c r="EY199" s="9">
        <f>CR199*'MASTER SHEET'!D199</f>
        <v>11563.890000000001</v>
      </c>
      <c r="EZ199" s="9">
        <f>$CV199*'MASTER SHEET'!D199</f>
        <v>11563.890000000001</v>
      </c>
      <c r="FA199" s="9">
        <f>CZ199*'MASTER SHEET'!D199</f>
        <v>11563.890000000001</v>
      </c>
      <c r="FB199" s="9">
        <f>DD199*'MASTER SHEET'!D199</f>
        <v>11563.890000000001</v>
      </c>
      <c r="FC199" s="9">
        <f>DH199*'MASTER SHEET'!D199</f>
        <v>11563.890000000001</v>
      </c>
      <c r="FD199" s="9">
        <f>DL199*'MASTER SHEET'!D199</f>
        <v>11563.890000000001</v>
      </c>
      <c r="FE199" s="9">
        <f>DP199*'MASTER SHEET'!D199</f>
        <v>11563.890000000001</v>
      </c>
      <c r="FF199" s="9">
        <f>DT199*'MASTER SHEET'!D199</f>
        <v>11563.890000000001</v>
      </c>
      <c r="FG199" s="9">
        <f>+DX199*'MASTER SHEET'!D199</f>
        <v>11563.890000000001</v>
      </c>
    </row>
    <row r="200" spans="1:163" ht="20.25" customHeight="1" x14ac:dyDescent="0.25">
      <c r="A200" s="25">
        <f>'MASTER SHEET'!A200</f>
        <v>198</v>
      </c>
      <c r="B200" s="26" t="str">
        <f>'MASTER SHEET'!B200</f>
        <v>TOP COVER ASSY.</v>
      </c>
      <c r="C200" s="78">
        <f>'MASTER SHEET'!C200</f>
        <v>5039553</v>
      </c>
      <c r="D200" s="159">
        <v>0</v>
      </c>
      <c r="E200" s="28">
        <f>PRODUCTION!F200+'SUPLIER INWARD'!F200</f>
        <v>0</v>
      </c>
      <c r="F200" s="28"/>
      <c r="G200" s="29">
        <v>0</v>
      </c>
      <c r="H200" s="30">
        <f t="shared" si="222"/>
        <v>0</v>
      </c>
      <c r="I200" s="28">
        <f>PRODUCTION!J200+'SUPLIER INWARD'!J200</f>
        <v>0</v>
      </c>
      <c r="J200" s="28"/>
      <c r="K200" s="29">
        <v>0</v>
      </c>
      <c r="L200" s="30">
        <f t="shared" si="223"/>
        <v>0</v>
      </c>
      <c r="M200" s="28">
        <f>PRODUCTION!N200+'SUPLIER INWARD'!N200</f>
        <v>0</v>
      </c>
      <c r="N200" s="28"/>
      <c r="O200" s="29"/>
      <c r="P200" s="30">
        <f t="shared" si="224"/>
        <v>0</v>
      </c>
      <c r="Q200" s="28">
        <f>PRODUCTION!R200+'SUPLIER INWARD'!R200</f>
        <v>0</v>
      </c>
      <c r="R200" s="28"/>
      <c r="S200" s="29">
        <v>0</v>
      </c>
      <c r="T200" s="30">
        <f t="shared" si="225"/>
        <v>0</v>
      </c>
      <c r="U200" s="28">
        <f>PRODUCTION!V200+'SUPLIER INWARD'!V200</f>
        <v>0</v>
      </c>
      <c r="V200" s="28"/>
      <c r="W200" s="29">
        <v>0</v>
      </c>
      <c r="X200" s="30">
        <f t="shared" si="226"/>
        <v>0</v>
      </c>
      <c r="Y200" s="28">
        <f>PRODUCTION!Z200+'SUPLIER INWARD'!Z200</f>
        <v>0</v>
      </c>
      <c r="Z200" s="28"/>
      <c r="AA200" s="29">
        <v>0</v>
      </c>
      <c r="AB200" s="30">
        <f t="shared" si="227"/>
        <v>0</v>
      </c>
      <c r="AC200" s="28">
        <f>PRODUCTION!AD200+'SUPLIER INWARD'!AD200</f>
        <v>144</v>
      </c>
      <c r="AD200" s="28">
        <v>40</v>
      </c>
      <c r="AE200" s="29">
        <v>0</v>
      </c>
      <c r="AF200" s="30">
        <f t="shared" si="228"/>
        <v>104</v>
      </c>
      <c r="AG200" s="28">
        <f>PRODUCTION!AH200+'SUPLIER INWARD'!AH200</f>
        <v>72</v>
      </c>
      <c r="AH200" s="28">
        <v>100</v>
      </c>
      <c r="AI200" s="29">
        <v>0</v>
      </c>
      <c r="AJ200" s="30">
        <f t="shared" si="229"/>
        <v>76</v>
      </c>
      <c r="AK200" s="28">
        <f>PRODUCTION!AL200+'SUPLIER INWARD'!AL200</f>
        <v>208</v>
      </c>
      <c r="AL200" s="28">
        <v>60</v>
      </c>
      <c r="AM200" s="29">
        <v>0</v>
      </c>
      <c r="AN200" s="30">
        <f t="shared" si="230"/>
        <v>224</v>
      </c>
      <c r="AO200" s="28">
        <f>PRODUCTION!AP200+'SUPLIER INWARD'!AP200</f>
        <v>0</v>
      </c>
      <c r="AP200" s="28">
        <v>28</v>
      </c>
      <c r="AQ200" s="29">
        <v>0</v>
      </c>
      <c r="AR200" s="30">
        <f t="shared" si="231"/>
        <v>196</v>
      </c>
      <c r="AS200" s="28">
        <f>PRODUCTION!AT200+'SUPLIER INWARD'!AT200</f>
        <v>0</v>
      </c>
      <c r="AT200" s="28"/>
      <c r="AU200" s="29">
        <v>0</v>
      </c>
      <c r="AV200" s="30">
        <f t="shared" si="232"/>
        <v>196</v>
      </c>
      <c r="AW200" s="28">
        <f>PRODUCTION!AX200+'SUPLIER INWARD'!AX200</f>
        <v>0</v>
      </c>
      <c r="AX200" s="28"/>
      <c r="AY200" s="29"/>
      <c r="AZ200" s="30">
        <f t="shared" si="233"/>
        <v>196</v>
      </c>
      <c r="BA200" s="28">
        <f>PRODUCTION!BB200+'SUPLIER INWARD'!BB200</f>
        <v>0</v>
      </c>
      <c r="BB200" s="28"/>
      <c r="BC200" s="29">
        <v>0</v>
      </c>
      <c r="BD200" s="30">
        <f t="shared" si="234"/>
        <v>196</v>
      </c>
      <c r="BE200" s="28">
        <f>PRODUCTION!BF200+'SUPLIER INWARD'!BF200</f>
        <v>0</v>
      </c>
      <c r="BF200" s="28"/>
      <c r="BG200" s="29">
        <v>0</v>
      </c>
      <c r="BH200" s="30">
        <f t="shared" si="235"/>
        <v>196</v>
      </c>
      <c r="BI200" s="28">
        <f>PRODUCTION!BJ200+'SUPLIER INWARD'!BJ200</f>
        <v>0</v>
      </c>
      <c r="BJ200" s="28">
        <v>4</v>
      </c>
      <c r="BK200" s="29">
        <v>0</v>
      </c>
      <c r="BL200" s="30">
        <f t="shared" si="236"/>
        <v>192</v>
      </c>
      <c r="BM200" s="28">
        <f>PRODUCTION!BN200+'SUPLIER INWARD'!BN200</f>
        <v>0</v>
      </c>
      <c r="BN200" s="28"/>
      <c r="BO200" s="29">
        <v>0</v>
      </c>
      <c r="BP200" s="30">
        <f t="shared" si="237"/>
        <v>192</v>
      </c>
      <c r="BQ200" s="28">
        <f>PRODUCTION!BR200+'SUPLIER INWARD'!BR200</f>
        <v>0</v>
      </c>
      <c r="BR200" s="28"/>
      <c r="BS200" s="29">
        <v>0</v>
      </c>
      <c r="BT200" s="30">
        <f t="shared" si="238"/>
        <v>192</v>
      </c>
      <c r="BU200" s="28">
        <f>PRODUCTION!BV200+'SUPLIER INWARD'!BV200</f>
        <v>0</v>
      </c>
      <c r="BV200" s="28"/>
      <c r="BW200" s="29">
        <v>0</v>
      </c>
      <c r="BX200" s="30">
        <f t="shared" si="239"/>
        <v>192</v>
      </c>
      <c r="BY200" s="28">
        <f>PRODUCTION!BZ200+'SUPLIER INWARD'!BZ200</f>
        <v>0</v>
      </c>
      <c r="BZ200" s="28"/>
      <c r="CA200" s="29">
        <v>0</v>
      </c>
      <c r="CB200" s="30">
        <f t="shared" si="240"/>
        <v>192</v>
      </c>
      <c r="CC200" s="28">
        <f>PRODUCTION!CD200+'SUPLIER INWARD'!CD200</f>
        <v>0</v>
      </c>
      <c r="CD200" s="28"/>
      <c r="CE200" s="29">
        <v>0</v>
      </c>
      <c r="CF200" s="30">
        <f t="shared" si="241"/>
        <v>192</v>
      </c>
      <c r="CG200" s="28">
        <f>PRODUCTION!CH200+'SUPLIER INWARD'!CH200</f>
        <v>0</v>
      </c>
      <c r="CH200" s="28"/>
      <c r="CI200" s="29">
        <v>0</v>
      </c>
      <c r="CJ200" s="30">
        <f t="shared" si="242"/>
        <v>192</v>
      </c>
      <c r="CK200" s="28">
        <f>PRODUCTION!CL200+'SUPLIER INWARD'!CL200</f>
        <v>0</v>
      </c>
      <c r="CL200" s="151"/>
      <c r="CM200" s="152"/>
      <c r="CN200" s="30">
        <f t="shared" si="243"/>
        <v>192</v>
      </c>
      <c r="CO200" s="28">
        <f>PRODUCTION!CP200+'SUPLIER INWARD'!CP200</f>
        <v>0</v>
      </c>
      <c r="CP200" s="151">
        <v>60</v>
      </c>
      <c r="CQ200" s="29">
        <v>0</v>
      </c>
      <c r="CR200" s="30">
        <f t="shared" si="244"/>
        <v>132</v>
      </c>
      <c r="CS200" s="28">
        <f>PRODUCTION!CT200+'SUPLIER INWARD'!CT200</f>
        <v>0</v>
      </c>
      <c r="CT200" s="28"/>
      <c r="CU200" s="29">
        <v>0</v>
      </c>
      <c r="CV200" s="30">
        <f t="shared" si="245"/>
        <v>132</v>
      </c>
      <c r="CW200" s="28">
        <f>PRODUCTION!CX200+'SUPLIER INWARD'!CX200</f>
        <v>0</v>
      </c>
      <c r="CX200" s="28"/>
      <c r="CY200" s="29">
        <v>0</v>
      </c>
      <c r="CZ200" s="30">
        <f t="shared" si="246"/>
        <v>132</v>
      </c>
      <c r="DA200" s="28">
        <f>PRODUCTION!DB200+'SUPLIER INWARD'!DB200</f>
        <v>0</v>
      </c>
      <c r="DB200" s="28"/>
      <c r="DC200" s="29"/>
      <c r="DD200" s="30">
        <f t="shared" si="247"/>
        <v>132</v>
      </c>
      <c r="DE200" s="28">
        <f>PRODUCTION!DF200+'SUPLIER INWARD'!DF200</f>
        <v>0</v>
      </c>
      <c r="DF200" s="28"/>
      <c r="DG200" s="29">
        <v>0</v>
      </c>
      <c r="DH200" s="30">
        <f t="shared" si="248"/>
        <v>132</v>
      </c>
      <c r="DI200" s="28">
        <f>PRODUCTION!DJ200+'SUPLIER INWARD'!DJ200</f>
        <v>0</v>
      </c>
      <c r="DJ200" s="28">
        <v>60</v>
      </c>
      <c r="DK200" s="29">
        <v>0</v>
      </c>
      <c r="DL200" s="30">
        <f t="shared" si="249"/>
        <v>72</v>
      </c>
      <c r="DM200" s="28">
        <f>PRODUCTION!DN200+'SUPLIER INWARD'!DN200</f>
        <v>0</v>
      </c>
      <c r="DN200" s="28">
        <v>66</v>
      </c>
      <c r="DO200" s="29"/>
      <c r="DP200" s="30">
        <f t="shared" si="250"/>
        <v>6</v>
      </c>
      <c r="DQ200" s="28">
        <f>PRODUCTION!DR200+'SUPLIER INWARD'!DR200</f>
        <v>0</v>
      </c>
      <c r="DR200" s="28"/>
      <c r="DS200" s="29"/>
      <c r="DT200" s="30">
        <f t="shared" si="251"/>
        <v>6</v>
      </c>
      <c r="DU200" s="28">
        <f>PRODUCTION!DV200+'SUPLIER INWARD'!DV200</f>
        <v>0</v>
      </c>
      <c r="DV200" s="28"/>
      <c r="DW200" s="29"/>
      <c r="DX200" s="30">
        <f t="shared" si="252"/>
        <v>6</v>
      </c>
      <c r="DY200" s="31">
        <f t="shared" si="221"/>
        <v>424</v>
      </c>
      <c r="DZ200" s="141">
        <f t="shared" si="219"/>
        <v>418</v>
      </c>
      <c r="EA200" s="4">
        <f t="shared" si="220"/>
        <v>0</v>
      </c>
      <c r="EB200" s="9">
        <f>D200*'MASTER SHEET'!D200</f>
        <v>0</v>
      </c>
      <c r="EC200" s="9">
        <f>H200*'MASTER SHEET'!D200</f>
        <v>0</v>
      </c>
      <c r="ED200" s="9">
        <f>L200*'MASTER SHEET'!D200</f>
        <v>0</v>
      </c>
      <c r="EE200" s="9">
        <f>P200*'MASTER SHEET'!D200</f>
        <v>0</v>
      </c>
      <c r="EF200" s="9">
        <f>T200*'MASTER SHEET'!D200</f>
        <v>0</v>
      </c>
      <c r="EG200" s="9">
        <f>X200*'MASTER SHEET'!D200</f>
        <v>0</v>
      </c>
      <c r="EH200" s="9">
        <f>AB200*'MASTER SHEET'!D200</f>
        <v>0</v>
      </c>
      <c r="EI200" s="9">
        <f>AF200*'MASTER SHEET'!D200</f>
        <v>19682</v>
      </c>
      <c r="EJ200" s="9">
        <f>AJ200*'MASTER SHEET'!D200</f>
        <v>14383</v>
      </c>
      <c r="EK200" s="9">
        <f>AN200*'MASTER SHEET'!D200</f>
        <v>42392</v>
      </c>
      <c r="EL200" s="9">
        <f>AR200*'MASTER SHEET'!D200</f>
        <v>37093</v>
      </c>
      <c r="EM200" s="9">
        <f>AV200*'MASTER SHEET'!D200</f>
        <v>37093</v>
      </c>
      <c r="EN200" s="9">
        <f>AZ200*'MASTER SHEET'!D200</f>
        <v>37093</v>
      </c>
      <c r="EO200" s="9">
        <f>BD200*'MASTER SHEET'!D200</f>
        <v>37093</v>
      </c>
      <c r="EP200" s="9">
        <f>$BH200*'MASTER SHEET'!$D200</f>
        <v>37093</v>
      </c>
      <c r="EQ200" s="9">
        <f>BL200*'MASTER SHEET'!D200</f>
        <v>36336</v>
      </c>
      <c r="ER200" s="9">
        <f>BP200*'MASTER SHEET'!D200</f>
        <v>36336</v>
      </c>
      <c r="ES200" s="9">
        <f>BT200*'MASTER SHEET'!D200</f>
        <v>36336</v>
      </c>
      <c r="ET200" s="9">
        <f>BX200*'MASTER SHEET'!D200</f>
        <v>36336</v>
      </c>
      <c r="EU200" s="9">
        <f>CB200*'MASTER SHEET'!D200</f>
        <v>36336</v>
      </c>
      <c r="EV200" s="9">
        <f>CF200*'MASTER SHEET'!D200</f>
        <v>36336</v>
      </c>
      <c r="EW200" s="9">
        <f>CJ200*'MASTER SHEET'!D200</f>
        <v>36336</v>
      </c>
      <c r="EX200" s="9">
        <f>CN200*'MASTER SHEET'!D200</f>
        <v>36336</v>
      </c>
      <c r="EY200" s="9">
        <f>CR200*'MASTER SHEET'!D200</f>
        <v>24981</v>
      </c>
      <c r="EZ200" s="9">
        <f>$CV200*'MASTER SHEET'!D200</f>
        <v>24981</v>
      </c>
      <c r="FA200" s="9">
        <f>CZ200*'MASTER SHEET'!D200</f>
        <v>24981</v>
      </c>
      <c r="FB200" s="9">
        <f>DD200*'MASTER SHEET'!D200</f>
        <v>24981</v>
      </c>
      <c r="FC200" s="9">
        <f>DH200*'MASTER SHEET'!D200</f>
        <v>24981</v>
      </c>
      <c r="FD200" s="9">
        <f>DL200*'MASTER SHEET'!D200</f>
        <v>13626</v>
      </c>
      <c r="FE200" s="9">
        <f>DP200*'MASTER SHEET'!D200</f>
        <v>1135.5</v>
      </c>
      <c r="FF200" s="9">
        <f>DT200*'MASTER SHEET'!D200</f>
        <v>1135.5</v>
      </c>
      <c r="FG200" s="9">
        <f>+DX200*'MASTER SHEET'!D200</f>
        <v>1135.5</v>
      </c>
    </row>
    <row r="201" spans="1:163" ht="20.25" customHeight="1" x14ac:dyDescent="0.25">
      <c r="A201" s="25">
        <f>'MASTER SHEET'!A201</f>
        <v>199</v>
      </c>
      <c r="B201" s="26" t="str">
        <f>'MASTER SHEET'!B201</f>
        <v>HOUSING PLASTIC</v>
      </c>
      <c r="C201" s="78">
        <f>'MASTER SHEET'!C201</f>
        <v>5039047</v>
      </c>
      <c r="D201" s="159">
        <v>1741</v>
      </c>
      <c r="E201" s="28">
        <f>PRODUCTION!F201+'SUPLIER INWARD'!F201</f>
        <v>0</v>
      </c>
      <c r="F201" s="28"/>
      <c r="G201" s="29">
        <v>0</v>
      </c>
      <c r="H201" s="30">
        <f t="shared" si="222"/>
        <v>1741</v>
      </c>
      <c r="I201" s="28">
        <f>PRODUCTION!J201+'SUPLIER INWARD'!J201</f>
        <v>0</v>
      </c>
      <c r="J201" s="28"/>
      <c r="K201" s="29">
        <v>0</v>
      </c>
      <c r="L201" s="30">
        <f t="shared" si="223"/>
        <v>1741</v>
      </c>
      <c r="M201" s="28">
        <f>PRODUCTION!N201+'SUPLIER INWARD'!N201</f>
        <v>0</v>
      </c>
      <c r="N201" s="28"/>
      <c r="O201" s="29"/>
      <c r="P201" s="30">
        <f t="shared" si="224"/>
        <v>1741</v>
      </c>
      <c r="Q201" s="28">
        <f>PRODUCTION!R201+'SUPLIER INWARD'!R201</f>
        <v>0</v>
      </c>
      <c r="R201" s="28"/>
      <c r="S201" s="29">
        <v>0</v>
      </c>
      <c r="T201" s="30">
        <f t="shared" si="225"/>
        <v>1741</v>
      </c>
      <c r="U201" s="28">
        <f>PRODUCTION!V201+'SUPLIER INWARD'!V201</f>
        <v>0</v>
      </c>
      <c r="V201" s="28"/>
      <c r="W201" s="29">
        <v>0</v>
      </c>
      <c r="X201" s="30">
        <f t="shared" si="226"/>
        <v>1741</v>
      </c>
      <c r="Y201" s="28">
        <f>PRODUCTION!Z201+'SUPLIER INWARD'!Z201</f>
        <v>0</v>
      </c>
      <c r="Z201" s="28"/>
      <c r="AA201" s="29">
        <v>0</v>
      </c>
      <c r="AB201" s="30">
        <f t="shared" si="227"/>
        <v>1741</v>
      </c>
      <c r="AC201" s="28">
        <f>PRODUCTION!AD201+'SUPLIER INWARD'!AD201</f>
        <v>0</v>
      </c>
      <c r="AD201" s="28">
        <v>200</v>
      </c>
      <c r="AE201" s="29">
        <v>0</v>
      </c>
      <c r="AF201" s="30">
        <f t="shared" si="228"/>
        <v>1541</v>
      </c>
      <c r="AG201" s="28">
        <f>PRODUCTION!AH201+'SUPLIER INWARD'!AH201</f>
        <v>0</v>
      </c>
      <c r="AH201" s="28">
        <v>930</v>
      </c>
      <c r="AI201" s="29">
        <v>2</v>
      </c>
      <c r="AJ201" s="30">
        <f t="shared" si="229"/>
        <v>609</v>
      </c>
      <c r="AK201" s="28">
        <f>PRODUCTION!AL201+'SUPLIER INWARD'!AL201</f>
        <v>0</v>
      </c>
      <c r="AL201" s="28"/>
      <c r="AM201" s="29">
        <v>0</v>
      </c>
      <c r="AN201" s="30">
        <f t="shared" si="230"/>
        <v>609</v>
      </c>
      <c r="AO201" s="28">
        <f>PRODUCTION!AP201+'SUPLIER INWARD'!AP201</f>
        <v>0</v>
      </c>
      <c r="AP201" s="28"/>
      <c r="AQ201" s="29">
        <v>0</v>
      </c>
      <c r="AR201" s="30">
        <f t="shared" si="231"/>
        <v>609</v>
      </c>
      <c r="AS201" s="28">
        <f>PRODUCTION!AT201+'SUPLIER INWARD'!AT201</f>
        <v>0</v>
      </c>
      <c r="AT201" s="28"/>
      <c r="AU201" s="29">
        <v>0</v>
      </c>
      <c r="AV201" s="30">
        <f t="shared" si="232"/>
        <v>609</v>
      </c>
      <c r="AW201" s="28">
        <f>PRODUCTION!AX201+'SUPLIER INWARD'!AX201</f>
        <v>0</v>
      </c>
      <c r="AX201" s="28"/>
      <c r="AY201" s="29"/>
      <c r="AZ201" s="30">
        <f t="shared" si="233"/>
        <v>609</v>
      </c>
      <c r="BA201" s="28">
        <f>PRODUCTION!BB201+'SUPLIER INWARD'!BB201</f>
        <v>0</v>
      </c>
      <c r="BB201" s="28"/>
      <c r="BC201" s="29">
        <v>0</v>
      </c>
      <c r="BD201" s="30">
        <f t="shared" si="234"/>
        <v>609</v>
      </c>
      <c r="BE201" s="28">
        <f>PRODUCTION!BF201+'SUPLIER INWARD'!BF201</f>
        <v>0</v>
      </c>
      <c r="BF201" s="28"/>
      <c r="BG201" s="29">
        <v>0</v>
      </c>
      <c r="BH201" s="30">
        <f t="shared" si="235"/>
        <v>609</v>
      </c>
      <c r="BI201" s="28">
        <f>PRODUCTION!BJ201+'SUPLIER INWARD'!BJ201</f>
        <v>0</v>
      </c>
      <c r="BJ201" s="28"/>
      <c r="BK201" s="29">
        <v>0</v>
      </c>
      <c r="BL201" s="30">
        <f t="shared" si="236"/>
        <v>609</v>
      </c>
      <c r="BM201" s="28">
        <f>PRODUCTION!BN201+'SUPLIER INWARD'!BN201</f>
        <v>0</v>
      </c>
      <c r="BN201" s="28"/>
      <c r="BO201" s="29">
        <v>0</v>
      </c>
      <c r="BP201" s="30">
        <f t="shared" si="237"/>
        <v>609</v>
      </c>
      <c r="BQ201" s="28">
        <f>PRODUCTION!BR201+'SUPLIER INWARD'!BR201</f>
        <v>0</v>
      </c>
      <c r="BR201" s="28"/>
      <c r="BS201" s="29">
        <v>0</v>
      </c>
      <c r="BT201" s="30">
        <f t="shared" si="238"/>
        <v>609</v>
      </c>
      <c r="BU201" s="28">
        <f>PRODUCTION!BV201+'SUPLIER INWARD'!BV201</f>
        <v>0</v>
      </c>
      <c r="BV201" s="28"/>
      <c r="BW201" s="29">
        <v>0</v>
      </c>
      <c r="BX201" s="30">
        <f t="shared" si="239"/>
        <v>609</v>
      </c>
      <c r="BY201" s="28">
        <f>PRODUCTION!BZ201+'SUPLIER INWARD'!BZ201</f>
        <v>0</v>
      </c>
      <c r="BZ201" s="28"/>
      <c r="CA201" s="29">
        <v>0</v>
      </c>
      <c r="CB201" s="30">
        <f t="shared" si="240"/>
        <v>609</v>
      </c>
      <c r="CC201" s="28">
        <f>PRODUCTION!CD201+'SUPLIER INWARD'!CD201</f>
        <v>0</v>
      </c>
      <c r="CD201" s="28"/>
      <c r="CE201" s="29">
        <v>0</v>
      </c>
      <c r="CF201" s="30">
        <f t="shared" si="241"/>
        <v>609</v>
      </c>
      <c r="CG201" s="28">
        <f>PRODUCTION!CH201+'SUPLIER INWARD'!CH201</f>
        <v>0</v>
      </c>
      <c r="CH201" s="28"/>
      <c r="CI201" s="29">
        <v>0</v>
      </c>
      <c r="CJ201" s="30">
        <f t="shared" si="242"/>
        <v>609</v>
      </c>
      <c r="CK201" s="28">
        <f>PRODUCTION!CL201+'SUPLIER INWARD'!CL201</f>
        <v>0</v>
      </c>
      <c r="CL201" s="151"/>
      <c r="CM201" s="152"/>
      <c r="CN201" s="30">
        <f t="shared" si="243"/>
        <v>609</v>
      </c>
      <c r="CO201" s="28">
        <f>PRODUCTION!CP201+'SUPLIER INWARD'!CP201</f>
        <v>0</v>
      </c>
      <c r="CP201" s="28"/>
      <c r="CQ201" s="29">
        <v>0</v>
      </c>
      <c r="CR201" s="30">
        <f t="shared" si="244"/>
        <v>609</v>
      </c>
      <c r="CS201" s="28">
        <f>PRODUCTION!CT201+'SUPLIER INWARD'!CT201</f>
        <v>0</v>
      </c>
      <c r="CT201" s="28"/>
      <c r="CU201" s="29">
        <v>0</v>
      </c>
      <c r="CV201" s="30">
        <f t="shared" si="245"/>
        <v>609</v>
      </c>
      <c r="CW201" s="28">
        <f>PRODUCTION!CX201+'SUPLIER INWARD'!CX201</f>
        <v>0</v>
      </c>
      <c r="CX201" s="28"/>
      <c r="CY201" s="29">
        <v>0</v>
      </c>
      <c r="CZ201" s="30">
        <f t="shared" si="246"/>
        <v>609</v>
      </c>
      <c r="DA201" s="28">
        <f>PRODUCTION!DB201+'SUPLIER INWARD'!DB201</f>
        <v>0</v>
      </c>
      <c r="DB201" s="28"/>
      <c r="DC201" s="29"/>
      <c r="DD201" s="30">
        <f t="shared" si="247"/>
        <v>609</v>
      </c>
      <c r="DE201" s="28">
        <f>PRODUCTION!DF201+'SUPLIER INWARD'!DF201</f>
        <v>0</v>
      </c>
      <c r="DF201" s="28"/>
      <c r="DG201" s="29">
        <v>0</v>
      </c>
      <c r="DH201" s="30">
        <f t="shared" si="248"/>
        <v>609</v>
      </c>
      <c r="DI201" s="28">
        <f>PRODUCTION!DJ201+'SUPLIER INWARD'!DJ201</f>
        <v>0</v>
      </c>
      <c r="DJ201" s="28"/>
      <c r="DK201" s="29">
        <v>0</v>
      </c>
      <c r="DL201" s="30">
        <f t="shared" si="249"/>
        <v>609</v>
      </c>
      <c r="DM201" s="28">
        <f>PRODUCTION!DN201+'SUPLIER INWARD'!DN201</f>
        <v>0</v>
      </c>
      <c r="DN201" s="28"/>
      <c r="DO201" s="29"/>
      <c r="DP201" s="30">
        <f t="shared" si="250"/>
        <v>609</v>
      </c>
      <c r="DQ201" s="28">
        <f>PRODUCTION!DR201+'SUPLIER INWARD'!DR201</f>
        <v>0</v>
      </c>
      <c r="DR201" s="28"/>
      <c r="DS201" s="29"/>
      <c r="DT201" s="30">
        <f t="shared" si="251"/>
        <v>609</v>
      </c>
      <c r="DU201" s="28">
        <f>PRODUCTION!DV201+'SUPLIER INWARD'!DV201</f>
        <v>0</v>
      </c>
      <c r="DV201" s="28"/>
      <c r="DW201" s="29"/>
      <c r="DX201" s="30">
        <f t="shared" si="252"/>
        <v>609</v>
      </c>
      <c r="DY201" s="31">
        <f t="shared" si="221"/>
        <v>0</v>
      </c>
      <c r="DZ201" s="141">
        <f t="shared" si="219"/>
        <v>1130</v>
      </c>
      <c r="EA201" s="4">
        <f t="shared" si="220"/>
        <v>2</v>
      </c>
      <c r="EB201" s="9">
        <f>D201*'MASTER SHEET'!D201</f>
        <v>26950.68</v>
      </c>
      <c r="EC201" s="9">
        <f>H201*'MASTER SHEET'!D201</f>
        <v>26950.68</v>
      </c>
      <c r="ED201" s="9">
        <f>L201*'MASTER SHEET'!D201</f>
        <v>26950.68</v>
      </c>
      <c r="EE201" s="9">
        <f>P201*'MASTER SHEET'!D201</f>
        <v>26950.68</v>
      </c>
      <c r="EF201" s="9">
        <f>T201*'MASTER SHEET'!D201</f>
        <v>26950.68</v>
      </c>
      <c r="EG201" s="9">
        <f>X201*'MASTER SHEET'!D201</f>
        <v>26950.68</v>
      </c>
      <c r="EH201" s="9">
        <f>AB201*'MASTER SHEET'!D201</f>
        <v>26950.68</v>
      </c>
      <c r="EI201" s="9">
        <f>AF201*'MASTER SHEET'!D201</f>
        <v>23854.68</v>
      </c>
      <c r="EJ201" s="9">
        <f>AJ201*'MASTER SHEET'!D201</f>
        <v>9427.32</v>
      </c>
      <c r="EK201" s="9">
        <f>AN201*'MASTER SHEET'!D201</f>
        <v>9427.32</v>
      </c>
      <c r="EL201" s="9">
        <f>AR201*'MASTER SHEET'!D201</f>
        <v>9427.32</v>
      </c>
      <c r="EM201" s="9">
        <f>AV201*'MASTER SHEET'!D201</f>
        <v>9427.32</v>
      </c>
      <c r="EN201" s="9">
        <f>AZ201*'MASTER SHEET'!D201</f>
        <v>9427.32</v>
      </c>
      <c r="EO201" s="9">
        <f>BD201*'MASTER SHEET'!D201</f>
        <v>9427.32</v>
      </c>
      <c r="EP201" s="9">
        <f>$BH201*'MASTER SHEET'!$D201</f>
        <v>9427.32</v>
      </c>
      <c r="EQ201" s="9">
        <f>BL201*'MASTER SHEET'!D201</f>
        <v>9427.32</v>
      </c>
      <c r="ER201" s="9">
        <f>BP201*'MASTER SHEET'!D201</f>
        <v>9427.32</v>
      </c>
      <c r="ES201" s="9">
        <f>BT201*'MASTER SHEET'!D201</f>
        <v>9427.32</v>
      </c>
      <c r="ET201" s="9">
        <f>BX201*'MASTER SHEET'!D201</f>
        <v>9427.32</v>
      </c>
      <c r="EU201" s="9">
        <f>CB201*'MASTER SHEET'!D201</f>
        <v>9427.32</v>
      </c>
      <c r="EV201" s="9">
        <f>CF201*'MASTER SHEET'!D201</f>
        <v>9427.32</v>
      </c>
      <c r="EW201" s="9">
        <f>CJ201*'MASTER SHEET'!D201</f>
        <v>9427.32</v>
      </c>
      <c r="EX201" s="9">
        <f>CN201*'MASTER SHEET'!D201</f>
        <v>9427.32</v>
      </c>
      <c r="EY201" s="9">
        <f>CR201*'MASTER SHEET'!D201</f>
        <v>9427.32</v>
      </c>
      <c r="EZ201" s="9">
        <f>$CV201*'MASTER SHEET'!D201</f>
        <v>9427.32</v>
      </c>
      <c r="FA201" s="9">
        <f>CZ201*'MASTER SHEET'!D201</f>
        <v>9427.32</v>
      </c>
      <c r="FB201" s="9">
        <f>DD201*'MASTER SHEET'!D201</f>
        <v>9427.32</v>
      </c>
      <c r="FC201" s="9">
        <f>DH201*'MASTER SHEET'!D201</f>
        <v>9427.32</v>
      </c>
      <c r="FD201" s="9">
        <f>DL201*'MASTER SHEET'!D201</f>
        <v>9427.32</v>
      </c>
      <c r="FE201" s="9">
        <f>DP201*'MASTER SHEET'!D201</f>
        <v>9427.32</v>
      </c>
      <c r="FF201" s="9">
        <f>DT201*'MASTER SHEET'!D201</f>
        <v>9427.32</v>
      </c>
      <c r="FG201" s="9">
        <f>+DX201*'MASTER SHEET'!D201</f>
        <v>9427.32</v>
      </c>
    </row>
    <row r="202" spans="1:163" ht="20.25" customHeight="1" x14ac:dyDescent="0.25">
      <c r="A202" s="25">
        <f>'MASTER SHEET'!A202</f>
        <v>200</v>
      </c>
      <c r="B202" s="26" t="str">
        <f>'MASTER SHEET'!B202</f>
        <v>FLANGE ASY, PLASTIC</v>
      </c>
      <c r="C202" s="78">
        <f>'MASTER SHEET'!C202</f>
        <v>5049200</v>
      </c>
      <c r="D202" s="159">
        <v>0</v>
      </c>
      <c r="E202" s="28">
        <f>PRODUCTION!F202+'SUPLIER INWARD'!F202</f>
        <v>0</v>
      </c>
      <c r="F202" s="28"/>
      <c r="G202" s="29">
        <v>0</v>
      </c>
      <c r="H202" s="30">
        <f t="shared" si="222"/>
        <v>0</v>
      </c>
      <c r="I202" s="28">
        <f>PRODUCTION!J202+'SUPLIER INWARD'!J202</f>
        <v>0</v>
      </c>
      <c r="J202" s="28"/>
      <c r="K202" s="29"/>
      <c r="L202" s="30">
        <f t="shared" si="223"/>
        <v>0</v>
      </c>
      <c r="M202" s="28">
        <f>PRODUCTION!N202+'SUPLIER INWARD'!N202</f>
        <v>0</v>
      </c>
      <c r="N202" s="28"/>
      <c r="O202" s="29"/>
      <c r="P202" s="30">
        <f t="shared" si="224"/>
        <v>0</v>
      </c>
      <c r="Q202" s="28">
        <f>PRODUCTION!R202+'SUPLIER INWARD'!R202</f>
        <v>0</v>
      </c>
      <c r="R202" s="28"/>
      <c r="S202" s="29">
        <v>0</v>
      </c>
      <c r="T202" s="30">
        <f t="shared" si="225"/>
        <v>0</v>
      </c>
      <c r="U202" s="28">
        <f>PRODUCTION!V202+'SUPLIER INWARD'!V202</f>
        <v>0</v>
      </c>
      <c r="V202" s="28"/>
      <c r="W202" s="29">
        <v>0</v>
      </c>
      <c r="X202" s="30">
        <f t="shared" si="226"/>
        <v>0</v>
      </c>
      <c r="Y202" s="28">
        <f>PRODUCTION!Z202+'SUPLIER INWARD'!Z202</f>
        <v>0</v>
      </c>
      <c r="Z202" s="28"/>
      <c r="AA202" s="29">
        <v>0</v>
      </c>
      <c r="AB202" s="30">
        <f t="shared" si="227"/>
        <v>0</v>
      </c>
      <c r="AC202" s="28">
        <f>PRODUCTION!AD202+'SUPLIER INWARD'!AD202</f>
        <v>0</v>
      </c>
      <c r="AD202" s="28"/>
      <c r="AE202" s="29">
        <v>0</v>
      </c>
      <c r="AF202" s="30">
        <f t="shared" si="228"/>
        <v>0</v>
      </c>
      <c r="AG202" s="28">
        <f>PRODUCTION!AH202+'SUPLIER INWARD'!AH202</f>
        <v>0</v>
      </c>
      <c r="AH202" s="28"/>
      <c r="AI202" s="29">
        <v>0</v>
      </c>
      <c r="AJ202" s="30">
        <f t="shared" si="229"/>
        <v>0</v>
      </c>
      <c r="AK202" s="28">
        <f>PRODUCTION!AL202+'SUPLIER INWARD'!AL202</f>
        <v>936</v>
      </c>
      <c r="AL202" s="28"/>
      <c r="AM202" s="29">
        <v>0</v>
      </c>
      <c r="AN202" s="30">
        <f t="shared" si="230"/>
        <v>936</v>
      </c>
      <c r="AO202" s="28">
        <f>PRODUCTION!AP202+'SUPLIER INWARD'!AP202</f>
        <v>313</v>
      </c>
      <c r="AP202" s="28">
        <f>450+360</f>
        <v>810</v>
      </c>
      <c r="AQ202" s="29">
        <v>0</v>
      </c>
      <c r="AR202" s="30">
        <f t="shared" si="231"/>
        <v>439</v>
      </c>
      <c r="AS202" s="28">
        <f>PRODUCTION!AT202+'SUPLIER INWARD'!AT202</f>
        <v>0</v>
      </c>
      <c r="AT202" s="28"/>
      <c r="AU202" s="29">
        <v>0</v>
      </c>
      <c r="AV202" s="30">
        <f t="shared" si="232"/>
        <v>439</v>
      </c>
      <c r="AW202" s="28">
        <f>PRODUCTION!AX202+'SUPLIER INWARD'!AX202</f>
        <v>0</v>
      </c>
      <c r="AX202" s="28"/>
      <c r="AY202" s="29"/>
      <c r="AZ202" s="30">
        <f t="shared" si="233"/>
        <v>439</v>
      </c>
      <c r="BA202" s="28">
        <f>PRODUCTION!BB202+'SUPLIER INWARD'!BB202</f>
        <v>0</v>
      </c>
      <c r="BB202" s="28"/>
      <c r="BC202" s="29">
        <v>0</v>
      </c>
      <c r="BD202" s="30">
        <f t="shared" si="234"/>
        <v>439</v>
      </c>
      <c r="BE202" s="28">
        <f>PRODUCTION!BF202+'SUPLIER INWARD'!BF202</f>
        <v>0</v>
      </c>
      <c r="BF202" s="28"/>
      <c r="BG202" s="29">
        <v>0</v>
      </c>
      <c r="BH202" s="30">
        <f t="shared" si="235"/>
        <v>439</v>
      </c>
      <c r="BI202" s="28">
        <f>PRODUCTION!BJ202+'SUPLIER INWARD'!BJ202</f>
        <v>0</v>
      </c>
      <c r="BJ202" s="28"/>
      <c r="BK202" s="29">
        <v>0</v>
      </c>
      <c r="BL202" s="30">
        <f t="shared" si="236"/>
        <v>439</v>
      </c>
      <c r="BM202" s="28">
        <f>PRODUCTION!BN202+'SUPLIER INWARD'!BN202</f>
        <v>0</v>
      </c>
      <c r="BN202" s="28"/>
      <c r="BO202" s="29">
        <v>0</v>
      </c>
      <c r="BP202" s="30">
        <f t="shared" si="237"/>
        <v>439</v>
      </c>
      <c r="BQ202" s="28">
        <f>PRODUCTION!BR202+'SUPLIER INWARD'!BR202</f>
        <v>0</v>
      </c>
      <c r="BR202" s="28"/>
      <c r="BS202" s="29">
        <v>0</v>
      </c>
      <c r="BT202" s="30">
        <f t="shared" si="238"/>
        <v>439</v>
      </c>
      <c r="BU202" s="28">
        <f>PRODUCTION!BV202+'SUPLIER INWARD'!BV202</f>
        <v>0</v>
      </c>
      <c r="BV202" s="28"/>
      <c r="BW202" s="29">
        <v>0</v>
      </c>
      <c r="BX202" s="30">
        <f t="shared" si="239"/>
        <v>439</v>
      </c>
      <c r="BY202" s="28">
        <f>PRODUCTION!BZ202+'SUPLIER INWARD'!BZ202</f>
        <v>0</v>
      </c>
      <c r="BZ202" s="28"/>
      <c r="CA202" s="29">
        <v>0</v>
      </c>
      <c r="CB202" s="30">
        <f t="shared" si="240"/>
        <v>439</v>
      </c>
      <c r="CC202" s="28">
        <f>PRODUCTION!CD202+'SUPLIER INWARD'!CD202</f>
        <v>0</v>
      </c>
      <c r="CD202" s="28"/>
      <c r="CE202" s="29">
        <v>0</v>
      </c>
      <c r="CF202" s="30">
        <f t="shared" si="241"/>
        <v>439</v>
      </c>
      <c r="CG202" s="28">
        <f>PRODUCTION!CH202+'SUPLIER INWARD'!CH202</f>
        <v>0</v>
      </c>
      <c r="CH202" s="28"/>
      <c r="CI202" s="29">
        <v>0</v>
      </c>
      <c r="CJ202" s="30">
        <f t="shared" si="242"/>
        <v>439</v>
      </c>
      <c r="CK202" s="28">
        <f>PRODUCTION!CL202+'SUPLIER INWARD'!CL202</f>
        <v>0</v>
      </c>
      <c r="CL202" s="151"/>
      <c r="CM202" s="152"/>
      <c r="CN202" s="30">
        <f t="shared" si="243"/>
        <v>439</v>
      </c>
      <c r="CO202" s="28">
        <f>PRODUCTION!CP202+'SUPLIER INWARD'!CP202</f>
        <v>0</v>
      </c>
      <c r="CP202" s="28"/>
      <c r="CQ202" s="29">
        <v>0</v>
      </c>
      <c r="CR202" s="30">
        <f t="shared" si="244"/>
        <v>439</v>
      </c>
      <c r="CS202" s="28">
        <f>PRODUCTION!CT202+'SUPLIER INWARD'!CT202</f>
        <v>0</v>
      </c>
      <c r="CT202" s="28">
        <v>30</v>
      </c>
      <c r="CU202" s="29">
        <v>0</v>
      </c>
      <c r="CV202" s="30">
        <f t="shared" si="245"/>
        <v>409</v>
      </c>
      <c r="CW202" s="28">
        <f>PRODUCTION!CX202+'SUPLIER INWARD'!CX202</f>
        <v>0</v>
      </c>
      <c r="CX202" s="28"/>
      <c r="CY202" s="29">
        <v>0</v>
      </c>
      <c r="CZ202" s="30">
        <f t="shared" si="246"/>
        <v>409</v>
      </c>
      <c r="DA202" s="28">
        <f>PRODUCTION!DB202+'SUPLIER INWARD'!DB202</f>
        <v>0</v>
      </c>
      <c r="DB202" s="28"/>
      <c r="DC202" s="29"/>
      <c r="DD202" s="30">
        <f t="shared" si="247"/>
        <v>409</v>
      </c>
      <c r="DE202" s="28">
        <f>PRODUCTION!DF202+'SUPLIER INWARD'!DF202</f>
        <v>0</v>
      </c>
      <c r="DF202" s="28"/>
      <c r="DG202" s="29">
        <v>0</v>
      </c>
      <c r="DH202" s="30">
        <f t="shared" si="248"/>
        <v>409</v>
      </c>
      <c r="DI202" s="28">
        <f>PRODUCTION!DJ202+'SUPLIER INWARD'!DJ202</f>
        <v>0</v>
      </c>
      <c r="DJ202" s="28"/>
      <c r="DK202" s="29">
        <v>0</v>
      </c>
      <c r="DL202" s="30">
        <f t="shared" si="249"/>
        <v>409</v>
      </c>
      <c r="DM202" s="28">
        <f>PRODUCTION!DN202+'SUPLIER INWARD'!DN202</f>
        <v>0</v>
      </c>
      <c r="DN202" s="28"/>
      <c r="DO202" s="29"/>
      <c r="DP202" s="30">
        <f t="shared" si="250"/>
        <v>409</v>
      </c>
      <c r="DQ202" s="28">
        <f>PRODUCTION!DR202+'SUPLIER INWARD'!DR202</f>
        <v>0</v>
      </c>
      <c r="DR202" s="28"/>
      <c r="DS202" s="29"/>
      <c r="DT202" s="30">
        <f t="shared" si="251"/>
        <v>409</v>
      </c>
      <c r="DU202" s="28">
        <f>PRODUCTION!DV202+'SUPLIER INWARD'!DV202</f>
        <v>0</v>
      </c>
      <c r="DV202" s="28"/>
      <c r="DW202" s="29"/>
      <c r="DX202" s="30">
        <f t="shared" si="252"/>
        <v>409</v>
      </c>
      <c r="DY202" s="31">
        <f t="shared" si="221"/>
        <v>1249</v>
      </c>
      <c r="DZ202" s="141">
        <f t="shared" si="219"/>
        <v>840</v>
      </c>
      <c r="EA202" s="4">
        <f t="shared" si="220"/>
        <v>0</v>
      </c>
      <c r="EB202" s="9">
        <f>D202*'MASTER SHEET'!D202</f>
        <v>0</v>
      </c>
      <c r="EC202" s="9">
        <f>H202*'MASTER SHEET'!D202</f>
        <v>0</v>
      </c>
      <c r="ED202" s="9">
        <f>L202*'MASTER SHEET'!D202</f>
        <v>0</v>
      </c>
      <c r="EE202" s="9">
        <f>P202*'MASTER SHEET'!D202</f>
        <v>0</v>
      </c>
      <c r="EF202" s="9">
        <f>T202*'MASTER SHEET'!D202</f>
        <v>0</v>
      </c>
      <c r="EG202" s="9">
        <f>X202*'MASTER SHEET'!D202</f>
        <v>0</v>
      </c>
      <c r="EH202" s="9">
        <f>AB202*'MASTER SHEET'!D202</f>
        <v>0</v>
      </c>
      <c r="EI202" s="9">
        <f>AF202*'MASTER SHEET'!D202</f>
        <v>0</v>
      </c>
      <c r="EJ202" s="9">
        <f>AJ202*'MASTER SHEET'!D202</f>
        <v>0</v>
      </c>
      <c r="EK202" s="9">
        <f>AN202*'MASTER SHEET'!D202</f>
        <v>30635.279999999999</v>
      </c>
      <c r="EL202" s="9">
        <f>AR202*'MASTER SHEET'!D202</f>
        <v>14368.47</v>
      </c>
      <c r="EM202" s="9">
        <f>AV202*'MASTER SHEET'!D202</f>
        <v>14368.47</v>
      </c>
      <c r="EN202" s="9">
        <f>AZ202*'MASTER SHEET'!D202</f>
        <v>14368.47</v>
      </c>
      <c r="EO202" s="9">
        <f>BD202*'MASTER SHEET'!D202</f>
        <v>14368.47</v>
      </c>
      <c r="EP202" s="9">
        <f>$BH202*'MASTER SHEET'!$D202</f>
        <v>14368.47</v>
      </c>
      <c r="EQ202" s="9">
        <f>BL202*'MASTER SHEET'!D202</f>
        <v>14368.47</v>
      </c>
      <c r="ER202" s="9">
        <f>BP202*'MASTER SHEET'!D202</f>
        <v>14368.47</v>
      </c>
      <c r="ES202" s="9">
        <f>BT202*'MASTER SHEET'!D202</f>
        <v>14368.47</v>
      </c>
      <c r="ET202" s="9">
        <f>BX202*'MASTER SHEET'!D202</f>
        <v>14368.47</v>
      </c>
      <c r="EU202" s="9">
        <f>CB202*'MASTER SHEET'!D202</f>
        <v>14368.47</v>
      </c>
      <c r="EV202" s="9">
        <f>CF202*'MASTER SHEET'!D202</f>
        <v>14368.47</v>
      </c>
      <c r="EW202" s="9">
        <f>CJ202*'MASTER SHEET'!D202</f>
        <v>14368.47</v>
      </c>
      <c r="EX202" s="9">
        <f>CN202*'MASTER SHEET'!D202</f>
        <v>14368.47</v>
      </c>
      <c r="EY202" s="9">
        <f>CR202*'MASTER SHEET'!D202</f>
        <v>14368.47</v>
      </c>
      <c r="EZ202" s="9">
        <f>$CV202*'MASTER SHEET'!D202</f>
        <v>13386.569999999998</v>
      </c>
      <c r="FA202" s="9">
        <f>CZ202*'MASTER SHEET'!D202</f>
        <v>13386.569999999998</v>
      </c>
      <c r="FB202" s="9">
        <f>DD202*'MASTER SHEET'!D202</f>
        <v>13386.569999999998</v>
      </c>
      <c r="FC202" s="9">
        <f>DH202*'MASTER SHEET'!D202</f>
        <v>13386.569999999998</v>
      </c>
      <c r="FD202" s="9">
        <f>DL202*'MASTER SHEET'!D202</f>
        <v>13386.569999999998</v>
      </c>
      <c r="FE202" s="9">
        <f>DP202*'MASTER SHEET'!D202</f>
        <v>13386.569999999998</v>
      </c>
      <c r="FF202" s="9">
        <f>DT202*'MASTER SHEET'!D202</f>
        <v>13386.569999999998</v>
      </c>
      <c r="FG202" s="9">
        <f>+DX202*'MASTER SHEET'!D202</f>
        <v>13386.569999999998</v>
      </c>
    </row>
    <row r="203" spans="1:163" x14ac:dyDescent="0.35">
      <c r="EB203" s="116">
        <f>SUM(EB3:EB202)/100000</f>
        <v>29.483853799999999</v>
      </c>
      <c r="EC203" s="116">
        <f>SUM(EC3:EC202)/100000</f>
        <v>32.3351945</v>
      </c>
      <c r="ED203" s="116">
        <f>SUM(ED3:ED202)/100000</f>
        <v>33.576993400000028</v>
      </c>
      <c r="EE203" s="116">
        <f t="shared" ref="EE203:FG203" si="253">SUM(EE3:EE202)/100000</f>
        <v>33.576993400000028</v>
      </c>
      <c r="EF203" s="116">
        <f t="shared" si="253"/>
        <v>32.696243300000006</v>
      </c>
      <c r="EG203" s="116">
        <f t="shared" si="253"/>
        <v>31.828271000000015</v>
      </c>
      <c r="EH203" s="116">
        <f t="shared" si="253"/>
        <v>31.572168900000019</v>
      </c>
      <c r="EI203" s="116">
        <f t="shared" si="253"/>
        <v>32.399320200000005</v>
      </c>
      <c r="EJ203" s="116">
        <f t="shared" si="253"/>
        <v>32.56173549999999</v>
      </c>
      <c r="EK203" s="116">
        <f t="shared" si="253"/>
        <v>34.341139899999995</v>
      </c>
      <c r="EL203" s="116">
        <f t="shared" si="253"/>
        <v>36.004630799999994</v>
      </c>
      <c r="EM203" s="116">
        <f t="shared" si="253"/>
        <v>36.203355100000003</v>
      </c>
      <c r="EN203" s="116">
        <f t="shared" si="253"/>
        <v>37.839080699999997</v>
      </c>
      <c r="EO203" s="116">
        <f t="shared" si="253"/>
        <v>38.282442500000023</v>
      </c>
      <c r="EP203" s="116">
        <f t="shared" si="253"/>
        <v>38.621103600000005</v>
      </c>
      <c r="EQ203" s="116">
        <f t="shared" si="253"/>
        <v>40.515791499999999</v>
      </c>
      <c r="ER203" s="116">
        <f t="shared" si="253"/>
        <v>41.920158399999991</v>
      </c>
      <c r="ES203" s="116">
        <f t="shared" si="253"/>
        <v>40.3405591</v>
      </c>
      <c r="ET203" s="116">
        <f t="shared" si="253"/>
        <v>40.285825399999993</v>
      </c>
      <c r="EU203" s="116">
        <f t="shared" si="253"/>
        <v>40.166455099999993</v>
      </c>
      <c r="EV203" s="116">
        <f t="shared" si="253"/>
        <v>43.687790799999995</v>
      </c>
      <c r="EW203" s="116">
        <f t="shared" si="253"/>
        <v>44.873748599999992</v>
      </c>
      <c r="EX203" s="116">
        <f t="shared" si="253"/>
        <v>46.141209299999986</v>
      </c>
      <c r="EY203" s="116">
        <f t="shared" si="253"/>
        <v>44.499784199999993</v>
      </c>
      <c r="EZ203" s="116">
        <f t="shared" si="253"/>
        <v>41.603626799999986</v>
      </c>
      <c r="FA203" s="116">
        <f t="shared" si="253"/>
        <v>44.7869259</v>
      </c>
      <c r="FB203" s="116">
        <f t="shared" si="253"/>
        <v>43.819919799999994</v>
      </c>
      <c r="FC203" s="116">
        <f t="shared" si="253"/>
        <v>42.610567299999992</v>
      </c>
      <c r="FD203" s="116">
        <f t="shared" si="253"/>
        <v>37.844597899999989</v>
      </c>
      <c r="FE203" s="116">
        <f t="shared" si="253"/>
        <v>37.961203899999994</v>
      </c>
      <c r="FF203" s="116">
        <f t="shared" si="253"/>
        <v>37.961203899999994</v>
      </c>
      <c r="FG203" s="116">
        <f t="shared" si="253"/>
        <v>37.961203899999994</v>
      </c>
    </row>
    <row r="206" spans="1:163" x14ac:dyDescent="0.35">
      <c r="AS206" t="s">
        <v>163</v>
      </c>
    </row>
  </sheetData>
  <protectedRanges>
    <protectedRange algorithmName="SHA-512" hashValue="mGKf7MxprF7ZXyyHRrnGaGQXzxj/zLaVG1J0TXwxFGKvc/PlKthOdzkBX8kAsvcoWcaal7ELQKngAU7fQ88+Vg==" saltValue="itHYE03oa8vVGbWjJxQ4gQ==" spinCount="100000" sqref="DL121:DM173 DT121:DU173 AF3:AO3 AF178:AH202 AF4:AH120 L121:M173 P121:Q173 BL121:BM173 DH121:DI173 BL4:BN120 DH174:DJ202 DH4:DJ120 G3:Z3 T121:U173 L174:N202 P174:R202 T174:V202 BP121:BQ173 BT121:BU173 BY121:BY173 CB121:CC173 CF121:CG173 BL174:BN202 CK121:CK173 CO121:CO173 BP4:BR120 BP174:BR202 BT4:BV120 BT174:BV202 BY4:BZ120 BY174:BZ202 CB4:CD120 CB174:CD202 CW4:CX120 CW178:CX202 CZ121:DA173 DP121:DQ173 DD177:DF202 DD4:DF120 AJ4:AL120 CF174:CH202 CK174:CL202 CO174:CP202 DL174:DN202 DL4:DN120 DP174:DR202 DP4:DR120 AJ178:AL202 BH121:BI173 AZ4:BB120 AZ178:BB202 BD4:BF120 BD183:BF202 BH4:BJ120 BH174:BJ202 CZ174:DB202 CW121:CW177 DC4:DC202 DD121:DE176 DO4:DO202 DT174:DV202 DT4:DV120 DS4:DS202 DW4:DX202 O4:O202 X178:Z202 X121:Y177 AF121:AG177 AJ121:AK177 AQ3:BB3 AP3:AP202 AZ121:BA177 S4:S202 W4:W202 AI4:AI202 E3:F202 AM4:AO202 AQ4:AY202 BD3:DX3 BC3:BC202 BD121:BE182 BG4:BG202 BK4:BK202 BO4:BO202 BS4:BS202 CA4:CA202 CE4:CE202 G4:K202 L4:N120 P4:R120 T4:V120 X4:Z120 AB3:AC202 CZ4:DB120 CK4:CL120 CF4:CH120 CO4:CP120 CQ4:CV202 CM4:CN202 CI4:CJ202 BW4:BX202 CY4:CY202 DG4:DG202 DK4:DK202" name="WIP"/>
    <protectedRange algorithmName="SHA-512" hashValue="vKnjXxJx6cG8LEBo0DLzO+w1u3PIdx58zA1Hj8adCnkO0fOSWZBuwVf9Mp3bp16j7uOnAQUBaf3nXq4dTlfRVA==" saltValue="OWj2EjOgaTQRF90b58zzUw==" spinCount="100000" sqref="B3:C202" name="Range1_1"/>
    <protectedRange algorithmName="SHA-512" hashValue="mGKf7MxprF7ZXyyHRrnGaGQXzxj/zLaVG1J0TXwxFGKvc/PlKthOdzkBX8kAsvcoWcaal7ELQKngAU7fQ88+Vg==" saltValue="itHYE03oa8vVGbWjJxQ4gQ==" spinCount="100000" sqref="AA3:AA202" name="WIP_1"/>
    <protectedRange algorithmName="SHA-512" hashValue="mGKf7MxprF7ZXyyHRrnGaGQXzxj/zLaVG1J0TXwxFGKvc/PlKthOdzkBX8kAsvcoWcaal7ELQKngAU7fQ88+Vg==" saltValue="itHYE03oa8vVGbWjJxQ4gQ==" spinCount="100000" sqref="AD178:AD202 AD3:AE3 AD4:AD120 AE4:AE202" name="WIP_2"/>
    <protectedRange algorithmName="SHA-512" hashValue="IKFKGoYIA8kcPQDauZON4CeLgOfbSGhi05yFZ91HWzc0NEXkc8vpoGKc4fe2L8fLoyBAcJ0wOyoEXpehcloH7g==" saltValue="YD4sm9H1l+DnHah9Sp69Mw==" spinCount="100000" sqref="CH121:CH173" name="FG_9"/>
    <protectedRange algorithmName="SHA-512" hashValue="IKFKGoYIA8kcPQDauZON4CeLgOfbSGhi05yFZ91HWzc0NEXkc8vpoGKc4fe2L8fLoyBAcJ0wOyoEXpehcloH7g==" saltValue="YD4sm9H1l+DnHah9Sp69Mw==" spinCount="100000" sqref="CD121:CD173" name="FG_16"/>
    <protectedRange algorithmName="SHA-512" hashValue="IKFKGoYIA8kcPQDauZON4CeLgOfbSGhi05yFZ91HWzc0NEXkc8vpoGKc4fe2L8fLoyBAcJ0wOyoEXpehcloH7g==" saltValue="YD4sm9H1l+DnHah9Sp69Mw==" spinCount="100000" sqref="CL121:CL173" name="FG_17"/>
    <protectedRange algorithmName="SHA-512" hashValue="IKFKGoYIA8kcPQDauZON4CeLgOfbSGhi05yFZ91HWzc0NEXkc8vpoGKc4fe2L8fLoyBAcJ0wOyoEXpehcloH7g==" saltValue="YD4sm9H1l+DnHah9Sp69Mw==" spinCount="100000" sqref="CP121:CP173" name="FG_19"/>
    <protectedRange algorithmName="SHA-512" hashValue="IKFKGoYIA8kcPQDauZON4CeLgOfbSGhi05yFZ91HWzc0NEXkc8vpoGKc4fe2L8fLoyBAcJ0wOyoEXpehcloH7g==" saltValue="YD4sm9H1l+DnHah9Sp69Mw==" spinCount="100000" sqref="DR121:DR173" name="FG_22"/>
    <protectedRange algorithmName="SHA-512" hashValue="IKFKGoYIA8kcPQDauZON4CeLgOfbSGhi05yFZ91HWzc0NEXkc8vpoGKc4fe2L8fLoyBAcJ0wOyoEXpehcloH7g==" saltValue="YD4sm9H1l+DnHah9Sp69Mw==" spinCount="100000" sqref="BJ121:BJ173" name="FG_25"/>
    <protectedRange algorithmName="SHA-512" hashValue="IKFKGoYIA8kcPQDauZON4CeLgOfbSGhi05yFZ91HWzc0NEXkc8vpoGKc4fe2L8fLoyBAcJ0wOyoEXpehcloH7g==" saltValue="YD4sm9H1l+DnHah9Sp69Mw==" spinCount="100000" sqref="BN121:BN173" name="FG_26"/>
    <protectedRange algorithmName="SHA-512" hashValue="IKFKGoYIA8kcPQDauZON4CeLgOfbSGhi05yFZ91HWzc0NEXkc8vpoGKc4fe2L8fLoyBAcJ0wOyoEXpehcloH7g==" saltValue="YD4sm9H1l+DnHah9Sp69Mw==" spinCount="100000" sqref="BR121:BR173" name="FG_27"/>
    <protectedRange algorithmName="SHA-512" hashValue="IKFKGoYIA8kcPQDauZON4CeLgOfbSGhi05yFZ91HWzc0NEXkc8vpoGKc4fe2L8fLoyBAcJ0wOyoEXpehcloH7g==" saltValue="YD4sm9H1l+DnHah9Sp69Mw==" spinCount="100000" sqref="BV121:BV173" name="FG_28"/>
    <protectedRange algorithmName="SHA-512" hashValue="IKFKGoYIA8kcPQDauZON4CeLgOfbSGhi05yFZ91HWzc0NEXkc8vpoGKc4fe2L8fLoyBAcJ0wOyoEXpehcloH7g==" saltValue="YD4sm9H1l+DnHah9Sp69Mw==" spinCount="100000" sqref="BZ121:BZ173" name="FG_29"/>
    <protectedRange algorithmName="SHA-512" hashValue="IKFKGoYIA8kcPQDauZON4CeLgOfbSGhi05yFZ91HWzc0NEXkc8vpoGKc4fe2L8fLoyBAcJ0wOyoEXpehcloH7g==" saltValue="YD4sm9H1l+DnHah9Sp69Mw==" spinCount="100000" sqref="DB121:DB173" name="FG_30"/>
    <protectedRange algorithmName="SHA-512" hashValue="IKFKGoYIA8kcPQDauZON4CeLgOfbSGhi05yFZ91HWzc0NEXkc8vpoGKc4fe2L8fLoyBAcJ0wOyoEXpehcloH7g==" saltValue="YD4sm9H1l+DnHah9Sp69Mw==" spinCount="100000" sqref="DJ121:DJ173" name="FG_32"/>
    <protectedRange algorithmName="SHA-512" hashValue="IKFKGoYIA8kcPQDauZON4CeLgOfbSGhi05yFZ91HWzc0NEXkc8vpoGKc4fe2L8fLoyBAcJ0wOyoEXpehcloH7g==" saltValue="YD4sm9H1l+DnHah9Sp69Mw==" spinCount="100000" sqref="DN121:DN173" name="FG"/>
    <protectedRange algorithmName="SHA-512" hashValue="IKFKGoYIA8kcPQDauZON4CeLgOfbSGhi05yFZ91HWzc0NEXkc8vpoGKc4fe2L8fLoyBAcJ0wOyoEXpehcloH7g==" saltValue="YD4sm9H1l+DnHah9Sp69Mw==" spinCount="100000" sqref="DV121:DV173" name="FG_7"/>
    <protectedRange algorithmName="SHA-512" hashValue="IKFKGoYIA8kcPQDauZON4CeLgOfbSGhi05yFZ91HWzc0NEXkc8vpoGKc4fe2L8fLoyBAcJ0wOyoEXpehcloH7g==" saltValue="YD4sm9H1l+DnHah9Sp69Mw==" spinCount="100000" sqref="R121:R173" name="FG_10"/>
    <protectedRange algorithmName="SHA-512" hashValue="IKFKGoYIA8kcPQDauZON4CeLgOfbSGhi05yFZ91HWzc0NEXkc8vpoGKc4fe2L8fLoyBAcJ0wOyoEXpehcloH7g==" saltValue="YD4sm9H1l+DnHah9Sp69Mw==" spinCount="100000" sqref="V121:V173" name="FG_13"/>
    <protectedRange algorithmName="SHA-512" hashValue="IKFKGoYIA8kcPQDauZON4CeLgOfbSGhi05yFZ91HWzc0NEXkc8vpoGKc4fe2L8fLoyBAcJ0wOyoEXpehcloH7g==" saltValue="YD4sm9H1l+DnHah9Sp69Mw==" spinCount="100000" sqref="CX121:CX177" name="FG_3"/>
    <protectedRange algorithmName="SHA-512" hashValue="IKFKGoYIA8kcPQDauZON4CeLgOfbSGhi05yFZ91HWzc0NEXkc8vpoGKc4fe2L8fLoyBAcJ0wOyoEXpehcloH7g==" saltValue="YD4sm9H1l+DnHah9Sp69Mw==" spinCount="100000" sqref="DF121:DF176" name="FG_11"/>
    <protectedRange algorithmName="SHA-512" hashValue="IKFKGoYIA8kcPQDauZON4CeLgOfbSGhi05yFZ91HWzc0NEXkc8vpoGKc4fe2L8fLoyBAcJ0wOyoEXpehcloH7g==" saltValue="YD4sm9H1l+DnHah9Sp69Mw==" spinCount="100000" sqref="Z121:Z177" name="FG_5"/>
    <protectedRange algorithmName="SHA-512" hashValue="IKFKGoYIA8kcPQDauZON4CeLgOfbSGhi05yFZ91HWzc0NEXkc8vpoGKc4fe2L8fLoyBAcJ0wOyoEXpehcloH7g==" saltValue="YD4sm9H1l+DnHah9Sp69Mw==" spinCount="100000" sqref="AD121:AD177" name="FG_15"/>
    <protectedRange algorithmName="SHA-512" hashValue="IKFKGoYIA8kcPQDauZON4CeLgOfbSGhi05yFZ91HWzc0NEXkc8vpoGKc4fe2L8fLoyBAcJ0wOyoEXpehcloH7g==" saltValue="YD4sm9H1l+DnHah9Sp69Mw==" spinCount="100000" sqref="AH121:AH177" name="FG_2"/>
    <protectedRange algorithmName="SHA-512" hashValue="IKFKGoYIA8kcPQDauZON4CeLgOfbSGhi05yFZ91HWzc0NEXkc8vpoGKc4fe2L8fLoyBAcJ0wOyoEXpehcloH7g==" saltValue="YD4sm9H1l+DnHah9Sp69Mw==" spinCount="100000" sqref="AL121:AL177" name="FG_1"/>
    <protectedRange algorithmName="SHA-512" hashValue="IKFKGoYIA8kcPQDauZON4CeLgOfbSGhi05yFZ91HWzc0NEXkc8vpoGKc4fe2L8fLoyBAcJ0wOyoEXpehcloH7g==" saltValue="YD4sm9H1l+DnHah9Sp69Mw==" spinCount="100000" sqref="BB121:BB177" name="FG_4"/>
    <protectedRange algorithmName="SHA-512" hashValue="IKFKGoYIA8kcPQDauZON4CeLgOfbSGhi05yFZ91HWzc0NEXkc8vpoGKc4fe2L8fLoyBAcJ0wOyoEXpehcloH7g==" saltValue="YD4sm9H1l+DnHah9Sp69Mw==" spinCount="100000" sqref="BF121:BF182" name="FG_6"/>
  </protectedRanges>
  <autoFilter ref="A2:FG2"/>
  <mergeCells count="31">
    <mergeCell ref="DD1:DG1"/>
    <mergeCell ref="DH1:DK1"/>
    <mergeCell ref="DL1:DO1"/>
    <mergeCell ref="DP1:DS1"/>
    <mergeCell ref="DT1:DW1"/>
    <mergeCell ref="CJ1:CM1"/>
    <mergeCell ref="CN1:CQ1"/>
    <mergeCell ref="CR1:CU1"/>
    <mergeCell ref="CV1:CY1"/>
    <mergeCell ref="CZ1:DC1"/>
    <mergeCell ref="BP1:BS1"/>
    <mergeCell ref="BT1:BW1"/>
    <mergeCell ref="BX1:CA1"/>
    <mergeCell ref="CB1:CE1"/>
    <mergeCell ref="CF1:CI1"/>
    <mergeCell ref="D1:G1"/>
    <mergeCell ref="H1:K1"/>
    <mergeCell ref="L1:O1"/>
    <mergeCell ref="BH1:BK1"/>
    <mergeCell ref="BL1:BO1"/>
    <mergeCell ref="X1:AA1"/>
    <mergeCell ref="AB1:AE1"/>
    <mergeCell ref="AR1:AU1"/>
    <mergeCell ref="AV1:AY1"/>
    <mergeCell ref="AZ1:BC1"/>
    <mergeCell ref="BD1:BG1"/>
    <mergeCell ref="P1:S1"/>
    <mergeCell ref="T1:W1"/>
    <mergeCell ref="AF1:AI1"/>
    <mergeCell ref="AJ1:AM1"/>
    <mergeCell ref="AN1:AQ1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B219"/>
  <sheetViews>
    <sheetView showGridLines="0" zoomScaleNormal="100" workbookViewId="0">
      <pane xSplit="3" ySplit="2" topLeftCell="CJ174" activePane="bottomRight" state="frozen"/>
      <selection pane="topRight" activeCell="D1" sqref="D1"/>
      <selection pane="bottomLeft" activeCell="A3" sqref="A3"/>
      <selection pane="bottomRight" activeCell="CL186" sqref="CL186"/>
    </sheetView>
  </sheetViews>
  <sheetFormatPr defaultRowHeight="15" x14ac:dyDescent="0.25"/>
  <cols>
    <col min="2" max="2" width="25.85546875" customWidth="1"/>
    <col min="3" max="3" width="14.42578125" customWidth="1"/>
    <col min="5" max="5" width="9.140625" style="3"/>
    <col min="8" max="8" width="9.140625" style="3"/>
    <col min="11" max="11" width="9.140625" style="3"/>
    <col min="12" max="12" width="11.85546875" customWidth="1"/>
    <col min="14" max="14" width="9.140625" style="3"/>
    <col min="17" max="17" width="9.140625" style="3"/>
    <col min="20" max="20" width="9.140625" style="3"/>
    <col min="23" max="23" width="9.140625" style="3"/>
    <col min="26" max="26" width="9.140625" style="3"/>
    <col min="29" max="29" width="9.140625" style="3"/>
    <col min="32" max="32" width="9.140625" style="3"/>
    <col min="33" max="33" width="9.140625" style="115"/>
    <col min="35" max="35" width="9.140625" style="3"/>
    <col min="38" max="38" width="9.140625" style="3"/>
    <col min="41" max="41" width="9.140625" style="3"/>
    <col min="44" max="44" width="9.140625" style="3"/>
    <col min="47" max="47" width="9.140625" style="3"/>
    <col min="50" max="50" width="9.140625" style="3"/>
    <col min="53" max="53" width="9.140625" style="3"/>
    <col min="56" max="56" width="9.140625" style="3"/>
    <col min="59" max="59" width="9.140625" style="3"/>
    <col min="62" max="62" width="9.140625" style="3"/>
    <col min="65" max="65" width="9.140625" style="3"/>
    <col min="68" max="68" width="9.140625" style="3"/>
    <col min="70" max="70" width="9.140625" style="8"/>
    <col min="71" max="71" width="9.140625" style="3"/>
    <col min="74" max="74" width="9.140625" style="3"/>
    <col min="77" max="77" width="9.140625" style="3"/>
    <col min="80" max="80" width="9.140625" style="3"/>
    <col min="83" max="83" width="9.140625" style="3"/>
    <col min="86" max="86" width="9.140625" style="3"/>
    <col min="89" max="89" width="9.140625" style="3"/>
    <col min="92" max="92" width="9.140625" style="3"/>
    <col min="95" max="95" width="9.140625" style="3"/>
    <col min="100" max="101" width="11.7109375" style="5" bestFit="1" customWidth="1"/>
    <col min="102" max="129" width="11.140625" style="5" bestFit="1" customWidth="1"/>
    <col min="130" max="131" width="11.140625" style="5" customWidth="1"/>
    <col min="132" max="16384" width="9.140625" style="5"/>
  </cols>
  <sheetData>
    <row r="1" spans="1:132" ht="24" customHeight="1" x14ac:dyDescent="0.25">
      <c r="A1" s="22"/>
      <c r="B1" s="22"/>
      <c r="C1" s="23"/>
      <c r="D1" s="175">
        <v>46082</v>
      </c>
      <c r="E1" s="175"/>
      <c r="F1" s="175"/>
      <c r="G1" s="175">
        <f>D1+1</f>
        <v>46083</v>
      </c>
      <c r="H1" s="175"/>
      <c r="I1" s="175"/>
      <c r="J1" s="175">
        <f t="shared" ref="J1" si="0">G1+1</f>
        <v>46084</v>
      </c>
      <c r="K1" s="175"/>
      <c r="L1" s="175"/>
      <c r="M1" s="175">
        <f t="shared" ref="M1" si="1">J1+1</f>
        <v>46085</v>
      </c>
      <c r="N1" s="175"/>
      <c r="O1" s="175"/>
      <c r="P1" s="175">
        <f t="shared" ref="P1" si="2">M1+1</f>
        <v>46086</v>
      </c>
      <c r="Q1" s="175"/>
      <c r="R1" s="175"/>
      <c r="S1" s="175">
        <f t="shared" ref="S1" si="3">P1+1</f>
        <v>46087</v>
      </c>
      <c r="T1" s="175"/>
      <c r="U1" s="175"/>
      <c r="V1" s="175">
        <f t="shared" ref="V1" si="4">S1+1</f>
        <v>46088</v>
      </c>
      <c r="W1" s="175"/>
      <c r="X1" s="175"/>
      <c r="Y1" s="175">
        <f t="shared" ref="Y1" si="5">V1+1</f>
        <v>46089</v>
      </c>
      <c r="Z1" s="175"/>
      <c r="AA1" s="175"/>
      <c r="AB1" s="175">
        <f t="shared" ref="AB1" si="6">Y1+1</f>
        <v>46090</v>
      </c>
      <c r="AC1" s="175"/>
      <c r="AD1" s="175"/>
      <c r="AE1" s="175">
        <f t="shared" ref="AE1" si="7">AB1+1</f>
        <v>46091</v>
      </c>
      <c r="AF1" s="175"/>
      <c r="AG1" s="175"/>
      <c r="AH1" s="175">
        <f t="shared" ref="AH1" si="8">AE1+1</f>
        <v>46092</v>
      </c>
      <c r="AI1" s="175"/>
      <c r="AJ1" s="175"/>
      <c r="AK1" s="175">
        <f t="shared" ref="AK1" si="9">AH1+1</f>
        <v>46093</v>
      </c>
      <c r="AL1" s="175"/>
      <c r="AM1" s="175"/>
      <c r="AN1" s="175">
        <f t="shared" ref="AN1" si="10">AK1+1</f>
        <v>46094</v>
      </c>
      <c r="AO1" s="175"/>
      <c r="AP1" s="175"/>
      <c r="AQ1" s="175">
        <f t="shared" ref="AQ1" si="11">AN1+1</f>
        <v>46095</v>
      </c>
      <c r="AR1" s="175"/>
      <c r="AS1" s="175"/>
      <c r="AT1" s="175">
        <f t="shared" ref="AT1" si="12">AQ1+1</f>
        <v>46096</v>
      </c>
      <c r="AU1" s="175"/>
      <c r="AV1" s="175"/>
      <c r="AW1" s="175">
        <f t="shared" ref="AW1" si="13">AT1+1</f>
        <v>46097</v>
      </c>
      <c r="AX1" s="175"/>
      <c r="AY1" s="175"/>
      <c r="AZ1" s="175">
        <f t="shared" ref="AZ1" si="14">AW1+1</f>
        <v>46098</v>
      </c>
      <c r="BA1" s="175"/>
      <c r="BB1" s="175"/>
      <c r="BC1" s="175">
        <f t="shared" ref="BC1" si="15">AZ1+1</f>
        <v>46099</v>
      </c>
      <c r="BD1" s="175"/>
      <c r="BE1" s="175"/>
      <c r="BF1" s="175">
        <f t="shared" ref="BF1" si="16">BC1+1</f>
        <v>46100</v>
      </c>
      <c r="BG1" s="175"/>
      <c r="BH1" s="175"/>
      <c r="BI1" s="175">
        <f t="shared" ref="BI1" si="17">BF1+1</f>
        <v>46101</v>
      </c>
      <c r="BJ1" s="175"/>
      <c r="BK1" s="175"/>
      <c r="BL1" s="175">
        <f t="shared" ref="BL1" si="18">BI1+1</f>
        <v>46102</v>
      </c>
      <c r="BM1" s="175"/>
      <c r="BN1" s="175"/>
      <c r="BO1" s="175">
        <f t="shared" ref="BO1" si="19">BL1+1</f>
        <v>46103</v>
      </c>
      <c r="BP1" s="175"/>
      <c r="BQ1" s="175"/>
      <c r="BR1" s="175">
        <f t="shared" ref="BR1" si="20">BO1+1</f>
        <v>46104</v>
      </c>
      <c r="BS1" s="175"/>
      <c r="BT1" s="175"/>
      <c r="BU1" s="175">
        <f t="shared" ref="BU1" si="21">BR1+1</f>
        <v>46105</v>
      </c>
      <c r="BV1" s="175"/>
      <c r="BW1" s="175"/>
      <c r="BX1" s="175">
        <f t="shared" ref="BX1" si="22">BU1+1</f>
        <v>46106</v>
      </c>
      <c r="BY1" s="175"/>
      <c r="BZ1" s="175"/>
      <c r="CA1" s="175">
        <f t="shared" ref="CA1" si="23">BX1+1</f>
        <v>46107</v>
      </c>
      <c r="CB1" s="175"/>
      <c r="CC1" s="175"/>
      <c r="CD1" s="175">
        <f t="shared" ref="CD1" si="24">CA1+1</f>
        <v>46108</v>
      </c>
      <c r="CE1" s="175"/>
      <c r="CF1" s="175"/>
      <c r="CG1" s="175">
        <f t="shared" ref="CG1" si="25">CD1+1</f>
        <v>46109</v>
      </c>
      <c r="CH1" s="175"/>
      <c r="CI1" s="175"/>
      <c r="CJ1" s="175">
        <f t="shared" ref="CJ1" si="26">CG1+1</f>
        <v>46110</v>
      </c>
      <c r="CK1" s="175"/>
      <c r="CL1" s="175"/>
      <c r="CM1" s="175">
        <f t="shared" ref="CM1" si="27">CJ1+1</f>
        <v>46111</v>
      </c>
      <c r="CN1" s="175"/>
      <c r="CO1" s="175"/>
      <c r="CP1" s="175">
        <f t="shared" ref="CP1" si="28">CM1+1</f>
        <v>46112</v>
      </c>
      <c r="CQ1" s="175"/>
      <c r="CR1" s="175"/>
      <c r="CS1" s="4"/>
      <c r="CT1" s="4"/>
      <c r="CU1" s="4"/>
      <c r="CV1" s="145"/>
      <c r="CW1" s="145"/>
      <c r="CX1" s="145"/>
      <c r="CY1" s="145"/>
      <c r="CZ1" s="145"/>
      <c r="DA1" s="145"/>
      <c r="DB1" s="145"/>
      <c r="DC1" s="145"/>
      <c r="DD1" s="145"/>
      <c r="DE1" s="145"/>
      <c r="DF1" s="145"/>
      <c r="DG1" s="145"/>
      <c r="DH1" s="145"/>
      <c r="DI1" s="145"/>
      <c r="DJ1" s="145"/>
      <c r="DK1" s="145"/>
      <c r="DL1" s="145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145"/>
      <c r="DZ1" s="145"/>
      <c r="EA1" s="145"/>
    </row>
    <row r="2" spans="1:132" ht="73.5" customHeight="1" x14ac:dyDescent="0.25">
      <c r="A2" s="39" t="s">
        <v>0</v>
      </c>
      <c r="B2" s="40" t="s">
        <v>104</v>
      </c>
      <c r="C2" s="39" t="s">
        <v>2</v>
      </c>
      <c r="D2" s="36" t="s">
        <v>105</v>
      </c>
      <c r="E2" s="54" t="s">
        <v>118</v>
      </c>
      <c r="F2" s="54" t="s">
        <v>3</v>
      </c>
      <c r="G2" s="55" t="s">
        <v>107</v>
      </c>
      <c r="H2" s="54" t="s">
        <v>118</v>
      </c>
      <c r="I2" s="54" t="s">
        <v>3</v>
      </c>
      <c r="J2" s="55" t="s">
        <v>107</v>
      </c>
      <c r="K2" s="54" t="s">
        <v>118</v>
      </c>
      <c r="L2" s="54" t="s">
        <v>3</v>
      </c>
      <c r="M2" s="55" t="s">
        <v>107</v>
      </c>
      <c r="N2" s="54" t="s">
        <v>118</v>
      </c>
      <c r="O2" s="54" t="s">
        <v>3</v>
      </c>
      <c r="P2" s="55" t="s">
        <v>107</v>
      </c>
      <c r="Q2" s="54" t="s">
        <v>118</v>
      </c>
      <c r="R2" s="54" t="s">
        <v>3</v>
      </c>
      <c r="S2" s="55" t="s">
        <v>107</v>
      </c>
      <c r="T2" s="54" t="s">
        <v>118</v>
      </c>
      <c r="U2" s="54" t="s">
        <v>3</v>
      </c>
      <c r="V2" s="55" t="s">
        <v>107</v>
      </c>
      <c r="W2" s="54" t="s">
        <v>118</v>
      </c>
      <c r="X2" s="54" t="s">
        <v>3</v>
      </c>
      <c r="Y2" s="55" t="s">
        <v>107</v>
      </c>
      <c r="Z2" s="54" t="s">
        <v>118</v>
      </c>
      <c r="AA2" s="54" t="s">
        <v>3</v>
      </c>
      <c r="AB2" s="55" t="s">
        <v>107</v>
      </c>
      <c r="AC2" s="54" t="s">
        <v>118</v>
      </c>
      <c r="AD2" s="54" t="s">
        <v>3</v>
      </c>
      <c r="AE2" s="55" t="s">
        <v>107</v>
      </c>
      <c r="AF2" s="54" t="s">
        <v>118</v>
      </c>
      <c r="AG2" s="54" t="s">
        <v>3</v>
      </c>
      <c r="AH2" s="55" t="s">
        <v>107</v>
      </c>
      <c r="AI2" s="54" t="s">
        <v>118</v>
      </c>
      <c r="AJ2" s="54" t="s">
        <v>3</v>
      </c>
      <c r="AK2" s="55" t="s">
        <v>107</v>
      </c>
      <c r="AL2" s="54" t="s">
        <v>118</v>
      </c>
      <c r="AM2" s="54" t="s">
        <v>3</v>
      </c>
      <c r="AN2" s="55" t="s">
        <v>107</v>
      </c>
      <c r="AO2" s="54" t="s">
        <v>118</v>
      </c>
      <c r="AP2" s="54" t="s">
        <v>3</v>
      </c>
      <c r="AQ2" s="55" t="s">
        <v>107</v>
      </c>
      <c r="AR2" s="54" t="s">
        <v>118</v>
      </c>
      <c r="AS2" s="54" t="s">
        <v>3</v>
      </c>
      <c r="AT2" s="55" t="s">
        <v>107</v>
      </c>
      <c r="AU2" s="54" t="s">
        <v>118</v>
      </c>
      <c r="AV2" s="54" t="s">
        <v>3</v>
      </c>
      <c r="AW2" s="55" t="s">
        <v>107</v>
      </c>
      <c r="AX2" s="54" t="s">
        <v>118</v>
      </c>
      <c r="AY2" s="54" t="s">
        <v>3</v>
      </c>
      <c r="AZ2" s="55" t="s">
        <v>107</v>
      </c>
      <c r="BA2" s="54" t="s">
        <v>118</v>
      </c>
      <c r="BB2" s="54" t="s">
        <v>3</v>
      </c>
      <c r="BC2" s="55" t="s">
        <v>107</v>
      </c>
      <c r="BD2" s="54" t="s">
        <v>118</v>
      </c>
      <c r="BE2" s="54" t="s">
        <v>3</v>
      </c>
      <c r="BF2" s="55" t="s">
        <v>107</v>
      </c>
      <c r="BG2" s="54" t="s">
        <v>118</v>
      </c>
      <c r="BH2" s="54" t="s">
        <v>3</v>
      </c>
      <c r="BI2" s="55" t="s">
        <v>107</v>
      </c>
      <c r="BJ2" s="54" t="s">
        <v>118</v>
      </c>
      <c r="BK2" s="54" t="s">
        <v>3</v>
      </c>
      <c r="BL2" s="55" t="s">
        <v>107</v>
      </c>
      <c r="BM2" s="54" t="s">
        <v>118</v>
      </c>
      <c r="BN2" s="54" t="s">
        <v>3</v>
      </c>
      <c r="BO2" s="55" t="s">
        <v>107</v>
      </c>
      <c r="BP2" s="54" t="s">
        <v>118</v>
      </c>
      <c r="BQ2" s="54" t="s">
        <v>3</v>
      </c>
      <c r="BR2" s="55" t="s">
        <v>107</v>
      </c>
      <c r="BS2" s="54" t="s">
        <v>118</v>
      </c>
      <c r="BT2" s="54" t="s">
        <v>3</v>
      </c>
      <c r="BU2" s="55" t="s">
        <v>107</v>
      </c>
      <c r="BV2" s="54" t="s">
        <v>118</v>
      </c>
      <c r="BW2" s="54" t="s">
        <v>3</v>
      </c>
      <c r="BX2" s="55" t="s">
        <v>107</v>
      </c>
      <c r="BY2" s="54" t="s">
        <v>118</v>
      </c>
      <c r="BZ2" s="54" t="s">
        <v>3</v>
      </c>
      <c r="CA2" s="55" t="s">
        <v>107</v>
      </c>
      <c r="CB2" s="54" t="s">
        <v>118</v>
      </c>
      <c r="CC2" s="54" t="s">
        <v>3</v>
      </c>
      <c r="CD2" s="55" t="s">
        <v>107</v>
      </c>
      <c r="CE2" s="54" t="s">
        <v>118</v>
      </c>
      <c r="CF2" s="54" t="s">
        <v>3</v>
      </c>
      <c r="CG2" s="55" t="s">
        <v>107</v>
      </c>
      <c r="CH2" s="54" t="s">
        <v>118</v>
      </c>
      <c r="CI2" s="54" t="s">
        <v>3</v>
      </c>
      <c r="CJ2" s="55" t="s">
        <v>107</v>
      </c>
      <c r="CK2" s="54" t="s">
        <v>118</v>
      </c>
      <c r="CL2" s="54" t="s">
        <v>3</v>
      </c>
      <c r="CM2" s="55" t="s">
        <v>107</v>
      </c>
      <c r="CN2" s="54" t="s">
        <v>118</v>
      </c>
      <c r="CO2" s="54" t="s">
        <v>3</v>
      </c>
      <c r="CP2" s="55" t="s">
        <v>107</v>
      </c>
      <c r="CQ2" s="54" t="s">
        <v>118</v>
      </c>
      <c r="CR2" s="54" t="s">
        <v>3</v>
      </c>
      <c r="CS2" s="55" t="s">
        <v>107</v>
      </c>
      <c r="CT2" s="54" t="s">
        <v>120</v>
      </c>
      <c r="CU2" s="54" t="s">
        <v>3</v>
      </c>
      <c r="CV2" s="102"/>
      <c r="CW2" s="103">
        <f>+CV2+1</f>
        <v>1</v>
      </c>
      <c r="CX2" s="103">
        <f t="shared" ref="CX2:EA2" si="29">+CW2+1</f>
        <v>2</v>
      </c>
      <c r="CY2" s="103">
        <f t="shared" si="29"/>
        <v>3</v>
      </c>
      <c r="CZ2" s="103">
        <f t="shared" si="29"/>
        <v>4</v>
      </c>
      <c r="DA2" s="103">
        <f t="shared" si="29"/>
        <v>5</v>
      </c>
      <c r="DB2" s="103">
        <f t="shared" si="29"/>
        <v>6</v>
      </c>
      <c r="DC2" s="103">
        <f t="shared" si="29"/>
        <v>7</v>
      </c>
      <c r="DD2" s="103">
        <f t="shared" si="29"/>
        <v>8</v>
      </c>
      <c r="DE2" s="103">
        <f t="shared" si="29"/>
        <v>9</v>
      </c>
      <c r="DF2" s="103">
        <f t="shared" si="29"/>
        <v>10</v>
      </c>
      <c r="DG2" s="103">
        <f t="shared" si="29"/>
        <v>11</v>
      </c>
      <c r="DH2" s="103">
        <f t="shared" si="29"/>
        <v>12</v>
      </c>
      <c r="DI2" s="103">
        <f t="shared" si="29"/>
        <v>13</v>
      </c>
      <c r="DJ2" s="103">
        <f t="shared" si="29"/>
        <v>14</v>
      </c>
      <c r="DK2" s="103">
        <f t="shared" si="29"/>
        <v>15</v>
      </c>
      <c r="DL2" s="103">
        <f t="shared" si="29"/>
        <v>16</v>
      </c>
      <c r="DM2" s="103">
        <f t="shared" si="29"/>
        <v>17</v>
      </c>
      <c r="DN2" s="103">
        <f t="shared" si="29"/>
        <v>18</v>
      </c>
      <c r="DO2" s="103">
        <f t="shared" si="29"/>
        <v>19</v>
      </c>
      <c r="DP2" s="103">
        <f t="shared" si="29"/>
        <v>20</v>
      </c>
      <c r="DQ2" s="103">
        <f t="shared" si="29"/>
        <v>21</v>
      </c>
      <c r="DR2" s="103">
        <f t="shared" si="29"/>
        <v>22</v>
      </c>
      <c r="DS2" s="103">
        <f t="shared" si="29"/>
        <v>23</v>
      </c>
      <c r="DT2" s="103">
        <f t="shared" si="29"/>
        <v>24</v>
      </c>
      <c r="DU2" s="103">
        <f t="shared" si="29"/>
        <v>25</v>
      </c>
      <c r="DV2" s="103">
        <f t="shared" si="29"/>
        <v>26</v>
      </c>
      <c r="DW2" s="103">
        <f t="shared" si="29"/>
        <v>27</v>
      </c>
      <c r="DX2" s="103">
        <f t="shared" si="29"/>
        <v>28</v>
      </c>
      <c r="DY2" s="103">
        <f t="shared" si="29"/>
        <v>29</v>
      </c>
      <c r="DZ2" s="103">
        <f t="shared" si="29"/>
        <v>30</v>
      </c>
      <c r="EA2" s="103">
        <f t="shared" si="29"/>
        <v>31</v>
      </c>
      <c r="EB2" s="142" t="s">
        <v>169</v>
      </c>
    </row>
    <row r="3" spans="1:132" ht="15.75" x14ac:dyDescent="0.25">
      <c r="A3" s="25">
        <f>'MASTER SHEET'!A3</f>
        <v>1</v>
      </c>
      <c r="B3" s="26" t="str">
        <f>'MASTER SHEET'!B3</f>
        <v>BASE HOUSING CRANKCASE</v>
      </c>
      <c r="C3" s="27">
        <f>'MASTER SHEET'!C3</f>
        <v>5009573</v>
      </c>
      <c r="D3" s="56">
        <v>0</v>
      </c>
      <c r="E3" s="57">
        <f>' WIP '!F3</f>
        <v>0</v>
      </c>
      <c r="F3" s="58">
        <v>0</v>
      </c>
      <c r="G3" s="59">
        <f t="shared" ref="G3:G34" si="30">D3+E3-F3</f>
        <v>0</v>
      </c>
      <c r="H3" s="57">
        <f>' WIP '!J3</f>
        <v>1200</v>
      </c>
      <c r="I3" s="58">
        <v>1200</v>
      </c>
      <c r="J3" s="59">
        <f t="shared" ref="J3:J34" si="31">G3+H3-I3</f>
        <v>0</v>
      </c>
      <c r="K3" s="57">
        <f>' WIP '!N3</f>
        <v>0</v>
      </c>
      <c r="L3" s="58"/>
      <c r="M3" s="59">
        <f t="shared" ref="M3:M34" si="32">J3+K3-L3</f>
        <v>0</v>
      </c>
      <c r="N3" s="57">
        <f>' WIP '!R3</f>
        <v>600</v>
      </c>
      <c r="O3" s="58">
        <v>600</v>
      </c>
      <c r="P3" s="59">
        <f t="shared" ref="P3:P34" si="33">M3+N3-O3</f>
        <v>0</v>
      </c>
      <c r="Q3" s="57">
        <f>' WIP '!V3</f>
        <v>0</v>
      </c>
      <c r="R3" s="58">
        <v>0</v>
      </c>
      <c r="S3" s="59">
        <f t="shared" ref="S3:S34" si="34">P3+Q3-R3</f>
        <v>0</v>
      </c>
      <c r="T3" s="57">
        <f>' WIP '!Z3</f>
        <v>0</v>
      </c>
      <c r="U3" s="58">
        <v>0</v>
      </c>
      <c r="V3" s="59">
        <f t="shared" ref="V3:V34" si="35">S3+T3-U3</f>
        <v>0</v>
      </c>
      <c r="W3" s="57">
        <f>' WIP '!AD3</f>
        <v>0</v>
      </c>
      <c r="X3" s="58">
        <v>0</v>
      </c>
      <c r="Y3" s="59">
        <f t="shared" ref="Y3:Y34" si="36">V3+W3-X3</f>
        <v>0</v>
      </c>
      <c r="Z3" s="57">
        <f>' WIP '!AH3</f>
        <v>0</v>
      </c>
      <c r="AA3" s="58">
        <v>0</v>
      </c>
      <c r="AB3" s="59">
        <f t="shared" ref="AB3:AB34" si="37">Y3+Z3-AA3</f>
        <v>0</v>
      </c>
      <c r="AC3" s="57">
        <f>' WIP '!AL3</f>
        <v>0</v>
      </c>
      <c r="AD3" s="58">
        <v>0</v>
      </c>
      <c r="AE3" s="59">
        <f t="shared" ref="AE3:AE34" si="38">AB3+AC3-AD3</f>
        <v>0</v>
      </c>
      <c r="AF3" s="57">
        <f>' WIP '!AP3</f>
        <v>0</v>
      </c>
      <c r="AG3" s="114">
        <v>0</v>
      </c>
      <c r="AH3" s="59">
        <f t="shared" ref="AH3:AH34" si="39">AE3+AF3-AG3</f>
        <v>0</v>
      </c>
      <c r="AI3" s="57">
        <f>' WIP '!AT3</f>
        <v>575</v>
      </c>
      <c r="AJ3" s="58">
        <v>575</v>
      </c>
      <c r="AK3" s="59">
        <f t="shared" ref="AK3:AK34" si="40">AH3+AI3-AJ3</f>
        <v>0</v>
      </c>
      <c r="AL3" s="57">
        <f>' WIP '!AX3</f>
        <v>0</v>
      </c>
      <c r="AM3" s="58"/>
      <c r="AN3" s="59">
        <f t="shared" ref="AN3:AN34" si="41">AK3+AL3-AM3</f>
        <v>0</v>
      </c>
      <c r="AO3" s="57">
        <f>' WIP '!BB3</f>
        <v>300</v>
      </c>
      <c r="AP3" s="58">
        <v>300</v>
      </c>
      <c r="AQ3" s="59">
        <f t="shared" ref="AQ3:AQ34" si="42">AN3+AO3-AP3</f>
        <v>0</v>
      </c>
      <c r="AR3" s="57">
        <f>' WIP '!BF3</f>
        <v>350</v>
      </c>
      <c r="AS3" s="58">
        <v>350</v>
      </c>
      <c r="AT3" s="59">
        <f t="shared" ref="AT3:AT34" si="43">AQ3+AR3-AS3</f>
        <v>0</v>
      </c>
      <c r="AU3" s="57">
        <f>' WIP '!BJ3</f>
        <v>0</v>
      </c>
      <c r="AV3" s="58">
        <v>0</v>
      </c>
      <c r="AW3" s="59">
        <f t="shared" ref="AW3:AW34" si="44">AT3+AU3-AV3</f>
        <v>0</v>
      </c>
      <c r="AX3" s="57">
        <f>' WIP '!BN3</f>
        <v>0</v>
      </c>
      <c r="AY3" s="58">
        <v>0</v>
      </c>
      <c r="AZ3" s="59">
        <f t="shared" ref="AZ3:AZ34" si="45">AW3+AX3-AY3</f>
        <v>0</v>
      </c>
      <c r="BA3" s="57">
        <f>' WIP '!BR3</f>
        <v>0</v>
      </c>
      <c r="BB3" s="58">
        <v>0</v>
      </c>
      <c r="BC3" s="59">
        <f t="shared" ref="BC3:BC34" si="46">AZ3+BA3-BB3</f>
        <v>0</v>
      </c>
      <c r="BD3" s="57">
        <f>' WIP '!BV3</f>
        <v>950</v>
      </c>
      <c r="BE3" s="58">
        <v>950</v>
      </c>
      <c r="BF3" s="59">
        <f t="shared" ref="BF3:BF34" si="47">BC3+BD3-BE3</f>
        <v>0</v>
      </c>
      <c r="BG3" s="57">
        <f>' WIP '!BZ3</f>
        <v>0</v>
      </c>
      <c r="BH3" s="58"/>
      <c r="BI3" s="59">
        <f t="shared" ref="BI3:BI34" si="48">BF3+BG3-BH3</f>
        <v>0</v>
      </c>
      <c r="BJ3" s="57">
        <f>' WIP '!CD3</f>
        <v>0</v>
      </c>
      <c r="BK3" s="58">
        <v>0</v>
      </c>
      <c r="BL3" s="59">
        <f t="shared" ref="BL3:BL34" si="49">BI3+BJ3-BK3</f>
        <v>0</v>
      </c>
      <c r="BM3" s="57">
        <f>' WIP '!CH3</f>
        <v>0</v>
      </c>
      <c r="BN3" s="58">
        <v>0</v>
      </c>
      <c r="BO3" s="162">
        <f t="shared" ref="BO3:BO34" si="50">BL3+BM3-BN3</f>
        <v>0</v>
      </c>
      <c r="BP3" s="57">
        <f>' WIP '!CL3</f>
        <v>300</v>
      </c>
      <c r="BQ3" s="58">
        <v>150</v>
      </c>
      <c r="BR3" s="59">
        <f t="shared" ref="BR3:BR34" si="51">BO3+BP3-BQ3</f>
        <v>150</v>
      </c>
      <c r="BS3" s="57">
        <f>' WIP '!CP3</f>
        <v>250</v>
      </c>
      <c r="BT3" s="58">
        <v>400</v>
      </c>
      <c r="BU3" s="59">
        <f t="shared" ref="BU3:BU34" si="52">BR3+BS3-BT3</f>
        <v>0</v>
      </c>
      <c r="BV3" s="57">
        <f>' WIP '!CT3</f>
        <v>0</v>
      </c>
      <c r="BW3" s="28">
        <v>0</v>
      </c>
      <c r="BX3" s="59">
        <f t="shared" ref="BX3:BX34" si="53">BU3+BV3-BW3</f>
        <v>0</v>
      </c>
      <c r="BY3" s="57">
        <f>' WIP '!CX3</f>
        <v>0</v>
      </c>
      <c r="BZ3" s="58">
        <v>0</v>
      </c>
      <c r="CA3" s="59">
        <f t="shared" ref="CA3:CA34" si="54">BX3+BY3-BZ3</f>
        <v>0</v>
      </c>
      <c r="CB3" s="57">
        <f>' WIP '!DB3</f>
        <v>0</v>
      </c>
      <c r="CC3" s="58">
        <v>0</v>
      </c>
      <c r="CD3" s="59">
        <f t="shared" ref="CD3:CD34" si="55">CA3+CB3-CC3</f>
        <v>0</v>
      </c>
      <c r="CE3" s="57">
        <f>' WIP '!DF3</f>
        <v>0</v>
      </c>
      <c r="CF3" s="58">
        <v>0</v>
      </c>
      <c r="CG3" s="59">
        <f t="shared" ref="CG3:CG34" si="56">CD3+CE3-CF3</f>
        <v>0</v>
      </c>
      <c r="CH3" s="57">
        <f>' WIP '!DJ3</f>
        <v>0</v>
      </c>
      <c r="CI3" s="58">
        <v>0</v>
      </c>
      <c r="CJ3" s="59">
        <f t="shared" ref="CJ3:CJ34" si="57">CG3+CH3-CI3</f>
        <v>0</v>
      </c>
      <c r="CK3" s="57">
        <f>' WIP '!DN3</f>
        <v>500</v>
      </c>
      <c r="CL3" s="58">
        <v>0</v>
      </c>
      <c r="CM3" s="59">
        <f t="shared" ref="CM3:CM34" si="58">CJ3+CK3-CL3</f>
        <v>500</v>
      </c>
      <c r="CN3" s="57">
        <f>' WIP '!DR3</f>
        <v>0</v>
      </c>
      <c r="CO3" s="57"/>
      <c r="CP3" s="59">
        <f t="shared" ref="CP3:CP34" si="59">CM3+CN3-CO3</f>
        <v>500</v>
      </c>
      <c r="CQ3" s="57">
        <f>' WIP '!DV3</f>
        <v>0</v>
      </c>
      <c r="CR3" s="58"/>
      <c r="CS3" s="59">
        <f t="shared" ref="CS3:CS34" si="60">CP3+CQ3-CR3</f>
        <v>500</v>
      </c>
      <c r="CT3" s="31">
        <f t="shared" ref="CT3:CT34" si="61">D3+E3+H3+K3+N3+Q3+T3+W3+Z3+AC3+AF3+AI3+AL3+AO3+AR3+AU3+AX3+BA3+BD3+BG3+BJ3+BM3+BP3+BS3+BV3+BY3+CB3+CE3+CH3+CK3+CN3+CQ3</f>
        <v>5025</v>
      </c>
      <c r="CU3" s="4">
        <f t="shared" ref="CU3:CU34" si="62">F3+I3+L3+O3+R3+U3+X3+AA3+AD3+AG3+AJ3+AM3+AP3+AS3+AV3+AY3+BB3+BE3+BH3+BK3+BN3+BQ3+BT3+BW3+BZ3+CC3+CF3+CI3+CL3+CO3+CR3</f>
        <v>4525</v>
      </c>
      <c r="CV3" s="5">
        <f>D3*'MASTER SHEET'!D3</f>
        <v>0</v>
      </c>
      <c r="CW3" s="5">
        <f>G3*'MASTER SHEET'!D3</f>
        <v>0</v>
      </c>
      <c r="CX3" s="5">
        <f>J3*'MASTER SHEET'!D3</f>
        <v>0</v>
      </c>
      <c r="CY3" s="5">
        <f>M3*'MASTER SHEET'!D3</f>
        <v>0</v>
      </c>
      <c r="CZ3" s="5">
        <f>P3*'MASTER SHEET'!D3</f>
        <v>0</v>
      </c>
      <c r="DA3" s="5">
        <f>S3*'MASTER SHEET'!D3</f>
        <v>0</v>
      </c>
      <c r="DB3" s="5">
        <f>V3*'MASTER SHEET'!D3</f>
        <v>0</v>
      </c>
      <c r="DC3" s="5">
        <f>Y3*'MASTER SHEET'!D3</f>
        <v>0</v>
      </c>
      <c r="DD3" s="5">
        <f>AB3*'MASTER SHEET'!D3</f>
        <v>0</v>
      </c>
      <c r="DE3" s="5">
        <f>AE3*'MASTER SHEET'!D3</f>
        <v>0</v>
      </c>
      <c r="DF3" s="5">
        <f>AH3*'MASTER SHEET'!D3</f>
        <v>0</v>
      </c>
      <c r="DG3" s="5">
        <f>AK3*'MASTER SHEET'!D3</f>
        <v>0</v>
      </c>
      <c r="DH3" s="5">
        <f>AN3*'MASTER SHEET'!D3</f>
        <v>0</v>
      </c>
      <c r="DI3" s="5">
        <f>AQ3*'MASTER SHEET'!D3</f>
        <v>0</v>
      </c>
      <c r="DJ3" s="5">
        <f>AT3*'MASTER SHEET'!D3</f>
        <v>0</v>
      </c>
      <c r="DK3" s="5">
        <f>AW3*'MASTER SHEET'!D3</f>
        <v>0</v>
      </c>
      <c r="DL3" s="5">
        <f>AZ3*'MASTER SHEET'!D3</f>
        <v>0</v>
      </c>
      <c r="DM3" s="5">
        <f>BC3*'MASTER SHEET'!D3</f>
        <v>0</v>
      </c>
      <c r="DN3" s="5">
        <f>BF3*'MASTER SHEET'!D3</f>
        <v>0</v>
      </c>
      <c r="DO3" s="5">
        <f>BI3*'MASTER SHEET'!D3</f>
        <v>0</v>
      </c>
      <c r="DP3" s="5">
        <f>BL3*'MASTER SHEET'!D3</f>
        <v>0</v>
      </c>
      <c r="DQ3" s="5">
        <f>BO3*'MASTER SHEET'!D3</f>
        <v>0</v>
      </c>
      <c r="DR3" s="5">
        <f>BR3*'MASTER SHEET'!D3</f>
        <v>4923</v>
      </c>
      <c r="DS3" s="5">
        <f>BU3*'MASTER SHEET'!D3</f>
        <v>0</v>
      </c>
      <c r="DT3" s="5">
        <f>BX3*'MASTER SHEET'!D3</f>
        <v>0</v>
      </c>
      <c r="DU3" s="5">
        <f>CA3*'MASTER SHEET'!D3</f>
        <v>0</v>
      </c>
      <c r="DV3" s="5">
        <f>CD3*'MASTER SHEET'!D3</f>
        <v>0</v>
      </c>
      <c r="DW3" s="5">
        <f>CG3*'MASTER SHEET'!D3</f>
        <v>0</v>
      </c>
      <c r="DX3" s="5">
        <f>CJ3*'MASTER SHEET'!D3</f>
        <v>0</v>
      </c>
      <c r="DY3" s="5">
        <f>CM3*'MASTER SHEET'!D3</f>
        <v>16410</v>
      </c>
      <c r="DZ3" s="5">
        <f>CP3*'MASTER SHEET'!D3</f>
        <v>16410</v>
      </c>
      <c r="EA3" s="5">
        <f>CS3*'MASTER SHEET'!D3</f>
        <v>16410</v>
      </c>
      <c r="EB3" s="143">
        <f>VLOOKUP($C3,'[1]GREEN LEV.₹'!$I$2:$K$54,3,0)</f>
        <v>600</v>
      </c>
    </row>
    <row r="4" spans="1:132" ht="15.75" x14ac:dyDescent="0.25">
      <c r="A4" s="25">
        <f>'MASTER SHEET'!A4</f>
        <v>2</v>
      </c>
      <c r="B4" s="26" t="str">
        <f>'MASTER SHEET'!B4</f>
        <v>DISC</v>
      </c>
      <c r="C4" s="27">
        <f>'MASTER SHEET'!C4</f>
        <v>5009576</v>
      </c>
      <c r="D4" s="56">
        <v>0</v>
      </c>
      <c r="E4" s="57">
        <f>' WIP '!F4</f>
        <v>0</v>
      </c>
      <c r="F4" s="58">
        <v>0</v>
      </c>
      <c r="G4" s="59">
        <f t="shared" si="30"/>
        <v>0</v>
      </c>
      <c r="H4" s="57">
        <f>' WIP '!J4</f>
        <v>1200</v>
      </c>
      <c r="I4" s="58">
        <v>1200</v>
      </c>
      <c r="J4" s="59">
        <f t="shared" si="31"/>
        <v>0</v>
      </c>
      <c r="K4" s="57">
        <f>' WIP '!N4</f>
        <v>0</v>
      </c>
      <c r="L4" s="58"/>
      <c r="M4" s="59">
        <f t="shared" si="32"/>
        <v>0</v>
      </c>
      <c r="N4" s="57">
        <f>' WIP '!R4</f>
        <v>0</v>
      </c>
      <c r="O4" s="58">
        <v>0</v>
      </c>
      <c r="P4" s="59">
        <f t="shared" si="33"/>
        <v>0</v>
      </c>
      <c r="Q4" s="57">
        <f>' WIP '!V4</f>
        <v>500</v>
      </c>
      <c r="R4" s="58">
        <v>500</v>
      </c>
      <c r="S4" s="59">
        <f t="shared" si="34"/>
        <v>0</v>
      </c>
      <c r="T4" s="57">
        <f>' WIP '!Z4</f>
        <v>0</v>
      </c>
      <c r="U4" s="58">
        <v>0</v>
      </c>
      <c r="V4" s="59">
        <f t="shared" si="35"/>
        <v>0</v>
      </c>
      <c r="W4" s="57">
        <f>' WIP '!AD4</f>
        <v>0</v>
      </c>
      <c r="X4" s="58">
        <v>0</v>
      </c>
      <c r="Y4" s="59">
        <f t="shared" si="36"/>
        <v>0</v>
      </c>
      <c r="Z4" s="57">
        <f>' WIP '!AH4</f>
        <v>0</v>
      </c>
      <c r="AA4" s="58">
        <v>0</v>
      </c>
      <c r="AB4" s="59">
        <f t="shared" si="37"/>
        <v>0</v>
      </c>
      <c r="AC4" s="57">
        <f>' WIP '!AL4</f>
        <v>0</v>
      </c>
      <c r="AD4" s="58">
        <v>0</v>
      </c>
      <c r="AE4" s="59">
        <f t="shared" si="38"/>
        <v>0</v>
      </c>
      <c r="AF4" s="57">
        <f>' WIP '!AP4</f>
        <v>0</v>
      </c>
      <c r="AG4" s="114">
        <v>0</v>
      </c>
      <c r="AH4" s="59">
        <f t="shared" si="39"/>
        <v>0</v>
      </c>
      <c r="AI4" s="57">
        <f>' WIP '!AT4</f>
        <v>0</v>
      </c>
      <c r="AJ4" s="58">
        <v>0</v>
      </c>
      <c r="AK4" s="59">
        <f t="shared" si="40"/>
        <v>0</v>
      </c>
      <c r="AL4" s="57">
        <f>' WIP '!AX4</f>
        <v>0</v>
      </c>
      <c r="AM4" s="58"/>
      <c r="AN4" s="59">
        <f t="shared" si="41"/>
        <v>0</v>
      </c>
      <c r="AO4" s="57">
        <f>' WIP '!BB4</f>
        <v>0</v>
      </c>
      <c r="AP4" s="58">
        <v>0</v>
      </c>
      <c r="AQ4" s="59">
        <f t="shared" si="42"/>
        <v>0</v>
      </c>
      <c r="AR4" s="57">
        <f>' WIP '!BF4</f>
        <v>800</v>
      </c>
      <c r="AS4" s="58">
        <v>0</v>
      </c>
      <c r="AT4" s="59">
        <f t="shared" si="43"/>
        <v>800</v>
      </c>
      <c r="AU4" s="57">
        <f>' WIP '!BJ4</f>
        <v>2892</v>
      </c>
      <c r="AV4" s="58">
        <v>800</v>
      </c>
      <c r="AW4" s="59">
        <f t="shared" si="44"/>
        <v>2892</v>
      </c>
      <c r="AX4" s="57">
        <f>' WIP '!BN4</f>
        <v>9270</v>
      </c>
      <c r="AY4" s="58">
        <v>0</v>
      </c>
      <c r="AZ4" s="59">
        <f t="shared" si="45"/>
        <v>12162</v>
      </c>
      <c r="BA4" s="57">
        <f>' WIP '!BR4</f>
        <v>0</v>
      </c>
      <c r="BB4" s="58">
        <v>0</v>
      </c>
      <c r="BC4" s="59">
        <f t="shared" si="46"/>
        <v>12162</v>
      </c>
      <c r="BD4" s="57">
        <f>' WIP '!BV4</f>
        <v>0</v>
      </c>
      <c r="BE4" s="58">
        <v>0</v>
      </c>
      <c r="BF4" s="59">
        <f t="shared" si="47"/>
        <v>12162</v>
      </c>
      <c r="BG4" s="57">
        <f>' WIP '!BZ4</f>
        <v>0</v>
      </c>
      <c r="BH4" s="58"/>
      <c r="BI4" s="59">
        <f t="shared" si="48"/>
        <v>12162</v>
      </c>
      <c r="BJ4" s="57">
        <f>' WIP '!CD4</f>
        <v>0</v>
      </c>
      <c r="BK4" s="58">
        <v>0</v>
      </c>
      <c r="BL4" s="59">
        <f t="shared" si="49"/>
        <v>12162</v>
      </c>
      <c r="BM4" s="57">
        <f>' WIP '!CH4</f>
        <v>0</v>
      </c>
      <c r="BN4" s="58">
        <v>0</v>
      </c>
      <c r="BO4" s="59">
        <f t="shared" si="50"/>
        <v>12162</v>
      </c>
      <c r="BP4" s="57">
        <f>' WIP '!CL4</f>
        <v>0</v>
      </c>
      <c r="BQ4" s="58"/>
      <c r="BR4" s="59">
        <f t="shared" si="51"/>
        <v>12162</v>
      </c>
      <c r="BS4" s="57">
        <f>' WIP '!CP4</f>
        <v>0</v>
      </c>
      <c r="BT4" s="58">
        <v>0</v>
      </c>
      <c r="BU4" s="59">
        <f t="shared" si="52"/>
        <v>12162</v>
      </c>
      <c r="BV4" s="57">
        <f>' WIP '!CT4</f>
        <v>0</v>
      </c>
      <c r="BW4" s="28">
        <v>0</v>
      </c>
      <c r="BX4" s="59">
        <f t="shared" si="53"/>
        <v>12162</v>
      </c>
      <c r="BY4" s="57">
        <f>' WIP '!CX4</f>
        <v>0</v>
      </c>
      <c r="BZ4" s="58">
        <v>0</v>
      </c>
      <c r="CA4" s="59">
        <f t="shared" si="54"/>
        <v>12162</v>
      </c>
      <c r="CB4" s="57">
        <f>' WIP '!DB4</f>
        <v>0</v>
      </c>
      <c r="CC4" s="58">
        <v>0</v>
      </c>
      <c r="CD4" s="59">
        <f t="shared" si="55"/>
        <v>12162</v>
      </c>
      <c r="CE4" s="57">
        <f>' WIP '!DF4</f>
        <v>0</v>
      </c>
      <c r="CF4" s="58">
        <v>0</v>
      </c>
      <c r="CG4" s="59">
        <f t="shared" si="56"/>
        <v>12162</v>
      </c>
      <c r="CH4" s="57">
        <f>' WIP '!DJ4</f>
        <v>700</v>
      </c>
      <c r="CI4" s="58">
        <v>700</v>
      </c>
      <c r="CJ4" s="59">
        <f t="shared" si="57"/>
        <v>12162</v>
      </c>
      <c r="CK4" s="57">
        <f>' WIP '!DN4</f>
        <v>0</v>
      </c>
      <c r="CL4" s="58">
        <v>0</v>
      </c>
      <c r="CM4" s="59">
        <f t="shared" si="58"/>
        <v>12162</v>
      </c>
      <c r="CN4" s="57">
        <f>' WIP '!DR4</f>
        <v>0</v>
      </c>
      <c r="CO4" s="57"/>
      <c r="CP4" s="59">
        <f t="shared" si="59"/>
        <v>12162</v>
      </c>
      <c r="CQ4" s="57">
        <f>' WIP '!DV4</f>
        <v>0</v>
      </c>
      <c r="CR4" s="58"/>
      <c r="CS4" s="59">
        <f t="shared" si="60"/>
        <v>12162</v>
      </c>
      <c r="CT4" s="31">
        <f t="shared" si="61"/>
        <v>15362</v>
      </c>
      <c r="CU4" s="4">
        <f t="shared" si="62"/>
        <v>3200</v>
      </c>
      <c r="CV4" s="5">
        <f>D4*'MASTER SHEET'!D4</f>
        <v>0</v>
      </c>
      <c r="CW4" s="5">
        <f>G4*'MASTER SHEET'!D4</f>
        <v>0</v>
      </c>
      <c r="CX4" s="5">
        <f>J4*'MASTER SHEET'!D4</f>
        <v>0</v>
      </c>
      <c r="CY4" s="5">
        <f>M4*'MASTER SHEET'!D4</f>
        <v>0</v>
      </c>
      <c r="CZ4" s="5">
        <f>P4*'MASTER SHEET'!D4</f>
        <v>0</v>
      </c>
      <c r="DA4" s="5">
        <f>S4*'MASTER SHEET'!D4</f>
        <v>0</v>
      </c>
      <c r="DB4" s="5">
        <f>V4*'MASTER SHEET'!D4</f>
        <v>0</v>
      </c>
      <c r="DC4" s="5">
        <f>Y4*'MASTER SHEET'!D4</f>
        <v>0</v>
      </c>
      <c r="DD4" s="5">
        <f>AB4*'MASTER SHEET'!D4</f>
        <v>0</v>
      </c>
      <c r="DE4" s="5">
        <f>AE4*'MASTER SHEET'!D4</f>
        <v>0</v>
      </c>
      <c r="DF4" s="5">
        <f>AH4*'MASTER SHEET'!D4</f>
        <v>0</v>
      </c>
      <c r="DG4" s="5">
        <f>AK4*'MASTER SHEET'!D4</f>
        <v>0</v>
      </c>
      <c r="DH4" s="5">
        <f>AN4*'MASTER SHEET'!D4</f>
        <v>0</v>
      </c>
      <c r="DI4" s="5">
        <f>AQ4*'MASTER SHEET'!D4</f>
        <v>0</v>
      </c>
      <c r="DJ4" s="5">
        <f>AT4*'MASTER SHEET'!D4</f>
        <v>9264</v>
      </c>
      <c r="DK4" s="5">
        <f>AW4*'MASTER SHEET'!D4</f>
        <v>33489.360000000001</v>
      </c>
      <c r="DL4" s="5">
        <f>AZ4*'MASTER SHEET'!D4</f>
        <v>140835.96</v>
      </c>
      <c r="DM4" s="5">
        <f>BC4*'MASTER SHEET'!D4</f>
        <v>140835.96</v>
      </c>
      <c r="DN4" s="5">
        <f>BF4*'MASTER SHEET'!D4</f>
        <v>140835.96</v>
      </c>
      <c r="DO4" s="5">
        <f>BI4*'MASTER SHEET'!D4</f>
        <v>140835.96</v>
      </c>
      <c r="DP4" s="5">
        <f>BL4*'MASTER SHEET'!D4</f>
        <v>140835.96</v>
      </c>
      <c r="DQ4" s="5">
        <f>BO4*'MASTER SHEET'!D4</f>
        <v>140835.96</v>
      </c>
      <c r="DR4" s="5">
        <f>BR4*'MASTER SHEET'!D4</f>
        <v>140835.96</v>
      </c>
      <c r="DS4" s="5">
        <f>BU4*'MASTER SHEET'!D4</f>
        <v>140835.96</v>
      </c>
      <c r="DT4" s="5">
        <f>BX4*'MASTER SHEET'!D4</f>
        <v>140835.96</v>
      </c>
      <c r="DU4" s="5">
        <f>CA4*'MASTER SHEET'!D4</f>
        <v>140835.96</v>
      </c>
      <c r="DV4" s="5">
        <f>CD4*'MASTER SHEET'!D4</f>
        <v>140835.96</v>
      </c>
      <c r="DW4" s="5">
        <f>CG4*'MASTER SHEET'!D4</f>
        <v>140835.96</v>
      </c>
      <c r="DX4" s="5">
        <f>CJ4*'MASTER SHEET'!D4</f>
        <v>140835.96</v>
      </c>
      <c r="DY4" s="5">
        <f>CM4*'MASTER SHEET'!D4</f>
        <v>140835.96</v>
      </c>
      <c r="DZ4" s="5">
        <f>CP4*'MASTER SHEET'!D4</f>
        <v>140835.96</v>
      </c>
      <c r="EA4" s="5">
        <f>CS4*'MASTER SHEET'!D4</f>
        <v>140835.96</v>
      </c>
      <c r="EB4" s="143">
        <f>VLOOKUP($C4,'[1]GREEN LEV.₹'!$I$2:$K$54,3,0)</f>
        <v>1000</v>
      </c>
    </row>
    <row r="5" spans="1:132" ht="15.75" x14ac:dyDescent="0.25">
      <c r="A5" s="25">
        <f>'MASTER SHEET'!A5</f>
        <v>3</v>
      </c>
      <c r="B5" s="26" t="str">
        <f>'MASTER SHEET'!B5</f>
        <v>BASE HOUSING</v>
      </c>
      <c r="C5" s="27">
        <f>'MASTER SHEET'!C5</f>
        <v>5009579</v>
      </c>
      <c r="D5" s="56">
        <v>500</v>
      </c>
      <c r="E5" s="57">
        <f>' WIP '!F5</f>
        <v>0</v>
      </c>
      <c r="F5" s="58">
        <v>0</v>
      </c>
      <c r="G5" s="59">
        <f t="shared" si="30"/>
        <v>500</v>
      </c>
      <c r="H5" s="57">
        <f>' WIP '!J5</f>
        <v>0</v>
      </c>
      <c r="I5" s="58">
        <v>0</v>
      </c>
      <c r="J5" s="59">
        <f t="shared" si="31"/>
        <v>500</v>
      </c>
      <c r="K5" s="57">
        <f>' WIP '!N5</f>
        <v>0</v>
      </c>
      <c r="L5" s="58"/>
      <c r="M5" s="59">
        <f t="shared" si="32"/>
        <v>500</v>
      </c>
      <c r="N5" s="57">
        <f>' WIP '!R5</f>
        <v>0</v>
      </c>
      <c r="O5" s="58">
        <v>0</v>
      </c>
      <c r="P5" s="59">
        <f t="shared" si="33"/>
        <v>500</v>
      </c>
      <c r="Q5" s="57">
        <f>' WIP '!V5</f>
        <v>0</v>
      </c>
      <c r="R5" s="58">
        <v>0</v>
      </c>
      <c r="S5" s="59">
        <f t="shared" si="34"/>
        <v>500</v>
      </c>
      <c r="T5" s="57">
        <f>' WIP '!Z5</f>
        <v>0</v>
      </c>
      <c r="U5" s="58">
        <v>500</v>
      </c>
      <c r="V5" s="59">
        <f t="shared" si="35"/>
        <v>0</v>
      </c>
      <c r="W5" s="57">
        <f>' WIP '!AD5</f>
        <v>0</v>
      </c>
      <c r="X5" s="58">
        <v>0</v>
      </c>
      <c r="Y5" s="59">
        <f t="shared" si="36"/>
        <v>0</v>
      </c>
      <c r="Z5" s="57">
        <f>' WIP '!AH5</f>
        <v>0</v>
      </c>
      <c r="AA5" s="58">
        <v>0</v>
      </c>
      <c r="AB5" s="59">
        <f t="shared" si="37"/>
        <v>0</v>
      </c>
      <c r="AC5" s="57">
        <f>' WIP '!AL5</f>
        <v>0</v>
      </c>
      <c r="AD5" s="58">
        <v>0</v>
      </c>
      <c r="AE5" s="59">
        <f t="shared" si="38"/>
        <v>0</v>
      </c>
      <c r="AF5" s="57">
        <f>' WIP '!AP5</f>
        <v>0</v>
      </c>
      <c r="AG5" s="114">
        <v>0</v>
      </c>
      <c r="AH5" s="59">
        <f t="shared" si="39"/>
        <v>0</v>
      </c>
      <c r="AI5" s="57">
        <f>' WIP '!AT5</f>
        <v>0</v>
      </c>
      <c r="AJ5" s="58">
        <v>0</v>
      </c>
      <c r="AK5" s="59">
        <f t="shared" si="40"/>
        <v>0</v>
      </c>
      <c r="AL5" s="57">
        <f>' WIP '!AX5</f>
        <v>0</v>
      </c>
      <c r="AM5" s="58"/>
      <c r="AN5" s="59">
        <f t="shared" si="41"/>
        <v>0</v>
      </c>
      <c r="AO5" s="57">
        <f>' WIP '!BB5</f>
        <v>0</v>
      </c>
      <c r="AP5" s="58">
        <v>0</v>
      </c>
      <c r="AQ5" s="59">
        <f t="shared" si="42"/>
        <v>0</v>
      </c>
      <c r="AR5" s="57">
        <f>' WIP '!BF5</f>
        <v>0</v>
      </c>
      <c r="AS5" s="58">
        <v>0</v>
      </c>
      <c r="AT5" s="59">
        <f t="shared" si="43"/>
        <v>0</v>
      </c>
      <c r="AU5" s="57">
        <f>' WIP '!BJ5</f>
        <v>0</v>
      </c>
      <c r="AV5" s="58">
        <v>0</v>
      </c>
      <c r="AW5" s="59">
        <f t="shared" si="44"/>
        <v>0</v>
      </c>
      <c r="AX5" s="57">
        <f>' WIP '!BN5</f>
        <v>0</v>
      </c>
      <c r="AY5" s="58">
        <v>0</v>
      </c>
      <c r="AZ5" s="59">
        <f t="shared" si="45"/>
        <v>0</v>
      </c>
      <c r="BA5" s="57">
        <f>' WIP '!BR5</f>
        <v>0</v>
      </c>
      <c r="BB5" s="58">
        <v>0</v>
      </c>
      <c r="BC5" s="59">
        <f t="shared" si="46"/>
        <v>0</v>
      </c>
      <c r="BD5" s="57">
        <f>' WIP '!BV5</f>
        <v>0</v>
      </c>
      <c r="BE5" s="58">
        <v>0</v>
      </c>
      <c r="BF5" s="59">
        <f t="shared" si="47"/>
        <v>0</v>
      </c>
      <c r="BG5" s="57">
        <f>' WIP '!BZ5</f>
        <v>0</v>
      </c>
      <c r="BH5" s="58"/>
      <c r="BI5" s="59">
        <f t="shared" si="48"/>
        <v>0</v>
      </c>
      <c r="BJ5" s="57">
        <f>' WIP '!CD5</f>
        <v>0</v>
      </c>
      <c r="BK5" s="58">
        <v>0</v>
      </c>
      <c r="BL5" s="59">
        <f t="shared" si="49"/>
        <v>0</v>
      </c>
      <c r="BM5" s="57">
        <f>' WIP '!CH5</f>
        <v>0</v>
      </c>
      <c r="BN5" s="58">
        <v>0</v>
      </c>
      <c r="BO5" s="59">
        <f t="shared" si="50"/>
        <v>0</v>
      </c>
      <c r="BP5" s="57">
        <f>' WIP '!CL5</f>
        <v>0</v>
      </c>
      <c r="BQ5" s="58"/>
      <c r="BR5" s="59">
        <f t="shared" si="51"/>
        <v>0</v>
      </c>
      <c r="BS5" s="57">
        <f>' WIP '!CP5</f>
        <v>0</v>
      </c>
      <c r="BT5" s="58">
        <v>0</v>
      </c>
      <c r="BU5" s="59">
        <f t="shared" si="52"/>
        <v>0</v>
      </c>
      <c r="BV5" s="57">
        <f>' WIP '!CT5</f>
        <v>0</v>
      </c>
      <c r="BW5" s="28">
        <v>0</v>
      </c>
      <c r="BX5" s="59">
        <f t="shared" si="53"/>
        <v>0</v>
      </c>
      <c r="BY5" s="57">
        <f>' WIP '!CX5</f>
        <v>0</v>
      </c>
      <c r="BZ5" s="58">
        <v>0</v>
      </c>
      <c r="CA5" s="59">
        <f t="shared" si="54"/>
        <v>0</v>
      </c>
      <c r="CB5" s="57">
        <f>' WIP '!DB5</f>
        <v>0</v>
      </c>
      <c r="CC5" s="58">
        <v>0</v>
      </c>
      <c r="CD5" s="59">
        <f t="shared" si="55"/>
        <v>0</v>
      </c>
      <c r="CE5" s="57">
        <f>' WIP '!DF5</f>
        <v>0</v>
      </c>
      <c r="CF5" s="58">
        <v>0</v>
      </c>
      <c r="CG5" s="59">
        <f t="shared" si="56"/>
        <v>0</v>
      </c>
      <c r="CH5" s="57">
        <f>' WIP '!DJ5</f>
        <v>0</v>
      </c>
      <c r="CI5" s="58">
        <v>0</v>
      </c>
      <c r="CJ5" s="59">
        <f t="shared" si="57"/>
        <v>0</v>
      </c>
      <c r="CK5" s="57">
        <f>' WIP '!DN5</f>
        <v>0</v>
      </c>
      <c r="CL5" s="58">
        <v>0</v>
      </c>
      <c r="CM5" s="59">
        <f t="shared" si="58"/>
        <v>0</v>
      </c>
      <c r="CN5" s="57">
        <f>' WIP '!DR5</f>
        <v>0</v>
      </c>
      <c r="CO5" s="57"/>
      <c r="CP5" s="59">
        <f t="shared" si="59"/>
        <v>0</v>
      </c>
      <c r="CQ5" s="57">
        <f>' WIP '!DV5</f>
        <v>0</v>
      </c>
      <c r="CR5" s="58"/>
      <c r="CS5" s="59">
        <f t="shared" si="60"/>
        <v>0</v>
      </c>
      <c r="CT5" s="31">
        <f t="shared" si="61"/>
        <v>500</v>
      </c>
      <c r="CU5" s="4">
        <f t="shared" si="62"/>
        <v>500</v>
      </c>
      <c r="CV5" s="5">
        <f>D5*'MASTER SHEET'!D5</f>
        <v>20095</v>
      </c>
      <c r="CW5" s="5">
        <f>G5*'MASTER SHEET'!D5</f>
        <v>20095</v>
      </c>
      <c r="CX5" s="5">
        <f>J5*'MASTER SHEET'!D5</f>
        <v>20095</v>
      </c>
      <c r="CY5" s="5">
        <f>M5*'MASTER SHEET'!D5</f>
        <v>20095</v>
      </c>
      <c r="CZ5" s="5">
        <f>P5*'MASTER SHEET'!D5</f>
        <v>20095</v>
      </c>
      <c r="DA5" s="5">
        <f>S5*'MASTER SHEET'!D5</f>
        <v>20095</v>
      </c>
      <c r="DB5" s="5">
        <f>V5*'MASTER SHEET'!D5</f>
        <v>0</v>
      </c>
      <c r="DC5" s="5">
        <f>Y5*'MASTER SHEET'!D5</f>
        <v>0</v>
      </c>
      <c r="DD5" s="5">
        <f>AB5*'MASTER SHEET'!D5</f>
        <v>0</v>
      </c>
      <c r="DE5" s="5">
        <f>AE5*'MASTER SHEET'!D5</f>
        <v>0</v>
      </c>
      <c r="DF5" s="5">
        <f>AH5*'MASTER SHEET'!D5</f>
        <v>0</v>
      </c>
      <c r="DG5" s="5">
        <f>AK5*'MASTER SHEET'!D5</f>
        <v>0</v>
      </c>
      <c r="DH5" s="5">
        <f>AN5*'MASTER SHEET'!D5</f>
        <v>0</v>
      </c>
      <c r="DI5" s="5">
        <f>AQ5*'MASTER SHEET'!D5</f>
        <v>0</v>
      </c>
      <c r="DJ5" s="5">
        <f>AT5*'MASTER SHEET'!D5</f>
        <v>0</v>
      </c>
      <c r="DK5" s="5">
        <f>AW5*'MASTER SHEET'!D5</f>
        <v>0</v>
      </c>
      <c r="DL5" s="5">
        <f>AZ5*'MASTER SHEET'!D5</f>
        <v>0</v>
      </c>
      <c r="DM5" s="5">
        <f>BC5*'MASTER SHEET'!D5</f>
        <v>0</v>
      </c>
      <c r="DN5" s="5">
        <f>BF5*'MASTER SHEET'!D5</f>
        <v>0</v>
      </c>
      <c r="DO5" s="5">
        <f>BI5*'MASTER SHEET'!D5</f>
        <v>0</v>
      </c>
      <c r="DP5" s="5">
        <f>BL5*'MASTER SHEET'!D5</f>
        <v>0</v>
      </c>
      <c r="DQ5" s="5">
        <f>BO5*'MASTER SHEET'!D5</f>
        <v>0</v>
      </c>
      <c r="DR5" s="5">
        <f>BR5*'MASTER SHEET'!D5</f>
        <v>0</v>
      </c>
      <c r="DS5" s="5">
        <f>BU5*'MASTER SHEET'!D5</f>
        <v>0</v>
      </c>
      <c r="DT5" s="5">
        <f>BX5*'MASTER SHEET'!D5</f>
        <v>0</v>
      </c>
      <c r="DU5" s="5">
        <f>CA5*'MASTER SHEET'!D5</f>
        <v>0</v>
      </c>
      <c r="DV5" s="5">
        <f>CD5*'MASTER SHEET'!D5</f>
        <v>0</v>
      </c>
      <c r="DW5" s="5">
        <f>CG5*'MASTER SHEET'!D5</f>
        <v>0</v>
      </c>
      <c r="DX5" s="5">
        <f>CJ5*'MASTER SHEET'!D5</f>
        <v>0</v>
      </c>
      <c r="DY5" s="5">
        <f>CM5*'MASTER SHEET'!D5</f>
        <v>0</v>
      </c>
      <c r="DZ5" s="5">
        <f>CP5*'MASTER SHEET'!D5</f>
        <v>0</v>
      </c>
      <c r="EA5" s="5">
        <f>CS5*'MASTER SHEET'!D5</f>
        <v>0</v>
      </c>
      <c r="EB5" s="143">
        <f>VLOOKUP($C5,'[1]GREEN LEV.₹'!$I$2:$K$54,3,0)</f>
        <v>450</v>
      </c>
    </row>
    <row r="6" spans="1:132" ht="15.75" x14ac:dyDescent="0.25">
      <c r="A6" s="25">
        <f>'MASTER SHEET'!A6</f>
        <v>4</v>
      </c>
      <c r="B6" s="26" t="str">
        <f>'MASTER SHEET'!B6</f>
        <v>CDR CAP</v>
      </c>
      <c r="C6" s="27">
        <f>'MASTER SHEET'!C6</f>
        <v>5009583</v>
      </c>
      <c r="D6" s="56">
        <v>0</v>
      </c>
      <c r="E6" s="57">
        <f>' WIP '!F6</f>
        <v>0</v>
      </c>
      <c r="F6" s="58">
        <v>0</v>
      </c>
      <c r="G6" s="59">
        <f t="shared" si="30"/>
        <v>0</v>
      </c>
      <c r="H6" s="57">
        <f>' WIP '!J6</f>
        <v>400</v>
      </c>
      <c r="I6" s="58">
        <v>400</v>
      </c>
      <c r="J6" s="59">
        <f t="shared" si="31"/>
        <v>0</v>
      </c>
      <c r="K6" s="57">
        <f>' WIP '!N6</f>
        <v>0</v>
      </c>
      <c r="L6" s="58"/>
      <c r="M6" s="59">
        <f t="shared" si="32"/>
        <v>0</v>
      </c>
      <c r="N6" s="57">
        <f>' WIP '!R6</f>
        <v>350</v>
      </c>
      <c r="O6" s="58">
        <v>350</v>
      </c>
      <c r="P6" s="59">
        <f t="shared" si="33"/>
        <v>0</v>
      </c>
      <c r="Q6" s="57">
        <f>' WIP '!V6</f>
        <v>0</v>
      </c>
      <c r="R6" s="58">
        <v>0</v>
      </c>
      <c r="S6" s="59">
        <f t="shared" si="34"/>
        <v>0</v>
      </c>
      <c r="T6" s="57">
        <f>' WIP '!Z6</f>
        <v>0</v>
      </c>
      <c r="U6" s="58">
        <v>0</v>
      </c>
      <c r="V6" s="59">
        <f t="shared" si="35"/>
        <v>0</v>
      </c>
      <c r="W6" s="57">
        <f>' WIP '!AD6</f>
        <v>0</v>
      </c>
      <c r="X6" s="58">
        <v>0</v>
      </c>
      <c r="Y6" s="59">
        <f t="shared" si="36"/>
        <v>0</v>
      </c>
      <c r="Z6" s="57">
        <f>' WIP '!AH6</f>
        <v>850</v>
      </c>
      <c r="AA6" s="58">
        <v>0</v>
      </c>
      <c r="AB6" s="59">
        <f t="shared" si="37"/>
        <v>850</v>
      </c>
      <c r="AC6" s="57">
        <f>' WIP '!AL6</f>
        <v>0</v>
      </c>
      <c r="AD6" s="58">
        <v>850</v>
      </c>
      <c r="AE6" s="59">
        <f t="shared" si="38"/>
        <v>0</v>
      </c>
      <c r="AF6" s="57">
        <f>' WIP '!AP6</f>
        <v>150</v>
      </c>
      <c r="AG6" s="114">
        <v>150</v>
      </c>
      <c r="AH6" s="59">
        <f t="shared" si="39"/>
        <v>0</v>
      </c>
      <c r="AI6" s="57">
        <f>' WIP '!AT6</f>
        <v>0</v>
      </c>
      <c r="AJ6" s="58">
        <v>0</v>
      </c>
      <c r="AK6" s="59">
        <f t="shared" si="40"/>
        <v>0</v>
      </c>
      <c r="AL6" s="57">
        <f>' WIP '!AX6</f>
        <v>0</v>
      </c>
      <c r="AM6" s="58"/>
      <c r="AN6" s="59">
        <f t="shared" si="41"/>
        <v>0</v>
      </c>
      <c r="AO6" s="57">
        <f>' WIP '!BB6</f>
        <v>800</v>
      </c>
      <c r="AP6" s="58">
        <v>800</v>
      </c>
      <c r="AQ6" s="59">
        <f t="shared" si="42"/>
        <v>0</v>
      </c>
      <c r="AR6" s="57">
        <f>' WIP '!BF6</f>
        <v>0</v>
      </c>
      <c r="AS6" s="58">
        <v>0</v>
      </c>
      <c r="AT6" s="59">
        <f t="shared" si="43"/>
        <v>0</v>
      </c>
      <c r="AU6" s="57">
        <f>' WIP '!BJ6</f>
        <v>0</v>
      </c>
      <c r="AV6" s="58">
        <v>0</v>
      </c>
      <c r="AW6" s="59">
        <f t="shared" si="44"/>
        <v>0</v>
      </c>
      <c r="AX6" s="57">
        <f>' WIP '!BN6</f>
        <v>0</v>
      </c>
      <c r="AY6" s="58">
        <v>0</v>
      </c>
      <c r="AZ6" s="59">
        <f t="shared" si="45"/>
        <v>0</v>
      </c>
      <c r="BA6" s="57">
        <f>' WIP '!BR6</f>
        <v>0</v>
      </c>
      <c r="BB6" s="58">
        <v>0</v>
      </c>
      <c r="BC6" s="59">
        <f t="shared" si="46"/>
        <v>0</v>
      </c>
      <c r="BD6" s="57">
        <f>' WIP '!BV6</f>
        <v>200</v>
      </c>
      <c r="BE6" s="58">
        <v>200</v>
      </c>
      <c r="BF6" s="59">
        <f t="shared" si="47"/>
        <v>0</v>
      </c>
      <c r="BG6" s="57">
        <f>' WIP '!BZ6</f>
        <v>0</v>
      </c>
      <c r="BH6" s="58"/>
      <c r="BI6" s="59">
        <f t="shared" si="48"/>
        <v>0</v>
      </c>
      <c r="BJ6" s="57">
        <f>' WIP '!CD6</f>
        <v>0</v>
      </c>
      <c r="BK6" s="58">
        <v>0</v>
      </c>
      <c r="BL6" s="59">
        <f t="shared" si="49"/>
        <v>0</v>
      </c>
      <c r="BM6" s="57">
        <f>' WIP '!CH6</f>
        <v>0</v>
      </c>
      <c r="BN6" s="58">
        <v>0</v>
      </c>
      <c r="BO6" s="59">
        <f t="shared" si="50"/>
        <v>0</v>
      </c>
      <c r="BP6" s="57">
        <f>' WIP '!CL6</f>
        <v>300</v>
      </c>
      <c r="BQ6" s="58">
        <v>300</v>
      </c>
      <c r="BR6" s="59">
        <f t="shared" si="51"/>
        <v>0</v>
      </c>
      <c r="BS6" s="57">
        <f>' WIP '!CP6</f>
        <v>250</v>
      </c>
      <c r="BT6" s="58">
        <v>250</v>
      </c>
      <c r="BU6" s="59">
        <f t="shared" si="52"/>
        <v>0</v>
      </c>
      <c r="BV6" s="57">
        <f>' WIP '!CT6</f>
        <v>1500</v>
      </c>
      <c r="BW6" s="28">
        <v>850</v>
      </c>
      <c r="BX6" s="59">
        <f t="shared" si="53"/>
        <v>650</v>
      </c>
      <c r="BY6" s="57">
        <f>' WIP '!CX6</f>
        <v>0</v>
      </c>
      <c r="BZ6" s="58">
        <v>650</v>
      </c>
      <c r="CA6" s="59">
        <f t="shared" si="54"/>
        <v>0</v>
      </c>
      <c r="CB6" s="57">
        <f>' WIP '!DB6</f>
        <v>0</v>
      </c>
      <c r="CC6" s="58">
        <v>0</v>
      </c>
      <c r="CD6" s="59">
        <f t="shared" si="55"/>
        <v>0</v>
      </c>
      <c r="CE6" s="57">
        <f>' WIP '!DF6</f>
        <v>1050</v>
      </c>
      <c r="CF6" s="58">
        <v>800</v>
      </c>
      <c r="CG6" s="59">
        <f t="shared" si="56"/>
        <v>250</v>
      </c>
      <c r="CH6" s="57">
        <f>' WIP '!DJ6</f>
        <v>0</v>
      </c>
      <c r="CI6" s="58">
        <v>0</v>
      </c>
      <c r="CJ6" s="59">
        <f t="shared" si="57"/>
        <v>250</v>
      </c>
      <c r="CK6" s="57">
        <f>' WIP '!DN6</f>
        <v>400</v>
      </c>
      <c r="CL6" s="58">
        <v>0</v>
      </c>
      <c r="CM6" s="59">
        <f t="shared" si="58"/>
        <v>650</v>
      </c>
      <c r="CN6" s="57">
        <f>' WIP '!DR6</f>
        <v>0</v>
      </c>
      <c r="CO6" s="57"/>
      <c r="CP6" s="59">
        <f t="shared" si="59"/>
        <v>650</v>
      </c>
      <c r="CQ6" s="57">
        <f>' WIP '!DV6</f>
        <v>0</v>
      </c>
      <c r="CR6" s="58"/>
      <c r="CS6" s="59">
        <f t="shared" si="60"/>
        <v>650</v>
      </c>
      <c r="CT6" s="31">
        <f t="shared" si="61"/>
        <v>6250</v>
      </c>
      <c r="CU6" s="4">
        <f t="shared" si="62"/>
        <v>5600</v>
      </c>
      <c r="CV6" s="5">
        <f>D6*'MASTER SHEET'!D6</f>
        <v>0</v>
      </c>
      <c r="CW6" s="5">
        <f>G6*'MASTER SHEET'!D6</f>
        <v>0</v>
      </c>
      <c r="CX6" s="5">
        <f>J6*'MASTER SHEET'!D6</f>
        <v>0</v>
      </c>
      <c r="CY6" s="5">
        <f>M6*'MASTER SHEET'!D6</f>
        <v>0</v>
      </c>
      <c r="CZ6" s="5">
        <f>P6*'MASTER SHEET'!D6</f>
        <v>0</v>
      </c>
      <c r="DA6" s="5">
        <f>S6*'MASTER SHEET'!D6</f>
        <v>0</v>
      </c>
      <c r="DB6" s="5">
        <f>V6*'MASTER SHEET'!D6</f>
        <v>0</v>
      </c>
      <c r="DC6" s="5">
        <f>Y6*'MASTER SHEET'!D6</f>
        <v>0</v>
      </c>
      <c r="DD6" s="5">
        <f>AB6*'MASTER SHEET'!D6</f>
        <v>6536.5</v>
      </c>
      <c r="DE6" s="5">
        <f>AE6*'MASTER SHEET'!D6</f>
        <v>0</v>
      </c>
      <c r="DF6" s="5">
        <f>AH6*'MASTER SHEET'!D6</f>
        <v>0</v>
      </c>
      <c r="DG6" s="5">
        <f>AK6*'MASTER SHEET'!D6</f>
        <v>0</v>
      </c>
      <c r="DH6" s="5">
        <f>AN6*'MASTER SHEET'!D6</f>
        <v>0</v>
      </c>
      <c r="DI6" s="5">
        <f>AQ6*'MASTER SHEET'!D6</f>
        <v>0</v>
      </c>
      <c r="DJ6" s="5">
        <f>AT6*'MASTER SHEET'!D6</f>
        <v>0</v>
      </c>
      <c r="DK6" s="5">
        <f>AW6*'MASTER SHEET'!D6</f>
        <v>0</v>
      </c>
      <c r="DL6" s="5">
        <f>AZ6*'MASTER SHEET'!D6</f>
        <v>0</v>
      </c>
      <c r="DM6" s="5">
        <f>BC6*'MASTER SHEET'!D6</f>
        <v>0</v>
      </c>
      <c r="DN6" s="5">
        <f>BF6*'MASTER SHEET'!D6</f>
        <v>0</v>
      </c>
      <c r="DO6" s="5">
        <f>BI6*'MASTER SHEET'!D6</f>
        <v>0</v>
      </c>
      <c r="DP6" s="5">
        <f>BL6*'MASTER SHEET'!D6</f>
        <v>0</v>
      </c>
      <c r="DQ6" s="5">
        <f>BO6*'MASTER SHEET'!D6</f>
        <v>0</v>
      </c>
      <c r="DR6" s="5">
        <f>BR6*'MASTER SHEET'!D6</f>
        <v>0</v>
      </c>
      <c r="DS6" s="5">
        <f>BU6*'MASTER SHEET'!D6</f>
        <v>0</v>
      </c>
      <c r="DT6" s="5">
        <f>BX6*'MASTER SHEET'!D6</f>
        <v>4998.5</v>
      </c>
      <c r="DU6" s="5">
        <f>CA6*'MASTER SHEET'!D6</f>
        <v>0</v>
      </c>
      <c r="DV6" s="5">
        <f>CD6*'MASTER SHEET'!D6</f>
        <v>0</v>
      </c>
      <c r="DW6" s="5">
        <f>CG6*'MASTER SHEET'!D6</f>
        <v>1922.5</v>
      </c>
      <c r="DX6" s="5">
        <f>CJ6*'MASTER SHEET'!D6</f>
        <v>1922.5</v>
      </c>
      <c r="DY6" s="5">
        <f>CM6*'MASTER SHEET'!D6</f>
        <v>4998.5</v>
      </c>
      <c r="DZ6" s="5">
        <f>CP6*'MASTER SHEET'!D6</f>
        <v>4998.5</v>
      </c>
      <c r="EA6" s="5">
        <f>CS6*'MASTER SHEET'!D6</f>
        <v>4998.5</v>
      </c>
      <c r="EB6" s="143">
        <f>VLOOKUP($C6,'[1]GREEN LEV.₹'!$I$2:$K$54,3,0)</f>
        <v>1000</v>
      </c>
    </row>
    <row r="7" spans="1:132" ht="15.75" x14ac:dyDescent="0.25">
      <c r="A7" s="25">
        <f>'MASTER SHEET'!A7</f>
        <v>5</v>
      </c>
      <c r="B7" s="26" t="str">
        <f>'MASTER SHEET'!B7</f>
        <v>ENDPLATE</v>
      </c>
      <c r="C7" s="27">
        <f>'MASTER SHEET'!C7</f>
        <v>5011413</v>
      </c>
      <c r="D7" s="56">
        <v>0</v>
      </c>
      <c r="E7" s="57">
        <f>' WIP '!F7</f>
        <v>600</v>
      </c>
      <c r="F7" s="58">
        <v>600</v>
      </c>
      <c r="G7" s="59">
        <f t="shared" si="30"/>
        <v>0</v>
      </c>
      <c r="H7" s="57">
        <f>' WIP '!J7</f>
        <v>1000</v>
      </c>
      <c r="I7" s="58">
        <v>0</v>
      </c>
      <c r="J7" s="59">
        <f t="shared" si="31"/>
        <v>1000</v>
      </c>
      <c r="K7" s="57">
        <f>' WIP '!N7</f>
        <v>0</v>
      </c>
      <c r="L7" s="58"/>
      <c r="M7" s="59">
        <f t="shared" si="32"/>
        <v>1000</v>
      </c>
      <c r="N7" s="57">
        <f>' WIP '!R7</f>
        <v>2000</v>
      </c>
      <c r="O7" s="58">
        <v>3000</v>
      </c>
      <c r="P7" s="59">
        <f t="shared" si="33"/>
        <v>0</v>
      </c>
      <c r="Q7" s="57">
        <f>' WIP '!V7</f>
        <v>800</v>
      </c>
      <c r="R7" s="58">
        <v>300</v>
      </c>
      <c r="S7" s="59">
        <f t="shared" si="34"/>
        <v>500</v>
      </c>
      <c r="T7" s="57">
        <f>' WIP '!Z7</f>
        <v>0</v>
      </c>
      <c r="U7" s="58">
        <v>0</v>
      </c>
      <c r="V7" s="59">
        <f t="shared" si="35"/>
        <v>500</v>
      </c>
      <c r="W7" s="57">
        <f>' WIP '!AD7</f>
        <v>100</v>
      </c>
      <c r="X7" s="58">
        <v>0</v>
      </c>
      <c r="Y7" s="59">
        <f t="shared" si="36"/>
        <v>600</v>
      </c>
      <c r="Z7" s="57">
        <f>' WIP '!AH7</f>
        <v>0</v>
      </c>
      <c r="AA7" s="58">
        <v>100</v>
      </c>
      <c r="AB7" s="59">
        <f t="shared" si="37"/>
        <v>500</v>
      </c>
      <c r="AC7" s="57">
        <f>' WIP '!AL7</f>
        <v>0</v>
      </c>
      <c r="AD7" s="58">
        <v>0</v>
      </c>
      <c r="AE7" s="59">
        <f t="shared" si="38"/>
        <v>500</v>
      </c>
      <c r="AF7" s="57">
        <f>' WIP '!AP7</f>
        <v>0</v>
      </c>
      <c r="AG7" s="114">
        <v>0</v>
      </c>
      <c r="AH7" s="59">
        <f t="shared" si="39"/>
        <v>500</v>
      </c>
      <c r="AI7" s="57">
        <f>' WIP '!AT7</f>
        <v>0</v>
      </c>
      <c r="AJ7" s="58">
        <v>200</v>
      </c>
      <c r="AK7" s="59">
        <f t="shared" si="40"/>
        <v>300</v>
      </c>
      <c r="AL7" s="57">
        <f>' WIP '!AX7</f>
        <v>0</v>
      </c>
      <c r="AM7" s="58"/>
      <c r="AN7" s="59">
        <f t="shared" si="41"/>
        <v>300</v>
      </c>
      <c r="AO7" s="57">
        <f>' WIP '!BB7</f>
        <v>0</v>
      </c>
      <c r="AP7" s="58">
        <v>100</v>
      </c>
      <c r="AQ7" s="59">
        <f t="shared" si="42"/>
        <v>200</v>
      </c>
      <c r="AR7" s="57">
        <f>' WIP '!BF7</f>
        <v>100</v>
      </c>
      <c r="AS7" s="58">
        <v>300</v>
      </c>
      <c r="AT7" s="59">
        <f t="shared" si="43"/>
        <v>0</v>
      </c>
      <c r="AU7" s="57">
        <f>' WIP '!BJ7</f>
        <v>800</v>
      </c>
      <c r="AV7" s="58">
        <v>700</v>
      </c>
      <c r="AW7" s="59">
        <f t="shared" si="44"/>
        <v>100</v>
      </c>
      <c r="AX7" s="57">
        <f>' WIP '!BN7</f>
        <v>0</v>
      </c>
      <c r="AY7" s="58">
        <v>100</v>
      </c>
      <c r="AZ7" s="59">
        <f t="shared" si="45"/>
        <v>0</v>
      </c>
      <c r="BA7" s="57">
        <f>' WIP '!BR7</f>
        <v>400</v>
      </c>
      <c r="BB7" s="58">
        <v>400</v>
      </c>
      <c r="BC7" s="59">
        <f t="shared" si="46"/>
        <v>0</v>
      </c>
      <c r="BD7" s="57">
        <f>' WIP '!BV7</f>
        <v>0</v>
      </c>
      <c r="BE7" s="58">
        <v>0</v>
      </c>
      <c r="BF7" s="59">
        <f t="shared" si="47"/>
        <v>0</v>
      </c>
      <c r="BG7" s="57">
        <f>' WIP '!BZ7</f>
        <v>0</v>
      </c>
      <c r="BH7" s="58"/>
      <c r="BI7" s="59">
        <f t="shared" si="48"/>
        <v>0</v>
      </c>
      <c r="BJ7" s="57">
        <f>' WIP '!CD7</f>
        <v>0</v>
      </c>
      <c r="BK7" s="58">
        <v>0</v>
      </c>
      <c r="BL7" s="59">
        <f t="shared" si="49"/>
        <v>0</v>
      </c>
      <c r="BM7" s="57">
        <f>' WIP '!CH7</f>
        <v>1400</v>
      </c>
      <c r="BN7" s="58">
        <v>1400</v>
      </c>
      <c r="BO7" s="59">
        <f t="shared" si="50"/>
        <v>0</v>
      </c>
      <c r="BP7" s="57">
        <f>' WIP '!CL7</f>
        <v>600</v>
      </c>
      <c r="BQ7" s="58">
        <v>600</v>
      </c>
      <c r="BR7" s="59">
        <f t="shared" si="51"/>
        <v>0</v>
      </c>
      <c r="BS7" s="57">
        <f>' WIP '!CP7</f>
        <v>600</v>
      </c>
      <c r="BT7" s="58">
        <v>600</v>
      </c>
      <c r="BU7" s="59">
        <f t="shared" si="52"/>
        <v>0</v>
      </c>
      <c r="BV7" s="57">
        <f>' WIP '!CT7</f>
        <v>1200</v>
      </c>
      <c r="BW7" s="28">
        <v>1200</v>
      </c>
      <c r="BX7" s="59">
        <f t="shared" si="53"/>
        <v>0</v>
      </c>
      <c r="BY7" s="57">
        <f>' WIP '!CX7</f>
        <v>1100</v>
      </c>
      <c r="BZ7" s="58">
        <v>1100</v>
      </c>
      <c r="CA7" s="59">
        <f t="shared" si="54"/>
        <v>0</v>
      </c>
      <c r="CB7" s="57">
        <f>' WIP '!DB7</f>
        <v>400</v>
      </c>
      <c r="CC7" s="58">
        <v>400</v>
      </c>
      <c r="CD7" s="59">
        <f t="shared" si="55"/>
        <v>0</v>
      </c>
      <c r="CE7" s="57">
        <f>' WIP '!DF7</f>
        <v>2000</v>
      </c>
      <c r="CF7" s="58">
        <v>1000</v>
      </c>
      <c r="CG7" s="59">
        <f t="shared" si="56"/>
        <v>1000</v>
      </c>
      <c r="CH7" s="57">
        <f>' WIP '!DJ7</f>
        <v>600</v>
      </c>
      <c r="CI7" s="58">
        <v>900</v>
      </c>
      <c r="CJ7" s="59">
        <f t="shared" si="57"/>
        <v>700</v>
      </c>
      <c r="CK7" s="57">
        <f>' WIP '!DN7</f>
        <v>0</v>
      </c>
      <c r="CL7" s="58">
        <v>0</v>
      </c>
      <c r="CM7" s="59">
        <f t="shared" si="58"/>
        <v>700</v>
      </c>
      <c r="CN7" s="57">
        <f>' WIP '!DR7</f>
        <v>0</v>
      </c>
      <c r="CO7" s="57"/>
      <c r="CP7" s="59">
        <f t="shared" si="59"/>
        <v>700</v>
      </c>
      <c r="CQ7" s="57">
        <f>' WIP '!DV7</f>
        <v>0</v>
      </c>
      <c r="CR7" s="58"/>
      <c r="CS7" s="59">
        <f t="shared" si="60"/>
        <v>700</v>
      </c>
      <c r="CT7" s="31">
        <f t="shared" si="61"/>
        <v>13700</v>
      </c>
      <c r="CU7" s="4">
        <f t="shared" si="62"/>
        <v>13000</v>
      </c>
      <c r="CV7" s="5">
        <f>D7*'MASTER SHEET'!D7</f>
        <v>0</v>
      </c>
      <c r="CW7" s="5">
        <f>G7*'MASTER SHEET'!D7</f>
        <v>0</v>
      </c>
      <c r="CX7" s="5">
        <f>J7*'MASTER SHEET'!D7</f>
        <v>26030</v>
      </c>
      <c r="CY7" s="5">
        <f>M7*'MASTER SHEET'!D7</f>
        <v>26030</v>
      </c>
      <c r="CZ7" s="5">
        <f>P7*'MASTER SHEET'!D7</f>
        <v>0</v>
      </c>
      <c r="DA7" s="5">
        <f>S7*'MASTER SHEET'!D7</f>
        <v>13015</v>
      </c>
      <c r="DB7" s="5">
        <f>V7*'MASTER SHEET'!D7</f>
        <v>13015</v>
      </c>
      <c r="DC7" s="5">
        <f>Y7*'MASTER SHEET'!D7</f>
        <v>15618</v>
      </c>
      <c r="DD7" s="5">
        <f>AB7*'MASTER SHEET'!D7</f>
        <v>13015</v>
      </c>
      <c r="DE7" s="5">
        <f>AE7*'MASTER SHEET'!D7</f>
        <v>13015</v>
      </c>
      <c r="DF7" s="5">
        <f>AH7*'MASTER SHEET'!D7</f>
        <v>13015</v>
      </c>
      <c r="DG7" s="5">
        <f>AK7*'MASTER SHEET'!D7</f>
        <v>7809</v>
      </c>
      <c r="DH7" s="5">
        <f>AN7*'MASTER SHEET'!D7</f>
        <v>7809</v>
      </c>
      <c r="DI7" s="5">
        <f>AQ7*'MASTER SHEET'!D7</f>
        <v>5206</v>
      </c>
      <c r="DJ7" s="5">
        <f>AT7*'MASTER SHEET'!D7</f>
        <v>0</v>
      </c>
      <c r="DK7" s="5">
        <f>AW7*'MASTER SHEET'!D7</f>
        <v>2603</v>
      </c>
      <c r="DL7" s="5">
        <f>AZ7*'MASTER SHEET'!D7</f>
        <v>0</v>
      </c>
      <c r="DM7" s="5">
        <f>BC7*'MASTER SHEET'!D7</f>
        <v>0</v>
      </c>
      <c r="DN7" s="5">
        <f>BF7*'MASTER SHEET'!D7</f>
        <v>0</v>
      </c>
      <c r="DO7" s="5">
        <f>BI7*'MASTER SHEET'!D7</f>
        <v>0</v>
      </c>
      <c r="DP7" s="5">
        <f>BL7*'MASTER SHEET'!D7</f>
        <v>0</v>
      </c>
      <c r="DQ7" s="5">
        <f>BO7*'MASTER SHEET'!D7</f>
        <v>0</v>
      </c>
      <c r="DR7" s="5">
        <f>BR7*'MASTER SHEET'!D7</f>
        <v>0</v>
      </c>
      <c r="DS7" s="5">
        <f>BU7*'MASTER SHEET'!D7</f>
        <v>0</v>
      </c>
      <c r="DT7" s="5">
        <f>BX7*'MASTER SHEET'!D7</f>
        <v>0</v>
      </c>
      <c r="DU7" s="5">
        <f>CA7*'MASTER SHEET'!D7</f>
        <v>0</v>
      </c>
      <c r="DV7" s="5">
        <f>CD7*'MASTER SHEET'!D7</f>
        <v>0</v>
      </c>
      <c r="DW7" s="5">
        <f>CG7*'MASTER SHEET'!D7</f>
        <v>26030</v>
      </c>
      <c r="DX7" s="5">
        <f>CJ7*'MASTER SHEET'!D7</f>
        <v>18221</v>
      </c>
      <c r="DY7" s="5">
        <f>CM7*'MASTER SHEET'!D7</f>
        <v>18221</v>
      </c>
      <c r="DZ7" s="5">
        <f>CP7*'MASTER SHEET'!D7</f>
        <v>18221</v>
      </c>
      <c r="EA7" s="5">
        <f>CS7*'MASTER SHEET'!D7</f>
        <v>18221</v>
      </c>
      <c r="EB7" s="143">
        <f>VLOOKUP($C7,'[1]GREEN LEV.₹'!$I$2:$K$54,3,0)</f>
        <v>1000</v>
      </c>
    </row>
    <row r="8" spans="1:132" ht="15.75" x14ac:dyDescent="0.25">
      <c r="A8" s="25">
        <f>'MASTER SHEET'!A8</f>
        <v>6</v>
      </c>
      <c r="B8" s="26" t="str">
        <f>'MASTER SHEET'!B8</f>
        <v>END PLATE PLASTIC</v>
      </c>
      <c r="C8" s="27">
        <f>'MASTER SHEET'!C8</f>
        <v>5011769</v>
      </c>
      <c r="D8" s="56">
        <v>900</v>
      </c>
      <c r="E8" s="57">
        <f>' WIP '!F8</f>
        <v>1200</v>
      </c>
      <c r="F8" s="58">
        <v>2100</v>
      </c>
      <c r="G8" s="59">
        <f t="shared" si="30"/>
        <v>0</v>
      </c>
      <c r="H8" s="57">
        <f>' WIP '!J8</f>
        <v>0</v>
      </c>
      <c r="I8" s="58">
        <v>0</v>
      </c>
      <c r="J8" s="59">
        <f t="shared" si="31"/>
        <v>0</v>
      </c>
      <c r="K8" s="57">
        <f>' WIP '!N8</f>
        <v>0</v>
      </c>
      <c r="L8" s="58"/>
      <c r="M8" s="59">
        <f t="shared" si="32"/>
        <v>0</v>
      </c>
      <c r="N8" s="57">
        <f>' WIP '!R8</f>
        <v>300</v>
      </c>
      <c r="O8" s="58">
        <v>300</v>
      </c>
      <c r="P8" s="59">
        <f t="shared" si="33"/>
        <v>0</v>
      </c>
      <c r="Q8" s="57">
        <f>' WIP '!V8</f>
        <v>3000</v>
      </c>
      <c r="R8" s="58">
        <v>3000</v>
      </c>
      <c r="S8" s="59">
        <f t="shared" si="34"/>
        <v>0</v>
      </c>
      <c r="T8" s="57">
        <f>' WIP '!Z8</f>
        <v>0</v>
      </c>
      <c r="U8" s="58">
        <v>0</v>
      </c>
      <c r="V8" s="59">
        <f t="shared" si="35"/>
        <v>0</v>
      </c>
      <c r="W8" s="57">
        <f>' WIP '!AD8</f>
        <v>3000</v>
      </c>
      <c r="X8" s="58">
        <v>3000</v>
      </c>
      <c r="Y8" s="59">
        <f t="shared" si="36"/>
        <v>0</v>
      </c>
      <c r="Z8" s="57">
        <f>' WIP '!AH8</f>
        <v>2100</v>
      </c>
      <c r="AA8" s="58">
        <v>2100</v>
      </c>
      <c r="AB8" s="59">
        <f t="shared" si="37"/>
        <v>0</v>
      </c>
      <c r="AC8" s="57">
        <f>' WIP '!AL8</f>
        <v>8400</v>
      </c>
      <c r="AD8" s="58">
        <v>1800</v>
      </c>
      <c r="AE8" s="59">
        <f t="shared" si="38"/>
        <v>6600</v>
      </c>
      <c r="AF8" s="57">
        <f>' WIP '!AP8</f>
        <v>0</v>
      </c>
      <c r="AG8" s="114">
        <v>2100</v>
      </c>
      <c r="AH8" s="59">
        <f t="shared" si="39"/>
        <v>4500</v>
      </c>
      <c r="AI8" s="57">
        <f>' WIP '!AT8</f>
        <v>0</v>
      </c>
      <c r="AJ8" s="58">
        <v>1500</v>
      </c>
      <c r="AK8" s="59">
        <f t="shared" si="40"/>
        <v>3000</v>
      </c>
      <c r="AL8" s="57">
        <f>' WIP '!AX8</f>
        <v>0</v>
      </c>
      <c r="AM8" s="58"/>
      <c r="AN8" s="59">
        <f t="shared" si="41"/>
        <v>3000</v>
      </c>
      <c r="AO8" s="57">
        <f>' WIP '!BB8</f>
        <v>0</v>
      </c>
      <c r="AP8" s="58">
        <v>2100</v>
      </c>
      <c r="AQ8" s="59">
        <f t="shared" si="42"/>
        <v>900</v>
      </c>
      <c r="AR8" s="57">
        <f>' WIP '!BF8</f>
        <v>7500</v>
      </c>
      <c r="AS8" s="58">
        <v>8400</v>
      </c>
      <c r="AT8" s="59">
        <f t="shared" si="43"/>
        <v>0</v>
      </c>
      <c r="AU8" s="57">
        <f>' WIP '!BJ8</f>
        <v>2100</v>
      </c>
      <c r="AV8" s="58">
        <v>0</v>
      </c>
      <c r="AW8" s="59">
        <f t="shared" si="44"/>
        <v>2100</v>
      </c>
      <c r="AX8" s="57">
        <f>' WIP '!BN8</f>
        <v>1200</v>
      </c>
      <c r="AY8" s="58">
        <v>3300</v>
      </c>
      <c r="AZ8" s="59">
        <f t="shared" si="45"/>
        <v>0</v>
      </c>
      <c r="BA8" s="57">
        <f>' WIP '!BR8</f>
        <v>0</v>
      </c>
      <c r="BB8" s="58">
        <v>0</v>
      </c>
      <c r="BC8" s="59">
        <f t="shared" si="46"/>
        <v>0</v>
      </c>
      <c r="BD8" s="57">
        <f>' WIP '!BV8</f>
        <v>0</v>
      </c>
      <c r="BE8" s="58">
        <v>0</v>
      </c>
      <c r="BF8" s="59">
        <f t="shared" si="47"/>
        <v>0</v>
      </c>
      <c r="BG8" s="57">
        <f>' WIP '!BZ8</f>
        <v>0</v>
      </c>
      <c r="BH8" s="58"/>
      <c r="BI8" s="59">
        <f t="shared" si="48"/>
        <v>0</v>
      </c>
      <c r="BJ8" s="57">
        <f>' WIP '!CD8</f>
        <v>0</v>
      </c>
      <c r="BK8" s="58">
        <v>0</v>
      </c>
      <c r="BL8" s="59">
        <f t="shared" si="49"/>
        <v>0</v>
      </c>
      <c r="BM8" s="57">
        <f>' WIP '!CH8</f>
        <v>0</v>
      </c>
      <c r="BN8" s="58">
        <v>0</v>
      </c>
      <c r="BO8" s="59">
        <f t="shared" si="50"/>
        <v>0</v>
      </c>
      <c r="BP8" s="57">
        <f>' WIP '!CL8</f>
        <v>3000</v>
      </c>
      <c r="BQ8" s="58">
        <v>3000</v>
      </c>
      <c r="BR8" s="59">
        <f t="shared" si="51"/>
        <v>0</v>
      </c>
      <c r="BS8" s="57">
        <f>' WIP '!CP8</f>
        <v>300</v>
      </c>
      <c r="BT8" s="58">
        <v>300</v>
      </c>
      <c r="BU8" s="59">
        <f t="shared" si="52"/>
        <v>0</v>
      </c>
      <c r="BV8" s="57">
        <f>' WIP '!CT8</f>
        <v>1200</v>
      </c>
      <c r="BW8" s="28">
        <v>0</v>
      </c>
      <c r="BX8" s="59">
        <f t="shared" si="53"/>
        <v>1200</v>
      </c>
      <c r="BY8" s="57">
        <f>' WIP '!CX8</f>
        <v>1200</v>
      </c>
      <c r="BZ8" s="58">
        <v>2400</v>
      </c>
      <c r="CA8" s="59">
        <f t="shared" si="54"/>
        <v>0</v>
      </c>
      <c r="CB8" s="57">
        <f>' WIP '!DB8</f>
        <v>0</v>
      </c>
      <c r="CC8" s="58">
        <v>0</v>
      </c>
      <c r="CD8" s="59">
        <f t="shared" si="55"/>
        <v>0</v>
      </c>
      <c r="CE8" s="57">
        <f>' WIP '!DF8</f>
        <v>2100</v>
      </c>
      <c r="CF8" s="58">
        <v>2100</v>
      </c>
      <c r="CG8" s="59">
        <f t="shared" si="56"/>
        <v>0</v>
      </c>
      <c r="CH8" s="57">
        <f>' WIP '!DJ8</f>
        <v>5100</v>
      </c>
      <c r="CI8" s="58">
        <v>3300</v>
      </c>
      <c r="CJ8" s="59">
        <f t="shared" si="57"/>
        <v>1800</v>
      </c>
      <c r="CK8" s="57">
        <f>' WIP '!DN8</f>
        <v>496</v>
      </c>
      <c r="CL8" s="58">
        <v>0</v>
      </c>
      <c r="CM8" s="59">
        <f t="shared" si="58"/>
        <v>2296</v>
      </c>
      <c r="CN8" s="57">
        <f>' WIP '!DR8</f>
        <v>0</v>
      </c>
      <c r="CO8" s="57"/>
      <c r="CP8" s="59">
        <f t="shared" si="59"/>
        <v>2296</v>
      </c>
      <c r="CQ8" s="57">
        <f>' WIP '!DV8</f>
        <v>0</v>
      </c>
      <c r="CR8" s="58"/>
      <c r="CS8" s="59">
        <f t="shared" si="60"/>
        <v>2296</v>
      </c>
      <c r="CT8" s="31">
        <f t="shared" si="61"/>
        <v>43096</v>
      </c>
      <c r="CU8" s="4">
        <f t="shared" si="62"/>
        <v>40800</v>
      </c>
      <c r="CV8" s="5">
        <f>D8*'MASTER SHEET'!D8</f>
        <v>10656</v>
      </c>
      <c r="CW8" s="5">
        <f>G8*'MASTER SHEET'!D8</f>
        <v>0</v>
      </c>
      <c r="CX8" s="5">
        <f>J8*'MASTER SHEET'!D8</f>
        <v>0</v>
      </c>
      <c r="CY8" s="5">
        <f>M8*'MASTER SHEET'!D8</f>
        <v>0</v>
      </c>
      <c r="CZ8" s="5">
        <f>P8*'MASTER SHEET'!D8</f>
        <v>0</v>
      </c>
      <c r="DA8" s="5">
        <f>S8*'MASTER SHEET'!D8</f>
        <v>0</v>
      </c>
      <c r="DB8" s="5">
        <f>V8*'MASTER SHEET'!D8</f>
        <v>0</v>
      </c>
      <c r="DC8" s="5">
        <f>Y8*'MASTER SHEET'!D8</f>
        <v>0</v>
      </c>
      <c r="DD8" s="5">
        <f>AB8*'MASTER SHEET'!D8</f>
        <v>0</v>
      </c>
      <c r="DE8" s="5">
        <f>AE8*'MASTER SHEET'!D8</f>
        <v>78144</v>
      </c>
      <c r="DF8" s="5">
        <f>AH8*'MASTER SHEET'!D8</f>
        <v>53280</v>
      </c>
      <c r="DG8" s="5">
        <f>AK8*'MASTER SHEET'!D8</f>
        <v>35520</v>
      </c>
      <c r="DH8" s="5">
        <f>AN8*'MASTER SHEET'!D8</f>
        <v>35520</v>
      </c>
      <c r="DI8" s="5">
        <f>AQ8*'MASTER SHEET'!D8</f>
        <v>10656</v>
      </c>
      <c r="DJ8" s="5">
        <f>AT8*'MASTER SHEET'!D8</f>
        <v>0</v>
      </c>
      <c r="DK8" s="5">
        <f>AW8*'MASTER SHEET'!D8</f>
        <v>24864</v>
      </c>
      <c r="DL8" s="5">
        <f>AZ8*'MASTER SHEET'!D8</f>
        <v>0</v>
      </c>
      <c r="DM8" s="5">
        <f>BC8*'MASTER SHEET'!D8</f>
        <v>0</v>
      </c>
      <c r="DN8" s="5">
        <f>BF8*'MASTER SHEET'!D8</f>
        <v>0</v>
      </c>
      <c r="DO8" s="5">
        <f>BI8*'MASTER SHEET'!D8</f>
        <v>0</v>
      </c>
      <c r="DP8" s="5">
        <f>BL8*'MASTER SHEET'!D8</f>
        <v>0</v>
      </c>
      <c r="DQ8" s="5">
        <f>BO8*'MASTER SHEET'!D8</f>
        <v>0</v>
      </c>
      <c r="DR8" s="5">
        <f>BR8*'MASTER SHEET'!D8</f>
        <v>0</v>
      </c>
      <c r="DS8" s="5">
        <f>BU8*'MASTER SHEET'!D8</f>
        <v>0</v>
      </c>
      <c r="DT8" s="5">
        <f>BX8*'MASTER SHEET'!D8</f>
        <v>14208</v>
      </c>
      <c r="DU8" s="5">
        <f>CA8*'MASTER SHEET'!D8</f>
        <v>0</v>
      </c>
      <c r="DV8" s="5">
        <f>CD8*'MASTER SHEET'!D8</f>
        <v>0</v>
      </c>
      <c r="DW8" s="5">
        <f>CG8*'MASTER SHEET'!D8</f>
        <v>0</v>
      </c>
      <c r="DX8" s="5">
        <f>CJ8*'MASTER SHEET'!D8</f>
        <v>21312</v>
      </c>
      <c r="DY8" s="5">
        <f>CM8*'MASTER SHEET'!D8</f>
        <v>27184.639999999999</v>
      </c>
      <c r="DZ8" s="5">
        <f>CP8*'MASTER SHEET'!D8</f>
        <v>27184.639999999999</v>
      </c>
      <c r="EA8" s="5">
        <f>CS8*'MASTER SHEET'!D8</f>
        <v>27184.639999999999</v>
      </c>
      <c r="EB8" s="143">
        <f>VLOOKUP($C8,'[1]GREEN LEV.₹'!$I$2:$K$54,3,0)</f>
        <v>3000</v>
      </c>
    </row>
    <row r="9" spans="1:132" ht="15.75" x14ac:dyDescent="0.25">
      <c r="A9" s="25">
        <f>'MASTER SHEET'!A9</f>
        <v>7</v>
      </c>
      <c r="B9" s="26" t="str">
        <f>'MASTER SHEET'!B9</f>
        <v>LID HOUSING</v>
      </c>
      <c r="C9" s="27">
        <f>'MASTER SHEET'!C9</f>
        <v>5013518</v>
      </c>
      <c r="D9" s="56">
        <v>0</v>
      </c>
      <c r="E9" s="57">
        <f>' WIP '!F9</f>
        <v>0</v>
      </c>
      <c r="F9" s="58">
        <v>0</v>
      </c>
      <c r="G9" s="59">
        <f t="shared" si="30"/>
        <v>0</v>
      </c>
      <c r="H9" s="57">
        <f>' WIP '!J9</f>
        <v>0</v>
      </c>
      <c r="I9" s="58">
        <v>0</v>
      </c>
      <c r="J9" s="59">
        <f t="shared" si="31"/>
        <v>0</v>
      </c>
      <c r="K9" s="57">
        <f>' WIP '!N9</f>
        <v>0</v>
      </c>
      <c r="L9" s="58"/>
      <c r="M9" s="59">
        <f t="shared" si="32"/>
        <v>0</v>
      </c>
      <c r="N9" s="57">
        <f>' WIP '!R9</f>
        <v>0</v>
      </c>
      <c r="O9" s="58">
        <v>0</v>
      </c>
      <c r="P9" s="59">
        <f t="shared" si="33"/>
        <v>0</v>
      </c>
      <c r="Q9" s="57">
        <f>' WIP '!V9</f>
        <v>0</v>
      </c>
      <c r="R9" s="58">
        <v>0</v>
      </c>
      <c r="S9" s="59">
        <f t="shared" si="34"/>
        <v>0</v>
      </c>
      <c r="T9" s="57">
        <f>' WIP '!Z9</f>
        <v>0</v>
      </c>
      <c r="U9" s="58">
        <v>0</v>
      </c>
      <c r="V9" s="59">
        <f t="shared" si="35"/>
        <v>0</v>
      </c>
      <c r="W9" s="57">
        <f>' WIP '!AD9</f>
        <v>0</v>
      </c>
      <c r="X9" s="58">
        <v>0</v>
      </c>
      <c r="Y9" s="59">
        <f t="shared" si="36"/>
        <v>0</v>
      </c>
      <c r="Z9" s="57">
        <f>' WIP '!AH9</f>
        <v>0</v>
      </c>
      <c r="AA9" s="58">
        <v>0</v>
      </c>
      <c r="AB9" s="59">
        <f t="shared" si="37"/>
        <v>0</v>
      </c>
      <c r="AC9" s="57">
        <f>' WIP '!AL9</f>
        <v>0</v>
      </c>
      <c r="AD9" s="58">
        <v>0</v>
      </c>
      <c r="AE9" s="59">
        <f t="shared" si="38"/>
        <v>0</v>
      </c>
      <c r="AF9" s="57">
        <f>' WIP '!AP9</f>
        <v>0</v>
      </c>
      <c r="AG9" s="114">
        <v>0</v>
      </c>
      <c r="AH9" s="59">
        <f t="shared" si="39"/>
        <v>0</v>
      </c>
      <c r="AI9" s="57">
        <f>' WIP '!AT9</f>
        <v>0</v>
      </c>
      <c r="AJ9" s="58">
        <v>0</v>
      </c>
      <c r="AK9" s="59">
        <f t="shared" si="40"/>
        <v>0</v>
      </c>
      <c r="AL9" s="57">
        <f>' WIP '!AX9</f>
        <v>0</v>
      </c>
      <c r="AM9" s="58"/>
      <c r="AN9" s="59">
        <f t="shared" si="41"/>
        <v>0</v>
      </c>
      <c r="AO9" s="57">
        <f>' WIP '!BB9</f>
        <v>0</v>
      </c>
      <c r="AP9" s="58">
        <v>0</v>
      </c>
      <c r="AQ9" s="59">
        <f t="shared" si="42"/>
        <v>0</v>
      </c>
      <c r="AR9" s="57">
        <f>' WIP '!BF9</f>
        <v>0</v>
      </c>
      <c r="AS9" s="58">
        <v>0</v>
      </c>
      <c r="AT9" s="59">
        <f t="shared" si="43"/>
        <v>0</v>
      </c>
      <c r="AU9" s="57">
        <f>' WIP '!BJ9</f>
        <v>600</v>
      </c>
      <c r="AV9" s="58">
        <v>600</v>
      </c>
      <c r="AW9" s="59">
        <f t="shared" si="44"/>
        <v>0</v>
      </c>
      <c r="AX9" s="57">
        <f>' WIP '!BN9</f>
        <v>0</v>
      </c>
      <c r="AY9" s="58">
        <v>0</v>
      </c>
      <c r="AZ9" s="59">
        <f t="shared" si="45"/>
        <v>0</v>
      </c>
      <c r="BA9" s="57">
        <f>' WIP '!BR9</f>
        <v>0</v>
      </c>
      <c r="BB9" s="58">
        <v>0</v>
      </c>
      <c r="BC9" s="59">
        <f t="shared" si="46"/>
        <v>0</v>
      </c>
      <c r="BD9" s="57">
        <f>' WIP '!BV9</f>
        <v>0</v>
      </c>
      <c r="BE9" s="58">
        <v>0</v>
      </c>
      <c r="BF9" s="59">
        <f t="shared" si="47"/>
        <v>0</v>
      </c>
      <c r="BG9" s="57">
        <f>' WIP '!BZ9</f>
        <v>0</v>
      </c>
      <c r="BH9" s="58"/>
      <c r="BI9" s="59">
        <f t="shared" si="48"/>
        <v>0</v>
      </c>
      <c r="BJ9" s="57">
        <f>' WIP '!CD9</f>
        <v>400</v>
      </c>
      <c r="BK9" s="58">
        <v>400</v>
      </c>
      <c r="BL9" s="59">
        <f t="shared" si="49"/>
        <v>0</v>
      </c>
      <c r="BM9" s="57">
        <f>' WIP '!CH9</f>
        <v>0</v>
      </c>
      <c r="BN9" s="58">
        <v>0</v>
      </c>
      <c r="BO9" s="59">
        <f t="shared" si="50"/>
        <v>0</v>
      </c>
      <c r="BP9" s="57">
        <f>' WIP '!CL9</f>
        <v>950</v>
      </c>
      <c r="BQ9" s="58">
        <v>950</v>
      </c>
      <c r="BR9" s="59">
        <f t="shared" si="51"/>
        <v>0</v>
      </c>
      <c r="BS9" s="57">
        <f>' WIP '!CP9</f>
        <v>300</v>
      </c>
      <c r="BT9" s="58">
        <v>250</v>
      </c>
      <c r="BU9" s="59">
        <f t="shared" si="52"/>
        <v>50</v>
      </c>
      <c r="BV9" s="57">
        <f>' WIP '!CT9</f>
        <v>0</v>
      </c>
      <c r="BW9" s="28">
        <v>50</v>
      </c>
      <c r="BX9" s="59">
        <f t="shared" si="53"/>
        <v>0</v>
      </c>
      <c r="BY9" s="57">
        <f>' WIP '!CX9</f>
        <v>0</v>
      </c>
      <c r="BZ9" s="58">
        <v>0</v>
      </c>
      <c r="CA9" s="59">
        <f t="shared" si="54"/>
        <v>0</v>
      </c>
      <c r="CB9" s="57">
        <f>' WIP '!DB9</f>
        <v>0</v>
      </c>
      <c r="CC9" s="58">
        <v>0</v>
      </c>
      <c r="CD9" s="59">
        <f t="shared" si="55"/>
        <v>0</v>
      </c>
      <c r="CE9" s="57">
        <f>' WIP '!DF9</f>
        <v>0</v>
      </c>
      <c r="CF9" s="58">
        <v>0</v>
      </c>
      <c r="CG9" s="59">
        <f t="shared" si="56"/>
        <v>0</v>
      </c>
      <c r="CH9" s="57">
        <f>' WIP '!DJ9</f>
        <v>0</v>
      </c>
      <c r="CI9" s="58">
        <v>0</v>
      </c>
      <c r="CJ9" s="59">
        <f t="shared" si="57"/>
        <v>0</v>
      </c>
      <c r="CK9" s="57">
        <f>' WIP '!DN9</f>
        <v>600</v>
      </c>
      <c r="CL9" s="58">
        <v>0</v>
      </c>
      <c r="CM9" s="59">
        <f t="shared" si="58"/>
        <v>600</v>
      </c>
      <c r="CN9" s="57">
        <f>' WIP '!DR9</f>
        <v>0</v>
      </c>
      <c r="CO9" s="57"/>
      <c r="CP9" s="59">
        <f t="shared" si="59"/>
        <v>600</v>
      </c>
      <c r="CQ9" s="57">
        <f>' WIP '!DV9</f>
        <v>0</v>
      </c>
      <c r="CR9" s="58"/>
      <c r="CS9" s="59">
        <f t="shared" si="60"/>
        <v>600</v>
      </c>
      <c r="CT9" s="31">
        <f t="shared" si="61"/>
        <v>2850</v>
      </c>
      <c r="CU9" s="4">
        <f t="shared" si="62"/>
        <v>2250</v>
      </c>
      <c r="CV9" s="5">
        <f>D9*'MASTER SHEET'!D9</f>
        <v>0</v>
      </c>
      <c r="CW9" s="5">
        <f>G9*'MASTER SHEET'!D9</f>
        <v>0</v>
      </c>
      <c r="CX9" s="5">
        <f>J9*'MASTER SHEET'!D9</f>
        <v>0</v>
      </c>
      <c r="CY9" s="5">
        <f>M9*'MASTER SHEET'!D9</f>
        <v>0</v>
      </c>
      <c r="CZ9" s="5">
        <f>P9*'MASTER SHEET'!D9</f>
        <v>0</v>
      </c>
      <c r="DA9" s="5">
        <f>S9*'MASTER SHEET'!D9</f>
        <v>0</v>
      </c>
      <c r="DB9" s="5">
        <f>V9*'MASTER SHEET'!D9</f>
        <v>0</v>
      </c>
      <c r="DC9" s="5">
        <f>Y9*'MASTER SHEET'!D9</f>
        <v>0</v>
      </c>
      <c r="DD9" s="5">
        <f>AB9*'MASTER SHEET'!D9</f>
        <v>0</v>
      </c>
      <c r="DE9" s="5">
        <f>AE9*'MASTER SHEET'!D9</f>
        <v>0</v>
      </c>
      <c r="DF9" s="5">
        <f>AH9*'MASTER SHEET'!D9</f>
        <v>0</v>
      </c>
      <c r="DG9" s="5">
        <f>AK9*'MASTER SHEET'!D9</f>
        <v>0</v>
      </c>
      <c r="DH9" s="5">
        <f>AN9*'MASTER SHEET'!D9</f>
        <v>0</v>
      </c>
      <c r="DI9" s="5">
        <f>AQ9*'MASTER SHEET'!D9</f>
        <v>0</v>
      </c>
      <c r="DJ9" s="5">
        <f>AT9*'MASTER SHEET'!D9</f>
        <v>0</v>
      </c>
      <c r="DK9" s="5">
        <f>AW9*'MASTER SHEET'!D9</f>
        <v>0</v>
      </c>
      <c r="DL9" s="5">
        <f>AZ9*'MASTER SHEET'!D9</f>
        <v>0</v>
      </c>
      <c r="DM9" s="5">
        <f>BC9*'MASTER SHEET'!D9</f>
        <v>0</v>
      </c>
      <c r="DN9" s="5">
        <f>BF9*'MASTER SHEET'!D9</f>
        <v>0</v>
      </c>
      <c r="DO9" s="5">
        <f>BI9*'MASTER SHEET'!D9</f>
        <v>0</v>
      </c>
      <c r="DP9" s="5">
        <f>BL9*'MASTER SHEET'!D9</f>
        <v>0</v>
      </c>
      <c r="DQ9" s="5">
        <f>BO9*'MASTER SHEET'!D9</f>
        <v>0</v>
      </c>
      <c r="DR9" s="5">
        <f>BR9*'MASTER SHEET'!D9</f>
        <v>0</v>
      </c>
      <c r="DS9" s="5">
        <f>BU9*'MASTER SHEET'!D9</f>
        <v>2073.5</v>
      </c>
      <c r="DT9" s="5">
        <f>BX9*'MASTER SHEET'!D9</f>
        <v>0</v>
      </c>
      <c r="DU9" s="5">
        <f>CA9*'MASTER SHEET'!D9</f>
        <v>0</v>
      </c>
      <c r="DV9" s="5">
        <f>CD9*'MASTER SHEET'!D9</f>
        <v>0</v>
      </c>
      <c r="DW9" s="5">
        <f>CG9*'MASTER SHEET'!D9</f>
        <v>0</v>
      </c>
      <c r="DX9" s="5">
        <f>CJ9*'MASTER SHEET'!D9</f>
        <v>0</v>
      </c>
      <c r="DY9" s="5">
        <f>CM9*'MASTER SHEET'!D9</f>
        <v>24882</v>
      </c>
      <c r="DZ9" s="5">
        <f>CP9*'MASTER SHEET'!D9</f>
        <v>24882</v>
      </c>
      <c r="EA9" s="5">
        <f>CS9*'MASTER SHEET'!D9</f>
        <v>24882</v>
      </c>
      <c r="EB9" s="143">
        <f>VLOOKUP($C9,'[1]GREEN LEV.₹'!$I$2:$K$54,3,0)</f>
        <v>2500</v>
      </c>
    </row>
    <row r="10" spans="1:132" ht="15.75" x14ac:dyDescent="0.25">
      <c r="A10" s="25">
        <f>'MASTER SHEET'!A10</f>
        <v>8</v>
      </c>
      <c r="B10" s="26" t="str">
        <f>'MASTER SHEET'!B10</f>
        <v>LID HOUSING</v>
      </c>
      <c r="C10" s="27">
        <f>'MASTER SHEET'!C10</f>
        <v>5013520</v>
      </c>
      <c r="D10" s="56">
        <v>0</v>
      </c>
      <c r="E10" s="57">
        <f>' WIP '!F10</f>
        <v>1400</v>
      </c>
      <c r="F10" s="58">
        <v>1400</v>
      </c>
      <c r="G10" s="59">
        <f t="shared" si="30"/>
        <v>0</v>
      </c>
      <c r="H10" s="57">
        <f>' WIP '!J10</f>
        <v>0</v>
      </c>
      <c r="I10" s="58">
        <v>0</v>
      </c>
      <c r="J10" s="59">
        <f t="shared" si="31"/>
        <v>0</v>
      </c>
      <c r="K10" s="57">
        <f>' WIP '!N10</f>
        <v>0</v>
      </c>
      <c r="L10" s="58"/>
      <c r="M10" s="59">
        <f t="shared" si="32"/>
        <v>0</v>
      </c>
      <c r="N10" s="57">
        <f>' WIP '!R10</f>
        <v>0</v>
      </c>
      <c r="O10" s="58">
        <v>0</v>
      </c>
      <c r="P10" s="59">
        <f t="shared" si="33"/>
        <v>0</v>
      </c>
      <c r="Q10" s="57">
        <f>' WIP '!V10</f>
        <v>0</v>
      </c>
      <c r="R10" s="58">
        <v>0</v>
      </c>
      <c r="S10" s="59">
        <f t="shared" si="34"/>
        <v>0</v>
      </c>
      <c r="T10" s="57">
        <f>' WIP '!Z10</f>
        <v>0</v>
      </c>
      <c r="U10" s="58">
        <v>0</v>
      </c>
      <c r="V10" s="59">
        <f t="shared" si="35"/>
        <v>0</v>
      </c>
      <c r="W10" s="57">
        <f>' WIP '!AD10</f>
        <v>0</v>
      </c>
      <c r="X10" s="58">
        <v>0</v>
      </c>
      <c r="Y10" s="59">
        <f t="shared" si="36"/>
        <v>0</v>
      </c>
      <c r="Z10" s="57">
        <f>' WIP '!AH10</f>
        <v>0</v>
      </c>
      <c r="AA10" s="58">
        <v>0</v>
      </c>
      <c r="AB10" s="59">
        <f t="shared" si="37"/>
        <v>0</v>
      </c>
      <c r="AC10" s="57">
        <f>' WIP '!AL10</f>
        <v>0</v>
      </c>
      <c r="AD10" s="58">
        <v>0</v>
      </c>
      <c r="AE10" s="59">
        <f t="shared" si="38"/>
        <v>0</v>
      </c>
      <c r="AF10" s="57">
        <f>' WIP '!AP10</f>
        <v>0</v>
      </c>
      <c r="AG10" s="114">
        <v>0</v>
      </c>
      <c r="AH10" s="59">
        <f t="shared" si="39"/>
        <v>0</v>
      </c>
      <c r="AI10" s="57">
        <f>' WIP '!AT10</f>
        <v>0</v>
      </c>
      <c r="AJ10" s="58">
        <v>0</v>
      </c>
      <c r="AK10" s="59">
        <f t="shared" si="40"/>
        <v>0</v>
      </c>
      <c r="AL10" s="57">
        <f>' WIP '!AX10</f>
        <v>0</v>
      </c>
      <c r="AM10" s="58"/>
      <c r="AN10" s="59">
        <f t="shared" si="41"/>
        <v>0</v>
      </c>
      <c r="AO10" s="57">
        <f>' WIP '!BB10</f>
        <v>0</v>
      </c>
      <c r="AP10" s="58">
        <v>0</v>
      </c>
      <c r="AQ10" s="59">
        <f t="shared" si="42"/>
        <v>0</v>
      </c>
      <c r="AR10" s="57">
        <f>' WIP '!BF10</f>
        <v>0</v>
      </c>
      <c r="AS10" s="58">
        <v>0</v>
      </c>
      <c r="AT10" s="59">
        <f t="shared" si="43"/>
        <v>0</v>
      </c>
      <c r="AU10" s="57">
        <f>' WIP '!BJ10</f>
        <v>0</v>
      </c>
      <c r="AV10" s="58">
        <v>0</v>
      </c>
      <c r="AW10" s="59">
        <f t="shared" si="44"/>
        <v>0</v>
      </c>
      <c r="AX10" s="57">
        <f>' WIP '!BN10</f>
        <v>300</v>
      </c>
      <c r="AY10" s="58">
        <v>200</v>
      </c>
      <c r="AZ10" s="59">
        <f t="shared" si="45"/>
        <v>100</v>
      </c>
      <c r="BA10" s="57">
        <f>' WIP '!BR10</f>
        <v>550</v>
      </c>
      <c r="BB10" s="58">
        <v>650</v>
      </c>
      <c r="BC10" s="59">
        <f t="shared" si="46"/>
        <v>0</v>
      </c>
      <c r="BD10" s="57">
        <f>' WIP '!BV10</f>
        <v>0</v>
      </c>
      <c r="BE10" s="58">
        <v>0</v>
      </c>
      <c r="BF10" s="59">
        <f t="shared" si="47"/>
        <v>0</v>
      </c>
      <c r="BG10" s="57">
        <f>' WIP '!BZ10</f>
        <v>0</v>
      </c>
      <c r="BH10" s="58"/>
      <c r="BI10" s="59">
        <f t="shared" si="48"/>
        <v>0</v>
      </c>
      <c r="BJ10" s="57">
        <f>' WIP '!CD10</f>
        <v>0</v>
      </c>
      <c r="BK10" s="58">
        <v>0</v>
      </c>
      <c r="BL10" s="59">
        <f t="shared" si="49"/>
        <v>0</v>
      </c>
      <c r="BM10" s="57">
        <f>' WIP '!CH10</f>
        <v>0</v>
      </c>
      <c r="BN10" s="58">
        <v>0</v>
      </c>
      <c r="BO10" s="59">
        <f t="shared" si="50"/>
        <v>0</v>
      </c>
      <c r="BP10" s="57">
        <f>' WIP '!CL10</f>
        <v>1250</v>
      </c>
      <c r="BQ10" s="58">
        <v>750</v>
      </c>
      <c r="BR10" s="59">
        <f t="shared" si="51"/>
        <v>500</v>
      </c>
      <c r="BS10" s="57">
        <f>' WIP '!CP10</f>
        <v>550</v>
      </c>
      <c r="BT10" s="58">
        <v>550</v>
      </c>
      <c r="BU10" s="59">
        <f t="shared" si="52"/>
        <v>500</v>
      </c>
      <c r="BV10" s="57">
        <f>' WIP '!CT10</f>
        <v>500</v>
      </c>
      <c r="BW10" s="28">
        <v>100</v>
      </c>
      <c r="BX10" s="59">
        <f t="shared" si="53"/>
        <v>900</v>
      </c>
      <c r="BY10" s="57">
        <f>' WIP '!CX10</f>
        <v>0</v>
      </c>
      <c r="BZ10" s="58">
        <v>500</v>
      </c>
      <c r="CA10" s="59">
        <f t="shared" si="54"/>
        <v>400</v>
      </c>
      <c r="CB10" s="57">
        <f>' WIP '!DB10</f>
        <v>0</v>
      </c>
      <c r="CC10" s="58">
        <v>0</v>
      </c>
      <c r="CD10" s="59">
        <f t="shared" si="55"/>
        <v>400</v>
      </c>
      <c r="CE10" s="57">
        <f>' WIP '!DF10</f>
        <v>0</v>
      </c>
      <c r="CF10" s="58">
        <v>150</v>
      </c>
      <c r="CG10" s="59">
        <f t="shared" si="56"/>
        <v>250</v>
      </c>
      <c r="CH10" s="57">
        <f>' WIP '!DJ10</f>
        <v>0</v>
      </c>
      <c r="CI10" s="58">
        <v>0</v>
      </c>
      <c r="CJ10" s="59">
        <f t="shared" si="57"/>
        <v>250</v>
      </c>
      <c r="CK10" s="57">
        <f>' WIP '!DN10</f>
        <v>0</v>
      </c>
      <c r="CL10" s="58">
        <v>0</v>
      </c>
      <c r="CM10" s="59">
        <f t="shared" si="58"/>
        <v>250</v>
      </c>
      <c r="CN10" s="57">
        <f>' WIP '!DR10</f>
        <v>0</v>
      </c>
      <c r="CO10" s="57"/>
      <c r="CP10" s="59">
        <f t="shared" si="59"/>
        <v>250</v>
      </c>
      <c r="CQ10" s="57">
        <f>' WIP '!DV10</f>
        <v>0</v>
      </c>
      <c r="CR10" s="58"/>
      <c r="CS10" s="59">
        <f t="shared" si="60"/>
        <v>250</v>
      </c>
      <c r="CT10" s="31">
        <f t="shared" si="61"/>
        <v>4550</v>
      </c>
      <c r="CU10" s="4">
        <f t="shared" si="62"/>
        <v>4300</v>
      </c>
      <c r="CV10" s="5">
        <f>D10*'MASTER SHEET'!D10</f>
        <v>0</v>
      </c>
      <c r="CW10" s="5">
        <f>G10*'MASTER SHEET'!D10</f>
        <v>0</v>
      </c>
      <c r="CX10" s="5">
        <f>J10*'MASTER SHEET'!D10</f>
        <v>0</v>
      </c>
      <c r="CY10" s="5">
        <f>M10*'MASTER SHEET'!D10</f>
        <v>0</v>
      </c>
      <c r="CZ10" s="5">
        <f>P10*'MASTER SHEET'!D10</f>
        <v>0</v>
      </c>
      <c r="DA10" s="5">
        <f>S10*'MASTER SHEET'!D10</f>
        <v>0</v>
      </c>
      <c r="DB10" s="5">
        <f>V10*'MASTER SHEET'!D10</f>
        <v>0</v>
      </c>
      <c r="DC10" s="5">
        <f>Y10*'MASTER SHEET'!D10</f>
        <v>0</v>
      </c>
      <c r="DD10" s="5">
        <f>AB10*'MASTER SHEET'!D10</f>
        <v>0</v>
      </c>
      <c r="DE10" s="5">
        <f>AE10*'MASTER SHEET'!D10</f>
        <v>0</v>
      </c>
      <c r="DF10" s="5">
        <f>AH10*'MASTER SHEET'!D10</f>
        <v>0</v>
      </c>
      <c r="DG10" s="5">
        <f>AK10*'MASTER SHEET'!D10</f>
        <v>0</v>
      </c>
      <c r="DH10" s="5">
        <f>AN10*'MASTER SHEET'!D10</f>
        <v>0</v>
      </c>
      <c r="DI10" s="5">
        <f>AQ10*'MASTER SHEET'!D10</f>
        <v>0</v>
      </c>
      <c r="DJ10" s="5">
        <f>AT10*'MASTER SHEET'!D10</f>
        <v>0</v>
      </c>
      <c r="DK10" s="5">
        <f>AW10*'MASTER SHEET'!D10</f>
        <v>0</v>
      </c>
      <c r="DL10" s="5">
        <f>AZ10*'MASTER SHEET'!D10</f>
        <v>3904.9999999999995</v>
      </c>
      <c r="DM10" s="5">
        <f>BC10*'MASTER SHEET'!D10</f>
        <v>0</v>
      </c>
      <c r="DN10" s="5">
        <f>BF10*'MASTER SHEET'!D10</f>
        <v>0</v>
      </c>
      <c r="DO10" s="5">
        <f>BI10*'MASTER SHEET'!D10</f>
        <v>0</v>
      </c>
      <c r="DP10" s="5">
        <f>BL10*'MASTER SHEET'!D10</f>
        <v>0</v>
      </c>
      <c r="DQ10" s="5">
        <f>BO10*'MASTER SHEET'!D10</f>
        <v>0</v>
      </c>
      <c r="DR10" s="5">
        <f>BR10*'MASTER SHEET'!D10</f>
        <v>19525</v>
      </c>
      <c r="DS10" s="5">
        <f>BU10*'MASTER SHEET'!D10</f>
        <v>19525</v>
      </c>
      <c r="DT10" s="5">
        <f>BX10*'MASTER SHEET'!D10</f>
        <v>35145</v>
      </c>
      <c r="DU10" s="5">
        <f>CA10*'MASTER SHEET'!D10</f>
        <v>15619.999999999998</v>
      </c>
      <c r="DV10" s="5">
        <f>CD10*'MASTER SHEET'!D10</f>
        <v>15619.999999999998</v>
      </c>
      <c r="DW10" s="5">
        <f>CG10*'MASTER SHEET'!D10</f>
        <v>9762.5</v>
      </c>
      <c r="DX10" s="5">
        <f>CJ10*'MASTER SHEET'!D10</f>
        <v>9762.5</v>
      </c>
      <c r="DY10" s="5">
        <f>CM10*'MASTER SHEET'!D10</f>
        <v>9762.5</v>
      </c>
      <c r="DZ10" s="5">
        <f>CP10*'MASTER SHEET'!D10</f>
        <v>9762.5</v>
      </c>
      <c r="EA10" s="5">
        <f>CS10*'MASTER SHEET'!D10</f>
        <v>9762.5</v>
      </c>
      <c r="EB10" s="143">
        <f>VLOOKUP($C10,'[1]GREEN LEV.₹'!$I$2:$K$54,3,0)</f>
        <v>2500</v>
      </c>
    </row>
    <row r="11" spans="1:132" ht="15.75" x14ac:dyDescent="0.25">
      <c r="A11" s="25">
        <f>'MASTER SHEET'!A11</f>
        <v>9</v>
      </c>
      <c r="B11" s="26" t="str">
        <f>'MASTER SHEET'!B11</f>
        <v xml:space="preserve">ENDPLATE ASY, PLASTIC </v>
      </c>
      <c r="C11" s="27">
        <f>'MASTER SHEET'!C11</f>
        <v>5014445</v>
      </c>
      <c r="D11" s="56">
        <v>0</v>
      </c>
      <c r="E11" s="57">
        <f>' WIP '!F11</f>
        <v>0</v>
      </c>
      <c r="F11" s="58">
        <v>0</v>
      </c>
      <c r="G11" s="59">
        <f t="shared" si="30"/>
        <v>0</v>
      </c>
      <c r="H11" s="57">
        <f>' WIP '!J11</f>
        <v>600</v>
      </c>
      <c r="I11" s="58">
        <v>0</v>
      </c>
      <c r="J11" s="59">
        <f t="shared" si="31"/>
        <v>600</v>
      </c>
      <c r="K11" s="57">
        <f>' WIP '!N11</f>
        <v>0</v>
      </c>
      <c r="L11" s="58"/>
      <c r="M11" s="59">
        <f t="shared" si="32"/>
        <v>600</v>
      </c>
      <c r="N11" s="57">
        <f>' WIP '!R11</f>
        <v>1000</v>
      </c>
      <c r="O11" s="58">
        <v>1600</v>
      </c>
      <c r="P11" s="59">
        <f t="shared" si="33"/>
        <v>0</v>
      </c>
      <c r="Q11" s="57">
        <f>' WIP '!V11</f>
        <v>0</v>
      </c>
      <c r="R11" s="58">
        <v>0</v>
      </c>
      <c r="S11" s="59">
        <f t="shared" si="34"/>
        <v>0</v>
      </c>
      <c r="T11" s="57">
        <f>' WIP '!Z11</f>
        <v>300</v>
      </c>
      <c r="U11" s="58">
        <v>300</v>
      </c>
      <c r="V11" s="59">
        <f t="shared" si="35"/>
        <v>0</v>
      </c>
      <c r="W11" s="57">
        <f>' WIP '!AD11</f>
        <v>1600</v>
      </c>
      <c r="X11" s="58">
        <v>1600</v>
      </c>
      <c r="Y11" s="59">
        <f t="shared" si="36"/>
        <v>0</v>
      </c>
      <c r="Z11" s="57">
        <f>' WIP '!AH11</f>
        <v>700</v>
      </c>
      <c r="AA11" s="58">
        <v>700</v>
      </c>
      <c r="AB11" s="59">
        <f t="shared" si="37"/>
        <v>0</v>
      </c>
      <c r="AC11" s="57">
        <f>' WIP '!AL11</f>
        <v>1000</v>
      </c>
      <c r="AD11" s="58">
        <v>1000</v>
      </c>
      <c r="AE11" s="59">
        <f t="shared" si="38"/>
        <v>0</v>
      </c>
      <c r="AF11" s="57">
        <f>' WIP '!AP11</f>
        <v>2186</v>
      </c>
      <c r="AG11" s="114">
        <v>2186</v>
      </c>
      <c r="AH11" s="59">
        <f t="shared" si="39"/>
        <v>0</v>
      </c>
      <c r="AI11" s="57">
        <f>' WIP '!AT11</f>
        <v>2800</v>
      </c>
      <c r="AJ11" s="58">
        <v>2800</v>
      </c>
      <c r="AK11" s="59">
        <f t="shared" si="40"/>
        <v>0</v>
      </c>
      <c r="AL11" s="57">
        <f>' WIP '!AX11</f>
        <v>0</v>
      </c>
      <c r="AM11" s="58"/>
      <c r="AN11" s="59">
        <f t="shared" si="41"/>
        <v>0</v>
      </c>
      <c r="AO11" s="57">
        <f>' WIP '!BB11</f>
        <v>1900</v>
      </c>
      <c r="AP11" s="58">
        <v>1900</v>
      </c>
      <c r="AQ11" s="59">
        <f t="shared" si="42"/>
        <v>0</v>
      </c>
      <c r="AR11" s="57">
        <f>' WIP '!BF11</f>
        <v>500</v>
      </c>
      <c r="AS11" s="58">
        <v>500</v>
      </c>
      <c r="AT11" s="59">
        <f t="shared" si="43"/>
        <v>0</v>
      </c>
      <c r="AU11" s="57">
        <f>' WIP '!BJ11</f>
        <v>1000</v>
      </c>
      <c r="AV11" s="58">
        <v>1000</v>
      </c>
      <c r="AW11" s="59">
        <f t="shared" si="44"/>
        <v>0</v>
      </c>
      <c r="AX11" s="57">
        <f>' WIP '!BN11</f>
        <v>900</v>
      </c>
      <c r="AY11" s="58">
        <v>500</v>
      </c>
      <c r="AZ11" s="59">
        <f t="shared" si="45"/>
        <v>400</v>
      </c>
      <c r="BA11" s="57">
        <f>' WIP '!BR11</f>
        <v>1600</v>
      </c>
      <c r="BB11" s="58">
        <v>2000</v>
      </c>
      <c r="BC11" s="59">
        <f t="shared" si="46"/>
        <v>0</v>
      </c>
      <c r="BD11" s="57">
        <f>' WIP '!BV11</f>
        <v>1089</v>
      </c>
      <c r="BE11" s="58">
        <v>1089</v>
      </c>
      <c r="BF11" s="59">
        <f t="shared" si="47"/>
        <v>0</v>
      </c>
      <c r="BG11" s="57">
        <f>' WIP '!BZ11</f>
        <v>0</v>
      </c>
      <c r="BH11" s="58"/>
      <c r="BI11" s="59">
        <f t="shared" si="48"/>
        <v>0</v>
      </c>
      <c r="BJ11" s="57">
        <f>' WIP '!CD11</f>
        <v>2100</v>
      </c>
      <c r="BK11" s="58">
        <v>2000</v>
      </c>
      <c r="BL11" s="59">
        <f t="shared" si="49"/>
        <v>100</v>
      </c>
      <c r="BM11" s="57">
        <f>' WIP '!CH11</f>
        <v>2000</v>
      </c>
      <c r="BN11" s="58">
        <v>2000</v>
      </c>
      <c r="BO11" s="59">
        <f t="shared" si="50"/>
        <v>100</v>
      </c>
      <c r="BP11" s="57">
        <f>' WIP '!CL11</f>
        <v>2000</v>
      </c>
      <c r="BQ11" s="58">
        <v>2000</v>
      </c>
      <c r="BR11" s="59">
        <f t="shared" si="51"/>
        <v>100</v>
      </c>
      <c r="BS11" s="57">
        <f>' WIP '!CP11</f>
        <v>2000</v>
      </c>
      <c r="BT11" s="58">
        <v>2000</v>
      </c>
      <c r="BU11" s="59">
        <f t="shared" si="52"/>
        <v>100</v>
      </c>
      <c r="BV11" s="57">
        <f>' WIP '!CT11</f>
        <v>2000</v>
      </c>
      <c r="BW11" s="28">
        <v>2000</v>
      </c>
      <c r="BX11" s="59">
        <f t="shared" si="53"/>
        <v>100</v>
      </c>
      <c r="BY11" s="57">
        <f>' WIP '!CX11</f>
        <v>2000</v>
      </c>
      <c r="BZ11" s="58">
        <v>2000</v>
      </c>
      <c r="CA11" s="59">
        <f t="shared" si="54"/>
        <v>100</v>
      </c>
      <c r="CB11" s="57">
        <f>' WIP '!DB11</f>
        <v>2000</v>
      </c>
      <c r="CC11" s="58">
        <v>2000</v>
      </c>
      <c r="CD11" s="59">
        <f t="shared" si="55"/>
        <v>100</v>
      </c>
      <c r="CE11" s="57">
        <f>' WIP '!DF11</f>
        <v>2000</v>
      </c>
      <c r="CF11" s="58">
        <v>2048</v>
      </c>
      <c r="CG11" s="59">
        <f t="shared" si="56"/>
        <v>52</v>
      </c>
      <c r="CH11" s="57">
        <f>' WIP '!DJ11</f>
        <v>2000</v>
      </c>
      <c r="CI11" s="58">
        <v>2000</v>
      </c>
      <c r="CJ11" s="59">
        <f t="shared" si="57"/>
        <v>52</v>
      </c>
      <c r="CK11" s="57">
        <f>' WIP '!DN11</f>
        <v>3000</v>
      </c>
      <c r="CL11" s="58">
        <v>2300</v>
      </c>
      <c r="CM11" s="59">
        <f t="shared" si="58"/>
        <v>752</v>
      </c>
      <c r="CN11" s="57">
        <f>' WIP '!DR11</f>
        <v>0</v>
      </c>
      <c r="CO11" s="57"/>
      <c r="CP11" s="59">
        <f t="shared" si="59"/>
        <v>752</v>
      </c>
      <c r="CQ11" s="57">
        <f>' WIP '!DV11</f>
        <v>0</v>
      </c>
      <c r="CR11" s="58"/>
      <c r="CS11" s="59">
        <f t="shared" si="60"/>
        <v>752</v>
      </c>
      <c r="CT11" s="31">
        <f t="shared" si="61"/>
        <v>38275</v>
      </c>
      <c r="CU11" s="4">
        <f t="shared" si="62"/>
        <v>37523</v>
      </c>
      <c r="CV11" s="5">
        <f>D11*'MASTER SHEET'!D11</f>
        <v>0</v>
      </c>
      <c r="CW11" s="5">
        <f>G11*'MASTER SHEET'!D11</f>
        <v>0</v>
      </c>
      <c r="CX11" s="5">
        <f>J11*'MASTER SHEET'!D11</f>
        <v>48125.999999999993</v>
      </c>
      <c r="CY11" s="5">
        <f>M11*'MASTER SHEET'!D11</f>
        <v>48125.999999999993</v>
      </c>
      <c r="CZ11" s="5">
        <f>P11*'MASTER SHEET'!D11</f>
        <v>0</v>
      </c>
      <c r="DA11" s="5">
        <f>S11*'MASTER SHEET'!D11</f>
        <v>0</v>
      </c>
      <c r="DB11" s="5">
        <f>V11*'MASTER SHEET'!D11</f>
        <v>0</v>
      </c>
      <c r="DC11" s="5">
        <f>Y11*'MASTER SHEET'!D11</f>
        <v>0</v>
      </c>
      <c r="DD11" s="5">
        <f>AB11*'MASTER SHEET'!D11</f>
        <v>0</v>
      </c>
      <c r="DE11" s="5">
        <f>AE11*'MASTER SHEET'!D11</f>
        <v>0</v>
      </c>
      <c r="DF11" s="5">
        <f>AH11*'MASTER SHEET'!D11</f>
        <v>0</v>
      </c>
      <c r="DG11" s="5">
        <f>AK11*'MASTER SHEET'!D11</f>
        <v>0</v>
      </c>
      <c r="DH11" s="5">
        <f>AN11*'MASTER SHEET'!D11</f>
        <v>0</v>
      </c>
      <c r="DI11" s="5">
        <f>AQ11*'MASTER SHEET'!D11</f>
        <v>0</v>
      </c>
      <c r="DJ11" s="5">
        <f>AT11*'MASTER SHEET'!D11</f>
        <v>0</v>
      </c>
      <c r="DK11" s="5">
        <f>AW11*'MASTER SHEET'!D11</f>
        <v>0</v>
      </c>
      <c r="DL11" s="5">
        <f>AZ11*'MASTER SHEET'!D11</f>
        <v>32083.999999999996</v>
      </c>
      <c r="DM11" s="5">
        <f>BC11*'MASTER SHEET'!D11</f>
        <v>0</v>
      </c>
      <c r="DN11" s="5">
        <f>BF11*'MASTER SHEET'!D11</f>
        <v>0</v>
      </c>
      <c r="DO11" s="5">
        <f>BI11*'MASTER SHEET'!D11</f>
        <v>0</v>
      </c>
      <c r="DP11" s="5">
        <f>BL11*'MASTER SHEET'!D11</f>
        <v>8020.9999999999991</v>
      </c>
      <c r="DQ11" s="5">
        <f>BO11*'MASTER SHEET'!D11</f>
        <v>8020.9999999999991</v>
      </c>
      <c r="DR11" s="5">
        <f>BR11*'MASTER SHEET'!D11</f>
        <v>8020.9999999999991</v>
      </c>
      <c r="DS11" s="5">
        <f>BU11*'MASTER SHEET'!D11</f>
        <v>8020.9999999999991</v>
      </c>
      <c r="DT11" s="5">
        <f>BX11*'MASTER SHEET'!D11</f>
        <v>8020.9999999999991</v>
      </c>
      <c r="DU11" s="5">
        <f>CA11*'MASTER SHEET'!D11</f>
        <v>8020.9999999999991</v>
      </c>
      <c r="DV11" s="5">
        <f>CD11*'MASTER SHEET'!D11</f>
        <v>8020.9999999999991</v>
      </c>
      <c r="DW11" s="5">
        <f>CG11*'MASTER SHEET'!D11</f>
        <v>4170.92</v>
      </c>
      <c r="DX11" s="5">
        <f>CJ11*'MASTER SHEET'!D11</f>
        <v>4170.92</v>
      </c>
      <c r="DY11" s="5">
        <f>CM11*'MASTER SHEET'!D11</f>
        <v>60317.919999999998</v>
      </c>
      <c r="DZ11" s="5">
        <f>CP11*'MASTER SHEET'!D11</f>
        <v>60317.919999999998</v>
      </c>
      <c r="EA11" s="5">
        <f>CS11*'MASTER SHEET'!D11</f>
        <v>60317.919999999998</v>
      </c>
      <c r="EB11" s="143">
        <f>VLOOKUP($C11,'[1]GREEN LEV.₹'!$I$2:$K$54,3,0)</f>
        <v>10000</v>
      </c>
    </row>
    <row r="12" spans="1:132" ht="15.75" x14ac:dyDescent="0.25">
      <c r="A12" s="25">
        <f>'MASTER SHEET'!A12</f>
        <v>10</v>
      </c>
      <c r="B12" s="26" t="str">
        <f>'MASTER SHEET'!B12</f>
        <v>LID HOUSING</v>
      </c>
      <c r="C12" s="27">
        <f>'MASTER SHEET'!C12</f>
        <v>5015494</v>
      </c>
      <c r="D12" s="56">
        <v>675</v>
      </c>
      <c r="E12" s="57">
        <f>' WIP '!F12</f>
        <v>0</v>
      </c>
      <c r="F12" s="58">
        <v>0</v>
      </c>
      <c r="G12" s="59">
        <f t="shared" si="30"/>
        <v>675</v>
      </c>
      <c r="H12" s="57">
        <f>' WIP '!J12</f>
        <v>0</v>
      </c>
      <c r="I12" s="58">
        <v>0</v>
      </c>
      <c r="J12" s="59">
        <f t="shared" si="31"/>
        <v>675</v>
      </c>
      <c r="K12" s="57">
        <f>' WIP '!N12</f>
        <v>0</v>
      </c>
      <c r="L12" s="58"/>
      <c r="M12" s="59">
        <f t="shared" si="32"/>
        <v>675</v>
      </c>
      <c r="N12" s="57">
        <f>' WIP '!R12</f>
        <v>0</v>
      </c>
      <c r="O12" s="58">
        <v>0</v>
      </c>
      <c r="P12" s="59">
        <f t="shared" si="33"/>
        <v>675</v>
      </c>
      <c r="Q12" s="57">
        <f>' WIP '!V12</f>
        <v>0</v>
      </c>
      <c r="R12" s="58">
        <v>0</v>
      </c>
      <c r="S12" s="59">
        <f t="shared" si="34"/>
        <v>675</v>
      </c>
      <c r="T12" s="57">
        <f>' WIP '!Z12</f>
        <v>0</v>
      </c>
      <c r="U12" s="58">
        <v>225</v>
      </c>
      <c r="V12" s="59">
        <f t="shared" si="35"/>
        <v>450</v>
      </c>
      <c r="W12" s="57">
        <f>' WIP '!AD12</f>
        <v>0</v>
      </c>
      <c r="X12" s="58">
        <v>0</v>
      </c>
      <c r="Y12" s="59">
        <f t="shared" si="36"/>
        <v>450</v>
      </c>
      <c r="Z12" s="57">
        <f>' WIP '!AH12</f>
        <v>0</v>
      </c>
      <c r="AA12" s="58">
        <v>0</v>
      </c>
      <c r="AB12" s="59">
        <f t="shared" si="37"/>
        <v>450</v>
      </c>
      <c r="AC12" s="57">
        <f>' WIP '!AL12</f>
        <v>0</v>
      </c>
      <c r="AD12" s="58">
        <v>0</v>
      </c>
      <c r="AE12" s="59">
        <f t="shared" si="38"/>
        <v>450</v>
      </c>
      <c r="AF12" s="57">
        <f>' WIP '!AP12</f>
        <v>31</v>
      </c>
      <c r="AG12" s="114">
        <v>0</v>
      </c>
      <c r="AH12" s="59">
        <f t="shared" si="39"/>
        <v>481</v>
      </c>
      <c r="AI12" s="57">
        <f>' WIP '!AT12</f>
        <v>0</v>
      </c>
      <c r="AJ12" s="58">
        <v>481</v>
      </c>
      <c r="AK12" s="59">
        <f t="shared" si="40"/>
        <v>0</v>
      </c>
      <c r="AL12" s="57">
        <f>' WIP '!AX12</f>
        <v>0</v>
      </c>
      <c r="AM12" s="58"/>
      <c r="AN12" s="59">
        <f t="shared" si="41"/>
        <v>0</v>
      </c>
      <c r="AO12" s="57">
        <f>' WIP '!BB12</f>
        <v>0</v>
      </c>
      <c r="AP12" s="58">
        <v>0</v>
      </c>
      <c r="AQ12" s="59">
        <f t="shared" si="42"/>
        <v>0</v>
      </c>
      <c r="AR12" s="57">
        <f>' WIP '!BF12</f>
        <v>0</v>
      </c>
      <c r="AS12" s="58">
        <v>0</v>
      </c>
      <c r="AT12" s="59">
        <f t="shared" si="43"/>
        <v>0</v>
      </c>
      <c r="AU12" s="57">
        <f>' WIP '!BJ12</f>
        <v>0</v>
      </c>
      <c r="AV12" s="58">
        <v>0</v>
      </c>
      <c r="AW12" s="59">
        <f t="shared" si="44"/>
        <v>0</v>
      </c>
      <c r="AX12" s="57">
        <f>' WIP '!BN12</f>
        <v>250</v>
      </c>
      <c r="AY12" s="58">
        <v>250</v>
      </c>
      <c r="AZ12" s="59">
        <f t="shared" si="45"/>
        <v>0</v>
      </c>
      <c r="BA12" s="57">
        <f>' WIP '!BR12</f>
        <v>0</v>
      </c>
      <c r="BB12" s="58">
        <v>0</v>
      </c>
      <c r="BC12" s="59">
        <f t="shared" si="46"/>
        <v>0</v>
      </c>
      <c r="BD12" s="57">
        <f>' WIP '!BV12</f>
        <v>0</v>
      </c>
      <c r="BE12" s="58">
        <v>0</v>
      </c>
      <c r="BF12" s="59">
        <f t="shared" si="47"/>
        <v>0</v>
      </c>
      <c r="BG12" s="57">
        <f>' WIP '!BZ12</f>
        <v>0</v>
      </c>
      <c r="BH12" s="58"/>
      <c r="BI12" s="59">
        <f t="shared" si="48"/>
        <v>0</v>
      </c>
      <c r="BJ12" s="57">
        <f>' WIP '!CD12</f>
        <v>0</v>
      </c>
      <c r="BK12" s="58">
        <v>0</v>
      </c>
      <c r="BL12" s="59">
        <f t="shared" si="49"/>
        <v>0</v>
      </c>
      <c r="BM12" s="57">
        <f>' WIP '!CH12</f>
        <v>0</v>
      </c>
      <c r="BN12" s="58">
        <v>0</v>
      </c>
      <c r="BO12" s="59">
        <f t="shared" si="50"/>
        <v>0</v>
      </c>
      <c r="BP12" s="57">
        <f>' WIP '!CL12</f>
        <v>0</v>
      </c>
      <c r="BQ12" s="58"/>
      <c r="BR12" s="59">
        <f t="shared" si="51"/>
        <v>0</v>
      </c>
      <c r="BS12" s="57">
        <f>' WIP '!CP12</f>
        <v>0</v>
      </c>
      <c r="BT12" s="58">
        <v>0</v>
      </c>
      <c r="BU12" s="59">
        <f t="shared" si="52"/>
        <v>0</v>
      </c>
      <c r="BV12" s="57">
        <f>' WIP '!CT12</f>
        <v>672</v>
      </c>
      <c r="BW12" s="28">
        <v>0</v>
      </c>
      <c r="BX12" s="59">
        <f t="shared" si="53"/>
        <v>672</v>
      </c>
      <c r="BY12" s="57">
        <f>' WIP '!CX12</f>
        <v>0</v>
      </c>
      <c r="BZ12" s="58">
        <v>504</v>
      </c>
      <c r="CA12" s="59">
        <f t="shared" si="54"/>
        <v>168</v>
      </c>
      <c r="CB12" s="57">
        <f>' WIP '!DB12</f>
        <v>0</v>
      </c>
      <c r="CC12" s="58">
        <v>0</v>
      </c>
      <c r="CD12" s="59">
        <f t="shared" si="55"/>
        <v>168</v>
      </c>
      <c r="CE12" s="57">
        <f>' WIP '!DF12</f>
        <v>0</v>
      </c>
      <c r="CF12" s="58">
        <v>0</v>
      </c>
      <c r="CG12" s="59">
        <f t="shared" si="56"/>
        <v>168</v>
      </c>
      <c r="CH12" s="57">
        <f>' WIP '!DJ12</f>
        <v>100</v>
      </c>
      <c r="CI12" s="58">
        <v>100</v>
      </c>
      <c r="CJ12" s="59">
        <f t="shared" si="57"/>
        <v>168</v>
      </c>
      <c r="CK12" s="57">
        <f>' WIP '!DN12</f>
        <v>0</v>
      </c>
      <c r="CL12" s="58">
        <v>0</v>
      </c>
      <c r="CM12" s="59">
        <f t="shared" si="58"/>
        <v>168</v>
      </c>
      <c r="CN12" s="57">
        <f>' WIP '!DR12</f>
        <v>0</v>
      </c>
      <c r="CO12" s="57"/>
      <c r="CP12" s="59">
        <f t="shared" si="59"/>
        <v>168</v>
      </c>
      <c r="CQ12" s="57">
        <f>' WIP '!DV12</f>
        <v>0</v>
      </c>
      <c r="CR12" s="58"/>
      <c r="CS12" s="59">
        <f t="shared" si="60"/>
        <v>168</v>
      </c>
      <c r="CT12" s="31">
        <f t="shared" si="61"/>
        <v>1728</v>
      </c>
      <c r="CU12" s="4">
        <f t="shared" si="62"/>
        <v>1560</v>
      </c>
      <c r="CV12" s="5">
        <f>D12*'MASTER SHEET'!D12</f>
        <v>25474.5</v>
      </c>
      <c r="CW12" s="5">
        <f>G12*'MASTER SHEET'!D12</f>
        <v>25474.5</v>
      </c>
      <c r="CX12" s="5">
        <f>J12*'MASTER SHEET'!D12</f>
        <v>25474.5</v>
      </c>
      <c r="CY12" s="5">
        <f>M12*'MASTER SHEET'!D12</f>
        <v>25474.5</v>
      </c>
      <c r="CZ12" s="5">
        <f>P12*'MASTER SHEET'!D12</f>
        <v>25474.5</v>
      </c>
      <c r="DA12" s="5">
        <f>S12*'MASTER SHEET'!D12</f>
        <v>25474.5</v>
      </c>
      <c r="DB12" s="5">
        <f>V12*'MASTER SHEET'!D12</f>
        <v>16983</v>
      </c>
      <c r="DC12" s="5">
        <f>Y12*'MASTER SHEET'!D12</f>
        <v>16983</v>
      </c>
      <c r="DD12" s="5">
        <f>AB12*'MASTER SHEET'!D12</f>
        <v>16983</v>
      </c>
      <c r="DE12" s="5">
        <f>AE12*'MASTER SHEET'!D12</f>
        <v>16983</v>
      </c>
      <c r="DF12" s="5">
        <f>AH12*'MASTER SHEET'!D12</f>
        <v>18152.940000000002</v>
      </c>
      <c r="DG12" s="5">
        <f>AK12*'MASTER SHEET'!D12</f>
        <v>0</v>
      </c>
      <c r="DH12" s="5">
        <f>AN12*'MASTER SHEET'!D12</f>
        <v>0</v>
      </c>
      <c r="DI12" s="5">
        <f>AQ12*'MASTER SHEET'!D12</f>
        <v>0</v>
      </c>
      <c r="DJ12" s="5">
        <f>AT12*'MASTER SHEET'!D12</f>
        <v>0</v>
      </c>
      <c r="DK12" s="5">
        <f>AW12*'MASTER SHEET'!D12</f>
        <v>0</v>
      </c>
      <c r="DL12" s="5">
        <f>AZ12*'MASTER SHEET'!D12</f>
        <v>0</v>
      </c>
      <c r="DM12" s="5">
        <f>BC12*'MASTER SHEET'!D12</f>
        <v>0</v>
      </c>
      <c r="DN12" s="5">
        <f>BF12*'MASTER SHEET'!D12</f>
        <v>0</v>
      </c>
      <c r="DO12" s="5">
        <f>BI12*'MASTER SHEET'!D12</f>
        <v>0</v>
      </c>
      <c r="DP12" s="5">
        <f>BL12*'MASTER SHEET'!D12</f>
        <v>0</v>
      </c>
      <c r="DQ12" s="5">
        <f>BO12*'MASTER SHEET'!D12</f>
        <v>0</v>
      </c>
      <c r="DR12" s="5">
        <f>BR12*'MASTER SHEET'!D12</f>
        <v>0</v>
      </c>
      <c r="DS12" s="5">
        <f>BU12*'MASTER SHEET'!D12</f>
        <v>0</v>
      </c>
      <c r="DT12" s="5">
        <f>BX12*'MASTER SHEET'!D12</f>
        <v>25361.280000000002</v>
      </c>
      <c r="DU12" s="5">
        <f>CA12*'MASTER SHEET'!D12</f>
        <v>6340.3200000000006</v>
      </c>
      <c r="DV12" s="5">
        <f>CD12*'MASTER SHEET'!D12</f>
        <v>6340.3200000000006</v>
      </c>
      <c r="DW12" s="5">
        <f>CG12*'MASTER SHEET'!D12</f>
        <v>6340.3200000000006</v>
      </c>
      <c r="DX12" s="5">
        <f>CJ12*'MASTER SHEET'!D12</f>
        <v>6340.3200000000006</v>
      </c>
      <c r="DY12" s="5">
        <f>CM12*'MASTER SHEET'!D12</f>
        <v>6340.3200000000006</v>
      </c>
      <c r="DZ12" s="5">
        <f>CP12*'MASTER SHEET'!D12</f>
        <v>6340.3200000000006</v>
      </c>
      <c r="EA12" s="5">
        <f>CS12*'MASTER SHEET'!D12</f>
        <v>6340.3200000000006</v>
      </c>
      <c r="EB12" s="143">
        <f>VLOOKUP($C12,'[1]GREEN LEV.₹'!$I$2:$K$54,3,0)</f>
        <v>300</v>
      </c>
    </row>
    <row r="13" spans="1:132" ht="15.75" x14ac:dyDescent="0.25">
      <c r="A13" s="25">
        <f>'MASTER SHEET'!A13</f>
        <v>11</v>
      </c>
      <c r="B13" s="26" t="str">
        <f>'MASTER SHEET'!B13</f>
        <v>LID HOUSING</v>
      </c>
      <c r="C13" s="27">
        <f>'MASTER SHEET'!C13</f>
        <v>5015499</v>
      </c>
      <c r="D13" s="56"/>
      <c r="E13" s="57">
        <f>' WIP '!F13</f>
        <v>0</v>
      </c>
      <c r="F13" s="58">
        <v>0</v>
      </c>
      <c r="G13" s="59">
        <f t="shared" si="30"/>
        <v>0</v>
      </c>
      <c r="H13" s="57">
        <f>' WIP '!J13</f>
        <v>850</v>
      </c>
      <c r="I13" s="58">
        <v>850</v>
      </c>
      <c r="J13" s="59">
        <f t="shared" si="31"/>
        <v>0</v>
      </c>
      <c r="K13" s="57">
        <f>' WIP '!N13</f>
        <v>0</v>
      </c>
      <c r="L13" s="58"/>
      <c r="M13" s="59">
        <f t="shared" si="32"/>
        <v>0</v>
      </c>
      <c r="N13" s="57">
        <f>' WIP '!R13</f>
        <v>1300</v>
      </c>
      <c r="O13" s="58">
        <v>1300</v>
      </c>
      <c r="P13" s="59">
        <f t="shared" si="33"/>
        <v>0</v>
      </c>
      <c r="Q13" s="57">
        <f>' WIP '!V13</f>
        <v>0</v>
      </c>
      <c r="R13" s="58">
        <v>0</v>
      </c>
      <c r="S13" s="59">
        <f t="shared" si="34"/>
        <v>0</v>
      </c>
      <c r="T13" s="57">
        <f>' WIP '!Z13</f>
        <v>650</v>
      </c>
      <c r="U13" s="58">
        <v>650</v>
      </c>
      <c r="V13" s="59">
        <f t="shared" si="35"/>
        <v>0</v>
      </c>
      <c r="W13" s="57">
        <f>' WIP '!AD13</f>
        <v>1050</v>
      </c>
      <c r="X13" s="58">
        <v>900</v>
      </c>
      <c r="Y13" s="59">
        <f t="shared" si="36"/>
        <v>150</v>
      </c>
      <c r="Z13" s="57">
        <f>' WIP '!AH13</f>
        <v>0</v>
      </c>
      <c r="AA13" s="58">
        <v>0</v>
      </c>
      <c r="AB13" s="59">
        <f t="shared" si="37"/>
        <v>150</v>
      </c>
      <c r="AC13" s="57">
        <f>' WIP '!AL13</f>
        <v>0</v>
      </c>
      <c r="AD13" s="58">
        <v>0</v>
      </c>
      <c r="AE13" s="59">
        <f t="shared" si="38"/>
        <v>150</v>
      </c>
      <c r="AF13" s="57">
        <f>' WIP '!AP13</f>
        <v>127</v>
      </c>
      <c r="AG13" s="114">
        <v>127</v>
      </c>
      <c r="AH13" s="59">
        <f t="shared" si="39"/>
        <v>150</v>
      </c>
      <c r="AI13" s="57">
        <f>' WIP '!AT13</f>
        <v>0</v>
      </c>
      <c r="AJ13" s="58">
        <v>0</v>
      </c>
      <c r="AK13" s="59">
        <f t="shared" si="40"/>
        <v>150</v>
      </c>
      <c r="AL13" s="57">
        <f>' WIP '!AX13</f>
        <v>0</v>
      </c>
      <c r="AM13" s="58"/>
      <c r="AN13" s="59">
        <f t="shared" si="41"/>
        <v>150</v>
      </c>
      <c r="AO13" s="57">
        <f>' WIP '!BB13</f>
        <v>0</v>
      </c>
      <c r="AP13" s="58">
        <v>0</v>
      </c>
      <c r="AQ13" s="59">
        <f t="shared" si="42"/>
        <v>150</v>
      </c>
      <c r="AR13" s="57">
        <f>' WIP '!BF13</f>
        <v>333</v>
      </c>
      <c r="AS13" s="58">
        <v>333</v>
      </c>
      <c r="AT13" s="59">
        <f t="shared" si="43"/>
        <v>150</v>
      </c>
      <c r="AU13" s="57">
        <f>' WIP '!BJ13</f>
        <v>0</v>
      </c>
      <c r="AV13" s="58">
        <v>0</v>
      </c>
      <c r="AW13" s="59">
        <f t="shared" si="44"/>
        <v>150</v>
      </c>
      <c r="AX13" s="57">
        <f>' WIP '!BN13</f>
        <v>0</v>
      </c>
      <c r="AY13" s="58">
        <v>0</v>
      </c>
      <c r="AZ13" s="59">
        <f t="shared" si="45"/>
        <v>150</v>
      </c>
      <c r="BA13" s="57">
        <f>' WIP '!BR13</f>
        <v>0</v>
      </c>
      <c r="BB13" s="58">
        <v>0</v>
      </c>
      <c r="BC13" s="59">
        <f t="shared" si="46"/>
        <v>150</v>
      </c>
      <c r="BD13" s="57">
        <f>' WIP '!BV13</f>
        <v>867</v>
      </c>
      <c r="BE13" s="58">
        <v>867</v>
      </c>
      <c r="BF13" s="59">
        <f t="shared" si="47"/>
        <v>150</v>
      </c>
      <c r="BG13" s="57">
        <f>' WIP '!BZ13</f>
        <v>0</v>
      </c>
      <c r="BH13" s="58"/>
      <c r="BI13" s="59">
        <f t="shared" si="48"/>
        <v>150</v>
      </c>
      <c r="BJ13" s="57">
        <f>' WIP '!CD13</f>
        <v>354</v>
      </c>
      <c r="BK13" s="58">
        <v>504</v>
      </c>
      <c r="BL13" s="59">
        <f t="shared" si="49"/>
        <v>0</v>
      </c>
      <c r="BM13" s="57">
        <f>' WIP '!CH13</f>
        <v>504</v>
      </c>
      <c r="BN13" s="58">
        <f>336+168</f>
        <v>504</v>
      </c>
      <c r="BO13" s="59">
        <f t="shared" si="50"/>
        <v>0</v>
      </c>
      <c r="BP13" s="57">
        <f>' WIP '!CL13</f>
        <v>1008</v>
      </c>
      <c r="BQ13" s="58">
        <v>1008</v>
      </c>
      <c r="BR13" s="59">
        <f t="shared" si="51"/>
        <v>0</v>
      </c>
      <c r="BS13" s="57">
        <f>' WIP '!CP13</f>
        <v>1176</v>
      </c>
      <c r="BT13" s="58">
        <v>1176</v>
      </c>
      <c r="BU13" s="59">
        <f t="shared" si="52"/>
        <v>0</v>
      </c>
      <c r="BV13" s="57">
        <f>' WIP '!CT13</f>
        <v>0</v>
      </c>
      <c r="BW13" s="28">
        <v>0</v>
      </c>
      <c r="BX13" s="59">
        <f t="shared" si="53"/>
        <v>0</v>
      </c>
      <c r="BY13" s="57">
        <f>' WIP '!CX13</f>
        <v>672</v>
      </c>
      <c r="BZ13" s="58">
        <v>672</v>
      </c>
      <c r="CA13" s="59">
        <f t="shared" si="54"/>
        <v>0</v>
      </c>
      <c r="CB13" s="57">
        <f>' WIP '!DB13</f>
        <v>0</v>
      </c>
      <c r="CC13" s="58">
        <v>0</v>
      </c>
      <c r="CD13" s="59">
        <f t="shared" si="55"/>
        <v>0</v>
      </c>
      <c r="CE13" s="57">
        <f>' WIP '!DF13</f>
        <v>100</v>
      </c>
      <c r="CF13" s="58">
        <v>100</v>
      </c>
      <c r="CG13" s="59">
        <f t="shared" si="56"/>
        <v>0</v>
      </c>
      <c r="CH13" s="57">
        <f>' WIP '!DJ13</f>
        <v>0</v>
      </c>
      <c r="CI13" s="58">
        <v>0</v>
      </c>
      <c r="CJ13" s="59">
        <f t="shared" si="57"/>
        <v>0</v>
      </c>
      <c r="CK13" s="57">
        <f>' WIP '!DN13</f>
        <v>250</v>
      </c>
      <c r="CL13" s="58">
        <v>0</v>
      </c>
      <c r="CM13" s="59">
        <f t="shared" si="58"/>
        <v>250</v>
      </c>
      <c r="CN13" s="57">
        <f>' WIP '!DR13</f>
        <v>0</v>
      </c>
      <c r="CO13" s="57"/>
      <c r="CP13" s="59">
        <f t="shared" si="59"/>
        <v>250</v>
      </c>
      <c r="CQ13" s="57">
        <f>' WIP '!DV13</f>
        <v>0</v>
      </c>
      <c r="CR13" s="58"/>
      <c r="CS13" s="59">
        <f t="shared" si="60"/>
        <v>250</v>
      </c>
      <c r="CT13" s="31">
        <f t="shared" si="61"/>
        <v>9241</v>
      </c>
      <c r="CU13" s="4">
        <f t="shared" si="62"/>
        <v>8991</v>
      </c>
      <c r="CV13" s="5">
        <f>D13*'MASTER SHEET'!D13</f>
        <v>0</v>
      </c>
      <c r="CW13" s="5">
        <f>G13*'MASTER SHEET'!D13</f>
        <v>0</v>
      </c>
      <c r="CX13" s="5">
        <f>J13*'MASTER SHEET'!D13</f>
        <v>0</v>
      </c>
      <c r="CY13" s="5">
        <f>M13*'MASTER SHEET'!D13</f>
        <v>0</v>
      </c>
      <c r="CZ13" s="5">
        <f>P13*'MASTER SHEET'!D13</f>
        <v>0</v>
      </c>
      <c r="DA13" s="5">
        <f>S13*'MASTER SHEET'!D13</f>
        <v>0</v>
      </c>
      <c r="DB13" s="5">
        <f>V13*'MASTER SHEET'!D13</f>
        <v>0</v>
      </c>
      <c r="DC13" s="5">
        <f>Y13*'MASTER SHEET'!D13</f>
        <v>4177.5</v>
      </c>
      <c r="DD13" s="5">
        <f>AB13*'MASTER SHEET'!D13</f>
        <v>4177.5</v>
      </c>
      <c r="DE13" s="5">
        <f>AE13*'MASTER SHEET'!D13</f>
        <v>4177.5</v>
      </c>
      <c r="DF13" s="5">
        <f>AH13*'MASTER SHEET'!D13</f>
        <v>4177.5</v>
      </c>
      <c r="DG13" s="5">
        <f>AK13*'MASTER SHEET'!D13</f>
        <v>4177.5</v>
      </c>
      <c r="DH13" s="5">
        <f>AN13*'MASTER SHEET'!D13</f>
        <v>4177.5</v>
      </c>
      <c r="DI13" s="5">
        <f>AQ13*'MASTER SHEET'!D13</f>
        <v>4177.5</v>
      </c>
      <c r="DJ13" s="5">
        <f>AT13*'MASTER SHEET'!D13</f>
        <v>4177.5</v>
      </c>
      <c r="DK13" s="5">
        <f>AW13*'MASTER SHEET'!D13</f>
        <v>4177.5</v>
      </c>
      <c r="DL13" s="5">
        <f>AZ13*'MASTER SHEET'!D13</f>
        <v>4177.5</v>
      </c>
      <c r="DM13" s="5">
        <f>BC13*'MASTER SHEET'!D13</f>
        <v>4177.5</v>
      </c>
      <c r="DN13" s="5">
        <f>BF13*'MASTER SHEET'!D13</f>
        <v>4177.5</v>
      </c>
      <c r="DO13" s="5">
        <f>BI13*'MASTER SHEET'!D13</f>
        <v>4177.5</v>
      </c>
      <c r="DP13" s="5">
        <f>BL13*'MASTER SHEET'!D13</f>
        <v>0</v>
      </c>
      <c r="DQ13" s="5">
        <f>BO13*'MASTER SHEET'!D13</f>
        <v>0</v>
      </c>
      <c r="DR13" s="5">
        <f>BR13*'MASTER SHEET'!D13</f>
        <v>0</v>
      </c>
      <c r="DS13" s="5">
        <f>BU13*'MASTER SHEET'!D13</f>
        <v>0</v>
      </c>
      <c r="DT13" s="5">
        <f>BX13*'MASTER SHEET'!D13</f>
        <v>0</v>
      </c>
      <c r="DU13" s="5">
        <f>CA13*'MASTER SHEET'!D13</f>
        <v>0</v>
      </c>
      <c r="DV13" s="5">
        <f>CD13*'MASTER SHEET'!D13</f>
        <v>0</v>
      </c>
      <c r="DW13" s="5">
        <f>CG13*'MASTER SHEET'!D13</f>
        <v>0</v>
      </c>
      <c r="DX13" s="5">
        <f>CJ13*'MASTER SHEET'!D13</f>
        <v>0</v>
      </c>
      <c r="DY13" s="5">
        <f>CM13*'MASTER SHEET'!D13</f>
        <v>6962.5</v>
      </c>
      <c r="DZ13" s="5">
        <f>CP13*'MASTER SHEET'!D13</f>
        <v>6962.5</v>
      </c>
      <c r="EA13" s="5">
        <f>CS13*'MASTER SHEET'!D13</f>
        <v>6962.5</v>
      </c>
      <c r="EB13" s="143">
        <f>VLOOKUP($C13,'[1]GREEN LEV.₹'!$I$2:$K$54,3,0)</f>
        <v>450</v>
      </c>
    </row>
    <row r="14" spans="1:132" ht="15.75" x14ac:dyDescent="0.25">
      <c r="A14" s="25">
        <f>'MASTER SHEET'!A14</f>
        <v>12</v>
      </c>
      <c r="B14" s="26" t="str">
        <f>'MASTER SHEET'!B14</f>
        <v xml:space="preserve">END PLATE PLASTIC </v>
      </c>
      <c r="C14" s="27">
        <f>'MASTER SHEET'!C14</f>
        <v>5015855</v>
      </c>
      <c r="D14" s="56">
        <v>2800</v>
      </c>
      <c r="E14" s="57">
        <f>' WIP '!F14</f>
        <v>3100</v>
      </c>
      <c r="F14" s="58">
        <v>5000</v>
      </c>
      <c r="G14" s="59">
        <f t="shared" si="30"/>
        <v>900</v>
      </c>
      <c r="H14" s="57">
        <f>' WIP '!J14</f>
        <v>5000</v>
      </c>
      <c r="I14" s="58">
        <v>0</v>
      </c>
      <c r="J14" s="59">
        <f t="shared" si="31"/>
        <v>5900</v>
      </c>
      <c r="K14" s="57">
        <f>' WIP '!N14</f>
        <v>0</v>
      </c>
      <c r="L14" s="58"/>
      <c r="M14" s="59">
        <f t="shared" si="32"/>
        <v>5900</v>
      </c>
      <c r="N14" s="57">
        <f>' WIP '!R14</f>
        <v>2000</v>
      </c>
      <c r="O14" s="58">
        <v>4900</v>
      </c>
      <c r="P14" s="59">
        <f t="shared" si="33"/>
        <v>3000</v>
      </c>
      <c r="Q14" s="57">
        <f>' WIP '!V14</f>
        <v>0</v>
      </c>
      <c r="R14" s="58">
        <v>3000</v>
      </c>
      <c r="S14" s="59">
        <f t="shared" si="34"/>
        <v>0</v>
      </c>
      <c r="T14" s="57">
        <f>' WIP '!Z14</f>
        <v>3500</v>
      </c>
      <c r="U14" s="58">
        <v>1900</v>
      </c>
      <c r="V14" s="59">
        <f t="shared" si="35"/>
        <v>1600</v>
      </c>
      <c r="W14" s="57">
        <f>' WIP '!AD14</f>
        <v>3000</v>
      </c>
      <c r="X14" s="58">
        <v>4500</v>
      </c>
      <c r="Y14" s="59">
        <f t="shared" si="36"/>
        <v>100</v>
      </c>
      <c r="Z14" s="57">
        <f>' WIP '!AH14</f>
        <v>5500</v>
      </c>
      <c r="AA14" s="58">
        <v>2500</v>
      </c>
      <c r="AB14" s="59">
        <f t="shared" si="37"/>
        <v>3100</v>
      </c>
      <c r="AC14" s="57">
        <f>' WIP '!AL14</f>
        <v>5000</v>
      </c>
      <c r="AD14" s="58">
        <v>4000</v>
      </c>
      <c r="AE14" s="59">
        <f t="shared" si="38"/>
        <v>4100</v>
      </c>
      <c r="AF14" s="57">
        <f>' WIP '!AP14</f>
        <v>7400</v>
      </c>
      <c r="AG14" s="114">
        <v>5000</v>
      </c>
      <c r="AH14" s="59">
        <f t="shared" si="39"/>
        <v>6500</v>
      </c>
      <c r="AI14" s="57">
        <f>' WIP '!AT14</f>
        <v>0</v>
      </c>
      <c r="AJ14" s="58">
        <v>3300</v>
      </c>
      <c r="AK14" s="59">
        <f t="shared" si="40"/>
        <v>3200</v>
      </c>
      <c r="AL14" s="57">
        <f>' WIP '!AX14</f>
        <v>0</v>
      </c>
      <c r="AM14" s="58"/>
      <c r="AN14" s="59">
        <f t="shared" si="41"/>
        <v>3200</v>
      </c>
      <c r="AO14" s="57">
        <f>' WIP '!BB14</f>
        <v>3000</v>
      </c>
      <c r="AP14" s="58">
        <v>6100</v>
      </c>
      <c r="AQ14" s="59">
        <f t="shared" si="42"/>
        <v>100</v>
      </c>
      <c r="AR14" s="57">
        <f>' WIP '!BF14</f>
        <v>1600</v>
      </c>
      <c r="AS14" s="58">
        <v>1600</v>
      </c>
      <c r="AT14" s="59">
        <f t="shared" si="43"/>
        <v>100</v>
      </c>
      <c r="AU14" s="57">
        <f>' WIP '!BJ14</f>
        <v>0</v>
      </c>
      <c r="AV14" s="58">
        <v>0</v>
      </c>
      <c r="AW14" s="59">
        <f t="shared" si="44"/>
        <v>100</v>
      </c>
      <c r="AX14" s="57">
        <f>' WIP '!BN14</f>
        <v>1300</v>
      </c>
      <c r="AY14" s="58">
        <v>1400</v>
      </c>
      <c r="AZ14" s="59">
        <f t="shared" si="45"/>
        <v>0</v>
      </c>
      <c r="BA14" s="57">
        <f>' WIP '!BR14</f>
        <v>2200</v>
      </c>
      <c r="BB14" s="58">
        <v>2200</v>
      </c>
      <c r="BC14" s="59">
        <f t="shared" si="46"/>
        <v>0</v>
      </c>
      <c r="BD14" s="57">
        <f>' WIP '!BV14</f>
        <v>4600</v>
      </c>
      <c r="BE14" s="58">
        <v>4600</v>
      </c>
      <c r="BF14" s="59">
        <f t="shared" si="47"/>
        <v>0</v>
      </c>
      <c r="BG14" s="57">
        <f>' WIP '!BZ14</f>
        <v>0</v>
      </c>
      <c r="BH14" s="58"/>
      <c r="BI14" s="59">
        <f t="shared" si="48"/>
        <v>0</v>
      </c>
      <c r="BJ14" s="57">
        <f>' WIP '!CD14</f>
        <v>3000</v>
      </c>
      <c r="BK14" s="58">
        <v>3000</v>
      </c>
      <c r="BL14" s="59">
        <f t="shared" si="49"/>
        <v>0</v>
      </c>
      <c r="BM14" s="57">
        <f>' WIP '!CH14</f>
        <v>2000</v>
      </c>
      <c r="BN14" s="58">
        <v>2000</v>
      </c>
      <c r="BO14" s="59">
        <f t="shared" si="50"/>
        <v>0</v>
      </c>
      <c r="BP14" s="57">
        <f>' WIP '!CL14</f>
        <v>2000</v>
      </c>
      <c r="BQ14" s="58">
        <v>2000</v>
      </c>
      <c r="BR14" s="59">
        <f t="shared" si="51"/>
        <v>0</v>
      </c>
      <c r="BS14" s="57">
        <f>' WIP '!CP14</f>
        <v>3400</v>
      </c>
      <c r="BT14" s="58">
        <v>3400</v>
      </c>
      <c r="BU14" s="59">
        <f t="shared" si="52"/>
        <v>0</v>
      </c>
      <c r="BV14" s="57">
        <f>' WIP '!CT14</f>
        <v>3500</v>
      </c>
      <c r="BW14" s="28">
        <v>3000</v>
      </c>
      <c r="BX14" s="59">
        <f t="shared" si="53"/>
        <v>500</v>
      </c>
      <c r="BY14" s="57">
        <f>' WIP '!CX14</f>
        <v>4700</v>
      </c>
      <c r="BZ14" s="58">
        <v>5200</v>
      </c>
      <c r="CA14" s="59">
        <f t="shared" si="54"/>
        <v>0</v>
      </c>
      <c r="CB14" s="57">
        <f>' WIP '!DB14</f>
        <v>2000</v>
      </c>
      <c r="CC14" s="58">
        <v>1000</v>
      </c>
      <c r="CD14" s="59">
        <f t="shared" si="55"/>
        <v>1000</v>
      </c>
      <c r="CE14" s="57">
        <f>' WIP '!DF14</f>
        <v>3600</v>
      </c>
      <c r="CF14" s="58">
        <v>2900</v>
      </c>
      <c r="CG14" s="59">
        <f t="shared" si="56"/>
        <v>1700</v>
      </c>
      <c r="CH14" s="57">
        <f>' WIP '!DJ14</f>
        <v>1500</v>
      </c>
      <c r="CI14" s="58">
        <v>3200</v>
      </c>
      <c r="CJ14" s="59">
        <f t="shared" si="57"/>
        <v>0</v>
      </c>
      <c r="CK14" s="57">
        <f>' WIP '!DN14</f>
        <v>2000</v>
      </c>
      <c r="CL14" s="58">
        <v>500</v>
      </c>
      <c r="CM14" s="59">
        <f t="shared" si="58"/>
        <v>1500</v>
      </c>
      <c r="CN14" s="57">
        <f>' WIP '!DR14</f>
        <v>0</v>
      </c>
      <c r="CO14" s="57"/>
      <c r="CP14" s="161">
        <f t="shared" si="59"/>
        <v>1500</v>
      </c>
      <c r="CQ14" s="57">
        <f>' WIP '!DV14</f>
        <v>0</v>
      </c>
      <c r="CR14" s="58"/>
      <c r="CS14" s="59">
        <f t="shared" si="60"/>
        <v>1500</v>
      </c>
      <c r="CT14" s="31">
        <f t="shared" si="61"/>
        <v>77700</v>
      </c>
      <c r="CU14" s="4">
        <f t="shared" si="62"/>
        <v>76200</v>
      </c>
      <c r="CV14" s="5">
        <f>D14*'MASTER SHEET'!D14</f>
        <v>40236</v>
      </c>
      <c r="CW14" s="5">
        <f>G14*'MASTER SHEET'!D14</f>
        <v>12933</v>
      </c>
      <c r="CX14" s="5">
        <f>J14*'MASTER SHEET'!D14</f>
        <v>84783</v>
      </c>
      <c r="CY14" s="5">
        <f>M14*'MASTER SHEET'!D14</f>
        <v>84783</v>
      </c>
      <c r="CZ14" s="5">
        <f>P14*'MASTER SHEET'!D14</f>
        <v>43110</v>
      </c>
      <c r="DA14" s="5">
        <f>S14*'MASTER SHEET'!D14</f>
        <v>0</v>
      </c>
      <c r="DB14" s="5">
        <f>V14*'MASTER SHEET'!D14</f>
        <v>22992</v>
      </c>
      <c r="DC14" s="5">
        <f>Y14*'MASTER SHEET'!D14</f>
        <v>1437</v>
      </c>
      <c r="DD14" s="5">
        <f>AB14*'MASTER SHEET'!D14</f>
        <v>44547</v>
      </c>
      <c r="DE14" s="5">
        <f>AE14*'MASTER SHEET'!D14</f>
        <v>58917</v>
      </c>
      <c r="DF14" s="5">
        <f>AH14*'MASTER SHEET'!D14</f>
        <v>93405</v>
      </c>
      <c r="DG14" s="5">
        <f>AK14*'MASTER SHEET'!D14</f>
        <v>45984</v>
      </c>
      <c r="DH14" s="5">
        <f>AN14*'MASTER SHEET'!D14</f>
        <v>45984</v>
      </c>
      <c r="DI14" s="5">
        <f>AQ14*'MASTER SHEET'!D14</f>
        <v>1437</v>
      </c>
      <c r="DJ14" s="5">
        <f>AT14*'MASTER SHEET'!D14</f>
        <v>1437</v>
      </c>
      <c r="DK14" s="5">
        <f>AW14*'MASTER SHEET'!D14</f>
        <v>1437</v>
      </c>
      <c r="DL14" s="5">
        <f>AZ14*'MASTER SHEET'!D14</f>
        <v>0</v>
      </c>
      <c r="DM14" s="5">
        <f>BC14*'MASTER SHEET'!D14</f>
        <v>0</v>
      </c>
      <c r="DN14" s="5">
        <f>BF14*'MASTER SHEET'!D14</f>
        <v>0</v>
      </c>
      <c r="DO14" s="5">
        <f>BI14*'MASTER SHEET'!D14</f>
        <v>0</v>
      </c>
      <c r="DP14" s="5">
        <f>BL14*'MASTER SHEET'!D14</f>
        <v>0</v>
      </c>
      <c r="DQ14" s="5">
        <f>BO14*'MASTER SHEET'!D14</f>
        <v>0</v>
      </c>
      <c r="DR14" s="5">
        <f>BR14*'MASTER SHEET'!D14</f>
        <v>0</v>
      </c>
      <c r="DS14" s="5">
        <f>BU14*'MASTER SHEET'!D14</f>
        <v>0</v>
      </c>
      <c r="DT14" s="5">
        <f>BX14*'MASTER SHEET'!D14</f>
        <v>7185</v>
      </c>
      <c r="DU14" s="5">
        <f>CA14*'MASTER SHEET'!D14</f>
        <v>0</v>
      </c>
      <c r="DV14" s="5">
        <f>CD14*'MASTER SHEET'!D14</f>
        <v>14370</v>
      </c>
      <c r="DW14" s="5">
        <f>CG14*'MASTER SHEET'!D14</f>
        <v>24429</v>
      </c>
      <c r="DX14" s="5">
        <f>CJ14*'MASTER SHEET'!D14</f>
        <v>0</v>
      </c>
      <c r="DY14" s="5">
        <f>CM14*'MASTER SHEET'!D14</f>
        <v>21555</v>
      </c>
      <c r="DZ14" s="5">
        <f>CP14*'MASTER SHEET'!D14</f>
        <v>21555</v>
      </c>
      <c r="EA14" s="5">
        <f>CS14*'MASTER SHEET'!D14</f>
        <v>21555</v>
      </c>
      <c r="EB14" s="143">
        <f>VLOOKUP($C14,'[1]GREEN LEV.₹'!$I$2:$K$54,3,0)</f>
        <v>8000</v>
      </c>
    </row>
    <row r="15" spans="1:132" ht="15.75" x14ac:dyDescent="0.25">
      <c r="A15" s="25">
        <f>'MASTER SHEET'!A15</f>
        <v>13</v>
      </c>
      <c r="B15" s="26" t="str">
        <f>'MASTER SHEET'!B15</f>
        <v>VALVE BODY, PLASTIC</v>
      </c>
      <c r="C15" s="27">
        <f>'MASTER SHEET'!C15</f>
        <v>5015903</v>
      </c>
      <c r="D15" s="56">
        <v>0</v>
      </c>
      <c r="E15" s="57">
        <f>' WIP '!F15</f>
        <v>0</v>
      </c>
      <c r="F15" s="58">
        <v>0</v>
      </c>
      <c r="G15" s="59">
        <f t="shared" si="30"/>
        <v>0</v>
      </c>
      <c r="H15" s="57">
        <f>' WIP '!J15</f>
        <v>3000</v>
      </c>
      <c r="I15" s="58">
        <v>3000</v>
      </c>
      <c r="J15" s="59">
        <f t="shared" si="31"/>
        <v>0</v>
      </c>
      <c r="K15" s="57">
        <f>' WIP '!N15</f>
        <v>0</v>
      </c>
      <c r="L15" s="58"/>
      <c r="M15" s="59">
        <f t="shared" si="32"/>
        <v>0</v>
      </c>
      <c r="N15" s="57">
        <f>' WIP '!R15</f>
        <v>3000</v>
      </c>
      <c r="O15" s="58">
        <v>3000</v>
      </c>
      <c r="P15" s="59">
        <f t="shared" si="33"/>
        <v>0</v>
      </c>
      <c r="Q15" s="57">
        <f>' WIP '!V15</f>
        <v>0</v>
      </c>
      <c r="R15" s="58">
        <v>0</v>
      </c>
      <c r="S15" s="59">
        <f t="shared" si="34"/>
        <v>0</v>
      </c>
      <c r="T15" s="57">
        <f>' WIP '!Z15</f>
        <v>3000</v>
      </c>
      <c r="U15" s="58">
        <v>3000</v>
      </c>
      <c r="V15" s="59">
        <f t="shared" si="35"/>
        <v>0</v>
      </c>
      <c r="W15" s="57">
        <f>' WIP '!AD15</f>
        <v>0</v>
      </c>
      <c r="X15" s="58">
        <v>0</v>
      </c>
      <c r="Y15" s="59">
        <f t="shared" si="36"/>
        <v>0</v>
      </c>
      <c r="Z15" s="57">
        <f>' WIP '!AH15</f>
        <v>0</v>
      </c>
      <c r="AA15" s="58">
        <v>0</v>
      </c>
      <c r="AB15" s="59">
        <f t="shared" si="37"/>
        <v>0</v>
      </c>
      <c r="AC15" s="57">
        <f>' WIP '!AL15</f>
        <v>0</v>
      </c>
      <c r="AD15" s="58">
        <v>0</v>
      </c>
      <c r="AE15" s="59">
        <f t="shared" si="38"/>
        <v>0</v>
      </c>
      <c r="AF15" s="57">
        <f>' WIP '!AP15</f>
        <v>0</v>
      </c>
      <c r="AG15" s="114">
        <v>0</v>
      </c>
      <c r="AH15" s="59">
        <f t="shared" si="39"/>
        <v>0</v>
      </c>
      <c r="AI15" s="57">
        <f>' WIP '!AT15</f>
        <v>0</v>
      </c>
      <c r="AJ15" s="58">
        <v>0</v>
      </c>
      <c r="AK15" s="59">
        <f t="shared" si="40"/>
        <v>0</v>
      </c>
      <c r="AL15" s="57">
        <f>' WIP '!AX15</f>
        <v>0</v>
      </c>
      <c r="AM15" s="58"/>
      <c r="AN15" s="59">
        <f t="shared" si="41"/>
        <v>0</v>
      </c>
      <c r="AO15" s="57">
        <f>' WIP '!BB15</f>
        <v>0</v>
      </c>
      <c r="AP15" s="58">
        <v>0</v>
      </c>
      <c r="AQ15" s="59">
        <f t="shared" si="42"/>
        <v>0</v>
      </c>
      <c r="AR15" s="57">
        <f>' WIP '!BF15</f>
        <v>4000</v>
      </c>
      <c r="AS15" s="58">
        <v>0</v>
      </c>
      <c r="AT15" s="59">
        <f t="shared" si="43"/>
        <v>4000</v>
      </c>
      <c r="AU15" s="57">
        <f>' WIP '!BJ15</f>
        <v>0</v>
      </c>
      <c r="AV15" s="58">
        <v>0</v>
      </c>
      <c r="AW15" s="59">
        <f t="shared" si="44"/>
        <v>4000</v>
      </c>
      <c r="AX15" s="57">
        <f>' WIP '!BN15</f>
        <v>0</v>
      </c>
      <c r="AY15" s="58">
        <v>0</v>
      </c>
      <c r="AZ15" s="59">
        <f t="shared" si="45"/>
        <v>4000</v>
      </c>
      <c r="BA15" s="57">
        <f>' WIP '!BR15</f>
        <v>0</v>
      </c>
      <c r="BB15" s="58">
        <v>0</v>
      </c>
      <c r="BC15" s="59">
        <f t="shared" si="46"/>
        <v>4000</v>
      </c>
      <c r="BD15" s="57">
        <f>' WIP '!BV15</f>
        <v>0</v>
      </c>
      <c r="BE15" s="58">
        <v>0</v>
      </c>
      <c r="BF15" s="59">
        <f t="shared" si="47"/>
        <v>4000</v>
      </c>
      <c r="BG15" s="57">
        <f>' WIP '!BZ15</f>
        <v>0</v>
      </c>
      <c r="BH15" s="58"/>
      <c r="BI15" s="59">
        <f t="shared" si="48"/>
        <v>4000</v>
      </c>
      <c r="BJ15" s="57">
        <f>' WIP '!CD15</f>
        <v>0</v>
      </c>
      <c r="BK15" s="58">
        <v>0</v>
      </c>
      <c r="BL15" s="59">
        <f t="shared" si="49"/>
        <v>4000</v>
      </c>
      <c r="BM15" s="57">
        <f>' WIP '!CH15</f>
        <v>0</v>
      </c>
      <c r="BN15" s="58">
        <v>0</v>
      </c>
      <c r="BO15" s="59">
        <f t="shared" si="50"/>
        <v>4000</v>
      </c>
      <c r="BP15" s="57">
        <f>' WIP '!CL15</f>
        <v>0</v>
      </c>
      <c r="BQ15" s="58"/>
      <c r="BR15" s="59">
        <f t="shared" si="51"/>
        <v>4000</v>
      </c>
      <c r="BS15" s="57">
        <f>' WIP '!CP15</f>
        <v>0</v>
      </c>
      <c r="BT15" s="58">
        <v>0</v>
      </c>
      <c r="BU15" s="59">
        <f t="shared" si="52"/>
        <v>4000</v>
      </c>
      <c r="BV15" s="57">
        <f>' WIP '!CT15</f>
        <v>0</v>
      </c>
      <c r="BW15" s="28">
        <v>0</v>
      </c>
      <c r="BX15" s="59">
        <f t="shared" si="53"/>
        <v>4000</v>
      </c>
      <c r="BY15" s="57">
        <f>' WIP '!CX15</f>
        <v>0</v>
      </c>
      <c r="BZ15" s="58">
        <v>0</v>
      </c>
      <c r="CA15" s="59">
        <f t="shared" si="54"/>
        <v>4000</v>
      </c>
      <c r="CB15" s="57">
        <f>' WIP '!DB15</f>
        <v>0</v>
      </c>
      <c r="CC15" s="58">
        <v>0</v>
      </c>
      <c r="CD15" s="59">
        <f t="shared" si="55"/>
        <v>4000</v>
      </c>
      <c r="CE15" s="57">
        <f>' WIP '!DF15</f>
        <v>0</v>
      </c>
      <c r="CF15" s="58">
        <v>0</v>
      </c>
      <c r="CG15" s="59">
        <f t="shared" si="56"/>
        <v>4000</v>
      </c>
      <c r="CH15" s="57">
        <f>' WIP '!DJ15</f>
        <v>0</v>
      </c>
      <c r="CI15" s="58">
        <v>0</v>
      </c>
      <c r="CJ15" s="59">
        <f t="shared" si="57"/>
        <v>4000</v>
      </c>
      <c r="CK15" s="57">
        <f>' WIP '!DN15</f>
        <v>0</v>
      </c>
      <c r="CL15" s="58">
        <v>0</v>
      </c>
      <c r="CM15" s="59">
        <f t="shared" si="58"/>
        <v>4000</v>
      </c>
      <c r="CN15" s="57">
        <f>' WIP '!DR15</f>
        <v>0</v>
      </c>
      <c r="CO15" s="57"/>
      <c r="CP15" s="59">
        <f t="shared" si="59"/>
        <v>4000</v>
      </c>
      <c r="CQ15" s="57">
        <f>' WIP '!DV15</f>
        <v>0</v>
      </c>
      <c r="CR15" s="58"/>
      <c r="CS15" s="59">
        <f t="shared" si="60"/>
        <v>4000</v>
      </c>
      <c r="CT15" s="31">
        <f t="shared" si="61"/>
        <v>13000</v>
      </c>
      <c r="CU15" s="4">
        <f t="shared" si="62"/>
        <v>9000</v>
      </c>
      <c r="CV15" s="5">
        <f>D15*'MASTER SHEET'!D15</f>
        <v>0</v>
      </c>
      <c r="CW15" s="5">
        <f>G15*'MASTER SHEET'!D15</f>
        <v>0</v>
      </c>
      <c r="CX15" s="5">
        <f>J15*'MASTER SHEET'!D15</f>
        <v>0</v>
      </c>
      <c r="CY15" s="5">
        <f>M15*'MASTER SHEET'!D15</f>
        <v>0</v>
      </c>
      <c r="CZ15" s="5">
        <f>P15*'MASTER SHEET'!D15</f>
        <v>0</v>
      </c>
      <c r="DA15" s="5">
        <f>S15*'MASTER SHEET'!D15</f>
        <v>0</v>
      </c>
      <c r="DB15" s="5">
        <f>V15*'MASTER SHEET'!D15</f>
        <v>0</v>
      </c>
      <c r="DC15" s="5">
        <f>Y15*'MASTER SHEET'!D15</f>
        <v>0</v>
      </c>
      <c r="DD15" s="5">
        <f>AB15*'MASTER SHEET'!D15</f>
        <v>0</v>
      </c>
      <c r="DE15" s="5">
        <f>AE15*'MASTER SHEET'!D15</f>
        <v>0</v>
      </c>
      <c r="DF15" s="5">
        <f>AH15*'MASTER SHEET'!D15</f>
        <v>0</v>
      </c>
      <c r="DG15" s="5">
        <f>AK15*'MASTER SHEET'!D15</f>
        <v>0</v>
      </c>
      <c r="DH15" s="5">
        <f>AN15*'MASTER SHEET'!D15</f>
        <v>0</v>
      </c>
      <c r="DI15" s="5">
        <f>AQ15*'MASTER SHEET'!D15</f>
        <v>0</v>
      </c>
      <c r="DJ15" s="5">
        <f>AT15*'MASTER SHEET'!D15</f>
        <v>9520</v>
      </c>
      <c r="DK15" s="5">
        <f>AW15*'MASTER SHEET'!D15</f>
        <v>9520</v>
      </c>
      <c r="DL15" s="5">
        <f>AZ15*'MASTER SHEET'!D15</f>
        <v>9520</v>
      </c>
      <c r="DM15" s="5">
        <f>BC15*'MASTER SHEET'!D15</f>
        <v>9520</v>
      </c>
      <c r="DN15" s="5">
        <f>BF15*'MASTER SHEET'!D15</f>
        <v>9520</v>
      </c>
      <c r="DO15" s="5">
        <f>BI15*'MASTER SHEET'!D15</f>
        <v>9520</v>
      </c>
      <c r="DP15" s="5">
        <f>BL15*'MASTER SHEET'!D15</f>
        <v>9520</v>
      </c>
      <c r="DQ15" s="5">
        <f>BO15*'MASTER SHEET'!D15</f>
        <v>9520</v>
      </c>
      <c r="DR15" s="5">
        <f>BR15*'MASTER SHEET'!D15</f>
        <v>9520</v>
      </c>
      <c r="DS15" s="5">
        <f>BU15*'MASTER SHEET'!D15</f>
        <v>9520</v>
      </c>
      <c r="DT15" s="5">
        <f>BX15*'MASTER SHEET'!D15</f>
        <v>9520</v>
      </c>
      <c r="DU15" s="5">
        <f>CA15*'MASTER SHEET'!D15</f>
        <v>9520</v>
      </c>
      <c r="DV15" s="5">
        <f>CD15*'MASTER SHEET'!D15</f>
        <v>9520</v>
      </c>
      <c r="DW15" s="5">
        <f>CG15*'MASTER SHEET'!D15</f>
        <v>9520</v>
      </c>
      <c r="DX15" s="5">
        <f>CJ15*'MASTER SHEET'!D15</f>
        <v>9520</v>
      </c>
      <c r="DY15" s="5">
        <f>CM15*'MASTER SHEET'!D15</f>
        <v>9520</v>
      </c>
      <c r="DZ15" s="5">
        <f>CP15*'MASTER SHEET'!D15</f>
        <v>9520</v>
      </c>
      <c r="EA15" s="5">
        <f>CS15*'MASTER SHEET'!D15</f>
        <v>9520</v>
      </c>
      <c r="EB15" s="143">
        <f>VLOOKUP($C15,'[1]GREEN LEV.₹'!$I$2:$K$54,3,0)</f>
        <v>2000</v>
      </c>
    </row>
    <row r="16" spans="1:132" ht="15.75" x14ac:dyDescent="0.25">
      <c r="A16" s="25">
        <f>'MASTER SHEET'!A16</f>
        <v>14</v>
      </c>
      <c r="B16" s="26" t="str">
        <f>'MASTER SHEET'!B16</f>
        <v>VALVE BODY, PLASTIC</v>
      </c>
      <c r="C16" s="27">
        <f>'MASTER SHEET'!C16</f>
        <v>5015904</v>
      </c>
      <c r="D16" s="56">
        <v>1000</v>
      </c>
      <c r="E16" s="57">
        <f>' WIP '!F16</f>
        <v>0</v>
      </c>
      <c r="F16" s="58">
        <v>1000</v>
      </c>
      <c r="G16" s="59">
        <f t="shared" si="30"/>
        <v>0</v>
      </c>
      <c r="H16" s="57">
        <f>' WIP '!J16</f>
        <v>3000</v>
      </c>
      <c r="I16" s="58">
        <v>3000</v>
      </c>
      <c r="J16" s="59">
        <f t="shared" si="31"/>
        <v>0</v>
      </c>
      <c r="K16" s="57">
        <f>' WIP '!N16</f>
        <v>0</v>
      </c>
      <c r="L16" s="58"/>
      <c r="M16" s="59">
        <f t="shared" si="32"/>
        <v>0</v>
      </c>
      <c r="N16" s="57">
        <f>' WIP '!R16</f>
        <v>3000</v>
      </c>
      <c r="O16" s="58">
        <v>3000</v>
      </c>
      <c r="P16" s="59">
        <f t="shared" si="33"/>
        <v>0</v>
      </c>
      <c r="Q16" s="57">
        <f>' WIP '!V16</f>
        <v>0</v>
      </c>
      <c r="R16" s="58">
        <v>0</v>
      </c>
      <c r="S16" s="59">
        <f t="shared" si="34"/>
        <v>0</v>
      </c>
      <c r="T16" s="57">
        <f>' WIP '!Z16</f>
        <v>3000</v>
      </c>
      <c r="U16" s="58">
        <v>3000</v>
      </c>
      <c r="V16" s="59">
        <f t="shared" si="35"/>
        <v>0</v>
      </c>
      <c r="W16" s="57">
        <f>' WIP '!AD16</f>
        <v>0</v>
      </c>
      <c r="X16" s="58">
        <v>0</v>
      </c>
      <c r="Y16" s="59">
        <f t="shared" si="36"/>
        <v>0</v>
      </c>
      <c r="Z16" s="57">
        <f>' WIP '!AH16</f>
        <v>0</v>
      </c>
      <c r="AA16" s="58">
        <v>0</v>
      </c>
      <c r="AB16" s="59">
        <f t="shared" si="37"/>
        <v>0</v>
      </c>
      <c r="AC16" s="57">
        <f>' WIP '!AL16</f>
        <v>0</v>
      </c>
      <c r="AD16" s="58">
        <v>0</v>
      </c>
      <c r="AE16" s="59">
        <f t="shared" si="38"/>
        <v>0</v>
      </c>
      <c r="AF16" s="57">
        <f>' WIP '!AP16</f>
        <v>0</v>
      </c>
      <c r="AG16" s="114">
        <v>0</v>
      </c>
      <c r="AH16" s="59">
        <f t="shared" si="39"/>
        <v>0</v>
      </c>
      <c r="AI16" s="57">
        <f>' WIP '!AT16</f>
        <v>0</v>
      </c>
      <c r="AJ16" s="58">
        <v>0</v>
      </c>
      <c r="AK16" s="59">
        <f t="shared" si="40"/>
        <v>0</v>
      </c>
      <c r="AL16" s="57">
        <f>' WIP '!AX16</f>
        <v>0</v>
      </c>
      <c r="AM16" s="58"/>
      <c r="AN16" s="59">
        <f t="shared" si="41"/>
        <v>0</v>
      </c>
      <c r="AO16" s="57">
        <f>' WIP '!BB16</f>
        <v>0</v>
      </c>
      <c r="AP16" s="58">
        <v>0</v>
      </c>
      <c r="AQ16" s="59">
        <f t="shared" si="42"/>
        <v>0</v>
      </c>
      <c r="AR16" s="57">
        <f>' WIP '!BF16</f>
        <v>4000</v>
      </c>
      <c r="AS16" s="58">
        <v>0</v>
      </c>
      <c r="AT16" s="59">
        <f t="shared" si="43"/>
        <v>4000</v>
      </c>
      <c r="AU16" s="57">
        <f>' WIP '!BJ16</f>
        <v>0</v>
      </c>
      <c r="AV16" s="58">
        <v>0</v>
      </c>
      <c r="AW16" s="59">
        <f t="shared" si="44"/>
        <v>4000</v>
      </c>
      <c r="AX16" s="57">
        <f>' WIP '!BN16</f>
        <v>0</v>
      </c>
      <c r="AY16" s="58">
        <v>0</v>
      </c>
      <c r="AZ16" s="59">
        <f t="shared" si="45"/>
        <v>4000</v>
      </c>
      <c r="BA16" s="57">
        <f>' WIP '!BR16</f>
        <v>0</v>
      </c>
      <c r="BB16" s="58">
        <v>0</v>
      </c>
      <c r="BC16" s="59">
        <f t="shared" si="46"/>
        <v>4000</v>
      </c>
      <c r="BD16" s="57">
        <f>' WIP '!BV16</f>
        <v>0</v>
      </c>
      <c r="BE16" s="58">
        <v>0</v>
      </c>
      <c r="BF16" s="59">
        <f t="shared" si="47"/>
        <v>4000</v>
      </c>
      <c r="BG16" s="57">
        <f>' WIP '!BZ16</f>
        <v>0</v>
      </c>
      <c r="BH16" s="58"/>
      <c r="BI16" s="59">
        <f t="shared" si="48"/>
        <v>4000</v>
      </c>
      <c r="BJ16" s="57">
        <f>' WIP '!CD16</f>
        <v>0</v>
      </c>
      <c r="BK16" s="58">
        <v>0</v>
      </c>
      <c r="BL16" s="59">
        <f t="shared" si="49"/>
        <v>4000</v>
      </c>
      <c r="BM16" s="57">
        <f>' WIP '!CH16</f>
        <v>0</v>
      </c>
      <c r="BN16" s="58">
        <v>0</v>
      </c>
      <c r="BO16" s="59">
        <f t="shared" si="50"/>
        <v>4000</v>
      </c>
      <c r="BP16" s="57">
        <f>' WIP '!CL16</f>
        <v>0</v>
      </c>
      <c r="BQ16" s="58"/>
      <c r="BR16" s="59">
        <f t="shared" si="51"/>
        <v>4000</v>
      </c>
      <c r="BS16" s="57">
        <f>' WIP '!CP16</f>
        <v>0</v>
      </c>
      <c r="BT16" s="58">
        <v>0</v>
      </c>
      <c r="BU16" s="59">
        <f t="shared" si="52"/>
        <v>4000</v>
      </c>
      <c r="BV16" s="57">
        <f>' WIP '!CT16</f>
        <v>0</v>
      </c>
      <c r="BW16" s="28">
        <v>0</v>
      </c>
      <c r="BX16" s="59">
        <f t="shared" si="53"/>
        <v>4000</v>
      </c>
      <c r="BY16" s="57">
        <f>' WIP '!CX16</f>
        <v>0</v>
      </c>
      <c r="BZ16" s="58">
        <v>0</v>
      </c>
      <c r="CA16" s="59">
        <f t="shared" si="54"/>
        <v>4000</v>
      </c>
      <c r="CB16" s="57">
        <f>' WIP '!DB16</f>
        <v>0</v>
      </c>
      <c r="CC16" s="58">
        <v>0</v>
      </c>
      <c r="CD16" s="59">
        <f t="shared" si="55"/>
        <v>4000</v>
      </c>
      <c r="CE16" s="57">
        <f>' WIP '!DF16</f>
        <v>0</v>
      </c>
      <c r="CF16" s="58">
        <v>0</v>
      </c>
      <c r="CG16" s="59">
        <f t="shared" si="56"/>
        <v>4000</v>
      </c>
      <c r="CH16" s="57">
        <f>' WIP '!DJ16</f>
        <v>0</v>
      </c>
      <c r="CI16" s="58">
        <v>0</v>
      </c>
      <c r="CJ16" s="59">
        <f t="shared" si="57"/>
        <v>4000</v>
      </c>
      <c r="CK16" s="57">
        <f>' WIP '!DN16</f>
        <v>0</v>
      </c>
      <c r="CL16" s="58">
        <v>0</v>
      </c>
      <c r="CM16" s="59">
        <f t="shared" si="58"/>
        <v>4000</v>
      </c>
      <c r="CN16" s="57">
        <f>' WIP '!DR16</f>
        <v>0</v>
      </c>
      <c r="CO16" s="57"/>
      <c r="CP16" s="59">
        <f t="shared" si="59"/>
        <v>4000</v>
      </c>
      <c r="CQ16" s="57">
        <f>' WIP '!DV16</f>
        <v>0</v>
      </c>
      <c r="CR16" s="58"/>
      <c r="CS16" s="59">
        <f t="shared" si="60"/>
        <v>4000</v>
      </c>
      <c r="CT16" s="31">
        <f t="shared" si="61"/>
        <v>14000</v>
      </c>
      <c r="CU16" s="4">
        <f t="shared" si="62"/>
        <v>10000</v>
      </c>
      <c r="CV16" s="5">
        <f>D16*'MASTER SHEET'!D16</f>
        <v>2380</v>
      </c>
      <c r="CW16" s="5">
        <f>G16*'MASTER SHEET'!D16</f>
        <v>0</v>
      </c>
      <c r="CX16" s="5">
        <f>J16*'MASTER SHEET'!D16</f>
        <v>0</v>
      </c>
      <c r="CY16" s="5">
        <f>M16*'MASTER SHEET'!D16</f>
        <v>0</v>
      </c>
      <c r="CZ16" s="5">
        <f>P16*'MASTER SHEET'!D16</f>
        <v>0</v>
      </c>
      <c r="DA16" s="5">
        <f>S16*'MASTER SHEET'!D16</f>
        <v>0</v>
      </c>
      <c r="DB16" s="5">
        <f>V16*'MASTER SHEET'!D16</f>
        <v>0</v>
      </c>
      <c r="DC16" s="5">
        <f>Y16*'MASTER SHEET'!D16</f>
        <v>0</v>
      </c>
      <c r="DD16" s="5">
        <f>AB16*'MASTER SHEET'!D16</f>
        <v>0</v>
      </c>
      <c r="DE16" s="5">
        <f>AE16*'MASTER SHEET'!D16</f>
        <v>0</v>
      </c>
      <c r="DF16" s="5">
        <f>AH16*'MASTER SHEET'!D16</f>
        <v>0</v>
      </c>
      <c r="DG16" s="5">
        <f>AK16*'MASTER SHEET'!D16</f>
        <v>0</v>
      </c>
      <c r="DH16" s="5">
        <f>AN16*'MASTER SHEET'!D16</f>
        <v>0</v>
      </c>
      <c r="DI16" s="5">
        <f>AQ16*'MASTER SHEET'!D16</f>
        <v>0</v>
      </c>
      <c r="DJ16" s="5">
        <f>AT16*'MASTER SHEET'!D16</f>
        <v>9520</v>
      </c>
      <c r="DK16" s="5">
        <f>AW16*'MASTER SHEET'!D16</f>
        <v>9520</v>
      </c>
      <c r="DL16" s="5">
        <f>AZ16*'MASTER SHEET'!D16</f>
        <v>9520</v>
      </c>
      <c r="DM16" s="5">
        <f>BC16*'MASTER SHEET'!D16</f>
        <v>9520</v>
      </c>
      <c r="DN16" s="5">
        <f>BF16*'MASTER SHEET'!D16</f>
        <v>9520</v>
      </c>
      <c r="DO16" s="5">
        <f>BI16*'MASTER SHEET'!D16</f>
        <v>9520</v>
      </c>
      <c r="DP16" s="5">
        <f>BL16*'MASTER SHEET'!D16</f>
        <v>9520</v>
      </c>
      <c r="DQ16" s="5">
        <f>BO16*'MASTER SHEET'!D16</f>
        <v>9520</v>
      </c>
      <c r="DR16" s="5">
        <f>BR16*'MASTER SHEET'!D16</f>
        <v>9520</v>
      </c>
      <c r="DS16" s="5">
        <f>BU16*'MASTER SHEET'!D16</f>
        <v>9520</v>
      </c>
      <c r="DT16" s="5">
        <f>BX16*'MASTER SHEET'!D16</f>
        <v>9520</v>
      </c>
      <c r="DU16" s="5">
        <f>CA16*'MASTER SHEET'!D16</f>
        <v>9520</v>
      </c>
      <c r="DV16" s="5">
        <f>CD16*'MASTER SHEET'!D16</f>
        <v>9520</v>
      </c>
      <c r="DW16" s="5">
        <f>CG16*'MASTER SHEET'!D16</f>
        <v>9520</v>
      </c>
      <c r="DX16" s="5">
        <f>CJ16*'MASTER SHEET'!D16</f>
        <v>9520</v>
      </c>
      <c r="DY16" s="5">
        <f>CM16*'MASTER SHEET'!D16</f>
        <v>9520</v>
      </c>
      <c r="DZ16" s="5">
        <f>CP16*'MASTER SHEET'!D16</f>
        <v>9520</v>
      </c>
      <c r="EA16" s="5">
        <f>CS16*'MASTER SHEET'!D16</f>
        <v>9520</v>
      </c>
      <c r="EB16" s="143">
        <f>VLOOKUP($C16,'[1]GREEN LEV.₹'!$I$2:$K$54,3,0)</f>
        <v>2000</v>
      </c>
    </row>
    <row r="17" spans="1:132" ht="15.75" x14ac:dyDescent="0.25">
      <c r="A17" s="25">
        <f>'MASTER SHEET'!A17</f>
        <v>15</v>
      </c>
      <c r="B17" s="26" t="str">
        <f>'MASTER SHEET'!B17</f>
        <v>END PLATE PLASTIC</v>
      </c>
      <c r="C17" s="27">
        <f>'MASTER SHEET'!C17</f>
        <v>5016812</v>
      </c>
      <c r="D17" s="56">
        <v>500</v>
      </c>
      <c r="E17" s="57">
        <f>' WIP '!F17</f>
        <v>0</v>
      </c>
      <c r="F17" s="58">
        <v>0</v>
      </c>
      <c r="G17" s="59">
        <f t="shared" si="30"/>
        <v>500</v>
      </c>
      <c r="H17" s="57">
        <f>' WIP '!J17</f>
        <v>0</v>
      </c>
      <c r="I17" s="58">
        <v>0</v>
      </c>
      <c r="J17" s="59">
        <f t="shared" si="31"/>
        <v>500</v>
      </c>
      <c r="K17" s="57">
        <f>' WIP '!N17</f>
        <v>0</v>
      </c>
      <c r="L17" s="58"/>
      <c r="M17" s="59">
        <f t="shared" si="32"/>
        <v>500</v>
      </c>
      <c r="N17" s="57">
        <f>' WIP '!R17</f>
        <v>0</v>
      </c>
      <c r="O17" s="58">
        <v>0</v>
      </c>
      <c r="P17" s="59">
        <f t="shared" si="33"/>
        <v>500</v>
      </c>
      <c r="Q17" s="57">
        <f>' WIP '!V17</f>
        <v>0</v>
      </c>
      <c r="R17" s="58">
        <v>500</v>
      </c>
      <c r="S17" s="59">
        <f t="shared" si="34"/>
        <v>0</v>
      </c>
      <c r="T17" s="57">
        <f>' WIP '!Z17</f>
        <v>0</v>
      </c>
      <c r="U17" s="58">
        <v>0</v>
      </c>
      <c r="V17" s="59">
        <f t="shared" si="35"/>
        <v>0</v>
      </c>
      <c r="W17" s="57">
        <f>' WIP '!AD17</f>
        <v>0</v>
      </c>
      <c r="X17" s="58">
        <v>0</v>
      </c>
      <c r="Y17" s="59">
        <f t="shared" si="36"/>
        <v>0</v>
      </c>
      <c r="Z17" s="57">
        <f>' WIP '!AH17</f>
        <v>1700</v>
      </c>
      <c r="AA17" s="58">
        <v>0</v>
      </c>
      <c r="AB17" s="59">
        <f t="shared" si="37"/>
        <v>1700</v>
      </c>
      <c r="AC17" s="57">
        <f>' WIP '!AL17</f>
        <v>0</v>
      </c>
      <c r="AD17" s="58">
        <v>0</v>
      </c>
      <c r="AE17" s="59">
        <f t="shared" si="38"/>
        <v>1700</v>
      </c>
      <c r="AF17" s="57">
        <f>' WIP '!AP17</f>
        <v>0</v>
      </c>
      <c r="AG17" s="114">
        <v>0</v>
      </c>
      <c r="AH17" s="59">
        <f t="shared" si="39"/>
        <v>1700</v>
      </c>
      <c r="AI17" s="57">
        <f>' WIP '!AT17</f>
        <v>0</v>
      </c>
      <c r="AJ17" s="58">
        <v>0</v>
      </c>
      <c r="AK17" s="59">
        <f t="shared" si="40"/>
        <v>1700</v>
      </c>
      <c r="AL17" s="57">
        <f>' WIP '!AX17</f>
        <v>0</v>
      </c>
      <c r="AM17" s="58"/>
      <c r="AN17" s="59">
        <f t="shared" si="41"/>
        <v>1700</v>
      </c>
      <c r="AO17" s="57">
        <f>' WIP '!BB17</f>
        <v>0</v>
      </c>
      <c r="AP17" s="58">
        <v>0</v>
      </c>
      <c r="AQ17" s="59">
        <f t="shared" si="42"/>
        <v>1700</v>
      </c>
      <c r="AR17" s="57">
        <f>' WIP '!BF17</f>
        <v>0</v>
      </c>
      <c r="AS17" s="58">
        <v>0</v>
      </c>
      <c r="AT17" s="59">
        <f t="shared" si="43"/>
        <v>1700</v>
      </c>
      <c r="AU17" s="57">
        <f>' WIP '!BJ17</f>
        <v>0</v>
      </c>
      <c r="AV17" s="58">
        <v>0</v>
      </c>
      <c r="AW17" s="59">
        <f t="shared" si="44"/>
        <v>1700</v>
      </c>
      <c r="AX17" s="57">
        <f>' WIP '!BN17</f>
        <v>0</v>
      </c>
      <c r="AY17" s="58">
        <v>0</v>
      </c>
      <c r="AZ17" s="59">
        <f t="shared" si="45"/>
        <v>1700</v>
      </c>
      <c r="BA17" s="57">
        <f>' WIP '!BR17</f>
        <v>0</v>
      </c>
      <c r="BB17" s="58">
        <v>1700</v>
      </c>
      <c r="BC17" s="59">
        <f t="shared" si="46"/>
        <v>0</v>
      </c>
      <c r="BD17" s="57">
        <f>' WIP '!BV17</f>
        <v>0</v>
      </c>
      <c r="BE17" s="58">
        <v>0</v>
      </c>
      <c r="BF17" s="59">
        <f t="shared" si="47"/>
        <v>0</v>
      </c>
      <c r="BG17" s="57">
        <f>' WIP '!BZ17</f>
        <v>0</v>
      </c>
      <c r="BH17" s="58"/>
      <c r="BI17" s="59">
        <f t="shared" si="48"/>
        <v>0</v>
      </c>
      <c r="BJ17" s="57">
        <f>' WIP '!CD17</f>
        <v>0</v>
      </c>
      <c r="BK17" s="58">
        <v>0</v>
      </c>
      <c r="BL17" s="59">
        <f t="shared" si="49"/>
        <v>0</v>
      </c>
      <c r="BM17" s="57">
        <f>' WIP '!CH17</f>
        <v>0</v>
      </c>
      <c r="BN17" s="58">
        <v>0</v>
      </c>
      <c r="BO17" s="59">
        <f t="shared" si="50"/>
        <v>0</v>
      </c>
      <c r="BP17" s="57">
        <f>' WIP '!CL17</f>
        <v>0</v>
      </c>
      <c r="BQ17" s="58"/>
      <c r="BR17" s="59">
        <f t="shared" si="51"/>
        <v>0</v>
      </c>
      <c r="BS17" s="57">
        <f>' WIP '!CP17</f>
        <v>0</v>
      </c>
      <c r="BT17" s="58">
        <v>0</v>
      </c>
      <c r="BU17" s="59">
        <f t="shared" si="52"/>
        <v>0</v>
      </c>
      <c r="BV17" s="57">
        <f>' WIP '!CT17</f>
        <v>0</v>
      </c>
      <c r="BW17" s="28">
        <v>0</v>
      </c>
      <c r="BX17" s="59">
        <f t="shared" si="53"/>
        <v>0</v>
      </c>
      <c r="BY17" s="57">
        <f>' WIP '!CX17</f>
        <v>0</v>
      </c>
      <c r="BZ17" s="58">
        <v>0</v>
      </c>
      <c r="CA17" s="59">
        <f t="shared" si="54"/>
        <v>0</v>
      </c>
      <c r="CB17" s="57">
        <f>' WIP '!DB17</f>
        <v>0</v>
      </c>
      <c r="CC17" s="58">
        <v>0</v>
      </c>
      <c r="CD17" s="59">
        <f t="shared" si="55"/>
        <v>0</v>
      </c>
      <c r="CE17" s="57">
        <f>' WIP '!DF17</f>
        <v>0</v>
      </c>
      <c r="CF17" s="58">
        <v>0</v>
      </c>
      <c r="CG17" s="59">
        <f t="shared" si="56"/>
        <v>0</v>
      </c>
      <c r="CH17" s="57">
        <f>' WIP '!DJ17</f>
        <v>0</v>
      </c>
      <c r="CI17" s="58">
        <v>0</v>
      </c>
      <c r="CJ17" s="59">
        <f t="shared" si="57"/>
        <v>0</v>
      </c>
      <c r="CK17" s="57">
        <f>' WIP '!DN17</f>
        <v>0</v>
      </c>
      <c r="CL17" s="58">
        <v>0</v>
      </c>
      <c r="CM17" s="59">
        <f t="shared" si="58"/>
        <v>0</v>
      </c>
      <c r="CN17" s="57">
        <f>' WIP '!DR17</f>
        <v>0</v>
      </c>
      <c r="CO17" s="57"/>
      <c r="CP17" s="59">
        <f t="shared" si="59"/>
        <v>0</v>
      </c>
      <c r="CQ17" s="57">
        <f>' WIP '!DV17</f>
        <v>0</v>
      </c>
      <c r="CR17" s="58"/>
      <c r="CS17" s="59">
        <f t="shared" si="60"/>
        <v>0</v>
      </c>
      <c r="CT17" s="31">
        <f t="shared" si="61"/>
        <v>2200</v>
      </c>
      <c r="CU17" s="4">
        <f t="shared" si="62"/>
        <v>2200</v>
      </c>
      <c r="CV17" s="5">
        <f>D17*'MASTER SHEET'!D17</f>
        <v>10335</v>
      </c>
      <c r="CW17" s="5">
        <f>G17*'MASTER SHEET'!D17</f>
        <v>10335</v>
      </c>
      <c r="CX17" s="5">
        <f>J17*'MASTER SHEET'!D17</f>
        <v>10335</v>
      </c>
      <c r="CY17" s="5">
        <f>M17*'MASTER SHEET'!D17</f>
        <v>10335</v>
      </c>
      <c r="CZ17" s="5">
        <f>P17*'MASTER SHEET'!D17</f>
        <v>10335</v>
      </c>
      <c r="DA17" s="5">
        <f>S17*'MASTER SHEET'!D17</f>
        <v>0</v>
      </c>
      <c r="DB17" s="5">
        <f>V17*'MASTER SHEET'!D17</f>
        <v>0</v>
      </c>
      <c r="DC17" s="5">
        <f>Y17*'MASTER SHEET'!D17</f>
        <v>0</v>
      </c>
      <c r="DD17" s="5">
        <f>AB17*'MASTER SHEET'!D17</f>
        <v>35139</v>
      </c>
      <c r="DE17" s="5">
        <f>AE17*'MASTER SHEET'!D17</f>
        <v>35139</v>
      </c>
      <c r="DF17" s="5">
        <f>AH17*'MASTER SHEET'!D17</f>
        <v>35139</v>
      </c>
      <c r="DG17" s="5">
        <f>AK17*'MASTER SHEET'!D17</f>
        <v>35139</v>
      </c>
      <c r="DH17" s="5">
        <f>AN17*'MASTER SHEET'!D17</f>
        <v>35139</v>
      </c>
      <c r="DI17" s="5">
        <f>AQ17*'MASTER SHEET'!D17</f>
        <v>35139</v>
      </c>
      <c r="DJ17" s="5">
        <f>AT17*'MASTER SHEET'!D17</f>
        <v>35139</v>
      </c>
      <c r="DK17" s="5">
        <f>AW17*'MASTER SHEET'!D17</f>
        <v>35139</v>
      </c>
      <c r="DL17" s="5">
        <f>AZ17*'MASTER SHEET'!D17</f>
        <v>35139</v>
      </c>
      <c r="DM17" s="5">
        <f>BC17*'MASTER SHEET'!D17</f>
        <v>0</v>
      </c>
      <c r="DN17" s="5">
        <f>BF17*'MASTER SHEET'!D17</f>
        <v>0</v>
      </c>
      <c r="DO17" s="5">
        <f>BI17*'MASTER SHEET'!D17</f>
        <v>0</v>
      </c>
      <c r="DP17" s="5">
        <f>BL17*'MASTER SHEET'!D17</f>
        <v>0</v>
      </c>
      <c r="DQ17" s="5">
        <f>BO17*'MASTER SHEET'!D17</f>
        <v>0</v>
      </c>
      <c r="DR17" s="5">
        <f>BR17*'MASTER SHEET'!D17</f>
        <v>0</v>
      </c>
      <c r="DS17" s="5">
        <f>BU17*'MASTER SHEET'!D17</f>
        <v>0</v>
      </c>
      <c r="DT17" s="5">
        <f>BX17*'MASTER SHEET'!D17</f>
        <v>0</v>
      </c>
      <c r="DU17" s="5">
        <f>CA17*'MASTER SHEET'!D17</f>
        <v>0</v>
      </c>
      <c r="DV17" s="5">
        <f>CD17*'MASTER SHEET'!D17</f>
        <v>0</v>
      </c>
      <c r="DW17" s="5">
        <f>CG17*'MASTER SHEET'!D17</f>
        <v>0</v>
      </c>
      <c r="DX17" s="5">
        <f>CJ17*'MASTER SHEET'!D17</f>
        <v>0</v>
      </c>
      <c r="DY17" s="5">
        <f>CM17*'MASTER SHEET'!D17</f>
        <v>0</v>
      </c>
      <c r="DZ17" s="5">
        <f>CP17*'MASTER SHEET'!D17</f>
        <v>0</v>
      </c>
      <c r="EA17" s="5">
        <f>CS17*'MASTER SHEET'!D17</f>
        <v>0</v>
      </c>
      <c r="EB17" s="9"/>
    </row>
    <row r="18" spans="1:132" ht="15.75" x14ac:dyDescent="0.25">
      <c r="A18" s="25">
        <f>'MASTER SHEET'!A18</f>
        <v>16</v>
      </c>
      <c r="B18" s="26" t="str">
        <f>'MASTER SHEET'!B18</f>
        <v>CENTER TUBE</v>
      </c>
      <c r="C18" s="27">
        <f>'MASTER SHEET'!C18</f>
        <v>5016815</v>
      </c>
      <c r="D18" s="56">
        <v>0</v>
      </c>
      <c r="E18" s="57">
        <f>' WIP '!F18</f>
        <v>0</v>
      </c>
      <c r="F18" s="58">
        <v>0</v>
      </c>
      <c r="G18" s="59">
        <f t="shared" si="30"/>
        <v>0</v>
      </c>
      <c r="H18" s="57">
        <f>' WIP '!J18</f>
        <v>0</v>
      </c>
      <c r="I18" s="58">
        <v>0</v>
      </c>
      <c r="J18" s="59">
        <f t="shared" si="31"/>
        <v>0</v>
      </c>
      <c r="K18" s="57">
        <f>' WIP '!N18</f>
        <v>0</v>
      </c>
      <c r="L18" s="58"/>
      <c r="M18" s="59">
        <f t="shared" si="32"/>
        <v>0</v>
      </c>
      <c r="N18" s="57">
        <f>' WIP '!R18</f>
        <v>0</v>
      </c>
      <c r="O18" s="58">
        <v>0</v>
      </c>
      <c r="P18" s="59">
        <f t="shared" si="33"/>
        <v>0</v>
      </c>
      <c r="Q18" s="57">
        <f>' WIP '!V18</f>
        <v>0</v>
      </c>
      <c r="R18" s="58">
        <v>0</v>
      </c>
      <c r="S18" s="59">
        <f t="shared" si="34"/>
        <v>0</v>
      </c>
      <c r="T18" s="57">
        <f>' WIP '!Z18</f>
        <v>0</v>
      </c>
      <c r="U18" s="58">
        <v>0</v>
      </c>
      <c r="V18" s="59">
        <f t="shared" si="35"/>
        <v>0</v>
      </c>
      <c r="W18" s="57">
        <f>' WIP '!AD18</f>
        <v>0</v>
      </c>
      <c r="X18" s="58">
        <v>0</v>
      </c>
      <c r="Y18" s="59">
        <f t="shared" si="36"/>
        <v>0</v>
      </c>
      <c r="Z18" s="57">
        <f>' WIP '!AH18</f>
        <v>480</v>
      </c>
      <c r="AA18" s="58">
        <v>0</v>
      </c>
      <c r="AB18" s="59">
        <f t="shared" si="37"/>
        <v>480</v>
      </c>
      <c r="AC18" s="57">
        <f>' WIP '!AL18</f>
        <v>0</v>
      </c>
      <c r="AD18" s="58">
        <v>0</v>
      </c>
      <c r="AE18" s="59">
        <f t="shared" si="38"/>
        <v>480</v>
      </c>
      <c r="AF18" s="57">
        <f>' WIP '!AP18</f>
        <v>0</v>
      </c>
      <c r="AG18" s="114">
        <v>0</v>
      </c>
      <c r="AH18" s="59">
        <f t="shared" si="39"/>
        <v>480</v>
      </c>
      <c r="AI18" s="57">
        <f>' WIP '!AT18</f>
        <v>0</v>
      </c>
      <c r="AJ18" s="58">
        <v>0</v>
      </c>
      <c r="AK18" s="59">
        <f t="shared" si="40"/>
        <v>480</v>
      </c>
      <c r="AL18" s="57">
        <f>' WIP '!AX18</f>
        <v>0</v>
      </c>
      <c r="AM18" s="58"/>
      <c r="AN18" s="59">
        <f t="shared" si="41"/>
        <v>480</v>
      </c>
      <c r="AO18" s="57">
        <f>' WIP '!BB18</f>
        <v>0</v>
      </c>
      <c r="AP18" s="58">
        <v>0</v>
      </c>
      <c r="AQ18" s="59">
        <f t="shared" si="42"/>
        <v>480</v>
      </c>
      <c r="AR18" s="57">
        <f>' WIP '!BF18</f>
        <v>0</v>
      </c>
      <c r="AS18" s="58">
        <v>0</v>
      </c>
      <c r="AT18" s="59">
        <f t="shared" si="43"/>
        <v>480</v>
      </c>
      <c r="AU18" s="57">
        <f>' WIP '!BJ18</f>
        <v>0</v>
      </c>
      <c r="AV18" s="58">
        <v>0</v>
      </c>
      <c r="AW18" s="59">
        <f t="shared" si="44"/>
        <v>480</v>
      </c>
      <c r="AX18" s="57">
        <f>' WIP '!BN18</f>
        <v>0</v>
      </c>
      <c r="AY18" s="58">
        <v>0</v>
      </c>
      <c r="AZ18" s="59">
        <f t="shared" si="45"/>
        <v>480</v>
      </c>
      <c r="BA18" s="57">
        <f>' WIP '!BR18</f>
        <v>0</v>
      </c>
      <c r="BB18" s="58">
        <v>480</v>
      </c>
      <c r="BC18" s="59">
        <f t="shared" si="46"/>
        <v>0</v>
      </c>
      <c r="BD18" s="57">
        <f>' WIP '!BV18</f>
        <v>0</v>
      </c>
      <c r="BE18" s="58">
        <v>0</v>
      </c>
      <c r="BF18" s="59">
        <f t="shared" si="47"/>
        <v>0</v>
      </c>
      <c r="BG18" s="57">
        <f>' WIP '!BZ18</f>
        <v>0</v>
      </c>
      <c r="BH18" s="58"/>
      <c r="BI18" s="59">
        <f t="shared" si="48"/>
        <v>0</v>
      </c>
      <c r="BJ18" s="57">
        <f>' WIP '!CD18</f>
        <v>0</v>
      </c>
      <c r="BK18" s="58">
        <v>0</v>
      </c>
      <c r="BL18" s="59">
        <f t="shared" si="49"/>
        <v>0</v>
      </c>
      <c r="BM18" s="57">
        <f>' WIP '!CH18</f>
        <v>0</v>
      </c>
      <c r="BN18" s="58">
        <v>0</v>
      </c>
      <c r="BO18" s="59">
        <f t="shared" si="50"/>
        <v>0</v>
      </c>
      <c r="BP18" s="57">
        <f>' WIP '!CL18</f>
        <v>0</v>
      </c>
      <c r="BQ18" s="58"/>
      <c r="BR18" s="59">
        <f t="shared" si="51"/>
        <v>0</v>
      </c>
      <c r="BS18" s="57">
        <f>' WIP '!CP18</f>
        <v>0</v>
      </c>
      <c r="BT18" s="58">
        <v>0</v>
      </c>
      <c r="BU18" s="59">
        <f t="shared" si="52"/>
        <v>0</v>
      </c>
      <c r="BV18" s="57">
        <f>' WIP '!CT18</f>
        <v>0</v>
      </c>
      <c r="BW18" s="28">
        <v>0</v>
      </c>
      <c r="BX18" s="59">
        <f t="shared" si="53"/>
        <v>0</v>
      </c>
      <c r="BY18" s="57">
        <f>' WIP '!CX18</f>
        <v>0</v>
      </c>
      <c r="BZ18" s="58">
        <v>0</v>
      </c>
      <c r="CA18" s="59">
        <f t="shared" si="54"/>
        <v>0</v>
      </c>
      <c r="CB18" s="57">
        <f>' WIP '!DB18</f>
        <v>0</v>
      </c>
      <c r="CC18" s="58">
        <v>0</v>
      </c>
      <c r="CD18" s="59">
        <f t="shared" si="55"/>
        <v>0</v>
      </c>
      <c r="CE18" s="57">
        <f>' WIP '!DF18</f>
        <v>0</v>
      </c>
      <c r="CF18" s="58">
        <v>0</v>
      </c>
      <c r="CG18" s="59">
        <f t="shared" si="56"/>
        <v>0</v>
      </c>
      <c r="CH18" s="57">
        <f>' WIP '!DJ18</f>
        <v>0</v>
      </c>
      <c r="CI18" s="58">
        <v>0</v>
      </c>
      <c r="CJ18" s="59">
        <f t="shared" si="57"/>
        <v>0</v>
      </c>
      <c r="CK18" s="57">
        <f>' WIP '!DN18</f>
        <v>0</v>
      </c>
      <c r="CL18" s="58">
        <v>0</v>
      </c>
      <c r="CM18" s="59">
        <f t="shared" si="58"/>
        <v>0</v>
      </c>
      <c r="CN18" s="57">
        <f>' WIP '!DR18</f>
        <v>0</v>
      </c>
      <c r="CO18" s="57"/>
      <c r="CP18" s="59">
        <f t="shared" si="59"/>
        <v>0</v>
      </c>
      <c r="CQ18" s="57">
        <f>' WIP '!DV18</f>
        <v>0</v>
      </c>
      <c r="CR18" s="58"/>
      <c r="CS18" s="59">
        <f t="shared" si="60"/>
        <v>0</v>
      </c>
      <c r="CT18" s="31">
        <f t="shared" si="61"/>
        <v>480</v>
      </c>
      <c r="CU18" s="4">
        <f t="shared" si="62"/>
        <v>480</v>
      </c>
      <c r="CV18" s="5">
        <f>D18*'MASTER SHEET'!D18</f>
        <v>0</v>
      </c>
      <c r="CW18" s="5">
        <f>G18*'MASTER SHEET'!D18</f>
        <v>0</v>
      </c>
      <c r="CX18" s="5">
        <f>J18*'MASTER SHEET'!D18</f>
        <v>0</v>
      </c>
      <c r="CY18" s="5">
        <f>M18*'MASTER SHEET'!D18</f>
        <v>0</v>
      </c>
      <c r="CZ18" s="5">
        <f>P18*'MASTER SHEET'!D18</f>
        <v>0</v>
      </c>
      <c r="DA18" s="5">
        <f>S18*'MASTER SHEET'!D18</f>
        <v>0</v>
      </c>
      <c r="DB18" s="5">
        <f>V18*'MASTER SHEET'!D18</f>
        <v>0</v>
      </c>
      <c r="DC18" s="5">
        <f>Y18*'MASTER SHEET'!D18</f>
        <v>0</v>
      </c>
      <c r="DD18" s="5">
        <f>AB18*'MASTER SHEET'!D18</f>
        <v>13339.199999999999</v>
      </c>
      <c r="DE18" s="5">
        <f>AE18*'MASTER SHEET'!D18</f>
        <v>13339.199999999999</v>
      </c>
      <c r="DF18" s="5">
        <f>AH18*'MASTER SHEET'!D18</f>
        <v>13339.199999999999</v>
      </c>
      <c r="DG18" s="5">
        <f>AK18*'MASTER SHEET'!D18</f>
        <v>13339.199999999999</v>
      </c>
      <c r="DH18" s="5">
        <f>AN18*'MASTER SHEET'!D18</f>
        <v>13339.199999999999</v>
      </c>
      <c r="DI18" s="5">
        <f>AQ18*'MASTER SHEET'!D18</f>
        <v>13339.199999999999</v>
      </c>
      <c r="DJ18" s="5">
        <f>AT18*'MASTER SHEET'!D18</f>
        <v>13339.199999999999</v>
      </c>
      <c r="DK18" s="5">
        <f>AW18*'MASTER SHEET'!D18</f>
        <v>13339.199999999999</v>
      </c>
      <c r="DL18" s="5">
        <f>AZ18*'MASTER SHEET'!D18</f>
        <v>13339.199999999999</v>
      </c>
      <c r="DM18" s="5">
        <f>BC18*'MASTER SHEET'!D18</f>
        <v>0</v>
      </c>
      <c r="DN18" s="5">
        <f>BF18*'MASTER SHEET'!D18</f>
        <v>0</v>
      </c>
      <c r="DO18" s="5">
        <f>BI18*'MASTER SHEET'!D18</f>
        <v>0</v>
      </c>
      <c r="DP18" s="5">
        <f>BL18*'MASTER SHEET'!D18</f>
        <v>0</v>
      </c>
      <c r="DQ18" s="5">
        <f>BO18*'MASTER SHEET'!D18</f>
        <v>0</v>
      </c>
      <c r="DR18" s="5">
        <f>BR18*'MASTER SHEET'!D18</f>
        <v>0</v>
      </c>
      <c r="DS18" s="5">
        <f>BU18*'MASTER SHEET'!D18</f>
        <v>0</v>
      </c>
      <c r="DT18" s="5">
        <f>BX18*'MASTER SHEET'!D18</f>
        <v>0</v>
      </c>
      <c r="DU18" s="5">
        <f>CA18*'MASTER SHEET'!D18</f>
        <v>0</v>
      </c>
      <c r="DV18" s="5">
        <f>CD18*'MASTER SHEET'!D18</f>
        <v>0</v>
      </c>
      <c r="DW18" s="5">
        <f>CG18*'MASTER SHEET'!D18</f>
        <v>0</v>
      </c>
      <c r="DX18" s="5">
        <f>CJ18*'MASTER SHEET'!D18</f>
        <v>0</v>
      </c>
      <c r="DY18" s="5">
        <f>CM18*'MASTER SHEET'!D18</f>
        <v>0</v>
      </c>
      <c r="DZ18" s="5">
        <f>CP18*'MASTER SHEET'!D18</f>
        <v>0</v>
      </c>
      <c r="EA18" s="5">
        <f>CS18*'MASTER SHEET'!D18</f>
        <v>0</v>
      </c>
      <c r="EB18" s="9"/>
    </row>
    <row r="19" spans="1:132" ht="15.75" x14ac:dyDescent="0.25">
      <c r="A19" s="25">
        <f>'MASTER SHEET'!A19</f>
        <v>17</v>
      </c>
      <c r="B19" s="26" t="str">
        <f>'MASTER SHEET'!B19</f>
        <v>HYDROPHOBIC SCREEN</v>
      </c>
      <c r="C19" s="27">
        <f>'MASTER SHEET'!C19</f>
        <v>5016817</v>
      </c>
      <c r="D19" s="56">
        <v>0</v>
      </c>
      <c r="E19" s="57">
        <f>' WIP '!F19</f>
        <v>3136</v>
      </c>
      <c r="F19" s="58">
        <v>3136</v>
      </c>
      <c r="G19" s="59">
        <f t="shared" si="30"/>
        <v>0</v>
      </c>
      <c r="H19" s="57">
        <f>' WIP '!J19</f>
        <v>4704</v>
      </c>
      <c r="I19" s="58">
        <v>3920</v>
      </c>
      <c r="J19" s="59">
        <f t="shared" si="31"/>
        <v>784</v>
      </c>
      <c r="K19" s="57">
        <f>' WIP '!N19</f>
        <v>0</v>
      </c>
      <c r="L19" s="58"/>
      <c r="M19" s="59">
        <f t="shared" si="32"/>
        <v>784</v>
      </c>
      <c r="N19" s="57">
        <f>' WIP '!R19</f>
        <v>4312</v>
      </c>
      <c r="O19" s="58">
        <v>5096</v>
      </c>
      <c r="P19" s="59">
        <f t="shared" si="33"/>
        <v>0</v>
      </c>
      <c r="Q19" s="57">
        <f>' WIP '!V19</f>
        <v>2156</v>
      </c>
      <c r="R19" s="58">
        <v>2156</v>
      </c>
      <c r="S19" s="59">
        <f t="shared" si="34"/>
        <v>0</v>
      </c>
      <c r="T19" s="57">
        <f>' WIP '!Z19</f>
        <v>3332</v>
      </c>
      <c r="U19" s="58">
        <v>3332</v>
      </c>
      <c r="V19" s="59">
        <f t="shared" si="35"/>
        <v>0</v>
      </c>
      <c r="W19" s="57">
        <f>' WIP '!AD19</f>
        <v>1764</v>
      </c>
      <c r="X19" s="58">
        <v>1764</v>
      </c>
      <c r="Y19" s="59">
        <f t="shared" si="36"/>
        <v>0</v>
      </c>
      <c r="Z19" s="57">
        <f>' WIP '!AH19</f>
        <v>0</v>
      </c>
      <c r="AA19" s="58">
        <v>0</v>
      </c>
      <c r="AB19" s="59">
        <f t="shared" si="37"/>
        <v>0</v>
      </c>
      <c r="AC19" s="57">
        <f>' WIP '!AL19</f>
        <v>0</v>
      </c>
      <c r="AD19" s="58">
        <v>0</v>
      </c>
      <c r="AE19" s="59">
        <f t="shared" si="38"/>
        <v>0</v>
      </c>
      <c r="AF19" s="57">
        <f>' WIP '!AP19</f>
        <v>1472</v>
      </c>
      <c r="AG19" s="114">
        <v>1472</v>
      </c>
      <c r="AH19" s="59">
        <f t="shared" si="39"/>
        <v>0</v>
      </c>
      <c r="AI19" s="57">
        <f>' WIP '!AT19</f>
        <v>5692</v>
      </c>
      <c r="AJ19" s="58">
        <v>5692</v>
      </c>
      <c r="AK19" s="59">
        <f t="shared" si="40"/>
        <v>0</v>
      </c>
      <c r="AL19" s="57">
        <f>' WIP '!AX19</f>
        <v>0</v>
      </c>
      <c r="AM19" s="58"/>
      <c r="AN19" s="59">
        <f t="shared" si="41"/>
        <v>0</v>
      </c>
      <c r="AO19" s="57">
        <f>' WIP '!BB19</f>
        <v>6692</v>
      </c>
      <c r="AP19" s="58">
        <v>6692</v>
      </c>
      <c r="AQ19" s="59">
        <f t="shared" si="42"/>
        <v>0</v>
      </c>
      <c r="AR19" s="57">
        <f>' WIP '!BF19</f>
        <v>6096</v>
      </c>
      <c r="AS19" s="58">
        <v>6096</v>
      </c>
      <c r="AT19" s="59">
        <f t="shared" si="43"/>
        <v>0</v>
      </c>
      <c r="AU19" s="57">
        <f>' WIP '!BJ19</f>
        <v>2256</v>
      </c>
      <c r="AV19" s="58">
        <v>2256</v>
      </c>
      <c r="AW19" s="59">
        <f t="shared" si="44"/>
        <v>0</v>
      </c>
      <c r="AX19" s="57">
        <f>' WIP '!BN19</f>
        <v>7228</v>
      </c>
      <c r="AY19" s="58">
        <v>5888</v>
      </c>
      <c r="AZ19" s="59">
        <f t="shared" si="45"/>
        <v>1340</v>
      </c>
      <c r="BA19" s="57">
        <f>' WIP '!BR19</f>
        <v>6948</v>
      </c>
      <c r="BB19" s="58">
        <v>8288</v>
      </c>
      <c r="BC19" s="59">
        <f t="shared" si="46"/>
        <v>0</v>
      </c>
      <c r="BD19" s="57">
        <f>' WIP '!BV19</f>
        <v>3600</v>
      </c>
      <c r="BE19" s="58">
        <v>3520</v>
      </c>
      <c r="BF19" s="59">
        <f t="shared" si="47"/>
        <v>80</v>
      </c>
      <c r="BG19" s="57">
        <f>' WIP '!BZ19</f>
        <v>0</v>
      </c>
      <c r="BH19" s="58"/>
      <c r="BI19" s="59">
        <f t="shared" si="48"/>
        <v>80</v>
      </c>
      <c r="BJ19" s="57">
        <f>' WIP '!CD19</f>
        <v>0</v>
      </c>
      <c r="BK19" s="58">
        <v>0</v>
      </c>
      <c r="BL19" s="59">
        <f t="shared" si="49"/>
        <v>80</v>
      </c>
      <c r="BM19" s="57">
        <f>' WIP '!CH19</f>
        <v>2940</v>
      </c>
      <c r="BN19" s="58">
        <v>2940</v>
      </c>
      <c r="BO19" s="59">
        <f t="shared" si="50"/>
        <v>80</v>
      </c>
      <c r="BP19" s="57">
        <f>' WIP '!CL19</f>
        <v>0</v>
      </c>
      <c r="BQ19" s="58"/>
      <c r="BR19" s="59">
        <f t="shared" si="51"/>
        <v>80</v>
      </c>
      <c r="BS19" s="57">
        <f>' WIP '!CP19</f>
        <v>4120</v>
      </c>
      <c r="BT19" s="58">
        <v>4120</v>
      </c>
      <c r="BU19" s="59">
        <f t="shared" si="52"/>
        <v>80</v>
      </c>
      <c r="BV19" s="57">
        <f>' WIP '!CT19</f>
        <v>1488</v>
      </c>
      <c r="BW19" s="28">
        <v>1568</v>
      </c>
      <c r="BX19" s="59">
        <f t="shared" si="53"/>
        <v>0</v>
      </c>
      <c r="BY19" s="57">
        <f>' WIP '!CX19</f>
        <v>2548</v>
      </c>
      <c r="BZ19" s="58">
        <v>2548</v>
      </c>
      <c r="CA19" s="59">
        <f t="shared" si="54"/>
        <v>0</v>
      </c>
      <c r="CB19" s="57">
        <f>' WIP '!DB19</f>
        <v>1240</v>
      </c>
      <c r="CC19" s="58">
        <v>0</v>
      </c>
      <c r="CD19" s="59">
        <f t="shared" si="55"/>
        <v>1240</v>
      </c>
      <c r="CE19" s="57">
        <f>' WIP '!DF19</f>
        <v>4900</v>
      </c>
      <c r="CF19" s="58">
        <v>4508</v>
      </c>
      <c r="CG19" s="59">
        <f t="shared" si="56"/>
        <v>1632</v>
      </c>
      <c r="CH19" s="57">
        <f>' WIP '!DJ19</f>
        <v>7956</v>
      </c>
      <c r="CI19" s="58">
        <v>9548</v>
      </c>
      <c r="CJ19" s="59">
        <f t="shared" si="57"/>
        <v>40</v>
      </c>
      <c r="CK19" s="57">
        <f>' WIP '!DN19</f>
        <v>4336</v>
      </c>
      <c r="CL19" s="58">
        <v>3188</v>
      </c>
      <c r="CM19" s="59">
        <f t="shared" si="58"/>
        <v>1188</v>
      </c>
      <c r="CN19" s="57">
        <f>' WIP '!DR19</f>
        <v>0</v>
      </c>
      <c r="CO19" s="57"/>
      <c r="CP19" s="59">
        <f t="shared" si="59"/>
        <v>1188</v>
      </c>
      <c r="CQ19" s="57">
        <f>' WIP '!DV19</f>
        <v>0</v>
      </c>
      <c r="CR19" s="58"/>
      <c r="CS19" s="59">
        <f t="shared" si="60"/>
        <v>1188</v>
      </c>
      <c r="CT19" s="31">
        <f t="shared" si="61"/>
        <v>88916</v>
      </c>
      <c r="CU19" s="4">
        <f t="shared" si="62"/>
        <v>87728</v>
      </c>
      <c r="CV19" s="5">
        <f>D19*'MASTER SHEET'!D19</f>
        <v>0</v>
      </c>
      <c r="CW19" s="5">
        <f>G19*'MASTER SHEET'!D19</f>
        <v>0</v>
      </c>
      <c r="CX19" s="5">
        <f>J19*'MASTER SHEET'!D19</f>
        <v>38510.079999999994</v>
      </c>
      <c r="CY19" s="5">
        <f>M19*'MASTER SHEET'!D19</f>
        <v>38510.079999999994</v>
      </c>
      <c r="CZ19" s="5">
        <f>P19*'MASTER SHEET'!D19</f>
        <v>0</v>
      </c>
      <c r="DA19" s="5">
        <f>S19*'MASTER SHEET'!D19</f>
        <v>0</v>
      </c>
      <c r="DB19" s="5">
        <f>V19*'MASTER SHEET'!D19</f>
        <v>0</v>
      </c>
      <c r="DC19" s="5">
        <f>Y19*'MASTER SHEET'!D19</f>
        <v>0</v>
      </c>
      <c r="DD19" s="5">
        <f>AB19*'MASTER SHEET'!D19</f>
        <v>0</v>
      </c>
      <c r="DE19" s="5">
        <f>AE19*'MASTER SHEET'!D19</f>
        <v>0</v>
      </c>
      <c r="DF19" s="5">
        <f>AH19*'MASTER SHEET'!D19</f>
        <v>0</v>
      </c>
      <c r="DG19" s="5">
        <f>AK19*'MASTER SHEET'!D19</f>
        <v>0</v>
      </c>
      <c r="DH19" s="5">
        <f>AN19*'MASTER SHEET'!D19</f>
        <v>0</v>
      </c>
      <c r="DI19" s="5">
        <f>AQ19*'MASTER SHEET'!D19</f>
        <v>0</v>
      </c>
      <c r="DJ19" s="5">
        <f>AT19*'MASTER SHEET'!D19</f>
        <v>0</v>
      </c>
      <c r="DK19" s="5">
        <f>AW19*'MASTER SHEET'!D19</f>
        <v>0</v>
      </c>
      <c r="DL19" s="5">
        <f>AZ19*'MASTER SHEET'!D19</f>
        <v>65820.800000000003</v>
      </c>
      <c r="DM19" s="5">
        <f>BC19*'MASTER SHEET'!D19</f>
        <v>0</v>
      </c>
      <c r="DN19" s="5">
        <f>BF19*'MASTER SHEET'!D19</f>
        <v>3929.6</v>
      </c>
      <c r="DO19" s="5">
        <f>BI19*'MASTER SHEET'!D19</f>
        <v>3929.6</v>
      </c>
      <c r="DP19" s="5">
        <f>BL19*'MASTER SHEET'!D19</f>
        <v>3929.6</v>
      </c>
      <c r="DQ19" s="5">
        <f>BO19*'MASTER SHEET'!D19</f>
        <v>3929.6</v>
      </c>
      <c r="DR19" s="5">
        <f>BR19*'MASTER SHEET'!D19</f>
        <v>3929.6</v>
      </c>
      <c r="DS19" s="5">
        <f>BU19*'MASTER SHEET'!D19</f>
        <v>3929.6</v>
      </c>
      <c r="DT19" s="5">
        <f>BX19*'MASTER SHEET'!D19</f>
        <v>0</v>
      </c>
      <c r="DU19" s="5">
        <f>CA19*'MASTER SHEET'!D19</f>
        <v>0</v>
      </c>
      <c r="DV19" s="5">
        <f>CD19*'MASTER SHEET'!D19</f>
        <v>60908.799999999996</v>
      </c>
      <c r="DW19" s="5">
        <f>CG19*'MASTER SHEET'!D19</f>
        <v>80163.839999999997</v>
      </c>
      <c r="DX19" s="5">
        <f>CJ19*'MASTER SHEET'!D19</f>
        <v>1964.8</v>
      </c>
      <c r="DY19" s="5">
        <f>CM19*'MASTER SHEET'!D19</f>
        <v>58354.559999999998</v>
      </c>
      <c r="DZ19" s="5">
        <f>CP19*'MASTER SHEET'!D19</f>
        <v>58354.559999999998</v>
      </c>
      <c r="EA19" s="5">
        <f>CS19*'MASTER SHEET'!D19</f>
        <v>58354.559999999998</v>
      </c>
      <c r="EB19" s="143">
        <f>VLOOKUP($C19,'[1]GREEN LEV.₹'!$I$2:$K$54,3,0)</f>
        <v>14000</v>
      </c>
    </row>
    <row r="20" spans="1:132" ht="15.75" x14ac:dyDescent="0.25">
      <c r="A20" s="25">
        <f>'MASTER SHEET'!A20</f>
        <v>18</v>
      </c>
      <c r="B20" s="26" t="str">
        <f>'MASTER SHEET'!B20</f>
        <v>SHELL PLASTIC ASY</v>
      </c>
      <c r="C20" s="27">
        <f>'MASTER SHEET'!C20</f>
        <v>5016820</v>
      </c>
      <c r="D20" s="56">
        <v>0</v>
      </c>
      <c r="E20" s="57">
        <f>' WIP '!F20</f>
        <v>0</v>
      </c>
      <c r="F20" s="58">
        <v>0</v>
      </c>
      <c r="G20" s="59">
        <f t="shared" si="30"/>
        <v>0</v>
      </c>
      <c r="H20" s="57">
        <f>' WIP '!J20</f>
        <v>0</v>
      </c>
      <c r="I20" s="58">
        <v>0</v>
      </c>
      <c r="J20" s="59">
        <f t="shared" si="31"/>
        <v>0</v>
      </c>
      <c r="K20" s="57">
        <f>' WIP '!N20</f>
        <v>0</v>
      </c>
      <c r="L20" s="58"/>
      <c r="M20" s="59">
        <f t="shared" si="32"/>
        <v>0</v>
      </c>
      <c r="N20" s="57">
        <f>' WIP '!R20</f>
        <v>0</v>
      </c>
      <c r="O20" s="58">
        <v>0</v>
      </c>
      <c r="P20" s="59">
        <f t="shared" si="33"/>
        <v>0</v>
      </c>
      <c r="Q20" s="57">
        <f>' WIP '!V20</f>
        <v>0</v>
      </c>
      <c r="R20" s="58">
        <v>0</v>
      </c>
      <c r="S20" s="59">
        <f t="shared" si="34"/>
        <v>0</v>
      </c>
      <c r="T20" s="57">
        <f>' WIP '!Z20</f>
        <v>0</v>
      </c>
      <c r="U20" s="58">
        <v>0</v>
      </c>
      <c r="V20" s="59">
        <f t="shared" si="35"/>
        <v>0</v>
      </c>
      <c r="W20" s="57">
        <f>' WIP '!AD20</f>
        <v>0</v>
      </c>
      <c r="X20" s="58">
        <v>0</v>
      </c>
      <c r="Y20" s="59">
        <f t="shared" si="36"/>
        <v>0</v>
      </c>
      <c r="Z20" s="57">
        <f>' WIP '!AH20</f>
        <v>0</v>
      </c>
      <c r="AA20" s="58">
        <v>0</v>
      </c>
      <c r="AB20" s="59">
        <f t="shared" si="37"/>
        <v>0</v>
      </c>
      <c r="AC20" s="57">
        <f>' WIP '!AL20</f>
        <v>0</v>
      </c>
      <c r="AD20" s="58">
        <v>0</v>
      </c>
      <c r="AE20" s="59">
        <f t="shared" si="38"/>
        <v>0</v>
      </c>
      <c r="AF20" s="57">
        <f>' WIP '!AP20</f>
        <v>0</v>
      </c>
      <c r="AG20" s="114">
        <v>0</v>
      </c>
      <c r="AH20" s="59">
        <f t="shared" si="39"/>
        <v>0</v>
      </c>
      <c r="AI20" s="57">
        <f>' WIP '!AT20</f>
        <v>0</v>
      </c>
      <c r="AJ20" s="58">
        <v>0</v>
      </c>
      <c r="AK20" s="59">
        <f t="shared" si="40"/>
        <v>0</v>
      </c>
      <c r="AL20" s="57">
        <f>' WIP '!AX20</f>
        <v>0</v>
      </c>
      <c r="AM20" s="58"/>
      <c r="AN20" s="59">
        <f t="shared" si="41"/>
        <v>0</v>
      </c>
      <c r="AO20" s="57">
        <f>' WIP '!BB20</f>
        <v>0</v>
      </c>
      <c r="AP20" s="58">
        <v>0</v>
      </c>
      <c r="AQ20" s="59">
        <f t="shared" si="42"/>
        <v>0</v>
      </c>
      <c r="AR20" s="57">
        <f>' WIP '!BF20</f>
        <v>0</v>
      </c>
      <c r="AS20" s="58">
        <v>0</v>
      </c>
      <c r="AT20" s="59">
        <f t="shared" si="43"/>
        <v>0</v>
      </c>
      <c r="AU20" s="57">
        <f>' WIP '!BJ20</f>
        <v>0</v>
      </c>
      <c r="AV20" s="58">
        <v>0</v>
      </c>
      <c r="AW20" s="59">
        <f t="shared" si="44"/>
        <v>0</v>
      </c>
      <c r="AX20" s="57">
        <f>' WIP '!BN20</f>
        <v>0</v>
      </c>
      <c r="AY20" s="58">
        <v>0</v>
      </c>
      <c r="AZ20" s="59">
        <f t="shared" si="45"/>
        <v>0</v>
      </c>
      <c r="BA20" s="57">
        <f>' WIP '!BR20</f>
        <v>0</v>
      </c>
      <c r="BB20" s="58">
        <v>0</v>
      </c>
      <c r="BC20" s="59">
        <f t="shared" si="46"/>
        <v>0</v>
      </c>
      <c r="BD20" s="57">
        <f>' WIP '!BV20</f>
        <v>0</v>
      </c>
      <c r="BE20" s="58">
        <v>0</v>
      </c>
      <c r="BF20" s="59">
        <f t="shared" si="47"/>
        <v>0</v>
      </c>
      <c r="BG20" s="57">
        <f>' WIP '!BZ20</f>
        <v>0</v>
      </c>
      <c r="BH20" s="58"/>
      <c r="BI20" s="59">
        <f t="shared" si="48"/>
        <v>0</v>
      </c>
      <c r="BJ20" s="57">
        <f>' WIP '!CD20</f>
        <v>0</v>
      </c>
      <c r="BK20" s="58">
        <v>0</v>
      </c>
      <c r="BL20" s="59">
        <f t="shared" si="49"/>
        <v>0</v>
      </c>
      <c r="BM20" s="57">
        <f>' WIP '!CH20</f>
        <v>0</v>
      </c>
      <c r="BN20" s="58">
        <v>0</v>
      </c>
      <c r="BO20" s="59">
        <f t="shared" si="50"/>
        <v>0</v>
      </c>
      <c r="BP20" s="57">
        <f>' WIP '!CL20</f>
        <v>0</v>
      </c>
      <c r="BQ20" s="58"/>
      <c r="BR20" s="59">
        <f t="shared" si="51"/>
        <v>0</v>
      </c>
      <c r="BS20" s="57">
        <f>' WIP '!CP20</f>
        <v>0</v>
      </c>
      <c r="BT20" s="58">
        <v>0</v>
      </c>
      <c r="BU20" s="59">
        <f t="shared" si="52"/>
        <v>0</v>
      </c>
      <c r="BV20" s="57">
        <f>' WIP '!CT20</f>
        <v>0</v>
      </c>
      <c r="BW20" s="28">
        <v>0</v>
      </c>
      <c r="BX20" s="59">
        <f t="shared" si="53"/>
        <v>0</v>
      </c>
      <c r="BY20" s="57">
        <f>' WIP '!CX20</f>
        <v>60</v>
      </c>
      <c r="BZ20" s="58">
        <v>60</v>
      </c>
      <c r="CA20" s="59">
        <f t="shared" si="54"/>
        <v>0</v>
      </c>
      <c r="CB20" s="57">
        <f>' WIP '!DB20</f>
        <v>0</v>
      </c>
      <c r="CC20" s="58">
        <v>0</v>
      </c>
      <c r="CD20" s="59">
        <f t="shared" si="55"/>
        <v>0</v>
      </c>
      <c r="CE20" s="57">
        <f>' WIP '!DF20</f>
        <v>460</v>
      </c>
      <c r="CF20" s="58">
        <v>120</v>
      </c>
      <c r="CG20" s="59">
        <f t="shared" si="56"/>
        <v>340</v>
      </c>
      <c r="CH20" s="57">
        <f>' WIP '!DJ20</f>
        <v>0</v>
      </c>
      <c r="CI20" s="58">
        <v>0</v>
      </c>
      <c r="CJ20" s="59">
        <f t="shared" si="57"/>
        <v>340</v>
      </c>
      <c r="CK20" s="57">
        <f>' WIP '!DN20</f>
        <v>0</v>
      </c>
      <c r="CL20" s="58">
        <v>0</v>
      </c>
      <c r="CM20" s="59">
        <f t="shared" si="58"/>
        <v>340</v>
      </c>
      <c r="CN20" s="57">
        <f>' WIP '!DR20</f>
        <v>0</v>
      </c>
      <c r="CO20" s="57"/>
      <c r="CP20" s="59">
        <f t="shared" si="59"/>
        <v>340</v>
      </c>
      <c r="CQ20" s="57">
        <f>' WIP '!DV20</f>
        <v>0</v>
      </c>
      <c r="CR20" s="58"/>
      <c r="CS20" s="59">
        <f t="shared" si="60"/>
        <v>340</v>
      </c>
      <c r="CT20" s="31">
        <f t="shared" si="61"/>
        <v>520</v>
      </c>
      <c r="CU20" s="4">
        <f t="shared" si="62"/>
        <v>180</v>
      </c>
      <c r="CV20" s="5">
        <f>D20*'MASTER SHEET'!D20</f>
        <v>0</v>
      </c>
      <c r="CW20" s="5">
        <f>G20*'MASTER SHEET'!D20</f>
        <v>0</v>
      </c>
      <c r="CX20" s="5">
        <f>J20*'MASTER SHEET'!D20</f>
        <v>0</v>
      </c>
      <c r="CY20" s="5">
        <f>M20*'MASTER SHEET'!D20</f>
        <v>0</v>
      </c>
      <c r="CZ20" s="5">
        <f>P20*'MASTER SHEET'!D20</f>
        <v>0</v>
      </c>
      <c r="DA20" s="5">
        <f>S20*'MASTER SHEET'!D20</f>
        <v>0</v>
      </c>
      <c r="DB20" s="5">
        <f>V20*'MASTER SHEET'!D20</f>
        <v>0</v>
      </c>
      <c r="DC20" s="5">
        <f>Y20*'MASTER SHEET'!D20</f>
        <v>0</v>
      </c>
      <c r="DD20" s="5">
        <f>AB20*'MASTER SHEET'!D20</f>
        <v>0</v>
      </c>
      <c r="DE20" s="5">
        <f>AE20*'MASTER SHEET'!D20</f>
        <v>0</v>
      </c>
      <c r="DF20" s="5">
        <f>AH20*'MASTER SHEET'!D20</f>
        <v>0</v>
      </c>
      <c r="DG20" s="5">
        <f>AK20*'MASTER SHEET'!D20</f>
        <v>0</v>
      </c>
      <c r="DH20" s="5">
        <f>AN20*'MASTER SHEET'!D20</f>
        <v>0</v>
      </c>
      <c r="DI20" s="5">
        <f>AQ20*'MASTER SHEET'!D20</f>
        <v>0</v>
      </c>
      <c r="DJ20" s="5">
        <f>AT20*'MASTER SHEET'!D20</f>
        <v>0</v>
      </c>
      <c r="DK20" s="5">
        <f>AW20*'MASTER SHEET'!D20</f>
        <v>0</v>
      </c>
      <c r="DL20" s="5">
        <f>AZ20*'MASTER SHEET'!D20</f>
        <v>0</v>
      </c>
      <c r="DM20" s="5">
        <f>BC20*'MASTER SHEET'!D20</f>
        <v>0</v>
      </c>
      <c r="DN20" s="5">
        <f>BF20*'MASTER SHEET'!D20</f>
        <v>0</v>
      </c>
      <c r="DO20" s="5">
        <f>BI20*'MASTER SHEET'!D20</f>
        <v>0</v>
      </c>
      <c r="DP20" s="5">
        <f>BL20*'MASTER SHEET'!D20</f>
        <v>0</v>
      </c>
      <c r="DQ20" s="5">
        <f>BO20*'MASTER SHEET'!D20</f>
        <v>0</v>
      </c>
      <c r="DR20" s="5">
        <f>BR20*'MASTER SHEET'!D20</f>
        <v>0</v>
      </c>
      <c r="DS20" s="5">
        <f>BU20*'MASTER SHEET'!D20</f>
        <v>0</v>
      </c>
      <c r="DT20" s="5">
        <f>BX20*'MASTER SHEET'!D20</f>
        <v>0</v>
      </c>
      <c r="DU20" s="5">
        <f>CA20*'MASTER SHEET'!D20</f>
        <v>0</v>
      </c>
      <c r="DV20" s="5">
        <f>CD20*'MASTER SHEET'!D20</f>
        <v>0</v>
      </c>
      <c r="DW20" s="5">
        <f>CG20*'MASTER SHEET'!D20</f>
        <v>89168.4</v>
      </c>
      <c r="DX20" s="5">
        <f>CJ20*'MASTER SHEET'!D20</f>
        <v>89168.4</v>
      </c>
      <c r="DY20" s="5">
        <f>CM20*'MASTER SHEET'!D20</f>
        <v>89168.4</v>
      </c>
      <c r="DZ20" s="5">
        <f>CP20*'MASTER SHEET'!D20</f>
        <v>89168.4</v>
      </c>
      <c r="EA20" s="5">
        <f>CS20*'MASTER SHEET'!D20</f>
        <v>89168.4</v>
      </c>
      <c r="EB20" s="9"/>
    </row>
    <row r="21" spans="1:132" ht="15.75" x14ac:dyDescent="0.25">
      <c r="A21" s="25">
        <f>'MASTER SHEET'!A21</f>
        <v>19</v>
      </c>
      <c r="B21" s="26" t="str">
        <f>'MASTER SHEET'!B21</f>
        <v>END PLATE PLASTIC</v>
      </c>
      <c r="C21" s="27">
        <f>'MASTER SHEET'!C21</f>
        <v>5016821</v>
      </c>
      <c r="D21" s="56">
        <v>11108</v>
      </c>
      <c r="E21" s="57">
        <f>' WIP '!F21</f>
        <v>2600</v>
      </c>
      <c r="F21" s="58">
        <v>600</v>
      </c>
      <c r="G21" s="59">
        <f t="shared" si="30"/>
        <v>13108</v>
      </c>
      <c r="H21" s="57">
        <f>' WIP '!J21</f>
        <v>0</v>
      </c>
      <c r="I21" s="58">
        <v>0</v>
      </c>
      <c r="J21" s="59">
        <f t="shared" si="31"/>
        <v>13108</v>
      </c>
      <c r="K21" s="57">
        <f>' WIP '!N21</f>
        <v>0</v>
      </c>
      <c r="L21" s="58"/>
      <c r="M21" s="59">
        <f t="shared" si="32"/>
        <v>13108</v>
      </c>
      <c r="N21" s="57">
        <f>' WIP '!R21</f>
        <v>0</v>
      </c>
      <c r="O21" s="58">
        <v>500</v>
      </c>
      <c r="P21" s="59">
        <f t="shared" si="33"/>
        <v>12608</v>
      </c>
      <c r="Q21" s="57">
        <f>' WIP '!V21</f>
        <v>0</v>
      </c>
      <c r="R21" s="58">
        <v>5000</v>
      </c>
      <c r="S21" s="59">
        <f t="shared" si="34"/>
        <v>7608</v>
      </c>
      <c r="T21" s="57">
        <f>' WIP '!Z21</f>
        <v>0</v>
      </c>
      <c r="U21" s="58">
        <v>0</v>
      </c>
      <c r="V21" s="59">
        <f t="shared" si="35"/>
        <v>7608</v>
      </c>
      <c r="W21" s="57">
        <f>' WIP '!AD21</f>
        <v>0</v>
      </c>
      <c r="X21" s="58">
        <v>0</v>
      </c>
      <c r="Y21" s="59">
        <f t="shared" si="36"/>
        <v>7608</v>
      </c>
      <c r="Z21" s="57">
        <f>' WIP '!AH21</f>
        <v>0</v>
      </c>
      <c r="AA21" s="58">
        <v>0</v>
      </c>
      <c r="AB21" s="59">
        <f t="shared" si="37"/>
        <v>7608</v>
      </c>
      <c r="AC21" s="57">
        <f>' WIP '!AL21</f>
        <v>0</v>
      </c>
      <c r="AD21" s="58">
        <v>0</v>
      </c>
      <c r="AE21" s="59">
        <f t="shared" si="38"/>
        <v>7608</v>
      </c>
      <c r="AF21" s="57">
        <f>' WIP '!AP21</f>
        <v>0</v>
      </c>
      <c r="AG21" s="114">
        <v>600</v>
      </c>
      <c r="AH21" s="59">
        <f t="shared" si="39"/>
        <v>7008</v>
      </c>
      <c r="AI21" s="57">
        <f>' WIP '!AT21</f>
        <v>0</v>
      </c>
      <c r="AJ21" s="58">
        <v>900</v>
      </c>
      <c r="AK21" s="59">
        <f t="shared" si="40"/>
        <v>6108</v>
      </c>
      <c r="AL21" s="57">
        <f>' WIP '!AX21</f>
        <v>0</v>
      </c>
      <c r="AM21" s="58"/>
      <c r="AN21" s="59">
        <f t="shared" si="41"/>
        <v>6108</v>
      </c>
      <c r="AO21" s="57">
        <f>' WIP '!BB21</f>
        <v>0</v>
      </c>
      <c r="AP21" s="58">
        <v>0</v>
      </c>
      <c r="AQ21" s="59">
        <f t="shared" si="42"/>
        <v>6108</v>
      </c>
      <c r="AR21" s="57">
        <f>' WIP '!BF21</f>
        <v>0</v>
      </c>
      <c r="AS21" s="58">
        <v>2608</v>
      </c>
      <c r="AT21" s="59">
        <f t="shared" si="43"/>
        <v>3500</v>
      </c>
      <c r="AU21" s="57">
        <f>' WIP '!BJ21</f>
        <v>0</v>
      </c>
      <c r="AV21" s="58">
        <v>300</v>
      </c>
      <c r="AW21" s="59">
        <f t="shared" si="44"/>
        <v>3200</v>
      </c>
      <c r="AX21" s="57">
        <f>' WIP '!BN21</f>
        <v>0</v>
      </c>
      <c r="AY21" s="58">
        <v>0</v>
      </c>
      <c r="AZ21" s="59">
        <f t="shared" si="45"/>
        <v>3200</v>
      </c>
      <c r="BA21" s="57">
        <f>' WIP '!BR21</f>
        <v>0</v>
      </c>
      <c r="BB21" s="58">
        <v>1400</v>
      </c>
      <c r="BC21" s="59">
        <f t="shared" si="46"/>
        <v>1800</v>
      </c>
      <c r="BD21" s="57">
        <f>' WIP '!BV21</f>
        <v>0</v>
      </c>
      <c r="BE21" s="58">
        <v>800</v>
      </c>
      <c r="BF21" s="59">
        <f t="shared" si="47"/>
        <v>1000</v>
      </c>
      <c r="BG21" s="57">
        <f>' WIP '!BZ21</f>
        <v>0</v>
      </c>
      <c r="BH21" s="58"/>
      <c r="BI21" s="59">
        <f t="shared" si="48"/>
        <v>1000</v>
      </c>
      <c r="BJ21" s="57">
        <f>' WIP '!CD21</f>
        <v>0</v>
      </c>
      <c r="BK21" s="58">
        <v>300</v>
      </c>
      <c r="BL21" s="59">
        <f t="shared" si="49"/>
        <v>700</v>
      </c>
      <c r="BM21" s="57">
        <f>' WIP '!CH21</f>
        <v>0</v>
      </c>
      <c r="BN21" s="58">
        <v>600</v>
      </c>
      <c r="BO21" s="59">
        <f t="shared" si="50"/>
        <v>100</v>
      </c>
      <c r="BP21" s="57">
        <f>' WIP '!CL21</f>
        <v>1000</v>
      </c>
      <c r="BQ21" s="58">
        <v>1100</v>
      </c>
      <c r="BR21" s="59">
        <f t="shared" si="51"/>
        <v>0</v>
      </c>
      <c r="BS21" s="57">
        <f>' WIP '!CP21</f>
        <v>1500</v>
      </c>
      <c r="BT21" s="58">
        <v>700</v>
      </c>
      <c r="BU21" s="59">
        <f t="shared" si="52"/>
        <v>800</v>
      </c>
      <c r="BV21" s="57">
        <f>' WIP '!CT21</f>
        <v>0</v>
      </c>
      <c r="BW21" s="28">
        <v>800</v>
      </c>
      <c r="BX21" s="59">
        <f t="shared" si="53"/>
        <v>0</v>
      </c>
      <c r="BY21" s="57">
        <f>' WIP '!CX21</f>
        <v>0</v>
      </c>
      <c r="BZ21" s="58">
        <v>0</v>
      </c>
      <c r="CA21" s="59">
        <f t="shared" si="54"/>
        <v>0</v>
      </c>
      <c r="CB21" s="57">
        <f>' WIP '!DB21</f>
        <v>0</v>
      </c>
      <c r="CC21" s="58">
        <v>0</v>
      </c>
      <c r="CD21" s="59">
        <f t="shared" si="55"/>
        <v>0</v>
      </c>
      <c r="CE21" s="57">
        <f>' WIP '!DF21</f>
        <v>0</v>
      </c>
      <c r="CF21" s="58">
        <v>0</v>
      </c>
      <c r="CG21" s="59">
        <f t="shared" si="56"/>
        <v>0</v>
      </c>
      <c r="CH21" s="57">
        <f>' WIP '!DJ21</f>
        <v>600</v>
      </c>
      <c r="CI21" s="58">
        <v>600</v>
      </c>
      <c r="CJ21" s="59">
        <f t="shared" si="57"/>
        <v>0</v>
      </c>
      <c r="CK21" s="57">
        <f>' WIP '!DN21</f>
        <v>0</v>
      </c>
      <c r="CL21" s="58">
        <v>0</v>
      </c>
      <c r="CM21" s="59">
        <f t="shared" si="58"/>
        <v>0</v>
      </c>
      <c r="CN21" s="57">
        <f>' WIP '!DR21</f>
        <v>0</v>
      </c>
      <c r="CO21" s="57"/>
      <c r="CP21" s="59">
        <f t="shared" si="59"/>
        <v>0</v>
      </c>
      <c r="CQ21" s="57">
        <f>' WIP '!DV21</f>
        <v>0</v>
      </c>
      <c r="CR21" s="58"/>
      <c r="CS21" s="59">
        <f t="shared" si="60"/>
        <v>0</v>
      </c>
      <c r="CT21" s="31">
        <f t="shared" si="61"/>
        <v>16808</v>
      </c>
      <c r="CU21" s="4">
        <f t="shared" si="62"/>
        <v>16808</v>
      </c>
      <c r="CV21" s="5">
        <f>D21*'MASTER SHEET'!D21</f>
        <v>302248.68</v>
      </c>
      <c r="CW21" s="5">
        <f>G21*'MASTER SHEET'!D21</f>
        <v>356668.68</v>
      </c>
      <c r="CX21" s="5">
        <f>J21*'MASTER SHEET'!D21</f>
        <v>356668.68</v>
      </c>
      <c r="CY21" s="5">
        <f>M21*'MASTER SHEET'!D21</f>
        <v>356668.68</v>
      </c>
      <c r="CZ21" s="5">
        <f>P21*'MASTER SHEET'!D21</f>
        <v>343063.68</v>
      </c>
      <c r="DA21" s="5">
        <f>S21*'MASTER SHEET'!D21</f>
        <v>207013.68</v>
      </c>
      <c r="DB21" s="5">
        <f>V21*'MASTER SHEET'!D21</f>
        <v>207013.68</v>
      </c>
      <c r="DC21" s="5">
        <f>Y21*'MASTER SHEET'!D21</f>
        <v>207013.68</v>
      </c>
      <c r="DD21" s="5">
        <f>AB21*'MASTER SHEET'!D21</f>
        <v>207013.68</v>
      </c>
      <c r="DE21" s="5">
        <f>AE21*'MASTER SHEET'!D21</f>
        <v>207013.68</v>
      </c>
      <c r="DF21" s="5">
        <f>AH21*'MASTER SHEET'!D21</f>
        <v>190687.68</v>
      </c>
      <c r="DG21" s="5">
        <f>AK21*'MASTER SHEET'!D21</f>
        <v>166198.68</v>
      </c>
      <c r="DH21" s="5">
        <f>AN21*'MASTER SHEET'!D21</f>
        <v>166198.68</v>
      </c>
      <c r="DI21" s="5">
        <f>AQ21*'MASTER SHEET'!D21</f>
        <v>166198.68</v>
      </c>
      <c r="DJ21" s="5">
        <f>AT21*'MASTER SHEET'!D21</f>
        <v>95235</v>
      </c>
      <c r="DK21" s="5">
        <f>AW21*'MASTER SHEET'!D21</f>
        <v>87072</v>
      </c>
      <c r="DL21" s="5">
        <f>AZ21*'MASTER SHEET'!D21</f>
        <v>87072</v>
      </c>
      <c r="DM21" s="5">
        <f>BC21*'MASTER SHEET'!D21</f>
        <v>48978</v>
      </c>
      <c r="DN21" s="5">
        <f>BF21*'MASTER SHEET'!D21</f>
        <v>27210</v>
      </c>
      <c r="DO21" s="5">
        <f>BI21*'MASTER SHEET'!D21</f>
        <v>27210</v>
      </c>
      <c r="DP21" s="5">
        <f>BL21*'MASTER SHEET'!D21</f>
        <v>19047</v>
      </c>
      <c r="DQ21" s="5">
        <f>BO21*'MASTER SHEET'!D21</f>
        <v>2721</v>
      </c>
      <c r="DR21" s="5">
        <f>BR21*'MASTER SHEET'!D21</f>
        <v>0</v>
      </c>
      <c r="DS21" s="5">
        <f>BU21*'MASTER SHEET'!D21</f>
        <v>21768</v>
      </c>
      <c r="DT21" s="5">
        <f>BX21*'MASTER SHEET'!D21</f>
        <v>0</v>
      </c>
      <c r="DU21" s="5">
        <f>CA21*'MASTER SHEET'!D21</f>
        <v>0</v>
      </c>
      <c r="DV21" s="5">
        <f>CD21*'MASTER SHEET'!D21</f>
        <v>0</v>
      </c>
      <c r="DW21" s="5">
        <f>CG21*'MASTER SHEET'!D21</f>
        <v>0</v>
      </c>
      <c r="DX21" s="5">
        <f>CJ21*'MASTER SHEET'!D21</f>
        <v>0</v>
      </c>
      <c r="DY21" s="5">
        <f>CM21*'MASTER SHEET'!D21</f>
        <v>0</v>
      </c>
      <c r="DZ21" s="5">
        <f>CP21*'MASTER SHEET'!D21</f>
        <v>0</v>
      </c>
      <c r="EA21" s="5">
        <f>CS21*'MASTER SHEET'!D21</f>
        <v>0</v>
      </c>
      <c r="EB21" s="143">
        <f>VLOOKUP($C21,'[1]GREEN LEV.₹'!$I$2:$K$54,3,0)</f>
        <v>3000</v>
      </c>
    </row>
    <row r="22" spans="1:132" ht="15.75" x14ac:dyDescent="0.25">
      <c r="A22" s="25">
        <f>'MASTER SHEET'!A22</f>
        <v>20</v>
      </c>
      <c r="B22" s="26" t="str">
        <f>'MASTER SHEET'!B22</f>
        <v xml:space="preserve">SHELL PLASTIC </v>
      </c>
      <c r="C22" s="27">
        <f>'MASTER SHEET'!C22</f>
        <v>5016985</v>
      </c>
      <c r="D22" s="56">
        <v>0</v>
      </c>
      <c r="E22" s="57">
        <f>' WIP '!F22</f>
        <v>0</v>
      </c>
      <c r="F22" s="58">
        <v>0</v>
      </c>
      <c r="G22" s="59">
        <f t="shared" si="30"/>
        <v>0</v>
      </c>
      <c r="H22" s="57">
        <f>' WIP '!J22</f>
        <v>0</v>
      </c>
      <c r="I22" s="58">
        <v>0</v>
      </c>
      <c r="J22" s="59">
        <f t="shared" si="31"/>
        <v>0</v>
      </c>
      <c r="K22" s="57">
        <f>' WIP '!N22</f>
        <v>0</v>
      </c>
      <c r="L22" s="58"/>
      <c r="M22" s="59">
        <f t="shared" si="32"/>
        <v>0</v>
      </c>
      <c r="N22" s="57">
        <f>' WIP '!R22</f>
        <v>0</v>
      </c>
      <c r="O22" s="58">
        <v>0</v>
      </c>
      <c r="P22" s="59">
        <f t="shared" si="33"/>
        <v>0</v>
      </c>
      <c r="Q22" s="57">
        <f>' WIP '!V22</f>
        <v>0</v>
      </c>
      <c r="R22" s="58">
        <v>0</v>
      </c>
      <c r="S22" s="59">
        <f t="shared" si="34"/>
        <v>0</v>
      </c>
      <c r="T22" s="57">
        <f>' WIP '!Z22</f>
        <v>0</v>
      </c>
      <c r="U22" s="58">
        <v>0</v>
      </c>
      <c r="V22" s="59">
        <f t="shared" si="35"/>
        <v>0</v>
      </c>
      <c r="W22" s="57">
        <f>' WIP '!AD22</f>
        <v>0</v>
      </c>
      <c r="X22" s="58">
        <v>0</v>
      </c>
      <c r="Y22" s="59">
        <f t="shared" si="36"/>
        <v>0</v>
      </c>
      <c r="Z22" s="57">
        <f>' WIP '!AH22</f>
        <v>0</v>
      </c>
      <c r="AA22" s="58">
        <v>0</v>
      </c>
      <c r="AB22" s="59">
        <f t="shared" si="37"/>
        <v>0</v>
      </c>
      <c r="AC22" s="57">
        <f>' WIP '!AL22</f>
        <v>0</v>
      </c>
      <c r="AD22" s="58">
        <v>0</v>
      </c>
      <c r="AE22" s="59">
        <f t="shared" si="38"/>
        <v>0</v>
      </c>
      <c r="AF22" s="57">
        <f>' WIP '!AP22</f>
        <v>0</v>
      </c>
      <c r="AG22" s="114">
        <v>0</v>
      </c>
      <c r="AH22" s="59">
        <f t="shared" si="39"/>
        <v>0</v>
      </c>
      <c r="AI22" s="57">
        <f>' WIP '!AT22</f>
        <v>0</v>
      </c>
      <c r="AJ22" s="58">
        <v>0</v>
      </c>
      <c r="AK22" s="59">
        <f t="shared" si="40"/>
        <v>0</v>
      </c>
      <c r="AL22" s="57">
        <f>' WIP '!AX22</f>
        <v>0</v>
      </c>
      <c r="AM22" s="58"/>
      <c r="AN22" s="59">
        <f t="shared" si="41"/>
        <v>0</v>
      </c>
      <c r="AO22" s="57">
        <f>' WIP '!BB22</f>
        <v>0</v>
      </c>
      <c r="AP22" s="58">
        <v>0</v>
      </c>
      <c r="AQ22" s="59">
        <f t="shared" si="42"/>
        <v>0</v>
      </c>
      <c r="AR22" s="57">
        <f>' WIP '!BF22</f>
        <v>0</v>
      </c>
      <c r="AS22" s="58">
        <v>0</v>
      </c>
      <c r="AT22" s="59">
        <f t="shared" si="43"/>
        <v>0</v>
      </c>
      <c r="AU22" s="57">
        <f>' WIP '!BJ22</f>
        <v>0</v>
      </c>
      <c r="AV22" s="58">
        <v>0</v>
      </c>
      <c r="AW22" s="59">
        <f t="shared" si="44"/>
        <v>0</v>
      </c>
      <c r="AX22" s="57">
        <f>' WIP '!BN22</f>
        <v>0</v>
      </c>
      <c r="AY22" s="58">
        <v>0</v>
      </c>
      <c r="AZ22" s="59">
        <f t="shared" si="45"/>
        <v>0</v>
      </c>
      <c r="BA22" s="57">
        <f>' WIP '!BR22</f>
        <v>0</v>
      </c>
      <c r="BB22" s="58">
        <v>0</v>
      </c>
      <c r="BC22" s="59">
        <f t="shared" si="46"/>
        <v>0</v>
      </c>
      <c r="BD22" s="57">
        <f>' WIP '!BV22</f>
        <v>0</v>
      </c>
      <c r="BE22" s="58">
        <v>0</v>
      </c>
      <c r="BF22" s="59">
        <f t="shared" si="47"/>
        <v>0</v>
      </c>
      <c r="BG22" s="57">
        <f>' WIP '!BZ22</f>
        <v>0</v>
      </c>
      <c r="BH22" s="58"/>
      <c r="BI22" s="59">
        <f t="shared" si="48"/>
        <v>0</v>
      </c>
      <c r="BJ22" s="57">
        <f>' WIP '!CD22</f>
        <v>0</v>
      </c>
      <c r="BK22" s="58">
        <v>0</v>
      </c>
      <c r="BL22" s="59">
        <f t="shared" si="49"/>
        <v>0</v>
      </c>
      <c r="BM22" s="57">
        <f>' WIP '!CH22</f>
        <v>0</v>
      </c>
      <c r="BN22" s="58">
        <v>0</v>
      </c>
      <c r="BO22" s="59">
        <f t="shared" si="50"/>
        <v>0</v>
      </c>
      <c r="BP22" s="57">
        <f>' WIP '!CL22</f>
        <v>0</v>
      </c>
      <c r="BQ22" s="58"/>
      <c r="BR22" s="59">
        <f t="shared" si="51"/>
        <v>0</v>
      </c>
      <c r="BS22" s="57">
        <f>' WIP '!CP22</f>
        <v>0</v>
      </c>
      <c r="BT22" s="58">
        <v>0</v>
      </c>
      <c r="BU22" s="59">
        <f t="shared" si="52"/>
        <v>0</v>
      </c>
      <c r="BV22" s="57">
        <f>' WIP '!CT22</f>
        <v>0</v>
      </c>
      <c r="BW22" s="28">
        <v>0</v>
      </c>
      <c r="BX22" s="59">
        <f t="shared" si="53"/>
        <v>0</v>
      </c>
      <c r="BY22" s="57">
        <f>' WIP '!CX22</f>
        <v>0</v>
      </c>
      <c r="BZ22" s="58">
        <v>0</v>
      </c>
      <c r="CA22" s="59">
        <f t="shared" si="54"/>
        <v>0</v>
      </c>
      <c r="CB22" s="57">
        <f>' WIP '!DB22</f>
        <v>0</v>
      </c>
      <c r="CC22" s="58">
        <v>0</v>
      </c>
      <c r="CD22" s="59">
        <f t="shared" si="55"/>
        <v>0</v>
      </c>
      <c r="CE22" s="57">
        <f>' WIP '!DF22</f>
        <v>0</v>
      </c>
      <c r="CF22" s="58">
        <v>0</v>
      </c>
      <c r="CG22" s="59">
        <f t="shared" si="56"/>
        <v>0</v>
      </c>
      <c r="CH22" s="57">
        <f>' WIP '!DJ22</f>
        <v>0</v>
      </c>
      <c r="CI22" s="58">
        <v>0</v>
      </c>
      <c r="CJ22" s="59">
        <f t="shared" si="57"/>
        <v>0</v>
      </c>
      <c r="CK22" s="57">
        <f>' WIP '!DN22</f>
        <v>0</v>
      </c>
      <c r="CL22" s="58">
        <v>0</v>
      </c>
      <c r="CM22" s="59">
        <f t="shared" si="58"/>
        <v>0</v>
      </c>
      <c r="CN22" s="57">
        <f>' WIP '!DR22</f>
        <v>0</v>
      </c>
      <c r="CO22" s="57"/>
      <c r="CP22" s="59">
        <f t="shared" si="59"/>
        <v>0</v>
      </c>
      <c r="CQ22" s="57">
        <f>' WIP '!DV22</f>
        <v>0</v>
      </c>
      <c r="CR22" s="58"/>
      <c r="CS22" s="59">
        <f t="shared" si="60"/>
        <v>0</v>
      </c>
      <c r="CT22" s="31">
        <f t="shared" si="61"/>
        <v>0</v>
      </c>
      <c r="CU22" s="4">
        <f t="shared" si="62"/>
        <v>0</v>
      </c>
      <c r="CV22" s="5">
        <f>D22*'MASTER SHEET'!D22</f>
        <v>0</v>
      </c>
      <c r="CW22" s="5">
        <f>G22*'MASTER SHEET'!D22</f>
        <v>0</v>
      </c>
      <c r="CX22" s="5">
        <f>J22*'MASTER SHEET'!D22</f>
        <v>0</v>
      </c>
      <c r="CY22" s="5">
        <f>M22*'MASTER SHEET'!D22</f>
        <v>0</v>
      </c>
      <c r="CZ22" s="5">
        <f>P22*'MASTER SHEET'!D22</f>
        <v>0</v>
      </c>
      <c r="DA22" s="5">
        <f>S22*'MASTER SHEET'!D22</f>
        <v>0</v>
      </c>
      <c r="DB22" s="5">
        <f>V22*'MASTER SHEET'!D22</f>
        <v>0</v>
      </c>
      <c r="DC22" s="5">
        <f>Y22*'MASTER SHEET'!D22</f>
        <v>0</v>
      </c>
      <c r="DD22" s="5">
        <f>AB22*'MASTER SHEET'!D22</f>
        <v>0</v>
      </c>
      <c r="DE22" s="5">
        <f>AE22*'MASTER SHEET'!D22</f>
        <v>0</v>
      </c>
      <c r="DF22" s="5">
        <f>AH22*'MASTER SHEET'!D22</f>
        <v>0</v>
      </c>
      <c r="DG22" s="5">
        <f>AK22*'MASTER SHEET'!D22</f>
        <v>0</v>
      </c>
      <c r="DH22" s="5">
        <f>AN22*'MASTER SHEET'!D22</f>
        <v>0</v>
      </c>
      <c r="DI22" s="5">
        <f>AQ22*'MASTER SHEET'!D22</f>
        <v>0</v>
      </c>
      <c r="DJ22" s="5">
        <f>AT22*'MASTER SHEET'!D22</f>
        <v>0</v>
      </c>
      <c r="DK22" s="5">
        <f>AW22*'MASTER SHEET'!D22</f>
        <v>0</v>
      </c>
      <c r="DL22" s="5">
        <f>AZ22*'MASTER SHEET'!D22</f>
        <v>0</v>
      </c>
      <c r="DM22" s="5">
        <f>BC22*'MASTER SHEET'!D22</f>
        <v>0</v>
      </c>
      <c r="DN22" s="5">
        <f>BF22*'MASTER SHEET'!D22</f>
        <v>0</v>
      </c>
      <c r="DO22" s="5">
        <f>BI22*'MASTER SHEET'!D22</f>
        <v>0</v>
      </c>
      <c r="DP22" s="5">
        <f>BL22*'MASTER SHEET'!D22</f>
        <v>0</v>
      </c>
      <c r="DQ22" s="5">
        <f>BO22*'MASTER SHEET'!D22</f>
        <v>0</v>
      </c>
      <c r="DR22" s="5">
        <f>BR22*'MASTER SHEET'!D22</f>
        <v>0</v>
      </c>
      <c r="DS22" s="5">
        <f>BU22*'MASTER SHEET'!D22</f>
        <v>0</v>
      </c>
      <c r="DT22" s="5">
        <f>BX22*'MASTER SHEET'!D22</f>
        <v>0</v>
      </c>
      <c r="DU22" s="5">
        <f>CA22*'MASTER SHEET'!D22</f>
        <v>0</v>
      </c>
      <c r="DV22" s="5">
        <f>CD22*'MASTER SHEET'!D22</f>
        <v>0</v>
      </c>
      <c r="DW22" s="5">
        <f>CG22*'MASTER SHEET'!D22</f>
        <v>0</v>
      </c>
      <c r="DX22" s="5">
        <f>CJ22*'MASTER SHEET'!D22</f>
        <v>0</v>
      </c>
      <c r="DY22" s="5">
        <f>CM22*'MASTER SHEET'!D22</f>
        <v>0</v>
      </c>
      <c r="DZ22" s="5">
        <f>CP22*'MASTER SHEET'!D22</f>
        <v>0</v>
      </c>
      <c r="EA22" s="5">
        <f>CS22*'MASTER SHEET'!D22</f>
        <v>0</v>
      </c>
      <c r="EB22" s="9"/>
    </row>
    <row r="23" spans="1:132" ht="15.75" x14ac:dyDescent="0.25">
      <c r="A23" s="25">
        <f>'MASTER SHEET'!A23</f>
        <v>21</v>
      </c>
      <c r="B23" s="26" t="str">
        <f>'MASTER SHEET'!B23</f>
        <v>CENTER TUBE PLASTIC</v>
      </c>
      <c r="C23" s="27">
        <f>'MASTER SHEET'!C23</f>
        <v>5016989</v>
      </c>
      <c r="D23" s="56">
        <v>0</v>
      </c>
      <c r="E23" s="57">
        <f>' WIP '!F23</f>
        <v>0</v>
      </c>
      <c r="F23" s="58">
        <v>0</v>
      </c>
      <c r="G23" s="59">
        <f t="shared" si="30"/>
        <v>0</v>
      </c>
      <c r="H23" s="57">
        <f>' WIP '!J23</f>
        <v>0</v>
      </c>
      <c r="I23" s="58">
        <v>0</v>
      </c>
      <c r="J23" s="59">
        <f t="shared" si="31"/>
        <v>0</v>
      </c>
      <c r="K23" s="57">
        <f>' WIP '!N23</f>
        <v>0</v>
      </c>
      <c r="L23" s="58"/>
      <c r="M23" s="59">
        <f t="shared" si="32"/>
        <v>0</v>
      </c>
      <c r="N23" s="57">
        <f>' WIP '!R23</f>
        <v>0</v>
      </c>
      <c r="O23" s="58">
        <v>0</v>
      </c>
      <c r="P23" s="59">
        <f t="shared" si="33"/>
        <v>0</v>
      </c>
      <c r="Q23" s="57">
        <f>' WIP '!V23</f>
        <v>0</v>
      </c>
      <c r="R23" s="58">
        <v>0</v>
      </c>
      <c r="S23" s="59">
        <f t="shared" si="34"/>
        <v>0</v>
      </c>
      <c r="T23" s="57">
        <f>' WIP '!Z23</f>
        <v>0</v>
      </c>
      <c r="U23" s="58">
        <v>0</v>
      </c>
      <c r="V23" s="59">
        <f t="shared" si="35"/>
        <v>0</v>
      </c>
      <c r="W23" s="57">
        <f>' WIP '!AD23</f>
        <v>0</v>
      </c>
      <c r="X23" s="58">
        <v>0</v>
      </c>
      <c r="Y23" s="59">
        <f t="shared" si="36"/>
        <v>0</v>
      </c>
      <c r="Z23" s="57">
        <f>' WIP '!AH23</f>
        <v>0</v>
      </c>
      <c r="AA23" s="58">
        <v>0</v>
      </c>
      <c r="AB23" s="59">
        <f t="shared" si="37"/>
        <v>0</v>
      </c>
      <c r="AC23" s="57">
        <f>' WIP '!AL23</f>
        <v>0</v>
      </c>
      <c r="AD23" s="58">
        <v>0</v>
      </c>
      <c r="AE23" s="59">
        <f t="shared" si="38"/>
        <v>0</v>
      </c>
      <c r="AF23" s="57">
        <f>' WIP '!AP23</f>
        <v>0</v>
      </c>
      <c r="AG23" s="114">
        <v>0</v>
      </c>
      <c r="AH23" s="59">
        <f t="shared" si="39"/>
        <v>0</v>
      </c>
      <c r="AI23" s="57">
        <f>' WIP '!AT23</f>
        <v>0</v>
      </c>
      <c r="AJ23" s="58">
        <v>0</v>
      </c>
      <c r="AK23" s="59">
        <f t="shared" si="40"/>
        <v>0</v>
      </c>
      <c r="AL23" s="57">
        <f>' WIP '!AX23</f>
        <v>0</v>
      </c>
      <c r="AM23" s="58"/>
      <c r="AN23" s="59">
        <f t="shared" si="41"/>
        <v>0</v>
      </c>
      <c r="AO23" s="57">
        <f>' WIP '!BB23</f>
        <v>0</v>
      </c>
      <c r="AP23" s="58">
        <v>0</v>
      </c>
      <c r="AQ23" s="59">
        <f t="shared" si="42"/>
        <v>0</v>
      </c>
      <c r="AR23" s="57">
        <f>' WIP '!BF23</f>
        <v>0</v>
      </c>
      <c r="AS23" s="58">
        <v>0</v>
      </c>
      <c r="AT23" s="59">
        <f t="shared" si="43"/>
        <v>0</v>
      </c>
      <c r="AU23" s="57">
        <f>' WIP '!BJ23</f>
        <v>0</v>
      </c>
      <c r="AV23" s="58">
        <v>0</v>
      </c>
      <c r="AW23" s="59">
        <f t="shared" si="44"/>
        <v>0</v>
      </c>
      <c r="AX23" s="57">
        <f>' WIP '!BN23</f>
        <v>0</v>
      </c>
      <c r="AY23" s="58">
        <v>0</v>
      </c>
      <c r="AZ23" s="59">
        <f t="shared" si="45"/>
        <v>0</v>
      </c>
      <c r="BA23" s="57">
        <f>' WIP '!BR23</f>
        <v>0</v>
      </c>
      <c r="BB23" s="58">
        <v>0</v>
      </c>
      <c r="BC23" s="59">
        <f t="shared" si="46"/>
        <v>0</v>
      </c>
      <c r="BD23" s="57">
        <f>' WIP '!BV23</f>
        <v>0</v>
      </c>
      <c r="BE23" s="58">
        <v>0</v>
      </c>
      <c r="BF23" s="59">
        <f t="shared" si="47"/>
        <v>0</v>
      </c>
      <c r="BG23" s="57">
        <f>' WIP '!BZ23</f>
        <v>0</v>
      </c>
      <c r="BH23" s="58"/>
      <c r="BI23" s="59">
        <f t="shared" si="48"/>
        <v>0</v>
      </c>
      <c r="BJ23" s="57">
        <f>' WIP '!CD23</f>
        <v>0</v>
      </c>
      <c r="BK23" s="58">
        <v>0</v>
      </c>
      <c r="BL23" s="59">
        <f t="shared" si="49"/>
        <v>0</v>
      </c>
      <c r="BM23" s="57">
        <f>' WIP '!CH23</f>
        <v>0</v>
      </c>
      <c r="BN23" s="58">
        <v>0</v>
      </c>
      <c r="BO23" s="59">
        <f t="shared" si="50"/>
        <v>0</v>
      </c>
      <c r="BP23" s="57">
        <f>' WIP '!CL23</f>
        <v>0</v>
      </c>
      <c r="BQ23" s="58"/>
      <c r="BR23" s="59">
        <f t="shared" si="51"/>
        <v>0</v>
      </c>
      <c r="BS23" s="57">
        <f>' WIP '!CP23</f>
        <v>0</v>
      </c>
      <c r="BT23" s="58">
        <v>0</v>
      </c>
      <c r="BU23" s="59">
        <f t="shared" si="52"/>
        <v>0</v>
      </c>
      <c r="BV23" s="57">
        <f>' WIP '!CT23</f>
        <v>0</v>
      </c>
      <c r="BW23" s="28">
        <v>0</v>
      </c>
      <c r="BX23" s="59">
        <f t="shared" si="53"/>
        <v>0</v>
      </c>
      <c r="BY23" s="57">
        <f>' WIP '!CX23</f>
        <v>0</v>
      </c>
      <c r="BZ23" s="58">
        <v>0</v>
      </c>
      <c r="CA23" s="59">
        <f t="shared" si="54"/>
        <v>0</v>
      </c>
      <c r="CB23" s="57">
        <f>' WIP '!DB23</f>
        <v>0</v>
      </c>
      <c r="CC23" s="58">
        <v>0</v>
      </c>
      <c r="CD23" s="59">
        <f t="shared" si="55"/>
        <v>0</v>
      </c>
      <c r="CE23" s="57">
        <f>' WIP '!DF23</f>
        <v>0</v>
      </c>
      <c r="CF23" s="58">
        <v>0</v>
      </c>
      <c r="CG23" s="59">
        <f t="shared" si="56"/>
        <v>0</v>
      </c>
      <c r="CH23" s="57">
        <f>' WIP '!DJ23</f>
        <v>0</v>
      </c>
      <c r="CI23" s="58">
        <v>0</v>
      </c>
      <c r="CJ23" s="59">
        <f t="shared" si="57"/>
        <v>0</v>
      </c>
      <c r="CK23" s="57">
        <f>' WIP '!DN23</f>
        <v>0</v>
      </c>
      <c r="CL23" s="58">
        <v>0</v>
      </c>
      <c r="CM23" s="59">
        <f t="shared" si="58"/>
        <v>0</v>
      </c>
      <c r="CN23" s="57">
        <f>' WIP '!DR23</f>
        <v>0</v>
      </c>
      <c r="CO23" s="57"/>
      <c r="CP23" s="59">
        <f t="shared" si="59"/>
        <v>0</v>
      </c>
      <c r="CQ23" s="57">
        <f>' WIP '!DV23</f>
        <v>0</v>
      </c>
      <c r="CR23" s="58"/>
      <c r="CS23" s="59">
        <f t="shared" si="60"/>
        <v>0</v>
      </c>
      <c r="CT23" s="31">
        <f t="shared" si="61"/>
        <v>0</v>
      </c>
      <c r="CU23" s="4">
        <f t="shared" si="62"/>
        <v>0</v>
      </c>
      <c r="CV23" s="5">
        <f>D23*'MASTER SHEET'!D23</f>
        <v>0</v>
      </c>
      <c r="CW23" s="5">
        <f>G23*'MASTER SHEET'!D23</f>
        <v>0</v>
      </c>
      <c r="CX23" s="5">
        <f>J23*'MASTER SHEET'!D23</f>
        <v>0</v>
      </c>
      <c r="CY23" s="5">
        <f>M23*'MASTER SHEET'!D23</f>
        <v>0</v>
      </c>
      <c r="CZ23" s="5">
        <f>P23*'MASTER SHEET'!D23</f>
        <v>0</v>
      </c>
      <c r="DA23" s="5">
        <f>S23*'MASTER SHEET'!D23</f>
        <v>0</v>
      </c>
      <c r="DB23" s="5">
        <f>V23*'MASTER SHEET'!D23</f>
        <v>0</v>
      </c>
      <c r="DC23" s="5">
        <f>Y23*'MASTER SHEET'!D23</f>
        <v>0</v>
      </c>
      <c r="DD23" s="5">
        <f>AB23*'MASTER SHEET'!D23</f>
        <v>0</v>
      </c>
      <c r="DE23" s="5">
        <f>AE23*'MASTER SHEET'!D23</f>
        <v>0</v>
      </c>
      <c r="DF23" s="5">
        <f>AH23*'MASTER SHEET'!D23</f>
        <v>0</v>
      </c>
      <c r="DG23" s="5">
        <f>AK23*'MASTER SHEET'!D23</f>
        <v>0</v>
      </c>
      <c r="DH23" s="5">
        <f>AN23*'MASTER SHEET'!D23</f>
        <v>0</v>
      </c>
      <c r="DI23" s="5">
        <f>AQ23*'MASTER SHEET'!D23</f>
        <v>0</v>
      </c>
      <c r="DJ23" s="5">
        <f>AT23*'MASTER SHEET'!D23</f>
        <v>0</v>
      </c>
      <c r="DK23" s="5">
        <f>AW23*'MASTER SHEET'!D23</f>
        <v>0</v>
      </c>
      <c r="DL23" s="5">
        <f>AZ23*'MASTER SHEET'!D23</f>
        <v>0</v>
      </c>
      <c r="DM23" s="5">
        <f>BC23*'MASTER SHEET'!D23</f>
        <v>0</v>
      </c>
      <c r="DN23" s="5">
        <f>BF23*'MASTER SHEET'!D23</f>
        <v>0</v>
      </c>
      <c r="DO23" s="5">
        <f>BI23*'MASTER SHEET'!D23</f>
        <v>0</v>
      </c>
      <c r="DP23" s="5">
        <f>BL23*'MASTER SHEET'!D23</f>
        <v>0</v>
      </c>
      <c r="DQ23" s="5">
        <f>BO23*'MASTER SHEET'!D23</f>
        <v>0</v>
      </c>
      <c r="DR23" s="5">
        <f>BR23*'MASTER SHEET'!D23</f>
        <v>0</v>
      </c>
      <c r="DS23" s="5">
        <f>BU23*'MASTER SHEET'!D23</f>
        <v>0</v>
      </c>
      <c r="DT23" s="5">
        <f>BX23*'MASTER SHEET'!D23</f>
        <v>0</v>
      </c>
      <c r="DU23" s="5">
        <f>CA23*'MASTER SHEET'!D23</f>
        <v>0</v>
      </c>
      <c r="DV23" s="5">
        <f>CD23*'MASTER SHEET'!D23</f>
        <v>0</v>
      </c>
      <c r="DW23" s="5">
        <f>CG23*'MASTER SHEET'!D23</f>
        <v>0</v>
      </c>
      <c r="DX23" s="5">
        <f>CJ23*'MASTER SHEET'!D23</f>
        <v>0</v>
      </c>
      <c r="DY23" s="5">
        <f>CM23*'MASTER SHEET'!D23</f>
        <v>0</v>
      </c>
      <c r="DZ23" s="5">
        <f>CP23*'MASTER SHEET'!D23</f>
        <v>0</v>
      </c>
      <c r="EA23" s="5">
        <f>CS23*'MASTER SHEET'!D23</f>
        <v>0</v>
      </c>
      <c r="EB23" s="9"/>
    </row>
    <row r="24" spans="1:132" ht="15.75" x14ac:dyDescent="0.25">
      <c r="A24" s="25">
        <f>'MASTER SHEET'!A24</f>
        <v>22</v>
      </c>
      <c r="B24" s="26" t="str">
        <f>'MASTER SHEET'!B24</f>
        <v>BASE HOUSING</v>
      </c>
      <c r="C24" s="27">
        <f>'MASTER SHEET'!C24</f>
        <v>5017101</v>
      </c>
      <c r="D24" s="56">
        <v>0</v>
      </c>
      <c r="E24" s="57">
        <f>' WIP '!F24</f>
        <v>0</v>
      </c>
      <c r="F24" s="58">
        <v>0</v>
      </c>
      <c r="G24" s="59">
        <f t="shared" si="30"/>
        <v>0</v>
      </c>
      <c r="H24" s="57">
        <f>' WIP '!J24</f>
        <v>0</v>
      </c>
      <c r="I24" s="58">
        <v>0</v>
      </c>
      <c r="J24" s="59">
        <f t="shared" si="31"/>
        <v>0</v>
      </c>
      <c r="K24" s="57">
        <f>' WIP '!N24</f>
        <v>0</v>
      </c>
      <c r="L24" s="58"/>
      <c r="M24" s="59">
        <f t="shared" si="32"/>
        <v>0</v>
      </c>
      <c r="N24" s="57">
        <f>' WIP '!R24</f>
        <v>0</v>
      </c>
      <c r="O24" s="58">
        <v>0</v>
      </c>
      <c r="P24" s="59">
        <f t="shared" si="33"/>
        <v>0</v>
      </c>
      <c r="Q24" s="57">
        <f>' WIP '!V24</f>
        <v>0</v>
      </c>
      <c r="R24" s="58">
        <v>0</v>
      </c>
      <c r="S24" s="59">
        <f t="shared" si="34"/>
        <v>0</v>
      </c>
      <c r="T24" s="57">
        <f>' WIP '!Z24</f>
        <v>0</v>
      </c>
      <c r="U24" s="58">
        <v>0</v>
      </c>
      <c r="V24" s="59">
        <f t="shared" si="35"/>
        <v>0</v>
      </c>
      <c r="W24" s="57">
        <f>' WIP '!AD24</f>
        <v>0</v>
      </c>
      <c r="X24" s="58">
        <v>0</v>
      </c>
      <c r="Y24" s="59">
        <f t="shared" si="36"/>
        <v>0</v>
      </c>
      <c r="Z24" s="57">
        <f>' WIP '!AH24</f>
        <v>0</v>
      </c>
      <c r="AA24" s="58">
        <v>0</v>
      </c>
      <c r="AB24" s="59">
        <f t="shared" si="37"/>
        <v>0</v>
      </c>
      <c r="AC24" s="57">
        <f>' WIP '!AL24</f>
        <v>0</v>
      </c>
      <c r="AD24" s="58">
        <v>0</v>
      </c>
      <c r="AE24" s="59">
        <f t="shared" si="38"/>
        <v>0</v>
      </c>
      <c r="AF24" s="57">
        <f>' WIP '!AP24</f>
        <v>0</v>
      </c>
      <c r="AG24" s="114">
        <v>0</v>
      </c>
      <c r="AH24" s="59">
        <f t="shared" si="39"/>
        <v>0</v>
      </c>
      <c r="AI24" s="57">
        <f>' WIP '!AT24</f>
        <v>0</v>
      </c>
      <c r="AJ24" s="58">
        <v>0</v>
      </c>
      <c r="AK24" s="59">
        <f t="shared" si="40"/>
        <v>0</v>
      </c>
      <c r="AL24" s="57">
        <f>' WIP '!AX24</f>
        <v>0</v>
      </c>
      <c r="AM24" s="58"/>
      <c r="AN24" s="59">
        <f t="shared" si="41"/>
        <v>0</v>
      </c>
      <c r="AO24" s="57">
        <f>' WIP '!BB24</f>
        <v>0</v>
      </c>
      <c r="AP24" s="58">
        <v>0</v>
      </c>
      <c r="AQ24" s="59">
        <f t="shared" si="42"/>
        <v>0</v>
      </c>
      <c r="AR24" s="57">
        <f>' WIP '!BF24</f>
        <v>0</v>
      </c>
      <c r="AS24" s="58">
        <v>0</v>
      </c>
      <c r="AT24" s="59">
        <f t="shared" si="43"/>
        <v>0</v>
      </c>
      <c r="AU24" s="57">
        <f>' WIP '!BJ24</f>
        <v>0</v>
      </c>
      <c r="AV24" s="58">
        <v>0</v>
      </c>
      <c r="AW24" s="59">
        <f t="shared" si="44"/>
        <v>0</v>
      </c>
      <c r="AX24" s="57">
        <f>' WIP '!BN24</f>
        <v>0</v>
      </c>
      <c r="AY24" s="58">
        <v>0</v>
      </c>
      <c r="AZ24" s="59">
        <f t="shared" si="45"/>
        <v>0</v>
      </c>
      <c r="BA24" s="57">
        <f>' WIP '!BR24</f>
        <v>0</v>
      </c>
      <c r="BB24" s="58">
        <v>0</v>
      </c>
      <c r="BC24" s="59">
        <f t="shared" si="46"/>
        <v>0</v>
      </c>
      <c r="BD24" s="57">
        <f>' WIP '!BV24</f>
        <v>0</v>
      </c>
      <c r="BE24" s="58">
        <v>0</v>
      </c>
      <c r="BF24" s="59">
        <f t="shared" si="47"/>
        <v>0</v>
      </c>
      <c r="BG24" s="57">
        <f>' WIP '!BZ24</f>
        <v>0</v>
      </c>
      <c r="BH24" s="58"/>
      <c r="BI24" s="59">
        <f t="shared" si="48"/>
        <v>0</v>
      </c>
      <c r="BJ24" s="57">
        <f>' WIP '!CD24</f>
        <v>0</v>
      </c>
      <c r="BK24" s="58">
        <v>0</v>
      </c>
      <c r="BL24" s="59">
        <f t="shared" si="49"/>
        <v>0</v>
      </c>
      <c r="BM24" s="57">
        <f>' WIP '!CH24</f>
        <v>0</v>
      </c>
      <c r="BN24" s="58">
        <v>0</v>
      </c>
      <c r="BO24" s="59">
        <f t="shared" si="50"/>
        <v>0</v>
      </c>
      <c r="BP24" s="57">
        <f>' WIP '!CL24</f>
        <v>0</v>
      </c>
      <c r="BQ24" s="58"/>
      <c r="BR24" s="59">
        <f t="shared" si="51"/>
        <v>0</v>
      </c>
      <c r="BS24" s="57">
        <f>' WIP '!CP24</f>
        <v>0</v>
      </c>
      <c r="BT24" s="58">
        <v>0</v>
      </c>
      <c r="BU24" s="59">
        <f t="shared" si="52"/>
        <v>0</v>
      </c>
      <c r="BV24" s="57">
        <f>' WIP '!CT24</f>
        <v>0</v>
      </c>
      <c r="BW24" s="28">
        <v>0</v>
      </c>
      <c r="BX24" s="59">
        <f t="shared" si="53"/>
        <v>0</v>
      </c>
      <c r="BY24" s="57">
        <f>' WIP '!CX24</f>
        <v>0</v>
      </c>
      <c r="BZ24" s="58">
        <v>0</v>
      </c>
      <c r="CA24" s="59">
        <f t="shared" si="54"/>
        <v>0</v>
      </c>
      <c r="CB24" s="57">
        <f>' WIP '!DB24</f>
        <v>0</v>
      </c>
      <c r="CC24" s="58">
        <v>0</v>
      </c>
      <c r="CD24" s="59">
        <f t="shared" si="55"/>
        <v>0</v>
      </c>
      <c r="CE24" s="57">
        <f>' WIP '!DF24</f>
        <v>0</v>
      </c>
      <c r="CF24" s="58">
        <v>0</v>
      </c>
      <c r="CG24" s="59">
        <f t="shared" si="56"/>
        <v>0</v>
      </c>
      <c r="CH24" s="57">
        <f>' WIP '!DJ24</f>
        <v>0</v>
      </c>
      <c r="CI24" s="58">
        <v>0</v>
      </c>
      <c r="CJ24" s="59">
        <f t="shared" si="57"/>
        <v>0</v>
      </c>
      <c r="CK24" s="57">
        <f>' WIP '!DN24</f>
        <v>0</v>
      </c>
      <c r="CL24" s="58">
        <v>0</v>
      </c>
      <c r="CM24" s="59">
        <f t="shared" si="58"/>
        <v>0</v>
      </c>
      <c r="CN24" s="57">
        <f>' WIP '!DR24</f>
        <v>0</v>
      </c>
      <c r="CO24" s="57"/>
      <c r="CP24" s="59">
        <f t="shared" si="59"/>
        <v>0</v>
      </c>
      <c r="CQ24" s="57">
        <f>' WIP '!DV24</f>
        <v>0</v>
      </c>
      <c r="CR24" s="58"/>
      <c r="CS24" s="59">
        <f t="shared" si="60"/>
        <v>0</v>
      </c>
      <c r="CT24" s="31">
        <f t="shared" si="61"/>
        <v>0</v>
      </c>
      <c r="CU24" s="4">
        <f t="shared" si="62"/>
        <v>0</v>
      </c>
      <c r="CV24" s="5">
        <f>D24*'MASTER SHEET'!D24</f>
        <v>0</v>
      </c>
      <c r="CW24" s="5">
        <f>G24*'MASTER SHEET'!D24</f>
        <v>0</v>
      </c>
      <c r="CX24" s="5">
        <f>J24*'MASTER SHEET'!D24</f>
        <v>0</v>
      </c>
      <c r="CY24" s="5">
        <f>M24*'MASTER SHEET'!D24</f>
        <v>0</v>
      </c>
      <c r="CZ24" s="5">
        <f>P24*'MASTER SHEET'!D24</f>
        <v>0</v>
      </c>
      <c r="DA24" s="5">
        <f>S24*'MASTER SHEET'!D24</f>
        <v>0</v>
      </c>
      <c r="DB24" s="5">
        <f>V24*'MASTER SHEET'!D24</f>
        <v>0</v>
      </c>
      <c r="DC24" s="5">
        <f>Y24*'MASTER SHEET'!D24</f>
        <v>0</v>
      </c>
      <c r="DD24" s="5">
        <f>AB24*'MASTER SHEET'!D24</f>
        <v>0</v>
      </c>
      <c r="DE24" s="5">
        <f>AE24*'MASTER SHEET'!D24</f>
        <v>0</v>
      </c>
      <c r="DF24" s="5">
        <f>AH24*'MASTER SHEET'!D24</f>
        <v>0</v>
      </c>
      <c r="DG24" s="5">
        <f>AK24*'MASTER SHEET'!D24</f>
        <v>0</v>
      </c>
      <c r="DH24" s="5">
        <f>AN24*'MASTER SHEET'!D24</f>
        <v>0</v>
      </c>
      <c r="DI24" s="5">
        <f>AQ24*'MASTER SHEET'!D24</f>
        <v>0</v>
      </c>
      <c r="DJ24" s="5">
        <f>AT24*'MASTER SHEET'!D24</f>
        <v>0</v>
      </c>
      <c r="DK24" s="5">
        <f>AW24*'MASTER SHEET'!D24</f>
        <v>0</v>
      </c>
      <c r="DL24" s="5">
        <f>AZ24*'MASTER SHEET'!D24</f>
        <v>0</v>
      </c>
      <c r="DM24" s="5">
        <f>BC24*'MASTER SHEET'!D24</f>
        <v>0</v>
      </c>
      <c r="DN24" s="5">
        <f>BF24*'MASTER SHEET'!D24</f>
        <v>0</v>
      </c>
      <c r="DO24" s="5">
        <f>BI24*'MASTER SHEET'!D24</f>
        <v>0</v>
      </c>
      <c r="DP24" s="5">
        <f>BL24*'MASTER SHEET'!D24</f>
        <v>0</v>
      </c>
      <c r="DQ24" s="5">
        <f>BO24*'MASTER SHEET'!D24</f>
        <v>0</v>
      </c>
      <c r="DR24" s="5">
        <f>BR24*'MASTER SHEET'!D24</f>
        <v>0</v>
      </c>
      <c r="DS24" s="5">
        <f>BU24*'MASTER SHEET'!D24</f>
        <v>0</v>
      </c>
      <c r="DT24" s="5">
        <f>BX24*'MASTER SHEET'!D24</f>
        <v>0</v>
      </c>
      <c r="DU24" s="5">
        <f>CA24*'MASTER SHEET'!D24</f>
        <v>0</v>
      </c>
      <c r="DV24" s="5">
        <f>CD24*'MASTER SHEET'!D24</f>
        <v>0</v>
      </c>
      <c r="DW24" s="5">
        <f>CG24*'MASTER SHEET'!D24</f>
        <v>0</v>
      </c>
      <c r="DX24" s="5">
        <f>CJ24*'MASTER SHEET'!D24</f>
        <v>0</v>
      </c>
      <c r="DY24" s="5">
        <f>CM24*'MASTER SHEET'!D24</f>
        <v>0</v>
      </c>
      <c r="DZ24" s="5">
        <f>CP24*'MASTER SHEET'!D24</f>
        <v>0</v>
      </c>
      <c r="EA24" s="5">
        <f>CS24*'MASTER SHEET'!D24</f>
        <v>0</v>
      </c>
      <c r="EB24" s="9"/>
    </row>
    <row r="25" spans="1:132" ht="15.75" x14ac:dyDescent="0.25">
      <c r="A25" s="25">
        <f>'MASTER SHEET'!A25</f>
        <v>23</v>
      </c>
      <c r="B25" s="26" t="str">
        <f>'MASTER SHEET'!B25</f>
        <v>LID HOUSING CRANKCASE</v>
      </c>
      <c r="C25" s="27">
        <f>'MASTER SHEET'!C25</f>
        <v>5017102</v>
      </c>
      <c r="D25" s="56">
        <v>0</v>
      </c>
      <c r="E25" s="57">
        <f>' WIP '!F25</f>
        <v>0</v>
      </c>
      <c r="F25" s="58">
        <v>0</v>
      </c>
      <c r="G25" s="59">
        <f t="shared" si="30"/>
        <v>0</v>
      </c>
      <c r="H25" s="57">
        <f>' WIP '!J25</f>
        <v>0</v>
      </c>
      <c r="I25" s="58">
        <v>0</v>
      </c>
      <c r="J25" s="59">
        <f t="shared" si="31"/>
        <v>0</v>
      </c>
      <c r="K25" s="57">
        <f>' WIP '!N25</f>
        <v>0</v>
      </c>
      <c r="L25" s="58"/>
      <c r="M25" s="59">
        <f t="shared" si="32"/>
        <v>0</v>
      </c>
      <c r="N25" s="57">
        <f>' WIP '!R25</f>
        <v>0</v>
      </c>
      <c r="O25" s="58">
        <v>0</v>
      </c>
      <c r="P25" s="59">
        <f t="shared" si="33"/>
        <v>0</v>
      </c>
      <c r="Q25" s="57">
        <f>' WIP '!V25</f>
        <v>0</v>
      </c>
      <c r="R25" s="58">
        <v>0</v>
      </c>
      <c r="S25" s="59">
        <f t="shared" si="34"/>
        <v>0</v>
      </c>
      <c r="T25" s="57">
        <f>' WIP '!Z25</f>
        <v>0</v>
      </c>
      <c r="U25" s="58">
        <v>0</v>
      </c>
      <c r="V25" s="59">
        <f t="shared" si="35"/>
        <v>0</v>
      </c>
      <c r="W25" s="57">
        <f>' WIP '!AD25</f>
        <v>0</v>
      </c>
      <c r="X25" s="58">
        <v>0</v>
      </c>
      <c r="Y25" s="59">
        <f t="shared" si="36"/>
        <v>0</v>
      </c>
      <c r="Z25" s="57">
        <f>' WIP '!AH25</f>
        <v>0</v>
      </c>
      <c r="AA25" s="58">
        <v>0</v>
      </c>
      <c r="AB25" s="59">
        <f t="shared" si="37"/>
        <v>0</v>
      </c>
      <c r="AC25" s="57">
        <f>' WIP '!AL25</f>
        <v>0</v>
      </c>
      <c r="AD25" s="58">
        <v>0</v>
      </c>
      <c r="AE25" s="59">
        <f t="shared" si="38"/>
        <v>0</v>
      </c>
      <c r="AF25" s="57">
        <f>' WIP '!AP25</f>
        <v>0</v>
      </c>
      <c r="AG25" s="114">
        <v>0</v>
      </c>
      <c r="AH25" s="59">
        <f t="shared" si="39"/>
        <v>0</v>
      </c>
      <c r="AI25" s="57">
        <f>' WIP '!AT25</f>
        <v>0</v>
      </c>
      <c r="AJ25" s="58">
        <v>0</v>
      </c>
      <c r="AK25" s="59">
        <f t="shared" si="40"/>
        <v>0</v>
      </c>
      <c r="AL25" s="57">
        <f>' WIP '!AX25</f>
        <v>0</v>
      </c>
      <c r="AM25" s="58"/>
      <c r="AN25" s="59">
        <f t="shared" si="41"/>
        <v>0</v>
      </c>
      <c r="AO25" s="57">
        <f>' WIP '!BB25</f>
        <v>0</v>
      </c>
      <c r="AP25" s="58">
        <v>0</v>
      </c>
      <c r="AQ25" s="59">
        <f t="shared" si="42"/>
        <v>0</v>
      </c>
      <c r="AR25" s="57">
        <f>' WIP '!BF25</f>
        <v>225</v>
      </c>
      <c r="AS25" s="58">
        <v>225</v>
      </c>
      <c r="AT25" s="59">
        <f t="shared" si="43"/>
        <v>0</v>
      </c>
      <c r="AU25" s="57">
        <f>' WIP '!BJ25</f>
        <v>0</v>
      </c>
      <c r="AV25" s="58">
        <v>0</v>
      </c>
      <c r="AW25" s="59">
        <f t="shared" si="44"/>
        <v>0</v>
      </c>
      <c r="AX25" s="57">
        <f>' WIP '!BN25</f>
        <v>0</v>
      </c>
      <c r="AY25" s="58">
        <v>0</v>
      </c>
      <c r="AZ25" s="59">
        <f t="shared" si="45"/>
        <v>0</v>
      </c>
      <c r="BA25" s="57">
        <f>' WIP '!BR25</f>
        <v>500</v>
      </c>
      <c r="BB25" s="58">
        <v>500</v>
      </c>
      <c r="BC25" s="59">
        <f t="shared" si="46"/>
        <v>0</v>
      </c>
      <c r="BD25" s="57">
        <f>' WIP '!BV25</f>
        <v>164</v>
      </c>
      <c r="BE25" s="58">
        <v>0</v>
      </c>
      <c r="BF25" s="59">
        <f t="shared" si="47"/>
        <v>164</v>
      </c>
      <c r="BG25" s="57">
        <f>' WIP '!BZ25</f>
        <v>0</v>
      </c>
      <c r="BH25" s="58"/>
      <c r="BI25" s="59">
        <f t="shared" si="48"/>
        <v>164</v>
      </c>
      <c r="BJ25" s="57">
        <f>' WIP '!CD25</f>
        <v>0</v>
      </c>
      <c r="BK25" s="58">
        <v>0</v>
      </c>
      <c r="BL25" s="59">
        <f t="shared" si="49"/>
        <v>164</v>
      </c>
      <c r="BM25" s="57">
        <f>' WIP '!CH25</f>
        <v>0</v>
      </c>
      <c r="BN25" s="58">
        <v>0</v>
      </c>
      <c r="BO25" s="59">
        <f t="shared" si="50"/>
        <v>164</v>
      </c>
      <c r="BP25" s="57">
        <f>' WIP '!CL25</f>
        <v>0</v>
      </c>
      <c r="BQ25" s="58"/>
      <c r="BR25" s="59">
        <f t="shared" si="51"/>
        <v>164</v>
      </c>
      <c r="BS25" s="57">
        <f>' WIP '!CP25</f>
        <v>0</v>
      </c>
      <c r="BT25" s="58">
        <v>0</v>
      </c>
      <c r="BU25" s="59">
        <f t="shared" si="52"/>
        <v>164</v>
      </c>
      <c r="BV25" s="57">
        <f>' WIP '!CT25</f>
        <v>0</v>
      </c>
      <c r="BW25" s="28">
        <v>0</v>
      </c>
      <c r="BX25" s="59">
        <f t="shared" si="53"/>
        <v>164</v>
      </c>
      <c r="BY25" s="57">
        <f>' WIP '!CX25</f>
        <v>0</v>
      </c>
      <c r="BZ25" s="58">
        <v>0</v>
      </c>
      <c r="CA25" s="59">
        <f t="shared" si="54"/>
        <v>164</v>
      </c>
      <c r="CB25" s="57">
        <f>' WIP '!DB25</f>
        <v>0</v>
      </c>
      <c r="CC25" s="58">
        <v>0</v>
      </c>
      <c r="CD25" s="59">
        <f t="shared" si="55"/>
        <v>164</v>
      </c>
      <c r="CE25" s="57">
        <f>' WIP '!DF25</f>
        <v>0</v>
      </c>
      <c r="CF25" s="58">
        <v>0</v>
      </c>
      <c r="CG25" s="59">
        <f t="shared" si="56"/>
        <v>164</v>
      </c>
      <c r="CH25" s="57">
        <f>' WIP '!DJ25</f>
        <v>0</v>
      </c>
      <c r="CI25" s="58">
        <v>0</v>
      </c>
      <c r="CJ25" s="59">
        <f t="shared" si="57"/>
        <v>164</v>
      </c>
      <c r="CK25" s="57">
        <f>' WIP '!DN25</f>
        <v>0</v>
      </c>
      <c r="CL25" s="58">
        <v>0</v>
      </c>
      <c r="CM25" s="59">
        <f t="shared" si="58"/>
        <v>164</v>
      </c>
      <c r="CN25" s="57">
        <f>' WIP '!DR25</f>
        <v>0</v>
      </c>
      <c r="CO25" s="57"/>
      <c r="CP25" s="59">
        <f t="shared" si="59"/>
        <v>164</v>
      </c>
      <c r="CQ25" s="57">
        <f>' WIP '!DV25</f>
        <v>0</v>
      </c>
      <c r="CR25" s="58"/>
      <c r="CS25" s="59">
        <f t="shared" si="60"/>
        <v>164</v>
      </c>
      <c r="CT25" s="31">
        <f t="shared" si="61"/>
        <v>889</v>
      </c>
      <c r="CU25" s="4">
        <f t="shared" si="62"/>
        <v>725</v>
      </c>
      <c r="CV25" s="5">
        <f>D25*'MASTER SHEET'!D25</f>
        <v>0</v>
      </c>
      <c r="CW25" s="5">
        <f>G25*'MASTER SHEET'!D25</f>
        <v>0</v>
      </c>
      <c r="CX25" s="5">
        <f>J25*'MASTER SHEET'!D25</f>
        <v>0</v>
      </c>
      <c r="CY25" s="5">
        <f>M25*'MASTER SHEET'!D25</f>
        <v>0</v>
      </c>
      <c r="CZ25" s="5">
        <f>P25*'MASTER SHEET'!D25</f>
        <v>0</v>
      </c>
      <c r="DA25" s="5">
        <f>S25*'MASTER SHEET'!D25</f>
        <v>0</v>
      </c>
      <c r="DB25" s="5">
        <f>V25*'MASTER SHEET'!D25</f>
        <v>0</v>
      </c>
      <c r="DC25" s="5">
        <f>Y25*'MASTER SHEET'!D25</f>
        <v>0</v>
      </c>
      <c r="DD25" s="5">
        <f>AB25*'MASTER SHEET'!D25</f>
        <v>0</v>
      </c>
      <c r="DE25" s="5">
        <f>AE25*'MASTER SHEET'!D25</f>
        <v>0</v>
      </c>
      <c r="DF25" s="5">
        <f>AH25*'MASTER SHEET'!D25</f>
        <v>0</v>
      </c>
      <c r="DG25" s="5">
        <f>AK25*'MASTER SHEET'!D25</f>
        <v>0</v>
      </c>
      <c r="DH25" s="5">
        <f>AN25*'MASTER SHEET'!D25</f>
        <v>0</v>
      </c>
      <c r="DI25" s="5">
        <f>AQ25*'MASTER SHEET'!D25</f>
        <v>0</v>
      </c>
      <c r="DJ25" s="5">
        <f>AT25*'MASTER SHEET'!D25</f>
        <v>0</v>
      </c>
      <c r="DK25" s="5">
        <f>AW25*'MASTER SHEET'!D25</f>
        <v>0</v>
      </c>
      <c r="DL25" s="5">
        <f>AZ25*'MASTER SHEET'!D25</f>
        <v>0</v>
      </c>
      <c r="DM25" s="5">
        <f>BC25*'MASTER SHEET'!D25</f>
        <v>0</v>
      </c>
      <c r="DN25" s="5">
        <f>BF25*'MASTER SHEET'!D25</f>
        <v>4639.5599999999995</v>
      </c>
      <c r="DO25" s="5">
        <f>BI25*'MASTER SHEET'!D25</f>
        <v>4639.5599999999995</v>
      </c>
      <c r="DP25" s="5">
        <f>BL25*'MASTER SHEET'!D25</f>
        <v>4639.5599999999995</v>
      </c>
      <c r="DQ25" s="5">
        <f>BO25*'MASTER SHEET'!D25</f>
        <v>4639.5599999999995</v>
      </c>
      <c r="DR25" s="5">
        <f>BR25*'MASTER SHEET'!D25</f>
        <v>4639.5599999999995</v>
      </c>
      <c r="DS25" s="5">
        <f>BU25*'MASTER SHEET'!D25</f>
        <v>4639.5599999999995</v>
      </c>
      <c r="DT25" s="5">
        <f>BX25*'MASTER SHEET'!D25</f>
        <v>4639.5599999999995</v>
      </c>
      <c r="DU25" s="5">
        <f>CA25*'MASTER SHEET'!D25</f>
        <v>4639.5599999999995</v>
      </c>
      <c r="DV25" s="5">
        <f>CD25*'MASTER SHEET'!D25</f>
        <v>4639.5599999999995</v>
      </c>
      <c r="DW25" s="5">
        <f>CG25*'MASTER SHEET'!D25</f>
        <v>4639.5599999999995</v>
      </c>
      <c r="DX25" s="5">
        <f>CJ25*'MASTER SHEET'!D25</f>
        <v>4639.5599999999995</v>
      </c>
      <c r="DY25" s="5">
        <f>CM25*'MASTER SHEET'!D25</f>
        <v>4639.5599999999995</v>
      </c>
      <c r="DZ25" s="5">
        <f>CP25*'MASTER SHEET'!D25</f>
        <v>4639.5599999999995</v>
      </c>
      <c r="EA25" s="5">
        <f>CS25*'MASTER SHEET'!D25</f>
        <v>4639.5599999999995</v>
      </c>
      <c r="EB25" s="9"/>
    </row>
    <row r="26" spans="1:132" ht="15.75" x14ac:dyDescent="0.25">
      <c r="A26" s="25">
        <f>'MASTER SHEET'!A26</f>
        <v>24</v>
      </c>
      <c r="B26" s="26" t="str">
        <f>'MASTER SHEET'!B26</f>
        <v>CENTER TUBE</v>
      </c>
      <c r="C26" s="27">
        <f>'MASTER SHEET'!C26</f>
        <v>5017886</v>
      </c>
      <c r="D26" s="56">
        <v>160</v>
      </c>
      <c r="E26" s="57">
        <f>' WIP '!F26</f>
        <v>0</v>
      </c>
      <c r="F26" s="58">
        <v>160</v>
      </c>
      <c r="G26" s="59">
        <f t="shared" si="30"/>
        <v>0</v>
      </c>
      <c r="H26" s="57">
        <f>' WIP '!J26</f>
        <v>0</v>
      </c>
      <c r="I26" s="58">
        <v>0</v>
      </c>
      <c r="J26" s="59">
        <f t="shared" si="31"/>
        <v>0</v>
      </c>
      <c r="K26" s="57">
        <f>' WIP '!N26</f>
        <v>0</v>
      </c>
      <c r="L26" s="58"/>
      <c r="M26" s="59">
        <f t="shared" si="32"/>
        <v>0</v>
      </c>
      <c r="N26" s="57">
        <f>' WIP '!R26</f>
        <v>3920</v>
      </c>
      <c r="O26" s="58">
        <v>3920</v>
      </c>
      <c r="P26" s="59">
        <f t="shared" si="33"/>
        <v>0</v>
      </c>
      <c r="Q26" s="57">
        <f>' WIP '!V26</f>
        <v>0</v>
      </c>
      <c r="R26" s="58">
        <v>0</v>
      </c>
      <c r="S26" s="59">
        <f t="shared" si="34"/>
        <v>0</v>
      </c>
      <c r="T26" s="57">
        <f>' WIP '!Z26</f>
        <v>720</v>
      </c>
      <c r="U26" s="58">
        <v>720</v>
      </c>
      <c r="V26" s="59">
        <f t="shared" si="35"/>
        <v>0</v>
      </c>
      <c r="W26" s="57">
        <f>' WIP '!AD26</f>
        <v>3440</v>
      </c>
      <c r="X26" s="58">
        <v>3120</v>
      </c>
      <c r="Y26" s="59">
        <f t="shared" si="36"/>
        <v>320</v>
      </c>
      <c r="Z26" s="57">
        <f>' WIP '!AH26</f>
        <v>2880</v>
      </c>
      <c r="AA26" s="58">
        <v>2960</v>
      </c>
      <c r="AB26" s="59">
        <f t="shared" si="37"/>
        <v>240</v>
      </c>
      <c r="AC26" s="57">
        <f>' WIP '!AL26</f>
        <v>4800</v>
      </c>
      <c r="AD26" s="58">
        <v>2640</v>
      </c>
      <c r="AE26" s="59">
        <f t="shared" si="38"/>
        <v>2400</v>
      </c>
      <c r="AF26" s="57">
        <f>' WIP '!AP26</f>
        <v>1680</v>
      </c>
      <c r="AG26" s="114">
        <v>2480</v>
      </c>
      <c r="AH26" s="59">
        <f t="shared" si="39"/>
        <v>1600</v>
      </c>
      <c r="AI26" s="57">
        <f>' WIP '!AT26</f>
        <v>4160</v>
      </c>
      <c r="AJ26" s="58">
        <v>3200</v>
      </c>
      <c r="AK26" s="59">
        <f t="shared" si="40"/>
        <v>2560</v>
      </c>
      <c r="AL26" s="57">
        <f>' WIP '!AX26</f>
        <v>0</v>
      </c>
      <c r="AM26" s="58"/>
      <c r="AN26" s="59">
        <f t="shared" si="41"/>
        <v>2560</v>
      </c>
      <c r="AO26" s="57">
        <f>' WIP '!BB26</f>
        <v>2480</v>
      </c>
      <c r="AP26" s="58">
        <v>1680</v>
      </c>
      <c r="AQ26" s="59">
        <f t="shared" si="42"/>
        <v>3360</v>
      </c>
      <c r="AR26" s="57">
        <f>' WIP '!BF26</f>
        <v>1520</v>
      </c>
      <c r="AS26" s="58">
        <v>3600</v>
      </c>
      <c r="AT26" s="59">
        <f t="shared" si="43"/>
        <v>1280</v>
      </c>
      <c r="AU26" s="57">
        <f>' WIP '!BJ26</f>
        <v>1200</v>
      </c>
      <c r="AV26" s="58">
        <v>1600</v>
      </c>
      <c r="AW26" s="59">
        <f t="shared" si="44"/>
        <v>880</v>
      </c>
      <c r="AX26" s="57">
        <f>' WIP '!BN26</f>
        <v>2640</v>
      </c>
      <c r="AY26" s="58">
        <v>3520</v>
      </c>
      <c r="AZ26" s="59">
        <f t="shared" si="45"/>
        <v>0</v>
      </c>
      <c r="BA26" s="57">
        <f>' WIP '!BR26</f>
        <v>1760</v>
      </c>
      <c r="BB26" s="58">
        <v>1680</v>
      </c>
      <c r="BC26" s="59">
        <f t="shared" si="46"/>
        <v>80</v>
      </c>
      <c r="BD26" s="57">
        <f>' WIP '!BV26</f>
        <v>2480</v>
      </c>
      <c r="BE26" s="58">
        <v>2560</v>
      </c>
      <c r="BF26" s="59">
        <f t="shared" si="47"/>
        <v>0</v>
      </c>
      <c r="BG26" s="57">
        <f>' WIP '!BZ26</f>
        <v>0</v>
      </c>
      <c r="BH26" s="58"/>
      <c r="BI26" s="59">
        <f t="shared" si="48"/>
        <v>0</v>
      </c>
      <c r="BJ26" s="57">
        <f>' WIP '!CD26</f>
        <v>1920</v>
      </c>
      <c r="BK26" s="58">
        <v>1920</v>
      </c>
      <c r="BL26" s="59">
        <f t="shared" si="49"/>
        <v>0</v>
      </c>
      <c r="BM26" s="57">
        <f>' WIP '!CH26</f>
        <v>0</v>
      </c>
      <c r="BN26" s="58">
        <v>0</v>
      </c>
      <c r="BO26" s="59">
        <f t="shared" si="50"/>
        <v>0</v>
      </c>
      <c r="BP26" s="57">
        <f>' WIP '!CL26</f>
        <v>0</v>
      </c>
      <c r="BQ26" s="58"/>
      <c r="BR26" s="59">
        <f t="shared" si="51"/>
        <v>0</v>
      </c>
      <c r="BS26" s="57">
        <f>' WIP '!CP26</f>
        <v>1440</v>
      </c>
      <c r="BT26" s="58">
        <v>1440</v>
      </c>
      <c r="BU26" s="59">
        <f t="shared" si="52"/>
        <v>0</v>
      </c>
      <c r="BV26" s="57">
        <f>' WIP '!CT26</f>
        <v>4080</v>
      </c>
      <c r="BW26" s="28">
        <v>4080</v>
      </c>
      <c r="BX26" s="59">
        <f t="shared" si="53"/>
        <v>0</v>
      </c>
      <c r="BY26" s="57">
        <f>' WIP '!CX26</f>
        <v>4960</v>
      </c>
      <c r="BZ26" s="58">
        <v>4960</v>
      </c>
      <c r="CA26" s="59">
        <f t="shared" si="54"/>
        <v>0</v>
      </c>
      <c r="CB26" s="57">
        <f>' WIP '!DB26</f>
        <v>0</v>
      </c>
      <c r="CC26" s="58">
        <v>0</v>
      </c>
      <c r="CD26" s="59">
        <f t="shared" si="55"/>
        <v>0</v>
      </c>
      <c r="CE26" s="57">
        <f>' WIP '!DF26</f>
        <v>5040</v>
      </c>
      <c r="CF26" s="58">
        <v>3760</v>
      </c>
      <c r="CG26" s="59">
        <f t="shared" si="56"/>
        <v>1280</v>
      </c>
      <c r="CH26" s="57">
        <f>' WIP '!DJ26</f>
        <v>3680</v>
      </c>
      <c r="CI26" s="58">
        <v>2640</v>
      </c>
      <c r="CJ26" s="59">
        <f t="shared" si="57"/>
        <v>2320</v>
      </c>
      <c r="CK26" s="57">
        <f>' WIP '!DN26</f>
        <v>4000</v>
      </c>
      <c r="CL26" s="58">
        <v>1600</v>
      </c>
      <c r="CM26" s="59">
        <f t="shared" si="58"/>
        <v>4720</v>
      </c>
      <c r="CN26" s="57">
        <f>' WIP '!DR26</f>
        <v>0</v>
      </c>
      <c r="CO26" s="57"/>
      <c r="CP26" s="161">
        <f t="shared" si="59"/>
        <v>4720</v>
      </c>
      <c r="CQ26" s="57">
        <f>' WIP '!DV26</f>
        <v>0</v>
      </c>
      <c r="CR26" s="58"/>
      <c r="CS26" s="59">
        <f t="shared" si="60"/>
        <v>4720</v>
      </c>
      <c r="CT26" s="31">
        <f t="shared" si="61"/>
        <v>58960</v>
      </c>
      <c r="CU26" s="4">
        <f t="shared" si="62"/>
        <v>54240</v>
      </c>
      <c r="CV26" s="5">
        <f>D26*'MASTER SHEET'!D26</f>
        <v>4078.3999999999996</v>
      </c>
      <c r="CW26" s="5">
        <f>G26*'MASTER SHEET'!D26</f>
        <v>0</v>
      </c>
      <c r="CX26" s="5">
        <f>J26*'MASTER SHEET'!D26</f>
        <v>0</v>
      </c>
      <c r="CY26" s="5">
        <f>M26*'MASTER SHEET'!D26</f>
        <v>0</v>
      </c>
      <c r="CZ26" s="5">
        <f>P26*'MASTER SHEET'!D26</f>
        <v>0</v>
      </c>
      <c r="DA26" s="5">
        <f>S26*'MASTER SHEET'!D26</f>
        <v>0</v>
      </c>
      <c r="DB26" s="5">
        <f>V26*'MASTER SHEET'!D26</f>
        <v>0</v>
      </c>
      <c r="DC26" s="5">
        <f>Y26*'MASTER SHEET'!D26</f>
        <v>8156.7999999999993</v>
      </c>
      <c r="DD26" s="5">
        <f>AB26*'MASTER SHEET'!D26</f>
        <v>6117.5999999999995</v>
      </c>
      <c r="DE26" s="5">
        <f>AE26*'MASTER SHEET'!D26</f>
        <v>61175.999999999993</v>
      </c>
      <c r="DF26" s="5">
        <f>AH26*'MASTER SHEET'!D26</f>
        <v>40784</v>
      </c>
      <c r="DG26" s="5">
        <f>AK26*'MASTER SHEET'!D26</f>
        <v>65254.399999999994</v>
      </c>
      <c r="DH26" s="5">
        <f>AN26*'MASTER SHEET'!D26</f>
        <v>65254.399999999994</v>
      </c>
      <c r="DI26" s="5">
        <f>AQ26*'MASTER SHEET'!D26</f>
        <v>85646.399999999994</v>
      </c>
      <c r="DJ26" s="5">
        <f>AT26*'MASTER SHEET'!D26</f>
        <v>32627.199999999997</v>
      </c>
      <c r="DK26" s="5">
        <f>AW26*'MASTER SHEET'!D26</f>
        <v>22431.199999999997</v>
      </c>
      <c r="DL26" s="5">
        <f>AZ26*'MASTER SHEET'!D26</f>
        <v>0</v>
      </c>
      <c r="DM26" s="5">
        <f>BC26*'MASTER SHEET'!D26</f>
        <v>2039.1999999999998</v>
      </c>
      <c r="DN26" s="5">
        <f>BF26*'MASTER SHEET'!D26</f>
        <v>0</v>
      </c>
      <c r="DO26" s="5">
        <f>BI26*'MASTER SHEET'!D26</f>
        <v>0</v>
      </c>
      <c r="DP26" s="5">
        <f>BL26*'MASTER SHEET'!D26</f>
        <v>0</v>
      </c>
      <c r="DQ26" s="5">
        <f>BO26*'MASTER SHEET'!D26</f>
        <v>0</v>
      </c>
      <c r="DR26" s="5">
        <f>BR26*'MASTER SHEET'!D26</f>
        <v>0</v>
      </c>
      <c r="DS26" s="5">
        <f>BU26*'MASTER SHEET'!D26</f>
        <v>0</v>
      </c>
      <c r="DT26" s="5">
        <f>BX26*'MASTER SHEET'!D26</f>
        <v>0</v>
      </c>
      <c r="DU26" s="5">
        <f>CA26*'MASTER SHEET'!D26</f>
        <v>0</v>
      </c>
      <c r="DV26" s="5">
        <f>CD26*'MASTER SHEET'!D26</f>
        <v>0</v>
      </c>
      <c r="DW26" s="5">
        <f>CG26*'MASTER SHEET'!D26</f>
        <v>32627.199999999997</v>
      </c>
      <c r="DX26" s="5">
        <f>CJ26*'MASTER SHEET'!D26</f>
        <v>59136.799999999996</v>
      </c>
      <c r="DY26" s="5">
        <f>CM26*'MASTER SHEET'!D26</f>
        <v>120312.79999999999</v>
      </c>
      <c r="DZ26" s="5">
        <f>CP26*'MASTER SHEET'!D26</f>
        <v>120312.79999999999</v>
      </c>
      <c r="EA26" s="5">
        <f>CS26*'MASTER SHEET'!D26</f>
        <v>120312.79999999999</v>
      </c>
      <c r="EB26" s="143">
        <f>VLOOKUP($C26,'[1]GREEN LEV.₹'!$I$2:$K$54,3,0)</f>
        <v>7000</v>
      </c>
    </row>
    <row r="27" spans="1:132" ht="15.75" x14ac:dyDescent="0.25">
      <c r="A27" s="25">
        <f>'MASTER SHEET'!A27</f>
        <v>25</v>
      </c>
      <c r="B27" s="26" t="str">
        <f>'MASTER SHEET'!B27</f>
        <v xml:space="preserve">CENTER TUBE  </v>
      </c>
      <c r="C27" s="27">
        <f>'MASTER SHEET'!C27</f>
        <v>5017887</v>
      </c>
      <c r="D27" s="56">
        <v>0</v>
      </c>
      <c r="E27" s="57">
        <f>' WIP '!F27</f>
        <v>800</v>
      </c>
      <c r="F27" s="58">
        <v>800</v>
      </c>
      <c r="G27" s="59">
        <f t="shared" si="30"/>
        <v>0</v>
      </c>
      <c r="H27" s="57">
        <f>' WIP '!J27</f>
        <v>0</v>
      </c>
      <c r="I27" s="58">
        <v>0</v>
      </c>
      <c r="J27" s="59">
        <f t="shared" si="31"/>
        <v>0</v>
      </c>
      <c r="K27" s="57">
        <f>' WIP '!N27</f>
        <v>0</v>
      </c>
      <c r="L27" s="58"/>
      <c r="M27" s="59">
        <f t="shared" si="32"/>
        <v>0</v>
      </c>
      <c r="N27" s="57">
        <f>' WIP '!R27</f>
        <v>0</v>
      </c>
      <c r="O27" s="58">
        <v>0</v>
      </c>
      <c r="P27" s="59">
        <f t="shared" si="33"/>
        <v>0</v>
      </c>
      <c r="Q27" s="57">
        <f>' WIP '!V27</f>
        <v>0</v>
      </c>
      <c r="R27" s="58">
        <v>0</v>
      </c>
      <c r="S27" s="59">
        <f t="shared" si="34"/>
        <v>0</v>
      </c>
      <c r="T27" s="57">
        <f>' WIP '!Z27</f>
        <v>0</v>
      </c>
      <c r="U27" s="58">
        <v>0</v>
      </c>
      <c r="V27" s="59">
        <f t="shared" si="35"/>
        <v>0</v>
      </c>
      <c r="W27" s="57">
        <f>' WIP '!AD27</f>
        <v>0</v>
      </c>
      <c r="X27" s="58">
        <v>0</v>
      </c>
      <c r="Y27" s="59">
        <f t="shared" si="36"/>
        <v>0</v>
      </c>
      <c r="Z27" s="57">
        <f>' WIP '!AH27</f>
        <v>0</v>
      </c>
      <c r="AA27" s="58">
        <v>0</v>
      </c>
      <c r="AB27" s="59">
        <f t="shared" si="37"/>
        <v>0</v>
      </c>
      <c r="AC27" s="57">
        <f>' WIP '!AL27</f>
        <v>0</v>
      </c>
      <c r="AD27" s="58">
        <v>0</v>
      </c>
      <c r="AE27" s="59">
        <f t="shared" si="38"/>
        <v>0</v>
      </c>
      <c r="AF27" s="57">
        <f>' WIP '!AP27</f>
        <v>0</v>
      </c>
      <c r="AG27" s="114">
        <v>0</v>
      </c>
      <c r="AH27" s="59">
        <f t="shared" si="39"/>
        <v>0</v>
      </c>
      <c r="AI27" s="57">
        <f>' WIP '!AT27</f>
        <v>67</v>
      </c>
      <c r="AJ27" s="58">
        <v>0</v>
      </c>
      <c r="AK27" s="59">
        <f t="shared" si="40"/>
        <v>67</v>
      </c>
      <c r="AL27" s="57">
        <f>' WIP '!AX27</f>
        <v>0</v>
      </c>
      <c r="AM27" s="58"/>
      <c r="AN27" s="59">
        <f t="shared" si="41"/>
        <v>67</v>
      </c>
      <c r="AO27" s="57">
        <f>' WIP '!BB27</f>
        <v>0</v>
      </c>
      <c r="AP27" s="58">
        <v>0</v>
      </c>
      <c r="AQ27" s="59">
        <f t="shared" si="42"/>
        <v>67</v>
      </c>
      <c r="AR27" s="57">
        <f>' WIP '!BF27</f>
        <v>0</v>
      </c>
      <c r="AS27" s="58">
        <v>0</v>
      </c>
      <c r="AT27" s="59">
        <f t="shared" si="43"/>
        <v>67</v>
      </c>
      <c r="AU27" s="57">
        <f>' WIP '!BJ27</f>
        <v>0</v>
      </c>
      <c r="AV27" s="58">
        <v>0</v>
      </c>
      <c r="AW27" s="59">
        <f t="shared" si="44"/>
        <v>67</v>
      </c>
      <c r="AX27" s="57">
        <f>' WIP '!BN27</f>
        <v>0</v>
      </c>
      <c r="AY27" s="58">
        <v>0</v>
      </c>
      <c r="AZ27" s="59">
        <f t="shared" si="45"/>
        <v>67</v>
      </c>
      <c r="BA27" s="57">
        <f>' WIP '!BR27</f>
        <v>0</v>
      </c>
      <c r="BB27" s="58">
        <v>0</v>
      </c>
      <c r="BC27" s="59">
        <f t="shared" si="46"/>
        <v>67</v>
      </c>
      <c r="BD27" s="57">
        <f>' WIP '!BV27</f>
        <v>0</v>
      </c>
      <c r="BE27" s="58">
        <v>0</v>
      </c>
      <c r="BF27" s="59">
        <f t="shared" si="47"/>
        <v>67</v>
      </c>
      <c r="BG27" s="57">
        <f>' WIP '!BZ27</f>
        <v>0</v>
      </c>
      <c r="BH27" s="58"/>
      <c r="BI27" s="59">
        <f t="shared" si="48"/>
        <v>67</v>
      </c>
      <c r="BJ27" s="57">
        <f>' WIP '!CD27</f>
        <v>0</v>
      </c>
      <c r="BK27" s="58">
        <v>0</v>
      </c>
      <c r="BL27" s="59">
        <f t="shared" si="49"/>
        <v>67</v>
      </c>
      <c r="BM27" s="57">
        <f>' WIP '!CH27</f>
        <v>0</v>
      </c>
      <c r="BN27" s="58">
        <v>0</v>
      </c>
      <c r="BO27" s="59">
        <f t="shared" si="50"/>
        <v>67</v>
      </c>
      <c r="BP27" s="57">
        <f>' WIP '!CL27</f>
        <v>0</v>
      </c>
      <c r="BQ27" s="58"/>
      <c r="BR27" s="59">
        <f t="shared" si="51"/>
        <v>67</v>
      </c>
      <c r="BS27" s="57">
        <f>' WIP '!CP27</f>
        <v>0</v>
      </c>
      <c r="BT27" s="58">
        <v>0</v>
      </c>
      <c r="BU27" s="59">
        <f t="shared" si="52"/>
        <v>67</v>
      </c>
      <c r="BV27" s="57">
        <f>' WIP '!CT27</f>
        <v>0</v>
      </c>
      <c r="BW27" s="28">
        <v>0</v>
      </c>
      <c r="BX27" s="59">
        <f t="shared" si="53"/>
        <v>67</v>
      </c>
      <c r="BY27" s="57">
        <f>' WIP '!CX27</f>
        <v>0</v>
      </c>
      <c r="BZ27" s="58">
        <v>0</v>
      </c>
      <c r="CA27" s="59">
        <f t="shared" si="54"/>
        <v>67</v>
      </c>
      <c r="CB27" s="57">
        <f>' WIP '!DB27</f>
        <v>0</v>
      </c>
      <c r="CC27" s="58">
        <v>0</v>
      </c>
      <c r="CD27" s="59">
        <f t="shared" si="55"/>
        <v>67</v>
      </c>
      <c r="CE27" s="57">
        <f>' WIP '!DF27</f>
        <v>0</v>
      </c>
      <c r="CF27" s="58">
        <v>0</v>
      </c>
      <c r="CG27" s="59">
        <f t="shared" si="56"/>
        <v>67</v>
      </c>
      <c r="CH27" s="57">
        <f>' WIP '!DJ27</f>
        <v>0</v>
      </c>
      <c r="CI27" s="58">
        <v>0</v>
      </c>
      <c r="CJ27" s="59">
        <f t="shared" si="57"/>
        <v>67</v>
      </c>
      <c r="CK27" s="57">
        <f>' WIP '!DN27</f>
        <v>0</v>
      </c>
      <c r="CL27" s="58">
        <v>0</v>
      </c>
      <c r="CM27" s="59">
        <f t="shared" si="58"/>
        <v>67</v>
      </c>
      <c r="CN27" s="57">
        <f>' WIP '!DR27</f>
        <v>0</v>
      </c>
      <c r="CO27" s="57"/>
      <c r="CP27" s="59">
        <f t="shared" si="59"/>
        <v>67</v>
      </c>
      <c r="CQ27" s="57">
        <f>' WIP '!DV27</f>
        <v>0</v>
      </c>
      <c r="CR27" s="58"/>
      <c r="CS27" s="59">
        <f t="shared" si="60"/>
        <v>67</v>
      </c>
      <c r="CT27" s="31">
        <f t="shared" si="61"/>
        <v>867</v>
      </c>
      <c r="CU27" s="4">
        <f t="shared" si="62"/>
        <v>800</v>
      </c>
      <c r="CV27" s="5">
        <f>D27*'MASTER SHEET'!D27</f>
        <v>0</v>
      </c>
      <c r="CW27" s="5">
        <f>G27*'MASTER SHEET'!D27</f>
        <v>0</v>
      </c>
      <c r="CX27" s="5">
        <f>J27*'MASTER SHEET'!D27</f>
        <v>0</v>
      </c>
      <c r="CY27" s="5">
        <f>M27*'MASTER SHEET'!D27</f>
        <v>0</v>
      </c>
      <c r="CZ27" s="5">
        <f>P27*'MASTER SHEET'!D27</f>
        <v>0</v>
      </c>
      <c r="DA27" s="5">
        <f>S27*'MASTER SHEET'!D27</f>
        <v>0</v>
      </c>
      <c r="DB27" s="5">
        <f>V27*'MASTER SHEET'!D27</f>
        <v>0</v>
      </c>
      <c r="DC27" s="5">
        <f>Y27*'MASTER SHEET'!D27</f>
        <v>0</v>
      </c>
      <c r="DD27" s="5">
        <f>AB27*'MASTER SHEET'!D27</f>
        <v>0</v>
      </c>
      <c r="DE27" s="5">
        <f>AE27*'MASTER SHEET'!D27</f>
        <v>0</v>
      </c>
      <c r="DF27" s="5">
        <f>AH27*'MASTER SHEET'!D27</f>
        <v>0</v>
      </c>
      <c r="DG27" s="5">
        <f>AK27*'MASTER SHEET'!D27</f>
        <v>1774.83</v>
      </c>
      <c r="DH27" s="5">
        <f>AN27*'MASTER SHEET'!D27</f>
        <v>1774.83</v>
      </c>
      <c r="DI27" s="5">
        <f>AQ27*'MASTER SHEET'!D27</f>
        <v>1774.83</v>
      </c>
      <c r="DJ27" s="5">
        <f>AT27*'MASTER SHEET'!D27</f>
        <v>1774.83</v>
      </c>
      <c r="DK27" s="5">
        <f>AW27*'MASTER SHEET'!D27</f>
        <v>1774.83</v>
      </c>
      <c r="DL27" s="5">
        <f>AZ27*'MASTER SHEET'!D27</f>
        <v>1774.83</v>
      </c>
      <c r="DM27" s="5">
        <f>BC27*'MASTER SHEET'!D27</f>
        <v>1774.83</v>
      </c>
      <c r="DN27" s="5">
        <f>BF27*'MASTER SHEET'!D27</f>
        <v>1774.83</v>
      </c>
      <c r="DO27" s="5">
        <f>BI27*'MASTER SHEET'!D27</f>
        <v>1774.83</v>
      </c>
      <c r="DP27" s="5">
        <f>BL27*'MASTER SHEET'!D27</f>
        <v>1774.83</v>
      </c>
      <c r="DQ27" s="5">
        <f>BO27*'MASTER SHEET'!D27</f>
        <v>1774.83</v>
      </c>
      <c r="DR27" s="5">
        <f>BR27*'MASTER SHEET'!D27</f>
        <v>1774.83</v>
      </c>
      <c r="DS27" s="5">
        <f>BU27*'MASTER SHEET'!D27</f>
        <v>1774.83</v>
      </c>
      <c r="DT27" s="5">
        <f>BX27*'MASTER SHEET'!D27</f>
        <v>1774.83</v>
      </c>
      <c r="DU27" s="5">
        <f>CA27*'MASTER SHEET'!D27</f>
        <v>1774.83</v>
      </c>
      <c r="DV27" s="5">
        <f>CD27*'MASTER SHEET'!D27</f>
        <v>1774.83</v>
      </c>
      <c r="DW27" s="5">
        <f>CG27*'MASTER SHEET'!D27</f>
        <v>1774.83</v>
      </c>
      <c r="DX27" s="5">
        <f>CJ27*'MASTER SHEET'!D27</f>
        <v>1774.83</v>
      </c>
      <c r="DY27" s="5">
        <f>CM27*'MASTER SHEET'!D27</f>
        <v>1774.83</v>
      </c>
      <c r="DZ27" s="5">
        <f>CP27*'MASTER SHEET'!D27</f>
        <v>1774.83</v>
      </c>
      <c r="EA27" s="5">
        <f>CS27*'MASTER SHEET'!D27</f>
        <v>1774.83</v>
      </c>
      <c r="EB27" s="9"/>
    </row>
    <row r="28" spans="1:132" ht="15.75" x14ac:dyDescent="0.25">
      <c r="A28" s="25">
        <f>'MASTER SHEET'!A28</f>
        <v>26</v>
      </c>
      <c r="B28" s="26" t="str">
        <f>'MASTER SHEET'!B28</f>
        <v>CENTERTUBE</v>
      </c>
      <c r="C28" s="27">
        <f>'MASTER SHEET'!C28</f>
        <v>5019991</v>
      </c>
      <c r="D28" s="56">
        <v>419</v>
      </c>
      <c r="E28" s="57">
        <f>' WIP '!F28</f>
        <v>0</v>
      </c>
      <c r="F28" s="58">
        <v>0</v>
      </c>
      <c r="G28" s="59">
        <f t="shared" si="30"/>
        <v>419</v>
      </c>
      <c r="H28" s="57">
        <f>' WIP '!J28</f>
        <v>0</v>
      </c>
      <c r="I28" s="58">
        <v>0</v>
      </c>
      <c r="J28" s="59">
        <f t="shared" si="31"/>
        <v>419</v>
      </c>
      <c r="K28" s="57">
        <f>' WIP '!N28</f>
        <v>0</v>
      </c>
      <c r="L28" s="58"/>
      <c r="M28" s="59">
        <f t="shared" si="32"/>
        <v>419</v>
      </c>
      <c r="N28" s="57">
        <f>' WIP '!R28</f>
        <v>0</v>
      </c>
      <c r="O28" s="58">
        <v>0</v>
      </c>
      <c r="P28" s="59">
        <f t="shared" si="33"/>
        <v>419</v>
      </c>
      <c r="Q28" s="57">
        <f>' WIP '!V28</f>
        <v>0</v>
      </c>
      <c r="R28" s="58">
        <v>0</v>
      </c>
      <c r="S28" s="59">
        <f t="shared" si="34"/>
        <v>419</v>
      </c>
      <c r="T28" s="57">
        <f>' WIP '!Z28</f>
        <v>0</v>
      </c>
      <c r="U28" s="58">
        <v>0</v>
      </c>
      <c r="V28" s="59">
        <f t="shared" si="35"/>
        <v>419</v>
      </c>
      <c r="W28" s="57">
        <f>' WIP '!AD28</f>
        <v>0</v>
      </c>
      <c r="X28" s="58">
        <v>0</v>
      </c>
      <c r="Y28" s="59">
        <f t="shared" si="36"/>
        <v>419</v>
      </c>
      <c r="Z28" s="57">
        <f>' WIP '!AH28</f>
        <v>0</v>
      </c>
      <c r="AA28" s="58">
        <v>0</v>
      </c>
      <c r="AB28" s="59">
        <f t="shared" si="37"/>
        <v>419</v>
      </c>
      <c r="AC28" s="57">
        <f>' WIP '!AL28</f>
        <v>0</v>
      </c>
      <c r="AD28" s="58">
        <v>0</v>
      </c>
      <c r="AE28" s="59">
        <f t="shared" si="38"/>
        <v>419</v>
      </c>
      <c r="AF28" s="57">
        <f>' WIP '!AP28</f>
        <v>0</v>
      </c>
      <c r="AG28" s="114">
        <v>0</v>
      </c>
      <c r="AH28" s="59">
        <f t="shared" si="39"/>
        <v>419</v>
      </c>
      <c r="AI28" s="57">
        <f>' WIP '!AT28</f>
        <v>0</v>
      </c>
      <c r="AJ28" s="58">
        <v>0</v>
      </c>
      <c r="AK28" s="59">
        <f t="shared" si="40"/>
        <v>419</v>
      </c>
      <c r="AL28" s="57">
        <f>' WIP '!AX28</f>
        <v>0</v>
      </c>
      <c r="AM28" s="58"/>
      <c r="AN28" s="59">
        <f t="shared" si="41"/>
        <v>419</v>
      </c>
      <c r="AO28" s="57">
        <f>' WIP '!BB28</f>
        <v>0</v>
      </c>
      <c r="AP28" s="58">
        <v>0</v>
      </c>
      <c r="AQ28" s="59">
        <f t="shared" si="42"/>
        <v>419</v>
      </c>
      <c r="AR28" s="57">
        <f>' WIP '!BF28</f>
        <v>0</v>
      </c>
      <c r="AS28" s="58">
        <v>0</v>
      </c>
      <c r="AT28" s="59">
        <f t="shared" si="43"/>
        <v>419</v>
      </c>
      <c r="AU28" s="57">
        <f>' WIP '!BJ28</f>
        <v>0</v>
      </c>
      <c r="AV28" s="58">
        <v>0</v>
      </c>
      <c r="AW28" s="59">
        <f t="shared" si="44"/>
        <v>419</v>
      </c>
      <c r="AX28" s="57">
        <f>' WIP '!BN28</f>
        <v>0</v>
      </c>
      <c r="AY28" s="58">
        <v>0</v>
      </c>
      <c r="AZ28" s="59">
        <f t="shared" si="45"/>
        <v>419</v>
      </c>
      <c r="BA28" s="57">
        <f>' WIP '!BR28</f>
        <v>0</v>
      </c>
      <c r="BB28" s="58">
        <v>0</v>
      </c>
      <c r="BC28" s="59">
        <f t="shared" si="46"/>
        <v>419</v>
      </c>
      <c r="BD28" s="57">
        <f>' WIP '!BV28</f>
        <v>0</v>
      </c>
      <c r="BE28" s="58">
        <v>0</v>
      </c>
      <c r="BF28" s="59">
        <f t="shared" si="47"/>
        <v>419</v>
      </c>
      <c r="BG28" s="57">
        <f>' WIP '!BZ28</f>
        <v>0</v>
      </c>
      <c r="BH28" s="58"/>
      <c r="BI28" s="59">
        <f t="shared" si="48"/>
        <v>419</v>
      </c>
      <c r="BJ28" s="57">
        <f>' WIP '!CD28</f>
        <v>0</v>
      </c>
      <c r="BK28" s="58">
        <v>0</v>
      </c>
      <c r="BL28" s="59">
        <f t="shared" si="49"/>
        <v>419</v>
      </c>
      <c r="BM28" s="57">
        <f>' WIP '!CH28</f>
        <v>0</v>
      </c>
      <c r="BN28" s="58">
        <v>0</v>
      </c>
      <c r="BO28" s="59">
        <f t="shared" si="50"/>
        <v>419</v>
      </c>
      <c r="BP28" s="57">
        <f>' WIP '!CL28</f>
        <v>0</v>
      </c>
      <c r="BQ28" s="58"/>
      <c r="BR28" s="59">
        <f t="shared" si="51"/>
        <v>419</v>
      </c>
      <c r="BS28" s="57">
        <f>' WIP '!CP28</f>
        <v>0</v>
      </c>
      <c r="BT28" s="58">
        <v>0</v>
      </c>
      <c r="BU28" s="59">
        <f t="shared" si="52"/>
        <v>419</v>
      </c>
      <c r="BV28" s="57">
        <f>' WIP '!CT28</f>
        <v>0</v>
      </c>
      <c r="BW28" s="28">
        <v>0</v>
      </c>
      <c r="BX28" s="59">
        <f t="shared" si="53"/>
        <v>419</v>
      </c>
      <c r="BY28" s="57">
        <f>' WIP '!CX28</f>
        <v>0</v>
      </c>
      <c r="BZ28" s="58">
        <v>0</v>
      </c>
      <c r="CA28" s="59">
        <f t="shared" si="54"/>
        <v>419</v>
      </c>
      <c r="CB28" s="57">
        <f>' WIP '!DB28</f>
        <v>0</v>
      </c>
      <c r="CC28" s="58">
        <v>0</v>
      </c>
      <c r="CD28" s="59">
        <f t="shared" si="55"/>
        <v>419</v>
      </c>
      <c r="CE28" s="57">
        <f>' WIP '!DF28</f>
        <v>0</v>
      </c>
      <c r="CF28" s="58">
        <v>0</v>
      </c>
      <c r="CG28" s="59">
        <f t="shared" si="56"/>
        <v>419</v>
      </c>
      <c r="CH28" s="57">
        <f>' WIP '!DJ28</f>
        <v>0</v>
      </c>
      <c r="CI28" s="58">
        <v>0</v>
      </c>
      <c r="CJ28" s="59">
        <f t="shared" si="57"/>
        <v>419</v>
      </c>
      <c r="CK28" s="57">
        <f>' WIP '!DN28</f>
        <v>0</v>
      </c>
      <c r="CL28" s="58">
        <v>0</v>
      </c>
      <c r="CM28" s="59">
        <f t="shared" si="58"/>
        <v>419</v>
      </c>
      <c r="CN28" s="57">
        <f>' WIP '!DR28</f>
        <v>0</v>
      </c>
      <c r="CO28" s="57"/>
      <c r="CP28" s="59">
        <f t="shared" si="59"/>
        <v>419</v>
      </c>
      <c r="CQ28" s="57">
        <f>' WIP '!DV28</f>
        <v>0</v>
      </c>
      <c r="CR28" s="58"/>
      <c r="CS28" s="59">
        <f t="shared" si="60"/>
        <v>419</v>
      </c>
      <c r="CT28" s="31">
        <f t="shared" si="61"/>
        <v>419</v>
      </c>
      <c r="CU28" s="4">
        <f t="shared" si="62"/>
        <v>0</v>
      </c>
      <c r="CV28" s="5">
        <f>D28*'MASTER SHEET'!D28</f>
        <v>4805.93</v>
      </c>
      <c r="CW28" s="5">
        <f>G28*'MASTER SHEET'!D28</f>
        <v>4805.93</v>
      </c>
      <c r="CX28" s="5">
        <f>J28*'MASTER SHEET'!D28</f>
        <v>4805.93</v>
      </c>
      <c r="CY28" s="5">
        <f>M28*'MASTER SHEET'!D28</f>
        <v>4805.93</v>
      </c>
      <c r="CZ28" s="5">
        <f>P28*'MASTER SHEET'!D28</f>
        <v>4805.93</v>
      </c>
      <c r="DA28" s="5">
        <f>S28*'MASTER SHEET'!D28</f>
        <v>4805.93</v>
      </c>
      <c r="DB28" s="5">
        <f>V28*'MASTER SHEET'!D28</f>
        <v>4805.93</v>
      </c>
      <c r="DC28" s="5">
        <f>Y28*'MASTER SHEET'!D28</f>
        <v>4805.93</v>
      </c>
      <c r="DD28" s="5">
        <f>AB28*'MASTER SHEET'!D28</f>
        <v>4805.93</v>
      </c>
      <c r="DE28" s="5">
        <f>AE28*'MASTER SHEET'!D28</f>
        <v>4805.93</v>
      </c>
      <c r="DF28" s="5">
        <f>AH28*'MASTER SHEET'!D28</f>
        <v>4805.93</v>
      </c>
      <c r="DG28" s="5">
        <f>AK28*'MASTER SHEET'!D28</f>
        <v>4805.93</v>
      </c>
      <c r="DH28" s="5">
        <f>AN28*'MASTER SHEET'!D28</f>
        <v>4805.93</v>
      </c>
      <c r="DI28" s="5">
        <f>AQ28*'MASTER SHEET'!D28</f>
        <v>4805.93</v>
      </c>
      <c r="DJ28" s="5">
        <f>AT28*'MASTER SHEET'!D28</f>
        <v>4805.93</v>
      </c>
      <c r="DK28" s="5">
        <f>AW28*'MASTER SHEET'!D28</f>
        <v>4805.93</v>
      </c>
      <c r="DL28" s="5">
        <f>AZ28*'MASTER SHEET'!D28</f>
        <v>4805.93</v>
      </c>
      <c r="DM28" s="5">
        <f>BC28*'MASTER SHEET'!D28</f>
        <v>4805.93</v>
      </c>
      <c r="DN28" s="5">
        <f>BF28*'MASTER SHEET'!D28</f>
        <v>4805.93</v>
      </c>
      <c r="DO28" s="5">
        <f>BI28*'MASTER SHEET'!D28</f>
        <v>4805.93</v>
      </c>
      <c r="DP28" s="5">
        <f>BL28*'MASTER SHEET'!D28</f>
        <v>4805.93</v>
      </c>
      <c r="DQ28" s="5">
        <f>BO28*'MASTER SHEET'!D28</f>
        <v>4805.93</v>
      </c>
      <c r="DR28" s="5">
        <f>BR28*'MASTER SHEET'!D28</f>
        <v>4805.93</v>
      </c>
      <c r="DS28" s="5">
        <f>BU28*'MASTER SHEET'!D28</f>
        <v>4805.93</v>
      </c>
      <c r="DT28" s="5">
        <f>BX28*'MASTER SHEET'!D28</f>
        <v>4805.93</v>
      </c>
      <c r="DU28" s="5">
        <f>CA28*'MASTER SHEET'!D28</f>
        <v>4805.93</v>
      </c>
      <c r="DV28" s="5">
        <f>CD28*'MASTER SHEET'!D28</f>
        <v>4805.93</v>
      </c>
      <c r="DW28" s="5">
        <f>CG28*'MASTER SHEET'!D28</f>
        <v>4805.93</v>
      </c>
      <c r="DX28" s="5">
        <f>CJ28*'MASTER SHEET'!D28</f>
        <v>4805.93</v>
      </c>
      <c r="DY28" s="5">
        <f>CM28*'MASTER SHEET'!D28</f>
        <v>4805.93</v>
      </c>
      <c r="DZ28" s="5">
        <f>CP28*'MASTER SHEET'!D28</f>
        <v>4805.93</v>
      </c>
      <c r="EA28" s="5">
        <f>CS28*'MASTER SHEET'!D28</f>
        <v>4805.93</v>
      </c>
      <c r="EB28" s="9"/>
    </row>
    <row r="29" spans="1:132" ht="15.75" x14ac:dyDescent="0.25">
      <c r="A29" s="25">
        <f>'MASTER SHEET'!A29</f>
        <v>27</v>
      </c>
      <c r="B29" s="26" t="str">
        <f>'MASTER SHEET'!B29</f>
        <v>LID HOUSING CRANKCASE</v>
      </c>
      <c r="C29" s="27">
        <f>'MASTER SHEET'!C29</f>
        <v>5022550</v>
      </c>
      <c r="D29" s="56">
        <v>0</v>
      </c>
      <c r="E29" s="57">
        <f>' WIP '!F29</f>
        <v>0</v>
      </c>
      <c r="F29" s="58">
        <v>0</v>
      </c>
      <c r="G29" s="59">
        <f t="shared" si="30"/>
        <v>0</v>
      </c>
      <c r="H29" s="57">
        <f>' WIP '!J29</f>
        <v>0</v>
      </c>
      <c r="I29" s="58">
        <v>0</v>
      </c>
      <c r="J29" s="59">
        <f t="shared" si="31"/>
        <v>0</v>
      </c>
      <c r="K29" s="57">
        <f>' WIP '!N29</f>
        <v>0</v>
      </c>
      <c r="L29" s="58"/>
      <c r="M29" s="59">
        <f t="shared" si="32"/>
        <v>0</v>
      </c>
      <c r="N29" s="57">
        <f>' WIP '!R29</f>
        <v>0</v>
      </c>
      <c r="O29" s="58">
        <v>0</v>
      </c>
      <c r="P29" s="59">
        <f t="shared" si="33"/>
        <v>0</v>
      </c>
      <c r="Q29" s="57">
        <f>' WIP '!V29</f>
        <v>0</v>
      </c>
      <c r="R29" s="58">
        <v>0</v>
      </c>
      <c r="S29" s="59">
        <f t="shared" si="34"/>
        <v>0</v>
      </c>
      <c r="T29" s="57">
        <f>' WIP '!Z29</f>
        <v>0</v>
      </c>
      <c r="U29" s="58">
        <v>0</v>
      </c>
      <c r="V29" s="59">
        <f t="shared" si="35"/>
        <v>0</v>
      </c>
      <c r="W29" s="57">
        <f>' WIP '!AD29</f>
        <v>0</v>
      </c>
      <c r="X29" s="58">
        <v>0</v>
      </c>
      <c r="Y29" s="59">
        <f t="shared" si="36"/>
        <v>0</v>
      </c>
      <c r="Z29" s="57">
        <f>' WIP '!AH29</f>
        <v>0</v>
      </c>
      <c r="AA29" s="58">
        <v>0</v>
      </c>
      <c r="AB29" s="59">
        <f t="shared" si="37"/>
        <v>0</v>
      </c>
      <c r="AC29" s="57">
        <f>' WIP '!AL29</f>
        <v>450</v>
      </c>
      <c r="AD29" s="58">
        <v>450</v>
      </c>
      <c r="AE29" s="59">
        <f t="shared" si="38"/>
        <v>0</v>
      </c>
      <c r="AF29" s="57">
        <f>' WIP '!AP29</f>
        <v>0</v>
      </c>
      <c r="AG29" s="114">
        <v>0</v>
      </c>
      <c r="AH29" s="59">
        <f t="shared" si="39"/>
        <v>0</v>
      </c>
      <c r="AI29" s="57">
        <f>' WIP '!AT29</f>
        <v>300</v>
      </c>
      <c r="AJ29" s="58">
        <v>300</v>
      </c>
      <c r="AK29" s="59">
        <f t="shared" si="40"/>
        <v>0</v>
      </c>
      <c r="AL29" s="57">
        <f>' WIP '!AX29</f>
        <v>0</v>
      </c>
      <c r="AM29" s="58"/>
      <c r="AN29" s="59">
        <f t="shared" si="41"/>
        <v>0</v>
      </c>
      <c r="AO29" s="57">
        <f>' WIP '!BB29</f>
        <v>400</v>
      </c>
      <c r="AP29" s="58">
        <v>300</v>
      </c>
      <c r="AQ29" s="59">
        <f t="shared" si="42"/>
        <v>100</v>
      </c>
      <c r="AR29" s="57">
        <f>' WIP '!BF29</f>
        <v>200</v>
      </c>
      <c r="AS29" s="58">
        <v>0</v>
      </c>
      <c r="AT29" s="59">
        <f t="shared" si="43"/>
        <v>300</v>
      </c>
      <c r="AU29" s="57">
        <f>' WIP '!BJ29</f>
        <v>0</v>
      </c>
      <c r="AV29" s="58">
        <v>0</v>
      </c>
      <c r="AW29" s="59">
        <f t="shared" si="44"/>
        <v>300</v>
      </c>
      <c r="AX29" s="57">
        <f>' WIP '!BN29</f>
        <v>0</v>
      </c>
      <c r="AY29" s="58">
        <v>0</v>
      </c>
      <c r="AZ29" s="59">
        <f t="shared" si="45"/>
        <v>300</v>
      </c>
      <c r="BA29" s="57">
        <f>' WIP '!BR29</f>
        <v>0</v>
      </c>
      <c r="BB29" s="58">
        <v>300</v>
      </c>
      <c r="BC29" s="59">
        <f t="shared" si="46"/>
        <v>0</v>
      </c>
      <c r="BD29" s="57">
        <f>' WIP '!BV29</f>
        <v>0</v>
      </c>
      <c r="BE29" s="58">
        <v>0</v>
      </c>
      <c r="BF29" s="59">
        <f t="shared" si="47"/>
        <v>0</v>
      </c>
      <c r="BG29" s="57">
        <f>' WIP '!BZ29</f>
        <v>0</v>
      </c>
      <c r="BH29" s="58"/>
      <c r="BI29" s="59">
        <f t="shared" si="48"/>
        <v>0</v>
      </c>
      <c r="BJ29" s="57">
        <f>' WIP '!CD29</f>
        <v>0</v>
      </c>
      <c r="BK29" s="58">
        <v>0</v>
      </c>
      <c r="BL29" s="59">
        <f t="shared" si="49"/>
        <v>0</v>
      </c>
      <c r="BM29" s="57">
        <f>' WIP '!CH29</f>
        <v>0</v>
      </c>
      <c r="BN29" s="58">
        <v>0</v>
      </c>
      <c r="BO29" s="59">
        <f t="shared" si="50"/>
        <v>0</v>
      </c>
      <c r="BP29" s="57">
        <f>' WIP '!CL29</f>
        <v>0</v>
      </c>
      <c r="BQ29" s="58"/>
      <c r="BR29" s="59">
        <f t="shared" si="51"/>
        <v>0</v>
      </c>
      <c r="BS29" s="57">
        <f>' WIP '!CP29</f>
        <v>0</v>
      </c>
      <c r="BT29" s="58">
        <v>0</v>
      </c>
      <c r="BU29" s="59">
        <f t="shared" si="52"/>
        <v>0</v>
      </c>
      <c r="BV29" s="57">
        <f>' WIP '!CT29</f>
        <v>0</v>
      </c>
      <c r="BW29" s="28">
        <v>0</v>
      </c>
      <c r="BX29" s="59">
        <f t="shared" si="53"/>
        <v>0</v>
      </c>
      <c r="BY29" s="57">
        <f>' WIP '!CX29</f>
        <v>0</v>
      </c>
      <c r="BZ29" s="58">
        <v>0</v>
      </c>
      <c r="CA29" s="59">
        <f t="shared" si="54"/>
        <v>0</v>
      </c>
      <c r="CB29" s="57">
        <f>' WIP '!DB29</f>
        <v>0</v>
      </c>
      <c r="CC29" s="58">
        <v>0</v>
      </c>
      <c r="CD29" s="59">
        <f t="shared" si="55"/>
        <v>0</v>
      </c>
      <c r="CE29" s="57">
        <f>' WIP '!DF29</f>
        <v>0</v>
      </c>
      <c r="CF29" s="58">
        <v>0</v>
      </c>
      <c r="CG29" s="59">
        <f t="shared" si="56"/>
        <v>0</v>
      </c>
      <c r="CH29" s="57">
        <f>' WIP '!DJ29</f>
        <v>0</v>
      </c>
      <c r="CI29" s="58">
        <v>0</v>
      </c>
      <c r="CJ29" s="59">
        <f t="shared" si="57"/>
        <v>0</v>
      </c>
      <c r="CK29" s="57">
        <f>' WIP '!DN29</f>
        <v>0</v>
      </c>
      <c r="CL29" s="58">
        <v>0</v>
      </c>
      <c r="CM29" s="59">
        <f t="shared" si="58"/>
        <v>0</v>
      </c>
      <c r="CN29" s="57">
        <f>' WIP '!DR29</f>
        <v>0</v>
      </c>
      <c r="CO29" s="57"/>
      <c r="CP29" s="59">
        <f t="shared" si="59"/>
        <v>0</v>
      </c>
      <c r="CQ29" s="57">
        <f>' WIP '!DV29</f>
        <v>0</v>
      </c>
      <c r="CR29" s="58"/>
      <c r="CS29" s="59">
        <f t="shared" si="60"/>
        <v>0</v>
      </c>
      <c r="CT29" s="31">
        <f t="shared" si="61"/>
        <v>1350</v>
      </c>
      <c r="CU29" s="4">
        <f t="shared" si="62"/>
        <v>1350</v>
      </c>
      <c r="CV29" s="5">
        <f>D29*'MASTER SHEET'!D29</f>
        <v>0</v>
      </c>
      <c r="CW29" s="5">
        <f>G29*'MASTER SHEET'!D29</f>
        <v>0</v>
      </c>
      <c r="CX29" s="5">
        <f>J29*'MASTER SHEET'!D29</f>
        <v>0</v>
      </c>
      <c r="CY29" s="5">
        <f>M29*'MASTER SHEET'!D29</f>
        <v>0</v>
      </c>
      <c r="CZ29" s="5">
        <f>P29*'MASTER SHEET'!D29</f>
        <v>0</v>
      </c>
      <c r="DA29" s="5">
        <f>S29*'MASTER SHEET'!D29</f>
        <v>0</v>
      </c>
      <c r="DB29" s="5">
        <f>V29*'MASTER SHEET'!D29</f>
        <v>0</v>
      </c>
      <c r="DC29" s="5">
        <f>Y29*'MASTER SHEET'!D29</f>
        <v>0</v>
      </c>
      <c r="DD29" s="5">
        <f>AB29*'MASTER SHEET'!D29</f>
        <v>0</v>
      </c>
      <c r="DE29" s="5">
        <f>AE29*'MASTER SHEET'!D29</f>
        <v>0</v>
      </c>
      <c r="DF29" s="5">
        <f>AH29*'MASTER SHEET'!D29</f>
        <v>0</v>
      </c>
      <c r="DG29" s="5">
        <f>AK29*'MASTER SHEET'!D29</f>
        <v>0</v>
      </c>
      <c r="DH29" s="5">
        <f>AN29*'MASTER SHEET'!D29</f>
        <v>0</v>
      </c>
      <c r="DI29" s="5">
        <f>AQ29*'MASTER SHEET'!D29</f>
        <v>4019</v>
      </c>
      <c r="DJ29" s="5">
        <f>AT29*'MASTER SHEET'!D29</f>
        <v>12057</v>
      </c>
      <c r="DK29" s="5">
        <f>AW29*'MASTER SHEET'!D29</f>
        <v>12057</v>
      </c>
      <c r="DL29" s="5">
        <f>AZ29*'MASTER SHEET'!D29</f>
        <v>12057</v>
      </c>
      <c r="DM29" s="5">
        <f>BC29*'MASTER SHEET'!D29</f>
        <v>0</v>
      </c>
      <c r="DN29" s="5">
        <f>BF29*'MASTER SHEET'!D29</f>
        <v>0</v>
      </c>
      <c r="DO29" s="5">
        <f>BI29*'MASTER SHEET'!D29</f>
        <v>0</v>
      </c>
      <c r="DP29" s="5">
        <f>BL29*'MASTER SHEET'!D29</f>
        <v>0</v>
      </c>
      <c r="DQ29" s="5">
        <f>BO29*'MASTER SHEET'!D29</f>
        <v>0</v>
      </c>
      <c r="DR29" s="5">
        <f>BR29*'MASTER SHEET'!D29</f>
        <v>0</v>
      </c>
      <c r="DS29" s="5">
        <f>BU29*'MASTER SHEET'!D29</f>
        <v>0</v>
      </c>
      <c r="DT29" s="5">
        <f>BX29*'MASTER SHEET'!D29</f>
        <v>0</v>
      </c>
      <c r="DU29" s="5">
        <f>CA29*'MASTER SHEET'!D29</f>
        <v>0</v>
      </c>
      <c r="DV29" s="5">
        <f>CD29*'MASTER SHEET'!D29</f>
        <v>0</v>
      </c>
      <c r="DW29" s="5">
        <f>CG29*'MASTER SHEET'!D29</f>
        <v>0</v>
      </c>
      <c r="DX29" s="5">
        <f>CJ29*'MASTER SHEET'!D29</f>
        <v>0</v>
      </c>
      <c r="DY29" s="5">
        <f>CM29*'MASTER SHEET'!D29</f>
        <v>0</v>
      </c>
      <c r="DZ29" s="5">
        <f>CP29*'MASTER SHEET'!D29</f>
        <v>0</v>
      </c>
      <c r="EA29" s="5">
        <f>CS29*'MASTER SHEET'!D29</f>
        <v>0</v>
      </c>
      <c r="EB29" s="143">
        <f>VLOOKUP($C29,'[1]GREEN LEV.₹'!$I$2:$K$54,3,0)</f>
        <v>150</v>
      </c>
    </row>
    <row r="30" spans="1:132" ht="15.75" x14ac:dyDescent="0.25">
      <c r="A30" s="25">
        <f>'MASTER SHEET'!A30</f>
        <v>28</v>
      </c>
      <c r="B30" s="26" t="str">
        <f>'MASTER SHEET'!B30</f>
        <v>END PLATE PLASTIC</v>
      </c>
      <c r="C30" s="27">
        <f>'MASTER SHEET'!C30</f>
        <v>5023380</v>
      </c>
      <c r="D30" s="56">
        <v>1400</v>
      </c>
      <c r="E30" s="57">
        <f>' WIP '!F30</f>
        <v>0</v>
      </c>
      <c r="F30" s="58">
        <v>1400</v>
      </c>
      <c r="G30" s="59">
        <f t="shared" si="30"/>
        <v>0</v>
      </c>
      <c r="H30" s="57">
        <f>' WIP '!J30</f>
        <v>0</v>
      </c>
      <c r="I30" s="58">
        <v>0</v>
      </c>
      <c r="J30" s="59">
        <f t="shared" si="31"/>
        <v>0</v>
      </c>
      <c r="K30" s="57">
        <f>' WIP '!N30</f>
        <v>0</v>
      </c>
      <c r="L30" s="58"/>
      <c r="M30" s="59">
        <f t="shared" si="32"/>
        <v>0</v>
      </c>
      <c r="N30" s="57">
        <f>' WIP '!R30</f>
        <v>0</v>
      </c>
      <c r="O30" s="58">
        <v>0</v>
      </c>
      <c r="P30" s="59">
        <f t="shared" si="33"/>
        <v>0</v>
      </c>
      <c r="Q30" s="57">
        <f>' WIP '!V30</f>
        <v>800</v>
      </c>
      <c r="R30" s="58">
        <v>800</v>
      </c>
      <c r="S30" s="59">
        <f t="shared" si="34"/>
        <v>0</v>
      </c>
      <c r="T30" s="57">
        <f>' WIP '!Z30</f>
        <v>1700</v>
      </c>
      <c r="U30" s="58">
        <v>1700</v>
      </c>
      <c r="V30" s="59">
        <f t="shared" si="35"/>
        <v>0</v>
      </c>
      <c r="W30" s="57">
        <f>' WIP '!AD30</f>
        <v>0</v>
      </c>
      <c r="X30" s="58">
        <v>0</v>
      </c>
      <c r="Y30" s="59">
        <f t="shared" si="36"/>
        <v>0</v>
      </c>
      <c r="Z30" s="57">
        <f>' WIP '!AH30</f>
        <v>0</v>
      </c>
      <c r="AA30" s="58">
        <v>0</v>
      </c>
      <c r="AB30" s="59">
        <f t="shared" si="37"/>
        <v>0</v>
      </c>
      <c r="AC30" s="57">
        <f>' WIP '!AL30</f>
        <v>1300</v>
      </c>
      <c r="AD30" s="58">
        <v>1200</v>
      </c>
      <c r="AE30" s="59">
        <f t="shared" si="38"/>
        <v>100</v>
      </c>
      <c r="AF30" s="57">
        <f>' WIP '!AP30</f>
        <v>1300</v>
      </c>
      <c r="AG30" s="114">
        <v>1200</v>
      </c>
      <c r="AH30" s="59">
        <f t="shared" si="39"/>
        <v>200</v>
      </c>
      <c r="AI30" s="57">
        <f>' WIP '!AT30</f>
        <v>700</v>
      </c>
      <c r="AJ30" s="58">
        <v>900</v>
      </c>
      <c r="AK30" s="59">
        <f t="shared" si="40"/>
        <v>0</v>
      </c>
      <c r="AL30" s="57">
        <f>' WIP '!AX30</f>
        <v>0</v>
      </c>
      <c r="AM30" s="58"/>
      <c r="AN30" s="59">
        <f t="shared" si="41"/>
        <v>0</v>
      </c>
      <c r="AO30" s="57">
        <f>' WIP '!BB30</f>
        <v>900</v>
      </c>
      <c r="AP30" s="58">
        <v>900</v>
      </c>
      <c r="AQ30" s="59">
        <f t="shared" si="42"/>
        <v>0</v>
      </c>
      <c r="AR30" s="57">
        <f>' WIP '!BF30</f>
        <v>800</v>
      </c>
      <c r="AS30" s="58">
        <v>700</v>
      </c>
      <c r="AT30" s="59">
        <f t="shared" si="43"/>
        <v>100</v>
      </c>
      <c r="AU30" s="57">
        <f>' WIP '!BJ30</f>
        <v>1500</v>
      </c>
      <c r="AV30" s="58">
        <v>1500</v>
      </c>
      <c r="AW30" s="59">
        <f t="shared" si="44"/>
        <v>100</v>
      </c>
      <c r="AX30" s="57">
        <f>' WIP '!BN30</f>
        <v>0</v>
      </c>
      <c r="AY30" s="58">
        <v>0</v>
      </c>
      <c r="AZ30" s="59">
        <f t="shared" si="45"/>
        <v>100</v>
      </c>
      <c r="BA30" s="57">
        <f>' WIP '!BR30</f>
        <v>700</v>
      </c>
      <c r="BB30" s="58">
        <v>700</v>
      </c>
      <c r="BC30" s="59">
        <f t="shared" si="46"/>
        <v>100</v>
      </c>
      <c r="BD30" s="57">
        <f>' WIP '!BV30</f>
        <v>1000</v>
      </c>
      <c r="BE30" s="58">
        <v>1000</v>
      </c>
      <c r="BF30" s="59">
        <f t="shared" si="47"/>
        <v>100</v>
      </c>
      <c r="BG30" s="57">
        <f>' WIP '!BZ30</f>
        <v>0</v>
      </c>
      <c r="BH30" s="58"/>
      <c r="BI30" s="59">
        <f t="shared" si="48"/>
        <v>100</v>
      </c>
      <c r="BJ30" s="57">
        <f>' WIP '!CD30</f>
        <v>2500</v>
      </c>
      <c r="BK30" s="58">
        <v>2500</v>
      </c>
      <c r="BL30" s="59">
        <f t="shared" si="49"/>
        <v>100</v>
      </c>
      <c r="BM30" s="57">
        <f>' WIP '!CH30</f>
        <v>3000</v>
      </c>
      <c r="BN30" s="58">
        <v>3000</v>
      </c>
      <c r="BO30" s="59">
        <f t="shared" si="50"/>
        <v>100</v>
      </c>
      <c r="BP30" s="57">
        <f>' WIP '!CL30</f>
        <v>2000</v>
      </c>
      <c r="BQ30" s="58">
        <v>2000</v>
      </c>
      <c r="BR30" s="59">
        <f t="shared" si="51"/>
        <v>100</v>
      </c>
      <c r="BS30" s="57">
        <f>' WIP '!CP30</f>
        <v>3400</v>
      </c>
      <c r="BT30" s="58">
        <v>3300</v>
      </c>
      <c r="BU30" s="59">
        <f t="shared" si="52"/>
        <v>200</v>
      </c>
      <c r="BV30" s="57">
        <f>' WIP '!CT30</f>
        <v>3800</v>
      </c>
      <c r="BW30" s="28">
        <v>3800</v>
      </c>
      <c r="BX30" s="59">
        <f t="shared" si="53"/>
        <v>200</v>
      </c>
      <c r="BY30" s="57">
        <f>' WIP '!CX30</f>
        <v>1400</v>
      </c>
      <c r="BZ30" s="58">
        <v>1400</v>
      </c>
      <c r="CA30" s="59">
        <f t="shared" si="54"/>
        <v>200</v>
      </c>
      <c r="CB30" s="57">
        <f>' WIP '!DB30</f>
        <v>1600</v>
      </c>
      <c r="CC30" s="58">
        <v>1600</v>
      </c>
      <c r="CD30" s="59">
        <f t="shared" si="55"/>
        <v>200</v>
      </c>
      <c r="CE30" s="57">
        <f>' WIP '!DF30</f>
        <v>1400</v>
      </c>
      <c r="CF30" s="58">
        <v>1400</v>
      </c>
      <c r="CG30" s="59">
        <f t="shared" si="56"/>
        <v>200</v>
      </c>
      <c r="CH30" s="57">
        <f>' WIP '!DJ30</f>
        <v>900</v>
      </c>
      <c r="CI30" s="58">
        <v>900</v>
      </c>
      <c r="CJ30" s="59">
        <f t="shared" si="57"/>
        <v>200</v>
      </c>
      <c r="CK30" s="57">
        <f>' WIP '!DN30</f>
        <v>300</v>
      </c>
      <c r="CL30" s="58">
        <v>0</v>
      </c>
      <c r="CM30" s="59">
        <f t="shared" si="58"/>
        <v>500</v>
      </c>
      <c r="CN30" s="57">
        <f>' WIP '!DR30</f>
        <v>0</v>
      </c>
      <c r="CO30" s="57"/>
      <c r="CP30" s="59">
        <f t="shared" si="59"/>
        <v>500</v>
      </c>
      <c r="CQ30" s="57">
        <f>' WIP '!DV30</f>
        <v>0</v>
      </c>
      <c r="CR30" s="58"/>
      <c r="CS30" s="59">
        <f t="shared" si="60"/>
        <v>500</v>
      </c>
      <c r="CT30" s="31">
        <f t="shared" si="61"/>
        <v>32400</v>
      </c>
      <c r="CU30" s="4">
        <f t="shared" si="62"/>
        <v>31900</v>
      </c>
      <c r="CV30" s="5">
        <f>D30*'MASTER SHEET'!D30</f>
        <v>24835.999999999996</v>
      </c>
      <c r="CW30" s="5">
        <f>G30*'MASTER SHEET'!D30</f>
        <v>0</v>
      </c>
      <c r="CX30" s="5">
        <f>J30*'MASTER SHEET'!D30</f>
        <v>0</v>
      </c>
      <c r="CY30" s="5">
        <f>M30*'MASTER SHEET'!D30</f>
        <v>0</v>
      </c>
      <c r="CZ30" s="5">
        <f>P30*'MASTER SHEET'!D30</f>
        <v>0</v>
      </c>
      <c r="DA30" s="5">
        <f>S30*'MASTER SHEET'!D30</f>
        <v>0</v>
      </c>
      <c r="DB30" s="5">
        <f>V30*'MASTER SHEET'!D30</f>
        <v>0</v>
      </c>
      <c r="DC30" s="5">
        <f>Y30*'MASTER SHEET'!D30</f>
        <v>0</v>
      </c>
      <c r="DD30" s="5">
        <f>AB30*'MASTER SHEET'!D30</f>
        <v>0</v>
      </c>
      <c r="DE30" s="5">
        <f>AE30*'MASTER SHEET'!D30</f>
        <v>1773.9999999999998</v>
      </c>
      <c r="DF30" s="5">
        <f>AH30*'MASTER SHEET'!D30</f>
        <v>3547.9999999999995</v>
      </c>
      <c r="DG30" s="5">
        <f>AK30*'MASTER SHEET'!D30</f>
        <v>0</v>
      </c>
      <c r="DH30" s="5">
        <f>AN30*'MASTER SHEET'!D30</f>
        <v>0</v>
      </c>
      <c r="DI30" s="5">
        <f>AQ30*'MASTER SHEET'!D30</f>
        <v>0</v>
      </c>
      <c r="DJ30" s="5">
        <f>AT30*'MASTER SHEET'!D30</f>
        <v>1773.9999999999998</v>
      </c>
      <c r="DK30" s="5">
        <f>AW30*'MASTER SHEET'!D30</f>
        <v>1773.9999999999998</v>
      </c>
      <c r="DL30" s="5">
        <f>AZ30*'MASTER SHEET'!D30</f>
        <v>1773.9999999999998</v>
      </c>
      <c r="DM30" s="5">
        <f>BC30*'MASTER SHEET'!D30</f>
        <v>1773.9999999999998</v>
      </c>
      <c r="DN30" s="5">
        <f>BF30*'MASTER SHEET'!D30</f>
        <v>1773.9999999999998</v>
      </c>
      <c r="DO30" s="5">
        <f>BI30*'MASTER SHEET'!D30</f>
        <v>1773.9999999999998</v>
      </c>
      <c r="DP30" s="5">
        <f>BL30*'MASTER SHEET'!D30</f>
        <v>1773.9999999999998</v>
      </c>
      <c r="DQ30" s="5">
        <f>BO30*'MASTER SHEET'!D30</f>
        <v>1773.9999999999998</v>
      </c>
      <c r="DR30" s="5">
        <f>BR30*'MASTER SHEET'!D30</f>
        <v>1773.9999999999998</v>
      </c>
      <c r="DS30" s="5">
        <f>BU30*'MASTER SHEET'!D30</f>
        <v>3547.9999999999995</v>
      </c>
      <c r="DT30" s="5">
        <f>BX30*'MASTER SHEET'!D30</f>
        <v>3547.9999999999995</v>
      </c>
      <c r="DU30" s="5">
        <f>CA30*'MASTER SHEET'!D30</f>
        <v>3547.9999999999995</v>
      </c>
      <c r="DV30" s="5">
        <f>CD30*'MASTER SHEET'!D30</f>
        <v>3547.9999999999995</v>
      </c>
      <c r="DW30" s="5">
        <f>CG30*'MASTER SHEET'!D30</f>
        <v>3547.9999999999995</v>
      </c>
      <c r="DX30" s="5">
        <f>CJ30*'MASTER SHEET'!D30</f>
        <v>3547.9999999999995</v>
      </c>
      <c r="DY30" s="5">
        <f>CM30*'MASTER SHEET'!D30</f>
        <v>8870</v>
      </c>
      <c r="DZ30" s="5">
        <f>CP30*'MASTER SHEET'!D30</f>
        <v>8870</v>
      </c>
      <c r="EA30" s="5">
        <f>CS30*'MASTER SHEET'!D30</f>
        <v>8870</v>
      </c>
      <c r="EB30" s="143">
        <f>VLOOKUP($C30,'[1]GREEN LEV.₹'!$I$2:$K$54,3,0)</f>
        <v>8000</v>
      </c>
    </row>
    <row r="31" spans="1:132" ht="15.75" x14ac:dyDescent="0.25">
      <c r="A31" s="25">
        <f>'MASTER SHEET'!A31</f>
        <v>29</v>
      </c>
      <c r="B31" s="26" t="str">
        <f>'MASTER SHEET'!B31</f>
        <v>CENTERTUBE PLASTIC</v>
      </c>
      <c r="C31" s="27">
        <f>'MASTER SHEET'!C31</f>
        <v>5023573</v>
      </c>
      <c r="D31" s="56">
        <v>0</v>
      </c>
      <c r="E31" s="57">
        <f>' WIP '!F31</f>
        <v>3280</v>
      </c>
      <c r="F31" s="58">
        <v>3280</v>
      </c>
      <c r="G31" s="59">
        <f t="shared" si="30"/>
        <v>0</v>
      </c>
      <c r="H31" s="57">
        <f>' WIP '!J31</f>
        <v>1760</v>
      </c>
      <c r="I31" s="58">
        <v>1760</v>
      </c>
      <c r="J31" s="59">
        <f t="shared" si="31"/>
        <v>0</v>
      </c>
      <c r="K31" s="57">
        <f>' WIP '!N31</f>
        <v>0</v>
      </c>
      <c r="L31" s="58"/>
      <c r="M31" s="59">
        <f t="shared" si="32"/>
        <v>0</v>
      </c>
      <c r="N31" s="57">
        <f>' WIP '!R31</f>
        <v>2400</v>
      </c>
      <c r="O31" s="58">
        <v>2400</v>
      </c>
      <c r="P31" s="59">
        <f t="shared" si="33"/>
        <v>0</v>
      </c>
      <c r="Q31" s="57">
        <f>' WIP '!V31</f>
        <v>1120</v>
      </c>
      <c r="R31" s="58">
        <v>1120</v>
      </c>
      <c r="S31" s="59">
        <f t="shared" si="34"/>
        <v>0</v>
      </c>
      <c r="T31" s="57">
        <f>' WIP '!Z31</f>
        <v>0</v>
      </c>
      <c r="U31" s="58">
        <v>0</v>
      </c>
      <c r="V31" s="59">
        <f t="shared" si="35"/>
        <v>0</v>
      </c>
      <c r="W31" s="57">
        <f>' WIP '!AD31</f>
        <v>960</v>
      </c>
      <c r="X31" s="58">
        <v>960</v>
      </c>
      <c r="Y31" s="59">
        <f t="shared" si="36"/>
        <v>0</v>
      </c>
      <c r="Z31" s="57">
        <f>' WIP '!AH31</f>
        <v>0</v>
      </c>
      <c r="AA31" s="58">
        <v>0</v>
      </c>
      <c r="AB31" s="59">
        <f t="shared" si="37"/>
        <v>0</v>
      </c>
      <c r="AC31" s="57">
        <f>' WIP '!AL31</f>
        <v>0</v>
      </c>
      <c r="AD31" s="58">
        <v>0</v>
      </c>
      <c r="AE31" s="59">
        <f t="shared" si="38"/>
        <v>0</v>
      </c>
      <c r="AF31" s="57">
        <f>' WIP '!AP31</f>
        <v>0</v>
      </c>
      <c r="AG31" s="114">
        <v>0</v>
      </c>
      <c r="AH31" s="59">
        <f t="shared" si="39"/>
        <v>0</v>
      </c>
      <c r="AI31" s="57">
        <f>' WIP '!AT31</f>
        <v>720</v>
      </c>
      <c r="AJ31" s="58">
        <v>0</v>
      </c>
      <c r="AK31" s="59">
        <f t="shared" si="40"/>
        <v>720</v>
      </c>
      <c r="AL31" s="57">
        <f>' WIP '!AX31</f>
        <v>0</v>
      </c>
      <c r="AM31" s="58"/>
      <c r="AN31" s="59">
        <f t="shared" si="41"/>
        <v>720</v>
      </c>
      <c r="AO31" s="57">
        <f>' WIP '!BB31</f>
        <v>0</v>
      </c>
      <c r="AP31" s="58">
        <v>720</v>
      </c>
      <c r="AQ31" s="59">
        <f t="shared" si="42"/>
        <v>0</v>
      </c>
      <c r="AR31" s="57">
        <f>' WIP '!BF31</f>
        <v>480</v>
      </c>
      <c r="AS31" s="58">
        <v>480</v>
      </c>
      <c r="AT31" s="59">
        <f t="shared" si="43"/>
        <v>0</v>
      </c>
      <c r="AU31" s="57">
        <f>' WIP '!BJ31</f>
        <v>0</v>
      </c>
      <c r="AV31" s="58">
        <v>0</v>
      </c>
      <c r="AW31" s="59">
        <f t="shared" si="44"/>
        <v>0</v>
      </c>
      <c r="AX31" s="57">
        <f>' WIP '!BN31</f>
        <v>880</v>
      </c>
      <c r="AY31" s="58">
        <v>800</v>
      </c>
      <c r="AZ31" s="59">
        <f t="shared" si="45"/>
        <v>80</v>
      </c>
      <c r="BA31" s="57">
        <f>' WIP '!BR31</f>
        <v>0</v>
      </c>
      <c r="BB31" s="58">
        <v>80</v>
      </c>
      <c r="BC31" s="59">
        <f t="shared" si="46"/>
        <v>0</v>
      </c>
      <c r="BD31" s="57">
        <f>' WIP '!BV31</f>
        <v>0</v>
      </c>
      <c r="BE31" s="58">
        <v>0</v>
      </c>
      <c r="BF31" s="59">
        <f t="shared" si="47"/>
        <v>0</v>
      </c>
      <c r="BG31" s="57">
        <f>' WIP '!BZ31</f>
        <v>0</v>
      </c>
      <c r="BH31" s="58"/>
      <c r="BI31" s="59">
        <f t="shared" si="48"/>
        <v>0</v>
      </c>
      <c r="BJ31" s="57">
        <f>' WIP '!CD31</f>
        <v>1120</v>
      </c>
      <c r="BK31" s="58">
        <v>1120</v>
      </c>
      <c r="BL31" s="59">
        <f t="shared" si="49"/>
        <v>0</v>
      </c>
      <c r="BM31" s="57">
        <f>' WIP '!CH31</f>
        <v>800</v>
      </c>
      <c r="BN31" s="58">
        <v>800</v>
      </c>
      <c r="BO31" s="162">
        <f t="shared" si="50"/>
        <v>0</v>
      </c>
      <c r="BP31" s="57">
        <f>' WIP '!CL31</f>
        <v>0</v>
      </c>
      <c r="BQ31" s="58"/>
      <c r="BR31" s="59">
        <f t="shared" si="51"/>
        <v>0</v>
      </c>
      <c r="BS31" s="57">
        <f>' WIP '!CP31</f>
        <v>800</v>
      </c>
      <c r="BT31" s="58">
        <v>800</v>
      </c>
      <c r="BU31" s="59">
        <f t="shared" si="52"/>
        <v>0</v>
      </c>
      <c r="BV31" s="57">
        <f>' WIP '!CT31</f>
        <v>1680</v>
      </c>
      <c r="BW31" s="28">
        <v>1680</v>
      </c>
      <c r="BX31" s="59">
        <f t="shared" si="53"/>
        <v>0</v>
      </c>
      <c r="BY31" s="57">
        <f>' WIP '!CX31</f>
        <v>480</v>
      </c>
      <c r="BZ31" s="58">
        <v>480</v>
      </c>
      <c r="CA31" s="59">
        <f t="shared" si="54"/>
        <v>0</v>
      </c>
      <c r="CB31" s="57">
        <f>' WIP '!DB31</f>
        <v>0</v>
      </c>
      <c r="CC31" s="58">
        <v>0</v>
      </c>
      <c r="CD31" s="59">
        <f t="shared" si="55"/>
        <v>0</v>
      </c>
      <c r="CE31" s="57">
        <f>' WIP '!DF31</f>
        <v>2320</v>
      </c>
      <c r="CF31" s="58">
        <v>2320</v>
      </c>
      <c r="CG31" s="59">
        <f t="shared" si="56"/>
        <v>0</v>
      </c>
      <c r="CH31" s="57">
        <f>' WIP '!DJ31</f>
        <v>0</v>
      </c>
      <c r="CI31" s="58">
        <v>0</v>
      </c>
      <c r="CJ31" s="59">
        <f t="shared" si="57"/>
        <v>0</v>
      </c>
      <c r="CK31" s="57">
        <f>' WIP '!DN31</f>
        <v>1040</v>
      </c>
      <c r="CL31" s="58">
        <v>0</v>
      </c>
      <c r="CM31" s="59">
        <f t="shared" si="58"/>
        <v>1040</v>
      </c>
      <c r="CN31" s="57">
        <f>' WIP '!DR31</f>
        <v>0</v>
      </c>
      <c r="CO31" s="57"/>
      <c r="CP31" s="59">
        <f t="shared" si="59"/>
        <v>1040</v>
      </c>
      <c r="CQ31" s="57">
        <f>' WIP '!DV31</f>
        <v>0</v>
      </c>
      <c r="CR31" s="58"/>
      <c r="CS31" s="59">
        <f t="shared" si="60"/>
        <v>1040</v>
      </c>
      <c r="CT31" s="31">
        <f t="shared" si="61"/>
        <v>19840</v>
      </c>
      <c r="CU31" s="4">
        <f t="shared" si="62"/>
        <v>18800</v>
      </c>
      <c r="CV31" s="5">
        <f>D31*'MASTER SHEET'!D31</f>
        <v>0</v>
      </c>
      <c r="CW31" s="5">
        <f>G31*'MASTER SHEET'!D31</f>
        <v>0</v>
      </c>
      <c r="CX31" s="5">
        <f>J31*'MASTER SHEET'!D31</f>
        <v>0</v>
      </c>
      <c r="CY31" s="5">
        <f>M31*'MASTER SHEET'!D31</f>
        <v>0</v>
      </c>
      <c r="CZ31" s="5">
        <f>P31*'MASTER SHEET'!D31</f>
        <v>0</v>
      </c>
      <c r="DA31" s="5">
        <f>S31*'MASTER SHEET'!D31</f>
        <v>0</v>
      </c>
      <c r="DB31" s="5">
        <f>V31*'MASTER SHEET'!D31</f>
        <v>0</v>
      </c>
      <c r="DC31" s="5">
        <f>Y31*'MASTER SHEET'!D31</f>
        <v>0</v>
      </c>
      <c r="DD31" s="5">
        <f>AB31*'MASTER SHEET'!D31</f>
        <v>0</v>
      </c>
      <c r="DE31" s="5">
        <f>AE31*'MASTER SHEET'!D31</f>
        <v>0</v>
      </c>
      <c r="DF31" s="5">
        <f>AH31*'MASTER SHEET'!D31</f>
        <v>0</v>
      </c>
      <c r="DG31" s="5">
        <f>AK31*'MASTER SHEET'!D31</f>
        <v>13989.6</v>
      </c>
      <c r="DH31" s="5">
        <f>AN31*'MASTER SHEET'!D31</f>
        <v>13989.6</v>
      </c>
      <c r="DI31" s="5">
        <f>AQ31*'MASTER SHEET'!D31</f>
        <v>0</v>
      </c>
      <c r="DJ31" s="5">
        <f>AT31*'MASTER SHEET'!D31</f>
        <v>0</v>
      </c>
      <c r="DK31" s="5">
        <f>AW31*'MASTER SHEET'!D31</f>
        <v>0</v>
      </c>
      <c r="DL31" s="5">
        <f>AZ31*'MASTER SHEET'!D31</f>
        <v>1554.4</v>
      </c>
      <c r="DM31" s="5">
        <f>BC31*'MASTER SHEET'!D31</f>
        <v>0</v>
      </c>
      <c r="DN31" s="5">
        <f>BF31*'MASTER SHEET'!D31</f>
        <v>0</v>
      </c>
      <c r="DO31" s="5">
        <f>BI31*'MASTER SHEET'!D31</f>
        <v>0</v>
      </c>
      <c r="DP31" s="5">
        <f>BL31*'MASTER SHEET'!D31</f>
        <v>0</v>
      </c>
      <c r="DQ31" s="5">
        <f>BO31*'MASTER SHEET'!D31</f>
        <v>0</v>
      </c>
      <c r="DR31" s="5">
        <f>BR31*'MASTER SHEET'!D31</f>
        <v>0</v>
      </c>
      <c r="DS31" s="5">
        <f>BU31*'MASTER SHEET'!D31</f>
        <v>0</v>
      </c>
      <c r="DT31" s="5">
        <f>BX31*'MASTER SHEET'!D31</f>
        <v>0</v>
      </c>
      <c r="DU31" s="5">
        <f>CA31*'MASTER SHEET'!D31</f>
        <v>0</v>
      </c>
      <c r="DV31" s="5">
        <f>CD31*'MASTER SHEET'!D31</f>
        <v>0</v>
      </c>
      <c r="DW31" s="5">
        <f>CG31*'MASTER SHEET'!D31</f>
        <v>0</v>
      </c>
      <c r="DX31" s="5">
        <f>CJ31*'MASTER SHEET'!D31</f>
        <v>0</v>
      </c>
      <c r="DY31" s="5">
        <f>CM31*'MASTER SHEET'!D31</f>
        <v>20207.2</v>
      </c>
      <c r="DZ31" s="5">
        <f>CP31*'MASTER SHEET'!D31</f>
        <v>20207.2</v>
      </c>
      <c r="EA31" s="5">
        <f>CS31*'MASTER SHEET'!D31</f>
        <v>20207.2</v>
      </c>
      <c r="EB31" s="143">
        <f>VLOOKUP($C31,'[1]GREEN LEV.₹'!$I$2:$K$54,3,0)</f>
        <v>6400</v>
      </c>
    </row>
    <row r="32" spans="1:132" ht="15.75" x14ac:dyDescent="0.25">
      <c r="A32" s="25">
        <f>'MASTER SHEET'!A32</f>
        <v>30</v>
      </c>
      <c r="B32" s="26" t="str">
        <f>'MASTER SHEET'!B32</f>
        <v>PIPE, PLASTIC</v>
      </c>
      <c r="C32" s="27">
        <f>'MASTER SHEET'!C32</f>
        <v>5023934</v>
      </c>
      <c r="D32" s="56">
        <v>0</v>
      </c>
      <c r="E32" s="57">
        <f>' WIP '!F32</f>
        <v>0</v>
      </c>
      <c r="F32" s="58">
        <v>0</v>
      </c>
      <c r="G32" s="59">
        <f t="shared" si="30"/>
        <v>0</v>
      </c>
      <c r="H32" s="57">
        <f>' WIP '!J32</f>
        <v>0</v>
      </c>
      <c r="I32" s="58">
        <v>0</v>
      </c>
      <c r="J32" s="59">
        <f t="shared" si="31"/>
        <v>0</v>
      </c>
      <c r="K32" s="57">
        <f>' WIP '!N32</f>
        <v>0</v>
      </c>
      <c r="L32" s="58"/>
      <c r="M32" s="59">
        <f t="shared" si="32"/>
        <v>0</v>
      </c>
      <c r="N32" s="57">
        <f>' WIP '!R32</f>
        <v>0</v>
      </c>
      <c r="O32" s="58">
        <v>0</v>
      </c>
      <c r="P32" s="59">
        <f t="shared" si="33"/>
        <v>0</v>
      </c>
      <c r="Q32" s="57">
        <f>' WIP '!V32</f>
        <v>0</v>
      </c>
      <c r="R32" s="58">
        <v>0</v>
      </c>
      <c r="S32" s="59">
        <f t="shared" si="34"/>
        <v>0</v>
      </c>
      <c r="T32" s="57">
        <f>' WIP '!Z32</f>
        <v>0</v>
      </c>
      <c r="U32" s="58">
        <v>0</v>
      </c>
      <c r="V32" s="59">
        <f t="shared" si="35"/>
        <v>0</v>
      </c>
      <c r="W32" s="57">
        <f>' WIP '!AD32</f>
        <v>0</v>
      </c>
      <c r="X32" s="58">
        <v>0</v>
      </c>
      <c r="Y32" s="59">
        <f t="shared" si="36"/>
        <v>0</v>
      </c>
      <c r="Z32" s="57">
        <f>' WIP '!AH32</f>
        <v>0</v>
      </c>
      <c r="AA32" s="58">
        <v>0</v>
      </c>
      <c r="AB32" s="59">
        <f t="shared" si="37"/>
        <v>0</v>
      </c>
      <c r="AC32" s="57">
        <f>' WIP '!AL32</f>
        <v>0</v>
      </c>
      <c r="AD32" s="58">
        <v>0</v>
      </c>
      <c r="AE32" s="59">
        <f t="shared" si="38"/>
        <v>0</v>
      </c>
      <c r="AF32" s="57">
        <f>' WIP '!AP32</f>
        <v>0</v>
      </c>
      <c r="AG32" s="114">
        <v>0</v>
      </c>
      <c r="AH32" s="59">
        <f t="shared" si="39"/>
        <v>0</v>
      </c>
      <c r="AI32" s="57">
        <f>' WIP '!AT32</f>
        <v>0</v>
      </c>
      <c r="AJ32" s="58">
        <v>0</v>
      </c>
      <c r="AK32" s="59">
        <f t="shared" si="40"/>
        <v>0</v>
      </c>
      <c r="AL32" s="57">
        <f>' WIP '!AX32</f>
        <v>0</v>
      </c>
      <c r="AM32" s="58"/>
      <c r="AN32" s="59">
        <f t="shared" si="41"/>
        <v>0</v>
      </c>
      <c r="AO32" s="57">
        <f>' WIP '!BB32</f>
        <v>0</v>
      </c>
      <c r="AP32" s="58">
        <v>0</v>
      </c>
      <c r="AQ32" s="59">
        <f t="shared" si="42"/>
        <v>0</v>
      </c>
      <c r="AR32" s="57">
        <f>' WIP '!BF32</f>
        <v>0</v>
      </c>
      <c r="AS32" s="58">
        <v>0</v>
      </c>
      <c r="AT32" s="59">
        <f t="shared" si="43"/>
        <v>0</v>
      </c>
      <c r="AU32" s="57">
        <f>' WIP '!BJ32</f>
        <v>0</v>
      </c>
      <c r="AV32" s="58">
        <v>0</v>
      </c>
      <c r="AW32" s="59">
        <f t="shared" si="44"/>
        <v>0</v>
      </c>
      <c r="AX32" s="57">
        <f>' WIP '!BN32</f>
        <v>0</v>
      </c>
      <c r="AY32" s="58">
        <v>0</v>
      </c>
      <c r="AZ32" s="59">
        <f t="shared" si="45"/>
        <v>0</v>
      </c>
      <c r="BA32" s="57">
        <f>' WIP '!BR32</f>
        <v>0</v>
      </c>
      <c r="BB32" s="58">
        <v>0</v>
      </c>
      <c r="BC32" s="59">
        <f t="shared" si="46"/>
        <v>0</v>
      </c>
      <c r="BD32" s="57">
        <f>' WIP '!BV32</f>
        <v>0</v>
      </c>
      <c r="BE32" s="58">
        <v>0</v>
      </c>
      <c r="BF32" s="59">
        <f t="shared" si="47"/>
        <v>0</v>
      </c>
      <c r="BG32" s="57">
        <f>' WIP '!BZ32</f>
        <v>0</v>
      </c>
      <c r="BH32" s="58"/>
      <c r="BI32" s="59">
        <f t="shared" si="48"/>
        <v>0</v>
      </c>
      <c r="BJ32" s="57">
        <f>' WIP '!CD32</f>
        <v>0</v>
      </c>
      <c r="BK32" s="58">
        <v>0</v>
      </c>
      <c r="BL32" s="59">
        <f t="shared" si="49"/>
        <v>0</v>
      </c>
      <c r="BM32" s="57">
        <f>' WIP '!CH32</f>
        <v>0</v>
      </c>
      <c r="BN32" s="58">
        <v>0</v>
      </c>
      <c r="BO32" s="59">
        <f t="shared" si="50"/>
        <v>0</v>
      </c>
      <c r="BP32" s="57">
        <f>' WIP '!CL32</f>
        <v>0</v>
      </c>
      <c r="BQ32" s="58"/>
      <c r="BR32" s="59">
        <f t="shared" si="51"/>
        <v>0</v>
      </c>
      <c r="BS32" s="57">
        <f>' WIP '!CP32</f>
        <v>0</v>
      </c>
      <c r="BT32" s="58">
        <v>0</v>
      </c>
      <c r="BU32" s="59">
        <f t="shared" si="52"/>
        <v>0</v>
      </c>
      <c r="BV32" s="57">
        <f>' WIP '!CT32</f>
        <v>0</v>
      </c>
      <c r="BW32" s="28">
        <v>0</v>
      </c>
      <c r="BX32" s="59">
        <f t="shared" si="53"/>
        <v>0</v>
      </c>
      <c r="BY32" s="57">
        <f>' WIP '!CX32</f>
        <v>0</v>
      </c>
      <c r="BZ32" s="58">
        <v>0</v>
      </c>
      <c r="CA32" s="59">
        <f t="shared" si="54"/>
        <v>0</v>
      </c>
      <c r="CB32" s="57">
        <f>' WIP '!DB32</f>
        <v>0</v>
      </c>
      <c r="CC32" s="58">
        <v>0</v>
      </c>
      <c r="CD32" s="59">
        <f t="shared" si="55"/>
        <v>0</v>
      </c>
      <c r="CE32" s="57">
        <f>' WIP '!DF32</f>
        <v>0</v>
      </c>
      <c r="CF32" s="58">
        <v>0</v>
      </c>
      <c r="CG32" s="59">
        <f t="shared" si="56"/>
        <v>0</v>
      </c>
      <c r="CH32" s="57">
        <f>' WIP '!DJ32</f>
        <v>0</v>
      </c>
      <c r="CI32" s="58">
        <v>0</v>
      </c>
      <c r="CJ32" s="59">
        <f t="shared" si="57"/>
        <v>0</v>
      </c>
      <c r="CK32" s="57">
        <f>' WIP '!DN32</f>
        <v>0</v>
      </c>
      <c r="CL32" s="58">
        <v>0</v>
      </c>
      <c r="CM32" s="59">
        <f t="shared" si="58"/>
        <v>0</v>
      </c>
      <c r="CN32" s="57">
        <f>' WIP '!DR32</f>
        <v>0</v>
      </c>
      <c r="CO32" s="57"/>
      <c r="CP32" s="59">
        <f t="shared" si="59"/>
        <v>0</v>
      </c>
      <c r="CQ32" s="57">
        <f>' WIP '!DV32</f>
        <v>0</v>
      </c>
      <c r="CR32" s="58"/>
      <c r="CS32" s="59">
        <f t="shared" si="60"/>
        <v>0</v>
      </c>
      <c r="CT32" s="31">
        <f t="shared" si="61"/>
        <v>0</v>
      </c>
      <c r="CU32" s="4">
        <f t="shared" si="62"/>
        <v>0</v>
      </c>
      <c r="CV32" s="5">
        <f>D32*'MASTER SHEET'!D32</f>
        <v>0</v>
      </c>
      <c r="CW32" s="5">
        <f>G32*'MASTER SHEET'!D32</f>
        <v>0</v>
      </c>
      <c r="CX32" s="5">
        <f>J32*'MASTER SHEET'!D32</f>
        <v>0</v>
      </c>
      <c r="CY32" s="5">
        <f>M32*'MASTER SHEET'!D32</f>
        <v>0</v>
      </c>
      <c r="CZ32" s="5">
        <f>P32*'MASTER SHEET'!D32</f>
        <v>0</v>
      </c>
      <c r="DA32" s="5">
        <f>S32*'MASTER SHEET'!D32</f>
        <v>0</v>
      </c>
      <c r="DB32" s="5">
        <f>V32*'MASTER SHEET'!D32</f>
        <v>0</v>
      </c>
      <c r="DC32" s="5">
        <f>Y32*'MASTER SHEET'!D32</f>
        <v>0</v>
      </c>
      <c r="DD32" s="5">
        <f>AB32*'MASTER SHEET'!D32</f>
        <v>0</v>
      </c>
      <c r="DE32" s="5">
        <f>AE32*'MASTER SHEET'!D32</f>
        <v>0</v>
      </c>
      <c r="DF32" s="5">
        <f>AH32*'MASTER SHEET'!D32</f>
        <v>0</v>
      </c>
      <c r="DG32" s="5">
        <f>AK32*'MASTER SHEET'!D32</f>
        <v>0</v>
      </c>
      <c r="DH32" s="5">
        <f>AN32*'MASTER SHEET'!D32</f>
        <v>0</v>
      </c>
      <c r="DI32" s="5">
        <f>AQ32*'MASTER SHEET'!D32</f>
        <v>0</v>
      </c>
      <c r="DJ32" s="5">
        <f>AT32*'MASTER SHEET'!D32</f>
        <v>0</v>
      </c>
      <c r="DK32" s="5">
        <f>AW32*'MASTER SHEET'!D32</f>
        <v>0</v>
      </c>
      <c r="DL32" s="5">
        <f>AZ32*'MASTER SHEET'!D32</f>
        <v>0</v>
      </c>
      <c r="DM32" s="5">
        <f>BC32*'MASTER SHEET'!D32</f>
        <v>0</v>
      </c>
      <c r="DN32" s="5">
        <f>BF32*'MASTER SHEET'!D32</f>
        <v>0</v>
      </c>
      <c r="DO32" s="5">
        <f>BI32*'MASTER SHEET'!D32</f>
        <v>0</v>
      </c>
      <c r="DP32" s="5">
        <f>BL32*'MASTER SHEET'!D32</f>
        <v>0</v>
      </c>
      <c r="DQ32" s="5">
        <f>BO32*'MASTER SHEET'!D32</f>
        <v>0</v>
      </c>
      <c r="DR32" s="5">
        <f>BR32*'MASTER SHEET'!D32</f>
        <v>0</v>
      </c>
      <c r="DS32" s="5">
        <f>BU32*'MASTER SHEET'!D32</f>
        <v>0</v>
      </c>
      <c r="DT32" s="5">
        <f>BX32*'MASTER SHEET'!D32</f>
        <v>0</v>
      </c>
      <c r="DU32" s="5">
        <f>CA32*'MASTER SHEET'!D32</f>
        <v>0</v>
      </c>
      <c r="DV32" s="5">
        <f>CD32*'MASTER SHEET'!D32</f>
        <v>0</v>
      </c>
      <c r="DW32" s="5">
        <f>CG32*'MASTER SHEET'!D32</f>
        <v>0</v>
      </c>
      <c r="DX32" s="5">
        <f>CJ32*'MASTER SHEET'!D32</f>
        <v>0</v>
      </c>
      <c r="DY32" s="5">
        <f>CM32*'MASTER SHEET'!D32</f>
        <v>0</v>
      </c>
      <c r="DZ32" s="5">
        <f>CP32*'MASTER SHEET'!D32</f>
        <v>0</v>
      </c>
      <c r="EA32" s="5">
        <f>CS32*'MASTER SHEET'!D32</f>
        <v>0</v>
      </c>
      <c r="EB32" s="9"/>
    </row>
    <row r="33" spans="1:132" ht="15.75" x14ac:dyDescent="0.25">
      <c r="A33" s="25">
        <f>'MASTER SHEET'!A33</f>
        <v>31</v>
      </c>
      <c r="B33" s="26" t="str">
        <f>'MASTER SHEET'!B33</f>
        <v>HYDROPHOBIC SCREEN</v>
      </c>
      <c r="C33" s="27">
        <f>'MASTER SHEET'!C33</f>
        <v>5025761</v>
      </c>
      <c r="D33" s="56">
        <v>196</v>
      </c>
      <c r="E33" s="57">
        <f>' WIP '!F33</f>
        <v>0</v>
      </c>
      <c r="F33" s="58">
        <v>196</v>
      </c>
      <c r="G33" s="59">
        <f t="shared" si="30"/>
        <v>0</v>
      </c>
      <c r="H33" s="57">
        <f>' WIP '!J33</f>
        <v>0</v>
      </c>
      <c r="I33" s="58">
        <v>0</v>
      </c>
      <c r="J33" s="59">
        <f t="shared" si="31"/>
        <v>0</v>
      </c>
      <c r="K33" s="57">
        <f>' WIP '!N33</f>
        <v>0</v>
      </c>
      <c r="L33" s="58"/>
      <c r="M33" s="59">
        <f t="shared" si="32"/>
        <v>0</v>
      </c>
      <c r="N33" s="57">
        <f>' WIP '!R33</f>
        <v>1384</v>
      </c>
      <c r="O33" s="58">
        <v>1384</v>
      </c>
      <c r="P33" s="59">
        <f t="shared" si="33"/>
        <v>0</v>
      </c>
      <c r="Q33" s="57">
        <f>' WIP '!V33</f>
        <v>1764</v>
      </c>
      <c r="R33" s="58">
        <v>1764</v>
      </c>
      <c r="S33" s="59">
        <f t="shared" si="34"/>
        <v>0</v>
      </c>
      <c r="T33" s="57">
        <f>' WIP '!Z33</f>
        <v>1372</v>
      </c>
      <c r="U33" s="58">
        <v>1372</v>
      </c>
      <c r="V33" s="59">
        <f t="shared" si="35"/>
        <v>0</v>
      </c>
      <c r="W33" s="57">
        <f>' WIP '!AD33</f>
        <v>1568</v>
      </c>
      <c r="X33" s="58">
        <v>1568</v>
      </c>
      <c r="Y33" s="59">
        <f t="shared" si="36"/>
        <v>0</v>
      </c>
      <c r="Z33" s="57">
        <f>' WIP '!AH33</f>
        <v>391</v>
      </c>
      <c r="AA33" s="58">
        <v>391</v>
      </c>
      <c r="AB33" s="59">
        <f t="shared" si="37"/>
        <v>0</v>
      </c>
      <c r="AC33" s="57">
        <f>' WIP '!AL33</f>
        <v>1396</v>
      </c>
      <c r="AD33" s="58">
        <v>1396</v>
      </c>
      <c r="AE33" s="59">
        <f t="shared" si="38"/>
        <v>0</v>
      </c>
      <c r="AF33" s="57">
        <f>' WIP '!AP33</f>
        <v>1800</v>
      </c>
      <c r="AG33" s="114">
        <v>1500</v>
      </c>
      <c r="AH33" s="59">
        <f t="shared" si="39"/>
        <v>300</v>
      </c>
      <c r="AI33" s="57">
        <f>' WIP '!AT33</f>
        <v>1992</v>
      </c>
      <c r="AJ33" s="58">
        <v>2092</v>
      </c>
      <c r="AK33" s="59">
        <f t="shared" si="40"/>
        <v>200</v>
      </c>
      <c r="AL33" s="57">
        <f>' WIP '!AX33</f>
        <v>0</v>
      </c>
      <c r="AM33" s="58"/>
      <c r="AN33" s="59">
        <f t="shared" si="41"/>
        <v>200</v>
      </c>
      <c r="AO33" s="57">
        <f>' WIP '!BB33</f>
        <v>1788</v>
      </c>
      <c r="AP33" s="58">
        <v>1200</v>
      </c>
      <c r="AQ33" s="59">
        <f t="shared" si="42"/>
        <v>788</v>
      </c>
      <c r="AR33" s="57">
        <f>' WIP '!BF33</f>
        <v>1792</v>
      </c>
      <c r="AS33" s="58">
        <v>1400</v>
      </c>
      <c r="AT33" s="59">
        <f t="shared" si="43"/>
        <v>1180</v>
      </c>
      <c r="AU33" s="57">
        <f>' WIP '!BJ33</f>
        <v>1200</v>
      </c>
      <c r="AV33" s="58">
        <v>1200</v>
      </c>
      <c r="AW33" s="59">
        <f t="shared" si="44"/>
        <v>1180</v>
      </c>
      <c r="AX33" s="57">
        <f>' WIP '!BN33</f>
        <v>0</v>
      </c>
      <c r="AY33" s="58">
        <v>0</v>
      </c>
      <c r="AZ33" s="59">
        <f t="shared" si="45"/>
        <v>1180</v>
      </c>
      <c r="BA33" s="57">
        <f>' WIP '!BR33</f>
        <v>3100</v>
      </c>
      <c r="BB33" s="58">
        <v>3100</v>
      </c>
      <c r="BC33" s="59">
        <f t="shared" si="46"/>
        <v>1180</v>
      </c>
      <c r="BD33" s="57">
        <f>' WIP '!BV33</f>
        <v>0</v>
      </c>
      <c r="BE33" s="58">
        <v>0</v>
      </c>
      <c r="BF33" s="59">
        <f t="shared" si="47"/>
        <v>1180</v>
      </c>
      <c r="BG33" s="57">
        <f>' WIP '!BZ33</f>
        <v>0</v>
      </c>
      <c r="BH33" s="58"/>
      <c r="BI33" s="59">
        <f t="shared" si="48"/>
        <v>1180</v>
      </c>
      <c r="BJ33" s="57">
        <f>' WIP '!CD33</f>
        <v>0</v>
      </c>
      <c r="BK33" s="58">
        <v>0</v>
      </c>
      <c r="BL33" s="59">
        <f t="shared" si="49"/>
        <v>1180</v>
      </c>
      <c r="BM33" s="57">
        <f>' WIP '!CH33</f>
        <v>0</v>
      </c>
      <c r="BN33" s="58">
        <v>588</v>
      </c>
      <c r="BO33" s="59">
        <f t="shared" si="50"/>
        <v>592</v>
      </c>
      <c r="BP33" s="57">
        <f>' WIP '!CL33</f>
        <v>1960</v>
      </c>
      <c r="BQ33" s="58">
        <v>1960</v>
      </c>
      <c r="BR33" s="59">
        <f t="shared" si="51"/>
        <v>592</v>
      </c>
      <c r="BS33" s="57">
        <f>' WIP '!CP33</f>
        <v>1200</v>
      </c>
      <c r="BT33" s="58">
        <v>1200</v>
      </c>
      <c r="BU33" s="59">
        <f t="shared" si="52"/>
        <v>592</v>
      </c>
      <c r="BV33" s="57">
        <f>' WIP '!CT33</f>
        <v>2080</v>
      </c>
      <c r="BW33" s="28">
        <v>1000</v>
      </c>
      <c r="BX33" s="59">
        <f t="shared" si="53"/>
        <v>1672</v>
      </c>
      <c r="BY33" s="57">
        <f>' WIP '!CX33</f>
        <v>2976</v>
      </c>
      <c r="BZ33" s="58">
        <v>4548</v>
      </c>
      <c r="CA33" s="59">
        <f t="shared" si="54"/>
        <v>100</v>
      </c>
      <c r="CB33" s="57">
        <f>' WIP '!DB33</f>
        <v>0</v>
      </c>
      <c r="CC33" s="58">
        <v>100</v>
      </c>
      <c r="CD33" s="59">
        <f t="shared" si="55"/>
        <v>0</v>
      </c>
      <c r="CE33" s="57">
        <f>' WIP '!DF33</f>
        <v>1100</v>
      </c>
      <c r="CF33" s="58">
        <v>1100</v>
      </c>
      <c r="CG33" s="59">
        <f t="shared" si="56"/>
        <v>0</v>
      </c>
      <c r="CH33" s="57">
        <f>' WIP '!DJ33</f>
        <v>1096</v>
      </c>
      <c r="CI33" s="58">
        <v>1096</v>
      </c>
      <c r="CJ33" s="59">
        <f t="shared" si="57"/>
        <v>0</v>
      </c>
      <c r="CK33" s="57">
        <f>' WIP '!DN33</f>
        <v>392</v>
      </c>
      <c r="CL33" s="58">
        <v>392</v>
      </c>
      <c r="CM33" s="59">
        <f t="shared" si="58"/>
        <v>0</v>
      </c>
      <c r="CN33" s="57">
        <f>' WIP '!DR33</f>
        <v>0</v>
      </c>
      <c r="CO33" s="57"/>
      <c r="CP33" s="59">
        <f t="shared" si="59"/>
        <v>0</v>
      </c>
      <c r="CQ33" s="57">
        <f>' WIP '!DV33</f>
        <v>0</v>
      </c>
      <c r="CR33" s="58"/>
      <c r="CS33" s="59">
        <f t="shared" si="60"/>
        <v>0</v>
      </c>
      <c r="CT33" s="31">
        <f t="shared" si="61"/>
        <v>30547</v>
      </c>
      <c r="CU33" s="4">
        <f t="shared" si="62"/>
        <v>30547</v>
      </c>
      <c r="CV33" s="5">
        <f>D33*'MASTER SHEET'!D33</f>
        <v>4841.2</v>
      </c>
      <c r="CW33" s="5">
        <f>G33*'MASTER SHEET'!D33</f>
        <v>0</v>
      </c>
      <c r="CX33" s="5">
        <f>J33*'MASTER SHEET'!D33</f>
        <v>0</v>
      </c>
      <c r="CY33" s="5">
        <f>M33*'MASTER SHEET'!D33</f>
        <v>0</v>
      </c>
      <c r="CZ33" s="5">
        <f>P33*'MASTER SHEET'!D33</f>
        <v>0</v>
      </c>
      <c r="DA33" s="5">
        <f>S33*'MASTER SHEET'!D33</f>
        <v>0</v>
      </c>
      <c r="DB33" s="5">
        <f>V33*'MASTER SHEET'!D33</f>
        <v>0</v>
      </c>
      <c r="DC33" s="5">
        <f>Y33*'MASTER SHEET'!D33</f>
        <v>0</v>
      </c>
      <c r="DD33" s="5">
        <f>AB33*'MASTER SHEET'!D33</f>
        <v>0</v>
      </c>
      <c r="DE33" s="5">
        <f>AE33*'MASTER SHEET'!D33</f>
        <v>0</v>
      </c>
      <c r="DF33" s="5">
        <f>AH33*'MASTER SHEET'!D33</f>
        <v>7410</v>
      </c>
      <c r="DG33" s="5">
        <f>AK33*'MASTER SHEET'!D33</f>
        <v>4940</v>
      </c>
      <c r="DH33" s="5">
        <f>AN33*'MASTER SHEET'!D33</f>
        <v>4940</v>
      </c>
      <c r="DI33" s="5">
        <f>AQ33*'MASTER SHEET'!D33</f>
        <v>19463.599999999999</v>
      </c>
      <c r="DJ33" s="5">
        <f>AT33*'MASTER SHEET'!D33</f>
        <v>29146</v>
      </c>
      <c r="DK33" s="5">
        <f>AW33*'MASTER SHEET'!D33</f>
        <v>29146</v>
      </c>
      <c r="DL33" s="5">
        <f>AZ33*'MASTER SHEET'!D33</f>
        <v>29146</v>
      </c>
      <c r="DM33" s="5">
        <f>BC33*'MASTER SHEET'!D33</f>
        <v>29146</v>
      </c>
      <c r="DN33" s="5">
        <f>BF33*'MASTER SHEET'!D33</f>
        <v>29146</v>
      </c>
      <c r="DO33" s="5">
        <f>BI33*'MASTER SHEET'!D33</f>
        <v>29146</v>
      </c>
      <c r="DP33" s="5">
        <f>BL33*'MASTER SHEET'!D33</f>
        <v>29146</v>
      </c>
      <c r="DQ33" s="5">
        <f>BO33*'MASTER SHEET'!D33</f>
        <v>14622.4</v>
      </c>
      <c r="DR33" s="5">
        <f>BR33*'MASTER SHEET'!D33</f>
        <v>14622.4</v>
      </c>
      <c r="DS33" s="5">
        <f>BU33*'MASTER SHEET'!D33</f>
        <v>14622.4</v>
      </c>
      <c r="DT33" s="5">
        <f>BX33*'MASTER SHEET'!D33</f>
        <v>41298.400000000001</v>
      </c>
      <c r="DU33" s="5">
        <f>CA33*'MASTER SHEET'!D33</f>
        <v>2470</v>
      </c>
      <c r="DV33" s="5">
        <f>CD33*'MASTER SHEET'!D33</f>
        <v>0</v>
      </c>
      <c r="DW33" s="5">
        <f>CG33*'MASTER SHEET'!D33</f>
        <v>0</v>
      </c>
      <c r="DX33" s="5">
        <f>CJ33*'MASTER SHEET'!D33</f>
        <v>0</v>
      </c>
      <c r="DY33" s="5">
        <f>CM33*'MASTER SHEET'!D33</f>
        <v>0</v>
      </c>
      <c r="DZ33" s="5">
        <f>CP33*'MASTER SHEET'!D33</f>
        <v>0</v>
      </c>
      <c r="EA33" s="5">
        <f>CS33*'MASTER SHEET'!D33</f>
        <v>0</v>
      </c>
      <c r="EB33" s="143">
        <f>VLOOKUP($C33,'[1]GREEN LEV.₹'!$I$2:$K$54,3,0)</f>
        <v>6000</v>
      </c>
    </row>
    <row r="34" spans="1:132" ht="15.75" x14ac:dyDescent="0.25">
      <c r="A34" s="25">
        <f>'MASTER SHEET'!A34</f>
        <v>32</v>
      </c>
      <c r="B34" s="26" t="str">
        <f>'MASTER SHEET'!B34</f>
        <v>ENDPLATE ASY, PLASTIC</v>
      </c>
      <c r="C34" s="27">
        <f>'MASTER SHEET'!C34</f>
        <v>5025960</v>
      </c>
      <c r="D34" s="56">
        <v>100</v>
      </c>
      <c r="E34" s="57">
        <f>' WIP '!F34</f>
        <v>0</v>
      </c>
      <c r="F34" s="58">
        <v>0</v>
      </c>
      <c r="G34" s="59">
        <f t="shared" si="30"/>
        <v>100</v>
      </c>
      <c r="H34" s="57">
        <f>' WIP '!J34</f>
        <v>0</v>
      </c>
      <c r="I34" s="58">
        <v>0</v>
      </c>
      <c r="J34" s="59">
        <f t="shared" si="31"/>
        <v>100</v>
      </c>
      <c r="K34" s="57">
        <f>' WIP '!N34</f>
        <v>0</v>
      </c>
      <c r="L34" s="58"/>
      <c r="M34" s="59">
        <f t="shared" si="32"/>
        <v>100</v>
      </c>
      <c r="N34" s="57">
        <f>' WIP '!R34</f>
        <v>0</v>
      </c>
      <c r="O34" s="58">
        <v>0</v>
      </c>
      <c r="P34" s="59">
        <f t="shared" si="33"/>
        <v>100</v>
      </c>
      <c r="Q34" s="57">
        <f>' WIP '!V34</f>
        <v>0</v>
      </c>
      <c r="R34" s="58">
        <v>0</v>
      </c>
      <c r="S34" s="59">
        <f t="shared" si="34"/>
        <v>100</v>
      </c>
      <c r="T34" s="57">
        <f>' WIP '!Z34</f>
        <v>0</v>
      </c>
      <c r="U34" s="58">
        <v>0</v>
      </c>
      <c r="V34" s="59">
        <f t="shared" si="35"/>
        <v>100</v>
      </c>
      <c r="W34" s="57">
        <f>' WIP '!AD34</f>
        <v>0</v>
      </c>
      <c r="X34" s="58">
        <v>100</v>
      </c>
      <c r="Y34" s="59">
        <f t="shared" si="36"/>
        <v>0</v>
      </c>
      <c r="Z34" s="57">
        <f>' WIP '!AH34</f>
        <v>700</v>
      </c>
      <c r="AA34" s="58">
        <v>400</v>
      </c>
      <c r="AB34" s="59">
        <f t="shared" si="37"/>
        <v>300</v>
      </c>
      <c r="AC34" s="57">
        <f>' WIP '!AL34</f>
        <v>0</v>
      </c>
      <c r="AD34" s="58">
        <v>0</v>
      </c>
      <c r="AE34" s="59">
        <f t="shared" si="38"/>
        <v>300</v>
      </c>
      <c r="AF34" s="57">
        <f>' WIP '!AP34</f>
        <v>761</v>
      </c>
      <c r="AG34" s="114">
        <v>761</v>
      </c>
      <c r="AH34" s="59">
        <f t="shared" si="39"/>
        <v>300</v>
      </c>
      <c r="AI34" s="57">
        <f>' WIP '!AT34</f>
        <v>0</v>
      </c>
      <c r="AJ34" s="58">
        <v>300</v>
      </c>
      <c r="AK34" s="59">
        <f t="shared" si="40"/>
        <v>0</v>
      </c>
      <c r="AL34" s="57">
        <f>' WIP '!AX34</f>
        <v>0</v>
      </c>
      <c r="AM34" s="58"/>
      <c r="AN34" s="59">
        <f t="shared" si="41"/>
        <v>0</v>
      </c>
      <c r="AO34" s="57">
        <f>' WIP '!BB34</f>
        <v>0</v>
      </c>
      <c r="AP34" s="58">
        <v>0</v>
      </c>
      <c r="AQ34" s="59">
        <f t="shared" si="42"/>
        <v>0</v>
      </c>
      <c r="AR34" s="57">
        <f>' WIP '!BF34</f>
        <v>0</v>
      </c>
      <c r="AS34" s="58">
        <v>0</v>
      </c>
      <c r="AT34" s="59">
        <f t="shared" si="43"/>
        <v>0</v>
      </c>
      <c r="AU34" s="57">
        <f>' WIP '!BJ34</f>
        <v>0</v>
      </c>
      <c r="AV34" s="58">
        <v>0</v>
      </c>
      <c r="AW34" s="59">
        <f t="shared" si="44"/>
        <v>0</v>
      </c>
      <c r="AX34" s="57">
        <f>' WIP '!BN34</f>
        <v>0</v>
      </c>
      <c r="AY34" s="58">
        <v>0</v>
      </c>
      <c r="AZ34" s="59">
        <f t="shared" si="45"/>
        <v>0</v>
      </c>
      <c r="BA34" s="57">
        <f>' WIP '!BR34</f>
        <v>0</v>
      </c>
      <c r="BB34" s="58">
        <v>0</v>
      </c>
      <c r="BC34" s="59">
        <f t="shared" si="46"/>
        <v>0</v>
      </c>
      <c r="BD34" s="57">
        <f>' WIP '!BV34</f>
        <v>1500</v>
      </c>
      <c r="BE34" s="58">
        <v>1500</v>
      </c>
      <c r="BF34" s="59">
        <f t="shared" si="47"/>
        <v>0</v>
      </c>
      <c r="BG34" s="57">
        <f>' WIP '!BZ34</f>
        <v>0</v>
      </c>
      <c r="BH34" s="58"/>
      <c r="BI34" s="59">
        <f t="shared" si="48"/>
        <v>0</v>
      </c>
      <c r="BJ34" s="57">
        <f>' WIP '!CD34</f>
        <v>0</v>
      </c>
      <c r="BK34" s="58">
        <v>0</v>
      </c>
      <c r="BL34" s="59">
        <f t="shared" si="49"/>
        <v>0</v>
      </c>
      <c r="BM34" s="57">
        <f>' WIP '!CH34</f>
        <v>100</v>
      </c>
      <c r="BN34" s="58">
        <v>0</v>
      </c>
      <c r="BO34" s="59">
        <f t="shared" si="50"/>
        <v>100</v>
      </c>
      <c r="BP34" s="57">
        <f>' WIP '!CL34</f>
        <v>0</v>
      </c>
      <c r="BQ34" s="58"/>
      <c r="BR34" s="59">
        <f t="shared" si="51"/>
        <v>100</v>
      </c>
      <c r="BS34" s="57">
        <f>' WIP '!CP34</f>
        <v>0</v>
      </c>
      <c r="BT34" s="58">
        <v>0</v>
      </c>
      <c r="BU34" s="59">
        <f t="shared" si="52"/>
        <v>100</v>
      </c>
      <c r="BV34" s="57">
        <f>' WIP '!CT34</f>
        <v>0</v>
      </c>
      <c r="BW34" s="28">
        <v>0</v>
      </c>
      <c r="BX34" s="59">
        <f t="shared" si="53"/>
        <v>100</v>
      </c>
      <c r="BY34" s="57">
        <f>' WIP '!CX34</f>
        <v>0</v>
      </c>
      <c r="BZ34" s="58">
        <v>0</v>
      </c>
      <c r="CA34" s="59">
        <f t="shared" si="54"/>
        <v>100</v>
      </c>
      <c r="CB34" s="57">
        <f>' WIP '!DB34</f>
        <v>0</v>
      </c>
      <c r="CC34" s="58">
        <v>0</v>
      </c>
      <c r="CD34" s="59">
        <f t="shared" si="55"/>
        <v>100</v>
      </c>
      <c r="CE34" s="57">
        <f>' WIP '!DF34</f>
        <v>0</v>
      </c>
      <c r="CF34" s="58">
        <v>0</v>
      </c>
      <c r="CG34" s="59">
        <f t="shared" si="56"/>
        <v>100</v>
      </c>
      <c r="CH34" s="57">
        <f>' WIP '!DJ34</f>
        <v>1000</v>
      </c>
      <c r="CI34" s="58">
        <v>0</v>
      </c>
      <c r="CJ34" s="59">
        <f t="shared" si="57"/>
        <v>1100</v>
      </c>
      <c r="CK34" s="57">
        <f>' WIP '!DN34</f>
        <v>0</v>
      </c>
      <c r="CL34" s="58">
        <v>0</v>
      </c>
      <c r="CM34" s="59">
        <f t="shared" si="58"/>
        <v>1100</v>
      </c>
      <c r="CN34" s="57">
        <f>' WIP '!DR34</f>
        <v>0</v>
      </c>
      <c r="CO34" s="57"/>
      <c r="CP34" s="59">
        <f t="shared" si="59"/>
        <v>1100</v>
      </c>
      <c r="CQ34" s="57">
        <f>' WIP '!DV34</f>
        <v>0</v>
      </c>
      <c r="CR34" s="58"/>
      <c r="CS34" s="59">
        <f t="shared" si="60"/>
        <v>1100</v>
      </c>
      <c r="CT34" s="31">
        <f t="shared" si="61"/>
        <v>4161</v>
      </c>
      <c r="CU34" s="4">
        <f t="shared" si="62"/>
        <v>3061</v>
      </c>
      <c r="CV34" s="5">
        <f>D34*'MASTER SHEET'!D34</f>
        <v>6656</v>
      </c>
      <c r="CW34" s="5">
        <f>G34*'MASTER SHEET'!D34</f>
        <v>6656</v>
      </c>
      <c r="CX34" s="5">
        <f>J34*'MASTER SHEET'!D34</f>
        <v>6656</v>
      </c>
      <c r="CY34" s="5">
        <f>M34*'MASTER SHEET'!D34</f>
        <v>6656</v>
      </c>
      <c r="CZ34" s="5">
        <f>P34*'MASTER SHEET'!D34</f>
        <v>6656</v>
      </c>
      <c r="DA34" s="5">
        <f>S34*'MASTER SHEET'!D34</f>
        <v>6656</v>
      </c>
      <c r="DB34" s="5">
        <f>V34*'MASTER SHEET'!D34</f>
        <v>6656</v>
      </c>
      <c r="DC34" s="5">
        <f>Y34*'MASTER SHEET'!D34</f>
        <v>0</v>
      </c>
      <c r="DD34" s="5">
        <f>AB34*'MASTER SHEET'!D34</f>
        <v>19968</v>
      </c>
      <c r="DE34" s="5">
        <f>AE34*'MASTER SHEET'!D34</f>
        <v>19968</v>
      </c>
      <c r="DF34" s="5">
        <f>AH34*'MASTER SHEET'!D34</f>
        <v>19968</v>
      </c>
      <c r="DG34" s="5">
        <f>AK34*'MASTER SHEET'!D34</f>
        <v>0</v>
      </c>
      <c r="DH34" s="5">
        <f>AN34*'MASTER SHEET'!D34</f>
        <v>0</v>
      </c>
      <c r="DI34" s="5">
        <f>AQ34*'MASTER SHEET'!D34</f>
        <v>0</v>
      </c>
      <c r="DJ34" s="5">
        <f>AT34*'MASTER SHEET'!D34</f>
        <v>0</v>
      </c>
      <c r="DK34" s="5">
        <f>AW34*'MASTER SHEET'!D34</f>
        <v>0</v>
      </c>
      <c r="DL34" s="5">
        <f>AZ34*'MASTER SHEET'!D34</f>
        <v>0</v>
      </c>
      <c r="DM34" s="5">
        <f>BC34*'MASTER SHEET'!D34</f>
        <v>0</v>
      </c>
      <c r="DN34" s="5">
        <f>BF34*'MASTER SHEET'!D34</f>
        <v>0</v>
      </c>
      <c r="DO34" s="5">
        <f>BI34*'MASTER SHEET'!D34</f>
        <v>0</v>
      </c>
      <c r="DP34" s="5">
        <f>BL34*'MASTER SHEET'!D34</f>
        <v>0</v>
      </c>
      <c r="DQ34" s="5">
        <f>BO34*'MASTER SHEET'!D34</f>
        <v>6656</v>
      </c>
      <c r="DR34" s="5">
        <f>BR34*'MASTER SHEET'!D34</f>
        <v>6656</v>
      </c>
      <c r="DS34" s="5">
        <f>BU34*'MASTER SHEET'!D34</f>
        <v>6656</v>
      </c>
      <c r="DT34" s="5">
        <f>BX34*'MASTER SHEET'!D34</f>
        <v>6656</v>
      </c>
      <c r="DU34" s="5">
        <f>CA34*'MASTER SHEET'!D34</f>
        <v>6656</v>
      </c>
      <c r="DV34" s="5">
        <f>CD34*'MASTER SHEET'!D34</f>
        <v>6656</v>
      </c>
      <c r="DW34" s="5">
        <f>CG34*'MASTER SHEET'!D34</f>
        <v>6656</v>
      </c>
      <c r="DX34" s="5">
        <f>CJ34*'MASTER SHEET'!D34</f>
        <v>73216</v>
      </c>
      <c r="DY34" s="5">
        <f>CM34*'MASTER SHEET'!D34</f>
        <v>73216</v>
      </c>
      <c r="DZ34" s="5">
        <f>CP34*'MASTER SHEET'!D34</f>
        <v>73216</v>
      </c>
      <c r="EA34" s="5">
        <f>CS34*'MASTER SHEET'!D34</f>
        <v>73216</v>
      </c>
      <c r="EB34" s="143">
        <f>VLOOKUP($C34,'[1]GREEN LEV.₹'!$I$2:$K$54,3,0)</f>
        <v>1000</v>
      </c>
    </row>
    <row r="35" spans="1:132" ht="15.75" x14ac:dyDescent="0.25">
      <c r="A35" s="25">
        <f>'MASTER SHEET'!A35</f>
        <v>33</v>
      </c>
      <c r="B35" s="26" t="str">
        <f>'MASTER SHEET'!B35</f>
        <v>LID HOUSING</v>
      </c>
      <c r="C35" s="27">
        <f>'MASTER SHEET'!C35</f>
        <v>5026154</v>
      </c>
      <c r="D35" s="56">
        <v>50</v>
      </c>
      <c r="E35" s="57">
        <f>' WIP '!F35</f>
        <v>0</v>
      </c>
      <c r="F35" s="58">
        <v>0</v>
      </c>
      <c r="G35" s="59">
        <f t="shared" ref="G35:G66" si="63">D35+E35-F35</f>
        <v>50</v>
      </c>
      <c r="H35" s="57">
        <f>' WIP '!J35</f>
        <v>0</v>
      </c>
      <c r="I35" s="58">
        <v>0</v>
      </c>
      <c r="J35" s="59">
        <f t="shared" ref="J35:J66" si="64">G35+H35-I35</f>
        <v>50</v>
      </c>
      <c r="K35" s="57">
        <f>' WIP '!N35</f>
        <v>0</v>
      </c>
      <c r="L35" s="58"/>
      <c r="M35" s="59">
        <f t="shared" ref="M35:M66" si="65">J35+K35-L35</f>
        <v>50</v>
      </c>
      <c r="N35" s="57">
        <f>' WIP '!R35</f>
        <v>0</v>
      </c>
      <c r="O35" s="58">
        <v>50</v>
      </c>
      <c r="P35" s="59">
        <f t="shared" ref="P35:P66" si="66">M35+N35-O35</f>
        <v>0</v>
      </c>
      <c r="Q35" s="57">
        <f>' WIP '!V35</f>
        <v>0</v>
      </c>
      <c r="R35" s="58">
        <v>0</v>
      </c>
      <c r="S35" s="59">
        <f t="shared" ref="S35:S66" si="67">P35+Q35-R35</f>
        <v>0</v>
      </c>
      <c r="T35" s="57">
        <f>' WIP '!Z35</f>
        <v>0</v>
      </c>
      <c r="U35" s="58">
        <v>0</v>
      </c>
      <c r="V35" s="59">
        <f t="shared" ref="V35:V66" si="68">S35+T35-U35</f>
        <v>0</v>
      </c>
      <c r="W35" s="57">
        <f>' WIP '!AD35</f>
        <v>0</v>
      </c>
      <c r="X35" s="58">
        <v>0</v>
      </c>
      <c r="Y35" s="59">
        <f t="shared" ref="Y35:Y66" si="69">V35+W35-X35</f>
        <v>0</v>
      </c>
      <c r="Z35" s="57">
        <f>' WIP '!AH35</f>
        <v>0</v>
      </c>
      <c r="AA35" s="58">
        <v>0</v>
      </c>
      <c r="AB35" s="59">
        <f t="shared" ref="AB35:AB66" si="70">Y35+Z35-AA35</f>
        <v>0</v>
      </c>
      <c r="AC35" s="57">
        <f>' WIP '!AL35</f>
        <v>189</v>
      </c>
      <c r="AD35" s="58">
        <v>189</v>
      </c>
      <c r="AE35" s="59">
        <f t="shared" ref="AE35:AE66" si="71">AB35+AC35-AD35</f>
        <v>0</v>
      </c>
      <c r="AF35" s="57">
        <f>' WIP '!AP35</f>
        <v>0</v>
      </c>
      <c r="AG35" s="114">
        <v>0</v>
      </c>
      <c r="AH35" s="59">
        <f t="shared" ref="AH35:AH66" si="72">AE35+AF35-AG35</f>
        <v>0</v>
      </c>
      <c r="AI35" s="57">
        <f>' WIP '!AT35</f>
        <v>0</v>
      </c>
      <c r="AJ35" s="58">
        <v>0</v>
      </c>
      <c r="AK35" s="59">
        <f t="shared" ref="AK35:AK66" si="73">AH35+AI35-AJ35</f>
        <v>0</v>
      </c>
      <c r="AL35" s="57">
        <f>' WIP '!AX35</f>
        <v>0</v>
      </c>
      <c r="AM35" s="58"/>
      <c r="AN35" s="59">
        <f t="shared" ref="AN35:AN66" si="74">AK35+AL35-AM35</f>
        <v>0</v>
      </c>
      <c r="AO35" s="57">
        <f>' WIP '!BB35</f>
        <v>0</v>
      </c>
      <c r="AP35" s="58">
        <v>0</v>
      </c>
      <c r="AQ35" s="59">
        <f t="shared" ref="AQ35:AQ66" si="75">AN35+AO35-AP35</f>
        <v>0</v>
      </c>
      <c r="AR35" s="57">
        <f>' WIP '!BF35</f>
        <v>0</v>
      </c>
      <c r="AS35" s="58">
        <v>0</v>
      </c>
      <c r="AT35" s="59">
        <f t="shared" ref="AT35:AT66" si="76">AQ35+AR35-AS35</f>
        <v>0</v>
      </c>
      <c r="AU35" s="57">
        <f>' WIP '!BJ35</f>
        <v>0</v>
      </c>
      <c r="AV35" s="58">
        <v>0</v>
      </c>
      <c r="AW35" s="59">
        <f t="shared" ref="AW35:AW66" si="77">AT35+AU35-AV35</f>
        <v>0</v>
      </c>
      <c r="AX35" s="57">
        <f>' WIP '!BN35</f>
        <v>0</v>
      </c>
      <c r="AY35" s="58">
        <v>0</v>
      </c>
      <c r="AZ35" s="59">
        <f t="shared" ref="AZ35:AZ66" si="78">AW35+AX35-AY35</f>
        <v>0</v>
      </c>
      <c r="BA35" s="57">
        <f>' WIP '!BR35</f>
        <v>0</v>
      </c>
      <c r="BB35" s="58">
        <v>0</v>
      </c>
      <c r="BC35" s="59">
        <f t="shared" ref="BC35:BC66" si="79">AZ35+BA35-BB35</f>
        <v>0</v>
      </c>
      <c r="BD35" s="57">
        <f>' WIP '!BV35</f>
        <v>0</v>
      </c>
      <c r="BE35" s="58">
        <v>0</v>
      </c>
      <c r="BF35" s="59">
        <f t="shared" ref="BF35:BF66" si="80">BC35+BD35-BE35</f>
        <v>0</v>
      </c>
      <c r="BG35" s="57">
        <f>' WIP '!BZ35</f>
        <v>0</v>
      </c>
      <c r="BH35" s="58"/>
      <c r="BI35" s="59">
        <f t="shared" ref="BI35:BI66" si="81">BF35+BG35-BH35</f>
        <v>0</v>
      </c>
      <c r="BJ35" s="57">
        <f>' WIP '!CD35</f>
        <v>0</v>
      </c>
      <c r="BK35" s="58">
        <v>0</v>
      </c>
      <c r="BL35" s="59">
        <f t="shared" ref="BL35:BL66" si="82">BI35+BJ35-BK35</f>
        <v>0</v>
      </c>
      <c r="BM35" s="57">
        <f>' WIP '!CH35</f>
        <v>336</v>
      </c>
      <c r="BN35" s="58">
        <v>336</v>
      </c>
      <c r="BO35" s="59">
        <f t="shared" ref="BO35:BO66" si="83">BL35+BM35-BN35</f>
        <v>0</v>
      </c>
      <c r="BP35" s="57">
        <f>' WIP '!CL35</f>
        <v>0</v>
      </c>
      <c r="BQ35" s="58"/>
      <c r="BR35" s="59">
        <f t="shared" ref="BR35:BR66" si="84">BO35+BP35-BQ35</f>
        <v>0</v>
      </c>
      <c r="BS35" s="57">
        <f>' WIP '!CP35</f>
        <v>0</v>
      </c>
      <c r="BT35" s="58">
        <v>0</v>
      </c>
      <c r="BU35" s="59">
        <f t="shared" ref="BU35:BU66" si="85">BR35+BS35-BT35</f>
        <v>0</v>
      </c>
      <c r="BV35" s="57">
        <f>' WIP '!CT35</f>
        <v>672</v>
      </c>
      <c r="BW35" s="28">
        <v>336</v>
      </c>
      <c r="BX35" s="59">
        <f t="shared" ref="BX35:BX66" si="86">BU35+BV35-BW35</f>
        <v>336</v>
      </c>
      <c r="BY35" s="57">
        <f>' WIP '!CX35</f>
        <v>0</v>
      </c>
      <c r="BZ35" s="58">
        <v>0</v>
      </c>
      <c r="CA35" s="59">
        <f t="shared" ref="CA35:CA66" si="87">BX35+BY35-BZ35</f>
        <v>336</v>
      </c>
      <c r="CB35" s="57">
        <f>' WIP '!DB35</f>
        <v>0</v>
      </c>
      <c r="CC35" s="58">
        <v>0</v>
      </c>
      <c r="CD35" s="59">
        <f t="shared" ref="CD35:CD66" si="88">CA35+CB35-CC35</f>
        <v>336</v>
      </c>
      <c r="CE35" s="57">
        <f>' WIP '!DF35</f>
        <v>0</v>
      </c>
      <c r="CF35" s="58">
        <v>84</v>
      </c>
      <c r="CG35" s="59">
        <f t="shared" ref="CG35:CG66" si="89">CD35+CE35-CF35</f>
        <v>252</v>
      </c>
      <c r="CH35" s="57">
        <f>' WIP '!DJ35</f>
        <v>0</v>
      </c>
      <c r="CI35" s="58">
        <v>252</v>
      </c>
      <c r="CJ35" s="59">
        <f t="shared" ref="CJ35:CJ66" si="90">CG35+CH35-CI35</f>
        <v>0</v>
      </c>
      <c r="CK35" s="57">
        <f>' WIP '!DN35</f>
        <v>0</v>
      </c>
      <c r="CL35" s="58">
        <v>0</v>
      </c>
      <c r="CM35" s="59">
        <f t="shared" ref="CM35:CM66" si="91">CJ35+CK35-CL35</f>
        <v>0</v>
      </c>
      <c r="CN35" s="57">
        <f>' WIP '!DR35</f>
        <v>0</v>
      </c>
      <c r="CO35" s="57"/>
      <c r="CP35" s="59">
        <f t="shared" ref="CP35:CP66" si="92">CM35+CN35-CO35</f>
        <v>0</v>
      </c>
      <c r="CQ35" s="57">
        <f>' WIP '!DV35</f>
        <v>0</v>
      </c>
      <c r="CR35" s="58"/>
      <c r="CS35" s="59">
        <f t="shared" ref="CS35:CS66" si="93">CP35+CQ35-CR35</f>
        <v>0</v>
      </c>
      <c r="CT35" s="31">
        <f t="shared" ref="CT35:CT66" si="94">D35+E35+H35+K35+N35+Q35+T35+W35+Z35+AC35+AF35+AI35+AL35+AO35+AR35+AU35+AX35+BA35+BD35+BG35+BJ35+BM35+BP35+BS35+BV35+BY35+CB35+CE35+CH35+CK35+CN35+CQ35</f>
        <v>1247</v>
      </c>
      <c r="CU35" s="4">
        <f t="shared" ref="CU35:CU66" si="95">F35+I35+L35+O35+R35+U35+X35+AA35+AD35+AG35+AJ35+AM35+AP35+AS35+AV35+AY35+BB35+BE35+BH35+BK35+BN35+BQ35+BT35+BW35+BZ35+CC35+CF35+CI35+CL35+CO35+CR35</f>
        <v>1247</v>
      </c>
      <c r="CV35" s="5">
        <f>D35*'MASTER SHEET'!D35</f>
        <v>2051.5</v>
      </c>
      <c r="CW35" s="5">
        <f>G35*'MASTER SHEET'!D35</f>
        <v>2051.5</v>
      </c>
      <c r="CX35" s="5">
        <f>J35*'MASTER SHEET'!D35</f>
        <v>2051.5</v>
      </c>
      <c r="CY35" s="5">
        <f>M35*'MASTER SHEET'!D35</f>
        <v>2051.5</v>
      </c>
      <c r="CZ35" s="5">
        <f>P35*'MASTER SHEET'!D35</f>
        <v>0</v>
      </c>
      <c r="DA35" s="5">
        <f>S35*'MASTER SHEET'!D35</f>
        <v>0</v>
      </c>
      <c r="DB35" s="5">
        <f>V35*'MASTER SHEET'!D35</f>
        <v>0</v>
      </c>
      <c r="DC35" s="5">
        <f>Y35*'MASTER SHEET'!D35</f>
        <v>0</v>
      </c>
      <c r="DD35" s="5">
        <f>AB35*'MASTER SHEET'!D35</f>
        <v>0</v>
      </c>
      <c r="DE35" s="5">
        <f>AE35*'MASTER SHEET'!D35</f>
        <v>0</v>
      </c>
      <c r="DF35" s="5">
        <f>AH35*'MASTER SHEET'!D35</f>
        <v>0</v>
      </c>
      <c r="DG35" s="5">
        <f>AK35*'MASTER SHEET'!D35</f>
        <v>0</v>
      </c>
      <c r="DH35" s="5">
        <f>AN35*'MASTER SHEET'!D35</f>
        <v>0</v>
      </c>
      <c r="DI35" s="5">
        <f>AQ35*'MASTER SHEET'!D35</f>
        <v>0</v>
      </c>
      <c r="DJ35" s="5">
        <f>AT35*'MASTER SHEET'!D35</f>
        <v>0</v>
      </c>
      <c r="DK35" s="5">
        <f>AW35*'MASTER SHEET'!D35</f>
        <v>0</v>
      </c>
      <c r="DL35" s="5">
        <f>AZ35*'MASTER SHEET'!D35</f>
        <v>0</v>
      </c>
      <c r="DM35" s="5">
        <f>BC35*'MASTER SHEET'!D35</f>
        <v>0</v>
      </c>
      <c r="DN35" s="5">
        <f>BF35*'MASTER SHEET'!D35</f>
        <v>0</v>
      </c>
      <c r="DO35" s="5">
        <f>BI35*'MASTER SHEET'!D35</f>
        <v>0</v>
      </c>
      <c r="DP35" s="5">
        <f>BL35*'MASTER SHEET'!D35</f>
        <v>0</v>
      </c>
      <c r="DQ35" s="5">
        <f>BO35*'MASTER SHEET'!D35</f>
        <v>0</v>
      </c>
      <c r="DR35" s="5">
        <f>BR35*'MASTER SHEET'!D35</f>
        <v>0</v>
      </c>
      <c r="DS35" s="5">
        <f>BU35*'MASTER SHEET'!D35</f>
        <v>0</v>
      </c>
      <c r="DT35" s="5">
        <f>BX35*'MASTER SHEET'!D35</f>
        <v>13786.08</v>
      </c>
      <c r="DU35" s="5">
        <f>CA35*'MASTER SHEET'!D35</f>
        <v>13786.08</v>
      </c>
      <c r="DV35" s="5">
        <f>CD35*'MASTER SHEET'!D35</f>
        <v>13786.08</v>
      </c>
      <c r="DW35" s="5">
        <f>CG35*'MASTER SHEET'!D35</f>
        <v>10339.56</v>
      </c>
      <c r="DX35" s="5">
        <f>CJ35*'MASTER SHEET'!D35</f>
        <v>0</v>
      </c>
      <c r="DY35" s="5">
        <f>CM35*'MASTER SHEET'!D35</f>
        <v>0</v>
      </c>
      <c r="DZ35" s="5">
        <f>CP35*'MASTER SHEET'!D35</f>
        <v>0</v>
      </c>
      <c r="EA35" s="5">
        <f>CS35*'MASTER SHEET'!D35</f>
        <v>0</v>
      </c>
      <c r="EB35" s="143">
        <f>VLOOKUP($C35,'[1]GREEN LEV.₹'!$I$2:$K$54,3,0)</f>
        <v>150</v>
      </c>
    </row>
    <row r="36" spans="1:132" ht="15.75" x14ac:dyDescent="0.25">
      <c r="A36" s="25">
        <f>'MASTER SHEET'!A36</f>
        <v>34</v>
      </c>
      <c r="B36" s="26" t="str">
        <f>'MASTER SHEET'!B36</f>
        <v xml:space="preserve">BASE. HOUSING </v>
      </c>
      <c r="C36" s="27">
        <f>'MASTER SHEET'!C36</f>
        <v>5026669</v>
      </c>
      <c r="D36" s="56">
        <v>1050</v>
      </c>
      <c r="E36" s="57">
        <f>' WIP '!F36</f>
        <v>0</v>
      </c>
      <c r="F36" s="58">
        <v>0</v>
      </c>
      <c r="G36" s="59">
        <f t="shared" si="63"/>
        <v>1050</v>
      </c>
      <c r="H36" s="57">
        <f>' WIP '!J36</f>
        <v>0</v>
      </c>
      <c r="I36" s="58">
        <v>0</v>
      </c>
      <c r="J36" s="59">
        <f t="shared" si="64"/>
        <v>1050</v>
      </c>
      <c r="K36" s="57">
        <f>' WIP '!N36</f>
        <v>0</v>
      </c>
      <c r="L36" s="58"/>
      <c r="M36" s="59">
        <f t="shared" si="65"/>
        <v>1050</v>
      </c>
      <c r="N36" s="57">
        <f>' WIP '!R36</f>
        <v>0</v>
      </c>
      <c r="O36" s="58">
        <v>0</v>
      </c>
      <c r="P36" s="59">
        <f t="shared" si="66"/>
        <v>1050</v>
      </c>
      <c r="Q36" s="57">
        <f>' WIP '!V36</f>
        <v>0</v>
      </c>
      <c r="R36" s="58">
        <v>75</v>
      </c>
      <c r="S36" s="59">
        <f t="shared" si="67"/>
        <v>975</v>
      </c>
      <c r="T36" s="57">
        <f>' WIP '!Z36</f>
        <v>0</v>
      </c>
      <c r="U36" s="58">
        <v>0</v>
      </c>
      <c r="V36" s="59">
        <f t="shared" si="68"/>
        <v>975</v>
      </c>
      <c r="W36" s="57">
        <f>' WIP '!AD36</f>
        <v>0</v>
      </c>
      <c r="X36" s="58">
        <v>0</v>
      </c>
      <c r="Y36" s="59">
        <f t="shared" si="69"/>
        <v>975</v>
      </c>
      <c r="Z36" s="57">
        <f>' WIP '!AH36</f>
        <v>0</v>
      </c>
      <c r="AA36" s="58">
        <v>0</v>
      </c>
      <c r="AB36" s="59">
        <f t="shared" si="70"/>
        <v>975</v>
      </c>
      <c r="AC36" s="57">
        <f>' WIP '!AL36</f>
        <v>0</v>
      </c>
      <c r="AD36" s="58">
        <v>0</v>
      </c>
      <c r="AE36" s="59">
        <f t="shared" si="71"/>
        <v>975</v>
      </c>
      <c r="AF36" s="57">
        <f>' WIP '!AP36</f>
        <v>0</v>
      </c>
      <c r="AG36" s="114">
        <v>0</v>
      </c>
      <c r="AH36" s="59">
        <f t="shared" si="72"/>
        <v>975</v>
      </c>
      <c r="AI36" s="57">
        <f>' WIP '!AT36</f>
        <v>0</v>
      </c>
      <c r="AJ36" s="58">
        <v>0</v>
      </c>
      <c r="AK36" s="59">
        <f t="shared" si="73"/>
        <v>975</v>
      </c>
      <c r="AL36" s="57">
        <f>' WIP '!AX36</f>
        <v>0</v>
      </c>
      <c r="AM36" s="58"/>
      <c r="AN36" s="59">
        <f t="shared" si="74"/>
        <v>975</v>
      </c>
      <c r="AO36" s="57">
        <f>' WIP '!BB36</f>
        <v>0</v>
      </c>
      <c r="AP36" s="58">
        <v>0</v>
      </c>
      <c r="AQ36" s="59">
        <f t="shared" si="75"/>
        <v>975</v>
      </c>
      <c r="AR36" s="57">
        <f>' WIP '!BF36</f>
        <v>0</v>
      </c>
      <c r="AS36" s="58">
        <v>0</v>
      </c>
      <c r="AT36" s="59">
        <f t="shared" si="76"/>
        <v>975</v>
      </c>
      <c r="AU36" s="57">
        <f>' WIP '!BJ36</f>
        <v>0</v>
      </c>
      <c r="AV36" s="58">
        <v>0</v>
      </c>
      <c r="AW36" s="59">
        <f t="shared" si="77"/>
        <v>975</v>
      </c>
      <c r="AX36" s="57">
        <f>' WIP '!BN36</f>
        <v>0</v>
      </c>
      <c r="AY36" s="58">
        <v>0</v>
      </c>
      <c r="AZ36" s="59">
        <f t="shared" si="78"/>
        <v>975</v>
      </c>
      <c r="BA36" s="57">
        <f>' WIP '!BR36</f>
        <v>0</v>
      </c>
      <c r="BB36" s="58">
        <v>0</v>
      </c>
      <c r="BC36" s="59">
        <f t="shared" si="79"/>
        <v>975</v>
      </c>
      <c r="BD36" s="57">
        <f>' WIP '!BV36</f>
        <v>0</v>
      </c>
      <c r="BE36" s="58">
        <v>0</v>
      </c>
      <c r="BF36" s="59">
        <f t="shared" si="80"/>
        <v>975</v>
      </c>
      <c r="BG36" s="57">
        <f>' WIP '!BZ36</f>
        <v>0</v>
      </c>
      <c r="BH36" s="58"/>
      <c r="BI36" s="59">
        <f t="shared" si="81"/>
        <v>975</v>
      </c>
      <c r="BJ36" s="57">
        <f>' WIP '!CD36</f>
        <v>0</v>
      </c>
      <c r="BK36" s="58">
        <v>0</v>
      </c>
      <c r="BL36" s="59">
        <f t="shared" si="82"/>
        <v>975</v>
      </c>
      <c r="BM36" s="57">
        <f>' WIP '!CH36</f>
        <v>0</v>
      </c>
      <c r="BN36" s="58">
        <v>0</v>
      </c>
      <c r="BO36" s="59">
        <f t="shared" si="83"/>
        <v>975</v>
      </c>
      <c r="BP36" s="57">
        <f>' WIP '!CL36</f>
        <v>0</v>
      </c>
      <c r="BQ36" s="58"/>
      <c r="BR36" s="59">
        <f t="shared" si="84"/>
        <v>975</v>
      </c>
      <c r="BS36" s="57">
        <f>' WIP '!CP36</f>
        <v>0</v>
      </c>
      <c r="BT36" s="58">
        <v>0</v>
      </c>
      <c r="BU36" s="59">
        <f t="shared" si="85"/>
        <v>975</v>
      </c>
      <c r="BV36" s="57">
        <f>' WIP '!CT36</f>
        <v>0</v>
      </c>
      <c r="BW36" s="28">
        <v>0</v>
      </c>
      <c r="BX36" s="59">
        <f t="shared" si="86"/>
        <v>975</v>
      </c>
      <c r="BY36" s="57">
        <f>' WIP '!CX36</f>
        <v>0</v>
      </c>
      <c r="BZ36" s="58">
        <v>0</v>
      </c>
      <c r="CA36" s="59">
        <f t="shared" si="87"/>
        <v>975</v>
      </c>
      <c r="CB36" s="57">
        <f>' WIP '!DB36</f>
        <v>0</v>
      </c>
      <c r="CC36" s="58">
        <v>0</v>
      </c>
      <c r="CD36" s="59">
        <f t="shared" si="88"/>
        <v>975</v>
      </c>
      <c r="CE36" s="57">
        <f>' WIP '!DF36</f>
        <v>0</v>
      </c>
      <c r="CF36" s="58">
        <v>0</v>
      </c>
      <c r="CG36" s="59">
        <f t="shared" si="89"/>
        <v>975</v>
      </c>
      <c r="CH36" s="57">
        <f>' WIP '!DJ36</f>
        <v>0</v>
      </c>
      <c r="CI36" s="58">
        <v>0</v>
      </c>
      <c r="CJ36" s="59">
        <f t="shared" si="90"/>
        <v>975</v>
      </c>
      <c r="CK36" s="57">
        <f>' WIP '!DN36</f>
        <v>0</v>
      </c>
      <c r="CL36" s="58">
        <v>0</v>
      </c>
      <c r="CM36" s="59">
        <f t="shared" si="91"/>
        <v>975</v>
      </c>
      <c r="CN36" s="57">
        <f>' WIP '!DR36</f>
        <v>0</v>
      </c>
      <c r="CO36" s="57"/>
      <c r="CP36" s="59">
        <f t="shared" si="92"/>
        <v>975</v>
      </c>
      <c r="CQ36" s="57">
        <f>' WIP '!DV36</f>
        <v>0</v>
      </c>
      <c r="CR36" s="58"/>
      <c r="CS36" s="59">
        <f t="shared" si="93"/>
        <v>975</v>
      </c>
      <c r="CT36" s="31">
        <f t="shared" si="94"/>
        <v>1050</v>
      </c>
      <c r="CU36" s="4">
        <f t="shared" si="95"/>
        <v>75</v>
      </c>
      <c r="CV36" s="5">
        <f>D36*'MASTER SHEET'!D36</f>
        <v>41989.5</v>
      </c>
      <c r="CW36" s="5">
        <f>G36*'MASTER SHEET'!D36</f>
        <v>41989.5</v>
      </c>
      <c r="CX36" s="5">
        <f>J36*'MASTER SHEET'!D36</f>
        <v>41989.5</v>
      </c>
      <c r="CY36" s="5">
        <f>M36*'MASTER SHEET'!D36</f>
        <v>41989.5</v>
      </c>
      <c r="CZ36" s="5">
        <f>P36*'MASTER SHEET'!D36</f>
        <v>41989.5</v>
      </c>
      <c r="DA36" s="5">
        <f>S36*'MASTER SHEET'!D36</f>
        <v>38990.25</v>
      </c>
      <c r="DB36" s="5">
        <f>V36*'MASTER SHEET'!D36</f>
        <v>38990.25</v>
      </c>
      <c r="DC36" s="5">
        <f>Y36*'MASTER SHEET'!D36</f>
        <v>38990.25</v>
      </c>
      <c r="DD36" s="5">
        <f>AB36*'MASTER SHEET'!D36</f>
        <v>38990.25</v>
      </c>
      <c r="DE36" s="5">
        <f>AE36*'MASTER SHEET'!D36</f>
        <v>38990.25</v>
      </c>
      <c r="DF36" s="5">
        <f>AH36*'MASTER SHEET'!D36</f>
        <v>38990.25</v>
      </c>
      <c r="DG36" s="5">
        <f>AK36*'MASTER SHEET'!D36</f>
        <v>38990.25</v>
      </c>
      <c r="DH36" s="5">
        <f>AN36*'MASTER SHEET'!D36</f>
        <v>38990.25</v>
      </c>
      <c r="DI36" s="5">
        <f>AQ36*'MASTER SHEET'!D36</f>
        <v>38990.25</v>
      </c>
      <c r="DJ36" s="5">
        <f>AT36*'MASTER SHEET'!D36</f>
        <v>38990.25</v>
      </c>
      <c r="DK36" s="5">
        <f>AW36*'MASTER SHEET'!D36</f>
        <v>38990.25</v>
      </c>
      <c r="DL36" s="5">
        <f>AZ36*'MASTER SHEET'!D36</f>
        <v>38990.25</v>
      </c>
      <c r="DM36" s="5">
        <f>BC36*'MASTER SHEET'!D36</f>
        <v>38990.25</v>
      </c>
      <c r="DN36" s="5">
        <f>BF36*'MASTER SHEET'!D36</f>
        <v>38990.25</v>
      </c>
      <c r="DO36" s="5">
        <f>BI36*'MASTER SHEET'!D36</f>
        <v>38990.25</v>
      </c>
      <c r="DP36" s="5">
        <f>BL36*'MASTER SHEET'!D36</f>
        <v>38990.25</v>
      </c>
      <c r="DQ36" s="5">
        <f>BO36*'MASTER SHEET'!D36</f>
        <v>38990.25</v>
      </c>
      <c r="DR36" s="5">
        <f>BR36*'MASTER SHEET'!D36</f>
        <v>38990.25</v>
      </c>
      <c r="DS36" s="5">
        <f>BU36*'MASTER SHEET'!D36</f>
        <v>38990.25</v>
      </c>
      <c r="DT36" s="5">
        <f>BX36*'MASTER SHEET'!D36</f>
        <v>38990.25</v>
      </c>
      <c r="DU36" s="5">
        <f>CA36*'MASTER SHEET'!D36</f>
        <v>38990.25</v>
      </c>
      <c r="DV36" s="5">
        <f>CD36*'MASTER SHEET'!D36</f>
        <v>38990.25</v>
      </c>
      <c r="DW36" s="5">
        <f>CG36*'MASTER SHEET'!D36</f>
        <v>38990.25</v>
      </c>
      <c r="DX36" s="5">
        <f>CJ36*'MASTER SHEET'!D36</f>
        <v>38990.25</v>
      </c>
      <c r="DY36" s="5">
        <f>CM36*'MASTER SHEET'!D36</f>
        <v>38990.25</v>
      </c>
      <c r="DZ36" s="5">
        <f>CP36*'MASTER SHEET'!D36</f>
        <v>38990.25</v>
      </c>
      <c r="EA36" s="5">
        <f>CS36*'MASTER SHEET'!D36</f>
        <v>38990.25</v>
      </c>
      <c r="EB36" s="9"/>
    </row>
    <row r="37" spans="1:132" ht="15.75" x14ac:dyDescent="0.25">
      <c r="A37" s="25">
        <f>'MASTER SHEET'!A37</f>
        <v>35</v>
      </c>
      <c r="B37" s="26" t="str">
        <f>'MASTER SHEET'!B37</f>
        <v>VALVE COVER</v>
      </c>
      <c r="C37" s="27">
        <f>'MASTER SHEET'!C37</f>
        <v>5041697</v>
      </c>
      <c r="D37" s="56">
        <v>0</v>
      </c>
      <c r="E37" s="57">
        <f>' WIP '!F37</f>
        <v>0</v>
      </c>
      <c r="F37" s="58">
        <v>0</v>
      </c>
      <c r="G37" s="59">
        <f t="shared" si="63"/>
        <v>0</v>
      </c>
      <c r="H37" s="57">
        <f>' WIP '!J37</f>
        <v>0</v>
      </c>
      <c r="I37" s="58">
        <v>0</v>
      </c>
      <c r="J37" s="59">
        <f t="shared" si="64"/>
        <v>0</v>
      </c>
      <c r="K37" s="57">
        <f>' WIP '!N37</f>
        <v>0</v>
      </c>
      <c r="L37" s="58"/>
      <c r="M37" s="59">
        <f t="shared" si="65"/>
        <v>0</v>
      </c>
      <c r="N37" s="57">
        <f>' WIP '!R37</f>
        <v>0</v>
      </c>
      <c r="O37" s="58">
        <v>0</v>
      </c>
      <c r="P37" s="59">
        <f t="shared" si="66"/>
        <v>0</v>
      </c>
      <c r="Q37" s="57">
        <f>' WIP '!V37</f>
        <v>0</v>
      </c>
      <c r="R37" s="58">
        <v>0</v>
      </c>
      <c r="S37" s="59">
        <f t="shared" si="67"/>
        <v>0</v>
      </c>
      <c r="T37" s="57">
        <f>' WIP '!Z37</f>
        <v>0</v>
      </c>
      <c r="U37" s="58">
        <v>0</v>
      </c>
      <c r="V37" s="59">
        <f t="shared" si="68"/>
        <v>0</v>
      </c>
      <c r="W37" s="57">
        <f>' WIP '!AD37</f>
        <v>0</v>
      </c>
      <c r="X37" s="58">
        <v>0</v>
      </c>
      <c r="Y37" s="59">
        <f t="shared" si="69"/>
        <v>0</v>
      </c>
      <c r="Z37" s="57">
        <f>' WIP '!AH37</f>
        <v>0</v>
      </c>
      <c r="AA37" s="58">
        <v>0</v>
      </c>
      <c r="AB37" s="59">
        <f t="shared" si="70"/>
        <v>0</v>
      </c>
      <c r="AC37" s="57">
        <f>' WIP '!AL37</f>
        <v>0</v>
      </c>
      <c r="AD37" s="58">
        <v>0</v>
      </c>
      <c r="AE37" s="59">
        <f t="shared" si="71"/>
        <v>0</v>
      </c>
      <c r="AF37" s="57">
        <f>' WIP '!AP37</f>
        <v>0</v>
      </c>
      <c r="AG37" s="114">
        <v>0</v>
      </c>
      <c r="AH37" s="59">
        <f t="shared" si="72"/>
        <v>0</v>
      </c>
      <c r="AI37" s="57">
        <f>' WIP '!AT37</f>
        <v>0</v>
      </c>
      <c r="AJ37" s="58">
        <v>0</v>
      </c>
      <c r="AK37" s="59">
        <f t="shared" si="73"/>
        <v>0</v>
      </c>
      <c r="AL37" s="57">
        <f>' WIP '!AX37</f>
        <v>0</v>
      </c>
      <c r="AM37" s="58"/>
      <c r="AN37" s="59">
        <f t="shared" si="74"/>
        <v>0</v>
      </c>
      <c r="AO37" s="57">
        <f>' WIP '!BB37</f>
        <v>0</v>
      </c>
      <c r="AP37" s="58">
        <v>0</v>
      </c>
      <c r="AQ37" s="59">
        <f t="shared" si="75"/>
        <v>0</v>
      </c>
      <c r="AR37" s="57">
        <f>' WIP '!BF37</f>
        <v>0</v>
      </c>
      <c r="AS37" s="58">
        <v>0</v>
      </c>
      <c r="AT37" s="59">
        <f t="shared" si="76"/>
        <v>0</v>
      </c>
      <c r="AU37" s="57">
        <f>' WIP '!BJ37</f>
        <v>0</v>
      </c>
      <c r="AV37" s="58">
        <v>0</v>
      </c>
      <c r="AW37" s="59">
        <f t="shared" si="77"/>
        <v>0</v>
      </c>
      <c r="AX37" s="57">
        <f>' WIP '!BN37</f>
        <v>0</v>
      </c>
      <c r="AY37" s="58">
        <v>0</v>
      </c>
      <c r="AZ37" s="59">
        <f t="shared" si="78"/>
        <v>0</v>
      </c>
      <c r="BA37" s="57">
        <f>' WIP '!BR37</f>
        <v>0</v>
      </c>
      <c r="BB37" s="58">
        <v>0</v>
      </c>
      <c r="BC37" s="59">
        <f t="shared" si="79"/>
        <v>0</v>
      </c>
      <c r="BD37" s="57">
        <f>' WIP '!BV37</f>
        <v>0</v>
      </c>
      <c r="BE37" s="58">
        <v>0</v>
      </c>
      <c r="BF37" s="59">
        <f t="shared" si="80"/>
        <v>0</v>
      </c>
      <c r="BG37" s="57">
        <f>' WIP '!BZ37</f>
        <v>0</v>
      </c>
      <c r="BH37" s="58"/>
      <c r="BI37" s="59">
        <f t="shared" si="81"/>
        <v>0</v>
      </c>
      <c r="BJ37" s="57">
        <f>' WIP '!CD37</f>
        <v>0</v>
      </c>
      <c r="BK37" s="58">
        <v>0</v>
      </c>
      <c r="BL37" s="59">
        <f t="shared" si="82"/>
        <v>0</v>
      </c>
      <c r="BM37" s="57">
        <f>' WIP '!CH37</f>
        <v>0</v>
      </c>
      <c r="BN37" s="58">
        <v>0</v>
      </c>
      <c r="BO37" s="59">
        <f t="shared" si="83"/>
        <v>0</v>
      </c>
      <c r="BP37" s="57">
        <f>' WIP '!CL37</f>
        <v>0</v>
      </c>
      <c r="BQ37" s="58"/>
      <c r="BR37" s="59">
        <f t="shared" si="84"/>
        <v>0</v>
      </c>
      <c r="BS37" s="57">
        <f>' WIP '!CP37</f>
        <v>0</v>
      </c>
      <c r="BT37" s="58">
        <v>0</v>
      </c>
      <c r="BU37" s="59">
        <f t="shared" si="85"/>
        <v>0</v>
      </c>
      <c r="BV37" s="57">
        <f>' WIP '!CT37</f>
        <v>0</v>
      </c>
      <c r="BW37" s="28">
        <v>0</v>
      </c>
      <c r="BX37" s="59">
        <f t="shared" si="86"/>
        <v>0</v>
      </c>
      <c r="BY37" s="57">
        <f>' WIP '!CX37</f>
        <v>0</v>
      </c>
      <c r="BZ37" s="58">
        <v>0</v>
      </c>
      <c r="CA37" s="59">
        <f t="shared" si="87"/>
        <v>0</v>
      </c>
      <c r="CB37" s="57">
        <f>' WIP '!DB37</f>
        <v>0</v>
      </c>
      <c r="CC37" s="58">
        <v>0</v>
      </c>
      <c r="CD37" s="59">
        <f t="shared" si="88"/>
        <v>0</v>
      </c>
      <c r="CE37" s="57">
        <f>' WIP '!DF37</f>
        <v>0</v>
      </c>
      <c r="CF37" s="58">
        <v>0</v>
      </c>
      <c r="CG37" s="59">
        <f t="shared" si="89"/>
        <v>0</v>
      </c>
      <c r="CH37" s="57">
        <f>' WIP '!DJ37</f>
        <v>0</v>
      </c>
      <c r="CI37" s="58">
        <v>0</v>
      </c>
      <c r="CJ37" s="59">
        <f t="shared" si="90"/>
        <v>0</v>
      </c>
      <c r="CK37" s="57">
        <f>' WIP '!DN37</f>
        <v>0</v>
      </c>
      <c r="CL37" s="58">
        <v>0</v>
      </c>
      <c r="CM37" s="59">
        <f t="shared" si="91"/>
        <v>0</v>
      </c>
      <c r="CN37" s="57">
        <f>' WIP '!DR37</f>
        <v>0</v>
      </c>
      <c r="CO37" s="57"/>
      <c r="CP37" s="59">
        <f t="shared" si="92"/>
        <v>0</v>
      </c>
      <c r="CQ37" s="57">
        <f>' WIP '!DV37</f>
        <v>0</v>
      </c>
      <c r="CR37" s="58"/>
      <c r="CS37" s="59">
        <f t="shared" si="93"/>
        <v>0</v>
      </c>
      <c r="CT37" s="31">
        <f t="shared" si="94"/>
        <v>0</v>
      </c>
      <c r="CU37" s="4">
        <f t="shared" si="95"/>
        <v>0</v>
      </c>
      <c r="CV37" s="5">
        <f>D37*'MASTER SHEET'!D37</f>
        <v>0</v>
      </c>
      <c r="CW37" s="5">
        <f>G37*'MASTER SHEET'!D37</f>
        <v>0</v>
      </c>
      <c r="CX37" s="5">
        <f>J37*'MASTER SHEET'!D37</f>
        <v>0</v>
      </c>
      <c r="CY37" s="5">
        <f>M37*'MASTER SHEET'!D37</f>
        <v>0</v>
      </c>
      <c r="CZ37" s="5">
        <f>P37*'MASTER SHEET'!D37</f>
        <v>0</v>
      </c>
      <c r="DA37" s="5">
        <f>S37*'MASTER SHEET'!D37</f>
        <v>0</v>
      </c>
      <c r="DB37" s="5">
        <f>V37*'MASTER SHEET'!D37</f>
        <v>0</v>
      </c>
      <c r="DC37" s="5">
        <f>Y37*'MASTER SHEET'!D37</f>
        <v>0</v>
      </c>
      <c r="DD37" s="5">
        <f>AB37*'MASTER SHEET'!D37</f>
        <v>0</v>
      </c>
      <c r="DE37" s="5">
        <f>AE37*'MASTER SHEET'!D37</f>
        <v>0</v>
      </c>
      <c r="DF37" s="5">
        <f>AH37*'MASTER SHEET'!D37</f>
        <v>0</v>
      </c>
      <c r="DG37" s="5">
        <f>AK37*'MASTER SHEET'!D37</f>
        <v>0</v>
      </c>
      <c r="DH37" s="5">
        <f>AN37*'MASTER SHEET'!D37</f>
        <v>0</v>
      </c>
      <c r="DI37" s="5">
        <f>AQ37*'MASTER SHEET'!D37</f>
        <v>0</v>
      </c>
      <c r="DJ37" s="5">
        <f>AT37*'MASTER SHEET'!D37</f>
        <v>0</v>
      </c>
      <c r="DK37" s="5">
        <f>AW37*'MASTER SHEET'!D37</f>
        <v>0</v>
      </c>
      <c r="DL37" s="5">
        <f>AZ37*'MASTER SHEET'!D37</f>
        <v>0</v>
      </c>
      <c r="DM37" s="5">
        <f>BC37*'MASTER SHEET'!D37</f>
        <v>0</v>
      </c>
      <c r="DN37" s="5">
        <f>BF37*'MASTER SHEET'!D37</f>
        <v>0</v>
      </c>
      <c r="DO37" s="5">
        <f>BI37*'MASTER SHEET'!D37</f>
        <v>0</v>
      </c>
      <c r="DP37" s="5">
        <f>BL37*'MASTER SHEET'!D37</f>
        <v>0</v>
      </c>
      <c r="DQ37" s="5">
        <f>BO37*'MASTER SHEET'!D37</f>
        <v>0</v>
      </c>
      <c r="DR37" s="5">
        <f>BR37*'MASTER SHEET'!D37</f>
        <v>0</v>
      </c>
      <c r="DS37" s="5">
        <f>BU37*'MASTER SHEET'!D37</f>
        <v>0</v>
      </c>
      <c r="DT37" s="5">
        <f>BX37*'MASTER SHEET'!D37</f>
        <v>0</v>
      </c>
      <c r="DU37" s="5">
        <f>CA37*'MASTER SHEET'!D37</f>
        <v>0</v>
      </c>
      <c r="DV37" s="5">
        <f>CD37*'MASTER SHEET'!D37</f>
        <v>0</v>
      </c>
      <c r="DW37" s="5">
        <f>CG37*'MASTER SHEET'!D37</f>
        <v>0</v>
      </c>
      <c r="DX37" s="5">
        <f>CJ37*'MASTER SHEET'!D37</f>
        <v>0</v>
      </c>
      <c r="DY37" s="5">
        <f>CM37*'MASTER SHEET'!D37</f>
        <v>0</v>
      </c>
      <c r="DZ37" s="5">
        <f>CP37*'MASTER SHEET'!D37</f>
        <v>0</v>
      </c>
      <c r="EA37" s="5">
        <f>CS37*'MASTER SHEET'!D37</f>
        <v>0</v>
      </c>
      <c r="EB37" s="9"/>
    </row>
    <row r="38" spans="1:132" ht="15.75" x14ac:dyDescent="0.25">
      <c r="A38" s="25">
        <f>'MASTER SHEET'!A38</f>
        <v>36</v>
      </c>
      <c r="B38" s="26" t="str">
        <f>'MASTER SHEET'!B38</f>
        <v xml:space="preserve">BASE. HOUSING </v>
      </c>
      <c r="C38" s="27">
        <f>'MASTER SHEET'!C38</f>
        <v>5027236</v>
      </c>
      <c r="D38" s="56">
        <v>0</v>
      </c>
      <c r="E38" s="57">
        <f>' WIP '!F38</f>
        <v>0</v>
      </c>
      <c r="F38" s="58">
        <v>0</v>
      </c>
      <c r="G38" s="59">
        <f t="shared" si="63"/>
        <v>0</v>
      </c>
      <c r="H38" s="57">
        <f>' WIP '!J38</f>
        <v>0</v>
      </c>
      <c r="I38" s="58">
        <v>0</v>
      </c>
      <c r="J38" s="59">
        <f t="shared" si="64"/>
        <v>0</v>
      </c>
      <c r="K38" s="57">
        <f>' WIP '!N38</f>
        <v>0</v>
      </c>
      <c r="L38" s="58"/>
      <c r="M38" s="59">
        <f t="shared" si="65"/>
        <v>0</v>
      </c>
      <c r="N38" s="57">
        <f>' WIP '!R38</f>
        <v>0</v>
      </c>
      <c r="O38" s="58">
        <v>0</v>
      </c>
      <c r="P38" s="59">
        <f t="shared" si="66"/>
        <v>0</v>
      </c>
      <c r="Q38" s="57">
        <f>' WIP '!V38</f>
        <v>0</v>
      </c>
      <c r="R38" s="58">
        <v>0</v>
      </c>
      <c r="S38" s="59">
        <f t="shared" si="67"/>
        <v>0</v>
      </c>
      <c r="T38" s="57">
        <f>' WIP '!Z38</f>
        <v>0</v>
      </c>
      <c r="U38" s="58">
        <v>0</v>
      </c>
      <c r="V38" s="59">
        <f t="shared" si="68"/>
        <v>0</v>
      </c>
      <c r="W38" s="57">
        <f>' WIP '!AD38</f>
        <v>0</v>
      </c>
      <c r="X38" s="58">
        <v>0</v>
      </c>
      <c r="Y38" s="59">
        <f t="shared" si="69"/>
        <v>0</v>
      </c>
      <c r="Z38" s="57">
        <f>' WIP '!AH38</f>
        <v>0</v>
      </c>
      <c r="AA38" s="58">
        <v>0</v>
      </c>
      <c r="AB38" s="59">
        <f t="shared" si="70"/>
        <v>0</v>
      </c>
      <c r="AC38" s="57">
        <f>' WIP '!AL38</f>
        <v>0</v>
      </c>
      <c r="AD38" s="58">
        <v>0</v>
      </c>
      <c r="AE38" s="59">
        <f t="shared" si="71"/>
        <v>0</v>
      </c>
      <c r="AF38" s="57">
        <f>' WIP '!AP38</f>
        <v>0</v>
      </c>
      <c r="AG38" s="114">
        <v>0</v>
      </c>
      <c r="AH38" s="59">
        <f t="shared" si="72"/>
        <v>0</v>
      </c>
      <c r="AI38" s="57">
        <f>' WIP '!AT38</f>
        <v>0</v>
      </c>
      <c r="AJ38" s="58">
        <v>0</v>
      </c>
      <c r="AK38" s="59">
        <f t="shared" si="73"/>
        <v>0</v>
      </c>
      <c r="AL38" s="57">
        <f>' WIP '!AX38</f>
        <v>0</v>
      </c>
      <c r="AM38" s="58"/>
      <c r="AN38" s="59">
        <f t="shared" si="74"/>
        <v>0</v>
      </c>
      <c r="AO38" s="57">
        <f>' WIP '!BB38</f>
        <v>0</v>
      </c>
      <c r="AP38" s="58">
        <v>0</v>
      </c>
      <c r="AQ38" s="59">
        <f t="shared" si="75"/>
        <v>0</v>
      </c>
      <c r="AR38" s="57">
        <f>' WIP '!BF38</f>
        <v>0</v>
      </c>
      <c r="AS38" s="58">
        <v>0</v>
      </c>
      <c r="AT38" s="59">
        <f t="shared" si="76"/>
        <v>0</v>
      </c>
      <c r="AU38" s="57">
        <f>' WIP '!BJ38</f>
        <v>0</v>
      </c>
      <c r="AV38" s="58">
        <v>0</v>
      </c>
      <c r="AW38" s="59">
        <f t="shared" si="77"/>
        <v>0</v>
      </c>
      <c r="AX38" s="57">
        <f>' WIP '!BN38</f>
        <v>0</v>
      </c>
      <c r="AY38" s="58">
        <v>0</v>
      </c>
      <c r="AZ38" s="59">
        <f t="shared" si="78"/>
        <v>0</v>
      </c>
      <c r="BA38" s="57">
        <f>' WIP '!BR38</f>
        <v>0</v>
      </c>
      <c r="BB38" s="58">
        <v>0</v>
      </c>
      <c r="BC38" s="59">
        <f t="shared" si="79"/>
        <v>0</v>
      </c>
      <c r="BD38" s="57">
        <f>' WIP '!BV38</f>
        <v>0</v>
      </c>
      <c r="BE38" s="58">
        <v>0</v>
      </c>
      <c r="BF38" s="59">
        <f t="shared" si="80"/>
        <v>0</v>
      </c>
      <c r="BG38" s="57">
        <f>' WIP '!BZ38</f>
        <v>0</v>
      </c>
      <c r="BH38" s="58"/>
      <c r="BI38" s="59">
        <f t="shared" si="81"/>
        <v>0</v>
      </c>
      <c r="BJ38" s="57">
        <f>' WIP '!CD38</f>
        <v>0</v>
      </c>
      <c r="BK38" s="58">
        <v>0</v>
      </c>
      <c r="BL38" s="59">
        <f t="shared" si="82"/>
        <v>0</v>
      </c>
      <c r="BM38" s="57">
        <f>' WIP '!CH38</f>
        <v>0</v>
      </c>
      <c r="BN38" s="58">
        <v>0</v>
      </c>
      <c r="BO38" s="59">
        <f t="shared" si="83"/>
        <v>0</v>
      </c>
      <c r="BP38" s="57">
        <f>' WIP '!CL38</f>
        <v>0</v>
      </c>
      <c r="BQ38" s="58"/>
      <c r="BR38" s="59">
        <f t="shared" si="84"/>
        <v>0</v>
      </c>
      <c r="BS38" s="57">
        <f>' WIP '!CP38</f>
        <v>0</v>
      </c>
      <c r="BT38" s="58">
        <v>0</v>
      </c>
      <c r="BU38" s="59">
        <f t="shared" si="85"/>
        <v>0</v>
      </c>
      <c r="BV38" s="57">
        <f>' WIP '!CT38</f>
        <v>0</v>
      </c>
      <c r="BW38" s="28">
        <v>0</v>
      </c>
      <c r="BX38" s="59">
        <f t="shared" si="86"/>
        <v>0</v>
      </c>
      <c r="BY38" s="57">
        <f>' WIP '!CX38</f>
        <v>0</v>
      </c>
      <c r="BZ38" s="58">
        <v>0</v>
      </c>
      <c r="CA38" s="59">
        <f t="shared" si="87"/>
        <v>0</v>
      </c>
      <c r="CB38" s="57">
        <f>' WIP '!DB38</f>
        <v>0</v>
      </c>
      <c r="CC38" s="58">
        <v>0</v>
      </c>
      <c r="CD38" s="59">
        <f t="shared" si="88"/>
        <v>0</v>
      </c>
      <c r="CE38" s="57">
        <f>' WIP '!DF38</f>
        <v>0</v>
      </c>
      <c r="CF38" s="58">
        <v>0</v>
      </c>
      <c r="CG38" s="59">
        <f t="shared" si="89"/>
        <v>0</v>
      </c>
      <c r="CH38" s="57">
        <f>' WIP '!DJ38</f>
        <v>0</v>
      </c>
      <c r="CI38" s="58">
        <v>0</v>
      </c>
      <c r="CJ38" s="59">
        <f t="shared" si="90"/>
        <v>0</v>
      </c>
      <c r="CK38" s="57">
        <f>' WIP '!DN38</f>
        <v>0</v>
      </c>
      <c r="CL38" s="58">
        <v>0</v>
      </c>
      <c r="CM38" s="59">
        <f t="shared" si="91"/>
        <v>0</v>
      </c>
      <c r="CN38" s="57">
        <f>' WIP '!DR38</f>
        <v>0</v>
      </c>
      <c r="CO38" s="57"/>
      <c r="CP38" s="59">
        <f t="shared" si="92"/>
        <v>0</v>
      </c>
      <c r="CQ38" s="57">
        <f>' WIP '!DV38</f>
        <v>0</v>
      </c>
      <c r="CR38" s="58"/>
      <c r="CS38" s="59">
        <f t="shared" si="93"/>
        <v>0</v>
      </c>
      <c r="CT38" s="31">
        <f t="shared" si="94"/>
        <v>0</v>
      </c>
      <c r="CU38" s="4">
        <f t="shared" si="95"/>
        <v>0</v>
      </c>
      <c r="CV38" s="5">
        <f>D38*'MASTER SHEET'!D38</f>
        <v>0</v>
      </c>
      <c r="CW38" s="5">
        <f>G38*'MASTER SHEET'!D38</f>
        <v>0</v>
      </c>
      <c r="CX38" s="5">
        <f>J38*'MASTER SHEET'!D38</f>
        <v>0</v>
      </c>
      <c r="CY38" s="5">
        <f>M38*'MASTER SHEET'!D38</f>
        <v>0</v>
      </c>
      <c r="CZ38" s="5">
        <f>P38*'MASTER SHEET'!D38</f>
        <v>0</v>
      </c>
      <c r="DA38" s="5">
        <f>S38*'MASTER SHEET'!D38</f>
        <v>0</v>
      </c>
      <c r="DB38" s="5">
        <f>V38*'MASTER SHEET'!D38</f>
        <v>0</v>
      </c>
      <c r="DC38" s="5">
        <f>Y38*'MASTER SHEET'!D38</f>
        <v>0</v>
      </c>
      <c r="DD38" s="5">
        <f>AB38*'MASTER SHEET'!D38</f>
        <v>0</v>
      </c>
      <c r="DE38" s="5">
        <f>AE38*'MASTER SHEET'!D38</f>
        <v>0</v>
      </c>
      <c r="DF38" s="5">
        <f>AH38*'MASTER SHEET'!D38</f>
        <v>0</v>
      </c>
      <c r="DG38" s="5">
        <f>AK38*'MASTER SHEET'!D38</f>
        <v>0</v>
      </c>
      <c r="DH38" s="5">
        <f>AN38*'MASTER SHEET'!D38</f>
        <v>0</v>
      </c>
      <c r="DI38" s="5">
        <f>AQ38*'MASTER SHEET'!D38</f>
        <v>0</v>
      </c>
      <c r="DJ38" s="5">
        <f>AT38*'MASTER SHEET'!D38</f>
        <v>0</v>
      </c>
      <c r="DK38" s="5">
        <f>AW38*'MASTER SHEET'!D38</f>
        <v>0</v>
      </c>
      <c r="DL38" s="5">
        <f>AZ38*'MASTER SHEET'!D38</f>
        <v>0</v>
      </c>
      <c r="DM38" s="5">
        <f>BC38*'MASTER SHEET'!D38</f>
        <v>0</v>
      </c>
      <c r="DN38" s="5">
        <f>BF38*'MASTER SHEET'!D38</f>
        <v>0</v>
      </c>
      <c r="DO38" s="5">
        <f>BI38*'MASTER SHEET'!D38</f>
        <v>0</v>
      </c>
      <c r="DP38" s="5">
        <f>BL38*'MASTER SHEET'!D38</f>
        <v>0</v>
      </c>
      <c r="DQ38" s="5">
        <f>BO38*'MASTER SHEET'!D38</f>
        <v>0</v>
      </c>
      <c r="DR38" s="5">
        <f>BR38*'MASTER SHEET'!D38</f>
        <v>0</v>
      </c>
      <c r="DS38" s="5">
        <f>BU38*'MASTER SHEET'!D38</f>
        <v>0</v>
      </c>
      <c r="DT38" s="5">
        <f>BX38*'MASTER SHEET'!D38</f>
        <v>0</v>
      </c>
      <c r="DU38" s="5">
        <f>CA38*'MASTER SHEET'!D38</f>
        <v>0</v>
      </c>
      <c r="DV38" s="5">
        <f>CD38*'MASTER SHEET'!D38</f>
        <v>0</v>
      </c>
      <c r="DW38" s="5">
        <f>CG38*'MASTER SHEET'!D38</f>
        <v>0</v>
      </c>
      <c r="DX38" s="5">
        <f>CJ38*'MASTER SHEET'!D38</f>
        <v>0</v>
      </c>
      <c r="DY38" s="5">
        <f>CM38*'MASTER SHEET'!D38</f>
        <v>0</v>
      </c>
      <c r="DZ38" s="5">
        <f>CP38*'MASTER SHEET'!D38</f>
        <v>0</v>
      </c>
      <c r="EA38" s="5">
        <f>CS38*'MASTER SHEET'!D38</f>
        <v>0</v>
      </c>
      <c r="EB38" s="9"/>
    </row>
    <row r="39" spans="1:132" ht="15.75" x14ac:dyDescent="0.25">
      <c r="A39" s="25">
        <f>'MASTER SHEET'!A39</f>
        <v>37</v>
      </c>
      <c r="B39" s="26" t="str">
        <f>'MASTER SHEET'!B39</f>
        <v>EICHER COVER PLATE</v>
      </c>
      <c r="C39" s="27">
        <f>'MASTER SHEET'!C39</f>
        <v>5027239</v>
      </c>
      <c r="D39" s="56">
        <v>0</v>
      </c>
      <c r="E39" s="57">
        <f>' WIP '!F39</f>
        <v>600</v>
      </c>
      <c r="F39" s="58">
        <v>600</v>
      </c>
      <c r="G39" s="59">
        <f t="shared" si="63"/>
        <v>0</v>
      </c>
      <c r="H39" s="57">
        <f>' WIP '!J39</f>
        <v>0</v>
      </c>
      <c r="I39" s="58">
        <v>0</v>
      </c>
      <c r="J39" s="59">
        <f t="shared" si="64"/>
        <v>0</v>
      </c>
      <c r="K39" s="57">
        <f>' WIP '!N39</f>
        <v>0</v>
      </c>
      <c r="L39" s="58"/>
      <c r="M39" s="59">
        <f t="shared" si="65"/>
        <v>0</v>
      </c>
      <c r="N39" s="57">
        <f>' WIP '!R39</f>
        <v>0</v>
      </c>
      <c r="O39" s="58">
        <v>0</v>
      </c>
      <c r="P39" s="59">
        <f t="shared" si="66"/>
        <v>0</v>
      </c>
      <c r="Q39" s="57">
        <f>' WIP '!V39</f>
        <v>0</v>
      </c>
      <c r="R39" s="58">
        <v>0</v>
      </c>
      <c r="S39" s="59">
        <f t="shared" si="67"/>
        <v>0</v>
      </c>
      <c r="T39" s="57">
        <f>' WIP '!Z39</f>
        <v>0</v>
      </c>
      <c r="U39" s="58">
        <v>0</v>
      </c>
      <c r="V39" s="59">
        <f t="shared" si="68"/>
        <v>0</v>
      </c>
      <c r="W39" s="57">
        <f>' WIP '!AD39</f>
        <v>800</v>
      </c>
      <c r="X39" s="58">
        <v>100</v>
      </c>
      <c r="Y39" s="59">
        <f t="shared" si="69"/>
        <v>700</v>
      </c>
      <c r="Z39" s="57">
        <f>' WIP '!AH39</f>
        <v>0</v>
      </c>
      <c r="AA39" s="58">
        <v>0</v>
      </c>
      <c r="AB39" s="59">
        <f t="shared" si="70"/>
        <v>700</v>
      </c>
      <c r="AC39" s="57">
        <f>' WIP '!AL39</f>
        <v>0</v>
      </c>
      <c r="AD39" s="58">
        <v>0</v>
      </c>
      <c r="AE39" s="59">
        <f t="shared" si="71"/>
        <v>700</v>
      </c>
      <c r="AF39" s="57">
        <f>' WIP '!AP39</f>
        <v>34</v>
      </c>
      <c r="AG39" s="114">
        <v>0</v>
      </c>
      <c r="AH39" s="59">
        <f t="shared" si="72"/>
        <v>734</v>
      </c>
      <c r="AI39" s="57">
        <f>' WIP '!AT39</f>
        <v>0</v>
      </c>
      <c r="AJ39" s="58">
        <v>0</v>
      </c>
      <c r="AK39" s="59">
        <f t="shared" si="73"/>
        <v>734</v>
      </c>
      <c r="AL39" s="57">
        <f>' WIP '!AX39</f>
        <v>0</v>
      </c>
      <c r="AM39" s="58"/>
      <c r="AN39" s="59">
        <f t="shared" si="74"/>
        <v>734</v>
      </c>
      <c r="AO39" s="57">
        <f>' WIP '!BB39</f>
        <v>0</v>
      </c>
      <c r="AP39" s="58">
        <v>0</v>
      </c>
      <c r="AQ39" s="59">
        <f t="shared" si="75"/>
        <v>734</v>
      </c>
      <c r="AR39" s="57">
        <f>' WIP '!BF39</f>
        <v>0</v>
      </c>
      <c r="AS39" s="58">
        <v>0</v>
      </c>
      <c r="AT39" s="59">
        <f t="shared" si="76"/>
        <v>734</v>
      </c>
      <c r="AU39" s="57">
        <f>' WIP '!BJ39</f>
        <v>0</v>
      </c>
      <c r="AV39" s="58">
        <v>0</v>
      </c>
      <c r="AW39" s="59">
        <f t="shared" si="77"/>
        <v>734</v>
      </c>
      <c r="AX39" s="57">
        <f>' WIP '!BN39</f>
        <v>0</v>
      </c>
      <c r="AY39" s="58">
        <v>0</v>
      </c>
      <c r="AZ39" s="59">
        <f t="shared" si="78"/>
        <v>734</v>
      </c>
      <c r="BA39" s="57">
        <f>' WIP '!BR39</f>
        <v>0</v>
      </c>
      <c r="BB39" s="58">
        <v>0</v>
      </c>
      <c r="BC39" s="59">
        <f t="shared" si="79"/>
        <v>734</v>
      </c>
      <c r="BD39" s="57">
        <f>' WIP '!BV39</f>
        <v>0</v>
      </c>
      <c r="BE39" s="58">
        <v>0</v>
      </c>
      <c r="BF39" s="59">
        <f t="shared" si="80"/>
        <v>734</v>
      </c>
      <c r="BG39" s="57">
        <f>' WIP '!BZ39</f>
        <v>0</v>
      </c>
      <c r="BH39" s="58"/>
      <c r="BI39" s="59">
        <f t="shared" si="81"/>
        <v>734</v>
      </c>
      <c r="BJ39" s="57">
        <f>' WIP '!CD39</f>
        <v>0</v>
      </c>
      <c r="BK39" s="58">
        <v>0</v>
      </c>
      <c r="BL39" s="59">
        <f t="shared" si="82"/>
        <v>734</v>
      </c>
      <c r="BM39" s="57">
        <f>' WIP '!CH39</f>
        <v>0</v>
      </c>
      <c r="BN39" s="58">
        <v>0</v>
      </c>
      <c r="BO39" s="59">
        <f t="shared" si="83"/>
        <v>734</v>
      </c>
      <c r="BP39" s="57">
        <f>' WIP '!CL39</f>
        <v>0</v>
      </c>
      <c r="BQ39" s="58"/>
      <c r="BR39" s="59">
        <f t="shared" si="84"/>
        <v>734</v>
      </c>
      <c r="BS39" s="57">
        <f>' WIP '!CP39</f>
        <v>0</v>
      </c>
      <c r="BT39" s="58">
        <v>0</v>
      </c>
      <c r="BU39" s="59">
        <f t="shared" si="85"/>
        <v>734</v>
      </c>
      <c r="BV39" s="57">
        <f>' WIP '!CT39</f>
        <v>0</v>
      </c>
      <c r="BW39" s="28">
        <v>0</v>
      </c>
      <c r="BX39" s="59">
        <f t="shared" si="86"/>
        <v>734</v>
      </c>
      <c r="BY39" s="57">
        <f>' WIP '!CX39</f>
        <v>0</v>
      </c>
      <c r="BZ39" s="58">
        <v>100</v>
      </c>
      <c r="CA39" s="59">
        <f t="shared" si="87"/>
        <v>634</v>
      </c>
      <c r="CB39" s="57">
        <f>' WIP '!DB39</f>
        <v>0</v>
      </c>
      <c r="CC39" s="58">
        <v>0</v>
      </c>
      <c r="CD39" s="59">
        <f t="shared" si="88"/>
        <v>634</v>
      </c>
      <c r="CE39" s="57">
        <f>' WIP '!DF39</f>
        <v>0</v>
      </c>
      <c r="CF39" s="58">
        <v>634</v>
      </c>
      <c r="CG39" s="59">
        <f t="shared" si="89"/>
        <v>0</v>
      </c>
      <c r="CH39" s="57">
        <f>' WIP '!DJ39</f>
        <v>0</v>
      </c>
      <c r="CI39" s="58">
        <v>0</v>
      </c>
      <c r="CJ39" s="59">
        <f t="shared" si="90"/>
        <v>0</v>
      </c>
      <c r="CK39" s="57">
        <f>' WIP '!DN39</f>
        <v>0</v>
      </c>
      <c r="CL39" s="58">
        <v>0</v>
      </c>
      <c r="CM39" s="59">
        <f t="shared" si="91"/>
        <v>0</v>
      </c>
      <c r="CN39" s="57">
        <f>' WIP '!DR39</f>
        <v>0</v>
      </c>
      <c r="CO39" s="57"/>
      <c r="CP39" s="59">
        <f t="shared" si="92"/>
        <v>0</v>
      </c>
      <c r="CQ39" s="57">
        <f>' WIP '!DV39</f>
        <v>0</v>
      </c>
      <c r="CR39" s="58"/>
      <c r="CS39" s="59">
        <f t="shared" si="93"/>
        <v>0</v>
      </c>
      <c r="CT39" s="31">
        <f t="shared" si="94"/>
        <v>1434</v>
      </c>
      <c r="CU39" s="4">
        <f t="shared" si="95"/>
        <v>1434</v>
      </c>
      <c r="CV39" s="5">
        <f>D39*'MASTER SHEET'!D39</f>
        <v>0</v>
      </c>
      <c r="CW39" s="5">
        <f>G39*'MASTER SHEET'!D39</f>
        <v>0</v>
      </c>
      <c r="CX39" s="5">
        <f>J39*'MASTER SHEET'!D39</f>
        <v>0</v>
      </c>
      <c r="CY39" s="5">
        <f>M39*'MASTER SHEET'!D39</f>
        <v>0</v>
      </c>
      <c r="CZ39" s="5">
        <f>P39*'MASTER SHEET'!D39</f>
        <v>0</v>
      </c>
      <c r="DA39" s="5">
        <f>S39*'MASTER SHEET'!D39</f>
        <v>0</v>
      </c>
      <c r="DB39" s="5">
        <f>V39*'MASTER SHEET'!D39</f>
        <v>0</v>
      </c>
      <c r="DC39" s="5">
        <f>Y39*'MASTER SHEET'!D39</f>
        <v>13839</v>
      </c>
      <c r="DD39" s="5">
        <f>AB39*'MASTER SHEET'!D39</f>
        <v>13839</v>
      </c>
      <c r="DE39" s="5">
        <f>AE39*'MASTER SHEET'!D39</f>
        <v>13839</v>
      </c>
      <c r="DF39" s="5">
        <f>AH39*'MASTER SHEET'!D39</f>
        <v>14511.18</v>
      </c>
      <c r="DG39" s="5">
        <f>AK39*'MASTER SHEET'!D39</f>
        <v>14511.18</v>
      </c>
      <c r="DH39" s="5">
        <f>AN39*'MASTER SHEET'!D39</f>
        <v>14511.18</v>
      </c>
      <c r="DI39" s="5">
        <f>AQ39*'MASTER SHEET'!D39</f>
        <v>14511.18</v>
      </c>
      <c r="DJ39" s="5">
        <f>AT39*'MASTER SHEET'!D39</f>
        <v>14511.18</v>
      </c>
      <c r="DK39" s="5">
        <f>AW39*'MASTER SHEET'!D39</f>
        <v>14511.18</v>
      </c>
      <c r="DL39" s="5">
        <f>AZ39*'MASTER SHEET'!D39</f>
        <v>14511.18</v>
      </c>
      <c r="DM39" s="5">
        <f>BC39*'MASTER SHEET'!D39</f>
        <v>14511.18</v>
      </c>
      <c r="DN39" s="5">
        <f>BF39*'MASTER SHEET'!D39</f>
        <v>14511.18</v>
      </c>
      <c r="DO39" s="5">
        <f>BI39*'MASTER SHEET'!D39</f>
        <v>14511.18</v>
      </c>
      <c r="DP39" s="5">
        <f>BL39*'MASTER SHEET'!D39</f>
        <v>14511.18</v>
      </c>
      <c r="DQ39" s="5">
        <f>BO39*'MASTER SHEET'!D39</f>
        <v>14511.18</v>
      </c>
      <c r="DR39" s="5">
        <f>BR39*'MASTER SHEET'!D39</f>
        <v>14511.18</v>
      </c>
      <c r="DS39" s="5">
        <f>BU39*'MASTER SHEET'!D39</f>
        <v>14511.18</v>
      </c>
      <c r="DT39" s="5">
        <f>BX39*'MASTER SHEET'!D39</f>
        <v>14511.18</v>
      </c>
      <c r="DU39" s="5">
        <f>CA39*'MASTER SHEET'!D39</f>
        <v>12534.18</v>
      </c>
      <c r="DV39" s="5">
        <f>CD39*'MASTER SHEET'!D39</f>
        <v>12534.18</v>
      </c>
      <c r="DW39" s="5">
        <f>CG39*'MASTER SHEET'!D39</f>
        <v>0</v>
      </c>
      <c r="DX39" s="5">
        <f>CJ39*'MASTER SHEET'!D39</f>
        <v>0</v>
      </c>
      <c r="DY39" s="5">
        <f>CM39*'MASTER SHEET'!D39</f>
        <v>0</v>
      </c>
      <c r="DZ39" s="5">
        <f>CP39*'MASTER SHEET'!D39</f>
        <v>0</v>
      </c>
      <c r="EA39" s="5">
        <f>CS39*'MASTER SHEET'!D39</f>
        <v>0</v>
      </c>
      <c r="EB39" s="143">
        <f>VLOOKUP($C39,'[1]GREEN LEV.₹'!$I$2:$K$54,3,0)</f>
        <v>100</v>
      </c>
    </row>
    <row r="40" spans="1:132" ht="15.75" x14ac:dyDescent="0.25">
      <c r="A40" s="25">
        <f>'MASTER SHEET'!A40</f>
        <v>38</v>
      </c>
      <c r="B40" s="26" t="str">
        <f>'MASTER SHEET'!B40</f>
        <v>PIPE ASY PLASTIC</v>
      </c>
      <c r="C40" s="27">
        <f>'MASTER SHEET'!C40</f>
        <v>5027831</v>
      </c>
      <c r="D40" s="56">
        <v>0</v>
      </c>
      <c r="E40" s="57">
        <f>' WIP '!F40</f>
        <v>0</v>
      </c>
      <c r="F40" s="58">
        <v>0</v>
      </c>
      <c r="G40" s="59">
        <f t="shared" si="63"/>
        <v>0</v>
      </c>
      <c r="H40" s="57">
        <f>' WIP '!J40</f>
        <v>0</v>
      </c>
      <c r="I40" s="58">
        <v>0</v>
      </c>
      <c r="J40" s="59">
        <f t="shared" si="64"/>
        <v>0</v>
      </c>
      <c r="K40" s="57">
        <f>' WIP '!N40</f>
        <v>0</v>
      </c>
      <c r="L40" s="58"/>
      <c r="M40" s="59">
        <f t="shared" si="65"/>
        <v>0</v>
      </c>
      <c r="N40" s="57">
        <f>' WIP '!R40</f>
        <v>0</v>
      </c>
      <c r="O40" s="58">
        <v>0</v>
      </c>
      <c r="P40" s="59">
        <f t="shared" si="66"/>
        <v>0</v>
      </c>
      <c r="Q40" s="57">
        <f>' WIP '!V40</f>
        <v>0</v>
      </c>
      <c r="R40" s="58">
        <v>0</v>
      </c>
      <c r="S40" s="59">
        <f t="shared" si="67"/>
        <v>0</v>
      </c>
      <c r="T40" s="57">
        <f>' WIP '!Z40</f>
        <v>0</v>
      </c>
      <c r="U40" s="58">
        <v>0</v>
      </c>
      <c r="V40" s="59">
        <f t="shared" si="68"/>
        <v>0</v>
      </c>
      <c r="W40" s="57">
        <f>' WIP '!AD40</f>
        <v>0</v>
      </c>
      <c r="X40" s="58">
        <v>0</v>
      </c>
      <c r="Y40" s="59">
        <f t="shared" si="69"/>
        <v>0</v>
      </c>
      <c r="Z40" s="57">
        <f>' WIP '!AH40</f>
        <v>0</v>
      </c>
      <c r="AA40" s="58">
        <v>0</v>
      </c>
      <c r="AB40" s="59">
        <f t="shared" si="70"/>
        <v>0</v>
      </c>
      <c r="AC40" s="57">
        <f>' WIP '!AL40</f>
        <v>0</v>
      </c>
      <c r="AD40" s="58">
        <v>0</v>
      </c>
      <c r="AE40" s="59">
        <f t="shared" si="71"/>
        <v>0</v>
      </c>
      <c r="AF40" s="57">
        <f>' WIP '!AP40</f>
        <v>0</v>
      </c>
      <c r="AG40" s="114">
        <v>0</v>
      </c>
      <c r="AH40" s="59">
        <f t="shared" si="72"/>
        <v>0</v>
      </c>
      <c r="AI40" s="57">
        <f>' WIP '!AT40</f>
        <v>0</v>
      </c>
      <c r="AJ40" s="58">
        <v>0</v>
      </c>
      <c r="AK40" s="59">
        <f t="shared" si="73"/>
        <v>0</v>
      </c>
      <c r="AL40" s="57">
        <f>' WIP '!AX40</f>
        <v>0</v>
      </c>
      <c r="AM40" s="58"/>
      <c r="AN40" s="59">
        <f t="shared" si="74"/>
        <v>0</v>
      </c>
      <c r="AO40" s="57">
        <f>' WIP '!BB40</f>
        <v>0</v>
      </c>
      <c r="AP40" s="58">
        <v>0</v>
      </c>
      <c r="AQ40" s="59">
        <f t="shared" si="75"/>
        <v>0</v>
      </c>
      <c r="AR40" s="57">
        <f>' WIP '!BF40</f>
        <v>0</v>
      </c>
      <c r="AS40" s="58">
        <v>0</v>
      </c>
      <c r="AT40" s="59">
        <f t="shared" si="76"/>
        <v>0</v>
      </c>
      <c r="AU40" s="57">
        <f>' WIP '!BJ40</f>
        <v>0</v>
      </c>
      <c r="AV40" s="58">
        <v>0</v>
      </c>
      <c r="AW40" s="59">
        <f t="shared" si="77"/>
        <v>0</v>
      </c>
      <c r="AX40" s="57">
        <f>' WIP '!BN40</f>
        <v>0</v>
      </c>
      <c r="AY40" s="58">
        <v>0</v>
      </c>
      <c r="AZ40" s="59">
        <f t="shared" si="78"/>
        <v>0</v>
      </c>
      <c r="BA40" s="57">
        <f>' WIP '!BR40</f>
        <v>0</v>
      </c>
      <c r="BB40" s="58">
        <v>0</v>
      </c>
      <c r="BC40" s="59">
        <f t="shared" si="79"/>
        <v>0</v>
      </c>
      <c r="BD40" s="57">
        <f>' WIP '!BV40</f>
        <v>0</v>
      </c>
      <c r="BE40" s="58">
        <v>0</v>
      </c>
      <c r="BF40" s="59">
        <f t="shared" si="80"/>
        <v>0</v>
      </c>
      <c r="BG40" s="57">
        <f>' WIP '!BZ40</f>
        <v>0</v>
      </c>
      <c r="BH40" s="58"/>
      <c r="BI40" s="59">
        <f t="shared" si="81"/>
        <v>0</v>
      </c>
      <c r="BJ40" s="57">
        <f>' WIP '!CD40</f>
        <v>0</v>
      </c>
      <c r="BK40" s="58">
        <v>0</v>
      </c>
      <c r="BL40" s="59">
        <f t="shared" si="82"/>
        <v>0</v>
      </c>
      <c r="BM40" s="57">
        <f>' WIP '!CH40</f>
        <v>0</v>
      </c>
      <c r="BN40" s="58">
        <v>0</v>
      </c>
      <c r="BO40" s="59">
        <f t="shared" si="83"/>
        <v>0</v>
      </c>
      <c r="BP40" s="57">
        <f>' WIP '!CL40</f>
        <v>0</v>
      </c>
      <c r="BQ40" s="58"/>
      <c r="BR40" s="59">
        <f t="shared" si="84"/>
        <v>0</v>
      </c>
      <c r="BS40" s="57">
        <f>' WIP '!CP40</f>
        <v>0</v>
      </c>
      <c r="BT40" s="58">
        <v>0</v>
      </c>
      <c r="BU40" s="59">
        <f t="shared" si="85"/>
        <v>0</v>
      </c>
      <c r="BV40" s="57">
        <f>' WIP '!CT40</f>
        <v>0</v>
      </c>
      <c r="BW40" s="28">
        <v>0</v>
      </c>
      <c r="BX40" s="59">
        <f t="shared" si="86"/>
        <v>0</v>
      </c>
      <c r="BY40" s="57">
        <f>' WIP '!CX40</f>
        <v>0</v>
      </c>
      <c r="BZ40" s="58">
        <v>0</v>
      </c>
      <c r="CA40" s="59">
        <f t="shared" si="87"/>
        <v>0</v>
      </c>
      <c r="CB40" s="57">
        <f>' WIP '!DB40</f>
        <v>0</v>
      </c>
      <c r="CC40" s="58">
        <v>0</v>
      </c>
      <c r="CD40" s="59">
        <f t="shared" si="88"/>
        <v>0</v>
      </c>
      <c r="CE40" s="57">
        <f>' WIP '!DF40</f>
        <v>0</v>
      </c>
      <c r="CF40" s="58">
        <v>0</v>
      </c>
      <c r="CG40" s="59">
        <f t="shared" si="89"/>
        <v>0</v>
      </c>
      <c r="CH40" s="57">
        <f>' WIP '!DJ40</f>
        <v>0</v>
      </c>
      <c r="CI40" s="58">
        <v>0</v>
      </c>
      <c r="CJ40" s="59">
        <f t="shared" si="90"/>
        <v>0</v>
      </c>
      <c r="CK40" s="57">
        <f>' WIP '!DN40</f>
        <v>0</v>
      </c>
      <c r="CL40" s="58">
        <v>0</v>
      </c>
      <c r="CM40" s="59">
        <f t="shared" si="91"/>
        <v>0</v>
      </c>
      <c r="CN40" s="57">
        <f>' WIP '!DR40</f>
        <v>0</v>
      </c>
      <c r="CO40" s="57"/>
      <c r="CP40" s="59">
        <f t="shared" si="92"/>
        <v>0</v>
      </c>
      <c r="CQ40" s="57">
        <f>' WIP '!DV40</f>
        <v>0</v>
      </c>
      <c r="CR40" s="58"/>
      <c r="CS40" s="59">
        <f t="shared" si="93"/>
        <v>0</v>
      </c>
      <c r="CT40" s="31">
        <f t="shared" si="94"/>
        <v>0</v>
      </c>
      <c r="CU40" s="4">
        <f t="shared" si="95"/>
        <v>0</v>
      </c>
      <c r="CV40" s="5">
        <f>D40*'MASTER SHEET'!D40</f>
        <v>0</v>
      </c>
      <c r="CW40" s="5">
        <f>G40*'MASTER SHEET'!D40</f>
        <v>0</v>
      </c>
      <c r="CX40" s="5">
        <f>J40*'MASTER SHEET'!D40</f>
        <v>0</v>
      </c>
      <c r="CY40" s="5">
        <f>M40*'MASTER SHEET'!D40</f>
        <v>0</v>
      </c>
      <c r="CZ40" s="5">
        <f>P40*'MASTER SHEET'!D40</f>
        <v>0</v>
      </c>
      <c r="DA40" s="5">
        <f>S40*'MASTER SHEET'!D40</f>
        <v>0</v>
      </c>
      <c r="DB40" s="5">
        <f>V40*'MASTER SHEET'!D40</f>
        <v>0</v>
      </c>
      <c r="DC40" s="5">
        <f>Y40*'MASTER SHEET'!D40</f>
        <v>0</v>
      </c>
      <c r="DD40" s="5">
        <f>AB40*'MASTER SHEET'!D40</f>
        <v>0</v>
      </c>
      <c r="DE40" s="5">
        <f>AE40*'MASTER SHEET'!D40</f>
        <v>0</v>
      </c>
      <c r="DF40" s="5">
        <f>AH40*'MASTER SHEET'!D40</f>
        <v>0</v>
      </c>
      <c r="DG40" s="5">
        <f>AK40*'MASTER SHEET'!D40</f>
        <v>0</v>
      </c>
      <c r="DH40" s="5">
        <f>AN40*'MASTER SHEET'!D40</f>
        <v>0</v>
      </c>
      <c r="DI40" s="5">
        <f>AQ40*'MASTER SHEET'!D40</f>
        <v>0</v>
      </c>
      <c r="DJ40" s="5">
        <f>AT40*'MASTER SHEET'!D40</f>
        <v>0</v>
      </c>
      <c r="DK40" s="5">
        <f>AW40*'MASTER SHEET'!D40</f>
        <v>0</v>
      </c>
      <c r="DL40" s="5">
        <f>AZ40*'MASTER SHEET'!D40</f>
        <v>0</v>
      </c>
      <c r="DM40" s="5">
        <f>BC40*'MASTER SHEET'!D40</f>
        <v>0</v>
      </c>
      <c r="DN40" s="5">
        <f>BF40*'MASTER SHEET'!D40</f>
        <v>0</v>
      </c>
      <c r="DO40" s="5">
        <f>BI40*'MASTER SHEET'!D40</f>
        <v>0</v>
      </c>
      <c r="DP40" s="5">
        <f>BL40*'MASTER SHEET'!D40</f>
        <v>0</v>
      </c>
      <c r="DQ40" s="5">
        <f>BO40*'MASTER SHEET'!D40</f>
        <v>0</v>
      </c>
      <c r="DR40" s="5">
        <f>BR40*'MASTER SHEET'!D40</f>
        <v>0</v>
      </c>
      <c r="DS40" s="5">
        <f>BU40*'MASTER SHEET'!D40</f>
        <v>0</v>
      </c>
      <c r="DT40" s="5">
        <f>BX40*'MASTER SHEET'!D40</f>
        <v>0</v>
      </c>
      <c r="DU40" s="5">
        <f>CA40*'MASTER SHEET'!D40</f>
        <v>0</v>
      </c>
      <c r="DV40" s="5">
        <f>CD40*'MASTER SHEET'!D40</f>
        <v>0</v>
      </c>
      <c r="DW40" s="5">
        <f>CG40*'MASTER SHEET'!D40</f>
        <v>0</v>
      </c>
      <c r="DX40" s="5">
        <f>CJ40*'MASTER SHEET'!D40</f>
        <v>0</v>
      </c>
      <c r="DY40" s="5">
        <f>CM40*'MASTER SHEET'!D40</f>
        <v>0</v>
      </c>
      <c r="DZ40" s="5">
        <f>CP40*'MASTER SHEET'!D40</f>
        <v>0</v>
      </c>
      <c r="EA40" s="5">
        <f>CS40*'MASTER SHEET'!D40</f>
        <v>0</v>
      </c>
      <c r="EB40" s="9"/>
    </row>
    <row r="41" spans="1:132" ht="15.75" x14ac:dyDescent="0.25">
      <c r="A41" s="25">
        <f>'MASTER SHEET'!A41</f>
        <v>39</v>
      </c>
      <c r="B41" s="26" t="str">
        <f>'MASTER SHEET'!B41</f>
        <v>PIPE ASY PLASTIC</v>
      </c>
      <c r="C41" s="27">
        <f>'MASTER SHEET'!C41</f>
        <v>5027832</v>
      </c>
      <c r="D41" s="56">
        <v>0</v>
      </c>
      <c r="E41" s="57">
        <f>' WIP '!F41</f>
        <v>0</v>
      </c>
      <c r="F41" s="58">
        <v>0</v>
      </c>
      <c r="G41" s="59">
        <f t="shared" si="63"/>
        <v>0</v>
      </c>
      <c r="H41" s="57">
        <f>' WIP '!J41</f>
        <v>0</v>
      </c>
      <c r="I41" s="58">
        <v>0</v>
      </c>
      <c r="J41" s="59">
        <f t="shared" si="64"/>
        <v>0</v>
      </c>
      <c r="K41" s="57">
        <f>' WIP '!N41</f>
        <v>0</v>
      </c>
      <c r="L41" s="58"/>
      <c r="M41" s="59">
        <f t="shared" si="65"/>
        <v>0</v>
      </c>
      <c r="N41" s="57">
        <f>' WIP '!R41</f>
        <v>0</v>
      </c>
      <c r="O41" s="58">
        <v>0</v>
      </c>
      <c r="P41" s="59">
        <f t="shared" si="66"/>
        <v>0</v>
      </c>
      <c r="Q41" s="57">
        <f>' WIP '!V41</f>
        <v>0</v>
      </c>
      <c r="R41" s="58">
        <v>0</v>
      </c>
      <c r="S41" s="59">
        <f t="shared" si="67"/>
        <v>0</v>
      </c>
      <c r="T41" s="57">
        <f>' WIP '!Z41</f>
        <v>0</v>
      </c>
      <c r="U41" s="58">
        <v>0</v>
      </c>
      <c r="V41" s="59">
        <f t="shared" si="68"/>
        <v>0</v>
      </c>
      <c r="W41" s="57">
        <f>' WIP '!AD41</f>
        <v>0</v>
      </c>
      <c r="X41" s="58">
        <v>0</v>
      </c>
      <c r="Y41" s="59">
        <f t="shared" si="69"/>
        <v>0</v>
      </c>
      <c r="Z41" s="57">
        <f>' WIP '!AH41</f>
        <v>0</v>
      </c>
      <c r="AA41" s="58">
        <v>0</v>
      </c>
      <c r="AB41" s="59">
        <f t="shared" si="70"/>
        <v>0</v>
      </c>
      <c r="AC41" s="57">
        <f>' WIP '!AL41</f>
        <v>0</v>
      </c>
      <c r="AD41" s="58">
        <v>0</v>
      </c>
      <c r="AE41" s="59">
        <f t="shared" si="71"/>
        <v>0</v>
      </c>
      <c r="AF41" s="57">
        <f>' WIP '!AP41</f>
        <v>0</v>
      </c>
      <c r="AG41" s="114">
        <v>0</v>
      </c>
      <c r="AH41" s="59">
        <f t="shared" si="72"/>
        <v>0</v>
      </c>
      <c r="AI41" s="57">
        <f>' WIP '!AT41</f>
        <v>0</v>
      </c>
      <c r="AJ41" s="58">
        <v>0</v>
      </c>
      <c r="AK41" s="59">
        <f t="shared" si="73"/>
        <v>0</v>
      </c>
      <c r="AL41" s="57">
        <f>' WIP '!AX41</f>
        <v>0</v>
      </c>
      <c r="AM41" s="58"/>
      <c r="AN41" s="59">
        <f t="shared" si="74"/>
        <v>0</v>
      </c>
      <c r="AO41" s="57">
        <f>' WIP '!BB41</f>
        <v>0</v>
      </c>
      <c r="AP41" s="58">
        <v>0</v>
      </c>
      <c r="AQ41" s="59">
        <f t="shared" si="75"/>
        <v>0</v>
      </c>
      <c r="AR41" s="57">
        <f>' WIP '!BF41</f>
        <v>0</v>
      </c>
      <c r="AS41" s="58">
        <v>0</v>
      </c>
      <c r="AT41" s="59">
        <f t="shared" si="76"/>
        <v>0</v>
      </c>
      <c r="AU41" s="57">
        <f>' WIP '!BJ41</f>
        <v>0</v>
      </c>
      <c r="AV41" s="58">
        <v>0</v>
      </c>
      <c r="AW41" s="59">
        <f t="shared" si="77"/>
        <v>0</v>
      </c>
      <c r="AX41" s="57">
        <f>' WIP '!BN41</f>
        <v>0</v>
      </c>
      <c r="AY41" s="58">
        <v>0</v>
      </c>
      <c r="AZ41" s="59">
        <f t="shared" si="78"/>
        <v>0</v>
      </c>
      <c r="BA41" s="57">
        <f>' WIP '!BR41</f>
        <v>0</v>
      </c>
      <c r="BB41" s="58">
        <v>0</v>
      </c>
      <c r="BC41" s="59">
        <f t="shared" si="79"/>
        <v>0</v>
      </c>
      <c r="BD41" s="57">
        <f>' WIP '!BV41</f>
        <v>0</v>
      </c>
      <c r="BE41" s="58">
        <v>0</v>
      </c>
      <c r="BF41" s="59">
        <f t="shared" si="80"/>
        <v>0</v>
      </c>
      <c r="BG41" s="57">
        <f>' WIP '!BZ41</f>
        <v>0</v>
      </c>
      <c r="BH41" s="58"/>
      <c r="BI41" s="59">
        <f t="shared" si="81"/>
        <v>0</v>
      </c>
      <c r="BJ41" s="57">
        <f>' WIP '!CD41</f>
        <v>0</v>
      </c>
      <c r="BK41" s="58">
        <v>0</v>
      </c>
      <c r="BL41" s="59">
        <f t="shared" si="82"/>
        <v>0</v>
      </c>
      <c r="BM41" s="57">
        <f>' WIP '!CH41</f>
        <v>0</v>
      </c>
      <c r="BN41" s="58">
        <v>0</v>
      </c>
      <c r="BO41" s="59">
        <f t="shared" si="83"/>
        <v>0</v>
      </c>
      <c r="BP41" s="57">
        <f>' WIP '!CL41</f>
        <v>0</v>
      </c>
      <c r="BQ41" s="58"/>
      <c r="BR41" s="59">
        <f t="shared" si="84"/>
        <v>0</v>
      </c>
      <c r="BS41" s="57">
        <f>' WIP '!CP41</f>
        <v>0</v>
      </c>
      <c r="BT41" s="58">
        <v>0</v>
      </c>
      <c r="BU41" s="59">
        <f t="shared" si="85"/>
        <v>0</v>
      </c>
      <c r="BV41" s="57">
        <f>' WIP '!CT41</f>
        <v>0</v>
      </c>
      <c r="BW41" s="28">
        <v>0</v>
      </c>
      <c r="BX41" s="59">
        <f t="shared" si="86"/>
        <v>0</v>
      </c>
      <c r="BY41" s="57">
        <f>' WIP '!CX41</f>
        <v>0</v>
      </c>
      <c r="BZ41" s="58">
        <v>0</v>
      </c>
      <c r="CA41" s="59">
        <f t="shared" si="87"/>
        <v>0</v>
      </c>
      <c r="CB41" s="57">
        <f>' WIP '!DB41</f>
        <v>0</v>
      </c>
      <c r="CC41" s="58">
        <v>0</v>
      </c>
      <c r="CD41" s="59">
        <f t="shared" si="88"/>
        <v>0</v>
      </c>
      <c r="CE41" s="57">
        <f>' WIP '!DF41</f>
        <v>0</v>
      </c>
      <c r="CF41" s="58">
        <v>0</v>
      </c>
      <c r="CG41" s="59">
        <f t="shared" si="89"/>
        <v>0</v>
      </c>
      <c r="CH41" s="57">
        <f>' WIP '!DJ41</f>
        <v>0</v>
      </c>
      <c r="CI41" s="58">
        <v>0</v>
      </c>
      <c r="CJ41" s="59">
        <f t="shared" si="90"/>
        <v>0</v>
      </c>
      <c r="CK41" s="57">
        <f>' WIP '!DN41</f>
        <v>0</v>
      </c>
      <c r="CL41" s="58">
        <v>0</v>
      </c>
      <c r="CM41" s="59">
        <f t="shared" si="91"/>
        <v>0</v>
      </c>
      <c r="CN41" s="57">
        <f>' WIP '!DR41</f>
        <v>0</v>
      </c>
      <c r="CO41" s="57"/>
      <c r="CP41" s="59">
        <f t="shared" si="92"/>
        <v>0</v>
      </c>
      <c r="CQ41" s="57">
        <f>' WIP '!DV41</f>
        <v>0</v>
      </c>
      <c r="CR41" s="58"/>
      <c r="CS41" s="59">
        <f t="shared" si="93"/>
        <v>0</v>
      </c>
      <c r="CT41" s="31">
        <f t="shared" si="94"/>
        <v>0</v>
      </c>
      <c r="CU41" s="4">
        <f t="shared" si="95"/>
        <v>0</v>
      </c>
      <c r="CV41" s="5">
        <f>D41*'MASTER SHEET'!D41</f>
        <v>0</v>
      </c>
      <c r="CW41" s="5">
        <f>G41*'MASTER SHEET'!D41</f>
        <v>0</v>
      </c>
      <c r="CX41" s="5">
        <f>J41*'MASTER SHEET'!D41</f>
        <v>0</v>
      </c>
      <c r="CY41" s="5">
        <f>M41*'MASTER SHEET'!D41</f>
        <v>0</v>
      </c>
      <c r="CZ41" s="5">
        <f>P41*'MASTER SHEET'!D41</f>
        <v>0</v>
      </c>
      <c r="DA41" s="5">
        <f>S41*'MASTER SHEET'!D41</f>
        <v>0</v>
      </c>
      <c r="DB41" s="5">
        <f>V41*'MASTER SHEET'!D41</f>
        <v>0</v>
      </c>
      <c r="DC41" s="5">
        <f>Y41*'MASTER SHEET'!D41</f>
        <v>0</v>
      </c>
      <c r="DD41" s="5">
        <f>AB41*'MASTER SHEET'!D41</f>
        <v>0</v>
      </c>
      <c r="DE41" s="5">
        <f>AE41*'MASTER SHEET'!D41</f>
        <v>0</v>
      </c>
      <c r="DF41" s="5">
        <f>AH41*'MASTER SHEET'!D41</f>
        <v>0</v>
      </c>
      <c r="DG41" s="5">
        <f>AK41*'MASTER SHEET'!D41</f>
        <v>0</v>
      </c>
      <c r="DH41" s="5">
        <f>AN41*'MASTER SHEET'!D41</f>
        <v>0</v>
      </c>
      <c r="DI41" s="5">
        <f>AQ41*'MASTER SHEET'!D41</f>
        <v>0</v>
      </c>
      <c r="DJ41" s="5">
        <f>AT41*'MASTER SHEET'!D41</f>
        <v>0</v>
      </c>
      <c r="DK41" s="5">
        <f>AW41*'MASTER SHEET'!D41</f>
        <v>0</v>
      </c>
      <c r="DL41" s="5">
        <f>AZ41*'MASTER SHEET'!D41</f>
        <v>0</v>
      </c>
      <c r="DM41" s="5">
        <f>BC41*'MASTER SHEET'!D41</f>
        <v>0</v>
      </c>
      <c r="DN41" s="5">
        <f>BF41*'MASTER SHEET'!D41</f>
        <v>0</v>
      </c>
      <c r="DO41" s="5">
        <f>BI41*'MASTER SHEET'!D41</f>
        <v>0</v>
      </c>
      <c r="DP41" s="5">
        <f>BL41*'MASTER SHEET'!D41</f>
        <v>0</v>
      </c>
      <c r="DQ41" s="5">
        <f>BO41*'MASTER SHEET'!D41</f>
        <v>0</v>
      </c>
      <c r="DR41" s="5">
        <f>BR41*'MASTER SHEET'!D41</f>
        <v>0</v>
      </c>
      <c r="DS41" s="5">
        <f>BU41*'MASTER SHEET'!D41</f>
        <v>0</v>
      </c>
      <c r="DT41" s="5">
        <f>BX41*'MASTER SHEET'!D41</f>
        <v>0</v>
      </c>
      <c r="DU41" s="5">
        <f>CA41*'MASTER SHEET'!D41</f>
        <v>0</v>
      </c>
      <c r="DV41" s="5">
        <f>CD41*'MASTER SHEET'!D41</f>
        <v>0</v>
      </c>
      <c r="DW41" s="5">
        <f>CG41*'MASTER SHEET'!D41</f>
        <v>0</v>
      </c>
      <c r="DX41" s="5">
        <f>CJ41*'MASTER SHEET'!D41</f>
        <v>0</v>
      </c>
      <c r="DY41" s="5">
        <f>CM41*'MASTER SHEET'!D41</f>
        <v>0</v>
      </c>
      <c r="DZ41" s="5">
        <f>CP41*'MASTER SHEET'!D41</f>
        <v>0</v>
      </c>
      <c r="EA41" s="5">
        <f>CS41*'MASTER SHEET'!D41</f>
        <v>0</v>
      </c>
      <c r="EB41" s="9"/>
    </row>
    <row r="42" spans="1:132" ht="15.75" x14ac:dyDescent="0.25">
      <c r="A42" s="25">
        <f>'MASTER SHEET'!A42</f>
        <v>40</v>
      </c>
      <c r="B42" s="26" t="str">
        <f>'MASTER SHEET'!B42</f>
        <v>PIPE ASY PLASTIC</v>
      </c>
      <c r="C42" s="27">
        <f>'MASTER SHEET'!C42</f>
        <v>5027833</v>
      </c>
      <c r="D42" s="56">
        <v>0</v>
      </c>
      <c r="E42" s="57">
        <f>' WIP '!F42</f>
        <v>0</v>
      </c>
      <c r="F42" s="58">
        <v>0</v>
      </c>
      <c r="G42" s="59">
        <f t="shared" si="63"/>
        <v>0</v>
      </c>
      <c r="H42" s="57">
        <f>' WIP '!J42</f>
        <v>0</v>
      </c>
      <c r="I42" s="58">
        <v>0</v>
      </c>
      <c r="J42" s="59">
        <f t="shared" si="64"/>
        <v>0</v>
      </c>
      <c r="K42" s="57">
        <f>' WIP '!N42</f>
        <v>0</v>
      </c>
      <c r="L42" s="58"/>
      <c r="M42" s="59">
        <f t="shared" si="65"/>
        <v>0</v>
      </c>
      <c r="N42" s="57">
        <f>' WIP '!R42</f>
        <v>0</v>
      </c>
      <c r="O42" s="58">
        <v>0</v>
      </c>
      <c r="P42" s="59">
        <f t="shared" si="66"/>
        <v>0</v>
      </c>
      <c r="Q42" s="57">
        <f>' WIP '!V42</f>
        <v>0</v>
      </c>
      <c r="R42" s="58">
        <v>0</v>
      </c>
      <c r="S42" s="59">
        <f t="shared" si="67"/>
        <v>0</v>
      </c>
      <c r="T42" s="57">
        <f>' WIP '!Z42</f>
        <v>0</v>
      </c>
      <c r="U42" s="58">
        <v>0</v>
      </c>
      <c r="V42" s="59">
        <f t="shared" si="68"/>
        <v>0</v>
      </c>
      <c r="W42" s="57">
        <f>' WIP '!AD42</f>
        <v>0</v>
      </c>
      <c r="X42" s="58">
        <v>0</v>
      </c>
      <c r="Y42" s="59">
        <f t="shared" si="69"/>
        <v>0</v>
      </c>
      <c r="Z42" s="57">
        <f>' WIP '!AH42</f>
        <v>0</v>
      </c>
      <c r="AA42" s="58">
        <v>0</v>
      </c>
      <c r="AB42" s="59">
        <f t="shared" si="70"/>
        <v>0</v>
      </c>
      <c r="AC42" s="57">
        <f>' WIP '!AL42</f>
        <v>0</v>
      </c>
      <c r="AD42" s="58">
        <v>0</v>
      </c>
      <c r="AE42" s="59">
        <f t="shared" si="71"/>
        <v>0</v>
      </c>
      <c r="AF42" s="57">
        <f>' WIP '!AP42</f>
        <v>0</v>
      </c>
      <c r="AG42" s="114">
        <v>0</v>
      </c>
      <c r="AH42" s="59">
        <f t="shared" si="72"/>
        <v>0</v>
      </c>
      <c r="AI42" s="57">
        <f>' WIP '!AT42</f>
        <v>0</v>
      </c>
      <c r="AJ42" s="58">
        <v>0</v>
      </c>
      <c r="AK42" s="59">
        <f t="shared" si="73"/>
        <v>0</v>
      </c>
      <c r="AL42" s="57">
        <f>' WIP '!AX42</f>
        <v>0</v>
      </c>
      <c r="AM42" s="58"/>
      <c r="AN42" s="59">
        <f t="shared" si="74"/>
        <v>0</v>
      </c>
      <c r="AO42" s="57">
        <f>' WIP '!BB42</f>
        <v>0</v>
      </c>
      <c r="AP42" s="58">
        <v>0</v>
      </c>
      <c r="AQ42" s="59">
        <f t="shared" si="75"/>
        <v>0</v>
      </c>
      <c r="AR42" s="57">
        <f>' WIP '!BF42</f>
        <v>0</v>
      </c>
      <c r="AS42" s="58">
        <v>0</v>
      </c>
      <c r="AT42" s="59">
        <f t="shared" si="76"/>
        <v>0</v>
      </c>
      <c r="AU42" s="57">
        <f>' WIP '!BJ42</f>
        <v>0</v>
      </c>
      <c r="AV42" s="58">
        <v>0</v>
      </c>
      <c r="AW42" s="59">
        <f t="shared" si="77"/>
        <v>0</v>
      </c>
      <c r="AX42" s="57">
        <f>' WIP '!BN42</f>
        <v>0</v>
      </c>
      <c r="AY42" s="58">
        <v>0</v>
      </c>
      <c r="AZ42" s="59">
        <f t="shared" si="78"/>
        <v>0</v>
      </c>
      <c r="BA42" s="57">
        <f>' WIP '!BR42</f>
        <v>0</v>
      </c>
      <c r="BB42" s="58">
        <v>0</v>
      </c>
      <c r="BC42" s="59">
        <f t="shared" si="79"/>
        <v>0</v>
      </c>
      <c r="BD42" s="57">
        <f>' WIP '!BV42</f>
        <v>0</v>
      </c>
      <c r="BE42" s="58">
        <v>0</v>
      </c>
      <c r="BF42" s="59">
        <f t="shared" si="80"/>
        <v>0</v>
      </c>
      <c r="BG42" s="57">
        <f>' WIP '!BZ42</f>
        <v>0</v>
      </c>
      <c r="BH42" s="58"/>
      <c r="BI42" s="59">
        <f t="shared" si="81"/>
        <v>0</v>
      </c>
      <c r="BJ42" s="57">
        <f>' WIP '!CD42</f>
        <v>0</v>
      </c>
      <c r="BK42" s="58">
        <v>0</v>
      </c>
      <c r="BL42" s="59">
        <f t="shared" si="82"/>
        <v>0</v>
      </c>
      <c r="BM42" s="57">
        <f>' WIP '!CH42</f>
        <v>0</v>
      </c>
      <c r="BN42" s="58">
        <v>0</v>
      </c>
      <c r="BO42" s="59">
        <f t="shared" si="83"/>
        <v>0</v>
      </c>
      <c r="BP42" s="57">
        <f>' WIP '!CL42</f>
        <v>0</v>
      </c>
      <c r="BQ42" s="58"/>
      <c r="BR42" s="59">
        <f t="shared" si="84"/>
        <v>0</v>
      </c>
      <c r="BS42" s="57">
        <f>' WIP '!CP42</f>
        <v>0</v>
      </c>
      <c r="BT42" s="58">
        <v>0</v>
      </c>
      <c r="BU42" s="59">
        <f t="shared" si="85"/>
        <v>0</v>
      </c>
      <c r="BV42" s="57">
        <f>' WIP '!CT42</f>
        <v>0</v>
      </c>
      <c r="BW42" s="28">
        <v>0</v>
      </c>
      <c r="BX42" s="59">
        <f t="shared" si="86"/>
        <v>0</v>
      </c>
      <c r="BY42" s="57">
        <f>' WIP '!CX42</f>
        <v>0</v>
      </c>
      <c r="BZ42" s="58">
        <v>0</v>
      </c>
      <c r="CA42" s="59">
        <f t="shared" si="87"/>
        <v>0</v>
      </c>
      <c r="CB42" s="57">
        <f>' WIP '!DB42</f>
        <v>0</v>
      </c>
      <c r="CC42" s="58">
        <v>0</v>
      </c>
      <c r="CD42" s="59">
        <f t="shared" si="88"/>
        <v>0</v>
      </c>
      <c r="CE42" s="57">
        <f>' WIP '!DF42</f>
        <v>0</v>
      </c>
      <c r="CF42" s="58">
        <v>0</v>
      </c>
      <c r="CG42" s="59">
        <f t="shared" si="89"/>
        <v>0</v>
      </c>
      <c r="CH42" s="57">
        <f>' WIP '!DJ42</f>
        <v>0</v>
      </c>
      <c r="CI42" s="58">
        <v>0</v>
      </c>
      <c r="CJ42" s="59">
        <f t="shared" si="90"/>
        <v>0</v>
      </c>
      <c r="CK42" s="57">
        <f>' WIP '!DN42</f>
        <v>0</v>
      </c>
      <c r="CL42" s="58">
        <v>0</v>
      </c>
      <c r="CM42" s="59">
        <f t="shared" si="91"/>
        <v>0</v>
      </c>
      <c r="CN42" s="57">
        <f>' WIP '!DR42</f>
        <v>0</v>
      </c>
      <c r="CO42" s="57"/>
      <c r="CP42" s="59">
        <f t="shared" si="92"/>
        <v>0</v>
      </c>
      <c r="CQ42" s="57">
        <f>' WIP '!DV42</f>
        <v>0</v>
      </c>
      <c r="CR42" s="58"/>
      <c r="CS42" s="59">
        <f t="shared" si="93"/>
        <v>0</v>
      </c>
      <c r="CT42" s="31">
        <f t="shared" si="94"/>
        <v>0</v>
      </c>
      <c r="CU42" s="4">
        <f t="shared" si="95"/>
        <v>0</v>
      </c>
      <c r="CV42" s="5">
        <f>D42*'MASTER SHEET'!D42</f>
        <v>0</v>
      </c>
      <c r="CW42" s="5">
        <f>G42*'MASTER SHEET'!D42</f>
        <v>0</v>
      </c>
      <c r="CX42" s="5">
        <f>J42*'MASTER SHEET'!D42</f>
        <v>0</v>
      </c>
      <c r="CY42" s="5">
        <f>M42*'MASTER SHEET'!D42</f>
        <v>0</v>
      </c>
      <c r="CZ42" s="5">
        <f>P42*'MASTER SHEET'!D42</f>
        <v>0</v>
      </c>
      <c r="DA42" s="5">
        <f>S42*'MASTER SHEET'!D42</f>
        <v>0</v>
      </c>
      <c r="DB42" s="5">
        <f>V42*'MASTER SHEET'!D42</f>
        <v>0</v>
      </c>
      <c r="DC42" s="5">
        <f>Y42*'MASTER SHEET'!D42</f>
        <v>0</v>
      </c>
      <c r="DD42" s="5">
        <f>AB42*'MASTER SHEET'!D42</f>
        <v>0</v>
      </c>
      <c r="DE42" s="5">
        <f>AE42*'MASTER SHEET'!D42</f>
        <v>0</v>
      </c>
      <c r="DF42" s="5">
        <f>AH42*'MASTER SHEET'!D42</f>
        <v>0</v>
      </c>
      <c r="DG42" s="5">
        <f>AK42*'MASTER SHEET'!D42</f>
        <v>0</v>
      </c>
      <c r="DH42" s="5">
        <f>AN42*'MASTER SHEET'!D42</f>
        <v>0</v>
      </c>
      <c r="DI42" s="5">
        <f>AQ42*'MASTER SHEET'!D42</f>
        <v>0</v>
      </c>
      <c r="DJ42" s="5">
        <f>AT42*'MASTER SHEET'!D42</f>
        <v>0</v>
      </c>
      <c r="DK42" s="5">
        <f>AW42*'MASTER SHEET'!D42</f>
        <v>0</v>
      </c>
      <c r="DL42" s="5">
        <f>AZ42*'MASTER SHEET'!D42</f>
        <v>0</v>
      </c>
      <c r="DM42" s="5">
        <f>BC42*'MASTER SHEET'!D42</f>
        <v>0</v>
      </c>
      <c r="DN42" s="5">
        <f>BF42*'MASTER SHEET'!D42</f>
        <v>0</v>
      </c>
      <c r="DO42" s="5">
        <f>BI42*'MASTER SHEET'!D42</f>
        <v>0</v>
      </c>
      <c r="DP42" s="5">
        <f>BL42*'MASTER SHEET'!D42</f>
        <v>0</v>
      </c>
      <c r="DQ42" s="5">
        <f>BO42*'MASTER SHEET'!D42</f>
        <v>0</v>
      </c>
      <c r="DR42" s="5">
        <f>BR42*'MASTER SHEET'!D42</f>
        <v>0</v>
      </c>
      <c r="DS42" s="5">
        <f>BU42*'MASTER SHEET'!D42</f>
        <v>0</v>
      </c>
      <c r="DT42" s="5">
        <f>BX42*'MASTER SHEET'!D42</f>
        <v>0</v>
      </c>
      <c r="DU42" s="5">
        <f>CA42*'MASTER SHEET'!D42</f>
        <v>0</v>
      </c>
      <c r="DV42" s="5">
        <f>CD42*'MASTER SHEET'!D42</f>
        <v>0</v>
      </c>
      <c r="DW42" s="5">
        <f>CG42*'MASTER SHEET'!D42</f>
        <v>0</v>
      </c>
      <c r="DX42" s="5">
        <f>CJ42*'MASTER SHEET'!D42</f>
        <v>0</v>
      </c>
      <c r="DY42" s="5">
        <f>CM42*'MASTER SHEET'!D42</f>
        <v>0</v>
      </c>
      <c r="DZ42" s="5">
        <f>CP42*'MASTER SHEET'!D42</f>
        <v>0</v>
      </c>
      <c r="EA42" s="5">
        <f>CS42*'MASTER SHEET'!D42</f>
        <v>0</v>
      </c>
      <c r="EB42" s="9"/>
    </row>
    <row r="43" spans="1:132" ht="15.75" x14ac:dyDescent="0.25">
      <c r="A43" s="25">
        <f>'MASTER SHEET'!A43</f>
        <v>41</v>
      </c>
      <c r="B43" s="26" t="str">
        <f>'MASTER SHEET'!B43</f>
        <v>CAP PLASTIC</v>
      </c>
      <c r="C43" s="27">
        <f>'MASTER SHEET'!C43</f>
        <v>5028386</v>
      </c>
      <c r="D43" s="56">
        <v>0</v>
      </c>
      <c r="E43" s="57">
        <f>' WIP '!F43</f>
        <v>0</v>
      </c>
      <c r="F43" s="58">
        <v>0</v>
      </c>
      <c r="G43" s="59">
        <f t="shared" si="63"/>
        <v>0</v>
      </c>
      <c r="H43" s="57">
        <f>' WIP '!J43</f>
        <v>0</v>
      </c>
      <c r="I43" s="58">
        <v>0</v>
      </c>
      <c r="J43" s="59">
        <f t="shared" si="64"/>
        <v>0</v>
      </c>
      <c r="K43" s="57">
        <f>' WIP '!N43</f>
        <v>0</v>
      </c>
      <c r="L43" s="58"/>
      <c r="M43" s="59">
        <f t="shared" si="65"/>
        <v>0</v>
      </c>
      <c r="N43" s="57">
        <f>' WIP '!R43</f>
        <v>210</v>
      </c>
      <c r="O43" s="58">
        <v>210</v>
      </c>
      <c r="P43" s="59">
        <f t="shared" si="66"/>
        <v>0</v>
      </c>
      <c r="Q43" s="57">
        <f>' WIP '!V43</f>
        <v>0</v>
      </c>
      <c r="R43" s="58">
        <v>0</v>
      </c>
      <c r="S43" s="59">
        <f t="shared" si="67"/>
        <v>0</v>
      </c>
      <c r="T43" s="57">
        <f>' WIP '!Z43</f>
        <v>1080</v>
      </c>
      <c r="U43" s="58">
        <v>1080</v>
      </c>
      <c r="V43" s="59">
        <f t="shared" si="68"/>
        <v>0</v>
      </c>
      <c r="W43" s="57">
        <f>' WIP '!AD43</f>
        <v>2250</v>
      </c>
      <c r="X43" s="58">
        <v>1560</v>
      </c>
      <c r="Y43" s="59">
        <f t="shared" si="69"/>
        <v>690</v>
      </c>
      <c r="Z43" s="57">
        <f>' WIP '!AH43</f>
        <v>0</v>
      </c>
      <c r="AA43" s="58">
        <v>210</v>
      </c>
      <c r="AB43" s="59">
        <f t="shared" si="70"/>
        <v>480</v>
      </c>
      <c r="AC43" s="57">
        <f>' WIP '!AL43</f>
        <v>0</v>
      </c>
      <c r="AD43" s="58">
        <v>480</v>
      </c>
      <c r="AE43" s="59">
        <f t="shared" si="71"/>
        <v>0</v>
      </c>
      <c r="AF43" s="57">
        <f>' WIP '!AP43</f>
        <v>210</v>
      </c>
      <c r="AG43" s="114">
        <v>210</v>
      </c>
      <c r="AH43" s="59">
        <f t="shared" si="72"/>
        <v>0</v>
      </c>
      <c r="AI43" s="57">
        <f>' WIP '!AT43</f>
        <v>0</v>
      </c>
      <c r="AJ43" s="58">
        <v>0</v>
      </c>
      <c r="AK43" s="59">
        <f t="shared" si="73"/>
        <v>0</v>
      </c>
      <c r="AL43" s="57">
        <f>' WIP '!AX43</f>
        <v>0</v>
      </c>
      <c r="AM43" s="58"/>
      <c r="AN43" s="59">
        <f t="shared" si="74"/>
        <v>0</v>
      </c>
      <c r="AO43" s="57">
        <f>' WIP '!BB43</f>
        <v>0</v>
      </c>
      <c r="AP43" s="58">
        <v>0</v>
      </c>
      <c r="AQ43" s="59">
        <f t="shared" si="75"/>
        <v>0</v>
      </c>
      <c r="AR43" s="57">
        <f>' WIP '!BF43</f>
        <v>0</v>
      </c>
      <c r="AS43" s="58">
        <v>0</v>
      </c>
      <c r="AT43" s="59">
        <f t="shared" si="76"/>
        <v>0</v>
      </c>
      <c r="AU43" s="57">
        <f>' WIP '!BJ43</f>
        <v>1050</v>
      </c>
      <c r="AV43" s="58">
        <v>420</v>
      </c>
      <c r="AW43" s="59">
        <f t="shared" si="77"/>
        <v>630</v>
      </c>
      <c r="AX43" s="57">
        <f>' WIP '!BN43</f>
        <v>0</v>
      </c>
      <c r="AY43" s="58">
        <v>630</v>
      </c>
      <c r="AZ43" s="59">
        <f t="shared" si="78"/>
        <v>0</v>
      </c>
      <c r="BA43" s="57">
        <f>' WIP '!BR43</f>
        <v>0</v>
      </c>
      <c r="BB43" s="58">
        <v>0</v>
      </c>
      <c r="BC43" s="59">
        <f t="shared" si="79"/>
        <v>0</v>
      </c>
      <c r="BD43" s="57">
        <f>' WIP '!BV43</f>
        <v>1050</v>
      </c>
      <c r="BE43" s="58">
        <v>1050</v>
      </c>
      <c r="BF43" s="59">
        <f t="shared" si="80"/>
        <v>0</v>
      </c>
      <c r="BG43" s="57">
        <f>' WIP '!BZ43</f>
        <v>0</v>
      </c>
      <c r="BH43" s="58"/>
      <c r="BI43" s="59">
        <f t="shared" si="81"/>
        <v>0</v>
      </c>
      <c r="BJ43" s="57">
        <f>' WIP '!CD43</f>
        <v>210</v>
      </c>
      <c r="BK43" s="58">
        <v>210</v>
      </c>
      <c r="BL43" s="59">
        <f t="shared" si="82"/>
        <v>0</v>
      </c>
      <c r="BM43" s="57">
        <f>' WIP '!CH43</f>
        <v>0</v>
      </c>
      <c r="BN43" s="58">
        <v>0</v>
      </c>
      <c r="BO43" s="59">
        <f t="shared" si="83"/>
        <v>0</v>
      </c>
      <c r="BP43" s="57">
        <f>' WIP '!CL43</f>
        <v>1260</v>
      </c>
      <c r="BQ43" s="58">
        <v>1260</v>
      </c>
      <c r="BR43" s="59">
        <f t="shared" si="84"/>
        <v>0</v>
      </c>
      <c r="BS43" s="57">
        <f>' WIP '!CP43</f>
        <v>800</v>
      </c>
      <c r="BT43" s="58">
        <v>200</v>
      </c>
      <c r="BU43" s="59">
        <f t="shared" si="85"/>
        <v>600</v>
      </c>
      <c r="BV43" s="57">
        <f>' WIP '!CT43</f>
        <v>0</v>
      </c>
      <c r="BW43" s="28">
        <v>600</v>
      </c>
      <c r="BX43" s="59">
        <f t="shared" si="86"/>
        <v>0</v>
      </c>
      <c r="BY43" s="57">
        <f>' WIP '!CX43</f>
        <v>129</v>
      </c>
      <c r="BZ43" s="58">
        <v>128</v>
      </c>
      <c r="CA43" s="59">
        <f t="shared" si="87"/>
        <v>1</v>
      </c>
      <c r="CB43" s="57">
        <f>' WIP '!DB43</f>
        <v>0</v>
      </c>
      <c r="CC43" s="58">
        <v>0</v>
      </c>
      <c r="CD43" s="59">
        <f t="shared" si="88"/>
        <v>1</v>
      </c>
      <c r="CE43" s="57">
        <f>' WIP '!DF43</f>
        <v>0</v>
      </c>
      <c r="CF43" s="58">
        <v>0</v>
      </c>
      <c r="CG43" s="59">
        <f t="shared" si="89"/>
        <v>1</v>
      </c>
      <c r="CH43" s="57">
        <f>' WIP '!DJ43</f>
        <v>2190</v>
      </c>
      <c r="CI43" s="58">
        <v>1770</v>
      </c>
      <c r="CJ43" s="59">
        <f t="shared" si="90"/>
        <v>421</v>
      </c>
      <c r="CK43" s="57">
        <f>' WIP '!DN43</f>
        <v>0</v>
      </c>
      <c r="CL43" s="58">
        <v>0</v>
      </c>
      <c r="CM43" s="59">
        <f t="shared" si="91"/>
        <v>421</v>
      </c>
      <c r="CN43" s="57">
        <f>' WIP '!DR43</f>
        <v>0</v>
      </c>
      <c r="CO43" s="57"/>
      <c r="CP43" s="59">
        <f t="shared" si="92"/>
        <v>421</v>
      </c>
      <c r="CQ43" s="57">
        <f>' WIP '!DV43</f>
        <v>0</v>
      </c>
      <c r="CR43" s="58"/>
      <c r="CS43" s="59">
        <f t="shared" si="93"/>
        <v>421</v>
      </c>
      <c r="CT43" s="31">
        <f t="shared" si="94"/>
        <v>10439</v>
      </c>
      <c r="CU43" s="4">
        <f t="shared" si="95"/>
        <v>10018</v>
      </c>
      <c r="CV43" s="5">
        <f>D43*'MASTER SHEET'!D43</f>
        <v>0</v>
      </c>
      <c r="CW43" s="5">
        <f>G43*'MASTER SHEET'!D43</f>
        <v>0</v>
      </c>
      <c r="CX43" s="5">
        <f>J43*'MASTER SHEET'!D43</f>
        <v>0</v>
      </c>
      <c r="CY43" s="5">
        <f>M43*'MASTER SHEET'!D43</f>
        <v>0</v>
      </c>
      <c r="CZ43" s="5">
        <f>P43*'MASTER SHEET'!D43</f>
        <v>0</v>
      </c>
      <c r="DA43" s="5">
        <f>S43*'MASTER SHEET'!D43</f>
        <v>0</v>
      </c>
      <c r="DB43" s="5">
        <f>V43*'MASTER SHEET'!D43</f>
        <v>0</v>
      </c>
      <c r="DC43" s="5">
        <f>Y43*'MASTER SHEET'!D43</f>
        <v>4892.0999999999995</v>
      </c>
      <c r="DD43" s="5">
        <f>AB43*'MASTER SHEET'!D43</f>
        <v>3403.2</v>
      </c>
      <c r="DE43" s="5">
        <f>AE43*'MASTER SHEET'!D43</f>
        <v>0</v>
      </c>
      <c r="DF43" s="5">
        <f>AH43*'MASTER SHEET'!D43</f>
        <v>0</v>
      </c>
      <c r="DG43" s="5">
        <f>AK43*'MASTER SHEET'!D43</f>
        <v>0</v>
      </c>
      <c r="DH43" s="5">
        <f>AN43*'MASTER SHEET'!D43</f>
        <v>0</v>
      </c>
      <c r="DI43" s="5">
        <f>AQ43*'MASTER SHEET'!D43</f>
        <v>0</v>
      </c>
      <c r="DJ43" s="5">
        <f>AT43*'MASTER SHEET'!D43</f>
        <v>0</v>
      </c>
      <c r="DK43" s="5">
        <f>AW43*'MASTER SHEET'!D43</f>
        <v>4466.7</v>
      </c>
      <c r="DL43" s="5">
        <f>AZ43*'MASTER SHEET'!D43</f>
        <v>0</v>
      </c>
      <c r="DM43" s="5">
        <f>BC43*'MASTER SHEET'!D43</f>
        <v>0</v>
      </c>
      <c r="DN43" s="5">
        <f>BF43*'MASTER SHEET'!D43</f>
        <v>0</v>
      </c>
      <c r="DO43" s="5">
        <f>BI43*'MASTER SHEET'!D43</f>
        <v>0</v>
      </c>
      <c r="DP43" s="5">
        <f>BL43*'MASTER SHEET'!D43</f>
        <v>0</v>
      </c>
      <c r="DQ43" s="5">
        <f>BO43*'MASTER SHEET'!D43</f>
        <v>0</v>
      </c>
      <c r="DR43" s="5">
        <f>BR43*'MASTER SHEET'!D43</f>
        <v>0</v>
      </c>
      <c r="DS43" s="5">
        <f>BU43*'MASTER SHEET'!D43</f>
        <v>4254</v>
      </c>
      <c r="DT43" s="5">
        <f>BX43*'MASTER SHEET'!D43</f>
        <v>0</v>
      </c>
      <c r="DU43" s="5">
        <f>CA43*'MASTER SHEET'!D43</f>
        <v>7.09</v>
      </c>
      <c r="DV43" s="5">
        <f>CD43*'MASTER SHEET'!D43</f>
        <v>7.09</v>
      </c>
      <c r="DW43" s="5">
        <f>CG43*'MASTER SHEET'!D43</f>
        <v>7.09</v>
      </c>
      <c r="DX43" s="5">
        <f>CJ43*'MASTER SHEET'!D43</f>
        <v>2984.89</v>
      </c>
      <c r="DY43" s="5">
        <f>CM43*'MASTER SHEET'!D43</f>
        <v>2984.89</v>
      </c>
      <c r="DZ43" s="5">
        <f>CP43*'MASTER SHEET'!D43</f>
        <v>2984.89</v>
      </c>
      <c r="EA43" s="5">
        <f>CS43*'MASTER SHEET'!D43</f>
        <v>2984.89</v>
      </c>
      <c r="EB43" s="143">
        <f>VLOOKUP($C43,'[1]GREEN LEV.₹'!$I$2:$K$54,3,0)</f>
        <v>2700</v>
      </c>
    </row>
    <row r="44" spans="1:132" ht="15.75" x14ac:dyDescent="0.25">
      <c r="A44" s="25">
        <f>'MASTER SHEET'!A44</f>
        <v>42</v>
      </c>
      <c r="B44" s="26" t="str">
        <f>'MASTER SHEET'!B44</f>
        <v>BASE HOUSING ASSYM</v>
      </c>
      <c r="C44" s="27">
        <f>'MASTER SHEET'!C44</f>
        <v>5028536</v>
      </c>
      <c r="D44" s="56">
        <v>0</v>
      </c>
      <c r="E44" s="57">
        <f>' WIP '!F44</f>
        <v>650</v>
      </c>
      <c r="F44" s="58">
        <v>625</v>
      </c>
      <c r="G44" s="59">
        <f t="shared" si="63"/>
        <v>25</v>
      </c>
      <c r="H44" s="57">
        <f>' WIP '!J44</f>
        <v>0</v>
      </c>
      <c r="I44" s="58">
        <v>25</v>
      </c>
      <c r="J44" s="59">
        <f t="shared" si="64"/>
        <v>0</v>
      </c>
      <c r="K44" s="57">
        <f>' WIP '!N44</f>
        <v>0</v>
      </c>
      <c r="L44" s="58"/>
      <c r="M44" s="59">
        <f t="shared" si="65"/>
        <v>0</v>
      </c>
      <c r="N44" s="57">
        <f>' WIP '!R44</f>
        <v>0</v>
      </c>
      <c r="O44" s="58">
        <v>0</v>
      </c>
      <c r="P44" s="59">
        <f t="shared" si="66"/>
        <v>0</v>
      </c>
      <c r="Q44" s="57">
        <f>' WIP '!V44</f>
        <v>375</v>
      </c>
      <c r="R44" s="58">
        <v>375</v>
      </c>
      <c r="S44" s="59">
        <f t="shared" si="67"/>
        <v>0</v>
      </c>
      <c r="T44" s="57">
        <f>' WIP '!Z44</f>
        <v>0</v>
      </c>
      <c r="U44" s="58">
        <v>0</v>
      </c>
      <c r="V44" s="59">
        <f t="shared" si="68"/>
        <v>0</v>
      </c>
      <c r="W44" s="57">
        <f>' WIP '!AD44</f>
        <v>0</v>
      </c>
      <c r="X44" s="58">
        <v>0</v>
      </c>
      <c r="Y44" s="59">
        <f t="shared" si="69"/>
        <v>0</v>
      </c>
      <c r="Z44" s="57">
        <f>' WIP '!AH44</f>
        <v>0</v>
      </c>
      <c r="AA44" s="58">
        <v>0</v>
      </c>
      <c r="AB44" s="59">
        <f t="shared" si="70"/>
        <v>0</v>
      </c>
      <c r="AC44" s="57">
        <f>' WIP '!AL44</f>
        <v>0</v>
      </c>
      <c r="AD44" s="58">
        <v>0</v>
      </c>
      <c r="AE44" s="59">
        <f t="shared" si="71"/>
        <v>0</v>
      </c>
      <c r="AF44" s="57">
        <f>' WIP '!AP44</f>
        <v>150</v>
      </c>
      <c r="AG44" s="114">
        <v>150</v>
      </c>
      <c r="AH44" s="59">
        <f t="shared" si="72"/>
        <v>0</v>
      </c>
      <c r="AI44" s="57">
        <f>' WIP '!AT44</f>
        <v>125</v>
      </c>
      <c r="AJ44" s="58">
        <v>125</v>
      </c>
      <c r="AK44" s="59">
        <f t="shared" si="73"/>
        <v>0</v>
      </c>
      <c r="AL44" s="57">
        <f>' WIP '!AX44</f>
        <v>0</v>
      </c>
      <c r="AM44" s="58"/>
      <c r="AN44" s="59">
        <f t="shared" si="74"/>
        <v>0</v>
      </c>
      <c r="AO44" s="57">
        <f>' WIP '!BB44</f>
        <v>350</v>
      </c>
      <c r="AP44" s="58">
        <v>250</v>
      </c>
      <c r="AQ44" s="59">
        <f t="shared" si="75"/>
        <v>100</v>
      </c>
      <c r="AR44" s="57">
        <f>' WIP '!BF44</f>
        <v>43</v>
      </c>
      <c r="AS44" s="58">
        <v>143</v>
      </c>
      <c r="AT44" s="59">
        <f t="shared" si="76"/>
        <v>0</v>
      </c>
      <c r="AU44" s="57">
        <f>' WIP '!BJ44</f>
        <v>350</v>
      </c>
      <c r="AV44" s="58">
        <v>350</v>
      </c>
      <c r="AW44" s="59">
        <f t="shared" si="77"/>
        <v>0</v>
      </c>
      <c r="AX44" s="57">
        <f>' WIP '!BN44</f>
        <v>300</v>
      </c>
      <c r="AY44" s="58">
        <v>275</v>
      </c>
      <c r="AZ44" s="59">
        <f t="shared" si="78"/>
        <v>25</v>
      </c>
      <c r="BA44" s="57">
        <f>' WIP '!BR44</f>
        <v>400</v>
      </c>
      <c r="BB44" s="58">
        <v>425</v>
      </c>
      <c r="BC44" s="59">
        <f t="shared" si="79"/>
        <v>0</v>
      </c>
      <c r="BD44" s="57">
        <f>' WIP '!BV44</f>
        <v>300</v>
      </c>
      <c r="BE44" s="58">
        <v>300</v>
      </c>
      <c r="BF44" s="59">
        <f t="shared" si="80"/>
        <v>0</v>
      </c>
      <c r="BG44" s="57">
        <f>' WIP '!BZ44</f>
        <v>0</v>
      </c>
      <c r="BH44" s="58"/>
      <c r="BI44" s="59">
        <f t="shared" si="81"/>
        <v>0</v>
      </c>
      <c r="BJ44" s="57">
        <f>' WIP '!CD44</f>
        <v>350</v>
      </c>
      <c r="BK44" s="58">
        <v>350</v>
      </c>
      <c r="BL44" s="59">
        <f t="shared" si="82"/>
        <v>0</v>
      </c>
      <c r="BM44" s="57">
        <f>' WIP '!CH44</f>
        <v>0</v>
      </c>
      <c r="BN44" s="58">
        <v>0</v>
      </c>
      <c r="BO44" s="59">
        <f t="shared" si="83"/>
        <v>0</v>
      </c>
      <c r="BP44" s="57">
        <f>' WIP '!CL44</f>
        <v>0</v>
      </c>
      <c r="BQ44" s="58"/>
      <c r="BR44" s="59">
        <f t="shared" si="84"/>
        <v>0</v>
      </c>
      <c r="BS44" s="57">
        <f>' WIP '!CP44</f>
        <v>175</v>
      </c>
      <c r="BT44" s="58">
        <v>175</v>
      </c>
      <c r="BU44" s="59">
        <f t="shared" si="85"/>
        <v>0</v>
      </c>
      <c r="BV44" s="57">
        <f>' WIP '!CT44</f>
        <v>0</v>
      </c>
      <c r="BW44" s="28">
        <v>0</v>
      </c>
      <c r="BX44" s="59">
        <f t="shared" si="86"/>
        <v>0</v>
      </c>
      <c r="BY44" s="57">
        <f>' WIP '!CX44</f>
        <v>525</v>
      </c>
      <c r="BZ44" s="58">
        <v>500</v>
      </c>
      <c r="CA44" s="59">
        <f t="shared" si="87"/>
        <v>25</v>
      </c>
      <c r="CB44" s="57">
        <f>' WIP '!DB44</f>
        <v>0</v>
      </c>
      <c r="CC44" s="58">
        <v>0</v>
      </c>
      <c r="CD44" s="59">
        <f t="shared" si="88"/>
        <v>25</v>
      </c>
      <c r="CE44" s="57">
        <f>' WIP '!DF44</f>
        <v>250</v>
      </c>
      <c r="CF44" s="58">
        <v>275</v>
      </c>
      <c r="CG44" s="59">
        <f t="shared" si="89"/>
        <v>0</v>
      </c>
      <c r="CH44" s="57">
        <f>' WIP '!DJ44</f>
        <v>275</v>
      </c>
      <c r="CI44" s="58">
        <v>275</v>
      </c>
      <c r="CJ44" s="59">
        <f t="shared" si="90"/>
        <v>0</v>
      </c>
      <c r="CK44" s="57">
        <f>' WIP '!DN44</f>
        <v>0</v>
      </c>
      <c r="CL44" s="58">
        <v>0</v>
      </c>
      <c r="CM44" s="59">
        <f t="shared" si="91"/>
        <v>0</v>
      </c>
      <c r="CN44" s="57">
        <f>' WIP '!DR44</f>
        <v>0</v>
      </c>
      <c r="CO44" s="57"/>
      <c r="CP44" s="59">
        <f t="shared" si="92"/>
        <v>0</v>
      </c>
      <c r="CQ44" s="57">
        <f>' WIP '!DV44</f>
        <v>0</v>
      </c>
      <c r="CR44" s="58"/>
      <c r="CS44" s="59">
        <f t="shared" si="93"/>
        <v>0</v>
      </c>
      <c r="CT44" s="31">
        <f t="shared" si="94"/>
        <v>4618</v>
      </c>
      <c r="CU44" s="4">
        <f t="shared" si="95"/>
        <v>4618</v>
      </c>
      <c r="CV44" s="5">
        <f>D44*'MASTER SHEET'!D44</f>
        <v>0</v>
      </c>
      <c r="CW44" s="5">
        <f>G44*'MASTER SHEET'!D44</f>
        <v>3154.75</v>
      </c>
      <c r="CX44" s="5">
        <f>J44*'MASTER SHEET'!D44</f>
        <v>0</v>
      </c>
      <c r="CY44" s="5">
        <f>M44*'MASTER SHEET'!D44</f>
        <v>0</v>
      </c>
      <c r="CZ44" s="5">
        <f>P44*'MASTER SHEET'!D44</f>
        <v>0</v>
      </c>
      <c r="DA44" s="5">
        <f>S44*'MASTER SHEET'!D44</f>
        <v>0</v>
      </c>
      <c r="DB44" s="5">
        <f>V44*'MASTER SHEET'!D44</f>
        <v>0</v>
      </c>
      <c r="DC44" s="5">
        <f>Y44*'MASTER SHEET'!D44</f>
        <v>0</v>
      </c>
      <c r="DD44" s="5">
        <f>AB44*'MASTER SHEET'!D44</f>
        <v>0</v>
      </c>
      <c r="DE44" s="5">
        <f>AE44*'MASTER SHEET'!D44</f>
        <v>0</v>
      </c>
      <c r="DF44" s="5">
        <f>AH44*'MASTER SHEET'!D44</f>
        <v>0</v>
      </c>
      <c r="DG44" s="5">
        <f>AK44*'MASTER SHEET'!D44</f>
        <v>0</v>
      </c>
      <c r="DH44" s="5">
        <f>AN44*'MASTER SHEET'!D44</f>
        <v>0</v>
      </c>
      <c r="DI44" s="5">
        <f>AQ44*'MASTER SHEET'!D44</f>
        <v>12619</v>
      </c>
      <c r="DJ44" s="5">
        <f>AT44*'MASTER SHEET'!D44</f>
        <v>0</v>
      </c>
      <c r="DK44" s="5">
        <f>AW44*'MASTER SHEET'!D44</f>
        <v>0</v>
      </c>
      <c r="DL44" s="5">
        <f>AZ44*'MASTER SHEET'!D44</f>
        <v>3154.75</v>
      </c>
      <c r="DM44" s="5">
        <f>BC44*'MASTER SHEET'!D44</f>
        <v>0</v>
      </c>
      <c r="DN44" s="5">
        <f>BF44*'MASTER SHEET'!D44</f>
        <v>0</v>
      </c>
      <c r="DO44" s="5">
        <f>BI44*'MASTER SHEET'!D44</f>
        <v>0</v>
      </c>
      <c r="DP44" s="5">
        <f>BL44*'MASTER SHEET'!D44</f>
        <v>0</v>
      </c>
      <c r="DQ44" s="5">
        <f>BO44*'MASTER SHEET'!D44</f>
        <v>0</v>
      </c>
      <c r="DR44" s="5">
        <f>BR44*'MASTER SHEET'!D44</f>
        <v>0</v>
      </c>
      <c r="DS44" s="5">
        <f>BU44*'MASTER SHEET'!D44</f>
        <v>0</v>
      </c>
      <c r="DT44" s="5">
        <f>BX44*'MASTER SHEET'!D44</f>
        <v>0</v>
      </c>
      <c r="DU44" s="5">
        <f>CA44*'MASTER SHEET'!D44</f>
        <v>3154.75</v>
      </c>
      <c r="DV44" s="5">
        <f>CD44*'MASTER SHEET'!D44</f>
        <v>3154.75</v>
      </c>
      <c r="DW44" s="5">
        <f>CG44*'MASTER SHEET'!D44</f>
        <v>0</v>
      </c>
      <c r="DX44" s="5">
        <f>CJ44*'MASTER SHEET'!D44</f>
        <v>0</v>
      </c>
      <c r="DY44" s="5">
        <f>CM44*'MASTER SHEET'!D44</f>
        <v>0</v>
      </c>
      <c r="DZ44" s="5">
        <f>CP44*'MASTER SHEET'!D44</f>
        <v>0</v>
      </c>
      <c r="EA44" s="5">
        <f>CS44*'MASTER SHEET'!D44</f>
        <v>0</v>
      </c>
      <c r="EB44" s="143">
        <f>VLOOKUP($C44,'[1]GREEN LEV.₹'!$I$2:$K$54,3,0)</f>
        <v>2500</v>
      </c>
    </row>
    <row r="45" spans="1:132" ht="15.75" x14ac:dyDescent="0.25">
      <c r="A45" s="25">
        <f>'MASTER SHEET'!A45</f>
        <v>43</v>
      </c>
      <c r="B45" s="26" t="str">
        <f>'MASTER SHEET'!B45</f>
        <v>END PLATE PLASTIC</v>
      </c>
      <c r="C45" s="27">
        <f>'MASTER SHEET'!C45</f>
        <v>5029050</v>
      </c>
      <c r="D45" s="56">
        <v>0</v>
      </c>
      <c r="E45" s="57">
        <f>' WIP '!F45</f>
        <v>0</v>
      </c>
      <c r="F45" s="58">
        <v>0</v>
      </c>
      <c r="G45" s="59">
        <f t="shared" si="63"/>
        <v>0</v>
      </c>
      <c r="H45" s="57">
        <f>' WIP '!J45</f>
        <v>0</v>
      </c>
      <c r="I45" s="58">
        <v>0</v>
      </c>
      <c r="J45" s="59">
        <f t="shared" si="64"/>
        <v>0</v>
      </c>
      <c r="K45" s="57">
        <f>' WIP '!N45</f>
        <v>0</v>
      </c>
      <c r="L45" s="58"/>
      <c r="M45" s="59">
        <f t="shared" si="65"/>
        <v>0</v>
      </c>
      <c r="N45" s="57">
        <f>' WIP '!R45</f>
        <v>0</v>
      </c>
      <c r="O45" s="58">
        <v>0</v>
      </c>
      <c r="P45" s="59">
        <f t="shared" si="66"/>
        <v>0</v>
      </c>
      <c r="Q45" s="57">
        <f>' WIP '!V45</f>
        <v>0</v>
      </c>
      <c r="R45" s="58">
        <v>0</v>
      </c>
      <c r="S45" s="59">
        <f t="shared" si="67"/>
        <v>0</v>
      </c>
      <c r="T45" s="57">
        <f>' WIP '!Z45</f>
        <v>0</v>
      </c>
      <c r="U45" s="58">
        <v>0</v>
      </c>
      <c r="V45" s="59">
        <f t="shared" si="68"/>
        <v>0</v>
      </c>
      <c r="W45" s="57">
        <f>' WIP '!AD45</f>
        <v>0</v>
      </c>
      <c r="X45" s="58">
        <v>0</v>
      </c>
      <c r="Y45" s="59">
        <f t="shared" si="69"/>
        <v>0</v>
      </c>
      <c r="Z45" s="57">
        <f>' WIP '!AH45</f>
        <v>0</v>
      </c>
      <c r="AA45" s="58">
        <v>0</v>
      </c>
      <c r="AB45" s="59">
        <f t="shared" si="70"/>
        <v>0</v>
      </c>
      <c r="AC45" s="57">
        <f>' WIP '!AL45</f>
        <v>0</v>
      </c>
      <c r="AD45" s="58">
        <v>0</v>
      </c>
      <c r="AE45" s="59">
        <f t="shared" si="71"/>
        <v>0</v>
      </c>
      <c r="AF45" s="57">
        <f>' WIP '!AP45</f>
        <v>0</v>
      </c>
      <c r="AG45" s="114">
        <v>0</v>
      </c>
      <c r="AH45" s="59">
        <f t="shared" si="72"/>
        <v>0</v>
      </c>
      <c r="AI45" s="57">
        <f>' WIP '!AT45</f>
        <v>0</v>
      </c>
      <c r="AJ45" s="58">
        <v>0</v>
      </c>
      <c r="AK45" s="59">
        <f t="shared" si="73"/>
        <v>0</v>
      </c>
      <c r="AL45" s="57">
        <f>' WIP '!AX45</f>
        <v>0</v>
      </c>
      <c r="AM45" s="58"/>
      <c r="AN45" s="59">
        <f t="shared" si="74"/>
        <v>0</v>
      </c>
      <c r="AO45" s="57">
        <f>' WIP '!BB45</f>
        <v>0</v>
      </c>
      <c r="AP45" s="58">
        <v>0</v>
      </c>
      <c r="AQ45" s="59">
        <f t="shared" si="75"/>
        <v>0</v>
      </c>
      <c r="AR45" s="57">
        <f>' WIP '!BF45</f>
        <v>0</v>
      </c>
      <c r="AS45" s="58">
        <v>0</v>
      </c>
      <c r="AT45" s="59">
        <f t="shared" si="76"/>
        <v>0</v>
      </c>
      <c r="AU45" s="57">
        <f>' WIP '!BJ45</f>
        <v>0</v>
      </c>
      <c r="AV45" s="58">
        <v>0</v>
      </c>
      <c r="AW45" s="59">
        <f t="shared" si="77"/>
        <v>0</v>
      </c>
      <c r="AX45" s="57">
        <f>' WIP '!BN45</f>
        <v>0</v>
      </c>
      <c r="AY45" s="58">
        <v>0</v>
      </c>
      <c r="AZ45" s="59">
        <f t="shared" si="78"/>
        <v>0</v>
      </c>
      <c r="BA45" s="57">
        <f>' WIP '!BR45</f>
        <v>0</v>
      </c>
      <c r="BB45" s="58">
        <v>0</v>
      </c>
      <c r="BC45" s="59">
        <f t="shared" si="79"/>
        <v>0</v>
      </c>
      <c r="BD45" s="57">
        <f>' WIP '!BV45</f>
        <v>0</v>
      </c>
      <c r="BE45" s="58">
        <v>0</v>
      </c>
      <c r="BF45" s="59">
        <f t="shared" si="80"/>
        <v>0</v>
      </c>
      <c r="BG45" s="57">
        <f>' WIP '!BZ45</f>
        <v>0</v>
      </c>
      <c r="BH45" s="58"/>
      <c r="BI45" s="59">
        <f t="shared" si="81"/>
        <v>0</v>
      </c>
      <c r="BJ45" s="57">
        <f>' WIP '!CD45</f>
        <v>0</v>
      </c>
      <c r="BK45" s="58">
        <v>0</v>
      </c>
      <c r="BL45" s="59">
        <f t="shared" si="82"/>
        <v>0</v>
      </c>
      <c r="BM45" s="57">
        <f>' WIP '!CH45</f>
        <v>0</v>
      </c>
      <c r="BN45" s="58">
        <v>0</v>
      </c>
      <c r="BO45" s="59">
        <f t="shared" si="83"/>
        <v>0</v>
      </c>
      <c r="BP45" s="57">
        <f>' WIP '!CL45</f>
        <v>0</v>
      </c>
      <c r="BQ45" s="58"/>
      <c r="BR45" s="59">
        <f t="shared" si="84"/>
        <v>0</v>
      </c>
      <c r="BS45" s="57">
        <f>' WIP '!CP45</f>
        <v>0</v>
      </c>
      <c r="BT45" s="58">
        <v>0</v>
      </c>
      <c r="BU45" s="59">
        <f t="shared" si="85"/>
        <v>0</v>
      </c>
      <c r="BV45" s="57">
        <f>' WIP '!CT45</f>
        <v>0</v>
      </c>
      <c r="BW45" s="28">
        <v>0</v>
      </c>
      <c r="BX45" s="59">
        <f t="shared" si="86"/>
        <v>0</v>
      </c>
      <c r="BY45" s="57">
        <f>' WIP '!CX45</f>
        <v>0</v>
      </c>
      <c r="BZ45" s="58">
        <v>0</v>
      </c>
      <c r="CA45" s="59">
        <f t="shared" si="87"/>
        <v>0</v>
      </c>
      <c r="CB45" s="57">
        <f>' WIP '!DB45</f>
        <v>0</v>
      </c>
      <c r="CC45" s="58">
        <v>0</v>
      </c>
      <c r="CD45" s="59">
        <f t="shared" si="88"/>
        <v>0</v>
      </c>
      <c r="CE45" s="57">
        <f>' WIP '!DF45</f>
        <v>0</v>
      </c>
      <c r="CF45" s="58">
        <v>0</v>
      </c>
      <c r="CG45" s="59">
        <f t="shared" si="89"/>
        <v>0</v>
      </c>
      <c r="CH45" s="57">
        <f>' WIP '!DJ45</f>
        <v>0</v>
      </c>
      <c r="CI45" s="58">
        <v>0</v>
      </c>
      <c r="CJ45" s="59">
        <f t="shared" si="90"/>
        <v>0</v>
      </c>
      <c r="CK45" s="57">
        <f>' WIP '!DN45</f>
        <v>0</v>
      </c>
      <c r="CL45" s="58">
        <v>0</v>
      </c>
      <c r="CM45" s="59">
        <f t="shared" si="91"/>
        <v>0</v>
      </c>
      <c r="CN45" s="57">
        <f>' WIP '!DR45</f>
        <v>0</v>
      </c>
      <c r="CO45" s="57"/>
      <c r="CP45" s="59">
        <f t="shared" si="92"/>
        <v>0</v>
      </c>
      <c r="CQ45" s="57">
        <f>' WIP '!DV45</f>
        <v>0</v>
      </c>
      <c r="CR45" s="58"/>
      <c r="CS45" s="59">
        <f t="shared" si="93"/>
        <v>0</v>
      </c>
      <c r="CT45" s="31">
        <f t="shared" si="94"/>
        <v>0</v>
      </c>
      <c r="CU45" s="4">
        <f t="shared" si="95"/>
        <v>0</v>
      </c>
      <c r="CV45" s="5">
        <f>D45*'MASTER SHEET'!D45</f>
        <v>0</v>
      </c>
      <c r="CW45" s="5">
        <f>G45*'MASTER SHEET'!D45</f>
        <v>0</v>
      </c>
      <c r="CX45" s="5">
        <f>J45*'MASTER SHEET'!D45</f>
        <v>0</v>
      </c>
      <c r="CY45" s="5">
        <f>M45*'MASTER SHEET'!D45</f>
        <v>0</v>
      </c>
      <c r="CZ45" s="5">
        <f>P45*'MASTER SHEET'!D45</f>
        <v>0</v>
      </c>
      <c r="DA45" s="5">
        <f>S45*'MASTER SHEET'!D45</f>
        <v>0</v>
      </c>
      <c r="DB45" s="5">
        <f>V45*'MASTER SHEET'!D45</f>
        <v>0</v>
      </c>
      <c r="DC45" s="5">
        <f>Y45*'MASTER SHEET'!D45</f>
        <v>0</v>
      </c>
      <c r="DD45" s="5">
        <f>AB45*'MASTER SHEET'!D45</f>
        <v>0</v>
      </c>
      <c r="DE45" s="5">
        <f>AE45*'MASTER SHEET'!D45</f>
        <v>0</v>
      </c>
      <c r="DF45" s="5">
        <f>AH45*'MASTER SHEET'!D45</f>
        <v>0</v>
      </c>
      <c r="DG45" s="5">
        <f>AK45*'MASTER SHEET'!D45</f>
        <v>0</v>
      </c>
      <c r="DH45" s="5">
        <f>AN45*'MASTER SHEET'!D45</f>
        <v>0</v>
      </c>
      <c r="DI45" s="5">
        <f>AQ45*'MASTER SHEET'!D45</f>
        <v>0</v>
      </c>
      <c r="DJ45" s="5">
        <f>AT45*'MASTER SHEET'!D45</f>
        <v>0</v>
      </c>
      <c r="DK45" s="5">
        <f>AW45*'MASTER SHEET'!D45</f>
        <v>0</v>
      </c>
      <c r="DL45" s="5">
        <f>AZ45*'MASTER SHEET'!D45</f>
        <v>0</v>
      </c>
      <c r="DM45" s="5">
        <f>BC45*'MASTER SHEET'!D45</f>
        <v>0</v>
      </c>
      <c r="DN45" s="5">
        <f>BF45*'MASTER SHEET'!D45</f>
        <v>0</v>
      </c>
      <c r="DO45" s="5">
        <f>BI45*'MASTER SHEET'!D45</f>
        <v>0</v>
      </c>
      <c r="DP45" s="5">
        <f>BL45*'MASTER SHEET'!D45</f>
        <v>0</v>
      </c>
      <c r="DQ45" s="5">
        <f>BO45*'MASTER SHEET'!D45</f>
        <v>0</v>
      </c>
      <c r="DR45" s="5">
        <f>BR45*'MASTER SHEET'!D45</f>
        <v>0</v>
      </c>
      <c r="DS45" s="5">
        <f>BU45*'MASTER SHEET'!D45</f>
        <v>0</v>
      </c>
      <c r="DT45" s="5">
        <f>BX45*'MASTER SHEET'!D45</f>
        <v>0</v>
      </c>
      <c r="DU45" s="5">
        <f>CA45*'MASTER SHEET'!D45</f>
        <v>0</v>
      </c>
      <c r="DV45" s="5">
        <f>CD45*'MASTER SHEET'!D45</f>
        <v>0</v>
      </c>
      <c r="DW45" s="5">
        <f>CG45*'MASTER SHEET'!D45</f>
        <v>0</v>
      </c>
      <c r="DX45" s="5">
        <f>CJ45*'MASTER SHEET'!D45</f>
        <v>0</v>
      </c>
      <c r="DY45" s="5">
        <f>CM45*'MASTER SHEET'!D45</f>
        <v>0</v>
      </c>
      <c r="DZ45" s="5">
        <f>CP45*'MASTER SHEET'!D45</f>
        <v>0</v>
      </c>
      <c r="EA45" s="5">
        <f>CS45*'MASTER SHEET'!D45</f>
        <v>0</v>
      </c>
      <c r="EB45" s="9"/>
    </row>
    <row r="46" spans="1:132" ht="15.75" x14ac:dyDescent="0.25">
      <c r="A46" s="25">
        <f>'MASTER SHEET'!A46</f>
        <v>44</v>
      </c>
      <c r="B46" s="26" t="str">
        <f>'MASTER SHEET'!B46</f>
        <v>END PLATE PLASTIC</v>
      </c>
      <c r="C46" s="27">
        <f>'MASTER SHEET'!C46</f>
        <v>5029356</v>
      </c>
      <c r="D46" s="56">
        <v>500</v>
      </c>
      <c r="E46" s="57">
        <f>' WIP '!F46</f>
        <v>0</v>
      </c>
      <c r="F46" s="58">
        <v>0</v>
      </c>
      <c r="G46" s="59">
        <f t="shared" si="63"/>
        <v>500</v>
      </c>
      <c r="H46" s="57">
        <f>' WIP '!J46</f>
        <v>0</v>
      </c>
      <c r="I46" s="58">
        <v>0</v>
      </c>
      <c r="J46" s="59">
        <f t="shared" si="64"/>
        <v>500</v>
      </c>
      <c r="K46" s="57">
        <f>' WIP '!N46</f>
        <v>0</v>
      </c>
      <c r="L46" s="58"/>
      <c r="M46" s="59">
        <f t="shared" si="65"/>
        <v>500</v>
      </c>
      <c r="N46" s="57">
        <f>' WIP '!R46</f>
        <v>0</v>
      </c>
      <c r="O46" s="58">
        <v>0</v>
      </c>
      <c r="P46" s="59">
        <f t="shared" si="66"/>
        <v>500</v>
      </c>
      <c r="Q46" s="57">
        <f>' WIP '!V46</f>
        <v>0</v>
      </c>
      <c r="R46" s="58">
        <v>0</v>
      </c>
      <c r="S46" s="59">
        <f t="shared" si="67"/>
        <v>500</v>
      </c>
      <c r="T46" s="57">
        <f>' WIP '!Z46</f>
        <v>0</v>
      </c>
      <c r="U46" s="58">
        <v>0</v>
      </c>
      <c r="V46" s="59">
        <f t="shared" si="68"/>
        <v>500</v>
      </c>
      <c r="W46" s="57">
        <f>' WIP '!AD46</f>
        <v>0</v>
      </c>
      <c r="X46" s="58">
        <v>0</v>
      </c>
      <c r="Y46" s="59">
        <f t="shared" si="69"/>
        <v>500</v>
      </c>
      <c r="Z46" s="57">
        <f>' WIP '!AH46</f>
        <v>0</v>
      </c>
      <c r="AA46" s="58">
        <v>0</v>
      </c>
      <c r="AB46" s="59">
        <f t="shared" si="70"/>
        <v>500</v>
      </c>
      <c r="AC46" s="57">
        <f>' WIP '!AL46</f>
        <v>0</v>
      </c>
      <c r="AD46" s="58">
        <v>0</v>
      </c>
      <c r="AE46" s="59">
        <f t="shared" si="71"/>
        <v>500</v>
      </c>
      <c r="AF46" s="57">
        <f>' WIP '!AP46</f>
        <v>0</v>
      </c>
      <c r="AG46" s="114">
        <v>0</v>
      </c>
      <c r="AH46" s="59">
        <f t="shared" si="72"/>
        <v>500</v>
      </c>
      <c r="AI46" s="57">
        <f>' WIP '!AT46</f>
        <v>0</v>
      </c>
      <c r="AJ46" s="58">
        <v>0</v>
      </c>
      <c r="AK46" s="59">
        <f t="shared" si="73"/>
        <v>500</v>
      </c>
      <c r="AL46" s="57">
        <f>' WIP '!AX46</f>
        <v>0</v>
      </c>
      <c r="AM46" s="58"/>
      <c r="AN46" s="59">
        <f t="shared" si="74"/>
        <v>500</v>
      </c>
      <c r="AO46" s="57">
        <f>' WIP '!BB46</f>
        <v>0</v>
      </c>
      <c r="AP46" s="58">
        <v>0</v>
      </c>
      <c r="AQ46" s="59">
        <f t="shared" si="75"/>
        <v>500</v>
      </c>
      <c r="AR46" s="57">
        <f>' WIP '!BF46</f>
        <v>0</v>
      </c>
      <c r="AS46" s="58">
        <v>0</v>
      </c>
      <c r="AT46" s="59">
        <f t="shared" si="76"/>
        <v>500</v>
      </c>
      <c r="AU46" s="57">
        <f>' WIP '!BJ46</f>
        <v>0</v>
      </c>
      <c r="AV46" s="58">
        <v>0</v>
      </c>
      <c r="AW46" s="59">
        <f t="shared" si="77"/>
        <v>500</v>
      </c>
      <c r="AX46" s="57">
        <f>' WIP '!BN46</f>
        <v>0</v>
      </c>
      <c r="AY46" s="58">
        <v>0</v>
      </c>
      <c r="AZ46" s="59">
        <f t="shared" si="78"/>
        <v>500</v>
      </c>
      <c r="BA46" s="57">
        <f>' WIP '!BR46</f>
        <v>0</v>
      </c>
      <c r="BB46" s="58">
        <v>0</v>
      </c>
      <c r="BC46" s="59">
        <f t="shared" si="79"/>
        <v>500</v>
      </c>
      <c r="BD46" s="57">
        <f>' WIP '!BV46</f>
        <v>0</v>
      </c>
      <c r="BE46" s="58">
        <v>0</v>
      </c>
      <c r="BF46" s="59">
        <f t="shared" si="80"/>
        <v>500</v>
      </c>
      <c r="BG46" s="57">
        <f>' WIP '!BZ46</f>
        <v>0</v>
      </c>
      <c r="BH46" s="58"/>
      <c r="BI46" s="59">
        <f t="shared" si="81"/>
        <v>500</v>
      </c>
      <c r="BJ46" s="57">
        <f>' WIP '!CD46</f>
        <v>0</v>
      </c>
      <c r="BK46" s="58">
        <v>0</v>
      </c>
      <c r="BL46" s="59">
        <f t="shared" si="82"/>
        <v>500</v>
      </c>
      <c r="BM46" s="57">
        <f>' WIP '!CH46</f>
        <v>0</v>
      </c>
      <c r="BN46" s="58">
        <v>0</v>
      </c>
      <c r="BO46" s="59">
        <f t="shared" si="83"/>
        <v>500</v>
      </c>
      <c r="BP46" s="57">
        <f>' WIP '!CL46</f>
        <v>0</v>
      </c>
      <c r="BQ46" s="58"/>
      <c r="BR46" s="59">
        <f t="shared" si="84"/>
        <v>500</v>
      </c>
      <c r="BS46" s="57">
        <f>' WIP '!CP46</f>
        <v>0</v>
      </c>
      <c r="BT46" s="58">
        <v>0</v>
      </c>
      <c r="BU46" s="59">
        <f t="shared" si="85"/>
        <v>500</v>
      </c>
      <c r="BV46" s="57">
        <f>' WIP '!CT46</f>
        <v>0</v>
      </c>
      <c r="BW46" s="28">
        <v>0</v>
      </c>
      <c r="BX46" s="59">
        <f t="shared" si="86"/>
        <v>500</v>
      </c>
      <c r="BY46" s="57">
        <f>' WIP '!CX46</f>
        <v>0</v>
      </c>
      <c r="BZ46" s="58">
        <v>0</v>
      </c>
      <c r="CA46" s="59">
        <f t="shared" si="87"/>
        <v>500</v>
      </c>
      <c r="CB46" s="57">
        <f>' WIP '!DB46</f>
        <v>0</v>
      </c>
      <c r="CC46" s="58">
        <v>0</v>
      </c>
      <c r="CD46" s="59">
        <f t="shared" si="88"/>
        <v>500</v>
      </c>
      <c r="CE46" s="57">
        <f>' WIP '!DF46</f>
        <v>0</v>
      </c>
      <c r="CF46" s="58">
        <v>0</v>
      </c>
      <c r="CG46" s="59">
        <f t="shared" si="89"/>
        <v>500</v>
      </c>
      <c r="CH46" s="57">
        <f>' WIP '!DJ46</f>
        <v>0</v>
      </c>
      <c r="CI46" s="58">
        <v>0</v>
      </c>
      <c r="CJ46" s="59">
        <f t="shared" si="90"/>
        <v>500</v>
      </c>
      <c r="CK46" s="57">
        <f>' WIP '!DN46</f>
        <v>0</v>
      </c>
      <c r="CL46" s="58">
        <v>0</v>
      </c>
      <c r="CM46" s="59">
        <f t="shared" si="91"/>
        <v>500</v>
      </c>
      <c r="CN46" s="57">
        <f>' WIP '!DR46</f>
        <v>0</v>
      </c>
      <c r="CO46" s="57"/>
      <c r="CP46" s="59">
        <f t="shared" si="92"/>
        <v>500</v>
      </c>
      <c r="CQ46" s="57">
        <f>' WIP '!DV46</f>
        <v>0</v>
      </c>
      <c r="CR46" s="58"/>
      <c r="CS46" s="59">
        <f t="shared" si="93"/>
        <v>500</v>
      </c>
      <c r="CT46" s="31">
        <f t="shared" si="94"/>
        <v>500</v>
      </c>
      <c r="CU46" s="4">
        <f t="shared" si="95"/>
        <v>0</v>
      </c>
      <c r="CV46" s="5">
        <f>D46*'MASTER SHEET'!D46</f>
        <v>6840</v>
      </c>
      <c r="CW46" s="5">
        <f>G46*'MASTER SHEET'!D46</f>
        <v>6840</v>
      </c>
      <c r="CX46" s="5">
        <f>J46*'MASTER SHEET'!D46</f>
        <v>6840</v>
      </c>
      <c r="CY46" s="5">
        <f>M46*'MASTER SHEET'!D46</f>
        <v>6840</v>
      </c>
      <c r="CZ46" s="5">
        <f>P46*'MASTER SHEET'!D46</f>
        <v>6840</v>
      </c>
      <c r="DA46" s="5">
        <f>S46*'MASTER SHEET'!D46</f>
        <v>6840</v>
      </c>
      <c r="DB46" s="5">
        <f>V46*'MASTER SHEET'!D46</f>
        <v>6840</v>
      </c>
      <c r="DC46" s="5">
        <f>Y46*'MASTER SHEET'!D46</f>
        <v>6840</v>
      </c>
      <c r="DD46" s="5">
        <f>AB46*'MASTER SHEET'!D46</f>
        <v>6840</v>
      </c>
      <c r="DE46" s="5">
        <f>AE46*'MASTER SHEET'!D46</f>
        <v>6840</v>
      </c>
      <c r="DF46" s="5">
        <f>AH46*'MASTER SHEET'!D46</f>
        <v>6840</v>
      </c>
      <c r="DG46" s="5">
        <f>AK46*'MASTER SHEET'!D46</f>
        <v>6840</v>
      </c>
      <c r="DH46" s="5">
        <f>AN46*'MASTER SHEET'!D46</f>
        <v>6840</v>
      </c>
      <c r="DI46" s="5">
        <f>AQ46*'MASTER SHEET'!D46</f>
        <v>6840</v>
      </c>
      <c r="DJ46" s="5">
        <f>AT46*'MASTER SHEET'!D46</f>
        <v>6840</v>
      </c>
      <c r="DK46" s="5">
        <f>AW46*'MASTER SHEET'!D46</f>
        <v>6840</v>
      </c>
      <c r="DL46" s="5">
        <f>AZ46*'MASTER SHEET'!D46</f>
        <v>6840</v>
      </c>
      <c r="DM46" s="5">
        <f>BC46*'MASTER SHEET'!D46</f>
        <v>6840</v>
      </c>
      <c r="DN46" s="5">
        <f>BF46*'MASTER SHEET'!D46</f>
        <v>6840</v>
      </c>
      <c r="DO46" s="5">
        <f>BI46*'MASTER SHEET'!D46</f>
        <v>6840</v>
      </c>
      <c r="DP46" s="5">
        <f>BL46*'MASTER SHEET'!D46</f>
        <v>6840</v>
      </c>
      <c r="DQ46" s="5">
        <f>BO46*'MASTER SHEET'!D46</f>
        <v>6840</v>
      </c>
      <c r="DR46" s="5">
        <f>BR46*'MASTER SHEET'!D46</f>
        <v>6840</v>
      </c>
      <c r="DS46" s="5">
        <f>BU46*'MASTER SHEET'!D46</f>
        <v>6840</v>
      </c>
      <c r="DT46" s="5">
        <f>BX46*'MASTER SHEET'!D46</f>
        <v>6840</v>
      </c>
      <c r="DU46" s="5">
        <f>CA46*'MASTER SHEET'!D46</f>
        <v>6840</v>
      </c>
      <c r="DV46" s="5">
        <f>CD46*'MASTER SHEET'!D46</f>
        <v>6840</v>
      </c>
      <c r="DW46" s="5">
        <f>CG46*'MASTER SHEET'!D46</f>
        <v>6840</v>
      </c>
      <c r="DX46" s="5">
        <f>CJ46*'MASTER SHEET'!D46</f>
        <v>6840</v>
      </c>
      <c r="DY46" s="5">
        <f>CM46*'MASTER SHEET'!D46</f>
        <v>6840</v>
      </c>
      <c r="DZ46" s="5">
        <f>CP46*'MASTER SHEET'!D46</f>
        <v>6840</v>
      </c>
      <c r="EA46" s="5">
        <f>CS46*'MASTER SHEET'!D46</f>
        <v>6840</v>
      </c>
      <c r="EB46" s="143">
        <f>VLOOKUP($C46,'[1]GREEN LEV.₹'!$I$2:$K$54,3,0)</f>
        <v>200</v>
      </c>
    </row>
    <row r="47" spans="1:132" ht="15.75" x14ac:dyDescent="0.25">
      <c r="A47" s="25">
        <f>'MASTER SHEET'!A47</f>
        <v>45</v>
      </c>
      <c r="B47" s="26" t="str">
        <f>'MASTER SHEET'!B47</f>
        <v>END PLATE PLASTIC</v>
      </c>
      <c r="C47" s="27">
        <f>'MASTER SHEET'!C47</f>
        <v>5029357</v>
      </c>
      <c r="D47" s="56">
        <v>3100</v>
      </c>
      <c r="E47" s="57">
        <f>' WIP '!F47</f>
        <v>0</v>
      </c>
      <c r="F47" s="58">
        <v>0</v>
      </c>
      <c r="G47" s="59">
        <f t="shared" si="63"/>
        <v>3100</v>
      </c>
      <c r="H47" s="57">
        <f>' WIP '!J47</f>
        <v>0</v>
      </c>
      <c r="I47" s="58">
        <v>0</v>
      </c>
      <c r="J47" s="59">
        <f t="shared" si="64"/>
        <v>3100</v>
      </c>
      <c r="K47" s="57">
        <f>' WIP '!N47</f>
        <v>0</v>
      </c>
      <c r="L47" s="58"/>
      <c r="M47" s="59">
        <f t="shared" si="65"/>
        <v>3100</v>
      </c>
      <c r="N47" s="57">
        <f>' WIP '!R47</f>
        <v>0</v>
      </c>
      <c r="O47" s="58">
        <v>0</v>
      </c>
      <c r="P47" s="59">
        <f t="shared" si="66"/>
        <v>3100</v>
      </c>
      <c r="Q47" s="57">
        <f>' WIP '!V47</f>
        <v>0</v>
      </c>
      <c r="R47" s="58">
        <v>0</v>
      </c>
      <c r="S47" s="59">
        <f t="shared" si="67"/>
        <v>3100</v>
      </c>
      <c r="T47" s="57">
        <f>' WIP '!Z47</f>
        <v>0</v>
      </c>
      <c r="U47" s="58">
        <v>0</v>
      </c>
      <c r="V47" s="59">
        <f t="shared" si="68"/>
        <v>3100</v>
      </c>
      <c r="W47" s="57">
        <f>' WIP '!AD47</f>
        <v>0</v>
      </c>
      <c r="X47" s="58">
        <v>0</v>
      </c>
      <c r="Y47" s="59">
        <f t="shared" si="69"/>
        <v>3100</v>
      </c>
      <c r="Z47" s="57">
        <f>' WIP '!AH47</f>
        <v>0</v>
      </c>
      <c r="AA47" s="58">
        <v>0</v>
      </c>
      <c r="AB47" s="59">
        <f t="shared" si="70"/>
        <v>3100</v>
      </c>
      <c r="AC47" s="57">
        <f>' WIP '!AL47</f>
        <v>0</v>
      </c>
      <c r="AD47" s="58">
        <v>0</v>
      </c>
      <c r="AE47" s="59">
        <f t="shared" si="71"/>
        <v>3100</v>
      </c>
      <c r="AF47" s="57">
        <f>' WIP '!AP47</f>
        <v>0</v>
      </c>
      <c r="AG47" s="114">
        <v>0</v>
      </c>
      <c r="AH47" s="59">
        <f t="shared" si="72"/>
        <v>3100</v>
      </c>
      <c r="AI47" s="57">
        <f>' WIP '!AT47</f>
        <v>0</v>
      </c>
      <c r="AJ47" s="58">
        <v>0</v>
      </c>
      <c r="AK47" s="59">
        <f t="shared" si="73"/>
        <v>3100</v>
      </c>
      <c r="AL47" s="57">
        <f>' WIP '!AX47</f>
        <v>0</v>
      </c>
      <c r="AM47" s="58"/>
      <c r="AN47" s="59">
        <f t="shared" si="74"/>
        <v>3100</v>
      </c>
      <c r="AO47" s="57">
        <f>' WIP '!BB47</f>
        <v>0</v>
      </c>
      <c r="AP47" s="58">
        <v>100</v>
      </c>
      <c r="AQ47" s="59">
        <f t="shared" si="75"/>
        <v>3000</v>
      </c>
      <c r="AR47" s="57">
        <f>' WIP '!BF47</f>
        <v>0</v>
      </c>
      <c r="AS47" s="58">
        <v>0</v>
      </c>
      <c r="AT47" s="59">
        <f t="shared" si="76"/>
        <v>3000</v>
      </c>
      <c r="AU47" s="57">
        <f>' WIP '!BJ47</f>
        <v>0</v>
      </c>
      <c r="AV47" s="58">
        <v>0</v>
      </c>
      <c r="AW47" s="59">
        <f t="shared" si="77"/>
        <v>3000</v>
      </c>
      <c r="AX47" s="57">
        <f>' WIP '!BN47</f>
        <v>0</v>
      </c>
      <c r="AY47" s="58">
        <v>0</v>
      </c>
      <c r="AZ47" s="59">
        <f t="shared" si="78"/>
        <v>3000</v>
      </c>
      <c r="BA47" s="57">
        <f>' WIP '!BR47</f>
        <v>0</v>
      </c>
      <c r="BB47" s="58">
        <v>0</v>
      </c>
      <c r="BC47" s="59">
        <f t="shared" si="79"/>
        <v>3000</v>
      </c>
      <c r="BD47" s="57">
        <f>' WIP '!BV47</f>
        <v>0</v>
      </c>
      <c r="BE47" s="58">
        <v>0</v>
      </c>
      <c r="BF47" s="59">
        <f t="shared" si="80"/>
        <v>3000</v>
      </c>
      <c r="BG47" s="57">
        <f>' WIP '!BZ47</f>
        <v>0</v>
      </c>
      <c r="BH47" s="58"/>
      <c r="BI47" s="59">
        <f t="shared" si="81"/>
        <v>3000</v>
      </c>
      <c r="BJ47" s="57">
        <f>' WIP '!CD47</f>
        <v>0</v>
      </c>
      <c r="BK47" s="58">
        <v>0</v>
      </c>
      <c r="BL47" s="59">
        <f t="shared" si="82"/>
        <v>3000</v>
      </c>
      <c r="BM47" s="57">
        <f>' WIP '!CH47</f>
        <v>0</v>
      </c>
      <c r="BN47" s="58">
        <v>100</v>
      </c>
      <c r="BO47" s="59">
        <f t="shared" si="83"/>
        <v>2900</v>
      </c>
      <c r="BP47" s="57">
        <f>' WIP '!CL47</f>
        <v>0</v>
      </c>
      <c r="BQ47" s="58"/>
      <c r="BR47" s="59">
        <f t="shared" si="84"/>
        <v>2900</v>
      </c>
      <c r="BS47" s="57">
        <f>' WIP '!CP47</f>
        <v>0</v>
      </c>
      <c r="BT47" s="58">
        <v>0</v>
      </c>
      <c r="BU47" s="59">
        <f t="shared" si="85"/>
        <v>2900</v>
      </c>
      <c r="BV47" s="57">
        <f>' WIP '!CT47</f>
        <v>0</v>
      </c>
      <c r="BW47" s="28">
        <v>0</v>
      </c>
      <c r="BX47" s="59">
        <f t="shared" si="86"/>
        <v>2900</v>
      </c>
      <c r="BY47" s="57">
        <f>' WIP '!CX47</f>
        <v>0</v>
      </c>
      <c r="BZ47" s="58">
        <v>0</v>
      </c>
      <c r="CA47" s="59">
        <f t="shared" si="87"/>
        <v>2900</v>
      </c>
      <c r="CB47" s="57">
        <f>' WIP '!DB47</f>
        <v>0</v>
      </c>
      <c r="CC47" s="58">
        <v>0</v>
      </c>
      <c r="CD47" s="59">
        <f t="shared" si="88"/>
        <v>2900</v>
      </c>
      <c r="CE47" s="57">
        <f>' WIP '!DF47</f>
        <v>0</v>
      </c>
      <c r="CF47" s="58">
        <v>0</v>
      </c>
      <c r="CG47" s="59">
        <f t="shared" si="89"/>
        <v>2900</v>
      </c>
      <c r="CH47" s="57">
        <f>' WIP '!DJ47</f>
        <v>0</v>
      </c>
      <c r="CI47" s="58">
        <v>0</v>
      </c>
      <c r="CJ47" s="59">
        <f t="shared" si="90"/>
        <v>2900</v>
      </c>
      <c r="CK47" s="57">
        <f>' WIP '!DN47</f>
        <v>0</v>
      </c>
      <c r="CL47" s="58">
        <v>0</v>
      </c>
      <c r="CM47" s="59">
        <f t="shared" si="91"/>
        <v>2900</v>
      </c>
      <c r="CN47" s="57">
        <f>' WIP '!DR47</f>
        <v>0</v>
      </c>
      <c r="CO47" s="57"/>
      <c r="CP47" s="59">
        <f t="shared" si="92"/>
        <v>2900</v>
      </c>
      <c r="CQ47" s="57">
        <f>' WIP '!DV47</f>
        <v>0</v>
      </c>
      <c r="CR47" s="58"/>
      <c r="CS47" s="59">
        <f t="shared" si="93"/>
        <v>2900</v>
      </c>
      <c r="CT47" s="31">
        <f t="shared" si="94"/>
        <v>3100</v>
      </c>
      <c r="CU47" s="4">
        <f t="shared" si="95"/>
        <v>200</v>
      </c>
      <c r="CV47" s="5">
        <f>D47*'MASTER SHEET'!D47</f>
        <v>37665</v>
      </c>
      <c r="CW47" s="5">
        <f>G47*'MASTER SHEET'!D47</f>
        <v>37665</v>
      </c>
      <c r="CX47" s="5">
        <f>J47*'MASTER SHEET'!D47</f>
        <v>37665</v>
      </c>
      <c r="CY47" s="5">
        <f>M47*'MASTER SHEET'!D47</f>
        <v>37665</v>
      </c>
      <c r="CZ47" s="5">
        <f>P47*'MASTER SHEET'!D47</f>
        <v>37665</v>
      </c>
      <c r="DA47" s="5">
        <f>S47*'MASTER SHEET'!D47</f>
        <v>37665</v>
      </c>
      <c r="DB47" s="5">
        <f>V47*'MASTER SHEET'!D47</f>
        <v>37665</v>
      </c>
      <c r="DC47" s="5">
        <f>Y47*'MASTER SHEET'!D47</f>
        <v>37665</v>
      </c>
      <c r="DD47" s="5">
        <f>AB47*'MASTER SHEET'!D47</f>
        <v>37665</v>
      </c>
      <c r="DE47" s="5">
        <f>AE47*'MASTER SHEET'!D47</f>
        <v>37665</v>
      </c>
      <c r="DF47" s="5">
        <f>AH47*'MASTER SHEET'!D47</f>
        <v>37665</v>
      </c>
      <c r="DG47" s="5">
        <f>AK47*'MASTER SHEET'!D47</f>
        <v>37665</v>
      </c>
      <c r="DH47" s="5">
        <f>AN47*'MASTER SHEET'!D47</f>
        <v>37665</v>
      </c>
      <c r="DI47" s="5">
        <f>AQ47*'MASTER SHEET'!D47</f>
        <v>36450</v>
      </c>
      <c r="DJ47" s="5">
        <f>AT47*'MASTER SHEET'!D47</f>
        <v>36450</v>
      </c>
      <c r="DK47" s="5">
        <f>AW47*'MASTER SHEET'!D47</f>
        <v>36450</v>
      </c>
      <c r="DL47" s="5">
        <f>AZ47*'MASTER SHEET'!D47</f>
        <v>36450</v>
      </c>
      <c r="DM47" s="5">
        <f>BC47*'MASTER SHEET'!D47</f>
        <v>36450</v>
      </c>
      <c r="DN47" s="5">
        <f>BF47*'MASTER SHEET'!D47</f>
        <v>36450</v>
      </c>
      <c r="DO47" s="5">
        <f>BI47*'MASTER SHEET'!D47</f>
        <v>36450</v>
      </c>
      <c r="DP47" s="5">
        <f>BL47*'MASTER SHEET'!D47</f>
        <v>36450</v>
      </c>
      <c r="DQ47" s="5">
        <f>BO47*'MASTER SHEET'!D47</f>
        <v>35235</v>
      </c>
      <c r="DR47" s="5">
        <f>BR47*'MASTER SHEET'!D47</f>
        <v>35235</v>
      </c>
      <c r="DS47" s="5">
        <f>BU47*'MASTER SHEET'!D47</f>
        <v>35235</v>
      </c>
      <c r="DT47" s="5">
        <f>BX47*'MASTER SHEET'!D47</f>
        <v>35235</v>
      </c>
      <c r="DU47" s="5">
        <f>CA47*'MASTER SHEET'!D47</f>
        <v>35235</v>
      </c>
      <c r="DV47" s="5">
        <f>CD47*'MASTER SHEET'!D47</f>
        <v>35235</v>
      </c>
      <c r="DW47" s="5">
        <f>CG47*'MASTER SHEET'!D47</f>
        <v>35235</v>
      </c>
      <c r="DX47" s="5">
        <f>CJ47*'MASTER SHEET'!D47</f>
        <v>35235</v>
      </c>
      <c r="DY47" s="5">
        <f>CM47*'MASTER SHEET'!D47</f>
        <v>35235</v>
      </c>
      <c r="DZ47" s="5">
        <f>CP47*'MASTER SHEET'!D47</f>
        <v>35235</v>
      </c>
      <c r="EA47" s="5">
        <f>CS47*'MASTER SHEET'!D47</f>
        <v>35235</v>
      </c>
      <c r="EB47" s="143">
        <f>VLOOKUP($C47,'[1]GREEN LEV.₹'!$I$2:$K$54,3,0)</f>
        <v>200</v>
      </c>
    </row>
    <row r="48" spans="1:132" ht="15.75" x14ac:dyDescent="0.25">
      <c r="A48" s="25">
        <f>'MASTER SHEET'!A48</f>
        <v>46</v>
      </c>
      <c r="B48" s="26" t="str">
        <f>'MASTER SHEET'!B48</f>
        <v>CENTERTUBE PLASTIC</v>
      </c>
      <c r="C48" s="27">
        <f>'MASTER SHEET'!C48</f>
        <v>5029358</v>
      </c>
      <c r="D48" s="56">
        <v>960</v>
      </c>
      <c r="E48" s="57">
        <f>' WIP '!F48</f>
        <v>0</v>
      </c>
      <c r="F48" s="58">
        <v>0</v>
      </c>
      <c r="G48" s="59">
        <f t="shared" si="63"/>
        <v>960</v>
      </c>
      <c r="H48" s="57">
        <f>' WIP '!J48</f>
        <v>0</v>
      </c>
      <c r="I48" s="58">
        <v>0</v>
      </c>
      <c r="J48" s="59">
        <f t="shared" si="64"/>
        <v>960</v>
      </c>
      <c r="K48" s="57">
        <f>' WIP '!N48</f>
        <v>0</v>
      </c>
      <c r="L48" s="58"/>
      <c r="M48" s="59">
        <f t="shared" si="65"/>
        <v>960</v>
      </c>
      <c r="N48" s="57">
        <f>' WIP '!R48</f>
        <v>0</v>
      </c>
      <c r="O48" s="58">
        <v>0</v>
      </c>
      <c r="P48" s="59">
        <f t="shared" si="66"/>
        <v>960</v>
      </c>
      <c r="Q48" s="57">
        <f>' WIP '!V48</f>
        <v>0</v>
      </c>
      <c r="R48" s="58">
        <v>0</v>
      </c>
      <c r="S48" s="59">
        <f t="shared" si="67"/>
        <v>960</v>
      </c>
      <c r="T48" s="57">
        <f>' WIP '!Z48</f>
        <v>0</v>
      </c>
      <c r="U48" s="58">
        <v>0</v>
      </c>
      <c r="V48" s="59">
        <f t="shared" si="68"/>
        <v>960</v>
      </c>
      <c r="W48" s="57">
        <f>' WIP '!AD48</f>
        <v>0</v>
      </c>
      <c r="X48" s="58">
        <v>0</v>
      </c>
      <c r="Y48" s="59">
        <f t="shared" si="69"/>
        <v>960</v>
      </c>
      <c r="Z48" s="57">
        <f>' WIP '!AH48</f>
        <v>0</v>
      </c>
      <c r="AA48" s="58">
        <v>0</v>
      </c>
      <c r="AB48" s="59">
        <f t="shared" si="70"/>
        <v>960</v>
      </c>
      <c r="AC48" s="57">
        <f>' WIP '!AL48</f>
        <v>0</v>
      </c>
      <c r="AD48" s="58">
        <v>0</v>
      </c>
      <c r="AE48" s="59">
        <f t="shared" si="71"/>
        <v>960</v>
      </c>
      <c r="AF48" s="57">
        <f>' WIP '!AP48</f>
        <v>0</v>
      </c>
      <c r="AG48" s="114">
        <v>0</v>
      </c>
      <c r="AH48" s="59">
        <f t="shared" si="72"/>
        <v>960</v>
      </c>
      <c r="AI48" s="57">
        <f>' WIP '!AT48</f>
        <v>0</v>
      </c>
      <c r="AJ48" s="58">
        <v>0</v>
      </c>
      <c r="AK48" s="59">
        <f t="shared" si="73"/>
        <v>960</v>
      </c>
      <c r="AL48" s="57">
        <f>' WIP '!AX48</f>
        <v>0</v>
      </c>
      <c r="AM48" s="58"/>
      <c r="AN48" s="59">
        <f t="shared" si="74"/>
        <v>960</v>
      </c>
      <c r="AO48" s="57">
        <f>' WIP '!BB48</f>
        <v>0</v>
      </c>
      <c r="AP48" s="58">
        <v>0</v>
      </c>
      <c r="AQ48" s="59">
        <f t="shared" si="75"/>
        <v>960</v>
      </c>
      <c r="AR48" s="57">
        <f>' WIP '!BF48</f>
        <v>0</v>
      </c>
      <c r="AS48" s="58">
        <v>0</v>
      </c>
      <c r="AT48" s="59">
        <f t="shared" si="76"/>
        <v>960</v>
      </c>
      <c r="AU48" s="57">
        <f>' WIP '!BJ48</f>
        <v>0</v>
      </c>
      <c r="AV48" s="58">
        <v>0</v>
      </c>
      <c r="AW48" s="59">
        <f t="shared" si="77"/>
        <v>960</v>
      </c>
      <c r="AX48" s="57">
        <f>' WIP '!BN48</f>
        <v>0</v>
      </c>
      <c r="AY48" s="58">
        <v>0</v>
      </c>
      <c r="AZ48" s="59">
        <f t="shared" si="78"/>
        <v>960</v>
      </c>
      <c r="BA48" s="57">
        <f>' WIP '!BR48</f>
        <v>0</v>
      </c>
      <c r="BB48" s="58">
        <v>0</v>
      </c>
      <c r="BC48" s="59">
        <f t="shared" si="79"/>
        <v>960</v>
      </c>
      <c r="BD48" s="57">
        <f>' WIP '!BV48</f>
        <v>0</v>
      </c>
      <c r="BE48" s="58">
        <v>0</v>
      </c>
      <c r="BF48" s="59">
        <f t="shared" si="80"/>
        <v>960</v>
      </c>
      <c r="BG48" s="57">
        <f>' WIP '!BZ48</f>
        <v>0</v>
      </c>
      <c r="BH48" s="58"/>
      <c r="BI48" s="59">
        <f t="shared" si="81"/>
        <v>960</v>
      </c>
      <c r="BJ48" s="57">
        <f>' WIP '!CD48</f>
        <v>0</v>
      </c>
      <c r="BK48" s="58">
        <v>0</v>
      </c>
      <c r="BL48" s="59">
        <f t="shared" si="82"/>
        <v>960</v>
      </c>
      <c r="BM48" s="57">
        <f>' WIP '!CH48</f>
        <v>0</v>
      </c>
      <c r="BN48" s="58">
        <v>0</v>
      </c>
      <c r="BO48" s="59">
        <f t="shared" si="83"/>
        <v>960</v>
      </c>
      <c r="BP48" s="57">
        <f>' WIP '!CL48</f>
        <v>0</v>
      </c>
      <c r="BQ48" s="58"/>
      <c r="BR48" s="59">
        <f t="shared" si="84"/>
        <v>960</v>
      </c>
      <c r="BS48" s="57">
        <f>' WIP '!CP48</f>
        <v>0</v>
      </c>
      <c r="BT48" s="58">
        <v>0</v>
      </c>
      <c r="BU48" s="59">
        <f t="shared" si="85"/>
        <v>960</v>
      </c>
      <c r="BV48" s="57">
        <f>' WIP '!CT48</f>
        <v>0</v>
      </c>
      <c r="BW48" s="28">
        <v>0</v>
      </c>
      <c r="BX48" s="59">
        <f t="shared" si="86"/>
        <v>960</v>
      </c>
      <c r="BY48" s="57">
        <f>' WIP '!CX48</f>
        <v>0</v>
      </c>
      <c r="BZ48" s="58">
        <v>0</v>
      </c>
      <c r="CA48" s="59">
        <f t="shared" si="87"/>
        <v>960</v>
      </c>
      <c r="CB48" s="57">
        <f>' WIP '!DB48</f>
        <v>0</v>
      </c>
      <c r="CC48" s="58">
        <v>0</v>
      </c>
      <c r="CD48" s="59">
        <f t="shared" si="88"/>
        <v>960</v>
      </c>
      <c r="CE48" s="57">
        <f>' WIP '!DF48</f>
        <v>0</v>
      </c>
      <c r="CF48" s="58">
        <v>0</v>
      </c>
      <c r="CG48" s="59">
        <f t="shared" si="89"/>
        <v>960</v>
      </c>
      <c r="CH48" s="57">
        <f>' WIP '!DJ48</f>
        <v>0</v>
      </c>
      <c r="CI48" s="58">
        <v>0</v>
      </c>
      <c r="CJ48" s="59">
        <f t="shared" si="90"/>
        <v>960</v>
      </c>
      <c r="CK48" s="57">
        <f>' WIP '!DN48</f>
        <v>0</v>
      </c>
      <c r="CL48" s="58">
        <v>0</v>
      </c>
      <c r="CM48" s="59">
        <f t="shared" si="91"/>
        <v>960</v>
      </c>
      <c r="CN48" s="57">
        <f>' WIP '!DR48</f>
        <v>0</v>
      </c>
      <c r="CO48" s="57"/>
      <c r="CP48" s="59">
        <f t="shared" si="92"/>
        <v>960</v>
      </c>
      <c r="CQ48" s="57">
        <f>' WIP '!DV48</f>
        <v>0</v>
      </c>
      <c r="CR48" s="58"/>
      <c r="CS48" s="59">
        <f t="shared" si="93"/>
        <v>960</v>
      </c>
      <c r="CT48" s="31">
        <f t="shared" si="94"/>
        <v>960</v>
      </c>
      <c r="CU48" s="4">
        <f t="shared" si="95"/>
        <v>0</v>
      </c>
      <c r="CV48" s="5">
        <f>D48*'MASTER SHEET'!D48</f>
        <v>10886.4</v>
      </c>
      <c r="CW48" s="5">
        <f>G48*'MASTER SHEET'!D48</f>
        <v>10886.4</v>
      </c>
      <c r="CX48" s="5">
        <f>J48*'MASTER SHEET'!D48</f>
        <v>10886.4</v>
      </c>
      <c r="CY48" s="5">
        <f>M48*'MASTER SHEET'!D48</f>
        <v>10886.4</v>
      </c>
      <c r="CZ48" s="5">
        <f>P48*'MASTER SHEET'!D48</f>
        <v>10886.4</v>
      </c>
      <c r="DA48" s="5">
        <f>S48*'MASTER SHEET'!D48</f>
        <v>10886.4</v>
      </c>
      <c r="DB48" s="5">
        <f>V48*'MASTER SHEET'!D48</f>
        <v>10886.4</v>
      </c>
      <c r="DC48" s="5">
        <f>Y48*'MASTER SHEET'!D48</f>
        <v>10886.4</v>
      </c>
      <c r="DD48" s="5">
        <f>AB48*'MASTER SHEET'!D48</f>
        <v>10886.4</v>
      </c>
      <c r="DE48" s="5">
        <f>AE48*'MASTER SHEET'!D48</f>
        <v>10886.4</v>
      </c>
      <c r="DF48" s="5">
        <f>AH48*'MASTER SHEET'!D48</f>
        <v>10886.4</v>
      </c>
      <c r="DG48" s="5">
        <f>AK48*'MASTER SHEET'!D48</f>
        <v>10886.4</v>
      </c>
      <c r="DH48" s="5">
        <f>AN48*'MASTER SHEET'!D48</f>
        <v>10886.4</v>
      </c>
      <c r="DI48" s="5">
        <f>AQ48*'MASTER SHEET'!D48</f>
        <v>10886.4</v>
      </c>
      <c r="DJ48" s="5">
        <f>AT48*'MASTER SHEET'!D48</f>
        <v>10886.4</v>
      </c>
      <c r="DK48" s="5">
        <f>AW48*'MASTER SHEET'!D48</f>
        <v>10886.4</v>
      </c>
      <c r="DL48" s="5">
        <f>AZ48*'MASTER SHEET'!D48</f>
        <v>10886.4</v>
      </c>
      <c r="DM48" s="5">
        <f>BC48*'MASTER SHEET'!D48</f>
        <v>10886.4</v>
      </c>
      <c r="DN48" s="5">
        <f>BF48*'MASTER SHEET'!D48</f>
        <v>10886.4</v>
      </c>
      <c r="DO48" s="5">
        <f>BI48*'MASTER SHEET'!D48</f>
        <v>10886.4</v>
      </c>
      <c r="DP48" s="5">
        <f>BL48*'MASTER SHEET'!D48</f>
        <v>10886.4</v>
      </c>
      <c r="DQ48" s="5">
        <f>BO48*'MASTER SHEET'!D48</f>
        <v>10886.4</v>
      </c>
      <c r="DR48" s="5">
        <f>BR48*'MASTER SHEET'!D48</f>
        <v>10886.4</v>
      </c>
      <c r="DS48" s="5">
        <f>BU48*'MASTER SHEET'!D48</f>
        <v>10886.4</v>
      </c>
      <c r="DT48" s="5">
        <f>BX48*'MASTER SHEET'!D48</f>
        <v>10886.4</v>
      </c>
      <c r="DU48" s="5">
        <f>CA48*'MASTER SHEET'!D48</f>
        <v>10886.4</v>
      </c>
      <c r="DV48" s="5">
        <f>CD48*'MASTER SHEET'!D48</f>
        <v>10886.4</v>
      </c>
      <c r="DW48" s="5">
        <f>CG48*'MASTER SHEET'!D48</f>
        <v>10886.4</v>
      </c>
      <c r="DX48" s="5">
        <f>CJ48*'MASTER SHEET'!D48</f>
        <v>10886.4</v>
      </c>
      <c r="DY48" s="5">
        <f>CM48*'MASTER SHEET'!D48</f>
        <v>10886.4</v>
      </c>
      <c r="DZ48" s="5">
        <f>CP48*'MASTER SHEET'!D48</f>
        <v>10886.4</v>
      </c>
      <c r="EA48" s="5">
        <f>CS48*'MASTER SHEET'!D48</f>
        <v>10886.4</v>
      </c>
      <c r="EB48" s="143">
        <f>VLOOKUP($C48,'[1]GREEN LEV.₹'!$I$2:$K$54,3,0)</f>
        <v>200</v>
      </c>
    </row>
    <row r="49" spans="1:132" ht="15.75" x14ac:dyDescent="0.25">
      <c r="A49" s="25">
        <f>'MASTER SHEET'!A49</f>
        <v>47</v>
      </c>
      <c r="B49" s="26" t="str">
        <f>'MASTER SHEET'!B49</f>
        <v>CDR CAP</v>
      </c>
      <c r="C49" s="27">
        <f>'MASTER SHEET'!C49</f>
        <v>5030020</v>
      </c>
      <c r="D49" s="56">
        <v>0</v>
      </c>
      <c r="E49" s="57">
        <f>' WIP '!F49</f>
        <v>0</v>
      </c>
      <c r="F49" s="58">
        <v>0</v>
      </c>
      <c r="G49" s="59">
        <f t="shared" si="63"/>
        <v>0</v>
      </c>
      <c r="H49" s="57">
        <f>' WIP '!J49</f>
        <v>400</v>
      </c>
      <c r="I49" s="58">
        <v>400</v>
      </c>
      <c r="J49" s="59">
        <f t="shared" si="64"/>
        <v>0</v>
      </c>
      <c r="K49" s="57">
        <f>' WIP '!N49</f>
        <v>0</v>
      </c>
      <c r="L49" s="58"/>
      <c r="M49" s="59">
        <f t="shared" si="65"/>
        <v>0</v>
      </c>
      <c r="N49" s="57">
        <f>' WIP '!R49</f>
        <v>0</v>
      </c>
      <c r="O49" s="58">
        <v>0</v>
      </c>
      <c r="P49" s="59">
        <f t="shared" si="66"/>
        <v>0</v>
      </c>
      <c r="Q49" s="57">
        <f>' WIP '!V49</f>
        <v>0</v>
      </c>
      <c r="R49" s="58">
        <v>0</v>
      </c>
      <c r="S49" s="59">
        <f t="shared" si="67"/>
        <v>0</v>
      </c>
      <c r="T49" s="57">
        <f>' WIP '!Z49</f>
        <v>200</v>
      </c>
      <c r="U49" s="58">
        <v>200</v>
      </c>
      <c r="V49" s="59">
        <f t="shared" si="68"/>
        <v>0</v>
      </c>
      <c r="W49" s="57">
        <f>' WIP '!AD49</f>
        <v>0</v>
      </c>
      <c r="X49" s="58">
        <v>0</v>
      </c>
      <c r="Y49" s="59">
        <f t="shared" si="69"/>
        <v>0</v>
      </c>
      <c r="Z49" s="57">
        <f>' WIP '!AH49</f>
        <v>0</v>
      </c>
      <c r="AA49" s="58">
        <v>0</v>
      </c>
      <c r="AB49" s="59">
        <f t="shared" si="70"/>
        <v>0</v>
      </c>
      <c r="AC49" s="57">
        <f>' WIP '!AL49</f>
        <v>1100</v>
      </c>
      <c r="AD49" s="58">
        <v>1100</v>
      </c>
      <c r="AE49" s="59">
        <f t="shared" si="71"/>
        <v>0</v>
      </c>
      <c r="AF49" s="57">
        <f>' WIP '!AP49</f>
        <v>0</v>
      </c>
      <c r="AG49" s="114">
        <v>0</v>
      </c>
      <c r="AH49" s="59">
        <f t="shared" si="72"/>
        <v>0</v>
      </c>
      <c r="AI49" s="57">
        <f>' WIP '!AT49</f>
        <v>0</v>
      </c>
      <c r="AJ49" s="58">
        <v>0</v>
      </c>
      <c r="AK49" s="59">
        <f t="shared" si="73"/>
        <v>0</v>
      </c>
      <c r="AL49" s="57">
        <f>' WIP '!AX49</f>
        <v>0</v>
      </c>
      <c r="AM49" s="58"/>
      <c r="AN49" s="59">
        <f t="shared" si="74"/>
        <v>0</v>
      </c>
      <c r="AO49" s="57">
        <f>' WIP '!BB49</f>
        <v>0</v>
      </c>
      <c r="AP49" s="58">
        <v>0</v>
      </c>
      <c r="AQ49" s="59">
        <f t="shared" si="75"/>
        <v>0</v>
      </c>
      <c r="AR49" s="57">
        <f>' WIP '!BF49</f>
        <v>0</v>
      </c>
      <c r="AS49" s="58">
        <v>0</v>
      </c>
      <c r="AT49" s="59">
        <f t="shared" si="76"/>
        <v>0</v>
      </c>
      <c r="AU49" s="57">
        <f>' WIP '!BJ49</f>
        <v>0</v>
      </c>
      <c r="AV49" s="58">
        <v>0</v>
      </c>
      <c r="AW49" s="59">
        <f t="shared" si="77"/>
        <v>0</v>
      </c>
      <c r="AX49" s="57">
        <f>' WIP '!BN49</f>
        <v>0</v>
      </c>
      <c r="AY49" s="58">
        <v>0</v>
      </c>
      <c r="AZ49" s="59">
        <f t="shared" si="78"/>
        <v>0</v>
      </c>
      <c r="BA49" s="57">
        <f>' WIP '!BR49</f>
        <v>0</v>
      </c>
      <c r="BB49" s="58">
        <v>0</v>
      </c>
      <c r="BC49" s="59">
        <f t="shared" si="79"/>
        <v>0</v>
      </c>
      <c r="BD49" s="57">
        <f>' WIP '!BV49</f>
        <v>0</v>
      </c>
      <c r="BE49" s="58">
        <v>0</v>
      </c>
      <c r="BF49" s="59">
        <f t="shared" si="80"/>
        <v>0</v>
      </c>
      <c r="BG49" s="57">
        <f>' WIP '!BZ49</f>
        <v>0</v>
      </c>
      <c r="BH49" s="58"/>
      <c r="BI49" s="59">
        <f t="shared" si="81"/>
        <v>0</v>
      </c>
      <c r="BJ49" s="57">
        <f>' WIP '!CD49</f>
        <v>0</v>
      </c>
      <c r="BK49" s="58">
        <v>0</v>
      </c>
      <c r="BL49" s="59">
        <f t="shared" si="82"/>
        <v>0</v>
      </c>
      <c r="BM49" s="57">
        <f>' WIP '!CH49</f>
        <v>0</v>
      </c>
      <c r="BN49" s="58">
        <v>0</v>
      </c>
      <c r="BO49" s="59">
        <f t="shared" si="83"/>
        <v>0</v>
      </c>
      <c r="BP49" s="57">
        <f>' WIP '!CL49</f>
        <v>0</v>
      </c>
      <c r="BQ49" s="58"/>
      <c r="BR49" s="59">
        <f t="shared" si="84"/>
        <v>0</v>
      </c>
      <c r="BS49" s="57">
        <f>' WIP '!CP49</f>
        <v>0</v>
      </c>
      <c r="BT49" s="58">
        <v>0</v>
      </c>
      <c r="BU49" s="59">
        <f t="shared" si="85"/>
        <v>0</v>
      </c>
      <c r="BV49" s="57">
        <f>' WIP '!CT49</f>
        <v>0</v>
      </c>
      <c r="BW49" s="28">
        <v>0</v>
      </c>
      <c r="BX49" s="59">
        <f t="shared" si="86"/>
        <v>0</v>
      </c>
      <c r="BY49" s="57">
        <f>' WIP '!CX49</f>
        <v>0</v>
      </c>
      <c r="BZ49" s="58">
        <v>0</v>
      </c>
      <c r="CA49" s="59">
        <f t="shared" si="87"/>
        <v>0</v>
      </c>
      <c r="CB49" s="57">
        <f>' WIP '!DB49</f>
        <v>0</v>
      </c>
      <c r="CC49" s="58">
        <v>0</v>
      </c>
      <c r="CD49" s="59">
        <f t="shared" si="88"/>
        <v>0</v>
      </c>
      <c r="CE49" s="57">
        <f>' WIP '!DF49</f>
        <v>0</v>
      </c>
      <c r="CF49" s="58">
        <v>0</v>
      </c>
      <c r="CG49" s="59">
        <f t="shared" si="89"/>
        <v>0</v>
      </c>
      <c r="CH49" s="57">
        <f>' WIP '!DJ49</f>
        <v>0</v>
      </c>
      <c r="CI49" s="58">
        <v>0</v>
      </c>
      <c r="CJ49" s="59">
        <f t="shared" si="90"/>
        <v>0</v>
      </c>
      <c r="CK49" s="57">
        <f>' WIP '!DN49</f>
        <v>0</v>
      </c>
      <c r="CL49" s="58">
        <v>0</v>
      </c>
      <c r="CM49" s="59">
        <f t="shared" si="91"/>
        <v>0</v>
      </c>
      <c r="CN49" s="57">
        <f>' WIP '!DR49</f>
        <v>0</v>
      </c>
      <c r="CO49" s="57"/>
      <c r="CP49" s="59">
        <f t="shared" si="92"/>
        <v>0</v>
      </c>
      <c r="CQ49" s="57">
        <f>' WIP '!DV49</f>
        <v>0</v>
      </c>
      <c r="CR49" s="58"/>
      <c r="CS49" s="59">
        <f t="shared" si="93"/>
        <v>0</v>
      </c>
      <c r="CT49" s="31">
        <f t="shared" si="94"/>
        <v>1700</v>
      </c>
      <c r="CU49" s="4">
        <f t="shared" si="95"/>
        <v>1700</v>
      </c>
      <c r="CV49" s="5">
        <f>D49*'MASTER SHEET'!D49</f>
        <v>0</v>
      </c>
      <c r="CW49" s="5">
        <f>G49*'MASTER SHEET'!D49</f>
        <v>0</v>
      </c>
      <c r="CX49" s="5">
        <f>J49*'MASTER SHEET'!D49</f>
        <v>0</v>
      </c>
      <c r="CY49" s="5">
        <f>M49*'MASTER SHEET'!D49</f>
        <v>0</v>
      </c>
      <c r="CZ49" s="5">
        <f>P49*'MASTER SHEET'!D49</f>
        <v>0</v>
      </c>
      <c r="DA49" s="5">
        <f>S49*'MASTER SHEET'!D49</f>
        <v>0</v>
      </c>
      <c r="DB49" s="5">
        <f>V49*'MASTER SHEET'!D49</f>
        <v>0</v>
      </c>
      <c r="DC49" s="5">
        <f>Y49*'MASTER SHEET'!D49</f>
        <v>0</v>
      </c>
      <c r="DD49" s="5">
        <f>AB49*'MASTER SHEET'!D49</f>
        <v>0</v>
      </c>
      <c r="DE49" s="5">
        <f>AE49*'MASTER SHEET'!D49</f>
        <v>0</v>
      </c>
      <c r="DF49" s="5">
        <f>AH49*'MASTER SHEET'!D49</f>
        <v>0</v>
      </c>
      <c r="DG49" s="5">
        <f>AK49*'MASTER SHEET'!D49</f>
        <v>0</v>
      </c>
      <c r="DH49" s="5">
        <f>AN49*'MASTER SHEET'!D49</f>
        <v>0</v>
      </c>
      <c r="DI49" s="5">
        <f>AQ49*'MASTER SHEET'!D49</f>
        <v>0</v>
      </c>
      <c r="DJ49" s="5">
        <f>AT49*'MASTER SHEET'!D49</f>
        <v>0</v>
      </c>
      <c r="DK49" s="5">
        <f>AW49*'MASTER SHEET'!D49</f>
        <v>0</v>
      </c>
      <c r="DL49" s="5">
        <f>AZ49*'MASTER SHEET'!D49</f>
        <v>0</v>
      </c>
      <c r="DM49" s="5">
        <f>BC49*'MASTER SHEET'!D49</f>
        <v>0</v>
      </c>
      <c r="DN49" s="5">
        <f>BF49*'MASTER SHEET'!D49</f>
        <v>0</v>
      </c>
      <c r="DO49" s="5">
        <f>BI49*'MASTER SHEET'!D49</f>
        <v>0</v>
      </c>
      <c r="DP49" s="5">
        <f>BL49*'MASTER SHEET'!D49</f>
        <v>0</v>
      </c>
      <c r="DQ49" s="5">
        <f>BO49*'MASTER SHEET'!D49</f>
        <v>0</v>
      </c>
      <c r="DR49" s="5">
        <f>BR49*'MASTER SHEET'!D49</f>
        <v>0</v>
      </c>
      <c r="DS49" s="5">
        <f>BU49*'MASTER SHEET'!D49</f>
        <v>0</v>
      </c>
      <c r="DT49" s="5">
        <f>BX49*'MASTER SHEET'!D49</f>
        <v>0</v>
      </c>
      <c r="DU49" s="5">
        <f>CA49*'MASTER SHEET'!D49</f>
        <v>0</v>
      </c>
      <c r="DV49" s="5">
        <f>CD49*'MASTER SHEET'!D49</f>
        <v>0</v>
      </c>
      <c r="DW49" s="5">
        <f>CG49*'MASTER SHEET'!D49</f>
        <v>0</v>
      </c>
      <c r="DX49" s="5">
        <f>CJ49*'MASTER SHEET'!D49</f>
        <v>0</v>
      </c>
      <c r="DY49" s="5">
        <f>CM49*'MASTER SHEET'!D49</f>
        <v>0</v>
      </c>
      <c r="DZ49" s="5">
        <f>CP49*'MASTER SHEET'!D49</f>
        <v>0</v>
      </c>
      <c r="EA49" s="5">
        <f>CS49*'MASTER SHEET'!D49</f>
        <v>0</v>
      </c>
      <c r="EB49" s="143">
        <f>VLOOKUP($C49,'[1]GREEN LEV.₹'!$I$2:$K$54,3,0)</f>
        <v>500</v>
      </c>
    </row>
    <row r="50" spans="1:132" ht="15.75" x14ac:dyDescent="0.25">
      <c r="A50" s="25">
        <f>'MASTER SHEET'!A50</f>
        <v>48</v>
      </c>
      <c r="B50" s="26" t="str">
        <f>'MASTER SHEET'!B50</f>
        <v xml:space="preserve">CDR HOUSING </v>
      </c>
      <c r="C50" s="27">
        <f>'MASTER SHEET'!C50</f>
        <v>5030021</v>
      </c>
      <c r="D50" s="56">
        <v>0</v>
      </c>
      <c r="E50" s="57">
        <f>' WIP '!F50</f>
        <v>0</v>
      </c>
      <c r="F50" s="58">
        <v>0</v>
      </c>
      <c r="G50" s="59">
        <f t="shared" si="63"/>
        <v>0</v>
      </c>
      <c r="H50" s="57">
        <f>' WIP '!J50</f>
        <v>0</v>
      </c>
      <c r="I50" s="58">
        <v>0</v>
      </c>
      <c r="J50" s="59">
        <f t="shared" si="64"/>
        <v>0</v>
      </c>
      <c r="K50" s="57">
        <f>' WIP '!N50</f>
        <v>0</v>
      </c>
      <c r="L50" s="58"/>
      <c r="M50" s="59">
        <f t="shared" si="65"/>
        <v>0</v>
      </c>
      <c r="N50" s="57">
        <f>' WIP '!R50</f>
        <v>0</v>
      </c>
      <c r="O50" s="58">
        <v>0</v>
      </c>
      <c r="P50" s="59">
        <f t="shared" si="66"/>
        <v>0</v>
      </c>
      <c r="Q50" s="57">
        <f>' WIP '!V50</f>
        <v>0</v>
      </c>
      <c r="R50" s="58">
        <v>0</v>
      </c>
      <c r="S50" s="59">
        <f t="shared" si="67"/>
        <v>0</v>
      </c>
      <c r="T50" s="57">
        <f>' WIP '!Z50</f>
        <v>0</v>
      </c>
      <c r="U50" s="58">
        <v>0</v>
      </c>
      <c r="V50" s="59">
        <f t="shared" si="68"/>
        <v>0</v>
      </c>
      <c r="W50" s="57">
        <f>' WIP '!AD50</f>
        <v>0</v>
      </c>
      <c r="X50" s="58">
        <v>0</v>
      </c>
      <c r="Y50" s="59">
        <f t="shared" si="69"/>
        <v>0</v>
      </c>
      <c r="Z50" s="57">
        <f>' WIP '!AH50</f>
        <v>0</v>
      </c>
      <c r="AA50" s="58">
        <v>0</v>
      </c>
      <c r="AB50" s="59">
        <f t="shared" si="70"/>
        <v>0</v>
      </c>
      <c r="AC50" s="57">
        <f>' WIP '!AL50</f>
        <v>0</v>
      </c>
      <c r="AD50" s="58">
        <v>0</v>
      </c>
      <c r="AE50" s="59">
        <f t="shared" si="71"/>
        <v>0</v>
      </c>
      <c r="AF50" s="57">
        <f>' WIP '!AP50</f>
        <v>0</v>
      </c>
      <c r="AG50" s="114">
        <v>0</v>
      </c>
      <c r="AH50" s="59">
        <f t="shared" si="72"/>
        <v>0</v>
      </c>
      <c r="AI50" s="57">
        <f>' WIP '!AT50</f>
        <v>0</v>
      </c>
      <c r="AJ50" s="58">
        <v>0</v>
      </c>
      <c r="AK50" s="59">
        <f t="shared" si="73"/>
        <v>0</v>
      </c>
      <c r="AL50" s="57">
        <f>' WIP '!AX50</f>
        <v>0</v>
      </c>
      <c r="AM50" s="58"/>
      <c r="AN50" s="59">
        <f t="shared" si="74"/>
        <v>0</v>
      </c>
      <c r="AO50" s="57">
        <f>' WIP '!BB50</f>
        <v>0</v>
      </c>
      <c r="AP50" s="58">
        <v>0</v>
      </c>
      <c r="AQ50" s="59">
        <f t="shared" si="75"/>
        <v>0</v>
      </c>
      <c r="AR50" s="57">
        <f>' WIP '!BF50</f>
        <v>0</v>
      </c>
      <c r="AS50" s="58">
        <v>0</v>
      </c>
      <c r="AT50" s="59">
        <f t="shared" si="76"/>
        <v>0</v>
      </c>
      <c r="AU50" s="57">
        <f>' WIP '!BJ50</f>
        <v>0</v>
      </c>
      <c r="AV50" s="58">
        <v>0</v>
      </c>
      <c r="AW50" s="59">
        <f t="shared" si="77"/>
        <v>0</v>
      </c>
      <c r="AX50" s="57">
        <f>' WIP '!BN50</f>
        <v>0</v>
      </c>
      <c r="AY50" s="58">
        <v>0</v>
      </c>
      <c r="AZ50" s="59">
        <f t="shared" si="78"/>
        <v>0</v>
      </c>
      <c r="BA50" s="57">
        <f>' WIP '!BR50</f>
        <v>0</v>
      </c>
      <c r="BB50" s="58">
        <v>0</v>
      </c>
      <c r="BC50" s="59">
        <f t="shared" si="79"/>
        <v>0</v>
      </c>
      <c r="BD50" s="57">
        <f>' WIP '!BV50</f>
        <v>0</v>
      </c>
      <c r="BE50" s="58">
        <v>0</v>
      </c>
      <c r="BF50" s="59">
        <f t="shared" si="80"/>
        <v>0</v>
      </c>
      <c r="BG50" s="57">
        <f>' WIP '!BZ50</f>
        <v>0</v>
      </c>
      <c r="BH50" s="58"/>
      <c r="BI50" s="59">
        <f t="shared" si="81"/>
        <v>0</v>
      </c>
      <c r="BJ50" s="57">
        <f>' WIP '!CD50</f>
        <v>0</v>
      </c>
      <c r="BK50" s="58">
        <v>0</v>
      </c>
      <c r="BL50" s="59">
        <f t="shared" si="82"/>
        <v>0</v>
      </c>
      <c r="BM50" s="57">
        <f>' WIP '!CH50</f>
        <v>0</v>
      </c>
      <c r="BN50" s="58">
        <v>0</v>
      </c>
      <c r="BO50" s="59">
        <f t="shared" si="83"/>
        <v>0</v>
      </c>
      <c r="BP50" s="57">
        <f>' WIP '!CL50</f>
        <v>0</v>
      </c>
      <c r="BQ50" s="58"/>
      <c r="BR50" s="59">
        <f t="shared" si="84"/>
        <v>0</v>
      </c>
      <c r="BS50" s="57">
        <f>' WIP '!CP50</f>
        <v>0</v>
      </c>
      <c r="BT50" s="58">
        <v>0</v>
      </c>
      <c r="BU50" s="59">
        <f t="shared" si="85"/>
        <v>0</v>
      </c>
      <c r="BV50" s="57">
        <f>' WIP '!CT50</f>
        <v>0</v>
      </c>
      <c r="BW50" s="28">
        <v>0</v>
      </c>
      <c r="BX50" s="59">
        <f t="shared" si="86"/>
        <v>0</v>
      </c>
      <c r="BY50" s="57">
        <f>' WIP '!CX50</f>
        <v>0</v>
      </c>
      <c r="BZ50" s="58">
        <v>0</v>
      </c>
      <c r="CA50" s="59">
        <f t="shared" si="87"/>
        <v>0</v>
      </c>
      <c r="CB50" s="57">
        <f>' WIP '!DB50</f>
        <v>0</v>
      </c>
      <c r="CC50" s="58">
        <v>0</v>
      </c>
      <c r="CD50" s="59">
        <f t="shared" si="88"/>
        <v>0</v>
      </c>
      <c r="CE50" s="57">
        <f>' WIP '!DF50</f>
        <v>0</v>
      </c>
      <c r="CF50" s="58">
        <v>0</v>
      </c>
      <c r="CG50" s="59">
        <f t="shared" si="89"/>
        <v>0</v>
      </c>
      <c r="CH50" s="57">
        <f>' WIP '!DJ50</f>
        <v>0</v>
      </c>
      <c r="CI50" s="58">
        <v>0</v>
      </c>
      <c r="CJ50" s="59">
        <f t="shared" si="90"/>
        <v>0</v>
      </c>
      <c r="CK50" s="57">
        <f>' WIP '!DN50</f>
        <v>0</v>
      </c>
      <c r="CL50" s="58">
        <v>0</v>
      </c>
      <c r="CM50" s="59">
        <f t="shared" si="91"/>
        <v>0</v>
      </c>
      <c r="CN50" s="57">
        <f>' WIP '!DR50</f>
        <v>0</v>
      </c>
      <c r="CO50" s="57"/>
      <c r="CP50" s="59">
        <f t="shared" si="92"/>
        <v>0</v>
      </c>
      <c r="CQ50" s="57">
        <f>' WIP '!DV50</f>
        <v>0</v>
      </c>
      <c r="CR50" s="58"/>
      <c r="CS50" s="59">
        <f t="shared" si="93"/>
        <v>0</v>
      </c>
      <c r="CT50" s="31">
        <f t="shared" si="94"/>
        <v>0</v>
      </c>
      <c r="CU50" s="4">
        <f t="shared" si="95"/>
        <v>0</v>
      </c>
      <c r="CV50" s="5">
        <f>D50*'MASTER SHEET'!D50</f>
        <v>0</v>
      </c>
      <c r="CW50" s="5">
        <f>G50*'MASTER SHEET'!D50</f>
        <v>0</v>
      </c>
      <c r="CX50" s="5">
        <f>J50*'MASTER SHEET'!D50</f>
        <v>0</v>
      </c>
      <c r="CY50" s="5">
        <f>M50*'MASTER SHEET'!D50</f>
        <v>0</v>
      </c>
      <c r="CZ50" s="5">
        <f>P50*'MASTER SHEET'!D50</f>
        <v>0</v>
      </c>
      <c r="DA50" s="5">
        <f>S50*'MASTER SHEET'!D50</f>
        <v>0</v>
      </c>
      <c r="DB50" s="5">
        <f>V50*'MASTER SHEET'!D50</f>
        <v>0</v>
      </c>
      <c r="DC50" s="5">
        <f>Y50*'MASTER SHEET'!D50</f>
        <v>0</v>
      </c>
      <c r="DD50" s="5">
        <f>AB50*'MASTER SHEET'!D50</f>
        <v>0</v>
      </c>
      <c r="DE50" s="5">
        <f>AE50*'MASTER SHEET'!D50</f>
        <v>0</v>
      </c>
      <c r="DF50" s="5">
        <f>AH50*'MASTER SHEET'!D50</f>
        <v>0</v>
      </c>
      <c r="DG50" s="5">
        <f>AK50*'MASTER SHEET'!D50</f>
        <v>0</v>
      </c>
      <c r="DH50" s="5">
        <f>AN50*'MASTER SHEET'!D50</f>
        <v>0</v>
      </c>
      <c r="DI50" s="5">
        <f>AQ50*'MASTER SHEET'!D50</f>
        <v>0</v>
      </c>
      <c r="DJ50" s="5">
        <f>AT50*'MASTER SHEET'!D50</f>
        <v>0</v>
      </c>
      <c r="DK50" s="5">
        <f>AW50*'MASTER SHEET'!D50</f>
        <v>0</v>
      </c>
      <c r="DL50" s="5">
        <f>AZ50*'MASTER SHEET'!D50</f>
        <v>0</v>
      </c>
      <c r="DM50" s="5">
        <f>BC50*'MASTER SHEET'!D50</f>
        <v>0</v>
      </c>
      <c r="DN50" s="5">
        <f>BF50*'MASTER SHEET'!D50</f>
        <v>0</v>
      </c>
      <c r="DO50" s="5">
        <f>BI50*'MASTER SHEET'!D50</f>
        <v>0</v>
      </c>
      <c r="DP50" s="5">
        <f>BL50*'MASTER SHEET'!D50</f>
        <v>0</v>
      </c>
      <c r="DQ50" s="5">
        <f>BO50*'MASTER SHEET'!D50</f>
        <v>0</v>
      </c>
      <c r="DR50" s="5">
        <f>BR50*'MASTER SHEET'!D50</f>
        <v>0</v>
      </c>
      <c r="DS50" s="5">
        <f>BU50*'MASTER SHEET'!D50</f>
        <v>0</v>
      </c>
      <c r="DT50" s="5">
        <f>BX50*'MASTER SHEET'!D50</f>
        <v>0</v>
      </c>
      <c r="DU50" s="5">
        <f>CA50*'MASTER SHEET'!D50</f>
        <v>0</v>
      </c>
      <c r="DV50" s="5">
        <f>CD50*'MASTER SHEET'!D50</f>
        <v>0</v>
      </c>
      <c r="DW50" s="5">
        <f>CG50*'MASTER SHEET'!D50</f>
        <v>0</v>
      </c>
      <c r="DX50" s="5">
        <f>CJ50*'MASTER SHEET'!D50</f>
        <v>0</v>
      </c>
      <c r="DY50" s="5">
        <f>CM50*'MASTER SHEET'!D50</f>
        <v>0</v>
      </c>
      <c r="DZ50" s="5">
        <f>CP50*'MASTER SHEET'!D50</f>
        <v>0</v>
      </c>
      <c r="EA50" s="5">
        <f>CS50*'MASTER SHEET'!D50</f>
        <v>0</v>
      </c>
      <c r="EB50" s="143">
        <f>VLOOKUP($C50,'[1]GREEN LEV.₹'!$I$2:$K$54,3,0)</f>
        <v>200</v>
      </c>
    </row>
    <row r="51" spans="1:132" ht="15.75" x14ac:dyDescent="0.25">
      <c r="A51" s="25">
        <f>'MASTER SHEET'!A51</f>
        <v>49</v>
      </c>
      <c r="B51" s="26" t="str">
        <f>'MASTER SHEET'!B51</f>
        <v>COVER PLATE</v>
      </c>
      <c r="C51" s="27">
        <f>'MASTER SHEET'!C51</f>
        <v>5030022</v>
      </c>
      <c r="D51" s="56">
        <v>200</v>
      </c>
      <c r="E51" s="57">
        <f>' WIP '!F51</f>
        <v>0</v>
      </c>
      <c r="F51" s="58">
        <v>0</v>
      </c>
      <c r="G51" s="59">
        <f t="shared" si="63"/>
        <v>200</v>
      </c>
      <c r="H51" s="57">
        <f>' WIP '!J51</f>
        <v>0</v>
      </c>
      <c r="I51" s="58">
        <v>0</v>
      </c>
      <c r="J51" s="59">
        <f t="shared" si="64"/>
        <v>200</v>
      </c>
      <c r="K51" s="57">
        <f>' WIP '!N51</f>
        <v>0</v>
      </c>
      <c r="L51" s="58"/>
      <c r="M51" s="59">
        <f t="shared" si="65"/>
        <v>200</v>
      </c>
      <c r="N51" s="57">
        <f>' WIP '!R51</f>
        <v>0</v>
      </c>
      <c r="O51" s="58">
        <v>0</v>
      </c>
      <c r="P51" s="59">
        <f t="shared" si="66"/>
        <v>200</v>
      </c>
      <c r="Q51" s="57">
        <f>' WIP '!V51</f>
        <v>0</v>
      </c>
      <c r="R51" s="58">
        <v>0</v>
      </c>
      <c r="S51" s="59">
        <f t="shared" si="67"/>
        <v>200</v>
      </c>
      <c r="T51" s="57">
        <f>' WIP '!Z51</f>
        <v>0</v>
      </c>
      <c r="U51" s="58">
        <v>0</v>
      </c>
      <c r="V51" s="59">
        <f t="shared" si="68"/>
        <v>200</v>
      </c>
      <c r="W51" s="57">
        <f>' WIP '!AD51</f>
        <v>0</v>
      </c>
      <c r="X51" s="58">
        <v>0</v>
      </c>
      <c r="Y51" s="59">
        <f t="shared" si="69"/>
        <v>200</v>
      </c>
      <c r="Z51" s="57">
        <f>' WIP '!AH51</f>
        <v>0</v>
      </c>
      <c r="AA51" s="58">
        <v>0</v>
      </c>
      <c r="AB51" s="59">
        <f t="shared" si="70"/>
        <v>200</v>
      </c>
      <c r="AC51" s="57">
        <f>' WIP '!AL51</f>
        <v>0</v>
      </c>
      <c r="AD51" s="58">
        <v>0</v>
      </c>
      <c r="AE51" s="59">
        <f t="shared" si="71"/>
        <v>200</v>
      </c>
      <c r="AF51" s="57">
        <f>' WIP '!AP51</f>
        <v>0</v>
      </c>
      <c r="AG51" s="114">
        <v>0</v>
      </c>
      <c r="AH51" s="59">
        <f t="shared" si="72"/>
        <v>200</v>
      </c>
      <c r="AI51" s="57">
        <f>' WIP '!AT51</f>
        <v>0</v>
      </c>
      <c r="AJ51" s="58">
        <v>0</v>
      </c>
      <c r="AK51" s="59">
        <f t="shared" si="73"/>
        <v>200</v>
      </c>
      <c r="AL51" s="57">
        <f>' WIP '!AX51</f>
        <v>0</v>
      </c>
      <c r="AM51" s="58"/>
      <c r="AN51" s="59">
        <f t="shared" si="74"/>
        <v>200</v>
      </c>
      <c r="AO51" s="57">
        <f>' WIP '!BB51</f>
        <v>0</v>
      </c>
      <c r="AP51" s="58">
        <v>0</v>
      </c>
      <c r="AQ51" s="59">
        <f t="shared" si="75"/>
        <v>200</v>
      </c>
      <c r="AR51" s="57">
        <f>' WIP '!BF51</f>
        <v>0</v>
      </c>
      <c r="AS51" s="58">
        <v>0</v>
      </c>
      <c r="AT51" s="59">
        <f t="shared" si="76"/>
        <v>200</v>
      </c>
      <c r="AU51" s="57">
        <f>' WIP '!BJ51</f>
        <v>0</v>
      </c>
      <c r="AV51" s="58">
        <v>0</v>
      </c>
      <c r="AW51" s="59">
        <f t="shared" si="77"/>
        <v>200</v>
      </c>
      <c r="AX51" s="57">
        <f>' WIP '!BN51</f>
        <v>0</v>
      </c>
      <c r="AY51" s="58">
        <v>100</v>
      </c>
      <c r="AZ51" s="59">
        <f t="shared" si="78"/>
        <v>100</v>
      </c>
      <c r="BA51" s="57">
        <f>' WIP '!BR51</f>
        <v>0</v>
      </c>
      <c r="BB51" s="58">
        <v>0</v>
      </c>
      <c r="BC51" s="59">
        <f t="shared" si="79"/>
        <v>100</v>
      </c>
      <c r="BD51" s="57">
        <f>' WIP '!BV51</f>
        <v>0</v>
      </c>
      <c r="BE51" s="58">
        <v>0</v>
      </c>
      <c r="BF51" s="59">
        <f t="shared" si="80"/>
        <v>100</v>
      </c>
      <c r="BG51" s="57">
        <f>' WIP '!BZ51</f>
        <v>0</v>
      </c>
      <c r="BH51" s="58"/>
      <c r="BI51" s="59">
        <f t="shared" si="81"/>
        <v>100</v>
      </c>
      <c r="BJ51" s="57">
        <f>' WIP '!CD51</f>
        <v>0</v>
      </c>
      <c r="BK51" s="58">
        <v>0</v>
      </c>
      <c r="BL51" s="59">
        <f t="shared" si="82"/>
        <v>100</v>
      </c>
      <c r="BM51" s="57">
        <f>' WIP '!CH51</f>
        <v>0</v>
      </c>
      <c r="BN51" s="58">
        <v>0</v>
      </c>
      <c r="BO51" s="59">
        <f t="shared" si="83"/>
        <v>100</v>
      </c>
      <c r="BP51" s="57">
        <f>' WIP '!CL51</f>
        <v>0</v>
      </c>
      <c r="BQ51" s="58"/>
      <c r="BR51" s="59">
        <f t="shared" si="84"/>
        <v>100</v>
      </c>
      <c r="BS51" s="57">
        <f>' WIP '!CP51</f>
        <v>0</v>
      </c>
      <c r="BT51" s="58">
        <v>0</v>
      </c>
      <c r="BU51" s="59">
        <f t="shared" si="85"/>
        <v>100</v>
      </c>
      <c r="BV51" s="57">
        <f>' WIP '!CT51</f>
        <v>0</v>
      </c>
      <c r="BW51" s="28">
        <v>0</v>
      </c>
      <c r="BX51" s="59">
        <f t="shared" si="86"/>
        <v>100</v>
      </c>
      <c r="BY51" s="57">
        <f>' WIP '!CX51</f>
        <v>0</v>
      </c>
      <c r="BZ51" s="58">
        <v>0</v>
      </c>
      <c r="CA51" s="59">
        <f t="shared" si="87"/>
        <v>100</v>
      </c>
      <c r="CB51" s="57">
        <f>' WIP '!DB51</f>
        <v>0</v>
      </c>
      <c r="CC51" s="58">
        <v>0</v>
      </c>
      <c r="CD51" s="59">
        <f t="shared" si="88"/>
        <v>100</v>
      </c>
      <c r="CE51" s="57">
        <f>' WIP '!DF51</f>
        <v>0</v>
      </c>
      <c r="CF51" s="58">
        <v>0</v>
      </c>
      <c r="CG51" s="59">
        <f t="shared" si="89"/>
        <v>100</v>
      </c>
      <c r="CH51" s="57">
        <f>' WIP '!DJ51</f>
        <v>0</v>
      </c>
      <c r="CI51" s="58">
        <v>0</v>
      </c>
      <c r="CJ51" s="59">
        <f t="shared" si="90"/>
        <v>100</v>
      </c>
      <c r="CK51" s="57">
        <f>' WIP '!DN51</f>
        <v>1440</v>
      </c>
      <c r="CL51" s="58">
        <v>0</v>
      </c>
      <c r="CM51" s="59">
        <f t="shared" si="91"/>
        <v>1540</v>
      </c>
      <c r="CN51" s="57">
        <f>' WIP '!DR51</f>
        <v>0</v>
      </c>
      <c r="CO51" s="57"/>
      <c r="CP51" s="59">
        <f t="shared" si="92"/>
        <v>1540</v>
      </c>
      <c r="CQ51" s="57">
        <f>' WIP '!DV51</f>
        <v>0</v>
      </c>
      <c r="CR51" s="58"/>
      <c r="CS51" s="59">
        <f t="shared" si="93"/>
        <v>1540</v>
      </c>
      <c r="CT51" s="31">
        <f t="shared" si="94"/>
        <v>1640</v>
      </c>
      <c r="CU51" s="4">
        <f t="shared" si="95"/>
        <v>100</v>
      </c>
      <c r="CV51" s="5">
        <f>D51*'MASTER SHEET'!D51</f>
        <v>2100</v>
      </c>
      <c r="CW51" s="5">
        <f>G51*'MASTER SHEET'!D51</f>
        <v>2100</v>
      </c>
      <c r="CX51" s="5">
        <f>J51*'MASTER SHEET'!D51</f>
        <v>2100</v>
      </c>
      <c r="CY51" s="5">
        <f>M51*'MASTER SHEET'!D51</f>
        <v>2100</v>
      </c>
      <c r="CZ51" s="5">
        <f>P51*'MASTER SHEET'!D51</f>
        <v>2100</v>
      </c>
      <c r="DA51" s="5">
        <f>S51*'MASTER SHEET'!D51</f>
        <v>2100</v>
      </c>
      <c r="DB51" s="5">
        <f>V51*'MASTER SHEET'!D51</f>
        <v>2100</v>
      </c>
      <c r="DC51" s="5">
        <f>Y51*'MASTER SHEET'!D51</f>
        <v>2100</v>
      </c>
      <c r="DD51" s="5">
        <f>AB51*'MASTER SHEET'!D51</f>
        <v>2100</v>
      </c>
      <c r="DE51" s="5">
        <f>AE51*'MASTER SHEET'!D51</f>
        <v>2100</v>
      </c>
      <c r="DF51" s="5">
        <f>AH51*'MASTER SHEET'!D51</f>
        <v>2100</v>
      </c>
      <c r="DG51" s="5">
        <f>AK51*'MASTER SHEET'!D51</f>
        <v>2100</v>
      </c>
      <c r="DH51" s="5">
        <f>AN51*'MASTER SHEET'!D51</f>
        <v>2100</v>
      </c>
      <c r="DI51" s="5">
        <f>AQ51*'MASTER SHEET'!D51</f>
        <v>2100</v>
      </c>
      <c r="DJ51" s="5">
        <f>AT51*'MASTER SHEET'!D51</f>
        <v>2100</v>
      </c>
      <c r="DK51" s="5">
        <f>AW51*'MASTER SHEET'!D51</f>
        <v>2100</v>
      </c>
      <c r="DL51" s="5">
        <f>AZ51*'MASTER SHEET'!D51</f>
        <v>1050</v>
      </c>
      <c r="DM51" s="5">
        <f>BC51*'MASTER SHEET'!D51</f>
        <v>1050</v>
      </c>
      <c r="DN51" s="5">
        <f>BF51*'MASTER SHEET'!D51</f>
        <v>1050</v>
      </c>
      <c r="DO51" s="5">
        <f>BI51*'MASTER SHEET'!D51</f>
        <v>1050</v>
      </c>
      <c r="DP51" s="5">
        <f>BL51*'MASTER SHEET'!D51</f>
        <v>1050</v>
      </c>
      <c r="DQ51" s="5">
        <f>BO51*'MASTER SHEET'!D51</f>
        <v>1050</v>
      </c>
      <c r="DR51" s="5">
        <f>BR51*'MASTER SHEET'!D51</f>
        <v>1050</v>
      </c>
      <c r="DS51" s="5">
        <f>BU51*'MASTER SHEET'!D51</f>
        <v>1050</v>
      </c>
      <c r="DT51" s="5">
        <f>BX51*'MASTER SHEET'!D51</f>
        <v>1050</v>
      </c>
      <c r="DU51" s="5">
        <f>CA51*'MASTER SHEET'!D51</f>
        <v>1050</v>
      </c>
      <c r="DV51" s="5">
        <f>CD51*'MASTER SHEET'!D51</f>
        <v>1050</v>
      </c>
      <c r="DW51" s="5">
        <f>CG51*'MASTER SHEET'!D51</f>
        <v>1050</v>
      </c>
      <c r="DX51" s="5">
        <f>CJ51*'MASTER SHEET'!D51</f>
        <v>1050</v>
      </c>
      <c r="DY51" s="5">
        <f>CM51*'MASTER SHEET'!D51</f>
        <v>16170</v>
      </c>
      <c r="DZ51" s="5">
        <f>CP51*'MASTER SHEET'!D51</f>
        <v>16170</v>
      </c>
      <c r="EA51" s="5">
        <f>CS51*'MASTER SHEET'!D51</f>
        <v>16170</v>
      </c>
      <c r="EB51" s="143">
        <f>VLOOKUP($C51,'[1]GREEN LEV.₹'!$I$2:$K$54,3,0)</f>
        <v>200</v>
      </c>
    </row>
    <row r="52" spans="1:132" ht="15.75" x14ac:dyDescent="0.25">
      <c r="A52" s="25">
        <f>'MASTER SHEET'!A52</f>
        <v>50</v>
      </c>
      <c r="B52" s="26" t="str">
        <f>'MASTER SHEET'!B52</f>
        <v>SHELL, PLASTIC</v>
      </c>
      <c r="C52" s="27">
        <f>'MASTER SHEET'!C52</f>
        <v>5030061</v>
      </c>
      <c r="D52" s="56">
        <v>0</v>
      </c>
      <c r="E52" s="57">
        <f>' WIP '!F52</f>
        <v>0</v>
      </c>
      <c r="F52" s="58">
        <v>0</v>
      </c>
      <c r="G52" s="59">
        <f t="shared" si="63"/>
        <v>0</v>
      </c>
      <c r="H52" s="57">
        <f>' WIP '!J52</f>
        <v>0</v>
      </c>
      <c r="I52" s="58">
        <v>0</v>
      </c>
      <c r="J52" s="59">
        <f t="shared" si="64"/>
        <v>0</v>
      </c>
      <c r="K52" s="57">
        <f>' WIP '!N52</f>
        <v>0</v>
      </c>
      <c r="L52" s="58"/>
      <c r="M52" s="59">
        <f t="shared" si="65"/>
        <v>0</v>
      </c>
      <c r="N52" s="57">
        <f>' WIP '!R52</f>
        <v>0</v>
      </c>
      <c r="O52" s="58">
        <v>0</v>
      </c>
      <c r="P52" s="59">
        <f t="shared" si="66"/>
        <v>0</v>
      </c>
      <c r="Q52" s="57">
        <f>' WIP '!V52</f>
        <v>0</v>
      </c>
      <c r="R52" s="58">
        <v>0</v>
      </c>
      <c r="S52" s="59">
        <f t="shared" si="67"/>
        <v>0</v>
      </c>
      <c r="T52" s="57">
        <f>' WIP '!Z52</f>
        <v>0</v>
      </c>
      <c r="U52" s="58">
        <v>0</v>
      </c>
      <c r="V52" s="59">
        <f t="shared" si="68"/>
        <v>0</v>
      </c>
      <c r="W52" s="57">
        <f>' WIP '!AD52</f>
        <v>0</v>
      </c>
      <c r="X52" s="58">
        <v>0</v>
      </c>
      <c r="Y52" s="59">
        <f t="shared" si="69"/>
        <v>0</v>
      </c>
      <c r="Z52" s="57">
        <f>' WIP '!AH52</f>
        <v>0</v>
      </c>
      <c r="AA52" s="58">
        <v>0</v>
      </c>
      <c r="AB52" s="59">
        <f t="shared" si="70"/>
        <v>0</v>
      </c>
      <c r="AC52" s="57">
        <f>' WIP '!AL52</f>
        <v>0</v>
      </c>
      <c r="AD52" s="58">
        <v>0</v>
      </c>
      <c r="AE52" s="59">
        <f t="shared" si="71"/>
        <v>0</v>
      </c>
      <c r="AF52" s="57">
        <f>' WIP '!AP52</f>
        <v>0</v>
      </c>
      <c r="AG52" s="114">
        <v>0</v>
      </c>
      <c r="AH52" s="59">
        <f t="shared" si="72"/>
        <v>0</v>
      </c>
      <c r="AI52" s="57">
        <f>' WIP '!AT52</f>
        <v>0</v>
      </c>
      <c r="AJ52" s="58">
        <v>0</v>
      </c>
      <c r="AK52" s="59">
        <f t="shared" si="73"/>
        <v>0</v>
      </c>
      <c r="AL52" s="57">
        <f>' WIP '!AX52</f>
        <v>0</v>
      </c>
      <c r="AM52" s="58"/>
      <c r="AN52" s="59">
        <f t="shared" si="74"/>
        <v>0</v>
      </c>
      <c r="AO52" s="57">
        <f>' WIP '!BB52</f>
        <v>0</v>
      </c>
      <c r="AP52" s="58">
        <v>0</v>
      </c>
      <c r="AQ52" s="59">
        <f t="shared" si="75"/>
        <v>0</v>
      </c>
      <c r="AR52" s="57">
        <f>' WIP '!BF52</f>
        <v>0</v>
      </c>
      <c r="AS52" s="58">
        <v>0</v>
      </c>
      <c r="AT52" s="59">
        <f t="shared" si="76"/>
        <v>0</v>
      </c>
      <c r="AU52" s="57">
        <f>' WIP '!BJ52</f>
        <v>0</v>
      </c>
      <c r="AV52" s="58">
        <v>0</v>
      </c>
      <c r="AW52" s="59">
        <f t="shared" si="77"/>
        <v>0</v>
      </c>
      <c r="AX52" s="57">
        <f>' WIP '!BN52</f>
        <v>0</v>
      </c>
      <c r="AY52" s="58">
        <v>0</v>
      </c>
      <c r="AZ52" s="59">
        <f t="shared" si="78"/>
        <v>0</v>
      </c>
      <c r="BA52" s="57">
        <f>' WIP '!BR52</f>
        <v>0</v>
      </c>
      <c r="BB52" s="58">
        <v>0</v>
      </c>
      <c r="BC52" s="59">
        <f t="shared" si="79"/>
        <v>0</v>
      </c>
      <c r="BD52" s="57">
        <f>' WIP '!BV52</f>
        <v>0</v>
      </c>
      <c r="BE52" s="58">
        <v>0</v>
      </c>
      <c r="BF52" s="59">
        <f t="shared" si="80"/>
        <v>0</v>
      </c>
      <c r="BG52" s="57">
        <f>' WIP '!BZ52</f>
        <v>0</v>
      </c>
      <c r="BH52" s="58"/>
      <c r="BI52" s="59">
        <f t="shared" si="81"/>
        <v>0</v>
      </c>
      <c r="BJ52" s="57">
        <f>' WIP '!CD52</f>
        <v>0</v>
      </c>
      <c r="BK52" s="58">
        <v>0</v>
      </c>
      <c r="BL52" s="59">
        <f t="shared" si="82"/>
        <v>0</v>
      </c>
      <c r="BM52" s="57">
        <f>' WIP '!CH52</f>
        <v>0</v>
      </c>
      <c r="BN52" s="58">
        <v>0</v>
      </c>
      <c r="BO52" s="59">
        <f t="shared" si="83"/>
        <v>0</v>
      </c>
      <c r="BP52" s="57">
        <f>' WIP '!CL52</f>
        <v>0</v>
      </c>
      <c r="BQ52" s="58"/>
      <c r="BR52" s="59">
        <f t="shared" si="84"/>
        <v>0</v>
      </c>
      <c r="BS52" s="57">
        <f>' WIP '!CP52</f>
        <v>0</v>
      </c>
      <c r="BT52" s="58">
        <v>0</v>
      </c>
      <c r="BU52" s="59">
        <f t="shared" si="85"/>
        <v>0</v>
      </c>
      <c r="BV52" s="57">
        <f>' WIP '!CT52</f>
        <v>0</v>
      </c>
      <c r="BW52" s="28">
        <v>0</v>
      </c>
      <c r="BX52" s="59">
        <f t="shared" si="86"/>
        <v>0</v>
      </c>
      <c r="BY52" s="57">
        <f>' WIP '!CX52</f>
        <v>0</v>
      </c>
      <c r="BZ52" s="58">
        <v>0</v>
      </c>
      <c r="CA52" s="59">
        <f t="shared" si="87"/>
        <v>0</v>
      </c>
      <c r="CB52" s="57">
        <f>' WIP '!DB52</f>
        <v>0</v>
      </c>
      <c r="CC52" s="58">
        <v>0</v>
      </c>
      <c r="CD52" s="59">
        <f t="shared" si="88"/>
        <v>0</v>
      </c>
      <c r="CE52" s="57">
        <f>' WIP '!DF52</f>
        <v>0</v>
      </c>
      <c r="CF52" s="58">
        <v>0</v>
      </c>
      <c r="CG52" s="59">
        <f t="shared" si="89"/>
        <v>0</v>
      </c>
      <c r="CH52" s="57">
        <f>' WIP '!DJ52</f>
        <v>0</v>
      </c>
      <c r="CI52" s="58">
        <v>0</v>
      </c>
      <c r="CJ52" s="59">
        <f t="shared" si="90"/>
        <v>0</v>
      </c>
      <c r="CK52" s="57">
        <f>' WIP '!DN52</f>
        <v>0</v>
      </c>
      <c r="CL52" s="58">
        <v>0</v>
      </c>
      <c r="CM52" s="59">
        <f t="shared" si="91"/>
        <v>0</v>
      </c>
      <c r="CN52" s="57">
        <f>' WIP '!DR52</f>
        <v>0</v>
      </c>
      <c r="CO52" s="57"/>
      <c r="CP52" s="59">
        <f t="shared" si="92"/>
        <v>0</v>
      </c>
      <c r="CQ52" s="57">
        <f>' WIP '!DV52</f>
        <v>0</v>
      </c>
      <c r="CR52" s="58"/>
      <c r="CS52" s="59">
        <f t="shared" si="93"/>
        <v>0</v>
      </c>
      <c r="CT52" s="31">
        <f t="shared" si="94"/>
        <v>0</v>
      </c>
      <c r="CU52" s="4">
        <f t="shared" si="95"/>
        <v>0</v>
      </c>
      <c r="CV52" s="5">
        <f>D52*'MASTER SHEET'!D52</f>
        <v>0</v>
      </c>
      <c r="CW52" s="5">
        <f>G52*'MASTER SHEET'!D52</f>
        <v>0</v>
      </c>
      <c r="CX52" s="5">
        <f>J52*'MASTER SHEET'!D52</f>
        <v>0</v>
      </c>
      <c r="CY52" s="5">
        <f>M52*'MASTER SHEET'!D52</f>
        <v>0</v>
      </c>
      <c r="CZ52" s="5">
        <f>P52*'MASTER SHEET'!D52</f>
        <v>0</v>
      </c>
      <c r="DA52" s="5">
        <f>S52*'MASTER SHEET'!D52</f>
        <v>0</v>
      </c>
      <c r="DB52" s="5">
        <f>V52*'MASTER SHEET'!D52</f>
        <v>0</v>
      </c>
      <c r="DC52" s="5">
        <f>Y52*'MASTER SHEET'!D52</f>
        <v>0</v>
      </c>
      <c r="DD52" s="5">
        <f>AB52*'MASTER SHEET'!D52</f>
        <v>0</v>
      </c>
      <c r="DE52" s="5">
        <f>AE52*'MASTER SHEET'!D52</f>
        <v>0</v>
      </c>
      <c r="DF52" s="5">
        <f>AH52*'MASTER SHEET'!D52</f>
        <v>0</v>
      </c>
      <c r="DG52" s="5">
        <f>AK52*'MASTER SHEET'!D52</f>
        <v>0</v>
      </c>
      <c r="DH52" s="5">
        <f>AN52*'MASTER SHEET'!D52</f>
        <v>0</v>
      </c>
      <c r="DI52" s="5">
        <f>AQ52*'MASTER SHEET'!D52</f>
        <v>0</v>
      </c>
      <c r="DJ52" s="5">
        <f>AT52*'MASTER SHEET'!D52</f>
        <v>0</v>
      </c>
      <c r="DK52" s="5">
        <f>AW52*'MASTER SHEET'!D52</f>
        <v>0</v>
      </c>
      <c r="DL52" s="5">
        <f>AZ52*'MASTER SHEET'!D52</f>
        <v>0</v>
      </c>
      <c r="DM52" s="5">
        <f>BC52*'MASTER SHEET'!D52</f>
        <v>0</v>
      </c>
      <c r="DN52" s="5">
        <f>BF52*'MASTER SHEET'!D52</f>
        <v>0</v>
      </c>
      <c r="DO52" s="5">
        <f>BI52*'MASTER SHEET'!D52</f>
        <v>0</v>
      </c>
      <c r="DP52" s="5">
        <f>BL52*'MASTER SHEET'!D52</f>
        <v>0</v>
      </c>
      <c r="DQ52" s="5">
        <f>BO52*'MASTER SHEET'!D52</f>
        <v>0</v>
      </c>
      <c r="DR52" s="5">
        <f>BR52*'MASTER SHEET'!D52</f>
        <v>0</v>
      </c>
      <c r="DS52" s="5">
        <f>BU52*'MASTER SHEET'!D52</f>
        <v>0</v>
      </c>
      <c r="DT52" s="5">
        <f>BX52*'MASTER SHEET'!D52</f>
        <v>0</v>
      </c>
      <c r="DU52" s="5">
        <f>CA52*'MASTER SHEET'!D52</f>
        <v>0</v>
      </c>
      <c r="DV52" s="5">
        <f>CD52*'MASTER SHEET'!D52</f>
        <v>0</v>
      </c>
      <c r="DW52" s="5">
        <f>CG52*'MASTER SHEET'!D52</f>
        <v>0</v>
      </c>
      <c r="DX52" s="5">
        <f>CJ52*'MASTER SHEET'!D52</f>
        <v>0</v>
      </c>
      <c r="DY52" s="5">
        <f>CM52*'MASTER SHEET'!D52</f>
        <v>0</v>
      </c>
      <c r="DZ52" s="5">
        <f>CP52*'MASTER SHEET'!D52</f>
        <v>0</v>
      </c>
      <c r="EA52" s="5">
        <f>CS52*'MASTER SHEET'!D52</f>
        <v>0</v>
      </c>
      <c r="EB52" s="9"/>
    </row>
    <row r="53" spans="1:132" ht="15.75" x14ac:dyDescent="0.25">
      <c r="A53" s="25">
        <f>'MASTER SHEET'!A53</f>
        <v>51</v>
      </c>
      <c r="B53" s="26" t="str">
        <f>'MASTER SHEET'!B53</f>
        <v>NOZZLE PLATE</v>
      </c>
      <c r="C53" s="27">
        <f>'MASTER SHEET'!C53</f>
        <v>5030146</v>
      </c>
      <c r="D53" s="56">
        <v>0</v>
      </c>
      <c r="E53" s="57">
        <f>' WIP '!F53</f>
        <v>0</v>
      </c>
      <c r="F53" s="58">
        <v>0</v>
      </c>
      <c r="G53" s="59">
        <f t="shared" si="63"/>
        <v>0</v>
      </c>
      <c r="H53" s="57">
        <f>' WIP '!J53</f>
        <v>0</v>
      </c>
      <c r="I53" s="58">
        <v>0</v>
      </c>
      <c r="J53" s="59">
        <f t="shared" si="64"/>
        <v>0</v>
      </c>
      <c r="K53" s="57">
        <f>' WIP '!N53</f>
        <v>0</v>
      </c>
      <c r="L53" s="58"/>
      <c r="M53" s="59">
        <f t="shared" si="65"/>
        <v>0</v>
      </c>
      <c r="N53" s="57">
        <f>' WIP '!R53</f>
        <v>0</v>
      </c>
      <c r="O53" s="58">
        <v>0</v>
      </c>
      <c r="P53" s="59">
        <f t="shared" si="66"/>
        <v>0</v>
      </c>
      <c r="Q53" s="57">
        <f>' WIP '!V53</f>
        <v>0</v>
      </c>
      <c r="R53" s="58">
        <v>0</v>
      </c>
      <c r="S53" s="59">
        <f t="shared" si="67"/>
        <v>0</v>
      </c>
      <c r="T53" s="57">
        <f>' WIP '!Z53</f>
        <v>0</v>
      </c>
      <c r="U53" s="58">
        <v>0</v>
      </c>
      <c r="V53" s="59">
        <f t="shared" si="68"/>
        <v>0</v>
      </c>
      <c r="W53" s="57">
        <f>' WIP '!AD53</f>
        <v>1000</v>
      </c>
      <c r="X53" s="58">
        <v>400</v>
      </c>
      <c r="Y53" s="59">
        <f t="shared" si="69"/>
        <v>600</v>
      </c>
      <c r="Z53" s="57">
        <f>' WIP '!AH53</f>
        <v>0</v>
      </c>
      <c r="AA53" s="58">
        <v>0</v>
      </c>
      <c r="AB53" s="59">
        <f t="shared" si="70"/>
        <v>600</v>
      </c>
      <c r="AC53" s="57">
        <f>' WIP '!AL53</f>
        <v>0</v>
      </c>
      <c r="AD53" s="58">
        <v>0</v>
      </c>
      <c r="AE53" s="59">
        <f t="shared" si="71"/>
        <v>600</v>
      </c>
      <c r="AF53" s="57">
        <f>' WIP '!AP53</f>
        <v>0</v>
      </c>
      <c r="AG53" s="114">
        <v>0</v>
      </c>
      <c r="AH53" s="59">
        <f t="shared" si="72"/>
        <v>600</v>
      </c>
      <c r="AI53" s="57">
        <f>' WIP '!AT53</f>
        <v>0</v>
      </c>
      <c r="AJ53" s="58">
        <v>0</v>
      </c>
      <c r="AK53" s="59">
        <f t="shared" si="73"/>
        <v>600</v>
      </c>
      <c r="AL53" s="57">
        <f>' WIP '!AX53</f>
        <v>0</v>
      </c>
      <c r="AM53" s="58"/>
      <c r="AN53" s="59">
        <f t="shared" si="74"/>
        <v>600</v>
      </c>
      <c r="AO53" s="57">
        <f>' WIP '!BB53</f>
        <v>0</v>
      </c>
      <c r="AP53" s="58">
        <v>0</v>
      </c>
      <c r="AQ53" s="59">
        <f t="shared" si="75"/>
        <v>600</v>
      </c>
      <c r="AR53" s="57">
        <f>' WIP '!BF53</f>
        <v>0</v>
      </c>
      <c r="AS53" s="58">
        <v>0</v>
      </c>
      <c r="AT53" s="59">
        <f t="shared" si="76"/>
        <v>600</v>
      </c>
      <c r="AU53" s="57">
        <f>' WIP '!BJ53</f>
        <v>0</v>
      </c>
      <c r="AV53" s="58">
        <v>0</v>
      </c>
      <c r="AW53" s="59">
        <f t="shared" si="77"/>
        <v>600</v>
      </c>
      <c r="AX53" s="57">
        <f>' WIP '!BN53</f>
        <v>0</v>
      </c>
      <c r="AY53" s="58">
        <v>0</v>
      </c>
      <c r="AZ53" s="59">
        <f t="shared" si="78"/>
        <v>600</v>
      </c>
      <c r="BA53" s="57">
        <f>' WIP '!BR53</f>
        <v>0</v>
      </c>
      <c r="BB53" s="58">
        <v>0</v>
      </c>
      <c r="BC53" s="59">
        <f t="shared" si="79"/>
        <v>600</v>
      </c>
      <c r="BD53" s="57">
        <f>' WIP '!BV53</f>
        <v>0</v>
      </c>
      <c r="BE53" s="58">
        <v>0</v>
      </c>
      <c r="BF53" s="59">
        <f t="shared" si="80"/>
        <v>600</v>
      </c>
      <c r="BG53" s="57">
        <f>' WIP '!BZ53</f>
        <v>0</v>
      </c>
      <c r="BH53" s="58"/>
      <c r="BI53" s="59">
        <f t="shared" si="81"/>
        <v>600</v>
      </c>
      <c r="BJ53" s="57">
        <f>' WIP '!CD53</f>
        <v>0</v>
      </c>
      <c r="BK53" s="58">
        <v>400</v>
      </c>
      <c r="BL53" s="59">
        <f t="shared" si="82"/>
        <v>200</v>
      </c>
      <c r="BM53" s="57">
        <f>' WIP '!CH53</f>
        <v>0</v>
      </c>
      <c r="BN53" s="58">
        <v>0</v>
      </c>
      <c r="BO53" s="59">
        <f t="shared" si="83"/>
        <v>200</v>
      </c>
      <c r="BP53" s="57">
        <f>' WIP '!CL53</f>
        <v>0</v>
      </c>
      <c r="BQ53" s="58"/>
      <c r="BR53" s="59">
        <f t="shared" si="84"/>
        <v>200</v>
      </c>
      <c r="BS53" s="57">
        <f>' WIP '!CP53</f>
        <v>0</v>
      </c>
      <c r="BT53" s="58">
        <v>0</v>
      </c>
      <c r="BU53" s="59">
        <f t="shared" si="85"/>
        <v>200</v>
      </c>
      <c r="BV53" s="57">
        <f>' WIP '!CT53</f>
        <v>0</v>
      </c>
      <c r="BW53" s="28">
        <v>0</v>
      </c>
      <c r="BX53" s="59">
        <f t="shared" si="86"/>
        <v>200</v>
      </c>
      <c r="BY53" s="57">
        <f>' WIP '!CX53</f>
        <v>1186</v>
      </c>
      <c r="BZ53" s="58">
        <v>0</v>
      </c>
      <c r="CA53" s="59">
        <f t="shared" si="87"/>
        <v>1386</v>
      </c>
      <c r="CB53" s="57">
        <f>' WIP '!DB53</f>
        <v>0</v>
      </c>
      <c r="CC53" s="58">
        <v>0</v>
      </c>
      <c r="CD53" s="59">
        <f t="shared" si="88"/>
        <v>1386</v>
      </c>
      <c r="CE53" s="57">
        <f>' WIP '!DF53</f>
        <v>0</v>
      </c>
      <c r="CF53" s="58">
        <v>1186</v>
      </c>
      <c r="CG53" s="59">
        <f t="shared" si="89"/>
        <v>200</v>
      </c>
      <c r="CH53" s="57">
        <f>' WIP '!DJ53</f>
        <v>0</v>
      </c>
      <c r="CI53" s="58">
        <v>0</v>
      </c>
      <c r="CJ53" s="59">
        <f t="shared" si="90"/>
        <v>200</v>
      </c>
      <c r="CK53" s="57">
        <f>' WIP '!DN53</f>
        <v>0</v>
      </c>
      <c r="CL53" s="58">
        <v>0</v>
      </c>
      <c r="CM53" s="59">
        <f t="shared" si="91"/>
        <v>200</v>
      </c>
      <c r="CN53" s="57">
        <f>' WIP '!DR53</f>
        <v>0</v>
      </c>
      <c r="CO53" s="57"/>
      <c r="CP53" s="59">
        <f t="shared" si="92"/>
        <v>200</v>
      </c>
      <c r="CQ53" s="57">
        <f>' WIP '!DV53</f>
        <v>0</v>
      </c>
      <c r="CR53" s="58"/>
      <c r="CS53" s="59">
        <f t="shared" si="93"/>
        <v>200</v>
      </c>
      <c r="CT53" s="31">
        <f t="shared" si="94"/>
        <v>2186</v>
      </c>
      <c r="CU53" s="4">
        <f t="shared" si="95"/>
        <v>1986</v>
      </c>
      <c r="CV53" s="5">
        <f>D53*'MASTER SHEET'!D53</f>
        <v>0</v>
      </c>
      <c r="CW53" s="5">
        <f>G53*'MASTER SHEET'!D53</f>
        <v>0</v>
      </c>
      <c r="CX53" s="5">
        <f>J53*'MASTER SHEET'!D53</f>
        <v>0</v>
      </c>
      <c r="CY53" s="5">
        <f>M53*'MASTER SHEET'!D53</f>
        <v>0</v>
      </c>
      <c r="CZ53" s="5">
        <f>P53*'MASTER SHEET'!D53</f>
        <v>0</v>
      </c>
      <c r="DA53" s="5">
        <f>S53*'MASTER SHEET'!D53</f>
        <v>0</v>
      </c>
      <c r="DB53" s="5">
        <f>V53*'MASTER SHEET'!D53</f>
        <v>0</v>
      </c>
      <c r="DC53" s="5">
        <f>Y53*'MASTER SHEET'!D53</f>
        <v>3180</v>
      </c>
      <c r="DD53" s="5">
        <f>AB53*'MASTER SHEET'!D53</f>
        <v>3180</v>
      </c>
      <c r="DE53" s="5">
        <f>AE53*'MASTER SHEET'!D53</f>
        <v>3180</v>
      </c>
      <c r="DF53" s="5">
        <f>AH53*'MASTER SHEET'!D53</f>
        <v>3180</v>
      </c>
      <c r="DG53" s="5">
        <f>AK53*'MASTER SHEET'!D53</f>
        <v>3180</v>
      </c>
      <c r="DH53" s="5">
        <f>AN53*'MASTER SHEET'!D53</f>
        <v>3180</v>
      </c>
      <c r="DI53" s="5">
        <f>AQ53*'MASTER SHEET'!D53</f>
        <v>3180</v>
      </c>
      <c r="DJ53" s="5">
        <f>AT53*'MASTER SHEET'!D53</f>
        <v>3180</v>
      </c>
      <c r="DK53" s="5">
        <f>AW53*'MASTER SHEET'!D53</f>
        <v>3180</v>
      </c>
      <c r="DL53" s="5">
        <f>AZ53*'MASTER SHEET'!D53</f>
        <v>3180</v>
      </c>
      <c r="DM53" s="5">
        <f>BC53*'MASTER SHEET'!D53</f>
        <v>3180</v>
      </c>
      <c r="DN53" s="5">
        <f>BF53*'MASTER SHEET'!D53</f>
        <v>3180</v>
      </c>
      <c r="DO53" s="5">
        <f>BI53*'MASTER SHEET'!D53</f>
        <v>3180</v>
      </c>
      <c r="DP53" s="5">
        <f>BL53*'MASTER SHEET'!D53</f>
        <v>1060</v>
      </c>
      <c r="DQ53" s="5">
        <f>BO53*'MASTER SHEET'!D53</f>
        <v>1060</v>
      </c>
      <c r="DR53" s="5">
        <f>BR53*'MASTER SHEET'!D53</f>
        <v>1060</v>
      </c>
      <c r="DS53" s="5">
        <f>BU53*'MASTER SHEET'!D53</f>
        <v>1060</v>
      </c>
      <c r="DT53" s="5">
        <f>BX53*'MASTER SHEET'!D53</f>
        <v>1060</v>
      </c>
      <c r="DU53" s="5">
        <f>CA53*'MASTER SHEET'!D53</f>
        <v>7345.8</v>
      </c>
      <c r="DV53" s="5">
        <f>CD53*'MASTER SHEET'!D53</f>
        <v>7345.8</v>
      </c>
      <c r="DW53" s="5">
        <f>CG53*'MASTER SHEET'!D53</f>
        <v>1060</v>
      </c>
      <c r="DX53" s="5">
        <f>CJ53*'MASTER SHEET'!D53</f>
        <v>1060</v>
      </c>
      <c r="DY53" s="5">
        <f>CM53*'MASTER SHEET'!D53</f>
        <v>1060</v>
      </c>
      <c r="DZ53" s="5">
        <f>CP53*'MASTER SHEET'!D53</f>
        <v>1060</v>
      </c>
      <c r="EA53" s="5">
        <f>CS53*'MASTER SHEET'!D53</f>
        <v>1060</v>
      </c>
      <c r="EB53" s="143">
        <f>VLOOKUP($C53,'[1]GREEN LEV.₹'!$I$2:$K$54,3,0)</f>
        <v>200</v>
      </c>
    </row>
    <row r="54" spans="1:132" ht="15.75" x14ac:dyDescent="0.25">
      <c r="A54" s="25">
        <f>'MASTER SHEET'!A54</f>
        <v>52</v>
      </c>
      <c r="B54" s="26" t="str">
        <f>'MASTER SHEET'!B54</f>
        <v>SMALL PIPE</v>
      </c>
      <c r="C54" s="27">
        <f>'MASTER SHEET'!C54</f>
        <v>5030167</v>
      </c>
      <c r="D54" s="56">
        <v>0</v>
      </c>
      <c r="E54" s="57">
        <f>' WIP '!F54</f>
        <v>0</v>
      </c>
      <c r="F54" s="58">
        <v>0</v>
      </c>
      <c r="G54" s="59">
        <f t="shared" si="63"/>
        <v>0</v>
      </c>
      <c r="H54" s="57">
        <f>' WIP '!J54</f>
        <v>0</v>
      </c>
      <c r="I54" s="58">
        <v>0</v>
      </c>
      <c r="J54" s="59">
        <f t="shared" si="64"/>
        <v>0</v>
      </c>
      <c r="K54" s="57">
        <f>' WIP '!N54</f>
        <v>0</v>
      </c>
      <c r="L54" s="58"/>
      <c r="M54" s="59">
        <f t="shared" si="65"/>
        <v>0</v>
      </c>
      <c r="N54" s="57">
        <f>' WIP '!R54</f>
        <v>0</v>
      </c>
      <c r="O54" s="58">
        <v>0</v>
      </c>
      <c r="P54" s="59">
        <f t="shared" si="66"/>
        <v>0</v>
      </c>
      <c r="Q54" s="57">
        <f>' WIP '!V54</f>
        <v>0</v>
      </c>
      <c r="R54" s="58">
        <v>0</v>
      </c>
      <c r="S54" s="59">
        <f t="shared" si="67"/>
        <v>0</v>
      </c>
      <c r="T54" s="57">
        <f>' WIP '!Z54</f>
        <v>0</v>
      </c>
      <c r="U54" s="58">
        <v>0</v>
      </c>
      <c r="V54" s="59">
        <f t="shared" si="68"/>
        <v>0</v>
      </c>
      <c r="W54" s="57">
        <f>' WIP '!AD54</f>
        <v>0</v>
      </c>
      <c r="X54" s="58">
        <v>0</v>
      </c>
      <c r="Y54" s="59">
        <f t="shared" si="69"/>
        <v>0</v>
      </c>
      <c r="Z54" s="57">
        <f>' WIP '!AH54</f>
        <v>0</v>
      </c>
      <c r="AA54" s="58">
        <v>0</v>
      </c>
      <c r="AB54" s="59">
        <f t="shared" si="70"/>
        <v>0</v>
      </c>
      <c r="AC54" s="57">
        <f>' WIP '!AL54</f>
        <v>0</v>
      </c>
      <c r="AD54" s="58">
        <v>0</v>
      </c>
      <c r="AE54" s="59">
        <f t="shared" si="71"/>
        <v>0</v>
      </c>
      <c r="AF54" s="57">
        <f>' WIP '!AP54</f>
        <v>0</v>
      </c>
      <c r="AG54" s="114">
        <v>0</v>
      </c>
      <c r="AH54" s="59">
        <f t="shared" si="72"/>
        <v>0</v>
      </c>
      <c r="AI54" s="57">
        <f>' WIP '!AT54</f>
        <v>0</v>
      </c>
      <c r="AJ54" s="58">
        <v>0</v>
      </c>
      <c r="AK54" s="59">
        <f t="shared" si="73"/>
        <v>0</v>
      </c>
      <c r="AL54" s="57">
        <f>' WIP '!AX54</f>
        <v>0</v>
      </c>
      <c r="AM54" s="58"/>
      <c r="AN54" s="59">
        <f t="shared" si="74"/>
        <v>0</v>
      </c>
      <c r="AO54" s="57">
        <f>' WIP '!BB54</f>
        <v>0</v>
      </c>
      <c r="AP54" s="58">
        <v>0</v>
      </c>
      <c r="AQ54" s="59">
        <f t="shared" si="75"/>
        <v>0</v>
      </c>
      <c r="AR54" s="57">
        <f>' WIP '!BF54</f>
        <v>0</v>
      </c>
      <c r="AS54" s="58">
        <v>0</v>
      </c>
      <c r="AT54" s="59">
        <f t="shared" si="76"/>
        <v>0</v>
      </c>
      <c r="AU54" s="57">
        <f>' WIP '!BJ54</f>
        <v>0</v>
      </c>
      <c r="AV54" s="58">
        <v>0</v>
      </c>
      <c r="AW54" s="59">
        <f t="shared" si="77"/>
        <v>0</v>
      </c>
      <c r="AX54" s="57">
        <f>' WIP '!BN54</f>
        <v>0</v>
      </c>
      <c r="AY54" s="58">
        <v>0</v>
      </c>
      <c r="AZ54" s="59">
        <f t="shared" si="78"/>
        <v>0</v>
      </c>
      <c r="BA54" s="57">
        <f>' WIP '!BR54</f>
        <v>0</v>
      </c>
      <c r="BB54" s="58">
        <v>0</v>
      </c>
      <c r="BC54" s="59">
        <f t="shared" si="79"/>
        <v>0</v>
      </c>
      <c r="BD54" s="57">
        <f>' WIP '!BV54</f>
        <v>0</v>
      </c>
      <c r="BE54" s="58">
        <v>0</v>
      </c>
      <c r="BF54" s="59">
        <f t="shared" si="80"/>
        <v>0</v>
      </c>
      <c r="BG54" s="57">
        <f>' WIP '!BZ54</f>
        <v>0</v>
      </c>
      <c r="BH54" s="58"/>
      <c r="BI54" s="59">
        <f t="shared" si="81"/>
        <v>0</v>
      </c>
      <c r="BJ54" s="57">
        <f>' WIP '!CD54</f>
        <v>0</v>
      </c>
      <c r="BK54" s="58">
        <v>0</v>
      </c>
      <c r="BL54" s="59">
        <f t="shared" si="82"/>
        <v>0</v>
      </c>
      <c r="BM54" s="57">
        <f>' WIP '!CH54</f>
        <v>0</v>
      </c>
      <c r="BN54" s="58">
        <v>0</v>
      </c>
      <c r="BO54" s="59">
        <f t="shared" si="83"/>
        <v>0</v>
      </c>
      <c r="BP54" s="57">
        <f>' WIP '!CL54</f>
        <v>0</v>
      </c>
      <c r="BQ54" s="58"/>
      <c r="BR54" s="59">
        <f t="shared" si="84"/>
        <v>0</v>
      </c>
      <c r="BS54" s="57">
        <f>' WIP '!CP54</f>
        <v>0</v>
      </c>
      <c r="BT54" s="58">
        <v>0</v>
      </c>
      <c r="BU54" s="59">
        <f t="shared" si="85"/>
        <v>0</v>
      </c>
      <c r="BV54" s="57">
        <f>' WIP '!CT54</f>
        <v>0</v>
      </c>
      <c r="BW54" s="28">
        <v>0</v>
      </c>
      <c r="BX54" s="59">
        <f t="shared" si="86"/>
        <v>0</v>
      </c>
      <c r="BY54" s="57">
        <f>' WIP '!CX54</f>
        <v>0</v>
      </c>
      <c r="BZ54" s="58">
        <v>0</v>
      </c>
      <c r="CA54" s="59">
        <f t="shared" si="87"/>
        <v>0</v>
      </c>
      <c r="CB54" s="57">
        <f>' WIP '!DB54</f>
        <v>0</v>
      </c>
      <c r="CC54" s="58">
        <v>0</v>
      </c>
      <c r="CD54" s="59">
        <f t="shared" si="88"/>
        <v>0</v>
      </c>
      <c r="CE54" s="57">
        <f>' WIP '!DF54</f>
        <v>0</v>
      </c>
      <c r="CF54" s="58">
        <v>0</v>
      </c>
      <c r="CG54" s="59">
        <f t="shared" si="89"/>
        <v>0</v>
      </c>
      <c r="CH54" s="57">
        <f>' WIP '!DJ54</f>
        <v>0</v>
      </c>
      <c r="CI54" s="58">
        <v>0</v>
      </c>
      <c r="CJ54" s="59">
        <f t="shared" si="90"/>
        <v>0</v>
      </c>
      <c r="CK54" s="57">
        <f>' WIP '!DN54</f>
        <v>0</v>
      </c>
      <c r="CL54" s="58">
        <v>0</v>
      </c>
      <c r="CM54" s="59">
        <f t="shared" si="91"/>
        <v>0</v>
      </c>
      <c r="CN54" s="57">
        <f>' WIP '!DR54</f>
        <v>0</v>
      </c>
      <c r="CO54" s="57"/>
      <c r="CP54" s="59">
        <f t="shared" si="92"/>
        <v>0</v>
      </c>
      <c r="CQ54" s="57">
        <f>' WIP '!DV54</f>
        <v>0</v>
      </c>
      <c r="CR54" s="58"/>
      <c r="CS54" s="59">
        <f t="shared" si="93"/>
        <v>0</v>
      </c>
      <c r="CT54" s="31">
        <f t="shared" si="94"/>
        <v>0</v>
      </c>
      <c r="CU54" s="4">
        <f t="shared" si="95"/>
        <v>0</v>
      </c>
      <c r="CV54" s="5">
        <f>D54*'MASTER SHEET'!D54</f>
        <v>0</v>
      </c>
      <c r="CW54" s="5">
        <f>G54*'MASTER SHEET'!D54</f>
        <v>0</v>
      </c>
      <c r="CX54" s="5">
        <f>J54*'MASTER SHEET'!D54</f>
        <v>0</v>
      </c>
      <c r="CY54" s="5">
        <f>M54*'MASTER SHEET'!D54</f>
        <v>0</v>
      </c>
      <c r="CZ54" s="5">
        <f>P54*'MASTER SHEET'!D54</f>
        <v>0</v>
      </c>
      <c r="DA54" s="5">
        <f>S54*'MASTER SHEET'!D54</f>
        <v>0</v>
      </c>
      <c r="DB54" s="5">
        <f>V54*'MASTER SHEET'!D54</f>
        <v>0</v>
      </c>
      <c r="DC54" s="5">
        <f>Y54*'MASTER SHEET'!D54</f>
        <v>0</v>
      </c>
      <c r="DD54" s="5">
        <f>AB54*'MASTER SHEET'!D54</f>
        <v>0</v>
      </c>
      <c r="DE54" s="5">
        <f>AE54*'MASTER SHEET'!D54</f>
        <v>0</v>
      </c>
      <c r="DF54" s="5">
        <f>AH54*'MASTER SHEET'!D54</f>
        <v>0</v>
      </c>
      <c r="DG54" s="5">
        <f>AK54*'MASTER SHEET'!D54</f>
        <v>0</v>
      </c>
      <c r="DH54" s="5">
        <f>AN54*'MASTER SHEET'!D54</f>
        <v>0</v>
      </c>
      <c r="DI54" s="5">
        <f>AQ54*'MASTER SHEET'!D54</f>
        <v>0</v>
      </c>
      <c r="DJ54" s="5">
        <f>AT54*'MASTER SHEET'!D54</f>
        <v>0</v>
      </c>
      <c r="DK54" s="5">
        <f>AW54*'MASTER SHEET'!D54</f>
        <v>0</v>
      </c>
      <c r="DL54" s="5">
        <f>AZ54*'MASTER SHEET'!D54</f>
        <v>0</v>
      </c>
      <c r="DM54" s="5">
        <f>BC54*'MASTER SHEET'!D54</f>
        <v>0</v>
      </c>
      <c r="DN54" s="5">
        <f>BF54*'MASTER SHEET'!D54</f>
        <v>0</v>
      </c>
      <c r="DO54" s="5">
        <f>BI54*'MASTER SHEET'!D54</f>
        <v>0</v>
      </c>
      <c r="DP54" s="5">
        <f>BL54*'MASTER SHEET'!D54</f>
        <v>0</v>
      </c>
      <c r="DQ54" s="5">
        <f>BO54*'MASTER SHEET'!D54</f>
        <v>0</v>
      </c>
      <c r="DR54" s="5">
        <f>BR54*'MASTER SHEET'!D54</f>
        <v>0</v>
      </c>
      <c r="DS54" s="5">
        <f>BU54*'MASTER SHEET'!D54</f>
        <v>0</v>
      </c>
      <c r="DT54" s="5">
        <f>BX54*'MASTER SHEET'!D54</f>
        <v>0</v>
      </c>
      <c r="DU54" s="5">
        <f>CA54*'MASTER SHEET'!D54</f>
        <v>0</v>
      </c>
      <c r="DV54" s="5">
        <f>CD54*'MASTER SHEET'!D54</f>
        <v>0</v>
      </c>
      <c r="DW54" s="5">
        <f>CG54*'MASTER SHEET'!D54</f>
        <v>0</v>
      </c>
      <c r="DX54" s="5">
        <f>CJ54*'MASTER SHEET'!D54</f>
        <v>0</v>
      </c>
      <c r="DY54" s="5">
        <f>CM54*'MASTER SHEET'!D54</f>
        <v>0</v>
      </c>
      <c r="DZ54" s="5">
        <f>CP54*'MASTER SHEET'!D54</f>
        <v>0</v>
      </c>
      <c r="EA54" s="5">
        <f>CS54*'MASTER SHEET'!D54</f>
        <v>0</v>
      </c>
      <c r="EB54" s="9"/>
    </row>
    <row r="55" spans="1:132" ht="15.75" x14ac:dyDescent="0.25">
      <c r="A55" s="25">
        <f>'MASTER SHEET'!A55</f>
        <v>53</v>
      </c>
      <c r="B55" s="26" t="str">
        <f>'MASTER SHEET'!B55</f>
        <v>Mesh Plastic</v>
      </c>
      <c r="C55" s="27">
        <f>'MASTER SHEET'!C55</f>
        <v>5030573</v>
      </c>
      <c r="D55" s="56">
        <v>3465</v>
      </c>
      <c r="E55" s="57">
        <f>' WIP '!F55</f>
        <v>0</v>
      </c>
      <c r="F55" s="58">
        <v>0</v>
      </c>
      <c r="G55" s="59">
        <f t="shared" si="63"/>
        <v>3465</v>
      </c>
      <c r="H55" s="57">
        <f>' WIP '!J55</f>
        <v>0</v>
      </c>
      <c r="I55" s="58">
        <v>0</v>
      </c>
      <c r="J55" s="59">
        <f t="shared" si="64"/>
        <v>3465</v>
      </c>
      <c r="K55" s="57">
        <f>' WIP '!N55</f>
        <v>0</v>
      </c>
      <c r="L55" s="58"/>
      <c r="M55" s="59">
        <f t="shared" si="65"/>
        <v>3465</v>
      </c>
      <c r="N55" s="57">
        <f>' WIP '!R55</f>
        <v>0</v>
      </c>
      <c r="O55" s="58">
        <v>0</v>
      </c>
      <c r="P55" s="59">
        <f t="shared" si="66"/>
        <v>3465</v>
      </c>
      <c r="Q55" s="57">
        <f>' WIP '!V55</f>
        <v>0</v>
      </c>
      <c r="R55" s="58">
        <v>0</v>
      </c>
      <c r="S55" s="59">
        <f t="shared" si="67"/>
        <v>3465</v>
      </c>
      <c r="T55" s="57">
        <f>' WIP '!Z55</f>
        <v>0</v>
      </c>
      <c r="U55" s="58">
        <v>0</v>
      </c>
      <c r="V55" s="59">
        <f t="shared" si="68"/>
        <v>3465</v>
      </c>
      <c r="W55" s="57">
        <f>' WIP '!AD55</f>
        <v>0</v>
      </c>
      <c r="X55" s="58">
        <v>0</v>
      </c>
      <c r="Y55" s="59">
        <f t="shared" si="69"/>
        <v>3465</v>
      </c>
      <c r="Z55" s="57">
        <f>' WIP '!AH55</f>
        <v>0</v>
      </c>
      <c r="AA55" s="58">
        <v>0</v>
      </c>
      <c r="AB55" s="59">
        <f t="shared" si="70"/>
        <v>3465</v>
      </c>
      <c r="AC55" s="57">
        <f>' WIP '!AL55</f>
        <v>0</v>
      </c>
      <c r="AD55" s="58">
        <v>0</v>
      </c>
      <c r="AE55" s="59">
        <f t="shared" si="71"/>
        <v>3465</v>
      </c>
      <c r="AF55" s="57">
        <f>' WIP '!AP55</f>
        <v>0</v>
      </c>
      <c r="AG55" s="114">
        <v>0</v>
      </c>
      <c r="AH55" s="59">
        <f t="shared" si="72"/>
        <v>3465</v>
      </c>
      <c r="AI55" s="57">
        <f>' WIP '!AT55</f>
        <v>0</v>
      </c>
      <c r="AJ55" s="58">
        <v>0</v>
      </c>
      <c r="AK55" s="59">
        <f t="shared" si="73"/>
        <v>3465</v>
      </c>
      <c r="AL55" s="57">
        <f>' WIP '!AX55</f>
        <v>0</v>
      </c>
      <c r="AM55" s="58"/>
      <c r="AN55" s="59">
        <f t="shared" si="74"/>
        <v>3465</v>
      </c>
      <c r="AO55" s="57">
        <f>' WIP '!BB55</f>
        <v>0</v>
      </c>
      <c r="AP55" s="58">
        <v>0</v>
      </c>
      <c r="AQ55" s="59">
        <f t="shared" si="75"/>
        <v>3465</v>
      </c>
      <c r="AR55" s="57">
        <f>' WIP '!BF55</f>
        <v>0</v>
      </c>
      <c r="AS55" s="58">
        <v>0</v>
      </c>
      <c r="AT55" s="59">
        <f t="shared" si="76"/>
        <v>3465</v>
      </c>
      <c r="AU55" s="57">
        <f>' WIP '!BJ55</f>
        <v>0</v>
      </c>
      <c r="AV55" s="58">
        <v>0</v>
      </c>
      <c r="AW55" s="59">
        <f t="shared" si="77"/>
        <v>3465</v>
      </c>
      <c r="AX55" s="57">
        <f>' WIP '!BN55</f>
        <v>0</v>
      </c>
      <c r="AY55" s="58">
        <v>0</v>
      </c>
      <c r="AZ55" s="59">
        <f t="shared" si="78"/>
        <v>3465</v>
      </c>
      <c r="BA55" s="57">
        <f>' WIP '!BR55</f>
        <v>0</v>
      </c>
      <c r="BB55" s="58">
        <v>0</v>
      </c>
      <c r="BC55" s="59">
        <f t="shared" si="79"/>
        <v>3465</v>
      </c>
      <c r="BD55" s="57">
        <f>' WIP '!BV55</f>
        <v>0</v>
      </c>
      <c r="BE55" s="58">
        <v>0</v>
      </c>
      <c r="BF55" s="59">
        <f t="shared" si="80"/>
        <v>3465</v>
      </c>
      <c r="BG55" s="57">
        <f>' WIP '!BZ55</f>
        <v>0</v>
      </c>
      <c r="BH55" s="58"/>
      <c r="BI55" s="59">
        <f t="shared" si="81"/>
        <v>3465</v>
      </c>
      <c r="BJ55" s="57">
        <f>' WIP '!CD55</f>
        <v>0</v>
      </c>
      <c r="BK55" s="58">
        <v>0</v>
      </c>
      <c r="BL55" s="59">
        <f t="shared" si="82"/>
        <v>3465</v>
      </c>
      <c r="BM55" s="57">
        <f>' WIP '!CH55</f>
        <v>0</v>
      </c>
      <c r="BN55" s="58">
        <v>0</v>
      </c>
      <c r="BO55" s="59">
        <f t="shared" si="83"/>
        <v>3465</v>
      </c>
      <c r="BP55" s="57">
        <f>' WIP '!CL55</f>
        <v>0</v>
      </c>
      <c r="BQ55" s="58"/>
      <c r="BR55" s="59">
        <f t="shared" si="84"/>
        <v>3465</v>
      </c>
      <c r="BS55" s="57">
        <f>' WIP '!CP55</f>
        <v>0</v>
      </c>
      <c r="BT55" s="58">
        <v>0</v>
      </c>
      <c r="BU55" s="59">
        <f t="shared" si="85"/>
        <v>3465</v>
      </c>
      <c r="BV55" s="57">
        <f>' WIP '!CT55</f>
        <v>0</v>
      </c>
      <c r="BW55" s="28">
        <v>0</v>
      </c>
      <c r="BX55" s="59">
        <f t="shared" si="86"/>
        <v>3465</v>
      </c>
      <c r="BY55" s="57">
        <f>' WIP '!CX55</f>
        <v>0</v>
      </c>
      <c r="BZ55" s="58">
        <v>0</v>
      </c>
      <c r="CA55" s="59">
        <f t="shared" si="87"/>
        <v>3465</v>
      </c>
      <c r="CB55" s="57">
        <f>' WIP '!DB55</f>
        <v>0</v>
      </c>
      <c r="CC55" s="58">
        <v>0</v>
      </c>
      <c r="CD55" s="59">
        <f t="shared" si="88"/>
        <v>3465</v>
      </c>
      <c r="CE55" s="57">
        <f>' WIP '!DF55</f>
        <v>0</v>
      </c>
      <c r="CF55" s="58">
        <v>0</v>
      </c>
      <c r="CG55" s="59">
        <f t="shared" si="89"/>
        <v>3465</v>
      </c>
      <c r="CH55" s="57">
        <f>' WIP '!DJ55</f>
        <v>0</v>
      </c>
      <c r="CI55" s="58">
        <v>0</v>
      </c>
      <c r="CJ55" s="59">
        <f t="shared" si="90"/>
        <v>3465</v>
      </c>
      <c r="CK55" s="57">
        <f>' WIP '!DN55</f>
        <v>0</v>
      </c>
      <c r="CL55" s="58">
        <v>0</v>
      </c>
      <c r="CM55" s="59">
        <f t="shared" si="91"/>
        <v>3465</v>
      </c>
      <c r="CN55" s="57">
        <f>' WIP '!DR55</f>
        <v>0</v>
      </c>
      <c r="CO55" s="57"/>
      <c r="CP55" s="59">
        <f t="shared" si="92"/>
        <v>3465</v>
      </c>
      <c r="CQ55" s="57">
        <f>' WIP '!DV55</f>
        <v>0</v>
      </c>
      <c r="CR55" s="58"/>
      <c r="CS55" s="59">
        <f t="shared" si="93"/>
        <v>3465</v>
      </c>
      <c r="CT55" s="31">
        <f t="shared" si="94"/>
        <v>3465</v>
      </c>
      <c r="CU55" s="4">
        <f t="shared" si="95"/>
        <v>0</v>
      </c>
      <c r="CV55" s="5">
        <f>D55*'MASTER SHEET'!D55</f>
        <v>15107.400000000001</v>
      </c>
      <c r="CW55" s="5">
        <f>G55*'MASTER SHEET'!D55</f>
        <v>15107.400000000001</v>
      </c>
      <c r="CX55" s="5">
        <f>J55*'MASTER SHEET'!D55</f>
        <v>15107.400000000001</v>
      </c>
      <c r="CY55" s="5">
        <f>M55*'MASTER SHEET'!D55</f>
        <v>15107.400000000001</v>
      </c>
      <c r="CZ55" s="5">
        <f>P55*'MASTER SHEET'!D55</f>
        <v>15107.400000000001</v>
      </c>
      <c r="DA55" s="5">
        <f>S55*'MASTER SHEET'!D55</f>
        <v>15107.400000000001</v>
      </c>
      <c r="DB55" s="5">
        <f>V55*'MASTER SHEET'!D55</f>
        <v>15107.400000000001</v>
      </c>
      <c r="DC55" s="5">
        <f>Y55*'MASTER SHEET'!D55</f>
        <v>15107.400000000001</v>
      </c>
      <c r="DD55" s="5">
        <f>AB55*'MASTER SHEET'!D55</f>
        <v>15107.400000000001</v>
      </c>
      <c r="DE55" s="5">
        <f>AE55*'MASTER SHEET'!D55</f>
        <v>15107.400000000001</v>
      </c>
      <c r="DF55" s="5">
        <f>AH55*'MASTER SHEET'!D55</f>
        <v>15107.400000000001</v>
      </c>
      <c r="DG55" s="5">
        <f>AK55*'MASTER SHEET'!D55</f>
        <v>15107.400000000001</v>
      </c>
      <c r="DH55" s="5">
        <f>AN55*'MASTER SHEET'!D55</f>
        <v>15107.400000000001</v>
      </c>
      <c r="DI55" s="5">
        <f>AQ55*'MASTER SHEET'!D55</f>
        <v>15107.400000000001</v>
      </c>
      <c r="DJ55" s="5">
        <f>AT55*'MASTER SHEET'!D55</f>
        <v>15107.400000000001</v>
      </c>
      <c r="DK55" s="5">
        <f>AW55*'MASTER SHEET'!D55</f>
        <v>15107.400000000001</v>
      </c>
      <c r="DL55" s="5">
        <f>AZ55*'MASTER SHEET'!D55</f>
        <v>15107.400000000001</v>
      </c>
      <c r="DM55" s="5">
        <f>BC55*'MASTER SHEET'!D55</f>
        <v>15107.400000000001</v>
      </c>
      <c r="DN55" s="5">
        <f>BF55*'MASTER SHEET'!D55</f>
        <v>15107.400000000001</v>
      </c>
      <c r="DO55" s="5">
        <f>BI55*'MASTER SHEET'!D55</f>
        <v>15107.400000000001</v>
      </c>
      <c r="DP55" s="5">
        <f>BL55*'MASTER SHEET'!D55</f>
        <v>15107.400000000001</v>
      </c>
      <c r="DQ55" s="5">
        <f>BO55*'MASTER SHEET'!D55</f>
        <v>15107.400000000001</v>
      </c>
      <c r="DR55" s="5">
        <f>BR55*'MASTER SHEET'!D55</f>
        <v>15107.400000000001</v>
      </c>
      <c r="DS55" s="5">
        <f>BU55*'MASTER SHEET'!D55</f>
        <v>15107.400000000001</v>
      </c>
      <c r="DT55" s="5">
        <f>BX55*'MASTER SHEET'!D55</f>
        <v>15107.400000000001</v>
      </c>
      <c r="DU55" s="5">
        <f>CA55*'MASTER SHEET'!D55</f>
        <v>15107.400000000001</v>
      </c>
      <c r="DV55" s="5">
        <f>CD55*'MASTER SHEET'!D55</f>
        <v>15107.400000000001</v>
      </c>
      <c r="DW55" s="5">
        <f>CG55*'MASTER SHEET'!D55</f>
        <v>15107.400000000001</v>
      </c>
      <c r="DX55" s="5">
        <f>CJ55*'MASTER SHEET'!D55</f>
        <v>15107.400000000001</v>
      </c>
      <c r="DY55" s="5">
        <f>CM55*'MASTER SHEET'!D55</f>
        <v>15107.400000000001</v>
      </c>
      <c r="DZ55" s="5">
        <f>CP55*'MASTER SHEET'!D55</f>
        <v>15107.400000000001</v>
      </c>
      <c r="EA55" s="5">
        <f>CS55*'MASTER SHEET'!D55</f>
        <v>15107.400000000001</v>
      </c>
      <c r="EB55" s="9"/>
    </row>
    <row r="56" spans="1:132" ht="15.75" x14ac:dyDescent="0.25">
      <c r="A56" s="25">
        <f>'MASTER SHEET'!A56</f>
        <v>54</v>
      </c>
      <c r="B56" s="26" t="str">
        <f>'MASTER SHEET'!B56</f>
        <v>BASE HOUSING</v>
      </c>
      <c r="C56" s="27">
        <f>'MASTER SHEET'!C56</f>
        <v>5030721</v>
      </c>
      <c r="D56" s="56">
        <v>49</v>
      </c>
      <c r="E56" s="57">
        <f>' WIP '!F56</f>
        <v>0</v>
      </c>
      <c r="F56" s="58">
        <v>0</v>
      </c>
      <c r="G56" s="59">
        <f t="shared" si="63"/>
        <v>49</v>
      </c>
      <c r="H56" s="57">
        <f>' WIP '!J56</f>
        <v>0</v>
      </c>
      <c r="I56" s="58">
        <v>0</v>
      </c>
      <c r="J56" s="59">
        <f t="shared" si="64"/>
        <v>49</v>
      </c>
      <c r="K56" s="57">
        <f>' WIP '!N56</f>
        <v>0</v>
      </c>
      <c r="L56" s="58"/>
      <c r="M56" s="59">
        <f t="shared" si="65"/>
        <v>49</v>
      </c>
      <c r="N56" s="57">
        <f>' WIP '!R56</f>
        <v>0</v>
      </c>
      <c r="O56" s="58">
        <v>0</v>
      </c>
      <c r="P56" s="59">
        <f t="shared" si="66"/>
        <v>49</v>
      </c>
      <c r="Q56" s="57">
        <f>' WIP '!V56</f>
        <v>0</v>
      </c>
      <c r="R56" s="58">
        <v>0</v>
      </c>
      <c r="S56" s="59">
        <f t="shared" si="67"/>
        <v>49</v>
      </c>
      <c r="T56" s="57">
        <f>' WIP '!Z56</f>
        <v>0</v>
      </c>
      <c r="U56" s="58">
        <v>0</v>
      </c>
      <c r="V56" s="59">
        <f t="shared" si="68"/>
        <v>49</v>
      </c>
      <c r="W56" s="57">
        <f>' WIP '!AD56</f>
        <v>0</v>
      </c>
      <c r="X56" s="58">
        <v>49</v>
      </c>
      <c r="Y56" s="59">
        <f t="shared" si="69"/>
        <v>0</v>
      </c>
      <c r="Z56" s="57">
        <f>' WIP '!AH56</f>
        <v>0</v>
      </c>
      <c r="AA56" s="58">
        <v>0</v>
      </c>
      <c r="AB56" s="59">
        <f t="shared" si="70"/>
        <v>0</v>
      </c>
      <c r="AC56" s="57">
        <f>' WIP '!AL56</f>
        <v>0</v>
      </c>
      <c r="AD56" s="58">
        <v>0</v>
      </c>
      <c r="AE56" s="59">
        <f t="shared" si="71"/>
        <v>0</v>
      </c>
      <c r="AF56" s="57">
        <f>' WIP '!AP56</f>
        <v>0</v>
      </c>
      <c r="AG56" s="114">
        <v>0</v>
      </c>
      <c r="AH56" s="59">
        <f t="shared" si="72"/>
        <v>0</v>
      </c>
      <c r="AI56" s="57">
        <f>' WIP '!AT56</f>
        <v>0</v>
      </c>
      <c r="AJ56" s="58">
        <v>0</v>
      </c>
      <c r="AK56" s="59">
        <f t="shared" si="73"/>
        <v>0</v>
      </c>
      <c r="AL56" s="57">
        <f>' WIP '!AX56</f>
        <v>0</v>
      </c>
      <c r="AM56" s="58"/>
      <c r="AN56" s="59">
        <f t="shared" si="74"/>
        <v>0</v>
      </c>
      <c r="AO56" s="57">
        <f>' WIP '!BB56</f>
        <v>0</v>
      </c>
      <c r="AP56" s="58">
        <v>0</v>
      </c>
      <c r="AQ56" s="59">
        <f t="shared" si="75"/>
        <v>0</v>
      </c>
      <c r="AR56" s="57">
        <f>' WIP '!BF56</f>
        <v>0</v>
      </c>
      <c r="AS56" s="58">
        <v>0</v>
      </c>
      <c r="AT56" s="59">
        <f t="shared" si="76"/>
        <v>0</v>
      </c>
      <c r="AU56" s="57">
        <f>' WIP '!BJ56</f>
        <v>0</v>
      </c>
      <c r="AV56" s="58">
        <v>0</v>
      </c>
      <c r="AW56" s="59">
        <f t="shared" si="77"/>
        <v>0</v>
      </c>
      <c r="AX56" s="57">
        <f>' WIP '!BN56</f>
        <v>0</v>
      </c>
      <c r="AY56" s="58">
        <v>0</v>
      </c>
      <c r="AZ56" s="59">
        <f t="shared" si="78"/>
        <v>0</v>
      </c>
      <c r="BA56" s="57">
        <f>' WIP '!BR56</f>
        <v>0</v>
      </c>
      <c r="BB56" s="58">
        <v>0</v>
      </c>
      <c r="BC56" s="59">
        <f t="shared" si="79"/>
        <v>0</v>
      </c>
      <c r="BD56" s="57">
        <f>' WIP '!BV56</f>
        <v>0</v>
      </c>
      <c r="BE56" s="58">
        <v>0</v>
      </c>
      <c r="BF56" s="59">
        <f t="shared" si="80"/>
        <v>0</v>
      </c>
      <c r="BG56" s="57">
        <f>' WIP '!BZ56</f>
        <v>0</v>
      </c>
      <c r="BH56" s="58"/>
      <c r="BI56" s="59">
        <f t="shared" si="81"/>
        <v>0</v>
      </c>
      <c r="BJ56" s="57">
        <f>' WIP '!CD56</f>
        <v>0</v>
      </c>
      <c r="BK56" s="58">
        <v>0</v>
      </c>
      <c r="BL56" s="59">
        <f t="shared" si="82"/>
        <v>0</v>
      </c>
      <c r="BM56" s="57">
        <f>' WIP '!CH56</f>
        <v>0</v>
      </c>
      <c r="BN56" s="58">
        <v>0</v>
      </c>
      <c r="BO56" s="59">
        <f t="shared" si="83"/>
        <v>0</v>
      </c>
      <c r="BP56" s="57">
        <f>' WIP '!CL56</f>
        <v>0</v>
      </c>
      <c r="BQ56" s="58"/>
      <c r="BR56" s="59">
        <f t="shared" si="84"/>
        <v>0</v>
      </c>
      <c r="BS56" s="57">
        <f>' WIP '!CP56</f>
        <v>0</v>
      </c>
      <c r="BT56" s="58">
        <v>0</v>
      </c>
      <c r="BU56" s="59">
        <f t="shared" si="85"/>
        <v>0</v>
      </c>
      <c r="BV56" s="57">
        <f>' WIP '!CT56</f>
        <v>0</v>
      </c>
      <c r="BW56" s="28">
        <v>0</v>
      </c>
      <c r="BX56" s="59">
        <f t="shared" si="86"/>
        <v>0</v>
      </c>
      <c r="BY56" s="57">
        <f>' WIP '!CX56</f>
        <v>0</v>
      </c>
      <c r="BZ56" s="58">
        <v>0</v>
      </c>
      <c r="CA56" s="59">
        <f t="shared" si="87"/>
        <v>0</v>
      </c>
      <c r="CB56" s="57">
        <f>' WIP '!DB56</f>
        <v>0</v>
      </c>
      <c r="CC56" s="58">
        <v>0</v>
      </c>
      <c r="CD56" s="59">
        <f t="shared" si="88"/>
        <v>0</v>
      </c>
      <c r="CE56" s="57">
        <f>' WIP '!DF56</f>
        <v>0</v>
      </c>
      <c r="CF56" s="58">
        <v>0</v>
      </c>
      <c r="CG56" s="59">
        <f t="shared" si="89"/>
        <v>0</v>
      </c>
      <c r="CH56" s="57">
        <f>' WIP '!DJ56</f>
        <v>0</v>
      </c>
      <c r="CI56" s="58">
        <v>0</v>
      </c>
      <c r="CJ56" s="59">
        <f t="shared" si="90"/>
        <v>0</v>
      </c>
      <c r="CK56" s="57">
        <f>' WIP '!DN56</f>
        <v>0</v>
      </c>
      <c r="CL56" s="58">
        <v>0</v>
      </c>
      <c r="CM56" s="59">
        <f t="shared" si="91"/>
        <v>0</v>
      </c>
      <c r="CN56" s="57">
        <f>' WIP '!DR56</f>
        <v>0</v>
      </c>
      <c r="CO56" s="57"/>
      <c r="CP56" s="59">
        <f t="shared" si="92"/>
        <v>0</v>
      </c>
      <c r="CQ56" s="57">
        <f>' WIP '!DV56</f>
        <v>0</v>
      </c>
      <c r="CR56" s="58"/>
      <c r="CS56" s="59">
        <f t="shared" si="93"/>
        <v>0</v>
      </c>
      <c r="CT56" s="31">
        <f t="shared" si="94"/>
        <v>49</v>
      </c>
      <c r="CU56" s="4">
        <f t="shared" si="95"/>
        <v>49</v>
      </c>
      <c r="CV56" s="5">
        <f>D56*'MASTER SHEET'!D56</f>
        <v>2244.1999999999998</v>
      </c>
      <c r="CW56" s="5">
        <f>G56*'MASTER SHEET'!D56</f>
        <v>2244.1999999999998</v>
      </c>
      <c r="CX56" s="5">
        <f>J56*'MASTER SHEET'!D56</f>
        <v>2244.1999999999998</v>
      </c>
      <c r="CY56" s="5">
        <f>M56*'MASTER SHEET'!D56</f>
        <v>2244.1999999999998</v>
      </c>
      <c r="CZ56" s="5">
        <f>P56*'MASTER SHEET'!D56</f>
        <v>2244.1999999999998</v>
      </c>
      <c r="DA56" s="5">
        <f>S56*'MASTER SHEET'!D56</f>
        <v>2244.1999999999998</v>
      </c>
      <c r="DB56" s="5">
        <f>V56*'MASTER SHEET'!D56</f>
        <v>2244.1999999999998</v>
      </c>
      <c r="DC56" s="5">
        <f>Y56*'MASTER SHEET'!D56</f>
        <v>0</v>
      </c>
      <c r="DD56" s="5">
        <f>AB56*'MASTER SHEET'!D56</f>
        <v>0</v>
      </c>
      <c r="DE56" s="5">
        <f>AE56*'MASTER SHEET'!D56</f>
        <v>0</v>
      </c>
      <c r="DF56" s="5">
        <f>AH56*'MASTER SHEET'!D56</f>
        <v>0</v>
      </c>
      <c r="DG56" s="5">
        <f>AK56*'MASTER SHEET'!D56</f>
        <v>0</v>
      </c>
      <c r="DH56" s="5">
        <f>AN56*'MASTER SHEET'!D56</f>
        <v>0</v>
      </c>
      <c r="DI56" s="5">
        <f>AQ56*'MASTER SHEET'!D56</f>
        <v>0</v>
      </c>
      <c r="DJ56" s="5">
        <f>AT56*'MASTER SHEET'!D56</f>
        <v>0</v>
      </c>
      <c r="DK56" s="5">
        <f>AW56*'MASTER SHEET'!D56</f>
        <v>0</v>
      </c>
      <c r="DL56" s="5">
        <f>AZ56*'MASTER SHEET'!D56</f>
        <v>0</v>
      </c>
      <c r="DM56" s="5">
        <f>BC56*'MASTER SHEET'!D56</f>
        <v>0</v>
      </c>
      <c r="DN56" s="5">
        <f>BF56*'MASTER SHEET'!D56</f>
        <v>0</v>
      </c>
      <c r="DO56" s="5">
        <f>BI56*'MASTER SHEET'!D56</f>
        <v>0</v>
      </c>
      <c r="DP56" s="5">
        <f>BL56*'MASTER SHEET'!D56</f>
        <v>0</v>
      </c>
      <c r="DQ56" s="5">
        <f>BO56*'MASTER SHEET'!D56</f>
        <v>0</v>
      </c>
      <c r="DR56" s="5">
        <f>BR56*'MASTER SHEET'!D56</f>
        <v>0</v>
      </c>
      <c r="DS56" s="5">
        <f>BU56*'MASTER SHEET'!D56</f>
        <v>0</v>
      </c>
      <c r="DT56" s="5">
        <f>BX56*'MASTER SHEET'!D56</f>
        <v>0</v>
      </c>
      <c r="DU56" s="5">
        <f>CA56*'MASTER SHEET'!D56</f>
        <v>0</v>
      </c>
      <c r="DV56" s="5">
        <f>CD56*'MASTER SHEET'!D56</f>
        <v>0</v>
      </c>
      <c r="DW56" s="5">
        <f>CG56*'MASTER SHEET'!D56</f>
        <v>0</v>
      </c>
      <c r="DX56" s="5">
        <f>CJ56*'MASTER SHEET'!D56</f>
        <v>0</v>
      </c>
      <c r="DY56" s="5">
        <f>CM56*'MASTER SHEET'!D56</f>
        <v>0</v>
      </c>
      <c r="DZ56" s="5">
        <f>CP56*'MASTER SHEET'!D56</f>
        <v>0</v>
      </c>
      <c r="EA56" s="5">
        <f>CS56*'MASTER SHEET'!D56</f>
        <v>0</v>
      </c>
      <c r="EB56" s="9"/>
    </row>
    <row r="57" spans="1:132" ht="15.75" x14ac:dyDescent="0.25">
      <c r="A57" s="25">
        <f>'MASTER SHEET'!A57</f>
        <v>55</v>
      </c>
      <c r="B57" s="26" t="str">
        <f>'MASTER SHEET'!B57</f>
        <v>HOUSING PLASTIC</v>
      </c>
      <c r="C57" s="27">
        <f>'MASTER SHEET'!C57</f>
        <v>5030557</v>
      </c>
      <c r="D57" s="56">
        <v>900</v>
      </c>
      <c r="E57" s="57">
        <f>' WIP '!F57</f>
        <v>0</v>
      </c>
      <c r="F57" s="58">
        <v>0</v>
      </c>
      <c r="G57" s="59">
        <f t="shared" si="63"/>
        <v>900</v>
      </c>
      <c r="H57" s="57">
        <f>' WIP '!J57</f>
        <v>0</v>
      </c>
      <c r="I57" s="58">
        <v>0</v>
      </c>
      <c r="J57" s="59">
        <f t="shared" si="64"/>
        <v>900</v>
      </c>
      <c r="K57" s="57">
        <f>' WIP '!N57</f>
        <v>0</v>
      </c>
      <c r="L57" s="58"/>
      <c r="M57" s="59">
        <f t="shared" si="65"/>
        <v>900</v>
      </c>
      <c r="N57" s="57">
        <f>' WIP '!R57</f>
        <v>0</v>
      </c>
      <c r="O57" s="58">
        <v>0</v>
      </c>
      <c r="P57" s="59">
        <f t="shared" si="66"/>
        <v>900</v>
      </c>
      <c r="Q57" s="57">
        <f>' WIP '!V57</f>
        <v>0</v>
      </c>
      <c r="R57" s="58">
        <v>0</v>
      </c>
      <c r="S57" s="59">
        <f t="shared" si="67"/>
        <v>900</v>
      </c>
      <c r="T57" s="57">
        <f>' WIP '!Z57</f>
        <v>0</v>
      </c>
      <c r="U57" s="58">
        <v>0</v>
      </c>
      <c r="V57" s="59">
        <f t="shared" si="68"/>
        <v>900</v>
      </c>
      <c r="W57" s="57">
        <f>' WIP '!AD57</f>
        <v>0</v>
      </c>
      <c r="X57" s="58">
        <v>0</v>
      </c>
      <c r="Y57" s="59">
        <f t="shared" si="69"/>
        <v>900</v>
      </c>
      <c r="Z57" s="57">
        <f>' WIP '!AH57</f>
        <v>0</v>
      </c>
      <c r="AA57" s="58">
        <v>0</v>
      </c>
      <c r="AB57" s="59">
        <f t="shared" si="70"/>
        <v>900</v>
      </c>
      <c r="AC57" s="57">
        <f>' WIP '!AL57</f>
        <v>0</v>
      </c>
      <c r="AD57" s="58">
        <v>0</v>
      </c>
      <c r="AE57" s="59">
        <f t="shared" si="71"/>
        <v>900</v>
      </c>
      <c r="AF57" s="57">
        <f>' WIP '!AP57</f>
        <v>0</v>
      </c>
      <c r="AG57" s="114">
        <v>0</v>
      </c>
      <c r="AH57" s="59">
        <f t="shared" si="72"/>
        <v>900</v>
      </c>
      <c r="AI57" s="57">
        <f>' WIP '!AT57</f>
        <v>0</v>
      </c>
      <c r="AJ57" s="58">
        <v>0</v>
      </c>
      <c r="AK57" s="59">
        <f t="shared" si="73"/>
        <v>900</v>
      </c>
      <c r="AL57" s="57">
        <f>' WIP '!AX57</f>
        <v>0</v>
      </c>
      <c r="AM57" s="58"/>
      <c r="AN57" s="59">
        <f t="shared" si="74"/>
        <v>900</v>
      </c>
      <c r="AO57" s="57">
        <f>' WIP '!BB57</f>
        <v>0</v>
      </c>
      <c r="AP57" s="58">
        <v>0</v>
      </c>
      <c r="AQ57" s="59">
        <f t="shared" si="75"/>
        <v>900</v>
      </c>
      <c r="AR57" s="57">
        <f>' WIP '!BF57</f>
        <v>0</v>
      </c>
      <c r="AS57" s="58">
        <v>0</v>
      </c>
      <c r="AT57" s="59">
        <f t="shared" si="76"/>
        <v>900</v>
      </c>
      <c r="AU57" s="57">
        <f>' WIP '!BJ57</f>
        <v>0</v>
      </c>
      <c r="AV57" s="58">
        <v>0</v>
      </c>
      <c r="AW57" s="59">
        <f t="shared" si="77"/>
        <v>900</v>
      </c>
      <c r="AX57" s="57">
        <f>' WIP '!BN57</f>
        <v>0</v>
      </c>
      <c r="AY57" s="58">
        <v>0</v>
      </c>
      <c r="AZ57" s="59">
        <f t="shared" si="78"/>
        <v>900</v>
      </c>
      <c r="BA57" s="57">
        <f>' WIP '!BR57</f>
        <v>0</v>
      </c>
      <c r="BB57" s="58">
        <v>0</v>
      </c>
      <c r="BC57" s="59">
        <f t="shared" si="79"/>
        <v>900</v>
      </c>
      <c r="BD57" s="57">
        <f>' WIP '!BV57</f>
        <v>0</v>
      </c>
      <c r="BE57" s="58">
        <v>0</v>
      </c>
      <c r="BF57" s="59">
        <f t="shared" si="80"/>
        <v>900</v>
      </c>
      <c r="BG57" s="57">
        <f>' WIP '!BZ57</f>
        <v>0</v>
      </c>
      <c r="BH57" s="58"/>
      <c r="BI57" s="59">
        <f t="shared" si="81"/>
        <v>900</v>
      </c>
      <c r="BJ57" s="57">
        <f>' WIP '!CD57</f>
        <v>0</v>
      </c>
      <c r="BK57" s="58">
        <v>0</v>
      </c>
      <c r="BL57" s="59">
        <f t="shared" si="82"/>
        <v>900</v>
      </c>
      <c r="BM57" s="57">
        <f>' WIP '!CH57</f>
        <v>0</v>
      </c>
      <c r="BN57" s="58">
        <v>0</v>
      </c>
      <c r="BO57" s="59">
        <f t="shared" si="83"/>
        <v>900</v>
      </c>
      <c r="BP57" s="57">
        <f>' WIP '!CL57</f>
        <v>0</v>
      </c>
      <c r="BQ57" s="58"/>
      <c r="BR57" s="59">
        <f t="shared" si="84"/>
        <v>900</v>
      </c>
      <c r="BS57" s="57">
        <f>' WIP '!CP57</f>
        <v>0</v>
      </c>
      <c r="BT57" s="58">
        <v>0</v>
      </c>
      <c r="BU57" s="59">
        <f t="shared" si="85"/>
        <v>900</v>
      </c>
      <c r="BV57" s="57">
        <f>' WIP '!CT57</f>
        <v>0</v>
      </c>
      <c r="BW57" s="28">
        <v>0</v>
      </c>
      <c r="BX57" s="59">
        <f t="shared" si="86"/>
        <v>900</v>
      </c>
      <c r="BY57" s="57">
        <f>' WIP '!CX57</f>
        <v>0</v>
      </c>
      <c r="BZ57" s="58">
        <v>0</v>
      </c>
      <c r="CA57" s="59">
        <f t="shared" si="87"/>
        <v>900</v>
      </c>
      <c r="CB57" s="57">
        <f>' WIP '!DB57</f>
        <v>0</v>
      </c>
      <c r="CC57" s="58">
        <v>0</v>
      </c>
      <c r="CD57" s="59">
        <f t="shared" si="88"/>
        <v>900</v>
      </c>
      <c r="CE57" s="57">
        <f>' WIP '!DF57</f>
        <v>0</v>
      </c>
      <c r="CF57" s="58">
        <v>0</v>
      </c>
      <c r="CG57" s="59">
        <f t="shared" si="89"/>
        <v>900</v>
      </c>
      <c r="CH57" s="57">
        <f>' WIP '!DJ57</f>
        <v>0</v>
      </c>
      <c r="CI57" s="58">
        <v>0</v>
      </c>
      <c r="CJ57" s="59">
        <f t="shared" si="90"/>
        <v>900</v>
      </c>
      <c r="CK57" s="57">
        <f>' WIP '!DN57</f>
        <v>0</v>
      </c>
      <c r="CL57" s="58">
        <v>0</v>
      </c>
      <c r="CM57" s="59">
        <f t="shared" si="91"/>
        <v>900</v>
      </c>
      <c r="CN57" s="57">
        <f>' WIP '!DR57</f>
        <v>0</v>
      </c>
      <c r="CO57" s="57"/>
      <c r="CP57" s="59">
        <f t="shared" si="92"/>
        <v>900</v>
      </c>
      <c r="CQ57" s="57">
        <f>' WIP '!DV57</f>
        <v>0</v>
      </c>
      <c r="CR57" s="58"/>
      <c r="CS57" s="59">
        <f t="shared" si="93"/>
        <v>900</v>
      </c>
      <c r="CT57" s="31">
        <f t="shared" si="94"/>
        <v>900</v>
      </c>
      <c r="CU57" s="4">
        <f t="shared" si="95"/>
        <v>0</v>
      </c>
      <c r="CV57" s="5">
        <f>D57*'MASTER SHEET'!D57</f>
        <v>12915</v>
      </c>
      <c r="CW57" s="5">
        <f>G57*'MASTER SHEET'!D57</f>
        <v>12915</v>
      </c>
      <c r="CX57" s="5">
        <f>J57*'MASTER SHEET'!D57</f>
        <v>12915</v>
      </c>
      <c r="CY57" s="5">
        <f>M57*'MASTER SHEET'!D57</f>
        <v>12915</v>
      </c>
      <c r="CZ57" s="5">
        <f>P57*'MASTER SHEET'!D57</f>
        <v>12915</v>
      </c>
      <c r="DA57" s="5">
        <f>S57*'MASTER SHEET'!D57</f>
        <v>12915</v>
      </c>
      <c r="DB57" s="5">
        <f>V57*'MASTER SHEET'!D57</f>
        <v>12915</v>
      </c>
      <c r="DC57" s="5">
        <f>Y57*'MASTER SHEET'!D57</f>
        <v>12915</v>
      </c>
      <c r="DD57" s="5">
        <f>AB57*'MASTER SHEET'!D57</f>
        <v>12915</v>
      </c>
      <c r="DE57" s="5">
        <f>AE57*'MASTER SHEET'!D57</f>
        <v>12915</v>
      </c>
      <c r="DF57" s="5">
        <f>AH57*'MASTER SHEET'!D57</f>
        <v>12915</v>
      </c>
      <c r="DG57" s="5">
        <f>AK57*'MASTER SHEET'!D57</f>
        <v>12915</v>
      </c>
      <c r="DH57" s="5">
        <f>AN57*'MASTER SHEET'!D57</f>
        <v>12915</v>
      </c>
      <c r="DI57" s="5">
        <f>AQ57*'MASTER SHEET'!D57</f>
        <v>12915</v>
      </c>
      <c r="DJ57" s="5">
        <f>AT57*'MASTER SHEET'!D57</f>
        <v>12915</v>
      </c>
      <c r="DK57" s="5">
        <f>AW57*'MASTER SHEET'!D57</f>
        <v>12915</v>
      </c>
      <c r="DL57" s="5">
        <f>AZ57*'MASTER SHEET'!D57</f>
        <v>12915</v>
      </c>
      <c r="DM57" s="5">
        <f>BC57*'MASTER SHEET'!D57</f>
        <v>12915</v>
      </c>
      <c r="DN57" s="5">
        <f>BF57*'MASTER SHEET'!D57</f>
        <v>12915</v>
      </c>
      <c r="DO57" s="5">
        <f>BI57*'MASTER SHEET'!D57</f>
        <v>12915</v>
      </c>
      <c r="DP57" s="5">
        <f>BL57*'MASTER SHEET'!D57</f>
        <v>12915</v>
      </c>
      <c r="DQ57" s="5">
        <f>BO57*'MASTER SHEET'!D57</f>
        <v>12915</v>
      </c>
      <c r="DR57" s="5">
        <f>BR57*'MASTER SHEET'!D57</f>
        <v>12915</v>
      </c>
      <c r="DS57" s="5">
        <f>BU57*'MASTER SHEET'!D57</f>
        <v>12915</v>
      </c>
      <c r="DT57" s="5">
        <f>BX57*'MASTER SHEET'!D57</f>
        <v>12915</v>
      </c>
      <c r="DU57" s="5">
        <f>CA57*'MASTER SHEET'!D57</f>
        <v>12915</v>
      </c>
      <c r="DV57" s="5">
        <f>CD57*'MASTER SHEET'!D57</f>
        <v>12915</v>
      </c>
      <c r="DW57" s="5">
        <f>CG57*'MASTER SHEET'!D57</f>
        <v>12915</v>
      </c>
      <c r="DX57" s="5">
        <f>CJ57*'MASTER SHEET'!D57</f>
        <v>12915</v>
      </c>
      <c r="DY57" s="5">
        <f>CM57*'MASTER SHEET'!D57</f>
        <v>12915</v>
      </c>
      <c r="DZ57" s="5">
        <f>CP57*'MASTER SHEET'!D57</f>
        <v>12915</v>
      </c>
      <c r="EA57" s="5">
        <f>CS57*'MASTER SHEET'!D57</f>
        <v>12915</v>
      </c>
      <c r="EB57" s="9"/>
    </row>
    <row r="58" spans="1:132" ht="15.75" x14ac:dyDescent="0.25">
      <c r="A58" s="25">
        <f>'MASTER SHEET'!A58</f>
        <v>56</v>
      </c>
      <c r="B58" s="26" t="str">
        <f>'MASTER SHEET'!B58</f>
        <v>COVER TOP ASSEMBLY</v>
      </c>
      <c r="C58" s="27">
        <f>'MASTER SHEET'!C58</f>
        <v>5031657</v>
      </c>
      <c r="D58" s="56">
        <v>1680</v>
      </c>
      <c r="E58" s="57">
        <f>' WIP '!F58</f>
        <v>0</v>
      </c>
      <c r="F58" s="58">
        <v>0</v>
      </c>
      <c r="G58" s="59">
        <f t="shared" si="63"/>
        <v>1680</v>
      </c>
      <c r="H58" s="57">
        <f>' WIP '!J58</f>
        <v>0</v>
      </c>
      <c r="I58" s="58">
        <v>0</v>
      </c>
      <c r="J58" s="59">
        <f t="shared" si="64"/>
        <v>1680</v>
      </c>
      <c r="K58" s="57">
        <f>' WIP '!N58</f>
        <v>0</v>
      </c>
      <c r="L58" s="58"/>
      <c r="M58" s="59">
        <f t="shared" si="65"/>
        <v>1680</v>
      </c>
      <c r="N58" s="57">
        <f>' WIP '!R58</f>
        <v>0</v>
      </c>
      <c r="O58" s="58">
        <v>0</v>
      </c>
      <c r="P58" s="59">
        <f t="shared" si="66"/>
        <v>1680</v>
      </c>
      <c r="Q58" s="57">
        <f>' WIP '!V58</f>
        <v>0</v>
      </c>
      <c r="R58" s="58">
        <v>0</v>
      </c>
      <c r="S58" s="59">
        <f t="shared" si="67"/>
        <v>1680</v>
      </c>
      <c r="T58" s="57">
        <f>' WIP '!Z58</f>
        <v>0</v>
      </c>
      <c r="U58" s="58">
        <v>0</v>
      </c>
      <c r="V58" s="59">
        <f t="shared" si="68"/>
        <v>1680</v>
      </c>
      <c r="W58" s="57">
        <f>' WIP '!AD58</f>
        <v>0</v>
      </c>
      <c r="X58" s="58">
        <v>0</v>
      </c>
      <c r="Y58" s="59">
        <f t="shared" si="69"/>
        <v>1680</v>
      </c>
      <c r="Z58" s="57">
        <f>' WIP '!AH58</f>
        <v>0</v>
      </c>
      <c r="AA58" s="58">
        <v>0</v>
      </c>
      <c r="AB58" s="59">
        <f t="shared" si="70"/>
        <v>1680</v>
      </c>
      <c r="AC58" s="57">
        <f>' WIP '!AL58</f>
        <v>0</v>
      </c>
      <c r="AD58" s="58">
        <v>0</v>
      </c>
      <c r="AE58" s="59">
        <f t="shared" si="71"/>
        <v>1680</v>
      </c>
      <c r="AF58" s="57">
        <f>' WIP '!AP58</f>
        <v>0</v>
      </c>
      <c r="AG58" s="114">
        <v>0</v>
      </c>
      <c r="AH58" s="59">
        <f t="shared" si="72"/>
        <v>1680</v>
      </c>
      <c r="AI58" s="57">
        <f>' WIP '!AT58</f>
        <v>0</v>
      </c>
      <c r="AJ58" s="58">
        <v>0</v>
      </c>
      <c r="AK58" s="59">
        <f t="shared" si="73"/>
        <v>1680</v>
      </c>
      <c r="AL58" s="57">
        <f>' WIP '!AX58</f>
        <v>0</v>
      </c>
      <c r="AM58" s="58"/>
      <c r="AN58" s="59">
        <f t="shared" si="74"/>
        <v>1680</v>
      </c>
      <c r="AO58" s="57">
        <f>' WIP '!BB58</f>
        <v>0</v>
      </c>
      <c r="AP58" s="58">
        <v>0</v>
      </c>
      <c r="AQ58" s="59">
        <f t="shared" si="75"/>
        <v>1680</v>
      </c>
      <c r="AR58" s="57">
        <f>' WIP '!BF58</f>
        <v>0</v>
      </c>
      <c r="AS58" s="58">
        <v>0</v>
      </c>
      <c r="AT58" s="59">
        <f t="shared" si="76"/>
        <v>1680</v>
      </c>
      <c r="AU58" s="57">
        <f>' WIP '!BJ58</f>
        <v>0</v>
      </c>
      <c r="AV58" s="58">
        <v>0</v>
      </c>
      <c r="AW58" s="59">
        <f t="shared" si="77"/>
        <v>1680</v>
      </c>
      <c r="AX58" s="57">
        <f>' WIP '!BN58</f>
        <v>0</v>
      </c>
      <c r="AY58" s="58">
        <v>0</v>
      </c>
      <c r="AZ58" s="59">
        <f t="shared" si="78"/>
        <v>1680</v>
      </c>
      <c r="BA58" s="57">
        <f>' WIP '!BR58</f>
        <v>0</v>
      </c>
      <c r="BB58" s="58">
        <v>0</v>
      </c>
      <c r="BC58" s="59">
        <f t="shared" si="79"/>
        <v>1680</v>
      </c>
      <c r="BD58" s="57">
        <f>' WIP '!BV58</f>
        <v>0</v>
      </c>
      <c r="BE58" s="58">
        <v>0</v>
      </c>
      <c r="BF58" s="59">
        <f t="shared" si="80"/>
        <v>1680</v>
      </c>
      <c r="BG58" s="57">
        <f>' WIP '!BZ58</f>
        <v>0</v>
      </c>
      <c r="BH58" s="58"/>
      <c r="BI58" s="59">
        <f t="shared" si="81"/>
        <v>1680</v>
      </c>
      <c r="BJ58" s="57">
        <f>' WIP '!CD58</f>
        <v>0</v>
      </c>
      <c r="BK58" s="58">
        <v>0</v>
      </c>
      <c r="BL58" s="59">
        <f t="shared" si="82"/>
        <v>1680</v>
      </c>
      <c r="BM58" s="57">
        <f>' WIP '!CH58</f>
        <v>0</v>
      </c>
      <c r="BN58" s="58">
        <v>0</v>
      </c>
      <c r="BO58" s="59">
        <f t="shared" si="83"/>
        <v>1680</v>
      </c>
      <c r="BP58" s="57">
        <f>' WIP '!CL58</f>
        <v>0</v>
      </c>
      <c r="BQ58" s="58"/>
      <c r="BR58" s="59">
        <f t="shared" si="84"/>
        <v>1680</v>
      </c>
      <c r="BS58" s="57">
        <f>' WIP '!CP58</f>
        <v>0</v>
      </c>
      <c r="BT58" s="58">
        <v>0</v>
      </c>
      <c r="BU58" s="59">
        <f t="shared" si="85"/>
        <v>1680</v>
      </c>
      <c r="BV58" s="57">
        <f>' WIP '!CT58</f>
        <v>0</v>
      </c>
      <c r="BW58" s="28">
        <v>0</v>
      </c>
      <c r="BX58" s="59">
        <f t="shared" si="86"/>
        <v>1680</v>
      </c>
      <c r="BY58" s="57">
        <f>' WIP '!CX58</f>
        <v>0</v>
      </c>
      <c r="BZ58" s="58">
        <v>0</v>
      </c>
      <c r="CA58" s="59">
        <f t="shared" si="87"/>
        <v>1680</v>
      </c>
      <c r="CB58" s="57">
        <f>' WIP '!DB58</f>
        <v>0</v>
      </c>
      <c r="CC58" s="58">
        <v>0</v>
      </c>
      <c r="CD58" s="59">
        <f t="shared" si="88"/>
        <v>1680</v>
      </c>
      <c r="CE58" s="57">
        <f>' WIP '!DF58</f>
        <v>0</v>
      </c>
      <c r="CF58" s="58">
        <v>0</v>
      </c>
      <c r="CG58" s="59">
        <f t="shared" si="89"/>
        <v>1680</v>
      </c>
      <c r="CH58" s="57">
        <f>' WIP '!DJ58</f>
        <v>0</v>
      </c>
      <c r="CI58" s="58">
        <v>0</v>
      </c>
      <c r="CJ58" s="59">
        <f t="shared" si="90"/>
        <v>1680</v>
      </c>
      <c r="CK58" s="57">
        <f>' WIP '!DN58</f>
        <v>0</v>
      </c>
      <c r="CL58" s="58">
        <v>0</v>
      </c>
      <c r="CM58" s="59">
        <f t="shared" si="91"/>
        <v>1680</v>
      </c>
      <c r="CN58" s="57">
        <f>' WIP '!DR58</f>
        <v>0</v>
      </c>
      <c r="CO58" s="57"/>
      <c r="CP58" s="59">
        <f t="shared" si="92"/>
        <v>1680</v>
      </c>
      <c r="CQ58" s="57">
        <f>' WIP '!DV58</f>
        <v>0</v>
      </c>
      <c r="CR58" s="58"/>
      <c r="CS58" s="59">
        <f t="shared" si="93"/>
        <v>1680</v>
      </c>
      <c r="CT58" s="31">
        <f t="shared" si="94"/>
        <v>1680</v>
      </c>
      <c r="CU58" s="4">
        <f t="shared" si="95"/>
        <v>0</v>
      </c>
      <c r="CV58" s="5">
        <f>D58*'MASTER SHEET'!D58</f>
        <v>56078.400000000001</v>
      </c>
      <c r="CW58" s="5">
        <f>G58*'MASTER SHEET'!D58</f>
        <v>56078.400000000001</v>
      </c>
      <c r="CX58" s="5">
        <f>J58*'MASTER SHEET'!D58</f>
        <v>56078.400000000001</v>
      </c>
      <c r="CY58" s="5">
        <f>M58*'MASTER SHEET'!D58</f>
        <v>56078.400000000001</v>
      </c>
      <c r="CZ58" s="5">
        <f>P58*'MASTER SHEET'!D58</f>
        <v>56078.400000000001</v>
      </c>
      <c r="DA58" s="5">
        <f>S58*'MASTER SHEET'!D58</f>
        <v>56078.400000000001</v>
      </c>
      <c r="DB58" s="5">
        <f>V58*'MASTER SHEET'!D58</f>
        <v>56078.400000000001</v>
      </c>
      <c r="DC58" s="5">
        <f>Y58*'MASTER SHEET'!D58</f>
        <v>56078.400000000001</v>
      </c>
      <c r="DD58" s="5">
        <f>AB58*'MASTER SHEET'!D58</f>
        <v>56078.400000000001</v>
      </c>
      <c r="DE58" s="5">
        <f>AE58*'MASTER SHEET'!D58</f>
        <v>56078.400000000001</v>
      </c>
      <c r="DF58" s="5">
        <f>AH58*'MASTER SHEET'!D58</f>
        <v>56078.400000000001</v>
      </c>
      <c r="DG58" s="5">
        <f>AK58*'MASTER SHEET'!D58</f>
        <v>56078.400000000001</v>
      </c>
      <c r="DH58" s="5">
        <f>AN58*'MASTER SHEET'!D58</f>
        <v>56078.400000000001</v>
      </c>
      <c r="DI58" s="5">
        <f>AQ58*'MASTER SHEET'!D58</f>
        <v>56078.400000000001</v>
      </c>
      <c r="DJ58" s="5">
        <f>AT58*'MASTER SHEET'!D58</f>
        <v>56078.400000000001</v>
      </c>
      <c r="DK58" s="5">
        <f>AW58*'MASTER SHEET'!D58</f>
        <v>56078.400000000001</v>
      </c>
      <c r="DL58" s="5">
        <f>AZ58*'MASTER SHEET'!D58</f>
        <v>56078.400000000001</v>
      </c>
      <c r="DM58" s="5">
        <f>BC58*'MASTER SHEET'!D58</f>
        <v>56078.400000000001</v>
      </c>
      <c r="DN58" s="5">
        <f>BF58*'MASTER SHEET'!D58</f>
        <v>56078.400000000001</v>
      </c>
      <c r="DO58" s="5">
        <f>BI58*'MASTER SHEET'!D58</f>
        <v>56078.400000000001</v>
      </c>
      <c r="DP58" s="5">
        <f>BL58*'MASTER SHEET'!D58</f>
        <v>56078.400000000001</v>
      </c>
      <c r="DQ58" s="5">
        <f>BO58*'MASTER SHEET'!D58</f>
        <v>56078.400000000001</v>
      </c>
      <c r="DR58" s="5">
        <f>BR58*'MASTER SHEET'!D58</f>
        <v>56078.400000000001</v>
      </c>
      <c r="DS58" s="5">
        <f>BU58*'MASTER SHEET'!D58</f>
        <v>56078.400000000001</v>
      </c>
      <c r="DT58" s="5">
        <f>BX58*'MASTER SHEET'!D58</f>
        <v>56078.400000000001</v>
      </c>
      <c r="DU58" s="5">
        <f>CA58*'MASTER SHEET'!D58</f>
        <v>56078.400000000001</v>
      </c>
      <c r="DV58" s="5">
        <f>CD58*'MASTER SHEET'!D58</f>
        <v>56078.400000000001</v>
      </c>
      <c r="DW58" s="5">
        <f>CG58*'MASTER SHEET'!D58</f>
        <v>56078.400000000001</v>
      </c>
      <c r="DX58" s="5">
        <f>CJ58*'MASTER SHEET'!D58</f>
        <v>56078.400000000001</v>
      </c>
      <c r="DY58" s="5">
        <f>CM58*'MASTER SHEET'!D58</f>
        <v>56078.400000000001</v>
      </c>
      <c r="DZ58" s="5">
        <f>CP58*'MASTER SHEET'!D58</f>
        <v>56078.400000000001</v>
      </c>
      <c r="EA58" s="5">
        <f>CS58*'MASTER SHEET'!D58</f>
        <v>56078.400000000001</v>
      </c>
      <c r="EB58" s="9"/>
    </row>
    <row r="59" spans="1:132" ht="15.75" x14ac:dyDescent="0.25">
      <c r="A59" s="25">
        <f>'MASTER SHEET'!A59</f>
        <v>57</v>
      </c>
      <c r="B59" s="26" t="str">
        <f>'MASTER SHEET'!B59</f>
        <v>FRAME COVER</v>
      </c>
      <c r="C59" s="27">
        <f>'MASTER SHEET'!C59</f>
        <v>5031102</v>
      </c>
      <c r="D59" s="56">
        <v>0</v>
      </c>
      <c r="E59" s="57">
        <f>' WIP '!F59</f>
        <v>0</v>
      </c>
      <c r="F59" s="58">
        <v>0</v>
      </c>
      <c r="G59" s="59">
        <f t="shared" si="63"/>
        <v>0</v>
      </c>
      <c r="H59" s="57">
        <f>' WIP '!J59</f>
        <v>0</v>
      </c>
      <c r="I59" s="58">
        <v>0</v>
      </c>
      <c r="J59" s="59">
        <f t="shared" si="64"/>
        <v>0</v>
      </c>
      <c r="K59" s="57">
        <f>' WIP '!N59</f>
        <v>0</v>
      </c>
      <c r="L59" s="58"/>
      <c r="M59" s="59">
        <f t="shared" si="65"/>
        <v>0</v>
      </c>
      <c r="N59" s="57">
        <f>' WIP '!R59</f>
        <v>0</v>
      </c>
      <c r="O59" s="58">
        <v>0</v>
      </c>
      <c r="P59" s="59">
        <f t="shared" si="66"/>
        <v>0</v>
      </c>
      <c r="Q59" s="57">
        <f>' WIP '!V59</f>
        <v>0</v>
      </c>
      <c r="R59" s="58">
        <v>0</v>
      </c>
      <c r="S59" s="59">
        <f t="shared" si="67"/>
        <v>0</v>
      </c>
      <c r="T59" s="57">
        <f>' WIP '!Z59</f>
        <v>0</v>
      </c>
      <c r="U59" s="58">
        <v>0</v>
      </c>
      <c r="V59" s="59">
        <f t="shared" si="68"/>
        <v>0</v>
      </c>
      <c r="W59" s="57">
        <f>' WIP '!AD59</f>
        <v>0</v>
      </c>
      <c r="X59" s="58">
        <v>0</v>
      </c>
      <c r="Y59" s="59">
        <f t="shared" si="69"/>
        <v>0</v>
      </c>
      <c r="Z59" s="57">
        <f>' WIP '!AH59</f>
        <v>0</v>
      </c>
      <c r="AA59" s="58">
        <v>0</v>
      </c>
      <c r="AB59" s="59">
        <f t="shared" si="70"/>
        <v>0</v>
      </c>
      <c r="AC59" s="57">
        <f>' WIP '!AL59</f>
        <v>0</v>
      </c>
      <c r="AD59" s="58">
        <v>0</v>
      </c>
      <c r="AE59" s="59">
        <f t="shared" si="71"/>
        <v>0</v>
      </c>
      <c r="AF59" s="57">
        <f>' WIP '!AP59</f>
        <v>0</v>
      </c>
      <c r="AG59" s="114">
        <v>0</v>
      </c>
      <c r="AH59" s="59">
        <f t="shared" si="72"/>
        <v>0</v>
      </c>
      <c r="AI59" s="57">
        <f>' WIP '!AT59</f>
        <v>0</v>
      </c>
      <c r="AJ59" s="58">
        <v>0</v>
      </c>
      <c r="AK59" s="59">
        <f t="shared" si="73"/>
        <v>0</v>
      </c>
      <c r="AL59" s="57">
        <f>' WIP '!AX59</f>
        <v>0</v>
      </c>
      <c r="AM59" s="58"/>
      <c r="AN59" s="59">
        <f t="shared" si="74"/>
        <v>0</v>
      </c>
      <c r="AO59" s="57">
        <f>' WIP '!BB59</f>
        <v>0</v>
      </c>
      <c r="AP59" s="58">
        <v>0</v>
      </c>
      <c r="AQ59" s="59">
        <f t="shared" si="75"/>
        <v>0</v>
      </c>
      <c r="AR59" s="57">
        <f>' WIP '!BF59</f>
        <v>0</v>
      </c>
      <c r="AS59" s="58">
        <v>0</v>
      </c>
      <c r="AT59" s="59">
        <f t="shared" si="76"/>
        <v>0</v>
      </c>
      <c r="AU59" s="57">
        <f>' WIP '!BJ59</f>
        <v>0</v>
      </c>
      <c r="AV59" s="58">
        <v>0</v>
      </c>
      <c r="AW59" s="59">
        <f t="shared" si="77"/>
        <v>0</v>
      </c>
      <c r="AX59" s="57">
        <f>' WIP '!BN59</f>
        <v>0</v>
      </c>
      <c r="AY59" s="58">
        <v>0</v>
      </c>
      <c r="AZ59" s="59">
        <f t="shared" si="78"/>
        <v>0</v>
      </c>
      <c r="BA59" s="57">
        <f>' WIP '!BR59</f>
        <v>0</v>
      </c>
      <c r="BB59" s="58">
        <v>0</v>
      </c>
      <c r="BC59" s="59">
        <f t="shared" si="79"/>
        <v>0</v>
      </c>
      <c r="BD59" s="57">
        <f>' WIP '!BV59</f>
        <v>0</v>
      </c>
      <c r="BE59" s="58">
        <v>0</v>
      </c>
      <c r="BF59" s="59">
        <f t="shared" si="80"/>
        <v>0</v>
      </c>
      <c r="BG59" s="57">
        <f>' WIP '!BZ59</f>
        <v>0</v>
      </c>
      <c r="BH59" s="58"/>
      <c r="BI59" s="59">
        <f t="shared" si="81"/>
        <v>0</v>
      </c>
      <c r="BJ59" s="57">
        <f>' WIP '!CD59</f>
        <v>0</v>
      </c>
      <c r="BK59" s="58">
        <v>0</v>
      </c>
      <c r="BL59" s="59">
        <f t="shared" si="82"/>
        <v>0</v>
      </c>
      <c r="BM59" s="57">
        <f>' WIP '!CH59</f>
        <v>0</v>
      </c>
      <c r="BN59" s="58">
        <v>0</v>
      </c>
      <c r="BO59" s="59">
        <f t="shared" si="83"/>
        <v>0</v>
      </c>
      <c r="BP59" s="57">
        <f>' WIP '!CL59</f>
        <v>0</v>
      </c>
      <c r="BQ59" s="58"/>
      <c r="BR59" s="59">
        <f t="shared" si="84"/>
        <v>0</v>
      </c>
      <c r="BS59" s="57">
        <f>' WIP '!CP59</f>
        <v>0</v>
      </c>
      <c r="BT59" s="58">
        <v>0</v>
      </c>
      <c r="BU59" s="59">
        <f t="shared" si="85"/>
        <v>0</v>
      </c>
      <c r="BV59" s="57">
        <f>' WIP '!CT59</f>
        <v>0</v>
      </c>
      <c r="BW59" s="28">
        <v>0</v>
      </c>
      <c r="BX59" s="59">
        <f t="shared" si="86"/>
        <v>0</v>
      </c>
      <c r="BY59" s="57">
        <f>' WIP '!CX59</f>
        <v>0</v>
      </c>
      <c r="BZ59" s="58">
        <v>0</v>
      </c>
      <c r="CA59" s="59">
        <f t="shared" si="87"/>
        <v>0</v>
      </c>
      <c r="CB59" s="57">
        <f>' WIP '!DB59</f>
        <v>0</v>
      </c>
      <c r="CC59" s="58">
        <v>0</v>
      </c>
      <c r="CD59" s="59">
        <f t="shared" si="88"/>
        <v>0</v>
      </c>
      <c r="CE59" s="57">
        <f>' WIP '!DF59</f>
        <v>0</v>
      </c>
      <c r="CF59" s="58">
        <v>0</v>
      </c>
      <c r="CG59" s="59">
        <f t="shared" si="89"/>
        <v>0</v>
      </c>
      <c r="CH59" s="57">
        <f>' WIP '!DJ59</f>
        <v>0</v>
      </c>
      <c r="CI59" s="58">
        <v>0</v>
      </c>
      <c r="CJ59" s="59">
        <f t="shared" si="90"/>
        <v>0</v>
      </c>
      <c r="CK59" s="57">
        <f>' WIP '!DN59</f>
        <v>0</v>
      </c>
      <c r="CL59" s="58">
        <v>0</v>
      </c>
      <c r="CM59" s="59">
        <f t="shared" si="91"/>
        <v>0</v>
      </c>
      <c r="CN59" s="57">
        <f>' WIP '!DR59</f>
        <v>0</v>
      </c>
      <c r="CO59" s="57"/>
      <c r="CP59" s="59">
        <f t="shared" si="92"/>
        <v>0</v>
      </c>
      <c r="CQ59" s="57">
        <f>' WIP '!DV59</f>
        <v>0</v>
      </c>
      <c r="CR59" s="58"/>
      <c r="CS59" s="59">
        <f t="shared" si="93"/>
        <v>0</v>
      </c>
      <c r="CT59" s="31">
        <f t="shared" si="94"/>
        <v>0</v>
      </c>
      <c r="CU59" s="4">
        <f t="shared" si="95"/>
        <v>0</v>
      </c>
      <c r="CV59" s="5">
        <f>D59*'MASTER SHEET'!D59</f>
        <v>0</v>
      </c>
      <c r="CW59" s="5">
        <f>G59*'MASTER SHEET'!D59</f>
        <v>0</v>
      </c>
      <c r="CX59" s="5">
        <f>J59*'MASTER SHEET'!D59</f>
        <v>0</v>
      </c>
      <c r="CY59" s="5">
        <f>M59*'MASTER SHEET'!D59</f>
        <v>0</v>
      </c>
      <c r="CZ59" s="5">
        <f>P59*'MASTER SHEET'!D59</f>
        <v>0</v>
      </c>
      <c r="DA59" s="5">
        <f>S59*'MASTER SHEET'!D59</f>
        <v>0</v>
      </c>
      <c r="DB59" s="5">
        <f>V59*'MASTER SHEET'!D59</f>
        <v>0</v>
      </c>
      <c r="DC59" s="5">
        <f>Y59*'MASTER SHEET'!D59</f>
        <v>0</v>
      </c>
      <c r="DD59" s="5">
        <f>AB59*'MASTER SHEET'!D59</f>
        <v>0</v>
      </c>
      <c r="DE59" s="5">
        <f>AE59*'MASTER SHEET'!D59</f>
        <v>0</v>
      </c>
      <c r="DF59" s="5">
        <f>AH59*'MASTER SHEET'!D59</f>
        <v>0</v>
      </c>
      <c r="DG59" s="5">
        <f>AK59*'MASTER SHEET'!D59</f>
        <v>0</v>
      </c>
      <c r="DH59" s="5">
        <f>AN59*'MASTER SHEET'!D59</f>
        <v>0</v>
      </c>
      <c r="DI59" s="5">
        <f>AQ59*'MASTER SHEET'!D59</f>
        <v>0</v>
      </c>
      <c r="DJ59" s="5">
        <f>AT59*'MASTER SHEET'!D59</f>
        <v>0</v>
      </c>
      <c r="DK59" s="5">
        <f>AW59*'MASTER SHEET'!D59</f>
        <v>0</v>
      </c>
      <c r="DL59" s="5">
        <f>AZ59*'MASTER SHEET'!D59</f>
        <v>0</v>
      </c>
      <c r="DM59" s="5">
        <f>BC59*'MASTER SHEET'!D59</f>
        <v>0</v>
      </c>
      <c r="DN59" s="5">
        <f>BF59*'MASTER SHEET'!D59</f>
        <v>0</v>
      </c>
      <c r="DO59" s="5">
        <f>BI59*'MASTER SHEET'!D59</f>
        <v>0</v>
      </c>
      <c r="DP59" s="5">
        <f>BL59*'MASTER SHEET'!D59</f>
        <v>0</v>
      </c>
      <c r="DQ59" s="5">
        <f>BO59*'MASTER SHEET'!D59</f>
        <v>0</v>
      </c>
      <c r="DR59" s="5">
        <f>BR59*'MASTER SHEET'!D59</f>
        <v>0</v>
      </c>
      <c r="DS59" s="5">
        <f>BU59*'MASTER SHEET'!D59</f>
        <v>0</v>
      </c>
      <c r="DT59" s="5">
        <f>BX59*'MASTER SHEET'!D59</f>
        <v>0</v>
      </c>
      <c r="DU59" s="5">
        <f>CA59*'MASTER SHEET'!D59</f>
        <v>0</v>
      </c>
      <c r="DV59" s="5">
        <f>CD59*'MASTER SHEET'!D59</f>
        <v>0</v>
      </c>
      <c r="DW59" s="5">
        <f>CG59*'MASTER SHEET'!D59</f>
        <v>0</v>
      </c>
      <c r="DX59" s="5">
        <f>CJ59*'MASTER SHEET'!D59</f>
        <v>0</v>
      </c>
      <c r="DY59" s="5">
        <f>CM59*'MASTER SHEET'!D59</f>
        <v>0</v>
      </c>
      <c r="DZ59" s="5">
        <f>CP59*'MASTER SHEET'!D59</f>
        <v>0</v>
      </c>
      <c r="EA59" s="5">
        <f>CS59*'MASTER SHEET'!D59</f>
        <v>0</v>
      </c>
      <c r="EB59" s="9"/>
    </row>
    <row r="60" spans="1:132" ht="15.75" x14ac:dyDescent="0.25">
      <c r="A60" s="25">
        <f>'MASTER SHEET'!A60</f>
        <v>58</v>
      </c>
      <c r="B60" s="26" t="str">
        <f>'MASTER SHEET'!B60</f>
        <v>BASE, HOUSING CRANKCASE VENTILATION</v>
      </c>
      <c r="C60" s="27">
        <f>'MASTER SHEET'!C60</f>
        <v>5032453</v>
      </c>
      <c r="D60" s="56">
        <v>0</v>
      </c>
      <c r="E60" s="57">
        <f>' WIP '!F60</f>
        <v>0</v>
      </c>
      <c r="F60" s="58">
        <v>0</v>
      </c>
      <c r="G60" s="59">
        <f t="shared" si="63"/>
        <v>0</v>
      </c>
      <c r="H60" s="57">
        <f>' WIP '!J60</f>
        <v>0</v>
      </c>
      <c r="I60" s="58">
        <v>0</v>
      </c>
      <c r="J60" s="59">
        <f t="shared" si="64"/>
        <v>0</v>
      </c>
      <c r="K60" s="57">
        <f>' WIP '!N60</f>
        <v>0</v>
      </c>
      <c r="L60" s="58"/>
      <c r="M60" s="59">
        <f t="shared" si="65"/>
        <v>0</v>
      </c>
      <c r="N60" s="57">
        <f>' WIP '!R60</f>
        <v>0</v>
      </c>
      <c r="O60" s="58">
        <v>0</v>
      </c>
      <c r="P60" s="59">
        <f t="shared" si="66"/>
        <v>0</v>
      </c>
      <c r="Q60" s="57">
        <f>' WIP '!V60</f>
        <v>0</v>
      </c>
      <c r="R60" s="58">
        <v>0</v>
      </c>
      <c r="S60" s="59">
        <f t="shared" si="67"/>
        <v>0</v>
      </c>
      <c r="T60" s="57">
        <f>' WIP '!Z60</f>
        <v>0</v>
      </c>
      <c r="U60" s="58">
        <v>0</v>
      </c>
      <c r="V60" s="59">
        <f t="shared" si="68"/>
        <v>0</v>
      </c>
      <c r="W60" s="57">
        <f>' WIP '!AD60</f>
        <v>0</v>
      </c>
      <c r="X60" s="58">
        <v>0</v>
      </c>
      <c r="Y60" s="59">
        <f t="shared" si="69"/>
        <v>0</v>
      </c>
      <c r="Z60" s="57">
        <f>' WIP '!AH60</f>
        <v>0</v>
      </c>
      <c r="AA60" s="58">
        <v>0</v>
      </c>
      <c r="AB60" s="59">
        <f t="shared" si="70"/>
        <v>0</v>
      </c>
      <c r="AC60" s="57">
        <f>' WIP '!AL60</f>
        <v>0</v>
      </c>
      <c r="AD60" s="58">
        <v>0</v>
      </c>
      <c r="AE60" s="59">
        <f t="shared" si="71"/>
        <v>0</v>
      </c>
      <c r="AF60" s="57">
        <f>' WIP '!AP60</f>
        <v>0</v>
      </c>
      <c r="AG60" s="114">
        <v>0</v>
      </c>
      <c r="AH60" s="59">
        <f t="shared" si="72"/>
        <v>0</v>
      </c>
      <c r="AI60" s="57">
        <f>' WIP '!AT60</f>
        <v>0</v>
      </c>
      <c r="AJ60" s="58">
        <v>0</v>
      </c>
      <c r="AK60" s="59">
        <f t="shared" si="73"/>
        <v>0</v>
      </c>
      <c r="AL60" s="57">
        <f>' WIP '!AX60</f>
        <v>0</v>
      </c>
      <c r="AM60" s="58"/>
      <c r="AN60" s="59">
        <f t="shared" si="74"/>
        <v>0</v>
      </c>
      <c r="AO60" s="57">
        <f>' WIP '!BB60</f>
        <v>0</v>
      </c>
      <c r="AP60" s="58">
        <v>0</v>
      </c>
      <c r="AQ60" s="59">
        <f t="shared" si="75"/>
        <v>0</v>
      </c>
      <c r="AR60" s="57">
        <f>' WIP '!BF60</f>
        <v>0</v>
      </c>
      <c r="AS60" s="58">
        <v>0</v>
      </c>
      <c r="AT60" s="59">
        <f t="shared" si="76"/>
        <v>0</v>
      </c>
      <c r="AU60" s="57">
        <f>' WIP '!BJ60</f>
        <v>0</v>
      </c>
      <c r="AV60" s="58">
        <v>0</v>
      </c>
      <c r="AW60" s="59">
        <f t="shared" si="77"/>
        <v>0</v>
      </c>
      <c r="AX60" s="57">
        <f>' WIP '!BN60</f>
        <v>0</v>
      </c>
      <c r="AY60" s="58">
        <v>0</v>
      </c>
      <c r="AZ60" s="59">
        <f t="shared" si="78"/>
        <v>0</v>
      </c>
      <c r="BA60" s="57">
        <f>' WIP '!BR60</f>
        <v>0</v>
      </c>
      <c r="BB60" s="58">
        <v>0</v>
      </c>
      <c r="BC60" s="59">
        <f t="shared" si="79"/>
        <v>0</v>
      </c>
      <c r="BD60" s="57">
        <f>' WIP '!BV60</f>
        <v>0</v>
      </c>
      <c r="BE60" s="58">
        <v>0</v>
      </c>
      <c r="BF60" s="59">
        <f t="shared" si="80"/>
        <v>0</v>
      </c>
      <c r="BG60" s="57">
        <f>' WIP '!BZ60</f>
        <v>0</v>
      </c>
      <c r="BH60" s="58"/>
      <c r="BI60" s="59">
        <f t="shared" si="81"/>
        <v>0</v>
      </c>
      <c r="BJ60" s="57">
        <f>' WIP '!CD60</f>
        <v>0</v>
      </c>
      <c r="BK60" s="58">
        <v>0</v>
      </c>
      <c r="BL60" s="59">
        <f t="shared" si="82"/>
        <v>0</v>
      </c>
      <c r="BM60" s="57">
        <f>' WIP '!CH60</f>
        <v>0</v>
      </c>
      <c r="BN60" s="58">
        <v>0</v>
      </c>
      <c r="BO60" s="59">
        <f t="shared" si="83"/>
        <v>0</v>
      </c>
      <c r="BP60" s="57">
        <f>' WIP '!CL60</f>
        <v>0</v>
      </c>
      <c r="BQ60" s="58"/>
      <c r="BR60" s="59">
        <f t="shared" si="84"/>
        <v>0</v>
      </c>
      <c r="BS60" s="57">
        <f>' WIP '!CP60</f>
        <v>0</v>
      </c>
      <c r="BT60" s="58">
        <v>0</v>
      </c>
      <c r="BU60" s="59">
        <f t="shared" si="85"/>
        <v>0</v>
      </c>
      <c r="BV60" s="57">
        <f>' WIP '!CT60</f>
        <v>0</v>
      </c>
      <c r="BW60" s="28">
        <v>0</v>
      </c>
      <c r="BX60" s="59">
        <f t="shared" si="86"/>
        <v>0</v>
      </c>
      <c r="BY60" s="57">
        <f>' WIP '!CX60</f>
        <v>0</v>
      </c>
      <c r="BZ60" s="58">
        <v>0</v>
      </c>
      <c r="CA60" s="59">
        <f t="shared" si="87"/>
        <v>0</v>
      </c>
      <c r="CB60" s="57">
        <f>' WIP '!DB60</f>
        <v>0</v>
      </c>
      <c r="CC60" s="58">
        <v>0</v>
      </c>
      <c r="CD60" s="59">
        <f t="shared" si="88"/>
        <v>0</v>
      </c>
      <c r="CE60" s="57">
        <f>' WIP '!DF60</f>
        <v>0</v>
      </c>
      <c r="CF60" s="58">
        <v>0</v>
      </c>
      <c r="CG60" s="59">
        <f t="shared" si="89"/>
        <v>0</v>
      </c>
      <c r="CH60" s="57">
        <f>' WIP '!DJ60</f>
        <v>0</v>
      </c>
      <c r="CI60" s="58">
        <v>0</v>
      </c>
      <c r="CJ60" s="59">
        <f t="shared" si="90"/>
        <v>0</v>
      </c>
      <c r="CK60" s="57">
        <f>' WIP '!DN60</f>
        <v>0</v>
      </c>
      <c r="CL60" s="58">
        <v>0</v>
      </c>
      <c r="CM60" s="59">
        <f t="shared" si="91"/>
        <v>0</v>
      </c>
      <c r="CN60" s="57">
        <f>' WIP '!DR60</f>
        <v>0</v>
      </c>
      <c r="CO60" s="57"/>
      <c r="CP60" s="59">
        <f t="shared" si="92"/>
        <v>0</v>
      </c>
      <c r="CQ60" s="57">
        <f>' WIP '!DV60</f>
        <v>0</v>
      </c>
      <c r="CR60" s="58"/>
      <c r="CS60" s="59">
        <f t="shared" si="93"/>
        <v>0</v>
      </c>
      <c r="CT60" s="31">
        <f t="shared" si="94"/>
        <v>0</v>
      </c>
      <c r="CU60" s="4">
        <f t="shared" si="95"/>
        <v>0</v>
      </c>
      <c r="CV60" s="5">
        <f>D60*'MASTER SHEET'!D60</f>
        <v>0</v>
      </c>
      <c r="CW60" s="5">
        <f>G60*'MASTER SHEET'!D60</f>
        <v>0</v>
      </c>
      <c r="CX60" s="5">
        <f>J60*'MASTER SHEET'!D60</f>
        <v>0</v>
      </c>
      <c r="CY60" s="5">
        <f>M60*'MASTER SHEET'!D60</f>
        <v>0</v>
      </c>
      <c r="CZ60" s="5">
        <f>P60*'MASTER SHEET'!D60</f>
        <v>0</v>
      </c>
      <c r="DA60" s="5">
        <f>S60*'MASTER SHEET'!D60</f>
        <v>0</v>
      </c>
      <c r="DB60" s="5">
        <f>V60*'MASTER SHEET'!D60</f>
        <v>0</v>
      </c>
      <c r="DC60" s="5">
        <f>Y60*'MASTER SHEET'!D60</f>
        <v>0</v>
      </c>
      <c r="DD60" s="5">
        <f>AB60*'MASTER SHEET'!D60</f>
        <v>0</v>
      </c>
      <c r="DE60" s="5">
        <f>AE60*'MASTER SHEET'!D60</f>
        <v>0</v>
      </c>
      <c r="DF60" s="5">
        <f>AH60*'MASTER SHEET'!D60</f>
        <v>0</v>
      </c>
      <c r="DG60" s="5">
        <f>AK60*'MASTER SHEET'!D60</f>
        <v>0</v>
      </c>
      <c r="DH60" s="5">
        <f>AN60*'MASTER SHEET'!D60</f>
        <v>0</v>
      </c>
      <c r="DI60" s="5">
        <f>AQ60*'MASTER SHEET'!D60</f>
        <v>0</v>
      </c>
      <c r="DJ60" s="5">
        <f>AT60*'MASTER SHEET'!D60</f>
        <v>0</v>
      </c>
      <c r="DK60" s="5">
        <f>AW60*'MASTER SHEET'!D60</f>
        <v>0</v>
      </c>
      <c r="DL60" s="5">
        <f>AZ60*'MASTER SHEET'!D60</f>
        <v>0</v>
      </c>
      <c r="DM60" s="5">
        <f>BC60*'MASTER SHEET'!D60</f>
        <v>0</v>
      </c>
      <c r="DN60" s="5">
        <f>BF60*'MASTER SHEET'!D60</f>
        <v>0</v>
      </c>
      <c r="DO60" s="5">
        <f>BI60*'MASTER SHEET'!D60</f>
        <v>0</v>
      </c>
      <c r="DP60" s="5">
        <f>BL60*'MASTER SHEET'!D60</f>
        <v>0</v>
      </c>
      <c r="DQ60" s="5">
        <f>BO60*'MASTER SHEET'!D60</f>
        <v>0</v>
      </c>
      <c r="DR60" s="5">
        <f>BR60*'MASTER SHEET'!D60</f>
        <v>0</v>
      </c>
      <c r="DS60" s="5">
        <f>BU60*'MASTER SHEET'!D60</f>
        <v>0</v>
      </c>
      <c r="DT60" s="5">
        <f>BX60*'MASTER SHEET'!D60</f>
        <v>0</v>
      </c>
      <c r="DU60" s="5">
        <f>CA60*'MASTER SHEET'!D60</f>
        <v>0</v>
      </c>
      <c r="DV60" s="5">
        <f>CD60*'MASTER SHEET'!D60</f>
        <v>0</v>
      </c>
      <c r="DW60" s="5">
        <f>CG60*'MASTER SHEET'!D60</f>
        <v>0</v>
      </c>
      <c r="DX60" s="5">
        <f>CJ60*'MASTER SHEET'!D60</f>
        <v>0</v>
      </c>
      <c r="DY60" s="5">
        <f>CM60*'MASTER SHEET'!D60</f>
        <v>0</v>
      </c>
      <c r="DZ60" s="5">
        <f>CP60*'MASTER SHEET'!D60</f>
        <v>0</v>
      </c>
      <c r="EA60" s="5">
        <f>CS60*'MASTER SHEET'!D60</f>
        <v>0</v>
      </c>
      <c r="EB60" s="9"/>
    </row>
    <row r="61" spans="1:132" ht="15.75" x14ac:dyDescent="0.25">
      <c r="A61" s="25">
        <f>'MASTER SHEET'!A61</f>
        <v>59</v>
      </c>
      <c r="B61" s="26" t="str">
        <f>'MASTER SHEET'!B61</f>
        <v>BASE HOUSING</v>
      </c>
      <c r="C61" s="27">
        <f>'MASTER SHEET'!C61</f>
        <v>5032512</v>
      </c>
      <c r="D61" s="56">
        <v>0</v>
      </c>
      <c r="E61" s="57">
        <f>' WIP '!F61</f>
        <v>0</v>
      </c>
      <c r="F61" s="58">
        <v>0</v>
      </c>
      <c r="G61" s="59">
        <f t="shared" si="63"/>
        <v>0</v>
      </c>
      <c r="H61" s="57">
        <f>' WIP '!J61</f>
        <v>485</v>
      </c>
      <c r="I61" s="58">
        <v>465</v>
      </c>
      <c r="J61" s="59">
        <f t="shared" si="64"/>
        <v>20</v>
      </c>
      <c r="K61" s="57">
        <f>' WIP '!N61</f>
        <v>0</v>
      </c>
      <c r="L61" s="58"/>
      <c r="M61" s="59">
        <f t="shared" si="65"/>
        <v>20</v>
      </c>
      <c r="N61" s="57">
        <f>' WIP '!R61</f>
        <v>0</v>
      </c>
      <c r="O61" s="58">
        <v>0</v>
      </c>
      <c r="P61" s="59">
        <f t="shared" si="66"/>
        <v>20</v>
      </c>
      <c r="Q61" s="57">
        <f>' WIP '!V61</f>
        <v>0</v>
      </c>
      <c r="R61" s="58">
        <v>0</v>
      </c>
      <c r="S61" s="59">
        <f t="shared" si="67"/>
        <v>20</v>
      </c>
      <c r="T61" s="57">
        <f>' WIP '!Z61</f>
        <v>180</v>
      </c>
      <c r="U61" s="58">
        <v>200</v>
      </c>
      <c r="V61" s="59">
        <f t="shared" si="68"/>
        <v>0</v>
      </c>
      <c r="W61" s="57">
        <f>' WIP '!AD61</f>
        <v>250</v>
      </c>
      <c r="X61" s="58">
        <v>250</v>
      </c>
      <c r="Y61" s="59">
        <f t="shared" si="69"/>
        <v>0</v>
      </c>
      <c r="Z61" s="57">
        <f>' WIP '!AH61</f>
        <v>550</v>
      </c>
      <c r="AA61" s="58">
        <v>525</v>
      </c>
      <c r="AB61" s="59">
        <f t="shared" si="70"/>
        <v>25</v>
      </c>
      <c r="AC61" s="57">
        <f>' WIP '!AL61</f>
        <v>480</v>
      </c>
      <c r="AD61" s="58">
        <v>120</v>
      </c>
      <c r="AE61" s="59">
        <f t="shared" si="71"/>
        <v>385</v>
      </c>
      <c r="AF61" s="57">
        <f>' WIP '!AP61</f>
        <v>0</v>
      </c>
      <c r="AG61" s="114">
        <v>360</v>
      </c>
      <c r="AH61" s="59">
        <f t="shared" si="72"/>
        <v>25</v>
      </c>
      <c r="AI61" s="57">
        <f>' WIP '!AT61</f>
        <v>0</v>
      </c>
      <c r="AJ61" s="58">
        <v>0</v>
      </c>
      <c r="AK61" s="59">
        <f t="shared" si="73"/>
        <v>25</v>
      </c>
      <c r="AL61" s="57">
        <f>' WIP '!AX61</f>
        <v>0</v>
      </c>
      <c r="AM61" s="58"/>
      <c r="AN61" s="59">
        <f t="shared" si="74"/>
        <v>25</v>
      </c>
      <c r="AO61" s="57">
        <f>' WIP '!BB61</f>
        <v>320</v>
      </c>
      <c r="AP61" s="58">
        <v>320</v>
      </c>
      <c r="AQ61" s="59">
        <f t="shared" si="75"/>
        <v>25</v>
      </c>
      <c r="AR61" s="57">
        <f>' WIP '!BF61</f>
        <v>275</v>
      </c>
      <c r="AS61" s="58">
        <v>275</v>
      </c>
      <c r="AT61" s="59">
        <f t="shared" si="76"/>
        <v>25</v>
      </c>
      <c r="AU61" s="57">
        <f>' WIP '!BJ61</f>
        <v>0</v>
      </c>
      <c r="AV61" s="58">
        <v>0</v>
      </c>
      <c r="AW61" s="59">
        <f t="shared" si="77"/>
        <v>25</v>
      </c>
      <c r="AX61" s="57">
        <f>' WIP '!BN61</f>
        <v>0</v>
      </c>
      <c r="AY61" s="58">
        <v>0</v>
      </c>
      <c r="AZ61" s="59">
        <f t="shared" si="78"/>
        <v>25</v>
      </c>
      <c r="BA61" s="57">
        <f>' WIP '!BR61</f>
        <v>815</v>
      </c>
      <c r="BB61" s="58">
        <v>815</v>
      </c>
      <c r="BC61" s="59">
        <f t="shared" si="79"/>
        <v>25</v>
      </c>
      <c r="BD61" s="57">
        <f>' WIP '!BV61</f>
        <v>0</v>
      </c>
      <c r="BE61" s="58">
        <v>0</v>
      </c>
      <c r="BF61" s="59">
        <f t="shared" si="80"/>
        <v>25</v>
      </c>
      <c r="BG61" s="57">
        <f>' WIP '!BZ61</f>
        <v>0</v>
      </c>
      <c r="BH61" s="58"/>
      <c r="BI61" s="59">
        <f t="shared" si="81"/>
        <v>25</v>
      </c>
      <c r="BJ61" s="57">
        <f>' WIP '!CD61</f>
        <v>0</v>
      </c>
      <c r="BK61" s="58">
        <v>0</v>
      </c>
      <c r="BL61" s="59">
        <f t="shared" si="82"/>
        <v>25</v>
      </c>
      <c r="BM61" s="57">
        <f>' WIP '!CH61</f>
        <v>200</v>
      </c>
      <c r="BN61" s="58">
        <v>200</v>
      </c>
      <c r="BO61" s="59">
        <f t="shared" si="83"/>
        <v>25</v>
      </c>
      <c r="BP61" s="57">
        <f>' WIP '!CL61</f>
        <v>0</v>
      </c>
      <c r="BQ61" s="58"/>
      <c r="BR61" s="59">
        <f t="shared" si="84"/>
        <v>25</v>
      </c>
      <c r="BS61" s="57">
        <f>' WIP '!CP61</f>
        <v>0</v>
      </c>
      <c r="BT61" s="58">
        <v>0</v>
      </c>
      <c r="BU61" s="59">
        <f t="shared" si="85"/>
        <v>25</v>
      </c>
      <c r="BV61" s="57">
        <f>' WIP '!CT61</f>
        <v>0</v>
      </c>
      <c r="BW61" s="28">
        <v>0</v>
      </c>
      <c r="BX61" s="59">
        <f t="shared" si="86"/>
        <v>25</v>
      </c>
      <c r="BY61" s="57">
        <f>' WIP '!CX61</f>
        <v>200</v>
      </c>
      <c r="BZ61" s="58">
        <v>200</v>
      </c>
      <c r="CA61" s="59">
        <f t="shared" si="87"/>
        <v>25</v>
      </c>
      <c r="CB61" s="57">
        <f>' WIP '!DB61</f>
        <v>0</v>
      </c>
      <c r="CC61" s="58">
        <v>0</v>
      </c>
      <c r="CD61" s="59">
        <f t="shared" si="88"/>
        <v>25</v>
      </c>
      <c r="CE61" s="57">
        <f>' WIP '!DF61</f>
        <v>0</v>
      </c>
      <c r="CF61" s="58">
        <v>0</v>
      </c>
      <c r="CG61" s="59">
        <f t="shared" si="89"/>
        <v>25</v>
      </c>
      <c r="CH61" s="57">
        <f>' WIP '!DJ61</f>
        <v>350</v>
      </c>
      <c r="CI61" s="58">
        <v>375</v>
      </c>
      <c r="CJ61" s="59">
        <f t="shared" si="90"/>
        <v>0</v>
      </c>
      <c r="CK61" s="57">
        <f>' WIP '!DN61</f>
        <v>200</v>
      </c>
      <c r="CL61" s="58">
        <v>0</v>
      </c>
      <c r="CM61" s="59">
        <f t="shared" si="91"/>
        <v>200</v>
      </c>
      <c r="CN61" s="57">
        <f>' WIP '!DR61</f>
        <v>0</v>
      </c>
      <c r="CO61" s="57"/>
      <c r="CP61" s="59">
        <f t="shared" si="92"/>
        <v>200</v>
      </c>
      <c r="CQ61" s="57">
        <f>' WIP '!DV61</f>
        <v>0</v>
      </c>
      <c r="CR61" s="58"/>
      <c r="CS61" s="59">
        <f t="shared" si="93"/>
        <v>200</v>
      </c>
      <c r="CT61" s="31">
        <f t="shared" si="94"/>
        <v>4305</v>
      </c>
      <c r="CU61" s="4">
        <f t="shared" si="95"/>
        <v>4105</v>
      </c>
      <c r="CV61" s="5">
        <f>D61*'MASTER SHEET'!D61</f>
        <v>0</v>
      </c>
      <c r="CW61" s="5">
        <f>G61*'MASTER SHEET'!D61</f>
        <v>0</v>
      </c>
      <c r="CX61" s="5">
        <f>J61*'MASTER SHEET'!D61</f>
        <v>1080.5999999999999</v>
      </c>
      <c r="CY61" s="5">
        <f>M61*'MASTER SHEET'!D61</f>
        <v>1080.5999999999999</v>
      </c>
      <c r="CZ61" s="5">
        <f>P61*'MASTER SHEET'!D61</f>
        <v>1080.5999999999999</v>
      </c>
      <c r="DA61" s="5">
        <f>S61*'MASTER SHEET'!D61</f>
        <v>1080.5999999999999</v>
      </c>
      <c r="DB61" s="5">
        <f>V61*'MASTER SHEET'!D61</f>
        <v>0</v>
      </c>
      <c r="DC61" s="5">
        <f>Y61*'MASTER SHEET'!D61</f>
        <v>0</v>
      </c>
      <c r="DD61" s="5">
        <f>AB61*'MASTER SHEET'!D61</f>
        <v>1350.75</v>
      </c>
      <c r="DE61" s="5">
        <f>AE61*'MASTER SHEET'!D61</f>
        <v>20801.55</v>
      </c>
      <c r="DF61" s="5">
        <f>AH61*'MASTER SHEET'!D61</f>
        <v>1350.75</v>
      </c>
      <c r="DG61" s="5">
        <f>AK61*'MASTER SHEET'!D61</f>
        <v>1350.75</v>
      </c>
      <c r="DH61" s="5">
        <f>AN61*'MASTER SHEET'!D61</f>
        <v>1350.75</v>
      </c>
      <c r="DI61" s="5">
        <f>AQ61*'MASTER SHEET'!D61</f>
        <v>1350.75</v>
      </c>
      <c r="DJ61" s="5">
        <f>AT61*'MASTER SHEET'!D61</f>
        <v>1350.75</v>
      </c>
      <c r="DK61" s="5">
        <f>AW61*'MASTER SHEET'!D61</f>
        <v>1350.75</v>
      </c>
      <c r="DL61" s="5">
        <f>AZ61*'MASTER SHEET'!D61</f>
        <v>1350.75</v>
      </c>
      <c r="DM61" s="5">
        <f>BC61*'MASTER SHEET'!D61</f>
        <v>1350.75</v>
      </c>
      <c r="DN61" s="5">
        <f>BF61*'MASTER SHEET'!D61</f>
        <v>1350.75</v>
      </c>
      <c r="DO61" s="5">
        <f>BI61*'MASTER SHEET'!D61</f>
        <v>1350.75</v>
      </c>
      <c r="DP61" s="5">
        <f>BL61*'MASTER SHEET'!D61</f>
        <v>1350.75</v>
      </c>
      <c r="DQ61" s="5">
        <f>BO61*'MASTER SHEET'!D61</f>
        <v>1350.75</v>
      </c>
      <c r="DR61" s="5">
        <f>BR61*'MASTER SHEET'!D61</f>
        <v>1350.75</v>
      </c>
      <c r="DS61" s="5">
        <f>BU61*'MASTER SHEET'!D61</f>
        <v>1350.75</v>
      </c>
      <c r="DT61" s="5">
        <f>BX61*'MASTER SHEET'!D61</f>
        <v>1350.75</v>
      </c>
      <c r="DU61" s="5">
        <f>CA61*'MASTER SHEET'!D61</f>
        <v>1350.75</v>
      </c>
      <c r="DV61" s="5">
        <f>CD61*'MASTER SHEET'!D61</f>
        <v>1350.75</v>
      </c>
      <c r="DW61" s="5">
        <f>CG61*'MASTER SHEET'!D61</f>
        <v>1350.75</v>
      </c>
      <c r="DX61" s="5">
        <f>CJ61*'MASTER SHEET'!D61</f>
        <v>0</v>
      </c>
      <c r="DY61" s="5">
        <f>CM61*'MASTER SHEET'!D61</f>
        <v>10806</v>
      </c>
      <c r="DZ61" s="5">
        <f>CP61*'MASTER SHEET'!D61</f>
        <v>10806</v>
      </c>
      <c r="EA61" s="5">
        <f>CS61*'MASTER SHEET'!D61</f>
        <v>10806</v>
      </c>
      <c r="EB61" s="143">
        <f>VLOOKUP($C61,'[1]GREEN LEV.₹'!$I$2:$K$54,3,0)</f>
        <v>500</v>
      </c>
    </row>
    <row r="62" spans="1:132" ht="15.75" x14ac:dyDescent="0.25">
      <c r="A62" s="25">
        <f>'MASTER SHEET'!A62</f>
        <v>60</v>
      </c>
      <c r="B62" s="26" t="str">
        <f>'MASTER SHEET'!B62</f>
        <v>CENTERTUBE</v>
      </c>
      <c r="C62" s="27">
        <f>'MASTER SHEET'!C62</f>
        <v>5033843</v>
      </c>
      <c r="D62" s="56">
        <v>0</v>
      </c>
      <c r="E62" s="57">
        <f>' WIP '!F62</f>
        <v>0</v>
      </c>
      <c r="F62" s="58">
        <v>0</v>
      </c>
      <c r="G62" s="59">
        <f t="shared" si="63"/>
        <v>0</v>
      </c>
      <c r="H62" s="57">
        <f>' WIP '!J62</f>
        <v>0</v>
      </c>
      <c r="I62" s="58">
        <v>0</v>
      </c>
      <c r="J62" s="59">
        <f t="shared" si="64"/>
        <v>0</v>
      </c>
      <c r="K62" s="57">
        <f>' WIP '!N62</f>
        <v>0</v>
      </c>
      <c r="L62" s="58"/>
      <c r="M62" s="59">
        <f t="shared" si="65"/>
        <v>0</v>
      </c>
      <c r="N62" s="57">
        <f>' WIP '!R62</f>
        <v>0</v>
      </c>
      <c r="O62" s="58">
        <v>0</v>
      </c>
      <c r="P62" s="59">
        <f t="shared" si="66"/>
        <v>0</v>
      </c>
      <c r="Q62" s="57">
        <f>' WIP '!V62</f>
        <v>0</v>
      </c>
      <c r="R62" s="58">
        <v>0</v>
      </c>
      <c r="S62" s="59">
        <f t="shared" si="67"/>
        <v>0</v>
      </c>
      <c r="T62" s="57">
        <f>' WIP '!Z62</f>
        <v>0</v>
      </c>
      <c r="U62" s="58">
        <v>0</v>
      </c>
      <c r="V62" s="59">
        <f t="shared" si="68"/>
        <v>0</v>
      </c>
      <c r="W62" s="57">
        <f>' WIP '!AD62</f>
        <v>0</v>
      </c>
      <c r="X62" s="58">
        <v>0</v>
      </c>
      <c r="Y62" s="59">
        <f t="shared" si="69"/>
        <v>0</v>
      </c>
      <c r="Z62" s="57">
        <f>' WIP '!AH62</f>
        <v>0</v>
      </c>
      <c r="AA62" s="58">
        <v>0</v>
      </c>
      <c r="AB62" s="59">
        <f t="shared" si="70"/>
        <v>0</v>
      </c>
      <c r="AC62" s="57">
        <f>' WIP '!AL62</f>
        <v>0</v>
      </c>
      <c r="AD62" s="58">
        <v>0</v>
      </c>
      <c r="AE62" s="59">
        <f t="shared" si="71"/>
        <v>0</v>
      </c>
      <c r="AF62" s="57">
        <f>' WIP '!AP62</f>
        <v>0</v>
      </c>
      <c r="AG62" s="114">
        <v>0</v>
      </c>
      <c r="AH62" s="59">
        <f t="shared" si="72"/>
        <v>0</v>
      </c>
      <c r="AI62" s="57">
        <f>' WIP '!AT62</f>
        <v>0</v>
      </c>
      <c r="AJ62" s="58">
        <v>0</v>
      </c>
      <c r="AK62" s="59">
        <f t="shared" si="73"/>
        <v>0</v>
      </c>
      <c r="AL62" s="57">
        <f>' WIP '!AX62</f>
        <v>0</v>
      </c>
      <c r="AM62" s="58"/>
      <c r="AN62" s="59">
        <f t="shared" si="74"/>
        <v>0</v>
      </c>
      <c r="AO62" s="57">
        <f>' WIP '!BB62</f>
        <v>0</v>
      </c>
      <c r="AP62" s="58">
        <v>0</v>
      </c>
      <c r="AQ62" s="59">
        <f t="shared" si="75"/>
        <v>0</v>
      </c>
      <c r="AR62" s="57">
        <f>' WIP '!BF62</f>
        <v>0</v>
      </c>
      <c r="AS62" s="58">
        <v>0</v>
      </c>
      <c r="AT62" s="59">
        <f t="shared" si="76"/>
        <v>0</v>
      </c>
      <c r="AU62" s="57">
        <f>' WIP '!BJ62</f>
        <v>0</v>
      </c>
      <c r="AV62" s="58">
        <v>0</v>
      </c>
      <c r="AW62" s="59">
        <f t="shared" si="77"/>
        <v>0</v>
      </c>
      <c r="AX62" s="57">
        <f>' WIP '!BN62</f>
        <v>0</v>
      </c>
      <c r="AY62" s="58">
        <v>0</v>
      </c>
      <c r="AZ62" s="59">
        <f t="shared" si="78"/>
        <v>0</v>
      </c>
      <c r="BA62" s="57">
        <f>' WIP '!BR62</f>
        <v>0</v>
      </c>
      <c r="BB62" s="58">
        <v>0</v>
      </c>
      <c r="BC62" s="59">
        <f t="shared" si="79"/>
        <v>0</v>
      </c>
      <c r="BD62" s="57">
        <f>' WIP '!BV62</f>
        <v>0</v>
      </c>
      <c r="BE62" s="58">
        <v>0</v>
      </c>
      <c r="BF62" s="59">
        <f t="shared" si="80"/>
        <v>0</v>
      </c>
      <c r="BG62" s="57">
        <f>' WIP '!BZ62</f>
        <v>0</v>
      </c>
      <c r="BH62" s="58"/>
      <c r="BI62" s="59">
        <f t="shared" si="81"/>
        <v>0</v>
      </c>
      <c r="BJ62" s="57">
        <f>' WIP '!CD62</f>
        <v>0</v>
      </c>
      <c r="BK62" s="58">
        <v>0</v>
      </c>
      <c r="BL62" s="59">
        <f t="shared" si="82"/>
        <v>0</v>
      </c>
      <c r="BM62" s="57">
        <f>' WIP '!CH62</f>
        <v>0</v>
      </c>
      <c r="BN62" s="58">
        <v>0</v>
      </c>
      <c r="BO62" s="59">
        <f t="shared" si="83"/>
        <v>0</v>
      </c>
      <c r="BP62" s="57">
        <f>' WIP '!CL62</f>
        <v>0</v>
      </c>
      <c r="BQ62" s="58"/>
      <c r="BR62" s="59">
        <f t="shared" si="84"/>
        <v>0</v>
      </c>
      <c r="BS62" s="57">
        <f>' WIP '!CP62</f>
        <v>0</v>
      </c>
      <c r="BT62" s="58">
        <v>0</v>
      </c>
      <c r="BU62" s="59">
        <f t="shared" si="85"/>
        <v>0</v>
      </c>
      <c r="BV62" s="57">
        <f>' WIP '!CT62</f>
        <v>0</v>
      </c>
      <c r="BW62" s="28">
        <v>0</v>
      </c>
      <c r="BX62" s="59">
        <f t="shared" si="86"/>
        <v>0</v>
      </c>
      <c r="BY62" s="57">
        <f>' WIP '!CX62</f>
        <v>0</v>
      </c>
      <c r="BZ62" s="58">
        <v>0</v>
      </c>
      <c r="CA62" s="59">
        <f t="shared" si="87"/>
        <v>0</v>
      </c>
      <c r="CB62" s="57">
        <f>' WIP '!DB62</f>
        <v>0</v>
      </c>
      <c r="CC62" s="58">
        <v>0</v>
      </c>
      <c r="CD62" s="59">
        <f t="shared" si="88"/>
        <v>0</v>
      </c>
      <c r="CE62" s="57">
        <f>' WIP '!DF62</f>
        <v>0</v>
      </c>
      <c r="CF62" s="58">
        <v>0</v>
      </c>
      <c r="CG62" s="59">
        <f t="shared" si="89"/>
        <v>0</v>
      </c>
      <c r="CH62" s="57">
        <f>' WIP '!DJ62</f>
        <v>0</v>
      </c>
      <c r="CI62" s="58">
        <v>0</v>
      </c>
      <c r="CJ62" s="59">
        <f t="shared" si="90"/>
        <v>0</v>
      </c>
      <c r="CK62" s="57">
        <f>' WIP '!DN62</f>
        <v>0</v>
      </c>
      <c r="CL62" s="58">
        <v>0</v>
      </c>
      <c r="CM62" s="59">
        <f t="shared" si="91"/>
        <v>0</v>
      </c>
      <c r="CN62" s="57">
        <f>' WIP '!DR62</f>
        <v>0</v>
      </c>
      <c r="CO62" s="57"/>
      <c r="CP62" s="59">
        <f t="shared" si="92"/>
        <v>0</v>
      </c>
      <c r="CQ62" s="57">
        <f>' WIP '!DV62</f>
        <v>0</v>
      </c>
      <c r="CR62" s="58"/>
      <c r="CS62" s="59">
        <f t="shared" si="93"/>
        <v>0</v>
      </c>
      <c r="CT62" s="31">
        <f t="shared" si="94"/>
        <v>0</v>
      </c>
      <c r="CU62" s="4">
        <f t="shared" si="95"/>
        <v>0</v>
      </c>
      <c r="CV62" s="5">
        <f>D62*'MASTER SHEET'!D62</f>
        <v>0</v>
      </c>
      <c r="CW62" s="5">
        <f>G62*'MASTER SHEET'!D62</f>
        <v>0</v>
      </c>
      <c r="CX62" s="5">
        <f>J62*'MASTER SHEET'!D62</f>
        <v>0</v>
      </c>
      <c r="CY62" s="5">
        <f>M62*'MASTER SHEET'!D62</f>
        <v>0</v>
      </c>
      <c r="CZ62" s="5">
        <f>P62*'MASTER SHEET'!D62</f>
        <v>0</v>
      </c>
      <c r="DA62" s="5">
        <f>S62*'MASTER SHEET'!D62</f>
        <v>0</v>
      </c>
      <c r="DB62" s="5">
        <f>V62*'MASTER SHEET'!D62</f>
        <v>0</v>
      </c>
      <c r="DC62" s="5">
        <f>Y62*'MASTER SHEET'!D62</f>
        <v>0</v>
      </c>
      <c r="DD62" s="5">
        <f>AB62*'MASTER SHEET'!D62</f>
        <v>0</v>
      </c>
      <c r="DE62" s="5">
        <f>AE62*'MASTER SHEET'!D62</f>
        <v>0</v>
      </c>
      <c r="DF62" s="5">
        <f>AH62*'MASTER SHEET'!D62</f>
        <v>0</v>
      </c>
      <c r="DG62" s="5">
        <f>AK62*'MASTER SHEET'!D62</f>
        <v>0</v>
      </c>
      <c r="DH62" s="5">
        <f>AN62*'MASTER SHEET'!D62</f>
        <v>0</v>
      </c>
      <c r="DI62" s="5">
        <f>AQ62*'MASTER SHEET'!D62</f>
        <v>0</v>
      </c>
      <c r="DJ62" s="5">
        <f>AT62*'MASTER SHEET'!D62</f>
        <v>0</v>
      </c>
      <c r="DK62" s="5">
        <f>AW62*'MASTER SHEET'!D62</f>
        <v>0</v>
      </c>
      <c r="DL62" s="5">
        <f>AZ62*'MASTER SHEET'!D62</f>
        <v>0</v>
      </c>
      <c r="DM62" s="5">
        <f>BC62*'MASTER SHEET'!D62</f>
        <v>0</v>
      </c>
      <c r="DN62" s="5">
        <f>BF62*'MASTER SHEET'!D62</f>
        <v>0</v>
      </c>
      <c r="DO62" s="5">
        <f>BI62*'MASTER SHEET'!D62</f>
        <v>0</v>
      </c>
      <c r="DP62" s="5">
        <f>BL62*'MASTER SHEET'!D62</f>
        <v>0</v>
      </c>
      <c r="DQ62" s="5">
        <f>BO62*'MASTER SHEET'!D62</f>
        <v>0</v>
      </c>
      <c r="DR62" s="5">
        <f>BR62*'MASTER SHEET'!D62</f>
        <v>0</v>
      </c>
      <c r="DS62" s="5">
        <f>BU62*'MASTER SHEET'!D62</f>
        <v>0</v>
      </c>
      <c r="DT62" s="5">
        <f>BX62*'MASTER SHEET'!D62</f>
        <v>0</v>
      </c>
      <c r="DU62" s="5">
        <f>CA62*'MASTER SHEET'!D62</f>
        <v>0</v>
      </c>
      <c r="DV62" s="5">
        <f>CD62*'MASTER SHEET'!D62</f>
        <v>0</v>
      </c>
      <c r="DW62" s="5">
        <f>CG62*'MASTER SHEET'!D62</f>
        <v>0</v>
      </c>
      <c r="DX62" s="5">
        <f>CJ62*'MASTER SHEET'!D62</f>
        <v>0</v>
      </c>
      <c r="DY62" s="5">
        <f>CM62*'MASTER SHEET'!D62</f>
        <v>0</v>
      </c>
      <c r="DZ62" s="5">
        <f>CP62*'MASTER SHEET'!D62</f>
        <v>0</v>
      </c>
      <c r="EA62" s="5">
        <f>CS62*'MASTER SHEET'!D62</f>
        <v>0</v>
      </c>
      <c r="EB62" s="9"/>
    </row>
    <row r="63" spans="1:132" ht="15.75" x14ac:dyDescent="0.25">
      <c r="A63" s="25">
        <f>'MASTER SHEET'!A63</f>
        <v>61</v>
      </c>
      <c r="B63" s="26" t="str">
        <f>'MASTER SHEET'!B63</f>
        <v>ENDPLATE, PLASTIC</v>
      </c>
      <c r="C63" s="27">
        <f>'MASTER SHEET'!C63</f>
        <v>5032201</v>
      </c>
      <c r="D63" s="56">
        <v>3600</v>
      </c>
      <c r="E63" s="57">
        <f>' WIP '!F63</f>
        <v>0</v>
      </c>
      <c r="F63" s="58">
        <v>0</v>
      </c>
      <c r="G63" s="59">
        <f t="shared" si="63"/>
        <v>3600</v>
      </c>
      <c r="H63" s="57">
        <f>' WIP '!J63</f>
        <v>0</v>
      </c>
      <c r="I63" s="58">
        <v>0</v>
      </c>
      <c r="J63" s="59">
        <f t="shared" si="64"/>
        <v>3600</v>
      </c>
      <c r="K63" s="57">
        <f>' WIP '!N63</f>
        <v>0</v>
      </c>
      <c r="L63" s="58"/>
      <c r="M63" s="59">
        <f t="shared" si="65"/>
        <v>3600</v>
      </c>
      <c r="N63" s="57">
        <f>' WIP '!R63</f>
        <v>0</v>
      </c>
      <c r="O63" s="58">
        <v>0</v>
      </c>
      <c r="P63" s="59">
        <f t="shared" si="66"/>
        <v>3600</v>
      </c>
      <c r="Q63" s="57">
        <f>' WIP '!V63</f>
        <v>0</v>
      </c>
      <c r="R63" s="58">
        <v>600</v>
      </c>
      <c r="S63" s="59">
        <f t="shared" si="67"/>
        <v>3000</v>
      </c>
      <c r="T63" s="57">
        <f>' WIP '!Z63</f>
        <v>0</v>
      </c>
      <c r="U63" s="58">
        <v>0</v>
      </c>
      <c r="V63" s="59">
        <f t="shared" si="68"/>
        <v>3000</v>
      </c>
      <c r="W63" s="57">
        <f>' WIP '!AD63</f>
        <v>0</v>
      </c>
      <c r="X63" s="58">
        <v>0</v>
      </c>
      <c r="Y63" s="59">
        <f t="shared" si="69"/>
        <v>3000</v>
      </c>
      <c r="Z63" s="57">
        <f>' WIP '!AH63</f>
        <v>0</v>
      </c>
      <c r="AA63" s="58">
        <v>0</v>
      </c>
      <c r="AB63" s="59">
        <f t="shared" si="70"/>
        <v>3000</v>
      </c>
      <c r="AC63" s="57">
        <f>' WIP '!AL63</f>
        <v>0</v>
      </c>
      <c r="AD63" s="58">
        <v>0</v>
      </c>
      <c r="AE63" s="59">
        <f t="shared" si="71"/>
        <v>3000</v>
      </c>
      <c r="AF63" s="57">
        <f>' WIP '!AP63</f>
        <v>0</v>
      </c>
      <c r="AG63" s="114">
        <v>0</v>
      </c>
      <c r="AH63" s="59">
        <f t="shared" si="72"/>
        <v>3000</v>
      </c>
      <c r="AI63" s="57">
        <f>' WIP '!AT63</f>
        <v>0</v>
      </c>
      <c r="AJ63" s="58">
        <v>0</v>
      </c>
      <c r="AK63" s="59">
        <f t="shared" si="73"/>
        <v>3000</v>
      </c>
      <c r="AL63" s="57">
        <f>' WIP '!AX63</f>
        <v>0</v>
      </c>
      <c r="AM63" s="58"/>
      <c r="AN63" s="59">
        <f t="shared" si="74"/>
        <v>3000</v>
      </c>
      <c r="AO63" s="57">
        <f>' WIP '!BB63</f>
        <v>0</v>
      </c>
      <c r="AP63" s="58">
        <v>0</v>
      </c>
      <c r="AQ63" s="59">
        <f t="shared" si="75"/>
        <v>3000</v>
      </c>
      <c r="AR63" s="57">
        <f>' WIP '!BF63</f>
        <v>0</v>
      </c>
      <c r="AS63" s="58">
        <v>0</v>
      </c>
      <c r="AT63" s="59">
        <f t="shared" si="76"/>
        <v>3000</v>
      </c>
      <c r="AU63" s="57">
        <f>' WIP '!BJ63</f>
        <v>0</v>
      </c>
      <c r="AV63" s="58">
        <v>0</v>
      </c>
      <c r="AW63" s="59">
        <f t="shared" si="77"/>
        <v>3000</v>
      </c>
      <c r="AX63" s="57">
        <f>' WIP '!BN63</f>
        <v>0</v>
      </c>
      <c r="AY63" s="58">
        <v>0</v>
      </c>
      <c r="AZ63" s="59">
        <f t="shared" si="78"/>
        <v>3000</v>
      </c>
      <c r="BA63" s="57">
        <f>' WIP '!BR63</f>
        <v>0</v>
      </c>
      <c r="BB63" s="58">
        <v>0</v>
      </c>
      <c r="BC63" s="59">
        <f t="shared" si="79"/>
        <v>3000</v>
      </c>
      <c r="BD63" s="57">
        <f>' WIP '!BV63</f>
        <v>0</v>
      </c>
      <c r="BE63" s="58">
        <v>0</v>
      </c>
      <c r="BF63" s="59">
        <f t="shared" si="80"/>
        <v>3000</v>
      </c>
      <c r="BG63" s="57">
        <f>' WIP '!BZ63</f>
        <v>0</v>
      </c>
      <c r="BH63" s="58"/>
      <c r="BI63" s="59">
        <f t="shared" si="81"/>
        <v>3000</v>
      </c>
      <c r="BJ63" s="57">
        <f>' WIP '!CD63</f>
        <v>0</v>
      </c>
      <c r="BK63" s="58">
        <v>0</v>
      </c>
      <c r="BL63" s="59">
        <f t="shared" si="82"/>
        <v>3000</v>
      </c>
      <c r="BM63" s="57">
        <f>' WIP '!CH63</f>
        <v>0</v>
      </c>
      <c r="BN63" s="58">
        <v>0</v>
      </c>
      <c r="BO63" s="59">
        <f t="shared" si="83"/>
        <v>3000</v>
      </c>
      <c r="BP63" s="57">
        <f>' WIP '!CL63</f>
        <v>0</v>
      </c>
      <c r="BQ63" s="58"/>
      <c r="BR63" s="59">
        <f t="shared" si="84"/>
        <v>3000</v>
      </c>
      <c r="BS63" s="57">
        <f>' WIP '!CP63</f>
        <v>0</v>
      </c>
      <c r="BT63" s="58">
        <v>0</v>
      </c>
      <c r="BU63" s="59">
        <f t="shared" si="85"/>
        <v>3000</v>
      </c>
      <c r="BV63" s="57">
        <f>' WIP '!CT63</f>
        <v>0</v>
      </c>
      <c r="BW63" s="28">
        <v>0</v>
      </c>
      <c r="BX63" s="59">
        <f t="shared" si="86"/>
        <v>3000</v>
      </c>
      <c r="BY63" s="57">
        <f>' WIP '!CX63</f>
        <v>0</v>
      </c>
      <c r="BZ63" s="58">
        <v>0</v>
      </c>
      <c r="CA63" s="59">
        <f t="shared" si="87"/>
        <v>3000</v>
      </c>
      <c r="CB63" s="57">
        <f>' WIP '!DB63</f>
        <v>0</v>
      </c>
      <c r="CC63" s="58">
        <v>0</v>
      </c>
      <c r="CD63" s="59">
        <f t="shared" si="88"/>
        <v>3000</v>
      </c>
      <c r="CE63" s="57">
        <f>' WIP '!DF63</f>
        <v>0</v>
      </c>
      <c r="CF63" s="58">
        <v>0</v>
      </c>
      <c r="CG63" s="59">
        <f t="shared" si="89"/>
        <v>3000</v>
      </c>
      <c r="CH63" s="57">
        <f>' WIP '!DJ63</f>
        <v>0</v>
      </c>
      <c r="CI63" s="58">
        <v>0</v>
      </c>
      <c r="CJ63" s="59">
        <f t="shared" si="90"/>
        <v>3000</v>
      </c>
      <c r="CK63" s="57">
        <f>' WIP '!DN63</f>
        <v>0</v>
      </c>
      <c r="CL63" s="58">
        <v>0</v>
      </c>
      <c r="CM63" s="59">
        <f t="shared" si="91"/>
        <v>3000</v>
      </c>
      <c r="CN63" s="57">
        <f>' WIP '!DR63</f>
        <v>0</v>
      </c>
      <c r="CO63" s="57"/>
      <c r="CP63" s="59">
        <f t="shared" si="92"/>
        <v>3000</v>
      </c>
      <c r="CQ63" s="57">
        <f>' WIP '!DV63</f>
        <v>0</v>
      </c>
      <c r="CR63" s="58"/>
      <c r="CS63" s="59">
        <f t="shared" si="93"/>
        <v>3000</v>
      </c>
      <c r="CT63" s="31">
        <f t="shared" si="94"/>
        <v>3600</v>
      </c>
      <c r="CU63" s="4">
        <f t="shared" si="95"/>
        <v>600</v>
      </c>
      <c r="CV63" s="5">
        <f>D63*'MASTER SHEET'!D63</f>
        <v>30707.999999999996</v>
      </c>
      <c r="CW63" s="5">
        <f>G63*'MASTER SHEET'!D63</f>
        <v>30707.999999999996</v>
      </c>
      <c r="CX63" s="5">
        <f>J63*'MASTER SHEET'!D63</f>
        <v>30707.999999999996</v>
      </c>
      <c r="CY63" s="5">
        <f>M63*'MASTER SHEET'!D63</f>
        <v>30707.999999999996</v>
      </c>
      <c r="CZ63" s="5">
        <f>P63*'MASTER SHEET'!D63</f>
        <v>30707.999999999996</v>
      </c>
      <c r="DA63" s="5">
        <f>S63*'MASTER SHEET'!D63</f>
        <v>25589.999999999996</v>
      </c>
      <c r="DB63" s="5">
        <f>V63*'MASTER SHEET'!D63</f>
        <v>25589.999999999996</v>
      </c>
      <c r="DC63" s="5">
        <f>Y63*'MASTER SHEET'!D63</f>
        <v>25589.999999999996</v>
      </c>
      <c r="DD63" s="5">
        <f>AB63*'MASTER SHEET'!D63</f>
        <v>25589.999999999996</v>
      </c>
      <c r="DE63" s="5">
        <f>AE63*'MASTER SHEET'!D63</f>
        <v>25589.999999999996</v>
      </c>
      <c r="DF63" s="5">
        <f>AH63*'MASTER SHEET'!D63</f>
        <v>25589.999999999996</v>
      </c>
      <c r="DG63" s="5">
        <f>AK63*'MASTER SHEET'!D63</f>
        <v>25589.999999999996</v>
      </c>
      <c r="DH63" s="5">
        <f>AN63*'MASTER SHEET'!D63</f>
        <v>25589.999999999996</v>
      </c>
      <c r="DI63" s="5">
        <f>AQ63*'MASTER SHEET'!D63</f>
        <v>25589.999999999996</v>
      </c>
      <c r="DJ63" s="5">
        <f>AT63*'MASTER SHEET'!D63</f>
        <v>25589.999999999996</v>
      </c>
      <c r="DK63" s="5">
        <f>AW63*'MASTER SHEET'!D63</f>
        <v>25589.999999999996</v>
      </c>
      <c r="DL63" s="5">
        <f>AZ63*'MASTER SHEET'!D63</f>
        <v>25589.999999999996</v>
      </c>
      <c r="DM63" s="5">
        <f>BC63*'MASTER SHEET'!D63</f>
        <v>25589.999999999996</v>
      </c>
      <c r="DN63" s="5">
        <f>BF63*'MASTER SHEET'!D63</f>
        <v>25589.999999999996</v>
      </c>
      <c r="DO63" s="5">
        <f>BI63*'MASTER SHEET'!D63</f>
        <v>25589.999999999996</v>
      </c>
      <c r="DP63" s="5">
        <f>BL63*'MASTER SHEET'!D63</f>
        <v>25589.999999999996</v>
      </c>
      <c r="DQ63" s="5">
        <f>BO63*'MASTER SHEET'!D63</f>
        <v>25589.999999999996</v>
      </c>
      <c r="DR63" s="5">
        <f>BR63*'MASTER SHEET'!D63</f>
        <v>25589.999999999996</v>
      </c>
      <c r="DS63" s="5">
        <f>BU63*'MASTER SHEET'!D63</f>
        <v>25589.999999999996</v>
      </c>
      <c r="DT63" s="5">
        <f>BX63*'MASTER SHEET'!D63</f>
        <v>25589.999999999996</v>
      </c>
      <c r="DU63" s="5">
        <f>CA63*'MASTER SHEET'!D63</f>
        <v>25589.999999999996</v>
      </c>
      <c r="DV63" s="5">
        <f>CD63*'MASTER SHEET'!D63</f>
        <v>25589.999999999996</v>
      </c>
      <c r="DW63" s="5">
        <f>CG63*'MASTER SHEET'!D63</f>
        <v>25589.999999999996</v>
      </c>
      <c r="DX63" s="5">
        <f>CJ63*'MASTER SHEET'!D63</f>
        <v>25589.999999999996</v>
      </c>
      <c r="DY63" s="5">
        <f>CM63*'MASTER SHEET'!D63</f>
        <v>25589.999999999996</v>
      </c>
      <c r="DZ63" s="5">
        <f>CP63*'MASTER SHEET'!D63</f>
        <v>25589.999999999996</v>
      </c>
      <c r="EA63" s="5">
        <f>CS63*'MASTER SHEET'!D63</f>
        <v>25589.999999999996</v>
      </c>
      <c r="EB63" s="143">
        <f>VLOOKUP($C63,'[1]GREEN LEV.₹'!$I$2:$K$54,3,0)</f>
        <v>500</v>
      </c>
    </row>
    <row r="64" spans="1:132" ht="15.75" x14ac:dyDescent="0.25">
      <c r="A64" s="25">
        <f>'MASTER SHEET'!A64</f>
        <v>62</v>
      </c>
      <c r="B64" s="26" t="str">
        <f>'MASTER SHEET'!B64</f>
        <v>ENDPLATE, PLASTIC</v>
      </c>
      <c r="C64" s="27">
        <f>'MASTER SHEET'!C64</f>
        <v>5032202</v>
      </c>
      <c r="D64" s="56">
        <v>200</v>
      </c>
      <c r="E64" s="57">
        <f>' WIP '!F64</f>
        <v>0</v>
      </c>
      <c r="F64" s="58">
        <v>0</v>
      </c>
      <c r="G64" s="59">
        <f t="shared" si="63"/>
        <v>200</v>
      </c>
      <c r="H64" s="57">
        <f>' WIP '!J64</f>
        <v>0</v>
      </c>
      <c r="I64" s="58">
        <v>0</v>
      </c>
      <c r="J64" s="59">
        <f t="shared" si="64"/>
        <v>200</v>
      </c>
      <c r="K64" s="57">
        <f>' WIP '!N64</f>
        <v>0</v>
      </c>
      <c r="L64" s="58"/>
      <c r="M64" s="59">
        <f t="shared" si="65"/>
        <v>200</v>
      </c>
      <c r="N64" s="57">
        <f>' WIP '!R64</f>
        <v>0</v>
      </c>
      <c r="O64" s="58">
        <v>0</v>
      </c>
      <c r="P64" s="59">
        <f t="shared" si="66"/>
        <v>200</v>
      </c>
      <c r="Q64" s="57">
        <f>' WIP '!V64</f>
        <v>0</v>
      </c>
      <c r="R64" s="58">
        <v>0</v>
      </c>
      <c r="S64" s="59">
        <f t="shared" si="67"/>
        <v>200</v>
      </c>
      <c r="T64" s="57">
        <f>' WIP '!Z64</f>
        <v>0</v>
      </c>
      <c r="U64" s="58">
        <v>0</v>
      </c>
      <c r="V64" s="59">
        <f t="shared" si="68"/>
        <v>200</v>
      </c>
      <c r="W64" s="57">
        <f>' WIP '!AD64</f>
        <v>0</v>
      </c>
      <c r="X64" s="58">
        <v>0</v>
      </c>
      <c r="Y64" s="59">
        <f t="shared" si="69"/>
        <v>200</v>
      </c>
      <c r="Z64" s="57">
        <f>' WIP '!AH64</f>
        <v>0</v>
      </c>
      <c r="AA64" s="58">
        <v>0</v>
      </c>
      <c r="AB64" s="59">
        <f t="shared" si="70"/>
        <v>200</v>
      </c>
      <c r="AC64" s="57">
        <f>' WIP '!AL64</f>
        <v>0</v>
      </c>
      <c r="AD64" s="58">
        <v>0</v>
      </c>
      <c r="AE64" s="59">
        <f t="shared" si="71"/>
        <v>200</v>
      </c>
      <c r="AF64" s="57">
        <f>' WIP '!AP64</f>
        <v>0</v>
      </c>
      <c r="AG64" s="114">
        <v>0</v>
      </c>
      <c r="AH64" s="59">
        <f t="shared" si="72"/>
        <v>200</v>
      </c>
      <c r="AI64" s="57">
        <f>' WIP '!AT64</f>
        <v>0</v>
      </c>
      <c r="AJ64" s="58">
        <v>0</v>
      </c>
      <c r="AK64" s="59">
        <f t="shared" si="73"/>
        <v>200</v>
      </c>
      <c r="AL64" s="57">
        <f>' WIP '!AX64</f>
        <v>0</v>
      </c>
      <c r="AM64" s="58"/>
      <c r="AN64" s="59">
        <f t="shared" si="74"/>
        <v>200</v>
      </c>
      <c r="AO64" s="57">
        <f>' WIP '!BB64</f>
        <v>0</v>
      </c>
      <c r="AP64" s="58">
        <v>0</v>
      </c>
      <c r="AQ64" s="59">
        <f t="shared" si="75"/>
        <v>200</v>
      </c>
      <c r="AR64" s="57">
        <f>' WIP '!BF64</f>
        <v>0</v>
      </c>
      <c r="AS64" s="58">
        <v>0</v>
      </c>
      <c r="AT64" s="59">
        <f t="shared" si="76"/>
        <v>200</v>
      </c>
      <c r="AU64" s="57">
        <f>' WIP '!BJ64</f>
        <v>0</v>
      </c>
      <c r="AV64" s="58">
        <v>0</v>
      </c>
      <c r="AW64" s="59">
        <f t="shared" si="77"/>
        <v>200</v>
      </c>
      <c r="AX64" s="57">
        <f>' WIP '!BN64</f>
        <v>0</v>
      </c>
      <c r="AY64" s="58">
        <v>0</v>
      </c>
      <c r="AZ64" s="59">
        <f t="shared" si="78"/>
        <v>200</v>
      </c>
      <c r="BA64" s="57">
        <f>' WIP '!BR64</f>
        <v>0</v>
      </c>
      <c r="BB64" s="58">
        <v>0</v>
      </c>
      <c r="BC64" s="59">
        <f t="shared" si="79"/>
        <v>200</v>
      </c>
      <c r="BD64" s="57">
        <f>' WIP '!BV64</f>
        <v>0</v>
      </c>
      <c r="BE64" s="58">
        <v>0</v>
      </c>
      <c r="BF64" s="59">
        <f t="shared" si="80"/>
        <v>200</v>
      </c>
      <c r="BG64" s="57">
        <f>' WIP '!BZ64</f>
        <v>0</v>
      </c>
      <c r="BH64" s="58"/>
      <c r="BI64" s="59">
        <f t="shared" si="81"/>
        <v>200</v>
      </c>
      <c r="BJ64" s="57">
        <f>' WIP '!CD64</f>
        <v>0</v>
      </c>
      <c r="BK64" s="58">
        <v>0</v>
      </c>
      <c r="BL64" s="59">
        <f t="shared" si="82"/>
        <v>200</v>
      </c>
      <c r="BM64" s="57">
        <f>' WIP '!CH64</f>
        <v>0</v>
      </c>
      <c r="BN64" s="58">
        <v>0</v>
      </c>
      <c r="BO64" s="59">
        <f t="shared" si="83"/>
        <v>200</v>
      </c>
      <c r="BP64" s="57">
        <f>' WIP '!CL64</f>
        <v>0</v>
      </c>
      <c r="BQ64" s="58"/>
      <c r="BR64" s="59">
        <f t="shared" si="84"/>
        <v>200</v>
      </c>
      <c r="BS64" s="57">
        <f>' WIP '!CP64</f>
        <v>0</v>
      </c>
      <c r="BT64" s="58">
        <v>0</v>
      </c>
      <c r="BU64" s="59">
        <f t="shared" si="85"/>
        <v>200</v>
      </c>
      <c r="BV64" s="57">
        <f>' WIP '!CT64</f>
        <v>0</v>
      </c>
      <c r="BW64" s="28">
        <v>0</v>
      </c>
      <c r="BX64" s="59">
        <f t="shared" si="86"/>
        <v>200</v>
      </c>
      <c r="BY64" s="57">
        <f>' WIP '!CX64</f>
        <v>0</v>
      </c>
      <c r="BZ64" s="58">
        <v>0</v>
      </c>
      <c r="CA64" s="59">
        <f t="shared" si="87"/>
        <v>200</v>
      </c>
      <c r="CB64" s="57">
        <f>' WIP '!DB64</f>
        <v>0</v>
      </c>
      <c r="CC64" s="58">
        <v>0</v>
      </c>
      <c r="CD64" s="59">
        <f t="shared" si="88"/>
        <v>200</v>
      </c>
      <c r="CE64" s="57">
        <f>' WIP '!DF64</f>
        <v>0</v>
      </c>
      <c r="CF64" s="58">
        <v>0</v>
      </c>
      <c r="CG64" s="59">
        <f t="shared" si="89"/>
        <v>200</v>
      </c>
      <c r="CH64" s="57">
        <f>' WIP '!DJ64</f>
        <v>0</v>
      </c>
      <c r="CI64" s="58">
        <v>200</v>
      </c>
      <c r="CJ64" s="59">
        <f t="shared" si="90"/>
        <v>0</v>
      </c>
      <c r="CK64" s="57">
        <f>' WIP '!DN64</f>
        <v>0</v>
      </c>
      <c r="CL64" s="58">
        <v>0</v>
      </c>
      <c r="CM64" s="59">
        <f t="shared" si="91"/>
        <v>0</v>
      </c>
      <c r="CN64" s="57">
        <f>' WIP '!DR64</f>
        <v>0</v>
      </c>
      <c r="CO64" s="57"/>
      <c r="CP64" s="59">
        <f t="shared" si="92"/>
        <v>0</v>
      </c>
      <c r="CQ64" s="57">
        <f>' WIP '!DV64</f>
        <v>0</v>
      </c>
      <c r="CR64" s="58"/>
      <c r="CS64" s="59">
        <f t="shared" si="93"/>
        <v>0</v>
      </c>
      <c r="CT64" s="31">
        <f t="shared" si="94"/>
        <v>200</v>
      </c>
      <c r="CU64" s="4">
        <f t="shared" si="95"/>
        <v>200</v>
      </c>
      <c r="CV64" s="5">
        <f>D64*'MASTER SHEET'!D64</f>
        <v>1726.0000000000002</v>
      </c>
      <c r="CW64" s="5">
        <f>G64*'MASTER SHEET'!D64</f>
        <v>1726.0000000000002</v>
      </c>
      <c r="CX64" s="5">
        <f>J64*'MASTER SHEET'!D64</f>
        <v>1726.0000000000002</v>
      </c>
      <c r="CY64" s="5">
        <f>M64*'MASTER SHEET'!D64</f>
        <v>1726.0000000000002</v>
      </c>
      <c r="CZ64" s="5">
        <f>P64*'MASTER SHEET'!D64</f>
        <v>1726.0000000000002</v>
      </c>
      <c r="DA64" s="5">
        <f>S64*'MASTER SHEET'!D64</f>
        <v>1726.0000000000002</v>
      </c>
      <c r="DB64" s="5">
        <f>V64*'MASTER SHEET'!D64</f>
        <v>1726.0000000000002</v>
      </c>
      <c r="DC64" s="5">
        <f>Y64*'MASTER SHEET'!D64</f>
        <v>1726.0000000000002</v>
      </c>
      <c r="DD64" s="5">
        <f>AB64*'MASTER SHEET'!D64</f>
        <v>1726.0000000000002</v>
      </c>
      <c r="DE64" s="5">
        <f>AE64*'MASTER SHEET'!D64</f>
        <v>1726.0000000000002</v>
      </c>
      <c r="DF64" s="5">
        <f>AH64*'MASTER SHEET'!D64</f>
        <v>1726.0000000000002</v>
      </c>
      <c r="DG64" s="5">
        <f>AK64*'MASTER SHEET'!D64</f>
        <v>1726.0000000000002</v>
      </c>
      <c r="DH64" s="5">
        <f>AN64*'MASTER SHEET'!D64</f>
        <v>1726.0000000000002</v>
      </c>
      <c r="DI64" s="5">
        <f>AQ64*'MASTER SHEET'!D64</f>
        <v>1726.0000000000002</v>
      </c>
      <c r="DJ64" s="5">
        <f>AT64*'MASTER SHEET'!D64</f>
        <v>1726.0000000000002</v>
      </c>
      <c r="DK64" s="5">
        <f>AW64*'MASTER SHEET'!D64</f>
        <v>1726.0000000000002</v>
      </c>
      <c r="DL64" s="5">
        <f>AZ64*'MASTER SHEET'!D64</f>
        <v>1726.0000000000002</v>
      </c>
      <c r="DM64" s="5">
        <f>BC64*'MASTER SHEET'!D64</f>
        <v>1726.0000000000002</v>
      </c>
      <c r="DN64" s="5">
        <f>BF64*'MASTER SHEET'!D64</f>
        <v>1726.0000000000002</v>
      </c>
      <c r="DO64" s="5">
        <f>BI64*'MASTER SHEET'!D64</f>
        <v>1726.0000000000002</v>
      </c>
      <c r="DP64" s="5">
        <f>BL64*'MASTER SHEET'!D64</f>
        <v>1726.0000000000002</v>
      </c>
      <c r="DQ64" s="5">
        <f>BO64*'MASTER SHEET'!D64</f>
        <v>1726.0000000000002</v>
      </c>
      <c r="DR64" s="5">
        <f>BR64*'MASTER SHEET'!D64</f>
        <v>1726.0000000000002</v>
      </c>
      <c r="DS64" s="5">
        <f>BU64*'MASTER SHEET'!D64</f>
        <v>1726.0000000000002</v>
      </c>
      <c r="DT64" s="5">
        <f>BX64*'MASTER SHEET'!D64</f>
        <v>1726.0000000000002</v>
      </c>
      <c r="DU64" s="5">
        <f>CA64*'MASTER SHEET'!D64</f>
        <v>1726.0000000000002</v>
      </c>
      <c r="DV64" s="5">
        <f>CD64*'MASTER SHEET'!D64</f>
        <v>1726.0000000000002</v>
      </c>
      <c r="DW64" s="5">
        <f>CG64*'MASTER SHEET'!D64</f>
        <v>1726.0000000000002</v>
      </c>
      <c r="DX64" s="5">
        <f>CJ64*'MASTER SHEET'!D64</f>
        <v>0</v>
      </c>
      <c r="DY64" s="5">
        <f>CM64*'MASTER SHEET'!D64</f>
        <v>0</v>
      </c>
      <c r="DZ64" s="5">
        <f>CP64*'MASTER SHEET'!D64</f>
        <v>0</v>
      </c>
      <c r="EA64" s="5">
        <f>CS64*'MASTER SHEET'!D64</f>
        <v>0</v>
      </c>
      <c r="EB64" s="143">
        <f>VLOOKUP($C64,'[1]GREEN LEV.₹'!$I$2:$K$54,3,0)</f>
        <v>1000</v>
      </c>
    </row>
    <row r="65" spans="1:132" ht="15.75" x14ac:dyDescent="0.25">
      <c r="A65" s="25">
        <f>'MASTER SHEET'!A65</f>
        <v>63</v>
      </c>
      <c r="B65" s="26" t="str">
        <f>'MASTER SHEET'!B65</f>
        <v>BASE HOUSING CV</v>
      </c>
      <c r="C65" s="27">
        <f>'MASTER SHEET'!C65</f>
        <v>5032452</v>
      </c>
      <c r="D65" s="56">
        <v>0</v>
      </c>
      <c r="E65" s="57">
        <f>' WIP '!F65</f>
        <v>0</v>
      </c>
      <c r="F65" s="58">
        <v>0</v>
      </c>
      <c r="G65" s="59">
        <f t="shared" si="63"/>
        <v>0</v>
      </c>
      <c r="H65" s="57">
        <f>' WIP '!J65</f>
        <v>0</v>
      </c>
      <c r="I65" s="58">
        <v>0</v>
      </c>
      <c r="J65" s="59">
        <f t="shared" si="64"/>
        <v>0</v>
      </c>
      <c r="K65" s="57">
        <f>' WIP '!N65</f>
        <v>0</v>
      </c>
      <c r="L65" s="58"/>
      <c r="M65" s="59">
        <f t="shared" si="65"/>
        <v>0</v>
      </c>
      <c r="N65" s="57">
        <f>' WIP '!R65</f>
        <v>0</v>
      </c>
      <c r="O65" s="58">
        <v>0</v>
      </c>
      <c r="P65" s="59">
        <f t="shared" si="66"/>
        <v>0</v>
      </c>
      <c r="Q65" s="57">
        <f>' WIP '!V65</f>
        <v>0</v>
      </c>
      <c r="R65" s="58">
        <v>0</v>
      </c>
      <c r="S65" s="59">
        <f t="shared" si="67"/>
        <v>0</v>
      </c>
      <c r="T65" s="57">
        <f>' WIP '!Z65</f>
        <v>0</v>
      </c>
      <c r="U65" s="58">
        <v>0</v>
      </c>
      <c r="V65" s="59">
        <f t="shared" si="68"/>
        <v>0</v>
      </c>
      <c r="W65" s="57">
        <f>' WIP '!AD65</f>
        <v>0</v>
      </c>
      <c r="X65" s="58">
        <v>0</v>
      </c>
      <c r="Y65" s="59">
        <f t="shared" si="69"/>
        <v>0</v>
      </c>
      <c r="Z65" s="57">
        <f>' WIP '!AH65</f>
        <v>0</v>
      </c>
      <c r="AA65" s="58">
        <v>0</v>
      </c>
      <c r="AB65" s="59">
        <f t="shared" si="70"/>
        <v>0</v>
      </c>
      <c r="AC65" s="57">
        <f>' WIP '!AL65</f>
        <v>0</v>
      </c>
      <c r="AD65" s="58">
        <v>0</v>
      </c>
      <c r="AE65" s="59">
        <f t="shared" si="71"/>
        <v>0</v>
      </c>
      <c r="AF65" s="57">
        <f>' WIP '!AP65</f>
        <v>0</v>
      </c>
      <c r="AG65" s="114">
        <v>0</v>
      </c>
      <c r="AH65" s="59">
        <f t="shared" si="72"/>
        <v>0</v>
      </c>
      <c r="AI65" s="57">
        <f>' WIP '!AT65</f>
        <v>0</v>
      </c>
      <c r="AJ65" s="58">
        <v>0</v>
      </c>
      <c r="AK65" s="59">
        <f t="shared" si="73"/>
        <v>0</v>
      </c>
      <c r="AL65" s="57">
        <f>' WIP '!AX65</f>
        <v>0</v>
      </c>
      <c r="AM65" s="58"/>
      <c r="AN65" s="59">
        <f t="shared" si="74"/>
        <v>0</v>
      </c>
      <c r="AO65" s="57">
        <f>' WIP '!BB65</f>
        <v>0</v>
      </c>
      <c r="AP65" s="58">
        <v>0</v>
      </c>
      <c r="AQ65" s="59">
        <f t="shared" si="75"/>
        <v>0</v>
      </c>
      <c r="AR65" s="57">
        <f>' WIP '!BF65</f>
        <v>0</v>
      </c>
      <c r="AS65" s="58">
        <v>0</v>
      </c>
      <c r="AT65" s="59">
        <f t="shared" si="76"/>
        <v>0</v>
      </c>
      <c r="AU65" s="57">
        <f>' WIP '!BJ65</f>
        <v>0</v>
      </c>
      <c r="AV65" s="58">
        <v>0</v>
      </c>
      <c r="AW65" s="59">
        <f t="shared" si="77"/>
        <v>0</v>
      </c>
      <c r="AX65" s="57">
        <f>' WIP '!BN65</f>
        <v>0</v>
      </c>
      <c r="AY65" s="58">
        <v>0</v>
      </c>
      <c r="AZ65" s="59">
        <f t="shared" si="78"/>
        <v>0</v>
      </c>
      <c r="BA65" s="57">
        <f>' WIP '!BR65</f>
        <v>0</v>
      </c>
      <c r="BB65" s="58">
        <v>0</v>
      </c>
      <c r="BC65" s="59">
        <f t="shared" si="79"/>
        <v>0</v>
      </c>
      <c r="BD65" s="57">
        <f>' WIP '!BV65</f>
        <v>0</v>
      </c>
      <c r="BE65" s="58">
        <v>0</v>
      </c>
      <c r="BF65" s="59">
        <f t="shared" si="80"/>
        <v>0</v>
      </c>
      <c r="BG65" s="57">
        <f>' WIP '!BZ65</f>
        <v>0</v>
      </c>
      <c r="BH65" s="58"/>
      <c r="BI65" s="59">
        <f t="shared" si="81"/>
        <v>0</v>
      </c>
      <c r="BJ65" s="57">
        <f>' WIP '!CD65</f>
        <v>0</v>
      </c>
      <c r="BK65" s="58">
        <v>0</v>
      </c>
      <c r="BL65" s="59">
        <f t="shared" si="82"/>
        <v>0</v>
      </c>
      <c r="BM65" s="57">
        <f>' WIP '!CH65</f>
        <v>0</v>
      </c>
      <c r="BN65" s="58">
        <v>0</v>
      </c>
      <c r="BO65" s="59">
        <f t="shared" si="83"/>
        <v>0</v>
      </c>
      <c r="BP65" s="57">
        <f>' WIP '!CL65</f>
        <v>0</v>
      </c>
      <c r="BQ65" s="58"/>
      <c r="BR65" s="59">
        <f t="shared" si="84"/>
        <v>0</v>
      </c>
      <c r="BS65" s="57">
        <f>' WIP '!CP65</f>
        <v>0</v>
      </c>
      <c r="BT65" s="58">
        <v>0</v>
      </c>
      <c r="BU65" s="59">
        <f t="shared" si="85"/>
        <v>0</v>
      </c>
      <c r="BV65" s="57">
        <f>' WIP '!CT65</f>
        <v>0</v>
      </c>
      <c r="BW65" s="28">
        <v>0</v>
      </c>
      <c r="BX65" s="59">
        <f t="shared" si="86"/>
        <v>0</v>
      </c>
      <c r="BY65" s="57">
        <f>' WIP '!CX65</f>
        <v>0</v>
      </c>
      <c r="BZ65" s="58">
        <v>0</v>
      </c>
      <c r="CA65" s="59">
        <f t="shared" si="87"/>
        <v>0</v>
      </c>
      <c r="CB65" s="57">
        <f>' WIP '!DB65</f>
        <v>0</v>
      </c>
      <c r="CC65" s="58">
        <v>0</v>
      </c>
      <c r="CD65" s="59">
        <f t="shared" si="88"/>
        <v>0</v>
      </c>
      <c r="CE65" s="57">
        <f>' WIP '!DF65</f>
        <v>0</v>
      </c>
      <c r="CF65" s="58">
        <v>0</v>
      </c>
      <c r="CG65" s="59">
        <f t="shared" si="89"/>
        <v>0</v>
      </c>
      <c r="CH65" s="57">
        <f>' WIP '!DJ65</f>
        <v>0</v>
      </c>
      <c r="CI65" s="58">
        <v>0</v>
      </c>
      <c r="CJ65" s="59">
        <f t="shared" si="90"/>
        <v>0</v>
      </c>
      <c r="CK65" s="57">
        <f>' WIP '!DN65</f>
        <v>0</v>
      </c>
      <c r="CL65" s="58">
        <v>0</v>
      </c>
      <c r="CM65" s="59">
        <f t="shared" si="91"/>
        <v>0</v>
      </c>
      <c r="CN65" s="57">
        <f>' WIP '!DR65</f>
        <v>0</v>
      </c>
      <c r="CO65" s="57"/>
      <c r="CP65" s="59">
        <f t="shared" si="92"/>
        <v>0</v>
      </c>
      <c r="CQ65" s="57">
        <f>' WIP '!DV65</f>
        <v>0</v>
      </c>
      <c r="CR65" s="58"/>
      <c r="CS65" s="59">
        <f t="shared" si="93"/>
        <v>0</v>
      </c>
      <c r="CT65" s="31">
        <f t="shared" si="94"/>
        <v>0</v>
      </c>
      <c r="CU65" s="4">
        <f t="shared" si="95"/>
        <v>0</v>
      </c>
      <c r="CV65" s="5">
        <f>D65*'MASTER SHEET'!D65</f>
        <v>0</v>
      </c>
      <c r="CW65" s="5">
        <f>G65*'MASTER SHEET'!D65</f>
        <v>0</v>
      </c>
      <c r="CX65" s="5">
        <f>J65*'MASTER SHEET'!D65</f>
        <v>0</v>
      </c>
      <c r="CY65" s="5">
        <f>M65*'MASTER SHEET'!D65</f>
        <v>0</v>
      </c>
      <c r="CZ65" s="5">
        <f>P65*'MASTER SHEET'!D65</f>
        <v>0</v>
      </c>
      <c r="DA65" s="5">
        <f>S65*'MASTER SHEET'!D65</f>
        <v>0</v>
      </c>
      <c r="DB65" s="5">
        <f>V65*'MASTER SHEET'!D65</f>
        <v>0</v>
      </c>
      <c r="DC65" s="5">
        <f>Y65*'MASTER SHEET'!D65</f>
        <v>0</v>
      </c>
      <c r="DD65" s="5">
        <f>AB65*'MASTER SHEET'!D65</f>
        <v>0</v>
      </c>
      <c r="DE65" s="5">
        <f>AE65*'MASTER SHEET'!D65</f>
        <v>0</v>
      </c>
      <c r="DF65" s="5">
        <f>AH65*'MASTER SHEET'!D65</f>
        <v>0</v>
      </c>
      <c r="DG65" s="5">
        <f>AK65*'MASTER SHEET'!D65</f>
        <v>0</v>
      </c>
      <c r="DH65" s="5">
        <f>AN65*'MASTER SHEET'!D65</f>
        <v>0</v>
      </c>
      <c r="DI65" s="5">
        <f>AQ65*'MASTER SHEET'!D65</f>
        <v>0</v>
      </c>
      <c r="DJ65" s="5">
        <f>AT65*'MASTER SHEET'!D65</f>
        <v>0</v>
      </c>
      <c r="DK65" s="5">
        <f>AW65*'MASTER SHEET'!D65</f>
        <v>0</v>
      </c>
      <c r="DL65" s="5">
        <f>AZ65*'MASTER SHEET'!D65</f>
        <v>0</v>
      </c>
      <c r="DM65" s="5">
        <f>BC65*'MASTER SHEET'!D65</f>
        <v>0</v>
      </c>
      <c r="DN65" s="5">
        <f>BF65*'MASTER SHEET'!D65</f>
        <v>0</v>
      </c>
      <c r="DO65" s="5">
        <f>BI65*'MASTER SHEET'!D65</f>
        <v>0</v>
      </c>
      <c r="DP65" s="5">
        <f>BL65*'MASTER SHEET'!D65</f>
        <v>0</v>
      </c>
      <c r="DQ65" s="5">
        <f>BO65*'MASTER SHEET'!D65</f>
        <v>0</v>
      </c>
      <c r="DR65" s="5">
        <f>BR65*'MASTER SHEET'!D65</f>
        <v>0</v>
      </c>
      <c r="DS65" s="5">
        <f>BU65*'MASTER SHEET'!D65</f>
        <v>0</v>
      </c>
      <c r="DT65" s="5">
        <f>BX65*'MASTER SHEET'!D65</f>
        <v>0</v>
      </c>
      <c r="DU65" s="5">
        <f>CA65*'MASTER SHEET'!D65</f>
        <v>0</v>
      </c>
      <c r="DV65" s="5">
        <f>CD65*'MASTER SHEET'!D65</f>
        <v>0</v>
      </c>
      <c r="DW65" s="5">
        <f>CG65*'MASTER SHEET'!D65</f>
        <v>0</v>
      </c>
      <c r="DX65" s="5">
        <f>CJ65*'MASTER SHEET'!D65</f>
        <v>0</v>
      </c>
      <c r="DY65" s="5">
        <f>CM65*'MASTER SHEET'!D65</f>
        <v>0</v>
      </c>
      <c r="DZ65" s="5">
        <f>CP65*'MASTER SHEET'!D65</f>
        <v>0</v>
      </c>
      <c r="EA65" s="5">
        <f>CS65*'MASTER SHEET'!D65</f>
        <v>0</v>
      </c>
      <c r="EB65" s="9"/>
    </row>
    <row r="66" spans="1:132" ht="15.75" x14ac:dyDescent="0.25">
      <c r="A66" s="25">
        <f>'MASTER SHEET'!A66</f>
        <v>64</v>
      </c>
      <c r="B66" s="26" t="str">
        <f>'MASTER SHEET'!B66</f>
        <v>LID HOUSING CV</v>
      </c>
      <c r="C66" s="27">
        <f>'MASTER SHEET'!C66</f>
        <v>5032459</v>
      </c>
      <c r="D66" s="56">
        <v>0</v>
      </c>
      <c r="E66" s="57">
        <f>' WIP '!F66</f>
        <v>0</v>
      </c>
      <c r="F66" s="58">
        <v>0</v>
      </c>
      <c r="G66" s="59">
        <f t="shared" si="63"/>
        <v>0</v>
      </c>
      <c r="H66" s="57">
        <f>' WIP '!J66</f>
        <v>0</v>
      </c>
      <c r="I66" s="58">
        <v>0</v>
      </c>
      <c r="J66" s="59">
        <f t="shared" si="64"/>
        <v>0</v>
      </c>
      <c r="K66" s="57">
        <f>' WIP '!N66</f>
        <v>0</v>
      </c>
      <c r="L66" s="58"/>
      <c r="M66" s="59">
        <f t="shared" si="65"/>
        <v>0</v>
      </c>
      <c r="N66" s="57">
        <f>' WIP '!R66</f>
        <v>0</v>
      </c>
      <c r="O66" s="58">
        <v>0</v>
      </c>
      <c r="P66" s="59">
        <f t="shared" si="66"/>
        <v>0</v>
      </c>
      <c r="Q66" s="57">
        <f>' WIP '!V66</f>
        <v>0</v>
      </c>
      <c r="R66" s="58">
        <v>0</v>
      </c>
      <c r="S66" s="59">
        <f t="shared" si="67"/>
        <v>0</v>
      </c>
      <c r="T66" s="57">
        <f>' WIP '!Z66</f>
        <v>0</v>
      </c>
      <c r="U66" s="58">
        <v>0</v>
      </c>
      <c r="V66" s="59">
        <f t="shared" si="68"/>
        <v>0</v>
      </c>
      <c r="W66" s="57">
        <f>' WIP '!AD66</f>
        <v>0</v>
      </c>
      <c r="X66" s="58">
        <v>0</v>
      </c>
      <c r="Y66" s="59">
        <f t="shared" si="69"/>
        <v>0</v>
      </c>
      <c r="Z66" s="57">
        <f>' WIP '!AH66</f>
        <v>0</v>
      </c>
      <c r="AA66" s="58">
        <v>0</v>
      </c>
      <c r="AB66" s="59">
        <f t="shared" si="70"/>
        <v>0</v>
      </c>
      <c r="AC66" s="57">
        <f>' WIP '!AL66</f>
        <v>0</v>
      </c>
      <c r="AD66" s="58">
        <v>0</v>
      </c>
      <c r="AE66" s="59">
        <f t="shared" si="71"/>
        <v>0</v>
      </c>
      <c r="AF66" s="57">
        <f>' WIP '!AP66</f>
        <v>0</v>
      </c>
      <c r="AG66" s="114">
        <v>0</v>
      </c>
      <c r="AH66" s="59">
        <f t="shared" si="72"/>
        <v>0</v>
      </c>
      <c r="AI66" s="57">
        <f>' WIP '!AT66</f>
        <v>0</v>
      </c>
      <c r="AJ66" s="58">
        <v>0</v>
      </c>
      <c r="AK66" s="59">
        <f t="shared" si="73"/>
        <v>0</v>
      </c>
      <c r="AL66" s="57">
        <f>' WIP '!AX66</f>
        <v>0</v>
      </c>
      <c r="AM66" s="58"/>
      <c r="AN66" s="59">
        <f t="shared" si="74"/>
        <v>0</v>
      </c>
      <c r="AO66" s="57">
        <f>' WIP '!BB66</f>
        <v>0</v>
      </c>
      <c r="AP66" s="58">
        <v>0</v>
      </c>
      <c r="AQ66" s="59">
        <f t="shared" si="75"/>
        <v>0</v>
      </c>
      <c r="AR66" s="57">
        <f>' WIP '!BF66</f>
        <v>0</v>
      </c>
      <c r="AS66" s="58">
        <v>0</v>
      </c>
      <c r="AT66" s="59">
        <f t="shared" si="76"/>
        <v>0</v>
      </c>
      <c r="AU66" s="57">
        <f>' WIP '!BJ66</f>
        <v>0</v>
      </c>
      <c r="AV66" s="58">
        <v>0</v>
      </c>
      <c r="AW66" s="59">
        <f t="shared" si="77"/>
        <v>0</v>
      </c>
      <c r="AX66" s="57">
        <f>' WIP '!BN66</f>
        <v>0</v>
      </c>
      <c r="AY66" s="58">
        <v>0</v>
      </c>
      <c r="AZ66" s="59">
        <f t="shared" si="78"/>
        <v>0</v>
      </c>
      <c r="BA66" s="57">
        <f>' WIP '!BR66</f>
        <v>0</v>
      </c>
      <c r="BB66" s="58">
        <v>0</v>
      </c>
      <c r="BC66" s="59">
        <f t="shared" si="79"/>
        <v>0</v>
      </c>
      <c r="BD66" s="57">
        <f>' WIP '!BV66</f>
        <v>0</v>
      </c>
      <c r="BE66" s="58">
        <v>0</v>
      </c>
      <c r="BF66" s="59">
        <f t="shared" si="80"/>
        <v>0</v>
      </c>
      <c r="BG66" s="57">
        <f>' WIP '!BZ66</f>
        <v>0</v>
      </c>
      <c r="BH66" s="58"/>
      <c r="BI66" s="59">
        <f t="shared" si="81"/>
        <v>0</v>
      </c>
      <c r="BJ66" s="57">
        <f>' WIP '!CD66</f>
        <v>0</v>
      </c>
      <c r="BK66" s="58">
        <v>0</v>
      </c>
      <c r="BL66" s="59">
        <f t="shared" si="82"/>
        <v>0</v>
      </c>
      <c r="BM66" s="57">
        <f>' WIP '!CH66</f>
        <v>0</v>
      </c>
      <c r="BN66" s="58">
        <v>0</v>
      </c>
      <c r="BO66" s="59">
        <f t="shared" si="83"/>
        <v>0</v>
      </c>
      <c r="BP66" s="57">
        <f>' WIP '!CL66</f>
        <v>0</v>
      </c>
      <c r="BQ66" s="58"/>
      <c r="BR66" s="59">
        <f t="shared" si="84"/>
        <v>0</v>
      </c>
      <c r="BS66" s="57">
        <f>' WIP '!CP66</f>
        <v>0</v>
      </c>
      <c r="BT66" s="58">
        <v>0</v>
      </c>
      <c r="BU66" s="59">
        <f t="shared" si="85"/>
        <v>0</v>
      </c>
      <c r="BV66" s="57">
        <f>' WIP '!CT66</f>
        <v>0</v>
      </c>
      <c r="BW66" s="28">
        <v>0</v>
      </c>
      <c r="BX66" s="59">
        <f t="shared" si="86"/>
        <v>0</v>
      </c>
      <c r="BY66" s="57">
        <f>' WIP '!CX66</f>
        <v>0</v>
      </c>
      <c r="BZ66" s="58">
        <v>0</v>
      </c>
      <c r="CA66" s="59">
        <f t="shared" si="87"/>
        <v>0</v>
      </c>
      <c r="CB66" s="57">
        <f>' WIP '!DB66</f>
        <v>0</v>
      </c>
      <c r="CC66" s="58">
        <v>0</v>
      </c>
      <c r="CD66" s="59">
        <f t="shared" si="88"/>
        <v>0</v>
      </c>
      <c r="CE66" s="57">
        <f>' WIP '!DF66</f>
        <v>0</v>
      </c>
      <c r="CF66" s="58">
        <v>0</v>
      </c>
      <c r="CG66" s="59">
        <f t="shared" si="89"/>
        <v>0</v>
      </c>
      <c r="CH66" s="57">
        <f>' WIP '!DJ66</f>
        <v>0</v>
      </c>
      <c r="CI66" s="58">
        <v>0</v>
      </c>
      <c r="CJ66" s="59">
        <f t="shared" si="90"/>
        <v>0</v>
      </c>
      <c r="CK66" s="57">
        <f>' WIP '!DN66</f>
        <v>0</v>
      </c>
      <c r="CL66" s="58">
        <v>0</v>
      </c>
      <c r="CM66" s="59">
        <f t="shared" si="91"/>
        <v>0</v>
      </c>
      <c r="CN66" s="57">
        <f>' WIP '!DR66</f>
        <v>0</v>
      </c>
      <c r="CO66" s="57"/>
      <c r="CP66" s="59">
        <f t="shared" si="92"/>
        <v>0</v>
      </c>
      <c r="CQ66" s="57">
        <f>' WIP '!DV66</f>
        <v>0</v>
      </c>
      <c r="CR66" s="58"/>
      <c r="CS66" s="59">
        <f t="shared" si="93"/>
        <v>0</v>
      </c>
      <c r="CT66" s="31">
        <f t="shared" si="94"/>
        <v>0</v>
      </c>
      <c r="CU66" s="4">
        <f t="shared" si="95"/>
        <v>0</v>
      </c>
      <c r="CV66" s="5">
        <f>D66*'MASTER SHEET'!D66</f>
        <v>0</v>
      </c>
      <c r="CW66" s="5">
        <f>G66*'MASTER SHEET'!D66</f>
        <v>0</v>
      </c>
      <c r="CX66" s="5">
        <f>J66*'MASTER SHEET'!D66</f>
        <v>0</v>
      </c>
      <c r="CY66" s="5">
        <f>M66*'MASTER SHEET'!D66</f>
        <v>0</v>
      </c>
      <c r="CZ66" s="5">
        <f>P66*'MASTER SHEET'!D66</f>
        <v>0</v>
      </c>
      <c r="DA66" s="5">
        <f>S66*'MASTER SHEET'!D66</f>
        <v>0</v>
      </c>
      <c r="DB66" s="5">
        <f>V66*'MASTER SHEET'!D66</f>
        <v>0</v>
      </c>
      <c r="DC66" s="5">
        <f>Y66*'MASTER SHEET'!D66</f>
        <v>0</v>
      </c>
      <c r="DD66" s="5">
        <f>AB66*'MASTER SHEET'!D66</f>
        <v>0</v>
      </c>
      <c r="DE66" s="5">
        <f>AE66*'MASTER SHEET'!D66</f>
        <v>0</v>
      </c>
      <c r="DF66" s="5">
        <f>AH66*'MASTER SHEET'!D66</f>
        <v>0</v>
      </c>
      <c r="DG66" s="5">
        <f>AK66*'MASTER SHEET'!D66</f>
        <v>0</v>
      </c>
      <c r="DH66" s="5">
        <f>AN66*'MASTER SHEET'!D66</f>
        <v>0</v>
      </c>
      <c r="DI66" s="5">
        <f>AQ66*'MASTER SHEET'!D66</f>
        <v>0</v>
      </c>
      <c r="DJ66" s="5">
        <f>AT66*'MASTER SHEET'!D66</f>
        <v>0</v>
      </c>
      <c r="DK66" s="5">
        <f>AW66*'MASTER SHEET'!D66</f>
        <v>0</v>
      </c>
      <c r="DL66" s="5">
        <f>AZ66*'MASTER SHEET'!D66</f>
        <v>0</v>
      </c>
      <c r="DM66" s="5">
        <f>BC66*'MASTER SHEET'!D66</f>
        <v>0</v>
      </c>
      <c r="DN66" s="5">
        <f>BF66*'MASTER SHEET'!D66</f>
        <v>0</v>
      </c>
      <c r="DO66" s="5">
        <f>BI66*'MASTER SHEET'!D66</f>
        <v>0</v>
      </c>
      <c r="DP66" s="5">
        <f>BL66*'MASTER SHEET'!D66</f>
        <v>0</v>
      </c>
      <c r="DQ66" s="5">
        <f>BO66*'MASTER SHEET'!D66</f>
        <v>0</v>
      </c>
      <c r="DR66" s="5">
        <f>BR66*'MASTER SHEET'!D66</f>
        <v>0</v>
      </c>
      <c r="DS66" s="5">
        <f>BU66*'MASTER SHEET'!D66</f>
        <v>0</v>
      </c>
      <c r="DT66" s="5">
        <f>BX66*'MASTER SHEET'!D66</f>
        <v>0</v>
      </c>
      <c r="DU66" s="5">
        <f>CA66*'MASTER SHEET'!D66</f>
        <v>0</v>
      </c>
      <c r="DV66" s="5">
        <f>CD66*'MASTER SHEET'!D66</f>
        <v>0</v>
      </c>
      <c r="DW66" s="5">
        <f>CG66*'MASTER SHEET'!D66</f>
        <v>0</v>
      </c>
      <c r="DX66" s="5">
        <f>CJ66*'MASTER SHEET'!D66</f>
        <v>0</v>
      </c>
      <c r="DY66" s="5">
        <f>CM66*'MASTER SHEET'!D66</f>
        <v>0</v>
      </c>
      <c r="DZ66" s="5">
        <f>CP66*'MASTER SHEET'!D66</f>
        <v>0</v>
      </c>
      <c r="EA66" s="5">
        <f>CS66*'MASTER SHEET'!D66</f>
        <v>0</v>
      </c>
      <c r="EB66" s="9"/>
    </row>
    <row r="67" spans="1:132" ht="15.75" x14ac:dyDescent="0.25">
      <c r="A67" s="25">
        <f>'MASTER SHEET'!A67</f>
        <v>65</v>
      </c>
      <c r="B67" s="26" t="str">
        <f>'MASTER SHEET'!B67</f>
        <v>MBP PIPE</v>
      </c>
      <c r="C67" s="27">
        <f>'MASTER SHEET'!C67</f>
        <v>5032473</v>
      </c>
      <c r="D67" s="56">
        <v>64</v>
      </c>
      <c r="E67" s="57">
        <f>' WIP '!F67</f>
        <v>0</v>
      </c>
      <c r="F67" s="58">
        <v>0</v>
      </c>
      <c r="G67" s="59">
        <f t="shared" ref="G67:G98" si="96">D67+E67-F67</f>
        <v>64</v>
      </c>
      <c r="H67" s="57">
        <f>' WIP '!J67</f>
        <v>0</v>
      </c>
      <c r="I67" s="58">
        <v>0</v>
      </c>
      <c r="J67" s="59">
        <f t="shared" ref="J67:J98" si="97">G67+H67-I67</f>
        <v>64</v>
      </c>
      <c r="K67" s="57">
        <f>' WIP '!N67</f>
        <v>0</v>
      </c>
      <c r="L67" s="58"/>
      <c r="M67" s="59">
        <f t="shared" ref="M67:M98" si="98">J67+K67-L67</f>
        <v>64</v>
      </c>
      <c r="N67" s="57">
        <f>' WIP '!R67</f>
        <v>0</v>
      </c>
      <c r="O67" s="58">
        <v>0</v>
      </c>
      <c r="P67" s="59">
        <f t="shared" ref="P67:P98" si="99">M67+N67-O67</f>
        <v>64</v>
      </c>
      <c r="Q67" s="57">
        <f>' WIP '!V67</f>
        <v>0</v>
      </c>
      <c r="R67" s="58">
        <v>16</v>
      </c>
      <c r="S67" s="59">
        <f t="shared" ref="S67:S98" si="100">P67+Q67-R67</f>
        <v>48</v>
      </c>
      <c r="T67" s="57">
        <f>' WIP '!Z67</f>
        <v>0</v>
      </c>
      <c r="U67" s="58">
        <v>0</v>
      </c>
      <c r="V67" s="59">
        <f t="shared" ref="V67:V98" si="101">S67+T67-U67</f>
        <v>48</v>
      </c>
      <c r="W67" s="57">
        <f>' WIP '!AD67</f>
        <v>0</v>
      </c>
      <c r="X67" s="58">
        <v>0</v>
      </c>
      <c r="Y67" s="59">
        <f t="shared" ref="Y67:Y98" si="102">V67+W67-X67</f>
        <v>48</v>
      </c>
      <c r="Z67" s="57">
        <f>' WIP '!AH67</f>
        <v>0</v>
      </c>
      <c r="AA67" s="58">
        <v>0</v>
      </c>
      <c r="AB67" s="59">
        <f t="shared" ref="AB67:AB98" si="103">Y67+Z67-AA67</f>
        <v>48</v>
      </c>
      <c r="AC67" s="57">
        <f>' WIP '!AL67</f>
        <v>0</v>
      </c>
      <c r="AD67" s="58">
        <v>0</v>
      </c>
      <c r="AE67" s="59">
        <f t="shared" ref="AE67:AE98" si="104">AB67+AC67-AD67</f>
        <v>48</v>
      </c>
      <c r="AF67" s="57">
        <f>' WIP '!AP67</f>
        <v>0</v>
      </c>
      <c r="AG67" s="114">
        <v>0</v>
      </c>
      <c r="AH67" s="59">
        <f t="shared" ref="AH67:AH98" si="105">AE67+AF67-AG67</f>
        <v>48</v>
      </c>
      <c r="AI67" s="57">
        <f>' WIP '!AT67</f>
        <v>0</v>
      </c>
      <c r="AJ67" s="58">
        <v>0</v>
      </c>
      <c r="AK67" s="59">
        <f t="shared" ref="AK67:AK98" si="106">AH67+AI67-AJ67</f>
        <v>48</v>
      </c>
      <c r="AL67" s="57">
        <f>' WIP '!AX67</f>
        <v>0</v>
      </c>
      <c r="AM67" s="58"/>
      <c r="AN67" s="59">
        <f t="shared" ref="AN67:AN98" si="107">AK67+AL67-AM67</f>
        <v>48</v>
      </c>
      <c r="AO67" s="57">
        <f>' WIP '!BB67</f>
        <v>0</v>
      </c>
      <c r="AP67" s="58">
        <v>0</v>
      </c>
      <c r="AQ67" s="59">
        <f t="shared" ref="AQ67:AQ98" si="108">AN67+AO67-AP67</f>
        <v>48</v>
      </c>
      <c r="AR67" s="57">
        <f>' WIP '!BF67</f>
        <v>0</v>
      </c>
      <c r="AS67" s="58">
        <v>0</v>
      </c>
      <c r="AT67" s="59">
        <f t="shared" ref="AT67:AT98" si="109">AQ67+AR67-AS67</f>
        <v>48</v>
      </c>
      <c r="AU67" s="57">
        <f>' WIP '!BJ67</f>
        <v>0</v>
      </c>
      <c r="AV67" s="58">
        <v>0</v>
      </c>
      <c r="AW67" s="59">
        <f t="shared" ref="AW67:AW98" si="110">AT67+AU67-AV67</f>
        <v>48</v>
      </c>
      <c r="AX67" s="57">
        <f>' WIP '!BN67</f>
        <v>0</v>
      </c>
      <c r="AY67" s="58">
        <v>0</v>
      </c>
      <c r="AZ67" s="59">
        <f t="shared" ref="AZ67:AZ98" si="111">AW67+AX67-AY67</f>
        <v>48</v>
      </c>
      <c r="BA67" s="57">
        <f>' WIP '!BR67</f>
        <v>0</v>
      </c>
      <c r="BB67" s="58">
        <v>0</v>
      </c>
      <c r="BC67" s="59">
        <f t="shared" ref="BC67:BC98" si="112">AZ67+BA67-BB67</f>
        <v>48</v>
      </c>
      <c r="BD67" s="57">
        <f>' WIP '!BV67</f>
        <v>0</v>
      </c>
      <c r="BE67" s="58">
        <v>0</v>
      </c>
      <c r="BF67" s="59">
        <f t="shared" ref="BF67:BF98" si="113">BC67+BD67-BE67</f>
        <v>48</v>
      </c>
      <c r="BG67" s="57">
        <f>' WIP '!BZ67</f>
        <v>0</v>
      </c>
      <c r="BH67" s="58"/>
      <c r="BI67" s="59">
        <f t="shared" ref="BI67:BI98" si="114">BF67+BG67-BH67</f>
        <v>48</v>
      </c>
      <c r="BJ67" s="57">
        <f>' WIP '!CD67</f>
        <v>0</v>
      </c>
      <c r="BK67" s="58">
        <v>0</v>
      </c>
      <c r="BL67" s="59">
        <f t="shared" ref="BL67:BL98" si="115">BI67+BJ67-BK67</f>
        <v>48</v>
      </c>
      <c r="BM67" s="57">
        <f>' WIP '!CH67</f>
        <v>0</v>
      </c>
      <c r="BN67" s="58">
        <v>0</v>
      </c>
      <c r="BO67" s="59">
        <f t="shared" ref="BO67:BO98" si="116">BL67+BM67-BN67</f>
        <v>48</v>
      </c>
      <c r="BP67" s="57">
        <f>' WIP '!CL67</f>
        <v>0</v>
      </c>
      <c r="BQ67" s="58"/>
      <c r="BR67" s="59">
        <f t="shared" ref="BR67:BR98" si="117">BO67+BP67-BQ67</f>
        <v>48</v>
      </c>
      <c r="BS67" s="57">
        <f>' WIP '!CP67</f>
        <v>0</v>
      </c>
      <c r="BT67" s="58">
        <v>0</v>
      </c>
      <c r="BU67" s="59">
        <f t="shared" ref="BU67:BU98" si="118">BR67+BS67-BT67</f>
        <v>48</v>
      </c>
      <c r="BV67" s="57">
        <f>' WIP '!CT67</f>
        <v>0</v>
      </c>
      <c r="BW67" s="28">
        <v>4</v>
      </c>
      <c r="BX67" s="59">
        <f t="shared" ref="BX67:BX98" si="119">BU67+BV67-BW67</f>
        <v>44</v>
      </c>
      <c r="BY67" s="57">
        <f>' WIP '!CX67</f>
        <v>0</v>
      </c>
      <c r="BZ67" s="58">
        <v>0</v>
      </c>
      <c r="CA67" s="59">
        <f t="shared" ref="CA67:CA98" si="120">BX67+BY67-BZ67</f>
        <v>44</v>
      </c>
      <c r="CB67" s="57">
        <f>' WIP '!DB67</f>
        <v>0</v>
      </c>
      <c r="CC67" s="58">
        <v>0</v>
      </c>
      <c r="CD67" s="59">
        <f t="shared" ref="CD67:CD98" si="121">CA67+CB67-CC67</f>
        <v>44</v>
      </c>
      <c r="CE67" s="57">
        <f>' WIP '!DF67</f>
        <v>0</v>
      </c>
      <c r="CF67" s="58">
        <v>0</v>
      </c>
      <c r="CG67" s="59">
        <f t="shared" ref="CG67:CG98" si="122">CD67+CE67-CF67</f>
        <v>44</v>
      </c>
      <c r="CH67" s="57">
        <f>' WIP '!DJ67</f>
        <v>0</v>
      </c>
      <c r="CI67" s="58">
        <v>0</v>
      </c>
      <c r="CJ67" s="59">
        <f t="shared" ref="CJ67:CJ98" si="123">CG67+CH67-CI67</f>
        <v>44</v>
      </c>
      <c r="CK67" s="57">
        <f>' WIP '!DN67</f>
        <v>0</v>
      </c>
      <c r="CL67" s="58">
        <v>0</v>
      </c>
      <c r="CM67" s="59">
        <f t="shared" ref="CM67:CM98" si="124">CJ67+CK67-CL67</f>
        <v>44</v>
      </c>
      <c r="CN67" s="57">
        <f>' WIP '!DR67</f>
        <v>0</v>
      </c>
      <c r="CO67" s="57"/>
      <c r="CP67" s="59">
        <f t="shared" ref="CP67:CP98" si="125">CM67+CN67-CO67</f>
        <v>44</v>
      </c>
      <c r="CQ67" s="57">
        <f>' WIP '!DV67</f>
        <v>0</v>
      </c>
      <c r="CR67" s="58"/>
      <c r="CS67" s="59">
        <f t="shared" ref="CS67:CS98" si="126">CP67+CQ67-CR67</f>
        <v>44</v>
      </c>
      <c r="CT67" s="31">
        <f t="shared" ref="CT67:CT98" si="127">D67+E67+H67+K67+N67+Q67+T67+W67+Z67+AC67+AF67+AI67+AL67+AO67+AR67+AU67+AX67+BA67+BD67+BG67+BJ67+BM67+BP67+BS67+BV67+BY67+CB67+CE67+CH67+CK67+CN67+CQ67</f>
        <v>64</v>
      </c>
      <c r="CU67" s="4">
        <f t="shared" ref="CU67:CU98" si="128">F67+I67+L67+O67+R67+U67+X67+AA67+AD67+AG67+AJ67+AM67+AP67+AS67+AV67+AY67+BB67+BE67+BH67+BK67+BN67+BQ67+BT67+BW67+BZ67+CC67+CF67+CI67+CL67+CO67+CR67</f>
        <v>20</v>
      </c>
      <c r="CV67" s="5">
        <f>D67*'MASTER SHEET'!D67</f>
        <v>10606.72</v>
      </c>
      <c r="CW67" s="5">
        <f>G67*'MASTER SHEET'!D67</f>
        <v>10606.72</v>
      </c>
      <c r="CX67" s="5">
        <f>J67*'MASTER SHEET'!D67</f>
        <v>10606.72</v>
      </c>
      <c r="CY67" s="5">
        <f>M67*'MASTER SHEET'!D67</f>
        <v>10606.72</v>
      </c>
      <c r="CZ67" s="5">
        <f>P67*'MASTER SHEET'!D67</f>
        <v>10606.72</v>
      </c>
      <c r="DA67" s="5">
        <f>S67*'MASTER SHEET'!D67</f>
        <v>7955.0399999999991</v>
      </c>
      <c r="DB67" s="5">
        <f>V67*'MASTER SHEET'!D67</f>
        <v>7955.0399999999991</v>
      </c>
      <c r="DC67" s="5">
        <f>Y67*'MASTER SHEET'!D67</f>
        <v>7955.0399999999991</v>
      </c>
      <c r="DD67" s="5">
        <f>AB67*'MASTER SHEET'!D67</f>
        <v>7955.0399999999991</v>
      </c>
      <c r="DE67" s="5">
        <f>AE67*'MASTER SHEET'!D67</f>
        <v>7955.0399999999991</v>
      </c>
      <c r="DF67" s="5">
        <f>AH67*'MASTER SHEET'!D67</f>
        <v>7955.0399999999991</v>
      </c>
      <c r="DG67" s="5">
        <f>AK67*'MASTER SHEET'!D67</f>
        <v>7955.0399999999991</v>
      </c>
      <c r="DH67" s="5">
        <f>AN67*'MASTER SHEET'!D67</f>
        <v>7955.0399999999991</v>
      </c>
      <c r="DI67" s="5">
        <f>AQ67*'MASTER SHEET'!D67</f>
        <v>7955.0399999999991</v>
      </c>
      <c r="DJ67" s="5">
        <f>AT67*'MASTER SHEET'!D67</f>
        <v>7955.0399999999991</v>
      </c>
      <c r="DK67" s="5">
        <f>AW67*'MASTER SHEET'!D67</f>
        <v>7955.0399999999991</v>
      </c>
      <c r="DL67" s="5">
        <f>AZ67*'MASTER SHEET'!D67</f>
        <v>7955.0399999999991</v>
      </c>
      <c r="DM67" s="5">
        <f>BC67*'MASTER SHEET'!D67</f>
        <v>7955.0399999999991</v>
      </c>
      <c r="DN67" s="5">
        <f>BF67*'MASTER SHEET'!D67</f>
        <v>7955.0399999999991</v>
      </c>
      <c r="DO67" s="5">
        <f>BI67*'MASTER SHEET'!D67</f>
        <v>7955.0399999999991</v>
      </c>
      <c r="DP67" s="5">
        <f>BL67*'MASTER SHEET'!D67</f>
        <v>7955.0399999999991</v>
      </c>
      <c r="DQ67" s="5">
        <f>BO67*'MASTER SHEET'!D67</f>
        <v>7955.0399999999991</v>
      </c>
      <c r="DR67" s="5">
        <f>BR67*'MASTER SHEET'!D67</f>
        <v>7955.0399999999991</v>
      </c>
      <c r="DS67" s="5">
        <f>BU67*'MASTER SHEET'!D67</f>
        <v>7955.0399999999991</v>
      </c>
      <c r="DT67" s="5">
        <f>BX67*'MASTER SHEET'!D67</f>
        <v>7292.12</v>
      </c>
      <c r="DU67" s="5">
        <f>CA67*'MASTER SHEET'!D67</f>
        <v>7292.12</v>
      </c>
      <c r="DV67" s="5">
        <f>CD67*'MASTER SHEET'!D67</f>
        <v>7292.12</v>
      </c>
      <c r="DW67" s="5">
        <f>CG67*'MASTER SHEET'!D67</f>
        <v>7292.12</v>
      </c>
      <c r="DX67" s="5">
        <f>CJ67*'MASTER SHEET'!D67</f>
        <v>7292.12</v>
      </c>
      <c r="DY67" s="5">
        <f>CM67*'MASTER SHEET'!D67</f>
        <v>7292.12</v>
      </c>
      <c r="DZ67" s="5">
        <f>CP67*'MASTER SHEET'!D67</f>
        <v>7292.12</v>
      </c>
      <c r="EA67" s="5">
        <f>CS67*'MASTER SHEET'!D67</f>
        <v>7292.12</v>
      </c>
      <c r="EB67" s="9"/>
    </row>
    <row r="68" spans="1:132" ht="15.75" x14ac:dyDescent="0.25">
      <c r="A68" s="25">
        <f>'MASTER SHEET'!A68</f>
        <v>66</v>
      </c>
      <c r="B68" s="26" t="str">
        <f>'MASTER SHEET'!B68</f>
        <v>BASE HOUSING</v>
      </c>
      <c r="C68" s="27">
        <f>'MASTER SHEET'!C68</f>
        <v>5034048</v>
      </c>
      <c r="D68" s="56">
        <v>0</v>
      </c>
      <c r="E68" s="57">
        <f>' WIP '!F68</f>
        <v>0</v>
      </c>
      <c r="F68" s="58">
        <v>0</v>
      </c>
      <c r="G68" s="59">
        <f t="shared" si="96"/>
        <v>0</v>
      </c>
      <c r="H68" s="57">
        <f>' WIP '!J68</f>
        <v>0</v>
      </c>
      <c r="I68" s="58">
        <v>0</v>
      </c>
      <c r="J68" s="59">
        <f t="shared" si="97"/>
        <v>0</v>
      </c>
      <c r="K68" s="57">
        <f>' WIP '!N68</f>
        <v>0</v>
      </c>
      <c r="L68" s="58"/>
      <c r="M68" s="59">
        <f t="shared" si="98"/>
        <v>0</v>
      </c>
      <c r="N68" s="57">
        <f>' WIP '!R68</f>
        <v>0</v>
      </c>
      <c r="O68" s="58">
        <v>0</v>
      </c>
      <c r="P68" s="59">
        <f t="shared" si="99"/>
        <v>0</v>
      </c>
      <c r="Q68" s="57">
        <f>' WIP '!V68</f>
        <v>0</v>
      </c>
      <c r="R68" s="58">
        <v>0</v>
      </c>
      <c r="S68" s="59">
        <f t="shared" si="100"/>
        <v>0</v>
      </c>
      <c r="T68" s="57">
        <f>' WIP '!Z68</f>
        <v>0</v>
      </c>
      <c r="U68" s="58">
        <v>0</v>
      </c>
      <c r="V68" s="59">
        <f t="shared" si="101"/>
        <v>0</v>
      </c>
      <c r="W68" s="57">
        <f>' WIP '!AD68</f>
        <v>0</v>
      </c>
      <c r="X68" s="58">
        <v>0</v>
      </c>
      <c r="Y68" s="59">
        <f t="shared" si="102"/>
        <v>0</v>
      </c>
      <c r="Z68" s="57">
        <f>' WIP '!AH68</f>
        <v>0</v>
      </c>
      <c r="AA68" s="58">
        <v>0</v>
      </c>
      <c r="AB68" s="59">
        <f t="shared" si="103"/>
        <v>0</v>
      </c>
      <c r="AC68" s="57">
        <f>' WIP '!AL68</f>
        <v>0</v>
      </c>
      <c r="AD68" s="58">
        <v>0</v>
      </c>
      <c r="AE68" s="59">
        <f t="shared" si="104"/>
        <v>0</v>
      </c>
      <c r="AF68" s="57">
        <f>' WIP '!AP68</f>
        <v>0</v>
      </c>
      <c r="AG68" s="114">
        <v>0</v>
      </c>
      <c r="AH68" s="59">
        <f t="shared" si="105"/>
        <v>0</v>
      </c>
      <c r="AI68" s="57">
        <f>' WIP '!AT68</f>
        <v>0</v>
      </c>
      <c r="AJ68" s="58">
        <v>0</v>
      </c>
      <c r="AK68" s="59">
        <f t="shared" si="106"/>
        <v>0</v>
      </c>
      <c r="AL68" s="57">
        <f>' WIP '!AX68</f>
        <v>0</v>
      </c>
      <c r="AM68" s="58"/>
      <c r="AN68" s="59">
        <f t="shared" si="107"/>
        <v>0</v>
      </c>
      <c r="AO68" s="57">
        <f>' WIP '!BB68</f>
        <v>0</v>
      </c>
      <c r="AP68" s="58">
        <v>0</v>
      </c>
      <c r="AQ68" s="59">
        <f t="shared" si="108"/>
        <v>0</v>
      </c>
      <c r="AR68" s="57">
        <f>' WIP '!BF68</f>
        <v>0</v>
      </c>
      <c r="AS68" s="58">
        <v>0</v>
      </c>
      <c r="AT68" s="59">
        <f t="shared" si="109"/>
        <v>0</v>
      </c>
      <c r="AU68" s="57">
        <f>' WIP '!BJ68</f>
        <v>0</v>
      </c>
      <c r="AV68" s="58">
        <v>0</v>
      </c>
      <c r="AW68" s="59">
        <f t="shared" si="110"/>
        <v>0</v>
      </c>
      <c r="AX68" s="57">
        <f>' WIP '!BN68</f>
        <v>0</v>
      </c>
      <c r="AY68" s="58">
        <v>0</v>
      </c>
      <c r="AZ68" s="59">
        <f t="shared" si="111"/>
        <v>0</v>
      </c>
      <c r="BA68" s="57">
        <f>' WIP '!BR68</f>
        <v>0</v>
      </c>
      <c r="BB68" s="58">
        <v>0</v>
      </c>
      <c r="BC68" s="59">
        <f t="shared" si="112"/>
        <v>0</v>
      </c>
      <c r="BD68" s="57">
        <f>' WIP '!BV68</f>
        <v>0</v>
      </c>
      <c r="BE68" s="58">
        <v>0</v>
      </c>
      <c r="BF68" s="59">
        <f t="shared" si="113"/>
        <v>0</v>
      </c>
      <c r="BG68" s="57">
        <f>' WIP '!BZ68</f>
        <v>0</v>
      </c>
      <c r="BH68" s="58"/>
      <c r="BI68" s="59">
        <f t="shared" si="114"/>
        <v>0</v>
      </c>
      <c r="BJ68" s="57">
        <f>' WIP '!CD68</f>
        <v>0</v>
      </c>
      <c r="BK68" s="58">
        <v>0</v>
      </c>
      <c r="BL68" s="59">
        <f t="shared" si="115"/>
        <v>0</v>
      </c>
      <c r="BM68" s="57">
        <f>' WIP '!CH68</f>
        <v>0</v>
      </c>
      <c r="BN68" s="58">
        <v>0</v>
      </c>
      <c r="BO68" s="59">
        <f t="shared" si="116"/>
        <v>0</v>
      </c>
      <c r="BP68" s="57">
        <f>' WIP '!CL68</f>
        <v>0</v>
      </c>
      <c r="BQ68" s="58"/>
      <c r="BR68" s="59">
        <f t="shared" si="117"/>
        <v>0</v>
      </c>
      <c r="BS68" s="57">
        <f>' WIP '!CP68</f>
        <v>0</v>
      </c>
      <c r="BT68" s="58">
        <v>0</v>
      </c>
      <c r="BU68" s="59">
        <f t="shared" si="118"/>
        <v>0</v>
      </c>
      <c r="BV68" s="57">
        <f>' WIP '!CT68</f>
        <v>0</v>
      </c>
      <c r="BW68" s="28">
        <v>0</v>
      </c>
      <c r="BX68" s="59">
        <f t="shared" si="119"/>
        <v>0</v>
      </c>
      <c r="BY68" s="57">
        <f>' WIP '!CX68</f>
        <v>0</v>
      </c>
      <c r="BZ68" s="58">
        <v>0</v>
      </c>
      <c r="CA68" s="59">
        <f t="shared" si="120"/>
        <v>0</v>
      </c>
      <c r="CB68" s="57">
        <f>' WIP '!DB68</f>
        <v>0</v>
      </c>
      <c r="CC68" s="58">
        <v>0</v>
      </c>
      <c r="CD68" s="59">
        <f t="shared" si="121"/>
        <v>0</v>
      </c>
      <c r="CE68" s="57">
        <f>' WIP '!DF68</f>
        <v>0</v>
      </c>
      <c r="CF68" s="58">
        <v>0</v>
      </c>
      <c r="CG68" s="59">
        <f t="shared" si="122"/>
        <v>0</v>
      </c>
      <c r="CH68" s="57">
        <f>' WIP '!DJ68</f>
        <v>0</v>
      </c>
      <c r="CI68" s="58">
        <v>0</v>
      </c>
      <c r="CJ68" s="59">
        <f t="shared" si="123"/>
        <v>0</v>
      </c>
      <c r="CK68" s="57">
        <f>' WIP '!DN68</f>
        <v>0</v>
      </c>
      <c r="CL68" s="58">
        <v>0</v>
      </c>
      <c r="CM68" s="59">
        <f t="shared" si="124"/>
        <v>0</v>
      </c>
      <c r="CN68" s="57">
        <f>' WIP '!DR68</f>
        <v>0</v>
      </c>
      <c r="CO68" s="57"/>
      <c r="CP68" s="59">
        <f t="shared" si="125"/>
        <v>0</v>
      </c>
      <c r="CQ68" s="57">
        <f>' WIP '!DV68</f>
        <v>0</v>
      </c>
      <c r="CR68" s="58"/>
      <c r="CS68" s="59">
        <f t="shared" si="126"/>
        <v>0</v>
      </c>
      <c r="CT68" s="31">
        <f t="shared" si="127"/>
        <v>0</v>
      </c>
      <c r="CU68" s="4">
        <f t="shared" si="128"/>
        <v>0</v>
      </c>
      <c r="CV68" s="5">
        <f>D68*'MASTER SHEET'!D68</f>
        <v>0</v>
      </c>
      <c r="CW68" s="5">
        <f>G68*'MASTER SHEET'!D68</f>
        <v>0</v>
      </c>
      <c r="CX68" s="5">
        <f>J68*'MASTER SHEET'!D68</f>
        <v>0</v>
      </c>
      <c r="CY68" s="5">
        <f>M68*'MASTER SHEET'!D68</f>
        <v>0</v>
      </c>
      <c r="CZ68" s="5">
        <f>P68*'MASTER SHEET'!D68</f>
        <v>0</v>
      </c>
      <c r="DA68" s="5">
        <f>S68*'MASTER SHEET'!D68</f>
        <v>0</v>
      </c>
      <c r="DB68" s="5">
        <f>V68*'MASTER SHEET'!D68</f>
        <v>0</v>
      </c>
      <c r="DC68" s="5">
        <f>Y68*'MASTER SHEET'!D68</f>
        <v>0</v>
      </c>
      <c r="DD68" s="5">
        <f>AB68*'MASTER SHEET'!D68</f>
        <v>0</v>
      </c>
      <c r="DE68" s="5">
        <f>AE68*'MASTER SHEET'!D68</f>
        <v>0</v>
      </c>
      <c r="DF68" s="5">
        <f>AH68*'MASTER SHEET'!D68</f>
        <v>0</v>
      </c>
      <c r="DG68" s="5">
        <f>AK68*'MASTER SHEET'!D68</f>
        <v>0</v>
      </c>
      <c r="DH68" s="5">
        <f>AN68*'MASTER SHEET'!D68</f>
        <v>0</v>
      </c>
      <c r="DI68" s="5">
        <f>AQ68*'MASTER SHEET'!D68</f>
        <v>0</v>
      </c>
      <c r="DJ68" s="5">
        <f>AT68*'MASTER SHEET'!D68</f>
        <v>0</v>
      </c>
      <c r="DK68" s="5">
        <f>AW68*'MASTER SHEET'!D68</f>
        <v>0</v>
      </c>
      <c r="DL68" s="5">
        <f>AZ68*'MASTER SHEET'!D68</f>
        <v>0</v>
      </c>
      <c r="DM68" s="5">
        <f>BC68*'MASTER SHEET'!D68</f>
        <v>0</v>
      </c>
      <c r="DN68" s="5">
        <f>BF68*'MASTER SHEET'!D68</f>
        <v>0</v>
      </c>
      <c r="DO68" s="5">
        <f>BI68*'MASTER SHEET'!D68</f>
        <v>0</v>
      </c>
      <c r="DP68" s="5">
        <f>BL68*'MASTER SHEET'!D68</f>
        <v>0</v>
      </c>
      <c r="DQ68" s="5">
        <f>BO68*'MASTER SHEET'!D68</f>
        <v>0</v>
      </c>
      <c r="DR68" s="5">
        <f>BR68*'MASTER SHEET'!D68</f>
        <v>0</v>
      </c>
      <c r="DS68" s="5">
        <f>BU68*'MASTER SHEET'!D68</f>
        <v>0</v>
      </c>
      <c r="DT68" s="5">
        <f>BX68*'MASTER SHEET'!D68</f>
        <v>0</v>
      </c>
      <c r="DU68" s="5">
        <f>CA68*'MASTER SHEET'!D68</f>
        <v>0</v>
      </c>
      <c r="DV68" s="5">
        <f>CD68*'MASTER SHEET'!D68</f>
        <v>0</v>
      </c>
      <c r="DW68" s="5">
        <f>CG68*'MASTER SHEET'!D68</f>
        <v>0</v>
      </c>
      <c r="DX68" s="5">
        <f>CJ68*'MASTER SHEET'!D68</f>
        <v>0</v>
      </c>
      <c r="DY68" s="5">
        <f>CM68*'MASTER SHEET'!D68</f>
        <v>0</v>
      </c>
      <c r="DZ68" s="5">
        <f>CP68*'MASTER SHEET'!D68</f>
        <v>0</v>
      </c>
      <c r="EA68" s="5">
        <f>CS68*'MASTER SHEET'!D68</f>
        <v>0</v>
      </c>
      <c r="EB68" s="9"/>
    </row>
    <row r="69" spans="1:132" ht="15.75" x14ac:dyDescent="0.25">
      <c r="A69" s="25">
        <f>'MASTER SHEET'!A69</f>
        <v>67</v>
      </c>
      <c r="B69" s="26" t="str">
        <f>'MASTER SHEET'!B69</f>
        <v>BASE HOUSING</v>
      </c>
      <c r="C69" s="27">
        <f>'MASTER SHEET'!C69</f>
        <v>5034683</v>
      </c>
      <c r="D69" s="56">
        <v>4</v>
      </c>
      <c r="E69" s="57">
        <f>' WIP '!F69</f>
        <v>0</v>
      </c>
      <c r="F69" s="58">
        <v>0</v>
      </c>
      <c r="G69" s="59">
        <f t="shared" si="96"/>
        <v>4</v>
      </c>
      <c r="H69" s="57">
        <f>' WIP '!J69</f>
        <v>0</v>
      </c>
      <c r="I69" s="58">
        <v>0</v>
      </c>
      <c r="J69" s="59">
        <f t="shared" si="97"/>
        <v>4</v>
      </c>
      <c r="K69" s="57">
        <f>' WIP '!N69</f>
        <v>0</v>
      </c>
      <c r="L69" s="58"/>
      <c r="M69" s="59">
        <f t="shared" si="98"/>
        <v>4</v>
      </c>
      <c r="N69" s="57">
        <f>' WIP '!R69</f>
        <v>0</v>
      </c>
      <c r="O69" s="58">
        <v>0</v>
      </c>
      <c r="P69" s="59">
        <f t="shared" si="99"/>
        <v>4</v>
      </c>
      <c r="Q69" s="57">
        <f>' WIP '!V69</f>
        <v>0</v>
      </c>
      <c r="R69" s="58">
        <v>0</v>
      </c>
      <c r="S69" s="59">
        <f t="shared" si="100"/>
        <v>4</v>
      </c>
      <c r="T69" s="57">
        <f>' WIP '!Z69</f>
        <v>0</v>
      </c>
      <c r="U69" s="58">
        <v>0</v>
      </c>
      <c r="V69" s="59">
        <f t="shared" si="101"/>
        <v>4</v>
      </c>
      <c r="W69" s="57">
        <f>' WIP '!AD69</f>
        <v>0</v>
      </c>
      <c r="X69" s="58">
        <v>0</v>
      </c>
      <c r="Y69" s="59">
        <f t="shared" si="102"/>
        <v>4</v>
      </c>
      <c r="Z69" s="57">
        <f>' WIP '!AH69</f>
        <v>0</v>
      </c>
      <c r="AA69" s="58">
        <v>0</v>
      </c>
      <c r="AB69" s="59">
        <f t="shared" si="103"/>
        <v>4</v>
      </c>
      <c r="AC69" s="57">
        <f>' WIP '!AL69</f>
        <v>0</v>
      </c>
      <c r="AD69" s="58">
        <v>0</v>
      </c>
      <c r="AE69" s="59">
        <f t="shared" si="104"/>
        <v>4</v>
      </c>
      <c r="AF69" s="57">
        <f>' WIP '!AP69</f>
        <v>0</v>
      </c>
      <c r="AG69" s="114">
        <v>0</v>
      </c>
      <c r="AH69" s="59">
        <f t="shared" si="105"/>
        <v>4</v>
      </c>
      <c r="AI69" s="57">
        <f>' WIP '!AT69</f>
        <v>0</v>
      </c>
      <c r="AJ69" s="58">
        <v>0</v>
      </c>
      <c r="AK69" s="59">
        <f t="shared" si="106"/>
        <v>4</v>
      </c>
      <c r="AL69" s="57">
        <f>' WIP '!AX69</f>
        <v>0</v>
      </c>
      <c r="AM69" s="58"/>
      <c r="AN69" s="59">
        <f t="shared" si="107"/>
        <v>4</v>
      </c>
      <c r="AO69" s="57">
        <f>' WIP '!BB69</f>
        <v>0</v>
      </c>
      <c r="AP69" s="58">
        <v>0</v>
      </c>
      <c r="AQ69" s="59">
        <f t="shared" si="108"/>
        <v>4</v>
      </c>
      <c r="AR69" s="57">
        <f>' WIP '!BF69</f>
        <v>0</v>
      </c>
      <c r="AS69" s="58">
        <v>0</v>
      </c>
      <c r="AT69" s="59">
        <f t="shared" si="109"/>
        <v>4</v>
      </c>
      <c r="AU69" s="57">
        <f>' WIP '!BJ69</f>
        <v>0</v>
      </c>
      <c r="AV69" s="58">
        <v>0</v>
      </c>
      <c r="AW69" s="59">
        <f t="shared" si="110"/>
        <v>4</v>
      </c>
      <c r="AX69" s="57">
        <f>' WIP '!BN69</f>
        <v>0</v>
      </c>
      <c r="AY69" s="58">
        <v>0</v>
      </c>
      <c r="AZ69" s="59">
        <f t="shared" si="111"/>
        <v>4</v>
      </c>
      <c r="BA69" s="57">
        <f>' WIP '!BR69</f>
        <v>0</v>
      </c>
      <c r="BB69" s="58">
        <v>0</v>
      </c>
      <c r="BC69" s="59">
        <f t="shared" si="112"/>
        <v>4</v>
      </c>
      <c r="BD69" s="57">
        <f>' WIP '!BV69</f>
        <v>0</v>
      </c>
      <c r="BE69" s="58">
        <v>0</v>
      </c>
      <c r="BF69" s="59">
        <f t="shared" si="113"/>
        <v>4</v>
      </c>
      <c r="BG69" s="57">
        <f>' WIP '!BZ69</f>
        <v>0</v>
      </c>
      <c r="BH69" s="58"/>
      <c r="BI69" s="59">
        <f t="shared" si="114"/>
        <v>4</v>
      </c>
      <c r="BJ69" s="57">
        <f>' WIP '!CD69</f>
        <v>0</v>
      </c>
      <c r="BK69" s="58">
        <v>0</v>
      </c>
      <c r="BL69" s="59">
        <f t="shared" si="115"/>
        <v>4</v>
      </c>
      <c r="BM69" s="57">
        <f>' WIP '!CH69</f>
        <v>0</v>
      </c>
      <c r="BN69" s="58">
        <v>0</v>
      </c>
      <c r="BO69" s="59">
        <f t="shared" si="116"/>
        <v>4</v>
      </c>
      <c r="BP69" s="57">
        <f>' WIP '!CL69</f>
        <v>0</v>
      </c>
      <c r="BQ69" s="58"/>
      <c r="BR69" s="59">
        <f t="shared" si="117"/>
        <v>4</v>
      </c>
      <c r="BS69" s="57">
        <f>' WIP '!CP69</f>
        <v>0</v>
      </c>
      <c r="BT69" s="58">
        <v>0</v>
      </c>
      <c r="BU69" s="59">
        <f t="shared" si="118"/>
        <v>4</v>
      </c>
      <c r="BV69" s="57">
        <f>' WIP '!CT69</f>
        <v>0</v>
      </c>
      <c r="BW69" s="28">
        <v>0</v>
      </c>
      <c r="BX69" s="59">
        <f t="shared" si="119"/>
        <v>4</v>
      </c>
      <c r="BY69" s="57">
        <f>' WIP '!CX69</f>
        <v>0</v>
      </c>
      <c r="BZ69" s="58">
        <v>0</v>
      </c>
      <c r="CA69" s="59">
        <f t="shared" si="120"/>
        <v>4</v>
      </c>
      <c r="CB69" s="57">
        <f>' WIP '!DB69</f>
        <v>0</v>
      </c>
      <c r="CC69" s="58">
        <v>0</v>
      </c>
      <c r="CD69" s="59">
        <f t="shared" si="121"/>
        <v>4</v>
      </c>
      <c r="CE69" s="57">
        <f>' WIP '!DF69</f>
        <v>0</v>
      </c>
      <c r="CF69" s="58">
        <v>0</v>
      </c>
      <c r="CG69" s="59">
        <f t="shared" si="122"/>
        <v>4</v>
      </c>
      <c r="CH69" s="57">
        <f>' WIP '!DJ69</f>
        <v>0</v>
      </c>
      <c r="CI69" s="58">
        <v>0</v>
      </c>
      <c r="CJ69" s="59">
        <f t="shared" si="123"/>
        <v>4</v>
      </c>
      <c r="CK69" s="57">
        <f>' WIP '!DN69</f>
        <v>0</v>
      </c>
      <c r="CL69" s="58">
        <v>0</v>
      </c>
      <c r="CM69" s="59">
        <f t="shared" si="124"/>
        <v>4</v>
      </c>
      <c r="CN69" s="57">
        <f>' WIP '!DR69</f>
        <v>0</v>
      </c>
      <c r="CO69" s="57"/>
      <c r="CP69" s="59">
        <f t="shared" si="125"/>
        <v>4</v>
      </c>
      <c r="CQ69" s="57">
        <f>' WIP '!DV69</f>
        <v>0</v>
      </c>
      <c r="CR69" s="58"/>
      <c r="CS69" s="59">
        <f t="shared" si="126"/>
        <v>4</v>
      </c>
      <c r="CT69" s="31">
        <f t="shared" si="127"/>
        <v>4</v>
      </c>
      <c r="CU69" s="4">
        <f t="shared" si="128"/>
        <v>0</v>
      </c>
      <c r="CV69" s="5">
        <f>D69*'MASTER SHEET'!D69</f>
        <v>159.96</v>
      </c>
      <c r="CW69" s="5">
        <f>G69*'MASTER SHEET'!D69</f>
        <v>159.96</v>
      </c>
      <c r="CX69" s="5">
        <f>J69*'MASTER SHEET'!D69</f>
        <v>159.96</v>
      </c>
      <c r="CY69" s="5">
        <f>M69*'MASTER SHEET'!D69</f>
        <v>159.96</v>
      </c>
      <c r="CZ69" s="5">
        <f>P69*'MASTER SHEET'!D69</f>
        <v>159.96</v>
      </c>
      <c r="DA69" s="5">
        <f>S69*'MASTER SHEET'!D69</f>
        <v>159.96</v>
      </c>
      <c r="DB69" s="5">
        <f>V69*'MASTER SHEET'!D69</f>
        <v>159.96</v>
      </c>
      <c r="DC69" s="5">
        <f>Y69*'MASTER SHEET'!D69</f>
        <v>159.96</v>
      </c>
      <c r="DD69" s="5">
        <f>AB69*'MASTER SHEET'!D69</f>
        <v>159.96</v>
      </c>
      <c r="DE69" s="5">
        <f>AE69*'MASTER SHEET'!D69</f>
        <v>159.96</v>
      </c>
      <c r="DF69" s="5">
        <f>AH69*'MASTER SHEET'!D69</f>
        <v>159.96</v>
      </c>
      <c r="DG69" s="5">
        <f>AK69*'MASTER SHEET'!D69</f>
        <v>159.96</v>
      </c>
      <c r="DH69" s="5">
        <f>AN69*'MASTER SHEET'!D69</f>
        <v>159.96</v>
      </c>
      <c r="DI69" s="5">
        <f>AQ69*'MASTER SHEET'!D69</f>
        <v>159.96</v>
      </c>
      <c r="DJ69" s="5">
        <f>AT69*'MASTER SHEET'!D69</f>
        <v>159.96</v>
      </c>
      <c r="DK69" s="5">
        <f>AW69*'MASTER SHEET'!D69</f>
        <v>159.96</v>
      </c>
      <c r="DL69" s="5">
        <f>AZ69*'MASTER SHEET'!D69</f>
        <v>159.96</v>
      </c>
      <c r="DM69" s="5">
        <f>BC69*'MASTER SHEET'!D69</f>
        <v>159.96</v>
      </c>
      <c r="DN69" s="5">
        <f>BF69*'MASTER SHEET'!D69</f>
        <v>159.96</v>
      </c>
      <c r="DO69" s="5">
        <f>BI69*'MASTER SHEET'!D69</f>
        <v>159.96</v>
      </c>
      <c r="DP69" s="5">
        <f>BL69*'MASTER SHEET'!D69</f>
        <v>159.96</v>
      </c>
      <c r="DQ69" s="5">
        <f>BO69*'MASTER SHEET'!D69</f>
        <v>159.96</v>
      </c>
      <c r="DR69" s="5">
        <f>BR69*'MASTER SHEET'!D69</f>
        <v>159.96</v>
      </c>
      <c r="DS69" s="5">
        <f>BU69*'MASTER SHEET'!D69</f>
        <v>159.96</v>
      </c>
      <c r="DT69" s="5">
        <f>BX69*'MASTER SHEET'!D69</f>
        <v>159.96</v>
      </c>
      <c r="DU69" s="5">
        <f>CA69*'MASTER SHEET'!D69</f>
        <v>159.96</v>
      </c>
      <c r="DV69" s="5">
        <f>CD69*'MASTER SHEET'!D69</f>
        <v>159.96</v>
      </c>
      <c r="DW69" s="5">
        <f>CG69*'MASTER SHEET'!D69</f>
        <v>159.96</v>
      </c>
      <c r="DX69" s="5">
        <f>CJ69*'MASTER SHEET'!D69</f>
        <v>159.96</v>
      </c>
      <c r="DY69" s="5">
        <f>CM69*'MASTER SHEET'!D69</f>
        <v>159.96</v>
      </c>
      <c r="DZ69" s="5">
        <f>CP69*'MASTER SHEET'!D69</f>
        <v>159.96</v>
      </c>
      <c r="EA69" s="5">
        <f>CS69*'MASTER SHEET'!D69</f>
        <v>159.96</v>
      </c>
      <c r="EB69" s="9"/>
    </row>
    <row r="70" spans="1:132" ht="15.75" x14ac:dyDescent="0.25">
      <c r="A70" s="25">
        <f>'MASTER SHEET'!A70</f>
        <v>68</v>
      </c>
      <c r="B70" s="26" t="str">
        <f>'MASTER SHEET'!B70</f>
        <v>SHELL PLASTIC</v>
      </c>
      <c r="C70" s="27">
        <f>'MASTER SHEET'!C70</f>
        <v>5035269</v>
      </c>
      <c r="D70" s="56">
        <v>80</v>
      </c>
      <c r="E70" s="57">
        <f>' WIP '!F70</f>
        <v>0</v>
      </c>
      <c r="F70" s="58">
        <v>0</v>
      </c>
      <c r="G70" s="59">
        <f t="shared" si="96"/>
        <v>80</v>
      </c>
      <c r="H70" s="57">
        <f>' WIP '!J70</f>
        <v>0</v>
      </c>
      <c r="I70" s="58">
        <v>0</v>
      </c>
      <c r="J70" s="59">
        <f t="shared" si="97"/>
        <v>80</v>
      </c>
      <c r="K70" s="57">
        <f>' WIP '!N70</f>
        <v>0</v>
      </c>
      <c r="L70" s="58"/>
      <c r="M70" s="59">
        <f t="shared" si="98"/>
        <v>80</v>
      </c>
      <c r="N70" s="57">
        <f>' WIP '!R70</f>
        <v>0</v>
      </c>
      <c r="O70" s="58">
        <v>20</v>
      </c>
      <c r="P70" s="59">
        <f t="shared" si="99"/>
        <v>60</v>
      </c>
      <c r="Q70" s="57">
        <f>' WIP '!V70</f>
        <v>0</v>
      </c>
      <c r="R70" s="58">
        <v>0</v>
      </c>
      <c r="S70" s="59">
        <f t="shared" si="100"/>
        <v>60</v>
      </c>
      <c r="T70" s="57">
        <f>' WIP '!Z70</f>
        <v>55</v>
      </c>
      <c r="U70" s="58">
        <v>0</v>
      </c>
      <c r="V70" s="59">
        <f t="shared" si="101"/>
        <v>115</v>
      </c>
      <c r="W70" s="57">
        <f>' WIP '!AD70</f>
        <v>0</v>
      </c>
      <c r="X70" s="58">
        <v>0</v>
      </c>
      <c r="Y70" s="59">
        <f t="shared" si="102"/>
        <v>115</v>
      </c>
      <c r="Z70" s="57">
        <f>' WIP '!AH70</f>
        <v>0</v>
      </c>
      <c r="AA70" s="58">
        <v>0</v>
      </c>
      <c r="AB70" s="59">
        <f t="shared" si="103"/>
        <v>115</v>
      </c>
      <c r="AC70" s="57">
        <f>' WIP '!AL70</f>
        <v>0</v>
      </c>
      <c r="AD70" s="58">
        <v>0</v>
      </c>
      <c r="AE70" s="59">
        <f t="shared" si="104"/>
        <v>115</v>
      </c>
      <c r="AF70" s="57">
        <f>' WIP '!AP70</f>
        <v>0</v>
      </c>
      <c r="AG70" s="114">
        <v>0</v>
      </c>
      <c r="AH70" s="59">
        <f t="shared" si="105"/>
        <v>115</v>
      </c>
      <c r="AI70" s="57">
        <f>' WIP '!AT70</f>
        <v>0</v>
      </c>
      <c r="AJ70" s="58">
        <v>0</v>
      </c>
      <c r="AK70" s="59">
        <f t="shared" si="106"/>
        <v>115</v>
      </c>
      <c r="AL70" s="57">
        <f>' WIP '!AX70</f>
        <v>0</v>
      </c>
      <c r="AM70" s="58"/>
      <c r="AN70" s="59">
        <f t="shared" si="107"/>
        <v>115</v>
      </c>
      <c r="AO70" s="57">
        <f>' WIP '!BB70</f>
        <v>0</v>
      </c>
      <c r="AP70" s="58">
        <v>0</v>
      </c>
      <c r="AQ70" s="59">
        <f t="shared" si="108"/>
        <v>115</v>
      </c>
      <c r="AR70" s="57">
        <f>' WIP '!BF70</f>
        <v>0</v>
      </c>
      <c r="AS70" s="58">
        <v>0</v>
      </c>
      <c r="AT70" s="59">
        <f t="shared" si="109"/>
        <v>115</v>
      </c>
      <c r="AU70" s="57">
        <f>' WIP '!BJ70</f>
        <v>0</v>
      </c>
      <c r="AV70" s="58">
        <v>0</v>
      </c>
      <c r="AW70" s="59">
        <f t="shared" si="110"/>
        <v>115</v>
      </c>
      <c r="AX70" s="57">
        <f>' WIP '!BN70</f>
        <v>0</v>
      </c>
      <c r="AY70" s="58">
        <v>0</v>
      </c>
      <c r="AZ70" s="59">
        <f t="shared" si="111"/>
        <v>115</v>
      </c>
      <c r="BA70" s="57">
        <f>' WIP '!BR70</f>
        <v>0</v>
      </c>
      <c r="BB70" s="58">
        <v>115</v>
      </c>
      <c r="BC70" s="59">
        <f t="shared" si="112"/>
        <v>0</v>
      </c>
      <c r="BD70" s="57">
        <f>' WIP '!BV70</f>
        <v>0</v>
      </c>
      <c r="BE70" s="58">
        <v>0</v>
      </c>
      <c r="BF70" s="59">
        <f t="shared" si="113"/>
        <v>0</v>
      </c>
      <c r="BG70" s="57">
        <f>' WIP '!BZ70</f>
        <v>0</v>
      </c>
      <c r="BH70" s="58"/>
      <c r="BI70" s="59">
        <f t="shared" si="114"/>
        <v>0</v>
      </c>
      <c r="BJ70" s="57">
        <f>' WIP '!CD70</f>
        <v>0</v>
      </c>
      <c r="BK70" s="58">
        <v>0</v>
      </c>
      <c r="BL70" s="59">
        <f t="shared" si="115"/>
        <v>0</v>
      </c>
      <c r="BM70" s="57">
        <f>' WIP '!CH70</f>
        <v>0</v>
      </c>
      <c r="BN70" s="58">
        <v>0</v>
      </c>
      <c r="BO70" s="59">
        <f t="shared" si="116"/>
        <v>0</v>
      </c>
      <c r="BP70" s="57">
        <f>' WIP '!CL70</f>
        <v>0</v>
      </c>
      <c r="BQ70" s="58"/>
      <c r="BR70" s="59">
        <f t="shared" si="117"/>
        <v>0</v>
      </c>
      <c r="BS70" s="57">
        <f>' WIP '!CP70</f>
        <v>0</v>
      </c>
      <c r="BT70" s="58">
        <v>0</v>
      </c>
      <c r="BU70" s="59">
        <f t="shared" si="118"/>
        <v>0</v>
      </c>
      <c r="BV70" s="57">
        <f>' WIP '!CT70</f>
        <v>0</v>
      </c>
      <c r="BW70" s="28">
        <v>0</v>
      </c>
      <c r="BX70" s="59">
        <f t="shared" si="119"/>
        <v>0</v>
      </c>
      <c r="BY70" s="57">
        <f>' WIP '!CX70</f>
        <v>0</v>
      </c>
      <c r="BZ70" s="58">
        <v>0</v>
      </c>
      <c r="CA70" s="59">
        <f t="shared" si="120"/>
        <v>0</v>
      </c>
      <c r="CB70" s="57">
        <f>' WIP '!DB70</f>
        <v>0</v>
      </c>
      <c r="CC70" s="58">
        <v>0</v>
      </c>
      <c r="CD70" s="59">
        <f t="shared" si="121"/>
        <v>0</v>
      </c>
      <c r="CE70" s="57">
        <f>' WIP '!DF70</f>
        <v>0</v>
      </c>
      <c r="CF70" s="58">
        <v>0</v>
      </c>
      <c r="CG70" s="59">
        <f t="shared" si="122"/>
        <v>0</v>
      </c>
      <c r="CH70" s="57">
        <f>' WIP '!DJ70</f>
        <v>0</v>
      </c>
      <c r="CI70" s="58">
        <v>0</v>
      </c>
      <c r="CJ70" s="59">
        <f t="shared" si="123"/>
        <v>0</v>
      </c>
      <c r="CK70" s="57">
        <f>' WIP '!DN70</f>
        <v>0</v>
      </c>
      <c r="CL70" s="58">
        <v>0</v>
      </c>
      <c r="CM70" s="59">
        <f t="shared" si="124"/>
        <v>0</v>
      </c>
      <c r="CN70" s="57">
        <f>' WIP '!DR70</f>
        <v>0</v>
      </c>
      <c r="CO70" s="57"/>
      <c r="CP70" s="59">
        <f t="shared" si="125"/>
        <v>0</v>
      </c>
      <c r="CQ70" s="57">
        <f>' WIP '!DV70</f>
        <v>0</v>
      </c>
      <c r="CR70" s="58"/>
      <c r="CS70" s="59">
        <f t="shared" si="126"/>
        <v>0</v>
      </c>
      <c r="CT70" s="31">
        <f t="shared" si="127"/>
        <v>135</v>
      </c>
      <c r="CU70" s="4">
        <f t="shared" si="128"/>
        <v>135</v>
      </c>
      <c r="CV70" s="5">
        <f>D70*'MASTER SHEET'!D70</f>
        <v>19432</v>
      </c>
      <c r="CW70" s="5">
        <f>G70*'MASTER SHEET'!D70</f>
        <v>19432</v>
      </c>
      <c r="CX70" s="5">
        <f>J70*'MASTER SHEET'!D70</f>
        <v>19432</v>
      </c>
      <c r="CY70" s="5">
        <f>M70*'MASTER SHEET'!D70</f>
        <v>19432</v>
      </c>
      <c r="CZ70" s="5">
        <f>P70*'MASTER SHEET'!D70</f>
        <v>14574</v>
      </c>
      <c r="DA70" s="5">
        <f>S70*'MASTER SHEET'!D70</f>
        <v>14574</v>
      </c>
      <c r="DB70" s="5">
        <f>V70*'MASTER SHEET'!D70</f>
        <v>27933.5</v>
      </c>
      <c r="DC70" s="5">
        <f>Y70*'MASTER SHEET'!D70</f>
        <v>27933.5</v>
      </c>
      <c r="DD70" s="5">
        <f>AB70*'MASTER SHEET'!D70</f>
        <v>27933.5</v>
      </c>
      <c r="DE70" s="5">
        <f>AE70*'MASTER SHEET'!D70</f>
        <v>27933.5</v>
      </c>
      <c r="DF70" s="5">
        <f>AH70*'MASTER SHEET'!D70</f>
        <v>27933.5</v>
      </c>
      <c r="DG70" s="5">
        <f>AK70*'MASTER SHEET'!D70</f>
        <v>27933.5</v>
      </c>
      <c r="DH70" s="5">
        <f>AN70*'MASTER SHEET'!D70</f>
        <v>27933.5</v>
      </c>
      <c r="DI70" s="5">
        <f>AQ70*'MASTER SHEET'!D70</f>
        <v>27933.5</v>
      </c>
      <c r="DJ70" s="5">
        <f>AT70*'MASTER SHEET'!D70</f>
        <v>27933.5</v>
      </c>
      <c r="DK70" s="5">
        <f>AW70*'MASTER SHEET'!D70</f>
        <v>27933.5</v>
      </c>
      <c r="DL70" s="5">
        <f>AZ70*'MASTER SHEET'!D70</f>
        <v>27933.5</v>
      </c>
      <c r="DM70" s="5">
        <f>BC70*'MASTER SHEET'!D70</f>
        <v>0</v>
      </c>
      <c r="DN70" s="5">
        <f>BF70*'MASTER SHEET'!D70</f>
        <v>0</v>
      </c>
      <c r="DO70" s="5">
        <f>BI70*'MASTER SHEET'!D70</f>
        <v>0</v>
      </c>
      <c r="DP70" s="5">
        <f>BL70*'MASTER SHEET'!D70</f>
        <v>0</v>
      </c>
      <c r="DQ70" s="5">
        <f>BO70*'MASTER SHEET'!D70</f>
        <v>0</v>
      </c>
      <c r="DR70" s="5">
        <f>BR70*'MASTER SHEET'!D70</f>
        <v>0</v>
      </c>
      <c r="DS70" s="5">
        <f>BU70*'MASTER SHEET'!D70</f>
        <v>0</v>
      </c>
      <c r="DT70" s="5">
        <f>BX70*'MASTER SHEET'!D70</f>
        <v>0</v>
      </c>
      <c r="DU70" s="5">
        <f>CA70*'MASTER SHEET'!D70</f>
        <v>0</v>
      </c>
      <c r="DV70" s="5">
        <f>CD70*'MASTER SHEET'!D70</f>
        <v>0</v>
      </c>
      <c r="DW70" s="5">
        <f>CG70*'MASTER SHEET'!D70</f>
        <v>0</v>
      </c>
      <c r="DX70" s="5">
        <f>CJ70*'MASTER SHEET'!D70</f>
        <v>0</v>
      </c>
      <c r="DY70" s="5">
        <f>CM70*'MASTER SHEET'!D70</f>
        <v>0</v>
      </c>
      <c r="DZ70" s="5">
        <f>CP70*'MASTER SHEET'!D70</f>
        <v>0</v>
      </c>
      <c r="EA70" s="5">
        <f>CS70*'MASTER SHEET'!D70</f>
        <v>0</v>
      </c>
      <c r="EB70" s="9"/>
    </row>
    <row r="71" spans="1:132" ht="15.75" x14ac:dyDescent="0.25">
      <c r="A71" s="25">
        <f>'MASTER SHEET'!A71</f>
        <v>69</v>
      </c>
      <c r="B71" s="26" t="str">
        <f>'MASTER SHEET'!B71</f>
        <v>LID, HOUSING CRANKCASE VENTILATION</v>
      </c>
      <c r="C71" s="27">
        <f>'MASTER SHEET'!C71</f>
        <v>5035729</v>
      </c>
      <c r="D71" s="56">
        <v>0</v>
      </c>
      <c r="E71" s="57">
        <f>' WIP '!F71</f>
        <v>0</v>
      </c>
      <c r="F71" s="58">
        <v>0</v>
      </c>
      <c r="G71" s="59">
        <f t="shared" si="96"/>
        <v>0</v>
      </c>
      <c r="H71" s="57">
        <f>' WIP '!J71</f>
        <v>0</v>
      </c>
      <c r="I71" s="58">
        <v>0</v>
      </c>
      <c r="J71" s="59">
        <f t="shared" si="97"/>
        <v>0</v>
      </c>
      <c r="K71" s="57">
        <f>' WIP '!N71</f>
        <v>0</v>
      </c>
      <c r="L71" s="58"/>
      <c r="M71" s="59">
        <f t="shared" si="98"/>
        <v>0</v>
      </c>
      <c r="N71" s="57">
        <f>' WIP '!R71</f>
        <v>0</v>
      </c>
      <c r="O71" s="58">
        <v>0</v>
      </c>
      <c r="P71" s="59">
        <f t="shared" si="99"/>
        <v>0</v>
      </c>
      <c r="Q71" s="57">
        <f>' WIP '!V71</f>
        <v>0</v>
      </c>
      <c r="R71" s="58">
        <v>0</v>
      </c>
      <c r="S71" s="59">
        <f t="shared" si="100"/>
        <v>0</v>
      </c>
      <c r="T71" s="57">
        <f>' WIP '!Z71</f>
        <v>0</v>
      </c>
      <c r="U71" s="58">
        <v>0</v>
      </c>
      <c r="V71" s="59">
        <f t="shared" si="101"/>
        <v>0</v>
      </c>
      <c r="W71" s="57">
        <f>' WIP '!AD71</f>
        <v>0</v>
      </c>
      <c r="X71" s="58">
        <v>0</v>
      </c>
      <c r="Y71" s="59">
        <f t="shared" si="102"/>
        <v>0</v>
      </c>
      <c r="Z71" s="57">
        <f>' WIP '!AH71</f>
        <v>0</v>
      </c>
      <c r="AA71" s="58">
        <v>0</v>
      </c>
      <c r="AB71" s="59">
        <f t="shared" si="103"/>
        <v>0</v>
      </c>
      <c r="AC71" s="57">
        <f>' WIP '!AL71</f>
        <v>0</v>
      </c>
      <c r="AD71" s="58">
        <v>0</v>
      </c>
      <c r="AE71" s="59">
        <f t="shared" si="104"/>
        <v>0</v>
      </c>
      <c r="AF71" s="57">
        <f>' WIP '!AP71</f>
        <v>0</v>
      </c>
      <c r="AG71" s="114">
        <v>0</v>
      </c>
      <c r="AH71" s="59">
        <f t="shared" si="105"/>
        <v>0</v>
      </c>
      <c r="AI71" s="57">
        <f>' WIP '!AT71</f>
        <v>0</v>
      </c>
      <c r="AJ71" s="58">
        <v>0</v>
      </c>
      <c r="AK71" s="59">
        <f t="shared" si="106"/>
        <v>0</v>
      </c>
      <c r="AL71" s="57">
        <f>' WIP '!AX71</f>
        <v>0</v>
      </c>
      <c r="AM71" s="58"/>
      <c r="AN71" s="59">
        <f t="shared" si="107"/>
        <v>0</v>
      </c>
      <c r="AO71" s="57">
        <f>' WIP '!BB71</f>
        <v>0</v>
      </c>
      <c r="AP71" s="58">
        <v>0</v>
      </c>
      <c r="AQ71" s="59">
        <f t="shared" si="108"/>
        <v>0</v>
      </c>
      <c r="AR71" s="57">
        <f>' WIP '!BF71</f>
        <v>0</v>
      </c>
      <c r="AS71" s="58">
        <v>0</v>
      </c>
      <c r="AT71" s="59">
        <f t="shared" si="109"/>
        <v>0</v>
      </c>
      <c r="AU71" s="57">
        <f>' WIP '!BJ71</f>
        <v>0</v>
      </c>
      <c r="AV71" s="58">
        <v>0</v>
      </c>
      <c r="AW71" s="59">
        <f t="shared" si="110"/>
        <v>0</v>
      </c>
      <c r="AX71" s="57">
        <f>' WIP '!BN71</f>
        <v>0</v>
      </c>
      <c r="AY71" s="58">
        <v>0</v>
      </c>
      <c r="AZ71" s="59">
        <f t="shared" si="111"/>
        <v>0</v>
      </c>
      <c r="BA71" s="57">
        <f>' WIP '!BR71</f>
        <v>0</v>
      </c>
      <c r="BB71" s="58">
        <v>0</v>
      </c>
      <c r="BC71" s="59">
        <f t="shared" si="112"/>
        <v>0</v>
      </c>
      <c r="BD71" s="57">
        <f>' WIP '!BV71</f>
        <v>0</v>
      </c>
      <c r="BE71" s="58">
        <v>0</v>
      </c>
      <c r="BF71" s="59">
        <f t="shared" si="113"/>
        <v>0</v>
      </c>
      <c r="BG71" s="57">
        <f>' WIP '!BZ71</f>
        <v>0</v>
      </c>
      <c r="BH71" s="58"/>
      <c r="BI71" s="59">
        <f t="shared" si="114"/>
        <v>0</v>
      </c>
      <c r="BJ71" s="57">
        <f>' WIP '!CD71</f>
        <v>0</v>
      </c>
      <c r="BK71" s="58">
        <v>0</v>
      </c>
      <c r="BL71" s="59">
        <f t="shared" si="115"/>
        <v>0</v>
      </c>
      <c r="BM71" s="57">
        <f>' WIP '!CH71</f>
        <v>0</v>
      </c>
      <c r="BN71" s="58">
        <v>0</v>
      </c>
      <c r="BO71" s="59">
        <f t="shared" si="116"/>
        <v>0</v>
      </c>
      <c r="BP71" s="57">
        <f>' WIP '!CL71</f>
        <v>0</v>
      </c>
      <c r="BQ71" s="58"/>
      <c r="BR71" s="59">
        <f t="shared" si="117"/>
        <v>0</v>
      </c>
      <c r="BS71" s="57">
        <f>' WIP '!CP71</f>
        <v>0</v>
      </c>
      <c r="BT71" s="58">
        <v>0</v>
      </c>
      <c r="BU71" s="59">
        <f t="shared" si="118"/>
        <v>0</v>
      </c>
      <c r="BV71" s="57">
        <f>' WIP '!CT71</f>
        <v>0</v>
      </c>
      <c r="BW71" s="28">
        <v>0</v>
      </c>
      <c r="BX71" s="59">
        <f t="shared" si="119"/>
        <v>0</v>
      </c>
      <c r="BY71" s="57">
        <f>' WIP '!CX71</f>
        <v>0</v>
      </c>
      <c r="BZ71" s="58">
        <v>0</v>
      </c>
      <c r="CA71" s="59">
        <f t="shared" si="120"/>
        <v>0</v>
      </c>
      <c r="CB71" s="57">
        <f>' WIP '!DB71</f>
        <v>0</v>
      </c>
      <c r="CC71" s="58">
        <v>0</v>
      </c>
      <c r="CD71" s="59">
        <f t="shared" si="121"/>
        <v>0</v>
      </c>
      <c r="CE71" s="57">
        <f>' WIP '!DF71</f>
        <v>0</v>
      </c>
      <c r="CF71" s="58">
        <v>0</v>
      </c>
      <c r="CG71" s="59">
        <f t="shared" si="122"/>
        <v>0</v>
      </c>
      <c r="CH71" s="57">
        <f>' WIP '!DJ71</f>
        <v>0</v>
      </c>
      <c r="CI71" s="58">
        <v>0</v>
      </c>
      <c r="CJ71" s="59">
        <f t="shared" si="123"/>
        <v>0</v>
      </c>
      <c r="CK71" s="57">
        <f>' WIP '!DN71</f>
        <v>0</v>
      </c>
      <c r="CL71" s="58">
        <v>0</v>
      </c>
      <c r="CM71" s="59">
        <f t="shared" si="124"/>
        <v>0</v>
      </c>
      <c r="CN71" s="57">
        <f>' WIP '!DR71</f>
        <v>0</v>
      </c>
      <c r="CO71" s="57"/>
      <c r="CP71" s="59">
        <f t="shared" si="125"/>
        <v>0</v>
      </c>
      <c r="CQ71" s="57">
        <f>' WIP '!DV71</f>
        <v>0</v>
      </c>
      <c r="CR71" s="58"/>
      <c r="CS71" s="59">
        <f t="shared" si="126"/>
        <v>0</v>
      </c>
      <c r="CT71" s="31">
        <f t="shared" si="127"/>
        <v>0</v>
      </c>
      <c r="CU71" s="4">
        <f t="shared" si="128"/>
        <v>0</v>
      </c>
      <c r="CV71" s="5">
        <f>D71*'MASTER SHEET'!D71</f>
        <v>0</v>
      </c>
      <c r="CW71" s="5">
        <f>G71*'MASTER SHEET'!D71</f>
        <v>0</v>
      </c>
      <c r="CX71" s="5">
        <f>J71*'MASTER SHEET'!D71</f>
        <v>0</v>
      </c>
      <c r="CY71" s="5">
        <f>M71*'MASTER SHEET'!D71</f>
        <v>0</v>
      </c>
      <c r="CZ71" s="5">
        <f>P71*'MASTER SHEET'!D71</f>
        <v>0</v>
      </c>
      <c r="DA71" s="5">
        <f>S71*'MASTER SHEET'!D71</f>
        <v>0</v>
      </c>
      <c r="DB71" s="5">
        <f>V71*'MASTER SHEET'!D71</f>
        <v>0</v>
      </c>
      <c r="DC71" s="5">
        <f>Y71*'MASTER SHEET'!D71</f>
        <v>0</v>
      </c>
      <c r="DD71" s="5">
        <f>AB71*'MASTER SHEET'!D71</f>
        <v>0</v>
      </c>
      <c r="DE71" s="5">
        <f>AE71*'MASTER SHEET'!D71</f>
        <v>0</v>
      </c>
      <c r="DF71" s="5">
        <f>AH71*'MASTER SHEET'!D71</f>
        <v>0</v>
      </c>
      <c r="DG71" s="5">
        <f>AK71*'MASTER SHEET'!D71</f>
        <v>0</v>
      </c>
      <c r="DH71" s="5">
        <f>AN71*'MASTER SHEET'!D71</f>
        <v>0</v>
      </c>
      <c r="DI71" s="5">
        <f>AQ71*'MASTER SHEET'!D71</f>
        <v>0</v>
      </c>
      <c r="DJ71" s="5">
        <f>AT71*'MASTER SHEET'!D71</f>
        <v>0</v>
      </c>
      <c r="DK71" s="5">
        <f>AW71*'MASTER SHEET'!D71</f>
        <v>0</v>
      </c>
      <c r="DL71" s="5">
        <f>AZ71*'MASTER SHEET'!D71</f>
        <v>0</v>
      </c>
      <c r="DM71" s="5">
        <f>BC71*'MASTER SHEET'!D71</f>
        <v>0</v>
      </c>
      <c r="DN71" s="5">
        <f>BF71*'MASTER SHEET'!D71</f>
        <v>0</v>
      </c>
      <c r="DO71" s="5">
        <f>BI71*'MASTER SHEET'!D71</f>
        <v>0</v>
      </c>
      <c r="DP71" s="5">
        <f>BL71*'MASTER SHEET'!D71</f>
        <v>0</v>
      </c>
      <c r="DQ71" s="5">
        <f>BO71*'MASTER SHEET'!D71</f>
        <v>0</v>
      </c>
      <c r="DR71" s="5">
        <f>BR71*'MASTER SHEET'!D71</f>
        <v>0</v>
      </c>
      <c r="DS71" s="5">
        <f>BU71*'MASTER SHEET'!D71</f>
        <v>0</v>
      </c>
      <c r="DT71" s="5">
        <f>BX71*'MASTER SHEET'!D71</f>
        <v>0</v>
      </c>
      <c r="DU71" s="5">
        <f>CA71*'MASTER SHEET'!D71</f>
        <v>0</v>
      </c>
      <c r="DV71" s="5">
        <f>CD71*'MASTER SHEET'!D71</f>
        <v>0</v>
      </c>
      <c r="DW71" s="5">
        <f>CG71*'MASTER SHEET'!D71</f>
        <v>0</v>
      </c>
      <c r="DX71" s="5">
        <f>CJ71*'MASTER SHEET'!D71</f>
        <v>0</v>
      </c>
      <c r="DY71" s="5">
        <f>CM71*'MASTER SHEET'!D71</f>
        <v>0</v>
      </c>
      <c r="DZ71" s="5">
        <f>CP71*'MASTER SHEET'!D71</f>
        <v>0</v>
      </c>
      <c r="EA71" s="5">
        <f>CS71*'MASTER SHEET'!D71</f>
        <v>0</v>
      </c>
      <c r="EB71" s="9"/>
    </row>
    <row r="72" spans="1:132" ht="15.75" x14ac:dyDescent="0.25">
      <c r="A72" s="25">
        <f>'MASTER SHEET'!A72</f>
        <v>70</v>
      </c>
      <c r="B72" s="26" t="str">
        <f>'MASTER SHEET'!B72</f>
        <v>HYDROPHOBIC SCREEN</v>
      </c>
      <c r="C72" s="27">
        <f>'MASTER SHEET'!C72</f>
        <v>5037987</v>
      </c>
      <c r="D72" s="56">
        <v>300</v>
      </c>
      <c r="E72" s="57">
        <f>' WIP '!F72</f>
        <v>0</v>
      </c>
      <c r="F72" s="58">
        <v>0</v>
      </c>
      <c r="G72" s="59">
        <f t="shared" si="96"/>
        <v>300</v>
      </c>
      <c r="H72" s="57">
        <f>' WIP '!J72</f>
        <v>0</v>
      </c>
      <c r="I72" s="58">
        <v>0</v>
      </c>
      <c r="J72" s="59">
        <f t="shared" si="97"/>
        <v>300</v>
      </c>
      <c r="K72" s="57">
        <f>' WIP '!N72</f>
        <v>0</v>
      </c>
      <c r="L72" s="58"/>
      <c r="M72" s="59">
        <f t="shared" si="98"/>
        <v>300</v>
      </c>
      <c r="N72" s="57">
        <f>' WIP '!R72</f>
        <v>77</v>
      </c>
      <c r="O72" s="58">
        <v>300</v>
      </c>
      <c r="P72" s="59">
        <f t="shared" si="99"/>
        <v>77</v>
      </c>
      <c r="Q72" s="57">
        <f>' WIP '!V72</f>
        <v>0</v>
      </c>
      <c r="R72" s="58">
        <v>77</v>
      </c>
      <c r="S72" s="59">
        <f t="shared" si="100"/>
        <v>0</v>
      </c>
      <c r="T72" s="57">
        <f>' WIP '!Z72</f>
        <v>0</v>
      </c>
      <c r="U72" s="58">
        <v>0</v>
      </c>
      <c r="V72" s="59">
        <f t="shared" si="101"/>
        <v>0</v>
      </c>
      <c r="W72" s="57">
        <f>' WIP '!AD72</f>
        <v>0</v>
      </c>
      <c r="X72" s="58">
        <v>0</v>
      </c>
      <c r="Y72" s="59">
        <f t="shared" si="102"/>
        <v>0</v>
      </c>
      <c r="Z72" s="57">
        <f>' WIP '!AH72</f>
        <v>0</v>
      </c>
      <c r="AA72" s="58">
        <v>0</v>
      </c>
      <c r="AB72" s="59">
        <f t="shared" si="103"/>
        <v>0</v>
      </c>
      <c r="AC72" s="57">
        <f>' WIP '!AL72</f>
        <v>0</v>
      </c>
      <c r="AD72" s="58">
        <v>0</v>
      </c>
      <c r="AE72" s="59">
        <f t="shared" si="104"/>
        <v>0</v>
      </c>
      <c r="AF72" s="57">
        <f>' WIP '!AP72</f>
        <v>0</v>
      </c>
      <c r="AG72" s="114">
        <v>0</v>
      </c>
      <c r="AH72" s="59">
        <f t="shared" si="105"/>
        <v>0</v>
      </c>
      <c r="AI72" s="57">
        <f>' WIP '!AT72</f>
        <v>0</v>
      </c>
      <c r="AJ72" s="58">
        <v>0</v>
      </c>
      <c r="AK72" s="59">
        <f t="shared" si="106"/>
        <v>0</v>
      </c>
      <c r="AL72" s="57">
        <f>' WIP '!AX72</f>
        <v>0</v>
      </c>
      <c r="AM72" s="58"/>
      <c r="AN72" s="59">
        <f t="shared" si="107"/>
        <v>0</v>
      </c>
      <c r="AO72" s="57">
        <f>' WIP '!BB72</f>
        <v>0</v>
      </c>
      <c r="AP72" s="58">
        <v>0</v>
      </c>
      <c r="AQ72" s="59">
        <f t="shared" si="108"/>
        <v>0</v>
      </c>
      <c r="AR72" s="57">
        <f>' WIP '!BF72</f>
        <v>0</v>
      </c>
      <c r="AS72" s="58">
        <v>0</v>
      </c>
      <c r="AT72" s="59">
        <f t="shared" si="109"/>
        <v>0</v>
      </c>
      <c r="AU72" s="57">
        <f>' WIP '!BJ72</f>
        <v>0</v>
      </c>
      <c r="AV72" s="58">
        <v>0</v>
      </c>
      <c r="AW72" s="59">
        <f t="shared" si="110"/>
        <v>0</v>
      </c>
      <c r="AX72" s="57">
        <f>' WIP '!BN72</f>
        <v>0</v>
      </c>
      <c r="AY72" s="58">
        <v>0</v>
      </c>
      <c r="AZ72" s="59">
        <f t="shared" si="111"/>
        <v>0</v>
      </c>
      <c r="BA72" s="57">
        <f>' WIP '!BR72</f>
        <v>0</v>
      </c>
      <c r="BB72" s="58">
        <v>0</v>
      </c>
      <c r="BC72" s="59">
        <f t="shared" si="112"/>
        <v>0</v>
      </c>
      <c r="BD72" s="57">
        <f>' WIP '!BV72</f>
        <v>0</v>
      </c>
      <c r="BE72" s="58">
        <v>0</v>
      </c>
      <c r="BF72" s="59">
        <f t="shared" si="113"/>
        <v>0</v>
      </c>
      <c r="BG72" s="57">
        <f>' WIP '!BZ72</f>
        <v>0</v>
      </c>
      <c r="BH72" s="58"/>
      <c r="BI72" s="59">
        <f t="shared" si="114"/>
        <v>0</v>
      </c>
      <c r="BJ72" s="57">
        <f>' WIP '!CD72</f>
        <v>0</v>
      </c>
      <c r="BK72" s="58">
        <v>0</v>
      </c>
      <c r="BL72" s="59">
        <f t="shared" si="115"/>
        <v>0</v>
      </c>
      <c r="BM72" s="57">
        <f>' WIP '!CH72</f>
        <v>0</v>
      </c>
      <c r="BN72" s="58">
        <v>0</v>
      </c>
      <c r="BO72" s="59">
        <f t="shared" si="116"/>
        <v>0</v>
      </c>
      <c r="BP72" s="57">
        <f>' WIP '!CL72</f>
        <v>0</v>
      </c>
      <c r="BQ72" s="58"/>
      <c r="BR72" s="59">
        <f t="shared" si="117"/>
        <v>0</v>
      </c>
      <c r="BS72" s="57">
        <f>' WIP '!CP72</f>
        <v>0</v>
      </c>
      <c r="BT72" s="58">
        <v>0</v>
      </c>
      <c r="BU72" s="59">
        <f t="shared" si="118"/>
        <v>0</v>
      </c>
      <c r="BV72" s="57">
        <f>' WIP '!CT72</f>
        <v>0</v>
      </c>
      <c r="BW72" s="28">
        <v>0</v>
      </c>
      <c r="BX72" s="59">
        <f t="shared" si="119"/>
        <v>0</v>
      </c>
      <c r="BY72" s="57">
        <f>' WIP '!CX72</f>
        <v>0</v>
      </c>
      <c r="BZ72" s="58">
        <v>0</v>
      </c>
      <c r="CA72" s="59">
        <f t="shared" si="120"/>
        <v>0</v>
      </c>
      <c r="CB72" s="57">
        <f>' WIP '!DB72</f>
        <v>0</v>
      </c>
      <c r="CC72" s="58">
        <v>0</v>
      </c>
      <c r="CD72" s="59">
        <f t="shared" si="121"/>
        <v>0</v>
      </c>
      <c r="CE72" s="57">
        <f>' WIP '!DF72</f>
        <v>0</v>
      </c>
      <c r="CF72" s="58">
        <v>0</v>
      </c>
      <c r="CG72" s="59">
        <f t="shared" si="122"/>
        <v>0</v>
      </c>
      <c r="CH72" s="57">
        <f>' WIP '!DJ72</f>
        <v>300</v>
      </c>
      <c r="CI72" s="58">
        <v>300</v>
      </c>
      <c r="CJ72" s="59">
        <f t="shared" si="123"/>
        <v>0</v>
      </c>
      <c r="CK72" s="57">
        <f>' WIP '!DN72</f>
        <v>496</v>
      </c>
      <c r="CL72" s="58">
        <v>0</v>
      </c>
      <c r="CM72" s="59">
        <f t="shared" si="124"/>
        <v>496</v>
      </c>
      <c r="CN72" s="57">
        <f>' WIP '!DR72</f>
        <v>0</v>
      </c>
      <c r="CO72" s="57"/>
      <c r="CP72" s="59">
        <f t="shared" si="125"/>
        <v>496</v>
      </c>
      <c r="CQ72" s="57">
        <f>' WIP '!DV72</f>
        <v>0</v>
      </c>
      <c r="CR72" s="58"/>
      <c r="CS72" s="59">
        <f t="shared" si="126"/>
        <v>496</v>
      </c>
      <c r="CT72" s="31">
        <f t="shared" si="127"/>
        <v>1173</v>
      </c>
      <c r="CU72" s="4">
        <f t="shared" si="128"/>
        <v>677</v>
      </c>
      <c r="CV72" s="5">
        <f>D72*'MASTER SHEET'!D72</f>
        <v>9714</v>
      </c>
      <c r="CW72" s="5">
        <f>G72*'MASTER SHEET'!D72</f>
        <v>9714</v>
      </c>
      <c r="CX72" s="5">
        <f>J72*'MASTER SHEET'!D72</f>
        <v>9714</v>
      </c>
      <c r="CY72" s="5">
        <f>M72*'MASTER SHEET'!D72</f>
        <v>9714</v>
      </c>
      <c r="CZ72" s="5">
        <f>P72*'MASTER SHEET'!D72</f>
        <v>2493.2600000000002</v>
      </c>
      <c r="DA72" s="5">
        <f>S72*'MASTER SHEET'!D72</f>
        <v>0</v>
      </c>
      <c r="DB72" s="5">
        <f>V72*'MASTER SHEET'!D72</f>
        <v>0</v>
      </c>
      <c r="DC72" s="5">
        <f>Y72*'MASTER SHEET'!D72</f>
        <v>0</v>
      </c>
      <c r="DD72" s="5">
        <f>AB72*'MASTER SHEET'!D72</f>
        <v>0</v>
      </c>
      <c r="DE72" s="5">
        <f>AE72*'MASTER SHEET'!D72</f>
        <v>0</v>
      </c>
      <c r="DF72" s="5">
        <f>AH72*'MASTER SHEET'!D72</f>
        <v>0</v>
      </c>
      <c r="DG72" s="5">
        <f>AK72*'MASTER SHEET'!D72</f>
        <v>0</v>
      </c>
      <c r="DH72" s="5">
        <f>AN72*'MASTER SHEET'!D72</f>
        <v>0</v>
      </c>
      <c r="DI72" s="5">
        <f>AQ72*'MASTER SHEET'!D72</f>
        <v>0</v>
      </c>
      <c r="DJ72" s="5">
        <f>AT72*'MASTER SHEET'!D72</f>
        <v>0</v>
      </c>
      <c r="DK72" s="5">
        <f>AW72*'MASTER SHEET'!D72</f>
        <v>0</v>
      </c>
      <c r="DL72" s="5">
        <f>AZ72*'MASTER SHEET'!D72</f>
        <v>0</v>
      </c>
      <c r="DM72" s="5">
        <f>BC72*'MASTER SHEET'!D72</f>
        <v>0</v>
      </c>
      <c r="DN72" s="5">
        <f>BF72*'MASTER SHEET'!D72</f>
        <v>0</v>
      </c>
      <c r="DO72" s="5">
        <f>BI72*'MASTER SHEET'!D72</f>
        <v>0</v>
      </c>
      <c r="DP72" s="5">
        <f>BL72*'MASTER SHEET'!D72</f>
        <v>0</v>
      </c>
      <c r="DQ72" s="5">
        <f>BO72*'MASTER SHEET'!D72</f>
        <v>0</v>
      </c>
      <c r="DR72" s="5">
        <f>BR72*'MASTER SHEET'!D72</f>
        <v>0</v>
      </c>
      <c r="DS72" s="5">
        <f>BU72*'MASTER SHEET'!D72</f>
        <v>0</v>
      </c>
      <c r="DT72" s="5">
        <f>BX72*'MASTER SHEET'!D72</f>
        <v>0</v>
      </c>
      <c r="DU72" s="5">
        <f>CA72*'MASTER SHEET'!D72</f>
        <v>0</v>
      </c>
      <c r="DV72" s="5">
        <f>CD72*'MASTER SHEET'!D72</f>
        <v>0</v>
      </c>
      <c r="DW72" s="5">
        <f>CG72*'MASTER SHEET'!D72</f>
        <v>0</v>
      </c>
      <c r="DX72" s="5">
        <f>CJ72*'MASTER SHEET'!D72</f>
        <v>0</v>
      </c>
      <c r="DY72" s="5">
        <f>CM72*'MASTER SHEET'!D72</f>
        <v>16060.480000000001</v>
      </c>
      <c r="DZ72" s="5">
        <f>CP72*'MASTER SHEET'!D72</f>
        <v>16060.480000000001</v>
      </c>
      <c r="EA72" s="5">
        <f>CS72*'MASTER SHEET'!D72</f>
        <v>16060.480000000001</v>
      </c>
      <c r="EB72" s="143">
        <f>VLOOKUP($C72,'[1]GREEN LEV.₹'!$I$2:$K$54,3,0)</f>
        <v>200</v>
      </c>
    </row>
    <row r="73" spans="1:132" ht="15.75" x14ac:dyDescent="0.25">
      <c r="A73" s="25">
        <f>'MASTER SHEET'!A73</f>
        <v>71</v>
      </c>
      <c r="B73" s="26" t="str">
        <f>'MASTER SHEET'!B73</f>
        <v>CENTERTUBE</v>
      </c>
      <c r="C73" s="27">
        <f>'MASTER SHEET'!C73</f>
        <v>5038940</v>
      </c>
      <c r="D73" s="56">
        <v>1040</v>
      </c>
      <c r="E73" s="57">
        <f>' WIP '!F73</f>
        <v>0</v>
      </c>
      <c r="F73" s="58">
        <v>1040</v>
      </c>
      <c r="G73" s="59">
        <f t="shared" si="96"/>
        <v>0</v>
      </c>
      <c r="H73" s="57">
        <f>' WIP '!J73</f>
        <v>0</v>
      </c>
      <c r="I73" s="58">
        <v>0</v>
      </c>
      <c r="J73" s="59">
        <f t="shared" si="97"/>
        <v>0</v>
      </c>
      <c r="K73" s="57">
        <f>' WIP '!N73</f>
        <v>0</v>
      </c>
      <c r="L73" s="58"/>
      <c r="M73" s="59">
        <f t="shared" si="98"/>
        <v>0</v>
      </c>
      <c r="N73" s="57">
        <f>' WIP '!R73</f>
        <v>0</v>
      </c>
      <c r="O73" s="58">
        <v>0</v>
      </c>
      <c r="P73" s="59">
        <f t="shared" si="99"/>
        <v>0</v>
      </c>
      <c r="Q73" s="57">
        <f>' WIP '!V73</f>
        <v>0</v>
      </c>
      <c r="R73" s="58">
        <v>0</v>
      </c>
      <c r="S73" s="59">
        <f t="shared" si="100"/>
        <v>0</v>
      </c>
      <c r="T73" s="57">
        <f>' WIP '!Z73</f>
        <v>3360</v>
      </c>
      <c r="U73" s="58">
        <v>880</v>
      </c>
      <c r="V73" s="59">
        <f t="shared" si="101"/>
        <v>2480</v>
      </c>
      <c r="W73" s="57">
        <f>' WIP '!AD73</f>
        <v>80</v>
      </c>
      <c r="X73" s="58">
        <v>0</v>
      </c>
      <c r="Y73" s="59">
        <f t="shared" si="102"/>
        <v>2560</v>
      </c>
      <c r="Z73" s="57">
        <f>' WIP '!AH73</f>
        <v>0</v>
      </c>
      <c r="AA73" s="58">
        <v>0</v>
      </c>
      <c r="AB73" s="59">
        <f t="shared" si="103"/>
        <v>2560</v>
      </c>
      <c r="AC73" s="57">
        <f>' WIP '!AL73</f>
        <v>0</v>
      </c>
      <c r="AD73" s="58">
        <v>0</v>
      </c>
      <c r="AE73" s="59">
        <f t="shared" si="104"/>
        <v>2560</v>
      </c>
      <c r="AF73" s="57">
        <f>' WIP '!AP73</f>
        <v>0</v>
      </c>
      <c r="AG73" s="114">
        <v>0</v>
      </c>
      <c r="AH73" s="59">
        <f t="shared" si="105"/>
        <v>2560</v>
      </c>
      <c r="AI73" s="57">
        <f>' WIP '!AT73</f>
        <v>0</v>
      </c>
      <c r="AJ73" s="58">
        <v>0</v>
      </c>
      <c r="AK73" s="59">
        <f t="shared" si="106"/>
        <v>2560</v>
      </c>
      <c r="AL73" s="57">
        <f>' WIP '!AX73</f>
        <v>0</v>
      </c>
      <c r="AM73" s="58"/>
      <c r="AN73" s="59">
        <f t="shared" si="107"/>
        <v>2560</v>
      </c>
      <c r="AO73" s="57">
        <f>' WIP '!BB73</f>
        <v>0</v>
      </c>
      <c r="AP73" s="58">
        <v>0</v>
      </c>
      <c r="AQ73" s="59">
        <f t="shared" si="108"/>
        <v>2560</v>
      </c>
      <c r="AR73" s="57">
        <f>' WIP '!BF73</f>
        <v>0</v>
      </c>
      <c r="AS73" s="58">
        <v>0</v>
      </c>
      <c r="AT73" s="59">
        <f t="shared" si="109"/>
        <v>2560</v>
      </c>
      <c r="AU73" s="57">
        <f>' WIP '!BJ73</f>
        <v>0</v>
      </c>
      <c r="AV73" s="58">
        <v>0</v>
      </c>
      <c r="AW73" s="59">
        <f t="shared" si="110"/>
        <v>2560</v>
      </c>
      <c r="AX73" s="57">
        <f>' WIP '!BN73</f>
        <v>0</v>
      </c>
      <c r="AY73" s="58">
        <v>2480</v>
      </c>
      <c r="AZ73" s="59">
        <f t="shared" si="111"/>
        <v>80</v>
      </c>
      <c r="BA73" s="57">
        <f>' WIP '!BR73</f>
        <v>1600</v>
      </c>
      <c r="BB73" s="58">
        <v>1600</v>
      </c>
      <c r="BC73" s="59">
        <f t="shared" si="112"/>
        <v>80</v>
      </c>
      <c r="BD73" s="57">
        <f>' WIP '!BV73</f>
        <v>800</v>
      </c>
      <c r="BE73" s="58">
        <v>880</v>
      </c>
      <c r="BF73" s="59">
        <f t="shared" si="113"/>
        <v>0</v>
      </c>
      <c r="BG73" s="57">
        <f>' WIP '!BZ73</f>
        <v>0</v>
      </c>
      <c r="BH73" s="58"/>
      <c r="BI73" s="59">
        <f t="shared" si="114"/>
        <v>0</v>
      </c>
      <c r="BJ73" s="57">
        <f>' WIP '!CD73</f>
        <v>0</v>
      </c>
      <c r="BK73" s="58">
        <v>0</v>
      </c>
      <c r="BL73" s="59">
        <f t="shared" si="115"/>
        <v>0</v>
      </c>
      <c r="BM73" s="57">
        <f>' WIP '!CH73</f>
        <v>0</v>
      </c>
      <c r="BN73" s="58">
        <v>0</v>
      </c>
      <c r="BO73" s="59">
        <f t="shared" si="116"/>
        <v>0</v>
      </c>
      <c r="BP73" s="57">
        <f>' WIP '!CL73</f>
        <v>0</v>
      </c>
      <c r="BQ73" s="58"/>
      <c r="BR73" s="59">
        <f t="shared" si="117"/>
        <v>0</v>
      </c>
      <c r="BS73" s="57">
        <f>' WIP '!CP73</f>
        <v>0</v>
      </c>
      <c r="BT73" s="58">
        <v>0</v>
      </c>
      <c r="BU73" s="59">
        <f t="shared" si="118"/>
        <v>0</v>
      </c>
      <c r="BV73" s="57">
        <f>' WIP '!CT73</f>
        <v>0</v>
      </c>
      <c r="BW73" s="28">
        <v>0</v>
      </c>
      <c r="BX73" s="59">
        <f t="shared" si="119"/>
        <v>0</v>
      </c>
      <c r="BY73" s="57">
        <f>' WIP '!CX73</f>
        <v>0</v>
      </c>
      <c r="BZ73" s="58">
        <v>0</v>
      </c>
      <c r="CA73" s="59">
        <f t="shared" si="120"/>
        <v>0</v>
      </c>
      <c r="CB73" s="57">
        <f>' WIP '!DB73</f>
        <v>0</v>
      </c>
      <c r="CC73" s="58">
        <v>0</v>
      </c>
      <c r="CD73" s="59">
        <f t="shared" si="121"/>
        <v>0</v>
      </c>
      <c r="CE73" s="57">
        <f>' WIP '!DF73</f>
        <v>0</v>
      </c>
      <c r="CF73" s="58">
        <v>0</v>
      </c>
      <c r="CG73" s="59">
        <f t="shared" si="122"/>
        <v>0</v>
      </c>
      <c r="CH73" s="57">
        <f>' WIP '!DJ73</f>
        <v>0</v>
      </c>
      <c r="CI73" s="58">
        <v>0</v>
      </c>
      <c r="CJ73" s="59">
        <f t="shared" si="123"/>
        <v>0</v>
      </c>
      <c r="CK73" s="57">
        <f>' WIP '!DN73</f>
        <v>0</v>
      </c>
      <c r="CL73" s="58">
        <v>0</v>
      </c>
      <c r="CM73" s="59">
        <f t="shared" si="124"/>
        <v>0</v>
      </c>
      <c r="CN73" s="57">
        <f>' WIP '!DR73</f>
        <v>0</v>
      </c>
      <c r="CO73" s="57"/>
      <c r="CP73" s="59">
        <f t="shared" si="125"/>
        <v>0</v>
      </c>
      <c r="CQ73" s="57">
        <f>' WIP '!DV73</f>
        <v>0</v>
      </c>
      <c r="CR73" s="58"/>
      <c r="CS73" s="59">
        <f t="shared" si="126"/>
        <v>0</v>
      </c>
      <c r="CT73" s="31">
        <f t="shared" si="127"/>
        <v>6880</v>
      </c>
      <c r="CU73" s="4">
        <f t="shared" si="128"/>
        <v>6880</v>
      </c>
      <c r="CV73" s="5">
        <f>D73*'MASTER SHEET'!D73</f>
        <v>19406.400000000001</v>
      </c>
      <c r="CW73" s="5">
        <f>G73*'MASTER SHEET'!D73</f>
        <v>0</v>
      </c>
      <c r="CX73" s="5">
        <f>J73*'MASTER SHEET'!D73</f>
        <v>0</v>
      </c>
      <c r="CY73" s="5">
        <f>M73*'MASTER SHEET'!D73</f>
        <v>0</v>
      </c>
      <c r="CZ73" s="5">
        <f>P73*'MASTER SHEET'!D73</f>
        <v>0</v>
      </c>
      <c r="DA73" s="5">
        <f>S73*'MASTER SHEET'!D73</f>
        <v>0</v>
      </c>
      <c r="DB73" s="5">
        <f>V73*'MASTER SHEET'!D73</f>
        <v>46276.800000000003</v>
      </c>
      <c r="DC73" s="5">
        <f>Y73*'MASTER SHEET'!D73</f>
        <v>47769.599999999999</v>
      </c>
      <c r="DD73" s="5">
        <f>AB73*'MASTER SHEET'!D73</f>
        <v>47769.599999999999</v>
      </c>
      <c r="DE73" s="5">
        <f>AE73*'MASTER SHEET'!D73</f>
        <v>47769.599999999999</v>
      </c>
      <c r="DF73" s="5">
        <f>AH73*'MASTER SHEET'!D73</f>
        <v>47769.599999999999</v>
      </c>
      <c r="DG73" s="5">
        <f>AK73*'MASTER SHEET'!D73</f>
        <v>47769.599999999999</v>
      </c>
      <c r="DH73" s="5">
        <f>AN73*'MASTER SHEET'!D73</f>
        <v>47769.599999999999</v>
      </c>
      <c r="DI73" s="5">
        <f>AQ73*'MASTER SHEET'!D73</f>
        <v>47769.599999999999</v>
      </c>
      <c r="DJ73" s="5">
        <f>AT73*'MASTER SHEET'!D73</f>
        <v>47769.599999999999</v>
      </c>
      <c r="DK73" s="5">
        <f>AW73*'MASTER SHEET'!D73</f>
        <v>47769.599999999999</v>
      </c>
      <c r="DL73" s="5">
        <f>AZ73*'MASTER SHEET'!D73</f>
        <v>1492.8</v>
      </c>
      <c r="DM73" s="5">
        <f>BC73*'MASTER SHEET'!D73</f>
        <v>1492.8</v>
      </c>
      <c r="DN73" s="5">
        <f>BF73*'MASTER SHEET'!D73</f>
        <v>0</v>
      </c>
      <c r="DO73" s="5">
        <f>BI73*'MASTER SHEET'!D73</f>
        <v>0</v>
      </c>
      <c r="DP73" s="5">
        <f>BL73*'MASTER SHEET'!D73</f>
        <v>0</v>
      </c>
      <c r="DQ73" s="5">
        <f>BO73*'MASTER SHEET'!D73</f>
        <v>0</v>
      </c>
      <c r="DR73" s="5">
        <f>BR73*'MASTER SHEET'!D73</f>
        <v>0</v>
      </c>
      <c r="DS73" s="5">
        <f>BU73*'MASTER SHEET'!D73</f>
        <v>0</v>
      </c>
      <c r="DT73" s="5">
        <f>BX73*'MASTER SHEET'!D73</f>
        <v>0</v>
      </c>
      <c r="DU73" s="5">
        <f>CA73*'MASTER SHEET'!D73</f>
        <v>0</v>
      </c>
      <c r="DV73" s="5">
        <f>CD73*'MASTER SHEET'!D73</f>
        <v>0</v>
      </c>
      <c r="DW73" s="5">
        <f>CG73*'MASTER SHEET'!D73</f>
        <v>0</v>
      </c>
      <c r="DX73" s="5">
        <f>CJ73*'MASTER SHEET'!D73</f>
        <v>0</v>
      </c>
      <c r="DY73" s="5">
        <f>CM73*'MASTER SHEET'!D73</f>
        <v>0</v>
      </c>
      <c r="DZ73" s="5">
        <f>CP73*'MASTER SHEET'!D73</f>
        <v>0</v>
      </c>
      <c r="EA73" s="5">
        <f>CS73*'MASTER SHEET'!D73</f>
        <v>0</v>
      </c>
      <c r="EB73" s="143">
        <f>VLOOKUP($C73,'[1]GREEN LEV.₹'!$I$2:$K$54,3,0)</f>
        <v>1600</v>
      </c>
    </row>
    <row r="74" spans="1:132" ht="15.75" x14ac:dyDescent="0.25">
      <c r="A74" s="25">
        <f>'MASTER SHEET'!A74</f>
        <v>72</v>
      </c>
      <c r="B74" s="26" t="str">
        <f>'MASTER SHEET'!B74</f>
        <v>CENTERTUBE</v>
      </c>
      <c r="C74" s="27">
        <f>'MASTER SHEET'!C74</f>
        <v>5038950</v>
      </c>
      <c r="D74" s="56">
        <v>2720</v>
      </c>
      <c r="E74" s="57">
        <f>' WIP '!F74</f>
        <v>0</v>
      </c>
      <c r="F74" s="58">
        <v>0</v>
      </c>
      <c r="G74" s="59">
        <f t="shared" si="96"/>
        <v>2720</v>
      </c>
      <c r="H74" s="57">
        <f>' WIP '!J74</f>
        <v>0</v>
      </c>
      <c r="I74" s="58">
        <v>0</v>
      </c>
      <c r="J74" s="59">
        <f t="shared" si="97"/>
        <v>2720</v>
      </c>
      <c r="K74" s="57">
        <f>' WIP '!N74</f>
        <v>0</v>
      </c>
      <c r="L74" s="58"/>
      <c r="M74" s="59">
        <f t="shared" si="98"/>
        <v>2720</v>
      </c>
      <c r="N74" s="57">
        <f>' WIP '!R74</f>
        <v>0</v>
      </c>
      <c r="O74" s="58">
        <v>0</v>
      </c>
      <c r="P74" s="59">
        <f t="shared" si="99"/>
        <v>2720</v>
      </c>
      <c r="Q74" s="57">
        <f>' WIP '!V74</f>
        <v>0</v>
      </c>
      <c r="R74" s="58">
        <v>0</v>
      </c>
      <c r="S74" s="59">
        <f t="shared" si="100"/>
        <v>2720</v>
      </c>
      <c r="T74" s="57">
        <f>' WIP '!Z74</f>
        <v>0</v>
      </c>
      <c r="U74" s="58">
        <v>0</v>
      </c>
      <c r="V74" s="59">
        <f t="shared" si="101"/>
        <v>2720</v>
      </c>
      <c r="W74" s="57">
        <f>' WIP '!AD74</f>
        <v>0</v>
      </c>
      <c r="X74" s="58">
        <v>0</v>
      </c>
      <c r="Y74" s="59">
        <f t="shared" si="102"/>
        <v>2720</v>
      </c>
      <c r="Z74" s="57">
        <f>' WIP '!AH74</f>
        <v>0</v>
      </c>
      <c r="AA74" s="58">
        <v>0</v>
      </c>
      <c r="AB74" s="59">
        <f t="shared" si="103"/>
        <v>2720</v>
      </c>
      <c r="AC74" s="57">
        <f>' WIP '!AL74</f>
        <v>0</v>
      </c>
      <c r="AD74" s="58">
        <v>0</v>
      </c>
      <c r="AE74" s="59">
        <f t="shared" si="104"/>
        <v>2720</v>
      </c>
      <c r="AF74" s="57">
        <f>' WIP '!AP74</f>
        <v>0</v>
      </c>
      <c r="AG74" s="114">
        <v>0</v>
      </c>
      <c r="AH74" s="59">
        <f t="shared" si="105"/>
        <v>2720</v>
      </c>
      <c r="AI74" s="57">
        <f>' WIP '!AT74</f>
        <v>0</v>
      </c>
      <c r="AJ74" s="58">
        <v>0</v>
      </c>
      <c r="AK74" s="59">
        <f t="shared" si="106"/>
        <v>2720</v>
      </c>
      <c r="AL74" s="57">
        <f>' WIP '!AX74</f>
        <v>0</v>
      </c>
      <c r="AM74" s="58"/>
      <c r="AN74" s="59">
        <f t="shared" si="107"/>
        <v>2720</v>
      </c>
      <c r="AO74" s="57">
        <f>' WIP '!BB74</f>
        <v>0</v>
      </c>
      <c r="AP74" s="58">
        <v>0</v>
      </c>
      <c r="AQ74" s="59">
        <f t="shared" si="108"/>
        <v>2720</v>
      </c>
      <c r="AR74" s="57">
        <f>' WIP '!BF74</f>
        <v>0</v>
      </c>
      <c r="AS74" s="58">
        <v>0</v>
      </c>
      <c r="AT74" s="59">
        <f t="shared" si="109"/>
        <v>2720</v>
      </c>
      <c r="AU74" s="57">
        <f>' WIP '!BJ74</f>
        <v>0</v>
      </c>
      <c r="AV74" s="58">
        <v>0</v>
      </c>
      <c r="AW74" s="59">
        <f t="shared" si="110"/>
        <v>2720</v>
      </c>
      <c r="AX74" s="57">
        <f>' WIP '!BN74</f>
        <v>0</v>
      </c>
      <c r="AY74" s="58">
        <v>2720</v>
      </c>
      <c r="AZ74" s="59">
        <f t="shared" si="111"/>
        <v>0</v>
      </c>
      <c r="BA74" s="57">
        <f>' WIP '!BR74</f>
        <v>480</v>
      </c>
      <c r="BB74" s="58">
        <v>480</v>
      </c>
      <c r="BC74" s="59">
        <f t="shared" si="112"/>
        <v>0</v>
      </c>
      <c r="BD74" s="57">
        <f>' WIP '!BV74</f>
        <v>1440</v>
      </c>
      <c r="BE74" s="58">
        <v>1440</v>
      </c>
      <c r="BF74" s="59">
        <f t="shared" si="113"/>
        <v>0</v>
      </c>
      <c r="BG74" s="57">
        <f>' WIP '!BZ74</f>
        <v>0</v>
      </c>
      <c r="BH74" s="58"/>
      <c r="BI74" s="59">
        <f t="shared" si="114"/>
        <v>0</v>
      </c>
      <c r="BJ74" s="57">
        <f>' WIP '!CD74</f>
        <v>0</v>
      </c>
      <c r="BK74" s="58">
        <v>0</v>
      </c>
      <c r="BL74" s="59">
        <f t="shared" si="115"/>
        <v>0</v>
      </c>
      <c r="BM74" s="57">
        <f>' WIP '!CH74</f>
        <v>1120</v>
      </c>
      <c r="BN74" s="58">
        <v>1120</v>
      </c>
      <c r="BO74" s="59">
        <f t="shared" si="116"/>
        <v>0</v>
      </c>
      <c r="BP74" s="57">
        <f>' WIP '!CL74</f>
        <v>0</v>
      </c>
      <c r="BQ74" s="58"/>
      <c r="BR74" s="59">
        <f t="shared" si="117"/>
        <v>0</v>
      </c>
      <c r="BS74" s="57">
        <f>' WIP '!CP74</f>
        <v>800</v>
      </c>
      <c r="BT74" s="58">
        <v>800</v>
      </c>
      <c r="BU74" s="59">
        <f t="shared" si="118"/>
        <v>0</v>
      </c>
      <c r="BV74" s="57">
        <f>' WIP '!CT74</f>
        <v>800</v>
      </c>
      <c r="BW74" s="28">
        <v>800</v>
      </c>
      <c r="BX74" s="59">
        <f t="shared" si="119"/>
        <v>0</v>
      </c>
      <c r="BY74" s="57">
        <f>' WIP '!CX74</f>
        <v>0</v>
      </c>
      <c r="BZ74" s="58">
        <v>0</v>
      </c>
      <c r="CA74" s="59">
        <f t="shared" si="120"/>
        <v>0</v>
      </c>
      <c r="CB74" s="57">
        <f>' WIP '!DB74</f>
        <v>0</v>
      </c>
      <c r="CC74" s="58">
        <v>0</v>
      </c>
      <c r="CD74" s="59">
        <f t="shared" si="121"/>
        <v>0</v>
      </c>
      <c r="CE74" s="57">
        <f>' WIP '!DF74</f>
        <v>1440</v>
      </c>
      <c r="CF74" s="58">
        <v>1440</v>
      </c>
      <c r="CG74" s="59">
        <f t="shared" si="122"/>
        <v>0</v>
      </c>
      <c r="CH74" s="57">
        <f>' WIP '!DJ74</f>
        <v>0</v>
      </c>
      <c r="CI74" s="58">
        <v>0</v>
      </c>
      <c r="CJ74" s="59">
        <f t="shared" si="123"/>
        <v>0</v>
      </c>
      <c r="CK74" s="57">
        <f>' WIP '!DN74</f>
        <v>0</v>
      </c>
      <c r="CL74" s="58">
        <v>0</v>
      </c>
      <c r="CM74" s="59">
        <f t="shared" si="124"/>
        <v>0</v>
      </c>
      <c r="CN74" s="57">
        <f>' WIP '!DR74</f>
        <v>0</v>
      </c>
      <c r="CO74" s="57"/>
      <c r="CP74" s="59">
        <f t="shared" si="125"/>
        <v>0</v>
      </c>
      <c r="CQ74" s="57">
        <f>' WIP '!DV74</f>
        <v>0</v>
      </c>
      <c r="CR74" s="58"/>
      <c r="CS74" s="59">
        <f t="shared" si="126"/>
        <v>0</v>
      </c>
      <c r="CT74" s="31">
        <f t="shared" si="127"/>
        <v>8800</v>
      </c>
      <c r="CU74" s="4">
        <f t="shared" si="128"/>
        <v>8800</v>
      </c>
      <c r="CV74" s="5">
        <f>D74*'MASTER SHEET'!D74</f>
        <v>27009.599999999999</v>
      </c>
      <c r="CW74" s="5">
        <f>G74*'MASTER SHEET'!D74</f>
        <v>27009.599999999999</v>
      </c>
      <c r="CX74" s="5">
        <f>J74*'MASTER SHEET'!D74</f>
        <v>27009.599999999999</v>
      </c>
      <c r="CY74" s="5">
        <f>M74*'MASTER SHEET'!D74</f>
        <v>27009.599999999999</v>
      </c>
      <c r="CZ74" s="5">
        <f>P74*'MASTER SHEET'!D74</f>
        <v>27009.599999999999</v>
      </c>
      <c r="DA74" s="5">
        <f>S74*'MASTER SHEET'!D74</f>
        <v>27009.599999999999</v>
      </c>
      <c r="DB74" s="5">
        <f>V74*'MASTER SHEET'!D74</f>
        <v>27009.599999999999</v>
      </c>
      <c r="DC74" s="5">
        <f>Y74*'MASTER SHEET'!D74</f>
        <v>27009.599999999999</v>
      </c>
      <c r="DD74" s="5">
        <f>AB74*'MASTER SHEET'!D74</f>
        <v>27009.599999999999</v>
      </c>
      <c r="DE74" s="5">
        <f>AE74*'MASTER SHEET'!D74</f>
        <v>27009.599999999999</v>
      </c>
      <c r="DF74" s="5">
        <f>AH74*'MASTER SHEET'!D74</f>
        <v>27009.599999999999</v>
      </c>
      <c r="DG74" s="5">
        <f>AK74*'MASTER SHEET'!D74</f>
        <v>27009.599999999999</v>
      </c>
      <c r="DH74" s="5">
        <f>AN74*'MASTER SHEET'!D74</f>
        <v>27009.599999999999</v>
      </c>
      <c r="DI74" s="5">
        <f>AQ74*'MASTER SHEET'!D74</f>
        <v>27009.599999999999</v>
      </c>
      <c r="DJ74" s="5">
        <f>AT74*'MASTER SHEET'!D74</f>
        <v>27009.599999999999</v>
      </c>
      <c r="DK74" s="5">
        <f>AW74*'MASTER SHEET'!D74</f>
        <v>27009.599999999999</v>
      </c>
      <c r="DL74" s="5">
        <f>AZ74*'MASTER SHEET'!D74</f>
        <v>0</v>
      </c>
      <c r="DM74" s="5">
        <f>BC74*'MASTER SHEET'!D74</f>
        <v>0</v>
      </c>
      <c r="DN74" s="5">
        <f>BF74*'MASTER SHEET'!D74</f>
        <v>0</v>
      </c>
      <c r="DO74" s="5">
        <f>BI74*'MASTER SHEET'!D74</f>
        <v>0</v>
      </c>
      <c r="DP74" s="5">
        <f>BL74*'MASTER SHEET'!D74</f>
        <v>0</v>
      </c>
      <c r="DQ74" s="5">
        <f>BO74*'MASTER SHEET'!D74</f>
        <v>0</v>
      </c>
      <c r="DR74" s="5">
        <f>BR74*'MASTER SHEET'!D74</f>
        <v>0</v>
      </c>
      <c r="DS74" s="5">
        <f>BU74*'MASTER SHEET'!D74</f>
        <v>0</v>
      </c>
      <c r="DT74" s="5">
        <f>BX74*'MASTER SHEET'!D74</f>
        <v>0</v>
      </c>
      <c r="DU74" s="5">
        <f>CA74*'MASTER SHEET'!D74</f>
        <v>0</v>
      </c>
      <c r="DV74" s="5">
        <f>CD74*'MASTER SHEET'!D74</f>
        <v>0</v>
      </c>
      <c r="DW74" s="5">
        <f>CG74*'MASTER SHEET'!D74</f>
        <v>0</v>
      </c>
      <c r="DX74" s="5">
        <f>CJ74*'MASTER SHEET'!D74</f>
        <v>0</v>
      </c>
      <c r="DY74" s="5">
        <f>CM74*'MASTER SHEET'!D74</f>
        <v>0</v>
      </c>
      <c r="DZ74" s="5">
        <f>CP74*'MASTER SHEET'!D74</f>
        <v>0</v>
      </c>
      <c r="EA74" s="5">
        <f>CS74*'MASTER SHEET'!D74</f>
        <v>0</v>
      </c>
      <c r="EB74" s="143">
        <f>VLOOKUP($C74,'[1]GREEN LEV.₹'!$I$2:$K$54,3,0)</f>
        <v>3000</v>
      </c>
    </row>
    <row r="75" spans="1:132" ht="15.75" x14ac:dyDescent="0.25">
      <c r="A75" s="25">
        <f>'MASTER SHEET'!A75</f>
        <v>73</v>
      </c>
      <c r="B75" s="26" t="str">
        <f>'MASTER SHEET'!B75</f>
        <v>SHELL, PLASTIC,   (9880)</v>
      </c>
      <c r="C75" s="27">
        <f>'MASTER SHEET'!C75</f>
        <v>5036297</v>
      </c>
      <c r="D75" s="56">
        <v>0</v>
      </c>
      <c r="E75" s="57">
        <f>' WIP '!F75</f>
        <v>0</v>
      </c>
      <c r="F75" s="58">
        <v>0</v>
      </c>
      <c r="G75" s="59">
        <f t="shared" si="96"/>
        <v>0</v>
      </c>
      <c r="H75" s="57">
        <f>' WIP '!J75</f>
        <v>0</v>
      </c>
      <c r="I75" s="58">
        <v>0</v>
      </c>
      <c r="J75" s="59">
        <f t="shared" si="97"/>
        <v>0</v>
      </c>
      <c r="K75" s="57">
        <f>' WIP '!N75</f>
        <v>0</v>
      </c>
      <c r="L75" s="58"/>
      <c r="M75" s="59">
        <f t="shared" si="98"/>
        <v>0</v>
      </c>
      <c r="N75" s="57">
        <f>' WIP '!R75</f>
        <v>0</v>
      </c>
      <c r="O75" s="58">
        <v>0</v>
      </c>
      <c r="P75" s="59">
        <f t="shared" si="99"/>
        <v>0</v>
      </c>
      <c r="Q75" s="57">
        <f>' WIP '!V75</f>
        <v>0</v>
      </c>
      <c r="R75" s="58">
        <v>0</v>
      </c>
      <c r="S75" s="59">
        <f t="shared" si="100"/>
        <v>0</v>
      </c>
      <c r="T75" s="57">
        <f>' WIP '!Z75</f>
        <v>0</v>
      </c>
      <c r="U75" s="58">
        <v>0</v>
      </c>
      <c r="V75" s="59">
        <f t="shared" si="101"/>
        <v>0</v>
      </c>
      <c r="W75" s="57">
        <f>' WIP '!AD75</f>
        <v>0</v>
      </c>
      <c r="X75" s="58">
        <v>0</v>
      </c>
      <c r="Y75" s="59">
        <f t="shared" si="102"/>
        <v>0</v>
      </c>
      <c r="Z75" s="57">
        <f>' WIP '!AH75</f>
        <v>0</v>
      </c>
      <c r="AA75" s="58">
        <v>0</v>
      </c>
      <c r="AB75" s="59">
        <f t="shared" si="103"/>
        <v>0</v>
      </c>
      <c r="AC75" s="57">
        <f>' WIP '!AL75</f>
        <v>0</v>
      </c>
      <c r="AD75" s="58">
        <v>0</v>
      </c>
      <c r="AE75" s="59">
        <f t="shared" si="104"/>
        <v>0</v>
      </c>
      <c r="AF75" s="57">
        <f>' WIP '!AP75</f>
        <v>0</v>
      </c>
      <c r="AG75" s="114">
        <v>0</v>
      </c>
      <c r="AH75" s="59">
        <f t="shared" si="105"/>
        <v>0</v>
      </c>
      <c r="AI75" s="57">
        <f>' WIP '!AT75</f>
        <v>0</v>
      </c>
      <c r="AJ75" s="58">
        <v>0</v>
      </c>
      <c r="AK75" s="59">
        <f t="shared" si="106"/>
        <v>0</v>
      </c>
      <c r="AL75" s="57">
        <f>' WIP '!AX75</f>
        <v>0</v>
      </c>
      <c r="AM75" s="58"/>
      <c r="AN75" s="59">
        <f t="shared" si="107"/>
        <v>0</v>
      </c>
      <c r="AO75" s="57">
        <f>' WIP '!BB75</f>
        <v>0</v>
      </c>
      <c r="AP75" s="58">
        <v>0</v>
      </c>
      <c r="AQ75" s="59">
        <f t="shared" si="108"/>
        <v>0</v>
      </c>
      <c r="AR75" s="57">
        <f>' WIP '!BF75</f>
        <v>0</v>
      </c>
      <c r="AS75" s="58">
        <v>0</v>
      </c>
      <c r="AT75" s="59">
        <f t="shared" si="109"/>
        <v>0</v>
      </c>
      <c r="AU75" s="57">
        <f>' WIP '!BJ75</f>
        <v>0</v>
      </c>
      <c r="AV75" s="58">
        <v>0</v>
      </c>
      <c r="AW75" s="59">
        <f t="shared" si="110"/>
        <v>0</v>
      </c>
      <c r="AX75" s="57">
        <f>' WIP '!BN75</f>
        <v>0</v>
      </c>
      <c r="AY75" s="58">
        <v>0</v>
      </c>
      <c r="AZ75" s="59">
        <f t="shared" si="111"/>
        <v>0</v>
      </c>
      <c r="BA75" s="57">
        <f>' WIP '!BR75</f>
        <v>0</v>
      </c>
      <c r="BB75" s="58">
        <v>0</v>
      </c>
      <c r="BC75" s="59">
        <f t="shared" si="112"/>
        <v>0</v>
      </c>
      <c r="BD75" s="57">
        <f>' WIP '!BV75</f>
        <v>0</v>
      </c>
      <c r="BE75" s="58">
        <v>0</v>
      </c>
      <c r="BF75" s="59">
        <f t="shared" si="113"/>
        <v>0</v>
      </c>
      <c r="BG75" s="57">
        <f>' WIP '!BZ75</f>
        <v>0</v>
      </c>
      <c r="BH75" s="58"/>
      <c r="BI75" s="59">
        <f t="shared" si="114"/>
        <v>0</v>
      </c>
      <c r="BJ75" s="57">
        <f>' WIP '!CD75</f>
        <v>0</v>
      </c>
      <c r="BK75" s="58">
        <v>0</v>
      </c>
      <c r="BL75" s="59">
        <f t="shared" si="115"/>
        <v>0</v>
      </c>
      <c r="BM75" s="57">
        <f>' WIP '!CH75</f>
        <v>0</v>
      </c>
      <c r="BN75" s="58">
        <v>0</v>
      </c>
      <c r="BO75" s="59">
        <f t="shared" si="116"/>
        <v>0</v>
      </c>
      <c r="BP75" s="57">
        <f>' WIP '!CL75</f>
        <v>0</v>
      </c>
      <c r="BQ75" s="58"/>
      <c r="BR75" s="59">
        <f t="shared" si="117"/>
        <v>0</v>
      </c>
      <c r="BS75" s="57">
        <f>' WIP '!CP75</f>
        <v>0</v>
      </c>
      <c r="BT75" s="58">
        <v>0</v>
      </c>
      <c r="BU75" s="59">
        <f t="shared" si="118"/>
        <v>0</v>
      </c>
      <c r="BV75" s="57">
        <f>' WIP '!CT75</f>
        <v>0</v>
      </c>
      <c r="BW75" s="28">
        <v>0</v>
      </c>
      <c r="BX75" s="59">
        <f t="shared" si="119"/>
        <v>0</v>
      </c>
      <c r="BY75" s="57">
        <f>' WIP '!CX75</f>
        <v>0</v>
      </c>
      <c r="BZ75" s="58">
        <v>0</v>
      </c>
      <c r="CA75" s="59">
        <f t="shared" si="120"/>
        <v>0</v>
      </c>
      <c r="CB75" s="57">
        <f>' WIP '!DB75</f>
        <v>0</v>
      </c>
      <c r="CC75" s="58">
        <v>0</v>
      </c>
      <c r="CD75" s="59">
        <f t="shared" si="121"/>
        <v>0</v>
      </c>
      <c r="CE75" s="57">
        <f>' WIP '!DF75</f>
        <v>0</v>
      </c>
      <c r="CF75" s="58">
        <v>0</v>
      </c>
      <c r="CG75" s="59">
        <f t="shared" si="122"/>
        <v>0</v>
      </c>
      <c r="CH75" s="57">
        <f>' WIP '!DJ75</f>
        <v>0</v>
      </c>
      <c r="CI75" s="58">
        <v>0</v>
      </c>
      <c r="CJ75" s="59">
        <f t="shared" si="123"/>
        <v>0</v>
      </c>
      <c r="CK75" s="57">
        <f>' WIP '!DN75</f>
        <v>0</v>
      </c>
      <c r="CL75" s="58">
        <v>0</v>
      </c>
      <c r="CM75" s="59">
        <f t="shared" si="124"/>
        <v>0</v>
      </c>
      <c r="CN75" s="57">
        <f>' WIP '!DR75</f>
        <v>0</v>
      </c>
      <c r="CO75" s="57"/>
      <c r="CP75" s="59">
        <f t="shared" si="125"/>
        <v>0</v>
      </c>
      <c r="CQ75" s="57">
        <f>' WIP '!DV75</f>
        <v>0</v>
      </c>
      <c r="CR75" s="58"/>
      <c r="CS75" s="59">
        <f t="shared" si="126"/>
        <v>0</v>
      </c>
      <c r="CT75" s="31">
        <f t="shared" si="127"/>
        <v>0</v>
      </c>
      <c r="CU75" s="4">
        <f t="shared" si="128"/>
        <v>0</v>
      </c>
      <c r="CV75" s="5">
        <f>D75*'MASTER SHEET'!D75</f>
        <v>0</v>
      </c>
      <c r="CW75" s="5">
        <f>G75*'MASTER SHEET'!D75</f>
        <v>0</v>
      </c>
      <c r="CX75" s="5">
        <f>J75*'MASTER SHEET'!D75</f>
        <v>0</v>
      </c>
      <c r="CY75" s="5">
        <f>M75*'MASTER SHEET'!D75</f>
        <v>0</v>
      </c>
      <c r="CZ75" s="5">
        <f>P75*'MASTER SHEET'!D75</f>
        <v>0</v>
      </c>
      <c r="DA75" s="5">
        <f>S75*'MASTER SHEET'!D75</f>
        <v>0</v>
      </c>
      <c r="DB75" s="5">
        <f>V75*'MASTER SHEET'!D75</f>
        <v>0</v>
      </c>
      <c r="DC75" s="5">
        <f>Y75*'MASTER SHEET'!D75</f>
        <v>0</v>
      </c>
      <c r="DD75" s="5">
        <f>AB75*'MASTER SHEET'!D75</f>
        <v>0</v>
      </c>
      <c r="DE75" s="5">
        <f>AE75*'MASTER SHEET'!D75</f>
        <v>0</v>
      </c>
      <c r="DF75" s="5">
        <f>AH75*'MASTER SHEET'!D75</f>
        <v>0</v>
      </c>
      <c r="DG75" s="5">
        <f>AK75*'MASTER SHEET'!D75</f>
        <v>0</v>
      </c>
      <c r="DH75" s="5">
        <f>AN75*'MASTER SHEET'!D75</f>
        <v>0</v>
      </c>
      <c r="DI75" s="5">
        <f>AQ75*'MASTER SHEET'!D75</f>
        <v>0</v>
      </c>
      <c r="DJ75" s="5">
        <f>AT75*'MASTER SHEET'!D75</f>
        <v>0</v>
      </c>
      <c r="DK75" s="5">
        <f>AW75*'MASTER SHEET'!D75</f>
        <v>0</v>
      </c>
      <c r="DL75" s="5">
        <f>AZ75*'MASTER SHEET'!D75</f>
        <v>0</v>
      </c>
      <c r="DM75" s="5">
        <f>BC75*'MASTER SHEET'!D75</f>
        <v>0</v>
      </c>
      <c r="DN75" s="5">
        <f>BF75*'MASTER SHEET'!D75</f>
        <v>0</v>
      </c>
      <c r="DO75" s="5">
        <f>BI75*'MASTER SHEET'!D75</f>
        <v>0</v>
      </c>
      <c r="DP75" s="5">
        <f>BL75*'MASTER SHEET'!D75</f>
        <v>0</v>
      </c>
      <c r="DQ75" s="5">
        <f>BO75*'MASTER SHEET'!D75</f>
        <v>0</v>
      </c>
      <c r="DR75" s="5">
        <f>BR75*'MASTER SHEET'!D75</f>
        <v>0</v>
      </c>
      <c r="DS75" s="5">
        <f>BU75*'MASTER SHEET'!D75</f>
        <v>0</v>
      </c>
      <c r="DT75" s="5">
        <f>BX75*'MASTER SHEET'!D75</f>
        <v>0</v>
      </c>
      <c r="DU75" s="5">
        <f>CA75*'MASTER SHEET'!D75</f>
        <v>0</v>
      </c>
      <c r="DV75" s="5">
        <f>CD75*'MASTER SHEET'!D75</f>
        <v>0</v>
      </c>
      <c r="DW75" s="5">
        <f>CG75*'MASTER SHEET'!D75</f>
        <v>0</v>
      </c>
      <c r="DX75" s="5">
        <f>CJ75*'MASTER SHEET'!D75</f>
        <v>0</v>
      </c>
      <c r="DY75" s="5">
        <f>CM75*'MASTER SHEET'!D75</f>
        <v>0</v>
      </c>
      <c r="DZ75" s="5">
        <f>CP75*'MASTER SHEET'!D75</f>
        <v>0</v>
      </c>
      <c r="EA75" s="5">
        <f>CS75*'MASTER SHEET'!D75</f>
        <v>0</v>
      </c>
      <c r="EB75" s="9"/>
    </row>
    <row r="76" spans="1:132" ht="15.75" x14ac:dyDescent="0.25">
      <c r="A76" s="25">
        <f>'MASTER SHEET'!A76</f>
        <v>74</v>
      </c>
      <c r="B76" s="26" t="str">
        <f>'MASTER SHEET'!B76</f>
        <v>TUBE OVER FLOW HOSUR</v>
      </c>
      <c r="C76" s="27">
        <f>'MASTER SHEET'!C76</f>
        <v>832000299</v>
      </c>
      <c r="D76" s="56"/>
      <c r="E76" s="57">
        <f>' WIP '!F76</f>
        <v>0</v>
      </c>
      <c r="F76" s="58">
        <v>0</v>
      </c>
      <c r="G76" s="59">
        <f t="shared" si="96"/>
        <v>0</v>
      </c>
      <c r="H76" s="57">
        <f>' WIP '!J76</f>
        <v>0</v>
      </c>
      <c r="I76" s="58">
        <v>0</v>
      </c>
      <c r="J76" s="59">
        <f t="shared" si="97"/>
        <v>0</v>
      </c>
      <c r="K76" s="57">
        <f>' WIP '!N76</f>
        <v>0</v>
      </c>
      <c r="L76" s="58"/>
      <c r="M76" s="59">
        <f t="shared" si="98"/>
        <v>0</v>
      </c>
      <c r="N76" s="57">
        <f>' WIP '!R76</f>
        <v>0</v>
      </c>
      <c r="O76" s="58">
        <v>0</v>
      </c>
      <c r="P76" s="59">
        <f t="shared" si="99"/>
        <v>0</v>
      </c>
      <c r="Q76" s="57">
        <f>' WIP '!V76</f>
        <v>0</v>
      </c>
      <c r="R76" s="58">
        <v>0</v>
      </c>
      <c r="S76" s="59">
        <f t="shared" si="100"/>
        <v>0</v>
      </c>
      <c r="T76" s="57">
        <f>' WIP '!Z76</f>
        <v>0</v>
      </c>
      <c r="U76" s="58">
        <v>0</v>
      </c>
      <c r="V76" s="59">
        <f t="shared" si="101"/>
        <v>0</v>
      </c>
      <c r="W76" s="57">
        <f>' WIP '!AD76</f>
        <v>0</v>
      </c>
      <c r="X76" s="58">
        <v>0</v>
      </c>
      <c r="Y76" s="59">
        <f t="shared" si="102"/>
        <v>0</v>
      </c>
      <c r="Z76" s="57">
        <f>' WIP '!AH76</f>
        <v>0</v>
      </c>
      <c r="AA76" s="58">
        <v>0</v>
      </c>
      <c r="AB76" s="59">
        <f t="shared" si="103"/>
        <v>0</v>
      </c>
      <c r="AC76" s="57">
        <f>' WIP '!AL76</f>
        <v>0</v>
      </c>
      <c r="AD76" s="58">
        <v>0</v>
      </c>
      <c r="AE76" s="59">
        <f t="shared" si="104"/>
        <v>0</v>
      </c>
      <c r="AF76" s="57">
        <f>' WIP '!AP76</f>
        <v>0</v>
      </c>
      <c r="AG76" s="114">
        <v>0</v>
      </c>
      <c r="AH76" s="59">
        <f t="shared" si="105"/>
        <v>0</v>
      </c>
      <c r="AI76" s="57">
        <f>' WIP '!AT76</f>
        <v>0</v>
      </c>
      <c r="AJ76" s="58">
        <v>0</v>
      </c>
      <c r="AK76" s="59">
        <f t="shared" si="106"/>
        <v>0</v>
      </c>
      <c r="AL76" s="57">
        <f>' WIP '!AX76</f>
        <v>0</v>
      </c>
      <c r="AM76" s="58"/>
      <c r="AN76" s="59">
        <f t="shared" si="107"/>
        <v>0</v>
      </c>
      <c r="AO76" s="57">
        <f>' WIP '!BB76</f>
        <v>0</v>
      </c>
      <c r="AP76" s="58">
        <v>0</v>
      </c>
      <c r="AQ76" s="59">
        <f t="shared" si="108"/>
        <v>0</v>
      </c>
      <c r="AR76" s="57">
        <f>' WIP '!BF76</f>
        <v>0</v>
      </c>
      <c r="AS76" s="58">
        <v>0</v>
      </c>
      <c r="AT76" s="59">
        <f t="shared" si="109"/>
        <v>0</v>
      </c>
      <c r="AU76" s="57">
        <f>' WIP '!BJ76</f>
        <v>0</v>
      </c>
      <c r="AV76" s="58">
        <v>0</v>
      </c>
      <c r="AW76" s="59">
        <f t="shared" si="110"/>
        <v>0</v>
      </c>
      <c r="AX76" s="57">
        <f>' WIP '!BN76</f>
        <v>0</v>
      </c>
      <c r="AY76" s="58">
        <v>0</v>
      </c>
      <c r="AZ76" s="59">
        <f t="shared" si="111"/>
        <v>0</v>
      </c>
      <c r="BA76" s="57">
        <f>' WIP '!BR76</f>
        <v>0</v>
      </c>
      <c r="BB76" s="58">
        <v>0</v>
      </c>
      <c r="BC76" s="59">
        <f t="shared" si="112"/>
        <v>0</v>
      </c>
      <c r="BD76" s="57">
        <f>' WIP '!BV76</f>
        <v>0</v>
      </c>
      <c r="BE76" s="58">
        <v>0</v>
      </c>
      <c r="BF76" s="59">
        <f t="shared" si="113"/>
        <v>0</v>
      </c>
      <c r="BG76" s="57">
        <f>' WIP '!BZ76</f>
        <v>0</v>
      </c>
      <c r="BH76" s="58"/>
      <c r="BI76" s="59">
        <f t="shared" si="114"/>
        <v>0</v>
      </c>
      <c r="BJ76" s="57">
        <f>' WIP '!CD76</f>
        <v>0</v>
      </c>
      <c r="BK76" s="58">
        <v>0</v>
      </c>
      <c r="BL76" s="59">
        <f t="shared" si="115"/>
        <v>0</v>
      </c>
      <c r="BM76" s="57">
        <f>' WIP '!CH76</f>
        <v>0</v>
      </c>
      <c r="BN76" s="58">
        <v>0</v>
      </c>
      <c r="BO76" s="59">
        <f t="shared" si="116"/>
        <v>0</v>
      </c>
      <c r="BP76" s="57">
        <f>' WIP '!CL76</f>
        <v>0</v>
      </c>
      <c r="BQ76" s="58"/>
      <c r="BR76" s="59">
        <f t="shared" si="117"/>
        <v>0</v>
      </c>
      <c r="BS76" s="57">
        <f>' WIP '!CP76</f>
        <v>0</v>
      </c>
      <c r="BT76" s="58">
        <v>0</v>
      </c>
      <c r="BU76" s="59">
        <f t="shared" si="118"/>
        <v>0</v>
      </c>
      <c r="BV76" s="57">
        <f>' WIP '!CT76</f>
        <v>0</v>
      </c>
      <c r="BW76" s="28">
        <v>0</v>
      </c>
      <c r="BX76" s="59">
        <f t="shared" si="119"/>
        <v>0</v>
      </c>
      <c r="BY76" s="57">
        <f>' WIP '!CX76</f>
        <v>0</v>
      </c>
      <c r="BZ76" s="58">
        <v>0</v>
      </c>
      <c r="CA76" s="59">
        <f t="shared" si="120"/>
        <v>0</v>
      </c>
      <c r="CB76" s="57">
        <f>' WIP '!DB76</f>
        <v>0</v>
      </c>
      <c r="CC76" s="58">
        <v>0</v>
      </c>
      <c r="CD76" s="59">
        <f t="shared" si="121"/>
        <v>0</v>
      </c>
      <c r="CE76" s="57">
        <f>' WIP '!DF76</f>
        <v>0</v>
      </c>
      <c r="CF76" s="58">
        <v>0</v>
      </c>
      <c r="CG76" s="59">
        <f t="shared" si="122"/>
        <v>0</v>
      </c>
      <c r="CH76" s="57">
        <f>' WIP '!DJ76</f>
        <v>0</v>
      </c>
      <c r="CI76" s="58">
        <v>0</v>
      </c>
      <c r="CJ76" s="59">
        <f t="shared" si="123"/>
        <v>0</v>
      </c>
      <c r="CK76" s="57">
        <f>' WIP '!DN76</f>
        <v>0</v>
      </c>
      <c r="CL76" s="58">
        <v>0</v>
      </c>
      <c r="CM76" s="59">
        <f t="shared" si="124"/>
        <v>0</v>
      </c>
      <c r="CN76" s="57">
        <f>' WIP '!DR76</f>
        <v>0</v>
      </c>
      <c r="CO76" s="57"/>
      <c r="CP76" s="59">
        <f t="shared" si="125"/>
        <v>0</v>
      </c>
      <c r="CQ76" s="57">
        <f>' WIP '!DV76</f>
        <v>0</v>
      </c>
      <c r="CR76" s="58"/>
      <c r="CS76" s="59">
        <f t="shared" si="126"/>
        <v>0</v>
      </c>
      <c r="CT76" s="31">
        <f t="shared" si="127"/>
        <v>0</v>
      </c>
      <c r="CU76" s="4">
        <f t="shared" si="128"/>
        <v>0</v>
      </c>
      <c r="CV76" s="5">
        <f>D76*'MASTER SHEET'!D76</f>
        <v>0</v>
      </c>
      <c r="CW76" s="5">
        <f>G76*'MASTER SHEET'!D76</f>
        <v>0</v>
      </c>
      <c r="CX76" s="5">
        <f>J76*'MASTER SHEET'!D76</f>
        <v>0</v>
      </c>
      <c r="CY76" s="5">
        <f>M76*'MASTER SHEET'!D76</f>
        <v>0</v>
      </c>
      <c r="CZ76" s="5">
        <f>P76*'MASTER SHEET'!D76</f>
        <v>0</v>
      </c>
      <c r="DA76" s="5">
        <f>S76*'MASTER SHEET'!D76</f>
        <v>0</v>
      </c>
      <c r="DB76" s="5">
        <f>V76*'MASTER SHEET'!D76</f>
        <v>0</v>
      </c>
      <c r="DC76" s="5">
        <f>Y76*'MASTER SHEET'!D76</f>
        <v>0</v>
      </c>
      <c r="DD76" s="5">
        <f>AB76*'MASTER SHEET'!D76</f>
        <v>0</v>
      </c>
      <c r="DE76" s="5">
        <f>AE76*'MASTER SHEET'!D76</f>
        <v>0</v>
      </c>
      <c r="DF76" s="5">
        <f>AH76*'MASTER SHEET'!D76</f>
        <v>0</v>
      </c>
      <c r="DG76" s="5">
        <f>AK76*'MASTER SHEET'!D76</f>
        <v>0</v>
      </c>
      <c r="DH76" s="5">
        <f>AN76*'MASTER SHEET'!D76</f>
        <v>0</v>
      </c>
      <c r="DI76" s="5">
        <f>AQ76*'MASTER SHEET'!D76</f>
        <v>0</v>
      </c>
      <c r="DJ76" s="5">
        <f>AT76*'MASTER SHEET'!D76</f>
        <v>0</v>
      </c>
      <c r="DK76" s="5">
        <f>AW76*'MASTER SHEET'!D76</f>
        <v>0</v>
      </c>
      <c r="DL76" s="5">
        <f>AZ76*'MASTER SHEET'!D76</f>
        <v>0</v>
      </c>
      <c r="DM76" s="5">
        <f>BC76*'MASTER SHEET'!D76</f>
        <v>0</v>
      </c>
      <c r="DN76" s="5">
        <f>BF76*'MASTER SHEET'!D76</f>
        <v>0</v>
      </c>
      <c r="DO76" s="5">
        <f>BI76*'MASTER SHEET'!D76</f>
        <v>0</v>
      </c>
      <c r="DP76" s="5">
        <f>BL76*'MASTER SHEET'!D76</f>
        <v>0</v>
      </c>
      <c r="DQ76" s="5">
        <f>BO76*'MASTER SHEET'!D76</f>
        <v>0</v>
      </c>
      <c r="DR76" s="5">
        <f>BR76*'MASTER SHEET'!D76</f>
        <v>0</v>
      </c>
      <c r="DS76" s="5">
        <f>BU76*'MASTER SHEET'!D76</f>
        <v>0</v>
      </c>
      <c r="DT76" s="5">
        <f>BX76*'MASTER SHEET'!D76</f>
        <v>0</v>
      </c>
      <c r="DU76" s="5">
        <f>CA76*'MASTER SHEET'!D76</f>
        <v>0</v>
      </c>
      <c r="DV76" s="5">
        <f>CD76*'MASTER SHEET'!D76</f>
        <v>0</v>
      </c>
      <c r="DW76" s="5">
        <f>CG76*'MASTER SHEET'!D76</f>
        <v>0</v>
      </c>
      <c r="DX76" s="5">
        <f>CJ76*'MASTER SHEET'!D76</f>
        <v>0</v>
      </c>
      <c r="DY76" s="5">
        <f>CM76*'MASTER SHEET'!D76</f>
        <v>0</v>
      </c>
      <c r="DZ76" s="5">
        <f>CP76*'MASTER SHEET'!D76</f>
        <v>0</v>
      </c>
      <c r="EA76" s="5">
        <f>CS76*'MASTER SHEET'!D76</f>
        <v>0</v>
      </c>
      <c r="EB76" s="9"/>
    </row>
    <row r="77" spans="1:132" ht="15.75" x14ac:dyDescent="0.25">
      <c r="A77" s="25">
        <f>'MASTER SHEET'!A77</f>
        <v>75</v>
      </c>
      <c r="B77" s="26" t="str">
        <f>'MASTER SHEET'!B77</f>
        <v>CAP PLASTIC</v>
      </c>
      <c r="C77" s="27">
        <f>'MASTER SHEET'!C77</f>
        <v>5037040</v>
      </c>
      <c r="D77" s="56">
        <v>0</v>
      </c>
      <c r="E77" s="57">
        <f>' WIP '!F77</f>
        <v>0</v>
      </c>
      <c r="F77" s="58">
        <v>0</v>
      </c>
      <c r="G77" s="59">
        <f t="shared" si="96"/>
        <v>0</v>
      </c>
      <c r="H77" s="57">
        <f>' WIP '!J77</f>
        <v>0</v>
      </c>
      <c r="I77" s="58">
        <v>0</v>
      </c>
      <c r="J77" s="59">
        <f t="shared" si="97"/>
        <v>0</v>
      </c>
      <c r="K77" s="57">
        <f>' WIP '!N77</f>
        <v>0</v>
      </c>
      <c r="L77" s="58"/>
      <c r="M77" s="59">
        <f t="shared" si="98"/>
        <v>0</v>
      </c>
      <c r="N77" s="57">
        <f>' WIP '!R77</f>
        <v>0</v>
      </c>
      <c r="O77" s="58">
        <v>0</v>
      </c>
      <c r="P77" s="59">
        <f t="shared" si="99"/>
        <v>0</v>
      </c>
      <c r="Q77" s="57">
        <f>' WIP '!V77</f>
        <v>0</v>
      </c>
      <c r="R77" s="58">
        <v>0</v>
      </c>
      <c r="S77" s="59">
        <f t="shared" si="100"/>
        <v>0</v>
      </c>
      <c r="T77" s="57">
        <f>' WIP '!Z77</f>
        <v>0</v>
      </c>
      <c r="U77" s="58">
        <v>0</v>
      </c>
      <c r="V77" s="59">
        <f t="shared" si="101"/>
        <v>0</v>
      </c>
      <c r="W77" s="57">
        <f>' WIP '!AD77</f>
        <v>0</v>
      </c>
      <c r="X77" s="58">
        <v>0</v>
      </c>
      <c r="Y77" s="59">
        <f t="shared" si="102"/>
        <v>0</v>
      </c>
      <c r="Z77" s="57">
        <f>' WIP '!AH77</f>
        <v>0</v>
      </c>
      <c r="AA77" s="58">
        <v>0</v>
      </c>
      <c r="AB77" s="59">
        <f t="shared" si="103"/>
        <v>0</v>
      </c>
      <c r="AC77" s="57">
        <f>' WIP '!AL77</f>
        <v>0</v>
      </c>
      <c r="AD77" s="58">
        <v>0</v>
      </c>
      <c r="AE77" s="59">
        <f t="shared" si="104"/>
        <v>0</v>
      </c>
      <c r="AF77" s="57">
        <f>' WIP '!AP77</f>
        <v>0</v>
      </c>
      <c r="AG77" s="114">
        <v>0</v>
      </c>
      <c r="AH77" s="59">
        <f t="shared" si="105"/>
        <v>0</v>
      </c>
      <c r="AI77" s="57">
        <f>' WIP '!AT77</f>
        <v>0</v>
      </c>
      <c r="AJ77" s="58">
        <v>0</v>
      </c>
      <c r="AK77" s="59">
        <f t="shared" si="106"/>
        <v>0</v>
      </c>
      <c r="AL77" s="57">
        <f>' WIP '!AX77</f>
        <v>0</v>
      </c>
      <c r="AM77" s="58"/>
      <c r="AN77" s="59">
        <f t="shared" si="107"/>
        <v>0</v>
      </c>
      <c r="AO77" s="57">
        <f>' WIP '!BB77</f>
        <v>0</v>
      </c>
      <c r="AP77" s="58">
        <v>0</v>
      </c>
      <c r="AQ77" s="59">
        <f t="shared" si="108"/>
        <v>0</v>
      </c>
      <c r="AR77" s="57">
        <f>' WIP '!BF77</f>
        <v>0</v>
      </c>
      <c r="AS77" s="58">
        <v>0</v>
      </c>
      <c r="AT77" s="59">
        <f t="shared" si="109"/>
        <v>0</v>
      </c>
      <c r="AU77" s="57">
        <f>' WIP '!BJ77</f>
        <v>0</v>
      </c>
      <c r="AV77" s="58">
        <v>0</v>
      </c>
      <c r="AW77" s="59">
        <f t="shared" si="110"/>
        <v>0</v>
      </c>
      <c r="AX77" s="57">
        <f>' WIP '!BN77</f>
        <v>0</v>
      </c>
      <c r="AY77" s="58">
        <v>0</v>
      </c>
      <c r="AZ77" s="59">
        <f t="shared" si="111"/>
        <v>0</v>
      </c>
      <c r="BA77" s="57">
        <f>' WIP '!BR77</f>
        <v>0</v>
      </c>
      <c r="BB77" s="58">
        <v>0</v>
      </c>
      <c r="BC77" s="59">
        <f t="shared" si="112"/>
        <v>0</v>
      </c>
      <c r="BD77" s="57">
        <f>' WIP '!BV77</f>
        <v>0</v>
      </c>
      <c r="BE77" s="58">
        <v>0</v>
      </c>
      <c r="BF77" s="59">
        <f t="shared" si="113"/>
        <v>0</v>
      </c>
      <c r="BG77" s="57">
        <f>' WIP '!BZ77</f>
        <v>0</v>
      </c>
      <c r="BH77" s="58"/>
      <c r="BI77" s="59">
        <f t="shared" si="114"/>
        <v>0</v>
      </c>
      <c r="BJ77" s="57">
        <f>' WIP '!CD77</f>
        <v>0</v>
      </c>
      <c r="BK77" s="58">
        <v>0</v>
      </c>
      <c r="BL77" s="59">
        <f t="shared" si="115"/>
        <v>0</v>
      </c>
      <c r="BM77" s="57">
        <f>' WIP '!CH77</f>
        <v>0</v>
      </c>
      <c r="BN77" s="58">
        <v>0</v>
      </c>
      <c r="BO77" s="59">
        <f t="shared" si="116"/>
        <v>0</v>
      </c>
      <c r="BP77" s="57">
        <f>' WIP '!CL77</f>
        <v>0</v>
      </c>
      <c r="BQ77" s="58"/>
      <c r="BR77" s="59">
        <f t="shared" si="117"/>
        <v>0</v>
      </c>
      <c r="BS77" s="57">
        <f>' WIP '!CP77</f>
        <v>0</v>
      </c>
      <c r="BT77" s="58">
        <v>0</v>
      </c>
      <c r="BU77" s="59">
        <f t="shared" si="118"/>
        <v>0</v>
      </c>
      <c r="BV77" s="57">
        <f>' WIP '!CT77</f>
        <v>0</v>
      </c>
      <c r="BW77" s="28">
        <v>0</v>
      </c>
      <c r="BX77" s="59">
        <f t="shared" si="119"/>
        <v>0</v>
      </c>
      <c r="BY77" s="57">
        <f>' WIP '!CX77</f>
        <v>0</v>
      </c>
      <c r="BZ77" s="58">
        <v>0</v>
      </c>
      <c r="CA77" s="59">
        <f t="shared" si="120"/>
        <v>0</v>
      </c>
      <c r="CB77" s="57">
        <f>' WIP '!DB77</f>
        <v>0</v>
      </c>
      <c r="CC77" s="58">
        <v>0</v>
      </c>
      <c r="CD77" s="59">
        <f t="shared" si="121"/>
        <v>0</v>
      </c>
      <c r="CE77" s="57">
        <f>' WIP '!DF77</f>
        <v>0</v>
      </c>
      <c r="CF77" s="58">
        <v>0</v>
      </c>
      <c r="CG77" s="59">
        <f t="shared" si="122"/>
        <v>0</v>
      </c>
      <c r="CH77" s="57">
        <f>' WIP '!DJ77</f>
        <v>0</v>
      </c>
      <c r="CI77" s="58">
        <v>0</v>
      </c>
      <c r="CJ77" s="59">
        <f t="shared" si="123"/>
        <v>0</v>
      </c>
      <c r="CK77" s="57">
        <f>' WIP '!DN77</f>
        <v>0</v>
      </c>
      <c r="CL77" s="58">
        <v>0</v>
      </c>
      <c r="CM77" s="59">
        <f t="shared" si="124"/>
        <v>0</v>
      </c>
      <c r="CN77" s="57">
        <f>' WIP '!DR77</f>
        <v>0</v>
      </c>
      <c r="CO77" s="57"/>
      <c r="CP77" s="59">
        <f t="shared" si="125"/>
        <v>0</v>
      </c>
      <c r="CQ77" s="57">
        <f>' WIP '!DV77</f>
        <v>0</v>
      </c>
      <c r="CR77" s="58"/>
      <c r="CS77" s="59">
        <f t="shared" si="126"/>
        <v>0</v>
      </c>
      <c r="CT77" s="31">
        <f t="shared" si="127"/>
        <v>0</v>
      </c>
      <c r="CU77" s="4">
        <f t="shared" si="128"/>
        <v>0</v>
      </c>
      <c r="CV77" s="5">
        <f>D77*'MASTER SHEET'!D77</f>
        <v>0</v>
      </c>
      <c r="CW77" s="5">
        <f>G77*'MASTER SHEET'!D77</f>
        <v>0</v>
      </c>
      <c r="CX77" s="5">
        <f>J77*'MASTER SHEET'!D77</f>
        <v>0</v>
      </c>
      <c r="CY77" s="5">
        <f>M77*'MASTER SHEET'!D77</f>
        <v>0</v>
      </c>
      <c r="CZ77" s="5">
        <f>P77*'MASTER SHEET'!D77</f>
        <v>0</v>
      </c>
      <c r="DA77" s="5">
        <f>S77*'MASTER SHEET'!D77</f>
        <v>0</v>
      </c>
      <c r="DB77" s="5">
        <f>V77*'MASTER SHEET'!D77</f>
        <v>0</v>
      </c>
      <c r="DC77" s="5">
        <f>Y77*'MASTER SHEET'!D77</f>
        <v>0</v>
      </c>
      <c r="DD77" s="5">
        <f>AB77*'MASTER SHEET'!D77</f>
        <v>0</v>
      </c>
      <c r="DE77" s="5">
        <f>AE77*'MASTER SHEET'!D77</f>
        <v>0</v>
      </c>
      <c r="DF77" s="5">
        <f>AH77*'MASTER SHEET'!D77</f>
        <v>0</v>
      </c>
      <c r="DG77" s="5">
        <f>AK77*'MASTER SHEET'!D77</f>
        <v>0</v>
      </c>
      <c r="DH77" s="5">
        <f>AN77*'MASTER SHEET'!D77</f>
        <v>0</v>
      </c>
      <c r="DI77" s="5">
        <f>AQ77*'MASTER SHEET'!D77</f>
        <v>0</v>
      </c>
      <c r="DJ77" s="5">
        <f>AT77*'MASTER SHEET'!D77</f>
        <v>0</v>
      </c>
      <c r="DK77" s="5">
        <f>AW77*'MASTER SHEET'!D77</f>
        <v>0</v>
      </c>
      <c r="DL77" s="5">
        <f>AZ77*'MASTER SHEET'!D77</f>
        <v>0</v>
      </c>
      <c r="DM77" s="5">
        <f>BC77*'MASTER SHEET'!D77</f>
        <v>0</v>
      </c>
      <c r="DN77" s="5">
        <f>BF77*'MASTER SHEET'!D77</f>
        <v>0</v>
      </c>
      <c r="DO77" s="5">
        <f>BI77*'MASTER SHEET'!D77</f>
        <v>0</v>
      </c>
      <c r="DP77" s="5">
        <f>BL77*'MASTER SHEET'!D77</f>
        <v>0</v>
      </c>
      <c r="DQ77" s="5">
        <f>BO77*'MASTER SHEET'!D77</f>
        <v>0</v>
      </c>
      <c r="DR77" s="5">
        <f>BR77*'MASTER SHEET'!D77</f>
        <v>0</v>
      </c>
      <c r="DS77" s="5">
        <f>BU77*'MASTER SHEET'!D77</f>
        <v>0</v>
      </c>
      <c r="DT77" s="5">
        <f>BX77*'MASTER SHEET'!D77</f>
        <v>0</v>
      </c>
      <c r="DU77" s="5">
        <f>CA77*'MASTER SHEET'!D77</f>
        <v>0</v>
      </c>
      <c r="DV77" s="5">
        <f>CD77*'MASTER SHEET'!D77</f>
        <v>0</v>
      </c>
      <c r="DW77" s="5">
        <f>CG77*'MASTER SHEET'!D77</f>
        <v>0</v>
      </c>
      <c r="DX77" s="5">
        <f>CJ77*'MASTER SHEET'!D77</f>
        <v>0</v>
      </c>
      <c r="DY77" s="5">
        <f>CM77*'MASTER SHEET'!D77</f>
        <v>0</v>
      </c>
      <c r="DZ77" s="5">
        <f>CP77*'MASTER SHEET'!D77</f>
        <v>0</v>
      </c>
      <c r="EA77" s="5">
        <f>CS77*'MASTER SHEET'!D77</f>
        <v>0</v>
      </c>
      <c r="EB77" s="9"/>
    </row>
    <row r="78" spans="1:132" ht="15.75" x14ac:dyDescent="0.25">
      <c r="A78" s="25">
        <f>'MASTER SHEET'!A78</f>
        <v>76</v>
      </c>
      <c r="B78" s="26" t="str">
        <f>'MASTER SHEET'!B78</f>
        <v>BASE HOUSING CRANKCASE</v>
      </c>
      <c r="C78" s="27">
        <f>'MASTER SHEET'!C78</f>
        <v>5024978</v>
      </c>
      <c r="D78" s="56">
        <v>0</v>
      </c>
      <c r="E78" s="57">
        <f>' WIP '!F78</f>
        <v>0</v>
      </c>
      <c r="F78" s="58">
        <v>0</v>
      </c>
      <c r="G78" s="59">
        <f t="shared" si="96"/>
        <v>0</v>
      </c>
      <c r="H78" s="57">
        <f>' WIP '!J78</f>
        <v>0</v>
      </c>
      <c r="I78" s="58">
        <v>0</v>
      </c>
      <c r="J78" s="59">
        <f t="shared" si="97"/>
        <v>0</v>
      </c>
      <c r="K78" s="57">
        <f>' WIP '!N78</f>
        <v>0</v>
      </c>
      <c r="L78" s="58"/>
      <c r="M78" s="59">
        <f t="shared" si="98"/>
        <v>0</v>
      </c>
      <c r="N78" s="57">
        <f>' WIP '!R78</f>
        <v>0</v>
      </c>
      <c r="O78" s="58">
        <v>0</v>
      </c>
      <c r="P78" s="59">
        <f t="shared" si="99"/>
        <v>0</v>
      </c>
      <c r="Q78" s="57">
        <f>' WIP '!V78</f>
        <v>0</v>
      </c>
      <c r="R78" s="58">
        <v>0</v>
      </c>
      <c r="S78" s="59">
        <f t="shared" si="100"/>
        <v>0</v>
      </c>
      <c r="T78" s="57">
        <f>' WIP '!Z78</f>
        <v>0</v>
      </c>
      <c r="U78" s="58">
        <v>0</v>
      </c>
      <c r="V78" s="59">
        <f t="shared" si="101"/>
        <v>0</v>
      </c>
      <c r="W78" s="57">
        <f>' WIP '!AD78</f>
        <v>0</v>
      </c>
      <c r="X78" s="58">
        <v>0</v>
      </c>
      <c r="Y78" s="59">
        <f t="shared" si="102"/>
        <v>0</v>
      </c>
      <c r="Z78" s="57">
        <f>' WIP '!AH78</f>
        <v>0</v>
      </c>
      <c r="AA78" s="58">
        <v>0</v>
      </c>
      <c r="AB78" s="59">
        <f t="shared" si="103"/>
        <v>0</v>
      </c>
      <c r="AC78" s="57">
        <f>' WIP '!AL78</f>
        <v>0</v>
      </c>
      <c r="AD78" s="58">
        <v>0</v>
      </c>
      <c r="AE78" s="59">
        <f t="shared" si="104"/>
        <v>0</v>
      </c>
      <c r="AF78" s="57">
        <f>' WIP '!AP78</f>
        <v>0</v>
      </c>
      <c r="AG78" s="114">
        <v>0</v>
      </c>
      <c r="AH78" s="59">
        <f t="shared" si="105"/>
        <v>0</v>
      </c>
      <c r="AI78" s="57">
        <f>' WIP '!AT78</f>
        <v>100</v>
      </c>
      <c r="AJ78" s="58">
        <v>100</v>
      </c>
      <c r="AK78" s="59">
        <f t="shared" si="106"/>
        <v>0</v>
      </c>
      <c r="AL78" s="57">
        <f>' WIP '!AX78</f>
        <v>0</v>
      </c>
      <c r="AM78" s="58"/>
      <c r="AN78" s="59">
        <f t="shared" si="107"/>
        <v>0</v>
      </c>
      <c r="AO78" s="57">
        <f>' WIP '!BB78</f>
        <v>0</v>
      </c>
      <c r="AP78" s="58">
        <v>0</v>
      </c>
      <c r="AQ78" s="59">
        <f t="shared" si="108"/>
        <v>0</v>
      </c>
      <c r="AR78" s="57">
        <f>' WIP '!BF78</f>
        <v>0</v>
      </c>
      <c r="AS78" s="58">
        <v>0</v>
      </c>
      <c r="AT78" s="59">
        <f t="shared" si="109"/>
        <v>0</v>
      </c>
      <c r="AU78" s="57">
        <f>' WIP '!BJ78</f>
        <v>0</v>
      </c>
      <c r="AV78" s="58">
        <v>0</v>
      </c>
      <c r="AW78" s="59">
        <f t="shared" si="110"/>
        <v>0</v>
      </c>
      <c r="AX78" s="57">
        <f>' WIP '!BN78</f>
        <v>0</v>
      </c>
      <c r="AY78" s="58">
        <v>0</v>
      </c>
      <c r="AZ78" s="59">
        <f t="shared" si="111"/>
        <v>0</v>
      </c>
      <c r="BA78" s="57">
        <f>' WIP '!BR78</f>
        <v>0</v>
      </c>
      <c r="BB78" s="58">
        <v>0</v>
      </c>
      <c r="BC78" s="59">
        <f t="shared" si="112"/>
        <v>0</v>
      </c>
      <c r="BD78" s="57">
        <f>' WIP '!BV78</f>
        <v>0</v>
      </c>
      <c r="BE78" s="58">
        <v>0</v>
      </c>
      <c r="BF78" s="59">
        <f t="shared" si="113"/>
        <v>0</v>
      </c>
      <c r="BG78" s="57">
        <f>' WIP '!BZ78</f>
        <v>0</v>
      </c>
      <c r="BH78" s="58"/>
      <c r="BI78" s="59">
        <f t="shared" si="114"/>
        <v>0</v>
      </c>
      <c r="BJ78" s="57">
        <f>' WIP '!CD78</f>
        <v>0</v>
      </c>
      <c r="BK78" s="58">
        <v>0</v>
      </c>
      <c r="BL78" s="59">
        <f t="shared" si="115"/>
        <v>0</v>
      </c>
      <c r="BM78" s="57">
        <f>' WIP '!CH78</f>
        <v>0</v>
      </c>
      <c r="BN78" s="58">
        <v>0</v>
      </c>
      <c r="BO78" s="59">
        <f t="shared" si="116"/>
        <v>0</v>
      </c>
      <c r="BP78" s="57">
        <f>' WIP '!CL78</f>
        <v>0</v>
      </c>
      <c r="BQ78" s="58"/>
      <c r="BR78" s="59">
        <f t="shared" si="117"/>
        <v>0</v>
      </c>
      <c r="BS78" s="57">
        <f>' WIP '!CP78</f>
        <v>0</v>
      </c>
      <c r="BT78" s="58">
        <v>0</v>
      </c>
      <c r="BU78" s="59">
        <f t="shared" si="118"/>
        <v>0</v>
      </c>
      <c r="BV78" s="57">
        <f>' WIP '!CT78</f>
        <v>0</v>
      </c>
      <c r="BW78" s="28">
        <v>0</v>
      </c>
      <c r="BX78" s="59">
        <f t="shared" si="119"/>
        <v>0</v>
      </c>
      <c r="BY78" s="57">
        <f>' WIP '!CX78</f>
        <v>0</v>
      </c>
      <c r="BZ78" s="58">
        <v>0</v>
      </c>
      <c r="CA78" s="59">
        <f t="shared" si="120"/>
        <v>0</v>
      </c>
      <c r="CB78" s="57">
        <f>' WIP '!DB78</f>
        <v>0</v>
      </c>
      <c r="CC78" s="58">
        <v>0</v>
      </c>
      <c r="CD78" s="59">
        <f t="shared" si="121"/>
        <v>0</v>
      </c>
      <c r="CE78" s="57">
        <f>' WIP '!DF78</f>
        <v>0</v>
      </c>
      <c r="CF78" s="58">
        <v>0</v>
      </c>
      <c r="CG78" s="59">
        <f t="shared" si="122"/>
        <v>0</v>
      </c>
      <c r="CH78" s="57">
        <f>' WIP '!DJ78</f>
        <v>0</v>
      </c>
      <c r="CI78" s="58">
        <v>0</v>
      </c>
      <c r="CJ78" s="59">
        <f t="shared" si="123"/>
        <v>0</v>
      </c>
      <c r="CK78" s="57">
        <f>' WIP '!DN78</f>
        <v>0</v>
      </c>
      <c r="CL78" s="58">
        <v>0</v>
      </c>
      <c r="CM78" s="59">
        <f t="shared" si="124"/>
        <v>0</v>
      </c>
      <c r="CN78" s="57">
        <f>' WIP '!DR78</f>
        <v>0</v>
      </c>
      <c r="CO78" s="57"/>
      <c r="CP78" s="59">
        <f t="shared" si="125"/>
        <v>0</v>
      </c>
      <c r="CQ78" s="57">
        <f>' WIP '!DV78</f>
        <v>0</v>
      </c>
      <c r="CR78" s="58"/>
      <c r="CS78" s="59">
        <f t="shared" si="126"/>
        <v>0</v>
      </c>
      <c r="CT78" s="31">
        <f t="shared" si="127"/>
        <v>100</v>
      </c>
      <c r="CU78" s="4">
        <f t="shared" si="128"/>
        <v>100</v>
      </c>
      <c r="CV78" s="5">
        <f>D78*'MASTER SHEET'!D78</f>
        <v>0</v>
      </c>
      <c r="CW78" s="5">
        <f>G78*'MASTER SHEET'!D78</f>
        <v>0</v>
      </c>
      <c r="CX78" s="5">
        <f>J78*'MASTER SHEET'!D78</f>
        <v>0</v>
      </c>
      <c r="CY78" s="5">
        <f>M78*'MASTER SHEET'!D78</f>
        <v>0</v>
      </c>
      <c r="CZ78" s="5">
        <f>P78*'MASTER SHEET'!D78</f>
        <v>0</v>
      </c>
      <c r="DA78" s="5">
        <f>S78*'MASTER SHEET'!D78</f>
        <v>0</v>
      </c>
      <c r="DB78" s="5">
        <f>V78*'MASTER SHEET'!D78</f>
        <v>0</v>
      </c>
      <c r="DC78" s="5">
        <f>Y78*'MASTER SHEET'!D78</f>
        <v>0</v>
      </c>
      <c r="DD78" s="5">
        <f>AB78*'MASTER SHEET'!D78</f>
        <v>0</v>
      </c>
      <c r="DE78" s="5">
        <f>AE78*'MASTER SHEET'!D78</f>
        <v>0</v>
      </c>
      <c r="DF78" s="5">
        <f>AH78*'MASTER SHEET'!D78</f>
        <v>0</v>
      </c>
      <c r="DG78" s="5">
        <f>AK78*'MASTER SHEET'!D78</f>
        <v>0</v>
      </c>
      <c r="DH78" s="5">
        <f>AN78*'MASTER SHEET'!D78</f>
        <v>0</v>
      </c>
      <c r="DI78" s="5">
        <f>AQ78*'MASTER SHEET'!D78</f>
        <v>0</v>
      </c>
      <c r="DJ78" s="5">
        <f>AT78*'MASTER SHEET'!D78</f>
        <v>0</v>
      </c>
      <c r="DK78" s="5">
        <f>AW78*'MASTER SHEET'!D78</f>
        <v>0</v>
      </c>
      <c r="DL78" s="5">
        <f>AZ78*'MASTER SHEET'!D78</f>
        <v>0</v>
      </c>
      <c r="DM78" s="5">
        <f>BC78*'MASTER SHEET'!D78</f>
        <v>0</v>
      </c>
      <c r="DN78" s="5">
        <f>BF78*'MASTER SHEET'!D78</f>
        <v>0</v>
      </c>
      <c r="DO78" s="5">
        <f>BI78*'MASTER SHEET'!D78</f>
        <v>0</v>
      </c>
      <c r="DP78" s="5">
        <f>BL78*'MASTER SHEET'!D78</f>
        <v>0</v>
      </c>
      <c r="DQ78" s="5">
        <f>BO78*'MASTER SHEET'!D78</f>
        <v>0</v>
      </c>
      <c r="DR78" s="5">
        <f>BR78*'MASTER SHEET'!D78</f>
        <v>0</v>
      </c>
      <c r="DS78" s="5">
        <f>BU78*'MASTER SHEET'!D78</f>
        <v>0</v>
      </c>
      <c r="DT78" s="5">
        <f>BX78*'MASTER SHEET'!D78</f>
        <v>0</v>
      </c>
      <c r="DU78" s="5">
        <f>CA78*'MASTER SHEET'!D78</f>
        <v>0</v>
      </c>
      <c r="DV78" s="5">
        <f>CD78*'MASTER SHEET'!D78</f>
        <v>0</v>
      </c>
      <c r="DW78" s="5">
        <f>CG78*'MASTER SHEET'!D78</f>
        <v>0</v>
      </c>
      <c r="DX78" s="5">
        <f>CJ78*'MASTER SHEET'!D78</f>
        <v>0</v>
      </c>
      <c r="DY78" s="5">
        <f>CM78*'MASTER SHEET'!D78</f>
        <v>0</v>
      </c>
      <c r="DZ78" s="5">
        <f>CP78*'MASTER SHEET'!D78</f>
        <v>0</v>
      </c>
      <c r="EA78" s="5">
        <f>CS78*'MASTER SHEET'!D78</f>
        <v>0</v>
      </c>
      <c r="EB78" s="9"/>
    </row>
    <row r="79" spans="1:132" ht="15.75" x14ac:dyDescent="0.25">
      <c r="A79" s="25">
        <f>'MASTER SHEET'!A79</f>
        <v>77</v>
      </c>
      <c r="B79" s="26">
        <f>'MASTER SHEET'!B79</f>
        <v>0</v>
      </c>
      <c r="C79" s="27">
        <f>'MASTER SHEET'!C79</f>
        <v>5032514</v>
      </c>
      <c r="D79" s="56">
        <v>200</v>
      </c>
      <c r="E79" s="57">
        <f>' WIP '!F79</f>
        <v>0</v>
      </c>
      <c r="F79" s="58">
        <v>0</v>
      </c>
      <c r="G79" s="59">
        <f t="shared" si="96"/>
        <v>200</v>
      </c>
      <c r="H79" s="57">
        <f>' WIP '!J79</f>
        <v>0</v>
      </c>
      <c r="I79" s="58">
        <v>0</v>
      </c>
      <c r="J79" s="59">
        <f t="shared" si="97"/>
        <v>200</v>
      </c>
      <c r="K79" s="57">
        <f>' WIP '!N79</f>
        <v>0</v>
      </c>
      <c r="L79" s="58"/>
      <c r="M79" s="59">
        <f t="shared" si="98"/>
        <v>200</v>
      </c>
      <c r="N79" s="57">
        <f>' WIP '!R79</f>
        <v>500</v>
      </c>
      <c r="O79" s="58">
        <v>400</v>
      </c>
      <c r="P79" s="59">
        <f t="shared" si="99"/>
        <v>300</v>
      </c>
      <c r="Q79" s="57">
        <f>' WIP '!V79</f>
        <v>0</v>
      </c>
      <c r="R79" s="58">
        <v>0</v>
      </c>
      <c r="S79" s="59">
        <f t="shared" si="100"/>
        <v>300</v>
      </c>
      <c r="T79" s="57">
        <f>' WIP '!Z79</f>
        <v>0</v>
      </c>
      <c r="U79" s="58">
        <v>300</v>
      </c>
      <c r="V79" s="59">
        <f t="shared" si="101"/>
        <v>0</v>
      </c>
      <c r="W79" s="57">
        <f>' WIP '!AD79</f>
        <v>0</v>
      </c>
      <c r="X79" s="58">
        <v>0</v>
      </c>
      <c r="Y79" s="59">
        <f t="shared" si="102"/>
        <v>0</v>
      </c>
      <c r="Z79" s="57">
        <f>' WIP '!AH79</f>
        <v>0</v>
      </c>
      <c r="AA79" s="58">
        <v>0</v>
      </c>
      <c r="AB79" s="59">
        <f t="shared" si="103"/>
        <v>0</v>
      </c>
      <c r="AC79" s="57">
        <f>' WIP '!AL79</f>
        <v>0</v>
      </c>
      <c r="AD79" s="58">
        <v>0</v>
      </c>
      <c r="AE79" s="59">
        <f t="shared" si="104"/>
        <v>0</v>
      </c>
      <c r="AF79" s="57">
        <f>' WIP '!AP79</f>
        <v>100</v>
      </c>
      <c r="AG79" s="114">
        <v>100</v>
      </c>
      <c r="AH79" s="59">
        <f t="shared" si="105"/>
        <v>0</v>
      </c>
      <c r="AI79" s="57">
        <f>' WIP '!AT79</f>
        <v>0</v>
      </c>
      <c r="AJ79" s="58">
        <v>0</v>
      </c>
      <c r="AK79" s="59">
        <f t="shared" si="106"/>
        <v>0</v>
      </c>
      <c r="AL79" s="57">
        <f>' WIP '!AX79</f>
        <v>0</v>
      </c>
      <c r="AM79" s="58"/>
      <c r="AN79" s="59">
        <f t="shared" si="107"/>
        <v>0</v>
      </c>
      <c r="AO79" s="57">
        <f>' WIP '!BB79</f>
        <v>0</v>
      </c>
      <c r="AP79" s="58">
        <v>0</v>
      </c>
      <c r="AQ79" s="59">
        <f t="shared" si="108"/>
        <v>0</v>
      </c>
      <c r="AR79" s="57">
        <f>' WIP '!BF79</f>
        <v>900</v>
      </c>
      <c r="AS79" s="58">
        <v>900</v>
      </c>
      <c r="AT79" s="59">
        <f t="shared" si="109"/>
        <v>0</v>
      </c>
      <c r="AU79" s="57">
        <f>' WIP '!BJ79</f>
        <v>0</v>
      </c>
      <c r="AV79" s="58">
        <v>0</v>
      </c>
      <c r="AW79" s="59">
        <f t="shared" si="110"/>
        <v>0</v>
      </c>
      <c r="AX79" s="57">
        <f>' WIP '!BN79</f>
        <v>1100</v>
      </c>
      <c r="AY79" s="58">
        <v>600</v>
      </c>
      <c r="AZ79" s="59">
        <f t="shared" si="111"/>
        <v>500</v>
      </c>
      <c r="BA79" s="57">
        <f>' WIP '!BR79</f>
        <v>0</v>
      </c>
      <c r="BB79" s="58">
        <v>500</v>
      </c>
      <c r="BC79" s="59">
        <f t="shared" si="112"/>
        <v>0</v>
      </c>
      <c r="BD79" s="57">
        <f>' WIP '!BV79</f>
        <v>0</v>
      </c>
      <c r="BE79" s="58">
        <v>0</v>
      </c>
      <c r="BF79" s="59">
        <f t="shared" si="113"/>
        <v>0</v>
      </c>
      <c r="BG79" s="57">
        <f>' WIP '!BZ79</f>
        <v>0</v>
      </c>
      <c r="BH79" s="58"/>
      <c r="BI79" s="59">
        <f t="shared" si="114"/>
        <v>0</v>
      </c>
      <c r="BJ79" s="57">
        <f>' WIP '!CD79</f>
        <v>0</v>
      </c>
      <c r="BK79" s="58">
        <v>0</v>
      </c>
      <c r="BL79" s="59">
        <f t="shared" si="115"/>
        <v>0</v>
      </c>
      <c r="BM79" s="57">
        <f>' WIP '!CH79</f>
        <v>0</v>
      </c>
      <c r="BN79" s="58">
        <v>0</v>
      </c>
      <c r="BO79" s="59">
        <f t="shared" si="116"/>
        <v>0</v>
      </c>
      <c r="BP79" s="57">
        <f>' WIP '!CL79</f>
        <v>0</v>
      </c>
      <c r="BQ79" s="58"/>
      <c r="BR79" s="59">
        <f t="shared" si="117"/>
        <v>0</v>
      </c>
      <c r="BS79" s="57">
        <f>' WIP '!CP79</f>
        <v>0</v>
      </c>
      <c r="BT79" s="58">
        <v>0</v>
      </c>
      <c r="BU79" s="59">
        <f t="shared" si="118"/>
        <v>0</v>
      </c>
      <c r="BV79" s="57">
        <f>' WIP '!CT79</f>
        <v>0</v>
      </c>
      <c r="BW79" s="28">
        <v>0</v>
      </c>
      <c r="BX79" s="59">
        <f t="shared" si="119"/>
        <v>0</v>
      </c>
      <c r="BY79" s="57">
        <f>' WIP '!CX79</f>
        <v>0</v>
      </c>
      <c r="BZ79" s="58">
        <v>0</v>
      </c>
      <c r="CA79" s="59">
        <f t="shared" si="120"/>
        <v>0</v>
      </c>
      <c r="CB79" s="57">
        <f>' WIP '!DB79</f>
        <v>0</v>
      </c>
      <c r="CC79" s="58">
        <v>0</v>
      </c>
      <c r="CD79" s="59">
        <f t="shared" si="121"/>
        <v>0</v>
      </c>
      <c r="CE79" s="57">
        <f>' WIP '!DF79</f>
        <v>1700</v>
      </c>
      <c r="CF79" s="58">
        <v>0</v>
      </c>
      <c r="CG79" s="59">
        <f t="shared" si="122"/>
        <v>1700</v>
      </c>
      <c r="CH79" s="57">
        <f>' WIP '!DJ79</f>
        <v>0</v>
      </c>
      <c r="CI79" s="58">
        <v>1700</v>
      </c>
      <c r="CJ79" s="59">
        <f t="shared" si="123"/>
        <v>0</v>
      </c>
      <c r="CK79" s="57">
        <f>' WIP '!DN79</f>
        <v>0</v>
      </c>
      <c r="CL79" s="58">
        <v>0</v>
      </c>
      <c r="CM79" s="59">
        <f t="shared" si="124"/>
        <v>0</v>
      </c>
      <c r="CN79" s="57">
        <f>' WIP '!DR79</f>
        <v>0</v>
      </c>
      <c r="CO79" s="57"/>
      <c r="CP79" s="59">
        <f t="shared" si="125"/>
        <v>0</v>
      </c>
      <c r="CQ79" s="57">
        <f>' WIP '!DV79</f>
        <v>0</v>
      </c>
      <c r="CR79" s="58"/>
      <c r="CS79" s="59">
        <f t="shared" si="126"/>
        <v>0</v>
      </c>
      <c r="CT79" s="31">
        <f t="shared" si="127"/>
        <v>4500</v>
      </c>
      <c r="CU79" s="4">
        <f t="shared" si="128"/>
        <v>4500</v>
      </c>
      <c r="CV79" s="5">
        <f>D79*'MASTER SHEET'!D79</f>
        <v>514</v>
      </c>
      <c r="CW79" s="5">
        <f>G79*'MASTER SHEET'!D79</f>
        <v>514</v>
      </c>
      <c r="CX79" s="5">
        <f>J79*'MASTER SHEET'!D79</f>
        <v>514</v>
      </c>
      <c r="CY79" s="5">
        <f>M79*'MASTER SHEET'!D79</f>
        <v>514</v>
      </c>
      <c r="CZ79" s="5">
        <f>P79*'MASTER SHEET'!D79</f>
        <v>771</v>
      </c>
      <c r="DA79" s="5">
        <f>S79*'MASTER SHEET'!D79</f>
        <v>771</v>
      </c>
      <c r="DB79" s="5">
        <f>V79*'MASTER SHEET'!D79</f>
        <v>0</v>
      </c>
      <c r="DC79" s="5">
        <f>Y79*'MASTER SHEET'!D79</f>
        <v>0</v>
      </c>
      <c r="DD79" s="5">
        <f>AB79*'MASTER SHEET'!D79</f>
        <v>0</v>
      </c>
      <c r="DE79" s="5">
        <f>AE79*'MASTER SHEET'!D79</f>
        <v>0</v>
      </c>
      <c r="DF79" s="5">
        <f>AH79*'MASTER SHEET'!D79</f>
        <v>0</v>
      </c>
      <c r="DG79" s="5">
        <f>AK79*'MASTER SHEET'!D79</f>
        <v>0</v>
      </c>
      <c r="DH79" s="5">
        <f>AN79*'MASTER SHEET'!D79</f>
        <v>0</v>
      </c>
      <c r="DI79" s="5">
        <f>AQ79*'MASTER SHEET'!D79</f>
        <v>0</v>
      </c>
      <c r="DJ79" s="5">
        <f>AT79*'MASTER SHEET'!D79</f>
        <v>0</v>
      </c>
      <c r="DK79" s="5">
        <f>AW79*'MASTER SHEET'!D79</f>
        <v>0</v>
      </c>
      <c r="DL79" s="5">
        <f>AZ79*'MASTER SHEET'!D79</f>
        <v>1285</v>
      </c>
      <c r="DM79" s="5">
        <f>BC79*'MASTER SHEET'!D79</f>
        <v>0</v>
      </c>
      <c r="DN79" s="5">
        <f>BF79*'MASTER SHEET'!D79</f>
        <v>0</v>
      </c>
      <c r="DO79" s="5">
        <f>BI79*'MASTER SHEET'!D79</f>
        <v>0</v>
      </c>
      <c r="DP79" s="5">
        <f>BL79*'MASTER SHEET'!D79</f>
        <v>0</v>
      </c>
      <c r="DQ79" s="5">
        <f>BO79*'MASTER SHEET'!D79</f>
        <v>0</v>
      </c>
      <c r="DR79" s="5">
        <f>BR79*'MASTER SHEET'!D79</f>
        <v>0</v>
      </c>
      <c r="DS79" s="5">
        <f>BU79*'MASTER SHEET'!D79</f>
        <v>0</v>
      </c>
      <c r="DT79" s="5">
        <f>BX79*'MASTER SHEET'!D79</f>
        <v>0</v>
      </c>
      <c r="DU79" s="5">
        <f>CA79*'MASTER SHEET'!D79</f>
        <v>0</v>
      </c>
      <c r="DV79" s="5">
        <f>CD79*'MASTER SHEET'!D79</f>
        <v>0</v>
      </c>
      <c r="DW79" s="5">
        <f>CG79*'MASTER SHEET'!D79</f>
        <v>4369</v>
      </c>
      <c r="DX79" s="5">
        <f>CJ79*'MASTER SHEET'!D79</f>
        <v>0</v>
      </c>
      <c r="DY79" s="5">
        <f>CM79*'MASTER SHEET'!D79</f>
        <v>0</v>
      </c>
      <c r="DZ79" s="5">
        <f>CP79*'MASTER SHEET'!D79</f>
        <v>0</v>
      </c>
      <c r="EA79" s="5">
        <f>CS79*'MASTER SHEET'!D79</f>
        <v>0</v>
      </c>
      <c r="EB79" s="143">
        <f>VLOOKUP($C79,'[1]GREEN LEV.₹'!$I$2:$K$54,3,0)</f>
        <v>500</v>
      </c>
    </row>
    <row r="80" spans="1:132" ht="15.75" x14ac:dyDescent="0.25">
      <c r="A80" s="25">
        <f>'MASTER SHEET'!A80</f>
        <v>78</v>
      </c>
      <c r="B80" s="26">
        <f>'MASTER SHEET'!B80</f>
        <v>0</v>
      </c>
      <c r="C80" s="27">
        <f>'MASTER SHEET'!C80</f>
        <v>5031194</v>
      </c>
      <c r="D80" s="56">
        <v>700</v>
      </c>
      <c r="E80" s="57">
        <f>' WIP '!F80</f>
        <v>0</v>
      </c>
      <c r="F80" s="58">
        <v>0</v>
      </c>
      <c r="G80" s="59">
        <f t="shared" si="96"/>
        <v>700</v>
      </c>
      <c r="H80" s="57">
        <f>' WIP '!J80</f>
        <v>0</v>
      </c>
      <c r="I80" s="58">
        <v>0</v>
      </c>
      <c r="J80" s="59">
        <f t="shared" si="97"/>
        <v>700</v>
      </c>
      <c r="K80" s="57">
        <f>' WIP '!N80</f>
        <v>0</v>
      </c>
      <c r="L80" s="58"/>
      <c r="M80" s="59">
        <f t="shared" si="98"/>
        <v>700</v>
      </c>
      <c r="N80" s="57">
        <f>' WIP '!R80</f>
        <v>0</v>
      </c>
      <c r="O80" s="58">
        <v>0</v>
      </c>
      <c r="P80" s="59">
        <f t="shared" si="99"/>
        <v>700</v>
      </c>
      <c r="Q80" s="57">
        <f>' WIP '!V80</f>
        <v>0</v>
      </c>
      <c r="R80" s="58">
        <v>100</v>
      </c>
      <c r="S80" s="59">
        <f t="shared" si="100"/>
        <v>600</v>
      </c>
      <c r="T80" s="57">
        <f>' WIP '!Z80</f>
        <v>0</v>
      </c>
      <c r="U80" s="58">
        <v>0</v>
      </c>
      <c r="V80" s="59">
        <f t="shared" si="101"/>
        <v>600</v>
      </c>
      <c r="W80" s="57">
        <f>' WIP '!AD80</f>
        <v>0</v>
      </c>
      <c r="X80" s="58">
        <v>0</v>
      </c>
      <c r="Y80" s="59">
        <f t="shared" si="102"/>
        <v>600</v>
      </c>
      <c r="Z80" s="57">
        <f>' WIP '!AH80</f>
        <v>0</v>
      </c>
      <c r="AA80" s="58">
        <v>0</v>
      </c>
      <c r="AB80" s="59">
        <f t="shared" si="103"/>
        <v>600</v>
      </c>
      <c r="AC80" s="57">
        <f>' WIP '!AL80</f>
        <v>0</v>
      </c>
      <c r="AD80" s="58">
        <v>0</v>
      </c>
      <c r="AE80" s="59">
        <f t="shared" si="104"/>
        <v>600</v>
      </c>
      <c r="AF80" s="57">
        <f>' WIP '!AP80</f>
        <v>0</v>
      </c>
      <c r="AG80" s="114">
        <v>0</v>
      </c>
      <c r="AH80" s="59">
        <f t="shared" si="105"/>
        <v>600</v>
      </c>
      <c r="AI80" s="57">
        <f>' WIP '!AT80</f>
        <v>0</v>
      </c>
      <c r="AJ80" s="58">
        <v>0</v>
      </c>
      <c r="AK80" s="59">
        <f t="shared" si="106"/>
        <v>600</v>
      </c>
      <c r="AL80" s="57">
        <f>' WIP '!AX80</f>
        <v>0</v>
      </c>
      <c r="AM80" s="58"/>
      <c r="AN80" s="59">
        <f t="shared" si="107"/>
        <v>600</v>
      </c>
      <c r="AO80" s="57">
        <f>' WIP '!BB80</f>
        <v>0</v>
      </c>
      <c r="AP80" s="58">
        <v>0</v>
      </c>
      <c r="AQ80" s="59">
        <f t="shared" si="108"/>
        <v>600</v>
      </c>
      <c r="AR80" s="57">
        <f>' WIP '!BF80</f>
        <v>0</v>
      </c>
      <c r="AS80" s="58">
        <v>0</v>
      </c>
      <c r="AT80" s="59">
        <f t="shared" si="109"/>
        <v>600</v>
      </c>
      <c r="AU80" s="57">
        <f>' WIP '!BJ80</f>
        <v>0</v>
      </c>
      <c r="AV80" s="58">
        <v>0</v>
      </c>
      <c r="AW80" s="59">
        <f t="shared" si="110"/>
        <v>600</v>
      </c>
      <c r="AX80" s="57">
        <f>' WIP '!BN80</f>
        <v>0</v>
      </c>
      <c r="AY80" s="58">
        <v>0</v>
      </c>
      <c r="AZ80" s="59">
        <f t="shared" si="111"/>
        <v>600</v>
      </c>
      <c r="BA80" s="57">
        <f>' WIP '!BR80</f>
        <v>0</v>
      </c>
      <c r="BB80" s="58">
        <v>0</v>
      </c>
      <c r="BC80" s="59">
        <f t="shared" si="112"/>
        <v>600</v>
      </c>
      <c r="BD80" s="57">
        <f>' WIP '!BV80</f>
        <v>0</v>
      </c>
      <c r="BE80" s="58">
        <v>0</v>
      </c>
      <c r="BF80" s="59">
        <f t="shared" si="113"/>
        <v>600</v>
      </c>
      <c r="BG80" s="57">
        <f>' WIP '!BZ80</f>
        <v>0</v>
      </c>
      <c r="BH80" s="58"/>
      <c r="BI80" s="59">
        <f t="shared" si="114"/>
        <v>600</v>
      </c>
      <c r="BJ80" s="57">
        <f>' WIP '!CD80</f>
        <v>0</v>
      </c>
      <c r="BK80" s="58">
        <v>0</v>
      </c>
      <c r="BL80" s="59">
        <f t="shared" si="115"/>
        <v>600</v>
      </c>
      <c r="BM80" s="57">
        <f>' WIP '!CH80</f>
        <v>0</v>
      </c>
      <c r="BN80" s="58">
        <v>0</v>
      </c>
      <c r="BO80" s="59">
        <f t="shared" si="116"/>
        <v>600</v>
      </c>
      <c r="BP80" s="57">
        <f>' WIP '!CL80</f>
        <v>0</v>
      </c>
      <c r="BQ80" s="58">
        <v>100</v>
      </c>
      <c r="BR80" s="59">
        <f t="shared" si="117"/>
        <v>500</v>
      </c>
      <c r="BS80" s="57">
        <f>' WIP '!CP80</f>
        <v>0</v>
      </c>
      <c r="BT80" s="58">
        <v>0</v>
      </c>
      <c r="BU80" s="59">
        <f t="shared" si="118"/>
        <v>500</v>
      </c>
      <c r="BV80" s="57">
        <f>' WIP '!CT80</f>
        <v>0</v>
      </c>
      <c r="BW80" s="28">
        <v>0</v>
      </c>
      <c r="BX80" s="59">
        <f t="shared" si="119"/>
        <v>500</v>
      </c>
      <c r="BY80" s="57">
        <f>' WIP '!CX80</f>
        <v>0</v>
      </c>
      <c r="BZ80" s="58">
        <v>0</v>
      </c>
      <c r="CA80" s="59">
        <f t="shared" si="120"/>
        <v>500</v>
      </c>
      <c r="CB80" s="57">
        <f>' WIP '!DB80</f>
        <v>0</v>
      </c>
      <c r="CC80" s="58">
        <v>0</v>
      </c>
      <c r="CD80" s="59">
        <f t="shared" si="121"/>
        <v>500</v>
      </c>
      <c r="CE80" s="57">
        <f>' WIP '!DF80</f>
        <v>0</v>
      </c>
      <c r="CF80" s="58">
        <v>0</v>
      </c>
      <c r="CG80" s="59">
        <f t="shared" si="122"/>
        <v>500</v>
      </c>
      <c r="CH80" s="57">
        <f>' WIP '!DJ80</f>
        <v>0</v>
      </c>
      <c r="CI80" s="58">
        <v>0</v>
      </c>
      <c r="CJ80" s="59">
        <f t="shared" si="123"/>
        <v>500</v>
      </c>
      <c r="CK80" s="57">
        <f>' WIP '!DN80</f>
        <v>0</v>
      </c>
      <c r="CL80" s="58">
        <v>0</v>
      </c>
      <c r="CM80" s="59">
        <f t="shared" si="124"/>
        <v>500</v>
      </c>
      <c r="CN80" s="57">
        <f>' WIP '!DR80</f>
        <v>0</v>
      </c>
      <c r="CO80" s="57"/>
      <c r="CP80" s="59">
        <f t="shared" si="125"/>
        <v>500</v>
      </c>
      <c r="CQ80" s="57">
        <f>' WIP '!DV80</f>
        <v>0</v>
      </c>
      <c r="CR80" s="58"/>
      <c r="CS80" s="59">
        <f t="shared" si="126"/>
        <v>500</v>
      </c>
      <c r="CT80" s="31">
        <f t="shared" si="127"/>
        <v>700</v>
      </c>
      <c r="CU80" s="4">
        <f t="shared" si="128"/>
        <v>200</v>
      </c>
      <c r="CV80" s="5">
        <f>D80*'MASTER SHEET'!D80</f>
        <v>13657.000000000002</v>
      </c>
      <c r="CW80" s="5">
        <f>G80*'MASTER SHEET'!D80</f>
        <v>13657.000000000002</v>
      </c>
      <c r="CX80" s="5">
        <f>J80*'MASTER SHEET'!D80</f>
        <v>13657.000000000002</v>
      </c>
      <c r="CY80" s="5">
        <f>M80*'MASTER SHEET'!D80</f>
        <v>13657.000000000002</v>
      </c>
      <c r="CZ80" s="5">
        <f>P80*'MASTER SHEET'!D80</f>
        <v>13657.000000000002</v>
      </c>
      <c r="DA80" s="5">
        <f>S80*'MASTER SHEET'!D80</f>
        <v>11706.000000000002</v>
      </c>
      <c r="DB80" s="5">
        <f>V80*'MASTER SHEET'!D80</f>
        <v>11706.000000000002</v>
      </c>
      <c r="DC80" s="5">
        <f>Y80*'MASTER SHEET'!D80</f>
        <v>11706.000000000002</v>
      </c>
      <c r="DD80" s="5">
        <f>AB80*'MASTER SHEET'!D80</f>
        <v>11706.000000000002</v>
      </c>
      <c r="DE80" s="5">
        <f>AE80*'MASTER SHEET'!D80</f>
        <v>11706.000000000002</v>
      </c>
      <c r="DF80" s="5">
        <f>AH80*'MASTER SHEET'!D80</f>
        <v>11706.000000000002</v>
      </c>
      <c r="DG80" s="5">
        <f>AK80*'MASTER SHEET'!D80</f>
        <v>11706.000000000002</v>
      </c>
      <c r="DH80" s="5">
        <f>AN80*'MASTER SHEET'!D80</f>
        <v>11706.000000000002</v>
      </c>
      <c r="DI80" s="5">
        <f>AQ80*'MASTER SHEET'!D80</f>
        <v>11706.000000000002</v>
      </c>
      <c r="DJ80" s="5">
        <f>AT80*'MASTER SHEET'!D80</f>
        <v>11706.000000000002</v>
      </c>
      <c r="DK80" s="5">
        <f>AW80*'MASTER SHEET'!D80</f>
        <v>11706.000000000002</v>
      </c>
      <c r="DL80" s="5">
        <f>AZ80*'MASTER SHEET'!D80</f>
        <v>11706.000000000002</v>
      </c>
      <c r="DM80" s="5">
        <f>BC80*'MASTER SHEET'!D80</f>
        <v>11706.000000000002</v>
      </c>
      <c r="DN80" s="5">
        <f>BF80*'MASTER SHEET'!D80</f>
        <v>11706.000000000002</v>
      </c>
      <c r="DO80" s="5">
        <f>BI80*'MASTER SHEET'!D80</f>
        <v>11706.000000000002</v>
      </c>
      <c r="DP80" s="5">
        <f>BL80*'MASTER SHEET'!D80</f>
        <v>11706.000000000002</v>
      </c>
      <c r="DQ80" s="5">
        <f>BO80*'MASTER SHEET'!D80</f>
        <v>11706.000000000002</v>
      </c>
      <c r="DR80" s="5">
        <f>BR80*'MASTER SHEET'!D80</f>
        <v>9755</v>
      </c>
      <c r="DS80" s="5">
        <f>BU80*'MASTER SHEET'!D80</f>
        <v>9755</v>
      </c>
      <c r="DT80" s="5">
        <f>BX80*'MASTER SHEET'!D80</f>
        <v>9755</v>
      </c>
      <c r="DU80" s="5">
        <f>CA80*'MASTER SHEET'!D80</f>
        <v>9755</v>
      </c>
      <c r="DV80" s="5">
        <f>CD80*'MASTER SHEET'!D80</f>
        <v>9755</v>
      </c>
      <c r="DW80" s="5">
        <f>CG80*'MASTER SHEET'!D80</f>
        <v>9755</v>
      </c>
      <c r="DX80" s="5">
        <f>CJ80*'MASTER SHEET'!D80</f>
        <v>9755</v>
      </c>
      <c r="DY80" s="5">
        <f>CM80*'MASTER SHEET'!D80</f>
        <v>9755</v>
      </c>
      <c r="DZ80" s="5">
        <f>CP80*'MASTER SHEET'!D80</f>
        <v>9755</v>
      </c>
      <c r="EA80" s="5">
        <f>CS80*'MASTER SHEET'!D80</f>
        <v>9755</v>
      </c>
      <c r="EB80" s="9"/>
    </row>
    <row r="81" spans="1:132" ht="15.75" x14ac:dyDescent="0.25">
      <c r="A81" s="25">
        <f>'MASTER SHEET'!A81</f>
        <v>79</v>
      </c>
      <c r="B81" s="26" t="str">
        <f>'MASTER SHEET'!B81</f>
        <v>COVER TOP, PLASTIC</v>
      </c>
      <c r="C81" s="27">
        <f>'MASTER SHEET'!C81</f>
        <v>5040709</v>
      </c>
      <c r="D81" s="56">
        <v>400</v>
      </c>
      <c r="E81" s="57">
        <f>' WIP '!F81</f>
        <v>0</v>
      </c>
      <c r="F81" s="58">
        <v>0</v>
      </c>
      <c r="G81" s="59">
        <f t="shared" si="96"/>
        <v>400</v>
      </c>
      <c r="H81" s="57">
        <f>' WIP '!J81</f>
        <v>0</v>
      </c>
      <c r="I81" s="58">
        <v>0</v>
      </c>
      <c r="J81" s="59">
        <f t="shared" si="97"/>
        <v>400</v>
      </c>
      <c r="K81" s="57">
        <f>' WIP '!N81</f>
        <v>0</v>
      </c>
      <c r="L81" s="58"/>
      <c r="M81" s="59">
        <f t="shared" si="98"/>
        <v>400</v>
      </c>
      <c r="N81" s="57">
        <f>' WIP '!R81</f>
        <v>0</v>
      </c>
      <c r="O81" s="58">
        <v>0</v>
      </c>
      <c r="P81" s="59">
        <f t="shared" si="99"/>
        <v>400</v>
      </c>
      <c r="Q81" s="57">
        <f>' WIP '!V81</f>
        <v>0</v>
      </c>
      <c r="R81" s="58">
        <v>0</v>
      </c>
      <c r="S81" s="59">
        <f t="shared" si="100"/>
        <v>400</v>
      </c>
      <c r="T81" s="57">
        <f>' WIP '!Z81</f>
        <v>0</v>
      </c>
      <c r="U81" s="58">
        <v>0</v>
      </c>
      <c r="V81" s="59">
        <f t="shared" si="101"/>
        <v>400</v>
      </c>
      <c r="W81" s="57">
        <f>' WIP '!AD81</f>
        <v>0</v>
      </c>
      <c r="X81" s="58">
        <v>0</v>
      </c>
      <c r="Y81" s="59">
        <f t="shared" si="102"/>
        <v>400</v>
      </c>
      <c r="Z81" s="57">
        <f>' WIP '!AH81</f>
        <v>0</v>
      </c>
      <c r="AA81" s="58">
        <v>0</v>
      </c>
      <c r="AB81" s="59">
        <f t="shared" si="103"/>
        <v>400</v>
      </c>
      <c r="AC81" s="57">
        <f>' WIP '!AL81</f>
        <v>0</v>
      </c>
      <c r="AD81" s="58">
        <v>0</v>
      </c>
      <c r="AE81" s="59">
        <f t="shared" si="104"/>
        <v>400</v>
      </c>
      <c r="AF81" s="57">
        <f>' WIP '!AP81</f>
        <v>0</v>
      </c>
      <c r="AG81" s="114">
        <v>0</v>
      </c>
      <c r="AH81" s="59">
        <f t="shared" si="105"/>
        <v>400</v>
      </c>
      <c r="AI81" s="57">
        <f>' WIP '!AT81</f>
        <v>0</v>
      </c>
      <c r="AJ81" s="58">
        <v>0</v>
      </c>
      <c r="AK81" s="59">
        <f t="shared" si="106"/>
        <v>400</v>
      </c>
      <c r="AL81" s="57">
        <f>' WIP '!AX81</f>
        <v>0</v>
      </c>
      <c r="AM81" s="58"/>
      <c r="AN81" s="59">
        <f t="shared" si="107"/>
        <v>400</v>
      </c>
      <c r="AO81" s="57">
        <f>' WIP '!BB81</f>
        <v>0</v>
      </c>
      <c r="AP81" s="58">
        <v>0</v>
      </c>
      <c r="AQ81" s="59">
        <f t="shared" si="108"/>
        <v>400</v>
      </c>
      <c r="AR81" s="57">
        <f>' WIP '!BF81</f>
        <v>0</v>
      </c>
      <c r="AS81" s="58">
        <v>0</v>
      </c>
      <c r="AT81" s="59">
        <f t="shared" si="109"/>
        <v>400</v>
      </c>
      <c r="AU81" s="57">
        <f>' WIP '!BJ81</f>
        <v>0</v>
      </c>
      <c r="AV81" s="58">
        <v>0</v>
      </c>
      <c r="AW81" s="59">
        <f t="shared" si="110"/>
        <v>400</v>
      </c>
      <c r="AX81" s="57">
        <f>' WIP '!BN81</f>
        <v>0</v>
      </c>
      <c r="AY81" s="58">
        <v>0</v>
      </c>
      <c r="AZ81" s="59">
        <f t="shared" si="111"/>
        <v>400</v>
      </c>
      <c r="BA81" s="57">
        <f>' WIP '!BR81</f>
        <v>0</v>
      </c>
      <c r="BB81" s="58">
        <v>0</v>
      </c>
      <c r="BC81" s="59">
        <f t="shared" si="112"/>
        <v>400</v>
      </c>
      <c r="BD81" s="57">
        <f>' WIP '!BV81</f>
        <v>0</v>
      </c>
      <c r="BE81" s="58">
        <v>0</v>
      </c>
      <c r="BF81" s="59">
        <f t="shared" si="113"/>
        <v>400</v>
      </c>
      <c r="BG81" s="57">
        <f>' WIP '!BZ81</f>
        <v>0</v>
      </c>
      <c r="BH81" s="58"/>
      <c r="BI81" s="59">
        <f t="shared" si="114"/>
        <v>400</v>
      </c>
      <c r="BJ81" s="57">
        <f>' WIP '!CD81</f>
        <v>0</v>
      </c>
      <c r="BK81" s="58">
        <v>0</v>
      </c>
      <c r="BL81" s="59">
        <f t="shared" si="115"/>
        <v>400</v>
      </c>
      <c r="BM81" s="57">
        <f>' WIP '!CH81</f>
        <v>0</v>
      </c>
      <c r="BN81" s="58">
        <v>0</v>
      </c>
      <c r="BO81" s="59">
        <f t="shared" si="116"/>
        <v>400</v>
      </c>
      <c r="BP81" s="57">
        <f>' WIP '!CL81</f>
        <v>0</v>
      </c>
      <c r="BQ81" s="58"/>
      <c r="BR81" s="59">
        <f t="shared" si="117"/>
        <v>400</v>
      </c>
      <c r="BS81" s="57">
        <f>' WIP '!CP81</f>
        <v>0</v>
      </c>
      <c r="BT81" s="58">
        <v>0</v>
      </c>
      <c r="BU81" s="59">
        <f t="shared" si="118"/>
        <v>400</v>
      </c>
      <c r="BV81" s="57">
        <f>' WIP '!CT81</f>
        <v>0</v>
      </c>
      <c r="BW81" s="28">
        <v>0</v>
      </c>
      <c r="BX81" s="59">
        <f t="shared" si="119"/>
        <v>400</v>
      </c>
      <c r="BY81" s="57">
        <f>' WIP '!CX81</f>
        <v>0</v>
      </c>
      <c r="BZ81" s="58">
        <v>0</v>
      </c>
      <c r="CA81" s="59">
        <f t="shared" si="120"/>
        <v>400</v>
      </c>
      <c r="CB81" s="57">
        <f>' WIP '!DB81</f>
        <v>0</v>
      </c>
      <c r="CC81" s="58">
        <v>0</v>
      </c>
      <c r="CD81" s="59">
        <f t="shared" si="121"/>
        <v>400</v>
      </c>
      <c r="CE81" s="57">
        <f>' WIP '!DF81</f>
        <v>0</v>
      </c>
      <c r="CF81" s="58">
        <v>0</v>
      </c>
      <c r="CG81" s="59">
        <f t="shared" si="122"/>
        <v>400</v>
      </c>
      <c r="CH81" s="57">
        <f>' WIP '!DJ81</f>
        <v>0</v>
      </c>
      <c r="CI81" s="58">
        <v>0</v>
      </c>
      <c r="CJ81" s="59">
        <f t="shared" si="123"/>
        <v>400</v>
      </c>
      <c r="CK81" s="57">
        <f>' WIP '!DN81</f>
        <v>0</v>
      </c>
      <c r="CL81" s="58">
        <v>0</v>
      </c>
      <c r="CM81" s="59">
        <f t="shared" si="124"/>
        <v>400</v>
      </c>
      <c r="CN81" s="57">
        <f>' WIP '!DR81</f>
        <v>0</v>
      </c>
      <c r="CO81" s="57"/>
      <c r="CP81" s="59">
        <f t="shared" si="125"/>
        <v>400</v>
      </c>
      <c r="CQ81" s="57">
        <f>' WIP '!DV81</f>
        <v>0</v>
      </c>
      <c r="CR81" s="58"/>
      <c r="CS81" s="59">
        <f t="shared" si="126"/>
        <v>400</v>
      </c>
      <c r="CT81" s="31">
        <f t="shared" si="127"/>
        <v>400</v>
      </c>
      <c r="CU81" s="4">
        <f t="shared" si="128"/>
        <v>0</v>
      </c>
      <c r="CV81" s="5">
        <f>D81*'MASTER SHEET'!D81</f>
        <v>15584</v>
      </c>
      <c r="CW81" s="5">
        <f>G81*'MASTER SHEET'!D81</f>
        <v>15584</v>
      </c>
      <c r="CX81" s="5">
        <f>J81*'MASTER SHEET'!D81</f>
        <v>15584</v>
      </c>
      <c r="CY81" s="5">
        <f>M81*'MASTER SHEET'!D81</f>
        <v>15584</v>
      </c>
      <c r="CZ81" s="5">
        <f>P81*'MASTER SHEET'!D81</f>
        <v>15584</v>
      </c>
      <c r="DA81" s="5">
        <f>S81*'MASTER SHEET'!D81</f>
        <v>15584</v>
      </c>
      <c r="DB81" s="5">
        <f>V81*'MASTER SHEET'!D81</f>
        <v>15584</v>
      </c>
      <c r="DC81" s="5">
        <f>Y81*'MASTER SHEET'!D81</f>
        <v>15584</v>
      </c>
      <c r="DD81" s="5">
        <f>AB81*'MASTER SHEET'!D81</f>
        <v>15584</v>
      </c>
      <c r="DE81" s="5">
        <f>AE81*'MASTER SHEET'!D81</f>
        <v>15584</v>
      </c>
      <c r="DF81" s="5">
        <f>AH81*'MASTER SHEET'!D81</f>
        <v>15584</v>
      </c>
      <c r="DG81" s="5">
        <f>AK81*'MASTER SHEET'!D81</f>
        <v>15584</v>
      </c>
      <c r="DH81" s="5">
        <f>AN81*'MASTER SHEET'!D81</f>
        <v>15584</v>
      </c>
      <c r="DI81" s="5">
        <f>AQ81*'MASTER SHEET'!D81</f>
        <v>15584</v>
      </c>
      <c r="DJ81" s="5">
        <f>AT81*'MASTER SHEET'!D81</f>
        <v>15584</v>
      </c>
      <c r="DK81" s="5">
        <f>AW81*'MASTER SHEET'!D81</f>
        <v>15584</v>
      </c>
      <c r="DL81" s="5">
        <f>AZ81*'MASTER SHEET'!D81</f>
        <v>15584</v>
      </c>
      <c r="DM81" s="5">
        <f>BC81*'MASTER SHEET'!D81</f>
        <v>15584</v>
      </c>
      <c r="DN81" s="5">
        <f>BF81*'MASTER SHEET'!D81</f>
        <v>15584</v>
      </c>
      <c r="DO81" s="5">
        <f>BI81*'MASTER SHEET'!D81</f>
        <v>15584</v>
      </c>
      <c r="DP81" s="5">
        <f>BL81*'MASTER SHEET'!D81</f>
        <v>15584</v>
      </c>
      <c r="DQ81" s="5">
        <f>BO81*'MASTER SHEET'!D81</f>
        <v>15584</v>
      </c>
      <c r="DR81" s="5">
        <f>BR81*'MASTER SHEET'!D81</f>
        <v>15584</v>
      </c>
      <c r="DS81" s="5">
        <f>BU81*'MASTER SHEET'!D81</f>
        <v>15584</v>
      </c>
      <c r="DT81" s="5">
        <f>BX81*'MASTER SHEET'!D81</f>
        <v>15584</v>
      </c>
      <c r="DU81" s="5">
        <f>CA81*'MASTER SHEET'!D81</f>
        <v>15584</v>
      </c>
      <c r="DV81" s="5">
        <f>CD81*'MASTER SHEET'!D81</f>
        <v>15584</v>
      </c>
      <c r="DW81" s="5">
        <f>CG81*'MASTER SHEET'!D81</f>
        <v>15584</v>
      </c>
      <c r="DX81" s="5">
        <f>CJ81*'MASTER SHEET'!D81</f>
        <v>15584</v>
      </c>
      <c r="DY81" s="5">
        <f>CM81*'MASTER SHEET'!D81</f>
        <v>15584</v>
      </c>
      <c r="DZ81" s="5">
        <f>CP81*'MASTER SHEET'!D81</f>
        <v>15584</v>
      </c>
      <c r="EA81" s="5">
        <f>CS81*'MASTER SHEET'!D81</f>
        <v>15584</v>
      </c>
      <c r="EB81" s="9"/>
    </row>
    <row r="82" spans="1:132" ht="15.75" x14ac:dyDescent="0.25">
      <c r="A82" s="25">
        <f>'MASTER SHEET'!A82</f>
        <v>80</v>
      </c>
      <c r="B82" s="26" t="str">
        <f>'MASTER SHEET'!B82</f>
        <v>VALVE BODY, PLASTIC</v>
      </c>
      <c r="C82" s="27">
        <f>'MASTER SHEET'!C82</f>
        <v>5040058</v>
      </c>
      <c r="D82" s="56">
        <v>0</v>
      </c>
      <c r="E82" s="57">
        <f>' WIP '!F82</f>
        <v>0</v>
      </c>
      <c r="F82" s="58">
        <v>0</v>
      </c>
      <c r="G82" s="59">
        <f t="shared" si="96"/>
        <v>0</v>
      </c>
      <c r="H82" s="57">
        <f>' WIP '!J82</f>
        <v>0</v>
      </c>
      <c r="I82" s="58">
        <v>0</v>
      </c>
      <c r="J82" s="59">
        <f t="shared" si="97"/>
        <v>0</v>
      </c>
      <c r="K82" s="57">
        <f>' WIP '!N82</f>
        <v>0</v>
      </c>
      <c r="L82" s="58"/>
      <c r="M82" s="59">
        <f t="shared" si="98"/>
        <v>0</v>
      </c>
      <c r="N82" s="57">
        <f>' WIP '!R82</f>
        <v>0</v>
      </c>
      <c r="O82" s="58">
        <v>0</v>
      </c>
      <c r="P82" s="59">
        <f t="shared" si="99"/>
        <v>0</v>
      </c>
      <c r="Q82" s="57">
        <f>' WIP '!V82</f>
        <v>0</v>
      </c>
      <c r="R82" s="58">
        <v>0</v>
      </c>
      <c r="S82" s="59">
        <f t="shared" si="100"/>
        <v>0</v>
      </c>
      <c r="T82" s="57">
        <f>' WIP '!Z82</f>
        <v>0</v>
      </c>
      <c r="U82" s="58">
        <v>0</v>
      </c>
      <c r="V82" s="59">
        <f t="shared" si="101"/>
        <v>0</v>
      </c>
      <c r="W82" s="57">
        <f>' WIP '!AD82</f>
        <v>0</v>
      </c>
      <c r="X82" s="58">
        <v>0</v>
      </c>
      <c r="Y82" s="59">
        <f t="shared" si="102"/>
        <v>0</v>
      </c>
      <c r="Z82" s="57">
        <f>' WIP '!AH82</f>
        <v>0</v>
      </c>
      <c r="AA82" s="58">
        <v>0</v>
      </c>
      <c r="AB82" s="59">
        <f t="shared" si="103"/>
        <v>0</v>
      </c>
      <c r="AC82" s="57">
        <f>' WIP '!AL82</f>
        <v>0</v>
      </c>
      <c r="AD82" s="58">
        <v>0</v>
      </c>
      <c r="AE82" s="59">
        <f t="shared" si="104"/>
        <v>0</v>
      </c>
      <c r="AF82" s="57">
        <f>' WIP '!AP82</f>
        <v>0</v>
      </c>
      <c r="AG82" s="114">
        <v>0</v>
      </c>
      <c r="AH82" s="59">
        <f t="shared" si="105"/>
        <v>0</v>
      </c>
      <c r="AI82" s="57">
        <f>' WIP '!AT82</f>
        <v>0</v>
      </c>
      <c r="AJ82" s="58">
        <v>0</v>
      </c>
      <c r="AK82" s="59">
        <f t="shared" si="106"/>
        <v>0</v>
      </c>
      <c r="AL82" s="57">
        <f>' WIP '!AX82</f>
        <v>0</v>
      </c>
      <c r="AM82" s="58"/>
      <c r="AN82" s="59">
        <f t="shared" si="107"/>
        <v>0</v>
      </c>
      <c r="AO82" s="57">
        <f>' WIP '!BB82</f>
        <v>0</v>
      </c>
      <c r="AP82" s="58">
        <v>0</v>
      </c>
      <c r="AQ82" s="59">
        <f t="shared" si="108"/>
        <v>0</v>
      </c>
      <c r="AR82" s="57">
        <f>' WIP '!BF82</f>
        <v>0</v>
      </c>
      <c r="AS82" s="58">
        <v>0</v>
      </c>
      <c r="AT82" s="59">
        <f t="shared" si="109"/>
        <v>0</v>
      </c>
      <c r="AU82" s="57">
        <f>' WIP '!BJ82</f>
        <v>0</v>
      </c>
      <c r="AV82" s="58">
        <v>0</v>
      </c>
      <c r="AW82" s="59">
        <f t="shared" si="110"/>
        <v>0</v>
      </c>
      <c r="AX82" s="57">
        <f>' WIP '!BN82</f>
        <v>0</v>
      </c>
      <c r="AY82" s="58">
        <v>0</v>
      </c>
      <c r="AZ82" s="59">
        <f t="shared" si="111"/>
        <v>0</v>
      </c>
      <c r="BA82" s="57">
        <f>' WIP '!BR82</f>
        <v>0</v>
      </c>
      <c r="BB82" s="58">
        <v>0</v>
      </c>
      <c r="BC82" s="59">
        <f t="shared" si="112"/>
        <v>0</v>
      </c>
      <c r="BD82" s="57">
        <f>' WIP '!BV82</f>
        <v>0</v>
      </c>
      <c r="BE82" s="58">
        <v>0</v>
      </c>
      <c r="BF82" s="59">
        <f t="shared" si="113"/>
        <v>0</v>
      </c>
      <c r="BG82" s="57">
        <f>' WIP '!BZ82</f>
        <v>0</v>
      </c>
      <c r="BH82" s="58"/>
      <c r="BI82" s="59">
        <f t="shared" si="114"/>
        <v>0</v>
      </c>
      <c r="BJ82" s="57">
        <f>' WIP '!CD82</f>
        <v>0</v>
      </c>
      <c r="BK82" s="58">
        <v>0</v>
      </c>
      <c r="BL82" s="59">
        <f t="shared" si="115"/>
        <v>0</v>
      </c>
      <c r="BM82" s="57">
        <f>' WIP '!CH82</f>
        <v>0</v>
      </c>
      <c r="BN82" s="58">
        <v>0</v>
      </c>
      <c r="BO82" s="59">
        <f t="shared" si="116"/>
        <v>0</v>
      </c>
      <c r="BP82" s="57">
        <f>' WIP '!CL82</f>
        <v>0</v>
      </c>
      <c r="BQ82" s="58"/>
      <c r="BR82" s="59">
        <f t="shared" si="117"/>
        <v>0</v>
      </c>
      <c r="BS82" s="57">
        <f>' WIP '!CP82</f>
        <v>0</v>
      </c>
      <c r="BT82" s="58">
        <v>0</v>
      </c>
      <c r="BU82" s="59">
        <f t="shared" si="118"/>
        <v>0</v>
      </c>
      <c r="BV82" s="57">
        <f>' WIP '!CT82</f>
        <v>0</v>
      </c>
      <c r="BW82" s="28">
        <v>0</v>
      </c>
      <c r="BX82" s="59">
        <f t="shared" si="119"/>
        <v>0</v>
      </c>
      <c r="BY82" s="57">
        <f>' WIP '!CX82</f>
        <v>0</v>
      </c>
      <c r="BZ82" s="58">
        <v>0</v>
      </c>
      <c r="CA82" s="59">
        <f t="shared" si="120"/>
        <v>0</v>
      </c>
      <c r="CB82" s="57">
        <f>' WIP '!DB82</f>
        <v>0</v>
      </c>
      <c r="CC82" s="58">
        <v>0</v>
      </c>
      <c r="CD82" s="59">
        <f t="shared" si="121"/>
        <v>0</v>
      </c>
      <c r="CE82" s="57">
        <f>' WIP '!DF82</f>
        <v>0</v>
      </c>
      <c r="CF82" s="58">
        <v>0</v>
      </c>
      <c r="CG82" s="59">
        <f t="shared" si="122"/>
        <v>0</v>
      </c>
      <c r="CH82" s="57">
        <f>' WIP '!DJ82</f>
        <v>0</v>
      </c>
      <c r="CI82" s="58">
        <v>0</v>
      </c>
      <c r="CJ82" s="59">
        <f t="shared" si="123"/>
        <v>0</v>
      </c>
      <c r="CK82" s="57">
        <f>' WIP '!DN82</f>
        <v>0</v>
      </c>
      <c r="CL82" s="58">
        <v>0</v>
      </c>
      <c r="CM82" s="59">
        <f t="shared" si="124"/>
        <v>0</v>
      </c>
      <c r="CN82" s="57">
        <f>' WIP '!DR82</f>
        <v>0</v>
      </c>
      <c r="CO82" s="57"/>
      <c r="CP82" s="59">
        <f t="shared" si="125"/>
        <v>0</v>
      </c>
      <c r="CQ82" s="57">
        <f>' WIP '!DV82</f>
        <v>0</v>
      </c>
      <c r="CR82" s="58"/>
      <c r="CS82" s="59">
        <f t="shared" si="126"/>
        <v>0</v>
      </c>
      <c r="CT82" s="31">
        <f t="shared" si="127"/>
        <v>0</v>
      </c>
      <c r="CU82" s="4">
        <f t="shared" si="128"/>
        <v>0</v>
      </c>
      <c r="CV82" s="5">
        <f>D82*'MASTER SHEET'!D82</f>
        <v>0</v>
      </c>
      <c r="CW82" s="5">
        <f>G82*'MASTER SHEET'!D82</f>
        <v>0</v>
      </c>
      <c r="CX82" s="5">
        <f>J82*'MASTER SHEET'!D82</f>
        <v>0</v>
      </c>
      <c r="CY82" s="5">
        <f>M82*'MASTER SHEET'!D82</f>
        <v>0</v>
      </c>
      <c r="CZ82" s="5">
        <f>P82*'MASTER SHEET'!D82</f>
        <v>0</v>
      </c>
      <c r="DA82" s="5">
        <f>S82*'MASTER SHEET'!D82</f>
        <v>0</v>
      </c>
      <c r="DB82" s="5">
        <f>V82*'MASTER SHEET'!D82</f>
        <v>0</v>
      </c>
      <c r="DC82" s="5">
        <f>Y82*'MASTER SHEET'!D82</f>
        <v>0</v>
      </c>
      <c r="DD82" s="5">
        <f>AB82*'MASTER SHEET'!D82</f>
        <v>0</v>
      </c>
      <c r="DE82" s="5">
        <f>AE82*'MASTER SHEET'!D82</f>
        <v>0</v>
      </c>
      <c r="DF82" s="5">
        <f>AH82*'MASTER SHEET'!D82</f>
        <v>0</v>
      </c>
      <c r="DG82" s="5">
        <f>AK82*'MASTER SHEET'!D82</f>
        <v>0</v>
      </c>
      <c r="DH82" s="5">
        <f>AN82*'MASTER SHEET'!D82</f>
        <v>0</v>
      </c>
      <c r="DI82" s="5">
        <f>AQ82*'MASTER SHEET'!D82</f>
        <v>0</v>
      </c>
      <c r="DJ82" s="5">
        <f>AT82*'MASTER SHEET'!D82</f>
        <v>0</v>
      </c>
      <c r="DK82" s="5">
        <f>AW82*'MASTER SHEET'!D82</f>
        <v>0</v>
      </c>
      <c r="DL82" s="5">
        <f>AZ82*'MASTER SHEET'!D82</f>
        <v>0</v>
      </c>
      <c r="DM82" s="5">
        <f>BC82*'MASTER SHEET'!D82</f>
        <v>0</v>
      </c>
      <c r="DN82" s="5">
        <f>BF82*'MASTER SHEET'!D82</f>
        <v>0</v>
      </c>
      <c r="DO82" s="5">
        <f>BI82*'MASTER SHEET'!D82</f>
        <v>0</v>
      </c>
      <c r="DP82" s="5">
        <f>BL82*'MASTER SHEET'!D82</f>
        <v>0</v>
      </c>
      <c r="DQ82" s="5">
        <f>BO82*'MASTER SHEET'!D82</f>
        <v>0</v>
      </c>
      <c r="DR82" s="5">
        <f>BR82*'MASTER SHEET'!D82</f>
        <v>0</v>
      </c>
      <c r="DS82" s="5">
        <f>BU82*'MASTER SHEET'!D82</f>
        <v>0</v>
      </c>
      <c r="DT82" s="5">
        <f>BX82*'MASTER SHEET'!D82</f>
        <v>0</v>
      </c>
      <c r="DU82" s="5">
        <f>CA82*'MASTER SHEET'!D82</f>
        <v>0</v>
      </c>
      <c r="DV82" s="5">
        <f>CD82*'MASTER SHEET'!D82</f>
        <v>0</v>
      </c>
      <c r="DW82" s="5">
        <f>CG82*'MASTER SHEET'!D82</f>
        <v>0</v>
      </c>
      <c r="DX82" s="5">
        <f>CJ82*'MASTER SHEET'!D82</f>
        <v>0</v>
      </c>
      <c r="DY82" s="5">
        <f>CM82*'MASTER SHEET'!D82</f>
        <v>0</v>
      </c>
      <c r="DZ82" s="5">
        <f>CP82*'MASTER SHEET'!D82</f>
        <v>0</v>
      </c>
      <c r="EA82" s="5">
        <f>CS82*'MASTER SHEET'!D82</f>
        <v>0</v>
      </c>
      <c r="EB82" s="9"/>
    </row>
    <row r="83" spans="1:132" ht="15.75" x14ac:dyDescent="0.25">
      <c r="A83" s="25">
        <f>'MASTER SHEET'!A83</f>
        <v>81</v>
      </c>
      <c r="B83" s="26" t="str">
        <f>'MASTER SHEET'!B83</f>
        <v>3-MBP Pipe--CV</v>
      </c>
      <c r="C83" s="27">
        <f>'MASTER SHEET'!C83</f>
        <v>5030173</v>
      </c>
      <c r="D83" s="56">
        <v>0</v>
      </c>
      <c r="E83" s="57">
        <f>' WIP '!F83</f>
        <v>0</v>
      </c>
      <c r="F83" s="58">
        <v>0</v>
      </c>
      <c r="G83" s="59">
        <f t="shared" si="96"/>
        <v>0</v>
      </c>
      <c r="H83" s="57">
        <f>' WIP '!J83</f>
        <v>0</v>
      </c>
      <c r="I83" s="58">
        <v>0</v>
      </c>
      <c r="J83" s="59">
        <f t="shared" si="97"/>
        <v>0</v>
      </c>
      <c r="K83" s="57">
        <f>' WIP '!N83</f>
        <v>0</v>
      </c>
      <c r="L83" s="58"/>
      <c r="M83" s="59">
        <f t="shared" si="98"/>
        <v>0</v>
      </c>
      <c r="N83" s="57">
        <f>' WIP '!R83</f>
        <v>0</v>
      </c>
      <c r="O83" s="58">
        <v>0</v>
      </c>
      <c r="P83" s="59">
        <f t="shared" si="99"/>
        <v>0</v>
      </c>
      <c r="Q83" s="57">
        <f>' WIP '!V83</f>
        <v>0</v>
      </c>
      <c r="R83" s="58">
        <v>0</v>
      </c>
      <c r="S83" s="59">
        <f t="shared" si="100"/>
        <v>0</v>
      </c>
      <c r="T83" s="57">
        <f>' WIP '!Z83</f>
        <v>0</v>
      </c>
      <c r="U83" s="58">
        <v>0</v>
      </c>
      <c r="V83" s="59">
        <f t="shared" si="101"/>
        <v>0</v>
      </c>
      <c r="W83" s="57">
        <f>' WIP '!AD83</f>
        <v>0</v>
      </c>
      <c r="X83" s="58">
        <v>0</v>
      </c>
      <c r="Y83" s="59">
        <f t="shared" si="102"/>
        <v>0</v>
      </c>
      <c r="Z83" s="57">
        <f>' WIP '!AH83</f>
        <v>0</v>
      </c>
      <c r="AA83" s="58">
        <v>0</v>
      </c>
      <c r="AB83" s="59">
        <f t="shared" si="103"/>
        <v>0</v>
      </c>
      <c r="AC83" s="57">
        <f>' WIP '!AL83</f>
        <v>0</v>
      </c>
      <c r="AD83" s="58">
        <v>0</v>
      </c>
      <c r="AE83" s="59">
        <f t="shared" si="104"/>
        <v>0</v>
      </c>
      <c r="AF83" s="57">
        <f>' WIP '!AP83</f>
        <v>0</v>
      </c>
      <c r="AG83" s="114">
        <v>0</v>
      </c>
      <c r="AH83" s="59">
        <f t="shared" si="105"/>
        <v>0</v>
      </c>
      <c r="AI83" s="57">
        <f>' WIP '!AT83</f>
        <v>0</v>
      </c>
      <c r="AJ83" s="58">
        <v>0</v>
      </c>
      <c r="AK83" s="59">
        <f t="shared" si="106"/>
        <v>0</v>
      </c>
      <c r="AL83" s="57">
        <f>' WIP '!AX83</f>
        <v>0</v>
      </c>
      <c r="AM83" s="58"/>
      <c r="AN83" s="59">
        <f t="shared" si="107"/>
        <v>0</v>
      </c>
      <c r="AO83" s="57">
        <f>' WIP '!BB83</f>
        <v>0</v>
      </c>
      <c r="AP83" s="58">
        <v>0</v>
      </c>
      <c r="AQ83" s="59">
        <f t="shared" si="108"/>
        <v>0</v>
      </c>
      <c r="AR83" s="57">
        <f>' WIP '!BF83</f>
        <v>0</v>
      </c>
      <c r="AS83" s="58">
        <v>0</v>
      </c>
      <c r="AT83" s="59">
        <f t="shared" si="109"/>
        <v>0</v>
      </c>
      <c r="AU83" s="57">
        <f>' WIP '!BJ83</f>
        <v>0</v>
      </c>
      <c r="AV83" s="58">
        <v>0</v>
      </c>
      <c r="AW83" s="59">
        <f t="shared" si="110"/>
        <v>0</v>
      </c>
      <c r="AX83" s="57">
        <f>' WIP '!BN83</f>
        <v>0</v>
      </c>
      <c r="AY83" s="58">
        <v>0</v>
      </c>
      <c r="AZ83" s="59">
        <f t="shared" si="111"/>
        <v>0</v>
      </c>
      <c r="BA83" s="57">
        <f>' WIP '!BR83</f>
        <v>0</v>
      </c>
      <c r="BB83" s="58">
        <v>0</v>
      </c>
      <c r="BC83" s="59">
        <f t="shared" si="112"/>
        <v>0</v>
      </c>
      <c r="BD83" s="57">
        <f>' WIP '!BV83</f>
        <v>0</v>
      </c>
      <c r="BE83" s="58">
        <v>0</v>
      </c>
      <c r="BF83" s="59">
        <f t="shared" si="113"/>
        <v>0</v>
      </c>
      <c r="BG83" s="57">
        <f>' WIP '!BZ83</f>
        <v>0</v>
      </c>
      <c r="BH83" s="58"/>
      <c r="BI83" s="59">
        <f t="shared" si="114"/>
        <v>0</v>
      </c>
      <c r="BJ83" s="57">
        <f>' WIP '!CD83</f>
        <v>0</v>
      </c>
      <c r="BK83" s="58">
        <v>0</v>
      </c>
      <c r="BL83" s="59">
        <f t="shared" si="115"/>
        <v>0</v>
      </c>
      <c r="BM83" s="57">
        <f>' WIP '!CH83</f>
        <v>0</v>
      </c>
      <c r="BN83" s="58">
        <v>0</v>
      </c>
      <c r="BO83" s="59">
        <f t="shared" si="116"/>
        <v>0</v>
      </c>
      <c r="BP83" s="57">
        <f>' WIP '!CL83</f>
        <v>0</v>
      </c>
      <c r="BQ83" s="58"/>
      <c r="BR83" s="59">
        <f t="shared" si="117"/>
        <v>0</v>
      </c>
      <c r="BS83" s="57">
        <f>' WIP '!CP83</f>
        <v>0</v>
      </c>
      <c r="BT83" s="58">
        <v>0</v>
      </c>
      <c r="BU83" s="59">
        <f t="shared" si="118"/>
        <v>0</v>
      </c>
      <c r="BV83" s="57">
        <f>' WIP '!CT83</f>
        <v>0</v>
      </c>
      <c r="BW83" s="28">
        <v>0</v>
      </c>
      <c r="BX83" s="59">
        <f t="shared" si="119"/>
        <v>0</v>
      </c>
      <c r="BY83" s="57">
        <f>' WIP '!CX83</f>
        <v>0</v>
      </c>
      <c r="BZ83" s="58">
        <v>0</v>
      </c>
      <c r="CA83" s="59">
        <f t="shared" si="120"/>
        <v>0</v>
      </c>
      <c r="CB83" s="57">
        <f>' WIP '!DB83</f>
        <v>0</v>
      </c>
      <c r="CC83" s="58">
        <v>0</v>
      </c>
      <c r="CD83" s="59">
        <f t="shared" si="121"/>
        <v>0</v>
      </c>
      <c r="CE83" s="57">
        <f>' WIP '!DF83</f>
        <v>0</v>
      </c>
      <c r="CF83" s="58">
        <v>0</v>
      </c>
      <c r="CG83" s="59">
        <f t="shared" si="122"/>
        <v>0</v>
      </c>
      <c r="CH83" s="57">
        <f>' WIP '!DJ83</f>
        <v>0</v>
      </c>
      <c r="CI83" s="58">
        <v>0</v>
      </c>
      <c r="CJ83" s="59">
        <f t="shared" si="123"/>
        <v>0</v>
      </c>
      <c r="CK83" s="57">
        <f>' WIP '!DN83</f>
        <v>0</v>
      </c>
      <c r="CL83" s="58">
        <v>0</v>
      </c>
      <c r="CM83" s="59">
        <f t="shared" si="124"/>
        <v>0</v>
      </c>
      <c r="CN83" s="57">
        <f>' WIP '!DR83</f>
        <v>0</v>
      </c>
      <c r="CO83" s="57"/>
      <c r="CP83" s="59">
        <f t="shared" si="125"/>
        <v>0</v>
      </c>
      <c r="CQ83" s="57">
        <f>' WIP '!DV83</f>
        <v>0</v>
      </c>
      <c r="CR83" s="58"/>
      <c r="CS83" s="59">
        <f t="shared" si="126"/>
        <v>0</v>
      </c>
      <c r="CT83" s="31">
        <f t="shared" si="127"/>
        <v>0</v>
      </c>
      <c r="CU83" s="4">
        <f t="shared" si="128"/>
        <v>0</v>
      </c>
      <c r="CV83" s="5">
        <f>D83*'MASTER SHEET'!D83</f>
        <v>0</v>
      </c>
      <c r="CW83" s="5">
        <f>G83*'MASTER SHEET'!D83</f>
        <v>0</v>
      </c>
      <c r="CX83" s="5">
        <f>J83*'MASTER SHEET'!D83</f>
        <v>0</v>
      </c>
      <c r="CY83" s="5">
        <f>M83*'MASTER SHEET'!D83</f>
        <v>0</v>
      </c>
      <c r="CZ83" s="5">
        <f>P83*'MASTER SHEET'!D83</f>
        <v>0</v>
      </c>
      <c r="DA83" s="5">
        <f>S83*'MASTER SHEET'!D83</f>
        <v>0</v>
      </c>
      <c r="DB83" s="5">
        <f>V83*'MASTER SHEET'!D83</f>
        <v>0</v>
      </c>
      <c r="DC83" s="5">
        <f>Y83*'MASTER SHEET'!D83</f>
        <v>0</v>
      </c>
      <c r="DD83" s="5">
        <f>AB83*'MASTER SHEET'!D83</f>
        <v>0</v>
      </c>
      <c r="DE83" s="5">
        <f>AE83*'MASTER SHEET'!D83</f>
        <v>0</v>
      </c>
      <c r="DF83" s="5">
        <f>AH83*'MASTER SHEET'!D83</f>
        <v>0</v>
      </c>
      <c r="DG83" s="5">
        <f>AK83*'MASTER SHEET'!D83</f>
        <v>0</v>
      </c>
      <c r="DH83" s="5">
        <f>AN83*'MASTER SHEET'!D83</f>
        <v>0</v>
      </c>
      <c r="DI83" s="5">
        <f>AQ83*'MASTER SHEET'!D83</f>
        <v>0</v>
      </c>
      <c r="DJ83" s="5">
        <f>AT83*'MASTER SHEET'!D83</f>
        <v>0</v>
      </c>
      <c r="DK83" s="5">
        <f>AW83*'MASTER SHEET'!D83</f>
        <v>0</v>
      </c>
      <c r="DL83" s="5">
        <f>AZ83*'MASTER SHEET'!D83</f>
        <v>0</v>
      </c>
      <c r="DM83" s="5">
        <f>BC83*'MASTER SHEET'!D83</f>
        <v>0</v>
      </c>
      <c r="DN83" s="5">
        <f>BF83*'MASTER SHEET'!D83</f>
        <v>0</v>
      </c>
      <c r="DO83" s="5">
        <f>BI83*'MASTER SHEET'!D83</f>
        <v>0</v>
      </c>
      <c r="DP83" s="5">
        <f>BL83*'MASTER SHEET'!D83</f>
        <v>0</v>
      </c>
      <c r="DQ83" s="5">
        <f>BO83*'MASTER SHEET'!D83</f>
        <v>0</v>
      </c>
      <c r="DR83" s="5">
        <f>BR83*'MASTER SHEET'!D83</f>
        <v>0</v>
      </c>
      <c r="DS83" s="5">
        <f>BU83*'MASTER SHEET'!D83</f>
        <v>0</v>
      </c>
      <c r="DT83" s="5">
        <f>BX83*'MASTER SHEET'!D83</f>
        <v>0</v>
      </c>
      <c r="DU83" s="5">
        <f>CA83*'MASTER SHEET'!D83</f>
        <v>0</v>
      </c>
      <c r="DV83" s="5">
        <f>CD83*'MASTER SHEET'!D83</f>
        <v>0</v>
      </c>
      <c r="DW83" s="5">
        <f>CG83*'MASTER SHEET'!D83</f>
        <v>0</v>
      </c>
      <c r="DX83" s="5">
        <f>CJ83*'MASTER SHEET'!D83</f>
        <v>0</v>
      </c>
      <c r="DY83" s="5">
        <f>CM83*'MASTER SHEET'!D83</f>
        <v>0</v>
      </c>
      <c r="DZ83" s="5">
        <f>CP83*'MASTER SHEET'!D83</f>
        <v>0</v>
      </c>
      <c r="EA83" s="5">
        <f>CS83*'MASTER SHEET'!D83</f>
        <v>0</v>
      </c>
      <c r="EB83" s="9"/>
    </row>
    <row r="84" spans="1:132" ht="15.75" x14ac:dyDescent="0.25">
      <c r="A84" s="25">
        <f>'MASTER SHEET'!A84</f>
        <v>82</v>
      </c>
      <c r="B84" s="26" t="str">
        <f>'MASTER SHEET'!B84</f>
        <v>3-MBP Pipe--CV</v>
      </c>
      <c r="C84" s="27">
        <f>'MASTER SHEET'!C84</f>
        <v>5037374</v>
      </c>
      <c r="D84" s="56">
        <v>0</v>
      </c>
      <c r="E84" s="57">
        <f>' WIP '!F84</f>
        <v>0</v>
      </c>
      <c r="F84" s="58">
        <v>0</v>
      </c>
      <c r="G84" s="59">
        <f t="shared" si="96"/>
        <v>0</v>
      </c>
      <c r="H84" s="57">
        <f>' WIP '!J84</f>
        <v>0</v>
      </c>
      <c r="I84" s="58">
        <v>0</v>
      </c>
      <c r="J84" s="59">
        <f t="shared" si="97"/>
        <v>0</v>
      </c>
      <c r="K84" s="57">
        <f>' WIP '!N84</f>
        <v>0</v>
      </c>
      <c r="L84" s="58"/>
      <c r="M84" s="59">
        <f t="shared" si="98"/>
        <v>0</v>
      </c>
      <c r="N84" s="57">
        <f>' WIP '!R84</f>
        <v>0</v>
      </c>
      <c r="O84" s="58">
        <v>0</v>
      </c>
      <c r="P84" s="59">
        <f t="shared" si="99"/>
        <v>0</v>
      </c>
      <c r="Q84" s="57">
        <f>' WIP '!V84</f>
        <v>0</v>
      </c>
      <c r="R84" s="58">
        <v>0</v>
      </c>
      <c r="S84" s="59">
        <f t="shared" si="100"/>
        <v>0</v>
      </c>
      <c r="T84" s="57">
        <f>' WIP '!Z84</f>
        <v>0</v>
      </c>
      <c r="U84" s="58">
        <v>0</v>
      </c>
      <c r="V84" s="59">
        <f t="shared" si="101"/>
        <v>0</v>
      </c>
      <c r="W84" s="57">
        <f>' WIP '!AD84</f>
        <v>0</v>
      </c>
      <c r="X84" s="58">
        <v>0</v>
      </c>
      <c r="Y84" s="59">
        <f t="shared" si="102"/>
        <v>0</v>
      </c>
      <c r="Z84" s="57">
        <f>' WIP '!AH84</f>
        <v>0</v>
      </c>
      <c r="AA84" s="58">
        <v>0</v>
      </c>
      <c r="AB84" s="59">
        <f t="shared" si="103"/>
        <v>0</v>
      </c>
      <c r="AC84" s="57">
        <f>' WIP '!AL84</f>
        <v>0</v>
      </c>
      <c r="AD84" s="58">
        <v>0</v>
      </c>
      <c r="AE84" s="59">
        <f t="shared" si="104"/>
        <v>0</v>
      </c>
      <c r="AF84" s="57">
        <f>' WIP '!AP84</f>
        <v>0</v>
      </c>
      <c r="AG84" s="114">
        <v>0</v>
      </c>
      <c r="AH84" s="59">
        <f t="shared" si="105"/>
        <v>0</v>
      </c>
      <c r="AI84" s="57">
        <f>' WIP '!AT84</f>
        <v>0</v>
      </c>
      <c r="AJ84" s="58">
        <v>0</v>
      </c>
      <c r="AK84" s="59">
        <f t="shared" si="106"/>
        <v>0</v>
      </c>
      <c r="AL84" s="57">
        <f>' WIP '!AX84</f>
        <v>0</v>
      </c>
      <c r="AM84" s="58"/>
      <c r="AN84" s="59">
        <f t="shared" si="107"/>
        <v>0</v>
      </c>
      <c r="AO84" s="57">
        <f>' WIP '!BB84</f>
        <v>0</v>
      </c>
      <c r="AP84" s="58">
        <v>0</v>
      </c>
      <c r="AQ84" s="59">
        <f t="shared" si="108"/>
        <v>0</v>
      </c>
      <c r="AR84" s="57">
        <f>' WIP '!BF84</f>
        <v>0</v>
      </c>
      <c r="AS84" s="58">
        <v>0</v>
      </c>
      <c r="AT84" s="59">
        <f t="shared" si="109"/>
        <v>0</v>
      </c>
      <c r="AU84" s="57">
        <f>' WIP '!BJ84</f>
        <v>0</v>
      </c>
      <c r="AV84" s="58">
        <v>0</v>
      </c>
      <c r="AW84" s="59">
        <f t="shared" si="110"/>
        <v>0</v>
      </c>
      <c r="AX84" s="57">
        <f>' WIP '!BN84</f>
        <v>0</v>
      </c>
      <c r="AY84" s="58">
        <v>0</v>
      </c>
      <c r="AZ84" s="59">
        <f t="shared" si="111"/>
        <v>0</v>
      </c>
      <c r="BA84" s="57">
        <f>' WIP '!BR84</f>
        <v>0</v>
      </c>
      <c r="BB84" s="58">
        <v>0</v>
      </c>
      <c r="BC84" s="59">
        <f t="shared" si="112"/>
        <v>0</v>
      </c>
      <c r="BD84" s="57">
        <f>' WIP '!BV84</f>
        <v>0</v>
      </c>
      <c r="BE84" s="58">
        <v>0</v>
      </c>
      <c r="BF84" s="59">
        <f t="shared" si="113"/>
        <v>0</v>
      </c>
      <c r="BG84" s="57">
        <f>' WIP '!BZ84</f>
        <v>0</v>
      </c>
      <c r="BH84" s="58"/>
      <c r="BI84" s="59">
        <f t="shared" si="114"/>
        <v>0</v>
      </c>
      <c r="BJ84" s="57">
        <f>' WIP '!CD84</f>
        <v>0</v>
      </c>
      <c r="BK84" s="58">
        <v>0</v>
      </c>
      <c r="BL84" s="59">
        <f t="shared" si="115"/>
        <v>0</v>
      </c>
      <c r="BM84" s="57">
        <f>' WIP '!CH84</f>
        <v>0</v>
      </c>
      <c r="BN84" s="58">
        <v>0</v>
      </c>
      <c r="BO84" s="59">
        <f t="shared" si="116"/>
        <v>0</v>
      </c>
      <c r="BP84" s="57">
        <f>' WIP '!CL84</f>
        <v>0</v>
      </c>
      <c r="BQ84" s="58"/>
      <c r="BR84" s="59">
        <f t="shared" si="117"/>
        <v>0</v>
      </c>
      <c r="BS84" s="57">
        <f>' WIP '!CP84</f>
        <v>0</v>
      </c>
      <c r="BT84" s="58">
        <v>0</v>
      </c>
      <c r="BU84" s="59">
        <f t="shared" si="118"/>
        <v>0</v>
      </c>
      <c r="BV84" s="57">
        <f>' WIP '!CT84</f>
        <v>0</v>
      </c>
      <c r="BW84" s="28">
        <v>0</v>
      </c>
      <c r="BX84" s="59">
        <f t="shared" si="119"/>
        <v>0</v>
      </c>
      <c r="BY84" s="57">
        <f>' WIP '!CX84</f>
        <v>0</v>
      </c>
      <c r="BZ84" s="58">
        <v>0</v>
      </c>
      <c r="CA84" s="59">
        <f t="shared" si="120"/>
        <v>0</v>
      </c>
      <c r="CB84" s="57">
        <f>' WIP '!DB84</f>
        <v>0</v>
      </c>
      <c r="CC84" s="58">
        <v>0</v>
      </c>
      <c r="CD84" s="59">
        <f t="shared" si="121"/>
        <v>0</v>
      </c>
      <c r="CE84" s="57">
        <f>' WIP '!DF84</f>
        <v>0</v>
      </c>
      <c r="CF84" s="58">
        <v>0</v>
      </c>
      <c r="CG84" s="59">
        <f t="shared" si="122"/>
        <v>0</v>
      </c>
      <c r="CH84" s="57">
        <f>' WIP '!DJ84</f>
        <v>0</v>
      </c>
      <c r="CI84" s="58">
        <v>0</v>
      </c>
      <c r="CJ84" s="59">
        <f t="shared" si="123"/>
        <v>0</v>
      </c>
      <c r="CK84" s="57">
        <f>' WIP '!DN84</f>
        <v>0</v>
      </c>
      <c r="CL84" s="58">
        <v>0</v>
      </c>
      <c r="CM84" s="59">
        <f t="shared" si="124"/>
        <v>0</v>
      </c>
      <c r="CN84" s="57">
        <f>' WIP '!DR84</f>
        <v>0</v>
      </c>
      <c r="CO84" s="57"/>
      <c r="CP84" s="59">
        <f t="shared" si="125"/>
        <v>0</v>
      </c>
      <c r="CQ84" s="57">
        <f>' WIP '!DV84</f>
        <v>0</v>
      </c>
      <c r="CR84" s="58"/>
      <c r="CS84" s="59">
        <f t="shared" si="126"/>
        <v>0</v>
      </c>
      <c r="CT84" s="31">
        <f t="shared" si="127"/>
        <v>0</v>
      </c>
      <c r="CU84" s="4">
        <f t="shared" si="128"/>
        <v>0</v>
      </c>
      <c r="CV84" s="5">
        <f>D84*'MASTER SHEET'!D84</f>
        <v>0</v>
      </c>
      <c r="CW84" s="5">
        <f>G84*'MASTER SHEET'!D84</f>
        <v>0</v>
      </c>
      <c r="CX84" s="5">
        <f>J84*'MASTER SHEET'!D84</f>
        <v>0</v>
      </c>
      <c r="CY84" s="5">
        <f>M84*'MASTER SHEET'!D84</f>
        <v>0</v>
      </c>
      <c r="CZ84" s="5">
        <f>P84*'MASTER SHEET'!D84</f>
        <v>0</v>
      </c>
      <c r="DA84" s="5">
        <f>S84*'MASTER SHEET'!D84</f>
        <v>0</v>
      </c>
      <c r="DB84" s="5">
        <f>V84*'MASTER SHEET'!D84</f>
        <v>0</v>
      </c>
      <c r="DC84" s="5">
        <f>Y84*'MASTER SHEET'!D84</f>
        <v>0</v>
      </c>
      <c r="DD84" s="5">
        <f>AB84*'MASTER SHEET'!D84</f>
        <v>0</v>
      </c>
      <c r="DE84" s="5">
        <f>AE84*'MASTER SHEET'!D84</f>
        <v>0</v>
      </c>
      <c r="DF84" s="5">
        <f>AH84*'MASTER SHEET'!D84</f>
        <v>0</v>
      </c>
      <c r="DG84" s="5">
        <f>AK84*'MASTER SHEET'!D84</f>
        <v>0</v>
      </c>
      <c r="DH84" s="5">
        <f>AN84*'MASTER SHEET'!D84</f>
        <v>0</v>
      </c>
      <c r="DI84" s="5">
        <f>AQ84*'MASTER SHEET'!D84</f>
        <v>0</v>
      </c>
      <c r="DJ84" s="5">
        <f>AT84*'MASTER SHEET'!D84</f>
        <v>0</v>
      </c>
      <c r="DK84" s="5">
        <f>AW84*'MASTER SHEET'!D84</f>
        <v>0</v>
      </c>
      <c r="DL84" s="5">
        <f>AZ84*'MASTER SHEET'!D84</f>
        <v>0</v>
      </c>
      <c r="DM84" s="5">
        <f>BC84*'MASTER SHEET'!D84</f>
        <v>0</v>
      </c>
      <c r="DN84" s="5">
        <f>BF84*'MASTER SHEET'!D84</f>
        <v>0</v>
      </c>
      <c r="DO84" s="5">
        <f>BI84*'MASTER SHEET'!D84</f>
        <v>0</v>
      </c>
      <c r="DP84" s="5">
        <f>BL84*'MASTER SHEET'!D84</f>
        <v>0</v>
      </c>
      <c r="DQ84" s="5">
        <f>BO84*'MASTER SHEET'!D84</f>
        <v>0</v>
      </c>
      <c r="DR84" s="5">
        <f>BR84*'MASTER SHEET'!D84</f>
        <v>0</v>
      </c>
      <c r="DS84" s="5">
        <f>BU84*'MASTER SHEET'!D84</f>
        <v>0</v>
      </c>
      <c r="DT84" s="5">
        <f>BX84*'MASTER SHEET'!D84</f>
        <v>0</v>
      </c>
      <c r="DU84" s="5">
        <f>CA84*'MASTER SHEET'!D84</f>
        <v>0</v>
      </c>
      <c r="DV84" s="5">
        <f>CD84*'MASTER SHEET'!D84</f>
        <v>0</v>
      </c>
      <c r="DW84" s="5">
        <f>CG84*'MASTER SHEET'!D84</f>
        <v>0</v>
      </c>
      <c r="DX84" s="5">
        <f>CJ84*'MASTER SHEET'!D84</f>
        <v>0</v>
      </c>
      <c r="DY84" s="5">
        <f>CM84*'MASTER SHEET'!D84</f>
        <v>0</v>
      </c>
      <c r="DZ84" s="5">
        <f>CP84*'MASTER SHEET'!D84</f>
        <v>0</v>
      </c>
      <c r="EA84" s="5">
        <f>CS84*'MASTER SHEET'!D84</f>
        <v>0</v>
      </c>
      <c r="EB84" s="9"/>
    </row>
    <row r="85" spans="1:132" ht="15.75" x14ac:dyDescent="0.25">
      <c r="A85" s="25">
        <f>'MASTER SHEET'!A85</f>
        <v>83</v>
      </c>
      <c r="B85" s="26" t="str">
        <f>'MASTER SHEET'!B85</f>
        <v>PLATE, NOZZEL</v>
      </c>
      <c r="C85" s="27">
        <f>'MASTER SHEET'!C85</f>
        <v>5044037</v>
      </c>
      <c r="D85" s="56">
        <v>410</v>
      </c>
      <c r="E85" s="57">
        <f>' WIP '!F85</f>
        <v>0</v>
      </c>
      <c r="F85" s="58">
        <v>0</v>
      </c>
      <c r="G85" s="59">
        <f t="shared" si="96"/>
        <v>410</v>
      </c>
      <c r="H85" s="57">
        <f>' WIP '!J85</f>
        <v>0</v>
      </c>
      <c r="I85" s="58">
        <v>0</v>
      </c>
      <c r="J85" s="59">
        <f t="shared" si="97"/>
        <v>410</v>
      </c>
      <c r="K85" s="57">
        <f>' WIP '!N85</f>
        <v>0</v>
      </c>
      <c r="L85" s="58"/>
      <c r="M85" s="59">
        <f t="shared" si="98"/>
        <v>410</v>
      </c>
      <c r="N85" s="57">
        <f>' WIP '!R85</f>
        <v>0</v>
      </c>
      <c r="O85" s="58">
        <v>0</v>
      </c>
      <c r="P85" s="59">
        <f t="shared" si="99"/>
        <v>410</v>
      </c>
      <c r="Q85" s="57">
        <f>' WIP '!V85</f>
        <v>0</v>
      </c>
      <c r="R85" s="58">
        <v>400</v>
      </c>
      <c r="S85" s="59">
        <f t="shared" si="100"/>
        <v>10</v>
      </c>
      <c r="T85" s="57">
        <f>' WIP '!Z85</f>
        <v>0</v>
      </c>
      <c r="U85" s="58">
        <v>0</v>
      </c>
      <c r="V85" s="59">
        <f t="shared" si="101"/>
        <v>10</v>
      </c>
      <c r="W85" s="57">
        <f>' WIP '!AD85</f>
        <v>0</v>
      </c>
      <c r="X85" s="58">
        <v>0</v>
      </c>
      <c r="Y85" s="59">
        <f t="shared" si="102"/>
        <v>10</v>
      </c>
      <c r="Z85" s="57">
        <f>' WIP '!AH85</f>
        <v>0</v>
      </c>
      <c r="AA85" s="58">
        <v>0</v>
      </c>
      <c r="AB85" s="59">
        <f t="shared" si="103"/>
        <v>10</v>
      </c>
      <c r="AC85" s="57">
        <f>' WIP '!AL85</f>
        <v>0</v>
      </c>
      <c r="AD85" s="58">
        <v>0</v>
      </c>
      <c r="AE85" s="59">
        <f t="shared" si="104"/>
        <v>10</v>
      </c>
      <c r="AF85" s="57">
        <f>' WIP '!AP85</f>
        <v>0</v>
      </c>
      <c r="AG85" s="114">
        <v>0</v>
      </c>
      <c r="AH85" s="59">
        <f t="shared" si="105"/>
        <v>10</v>
      </c>
      <c r="AI85" s="57">
        <f>' WIP '!AT85</f>
        <v>0</v>
      </c>
      <c r="AJ85" s="58">
        <v>0</v>
      </c>
      <c r="AK85" s="59">
        <f t="shared" si="106"/>
        <v>10</v>
      </c>
      <c r="AL85" s="57">
        <f>' WIP '!AX85</f>
        <v>0</v>
      </c>
      <c r="AM85" s="58"/>
      <c r="AN85" s="59">
        <f t="shared" si="107"/>
        <v>10</v>
      </c>
      <c r="AO85" s="57">
        <f>' WIP '!BB85</f>
        <v>0</v>
      </c>
      <c r="AP85" s="58">
        <v>0</v>
      </c>
      <c r="AQ85" s="59">
        <f t="shared" si="108"/>
        <v>10</v>
      </c>
      <c r="AR85" s="57">
        <f>' WIP '!BF85</f>
        <v>0</v>
      </c>
      <c r="AS85" s="58">
        <v>0</v>
      </c>
      <c r="AT85" s="59">
        <f t="shared" si="109"/>
        <v>10</v>
      </c>
      <c r="AU85" s="57">
        <f>' WIP '!BJ85</f>
        <v>0</v>
      </c>
      <c r="AV85" s="58">
        <v>0</v>
      </c>
      <c r="AW85" s="59">
        <f t="shared" si="110"/>
        <v>10</v>
      </c>
      <c r="AX85" s="57">
        <f>' WIP '!BN85</f>
        <v>0</v>
      </c>
      <c r="AY85" s="58">
        <v>0</v>
      </c>
      <c r="AZ85" s="59">
        <f t="shared" si="111"/>
        <v>10</v>
      </c>
      <c r="BA85" s="57">
        <f>' WIP '!BR85</f>
        <v>0</v>
      </c>
      <c r="BB85" s="58">
        <v>0</v>
      </c>
      <c r="BC85" s="59">
        <f t="shared" si="112"/>
        <v>10</v>
      </c>
      <c r="BD85" s="57">
        <f>' WIP '!BV85</f>
        <v>0</v>
      </c>
      <c r="BE85" s="58">
        <v>0</v>
      </c>
      <c r="BF85" s="59">
        <f t="shared" si="113"/>
        <v>10</v>
      </c>
      <c r="BG85" s="57">
        <f>' WIP '!BZ85</f>
        <v>0</v>
      </c>
      <c r="BH85" s="58"/>
      <c r="BI85" s="59">
        <f t="shared" si="114"/>
        <v>10</v>
      </c>
      <c r="BJ85" s="57">
        <f>' WIP '!CD85</f>
        <v>0</v>
      </c>
      <c r="BK85" s="58">
        <v>0</v>
      </c>
      <c r="BL85" s="59">
        <f t="shared" si="115"/>
        <v>10</v>
      </c>
      <c r="BM85" s="57">
        <f>' WIP '!CH85</f>
        <v>153</v>
      </c>
      <c r="BN85" s="58">
        <v>153</v>
      </c>
      <c r="BO85" s="59">
        <f t="shared" si="116"/>
        <v>10</v>
      </c>
      <c r="BP85" s="57">
        <f>' WIP '!CL85</f>
        <v>0</v>
      </c>
      <c r="BQ85" s="58"/>
      <c r="BR85" s="59">
        <f t="shared" si="117"/>
        <v>10</v>
      </c>
      <c r="BS85" s="57">
        <f>' WIP '!CP85</f>
        <v>0</v>
      </c>
      <c r="BT85" s="58">
        <v>0</v>
      </c>
      <c r="BU85" s="59">
        <f t="shared" si="118"/>
        <v>10</v>
      </c>
      <c r="BV85" s="57">
        <f>' WIP '!CT85</f>
        <v>0</v>
      </c>
      <c r="BW85" s="28">
        <v>0</v>
      </c>
      <c r="BX85" s="59">
        <f t="shared" si="119"/>
        <v>10</v>
      </c>
      <c r="BY85" s="57">
        <f>' WIP '!CX85</f>
        <v>0</v>
      </c>
      <c r="BZ85" s="58">
        <v>0</v>
      </c>
      <c r="CA85" s="59">
        <f t="shared" si="120"/>
        <v>10</v>
      </c>
      <c r="CB85" s="57">
        <f>' WIP '!DB85</f>
        <v>0</v>
      </c>
      <c r="CC85" s="58">
        <v>0</v>
      </c>
      <c r="CD85" s="59">
        <f t="shared" si="121"/>
        <v>10</v>
      </c>
      <c r="CE85" s="57">
        <f>' WIP '!DF85</f>
        <v>0</v>
      </c>
      <c r="CF85" s="58">
        <v>0</v>
      </c>
      <c r="CG85" s="59">
        <f t="shared" si="122"/>
        <v>10</v>
      </c>
      <c r="CH85" s="57">
        <f>' WIP '!DJ85</f>
        <v>0</v>
      </c>
      <c r="CI85" s="58">
        <v>0</v>
      </c>
      <c r="CJ85" s="59">
        <f t="shared" si="123"/>
        <v>10</v>
      </c>
      <c r="CK85" s="57">
        <f>' WIP '!DN85</f>
        <v>0</v>
      </c>
      <c r="CL85" s="58">
        <v>0</v>
      </c>
      <c r="CM85" s="59">
        <f t="shared" si="124"/>
        <v>10</v>
      </c>
      <c r="CN85" s="57">
        <f>' WIP '!DR85</f>
        <v>0</v>
      </c>
      <c r="CO85" s="57"/>
      <c r="CP85" s="59">
        <f t="shared" si="125"/>
        <v>10</v>
      </c>
      <c r="CQ85" s="57">
        <f>' WIP '!DV85</f>
        <v>0</v>
      </c>
      <c r="CR85" s="58"/>
      <c r="CS85" s="59">
        <f t="shared" si="126"/>
        <v>10</v>
      </c>
      <c r="CT85" s="31">
        <f t="shared" si="127"/>
        <v>563</v>
      </c>
      <c r="CU85" s="4">
        <f t="shared" si="128"/>
        <v>553</v>
      </c>
      <c r="CV85" s="5">
        <f>D85*'MASTER SHEET'!D85</f>
        <v>2308.3000000000002</v>
      </c>
      <c r="CW85" s="5">
        <f>G85*'MASTER SHEET'!D85</f>
        <v>2308.3000000000002</v>
      </c>
      <c r="CX85" s="5">
        <f>J85*'MASTER SHEET'!D85</f>
        <v>2308.3000000000002</v>
      </c>
      <c r="CY85" s="5">
        <f>M85*'MASTER SHEET'!D85</f>
        <v>2308.3000000000002</v>
      </c>
      <c r="CZ85" s="5">
        <f>P85*'MASTER SHEET'!D85</f>
        <v>2308.3000000000002</v>
      </c>
      <c r="DA85" s="5">
        <f>S85*'MASTER SHEET'!D85</f>
        <v>56.3</v>
      </c>
      <c r="DB85" s="5">
        <f>V85*'MASTER SHEET'!D85</f>
        <v>56.3</v>
      </c>
      <c r="DC85" s="5">
        <f>Y85*'MASTER SHEET'!D85</f>
        <v>56.3</v>
      </c>
      <c r="DD85" s="5">
        <f>AB85*'MASTER SHEET'!D85</f>
        <v>56.3</v>
      </c>
      <c r="DE85" s="5">
        <f>AE85*'MASTER SHEET'!D85</f>
        <v>56.3</v>
      </c>
      <c r="DF85" s="5">
        <f>AH85*'MASTER SHEET'!D85</f>
        <v>56.3</v>
      </c>
      <c r="DG85" s="5">
        <f>AK85*'MASTER SHEET'!D85</f>
        <v>56.3</v>
      </c>
      <c r="DH85" s="5">
        <f>AN85*'MASTER SHEET'!D85</f>
        <v>56.3</v>
      </c>
      <c r="DI85" s="5">
        <f>AQ85*'MASTER SHEET'!D85</f>
        <v>56.3</v>
      </c>
      <c r="DJ85" s="5">
        <f>AT85*'MASTER SHEET'!D85</f>
        <v>56.3</v>
      </c>
      <c r="DK85" s="5">
        <f>AW85*'MASTER SHEET'!D85</f>
        <v>56.3</v>
      </c>
      <c r="DL85" s="5">
        <f>AZ85*'MASTER SHEET'!D85</f>
        <v>56.3</v>
      </c>
      <c r="DM85" s="5">
        <f>BC85*'MASTER SHEET'!D85</f>
        <v>56.3</v>
      </c>
      <c r="DN85" s="5">
        <f>BF85*'MASTER SHEET'!D85</f>
        <v>56.3</v>
      </c>
      <c r="DO85" s="5">
        <f>BI85*'MASTER SHEET'!D85</f>
        <v>56.3</v>
      </c>
      <c r="DP85" s="5">
        <f>BL85*'MASTER SHEET'!D85</f>
        <v>56.3</v>
      </c>
      <c r="DQ85" s="5">
        <f>BO85*'MASTER SHEET'!D85</f>
        <v>56.3</v>
      </c>
      <c r="DR85" s="5">
        <f>BR85*'MASTER SHEET'!D85</f>
        <v>56.3</v>
      </c>
      <c r="DS85" s="5">
        <f>BU85*'MASTER SHEET'!D85</f>
        <v>56.3</v>
      </c>
      <c r="DT85" s="5">
        <f>BX85*'MASTER SHEET'!D85</f>
        <v>56.3</v>
      </c>
      <c r="DU85" s="5">
        <f>CA85*'MASTER SHEET'!D85</f>
        <v>56.3</v>
      </c>
      <c r="DV85" s="5">
        <f>CD85*'MASTER SHEET'!D85</f>
        <v>56.3</v>
      </c>
      <c r="DW85" s="5">
        <f>CG85*'MASTER SHEET'!D85</f>
        <v>56.3</v>
      </c>
      <c r="DX85" s="5">
        <f>CJ85*'MASTER SHEET'!D85</f>
        <v>56.3</v>
      </c>
      <c r="DY85" s="5">
        <f>CM85*'MASTER SHEET'!D85</f>
        <v>56.3</v>
      </c>
      <c r="DZ85" s="5">
        <f>CP85*'MASTER SHEET'!D85</f>
        <v>56.3</v>
      </c>
      <c r="EA85" s="5">
        <f>CS85*'MASTER SHEET'!D85</f>
        <v>56.3</v>
      </c>
      <c r="EB85" s="9"/>
    </row>
    <row r="86" spans="1:132" ht="15.75" x14ac:dyDescent="0.25">
      <c r="A86" s="25">
        <f>'MASTER SHEET'!A86</f>
        <v>84</v>
      </c>
      <c r="B86" s="26" t="str">
        <f>'MASTER SHEET'!B86</f>
        <v>BASE HOUSING CRANKCASE</v>
      </c>
      <c r="C86" s="27">
        <f>'MASTER SHEET'!C86</f>
        <v>5044040</v>
      </c>
      <c r="D86" s="56">
        <v>800</v>
      </c>
      <c r="E86" s="57">
        <f>' WIP '!F86</f>
        <v>0</v>
      </c>
      <c r="F86" s="58">
        <v>0</v>
      </c>
      <c r="G86" s="59">
        <f t="shared" si="96"/>
        <v>800</v>
      </c>
      <c r="H86" s="57">
        <f>' WIP '!J86</f>
        <v>0</v>
      </c>
      <c r="I86" s="58">
        <v>0</v>
      </c>
      <c r="J86" s="59">
        <f t="shared" si="97"/>
        <v>800</v>
      </c>
      <c r="K86" s="57">
        <f>' WIP '!N86</f>
        <v>0</v>
      </c>
      <c r="L86" s="58"/>
      <c r="M86" s="59">
        <f t="shared" si="98"/>
        <v>800</v>
      </c>
      <c r="N86" s="57">
        <f>' WIP '!R86</f>
        <v>0</v>
      </c>
      <c r="O86" s="58">
        <v>0</v>
      </c>
      <c r="P86" s="59">
        <f t="shared" si="99"/>
        <v>800</v>
      </c>
      <c r="Q86" s="57">
        <f>' WIP '!V86</f>
        <v>0</v>
      </c>
      <c r="R86" s="58">
        <v>0</v>
      </c>
      <c r="S86" s="59">
        <f t="shared" si="100"/>
        <v>800</v>
      </c>
      <c r="T86" s="57">
        <f>' WIP '!Z86</f>
        <v>0</v>
      </c>
      <c r="U86" s="58">
        <v>0</v>
      </c>
      <c r="V86" s="59">
        <f t="shared" si="101"/>
        <v>800</v>
      </c>
      <c r="W86" s="57">
        <f>' WIP '!AD86</f>
        <v>0</v>
      </c>
      <c r="X86" s="58">
        <v>0</v>
      </c>
      <c r="Y86" s="59">
        <f t="shared" si="102"/>
        <v>800</v>
      </c>
      <c r="Z86" s="57">
        <f>' WIP '!AH86</f>
        <v>0</v>
      </c>
      <c r="AA86" s="58">
        <v>0</v>
      </c>
      <c r="AB86" s="59">
        <f t="shared" si="103"/>
        <v>800</v>
      </c>
      <c r="AC86" s="57">
        <f>' WIP '!AL86</f>
        <v>0</v>
      </c>
      <c r="AD86" s="58">
        <v>0</v>
      </c>
      <c r="AE86" s="59">
        <f t="shared" si="104"/>
        <v>800</v>
      </c>
      <c r="AF86" s="57">
        <f>' WIP '!AP86</f>
        <v>0</v>
      </c>
      <c r="AG86" s="114">
        <v>0</v>
      </c>
      <c r="AH86" s="59">
        <f t="shared" si="105"/>
        <v>800</v>
      </c>
      <c r="AI86" s="57">
        <f>' WIP '!AT86</f>
        <v>0</v>
      </c>
      <c r="AJ86" s="58">
        <v>50</v>
      </c>
      <c r="AK86" s="59">
        <f t="shared" si="106"/>
        <v>750</v>
      </c>
      <c r="AL86" s="57">
        <f>' WIP '!AX86</f>
        <v>0</v>
      </c>
      <c r="AM86" s="58"/>
      <c r="AN86" s="59">
        <f t="shared" si="107"/>
        <v>750</v>
      </c>
      <c r="AO86" s="57">
        <f>' WIP '!BB86</f>
        <v>0</v>
      </c>
      <c r="AP86" s="58">
        <v>150</v>
      </c>
      <c r="AQ86" s="59">
        <f t="shared" si="108"/>
        <v>600</v>
      </c>
      <c r="AR86" s="57">
        <f>' WIP '!BF86</f>
        <v>0</v>
      </c>
      <c r="AS86" s="58">
        <v>0</v>
      </c>
      <c r="AT86" s="59">
        <f t="shared" si="109"/>
        <v>600</v>
      </c>
      <c r="AU86" s="57">
        <f>' WIP '!BJ86</f>
        <v>0</v>
      </c>
      <c r="AV86" s="58">
        <v>0</v>
      </c>
      <c r="AW86" s="59">
        <f t="shared" si="110"/>
        <v>600</v>
      </c>
      <c r="AX86" s="57">
        <f>' WIP '!BN86</f>
        <v>0</v>
      </c>
      <c r="AY86" s="58">
        <v>0</v>
      </c>
      <c r="AZ86" s="59">
        <f t="shared" si="111"/>
        <v>600</v>
      </c>
      <c r="BA86" s="57">
        <f>' WIP '!BR86</f>
        <v>0</v>
      </c>
      <c r="BB86" s="58">
        <v>0</v>
      </c>
      <c r="BC86" s="59">
        <f t="shared" si="112"/>
        <v>600</v>
      </c>
      <c r="BD86" s="57">
        <f>' WIP '!BV86</f>
        <v>0</v>
      </c>
      <c r="BE86" s="58">
        <v>0</v>
      </c>
      <c r="BF86" s="59">
        <f t="shared" si="113"/>
        <v>600</v>
      </c>
      <c r="BG86" s="57">
        <f>' WIP '!BZ86</f>
        <v>0</v>
      </c>
      <c r="BH86" s="58"/>
      <c r="BI86" s="59">
        <f t="shared" si="114"/>
        <v>600</v>
      </c>
      <c r="BJ86" s="57">
        <f>' WIP '!CD86</f>
        <v>0</v>
      </c>
      <c r="BK86" s="58">
        <v>150</v>
      </c>
      <c r="BL86" s="59">
        <f t="shared" si="115"/>
        <v>450</v>
      </c>
      <c r="BM86" s="57">
        <f>' WIP '!CH86</f>
        <v>0</v>
      </c>
      <c r="BN86" s="58">
        <v>250</v>
      </c>
      <c r="BO86" s="59">
        <f t="shared" si="116"/>
        <v>200</v>
      </c>
      <c r="BP86" s="57">
        <f>' WIP '!CL86</f>
        <v>0</v>
      </c>
      <c r="BQ86" s="58"/>
      <c r="BR86" s="59">
        <f t="shared" si="117"/>
        <v>200</v>
      </c>
      <c r="BS86" s="57">
        <f>' WIP '!CP86</f>
        <v>0</v>
      </c>
      <c r="BT86" s="58">
        <v>150</v>
      </c>
      <c r="BU86" s="59">
        <f t="shared" si="118"/>
        <v>50</v>
      </c>
      <c r="BV86" s="57">
        <f>' WIP '!CT86</f>
        <v>0</v>
      </c>
      <c r="BW86" s="28">
        <v>0</v>
      </c>
      <c r="BX86" s="59">
        <f t="shared" si="119"/>
        <v>50</v>
      </c>
      <c r="BY86" s="57">
        <f>' WIP '!CX86</f>
        <v>0</v>
      </c>
      <c r="BZ86" s="58">
        <v>50</v>
      </c>
      <c r="CA86" s="59">
        <f t="shared" si="120"/>
        <v>0</v>
      </c>
      <c r="CB86" s="57">
        <f>' WIP '!DB86</f>
        <v>0</v>
      </c>
      <c r="CC86" s="58">
        <v>0</v>
      </c>
      <c r="CD86" s="59">
        <f t="shared" si="121"/>
        <v>0</v>
      </c>
      <c r="CE86" s="57">
        <f>' WIP '!DF86</f>
        <v>0</v>
      </c>
      <c r="CF86" s="58">
        <v>0</v>
      </c>
      <c r="CG86" s="59">
        <f t="shared" si="122"/>
        <v>0</v>
      </c>
      <c r="CH86" s="57">
        <f>' WIP '!DJ86</f>
        <v>0</v>
      </c>
      <c r="CI86" s="58">
        <v>0</v>
      </c>
      <c r="CJ86" s="59">
        <f t="shared" si="123"/>
        <v>0</v>
      </c>
      <c r="CK86" s="57">
        <f>' WIP '!DN86</f>
        <v>0</v>
      </c>
      <c r="CL86" s="58">
        <v>0</v>
      </c>
      <c r="CM86" s="59">
        <f t="shared" si="124"/>
        <v>0</v>
      </c>
      <c r="CN86" s="57">
        <f>' WIP '!DR86</f>
        <v>0</v>
      </c>
      <c r="CO86" s="57"/>
      <c r="CP86" s="59">
        <f t="shared" si="125"/>
        <v>0</v>
      </c>
      <c r="CQ86" s="57">
        <f>' WIP '!DV86</f>
        <v>0</v>
      </c>
      <c r="CR86" s="58"/>
      <c r="CS86" s="59">
        <f t="shared" si="126"/>
        <v>0</v>
      </c>
      <c r="CT86" s="31">
        <f t="shared" si="127"/>
        <v>800</v>
      </c>
      <c r="CU86" s="4">
        <f t="shared" si="128"/>
        <v>800</v>
      </c>
      <c r="CV86" s="5">
        <f>D86*'MASTER SHEET'!D86</f>
        <v>38272</v>
      </c>
      <c r="CW86" s="5">
        <f>G86*'MASTER SHEET'!D86</f>
        <v>38272</v>
      </c>
      <c r="CX86" s="5">
        <f>J86*'MASTER SHEET'!D86</f>
        <v>38272</v>
      </c>
      <c r="CY86" s="5">
        <f>M86*'MASTER SHEET'!D86</f>
        <v>38272</v>
      </c>
      <c r="CZ86" s="5">
        <f>P86*'MASTER SHEET'!D86</f>
        <v>38272</v>
      </c>
      <c r="DA86" s="5">
        <f>S86*'MASTER SHEET'!D86</f>
        <v>38272</v>
      </c>
      <c r="DB86" s="5">
        <f>V86*'MASTER SHEET'!D86</f>
        <v>38272</v>
      </c>
      <c r="DC86" s="5">
        <f>Y86*'MASTER SHEET'!D86</f>
        <v>38272</v>
      </c>
      <c r="DD86" s="5">
        <f>AB86*'MASTER SHEET'!D86</f>
        <v>38272</v>
      </c>
      <c r="DE86" s="5">
        <f>AE86*'MASTER SHEET'!D86</f>
        <v>38272</v>
      </c>
      <c r="DF86" s="5">
        <f>AH86*'MASTER SHEET'!D86</f>
        <v>38272</v>
      </c>
      <c r="DG86" s="5">
        <f>AK86*'MASTER SHEET'!D86</f>
        <v>35880</v>
      </c>
      <c r="DH86" s="5">
        <f>AN86*'MASTER SHEET'!D86</f>
        <v>35880</v>
      </c>
      <c r="DI86" s="5">
        <f>AQ86*'MASTER SHEET'!D86</f>
        <v>28704.000000000004</v>
      </c>
      <c r="DJ86" s="5">
        <f>AT86*'MASTER SHEET'!D86</f>
        <v>28704.000000000004</v>
      </c>
      <c r="DK86" s="5">
        <f>AW86*'MASTER SHEET'!D86</f>
        <v>28704.000000000004</v>
      </c>
      <c r="DL86" s="5">
        <f>AZ86*'MASTER SHEET'!D86</f>
        <v>28704.000000000004</v>
      </c>
      <c r="DM86" s="5">
        <f>BC86*'MASTER SHEET'!D86</f>
        <v>28704.000000000004</v>
      </c>
      <c r="DN86" s="5">
        <f>BF86*'MASTER SHEET'!D86</f>
        <v>28704.000000000004</v>
      </c>
      <c r="DO86" s="5">
        <f>BI86*'MASTER SHEET'!D86</f>
        <v>28704.000000000004</v>
      </c>
      <c r="DP86" s="5">
        <f>BL86*'MASTER SHEET'!D86</f>
        <v>21528</v>
      </c>
      <c r="DQ86" s="5">
        <f>BO86*'MASTER SHEET'!D86</f>
        <v>9568</v>
      </c>
      <c r="DR86" s="5">
        <f>BR86*'MASTER SHEET'!D86</f>
        <v>9568</v>
      </c>
      <c r="DS86" s="5">
        <f>BU86*'MASTER SHEET'!D86</f>
        <v>2392</v>
      </c>
      <c r="DT86" s="5">
        <f>BX86*'MASTER SHEET'!D86</f>
        <v>2392</v>
      </c>
      <c r="DU86" s="5">
        <f>CA86*'MASTER SHEET'!D86</f>
        <v>0</v>
      </c>
      <c r="DV86" s="5">
        <f>CD86*'MASTER SHEET'!D86</f>
        <v>0</v>
      </c>
      <c r="DW86" s="5">
        <f>CG86*'MASTER SHEET'!D86</f>
        <v>0</v>
      </c>
      <c r="DX86" s="5">
        <f>CJ86*'MASTER SHEET'!D86</f>
        <v>0</v>
      </c>
      <c r="DY86" s="5">
        <f>CM86*'MASTER SHEET'!D86</f>
        <v>0</v>
      </c>
      <c r="DZ86" s="5">
        <f>CP86*'MASTER SHEET'!D86</f>
        <v>0</v>
      </c>
      <c r="EA86" s="5">
        <f>CS86*'MASTER SHEET'!D86</f>
        <v>0</v>
      </c>
      <c r="EB86" s="9"/>
    </row>
    <row r="87" spans="1:132" ht="15.75" x14ac:dyDescent="0.25">
      <c r="A87" s="25">
        <f>'MASTER SHEET'!A87</f>
        <v>85</v>
      </c>
      <c r="B87" s="26" t="str">
        <f>'MASTER SHEET'!B87</f>
        <v>ENDPLATE PLASTIC</v>
      </c>
      <c r="C87" s="27">
        <f>'MASTER SHEET'!C87</f>
        <v>5028374</v>
      </c>
      <c r="D87" s="56">
        <v>573</v>
      </c>
      <c r="E87" s="57">
        <f>' WIP '!F87</f>
        <v>0</v>
      </c>
      <c r="F87" s="58">
        <v>0</v>
      </c>
      <c r="G87" s="59">
        <f t="shared" si="96"/>
        <v>573</v>
      </c>
      <c r="H87" s="57">
        <f>' WIP '!J87</f>
        <v>0</v>
      </c>
      <c r="I87" s="58">
        <v>0</v>
      </c>
      <c r="J87" s="59">
        <f t="shared" si="97"/>
        <v>573</v>
      </c>
      <c r="K87" s="57">
        <f>' WIP '!N87</f>
        <v>0</v>
      </c>
      <c r="L87" s="58"/>
      <c r="M87" s="59">
        <f t="shared" si="98"/>
        <v>573</v>
      </c>
      <c r="N87" s="57">
        <f>' WIP '!R87</f>
        <v>0</v>
      </c>
      <c r="O87" s="58">
        <v>0</v>
      </c>
      <c r="P87" s="59">
        <f t="shared" si="99"/>
        <v>573</v>
      </c>
      <c r="Q87" s="57">
        <f>' WIP '!V87</f>
        <v>0</v>
      </c>
      <c r="R87" s="58">
        <v>0</v>
      </c>
      <c r="S87" s="59">
        <f t="shared" si="100"/>
        <v>573</v>
      </c>
      <c r="T87" s="57">
        <f>' WIP '!Z87</f>
        <v>0</v>
      </c>
      <c r="U87" s="58">
        <v>0</v>
      </c>
      <c r="V87" s="59">
        <f t="shared" si="101"/>
        <v>573</v>
      </c>
      <c r="W87" s="57">
        <f>' WIP '!AD87</f>
        <v>0</v>
      </c>
      <c r="X87" s="58">
        <v>0</v>
      </c>
      <c r="Y87" s="59">
        <f t="shared" si="102"/>
        <v>573</v>
      </c>
      <c r="Z87" s="57">
        <f>' WIP '!AH87</f>
        <v>0</v>
      </c>
      <c r="AA87" s="58">
        <v>0</v>
      </c>
      <c r="AB87" s="59">
        <f t="shared" si="103"/>
        <v>573</v>
      </c>
      <c r="AC87" s="57">
        <f>' WIP '!AL87</f>
        <v>0</v>
      </c>
      <c r="AD87" s="58">
        <v>0</v>
      </c>
      <c r="AE87" s="59">
        <f t="shared" si="104"/>
        <v>573</v>
      </c>
      <c r="AF87" s="57">
        <f>' WIP '!AP87</f>
        <v>0</v>
      </c>
      <c r="AG87" s="114">
        <v>0</v>
      </c>
      <c r="AH87" s="59">
        <f t="shared" si="105"/>
        <v>573</v>
      </c>
      <c r="AI87" s="57">
        <f>' WIP '!AT87</f>
        <v>0</v>
      </c>
      <c r="AJ87" s="58">
        <v>0</v>
      </c>
      <c r="AK87" s="59">
        <f t="shared" si="106"/>
        <v>573</v>
      </c>
      <c r="AL87" s="57">
        <f>' WIP '!AX87</f>
        <v>0</v>
      </c>
      <c r="AM87" s="58"/>
      <c r="AN87" s="59">
        <f t="shared" si="107"/>
        <v>573</v>
      </c>
      <c r="AO87" s="57">
        <f>' WIP '!BB87</f>
        <v>0</v>
      </c>
      <c r="AP87" s="58">
        <v>0</v>
      </c>
      <c r="AQ87" s="59">
        <f t="shared" si="108"/>
        <v>573</v>
      </c>
      <c r="AR87" s="57">
        <f>' WIP '!BF87</f>
        <v>0</v>
      </c>
      <c r="AS87" s="58">
        <v>0</v>
      </c>
      <c r="AT87" s="59">
        <f t="shared" si="109"/>
        <v>573</v>
      </c>
      <c r="AU87" s="57">
        <f>' WIP '!BJ87</f>
        <v>0</v>
      </c>
      <c r="AV87" s="58">
        <v>0</v>
      </c>
      <c r="AW87" s="59">
        <f t="shared" si="110"/>
        <v>573</v>
      </c>
      <c r="AX87" s="57">
        <f>' WIP '!BN87</f>
        <v>0</v>
      </c>
      <c r="AY87" s="58">
        <v>0</v>
      </c>
      <c r="AZ87" s="59">
        <f t="shared" si="111"/>
        <v>573</v>
      </c>
      <c r="BA87" s="57">
        <f>' WIP '!BR87</f>
        <v>0</v>
      </c>
      <c r="BB87" s="58">
        <v>0</v>
      </c>
      <c r="BC87" s="59">
        <f t="shared" si="112"/>
        <v>573</v>
      </c>
      <c r="BD87" s="57">
        <f>' WIP '!BV87</f>
        <v>0</v>
      </c>
      <c r="BE87" s="58">
        <v>0</v>
      </c>
      <c r="BF87" s="59">
        <f t="shared" si="113"/>
        <v>573</v>
      </c>
      <c r="BG87" s="57">
        <f>' WIP '!BZ87</f>
        <v>0</v>
      </c>
      <c r="BH87" s="58"/>
      <c r="BI87" s="59">
        <f t="shared" si="114"/>
        <v>573</v>
      </c>
      <c r="BJ87" s="57">
        <f>' WIP '!CD87</f>
        <v>0</v>
      </c>
      <c r="BK87" s="58">
        <v>0</v>
      </c>
      <c r="BL87" s="59">
        <f t="shared" si="115"/>
        <v>573</v>
      </c>
      <c r="BM87" s="57">
        <f>' WIP '!CH87</f>
        <v>0</v>
      </c>
      <c r="BN87" s="58">
        <v>0</v>
      </c>
      <c r="BO87" s="59">
        <f t="shared" si="116"/>
        <v>573</v>
      </c>
      <c r="BP87" s="57">
        <f>' WIP '!CL87</f>
        <v>0</v>
      </c>
      <c r="BQ87" s="58"/>
      <c r="BR87" s="59">
        <f t="shared" si="117"/>
        <v>573</v>
      </c>
      <c r="BS87" s="57">
        <f>' WIP '!CP87</f>
        <v>0</v>
      </c>
      <c r="BT87" s="58">
        <v>0</v>
      </c>
      <c r="BU87" s="59">
        <f t="shared" si="118"/>
        <v>573</v>
      </c>
      <c r="BV87" s="57">
        <f>' WIP '!CT87</f>
        <v>0</v>
      </c>
      <c r="BW87" s="28">
        <v>0</v>
      </c>
      <c r="BX87" s="59">
        <f t="shared" si="119"/>
        <v>573</v>
      </c>
      <c r="BY87" s="57">
        <f>' WIP '!CX87</f>
        <v>0</v>
      </c>
      <c r="BZ87" s="58">
        <v>0</v>
      </c>
      <c r="CA87" s="59">
        <f t="shared" si="120"/>
        <v>573</v>
      </c>
      <c r="CB87" s="57">
        <f>' WIP '!DB87</f>
        <v>0</v>
      </c>
      <c r="CC87" s="58">
        <v>0</v>
      </c>
      <c r="CD87" s="59">
        <f t="shared" si="121"/>
        <v>573</v>
      </c>
      <c r="CE87" s="57">
        <f>' WIP '!DF87</f>
        <v>0</v>
      </c>
      <c r="CF87" s="58">
        <v>0</v>
      </c>
      <c r="CG87" s="59">
        <f t="shared" si="122"/>
        <v>573</v>
      </c>
      <c r="CH87" s="57">
        <f>' WIP '!DJ87</f>
        <v>0</v>
      </c>
      <c r="CI87" s="58">
        <v>0</v>
      </c>
      <c r="CJ87" s="59">
        <f t="shared" si="123"/>
        <v>573</v>
      </c>
      <c r="CK87" s="57">
        <f>' WIP '!DN87</f>
        <v>0</v>
      </c>
      <c r="CL87" s="58">
        <v>0</v>
      </c>
      <c r="CM87" s="59">
        <f t="shared" si="124"/>
        <v>573</v>
      </c>
      <c r="CN87" s="57">
        <f>' WIP '!DR87</f>
        <v>0</v>
      </c>
      <c r="CO87" s="57"/>
      <c r="CP87" s="59">
        <f t="shared" si="125"/>
        <v>573</v>
      </c>
      <c r="CQ87" s="57">
        <f>' WIP '!DV87</f>
        <v>0</v>
      </c>
      <c r="CR87" s="58"/>
      <c r="CS87" s="59">
        <f t="shared" si="126"/>
        <v>573</v>
      </c>
      <c r="CT87" s="31">
        <f t="shared" si="127"/>
        <v>573</v>
      </c>
      <c r="CU87" s="4">
        <f t="shared" si="128"/>
        <v>0</v>
      </c>
      <c r="CV87" s="5">
        <f>D87*'MASTER SHEET'!D87</f>
        <v>6881.73</v>
      </c>
      <c r="CW87" s="5">
        <f>G87*'MASTER SHEET'!D87</f>
        <v>6881.73</v>
      </c>
      <c r="CX87" s="5">
        <f>J87*'MASTER SHEET'!D87</f>
        <v>6881.73</v>
      </c>
      <c r="CY87" s="5">
        <f>M87*'MASTER SHEET'!D87</f>
        <v>6881.73</v>
      </c>
      <c r="CZ87" s="5">
        <f>P87*'MASTER SHEET'!D87</f>
        <v>6881.73</v>
      </c>
      <c r="DA87" s="5">
        <f>S87*'MASTER SHEET'!D87</f>
        <v>6881.73</v>
      </c>
      <c r="DB87" s="5">
        <f>V87*'MASTER SHEET'!D87</f>
        <v>6881.73</v>
      </c>
      <c r="DC87" s="5">
        <f>Y87*'MASTER SHEET'!D87</f>
        <v>6881.73</v>
      </c>
      <c r="DD87" s="5">
        <f>AB87*'MASTER SHEET'!D87</f>
        <v>6881.73</v>
      </c>
      <c r="DE87" s="5">
        <f>AE87*'MASTER SHEET'!D87</f>
        <v>6881.73</v>
      </c>
      <c r="DF87" s="5">
        <f>AH87*'MASTER SHEET'!D87</f>
        <v>6881.73</v>
      </c>
      <c r="DG87" s="5">
        <f>AK87*'MASTER SHEET'!D87</f>
        <v>6881.73</v>
      </c>
      <c r="DH87" s="5">
        <f>AN87*'MASTER SHEET'!D87</f>
        <v>6881.73</v>
      </c>
      <c r="DI87" s="5">
        <f>AQ87*'MASTER SHEET'!D87</f>
        <v>6881.73</v>
      </c>
      <c r="DJ87" s="5">
        <f>AT87*'MASTER SHEET'!D87</f>
        <v>6881.73</v>
      </c>
      <c r="DK87" s="5">
        <f>AW87*'MASTER SHEET'!D87</f>
        <v>6881.73</v>
      </c>
      <c r="DL87" s="5">
        <f>AZ87*'MASTER SHEET'!D87</f>
        <v>6881.73</v>
      </c>
      <c r="DM87" s="5">
        <f>BC87*'MASTER SHEET'!D87</f>
        <v>6881.73</v>
      </c>
      <c r="DN87" s="5">
        <f>BF87*'MASTER SHEET'!D87</f>
        <v>6881.73</v>
      </c>
      <c r="DO87" s="5">
        <f>BI87*'MASTER SHEET'!D87</f>
        <v>6881.73</v>
      </c>
      <c r="DP87" s="5">
        <f>BL87*'MASTER SHEET'!D87</f>
        <v>6881.73</v>
      </c>
      <c r="DQ87" s="5">
        <f>BO87*'MASTER SHEET'!D87</f>
        <v>6881.73</v>
      </c>
      <c r="DR87" s="5">
        <f>BR87*'MASTER SHEET'!D87</f>
        <v>6881.73</v>
      </c>
      <c r="DS87" s="5">
        <f>BU87*'MASTER SHEET'!D87</f>
        <v>6881.73</v>
      </c>
      <c r="DT87" s="5">
        <f>BX87*'MASTER SHEET'!D87</f>
        <v>6881.73</v>
      </c>
      <c r="DU87" s="5">
        <f>CA87*'MASTER SHEET'!D87</f>
        <v>6881.73</v>
      </c>
      <c r="DV87" s="5">
        <f>CD87*'MASTER SHEET'!D87</f>
        <v>6881.73</v>
      </c>
      <c r="DW87" s="5">
        <f>CG87*'MASTER SHEET'!D87</f>
        <v>6881.73</v>
      </c>
      <c r="DX87" s="5">
        <f>CJ87*'MASTER SHEET'!D87</f>
        <v>6881.73</v>
      </c>
      <c r="DY87" s="5">
        <f>CM87*'MASTER SHEET'!D87</f>
        <v>6881.73</v>
      </c>
      <c r="DZ87" s="5">
        <f>CP87*'MASTER SHEET'!D87</f>
        <v>6881.73</v>
      </c>
      <c r="EA87" s="5">
        <f>CS87*'MASTER SHEET'!D87</f>
        <v>6881.73</v>
      </c>
      <c r="EB87" s="9"/>
    </row>
    <row r="88" spans="1:132" ht="15.75" x14ac:dyDescent="0.25">
      <c r="A88" s="25">
        <f>'MASTER SHEET'!A88</f>
        <v>86</v>
      </c>
      <c r="B88" s="26" t="str">
        <f>'MASTER SHEET'!B88</f>
        <v xml:space="preserve">ENDPLATE </v>
      </c>
      <c r="C88" s="27">
        <f>'MASTER SHEET'!C88</f>
        <v>5040212</v>
      </c>
      <c r="D88" s="56">
        <v>50</v>
      </c>
      <c r="E88" s="57">
        <f>' WIP '!F88</f>
        <v>0</v>
      </c>
      <c r="F88" s="58">
        <v>0</v>
      </c>
      <c r="G88" s="59">
        <f t="shared" si="96"/>
        <v>50</v>
      </c>
      <c r="H88" s="57">
        <f>' WIP '!J88</f>
        <v>0</v>
      </c>
      <c r="I88" s="58">
        <v>0</v>
      </c>
      <c r="J88" s="59">
        <f t="shared" si="97"/>
        <v>50</v>
      </c>
      <c r="K88" s="57">
        <f>' WIP '!N88</f>
        <v>0</v>
      </c>
      <c r="L88" s="58"/>
      <c r="M88" s="59">
        <f t="shared" si="98"/>
        <v>50</v>
      </c>
      <c r="N88" s="57">
        <f>' WIP '!R88</f>
        <v>0</v>
      </c>
      <c r="O88" s="58">
        <v>0</v>
      </c>
      <c r="P88" s="59">
        <f t="shared" si="99"/>
        <v>50</v>
      </c>
      <c r="Q88" s="57">
        <f>' WIP '!V88</f>
        <v>0</v>
      </c>
      <c r="R88" s="58">
        <v>0</v>
      </c>
      <c r="S88" s="59">
        <f t="shared" si="100"/>
        <v>50</v>
      </c>
      <c r="T88" s="57">
        <f>' WIP '!Z88</f>
        <v>0</v>
      </c>
      <c r="U88" s="58">
        <v>0</v>
      </c>
      <c r="V88" s="59">
        <f t="shared" si="101"/>
        <v>50</v>
      </c>
      <c r="W88" s="57">
        <f>' WIP '!AD88</f>
        <v>0</v>
      </c>
      <c r="X88" s="58">
        <v>0</v>
      </c>
      <c r="Y88" s="59">
        <f t="shared" si="102"/>
        <v>50</v>
      </c>
      <c r="Z88" s="57">
        <f>' WIP '!AH88</f>
        <v>0</v>
      </c>
      <c r="AA88" s="58">
        <v>0</v>
      </c>
      <c r="AB88" s="59">
        <f t="shared" si="103"/>
        <v>50</v>
      </c>
      <c r="AC88" s="57">
        <f>' WIP '!AL88</f>
        <v>0</v>
      </c>
      <c r="AD88" s="58">
        <v>0</v>
      </c>
      <c r="AE88" s="59">
        <f t="shared" si="104"/>
        <v>50</v>
      </c>
      <c r="AF88" s="57">
        <f>' WIP '!AP88</f>
        <v>0</v>
      </c>
      <c r="AG88" s="114">
        <v>0</v>
      </c>
      <c r="AH88" s="59">
        <f t="shared" si="105"/>
        <v>50</v>
      </c>
      <c r="AI88" s="57">
        <f>' WIP '!AT88</f>
        <v>0</v>
      </c>
      <c r="AJ88" s="58">
        <v>0</v>
      </c>
      <c r="AK88" s="59">
        <f t="shared" si="106"/>
        <v>50</v>
      </c>
      <c r="AL88" s="57">
        <f>' WIP '!AX88</f>
        <v>0</v>
      </c>
      <c r="AM88" s="58"/>
      <c r="AN88" s="59">
        <f t="shared" si="107"/>
        <v>50</v>
      </c>
      <c r="AO88" s="57">
        <f>' WIP '!BB88</f>
        <v>0</v>
      </c>
      <c r="AP88" s="58">
        <v>0</v>
      </c>
      <c r="AQ88" s="59">
        <f t="shared" si="108"/>
        <v>50</v>
      </c>
      <c r="AR88" s="57">
        <f>' WIP '!BF88</f>
        <v>0</v>
      </c>
      <c r="AS88" s="58">
        <v>0</v>
      </c>
      <c r="AT88" s="59">
        <f t="shared" si="109"/>
        <v>50</v>
      </c>
      <c r="AU88" s="57">
        <f>' WIP '!BJ88</f>
        <v>0</v>
      </c>
      <c r="AV88" s="58">
        <v>0</v>
      </c>
      <c r="AW88" s="59">
        <f t="shared" si="110"/>
        <v>50</v>
      </c>
      <c r="AX88" s="57">
        <f>' WIP '!BN88</f>
        <v>0</v>
      </c>
      <c r="AY88" s="58">
        <v>0</v>
      </c>
      <c r="AZ88" s="59">
        <f t="shared" si="111"/>
        <v>50</v>
      </c>
      <c r="BA88" s="57">
        <f>' WIP '!BR88</f>
        <v>0</v>
      </c>
      <c r="BB88" s="58">
        <v>0</v>
      </c>
      <c r="BC88" s="59">
        <f t="shared" si="112"/>
        <v>50</v>
      </c>
      <c r="BD88" s="57">
        <f>' WIP '!BV88</f>
        <v>0</v>
      </c>
      <c r="BE88" s="58">
        <v>0</v>
      </c>
      <c r="BF88" s="59">
        <f t="shared" si="113"/>
        <v>50</v>
      </c>
      <c r="BG88" s="57">
        <f>' WIP '!BZ88</f>
        <v>0</v>
      </c>
      <c r="BH88" s="58"/>
      <c r="BI88" s="59">
        <f t="shared" si="114"/>
        <v>50</v>
      </c>
      <c r="BJ88" s="57">
        <f>' WIP '!CD88</f>
        <v>0</v>
      </c>
      <c r="BK88" s="58">
        <v>0</v>
      </c>
      <c r="BL88" s="59">
        <f t="shared" si="115"/>
        <v>50</v>
      </c>
      <c r="BM88" s="57">
        <f>' WIP '!CH88</f>
        <v>0</v>
      </c>
      <c r="BN88" s="58">
        <v>0</v>
      </c>
      <c r="BO88" s="59">
        <f t="shared" si="116"/>
        <v>50</v>
      </c>
      <c r="BP88" s="57">
        <f>' WIP '!CL88</f>
        <v>0</v>
      </c>
      <c r="BQ88" s="58"/>
      <c r="BR88" s="59">
        <f t="shared" si="117"/>
        <v>50</v>
      </c>
      <c r="BS88" s="57">
        <f>' WIP '!CP88</f>
        <v>0</v>
      </c>
      <c r="BT88" s="58">
        <v>0</v>
      </c>
      <c r="BU88" s="59">
        <f t="shared" si="118"/>
        <v>50</v>
      </c>
      <c r="BV88" s="57">
        <f>' WIP '!CT88</f>
        <v>0</v>
      </c>
      <c r="BW88" s="28">
        <v>0</v>
      </c>
      <c r="BX88" s="59">
        <f t="shared" si="119"/>
        <v>50</v>
      </c>
      <c r="BY88" s="57">
        <f>' WIP '!CX88</f>
        <v>0</v>
      </c>
      <c r="BZ88" s="58">
        <v>0</v>
      </c>
      <c r="CA88" s="59">
        <f t="shared" si="120"/>
        <v>50</v>
      </c>
      <c r="CB88" s="57">
        <f>' WIP '!DB88</f>
        <v>0</v>
      </c>
      <c r="CC88" s="58">
        <v>0</v>
      </c>
      <c r="CD88" s="59">
        <f t="shared" si="121"/>
        <v>50</v>
      </c>
      <c r="CE88" s="57">
        <f>' WIP '!DF88</f>
        <v>0</v>
      </c>
      <c r="CF88" s="58">
        <v>0</v>
      </c>
      <c r="CG88" s="59">
        <f t="shared" si="122"/>
        <v>50</v>
      </c>
      <c r="CH88" s="57">
        <f>' WIP '!DJ88</f>
        <v>0</v>
      </c>
      <c r="CI88" s="58">
        <v>0</v>
      </c>
      <c r="CJ88" s="59">
        <f t="shared" si="123"/>
        <v>50</v>
      </c>
      <c r="CK88" s="57">
        <f>' WIP '!DN88</f>
        <v>0</v>
      </c>
      <c r="CL88" s="58">
        <v>0</v>
      </c>
      <c r="CM88" s="59">
        <f t="shared" si="124"/>
        <v>50</v>
      </c>
      <c r="CN88" s="57">
        <f>' WIP '!DR88</f>
        <v>0</v>
      </c>
      <c r="CO88" s="57"/>
      <c r="CP88" s="59">
        <f t="shared" si="125"/>
        <v>50</v>
      </c>
      <c r="CQ88" s="57">
        <f>' WIP '!DV88</f>
        <v>0</v>
      </c>
      <c r="CR88" s="58"/>
      <c r="CS88" s="59">
        <f t="shared" si="126"/>
        <v>50</v>
      </c>
      <c r="CT88" s="31">
        <f t="shared" si="127"/>
        <v>50</v>
      </c>
      <c r="CU88" s="4">
        <f t="shared" si="128"/>
        <v>0</v>
      </c>
      <c r="CV88" s="5">
        <f>D88*'MASTER SHEET'!D88</f>
        <v>5505</v>
      </c>
      <c r="CW88" s="5">
        <f>G88*'MASTER SHEET'!D88</f>
        <v>5505</v>
      </c>
      <c r="CX88" s="5">
        <f>J88*'MASTER SHEET'!D88</f>
        <v>5505</v>
      </c>
      <c r="CY88" s="5">
        <f>M88*'MASTER SHEET'!D88</f>
        <v>5505</v>
      </c>
      <c r="CZ88" s="5">
        <f>P88*'MASTER SHEET'!D88</f>
        <v>5505</v>
      </c>
      <c r="DA88" s="5">
        <f>S88*'MASTER SHEET'!D88</f>
        <v>5505</v>
      </c>
      <c r="DB88" s="5">
        <f>V88*'MASTER SHEET'!D88</f>
        <v>5505</v>
      </c>
      <c r="DC88" s="5">
        <f>Y88*'MASTER SHEET'!D88</f>
        <v>5505</v>
      </c>
      <c r="DD88" s="5">
        <f>AB88*'MASTER SHEET'!D88</f>
        <v>5505</v>
      </c>
      <c r="DE88" s="5">
        <f>AE88*'MASTER SHEET'!D88</f>
        <v>5505</v>
      </c>
      <c r="DF88" s="5">
        <f>AH88*'MASTER SHEET'!D88</f>
        <v>5505</v>
      </c>
      <c r="DG88" s="5">
        <f>AK88*'MASTER SHEET'!D88</f>
        <v>5505</v>
      </c>
      <c r="DH88" s="5">
        <f>AN88*'MASTER SHEET'!D88</f>
        <v>5505</v>
      </c>
      <c r="DI88" s="5">
        <f>AQ88*'MASTER SHEET'!D88</f>
        <v>5505</v>
      </c>
      <c r="DJ88" s="5">
        <f>AT88*'MASTER SHEET'!D88</f>
        <v>5505</v>
      </c>
      <c r="DK88" s="5">
        <f>AW88*'MASTER SHEET'!D88</f>
        <v>5505</v>
      </c>
      <c r="DL88" s="5">
        <f>AZ88*'MASTER SHEET'!D88</f>
        <v>5505</v>
      </c>
      <c r="DM88" s="5">
        <f>BC88*'MASTER SHEET'!D88</f>
        <v>5505</v>
      </c>
      <c r="DN88" s="5">
        <f>BF88*'MASTER SHEET'!D88</f>
        <v>5505</v>
      </c>
      <c r="DO88" s="5">
        <f>BI88*'MASTER SHEET'!D88</f>
        <v>5505</v>
      </c>
      <c r="DP88" s="5">
        <f>BL88*'MASTER SHEET'!D88</f>
        <v>5505</v>
      </c>
      <c r="DQ88" s="5">
        <f>BO88*'MASTER SHEET'!D88</f>
        <v>5505</v>
      </c>
      <c r="DR88" s="5">
        <f>BR88*'MASTER SHEET'!D88</f>
        <v>5505</v>
      </c>
      <c r="DS88" s="5">
        <f>BU88*'MASTER SHEET'!D88</f>
        <v>5505</v>
      </c>
      <c r="DT88" s="5">
        <f>BX88*'MASTER SHEET'!D88</f>
        <v>5505</v>
      </c>
      <c r="DU88" s="5">
        <f>CA88*'MASTER SHEET'!D88</f>
        <v>5505</v>
      </c>
      <c r="DV88" s="5">
        <f>CD88*'MASTER SHEET'!D88</f>
        <v>5505</v>
      </c>
      <c r="DW88" s="5">
        <f>CG88*'MASTER SHEET'!D88</f>
        <v>5505</v>
      </c>
      <c r="DX88" s="5">
        <f>CJ88*'MASTER SHEET'!D88</f>
        <v>5505</v>
      </c>
      <c r="DY88" s="5">
        <f>CM88*'MASTER SHEET'!D88</f>
        <v>5505</v>
      </c>
      <c r="DZ88" s="5">
        <f>CP88*'MASTER SHEET'!D88</f>
        <v>5505</v>
      </c>
      <c r="EA88" s="5">
        <f>CS88*'MASTER SHEET'!D88</f>
        <v>5505</v>
      </c>
      <c r="EB88" s="9"/>
    </row>
    <row r="89" spans="1:132" ht="15.75" x14ac:dyDescent="0.25">
      <c r="A89" s="25">
        <f>'MASTER SHEET'!A89</f>
        <v>87</v>
      </c>
      <c r="B89" s="26" t="str">
        <f>'MASTER SHEET'!B89</f>
        <v>SHELL PLASTIC</v>
      </c>
      <c r="C89" s="27">
        <f>'MASTER SHEET'!C89</f>
        <v>5043828</v>
      </c>
      <c r="D89" s="56">
        <v>0</v>
      </c>
      <c r="E89" s="57">
        <f>' WIP '!F89</f>
        <v>0</v>
      </c>
      <c r="F89" s="58">
        <v>0</v>
      </c>
      <c r="G89" s="59">
        <f t="shared" si="96"/>
        <v>0</v>
      </c>
      <c r="H89" s="57">
        <f>' WIP '!J89</f>
        <v>0</v>
      </c>
      <c r="I89" s="58">
        <v>0</v>
      </c>
      <c r="J89" s="59">
        <f t="shared" si="97"/>
        <v>0</v>
      </c>
      <c r="K89" s="57">
        <f>' WIP '!N89</f>
        <v>0</v>
      </c>
      <c r="L89" s="58"/>
      <c r="M89" s="59">
        <f t="shared" si="98"/>
        <v>0</v>
      </c>
      <c r="N89" s="57">
        <f>' WIP '!R89</f>
        <v>0</v>
      </c>
      <c r="O89" s="58">
        <v>0</v>
      </c>
      <c r="P89" s="59">
        <f t="shared" si="99"/>
        <v>0</v>
      </c>
      <c r="Q89" s="57">
        <f>' WIP '!V89</f>
        <v>0</v>
      </c>
      <c r="R89" s="58">
        <v>0</v>
      </c>
      <c r="S89" s="59">
        <f t="shared" si="100"/>
        <v>0</v>
      </c>
      <c r="T89" s="57">
        <f>' WIP '!Z89</f>
        <v>0</v>
      </c>
      <c r="U89" s="58">
        <v>0</v>
      </c>
      <c r="V89" s="59">
        <f t="shared" si="101"/>
        <v>0</v>
      </c>
      <c r="W89" s="57">
        <f>' WIP '!AD89</f>
        <v>0</v>
      </c>
      <c r="X89" s="58">
        <v>0</v>
      </c>
      <c r="Y89" s="59">
        <f t="shared" si="102"/>
        <v>0</v>
      </c>
      <c r="Z89" s="57">
        <f>' WIP '!AH89</f>
        <v>0</v>
      </c>
      <c r="AA89" s="58">
        <v>0</v>
      </c>
      <c r="AB89" s="59">
        <f t="shared" si="103"/>
        <v>0</v>
      </c>
      <c r="AC89" s="57">
        <f>' WIP '!AL89</f>
        <v>0</v>
      </c>
      <c r="AD89" s="58">
        <v>0</v>
      </c>
      <c r="AE89" s="59">
        <f t="shared" si="104"/>
        <v>0</v>
      </c>
      <c r="AF89" s="57">
        <f>' WIP '!AP89</f>
        <v>0</v>
      </c>
      <c r="AG89" s="114">
        <v>0</v>
      </c>
      <c r="AH89" s="59">
        <f t="shared" si="105"/>
        <v>0</v>
      </c>
      <c r="AI89" s="57">
        <f>' WIP '!AT89</f>
        <v>0</v>
      </c>
      <c r="AJ89" s="58">
        <v>0</v>
      </c>
      <c r="AK89" s="59">
        <f t="shared" si="106"/>
        <v>0</v>
      </c>
      <c r="AL89" s="57">
        <f>' WIP '!AX89</f>
        <v>0</v>
      </c>
      <c r="AM89" s="58"/>
      <c r="AN89" s="59">
        <f t="shared" si="107"/>
        <v>0</v>
      </c>
      <c r="AO89" s="57">
        <f>' WIP '!BB89</f>
        <v>0</v>
      </c>
      <c r="AP89" s="58">
        <v>0</v>
      </c>
      <c r="AQ89" s="59">
        <f t="shared" si="108"/>
        <v>0</v>
      </c>
      <c r="AR89" s="57">
        <f>' WIP '!BF89</f>
        <v>0</v>
      </c>
      <c r="AS89" s="58">
        <v>0</v>
      </c>
      <c r="AT89" s="59">
        <f t="shared" si="109"/>
        <v>0</v>
      </c>
      <c r="AU89" s="57">
        <f>' WIP '!BJ89</f>
        <v>0</v>
      </c>
      <c r="AV89" s="58">
        <v>0</v>
      </c>
      <c r="AW89" s="59">
        <f t="shared" si="110"/>
        <v>0</v>
      </c>
      <c r="AX89" s="57">
        <f>' WIP '!BN89</f>
        <v>0</v>
      </c>
      <c r="AY89" s="58">
        <v>0</v>
      </c>
      <c r="AZ89" s="59">
        <f t="shared" si="111"/>
        <v>0</v>
      </c>
      <c r="BA89" s="57">
        <f>' WIP '!BR89</f>
        <v>0</v>
      </c>
      <c r="BB89" s="58">
        <v>0</v>
      </c>
      <c r="BC89" s="59">
        <f t="shared" si="112"/>
        <v>0</v>
      </c>
      <c r="BD89" s="57">
        <f>' WIP '!BV89</f>
        <v>0</v>
      </c>
      <c r="BE89" s="58">
        <v>0</v>
      </c>
      <c r="BF89" s="59">
        <f t="shared" si="113"/>
        <v>0</v>
      </c>
      <c r="BG89" s="57">
        <f>' WIP '!BZ89</f>
        <v>0</v>
      </c>
      <c r="BH89" s="58"/>
      <c r="BI89" s="59">
        <f t="shared" si="114"/>
        <v>0</v>
      </c>
      <c r="BJ89" s="57">
        <f>' WIP '!CD89</f>
        <v>0</v>
      </c>
      <c r="BK89" s="58">
        <v>0</v>
      </c>
      <c r="BL89" s="59">
        <f t="shared" si="115"/>
        <v>0</v>
      </c>
      <c r="BM89" s="57">
        <f>' WIP '!CH89</f>
        <v>0</v>
      </c>
      <c r="BN89" s="58">
        <v>0</v>
      </c>
      <c r="BO89" s="59">
        <f t="shared" si="116"/>
        <v>0</v>
      </c>
      <c r="BP89" s="57">
        <f>' WIP '!CL89</f>
        <v>0</v>
      </c>
      <c r="BQ89" s="58"/>
      <c r="BR89" s="59">
        <f t="shared" si="117"/>
        <v>0</v>
      </c>
      <c r="BS89" s="57">
        <f>' WIP '!CP89</f>
        <v>0</v>
      </c>
      <c r="BT89" s="58">
        <v>0</v>
      </c>
      <c r="BU89" s="59">
        <f t="shared" si="118"/>
        <v>0</v>
      </c>
      <c r="BV89" s="57">
        <f>' WIP '!CT89</f>
        <v>0</v>
      </c>
      <c r="BW89" s="28">
        <v>0</v>
      </c>
      <c r="BX89" s="59">
        <f t="shared" si="119"/>
        <v>0</v>
      </c>
      <c r="BY89" s="57">
        <f>' WIP '!CX89</f>
        <v>0</v>
      </c>
      <c r="BZ89" s="58">
        <v>0</v>
      </c>
      <c r="CA89" s="59">
        <f t="shared" si="120"/>
        <v>0</v>
      </c>
      <c r="CB89" s="57">
        <f>' WIP '!DB89</f>
        <v>0</v>
      </c>
      <c r="CC89" s="58">
        <v>0</v>
      </c>
      <c r="CD89" s="59">
        <f t="shared" si="121"/>
        <v>0</v>
      </c>
      <c r="CE89" s="57">
        <f>' WIP '!DF89</f>
        <v>0</v>
      </c>
      <c r="CF89" s="58">
        <v>0</v>
      </c>
      <c r="CG89" s="59">
        <f t="shared" si="122"/>
        <v>0</v>
      </c>
      <c r="CH89" s="57">
        <f>' WIP '!DJ89</f>
        <v>0</v>
      </c>
      <c r="CI89" s="58">
        <v>0</v>
      </c>
      <c r="CJ89" s="59">
        <f t="shared" si="123"/>
        <v>0</v>
      </c>
      <c r="CK89" s="57">
        <f>' WIP '!DN89</f>
        <v>0</v>
      </c>
      <c r="CL89" s="58">
        <v>0</v>
      </c>
      <c r="CM89" s="59">
        <f t="shared" si="124"/>
        <v>0</v>
      </c>
      <c r="CN89" s="57">
        <f>' WIP '!DR89</f>
        <v>0</v>
      </c>
      <c r="CO89" s="57"/>
      <c r="CP89" s="59">
        <f t="shared" si="125"/>
        <v>0</v>
      </c>
      <c r="CQ89" s="57">
        <f>' WIP '!DV89</f>
        <v>0</v>
      </c>
      <c r="CR89" s="58"/>
      <c r="CS89" s="59">
        <f t="shared" si="126"/>
        <v>0</v>
      </c>
      <c r="CT89" s="31">
        <f t="shared" si="127"/>
        <v>0</v>
      </c>
      <c r="CU89" s="4">
        <f t="shared" si="128"/>
        <v>0</v>
      </c>
      <c r="CV89" s="5">
        <f>D89*'MASTER SHEET'!D89</f>
        <v>0</v>
      </c>
      <c r="CW89" s="5">
        <f>G89*'MASTER SHEET'!D89</f>
        <v>0</v>
      </c>
      <c r="CX89" s="5">
        <f>J89*'MASTER SHEET'!D89</f>
        <v>0</v>
      </c>
      <c r="CY89" s="5">
        <f>M89*'MASTER SHEET'!D89</f>
        <v>0</v>
      </c>
      <c r="CZ89" s="5">
        <f>P89*'MASTER SHEET'!D89</f>
        <v>0</v>
      </c>
      <c r="DA89" s="5">
        <f>S89*'MASTER SHEET'!D89</f>
        <v>0</v>
      </c>
      <c r="DB89" s="5">
        <f>V89*'MASTER SHEET'!D89</f>
        <v>0</v>
      </c>
      <c r="DC89" s="5">
        <f>Y89*'MASTER SHEET'!D89</f>
        <v>0</v>
      </c>
      <c r="DD89" s="5">
        <f>AB89*'MASTER SHEET'!D89</f>
        <v>0</v>
      </c>
      <c r="DE89" s="5">
        <f>AE89*'MASTER SHEET'!D89</f>
        <v>0</v>
      </c>
      <c r="DF89" s="5">
        <f>AH89*'MASTER SHEET'!D89</f>
        <v>0</v>
      </c>
      <c r="DG89" s="5">
        <f>AK89*'MASTER SHEET'!D89</f>
        <v>0</v>
      </c>
      <c r="DH89" s="5">
        <f>AN89*'MASTER SHEET'!D89</f>
        <v>0</v>
      </c>
      <c r="DI89" s="5">
        <f>AQ89*'MASTER SHEET'!D89</f>
        <v>0</v>
      </c>
      <c r="DJ89" s="5">
        <f>AT89*'MASTER SHEET'!D89</f>
        <v>0</v>
      </c>
      <c r="DK89" s="5">
        <f>AW89*'MASTER SHEET'!D89</f>
        <v>0</v>
      </c>
      <c r="DL89" s="5">
        <f>AZ89*'MASTER SHEET'!D89</f>
        <v>0</v>
      </c>
      <c r="DM89" s="5">
        <f>BC89*'MASTER SHEET'!D89</f>
        <v>0</v>
      </c>
      <c r="DN89" s="5">
        <f>BF89*'MASTER SHEET'!D89</f>
        <v>0</v>
      </c>
      <c r="DO89" s="5">
        <f>BI89*'MASTER SHEET'!D89</f>
        <v>0</v>
      </c>
      <c r="DP89" s="5">
        <f>BL89*'MASTER SHEET'!D89</f>
        <v>0</v>
      </c>
      <c r="DQ89" s="5">
        <f>BO89*'MASTER SHEET'!D89</f>
        <v>0</v>
      </c>
      <c r="DR89" s="5">
        <f>BR89*'MASTER SHEET'!D89</f>
        <v>0</v>
      </c>
      <c r="DS89" s="5">
        <f>BU89*'MASTER SHEET'!D89</f>
        <v>0</v>
      </c>
      <c r="DT89" s="5">
        <f>BX89*'MASTER SHEET'!D89</f>
        <v>0</v>
      </c>
      <c r="DU89" s="5">
        <f>CA89*'MASTER SHEET'!D89</f>
        <v>0</v>
      </c>
      <c r="DV89" s="5">
        <f>CD89*'MASTER SHEET'!D89</f>
        <v>0</v>
      </c>
      <c r="DW89" s="5">
        <f>CG89*'MASTER SHEET'!D89</f>
        <v>0</v>
      </c>
      <c r="DX89" s="5">
        <f>CJ89*'MASTER SHEET'!D89</f>
        <v>0</v>
      </c>
      <c r="DY89" s="5">
        <f>CM89*'MASTER SHEET'!D89</f>
        <v>0</v>
      </c>
      <c r="DZ89" s="5">
        <f>CP89*'MASTER SHEET'!D89</f>
        <v>0</v>
      </c>
      <c r="EA89" s="5">
        <f>CS89*'MASTER SHEET'!D89</f>
        <v>0</v>
      </c>
      <c r="EB89" s="9"/>
    </row>
    <row r="90" spans="1:132" ht="15.75" x14ac:dyDescent="0.25">
      <c r="A90" s="25">
        <f>'MASTER SHEET'!A90</f>
        <v>88</v>
      </c>
      <c r="B90" s="26" t="str">
        <f>'MASTER SHEET'!B90</f>
        <v>PRECLEANER</v>
      </c>
      <c r="C90" s="27">
        <f>'MASTER SHEET'!C90</f>
        <v>5012394</v>
      </c>
      <c r="D90" s="56">
        <v>70</v>
      </c>
      <c r="E90" s="57">
        <f>' WIP '!F90</f>
        <v>0</v>
      </c>
      <c r="F90" s="58">
        <v>0</v>
      </c>
      <c r="G90" s="59">
        <f t="shared" si="96"/>
        <v>70</v>
      </c>
      <c r="H90" s="57">
        <f>' WIP '!J90</f>
        <v>200</v>
      </c>
      <c r="I90" s="58">
        <v>200</v>
      </c>
      <c r="J90" s="59">
        <f t="shared" si="97"/>
        <v>70</v>
      </c>
      <c r="K90" s="57">
        <f>' WIP '!N90</f>
        <v>0</v>
      </c>
      <c r="L90" s="58"/>
      <c r="M90" s="59">
        <f t="shared" si="98"/>
        <v>70</v>
      </c>
      <c r="N90" s="57">
        <f>' WIP '!R90</f>
        <v>70</v>
      </c>
      <c r="O90" s="58">
        <v>0</v>
      </c>
      <c r="P90" s="59">
        <f t="shared" si="99"/>
        <v>140</v>
      </c>
      <c r="Q90" s="57">
        <f>' WIP '!V90</f>
        <v>0</v>
      </c>
      <c r="R90" s="58">
        <v>0</v>
      </c>
      <c r="S90" s="59">
        <f t="shared" si="100"/>
        <v>140</v>
      </c>
      <c r="T90" s="57">
        <f>' WIP '!Z90</f>
        <v>110</v>
      </c>
      <c r="U90" s="58">
        <v>70</v>
      </c>
      <c r="V90" s="59">
        <f t="shared" si="101"/>
        <v>180</v>
      </c>
      <c r="W90" s="57">
        <f>' WIP '!AD90</f>
        <v>0</v>
      </c>
      <c r="X90" s="58">
        <v>110</v>
      </c>
      <c r="Y90" s="59">
        <f t="shared" si="102"/>
        <v>70</v>
      </c>
      <c r="Z90" s="57">
        <f>' WIP '!AH90</f>
        <v>60</v>
      </c>
      <c r="AA90" s="58">
        <v>60</v>
      </c>
      <c r="AB90" s="59">
        <f t="shared" si="103"/>
        <v>70</v>
      </c>
      <c r="AC90" s="57">
        <f>' WIP '!AL90</f>
        <v>0</v>
      </c>
      <c r="AD90" s="58">
        <v>0</v>
      </c>
      <c r="AE90" s="59">
        <f t="shared" si="104"/>
        <v>70</v>
      </c>
      <c r="AF90" s="57">
        <f>' WIP '!AP90</f>
        <v>0</v>
      </c>
      <c r="AG90" s="114">
        <v>0</v>
      </c>
      <c r="AH90" s="59">
        <f t="shared" si="105"/>
        <v>70</v>
      </c>
      <c r="AI90" s="57">
        <f>' WIP '!AT90</f>
        <v>350</v>
      </c>
      <c r="AJ90" s="58">
        <v>340</v>
      </c>
      <c r="AK90" s="59">
        <f t="shared" si="106"/>
        <v>80</v>
      </c>
      <c r="AL90" s="57">
        <f>' WIP '!AX90</f>
        <v>0</v>
      </c>
      <c r="AM90" s="58"/>
      <c r="AN90" s="59">
        <f t="shared" si="107"/>
        <v>80</v>
      </c>
      <c r="AO90" s="57">
        <f>' WIP '!BB90</f>
        <v>0</v>
      </c>
      <c r="AP90" s="58">
        <v>0</v>
      </c>
      <c r="AQ90" s="59">
        <f t="shared" si="108"/>
        <v>80</v>
      </c>
      <c r="AR90" s="57">
        <f>' WIP '!BF90</f>
        <v>400</v>
      </c>
      <c r="AS90" s="58">
        <v>400</v>
      </c>
      <c r="AT90" s="59">
        <f t="shared" si="109"/>
        <v>80</v>
      </c>
      <c r="AU90" s="57">
        <f>' WIP '!BJ90</f>
        <v>150</v>
      </c>
      <c r="AV90" s="58">
        <v>140</v>
      </c>
      <c r="AW90" s="59">
        <f t="shared" si="110"/>
        <v>90</v>
      </c>
      <c r="AX90" s="57">
        <f>' WIP '!BN90</f>
        <v>300</v>
      </c>
      <c r="AY90" s="58">
        <v>300</v>
      </c>
      <c r="AZ90" s="59">
        <f t="shared" si="111"/>
        <v>90</v>
      </c>
      <c r="BA90" s="57">
        <f>' WIP '!BR90</f>
        <v>0</v>
      </c>
      <c r="BB90" s="58">
        <v>0</v>
      </c>
      <c r="BC90" s="59">
        <f t="shared" si="112"/>
        <v>90</v>
      </c>
      <c r="BD90" s="57">
        <f>' WIP '!BV90</f>
        <v>300</v>
      </c>
      <c r="BE90" s="58">
        <v>250</v>
      </c>
      <c r="BF90" s="59">
        <f t="shared" si="113"/>
        <v>140</v>
      </c>
      <c r="BG90" s="57">
        <f>' WIP '!BZ90</f>
        <v>0</v>
      </c>
      <c r="BH90" s="58"/>
      <c r="BI90" s="59">
        <f t="shared" si="114"/>
        <v>140</v>
      </c>
      <c r="BJ90" s="57">
        <f>' WIP '!CD90</f>
        <v>130</v>
      </c>
      <c r="BK90" s="58">
        <v>270</v>
      </c>
      <c r="BL90" s="59">
        <f t="shared" si="115"/>
        <v>0</v>
      </c>
      <c r="BM90" s="57">
        <f>' WIP '!CH90</f>
        <v>500</v>
      </c>
      <c r="BN90" s="58">
        <v>450</v>
      </c>
      <c r="BO90" s="59">
        <f t="shared" si="116"/>
        <v>50</v>
      </c>
      <c r="BP90" s="57">
        <f>' WIP '!CL90</f>
        <v>280</v>
      </c>
      <c r="BQ90" s="58"/>
      <c r="BR90" s="59">
        <f t="shared" si="117"/>
        <v>330</v>
      </c>
      <c r="BS90" s="57">
        <f>' WIP '!CP90</f>
        <v>0</v>
      </c>
      <c r="BT90" s="58">
        <v>120</v>
      </c>
      <c r="BU90" s="59">
        <f t="shared" si="118"/>
        <v>210</v>
      </c>
      <c r="BV90" s="57">
        <f>' WIP '!CT90</f>
        <v>300</v>
      </c>
      <c r="BW90" s="28">
        <v>300</v>
      </c>
      <c r="BX90" s="59">
        <f t="shared" si="119"/>
        <v>210</v>
      </c>
      <c r="BY90" s="57">
        <f>' WIP '!CX90</f>
        <v>200</v>
      </c>
      <c r="BZ90" s="58">
        <v>200</v>
      </c>
      <c r="CA90" s="59">
        <f t="shared" si="120"/>
        <v>210</v>
      </c>
      <c r="CB90" s="57">
        <f>' WIP '!DB90</f>
        <v>0</v>
      </c>
      <c r="CC90" s="58">
        <v>0</v>
      </c>
      <c r="CD90" s="59">
        <f t="shared" si="121"/>
        <v>210</v>
      </c>
      <c r="CE90" s="57">
        <f>' WIP '!DF90</f>
        <v>100</v>
      </c>
      <c r="CF90" s="58">
        <v>0</v>
      </c>
      <c r="CG90" s="59">
        <f t="shared" si="122"/>
        <v>310</v>
      </c>
      <c r="CH90" s="57">
        <f>' WIP '!DJ90</f>
        <v>0</v>
      </c>
      <c r="CI90" s="58">
        <v>100</v>
      </c>
      <c r="CJ90" s="59">
        <f t="shared" si="123"/>
        <v>210</v>
      </c>
      <c r="CK90" s="57">
        <f>' WIP '!DN90</f>
        <v>0</v>
      </c>
      <c r="CL90" s="58">
        <v>0</v>
      </c>
      <c r="CM90" s="59">
        <f t="shared" si="124"/>
        <v>210</v>
      </c>
      <c r="CN90" s="57">
        <f>' WIP '!DR90</f>
        <v>0</v>
      </c>
      <c r="CO90" s="57"/>
      <c r="CP90" s="59">
        <f t="shared" si="125"/>
        <v>210</v>
      </c>
      <c r="CQ90" s="57">
        <f>' WIP '!DV90</f>
        <v>0</v>
      </c>
      <c r="CR90" s="58"/>
      <c r="CS90" s="59">
        <f t="shared" si="126"/>
        <v>210</v>
      </c>
      <c r="CT90" s="31">
        <f t="shared" si="127"/>
        <v>3520</v>
      </c>
      <c r="CU90" s="4">
        <f t="shared" si="128"/>
        <v>3310</v>
      </c>
      <c r="CV90" s="5">
        <f>D90*'MASTER SHEET'!D90</f>
        <v>10534.300000000001</v>
      </c>
      <c r="CW90" s="5">
        <f>G90*'MASTER SHEET'!D90</f>
        <v>10534.300000000001</v>
      </c>
      <c r="CX90" s="5">
        <f>J90*'MASTER SHEET'!D90</f>
        <v>10534.300000000001</v>
      </c>
      <c r="CY90" s="5">
        <f>M90*'MASTER SHEET'!D90</f>
        <v>10534.300000000001</v>
      </c>
      <c r="CZ90" s="5">
        <f>P90*'MASTER SHEET'!D90</f>
        <v>21068.600000000002</v>
      </c>
      <c r="DA90" s="5">
        <f>S90*'MASTER SHEET'!D90</f>
        <v>21068.600000000002</v>
      </c>
      <c r="DB90" s="5">
        <f>V90*'MASTER SHEET'!D90</f>
        <v>27088.2</v>
      </c>
      <c r="DC90" s="5">
        <f>Y90*'MASTER SHEET'!D90</f>
        <v>10534.300000000001</v>
      </c>
      <c r="DD90" s="5">
        <f>AB90*'MASTER SHEET'!D90</f>
        <v>10534.300000000001</v>
      </c>
      <c r="DE90" s="5">
        <f>AE90*'MASTER SHEET'!D90</f>
        <v>10534.300000000001</v>
      </c>
      <c r="DF90" s="5">
        <f>AH90*'MASTER SHEET'!D90</f>
        <v>10534.300000000001</v>
      </c>
      <c r="DG90" s="5">
        <f>AK90*'MASTER SHEET'!D90</f>
        <v>12039.2</v>
      </c>
      <c r="DH90" s="5">
        <f>AN90*'MASTER SHEET'!D90</f>
        <v>12039.2</v>
      </c>
      <c r="DI90" s="5">
        <f>AQ90*'MASTER SHEET'!D90</f>
        <v>12039.2</v>
      </c>
      <c r="DJ90" s="5">
        <f>AT90*'MASTER SHEET'!D90</f>
        <v>12039.2</v>
      </c>
      <c r="DK90" s="5">
        <f>AW90*'MASTER SHEET'!D90</f>
        <v>13544.1</v>
      </c>
      <c r="DL90" s="5">
        <f>AZ90*'MASTER SHEET'!D90</f>
        <v>13544.1</v>
      </c>
      <c r="DM90" s="5">
        <f>BC90*'MASTER SHEET'!D90</f>
        <v>13544.1</v>
      </c>
      <c r="DN90" s="5">
        <f>BF90*'MASTER SHEET'!D90</f>
        <v>21068.600000000002</v>
      </c>
      <c r="DO90" s="5">
        <f>BI90*'MASTER SHEET'!D90</f>
        <v>21068.600000000002</v>
      </c>
      <c r="DP90" s="5">
        <f>BL90*'MASTER SHEET'!D90</f>
        <v>0</v>
      </c>
      <c r="DQ90" s="5">
        <f>BO90*'MASTER SHEET'!D90</f>
        <v>7524.5</v>
      </c>
      <c r="DR90" s="5">
        <f>BR90*'MASTER SHEET'!D90</f>
        <v>49661.700000000004</v>
      </c>
      <c r="DS90" s="5">
        <f>BU90*'MASTER SHEET'!D90</f>
        <v>31602.9</v>
      </c>
      <c r="DT90" s="5">
        <f>BX90*'MASTER SHEET'!D90</f>
        <v>31602.9</v>
      </c>
      <c r="DU90" s="5">
        <f>CA90*'MASTER SHEET'!D90</f>
        <v>31602.9</v>
      </c>
      <c r="DV90" s="5">
        <f>CD90*'MASTER SHEET'!D90</f>
        <v>31602.9</v>
      </c>
      <c r="DW90" s="5">
        <f>CG90*'MASTER SHEET'!D90</f>
        <v>46651.9</v>
      </c>
      <c r="DX90" s="5">
        <f>CJ90*'MASTER SHEET'!D90</f>
        <v>31602.9</v>
      </c>
      <c r="DY90" s="5">
        <f>CM90*'MASTER SHEET'!D90</f>
        <v>31602.9</v>
      </c>
      <c r="DZ90" s="5">
        <f>CP90*'MASTER SHEET'!D90</f>
        <v>31602.9</v>
      </c>
      <c r="EA90" s="5">
        <f>CS90*'MASTER SHEET'!D90</f>
        <v>31602.9</v>
      </c>
      <c r="EB90" s="143">
        <f>VLOOKUP($C90,'[1]GREEN LEV.₹'!$I$2:$K$54,3,0)</f>
        <v>100</v>
      </c>
    </row>
    <row r="91" spans="1:132" ht="15.75" x14ac:dyDescent="0.25">
      <c r="A91" s="25">
        <f>'MASTER SHEET'!A91</f>
        <v>89</v>
      </c>
      <c r="B91" s="26" t="str">
        <f>'MASTER SHEET'!B91</f>
        <v>TOP COVER</v>
      </c>
      <c r="C91" s="27">
        <f>'MASTER SHEET'!C91</f>
        <v>5036677</v>
      </c>
      <c r="D91" s="56">
        <v>216</v>
      </c>
      <c r="E91" s="57">
        <f>' WIP '!F91</f>
        <v>0</v>
      </c>
      <c r="F91" s="58">
        <v>216</v>
      </c>
      <c r="G91" s="59">
        <f t="shared" si="96"/>
        <v>0</v>
      </c>
      <c r="H91" s="57">
        <f>' WIP '!J91</f>
        <v>480</v>
      </c>
      <c r="I91" s="58">
        <v>480</v>
      </c>
      <c r="J91" s="59">
        <f t="shared" si="97"/>
        <v>0</v>
      </c>
      <c r="K91" s="57">
        <f>' WIP '!N91</f>
        <v>0</v>
      </c>
      <c r="L91" s="58"/>
      <c r="M91" s="59">
        <f t="shared" si="98"/>
        <v>0</v>
      </c>
      <c r="N91" s="57">
        <f>' WIP '!R91</f>
        <v>420</v>
      </c>
      <c r="O91" s="58">
        <v>0</v>
      </c>
      <c r="P91" s="59">
        <f t="shared" si="99"/>
        <v>420</v>
      </c>
      <c r="Q91" s="57">
        <f>' WIP '!V91</f>
        <v>0</v>
      </c>
      <c r="R91" s="58">
        <v>0</v>
      </c>
      <c r="S91" s="59">
        <f t="shared" si="100"/>
        <v>420</v>
      </c>
      <c r="T91" s="57">
        <f>' WIP '!Z91</f>
        <v>0</v>
      </c>
      <c r="U91" s="58">
        <v>420</v>
      </c>
      <c r="V91" s="59">
        <f t="shared" si="101"/>
        <v>0</v>
      </c>
      <c r="W91" s="57">
        <f>' WIP '!AD91</f>
        <v>0</v>
      </c>
      <c r="X91" s="58">
        <v>0</v>
      </c>
      <c r="Y91" s="59">
        <f t="shared" si="102"/>
        <v>0</v>
      </c>
      <c r="Z91" s="57">
        <f>' WIP '!AH91</f>
        <v>144</v>
      </c>
      <c r="AA91" s="58">
        <v>144</v>
      </c>
      <c r="AB91" s="59">
        <f t="shared" si="103"/>
        <v>0</v>
      </c>
      <c r="AC91" s="57">
        <f>' WIP '!AL91</f>
        <v>540</v>
      </c>
      <c r="AD91" s="58">
        <v>360</v>
      </c>
      <c r="AE91" s="59">
        <f t="shared" si="104"/>
        <v>180</v>
      </c>
      <c r="AF91" s="57">
        <f>' WIP '!AP91</f>
        <v>360</v>
      </c>
      <c r="AG91" s="114">
        <v>540</v>
      </c>
      <c r="AH91" s="59">
        <f t="shared" si="105"/>
        <v>0</v>
      </c>
      <c r="AI91" s="57">
        <f>' WIP '!AT91</f>
        <v>72</v>
      </c>
      <c r="AJ91" s="58">
        <v>72</v>
      </c>
      <c r="AK91" s="59">
        <f t="shared" si="106"/>
        <v>0</v>
      </c>
      <c r="AL91" s="57">
        <f>' WIP '!AX91</f>
        <v>0</v>
      </c>
      <c r="AM91" s="58"/>
      <c r="AN91" s="59">
        <f t="shared" si="107"/>
        <v>0</v>
      </c>
      <c r="AO91" s="57">
        <f>' WIP '!BB91</f>
        <v>0</v>
      </c>
      <c r="AP91" s="58">
        <v>0</v>
      </c>
      <c r="AQ91" s="59">
        <f t="shared" si="108"/>
        <v>0</v>
      </c>
      <c r="AR91" s="57">
        <f>' WIP '!BF91</f>
        <v>0</v>
      </c>
      <c r="AS91" s="58">
        <v>0</v>
      </c>
      <c r="AT91" s="59">
        <f t="shared" si="109"/>
        <v>0</v>
      </c>
      <c r="AU91" s="57">
        <f>' WIP '!BJ91</f>
        <v>0</v>
      </c>
      <c r="AV91" s="58">
        <v>0</v>
      </c>
      <c r="AW91" s="59">
        <f t="shared" si="110"/>
        <v>0</v>
      </c>
      <c r="AX91" s="57">
        <f>' WIP '!BN91</f>
        <v>240</v>
      </c>
      <c r="AY91" s="58">
        <v>0</v>
      </c>
      <c r="AZ91" s="59">
        <f t="shared" si="111"/>
        <v>240</v>
      </c>
      <c r="BA91" s="57">
        <f>' WIP '!BR91</f>
        <v>864</v>
      </c>
      <c r="BB91" s="58">
        <v>480</v>
      </c>
      <c r="BC91" s="59">
        <f t="shared" si="112"/>
        <v>624</v>
      </c>
      <c r="BD91" s="57">
        <f>' WIP '!BV91</f>
        <v>324</v>
      </c>
      <c r="BE91" s="58">
        <v>912</v>
      </c>
      <c r="BF91" s="59">
        <f t="shared" si="113"/>
        <v>36</v>
      </c>
      <c r="BG91" s="57">
        <f>' WIP '!BZ91</f>
        <v>0</v>
      </c>
      <c r="BH91" s="58"/>
      <c r="BI91" s="59">
        <f t="shared" si="114"/>
        <v>36</v>
      </c>
      <c r="BJ91" s="57">
        <f>' WIP '!CD91</f>
        <v>36</v>
      </c>
      <c r="BK91" s="58">
        <v>72</v>
      </c>
      <c r="BL91" s="59">
        <f t="shared" si="115"/>
        <v>0</v>
      </c>
      <c r="BM91" s="57">
        <f>' WIP '!CH91</f>
        <v>180</v>
      </c>
      <c r="BN91" s="58">
        <v>132</v>
      </c>
      <c r="BO91" s="59">
        <f t="shared" si="116"/>
        <v>48</v>
      </c>
      <c r="BP91" s="57">
        <f>' WIP '!CL91</f>
        <v>432</v>
      </c>
      <c r="BQ91" s="58">
        <v>408</v>
      </c>
      <c r="BR91" s="59">
        <f t="shared" si="117"/>
        <v>72</v>
      </c>
      <c r="BS91" s="57">
        <f>' WIP '!CP91</f>
        <v>648</v>
      </c>
      <c r="BT91" s="58">
        <v>360</v>
      </c>
      <c r="BU91" s="59">
        <f t="shared" si="118"/>
        <v>360</v>
      </c>
      <c r="BV91" s="57">
        <f>' WIP '!CT91</f>
        <v>588</v>
      </c>
      <c r="BW91" s="28">
        <v>240</v>
      </c>
      <c r="BX91" s="59">
        <f t="shared" si="119"/>
        <v>708</v>
      </c>
      <c r="BY91" s="57">
        <f>' WIP '!CX91</f>
        <v>0</v>
      </c>
      <c r="BZ91" s="58">
        <v>84</v>
      </c>
      <c r="CA91" s="59">
        <f t="shared" si="120"/>
        <v>624</v>
      </c>
      <c r="CB91" s="57">
        <f>' WIP '!DB91</f>
        <v>0</v>
      </c>
      <c r="CC91" s="58">
        <v>72</v>
      </c>
      <c r="CD91" s="59">
        <f t="shared" si="121"/>
        <v>552</v>
      </c>
      <c r="CE91" s="57">
        <f>' WIP '!DF91</f>
        <v>0</v>
      </c>
      <c r="CF91" s="58">
        <v>360</v>
      </c>
      <c r="CG91" s="59">
        <f t="shared" si="122"/>
        <v>192</v>
      </c>
      <c r="CH91" s="57">
        <f>' WIP '!DJ91</f>
        <v>12</v>
      </c>
      <c r="CI91" s="58">
        <v>204</v>
      </c>
      <c r="CJ91" s="59">
        <f t="shared" si="123"/>
        <v>0</v>
      </c>
      <c r="CK91" s="57">
        <f>' WIP '!DN91</f>
        <v>0</v>
      </c>
      <c r="CL91" s="58">
        <v>0</v>
      </c>
      <c r="CM91" s="59">
        <f t="shared" si="124"/>
        <v>0</v>
      </c>
      <c r="CN91" s="57">
        <f>' WIP '!DR91</f>
        <v>0</v>
      </c>
      <c r="CO91" s="57"/>
      <c r="CP91" s="59">
        <f t="shared" si="125"/>
        <v>0</v>
      </c>
      <c r="CQ91" s="57">
        <f>' WIP '!DV91</f>
        <v>0</v>
      </c>
      <c r="CR91" s="58"/>
      <c r="CS91" s="59">
        <f t="shared" si="126"/>
        <v>0</v>
      </c>
      <c r="CT91" s="31">
        <f t="shared" si="127"/>
        <v>5556</v>
      </c>
      <c r="CU91" s="4">
        <f t="shared" si="128"/>
        <v>5556</v>
      </c>
      <c r="CV91" s="5">
        <f>D91*'MASTER SHEET'!D91</f>
        <v>29114.639999999999</v>
      </c>
      <c r="CW91" s="5">
        <f>G91*'MASTER SHEET'!D91</f>
        <v>0</v>
      </c>
      <c r="CX91" s="5">
        <f>J91*'MASTER SHEET'!D91</f>
        <v>0</v>
      </c>
      <c r="CY91" s="5">
        <f>M91*'MASTER SHEET'!D91</f>
        <v>0</v>
      </c>
      <c r="CZ91" s="5">
        <f>P91*'MASTER SHEET'!D91</f>
        <v>56611.799999999996</v>
      </c>
      <c r="DA91" s="5">
        <f>S91*'MASTER SHEET'!D91</f>
        <v>56611.799999999996</v>
      </c>
      <c r="DB91" s="5">
        <f>V91*'MASTER SHEET'!D91</f>
        <v>0</v>
      </c>
      <c r="DC91" s="5">
        <f>Y91*'MASTER SHEET'!D91</f>
        <v>0</v>
      </c>
      <c r="DD91" s="5">
        <f>AB91*'MASTER SHEET'!D91</f>
        <v>0</v>
      </c>
      <c r="DE91" s="5">
        <f>AE91*'MASTER SHEET'!D91</f>
        <v>24262.199999999997</v>
      </c>
      <c r="DF91" s="5">
        <f>AH91*'MASTER SHEET'!D91</f>
        <v>0</v>
      </c>
      <c r="DG91" s="5">
        <f>AK91*'MASTER SHEET'!D91</f>
        <v>0</v>
      </c>
      <c r="DH91" s="5">
        <f>AN91*'MASTER SHEET'!D91</f>
        <v>0</v>
      </c>
      <c r="DI91" s="5">
        <f>AQ91*'MASTER SHEET'!D91</f>
        <v>0</v>
      </c>
      <c r="DJ91" s="5">
        <f>AT91*'MASTER SHEET'!D91</f>
        <v>0</v>
      </c>
      <c r="DK91" s="5">
        <f>AW91*'MASTER SHEET'!D91</f>
        <v>0</v>
      </c>
      <c r="DL91" s="5">
        <f>AZ91*'MASTER SHEET'!D91</f>
        <v>32349.599999999999</v>
      </c>
      <c r="DM91" s="5">
        <f>BC91*'MASTER SHEET'!D91</f>
        <v>84108.959999999992</v>
      </c>
      <c r="DN91" s="5">
        <f>BF91*'MASTER SHEET'!D91</f>
        <v>4852.4399999999996</v>
      </c>
      <c r="DO91" s="5">
        <f>BI91*'MASTER SHEET'!D91</f>
        <v>4852.4399999999996</v>
      </c>
      <c r="DP91" s="5">
        <f>BL91*'MASTER SHEET'!D91</f>
        <v>0</v>
      </c>
      <c r="DQ91" s="5">
        <f>BO91*'MASTER SHEET'!D91</f>
        <v>6469.92</v>
      </c>
      <c r="DR91" s="5">
        <f>BR91*'MASTER SHEET'!D91</f>
        <v>9704.8799999999992</v>
      </c>
      <c r="DS91" s="5">
        <f>BU91*'MASTER SHEET'!D91</f>
        <v>48524.399999999994</v>
      </c>
      <c r="DT91" s="5">
        <f>BX91*'MASTER SHEET'!D91</f>
        <v>95431.319999999992</v>
      </c>
      <c r="DU91" s="5">
        <f>CA91*'MASTER SHEET'!D91</f>
        <v>84108.959999999992</v>
      </c>
      <c r="DV91" s="5">
        <f>CD91*'MASTER SHEET'!D91</f>
        <v>74404.08</v>
      </c>
      <c r="DW91" s="5">
        <f>CG91*'MASTER SHEET'!D91</f>
        <v>25879.68</v>
      </c>
      <c r="DX91" s="5">
        <f>CJ91*'MASTER SHEET'!D91</f>
        <v>0</v>
      </c>
      <c r="DY91" s="5">
        <f>CM91*'MASTER SHEET'!D91</f>
        <v>0</v>
      </c>
      <c r="DZ91" s="5">
        <f>CP91*'MASTER SHEET'!D91</f>
        <v>0</v>
      </c>
      <c r="EA91" s="5">
        <f>CS91*'MASTER SHEET'!D91</f>
        <v>0</v>
      </c>
      <c r="EB91" s="143">
        <f>VLOOKUP($C91,'[1]GREEN LEV.₹'!$I$2:$K$54,3,0)</f>
        <v>100</v>
      </c>
    </row>
    <row r="92" spans="1:132" ht="15.75" x14ac:dyDescent="0.25">
      <c r="A92" s="25">
        <f>'MASTER SHEET'!A92</f>
        <v>90</v>
      </c>
      <c r="B92" s="26" t="str">
        <f>'MASTER SHEET'!B92</f>
        <v>TOP COVER</v>
      </c>
      <c r="C92" s="27">
        <f>'MASTER SHEET'!C92</f>
        <v>5012083</v>
      </c>
      <c r="D92" s="56">
        <v>0</v>
      </c>
      <c r="E92" s="57">
        <f>' WIP '!F92</f>
        <v>0</v>
      </c>
      <c r="F92" s="58">
        <v>0</v>
      </c>
      <c r="G92" s="59">
        <f t="shared" si="96"/>
        <v>0</v>
      </c>
      <c r="H92" s="57">
        <f>' WIP '!J92</f>
        <v>0</v>
      </c>
      <c r="I92" s="58">
        <v>0</v>
      </c>
      <c r="J92" s="59">
        <f t="shared" si="97"/>
        <v>0</v>
      </c>
      <c r="K92" s="57">
        <f>' WIP '!N92</f>
        <v>0</v>
      </c>
      <c r="L92" s="58"/>
      <c r="M92" s="59">
        <f t="shared" si="98"/>
        <v>0</v>
      </c>
      <c r="N92" s="57">
        <f>' WIP '!R92</f>
        <v>0</v>
      </c>
      <c r="O92" s="58">
        <v>0</v>
      </c>
      <c r="P92" s="59">
        <f t="shared" si="99"/>
        <v>0</v>
      </c>
      <c r="Q92" s="57">
        <f>' WIP '!V92</f>
        <v>0</v>
      </c>
      <c r="R92" s="58">
        <v>0</v>
      </c>
      <c r="S92" s="59">
        <f t="shared" si="100"/>
        <v>0</v>
      </c>
      <c r="T92" s="57">
        <f>' WIP '!Z92</f>
        <v>0</v>
      </c>
      <c r="U92" s="58">
        <v>0</v>
      </c>
      <c r="V92" s="59">
        <f t="shared" si="101"/>
        <v>0</v>
      </c>
      <c r="W92" s="57">
        <f>' WIP '!AD92</f>
        <v>0</v>
      </c>
      <c r="X92" s="58">
        <v>0</v>
      </c>
      <c r="Y92" s="59">
        <f t="shared" si="102"/>
        <v>0</v>
      </c>
      <c r="Z92" s="57">
        <f>' WIP '!AH92</f>
        <v>0</v>
      </c>
      <c r="AA92" s="58">
        <v>0</v>
      </c>
      <c r="AB92" s="59">
        <f t="shared" si="103"/>
        <v>0</v>
      </c>
      <c r="AC92" s="57">
        <f>' WIP '!AL92</f>
        <v>0</v>
      </c>
      <c r="AD92" s="58">
        <v>0</v>
      </c>
      <c r="AE92" s="59">
        <f t="shared" si="104"/>
        <v>0</v>
      </c>
      <c r="AF92" s="57">
        <f>' WIP '!AP92</f>
        <v>0</v>
      </c>
      <c r="AG92" s="114">
        <v>0</v>
      </c>
      <c r="AH92" s="59">
        <f t="shared" si="105"/>
        <v>0</v>
      </c>
      <c r="AI92" s="57">
        <f>' WIP '!AT92</f>
        <v>0</v>
      </c>
      <c r="AJ92" s="58">
        <v>0</v>
      </c>
      <c r="AK92" s="59">
        <f t="shared" si="106"/>
        <v>0</v>
      </c>
      <c r="AL92" s="57">
        <f>' WIP '!AX92</f>
        <v>0</v>
      </c>
      <c r="AM92" s="58"/>
      <c r="AN92" s="59">
        <f t="shared" si="107"/>
        <v>0</v>
      </c>
      <c r="AO92" s="57">
        <f>' WIP '!BB92</f>
        <v>0</v>
      </c>
      <c r="AP92" s="58">
        <v>0</v>
      </c>
      <c r="AQ92" s="59">
        <f t="shared" si="108"/>
        <v>0</v>
      </c>
      <c r="AR92" s="57">
        <f>' WIP '!BF92</f>
        <v>0</v>
      </c>
      <c r="AS92" s="58">
        <v>0</v>
      </c>
      <c r="AT92" s="59">
        <f t="shared" si="109"/>
        <v>0</v>
      </c>
      <c r="AU92" s="57">
        <f>' WIP '!BJ92</f>
        <v>0</v>
      </c>
      <c r="AV92" s="58">
        <v>0</v>
      </c>
      <c r="AW92" s="59">
        <f t="shared" si="110"/>
        <v>0</v>
      </c>
      <c r="AX92" s="57">
        <f>' WIP '!BN92</f>
        <v>0</v>
      </c>
      <c r="AY92" s="58">
        <v>0</v>
      </c>
      <c r="AZ92" s="59">
        <f t="shared" si="111"/>
        <v>0</v>
      </c>
      <c r="BA92" s="57">
        <f>' WIP '!BR92</f>
        <v>0</v>
      </c>
      <c r="BB92" s="58">
        <v>0</v>
      </c>
      <c r="BC92" s="59">
        <f t="shared" si="112"/>
        <v>0</v>
      </c>
      <c r="BD92" s="57">
        <f>' WIP '!BV92</f>
        <v>0</v>
      </c>
      <c r="BE92" s="58">
        <v>0</v>
      </c>
      <c r="BF92" s="59">
        <f t="shared" si="113"/>
        <v>0</v>
      </c>
      <c r="BG92" s="57">
        <f>' WIP '!BZ92</f>
        <v>0</v>
      </c>
      <c r="BH92" s="58"/>
      <c r="BI92" s="59">
        <f t="shared" si="114"/>
        <v>0</v>
      </c>
      <c r="BJ92" s="57">
        <f>' WIP '!CD92</f>
        <v>0</v>
      </c>
      <c r="BK92" s="58">
        <v>0</v>
      </c>
      <c r="BL92" s="59">
        <f t="shared" si="115"/>
        <v>0</v>
      </c>
      <c r="BM92" s="57">
        <f>' WIP '!CH92</f>
        <v>0</v>
      </c>
      <c r="BN92" s="58">
        <v>0</v>
      </c>
      <c r="BO92" s="59">
        <f t="shared" si="116"/>
        <v>0</v>
      </c>
      <c r="BP92" s="57">
        <f>' WIP '!CL92</f>
        <v>0</v>
      </c>
      <c r="BQ92" s="58"/>
      <c r="BR92" s="59">
        <f t="shared" si="117"/>
        <v>0</v>
      </c>
      <c r="BS92" s="57">
        <f>' WIP '!CP92</f>
        <v>0</v>
      </c>
      <c r="BT92" s="58">
        <v>0</v>
      </c>
      <c r="BU92" s="59">
        <f t="shared" si="118"/>
        <v>0</v>
      </c>
      <c r="BV92" s="57">
        <f>' WIP '!CT92</f>
        <v>0</v>
      </c>
      <c r="BW92" s="28">
        <v>0</v>
      </c>
      <c r="BX92" s="59">
        <f t="shared" si="119"/>
        <v>0</v>
      </c>
      <c r="BY92" s="57">
        <f>' WIP '!CX92</f>
        <v>0</v>
      </c>
      <c r="BZ92" s="58">
        <v>0</v>
      </c>
      <c r="CA92" s="59">
        <f t="shared" si="120"/>
        <v>0</v>
      </c>
      <c r="CB92" s="57">
        <f>' WIP '!DB92</f>
        <v>0</v>
      </c>
      <c r="CC92" s="58">
        <v>0</v>
      </c>
      <c r="CD92" s="59">
        <f t="shared" si="121"/>
        <v>0</v>
      </c>
      <c r="CE92" s="57">
        <f>' WIP '!DF92</f>
        <v>0</v>
      </c>
      <c r="CF92" s="58">
        <v>0</v>
      </c>
      <c r="CG92" s="59">
        <f t="shared" si="122"/>
        <v>0</v>
      </c>
      <c r="CH92" s="57">
        <f>' WIP '!DJ92</f>
        <v>0</v>
      </c>
      <c r="CI92" s="58">
        <v>0</v>
      </c>
      <c r="CJ92" s="59">
        <f t="shared" si="123"/>
        <v>0</v>
      </c>
      <c r="CK92" s="57">
        <f>' WIP '!DN92</f>
        <v>0</v>
      </c>
      <c r="CL92" s="58">
        <v>0</v>
      </c>
      <c r="CM92" s="59">
        <f t="shared" si="124"/>
        <v>0</v>
      </c>
      <c r="CN92" s="57">
        <f>' WIP '!DR92</f>
        <v>0</v>
      </c>
      <c r="CO92" s="57"/>
      <c r="CP92" s="59">
        <f t="shared" si="125"/>
        <v>0</v>
      </c>
      <c r="CQ92" s="57">
        <f>' WIP '!DV92</f>
        <v>0</v>
      </c>
      <c r="CR92" s="58"/>
      <c r="CS92" s="59">
        <f t="shared" si="126"/>
        <v>0</v>
      </c>
      <c r="CT92" s="31">
        <f t="shared" si="127"/>
        <v>0</v>
      </c>
      <c r="CU92" s="4">
        <f t="shared" si="128"/>
        <v>0</v>
      </c>
      <c r="CV92" s="5">
        <f>D92*'MASTER SHEET'!D92</f>
        <v>0</v>
      </c>
      <c r="CW92" s="5">
        <f>G92*'MASTER SHEET'!D92</f>
        <v>0</v>
      </c>
      <c r="CX92" s="5">
        <f>J92*'MASTER SHEET'!D92</f>
        <v>0</v>
      </c>
      <c r="CY92" s="5">
        <f>M92*'MASTER SHEET'!D92</f>
        <v>0</v>
      </c>
      <c r="CZ92" s="5">
        <f>P92*'MASTER SHEET'!D92</f>
        <v>0</v>
      </c>
      <c r="DA92" s="5">
        <f>S92*'MASTER SHEET'!D92</f>
        <v>0</v>
      </c>
      <c r="DB92" s="5">
        <f>V92*'MASTER SHEET'!D92</f>
        <v>0</v>
      </c>
      <c r="DC92" s="5">
        <f>Y92*'MASTER SHEET'!D92</f>
        <v>0</v>
      </c>
      <c r="DD92" s="5">
        <f>AB92*'MASTER SHEET'!D92</f>
        <v>0</v>
      </c>
      <c r="DE92" s="5">
        <f>AE92*'MASTER SHEET'!D92</f>
        <v>0</v>
      </c>
      <c r="DF92" s="5">
        <f>AH92*'MASTER SHEET'!D92</f>
        <v>0</v>
      </c>
      <c r="DG92" s="5">
        <f>AK92*'MASTER SHEET'!D92</f>
        <v>0</v>
      </c>
      <c r="DH92" s="5">
        <f>AN92*'MASTER SHEET'!D92</f>
        <v>0</v>
      </c>
      <c r="DI92" s="5">
        <f>AQ92*'MASTER SHEET'!D92</f>
        <v>0</v>
      </c>
      <c r="DJ92" s="5">
        <f>AT92*'MASTER SHEET'!D92</f>
        <v>0</v>
      </c>
      <c r="DK92" s="5">
        <f>AW92*'MASTER SHEET'!D92</f>
        <v>0</v>
      </c>
      <c r="DL92" s="5">
        <f>AZ92*'MASTER SHEET'!D92</f>
        <v>0</v>
      </c>
      <c r="DM92" s="5">
        <f>BC92*'MASTER SHEET'!D92</f>
        <v>0</v>
      </c>
      <c r="DN92" s="5">
        <f>BF92*'MASTER SHEET'!D92</f>
        <v>0</v>
      </c>
      <c r="DO92" s="5">
        <f>BI92*'MASTER SHEET'!D92</f>
        <v>0</v>
      </c>
      <c r="DP92" s="5">
        <f>BL92*'MASTER SHEET'!D92</f>
        <v>0</v>
      </c>
      <c r="DQ92" s="5">
        <f>BO92*'MASTER SHEET'!D92</f>
        <v>0</v>
      </c>
      <c r="DR92" s="5">
        <f>BR92*'MASTER SHEET'!D92</f>
        <v>0</v>
      </c>
      <c r="DS92" s="5">
        <f>BU92*'MASTER SHEET'!D92</f>
        <v>0</v>
      </c>
      <c r="DT92" s="5">
        <f>BX92*'MASTER SHEET'!D92</f>
        <v>0</v>
      </c>
      <c r="DU92" s="5">
        <f>CA92*'MASTER SHEET'!D92</f>
        <v>0</v>
      </c>
      <c r="DV92" s="5">
        <f>CD92*'MASTER SHEET'!D92</f>
        <v>0</v>
      </c>
      <c r="DW92" s="5">
        <f>CG92*'MASTER SHEET'!D92</f>
        <v>0</v>
      </c>
      <c r="DX92" s="5">
        <f>CJ92*'MASTER SHEET'!D92</f>
        <v>0</v>
      </c>
      <c r="DY92" s="5">
        <f>CM92*'MASTER SHEET'!D92</f>
        <v>0</v>
      </c>
      <c r="DZ92" s="5">
        <f>CP92*'MASTER SHEET'!D92</f>
        <v>0</v>
      </c>
      <c r="EA92" s="5">
        <f>CS92*'MASTER SHEET'!D92</f>
        <v>0</v>
      </c>
      <c r="EB92" s="9"/>
    </row>
    <row r="93" spans="1:132" ht="15.75" x14ac:dyDescent="0.25">
      <c r="A93" s="25">
        <f>'MASTER SHEET'!A93</f>
        <v>91</v>
      </c>
      <c r="B93" s="26" t="str">
        <f>'MASTER SHEET'!B93</f>
        <v>PIPE PLASTIC LONI</v>
      </c>
      <c r="C93" s="27">
        <f>'MASTER SHEET'!C93</f>
        <v>5010647</v>
      </c>
      <c r="D93" s="56">
        <v>0</v>
      </c>
      <c r="E93" s="57">
        <f>' WIP '!F93</f>
        <v>0</v>
      </c>
      <c r="F93" s="58">
        <v>0</v>
      </c>
      <c r="G93" s="59">
        <f t="shared" si="96"/>
        <v>0</v>
      </c>
      <c r="H93" s="57">
        <f>' WIP '!J93</f>
        <v>0</v>
      </c>
      <c r="I93" s="58">
        <v>0</v>
      </c>
      <c r="J93" s="59">
        <f t="shared" si="97"/>
        <v>0</v>
      </c>
      <c r="K93" s="57">
        <f>' WIP '!N93</f>
        <v>0</v>
      </c>
      <c r="L93" s="58"/>
      <c r="M93" s="59">
        <f t="shared" si="98"/>
        <v>0</v>
      </c>
      <c r="N93" s="57">
        <f>' WIP '!R93</f>
        <v>0</v>
      </c>
      <c r="O93" s="58">
        <v>0</v>
      </c>
      <c r="P93" s="59">
        <f t="shared" si="99"/>
        <v>0</v>
      </c>
      <c r="Q93" s="57">
        <f>' WIP '!V93</f>
        <v>0</v>
      </c>
      <c r="R93" s="58">
        <v>0</v>
      </c>
      <c r="S93" s="59">
        <f t="shared" si="100"/>
        <v>0</v>
      </c>
      <c r="T93" s="57">
        <f>' WIP '!Z93</f>
        <v>0</v>
      </c>
      <c r="U93" s="58">
        <v>0</v>
      </c>
      <c r="V93" s="59">
        <f t="shared" si="101"/>
        <v>0</v>
      </c>
      <c r="W93" s="57">
        <f>' WIP '!AD93</f>
        <v>0</v>
      </c>
      <c r="X93" s="58">
        <v>0</v>
      </c>
      <c r="Y93" s="59">
        <f t="shared" si="102"/>
        <v>0</v>
      </c>
      <c r="Z93" s="57">
        <f>' WIP '!AH93</f>
        <v>0</v>
      </c>
      <c r="AA93" s="58">
        <v>0</v>
      </c>
      <c r="AB93" s="59">
        <f t="shared" si="103"/>
        <v>0</v>
      </c>
      <c r="AC93" s="57">
        <f>' WIP '!AL93</f>
        <v>0</v>
      </c>
      <c r="AD93" s="58">
        <v>0</v>
      </c>
      <c r="AE93" s="59">
        <f t="shared" si="104"/>
        <v>0</v>
      </c>
      <c r="AF93" s="57">
        <f>' WIP '!AP93</f>
        <v>0</v>
      </c>
      <c r="AG93" s="114">
        <v>0</v>
      </c>
      <c r="AH93" s="59">
        <f t="shared" si="105"/>
        <v>0</v>
      </c>
      <c r="AI93" s="57">
        <f>' WIP '!AT93</f>
        <v>0</v>
      </c>
      <c r="AJ93" s="58">
        <v>0</v>
      </c>
      <c r="AK93" s="59">
        <f t="shared" si="106"/>
        <v>0</v>
      </c>
      <c r="AL93" s="57">
        <f>' WIP '!AX93</f>
        <v>0</v>
      </c>
      <c r="AM93" s="58"/>
      <c r="AN93" s="59">
        <f t="shared" si="107"/>
        <v>0</v>
      </c>
      <c r="AO93" s="57">
        <f>' WIP '!BB93</f>
        <v>0</v>
      </c>
      <c r="AP93" s="58">
        <v>0</v>
      </c>
      <c r="AQ93" s="59">
        <f t="shared" si="108"/>
        <v>0</v>
      </c>
      <c r="AR93" s="57">
        <f>' WIP '!BF93</f>
        <v>0</v>
      </c>
      <c r="AS93" s="58">
        <v>0</v>
      </c>
      <c r="AT93" s="59">
        <f t="shared" si="109"/>
        <v>0</v>
      </c>
      <c r="AU93" s="57">
        <f>' WIP '!BJ93</f>
        <v>0</v>
      </c>
      <c r="AV93" s="58">
        <v>0</v>
      </c>
      <c r="AW93" s="59">
        <f t="shared" si="110"/>
        <v>0</v>
      </c>
      <c r="AX93" s="57">
        <f>' WIP '!BN93</f>
        <v>0</v>
      </c>
      <c r="AY93" s="58">
        <v>0</v>
      </c>
      <c r="AZ93" s="59">
        <f t="shared" si="111"/>
        <v>0</v>
      </c>
      <c r="BA93" s="57">
        <f>' WIP '!BR93</f>
        <v>0</v>
      </c>
      <c r="BB93" s="58">
        <v>0</v>
      </c>
      <c r="BC93" s="59">
        <f t="shared" si="112"/>
        <v>0</v>
      </c>
      <c r="BD93" s="57">
        <f>' WIP '!BV93</f>
        <v>0</v>
      </c>
      <c r="BE93" s="58">
        <v>0</v>
      </c>
      <c r="BF93" s="59">
        <f t="shared" si="113"/>
        <v>0</v>
      </c>
      <c r="BG93" s="57">
        <f>' WIP '!BZ93</f>
        <v>0</v>
      </c>
      <c r="BH93" s="58"/>
      <c r="BI93" s="59">
        <f t="shared" si="114"/>
        <v>0</v>
      </c>
      <c r="BJ93" s="57">
        <f>' WIP '!CD93</f>
        <v>0</v>
      </c>
      <c r="BK93" s="58">
        <v>0</v>
      </c>
      <c r="BL93" s="59">
        <f t="shared" si="115"/>
        <v>0</v>
      </c>
      <c r="BM93" s="57">
        <f>' WIP '!CH93</f>
        <v>0</v>
      </c>
      <c r="BN93" s="58">
        <v>0</v>
      </c>
      <c r="BO93" s="59">
        <f t="shared" si="116"/>
        <v>0</v>
      </c>
      <c r="BP93" s="57">
        <f>' WIP '!CL93</f>
        <v>0</v>
      </c>
      <c r="BQ93" s="58"/>
      <c r="BR93" s="59">
        <f t="shared" si="117"/>
        <v>0</v>
      </c>
      <c r="BS93" s="57">
        <f>' WIP '!CP93</f>
        <v>0</v>
      </c>
      <c r="BT93" s="58">
        <v>0</v>
      </c>
      <c r="BU93" s="59">
        <f t="shared" si="118"/>
        <v>0</v>
      </c>
      <c r="BV93" s="57">
        <f>' WIP '!CT93</f>
        <v>0</v>
      </c>
      <c r="BW93" s="28">
        <v>0</v>
      </c>
      <c r="BX93" s="59">
        <f t="shared" si="119"/>
        <v>0</v>
      </c>
      <c r="BY93" s="57">
        <f>' WIP '!CX93</f>
        <v>0</v>
      </c>
      <c r="BZ93" s="58">
        <v>0</v>
      </c>
      <c r="CA93" s="59">
        <f t="shared" si="120"/>
        <v>0</v>
      </c>
      <c r="CB93" s="57">
        <f>' WIP '!DB93</f>
        <v>0</v>
      </c>
      <c r="CC93" s="58">
        <v>0</v>
      </c>
      <c r="CD93" s="59">
        <f t="shared" si="121"/>
        <v>0</v>
      </c>
      <c r="CE93" s="57">
        <f>' WIP '!DF93</f>
        <v>0</v>
      </c>
      <c r="CF93" s="58">
        <v>0</v>
      </c>
      <c r="CG93" s="59">
        <f t="shared" si="122"/>
        <v>0</v>
      </c>
      <c r="CH93" s="57">
        <f>' WIP '!DJ93</f>
        <v>0</v>
      </c>
      <c r="CI93" s="58">
        <v>0</v>
      </c>
      <c r="CJ93" s="59">
        <f t="shared" si="123"/>
        <v>0</v>
      </c>
      <c r="CK93" s="57">
        <f>' WIP '!DN93</f>
        <v>0</v>
      </c>
      <c r="CL93" s="58">
        <v>0</v>
      </c>
      <c r="CM93" s="59">
        <f t="shared" si="124"/>
        <v>0</v>
      </c>
      <c r="CN93" s="57">
        <f>' WIP '!DR93</f>
        <v>0</v>
      </c>
      <c r="CO93" s="57"/>
      <c r="CP93" s="59">
        <f t="shared" si="125"/>
        <v>0</v>
      </c>
      <c r="CQ93" s="57">
        <f>' WIP '!DV93</f>
        <v>0</v>
      </c>
      <c r="CR93" s="58"/>
      <c r="CS93" s="59">
        <f t="shared" si="126"/>
        <v>0</v>
      </c>
      <c r="CT93" s="31">
        <f t="shared" si="127"/>
        <v>0</v>
      </c>
      <c r="CU93" s="4">
        <f t="shared" si="128"/>
        <v>0</v>
      </c>
      <c r="CV93" s="5">
        <f>D93*'MASTER SHEET'!D93</f>
        <v>0</v>
      </c>
      <c r="CW93" s="5">
        <f>G93*'MASTER SHEET'!D93</f>
        <v>0</v>
      </c>
      <c r="CX93" s="5">
        <f>J93*'MASTER SHEET'!D93</f>
        <v>0</v>
      </c>
      <c r="CY93" s="5">
        <f>M93*'MASTER SHEET'!D93</f>
        <v>0</v>
      </c>
      <c r="CZ93" s="5">
        <f>P93*'MASTER SHEET'!D93</f>
        <v>0</v>
      </c>
      <c r="DA93" s="5">
        <f>S93*'MASTER SHEET'!D93</f>
        <v>0</v>
      </c>
      <c r="DB93" s="5">
        <f>V93*'MASTER SHEET'!D93</f>
        <v>0</v>
      </c>
      <c r="DC93" s="5">
        <f>Y93*'MASTER SHEET'!D93</f>
        <v>0</v>
      </c>
      <c r="DD93" s="5">
        <f>AB93*'MASTER SHEET'!D93</f>
        <v>0</v>
      </c>
      <c r="DE93" s="5">
        <f>AE93*'MASTER SHEET'!D93</f>
        <v>0</v>
      </c>
      <c r="DF93" s="5">
        <f>AH93*'MASTER SHEET'!D93</f>
        <v>0</v>
      </c>
      <c r="DG93" s="5">
        <f>AK93*'MASTER SHEET'!D93</f>
        <v>0</v>
      </c>
      <c r="DH93" s="5">
        <f>AN93*'MASTER SHEET'!D93</f>
        <v>0</v>
      </c>
      <c r="DI93" s="5">
        <f>AQ93*'MASTER SHEET'!D93</f>
        <v>0</v>
      </c>
      <c r="DJ93" s="5">
        <f>AT93*'MASTER SHEET'!D93</f>
        <v>0</v>
      </c>
      <c r="DK93" s="5">
        <f>AW93*'MASTER SHEET'!D93</f>
        <v>0</v>
      </c>
      <c r="DL93" s="5">
        <f>AZ93*'MASTER SHEET'!D93</f>
        <v>0</v>
      </c>
      <c r="DM93" s="5">
        <f>BC93*'MASTER SHEET'!D93</f>
        <v>0</v>
      </c>
      <c r="DN93" s="5">
        <f>BF93*'MASTER SHEET'!D93</f>
        <v>0</v>
      </c>
      <c r="DO93" s="5">
        <f>BI93*'MASTER SHEET'!D93</f>
        <v>0</v>
      </c>
      <c r="DP93" s="5">
        <f>BL93*'MASTER SHEET'!D93</f>
        <v>0</v>
      </c>
      <c r="DQ93" s="5">
        <f>BO93*'MASTER SHEET'!D93</f>
        <v>0</v>
      </c>
      <c r="DR93" s="5">
        <f>BR93*'MASTER SHEET'!D93</f>
        <v>0</v>
      </c>
      <c r="DS93" s="5">
        <f>BU93*'MASTER SHEET'!D93</f>
        <v>0</v>
      </c>
      <c r="DT93" s="5">
        <f>BX93*'MASTER SHEET'!D93</f>
        <v>0</v>
      </c>
      <c r="DU93" s="5">
        <f>CA93*'MASTER SHEET'!D93</f>
        <v>0</v>
      </c>
      <c r="DV93" s="5">
        <f>CD93*'MASTER SHEET'!D93</f>
        <v>0</v>
      </c>
      <c r="DW93" s="5">
        <f>CG93*'MASTER SHEET'!D93</f>
        <v>0</v>
      </c>
      <c r="DX93" s="5">
        <f>CJ93*'MASTER SHEET'!D93</f>
        <v>0</v>
      </c>
      <c r="DY93" s="5">
        <f>CM93*'MASTER SHEET'!D93</f>
        <v>0</v>
      </c>
      <c r="DZ93" s="5">
        <f>CP93*'MASTER SHEET'!D93</f>
        <v>0</v>
      </c>
      <c r="EA93" s="5">
        <f>CS93*'MASTER SHEET'!D93</f>
        <v>0</v>
      </c>
      <c r="EB93" s="9"/>
    </row>
    <row r="94" spans="1:132" ht="15.75" x14ac:dyDescent="0.25">
      <c r="A94" s="25">
        <f>'MASTER SHEET'!A94</f>
        <v>92</v>
      </c>
      <c r="B94" s="26" t="str">
        <f>'MASTER SHEET'!B94</f>
        <v>TOP COVER</v>
      </c>
      <c r="C94" s="27">
        <f>'MASTER SHEET'!C94</f>
        <v>5007581</v>
      </c>
      <c r="D94" s="56">
        <v>0</v>
      </c>
      <c r="E94" s="57">
        <f>' WIP '!F94</f>
        <v>0</v>
      </c>
      <c r="F94" s="58">
        <v>0</v>
      </c>
      <c r="G94" s="59">
        <f t="shared" si="96"/>
        <v>0</v>
      </c>
      <c r="H94" s="57">
        <f>' WIP '!J94</f>
        <v>0</v>
      </c>
      <c r="I94" s="58">
        <v>0</v>
      </c>
      <c r="J94" s="59">
        <f t="shared" si="97"/>
        <v>0</v>
      </c>
      <c r="K94" s="57">
        <f>' WIP '!N94</f>
        <v>0</v>
      </c>
      <c r="L94" s="58"/>
      <c r="M94" s="59">
        <f t="shared" si="98"/>
        <v>0</v>
      </c>
      <c r="N94" s="57">
        <f>' WIP '!R94</f>
        <v>0</v>
      </c>
      <c r="O94" s="58">
        <v>0</v>
      </c>
      <c r="P94" s="59">
        <f t="shared" si="99"/>
        <v>0</v>
      </c>
      <c r="Q94" s="57">
        <f>' WIP '!V94</f>
        <v>0</v>
      </c>
      <c r="R94" s="58">
        <v>0</v>
      </c>
      <c r="S94" s="59">
        <f t="shared" si="100"/>
        <v>0</v>
      </c>
      <c r="T94" s="57">
        <f>' WIP '!Z94</f>
        <v>0</v>
      </c>
      <c r="U94" s="58">
        <v>0</v>
      </c>
      <c r="V94" s="59">
        <f t="shared" si="101"/>
        <v>0</v>
      </c>
      <c r="W94" s="57">
        <f>' WIP '!AD94</f>
        <v>0</v>
      </c>
      <c r="X94" s="58">
        <v>0</v>
      </c>
      <c r="Y94" s="59">
        <f t="shared" si="102"/>
        <v>0</v>
      </c>
      <c r="Z94" s="57">
        <f>' WIP '!AH94</f>
        <v>0</v>
      </c>
      <c r="AA94" s="58">
        <v>0</v>
      </c>
      <c r="AB94" s="59">
        <f t="shared" si="103"/>
        <v>0</v>
      </c>
      <c r="AC94" s="57">
        <f>' WIP '!AL94</f>
        <v>0</v>
      </c>
      <c r="AD94" s="58">
        <v>0</v>
      </c>
      <c r="AE94" s="59">
        <f t="shared" si="104"/>
        <v>0</v>
      </c>
      <c r="AF94" s="57">
        <f>' WIP '!AP94</f>
        <v>0</v>
      </c>
      <c r="AG94" s="114">
        <v>0</v>
      </c>
      <c r="AH94" s="59">
        <f t="shared" si="105"/>
        <v>0</v>
      </c>
      <c r="AI94" s="57">
        <f>' WIP '!AT94</f>
        <v>0</v>
      </c>
      <c r="AJ94" s="58">
        <v>0</v>
      </c>
      <c r="AK94" s="59">
        <f t="shared" si="106"/>
        <v>0</v>
      </c>
      <c r="AL94" s="57">
        <f>' WIP '!AX94</f>
        <v>0</v>
      </c>
      <c r="AM94" s="58"/>
      <c r="AN94" s="59">
        <f t="shared" si="107"/>
        <v>0</v>
      </c>
      <c r="AO94" s="57">
        <f>' WIP '!BB94</f>
        <v>0</v>
      </c>
      <c r="AP94" s="58">
        <v>0</v>
      </c>
      <c r="AQ94" s="59">
        <f t="shared" si="108"/>
        <v>0</v>
      </c>
      <c r="AR94" s="57">
        <f>' WIP '!BF94</f>
        <v>0</v>
      </c>
      <c r="AS94" s="58">
        <v>0</v>
      </c>
      <c r="AT94" s="59">
        <f t="shared" si="109"/>
        <v>0</v>
      </c>
      <c r="AU94" s="57">
        <f>' WIP '!BJ94</f>
        <v>0</v>
      </c>
      <c r="AV94" s="58">
        <v>0</v>
      </c>
      <c r="AW94" s="59">
        <f t="shared" si="110"/>
        <v>0</v>
      </c>
      <c r="AX94" s="57">
        <f>' WIP '!BN94</f>
        <v>0</v>
      </c>
      <c r="AY94" s="58">
        <v>0</v>
      </c>
      <c r="AZ94" s="59">
        <f t="shared" si="111"/>
        <v>0</v>
      </c>
      <c r="BA94" s="57">
        <f>' WIP '!BR94</f>
        <v>0</v>
      </c>
      <c r="BB94" s="58">
        <v>0</v>
      </c>
      <c r="BC94" s="59">
        <f t="shared" si="112"/>
        <v>0</v>
      </c>
      <c r="BD94" s="57">
        <f>' WIP '!BV94</f>
        <v>0</v>
      </c>
      <c r="BE94" s="58">
        <v>0</v>
      </c>
      <c r="BF94" s="59">
        <f t="shared" si="113"/>
        <v>0</v>
      </c>
      <c r="BG94" s="57">
        <f>' WIP '!BZ94</f>
        <v>0</v>
      </c>
      <c r="BH94" s="58"/>
      <c r="BI94" s="59">
        <f t="shared" si="114"/>
        <v>0</v>
      </c>
      <c r="BJ94" s="57">
        <f>' WIP '!CD94</f>
        <v>0</v>
      </c>
      <c r="BK94" s="58">
        <v>0</v>
      </c>
      <c r="BL94" s="59">
        <f t="shared" si="115"/>
        <v>0</v>
      </c>
      <c r="BM94" s="57">
        <f>' WIP '!CH94</f>
        <v>0</v>
      </c>
      <c r="BN94" s="58">
        <v>0</v>
      </c>
      <c r="BO94" s="59">
        <f t="shared" si="116"/>
        <v>0</v>
      </c>
      <c r="BP94" s="57">
        <f>' WIP '!CL94</f>
        <v>0</v>
      </c>
      <c r="BQ94" s="58"/>
      <c r="BR94" s="59">
        <f t="shared" si="117"/>
        <v>0</v>
      </c>
      <c r="BS94" s="57">
        <f>' WIP '!CP94</f>
        <v>0</v>
      </c>
      <c r="BT94" s="58">
        <v>0</v>
      </c>
      <c r="BU94" s="59">
        <f t="shared" si="118"/>
        <v>0</v>
      </c>
      <c r="BV94" s="57">
        <f>' WIP '!CT94</f>
        <v>0</v>
      </c>
      <c r="BW94" s="28">
        <v>0</v>
      </c>
      <c r="BX94" s="59">
        <f t="shared" si="119"/>
        <v>0</v>
      </c>
      <c r="BY94" s="57">
        <f>' WIP '!CX94</f>
        <v>0</v>
      </c>
      <c r="BZ94" s="58">
        <v>0</v>
      </c>
      <c r="CA94" s="59">
        <f t="shared" si="120"/>
        <v>0</v>
      </c>
      <c r="CB94" s="57">
        <f>' WIP '!DB94</f>
        <v>0</v>
      </c>
      <c r="CC94" s="58">
        <v>0</v>
      </c>
      <c r="CD94" s="59">
        <f t="shared" si="121"/>
        <v>0</v>
      </c>
      <c r="CE94" s="57">
        <f>' WIP '!DF94</f>
        <v>600</v>
      </c>
      <c r="CF94" s="58">
        <v>600</v>
      </c>
      <c r="CG94" s="59">
        <f t="shared" si="122"/>
        <v>0</v>
      </c>
      <c r="CH94" s="57">
        <f>' WIP '!DJ94</f>
        <v>1200</v>
      </c>
      <c r="CI94" s="58">
        <v>1200</v>
      </c>
      <c r="CJ94" s="59">
        <f t="shared" si="123"/>
        <v>0</v>
      </c>
      <c r="CK94" s="57">
        <f>' WIP '!DN94</f>
        <v>0</v>
      </c>
      <c r="CL94" s="58">
        <v>0</v>
      </c>
      <c r="CM94" s="59">
        <f t="shared" si="124"/>
        <v>0</v>
      </c>
      <c r="CN94" s="57">
        <f>' WIP '!DR94</f>
        <v>0</v>
      </c>
      <c r="CO94" s="57"/>
      <c r="CP94" s="59">
        <f t="shared" si="125"/>
        <v>0</v>
      </c>
      <c r="CQ94" s="57">
        <f>' WIP '!DV94</f>
        <v>0</v>
      </c>
      <c r="CR94" s="58"/>
      <c r="CS94" s="59">
        <f t="shared" si="126"/>
        <v>0</v>
      </c>
      <c r="CT94" s="31">
        <f t="shared" si="127"/>
        <v>1800</v>
      </c>
      <c r="CU94" s="4">
        <f t="shared" si="128"/>
        <v>1800</v>
      </c>
      <c r="CV94" s="5">
        <f>D94*'MASTER SHEET'!D94</f>
        <v>0</v>
      </c>
      <c r="CW94" s="5">
        <f>G94*'MASTER SHEET'!D94</f>
        <v>0</v>
      </c>
      <c r="CX94" s="5">
        <f>J94*'MASTER SHEET'!D94</f>
        <v>0</v>
      </c>
      <c r="CY94" s="5">
        <f>M94*'MASTER SHEET'!D94</f>
        <v>0</v>
      </c>
      <c r="CZ94" s="5">
        <f>P94*'MASTER SHEET'!D94</f>
        <v>0</v>
      </c>
      <c r="DA94" s="5">
        <f>S94*'MASTER SHEET'!D94</f>
        <v>0</v>
      </c>
      <c r="DB94" s="5">
        <f>V94*'MASTER SHEET'!D94</f>
        <v>0</v>
      </c>
      <c r="DC94" s="5">
        <f>Y94*'MASTER SHEET'!D94</f>
        <v>0</v>
      </c>
      <c r="DD94" s="5">
        <f>AB94*'MASTER SHEET'!D94</f>
        <v>0</v>
      </c>
      <c r="DE94" s="5">
        <f>AE94*'MASTER SHEET'!D94</f>
        <v>0</v>
      </c>
      <c r="DF94" s="5">
        <f>AH94*'MASTER SHEET'!D94</f>
        <v>0</v>
      </c>
      <c r="DG94" s="5">
        <f>AK94*'MASTER SHEET'!D94</f>
        <v>0</v>
      </c>
      <c r="DH94" s="5">
        <f>AN94*'MASTER SHEET'!D94</f>
        <v>0</v>
      </c>
      <c r="DI94" s="5">
        <f>AQ94*'MASTER SHEET'!D94</f>
        <v>0</v>
      </c>
      <c r="DJ94" s="5">
        <f>AT94*'MASTER SHEET'!D94</f>
        <v>0</v>
      </c>
      <c r="DK94" s="5">
        <f>AW94*'MASTER SHEET'!D94</f>
        <v>0</v>
      </c>
      <c r="DL94" s="5">
        <f>AZ94*'MASTER SHEET'!D94</f>
        <v>0</v>
      </c>
      <c r="DM94" s="5">
        <f>BC94*'MASTER SHEET'!D94</f>
        <v>0</v>
      </c>
      <c r="DN94" s="5">
        <f>BF94*'MASTER SHEET'!D94</f>
        <v>0</v>
      </c>
      <c r="DO94" s="5">
        <f>BI94*'MASTER SHEET'!D94</f>
        <v>0</v>
      </c>
      <c r="DP94" s="5">
        <f>BL94*'MASTER SHEET'!D94</f>
        <v>0</v>
      </c>
      <c r="DQ94" s="5">
        <f>BO94*'MASTER SHEET'!D94</f>
        <v>0</v>
      </c>
      <c r="DR94" s="5">
        <f>BR94*'MASTER SHEET'!D94</f>
        <v>0</v>
      </c>
      <c r="DS94" s="5">
        <f>BU94*'MASTER SHEET'!D94</f>
        <v>0</v>
      </c>
      <c r="DT94" s="5">
        <f>BX94*'MASTER SHEET'!D94</f>
        <v>0</v>
      </c>
      <c r="DU94" s="5">
        <f>CA94*'MASTER SHEET'!D94</f>
        <v>0</v>
      </c>
      <c r="DV94" s="5">
        <f>CD94*'MASTER SHEET'!D94</f>
        <v>0</v>
      </c>
      <c r="DW94" s="5">
        <f>CG94*'MASTER SHEET'!D94</f>
        <v>0</v>
      </c>
      <c r="DX94" s="5">
        <f>CJ94*'MASTER SHEET'!D94</f>
        <v>0</v>
      </c>
      <c r="DY94" s="5">
        <f>CM94*'MASTER SHEET'!D94</f>
        <v>0</v>
      </c>
      <c r="DZ94" s="5">
        <f>CP94*'MASTER SHEET'!D94</f>
        <v>0</v>
      </c>
      <c r="EA94" s="5">
        <f>CS94*'MASTER SHEET'!D94</f>
        <v>0</v>
      </c>
      <c r="EB94" s="9"/>
    </row>
    <row r="95" spans="1:132" ht="15.75" x14ac:dyDescent="0.25">
      <c r="A95" s="25">
        <f>'MASTER SHEET'!A95</f>
        <v>93</v>
      </c>
      <c r="B95" s="26" t="str">
        <f>'MASTER SHEET'!B95</f>
        <v>BOTTOM COVER</v>
      </c>
      <c r="C95" s="27">
        <f>'MASTER SHEET'!C95</f>
        <v>5007582</v>
      </c>
      <c r="D95" s="56">
        <v>0</v>
      </c>
      <c r="E95" s="57">
        <f>' WIP '!F95</f>
        <v>0</v>
      </c>
      <c r="F95" s="58">
        <v>0</v>
      </c>
      <c r="G95" s="59">
        <f t="shared" si="96"/>
        <v>0</v>
      </c>
      <c r="H95" s="57">
        <f>' WIP '!J95</f>
        <v>0</v>
      </c>
      <c r="I95" s="58">
        <v>0</v>
      </c>
      <c r="J95" s="59">
        <f t="shared" si="97"/>
        <v>0</v>
      </c>
      <c r="K95" s="57">
        <f>' WIP '!N95</f>
        <v>0</v>
      </c>
      <c r="L95" s="58"/>
      <c r="M95" s="59">
        <f t="shared" si="98"/>
        <v>0</v>
      </c>
      <c r="N95" s="57">
        <f>' WIP '!R95</f>
        <v>0</v>
      </c>
      <c r="O95" s="58">
        <v>0</v>
      </c>
      <c r="P95" s="59">
        <f t="shared" si="99"/>
        <v>0</v>
      </c>
      <c r="Q95" s="57">
        <f>' WIP '!V95</f>
        <v>0</v>
      </c>
      <c r="R95" s="58">
        <v>0</v>
      </c>
      <c r="S95" s="59">
        <f t="shared" si="100"/>
        <v>0</v>
      </c>
      <c r="T95" s="57">
        <f>' WIP '!Z95</f>
        <v>0</v>
      </c>
      <c r="U95" s="58">
        <v>0</v>
      </c>
      <c r="V95" s="59">
        <f t="shared" si="101"/>
        <v>0</v>
      </c>
      <c r="W95" s="57">
        <f>' WIP '!AD95</f>
        <v>0</v>
      </c>
      <c r="X95" s="58">
        <v>0</v>
      </c>
      <c r="Y95" s="59">
        <f t="shared" si="102"/>
        <v>0</v>
      </c>
      <c r="Z95" s="57">
        <f>' WIP '!AH95</f>
        <v>0</v>
      </c>
      <c r="AA95" s="58">
        <v>0</v>
      </c>
      <c r="AB95" s="59">
        <f t="shared" si="103"/>
        <v>0</v>
      </c>
      <c r="AC95" s="57">
        <f>' WIP '!AL95</f>
        <v>0</v>
      </c>
      <c r="AD95" s="58">
        <v>0</v>
      </c>
      <c r="AE95" s="59">
        <f t="shared" si="104"/>
        <v>0</v>
      </c>
      <c r="AF95" s="57">
        <f>' WIP '!AP95</f>
        <v>0</v>
      </c>
      <c r="AG95" s="114">
        <v>0</v>
      </c>
      <c r="AH95" s="59">
        <f t="shared" si="105"/>
        <v>0</v>
      </c>
      <c r="AI95" s="57">
        <f>' WIP '!AT95</f>
        <v>0</v>
      </c>
      <c r="AJ95" s="58">
        <v>0</v>
      </c>
      <c r="AK95" s="59">
        <f t="shared" si="106"/>
        <v>0</v>
      </c>
      <c r="AL95" s="57">
        <f>' WIP '!AX95</f>
        <v>0</v>
      </c>
      <c r="AM95" s="58"/>
      <c r="AN95" s="59">
        <f t="shared" si="107"/>
        <v>0</v>
      </c>
      <c r="AO95" s="57">
        <f>' WIP '!BB95</f>
        <v>0</v>
      </c>
      <c r="AP95" s="58">
        <v>0</v>
      </c>
      <c r="AQ95" s="59">
        <f t="shared" si="108"/>
        <v>0</v>
      </c>
      <c r="AR95" s="57">
        <f>' WIP '!BF95</f>
        <v>0</v>
      </c>
      <c r="AS95" s="58">
        <v>0</v>
      </c>
      <c r="AT95" s="59">
        <f t="shared" si="109"/>
        <v>0</v>
      </c>
      <c r="AU95" s="57">
        <f>' WIP '!BJ95</f>
        <v>0</v>
      </c>
      <c r="AV95" s="58">
        <v>0</v>
      </c>
      <c r="AW95" s="59">
        <f t="shared" si="110"/>
        <v>0</v>
      </c>
      <c r="AX95" s="57">
        <f>' WIP '!BN95</f>
        <v>0</v>
      </c>
      <c r="AY95" s="58">
        <v>0</v>
      </c>
      <c r="AZ95" s="59">
        <f t="shared" si="111"/>
        <v>0</v>
      </c>
      <c r="BA95" s="57">
        <f>' WIP '!BR95</f>
        <v>0</v>
      </c>
      <c r="BB95" s="58">
        <v>0</v>
      </c>
      <c r="BC95" s="59">
        <f t="shared" si="112"/>
        <v>0</v>
      </c>
      <c r="BD95" s="57">
        <f>' WIP '!BV95</f>
        <v>0</v>
      </c>
      <c r="BE95" s="58">
        <v>0</v>
      </c>
      <c r="BF95" s="59">
        <f t="shared" si="113"/>
        <v>0</v>
      </c>
      <c r="BG95" s="57">
        <f>' WIP '!BZ95</f>
        <v>0</v>
      </c>
      <c r="BH95" s="58"/>
      <c r="BI95" s="59">
        <f t="shared" si="114"/>
        <v>0</v>
      </c>
      <c r="BJ95" s="57">
        <f>' WIP '!CD95</f>
        <v>0</v>
      </c>
      <c r="BK95" s="58">
        <v>0</v>
      </c>
      <c r="BL95" s="59">
        <f t="shared" si="115"/>
        <v>0</v>
      </c>
      <c r="BM95" s="57">
        <f>' WIP '!CH95</f>
        <v>0</v>
      </c>
      <c r="BN95" s="58">
        <v>0</v>
      </c>
      <c r="BO95" s="59">
        <f t="shared" si="116"/>
        <v>0</v>
      </c>
      <c r="BP95" s="57">
        <f>' WIP '!CL95</f>
        <v>0</v>
      </c>
      <c r="BQ95" s="58"/>
      <c r="BR95" s="59">
        <f t="shared" si="117"/>
        <v>0</v>
      </c>
      <c r="BS95" s="57">
        <f>' WIP '!CP95</f>
        <v>0</v>
      </c>
      <c r="BT95" s="58">
        <v>0</v>
      </c>
      <c r="BU95" s="59">
        <f t="shared" si="118"/>
        <v>0</v>
      </c>
      <c r="BV95" s="57">
        <f>' WIP '!CT95</f>
        <v>0</v>
      </c>
      <c r="BW95" s="28">
        <v>0</v>
      </c>
      <c r="BX95" s="59">
        <f t="shared" si="119"/>
        <v>0</v>
      </c>
      <c r="BY95" s="57">
        <f>' WIP '!CX95</f>
        <v>0</v>
      </c>
      <c r="BZ95" s="58">
        <v>0</v>
      </c>
      <c r="CA95" s="59">
        <f t="shared" si="120"/>
        <v>0</v>
      </c>
      <c r="CB95" s="57">
        <f>' WIP '!DB95</f>
        <v>0</v>
      </c>
      <c r="CC95" s="58">
        <v>0</v>
      </c>
      <c r="CD95" s="59">
        <f t="shared" si="121"/>
        <v>0</v>
      </c>
      <c r="CE95" s="57">
        <f>' WIP '!DF95</f>
        <v>600</v>
      </c>
      <c r="CF95" s="58">
        <v>600</v>
      </c>
      <c r="CG95" s="59">
        <f t="shared" si="122"/>
        <v>0</v>
      </c>
      <c r="CH95" s="57">
        <f>' WIP '!DJ95</f>
        <v>1200</v>
      </c>
      <c r="CI95" s="58">
        <v>1200</v>
      </c>
      <c r="CJ95" s="59">
        <f t="shared" si="123"/>
        <v>0</v>
      </c>
      <c r="CK95" s="57">
        <f>' WIP '!DN95</f>
        <v>0</v>
      </c>
      <c r="CL95" s="58">
        <v>0</v>
      </c>
      <c r="CM95" s="59">
        <f t="shared" si="124"/>
        <v>0</v>
      </c>
      <c r="CN95" s="57">
        <f>' WIP '!DR95</f>
        <v>0</v>
      </c>
      <c r="CO95" s="57"/>
      <c r="CP95" s="59">
        <f t="shared" si="125"/>
        <v>0</v>
      </c>
      <c r="CQ95" s="57">
        <f>' WIP '!DV95</f>
        <v>0</v>
      </c>
      <c r="CR95" s="58"/>
      <c r="CS95" s="59">
        <f t="shared" si="126"/>
        <v>0</v>
      </c>
      <c r="CT95" s="31">
        <f t="shared" si="127"/>
        <v>1800</v>
      </c>
      <c r="CU95" s="4">
        <f t="shared" si="128"/>
        <v>1800</v>
      </c>
      <c r="CV95" s="5">
        <f>D95*'MASTER SHEET'!D95</f>
        <v>0</v>
      </c>
      <c r="CW95" s="5">
        <f>G95*'MASTER SHEET'!D95</f>
        <v>0</v>
      </c>
      <c r="CX95" s="5">
        <f>J95*'MASTER SHEET'!D95</f>
        <v>0</v>
      </c>
      <c r="CY95" s="5">
        <f>M95*'MASTER SHEET'!D95</f>
        <v>0</v>
      </c>
      <c r="CZ95" s="5">
        <f>P95*'MASTER SHEET'!D95</f>
        <v>0</v>
      </c>
      <c r="DA95" s="5">
        <f>S95*'MASTER SHEET'!D95</f>
        <v>0</v>
      </c>
      <c r="DB95" s="5">
        <f>V95*'MASTER SHEET'!D95</f>
        <v>0</v>
      </c>
      <c r="DC95" s="5">
        <f>Y95*'MASTER SHEET'!D95</f>
        <v>0</v>
      </c>
      <c r="DD95" s="5">
        <f>AB95*'MASTER SHEET'!D95</f>
        <v>0</v>
      </c>
      <c r="DE95" s="5">
        <f>AE95*'MASTER SHEET'!D95</f>
        <v>0</v>
      </c>
      <c r="DF95" s="5">
        <f>AH95*'MASTER SHEET'!D95</f>
        <v>0</v>
      </c>
      <c r="DG95" s="5">
        <f>AK95*'MASTER SHEET'!D95</f>
        <v>0</v>
      </c>
      <c r="DH95" s="5">
        <f>AN95*'MASTER SHEET'!D95</f>
        <v>0</v>
      </c>
      <c r="DI95" s="5">
        <f>AQ95*'MASTER SHEET'!D95</f>
        <v>0</v>
      </c>
      <c r="DJ95" s="5">
        <f>AT95*'MASTER SHEET'!D95</f>
        <v>0</v>
      </c>
      <c r="DK95" s="5">
        <f>AW95*'MASTER SHEET'!D95</f>
        <v>0</v>
      </c>
      <c r="DL95" s="5">
        <f>AZ95*'MASTER SHEET'!D95</f>
        <v>0</v>
      </c>
      <c r="DM95" s="5">
        <f>BC95*'MASTER SHEET'!D95</f>
        <v>0</v>
      </c>
      <c r="DN95" s="5">
        <f>BF95*'MASTER SHEET'!D95</f>
        <v>0</v>
      </c>
      <c r="DO95" s="5">
        <f>BI95*'MASTER SHEET'!D95</f>
        <v>0</v>
      </c>
      <c r="DP95" s="5">
        <f>BL95*'MASTER SHEET'!D95</f>
        <v>0</v>
      </c>
      <c r="DQ95" s="5">
        <f>BO95*'MASTER SHEET'!D95</f>
        <v>0</v>
      </c>
      <c r="DR95" s="5">
        <f>BR95*'MASTER SHEET'!D95</f>
        <v>0</v>
      </c>
      <c r="DS95" s="5">
        <f>BU95*'MASTER SHEET'!D95</f>
        <v>0</v>
      </c>
      <c r="DT95" s="5">
        <f>BX95*'MASTER SHEET'!D95</f>
        <v>0</v>
      </c>
      <c r="DU95" s="5">
        <f>CA95*'MASTER SHEET'!D95</f>
        <v>0</v>
      </c>
      <c r="DV95" s="5">
        <f>CD95*'MASTER SHEET'!D95</f>
        <v>0</v>
      </c>
      <c r="DW95" s="5">
        <f>CG95*'MASTER SHEET'!D95</f>
        <v>0</v>
      </c>
      <c r="DX95" s="5">
        <f>CJ95*'MASTER SHEET'!D95</f>
        <v>0</v>
      </c>
      <c r="DY95" s="5">
        <f>CM95*'MASTER SHEET'!D95</f>
        <v>0</v>
      </c>
      <c r="DZ95" s="5">
        <f>CP95*'MASTER SHEET'!D95</f>
        <v>0</v>
      </c>
      <c r="EA95" s="5">
        <f>CS95*'MASTER SHEET'!D95</f>
        <v>0</v>
      </c>
      <c r="EB95" s="9"/>
    </row>
    <row r="96" spans="1:132" ht="15.75" x14ac:dyDescent="0.25">
      <c r="A96" s="25">
        <f>'MASTER SHEET'!A96</f>
        <v>94</v>
      </c>
      <c r="B96" s="26" t="str">
        <f>'MASTER SHEET'!B96</f>
        <v>LOUVER PLASTIC</v>
      </c>
      <c r="C96" s="27">
        <f>'MASTER SHEET'!C96</f>
        <v>5024347</v>
      </c>
      <c r="D96" s="56">
        <v>500</v>
      </c>
      <c r="E96" s="57">
        <f>' WIP '!F96</f>
        <v>0</v>
      </c>
      <c r="F96" s="58">
        <v>0</v>
      </c>
      <c r="G96" s="59">
        <f t="shared" si="96"/>
        <v>500</v>
      </c>
      <c r="H96" s="57">
        <f>' WIP '!J96</f>
        <v>0</v>
      </c>
      <c r="I96" s="58">
        <v>0</v>
      </c>
      <c r="J96" s="59">
        <f t="shared" si="97"/>
        <v>500</v>
      </c>
      <c r="K96" s="57">
        <f>' WIP '!N96</f>
        <v>0</v>
      </c>
      <c r="L96" s="58"/>
      <c r="M96" s="59">
        <f t="shared" si="98"/>
        <v>500</v>
      </c>
      <c r="N96" s="57">
        <f>' WIP '!R96</f>
        <v>0</v>
      </c>
      <c r="O96" s="58">
        <v>100</v>
      </c>
      <c r="P96" s="59">
        <f t="shared" si="99"/>
        <v>400</v>
      </c>
      <c r="Q96" s="57">
        <f>' WIP '!V96</f>
        <v>0</v>
      </c>
      <c r="R96" s="58">
        <v>0</v>
      </c>
      <c r="S96" s="59">
        <f t="shared" si="100"/>
        <v>400</v>
      </c>
      <c r="T96" s="57">
        <f>' WIP '!Z96</f>
        <v>0</v>
      </c>
      <c r="U96" s="58">
        <v>0</v>
      </c>
      <c r="V96" s="59">
        <f t="shared" si="101"/>
        <v>400</v>
      </c>
      <c r="W96" s="57">
        <f>' WIP '!AD96</f>
        <v>0</v>
      </c>
      <c r="X96" s="58">
        <v>0</v>
      </c>
      <c r="Y96" s="59">
        <f t="shared" si="102"/>
        <v>400</v>
      </c>
      <c r="Z96" s="57">
        <f>' WIP '!AH96</f>
        <v>0</v>
      </c>
      <c r="AA96" s="58">
        <v>0</v>
      </c>
      <c r="AB96" s="59">
        <f t="shared" si="103"/>
        <v>400</v>
      </c>
      <c r="AC96" s="57">
        <f>' WIP '!AL96</f>
        <v>0</v>
      </c>
      <c r="AD96" s="58">
        <v>0</v>
      </c>
      <c r="AE96" s="59">
        <f t="shared" si="104"/>
        <v>400</v>
      </c>
      <c r="AF96" s="57">
        <f>' WIP '!AP96</f>
        <v>0</v>
      </c>
      <c r="AG96" s="114">
        <v>0</v>
      </c>
      <c r="AH96" s="59">
        <f t="shared" si="105"/>
        <v>400</v>
      </c>
      <c r="AI96" s="57">
        <f>' WIP '!AT96</f>
        <v>0</v>
      </c>
      <c r="AJ96" s="58">
        <v>0</v>
      </c>
      <c r="AK96" s="59">
        <f t="shared" si="106"/>
        <v>400</v>
      </c>
      <c r="AL96" s="57">
        <f>' WIP '!AX96</f>
        <v>0</v>
      </c>
      <c r="AM96" s="58"/>
      <c r="AN96" s="59">
        <f t="shared" si="107"/>
        <v>400</v>
      </c>
      <c r="AO96" s="57">
        <f>' WIP '!BB96</f>
        <v>0</v>
      </c>
      <c r="AP96" s="58">
        <v>0</v>
      </c>
      <c r="AQ96" s="59">
        <f t="shared" si="108"/>
        <v>400</v>
      </c>
      <c r="AR96" s="57">
        <f>' WIP '!BF96</f>
        <v>0</v>
      </c>
      <c r="AS96" s="58">
        <v>0</v>
      </c>
      <c r="AT96" s="59">
        <f t="shared" si="109"/>
        <v>400</v>
      </c>
      <c r="AU96" s="57">
        <f>' WIP '!BJ96</f>
        <v>0</v>
      </c>
      <c r="AV96" s="58">
        <v>0</v>
      </c>
      <c r="AW96" s="59">
        <f t="shared" si="110"/>
        <v>400</v>
      </c>
      <c r="AX96" s="57">
        <f>' WIP '!BN96</f>
        <v>0</v>
      </c>
      <c r="AY96" s="58">
        <v>0</v>
      </c>
      <c r="AZ96" s="59">
        <f t="shared" si="111"/>
        <v>400</v>
      </c>
      <c r="BA96" s="57">
        <f>' WIP '!BR96</f>
        <v>0</v>
      </c>
      <c r="BB96" s="58">
        <v>0</v>
      </c>
      <c r="BC96" s="59">
        <f t="shared" si="112"/>
        <v>400</v>
      </c>
      <c r="BD96" s="57">
        <f>' WIP '!BV96</f>
        <v>0</v>
      </c>
      <c r="BE96" s="58">
        <v>0</v>
      </c>
      <c r="BF96" s="59">
        <f t="shared" si="113"/>
        <v>400</v>
      </c>
      <c r="BG96" s="57">
        <f>' WIP '!BZ96</f>
        <v>0</v>
      </c>
      <c r="BH96" s="58"/>
      <c r="BI96" s="59">
        <f t="shared" si="114"/>
        <v>400</v>
      </c>
      <c r="BJ96" s="57">
        <f>' WIP '!CD96</f>
        <v>0</v>
      </c>
      <c r="BK96" s="58">
        <v>0</v>
      </c>
      <c r="BL96" s="59">
        <f t="shared" si="115"/>
        <v>400</v>
      </c>
      <c r="BM96" s="57">
        <f>' WIP '!CH96</f>
        <v>0</v>
      </c>
      <c r="BN96" s="58">
        <v>0</v>
      </c>
      <c r="BO96" s="59">
        <f t="shared" si="116"/>
        <v>400</v>
      </c>
      <c r="BP96" s="57">
        <f>' WIP '!CL96</f>
        <v>0</v>
      </c>
      <c r="BQ96" s="58">
        <v>100</v>
      </c>
      <c r="BR96" s="59">
        <f t="shared" si="117"/>
        <v>300</v>
      </c>
      <c r="BS96" s="57">
        <f>' WIP '!CP96</f>
        <v>0</v>
      </c>
      <c r="BT96" s="58">
        <v>0</v>
      </c>
      <c r="BU96" s="59">
        <f t="shared" si="118"/>
        <v>300</v>
      </c>
      <c r="BV96" s="57">
        <f>' WIP '!CT96</f>
        <v>0</v>
      </c>
      <c r="BW96" s="28">
        <v>0</v>
      </c>
      <c r="BX96" s="59">
        <f t="shared" si="119"/>
        <v>300</v>
      </c>
      <c r="BY96" s="57">
        <f>' WIP '!CX96</f>
        <v>0</v>
      </c>
      <c r="BZ96" s="58">
        <v>0</v>
      </c>
      <c r="CA96" s="59">
        <f t="shared" si="120"/>
        <v>300</v>
      </c>
      <c r="CB96" s="57">
        <f>' WIP '!DB96</f>
        <v>0</v>
      </c>
      <c r="CC96" s="58">
        <v>0</v>
      </c>
      <c r="CD96" s="59">
        <f t="shared" si="121"/>
        <v>300</v>
      </c>
      <c r="CE96" s="57">
        <f>' WIP '!DF96</f>
        <v>0</v>
      </c>
      <c r="CF96" s="58">
        <v>0</v>
      </c>
      <c r="CG96" s="59">
        <f t="shared" si="122"/>
        <v>300</v>
      </c>
      <c r="CH96" s="57">
        <f>' WIP '!DJ96</f>
        <v>0</v>
      </c>
      <c r="CI96" s="58">
        <v>100</v>
      </c>
      <c r="CJ96" s="59">
        <f t="shared" si="123"/>
        <v>200</v>
      </c>
      <c r="CK96" s="57">
        <f>' WIP '!DN96</f>
        <v>0</v>
      </c>
      <c r="CL96" s="58">
        <v>0</v>
      </c>
      <c r="CM96" s="59">
        <f t="shared" si="124"/>
        <v>200</v>
      </c>
      <c r="CN96" s="57">
        <f>' WIP '!DR96</f>
        <v>0</v>
      </c>
      <c r="CO96" s="57"/>
      <c r="CP96" s="59">
        <f t="shared" si="125"/>
        <v>200</v>
      </c>
      <c r="CQ96" s="57">
        <f>' WIP '!DV96</f>
        <v>0</v>
      </c>
      <c r="CR96" s="58"/>
      <c r="CS96" s="59">
        <f t="shared" si="126"/>
        <v>200</v>
      </c>
      <c r="CT96" s="31">
        <f t="shared" si="127"/>
        <v>500</v>
      </c>
      <c r="CU96" s="4">
        <f t="shared" si="128"/>
        <v>300</v>
      </c>
      <c r="CV96" s="5">
        <f>D96*'MASTER SHEET'!D96</f>
        <v>6675</v>
      </c>
      <c r="CW96" s="5">
        <f>G96*'MASTER SHEET'!D96</f>
        <v>6675</v>
      </c>
      <c r="CX96" s="5">
        <f>J96*'MASTER SHEET'!D96</f>
        <v>6675</v>
      </c>
      <c r="CY96" s="5">
        <f>M96*'MASTER SHEET'!D96</f>
        <v>6675</v>
      </c>
      <c r="CZ96" s="5">
        <f>P96*'MASTER SHEET'!D96</f>
        <v>5340</v>
      </c>
      <c r="DA96" s="5">
        <f>S96*'MASTER SHEET'!D96</f>
        <v>5340</v>
      </c>
      <c r="DB96" s="5">
        <f>V96*'MASTER SHEET'!D96</f>
        <v>5340</v>
      </c>
      <c r="DC96" s="5">
        <f>Y96*'MASTER SHEET'!D96</f>
        <v>5340</v>
      </c>
      <c r="DD96" s="5">
        <f>AB96*'MASTER SHEET'!D96</f>
        <v>5340</v>
      </c>
      <c r="DE96" s="5">
        <f>AE96*'MASTER SHEET'!D96</f>
        <v>5340</v>
      </c>
      <c r="DF96" s="5">
        <f>AH96*'MASTER SHEET'!D96</f>
        <v>5340</v>
      </c>
      <c r="DG96" s="5">
        <f>AK96*'MASTER SHEET'!D96</f>
        <v>5340</v>
      </c>
      <c r="DH96" s="5">
        <f>AN96*'MASTER SHEET'!D96</f>
        <v>5340</v>
      </c>
      <c r="DI96" s="5">
        <f>AQ96*'MASTER SHEET'!D96</f>
        <v>5340</v>
      </c>
      <c r="DJ96" s="5">
        <f>AT96*'MASTER SHEET'!D96</f>
        <v>5340</v>
      </c>
      <c r="DK96" s="5">
        <f>AW96*'MASTER SHEET'!D96</f>
        <v>5340</v>
      </c>
      <c r="DL96" s="5">
        <f>AZ96*'MASTER SHEET'!D96</f>
        <v>5340</v>
      </c>
      <c r="DM96" s="5">
        <f>BC96*'MASTER SHEET'!D96</f>
        <v>5340</v>
      </c>
      <c r="DN96" s="5">
        <f>BF96*'MASTER SHEET'!D96</f>
        <v>5340</v>
      </c>
      <c r="DO96" s="5">
        <f>BI96*'MASTER SHEET'!D96</f>
        <v>5340</v>
      </c>
      <c r="DP96" s="5">
        <f>BL96*'MASTER SHEET'!D96</f>
        <v>5340</v>
      </c>
      <c r="DQ96" s="5">
        <f>BO96*'MASTER SHEET'!D96</f>
        <v>5340</v>
      </c>
      <c r="DR96" s="5">
        <f>BR96*'MASTER SHEET'!D96</f>
        <v>4005</v>
      </c>
      <c r="DS96" s="5">
        <f>BU96*'MASTER SHEET'!D96</f>
        <v>4005</v>
      </c>
      <c r="DT96" s="5">
        <f>BX96*'MASTER SHEET'!D96</f>
        <v>4005</v>
      </c>
      <c r="DU96" s="5">
        <f>CA96*'MASTER SHEET'!D96</f>
        <v>4005</v>
      </c>
      <c r="DV96" s="5">
        <f>CD96*'MASTER SHEET'!D96</f>
        <v>4005</v>
      </c>
      <c r="DW96" s="5">
        <f>CG96*'MASTER SHEET'!D96</f>
        <v>4005</v>
      </c>
      <c r="DX96" s="5">
        <f>CJ96*'MASTER SHEET'!D96</f>
        <v>2670</v>
      </c>
      <c r="DY96" s="5">
        <f>CM96*'MASTER SHEET'!D96</f>
        <v>2670</v>
      </c>
      <c r="DZ96" s="5">
        <f>CP96*'MASTER SHEET'!D96</f>
        <v>2670</v>
      </c>
      <c r="EA96" s="5">
        <f>CS96*'MASTER SHEET'!D96</f>
        <v>2670</v>
      </c>
      <c r="EB96" s="143">
        <f>VLOOKUP($C96,'[1]GREEN LEV.₹'!$I$2:$K$54,3,0)</f>
        <v>600</v>
      </c>
    </row>
    <row r="97" spans="1:132" ht="15.75" x14ac:dyDescent="0.25">
      <c r="A97" s="25">
        <f>'MASTER SHEET'!A97</f>
        <v>95</v>
      </c>
      <c r="B97" s="26" t="str">
        <f>'MASTER SHEET'!B97</f>
        <v>PRECLEANER, PLASTIC</v>
      </c>
      <c r="C97" s="27">
        <f>'MASTER SHEET'!C97</f>
        <v>5024345</v>
      </c>
      <c r="D97" s="56">
        <v>70</v>
      </c>
      <c r="E97" s="57">
        <f>' WIP '!F97</f>
        <v>0</v>
      </c>
      <c r="F97" s="58">
        <v>0</v>
      </c>
      <c r="G97" s="59">
        <f t="shared" si="96"/>
        <v>70</v>
      </c>
      <c r="H97" s="57">
        <f>' WIP '!J97</f>
        <v>0</v>
      </c>
      <c r="I97" s="58">
        <v>0</v>
      </c>
      <c r="J97" s="59">
        <f t="shared" si="97"/>
        <v>70</v>
      </c>
      <c r="K97" s="57">
        <f>' WIP '!N97</f>
        <v>0</v>
      </c>
      <c r="L97" s="58"/>
      <c r="M97" s="59">
        <f t="shared" si="98"/>
        <v>70</v>
      </c>
      <c r="N97" s="57">
        <f>' WIP '!R97</f>
        <v>0</v>
      </c>
      <c r="O97" s="58">
        <v>0</v>
      </c>
      <c r="P97" s="59">
        <f t="shared" si="99"/>
        <v>70</v>
      </c>
      <c r="Q97" s="57">
        <f>' WIP '!V97</f>
        <v>0</v>
      </c>
      <c r="R97" s="58">
        <v>0</v>
      </c>
      <c r="S97" s="59">
        <f t="shared" si="100"/>
        <v>70</v>
      </c>
      <c r="T97" s="57">
        <f>' WIP '!Z97</f>
        <v>0</v>
      </c>
      <c r="U97" s="58">
        <v>0</v>
      </c>
      <c r="V97" s="59">
        <f t="shared" si="101"/>
        <v>70</v>
      </c>
      <c r="W97" s="57">
        <f>' WIP '!AD97</f>
        <v>0</v>
      </c>
      <c r="X97" s="58">
        <v>0</v>
      </c>
      <c r="Y97" s="59">
        <f t="shared" si="102"/>
        <v>70</v>
      </c>
      <c r="Z97" s="57">
        <f>' WIP '!AH97</f>
        <v>0</v>
      </c>
      <c r="AA97" s="58">
        <v>0</v>
      </c>
      <c r="AB97" s="59">
        <f t="shared" si="103"/>
        <v>70</v>
      </c>
      <c r="AC97" s="57">
        <f>' WIP '!AL97</f>
        <v>0</v>
      </c>
      <c r="AD97" s="58">
        <v>0</v>
      </c>
      <c r="AE97" s="59">
        <f t="shared" si="104"/>
        <v>70</v>
      </c>
      <c r="AF97" s="57">
        <f>' WIP '!AP97</f>
        <v>0</v>
      </c>
      <c r="AG97" s="114">
        <v>0</v>
      </c>
      <c r="AH97" s="59">
        <f t="shared" si="105"/>
        <v>70</v>
      </c>
      <c r="AI97" s="57">
        <f>' WIP '!AT97</f>
        <v>0</v>
      </c>
      <c r="AJ97" s="58">
        <v>0</v>
      </c>
      <c r="AK97" s="59">
        <f t="shared" si="106"/>
        <v>70</v>
      </c>
      <c r="AL97" s="57">
        <f>' WIP '!AX97</f>
        <v>0</v>
      </c>
      <c r="AM97" s="58"/>
      <c r="AN97" s="59">
        <f t="shared" si="107"/>
        <v>70</v>
      </c>
      <c r="AO97" s="57">
        <f>' WIP '!BB97</f>
        <v>0</v>
      </c>
      <c r="AP97" s="58">
        <v>0</v>
      </c>
      <c r="AQ97" s="59">
        <f t="shared" si="108"/>
        <v>70</v>
      </c>
      <c r="AR97" s="57">
        <f>' WIP '!BF97</f>
        <v>0</v>
      </c>
      <c r="AS97" s="58">
        <v>0</v>
      </c>
      <c r="AT97" s="59">
        <f t="shared" si="109"/>
        <v>70</v>
      </c>
      <c r="AU97" s="57">
        <f>' WIP '!BJ97</f>
        <v>0</v>
      </c>
      <c r="AV97" s="58">
        <v>0</v>
      </c>
      <c r="AW97" s="59">
        <f t="shared" si="110"/>
        <v>70</v>
      </c>
      <c r="AX97" s="57">
        <f>' WIP '!BN97</f>
        <v>0</v>
      </c>
      <c r="AY97" s="58">
        <v>0</v>
      </c>
      <c r="AZ97" s="59">
        <f t="shared" si="111"/>
        <v>70</v>
      </c>
      <c r="BA97" s="57">
        <f>' WIP '!BR97</f>
        <v>0</v>
      </c>
      <c r="BB97" s="58">
        <v>0</v>
      </c>
      <c r="BC97" s="59">
        <f t="shared" si="112"/>
        <v>70</v>
      </c>
      <c r="BD97" s="57">
        <f>' WIP '!BV97</f>
        <v>0</v>
      </c>
      <c r="BE97" s="58">
        <v>0</v>
      </c>
      <c r="BF97" s="59">
        <f t="shared" si="113"/>
        <v>70</v>
      </c>
      <c r="BG97" s="57">
        <f>' WIP '!BZ97</f>
        <v>0</v>
      </c>
      <c r="BH97" s="58"/>
      <c r="BI97" s="59">
        <f t="shared" si="114"/>
        <v>70</v>
      </c>
      <c r="BJ97" s="57">
        <f>' WIP '!CD97</f>
        <v>0</v>
      </c>
      <c r="BK97" s="58">
        <v>0</v>
      </c>
      <c r="BL97" s="59">
        <f t="shared" si="115"/>
        <v>70</v>
      </c>
      <c r="BM97" s="57">
        <f>' WIP '!CH97</f>
        <v>0</v>
      </c>
      <c r="BN97" s="58">
        <v>0</v>
      </c>
      <c r="BO97" s="59">
        <f t="shared" si="116"/>
        <v>70</v>
      </c>
      <c r="BP97" s="57">
        <f>' WIP '!CL97</f>
        <v>20</v>
      </c>
      <c r="BQ97" s="58">
        <v>20</v>
      </c>
      <c r="BR97" s="59">
        <f t="shared" si="117"/>
        <v>70</v>
      </c>
      <c r="BS97" s="57">
        <f>' WIP '!CP97</f>
        <v>0</v>
      </c>
      <c r="BT97" s="58">
        <v>0</v>
      </c>
      <c r="BU97" s="59">
        <f t="shared" si="118"/>
        <v>70</v>
      </c>
      <c r="BV97" s="57">
        <f>' WIP '!CT97</f>
        <v>0</v>
      </c>
      <c r="BW97" s="28">
        <v>0</v>
      </c>
      <c r="BX97" s="59">
        <f t="shared" si="119"/>
        <v>70</v>
      </c>
      <c r="BY97" s="57">
        <f>' WIP '!CX97</f>
        <v>0</v>
      </c>
      <c r="BZ97" s="58">
        <v>0</v>
      </c>
      <c r="CA97" s="59">
        <f t="shared" si="120"/>
        <v>70</v>
      </c>
      <c r="CB97" s="57">
        <f>' WIP '!DB97</f>
        <v>0</v>
      </c>
      <c r="CC97" s="58">
        <v>0</v>
      </c>
      <c r="CD97" s="59">
        <f t="shared" si="121"/>
        <v>70</v>
      </c>
      <c r="CE97" s="57">
        <f>' WIP '!DF97</f>
        <v>0</v>
      </c>
      <c r="CF97" s="58">
        <v>0</v>
      </c>
      <c r="CG97" s="59">
        <f t="shared" si="122"/>
        <v>70</v>
      </c>
      <c r="CH97" s="57">
        <f>' WIP '!DJ97</f>
        <v>30</v>
      </c>
      <c r="CI97" s="58">
        <v>30</v>
      </c>
      <c r="CJ97" s="59">
        <f t="shared" si="123"/>
        <v>70</v>
      </c>
      <c r="CK97" s="57">
        <f>' WIP '!DN97</f>
        <v>18</v>
      </c>
      <c r="CL97" s="58">
        <v>0</v>
      </c>
      <c r="CM97" s="59">
        <f t="shared" si="124"/>
        <v>88</v>
      </c>
      <c r="CN97" s="57">
        <f>' WIP '!DR97</f>
        <v>0</v>
      </c>
      <c r="CO97" s="57"/>
      <c r="CP97" s="59">
        <f t="shared" si="125"/>
        <v>88</v>
      </c>
      <c r="CQ97" s="57">
        <f>' WIP '!DV97</f>
        <v>0</v>
      </c>
      <c r="CR97" s="58"/>
      <c r="CS97" s="59">
        <f t="shared" si="126"/>
        <v>88</v>
      </c>
      <c r="CT97" s="31">
        <f t="shared" si="127"/>
        <v>138</v>
      </c>
      <c r="CU97" s="4">
        <f t="shared" si="128"/>
        <v>50</v>
      </c>
      <c r="CV97" s="5">
        <f>D97*'MASTER SHEET'!D97</f>
        <v>34631.800000000003</v>
      </c>
      <c r="CW97" s="5">
        <f>G97*'MASTER SHEET'!D97</f>
        <v>34631.800000000003</v>
      </c>
      <c r="CX97" s="5">
        <f>J97*'MASTER SHEET'!D97</f>
        <v>34631.800000000003</v>
      </c>
      <c r="CY97" s="5">
        <f>M97*'MASTER SHEET'!D97</f>
        <v>34631.800000000003</v>
      </c>
      <c r="CZ97" s="5">
        <f>P97*'MASTER SHEET'!D97</f>
        <v>34631.800000000003</v>
      </c>
      <c r="DA97" s="5">
        <f>S97*'MASTER SHEET'!D97</f>
        <v>34631.800000000003</v>
      </c>
      <c r="DB97" s="5">
        <f>V97*'MASTER SHEET'!D97</f>
        <v>34631.800000000003</v>
      </c>
      <c r="DC97" s="5">
        <f>Y97*'MASTER SHEET'!D97</f>
        <v>34631.800000000003</v>
      </c>
      <c r="DD97" s="5">
        <f>AB97*'MASTER SHEET'!D97</f>
        <v>34631.800000000003</v>
      </c>
      <c r="DE97" s="5">
        <f>AE97*'MASTER SHEET'!D97</f>
        <v>34631.800000000003</v>
      </c>
      <c r="DF97" s="5">
        <f>AH97*'MASTER SHEET'!D97</f>
        <v>34631.800000000003</v>
      </c>
      <c r="DG97" s="5">
        <f>AK97*'MASTER SHEET'!D97</f>
        <v>34631.800000000003</v>
      </c>
      <c r="DH97" s="5">
        <f>AN97*'MASTER SHEET'!D97</f>
        <v>34631.800000000003</v>
      </c>
      <c r="DI97" s="5">
        <f>AQ97*'MASTER SHEET'!D97</f>
        <v>34631.800000000003</v>
      </c>
      <c r="DJ97" s="5">
        <f>AT97*'MASTER SHEET'!D97</f>
        <v>34631.800000000003</v>
      </c>
      <c r="DK97" s="5">
        <f>AW97*'MASTER SHEET'!D97</f>
        <v>34631.800000000003</v>
      </c>
      <c r="DL97" s="5">
        <f>AZ97*'MASTER SHEET'!D97</f>
        <v>34631.800000000003</v>
      </c>
      <c r="DM97" s="5">
        <f>BC97*'MASTER SHEET'!D97</f>
        <v>34631.800000000003</v>
      </c>
      <c r="DN97" s="5">
        <f>BF97*'MASTER SHEET'!D97</f>
        <v>34631.800000000003</v>
      </c>
      <c r="DO97" s="5">
        <f>BI97*'MASTER SHEET'!D97</f>
        <v>34631.800000000003</v>
      </c>
      <c r="DP97" s="5">
        <f>BL97*'MASTER SHEET'!D97</f>
        <v>34631.800000000003</v>
      </c>
      <c r="DQ97" s="5">
        <f>BO97*'MASTER SHEET'!D97</f>
        <v>34631.800000000003</v>
      </c>
      <c r="DR97" s="5">
        <f>BR97*'MASTER SHEET'!D97</f>
        <v>34631.800000000003</v>
      </c>
      <c r="DS97" s="5">
        <f>BU97*'MASTER SHEET'!D97</f>
        <v>34631.800000000003</v>
      </c>
      <c r="DT97" s="5">
        <f>BX97*'MASTER SHEET'!D97</f>
        <v>34631.800000000003</v>
      </c>
      <c r="DU97" s="5">
        <f>CA97*'MASTER SHEET'!D97</f>
        <v>34631.800000000003</v>
      </c>
      <c r="DV97" s="5">
        <f>CD97*'MASTER SHEET'!D97</f>
        <v>34631.800000000003</v>
      </c>
      <c r="DW97" s="5">
        <f>CG97*'MASTER SHEET'!D97</f>
        <v>34631.800000000003</v>
      </c>
      <c r="DX97" s="5">
        <f>CJ97*'MASTER SHEET'!D97</f>
        <v>34631.800000000003</v>
      </c>
      <c r="DY97" s="5">
        <f>CM97*'MASTER SHEET'!D97</f>
        <v>43537.120000000003</v>
      </c>
      <c r="DZ97" s="5">
        <f>CP97*'MASTER SHEET'!D97</f>
        <v>43537.120000000003</v>
      </c>
      <c r="EA97" s="5">
        <f>CS97*'MASTER SHEET'!D97</f>
        <v>43537.120000000003</v>
      </c>
      <c r="EB97" s="143">
        <f>VLOOKUP($C97,'[1]GREEN LEV.₹'!$I$2:$K$54,3,0)</f>
        <v>100</v>
      </c>
    </row>
    <row r="98" spans="1:132" ht="15.75" x14ac:dyDescent="0.25">
      <c r="A98" s="25">
        <f>'MASTER SHEET'!A98</f>
        <v>96</v>
      </c>
      <c r="B98" s="26" t="str">
        <f>'MASTER SHEET'!B98</f>
        <v>PIPE PLASTIC</v>
      </c>
      <c r="C98" s="27">
        <f>'MASTER SHEET'!C98</f>
        <v>5025752</v>
      </c>
      <c r="D98" s="56">
        <v>0</v>
      </c>
      <c r="E98" s="57">
        <f>' WIP '!F98</f>
        <v>0</v>
      </c>
      <c r="F98" s="58">
        <v>0</v>
      </c>
      <c r="G98" s="59">
        <f t="shared" si="96"/>
        <v>0</v>
      </c>
      <c r="H98" s="57">
        <f>' WIP '!J98</f>
        <v>0</v>
      </c>
      <c r="I98" s="58">
        <v>0</v>
      </c>
      <c r="J98" s="59">
        <f t="shared" si="97"/>
        <v>0</v>
      </c>
      <c r="K98" s="57">
        <f>' WIP '!N98</f>
        <v>0</v>
      </c>
      <c r="L98" s="58"/>
      <c r="M98" s="59">
        <f t="shared" si="98"/>
        <v>0</v>
      </c>
      <c r="N98" s="57">
        <f>' WIP '!R98</f>
        <v>0</v>
      </c>
      <c r="O98" s="58">
        <v>0</v>
      </c>
      <c r="P98" s="59">
        <f t="shared" si="99"/>
        <v>0</v>
      </c>
      <c r="Q98" s="57">
        <f>' WIP '!V98</f>
        <v>40</v>
      </c>
      <c r="R98" s="58">
        <v>40</v>
      </c>
      <c r="S98" s="59">
        <f t="shared" si="100"/>
        <v>0</v>
      </c>
      <c r="T98" s="57">
        <f>' WIP '!Z98</f>
        <v>40</v>
      </c>
      <c r="U98" s="58">
        <v>40</v>
      </c>
      <c r="V98" s="59">
        <f t="shared" si="101"/>
        <v>0</v>
      </c>
      <c r="W98" s="57">
        <f>' WIP '!AD98</f>
        <v>0</v>
      </c>
      <c r="X98" s="58">
        <v>0</v>
      </c>
      <c r="Y98" s="59">
        <f t="shared" si="102"/>
        <v>0</v>
      </c>
      <c r="Z98" s="57">
        <f>' WIP '!AH98</f>
        <v>0</v>
      </c>
      <c r="AA98" s="58">
        <v>0</v>
      </c>
      <c r="AB98" s="59">
        <f t="shared" si="103"/>
        <v>0</v>
      </c>
      <c r="AC98" s="57">
        <f>' WIP '!AL98</f>
        <v>0</v>
      </c>
      <c r="AD98" s="58">
        <v>0</v>
      </c>
      <c r="AE98" s="59">
        <f t="shared" si="104"/>
        <v>0</v>
      </c>
      <c r="AF98" s="57">
        <f>' WIP '!AP98</f>
        <v>46</v>
      </c>
      <c r="AG98" s="114">
        <v>20</v>
      </c>
      <c r="AH98" s="59">
        <f t="shared" si="105"/>
        <v>26</v>
      </c>
      <c r="AI98" s="57">
        <f>' WIP '!AT98</f>
        <v>0</v>
      </c>
      <c r="AJ98" s="58">
        <v>0</v>
      </c>
      <c r="AK98" s="59">
        <f t="shared" si="106"/>
        <v>26</v>
      </c>
      <c r="AL98" s="57">
        <f>' WIP '!AX98</f>
        <v>0</v>
      </c>
      <c r="AM98" s="58"/>
      <c r="AN98" s="59">
        <f t="shared" si="107"/>
        <v>26</v>
      </c>
      <c r="AO98" s="57">
        <f>' WIP '!BB98</f>
        <v>0</v>
      </c>
      <c r="AP98" s="58">
        <v>0</v>
      </c>
      <c r="AQ98" s="59">
        <f t="shared" si="108"/>
        <v>26</v>
      </c>
      <c r="AR98" s="57">
        <f>' WIP '!BF98</f>
        <v>0</v>
      </c>
      <c r="AS98" s="58">
        <v>0</v>
      </c>
      <c r="AT98" s="59">
        <f t="shared" si="109"/>
        <v>26</v>
      </c>
      <c r="AU98" s="57">
        <f>' WIP '!BJ98</f>
        <v>0</v>
      </c>
      <c r="AV98" s="58">
        <v>20</v>
      </c>
      <c r="AW98" s="59">
        <f t="shared" si="110"/>
        <v>6</v>
      </c>
      <c r="AX98" s="57">
        <f>' WIP '!BN98</f>
        <v>0</v>
      </c>
      <c r="AY98" s="58">
        <v>0</v>
      </c>
      <c r="AZ98" s="59">
        <f t="shared" si="111"/>
        <v>6</v>
      </c>
      <c r="BA98" s="57">
        <f>' WIP '!BR98</f>
        <v>0</v>
      </c>
      <c r="BB98" s="58">
        <v>0</v>
      </c>
      <c r="BC98" s="59">
        <f t="shared" si="112"/>
        <v>6</v>
      </c>
      <c r="BD98" s="57">
        <f>' WIP '!BV98</f>
        <v>0</v>
      </c>
      <c r="BE98" s="58">
        <v>0</v>
      </c>
      <c r="BF98" s="59">
        <f t="shared" si="113"/>
        <v>6</v>
      </c>
      <c r="BG98" s="57">
        <f>' WIP '!BZ98</f>
        <v>0</v>
      </c>
      <c r="BH98" s="58"/>
      <c r="BI98" s="59">
        <f t="shared" si="114"/>
        <v>6</v>
      </c>
      <c r="BJ98" s="57">
        <f>' WIP '!CD98</f>
        <v>0</v>
      </c>
      <c r="BK98" s="58">
        <v>0</v>
      </c>
      <c r="BL98" s="59">
        <f t="shared" si="115"/>
        <v>6</v>
      </c>
      <c r="BM98" s="57">
        <f>' WIP '!CH98</f>
        <v>0</v>
      </c>
      <c r="BN98" s="58">
        <v>0</v>
      </c>
      <c r="BO98" s="59">
        <f t="shared" si="116"/>
        <v>6</v>
      </c>
      <c r="BP98" s="57">
        <f>' WIP '!CL98</f>
        <v>0</v>
      </c>
      <c r="BQ98" s="58"/>
      <c r="BR98" s="59">
        <f t="shared" si="117"/>
        <v>6</v>
      </c>
      <c r="BS98" s="57">
        <f>' WIP '!CP98</f>
        <v>0</v>
      </c>
      <c r="BT98" s="58">
        <v>0</v>
      </c>
      <c r="BU98" s="59">
        <f t="shared" si="118"/>
        <v>6</v>
      </c>
      <c r="BV98" s="57">
        <f>' WIP '!CT98</f>
        <v>0</v>
      </c>
      <c r="BW98" s="28">
        <v>0</v>
      </c>
      <c r="BX98" s="59">
        <f t="shared" si="119"/>
        <v>6</v>
      </c>
      <c r="BY98" s="57">
        <f>' WIP '!CX98</f>
        <v>0</v>
      </c>
      <c r="BZ98" s="58">
        <v>0</v>
      </c>
      <c r="CA98" s="59">
        <f t="shared" si="120"/>
        <v>6</v>
      </c>
      <c r="CB98" s="57">
        <f>' WIP '!DB98</f>
        <v>0</v>
      </c>
      <c r="CC98" s="58">
        <v>0</v>
      </c>
      <c r="CD98" s="59">
        <f t="shared" si="121"/>
        <v>6</v>
      </c>
      <c r="CE98" s="57">
        <f>' WIP '!DF98</f>
        <v>0</v>
      </c>
      <c r="CF98" s="58">
        <v>0</v>
      </c>
      <c r="CG98" s="59">
        <f t="shared" si="122"/>
        <v>6</v>
      </c>
      <c r="CH98" s="57">
        <f>' WIP '!DJ98</f>
        <v>0</v>
      </c>
      <c r="CI98" s="58">
        <v>0</v>
      </c>
      <c r="CJ98" s="59">
        <f t="shared" si="123"/>
        <v>6</v>
      </c>
      <c r="CK98" s="57">
        <f>' WIP '!DN98</f>
        <v>0</v>
      </c>
      <c r="CL98" s="58">
        <v>0</v>
      </c>
      <c r="CM98" s="59">
        <f t="shared" si="124"/>
        <v>6</v>
      </c>
      <c r="CN98" s="57">
        <f>' WIP '!DR98</f>
        <v>0</v>
      </c>
      <c r="CO98" s="57"/>
      <c r="CP98" s="59">
        <f t="shared" si="125"/>
        <v>6</v>
      </c>
      <c r="CQ98" s="57">
        <f>' WIP '!DV98</f>
        <v>0</v>
      </c>
      <c r="CR98" s="58"/>
      <c r="CS98" s="59">
        <f t="shared" si="126"/>
        <v>6</v>
      </c>
      <c r="CT98" s="31">
        <f t="shared" si="127"/>
        <v>126</v>
      </c>
      <c r="CU98" s="4">
        <f t="shared" si="128"/>
        <v>120</v>
      </c>
      <c r="CV98" s="5">
        <f>D98*'MASTER SHEET'!D98</f>
        <v>0</v>
      </c>
      <c r="CW98" s="5">
        <f>G98*'MASTER SHEET'!D98</f>
        <v>0</v>
      </c>
      <c r="CX98" s="5">
        <f>J98*'MASTER SHEET'!D98</f>
        <v>0</v>
      </c>
      <c r="CY98" s="5">
        <f>M98*'MASTER SHEET'!D98</f>
        <v>0</v>
      </c>
      <c r="CZ98" s="5">
        <f>P98*'MASTER SHEET'!D98</f>
        <v>0</v>
      </c>
      <c r="DA98" s="5">
        <f>S98*'MASTER SHEET'!D98</f>
        <v>0</v>
      </c>
      <c r="DB98" s="5">
        <f>V98*'MASTER SHEET'!D98</f>
        <v>0</v>
      </c>
      <c r="DC98" s="5">
        <f>Y98*'MASTER SHEET'!D98</f>
        <v>0</v>
      </c>
      <c r="DD98" s="5">
        <f>AB98*'MASTER SHEET'!D98</f>
        <v>0</v>
      </c>
      <c r="DE98" s="5">
        <f>AE98*'MASTER SHEET'!D98</f>
        <v>0</v>
      </c>
      <c r="DF98" s="5">
        <f>AH98*'MASTER SHEET'!D98</f>
        <v>1429.74</v>
      </c>
      <c r="DG98" s="5">
        <f>AK98*'MASTER SHEET'!D98</f>
        <v>1429.74</v>
      </c>
      <c r="DH98" s="5">
        <f>AN98*'MASTER SHEET'!D98</f>
        <v>1429.74</v>
      </c>
      <c r="DI98" s="5">
        <f>AQ98*'MASTER SHEET'!D98</f>
        <v>1429.74</v>
      </c>
      <c r="DJ98" s="5">
        <f>AT98*'MASTER SHEET'!D98</f>
        <v>1429.74</v>
      </c>
      <c r="DK98" s="5">
        <f>AW98*'MASTER SHEET'!D98</f>
        <v>329.94</v>
      </c>
      <c r="DL98" s="5">
        <f>AZ98*'MASTER SHEET'!D98</f>
        <v>329.94</v>
      </c>
      <c r="DM98" s="5">
        <f>BC98*'MASTER SHEET'!D98</f>
        <v>329.94</v>
      </c>
      <c r="DN98" s="5">
        <f>BF98*'MASTER SHEET'!D98</f>
        <v>329.94</v>
      </c>
      <c r="DO98" s="5">
        <f>BI98*'MASTER SHEET'!D98</f>
        <v>329.94</v>
      </c>
      <c r="DP98" s="5">
        <f>BL98*'MASTER SHEET'!D98</f>
        <v>329.94</v>
      </c>
      <c r="DQ98" s="5">
        <f>BO98*'MASTER SHEET'!D98</f>
        <v>329.94</v>
      </c>
      <c r="DR98" s="5">
        <f>BR98*'MASTER SHEET'!D98</f>
        <v>329.94</v>
      </c>
      <c r="DS98" s="5">
        <f>BU98*'MASTER SHEET'!D98</f>
        <v>329.94</v>
      </c>
      <c r="DT98" s="5">
        <f>BX98*'MASTER SHEET'!D98</f>
        <v>329.94</v>
      </c>
      <c r="DU98" s="5">
        <f>CA98*'MASTER SHEET'!D98</f>
        <v>329.94</v>
      </c>
      <c r="DV98" s="5">
        <f>CD98*'MASTER SHEET'!D98</f>
        <v>329.94</v>
      </c>
      <c r="DW98" s="5">
        <f>CG98*'MASTER SHEET'!D98</f>
        <v>329.94</v>
      </c>
      <c r="DX98" s="5">
        <f>CJ98*'MASTER SHEET'!D98</f>
        <v>329.94</v>
      </c>
      <c r="DY98" s="5">
        <f>CM98*'MASTER SHEET'!D98</f>
        <v>329.94</v>
      </c>
      <c r="DZ98" s="5">
        <f>CP98*'MASTER SHEET'!D98</f>
        <v>329.94</v>
      </c>
      <c r="EA98" s="5">
        <f>CS98*'MASTER SHEET'!D98</f>
        <v>329.94</v>
      </c>
      <c r="EB98" s="143">
        <f>VLOOKUP($C98,'[1]GREEN LEV.₹'!$I$2:$K$54,3,0)</f>
        <v>100</v>
      </c>
    </row>
    <row r="99" spans="1:132" ht="15.75" x14ac:dyDescent="0.25">
      <c r="A99" s="25">
        <f>'MASTER SHEET'!A99</f>
        <v>97</v>
      </c>
      <c r="B99" s="26" t="str">
        <f>'MASTER SHEET'!B99</f>
        <v>FIN ASSEMBLY</v>
      </c>
      <c r="C99" s="27">
        <f>'MASTER SHEET'!C99</f>
        <v>5025607</v>
      </c>
      <c r="D99" s="56">
        <v>0</v>
      </c>
      <c r="E99" s="57">
        <f>' WIP '!F99</f>
        <v>0</v>
      </c>
      <c r="F99" s="58">
        <v>0</v>
      </c>
      <c r="G99" s="59">
        <f t="shared" ref="G99:G102" si="129">D99+E99-F99</f>
        <v>0</v>
      </c>
      <c r="H99" s="57">
        <f>' WIP '!J99</f>
        <v>0</v>
      </c>
      <c r="I99" s="58">
        <v>0</v>
      </c>
      <c r="J99" s="59">
        <f t="shared" ref="J99:J102" si="130">G99+H99-I99</f>
        <v>0</v>
      </c>
      <c r="K99" s="57">
        <f>' WIP '!N99</f>
        <v>0</v>
      </c>
      <c r="L99" s="58"/>
      <c r="M99" s="59">
        <f t="shared" ref="M99:M102" si="131">J99+K99-L99</f>
        <v>0</v>
      </c>
      <c r="N99" s="57">
        <f>' WIP '!R99</f>
        <v>0</v>
      </c>
      <c r="O99" s="58">
        <v>0</v>
      </c>
      <c r="P99" s="59">
        <f t="shared" ref="P99:P102" si="132">M99+N99-O99</f>
        <v>0</v>
      </c>
      <c r="Q99" s="57">
        <f>' WIP '!V99</f>
        <v>0</v>
      </c>
      <c r="R99" s="58">
        <v>0</v>
      </c>
      <c r="S99" s="59">
        <f t="shared" ref="S99:S102" si="133">P99+Q99-R99</f>
        <v>0</v>
      </c>
      <c r="T99" s="57">
        <f>' WIP '!Z99</f>
        <v>9</v>
      </c>
      <c r="U99" s="58">
        <v>9</v>
      </c>
      <c r="V99" s="59">
        <f t="shared" ref="V99:V102" si="134">S99+T99-U99</f>
        <v>0</v>
      </c>
      <c r="W99" s="57">
        <f>' WIP '!AD99</f>
        <v>0</v>
      </c>
      <c r="X99" s="58">
        <v>0</v>
      </c>
      <c r="Y99" s="59">
        <f t="shared" ref="Y99:Y102" si="135">V99+W99-X99</f>
        <v>0</v>
      </c>
      <c r="Z99" s="57">
        <f>' WIP '!AH99</f>
        <v>0</v>
      </c>
      <c r="AA99" s="58">
        <v>0</v>
      </c>
      <c r="AB99" s="59">
        <f t="shared" ref="AB99:AB102" si="136">Y99+Z99-AA99</f>
        <v>0</v>
      </c>
      <c r="AC99" s="57">
        <f>' WIP '!AL99</f>
        <v>0</v>
      </c>
      <c r="AD99" s="58">
        <v>0</v>
      </c>
      <c r="AE99" s="59">
        <f t="shared" ref="AE99:AE102" si="137">AB99+AC99-AD99</f>
        <v>0</v>
      </c>
      <c r="AF99" s="57">
        <f>' WIP '!AP99</f>
        <v>0</v>
      </c>
      <c r="AG99" s="114">
        <v>0</v>
      </c>
      <c r="AH99" s="59">
        <f t="shared" ref="AH99:AH102" si="138">AE99+AF99-AG99</f>
        <v>0</v>
      </c>
      <c r="AI99" s="57">
        <f>' WIP '!AT99</f>
        <v>0</v>
      </c>
      <c r="AJ99" s="58">
        <v>0</v>
      </c>
      <c r="AK99" s="59">
        <f t="shared" ref="AK99:AK102" si="139">AH99+AI99-AJ99</f>
        <v>0</v>
      </c>
      <c r="AL99" s="57">
        <f>' WIP '!AX99</f>
        <v>0</v>
      </c>
      <c r="AM99" s="58"/>
      <c r="AN99" s="59">
        <f t="shared" ref="AN99:AN102" si="140">AK99+AL99-AM99</f>
        <v>0</v>
      </c>
      <c r="AO99" s="57">
        <f>' WIP '!BB99</f>
        <v>0</v>
      </c>
      <c r="AP99" s="58">
        <v>0</v>
      </c>
      <c r="AQ99" s="59">
        <f t="shared" ref="AQ99:AQ102" si="141">AN99+AO99-AP99</f>
        <v>0</v>
      </c>
      <c r="AR99" s="57">
        <f>' WIP '!BF99</f>
        <v>0</v>
      </c>
      <c r="AS99" s="58">
        <v>0</v>
      </c>
      <c r="AT99" s="59">
        <f t="shared" ref="AT99:AT102" si="142">AQ99+AR99-AS99</f>
        <v>0</v>
      </c>
      <c r="AU99" s="57">
        <f>' WIP '!BJ99</f>
        <v>0</v>
      </c>
      <c r="AV99" s="58">
        <v>0</v>
      </c>
      <c r="AW99" s="59">
        <f t="shared" ref="AW99:AW102" si="143">AT99+AU99-AV99</f>
        <v>0</v>
      </c>
      <c r="AX99" s="57">
        <f>' WIP '!BN99</f>
        <v>0</v>
      </c>
      <c r="AY99" s="58">
        <v>0</v>
      </c>
      <c r="AZ99" s="59">
        <f t="shared" ref="AZ99:AZ102" si="144">AW99+AX99-AY99</f>
        <v>0</v>
      </c>
      <c r="BA99" s="57">
        <f>' WIP '!BR99</f>
        <v>0</v>
      </c>
      <c r="BB99" s="58">
        <v>0</v>
      </c>
      <c r="BC99" s="59">
        <f t="shared" ref="BC99:BC102" si="145">AZ99+BA99-BB99</f>
        <v>0</v>
      </c>
      <c r="BD99" s="57">
        <f>' WIP '!BV99</f>
        <v>0</v>
      </c>
      <c r="BE99" s="58">
        <v>0</v>
      </c>
      <c r="BF99" s="59">
        <f t="shared" ref="BF99:BF102" si="146">BC99+BD99-BE99</f>
        <v>0</v>
      </c>
      <c r="BG99" s="57">
        <f>' WIP '!BZ99</f>
        <v>0</v>
      </c>
      <c r="BH99" s="58"/>
      <c r="BI99" s="59">
        <f t="shared" ref="BI99:BI102" si="147">BF99+BG99-BH99</f>
        <v>0</v>
      </c>
      <c r="BJ99" s="57">
        <f>' WIP '!CD99</f>
        <v>0</v>
      </c>
      <c r="BK99" s="58">
        <v>0</v>
      </c>
      <c r="BL99" s="59">
        <f t="shared" ref="BL99:BL102" si="148">BI99+BJ99-BK99</f>
        <v>0</v>
      </c>
      <c r="BM99" s="57">
        <f>' WIP '!CH99</f>
        <v>0</v>
      </c>
      <c r="BN99" s="58">
        <v>0</v>
      </c>
      <c r="BO99" s="59">
        <f t="shared" ref="BO99:BO102" si="149">BL99+BM99-BN99</f>
        <v>0</v>
      </c>
      <c r="BP99" s="57">
        <f>' WIP '!CL99</f>
        <v>0</v>
      </c>
      <c r="BQ99" s="58"/>
      <c r="BR99" s="59">
        <f t="shared" ref="BR99:BR102" si="150">BO99+BP99-BQ99</f>
        <v>0</v>
      </c>
      <c r="BS99" s="57">
        <f>' WIP '!CP99</f>
        <v>0</v>
      </c>
      <c r="BT99" s="58">
        <v>0</v>
      </c>
      <c r="BU99" s="59">
        <f t="shared" ref="BU99:BU102" si="151">BR99+BS99-BT99</f>
        <v>0</v>
      </c>
      <c r="BV99" s="57">
        <f>' WIP '!CT99</f>
        <v>0</v>
      </c>
      <c r="BW99" s="28">
        <v>0</v>
      </c>
      <c r="BX99" s="59">
        <f t="shared" ref="BX99:BX102" si="152">BU99+BV99-BW99</f>
        <v>0</v>
      </c>
      <c r="BY99" s="57">
        <f>' WIP '!CX99</f>
        <v>0</v>
      </c>
      <c r="BZ99" s="58">
        <v>0</v>
      </c>
      <c r="CA99" s="59">
        <f t="shared" ref="CA99:CA102" si="153">BX99+BY99-BZ99</f>
        <v>0</v>
      </c>
      <c r="CB99" s="57">
        <f>' WIP '!DB99</f>
        <v>0</v>
      </c>
      <c r="CC99" s="58">
        <v>0</v>
      </c>
      <c r="CD99" s="59">
        <f t="shared" ref="CD99:CD102" si="154">CA99+CB99-CC99</f>
        <v>0</v>
      </c>
      <c r="CE99" s="57">
        <f>' WIP '!DF99</f>
        <v>0</v>
      </c>
      <c r="CF99" s="58">
        <v>0</v>
      </c>
      <c r="CG99" s="59">
        <f t="shared" ref="CG99:CG102" si="155">CD99+CE99-CF99</f>
        <v>0</v>
      </c>
      <c r="CH99" s="57">
        <f>' WIP '!DJ99</f>
        <v>0</v>
      </c>
      <c r="CI99" s="58">
        <v>0</v>
      </c>
      <c r="CJ99" s="59">
        <f t="shared" ref="CJ99:CJ102" si="156">CG99+CH99-CI99</f>
        <v>0</v>
      </c>
      <c r="CK99" s="57">
        <f>' WIP '!DN99</f>
        <v>0</v>
      </c>
      <c r="CL99" s="58">
        <v>0</v>
      </c>
      <c r="CM99" s="59">
        <f t="shared" ref="CM99:CM102" si="157">CJ99+CK99-CL99</f>
        <v>0</v>
      </c>
      <c r="CN99" s="57">
        <f>' WIP '!DR99</f>
        <v>0</v>
      </c>
      <c r="CO99" s="57"/>
      <c r="CP99" s="59">
        <f t="shared" ref="CP99:CP102" si="158">CM99+CN99-CO99</f>
        <v>0</v>
      </c>
      <c r="CQ99" s="57">
        <f>' WIP '!DV99</f>
        <v>0</v>
      </c>
      <c r="CR99" s="58"/>
      <c r="CS99" s="59">
        <f t="shared" ref="CS99:CS108" si="159">CP99+CQ99-CR99</f>
        <v>0</v>
      </c>
      <c r="CT99" s="31">
        <f t="shared" ref="CT99:CT130" si="160">D99+E99+H99+K99+N99+Q99+T99+W99+Z99+AC99+AF99+AI99+AL99+AO99+AR99+AU99+AX99+BA99+BD99+BG99+BJ99+BM99+BP99+BS99+BV99+BY99+CB99+CE99+CH99+CK99+CN99+CQ99</f>
        <v>9</v>
      </c>
      <c r="CU99" s="4">
        <f t="shared" ref="CU99:CU130" si="161">F99+I99+L99+O99+R99+U99+X99+AA99+AD99+AG99+AJ99+AM99+AP99+AS99+AV99+AY99+BB99+BE99+BH99+BK99+BN99+BQ99+BT99+BW99+BZ99+CC99+CF99+CI99+CL99+CO99+CR99</f>
        <v>9</v>
      </c>
      <c r="CV99" s="5">
        <f>D99*'MASTER SHEET'!D99</f>
        <v>0</v>
      </c>
      <c r="CW99" s="5">
        <f>G99*'MASTER SHEET'!D99</f>
        <v>0</v>
      </c>
      <c r="CX99" s="5">
        <f>J99*'MASTER SHEET'!D99</f>
        <v>0</v>
      </c>
      <c r="CY99" s="5">
        <f>M99*'MASTER SHEET'!D99</f>
        <v>0</v>
      </c>
      <c r="CZ99" s="5">
        <f>P99*'MASTER SHEET'!D99</f>
        <v>0</v>
      </c>
      <c r="DA99" s="5">
        <f>S99*'MASTER SHEET'!D99</f>
        <v>0</v>
      </c>
      <c r="DB99" s="5">
        <f>V99*'MASTER SHEET'!D99</f>
        <v>0</v>
      </c>
      <c r="DC99" s="5">
        <f>Y99*'MASTER SHEET'!D99</f>
        <v>0</v>
      </c>
      <c r="DD99" s="5">
        <f>AB99*'MASTER SHEET'!D99</f>
        <v>0</v>
      </c>
      <c r="DE99" s="5">
        <f>AE99*'MASTER SHEET'!D99</f>
        <v>0</v>
      </c>
      <c r="DF99" s="5">
        <f>AH99*'MASTER SHEET'!D99</f>
        <v>0</v>
      </c>
      <c r="DG99" s="5">
        <f>AK99*'MASTER SHEET'!D99</f>
        <v>0</v>
      </c>
      <c r="DH99" s="5">
        <f>AN99*'MASTER SHEET'!D99</f>
        <v>0</v>
      </c>
      <c r="DI99" s="5">
        <f>AQ99*'MASTER SHEET'!D99</f>
        <v>0</v>
      </c>
      <c r="DJ99" s="5">
        <f>AT99*'MASTER SHEET'!D99</f>
        <v>0</v>
      </c>
      <c r="DK99" s="5">
        <f>AW99*'MASTER SHEET'!D99</f>
        <v>0</v>
      </c>
      <c r="DL99" s="5">
        <f>AZ99*'MASTER SHEET'!D99</f>
        <v>0</v>
      </c>
      <c r="DM99" s="5">
        <f>BC99*'MASTER SHEET'!D99</f>
        <v>0</v>
      </c>
      <c r="DN99" s="5">
        <f>BF99*'MASTER SHEET'!D99</f>
        <v>0</v>
      </c>
      <c r="DO99" s="5">
        <f>BI99*'MASTER SHEET'!D99</f>
        <v>0</v>
      </c>
      <c r="DP99" s="5">
        <f>BL99*'MASTER SHEET'!D99</f>
        <v>0</v>
      </c>
      <c r="DQ99" s="5">
        <f>BO99*'MASTER SHEET'!D99</f>
        <v>0</v>
      </c>
      <c r="DR99" s="5">
        <f>BR99*'MASTER SHEET'!D99</f>
        <v>0</v>
      </c>
      <c r="DS99" s="5">
        <f>BU99*'MASTER SHEET'!D99</f>
        <v>0</v>
      </c>
      <c r="DT99" s="5">
        <f>BX99*'MASTER SHEET'!D99</f>
        <v>0</v>
      </c>
      <c r="DU99" s="5">
        <f>CA99*'MASTER SHEET'!D99</f>
        <v>0</v>
      </c>
      <c r="DV99" s="5">
        <f>CD99*'MASTER SHEET'!D99</f>
        <v>0</v>
      </c>
      <c r="DW99" s="5">
        <f>CG99*'MASTER SHEET'!D99</f>
        <v>0</v>
      </c>
      <c r="DX99" s="5">
        <f>CJ99*'MASTER SHEET'!D99</f>
        <v>0</v>
      </c>
      <c r="DY99" s="5">
        <f>CM99*'MASTER SHEET'!D99</f>
        <v>0</v>
      </c>
      <c r="DZ99" s="5">
        <f>CP99*'MASTER SHEET'!D99</f>
        <v>0</v>
      </c>
      <c r="EA99" s="5">
        <f>CS99*'MASTER SHEET'!D99</f>
        <v>0</v>
      </c>
      <c r="EB99" s="143">
        <f>VLOOKUP($C99,'[1]GREEN LEV.₹'!$I$2:$K$54,3,0)</f>
        <v>100</v>
      </c>
    </row>
    <row r="100" spans="1:132" ht="15.75" x14ac:dyDescent="0.25">
      <c r="A100" s="25">
        <f>'MASTER SHEET'!A100</f>
        <v>98</v>
      </c>
      <c r="B100" s="26" t="str">
        <f>'MASTER SHEET'!B100</f>
        <v>PIPE PLASTIC</v>
      </c>
      <c r="C100" s="27">
        <f>'MASTER SHEET'!C100</f>
        <v>5029411</v>
      </c>
      <c r="D100" s="56">
        <v>90</v>
      </c>
      <c r="E100" s="57">
        <f>' WIP '!F100</f>
        <v>0</v>
      </c>
      <c r="F100" s="58">
        <v>0</v>
      </c>
      <c r="G100" s="59">
        <f t="shared" si="129"/>
        <v>90</v>
      </c>
      <c r="H100" s="57">
        <f>' WIP '!J100</f>
        <v>0</v>
      </c>
      <c r="I100" s="58">
        <v>0</v>
      </c>
      <c r="J100" s="59">
        <f t="shared" si="130"/>
        <v>90</v>
      </c>
      <c r="K100" s="57">
        <f>' WIP '!N100</f>
        <v>0</v>
      </c>
      <c r="L100" s="58"/>
      <c r="M100" s="59">
        <f t="shared" si="131"/>
        <v>90</v>
      </c>
      <c r="N100" s="57">
        <f>' WIP '!R100</f>
        <v>0</v>
      </c>
      <c r="O100" s="58">
        <v>20</v>
      </c>
      <c r="P100" s="59">
        <f t="shared" si="132"/>
        <v>70</v>
      </c>
      <c r="Q100" s="57">
        <f>' WIP '!V100</f>
        <v>0</v>
      </c>
      <c r="R100" s="58">
        <v>0</v>
      </c>
      <c r="S100" s="59">
        <f t="shared" si="133"/>
        <v>70</v>
      </c>
      <c r="T100" s="57">
        <f>' WIP '!Z100</f>
        <v>0</v>
      </c>
      <c r="U100" s="58">
        <v>60</v>
      </c>
      <c r="V100" s="59">
        <f t="shared" si="134"/>
        <v>10</v>
      </c>
      <c r="W100" s="57">
        <f>' WIP '!AD100</f>
        <v>0</v>
      </c>
      <c r="X100" s="58">
        <v>0</v>
      </c>
      <c r="Y100" s="59">
        <f t="shared" si="135"/>
        <v>10</v>
      </c>
      <c r="Z100" s="57">
        <f>' WIP '!AH100</f>
        <v>0</v>
      </c>
      <c r="AA100" s="58">
        <v>0</v>
      </c>
      <c r="AB100" s="59">
        <f t="shared" si="136"/>
        <v>10</v>
      </c>
      <c r="AC100" s="57">
        <f>' WIP '!AL100</f>
        <v>0</v>
      </c>
      <c r="AD100" s="58">
        <v>0</v>
      </c>
      <c r="AE100" s="59">
        <f t="shared" si="137"/>
        <v>10</v>
      </c>
      <c r="AF100" s="57">
        <f>' WIP '!AP100</f>
        <v>0</v>
      </c>
      <c r="AG100" s="114">
        <v>0</v>
      </c>
      <c r="AH100" s="59">
        <f t="shared" si="138"/>
        <v>10</v>
      </c>
      <c r="AI100" s="57">
        <f>' WIP '!AT100</f>
        <v>0</v>
      </c>
      <c r="AJ100" s="58">
        <v>0</v>
      </c>
      <c r="AK100" s="59">
        <f t="shared" si="139"/>
        <v>10</v>
      </c>
      <c r="AL100" s="57">
        <f>' WIP '!AX100</f>
        <v>0</v>
      </c>
      <c r="AM100" s="58"/>
      <c r="AN100" s="59">
        <f t="shared" si="140"/>
        <v>10</v>
      </c>
      <c r="AO100" s="57">
        <f>' WIP '!BB100</f>
        <v>0</v>
      </c>
      <c r="AP100" s="58">
        <v>0</v>
      </c>
      <c r="AQ100" s="59">
        <f t="shared" si="141"/>
        <v>10</v>
      </c>
      <c r="AR100" s="57">
        <f>' WIP '!BF100</f>
        <v>0</v>
      </c>
      <c r="AS100" s="58">
        <v>0</v>
      </c>
      <c r="AT100" s="59">
        <f t="shared" si="142"/>
        <v>10</v>
      </c>
      <c r="AU100" s="57">
        <f>' WIP '!BJ100</f>
        <v>50</v>
      </c>
      <c r="AV100" s="58">
        <v>60</v>
      </c>
      <c r="AW100" s="59">
        <f t="shared" si="143"/>
        <v>0</v>
      </c>
      <c r="AX100" s="57">
        <f>' WIP '!BN100</f>
        <v>0</v>
      </c>
      <c r="AY100" s="58">
        <v>0</v>
      </c>
      <c r="AZ100" s="59">
        <f t="shared" si="144"/>
        <v>0</v>
      </c>
      <c r="BA100" s="57">
        <f>' WIP '!BR100</f>
        <v>0</v>
      </c>
      <c r="BB100" s="58">
        <v>0</v>
      </c>
      <c r="BC100" s="59">
        <f t="shared" si="145"/>
        <v>0</v>
      </c>
      <c r="BD100" s="57">
        <f>' WIP '!BV100</f>
        <v>0</v>
      </c>
      <c r="BE100" s="58">
        <v>0</v>
      </c>
      <c r="BF100" s="59">
        <f t="shared" si="146"/>
        <v>0</v>
      </c>
      <c r="BG100" s="57">
        <f>' WIP '!BZ100</f>
        <v>0</v>
      </c>
      <c r="BH100" s="58"/>
      <c r="BI100" s="59">
        <f t="shared" si="147"/>
        <v>0</v>
      </c>
      <c r="BJ100" s="57">
        <f>' WIP '!CD100</f>
        <v>0</v>
      </c>
      <c r="BK100" s="58">
        <v>0</v>
      </c>
      <c r="BL100" s="59">
        <f t="shared" si="148"/>
        <v>0</v>
      </c>
      <c r="BM100" s="57">
        <f>' WIP '!CH100</f>
        <v>0</v>
      </c>
      <c r="BN100" s="58">
        <v>0</v>
      </c>
      <c r="BO100" s="59">
        <f t="shared" si="149"/>
        <v>0</v>
      </c>
      <c r="BP100" s="57">
        <f>' WIP '!CL100</f>
        <v>0</v>
      </c>
      <c r="BQ100" s="58"/>
      <c r="BR100" s="59">
        <f t="shared" si="150"/>
        <v>0</v>
      </c>
      <c r="BS100" s="57">
        <f>' WIP '!CP100</f>
        <v>0</v>
      </c>
      <c r="BT100" s="58">
        <v>0</v>
      </c>
      <c r="BU100" s="59">
        <f t="shared" si="151"/>
        <v>0</v>
      </c>
      <c r="BV100" s="57">
        <f>' WIP '!CT100</f>
        <v>0</v>
      </c>
      <c r="BW100" s="28">
        <v>0</v>
      </c>
      <c r="BX100" s="59">
        <f t="shared" si="152"/>
        <v>0</v>
      </c>
      <c r="BY100" s="57">
        <f>' WIP '!CX100</f>
        <v>210</v>
      </c>
      <c r="BZ100" s="58">
        <v>100</v>
      </c>
      <c r="CA100" s="59">
        <f t="shared" si="153"/>
        <v>110</v>
      </c>
      <c r="CB100" s="57">
        <f>' WIP '!DB100</f>
        <v>0</v>
      </c>
      <c r="CC100" s="58">
        <v>0</v>
      </c>
      <c r="CD100" s="59">
        <f t="shared" si="154"/>
        <v>110</v>
      </c>
      <c r="CE100" s="57">
        <f>' WIP '!DF100</f>
        <v>0</v>
      </c>
      <c r="CF100" s="58">
        <v>0</v>
      </c>
      <c r="CG100" s="59">
        <f t="shared" si="155"/>
        <v>110</v>
      </c>
      <c r="CH100" s="57">
        <f>' WIP '!DJ100</f>
        <v>0</v>
      </c>
      <c r="CI100" s="58">
        <v>110</v>
      </c>
      <c r="CJ100" s="59">
        <f t="shared" si="156"/>
        <v>0</v>
      </c>
      <c r="CK100" s="57">
        <f>' WIP '!DN100</f>
        <v>0</v>
      </c>
      <c r="CL100" s="58">
        <v>0</v>
      </c>
      <c r="CM100" s="59">
        <f t="shared" si="157"/>
        <v>0</v>
      </c>
      <c r="CN100" s="57">
        <f>' WIP '!DR100</f>
        <v>0</v>
      </c>
      <c r="CO100" s="57"/>
      <c r="CP100" s="59">
        <f t="shared" si="158"/>
        <v>0</v>
      </c>
      <c r="CQ100" s="57">
        <f>' WIP '!DV100</f>
        <v>0</v>
      </c>
      <c r="CR100" s="58"/>
      <c r="CS100" s="59">
        <f t="shared" si="159"/>
        <v>0</v>
      </c>
      <c r="CT100" s="31">
        <f t="shared" si="160"/>
        <v>350</v>
      </c>
      <c r="CU100" s="4">
        <f t="shared" si="161"/>
        <v>350</v>
      </c>
      <c r="CV100" s="5">
        <f>D100*'MASTER SHEET'!D100</f>
        <v>9591.2999999999993</v>
      </c>
      <c r="CW100" s="5">
        <f>G100*'MASTER SHEET'!D100</f>
        <v>9591.2999999999993</v>
      </c>
      <c r="CX100" s="5">
        <f>J100*'MASTER SHEET'!D100</f>
        <v>9591.2999999999993</v>
      </c>
      <c r="CY100" s="5">
        <f>M100*'MASTER SHEET'!D100</f>
        <v>9591.2999999999993</v>
      </c>
      <c r="CZ100" s="5">
        <f>P100*'MASTER SHEET'!D100</f>
        <v>7459.9</v>
      </c>
      <c r="DA100" s="5">
        <f>S100*'MASTER SHEET'!D100</f>
        <v>7459.9</v>
      </c>
      <c r="DB100" s="5">
        <f>V100*'MASTER SHEET'!D100</f>
        <v>1065.6999999999998</v>
      </c>
      <c r="DC100" s="5">
        <f>Y100*'MASTER SHEET'!D100</f>
        <v>1065.6999999999998</v>
      </c>
      <c r="DD100" s="5">
        <f>AB100*'MASTER SHEET'!D100</f>
        <v>1065.6999999999998</v>
      </c>
      <c r="DE100" s="5">
        <f>AE100*'MASTER SHEET'!D100</f>
        <v>1065.6999999999998</v>
      </c>
      <c r="DF100" s="5">
        <f>AH100*'MASTER SHEET'!D100</f>
        <v>1065.6999999999998</v>
      </c>
      <c r="DG100" s="5">
        <f>AK100*'MASTER SHEET'!D100</f>
        <v>1065.6999999999998</v>
      </c>
      <c r="DH100" s="5">
        <f>AN100*'MASTER SHEET'!D100</f>
        <v>1065.6999999999998</v>
      </c>
      <c r="DI100" s="5">
        <f>AQ100*'MASTER SHEET'!D100</f>
        <v>1065.6999999999998</v>
      </c>
      <c r="DJ100" s="5">
        <f>AT100*'MASTER SHEET'!D100</f>
        <v>1065.6999999999998</v>
      </c>
      <c r="DK100" s="5">
        <f>AW100*'MASTER SHEET'!D100</f>
        <v>0</v>
      </c>
      <c r="DL100" s="5">
        <f>AZ100*'MASTER SHEET'!D100</f>
        <v>0</v>
      </c>
      <c r="DM100" s="5">
        <f>BC100*'MASTER SHEET'!D100</f>
        <v>0</v>
      </c>
      <c r="DN100" s="5">
        <f>BF100*'MASTER SHEET'!D100</f>
        <v>0</v>
      </c>
      <c r="DO100" s="5">
        <f>BI100*'MASTER SHEET'!D100</f>
        <v>0</v>
      </c>
      <c r="DP100" s="5">
        <f>BL100*'MASTER SHEET'!D100</f>
        <v>0</v>
      </c>
      <c r="DQ100" s="5">
        <f>BO100*'MASTER SHEET'!D100</f>
        <v>0</v>
      </c>
      <c r="DR100" s="5">
        <f>BR100*'MASTER SHEET'!D100</f>
        <v>0</v>
      </c>
      <c r="DS100" s="5">
        <f>BU100*'MASTER SHEET'!D100</f>
        <v>0</v>
      </c>
      <c r="DT100" s="5">
        <f>BX100*'MASTER SHEET'!D100</f>
        <v>0</v>
      </c>
      <c r="DU100" s="5">
        <f>CA100*'MASTER SHEET'!D100</f>
        <v>11722.699999999999</v>
      </c>
      <c r="DV100" s="5">
        <f>CD100*'MASTER SHEET'!D100</f>
        <v>11722.699999999999</v>
      </c>
      <c r="DW100" s="5">
        <f>CG100*'MASTER SHEET'!D100</f>
        <v>11722.699999999999</v>
      </c>
      <c r="DX100" s="5">
        <f>CJ100*'MASTER SHEET'!D100</f>
        <v>0</v>
      </c>
      <c r="DY100" s="5">
        <f>CM100*'MASTER SHEET'!D100</f>
        <v>0</v>
      </c>
      <c r="DZ100" s="5">
        <f>CP100*'MASTER SHEET'!D100</f>
        <v>0</v>
      </c>
      <c r="EA100" s="5">
        <f>CS100*'MASTER SHEET'!D100</f>
        <v>0</v>
      </c>
      <c r="EB100" s="143">
        <f>VLOOKUP($C100,'[1]GREEN LEV.₹'!$I$2:$K$54,3,0)</f>
        <v>100</v>
      </c>
    </row>
    <row r="101" spans="1:132" ht="15.75" x14ac:dyDescent="0.25">
      <c r="A101" s="25">
        <f>'MASTER SHEET'!A101</f>
        <v>99</v>
      </c>
      <c r="B101" s="26" t="str">
        <f>'MASTER SHEET'!B101</f>
        <v>RING PLASTIC</v>
      </c>
      <c r="C101" s="27">
        <f>'MASTER SHEET'!C101</f>
        <v>5031751</v>
      </c>
      <c r="D101" s="56">
        <v>3150</v>
      </c>
      <c r="E101" s="57">
        <f>' WIP '!F101</f>
        <v>0</v>
      </c>
      <c r="F101" s="58">
        <v>0</v>
      </c>
      <c r="G101" s="59">
        <f t="shared" si="129"/>
        <v>3150</v>
      </c>
      <c r="H101" s="57">
        <f>' WIP '!J101</f>
        <v>0</v>
      </c>
      <c r="I101" s="58">
        <v>550</v>
      </c>
      <c r="J101" s="59">
        <f t="shared" si="130"/>
        <v>2600</v>
      </c>
      <c r="K101" s="57">
        <f>' WIP '!N101</f>
        <v>0</v>
      </c>
      <c r="L101" s="58"/>
      <c r="M101" s="59">
        <f t="shared" si="131"/>
        <v>2600</v>
      </c>
      <c r="N101" s="57">
        <f>' WIP '!R101</f>
        <v>0</v>
      </c>
      <c r="O101" s="58">
        <v>0</v>
      </c>
      <c r="P101" s="59">
        <f t="shared" si="132"/>
        <v>2600</v>
      </c>
      <c r="Q101" s="57">
        <f>' WIP '!V101</f>
        <v>0</v>
      </c>
      <c r="R101" s="58">
        <v>0</v>
      </c>
      <c r="S101" s="59">
        <f t="shared" si="133"/>
        <v>2600</v>
      </c>
      <c r="T101" s="57">
        <f>' WIP '!Z101</f>
        <v>0</v>
      </c>
      <c r="U101" s="58">
        <v>50</v>
      </c>
      <c r="V101" s="59">
        <f t="shared" si="134"/>
        <v>2550</v>
      </c>
      <c r="W101" s="57">
        <f>' WIP '!AD101</f>
        <v>0</v>
      </c>
      <c r="X101" s="58">
        <v>0</v>
      </c>
      <c r="Y101" s="59">
        <f t="shared" si="135"/>
        <v>2550</v>
      </c>
      <c r="Z101" s="57">
        <f>' WIP '!AH101</f>
        <v>0</v>
      </c>
      <c r="AA101" s="58">
        <v>0</v>
      </c>
      <c r="AB101" s="59">
        <f t="shared" si="136"/>
        <v>2550</v>
      </c>
      <c r="AC101" s="57">
        <f>' WIP '!AL101</f>
        <v>0</v>
      </c>
      <c r="AD101" s="58">
        <v>300</v>
      </c>
      <c r="AE101" s="59">
        <f t="shared" si="137"/>
        <v>2250</v>
      </c>
      <c r="AF101" s="57">
        <f>' WIP '!AP101</f>
        <v>0</v>
      </c>
      <c r="AG101" s="114">
        <v>100</v>
      </c>
      <c r="AH101" s="59">
        <f t="shared" si="138"/>
        <v>2150</v>
      </c>
      <c r="AI101" s="57">
        <f>' WIP '!AT101</f>
        <v>0</v>
      </c>
      <c r="AJ101" s="58">
        <v>0</v>
      </c>
      <c r="AK101" s="59">
        <f t="shared" si="139"/>
        <v>2150</v>
      </c>
      <c r="AL101" s="57">
        <f>' WIP '!AX101</f>
        <v>0</v>
      </c>
      <c r="AM101" s="58"/>
      <c r="AN101" s="59">
        <f t="shared" si="140"/>
        <v>2150</v>
      </c>
      <c r="AO101" s="57">
        <f>' WIP '!BB101</f>
        <v>0</v>
      </c>
      <c r="AP101" s="58">
        <v>0</v>
      </c>
      <c r="AQ101" s="59">
        <f t="shared" si="141"/>
        <v>2150</v>
      </c>
      <c r="AR101" s="57">
        <f>' WIP '!BF101</f>
        <v>0</v>
      </c>
      <c r="AS101" s="58">
        <v>0</v>
      </c>
      <c r="AT101" s="59">
        <f t="shared" si="142"/>
        <v>2150</v>
      </c>
      <c r="AU101" s="57">
        <f>' WIP '!BJ101</f>
        <v>0</v>
      </c>
      <c r="AV101" s="58">
        <v>300</v>
      </c>
      <c r="AW101" s="59">
        <f t="shared" si="143"/>
        <v>1850</v>
      </c>
      <c r="AX101" s="57">
        <f>' WIP '!BN101</f>
        <v>0</v>
      </c>
      <c r="AY101" s="58">
        <v>0</v>
      </c>
      <c r="AZ101" s="59">
        <f t="shared" si="144"/>
        <v>1850</v>
      </c>
      <c r="BA101" s="57">
        <f>' WIP '!BR101</f>
        <v>0</v>
      </c>
      <c r="BB101" s="58">
        <v>0</v>
      </c>
      <c r="BC101" s="59">
        <f t="shared" si="145"/>
        <v>1850</v>
      </c>
      <c r="BD101" s="57">
        <f>' WIP '!BV101</f>
        <v>0</v>
      </c>
      <c r="BE101" s="58">
        <v>0</v>
      </c>
      <c r="BF101" s="59">
        <f t="shared" si="146"/>
        <v>1850</v>
      </c>
      <c r="BG101" s="57">
        <f>' WIP '!BZ101</f>
        <v>0</v>
      </c>
      <c r="BH101" s="58"/>
      <c r="BI101" s="59">
        <f t="shared" si="147"/>
        <v>1850</v>
      </c>
      <c r="BJ101" s="57">
        <f>' WIP '!CD101</f>
        <v>0</v>
      </c>
      <c r="BK101" s="58">
        <v>0</v>
      </c>
      <c r="BL101" s="59">
        <f t="shared" si="148"/>
        <v>1850</v>
      </c>
      <c r="BM101" s="57">
        <f>' WIP '!CH101</f>
        <v>0</v>
      </c>
      <c r="BN101" s="58">
        <v>0</v>
      </c>
      <c r="BO101" s="59">
        <f t="shared" si="149"/>
        <v>1850</v>
      </c>
      <c r="BP101" s="57">
        <f>' WIP '!CL101</f>
        <v>0</v>
      </c>
      <c r="BQ101" s="58">
        <v>400</v>
      </c>
      <c r="BR101" s="59">
        <f t="shared" si="150"/>
        <v>1450</v>
      </c>
      <c r="BS101" s="57">
        <f>' WIP '!CP101</f>
        <v>0</v>
      </c>
      <c r="BT101" s="58">
        <v>0</v>
      </c>
      <c r="BU101" s="59">
        <f t="shared" si="151"/>
        <v>1450</v>
      </c>
      <c r="BV101" s="57">
        <f>' WIP '!CT101</f>
        <v>0</v>
      </c>
      <c r="BW101" s="28">
        <v>50</v>
      </c>
      <c r="BX101" s="59">
        <f t="shared" si="152"/>
        <v>1400</v>
      </c>
      <c r="BY101" s="57">
        <f>' WIP '!CX101</f>
        <v>0</v>
      </c>
      <c r="BZ101" s="58">
        <v>0</v>
      </c>
      <c r="CA101" s="59">
        <f t="shared" si="153"/>
        <v>1400</v>
      </c>
      <c r="CB101" s="57">
        <f>' WIP '!DB101</f>
        <v>0</v>
      </c>
      <c r="CC101" s="58">
        <v>0</v>
      </c>
      <c r="CD101" s="59">
        <f t="shared" si="154"/>
        <v>1400</v>
      </c>
      <c r="CE101" s="57">
        <f>' WIP '!DF101</f>
        <v>0</v>
      </c>
      <c r="CF101" s="58">
        <v>100</v>
      </c>
      <c r="CG101" s="59">
        <f t="shared" si="155"/>
        <v>1300</v>
      </c>
      <c r="CH101" s="57">
        <f>' WIP '!DJ101</f>
        <v>0</v>
      </c>
      <c r="CI101" s="58">
        <v>150</v>
      </c>
      <c r="CJ101" s="59">
        <f t="shared" si="156"/>
        <v>1150</v>
      </c>
      <c r="CK101" s="57">
        <f>' WIP '!DN101</f>
        <v>0</v>
      </c>
      <c r="CL101" s="58">
        <v>0</v>
      </c>
      <c r="CM101" s="59">
        <f t="shared" si="157"/>
        <v>1150</v>
      </c>
      <c r="CN101" s="57">
        <f>' WIP '!DR101</f>
        <v>0</v>
      </c>
      <c r="CO101" s="57"/>
      <c r="CP101" s="59">
        <f t="shared" si="158"/>
        <v>1150</v>
      </c>
      <c r="CQ101" s="57">
        <f>' WIP '!DV101</f>
        <v>0</v>
      </c>
      <c r="CR101" s="58"/>
      <c r="CS101" s="59">
        <f t="shared" si="159"/>
        <v>1150</v>
      </c>
      <c r="CT101" s="31">
        <f t="shared" si="160"/>
        <v>3150</v>
      </c>
      <c r="CU101" s="4">
        <f t="shared" si="161"/>
        <v>2000</v>
      </c>
      <c r="CV101" s="5">
        <f>D101*'MASTER SHEET'!D101</f>
        <v>7749</v>
      </c>
      <c r="CW101" s="5">
        <f>G101*'MASTER SHEET'!D101</f>
        <v>7749</v>
      </c>
      <c r="CX101" s="5">
        <f>J101*'MASTER SHEET'!D101</f>
        <v>6396</v>
      </c>
      <c r="CY101" s="5">
        <f>M101*'MASTER SHEET'!D101</f>
        <v>6396</v>
      </c>
      <c r="CZ101" s="5">
        <f>P101*'MASTER SHEET'!D101</f>
        <v>6396</v>
      </c>
      <c r="DA101" s="5">
        <f>S101*'MASTER SHEET'!D101</f>
        <v>6396</v>
      </c>
      <c r="DB101" s="5">
        <f>V101*'MASTER SHEET'!D101</f>
        <v>6273</v>
      </c>
      <c r="DC101" s="5">
        <f>Y101*'MASTER SHEET'!D101</f>
        <v>6273</v>
      </c>
      <c r="DD101" s="5">
        <f>AB101*'MASTER SHEET'!D101</f>
        <v>6273</v>
      </c>
      <c r="DE101" s="5">
        <f>AE101*'MASTER SHEET'!D101</f>
        <v>5535</v>
      </c>
      <c r="DF101" s="5">
        <f>AH101*'MASTER SHEET'!D101</f>
        <v>5289</v>
      </c>
      <c r="DG101" s="5">
        <f>AK101*'MASTER SHEET'!D101</f>
        <v>5289</v>
      </c>
      <c r="DH101" s="5">
        <f>AN101*'MASTER SHEET'!D101</f>
        <v>5289</v>
      </c>
      <c r="DI101" s="5">
        <f>AQ101*'MASTER SHEET'!D101</f>
        <v>5289</v>
      </c>
      <c r="DJ101" s="5">
        <f>AT101*'MASTER SHEET'!D101</f>
        <v>5289</v>
      </c>
      <c r="DK101" s="5">
        <f>AW101*'MASTER SHEET'!D101</f>
        <v>4551</v>
      </c>
      <c r="DL101" s="5">
        <f>AZ101*'MASTER SHEET'!D101</f>
        <v>4551</v>
      </c>
      <c r="DM101" s="5">
        <f>BC101*'MASTER SHEET'!D101</f>
        <v>4551</v>
      </c>
      <c r="DN101" s="5">
        <f>BF101*'MASTER SHEET'!D101</f>
        <v>4551</v>
      </c>
      <c r="DO101" s="5">
        <f>BI101*'MASTER SHEET'!D101</f>
        <v>4551</v>
      </c>
      <c r="DP101" s="5">
        <f>BL101*'MASTER SHEET'!D101</f>
        <v>4551</v>
      </c>
      <c r="DQ101" s="5">
        <f>BO101*'MASTER SHEET'!D101</f>
        <v>4551</v>
      </c>
      <c r="DR101" s="5">
        <f>BR101*'MASTER SHEET'!D101</f>
        <v>3567</v>
      </c>
      <c r="DS101" s="5">
        <f>BU101*'MASTER SHEET'!D101</f>
        <v>3567</v>
      </c>
      <c r="DT101" s="5">
        <f>BX101*'MASTER SHEET'!D101</f>
        <v>3444</v>
      </c>
      <c r="DU101" s="5">
        <f>CA101*'MASTER SHEET'!D101</f>
        <v>3444</v>
      </c>
      <c r="DV101" s="5">
        <f>CD101*'MASTER SHEET'!D101</f>
        <v>3444</v>
      </c>
      <c r="DW101" s="5">
        <f>CG101*'MASTER SHEET'!D101</f>
        <v>3198</v>
      </c>
      <c r="DX101" s="5">
        <f>CJ101*'MASTER SHEET'!D101</f>
        <v>2829</v>
      </c>
      <c r="DY101" s="5">
        <f>CM101*'MASTER SHEET'!D101</f>
        <v>2829</v>
      </c>
      <c r="DZ101" s="5">
        <f>CP101*'MASTER SHEET'!D101</f>
        <v>2829</v>
      </c>
      <c r="EA101" s="5">
        <f>CS101*'MASTER SHEET'!D101</f>
        <v>2829</v>
      </c>
      <c r="EB101" s="143">
        <f>VLOOKUP($C101,'[1]GREEN LEV.₹'!$I$2:$K$54,3,0)</f>
        <v>300</v>
      </c>
    </row>
    <row r="102" spans="1:132" ht="15.75" x14ac:dyDescent="0.25">
      <c r="A102" s="25">
        <f>'MASTER SHEET'!A102</f>
        <v>100</v>
      </c>
      <c r="B102" s="26" t="str">
        <f>'MASTER SHEET'!B102</f>
        <v>WIREMESH</v>
      </c>
      <c r="C102" s="27">
        <f>'MASTER SHEET'!C102</f>
        <v>5017139</v>
      </c>
      <c r="D102" s="56">
        <v>720</v>
      </c>
      <c r="E102" s="57">
        <f>' WIP '!F102</f>
        <v>0</v>
      </c>
      <c r="F102" s="58">
        <v>720</v>
      </c>
      <c r="G102" s="59">
        <f t="shared" si="129"/>
        <v>0</v>
      </c>
      <c r="H102" s="57">
        <f>' WIP '!J102</f>
        <v>0</v>
      </c>
      <c r="I102" s="58">
        <v>0</v>
      </c>
      <c r="J102" s="59">
        <f t="shared" si="130"/>
        <v>0</v>
      </c>
      <c r="K102" s="57">
        <f>' WIP '!N102</f>
        <v>0</v>
      </c>
      <c r="L102" s="58"/>
      <c r="M102" s="59">
        <f t="shared" si="131"/>
        <v>0</v>
      </c>
      <c r="N102" s="57">
        <f>' WIP '!R102</f>
        <v>1800</v>
      </c>
      <c r="O102" s="58">
        <v>1800</v>
      </c>
      <c r="P102" s="59">
        <f t="shared" si="132"/>
        <v>0</v>
      </c>
      <c r="Q102" s="57">
        <f>' WIP '!V102</f>
        <v>720</v>
      </c>
      <c r="R102" s="58">
        <v>0</v>
      </c>
      <c r="S102" s="59">
        <f t="shared" si="133"/>
        <v>720</v>
      </c>
      <c r="T102" s="57">
        <f>' WIP '!Z102</f>
        <v>1200</v>
      </c>
      <c r="U102" s="58">
        <v>1560</v>
      </c>
      <c r="V102" s="59">
        <f t="shared" si="134"/>
        <v>360</v>
      </c>
      <c r="W102" s="57">
        <f>' WIP '!AD102</f>
        <v>600</v>
      </c>
      <c r="X102" s="58">
        <v>960</v>
      </c>
      <c r="Y102" s="59">
        <f t="shared" si="135"/>
        <v>0</v>
      </c>
      <c r="Z102" s="57">
        <f>' WIP '!AH102</f>
        <v>0</v>
      </c>
      <c r="AA102" s="58">
        <v>0</v>
      </c>
      <c r="AB102" s="59">
        <f t="shared" si="136"/>
        <v>0</v>
      </c>
      <c r="AC102" s="57">
        <f>' WIP '!AL102</f>
        <v>1440</v>
      </c>
      <c r="AD102" s="58">
        <v>1440</v>
      </c>
      <c r="AE102" s="59">
        <f t="shared" si="137"/>
        <v>0</v>
      </c>
      <c r="AF102" s="57">
        <f>' WIP '!AP102</f>
        <v>0</v>
      </c>
      <c r="AG102" s="114">
        <v>0</v>
      </c>
      <c r="AH102" s="59">
        <f t="shared" si="138"/>
        <v>0</v>
      </c>
      <c r="AI102" s="57">
        <f>' WIP '!AT102</f>
        <v>840</v>
      </c>
      <c r="AJ102" s="58">
        <v>840</v>
      </c>
      <c r="AK102" s="59">
        <f t="shared" si="139"/>
        <v>0</v>
      </c>
      <c r="AL102" s="57">
        <f>' WIP '!AX102</f>
        <v>0</v>
      </c>
      <c r="AM102" s="58"/>
      <c r="AN102" s="59">
        <f t="shared" si="140"/>
        <v>0</v>
      </c>
      <c r="AO102" s="57">
        <f>' WIP '!BB102</f>
        <v>0</v>
      </c>
      <c r="AP102" s="58">
        <v>0</v>
      </c>
      <c r="AQ102" s="59">
        <f t="shared" si="141"/>
        <v>0</v>
      </c>
      <c r="AR102" s="57">
        <f>' WIP '!BF102</f>
        <v>0</v>
      </c>
      <c r="AS102" s="58">
        <v>0</v>
      </c>
      <c r="AT102" s="59">
        <f t="shared" si="142"/>
        <v>0</v>
      </c>
      <c r="AU102" s="57">
        <f>' WIP '!BJ102</f>
        <v>1080</v>
      </c>
      <c r="AV102" s="58">
        <v>1080</v>
      </c>
      <c r="AW102" s="59">
        <f t="shared" si="143"/>
        <v>0</v>
      </c>
      <c r="AX102" s="57">
        <f>' WIP '!BN102</f>
        <v>960</v>
      </c>
      <c r="AY102" s="58">
        <v>720</v>
      </c>
      <c r="AZ102" s="59">
        <f t="shared" si="144"/>
        <v>240</v>
      </c>
      <c r="BA102" s="57">
        <f>' WIP '!BR102</f>
        <v>0</v>
      </c>
      <c r="BB102" s="58">
        <v>120</v>
      </c>
      <c r="BC102" s="59">
        <f t="shared" si="145"/>
        <v>120</v>
      </c>
      <c r="BD102" s="57">
        <f>' WIP '!BV102</f>
        <v>0</v>
      </c>
      <c r="BE102" s="58">
        <v>0</v>
      </c>
      <c r="BF102" s="59">
        <f t="shared" si="146"/>
        <v>120</v>
      </c>
      <c r="BG102" s="57">
        <f>' WIP '!BZ102</f>
        <v>0</v>
      </c>
      <c r="BH102" s="58"/>
      <c r="BI102" s="59">
        <f t="shared" si="147"/>
        <v>120</v>
      </c>
      <c r="BJ102" s="57">
        <f>' WIP '!CD102</f>
        <v>720</v>
      </c>
      <c r="BK102" s="58">
        <v>120</v>
      </c>
      <c r="BL102" s="59">
        <f t="shared" si="148"/>
        <v>720</v>
      </c>
      <c r="BM102" s="57">
        <f>' WIP '!CH102</f>
        <v>0</v>
      </c>
      <c r="BN102" s="58">
        <v>720</v>
      </c>
      <c r="BO102" s="59">
        <f t="shared" si="149"/>
        <v>0</v>
      </c>
      <c r="BP102" s="57">
        <f>' WIP '!CL102</f>
        <v>0</v>
      </c>
      <c r="BQ102" s="58"/>
      <c r="BR102" s="59">
        <f t="shared" si="150"/>
        <v>0</v>
      </c>
      <c r="BS102" s="57">
        <f>' WIP '!CP102</f>
        <v>0</v>
      </c>
      <c r="BT102" s="58">
        <v>0</v>
      </c>
      <c r="BU102" s="59">
        <f t="shared" si="151"/>
        <v>0</v>
      </c>
      <c r="BV102" s="57">
        <f>' WIP '!CT102</f>
        <v>1560</v>
      </c>
      <c r="BW102" s="28">
        <v>1200</v>
      </c>
      <c r="BX102" s="59">
        <f t="shared" si="152"/>
        <v>360</v>
      </c>
      <c r="BY102" s="57">
        <f>' WIP '!CX102</f>
        <v>1080</v>
      </c>
      <c r="BZ102" s="58">
        <v>360</v>
      </c>
      <c r="CA102" s="59">
        <f t="shared" si="153"/>
        <v>1080</v>
      </c>
      <c r="CB102" s="57">
        <f>' WIP '!DB102</f>
        <v>0</v>
      </c>
      <c r="CC102" s="58">
        <v>0</v>
      </c>
      <c r="CD102" s="59">
        <f t="shared" si="154"/>
        <v>1080</v>
      </c>
      <c r="CE102" s="57">
        <f>' WIP '!DF102</f>
        <v>0</v>
      </c>
      <c r="CF102" s="58">
        <v>0</v>
      </c>
      <c r="CG102" s="59">
        <f t="shared" si="155"/>
        <v>1080</v>
      </c>
      <c r="CH102" s="57">
        <f>' WIP '!DJ102</f>
        <v>0</v>
      </c>
      <c r="CI102" s="58">
        <v>1080</v>
      </c>
      <c r="CJ102" s="59">
        <f t="shared" si="156"/>
        <v>0</v>
      </c>
      <c r="CK102" s="57">
        <f>' WIP '!DN102</f>
        <v>0</v>
      </c>
      <c r="CL102" s="58">
        <v>0</v>
      </c>
      <c r="CM102" s="59">
        <f t="shared" si="157"/>
        <v>0</v>
      </c>
      <c r="CN102" s="57">
        <f>' WIP '!DR102</f>
        <v>0</v>
      </c>
      <c r="CO102" s="57"/>
      <c r="CP102" s="59">
        <f t="shared" si="158"/>
        <v>0</v>
      </c>
      <c r="CQ102" s="57">
        <f>' WIP '!DV102</f>
        <v>0</v>
      </c>
      <c r="CR102" s="58"/>
      <c r="CS102" s="59">
        <f t="shared" si="159"/>
        <v>0</v>
      </c>
      <c r="CT102" s="31">
        <f t="shared" si="160"/>
        <v>12720</v>
      </c>
      <c r="CU102" s="4">
        <f t="shared" si="161"/>
        <v>12720</v>
      </c>
      <c r="CV102" s="5">
        <f>D102*'MASTER SHEET'!D102</f>
        <v>14292.000000000002</v>
      </c>
      <c r="CW102" s="5">
        <f>G102*'MASTER SHEET'!D102</f>
        <v>0</v>
      </c>
      <c r="CX102" s="5">
        <f>J102*'MASTER SHEET'!D102</f>
        <v>0</v>
      </c>
      <c r="CY102" s="5">
        <f>M102*'MASTER SHEET'!D102</f>
        <v>0</v>
      </c>
      <c r="CZ102" s="5">
        <f>P102*'MASTER SHEET'!D102</f>
        <v>0</v>
      </c>
      <c r="DA102" s="5">
        <f>S102*'MASTER SHEET'!D102</f>
        <v>14292.000000000002</v>
      </c>
      <c r="DB102" s="5">
        <f>V102*'MASTER SHEET'!D102</f>
        <v>7146.0000000000009</v>
      </c>
      <c r="DC102" s="5">
        <f>Y102*'MASTER SHEET'!D102</f>
        <v>0</v>
      </c>
      <c r="DD102" s="5">
        <f>AB102*'MASTER SHEET'!D102</f>
        <v>0</v>
      </c>
      <c r="DE102" s="5">
        <f>AE102*'MASTER SHEET'!D102</f>
        <v>0</v>
      </c>
      <c r="DF102" s="5">
        <f>AH102*'MASTER SHEET'!D102</f>
        <v>0</v>
      </c>
      <c r="DG102" s="5">
        <f>AK102*'MASTER SHEET'!D102</f>
        <v>0</v>
      </c>
      <c r="DH102" s="5">
        <f>AN102*'MASTER SHEET'!D102</f>
        <v>0</v>
      </c>
      <c r="DI102" s="5">
        <f>AQ102*'MASTER SHEET'!D102</f>
        <v>0</v>
      </c>
      <c r="DJ102" s="5">
        <f>AT102*'MASTER SHEET'!D102</f>
        <v>0</v>
      </c>
      <c r="DK102" s="5">
        <f>AW102*'MASTER SHEET'!D102</f>
        <v>0</v>
      </c>
      <c r="DL102" s="5">
        <f>AZ102*'MASTER SHEET'!D102</f>
        <v>4764</v>
      </c>
      <c r="DM102" s="5">
        <f>BC102*'MASTER SHEET'!D102</f>
        <v>2382</v>
      </c>
      <c r="DN102" s="5">
        <f>BF102*'MASTER SHEET'!D102</f>
        <v>2382</v>
      </c>
      <c r="DO102" s="5">
        <f>BI102*'MASTER SHEET'!D102</f>
        <v>2382</v>
      </c>
      <c r="DP102" s="5">
        <f>BL102*'MASTER SHEET'!D102</f>
        <v>14292.000000000002</v>
      </c>
      <c r="DQ102" s="5">
        <f>BO102*'MASTER SHEET'!D102</f>
        <v>0</v>
      </c>
      <c r="DR102" s="5">
        <f>BR102*'MASTER SHEET'!D102</f>
        <v>0</v>
      </c>
      <c r="DS102" s="5">
        <f>BU102*'MASTER SHEET'!D102</f>
        <v>0</v>
      </c>
      <c r="DT102" s="5">
        <f>BX102*'MASTER SHEET'!D102</f>
        <v>7146.0000000000009</v>
      </c>
      <c r="DU102" s="5">
        <f>CA102*'MASTER SHEET'!D102</f>
        <v>21438</v>
      </c>
      <c r="DV102" s="5">
        <f>CD102*'MASTER SHEET'!D102</f>
        <v>21438</v>
      </c>
      <c r="DW102" s="5">
        <f>CG102*'MASTER SHEET'!D102</f>
        <v>21438</v>
      </c>
      <c r="DX102" s="5">
        <f>CJ102*'MASTER SHEET'!D102</f>
        <v>0</v>
      </c>
      <c r="DY102" s="5">
        <f>CM102*'MASTER SHEET'!D102</f>
        <v>0</v>
      </c>
      <c r="DZ102" s="5">
        <f>CP102*'MASTER SHEET'!D102</f>
        <v>0</v>
      </c>
      <c r="EA102" s="5">
        <f>CS102*'MASTER SHEET'!D102</f>
        <v>0</v>
      </c>
      <c r="EB102" s="143">
        <f>VLOOKUP($C102,'[1]GREEN LEV.₹'!$I$2:$K$54,3,0)</f>
        <v>5000</v>
      </c>
    </row>
    <row r="103" spans="1:132" ht="15.75" x14ac:dyDescent="0.25">
      <c r="A103" s="25">
        <f>'MASTER SHEET'!A103</f>
        <v>101</v>
      </c>
      <c r="B103" s="26" t="str">
        <f>'MASTER SHEET'!B103</f>
        <v>END Plate</v>
      </c>
      <c r="C103" s="27">
        <f>'MASTER SHEET'!C103</f>
        <v>5014444</v>
      </c>
      <c r="D103" s="56">
        <v>0</v>
      </c>
      <c r="E103" s="57"/>
      <c r="F103" s="58">
        <v>0</v>
      </c>
      <c r="G103" s="59"/>
      <c r="H103" s="57"/>
      <c r="I103" s="58">
        <v>0</v>
      </c>
      <c r="J103" s="59"/>
      <c r="K103" s="57"/>
      <c r="L103" s="58"/>
      <c r="M103" s="59"/>
      <c r="N103" s="57"/>
      <c r="O103" s="58">
        <v>0</v>
      </c>
      <c r="P103" s="59"/>
      <c r="Q103" s="57"/>
      <c r="R103" s="58">
        <v>0</v>
      </c>
      <c r="S103" s="59"/>
      <c r="T103" s="57"/>
      <c r="U103" s="58">
        <v>0</v>
      </c>
      <c r="V103" s="59"/>
      <c r="W103" s="57"/>
      <c r="X103" s="58">
        <v>0</v>
      </c>
      <c r="Y103" s="59"/>
      <c r="Z103" s="57"/>
      <c r="AA103" s="58">
        <v>0</v>
      </c>
      <c r="AB103" s="59"/>
      <c r="AC103" s="57"/>
      <c r="AD103" s="58">
        <v>0</v>
      </c>
      <c r="AE103" s="59"/>
      <c r="AF103" s="57"/>
      <c r="AG103" s="114">
        <v>0</v>
      </c>
      <c r="AH103" s="59"/>
      <c r="AI103" s="57"/>
      <c r="AJ103" s="58">
        <v>0</v>
      </c>
      <c r="AK103" s="59"/>
      <c r="AL103" s="57"/>
      <c r="AM103" s="58"/>
      <c r="AN103" s="59"/>
      <c r="AO103" s="57"/>
      <c r="AP103" s="58">
        <v>0</v>
      </c>
      <c r="AQ103" s="59"/>
      <c r="AR103" s="57"/>
      <c r="AS103" s="58">
        <v>0</v>
      </c>
      <c r="AT103" s="59"/>
      <c r="AU103" s="57"/>
      <c r="AV103" s="58">
        <v>0</v>
      </c>
      <c r="AW103" s="59"/>
      <c r="AX103" s="57"/>
      <c r="AY103" s="58">
        <v>0</v>
      </c>
      <c r="AZ103" s="59"/>
      <c r="BA103" s="57"/>
      <c r="BB103" s="58">
        <v>0</v>
      </c>
      <c r="BC103" s="59"/>
      <c r="BD103" s="57"/>
      <c r="BE103" s="58">
        <v>0</v>
      </c>
      <c r="BF103" s="59"/>
      <c r="BG103" s="57"/>
      <c r="BH103" s="58"/>
      <c r="BI103" s="59"/>
      <c r="BJ103" s="57"/>
      <c r="BK103" s="58">
        <v>0</v>
      </c>
      <c r="BL103" s="59"/>
      <c r="BM103" s="57"/>
      <c r="BN103" s="58">
        <v>0</v>
      </c>
      <c r="BO103" s="59"/>
      <c r="BP103" s="57"/>
      <c r="BQ103" s="58"/>
      <c r="BR103" s="59"/>
      <c r="BS103" s="57"/>
      <c r="BT103" s="58">
        <v>0</v>
      </c>
      <c r="BU103" s="59"/>
      <c r="BV103" s="57"/>
      <c r="BW103" s="28">
        <v>0</v>
      </c>
      <c r="BX103" s="59"/>
      <c r="BY103" s="57"/>
      <c r="BZ103" s="58">
        <v>0</v>
      </c>
      <c r="CA103" s="59"/>
      <c r="CB103" s="57"/>
      <c r="CC103" s="58">
        <v>0</v>
      </c>
      <c r="CD103" s="59"/>
      <c r="CE103" s="57"/>
      <c r="CF103" s="58">
        <v>0</v>
      </c>
      <c r="CG103" s="59"/>
      <c r="CH103" s="57"/>
      <c r="CI103" s="58">
        <v>0</v>
      </c>
      <c r="CJ103" s="59"/>
      <c r="CK103" s="57"/>
      <c r="CL103" s="58">
        <v>0</v>
      </c>
      <c r="CM103" s="59"/>
      <c r="CN103" s="57">
        <f>' WIP '!DR103</f>
        <v>0</v>
      </c>
      <c r="CO103" s="57"/>
      <c r="CP103" s="59"/>
      <c r="CQ103" s="57">
        <f>' WIP '!DV103</f>
        <v>0</v>
      </c>
      <c r="CR103" s="58"/>
      <c r="CS103" s="59">
        <f t="shared" si="159"/>
        <v>0</v>
      </c>
      <c r="CT103" s="31">
        <f t="shared" si="160"/>
        <v>0</v>
      </c>
      <c r="CU103" s="4">
        <f t="shared" si="161"/>
        <v>0</v>
      </c>
      <c r="CV103" s="5">
        <f>D103*'MASTER SHEET'!D103</f>
        <v>0</v>
      </c>
      <c r="CW103" s="5">
        <f>G103*'MASTER SHEET'!D103</f>
        <v>0</v>
      </c>
      <c r="CX103" s="5">
        <f>J103*'MASTER SHEET'!D103</f>
        <v>0</v>
      </c>
      <c r="CY103" s="5">
        <f>M103*'MASTER SHEET'!D103</f>
        <v>0</v>
      </c>
      <c r="CZ103" s="5">
        <f>P103*'MASTER SHEET'!D103</f>
        <v>0</v>
      </c>
      <c r="DA103" s="5">
        <f>S103*'MASTER SHEET'!D103</f>
        <v>0</v>
      </c>
      <c r="DB103" s="5">
        <f>V103*'MASTER SHEET'!D103</f>
        <v>0</v>
      </c>
      <c r="DC103" s="5">
        <f>Y103*'MASTER SHEET'!D103</f>
        <v>0</v>
      </c>
      <c r="DD103" s="5">
        <f>AB103*'MASTER SHEET'!D103</f>
        <v>0</v>
      </c>
      <c r="DE103" s="5">
        <f>AE103*'MASTER SHEET'!D103</f>
        <v>0</v>
      </c>
      <c r="DF103" s="5">
        <f>AH103*'MASTER SHEET'!D103</f>
        <v>0</v>
      </c>
      <c r="DG103" s="5">
        <f>AK103*'MASTER SHEET'!D103</f>
        <v>0</v>
      </c>
      <c r="DH103" s="5">
        <f>AN103*'MASTER SHEET'!D103</f>
        <v>0</v>
      </c>
      <c r="DI103" s="5">
        <f>AQ103*'MASTER SHEET'!D103</f>
        <v>0</v>
      </c>
      <c r="DJ103" s="5">
        <f>AT103*'MASTER SHEET'!D103</f>
        <v>0</v>
      </c>
      <c r="DK103" s="5">
        <f>AW103*'MASTER SHEET'!D103</f>
        <v>0</v>
      </c>
      <c r="DL103" s="5">
        <f>AZ103*'MASTER SHEET'!D103</f>
        <v>0</v>
      </c>
      <c r="DM103" s="5">
        <f>BC103*'MASTER SHEET'!D103</f>
        <v>0</v>
      </c>
      <c r="DN103" s="5">
        <f>BF103*'MASTER SHEET'!D103</f>
        <v>0</v>
      </c>
      <c r="DO103" s="5">
        <f>BI103*'MASTER SHEET'!D103</f>
        <v>0</v>
      </c>
      <c r="DP103" s="5">
        <f>BL103*'MASTER SHEET'!D103</f>
        <v>0</v>
      </c>
      <c r="DQ103" s="5">
        <f>BO103*'MASTER SHEET'!D103</f>
        <v>0</v>
      </c>
      <c r="DR103" s="5">
        <f>BR103*'MASTER SHEET'!D103</f>
        <v>0</v>
      </c>
      <c r="DS103" s="5">
        <f>BU103*'MASTER SHEET'!D103</f>
        <v>0</v>
      </c>
      <c r="DT103" s="5">
        <f>BX103*'MASTER SHEET'!D103</f>
        <v>0</v>
      </c>
      <c r="DU103" s="5">
        <f>CA103*'MASTER SHEET'!D103</f>
        <v>0</v>
      </c>
      <c r="DV103" s="5">
        <f>CD103*'MASTER SHEET'!D103</f>
        <v>0</v>
      </c>
      <c r="DW103" s="5">
        <f>CG103*'MASTER SHEET'!D103</f>
        <v>0</v>
      </c>
      <c r="DX103" s="5">
        <f>CJ103*'MASTER SHEET'!D103</f>
        <v>0</v>
      </c>
      <c r="DY103" s="5">
        <f>CM103*'MASTER SHEET'!D103</f>
        <v>0</v>
      </c>
      <c r="DZ103" s="5">
        <f>CP103*'MASTER SHEET'!D103</f>
        <v>0</v>
      </c>
      <c r="EA103" s="5">
        <f>CS103*'MASTER SHEET'!D103</f>
        <v>0</v>
      </c>
      <c r="EB103" s="9"/>
    </row>
    <row r="104" spans="1:132" ht="15.75" x14ac:dyDescent="0.25">
      <c r="A104" s="25">
        <f>'MASTER SHEET'!A104</f>
        <v>102</v>
      </c>
      <c r="B104" s="26" t="str">
        <f>'MASTER SHEET'!B104</f>
        <v>INNER RING PLASTIC</v>
      </c>
      <c r="C104" s="27">
        <f>'MASTER SHEET'!C104</f>
        <v>5046070</v>
      </c>
      <c r="D104" s="56">
        <v>0</v>
      </c>
      <c r="E104" s="57">
        <f>' WIP '!F104</f>
        <v>0</v>
      </c>
      <c r="F104" s="58">
        <v>0</v>
      </c>
      <c r="G104" s="59">
        <f>D104+E104-F104</f>
        <v>0</v>
      </c>
      <c r="H104" s="57">
        <f>' WIP '!J104</f>
        <v>0</v>
      </c>
      <c r="I104" s="58">
        <v>0</v>
      </c>
      <c r="J104" s="59">
        <f>G104+H104-I104</f>
        <v>0</v>
      </c>
      <c r="K104" s="57">
        <f>' WIP '!N104</f>
        <v>0</v>
      </c>
      <c r="L104" s="58"/>
      <c r="M104" s="59">
        <f>J104+K104-L104</f>
        <v>0</v>
      </c>
      <c r="N104" s="57">
        <f>' WIP '!R104</f>
        <v>0</v>
      </c>
      <c r="O104" s="58">
        <v>0</v>
      </c>
      <c r="P104" s="59">
        <f>M104+N104-O104</f>
        <v>0</v>
      </c>
      <c r="Q104" s="57">
        <f>' WIP '!V104</f>
        <v>0</v>
      </c>
      <c r="R104" s="58">
        <v>0</v>
      </c>
      <c r="S104" s="59">
        <f>P104+Q104-R104</f>
        <v>0</v>
      </c>
      <c r="T104" s="57">
        <f>' WIP '!Z104</f>
        <v>0</v>
      </c>
      <c r="U104" s="58">
        <v>0</v>
      </c>
      <c r="V104" s="59">
        <f>S104+T104-U104</f>
        <v>0</v>
      </c>
      <c r="W104" s="57">
        <f>' WIP '!AD104</f>
        <v>0</v>
      </c>
      <c r="X104" s="58">
        <v>0</v>
      </c>
      <c r="Y104" s="59">
        <f>V104+W104-X104</f>
        <v>0</v>
      </c>
      <c r="Z104" s="57">
        <f>' WIP '!AH104</f>
        <v>0</v>
      </c>
      <c r="AA104" s="58">
        <v>0</v>
      </c>
      <c r="AB104" s="59">
        <f>Y104+Z104-AA104</f>
        <v>0</v>
      </c>
      <c r="AC104" s="57">
        <f>' WIP '!AL104</f>
        <v>0</v>
      </c>
      <c r="AD104" s="58">
        <v>0</v>
      </c>
      <c r="AE104" s="59">
        <f>AB104+AC104-AD104</f>
        <v>0</v>
      </c>
      <c r="AF104" s="57">
        <f>' WIP '!AP104</f>
        <v>0</v>
      </c>
      <c r="AG104" s="114">
        <v>0</v>
      </c>
      <c r="AH104" s="59">
        <f>AE104+AF104-AG104</f>
        <v>0</v>
      </c>
      <c r="AI104" s="57">
        <f>' WIP '!AT104</f>
        <v>0</v>
      </c>
      <c r="AJ104" s="58">
        <v>0</v>
      </c>
      <c r="AK104" s="59">
        <f>AH104+AI104-AJ104</f>
        <v>0</v>
      </c>
      <c r="AL104" s="57">
        <f>' WIP '!AX104</f>
        <v>0</v>
      </c>
      <c r="AM104" s="58"/>
      <c r="AN104" s="59">
        <f>AK104+AL104-AM104</f>
        <v>0</v>
      </c>
      <c r="AO104" s="57">
        <f>' WIP '!BB104</f>
        <v>0</v>
      </c>
      <c r="AP104" s="58">
        <v>0</v>
      </c>
      <c r="AQ104" s="59">
        <f>AN104+AO104-AP104</f>
        <v>0</v>
      </c>
      <c r="AR104" s="57">
        <f>' WIP '!BF104</f>
        <v>0</v>
      </c>
      <c r="AS104" s="58">
        <v>0</v>
      </c>
      <c r="AT104" s="59">
        <f>AQ104+AR104-AS104</f>
        <v>0</v>
      </c>
      <c r="AU104" s="57">
        <f>' WIP '!BJ104</f>
        <v>0</v>
      </c>
      <c r="AV104" s="58">
        <v>0</v>
      </c>
      <c r="AW104" s="59">
        <f>AT104+AU104-AV104</f>
        <v>0</v>
      </c>
      <c r="AX104" s="57">
        <f>' WIP '!BN104</f>
        <v>0</v>
      </c>
      <c r="AY104" s="58">
        <v>0</v>
      </c>
      <c r="AZ104" s="59">
        <f>AW104+AX104-AY104</f>
        <v>0</v>
      </c>
      <c r="BA104" s="57">
        <f>' WIP '!BR104</f>
        <v>0</v>
      </c>
      <c r="BB104" s="58">
        <v>0</v>
      </c>
      <c r="BC104" s="59">
        <f>AZ104+BA104-BB104</f>
        <v>0</v>
      </c>
      <c r="BD104" s="57">
        <f>' WIP '!BV104</f>
        <v>0</v>
      </c>
      <c r="BE104" s="58">
        <v>0</v>
      </c>
      <c r="BF104" s="59">
        <f>BC104+BD104-BE104</f>
        <v>0</v>
      </c>
      <c r="BG104" s="57">
        <f>' WIP '!BZ104</f>
        <v>0</v>
      </c>
      <c r="BH104" s="58"/>
      <c r="BI104" s="59">
        <f>BF104+BG104-BH104</f>
        <v>0</v>
      </c>
      <c r="BJ104" s="57">
        <f>' WIP '!CD104</f>
        <v>0</v>
      </c>
      <c r="BK104" s="58">
        <v>0</v>
      </c>
      <c r="BL104" s="59">
        <f>BI104+BJ104-BK104</f>
        <v>0</v>
      </c>
      <c r="BM104" s="57">
        <f>' WIP '!CH104</f>
        <v>0</v>
      </c>
      <c r="BN104" s="58">
        <v>0</v>
      </c>
      <c r="BO104" s="59">
        <f>BL104+BM104-BN104</f>
        <v>0</v>
      </c>
      <c r="BP104" s="57">
        <f>' WIP '!CL104</f>
        <v>0</v>
      </c>
      <c r="BQ104" s="58"/>
      <c r="BR104" s="59">
        <f>BO104+BP104-BQ104</f>
        <v>0</v>
      </c>
      <c r="BS104" s="57">
        <f>' WIP '!CP104</f>
        <v>0</v>
      </c>
      <c r="BT104" s="58">
        <v>0</v>
      </c>
      <c r="BU104" s="59">
        <f>BR104+BS104-BT104</f>
        <v>0</v>
      </c>
      <c r="BV104" s="57">
        <f>' WIP '!CT104</f>
        <v>0</v>
      </c>
      <c r="BW104" s="28">
        <v>0</v>
      </c>
      <c r="BX104" s="59">
        <f>BU104+BV104-BW104</f>
        <v>0</v>
      </c>
      <c r="BY104" s="57">
        <f>' WIP '!CX104</f>
        <v>0</v>
      </c>
      <c r="BZ104" s="58">
        <v>0</v>
      </c>
      <c r="CA104" s="59">
        <f>BX104+BY104-BZ104</f>
        <v>0</v>
      </c>
      <c r="CB104" s="57">
        <f>' WIP '!DB104</f>
        <v>0</v>
      </c>
      <c r="CC104" s="58">
        <v>0</v>
      </c>
      <c r="CD104" s="59">
        <f>CA104+CB104-CC104</f>
        <v>0</v>
      </c>
      <c r="CE104" s="57">
        <f>' WIP '!DF104</f>
        <v>0</v>
      </c>
      <c r="CF104" s="58">
        <v>0</v>
      </c>
      <c r="CG104" s="59">
        <f>CD104+CE104-CF104</f>
        <v>0</v>
      </c>
      <c r="CH104" s="57">
        <f>' WIP '!DJ104</f>
        <v>0</v>
      </c>
      <c r="CI104" s="58">
        <v>0</v>
      </c>
      <c r="CJ104" s="59">
        <f>CG104+CH104-CI104</f>
        <v>0</v>
      </c>
      <c r="CK104" s="57">
        <f>' WIP '!DN104</f>
        <v>0</v>
      </c>
      <c r="CL104" s="58">
        <v>0</v>
      </c>
      <c r="CM104" s="59">
        <f>CJ104+CK104-CL104</f>
        <v>0</v>
      </c>
      <c r="CN104" s="57">
        <f>' WIP '!DR104</f>
        <v>0</v>
      </c>
      <c r="CO104" s="57"/>
      <c r="CP104" s="59">
        <f>CM104+CN104-CO104</f>
        <v>0</v>
      </c>
      <c r="CQ104" s="57">
        <f>' WIP '!DV104</f>
        <v>0</v>
      </c>
      <c r="CR104" s="58"/>
      <c r="CS104" s="59">
        <f t="shared" si="159"/>
        <v>0</v>
      </c>
      <c r="CT104" s="31">
        <f t="shared" si="160"/>
        <v>0</v>
      </c>
      <c r="CU104" s="4">
        <f t="shared" si="161"/>
        <v>0</v>
      </c>
      <c r="CV104" s="5">
        <f>D104*'MASTER SHEET'!D104</f>
        <v>0</v>
      </c>
      <c r="CW104" s="5">
        <f>G104*'MASTER SHEET'!D104</f>
        <v>0</v>
      </c>
      <c r="CX104" s="5">
        <f>J104*'MASTER SHEET'!D104</f>
        <v>0</v>
      </c>
      <c r="CY104" s="5">
        <f>M104*'MASTER SHEET'!D104</f>
        <v>0</v>
      </c>
      <c r="CZ104" s="5">
        <f>P104*'MASTER SHEET'!D104</f>
        <v>0</v>
      </c>
      <c r="DA104" s="5">
        <f>S104*'MASTER SHEET'!D104</f>
        <v>0</v>
      </c>
      <c r="DB104" s="5">
        <f>V104*'MASTER SHEET'!D104</f>
        <v>0</v>
      </c>
      <c r="DC104" s="5">
        <f>Y104*'MASTER SHEET'!D104</f>
        <v>0</v>
      </c>
      <c r="DD104" s="5">
        <f>AB104*'MASTER SHEET'!D104</f>
        <v>0</v>
      </c>
      <c r="DE104" s="5">
        <f>AE104*'MASTER SHEET'!D104</f>
        <v>0</v>
      </c>
      <c r="DF104" s="5">
        <f>AH104*'MASTER SHEET'!D104</f>
        <v>0</v>
      </c>
      <c r="DG104" s="5">
        <f>AK104*'MASTER SHEET'!D104</f>
        <v>0</v>
      </c>
      <c r="DH104" s="5">
        <f>AN104*'MASTER SHEET'!D104</f>
        <v>0</v>
      </c>
      <c r="DI104" s="5">
        <f>AQ104*'MASTER SHEET'!D104</f>
        <v>0</v>
      </c>
      <c r="DJ104" s="5">
        <f>AT104*'MASTER SHEET'!D104</f>
        <v>0</v>
      </c>
      <c r="DK104" s="5">
        <f>AW104*'MASTER SHEET'!D104</f>
        <v>0</v>
      </c>
      <c r="DL104" s="5">
        <f>AZ104*'MASTER SHEET'!D104</f>
        <v>0</v>
      </c>
      <c r="DM104" s="5">
        <f>BC104*'MASTER SHEET'!D104</f>
        <v>0</v>
      </c>
      <c r="DN104" s="5">
        <f>BF104*'MASTER SHEET'!D104</f>
        <v>0</v>
      </c>
      <c r="DO104" s="5">
        <f>BI104*'MASTER SHEET'!D104</f>
        <v>0</v>
      </c>
      <c r="DP104" s="5">
        <f>BL104*'MASTER SHEET'!D104</f>
        <v>0</v>
      </c>
      <c r="DQ104" s="5">
        <f>BO104*'MASTER SHEET'!D104</f>
        <v>0</v>
      </c>
      <c r="DR104" s="5">
        <f>BR104*'MASTER SHEET'!D104</f>
        <v>0</v>
      </c>
      <c r="DS104" s="5">
        <f>BU104*'MASTER SHEET'!D104</f>
        <v>0</v>
      </c>
      <c r="DT104" s="5">
        <f>BX104*'MASTER SHEET'!D104</f>
        <v>0</v>
      </c>
      <c r="DU104" s="5">
        <f>CA104*'MASTER SHEET'!D104</f>
        <v>0</v>
      </c>
      <c r="DV104" s="5">
        <f>CD104*'MASTER SHEET'!D104</f>
        <v>0</v>
      </c>
      <c r="DW104" s="5">
        <f>CG104*'MASTER SHEET'!D104</f>
        <v>0</v>
      </c>
      <c r="DX104" s="5">
        <f>CJ104*'MASTER SHEET'!D104</f>
        <v>0</v>
      </c>
      <c r="DY104" s="5">
        <f>CM104*'MASTER SHEET'!D104</f>
        <v>0</v>
      </c>
      <c r="DZ104" s="5">
        <f>CP104*'MASTER SHEET'!D104</f>
        <v>0</v>
      </c>
      <c r="EA104" s="5">
        <f>CS104*'MASTER SHEET'!D104</f>
        <v>0</v>
      </c>
      <c r="EB104" s="9"/>
    </row>
    <row r="105" spans="1:132" ht="15.75" x14ac:dyDescent="0.25">
      <c r="A105" s="25">
        <f>'MASTER SHEET'!A105</f>
        <v>103</v>
      </c>
      <c r="B105" s="26" t="str">
        <f>'MASTER SHEET'!B105</f>
        <v>TOP COVER</v>
      </c>
      <c r="C105" s="27">
        <f>'MASTER SHEET'!C105</f>
        <v>5060364</v>
      </c>
      <c r="D105" s="56"/>
      <c r="E105" s="57">
        <f>' WIP '!F105</f>
        <v>0</v>
      </c>
      <c r="F105" s="58">
        <v>0</v>
      </c>
      <c r="G105" s="59">
        <f>D105+E105-F105</f>
        <v>0</v>
      </c>
      <c r="H105" s="57">
        <f>' WIP '!J105</f>
        <v>0</v>
      </c>
      <c r="I105" s="58">
        <v>0</v>
      </c>
      <c r="J105" s="59">
        <f>G105+H105-I105</f>
        <v>0</v>
      </c>
      <c r="K105" s="57">
        <f>' WIP '!N105</f>
        <v>0</v>
      </c>
      <c r="L105" s="58"/>
      <c r="M105" s="59">
        <f>J105+K105-L105</f>
        <v>0</v>
      </c>
      <c r="N105" s="57">
        <f>' WIP '!R105</f>
        <v>0</v>
      </c>
      <c r="O105" s="58">
        <v>0</v>
      </c>
      <c r="P105" s="59">
        <f>M105+N105-O105</f>
        <v>0</v>
      </c>
      <c r="Q105" s="57">
        <f>' WIP '!V105</f>
        <v>0</v>
      </c>
      <c r="R105" s="58">
        <v>0</v>
      </c>
      <c r="S105" s="59">
        <f>P105+Q105-R105</f>
        <v>0</v>
      </c>
      <c r="T105" s="57">
        <f>' WIP '!Z105</f>
        <v>0</v>
      </c>
      <c r="U105" s="58">
        <v>0</v>
      </c>
      <c r="V105" s="59">
        <f>S105+T105-U105</f>
        <v>0</v>
      </c>
      <c r="W105" s="57">
        <f>' WIP '!AD105</f>
        <v>0</v>
      </c>
      <c r="X105" s="58">
        <v>0</v>
      </c>
      <c r="Y105" s="59">
        <f>V105+W105-X105</f>
        <v>0</v>
      </c>
      <c r="Z105" s="57">
        <f>' WIP '!AH105</f>
        <v>0</v>
      </c>
      <c r="AA105" s="58">
        <v>0</v>
      </c>
      <c r="AB105" s="59">
        <f>Y105+Z105-AA105</f>
        <v>0</v>
      </c>
      <c r="AC105" s="57">
        <f>' WIP '!AL105</f>
        <v>0</v>
      </c>
      <c r="AD105" s="58">
        <v>0</v>
      </c>
      <c r="AE105" s="59">
        <f>AB105+AC105-AD105</f>
        <v>0</v>
      </c>
      <c r="AF105" s="57">
        <f>' WIP '!AP105</f>
        <v>0</v>
      </c>
      <c r="AG105" s="114">
        <v>0</v>
      </c>
      <c r="AH105" s="59">
        <f>AE105+AF105-AG105</f>
        <v>0</v>
      </c>
      <c r="AI105" s="57">
        <f>' WIP '!AT105</f>
        <v>0</v>
      </c>
      <c r="AJ105" s="58">
        <v>0</v>
      </c>
      <c r="AK105" s="59">
        <f>AH105+AI105-AJ105</f>
        <v>0</v>
      </c>
      <c r="AL105" s="57">
        <f>' WIP '!AX105</f>
        <v>0</v>
      </c>
      <c r="AM105" s="58"/>
      <c r="AN105" s="59">
        <f>AK105+AL105-AM105</f>
        <v>0</v>
      </c>
      <c r="AO105" s="57">
        <f>' WIP '!BB105</f>
        <v>0</v>
      </c>
      <c r="AP105" s="58">
        <v>0</v>
      </c>
      <c r="AQ105" s="59">
        <f>AN105+AO105-AP105</f>
        <v>0</v>
      </c>
      <c r="AR105" s="57">
        <f>' WIP '!BF105</f>
        <v>0</v>
      </c>
      <c r="AS105" s="58">
        <v>0</v>
      </c>
      <c r="AT105" s="59">
        <f>AQ105+AR105-AS105</f>
        <v>0</v>
      </c>
      <c r="AU105" s="57">
        <f>' WIP '!BJ105</f>
        <v>0</v>
      </c>
      <c r="AV105" s="58">
        <v>0</v>
      </c>
      <c r="AW105" s="59">
        <f>AT105+AU105-AV105</f>
        <v>0</v>
      </c>
      <c r="AX105" s="57">
        <f>' WIP '!BN105</f>
        <v>0</v>
      </c>
      <c r="AY105" s="58">
        <v>0</v>
      </c>
      <c r="AZ105" s="59">
        <f>AW105+AX105-AY105</f>
        <v>0</v>
      </c>
      <c r="BA105" s="57">
        <f>' WIP '!BR105</f>
        <v>0</v>
      </c>
      <c r="BB105" s="58">
        <v>0</v>
      </c>
      <c r="BC105" s="59">
        <f>AZ105+BA105-BB105</f>
        <v>0</v>
      </c>
      <c r="BD105" s="57">
        <f>' WIP '!BV105</f>
        <v>0</v>
      </c>
      <c r="BE105" s="58">
        <v>0</v>
      </c>
      <c r="BF105" s="59">
        <f>BC105+BD105-BE105</f>
        <v>0</v>
      </c>
      <c r="BG105" s="57">
        <f>' WIP '!BZ105</f>
        <v>0</v>
      </c>
      <c r="BH105" s="58"/>
      <c r="BI105" s="59">
        <f>BF105+BG105-BH105</f>
        <v>0</v>
      </c>
      <c r="BJ105" s="57">
        <f>' WIP '!CD105</f>
        <v>0</v>
      </c>
      <c r="BK105" s="58">
        <v>0</v>
      </c>
      <c r="BL105" s="59">
        <f>BI105+BJ105-BK105</f>
        <v>0</v>
      </c>
      <c r="BM105" s="57">
        <f>' WIP '!CH105</f>
        <v>0</v>
      </c>
      <c r="BN105" s="58">
        <v>0</v>
      </c>
      <c r="BO105" s="59">
        <f>BL105+BM105-BN105</f>
        <v>0</v>
      </c>
      <c r="BP105" s="57">
        <f>' WIP '!CL105</f>
        <v>0</v>
      </c>
      <c r="BQ105" s="58"/>
      <c r="BR105" s="59">
        <f>BO105+BP105-BQ105</f>
        <v>0</v>
      </c>
      <c r="BS105" s="57">
        <f>' WIP '!CP105</f>
        <v>0</v>
      </c>
      <c r="BT105" s="58">
        <v>0</v>
      </c>
      <c r="BU105" s="59">
        <f>BR105+BS105-BT105</f>
        <v>0</v>
      </c>
      <c r="BV105" s="57">
        <f>' WIP '!CT105</f>
        <v>390</v>
      </c>
      <c r="BW105" s="28">
        <v>100</v>
      </c>
      <c r="BX105" s="59">
        <f>BU105+BV105-BW105</f>
        <v>290</v>
      </c>
      <c r="BY105" s="57">
        <f>' WIP '!CX105</f>
        <v>120</v>
      </c>
      <c r="BZ105" s="58">
        <v>338</v>
      </c>
      <c r="CA105" s="59">
        <f>BX105+BY105-BZ105</f>
        <v>72</v>
      </c>
      <c r="CB105" s="57">
        <f>' WIP '!DB105</f>
        <v>0</v>
      </c>
      <c r="CC105" s="58">
        <v>62</v>
      </c>
      <c r="CD105" s="59">
        <f>CA105+CB105-CC105</f>
        <v>10</v>
      </c>
      <c r="CE105" s="57">
        <f>' WIP '!DF105</f>
        <v>0</v>
      </c>
      <c r="CF105" s="58">
        <v>0</v>
      </c>
      <c r="CG105" s="59">
        <f>CD105+CE105-CF105</f>
        <v>10</v>
      </c>
      <c r="CH105" s="57">
        <f>' WIP '!DJ105</f>
        <v>0</v>
      </c>
      <c r="CI105" s="58">
        <v>0</v>
      </c>
      <c r="CJ105" s="59">
        <f>CG105+CH105-CI105</f>
        <v>10</v>
      </c>
      <c r="CK105" s="57">
        <f>' WIP '!DN105</f>
        <v>0</v>
      </c>
      <c r="CL105" s="58">
        <v>0</v>
      </c>
      <c r="CM105" s="59">
        <f>CJ105+CK105-CL105</f>
        <v>10</v>
      </c>
      <c r="CN105" s="57">
        <f>' WIP '!DR105</f>
        <v>0</v>
      </c>
      <c r="CO105" s="57"/>
      <c r="CP105" s="59">
        <f>CM105+CN105-CO105</f>
        <v>10</v>
      </c>
      <c r="CQ105" s="57">
        <f>' WIP '!DV105</f>
        <v>0</v>
      </c>
      <c r="CR105" s="58"/>
      <c r="CS105" s="59">
        <f t="shared" si="159"/>
        <v>10</v>
      </c>
      <c r="CT105" s="31">
        <f t="shared" si="160"/>
        <v>510</v>
      </c>
      <c r="CU105" s="4">
        <f t="shared" si="161"/>
        <v>500</v>
      </c>
      <c r="CV105" s="5">
        <f>D105*'MASTER SHEET'!D105</f>
        <v>0</v>
      </c>
      <c r="CW105" s="5">
        <f>G105*'MASTER SHEET'!D105</f>
        <v>0</v>
      </c>
      <c r="CX105" s="5">
        <f>J105*'MASTER SHEET'!D105</f>
        <v>0</v>
      </c>
      <c r="CY105" s="5">
        <f>M105*'MASTER SHEET'!D105</f>
        <v>0</v>
      </c>
      <c r="CZ105" s="5">
        <f>P105*'MASTER SHEET'!D105</f>
        <v>0</v>
      </c>
      <c r="DA105" s="5">
        <f>S105*'MASTER SHEET'!D105</f>
        <v>0</v>
      </c>
      <c r="DB105" s="5">
        <f>V105*'MASTER SHEET'!D105</f>
        <v>0</v>
      </c>
      <c r="DC105" s="5">
        <f>Y105*'MASTER SHEET'!D105</f>
        <v>0</v>
      </c>
      <c r="DD105" s="5">
        <f>AB105*'MASTER SHEET'!D105</f>
        <v>0</v>
      </c>
      <c r="DE105" s="5">
        <f>AE105*'MASTER SHEET'!D105</f>
        <v>0</v>
      </c>
      <c r="DF105" s="5">
        <f>AH105*'MASTER SHEET'!D105</f>
        <v>0</v>
      </c>
      <c r="DG105" s="5">
        <f>AK105*'MASTER SHEET'!D105</f>
        <v>0</v>
      </c>
      <c r="DH105" s="5">
        <f>AN105*'MASTER SHEET'!D105</f>
        <v>0</v>
      </c>
      <c r="DI105" s="5">
        <f>AQ105*'MASTER SHEET'!D105</f>
        <v>0</v>
      </c>
      <c r="DJ105" s="5">
        <f>AT105*'MASTER SHEET'!D105</f>
        <v>0</v>
      </c>
      <c r="DK105" s="5">
        <f>AW105*'MASTER SHEET'!D105</f>
        <v>0</v>
      </c>
      <c r="DL105" s="5">
        <f>AZ105*'MASTER SHEET'!D105</f>
        <v>0</v>
      </c>
      <c r="DM105" s="5">
        <f>BC105*'MASTER SHEET'!D105</f>
        <v>0</v>
      </c>
      <c r="DN105" s="5">
        <f>BF105*'MASTER SHEET'!D105</f>
        <v>0</v>
      </c>
      <c r="DO105" s="5">
        <f>BI105*'MASTER SHEET'!D105</f>
        <v>0</v>
      </c>
      <c r="DP105" s="5">
        <f>BL105*'MASTER SHEET'!D105</f>
        <v>0</v>
      </c>
      <c r="DQ105" s="5">
        <f>BO105*'MASTER SHEET'!D105</f>
        <v>0</v>
      </c>
      <c r="DR105" s="5">
        <f>BR105*'MASTER SHEET'!D105</f>
        <v>0</v>
      </c>
      <c r="DS105" s="5">
        <f>BU105*'MASTER SHEET'!D105</f>
        <v>0</v>
      </c>
      <c r="DT105" s="5">
        <f>BX105*'MASTER SHEET'!D105</f>
        <v>61683</v>
      </c>
      <c r="DU105" s="5">
        <f>CA105*'MASTER SHEET'!D105</f>
        <v>15314.4</v>
      </c>
      <c r="DV105" s="5">
        <f>CD105*'MASTER SHEET'!D105</f>
        <v>2127</v>
      </c>
      <c r="DW105" s="5">
        <f>CG105*'MASTER SHEET'!D105</f>
        <v>2127</v>
      </c>
      <c r="DX105" s="5">
        <f>CJ105*'MASTER SHEET'!D105</f>
        <v>2127</v>
      </c>
      <c r="DY105" s="5">
        <f>CM105*'MASTER SHEET'!D105</f>
        <v>2127</v>
      </c>
      <c r="DZ105" s="5">
        <f>CP105*'MASTER SHEET'!D105</f>
        <v>2127</v>
      </c>
      <c r="EA105" s="5">
        <f>CS105*'MASTER SHEET'!D105</f>
        <v>2127</v>
      </c>
      <c r="EB105" s="9"/>
    </row>
    <row r="106" spans="1:132" ht="15.75" x14ac:dyDescent="0.25">
      <c r="A106" s="25">
        <f>'MASTER SHEET'!A106</f>
        <v>104</v>
      </c>
      <c r="B106" s="26" t="str">
        <f>'MASTER SHEET'!B106</f>
        <v>LOUVER PLASTIC</v>
      </c>
      <c r="C106" s="27">
        <f>'MASTER SHEET'!C106</f>
        <v>5042399</v>
      </c>
      <c r="D106" s="167">
        <v>30</v>
      </c>
      <c r="E106" s="57">
        <f>' WIP '!F106</f>
        <v>0</v>
      </c>
      <c r="F106" s="58">
        <v>0</v>
      </c>
      <c r="G106" s="59">
        <f>D106+E106-F106</f>
        <v>30</v>
      </c>
      <c r="H106" s="57">
        <f>' WIP '!J106</f>
        <v>0</v>
      </c>
      <c r="I106" s="58">
        <v>0</v>
      </c>
      <c r="J106" s="59">
        <f>G106+H106-I106</f>
        <v>30</v>
      </c>
      <c r="K106" s="57">
        <f>' WIP '!N106</f>
        <v>0</v>
      </c>
      <c r="L106" s="58"/>
      <c r="M106" s="59">
        <f>J106+K106-L106</f>
        <v>30</v>
      </c>
      <c r="N106" s="57">
        <f>' WIP '!R106</f>
        <v>0</v>
      </c>
      <c r="O106" s="58">
        <v>0</v>
      </c>
      <c r="P106" s="59">
        <f>M106+N106-O106</f>
        <v>30</v>
      </c>
      <c r="Q106" s="57">
        <f>' WIP '!V106</f>
        <v>0</v>
      </c>
      <c r="R106" s="58">
        <v>0</v>
      </c>
      <c r="S106" s="59">
        <f>P106+Q106-R106</f>
        <v>30</v>
      </c>
      <c r="T106" s="57">
        <f>' WIP '!Z106</f>
        <v>0</v>
      </c>
      <c r="U106" s="58">
        <v>0</v>
      </c>
      <c r="V106" s="59">
        <f>S106+T106-U106</f>
        <v>30</v>
      </c>
      <c r="W106" s="57">
        <f>' WIP '!AD106</f>
        <v>0</v>
      </c>
      <c r="X106" s="58">
        <v>0</v>
      </c>
      <c r="Y106" s="59">
        <f>V106+W106-X106</f>
        <v>30</v>
      </c>
      <c r="Z106" s="57">
        <f>' WIP '!AH106</f>
        <v>0</v>
      </c>
      <c r="AA106" s="58">
        <v>0</v>
      </c>
      <c r="AB106" s="59">
        <f>Y106+Z106-AA106</f>
        <v>30</v>
      </c>
      <c r="AC106" s="57">
        <f>' WIP '!AL106</f>
        <v>0</v>
      </c>
      <c r="AD106" s="58">
        <v>0</v>
      </c>
      <c r="AE106" s="59">
        <f>AB106+AC106-AD106</f>
        <v>30</v>
      </c>
      <c r="AF106" s="57">
        <f>' WIP '!AP106</f>
        <v>0</v>
      </c>
      <c r="AG106" s="114">
        <v>0</v>
      </c>
      <c r="AH106" s="59">
        <f>AE106+AF106-AG106</f>
        <v>30</v>
      </c>
      <c r="AI106" s="57">
        <f>' WIP '!AT106</f>
        <v>0</v>
      </c>
      <c r="AJ106" s="58">
        <v>0</v>
      </c>
      <c r="AK106" s="59">
        <f>AH106+AI106-AJ106</f>
        <v>30</v>
      </c>
      <c r="AL106" s="57">
        <f>' WIP '!AX106</f>
        <v>0</v>
      </c>
      <c r="AM106" s="58"/>
      <c r="AN106" s="59">
        <f>AK106+AL106-AM106</f>
        <v>30</v>
      </c>
      <c r="AO106" s="57">
        <f>' WIP '!BB106</f>
        <v>930</v>
      </c>
      <c r="AP106" s="58">
        <v>0</v>
      </c>
      <c r="AQ106" s="59">
        <f>AN106+AO106-AP106</f>
        <v>960</v>
      </c>
      <c r="AR106" s="57">
        <f>' WIP '!BF106</f>
        <v>30</v>
      </c>
      <c r="AS106" s="58">
        <v>990</v>
      </c>
      <c r="AT106" s="59">
        <f>AQ106+AR106-AS106</f>
        <v>0</v>
      </c>
      <c r="AU106" s="57">
        <f>' WIP '!BJ106</f>
        <v>0</v>
      </c>
      <c r="AV106" s="58">
        <v>0</v>
      </c>
      <c r="AW106" s="59">
        <f>AT106+AU106-AV106</f>
        <v>0</v>
      </c>
      <c r="AX106" s="57">
        <f>' WIP '!BN106</f>
        <v>0</v>
      </c>
      <c r="AY106" s="58">
        <v>0</v>
      </c>
      <c r="AZ106" s="59">
        <f>AW106+AX106-AY106</f>
        <v>0</v>
      </c>
      <c r="BA106" s="57">
        <f>' WIP '!BR106</f>
        <v>0</v>
      </c>
      <c r="BB106" s="58">
        <v>0</v>
      </c>
      <c r="BC106" s="59">
        <f>AZ106+BA106-BB106</f>
        <v>0</v>
      </c>
      <c r="BD106" s="57">
        <f>' WIP '!BV106</f>
        <v>0</v>
      </c>
      <c r="BE106" s="58">
        <v>0</v>
      </c>
      <c r="BF106" s="59">
        <f>BC106+BD106-BE106</f>
        <v>0</v>
      </c>
      <c r="BG106" s="57">
        <f>' WIP '!BZ106</f>
        <v>0</v>
      </c>
      <c r="BH106" s="58"/>
      <c r="BI106" s="59">
        <f>BF106+BG106-BH106</f>
        <v>0</v>
      </c>
      <c r="BJ106" s="57">
        <f>' WIP '!CD106</f>
        <v>0</v>
      </c>
      <c r="BK106" s="58">
        <v>0</v>
      </c>
      <c r="BL106" s="59">
        <f>BI106+BJ106-BK106</f>
        <v>0</v>
      </c>
      <c r="BM106" s="57">
        <f>' WIP '!CH106</f>
        <v>0</v>
      </c>
      <c r="BN106" s="58">
        <v>0</v>
      </c>
      <c r="BO106" s="59">
        <f>BL106+BM106-BN106</f>
        <v>0</v>
      </c>
      <c r="BP106" s="57">
        <f>' WIP '!CL106</f>
        <v>0</v>
      </c>
      <c r="BQ106" s="58"/>
      <c r="BR106" s="59">
        <f>BO106+BP106-BQ106</f>
        <v>0</v>
      </c>
      <c r="BS106" s="57">
        <f>' WIP '!CP106</f>
        <v>0</v>
      </c>
      <c r="BT106" s="58">
        <v>0</v>
      </c>
      <c r="BU106" s="59">
        <f>BR106+BS106-BT106</f>
        <v>0</v>
      </c>
      <c r="BV106" s="57">
        <f>' WIP '!CT106</f>
        <v>0</v>
      </c>
      <c r="BW106" s="28">
        <v>0</v>
      </c>
      <c r="BX106" s="59">
        <f>BU106+BV106-BW106</f>
        <v>0</v>
      </c>
      <c r="BY106" s="57">
        <f>' WIP '!CX106</f>
        <v>0</v>
      </c>
      <c r="BZ106" s="58">
        <v>0</v>
      </c>
      <c r="CA106" s="59">
        <f>BX106+BY106-BZ106</f>
        <v>0</v>
      </c>
      <c r="CB106" s="57">
        <f>' WIP '!DB106</f>
        <v>0</v>
      </c>
      <c r="CC106" s="58">
        <v>0</v>
      </c>
      <c r="CD106" s="59">
        <f>CA106+CB106-CC106</f>
        <v>0</v>
      </c>
      <c r="CE106" s="57">
        <f>' WIP '!DF106</f>
        <v>0</v>
      </c>
      <c r="CF106" s="58">
        <v>0</v>
      </c>
      <c r="CG106" s="59">
        <f>CD106+CE106-CF106</f>
        <v>0</v>
      </c>
      <c r="CH106" s="57">
        <f>' WIP '!DJ106</f>
        <v>0</v>
      </c>
      <c r="CI106" s="58">
        <v>0</v>
      </c>
      <c r="CJ106" s="59">
        <f>CG106+CH106-CI106</f>
        <v>0</v>
      </c>
      <c r="CK106" s="57">
        <f>' WIP '!DN106</f>
        <v>0</v>
      </c>
      <c r="CL106" s="58">
        <v>0</v>
      </c>
      <c r="CM106" s="59">
        <f>CJ106+CK106-CL106</f>
        <v>0</v>
      </c>
      <c r="CN106" s="57">
        <f>' WIP '!DR106</f>
        <v>0</v>
      </c>
      <c r="CO106" s="57"/>
      <c r="CP106" s="59">
        <f>CM106+CN106-CO106</f>
        <v>0</v>
      </c>
      <c r="CQ106" s="57">
        <f>' WIP '!DV106</f>
        <v>0</v>
      </c>
      <c r="CR106" s="58"/>
      <c r="CS106" s="59">
        <f t="shared" si="159"/>
        <v>0</v>
      </c>
      <c r="CT106" s="31">
        <f t="shared" si="160"/>
        <v>990</v>
      </c>
      <c r="CU106" s="4">
        <f t="shared" si="161"/>
        <v>990</v>
      </c>
      <c r="CV106" s="5">
        <f>D106*'MASTER SHEET'!D106</f>
        <v>553.20000000000005</v>
      </c>
      <c r="CW106" s="5">
        <f>G106*'MASTER SHEET'!D106</f>
        <v>553.20000000000005</v>
      </c>
      <c r="CX106" s="5">
        <f>J106*'MASTER SHEET'!D106</f>
        <v>553.20000000000005</v>
      </c>
      <c r="CY106" s="5">
        <f>M106*'MASTER SHEET'!D106</f>
        <v>553.20000000000005</v>
      </c>
      <c r="CZ106" s="5">
        <f>P106*'MASTER SHEET'!D106</f>
        <v>553.20000000000005</v>
      </c>
      <c r="DA106" s="5">
        <f>S106*'MASTER SHEET'!D106</f>
        <v>553.20000000000005</v>
      </c>
      <c r="DB106" s="5">
        <f>V106*'MASTER SHEET'!D106</f>
        <v>553.20000000000005</v>
      </c>
      <c r="DC106" s="5">
        <f>Y106*'MASTER SHEET'!D106</f>
        <v>553.20000000000005</v>
      </c>
      <c r="DD106" s="5">
        <f>AB106*'MASTER SHEET'!D106</f>
        <v>553.20000000000005</v>
      </c>
      <c r="DE106" s="5">
        <f>AE106*'MASTER SHEET'!D106</f>
        <v>553.20000000000005</v>
      </c>
      <c r="DF106" s="5">
        <f>AH106*'MASTER SHEET'!D106</f>
        <v>553.20000000000005</v>
      </c>
      <c r="DG106" s="5">
        <f>AK106*'MASTER SHEET'!D106</f>
        <v>553.20000000000005</v>
      </c>
      <c r="DH106" s="5">
        <f>AN106*'MASTER SHEET'!D106</f>
        <v>553.20000000000005</v>
      </c>
      <c r="DI106" s="5">
        <f>AQ106*'MASTER SHEET'!D106</f>
        <v>17702.400000000001</v>
      </c>
      <c r="DJ106" s="5">
        <f>AT106*'MASTER SHEET'!D106</f>
        <v>0</v>
      </c>
      <c r="DK106" s="5">
        <f>AW106*'MASTER SHEET'!D106</f>
        <v>0</v>
      </c>
      <c r="DL106" s="5">
        <f>AZ106*'MASTER SHEET'!D106</f>
        <v>0</v>
      </c>
      <c r="DM106" s="5">
        <f>BC106*'MASTER SHEET'!D106</f>
        <v>0</v>
      </c>
      <c r="DN106" s="5">
        <f>BF106*'MASTER SHEET'!D106</f>
        <v>0</v>
      </c>
      <c r="DO106" s="5">
        <f>BI106*'MASTER SHEET'!D106</f>
        <v>0</v>
      </c>
      <c r="DP106" s="5">
        <f>BL106*'MASTER SHEET'!D106</f>
        <v>0</v>
      </c>
      <c r="DQ106" s="5">
        <f>BO106*'MASTER SHEET'!D106</f>
        <v>0</v>
      </c>
      <c r="DR106" s="5">
        <f>BR106*'MASTER SHEET'!D106</f>
        <v>0</v>
      </c>
      <c r="DS106" s="5">
        <f>BU106*'MASTER SHEET'!D106</f>
        <v>0</v>
      </c>
      <c r="DT106" s="5">
        <f>BX106*'MASTER SHEET'!D106</f>
        <v>0</v>
      </c>
      <c r="DU106" s="5">
        <f>CA106*'MASTER SHEET'!D106</f>
        <v>0</v>
      </c>
      <c r="DV106" s="5">
        <f>CD106*'MASTER SHEET'!D106</f>
        <v>0</v>
      </c>
      <c r="DW106" s="5">
        <f>CG106*'MASTER SHEET'!D106</f>
        <v>0</v>
      </c>
      <c r="DX106" s="5">
        <f>CJ106*'MASTER SHEET'!D106</f>
        <v>0</v>
      </c>
      <c r="DY106" s="5">
        <f>CM106*'MASTER SHEET'!D106</f>
        <v>0</v>
      </c>
      <c r="DZ106" s="5">
        <f>CP106*'MASTER SHEET'!D106</f>
        <v>0</v>
      </c>
      <c r="EA106" s="5">
        <f>CS106*'MASTER SHEET'!D106</f>
        <v>0</v>
      </c>
      <c r="EB106" s="9"/>
    </row>
    <row r="107" spans="1:132" ht="15.75" x14ac:dyDescent="0.25">
      <c r="A107" s="25">
        <f>'MASTER SHEET'!A107</f>
        <v>105</v>
      </c>
      <c r="B107" s="26" t="str">
        <f>'MASTER SHEET'!B107</f>
        <v>END Plate</v>
      </c>
      <c r="C107" s="27">
        <f>'MASTER SHEET'!C107</f>
        <v>5027149</v>
      </c>
      <c r="D107" s="56">
        <v>0</v>
      </c>
      <c r="E107" s="57">
        <f>' WIP '!F107</f>
        <v>0</v>
      </c>
      <c r="F107" s="58">
        <v>0</v>
      </c>
      <c r="G107" s="59">
        <f>D107+E107-F107</f>
        <v>0</v>
      </c>
      <c r="H107" s="57">
        <f>' WIP '!J107</f>
        <v>0</v>
      </c>
      <c r="I107" s="58">
        <v>0</v>
      </c>
      <c r="J107" s="59">
        <f>G107+H107-I107</f>
        <v>0</v>
      </c>
      <c r="K107" s="57">
        <f>' WIP '!N107</f>
        <v>0</v>
      </c>
      <c r="L107" s="58"/>
      <c r="M107" s="59">
        <f>J107+K107-L107</f>
        <v>0</v>
      </c>
      <c r="N107" s="57">
        <f>' WIP '!R107</f>
        <v>0</v>
      </c>
      <c r="O107" s="58">
        <v>0</v>
      </c>
      <c r="P107" s="59">
        <f>M107+N107-O107</f>
        <v>0</v>
      </c>
      <c r="Q107" s="57">
        <f>' WIP '!V107</f>
        <v>0</v>
      </c>
      <c r="R107" s="58">
        <v>0</v>
      </c>
      <c r="S107" s="59">
        <f>P107+Q107-R107</f>
        <v>0</v>
      </c>
      <c r="T107" s="57">
        <f>' WIP '!Z107</f>
        <v>0</v>
      </c>
      <c r="U107" s="58">
        <v>0</v>
      </c>
      <c r="V107" s="59">
        <f>S107+T107-U107</f>
        <v>0</v>
      </c>
      <c r="W107" s="57">
        <f>' WIP '!AD107</f>
        <v>0</v>
      </c>
      <c r="X107" s="58">
        <v>0</v>
      </c>
      <c r="Y107" s="59">
        <f>V107+W107-X107</f>
        <v>0</v>
      </c>
      <c r="Z107" s="57">
        <f>' WIP '!AH107</f>
        <v>0</v>
      </c>
      <c r="AA107" s="58">
        <v>0</v>
      </c>
      <c r="AB107" s="59">
        <f>Y107+Z107-AA107</f>
        <v>0</v>
      </c>
      <c r="AC107" s="57">
        <f>' WIP '!AL107</f>
        <v>0</v>
      </c>
      <c r="AD107" s="58">
        <v>0</v>
      </c>
      <c r="AE107" s="59">
        <f>AB107+AC107-AD107</f>
        <v>0</v>
      </c>
      <c r="AF107" s="57">
        <f>' WIP '!AP107</f>
        <v>0</v>
      </c>
      <c r="AG107" s="114">
        <v>0</v>
      </c>
      <c r="AH107" s="59">
        <f>AE107+AF107-AG107</f>
        <v>0</v>
      </c>
      <c r="AI107" s="57">
        <f>' WIP '!AT107</f>
        <v>0</v>
      </c>
      <c r="AJ107" s="58">
        <v>0</v>
      </c>
      <c r="AK107" s="59">
        <f>AH107+AI107-AJ107</f>
        <v>0</v>
      </c>
      <c r="AL107" s="57">
        <f>' WIP '!AX107</f>
        <v>0</v>
      </c>
      <c r="AM107" s="58"/>
      <c r="AN107" s="59">
        <f>AK107+AL107-AM107</f>
        <v>0</v>
      </c>
      <c r="AO107" s="57">
        <f>' WIP '!BB107</f>
        <v>0</v>
      </c>
      <c r="AP107" s="58">
        <v>0</v>
      </c>
      <c r="AQ107" s="59">
        <f>AN107+AO107-AP107</f>
        <v>0</v>
      </c>
      <c r="AR107" s="57">
        <f>' WIP '!BF107</f>
        <v>0</v>
      </c>
      <c r="AS107" s="58">
        <v>0</v>
      </c>
      <c r="AT107" s="59">
        <f>AQ107+AR107-AS107</f>
        <v>0</v>
      </c>
      <c r="AU107" s="57">
        <f>' WIP '!BJ107</f>
        <v>0</v>
      </c>
      <c r="AV107" s="58">
        <v>0</v>
      </c>
      <c r="AW107" s="59">
        <f>AT107+AU107-AV107</f>
        <v>0</v>
      </c>
      <c r="AX107" s="57">
        <f>' WIP '!BN107</f>
        <v>0</v>
      </c>
      <c r="AY107" s="58">
        <v>0</v>
      </c>
      <c r="AZ107" s="59">
        <f>AW107+AX107-AY107</f>
        <v>0</v>
      </c>
      <c r="BA107" s="57">
        <f>' WIP '!BR107</f>
        <v>0</v>
      </c>
      <c r="BB107" s="58">
        <v>0</v>
      </c>
      <c r="BC107" s="59">
        <f>AZ107+BA107-BB107</f>
        <v>0</v>
      </c>
      <c r="BD107" s="57">
        <f>' WIP '!BV107</f>
        <v>0</v>
      </c>
      <c r="BE107" s="58">
        <v>0</v>
      </c>
      <c r="BF107" s="59">
        <f>BC107+BD107-BE107</f>
        <v>0</v>
      </c>
      <c r="BG107" s="57">
        <f>' WIP '!BZ107</f>
        <v>0</v>
      </c>
      <c r="BH107" s="58"/>
      <c r="BI107" s="59">
        <f>BF107+BG107-BH107</f>
        <v>0</v>
      </c>
      <c r="BJ107" s="57">
        <f>' WIP '!CD107</f>
        <v>0</v>
      </c>
      <c r="BK107" s="58">
        <v>0</v>
      </c>
      <c r="BL107" s="59">
        <f>BI107+BJ107-BK107</f>
        <v>0</v>
      </c>
      <c r="BM107" s="57">
        <f>' WIP '!CH107</f>
        <v>0</v>
      </c>
      <c r="BN107" s="58">
        <v>0</v>
      </c>
      <c r="BO107" s="59">
        <f>BL107+BM107-BN107</f>
        <v>0</v>
      </c>
      <c r="BP107" s="57">
        <f>' WIP '!CL107</f>
        <v>0</v>
      </c>
      <c r="BQ107" s="58"/>
      <c r="BR107" s="59">
        <f>BO107+BP107-BQ107</f>
        <v>0</v>
      </c>
      <c r="BS107" s="57">
        <f>' WIP '!CP107</f>
        <v>0</v>
      </c>
      <c r="BT107" s="58">
        <v>0</v>
      </c>
      <c r="BU107" s="59">
        <f>BR107+BS107-BT107</f>
        <v>0</v>
      </c>
      <c r="BV107" s="57">
        <f>' WIP '!CT107</f>
        <v>0</v>
      </c>
      <c r="BW107" s="28">
        <v>0</v>
      </c>
      <c r="BX107" s="59">
        <f>BU107+BV107-BW107</f>
        <v>0</v>
      </c>
      <c r="BY107" s="57">
        <f>' WIP '!CX107</f>
        <v>0</v>
      </c>
      <c r="BZ107" s="58">
        <v>0</v>
      </c>
      <c r="CA107" s="59">
        <f>BX107+BY107-BZ107</f>
        <v>0</v>
      </c>
      <c r="CB107" s="57">
        <f>' WIP '!DB107</f>
        <v>0</v>
      </c>
      <c r="CC107" s="58">
        <v>0</v>
      </c>
      <c r="CD107" s="59">
        <f>CA107+CB107-CC107</f>
        <v>0</v>
      </c>
      <c r="CE107" s="57">
        <f>' WIP '!DF107</f>
        <v>0</v>
      </c>
      <c r="CF107" s="58">
        <v>0</v>
      </c>
      <c r="CG107" s="59">
        <f>CD107+CE107-CF107</f>
        <v>0</v>
      </c>
      <c r="CH107" s="57">
        <f>' WIP '!DJ107</f>
        <v>0</v>
      </c>
      <c r="CI107" s="58">
        <v>0</v>
      </c>
      <c r="CJ107" s="59">
        <f>CG107+CH107-CI107</f>
        <v>0</v>
      </c>
      <c r="CK107" s="57">
        <f>' WIP '!DN107</f>
        <v>0</v>
      </c>
      <c r="CL107" s="58">
        <v>0</v>
      </c>
      <c r="CM107" s="59">
        <f>CJ107+CK107-CL107</f>
        <v>0</v>
      </c>
      <c r="CN107" s="57">
        <f>' WIP '!DR107</f>
        <v>0</v>
      </c>
      <c r="CO107" s="57"/>
      <c r="CP107" s="59">
        <f>CM107+CN107-CO107</f>
        <v>0</v>
      </c>
      <c r="CQ107" s="57">
        <f>' WIP '!DV107</f>
        <v>0</v>
      </c>
      <c r="CR107" s="58"/>
      <c r="CS107" s="59">
        <f t="shared" si="159"/>
        <v>0</v>
      </c>
      <c r="CT107" s="31">
        <f t="shared" si="160"/>
        <v>0</v>
      </c>
      <c r="CU107" s="4">
        <f t="shared" si="161"/>
        <v>0</v>
      </c>
      <c r="CV107" s="5">
        <f>D107*'MASTER SHEET'!D107</f>
        <v>0</v>
      </c>
      <c r="CW107" s="5">
        <f>G107*'MASTER SHEET'!D107</f>
        <v>0</v>
      </c>
      <c r="CX107" s="5">
        <f>J107*'MASTER SHEET'!D107</f>
        <v>0</v>
      </c>
      <c r="CY107" s="5">
        <f>M107*'MASTER SHEET'!D107</f>
        <v>0</v>
      </c>
      <c r="CZ107" s="5">
        <f>P107*'MASTER SHEET'!D107</f>
        <v>0</v>
      </c>
      <c r="DA107" s="5">
        <f>S107*'MASTER SHEET'!D107</f>
        <v>0</v>
      </c>
      <c r="DB107" s="5">
        <f>V107*'MASTER SHEET'!D107</f>
        <v>0</v>
      </c>
      <c r="DC107" s="5">
        <f>Y107*'MASTER SHEET'!D107</f>
        <v>0</v>
      </c>
      <c r="DD107" s="5">
        <f>AB107*'MASTER SHEET'!D107</f>
        <v>0</v>
      </c>
      <c r="DE107" s="5">
        <f>AE107*'MASTER SHEET'!D107</f>
        <v>0</v>
      </c>
      <c r="DF107" s="5">
        <f>AH107*'MASTER SHEET'!D107</f>
        <v>0</v>
      </c>
      <c r="DG107" s="5">
        <f>AK107*'MASTER SHEET'!D107</f>
        <v>0</v>
      </c>
      <c r="DH107" s="5">
        <f>AN107*'MASTER SHEET'!D107</f>
        <v>0</v>
      </c>
      <c r="DI107" s="5">
        <f>AQ107*'MASTER SHEET'!D107</f>
        <v>0</v>
      </c>
      <c r="DJ107" s="5">
        <f>AT107*'MASTER SHEET'!D107</f>
        <v>0</v>
      </c>
      <c r="DK107" s="5">
        <f>AW107*'MASTER SHEET'!D107</f>
        <v>0</v>
      </c>
      <c r="DL107" s="5">
        <f>AZ107*'MASTER SHEET'!D107</f>
        <v>0</v>
      </c>
      <c r="DM107" s="5">
        <f>BC107*'MASTER SHEET'!D107</f>
        <v>0</v>
      </c>
      <c r="DN107" s="5">
        <f>BF107*'MASTER SHEET'!D107</f>
        <v>0</v>
      </c>
      <c r="DO107" s="5">
        <f>BI107*'MASTER SHEET'!D107</f>
        <v>0</v>
      </c>
      <c r="DP107" s="5">
        <f>BL107*'MASTER SHEET'!D107</f>
        <v>0</v>
      </c>
      <c r="DQ107" s="5">
        <f>BO107*'MASTER SHEET'!D107</f>
        <v>0</v>
      </c>
      <c r="DR107" s="5">
        <f>BR107*'MASTER SHEET'!D107</f>
        <v>0</v>
      </c>
      <c r="DS107" s="5">
        <f>BU107*'MASTER SHEET'!D107</f>
        <v>0</v>
      </c>
      <c r="DT107" s="5">
        <f>BX107*'MASTER SHEET'!D107</f>
        <v>0</v>
      </c>
      <c r="DU107" s="5">
        <f>CA107*'MASTER SHEET'!D107</f>
        <v>0</v>
      </c>
      <c r="DV107" s="5">
        <f>CD107*'MASTER SHEET'!D107</f>
        <v>0</v>
      </c>
      <c r="DW107" s="5">
        <f>CG107*'MASTER SHEET'!D107</f>
        <v>0</v>
      </c>
      <c r="DX107" s="5">
        <f>CJ107*'MASTER SHEET'!D107</f>
        <v>0</v>
      </c>
      <c r="DY107" s="5">
        <f>CM107*'MASTER SHEET'!D107</f>
        <v>0</v>
      </c>
      <c r="DZ107" s="5">
        <f>CP107*'MASTER SHEET'!D107</f>
        <v>0</v>
      </c>
      <c r="EA107" s="5">
        <f>CS107*'MASTER SHEET'!D107</f>
        <v>0</v>
      </c>
      <c r="EB107" s="9"/>
    </row>
    <row r="108" spans="1:132" ht="15.75" x14ac:dyDescent="0.25">
      <c r="A108" s="25">
        <f>'MASTER SHEET'!A108</f>
        <v>106</v>
      </c>
      <c r="B108" s="26" t="str">
        <f>'MASTER SHEET'!B108</f>
        <v>CENTER TUBE</v>
      </c>
      <c r="C108" s="27">
        <f>'MASTER SHEET'!C108</f>
        <v>5027150</v>
      </c>
      <c r="D108" s="56">
        <v>0</v>
      </c>
      <c r="E108" s="57">
        <f>' WIP '!F108</f>
        <v>0</v>
      </c>
      <c r="F108" s="58">
        <v>0</v>
      </c>
      <c r="G108" s="59">
        <f>D108+E108-F108</f>
        <v>0</v>
      </c>
      <c r="H108" s="57">
        <f>' WIP '!J108</f>
        <v>0</v>
      </c>
      <c r="I108" s="58">
        <v>0</v>
      </c>
      <c r="J108" s="59">
        <f>G108+H108-I108</f>
        <v>0</v>
      </c>
      <c r="K108" s="57">
        <f>' WIP '!N108</f>
        <v>0</v>
      </c>
      <c r="L108" s="58"/>
      <c r="M108" s="59">
        <f>J108+K108-L108</f>
        <v>0</v>
      </c>
      <c r="N108" s="57">
        <f>' WIP '!R108</f>
        <v>0</v>
      </c>
      <c r="O108" s="58">
        <v>0</v>
      </c>
      <c r="P108" s="59">
        <f>M108+N108-O108</f>
        <v>0</v>
      </c>
      <c r="Q108" s="57">
        <f>' WIP '!V108</f>
        <v>0</v>
      </c>
      <c r="R108" s="58">
        <v>0</v>
      </c>
      <c r="S108" s="59">
        <f>P108+Q108-R108</f>
        <v>0</v>
      </c>
      <c r="T108" s="57">
        <f>' WIP '!Z108</f>
        <v>0</v>
      </c>
      <c r="U108" s="58">
        <v>0</v>
      </c>
      <c r="V108" s="59">
        <f>S108+T108-U108</f>
        <v>0</v>
      </c>
      <c r="W108" s="57">
        <f>' WIP '!AD108</f>
        <v>0</v>
      </c>
      <c r="X108" s="58">
        <v>0</v>
      </c>
      <c r="Y108" s="59">
        <f>V108+W108-X108</f>
        <v>0</v>
      </c>
      <c r="Z108" s="57">
        <f>' WIP '!AH108</f>
        <v>0</v>
      </c>
      <c r="AA108" s="58">
        <v>0</v>
      </c>
      <c r="AB108" s="59">
        <f>Y108+Z108-AA108</f>
        <v>0</v>
      </c>
      <c r="AC108" s="57">
        <f>' WIP '!AL108</f>
        <v>0</v>
      </c>
      <c r="AD108" s="58">
        <v>0</v>
      </c>
      <c r="AE108" s="59">
        <f>AB108+AC108-AD108</f>
        <v>0</v>
      </c>
      <c r="AF108" s="57">
        <f>' WIP '!AP108</f>
        <v>0</v>
      </c>
      <c r="AG108" s="114">
        <v>0</v>
      </c>
      <c r="AH108" s="59">
        <f>AE108+AF108-AG108</f>
        <v>0</v>
      </c>
      <c r="AI108" s="57">
        <f>' WIP '!AT108</f>
        <v>0</v>
      </c>
      <c r="AJ108" s="58">
        <v>0</v>
      </c>
      <c r="AK108" s="59">
        <f>AH108+AI108-AJ108</f>
        <v>0</v>
      </c>
      <c r="AL108" s="57">
        <f>' WIP '!AX108</f>
        <v>0</v>
      </c>
      <c r="AM108" s="58"/>
      <c r="AN108" s="59">
        <f>AK108+AL108-AM108</f>
        <v>0</v>
      </c>
      <c r="AO108" s="57">
        <f>' WIP '!BB108</f>
        <v>0</v>
      </c>
      <c r="AP108" s="58">
        <v>0</v>
      </c>
      <c r="AQ108" s="59">
        <f>AN108+AO108-AP108</f>
        <v>0</v>
      </c>
      <c r="AR108" s="57">
        <f>' WIP '!BF108</f>
        <v>0</v>
      </c>
      <c r="AS108" s="58">
        <v>0</v>
      </c>
      <c r="AT108" s="59">
        <f>AQ108+AR108-AS108</f>
        <v>0</v>
      </c>
      <c r="AU108" s="57">
        <f>' WIP '!BJ108</f>
        <v>0</v>
      </c>
      <c r="AV108" s="58">
        <v>0</v>
      </c>
      <c r="AW108" s="59">
        <f>AT108+AU108-AV108</f>
        <v>0</v>
      </c>
      <c r="AX108" s="57">
        <f>' WIP '!BN108</f>
        <v>0</v>
      </c>
      <c r="AY108" s="58">
        <v>0</v>
      </c>
      <c r="AZ108" s="59">
        <f>AW108+AX108-AY108</f>
        <v>0</v>
      </c>
      <c r="BA108" s="57">
        <f>' WIP '!BR108</f>
        <v>0</v>
      </c>
      <c r="BB108" s="58">
        <v>0</v>
      </c>
      <c r="BC108" s="59">
        <f>AZ108+BA108-BB108</f>
        <v>0</v>
      </c>
      <c r="BD108" s="57">
        <f>' WIP '!BV108</f>
        <v>0</v>
      </c>
      <c r="BE108" s="58">
        <v>0</v>
      </c>
      <c r="BF108" s="59">
        <f>BC108+BD108-BE108</f>
        <v>0</v>
      </c>
      <c r="BG108" s="57">
        <f>' WIP '!BZ108</f>
        <v>0</v>
      </c>
      <c r="BH108" s="58"/>
      <c r="BI108" s="59">
        <f>BF108+BG108-BH108</f>
        <v>0</v>
      </c>
      <c r="BJ108" s="57">
        <f>' WIP '!CD108</f>
        <v>0</v>
      </c>
      <c r="BK108" s="58">
        <v>0</v>
      </c>
      <c r="BL108" s="59">
        <f>BI108+BJ108-BK108</f>
        <v>0</v>
      </c>
      <c r="BM108" s="57">
        <f>' WIP '!CH108</f>
        <v>0</v>
      </c>
      <c r="BN108" s="58">
        <v>0</v>
      </c>
      <c r="BO108" s="59">
        <f>BL108+BM108-BN108</f>
        <v>0</v>
      </c>
      <c r="BP108" s="57">
        <f>' WIP '!CL108</f>
        <v>0</v>
      </c>
      <c r="BQ108" s="58"/>
      <c r="BR108" s="59">
        <f>BO108+BP108-BQ108</f>
        <v>0</v>
      </c>
      <c r="BS108" s="57">
        <f>' WIP '!CP108</f>
        <v>0</v>
      </c>
      <c r="BT108" s="58">
        <v>0</v>
      </c>
      <c r="BU108" s="59">
        <f>BR108+BS108-BT108</f>
        <v>0</v>
      </c>
      <c r="BV108" s="57">
        <f>' WIP '!CT108</f>
        <v>0</v>
      </c>
      <c r="BW108" s="28">
        <v>0</v>
      </c>
      <c r="BX108" s="59">
        <f>BU108+BV108-BW108</f>
        <v>0</v>
      </c>
      <c r="BY108" s="57">
        <f>' WIP '!CX108</f>
        <v>0</v>
      </c>
      <c r="BZ108" s="58">
        <v>0</v>
      </c>
      <c r="CA108" s="59">
        <f>BX108+BY108-BZ108</f>
        <v>0</v>
      </c>
      <c r="CB108" s="57">
        <f>' WIP '!DB108</f>
        <v>0</v>
      </c>
      <c r="CC108" s="58">
        <v>0</v>
      </c>
      <c r="CD108" s="59">
        <f>CA108+CB108-CC108</f>
        <v>0</v>
      </c>
      <c r="CE108" s="57">
        <f>' WIP '!DF108</f>
        <v>0</v>
      </c>
      <c r="CF108" s="58">
        <v>0</v>
      </c>
      <c r="CG108" s="59">
        <f>CD108+CE108-CF108</f>
        <v>0</v>
      </c>
      <c r="CH108" s="57">
        <f>' WIP '!DJ108</f>
        <v>0</v>
      </c>
      <c r="CI108" s="58">
        <v>0</v>
      </c>
      <c r="CJ108" s="59">
        <f>CG108+CH108-CI108</f>
        <v>0</v>
      </c>
      <c r="CK108" s="57">
        <f>' WIP '!DN108</f>
        <v>0</v>
      </c>
      <c r="CL108" s="58">
        <v>0</v>
      </c>
      <c r="CM108" s="59">
        <f>CJ108+CK108-CL108</f>
        <v>0</v>
      </c>
      <c r="CN108" s="57">
        <f>' WIP '!DR108</f>
        <v>0</v>
      </c>
      <c r="CO108" s="57"/>
      <c r="CP108" s="59">
        <f>CM108+CN108-CO108</f>
        <v>0</v>
      </c>
      <c r="CQ108" s="57">
        <f>' WIP '!DV108</f>
        <v>0</v>
      </c>
      <c r="CR108" s="58"/>
      <c r="CS108" s="59">
        <f t="shared" si="159"/>
        <v>0</v>
      </c>
      <c r="CT108" s="31">
        <f t="shared" si="160"/>
        <v>0</v>
      </c>
      <c r="CU108" s="4">
        <f t="shared" si="161"/>
        <v>0</v>
      </c>
      <c r="CV108" s="5">
        <f>D108*'MASTER SHEET'!D108</f>
        <v>0</v>
      </c>
      <c r="CW108" s="5">
        <f>G108*'MASTER SHEET'!D108</f>
        <v>0</v>
      </c>
      <c r="CX108" s="5">
        <f>J108*'MASTER SHEET'!D108</f>
        <v>0</v>
      </c>
      <c r="CY108" s="5">
        <f>M108*'MASTER SHEET'!D108</f>
        <v>0</v>
      </c>
      <c r="CZ108" s="5">
        <f>P108*'MASTER SHEET'!D108</f>
        <v>0</v>
      </c>
      <c r="DA108" s="5">
        <f>S108*'MASTER SHEET'!D108</f>
        <v>0</v>
      </c>
      <c r="DB108" s="5">
        <f>V108*'MASTER SHEET'!D108</f>
        <v>0</v>
      </c>
      <c r="DC108" s="5">
        <f>Y108*'MASTER SHEET'!D108</f>
        <v>0</v>
      </c>
      <c r="DD108" s="5">
        <f>AB108*'MASTER SHEET'!D108</f>
        <v>0</v>
      </c>
      <c r="DE108" s="5">
        <f>AE108*'MASTER SHEET'!D108</f>
        <v>0</v>
      </c>
      <c r="DF108" s="5">
        <f>AH108*'MASTER SHEET'!D108</f>
        <v>0</v>
      </c>
      <c r="DG108" s="5">
        <f>AK108*'MASTER SHEET'!D108</f>
        <v>0</v>
      </c>
      <c r="DH108" s="5">
        <f>AN108*'MASTER SHEET'!D108</f>
        <v>0</v>
      </c>
      <c r="DI108" s="5">
        <f>AQ108*'MASTER SHEET'!D108</f>
        <v>0</v>
      </c>
      <c r="DJ108" s="5">
        <f>AT108*'MASTER SHEET'!D108</f>
        <v>0</v>
      </c>
      <c r="DK108" s="5">
        <f>AW108*'MASTER SHEET'!D108</f>
        <v>0</v>
      </c>
      <c r="DL108" s="5">
        <f>AZ108*'MASTER SHEET'!D108</f>
        <v>0</v>
      </c>
      <c r="DM108" s="5">
        <f>BC108*'MASTER SHEET'!D108</f>
        <v>0</v>
      </c>
      <c r="DN108" s="5">
        <f>BF108*'MASTER SHEET'!D108</f>
        <v>0</v>
      </c>
      <c r="DO108" s="5">
        <f>BI108*'MASTER SHEET'!D108</f>
        <v>0</v>
      </c>
      <c r="DP108" s="5">
        <f>BL108*'MASTER SHEET'!D108</f>
        <v>0</v>
      </c>
      <c r="DQ108" s="5">
        <f>BO108*'MASTER SHEET'!D108</f>
        <v>0</v>
      </c>
      <c r="DR108" s="5">
        <f>BR108*'MASTER SHEET'!D108</f>
        <v>0</v>
      </c>
      <c r="DS108" s="5">
        <f>BU108*'MASTER SHEET'!D108</f>
        <v>0</v>
      </c>
      <c r="DT108" s="5">
        <f>BX108*'MASTER SHEET'!D108</f>
        <v>0</v>
      </c>
      <c r="DU108" s="5">
        <f>CA108*'MASTER SHEET'!D108</f>
        <v>0</v>
      </c>
      <c r="DV108" s="5">
        <f>CD108*'MASTER SHEET'!D108</f>
        <v>0</v>
      </c>
      <c r="DW108" s="5">
        <f>CG108*'MASTER SHEET'!D108</f>
        <v>0</v>
      </c>
      <c r="DX108" s="5">
        <f>CJ108*'MASTER SHEET'!D108</f>
        <v>0</v>
      </c>
      <c r="DY108" s="5">
        <f>CM108*'MASTER SHEET'!D108</f>
        <v>0</v>
      </c>
      <c r="DZ108" s="5">
        <f>CP108*'MASTER SHEET'!D108</f>
        <v>0</v>
      </c>
      <c r="EA108" s="5">
        <f>CS108*'MASTER SHEET'!D108</f>
        <v>0</v>
      </c>
      <c r="EB108" s="9"/>
    </row>
    <row r="109" spans="1:132" ht="15.75" x14ac:dyDescent="0.25">
      <c r="A109" s="25">
        <f>'MASTER SHEET'!A109</f>
        <v>107</v>
      </c>
      <c r="B109" s="26" t="str">
        <f>'MASTER SHEET'!B109</f>
        <v>END PLATE</v>
      </c>
      <c r="C109" s="27">
        <f>'MASTER SHEET'!C109</f>
        <v>5011415</v>
      </c>
      <c r="D109" s="56">
        <v>0</v>
      </c>
      <c r="E109" s="57"/>
      <c r="F109" s="58">
        <v>0</v>
      </c>
      <c r="G109" s="59"/>
      <c r="H109" s="57"/>
      <c r="I109" s="58">
        <v>0</v>
      </c>
      <c r="J109" s="59"/>
      <c r="K109" s="57"/>
      <c r="L109" s="58"/>
      <c r="M109" s="59"/>
      <c r="N109" s="57"/>
      <c r="O109" s="58">
        <v>0</v>
      </c>
      <c r="P109" s="59"/>
      <c r="Q109" s="57"/>
      <c r="R109" s="58">
        <v>0</v>
      </c>
      <c r="S109" s="59"/>
      <c r="T109" s="57"/>
      <c r="U109" s="58">
        <v>0</v>
      </c>
      <c r="V109" s="59"/>
      <c r="W109" s="57"/>
      <c r="X109" s="58">
        <v>0</v>
      </c>
      <c r="Y109" s="59"/>
      <c r="Z109" s="57"/>
      <c r="AA109" s="58">
        <v>0</v>
      </c>
      <c r="AB109" s="59"/>
      <c r="AC109" s="57"/>
      <c r="AD109" s="58">
        <v>0</v>
      </c>
      <c r="AE109" s="59"/>
      <c r="AF109" s="57"/>
      <c r="AG109" s="114">
        <v>0</v>
      </c>
      <c r="AH109" s="59"/>
      <c r="AI109" s="57"/>
      <c r="AJ109" s="58">
        <v>0</v>
      </c>
      <c r="AK109" s="59"/>
      <c r="AL109" s="57"/>
      <c r="AM109" s="58"/>
      <c r="AN109" s="59"/>
      <c r="AO109" s="57"/>
      <c r="AP109" s="58">
        <v>0</v>
      </c>
      <c r="AQ109" s="59"/>
      <c r="AR109" s="57"/>
      <c r="AS109" s="58">
        <v>0</v>
      </c>
      <c r="AT109" s="59"/>
      <c r="AU109" s="57"/>
      <c r="AV109" s="58">
        <v>0</v>
      </c>
      <c r="AW109" s="59"/>
      <c r="AX109" s="57"/>
      <c r="AY109" s="58">
        <v>0</v>
      </c>
      <c r="AZ109" s="59"/>
      <c r="BA109" s="57"/>
      <c r="BB109" s="58">
        <v>0</v>
      </c>
      <c r="BC109" s="59"/>
      <c r="BD109" s="57"/>
      <c r="BE109" s="58">
        <v>0</v>
      </c>
      <c r="BF109" s="59"/>
      <c r="BG109" s="57"/>
      <c r="BH109" s="58"/>
      <c r="BI109" s="59"/>
      <c r="BJ109" s="57"/>
      <c r="BK109" s="58">
        <v>0</v>
      </c>
      <c r="BL109" s="59"/>
      <c r="BM109" s="57"/>
      <c r="BN109" s="58">
        <v>0</v>
      </c>
      <c r="BO109" s="59"/>
      <c r="BP109" s="57"/>
      <c r="BQ109" s="58"/>
      <c r="BR109" s="59"/>
      <c r="BS109" s="57"/>
      <c r="BT109" s="58">
        <v>0</v>
      </c>
      <c r="BU109" s="59"/>
      <c r="BV109" s="57"/>
      <c r="BW109" s="28">
        <v>0</v>
      </c>
      <c r="BX109" s="59"/>
      <c r="BY109" s="57"/>
      <c r="BZ109" s="58">
        <v>0</v>
      </c>
      <c r="CA109" s="59"/>
      <c r="CB109" s="57"/>
      <c r="CC109" s="58">
        <v>0</v>
      </c>
      <c r="CD109" s="59"/>
      <c r="CE109" s="57"/>
      <c r="CF109" s="58">
        <v>0</v>
      </c>
      <c r="CG109" s="59"/>
      <c r="CH109" s="57"/>
      <c r="CI109" s="58">
        <v>0</v>
      </c>
      <c r="CJ109" s="59"/>
      <c r="CK109" s="57"/>
      <c r="CL109" s="58">
        <v>0</v>
      </c>
      <c r="CM109" s="59"/>
      <c r="CN109" s="57">
        <f>' WIP '!DR109</f>
        <v>0</v>
      </c>
      <c r="CO109" s="57"/>
      <c r="CP109" s="59"/>
      <c r="CQ109" s="57">
        <f>' WIP '!DV109</f>
        <v>0</v>
      </c>
      <c r="CR109" s="58"/>
      <c r="CS109" s="59"/>
      <c r="CT109" s="31">
        <f t="shared" si="160"/>
        <v>0</v>
      </c>
      <c r="CU109" s="4">
        <f t="shared" si="161"/>
        <v>0</v>
      </c>
      <c r="CV109" s="5">
        <f>D109*'MASTER SHEET'!D109</f>
        <v>0</v>
      </c>
      <c r="CW109" s="5">
        <f>G109*'MASTER SHEET'!D109</f>
        <v>0</v>
      </c>
      <c r="CX109" s="5">
        <f>J109*'MASTER SHEET'!D109</f>
        <v>0</v>
      </c>
      <c r="CY109" s="5">
        <f>M109*'MASTER SHEET'!D109</f>
        <v>0</v>
      </c>
      <c r="CZ109" s="5">
        <f>P109*'MASTER SHEET'!D109</f>
        <v>0</v>
      </c>
      <c r="DA109" s="5">
        <f>S109*'MASTER SHEET'!D109</f>
        <v>0</v>
      </c>
      <c r="DB109" s="5">
        <f>V109*'MASTER SHEET'!D109</f>
        <v>0</v>
      </c>
      <c r="DC109" s="5">
        <f>Y109*'MASTER SHEET'!D109</f>
        <v>0</v>
      </c>
      <c r="DD109" s="5">
        <f>AB109*'MASTER SHEET'!D109</f>
        <v>0</v>
      </c>
      <c r="DE109" s="5">
        <f>AE109*'MASTER SHEET'!D109</f>
        <v>0</v>
      </c>
      <c r="DF109" s="5">
        <f>AH109*'MASTER SHEET'!D109</f>
        <v>0</v>
      </c>
      <c r="DG109" s="5">
        <f>AK109*'MASTER SHEET'!D109</f>
        <v>0</v>
      </c>
      <c r="DH109" s="5">
        <f>AN109*'MASTER SHEET'!D109</f>
        <v>0</v>
      </c>
      <c r="DI109" s="5">
        <f>AQ109*'MASTER SHEET'!D109</f>
        <v>0</v>
      </c>
      <c r="DJ109" s="5">
        <f>AT109*'MASTER SHEET'!D109</f>
        <v>0</v>
      </c>
      <c r="DK109" s="5">
        <f>AW109*'MASTER SHEET'!D109</f>
        <v>0</v>
      </c>
      <c r="DL109" s="5">
        <f>AZ109*'MASTER SHEET'!D109</f>
        <v>0</v>
      </c>
      <c r="DM109" s="5">
        <f>BC109*'MASTER SHEET'!D109</f>
        <v>0</v>
      </c>
      <c r="DN109" s="5">
        <f>BF109*'MASTER SHEET'!D109</f>
        <v>0</v>
      </c>
      <c r="DO109" s="5">
        <f>BI109*'MASTER SHEET'!D109</f>
        <v>0</v>
      </c>
      <c r="DP109" s="5">
        <f>BL109*'MASTER SHEET'!D109</f>
        <v>0</v>
      </c>
      <c r="DQ109" s="5">
        <f>BO109*'MASTER SHEET'!D109</f>
        <v>0</v>
      </c>
      <c r="DR109" s="5">
        <f>BR109*'MASTER SHEET'!D109</f>
        <v>0</v>
      </c>
      <c r="DS109" s="5">
        <f>BU109*'MASTER SHEET'!D109</f>
        <v>0</v>
      </c>
      <c r="DT109" s="5">
        <f>BX109*'MASTER SHEET'!D109</f>
        <v>0</v>
      </c>
      <c r="DU109" s="5">
        <f>CA109*'MASTER SHEET'!D109</f>
        <v>0</v>
      </c>
      <c r="DV109" s="5">
        <f>CD109*'MASTER SHEET'!D109</f>
        <v>0</v>
      </c>
      <c r="DW109" s="5">
        <f>CG109*'MASTER SHEET'!D109</f>
        <v>0</v>
      </c>
      <c r="DX109" s="5">
        <f>CJ109*'MASTER SHEET'!D109</f>
        <v>0</v>
      </c>
      <c r="DY109" s="5">
        <f>CM109*'MASTER SHEET'!D109</f>
        <v>0</v>
      </c>
      <c r="DZ109" s="5">
        <f>CP109*'MASTER SHEET'!D109</f>
        <v>0</v>
      </c>
      <c r="EA109" s="5">
        <f>CS109*'MASTER SHEET'!D109</f>
        <v>0</v>
      </c>
      <c r="EB109" s="9"/>
    </row>
    <row r="110" spans="1:132" ht="15.75" x14ac:dyDescent="0.25">
      <c r="A110" s="25">
        <f>'MASTER SHEET'!A110</f>
        <v>108</v>
      </c>
      <c r="B110" s="26" t="str">
        <f>'MASTER SHEET'!B110</f>
        <v>END PLATE</v>
      </c>
      <c r="C110" s="27">
        <f>'MASTER SHEET'!C110</f>
        <v>5016811</v>
      </c>
      <c r="D110" s="56">
        <v>0</v>
      </c>
      <c r="E110" s="57"/>
      <c r="F110" s="58">
        <v>0</v>
      </c>
      <c r="G110" s="59"/>
      <c r="H110" s="57"/>
      <c r="I110" s="58">
        <v>0</v>
      </c>
      <c r="J110" s="59"/>
      <c r="K110" s="57"/>
      <c r="L110" s="58"/>
      <c r="M110" s="59"/>
      <c r="N110" s="57"/>
      <c r="O110" s="58">
        <v>0</v>
      </c>
      <c r="P110" s="59"/>
      <c r="Q110" s="57"/>
      <c r="R110" s="58">
        <v>0</v>
      </c>
      <c r="S110" s="59"/>
      <c r="T110" s="57"/>
      <c r="U110" s="58">
        <v>0</v>
      </c>
      <c r="V110" s="59"/>
      <c r="W110" s="57"/>
      <c r="X110" s="58">
        <v>0</v>
      </c>
      <c r="Y110" s="59"/>
      <c r="Z110" s="57"/>
      <c r="AA110" s="58">
        <v>0</v>
      </c>
      <c r="AB110" s="59"/>
      <c r="AC110" s="57"/>
      <c r="AD110" s="58">
        <v>0</v>
      </c>
      <c r="AE110" s="59"/>
      <c r="AF110" s="57"/>
      <c r="AG110" s="114">
        <v>0</v>
      </c>
      <c r="AH110" s="59"/>
      <c r="AI110" s="57"/>
      <c r="AJ110" s="58">
        <v>0</v>
      </c>
      <c r="AK110" s="59"/>
      <c r="AL110" s="57"/>
      <c r="AM110" s="58"/>
      <c r="AN110" s="59"/>
      <c r="AO110" s="57"/>
      <c r="AP110" s="58">
        <v>0</v>
      </c>
      <c r="AQ110" s="59"/>
      <c r="AR110" s="57"/>
      <c r="AS110" s="58">
        <v>0</v>
      </c>
      <c r="AT110" s="59"/>
      <c r="AU110" s="57"/>
      <c r="AV110" s="58">
        <v>0</v>
      </c>
      <c r="AW110" s="59"/>
      <c r="AX110" s="57"/>
      <c r="AY110" s="58">
        <v>0</v>
      </c>
      <c r="AZ110" s="59"/>
      <c r="BA110" s="57"/>
      <c r="BB110" s="58">
        <v>0</v>
      </c>
      <c r="BC110" s="59"/>
      <c r="BD110" s="57"/>
      <c r="BE110" s="58">
        <v>0</v>
      </c>
      <c r="BF110" s="59"/>
      <c r="BG110" s="57"/>
      <c r="BH110" s="58"/>
      <c r="BI110" s="59"/>
      <c r="BJ110" s="57"/>
      <c r="BK110" s="58">
        <v>0</v>
      </c>
      <c r="BL110" s="59"/>
      <c r="BM110" s="57"/>
      <c r="BN110" s="58">
        <v>0</v>
      </c>
      <c r="BO110" s="59"/>
      <c r="BP110" s="57"/>
      <c r="BQ110" s="58"/>
      <c r="BR110" s="59"/>
      <c r="BS110" s="57"/>
      <c r="BT110" s="58">
        <v>0</v>
      </c>
      <c r="BU110" s="59"/>
      <c r="BV110" s="57"/>
      <c r="BW110" s="28">
        <v>0</v>
      </c>
      <c r="BX110" s="59"/>
      <c r="BY110" s="57"/>
      <c r="BZ110" s="58">
        <v>0</v>
      </c>
      <c r="CA110" s="59"/>
      <c r="CB110" s="57"/>
      <c r="CC110" s="58">
        <v>0</v>
      </c>
      <c r="CD110" s="59"/>
      <c r="CE110" s="57"/>
      <c r="CF110" s="58">
        <v>0</v>
      </c>
      <c r="CG110" s="59"/>
      <c r="CH110" s="57"/>
      <c r="CI110" s="58">
        <v>0</v>
      </c>
      <c r="CJ110" s="59"/>
      <c r="CK110" s="57"/>
      <c r="CL110" s="58">
        <v>0</v>
      </c>
      <c r="CM110" s="59"/>
      <c r="CN110" s="57">
        <f>' WIP '!DR110</f>
        <v>0</v>
      </c>
      <c r="CO110" s="57"/>
      <c r="CP110" s="59"/>
      <c r="CQ110" s="57">
        <f>' WIP '!DV110</f>
        <v>0</v>
      </c>
      <c r="CR110" s="58"/>
      <c r="CS110" s="59"/>
      <c r="CT110" s="31">
        <f t="shared" si="160"/>
        <v>0</v>
      </c>
      <c r="CU110" s="4">
        <f t="shared" si="161"/>
        <v>0</v>
      </c>
      <c r="CV110" s="5">
        <f>D110*'MASTER SHEET'!D110</f>
        <v>0</v>
      </c>
      <c r="CW110" s="5">
        <f>G110*'MASTER SHEET'!D110</f>
        <v>0</v>
      </c>
      <c r="CX110" s="5">
        <f>J110*'MASTER SHEET'!D110</f>
        <v>0</v>
      </c>
      <c r="CY110" s="5">
        <f>M110*'MASTER SHEET'!D110</f>
        <v>0</v>
      </c>
      <c r="CZ110" s="5">
        <f>P110*'MASTER SHEET'!D110</f>
        <v>0</v>
      </c>
      <c r="DA110" s="5">
        <f>S110*'MASTER SHEET'!D110</f>
        <v>0</v>
      </c>
      <c r="DB110" s="5">
        <f>V110*'MASTER SHEET'!D110</f>
        <v>0</v>
      </c>
      <c r="DC110" s="5">
        <f>Y110*'MASTER SHEET'!D110</f>
        <v>0</v>
      </c>
      <c r="DD110" s="5">
        <f>AB110*'MASTER SHEET'!D110</f>
        <v>0</v>
      </c>
      <c r="DE110" s="5">
        <f>AE110*'MASTER SHEET'!D110</f>
        <v>0</v>
      </c>
      <c r="DF110" s="5">
        <f>AH110*'MASTER SHEET'!D110</f>
        <v>0</v>
      </c>
      <c r="DG110" s="5">
        <f>AK110*'MASTER SHEET'!D110</f>
        <v>0</v>
      </c>
      <c r="DH110" s="5">
        <f>AN110*'MASTER SHEET'!D110</f>
        <v>0</v>
      </c>
      <c r="DI110" s="5">
        <f>AQ110*'MASTER SHEET'!D110</f>
        <v>0</v>
      </c>
      <c r="DJ110" s="5">
        <f>AT110*'MASTER SHEET'!D110</f>
        <v>0</v>
      </c>
      <c r="DK110" s="5">
        <f>AW110*'MASTER SHEET'!D110</f>
        <v>0</v>
      </c>
      <c r="DL110" s="5">
        <f>AZ110*'MASTER SHEET'!D110</f>
        <v>0</v>
      </c>
      <c r="DM110" s="5">
        <f>BC110*'MASTER SHEET'!D110</f>
        <v>0</v>
      </c>
      <c r="DN110" s="5">
        <f>BF110*'MASTER SHEET'!D110</f>
        <v>0</v>
      </c>
      <c r="DO110" s="5">
        <f>BI110*'MASTER SHEET'!D110</f>
        <v>0</v>
      </c>
      <c r="DP110" s="5">
        <f>BL110*'MASTER SHEET'!D110</f>
        <v>0</v>
      </c>
      <c r="DQ110" s="5">
        <f>BO110*'MASTER SHEET'!D110</f>
        <v>0</v>
      </c>
      <c r="DR110" s="5">
        <f>BR110*'MASTER SHEET'!D110</f>
        <v>0</v>
      </c>
      <c r="DS110" s="5">
        <f>BU110*'MASTER SHEET'!D110</f>
        <v>0</v>
      </c>
      <c r="DT110" s="5">
        <f>BX110*'MASTER SHEET'!D110</f>
        <v>0</v>
      </c>
      <c r="DU110" s="5">
        <f>CA110*'MASTER SHEET'!D110</f>
        <v>0</v>
      </c>
      <c r="DV110" s="5">
        <f>CD110*'MASTER SHEET'!D110</f>
        <v>0</v>
      </c>
      <c r="DW110" s="5">
        <f>CG110*'MASTER SHEET'!D110</f>
        <v>0</v>
      </c>
      <c r="DX110" s="5">
        <f>CJ110*'MASTER SHEET'!D110</f>
        <v>0</v>
      </c>
      <c r="DY110" s="5">
        <f>CM110*'MASTER SHEET'!D110</f>
        <v>0</v>
      </c>
      <c r="DZ110" s="5">
        <f>CP110*'MASTER SHEET'!D110</f>
        <v>0</v>
      </c>
      <c r="EA110" s="5">
        <f>CS110*'MASTER SHEET'!D110</f>
        <v>0</v>
      </c>
      <c r="EB110" s="9"/>
    </row>
    <row r="111" spans="1:132" ht="15.75" x14ac:dyDescent="0.25">
      <c r="A111" s="25">
        <f>'MASTER SHEET'!A111</f>
        <v>109</v>
      </c>
      <c r="B111" s="26" t="str">
        <f>'MASTER SHEET'!B111</f>
        <v>TUBE OVER FLOW</v>
      </c>
      <c r="C111" s="27">
        <f>'MASTER SHEET'!C111</f>
        <v>5030786</v>
      </c>
      <c r="D111" s="56">
        <v>3400</v>
      </c>
      <c r="E111" s="57">
        <f>' WIP '!F111</f>
        <v>0</v>
      </c>
      <c r="F111" s="58">
        <v>0</v>
      </c>
      <c r="G111" s="59">
        <f t="shared" ref="G111:G142" si="162">D111+E111-F111</f>
        <v>3400</v>
      </c>
      <c r="H111" s="57">
        <f>' WIP '!J111</f>
        <v>0</v>
      </c>
      <c r="I111" s="58">
        <v>0</v>
      </c>
      <c r="J111" s="59">
        <f t="shared" ref="J111:J142" si="163">G111+H111-I111</f>
        <v>3400</v>
      </c>
      <c r="K111" s="57">
        <f>' WIP '!N111</f>
        <v>0</v>
      </c>
      <c r="L111" s="58"/>
      <c r="M111" s="59">
        <f t="shared" ref="M111:M142" si="164">J111+K111-L111</f>
        <v>3400</v>
      </c>
      <c r="N111" s="57">
        <f>' WIP '!R111</f>
        <v>0</v>
      </c>
      <c r="O111" s="58">
        <v>399</v>
      </c>
      <c r="P111" s="59">
        <f t="shared" ref="P111:P142" si="165">M111+N111-O111</f>
        <v>3001</v>
      </c>
      <c r="Q111" s="57">
        <f>' WIP '!V111</f>
        <v>0</v>
      </c>
      <c r="R111" s="58">
        <v>0</v>
      </c>
      <c r="S111" s="59">
        <f t="shared" ref="S111:S142" si="166">P111+Q111-R111</f>
        <v>3001</v>
      </c>
      <c r="T111" s="57">
        <f>' WIP '!Z111</f>
        <v>0</v>
      </c>
      <c r="U111" s="58">
        <v>0</v>
      </c>
      <c r="V111" s="59">
        <f t="shared" ref="V111:V142" si="167">S111+T111-U111</f>
        <v>3001</v>
      </c>
      <c r="W111" s="57">
        <f>' WIP '!AD111</f>
        <v>0</v>
      </c>
      <c r="X111" s="58">
        <v>0</v>
      </c>
      <c r="Y111" s="59">
        <f t="shared" ref="Y111:Y142" si="168">V111+W111-X111</f>
        <v>3001</v>
      </c>
      <c r="Z111" s="57">
        <f>' WIP '!AH111</f>
        <v>0</v>
      </c>
      <c r="AA111" s="58">
        <v>0</v>
      </c>
      <c r="AB111" s="59">
        <f t="shared" ref="AB111:AB142" si="169">Y111+Z111-AA111</f>
        <v>3001</v>
      </c>
      <c r="AC111" s="57">
        <f>' WIP '!AL111</f>
        <v>0</v>
      </c>
      <c r="AD111" s="58">
        <v>0</v>
      </c>
      <c r="AE111" s="59">
        <f t="shared" ref="AE111:AE142" si="170">AB111+AC111-AD111</f>
        <v>3001</v>
      </c>
      <c r="AF111" s="57">
        <f>' WIP '!AP111</f>
        <v>0</v>
      </c>
      <c r="AG111" s="114">
        <v>0</v>
      </c>
      <c r="AH111" s="59">
        <f t="shared" ref="AH111:AH142" si="171">AE111+AF111-AG111</f>
        <v>3001</v>
      </c>
      <c r="AI111" s="57">
        <f>' WIP '!AT111</f>
        <v>0</v>
      </c>
      <c r="AJ111" s="58">
        <v>800</v>
      </c>
      <c r="AK111" s="59">
        <f t="shared" ref="AK111:AK142" si="172">AH111+AI111-AJ111</f>
        <v>2201</v>
      </c>
      <c r="AL111" s="57">
        <f>' WIP '!AX111</f>
        <v>0</v>
      </c>
      <c r="AM111" s="58"/>
      <c r="AN111" s="59">
        <f t="shared" ref="AN111:AN142" si="173">AK111+AL111-AM111</f>
        <v>2201</v>
      </c>
      <c r="AO111" s="57">
        <f>' WIP '!BB111</f>
        <v>0</v>
      </c>
      <c r="AP111" s="58">
        <v>0</v>
      </c>
      <c r="AQ111" s="59">
        <f t="shared" ref="AQ111:AQ142" si="174">AN111+AO111-AP111</f>
        <v>2201</v>
      </c>
      <c r="AR111" s="57">
        <f>' WIP '!BF111</f>
        <v>0</v>
      </c>
      <c r="AS111" s="58">
        <v>0</v>
      </c>
      <c r="AT111" s="59">
        <f t="shared" ref="AT111:AT142" si="175">AQ111+AR111-AS111</f>
        <v>2201</v>
      </c>
      <c r="AU111" s="57">
        <f>' WIP '!BJ111</f>
        <v>0</v>
      </c>
      <c r="AV111" s="58">
        <v>0</v>
      </c>
      <c r="AW111" s="59">
        <f t="shared" ref="AW111:AW142" si="176">AT111+AU111-AV111</f>
        <v>2201</v>
      </c>
      <c r="AX111" s="57">
        <f>' WIP '!BN111</f>
        <v>0</v>
      </c>
      <c r="AY111" s="58">
        <v>200</v>
      </c>
      <c r="AZ111" s="59">
        <f t="shared" ref="AZ111:AZ142" si="177">AW111+AX111-AY111</f>
        <v>2001</v>
      </c>
      <c r="BA111" s="57">
        <f>' WIP '!BR111</f>
        <v>0</v>
      </c>
      <c r="BB111" s="58">
        <v>0</v>
      </c>
      <c r="BC111" s="59">
        <f t="shared" ref="BC111:BC142" si="178">AZ111+BA111-BB111</f>
        <v>2001</v>
      </c>
      <c r="BD111" s="57">
        <f>' WIP '!BV111</f>
        <v>0</v>
      </c>
      <c r="BE111" s="58">
        <v>0</v>
      </c>
      <c r="BF111" s="59">
        <f t="shared" ref="BF111:BF142" si="179">BC111+BD111-BE111</f>
        <v>2001</v>
      </c>
      <c r="BG111" s="57">
        <f>' WIP '!BZ111</f>
        <v>0</v>
      </c>
      <c r="BH111" s="58"/>
      <c r="BI111" s="59">
        <f t="shared" ref="BI111:BI142" si="180">BF111+BG111-BH111</f>
        <v>2001</v>
      </c>
      <c r="BJ111" s="57">
        <f>' WIP '!CD111</f>
        <v>0</v>
      </c>
      <c r="BK111" s="58">
        <v>0</v>
      </c>
      <c r="BL111" s="59">
        <f t="shared" ref="BL111:BL142" si="181">BI111+BJ111-BK111</f>
        <v>2001</v>
      </c>
      <c r="BM111" s="57">
        <f>' WIP '!CH111</f>
        <v>0</v>
      </c>
      <c r="BN111" s="58">
        <v>400</v>
      </c>
      <c r="BO111" s="59">
        <f t="shared" ref="BO111:BO142" si="182">BL111+BM111-BN111</f>
        <v>1601</v>
      </c>
      <c r="BP111" s="57">
        <f>' WIP '!CL111</f>
        <v>0</v>
      </c>
      <c r="BQ111" s="58"/>
      <c r="BR111" s="59">
        <f t="shared" ref="BR111:BR142" si="183">BO111+BP111-BQ111</f>
        <v>1601</v>
      </c>
      <c r="BS111" s="57">
        <f>' WIP '!CP111</f>
        <v>0</v>
      </c>
      <c r="BT111" s="58">
        <v>0</v>
      </c>
      <c r="BU111" s="59">
        <f t="shared" ref="BU111:BU142" si="184">BR111+BS111-BT111</f>
        <v>1601</v>
      </c>
      <c r="BV111" s="57">
        <f>' WIP '!CT111</f>
        <v>0</v>
      </c>
      <c r="BW111" s="28">
        <v>0</v>
      </c>
      <c r="BX111" s="59">
        <f t="shared" ref="BX111:BX142" si="185">BU111+BV111-BW111</f>
        <v>1601</v>
      </c>
      <c r="BY111" s="57">
        <f>' WIP '!CX111</f>
        <v>0</v>
      </c>
      <c r="BZ111" s="58">
        <v>800</v>
      </c>
      <c r="CA111" s="59">
        <f t="shared" ref="CA111:CA142" si="186">BX111+BY111-BZ111</f>
        <v>801</v>
      </c>
      <c r="CB111" s="57">
        <f>' WIP '!DB111</f>
        <v>0</v>
      </c>
      <c r="CC111" s="58">
        <v>0</v>
      </c>
      <c r="CD111" s="59">
        <f t="shared" ref="CD111:CD142" si="187">CA111+CB111-CC111</f>
        <v>801</v>
      </c>
      <c r="CE111" s="57">
        <f>' WIP '!DF111</f>
        <v>0</v>
      </c>
      <c r="CF111" s="58">
        <v>0</v>
      </c>
      <c r="CG111" s="59">
        <f t="shared" ref="CG111:CG142" si="188">CD111+CE111-CF111</f>
        <v>801</v>
      </c>
      <c r="CH111" s="57">
        <f>' WIP '!DJ111</f>
        <v>0</v>
      </c>
      <c r="CI111" s="58">
        <v>200</v>
      </c>
      <c r="CJ111" s="59">
        <f t="shared" ref="CJ111:CJ142" si="189">CG111+CH111-CI111</f>
        <v>601</v>
      </c>
      <c r="CK111" s="57">
        <f>' WIP '!DN111</f>
        <v>0</v>
      </c>
      <c r="CL111" s="58">
        <v>600</v>
      </c>
      <c r="CM111" s="59">
        <f t="shared" ref="CM111:CM142" si="190">CJ111+CK111-CL111</f>
        <v>1</v>
      </c>
      <c r="CN111" s="57">
        <f>' WIP '!DR111</f>
        <v>0</v>
      </c>
      <c r="CO111" s="57"/>
      <c r="CP111" s="59">
        <f t="shared" ref="CP111:CP142" si="191">CM111+CN111-CO111</f>
        <v>1</v>
      </c>
      <c r="CQ111" s="57">
        <f>' WIP '!DV111</f>
        <v>0</v>
      </c>
      <c r="CR111" s="58"/>
      <c r="CS111" s="59">
        <f t="shared" ref="CS111:CS142" si="192">CP111+CQ111-CR111</f>
        <v>1</v>
      </c>
      <c r="CT111" s="31">
        <f t="shared" si="160"/>
        <v>3400</v>
      </c>
      <c r="CU111" s="4">
        <f t="shared" si="161"/>
        <v>3399</v>
      </c>
      <c r="CV111" s="5">
        <f>D111*'MASTER SHEET'!D111</f>
        <v>22644</v>
      </c>
      <c r="CW111" s="5">
        <f>G111*'MASTER SHEET'!D111</f>
        <v>22644</v>
      </c>
      <c r="CX111" s="5">
        <f>J111*'MASTER SHEET'!D111</f>
        <v>22644</v>
      </c>
      <c r="CY111" s="5">
        <f>M111*'MASTER SHEET'!D111</f>
        <v>22644</v>
      </c>
      <c r="CZ111" s="5">
        <f>P111*'MASTER SHEET'!D111</f>
        <v>19986.66</v>
      </c>
      <c r="DA111" s="5">
        <f>S111*'MASTER SHEET'!D111</f>
        <v>19986.66</v>
      </c>
      <c r="DB111" s="5">
        <f>V111*'MASTER SHEET'!D111</f>
        <v>19986.66</v>
      </c>
      <c r="DC111" s="5">
        <f>Y111*'MASTER SHEET'!D111</f>
        <v>19986.66</v>
      </c>
      <c r="DD111" s="5">
        <f>AB111*'MASTER SHEET'!D111</f>
        <v>19986.66</v>
      </c>
      <c r="DE111" s="5">
        <f>AE111*'MASTER SHEET'!D111</f>
        <v>19986.66</v>
      </c>
      <c r="DF111" s="5">
        <f>AH111*'MASTER SHEET'!D111</f>
        <v>19986.66</v>
      </c>
      <c r="DG111" s="5">
        <f>AK111*'MASTER SHEET'!D111</f>
        <v>14658.66</v>
      </c>
      <c r="DH111" s="5">
        <f>AN111*'MASTER SHEET'!D111</f>
        <v>14658.66</v>
      </c>
      <c r="DI111" s="5">
        <f>AQ111*'MASTER SHEET'!D111</f>
        <v>14658.66</v>
      </c>
      <c r="DJ111" s="5">
        <f>AT111*'MASTER SHEET'!D111</f>
        <v>14658.66</v>
      </c>
      <c r="DK111" s="5">
        <f>AW111*'MASTER SHEET'!D111</f>
        <v>14658.66</v>
      </c>
      <c r="DL111" s="5">
        <f>AZ111*'MASTER SHEET'!D111</f>
        <v>13326.66</v>
      </c>
      <c r="DM111" s="5">
        <f>BC111*'MASTER SHEET'!D111</f>
        <v>13326.66</v>
      </c>
      <c r="DN111" s="5">
        <f>BF111*'MASTER SHEET'!D111</f>
        <v>13326.66</v>
      </c>
      <c r="DO111" s="5">
        <f>BI111*'MASTER SHEET'!D111</f>
        <v>13326.66</v>
      </c>
      <c r="DP111" s="5">
        <f>BL111*'MASTER SHEET'!D111</f>
        <v>13326.66</v>
      </c>
      <c r="DQ111" s="5">
        <f>BO111*'MASTER SHEET'!D111</f>
        <v>10662.66</v>
      </c>
      <c r="DR111" s="5">
        <f>BR111*'MASTER SHEET'!D111</f>
        <v>10662.66</v>
      </c>
      <c r="DS111" s="5">
        <f>BU111*'MASTER SHEET'!D111</f>
        <v>10662.66</v>
      </c>
      <c r="DT111" s="5">
        <f>BX111*'MASTER SHEET'!D111</f>
        <v>10662.66</v>
      </c>
      <c r="DU111" s="5">
        <f>CA111*'MASTER SHEET'!D111</f>
        <v>5334.66</v>
      </c>
      <c r="DV111" s="5">
        <f>CD111*'MASTER SHEET'!D111</f>
        <v>5334.66</v>
      </c>
      <c r="DW111" s="5">
        <f>CG111*'MASTER SHEET'!D111</f>
        <v>5334.66</v>
      </c>
      <c r="DX111" s="5">
        <f>CJ111*'MASTER SHEET'!D111</f>
        <v>4002.6600000000003</v>
      </c>
      <c r="DY111" s="5">
        <f>CM111*'MASTER SHEET'!D111</f>
        <v>6.66</v>
      </c>
      <c r="DZ111" s="5">
        <f>CP111*'MASTER SHEET'!D111</f>
        <v>6.66</v>
      </c>
      <c r="EA111" s="5">
        <f>CS111*'MASTER SHEET'!D111</f>
        <v>6.66</v>
      </c>
      <c r="EB111" s="143">
        <f>VLOOKUP($C111,'[1]GREEN LEV.₹'!$I$2:$K$54,3,0)</f>
        <v>1000</v>
      </c>
    </row>
    <row r="112" spans="1:132" ht="15.75" x14ac:dyDescent="0.25">
      <c r="A112" s="25">
        <f>'MASTER SHEET'!A112</f>
        <v>110</v>
      </c>
      <c r="B112" s="26" t="str">
        <f>'MASTER SHEET'!B112</f>
        <v>PIPE ASSLY. PLASTIC</v>
      </c>
      <c r="C112" s="27">
        <f>'MASTER SHEET'!C112</f>
        <v>5033855</v>
      </c>
      <c r="D112" s="56">
        <v>0</v>
      </c>
      <c r="E112" s="57">
        <f>' WIP '!F112</f>
        <v>0</v>
      </c>
      <c r="F112" s="58">
        <v>0</v>
      </c>
      <c r="G112" s="59">
        <f t="shared" si="162"/>
        <v>0</v>
      </c>
      <c r="H112" s="57">
        <f>' WIP '!J112</f>
        <v>0</v>
      </c>
      <c r="I112" s="58">
        <v>0</v>
      </c>
      <c r="J112" s="59">
        <f t="shared" si="163"/>
        <v>0</v>
      </c>
      <c r="K112" s="57">
        <f>' WIP '!N112</f>
        <v>0</v>
      </c>
      <c r="L112" s="58"/>
      <c r="M112" s="59">
        <f t="shared" si="164"/>
        <v>0</v>
      </c>
      <c r="N112" s="57">
        <f>' WIP '!R112</f>
        <v>0</v>
      </c>
      <c r="O112" s="58">
        <v>0</v>
      </c>
      <c r="P112" s="59">
        <f t="shared" si="165"/>
        <v>0</v>
      </c>
      <c r="Q112" s="57">
        <f>' WIP '!V112</f>
        <v>0</v>
      </c>
      <c r="R112" s="58">
        <v>0</v>
      </c>
      <c r="S112" s="59">
        <f t="shared" si="166"/>
        <v>0</v>
      </c>
      <c r="T112" s="57">
        <f>' WIP '!Z112</f>
        <v>0</v>
      </c>
      <c r="U112" s="58">
        <v>0</v>
      </c>
      <c r="V112" s="59">
        <f t="shared" si="167"/>
        <v>0</v>
      </c>
      <c r="W112" s="57">
        <f>' WIP '!AD112</f>
        <v>0</v>
      </c>
      <c r="X112" s="58">
        <v>0</v>
      </c>
      <c r="Y112" s="59">
        <f t="shared" si="168"/>
        <v>0</v>
      </c>
      <c r="Z112" s="57">
        <f>' WIP '!AH112</f>
        <v>0</v>
      </c>
      <c r="AA112" s="58">
        <v>0</v>
      </c>
      <c r="AB112" s="59">
        <f t="shared" si="169"/>
        <v>0</v>
      </c>
      <c r="AC112" s="57">
        <f>' WIP '!AL112</f>
        <v>0</v>
      </c>
      <c r="AD112" s="58">
        <v>0</v>
      </c>
      <c r="AE112" s="59">
        <f t="shared" si="170"/>
        <v>0</v>
      </c>
      <c r="AF112" s="57">
        <f>' WIP '!AP112</f>
        <v>0</v>
      </c>
      <c r="AG112" s="114">
        <v>0</v>
      </c>
      <c r="AH112" s="59">
        <f t="shared" si="171"/>
        <v>0</v>
      </c>
      <c r="AI112" s="57">
        <f>' WIP '!AT112</f>
        <v>0</v>
      </c>
      <c r="AJ112" s="58">
        <v>0</v>
      </c>
      <c r="AK112" s="59">
        <f t="shared" si="172"/>
        <v>0</v>
      </c>
      <c r="AL112" s="57">
        <f>' WIP '!AX112</f>
        <v>0</v>
      </c>
      <c r="AM112" s="58"/>
      <c r="AN112" s="59">
        <f t="shared" si="173"/>
        <v>0</v>
      </c>
      <c r="AO112" s="57">
        <f>' WIP '!BB112</f>
        <v>0</v>
      </c>
      <c r="AP112" s="58">
        <v>0</v>
      </c>
      <c r="AQ112" s="59">
        <f t="shared" si="174"/>
        <v>0</v>
      </c>
      <c r="AR112" s="57">
        <f>' WIP '!BF112</f>
        <v>0</v>
      </c>
      <c r="AS112" s="58">
        <v>0</v>
      </c>
      <c r="AT112" s="59">
        <f t="shared" si="175"/>
        <v>0</v>
      </c>
      <c r="AU112" s="57">
        <f>' WIP '!BJ112</f>
        <v>0</v>
      </c>
      <c r="AV112" s="58">
        <v>0</v>
      </c>
      <c r="AW112" s="59">
        <f t="shared" si="176"/>
        <v>0</v>
      </c>
      <c r="AX112" s="57">
        <f>' WIP '!BN112</f>
        <v>0</v>
      </c>
      <c r="AY112" s="58">
        <v>0</v>
      </c>
      <c r="AZ112" s="59">
        <f t="shared" si="177"/>
        <v>0</v>
      </c>
      <c r="BA112" s="57">
        <f>' WIP '!BR112</f>
        <v>0</v>
      </c>
      <c r="BB112" s="58">
        <v>0</v>
      </c>
      <c r="BC112" s="59">
        <f t="shared" si="178"/>
        <v>0</v>
      </c>
      <c r="BD112" s="57">
        <f>' WIP '!BV112</f>
        <v>0</v>
      </c>
      <c r="BE112" s="58">
        <v>0</v>
      </c>
      <c r="BF112" s="59">
        <f t="shared" si="179"/>
        <v>0</v>
      </c>
      <c r="BG112" s="57">
        <f>' WIP '!BZ112</f>
        <v>0</v>
      </c>
      <c r="BH112" s="58"/>
      <c r="BI112" s="59">
        <f t="shared" si="180"/>
        <v>0</v>
      </c>
      <c r="BJ112" s="57">
        <f>' WIP '!CD112</f>
        <v>0</v>
      </c>
      <c r="BK112" s="58">
        <v>0</v>
      </c>
      <c r="BL112" s="59">
        <f t="shared" si="181"/>
        <v>0</v>
      </c>
      <c r="BM112" s="57">
        <f>' WIP '!CH112</f>
        <v>0</v>
      </c>
      <c r="BN112" s="58">
        <v>0</v>
      </c>
      <c r="BO112" s="59">
        <f t="shared" si="182"/>
        <v>0</v>
      </c>
      <c r="BP112" s="57">
        <f>' WIP '!CL112</f>
        <v>0</v>
      </c>
      <c r="BQ112" s="58"/>
      <c r="BR112" s="59">
        <f t="shared" si="183"/>
        <v>0</v>
      </c>
      <c r="BS112" s="57">
        <f>' WIP '!CP112</f>
        <v>0</v>
      </c>
      <c r="BT112" s="58">
        <v>0</v>
      </c>
      <c r="BU112" s="59">
        <f t="shared" si="184"/>
        <v>0</v>
      </c>
      <c r="BV112" s="57">
        <f>' WIP '!CT112</f>
        <v>0</v>
      </c>
      <c r="BW112" s="28">
        <v>0</v>
      </c>
      <c r="BX112" s="59">
        <f t="shared" si="185"/>
        <v>0</v>
      </c>
      <c r="BY112" s="57">
        <f>' WIP '!CX112</f>
        <v>0</v>
      </c>
      <c r="BZ112" s="58">
        <v>0</v>
      </c>
      <c r="CA112" s="59">
        <f t="shared" si="186"/>
        <v>0</v>
      </c>
      <c r="CB112" s="57">
        <f>' WIP '!DB112</f>
        <v>0</v>
      </c>
      <c r="CC112" s="58">
        <v>0</v>
      </c>
      <c r="CD112" s="59">
        <f t="shared" si="187"/>
        <v>0</v>
      </c>
      <c r="CE112" s="57">
        <f>' WIP '!DF112</f>
        <v>0</v>
      </c>
      <c r="CF112" s="58">
        <v>0</v>
      </c>
      <c r="CG112" s="59">
        <f t="shared" si="188"/>
        <v>0</v>
      </c>
      <c r="CH112" s="57">
        <f>' WIP '!DJ112</f>
        <v>0</v>
      </c>
      <c r="CI112" s="58">
        <v>0</v>
      </c>
      <c r="CJ112" s="59">
        <f t="shared" si="189"/>
        <v>0</v>
      </c>
      <c r="CK112" s="57">
        <f>' WIP '!DN112</f>
        <v>0</v>
      </c>
      <c r="CL112" s="58">
        <v>0</v>
      </c>
      <c r="CM112" s="59">
        <f t="shared" si="190"/>
        <v>0</v>
      </c>
      <c r="CN112" s="57">
        <f>' WIP '!DR112</f>
        <v>0</v>
      </c>
      <c r="CO112" s="57"/>
      <c r="CP112" s="59">
        <f t="shared" si="191"/>
        <v>0</v>
      </c>
      <c r="CQ112" s="57">
        <f>' WIP '!DV112</f>
        <v>0</v>
      </c>
      <c r="CR112" s="58"/>
      <c r="CS112" s="59">
        <f t="shared" si="192"/>
        <v>0</v>
      </c>
      <c r="CT112" s="31">
        <f t="shared" si="160"/>
        <v>0</v>
      </c>
      <c r="CU112" s="4">
        <f t="shared" si="161"/>
        <v>0</v>
      </c>
      <c r="CV112" s="5">
        <f>D112*'MASTER SHEET'!D112</f>
        <v>0</v>
      </c>
      <c r="CW112" s="5">
        <f>G112*'MASTER SHEET'!D112</f>
        <v>0</v>
      </c>
      <c r="CX112" s="5">
        <f>J112*'MASTER SHEET'!D112</f>
        <v>0</v>
      </c>
      <c r="CY112" s="5">
        <f>M112*'MASTER SHEET'!D112</f>
        <v>0</v>
      </c>
      <c r="CZ112" s="5">
        <f>P112*'MASTER SHEET'!D112</f>
        <v>0</v>
      </c>
      <c r="DA112" s="5">
        <f>S112*'MASTER SHEET'!D112</f>
        <v>0</v>
      </c>
      <c r="DB112" s="5">
        <f>V112*'MASTER SHEET'!D112</f>
        <v>0</v>
      </c>
      <c r="DC112" s="5">
        <f>Y112*'MASTER SHEET'!D112</f>
        <v>0</v>
      </c>
      <c r="DD112" s="5">
        <f>AB112*'MASTER SHEET'!D112</f>
        <v>0</v>
      </c>
      <c r="DE112" s="5">
        <f>AE112*'MASTER SHEET'!D112</f>
        <v>0</v>
      </c>
      <c r="DF112" s="5">
        <f>AH112*'MASTER SHEET'!D112</f>
        <v>0</v>
      </c>
      <c r="DG112" s="5">
        <f>AK112*'MASTER SHEET'!D112</f>
        <v>0</v>
      </c>
      <c r="DH112" s="5">
        <f>AN112*'MASTER SHEET'!D112</f>
        <v>0</v>
      </c>
      <c r="DI112" s="5">
        <f>AQ112*'MASTER SHEET'!D112</f>
        <v>0</v>
      </c>
      <c r="DJ112" s="5">
        <f>AT112*'MASTER SHEET'!D112</f>
        <v>0</v>
      </c>
      <c r="DK112" s="5">
        <f>AW112*'MASTER SHEET'!D112</f>
        <v>0</v>
      </c>
      <c r="DL112" s="5">
        <f>AZ112*'MASTER SHEET'!D112</f>
        <v>0</v>
      </c>
      <c r="DM112" s="5">
        <f>BC112*'MASTER SHEET'!D112</f>
        <v>0</v>
      </c>
      <c r="DN112" s="5">
        <f>BF112*'MASTER SHEET'!D112</f>
        <v>0</v>
      </c>
      <c r="DO112" s="5">
        <f>BI112*'MASTER SHEET'!D112</f>
        <v>0</v>
      </c>
      <c r="DP112" s="5">
        <f>BL112*'MASTER SHEET'!D112</f>
        <v>0</v>
      </c>
      <c r="DQ112" s="5">
        <f>BO112*'MASTER SHEET'!D112</f>
        <v>0</v>
      </c>
      <c r="DR112" s="5">
        <f>BR112*'MASTER SHEET'!D112</f>
        <v>0</v>
      </c>
      <c r="DS112" s="5">
        <f>BU112*'MASTER SHEET'!D112</f>
        <v>0</v>
      </c>
      <c r="DT112" s="5">
        <f>BX112*'MASTER SHEET'!D112</f>
        <v>0</v>
      </c>
      <c r="DU112" s="5">
        <f>CA112*'MASTER SHEET'!D112</f>
        <v>0</v>
      </c>
      <c r="DV112" s="5">
        <f>CD112*'MASTER SHEET'!D112</f>
        <v>0</v>
      </c>
      <c r="DW112" s="5">
        <f>CG112*'MASTER SHEET'!D112</f>
        <v>0</v>
      </c>
      <c r="DX112" s="5">
        <f>CJ112*'MASTER SHEET'!D112</f>
        <v>0</v>
      </c>
      <c r="DY112" s="5">
        <f>CM112*'MASTER SHEET'!D112</f>
        <v>0</v>
      </c>
      <c r="DZ112" s="5">
        <f>CP112*'MASTER SHEET'!D112</f>
        <v>0</v>
      </c>
      <c r="EA112" s="5">
        <f>CS112*'MASTER SHEET'!D112</f>
        <v>0</v>
      </c>
      <c r="EB112" s="9"/>
    </row>
    <row r="113" spans="1:132" ht="15.75" x14ac:dyDescent="0.25">
      <c r="A113" s="25">
        <f>'MASTER SHEET'!A113</f>
        <v>111</v>
      </c>
      <c r="B113" s="26" t="str">
        <f>'MASTER SHEET'!B113</f>
        <v>PIPE PLASTIC</v>
      </c>
      <c r="C113" s="27">
        <f>'MASTER SHEET'!C113</f>
        <v>5029670</v>
      </c>
      <c r="D113" s="56">
        <v>0</v>
      </c>
      <c r="E113" s="57">
        <f>' WIP '!F113</f>
        <v>0</v>
      </c>
      <c r="F113" s="58">
        <v>0</v>
      </c>
      <c r="G113" s="59">
        <f t="shared" si="162"/>
        <v>0</v>
      </c>
      <c r="H113" s="57">
        <f>' WIP '!J113</f>
        <v>0</v>
      </c>
      <c r="I113" s="58">
        <v>0</v>
      </c>
      <c r="J113" s="59">
        <f t="shared" si="163"/>
        <v>0</v>
      </c>
      <c r="K113" s="57">
        <f>' WIP '!N113</f>
        <v>0</v>
      </c>
      <c r="L113" s="58"/>
      <c r="M113" s="59">
        <f t="shared" si="164"/>
        <v>0</v>
      </c>
      <c r="N113" s="57">
        <f>' WIP '!R113</f>
        <v>0</v>
      </c>
      <c r="O113" s="58">
        <v>0</v>
      </c>
      <c r="P113" s="59">
        <f t="shared" si="165"/>
        <v>0</v>
      </c>
      <c r="Q113" s="57">
        <f>' WIP '!V113</f>
        <v>0</v>
      </c>
      <c r="R113" s="58">
        <v>0</v>
      </c>
      <c r="S113" s="59">
        <f t="shared" si="166"/>
        <v>0</v>
      </c>
      <c r="T113" s="57">
        <f>' WIP '!Z113</f>
        <v>0</v>
      </c>
      <c r="U113" s="58">
        <v>0</v>
      </c>
      <c r="V113" s="59">
        <f t="shared" si="167"/>
        <v>0</v>
      </c>
      <c r="W113" s="57">
        <f>' WIP '!AD113</f>
        <v>0</v>
      </c>
      <c r="X113" s="58">
        <v>0</v>
      </c>
      <c r="Y113" s="59">
        <f t="shared" si="168"/>
        <v>0</v>
      </c>
      <c r="Z113" s="57">
        <f>' WIP '!AH113</f>
        <v>0</v>
      </c>
      <c r="AA113" s="58">
        <v>0</v>
      </c>
      <c r="AB113" s="59">
        <f t="shared" si="169"/>
        <v>0</v>
      </c>
      <c r="AC113" s="57">
        <f>' WIP '!AL113</f>
        <v>0</v>
      </c>
      <c r="AD113" s="58">
        <v>0</v>
      </c>
      <c r="AE113" s="59">
        <f t="shared" si="170"/>
        <v>0</v>
      </c>
      <c r="AF113" s="57">
        <f>' WIP '!AP113</f>
        <v>0</v>
      </c>
      <c r="AG113" s="114">
        <v>0</v>
      </c>
      <c r="AH113" s="59">
        <f t="shared" si="171"/>
        <v>0</v>
      </c>
      <c r="AI113" s="57">
        <f>' WIP '!AT113</f>
        <v>0</v>
      </c>
      <c r="AJ113" s="58">
        <v>0</v>
      </c>
      <c r="AK113" s="59">
        <f t="shared" si="172"/>
        <v>0</v>
      </c>
      <c r="AL113" s="57">
        <f>' WIP '!AX113</f>
        <v>0</v>
      </c>
      <c r="AM113" s="58"/>
      <c r="AN113" s="59">
        <f t="shared" si="173"/>
        <v>0</v>
      </c>
      <c r="AO113" s="57">
        <f>' WIP '!BB113</f>
        <v>0</v>
      </c>
      <c r="AP113" s="58">
        <v>0</v>
      </c>
      <c r="AQ113" s="59">
        <f t="shared" si="174"/>
        <v>0</v>
      </c>
      <c r="AR113" s="57">
        <f>' WIP '!BF113</f>
        <v>0</v>
      </c>
      <c r="AS113" s="58">
        <v>0</v>
      </c>
      <c r="AT113" s="59">
        <f t="shared" si="175"/>
        <v>0</v>
      </c>
      <c r="AU113" s="57">
        <f>' WIP '!BJ113</f>
        <v>0</v>
      </c>
      <c r="AV113" s="58">
        <v>0</v>
      </c>
      <c r="AW113" s="59">
        <f t="shared" si="176"/>
        <v>0</v>
      </c>
      <c r="AX113" s="57">
        <f>' WIP '!BN113</f>
        <v>0</v>
      </c>
      <c r="AY113" s="58">
        <v>0</v>
      </c>
      <c r="AZ113" s="59">
        <f t="shared" si="177"/>
        <v>0</v>
      </c>
      <c r="BA113" s="57">
        <f>' WIP '!BR113</f>
        <v>0</v>
      </c>
      <c r="BB113" s="58">
        <v>0</v>
      </c>
      <c r="BC113" s="59">
        <f t="shared" si="178"/>
        <v>0</v>
      </c>
      <c r="BD113" s="57">
        <f>' WIP '!BV113</f>
        <v>0</v>
      </c>
      <c r="BE113" s="58">
        <v>0</v>
      </c>
      <c r="BF113" s="59">
        <f t="shared" si="179"/>
        <v>0</v>
      </c>
      <c r="BG113" s="57">
        <f>' WIP '!BZ113</f>
        <v>0</v>
      </c>
      <c r="BH113" s="58"/>
      <c r="BI113" s="59">
        <f t="shared" si="180"/>
        <v>0</v>
      </c>
      <c r="BJ113" s="57">
        <f>' WIP '!CD113</f>
        <v>0</v>
      </c>
      <c r="BK113" s="58">
        <v>0</v>
      </c>
      <c r="BL113" s="59">
        <f t="shared" si="181"/>
        <v>0</v>
      </c>
      <c r="BM113" s="57">
        <f>' WIP '!CH113</f>
        <v>0</v>
      </c>
      <c r="BN113" s="58">
        <v>0</v>
      </c>
      <c r="BO113" s="59">
        <f t="shared" si="182"/>
        <v>0</v>
      </c>
      <c r="BP113" s="57">
        <f>' WIP '!CL113</f>
        <v>0</v>
      </c>
      <c r="BQ113" s="58"/>
      <c r="BR113" s="59">
        <f t="shared" si="183"/>
        <v>0</v>
      </c>
      <c r="BS113" s="57">
        <f>' WIP '!CP113</f>
        <v>0</v>
      </c>
      <c r="BT113" s="58">
        <v>0</v>
      </c>
      <c r="BU113" s="59">
        <f t="shared" si="184"/>
        <v>0</v>
      </c>
      <c r="BV113" s="57">
        <f>' WIP '!CT113</f>
        <v>0</v>
      </c>
      <c r="BW113" s="28">
        <v>0</v>
      </c>
      <c r="BX113" s="59">
        <f t="shared" si="185"/>
        <v>0</v>
      </c>
      <c r="BY113" s="57">
        <f>' WIP '!CX113</f>
        <v>0</v>
      </c>
      <c r="BZ113" s="58">
        <v>0</v>
      </c>
      <c r="CA113" s="59">
        <f t="shared" si="186"/>
        <v>0</v>
      </c>
      <c r="CB113" s="57">
        <f>' WIP '!DB113</f>
        <v>0</v>
      </c>
      <c r="CC113" s="58">
        <v>0</v>
      </c>
      <c r="CD113" s="59">
        <f t="shared" si="187"/>
        <v>0</v>
      </c>
      <c r="CE113" s="57">
        <f>' WIP '!DF113</f>
        <v>0</v>
      </c>
      <c r="CF113" s="58">
        <v>0</v>
      </c>
      <c r="CG113" s="59">
        <f t="shared" si="188"/>
        <v>0</v>
      </c>
      <c r="CH113" s="57">
        <f>' WIP '!DJ113</f>
        <v>0</v>
      </c>
      <c r="CI113" s="58">
        <v>0</v>
      </c>
      <c r="CJ113" s="59">
        <f t="shared" si="189"/>
        <v>0</v>
      </c>
      <c r="CK113" s="57">
        <f>' WIP '!DN113</f>
        <v>0</v>
      </c>
      <c r="CL113" s="58">
        <v>0</v>
      </c>
      <c r="CM113" s="59">
        <f t="shared" si="190"/>
        <v>0</v>
      </c>
      <c r="CN113" s="57">
        <f>' WIP '!DR113</f>
        <v>0</v>
      </c>
      <c r="CO113" s="57"/>
      <c r="CP113" s="59">
        <f t="shared" si="191"/>
        <v>0</v>
      </c>
      <c r="CQ113" s="57">
        <f>' WIP '!DV113</f>
        <v>0</v>
      </c>
      <c r="CR113" s="58"/>
      <c r="CS113" s="59">
        <f t="shared" si="192"/>
        <v>0</v>
      </c>
      <c r="CT113" s="31">
        <f t="shared" si="160"/>
        <v>0</v>
      </c>
      <c r="CU113" s="4">
        <f t="shared" si="161"/>
        <v>0</v>
      </c>
      <c r="CV113" s="5">
        <f>D113*'MASTER SHEET'!D113</f>
        <v>0</v>
      </c>
      <c r="CW113" s="5">
        <f>G113*'MASTER SHEET'!D113</f>
        <v>0</v>
      </c>
      <c r="CX113" s="5">
        <f>J113*'MASTER SHEET'!D113</f>
        <v>0</v>
      </c>
      <c r="CY113" s="5">
        <f>M113*'MASTER SHEET'!D113</f>
        <v>0</v>
      </c>
      <c r="CZ113" s="5">
        <f>P113*'MASTER SHEET'!D113</f>
        <v>0</v>
      </c>
      <c r="DA113" s="5">
        <f>S113*'MASTER SHEET'!D113</f>
        <v>0</v>
      </c>
      <c r="DB113" s="5">
        <f>V113*'MASTER SHEET'!D113</f>
        <v>0</v>
      </c>
      <c r="DC113" s="5">
        <f>Y113*'MASTER SHEET'!D113</f>
        <v>0</v>
      </c>
      <c r="DD113" s="5">
        <f>AB113*'MASTER SHEET'!D113</f>
        <v>0</v>
      </c>
      <c r="DE113" s="5">
        <f>AE113*'MASTER SHEET'!D113</f>
        <v>0</v>
      </c>
      <c r="DF113" s="5">
        <f>AH113*'MASTER SHEET'!D113</f>
        <v>0</v>
      </c>
      <c r="DG113" s="5">
        <f>AK113*'MASTER SHEET'!D113</f>
        <v>0</v>
      </c>
      <c r="DH113" s="5">
        <f>AN113*'MASTER SHEET'!D113</f>
        <v>0</v>
      </c>
      <c r="DI113" s="5">
        <f>AQ113*'MASTER SHEET'!D113</f>
        <v>0</v>
      </c>
      <c r="DJ113" s="5">
        <f>AT113*'MASTER SHEET'!D113</f>
        <v>0</v>
      </c>
      <c r="DK113" s="5">
        <f>AW113*'MASTER SHEET'!D113</f>
        <v>0</v>
      </c>
      <c r="DL113" s="5">
        <f>AZ113*'MASTER SHEET'!D113</f>
        <v>0</v>
      </c>
      <c r="DM113" s="5">
        <f>BC113*'MASTER SHEET'!D113</f>
        <v>0</v>
      </c>
      <c r="DN113" s="5">
        <f>BF113*'MASTER SHEET'!D113</f>
        <v>0</v>
      </c>
      <c r="DO113" s="5">
        <f>BI113*'MASTER SHEET'!D113</f>
        <v>0</v>
      </c>
      <c r="DP113" s="5">
        <f>BL113*'MASTER SHEET'!D113</f>
        <v>0</v>
      </c>
      <c r="DQ113" s="5">
        <f>BO113*'MASTER SHEET'!D113</f>
        <v>0</v>
      </c>
      <c r="DR113" s="5">
        <f>BR113*'MASTER SHEET'!D113</f>
        <v>0</v>
      </c>
      <c r="DS113" s="5">
        <f>BU113*'MASTER SHEET'!D113</f>
        <v>0</v>
      </c>
      <c r="DT113" s="5">
        <f>BX113*'MASTER SHEET'!D113</f>
        <v>0</v>
      </c>
      <c r="DU113" s="5">
        <f>CA113*'MASTER SHEET'!D113</f>
        <v>0</v>
      </c>
      <c r="DV113" s="5">
        <f>CD113*'MASTER SHEET'!D113</f>
        <v>0</v>
      </c>
      <c r="DW113" s="5">
        <f>CG113*'MASTER SHEET'!D113</f>
        <v>0</v>
      </c>
      <c r="DX113" s="5">
        <f>CJ113*'MASTER SHEET'!D113</f>
        <v>0</v>
      </c>
      <c r="DY113" s="5">
        <f>CM113*'MASTER SHEET'!D113</f>
        <v>0</v>
      </c>
      <c r="DZ113" s="5">
        <f>CP113*'MASTER SHEET'!D113</f>
        <v>0</v>
      </c>
      <c r="EA113" s="5">
        <f>CS113*'MASTER SHEET'!D113</f>
        <v>0</v>
      </c>
      <c r="EB113" s="9"/>
    </row>
    <row r="114" spans="1:132" ht="15.75" x14ac:dyDescent="0.25">
      <c r="A114" s="25">
        <f>'MASTER SHEET'!A114</f>
        <v>112</v>
      </c>
      <c r="B114" s="26" t="str">
        <f>'MASTER SHEET'!B114</f>
        <v>WIREMESH</v>
      </c>
      <c r="C114" s="27">
        <f>'MASTER SHEET'!C114</f>
        <v>5007007</v>
      </c>
      <c r="D114" s="56">
        <v>0</v>
      </c>
      <c r="E114" s="57">
        <f>' WIP '!F114</f>
        <v>0</v>
      </c>
      <c r="F114" s="58">
        <v>0</v>
      </c>
      <c r="G114" s="59">
        <f t="shared" si="162"/>
        <v>0</v>
      </c>
      <c r="H114" s="57">
        <f>' WIP '!J114</f>
        <v>0</v>
      </c>
      <c r="I114" s="58">
        <v>0</v>
      </c>
      <c r="J114" s="59">
        <f t="shared" si="163"/>
        <v>0</v>
      </c>
      <c r="K114" s="57">
        <f>' WIP '!N114</f>
        <v>0</v>
      </c>
      <c r="L114" s="58"/>
      <c r="M114" s="59">
        <f t="shared" si="164"/>
        <v>0</v>
      </c>
      <c r="N114" s="57">
        <f>' WIP '!R114</f>
        <v>0</v>
      </c>
      <c r="O114" s="58">
        <v>0</v>
      </c>
      <c r="P114" s="59">
        <f t="shared" si="165"/>
        <v>0</v>
      </c>
      <c r="Q114" s="57">
        <f>' WIP '!V114</f>
        <v>0</v>
      </c>
      <c r="R114" s="58">
        <v>0</v>
      </c>
      <c r="S114" s="59">
        <f t="shared" si="166"/>
        <v>0</v>
      </c>
      <c r="T114" s="57">
        <f>' WIP '!Z114</f>
        <v>0</v>
      </c>
      <c r="U114" s="58">
        <v>0</v>
      </c>
      <c r="V114" s="59">
        <f t="shared" si="167"/>
        <v>0</v>
      </c>
      <c r="W114" s="57">
        <f>' WIP '!AD114</f>
        <v>0</v>
      </c>
      <c r="X114" s="58">
        <v>0</v>
      </c>
      <c r="Y114" s="59">
        <f t="shared" si="168"/>
        <v>0</v>
      </c>
      <c r="Z114" s="57">
        <f>' WIP '!AH114</f>
        <v>0</v>
      </c>
      <c r="AA114" s="58">
        <v>0</v>
      </c>
      <c r="AB114" s="59">
        <f t="shared" si="169"/>
        <v>0</v>
      </c>
      <c r="AC114" s="57">
        <f>' WIP '!AL114</f>
        <v>0</v>
      </c>
      <c r="AD114" s="58">
        <v>0</v>
      </c>
      <c r="AE114" s="59">
        <f t="shared" si="170"/>
        <v>0</v>
      </c>
      <c r="AF114" s="57">
        <f>' WIP '!AP114</f>
        <v>0</v>
      </c>
      <c r="AG114" s="114">
        <v>0</v>
      </c>
      <c r="AH114" s="59">
        <f t="shared" si="171"/>
        <v>0</v>
      </c>
      <c r="AI114" s="57">
        <f>' WIP '!AT114</f>
        <v>0</v>
      </c>
      <c r="AJ114" s="58">
        <v>0</v>
      </c>
      <c r="AK114" s="59">
        <f t="shared" si="172"/>
        <v>0</v>
      </c>
      <c r="AL114" s="57">
        <f>' WIP '!AX114</f>
        <v>0</v>
      </c>
      <c r="AM114" s="58"/>
      <c r="AN114" s="59">
        <f t="shared" si="173"/>
        <v>0</v>
      </c>
      <c r="AO114" s="57">
        <f>' WIP '!BB114</f>
        <v>0</v>
      </c>
      <c r="AP114" s="58">
        <v>0</v>
      </c>
      <c r="AQ114" s="59">
        <f t="shared" si="174"/>
        <v>0</v>
      </c>
      <c r="AR114" s="57">
        <f>' WIP '!BF114</f>
        <v>0</v>
      </c>
      <c r="AS114" s="58">
        <v>0</v>
      </c>
      <c r="AT114" s="59">
        <f t="shared" si="175"/>
        <v>0</v>
      </c>
      <c r="AU114" s="57">
        <f>' WIP '!BJ114</f>
        <v>0</v>
      </c>
      <c r="AV114" s="58">
        <v>0</v>
      </c>
      <c r="AW114" s="59">
        <f t="shared" si="176"/>
        <v>0</v>
      </c>
      <c r="AX114" s="57">
        <f>' WIP '!BN114</f>
        <v>0</v>
      </c>
      <c r="AY114" s="58">
        <v>0</v>
      </c>
      <c r="AZ114" s="59">
        <f t="shared" si="177"/>
        <v>0</v>
      </c>
      <c r="BA114" s="57">
        <f>' WIP '!BR114</f>
        <v>0</v>
      </c>
      <c r="BB114" s="58">
        <v>0</v>
      </c>
      <c r="BC114" s="59">
        <f t="shared" si="178"/>
        <v>0</v>
      </c>
      <c r="BD114" s="57">
        <f>' WIP '!BV114</f>
        <v>0</v>
      </c>
      <c r="BE114" s="58">
        <v>0</v>
      </c>
      <c r="BF114" s="59">
        <f t="shared" si="179"/>
        <v>0</v>
      </c>
      <c r="BG114" s="57">
        <f>' WIP '!BZ114</f>
        <v>0</v>
      </c>
      <c r="BH114" s="58"/>
      <c r="BI114" s="59">
        <f t="shared" si="180"/>
        <v>0</v>
      </c>
      <c r="BJ114" s="57">
        <f>' WIP '!CD114</f>
        <v>0</v>
      </c>
      <c r="BK114" s="58">
        <v>0</v>
      </c>
      <c r="BL114" s="59">
        <f t="shared" si="181"/>
        <v>0</v>
      </c>
      <c r="BM114" s="57">
        <f>' WIP '!CH114</f>
        <v>0</v>
      </c>
      <c r="BN114" s="58">
        <v>0</v>
      </c>
      <c r="BO114" s="59">
        <f t="shared" si="182"/>
        <v>0</v>
      </c>
      <c r="BP114" s="57">
        <f>' WIP '!CL114</f>
        <v>0</v>
      </c>
      <c r="BQ114" s="58"/>
      <c r="BR114" s="59">
        <f t="shared" si="183"/>
        <v>0</v>
      </c>
      <c r="BS114" s="57">
        <f>' WIP '!CP114</f>
        <v>0</v>
      </c>
      <c r="BT114" s="58">
        <v>0</v>
      </c>
      <c r="BU114" s="59">
        <f t="shared" si="184"/>
        <v>0</v>
      </c>
      <c r="BV114" s="57">
        <f>' WIP '!CT114</f>
        <v>0</v>
      </c>
      <c r="BW114" s="28">
        <v>0</v>
      </c>
      <c r="BX114" s="59">
        <f t="shared" si="185"/>
        <v>0</v>
      </c>
      <c r="BY114" s="57">
        <f>' WIP '!CX114</f>
        <v>0</v>
      </c>
      <c r="BZ114" s="58">
        <v>0</v>
      </c>
      <c r="CA114" s="59">
        <f t="shared" si="186"/>
        <v>0</v>
      </c>
      <c r="CB114" s="57">
        <f>' WIP '!DB114</f>
        <v>0</v>
      </c>
      <c r="CC114" s="58">
        <v>0</v>
      </c>
      <c r="CD114" s="59">
        <f t="shared" si="187"/>
        <v>0</v>
      </c>
      <c r="CE114" s="57">
        <f>' WIP '!DF114</f>
        <v>0</v>
      </c>
      <c r="CF114" s="58">
        <v>0</v>
      </c>
      <c r="CG114" s="59">
        <f t="shared" si="188"/>
        <v>0</v>
      </c>
      <c r="CH114" s="57">
        <f>' WIP '!DJ114</f>
        <v>0</v>
      </c>
      <c r="CI114" s="58">
        <v>0</v>
      </c>
      <c r="CJ114" s="59">
        <f t="shared" si="189"/>
        <v>0</v>
      </c>
      <c r="CK114" s="57">
        <f>' WIP '!DN114</f>
        <v>0</v>
      </c>
      <c r="CL114" s="58">
        <v>0</v>
      </c>
      <c r="CM114" s="59">
        <f t="shared" si="190"/>
        <v>0</v>
      </c>
      <c r="CN114" s="57">
        <f>' WIP '!DR114</f>
        <v>0</v>
      </c>
      <c r="CO114" s="57"/>
      <c r="CP114" s="59">
        <f t="shared" si="191"/>
        <v>0</v>
      </c>
      <c r="CQ114" s="57">
        <f>' WIP '!DV114</f>
        <v>0</v>
      </c>
      <c r="CR114" s="58"/>
      <c r="CS114" s="59">
        <f t="shared" si="192"/>
        <v>0</v>
      </c>
      <c r="CT114" s="31">
        <f t="shared" si="160"/>
        <v>0</v>
      </c>
      <c r="CU114" s="4">
        <f t="shared" si="161"/>
        <v>0</v>
      </c>
      <c r="CV114" s="5">
        <f>D114*'MASTER SHEET'!D114</f>
        <v>0</v>
      </c>
      <c r="CW114" s="5">
        <f>G114*'MASTER SHEET'!D114</f>
        <v>0</v>
      </c>
      <c r="CX114" s="5">
        <f>J114*'MASTER SHEET'!D114</f>
        <v>0</v>
      </c>
      <c r="CY114" s="5">
        <f>M114*'MASTER SHEET'!D114</f>
        <v>0</v>
      </c>
      <c r="CZ114" s="5">
        <f>P114*'MASTER SHEET'!D114</f>
        <v>0</v>
      </c>
      <c r="DA114" s="5">
        <f>S114*'MASTER SHEET'!D114</f>
        <v>0</v>
      </c>
      <c r="DB114" s="5">
        <f>V114*'MASTER SHEET'!D114</f>
        <v>0</v>
      </c>
      <c r="DC114" s="5">
        <f>Y114*'MASTER SHEET'!D114</f>
        <v>0</v>
      </c>
      <c r="DD114" s="5">
        <f>AB114*'MASTER SHEET'!D114</f>
        <v>0</v>
      </c>
      <c r="DE114" s="5">
        <f>AE114*'MASTER SHEET'!D114</f>
        <v>0</v>
      </c>
      <c r="DF114" s="5">
        <f>AH114*'MASTER SHEET'!D114</f>
        <v>0</v>
      </c>
      <c r="DG114" s="5">
        <f>AK114*'MASTER SHEET'!D114</f>
        <v>0</v>
      </c>
      <c r="DH114" s="5">
        <f>AN114*'MASTER SHEET'!D114</f>
        <v>0</v>
      </c>
      <c r="DI114" s="5">
        <f>AQ114*'MASTER SHEET'!D114</f>
        <v>0</v>
      </c>
      <c r="DJ114" s="5">
        <f>AT114*'MASTER SHEET'!D114</f>
        <v>0</v>
      </c>
      <c r="DK114" s="5">
        <f>AW114*'MASTER SHEET'!D114</f>
        <v>0</v>
      </c>
      <c r="DL114" s="5">
        <f>AZ114*'MASTER SHEET'!D114</f>
        <v>0</v>
      </c>
      <c r="DM114" s="5">
        <f>BC114*'MASTER SHEET'!D114</f>
        <v>0</v>
      </c>
      <c r="DN114" s="5">
        <f>BF114*'MASTER SHEET'!D114</f>
        <v>0</v>
      </c>
      <c r="DO114" s="5">
        <f>BI114*'MASTER SHEET'!D114</f>
        <v>0</v>
      </c>
      <c r="DP114" s="5">
        <f>BL114*'MASTER SHEET'!D114</f>
        <v>0</v>
      </c>
      <c r="DQ114" s="5">
        <f>BO114*'MASTER SHEET'!D114</f>
        <v>0</v>
      </c>
      <c r="DR114" s="5">
        <f>BR114*'MASTER SHEET'!D114</f>
        <v>0</v>
      </c>
      <c r="DS114" s="5">
        <f>BU114*'MASTER SHEET'!D114</f>
        <v>0</v>
      </c>
      <c r="DT114" s="5">
        <f>BX114*'MASTER SHEET'!D114</f>
        <v>0</v>
      </c>
      <c r="DU114" s="5">
        <f>CA114*'MASTER SHEET'!D114</f>
        <v>0</v>
      </c>
      <c r="DV114" s="5">
        <f>CD114*'MASTER SHEET'!D114</f>
        <v>0</v>
      </c>
      <c r="DW114" s="5">
        <f>CG114*'MASTER SHEET'!D114</f>
        <v>0</v>
      </c>
      <c r="DX114" s="5">
        <f>CJ114*'MASTER SHEET'!D114</f>
        <v>0</v>
      </c>
      <c r="DY114" s="5">
        <f>CM114*'MASTER SHEET'!D114</f>
        <v>0</v>
      </c>
      <c r="DZ114" s="5">
        <f>CP114*'MASTER SHEET'!D114</f>
        <v>0</v>
      </c>
      <c r="EA114" s="5">
        <f>CS114*'MASTER SHEET'!D114</f>
        <v>0</v>
      </c>
      <c r="EB114" s="9"/>
    </row>
    <row r="115" spans="1:132" ht="15.75" x14ac:dyDescent="0.25">
      <c r="A115" s="25">
        <f>'MASTER SHEET'!A115</f>
        <v>113</v>
      </c>
      <c r="B115" s="26" t="str">
        <f>'MASTER SHEET'!B115</f>
        <v>PHONIX PIPE</v>
      </c>
      <c r="C115" s="27">
        <f>'MASTER SHEET'!C115</f>
        <v>5026025</v>
      </c>
      <c r="D115" s="56">
        <v>0</v>
      </c>
      <c r="E115" s="57">
        <f>' WIP '!F115</f>
        <v>0</v>
      </c>
      <c r="F115" s="58">
        <v>0</v>
      </c>
      <c r="G115" s="59">
        <f t="shared" si="162"/>
        <v>0</v>
      </c>
      <c r="H115" s="57">
        <f>' WIP '!J115</f>
        <v>0</v>
      </c>
      <c r="I115" s="58">
        <v>0</v>
      </c>
      <c r="J115" s="59">
        <f t="shared" si="163"/>
        <v>0</v>
      </c>
      <c r="K115" s="57">
        <f>' WIP '!N115</f>
        <v>0</v>
      </c>
      <c r="L115" s="58"/>
      <c r="M115" s="59">
        <f t="shared" si="164"/>
        <v>0</v>
      </c>
      <c r="N115" s="57">
        <f>' WIP '!R115</f>
        <v>0</v>
      </c>
      <c r="O115" s="58">
        <v>0</v>
      </c>
      <c r="P115" s="59">
        <f t="shared" si="165"/>
        <v>0</v>
      </c>
      <c r="Q115" s="57">
        <f>' WIP '!V115</f>
        <v>0</v>
      </c>
      <c r="R115" s="58">
        <v>0</v>
      </c>
      <c r="S115" s="59">
        <f t="shared" si="166"/>
        <v>0</v>
      </c>
      <c r="T115" s="57">
        <f>' WIP '!Z115</f>
        <v>0</v>
      </c>
      <c r="U115" s="58">
        <v>0</v>
      </c>
      <c r="V115" s="59">
        <f t="shared" si="167"/>
        <v>0</v>
      </c>
      <c r="W115" s="57">
        <f>' WIP '!AD115</f>
        <v>0</v>
      </c>
      <c r="X115" s="58">
        <v>0</v>
      </c>
      <c r="Y115" s="59">
        <f t="shared" si="168"/>
        <v>0</v>
      </c>
      <c r="Z115" s="57">
        <f>' WIP '!AH115</f>
        <v>0</v>
      </c>
      <c r="AA115" s="58">
        <v>0</v>
      </c>
      <c r="AB115" s="59">
        <f t="shared" si="169"/>
        <v>0</v>
      </c>
      <c r="AC115" s="57">
        <f>' WIP '!AL115</f>
        <v>0</v>
      </c>
      <c r="AD115" s="58">
        <v>0</v>
      </c>
      <c r="AE115" s="59">
        <f t="shared" si="170"/>
        <v>0</v>
      </c>
      <c r="AF115" s="57">
        <f>' WIP '!AP115</f>
        <v>0</v>
      </c>
      <c r="AG115" s="114">
        <v>0</v>
      </c>
      <c r="AH115" s="59">
        <f t="shared" si="171"/>
        <v>0</v>
      </c>
      <c r="AI115" s="57">
        <f>' WIP '!AT115</f>
        <v>0</v>
      </c>
      <c r="AJ115" s="58">
        <v>0</v>
      </c>
      <c r="AK115" s="59">
        <f t="shared" si="172"/>
        <v>0</v>
      </c>
      <c r="AL115" s="57">
        <f>' WIP '!AX115</f>
        <v>0</v>
      </c>
      <c r="AM115" s="58"/>
      <c r="AN115" s="59">
        <f t="shared" si="173"/>
        <v>0</v>
      </c>
      <c r="AO115" s="57">
        <f>' WIP '!BB115</f>
        <v>0</v>
      </c>
      <c r="AP115" s="58">
        <v>0</v>
      </c>
      <c r="AQ115" s="59">
        <f t="shared" si="174"/>
        <v>0</v>
      </c>
      <c r="AR115" s="57">
        <f>' WIP '!BF115</f>
        <v>0</v>
      </c>
      <c r="AS115" s="58">
        <v>0</v>
      </c>
      <c r="AT115" s="59">
        <f t="shared" si="175"/>
        <v>0</v>
      </c>
      <c r="AU115" s="57">
        <f>' WIP '!BJ115</f>
        <v>0</v>
      </c>
      <c r="AV115" s="58">
        <v>0</v>
      </c>
      <c r="AW115" s="59">
        <f t="shared" si="176"/>
        <v>0</v>
      </c>
      <c r="AX115" s="57">
        <f>' WIP '!BN115</f>
        <v>0</v>
      </c>
      <c r="AY115" s="58">
        <v>0</v>
      </c>
      <c r="AZ115" s="59">
        <f t="shared" si="177"/>
        <v>0</v>
      </c>
      <c r="BA115" s="57">
        <f>' WIP '!BR115</f>
        <v>0</v>
      </c>
      <c r="BB115" s="58">
        <v>0</v>
      </c>
      <c r="BC115" s="59">
        <f t="shared" si="178"/>
        <v>0</v>
      </c>
      <c r="BD115" s="57">
        <f>' WIP '!BV115</f>
        <v>0</v>
      </c>
      <c r="BE115" s="58">
        <v>0</v>
      </c>
      <c r="BF115" s="59">
        <f t="shared" si="179"/>
        <v>0</v>
      </c>
      <c r="BG115" s="57">
        <f>' WIP '!BZ115</f>
        <v>0</v>
      </c>
      <c r="BH115" s="58"/>
      <c r="BI115" s="59">
        <f t="shared" si="180"/>
        <v>0</v>
      </c>
      <c r="BJ115" s="57">
        <f>' WIP '!CD115</f>
        <v>0</v>
      </c>
      <c r="BK115" s="58">
        <v>0</v>
      </c>
      <c r="BL115" s="59">
        <f t="shared" si="181"/>
        <v>0</v>
      </c>
      <c r="BM115" s="57">
        <f>' WIP '!CH115</f>
        <v>0</v>
      </c>
      <c r="BN115" s="58">
        <v>0</v>
      </c>
      <c r="BO115" s="59">
        <f t="shared" si="182"/>
        <v>0</v>
      </c>
      <c r="BP115" s="57">
        <f>' WIP '!CL115</f>
        <v>0</v>
      </c>
      <c r="BQ115" s="58"/>
      <c r="BR115" s="59">
        <f t="shared" si="183"/>
        <v>0</v>
      </c>
      <c r="BS115" s="57">
        <f>' WIP '!CP115</f>
        <v>0</v>
      </c>
      <c r="BT115" s="58">
        <v>0</v>
      </c>
      <c r="BU115" s="59">
        <f t="shared" si="184"/>
        <v>0</v>
      </c>
      <c r="BV115" s="57">
        <f>' WIP '!CT115</f>
        <v>0</v>
      </c>
      <c r="BW115" s="28">
        <v>0</v>
      </c>
      <c r="BX115" s="59">
        <f t="shared" si="185"/>
        <v>0</v>
      </c>
      <c r="BY115" s="57">
        <f>' WIP '!CX115</f>
        <v>0</v>
      </c>
      <c r="BZ115" s="58">
        <v>0</v>
      </c>
      <c r="CA115" s="59">
        <f t="shared" si="186"/>
        <v>0</v>
      </c>
      <c r="CB115" s="57">
        <f>' WIP '!DB115</f>
        <v>0</v>
      </c>
      <c r="CC115" s="58">
        <v>0</v>
      </c>
      <c r="CD115" s="59">
        <f t="shared" si="187"/>
        <v>0</v>
      </c>
      <c r="CE115" s="57">
        <f>' WIP '!DF115</f>
        <v>0</v>
      </c>
      <c r="CF115" s="58">
        <v>0</v>
      </c>
      <c r="CG115" s="59">
        <f t="shared" si="188"/>
        <v>0</v>
      </c>
      <c r="CH115" s="57">
        <f>' WIP '!DJ115</f>
        <v>0</v>
      </c>
      <c r="CI115" s="58">
        <v>0</v>
      </c>
      <c r="CJ115" s="59">
        <f t="shared" si="189"/>
        <v>0</v>
      </c>
      <c r="CK115" s="57">
        <f>' WIP '!DN115</f>
        <v>0</v>
      </c>
      <c r="CL115" s="58">
        <v>0</v>
      </c>
      <c r="CM115" s="59">
        <f t="shared" si="190"/>
        <v>0</v>
      </c>
      <c r="CN115" s="57">
        <f>' WIP '!DR115</f>
        <v>0</v>
      </c>
      <c r="CO115" s="57"/>
      <c r="CP115" s="59">
        <f t="shared" si="191"/>
        <v>0</v>
      </c>
      <c r="CQ115" s="57">
        <f>' WIP '!DV115</f>
        <v>0</v>
      </c>
      <c r="CR115" s="58"/>
      <c r="CS115" s="59">
        <f t="shared" si="192"/>
        <v>0</v>
      </c>
      <c r="CT115" s="31">
        <f t="shared" si="160"/>
        <v>0</v>
      </c>
      <c r="CU115" s="4">
        <f t="shared" si="161"/>
        <v>0</v>
      </c>
      <c r="CV115" s="5">
        <f>D115*'MASTER SHEET'!D115</f>
        <v>0</v>
      </c>
      <c r="CW115" s="5">
        <f>G115*'MASTER SHEET'!D115</f>
        <v>0</v>
      </c>
      <c r="CX115" s="5">
        <f>J115*'MASTER SHEET'!D115</f>
        <v>0</v>
      </c>
      <c r="CY115" s="5">
        <f>M115*'MASTER SHEET'!D115</f>
        <v>0</v>
      </c>
      <c r="CZ115" s="5">
        <f>P115*'MASTER SHEET'!D115</f>
        <v>0</v>
      </c>
      <c r="DA115" s="5">
        <f>S115*'MASTER SHEET'!D115</f>
        <v>0</v>
      </c>
      <c r="DB115" s="5">
        <f>V115*'MASTER SHEET'!D115</f>
        <v>0</v>
      </c>
      <c r="DC115" s="5">
        <f>Y115*'MASTER SHEET'!D115</f>
        <v>0</v>
      </c>
      <c r="DD115" s="5">
        <f>AB115*'MASTER SHEET'!D115</f>
        <v>0</v>
      </c>
      <c r="DE115" s="5">
        <f>AE115*'MASTER SHEET'!D115</f>
        <v>0</v>
      </c>
      <c r="DF115" s="5">
        <f>AH115*'MASTER SHEET'!D115</f>
        <v>0</v>
      </c>
      <c r="DG115" s="5">
        <f>AK115*'MASTER SHEET'!D115</f>
        <v>0</v>
      </c>
      <c r="DH115" s="5">
        <f>AN115*'MASTER SHEET'!D115</f>
        <v>0</v>
      </c>
      <c r="DI115" s="5">
        <f>AQ115*'MASTER SHEET'!D115</f>
        <v>0</v>
      </c>
      <c r="DJ115" s="5">
        <f>AT115*'MASTER SHEET'!D115</f>
        <v>0</v>
      </c>
      <c r="DK115" s="5">
        <f>AW115*'MASTER SHEET'!D115</f>
        <v>0</v>
      </c>
      <c r="DL115" s="5">
        <f>AZ115*'MASTER SHEET'!D115</f>
        <v>0</v>
      </c>
      <c r="DM115" s="5">
        <f>BC115*'MASTER SHEET'!D115</f>
        <v>0</v>
      </c>
      <c r="DN115" s="5">
        <f>BF115*'MASTER SHEET'!D115</f>
        <v>0</v>
      </c>
      <c r="DO115" s="5">
        <f>BI115*'MASTER SHEET'!D115</f>
        <v>0</v>
      </c>
      <c r="DP115" s="5">
        <f>BL115*'MASTER SHEET'!D115</f>
        <v>0</v>
      </c>
      <c r="DQ115" s="5">
        <f>BO115*'MASTER SHEET'!D115</f>
        <v>0</v>
      </c>
      <c r="DR115" s="5">
        <f>BR115*'MASTER SHEET'!D115</f>
        <v>0</v>
      </c>
      <c r="DS115" s="5">
        <f>BU115*'MASTER SHEET'!D115</f>
        <v>0</v>
      </c>
      <c r="DT115" s="5">
        <f>BX115*'MASTER SHEET'!D115</f>
        <v>0</v>
      </c>
      <c r="DU115" s="5">
        <f>CA115*'MASTER SHEET'!D115</f>
        <v>0</v>
      </c>
      <c r="DV115" s="5">
        <f>CD115*'MASTER SHEET'!D115</f>
        <v>0</v>
      </c>
      <c r="DW115" s="5">
        <f>CG115*'MASTER SHEET'!D115</f>
        <v>0</v>
      </c>
      <c r="DX115" s="5">
        <f>CJ115*'MASTER SHEET'!D115</f>
        <v>0</v>
      </c>
      <c r="DY115" s="5">
        <f>CM115*'MASTER SHEET'!D115</f>
        <v>0</v>
      </c>
      <c r="DZ115" s="5">
        <f>CP115*'MASTER SHEET'!D115</f>
        <v>0</v>
      </c>
      <c r="EA115" s="5">
        <f>CS115*'MASTER SHEET'!D115</f>
        <v>0</v>
      </c>
      <c r="EB115" s="9"/>
    </row>
    <row r="116" spans="1:132" ht="15.75" x14ac:dyDescent="0.25">
      <c r="A116" s="25">
        <f>'MASTER SHEET'!A116</f>
        <v>114</v>
      </c>
      <c r="B116" s="26">
        <f>'MASTER SHEET'!B116</f>
        <v>0</v>
      </c>
      <c r="C116" s="27">
        <f>'MASTER SHEET'!C116</f>
        <v>5026515</v>
      </c>
      <c r="D116" s="56">
        <v>3600</v>
      </c>
      <c r="E116" s="57">
        <f>' WIP '!F116</f>
        <v>0</v>
      </c>
      <c r="F116" s="58">
        <v>0</v>
      </c>
      <c r="G116" s="59">
        <f t="shared" si="162"/>
        <v>3600</v>
      </c>
      <c r="H116" s="57">
        <f>' WIP '!J116</f>
        <v>0</v>
      </c>
      <c r="I116" s="58">
        <v>0</v>
      </c>
      <c r="J116" s="59">
        <f t="shared" si="163"/>
        <v>3600</v>
      </c>
      <c r="K116" s="57">
        <f>' WIP '!N116</f>
        <v>0</v>
      </c>
      <c r="L116" s="58"/>
      <c r="M116" s="59">
        <f t="shared" si="164"/>
        <v>3600</v>
      </c>
      <c r="N116" s="57">
        <f>' WIP '!R116</f>
        <v>0</v>
      </c>
      <c r="O116" s="58">
        <v>80</v>
      </c>
      <c r="P116" s="59">
        <f t="shared" si="165"/>
        <v>3520</v>
      </c>
      <c r="Q116" s="57">
        <f>' WIP '!V116</f>
        <v>0</v>
      </c>
      <c r="R116" s="58">
        <v>0</v>
      </c>
      <c r="S116" s="59">
        <f t="shared" si="166"/>
        <v>3520</v>
      </c>
      <c r="T116" s="57">
        <f>' WIP '!Z116</f>
        <v>0</v>
      </c>
      <c r="U116" s="58">
        <v>0</v>
      </c>
      <c r="V116" s="59">
        <f t="shared" si="167"/>
        <v>3520</v>
      </c>
      <c r="W116" s="57">
        <f>' WIP '!AD116</f>
        <v>0</v>
      </c>
      <c r="X116" s="58">
        <v>0</v>
      </c>
      <c r="Y116" s="59">
        <f t="shared" si="168"/>
        <v>3520</v>
      </c>
      <c r="Z116" s="57">
        <f>' WIP '!AH116</f>
        <v>0</v>
      </c>
      <c r="AA116" s="58">
        <v>0</v>
      </c>
      <c r="AB116" s="59">
        <f t="shared" si="169"/>
        <v>3520</v>
      </c>
      <c r="AC116" s="57">
        <f>' WIP '!AL116</f>
        <v>0</v>
      </c>
      <c r="AD116" s="58">
        <v>0</v>
      </c>
      <c r="AE116" s="59">
        <f t="shared" si="170"/>
        <v>3520</v>
      </c>
      <c r="AF116" s="57">
        <f>' WIP '!AP116</f>
        <v>0</v>
      </c>
      <c r="AG116" s="114">
        <v>0</v>
      </c>
      <c r="AH116" s="59">
        <f t="shared" si="171"/>
        <v>3520</v>
      </c>
      <c r="AI116" s="57">
        <f>' WIP '!AT116</f>
        <v>0</v>
      </c>
      <c r="AJ116" s="58">
        <v>0</v>
      </c>
      <c r="AK116" s="59">
        <f t="shared" si="172"/>
        <v>3520</v>
      </c>
      <c r="AL116" s="57">
        <f>' WIP '!AX116</f>
        <v>0</v>
      </c>
      <c r="AM116" s="58"/>
      <c r="AN116" s="59">
        <f t="shared" si="173"/>
        <v>3520</v>
      </c>
      <c r="AO116" s="57">
        <f>' WIP '!BB116</f>
        <v>0</v>
      </c>
      <c r="AP116" s="58">
        <v>0</v>
      </c>
      <c r="AQ116" s="59">
        <f t="shared" si="174"/>
        <v>3520</v>
      </c>
      <c r="AR116" s="57">
        <f>' WIP '!BF116</f>
        <v>0</v>
      </c>
      <c r="AS116" s="58">
        <v>480</v>
      </c>
      <c r="AT116" s="59">
        <f t="shared" si="175"/>
        <v>3040</v>
      </c>
      <c r="AU116" s="57">
        <f>' WIP '!BJ116</f>
        <v>0</v>
      </c>
      <c r="AV116" s="58">
        <v>0</v>
      </c>
      <c r="AW116" s="59">
        <f t="shared" si="176"/>
        <v>3040</v>
      </c>
      <c r="AX116" s="57">
        <f>' WIP '!BN116</f>
        <v>0</v>
      </c>
      <c r="AY116" s="58">
        <v>0</v>
      </c>
      <c r="AZ116" s="59">
        <f t="shared" si="177"/>
        <v>3040</v>
      </c>
      <c r="BA116" s="57">
        <f>' WIP '!BR116</f>
        <v>0</v>
      </c>
      <c r="BB116" s="58">
        <v>0</v>
      </c>
      <c r="BC116" s="59">
        <f t="shared" si="178"/>
        <v>3040</v>
      </c>
      <c r="BD116" s="57">
        <f>' WIP '!BV116</f>
        <v>0</v>
      </c>
      <c r="BE116" s="58">
        <v>80</v>
      </c>
      <c r="BF116" s="59">
        <f t="shared" si="179"/>
        <v>2960</v>
      </c>
      <c r="BG116" s="57">
        <f>' WIP '!BZ116</f>
        <v>0</v>
      </c>
      <c r="BH116" s="58"/>
      <c r="BI116" s="59">
        <f t="shared" si="180"/>
        <v>2960</v>
      </c>
      <c r="BJ116" s="57">
        <f>' WIP '!CD116</f>
        <v>0</v>
      </c>
      <c r="BK116" s="58">
        <v>0</v>
      </c>
      <c r="BL116" s="59">
        <f t="shared" si="181"/>
        <v>2960</v>
      </c>
      <c r="BM116" s="57">
        <f>' WIP '!CH116</f>
        <v>0</v>
      </c>
      <c r="BN116" s="58">
        <v>0</v>
      </c>
      <c r="BO116" s="59">
        <f t="shared" si="182"/>
        <v>2960</v>
      </c>
      <c r="BP116" s="57">
        <f>' WIP '!CL116</f>
        <v>0</v>
      </c>
      <c r="BQ116" s="58"/>
      <c r="BR116" s="59">
        <f t="shared" si="183"/>
        <v>2960</v>
      </c>
      <c r="BS116" s="57">
        <f>' WIP '!CP116</f>
        <v>0</v>
      </c>
      <c r="BT116" s="58">
        <v>0</v>
      </c>
      <c r="BU116" s="59">
        <f t="shared" si="184"/>
        <v>2960</v>
      </c>
      <c r="BV116" s="57">
        <f>' WIP '!CT116</f>
        <v>0</v>
      </c>
      <c r="BW116" s="28">
        <v>0</v>
      </c>
      <c r="BX116" s="59">
        <f t="shared" si="185"/>
        <v>2960</v>
      </c>
      <c r="BY116" s="57">
        <f>' WIP '!CX116</f>
        <v>0</v>
      </c>
      <c r="BZ116" s="58">
        <v>0</v>
      </c>
      <c r="CA116" s="59">
        <f t="shared" si="186"/>
        <v>2960</v>
      </c>
      <c r="CB116" s="57">
        <f>' WIP '!DB116</f>
        <v>0</v>
      </c>
      <c r="CC116" s="58">
        <v>0</v>
      </c>
      <c r="CD116" s="59">
        <f t="shared" si="187"/>
        <v>2960</v>
      </c>
      <c r="CE116" s="57">
        <f>' WIP '!DF116</f>
        <v>0</v>
      </c>
      <c r="CF116" s="58">
        <v>0</v>
      </c>
      <c r="CG116" s="59">
        <f t="shared" si="188"/>
        <v>2960</v>
      </c>
      <c r="CH116" s="57">
        <f>' WIP '!DJ116</f>
        <v>0</v>
      </c>
      <c r="CI116" s="58">
        <v>0</v>
      </c>
      <c r="CJ116" s="59">
        <f t="shared" si="189"/>
        <v>2960</v>
      </c>
      <c r="CK116" s="57">
        <f>' WIP '!DN116</f>
        <v>0</v>
      </c>
      <c r="CL116" s="58">
        <v>0</v>
      </c>
      <c r="CM116" s="59">
        <f t="shared" si="190"/>
        <v>2960</v>
      </c>
      <c r="CN116" s="57">
        <f>' WIP '!DR116</f>
        <v>0</v>
      </c>
      <c r="CO116" s="57"/>
      <c r="CP116" s="59">
        <f t="shared" si="191"/>
        <v>2960</v>
      </c>
      <c r="CQ116" s="57">
        <f>' WIP '!DV116</f>
        <v>0</v>
      </c>
      <c r="CR116" s="58"/>
      <c r="CS116" s="59">
        <f t="shared" si="192"/>
        <v>2960</v>
      </c>
      <c r="CT116" s="31">
        <f t="shared" si="160"/>
        <v>3600</v>
      </c>
      <c r="CU116" s="4">
        <f t="shared" si="161"/>
        <v>640</v>
      </c>
      <c r="CV116" s="5">
        <f>D116*'MASTER SHEET'!D116</f>
        <v>66528</v>
      </c>
      <c r="CW116" s="5">
        <f>G116*'MASTER SHEET'!D116</f>
        <v>66528</v>
      </c>
      <c r="CX116" s="5">
        <f>J116*'MASTER SHEET'!D116</f>
        <v>66528</v>
      </c>
      <c r="CY116" s="5">
        <f>M116*'MASTER SHEET'!D116</f>
        <v>66528</v>
      </c>
      <c r="CZ116" s="5">
        <f>P116*'MASTER SHEET'!D116</f>
        <v>65049.599999999999</v>
      </c>
      <c r="DA116" s="5">
        <f>S116*'MASTER SHEET'!D116</f>
        <v>65049.599999999999</v>
      </c>
      <c r="DB116" s="5">
        <f>V116*'MASTER SHEET'!D116</f>
        <v>65049.599999999999</v>
      </c>
      <c r="DC116" s="5">
        <f>Y116*'MASTER SHEET'!D116</f>
        <v>65049.599999999999</v>
      </c>
      <c r="DD116" s="5">
        <f>AB116*'MASTER SHEET'!D116</f>
        <v>65049.599999999999</v>
      </c>
      <c r="DE116" s="5">
        <f>AE116*'MASTER SHEET'!D116</f>
        <v>65049.599999999999</v>
      </c>
      <c r="DF116" s="5">
        <f>AH116*'MASTER SHEET'!D116</f>
        <v>65049.599999999999</v>
      </c>
      <c r="DG116" s="5">
        <f>AK116*'MASTER SHEET'!D116</f>
        <v>65049.599999999999</v>
      </c>
      <c r="DH116" s="5">
        <f>AN116*'MASTER SHEET'!D116</f>
        <v>65049.599999999999</v>
      </c>
      <c r="DI116" s="5">
        <f>AQ116*'MASTER SHEET'!D116</f>
        <v>65049.599999999999</v>
      </c>
      <c r="DJ116" s="5">
        <f>AT116*'MASTER SHEET'!D116</f>
        <v>56179.200000000004</v>
      </c>
      <c r="DK116" s="5">
        <f>AW116*'MASTER SHEET'!D116</f>
        <v>56179.200000000004</v>
      </c>
      <c r="DL116" s="5">
        <f>AZ116*'MASTER SHEET'!D116</f>
        <v>56179.200000000004</v>
      </c>
      <c r="DM116" s="5">
        <f>BC116*'MASTER SHEET'!D116</f>
        <v>56179.200000000004</v>
      </c>
      <c r="DN116" s="5">
        <f>BF116*'MASTER SHEET'!D116</f>
        <v>54700.800000000003</v>
      </c>
      <c r="DO116" s="5">
        <f>BI116*'MASTER SHEET'!D116</f>
        <v>54700.800000000003</v>
      </c>
      <c r="DP116" s="5">
        <f>BL116*'MASTER SHEET'!D116</f>
        <v>54700.800000000003</v>
      </c>
      <c r="DQ116" s="5">
        <f>BO116*'MASTER SHEET'!D116</f>
        <v>54700.800000000003</v>
      </c>
      <c r="DR116" s="5">
        <f>BR116*'MASTER SHEET'!D116</f>
        <v>54700.800000000003</v>
      </c>
      <c r="DS116" s="5">
        <f>BU116*'MASTER SHEET'!D116</f>
        <v>54700.800000000003</v>
      </c>
      <c r="DT116" s="5">
        <f>BX116*'MASTER SHEET'!D116</f>
        <v>54700.800000000003</v>
      </c>
      <c r="DU116" s="5">
        <f>CA116*'MASTER SHEET'!D116</f>
        <v>54700.800000000003</v>
      </c>
      <c r="DV116" s="5">
        <f>CD116*'MASTER SHEET'!D116</f>
        <v>54700.800000000003</v>
      </c>
      <c r="DW116" s="5">
        <f>CG116*'MASTER SHEET'!D116</f>
        <v>54700.800000000003</v>
      </c>
      <c r="DX116" s="5">
        <f>CJ116*'MASTER SHEET'!D116</f>
        <v>54700.800000000003</v>
      </c>
      <c r="DY116" s="5">
        <f>CM116*'MASTER SHEET'!D116</f>
        <v>54700.800000000003</v>
      </c>
      <c r="DZ116" s="5">
        <f>CP116*'MASTER SHEET'!D116</f>
        <v>54700.800000000003</v>
      </c>
      <c r="EA116" s="5">
        <f>CS116*'MASTER SHEET'!D116</f>
        <v>54700.800000000003</v>
      </c>
      <c r="EB116" s="143">
        <f>VLOOKUP($C116,'[1]GREEN LEV.₹'!$I$2:$K$54,3,0)</f>
        <v>500</v>
      </c>
    </row>
    <row r="117" spans="1:132" ht="15.75" x14ac:dyDescent="0.25">
      <c r="A117" s="25">
        <f>'MASTER SHEET'!A117</f>
        <v>115</v>
      </c>
      <c r="B117" s="26">
        <f>'MASTER SHEET'!B117</f>
        <v>0</v>
      </c>
      <c r="C117" s="27">
        <f>'MASTER SHEET'!C117</f>
        <v>5025642</v>
      </c>
      <c r="D117" s="56">
        <v>350</v>
      </c>
      <c r="E117" s="57">
        <f>' WIP '!F117</f>
        <v>0</v>
      </c>
      <c r="F117" s="58">
        <v>50</v>
      </c>
      <c r="G117" s="59">
        <f t="shared" si="162"/>
        <v>300</v>
      </c>
      <c r="H117" s="57">
        <f>' WIP '!J117</f>
        <v>0</v>
      </c>
      <c r="I117" s="58">
        <v>0</v>
      </c>
      <c r="J117" s="59">
        <f t="shared" si="163"/>
        <v>300</v>
      </c>
      <c r="K117" s="57">
        <f>' WIP '!N117</f>
        <v>0</v>
      </c>
      <c r="L117" s="58"/>
      <c r="M117" s="59">
        <f t="shared" si="164"/>
        <v>300</v>
      </c>
      <c r="N117" s="57">
        <f>' WIP '!R117</f>
        <v>2000</v>
      </c>
      <c r="O117" s="58">
        <v>1300</v>
      </c>
      <c r="P117" s="59">
        <f t="shared" si="165"/>
        <v>1000</v>
      </c>
      <c r="Q117" s="57">
        <f>' WIP '!V117</f>
        <v>0</v>
      </c>
      <c r="R117" s="58">
        <v>0</v>
      </c>
      <c r="S117" s="59">
        <f t="shared" si="166"/>
        <v>1000</v>
      </c>
      <c r="T117" s="57">
        <f>' WIP '!Z117</f>
        <v>0</v>
      </c>
      <c r="U117" s="58">
        <v>0</v>
      </c>
      <c r="V117" s="59">
        <f t="shared" si="167"/>
        <v>1000</v>
      </c>
      <c r="W117" s="57">
        <f>' WIP '!AD117</f>
        <v>600</v>
      </c>
      <c r="X117" s="58">
        <v>0</v>
      </c>
      <c r="Y117" s="59">
        <f t="shared" si="168"/>
        <v>1600</v>
      </c>
      <c r="Z117" s="57">
        <f>' WIP '!AH117</f>
        <v>0</v>
      </c>
      <c r="AA117" s="58">
        <v>300</v>
      </c>
      <c r="AB117" s="59">
        <f t="shared" si="169"/>
        <v>1300</v>
      </c>
      <c r="AC117" s="57">
        <f>' WIP '!AL117</f>
        <v>0</v>
      </c>
      <c r="AD117" s="58">
        <v>0</v>
      </c>
      <c r="AE117" s="59">
        <f t="shared" si="170"/>
        <v>1300</v>
      </c>
      <c r="AF117" s="57">
        <f>' WIP '!AP117</f>
        <v>0</v>
      </c>
      <c r="AG117" s="114">
        <v>0</v>
      </c>
      <c r="AH117" s="59">
        <f t="shared" si="171"/>
        <v>1300</v>
      </c>
      <c r="AI117" s="57">
        <f>' WIP '!AT117</f>
        <v>0</v>
      </c>
      <c r="AJ117" s="58">
        <v>350</v>
      </c>
      <c r="AK117" s="59">
        <f t="shared" si="172"/>
        <v>950</v>
      </c>
      <c r="AL117" s="57">
        <f>' WIP '!AX117</f>
        <v>0</v>
      </c>
      <c r="AM117" s="58"/>
      <c r="AN117" s="59">
        <f t="shared" si="173"/>
        <v>950</v>
      </c>
      <c r="AO117" s="57">
        <f>' WIP '!BB117</f>
        <v>0</v>
      </c>
      <c r="AP117" s="58">
        <v>0</v>
      </c>
      <c r="AQ117" s="59">
        <f t="shared" si="174"/>
        <v>950</v>
      </c>
      <c r="AR117" s="57">
        <f>' WIP '!BF117</f>
        <v>0</v>
      </c>
      <c r="AS117" s="58">
        <v>400</v>
      </c>
      <c r="AT117" s="59">
        <f t="shared" si="175"/>
        <v>550</v>
      </c>
      <c r="AU117" s="57">
        <f>' WIP '!BJ117</f>
        <v>0</v>
      </c>
      <c r="AV117" s="58">
        <v>0</v>
      </c>
      <c r="AW117" s="59">
        <f t="shared" si="176"/>
        <v>550</v>
      </c>
      <c r="AX117" s="57">
        <f>' WIP '!BN117</f>
        <v>0</v>
      </c>
      <c r="AY117" s="58">
        <v>150</v>
      </c>
      <c r="AZ117" s="59">
        <f t="shared" si="177"/>
        <v>400</v>
      </c>
      <c r="BA117" s="57">
        <f>' WIP '!BR117</f>
        <v>0</v>
      </c>
      <c r="BB117" s="58">
        <v>0</v>
      </c>
      <c r="BC117" s="59">
        <f t="shared" si="178"/>
        <v>400</v>
      </c>
      <c r="BD117" s="57">
        <f>' WIP '!BV117</f>
        <v>0</v>
      </c>
      <c r="BE117" s="58">
        <v>0</v>
      </c>
      <c r="BF117" s="59">
        <f t="shared" si="179"/>
        <v>400</v>
      </c>
      <c r="BG117" s="57">
        <f>' WIP '!BZ117</f>
        <v>0</v>
      </c>
      <c r="BH117" s="58"/>
      <c r="BI117" s="59">
        <f t="shared" si="180"/>
        <v>400</v>
      </c>
      <c r="BJ117" s="57">
        <f>' WIP '!CD117</f>
        <v>0</v>
      </c>
      <c r="BK117" s="58">
        <v>0</v>
      </c>
      <c r="BL117" s="59">
        <f t="shared" si="181"/>
        <v>400</v>
      </c>
      <c r="BM117" s="57">
        <f>' WIP '!CH117</f>
        <v>0</v>
      </c>
      <c r="BN117" s="58">
        <v>200</v>
      </c>
      <c r="BO117" s="59">
        <f t="shared" si="182"/>
        <v>200</v>
      </c>
      <c r="BP117" s="57">
        <f>' WIP '!CL117</f>
        <v>0</v>
      </c>
      <c r="BQ117" s="58"/>
      <c r="BR117" s="59">
        <f t="shared" si="183"/>
        <v>200</v>
      </c>
      <c r="BS117" s="57">
        <f>' WIP '!CP117</f>
        <v>0</v>
      </c>
      <c r="BT117" s="58">
        <v>0</v>
      </c>
      <c r="BU117" s="59">
        <f t="shared" si="184"/>
        <v>200</v>
      </c>
      <c r="BV117" s="57">
        <f>' WIP '!CT117</f>
        <v>0</v>
      </c>
      <c r="BW117" s="28">
        <v>0</v>
      </c>
      <c r="BX117" s="59">
        <f t="shared" si="185"/>
        <v>200</v>
      </c>
      <c r="BY117" s="57">
        <f>' WIP '!CX117</f>
        <v>0</v>
      </c>
      <c r="BZ117" s="58">
        <v>0</v>
      </c>
      <c r="CA117" s="59">
        <f t="shared" si="186"/>
        <v>200</v>
      </c>
      <c r="CB117" s="57">
        <f>' WIP '!DB117</f>
        <v>0</v>
      </c>
      <c r="CC117" s="58">
        <v>0</v>
      </c>
      <c r="CD117" s="59">
        <f t="shared" si="187"/>
        <v>200</v>
      </c>
      <c r="CE117" s="57">
        <f>' WIP '!DF117</f>
        <v>0</v>
      </c>
      <c r="CF117" s="58">
        <v>0</v>
      </c>
      <c r="CG117" s="59">
        <f t="shared" si="188"/>
        <v>200</v>
      </c>
      <c r="CH117" s="57">
        <f>' WIP '!DJ117</f>
        <v>0</v>
      </c>
      <c r="CI117" s="58">
        <v>100</v>
      </c>
      <c r="CJ117" s="59">
        <f t="shared" si="189"/>
        <v>100</v>
      </c>
      <c r="CK117" s="57">
        <f>' WIP '!DN117</f>
        <v>0</v>
      </c>
      <c r="CL117" s="58">
        <v>50</v>
      </c>
      <c r="CM117" s="59">
        <f t="shared" si="190"/>
        <v>50</v>
      </c>
      <c r="CN117" s="57">
        <f>' WIP '!DR117</f>
        <v>0</v>
      </c>
      <c r="CO117" s="57"/>
      <c r="CP117" s="59">
        <f t="shared" si="191"/>
        <v>50</v>
      </c>
      <c r="CQ117" s="57">
        <f>' WIP '!DV117</f>
        <v>0</v>
      </c>
      <c r="CR117" s="58"/>
      <c r="CS117" s="59">
        <f t="shared" si="192"/>
        <v>50</v>
      </c>
      <c r="CT117" s="31">
        <f t="shared" si="160"/>
        <v>2950</v>
      </c>
      <c r="CU117" s="4">
        <f t="shared" si="161"/>
        <v>2900</v>
      </c>
      <c r="CV117" s="5">
        <f>D117*'MASTER SHEET'!D117</f>
        <v>9726.5</v>
      </c>
      <c r="CW117" s="5">
        <f>G117*'MASTER SHEET'!D117</f>
        <v>8337</v>
      </c>
      <c r="CX117" s="5">
        <f>J117*'MASTER SHEET'!D117</f>
        <v>8337</v>
      </c>
      <c r="CY117" s="5">
        <f>M117*'MASTER SHEET'!D117</f>
        <v>8337</v>
      </c>
      <c r="CZ117" s="5">
        <f>P117*'MASTER SHEET'!D117</f>
        <v>27790</v>
      </c>
      <c r="DA117" s="5">
        <f>S117*'MASTER SHEET'!D117</f>
        <v>27790</v>
      </c>
      <c r="DB117" s="5">
        <f>V117*'MASTER SHEET'!D117</f>
        <v>27790</v>
      </c>
      <c r="DC117" s="5">
        <f>Y117*'MASTER SHEET'!D117</f>
        <v>44464</v>
      </c>
      <c r="DD117" s="5">
        <f>AB117*'MASTER SHEET'!D117</f>
        <v>36127</v>
      </c>
      <c r="DE117" s="5">
        <f>AE117*'MASTER SHEET'!D117</f>
        <v>36127</v>
      </c>
      <c r="DF117" s="5">
        <f>AH117*'MASTER SHEET'!D117</f>
        <v>36127</v>
      </c>
      <c r="DG117" s="5">
        <f>AK117*'MASTER SHEET'!D117</f>
        <v>26400.5</v>
      </c>
      <c r="DH117" s="5">
        <f>AN117*'MASTER SHEET'!D117</f>
        <v>26400.5</v>
      </c>
      <c r="DI117" s="5">
        <f>AQ117*'MASTER SHEET'!D117</f>
        <v>26400.5</v>
      </c>
      <c r="DJ117" s="5">
        <f>AT117*'MASTER SHEET'!D117</f>
        <v>15284.5</v>
      </c>
      <c r="DK117" s="5">
        <f>AW117*'MASTER SHEET'!D117</f>
        <v>15284.5</v>
      </c>
      <c r="DL117" s="5">
        <f>AZ117*'MASTER SHEET'!D117</f>
        <v>11116</v>
      </c>
      <c r="DM117" s="5">
        <f>BC117*'MASTER SHEET'!D117</f>
        <v>11116</v>
      </c>
      <c r="DN117" s="5">
        <f>BF117*'MASTER SHEET'!D117</f>
        <v>11116</v>
      </c>
      <c r="DO117" s="5">
        <f>BI117*'MASTER SHEET'!D117</f>
        <v>11116</v>
      </c>
      <c r="DP117" s="5">
        <f>BL117*'MASTER SHEET'!D117</f>
        <v>11116</v>
      </c>
      <c r="DQ117" s="5">
        <f>BO117*'MASTER SHEET'!D117</f>
        <v>5558</v>
      </c>
      <c r="DR117" s="5">
        <f>BR117*'MASTER SHEET'!D117</f>
        <v>5558</v>
      </c>
      <c r="DS117" s="5">
        <f>BU117*'MASTER SHEET'!D117</f>
        <v>5558</v>
      </c>
      <c r="DT117" s="5">
        <f>BX117*'MASTER SHEET'!D117</f>
        <v>5558</v>
      </c>
      <c r="DU117" s="5">
        <f>CA117*'MASTER SHEET'!D117</f>
        <v>5558</v>
      </c>
      <c r="DV117" s="5">
        <f>CD117*'MASTER SHEET'!D117</f>
        <v>5558</v>
      </c>
      <c r="DW117" s="5">
        <f>CG117*'MASTER SHEET'!D117</f>
        <v>5558</v>
      </c>
      <c r="DX117" s="5">
        <f>CJ117*'MASTER SHEET'!D117</f>
        <v>2779</v>
      </c>
      <c r="DY117" s="5">
        <f>CM117*'MASTER SHEET'!D117</f>
        <v>1389.5</v>
      </c>
      <c r="DZ117" s="5">
        <f>CP117*'MASTER SHEET'!D117</f>
        <v>1389.5</v>
      </c>
      <c r="EA117" s="5">
        <f>CS117*'MASTER SHEET'!D117</f>
        <v>1389.5</v>
      </c>
      <c r="EB117" s="143">
        <f>VLOOKUP($C117,'[1]GREEN LEV.₹'!$I$2:$K$54,3,0)</f>
        <v>1000</v>
      </c>
    </row>
    <row r="118" spans="1:132" ht="15.75" x14ac:dyDescent="0.25">
      <c r="A118" s="25">
        <f>'MASTER SHEET'!A118</f>
        <v>116</v>
      </c>
      <c r="B118" s="26" t="str">
        <f>'MASTER SHEET'!B118</f>
        <v>FUEL STAINER</v>
      </c>
      <c r="C118" s="27">
        <f>'MASTER SHEET'!C118</f>
        <v>5030878</v>
      </c>
      <c r="D118" s="56">
        <v>0</v>
      </c>
      <c r="E118" s="57">
        <f>' WIP '!F118</f>
        <v>0</v>
      </c>
      <c r="F118" s="58">
        <v>0</v>
      </c>
      <c r="G118" s="59">
        <f t="shared" si="162"/>
        <v>0</v>
      </c>
      <c r="H118" s="57">
        <f>' WIP '!J118</f>
        <v>0</v>
      </c>
      <c r="I118" s="58">
        <v>0</v>
      </c>
      <c r="J118" s="59">
        <f t="shared" si="163"/>
        <v>0</v>
      </c>
      <c r="K118" s="57">
        <f>' WIP '!N118</f>
        <v>0</v>
      </c>
      <c r="L118" s="58"/>
      <c r="M118" s="59">
        <f t="shared" si="164"/>
        <v>0</v>
      </c>
      <c r="N118" s="57">
        <f>' WIP '!R118</f>
        <v>0</v>
      </c>
      <c r="O118" s="58">
        <v>0</v>
      </c>
      <c r="P118" s="59">
        <f t="shared" si="165"/>
        <v>0</v>
      </c>
      <c r="Q118" s="57">
        <f>' WIP '!V118</f>
        <v>0</v>
      </c>
      <c r="R118" s="58">
        <v>0</v>
      </c>
      <c r="S118" s="59">
        <f t="shared" si="166"/>
        <v>0</v>
      </c>
      <c r="T118" s="57">
        <f>' WIP '!Z118</f>
        <v>0</v>
      </c>
      <c r="U118" s="58">
        <v>0</v>
      </c>
      <c r="V118" s="59">
        <f t="shared" si="167"/>
        <v>0</v>
      </c>
      <c r="W118" s="57">
        <f>' WIP '!AD118</f>
        <v>0</v>
      </c>
      <c r="X118" s="58">
        <v>0</v>
      </c>
      <c r="Y118" s="59">
        <f t="shared" si="168"/>
        <v>0</v>
      </c>
      <c r="Z118" s="57">
        <f>' WIP '!AH118</f>
        <v>0</v>
      </c>
      <c r="AA118" s="58">
        <v>0</v>
      </c>
      <c r="AB118" s="59">
        <f t="shared" si="169"/>
        <v>0</v>
      </c>
      <c r="AC118" s="57">
        <f>' WIP '!AL118</f>
        <v>0</v>
      </c>
      <c r="AD118" s="58">
        <v>0</v>
      </c>
      <c r="AE118" s="59">
        <f t="shared" si="170"/>
        <v>0</v>
      </c>
      <c r="AF118" s="57">
        <f>' WIP '!AP118</f>
        <v>0</v>
      </c>
      <c r="AG118" s="114">
        <v>0</v>
      </c>
      <c r="AH118" s="59">
        <f t="shared" si="171"/>
        <v>0</v>
      </c>
      <c r="AI118" s="57">
        <f>' WIP '!AT118</f>
        <v>0</v>
      </c>
      <c r="AJ118" s="58">
        <v>0</v>
      </c>
      <c r="AK118" s="59">
        <f t="shared" si="172"/>
        <v>0</v>
      </c>
      <c r="AL118" s="57">
        <f>' WIP '!AX118</f>
        <v>0</v>
      </c>
      <c r="AM118" s="58"/>
      <c r="AN118" s="59">
        <f t="shared" si="173"/>
        <v>0</v>
      </c>
      <c r="AO118" s="57">
        <f>' WIP '!BB118</f>
        <v>480</v>
      </c>
      <c r="AP118" s="58">
        <v>480</v>
      </c>
      <c r="AQ118" s="59">
        <f t="shared" si="174"/>
        <v>0</v>
      </c>
      <c r="AR118" s="57">
        <f>' WIP '!BF118</f>
        <v>0</v>
      </c>
      <c r="AS118" s="58">
        <v>0</v>
      </c>
      <c r="AT118" s="59">
        <f t="shared" si="175"/>
        <v>0</v>
      </c>
      <c r="AU118" s="57">
        <f>' WIP '!BJ118</f>
        <v>0</v>
      </c>
      <c r="AV118" s="58">
        <v>0</v>
      </c>
      <c r="AW118" s="59">
        <f t="shared" si="176"/>
        <v>0</v>
      </c>
      <c r="AX118" s="57">
        <f>' WIP '!BN118</f>
        <v>0</v>
      </c>
      <c r="AY118" s="58">
        <v>0</v>
      </c>
      <c r="AZ118" s="59">
        <f t="shared" si="177"/>
        <v>0</v>
      </c>
      <c r="BA118" s="57">
        <f>' WIP '!BR118</f>
        <v>0</v>
      </c>
      <c r="BB118" s="58">
        <v>0</v>
      </c>
      <c r="BC118" s="59">
        <f t="shared" si="178"/>
        <v>0</v>
      </c>
      <c r="BD118" s="57">
        <f>' WIP '!BV118</f>
        <v>0</v>
      </c>
      <c r="BE118" s="58">
        <v>0</v>
      </c>
      <c r="BF118" s="59">
        <f t="shared" si="179"/>
        <v>0</v>
      </c>
      <c r="BG118" s="57">
        <f>' WIP '!BZ118</f>
        <v>0</v>
      </c>
      <c r="BH118" s="58"/>
      <c r="BI118" s="59">
        <f t="shared" si="180"/>
        <v>0</v>
      </c>
      <c r="BJ118" s="57">
        <f>' WIP '!CD118</f>
        <v>0</v>
      </c>
      <c r="BK118" s="58">
        <v>0</v>
      </c>
      <c r="BL118" s="59">
        <f t="shared" si="181"/>
        <v>0</v>
      </c>
      <c r="BM118" s="57">
        <f>' WIP '!CH118</f>
        <v>0</v>
      </c>
      <c r="BN118" s="58">
        <v>0</v>
      </c>
      <c r="BO118" s="59">
        <f t="shared" si="182"/>
        <v>0</v>
      </c>
      <c r="BP118" s="57">
        <f>' WIP '!CL118</f>
        <v>0</v>
      </c>
      <c r="BQ118" s="58"/>
      <c r="BR118" s="59">
        <f t="shared" si="183"/>
        <v>0</v>
      </c>
      <c r="BS118" s="57">
        <f>' WIP '!CP118</f>
        <v>0</v>
      </c>
      <c r="BT118" s="58">
        <v>0</v>
      </c>
      <c r="BU118" s="59">
        <f t="shared" si="184"/>
        <v>0</v>
      </c>
      <c r="BV118" s="57">
        <f>' WIP '!CT118</f>
        <v>0</v>
      </c>
      <c r="BW118" s="28">
        <v>0</v>
      </c>
      <c r="BX118" s="59">
        <f t="shared" si="185"/>
        <v>0</v>
      </c>
      <c r="BY118" s="57">
        <f>' WIP '!CX118</f>
        <v>0</v>
      </c>
      <c r="BZ118" s="58">
        <v>0</v>
      </c>
      <c r="CA118" s="59">
        <f t="shared" si="186"/>
        <v>0</v>
      </c>
      <c r="CB118" s="57">
        <f>' WIP '!DB118</f>
        <v>0</v>
      </c>
      <c r="CC118" s="58">
        <v>0</v>
      </c>
      <c r="CD118" s="59">
        <f t="shared" si="187"/>
        <v>0</v>
      </c>
      <c r="CE118" s="57">
        <f>' WIP '!DF118</f>
        <v>432</v>
      </c>
      <c r="CF118" s="58">
        <v>0</v>
      </c>
      <c r="CG118" s="59">
        <f t="shared" si="188"/>
        <v>432</v>
      </c>
      <c r="CH118" s="57">
        <f>' WIP '!DJ118</f>
        <v>0</v>
      </c>
      <c r="CI118" s="58">
        <v>432</v>
      </c>
      <c r="CJ118" s="59">
        <f t="shared" si="189"/>
        <v>0</v>
      </c>
      <c r="CK118" s="57">
        <f>' WIP '!DN118</f>
        <v>0</v>
      </c>
      <c r="CL118" s="58">
        <v>0</v>
      </c>
      <c r="CM118" s="59">
        <f t="shared" si="190"/>
        <v>0</v>
      </c>
      <c r="CN118" s="57">
        <f>' WIP '!DR118</f>
        <v>0</v>
      </c>
      <c r="CO118" s="57"/>
      <c r="CP118" s="59">
        <f t="shared" si="191"/>
        <v>0</v>
      </c>
      <c r="CQ118" s="57">
        <f>' WIP '!DV118</f>
        <v>0</v>
      </c>
      <c r="CR118" s="58"/>
      <c r="CS118" s="59">
        <f t="shared" si="192"/>
        <v>0</v>
      </c>
      <c r="CT118" s="31">
        <f t="shared" si="160"/>
        <v>912</v>
      </c>
      <c r="CU118" s="4">
        <f t="shared" si="161"/>
        <v>912</v>
      </c>
      <c r="CV118" s="5">
        <f>D118*'MASTER SHEET'!D118</f>
        <v>0</v>
      </c>
      <c r="CW118" s="5">
        <f>G118*'MASTER SHEET'!D118</f>
        <v>0</v>
      </c>
      <c r="CX118" s="5">
        <f>J118*'MASTER SHEET'!D118</f>
        <v>0</v>
      </c>
      <c r="CY118" s="5">
        <f>M118*'MASTER SHEET'!D118</f>
        <v>0</v>
      </c>
      <c r="CZ118" s="5">
        <f>P118*'MASTER SHEET'!D118</f>
        <v>0</v>
      </c>
      <c r="DA118" s="5">
        <f>S118*'MASTER SHEET'!D118</f>
        <v>0</v>
      </c>
      <c r="DB118" s="5">
        <f>V118*'MASTER SHEET'!D118</f>
        <v>0</v>
      </c>
      <c r="DC118" s="5">
        <f>Y118*'MASTER SHEET'!D118</f>
        <v>0</v>
      </c>
      <c r="DD118" s="5">
        <f>AB118*'MASTER SHEET'!D118</f>
        <v>0</v>
      </c>
      <c r="DE118" s="5">
        <f>AE118*'MASTER SHEET'!D118</f>
        <v>0</v>
      </c>
      <c r="DF118" s="5">
        <f>AH118*'MASTER SHEET'!D118</f>
        <v>0</v>
      </c>
      <c r="DG118" s="5">
        <f>AK118*'MASTER SHEET'!D118</f>
        <v>0</v>
      </c>
      <c r="DH118" s="5">
        <f>AN118*'MASTER SHEET'!D118</f>
        <v>0</v>
      </c>
      <c r="DI118" s="5">
        <f>AQ118*'MASTER SHEET'!D118</f>
        <v>0</v>
      </c>
      <c r="DJ118" s="5">
        <f>AT118*'MASTER SHEET'!D118</f>
        <v>0</v>
      </c>
      <c r="DK118" s="5">
        <f>AW118*'MASTER SHEET'!D118</f>
        <v>0</v>
      </c>
      <c r="DL118" s="5">
        <f>AZ118*'MASTER SHEET'!D118</f>
        <v>0</v>
      </c>
      <c r="DM118" s="5">
        <f>BC118*'MASTER SHEET'!D118</f>
        <v>0</v>
      </c>
      <c r="DN118" s="5">
        <f>BF118*'MASTER SHEET'!D118</f>
        <v>0</v>
      </c>
      <c r="DO118" s="5">
        <f>BI118*'MASTER SHEET'!D118</f>
        <v>0</v>
      </c>
      <c r="DP118" s="5">
        <f>BL118*'MASTER SHEET'!D118</f>
        <v>0</v>
      </c>
      <c r="DQ118" s="5">
        <f>BO118*'MASTER SHEET'!D118</f>
        <v>0</v>
      </c>
      <c r="DR118" s="5">
        <f>BR118*'MASTER SHEET'!D118</f>
        <v>0</v>
      </c>
      <c r="DS118" s="5">
        <f>BU118*'MASTER SHEET'!D118</f>
        <v>0</v>
      </c>
      <c r="DT118" s="5">
        <f>BX118*'MASTER SHEET'!D118</f>
        <v>0</v>
      </c>
      <c r="DU118" s="5">
        <f>CA118*'MASTER SHEET'!D118</f>
        <v>0</v>
      </c>
      <c r="DV118" s="5">
        <f>CD118*'MASTER SHEET'!D118</f>
        <v>0</v>
      </c>
      <c r="DW118" s="5">
        <f>CG118*'MASTER SHEET'!D118</f>
        <v>27902.880000000001</v>
      </c>
      <c r="DX118" s="5">
        <f>CJ118*'MASTER SHEET'!D118</f>
        <v>0</v>
      </c>
      <c r="DY118" s="5">
        <f>CM118*'MASTER SHEET'!D118</f>
        <v>0</v>
      </c>
      <c r="DZ118" s="5">
        <f>CP118*'MASTER SHEET'!D118</f>
        <v>0</v>
      </c>
      <c r="EA118" s="5">
        <f>CS118*'MASTER SHEET'!D118</f>
        <v>0</v>
      </c>
      <c r="EB118" s="9"/>
    </row>
    <row r="119" spans="1:132" ht="15.75" x14ac:dyDescent="0.25">
      <c r="A119" s="25">
        <f>'MASTER SHEET'!A119</f>
        <v>117</v>
      </c>
      <c r="B119" s="26" t="str">
        <f>'MASTER SHEET'!B119</f>
        <v>FLANGE ASS.,PLASTIC</v>
      </c>
      <c r="C119" s="27">
        <f>'MASTER SHEET'!C119</f>
        <v>5049200</v>
      </c>
      <c r="D119" s="56">
        <v>0</v>
      </c>
      <c r="E119" s="57">
        <f>' WIP '!F119</f>
        <v>0</v>
      </c>
      <c r="F119" s="58">
        <v>0</v>
      </c>
      <c r="G119" s="59">
        <f t="shared" si="162"/>
        <v>0</v>
      </c>
      <c r="H119" s="57">
        <f>' WIP '!J119</f>
        <v>0</v>
      </c>
      <c r="I119" s="58">
        <v>0</v>
      </c>
      <c r="J119" s="59">
        <f t="shared" si="163"/>
        <v>0</v>
      </c>
      <c r="K119" s="57">
        <f>' WIP '!N119</f>
        <v>0</v>
      </c>
      <c r="L119" s="58"/>
      <c r="M119" s="59">
        <f t="shared" si="164"/>
        <v>0</v>
      </c>
      <c r="N119" s="57">
        <f>' WIP '!R119</f>
        <v>0</v>
      </c>
      <c r="O119" s="58">
        <v>0</v>
      </c>
      <c r="P119" s="59">
        <f t="shared" si="165"/>
        <v>0</v>
      </c>
      <c r="Q119" s="57">
        <f>' WIP '!V119</f>
        <v>0</v>
      </c>
      <c r="R119" s="58">
        <v>0</v>
      </c>
      <c r="S119" s="59">
        <f t="shared" si="166"/>
        <v>0</v>
      </c>
      <c r="T119" s="57">
        <f>' WIP '!Z119</f>
        <v>0</v>
      </c>
      <c r="U119" s="58">
        <v>0</v>
      </c>
      <c r="V119" s="59">
        <f t="shared" si="167"/>
        <v>0</v>
      </c>
      <c r="W119" s="57">
        <f>' WIP '!AD119</f>
        <v>0</v>
      </c>
      <c r="X119" s="58">
        <v>0</v>
      </c>
      <c r="Y119" s="59">
        <f t="shared" si="168"/>
        <v>0</v>
      </c>
      <c r="Z119" s="57">
        <f>' WIP '!AH119</f>
        <v>0</v>
      </c>
      <c r="AA119" s="58">
        <v>0</v>
      </c>
      <c r="AB119" s="59">
        <f t="shared" si="169"/>
        <v>0</v>
      </c>
      <c r="AC119" s="57">
        <f>' WIP '!AL119</f>
        <v>0</v>
      </c>
      <c r="AD119" s="58">
        <v>0</v>
      </c>
      <c r="AE119" s="59">
        <f t="shared" si="170"/>
        <v>0</v>
      </c>
      <c r="AF119" s="57">
        <f>' WIP '!AP119</f>
        <v>0</v>
      </c>
      <c r="AG119" s="114">
        <v>0</v>
      </c>
      <c r="AH119" s="59">
        <f t="shared" si="171"/>
        <v>0</v>
      </c>
      <c r="AI119" s="57">
        <f>' WIP '!AT119</f>
        <v>0</v>
      </c>
      <c r="AJ119" s="58">
        <v>0</v>
      </c>
      <c r="AK119" s="59">
        <f t="shared" si="172"/>
        <v>0</v>
      </c>
      <c r="AL119" s="57">
        <f>' WIP '!AX119</f>
        <v>0</v>
      </c>
      <c r="AM119" s="58"/>
      <c r="AN119" s="59">
        <f t="shared" si="173"/>
        <v>0</v>
      </c>
      <c r="AO119" s="57">
        <f>' WIP '!BB119</f>
        <v>0</v>
      </c>
      <c r="AP119" s="58">
        <v>0</v>
      </c>
      <c r="AQ119" s="59">
        <f t="shared" si="174"/>
        <v>0</v>
      </c>
      <c r="AR119" s="57">
        <f>' WIP '!BF119</f>
        <v>0</v>
      </c>
      <c r="AS119" s="58">
        <v>0</v>
      </c>
      <c r="AT119" s="59">
        <f t="shared" si="175"/>
        <v>0</v>
      </c>
      <c r="AU119" s="57">
        <f>' WIP '!BJ119</f>
        <v>0</v>
      </c>
      <c r="AV119" s="58">
        <v>0</v>
      </c>
      <c r="AW119" s="59">
        <f t="shared" si="176"/>
        <v>0</v>
      </c>
      <c r="AX119" s="57">
        <f>' WIP '!BN119</f>
        <v>0</v>
      </c>
      <c r="AY119" s="58">
        <v>0</v>
      </c>
      <c r="AZ119" s="59">
        <f t="shared" si="177"/>
        <v>0</v>
      </c>
      <c r="BA119" s="57">
        <f>' WIP '!BR119</f>
        <v>0</v>
      </c>
      <c r="BB119" s="58">
        <v>0</v>
      </c>
      <c r="BC119" s="59">
        <f t="shared" si="178"/>
        <v>0</v>
      </c>
      <c r="BD119" s="57">
        <f>' WIP '!BV119</f>
        <v>0</v>
      </c>
      <c r="BE119" s="58">
        <v>0</v>
      </c>
      <c r="BF119" s="59">
        <f t="shared" si="179"/>
        <v>0</v>
      </c>
      <c r="BG119" s="57">
        <f>' WIP '!BZ119</f>
        <v>0</v>
      </c>
      <c r="BH119" s="58"/>
      <c r="BI119" s="59">
        <f t="shared" si="180"/>
        <v>0</v>
      </c>
      <c r="BJ119" s="57">
        <f>' WIP '!CD119</f>
        <v>0</v>
      </c>
      <c r="BK119" s="58">
        <v>0</v>
      </c>
      <c r="BL119" s="59">
        <f t="shared" si="181"/>
        <v>0</v>
      </c>
      <c r="BM119" s="57">
        <f>' WIP '!CH119</f>
        <v>0</v>
      </c>
      <c r="BN119" s="58">
        <v>0</v>
      </c>
      <c r="BO119" s="59">
        <f t="shared" si="182"/>
        <v>0</v>
      </c>
      <c r="BP119" s="57">
        <f>' WIP '!CL119</f>
        <v>0</v>
      </c>
      <c r="BQ119" s="58"/>
      <c r="BR119" s="59">
        <f t="shared" si="183"/>
        <v>0</v>
      </c>
      <c r="BS119" s="57">
        <f>' WIP '!CP119</f>
        <v>0</v>
      </c>
      <c r="BT119" s="58">
        <v>0</v>
      </c>
      <c r="BU119" s="59">
        <f t="shared" si="184"/>
        <v>0</v>
      </c>
      <c r="BV119" s="57">
        <f>' WIP '!CT119</f>
        <v>0</v>
      </c>
      <c r="BW119" s="28">
        <v>0</v>
      </c>
      <c r="BX119" s="59">
        <f t="shared" si="185"/>
        <v>0</v>
      </c>
      <c r="BY119" s="57">
        <f>' WIP '!CX119</f>
        <v>0</v>
      </c>
      <c r="BZ119" s="58">
        <v>0</v>
      </c>
      <c r="CA119" s="59">
        <f t="shared" si="186"/>
        <v>0</v>
      </c>
      <c r="CB119" s="57">
        <f>' WIP '!DB119</f>
        <v>0</v>
      </c>
      <c r="CC119" s="58">
        <v>0</v>
      </c>
      <c r="CD119" s="59">
        <f t="shared" si="187"/>
        <v>0</v>
      </c>
      <c r="CE119" s="57">
        <f>' WIP '!DF119</f>
        <v>0</v>
      </c>
      <c r="CF119" s="58">
        <v>0</v>
      </c>
      <c r="CG119" s="59">
        <f t="shared" si="188"/>
        <v>0</v>
      </c>
      <c r="CH119" s="57">
        <f>' WIP '!DJ119</f>
        <v>0</v>
      </c>
      <c r="CI119" s="58">
        <v>0</v>
      </c>
      <c r="CJ119" s="59">
        <f t="shared" si="189"/>
        <v>0</v>
      </c>
      <c r="CK119" s="57">
        <f>' WIP '!DN119</f>
        <v>0</v>
      </c>
      <c r="CL119" s="58">
        <v>0</v>
      </c>
      <c r="CM119" s="59">
        <f t="shared" si="190"/>
        <v>0</v>
      </c>
      <c r="CN119" s="57">
        <f>' WIP '!DR119</f>
        <v>0</v>
      </c>
      <c r="CO119" s="57"/>
      <c r="CP119" s="59">
        <f t="shared" si="191"/>
        <v>0</v>
      </c>
      <c r="CQ119" s="57">
        <f>' WIP '!DV119</f>
        <v>0</v>
      </c>
      <c r="CR119" s="58"/>
      <c r="CS119" s="59">
        <f t="shared" si="192"/>
        <v>0</v>
      </c>
      <c r="CT119" s="31">
        <f t="shared" si="160"/>
        <v>0</v>
      </c>
      <c r="CU119" s="4">
        <f t="shared" si="161"/>
        <v>0</v>
      </c>
      <c r="CV119" s="5">
        <f>D119*'MASTER SHEET'!D119</f>
        <v>0</v>
      </c>
      <c r="CW119" s="5">
        <f>G119*'MASTER SHEET'!D119</f>
        <v>0</v>
      </c>
      <c r="CX119" s="5">
        <f>J119*'MASTER SHEET'!D119</f>
        <v>0</v>
      </c>
      <c r="CY119" s="5">
        <f>M119*'MASTER SHEET'!D119</f>
        <v>0</v>
      </c>
      <c r="CZ119" s="5">
        <f>P119*'MASTER SHEET'!D119</f>
        <v>0</v>
      </c>
      <c r="DA119" s="5">
        <f>S119*'MASTER SHEET'!D119</f>
        <v>0</v>
      </c>
      <c r="DB119" s="5">
        <f>V119*'MASTER SHEET'!D119</f>
        <v>0</v>
      </c>
      <c r="DC119" s="5">
        <f>Y119*'MASTER SHEET'!D119</f>
        <v>0</v>
      </c>
      <c r="DD119" s="5">
        <f>AB119*'MASTER SHEET'!D119</f>
        <v>0</v>
      </c>
      <c r="DE119" s="5">
        <f>AE119*'MASTER SHEET'!D119</f>
        <v>0</v>
      </c>
      <c r="DF119" s="5">
        <f>AH119*'MASTER SHEET'!D119</f>
        <v>0</v>
      </c>
      <c r="DG119" s="5">
        <f>AK119*'MASTER SHEET'!D119</f>
        <v>0</v>
      </c>
      <c r="DH119" s="5">
        <f>AN119*'MASTER SHEET'!D119</f>
        <v>0</v>
      </c>
      <c r="DI119" s="5">
        <f>AQ119*'MASTER SHEET'!D119</f>
        <v>0</v>
      </c>
      <c r="DJ119" s="5">
        <f>AT119*'MASTER SHEET'!D119</f>
        <v>0</v>
      </c>
      <c r="DK119" s="5">
        <f>AW119*'MASTER SHEET'!D119</f>
        <v>0</v>
      </c>
      <c r="DL119" s="5">
        <f>AZ119*'MASTER SHEET'!D119</f>
        <v>0</v>
      </c>
      <c r="DM119" s="5">
        <f>BC119*'MASTER SHEET'!D119</f>
        <v>0</v>
      </c>
      <c r="DN119" s="5">
        <f>BF119*'MASTER SHEET'!D119</f>
        <v>0</v>
      </c>
      <c r="DO119" s="5">
        <f>BI119*'MASTER SHEET'!D119</f>
        <v>0</v>
      </c>
      <c r="DP119" s="5">
        <f>BL119*'MASTER SHEET'!D119</f>
        <v>0</v>
      </c>
      <c r="DQ119" s="5">
        <f>BO119*'MASTER SHEET'!D119</f>
        <v>0</v>
      </c>
      <c r="DR119" s="5">
        <f>BR119*'MASTER SHEET'!D119</f>
        <v>0</v>
      </c>
      <c r="DS119" s="5">
        <f>BU119*'MASTER SHEET'!D119</f>
        <v>0</v>
      </c>
      <c r="DT119" s="5">
        <f>BX119*'MASTER SHEET'!D119</f>
        <v>0</v>
      </c>
      <c r="DU119" s="5">
        <f>CA119*'MASTER SHEET'!D119</f>
        <v>0</v>
      </c>
      <c r="DV119" s="5">
        <f>CD119*'MASTER SHEET'!D119</f>
        <v>0</v>
      </c>
      <c r="DW119" s="5">
        <f>CG119*'MASTER SHEET'!D119</f>
        <v>0</v>
      </c>
      <c r="DX119" s="5">
        <f>CJ119*'MASTER SHEET'!D119</f>
        <v>0</v>
      </c>
      <c r="DY119" s="5">
        <f>CM119*'MASTER SHEET'!D119</f>
        <v>0</v>
      </c>
      <c r="DZ119" s="5">
        <f>CP119*'MASTER SHEET'!D119</f>
        <v>0</v>
      </c>
      <c r="EA119" s="5">
        <f>CS119*'MASTER SHEET'!D119</f>
        <v>0</v>
      </c>
      <c r="EB119" s="9"/>
    </row>
    <row r="120" spans="1:132" ht="15.75" x14ac:dyDescent="0.25">
      <c r="A120" s="25">
        <f>'MASTER SHEET'!A120</f>
        <v>118</v>
      </c>
      <c r="B120" s="26" t="str">
        <f>'MASTER SHEET'!B120</f>
        <v>CLAMP</v>
      </c>
      <c r="C120" s="27">
        <f>'MASTER SHEET'!C120</f>
        <v>65254</v>
      </c>
      <c r="D120" s="56"/>
      <c r="E120" s="57">
        <f>' WIP '!F120</f>
        <v>0</v>
      </c>
      <c r="F120" s="58">
        <v>0</v>
      </c>
      <c r="G120" s="59">
        <f t="shared" si="162"/>
        <v>0</v>
      </c>
      <c r="H120" s="57">
        <f>' WIP '!J120</f>
        <v>0</v>
      </c>
      <c r="I120" s="58">
        <v>0</v>
      </c>
      <c r="J120" s="59">
        <f t="shared" si="163"/>
        <v>0</v>
      </c>
      <c r="K120" s="57">
        <f>' WIP '!N120</f>
        <v>0</v>
      </c>
      <c r="L120" s="58"/>
      <c r="M120" s="59">
        <f t="shared" si="164"/>
        <v>0</v>
      </c>
      <c r="N120" s="57">
        <f>' WIP '!R120</f>
        <v>0</v>
      </c>
      <c r="O120" s="58">
        <v>0</v>
      </c>
      <c r="P120" s="59">
        <f t="shared" si="165"/>
        <v>0</v>
      </c>
      <c r="Q120" s="57">
        <f>' WIP '!V120</f>
        <v>0</v>
      </c>
      <c r="R120" s="58">
        <v>0</v>
      </c>
      <c r="S120" s="59">
        <f t="shared" si="166"/>
        <v>0</v>
      </c>
      <c r="T120" s="57">
        <f>' WIP '!Z120</f>
        <v>0</v>
      </c>
      <c r="U120" s="58">
        <v>0</v>
      </c>
      <c r="V120" s="59">
        <f t="shared" si="167"/>
        <v>0</v>
      </c>
      <c r="W120" s="57">
        <f>' WIP '!AD120</f>
        <v>0</v>
      </c>
      <c r="X120" s="58">
        <v>0</v>
      </c>
      <c r="Y120" s="59">
        <f t="shared" si="168"/>
        <v>0</v>
      </c>
      <c r="Z120" s="57">
        <f>' WIP '!AH120</f>
        <v>0</v>
      </c>
      <c r="AA120" s="58">
        <v>0</v>
      </c>
      <c r="AB120" s="59">
        <f t="shared" si="169"/>
        <v>0</v>
      </c>
      <c r="AC120" s="57">
        <f>' WIP '!AL120</f>
        <v>0</v>
      </c>
      <c r="AD120" s="58">
        <v>0</v>
      </c>
      <c r="AE120" s="59">
        <f t="shared" si="170"/>
        <v>0</v>
      </c>
      <c r="AF120" s="57">
        <f>' WIP '!AP120</f>
        <v>0</v>
      </c>
      <c r="AG120" s="114">
        <v>0</v>
      </c>
      <c r="AH120" s="59">
        <f t="shared" si="171"/>
        <v>0</v>
      </c>
      <c r="AI120" s="57">
        <f>' WIP '!AT120</f>
        <v>0</v>
      </c>
      <c r="AJ120" s="58">
        <v>0</v>
      </c>
      <c r="AK120" s="59">
        <f t="shared" si="172"/>
        <v>0</v>
      </c>
      <c r="AL120" s="57">
        <f>' WIP '!AX120</f>
        <v>0</v>
      </c>
      <c r="AM120" s="58"/>
      <c r="AN120" s="59">
        <f t="shared" si="173"/>
        <v>0</v>
      </c>
      <c r="AO120" s="57">
        <f>' WIP '!BB120</f>
        <v>0</v>
      </c>
      <c r="AP120" s="58">
        <v>0</v>
      </c>
      <c r="AQ120" s="59">
        <f t="shared" si="174"/>
        <v>0</v>
      </c>
      <c r="AR120" s="57">
        <f>' WIP '!BF120</f>
        <v>0</v>
      </c>
      <c r="AS120" s="58">
        <v>0</v>
      </c>
      <c r="AT120" s="59">
        <f t="shared" si="175"/>
        <v>0</v>
      </c>
      <c r="AU120" s="57">
        <f>' WIP '!BJ120</f>
        <v>0</v>
      </c>
      <c r="AV120" s="58">
        <v>0</v>
      </c>
      <c r="AW120" s="59">
        <f t="shared" si="176"/>
        <v>0</v>
      </c>
      <c r="AX120" s="57">
        <f>' WIP '!BN120</f>
        <v>0</v>
      </c>
      <c r="AY120" s="58">
        <v>0</v>
      </c>
      <c r="AZ120" s="59">
        <f t="shared" si="177"/>
        <v>0</v>
      </c>
      <c r="BA120" s="57">
        <f>' WIP '!BR120</f>
        <v>0</v>
      </c>
      <c r="BB120" s="58">
        <v>0</v>
      </c>
      <c r="BC120" s="59">
        <f t="shared" si="178"/>
        <v>0</v>
      </c>
      <c r="BD120" s="57">
        <f>' WIP '!BV120</f>
        <v>0</v>
      </c>
      <c r="BE120" s="58">
        <v>0</v>
      </c>
      <c r="BF120" s="59">
        <f t="shared" si="179"/>
        <v>0</v>
      </c>
      <c r="BG120" s="57">
        <f>' WIP '!BZ120</f>
        <v>0</v>
      </c>
      <c r="BH120" s="58"/>
      <c r="BI120" s="59">
        <f t="shared" si="180"/>
        <v>0</v>
      </c>
      <c r="BJ120" s="57">
        <f>' WIP '!CD120</f>
        <v>0</v>
      </c>
      <c r="BK120" s="58">
        <v>0</v>
      </c>
      <c r="BL120" s="59">
        <f t="shared" si="181"/>
        <v>0</v>
      </c>
      <c r="BM120" s="57">
        <f>' WIP '!CH120</f>
        <v>0</v>
      </c>
      <c r="BN120" s="58">
        <v>0</v>
      </c>
      <c r="BO120" s="59">
        <f t="shared" si="182"/>
        <v>0</v>
      </c>
      <c r="BP120" s="57">
        <f>' WIP '!CL120</f>
        <v>1500</v>
      </c>
      <c r="BQ120" s="58">
        <v>1500</v>
      </c>
      <c r="BR120" s="59">
        <f t="shared" si="183"/>
        <v>0</v>
      </c>
      <c r="BS120" s="57">
        <f>' WIP '!CP120</f>
        <v>0</v>
      </c>
      <c r="BT120" s="58">
        <v>0</v>
      </c>
      <c r="BU120" s="59">
        <f t="shared" si="184"/>
        <v>0</v>
      </c>
      <c r="BV120" s="57">
        <f>' WIP '!CT120</f>
        <v>0</v>
      </c>
      <c r="BW120" s="28">
        <v>0</v>
      </c>
      <c r="BX120" s="59">
        <f t="shared" si="185"/>
        <v>0</v>
      </c>
      <c r="BY120" s="57">
        <f>' WIP '!CX120</f>
        <v>3000</v>
      </c>
      <c r="BZ120" s="58">
        <v>3000</v>
      </c>
      <c r="CA120" s="59">
        <f t="shared" si="186"/>
        <v>0</v>
      </c>
      <c r="CB120" s="57">
        <f>' WIP '!DB120</f>
        <v>0</v>
      </c>
      <c r="CC120" s="58">
        <v>0</v>
      </c>
      <c r="CD120" s="59">
        <f t="shared" si="187"/>
        <v>0</v>
      </c>
      <c r="CE120" s="57">
        <f>' WIP '!DF120</f>
        <v>0</v>
      </c>
      <c r="CF120" s="58">
        <v>0</v>
      </c>
      <c r="CG120" s="59">
        <f t="shared" si="188"/>
        <v>0</v>
      </c>
      <c r="CH120" s="57">
        <f>' WIP '!DJ120</f>
        <v>0</v>
      </c>
      <c r="CI120" s="58">
        <v>0</v>
      </c>
      <c r="CJ120" s="59">
        <f t="shared" si="189"/>
        <v>0</v>
      </c>
      <c r="CK120" s="57">
        <f>' WIP '!DN120</f>
        <v>0</v>
      </c>
      <c r="CL120" s="58">
        <v>0</v>
      </c>
      <c r="CM120" s="59">
        <f t="shared" si="190"/>
        <v>0</v>
      </c>
      <c r="CN120" s="57">
        <f>' WIP '!DR120</f>
        <v>0</v>
      </c>
      <c r="CO120" s="57"/>
      <c r="CP120" s="59">
        <f t="shared" si="191"/>
        <v>0</v>
      </c>
      <c r="CQ120" s="57">
        <f>' WIP '!DV120</f>
        <v>0</v>
      </c>
      <c r="CR120" s="58"/>
      <c r="CS120" s="59">
        <f t="shared" si="192"/>
        <v>0</v>
      </c>
      <c r="CT120" s="31">
        <f t="shared" si="160"/>
        <v>4500</v>
      </c>
      <c r="CU120" s="4">
        <f t="shared" si="161"/>
        <v>4500</v>
      </c>
      <c r="CV120" s="5">
        <f>D120*'MASTER SHEET'!D120</f>
        <v>0</v>
      </c>
      <c r="CW120" s="5">
        <f>G120*'MASTER SHEET'!D120</f>
        <v>0</v>
      </c>
      <c r="CX120" s="5">
        <f>J120*'MASTER SHEET'!D120</f>
        <v>0</v>
      </c>
      <c r="CY120" s="5">
        <f>M120*'MASTER SHEET'!D120</f>
        <v>0</v>
      </c>
      <c r="CZ120" s="5">
        <f>P120*'MASTER SHEET'!D120</f>
        <v>0</v>
      </c>
      <c r="DA120" s="5">
        <f>S120*'MASTER SHEET'!D120</f>
        <v>0</v>
      </c>
      <c r="DB120" s="5">
        <f>V120*'MASTER SHEET'!D120</f>
        <v>0</v>
      </c>
      <c r="DC120" s="5">
        <f>Y120*'MASTER SHEET'!D120</f>
        <v>0</v>
      </c>
      <c r="DD120" s="5">
        <f>AB120*'MASTER SHEET'!D120</f>
        <v>0</v>
      </c>
      <c r="DE120" s="5">
        <f>AE120*'MASTER SHEET'!D120</f>
        <v>0</v>
      </c>
      <c r="DF120" s="5">
        <f>AH120*'MASTER SHEET'!D120</f>
        <v>0</v>
      </c>
      <c r="DG120" s="5">
        <f>AK120*'MASTER SHEET'!D120</f>
        <v>0</v>
      </c>
      <c r="DH120" s="5">
        <f>AN120*'MASTER SHEET'!D120</f>
        <v>0</v>
      </c>
      <c r="DI120" s="5">
        <f>AQ120*'MASTER SHEET'!D120</f>
        <v>0</v>
      </c>
      <c r="DJ120" s="5">
        <f>AT120*'MASTER SHEET'!D120</f>
        <v>0</v>
      </c>
      <c r="DK120" s="5">
        <f>AW120*'MASTER SHEET'!D120</f>
        <v>0</v>
      </c>
      <c r="DL120" s="5">
        <f>AZ120*'MASTER SHEET'!D120</f>
        <v>0</v>
      </c>
      <c r="DM120" s="5">
        <f>BC120*'MASTER SHEET'!D120</f>
        <v>0</v>
      </c>
      <c r="DN120" s="5">
        <f>BF120*'MASTER SHEET'!D120</f>
        <v>0</v>
      </c>
      <c r="DO120" s="5">
        <f>BI120*'MASTER SHEET'!D120</f>
        <v>0</v>
      </c>
      <c r="DP120" s="5">
        <f>BL120*'MASTER SHEET'!D120</f>
        <v>0</v>
      </c>
      <c r="DQ120" s="5">
        <f>BO120*'MASTER SHEET'!D120</f>
        <v>0</v>
      </c>
      <c r="DR120" s="5">
        <f>BR120*'MASTER SHEET'!D120</f>
        <v>0</v>
      </c>
      <c r="DS120" s="5">
        <f>BU120*'MASTER SHEET'!D120</f>
        <v>0</v>
      </c>
      <c r="DT120" s="5">
        <f>BX120*'MASTER SHEET'!D120</f>
        <v>0</v>
      </c>
      <c r="DU120" s="5">
        <f>CA120*'MASTER SHEET'!D120</f>
        <v>0</v>
      </c>
      <c r="DV120" s="5">
        <f>CD120*'MASTER SHEET'!D120</f>
        <v>0</v>
      </c>
      <c r="DW120" s="5">
        <f>CG120*'MASTER SHEET'!D120</f>
        <v>0</v>
      </c>
      <c r="DX120" s="5">
        <f>CJ120*'MASTER SHEET'!D120</f>
        <v>0</v>
      </c>
      <c r="DY120" s="5">
        <f>CM120*'MASTER SHEET'!D120</f>
        <v>0</v>
      </c>
      <c r="DZ120" s="5">
        <f>CP120*'MASTER SHEET'!D120</f>
        <v>0</v>
      </c>
      <c r="EA120" s="5">
        <f>CS120*'MASTER SHEET'!D120</f>
        <v>0</v>
      </c>
      <c r="EB120" s="9"/>
    </row>
    <row r="121" spans="1:132" ht="15.75" x14ac:dyDescent="0.25">
      <c r="A121" s="25">
        <f>'MASTER SHEET'!A121</f>
        <v>119</v>
      </c>
      <c r="B121" s="164" t="str">
        <f>'MASTER SHEET'!B121</f>
        <v>LALITPUR GREY</v>
      </c>
      <c r="C121" s="165" t="str">
        <f>'MASTER SHEET'!C121</f>
        <v>JA00002476</v>
      </c>
      <c r="D121" s="56">
        <v>0</v>
      </c>
      <c r="E121" s="57">
        <f>' WIP '!F121</f>
        <v>0</v>
      </c>
      <c r="F121" s="58">
        <v>0</v>
      </c>
      <c r="G121" s="59">
        <f t="shared" si="162"/>
        <v>0</v>
      </c>
      <c r="H121" s="57">
        <f>' WIP '!J121</f>
        <v>0</v>
      </c>
      <c r="I121" s="58">
        <v>0</v>
      </c>
      <c r="J121" s="59">
        <f t="shared" si="163"/>
        <v>0</v>
      </c>
      <c r="K121" s="57">
        <f>' WIP '!N121</f>
        <v>0</v>
      </c>
      <c r="L121" s="58"/>
      <c r="M121" s="59">
        <f t="shared" si="164"/>
        <v>0</v>
      </c>
      <c r="N121" s="57">
        <f>' WIP '!R121</f>
        <v>1200</v>
      </c>
      <c r="O121" s="58">
        <v>1200</v>
      </c>
      <c r="P121" s="59">
        <f t="shared" si="165"/>
        <v>0</v>
      </c>
      <c r="Q121" s="57">
        <f>' WIP '!V121</f>
        <v>0</v>
      </c>
      <c r="R121" s="58">
        <v>0</v>
      </c>
      <c r="S121" s="59">
        <f t="shared" si="166"/>
        <v>0</v>
      </c>
      <c r="T121" s="57">
        <f>' WIP '!Z121</f>
        <v>1200</v>
      </c>
      <c r="U121" s="58">
        <v>1200</v>
      </c>
      <c r="V121" s="59">
        <f t="shared" si="167"/>
        <v>0</v>
      </c>
      <c r="W121" s="57">
        <f>' WIP '!AD121</f>
        <v>5400</v>
      </c>
      <c r="X121" s="58">
        <v>5400</v>
      </c>
      <c r="Y121" s="59">
        <f t="shared" si="168"/>
        <v>0</v>
      </c>
      <c r="Z121" s="57">
        <f>' WIP '!AH121</f>
        <v>6000</v>
      </c>
      <c r="AA121" s="58">
        <v>6000</v>
      </c>
      <c r="AB121" s="59">
        <f t="shared" si="169"/>
        <v>0</v>
      </c>
      <c r="AC121" s="57">
        <f>' WIP '!AL121</f>
        <v>3600</v>
      </c>
      <c r="AD121" s="58">
        <v>3600</v>
      </c>
      <c r="AE121" s="59">
        <f t="shared" si="170"/>
        <v>0</v>
      </c>
      <c r="AF121" s="57">
        <f>' WIP '!AP121</f>
        <v>6600</v>
      </c>
      <c r="AG121" s="114">
        <v>6600</v>
      </c>
      <c r="AH121" s="59">
        <f t="shared" si="171"/>
        <v>0</v>
      </c>
      <c r="AI121" s="57">
        <f>' WIP '!AT121</f>
        <v>3000</v>
      </c>
      <c r="AJ121" s="58">
        <v>3000</v>
      </c>
      <c r="AK121" s="59">
        <f t="shared" si="172"/>
        <v>0</v>
      </c>
      <c r="AL121" s="57">
        <f>' WIP '!AX121</f>
        <v>0</v>
      </c>
      <c r="AM121" s="58"/>
      <c r="AN121" s="59">
        <f t="shared" si="173"/>
        <v>0</v>
      </c>
      <c r="AO121" s="57">
        <f>' WIP '!BB121</f>
        <v>3600</v>
      </c>
      <c r="AP121" s="58">
        <v>3600</v>
      </c>
      <c r="AQ121" s="59">
        <f t="shared" si="174"/>
        <v>0</v>
      </c>
      <c r="AR121" s="57">
        <f>' WIP '!BF121</f>
        <v>0</v>
      </c>
      <c r="AS121" s="58"/>
      <c r="AT121" s="59">
        <f t="shared" si="175"/>
        <v>0</v>
      </c>
      <c r="AU121" s="57">
        <f>' WIP '!BJ121</f>
        <v>0</v>
      </c>
      <c r="AV121" s="58">
        <v>0</v>
      </c>
      <c r="AW121" s="59">
        <f t="shared" si="176"/>
        <v>0</v>
      </c>
      <c r="AX121" s="57">
        <f>' WIP '!BN121</f>
        <v>3000</v>
      </c>
      <c r="AY121" s="58">
        <v>3000</v>
      </c>
      <c r="AZ121" s="59">
        <f t="shared" si="177"/>
        <v>0</v>
      </c>
      <c r="BA121" s="57">
        <f>' WIP '!BR121</f>
        <v>5400</v>
      </c>
      <c r="BB121" s="58">
        <v>5400</v>
      </c>
      <c r="BC121" s="59">
        <f t="shared" si="178"/>
        <v>0</v>
      </c>
      <c r="BD121" s="57">
        <f>' WIP '!BV121</f>
        <v>600</v>
      </c>
      <c r="BE121" s="58">
        <v>600</v>
      </c>
      <c r="BF121" s="59">
        <f t="shared" si="179"/>
        <v>0</v>
      </c>
      <c r="BG121" s="57">
        <f>' WIP '!BZ121</f>
        <v>0</v>
      </c>
      <c r="BH121" s="58"/>
      <c r="BI121" s="59">
        <f t="shared" si="180"/>
        <v>0</v>
      </c>
      <c r="BJ121" s="57">
        <f>' WIP '!CD121</f>
        <v>4800</v>
      </c>
      <c r="BK121" s="58">
        <v>4800</v>
      </c>
      <c r="BL121" s="59">
        <f t="shared" si="181"/>
        <v>0</v>
      </c>
      <c r="BM121" s="57">
        <f>' WIP '!CH121</f>
        <v>0</v>
      </c>
      <c r="BN121" s="58">
        <v>0</v>
      </c>
      <c r="BO121" s="59">
        <f t="shared" si="182"/>
        <v>0</v>
      </c>
      <c r="BP121" s="57">
        <f>' WIP '!CL121</f>
        <v>0</v>
      </c>
      <c r="BQ121" s="58"/>
      <c r="BR121" s="59">
        <f t="shared" si="183"/>
        <v>0</v>
      </c>
      <c r="BS121" s="57">
        <f>' WIP '!CP121</f>
        <v>0</v>
      </c>
      <c r="BT121" s="58">
        <v>0</v>
      </c>
      <c r="BU121" s="59">
        <f t="shared" si="184"/>
        <v>0</v>
      </c>
      <c r="BV121" s="57">
        <f>' WIP '!CT121</f>
        <v>0</v>
      </c>
      <c r="BW121" s="28">
        <v>0</v>
      </c>
      <c r="BX121" s="59">
        <f t="shared" si="185"/>
        <v>0</v>
      </c>
      <c r="BY121" s="57">
        <f>' WIP '!CX121</f>
        <v>0</v>
      </c>
      <c r="BZ121" s="58">
        <v>0</v>
      </c>
      <c r="CA121" s="59">
        <f t="shared" si="186"/>
        <v>0</v>
      </c>
      <c r="CB121" s="57">
        <f>' WIP '!DB121</f>
        <v>0</v>
      </c>
      <c r="CC121" s="58">
        <v>0</v>
      </c>
      <c r="CD121" s="59">
        <f t="shared" si="187"/>
        <v>0</v>
      </c>
      <c r="CE121" s="57">
        <f>' WIP '!DF121</f>
        <v>4000</v>
      </c>
      <c r="CF121" s="58">
        <v>4000</v>
      </c>
      <c r="CG121" s="59">
        <f t="shared" si="188"/>
        <v>0</v>
      </c>
      <c r="CH121" s="57">
        <f>' WIP '!DJ121</f>
        <v>0</v>
      </c>
      <c r="CI121" s="58">
        <v>0</v>
      </c>
      <c r="CJ121" s="59">
        <f t="shared" si="189"/>
        <v>0</v>
      </c>
      <c r="CK121" s="57">
        <f>' WIP '!DN121</f>
        <v>4200</v>
      </c>
      <c r="CL121" s="58">
        <v>4200</v>
      </c>
      <c r="CM121" s="59">
        <f t="shared" si="190"/>
        <v>0</v>
      </c>
      <c r="CN121" s="57">
        <f>' WIP '!DR121</f>
        <v>0</v>
      </c>
      <c r="CO121" s="57"/>
      <c r="CP121" s="59">
        <f t="shared" si="191"/>
        <v>0</v>
      </c>
      <c r="CQ121" s="57">
        <f>' WIP '!DV121</f>
        <v>0</v>
      </c>
      <c r="CR121" s="58"/>
      <c r="CS121" s="59">
        <f t="shared" si="192"/>
        <v>0</v>
      </c>
      <c r="CT121" s="31">
        <f t="shared" si="160"/>
        <v>52600</v>
      </c>
      <c r="CU121" s="4">
        <f t="shared" si="161"/>
        <v>52600</v>
      </c>
      <c r="CV121" s="5">
        <f>D121*'MASTER SHEET'!D121</f>
        <v>0</v>
      </c>
      <c r="CW121" s="5">
        <f>G121*'MASTER SHEET'!D121</f>
        <v>0</v>
      </c>
      <c r="CX121" s="5">
        <f>J121*'MASTER SHEET'!D121</f>
        <v>0</v>
      </c>
      <c r="CY121" s="5">
        <f>M121*'MASTER SHEET'!D121</f>
        <v>0</v>
      </c>
      <c r="CZ121" s="5">
        <f>P121*'MASTER SHEET'!D121</f>
        <v>0</v>
      </c>
      <c r="DA121" s="5">
        <f>S121*'MASTER SHEET'!D121</f>
        <v>0</v>
      </c>
      <c r="DB121" s="5">
        <f>V121*'MASTER SHEET'!D121</f>
        <v>0</v>
      </c>
      <c r="DC121" s="5">
        <f>Y121*'MASTER SHEET'!D121</f>
        <v>0</v>
      </c>
      <c r="DD121" s="5">
        <f>AB121*'MASTER SHEET'!D121</f>
        <v>0</v>
      </c>
      <c r="DE121" s="5">
        <f>AE121*'MASTER SHEET'!D121</f>
        <v>0</v>
      </c>
      <c r="DF121" s="5">
        <f>AH121*'MASTER SHEET'!D121</f>
        <v>0</v>
      </c>
      <c r="DG121" s="5">
        <f>AK121*'MASTER SHEET'!D121</f>
        <v>0</v>
      </c>
      <c r="DH121" s="5">
        <f>AN121*'MASTER SHEET'!D121</f>
        <v>0</v>
      </c>
      <c r="DI121" s="5">
        <f>AQ121*'MASTER SHEET'!D121</f>
        <v>0</v>
      </c>
      <c r="DJ121" s="5">
        <f>AT121*'MASTER SHEET'!D121</f>
        <v>0</v>
      </c>
      <c r="DK121" s="5">
        <f>AW121*'MASTER SHEET'!D121</f>
        <v>0</v>
      </c>
      <c r="DL121" s="5">
        <f>AZ121*'MASTER SHEET'!D121</f>
        <v>0</v>
      </c>
      <c r="DM121" s="5">
        <f>BC121*'MASTER SHEET'!D121</f>
        <v>0</v>
      </c>
      <c r="DN121" s="5">
        <f>BF121*'MASTER SHEET'!D121</f>
        <v>0</v>
      </c>
      <c r="DO121" s="5">
        <f>BI121*'MASTER SHEET'!D121</f>
        <v>0</v>
      </c>
      <c r="DP121" s="5">
        <f>BL121*'MASTER SHEET'!D121</f>
        <v>0</v>
      </c>
      <c r="DQ121" s="5">
        <f>BO121*'MASTER SHEET'!D121</f>
        <v>0</v>
      </c>
      <c r="DR121" s="5">
        <f>BR121*'MASTER SHEET'!D121</f>
        <v>0</v>
      </c>
      <c r="DS121" s="5">
        <f>BU121*'MASTER SHEET'!D121</f>
        <v>0</v>
      </c>
      <c r="DT121" s="5">
        <f>BX121*'MASTER SHEET'!D121</f>
        <v>0</v>
      </c>
      <c r="DU121" s="5">
        <f>CA121*'MASTER SHEET'!D121</f>
        <v>0</v>
      </c>
      <c r="DV121" s="5">
        <f>CD121*'MASTER SHEET'!D121</f>
        <v>0</v>
      </c>
      <c r="DW121" s="5">
        <f>CG121*'MASTER SHEET'!D121</f>
        <v>0</v>
      </c>
      <c r="DX121" s="5">
        <f>CJ121*'MASTER SHEET'!D121</f>
        <v>0</v>
      </c>
      <c r="DY121" s="5">
        <f>CM121*'MASTER SHEET'!D121</f>
        <v>0</v>
      </c>
      <c r="DZ121" s="5">
        <f>CP121*'MASTER SHEET'!D121</f>
        <v>0</v>
      </c>
      <c r="EA121" s="5">
        <f>CS121*'MASTER SHEET'!D121</f>
        <v>0</v>
      </c>
      <c r="EB121" s="9"/>
    </row>
    <row r="122" spans="1:132" ht="15.75" x14ac:dyDescent="0.25">
      <c r="A122" s="25">
        <f>'MASTER SHEET'!A122</f>
        <v>120</v>
      </c>
      <c r="B122" s="164" t="str">
        <f>'MASTER SHEET'!B122</f>
        <v>KOTA GREY</v>
      </c>
      <c r="C122" s="165" t="str">
        <f>'MASTER SHEET'!C122</f>
        <v>JA00004142</v>
      </c>
      <c r="D122" s="56">
        <v>0</v>
      </c>
      <c r="E122" s="57">
        <f>' WIP '!F122</f>
        <v>0</v>
      </c>
      <c r="F122" s="58">
        <v>0</v>
      </c>
      <c r="G122" s="59">
        <f t="shared" si="162"/>
        <v>0</v>
      </c>
      <c r="H122" s="57">
        <f>' WIP '!J122</f>
        <v>0</v>
      </c>
      <c r="I122" s="58">
        <v>0</v>
      </c>
      <c r="J122" s="59">
        <f t="shared" si="163"/>
        <v>0</v>
      </c>
      <c r="K122" s="57">
        <f>' WIP '!N122</f>
        <v>0</v>
      </c>
      <c r="L122" s="58"/>
      <c r="M122" s="59">
        <f t="shared" si="164"/>
        <v>0</v>
      </c>
      <c r="N122" s="57">
        <f>' WIP '!R122</f>
        <v>1800</v>
      </c>
      <c r="O122" s="58">
        <v>1800</v>
      </c>
      <c r="P122" s="59">
        <f t="shared" si="165"/>
        <v>0</v>
      </c>
      <c r="Q122" s="57">
        <f>' WIP '!V122</f>
        <v>0</v>
      </c>
      <c r="R122" s="58">
        <v>0</v>
      </c>
      <c r="S122" s="59">
        <f t="shared" si="166"/>
        <v>0</v>
      </c>
      <c r="T122" s="57">
        <f>' WIP '!Z122</f>
        <v>0</v>
      </c>
      <c r="U122" s="58">
        <v>0</v>
      </c>
      <c r="V122" s="59">
        <f t="shared" si="167"/>
        <v>0</v>
      </c>
      <c r="W122" s="57">
        <f>' WIP '!AD122</f>
        <v>0</v>
      </c>
      <c r="X122" s="58">
        <v>0</v>
      </c>
      <c r="Y122" s="59">
        <f t="shared" si="168"/>
        <v>0</v>
      </c>
      <c r="Z122" s="57">
        <f>' WIP '!AH122</f>
        <v>0</v>
      </c>
      <c r="AA122" s="58">
        <v>0</v>
      </c>
      <c r="AB122" s="59">
        <f t="shared" si="169"/>
        <v>0</v>
      </c>
      <c r="AC122" s="57">
        <f>' WIP '!AL122</f>
        <v>0</v>
      </c>
      <c r="AD122" s="58">
        <v>0</v>
      </c>
      <c r="AE122" s="59">
        <f t="shared" si="170"/>
        <v>0</v>
      </c>
      <c r="AF122" s="57">
        <f>' WIP '!AP122</f>
        <v>0</v>
      </c>
      <c r="AG122" s="114">
        <v>0</v>
      </c>
      <c r="AH122" s="59">
        <f t="shared" si="171"/>
        <v>0</v>
      </c>
      <c r="AI122" s="57">
        <f>' WIP '!AT122</f>
        <v>2400</v>
      </c>
      <c r="AJ122" s="58">
        <v>2400</v>
      </c>
      <c r="AK122" s="59">
        <f t="shared" si="172"/>
        <v>0</v>
      </c>
      <c r="AL122" s="57">
        <f>' WIP '!AX122</f>
        <v>0</v>
      </c>
      <c r="AM122" s="58"/>
      <c r="AN122" s="59">
        <f t="shared" si="173"/>
        <v>0</v>
      </c>
      <c r="AO122" s="57">
        <f>' WIP '!BB122</f>
        <v>4200</v>
      </c>
      <c r="AP122" s="58">
        <v>4200</v>
      </c>
      <c r="AQ122" s="59">
        <f t="shared" si="174"/>
        <v>0</v>
      </c>
      <c r="AR122" s="57">
        <f>' WIP '!BF122</f>
        <v>6600</v>
      </c>
      <c r="AS122" s="58">
        <v>6600</v>
      </c>
      <c r="AT122" s="59">
        <f t="shared" si="175"/>
        <v>0</v>
      </c>
      <c r="AU122" s="57">
        <f>' WIP '!BJ122</f>
        <v>3600</v>
      </c>
      <c r="AV122" s="58">
        <v>3600</v>
      </c>
      <c r="AW122" s="59">
        <f t="shared" si="176"/>
        <v>0</v>
      </c>
      <c r="AX122" s="57">
        <f>' WIP '!BN122</f>
        <v>0</v>
      </c>
      <c r="AY122" s="58">
        <v>0</v>
      </c>
      <c r="AZ122" s="59">
        <f t="shared" si="177"/>
        <v>0</v>
      </c>
      <c r="BA122" s="57">
        <f>' WIP '!BR122</f>
        <v>0</v>
      </c>
      <c r="BB122" s="58">
        <v>0</v>
      </c>
      <c r="BC122" s="59">
        <f t="shared" si="178"/>
        <v>0</v>
      </c>
      <c r="BD122" s="57">
        <f>' WIP '!BV122</f>
        <v>3600</v>
      </c>
      <c r="BE122" s="58">
        <v>3600</v>
      </c>
      <c r="BF122" s="59">
        <f t="shared" si="179"/>
        <v>0</v>
      </c>
      <c r="BG122" s="57">
        <f>' WIP '!BZ122</f>
        <v>0</v>
      </c>
      <c r="BH122" s="58"/>
      <c r="BI122" s="59">
        <f t="shared" si="180"/>
        <v>0</v>
      </c>
      <c r="BJ122" s="57">
        <f>' WIP '!CD122</f>
        <v>6600</v>
      </c>
      <c r="BK122" s="58">
        <v>6600</v>
      </c>
      <c r="BL122" s="59">
        <f t="shared" si="181"/>
        <v>0</v>
      </c>
      <c r="BM122" s="57">
        <f>' WIP '!CH122</f>
        <v>1200</v>
      </c>
      <c r="BN122" s="58">
        <v>1200</v>
      </c>
      <c r="BO122" s="59">
        <f t="shared" si="182"/>
        <v>0</v>
      </c>
      <c r="BP122" s="57">
        <f>' WIP '!CL122</f>
        <v>0</v>
      </c>
      <c r="BQ122" s="58"/>
      <c r="BR122" s="59">
        <f t="shared" si="183"/>
        <v>0</v>
      </c>
      <c r="BS122" s="57">
        <f>' WIP '!CP122</f>
        <v>3000</v>
      </c>
      <c r="BT122" s="58">
        <v>3000</v>
      </c>
      <c r="BU122" s="59">
        <f t="shared" si="184"/>
        <v>0</v>
      </c>
      <c r="BV122" s="57">
        <f>' WIP '!CT122</f>
        <v>600</v>
      </c>
      <c r="BW122" s="28">
        <v>600</v>
      </c>
      <c r="BX122" s="59">
        <f t="shared" si="185"/>
        <v>0</v>
      </c>
      <c r="BY122" s="57">
        <f>' WIP '!CX122</f>
        <v>0</v>
      </c>
      <c r="BZ122" s="58">
        <v>0</v>
      </c>
      <c r="CA122" s="59">
        <f t="shared" si="186"/>
        <v>0</v>
      </c>
      <c r="CB122" s="57">
        <f>' WIP '!DB122</f>
        <v>0</v>
      </c>
      <c r="CC122" s="58">
        <v>0</v>
      </c>
      <c r="CD122" s="59">
        <f t="shared" si="187"/>
        <v>0</v>
      </c>
      <c r="CE122" s="57">
        <f>' WIP '!DF122</f>
        <v>0</v>
      </c>
      <c r="CF122" s="58">
        <v>0</v>
      </c>
      <c r="CG122" s="59">
        <f t="shared" si="188"/>
        <v>0</v>
      </c>
      <c r="CH122" s="57">
        <f>' WIP '!DJ122</f>
        <v>5400</v>
      </c>
      <c r="CI122" s="58">
        <v>5400</v>
      </c>
      <c r="CJ122" s="59">
        <f t="shared" si="189"/>
        <v>0</v>
      </c>
      <c r="CK122" s="57">
        <f>' WIP '!DN122</f>
        <v>4200</v>
      </c>
      <c r="CL122" s="58">
        <v>4200</v>
      </c>
      <c r="CM122" s="59">
        <f t="shared" si="190"/>
        <v>0</v>
      </c>
      <c r="CN122" s="57">
        <f>' WIP '!DR122</f>
        <v>0</v>
      </c>
      <c r="CO122" s="57"/>
      <c r="CP122" s="59">
        <f t="shared" si="191"/>
        <v>0</v>
      </c>
      <c r="CQ122" s="57">
        <f>' WIP '!DV122</f>
        <v>0</v>
      </c>
      <c r="CR122" s="58"/>
      <c r="CS122" s="59">
        <f t="shared" si="192"/>
        <v>0</v>
      </c>
      <c r="CT122" s="31">
        <f t="shared" si="160"/>
        <v>43200</v>
      </c>
      <c r="CU122" s="4">
        <f t="shared" si="161"/>
        <v>43200</v>
      </c>
      <c r="CV122" s="5">
        <f>D122*'MASTER SHEET'!D122</f>
        <v>0</v>
      </c>
      <c r="CW122" s="5">
        <f>G122*'MASTER SHEET'!D122</f>
        <v>0</v>
      </c>
      <c r="CX122" s="5">
        <f>J122*'MASTER SHEET'!D122</f>
        <v>0</v>
      </c>
      <c r="CY122" s="5">
        <f>M122*'MASTER SHEET'!D122</f>
        <v>0</v>
      </c>
      <c r="CZ122" s="5">
        <f>P122*'MASTER SHEET'!D122</f>
        <v>0</v>
      </c>
      <c r="DA122" s="5">
        <f>S122*'MASTER SHEET'!D122</f>
        <v>0</v>
      </c>
      <c r="DB122" s="5">
        <f>V122*'MASTER SHEET'!D122</f>
        <v>0</v>
      </c>
      <c r="DC122" s="5">
        <f>Y122*'MASTER SHEET'!D122</f>
        <v>0</v>
      </c>
      <c r="DD122" s="5">
        <f>AB122*'MASTER SHEET'!D122</f>
        <v>0</v>
      </c>
      <c r="DE122" s="5">
        <f>AE122*'MASTER SHEET'!D122</f>
        <v>0</v>
      </c>
      <c r="DF122" s="5">
        <f>AH122*'MASTER SHEET'!D122</f>
        <v>0</v>
      </c>
      <c r="DG122" s="5">
        <f>AK122*'MASTER SHEET'!D122</f>
        <v>0</v>
      </c>
      <c r="DH122" s="5">
        <f>AN122*'MASTER SHEET'!D122</f>
        <v>0</v>
      </c>
      <c r="DI122" s="5">
        <f>AQ122*'MASTER SHEET'!D122</f>
        <v>0</v>
      </c>
      <c r="DJ122" s="5">
        <f>AT122*'MASTER SHEET'!D122</f>
        <v>0</v>
      </c>
      <c r="DK122" s="5">
        <f>AW122*'MASTER SHEET'!D122</f>
        <v>0</v>
      </c>
      <c r="DL122" s="5">
        <f>AZ122*'MASTER SHEET'!D122</f>
        <v>0</v>
      </c>
      <c r="DM122" s="5">
        <f>BC122*'MASTER SHEET'!D122</f>
        <v>0</v>
      </c>
      <c r="DN122" s="5">
        <f>BF122*'MASTER SHEET'!D122</f>
        <v>0</v>
      </c>
      <c r="DO122" s="5">
        <f>BI122*'MASTER SHEET'!D122</f>
        <v>0</v>
      </c>
      <c r="DP122" s="5">
        <f>BL122*'MASTER SHEET'!D122</f>
        <v>0</v>
      </c>
      <c r="DQ122" s="5">
        <f>BO122*'MASTER SHEET'!D122</f>
        <v>0</v>
      </c>
      <c r="DR122" s="5">
        <f>BR122*'MASTER SHEET'!D122</f>
        <v>0</v>
      </c>
      <c r="DS122" s="5">
        <f>BU122*'MASTER SHEET'!D122</f>
        <v>0</v>
      </c>
      <c r="DT122" s="5">
        <f>BX122*'MASTER SHEET'!D122</f>
        <v>0</v>
      </c>
      <c r="DU122" s="5">
        <f>CA122*'MASTER SHEET'!D122</f>
        <v>0</v>
      </c>
      <c r="DV122" s="5">
        <f>CD122*'MASTER SHEET'!D122</f>
        <v>0</v>
      </c>
      <c r="DW122" s="5">
        <f>CG122*'MASTER SHEET'!D122</f>
        <v>0</v>
      </c>
      <c r="DX122" s="5">
        <f>CJ122*'MASTER SHEET'!D122</f>
        <v>0</v>
      </c>
      <c r="DY122" s="5">
        <f>CM122*'MASTER SHEET'!D122</f>
        <v>0</v>
      </c>
      <c r="DZ122" s="5">
        <f>CP122*'MASTER SHEET'!D122</f>
        <v>0</v>
      </c>
      <c r="EA122" s="5">
        <f>CS122*'MASTER SHEET'!D122</f>
        <v>0</v>
      </c>
      <c r="EB122" s="9"/>
    </row>
    <row r="123" spans="1:132" ht="15.75" x14ac:dyDescent="0.25">
      <c r="A123" s="25">
        <f>'MASTER SHEET'!A123</f>
        <v>121</v>
      </c>
      <c r="B123" s="164" t="str">
        <f>'MASTER SHEET'!B123</f>
        <v xml:space="preserve">GRANITE BLACK </v>
      </c>
      <c r="C123" s="165" t="str">
        <f>'MASTER SHEET'!C123</f>
        <v>JA00003924</v>
      </c>
      <c r="D123" s="56">
        <v>0</v>
      </c>
      <c r="E123" s="57">
        <f>' WIP '!F123</f>
        <v>0</v>
      </c>
      <c r="F123" s="58">
        <v>0</v>
      </c>
      <c r="G123" s="59">
        <f t="shared" si="162"/>
        <v>0</v>
      </c>
      <c r="H123" s="57">
        <f>' WIP '!J123</f>
        <v>0</v>
      </c>
      <c r="I123" s="58">
        <v>0</v>
      </c>
      <c r="J123" s="59">
        <f t="shared" si="163"/>
        <v>0</v>
      </c>
      <c r="K123" s="57">
        <f>' WIP '!N123</f>
        <v>0</v>
      </c>
      <c r="L123" s="58"/>
      <c r="M123" s="59">
        <f t="shared" si="164"/>
        <v>0</v>
      </c>
      <c r="N123" s="57">
        <f>' WIP '!R123</f>
        <v>0</v>
      </c>
      <c r="O123" s="58">
        <v>0</v>
      </c>
      <c r="P123" s="59">
        <f t="shared" si="165"/>
        <v>0</v>
      </c>
      <c r="Q123" s="57">
        <f>' WIP '!V123</f>
        <v>0</v>
      </c>
      <c r="R123" s="58">
        <v>0</v>
      </c>
      <c r="S123" s="59">
        <f t="shared" si="166"/>
        <v>0</v>
      </c>
      <c r="T123" s="57">
        <f>' WIP '!Z123</f>
        <v>0</v>
      </c>
      <c r="U123" s="58">
        <v>0</v>
      </c>
      <c r="V123" s="59">
        <f t="shared" si="167"/>
        <v>0</v>
      </c>
      <c r="W123" s="57">
        <f>' WIP '!AD123</f>
        <v>0</v>
      </c>
      <c r="X123" s="58">
        <v>0</v>
      </c>
      <c r="Y123" s="59">
        <f t="shared" si="168"/>
        <v>0</v>
      </c>
      <c r="Z123" s="57">
        <f>' WIP '!AH123</f>
        <v>0</v>
      </c>
      <c r="AA123" s="58">
        <v>0</v>
      </c>
      <c r="AB123" s="59">
        <f t="shared" si="169"/>
        <v>0</v>
      </c>
      <c r="AC123" s="57">
        <f>' WIP '!AL123</f>
        <v>0</v>
      </c>
      <c r="AD123" s="58">
        <v>0</v>
      </c>
      <c r="AE123" s="59">
        <f t="shared" si="170"/>
        <v>0</v>
      </c>
      <c r="AF123" s="57">
        <f>' WIP '!AP123</f>
        <v>0</v>
      </c>
      <c r="AG123" s="114">
        <v>0</v>
      </c>
      <c r="AH123" s="59">
        <f t="shared" si="171"/>
        <v>0</v>
      </c>
      <c r="AI123" s="57">
        <f>' WIP '!AT123</f>
        <v>0</v>
      </c>
      <c r="AJ123" s="58">
        <v>0</v>
      </c>
      <c r="AK123" s="59">
        <f t="shared" si="172"/>
        <v>0</v>
      </c>
      <c r="AL123" s="57">
        <f>' WIP '!AX123</f>
        <v>0</v>
      </c>
      <c r="AM123" s="58"/>
      <c r="AN123" s="59">
        <f t="shared" si="173"/>
        <v>0</v>
      </c>
      <c r="AO123" s="57">
        <f>' WIP '!BB123</f>
        <v>0</v>
      </c>
      <c r="AP123" s="58">
        <v>0</v>
      </c>
      <c r="AQ123" s="59">
        <f t="shared" si="174"/>
        <v>0</v>
      </c>
      <c r="AR123" s="57">
        <f>' WIP '!BF123</f>
        <v>0</v>
      </c>
      <c r="AS123" s="58"/>
      <c r="AT123" s="59">
        <f t="shared" si="175"/>
        <v>0</v>
      </c>
      <c r="AU123" s="57">
        <f>' WIP '!BJ123</f>
        <v>0</v>
      </c>
      <c r="AV123" s="58">
        <v>0</v>
      </c>
      <c r="AW123" s="59">
        <f t="shared" si="176"/>
        <v>0</v>
      </c>
      <c r="AX123" s="57">
        <f>' WIP '!BN123</f>
        <v>0</v>
      </c>
      <c r="AY123" s="58">
        <v>0</v>
      </c>
      <c r="AZ123" s="59">
        <f t="shared" si="177"/>
        <v>0</v>
      </c>
      <c r="BA123" s="57">
        <f>' WIP '!BR123</f>
        <v>0</v>
      </c>
      <c r="BB123" s="58">
        <v>0</v>
      </c>
      <c r="BC123" s="59">
        <f t="shared" si="178"/>
        <v>0</v>
      </c>
      <c r="BD123" s="57">
        <f>' WIP '!BV123</f>
        <v>0</v>
      </c>
      <c r="BE123" s="58">
        <v>0</v>
      </c>
      <c r="BF123" s="59">
        <f t="shared" si="179"/>
        <v>0</v>
      </c>
      <c r="BG123" s="57">
        <f>' WIP '!BZ123</f>
        <v>0</v>
      </c>
      <c r="BH123" s="58"/>
      <c r="BI123" s="59">
        <f t="shared" si="180"/>
        <v>0</v>
      </c>
      <c r="BJ123" s="57">
        <f>' WIP '!CD123</f>
        <v>0</v>
      </c>
      <c r="BK123" s="58">
        <v>0</v>
      </c>
      <c r="BL123" s="59">
        <f t="shared" si="181"/>
        <v>0</v>
      </c>
      <c r="BM123" s="57">
        <f>' WIP '!CH123</f>
        <v>0</v>
      </c>
      <c r="BN123" s="58">
        <v>0</v>
      </c>
      <c r="BO123" s="59">
        <f t="shared" si="182"/>
        <v>0</v>
      </c>
      <c r="BP123" s="57">
        <f>' WIP '!CL123</f>
        <v>0</v>
      </c>
      <c r="BQ123" s="58"/>
      <c r="BR123" s="59">
        <f t="shared" si="183"/>
        <v>0</v>
      </c>
      <c r="BS123" s="57">
        <f>' WIP '!CP123</f>
        <v>0</v>
      </c>
      <c r="BT123" s="58">
        <v>0</v>
      </c>
      <c r="BU123" s="59">
        <f t="shared" si="184"/>
        <v>0</v>
      </c>
      <c r="BV123" s="57">
        <f>' WIP '!CT123</f>
        <v>0</v>
      </c>
      <c r="BW123" s="28">
        <v>0</v>
      </c>
      <c r="BX123" s="59">
        <f t="shared" si="185"/>
        <v>0</v>
      </c>
      <c r="BY123" s="57">
        <f>' WIP '!CX123</f>
        <v>0</v>
      </c>
      <c r="BZ123" s="58">
        <v>0</v>
      </c>
      <c r="CA123" s="59">
        <f t="shared" si="186"/>
        <v>0</v>
      </c>
      <c r="CB123" s="57">
        <f>' WIP '!DB123</f>
        <v>0</v>
      </c>
      <c r="CC123" s="58">
        <v>0</v>
      </c>
      <c r="CD123" s="59">
        <f t="shared" si="187"/>
        <v>0</v>
      </c>
      <c r="CE123" s="57">
        <f>' WIP '!DF123</f>
        <v>0</v>
      </c>
      <c r="CF123" s="58">
        <v>0</v>
      </c>
      <c r="CG123" s="59">
        <f t="shared" si="188"/>
        <v>0</v>
      </c>
      <c r="CH123" s="57">
        <f>' WIP '!DJ123</f>
        <v>0</v>
      </c>
      <c r="CI123" s="58">
        <v>0</v>
      </c>
      <c r="CJ123" s="59">
        <f t="shared" si="189"/>
        <v>0</v>
      </c>
      <c r="CK123" s="57">
        <f>' WIP '!DN123</f>
        <v>0</v>
      </c>
      <c r="CL123" s="58">
        <v>0</v>
      </c>
      <c r="CM123" s="59">
        <f t="shared" si="190"/>
        <v>0</v>
      </c>
      <c r="CN123" s="57">
        <f>' WIP '!DR123</f>
        <v>0</v>
      </c>
      <c r="CO123" s="57"/>
      <c r="CP123" s="59">
        <f t="shared" si="191"/>
        <v>0</v>
      </c>
      <c r="CQ123" s="57">
        <f>' WIP '!DV123</f>
        <v>0</v>
      </c>
      <c r="CR123" s="58"/>
      <c r="CS123" s="59">
        <f t="shared" si="192"/>
        <v>0</v>
      </c>
      <c r="CT123" s="31">
        <f t="shared" si="160"/>
        <v>0</v>
      </c>
      <c r="CU123" s="4">
        <f t="shared" si="161"/>
        <v>0</v>
      </c>
      <c r="CV123" s="5">
        <f>D123*'MASTER SHEET'!D123</f>
        <v>0</v>
      </c>
      <c r="CW123" s="5">
        <f>G123*'MASTER SHEET'!D123</f>
        <v>0</v>
      </c>
      <c r="CX123" s="5">
        <f>J123*'MASTER SHEET'!D123</f>
        <v>0</v>
      </c>
      <c r="CY123" s="5">
        <f>M123*'MASTER SHEET'!D123</f>
        <v>0</v>
      </c>
      <c r="CZ123" s="5">
        <f>P123*'MASTER SHEET'!D123</f>
        <v>0</v>
      </c>
      <c r="DA123" s="5">
        <f>S123*'MASTER SHEET'!D123</f>
        <v>0</v>
      </c>
      <c r="DB123" s="5">
        <f>V123*'MASTER SHEET'!D123</f>
        <v>0</v>
      </c>
      <c r="DC123" s="5">
        <f>Y123*'MASTER SHEET'!D123</f>
        <v>0</v>
      </c>
      <c r="DD123" s="5">
        <f>AB123*'MASTER SHEET'!D123</f>
        <v>0</v>
      </c>
      <c r="DE123" s="5">
        <f>AE123*'MASTER SHEET'!D123</f>
        <v>0</v>
      </c>
      <c r="DF123" s="5">
        <f>AH123*'MASTER SHEET'!D123</f>
        <v>0</v>
      </c>
      <c r="DG123" s="5">
        <f>AK123*'MASTER SHEET'!D123</f>
        <v>0</v>
      </c>
      <c r="DH123" s="5">
        <f>AN123*'MASTER SHEET'!D123</f>
        <v>0</v>
      </c>
      <c r="DI123" s="5">
        <f>AQ123*'MASTER SHEET'!D123</f>
        <v>0</v>
      </c>
      <c r="DJ123" s="5">
        <f>AT123*'MASTER SHEET'!D123</f>
        <v>0</v>
      </c>
      <c r="DK123" s="5">
        <f>AW123*'MASTER SHEET'!D123</f>
        <v>0</v>
      </c>
      <c r="DL123" s="5">
        <f>AZ123*'MASTER SHEET'!D123</f>
        <v>0</v>
      </c>
      <c r="DM123" s="5">
        <f>BC123*'MASTER SHEET'!D123</f>
        <v>0</v>
      </c>
      <c r="DN123" s="5">
        <f>BF123*'MASTER SHEET'!D123</f>
        <v>0</v>
      </c>
      <c r="DO123" s="5">
        <f>BI123*'MASTER SHEET'!D123</f>
        <v>0</v>
      </c>
      <c r="DP123" s="5">
        <f>BL123*'MASTER SHEET'!D123</f>
        <v>0</v>
      </c>
      <c r="DQ123" s="5">
        <f>BO123*'MASTER SHEET'!D123</f>
        <v>0</v>
      </c>
      <c r="DR123" s="5">
        <f>BR123*'MASTER SHEET'!D123</f>
        <v>0</v>
      </c>
      <c r="DS123" s="5">
        <f>BU123*'MASTER SHEET'!D123</f>
        <v>0</v>
      </c>
      <c r="DT123" s="5">
        <f>BX123*'MASTER SHEET'!D123</f>
        <v>0</v>
      </c>
      <c r="DU123" s="5">
        <f>CA123*'MASTER SHEET'!D123</f>
        <v>0</v>
      </c>
      <c r="DV123" s="5">
        <f>CD123*'MASTER SHEET'!D123</f>
        <v>0</v>
      </c>
      <c r="DW123" s="5">
        <f>CG123*'MASTER SHEET'!D123</f>
        <v>0</v>
      </c>
      <c r="DX123" s="5">
        <f>CJ123*'MASTER SHEET'!D123</f>
        <v>0</v>
      </c>
      <c r="DY123" s="5">
        <f>CM123*'MASTER SHEET'!D123</f>
        <v>0</v>
      </c>
      <c r="DZ123" s="5">
        <f>CP123*'MASTER SHEET'!D123</f>
        <v>0</v>
      </c>
      <c r="EA123" s="5">
        <f>CS123*'MASTER SHEET'!D123</f>
        <v>0</v>
      </c>
      <c r="EB123" s="9"/>
    </row>
    <row r="124" spans="1:132" ht="15.75" x14ac:dyDescent="0.25">
      <c r="A124" s="25">
        <f>'MASTER SHEET'!A124</f>
        <v>122</v>
      </c>
      <c r="B124" s="164" t="str">
        <f>'MASTER SHEET'!B124</f>
        <v>YOM HRSKNOBASSY INSERT MOLDING5 PK</v>
      </c>
      <c r="C124" s="165" t="str">
        <f>'MASTER SHEET'!C124</f>
        <v>GA00007422</v>
      </c>
      <c r="D124" s="56">
        <v>0</v>
      </c>
      <c r="E124" s="57">
        <f>' WIP '!F124</f>
        <v>16500</v>
      </c>
      <c r="F124" s="58">
        <v>16500</v>
      </c>
      <c r="G124" s="59">
        <f t="shared" si="162"/>
        <v>0</v>
      </c>
      <c r="H124" s="57">
        <f>' WIP '!J124</f>
        <v>19000</v>
      </c>
      <c r="I124" s="58">
        <v>19000</v>
      </c>
      <c r="J124" s="59">
        <f t="shared" si="163"/>
        <v>0</v>
      </c>
      <c r="K124" s="57">
        <f>' WIP '!N124</f>
        <v>0</v>
      </c>
      <c r="L124" s="58"/>
      <c r="M124" s="59">
        <f t="shared" si="164"/>
        <v>0</v>
      </c>
      <c r="N124" s="57">
        <f>' WIP '!R124</f>
        <v>16500</v>
      </c>
      <c r="O124" s="58">
        <v>16500</v>
      </c>
      <c r="P124" s="59">
        <f t="shared" si="165"/>
        <v>0</v>
      </c>
      <c r="Q124" s="57">
        <f>' WIP '!V124</f>
        <v>16500</v>
      </c>
      <c r="R124" s="58">
        <v>16500</v>
      </c>
      <c r="S124" s="59">
        <f t="shared" si="166"/>
        <v>0</v>
      </c>
      <c r="T124" s="57">
        <f>' WIP '!Z124</f>
        <v>16500</v>
      </c>
      <c r="U124" s="58">
        <v>16500</v>
      </c>
      <c r="V124" s="59">
        <f t="shared" si="167"/>
        <v>0</v>
      </c>
      <c r="W124" s="57">
        <f>' WIP '!AD124</f>
        <v>9000</v>
      </c>
      <c r="X124" s="58">
        <v>9000</v>
      </c>
      <c r="Y124" s="59">
        <f t="shared" si="168"/>
        <v>0</v>
      </c>
      <c r="Z124" s="57">
        <f>' WIP '!AH124</f>
        <v>16000</v>
      </c>
      <c r="AA124" s="58">
        <v>16000</v>
      </c>
      <c r="AB124" s="59">
        <f t="shared" si="169"/>
        <v>0</v>
      </c>
      <c r="AC124" s="57">
        <f>' WIP '!AL124</f>
        <v>18000</v>
      </c>
      <c r="AD124" s="58">
        <v>18000</v>
      </c>
      <c r="AE124" s="59">
        <f t="shared" si="170"/>
        <v>0</v>
      </c>
      <c r="AF124" s="57">
        <f>' WIP '!AP124</f>
        <v>6000</v>
      </c>
      <c r="AG124" s="114">
        <v>6000</v>
      </c>
      <c r="AH124" s="59">
        <f t="shared" si="171"/>
        <v>0</v>
      </c>
      <c r="AI124" s="57">
        <f>' WIP '!AT124</f>
        <v>0</v>
      </c>
      <c r="AJ124" s="58">
        <v>0</v>
      </c>
      <c r="AK124" s="59">
        <f t="shared" si="172"/>
        <v>0</v>
      </c>
      <c r="AL124" s="57">
        <f>' WIP '!AX124</f>
        <v>0</v>
      </c>
      <c r="AM124" s="58"/>
      <c r="AN124" s="59">
        <f t="shared" si="173"/>
        <v>0</v>
      </c>
      <c r="AO124" s="57">
        <f>' WIP '!BB124</f>
        <v>0</v>
      </c>
      <c r="AP124" s="58">
        <v>0</v>
      </c>
      <c r="AQ124" s="59">
        <f t="shared" si="174"/>
        <v>0</v>
      </c>
      <c r="AR124" s="57">
        <f>' WIP '!BF124</f>
        <v>3500</v>
      </c>
      <c r="AS124" s="58">
        <v>3500</v>
      </c>
      <c r="AT124" s="59">
        <f t="shared" si="175"/>
        <v>0</v>
      </c>
      <c r="AU124" s="57">
        <f>' WIP '!BJ124</f>
        <v>9000</v>
      </c>
      <c r="AV124" s="58">
        <v>9000</v>
      </c>
      <c r="AW124" s="59">
        <f t="shared" si="176"/>
        <v>0</v>
      </c>
      <c r="AX124" s="57">
        <f>' WIP '!BN124</f>
        <v>6000</v>
      </c>
      <c r="AY124" s="58">
        <v>6000</v>
      </c>
      <c r="AZ124" s="59">
        <f t="shared" si="177"/>
        <v>0</v>
      </c>
      <c r="BA124" s="57">
        <f>' WIP '!BR124</f>
        <v>13500</v>
      </c>
      <c r="BB124" s="58">
        <v>13500</v>
      </c>
      <c r="BC124" s="59">
        <f t="shared" si="178"/>
        <v>0</v>
      </c>
      <c r="BD124" s="57">
        <f>' WIP '!BV124</f>
        <v>10500</v>
      </c>
      <c r="BE124" s="58">
        <v>10500</v>
      </c>
      <c r="BF124" s="59">
        <f t="shared" si="179"/>
        <v>0</v>
      </c>
      <c r="BG124" s="57">
        <f>' WIP '!BZ124</f>
        <v>4000</v>
      </c>
      <c r="BH124" s="58">
        <v>4000</v>
      </c>
      <c r="BI124" s="59">
        <f t="shared" si="180"/>
        <v>0</v>
      </c>
      <c r="BJ124" s="57">
        <f>' WIP '!CD124</f>
        <v>15000</v>
      </c>
      <c r="BK124" s="58">
        <v>15000</v>
      </c>
      <c r="BL124" s="59">
        <f t="shared" si="181"/>
        <v>0</v>
      </c>
      <c r="BM124" s="57">
        <f>' WIP '!CH124</f>
        <v>8000</v>
      </c>
      <c r="BN124" s="58">
        <v>8000</v>
      </c>
      <c r="BO124" s="59">
        <f t="shared" si="182"/>
        <v>0</v>
      </c>
      <c r="BP124" s="57">
        <f>' WIP '!CL124</f>
        <v>14500</v>
      </c>
      <c r="BQ124" s="58">
        <v>14500</v>
      </c>
      <c r="BR124" s="59">
        <f t="shared" si="183"/>
        <v>0</v>
      </c>
      <c r="BS124" s="57">
        <f>' WIP '!CP124</f>
        <v>13500</v>
      </c>
      <c r="BT124" s="58">
        <v>13500</v>
      </c>
      <c r="BU124" s="59">
        <f t="shared" si="184"/>
        <v>0</v>
      </c>
      <c r="BV124" s="57">
        <f>' WIP '!CT124</f>
        <v>16500</v>
      </c>
      <c r="BW124" s="28">
        <v>16500</v>
      </c>
      <c r="BX124" s="59">
        <f t="shared" si="185"/>
        <v>0</v>
      </c>
      <c r="BY124" s="57">
        <f>' WIP '!CX124</f>
        <v>16500</v>
      </c>
      <c r="BZ124" s="58">
        <v>16500</v>
      </c>
      <c r="CA124" s="59">
        <f t="shared" si="186"/>
        <v>0</v>
      </c>
      <c r="CB124" s="57">
        <f>' WIP '!DB124</f>
        <v>0</v>
      </c>
      <c r="CC124" s="58">
        <v>0</v>
      </c>
      <c r="CD124" s="59">
        <f t="shared" si="187"/>
        <v>0</v>
      </c>
      <c r="CE124" s="57">
        <f>' WIP '!DF124</f>
        <v>18000</v>
      </c>
      <c r="CF124" s="58">
        <v>18000</v>
      </c>
      <c r="CG124" s="59">
        <f t="shared" si="188"/>
        <v>0</v>
      </c>
      <c r="CH124" s="57">
        <f>' WIP '!DJ124</f>
        <v>16500</v>
      </c>
      <c r="CI124" s="58">
        <v>16500</v>
      </c>
      <c r="CJ124" s="59">
        <f t="shared" si="189"/>
        <v>0</v>
      </c>
      <c r="CK124" s="57">
        <f>' WIP '!DN124</f>
        <v>13500</v>
      </c>
      <c r="CL124" s="58">
        <v>13500</v>
      </c>
      <c r="CM124" s="59">
        <f t="shared" si="190"/>
        <v>0</v>
      </c>
      <c r="CN124" s="57">
        <f>' WIP '!DR124</f>
        <v>0</v>
      </c>
      <c r="CO124" s="57"/>
      <c r="CP124" s="59">
        <f t="shared" si="191"/>
        <v>0</v>
      </c>
      <c r="CQ124" s="57">
        <f>' WIP '!DV124</f>
        <v>0</v>
      </c>
      <c r="CR124" s="58"/>
      <c r="CS124" s="59">
        <f t="shared" si="192"/>
        <v>0</v>
      </c>
      <c r="CT124" s="31">
        <f t="shared" si="160"/>
        <v>312500</v>
      </c>
      <c r="CU124" s="4">
        <f t="shared" si="161"/>
        <v>312500</v>
      </c>
      <c r="CV124" s="5">
        <f>D124*'MASTER SHEET'!D124</f>
        <v>0</v>
      </c>
      <c r="CW124" s="5">
        <f>G124*'MASTER SHEET'!D124</f>
        <v>0</v>
      </c>
      <c r="CX124" s="5">
        <f>J124*'MASTER SHEET'!D124</f>
        <v>0</v>
      </c>
      <c r="CY124" s="5">
        <f>M124*'MASTER SHEET'!D124</f>
        <v>0</v>
      </c>
      <c r="CZ124" s="5">
        <f>P124*'MASTER SHEET'!D124</f>
        <v>0</v>
      </c>
      <c r="DA124" s="5">
        <f>S124*'MASTER SHEET'!D124</f>
        <v>0</v>
      </c>
      <c r="DB124" s="5">
        <f>V124*'MASTER SHEET'!D124</f>
        <v>0</v>
      </c>
      <c r="DC124" s="5">
        <f>Y124*'MASTER SHEET'!D124</f>
        <v>0</v>
      </c>
      <c r="DD124" s="5">
        <f>AB124*'MASTER SHEET'!D124</f>
        <v>0</v>
      </c>
      <c r="DE124" s="5">
        <f>AE124*'MASTER SHEET'!D124</f>
        <v>0</v>
      </c>
      <c r="DF124" s="5">
        <f>AH124*'MASTER SHEET'!D124</f>
        <v>0</v>
      </c>
      <c r="DG124" s="5">
        <f>AK124*'MASTER SHEET'!D124</f>
        <v>0</v>
      </c>
      <c r="DH124" s="5">
        <f>AN124*'MASTER SHEET'!D124</f>
        <v>0</v>
      </c>
      <c r="DI124" s="5">
        <f>AQ124*'MASTER SHEET'!D124</f>
        <v>0</v>
      </c>
      <c r="DJ124" s="5">
        <f>AT124*'MASTER SHEET'!D124</f>
        <v>0</v>
      </c>
      <c r="DK124" s="5">
        <f>AW124*'MASTER SHEET'!D124</f>
        <v>0</v>
      </c>
      <c r="DL124" s="5">
        <f>AZ124*'MASTER SHEET'!D124</f>
        <v>0</v>
      </c>
      <c r="DM124" s="5">
        <f>BC124*'MASTER SHEET'!D124</f>
        <v>0</v>
      </c>
      <c r="DN124" s="5">
        <f>BF124*'MASTER SHEET'!D124</f>
        <v>0</v>
      </c>
      <c r="DO124" s="5">
        <f>BI124*'MASTER SHEET'!D124</f>
        <v>0</v>
      </c>
      <c r="DP124" s="5">
        <f>BL124*'MASTER SHEET'!D124</f>
        <v>0</v>
      </c>
      <c r="DQ124" s="5">
        <f>BO124*'MASTER SHEET'!D124</f>
        <v>0</v>
      </c>
      <c r="DR124" s="5">
        <f>BR124*'MASTER SHEET'!D124</f>
        <v>0</v>
      </c>
      <c r="DS124" s="5">
        <f>BU124*'MASTER SHEET'!D124</f>
        <v>0</v>
      </c>
      <c r="DT124" s="5">
        <f>BX124*'MASTER SHEET'!D124</f>
        <v>0</v>
      </c>
      <c r="DU124" s="5">
        <f>CA124*'MASTER SHEET'!D124</f>
        <v>0</v>
      </c>
      <c r="DV124" s="5">
        <f>CD124*'MASTER SHEET'!D124</f>
        <v>0</v>
      </c>
      <c r="DW124" s="5">
        <f>CG124*'MASTER SHEET'!D124</f>
        <v>0</v>
      </c>
      <c r="DX124" s="5">
        <f>CJ124*'MASTER SHEET'!D124</f>
        <v>0</v>
      </c>
      <c r="DY124" s="5">
        <f>CM124*'MASTER SHEET'!D124</f>
        <v>0</v>
      </c>
      <c r="DZ124" s="5">
        <f>CP124*'MASTER SHEET'!D124</f>
        <v>0</v>
      </c>
      <c r="EA124" s="5">
        <f>CS124*'MASTER SHEET'!D124</f>
        <v>0</v>
      </c>
      <c r="EB124" s="9"/>
    </row>
    <row r="125" spans="1:132" ht="15.75" x14ac:dyDescent="0.25">
      <c r="A125" s="25">
        <f>'MASTER SHEET'!A125</f>
        <v>123</v>
      </c>
      <c r="B125" s="164" t="str">
        <f>'MASTER SHEET'!B125</f>
        <v>KNOB LH</v>
      </c>
      <c r="C125" s="165" t="str">
        <f>'MASTER SHEET'!C125</f>
        <v>CB0000557500</v>
      </c>
      <c r="D125" s="56">
        <v>8000</v>
      </c>
      <c r="E125" s="57">
        <f>' WIP '!F125</f>
        <v>0</v>
      </c>
      <c r="F125" s="58">
        <v>6000</v>
      </c>
      <c r="G125" s="59">
        <f t="shared" si="162"/>
        <v>2000</v>
      </c>
      <c r="H125" s="57">
        <f>' WIP '!J125</f>
        <v>0</v>
      </c>
      <c r="I125" s="58">
        <v>0</v>
      </c>
      <c r="J125" s="59">
        <f t="shared" si="163"/>
        <v>2000</v>
      </c>
      <c r="K125" s="57">
        <f>' WIP '!N125</f>
        <v>0</v>
      </c>
      <c r="L125" s="58"/>
      <c r="M125" s="59">
        <f t="shared" si="164"/>
        <v>2000</v>
      </c>
      <c r="N125" s="57">
        <f>' WIP '!R125</f>
        <v>0</v>
      </c>
      <c r="O125" s="58">
        <v>0</v>
      </c>
      <c r="P125" s="59">
        <f t="shared" si="165"/>
        <v>2000</v>
      </c>
      <c r="Q125" s="57">
        <f>' WIP '!V125</f>
        <v>0</v>
      </c>
      <c r="R125" s="58">
        <v>0</v>
      </c>
      <c r="S125" s="59">
        <f t="shared" si="166"/>
        <v>2000</v>
      </c>
      <c r="T125" s="57">
        <f>' WIP '!Z125</f>
        <v>0</v>
      </c>
      <c r="U125" s="58">
        <v>0</v>
      </c>
      <c r="V125" s="59">
        <f t="shared" si="167"/>
        <v>2000</v>
      </c>
      <c r="W125" s="57">
        <f>' WIP '!AD125</f>
        <v>0</v>
      </c>
      <c r="X125" s="58">
        <v>0</v>
      </c>
      <c r="Y125" s="59">
        <f t="shared" si="168"/>
        <v>2000</v>
      </c>
      <c r="Z125" s="57">
        <f>' WIP '!AH125</f>
        <v>0</v>
      </c>
      <c r="AA125" s="58">
        <v>0</v>
      </c>
      <c r="AB125" s="59">
        <f t="shared" si="169"/>
        <v>2000</v>
      </c>
      <c r="AC125" s="57">
        <f>' WIP '!AL125</f>
        <v>0</v>
      </c>
      <c r="AD125" s="58">
        <v>0</v>
      </c>
      <c r="AE125" s="59">
        <f t="shared" si="170"/>
        <v>2000</v>
      </c>
      <c r="AF125" s="57">
        <f>' WIP '!AP125</f>
        <v>0</v>
      </c>
      <c r="AG125" s="114">
        <v>0</v>
      </c>
      <c r="AH125" s="59">
        <f t="shared" si="171"/>
        <v>2000</v>
      </c>
      <c r="AI125" s="57">
        <f>' WIP '!AT125</f>
        <v>0</v>
      </c>
      <c r="AJ125" s="58">
        <v>0</v>
      </c>
      <c r="AK125" s="59">
        <f t="shared" si="172"/>
        <v>2000</v>
      </c>
      <c r="AL125" s="57">
        <f>' WIP '!AX125</f>
        <v>0</v>
      </c>
      <c r="AM125" s="58"/>
      <c r="AN125" s="59">
        <f t="shared" si="173"/>
        <v>2000</v>
      </c>
      <c r="AO125" s="57">
        <f>' WIP '!BB125</f>
        <v>0</v>
      </c>
      <c r="AP125" s="58">
        <v>0</v>
      </c>
      <c r="AQ125" s="59">
        <f t="shared" si="174"/>
        <v>2000</v>
      </c>
      <c r="AR125" s="57">
        <f>' WIP '!BF125</f>
        <v>4000</v>
      </c>
      <c r="AS125" s="58">
        <v>4000</v>
      </c>
      <c r="AT125" s="59">
        <f t="shared" si="175"/>
        <v>2000</v>
      </c>
      <c r="AU125" s="57">
        <f>' WIP '!BJ125</f>
        <v>2000</v>
      </c>
      <c r="AV125" s="58">
        <v>2000</v>
      </c>
      <c r="AW125" s="59">
        <f t="shared" si="176"/>
        <v>2000</v>
      </c>
      <c r="AX125" s="57">
        <f>' WIP '!BN125</f>
        <v>0</v>
      </c>
      <c r="AY125" s="58">
        <v>0</v>
      </c>
      <c r="AZ125" s="59">
        <f t="shared" si="177"/>
        <v>2000</v>
      </c>
      <c r="BA125" s="57">
        <f>' WIP '!BR125</f>
        <v>0</v>
      </c>
      <c r="BB125" s="58">
        <v>0</v>
      </c>
      <c r="BC125" s="59">
        <f t="shared" si="178"/>
        <v>2000</v>
      </c>
      <c r="BD125" s="57">
        <f>' WIP '!BV125</f>
        <v>0</v>
      </c>
      <c r="BE125" s="58">
        <v>0</v>
      </c>
      <c r="BF125" s="59">
        <f t="shared" si="179"/>
        <v>2000</v>
      </c>
      <c r="BG125" s="57">
        <f>' WIP '!BZ125</f>
        <v>0</v>
      </c>
      <c r="BH125" s="58"/>
      <c r="BI125" s="59">
        <f t="shared" si="180"/>
        <v>2000</v>
      </c>
      <c r="BJ125" s="57">
        <f>' WIP '!CD125</f>
        <v>0</v>
      </c>
      <c r="BK125" s="58">
        <v>0</v>
      </c>
      <c r="BL125" s="59">
        <f t="shared" si="181"/>
        <v>2000</v>
      </c>
      <c r="BM125" s="57">
        <f>' WIP '!CH125</f>
        <v>0</v>
      </c>
      <c r="BN125" s="58">
        <v>0</v>
      </c>
      <c r="BO125" s="59">
        <f t="shared" si="182"/>
        <v>2000</v>
      </c>
      <c r="BP125" s="57">
        <f>' WIP '!CL125</f>
        <v>0</v>
      </c>
      <c r="BQ125" s="58"/>
      <c r="BR125" s="59">
        <f t="shared" si="183"/>
        <v>2000</v>
      </c>
      <c r="BS125" s="57">
        <f>' WIP '!CP125</f>
        <v>0</v>
      </c>
      <c r="BT125" s="58">
        <v>0</v>
      </c>
      <c r="BU125" s="59">
        <f t="shared" si="184"/>
        <v>2000</v>
      </c>
      <c r="BV125" s="57">
        <f>' WIP '!CT125</f>
        <v>0</v>
      </c>
      <c r="BW125" s="28">
        <v>0</v>
      </c>
      <c r="BX125" s="59">
        <f t="shared" si="185"/>
        <v>2000</v>
      </c>
      <c r="BY125" s="57">
        <f>' WIP '!CX125</f>
        <v>3000</v>
      </c>
      <c r="BZ125" s="58">
        <v>3000</v>
      </c>
      <c r="CA125" s="59">
        <f t="shared" si="186"/>
        <v>2000</v>
      </c>
      <c r="CB125" s="57">
        <f>' WIP '!DB125</f>
        <v>0</v>
      </c>
      <c r="CC125" s="58">
        <v>0</v>
      </c>
      <c r="CD125" s="59">
        <f t="shared" si="187"/>
        <v>2000</v>
      </c>
      <c r="CE125" s="57">
        <f>' WIP '!DF125</f>
        <v>3000</v>
      </c>
      <c r="CF125" s="58">
        <v>3000</v>
      </c>
      <c r="CG125" s="59">
        <f t="shared" si="188"/>
        <v>2000</v>
      </c>
      <c r="CH125" s="57">
        <f>' WIP '!DJ125</f>
        <v>1000</v>
      </c>
      <c r="CI125" s="58">
        <v>3000</v>
      </c>
      <c r="CJ125" s="59">
        <f t="shared" si="189"/>
        <v>0</v>
      </c>
      <c r="CK125" s="57">
        <f>' WIP '!DN125</f>
        <v>0</v>
      </c>
      <c r="CL125" s="58">
        <v>0</v>
      </c>
      <c r="CM125" s="59">
        <f t="shared" si="190"/>
        <v>0</v>
      </c>
      <c r="CN125" s="57">
        <f>' WIP '!DR125</f>
        <v>0</v>
      </c>
      <c r="CO125" s="57"/>
      <c r="CP125" s="59">
        <f t="shared" si="191"/>
        <v>0</v>
      </c>
      <c r="CQ125" s="57">
        <f>' WIP '!DV125</f>
        <v>0</v>
      </c>
      <c r="CR125" s="58"/>
      <c r="CS125" s="59">
        <f t="shared" si="192"/>
        <v>0</v>
      </c>
      <c r="CT125" s="31">
        <f t="shared" si="160"/>
        <v>21000</v>
      </c>
      <c r="CU125" s="4">
        <f t="shared" si="161"/>
        <v>21000</v>
      </c>
      <c r="CV125" s="5">
        <f>D125*'MASTER SHEET'!D125</f>
        <v>45200</v>
      </c>
      <c r="CW125" s="5">
        <f>G125*'MASTER SHEET'!D125</f>
        <v>11300</v>
      </c>
      <c r="CX125" s="5">
        <f>J125*'MASTER SHEET'!D125</f>
        <v>11300</v>
      </c>
      <c r="CY125" s="5">
        <f>M125*'MASTER SHEET'!D125</f>
        <v>11300</v>
      </c>
      <c r="CZ125" s="5">
        <f>P125*'MASTER SHEET'!D125</f>
        <v>11300</v>
      </c>
      <c r="DA125" s="5">
        <f>S125*'MASTER SHEET'!D125</f>
        <v>11300</v>
      </c>
      <c r="DB125" s="5">
        <f>V125*'MASTER SHEET'!D125</f>
        <v>11300</v>
      </c>
      <c r="DC125" s="5">
        <f>Y125*'MASTER SHEET'!D125</f>
        <v>11300</v>
      </c>
      <c r="DD125" s="5">
        <f>AB125*'MASTER SHEET'!D125</f>
        <v>11300</v>
      </c>
      <c r="DE125" s="5">
        <f>AE125*'MASTER SHEET'!D125</f>
        <v>11300</v>
      </c>
      <c r="DF125" s="5">
        <f>AH125*'MASTER SHEET'!D125</f>
        <v>11300</v>
      </c>
      <c r="DG125" s="5">
        <f>AK125*'MASTER SHEET'!D125</f>
        <v>11300</v>
      </c>
      <c r="DH125" s="5">
        <f>AN125*'MASTER SHEET'!D125</f>
        <v>11300</v>
      </c>
      <c r="DI125" s="5">
        <f>AQ125*'MASTER SHEET'!D125</f>
        <v>11300</v>
      </c>
      <c r="DJ125" s="5">
        <f>AT125*'MASTER SHEET'!D125</f>
        <v>11300</v>
      </c>
      <c r="DK125" s="5">
        <f>AW125*'MASTER SHEET'!D125</f>
        <v>11300</v>
      </c>
      <c r="DL125" s="5">
        <f>AZ125*'MASTER SHEET'!D125</f>
        <v>11300</v>
      </c>
      <c r="DM125" s="5">
        <f>BC125*'MASTER SHEET'!D125</f>
        <v>11300</v>
      </c>
      <c r="DN125" s="5">
        <f>BF125*'MASTER SHEET'!D125</f>
        <v>11300</v>
      </c>
      <c r="DO125" s="5">
        <f>BI125*'MASTER SHEET'!D125</f>
        <v>11300</v>
      </c>
      <c r="DP125" s="5">
        <f>BL125*'MASTER SHEET'!D125</f>
        <v>11300</v>
      </c>
      <c r="DQ125" s="5">
        <f>BO125*'MASTER SHEET'!D125</f>
        <v>11300</v>
      </c>
      <c r="DR125" s="5">
        <f>BR125*'MASTER SHEET'!D125</f>
        <v>11300</v>
      </c>
      <c r="DS125" s="5">
        <f>BU125*'MASTER SHEET'!D125</f>
        <v>11300</v>
      </c>
      <c r="DT125" s="5">
        <f>BX125*'MASTER SHEET'!D125</f>
        <v>11300</v>
      </c>
      <c r="DU125" s="5">
        <f>CA125*'MASTER SHEET'!D125</f>
        <v>11300</v>
      </c>
      <c r="DV125" s="5">
        <f>CD125*'MASTER SHEET'!D125</f>
        <v>11300</v>
      </c>
      <c r="DW125" s="5">
        <f>CG125*'MASTER SHEET'!D125</f>
        <v>11300</v>
      </c>
      <c r="DX125" s="5">
        <f>CJ125*'MASTER SHEET'!D125</f>
        <v>0</v>
      </c>
      <c r="DY125" s="5">
        <f>CM125*'MASTER SHEET'!D125</f>
        <v>0</v>
      </c>
      <c r="DZ125" s="5">
        <f>CP125*'MASTER SHEET'!D125</f>
        <v>0</v>
      </c>
      <c r="EA125" s="5">
        <f>CS125*'MASTER SHEET'!D125</f>
        <v>0</v>
      </c>
      <c r="EB125" s="9"/>
    </row>
    <row r="126" spans="1:132" ht="15.75" x14ac:dyDescent="0.25">
      <c r="A126" s="25">
        <f>'MASTER SHEET'!A126</f>
        <v>124</v>
      </c>
      <c r="B126" s="164" t="str">
        <f>'MASTER SHEET'!B126</f>
        <v>KNOB RH</v>
      </c>
      <c r="C126" s="165" t="str">
        <f>'MASTER SHEET'!C126</f>
        <v>CC0000557600</v>
      </c>
      <c r="D126" s="56">
        <v>5000</v>
      </c>
      <c r="E126" s="57">
        <f>' WIP '!F126</f>
        <v>1000</v>
      </c>
      <c r="F126" s="58">
        <v>6000</v>
      </c>
      <c r="G126" s="59">
        <f t="shared" si="162"/>
        <v>0</v>
      </c>
      <c r="H126" s="57">
        <f>' WIP '!J126</f>
        <v>0</v>
      </c>
      <c r="I126" s="58">
        <v>0</v>
      </c>
      <c r="J126" s="59">
        <f t="shared" si="163"/>
        <v>0</v>
      </c>
      <c r="K126" s="57">
        <f>' WIP '!N126</f>
        <v>0</v>
      </c>
      <c r="L126" s="58"/>
      <c r="M126" s="59">
        <f t="shared" si="164"/>
        <v>0</v>
      </c>
      <c r="N126" s="57">
        <f>' WIP '!R126</f>
        <v>0</v>
      </c>
      <c r="O126" s="58">
        <v>0</v>
      </c>
      <c r="P126" s="59">
        <f t="shared" si="165"/>
        <v>0</v>
      </c>
      <c r="Q126" s="57">
        <f>' WIP '!V126</f>
        <v>0</v>
      </c>
      <c r="R126" s="58">
        <v>0</v>
      </c>
      <c r="S126" s="59">
        <f t="shared" si="166"/>
        <v>0</v>
      </c>
      <c r="T126" s="57">
        <f>' WIP '!Z126</f>
        <v>0</v>
      </c>
      <c r="U126" s="58">
        <v>0</v>
      </c>
      <c r="V126" s="59">
        <f t="shared" si="167"/>
        <v>0</v>
      </c>
      <c r="W126" s="57">
        <f>' WIP '!AD126</f>
        <v>0</v>
      </c>
      <c r="X126" s="58">
        <v>0</v>
      </c>
      <c r="Y126" s="59">
        <f t="shared" si="168"/>
        <v>0</v>
      </c>
      <c r="Z126" s="57">
        <f>' WIP '!AH126</f>
        <v>0</v>
      </c>
      <c r="AA126" s="58">
        <v>0</v>
      </c>
      <c r="AB126" s="59">
        <f t="shared" si="169"/>
        <v>0</v>
      </c>
      <c r="AC126" s="57">
        <f>' WIP '!AL126</f>
        <v>0</v>
      </c>
      <c r="AD126" s="58">
        <v>0</v>
      </c>
      <c r="AE126" s="59">
        <f t="shared" si="170"/>
        <v>0</v>
      </c>
      <c r="AF126" s="57">
        <f>' WIP '!AP126</f>
        <v>0</v>
      </c>
      <c r="AG126" s="114">
        <v>0</v>
      </c>
      <c r="AH126" s="59">
        <f t="shared" si="171"/>
        <v>0</v>
      </c>
      <c r="AI126" s="57">
        <f>' WIP '!AT126</f>
        <v>0</v>
      </c>
      <c r="AJ126" s="58">
        <v>0</v>
      </c>
      <c r="AK126" s="59">
        <f t="shared" si="172"/>
        <v>0</v>
      </c>
      <c r="AL126" s="57">
        <f>' WIP '!AX126</f>
        <v>0</v>
      </c>
      <c r="AM126" s="58"/>
      <c r="AN126" s="59">
        <f t="shared" si="173"/>
        <v>0</v>
      </c>
      <c r="AO126" s="57">
        <f>' WIP '!BB126</f>
        <v>0</v>
      </c>
      <c r="AP126" s="58">
        <v>0</v>
      </c>
      <c r="AQ126" s="59">
        <f t="shared" si="174"/>
        <v>0</v>
      </c>
      <c r="AR126" s="57">
        <f>' WIP '!BF126</f>
        <v>0</v>
      </c>
      <c r="AS126" s="58"/>
      <c r="AT126" s="59">
        <f t="shared" si="175"/>
        <v>0</v>
      </c>
      <c r="AU126" s="57">
        <f>' WIP '!BJ126</f>
        <v>2000</v>
      </c>
      <c r="AV126" s="58">
        <v>2000</v>
      </c>
      <c r="AW126" s="59">
        <f t="shared" si="176"/>
        <v>0</v>
      </c>
      <c r="AX126" s="57">
        <f>' WIP '!BN126</f>
        <v>0</v>
      </c>
      <c r="AY126" s="58">
        <v>0</v>
      </c>
      <c r="AZ126" s="59">
        <f t="shared" si="177"/>
        <v>0</v>
      </c>
      <c r="BA126" s="57">
        <f>' WIP '!BR126</f>
        <v>0</v>
      </c>
      <c r="BB126" s="58">
        <v>0</v>
      </c>
      <c r="BC126" s="59">
        <f t="shared" si="178"/>
        <v>0</v>
      </c>
      <c r="BD126" s="57">
        <f>' WIP '!BV126</f>
        <v>0</v>
      </c>
      <c r="BE126" s="58">
        <v>0</v>
      </c>
      <c r="BF126" s="59">
        <f t="shared" si="179"/>
        <v>0</v>
      </c>
      <c r="BG126" s="57">
        <f>' WIP '!BZ126</f>
        <v>0</v>
      </c>
      <c r="BH126" s="58"/>
      <c r="BI126" s="59">
        <f t="shared" si="180"/>
        <v>0</v>
      </c>
      <c r="BJ126" s="57">
        <f>' WIP '!CD126</f>
        <v>0</v>
      </c>
      <c r="BK126" s="58">
        <v>0</v>
      </c>
      <c r="BL126" s="59">
        <f t="shared" si="181"/>
        <v>0</v>
      </c>
      <c r="BM126" s="57">
        <f>' WIP '!CH126</f>
        <v>0</v>
      </c>
      <c r="BN126" s="58">
        <v>0</v>
      </c>
      <c r="BO126" s="59">
        <f t="shared" si="182"/>
        <v>0</v>
      </c>
      <c r="BP126" s="57">
        <f>' WIP '!CL126</f>
        <v>0</v>
      </c>
      <c r="BQ126" s="58"/>
      <c r="BR126" s="59">
        <f t="shared" si="183"/>
        <v>0</v>
      </c>
      <c r="BS126" s="57">
        <f>' WIP '!CP126</f>
        <v>0</v>
      </c>
      <c r="BT126" s="58">
        <v>0</v>
      </c>
      <c r="BU126" s="59">
        <f t="shared" si="184"/>
        <v>0</v>
      </c>
      <c r="BV126" s="57">
        <f>' WIP '!CT126</f>
        <v>0</v>
      </c>
      <c r="BW126" s="28">
        <v>0</v>
      </c>
      <c r="BX126" s="59">
        <f t="shared" si="185"/>
        <v>0</v>
      </c>
      <c r="BY126" s="57">
        <f>' WIP '!CX126</f>
        <v>3000</v>
      </c>
      <c r="BZ126" s="58">
        <v>3000</v>
      </c>
      <c r="CA126" s="59">
        <f t="shared" si="186"/>
        <v>0</v>
      </c>
      <c r="CB126" s="57">
        <f>' WIP '!DB126</f>
        <v>0</v>
      </c>
      <c r="CC126" s="58">
        <v>0</v>
      </c>
      <c r="CD126" s="59">
        <f t="shared" si="187"/>
        <v>0</v>
      </c>
      <c r="CE126" s="57">
        <f>' WIP '!DF126</f>
        <v>3000</v>
      </c>
      <c r="CF126" s="58">
        <v>3000</v>
      </c>
      <c r="CG126" s="59">
        <f t="shared" si="188"/>
        <v>0</v>
      </c>
      <c r="CH126" s="57">
        <f>' WIP '!DJ126</f>
        <v>3000</v>
      </c>
      <c r="CI126" s="58">
        <v>3000</v>
      </c>
      <c r="CJ126" s="59">
        <f t="shared" si="189"/>
        <v>0</v>
      </c>
      <c r="CK126" s="57">
        <f>' WIP '!DN126</f>
        <v>0</v>
      </c>
      <c r="CL126" s="58">
        <v>0</v>
      </c>
      <c r="CM126" s="59">
        <f t="shared" si="190"/>
        <v>0</v>
      </c>
      <c r="CN126" s="57">
        <f>' WIP '!DR126</f>
        <v>0</v>
      </c>
      <c r="CO126" s="57"/>
      <c r="CP126" s="59">
        <f t="shared" si="191"/>
        <v>0</v>
      </c>
      <c r="CQ126" s="57">
        <f>' WIP '!DV126</f>
        <v>0</v>
      </c>
      <c r="CR126" s="58"/>
      <c r="CS126" s="59">
        <f t="shared" si="192"/>
        <v>0</v>
      </c>
      <c r="CT126" s="31">
        <f t="shared" si="160"/>
        <v>17000</v>
      </c>
      <c r="CU126" s="4">
        <f t="shared" si="161"/>
        <v>17000</v>
      </c>
      <c r="CV126" s="5">
        <f>D126*'MASTER SHEET'!D126</f>
        <v>28250</v>
      </c>
      <c r="CW126" s="5">
        <f>G126*'MASTER SHEET'!D126</f>
        <v>0</v>
      </c>
      <c r="CX126" s="5">
        <f>J126*'MASTER SHEET'!D126</f>
        <v>0</v>
      </c>
      <c r="CY126" s="5">
        <f>M126*'MASTER SHEET'!D126</f>
        <v>0</v>
      </c>
      <c r="CZ126" s="5">
        <f>P126*'MASTER SHEET'!D126</f>
        <v>0</v>
      </c>
      <c r="DA126" s="5">
        <f>S126*'MASTER SHEET'!D126</f>
        <v>0</v>
      </c>
      <c r="DB126" s="5">
        <f>V126*'MASTER SHEET'!D126</f>
        <v>0</v>
      </c>
      <c r="DC126" s="5">
        <f>Y126*'MASTER SHEET'!D126</f>
        <v>0</v>
      </c>
      <c r="DD126" s="5">
        <f>AB126*'MASTER SHEET'!D126</f>
        <v>0</v>
      </c>
      <c r="DE126" s="5">
        <f>AE126*'MASTER SHEET'!D126</f>
        <v>0</v>
      </c>
      <c r="DF126" s="5">
        <f>AH126*'MASTER SHEET'!D126</f>
        <v>0</v>
      </c>
      <c r="DG126" s="5">
        <f>AK126*'MASTER SHEET'!D126</f>
        <v>0</v>
      </c>
      <c r="DH126" s="5">
        <f>AN126*'MASTER SHEET'!D126</f>
        <v>0</v>
      </c>
      <c r="DI126" s="5">
        <f>AQ126*'MASTER SHEET'!D126</f>
        <v>0</v>
      </c>
      <c r="DJ126" s="5">
        <f>AT126*'MASTER SHEET'!D126</f>
        <v>0</v>
      </c>
      <c r="DK126" s="5">
        <f>AW126*'MASTER SHEET'!D126</f>
        <v>0</v>
      </c>
      <c r="DL126" s="5">
        <f>AZ126*'MASTER SHEET'!D126</f>
        <v>0</v>
      </c>
      <c r="DM126" s="5">
        <f>BC126*'MASTER SHEET'!D126</f>
        <v>0</v>
      </c>
      <c r="DN126" s="5">
        <f>BF126*'MASTER SHEET'!D126</f>
        <v>0</v>
      </c>
      <c r="DO126" s="5">
        <f>BI126*'MASTER SHEET'!D126</f>
        <v>0</v>
      </c>
      <c r="DP126" s="5">
        <f>BL126*'MASTER SHEET'!D126</f>
        <v>0</v>
      </c>
      <c r="DQ126" s="5">
        <f>BO126*'MASTER SHEET'!D126</f>
        <v>0</v>
      </c>
      <c r="DR126" s="5">
        <f>BR126*'MASTER SHEET'!D126</f>
        <v>0</v>
      </c>
      <c r="DS126" s="5">
        <f>BU126*'MASTER SHEET'!D126</f>
        <v>0</v>
      </c>
      <c r="DT126" s="5">
        <f>BX126*'MASTER SHEET'!D126</f>
        <v>0</v>
      </c>
      <c r="DU126" s="5">
        <f>CA126*'MASTER SHEET'!D126</f>
        <v>0</v>
      </c>
      <c r="DV126" s="5">
        <f>CD126*'MASTER SHEET'!D126</f>
        <v>0</v>
      </c>
      <c r="DW126" s="5">
        <f>CG126*'MASTER SHEET'!D126</f>
        <v>0</v>
      </c>
      <c r="DX126" s="5">
        <f>CJ126*'MASTER SHEET'!D126</f>
        <v>0</v>
      </c>
      <c r="DY126" s="5">
        <f>CM126*'MASTER SHEET'!D126</f>
        <v>0</v>
      </c>
      <c r="DZ126" s="5">
        <f>CP126*'MASTER SHEET'!D126</f>
        <v>0</v>
      </c>
      <c r="EA126" s="5">
        <f>CS126*'MASTER SHEET'!D126</f>
        <v>0</v>
      </c>
      <c r="EB126" s="9"/>
    </row>
    <row r="127" spans="1:132" ht="15.75" x14ac:dyDescent="0.25">
      <c r="A127" s="25">
        <f>'MASTER SHEET'!A127</f>
        <v>125</v>
      </c>
      <c r="B127" s="164" t="str">
        <f>'MASTER SHEET'!B127</f>
        <v>TIAGO MCE IDH LEVER GRAINED RH</v>
      </c>
      <c r="C127" s="165" t="str">
        <f>'MASTER SHEET'!C127</f>
        <v>CC00004728</v>
      </c>
      <c r="D127" s="56"/>
      <c r="E127" s="57">
        <f>' WIP '!F127</f>
        <v>0</v>
      </c>
      <c r="F127" s="58">
        <v>0</v>
      </c>
      <c r="G127" s="59">
        <f t="shared" si="162"/>
        <v>0</v>
      </c>
      <c r="H127" s="57">
        <f>' WIP '!J127</f>
        <v>0</v>
      </c>
      <c r="I127" s="58">
        <v>0</v>
      </c>
      <c r="J127" s="59">
        <f t="shared" si="163"/>
        <v>0</v>
      </c>
      <c r="K127" s="57">
        <f>' WIP '!N127</f>
        <v>0</v>
      </c>
      <c r="L127" s="58"/>
      <c r="M127" s="59">
        <f t="shared" si="164"/>
        <v>0</v>
      </c>
      <c r="N127" s="57">
        <f>' WIP '!R127</f>
        <v>0</v>
      </c>
      <c r="O127" s="58">
        <v>0</v>
      </c>
      <c r="P127" s="59">
        <f t="shared" si="165"/>
        <v>0</v>
      </c>
      <c r="Q127" s="57">
        <f>' WIP '!V127</f>
        <v>0</v>
      </c>
      <c r="R127" s="58">
        <v>0</v>
      </c>
      <c r="S127" s="59">
        <f t="shared" si="166"/>
        <v>0</v>
      </c>
      <c r="T127" s="57">
        <f>' WIP '!Z127</f>
        <v>0</v>
      </c>
      <c r="U127" s="58">
        <v>0</v>
      </c>
      <c r="V127" s="59">
        <f t="shared" si="167"/>
        <v>0</v>
      </c>
      <c r="W127" s="57">
        <f>' WIP '!AD127</f>
        <v>714</v>
      </c>
      <c r="X127" s="58">
        <v>714</v>
      </c>
      <c r="Y127" s="59">
        <f t="shared" si="168"/>
        <v>0</v>
      </c>
      <c r="Z127" s="57">
        <f>' WIP '!AH127</f>
        <v>2176</v>
      </c>
      <c r="AA127" s="58">
        <v>2176</v>
      </c>
      <c r="AB127" s="59">
        <f t="shared" si="169"/>
        <v>0</v>
      </c>
      <c r="AC127" s="57">
        <f>' WIP '!AL127</f>
        <v>1632</v>
      </c>
      <c r="AD127" s="58">
        <v>1632</v>
      </c>
      <c r="AE127" s="59">
        <f t="shared" si="170"/>
        <v>0</v>
      </c>
      <c r="AF127" s="57">
        <f>' WIP '!AP127</f>
        <v>0</v>
      </c>
      <c r="AG127" s="114">
        <v>0</v>
      </c>
      <c r="AH127" s="59">
        <f t="shared" si="171"/>
        <v>0</v>
      </c>
      <c r="AI127" s="57">
        <f>' WIP '!AT127</f>
        <v>0</v>
      </c>
      <c r="AJ127" s="58">
        <v>0</v>
      </c>
      <c r="AK127" s="59">
        <f t="shared" si="172"/>
        <v>0</v>
      </c>
      <c r="AL127" s="57">
        <f>' WIP '!AX127</f>
        <v>0</v>
      </c>
      <c r="AM127" s="58"/>
      <c r="AN127" s="59">
        <f t="shared" si="173"/>
        <v>0</v>
      </c>
      <c r="AO127" s="57">
        <f>' WIP '!BB127</f>
        <v>918</v>
      </c>
      <c r="AP127" s="58">
        <v>918</v>
      </c>
      <c r="AQ127" s="59">
        <f t="shared" si="174"/>
        <v>0</v>
      </c>
      <c r="AR127" s="57">
        <f>' WIP '!BF127</f>
        <v>2142</v>
      </c>
      <c r="AS127" s="58">
        <v>2142</v>
      </c>
      <c r="AT127" s="59">
        <f t="shared" si="175"/>
        <v>0</v>
      </c>
      <c r="AU127" s="57">
        <f>' WIP '!BJ127</f>
        <v>2176</v>
      </c>
      <c r="AV127" s="58">
        <v>2176</v>
      </c>
      <c r="AW127" s="59">
        <f t="shared" si="176"/>
        <v>0</v>
      </c>
      <c r="AX127" s="57">
        <f>' WIP '!BN127</f>
        <v>0</v>
      </c>
      <c r="AY127" s="58">
        <v>0</v>
      </c>
      <c r="AZ127" s="59">
        <f t="shared" si="177"/>
        <v>0</v>
      </c>
      <c r="BA127" s="57">
        <f>' WIP '!BR127</f>
        <v>0</v>
      </c>
      <c r="BB127" s="58">
        <v>0</v>
      </c>
      <c r="BC127" s="59">
        <f t="shared" si="178"/>
        <v>0</v>
      </c>
      <c r="BD127" s="57">
        <f>' WIP '!BV127</f>
        <v>0</v>
      </c>
      <c r="BE127" s="58">
        <v>0</v>
      </c>
      <c r="BF127" s="59">
        <f t="shared" si="179"/>
        <v>0</v>
      </c>
      <c r="BG127" s="57">
        <f>' WIP '!BZ127</f>
        <v>0</v>
      </c>
      <c r="BH127" s="58"/>
      <c r="BI127" s="59">
        <f t="shared" si="180"/>
        <v>0</v>
      </c>
      <c r="BJ127" s="57">
        <f>' WIP '!CD127</f>
        <v>0</v>
      </c>
      <c r="BK127" s="58">
        <v>0</v>
      </c>
      <c r="BL127" s="59">
        <f t="shared" si="181"/>
        <v>0</v>
      </c>
      <c r="BM127" s="57">
        <f>' WIP '!CH127</f>
        <v>0</v>
      </c>
      <c r="BN127" s="58">
        <v>0</v>
      </c>
      <c r="BO127" s="59">
        <f t="shared" si="182"/>
        <v>0</v>
      </c>
      <c r="BP127" s="57">
        <f>' WIP '!CL127</f>
        <v>0</v>
      </c>
      <c r="BQ127" s="58"/>
      <c r="BR127" s="59">
        <f t="shared" si="183"/>
        <v>0</v>
      </c>
      <c r="BS127" s="57">
        <f>' WIP '!CP127</f>
        <v>2346</v>
      </c>
      <c r="BT127" s="58">
        <v>2346</v>
      </c>
      <c r="BU127" s="59">
        <f t="shared" si="184"/>
        <v>0</v>
      </c>
      <c r="BV127" s="57">
        <f>' WIP '!CT127</f>
        <v>2176</v>
      </c>
      <c r="BW127" s="28">
        <v>2176</v>
      </c>
      <c r="BX127" s="59">
        <f t="shared" si="185"/>
        <v>0</v>
      </c>
      <c r="BY127" s="57">
        <f>' WIP '!CX127</f>
        <v>1088</v>
      </c>
      <c r="BZ127" s="58">
        <v>1088</v>
      </c>
      <c r="CA127" s="59">
        <f t="shared" si="186"/>
        <v>0</v>
      </c>
      <c r="CB127" s="57">
        <f>' WIP '!DB127</f>
        <v>0</v>
      </c>
      <c r="CC127" s="58">
        <v>0</v>
      </c>
      <c r="CD127" s="59">
        <f t="shared" si="187"/>
        <v>0</v>
      </c>
      <c r="CE127" s="57">
        <f>' WIP '!DF127</f>
        <v>272</v>
      </c>
      <c r="CF127" s="58">
        <v>272</v>
      </c>
      <c r="CG127" s="59">
        <f t="shared" si="188"/>
        <v>0</v>
      </c>
      <c r="CH127" s="57">
        <f>' WIP '!DJ127</f>
        <v>0</v>
      </c>
      <c r="CI127" s="58">
        <v>0</v>
      </c>
      <c r="CJ127" s="59">
        <f t="shared" si="189"/>
        <v>0</v>
      </c>
      <c r="CK127" s="57">
        <f>' WIP '!DN127</f>
        <v>0</v>
      </c>
      <c r="CL127" s="58">
        <v>0</v>
      </c>
      <c r="CM127" s="59">
        <f t="shared" si="190"/>
        <v>0</v>
      </c>
      <c r="CN127" s="57">
        <f>' WIP '!DR127</f>
        <v>0</v>
      </c>
      <c r="CO127" s="57"/>
      <c r="CP127" s="59">
        <f t="shared" si="191"/>
        <v>0</v>
      </c>
      <c r="CQ127" s="57">
        <f>' WIP '!DV127</f>
        <v>0</v>
      </c>
      <c r="CR127" s="58"/>
      <c r="CS127" s="59">
        <f t="shared" si="192"/>
        <v>0</v>
      </c>
      <c r="CT127" s="31">
        <f t="shared" si="160"/>
        <v>15640</v>
      </c>
      <c r="CU127" s="4">
        <f t="shared" si="161"/>
        <v>15640</v>
      </c>
      <c r="CV127" s="5">
        <f>D127*'MASTER SHEET'!D127</f>
        <v>0</v>
      </c>
      <c r="CW127" s="5">
        <f>G127*'MASTER SHEET'!D127</f>
        <v>0</v>
      </c>
      <c r="CX127" s="5">
        <f>J127*'MASTER SHEET'!D127</f>
        <v>0</v>
      </c>
      <c r="CY127" s="5">
        <f>M127*'MASTER SHEET'!D127</f>
        <v>0</v>
      </c>
      <c r="CZ127" s="5">
        <f>P127*'MASTER SHEET'!D127</f>
        <v>0</v>
      </c>
      <c r="DA127" s="5">
        <f>S127*'MASTER SHEET'!D127</f>
        <v>0</v>
      </c>
      <c r="DB127" s="5">
        <f>V127*'MASTER SHEET'!D127</f>
        <v>0</v>
      </c>
      <c r="DC127" s="5">
        <f>Y127*'MASTER SHEET'!D127</f>
        <v>0</v>
      </c>
      <c r="DD127" s="5">
        <f>AB127*'MASTER SHEET'!D127</f>
        <v>0</v>
      </c>
      <c r="DE127" s="5">
        <f>AE127*'MASTER SHEET'!D127</f>
        <v>0</v>
      </c>
      <c r="DF127" s="5">
        <f>AH127*'MASTER SHEET'!D127</f>
        <v>0</v>
      </c>
      <c r="DG127" s="5">
        <f>AK127*'MASTER SHEET'!D127</f>
        <v>0</v>
      </c>
      <c r="DH127" s="5">
        <f>AN127*'MASTER SHEET'!D127</f>
        <v>0</v>
      </c>
      <c r="DI127" s="5">
        <f>AQ127*'MASTER SHEET'!D127</f>
        <v>0</v>
      </c>
      <c r="DJ127" s="5">
        <f>AT127*'MASTER SHEET'!D127</f>
        <v>0</v>
      </c>
      <c r="DK127" s="5">
        <f>AW127*'MASTER SHEET'!D127</f>
        <v>0</v>
      </c>
      <c r="DL127" s="5">
        <f>AZ127*'MASTER SHEET'!D127</f>
        <v>0</v>
      </c>
      <c r="DM127" s="5">
        <f>BC127*'MASTER SHEET'!D127</f>
        <v>0</v>
      </c>
      <c r="DN127" s="5">
        <f>BF127*'MASTER SHEET'!D127</f>
        <v>0</v>
      </c>
      <c r="DO127" s="5">
        <f>BI127*'MASTER SHEET'!D127</f>
        <v>0</v>
      </c>
      <c r="DP127" s="5">
        <f>BL127*'MASTER SHEET'!D127</f>
        <v>0</v>
      </c>
      <c r="DQ127" s="5">
        <f>BO127*'MASTER SHEET'!D127</f>
        <v>0</v>
      </c>
      <c r="DR127" s="5">
        <f>BR127*'MASTER SHEET'!D127</f>
        <v>0</v>
      </c>
      <c r="DS127" s="5">
        <f>BU127*'MASTER SHEET'!D127</f>
        <v>0</v>
      </c>
      <c r="DT127" s="5">
        <f>BX127*'MASTER SHEET'!D127</f>
        <v>0</v>
      </c>
      <c r="DU127" s="5">
        <f>CA127*'MASTER SHEET'!D127</f>
        <v>0</v>
      </c>
      <c r="DV127" s="5">
        <f>CD127*'MASTER SHEET'!D127</f>
        <v>0</v>
      </c>
      <c r="DW127" s="5">
        <f>CG127*'MASTER SHEET'!D127</f>
        <v>0</v>
      </c>
      <c r="DX127" s="5">
        <f>CJ127*'MASTER SHEET'!D127</f>
        <v>0</v>
      </c>
      <c r="DY127" s="5">
        <f>CM127*'MASTER SHEET'!D127</f>
        <v>0</v>
      </c>
      <c r="DZ127" s="5">
        <f>CP127*'MASTER SHEET'!D127</f>
        <v>0</v>
      </c>
      <c r="EA127" s="5">
        <f>CS127*'MASTER SHEET'!D127</f>
        <v>0</v>
      </c>
      <c r="EB127" s="9"/>
    </row>
    <row r="128" spans="1:132" ht="15.75" x14ac:dyDescent="0.25">
      <c r="A128" s="25">
        <f>'MASTER SHEET'!A128</f>
        <v>126</v>
      </c>
      <c r="B128" s="164" t="str">
        <f>'MASTER SHEET'!B128</f>
        <v>DUMMY LOCK</v>
      </c>
      <c r="C128" s="165" t="str">
        <f>'MASTER SHEET'!C128</f>
        <v>BD00003423</v>
      </c>
      <c r="D128" s="56">
        <v>0</v>
      </c>
      <c r="E128" s="57">
        <f>' WIP '!F128</f>
        <v>0</v>
      </c>
      <c r="F128" s="58">
        <v>0</v>
      </c>
      <c r="G128" s="59">
        <f t="shared" si="162"/>
        <v>0</v>
      </c>
      <c r="H128" s="57">
        <f>' WIP '!J128</f>
        <v>0</v>
      </c>
      <c r="I128" s="58">
        <v>0</v>
      </c>
      <c r="J128" s="59">
        <f t="shared" si="163"/>
        <v>0</v>
      </c>
      <c r="K128" s="57">
        <f>' WIP '!N128</f>
        <v>0</v>
      </c>
      <c r="L128" s="58"/>
      <c r="M128" s="59">
        <f t="shared" si="164"/>
        <v>0</v>
      </c>
      <c r="N128" s="57">
        <f>' WIP '!R128</f>
        <v>0</v>
      </c>
      <c r="O128" s="58">
        <v>0</v>
      </c>
      <c r="P128" s="59">
        <f t="shared" si="165"/>
        <v>0</v>
      </c>
      <c r="Q128" s="57">
        <f>' WIP '!V128</f>
        <v>0</v>
      </c>
      <c r="R128" s="58">
        <v>0</v>
      </c>
      <c r="S128" s="59">
        <f t="shared" si="166"/>
        <v>0</v>
      </c>
      <c r="T128" s="57">
        <f>' WIP '!Z128</f>
        <v>0</v>
      </c>
      <c r="U128" s="58">
        <v>0</v>
      </c>
      <c r="V128" s="59">
        <f t="shared" si="167"/>
        <v>0</v>
      </c>
      <c r="W128" s="57">
        <f>' WIP '!AD128</f>
        <v>0</v>
      </c>
      <c r="X128" s="58">
        <v>0</v>
      </c>
      <c r="Y128" s="59">
        <f t="shared" si="168"/>
        <v>0</v>
      </c>
      <c r="Z128" s="57">
        <f>' WIP '!AH128</f>
        <v>0</v>
      </c>
      <c r="AA128" s="58">
        <v>0</v>
      </c>
      <c r="AB128" s="59">
        <f t="shared" si="169"/>
        <v>0</v>
      </c>
      <c r="AC128" s="57">
        <f>' WIP '!AL128</f>
        <v>0</v>
      </c>
      <c r="AD128" s="58">
        <v>0</v>
      </c>
      <c r="AE128" s="59">
        <f t="shared" si="170"/>
        <v>0</v>
      </c>
      <c r="AF128" s="57">
        <f>' WIP '!AP128</f>
        <v>0</v>
      </c>
      <c r="AG128" s="114">
        <v>0</v>
      </c>
      <c r="AH128" s="59">
        <f t="shared" si="171"/>
        <v>0</v>
      </c>
      <c r="AI128" s="57">
        <f>' WIP '!AT128</f>
        <v>0</v>
      </c>
      <c r="AJ128" s="58">
        <v>0</v>
      </c>
      <c r="AK128" s="59">
        <f t="shared" si="172"/>
        <v>0</v>
      </c>
      <c r="AL128" s="57">
        <f>' WIP '!AX128</f>
        <v>0</v>
      </c>
      <c r="AM128" s="58"/>
      <c r="AN128" s="59">
        <f t="shared" si="173"/>
        <v>0</v>
      </c>
      <c r="AO128" s="57">
        <f>' WIP '!BB128</f>
        <v>0</v>
      </c>
      <c r="AP128" s="58">
        <v>0</v>
      </c>
      <c r="AQ128" s="59">
        <f t="shared" si="174"/>
        <v>0</v>
      </c>
      <c r="AR128" s="57">
        <f>' WIP '!BF128</f>
        <v>0</v>
      </c>
      <c r="AS128" s="58"/>
      <c r="AT128" s="59">
        <f t="shared" si="175"/>
        <v>0</v>
      </c>
      <c r="AU128" s="57">
        <f>' WIP '!BJ128</f>
        <v>1200</v>
      </c>
      <c r="AV128" s="58">
        <v>1200</v>
      </c>
      <c r="AW128" s="59">
        <f t="shared" si="176"/>
        <v>0</v>
      </c>
      <c r="AX128" s="57">
        <f>' WIP '!BN128</f>
        <v>0</v>
      </c>
      <c r="AY128" s="58">
        <v>0</v>
      </c>
      <c r="AZ128" s="59">
        <f t="shared" si="177"/>
        <v>0</v>
      </c>
      <c r="BA128" s="57">
        <f>' WIP '!BR128</f>
        <v>0</v>
      </c>
      <c r="BB128" s="58">
        <v>0</v>
      </c>
      <c r="BC128" s="59">
        <f t="shared" si="178"/>
        <v>0</v>
      </c>
      <c r="BD128" s="57">
        <f>' WIP '!BV128</f>
        <v>4800</v>
      </c>
      <c r="BE128" s="58">
        <v>4800</v>
      </c>
      <c r="BF128" s="59">
        <f t="shared" si="179"/>
        <v>0</v>
      </c>
      <c r="BG128" s="57">
        <f>' WIP '!BZ128</f>
        <v>0</v>
      </c>
      <c r="BH128" s="58"/>
      <c r="BI128" s="59">
        <f t="shared" si="180"/>
        <v>0</v>
      </c>
      <c r="BJ128" s="57">
        <f>' WIP '!CD128</f>
        <v>0</v>
      </c>
      <c r="BK128" s="58">
        <v>0</v>
      </c>
      <c r="BL128" s="59">
        <f t="shared" si="181"/>
        <v>0</v>
      </c>
      <c r="BM128" s="57">
        <f>' WIP '!CH128</f>
        <v>0</v>
      </c>
      <c r="BN128" s="58">
        <v>0</v>
      </c>
      <c r="BO128" s="59">
        <f t="shared" si="182"/>
        <v>0</v>
      </c>
      <c r="BP128" s="57">
        <f>' WIP '!CL128</f>
        <v>0</v>
      </c>
      <c r="BQ128" s="58"/>
      <c r="BR128" s="59">
        <f t="shared" si="183"/>
        <v>0</v>
      </c>
      <c r="BS128" s="57">
        <f>' WIP '!CP128</f>
        <v>0</v>
      </c>
      <c r="BT128" s="58">
        <v>0</v>
      </c>
      <c r="BU128" s="59">
        <f t="shared" si="184"/>
        <v>0</v>
      </c>
      <c r="BV128" s="57">
        <f>' WIP '!CT128</f>
        <v>0</v>
      </c>
      <c r="BW128" s="28">
        <v>0</v>
      </c>
      <c r="BX128" s="59">
        <f t="shared" si="185"/>
        <v>0</v>
      </c>
      <c r="BY128" s="57">
        <f>' WIP '!CX128</f>
        <v>0</v>
      </c>
      <c r="BZ128" s="58">
        <v>0</v>
      </c>
      <c r="CA128" s="59">
        <f t="shared" si="186"/>
        <v>0</v>
      </c>
      <c r="CB128" s="57">
        <f>' WIP '!DB128</f>
        <v>0</v>
      </c>
      <c r="CC128" s="58">
        <v>0</v>
      </c>
      <c r="CD128" s="59">
        <f t="shared" si="187"/>
        <v>0</v>
      </c>
      <c r="CE128" s="57">
        <f>' WIP '!DF128</f>
        <v>800</v>
      </c>
      <c r="CF128" s="58">
        <v>800</v>
      </c>
      <c r="CG128" s="59">
        <f t="shared" si="188"/>
        <v>0</v>
      </c>
      <c r="CH128" s="57">
        <f>' WIP '!DJ128</f>
        <v>0</v>
      </c>
      <c r="CI128" s="58">
        <v>0</v>
      </c>
      <c r="CJ128" s="59">
        <f t="shared" si="189"/>
        <v>0</v>
      </c>
      <c r="CK128" s="57">
        <f>' WIP '!DN128</f>
        <v>6600</v>
      </c>
      <c r="CL128" s="58">
        <v>6600</v>
      </c>
      <c r="CM128" s="59">
        <f t="shared" si="190"/>
        <v>0</v>
      </c>
      <c r="CN128" s="57">
        <f>' WIP '!DR128</f>
        <v>0</v>
      </c>
      <c r="CO128" s="57"/>
      <c r="CP128" s="59">
        <f t="shared" si="191"/>
        <v>0</v>
      </c>
      <c r="CQ128" s="57">
        <f>' WIP '!DV128</f>
        <v>0</v>
      </c>
      <c r="CR128" s="58"/>
      <c r="CS128" s="59">
        <f t="shared" si="192"/>
        <v>0</v>
      </c>
      <c r="CT128" s="31">
        <f t="shared" si="160"/>
        <v>13400</v>
      </c>
      <c r="CU128" s="4">
        <f t="shared" si="161"/>
        <v>13400</v>
      </c>
      <c r="CV128" s="5">
        <f>D128*'MASTER SHEET'!D128</f>
        <v>0</v>
      </c>
      <c r="CW128" s="5">
        <f>G128*'MASTER SHEET'!D128</f>
        <v>0</v>
      </c>
      <c r="CX128" s="5">
        <f>J128*'MASTER SHEET'!D128</f>
        <v>0</v>
      </c>
      <c r="CY128" s="5">
        <f>M128*'MASTER SHEET'!D128</f>
        <v>0</v>
      </c>
      <c r="CZ128" s="5">
        <f>P128*'MASTER SHEET'!D128</f>
        <v>0</v>
      </c>
      <c r="DA128" s="5">
        <f>S128*'MASTER SHEET'!D128</f>
        <v>0</v>
      </c>
      <c r="DB128" s="5">
        <f>V128*'MASTER SHEET'!D128</f>
        <v>0</v>
      </c>
      <c r="DC128" s="5">
        <f>Y128*'MASTER SHEET'!D128</f>
        <v>0</v>
      </c>
      <c r="DD128" s="5">
        <f>AB128*'MASTER SHEET'!D128</f>
        <v>0</v>
      </c>
      <c r="DE128" s="5">
        <f>AE128*'MASTER SHEET'!D128</f>
        <v>0</v>
      </c>
      <c r="DF128" s="5">
        <f>AH128*'MASTER SHEET'!D128</f>
        <v>0</v>
      </c>
      <c r="DG128" s="5">
        <f>AK128*'MASTER SHEET'!D128</f>
        <v>0</v>
      </c>
      <c r="DH128" s="5">
        <f>AN128*'MASTER SHEET'!D128</f>
        <v>0</v>
      </c>
      <c r="DI128" s="5">
        <f>AQ128*'MASTER SHEET'!D128</f>
        <v>0</v>
      </c>
      <c r="DJ128" s="5">
        <f>AT128*'MASTER SHEET'!D128</f>
        <v>0</v>
      </c>
      <c r="DK128" s="5">
        <f>AW128*'MASTER SHEET'!D128</f>
        <v>0</v>
      </c>
      <c r="DL128" s="5">
        <f>AZ128*'MASTER SHEET'!D128</f>
        <v>0</v>
      </c>
      <c r="DM128" s="5">
        <f>BC128*'MASTER SHEET'!D128</f>
        <v>0</v>
      </c>
      <c r="DN128" s="5">
        <f>BF128*'MASTER SHEET'!D128</f>
        <v>0</v>
      </c>
      <c r="DO128" s="5">
        <f>BI128*'MASTER SHEET'!D128</f>
        <v>0</v>
      </c>
      <c r="DP128" s="5">
        <f>BL128*'MASTER SHEET'!D128</f>
        <v>0</v>
      </c>
      <c r="DQ128" s="5">
        <f>BO128*'MASTER SHEET'!D128</f>
        <v>0</v>
      </c>
      <c r="DR128" s="5">
        <f>BR128*'MASTER SHEET'!D128</f>
        <v>0</v>
      </c>
      <c r="DS128" s="5">
        <f>BU128*'MASTER SHEET'!D128</f>
        <v>0</v>
      </c>
      <c r="DT128" s="5">
        <f>BX128*'MASTER SHEET'!D128</f>
        <v>0</v>
      </c>
      <c r="DU128" s="5">
        <f>CA128*'MASTER SHEET'!D128</f>
        <v>0</v>
      </c>
      <c r="DV128" s="5">
        <f>CD128*'MASTER SHEET'!D128</f>
        <v>0</v>
      </c>
      <c r="DW128" s="5">
        <f>CG128*'MASTER SHEET'!D128</f>
        <v>0</v>
      </c>
      <c r="DX128" s="5">
        <f>CJ128*'MASTER SHEET'!D128</f>
        <v>0</v>
      </c>
      <c r="DY128" s="5">
        <f>CM128*'MASTER SHEET'!D128</f>
        <v>0</v>
      </c>
      <c r="DZ128" s="5">
        <f>CP128*'MASTER SHEET'!D128</f>
        <v>0</v>
      </c>
      <c r="EA128" s="5">
        <f>CS128*'MASTER SHEET'!D128</f>
        <v>0</v>
      </c>
      <c r="EB128" s="9"/>
    </row>
    <row r="129" spans="1:132" ht="15.75" x14ac:dyDescent="0.25">
      <c r="A129" s="25">
        <f>'MASTER SHEET'!A129</f>
        <v>127</v>
      </c>
      <c r="B129" s="164" t="str">
        <f>'MASTER SHEET'!B129</f>
        <v>3 WAY CLAMP</v>
      </c>
      <c r="C129" s="165">
        <f>'MASTER SHEET'!C129</f>
        <v>62207</v>
      </c>
      <c r="D129" s="56"/>
      <c r="E129" s="57">
        <f>' WIP '!F129</f>
        <v>0</v>
      </c>
      <c r="F129" s="58">
        <v>0</v>
      </c>
      <c r="G129" s="59">
        <f t="shared" si="162"/>
        <v>0</v>
      </c>
      <c r="H129" s="57">
        <f>' WIP '!J129</f>
        <v>0</v>
      </c>
      <c r="I129" s="58">
        <v>0</v>
      </c>
      <c r="J129" s="59">
        <f t="shared" si="163"/>
        <v>0</v>
      </c>
      <c r="K129" s="57">
        <f>' WIP '!N129</f>
        <v>0</v>
      </c>
      <c r="L129" s="58"/>
      <c r="M129" s="59">
        <f t="shared" si="164"/>
        <v>0</v>
      </c>
      <c r="N129" s="57">
        <f>' WIP '!R129</f>
        <v>0</v>
      </c>
      <c r="O129" s="58">
        <v>0</v>
      </c>
      <c r="P129" s="59">
        <f t="shared" si="165"/>
        <v>0</v>
      </c>
      <c r="Q129" s="57">
        <f>' WIP '!V129</f>
        <v>0</v>
      </c>
      <c r="R129" s="58">
        <v>0</v>
      </c>
      <c r="S129" s="59">
        <f t="shared" si="166"/>
        <v>0</v>
      </c>
      <c r="T129" s="57">
        <f>' WIP '!Z129</f>
        <v>0</v>
      </c>
      <c r="U129" s="58">
        <v>0</v>
      </c>
      <c r="V129" s="59">
        <f t="shared" si="167"/>
        <v>0</v>
      </c>
      <c r="W129" s="57">
        <f>' WIP '!AD129</f>
        <v>0</v>
      </c>
      <c r="X129" s="58">
        <v>0</v>
      </c>
      <c r="Y129" s="59">
        <f t="shared" si="168"/>
        <v>0</v>
      </c>
      <c r="Z129" s="57">
        <f>' WIP '!AH129</f>
        <v>0</v>
      </c>
      <c r="AA129" s="58">
        <v>0</v>
      </c>
      <c r="AB129" s="59">
        <f t="shared" si="169"/>
        <v>0</v>
      </c>
      <c r="AC129" s="57">
        <f>' WIP '!AL129</f>
        <v>0</v>
      </c>
      <c r="AD129" s="58">
        <v>0</v>
      </c>
      <c r="AE129" s="59">
        <f t="shared" si="170"/>
        <v>0</v>
      </c>
      <c r="AF129" s="57">
        <f>' WIP '!AP129</f>
        <v>0</v>
      </c>
      <c r="AG129" s="114">
        <v>0</v>
      </c>
      <c r="AH129" s="59">
        <f t="shared" si="171"/>
        <v>0</v>
      </c>
      <c r="AI129" s="57">
        <f>' WIP '!AT129</f>
        <v>0</v>
      </c>
      <c r="AJ129" s="58">
        <v>0</v>
      </c>
      <c r="AK129" s="59">
        <f t="shared" si="172"/>
        <v>0</v>
      </c>
      <c r="AL129" s="57">
        <f>' WIP '!AX129</f>
        <v>0</v>
      </c>
      <c r="AM129" s="58"/>
      <c r="AN129" s="59">
        <f t="shared" si="173"/>
        <v>0</v>
      </c>
      <c r="AO129" s="57">
        <f>' WIP '!BB129</f>
        <v>0</v>
      </c>
      <c r="AP129" s="58">
        <v>0</v>
      </c>
      <c r="AQ129" s="59">
        <f t="shared" si="174"/>
        <v>0</v>
      </c>
      <c r="AR129" s="57">
        <f>' WIP '!BF129</f>
        <v>0</v>
      </c>
      <c r="AS129" s="58"/>
      <c r="AT129" s="59">
        <f t="shared" si="175"/>
        <v>0</v>
      </c>
      <c r="AU129" s="57">
        <f>' WIP '!BJ129</f>
        <v>0</v>
      </c>
      <c r="AV129" s="58">
        <v>0</v>
      </c>
      <c r="AW129" s="59">
        <f t="shared" si="176"/>
        <v>0</v>
      </c>
      <c r="AX129" s="57">
        <f>' WIP '!BN129</f>
        <v>0</v>
      </c>
      <c r="AY129" s="58">
        <v>0</v>
      </c>
      <c r="AZ129" s="59">
        <f t="shared" si="177"/>
        <v>0</v>
      </c>
      <c r="BA129" s="57">
        <f>' WIP '!BR129</f>
        <v>0</v>
      </c>
      <c r="BB129" s="58">
        <v>0</v>
      </c>
      <c r="BC129" s="59">
        <f t="shared" si="178"/>
        <v>0</v>
      </c>
      <c r="BD129" s="57">
        <f>' WIP '!BV129</f>
        <v>0</v>
      </c>
      <c r="BE129" s="58">
        <v>0</v>
      </c>
      <c r="BF129" s="59">
        <f t="shared" si="179"/>
        <v>0</v>
      </c>
      <c r="BG129" s="57">
        <f>' WIP '!BZ129</f>
        <v>0</v>
      </c>
      <c r="BH129" s="58"/>
      <c r="BI129" s="59">
        <f t="shared" si="180"/>
        <v>0</v>
      </c>
      <c r="BJ129" s="57">
        <f>' WIP '!CD129</f>
        <v>0</v>
      </c>
      <c r="BK129" s="58">
        <v>0</v>
      </c>
      <c r="BL129" s="59">
        <f t="shared" si="181"/>
        <v>0</v>
      </c>
      <c r="BM129" s="57">
        <f>' WIP '!CH129</f>
        <v>0</v>
      </c>
      <c r="BN129" s="58">
        <v>0</v>
      </c>
      <c r="BO129" s="59">
        <f t="shared" si="182"/>
        <v>0</v>
      </c>
      <c r="BP129" s="57">
        <f>' WIP '!CL129</f>
        <v>0</v>
      </c>
      <c r="BQ129" s="58"/>
      <c r="BR129" s="59">
        <f t="shared" si="183"/>
        <v>0</v>
      </c>
      <c r="BS129" s="57">
        <f>' WIP '!CP129</f>
        <v>0</v>
      </c>
      <c r="BT129" s="58">
        <v>0</v>
      </c>
      <c r="BU129" s="59">
        <f t="shared" si="184"/>
        <v>0</v>
      </c>
      <c r="BV129" s="57">
        <f>' WIP '!CT129</f>
        <v>0</v>
      </c>
      <c r="BW129" s="28">
        <v>0</v>
      </c>
      <c r="BX129" s="59">
        <f t="shared" si="185"/>
        <v>0</v>
      </c>
      <c r="BY129" s="57">
        <f>' WIP '!CX129</f>
        <v>0</v>
      </c>
      <c r="BZ129" s="58">
        <v>0</v>
      </c>
      <c r="CA129" s="59">
        <f t="shared" si="186"/>
        <v>0</v>
      </c>
      <c r="CB129" s="57">
        <f>' WIP '!DB129</f>
        <v>0</v>
      </c>
      <c r="CC129" s="58">
        <v>0</v>
      </c>
      <c r="CD129" s="59">
        <f t="shared" si="187"/>
        <v>0</v>
      </c>
      <c r="CE129" s="57">
        <f>' WIP '!DF129</f>
        <v>0</v>
      </c>
      <c r="CF129" s="58">
        <v>0</v>
      </c>
      <c r="CG129" s="59">
        <f t="shared" si="188"/>
        <v>0</v>
      </c>
      <c r="CH129" s="57">
        <f>' WIP '!DJ129</f>
        <v>0</v>
      </c>
      <c r="CI129" s="58">
        <v>0</v>
      </c>
      <c r="CJ129" s="59">
        <f t="shared" si="189"/>
        <v>0</v>
      </c>
      <c r="CK129" s="57">
        <f>' WIP '!DN129</f>
        <v>0</v>
      </c>
      <c r="CL129" s="58">
        <v>0</v>
      </c>
      <c r="CM129" s="59">
        <f t="shared" si="190"/>
        <v>0</v>
      </c>
      <c r="CN129" s="57">
        <f>' WIP '!DR129</f>
        <v>0</v>
      </c>
      <c r="CO129" s="57"/>
      <c r="CP129" s="59">
        <f t="shared" si="191"/>
        <v>0</v>
      </c>
      <c r="CQ129" s="57">
        <f>' WIP '!DV129</f>
        <v>0</v>
      </c>
      <c r="CR129" s="58"/>
      <c r="CS129" s="59">
        <f t="shared" si="192"/>
        <v>0</v>
      </c>
      <c r="CT129" s="31">
        <f t="shared" si="160"/>
        <v>0</v>
      </c>
      <c r="CU129" s="4">
        <f t="shared" si="161"/>
        <v>0</v>
      </c>
      <c r="CV129" s="5">
        <f>D129*'MASTER SHEET'!D129</f>
        <v>0</v>
      </c>
      <c r="CW129" s="5">
        <f>G129*'MASTER SHEET'!D129</f>
        <v>0</v>
      </c>
      <c r="CX129" s="5">
        <f>J129*'MASTER SHEET'!D129</f>
        <v>0</v>
      </c>
      <c r="CY129" s="5">
        <f>M129*'MASTER SHEET'!D129</f>
        <v>0</v>
      </c>
      <c r="CZ129" s="5">
        <f>P129*'MASTER SHEET'!D129</f>
        <v>0</v>
      </c>
      <c r="DA129" s="5">
        <f>S129*'MASTER SHEET'!D129</f>
        <v>0</v>
      </c>
      <c r="DB129" s="5">
        <f>V129*'MASTER SHEET'!D129</f>
        <v>0</v>
      </c>
      <c r="DC129" s="5">
        <f>Y129*'MASTER SHEET'!D129</f>
        <v>0</v>
      </c>
      <c r="DD129" s="5">
        <f>AB129*'MASTER SHEET'!D129</f>
        <v>0</v>
      </c>
      <c r="DE129" s="5">
        <f>AE129*'MASTER SHEET'!D129</f>
        <v>0</v>
      </c>
      <c r="DF129" s="5">
        <f>AH129*'MASTER SHEET'!D129</f>
        <v>0</v>
      </c>
      <c r="DG129" s="5">
        <f>AK129*'MASTER SHEET'!D129</f>
        <v>0</v>
      </c>
      <c r="DH129" s="5">
        <f>AN129*'MASTER SHEET'!D129</f>
        <v>0</v>
      </c>
      <c r="DI129" s="5">
        <f>AQ129*'MASTER SHEET'!D129</f>
        <v>0</v>
      </c>
      <c r="DJ129" s="5">
        <f>AT129*'MASTER SHEET'!D129</f>
        <v>0</v>
      </c>
      <c r="DK129" s="5">
        <f>AW129*'MASTER SHEET'!D129</f>
        <v>0</v>
      </c>
      <c r="DL129" s="5">
        <f>AZ129*'MASTER SHEET'!D129</f>
        <v>0</v>
      </c>
      <c r="DM129" s="5">
        <f>BC129*'MASTER SHEET'!D129</f>
        <v>0</v>
      </c>
      <c r="DN129" s="5">
        <f>BF129*'MASTER SHEET'!D129</f>
        <v>0</v>
      </c>
      <c r="DO129" s="5">
        <f>BI129*'MASTER SHEET'!D129</f>
        <v>0</v>
      </c>
      <c r="DP129" s="5">
        <f>BL129*'MASTER SHEET'!D129</f>
        <v>0</v>
      </c>
      <c r="DQ129" s="5">
        <f>BO129*'MASTER SHEET'!D129</f>
        <v>0</v>
      </c>
      <c r="DR129" s="5">
        <f>BR129*'MASTER SHEET'!D129</f>
        <v>0</v>
      </c>
      <c r="DS129" s="5">
        <f>BU129*'MASTER SHEET'!D129</f>
        <v>0</v>
      </c>
      <c r="DT129" s="5">
        <f>BX129*'MASTER SHEET'!D129</f>
        <v>0</v>
      </c>
      <c r="DU129" s="5">
        <f>CA129*'MASTER SHEET'!D129</f>
        <v>0</v>
      </c>
      <c r="DV129" s="5">
        <f>CD129*'MASTER SHEET'!D129</f>
        <v>0</v>
      </c>
      <c r="DW129" s="5">
        <f>CG129*'MASTER SHEET'!D129</f>
        <v>0</v>
      </c>
      <c r="DX129" s="5">
        <f>CJ129*'MASTER SHEET'!D129</f>
        <v>0</v>
      </c>
      <c r="DY129" s="5">
        <f>CM129*'MASTER SHEET'!D129</f>
        <v>0</v>
      </c>
      <c r="DZ129" s="5">
        <f>CP129*'MASTER SHEET'!D129</f>
        <v>0</v>
      </c>
      <c r="EA129" s="5">
        <f>CS129*'MASTER SHEET'!D129</f>
        <v>0</v>
      </c>
      <c r="EB129" s="9"/>
    </row>
    <row r="130" spans="1:132" ht="15.75" x14ac:dyDescent="0.25">
      <c r="A130" s="25">
        <f>'MASTER SHEET'!A130</f>
        <v>128</v>
      </c>
      <c r="B130" s="164" t="str">
        <f>'MASTER SHEET'!B130</f>
        <v>NUT</v>
      </c>
      <c r="C130" s="165">
        <f>'MASTER SHEET'!C130</f>
        <v>61577</v>
      </c>
      <c r="D130" s="56">
        <v>0</v>
      </c>
      <c r="E130" s="57">
        <f>' WIP '!F130</f>
        <v>0</v>
      </c>
      <c r="F130" s="58">
        <v>0</v>
      </c>
      <c r="G130" s="59">
        <f t="shared" si="162"/>
        <v>0</v>
      </c>
      <c r="H130" s="57">
        <f>' WIP '!J130</f>
        <v>0</v>
      </c>
      <c r="I130" s="58">
        <v>0</v>
      </c>
      <c r="J130" s="59">
        <f t="shared" si="163"/>
        <v>0</v>
      </c>
      <c r="K130" s="57">
        <f>' WIP '!N130</f>
        <v>0</v>
      </c>
      <c r="L130" s="58"/>
      <c r="M130" s="59">
        <f t="shared" si="164"/>
        <v>0</v>
      </c>
      <c r="N130" s="57">
        <f>' WIP '!R130</f>
        <v>0</v>
      </c>
      <c r="O130" s="58">
        <v>0</v>
      </c>
      <c r="P130" s="59">
        <f t="shared" si="165"/>
        <v>0</v>
      </c>
      <c r="Q130" s="57">
        <f>' WIP '!V130</f>
        <v>0</v>
      </c>
      <c r="R130" s="58">
        <v>0</v>
      </c>
      <c r="S130" s="59">
        <f t="shared" si="166"/>
        <v>0</v>
      </c>
      <c r="T130" s="57">
        <f>' WIP '!Z130</f>
        <v>0</v>
      </c>
      <c r="U130" s="58">
        <v>0</v>
      </c>
      <c r="V130" s="59">
        <f t="shared" si="167"/>
        <v>0</v>
      </c>
      <c r="W130" s="57">
        <f>' WIP '!AD130</f>
        <v>0</v>
      </c>
      <c r="X130" s="58">
        <v>0</v>
      </c>
      <c r="Y130" s="59">
        <f t="shared" si="168"/>
        <v>0</v>
      </c>
      <c r="Z130" s="57">
        <f>' WIP '!AH130</f>
        <v>0</v>
      </c>
      <c r="AA130" s="58">
        <v>0</v>
      </c>
      <c r="AB130" s="59">
        <f t="shared" si="169"/>
        <v>0</v>
      </c>
      <c r="AC130" s="57">
        <f>' WIP '!AL130</f>
        <v>0</v>
      </c>
      <c r="AD130" s="58">
        <v>0</v>
      </c>
      <c r="AE130" s="59">
        <f t="shared" si="170"/>
        <v>0</v>
      </c>
      <c r="AF130" s="57">
        <f>' WIP '!AP130</f>
        <v>0</v>
      </c>
      <c r="AG130" s="114">
        <v>0</v>
      </c>
      <c r="AH130" s="59">
        <f t="shared" si="171"/>
        <v>0</v>
      </c>
      <c r="AI130" s="57">
        <f>' WIP '!AT130</f>
        <v>0</v>
      </c>
      <c r="AJ130" s="58">
        <v>0</v>
      </c>
      <c r="AK130" s="59">
        <f t="shared" si="172"/>
        <v>0</v>
      </c>
      <c r="AL130" s="57">
        <f>' WIP '!AX130</f>
        <v>0</v>
      </c>
      <c r="AM130" s="58"/>
      <c r="AN130" s="59">
        <f t="shared" si="173"/>
        <v>0</v>
      </c>
      <c r="AO130" s="57">
        <f>' WIP '!BB130</f>
        <v>0</v>
      </c>
      <c r="AP130" s="58">
        <v>0</v>
      </c>
      <c r="AQ130" s="59">
        <f t="shared" si="174"/>
        <v>0</v>
      </c>
      <c r="AR130" s="57">
        <f>' WIP '!BF130</f>
        <v>0</v>
      </c>
      <c r="AS130" s="58"/>
      <c r="AT130" s="59">
        <f t="shared" si="175"/>
        <v>0</v>
      </c>
      <c r="AU130" s="57">
        <f>' WIP '!BJ130</f>
        <v>0</v>
      </c>
      <c r="AV130" s="58">
        <v>0</v>
      </c>
      <c r="AW130" s="59">
        <f t="shared" si="176"/>
        <v>0</v>
      </c>
      <c r="AX130" s="57">
        <f>' WIP '!BN130</f>
        <v>0</v>
      </c>
      <c r="AY130" s="58">
        <v>0</v>
      </c>
      <c r="AZ130" s="59">
        <f t="shared" si="177"/>
        <v>0</v>
      </c>
      <c r="BA130" s="57">
        <f>' WIP '!BR130</f>
        <v>0</v>
      </c>
      <c r="BB130" s="58">
        <v>0</v>
      </c>
      <c r="BC130" s="59">
        <f t="shared" si="178"/>
        <v>0</v>
      </c>
      <c r="BD130" s="57">
        <f>' WIP '!BV130</f>
        <v>0</v>
      </c>
      <c r="BE130" s="58">
        <v>0</v>
      </c>
      <c r="BF130" s="59">
        <f t="shared" si="179"/>
        <v>0</v>
      </c>
      <c r="BG130" s="57">
        <f>' WIP '!BZ130</f>
        <v>0</v>
      </c>
      <c r="BH130" s="58"/>
      <c r="BI130" s="59">
        <f t="shared" si="180"/>
        <v>0</v>
      </c>
      <c r="BJ130" s="57">
        <f>' WIP '!CD130</f>
        <v>0</v>
      </c>
      <c r="BK130" s="58">
        <v>0</v>
      </c>
      <c r="BL130" s="59">
        <f t="shared" si="181"/>
        <v>0</v>
      </c>
      <c r="BM130" s="57">
        <f>' WIP '!CH130</f>
        <v>0</v>
      </c>
      <c r="BN130" s="58">
        <v>0</v>
      </c>
      <c r="BO130" s="59">
        <f t="shared" si="182"/>
        <v>0</v>
      </c>
      <c r="BP130" s="57">
        <f>' WIP '!CL130</f>
        <v>0</v>
      </c>
      <c r="BQ130" s="58"/>
      <c r="BR130" s="59">
        <f t="shared" si="183"/>
        <v>0</v>
      </c>
      <c r="BS130" s="57">
        <f>' WIP '!CP130</f>
        <v>0</v>
      </c>
      <c r="BT130" s="58">
        <v>0</v>
      </c>
      <c r="BU130" s="59">
        <f t="shared" si="184"/>
        <v>0</v>
      </c>
      <c r="BV130" s="57">
        <f>' WIP '!CT130</f>
        <v>0</v>
      </c>
      <c r="BW130" s="28">
        <v>0</v>
      </c>
      <c r="BX130" s="59">
        <f t="shared" si="185"/>
        <v>0</v>
      </c>
      <c r="BY130" s="57">
        <f>' WIP '!CX130</f>
        <v>0</v>
      </c>
      <c r="BZ130" s="58">
        <v>0</v>
      </c>
      <c r="CA130" s="59">
        <f t="shared" si="186"/>
        <v>0</v>
      </c>
      <c r="CB130" s="57">
        <f>' WIP '!DB130</f>
        <v>0</v>
      </c>
      <c r="CC130" s="58">
        <v>0</v>
      </c>
      <c r="CD130" s="59">
        <f t="shared" si="187"/>
        <v>0</v>
      </c>
      <c r="CE130" s="57">
        <f>' WIP '!DF130</f>
        <v>0</v>
      </c>
      <c r="CF130" s="58">
        <v>0</v>
      </c>
      <c r="CG130" s="59">
        <f t="shared" si="188"/>
        <v>0</v>
      </c>
      <c r="CH130" s="57">
        <f>' WIP '!DJ130</f>
        <v>0</v>
      </c>
      <c r="CI130" s="58">
        <v>0</v>
      </c>
      <c r="CJ130" s="59">
        <f t="shared" si="189"/>
        <v>0</v>
      </c>
      <c r="CK130" s="57">
        <f>' WIP '!DN130</f>
        <v>0</v>
      </c>
      <c r="CL130" s="58">
        <v>0</v>
      </c>
      <c r="CM130" s="59">
        <f t="shared" si="190"/>
        <v>0</v>
      </c>
      <c r="CN130" s="57">
        <f>' WIP '!DR130</f>
        <v>0</v>
      </c>
      <c r="CO130" s="57"/>
      <c r="CP130" s="59">
        <f t="shared" si="191"/>
        <v>0</v>
      </c>
      <c r="CQ130" s="57">
        <f>' WIP '!DV130</f>
        <v>0</v>
      </c>
      <c r="CR130" s="58"/>
      <c r="CS130" s="59">
        <f t="shared" si="192"/>
        <v>0</v>
      </c>
      <c r="CT130" s="31">
        <f t="shared" si="160"/>
        <v>0</v>
      </c>
      <c r="CU130" s="4">
        <f t="shared" si="161"/>
        <v>0</v>
      </c>
      <c r="CV130" s="5">
        <f>D130*'MASTER SHEET'!D130</f>
        <v>0</v>
      </c>
      <c r="CW130" s="5">
        <f>G130*'MASTER SHEET'!D130</f>
        <v>0</v>
      </c>
      <c r="CX130" s="5">
        <f>J130*'MASTER SHEET'!D130</f>
        <v>0</v>
      </c>
      <c r="CY130" s="5">
        <f>M130*'MASTER SHEET'!D130</f>
        <v>0</v>
      </c>
      <c r="CZ130" s="5">
        <f>P130*'MASTER SHEET'!D130</f>
        <v>0</v>
      </c>
      <c r="DA130" s="5">
        <f>S130*'MASTER SHEET'!D130</f>
        <v>0</v>
      </c>
      <c r="DB130" s="5">
        <f>V130*'MASTER SHEET'!D130</f>
        <v>0</v>
      </c>
      <c r="DC130" s="5">
        <f>Y130*'MASTER SHEET'!D130</f>
        <v>0</v>
      </c>
      <c r="DD130" s="5">
        <f>AB130*'MASTER SHEET'!D130</f>
        <v>0</v>
      </c>
      <c r="DE130" s="5">
        <f>AE130*'MASTER SHEET'!D130</f>
        <v>0</v>
      </c>
      <c r="DF130" s="5">
        <f>AH130*'MASTER SHEET'!D130</f>
        <v>0</v>
      </c>
      <c r="DG130" s="5">
        <f>AK130*'MASTER SHEET'!D130</f>
        <v>0</v>
      </c>
      <c r="DH130" s="5">
        <f>AN130*'MASTER SHEET'!D130</f>
        <v>0</v>
      </c>
      <c r="DI130" s="5">
        <f>AQ130*'MASTER SHEET'!D130</f>
        <v>0</v>
      </c>
      <c r="DJ130" s="5">
        <f>AT130*'MASTER SHEET'!D130</f>
        <v>0</v>
      </c>
      <c r="DK130" s="5">
        <f>AW130*'MASTER SHEET'!D130</f>
        <v>0</v>
      </c>
      <c r="DL130" s="5">
        <f>AZ130*'MASTER SHEET'!D130</f>
        <v>0</v>
      </c>
      <c r="DM130" s="5">
        <f>BC130*'MASTER SHEET'!D130</f>
        <v>0</v>
      </c>
      <c r="DN130" s="5">
        <f>BF130*'MASTER SHEET'!D130</f>
        <v>0</v>
      </c>
      <c r="DO130" s="5">
        <f>BI130*'MASTER SHEET'!D130</f>
        <v>0</v>
      </c>
      <c r="DP130" s="5">
        <f>BL130*'MASTER SHEET'!D130</f>
        <v>0</v>
      </c>
      <c r="DQ130" s="5">
        <f>BO130*'MASTER SHEET'!D130</f>
        <v>0</v>
      </c>
      <c r="DR130" s="5">
        <f>BR130*'MASTER SHEET'!D130</f>
        <v>0</v>
      </c>
      <c r="DS130" s="5">
        <f>BU130*'MASTER SHEET'!D130</f>
        <v>0</v>
      </c>
      <c r="DT130" s="5">
        <f>BX130*'MASTER SHEET'!D130</f>
        <v>0</v>
      </c>
      <c r="DU130" s="5">
        <f>CA130*'MASTER SHEET'!D130</f>
        <v>0</v>
      </c>
      <c r="DV130" s="5">
        <f>CD130*'MASTER SHEET'!D130</f>
        <v>0</v>
      </c>
      <c r="DW130" s="5">
        <f>CG130*'MASTER SHEET'!D130</f>
        <v>0</v>
      </c>
      <c r="DX130" s="5">
        <f>CJ130*'MASTER SHEET'!D130</f>
        <v>0</v>
      </c>
      <c r="DY130" s="5">
        <f>CM130*'MASTER SHEET'!D130</f>
        <v>0</v>
      </c>
      <c r="DZ130" s="5">
        <f>CP130*'MASTER SHEET'!D130</f>
        <v>0</v>
      </c>
      <c r="EA130" s="5">
        <f>CS130*'MASTER SHEET'!D130</f>
        <v>0</v>
      </c>
      <c r="EB130" s="9"/>
    </row>
    <row r="131" spans="1:132" ht="15.75" x14ac:dyDescent="0.25">
      <c r="A131" s="25">
        <f>'MASTER SHEET'!A131</f>
        <v>129</v>
      </c>
      <c r="B131" s="164" t="str">
        <f>'MASTER SHEET'!B131</f>
        <v>WBASE CLIP</v>
      </c>
      <c r="C131" s="165">
        <f>'MASTER SHEET'!C131</f>
        <v>62153</v>
      </c>
      <c r="D131" s="56">
        <v>10000</v>
      </c>
      <c r="E131" s="57">
        <f>' WIP '!F131</f>
        <v>0</v>
      </c>
      <c r="F131" s="58">
        <v>0</v>
      </c>
      <c r="G131" s="59">
        <f t="shared" si="162"/>
        <v>10000</v>
      </c>
      <c r="H131" s="57">
        <f>' WIP '!J131</f>
        <v>0</v>
      </c>
      <c r="I131" s="58">
        <v>0</v>
      </c>
      <c r="J131" s="59">
        <f t="shared" si="163"/>
        <v>10000</v>
      </c>
      <c r="K131" s="57">
        <f>' WIP '!N131</f>
        <v>0</v>
      </c>
      <c r="L131" s="58"/>
      <c r="M131" s="59">
        <f t="shared" si="164"/>
        <v>10000</v>
      </c>
      <c r="N131" s="57">
        <f>' WIP '!R131</f>
        <v>0</v>
      </c>
      <c r="O131" s="58">
        <v>0</v>
      </c>
      <c r="P131" s="59">
        <f t="shared" si="165"/>
        <v>10000</v>
      </c>
      <c r="Q131" s="57">
        <f>' WIP '!V131</f>
        <v>0</v>
      </c>
      <c r="R131" s="58">
        <v>0</v>
      </c>
      <c r="S131" s="59">
        <f t="shared" si="166"/>
        <v>10000</v>
      </c>
      <c r="T131" s="57">
        <f>' WIP '!Z131</f>
        <v>0</v>
      </c>
      <c r="U131" s="58">
        <v>0</v>
      </c>
      <c r="V131" s="59">
        <f t="shared" si="167"/>
        <v>10000</v>
      </c>
      <c r="W131" s="57">
        <f>' WIP '!AD131</f>
        <v>0</v>
      </c>
      <c r="X131" s="58">
        <v>0</v>
      </c>
      <c r="Y131" s="59">
        <f t="shared" si="168"/>
        <v>10000</v>
      </c>
      <c r="Z131" s="57">
        <f>' WIP '!AH131</f>
        <v>0</v>
      </c>
      <c r="AA131" s="58">
        <v>0</v>
      </c>
      <c r="AB131" s="59">
        <f t="shared" si="169"/>
        <v>10000</v>
      </c>
      <c r="AC131" s="57">
        <f>' WIP '!AL131</f>
        <v>0</v>
      </c>
      <c r="AD131" s="58">
        <v>0</v>
      </c>
      <c r="AE131" s="59">
        <f t="shared" si="170"/>
        <v>10000</v>
      </c>
      <c r="AF131" s="57">
        <f>' WIP '!AP131</f>
        <v>0</v>
      </c>
      <c r="AG131" s="114">
        <v>0</v>
      </c>
      <c r="AH131" s="59">
        <f t="shared" si="171"/>
        <v>10000</v>
      </c>
      <c r="AI131" s="57">
        <f>' WIP '!AT131</f>
        <v>0</v>
      </c>
      <c r="AJ131" s="58">
        <v>0</v>
      </c>
      <c r="AK131" s="59">
        <f t="shared" si="172"/>
        <v>10000</v>
      </c>
      <c r="AL131" s="57">
        <f>' WIP '!AX131</f>
        <v>0</v>
      </c>
      <c r="AM131" s="58"/>
      <c r="AN131" s="59">
        <f t="shared" si="173"/>
        <v>10000</v>
      </c>
      <c r="AO131" s="57">
        <f>' WIP '!BB131</f>
        <v>0</v>
      </c>
      <c r="AP131" s="58">
        <v>0</v>
      </c>
      <c r="AQ131" s="59">
        <f t="shared" si="174"/>
        <v>10000</v>
      </c>
      <c r="AR131" s="57">
        <f>' WIP '!BF131</f>
        <v>0</v>
      </c>
      <c r="AS131" s="58"/>
      <c r="AT131" s="59">
        <f t="shared" si="175"/>
        <v>10000</v>
      </c>
      <c r="AU131" s="57">
        <f>' WIP '!BJ131</f>
        <v>0</v>
      </c>
      <c r="AV131" s="58">
        <v>0</v>
      </c>
      <c r="AW131" s="59">
        <f t="shared" si="176"/>
        <v>10000</v>
      </c>
      <c r="AX131" s="57">
        <f>' WIP '!BN131</f>
        <v>0</v>
      </c>
      <c r="AY131" s="58">
        <v>0</v>
      </c>
      <c r="AZ131" s="59">
        <f t="shared" si="177"/>
        <v>10000</v>
      </c>
      <c r="BA131" s="57">
        <f>' WIP '!BR131</f>
        <v>0</v>
      </c>
      <c r="BB131" s="58">
        <v>0</v>
      </c>
      <c r="BC131" s="59">
        <f t="shared" si="178"/>
        <v>10000</v>
      </c>
      <c r="BD131" s="57">
        <f>' WIP '!BV131</f>
        <v>0</v>
      </c>
      <c r="BE131" s="58">
        <v>0</v>
      </c>
      <c r="BF131" s="59">
        <f t="shared" si="179"/>
        <v>10000</v>
      </c>
      <c r="BG131" s="57">
        <f>' WIP '!BZ131</f>
        <v>0</v>
      </c>
      <c r="BH131" s="58"/>
      <c r="BI131" s="59">
        <f t="shared" si="180"/>
        <v>10000</v>
      </c>
      <c r="BJ131" s="57">
        <f>' WIP '!CD131</f>
        <v>0</v>
      </c>
      <c r="BK131" s="58">
        <v>0</v>
      </c>
      <c r="BL131" s="59">
        <f t="shared" si="181"/>
        <v>10000</v>
      </c>
      <c r="BM131" s="57">
        <f>' WIP '!CH131</f>
        <v>0</v>
      </c>
      <c r="BN131" s="58">
        <v>0</v>
      </c>
      <c r="BO131" s="59">
        <f t="shared" si="182"/>
        <v>10000</v>
      </c>
      <c r="BP131" s="57">
        <f>' WIP '!CL131</f>
        <v>0</v>
      </c>
      <c r="BQ131" s="58"/>
      <c r="BR131" s="59">
        <f t="shared" si="183"/>
        <v>10000</v>
      </c>
      <c r="BS131" s="57">
        <f>' WIP '!CP131</f>
        <v>0</v>
      </c>
      <c r="BT131" s="58">
        <v>0</v>
      </c>
      <c r="BU131" s="59">
        <f t="shared" si="184"/>
        <v>10000</v>
      </c>
      <c r="BV131" s="57">
        <f>' WIP '!CT131</f>
        <v>0</v>
      </c>
      <c r="BW131" s="28">
        <v>0</v>
      </c>
      <c r="BX131" s="59">
        <f t="shared" si="185"/>
        <v>10000</v>
      </c>
      <c r="BY131" s="57">
        <f>' WIP '!CX131</f>
        <v>0</v>
      </c>
      <c r="BZ131" s="58">
        <v>0</v>
      </c>
      <c r="CA131" s="59">
        <f t="shared" si="186"/>
        <v>10000</v>
      </c>
      <c r="CB131" s="57">
        <f>' WIP '!DB131</f>
        <v>0</v>
      </c>
      <c r="CC131" s="58">
        <v>0</v>
      </c>
      <c r="CD131" s="59">
        <f t="shared" si="187"/>
        <v>10000</v>
      </c>
      <c r="CE131" s="57">
        <f>' WIP '!DF131</f>
        <v>0</v>
      </c>
      <c r="CF131" s="58">
        <v>0</v>
      </c>
      <c r="CG131" s="59">
        <f t="shared" si="188"/>
        <v>10000</v>
      </c>
      <c r="CH131" s="57">
        <f>' WIP '!DJ131</f>
        <v>0</v>
      </c>
      <c r="CI131" s="58">
        <v>0</v>
      </c>
      <c r="CJ131" s="59">
        <f t="shared" si="189"/>
        <v>10000</v>
      </c>
      <c r="CK131" s="57">
        <f>' WIP '!DN131</f>
        <v>0</v>
      </c>
      <c r="CL131" s="58">
        <v>0</v>
      </c>
      <c r="CM131" s="59">
        <f t="shared" si="190"/>
        <v>10000</v>
      </c>
      <c r="CN131" s="57">
        <f>' WIP '!DR131</f>
        <v>0</v>
      </c>
      <c r="CO131" s="57"/>
      <c r="CP131" s="59">
        <f t="shared" si="191"/>
        <v>10000</v>
      </c>
      <c r="CQ131" s="57">
        <f>' WIP '!DV131</f>
        <v>0</v>
      </c>
      <c r="CR131" s="58"/>
      <c r="CS131" s="59">
        <f t="shared" si="192"/>
        <v>10000</v>
      </c>
      <c r="CT131" s="31">
        <f t="shared" ref="CT131:CT162" si="193">D131+E131+H131+K131+N131+Q131+T131+W131+Z131+AC131+AF131+AI131+AL131+AO131+AR131+AU131+AX131+BA131+BD131+BG131+BJ131+BM131+BP131+BS131+BV131+BY131+CB131+CE131+CH131+CK131+CN131+CQ131</f>
        <v>10000</v>
      </c>
      <c r="CU131" s="4">
        <f t="shared" ref="CU131:CU162" si="194">F131+I131+L131+O131+R131+U131+X131+AA131+AD131+AG131+AJ131+AM131+AP131+AS131+AV131+AY131+BB131+BE131+BH131+BK131+BN131+BQ131+BT131+BW131+BZ131+CC131+CF131+CI131+CL131+CO131+CR131</f>
        <v>0</v>
      </c>
      <c r="CV131" s="5">
        <f>D131*'MASTER SHEET'!D131</f>
        <v>12200</v>
      </c>
      <c r="CW131" s="5">
        <f>G131*'MASTER SHEET'!D131</f>
        <v>12200</v>
      </c>
      <c r="CX131" s="5">
        <f>J131*'MASTER SHEET'!D131</f>
        <v>12200</v>
      </c>
      <c r="CY131" s="5">
        <f>M131*'MASTER SHEET'!D131</f>
        <v>12200</v>
      </c>
      <c r="CZ131" s="5">
        <f>P131*'MASTER SHEET'!D131</f>
        <v>12200</v>
      </c>
      <c r="DA131" s="5">
        <f>S131*'MASTER SHEET'!D131</f>
        <v>12200</v>
      </c>
      <c r="DB131" s="5">
        <f>V131*'MASTER SHEET'!D131</f>
        <v>12200</v>
      </c>
      <c r="DC131" s="5">
        <f>Y131*'MASTER SHEET'!D131</f>
        <v>12200</v>
      </c>
      <c r="DD131" s="5">
        <f>AB131*'MASTER SHEET'!D131</f>
        <v>12200</v>
      </c>
      <c r="DE131" s="5">
        <f>AE131*'MASTER SHEET'!D131</f>
        <v>12200</v>
      </c>
      <c r="DF131" s="5">
        <f>AH131*'MASTER SHEET'!D131</f>
        <v>12200</v>
      </c>
      <c r="DG131" s="5">
        <f>AK131*'MASTER SHEET'!D131</f>
        <v>12200</v>
      </c>
      <c r="DH131" s="5">
        <f>AN131*'MASTER SHEET'!D131</f>
        <v>12200</v>
      </c>
      <c r="DI131" s="5">
        <f>AQ131*'MASTER SHEET'!D131</f>
        <v>12200</v>
      </c>
      <c r="DJ131" s="5">
        <f>AT131*'MASTER SHEET'!D131</f>
        <v>12200</v>
      </c>
      <c r="DK131" s="5">
        <f>AW131*'MASTER SHEET'!D131</f>
        <v>12200</v>
      </c>
      <c r="DL131" s="5">
        <f>AZ131*'MASTER SHEET'!D131</f>
        <v>12200</v>
      </c>
      <c r="DM131" s="5">
        <f>BC131*'MASTER SHEET'!D131</f>
        <v>12200</v>
      </c>
      <c r="DN131" s="5">
        <f>BF131*'MASTER SHEET'!D131</f>
        <v>12200</v>
      </c>
      <c r="DO131" s="5">
        <f>BI131*'MASTER SHEET'!D131</f>
        <v>12200</v>
      </c>
      <c r="DP131" s="5">
        <f>BL131*'MASTER SHEET'!D131</f>
        <v>12200</v>
      </c>
      <c r="DQ131" s="5">
        <f>BO131*'MASTER SHEET'!D131</f>
        <v>12200</v>
      </c>
      <c r="DR131" s="5">
        <f>BR131*'MASTER SHEET'!D131</f>
        <v>12200</v>
      </c>
      <c r="DS131" s="5">
        <f>BU131*'MASTER SHEET'!D131</f>
        <v>12200</v>
      </c>
      <c r="DT131" s="5">
        <f>BX131*'MASTER SHEET'!D131</f>
        <v>12200</v>
      </c>
      <c r="DU131" s="5">
        <f>CA131*'MASTER SHEET'!D131</f>
        <v>12200</v>
      </c>
      <c r="DV131" s="5">
        <f>CD131*'MASTER SHEET'!D131</f>
        <v>12200</v>
      </c>
      <c r="DW131" s="5">
        <f>CG131*'MASTER SHEET'!D131</f>
        <v>12200</v>
      </c>
      <c r="DX131" s="5">
        <f>CJ131*'MASTER SHEET'!D131</f>
        <v>12200</v>
      </c>
      <c r="DY131" s="5">
        <f>CM131*'MASTER SHEET'!D131</f>
        <v>12200</v>
      </c>
      <c r="DZ131" s="5">
        <f>CP131*'MASTER SHEET'!D131</f>
        <v>12200</v>
      </c>
      <c r="EA131" s="5">
        <f>CS131*'MASTER SHEET'!D131</f>
        <v>12200</v>
      </c>
      <c r="EB131" s="9"/>
    </row>
    <row r="132" spans="1:132" ht="15.75" x14ac:dyDescent="0.25">
      <c r="A132" s="25">
        <f>'MASTER SHEET'!A132</f>
        <v>130</v>
      </c>
      <c r="B132" s="164" t="str">
        <f>'MASTER SHEET'!B132</f>
        <v>GRAPPING HOOK</v>
      </c>
      <c r="C132" s="165">
        <f>'MASTER SHEET'!C132</f>
        <v>62286</v>
      </c>
      <c r="D132" s="56">
        <v>20000</v>
      </c>
      <c r="E132" s="57">
        <f>' WIP '!F132</f>
        <v>0</v>
      </c>
      <c r="F132" s="58">
        <v>20000</v>
      </c>
      <c r="G132" s="59">
        <f t="shared" si="162"/>
        <v>0</v>
      </c>
      <c r="H132" s="57">
        <f>' WIP '!J132</f>
        <v>0</v>
      </c>
      <c r="I132" s="58">
        <v>0</v>
      </c>
      <c r="J132" s="59">
        <f t="shared" si="163"/>
        <v>0</v>
      </c>
      <c r="K132" s="57">
        <f>' WIP '!N132</f>
        <v>0</v>
      </c>
      <c r="L132" s="58"/>
      <c r="M132" s="59">
        <f t="shared" si="164"/>
        <v>0</v>
      </c>
      <c r="N132" s="57">
        <f>' WIP '!R132</f>
        <v>0</v>
      </c>
      <c r="O132" s="58">
        <v>0</v>
      </c>
      <c r="P132" s="59">
        <f t="shared" si="165"/>
        <v>0</v>
      </c>
      <c r="Q132" s="57">
        <f>' WIP '!V132</f>
        <v>0</v>
      </c>
      <c r="R132" s="58">
        <v>0</v>
      </c>
      <c r="S132" s="59">
        <f t="shared" si="166"/>
        <v>0</v>
      </c>
      <c r="T132" s="57">
        <f>' WIP '!Z132</f>
        <v>0</v>
      </c>
      <c r="U132" s="58">
        <v>0</v>
      </c>
      <c r="V132" s="59">
        <f t="shared" si="167"/>
        <v>0</v>
      </c>
      <c r="W132" s="57">
        <f>' WIP '!AD132</f>
        <v>0</v>
      </c>
      <c r="X132" s="58">
        <v>0</v>
      </c>
      <c r="Y132" s="59">
        <f t="shared" si="168"/>
        <v>0</v>
      </c>
      <c r="Z132" s="57">
        <f>' WIP '!AH132</f>
        <v>0</v>
      </c>
      <c r="AA132" s="58">
        <v>0</v>
      </c>
      <c r="AB132" s="59">
        <f t="shared" si="169"/>
        <v>0</v>
      </c>
      <c r="AC132" s="57">
        <f>' WIP '!AL132</f>
        <v>0</v>
      </c>
      <c r="AD132" s="58">
        <v>0</v>
      </c>
      <c r="AE132" s="59">
        <f t="shared" si="170"/>
        <v>0</v>
      </c>
      <c r="AF132" s="57">
        <f>' WIP '!AP132</f>
        <v>0</v>
      </c>
      <c r="AG132" s="114">
        <v>0</v>
      </c>
      <c r="AH132" s="59">
        <f t="shared" si="171"/>
        <v>0</v>
      </c>
      <c r="AI132" s="57">
        <f>' WIP '!AT132</f>
        <v>0</v>
      </c>
      <c r="AJ132" s="58">
        <v>0</v>
      </c>
      <c r="AK132" s="59">
        <f t="shared" si="172"/>
        <v>0</v>
      </c>
      <c r="AL132" s="57">
        <f>' WIP '!AX132</f>
        <v>0</v>
      </c>
      <c r="AM132" s="58"/>
      <c r="AN132" s="59">
        <f t="shared" si="173"/>
        <v>0</v>
      </c>
      <c r="AO132" s="57">
        <f>' WIP '!BB132</f>
        <v>6000</v>
      </c>
      <c r="AP132" s="58">
        <v>6000</v>
      </c>
      <c r="AQ132" s="59">
        <f t="shared" si="174"/>
        <v>0</v>
      </c>
      <c r="AR132" s="57">
        <f>' WIP '!BF132</f>
        <v>2000</v>
      </c>
      <c r="AS132" s="58">
        <v>2000</v>
      </c>
      <c r="AT132" s="59">
        <f t="shared" si="175"/>
        <v>0</v>
      </c>
      <c r="AU132" s="57">
        <f>' WIP '!BJ132</f>
        <v>0</v>
      </c>
      <c r="AV132" s="58">
        <v>0</v>
      </c>
      <c r="AW132" s="59">
        <f t="shared" si="176"/>
        <v>0</v>
      </c>
      <c r="AX132" s="57">
        <f>' WIP '!BN132</f>
        <v>0</v>
      </c>
      <c r="AY132" s="58">
        <v>0</v>
      </c>
      <c r="AZ132" s="59">
        <f t="shared" si="177"/>
        <v>0</v>
      </c>
      <c r="BA132" s="57">
        <f>' WIP '!BR132</f>
        <v>0</v>
      </c>
      <c r="BB132" s="58">
        <v>0</v>
      </c>
      <c r="BC132" s="59">
        <f t="shared" si="178"/>
        <v>0</v>
      </c>
      <c r="BD132" s="57">
        <f>' WIP '!BV132</f>
        <v>0</v>
      </c>
      <c r="BE132" s="58">
        <v>0</v>
      </c>
      <c r="BF132" s="59">
        <f t="shared" si="179"/>
        <v>0</v>
      </c>
      <c r="BG132" s="57">
        <f>' WIP '!BZ132</f>
        <v>0</v>
      </c>
      <c r="BH132" s="58"/>
      <c r="BI132" s="59">
        <f t="shared" si="180"/>
        <v>0</v>
      </c>
      <c r="BJ132" s="57">
        <f>' WIP '!CD132</f>
        <v>0</v>
      </c>
      <c r="BK132" s="58">
        <v>0</v>
      </c>
      <c r="BL132" s="59">
        <f t="shared" si="181"/>
        <v>0</v>
      </c>
      <c r="BM132" s="57">
        <f>' WIP '!CH132</f>
        <v>0</v>
      </c>
      <c r="BN132" s="58">
        <v>0</v>
      </c>
      <c r="BO132" s="59">
        <f t="shared" si="182"/>
        <v>0</v>
      </c>
      <c r="BP132" s="57">
        <f>' WIP '!CL132</f>
        <v>0</v>
      </c>
      <c r="BQ132" s="58"/>
      <c r="BR132" s="59">
        <f t="shared" si="183"/>
        <v>0</v>
      </c>
      <c r="BS132" s="57">
        <f>' WIP '!CP132</f>
        <v>0</v>
      </c>
      <c r="BT132" s="58">
        <v>0</v>
      </c>
      <c r="BU132" s="59">
        <f t="shared" si="184"/>
        <v>0</v>
      </c>
      <c r="BV132" s="57">
        <f>' WIP '!CT132</f>
        <v>0</v>
      </c>
      <c r="BW132" s="28">
        <v>0</v>
      </c>
      <c r="BX132" s="59">
        <f t="shared" si="185"/>
        <v>0</v>
      </c>
      <c r="BY132" s="57">
        <f>' WIP '!CX132</f>
        <v>0</v>
      </c>
      <c r="BZ132" s="58">
        <v>0</v>
      </c>
      <c r="CA132" s="59">
        <f t="shared" si="186"/>
        <v>0</v>
      </c>
      <c r="CB132" s="57">
        <f>' WIP '!DB132</f>
        <v>0</v>
      </c>
      <c r="CC132" s="58">
        <v>0</v>
      </c>
      <c r="CD132" s="59">
        <f t="shared" si="187"/>
        <v>0</v>
      </c>
      <c r="CE132" s="57">
        <f>' WIP '!DF132</f>
        <v>16000</v>
      </c>
      <c r="CF132" s="58">
        <v>16000</v>
      </c>
      <c r="CG132" s="59">
        <f t="shared" si="188"/>
        <v>0</v>
      </c>
      <c r="CH132" s="57">
        <f>' WIP '!DJ132</f>
        <v>14000</v>
      </c>
      <c r="CI132" s="58">
        <v>14000</v>
      </c>
      <c r="CJ132" s="59">
        <f t="shared" si="189"/>
        <v>0</v>
      </c>
      <c r="CK132" s="57">
        <f>' WIP '!DN132</f>
        <v>2000</v>
      </c>
      <c r="CL132" s="58">
        <v>2000</v>
      </c>
      <c r="CM132" s="59">
        <f t="shared" si="190"/>
        <v>0</v>
      </c>
      <c r="CN132" s="57">
        <f>' WIP '!DR132</f>
        <v>0</v>
      </c>
      <c r="CO132" s="57"/>
      <c r="CP132" s="59">
        <f t="shared" si="191"/>
        <v>0</v>
      </c>
      <c r="CQ132" s="57">
        <f>' WIP '!DV132</f>
        <v>0</v>
      </c>
      <c r="CR132" s="58"/>
      <c r="CS132" s="59">
        <f t="shared" si="192"/>
        <v>0</v>
      </c>
      <c r="CT132" s="31">
        <f t="shared" si="193"/>
        <v>60000</v>
      </c>
      <c r="CU132" s="4">
        <f t="shared" si="194"/>
        <v>60000</v>
      </c>
      <c r="CV132" s="5">
        <f>D132*'MASTER SHEET'!D132</f>
        <v>61800</v>
      </c>
      <c r="CW132" s="5">
        <f>G132*'MASTER SHEET'!D132</f>
        <v>0</v>
      </c>
      <c r="CX132" s="5">
        <f>J132*'MASTER SHEET'!D132</f>
        <v>0</v>
      </c>
      <c r="CY132" s="5">
        <f>M132*'MASTER SHEET'!D132</f>
        <v>0</v>
      </c>
      <c r="CZ132" s="5">
        <f>P132*'MASTER SHEET'!D132</f>
        <v>0</v>
      </c>
      <c r="DA132" s="5">
        <f>S132*'MASTER SHEET'!D132</f>
        <v>0</v>
      </c>
      <c r="DB132" s="5">
        <f>V132*'MASTER SHEET'!D132</f>
        <v>0</v>
      </c>
      <c r="DC132" s="5">
        <f>Y132*'MASTER SHEET'!D132</f>
        <v>0</v>
      </c>
      <c r="DD132" s="5">
        <f>AB132*'MASTER SHEET'!D132</f>
        <v>0</v>
      </c>
      <c r="DE132" s="5">
        <f>AE132*'MASTER SHEET'!D132</f>
        <v>0</v>
      </c>
      <c r="DF132" s="5">
        <f>AH132*'MASTER SHEET'!D132</f>
        <v>0</v>
      </c>
      <c r="DG132" s="5">
        <f>AK132*'MASTER SHEET'!D132</f>
        <v>0</v>
      </c>
      <c r="DH132" s="5">
        <f>AN132*'MASTER SHEET'!D132</f>
        <v>0</v>
      </c>
      <c r="DI132" s="5">
        <f>AQ132*'MASTER SHEET'!D132</f>
        <v>0</v>
      </c>
      <c r="DJ132" s="5">
        <f>AT132*'MASTER SHEET'!D132</f>
        <v>0</v>
      </c>
      <c r="DK132" s="5">
        <f>AW132*'MASTER SHEET'!D132</f>
        <v>0</v>
      </c>
      <c r="DL132" s="5">
        <f>AZ132*'MASTER SHEET'!D132</f>
        <v>0</v>
      </c>
      <c r="DM132" s="5">
        <f>BC132*'MASTER SHEET'!D132</f>
        <v>0</v>
      </c>
      <c r="DN132" s="5">
        <f>BF132*'MASTER SHEET'!D132</f>
        <v>0</v>
      </c>
      <c r="DO132" s="5">
        <f>BI132*'MASTER SHEET'!D132</f>
        <v>0</v>
      </c>
      <c r="DP132" s="5">
        <f>BL132*'MASTER SHEET'!D132</f>
        <v>0</v>
      </c>
      <c r="DQ132" s="5">
        <f>BO132*'MASTER SHEET'!D132</f>
        <v>0</v>
      </c>
      <c r="DR132" s="5">
        <f>BR132*'MASTER SHEET'!D132</f>
        <v>0</v>
      </c>
      <c r="DS132" s="5">
        <f>BU132*'MASTER SHEET'!D132</f>
        <v>0</v>
      </c>
      <c r="DT132" s="5">
        <f>BX132*'MASTER SHEET'!D132</f>
        <v>0</v>
      </c>
      <c r="DU132" s="5">
        <f>CA132*'MASTER SHEET'!D132</f>
        <v>0</v>
      </c>
      <c r="DV132" s="5">
        <f>CD132*'MASTER SHEET'!D132</f>
        <v>0</v>
      </c>
      <c r="DW132" s="5">
        <f>CG132*'MASTER SHEET'!D132</f>
        <v>0</v>
      </c>
      <c r="DX132" s="5">
        <f>CJ132*'MASTER SHEET'!D132</f>
        <v>0</v>
      </c>
      <c r="DY132" s="5">
        <f>CM132*'MASTER SHEET'!D132</f>
        <v>0</v>
      </c>
      <c r="DZ132" s="5">
        <f>CP132*'MASTER SHEET'!D132</f>
        <v>0</v>
      </c>
      <c r="EA132" s="5">
        <f>CS132*'MASTER SHEET'!D132</f>
        <v>0</v>
      </c>
      <c r="EB132" s="9"/>
    </row>
    <row r="133" spans="1:132" ht="15.75" x14ac:dyDescent="0.25">
      <c r="A133" s="25">
        <f>'MASTER SHEET'!A133</f>
        <v>131</v>
      </c>
      <c r="B133" s="164" t="str">
        <f>'MASTER SHEET'!B133</f>
        <v>ODH ACTUATOR RH</v>
      </c>
      <c r="C133" s="165" t="str">
        <f>'MASTER SHEET'!C133</f>
        <v>BE00003048</v>
      </c>
      <c r="D133" s="56">
        <v>0</v>
      </c>
      <c r="E133" s="57">
        <f>' WIP '!F133</f>
        <v>0</v>
      </c>
      <c r="F133" s="58">
        <v>0</v>
      </c>
      <c r="G133" s="59">
        <f t="shared" si="162"/>
        <v>0</v>
      </c>
      <c r="H133" s="57">
        <f>' WIP '!J133</f>
        <v>0</v>
      </c>
      <c r="I133" s="58">
        <v>0</v>
      </c>
      <c r="J133" s="59">
        <f t="shared" si="163"/>
        <v>0</v>
      </c>
      <c r="K133" s="57">
        <f>' WIP '!N133</f>
        <v>0</v>
      </c>
      <c r="L133" s="58"/>
      <c r="M133" s="59">
        <f t="shared" si="164"/>
        <v>0</v>
      </c>
      <c r="N133" s="57">
        <f>' WIP '!R133</f>
        <v>0</v>
      </c>
      <c r="O133" s="58">
        <v>0</v>
      </c>
      <c r="P133" s="59">
        <f t="shared" si="165"/>
        <v>0</v>
      </c>
      <c r="Q133" s="57">
        <f>' WIP '!V133</f>
        <v>1400</v>
      </c>
      <c r="R133" s="58">
        <v>1400</v>
      </c>
      <c r="S133" s="59">
        <f t="shared" si="166"/>
        <v>0</v>
      </c>
      <c r="T133" s="57">
        <f>' WIP '!Z133</f>
        <v>3000</v>
      </c>
      <c r="U133" s="58">
        <v>3000</v>
      </c>
      <c r="V133" s="59">
        <f t="shared" si="167"/>
        <v>0</v>
      </c>
      <c r="W133" s="57">
        <f>' WIP '!AD133</f>
        <v>3000</v>
      </c>
      <c r="X133" s="58">
        <v>3000</v>
      </c>
      <c r="Y133" s="59">
        <f t="shared" si="168"/>
        <v>0</v>
      </c>
      <c r="Z133" s="57">
        <f>' WIP '!AH133</f>
        <v>3000</v>
      </c>
      <c r="AA133" s="58">
        <v>3000</v>
      </c>
      <c r="AB133" s="59">
        <f t="shared" si="169"/>
        <v>0</v>
      </c>
      <c r="AC133" s="57">
        <f>' WIP '!AL133</f>
        <v>0</v>
      </c>
      <c r="AD133" s="58">
        <v>0</v>
      </c>
      <c r="AE133" s="59">
        <f t="shared" si="170"/>
        <v>0</v>
      </c>
      <c r="AF133" s="57">
        <f>' WIP '!AP133</f>
        <v>0</v>
      </c>
      <c r="AG133" s="114">
        <v>0</v>
      </c>
      <c r="AH133" s="59">
        <f t="shared" si="171"/>
        <v>0</v>
      </c>
      <c r="AI133" s="57">
        <f>' WIP '!AT133</f>
        <v>0</v>
      </c>
      <c r="AJ133" s="58">
        <v>0</v>
      </c>
      <c r="AK133" s="59">
        <f t="shared" si="172"/>
        <v>0</v>
      </c>
      <c r="AL133" s="57">
        <f>' WIP '!AX133</f>
        <v>0</v>
      </c>
      <c r="AM133" s="58"/>
      <c r="AN133" s="59">
        <f t="shared" si="173"/>
        <v>0</v>
      </c>
      <c r="AO133" s="57">
        <f>' WIP '!BB133</f>
        <v>0</v>
      </c>
      <c r="AP133" s="58">
        <v>0</v>
      </c>
      <c r="AQ133" s="59">
        <f t="shared" si="174"/>
        <v>0</v>
      </c>
      <c r="AR133" s="57">
        <f>' WIP '!BF133</f>
        <v>0</v>
      </c>
      <c r="AS133" s="58"/>
      <c r="AT133" s="59">
        <f t="shared" si="175"/>
        <v>0</v>
      </c>
      <c r="AU133" s="57">
        <f>' WIP '!BJ133</f>
        <v>0</v>
      </c>
      <c r="AV133" s="58">
        <v>0</v>
      </c>
      <c r="AW133" s="59">
        <f t="shared" si="176"/>
        <v>0</v>
      </c>
      <c r="AX133" s="57">
        <f>' WIP '!BN133</f>
        <v>0</v>
      </c>
      <c r="AY133" s="58">
        <v>0</v>
      </c>
      <c r="AZ133" s="59">
        <f t="shared" si="177"/>
        <v>0</v>
      </c>
      <c r="BA133" s="57">
        <f>' WIP '!BR133</f>
        <v>0</v>
      </c>
      <c r="BB133" s="58">
        <v>0</v>
      </c>
      <c r="BC133" s="59">
        <f t="shared" si="178"/>
        <v>0</v>
      </c>
      <c r="BD133" s="57">
        <f>' WIP '!BV133</f>
        <v>0</v>
      </c>
      <c r="BE133" s="58">
        <v>0</v>
      </c>
      <c r="BF133" s="59">
        <f t="shared" si="179"/>
        <v>0</v>
      </c>
      <c r="BG133" s="57">
        <f>' WIP '!BZ133</f>
        <v>0</v>
      </c>
      <c r="BH133" s="58"/>
      <c r="BI133" s="59">
        <f t="shared" si="180"/>
        <v>0</v>
      </c>
      <c r="BJ133" s="57">
        <f>' WIP '!CD133</f>
        <v>0</v>
      </c>
      <c r="BK133" s="58">
        <v>0</v>
      </c>
      <c r="BL133" s="59">
        <f t="shared" si="181"/>
        <v>0</v>
      </c>
      <c r="BM133" s="57">
        <f>' WIP '!CH133</f>
        <v>0</v>
      </c>
      <c r="BN133" s="58">
        <v>0</v>
      </c>
      <c r="BO133" s="59">
        <f t="shared" si="182"/>
        <v>0</v>
      </c>
      <c r="BP133" s="57">
        <f>' WIP '!CL133</f>
        <v>0</v>
      </c>
      <c r="BQ133" s="58"/>
      <c r="BR133" s="59">
        <f t="shared" si="183"/>
        <v>0</v>
      </c>
      <c r="BS133" s="57">
        <f>' WIP '!CP133</f>
        <v>0</v>
      </c>
      <c r="BT133" s="58">
        <v>0</v>
      </c>
      <c r="BU133" s="59">
        <f t="shared" si="184"/>
        <v>0</v>
      </c>
      <c r="BV133" s="57">
        <f>' WIP '!CT133</f>
        <v>0</v>
      </c>
      <c r="BW133" s="28">
        <v>0</v>
      </c>
      <c r="BX133" s="59">
        <f t="shared" si="185"/>
        <v>0</v>
      </c>
      <c r="BY133" s="57">
        <f>' WIP '!CX133</f>
        <v>0</v>
      </c>
      <c r="BZ133" s="58">
        <v>0</v>
      </c>
      <c r="CA133" s="59">
        <f t="shared" si="186"/>
        <v>0</v>
      </c>
      <c r="CB133" s="57">
        <f>' WIP '!DB133</f>
        <v>0</v>
      </c>
      <c r="CC133" s="58">
        <v>0</v>
      </c>
      <c r="CD133" s="59">
        <f t="shared" si="187"/>
        <v>0</v>
      </c>
      <c r="CE133" s="57">
        <f>' WIP '!DF133</f>
        <v>0</v>
      </c>
      <c r="CF133" s="58">
        <v>0</v>
      </c>
      <c r="CG133" s="59">
        <f t="shared" si="188"/>
        <v>0</v>
      </c>
      <c r="CH133" s="57">
        <f>' WIP '!DJ133</f>
        <v>0</v>
      </c>
      <c r="CI133" s="58">
        <v>0</v>
      </c>
      <c r="CJ133" s="59">
        <f t="shared" si="189"/>
        <v>0</v>
      </c>
      <c r="CK133" s="57">
        <f>' WIP '!DN133</f>
        <v>2800</v>
      </c>
      <c r="CL133" s="58">
        <v>2800</v>
      </c>
      <c r="CM133" s="59">
        <f t="shared" si="190"/>
        <v>0</v>
      </c>
      <c r="CN133" s="57">
        <f>' WIP '!DR133</f>
        <v>0</v>
      </c>
      <c r="CO133" s="57"/>
      <c r="CP133" s="59">
        <f t="shared" si="191"/>
        <v>0</v>
      </c>
      <c r="CQ133" s="57">
        <f>' WIP '!DV133</f>
        <v>0</v>
      </c>
      <c r="CR133" s="58"/>
      <c r="CS133" s="59">
        <f t="shared" si="192"/>
        <v>0</v>
      </c>
      <c r="CT133" s="31">
        <f t="shared" si="193"/>
        <v>13200</v>
      </c>
      <c r="CU133" s="4">
        <f t="shared" si="194"/>
        <v>13200</v>
      </c>
      <c r="CV133" s="5">
        <f>D133*'MASTER SHEET'!D133</f>
        <v>0</v>
      </c>
      <c r="CW133" s="5">
        <f>G133*'MASTER SHEET'!D133</f>
        <v>0</v>
      </c>
      <c r="CX133" s="5">
        <f>J133*'MASTER SHEET'!D133</f>
        <v>0</v>
      </c>
      <c r="CY133" s="5">
        <f>M133*'MASTER SHEET'!D133</f>
        <v>0</v>
      </c>
      <c r="CZ133" s="5">
        <f>P133*'MASTER SHEET'!D133</f>
        <v>0</v>
      </c>
      <c r="DA133" s="5">
        <f>S133*'MASTER SHEET'!D133</f>
        <v>0</v>
      </c>
      <c r="DB133" s="5">
        <f>V133*'MASTER SHEET'!D133</f>
        <v>0</v>
      </c>
      <c r="DC133" s="5">
        <f>Y133*'MASTER SHEET'!D133</f>
        <v>0</v>
      </c>
      <c r="DD133" s="5">
        <f>AB133*'MASTER SHEET'!D133</f>
        <v>0</v>
      </c>
      <c r="DE133" s="5">
        <f>AE133*'MASTER SHEET'!D133</f>
        <v>0</v>
      </c>
      <c r="DF133" s="5">
        <f>AH133*'MASTER SHEET'!D133</f>
        <v>0</v>
      </c>
      <c r="DG133" s="5">
        <f>AK133*'MASTER SHEET'!D133</f>
        <v>0</v>
      </c>
      <c r="DH133" s="5">
        <f>AN133*'MASTER SHEET'!D133</f>
        <v>0</v>
      </c>
      <c r="DI133" s="5">
        <f>AQ133*'MASTER SHEET'!D133</f>
        <v>0</v>
      </c>
      <c r="DJ133" s="5">
        <f>AT133*'MASTER SHEET'!D133</f>
        <v>0</v>
      </c>
      <c r="DK133" s="5">
        <f>AW133*'MASTER SHEET'!D133</f>
        <v>0</v>
      </c>
      <c r="DL133" s="5">
        <f>AZ133*'MASTER SHEET'!D133</f>
        <v>0</v>
      </c>
      <c r="DM133" s="5">
        <f>BC133*'MASTER SHEET'!D133</f>
        <v>0</v>
      </c>
      <c r="DN133" s="5">
        <f>BF133*'MASTER SHEET'!D133</f>
        <v>0</v>
      </c>
      <c r="DO133" s="5">
        <f>BI133*'MASTER SHEET'!D133</f>
        <v>0</v>
      </c>
      <c r="DP133" s="5">
        <f>BL133*'MASTER SHEET'!D133</f>
        <v>0</v>
      </c>
      <c r="DQ133" s="5">
        <f>BO133*'MASTER SHEET'!D133</f>
        <v>0</v>
      </c>
      <c r="DR133" s="5">
        <f>BR133*'MASTER SHEET'!D133</f>
        <v>0</v>
      </c>
      <c r="DS133" s="5">
        <f>BU133*'MASTER SHEET'!D133</f>
        <v>0</v>
      </c>
      <c r="DT133" s="5">
        <f>BX133*'MASTER SHEET'!D133</f>
        <v>0</v>
      </c>
      <c r="DU133" s="5">
        <f>CA133*'MASTER SHEET'!D133</f>
        <v>0</v>
      </c>
      <c r="DV133" s="5">
        <f>CD133*'MASTER SHEET'!D133</f>
        <v>0</v>
      </c>
      <c r="DW133" s="5">
        <f>CG133*'MASTER SHEET'!D133</f>
        <v>0</v>
      </c>
      <c r="DX133" s="5">
        <f>CJ133*'MASTER SHEET'!D133</f>
        <v>0</v>
      </c>
      <c r="DY133" s="5">
        <f>CM133*'MASTER SHEET'!D133</f>
        <v>0</v>
      </c>
      <c r="DZ133" s="5">
        <f>CP133*'MASTER SHEET'!D133</f>
        <v>0</v>
      </c>
      <c r="EA133" s="5">
        <f>CS133*'MASTER SHEET'!D133</f>
        <v>0</v>
      </c>
      <c r="EB133" s="9"/>
    </row>
    <row r="134" spans="1:132" ht="15.75" x14ac:dyDescent="0.25">
      <c r="A134" s="25">
        <f>'MASTER SHEET'!A134</f>
        <v>132</v>
      </c>
      <c r="B134" s="164" t="str">
        <f>'MASTER SHEET'!B134</f>
        <v>2TG CLIP DRAIN TUBE LH</v>
      </c>
      <c r="C134" s="165">
        <f>'MASTER SHEET'!C134</f>
        <v>62311</v>
      </c>
      <c r="D134" s="56">
        <v>0</v>
      </c>
      <c r="E134" s="57">
        <f>' WIP '!F134</f>
        <v>0</v>
      </c>
      <c r="F134" s="58">
        <v>0</v>
      </c>
      <c r="G134" s="59">
        <f t="shared" si="162"/>
        <v>0</v>
      </c>
      <c r="H134" s="57">
        <f>' WIP '!J134</f>
        <v>0</v>
      </c>
      <c r="I134" s="58">
        <v>0</v>
      </c>
      <c r="J134" s="59">
        <f t="shared" si="163"/>
        <v>0</v>
      </c>
      <c r="K134" s="57">
        <f>' WIP '!N134</f>
        <v>0</v>
      </c>
      <c r="L134" s="58"/>
      <c r="M134" s="59">
        <f t="shared" si="164"/>
        <v>0</v>
      </c>
      <c r="N134" s="57">
        <f>' WIP '!R134</f>
        <v>0</v>
      </c>
      <c r="O134" s="58">
        <v>0</v>
      </c>
      <c r="P134" s="59">
        <f t="shared" si="165"/>
        <v>0</v>
      </c>
      <c r="Q134" s="57">
        <f>' WIP '!V134</f>
        <v>0</v>
      </c>
      <c r="R134" s="58">
        <v>0</v>
      </c>
      <c r="S134" s="59">
        <f t="shared" si="166"/>
        <v>0</v>
      </c>
      <c r="T134" s="57">
        <f>' WIP '!Z134</f>
        <v>0</v>
      </c>
      <c r="U134" s="58">
        <v>0</v>
      </c>
      <c r="V134" s="59">
        <f t="shared" si="167"/>
        <v>0</v>
      </c>
      <c r="W134" s="57">
        <f>' WIP '!AD134</f>
        <v>0</v>
      </c>
      <c r="X134" s="58">
        <v>0</v>
      </c>
      <c r="Y134" s="59">
        <f t="shared" si="168"/>
        <v>0</v>
      </c>
      <c r="Z134" s="57">
        <f>' WIP '!AH134</f>
        <v>0</v>
      </c>
      <c r="AA134" s="58">
        <v>0</v>
      </c>
      <c r="AB134" s="59">
        <f t="shared" si="169"/>
        <v>0</v>
      </c>
      <c r="AC134" s="57">
        <f>' WIP '!AL134</f>
        <v>0</v>
      </c>
      <c r="AD134" s="58">
        <v>0</v>
      </c>
      <c r="AE134" s="59">
        <f t="shared" si="170"/>
        <v>0</v>
      </c>
      <c r="AF134" s="57">
        <f>' WIP '!AP134</f>
        <v>0</v>
      </c>
      <c r="AG134" s="114">
        <v>0</v>
      </c>
      <c r="AH134" s="59">
        <f t="shared" si="171"/>
        <v>0</v>
      </c>
      <c r="AI134" s="57">
        <f>' WIP '!AT134</f>
        <v>0</v>
      </c>
      <c r="AJ134" s="58">
        <v>0</v>
      </c>
      <c r="AK134" s="59">
        <f t="shared" si="172"/>
        <v>0</v>
      </c>
      <c r="AL134" s="57">
        <f>' WIP '!AX134</f>
        <v>0</v>
      </c>
      <c r="AM134" s="58"/>
      <c r="AN134" s="59">
        <f t="shared" si="173"/>
        <v>0</v>
      </c>
      <c r="AO134" s="57">
        <f>' WIP '!BB134</f>
        <v>0</v>
      </c>
      <c r="AP134" s="58">
        <v>0</v>
      </c>
      <c r="AQ134" s="59">
        <f t="shared" si="174"/>
        <v>0</v>
      </c>
      <c r="AR134" s="57">
        <f>' WIP '!BF134</f>
        <v>600</v>
      </c>
      <c r="AS134" s="58">
        <v>600</v>
      </c>
      <c r="AT134" s="59">
        <f t="shared" si="175"/>
        <v>0</v>
      </c>
      <c r="AU134" s="57">
        <f>' WIP '!BJ134</f>
        <v>0</v>
      </c>
      <c r="AV134" s="58">
        <v>0</v>
      </c>
      <c r="AW134" s="59">
        <f t="shared" si="176"/>
        <v>0</v>
      </c>
      <c r="AX134" s="57">
        <f>' WIP '!BN134</f>
        <v>0</v>
      </c>
      <c r="AY134" s="58">
        <v>0</v>
      </c>
      <c r="AZ134" s="59">
        <f t="shared" si="177"/>
        <v>0</v>
      </c>
      <c r="BA134" s="57">
        <f>' WIP '!BR134</f>
        <v>0</v>
      </c>
      <c r="BB134" s="58">
        <v>0</v>
      </c>
      <c r="BC134" s="59">
        <f t="shared" si="178"/>
        <v>0</v>
      </c>
      <c r="BD134" s="57">
        <f>' WIP '!BV134</f>
        <v>0</v>
      </c>
      <c r="BE134" s="58">
        <v>0</v>
      </c>
      <c r="BF134" s="59">
        <f t="shared" si="179"/>
        <v>0</v>
      </c>
      <c r="BG134" s="57">
        <f>' WIP '!BZ134</f>
        <v>0</v>
      </c>
      <c r="BH134" s="58"/>
      <c r="BI134" s="59">
        <f t="shared" si="180"/>
        <v>0</v>
      </c>
      <c r="BJ134" s="57">
        <f>' WIP '!CD134</f>
        <v>0</v>
      </c>
      <c r="BK134" s="58">
        <v>0</v>
      </c>
      <c r="BL134" s="59">
        <f t="shared" si="181"/>
        <v>0</v>
      </c>
      <c r="BM134" s="57">
        <f>' WIP '!CH134</f>
        <v>0</v>
      </c>
      <c r="BN134" s="58">
        <v>0</v>
      </c>
      <c r="BO134" s="59">
        <f t="shared" si="182"/>
        <v>0</v>
      </c>
      <c r="BP134" s="57">
        <f>' WIP '!CL134</f>
        <v>0</v>
      </c>
      <c r="BQ134" s="58"/>
      <c r="BR134" s="59">
        <f t="shared" si="183"/>
        <v>0</v>
      </c>
      <c r="BS134" s="57">
        <f>' WIP '!CP134</f>
        <v>0</v>
      </c>
      <c r="BT134" s="58">
        <v>0</v>
      </c>
      <c r="BU134" s="59">
        <f t="shared" si="184"/>
        <v>0</v>
      </c>
      <c r="BV134" s="57">
        <f>' WIP '!CT134</f>
        <v>0</v>
      </c>
      <c r="BW134" s="28">
        <v>0</v>
      </c>
      <c r="BX134" s="59">
        <f t="shared" si="185"/>
        <v>0</v>
      </c>
      <c r="BY134" s="57">
        <f>' WIP '!CX134</f>
        <v>0</v>
      </c>
      <c r="BZ134" s="58">
        <v>0</v>
      </c>
      <c r="CA134" s="59">
        <f t="shared" si="186"/>
        <v>0</v>
      </c>
      <c r="CB134" s="57">
        <f>' WIP '!DB134</f>
        <v>0</v>
      </c>
      <c r="CC134" s="58">
        <v>0</v>
      </c>
      <c r="CD134" s="59">
        <f t="shared" si="187"/>
        <v>0</v>
      </c>
      <c r="CE134" s="57">
        <f>' WIP '!DF134</f>
        <v>0</v>
      </c>
      <c r="CF134" s="58">
        <v>0</v>
      </c>
      <c r="CG134" s="59">
        <f t="shared" si="188"/>
        <v>0</v>
      </c>
      <c r="CH134" s="57">
        <f>' WIP '!DJ134</f>
        <v>0</v>
      </c>
      <c r="CI134" s="58">
        <v>0</v>
      </c>
      <c r="CJ134" s="59">
        <f t="shared" si="189"/>
        <v>0</v>
      </c>
      <c r="CK134" s="57">
        <f>' WIP '!DN134</f>
        <v>0</v>
      </c>
      <c r="CL134" s="58">
        <v>0</v>
      </c>
      <c r="CM134" s="59">
        <f t="shared" si="190"/>
        <v>0</v>
      </c>
      <c r="CN134" s="57">
        <f>' WIP '!DR134</f>
        <v>0</v>
      </c>
      <c r="CO134" s="57"/>
      <c r="CP134" s="59">
        <f t="shared" si="191"/>
        <v>0</v>
      </c>
      <c r="CQ134" s="57">
        <f>' WIP '!DV134</f>
        <v>0</v>
      </c>
      <c r="CR134" s="58"/>
      <c r="CS134" s="59">
        <f t="shared" si="192"/>
        <v>0</v>
      </c>
      <c r="CT134" s="31">
        <f t="shared" si="193"/>
        <v>600</v>
      </c>
      <c r="CU134" s="4">
        <f t="shared" si="194"/>
        <v>600</v>
      </c>
      <c r="CV134" s="5">
        <f>D134*'MASTER SHEET'!D134</f>
        <v>0</v>
      </c>
      <c r="CW134" s="5">
        <f>G134*'MASTER SHEET'!D134</f>
        <v>0</v>
      </c>
      <c r="CX134" s="5">
        <f>J134*'MASTER SHEET'!D134</f>
        <v>0</v>
      </c>
      <c r="CY134" s="5">
        <f>M134*'MASTER SHEET'!D134</f>
        <v>0</v>
      </c>
      <c r="CZ134" s="5">
        <f>P134*'MASTER SHEET'!D134</f>
        <v>0</v>
      </c>
      <c r="DA134" s="5">
        <f>S134*'MASTER SHEET'!D134</f>
        <v>0</v>
      </c>
      <c r="DB134" s="5">
        <f>V134*'MASTER SHEET'!D134</f>
        <v>0</v>
      </c>
      <c r="DC134" s="5">
        <f>Y134*'MASTER SHEET'!D134</f>
        <v>0</v>
      </c>
      <c r="DD134" s="5">
        <f>AB134*'MASTER SHEET'!D134</f>
        <v>0</v>
      </c>
      <c r="DE134" s="5">
        <f>AE134*'MASTER SHEET'!D134</f>
        <v>0</v>
      </c>
      <c r="DF134" s="5">
        <f>AH134*'MASTER SHEET'!D134</f>
        <v>0</v>
      </c>
      <c r="DG134" s="5">
        <f>AK134*'MASTER SHEET'!D134</f>
        <v>0</v>
      </c>
      <c r="DH134" s="5">
        <f>AN134*'MASTER SHEET'!D134</f>
        <v>0</v>
      </c>
      <c r="DI134" s="5">
        <f>AQ134*'MASTER SHEET'!D134</f>
        <v>0</v>
      </c>
      <c r="DJ134" s="5">
        <f>AT134*'MASTER SHEET'!D134</f>
        <v>0</v>
      </c>
      <c r="DK134" s="5">
        <f>AW134*'MASTER SHEET'!D134</f>
        <v>0</v>
      </c>
      <c r="DL134" s="5">
        <f>AZ134*'MASTER SHEET'!D134</f>
        <v>0</v>
      </c>
      <c r="DM134" s="5">
        <f>BC134*'MASTER SHEET'!D134</f>
        <v>0</v>
      </c>
      <c r="DN134" s="5">
        <f>BF134*'MASTER SHEET'!D134</f>
        <v>0</v>
      </c>
      <c r="DO134" s="5">
        <f>BI134*'MASTER SHEET'!D134</f>
        <v>0</v>
      </c>
      <c r="DP134" s="5">
        <f>BL134*'MASTER SHEET'!D134</f>
        <v>0</v>
      </c>
      <c r="DQ134" s="5">
        <f>BO134*'MASTER SHEET'!D134</f>
        <v>0</v>
      </c>
      <c r="DR134" s="5">
        <f>BR134*'MASTER SHEET'!D134</f>
        <v>0</v>
      </c>
      <c r="DS134" s="5">
        <f>BU134*'MASTER SHEET'!D134</f>
        <v>0</v>
      </c>
      <c r="DT134" s="5">
        <f>BX134*'MASTER SHEET'!D134</f>
        <v>0</v>
      </c>
      <c r="DU134" s="5">
        <f>CA134*'MASTER SHEET'!D134</f>
        <v>0</v>
      </c>
      <c r="DV134" s="5">
        <f>CD134*'MASTER SHEET'!D134</f>
        <v>0</v>
      </c>
      <c r="DW134" s="5">
        <f>CG134*'MASTER SHEET'!D134</f>
        <v>0</v>
      </c>
      <c r="DX134" s="5">
        <f>CJ134*'MASTER SHEET'!D134</f>
        <v>0</v>
      </c>
      <c r="DY134" s="5">
        <f>CM134*'MASTER SHEET'!D134</f>
        <v>0</v>
      </c>
      <c r="DZ134" s="5">
        <f>CP134*'MASTER SHEET'!D134</f>
        <v>0</v>
      </c>
      <c r="EA134" s="5">
        <f>CS134*'MASTER SHEET'!D134</f>
        <v>0</v>
      </c>
      <c r="EB134" s="9"/>
    </row>
    <row r="135" spans="1:132" ht="15.75" x14ac:dyDescent="0.25">
      <c r="A135" s="25">
        <f>'MASTER SHEET'!A135</f>
        <v>133</v>
      </c>
      <c r="B135" s="164" t="str">
        <f>'MASTER SHEET'!B135</f>
        <v>2TG CLIP DRAIN TUBE RH</v>
      </c>
      <c r="C135" s="165">
        <f>'MASTER SHEET'!C135</f>
        <v>62368</v>
      </c>
      <c r="D135" s="56">
        <v>0</v>
      </c>
      <c r="E135" s="57">
        <f>' WIP '!F135</f>
        <v>0</v>
      </c>
      <c r="F135" s="58">
        <v>0</v>
      </c>
      <c r="G135" s="59">
        <f t="shared" si="162"/>
        <v>0</v>
      </c>
      <c r="H135" s="57">
        <f>' WIP '!J135</f>
        <v>0</v>
      </c>
      <c r="I135" s="58">
        <v>0</v>
      </c>
      <c r="J135" s="59">
        <f t="shared" si="163"/>
        <v>0</v>
      </c>
      <c r="K135" s="57">
        <f>' WIP '!N135</f>
        <v>0</v>
      </c>
      <c r="L135" s="58"/>
      <c r="M135" s="59">
        <f t="shared" si="164"/>
        <v>0</v>
      </c>
      <c r="N135" s="57">
        <f>' WIP '!R135</f>
        <v>0</v>
      </c>
      <c r="O135" s="58">
        <v>0</v>
      </c>
      <c r="P135" s="59">
        <f t="shared" si="165"/>
        <v>0</v>
      </c>
      <c r="Q135" s="57">
        <f>' WIP '!V135</f>
        <v>0</v>
      </c>
      <c r="R135" s="58">
        <v>0</v>
      </c>
      <c r="S135" s="59">
        <f t="shared" si="166"/>
        <v>0</v>
      </c>
      <c r="T135" s="57">
        <f>' WIP '!Z135</f>
        <v>0</v>
      </c>
      <c r="U135" s="58">
        <v>0</v>
      </c>
      <c r="V135" s="59">
        <f t="shared" si="167"/>
        <v>0</v>
      </c>
      <c r="W135" s="57">
        <f>' WIP '!AD135</f>
        <v>0</v>
      </c>
      <c r="X135" s="58">
        <v>0</v>
      </c>
      <c r="Y135" s="59">
        <f t="shared" si="168"/>
        <v>0</v>
      </c>
      <c r="Z135" s="57">
        <f>' WIP '!AH135</f>
        <v>0</v>
      </c>
      <c r="AA135" s="58">
        <v>0</v>
      </c>
      <c r="AB135" s="59">
        <f t="shared" si="169"/>
        <v>0</v>
      </c>
      <c r="AC135" s="57">
        <f>' WIP '!AL135</f>
        <v>0</v>
      </c>
      <c r="AD135" s="58">
        <v>0</v>
      </c>
      <c r="AE135" s="59">
        <f t="shared" si="170"/>
        <v>0</v>
      </c>
      <c r="AF135" s="57">
        <f>' WIP '!AP135</f>
        <v>0</v>
      </c>
      <c r="AG135" s="114">
        <v>0</v>
      </c>
      <c r="AH135" s="59">
        <f t="shared" si="171"/>
        <v>0</v>
      </c>
      <c r="AI135" s="57">
        <f>' WIP '!AT135</f>
        <v>0</v>
      </c>
      <c r="AJ135" s="58">
        <v>0</v>
      </c>
      <c r="AK135" s="59">
        <f t="shared" si="172"/>
        <v>0</v>
      </c>
      <c r="AL135" s="57">
        <f>' WIP '!AX135</f>
        <v>0</v>
      </c>
      <c r="AM135" s="58"/>
      <c r="AN135" s="59">
        <f t="shared" si="173"/>
        <v>0</v>
      </c>
      <c r="AO135" s="57">
        <f>' WIP '!BB135</f>
        <v>0</v>
      </c>
      <c r="AP135" s="58">
        <v>0</v>
      </c>
      <c r="AQ135" s="59">
        <f t="shared" si="174"/>
        <v>0</v>
      </c>
      <c r="AR135" s="57">
        <f>' WIP '!BF135</f>
        <v>600</v>
      </c>
      <c r="AS135" s="58">
        <v>600</v>
      </c>
      <c r="AT135" s="59">
        <f t="shared" si="175"/>
        <v>0</v>
      </c>
      <c r="AU135" s="57">
        <f>' WIP '!BJ135</f>
        <v>0</v>
      </c>
      <c r="AV135" s="58">
        <v>0</v>
      </c>
      <c r="AW135" s="59">
        <f t="shared" si="176"/>
        <v>0</v>
      </c>
      <c r="AX135" s="57">
        <f>' WIP '!BN135</f>
        <v>0</v>
      </c>
      <c r="AY135" s="58">
        <v>0</v>
      </c>
      <c r="AZ135" s="59">
        <f t="shared" si="177"/>
        <v>0</v>
      </c>
      <c r="BA135" s="57">
        <f>' WIP '!BR135</f>
        <v>0</v>
      </c>
      <c r="BB135" s="58">
        <v>0</v>
      </c>
      <c r="BC135" s="59">
        <f t="shared" si="178"/>
        <v>0</v>
      </c>
      <c r="BD135" s="57">
        <f>' WIP '!BV135</f>
        <v>0</v>
      </c>
      <c r="BE135" s="58">
        <v>0</v>
      </c>
      <c r="BF135" s="59">
        <f t="shared" si="179"/>
        <v>0</v>
      </c>
      <c r="BG135" s="57">
        <f>' WIP '!BZ135</f>
        <v>0</v>
      </c>
      <c r="BH135" s="58"/>
      <c r="BI135" s="59">
        <f t="shared" si="180"/>
        <v>0</v>
      </c>
      <c r="BJ135" s="57">
        <f>' WIP '!CD135</f>
        <v>0</v>
      </c>
      <c r="BK135" s="58">
        <v>0</v>
      </c>
      <c r="BL135" s="59">
        <f t="shared" si="181"/>
        <v>0</v>
      </c>
      <c r="BM135" s="57">
        <f>' WIP '!CH135</f>
        <v>0</v>
      </c>
      <c r="BN135" s="58">
        <v>0</v>
      </c>
      <c r="BO135" s="59">
        <f t="shared" si="182"/>
        <v>0</v>
      </c>
      <c r="BP135" s="57">
        <f>' WIP '!CL135</f>
        <v>0</v>
      </c>
      <c r="BQ135" s="58"/>
      <c r="BR135" s="59">
        <f t="shared" si="183"/>
        <v>0</v>
      </c>
      <c r="BS135" s="57">
        <f>' WIP '!CP135</f>
        <v>0</v>
      </c>
      <c r="BT135" s="58">
        <v>0</v>
      </c>
      <c r="BU135" s="59">
        <f t="shared" si="184"/>
        <v>0</v>
      </c>
      <c r="BV135" s="57">
        <f>' WIP '!CT135</f>
        <v>0</v>
      </c>
      <c r="BW135" s="28">
        <v>0</v>
      </c>
      <c r="BX135" s="59">
        <f t="shared" si="185"/>
        <v>0</v>
      </c>
      <c r="BY135" s="57">
        <f>' WIP '!CX135</f>
        <v>0</v>
      </c>
      <c r="BZ135" s="58">
        <v>0</v>
      </c>
      <c r="CA135" s="59">
        <f t="shared" si="186"/>
        <v>0</v>
      </c>
      <c r="CB135" s="57">
        <f>' WIP '!DB135</f>
        <v>0</v>
      </c>
      <c r="CC135" s="58">
        <v>0</v>
      </c>
      <c r="CD135" s="59">
        <f t="shared" si="187"/>
        <v>0</v>
      </c>
      <c r="CE135" s="57">
        <f>' WIP '!DF135</f>
        <v>0</v>
      </c>
      <c r="CF135" s="58">
        <v>0</v>
      </c>
      <c r="CG135" s="59">
        <f t="shared" si="188"/>
        <v>0</v>
      </c>
      <c r="CH135" s="57">
        <f>' WIP '!DJ135</f>
        <v>0</v>
      </c>
      <c r="CI135" s="58">
        <v>0</v>
      </c>
      <c r="CJ135" s="59">
        <f t="shared" si="189"/>
        <v>0</v>
      </c>
      <c r="CK135" s="57">
        <f>' WIP '!DN135</f>
        <v>0</v>
      </c>
      <c r="CL135" s="58">
        <v>0</v>
      </c>
      <c r="CM135" s="59">
        <f t="shared" si="190"/>
        <v>0</v>
      </c>
      <c r="CN135" s="57">
        <f>' WIP '!DR135</f>
        <v>0</v>
      </c>
      <c r="CO135" s="57"/>
      <c r="CP135" s="59">
        <f t="shared" si="191"/>
        <v>0</v>
      </c>
      <c r="CQ135" s="57">
        <f>' WIP '!DV135</f>
        <v>0</v>
      </c>
      <c r="CR135" s="58"/>
      <c r="CS135" s="59">
        <f t="shared" si="192"/>
        <v>0</v>
      </c>
      <c r="CT135" s="31">
        <f t="shared" si="193"/>
        <v>600</v>
      </c>
      <c r="CU135" s="4">
        <f t="shared" si="194"/>
        <v>600</v>
      </c>
      <c r="CV135" s="5">
        <f>D135*'MASTER SHEET'!D135</f>
        <v>0</v>
      </c>
      <c r="CW135" s="5">
        <f>G135*'MASTER SHEET'!D135</f>
        <v>0</v>
      </c>
      <c r="CX135" s="5">
        <f>J135*'MASTER SHEET'!D135</f>
        <v>0</v>
      </c>
      <c r="CY135" s="5">
        <f>M135*'MASTER SHEET'!D135</f>
        <v>0</v>
      </c>
      <c r="CZ135" s="5">
        <f>P135*'MASTER SHEET'!D135</f>
        <v>0</v>
      </c>
      <c r="DA135" s="5">
        <f>S135*'MASTER SHEET'!D135</f>
        <v>0</v>
      </c>
      <c r="DB135" s="5">
        <f>V135*'MASTER SHEET'!D135</f>
        <v>0</v>
      </c>
      <c r="DC135" s="5">
        <f>Y135*'MASTER SHEET'!D135</f>
        <v>0</v>
      </c>
      <c r="DD135" s="5">
        <f>AB135*'MASTER SHEET'!D135</f>
        <v>0</v>
      </c>
      <c r="DE135" s="5">
        <f>AE135*'MASTER SHEET'!D135</f>
        <v>0</v>
      </c>
      <c r="DF135" s="5">
        <f>AH135*'MASTER SHEET'!D135</f>
        <v>0</v>
      </c>
      <c r="DG135" s="5">
        <f>AK135*'MASTER SHEET'!D135</f>
        <v>0</v>
      </c>
      <c r="DH135" s="5">
        <f>AN135*'MASTER SHEET'!D135</f>
        <v>0</v>
      </c>
      <c r="DI135" s="5">
        <f>AQ135*'MASTER SHEET'!D135</f>
        <v>0</v>
      </c>
      <c r="DJ135" s="5">
        <f>AT135*'MASTER SHEET'!D135</f>
        <v>0</v>
      </c>
      <c r="DK135" s="5">
        <f>AW135*'MASTER SHEET'!D135</f>
        <v>0</v>
      </c>
      <c r="DL135" s="5">
        <f>AZ135*'MASTER SHEET'!D135</f>
        <v>0</v>
      </c>
      <c r="DM135" s="5">
        <f>BC135*'MASTER SHEET'!D135</f>
        <v>0</v>
      </c>
      <c r="DN135" s="5">
        <f>BF135*'MASTER SHEET'!D135</f>
        <v>0</v>
      </c>
      <c r="DO135" s="5">
        <f>BI135*'MASTER SHEET'!D135</f>
        <v>0</v>
      </c>
      <c r="DP135" s="5">
        <f>BL135*'MASTER SHEET'!D135</f>
        <v>0</v>
      </c>
      <c r="DQ135" s="5">
        <f>BO135*'MASTER SHEET'!D135</f>
        <v>0</v>
      </c>
      <c r="DR135" s="5">
        <f>BR135*'MASTER SHEET'!D135</f>
        <v>0</v>
      </c>
      <c r="DS135" s="5">
        <f>BU135*'MASTER SHEET'!D135</f>
        <v>0</v>
      </c>
      <c r="DT135" s="5">
        <f>BX135*'MASTER SHEET'!D135</f>
        <v>0</v>
      </c>
      <c r="DU135" s="5">
        <f>CA135*'MASTER SHEET'!D135</f>
        <v>0</v>
      </c>
      <c r="DV135" s="5">
        <f>CD135*'MASTER SHEET'!D135</f>
        <v>0</v>
      </c>
      <c r="DW135" s="5">
        <f>CG135*'MASTER SHEET'!D135</f>
        <v>0</v>
      </c>
      <c r="DX135" s="5">
        <f>CJ135*'MASTER SHEET'!D135</f>
        <v>0</v>
      </c>
      <c r="DY135" s="5">
        <f>CM135*'MASTER SHEET'!D135</f>
        <v>0</v>
      </c>
      <c r="DZ135" s="5">
        <f>CP135*'MASTER SHEET'!D135</f>
        <v>0</v>
      </c>
      <c r="EA135" s="5">
        <f>CS135*'MASTER SHEET'!D135</f>
        <v>0</v>
      </c>
      <c r="EB135" s="9"/>
    </row>
    <row r="136" spans="1:132" ht="15.75" x14ac:dyDescent="0.25">
      <c r="A136" s="25">
        <f>'MASTER SHEET'!A136</f>
        <v>134</v>
      </c>
      <c r="B136" s="164" t="str">
        <f>'MASTER SHEET'!B136</f>
        <v>GROMMET</v>
      </c>
      <c r="C136" s="165">
        <f>'MASTER SHEET'!C136</f>
        <v>61984</v>
      </c>
      <c r="D136" s="56">
        <v>0</v>
      </c>
      <c r="E136" s="57">
        <f>' WIP '!F136</f>
        <v>0</v>
      </c>
      <c r="F136" s="58">
        <v>0</v>
      </c>
      <c r="G136" s="59">
        <f t="shared" si="162"/>
        <v>0</v>
      </c>
      <c r="H136" s="57">
        <f>' WIP '!J136</f>
        <v>0</v>
      </c>
      <c r="I136" s="58">
        <v>0</v>
      </c>
      <c r="J136" s="59">
        <f t="shared" si="163"/>
        <v>0</v>
      </c>
      <c r="K136" s="57">
        <f>' WIP '!N136</f>
        <v>0</v>
      </c>
      <c r="L136" s="58"/>
      <c r="M136" s="59">
        <f t="shared" si="164"/>
        <v>0</v>
      </c>
      <c r="N136" s="57">
        <f>' WIP '!R136</f>
        <v>0</v>
      </c>
      <c r="O136" s="58">
        <v>0</v>
      </c>
      <c r="P136" s="59">
        <f t="shared" si="165"/>
        <v>0</v>
      </c>
      <c r="Q136" s="57">
        <f>' WIP '!V136</f>
        <v>0</v>
      </c>
      <c r="R136" s="58">
        <v>0</v>
      </c>
      <c r="S136" s="59">
        <f t="shared" si="166"/>
        <v>0</v>
      </c>
      <c r="T136" s="57">
        <f>' WIP '!Z136</f>
        <v>0</v>
      </c>
      <c r="U136" s="58">
        <v>0</v>
      </c>
      <c r="V136" s="59">
        <f t="shared" si="167"/>
        <v>0</v>
      </c>
      <c r="W136" s="57">
        <f>' WIP '!AD136</f>
        <v>0</v>
      </c>
      <c r="X136" s="58">
        <v>0</v>
      </c>
      <c r="Y136" s="59">
        <f t="shared" si="168"/>
        <v>0</v>
      </c>
      <c r="Z136" s="57">
        <f>' WIP '!AH136</f>
        <v>10000</v>
      </c>
      <c r="AA136" s="58">
        <v>10000</v>
      </c>
      <c r="AB136" s="59">
        <f t="shared" si="169"/>
        <v>0</v>
      </c>
      <c r="AC136" s="57">
        <f>' WIP '!AL136</f>
        <v>0</v>
      </c>
      <c r="AD136" s="58">
        <v>0</v>
      </c>
      <c r="AE136" s="59">
        <f t="shared" si="170"/>
        <v>0</v>
      </c>
      <c r="AF136" s="57">
        <f>' WIP '!AP136</f>
        <v>0</v>
      </c>
      <c r="AG136" s="114">
        <v>0</v>
      </c>
      <c r="AH136" s="59">
        <f t="shared" si="171"/>
        <v>0</v>
      </c>
      <c r="AI136" s="57">
        <f>' WIP '!AT136</f>
        <v>0</v>
      </c>
      <c r="AJ136" s="58">
        <v>0</v>
      </c>
      <c r="AK136" s="59">
        <f t="shared" si="172"/>
        <v>0</v>
      </c>
      <c r="AL136" s="57">
        <f>' WIP '!AX136</f>
        <v>0</v>
      </c>
      <c r="AM136" s="58"/>
      <c r="AN136" s="59">
        <f t="shared" si="173"/>
        <v>0</v>
      </c>
      <c r="AO136" s="57">
        <f>' WIP '!BB136</f>
        <v>10000</v>
      </c>
      <c r="AP136" s="58">
        <v>10000</v>
      </c>
      <c r="AQ136" s="59">
        <f t="shared" si="174"/>
        <v>0</v>
      </c>
      <c r="AR136" s="57">
        <f>' WIP '!BF136</f>
        <v>0</v>
      </c>
      <c r="AS136" s="58"/>
      <c r="AT136" s="59">
        <f t="shared" si="175"/>
        <v>0</v>
      </c>
      <c r="AU136" s="57">
        <f>' WIP '!BJ136</f>
        <v>0</v>
      </c>
      <c r="AV136" s="58">
        <v>0</v>
      </c>
      <c r="AW136" s="59">
        <f t="shared" si="176"/>
        <v>0</v>
      </c>
      <c r="AX136" s="57">
        <f>' WIP '!BN136</f>
        <v>0</v>
      </c>
      <c r="AY136" s="58">
        <v>0</v>
      </c>
      <c r="AZ136" s="59">
        <f t="shared" si="177"/>
        <v>0</v>
      </c>
      <c r="BA136" s="57">
        <f>' WIP '!BR136</f>
        <v>0</v>
      </c>
      <c r="BB136" s="58">
        <v>0</v>
      </c>
      <c r="BC136" s="59">
        <f t="shared" si="178"/>
        <v>0</v>
      </c>
      <c r="BD136" s="57">
        <f>' WIP '!BV136</f>
        <v>0</v>
      </c>
      <c r="BE136" s="58">
        <v>0</v>
      </c>
      <c r="BF136" s="59">
        <f t="shared" si="179"/>
        <v>0</v>
      </c>
      <c r="BG136" s="57">
        <f>' WIP '!BZ136</f>
        <v>0</v>
      </c>
      <c r="BH136" s="58"/>
      <c r="BI136" s="59">
        <f t="shared" si="180"/>
        <v>0</v>
      </c>
      <c r="BJ136" s="57">
        <f>' WIP '!CD136</f>
        <v>10000</v>
      </c>
      <c r="BK136" s="58">
        <v>10000</v>
      </c>
      <c r="BL136" s="59">
        <f t="shared" si="181"/>
        <v>0</v>
      </c>
      <c r="BM136" s="57">
        <f>' WIP '!CH136</f>
        <v>0</v>
      </c>
      <c r="BN136" s="58">
        <v>0</v>
      </c>
      <c r="BO136" s="59">
        <f t="shared" si="182"/>
        <v>0</v>
      </c>
      <c r="BP136" s="57">
        <f>' WIP '!CL136</f>
        <v>0</v>
      </c>
      <c r="BQ136" s="58"/>
      <c r="BR136" s="59">
        <f t="shared" si="183"/>
        <v>0</v>
      </c>
      <c r="BS136" s="57">
        <f>' WIP '!CP136</f>
        <v>0</v>
      </c>
      <c r="BT136" s="58">
        <v>0</v>
      </c>
      <c r="BU136" s="59">
        <f t="shared" si="184"/>
        <v>0</v>
      </c>
      <c r="BV136" s="57">
        <f>' WIP '!CT136</f>
        <v>0</v>
      </c>
      <c r="BW136" s="28">
        <v>0</v>
      </c>
      <c r="BX136" s="59">
        <f t="shared" si="185"/>
        <v>0</v>
      </c>
      <c r="BY136" s="57">
        <f>' WIP '!CX136</f>
        <v>0</v>
      </c>
      <c r="BZ136" s="58">
        <v>0</v>
      </c>
      <c r="CA136" s="59">
        <f t="shared" si="186"/>
        <v>0</v>
      </c>
      <c r="CB136" s="57">
        <f>' WIP '!DB136</f>
        <v>0</v>
      </c>
      <c r="CC136" s="58">
        <v>0</v>
      </c>
      <c r="CD136" s="59">
        <f t="shared" si="187"/>
        <v>0</v>
      </c>
      <c r="CE136" s="57">
        <f>' WIP '!DF136</f>
        <v>10000</v>
      </c>
      <c r="CF136" s="58">
        <v>10000</v>
      </c>
      <c r="CG136" s="59">
        <f t="shared" si="188"/>
        <v>0</v>
      </c>
      <c r="CH136" s="57">
        <f>' WIP '!DJ136</f>
        <v>0</v>
      </c>
      <c r="CI136" s="58">
        <v>0</v>
      </c>
      <c r="CJ136" s="59">
        <f t="shared" si="189"/>
        <v>0</v>
      </c>
      <c r="CK136" s="57">
        <f>' WIP '!DN136</f>
        <v>0</v>
      </c>
      <c r="CL136" s="58">
        <v>0</v>
      </c>
      <c r="CM136" s="59">
        <f t="shared" si="190"/>
        <v>0</v>
      </c>
      <c r="CN136" s="57">
        <f>' WIP '!DR136</f>
        <v>0</v>
      </c>
      <c r="CO136" s="57"/>
      <c r="CP136" s="59">
        <f t="shared" si="191"/>
        <v>0</v>
      </c>
      <c r="CQ136" s="57">
        <f>' WIP '!DV136</f>
        <v>0</v>
      </c>
      <c r="CR136" s="58"/>
      <c r="CS136" s="59">
        <f t="shared" si="192"/>
        <v>0</v>
      </c>
      <c r="CT136" s="31">
        <f t="shared" si="193"/>
        <v>40000</v>
      </c>
      <c r="CU136" s="4">
        <f t="shared" si="194"/>
        <v>40000</v>
      </c>
      <c r="CV136" s="5">
        <f>D136*'MASTER SHEET'!D136</f>
        <v>0</v>
      </c>
      <c r="CW136" s="5">
        <f>G136*'MASTER SHEET'!D136</f>
        <v>0</v>
      </c>
      <c r="CX136" s="5">
        <f>J136*'MASTER SHEET'!D136</f>
        <v>0</v>
      </c>
      <c r="CY136" s="5">
        <f>M136*'MASTER SHEET'!D136</f>
        <v>0</v>
      </c>
      <c r="CZ136" s="5">
        <f>P136*'MASTER SHEET'!D136</f>
        <v>0</v>
      </c>
      <c r="DA136" s="5">
        <f>S136*'MASTER SHEET'!D136</f>
        <v>0</v>
      </c>
      <c r="DB136" s="5">
        <f>V136*'MASTER SHEET'!D136</f>
        <v>0</v>
      </c>
      <c r="DC136" s="5">
        <f>Y136*'MASTER SHEET'!D136</f>
        <v>0</v>
      </c>
      <c r="DD136" s="5">
        <f>AB136*'MASTER SHEET'!D136</f>
        <v>0</v>
      </c>
      <c r="DE136" s="5">
        <f>AE136*'MASTER SHEET'!D136</f>
        <v>0</v>
      </c>
      <c r="DF136" s="5">
        <f>AH136*'MASTER SHEET'!D136</f>
        <v>0</v>
      </c>
      <c r="DG136" s="5">
        <f>AK136*'MASTER SHEET'!D136</f>
        <v>0</v>
      </c>
      <c r="DH136" s="5">
        <f>AN136*'MASTER SHEET'!D136</f>
        <v>0</v>
      </c>
      <c r="DI136" s="5">
        <f>AQ136*'MASTER SHEET'!D136</f>
        <v>0</v>
      </c>
      <c r="DJ136" s="5">
        <f>AT136*'MASTER SHEET'!D136</f>
        <v>0</v>
      </c>
      <c r="DK136" s="5">
        <f>AW136*'MASTER SHEET'!D136</f>
        <v>0</v>
      </c>
      <c r="DL136" s="5">
        <f>AZ136*'MASTER SHEET'!D136</f>
        <v>0</v>
      </c>
      <c r="DM136" s="5">
        <f>BC136*'MASTER SHEET'!D136</f>
        <v>0</v>
      </c>
      <c r="DN136" s="5">
        <f>BF136*'MASTER SHEET'!D136</f>
        <v>0</v>
      </c>
      <c r="DO136" s="5">
        <f>BI136*'MASTER SHEET'!D136</f>
        <v>0</v>
      </c>
      <c r="DP136" s="5">
        <f>BL136*'MASTER SHEET'!D136</f>
        <v>0</v>
      </c>
      <c r="DQ136" s="5">
        <f>BO136*'MASTER SHEET'!D136</f>
        <v>0</v>
      </c>
      <c r="DR136" s="5">
        <f>BR136*'MASTER SHEET'!D136</f>
        <v>0</v>
      </c>
      <c r="DS136" s="5">
        <f>BU136*'MASTER SHEET'!D136</f>
        <v>0</v>
      </c>
      <c r="DT136" s="5">
        <f>BX136*'MASTER SHEET'!D136</f>
        <v>0</v>
      </c>
      <c r="DU136" s="5">
        <f>CA136*'MASTER SHEET'!D136</f>
        <v>0</v>
      </c>
      <c r="DV136" s="5">
        <f>CD136*'MASTER SHEET'!D136</f>
        <v>0</v>
      </c>
      <c r="DW136" s="5">
        <f>CG136*'MASTER SHEET'!D136</f>
        <v>0</v>
      </c>
      <c r="DX136" s="5">
        <f>CJ136*'MASTER SHEET'!D136</f>
        <v>0</v>
      </c>
      <c r="DY136" s="5">
        <f>CM136*'MASTER SHEET'!D136</f>
        <v>0</v>
      </c>
      <c r="DZ136" s="5">
        <f>CP136*'MASTER SHEET'!D136</f>
        <v>0</v>
      </c>
      <c r="EA136" s="5">
        <f>CS136*'MASTER SHEET'!D136</f>
        <v>0</v>
      </c>
      <c r="EB136" s="9"/>
    </row>
    <row r="137" spans="1:132" ht="15.75" x14ac:dyDescent="0.25">
      <c r="A137" s="25">
        <f>'MASTER SHEET'!A137</f>
        <v>135</v>
      </c>
      <c r="B137" s="164" t="str">
        <f>'MASTER SHEET'!B137</f>
        <v>ODH BUMP STOP FOR MOTOR ACTUATOR</v>
      </c>
      <c r="C137" s="165" t="str">
        <f>'MASTER SHEET'!C137</f>
        <v>BA00005305</v>
      </c>
      <c r="D137" s="56">
        <v>0</v>
      </c>
      <c r="E137" s="57">
        <f>' WIP '!F137</f>
        <v>9000</v>
      </c>
      <c r="F137" s="58">
        <v>9000</v>
      </c>
      <c r="G137" s="59">
        <f t="shared" si="162"/>
        <v>0</v>
      </c>
      <c r="H137" s="57">
        <f>' WIP '!J137</f>
        <v>0</v>
      </c>
      <c r="I137" s="58">
        <v>0</v>
      </c>
      <c r="J137" s="59">
        <f t="shared" si="163"/>
        <v>0</v>
      </c>
      <c r="K137" s="57">
        <f>' WIP '!N137</f>
        <v>0</v>
      </c>
      <c r="L137" s="58"/>
      <c r="M137" s="59">
        <f t="shared" si="164"/>
        <v>0</v>
      </c>
      <c r="N137" s="57">
        <f>' WIP '!R137</f>
        <v>0</v>
      </c>
      <c r="O137" s="58">
        <v>0</v>
      </c>
      <c r="P137" s="59">
        <f t="shared" si="165"/>
        <v>0</v>
      </c>
      <c r="Q137" s="57">
        <f>' WIP '!V137</f>
        <v>0</v>
      </c>
      <c r="R137" s="58">
        <v>0</v>
      </c>
      <c r="S137" s="59">
        <f t="shared" si="166"/>
        <v>0</v>
      </c>
      <c r="T137" s="57">
        <f>' WIP '!Z137</f>
        <v>0</v>
      </c>
      <c r="U137" s="58">
        <v>0</v>
      </c>
      <c r="V137" s="59">
        <f t="shared" si="167"/>
        <v>0</v>
      </c>
      <c r="W137" s="57">
        <f>' WIP '!AD137</f>
        <v>10000</v>
      </c>
      <c r="X137" s="58">
        <v>10000</v>
      </c>
      <c r="Y137" s="59">
        <f t="shared" si="168"/>
        <v>0</v>
      </c>
      <c r="Z137" s="57">
        <f>' WIP '!AH137</f>
        <v>10000</v>
      </c>
      <c r="AA137" s="58">
        <v>10000</v>
      </c>
      <c r="AB137" s="59">
        <f t="shared" si="169"/>
        <v>0</v>
      </c>
      <c r="AC137" s="57">
        <f>' WIP '!AL137</f>
        <v>10000</v>
      </c>
      <c r="AD137" s="58">
        <v>10000</v>
      </c>
      <c r="AE137" s="59">
        <f t="shared" si="170"/>
        <v>0</v>
      </c>
      <c r="AF137" s="57">
        <f>' WIP '!AP137</f>
        <v>10000</v>
      </c>
      <c r="AG137" s="114">
        <v>10000</v>
      </c>
      <c r="AH137" s="59">
        <f t="shared" si="171"/>
        <v>0</v>
      </c>
      <c r="AI137" s="57">
        <f>' WIP '!AT137</f>
        <v>0</v>
      </c>
      <c r="AJ137" s="58">
        <v>0</v>
      </c>
      <c r="AK137" s="59">
        <f t="shared" si="172"/>
        <v>0</v>
      </c>
      <c r="AL137" s="57">
        <f>' WIP '!AX137</f>
        <v>0</v>
      </c>
      <c r="AM137" s="58"/>
      <c r="AN137" s="59">
        <f t="shared" si="173"/>
        <v>0</v>
      </c>
      <c r="AO137" s="57">
        <f>' WIP '!BB137</f>
        <v>0</v>
      </c>
      <c r="AP137" s="58">
        <v>0</v>
      </c>
      <c r="AQ137" s="59">
        <f t="shared" si="174"/>
        <v>0</v>
      </c>
      <c r="AR137" s="57">
        <f>' WIP '!BF137</f>
        <v>0</v>
      </c>
      <c r="AS137" s="58"/>
      <c r="AT137" s="59">
        <f t="shared" si="175"/>
        <v>0</v>
      </c>
      <c r="AU137" s="57">
        <f>' WIP '!BJ137</f>
        <v>0</v>
      </c>
      <c r="AV137" s="58">
        <v>0</v>
      </c>
      <c r="AW137" s="59">
        <f t="shared" si="176"/>
        <v>0</v>
      </c>
      <c r="AX137" s="57">
        <f>' WIP '!BN137</f>
        <v>0</v>
      </c>
      <c r="AY137" s="58">
        <v>0</v>
      </c>
      <c r="AZ137" s="59">
        <f t="shared" si="177"/>
        <v>0</v>
      </c>
      <c r="BA137" s="57">
        <f>' WIP '!BR137</f>
        <v>10000</v>
      </c>
      <c r="BB137" s="58">
        <v>10000</v>
      </c>
      <c r="BC137" s="59">
        <f t="shared" si="178"/>
        <v>0</v>
      </c>
      <c r="BD137" s="57">
        <f>' WIP '!BV137</f>
        <v>20000</v>
      </c>
      <c r="BE137" s="58">
        <v>20000</v>
      </c>
      <c r="BF137" s="59">
        <f t="shared" si="179"/>
        <v>0</v>
      </c>
      <c r="BG137" s="57">
        <f>' WIP '!BZ137</f>
        <v>0</v>
      </c>
      <c r="BH137" s="58"/>
      <c r="BI137" s="59">
        <f t="shared" si="180"/>
        <v>0</v>
      </c>
      <c r="BJ137" s="57">
        <f>' WIP '!CD137</f>
        <v>10000</v>
      </c>
      <c r="BK137" s="58">
        <v>10000</v>
      </c>
      <c r="BL137" s="59">
        <f t="shared" si="181"/>
        <v>0</v>
      </c>
      <c r="BM137" s="57">
        <f>' WIP '!CH137</f>
        <v>0</v>
      </c>
      <c r="BN137" s="58">
        <v>0</v>
      </c>
      <c r="BO137" s="59">
        <f t="shared" si="182"/>
        <v>0</v>
      </c>
      <c r="BP137" s="57">
        <f>' WIP '!CL137</f>
        <v>0</v>
      </c>
      <c r="BQ137" s="58"/>
      <c r="BR137" s="59">
        <f t="shared" si="183"/>
        <v>0</v>
      </c>
      <c r="BS137" s="57">
        <f>' WIP '!CP137</f>
        <v>0</v>
      </c>
      <c r="BT137" s="58">
        <v>0</v>
      </c>
      <c r="BU137" s="59">
        <f t="shared" si="184"/>
        <v>0</v>
      </c>
      <c r="BV137" s="57">
        <f>' WIP '!CT137</f>
        <v>0</v>
      </c>
      <c r="BW137" s="28">
        <v>0</v>
      </c>
      <c r="BX137" s="59">
        <f t="shared" si="185"/>
        <v>0</v>
      </c>
      <c r="BY137" s="57">
        <f>' WIP '!CX137</f>
        <v>0</v>
      </c>
      <c r="BZ137" s="58">
        <v>0</v>
      </c>
      <c r="CA137" s="59">
        <f t="shared" si="186"/>
        <v>0</v>
      </c>
      <c r="CB137" s="57">
        <f>' WIP '!DB137</f>
        <v>0</v>
      </c>
      <c r="CC137" s="58">
        <v>0</v>
      </c>
      <c r="CD137" s="59">
        <f t="shared" si="187"/>
        <v>0</v>
      </c>
      <c r="CE137" s="57">
        <f>' WIP '!DF137</f>
        <v>0</v>
      </c>
      <c r="CF137" s="58">
        <v>0</v>
      </c>
      <c r="CG137" s="59">
        <f t="shared" si="188"/>
        <v>0</v>
      </c>
      <c r="CH137" s="57">
        <f>' WIP '!DJ137</f>
        <v>0</v>
      </c>
      <c r="CI137" s="58">
        <v>0</v>
      </c>
      <c r="CJ137" s="59">
        <f t="shared" si="189"/>
        <v>0</v>
      </c>
      <c r="CK137" s="57">
        <f>' WIP '!DN137</f>
        <v>0</v>
      </c>
      <c r="CL137" s="58">
        <v>0</v>
      </c>
      <c r="CM137" s="59">
        <f t="shared" si="190"/>
        <v>0</v>
      </c>
      <c r="CN137" s="57">
        <f>' WIP '!DR137</f>
        <v>0</v>
      </c>
      <c r="CO137" s="57"/>
      <c r="CP137" s="59">
        <f t="shared" si="191"/>
        <v>0</v>
      </c>
      <c r="CQ137" s="57">
        <f>' WIP '!DV137</f>
        <v>0</v>
      </c>
      <c r="CR137" s="58"/>
      <c r="CS137" s="59">
        <f t="shared" si="192"/>
        <v>0</v>
      </c>
      <c r="CT137" s="31">
        <f t="shared" si="193"/>
        <v>89000</v>
      </c>
      <c r="CU137" s="4">
        <f t="shared" si="194"/>
        <v>89000</v>
      </c>
      <c r="CV137" s="5">
        <f>D137*'MASTER SHEET'!D137</f>
        <v>0</v>
      </c>
      <c r="CW137" s="5">
        <f>G137*'MASTER SHEET'!D137</f>
        <v>0</v>
      </c>
      <c r="CX137" s="5">
        <f>J137*'MASTER SHEET'!D137</f>
        <v>0</v>
      </c>
      <c r="CY137" s="5">
        <f>M137*'MASTER SHEET'!D137</f>
        <v>0</v>
      </c>
      <c r="CZ137" s="5">
        <f>P137*'MASTER SHEET'!D137</f>
        <v>0</v>
      </c>
      <c r="DA137" s="5">
        <f>S137*'MASTER SHEET'!D137</f>
        <v>0</v>
      </c>
      <c r="DB137" s="5">
        <f>V137*'MASTER SHEET'!D137</f>
        <v>0</v>
      </c>
      <c r="DC137" s="5">
        <f>Y137*'MASTER SHEET'!D137</f>
        <v>0</v>
      </c>
      <c r="DD137" s="5">
        <f>AB137*'MASTER SHEET'!D137</f>
        <v>0</v>
      </c>
      <c r="DE137" s="5">
        <f>AE137*'MASTER SHEET'!D137</f>
        <v>0</v>
      </c>
      <c r="DF137" s="5">
        <f>AH137*'MASTER SHEET'!D137</f>
        <v>0</v>
      </c>
      <c r="DG137" s="5">
        <f>AK137*'MASTER SHEET'!D137</f>
        <v>0</v>
      </c>
      <c r="DH137" s="5">
        <f>AN137*'MASTER SHEET'!D137</f>
        <v>0</v>
      </c>
      <c r="DI137" s="5">
        <f>AQ137*'MASTER SHEET'!D137</f>
        <v>0</v>
      </c>
      <c r="DJ137" s="5">
        <f>AT137*'MASTER SHEET'!D137</f>
        <v>0</v>
      </c>
      <c r="DK137" s="5">
        <f>AW137*'MASTER SHEET'!D137</f>
        <v>0</v>
      </c>
      <c r="DL137" s="5">
        <f>AZ137*'MASTER SHEET'!D137</f>
        <v>0</v>
      </c>
      <c r="DM137" s="5">
        <f>BC137*'MASTER SHEET'!D137</f>
        <v>0</v>
      </c>
      <c r="DN137" s="5">
        <f>BF137*'MASTER SHEET'!D137</f>
        <v>0</v>
      </c>
      <c r="DO137" s="5">
        <f>BI137*'MASTER SHEET'!D137</f>
        <v>0</v>
      </c>
      <c r="DP137" s="5">
        <f>BL137*'MASTER SHEET'!D137</f>
        <v>0</v>
      </c>
      <c r="DQ137" s="5">
        <f>BO137*'MASTER SHEET'!D137</f>
        <v>0</v>
      </c>
      <c r="DR137" s="5">
        <f>BR137*'MASTER SHEET'!D137</f>
        <v>0</v>
      </c>
      <c r="DS137" s="5">
        <f>BU137*'MASTER SHEET'!D137</f>
        <v>0</v>
      </c>
      <c r="DT137" s="5">
        <f>BX137*'MASTER SHEET'!D137</f>
        <v>0</v>
      </c>
      <c r="DU137" s="5">
        <f>CA137*'MASTER SHEET'!D137</f>
        <v>0</v>
      </c>
      <c r="DV137" s="5">
        <f>CD137*'MASTER SHEET'!D137</f>
        <v>0</v>
      </c>
      <c r="DW137" s="5">
        <f>CG137*'MASTER SHEET'!D137</f>
        <v>0</v>
      </c>
      <c r="DX137" s="5">
        <f>CJ137*'MASTER SHEET'!D137</f>
        <v>0</v>
      </c>
      <c r="DY137" s="5">
        <f>CM137*'MASTER SHEET'!D137</f>
        <v>0</v>
      </c>
      <c r="DZ137" s="5">
        <f>CP137*'MASTER SHEET'!D137</f>
        <v>0</v>
      </c>
      <c r="EA137" s="5">
        <f>CS137*'MASTER SHEET'!D137</f>
        <v>0</v>
      </c>
      <c r="EB137" s="9"/>
    </row>
    <row r="138" spans="1:132" ht="15.75" x14ac:dyDescent="0.25">
      <c r="A138" s="25">
        <f>'MASTER SHEET'!A138</f>
        <v>136</v>
      </c>
      <c r="B138" s="164" t="str">
        <f>'MASTER SHEET'!B138</f>
        <v>TIAGO MCE IDH LEVER GRAINED LH</v>
      </c>
      <c r="C138" s="165" t="str">
        <f>'MASTER SHEET'!C138</f>
        <v>CB00004725</v>
      </c>
      <c r="D138" s="56"/>
      <c r="E138" s="57">
        <f>' WIP '!F138</f>
        <v>0</v>
      </c>
      <c r="F138" s="58">
        <v>0</v>
      </c>
      <c r="G138" s="59">
        <f t="shared" si="162"/>
        <v>0</v>
      </c>
      <c r="H138" s="57">
        <f>' WIP '!J138</f>
        <v>0</v>
      </c>
      <c r="I138" s="58">
        <v>0</v>
      </c>
      <c r="J138" s="59">
        <f t="shared" si="163"/>
        <v>0</v>
      </c>
      <c r="K138" s="57">
        <f>' WIP '!N138</f>
        <v>0</v>
      </c>
      <c r="L138" s="58"/>
      <c r="M138" s="59">
        <f t="shared" si="164"/>
        <v>0</v>
      </c>
      <c r="N138" s="57">
        <f>' WIP '!R138</f>
        <v>0</v>
      </c>
      <c r="O138" s="58">
        <v>0</v>
      </c>
      <c r="P138" s="59">
        <f t="shared" si="165"/>
        <v>0</v>
      </c>
      <c r="Q138" s="57">
        <f>' WIP '!V138</f>
        <v>0</v>
      </c>
      <c r="R138" s="58">
        <v>0</v>
      </c>
      <c r="S138" s="59">
        <f t="shared" si="166"/>
        <v>0</v>
      </c>
      <c r="T138" s="57">
        <f>' WIP '!Z138</f>
        <v>0</v>
      </c>
      <c r="U138" s="58">
        <v>0</v>
      </c>
      <c r="V138" s="59">
        <f t="shared" si="167"/>
        <v>0</v>
      </c>
      <c r="W138" s="57">
        <f>' WIP '!AD138</f>
        <v>714</v>
      </c>
      <c r="X138" s="58">
        <v>714</v>
      </c>
      <c r="Y138" s="59">
        <f t="shared" si="168"/>
        <v>0</v>
      </c>
      <c r="Z138" s="57">
        <f>' WIP '!AH138</f>
        <v>2176</v>
      </c>
      <c r="AA138" s="58">
        <v>2176</v>
      </c>
      <c r="AB138" s="59">
        <f t="shared" si="169"/>
        <v>0</v>
      </c>
      <c r="AC138" s="57">
        <f>' WIP '!AL138</f>
        <v>1632</v>
      </c>
      <c r="AD138" s="58">
        <v>1632</v>
      </c>
      <c r="AE138" s="59">
        <f t="shared" si="170"/>
        <v>0</v>
      </c>
      <c r="AF138" s="57">
        <f>' WIP '!AP138</f>
        <v>0</v>
      </c>
      <c r="AG138" s="114">
        <v>0</v>
      </c>
      <c r="AH138" s="59">
        <f t="shared" si="171"/>
        <v>0</v>
      </c>
      <c r="AI138" s="57">
        <f>' WIP '!AT138</f>
        <v>0</v>
      </c>
      <c r="AJ138" s="58">
        <v>0</v>
      </c>
      <c r="AK138" s="59">
        <f t="shared" si="172"/>
        <v>0</v>
      </c>
      <c r="AL138" s="57">
        <f>' WIP '!AX138</f>
        <v>0</v>
      </c>
      <c r="AM138" s="58"/>
      <c r="AN138" s="59">
        <f t="shared" si="173"/>
        <v>0</v>
      </c>
      <c r="AO138" s="57">
        <f>' WIP '!BB138</f>
        <v>918</v>
      </c>
      <c r="AP138" s="58">
        <v>918</v>
      </c>
      <c r="AQ138" s="59">
        <f t="shared" si="174"/>
        <v>0</v>
      </c>
      <c r="AR138" s="57">
        <f>' WIP '!BF138</f>
        <v>2142</v>
      </c>
      <c r="AS138" s="58">
        <v>2142</v>
      </c>
      <c r="AT138" s="59">
        <f t="shared" si="175"/>
        <v>0</v>
      </c>
      <c r="AU138" s="57">
        <f>' WIP '!BJ138</f>
        <v>2176</v>
      </c>
      <c r="AV138" s="58">
        <v>2176</v>
      </c>
      <c r="AW138" s="59">
        <f t="shared" si="176"/>
        <v>0</v>
      </c>
      <c r="AX138" s="57">
        <f>' WIP '!BN138</f>
        <v>0</v>
      </c>
      <c r="AY138" s="58">
        <v>0</v>
      </c>
      <c r="AZ138" s="59">
        <f t="shared" si="177"/>
        <v>0</v>
      </c>
      <c r="BA138" s="57">
        <f>' WIP '!BR138</f>
        <v>0</v>
      </c>
      <c r="BB138" s="58">
        <v>0</v>
      </c>
      <c r="BC138" s="59">
        <f t="shared" si="178"/>
        <v>0</v>
      </c>
      <c r="BD138" s="57">
        <f>' WIP '!BV138</f>
        <v>0</v>
      </c>
      <c r="BE138" s="58">
        <v>0</v>
      </c>
      <c r="BF138" s="59">
        <f t="shared" si="179"/>
        <v>0</v>
      </c>
      <c r="BG138" s="57">
        <f>' WIP '!BZ138</f>
        <v>0</v>
      </c>
      <c r="BH138" s="58"/>
      <c r="BI138" s="59">
        <f t="shared" si="180"/>
        <v>0</v>
      </c>
      <c r="BJ138" s="57">
        <f>' WIP '!CD138</f>
        <v>0</v>
      </c>
      <c r="BK138" s="58">
        <v>0</v>
      </c>
      <c r="BL138" s="59">
        <f t="shared" si="181"/>
        <v>0</v>
      </c>
      <c r="BM138" s="57">
        <f>' WIP '!CH138</f>
        <v>0</v>
      </c>
      <c r="BN138" s="58">
        <v>0</v>
      </c>
      <c r="BO138" s="59">
        <f t="shared" si="182"/>
        <v>0</v>
      </c>
      <c r="BP138" s="57">
        <f>' WIP '!CL138</f>
        <v>0</v>
      </c>
      <c r="BQ138" s="58"/>
      <c r="BR138" s="59">
        <f t="shared" si="183"/>
        <v>0</v>
      </c>
      <c r="BS138" s="57">
        <f>' WIP '!CP138</f>
        <v>2346</v>
      </c>
      <c r="BT138" s="58">
        <v>2346</v>
      </c>
      <c r="BU138" s="59">
        <f t="shared" si="184"/>
        <v>0</v>
      </c>
      <c r="BV138" s="57">
        <f>' WIP '!CT138</f>
        <v>2176</v>
      </c>
      <c r="BW138" s="28">
        <v>2176</v>
      </c>
      <c r="BX138" s="59">
        <f t="shared" si="185"/>
        <v>0</v>
      </c>
      <c r="BY138" s="57">
        <f>' WIP '!CX138</f>
        <v>1088</v>
      </c>
      <c r="BZ138" s="58">
        <v>1088</v>
      </c>
      <c r="CA138" s="59">
        <f t="shared" si="186"/>
        <v>0</v>
      </c>
      <c r="CB138" s="57">
        <f>' WIP '!DB138</f>
        <v>0</v>
      </c>
      <c r="CC138" s="58">
        <v>0</v>
      </c>
      <c r="CD138" s="59">
        <f t="shared" si="187"/>
        <v>0</v>
      </c>
      <c r="CE138" s="57">
        <f>' WIP '!DF138</f>
        <v>272</v>
      </c>
      <c r="CF138" s="58">
        <v>272</v>
      </c>
      <c r="CG138" s="59">
        <f t="shared" si="188"/>
        <v>0</v>
      </c>
      <c r="CH138" s="57">
        <f>' WIP '!DJ138</f>
        <v>0</v>
      </c>
      <c r="CI138" s="58">
        <v>0</v>
      </c>
      <c r="CJ138" s="59">
        <f t="shared" si="189"/>
        <v>0</v>
      </c>
      <c r="CK138" s="57">
        <f>' WIP '!DN138</f>
        <v>0</v>
      </c>
      <c r="CL138" s="58">
        <v>0</v>
      </c>
      <c r="CM138" s="59">
        <f t="shared" si="190"/>
        <v>0</v>
      </c>
      <c r="CN138" s="57">
        <f>' WIP '!DR138</f>
        <v>0</v>
      </c>
      <c r="CO138" s="57"/>
      <c r="CP138" s="59">
        <f t="shared" si="191"/>
        <v>0</v>
      </c>
      <c r="CQ138" s="57">
        <f>' WIP '!DV138</f>
        <v>0</v>
      </c>
      <c r="CR138" s="58"/>
      <c r="CS138" s="59">
        <f t="shared" si="192"/>
        <v>0</v>
      </c>
      <c r="CT138" s="31">
        <f t="shared" si="193"/>
        <v>15640</v>
      </c>
      <c r="CU138" s="4">
        <f t="shared" si="194"/>
        <v>15640</v>
      </c>
      <c r="CV138" s="5">
        <f>D138*'MASTER SHEET'!D138</f>
        <v>0</v>
      </c>
      <c r="CW138" s="5">
        <f>G138*'MASTER SHEET'!D138</f>
        <v>0</v>
      </c>
      <c r="CX138" s="5">
        <f>J138*'MASTER SHEET'!D138</f>
        <v>0</v>
      </c>
      <c r="CY138" s="5">
        <f>M138*'MASTER SHEET'!D138</f>
        <v>0</v>
      </c>
      <c r="CZ138" s="5">
        <f>P138*'MASTER SHEET'!D138</f>
        <v>0</v>
      </c>
      <c r="DA138" s="5">
        <f>S138*'MASTER SHEET'!D138</f>
        <v>0</v>
      </c>
      <c r="DB138" s="5">
        <f>V138*'MASTER SHEET'!D138</f>
        <v>0</v>
      </c>
      <c r="DC138" s="5">
        <f>Y138*'MASTER SHEET'!D138</f>
        <v>0</v>
      </c>
      <c r="DD138" s="5">
        <f>AB138*'MASTER SHEET'!D138</f>
        <v>0</v>
      </c>
      <c r="DE138" s="5">
        <f>AE138*'MASTER SHEET'!D138</f>
        <v>0</v>
      </c>
      <c r="DF138" s="5">
        <f>AH138*'MASTER SHEET'!D138</f>
        <v>0</v>
      </c>
      <c r="DG138" s="5">
        <f>AK138*'MASTER SHEET'!D138</f>
        <v>0</v>
      </c>
      <c r="DH138" s="5">
        <f>AN138*'MASTER SHEET'!D138</f>
        <v>0</v>
      </c>
      <c r="DI138" s="5">
        <f>AQ138*'MASTER SHEET'!D138</f>
        <v>0</v>
      </c>
      <c r="DJ138" s="5">
        <f>AT138*'MASTER SHEET'!D138</f>
        <v>0</v>
      </c>
      <c r="DK138" s="5">
        <f>AW138*'MASTER SHEET'!D138</f>
        <v>0</v>
      </c>
      <c r="DL138" s="5">
        <f>AZ138*'MASTER SHEET'!D138</f>
        <v>0</v>
      </c>
      <c r="DM138" s="5">
        <f>BC138*'MASTER SHEET'!D138</f>
        <v>0</v>
      </c>
      <c r="DN138" s="5">
        <f>BF138*'MASTER SHEET'!D138</f>
        <v>0</v>
      </c>
      <c r="DO138" s="5">
        <f>BI138*'MASTER SHEET'!D138</f>
        <v>0</v>
      </c>
      <c r="DP138" s="5">
        <f>BL138*'MASTER SHEET'!D138</f>
        <v>0</v>
      </c>
      <c r="DQ138" s="5">
        <f>BO138*'MASTER SHEET'!D138</f>
        <v>0</v>
      </c>
      <c r="DR138" s="5">
        <f>BR138*'MASTER SHEET'!D138</f>
        <v>0</v>
      </c>
      <c r="DS138" s="5">
        <f>BU138*'MASTER SHEET'!D138</f>
        <v>0</v>
      </c>
      <c r="DT138" s="5">
        <f>BX138*'MASTER SHEET'!D138</f>
        <v>0</v>
      </c>
      <c r="DU138" s="5">
        <f>CA138*'MASTER SHEET'!D138</f>
        <v>0</v>
      </c>
      <c r="DV138" s="5">
        <f>CD138*'MASTER SHEET'!D138</f>
        <v>0</v>
      </c>
      <c r="DW138" s="5">
        <f>CG138*'MASTER SHEET'!D138</f>
        <v>0</v>
      </c>
      <c r="DX138" s="5">
        <f>CJ138*'MASTER SHEET'!D138</f>
        <v>0</v>
      </c>
      <c r="DY138" s="5">
        <f>CM138*'MASTER SHEET'!D138</f>
        <v>0</v>
      </c>
      <c r="DZ138" s="5">
        <f>CP138*'MASTER SHEET'!D138</f>
        <v>0</v>
      </c>
      <c r="EA138" s="5">
        <f>CS138*'MASTER SHEET'!D138</f>
        <v>0</v>
      </c>
      <c r="EB138" s="9"/>
    </row>
    <row r="139" spans="1:132" ht="15.75" x14ac:dyDescent="0.25">
      <c r="A139" s="25">
        <f>'MASTER SHEET'!A139</f>
        <v>137</v>
      </c>
      <c r="B139" s="164" t="str">
        <f>'MASTER SHEET'!B139</f>
        <v>AIR EXTRACTOR HOUSING</v>
      </c>
      <c r="C139" s="165">
        <f>'MASTER SHEET'!C139</f>
        <v>62185</v>
      </c>
      <c r="D139" s="56">
        <v>0</v>
      </c>
      <c r="E139" s="57">
        <f>' WIP '!F139</f>
        <v>0</v>
      </c>
      <c r="F139" s="58">
        <v>0</v>
      </c>
      <c r="G139" s="59">
        <f t="shared" si="162"/>
        <v>0</v>
      </c>
      <c r="H139" s="57">
        <f>' WIP '!J139</f>
        <v>0</v>
      </c>
      <c r="I139" s="58">
        <v>0</v>
      </c>
      <c r="J139" s="59">
        <f t="shared" si="163"/>
        <v>0</v>
      </c>
      <c r="K139" s="57">
        <f>' WIP '!N139</f>
        <v>0</v>
      </c>
      <c r="L139" s="58"/>
      <c r="M139" s="59">
        <f t="shared" si="164"/>
        <v>0</v>
      </c>
      <c r="N139" s="57">
        <f>' WIP '!R139</f>
        <v>0</v>
      </c>
      <c r="O139" s="58">
        <v>0</v>
      </c>
      <c r="P139" s="59">
        <f t="shared" si="165"/>
        <v>0</v>
      </c>
      <c r="Q139" s="57">
        <f>' WIP '!V139</f>
        <v>0</v>
      </c>
      <c r="R139" s="58">
        <v>0</v>
      </c>
      <c r="S139" s="59">
        <f t="shared" si="166"/>
        <v>0</v>
      </c>
      <c r="T139" s="57">
        <f>' WIP '!Z139</f>
        <v>0</v>
      </c>
      <c r="U139" s="58">
        <v>0</v>
      </c>
      <c r="V139" s="59">
        <f t="shared" si="167"/>
        <v>0</v>
      </c>
      <c r="W139" s="57">
        <f>' WIP '!AD139</f>
        <v>0</v>
      </c>
      <c r="X139" s="58">
        <v>0</v>
      </c>
      <c r="Y139" s="59">
        <f t="shared" si="168"/>
        <v>0</v>
      </c>
      <c r="Z139" s="57">
        <f>' WIP '!AH139</f>
        <v>0</v>
      </c>
      <c r="AA139" s="58">
        <v>0</v>
      </c>
      <c r="AB139" s="59">
        <f t="shared" si="169"/>
        <v>0</v>
      </c>
      <c r="AC139" s="57">
        <f>' WIP '!AL139</f>
        <v>0</v>
      </c>
      <c r="AD139" s="58">
        <v>0</v>
      </c>
      <c r="AE139" s="59">
        <f t="shared" si="170"/>
        <v>0</v>
      </c>
      <c r="AF139" s="57">
        <f>' WIP '!AP139</f>
        <v>0</v>
      </c>
      <c r="AG139" s="114">
        <v>0</v>
      </c>
      <c r="AH139" s="59">
        <f t="shared" si="171"/>
        <v>0</v>
      </c>
      <c r="AI139" s="57">
        <f>' WIP '!AT139</f>
        <v>0</v>
      </c>
      <c r="AJ139" s="58">
        <v>0</v>
      </c>
      <c r="AK139" s="59">
        <f t="shared" si="172"/>
        <v>0</v>
      </c>
      <c r="AL139" s="57">
        <f>' WIP '!AX139</f>
        <v>0</v>
      </c>
      <c r="AM139" s="58"/>
      <c r="AN139" s="59">
        <f t="shared" si="173"/>
        <v>0</v>
      </c>
      <c r="AO139" s="57">
        <f>' WIP '!BB139</f>
        <v>0</v>
      </c>
      <c r="AP139" s="58">
        <v>0</v>
      </c>
      <c r="AQ139" s="59">
        <f t="shared" si="174"/>
        <v>0</v>
      </c>
      <c r="AR139" s="57">
        <f>' WIP '!BF139</f>
        <v>0</v>
      </c>
      <c r="AS139" s="58"/>
      <c r="AT139" s="59">
        <f t="shared" si="175"/>
        <v>0</v>
      </c>
      <c r="AU139" s="57">
        <f>' WIP '!BJ139</f>
        <v>0</v>
      </c>
      <c r="AV139" s="58">
        <v>0</v>
      </c>
      <c r="AW139" s="59">
        <f t="shared" si="176"/>
        <v>0</v>
      </c>
      <c r="AX139" s="57">
        <f>' WIP '!BN139</f>
        <v>0</v>
      </c>
      <c r="AY139" s="58">
        <v>0</v>
      </c>
      <c r="AZ139" s="59">
        <f t="shared" si="177"/>
        <v>0</v>
      </c>
      <c r="BA139" s="57">
        <f>' WIP '!BR139</f>
        <v>0</v>
      </c>
      <c r="BB139" s="58">
        <v>0</v>
      </c>
      <c r="BC139" s="59">
        <f t="shared" si="178"/>
        <v>0</v>
      </c>
      <c r="BD139" s="57">
        <f>' WIP '!BV139</f>
        <v>0</v>
      </c>
      <c r="BE139" s="58">
        <v>0</v>
      </c>
      <c r="BF139" s="59">
        <f t="shared" si="179"/>
        <v>0</v>
      </c>
      <c r="BG139" s="57">
        <f>' WIP '!BZ139</f>
        <v>0</v>
      </c>
      <c r="BH139" s="58"/>
      <c r="BI139" s="59">
        <f t="shared" si="180"/>
        <v>0</v>
      </c>
      <c r="BJ139" s="57">
        <f>' WIP '!CD139</f>
        <v>0</v>
      </c>
      <c r="BK139" s="58">
        <v>0</v>
      </c>
      <c r="BL139" s="59">
        <f t="shared" si="181"/>
        <v>0</v>
      </c>
      <c r="BM139" s="57">
        <f>' WIP '!CH139</f>
        <v>0</v>
      </c>
      <c r="BN139" s="58">
        <v>0</v>
      </c>
      <c r="BO139" s="59">
        <f t="shared" si="182"/>
        <v>0</v>
      </c>
      <c r="BP139" s="57">
        <f>' WIP '!CL139</f>
        <v>0</v>
      </c>
      <c r="BQ139" s="58"/>
      <c r="BR139" s="59">
        <f t="shared" si="183"/>
        <v>0</v>
      </c>
      <c r="BS139" s="57">
        <f>' WIP '!CP139</f>
        <v>0</v>
      </c>
      <c r="BT139" s="58">
        <v>0</v>
      </c>
      <c r="BU139" s="59">
        <f t="shared" si="184"/>
        <v>0</v>
      </c>
      <c r="BV139" s="57">
        <f>' WIP '!CT139</f>
        <v>0</v>
      </c>
      <c r="BW139" s="28">
        <v>0</v>
      </c>
      <c r="BX139" s="59">
        <f t="shared" si="185"/>
        <v>0</v>
      </c>
      <c r="BY139" s="57">
        <f>' WIP '!CX139</f>
        <v>0</v>
      </c>
      <c r="BZ139" s="58">
        <v>0</v>
      </c>
      <c r="CA139" s="59">
        <f t="shared" si="186"/>
        <v>0</v>
      </c>
      <c r="CB139" s="57">
        <f>' WIP '!DB139</f>
        <v>0</v>
      </c>
      <c r="CC139" s="58">
        <v>0</v>
      </c>
      <c r="CD139" s="59">
        <f t="shared" si="187"/>
        <v>0</v>
      </c>
      <c r="CE139" s="57">
        <f>' WIP '!DF139</f>
        <v>0</v>
      </c>
      <c r="CF139" s="58">
        <v>0</v>
      </c>
      <c r="CG139" s="59">
        <f t="shared" si="188"/>
        <v>0</v>
      </c>
      <c r="CH139" s="57">
        <f>' WIP '!DJ139</f>
        <v>0</v>
      </c>
      <c r="CI139" s="58">
        <v>0</v>
      </c>
      <c r="CJ139" s="59">
        <f t="shared" si="189"/>
        <v>0</v>
      </c>
      <c r="CK139" s="57">
        <f>' WIP '!DN139</f>
        <v>0</v>
      </c>
      <c r="CL139" s="58">
        <v>0</v>
      </c>
      <c r="CM139" s="59">
        <f t="shared" si="190"/>
        <v>0</v>
      </c>
      <c r="CN139" s="57">
        <f>' WIP '!DR139</f>
        <v>0</v>
      </c>
      <c r="CO139" s="57"/>
      <c r="CP139" s="59">
        <f t="shared" si="191"/>
        <v>0</v>
      </c>
      <c r="CQ139" s="57">
        <f>' WIP '!DV139</f>
        <v>0</v>
      </c>
      <c r="CR139" s="58"/>
      <c r="CS139" s="59">
        <f t="shared" si="192"/>
        <v>0</v>
      </c>
      <c r="CT139" s="31">
        <f t="shared" si="193"/>
        <v>0</v>
      </c>
      <c r="CU139" s="4">
        <f t="shared" si="194"/>
        <v>0</v>
      </c>
      <c r="CV139" s="5">
        <f>D139*'MASTER SHEET'!D139</f>
        <v>0</v>
      </c>
      <c r="CW139" s="5">
        <f>G139*'MASTER SHEET'!D139</f>
        <v>0</v>
      </c>
      <c r="CX139" s="5">
        <f>J139*'MASTER SHEET'!D139</f>
        <v>0</v>
      </c>
      <c r="CY139" s="5">
        <f>M139*'MASTER SHEET'!D139</f>
        <v>0</v>
      </c>
      <c r="CZ139" s="5">
        <f>P139*'MASTER SHEET'!D139</f>
        <v>0</v>
      </c>
      <c r="DA139" s="5">
        <f>S139*'MASTER SHEET'!D139</f>
        <v>0</v>
      </c>
      <c r="DB139" s="5">
        <f>V139*'MASTER SHEET'!D139</f>
        <v>0</v>
      </c>
      <c r="DC139" s="5">
        <f>Y139*'MASTER SHEET'!D139</f>
        <v>0</v>
      </c>
      <c r="DD139" s="5">
        <f>AB139*'MASTER SHEET'!D139</f>
        <v>0</v>
      </c>
      <c r="DE139" s="5">
        <f>AE139*'MASTER SHEET'!D139</f>
        <v>0</v>
      </c>
      <c r="DF139" s="5">
        <f>AH139*'MASTER SHEET'!D139</f>
        <v>0</v>
      </c>
      <c r="DG139" s="5">
        <f>AK139*'MASTER SHEET'!D139</f>
        <v>0</v>
      </c>
      <c r="DH139" s="5">
        <f>AN139*'MASTER SHEET'!D139</f>
        <v>0</v>
      </c>
      <c r="DI139" s="5">
        <f>AQ139*'MASTER SHEET'!D139</f>
        <v>0</v>
      </c>
      <c r="DJ139" s="5">
        <f>AT139*'MASTER SHEET'!D139</f>
        <v>0</v>
      </c>
      <c r="DK139" s="5">
        <f>AW139*'MASTER SHEET'!D139</f>
        <v>0</v>
      </c>
      <c r="DL139" s="5">
        <f>AZ139*'MASTER SHEET'!D139</f>
        <v>0</v>
      </c>
      <c r="DM139" s="5">
        <f>BC139*'MASTER SHEET'!D139</f>
        <v>0</v>
      </c>
      <c r="DN139" s="5">
        <f>BF139*'MASTER SHEET'!D139</f>
        <v>0</v>
      </c>
      <c r="DO139" s="5">
        <f>BI139*'MASTER SHEET'!D139</f>
        <v>0</v>
      </c>
      <c r="DP139" s="5">
        <f>BL139*'MASTER SHEET'!D139</f>
        <v>0</v>
      </c>
      <c r="DQ139" s="5">
        <f>BO139*'MASTER SHEET'!D139</f>
        <v>0</v>
      </c>
      <c r="DR139" s="5">
        <f>BR139*'MASTER SHEET'!D139</f>
        <v>0</v>
      </c>
      <c r="DS139" s="5">
        <f>BU139*'MASTER SHEET'!D139</f>
        <v>0</v>
      </c>
      <c r="DT139" s="5">
        <f>BX139*'MASTER SHEET'!D139</f>
        <v>0</v>
      </c>
      <c r="DU139" s="5">
        <f>CA139*'MASTER SHEET'!D139</f>
        <v>0</v>
      </c>
      <c r="DV139" s="5">
        <f>CD139*'MASTER SHEET'!D139</f>
        <v>0</v>
      </c>
      <c r="DW139" s="5">
        <f>CG139*'MASTER SHEET'!D139</f>
        <v>0</v>
      </c>
      <c r="DX139" s="5">
        <f>CJ139*'MASTER SHEET'!D139</f>
        <v>0</v>
      </c>
      <c r="DY139" s="5">
        <f>CM139*'MASTER SHEET'!D139</f>
        <v>0</v>
      </c>
      <c r="DZ139" s="5">
        <f>CP139*'MASTER SHEET'!D139</f>
        <v>0</v>
      </c>
      <c r="EA139" s="5">
        <f>CS139*'MASTER SHEET'!D139</f>
        <v>0</v>
      </c>
      <c r="EB139" s="9"/>
    </row>
    <row r="140" spans="1:132" ht="15.75" x14ac:dyDescent="0.25">
      <c r="A140" s="25">
        <f>'MASTER SHEET'!A140</f>
        <v>138</v>
      </c>
      <c r="B140" s="164" t="str">
        <f>'MASTER SHEET'!B140</f>
        <v>W601 ODH CAP FOR DOOR LOCK</v>
      </c>
      <c r="C140" s="165" t="str">
        <f>'MASTER SHEET'!C140</f>
        <v>BA00005294</v>
      </c>
      <c r="D140" s="56">
        <v>0</v>
      </c>
      <c r="E140" s="57">
        <f>' WIP '!F140</f>
        <v>0</v>
      </c>
      <c r="F140" s="58">
        <v>0</v>
      </c>
      <c r="G140" s="59">
        <f t="shared" si="162"/>
        <v>0</v>
      </c>
      <c r="H140" s="57">
        <f>' WIP '!J140</f>
        <v>0</v>
      </c>
      <c r="I140" s="58">
        <v>0</v>
      </c>
      <c r="J140" s="59">
        <f t="shared" si="163"/>
        <v>0</v>
      </c>
      <c r="K140" s="57">
        <f>' WIP '!N140</f>
        <v>0</v>
      </c>
      <c r="L140" s="58"/>
      <c r="M140" s="59">
        <f t="shared" si="164"/>
        <v>0</v>
      </c>
      <c r="N140" s="57">
        <f>' WIP '!R140</f>
        <v>800</v>
      </c>
      <c r="O140" s="58">
        <v>800</v>
      </c>
      <c r="P140" s="59">
        <f t="shared" si="165"/>
        <v>0</v>
      </c>
      <c r="Q140" s="57">
        <f>' WIP '!V140</f>
        <v>2400</v>
      </c>
      <c r="R140" s="58">
        <v>2400</v>
      </c>
      <c r="S140" s="59">
        <f t="shared" si="166"/>
        <v>0</v>
      </c>
      <c r="T140" s="57">
        <f>' WIP '!Z140</f>
        <v>16800</v>
      </c>
      <c r="U140" s="58">
        <v>16800</v>
      </c>
      <c r="V140" s="59">
        <f t="shared" si="167"/>
        <v>0</v>
      </c>
      <c r="W140" s="57">
        <f>' WIP '!AD140</f>
        <v>0</v>
      </c>
      <c r="X140" s="58">
        <v>0</v>
      </c>
      <c r="Y140" s="59">
        <f t="shared" si="168"/>
        <v>0</v>
      </c>
      <c r="Z140" s="57">
        <f>' WIP '!AH140</f>
        <v>0</v>
      </c>
      <c r="AA140" s="58">
        <v>0</v>
      </c>
      <c r="AB140" s="59">
        <f t="shared" si="169"/>
        <v>0</v>
      </c>
      <c r="AC140" s="57">
        <f>' WIP '!AL140</f>
        <v>0</v>
      </c>
      <c r="AD140" s="58">
        <v>0</v>
      </c>
      <c r="AE140" s="59">
        <f t="shared" si="170"/>
        <v>0</v>
      </c>
      <c r="AF140" s="57">
        <f>' WIP '!AP140</f>
        <v>7200</v>
      </c>
      <c r="AG140" s="114">
        <v>7200</v>
      </c>
      <c r="AH140" s="59">
        <f t="shared" si="171"/>
        <v>0</v>
      </c>
      <c r="AI140" s="57">
        <f>' WIP '!AT140</f>
        <v>0</v>
      </c>
      <c r="AJ140" s="58">
        <v>0</v>
      </c>
      <c r="AK140" s="59">
        <f t="shared" si="172"/>
        <v>0</v>
      </c>
      <c r="AL140" s="57">
        <f>' WIP '!AX140</f>
        <v>0</v>
      </c>
      <c r="AM140" s="58"/>
      <c r="AN140" s="59">
        <f t="shared" si="173"/>
        <v>0</v>
      </c>
      <c r="AO140" s="57">
        <f>' WIP '!BB140</f>
        <v>4800</v>
      </c>
      <c r="AP140" s="58">
        <v>4800</v>
      </c>
      <c r="AQ140" s="59">
        <f t="shared" si="174"/>
        <v>0</v>
      </c>
      <c r="AR140" s="57">
        <f>' WIP '!BF140</f>
        <v>1200</v>
      </c>
      <c r="AS140" s="58">
        <v>1200</v>
      </c>
      <c r="AT140" s="59">
        <f t="shared" si="175"/>
        <v>0</v>
      </c>
      <c r="AU140" s="57">
        <f>' WIP '!BJ140</f>
        <v>4800</v>
      </c>
      <c r="AV140" s="58">
        <v>4800</v>
      </c>
      <c r="AW140" s="59">
        <f t="shared" si="176"/>
        <v>0</v>
      </c>
      <c r="AX140" s="57">
        <f>' WIP '!BN140</f>
        <v>3600</v>
      </c>
      <c r="AY140" s="58">
        <v>3600</v>
      </c>
      <c r="AZ140" s="59">
        <f t="shared" si="177"/>
        <v>0</v>
      </c>
      <c r="BA140" s="57">
        <f>' WIP '!BR140</f>
        <v>0</v>
      </c>
      <c r="BB140" s="58">
        <v>0</v>
      </c>
      <c r="BC140" s="59">
        <f t="shared" si="178"/>
        <v>0</v>
      </c>
      <c r="BD140" s="57">
        <f>' WIP '!BV140</f>
        <v>0</v>
      </c>
      <c r="BE140" s="58">
        <v>0</v>
      </c>
      <c r="BF140" s="59">
        <f t="shared" si="179"/>
        <v>0</v>
      </c>
      <c r="BG140" s="57">
        <f>' WIP '!BZ140</f>
        <v>0</v>
      </c>
      <c r="BH140" s="58"/>
      <c r="BI140" s="59">
        <f t="shared" si="180"/>
        <v>0</v>
      </c>
      <c r="BJ140" s="57">
        <f>' WIP '!CD140</f>
        <v>0</v>
      </c>
      <c r="BK140" s="58">
        <v>0</v>
      </c>
      <c r="BL140" s="59">
        <f t="shared" si="181"/>
        <v>0</v>
      </c>
      <c r="BM140" s="57">
        <f>' WIP '!CH140</f>
        <v>0</v>
      </c>
      <c r="BN140" s="58">
        <v>0</v>
      </c>
      <c r="BO140" s="59">
        <f t="shared" si="182"/>
        <v>0</v>
      </c>
      <c r="BP140" s="57">
        <f>' WIP '!CL140</f>
        <v>0</v>
      </c>
      <c r="BQ140" s="58"/>
      <c r="BR140" s="59">
        <f t="shared" si="183"/>
        <v>0</v>
      </c>
      <c r="BS140" s="57">
        <f>' WIP '!CP140</f>
        <v>0</v>
      </c>
      <c r="BT140" s="58">
        <v>0</v>
      </c>
      <c r="BU140" s="59">
        <f t="shared" si="184"/>
        <v>0</v>
      </c>
      <c r="BV140" s="57">
        <f>' WIP '!CT140</f>
        <v>0</v>
      </c>
      <c r="BW140" s="28">
        <v>0</v>
      </c>
      <c r="BX140" s="59">
        <f t="shared" si="185"/>
        <v>0</v>
      </c>
      <c r="BY140" s="57">
        <f>' WIP '!CX140</f>
        <v>0</v>
      </c>
      <c r="BZ140" s="58">
        <v>0</v>
      </c>
      <c r="CA140" s="59">
        <f t="shared" si="186"/>
        <v>0</v>
      </c>
      <c r="CB140" s="57">
        <f>' WIP '!DB140</f>
        <v>0</v>
      </c>
      <c r="CC140" s="58">
        <v>0</v>
      </c>
      <c r="CD140" s="59">
        <f t="shared" si="187"/>
        <v>0</v>
      </c>
      <c r="CE140" s="57">
        <f>' WIP '!DF140</f>
        <v>0</v>
      </c>
      <c r="CF140" s="58">
        <v>0</v>
      </c>
      <c r="CG140" s="59">
        <f t="shared" si="188"/>
        <v>0</v>
      </c>
      <c r="CH140" s="57">
        <f>' WIP '!DJ140</f>
        <v>0</v>
      </c>
      <c r="CI140" s="58">
        <v>0</v>
      </c>
      <c r="CJ140" s="59">
        <f t="shared" si="189"/>
        <v>0</v>
      </c>
      <c r="CK140" s="57">
        <f>' WIP '!DN140</f>
        <v>0</v>
      </c>
      <c r="CL140" s="58">
        <v>0</v>
      </c>
      <c r="CM140" s="59">
        <f t="shared" si="190"/>
        <v>0</v>
      </c>
      <c r="CN140" s="57">
        <f>' WIP '!DR140</f>
        <v>0</v>
      </c>
      <c r="CO140" s="57"/>
      <c r="CP140" s="59">
        <f t="shared" si="191"/>
        <v>0</v>
      </c>
      <c r="CQ140" s="57">
        <f>' WIP '!DV140</f>
        <v>0</v>
      </c>
      <c r="CR140" s="58"/>
      <c r="CS140" s="59">
        <f t="shared" si="192"/>
        <v>0</v>
      </c>
      <c r="CT140" s="31">
        <f t="shared" si="193"/>
        <v>41600</v>
      </c>
      <c r="CU140" s="4">
        <f t="shared" si="194"/>
        <v>41600</v>
      </c>
      <c r="CV140" s="5">
        <f>D140*'MASTER SHEET'!D140</f>
        <v>0</v>
      </c>
      <c r="CW140" s="5">
        <f>G140*'MASTER SHEET'!D140</f>
        <v>0</v>
      </c>
      <c r="CX140" s="5">
        <f>J140*'MASTER SHEET'!D140</f>
        <v>0</v>
      </c>
      <c r="CY140" s="5">
        <f>M140*'MASTER SHEET'!D140</f>
        <v>0</v>
      </c>
      <c r="CZ140" s="5">
        <f>P140*'MASTER SHEET'!D140</f>
        <v>0</v>
      </c>
      <c r="DA140" s="5">
        <f>S140*'MASTER SHEET'!D140</f>
        <v>0</v>
      </c>
      <c r="DB140" s="5">
        <f>V140*'MASTER SHEET'!D140</f>
        <v>0</v>
      </c>
      <c r="DC140" s="5">
        <f>Y140*'MASTER SHEET'!D140</f>
        <v>0</v>
      </c>
      <c r="DD140" s="5">
        <f>AB140*'MASTER SHEET'!D140</f>
        <v>0</v>
      </c>
      <c r="DE140" s="5">
        <f>AE140*'MASTER SHEET'!D140</f>
        <v>0</v>
      </c>
      <c r="DF140" s="5">
        <f>AH140*'MASTER SHEET'!D140</f>
        <v>0</v>
      </c>
      <c r="DG140" s="5">
        <f>AK140*'MASTER SHEET'!D140</f>
        <v>0</v>
      </c>
      <c r="DH140" s="5">
        <f>AN140*'MASTER SHEET'!D140</f>
        <v>0</v>
      </c>
      <c r="DI140" s="5">
        <f>AQ140*'MASTER SHEET'!D140</f>
        <v>0</v>
      </c>
      <c r="DJ140" s="5">
        <f>AT140*'MASTER SHEET'!D140</f>
        <v>0</v>
      </c>
      <c r="DK140" s="5">
        <f>AW140*'MASTER SHEET'!D140</f>
        <v>0</v>
      </c>
      <c r="DL140" s="5">
        <f>AZ140*'MASTER SHEET'!D140</f>
        <v>0</v>
      </c>
      <c r="DM140" s="5">
        <f>BC140*'MASTER SHEET'!D140</f>
        <v>0</v>
      </c>
      <c r="DN140" s="5">
        <f>BF140*'MASTER SHEET'!D140</f>
        <v>0</v>
      </c>
      <c r="DO140" s="5">
        <f>BI140*'MASTER SHEET'!D140</f>
        <v>0</v>
      </c>
      <c r="DP140" s="5">
        <f>BL140*'MASTER SHEET'!D140</f>
        <v>0</v>
      </c>
      <c r="DQ140" s="5">
        <f>BO140*'MASTER SHEET'!D140</f>
        <v>0</v>
      </c>
      <c r="DR140" s="5">
        <f>BR140*'MASTER SHEET'!D140</f>
        <v>0</v>
      </c>
      <c r="DS140" s="5">
        <f>BU140*'MASTER SHEET'!D140</f>
        <v>0</v>
      </c>
      <c r="DT140" s="5">
        <f>BX140*'MASTER SHEET'!D140</f>
        <v>0</v>
      </c>
      <c r="DU140" s="5">
        <f>CA140*'MASTER SHEET'!D140</f>
        <v>0</v>
      </c>
      <c r="DV140" s="5">
        <f>CD140*'MASTER SHEET'!D140</f>
        <v>0</v>
      </c>
      <c r="DW140" s="5">
        <f>CG140*'MASTER SHEET'!D140</f>
        <v>0</v>
      </c>
      <c r="DX140" s="5">
        <f>CJ140*'MASTER SHEET'!D140</f>
        <v>0</v>
      </c>
      <c r="DY140" s="5">
        <f>CM140*'MASTER SHEET'!D140</f>
        <v>0</v>
      </c>
      <c r="DZ140" s="5">
        <f>CP140*'MASTER SHEET'!D140</f>
        <v>0</v>
      </c>
      <c r="EA140" s="5">
        <f>CS140*'MASTER SHEET'!D140</f>
        <v>0</v>
      </c>
      <c r="EB140" s="9"/>
    </row>
    <row r="141" spans="1:132" ht="15.75" x14ac:dyDescent="0.25">
      <c r="A141" s="25">
        <f>'MASTER SHEET'!A141</f>
        <v>139</v>
      </c>
      <c r="B141" s="164" t="str">
        <f>'MASTER SHEET'!B141</f>
        <v>W601 HOUSING FOR PUSH PUSH</v>
      </c>
      <c r="C141" s="165" t="str">
        <f>'MASTER SHEET'!C141</f>
        <v>BB00004913</v>
      </c>
      <c r="D141" s="56">
        <v>0</v>
      </c>
      <c r="E141" s="57">
        <f>' WIP '!F141</f>
        <v>0</v>
      </c>
      <c r="F141" s="58">
        <v>0</v>
      </c>
      <c r="G141" s="59">
        <f t="shared" si="162"/>
        <v>0</v>
      </c>
      <c r="H141" s="57">
        <f>' WIP '!J141</f>
        <v>600</v>
      </c>
      <c r="I141" s="58">
        <v>600</v>
      </c>
      <c r="J141" s="59">
        <f t="shared" si="163"/>
        <v>0</v>
      </c>
      <c r="K141" s="57">
        <f>' WIP '!N141</f>
        <v>0</v>
      </c>
      <c r="L141" s="58"/>
      <c r="M141" s="59">
        <f t="shared" si="164"/>
        <v>0</v>
      </c>
      <c r="N141" s="57">
        <f>' WIP '!R141</f>
        <v>0</v>
      </c>
      <c r="O141" s="58">
        <v>0</v>
      </c>
      <c r="P141" s="59">
        <f t="shared" si="165"/>
        <v>0</v>
      </c>
      <c r="Q141" s="57">
        <f>' WIP '!V141</f>
        <v>0</v>
      </c>
      <c r="R141" s="58">
        <v>0</v>
      </c>
      <c r="S141" s="59">
        <f t="shared" si="166"/>
        <v>0</v>
      </c>
      <c r="T141" s="57">
        <f>' WIP '!Z141</f>
        <v>0</v>
      </c>
      <c r="U141" s="58">
        <v>0</v>
      </c>
      <c r="V141" s="59">
        <f t="shared" si="167"/>
        <v>0</v>
      </c>
      <c r="W141" s="57">
        <f>' WIP '!AD141</f>
        <v>0</v>
      </c>
      <c r="X141" s="58">
        <v>0</v>
      </c>
      <c r="Y141" s="59">
        <f t="shared" si="168"/>
        <v>0</v>
      </c>
      <c r="Z141" s="57">
        <f>' WIP '!AH141</f>
        <v>0</v>
      </c>
      <c r="AA141" s="58">
        <v>0</v>
      </c>
      <c r="AB141" s="59">
        <f t="shared" si="169"/>
        <v>0</v>
      </c>
      <c r="AC141" s="57">
        <f>' WIP '!AL141</f>
        <v>0</v>
      </c>
      <c r="AD141" s="58">
        <v>0</v>
      </c>
      <c r="AE141" s="59">
        <f t="shared" si="170"/>
        <v>0</v>
      </c>
      <c r="AF141" s="57">
        <f>' WIP '!AP141</f>
        <v>0</v>
      </c>
      <c r="AG141" s="114">
        <v>0</v>
      </c>
      <c r="AH141" s="59">
        <f t="shared" si="171"/>
        <v>0</v>
      </c>
      <c r="AI141" s="57">
        <f>' WIP '!AT141</f>
        <v>0</v>
      </c>
      <c r="AJ141" s="58">
        <v>0</v>
      </c>
      <c r="AK141" s="59">
        <f t="shared" si="172"/>
        <v>0</v>
      </c>
      <c r="AL141" s="57">
        <f>' WIP '!AX141</f>
        <v>0</v>
      </c>
      <c r="AM141" s="58"/>
      <c r="AN141" s="59">
        <f t="shared" si="173"/>
        <v>0</v>
      </c>
      <c r="AO141" s="57">
        <f>' WIP '!BB141</f>
        <v>0</v>
      </c>
      <c r="AP141" s="58">
        <v>0</v>
      </c>
      <c r="AQ141" s="59">
        <f t="shared" si="174"/>
        <v>0</v>
      </c>
      <c r="AR141" s="57">
        <f>' WIP '!BF141</f>
        <v>0</v>
      </c>
      <c r="AS141" s="58"/>
      <c r="AT141" s="59">
        <f t="shared" si="175"/>
        <v>0</v>
      </c>
      <c r="AU141" s="57">
        <f>' WIP '!BJ141</f>
        <v>0</v>
      </c>
      <c r="AV141" s="58">
        <v>0</v>
      </c>
      <c r="AW141" s="59">
        <f t="shared" si="176"/>
        <v>0</v>
      </c>
      <c r="AX141" s="57">
        <f>' WIP '!BN141</f>
        <v>0</v>
      </c>
      <c r="AY141" s="58">
        <v>0</v>
      </c>
      <c r="AZ141" s="59">
        <f t="shared" si="177"/>
        <v>0</v>
      </c>
      <c r="BA141" s="57">
        <f>' WIP '!BR141</f>
        <v>0</v>
      </c>
      <c r="BB141" s="58">
        <v>0</v>
      </c>
      <c r="BC141" s="59">
        <f t="shared" si="178"/>
        <v>0</v>
      </c>
      <c r="BD141" s="57">
        <f>' WIP '!BV141</f>
        <v>0</v>
      </c>
      <c r="BE141" s="58">
        <v>0</v>
      </c>
      <c r="BF141" s="59">
        <f t="shared" si="179"/>
        <v>0</v>
      </c>
      <c r="BG141" s="57">
        <f>' WIP '!BZ141</f>
        <v>0</v>
      </c>
      <c r="BH141" s="58"/>
      <c r="BI141" s="59">
        <f t="shared" si="180"/>
        <v>0</v>
      </c>
      <c r="BJ141" s="57">
        <f>' WIP '!CD141</f>
        <v>0</v>
      </c>
      <c r="BK141" s="58">
        <v>0</v>
      </c>
      <c r="BL141" s="59">
        <f t="shared" si="181"/>
        <v>0</v>
      </c>
      <c r="BM141" s="57">
        <f>' WIP '!CH141</f>
        <v>0</v>
      </c>
      <c r="BN141" s="58">
        <v>0</v>
      </c>
      <c r="BO141" s="59">
        <f t="shared" si="182"/>
        <v>0</v>
      </c>
      <c r="BP141" s="57">
        <f>' WIP '!CL141</f>
        <v>5400</v>
      </c>
      <c r="BQ141" s="58">
        <v>5400</v>
      </c>
      <c r="BR141" s="59">
        <f t="shared" si="183"/>
        <v>0</v>
      </c>
      <c r="BS141" s="57">
        <f>' WIP '!CP141</f>
        <v>0</v>
      </c>
      <c r="BT141" s="58">
        <v>0</v>
      </c>
      <c r="BU141" s="59">
        <f t="shared" si="184"/>
        <v>0</v>
      </c>
      <c r="BV141" s="57">
        <f>' WIP '!CT141</f>
        <v>0</v>
      </c>
      <c r="BW141" s="28">
        <v>0</v>
      </c>
      <c r="BX141" s="59">
        <f t="shared" si="185"/>
        <v>0</v>
      </c>
      <c r="BY141" s="57">
        <f>' WIP '!CX141</f>
        <v>0</v>
      </c>
      <c r="BZ141" s="58">
        <v>0</v>
      </c>
      <c r="CA141" s="59">
        <f t="shared" si="186"/>
        <v>0</v>
      </c>
      <c r="CB141" s="57">
        <f>' WIP '!DB141</f>
        <v>0</v>
      </c>
      <c r="CC141" s="58">
        <v>0</v>
      </c>
      <c r="CD141" s="59">
        <f t="shared" si="187"/>
        <v>0</v>
      </c>
      <c r="CE141" s="57">
        <f>' WIP '!DF141</f>
        <v>0</v>
      </c>
      <c r="CF141" s="58">
        <v>0</v>
      </c>
      <c r="CG141" s="59">
        <f t="shared" si="188"/>
        <v>0</v>
      </c>
      <c r="CH141" s="57">
        <f>' WIP '!DJ141</f>
        <v>0</v>
      </c>
      <c r="CI141" s="58">
        <v>0</v>
      </c>
      <c r="CJ141" s="59">
        <f t="shared" si="189"/>
        <v>0</v>
      </c>
      <c r="CK141" s="57">
        <f>' WIP '!DN141</f>
        <v>1600</v>
      </c>
      <c r="CL141" s="58">
        <v>1600</v>
      </c>
      <c r="CM141" s="59">
        <f t="shared" si="190"/>
        <v>0</v>
      </c>
      <c r="CN141" s="57">
        <f>' WIP '!DR141</f>
        <v>0</v>
      </c>
      <c r="CO141" s="57"/>
      <c r="CP141" s="59">
        <f t="shared" si="191"/>
        <v>0</v>
      </c>
      <c r="CQ141" s="57">
        <f>' WIP '!DV141</f>
        <v>0</v>
      </c>
      <c r="CR141" s="58"/>
      <c r="CS141" s="59">
        <f t="shared" si="192"/>
        <v>0</v>
      </c>
      <c r="CT141" s="31">
        <f t="shared" si="193"/>
        <v>7600</v>
      </c>
      <c r="CU141" s="4">
        <f t="shared" si="194"/>
        <v>7600</v>
      </c>
      <c r="CV141" s="5">
        <f>D141*'MASTER SHEET'!D141</f>
        <v>0</v>
      </c>
      <c r="CW141" s="5">
        <f>G141*'MASTER SHEET'!D141</f>
        <v>0</v>
      </c>
      <c r="CX141" s="5">
        <f>J141*'MASTER SHEET'!D141</f>
        <v>0</v>
      </c>
      <c r="CY141" s="5">
        <f>M141*'MASTER SHEET'!D141</f>
        <v>0</v>
      </c>
      <c r="CZ141" s="5">
        <f>P141*'MASTER SHEET'!D141</f>
        <v>0</v>
      </c>
      <c r="DA141" s="5">
        <f>S141*'MASTER SHEET'!D141</f>
        <v>0</v>
      </c>
      <c r="DB141" s="5">
        <f>V141*'MASTER SHEET'!D141</f>
        <v>0</v>
      </c>
      <c r="DC141" s="5">
        <f>Y141*'MASTER SHEET'!D141</f>
        <v>0</v>
      </c>
      <c r="DD141" s="5">
        <f>AB141*'MASTER SHEET'!D141</f>
        <v>0</v>
      </c>
      <c r="DE141" s="5">
        <f>AE141*'MASTER SHEET'!D141</f>
        <v>0</v>
      </c>
      <c r="DF141" s="5">
        <f>AH141*'MASTER SHEET'!D141</f>
        <v>0</v>
      </c>
      <c r="DG141" s="5">
        <f>AK141*'MASTER SHEET'!D141</f>
        <v>0</v>
      </c>
      <c r="DH141" s="5">
        <f>AN141*'MASTER SHEET'!D141</f>
        <v>0</v>
      </c>
      <c r="DI141" s="5">
        <f>AQ141*'MASTER SHEET'!D141</f>
        <v>0</v>
      </c>
      <c r="DJ141" s="5">
        <f>AT141*'MASTER SHEET'!D141</f>
        <v>0</v>
      </c>
      <c r="DK141" s="5">
        <f>AW141*'MASTER SHEET'!D141</f>
        <v>0</v>
      </c>
      <c r="DL141" s="5">
        <f>AZ141*'MASTER SHEET'!D141</f>
        <v>0</v>
      </c>
      <c r="DM141" s="5">
        <f>BC141*'MASTER SHEET'!D141</f>
        <v>0</v>
      </c>
      <c r="DN141" s="5">
        <f>BF141*'MASTER SHEET'!D141</f>
        <v>0</v>
      </c>
      <c r="DO141" s="5">
        <f>BI141*'MASTER SHEET'!D141</f>
        <v>0</v>
      </c>
      <c r="DP141" s="5">
        <f>BL141*'MASTER SHEET'!D141</f>
        <v>0</v>
      </c>
      <c r="DQ141" s="5">
        <f>BO141*'MASTER SHEET'!D141</f>
        <v>0</v>
      </c>
      <c r="DR141" s="5">
        <f>BR141*'MASTER SHEET'!D141</f>
        <v>0</v>
      </c>
      <c r="DS141" s="5">
        <f>BU141*'MASTER SHEET'!D141</f>
        <v>0</v>
      </c>
      <c r="DT141" s="5">
        <f>BX141*'MASTER SHEET'!D141</f>
        <v>0</v>
      </c>
      <c r="DU141" s="5">
        <f>CA141*'MASTER SHEET'!D141</f>
        <v>0</v>
      </c>
      <c r="DV141" s="5">
        <f>CD141*'MASTER SHEET'!D141</f>
        <v>0</v>
      </c>
      <c r="DW141" s="5">
        <f>CG141*'MASTER SHEET'!D141</f>
        <v>0</v>
      </c>
      <c r="DX141" s="5">
        <f>CJ141*'MASTER SHEET'!D141</f>
        <v>0</v>
      </c>
      <c r="DY141" s="5">
        <f>CM141*'MASTER SHEET'!D141</f>
        <v>0</v>
      </c>
      <c r="DZ141" s="5">
        <f>CP141*'MASTER SHEET'!D141</f>
        <v>0</v>
      </c>
      <c r="EA141" s="5">
        <f>CS141*'MASTER SHEET'!D141</f>
        <v>0</v>
      </c>
      <c r="EB141" s="9"/>
    </row>
    <row r="142" spans="1:132" ht="15.75" x14ac:dyDescent="0.25">
      <c r="A142" s="25">
        <f>'MASTER SHEET'!A142</f>
        <v>140</v>
      </c>
      <c r="B142" s="164" t="str">
        <f>'MASTER SHEET'!B142</f>
        <v>W601 HOUSING SEAL LH</v>
      </c>
      <c r="C142" s="165" t="str">
        <f>'MASTER SHEET'!C142</f>
        <v>BB00005299</v>
      </c>
      <c r="D142" s="56">
        <v>0</v>
      </c>
      <c r="E142" s="57">
        <f>' WIP '!F142</f>
        <v>400</v>
      </c>
      <c r="F142" s="58">
        <v>400</v>
      </c>
      <c r="G142" s="59">
        <f t="shared" si="162"/>
        <v>0</v>
      </c>
      <c r="H142" s="57">
        <f>' WIP '!J142</f>
        <v>1800</v>
      </c>
      <c r="I142" s="58">
        <v>1800</v>
      </c>
      <c r="J142" s="59">
        <f t="shared" si="163"/>
        <v>0</v>
      </c>
      <c r="K142" s="57">
        <f>' WIP '!N142</f>
        <v>0</v>
      </c>
      <c r="L142" s="58"/>
      <c r="M142" s="59">
        <f t="shared" si="164"/>
        <v>0</v>
      </c>
      <c r="N142" s="57">
        <f>' WIP '!R142</f>
        <v>2700</v>
      </c>
      <c r="O142" s="58">
        <v>2700</v>
      </c>
      <c r="P142" s="59">
        <f t="shared" si="165"/>
        <v>0</v>
      </c>
      <c r="Q142" s="57">
        <f>' WIP '!V142</f>
        <v>1800</v>
      </c>
      <c r="R142" s="58">
        <v>1800</v>
      </c>
      <c r="S142" s="59">
        <f t="shared" si="166"/>
        <v>0</v>
      </c>
      <c r="T142" s="57">
        <f>' WIP '!Z142</f>
        <v>3600</v>
      </c>
      <c r="U142" s="58">
        <v>3600</v>
      </c>
      <c r="V142" s="59">
        <f t="shared" si="167"/>
        <v>0</v>
      </c>
      <c r="W142" s="57">
        <f>' WIP '!AD142</f>
        <v>0</v>
      </c>
      <c r="X142" s="58">
        <v>0</v>
      </c>
      <c r="Y142" s="59">
        <f t="shared" si="168"/>
        <v>0</v>
      </c>
      <c r="Z142" s="57">
        <f>' WIP '!AH142</f>
        <v>0</v>
      </c>
      <c r="AA142" s="58">
        <v>0</v>
      </c>
      <c r="AB142" s="59">
        <f t="shared" si="169"/>
        <v>0</v>
      </c>
      <c r="AC142" s="57">
        <f>' WIP '!AL142</f>
        <v>0</v>
      </c>
      <c r="AD142" s="58">
        <v>0</v>
      </c>
      <c r="AE142" s="59">
        <f t="shared" si="170"/>
        <v>0</v>
      </c>
      <c r="AF142" s="57">
        <f>' WIP '!AP142</f>
        <v>1800</v>
      </c>
      <c r="AG142" s="114">
        <v>1800</v>
      </c>
      <c r="AH142" s="59">
        <f t="shared" si="171"/>
        <v>0</v>
      </c>
      <c r="AI142" s="57">
        <f>' WIP '!AT142</f>
        <v>1800</v>
      </c>
      <c r="AJ142" s="58">
        <v>1800</v>
      </c>
      <c r="AK142" s="59">
        <f t="shared" si="172"/>
        <v>0</v>
      </c>
      <c r="AL142" s="57">
        <f>' WIP '!AX142</f>
        <v>0</v>
      </c>
      <c r="AM142" s="58"/>
      <c r="AN142" s="59">
        <f t="shared" si="173"/>
        <v>0</v>
      </c>
      <c r="AO142" s="57">
        <f>' WIP '!BB142</f>
        <v>3600</v>
      </c>
      <c r="AP142" s="58">
        <v>3600</v>
      </c>
      <c r="AQ142" s="59">
        <f t="shared" si="174"/>
        <v>0</v>
      </c>
      <c r="AR142" s="57">
        <f>' WIP '!BF142</f>
        <v>1800</v>
      </c>
      <c r="AS142" s="58">
        <v>1800</v>
      </c>
      <c r="AT142" s="59">
        <f t="shared" si="175"/>
        <v>0</v>
      </c>
      <c r="AU142" s="57">
        <f>' WIP '!BJ142</f>
        <v>1800</v>
      </c>
      <c r="AV142" s="58">
        <v>1800</v>
      </c>
      <c r="AW142" s="59">
        <f t="shared" si="176"/>
        <v>0</v>
      </c>
      <c r="AX142" s="57">
        <f>' WIP '!BN142</f>
        <v>0</v>
      </c>
      <c r="AY142" s="58">
        <v>0</v>
      </c>
      <c r="AZ142" s="59">
        <f t="shared" si="177"/>
        <v>0</v>
      </c>
      <c r="BA142" s="57">
        <f>' WIP '!BR142</f>
        <v>0</v>
      </c>
      <c r="BB142" s="58">
        <v>0</v>
      </c>
      <c r="BC142" s="59">
        <f t="shared" si="178"/>
        <v>0</v>
      </c>
      <c r="BD142" s="57">
        <f>' WIP '!BV142</f>
        <v>0</v>
      </c>
      <c r="BE142" s="58">
        <v>0</v>
      </c>
      <c r="BF142" s="59">
        <f t="shared" si="179"/>
        <v>0</v>
      </c>
      <c r="BG142" s="57">
        <f>' WIP '!BZ142</f>
        <v>0</v>
      </c>
      <c r="BH142" s="58"/>
      <c r="BI142" s="59">
        <f t="shared" si="180"/>
        <v>0</v>
      </c>
      <c r="BJ142" s="57">
        <f>' WIP '!CD142</f>
        <v>0</v>
      </c>
      <c r="BK142" s="58">
        <v>0</v>
      </c>
      <c r="BL142" s="59">
        <f t="shared" si="181"/>
        <v>0</v>
      </c>
      <c r="BM142" s="57">
        <f>' WIP '!CH142</f>
        <v>0</v>
      </c>
      <c r="BN142" s="58">
        <v>0</v>
      </c>
      <c r="BO142" s="59">
        <f t="shared" si="182"/>
        <v>0</v>
      </c>
      <c r="BP142" s="57">
        <f>' WIP '!CL142</f>
        <v>0</v>
      </c>
      <c r="BQ142" s="58"/>
      <c r="BR142" s="59">
        <f t="shared" si="183"/>
        <v>0</v>
      </c>
      <c r="BS142" s="57">
        <f>' WIP '!CP142</f>
        <v>1800</v>
      </c>
      <c r="BT142" s="58">
        <v>1800</v>
      </c>
      <c r="BU142" s="59">
        <f t="shared" si="184"/>
        <v>0</v>
      </c>
      <c r="BV142" s="57">
        <f>' WIP '!CT142</f>
        <v>0</v>
      </c>
      <c r="BW142" s="28">
        <v>0</v>
      </c>
      <c r="BX142" s="59">
        <f t="shared" si="185"/>
        <v>0</v>
      </c>
      <c r="BY142" s="57">
        <f>' WIP '!CX142</f>
        <v>0</v>
      </c>
      <c r="BZ142" s="58">
        <v>0</v>
      </c>
      <c r="CA142" s="59">
        <f t="shared" si="186"/>
        <v>0</v>
      </c>
      <c r="CB142" s="57">
        <f>' WIP '!DB142</f>
        <v>0</v>
      </c>
      <c r="CC142" s="58">
        <v>0</v>
      </c>
      <c r="CD142" s="59">
        <f t="shared" si="187"/>
        <v>0</v>
      </c>
      <c r="CE142" s="57">
        <f>' WIP '!DF142</f>
        <v>0</v>
      </c>
      <c r="CF142" s="58">
        <v>0</v>
      </c>
      <c r="CG142" s="59">
        <f t="shared" si="188"/>
        <v>0</v>
      </c>
      <c r="CH142" s="57">
        <f>' WIP '!DJ142</f>
        <v>0</v>
      </c>
      <c r="CI142" s="58">
        <v>0</v>
      </c>
      <c r="CJ142" s="59">
        <f t="shared" si="189"/>
        <v>0</v>
      </c>
      <c r="CK142" s="57">
        <f>' WIP '!DN142</f>
        <v>1800</v>
      </c>
      <c r="CL142" s="58">
        <v>1800</v>
      </c>
      <c r="CM142" s="59">
        <f t="shared" si="190"/>
        <v>0</v>
      </c>
      <c r="CN142" s="57">
        <f>' WIP '!DR142</f>
        <v>0</v>
      </c>
      <c r="CO142" s="57"/>
      <c r="CP142" s="59">
        <f t="shared" si="191"/>
        <v>0</v>
      </c>
      <c r="CQ142" s="57">
        <f>' WIP '!DV142</f>
        <v>0</v>
      </c>
      <c r="CR142" s="58"/>
      <c r="CS142" s="59">
        <f t="shared" si="192"/>
        <v>0</v>
      </c>
      <c r="CT142" s="31">
        <f t="shared" si="193"/>
        <v>24700</v>
      </c>
      <c r="CU142" s="4">
        <f t="shared" si="194"/>
        <v>24700</v>
      </c>
      <c r="CV142" s="5">
        <f>D142*'MASTER SHEET'!D142</f>
        <v>0</v>
      </c>
      <c r="CW142" s="5">
        <f>G142*'MASTER SHEET'!D142</f>
        <v>0</v>
      </c>
      <c r="CX142" s="5">
        <f>J142*'MASTER SHEET'!D142</f>
        <v>0</v>
      </c>
      <c r="CY142" s="5">
        <f>M142*'MASTER SHEET'!D142</f>
        <v>0</v>
      </c>
      <c r="CZ142" s="5">
        <f>P142*'MASTER SHEET'!D142</f>
        <v>0</v>
      </c>
      <c r="DA142" s="5">
        <f>S142*'MASTER SHEET'!D142</f>
        <v>0</v>
      </c>
      <c r="DB142" s="5">
        <f>V142*'MASTER SHEET'!D142</f>
        <v>0</v>
      </c>
      <c r="DC142" s="5">
        <f>Y142*'MASTER SHEET'!D142</f>
        <v>0</v>
      </c>
      <c r="DD142" s="5">
        <f>AB142*'MASTER SHEET'!D142</f>
        <v>0</v>
      </c>
      <c r="DE142" s="5">
        <f>AE142*'MASTER SHEET'!D142</f>
        <v>0</v>
      </c>
      <c r="DF142" s="5">
        <f>AH142*'MASTER SHEET'!D142</f>
        <v>0</v>
      </c>
      <c r="DG142" s="5">
        <f>AK142*'MASTER SHEET'!D142</f>
        <v>0</v>
      </c>
      <c r="DH142" s="5">
        <f>AN142*'MASTER SHEET'!D142</f>
        <v>0</v>
      </c>
      <c r="DI142" s="5">
        <f>AQ142*'MASTER SHEET'!D142</f>
        <v>0</v>
      </c>
      <c r="DJ142" s="5">
        <f>AT142*'MASTER SHEET'!D142</f>
        <v>0</v>
      </c>
      <c r="DK142" s="5">
        <f>AW142*'MASTER SHEET'!D142</f>
        <v>0</v>
      </c>
      <c r="DL142" s="5">
        <f>AZ142*'MASTER SHEET'!D142</f>
        <v>0</v>
      </c>
      <c r="DM142" s="5">
        <f>BC142*'MASTER SHEET'!D142</f>
        <v>0</v>
      </c>
      <c r="DN142" s="5">
        <f>BF142*'MASTER SHEET'!D142</f>
        <v>0</v>
      </c>
      <c r="DO142" s="5">
        <f>BI142*'MASTER SHEET'!D142</f>
        <v>0</v>
      </c>
      <c r="DP142" s="5">
        <f>BL142*'MASTER SHEET'!D142</f>
        <v>0</v>
      </c>
      <c r="DQ142" s="5">
        <f>BO142*'MASTER SHEET'!D142</f>
        <v>0</v>
      </c>
      <c r="DR142" s="5">
        <f>BR142*'MASTER SHEET'!D142</f>
        <v>0</v>
      </c>
      <c r="DS142" s="5">
        <f>BU142*'MASTER SHEET'!D142</f>
        <v>0</v>
      </c>
      <c r="DT142" s="5">
        <f>BX142*'MASTER SHEET'!D142</f>
        <v>0</v>
      </c>
      <c r="DU142" s="5">
        <f>CA142*'MASTER SHEET'!D142</f>
        <v>0</v>
      </c>
      <c r="DV142" s="5">
        <f>CD142*'MASTER SHEET'!D142</f>
        <v>0</v>
      </c>
      <c r="DW142" s="5">
        <f>CG142*'MASTER SHEET'!D142</f>
        <v>0</v>
      </c>
      <c r="DX142" s="5">
        <f>CJ142*'MASTER SHEET'!D142</f>
        <v>0</v>
      </c>
      <c r="DY142" s="5">
        <f>CM142*'MASTER SHEET'!D142</f>
        <v>0</v>
      </c>
      <c r="DZ142" s="5">
        <f>CP142*'MASTER SHEET'!D142</f>
        <v>0</v>
      </c>
      <c r="EA142" s="5">
        <f>CS142*'MASTER SHEET'!D142</f>
        <v>0</v>
      </c>
      <c r="EB142" s="9"/>
    </row>
    <row r="143" spans="1:132" ht="15.75" x14ac:dyDescent="0.25">
      <c r="A143" s="25">
        <f>'MASTER SHEET'!A143</f>
        <v>141</v>
      </c>
      <c r="B143" s="164" t="str">
        <f>'MASTER SHEET'!B143</f>
        <v>W601 HOUSING SEAL RH</v>
      </c>
      <c r="C143" s="165" t="str">
        <f>'MASTER SHEET'!C143</f>
        <v>BC00005292</v>
      </c>
      <c r="D143" s="56">
        <v>0</v>
      </c>
      <c r="E143" s="57">
        <f>' WIP '!F143</f>
        <v>400</v>
      </c>
      <c r="F143" s="58">
        <v>400</v>
      </c>
      <c r="G143" s="59">
        <f t="shared" ref="G143:G165" si="195">D143+E143-F143</f>
        <v>0</v>
      </c>
      <c r="H143" s="57">
        <f>' WIP '!J143</f>
        <v>1800</v>
      </c>
      <c r="I143" s="58">
        <v>1800</v>
      </c>
      <c r="J143" s="59">
        <f t="shared" ref="J143:J165" si="196">G143+H143-I143</f>
        <v>0</v>
      </c>
      <c r="K143" s="57">
        <f>' WIP '!N143</f>
        <v>0</v>
      </c>
      <c r="L143" s="58"/>
      <c r="M143" s="59">
        <f t="shared" ref="M143:M165" si="197">J143+K143-L143</f>
        <v>0</v>
      </c>
      <c r="N143" s="57">
        <f>' WIP '!R143</f>
        <v>2700</v>
      </c>
      <c r="O143" s="58">
        <v>2700</v>
      </c>
      <c r="P143" s="59">
        <f t="shared" ref="P143:P165" si="198">M143+N143-O143</f>
        <v>0</v>
      </c>
      <c r="Q143" s="57">
        <f>' WIP '!V143</f>
        <v>1800</v>
      </c>
      <c r="R143" s="58">
        <v>1800</v>
      </c>
      <c r="S143" s="59">
        <f t="shared" ref="S143:S165" si="199">P143+Q143-R143</f>
        <v>0</v>
      </c>
      <c r="T143" s="57">
        <f>' WIP '!Z143</f>
        <v>3600</v>
      </c>
      <c r="U143" s="58">
        <v>3600</v>
      </c>
      <c r="V143" s="59">
        <f t="shared" ref="V143:V165" si="200">S143+T143-U143</f>
        <v>0</v>
      </c>
      <c r="W143" s="57">
        <f>' WIP '!AD143</f>
        <v>0</v>
      </c>
      <c r="X143" s="58">
        <v>0</v>
      </c>
      <c r="Y143" s="59">
        <f t="shared" ref="Y143:Y165" si="201">V143+W143-X143</f>
        <v>0</v>
      </c>
      <c r="Z143" s="57">
        <f>' WIP '!AH143</f>
        <v>0</v>
      </c>
      <c r="AA143" s="58">
        <v>0</v>
      </c>
      <c r="AB143" s="59">
        <f t="shared" ref="AB143:AB165" si="202">Y143+Z143-AA143</f>
        <v>0</v>
      </c>
      <c r="AC143" s="57">
        <f>' WIP '!AL143</f>
        <v>0</v>
      </c>
      <c r="AD143" s="58">
        <v>0</v>
      </c>
      <c r="AE143" s="59">
        <f t="shared" ref="AE143:AE165" si="203">AB143+AC143-AD143</f>
        <v>0</v>
      </c>
      <c r="AF143" s="57">
        <f>' WIP '!AP143</f>
        <v>1800</v>
      </c>
      <c r="AG143" s="114">
        <v>1800</v>
      </c>
      <c r="AH143" s="59">
        <f t="shared" ref="AH143:AH165" si="204">AE143+AF143-AG143</f>
        <v>0</v>
      </c>
      <c r="AI143" s="57">
        <f>' WIP '!AT143</f>
        <v>1800</v>
      </c>
      <c r="AJ143" s="58">
        <v>1800</v>
      </c>
      <c r="AK143" s="59">
        <f t="shared" ref="AK143:AK165" si="205">AH143+AI143-AJ143</f>
        <v>0</v>
      </c>
      <c r="AL143" s="57">
        <f>' WIP '!AX143</f>
        <v>0</v>
      </c>
      <c r="AM143" s="58"/>
      <c r="AN143" s="59">
        <f t="shared" ref="AN143:AN165" si="206">AK143+AL143-AM143</f>
        <v>0</v>
      </c>
      <c r="AO143" s="57">
        <f>' WIP '!BB143</f>
        <v>3600</v>
      </c>
      <c r="AP143" s="58">
        <v>3600</v>
      </c>
      <c r="AQ143" s="59">
        <f t="shared" ref="AQ143:AQ165" si="207">AN143+AO143-AP143</f>
        <v>0</v>
      </c>
      <c r="AR143" s="57">
        <f>' WIP '!BF143</f>
        <v>1800</v>
      </c>
      <c r="AS143" s="58">
        <v>1800</v>
      </c>
      <c r="AT143" s="59">
        <f t="shared" ref="AT143:AT165" si="208">AQ143+AR143-AS143</f>
        <v>0</v>
      </c>
      <c r="AU143" s="57">
        <f>' WIP '!BJ143</f>
        <v>1800</v>
      </c>
      <c r="AV143" s="58">
        <v>1800</v>
      </c>
      <c r="AW143" s="59">
        <f t="shared" ref="AW143:AW165" si="209">AT143+AU143-AV143</f>
        <v>0</v>
      </c>
      <c r="AX143" s="57">
        <f>' WIP '!BN143</f>
        <v>0</v>
      </c>
      <c r="AY143" s="58">
        <v>0</v>
      </c>
      <c r="AZ143" s="59">
        <f t="shared" ref="AZ143:AZ165" si="210">AW143+AX143-AY143</f>
        <v>0</v>
      </c>
      <c r="BA143" s="57">
        <f>' WIP '!BR143</f>
        <v>0</v>
      </c>
      <c r="BB143" s="58">
        <v>0</v>
      </c>
      <c r="BC143" s="59">
        <f t="shared" ref="BC143:BC165" si="211">AZ143+BA143-BB143</f>
        <v>0</v>
      </c>
      <c r="BD143" s="57">
        <f>' WIP '!BV143</f>
        <v>0</v>
      </c>
      <c r="BE143" s="58">
        <v>0</v>
      </c>
      <c r="BF143" s="59">
        <f t="shared" ref="BF143:BF165" si="212">BC143+BD143-BE143</f>
        <v>0</v>
      </c>
      <c r="BG143" s="57">
        <f>' WIP '!BZ143</f>
        <v>0</v>
      </c>
      <c r="BH143" s="58"/>
      <c r="BI143" s="59">
        <f t="shared" ref="BI143:BI165" si="213">BF143+BG143-BH143</f>
        <v>0</v>
      </c>
      <c r="BJ143" s="57">
        <f>' WIP '!CD143</f>
        <v>0</v>
      </c>
      <c r="BK143" s="58">
        <v>0</v>
      </c>
      <c r="BL143" s="59">
        <f t="shared" ref="BL143:BL165" si="214">BI143+BJ143-BK143</f>
        <v>0</v>
      </c>
      <c r="BM143" s="57">
        <f>' WIP '!CH143</f>
        <v>0</v>
      </c>
      <c r="BN143" s="58">
        <v>0</v>
      </c>
      <c r="BO143" s="59">
        <f t="shared" ref="BO143:BO165" si="215">BL143+BM143-BN143</f>
        <v>0</v>
      </c>
      <c r="BP143" s="57">
        <f>' WIP '!CL143</f>
        <v>0</v>
      </c>
      <c r="BQ143" s="58"/>
      <c r="BR143" s="59">
        <f t="shared" ref="BR143:BR165" si="216">BO143+BP143-BQ143</f>
        <v>0</v>
      </c>
      <c r="BS143" s="57">
        <f>' WIP '!CP143</f>
        <v>1800</v>
      </c>
      <c r="BT143" s="58">
        <v>1800</v>
      </c>
      <c r="BU143" s="59">
        <f t="shared" ref="BU143:BU165" si="217">BR143+BS143-BT143</f>
        <v>0</v>
      </c>
      <c r="BV143" s="57">
        <f>' WIP '!CT143</f>
        <v>0</v>
      </c>
      <c r="BW143" s="28">
        <v>0</v>
      </c>
      <c r="BX143" s="59">
        <f t="shared" ref="BX143:BX165" si="218">BU143+BV143-BW143</f>
        <v>0</v>
      </c>
      <c r="BY143" s="57">
        <f>' WIP '!CX143</f>
        <v>0</v>
      </c>
      <c r="BZ143" s="58">
        <v>0</v>
      </c>
      <c r="CA143" s="59">
        <f t="shared" ref="CA143:CA165" si="219">BX143+BY143-BZ143</f>
        <v>0</v>
      </c>
      <c r="CB143" s="57">
        <f>' WIP '!DB143</f>
        <v>0</v>
      </c>
      <c r="CC143" s="58">
        <v>0</v>
      </c>
      <c r="CD143" s="59">
        <f t="shared" ref="CD143:CD165" si="220">CA143+CB143-CC143</f>
        <v>0</v>
      </c>
      <c r="CE143" s="57">
        <f>' WIP '!DF143</f>
        <v>0</v>
      </c>
      <c r="CF143" s="58">
        <v>0</v>
      </c>
      <c r="CG143" s="59">
        <f t="shared" ref="CG143:CG165" si="221">CD143+CE143-CF143</f>
        <v>0</v>
      </c>
      <c r="CH143" s="57">
        <f>' WIP '!DJ143</f>
        <v>0</v>
      </c>
      <c r="CI143" s="58">
        <v>0</v>
      </c>
      <c r="CJ143" s="59">
        <f t="shared" ref="CJ143:CJ165" si="222">CG143+CH143-CI143</f>
        <v>0</v>
      </c>
      <c r="CK143" s="57">
        <f>' WIP '!DN143</f>
        <v>1800</v>
      </c>
      <c r="CL143" s="58">
        <v>1800</v>
      </c>
      <c r="CM143" s="59">
        <f t="shared" ref="CM143:CM165" si="223">CJ143+CK143-CL143</f>
        <v>0</v>
      </c>
      <c r="CN143" s="57">
        <f>' WIP '!DR143</f>
        <v>0</v>
      </c>
      <c r="CO143" s="57"/>
      <c r="CP143" s="59">
        <f t="shared" ref="CP143:CP165" si="224">CM143+CN143-CO143</f>
        <v>0</v>
      </c>
      <c r="CQ143" s="57">
        <f>' WIP '!DV143</f>
        <v>0</v>
      </c>
      <c r="CR143" s="58"/>
      <c r="CS143" s="59">
        <f t="shared" ref="CS143:CS165" si="225">CP143+CQ143-CR143</f>
        <v>0</v>
      </c>
      <c r="CT143" s="31">
        <f t="shared" si="193"/>
        <v>24700</v>
      </c>
      <c r="CU143" s="4">
        <f t="shared" si="194"/>
        <v>24700</v>
      </c>
      <c r="CV143" s="5">
        <f>D143*'MASTER SHEET'!D143</f>
        <v>0</v>
      </c>
      <c r="CW143" s="5">
        <f>G143*'MASTER SHEET'!D143</f>
        <v>0</v>
      </c>
      <c r="CX143" s="5">
        <f>J143*'MASTER SHEET'!D143</f>
        <v>0</v>
      </c>
      <c r="CY143" s="5">
        <f>M143*'MASTER SHEET'!D143</f>
        <v>0</v>
      </c>
      <c r="CZ143" s="5">
        <f>P143*'MASTER SHEET'!D143</f>
        <v>0</v>
      </c>
      <c r="DA143" s="5">
        <f>S143*'MASTER SHEET'!D143</f>
        <v>0</v>
      </c>
      <c r="DB143" s="5">
        <f>V143*'MASTER SHEET'!D143</f>
        <v>0</v>
      </c>
      <c r="DC143" s="5">
        <f>Y143*'MASTER SHEET'!D143</f>
        <v>0</v>
      </c>
      <c r="DD143" s="5">
        <f>AB143*'MASTER SHEET'!D143</f>
        <v>0</v>
      </c>
      <c r="DE143" s="5">
        <f>AE143*'MASTER SHEET'!D143</f>
        <v>0</v>
      </c>
      <c r="DF143" s="5">
        <f>AH143*'MASTER SHEET'!D143</f>
        <v>0</v>
      </c>
      <c r="DG143" s="5">
        <f>AK143*'MASTER SHEET'!D143</f>
        <v>0</v>
      </c>
      <c r="DH143" s="5">
        <f>AN143*'MASTER SHEET'!D143</f>
        <v>0</v>
      </c>
      <c r="DI143" s="5">
        <f>AQ143*'MASTER SHEET'!D143</f>
        <v>0</v>
      </c>
      <c r="DJ143" s="5">
        <f>AT143*'MASTER SHEET'!D143</f>
        <v>0</v>
      </c>
      <c r="DK143" s="5">
        <f>AW143*'MASTER SHEET'!D143</f>
        <v>0</v>
      </c>
      <c r="DL143" s="5">
        <f>AZ143*'MASTER SHEET'!D143</f>
        <v>0</v>
      </c>
      <c r="DM143" s="5">
        <f>BC143*'MASTER SHEET'!D143</f>
        <v>0</v>
      </c>
      <c r="DN143" s="5">
        <f>BF143*'MASTER SHEET'!D143</f>
        <v>0</v>
      </c>
      <c r="DO143" s="5">
        <f>BI143*'MASTER SHEET'!D143</f>
        <v>0</v>
      </c>
      <c r="DP143" s="5">
        <f>BL143*'MASTER SHEET'!D143</f>
        <v>0</v>
      </c>
      <c r="DQ143" s="5">
        <f>BO143*'MASTER SHEET'!D143</f>
        <v>0</v>
      </c>
      <c r="DR143" s="5">
        <f>BR143*'MASTER SHEET'!D143</f>
        <v>0</v>
      </c>
      <c r="DS143" s="5">
        <f>BU143*'MASTER SHEET'!D143</f>
        <v>0</v>
      </c>
      <c r="DT143" s="5">
        <f>BX143*'MASTER SHEET'!D143</f>
        <v>0</v>
      </c>
      <c r="DU143" s="5">
        <f>CA143*'MASTER SHEET'!D143</f>
        <v>0</v>
      </c>
      <c r="DV143" s="5">
        <f>CD143*'MASTER SHEET'!D143</f>
        <v>0</v>
      </c>
      <c r="DW143" s="5">
        <f>CG143*'MASTER SHEET'!D143</f>
        <v>0</v>
      </c>
      <c r="DX143" s="5">
        <f>CJ143*'MASTER SHEET'!D143</f>
        <v>0</v>
      </c>
      <c r="DY143" s="5">
        <f>CM143*'MASTER SHEET'!D143</f>
        <v>0</v>
      </c>
      <c r="DZ143" s="5">
        <f>CP143*'MASTER SHEET'!D143</f>
        <v>0</v>
      </c>
      <c r="EA143" s="5">
        <f>CS143*'MASTER SHEET'!D143</f>
        <v>0</v>
      </c>
      <c r="EB143" s="9"/>
    </row>
    <row r="144" spans="1:132" ht="15.75" x14ac:dyDescent="0.25">
      <c r="A144" s="25">
        <f>'MASTER SHEET'!A144</f>
        <v>142</v>
      </c>
      <c r="B144" s="164" t="str">
        <f>'MASTER SHEET'!B144</f>
        <v>CLAMP BRAKE PIPE</v>
      </c>
      <c r="C144" s="165">
        <f>'MASTER SHEET'!C144</f>
        <v>62598</v>
      </c>
      <c r="D144" s="56">
        <v>0</v>
      </c>
      <c r="E144" s="57">
        <f>' WIP '!F144</f>
        <v>0</v>
      </c>
      <c r="F144" s="58">
        <v>0</v>
      </c>
      <c r="G144" s="59">
        <f t="shared" si="195"/>
        <v>0</v>
      </c>
      <c r="H144" s="57">
        <f>' WIP '!J144</f>
        <v>0</v>
      </c>
      <c r="I144" s="58">
        <v>0</v>
      </c>
      <c r="J144" s="59">
        <f t="shared" si="196"/>
        <v>0</v>
      </c>
      <c r="K144" s="57">
        <f>' WIP '!N144</f>
        <v>0</v>
      </c>
      <c r="L144" s="58"/>
      <c r="M144" s="59">
        <f t="shared" si="197"/>
        <v>0</v>
      </c>
      <c r="N144" s="57">
        <f>' WIP '!R144</f>
        <v>0</v>
      </c>
      <c r="O144" s="58">
        <v>0</v>
      </c>
      <c r="P144" s="59">
        <f t="shared" si="198"/>
        <v>0</v>
      </c>
      <c r="Q144" s="57">
        <f>' WIP '!V144</f>
        <v>0</v>
      </c>
      <c r="R144" s="58">
        <v>0</v>
      </c>
      <c r="S144" s="59">
        <f t="shared" si="199"/>
        <v>0</v>
      </c>
      <c r="T144" s="57">
        <f>' WIP '!Z144</f>
        <v>0</v>
      </c>
      <c r="U144" s="58">
        <v>0</v>
      </c>
      <c r="V144" s="59">
        <f t="shared" si="200"/>
        <v>0</v>
      </c>
      <c r="W144" s="57">
        <f>' WIP '!AD144</f>
        <v>0</v>
      </c>
      <c r="X144" s="58">
        <v>0</v>
      </c>
      <c r="Y144" s="59">
        <f t="shared" si="201"/>
        <v>0</v>
      </c>
      <c r="Z144" s="57">
        <f>' WIP '!AH144</f>
        <v>0</v>
      </c>
      <c r="AA144" s="58">
        <v>0</v>
      </c>
      <c r="AB144" s="59">
        <f t="shared" si="202"/>
        <v>0</v>
      </c>
      <c r="AC144" s="57">
        <f>' WIP '!AL144</f>
        <v>0</v>
      </c>
      <c r="AD144" s="58">
        <v>0</v>
      </c>
      <c r="AE144" s="59">
        <f t="shared" si="203"/>
        <v>0</v>
      </c>
      <c r="AF144" s="57">
        <f>' WIP '!AP144</f>
        <v>0</v>
      </c>
      <c r="AG144" s="114">
        <v>0</v>
      </c>
      <c r="AH144" s="59">
        <f t="shared" si="204"/>
        <v>0</v>
      </c>
      <c r="AI144" s="57">
        <f>' WIP '!AT144</f>
        <v>0</v>
      </c>
      <c r="AJ144" s="58">
        <v>0</v>
      </c>
      <c r="AK144" s="59">
        <f t="shared" si="205"/>
        <v>0</v>
      </c>
      <c r="AL144" s="57">
        <f>' WIP '!AX144</f>
        <v>0</v>
      </c>
      <c r="AM144" s="58"/>
      <c r="AN144" s="59">
        <f t="shared" si="206"/>
        <v>0</v>
      </c>
      <c r="AO144" s="57">
        <f>' WIP '!BB144</f>
        <v>0</v>
      </c>
      <c r="AP144" s="58">
        <v>0</v>
      </c>
      <c r="AQ144" s="59">
        <f t="shared" si="207"/>
        <v>0</v>
      </c>
      <c r="AR144" s="57">
        <f>' WIP '!BF144</f>
        <v>0</v>
      </c>
      <c r="AS144" s="58"/>
      <c r="AT144" s="59">
        <f t="shared" si="208"/>
        <v>0</v>
      </c>
      <c r="AU144" s="57">
        <f>' WIP '!BJ144</f>
        <v>0</v>
      </c>
      <c r="AV144" s="58">
        <v>0</v>
      </c>
      <c r="AW144" s="59">
        <f t="shared" si="209"/>
        <v>0</v>
      </c>
      <c r="AX144" s="57">
        <f>' WIP '!BN144</f>
        <v>0</v>
      </c>
      <c r="AY144" s="58">
        <v>0</v>
      </c>
      <c r="AZ144" s="59">
        <f t="shared" si="210"/>
        <v>0</v>
      </c>
      <c r="BA144" s="57">
        <f>' WIP '!BR144</f>
        <v>0</v>
      </c>
      <c r="BB144" s="58">
        <v>0</v>
      </c>
      <c r="BC144" s="59">
        <f t="shared" si="211"/>
        <v>0</v>
      </c>
      <c r="BD144" s="57">
        <f>' WIP '!BV144</f>
        <v>0</v>
      </c>
      <c r="BE144" s="58">
        <v>0</v>
      </c>
      <c r="BF144" s="59">
        <f t="shared" si="212"/>
        <v>0</v>
      </c>
      <c r="BG144" s="57">
        <f>' WIP '!BZ144</f>
        <v>0</v>
      </c>
      <c r="BH144" s="58"/>
      <c r="BI144" s="59">
        <f t="shared" si="213"/>
        <v>0</v>
      </c>
      <c r="BJ144" s="57">
        <f>' WIP '!CD144</f>
        <v>0</v>
      </c>
      <c r="BK144" s="58">
        <v>0</v>
      </c>
      <c r="BL144" s="59">
        <f t="shared" si="214"/>
        <v>0</v>
      </c>
      <c r="BM144" s="57">
        <f>' WIP '!CH144</f>
        <v>0</v>
      </c>
      <c r="BN144" s="58">
        <v>0</v>
      </c>
      <c r="BO144" s="59">
        <f t="shared" si="215"/>
        <v>0</v>
      </c>
      <c r="BP144" s="57">
        <f>' WIP '!CL144</f>
        <v>0</v>
      </c>
      <c r="BQ144" s="58"/>
      <c r="BR144" s="59">
        <f t="shared" si="216"/>
        <v>0</v>
      </c>
      <c r="BS144" s="57">
        <f>' WIP '!CP144</f>
        <v>0</v>
      </c>
      <c r="BT144" s="58">
        <v>0</v>
      </c>
      <c r="BU144" s="59">
        <f t="shared" si="217"/>
        <v>0</v>
      </c>
      <c r="BV144" s="57">
        <f>' WIP '!CT144</f>
        <v>0</v>
      </c>
      <c r="BW144" s="28">
        <v>0</v>
      </c>
      <c r="BX144" s="59">
        <f t="shared" si="218"/>
        <v>0</v>
      </c>
      <c r="BY144" s="57">
        <f>' WIP '!CX144</f>
        <v>4000</v>
      </c>
      <c r="BZ144" s="58">
        <v>4000</v>
      </c>
      <c r="CA144" s="59">
        <f t="shared" si="219"/>
        <v>0</v>
      </c>
      <c r="CB144" s="57">
        <f>' WIP '!DB144</f>
        <v>0</v>
      </c>
      <c r="CC144" s="58">
        <v>0</v>
      </c>
      <c r="CD144" s="59">
        <f t="shared" si="220"/>
        <v>0</v>
      </c>
      <c r="CE144" s="57">
        <f>' WIP '!DF144</f>
        <v>0</v>
      </c>
      <c r="CF144" s="58">
        <v>0</v>
      </c>
      <c r="CG144" s="59">
        <f t="shared" si="221"/>
        <v>0</v>
      </c>
      <c r="CH144" s="57">
        <f>' WIP '!DJ144</f>
        <v>0</v>
      </c>
      <c r="CI144" s="58">
        <v>0</v>
      </c>
      <c r="CJ144" s="59">
        <f t="shared" si="222"/>
        <v>0</v>
      </c>
      <c r="CK144" s="57">
        <f>' WIP '!DN144</f>
        <v>1000</v>
      </c>
      <c r="CL144" s="58">
        <v>1000</v>
      </c>
      <c r="CM144" s="59">
        <f t="shared" si="223"/>
        <v>0</v>
      </c>
      <c r="CN144" s="57">
        <f>' WIP '!DR144</f>
        <v>0</v>
      </c>
      <c r="CO144" s="57"/>
      <c r="CP144" s="59">
        <f t="shared" si="224"/>
        <v>0</v>
      </c>
      <c r="CQ144" s="57">
        <f>' WIP '!DV144</f>
        <v>0</v>
      </c>
      <c r="CR144" s="58"/>
      <c r="CS144" s="59">
        <f t="shared" si="225"/>
        <v>0</v>
      </c>
      <c r="CT144" s="31">
        <f t="shared" si="193"/>
        <v>5000</v>
      </c>
      <c r="CU144" s="4">
        <f t="shared" si="194"/>
        <v>5000</v>
      </c>
      <c r="CV144" s="5">
        <f>D144*'MASTER SHEET'!D144</f>
        <v>0</v>
      </c>
      <c r="CW144" s="5">
        <f>G144*'MASTER SHEET'!D144</f>
        <v>0</v>
      </c>
      <c r="CX144" s="5">
        <f>J144*'MASTER SHEET'!D144</f>
        <v>0</v>
      </c>
      <c r="CY144" s="5">
        <f>M144*'MASTER SHEET'!D144</f>
        <v>0</v>
      </c>
      <c r="CZ144" s="5">
        <f>P144*'MASTER SHEET'!D144</f>
        <v>0</v>
      </c>
      <c r="DA144" s="5">
        <f>S144*'MASTER SHEET'!D144</f>
        <v>0</v>
      </c>
      <c r="DB144" s="5">
        <f>V144*'MASTER SHEET'!D144</f>
        <v>0</v>
      </c>
      <c r="DC144" s="5">
        <f>Y144*'MASTER SHEET'!D144</f>
        <v>0</v>
      </c>
      <c r="DD144" s="5">
        <f>AB144*'MASTER SHEET'!D144</f>
        <v>0</v>
      </c>
      <c r="DE144" s="5">
        <f>AE144*'MASTER SHEET'!D144</f>
        <v>0</v>
      </c>
      <c r="DF144" s="5">
        <f>AH144*'MASTER SHEET'!D144</f>
        <v>0</v>
      </c>
      <c r="DG144" s="5">
        <f>AK144*'MASTER SHEET'!D144</f>
        <v>0</v>
      </c>
      <c r="DH144" s="5">
        <f>AN144*'MASTER SHEET'!D144</f>
        <v>0</v>
      </c>
      <c r="DI144" s="5">
        <f>AQ144*'MASTER SHEET'!D144</f>
        <v>0</v>
      </c>
      <c r="DJ144" s="5">
        <f>AT144*'MASTER SHEET'!D144</f>
        <v>0</v>
      </c>
      <c r="DK144" s="5">
        <f>AW144*'MASTER SHEET'!D144</f>
        <v>0</v>
      </c>
      <c r="DL144" s="5">
        <f>AZ144*'MASTER SHEET'!D144</f>
        <v>0</v>
      </c>
      <c r="DM144" s="5">
        <f>BC144*'MASTER SHEET'!D144</f>
        <v>0</v>
      </c>
      <c r="DN144" s="5">
        <f>BF144*'MASTER SHEET'!D144</f>
        <v>0</v>
      </c>
      <c r="DO144" s="5">
        <f>BI144*'MASTER SHEET'!D144</f>
        <v>0</v>
      </c>
      <c r="DP144" s="5">
        <f>BL144*'MASTER SHEET'!D144</f>
        <v>0</v>
      </c>
      <c r="DQ144" s="5">
        <f>BO144*'MASTER SHEET'!D144</f>
        <v>0</v>
      </c>
      <c r="DR144" s="5">
        <f>BR144*'MASTER SHEET'!D144</f>
        <v>0</v>
      </c>
      <c r="DS144" s="5">
        <f>BU144*'MASTER SHEET'!D144</f>
        <v>0</v>
      </c>
      <c r="DT144" s="5">
        <f>BX144*'MASTER SHEET'!D144</f>
        <v>0</v>
      </c>
      <c r="DU144" s="5">
        <f>CA144*'MASTER SHEET'!D144</f>
        <v>0</v>
      </c>
      <c r="DV144" s="5">
        <f>CD144*'MASTER SHEET'!D144</f>
        <v>0</v>
      </c>
      <c r="DW144" s="5">
        <f>CG144*'MASTER SHEET'!D144</f>
        <v>0</v>
      </c>
      <c r="DX144" s="5">
        <f>CJ144*'MASTER SHEET'!D144</f>
        <v>0</v>
      </c>
      <c r="DY144" s="5">
        <f>CM144*'MASTER SHEET'!D144</f>
        <v>0</v>
      </c>
      <c r="DZ144" s="5">
        <f>CP144*'MASTER SHEET'!D144</f>
        <v>0</v>
      </c>
      <c r="EA144" s="5">
        <f>CS144*'MASTER SHEET'!D144</f>
        <v>0</v>
      </c>
      <c r="EB144" s="9"/>
    </row>
    <row r="145" spans="1:132" ht="15.75" x14ac:dyDescent="0.25">
      <c r="A145" s="25">
        <f>'MASTER SHEET'!A145</f>
        <v>143</v>
      </c>
      <c r="B145" s="164" t="str">
        <f>'MASTER SHEET'!B145</f>
        <v>CLAMP BRAKE PIPE</v>
      </c>
      <c r="C145" s="165">
        <f>'MASTER SHEET'!C145</f>
        <v>62129</v>
      </c>
      <c r="D145" s="56">
        <v>0</v>
      </c>
      <c r="E145" s="57">
        <f>' WIP '!F145</f>
        <v>0</v>
      </c>
      <c r="F145" s="58">
        <v>0</v>
      </c>
      <c r="G145" s="59">
        <f t="shared" si="195"/>
        <v>0</v>
      </c>
      <c r="H145" s="57">
        <f>' WIP '!J145</f>
        <v>0</v>
      </c>
      <c r="I145" s="58">
        <v>0</v>
      </c>
      <c r="J145" s="59">
        <f t="shared" si="196"/>
        <v>0</v>
      </c>
      <c r="K145" s="57">
        <f>' WIP '!N145</f>
        <v>0</v>
      </c>
      <c r="L145" s="58"/>
      <c r="M145" s="59">
        <f t="shared" si="197"/>
        <v>0</v>
      </c>
      <c r="N145" s="57">
        <f>' WIP '!R145</f>
        <v>0</v>
      </c>
      <c r="O145" s="58">
        <v>0</v>
      </c>
      <c r="P145" s="59">
        <f t="shared" si="198"/>
        <v>0</v>
      </c>
      <c r="Q145" s="57">
        <f>' WIP '!V145</f>
        <v>0</v>
      </c>
      <c r="R145" s="58">
        <v>0</v>
      </c>
      <c r="S145" s="59">
        <f t="shared" si="199"/>
        <v>0</v>
      </c>
      <c r="T145" s="57">
        <f>' WIP '!Z145</f>
        <v>0</v>
      </c>
      <c r="U145" s="58">
        <v>0</v>
      </c>
      <c r="V145" s="59">
        <f t="shared" si="200"/>
        <v>0</v>
      </c>
      <c r="W145" s="57">
        <f>' WIP '!AD145</f>
        <v>0</v>
      </c>
      <c r="X145" s="58">
        <v>0</v>
      </c>
      <c r="Y145" s="59">
        <f t="shared" si="201"/>
        <v>0</v>
      </c>
      <c r="Z145" s="57">
        <f>' WIP '!AH145</f>
        <v>0</v>
      </c>
      <c r="AA145" s="58">
        <v>0</v>
      </c>
      <c r="AB145" s="59">
        <f t="shared" si="202"/>
        <v>0</v>
      </c>
      <c r="AC145" s="57">
        <f>' WIP '!AL145</f>
        <v>0</v>
      </c>
      <c r="AD145" s="58">
        <v>0</v>
      </c>
      <c r="AE145" s="59">
        <f t="shared" si="203"/>
        <v>0</v>
      </c>
      <c r="AF145" s="57">
        <f>' WIP '!AP145</f>
        <v>0</v>
      </c>
      <c r="AG145" s="114">
        <v>0</v>
      </c>
      <c r="AH145" s="59">
        <f t="shared" si="204"/>
        <v>0</v>
      </c>
      <c r="AI145" s="57">
        <f>' WIP '!AT145</f>
        <v>0</v>
      </c>
      <c r="AJ145" s="58">
        <v>0</v>
      </c>
      <c r="AK145" s="59">
        <f t="shared" si="205"/>
        <v>0</v>
      </c>
      <c r="AL145" s="57">
        <f>' WIP '!AX145</f>
        <v>0</v>
      </c>
      <c r="AM145" s="58"/>
      <c r="AN145" s="59">
        <f t="shared" si="206"/>
        <v>0</v>
      </c>
      <c r="AO145" s="57">
        <f>' WIP '!BB145</f>
        <v>0</v>
      </c>
      <c r="AP145" s="58">
        <v>0</v>
      </c>
      <c r="AQ145" s="59">
        <f t="shared" si="207"/>
        <v>0</v>
      </c>
      <c r="AR145" s="57">
        <f>' WIP '!BF145</f>
        <v>0</v>
      </c>
      <c r="AS145" s="58"/>
      <c r="AT145" s="59">
        <f t="shared" si="208"/>
        <v>0</v>
      </c>
      <c r="AU145" s="57">
        <f>' WIP '!BJ145</f>
        <v>1800</v>
      </c>
      <c r="AV145" s="58">
        <v>1800</v>
      </c>
      <c r="AW145" s="59">
        <f t="shared" si="209"/>
        <v>0</v>
      </c>
      <c r="AX145" s="57">
        <f>' WIP '!BN145</f>
        <v>0</v>
      </c>
      <c r="AY145" s="58">
        <v>0</v>
      </c>
      <c r="AZ145" s="59">
        <f t="shared" si="210"/>
        <v>0</v>
      </c>
      <c r="BA145" s="57">
        <f>' WIP '!BR145</f>
        <v>1800</v>
      </c>
      <c r="BB145" s="58">
        <v>1800</v>
      </c>
      <c r="BC145" s="59">
        <f t="shared" si="211"/>
        <v>0</v>
      </c>
      <c r="BD145" s="57">
        <f>' WIP '!BV145</f>
        <v>1800</v>
      </c>
      <c r="BE145" s="58">
        <v>1800</v>
      </c>
      <c r="BF145" s="59">
        <f t="shared" si="212"/>
        <v>0</v>
      </c>
      <c r="BG145" s="57">
        <f>' WIP '!BZ145</f>
        <v>0</v>
      </c>
      <c r="BH145" s="58"/>
      <c r="BI145" s="59">
        <f t="shared" si="213"/>
        <v>0</v>
      </c>
      <c r="BJ145" s="57">
        <f>' WIP '!CD145</f>
        <v>0</v>
      </c>
      <c r="BK145" s="58">
        <v>0</v>
      </c>
      <c r="BL145" s="59">
        <f t="shared" si="214"/>
        <v>0</v>
      </c>
      <c r="BM145" s="57">
        <f>' WIP '!CH145</f>
        <v>0</v>
      </c>
      <c r="BN145" s="58">
        <v>0</v>
      </c>
      <c r="BO145" s="59">
        <f t="shared" si="215"/>
        <v>0</v>
      </c>
      <c r="BP145" s="57">
        <f>' WIP '!CL145</f>
        <v>3600</v>
      </c>
      <c r="BQ145" s="58">
        <v>3600</v>
      </c>
      <c r="BR145" s="59">
        <f t="shared" si="216"/>
        <v>0</v>
      </c>
      <c r="BS145" s="57">
        <f>' WIP '!CP145</f>
        <v>0</v>
      </c>
      <c r="BT145" s="58">
        <v>0</v>
      </c>
      <c r="BU145" s="59">
        <f t="shared" si="217"/>
        <v>0</v>
      </c>
      <c r="BV145" s="57">
        <f>' WIP '!CT145</f>
        <v>0</v>
      </c>
      <c r="BW145" s="28">
        <v>0</v>
      </c>
      <c r="BX145" s="59">
        <f t="shared" si="218"/>
        <v>0</v>
      </c>
      <c r="BY145" s="57">
        <f>' WIP '!CX145</f>
        <v>1800</v>
      </c>
      <c r="BZ145" s="58">
        <v>1800</v>
      </c>
      <c r="CA145" s="59">
        <f t="shared" si="219"/>
        <v>0</v>
      </c>
      <c r="CB145" s="57">
        <f>' WIP '!DB145</f>
        <v>0</v>
      </c>
      <c r="CC145" s="58">
        <v>0</v>
      </c>
      <c r="CD145" s="59">
        <f t="shared" si="220"/>
        <v>0</v>
      </c>
      <c r="CE145" s="57">
        <f>' WIP '!DF145</f>
        <v>1800</v>
      </c>
      <c r="CF145" s="58">
        <v>1800</v>
      </c>
      <c r="CG145" s="59">
        <f t="shared" si="221"/>
        <v>0</v>
      </c>
      <c r="CH145" s="57">
        <f>' WIP '!DJ145</f>
        <v>0</v>
      </c>
      <c r="CI145" s="58">
        <v>0</v>
      </c>
      <c r="CJ145" s="59">
        <f t="shared" si="222"/>
        <v>0</v>
      </c>
      <c r="CK145" s="57">
        <f>' WIP '!DN145</f>
        <v>0</v>
      </c>
      <c r="CL145" s="58">
        <v>0</v>
      </c>
      <c r="CM145" s="59">
        <f t="shared" si="223"/>
        <v>0</v>
      </c>
      <c r="CN145" s="57">
        <f>' WIP '!DR145</f>
        <v>0</v>
      </c>
      <c r="CO145" s="57"/>
      <c r="CP145" s="59">
        <f t="shared" si="224"/>
        <v>0</v>
      </c>
      <c r="CQ145" s="57">
        <f>' WIP '!DV145</f>
        <v>0</v>
      </c>
      <c r="CR145" s="58"/>
      <c r="CS145" s="59">
        <f t="shared" si="225"/>
        <v>0</v>
      </c>
      <c r="CT145" s="31">
        <f t="shared" si="193"/>
        <v>12600</v>
      </c>
      <c r="CU145" s="4">
        <f t="shared" si="194"/>
        <v>12600</v>
      </c>
      <c r="CV145" s="5">
        <f>D145*'MASTER SHEET'!D145</f>
        <v>0</v>
      </c>
      <c r="CW145" s="5">
        <f>G145*'MASTER SHEET'!D145</f>
        <v>0</v>
      </c>
      <c r="CX145" s="5">
        <f>J145*'MASTER SHEET'!D145</f>
        <v>0</v>
      </c>
      <c r="CY145" s="5">
        <f>M145*'MASTER SHEET'!D145</f>
        <v>0</v>
      </c>
      <c r="CZ145" s="5">
        <f>P145*'MASTER SHEET'!D145</f>
        <v>0</v>
      </c>
      <c r="DA145" s="5">
        <f>S145*'MASTER SHEET'!D145</f>
        <v>0</v>
      </c>
      <c r="DB145" s="5">
        <f>V145*'MASTER SHEET'!D145</f>
        <v>0</v>
      </c>
      <c r="DC145" s="5">
        <f>Y145*'MASTER SHEET'!D145</f>
        <v>0</v>
      </c>
      <c r="DD145" s="5">
        <f>AB145*'MASTER SHEET'!D145</f>
        <v>0</v>
      </c>
      <c r="DE145" s="5">
        <f>AE145*'MASTER SHEET'!D145</f>
        <v>0</v>
      </c>
      <c r="DF145" s="5">
        <f>AH145*'MASTER SHEET'!D145</f>
        <v>0</v>
      </c>
      <c r="DG145" s="5">
        <f>AK145*'MASTER SHEET'!D145</f>
        <v>0</v>
      </c>
      <c r="DH145" s="5">
        <f>AN145*'MASTER SHEET'!D145</f>
        <v>0</v>
      </c>
      <c r="DI145" s="5">
        <f>AQ145*'MASTER SHEET'!D145</f>
        <v>0</v>
      </c>
      <c r="DJ145" s="5">
        <f>AT145*'MASTER SHEET'!D145</f>
        <v>0</v>
      </c>
      <c r="DK145" s="5">
        <f>AW145*'MASTER SHEET'!D145</f>
        <v>0</v>
      </c>
      <c r="DL145" s="5">
        <f>AZ145*'MASTER SHEET'!D145</f>
        <v>0</v>
      </c>
      <c r="DM145" s="5">
        <f>BC145*'MASTER SHEET'!D145</f>
        <v>0</v>
      </c>
      <c r="DN145" s="5">
        <f>BF145*'MASTER SHEET'!D145</f>
        <v>0</v>
      </c>
      <c r="DO145" s="5">
        <f>BI145*'MASTER SHEET'!D145</f>
        <v>0</v>
      </c>
      <c r="DP145" s="5">
        <f>BL145*'MASTER SHEET'!D145</f>
        <v>0</v>
      </c>
      <c r="DQ145" s="5">
        <f>BO145*'MASTER SHEET'!D145</f>
        <v>0</v>
      </c>
      <c r="DR145" s="5">
        <f>BR145*'MASTER SHEET'!D145</f>
        <v>0</v>
      </c>
      <c r="DS145" s="5">
        <f>BU145*'MASTER SHEET'!D145</f>
        <v>0</v>
      </c>
      <c r="DT145" s="5">
        <f>BX145*'MASTER SHEET'!D145</f>
        <v>0</v>
      </c>
      <c r="DU145" s="5">
        <f>CA145*'MASTER SHEET'!D145</f>
        <v>0</v>
      </c>
      <c r="DV145" s="5">
        <f>CD145*'MASTER SHEET'!D145</f>
        <v>0</v>
      </c>
      <c r="DW145" s="5">
        <f>CG145*'MASTER SHEET'!D145</f>
        <v>0</v>
      </c>
      <c r="DX145" s="5">
        <f>CJ145*'MASTER SHEET'!D145</f>
        <v>0</v>
      </c>
      <c r="DY145" s="5">
        <f>CM145*'MASTER SHEET'!D145</f>
        <v>0</v>
      </c>
      <c r="DZ145" s="5">
        <f>CP145*'MASTER SHEET'!D145</f>
        <v>0</v>
      </c>
      <c r="EA145" s="5">
        <f>CS145*'MASTER SHEET'!D145</f>
        <v>0</v>
      </c>
      <c r="EB145" s="9"/>
    </row>
    <row r="146" spans="1:132" ht="15.75" x14ac:dyDescent="0.25">
      <c r="A146" s="25">
        <f>'MASTER SHEET'!A146</f>
        <v>144</v>
      </c>
      <c r="B146" s="164" t="str">
        <f>'MASTER SHEET'!B146</f>
        <v>CLAMP BK PIPE DASH TRIPLE</v>
      </c>
      <c r="C146" s="165">
        <f>'MASTER SHEET'!C146</f>
        <v>62437</v>
      </c>
      <c r="D146" s="56">
        <v>0</v>
      </c>
      <c r="E146" s="57">
        <f>' WIP '!F146</f>
        <v>0</v>
      </c>
      <c r="F146" s="58">
        <v>0</v>
      </c>
      <c r="G146" s="59">
        <f t="shared" si="195"/>
        <v>0</v>
      </c>
      <c r="H146" s="57">
        <f>' WIP '!J146</f>
        <v>0</v>
      </c>
      <c r="I146" s="58">
        <v>0</v>
      </c>
      <c r="J146" s="59">
        <f t="shared" si="196"/>
        <v>0</v>
      </c>
      <c r="K146" s="57">
        <f>' WIP '!N146</f>
        <v>0</v>
      </c>
      <c r="L146" s="58"/>
      <c r="M146" s="59">
        <f t="shared" si="197"/>
        <v>0</v>
      </c>
      <c r="N146" s="57">
        <f>' WIP '!R146</f>
        <v>0</v>
      </c>
      <c r="O146" s="58">
        <v>0</v>
      </c>
      <c r="P146" s="59">
        <f t="shared" si="198"/>
        <v>0</v>
      </c>
      <c r="Q146" s="57">
        <f>' WIP '!V146</f>
        <v>0</v>
      </c>
      <c r="R146" s="58">
        <v>0</v>
      </c>
      <c r="S146" s="59">
        <f t="shared" si="199"/>
        <v>0</v>
      </c>
      <c r="T146" s="57">
        <f>' WIP '!Z146</f>
        <v>0</v>
      </c>
      <c r="U146" s="58">
        <v>0</v>
      </c>
      <c r="V146" s="59">
        <f t="shared" si="200"/>
        <v>0</v>
      </c>
      <c r="W146" s="57">
        <f>' WIP '!AD146</f>
        <v>0</v>
      </c>
      <c r="X146" s="58">
        <v>0</v>
      </c>
      <c r="Y146" s="59">
        <f t="shared" si="201"/>
        <v>0</v>
      </c>
      <c r="Z146" s="57">
        <f>' WIP '!AH146</f>
        <v>0</v>
      </c>
      <c r="AA146" s="58">
        <v>0</v>
      </c>
      <c r="AB146" s="59">
        <f t="shared" si="202"/>
        <v>0</v>
      </c>
      <c r="AC146" s="57">
        <f>' WIP '!AL146</f>
        <v>0</v>
      </c>
      <c r="AD146" s="58">
        <v>0</v>
      </c>
      <c r="AE146" s="59">
        <f t="shared" si="203"/>
        <v>0</v>
      </c>
      <c r="AF146" s="57">
        <f>' WIP '!AP146</f>
        <v>0</v>
      </c>
      <c r="AG146" s="114">
        <v>0</v>
      </c>
      <c r="AH146" s="59">
        <f t="shared" si="204"/>
        <v>0</v>
      </c>
      <c r="AI146" s="57">
        <f>' WIP '!AT146</f>
        <v>0</v>
      </c>
      <c r="AJ146" s="58">
        <v>0</v>
      </c>
      <c r="AK146" s="59">
        <f t="shared" si="205"/>
        <v>0</v>
      </c>
      <c r="AL146" s="57">
        <f>' WIP '!AX146</f>
        <v>0</v>
      </c>
      <c r="AM146" s="58"/>
      <c r="AN146" s="59">
        <f t="shared" si="206"/>
        <v>0</v>
      </c>
      <c r="AO146" s="57">
        <f>' WIP '!BB146</f>
        <v>0</v>
      </c>
      <c r="AP146" s="58">
        <v>0</v>
      </c>
      <c r="AQ146" s="59">
        <f t="shared" si="207"/>
        <v>0</v>
      </c>
      <c r="AR146" s="57">
        <f>' WIP '!BF146</f>
        <v>1000</v>
      </c>
      <c r="AS146" s="58">
        <v>1000</v>
      </c>
      <c r="AT146" s="59">
        <f t="shared" si="208"/>
        <v>0</v>
      </c>
      <c r="AU146" s="57">
        <f>' WIP '!BJ146</f>
        <v>3600</v>
      </c>
      <c r="AV146" s="58">
        <v>3600</v>
      </c>
      <c r="AW146" s="59">
        <f t="shared" si="209"/>
        <v>0</v>
      </c>
      <c r="AX146" s="57">
        <f>' WIP '!BN146</f>
        <v>3600</v>
      </c>
      <c r="AY146" s="58">
        <v>3600</v>
      </c>
      <c r="AZ146" s="59">
        <f t="shared" si="210"/>
        <v>0</v>
      </c>
      <c r="BA146" s="57">
        <f>' WIP '!BR146</f>
        <v>0</v>
      </c>
      <c r="BB146" s="58">
        <v>0</v>
      </c>
      <c r="BC146" s="59">
        <f t="shared" si="211"/>
        <v>0</v>
      </c>
      <c r="BD146" s="57">
        <f>' WIP '!BV146</f>
        <v>1200</v>
      </c>
      <c r="BE146" s="58">
        <v>1200</v>
      </c>
      <c r="BF146" s="59">
        <f t="shared" si="212"/>
        <v>0</v>
      </c>
      <c r="BG146" s="57">
        <f>' WIP '!BZ146</f>
        <v>0</v>
      </c>
      <c r="BH146" s="58"/>
      <c r="BI146" s="59">
        <f t="shared" si="213"/>
        <v>0</v>
      </c>
      <c r="BJ146" s="57">
        <f>' WIP '!CD146</f>
        <v>3600</v>
      </c>
      <c r="BK146" s="58">
        <v>3600</v>
      </c>
      <c r="BL146" s="59">
        <f t="shared" si="214"/>
        <v>0</v>
      </c>
      <c r="BM146" s="57">
        <f>' WIP '!CH146</f>
        <v>0</v>
      </c>
      <c r="BN146" s="58">
        <v>0</v>
      </c>
      <c r="BO146" s="59">
        <f t="shared" si="215"/>
        <v>0</v>
      </c>
      <c r="BP146" s="57">
        <f>' WIP '!CL146</f>
        <v>0</v>
      </c>
      <c r="BQ146" s="58"/>
      <c r="BR146" s="59">
        <f t="shared" si="216"/>
        <v>0</v>
      </c>
      <c r="BS146" s="57">
        <f>' WIP '!CP146</f>
        <v>0</v>
      </c>
      <c r="BT146" s="58">
        <v>0</v>
      </c>
      <c r="BU146" s="59">
        <f t="shared" si="217"/>
        <v>0</v>
      </c>
      <c r="BV146" s="57">
        <f>' WIP '!CT146</f>
        <v>0</v>
      </c>
      <c r="BW146" s="28">
        <v>0</v>
      </c>
      <c r="BX146" s="59">
        <f t="shared" si="218"/>
        <v>0</v>
      </c>
      <c r="BY146" s="57">
        <f>' WIP '!CX146</f>
        <v>2400</v>
      </c>
      <c r="BZ146" s="58">
        <v>2400</v>
      </c>
      <c r="CA146" s="59">
        <f t="shared" si="219"/>
        <v>0</v>
      </c>
      <c r="CB146" s="57">
        <f>' WIP '!DB146</f>
        <v>0</v>
      </c>
      <c r="CC146" s="58">
        <v>0</v>
      </c>
      <c r="CD146" s="59">
        <f t="shared" si="220"/>
        <v>0</v>
      </c>
      <c r="CE146" s="57">
        <f>' WIP '!DF146</f>
        <v>1200</v>
      </c>
      <c r="CF146" s="58">
        <v>1200</v>
      </c>
      <c r="CG146" s="59">
        <f t="shared" si="221"/>
        <v>0</v>
      </c>
      <c r="CH146" s="57">
        <f>' WIP '!DJ146</f>
        <v>0</v>
      </c>
      <c r="CI146" s="58">
        <v>0</v>
      </c>
      <c r="CJ146" s="59">
        <f t="shared" si="222"/>
        <v>0</v>
      </c>
      <c r="CK146" s="57">
        <f>' WIP '!DN146</f>
        <v>2400</v>
      </c>
      <c r="CL146" s="58">
        <v>2400</v>
      </c>
      <c r="CM146" s="59">
        <f t="shared" si="223"/>
        <v>0</v>
      </c>
      <c r="CN146" s="57">
        <f>' WIP '!DR146</f>
        <v>0</v>
      </c>
      <c r="CO146" s="57"/>
      <c r="CP146" s="59">
        <f t="shared" si="224"/>
        <v>0</v>
      </c>
      <c r="CQ146" s="57">
        <f>' WIP '!DV146</f>
        <v>0</v>
      </c>
      <c r="CR146" s="58"/>
      <c r="CS146" s="59">
        <f t="shared" si="225"/>
        <v>0</v>
      </c>
      <c r="CT146" s="31">
        <f t="shared" si="193"/>
        <v>19000</v>
      </c>
      <c r="CU146" s="4">
        <f t="shared" si="194"/>
        <v>19000</v>
      </c>
      <c r="CV146" s="5">
        <f>D146*'MASTER SHEET'!D146</f>
        <v>0</v>
      </c>
      <c r="CW146" s="5">
        <f>G146*'MASTER SHEET'!D146</f>
        <v>0</v>
      </c>
      <c r="CX146" s="5">
        <f>J146*'MASTER SHEET'!D146</f>
        <v>0</v>
      </c>
      <c r="CY146" s="5">
        <f>M146*'MASTER SHEET'!D146</f>
        <v>0</v>
      </c>
      <c r="CZ146" s="5">
        <f>P146*'MASTER SHEET'!D146</f>
        <v>0</v>
      </c>
      <c r="DA146" s="5">
        <f>S146*'MASTER SHEET'!D146</f>
        <v>0</v>
      </c>
      <c r="DB146" s="5">
        <f>V146*'MASTER SHEET'!D146</f>
        <v>0</v>
      </c>
      <c r="DC146" s="5">
        <f>Y146*'MASTER SHEET'!D146</f>
        <v>0</v>
      </c>
      <c r="DD146" s="5">
        <f>AB146*'MASTER SHEET'!D146</f>
        <v>0</v>
      </c>
      <c r="DE146" s="5">
        <f>AE146*'MASTER SHEET'!D146</f>
        <v>0</v>
      </c>
      <c r="DF146" s="5">
        <f>AH146*'MASTER SHEET'!D146</f>
        <v>0</v>
      </c>
      <c r="DG146" s="5">
        <f>AK146*'MASTER SHEET'!D146</f>
        <v>0</v>
      </c>
      <c r="DH146" s="5">
        <f>AN146*'MASTER SHEET'!D146</f>
        <v>0</v>
      </c>
      <c r="DI146" s="5">
        <f>AQ146*'MASTER SHEET'!D146</f>
        <v>0</v>
      </c>
      <c r="DJ146" s="5">
        <f>AT146*'MASTER SHEET'!D146</f>
        <v>0</v>
      </c>
      <c r="DK146" s="5">
        <f>AW146*'MASTER SHEET'!D146</f>
        <v>0</v>
      </c>
      <c r="DL146" s="5">
        <f>AZ146*'MASTER SHEET'!D146</f>
        <v>0</v>
      </c>
      <c r="DM146" s="5">
        <f>BC146*'MASTER SHEET'!D146</f>
        <v>0</v>
      </c>
      <c r="DN146" s="5">
        <f>BF146*'MASTER SHEET'!D146</f>
        <v>0</v>
      </c>
      <c r="DO146" s="5">
        <f>BI146*'MASTER SHEET'!D146</f>
        <v>0</v>
      </c>
      <c r="DP146" s="5">
        <f>BL146*'MASTER SHEET'!D146</f>
        <v>0</v>
      </c>
      <c r="DQ146" s="5">
        <f>BO146*'MASTER SHEET'!D146</f>
        <v>0</v>
      </c>
      <c r="DR146" s="5">
        <f>BR146*'MASTER SHEET'!D146</f>
        <v>0</v>
      </c>
      <c r="DS146" s="5">
        <f>BU146*'MASTER SHEET'!D146</f>
        <v>0</v>
      </c>
      <c r="DT146" s="5">
        <f>BX146*'MASTER SHEET'!D146</f>
        <v>0</v>
      </c>
      <c r="DU146" s="5">
        <f>CA146*'MASTER SHEET'!D146</f>
        <v>0</v>
      </c>
      <c r="DV146" s="5">
        <f>CD146*'MASTER SHEET'!D146</f>
        <v>0</v>
      </c>
      <c r="DW146" s="5">
        <f>CG146*'MASTER SHEET'!D146</f>
        <v>0</v>
      </c>
      <c r="DX146" s="5">
        <f>CJ146*'MASTER SHEET'!D146</f>
        <v>0</v>
      </c>
      <c r="DY146" s="5">
        <f>CM146*'MASTER SHEET'!D146</f>
        <v>0</v>
      </c>
      <c r="DZ146" s="5">
        <f>CP146*'MASTER SHEET'!D146</f>
        <v>0</v>
      </c>
      <c r="EA146" s="5">
        <f>CS146*'MASTER SHEET'!D146</f>
        <v>0</v>
      </c>
      <c r="EB146" s="9"/>
    </row>
    <row r="147" spans="1:132" ht="15.75" x14ac:dyDescent="0.25">
      <c r="A147" s="25">
        <f>'MASTER SHEET'!A147</f>
        <v>145</v>
      </c>
      <c r="B147" s="164" t="str">
        <f>'MASTER SHEET'!B147</f>
        <v>CLAMP CNG PIPE</v>
      </c>
      <c r="C147" s="165">
        <f>'MASTER SHEET'!C147</f>
        <v>62438</v>
      </c>
      <c r="D147" s="56">
        <v>3000</v>
      </c>
      <c r="E147" s="57">
        <f>' WIP '!F147</f>
        <v>0</v>
      </c>
      <c r="F147" s="58">
        <v>3000</v>
      </c>
      <c r="G147" s="59">
        <f t="shared" si="195"/>
        <v>0</v>
      </c>
      <c r="H147" s="57">
        <f>' WIP '!J147</f>
        <v>1500</v>
      </c>
      <c r="I147" s="58">
        <v>1500</v>
      </c>
      <c r="J147" s="59">
        <f t="shared" si="196"/>
        <v>0</v>
      </c>
      <c r="K147" s="57">
        <f>' WIP '!N147</f>
        <v>0</v>
      </c>
      <c r="L147" s="58"/>
      <c r="M147" s="59">
        <f t="shared" si="197"/>
        <v>0</v>
      </c>
      <c r="N147" s="57">
        <f>' WIP '!R147</f>
        <v>0</v>
      </c>
      <c r="O147" s="58">
        <v>0</v>
      </c>
      <c r="P147" s="59">
        <f t="shared" si="198"/>
        <v>0</v>
      </c>
      <c r="Q147" s="57">
        <f>' WIP '!V147</f>
        <v>4500</v>
      </c>
      <c r="R147" s="58">
        <v>4500</v>
      </c>
      <c r="S147" s="59">
        <f t="shared" si="199"/>
        <v>0</v>
      </c>
      <c r="T147" s="57">
        <f>' WIP '!Z147</f>
        <v>0</v>
      </c>
      <c r="U147" s="58">
        <v>0</v>
      </c>
      <c r="V147" s="59">
        <f t="shared" si="200"/>
        <v>0</v>
      </c>
      <c r="W147" s="57">
        <f>' WIP '!AD147</f>
        <v>0</v>
      </c>
      <c r="X147" s="58">
        <v>0</v>
      </c>
      <c r="Y147" s="59">
        <f t="shared" si="201"/>
        <v>0</v>
      </c>
      <c r="Z147" s="57">
        <f>' WIP '!AH147</f>
        <v>3000</v>
      </c>
      <c r="AA147" s="58">
        <v>3000</v>
      </c>
      <c r="AB147" s="59">
        <f t="shared" si="202"/>
        <v>0</v>
      </c>
      <c r="AC147" s="57">
        <f>' WIP '!AL147</f>
        <v>4500</v>
      </c>
      <c r="AD147" s="58">
        <v>4500</v>
      </c>
      <c r="AE147" s="59">
        <f t="shared" si="203"/>
        <v>0</v>
      </c>
      <c r="AF147" s="57">
        <f>' WIP '!AP147</f>
        <v>0</v>
      </c>
      <c r="AG147" s="114">
        <v>0</v>
      </c>
      <c r="AH147" s="59">
        <f t="shared" si="204"/>
        <v>0</v>
      </c>
      <c r="AI147" s="57">
        <f>' WIP '!AT147</f>
        <v>0</v>
      </c>
      <c r="AJ147" s="58">
        <v>0</v>
      </c>
      <c r="AK147" s="59">
        <f t="shared" si="205"/>
        <v>0</v>
      </c>
      <c r="AL147" s="57">
        <f>' WIP '!AX147</f>
        <v>0</v>
      </c>
      <c r="AM147" s="58"/>
      <c r="AN147" s="59">
        <f t="shared" si="206"/>
        <v>0</v>
      </c>
      <c r="AO147" s="57">
        <f>' WIP '!BB147</f>
        <v>13500</v>
      </c>
      <c r="AP147" s="58">
        <v>13500</v>
      </c>
      <c r="AQ147" s="59">
        <f t="shared" si="207"/>
        <v>0</v>
      </c>
      <c r="AR147" s="57">
        <f>' WIP '!BF147</f>
        <v>7500</v>
      </c>
      <c r="AS147" s="58">
        <v>7500</v>
      </c>
      <c r="AT147" s="59">
        <f t="shared" si="208"/>
        <v>0</v>
      </c>
      <c r="AU147" s="57">
        <f>' WIP '!BJ147</f>
        <v>0</v>
      </c>
      <c r="AV147" s="58">
        <v>0</v>
      </c>
      <c r="AW147" s="59">
        <f t="shared" si="209"/>
        <v>0</v>
      </c>
      <c r="AX147" s="57">
        <f>' WIP '!BN147</f>
        <v>6000</v>
      </c>
      <c r="AY147" s="58">
        <v>6000</v>
      </c>
      <c r="AZ147" s="59">
        <f t="shared" si="210"/>
        <v>0</v>
      </c>
      <c r="BA147" s="57">
        <f>' WIP '!BR147</f>
        <v>6000</v>
      </c>
      <c r="BB147" s="58">
        <v>6000</v>
      </c>
      <c r="BC147" s="59">
        <f t="shared" si="211"/>
        <v>0</v>
      </c>
      <c r="BD147" s="57">
        <f>' WIP '!BV147</f>
        <v>0</v>
      </c>
      <c r="BE147" s="58">
        <v>0</v>
      </c>
      <c r="BF147" s="59">
        <f t="shared" si="212"/>
        <v>0</v>
      </c>
      <c r="BG147" s="57">
        <f>' WIP '!BZ147</f>
        <v>0</v>
      </c>
      <c r="BH147" s="58"/>
      <c r="BI147" s="59">
        <f t="shared" si="213"/>
        <v>0</v>
      </c>
      <c r="BJ147" s="57">
        <f>' WIP '!CD147</f>
        <v>0</v>
      </c>
      <c r="BK147" s="58">
        <v>0</v>
      </c>
      <c r="BL147" s="59">
        <f t="shared" si="214"/>
        <v>0</v>
      </c>
      <c r="BM147" s="57">
        <f>' WIP '!CH147</f>
        <v>0</v>
      </c>
      <c r="BN147" s="58">
        <v>0</v>
      </c>
      <c r="BO147" s="59">
        <f t="shared" si="215"/>
        <v>0</v>
      </c>
      <c r="BP147" s="57">
        <f>' WIP '!CL147</f>
        <v>0</v>
      </c>
      <c r="BQ147" s="58"/>
      <c r="BR147" s="59">
        <f t="shared" si="216"/>
        <v>0</v>
      </c>
      <c r="BS147" s="57">
        <f>' WIP '!CP147</f>
        <v>0</v>
      </c>
      <c r="BT147" s="58">
        <v>0</v>
      </c>
      <c r="BU147" s="59">
        <f t="shared" si="217"/>
        <v>0</v>
      </c>
      <c r="BV147" s="57">
        <f>' WIP '!CT147</f>
        <v>0</v>
      </c>
      <c r="BW147" s="28">
        <v>0</v>
      </c>
      <c r="BX147" s="59">
        <f t="shared" si="218"/>
        <v>0</v>
      </c>
      <c r="BY147" s="57">
        <f>' WIP '!CX147</f>
        <v>13500</v>
      </c>
      <c r="BZ147" s="58">
        <v>13500</v>
      </c>
      <c r="CA147" s="59">
        <f t="shared" si="219"/>
        <v>0</v>
      </c>
      <c r="CB147" s="57">
        <f>' WIP '!DB147</f>
        <v>0</v>
      </c>
      <c r="CC147" s="58">
        <v>0</v>
      </c>
      <c r="CD147" s="59">
        <f t="shared" si="220"/>
        <v>0</v>
      </c>
      <c r="CE147" s="57">
        <f>' WIP '!DF147</f>
        <v>0</v>
      </c>
      <c r="CF147" s="58">
        <v>0</v>
      </c>
      <c r="CG147" s="59">
        <f t="shared" si="221"/>
        <v>0</v>
      </c>
      <c r="CH147" s="57">
        <f>' WIP '!DJ147</f>
        <v>0</v>
      </c>
      <c r="CI147" s="58">
        <v>0</v>
      </c>
      <c r="CJ147" s="59">
        <f t="shared" si="222"/>
        <v>0</v>
      </c>
      <c r="CK147" s="57">
        <f>' WIP '!DN147</f>
        <v>0</v>
      </c>
      <c r="CL147" s="58">
        <v>0</v>
      </c>
      <c r="CM147" s="59">
        <f t="shared" si="223"/>
        <v>0</v>
      </c>
      <c r="CN147" s="57">
        <f>' WIP '!DR147</f>
        <v>0</v>
      </c>
      <c r="CO147" s="57"/>
      <c r="CP147" s="59">
        <f t="shared" si="224"/>
        <v>0</v>
      </c>
      <c r="CQ147" s="57">
        <f>' WIP '!DV147</f>
        <v>0</v>
      </c>
      <c r="CR147" s="58"/>
      <c r="CS147" s="59">
        <f t="shared" si="225"/>
        <v>0</v>
      </c>
      <c r="CT147" s="31">
        <f t="shared" si="193"/>
        <v>63000</v>
      </c>
      <c r="CU147" s="4">
        <f t="shared" si="194"/>
        <v>63000</v>
      </c>
      <c r="CV147" s="5">
        <f>D147*'MASTER SHEET'!D147</f>
        <v>2640</v>
      </c>
      <c r="CW147" s="5">
        <f>G147*'MASTER SHEET'!D147</f>
        <v>0</v>
      </c>
      <c r="CX147" s="5">
        <f>J147*'MASTER SHEET'!D147</f>
        <v>0</v>
      </c>
      <c r="CY147" s="5">
        <f>M147*'MASTER SHEET'!D147</f>
        <v>0</v>
      </c>
      <c r="CZ147" s="5">
        <f>P147*'MASTER SHEET'!D147</f>
        <v>0</v>
      </c>
      <c r="DA147" s="5">
        <f>S147*'MASTER SHEET'!D147</f>
        <v>0</v>
      </c>
      <c r="DB147" s="5">
        <f>V147*'MASTER SHEET'!D147</f>
        <v>0</v>
      </c>
      <c r="DC147" s="5">
        <f>Y147*'MASTER SHEET'!D147</f>
        <v>0</v>
      </c>
      <c r="DD147" s="5">
        <f>AB147*'MASTER SHEET'!D147</f>
        <v>0</v>
      </c>
      <c r="DE147" s="5">
        <f>AE147*'MASTER SHEET'!D147</f>
        <v>0</v>
      </c>
      <c r="DF147" s="5">
        <f>AH147*'MASTER SHEET'!D147</f>
        <v>0</v>
      </c>
      <c r="DG147" s="5">
        <f>AK147*'MASTER SHEET'!D147</f>
        <v>0</v>
      </c>
      <c r="DH147" s="5">
        <f>AN147*'MASTER SHEET'!D147</f>
        <v>0</v>
      </c>
      <c r="DI147" s="5">
        <f>AQ147*'MASTER SHEET'!D147</f>
        <v>0</v>
      </c>
      <c r="DJ147" s="5">
        <f>AT147*'MASTER SHEET'!D147</f>
        <v>0</v>
      </c>
      <c r="DK147" s="5">
        <f>AW147*'MASTER SHEET'!D147</f>
        <v>0</v>
      </c>
      <c r="DL147" s="5">
        <f>AZ147*'MASTER SHEET'!D147</f>
        <v>0</v>
      </c>
      <c r="DM147" s="5">
        <f>BC147*'MASTER SHEET'!D147</f>
        <v>0</v>
      </c>
      <c r="DN147" s="5">
        <f>BF147*'MASTER SHEET'!D147</f>
        <v>0</v>
      </c>
      <c r="DO147" s="5">
        <f>BI147*'MASTER SHEET'!D147</f>
        <v>0</v>
      </c>
      <c r="DP147" s="5">
        <f>BL147*'MASTER SHEET'!D147</f>
        <v>0</v>
      </c>
      <c r="DQ147" s="5">
        <f>BO147*'MASTER SHEET'!D147</f>
        <v>0</v>
      </c>
      <c r="DR147" s="5">
        <f>BR147*'MASTER SHEET'!D147</f>
        <v>0</v>
      </c>
      <c r="DS147" s="5">
        <f>BU147*'MASTER SHEET'!D147</f>
        <v>0</v>
      </c>
      <c r="DT147" s="5">
        <f>BX147*'MASTER SHEET'!D147</f>
        <v>0</v>
      </c>
      <c r="DU147" s="5">
        <f>CA147*'MASTER SHEET'!D147</f>
        <v>0</v>
      </c>
      <c r="DV147" s="5">
        <f>CD147*'MASTER SHEET'!D147</f>
        <v>0</v>
      </c>
      <c r="DW147" s="5">
        <f>CG147*'MASTER SHEET'!D147</f>
        <v>0</v>
      </c>
      <c r="DX147" s="5">
        <f>CJ147*'MASTER SHEET'!D147</f>
        <v>0</v>
      </c>
      <c r="DY147" s="5">
        <f>CM147*'MASTER SHEET'!D147</f>
        <v>0</v>
      </c>
      <c r="DZ147" s="5">
        <f>CP147*'MASTER SHEET'!D147</f>
        <v>0</v>
      </c>
      <c r="EA147" s="5">
        <f>CS147*'MASTER SHEET'!D147</f>
        <v>0</v>
      </c>
      <c r="EB147" s="9"/>
    </row>
    <row r="148" spans="1:132" ht="15.75" x14ac:dyDescent="0.25">
      <c r="A148" s="25">
        <f>'MASTER SHEET'!A148</f>
        <v>146</v>
      </c>
      <c r="B148" s="164" t="str">
        <f>'MASTER SHEET'!B148</f>
        <v>CLAMP VACCUME PIPE</v>
      </c>
      <c r="C148" s="165">
        <f>'MASTER SHEET'!C148</f>
        <v>62481</v>
      </c>
      <c r="D148" s="56">
        <v>0</v>
      </c>
      <c r="E148" s="57">
        <f>' WIP '!F148</f>
        <v>1200</v>
      </c>
      <c r="F148" s="58">
        <v>1200</v>
      </c>
      <c r="G148" s="59">
        <f t="shared" si="195"/>
        <v>0</v>
      </c>
      <c r="H148" s="57">
        <f>' WIP '!J148</f>
        <v>3600</v>
      </c>
      <c r="I148" s="58">
        <v>3600</v>
      </c>
      <c r="J148" s="59">
        <f t="shared" si="196"/>
        <v>0</v>
      </c>
      <c r="K148" s="57">
        <f>' WIP '!N148</f>
        <v>0</v>
      </c>
      <c r="L148" s="58"/>
      <c r="M148" s="59">
        <f t="shared" si="197"/>
        <v>0</v>
      </c>
      <c r="N148" s="57">
        <f>' WIP '!R148</f>
        <v>1200</v>
      </c>
      <c r="O148" s="58">
        <v>1200</v>
      </c>
      <c r="P148" s="59">
        <f t="shared" si="198"/>
        <v>0</v>
      </c>
      <c r="Q148" s="57">
        <f>' WIP '!V148</f>
        <v>3600</v>
      </c>
      <c r="R148" s="58">
        <v>3600</v>
      </c>
      <c r="S148" s="59">
        <f t="shared" si="199"/>
        <v>0</v>
      </c>
      <c r="T148" s="57">
        <f>' WIP '!Z148</f>
        <v>4800</v>
      </c>
      <c r="U148" s="58">
        <v>4800</v>
      </c>
      <c r="V148" s="59">
        <f t="shared" si="200"/>
        <v>0</v>
      </c>
      <c r="W148" s="57">
        <f>' WIP '!AD148</f>
        <v>1200</v>
      </c>
      <c r="X148" s="58">
        <v>1200</v>
      </c>
      <c r="Y148" s="59">
        <f t="shared" si="201"/>
        <v>0</v>
      </c>
      <c r="Z148" s="57">
        <f>' WIP '!AH148</f>
        <v>0</v>
      </c>
      <c r="AA148" s="58">
        <v>0</v>
      </c>
      <c r="AB148" s="59">
        <f t="shared" si="202"/>
        <v>0</v>
      </c>
      <c r="AC148" s="57">
        <f>' WIP '!AL148</f>
        <v>4800</v>
      </c>
      <c r="AD148" s="58">
        <v>4800</v>
      </c>
      <c r="AE148" s="59">
        <f t="shared" si="203"/>
        <v>0</v>
      </c>
      <c r="AF148" s="57">
        <f>' WIP '!AP148</f>
        <v>0</v>
      </c>
      <c r="AG148" s="114">
        <v>0</v>
      </c>
      <c r="AH148" s="59">
        <f t="shared" si="204"/>
        <v>0</v>
      </c>
      <c r="AI148" s="57">
        <f>' WIP '!AT148</f>
        <v>0</v>
      </c>
      <c r="AJ148" s="58">
        <v>0</v>
      </c>
      <c r="AK148" s="59">
        <f t="shared" si="205"/>
        <v>0</v>
      </c>
      <c r="AL148" s="57">
        <f>' WIP '!AX148</f>
        <v>0</v>
      </c>
      <c r="AM148" s="58"/>
      <c r="AN148" s="59">
        <f t="shared" si="206"/>
        <v>0</v>
      </c>
      <c r="AO148" s="57">
        <f>' WIP '!BB148</f>
        <v>0</v>
      </c>
      <c r="AP148" s="58">
        <v>0</v>
      </c>
      <c r="AQ148" s="59">
        <f t="shared" si="207"/>
        <v>0</v>
      </c>
      <c r="AR148" s="57">
        <f>' WIP '!BF148</f>
        <v>0</v>
      </c>
      <c r="AS148" s="58"/>
      <c r="AT148" s="59">
        <f t="shared" si="208"/>
        <v>0</v>
      </c>
      <c r="AU148" s="57">
        <f>' WIP '!BJ148</f>
        <v>0</v>
      </c>
      <c r="AV148" s="58">
        <v>0</v>
      </c>
      <c r="AW148" s="59">
        <f t="shared" si="209"/>
        <v>0</v>
      </c>
      <c r="AX148" s="57">
        <f>' WIP '!BN148</f>
        <v>0</v>
      </c>
      <c r="AY148" s="58">
        <v>0</v>
      </c>
      <c r="AZ148" s="59">
        <f t="shared" si="210"/>
        <v>0</v>
      </c>
      <c r="BA148" s="57">
        <f>' WIP '!BR148</f>
        <v>0</v>
      </c>
      <c r="BB148" s="58">
        <v>0</v>
      </c>
      <c r="BC148" s="59">
        <f t="shared" si="211"/>
        <v>0</v>
      </c>
      <c r="BD148" s="57">
        <f>' WIP '!BV148</f>
        <v>0</v>
      </c>
      <c r="BE148" s="58">
        <v>0</v>
      </c>
      <c r="BF148" s="59">
        <f t="shared" si="212"/>
        <v>0</v>
      </c>
      <c r="BG148" s="57">
        <f>' WIP '!BZ148</f>
        <v>0</v>
      </c>
      <c r="BH148" s="58"/>
      <c r="BI148" s="59">
        <f t="shared" si="213"/>
        <v>0</v>
      </c>
      <c r="BJ148" s="57">
        <f>' WIP '!CD148</f>
        <v>0</v>
      </c>
      <c r="BK148" s="58">
        <v>0</v>
      </c>
      <c r="BL148" s="59">
        <f t="shared" si="214"/>
        <v>0</v>
      </c>
      <c r="BM148" s="57">
        <f>' WIP '!CH148</f>
        <v>0</v>
      </c>
      <c r="BN148" s="58">
        <v>0</v>
      </c>
      <c r="BO148" s="59">
        <f t="shared" si="215"/>
        <v>0</v>
      </c>
      <c r="BP148" s="57">
        <f>' WIP '!CL148</f>
        <v>0</v>
      </c>
      <c r="BQ148" s="58"/>
      <c r="BR148" s="59">
        <f t="shared" si="216"/>
        <v>0</v>
      </c>
      <c r="BS148" s="57">
        <f>' WIP '!CP148</f>
        <v>0</v>
      </c>
      <c r="BT148" s="58">
        <v>0</v>
      </c>
      <c r="BU148" s="59">
        <f t="shared" si="217"/>
        <v>0</v>
      </c>
      <c r="BV148" s="57">
        <f>' WIP '!CT148</f>
        <v>0</v>
      </c>
      <c r="BW148" s="28">
        <v>0</v>
      </c>
      <c r="BX148" s="59">
        <f t="shared" si="218"/>
        <v>0</v>
      </c>
      <c r="BY148" s="57">
        <f>' WIP '!CX148</f>
        <v>0</v>
      </c>
      <c r="BZ148" s="58">
        <v>0</v>
      </c>
      <c r="CA148" s="59">
        <f t="shared" si="219"/>
        <v>0</v>
      </c>
      <c r="CB148" s="57">
        <f>' WIP '!DB148</f>
        <v>0</v>
      </c>
      <c r="CC148" s="58">
        <v>0</v>
      </c>
      <c r="CD148" s="59">
        <f t="shared" si="220"/>
        <v>0</v>
      </c>
      <c r="CE148" s="57">
        <f>' WIP '!DF148</f>
        <v>0</v>
      </c>
      <c r="CF148" s="58">
        <v>0</v>
      </c>
      <c r="CG148" s="59">
        <f t="shared" si="221"/>
        <v>0</v>
      </c>
      <c r="CH148" s="57">
        <f>' WIP '!DJ148</f>
        <v>0</v>
      </c>
      <c r="CI148" s="58">
        <v>0</v>
      </c>
      <c r="CJ148" s="59">
        <f t="shared" si="222"/>
        <v>0</v>
      </c>
      <c r="CK148" s="57">
        <f>' WIP '!DN148</f>
        <v>3600</v>
      </c>
      <c r="CL148" s="58">
        <v>3600</v>
      </c>
      <c r="CM148" s="59">
        <f t="shared" si="223"/>
        <v>0</v>
      </c>
      <c r="CN148" s="57">
        <f>' WIP '!DR148</f>
        <v>0</v>
      </c>
      <c r="CO148" s="57"/>
      <c r="CP148" s="59">
        <f t="shared" si="224"/>
        <v>0</v>
      </c>
      <c r="CQ148" s="57">
        <f>' WIP '!DV148</f>
        <v>0</v>
      </c>
      <c r="CR148" s="58"/>
      <c r="CS148" s="59">
        <f t="shared" si="225"/>
        <v>0</v>
      </c>
      <c r="CT148" s="31">
        <f t="shared" si="193"/>
        <v>24000</v>
      </c>
      <c r="CU148" s="4">
        <f t="shared" si="194"/>
        <v>24000</v>
      </c>
      <c r="CV148" s="5">
        <f>D148*'MASTER SHEET'!D148</f>
        <v>0</v>
      </c>
      <c r="CW148" s="5">
        <f>G148*'MASTER SHEET'!D148</f>
        <v>0</v>
      </c>
      <c r="CX148" s="5">
        <f>J148*'MASTER SHEET'!D148</f>
        <v>0</v>
      </c>
      <c r="CY148" s="5">
        <f>M148*'MASTER SHEET'!D148</f>
        <v>0</v>
      </c>
      <c r="CZ148" s="5">
        <f>P148*'MASTER SHEET'!D148</f>
        <v>0</v>
      </c>
      <c r="DA148" s="5">
        <f>S148*'MASTER SHEET'!D148</f>
        <v>0</v>
      </c>
      <c r="DB148" s="5">
        <f>V148*'MASTER SHEET'!D148</f>
        <v>0</v>
      </c>
      <c r="DC148" s="5">
        <f>Y148*'MASTER SHEET'!D148</f>
        <v>0</v>
      </c>
      <c r="DD148" s="5">
        <f>AB148*'MASTER SHEET'!D148</f>
        <v>0</v>
      </c>
      <c r="DE148" s="5">
        <f>AE148*'MASTER SHEET'!D148</f>
        <v>0</v>
      </c>
      <c r="DF148" s="5">
        <f>AH148*'MASTER SHEET'!D148</f>
        <v>0</v>
      </c>
      <c r="DG148" s="5">
        <f>AK148*'MASTER SHEET'!D148</f>
        <v>0</v>
      </c>
      <c r="DH148" s="5">
        <f>AN148*'MASTER SHEET'!D148</f>
        <v>0</v>
      </c>
      <c r="DI148" s="5">
        <f>AQ148*'MASTER SHEET'!D148</f>
        <v>0</v>
      </c>
      <c r="DJ148" s="5">
        <f>AT148*'MASTER SHEET'!D148</f>
        <v>0</v>
      </c>
      <c r="DK148" s="5">
        <f>AW148*'MASTER SHEET'!D148</f>
        <v>0</v>
      </c>
      <c r="DL148" s="5">
        <f>AZ148*'MASTER SHEET'!D148</f>
        <v>0</v>
      </c>
      <c r="DM148" s="5">
        <f>BC148*'MASTER SHEET'!D148</f>
        <v>0</v>
      </c>
      <c r="DN148" s="5">
        <f>BF148*'MASTER SHEET'!D148</f>
        <v>0</v>
      </c>
      <c r="DO148" s="5">
        <f>BI148*'MASTER SHEET'!D148</f>
        <v>0</v>
      </c>
      <c r="DP148" s="5">
        <f>BL148*'MASTER SHEET'!D148</f>
        <v>0</v>
      </c>
      <c r="DQ148" s="5">
        <f>BO148*'MASTER SHEET'!D148</f>
        <v>0</v>
      </c>
      <c r="DR148" s="5">
        <f>BR148*'MASTER SHEET'!D148</f>
        <v>0</v>
      </c>
      <c r="DS148" s="5">
        <f>BU148*'MASTER SHEET'!D148</f>
        <v>0</v>
      </c>
      <c r="DT148" s="5">
        <f>BX148*'MASTER SHEET'!D148</f>
        <v>0</v>
      </c>
      <c r="DU148" s="5">
        <f>CA148*'MASTER SHEET'!D148</f>
        <v>0</v>
      </c>
      <c r="DV148" s="5">
        <f>CD148*'MASTER SHEET'!D148</f>
        <v>0</v>
      </c>
      <c r="DW148" s="5">
        <f>CG148*'MASTER SHEET'!D148</f>
        <v>0</v>
      </c>
      <c r="DX148" s="5">
        <f>CJ148*'MASTER SHEET'!D148</f>
        <v>0</v>
      </c>
      <c r="DY148" s="5">
        <f>CM148*'MASTER SHEET'!D148</f>
        <v>0</v>
      </c>
      <c r="DZ148" s="5">
        <f>CP148*'MASTER SHEET'!D148</f>
        <v>0</v>
      </c>
      <c r="EA148" s="5">
        <f>CS148*'MASTER SHEET'!D148</f>
        <v>0</v>
      </c>
      <c r="EB148" s="9"/>
    </row>
    <row r="149" spans="1:132" ht="15.75" x14ac:dyDescent="0.25">
      <c r="A149" s="25">
        <f>'MASTER SHEET'!A149</f>
        <v>147</v>
      </c>
      <c r="B149" s="164" t="str">
        <f>'MASTER SHEET'!B149</f>
        <v>DIA 10MM PLUG</v>
      </c>
      <c r="C149" s="165">
        <f>'MASTER SHEET'!C149</f>
        <v>62486</v>
      </c>
      <c r="D149" s="56"/>
      <c r="E149" s="57">
        <f>' WIP '!F149</f>
        <v>0</v>
      </c>
      <c r="F149" s="58">
        <v>0</v>
      </c>
      <c r="G149" s="59">
        <f t="shared" si="195"/>
        <v>0</v>
      </c>
      <c r="H149" s="57">
        <f>' WIP '!J149</f>
        <v>0</v>
      </c>
      <c r="I149" s="58">
        <v>0</v>
      </c>
      <c r="J149" s="59">
        <f t="shared" si="196"/>
        <v>0</v>
      </c>
      <c r="K149" s="57">
        <f>' WIP '!N149</f>
        <v>0</v>
      </c>
      <c r="L149" s="58"/>
      <c r="M149" s="59">
        <f t="shared" si="197"/>
        <v>0</v>
      </c>
      <c r="N149" s="57">
        <f>' WIP '!R149</f>
        <v>0</v>
      </c>
      <c r="O149" s="58">
        <v>0</v>
      </c>
      <c r="P149" s="59">
        <f t="shared" si="198"/>
        <v>0</v>
      </c>
      <c r="Q149" s="57">
        <f>' WIP '!V149</f>
        <v>0</v>
      </c>
      <c r="R149" s="58">
        <v>0</v>
      </c>
      <c r="S149" s="59">
        <f t="shared" si="199"/>
        <v>0</v>
      </c>
      <c r="T149" s="57">
        <f>' WIP '!Z149</f>
        <v>0</v>
      </c>
      <c r="U149" s="58">
        <v>0</v>
      </c>
      <c r="V149" s="59">
        <f t="shared" si="200"/>
        <v>0</v>
      </c>
      <c r="W149" s="57">
        <f>' WIP '!AD149</f>
        <v>0</v>
      </c>
      <c r="X149" s="58">
        <v>0</v>
      </c>
      <c r="Y149" s="59">
        <f t="shared" si="201"/>
        <v>0</v>
      </c>
      <c r="Z149" s="57">
        <f>' WIP '!AH149</f>
        <v>0</v>
      </c>
      <c r="AA149" s="58">
        <v>0</v>
      </c>
      <c r="AB149" s="59">
        <f t="shared" si="202"/>
        <v>0</v>
      </c>
      <c r="AC149" s="57">
        <f>' WIP '!AL149</f>
        <v>0</v>
      </c>
      <c r="AD149" s="58">
        <v>0</v>
      </c>
      <c r="AE149" s="59">
        <f t="shared" si="203"/>
        <v>0</v>
      </c>
      <c r="AF149" s="57">
        <f>' WIP '!AP149</f>
        <v>0</v>
      </c>
      <c r="AG149" s="114">
        <v>0</v>
      </c>
      <c r="AH149" s="59">
        <f t="shared" si="204"/>
        <v>0</v>
      </c>
      <c r="AI149" s="57">
        <f>' WIP '!AT149</f>
        <v>0</v>
      </c>
      <c r="AJ149" s="58">
        <v>0</v>
      </c>
      <c r="AK149" s="59">
        <f t="shared" si="205"/>
        <v>0</v>
      </c>
      <c r="AL149" s="57">
        <f>' WIP '!AX149</f>
        <v>0</v>
      </c>
      <c r="AM149" s="58"/>
      <c r="AN149" s="59">
        <f t="shared" si="206"/>
        <v>0</v>
      </c>
      <c r="AO149" s="57">
        <f>' WIP '!BB149</f>
        <v>0</v>
      </c>
      <c r="AP149" s="58">
        <v>0</v>
      </c>
      <c r="AQ149" s="59">
        <f t="shared" si="207"/>
        <v>0</v>
      </c>
      <c r="AR149" s="57">
        <f>' WIP '!BF149</f>
        <v>0</v>
      </c>
      <c r="AS149" s="58"/>
      <c r="AT149" s="59">
        <f t="shared" si="208"/>
        <v>0</v>
      </c>
      <c r="AU149" s="57">
        <f>' WIP '!BJ149</f>
        <v>0</v>
      </c>
      <c r="AV149" s="58">
        <v>0</v>
      </c>
      <c r="AW149" s="59">
        <f t="shared" si="209"/>
        <v>0</v>
      </c>
      <c r="AX149" s="57">
        <f>' WIP '!BN149</f>
        <v>0</v>
      </c>
      <c r="AY149" s="58">
        <v>0</v>
      </c>
      <c r="AZ149" s="59">
        <f t="shared" si="210"/>
        <v>0</v>
      </c>
      <c r="BA149" s="57">
        <f>' WIP '!BR149</f>
        <v>0</v>
      </c>
      <c r="BB149" s="58">
        <v>0</v>
      </c>
      <c r="BC149" s="59">
        <f t="shared" si="211"/>
        <v>0</v>
      </c>
      <c r="BD149" s="57">
        <f>' WIP '!BV149</f>
        <v>0</v>
      </c>
      <c r="BE149" s="58">
        <v>0</v>
      </c>
      <c r="BF149" s="59">
        <f t="shared" si="212"/>
        <v>0</v>
      </c>
      <c r="BG149" s="57">
        <f>' WIP '!BZ149</f>
        <v>0</v>
      </c>
      <c r="BH149" s="58"/>
      <c r="BI149" s="59">
        <f t="shared" si="213"/>
        <v>0</v>
      </c>
      <c r="BJ149" s="57">
        <f>' WIP '!CD149</f>
        <v>0</v>
      </c>
      <c r="BK149" s="58">
        <v>0</v>
      </c>
      <c r="BL149" s="59">
        <f t="shared" si="214"/>
        <v>0</v>
      </c>
      <c r="BM149" s="57">
        <f>' WIP '!CH149</f>
        <v>0</v>
      </c>
      <c r="BN149" s="58">
        <v>0</v>
      </c>
      <c r="BO149" s="59">
        <f t="shared" si="215"/>
        <v>0</v>
      </c>
      <c r="BP149" s="57">
        <f>' WIP '!CL149</f>
        <v>0</v>
      </c>
      <c r="BQ149" s="58"/>
      <c r="BR149" s="59">
        <f t="shared" si="216"/>
        <v>0</v>
      </c>
      <c r="BS149" s="57">
        <f>' WIP '!CP149</f>
        <v>0</v>
      </c>
      <c r="BT149" s="58">
        <v>0</v>
      </c>
      <c r="BU149" s="59">
        <f t="shared" si="217"/>
        <v>0</v>
      </c>
      <c r="BV149" s="57">
        <f>' WIP '!CT149</f>
        <v>0</v>
      </c>
      <c r="BW149" s="28">
        <v>0</v>
      </c>
      <c r="BX149" s="59">
        <f t="shared" si="218"/>
        <v>0</v>
      </c>
      <c r="BY149" s="57">
        <f>' WIP '!CX149</f>
        <v>0</v>
      </c>
      <c r="BZ149" s="58">
        <v>0</v>
      </c>
      <c r="CA149" s="59">
        <f t="shared" si="219"/>
        <v>0</v>
      </c>
      <c r="CB149" s="57">
        <f>' WIP '!DB149</f>
        <v>0</v>
      </c>
      <c r="CC149" s="58">
        <v>0</v>
      </c>
      <c r="CD149" s="59">
        <f t="shared" si="220"/>
        <v>0</v>
      </c>
      <c r="CE149" s="57">
        <f>' WIP '!DF149</f>
        <v>0</v>
      </c>
      <c r="CF149" s="58">
        <v>0</v>
      </c>
      <c r="CG149" s="59">
        <f t="shared" si="221"/>
        <v>0</v>
      </c>
      <c r="CH149" s="57">
        <f>' WIP '!DJ149</f>
        <v>0</v>
      </c>
      <c r="CI149" s="58">
        <v>0</v>
      </c>
      <c r="CJ149" s="59">
        <f t="shared" si="222"/>
        <v>0</v>
      </c>
      <c r="CK149" s="57">
        <f>' WIP '!DN149</f>
        <v>0</v>
      </c>
      <c r="CL149" s="58">
        <v>0</v>
      </c>
      <c r="CM149" s="59">
        <f t="shared" si="223"/>
        <v>0</v>
      </c>
      <c r="CN149" s="57">
        <f>' WIP '!DR149</f>
        <v>0</v>
      </c>
      <c r="CO149" s="57"/>
      <c r="CP149" s="59">
        <f t="shared" si="224"/>
        <v>0</v>
      </c>
      <c r="CQ149" s="57">
        <f>' WIP '!DV149</f>
        <v>0</v>
      </c>
      <c r="CR149" s="58"/>
      <c r="CS149" s="59">
        <f t="shared" si="225"/>
        <v>0</v>
      </c>
      <c r="CT149" s="31">
        <f t="shared" si="193"/>
        <v>0</v>
      </c>
      <c r="CU149" s="4">
        <f t="shared" si="194"/>
        <v>0</v>
      </c>
      <c r="CV149" s="5">
        <f>D149*'MASTER SHEET'!D149</f>
        <v>0</v>
      </c>
      <c r="CW149" s="5">
        <f>G149*'MASTER SHEET'!D149</f>
        <v>0</v>
      </c>
      <c r="CX149" s="5">
        <f>J149*'MASTER SHEET'!D149</f>
        <v>0</v>
      </c>
      <c r="CY149" s="5">
        <f>M149*'MASTER SHEET'!D149</f>
        <v>0</v>
      </c>
      <c r="CZ149" s="5">
        <f>P149*'MASTER SHEET'!D149</f>
        <v>0</v>
      </c>
      <c r="DA149" s="5">
        <f>S149*'MASTER SHEET'!D149</f>
        <v>0</v>
      </c>
      <c r="DB149" s="5">
        <f>V149*'MASTER SHEET'!D149</f>
        <v>0</v>
      </c>
      <c r="DC149" s="5">
        <f>Y149*'MASTER SHEET'!D149</f>
        <v>0</v>
      </c>
      <c r="DD149" s="5">
        <f>AB149*'MASTER SHEET'!D149</f>
        <v>0</v>
      </c>
      <c r="DE149" s="5">
        <f>AE149*'MASTER SHEET'!D149</f>
        <v>0</v>
      </c>
      <c r="DF149" s="5">
        <f>AH149*'MASTER SHEET'!D149</f>
        <v>0</v>
      </c>
      <c r="DG149" s="5">
        <f>AK149*'MASTER SHEET'!D149</f>
        <v>0</v>
      </c>
      <c r="DH149" s="5">
        <f>AN149*'MASTER SHEET'!D149</f>
        <v>0</v>
      </c>
      <c r="DI149" s="5">
        <f>AQ149*'MASTER SHEET'!D149</f>
        <v>0</v>
      </c>
      <c r="DJ149" s="5">
        <f>AT149*'MASTER SHEET'!D149</f>
        <v>0</v>
      </c>
      <c r="DK149" s="5">
        <f>AW149*'MASTER SHEET'!D149</f>
        <v>0</v>
      </c>
      <c r="DL149" s="5">
        <f>AZ149*'MASTER SHEET'!D149</f>
        <v>0</v>
      </c>
      <c r="DM149" s="5">
        <f>BC149*'MASTER SHEET'!D149</f>
        <v>0</v>
      </c>
      <c r="DN149" s="5">
        <f>BF149*'MASTER SHEET'!D149</f>
        <v>0</v>
      </c>
      <c r="DO149" s="5">
        <f>BI149*'MASTER SHEET'!D149</f>
        <v>0</v>
      </c>
      <c r="DP149" s="5">
        <f>BL149*'MASTER SHEET'!D149</f>
        <v>0</v>
      </c>
      <c r="DQ149" s="5">
        <f>BO149*'MASTER SHEET'!D149</f>
        <v>0</v>
      </c>
      <c r="DR149" s="5">
        <f>BR149*'MASTER SHEET'!D149</f>
        <v>0</v>
      </c>
      <c r="DS149" s="5">
        <f>BU149*'MASTER SHEET'!D149</f>
        <v>0</v>
      </c>
      <c r="DT149" s="5">
        <f>BX149*'MASTER SHEET'!D149</f>
        <v>0</v>
      </c>
      <c r="DU149" s="5">
        <f>CA149*'MASTER SHEET'!D149</f>
        <v>0</v>
      </c>
      <c r="DV149" s="5">
        <f>CD149*'MASTER SHEET'!D149</f>
        <v>0</v>
      </c>
      <c r="DW149" s="5">
        <f>CG149*'MASTER SHEET'!D149</f>
        <v>0</v>
      </c>
      <c r="DX149" s="5">
        <f>CJ149*'MASTER SHEET'!D149</f>
        <v>0</v>
      </c>
      <c r="DY149" s="5">
        <f>CM149*'MASTER SHEET'!D149</f>
        <v>0</v>
      </c>
      <c r="DZ149" s="5">
        <f>CP149*'MASTER SHEET'!D149</f>
        <v>0</v>
      </c>
      <c r="EA149" s="5">
        <f>CS149*'MASTER SHEET'!D149</f>
        <v>0</v>
      </c>
      <c r="EB149" s="9"/>
    </row>
    <row r="150" spans="1:132" ht="15.75" x14ac:dyDescent="0.25">
      <c r="A150" s="25">
        <f>'MASTER SHEET'!A150</f>
        <v>148</v>
      </c>
      <c r="B150" s="164" t="str">
        <f>'MASTER SHEET'!B150</f>
        <v>CLAMP</v>
      </c>
      <c r="C150" s="165">
        <f>'MASTER SHEET'!C150</f>
        <v>62487</v>
      </c>
      <c r="D150" s="56">
        <v>0</v>
      </c>
      <c r="E150" s="57">
        <f>' WIP '!F150</f>
        <v>0</v>
      </c>
      <c r="F150" s="58">
        <v>0</v>
      </c>
      <c r="G150" s="59">
        <f t="shared" si="195"/>
        <v>0</v>
      </c>
      <c r="H150" s="57">
        <f>' WIP '!J150</f>
        <v>0</v>
      </c>
      <c r="I150" s="58">
        <v>0</v>
      </c>
      <c r="J150" s="59">
        <f t="shared" si="196"/>
        <v>0</v>
      </c>
      <c r="K150" s="57">
        <f>' WIP '!N150</f>
        <v>0</v>
      </c>
      <c r="L150" s="58"/>
      <c r="M150" s="59">
        <f t="shared" si="197"/>
        <v>0</v>
      </c>
      <c r="N150" s="57">
        <f>' WIP '!R150</f>
        <v>0</v>
      </c>
      <c r="O150" s="58">
        <v>0</v>
      </c>
      <c r="P150" s="59">
        <f t="shared" si="198"/>
        <v>0</v>
      </c>
      <c r="Q150" s="57">
        <f>' WIP '!V150</f>
        <v>0</v>
      </c>
      <c r="R150" s="58">
        <v>0</v>
      </c>
      <c r="S150" s="59">
        <f t="shared" si="199"/>
        <v>0</v>
      </c>
      <c r="T150" s="57">
        <f>' WIP '!Z150</f>
        <v>0</v>
      </c>
      <c r="U150" s="58">
        <v>0</v>
      </c>
      <c r="V150" s="59">
        <f t="shared" si="200"/>
        <v>0</v>
      </c>
      <c r="W150" s="57">
        <f>' WIP '!AD150</f>
        <v>0</v>
      </c>
      <c r="X150" s="58">
        <v>0</v>
      </c>
      <c r="Y150" s="59">
        <f t="shared" si="201"/>
        <v>0</v>
      </c>
      <c r="Z150" s="57">
        <f>' WIP '!AH150</f>
        <v>0</v>
      </c>
      <c r="AA150" s="58">
        <v>0</v>
      </c>
      <c r="AB150" s="59">
        <f t="shared" si="202"/>
        <v>0</v>
      </c>
      <c r="AC150" s="57">
        <f>' WIP '!AL150</f>
        <v>0</v>
      </c>
      <c r="AD150" s="58">
        <v>0</v>
      </c>
      <c r="AE150" s="59">
        <f t="shared" si="203"/>
        <v>0</v>
      </c>
      <c r="AF150" s="57">
        <f>' WIP '!AP150</f>
        <v>0</v>
      </c>
      <c r="AG150" s="114">
        <v>0</v>
      </c>
      <c r="AH150" s="59">
        <f t="shared" si="204"/>
        <v>0</v>
      </c>
      <c r="AI150" s="57">
        <f>' WIP '!AT150</f>
        <v>0</v>
      </c>
      <c r="AJ150" s="58">
        <v>0</v>
      </c>
      <c r="AK150" s="59">
        <f t="shared" si="205"/>
        <v>0</v>
      </c>
      <c r="AL150" s="57">
        <f>' WIP '!AX150</f>
        <v>0</v>
      </c>
      <c r="AM150" s="58"/>
      <c r="AN150" s="59">
        <f t="shared" si="206"/>
        <v>0</v>
      </c>
      <c r="AO150" s="57">
        <f>' WIP '!BB150</f>
        <v>0</v>
      </c>
      <c r="AP150" s="58">
        <v>0</v>
      </c>
      <c r="AQ150" s="59">
        <f t="shared" si="207"/>
        <v>0</v>
      </c>
      <c r="AR150" s="57">
        <f>' WIP '!BF150</f>
        <v>10000</v>
      </c>
      <c r="AS150" s="58">
        <v>10000</v>
      </c>
      <c r="AT150" s="59">
        <f t="shared" si="208"/>
        <v>0</v>
      </c>
      <c r="AU150" s="57">
        <f>' WIP '!BJ150</f>
        <v>0</v>
      </c>
      <c r="AV150" s="58">
        <v>0</v>
      </c>
      <c r="AW150" s="59">
        <f t="shared" si="209"/>
        <v>0</v>
      </c>
      <c r="AX150" s="57">
        <f>' WIP '!BN150</f>
        <v>0</v>
      </c>
      <c r="AY150" s="58">
        <v>0</v>
      </c>
      <c r="AZ150" s="59">
        <f t="shared" si="210"/>
        <v>0</v>
      </c>
      <c r="BA150" s="57">
        <f>' WIP '!BR150</f>
        <v>0</v>
      </c>
      <c r="BB150" s="58">
        <v>0</v>
      </c>
      <c r="BC150" s="59">
        <f t="shared" si="211"/>
        <v>0</v>
      </c>
      <c r="BD150" s="57">
        <f>' WIP '!BV150</f>
        <v>0</v>
      </c>
      <c r="BE150" s="58">
        <v>0</v>
      </c>
      <c r="BF150" s="59">
        <f t="shared" si="212"/>
        <v>0</v>
      </c>
      <c r="BG150" s="57">
        <f>' WIP '!BZ150</f>
        <v>0</v>
      </c>
      <c r="BH150" s="58"/>
      <c r="BI150" s="59">
        <f t="shared" si="213"/>
        <v>0</v>
      </c>
      <c r="BJ150" s="57">
        <f>' WIP '!CD150</f>
        <v>4000</v>
      </c>
      <c r="BK150" s="58">
        <v>4000</v>
      </c>
      <c r="BL150" s="59">
        <f t="shared" si="214"/>
        <v>0</v>
      </c>
      <c r="BM150" s="57">
        <f>' WIP '!CH150</f>
        <v>0</v>
      </c>
      <c r="BN150" s="58">
        <v>0</v>
      </c>
      <c r="BO150" s="59">
        <f t="shared" si="215"/>
        <v>0</v>
      </c>
      <c r="BP150" s="57">
        <f>' WIP '!CL150</f>
        <v>0</v>
      </c>
      <c r="BQ150" s="58"/>
      <c r="BR150" s="59">
        <f t="shared" si="216"/>
        <v>0</v>
      </c>
      <c r="BS150" s="57">
        <f>' WIP '!CP150</f>
        <v>0</v>
      </c>
      <c r="BT150" s="58">
        <v>0</v>
      </c>
      <c r="BU150" s="59">
        <f t="shared" si="217"/>
        <v>0</v>
      </c>
      <c r="BV150" s="57">
        <f>' WIP '!CT150</f>
        <v>0</v>
      </c>
      <c r="BW150" s="28">
        <v>0</v>
      </c>
      <c r="BX150" s="59">
        <f t="shared" si="218"/>
        <v>0</v>
      </c>
      <c r="BY150" s="57">
        <f>' WIP '!CX150</f>
        <v>0</v>
      </c>
      <c r="BZ150" s="58">
        <v>0</v>
      </c>
      <c r="CA150" s="59">
        <f t="shared" si="219"/>
        <v>0</v>
      </c>
      <c r="CB150" s="57">
        <f>' WIP '!DB150</f>
        <v>0</v>
      </c>
      <c r="CC150" s="58">
        <v>0</v>
      </c>
      <c r="CD150" s="59">
        <f t="shared" si="220"/>
        <v>0</v>
      </c>
      <c r="CE150" s="57">
        <f>' WIP '!DF150</f>
        <v>0</v>
      </c>
      <c r="CF150" s="58">
        <v>0</v>
      </c>
      <c r="CG150" s="59">
        <f t="shared" si="221"/>
        <v>0</v>
      </c>
      <c r="CH150" s="57">
        <f>' WIP '!DJ150</f>
        <v>0</v>
      </c>
      <c r="CI150" s="58">
        <v>0</v>
      </c>
      <c r="CJ150" s="59">
        <f t="shared" si="222"/>
        <v>0</v>
      </c>
      <c r="CK150" s="57">
        <f>' WIP '!DN150</f>
        <v>0</v>
      </c>
      <c r="CL150" s="58">
        <v>0</v>
      </c>
      <c r="CM150" s="59">
        <f t="shared" si="223"/>
        <v>0</v>
      </c>
      <c r="CN150" s="57">
        <f>' WIP '!DR150</f>
        <v>0</v>
      </c>
      <c r="CO150" s="57"/>
      <c r="CP150" s="59">
        <f t="shared" si="224"/>
        <v>0</v>
      </c>
      <c r="CQ150" s="57">
        <f>' WIP '!DV150</f>
        <v>0</v>
      </c>
      <c r="CR150" s="58"/>
      <c r="CS150" s="59">
        <f t="shared" si="225"/>
        <v>0</v>
      </c>
      <c r="CT150" s="31">
        <f t="shared" si="193"/>
        <v>14000</v>
      </c>
      <c r="CU150" s="4">
        <f t="shared" si="194"/>
        <v>14000</v>
      </c>
      <c r="CV150" s="5">
        <f>D150*'MASTER SHEET'!D150</f>
        <v>0</v>
      </c>
      <c r="CW150" s="5">
        <f>G150*'MASTER SHEET'!D150</f>
        <v>0</v>
      </c>
      <c r="CX150" s="5">
        <f>J150*'MASTER SHEET'!D150</f>
        <v>0</v>
      </c>
      <c r="CY150" s="5">
        <f>M150*'MASTER SHEET'!D150</f>
        <v>0</v>
      </c>
      <c r="CZ150" s="5">
        <f>P150*'MASTER SHEET'!D150</f>
        <v>0</v>
      </c>
      <c r="DA150" s="5">
        <f>S150*'MASTER SHEET'!D150</f>
        <v>0</v>
      </c>
      <c r="DB150" s="5">
        <f>V150*'MASTER SHEET'!D150</f>
        <v>0</v>
      </c>
      <c r="DC150" s="5">
        <f>Y150*'MASTER SHEET'!D150</f>
        <v>0</v>
      </c>
      <c r="DD150" s="5">
        <f>AB150*'MASTER SHEET'!D150</f>
        <v>0</v>
      </c>
      <c r="DE150" s="5">
        <f>AE150*'MASTER SHEET'!D150</f>
        <v>0</v>
      </c>
      <c r="DF150" s="5">
        <f>AH150*'MASTER SHEET'!D150</f>
        <v>0</v>
      </c>
      <c r="DG150" s="5">
        <f>AK150*'MASTER SHEET'!D150</f>
        <v>0</v>
      </c>
      <c r="DH150" s="5">
        <f>AN150*'MASTER SHEET'!D150</f>
        <v>0</v>
      </c>
      <c r="DI150" s="5">
        <f>AQ150*'MASTER SHEET'!D150</f>
        <v>0</v>
      </c>
      <c r="DJ150" s="5">
        <f>AT150*'MASTER SHEET'!D150</f>
        <v>0</v>
      </c>
      <c r="DK150" s="5">
        <f>AW150*'MASTER SHEET'!D150</f>
        <v>0</v>
      </c>
      <c r="DL150" s="5">
        <f>AZ150*'MASTER SHEET'!D150</f>
        <v>0</v>
      </c>
      <c r="DM150" s="5">
        <f>BC150*'MASTER SHEET'!D150</f>
        <v>0</v>
      </c>
      <c r="DN150" s="5">
        <f>BF150*'MASTER SHEET'!D150</f>
        <v>0</v>
      </c>
      <c r="DO150" s="5">
        <f>BI150*'MASTER SHEET'!D150</f>
        <v>0</v>
      </c>
      <c r="DP150" s="5">
        <f>BL150*'MASTER SHEET'!D150</f>
        <v>0</v>
      </c>
      <c r="DQ150" s="5">
        <f>BO150*'MASTER SHEET'!D150</f>
        <v>0</v>
      </c>
      <c r="DR150" s="5">
        <f>BR150*'MASTER SHEET'!D150</f>
        <v>0</v>
      </c>
      <c r="DS150" s="5">
        <f>BU150*'MASTER SHEET'!D150</f>
        <v>0</v>
      </c>
      <c r="DT150" s="5">
        <f>BX150*'MASTER SHEET'!D150</f>
        <v>0</v>
      </c>
      <c r="DU150" s="5">
        <f>CA150*'MASTER SHEET'!D150</f>
        <v>0</v>
      </c>
      <c r="DV150" s="5">
        <f>CD150*'MASTER SHEET'!D150</f>
        <v>0</v>
      </c>
      <c r="DW150" s="5">
        <f>CG150*'MASTER SHEET'!D150</f>
        <v>0</v>
      </c>
      <c r="DX150" s="5">
        <f>CJ150*'MASTER SHEET'!D150</f>
        <v>0</v>
      </c>
      <c r="DY150" s="5">
        <f>CM150*'MASTER SHEET'!D150</f>
        <v>0</v>
      </c>
      <c r="DZ150" s="5">
        <f>CP150*'MASTER SHEET'!D150</f>
        <v>0</v>
      </c>
      <c r="EA150" s="5">
        <f>CS150*'MASTER SHEET'!D150</f>
        <v>0</v>
      </c>
      <c r="EB150" s="9"/>
    </row>
    <row r="151" spans="1:132" ht="15.75" x14ac:dyDescent="0.25">
      <c r="A151" s="25">
        <f>'MASTER SHEET'!A151</f>
        <v>149</v>
      </c>
      <c r="B151" s="164" t="str">
        <f>'MASTER SHEET'!B151</f>
        <v>CLIP PIN</v>
      </c>
      <c r="C151" s="165">
        <f>'MASTER SHEET'!C151</f>
        <v>70025</v>
      </c>
      <c r="D151" s="56">
        <v>3600</v>
      </c>
      <c r="E151" s="57">
        <f>' WIP '!F151</f>
        <v>0</v>
      </c>
      <c r="F151" s="58">
        <v>0</v>
      </c>
      <c r="G151" s="59">
        <f t="shared" si="195"/>
        <v>3600</v>
      </c>
      <c r="H151" s="57">
        <f>' WIP '!J151</f>
        <v>0</v>
      </c>
      <c r="I151" s="58">
        <v>0</v>
      </c>
      <c r="J151" s="59">
        <f t="shared" si="196"/>
        <v>3600</v>
      </c>
      <c r="K151" s="57">
        <f>' WIP '!N151</f>
        <v>0</v>
      </c>
      <c r="L151" s="58"/>
      <c r="M151" s="59">
        <f t="shared" si="197"/>
        <v>3600</v>
      </c>
      <c r="N151" s="57">
        <f>' WIP '!R151</f>
        <v>0</v>
      </c>
      <c r="O151" s="58">
        <v>0</v>
      </c>
      <c r="P151" s="59">
        <f t="shared" si="198"/>
        <v>3600</v>
      </c>
      <c r="Q151" s="57">
        <f>' WIP '!V151</f>
        <v>0</v>
      </c>
      <c r="R151" s="58">
        <v>0</v>
      </c>
      <c r="S151" s="59">
        <f t="shared" si="199"/>
        <v>3600</v>
      </c>
      <c r="T151" s="57">
        <f>' WIP '!Z151</f>
        <v>0</v>
      </c>
      <c r="U151" s="58">
        <v>0</v>
      </c>
      <c r="V151" s="59">
        <f t="shared" si="200"/>
        <v>3600</v>
      </c>
      <c r="W151" s="57">
        <f>' WIP '!AD151</f>
        <v>0</v>
      </c>
      <c r="X151" s="58">
        <v>0</v>
      </c>
      <c r="Y151" s="59">
        <f t="shared" si="201"/>
        <v>3600</v>
      </c>
      <c r="Z151" s="57">
        <f>' WIP '!AH151</f>
        <v>0</v>
      </c>
      <c r="AA151" s="58">
        <v>0</v>
      </c>
      <c r="AB151" s="59">
        <f t="shared" si="202"/>
        <v>3600</v>
      </c>
      <c r="AC151" s="57">
        <f>' WIP '!AL151</f>
        <v>0</v>
      </c>
      <c r="AD151" s="58">
        <v>0</v>
      </c>
      <c r="AE151" s="59">
        <f t="shared" si="203"/>
        <v>3600</v>
      </c>
      <c r="AF151" s="57">
        <f>' WIP '!AP151</f>
        <v>0</v>
      </c>
      <c r="AG151" s="114">
        <v>0</v>
      </c>
      <c r="AH151" s="59">
        <f t="shared" si="204"/>
        <v>3600</v>
      </c>
      <c r="AI151" s="57">
        <f>' WIP '!AT151</f>
        <v>0</v>
      </c>
      <c r="AJ151" s="58">
        <v>0</v>
      </c>
      <c r="AK151" s="59">
        <f t="shared" si="205"/>
        <v>3600</v>
      </c>
      <c r="AL151" s="57">
        <f>' WIP '!AX151</f>
        <v>0</v>
      </c>
      <c r="AM151" s="58"/>
      <c r="AN151" s="59">
        <f t="shared" si="206"/>
        <v>3600</v>
      </c>
      <c r="AO151" s="57">
        <f>' WIP '!BB151</f>
        <v>0</v>
      </c>
      <c r="AP151" s="58">
        <v>0</v>
      </c>
      <c r="AQ151" s="59">
        <f t="shared" si="207"/>
        <v>3600</v>
      </c>
      <c r="AR151" s="57">
        <f>' WIP '!BF151</f>
        <v>0</v>
      </c>
      <c r="AS151" s="58"/>
      <c r="AT151" s="59">
        <f t="shared" si="208"/>
        <v>3600</v>
      </c>
      <c r="AU151" s="57">
        <f>' WIP '!BJ151</f>
        <v>0</v>
      </c>
      <c r="AV151" s="58">
        <v>0</v>
      </c>
      <c r="AW151" s="59">
        <f t="shared" si="209"/>
        <v>3600</v>
      </c>
      <c r="AX151" s="57">
        <f>' WIP '!BN151</f>
        <v>0</v>
      </c>
      <c r="AY151" s="58">
        <v>0</v>
      </c>
      <c r="AZ151" s="59">
        <f t="shared" si="210"/>
        <v>3600</v>
      </c>
      <c r="BA151" s="57">
        <f>' WIP '!BR151</f>
        <v>0</v>
      </c>
      <c r="BB151" s="58">
        <v>0</v>
      </c>
      <c r="BC151" s="59">
        <f t="shared" si="211"/>
        <v>3600</v>
      </c>
      <c r="BD151" s="57">
        <f>' WIP '!BV151</f>
        <v>0</v>
      </c>
      <c r="BE151" s="58">
        <v>0</v>
      </c>
      <c r="BF151" s="59">
        <f t="shared" si="212"/>
        <v>3600</v>
      </c>
      <c r="BG151" s="57">
        <f>' WIP '!BZ151</f>
        <v>0</v>
      </c>
      <c r="BH151" s="58"/>
      <c r="BI151" s="59">
        <f t="shared" si="213"/>
        <v>3600</v>
      </c>
      <c r="BJ151" s="57">
        <f>' WIP '!CD151</f>
        <v>0</v>
      </c>
      <c r="BK151" s="58">
        <v>0</v>
      </c>
      <c r="BL151" s="59">
        <f t="shared" si="214"/>
        <v>3600</v>
      </c>
      <c r="BM151" s="57">
        <f>' WIP '!CH151</f>
        <v>0</v>
      </c>
      <c r="BN151" s="58">
        <v>0</v>
      </c>
      <c r="BO151" s="59">
        <f t="shared" si="215"/>
        <v>3600</v>
      </c>
      <c r="BP151" s="57">
        <f>' WIP '!CL151</f>
        <v>0</v>
      </c>
      <c r="BQ151" s="58"/>
      <c r="BR151" s="59">
        <f t="shared" si="216"/>
        <v>3600</v>
      </c>
      <c r="BS151" s="57">
        <f>' WIP '!CP151</f>
        <v>0</v>
      </c>
      <c r="BT151" s="58">
        <v>0</v>
      </c>
      <c r="BU151" s="59">
        <f t="shared" si="217"/>
        <v>3600</v>
      </c>
      <c r="BV151" s="57">
        <f>' WIP '!CT151</f>
        <v>0</v>
      </c>
      <c r="BW151" s="28">
        <v>0</v>
      </c>
      <c r="BX151" s="59">
        <f t="shared" si="218"/>
        <v>3600</v>
      </c>
      <c r="BY151" s="57">
        <f>' WIP '!CX151</f>
        <v>0</v>
      </c>
      <c r="BZ151" s="58">
        <v>0</v>
      </c>
      <c r="CA151" s="59">
        <f t="shared" si="219"/>
        <v>3600</v>
      </c>
      <c r="CB151" s="57">
        <f>' WIP '!DB151</f>
        <v>0</v>
      </c>
      <c r="CC151" s="58">
        <v>0</v>
      </c>
      <c r="CD151" s="59">
        <f t="shared" si="220"/>
        <v>3600</v>
      </c>
      <c r="CE151" s="57">
        <f>' WIP '!DF151</f>
        <v>0</v>
      </c>
      <c r="CF151" s="58">
        <v>0</v>
      </c>
      <c r="CG151" s="59">
        <f t="shared" si="221"/>
        <v>3600</v>
      </c>
      <c r="CH151" s="57">
        <f>' WIP '!DJ151</f>
        <v>0</v>
      </c>
      <c r="CI151" s="58">
        <v>0</v>
      </c>
      <c r="CJ151" s="59">
        <f t="shared" si="222"/>
        <v>3600</v>
      </c>
      <c r="CK151" s="57">
        <f>' WIP '!DN151</f>
        <v>0</v>
      </c>
      <c r="CL151" s="58">
        <v>0</v>
      </c>
      <c r="CM151" s="59">
        <f t="shared" si="223"/>
        <v>3600</v>
      </c>
      <c r="CN151" s="57">
        <f>' WIP '!DR151</f>
        <v>0</v>
      </c>
      <c r="CO151" s="57"/>
      <c r="CP151" s="59">
        <f t="shared" si="224"/>
        <v>3600</v>
      </c>
      <c r="CQ151" s="57">
        <f>' WIP '!DV151</f>
        <v>0</v>
      </c>
      <c r="CR151" s="58"/>
      <c r="CS151" s="59">
        <f t="shared" si="225"/>
        <v>3600</v>
      </c>
      <c r="CT151" s="31">
        <f t="shared" si="193"/>
        <v>3600</v>
      </c>
      <c r="CU151" s="4">
        <f t="shared" si="194"/>
        <v>0</v>
      </c>
      <c r="CV151" s="5">
        <f>D151*'MASTER SHEET'!D151</f>
        <v>7344</v>
      </c>
      <c r="CW151" s="5">
        <f>G151*'MASTER SHEET'!D151</f>
        <v>7344</v>
      </c>
      <c r="CX151" s="5">
        <f>J151*'MASTER SHEET'!D151</f>
        <v>7344</v>
      </c>
      <c r="CY151" s="5">
        <f>M151*'MASTER SHEET'!D151</f>
        <v>7344</v>
      </c>
      <c r="CZ151" s="5">
        <f>P151*'MASTER SHEET'!D151</f>
        <v>7344</v>
      </c>
      <c r="DA151" s="5">
        <f>S151*'MASTER SHEET'!D151</f>
        <v>7344</v>
      </c>
      <c r="DB151" s="5">
        <f>V151*'MASTER SHEET'!D151</f>
        <v>7344</v>
      </c>
      <c r="DC151" s="5">
        <f>Y151*'MASTER SHEET'!D151</f>
        <v>7344</v>
      </c>
      <c r="DD151" s="5">
        <f>AB151*'MASTER SHEET'!D151</f>
        <v>7344</v>
      </c>
      <c r="DE151" s="5">
        <f>AE151*'MASTER SHEET'!D151</f>
        <v>7344</v>
      </c>
      <c r="DF151" s="5">
        <f>AH151*'MASTER SHEET'!D151</f>
        <v>7344</v>
      </c>
      <c r="DG151" s="5">
        <f>AK151*'MASTER SHEET'!D151</f>
        <v>7344</v>
      </c>
      <c r="DH151" s="5">
        <f>AN151*'MASTER SHEET'!D151</f>
        <v>7344</v>
      </c>
      <c r="DI151" s="5">
        <f>AQ151*'MASTER SHEET'!D151</f>
        <v>7344</v>
      </c>
      <c r="DJ151" s="5">
        <f>AT151*'MASTER SHEET'!D151</f>
        <v>7344</v>
      </c>
      <c r="DK151" s="5">
        <f>AW151*'MASTER SHEET'!D151</f>
        <v>7344</v>
      </c>
      <c r="DL151" s="5">
        <f>AZ151*'MASTER SHEET'!D151</f>
        <v>7344</v>
      </c>
      <c r="DM151" s="5">
        <f>BC151*'MASTER SHEET'!D151</f>
        <v>7344</v>
      </c>
      <c r="DN151" s="5">
        <f>BF151*'MASTER SHEET'!D151</f>
        <v>7344</v>
      </c>
      <c r="DO151" s="5">
        <f>BI151*'MASTER SHEET'!D151</f>
        <v>7344</v>
      </c>
      <c r="DP151" s="5">
        <f>BL151*'MASTER SHEET'!D151</f>
        <v>7344</v>
      </c>
      <c r="DQ151" s="5">
        <f>BO151*'MASTER SHEET'!D151</f>
        <v>7344</v>
      </c>
      <c r="DR151" s="5">
        <f>BR151*'MASTER SHEET'!D151</f>
        <v>7344</v>
      </c>
      <c r="DS151" s="5">
        <f>BU151*'MASTER SHEET'!D151</f>
        <v>7344</v>
      </c>
      <c r="DT151" s="5">
        <f>BX151*'MASTER SHEET'!D151</f>
        <v>7344</v>
      </c>
      <c r="DU151" s="5">
        <f>CA151*'MASTER SHEET'!D151</f>
        <v>7344</v>
      </c>
      <c r="DV151" s="5">
        <f>CD151*'MASTER SHEET'!D151</f>
        <v>7344</v>
      </c>
      <c r="DW151" s="5">
        <f>CG151*'MASTER SHEET'!D151</f>
        <v>7344</v>
      </c>
      <c r="DX151" s="5">
        <f>CJ151*'MASTER SHEET'!D151</f>
        <v>7344</v>
      </c>
      <c r="DY151" s="5">
        <f>CM151*'MASTER SHEET'!D151</f>
        <v>7344</v>
      </c>
      <c r="DZ151" s="5">
        <f>CP151*'MASTER SHEET'!D151</f>
        <v>7344</v>
      </c>
      <c r="EA151" s="5">
        <f>CS151*'MASTER SHEET'!D151</f>
        <v>7344</v>
      </c>
      <c r="EB151" s="9"/>
    </row>
    <row r="152" spans="1:132" ht="15.75" x14ac:dyDescent="0.25">
      <c r="A152" s="25">
        <f>'MASTER SHEET'!A152</f>
        <v>150</v>
      </c>
      <c r="B152" s="164" t="str">
        <f>'MASTER SHEET'!B152</f>
        <v>CLIP PIN</v>
      </c>
      <c r="C152" s="165">
        <f>'MASTER SHEET'!C152</f>
        <v>70026</v>
      </c>
      <c r="D152" s="56">
        <v>0</v>
      </c>
      <c r="E152" s="57">
        <f>' WIP '!F152</f>
        <v>0</v>
      </c>
      <c r="F152" s="58">
        <v>0</v>
      </c>
      <c r="G152" s="59">
        <f t="shared" si="195"/>
        <v>0</v>
      </c>
      <c r="H152" s="57">
        <f>' WIP '!J152</f>
        <v>0</v>
      </c>
      <c r="I152" s="58">
        <v>0</v>
      </c>
      <c r="J152" s="59">
        <f t="shared" si="196"/>
        <v>0</v>
      </c>
      <c r="K152" s="57">
        <f>' WIP '!N152</f>
        <v>0</v>
      </c>
      <c r="L152" s="58"/>
      <c r="M152" s="59">
        <f t="shared" si="197"/>
        <v>0</v>
      </c>
      <c r="N152" s="57">
        <f>' WIP '!R152</f>
        <v>0</v>
      </c>
      <c r="O152" s="58">
        <v>0</v>
      </c>
      <c r="P152" s="59">
        <f t="shared" si="198"/>
        <v>0</v>
      </c>
      <c r="Q152" s="57">
        <f>' WIP '!V152</f>
        <v>0</v>
      </c>
      <c r="R152" s="58">
        <v>0</v>
      </c>
      <c r="S152" s="59">
        <f t="shared" si="199"/>
        <v>0</v>
      </c>
      <c r="T152" s="57">
        <f>' WIP '!Z152</f>
        <v>0</v>
      </c>
      <c r="U152" s="58">
        <v>0</v>
      </c>
      <c r="V152" s="59">
        <f t="shared" si="200"/>
        <v>0</v>
      </c>
      <c r="W152" s="57">
        <f>' WIP '!AD152</f>
        <v>0</v>
      </c>
      <c r="X152" s="58">
        <v>0</v>
      </c>
      <c r="Y152" s="59">
        <f t="shared" si="201"/>
        <v>0</v>
      </c>
      <c r="Z152" s="57">
        <f>' WIP '!AH152</f>
        <v>0</v>
      </c>
      <c r="AA152" s="58">
        <v>0</v>
      </c>
      <c r="AB152" s="59">
        <f t="shared" si="202"/>
        <v>0</v>
      </c>
      <c r="AC152" s="57">
        <f>' WIP '!AL152</f>
        <v>0</v>
      </c>
      <c r="AD152" s="58">
        <v>0</v>
      </c>
      <c r="AE152" s="59">
        <f t="shared" si="203"/>
        <v>0</v>
      </c>
      <c r="AF152" s="57">
        <f>' WIP '!AP152</f>
        <v>0</v>
      </c>
      <c r="AG152" s="114">
        <v>0</v>
      </c>
      <c r="AH152" s="59">
        <f t="shared" si="204"/>
        <v>0</v>
      </c>
      <c r="AI152" s="57">
        <f>' WIP '!AT152</f>
        <v>0</v>
      </c>
      <c r="AJ152" s="58">
        <v>0</v>
      </c>
      <c r="AK152" s="59">
        <f t="shared" si="205"/>
        <v>0</v>
      </c>
      <c r="AL152" s="57">
        <f>' WIP '!AX152</f>
        <v>0</v>
      </c>
      <c r="AM152" s="58"/>
      <c r="AN152" s="59">
        <f t="shared" si="206"/>
        <v>0</v>
      </c>
      <c r="AO152" s="57">
        <f>' WIP '!BB152</f>
        <v>0</v>
      </c>
      <c r="AP152" s="58">
        <v>0</v>
      </c>
      <c r="AQ152" s="59">
        <f t="shared" si="207"/>
        <v>0</v>
      </c>
      <c r="AR152" s="57">
        <f>' WIP '!BF152</f>
        <v>0</v>
      </c>
      <c r="AS152" s="58"/>
      <c r="AT152" s="59">
        <f t="shared" si="208"/>
        <v>0</v>
      </c>
      <c r="AU152" s="57">
        <f>' WIP '!BJ152</f>
        <v>0</v>
      </c>
      <c r="AV152" s="58">
        <v>0</v>
      </c>
      <c r="AW152" s="59">
        <f t="shared" si="209"/>
        <v>0</v>
      </c>
      <c r="AX152" s="57">
        <f>' WIP '!BN152</f>
        <v>0</v>
      </c>
      <c r="AY152" s="58">
        <v>0</v>
      </c>
      <c r="AZ152" s="59">
        <f t="shared" si="210"/>
        <v>0</v>
      </c>
      <c r="BA152" s="57">
        <f>' WIP '!BR152</f>
        <v>0</v>
      </c>
      <c r="BB152" s="58">
        <v>0</v>
      </c>
      <c r="BC152" s="59">
        <f t="shared" si="211"/>
        <v>0</v>
      </c>
      <c r="BD152" s="57">
        <f>' WIP '!BV152</f>
        <v>0</v>
      </c>
      <c r="BE152" s="58">
        <v>0</v>
      </c>
      <c r="BF152" s="59">
        <f t="shared" si="212"/>
        <v>0</v>
      </c>
      <c r="BG152" s="57">
        <f>' WIP '!BZ152</f>
        <v>0</v>
      </c>
      <c r="BH152" s="58"/>
      <c r="BI152" s="59">
        <f t="shared" si="213"/>
        <v>0</v>
      </c>
      <c r="BJ152" s="57">
        <f>' WIP '!CD152</f>
        <v>0</v>
      </c>
      <c r="BK152" s="58">
        <v>0</v>
      </c>
      <c r="BL152" s="59">
        <f t="shared" si="214"/>
        <v>0</v>
      </c>
      <c r="BM152" s="57">
        <f>' WIP '!CH152</f>
        <v>0</v>
      </c>
      <c r="BN152" s="58">
        <v>0</v>
      </c>
      <c r="BO152" s="59">
        <f t="shared" si="215"/>
        <v>0</v>
      </c>
      <c r="BP152" s="57">
        <f>' WIP '!CL152</f>
        <v>0</v>
      </c>
      <c r="BQ152" s="58"/>
      <c r="BR152" s="59">
        <f t="shared" si="216"/>
        <v>0</v>
      </c>
      <c r="BS152" s="57">
        <f>' WIP '!CP152</f>
        <v>0</v>
      </c>
      <c r="BT152" s="58">
        <v>0</v>
      </c>
      <c r="BU152" s="59">
        <f t="shared" si="217"/>
        <v>0</v>
      </c>
      <c r="BV152" s="57">
        <f>' WIP '!CT152</f>
        <v>0</v>
      </c>
      <c r="BW152" s="28">
        <v>0</v>
      </c>
      <c r="BX152" s="59">
        <f t="shared" si="218"/>
        <v>0</v>
      </c>
      <c r="BY152" s="57">
        <f>' WIP '!CX152</f>
        <v>0</v>
      </c>
      <c r="BZ152" s="58">
        <v>0</v>
      </c>
      <c r="CA152" s="59">
        <f t="shared" si="219"/>
        <v>0</v>
      </c>
      <c r="CB152" s="57">
        <f>' WIP '!DB152</f>
        <v>0</v>
      </c>
      <c r="CC152" s="58">
        <v>0</v>
      </c>
      <c r="CD152" s="59">
        <f t="shared" si="220"/>
        <v>0</v>
      </c>
      <c r="CE152" s="57">
        <f>' WIP '!DF152</f>
        <v>0</v>
      </c>
      <c r="CF152" s="58">
        <v>0</v>
      </c>
      <c r="CG152" s="59">
        <f t="shared" si="221"/>
        <v>0</v>
      </c>
      <c r="CH152" s="57">
        <f>' WIP '!DJ152</f>
        <v>0</v>
      </c>
      <c r="CI152" s="58">
        <v>0</v>
      </c>
      <c r="CJ152" s="59">
        <f t="shared" si="222"/>
        <v>0</v>
      </c>
      <c r="CK152" s="57">
        <f>' WIP '!DN152</f>
        <v>0</v>
      </c>
      <c r="CL152" s="58">
        <v>0</v>
      </c>
      <c r="CM152" s="59">
        <f t="shared" si="223"/>
        <v>0</v>
      </c>
      <c r="CN152" s="57">
        <f>' WIP '!DR152</f>
        <v>0</v>
      </c>
      <c r="CO152" s="57"/>
      <c r="CP152" s="59">
        <f t="shared" si="224"/>
        <v>0</v>
      </c>
      <c r="CQ152" s="57">
        <f>' WIP '!DV152</f>
        <v>0</v>
      </c>
      <c r="CR152" s="58"/>
      <c r="CS152" s="59">
        <f t="shared" si="225"/>
        <v>0</v>
      </c>
      <c r="CT152" s="31">
        <f t="shared" si="193"/>
        <v>0</v>
      </c>
      <c r="CU152" s="4">
        <f t="shared" si="194"/>
        <v>0</v>
      </c>
      <c r="CV152" s="5">
        <f>D152*'MASTER SHEET'!D152</f>
        <v>0</v>
      </c>
      <c r="CW152" s="5">
        <f>G152*'MASTER SHEET'!D152</f>
        <v>0</v>
      </c>
      <c r="CX152" s="5">
        <f>J152*'MASTER SHEET'!D152</f>
        <v>0</v>
      </c>
      <c r="CY152" s="5">
        <f>M152*'MASTER SHEET'!D152</f>
        <v>0</v>
      </c>
      <c r="CZ152" s="5">
        <f>P152*'MASTER SHEET'!D152</f>
        <v>0</v>
      </c>
      <c r="DA152" s="5">
        <f>S152*'MASTER SHEET'!D152</f>
        <v>0</v>
      </c>
      <c r="DB152" s="5">
        <f>V152*'MASTER SHEET'!D152</f>
        <v>0</v>
      </c>
      <c r="DC152" s="5">
        <f>Y152*'MASTER SHEET'!D152</f>
        <v>0</v>
      </c>
      <c r="DD152" s="5">
        <f>AB152*'MASTER SHEET'!D152</f>
        <v>0</v>
      </c>
      <c r="DE152" s="5">
        <f>AE152*'MASTER SHEET'!D152</f>
        <v>0</v>
      </c>
      <c r="DF152" s="5">
        <f>AH152*'MASTER SHEET'!D152</f>
        <v>0</v>
      </c>
      <c r="DG152" s="5">
        <f>AK152*'MASTER SHEET'!D152</f>
        <v>0</v>
      </c>
      <c r="DH152" s="5">
        <f>AN152*'MASTER SHEET'!D152</f>
        <v>0</v>
      </c>
      <c r="DI152" s="5">
        <f>AQ152*'MASTER SHEET'!D152</f>
        <v>0</v>
      </c>
      <c r="DJ152" s="5">
        <f>AT152*'MASTER SHEET'!D152</f>
        <v>0</v>
      </c>
      <c r="DK152" s="5">
        <f>AW152*'MASTER SHEET'!D152</f>
        <v>0</v>
      </c>
      <c r="DL152" s="5">
        <f>AZ152*'MASTER SHEET'!D152</f>
        <v>0</v>
      </c>
      <c r="DM152" s="5">
        <f>BC152*'MASTER SHEET'!D152</f>
        <v>0</v>
      </c>
      <c r="DN152" s="5">
        <f>BF152*'MASTER SHEET'!D152</f>
        <v>0</v>
      </c>
      <c r="DO152" s="5">
        <f>BI152*'MASTER SHEET'!D152</f>
        <v>0</v>
      </c>
      <c r="DP152" s="5">
        <f>BL152*'MASTER SHEET'!D152</f>
        <v>0</v>
      </c>
      <c r="DQ152" s="5">
        <f>BO152*'MASTER SHEET'!D152</f>
        <v>0</v>
      </c>
      <c r="DR152" s="5">
        <f>BR152*'MASTER SHEET'!D152</f>
        <v>0</v>
      </c>
      <c r="DS152" s="5">
        <f>BU152*'MASTER SHEET'!D152</f>
        <v>0</v>
      </c>
      <c r="DT152" s="5">
        <f>BX152*'MASTER SHEET'!D152</f>
        <v>0</v>
      </c>
      <c r="DU152" s="5">
        <f>CA152*'MASTER SHEET'!D152</f>
        <v>0</v>
      </c>
      <c r="DV152" s="5">
        <f>CD152*'MASTER SHEET'!D152</f>
        <v>0</v>
      </c>
      <c r="DW152" s="5">
        <f>CG152*'MASTER SHEET'!D152</f>
        <v>0</v>
      </c>
      <c r="DX152" s="5">
        <f>CJ152*'MASTER SHEET'!D152</f>
        <v>0</v>
      </c>
      <c r="DY152" s="5">
        <f>CM152*'MASTER SHEET'!D152</f>
        <v>0</v>
      </c>
      <c r="DZ152" s="5">
        <f>CP152*'MASTER SHEET'!D152</f>
        <v>0</v>
      </c>
      <c r="EA152" s="5">
        <f>CS152*'MASTER SHEET'!D152</f>
        <v>0</v>
      </c>
      <c r="EB152" s="9"/>
    </row>
    <row r="153" spans="1:132" ht="15.75" x14ac:dyDescent="0.25">
      <c r="A153" s="25">
        <f>'MASTER SHEET'!A153</f>
        <v>151</v>
      </c>
      <c r="B153" s="164" t="str">
        <f>'MASTER SHEET'!B153</f>
        <v>CLAMP D,FUEL PIPE</v>
      </c>
      <c r="C153" s="165">
        <f>'MASTER SHEET'!C153</f>
        <v>70007</v>
      </c>
      <c r="D153" s="56">
        <v>0</v>
      </c>
      <c r="E153" s="57">
        <f>' WIP '!F153</f>
        <v>0</v>
      </c>
      <c r="F153" s="58">
        <v>0</v>
      </c>
      <c r="G153" s="59">
        <f t="shared" si="195"/>
        <v>0</v>
      </c>
      <c r="H153" s="57">
        <f>' WIP '!J153</f>
        <v>0</v>
      </c>
      <c r="I153" s="58">
        <v>0</v>
      </c>
      <c r="J153" s="59">
        <f t="shared" si="196"/>
        <v>0</v>
      </c>
      <c r="K153" s="57">
        <f>' WIP '!N153</f>
        <v>0</v>
      </c>
      <c r="L153" s="58"/>
      <c r="M153" s="59">
        <f t="shared" si="197"/>
        <v>0</v>
      </c>
      <c r="N153" s="57">
        <f>' WIP '!R153</f>
        <v>0</v>
      </c>
      <c r="O153" s="58">
        <v>0</v>
      </c>
      <c r="P153" s="59">
        <f t="shared" si="198"/>
        <v>0</v>
      </c>
      <c r="Q153" s="57">
        <f>' WIP '!V153</f>
        <v>0</v>
      </c>
      <c r="R153" s="58">
        <v>0</v>
      </c>
      <c r="S153" s="59">
        <f t="shared" si="199"/>
        <v>0</v>
      </c>
      <c r="T153" s="57">
        <f>' WIP '!Z153</f>
        <v>1200</v>
      </c>
      <c r="U153" s="58">
        <v>1200</v>
      </c>
      <c r="V153" s="59">
        <f t="shared" si="200"/>
        <v>0</v>
      </c>
      <c r="W153" s="57">
        <f>' WIP '!AD153</f>
        <v>1200</v>
      </c>
      <c r="X153" s="58">
        <v>1200</v>
      </c>
      <c r="Y153" s="59">
        <f t="shared" si="201"/>
        <v>0</v>
      </c>
      <c r="Z153" s="57">
        <f>' WIP '!AH153</f>
        <v>0</v>
      </c>
      <c r="AA153" s="58">
        <v>0</v>
      </c>
      <c r="AB153" s="59">
        <f t="shared" si="202"/>
        <v>0</v>
      </c>
      <c r="AC153" s="57">
        <f>' WIP '!AL153</f>
        <v>0</v>
      </c>
      <c r="AD153" s="58">
        <v>0</v>
      </c>
      <c r="AE153" s="59">
        <f t="shared" si="203"/>
        <v>0</v>
      </c>
      <c r="AF153" s="57">
        <f>' WIP '!AP153</f>
        <v>0</v>
      </c>
      <c r="AG153" s="114">
        <v>0</v>
      </c>
      <c r="AH153" s="59">
        <f t="shared" si="204"/>
        <v>0</v>
      </c>
      <c r="AI153" s="57">
        <f>' WIP '!AT153</f>
        <v>0</v>
      </c>
      <c r="AJ153" s="58">
        <v>0</v>
      </c>
      <c r="AK153" s="59">
        <f t="shared" si="205"/>
        <v>0</v>
      </c>
      <c r="AL153" s="57">
        <f>' WIP '!AX153</f>
        <v>0</v>
      </c>
      <c r="AM153" s="58"/>
      <c r="AN153" s="59">
        <f t="shared" si="206"/>
        <v>0</v>
      </c>
      <c r="AO153" s="57">
        <f>' WIP '!BB153</f>
        <v>600</v>
      </c>
      <c r="AP153" s="58">
        <v>600</v>
      </c>
      <c r="AQ153" s="59">
        <f t="shared" si="207"/>
        <v>0</v>
      </c>
      <c r="AR153" s="57">
        <f>' WIP '!BF153</f>
        <v>600</v>
      </c>
      <c r="AS153" s="58">
        <v>600</v>
      </c>
      <c r="AT153" s="59">
        <f t="shared" si="208"/>
        <v>0</v>
      </c>
      <c r="AU153" s="57">
        <f>' WIP '!BJ153</f>
        <v>0</v>
      </c>
      <c r="AV153" s="58">
        <v>0</v>
      </c>
      <c r="AW153" s="59">
        <f t="shared" si="209"/>
        <v>0</v>
      </c>
      <c r="AX153" s="57">
        <f>' WIP '!BN153</f>
        <v>0</v>
      </c>
      <c r="AY153" s="58">
        <v>0</v>
      </c>
      <c r="AZ153" s="59">
        <f t="shared" si="210"/>
        <v>0</v>
      </c>
      <c r="BA153" s="57">
        <f>' WIP '!BR153</f>
        <v>0</v>
      </c>
      <c r="BB153" s="58">
        <v>0</v>
      </c>
      <c r="BC153" s="59">
        <f t="shared" si="211"/>
        <v>0</v>
      </c>
      <c r="BD153" s="57">
        <f>' WIP '!BV153</f>
        <v>0</v>
      </c>
      <c r="BE153" s="58">
        <v>0</v>
      </c>
      <c r="BF153" s="59">
        <f t="shared" si="212"/>
        <v>0</v>
      </c>
      <c r="BG153" s="57">
        <f>' WIP '!BZ153</f>
        <v>0</v>
      </c>
      <c r="BH153" s="58"/>
      <c r="BI153" s="59">
        <f t="shared" si="213"/>
        <v>0</v>
      </c>
      <c r="BJ153" s="57">
        <f>' WIP '!CD153</f>
        <v>0</v>
      </c>
      <c r="BK153" s="58">
        <v>0</v>
      </c>
      <c r="BL153" s="59">
        <f t="shared" si="214"/>
        <v>0</v>
      </c>
      <c r="BM153" s="57">
        <f>' WIP '!CH153</f>
        <v>0</v>
      </c>
      <c r="BN153" s="58">
        <v>0</v>
      </c>
      <c r="BO153" s="59">
        <f t="shared" si="215"/>
        <v>0</v>
      </c>
      <c r="BP153" s="57">
        <f>' WIP '!CL153</f>
        <v>0</v>
      </c>
      <c r="BQ153" s="58"/>
      <c r="BR153" s="59">
        <f t="shared" si="216"/>
        <v>0</v>
      </c>
      <c r="BS153" s="57">
        <f>' WIP '!CP153</f>
        <v>0</v>
      </c>
      <c r="BT153" s="58">
        <v>0</v>
      </c>
      <c r="BU153" s="59">
        <f t="shared" si="217"/>
        <v>0</v>
      </c>
      <c r="BV153" s="57">
        <f>' WIP '!CT153</f>
        <v>0</v>
      </c>
      <c r="BW153" s="28">
        <v>0</v>
      </c>
      <c r="BX153" s="59">
        <f t="shared" si="218"/>
        <v>0</v>
      </c>
      <c r="BY153" s="57">
        <f>' WIP '!CX153</f>
        <v>0</v>
      </c>
      <c r="BZ153" s="58">
        <v>0</v>
      </c>
      <c r="CA153" s="59">
        <f t="shared" si="219"/>
        <v>0</v>
      </c>
      <c r="CB153" s="57">
        <f>' WIP '!DB153</f>
        <v>0</v>
      </c>
      <c r="CC153" s="58">
        <v>0</v>
      </c>
      <c r="CD153" s="59">
        <f t="shared" si="220"/>
        <v>0</v>
      </c>
      <c r="CE153" s="57">
        <f>' WIP '!DF153</f>
        <v>0</v>
      </c>
      <c r="CF153" s="58">
        <v>0</v>
      </c>
      <c r="CG153" s="59">
        <f t="shared" si="221"/>
        <v>0</v>
      </c>
      <c r="CH153" s="57">
        <f>' WIP '!DJ153</f>
        <v>0</v>
      </c>
      <c r="CI153" s="58">
        <v>0</v>
      </c>
      <c r="CJ153" s="59">
        <f t="shared" si="222"/>
        <v>0</v>
      </c>
      <c r="CK153" s="57">
        <f>' WIP '!DN153</f>
        <v>0</v>
      </c>
      <c r="CL153" s="58">
        <v>0</v>
      </c>
      <c r="CM153" s="59">
        <f t="shared" si="223"/>
        <v>0</v>
      </c>
      <c r="CN153" s="57">
        <f>' WIP '!DR153</f>
        <v>0</v>
      </c>
      <c r="CO153" s="57"/>
      <c r="CP153" s="59">
        <f t="shared" si="224"/>
        <v>0</v>
      </c>
      <c r="CQ153" s="57">
        <f>' WIP '!DV153</f>
        <v>0</v>
      </c>
      <c r="CR153" s="58"/>
      <c r="CS153" s="59">
        <f t="shared" si="225"/>
        <v>0</v>
      </c>
      <c r="CT153" s="31">
        <f t="shared" si="193"/>
        <v>3600</v>
      </c>
      <c r="CU153" s="4">
        <f t="shared" si="194"/>
        <v>3600</v>
      </c>
      <c r="CV153" s="5">
        <f>D153*'MASTER SHEET'!D153</f>
        <v>0</v>
      </c>
      <c r="CW153" s="5">
        <f>G153*'MASTER SHEET'!D153</f>
        <v>0</v>
      </c>
      <c r="CX153" s="5">
        <f>J153*'MASTER SHEET'!D153</f>
        <v>0</v>
      </c>
      <c r="CY153" s="5">
        <f>M153*'MASTER SHEET'!D153</f>
        <v>0</v>
      </c>
      <c r="CZ153" s="5">
        <f>P153*'MASTER SHEET'!D153</f>
        <v>0</v>
      </c>
      <c r="DA153" s="5">
        <f>S153*'MASTER SHEET'!D153</f>
        <v>0</v>
      </c>
      <c r="DB153" s="5">
        <f>V153*'MASTER SHEET'!D153</f>
        <v>0</v>
      </c>
      <c r="DC153" s="5">
        <f>Y153*'MASTER SHEET'!D153</f>
        <v>0</v>
      </c>
      <c r="DD153" s="5">
        <f>AB153*'MASTER SHEET'!D153</f>
        <v>0</v>
      </c>
      <c r="DE153" s="5">
        <f>AE153*'MASTER SHEET'!D153</f>
        <v>0</v>
      </c>
      <c r="DF153" s="5">
        <f>AH153*'MASTER SHEET'!D153</f>
        <v>0</v>
      </c>
      <c r="DG153" s="5">
        <f>AK153*'MASTER SHEET'!D153</f>
        <v>0</v>
      </c>
      <c r="DH153" s="5">
        <f>AN153*'MASTER SHEET'!D153</f>
        <v>0</v>
      </c>
      <c r="DI153" s="5">
        <f>AQ153*'MASTER SHEET'!D153</f>
        <v>0</v>
      </c>
      <c r="DJ153" s="5">
        <f>AT153*'MASTER SHEET'!D153</f>
        <v>0</v>
      </c>
      <c r="DK153" s="5">
        <f>AW153*'MASTER SHEET'!D153</f>
        <v>0</v>
      </c>
      <c r="DL153" s="5">
        <f>AZ153*'MASTER SHEET'!D153</f>
        <v>0</v>
      </c>
      <c r="DM153" s="5">
        <f>BC153*'MASTER SHEET'!D153</f>
        <v>0</v>
      </c>
      <c r="DN153" s="5">
        <f>BF153*'MASTER SHEET'!D153</f>
        <v>0</v>
      </c>
      <c r="DO153" s="5">
        <f>BI153*'MASTER SHEET'!D153</f>
        <v>0</v>
      </c>
      <c r="DP153" s="5">
        <f>BL153*'MASTER SHEET'!D153</f>
        <v>0</v>
      </c>
      <c r="DQ153" s="5">
        <f>BO153*'MASTER SHEET'!D153</f>
        <v>0</v>
      </c>
      <c r="DR153" s="5">
        <f>BR153*'MASTER SHEET'!D153</f>
        <v>0</v>
      </c>
      <c r="DS153" s="5">
        <f>BU153*'MASTER SHEET'!D153</f>
        <v>0</v>
      </c>
      <c r="DT153" s="5">
        <f>BX153*'MASTER SHEET'!D153</f>
        <v>0</v>
      </c>
      <c r="DU153" s="5">
        <f>CA153*'MASTER SHEET'!D153</f>
        <v>0</v>
      </c>
      <c r="DV153" s="5">
        <f>CD153*'MASTER SHEET'!D153</f>
        <v>0</v>
      </c>
      <c r="DW153" s="5">
        <f>CG153*'MASTER SHEET'!D153</f>
        <v>0</v>
      </c>
      <c r="DX153" s="5">
        <f>CJ153*'MASTER SHEET'!D153</f>
        <v>0</v>
      </c>
      <c r="DY153" s="5">
        <f>CM153*'MASTER SHEET'!D153</f>
        <v>0</v>
      </c>
      <c r="DZ153" s="5">
        <f>CP153*'MASTER SHEET'!D153</f>
        <v>0</v>
      </c>
      <c r="EA153" s="5">
        <f>CS153*'MASTER SHEET'!D153</f>
        <v>0</v>
      </c>
      <c r="EB153" s="9"/>
    </row>
    <row r="154" spans="1:132" ht="15.75" x14ac:dyDescent="0.25">
      <c r="A154" s="25">
        <f>'MASTER SHEET'!A154</f>
        <v>152</v>
      </c>
      <c r="B154" s="164" t="str">
        <f>'MASTER SHEET'!B154</f>
        <v>CLAMP B,FUEL PIPE</v>
      </c>
      <c r="C154" s="165">
        <f>'MASTER SHEET'!C154</f>
        <v>70005</v>
      </c>
      <c r="D154" s="56">
        <v>0</v>
      </c>
      <c r="E154" s="57">
        <f>' WIP '!F154</f>
        <v>0</v>
      </c>
      <c r="F154" s="58">
        <v>0</v>
      </c>
      <c r="G154" s="59">
        <f t="shared" si="195"/>
        <v>0</v>
      </c>
      <c r="H154" s="57">
        <f>' WIP '!J154</f>
        <v>2400</v>
      </c>
      <c r="I154" s="58">
        <v>2400</v>
      </c>
      <c r="J154" s="59">
        <f t="shared" si="196"/>
        <v>0</v>
      </c>
      <c r="K154" s="57">
        <f>' WIP '!N154</f>
        <v>0</v>
      </c>
      <c r="L154" s="58"/>
      <c r="M154" s="59">
        <f t="shared" si="197"/>
        <v>0</v>
      </c>
      <c r="N154" s="57">
        <f>' WIP '!R154</f>
        <v>0</v>
      </c>
      <c r="O154" s="58">
        <v>0</v>
      </c>
      <c r="P154" s="59">
        <f t="shared" si="198"/>
        <v>0</v>
      </c>
      <c r="Q154" s="57">
        <f>' WIP '!V154</f>
        <v>2400</v>
      </c>
      <c r="R154" s="58">
        <v>2400</v>
      </c>
      <c r="S154" s="59">
        <f t="shared" si="199"/>
        <v>0</v>
      </c>
      <c r="T154" s="57">
        <f>' WIP '!Z154</f>
        <v>600</v>
      </c>
      <c r="U154" s="58">
        <v>600</v>
      </c>
      <c r="V154" s="59">
        <f t="shared" si="200"/>
        <v>0</v>
      </c>
      <c r="W154" s="57">
        <f>' WIP '!AD154</f>
        <v>0</v>
      </c>
      <c r="X154" s="58">
        <v>0</v>
      </c>
      <c r="Y154" s="59">
        <f t="shared" si="201"/>
        <v>0</v>
      </c>
      <c r="Z154" s="57">
        <f>' WIP '!AH154</f>
        <v>0</v>
      </c>
      <c r="AA154" s="58">
        <v>0</v>
      </c>
      <c r="AB154" s="59">
        <f t="shared" si="202"/>
        <v>0</v>
      </c>
      <c r="AC154" s="57">
        <f>' WIP '!AL154</f>
        <v>0</v>
      </c>
      <c r="AD154" s="58">
        <v>0</v>
      </c>
      <c r="AE154" s="59">
        <f t="shared" si="203"/>
        <v>0</v>
      </c>
      <c r="AF154" s="57">
        <f>' WIP '!AP154</f>
        <v>0</v>
      </c>
      <c r="AG154" s="114">
        <v>0</v>
      </c>
      <c r="AH154" s="59">
        <f t="shared" si="204"/>
        <v>0</v>
      </c>
      <c r="AI154" s="57">
        <f>' WIP '!AT154</f>
        <v>0</v>
      </c>
      <c r="AJ154" s="58">
        <v>0</v>
      </c>
      <c r="AK154" s="59">
        <f t="shared" si="205"/>
        <v>0</v>
      </c>
      <c r="AL154" s="57">
        <f>' WIP '!AX154</f>
        <v>0</v>
      </c>
      <c r="AM154" s="58"/>
      <c r="AN154" s="59">
        <f t="shared" si="206"/>
        <v>0</v>
      </c>
      <c r="AO154" s="57">
        <f>' WIP '!BB154</f>
        <v>0</v>
      </c>
      <c r="AP154" s="58">
        <v>0</v>
      </c>
      <c r="AQ154" s="59">
        <f t="shared" si="207"/>
        <v>0</v>
      </c>
      <c r="AR154" s="57">
        <f>' WIP '!BF154</f>
        <v>0</v>
      </c>
      <c r="AS154" s="58"/>
      <c r="AT154" s="59">
        <f t="shared" si="208"/>
        <v>0</v>
      </c>
      <c r="AU154" s="57">
        <f>' WIP '!BJ154</f>
        <v>0</v>
      </c>
      <c r="AV154" s="58">
        <v>0</v>
      </c>
      <c r="AW154" s="59">
        <f t="shared" si="209"/>
        <v>0</v>
      </c>
      <c r="AX154" s="57">
        <f>' WIP '!BN154</f>
        <v>0</v>
      </c>
      <c r="AY154" s="58">
        <v>0</v>
      </c>
      <c r="AZ154" s="59">
        <f t="shared" si="210"/>
        <v>0</v>
      </c>
      <c r="BA154" s="57">
        <f>' WIP '!BR154</f>
        <v>0</v>
      </c>
      <c r="BB154" s="58">
        <v>0</v>
      </c>
      <c r="BC154" s="59">
        <f t="shared" si="211"/>
        <v>0</v>
      </c>
      <c r="BD154" s="57">
        <f>' WIP '!BV154</f>
        <v>0</v>
      </c>
      <c r="BE154" s="58">
        <v>0</v>
      </c>
      <c r="BF154" s="59">
        <f t="shared" si="212"/>
        <v>0</v>
      </c>
      <c r="BG154" s="57">
        <f>' WIP '!BZ154</f>
        <v>0</v>
      </c>
      <c r="BH154" s="58"/>
      <c r="BI154" s="59">
        <f t="shared" si="213"/>
        <v>0</v>
      </c>
      <c r="BJ154" s="57">
        <f>' WIP '!CD154</f>
        <v>1800</v>
      </c>
      <c r="BK154" s="58">
        <v>1800</v>
      </c>
      <c r="BL154" s="59">
        <f t="shared" si="214"/>
        <v>0</v>
      </c>
      <c r="BM154" s="57">
        <f>' WIP '!CH154</f>
        <v>0</v>
      </c>
      <c r="BN154" s="58">
        <v>0</v>
      </c>
      <c r="BO154" s="59">
        <f t="shared" si="215"/>
        <v>0</v>
      </c>
      <c r="BP154" s="57">
        <f>' WIP '!CL154</f>
        <v>0</v>
      </c>
      <c r="BQ154" s="58"/>
      <c r="BR154" s="59">
        <f t="shared" si="216"/>
        <v>0</v>
      </c>
      <c r="BS154" s="57">
        <f>' WIP '!CP154</f>
        <v>0</v>
      </c>
      <c r="BT154" s="58">
        <v>0</v>
      </c>
      <c r="BU154" s="59">
        <f t="shared" si="217"/>
        <v>0</v>
      </c>
      <c r="BV154" s="57">
        <f>' WIP '!CT154</f>
        <v>0</v>
      </c>
      <c r="BW154" s="28">
        <v>0</v>
      </c>
      <c r="BX154" s="59">
        <f t="shared" si="218"/>
        <v>0</v>
      </c>
      <c r="BY154" s="57">
        <f>' WIP '!CX154</f>
        <v>0</v>
      </c>
      <c r="BZ154" s="58">
        <v>0</v>
      </c>
      <c r="CA154" s="59">
        <f t="shared" si="219"/>
        <v>0</v>
      </c>
      <c r="CB154" s="57">
        <f>' WIP '!DB154</f>
        <v>0</v>
      </c>
      <c r="CC154" s="58">
        <v>0</v>
      </c>
      <c r="CD154" s="59">
        <f t="shared" si="220"/>
        <v>0</v>
      </c>
      <c r="CE154" s="57">
        <f>' WIP '!DF154</f>
        <v>0</v>
      </c>
      <c r="CF154" s="58">
        <v>0</v>
      </c>
      <c r="CG154" s="59">
        <f t="shared" si="221"/>
        <v>0</v>
      </c>
      <c r="CH154" s="57">
        <f>' WIP '!DJ154</f>
        <v>0</v>
      </c>
      <c r="CI154" s="58">
        <v>0</v>
      </c>
      <c r="CJ154" s="59">
        <f t="shared" si="222"/>
        <v>0</v>
      </c>
      <c r="CK154" s="57">
        <f>' WIP '!DN154</f>
        <v>0</v>
      </c>
      <c r="CL154" s="58">
        <v>0</v>
      </c>
      <c r="CM154" s="59">
        <f t="shared" si="223"/>
        <v>0</v>
      </c>
      <c r="CN154" s="57">
        <f>' WIP '!DR154</f>
        <v>0</v>
      </c>
      <c r="CO154" s="57"/>
      <c r="CP154" s="59">
        <f t="shared" si="224"/>
        <v>0</v>
      </c>
      <c r="CQ154" s="57">
        <f>' WIP '!DV154</f>
        <v>0</v>
      </c>
      <c r="CR154" s="58"/>
      <c r="CS154" s="59">
        <f t="shared" si="225"/>
        <v>0</v>
      </c>
      <c r="CT154" s="31">
        <f t="shared" si="193"/>
        <v>7200</v>
      </c>
      <c r="CU154" s="4">
        <f t="shared" si="194"/>
        <v>7200</v>
      </c>
      <c r="CV154" s="5">
        <f>D154*'MASTER SHEET'!D154</f>
        <v>0</v>
      </c>
      <c r="CW154" s="5">
        <f>G154*'MASTER SHEET'!D154</f>
        <v>0</v>
      </c>
      <c r="CX154" s="5">
        <f>J154*'MASTER SHEET'!D154</f>
        <v>0</v>
      </c>
      <c r="CY154" s="5">
        <f>M154*'MASTER SHEET'!D154</f>
        <v>0</v>
      </c>
      <c r="CZ154" s="5">
        <f>P154*'MASTER SHEET'!D154</f>
        <v>0</v>
      </c>
      <c r="DA154" s="5">
        <f>S154*'MASTER SHEET'!D154</f>
        <v>0</v>
      </c>
      <c r="DB154" s="5">
        <f>V154*'MASTER SHEET'!D154</f>
        <v>0</v>
      </c>
      <c r="DC154" s="5">
        <f>Y154*'MASTER SHEET'!D154</f>
        <v>0</v>
      </c>
      <c r="DD154" s="5">
        <f>AB154*'MASTER SHEET'!D154</f>
        <v>0</v>
      </c>
      <c r="DE154" s="5">
        <f>AE154*'MASTER SHEET'!D154</f>
        <v>0</v>
      </c>
      <c r="DF154" s="5">
        <f>AH154*'MASTER SHEET'!D154</f>
        <v>0</v>
      </c>
      <c r="DG154" s="5">
        <f>AK154*'MASTER SHEET'!D154</f>
        <v>0</v>
      </c>
      <c r="DH154" s="5">
        <f>AN154*'MASTER SHEET'!D154</f>
        <v>0</v>
      </c>
      <c r="DI154" s="5">
        <f>AQ154*'MASTER SHEET'!D154</f>
        <v>0</v>
      </c>
      <c r="DJ154" s="5">
        <f>AT154*'MASTER SHEET'!D154</f>
        <v>0</v>
      </c>
      <c r="DK154" s="5">
        <f>AW154*'MASTER SHEET'!D154</f>
        <v>0</v>
      </c>
      <c r="DL154" s="5">
        <f>AZ154*'MASTER SHEET'!D154</f>
        <v>0</v>
      </c>
      <c r="DM154" s="5">
        <f>BC154*'MASTER SHEET'!D154</f>
        <v>0</v>
      </c>
      <c r="DN154" s="5">
        <f>BF154*'MASTER SHEET'!D154</f>
        <v>0</v>
      </c>
      <c r="DO154" s="5">
        <f>BI154*'MASTER SHEET'!D154</f>
        <v>0</v>
      </c>
      <c r="DP154" s="5">
        <f>BL154*'MASTER SHEET'!D154</f>
        <v>0</v>
      </c>
      <c r="DQ154" s="5">
        <f>BO154*'MASTER SHEET'!D154</f>
        <v>0</v>
      </c>
      <c r="DR154" s="5">
        <f>BR154*'MASTER SHEET'!D154</f>
        <v>0</v>
      </c>
      <c r="DS154" s="5">
        <f>BU154*'MASTER SHEET'!D154</f>
        <v>0</v>
      </c>
      <c r="DT154" s="5">
        <f>BX154*'MASTER SHEET'!D154</f>
        <v>0</v>
      </c>
      <c r="DU154" s="5">
        <f>CA154*'MASTER SHEET'!D154</f>
        <v>0</v>
      </c>
      <c r="DV154" s="5">
        <f>CD154*'MASTER SHEET'!D154</f>
        <v>0</v>
      </c>
      <c r="DW154" s="5">
        <f>CG154*'MASTER SHEET'!D154</f>
        <v>0</v>
      </c>
      <c r="DX154" s="5">
        <f>CJ154*'MASTER SHEET'!D154</f>
        <v>0</v>
      </c>
      <c r="DY154" s="5">
        <f>CM154*'MASTER SHEET'!D154</f>
        <v>0</v>
      </c>
      <c r="DZ154" s="5">
        <f>CP154*'MASTER SHEET'!D154</f>
        <v>0</v>
      </c>
      <c r="EA154" s="5">
        <f>CS154*'MASTER SHEET'!D154</f>
        <v>0</v>
      </c>
      <c r="EB154" s="9"/>
    </row>
    <row r="155" spans="1:132" ht="15.75" x14ac:dyDescent="0.25">
      <c r="A155" s="25">
        <f>'MASTER SHEET'!A155</f>
        <v>153</v>
      </c>
      <c r="B155" s="164" t="str">
        <f>'MASTER SHEET'!B155</f>
        <v>CLAMP</v>
      </c>
      <c r="C155" s="165">
        <f>'MASTER SHEET'!C155</f>
        <v>62543</v>
      </c>
      <c r="D155" s="56">
        <v>0</v>
      </c>
      <c r="E155" s="57">
        <f>' WIP '!F155</f>
        <v>0</v>
      </c>
      <c r="F155" s="58">
        <v>0</v>
      </c>
      <c r="G155" s="59">
        <f t="shared" si="195"/>
        <v>0</v>
      </c>
      <c r="H155" s="57">
        <f>' WIP '!J155</f>
        <v>0</v>
      </c>
      <c r="I155" s="58">
        <v>0</v>
      </c>
      <c r="J155" s="59">
        <f t="shared" si="196"/>
        <v>0</v>
      </c>
      <c r="K155" s="57">
        <f>' WIP '!N155</f>
        <v>0</v>
      </c>
      <c r="L155" s="58"/>
      <c r="M155" s="59">
        <f t="shared" si="197"/>
        <v>0</v>
      </c>
      <c r="N155" s="57">
        <f>' WIP '!R155</f>
        <v>0</v>
      </c>
      <c r="O155" s="58">
        <v>0</v>
      </c>
      <c r="P155" s="59">
        <f t="shared" si="198"/>
        <v>0</v>
      </c>
      <c r="Q155" s="57">
        <f>' WIP '!V155</f>
        <v>0</v>
      </c>
      <c r="R155" s="58">
        <v>0</v>
      </c>
      <c r="S155" s="59">
        <f t="shared" si="199"/>
        <v>0</v>
      </c>
      <c r="T155" s="57">
        <f>' WIP '!Z155</f>
        <v>0</v>
      </c>
      <c r="U155" s="58">
        <v>0</v>
      </c>
      <c r="V155" s="59">
        <f t="shared" si="200"/>
        <v>0</v>
      </c>
      <c r="W155" s="57">
        <f>' WIP '!AD155</f>
        <v>0</v>
      </c>
      <c r="X155" s="58">
        <v>0</v>
      </c>
      <c r="Y155" s="59">
        <f t="shared" si="201"/>
        <v>0</v>
      </c>
      <c r="Z155" s="57">
        <f>' WIP '!AH155</f>
        <v>0</v>
      </c>
      <c r="AA155" s="58">
        <v>0</v>
      </c>
      <c r="AB155" s="59">
        <f t="shared" si="202"/>
        <v>0</v>
      </c>
      <c r="AC155" s="57">
        <f>' WIP '!AL155</f>
        <v>0</v>
      </c>
      <c r="AD155" s="58">
        <v>0</v>
      </c>
      <c r="AE155" s="59">
        <f t="shared" si="203"/>
        <v>0</v>
      </c>
      <c r="AF155" s="57">
        <f>' WIP '!AP155</f>
        <v>0</v>
      </c>
      <c r="AG155" s="114">
        <v>0</v>
      </c>
      <c r="AH155" s="59">
        <f t="shared" si="204"/>
        <v>0</v>
      </c>
      <c r="AI155" s="57">
        <f>' WIP '!AT155</f>
        <v>0</v>
      </c>
      <c r="AJ155" s="58">
        <v>0</v>
      </c>
      <c r="AK155" s="59">
        <f t="shared" si="205"/>
        <v>0</v>
      </c>
      <c r="AL155" s="57">
        <f>' WIP '!AX155</f>
        <v>0</v>
      </c>
      <c r="AM155" s="58"/>
      <c r="AN155" s="59">
        <f t="shared" si="206"/>
        <v>0</v>
      </c>
      <c r="AO155" s="57">
        <f>' WIP '!BB155</f>
        <v>0</v>
      </c>
      <c r="AP155" s="58">
        <v>0</v>
      </c>
      <c r="AQ155" s="59">
        <f t="shared" si="207"/>
        <v>0</v>
      </c>
      <c r="AR155" s="57">
        <f>' WIP '!BF155</f>
        <v>0</v>
      </c>
      <c r="AS155" s="58"/>
      <c r="AT155" s="59">
        <f t="shared" si="208"/>
        <v>0</v>
      </c>
      <c r="AU155" s="57">
        <f>' WIP '!BJ155</f>
        <v>0</v>
      </c>
      <c r="AV155" s="58">
        <v>0</v>
      </c>
      <c r="AW155" s="59">
        <f t="shared" si="209"/>
        <v>0</v>
      </c>
      <c r="AX155" s="57">
        <f>' WIP '!BN155</f>
        <v>0</v>
      </c>
      <c r="AY155" s="58">
        <v>0</v>
      </c>
      <c r="AZ155" s="59">
        <f t="shared" si="210"/>
        <v>0</v>
      </c>
      <c r="BA155" s="57">
        <f>' WIP '!BR155</f>
        <v>0</v>
      </c>
      <c r="BB155" s="58">
        <v>0</v>
      </c>
      <c r="BC155" s="59">
        <f t="shared" si="211"/>
        <v>0</v>
      </c>
      <c r="BD155" s="57">
        <f>' WIP '!BV155</f>
        <v>0</v>
      </c>
      <c r="BE155" s="58">
        <v>0</v>
      </c>
      <c r="BF155" s="59">
        <f t="shared" si="212"/>
        <v>0</v>
      </c>
      <c r="BG155" s="57">
        <f>' WIP '!BZ155</f>
        <v>0</v>
      </c>
      <c r="BH155" s="58"/>
      <c r="BI155" s="59">
        <f t="shared" si="213"/>
        <v>0</v>
      </c>
      <c r="BJ155" s="57">
        <f>' WIP '!CD155</f>
        <v>0</v>
      </c>
      <c r="BK155" s="58">
        <v>0</v>
      </c>
      <c r="BL155" s="59">
        <f t="shared" si="214"/>
        <v>0</v>
      </c>
      <c r="BM155" s="57">
        <f>' WIP '!CH155</f>
        <v>0</v>
      </c>
      <c r="BN155" s="58">
        <v>0</v>
      </c>
      <c r="BO155" s="59">
        <f t="shared" si="215"/>
        <v>0</v>
      </c>
      <c r="BP155" s="57">
        <f>' WIP '!CL155</f>
        <v>0</v>
      </c>
      <c r="BQ155" s="58"/>
      <c r="BR155" s="59">
        <f t="shared" si="216"/>
        <v>0</v>
      </c>
      <c r="BS155" s="57">
        <f>' WIP '!CP155</f>
        <v>0</v>
      </c>
      <c r="BT155" s="58">
        <v>0</v>
      </c>
      <c r="BU155" s="59">
        <f t="shared" si="217"/>
        <v>0</v>
      </c>
      <c r="BV155" s="57">
        <f>' WIP '!CT155</f>
        <v>0</v>
      </c>
      <c r="BW155" s="28">
        <v>0</v>
      </c>
      <c r="BX155" s="59">
        <f t="shared" si="218"/>
        <v>0</v>
      </c>
      <c r="BY155" s="57">
        <f>' WIP '!CX155</f>
        <v>0</v>
      </c>
      <c r="BZ155" s="58">
        <v>0</v>
      </c>
      <c r="CA155" s="59">
        <f t="shared" si="219"/>
        <v>0</v>
      </c>
      <c r="CB155" s="57">
        <f>' WIP '!DB155</f>
        <v>0</v>
      </c>
      <c r="CC155" s="58">
        <v>0</v>
      </c>
      <c r="CD155" s="59">
        <f t="shared" si="220"/>
        <v>0</v>
      </c>
      <c r="CE155" s="57">
        <f>' WIP '!DF155</f>
        <v>0</v>
      </c>
      <c r="CF155" s="58">
        <v>0</v>
      </c>
      <c r="CG155" s="59">
        <f t="shared" si="221"/>
        <v>0</v>
      </c>
      <c r="CH155" s="57">
        <f>' WIP '!DJ155</f>
        <v>0</v>
      </c>
      <c r="CI155" s="58">
        <v>0</v>
      </c>
      <c r="CJ155" s="59">
        <f t="shared" si="222"/>
        <v>0</v>
      </c>
      <c r="CK155" s="57">
        <f>' WIP '!DN155</f>
        <v>0</v>
      </c>
      <c r="CL155" s="58">
        <v>0</v>
      </c>
      <c r="CM155" s="59">
        <f t="shared" si="223"/>
        <v>0</v>
      </c>
      <c r="CN155" s="57">
        <f>' WIP '!DR155</f>
        <v>0</v>
      </c>
      <c r="CO155" s="57"/>
      <c r="CP155" s="59">
        <f t="shared" si="224"/>
        <v>0</v>
      </c>
      <c r="CQ155" s="57">
        <f>' WIP '!DV155</f>
        <v>0</v>
      </c>
      <c r="CR155" s="58"/>
      <c r="CS155" s="59">
        <f t="shared" si="225"/>
        <v>0</v>
      </c>
      <c r="CT155" s="31">
        <f t="shared" si="193"/>
        <v>0</v>
      </c>
      <c r="CU155" s="4">
        <f t="shared" si="194"/>
        <v>0</v>
      </c>
      <c r="CV155" s="5">
        <f>D155*'MASTER SHEET'!D155</f>
        <v>0</v>
      </c>
      <c r="CW155" s="5">
        <f>G155*'MASTER SHEET'!D155</f>
        <v>0</v>
      </c>
      <c r="CX155" s="5">
        <f>J155*'MASTER SHEET'!D155</f>
        <v>0</v>
      </c>
      <c r="CY155" s="5">
        <f>M155*'MASTER SHEET'!D155</f>
        <v>0</v>
      </c>
      <c r="CZ155" s="5">
        <f>P155*'MASTER SHEET'!D155</f>
        <v>0</v>
      </c>
      <c r="DA155" s="5">
        <f>S155*'MASTER SHEET'!D155</f>
        <v>0</v>
      </c>
      <c r="DB155" s="5">
        <f>V155*'MASTER SHEET'!D155</f>
        <v>0</v>
      </c>
      <c r="DC155" s="5">
        <f>Y155*'MASTER SHEET'!D155</f>
        <v>0</v>
      </c>
      <c r="DD155" s="5">
        <f>AB155*'MASTER SHEET'!D155</f>
        <v>0</v>
      </c>
      <c r="DE155" s="5">
        <f>AE155*'MASTER SHEET'!D155</f>
        <v>0</v>
      </c>
      <c r="DF155" s="5">
        <f>AH155*'MASTER SHEET'!D155</f>
        <v>0</v>
      </c>
      <c r="DG155" s="5">
        <f>AK155*'MASTER SHEET'!D155</f>
        <v>0</v>
      </c>
      <c r="DH155" s="5">
        <f>AN155*'MASTER SHEET'!D155</f>
        <v>0</v>
      </c>
      <c r="DI155" s="5">
        <f>AQ155*'MASTER SHEET'!D155</f>
        <v>0</v>
      </c>
      <c r="DJ155" s="5">
        <f>AT155*'MASTER SHEET'!D155</f>
        <v>0</v>
      </c>
      <c r="DK155" s="5">
        <f>AW155*'MASTER SHEET'!D155</f>
        <v>0</v>
      </c>
      <c r="DL155" s="5">
        <f>AZ155*'MASTER SHEET'!D155</f>
        <v>0</v>
      </c>
      <c r="DM155" s="5">
        <f>BC155*'MASTER SHEET'!D155</f>
        <v>0</v>
      </c>
      <c r="DN155" s="5">
        <f>BF155*'MASTER SHEET'!D155</f>
        <v>0</v>
      </c>
      <c r="DO155" s="5">
        <f>BI155*'MASTER SHEET'!D155</f>
        <v>0</v>
      </c>
      <c r="DP155" s="5">
        <f>BL155*'MASTER SHEET'!D155</f>
        <v>0</v>
      </c>
      <c r="DQ155" s="5">
        <f>BO155*'MASTER SHEET'!D155</f>
        <v>0</v>
      </c>
      <c r="DR155" s="5">
        <f>BR155*'MASTER SHEET'!D155</f>
        <v>0</v>
      </c>
      <c r="DS155" s="5">
        <f>BU155*'MASTER SHEET'!D155</f>
        <v>0</v>
      </c>
      <c r="DT155" s="5">
        <f>BX155*'MASTER SHEET'!D155</f>
        <v>0</v>
      </c>
      <c r="DU155" s="5">
        <f>CA155*'MASTER SHEET'!D155</f>
        <v>0</v>
      </c>
      <c r="DV155" s="5">
        <f>CD155*'MASTER SHEET'!D155</f>
        <v>0</v>
      </c>
      <c r="DW155" s="5">
        <f>CG155*'MASTER SHEET'!D155</f>
        <v>0</v>
      </c>
      <c r="DX155" s="5">
        <f>CJ155*'MASTER SHEET'!D155</f>
        <v>0</v>
      </c>
      <c r="DY155" s="5">
        <f>CM155*'MASTER SHEET'!D155</f>
        <v>0</v>
      </c>
      <c r="DZ155" s="5">
        <f>CP155*'MASTER SHEET'!D155</f>
        <v>0</v>
      </c>
      <c r="EA155" s="5">
        <f>CS155*'MASTER SHEET'!D155</f>
        <v>0</v>
      </c>
      <c r="EB155" s="9"/>
    </row>
    <row r="156" spans="1:132" ht="15.75" x14ac:dyDescent="0.25">
      <c r="A156" s="25">
        <f>'MASTER SHEET'!A156</f>
        <v>154</v>
      </c>
      <c r="B156" s="164" t="str">
        <f>'MASTER SHEET'!B156</f>
        <v>CAP</v>
      </c>
      <c r="C156" s="165">
        <f>'MASTER SHEET'!C156</f>
        <v>62620</v>
      </c>
      <c r="D156" s="56">
        <v>0</v>
      </c>
      <c r="E156" s="57">
        <f>' WIP '!F156</f>
        <v>0</v>
      </c>
      <c r="F156" s="58">
        <v>0</v>
      </c>
      <c r="G156" s="59">
        <f t="shared" si="195"/>
        <v>0</v>
      </c>
      <c r="H156" s="57">
        <f>' WIP '!J156</f>
        <v>0</v>
      </c>
      <c r="I156" s="58">
        <v>0</v>
      </c>
      <c r="J156" s="59">
        <f t="shared" si="196"/>
        <v>0</v>
      </c>
      <c r="K156" s="57">
        <f>' WIP '!N156</f>
        <v>0</v>
      </c>
      <c r="L156" s="58"/>
      <c r="M156" s="59">
        <f t="shared" si="197"/>
        <v>0</v>
      </c>
      <c r="N156" s="57">
        <f>' WIP '!R156</f>
        <v>0</v>
      </c>
      <c r="O156" s="58">
        <v>0</v>
      </c>
      <c r="P156" s="59">
        <f t="shared" si="198"/>
        <v>0</v>
      </c>
      <c r="Q156" s="57">
        <f>' WIP '!V156</f>
        <v>0</v>
      </c>
      <c r="R156" s="58">
        <v>0</v>
      </c>
      <c r="S156" s="59">
        <f t="shared" si="199"/>
        <v>0</v>
      </c>
      <c r="T156" s="57">
        <f>' WIP '!Z156</f>
        <v>0</v>
      </c>
      <c r="U156" s="58">
        <v>0</v>
      </c>
      <c r="V156" s="59">
        <f t="shared" si="200"/>
        <v>0</v>
      </c>
      <c r="W156" s="57">
        <f>' WIP '!AD156</f>
        <v>0</v>
      </c>
      <c r="X156" s="58">
        <v>0</v>
      </c>
      <c r="Y156" s="59">
        <f t="shared" si="201"/>
        <v>0</v>
      </c>
      <c r="Z156" s="57">
        <f>' WIP '!AH156</f>
        <v>0</v>
      </c>
      <c r="AA156" s="58">
        <v>0</v>
      </c>
      <c r="AB156" s="59">
        <f t="shared" si="202"/>
        <v>0</v>
      </c>
      <c r="AC156" s="57">
        <f>' WIP '!AL156</f>
        <v>0</v>
      </c>
      <c r="AD156" s="58">
        <v>0</v>
      </c>
      <c r="AE156" s="59">
        <f t="shared" si="203"/>
        <v>0</v>
      </c>
      <c r="AF156" s="57">
        <f>' WIP '!AP156</f>
        <v>0</v>
      </c>
      <c r="AG156" s="114">
        <v>0</v>
      </c>
      <c r="AH156" s="59">
        <f t="shared" si="204"/>
        <v>0</v>
      </c>
      <c r="AI156" s="57">
        <f>' WIP '!AT156</f>
        <v>0</v>
      </c>
      <c r="AJ156" s="58">
        <v>0</v>
      </c>
      <c r="AK156" s="59">
        <f t="shared" si="205"/>
        <v>0</v>
      </c>
      <c r="AL156" s="57">
        <f>' WIP '!AX156</f>
        <v>0</v>
      </c>
      <c r="AM156" s="58"/>
      <c r="AN156" s="59">
        <f t="shared" si="206"/>
        <v>0</v>
      </c>
      <c r="AO156" s="57">
        <f>' WIP '!BB156</f>
        <v>0</v>
      </c>
      <c r="AP156" s="58">
        <v>0</v>
      </c>
      <c r="AQ156" s="59">
        <f t="shared" si="207"/>
        <v>0</v>
      </c>
      <c r="AR156" s="57">
        <f>' WIP '!BF156</f>
        <v>0</v>
      </c>
      <c r="AS156" s="58"/>
      <c r="AT156" s="59">
        <f t="shared" si="208"/>
        <v>0</v>
      </c>
      <c r="AU156" s="57">
        <f>' WIP '!BJ156</f>
        <v>0</v>
      </c>
      <c r="AV156" s="58">
        <v>0</v>
      </c>
      <c r="AW156" s="59">
        <f t="shared" si="209"/>
        <v>0</v>
      </c>
      <c r="AX156" s="57">
        <f>' WIP '!BN156</f>
        <v>0</v>
      </c>
      <c r="AY156" s="58">
        <v>0</v>
      </c>
      <c r="AZ156" s="59">
        <f t="shared" si="210"/>
        <v>0</v>
      </c>
      <c r="BA156" s="57">
        <f>' WIP '!BR156</f>
        <v>0</v>
      </c>
      <c r="BB156" s="58">
        <v>0</v>
      </c>
      <c r="BC156" s="59">
        <f t="shared" si="211"/>
        <v>0</v>
      </c>
      <c r="BD156" s="57">
        <f>' WIP '!BV156</f>
        <v>0</v>
      </c>
      <c r="BE156" s="58">
        <v>0</v>
      </c>
      <c r="BF156" s="59">
        <f t="shared" si="212"/>
        <v>0</v>
      </c>
      <c r="BG156" s="57">
        <f>' WIP '!BZ156</f>
        <v>0</v>
      </c>
      <c r="BH156" s="58"/>
      <c r="BI156" s="59">
        <f t="shared" si="213"/>
        <v>0</v>
      </c>
      <c r="BJ156" s="57">
        <f>' WIP '!CD156</f>
        <v>0</v>
      </c>
      <c r="BK156" s="58">
        <v>0</v>
      </c>
      <c r="BL156" s="59">
        <f t="shared" si="214"/>
        <v>0</v>
      </c>
      <c r="BM156" s="57">
        <f>' WIP '!CH156</f>
        <v>0</v>
      </c>
      <c r="BN156" s="58">
        <v>0</v>
      </c>
      <c r="BO156" s="59">
        <f t="shared" si="215"/>
        <v>0</v>
      </c>
      <c r="BP156" s="57">
        <f>' WIP '!CL156</f>
        <v>0</v>
      </c>
      <c r="BQ156" s="58"/>
      <c r="BR156" s="59">
        <f t="shared" si="216"/>
        <v>0</v>
      </c>
      <c r="BS156" s="57">
        <f>' WIP '!CP156</f>
        <v>0</v>
      </c>
      <c r="BT156" s="58">
        <v>0</v>
      </c>
      <c r="BU156" s="59">
        <f t="shared" si="217"/>
        <v>0</v>
      </c>
      <c r="BV156" s="57">
        <f>' WIP '!CT156</f>
        <v>0</v>
      </c>
      <c r="BW156" s="28">
        <v>0</v>
      </c>
      <c r="BX156" s="59">
        <f t="shared" si="218"/>
        <v>0</v>
      </c>
      <c r="BY156" s="57">
        <f>' WIP '!CX156</f>
        <v>0</v>
      </c>
      <c r="BZ156" s="58">
        <v>0</v>
      </c>
      <c r="CA156" s="59">
        <f t="shared" si="219"/>
        <v>0</v>
      </c>
      <c r="CB156" s="57">
        <f>' WIP '!DB156</f>
        <v>0</v>
      </c>
      <c r="CC156" s="58">
        <v>0</v>
      </c>
      <c r="CD156" s="59">
        <f t="shared" si="220"/>
        <v>0</v>
      </c>
      <c r="CE156" s="57">
        <f>' WIP '!DF156</f>
        <v>0</v>
      </c>
      <c r="CF156" s="58">
        <v>0</v>
      </c>
      <c r="CG156" s="59">
        <f t="shared" si="221"/>
        <v>0</v>
      </c>
      <c r="CH156" s="57">
        <f>' WIP '!DJ156</f>
        <v>0</v>
      </c>
      <c r="CI156" s="58">
        <v>0</v>
      </c>
      <c r="CJ156" s="59">
        <f t="shared" si="222"/>
        <v>0</v>
      </c>
      <c r="CK156" s="57">
        <f>' WIP '!DN156</f>
        <v>0</v>
      </c>
      <c r="CL156" s="58">
        <v>0</v>
      </c>
      <c r="CM156" s="59">
        <f t="shared" si="223"/>
        <v>0</v>
      </c>
      <c r="CN156" s="57">
        <f>' WIP '!DR156</f>
        <v>0</v>
      </c>
      <c r="CO156" s="57"/>
      <c r="CP156" s="59">
        <f t="shared" si="224"/>
        <v>0</v>
      </c>
      <c r="CQ156" s="57">
        <f>' WIP '!DV156</f>
        <v>0</v>
      </c>
      <c r="CR156" s="58"/>
      <c r="CS156" s="59">
        <f t="shared" si="225"/>
        <v>0</v>
      </c>
      <c r="CT156" s="31">
        <f t="shared" si="193"/>
        <v>0</v>
      </c>
      <c r="CU156" s="4">
        <f t="shared" si="194"/>
        <v>0</v>
      </c>
      <c r="CV156" s="5">
        <f>D156*'MASTER SHEET'!D156</f>
        <v>0</v>
      </c>
      <c r="CW156" s="5">
        <f>G156*'MASTER SHEET'!D156</f>
        <v>0</v>
      </c>
      <c r="CX156" s="5">
        <f>J156*'MASTER SHEET'!D156</f>
        <v>0</v>
      </c>
      <c r="CY156" s="5">
        <f>M156*'MASTER SHEET'!D156</f>
        <v>0</v>
      </c>
      <c r="CZ156" s="5">
        <f>P156*'MASTER SHEET'!D156</f>
        <v>0</v>
      </c>
      <c r="DA156" s="5">
        <f>S156*'MASTER SHEET'!D156</f>
        <v>0</v>
      </c>
      <c r="DB156" s="5">
        <f>V156*'MASTER SHEET'!D156</f>
        <v>0</v>
      </c>
      <c r="DC156" s="5">
        <f>Y156*'MASTER SHEET'!D156</f>
        <v>0</v>
      </c>
      <c r="DD156" s="5">
        <f>AB156*'MASTER SHEET'!D156</f>
        <v>0</v>
      </c>
      <c r="DE156" s="5">
        <f>AE156*'MASTER SHEET'!D156</f>
        <v>0</v>
      </c>
      <c r="DF156" s="5">
        <f>AH156*'MASTER SHEET'!D156</f>
        <v>0</v>
      </c>
      <c r="DG156" s="5">
        <f>AK156*'MASTER SHEET'!D156</f>
        <v>0</v>
      </c>
      <c r="DH156" s="5">
        <f>AN156*'MASTER SHEET'!D156</f>
        <v>0</v>
      </c>
      <c r="DI156" s="5">
        <f>AQ156*'MASTER SHEET'!D156</f>
        <v>0</v>
      </c>
      <c r="DJ156" s="5">
        <f>AT156*'MASTER SHEET'!D156</f>
        <v>0</v>
      </c>
      <c r="DK156" s="5">
        <f>AW156*'MASTER SHEET'!D156</f>
        <v>0</v>
      </c>
      <c r="DL156" s="5">
        <f>AZ156*'MASTER SHEET'!D156</f>
        <v>0</v>
      </c>
      <c r="DM156" s="5">
        <f>BC156*'MASTER SHEET'!D156</f>
        <v>0</v>
      </c>
      <c r="DN156" s="5">
        <f>BF156*'MASTER SHEET'!D156</f>
        <v>0</v>
      </c>
      <c r="DO156" s="5">
        <f>BI156*'MASTER SHEET'!D156</f>
        <v>0</v>
      </c>
      <c r="DP156" s="5">
        <f>BL156*'MASTER SHEET'!D156</f>
        <v>0</v>
      </c>
      <c r="DQ156" s="5">
        <f>BO156*'MASTER SHEET'!D156</f>
        <v>0</v>
      </c>
      <c r="DR156" s="5">
        <f>BR156*'MASTER SHEET'!D156</f>
        <v>0</v>
      </c>
      <c r="DS156" s="5">
        <f>BU156*'MASTER SHEET'!D156</f>
        <v>0</v>
      </c>
      <c r="DT156" s="5">
        <f>BX156*'MASTER SHEET'!D156</f>
        <v>0</v>
      </c>
      <c r="DU156" s="5">
        <f>CA156*'MASTER SHEET'!D156</f>
        <v>0</v>
      </c>
      <c r="DV156" s="5">
        <f>CD156*'MASTER SHEET'!D156</f>
        <v>0</v>
      </c>
      <c r="DW156" s="5">
        <f>CG156*'MASTER SHEET'!D156</f>
        <v>0</v>
      </c>
      <c r="DX156" s="5">
        <f>CJ156*'MASTER SHEET'!D156</f>
        <v>0</v>
      </c>
      <c r="DY156" s="5">
        <f>CM156*'MASTER SHEET'!D156</f>
        <v>0</v>
      </c>
      <c r="DZ156" s="5">
        <f>CP156*'MASTER SHEET'!D156</f>
        <v>0</v>
      </c>
      <c r="EA156" s="5">
        <f>CS156*'MASTER SHEET'!D156</f>
        <v>0</v>
      </c>
      <c r="EB156" s="9"/>
    </row>
    <row r="157" spans="1:132" ht="15.75" x14ac:dyDescent="0.25">
      <c r="A157" s="25">
        <f>'MASTER SHEET'!A157</f>
        <v>155</v>
      </c>
      <c r="B157" s="164" t="str">
        <f>'MASTER SHEET'!B157</f>
        <v>CLAMP HEATER NOSE</v>
      </c>
      <c r="C157" s="165">
        <f>'MASTER SHEET'!C157</f>
        <v>62625</v>
      </c>
      <c r="D157" s="56">
        <v>0</v>
      </c>
      <c r="E157" s="57">
        <f>' WIP '!F157</f>
        <v>0</v>
      </c>
      <c r="F157" s="58">
        <v>0</v>
      </c>
      <c r="G157" s="59">
        <f t="shared" si="195"/>
        <v>0</v>
      </c>
      <c r="H157" s="57">
        <f>' WIP '!J157</f>
        <v>0</v>
      </c>
      <c r="I157" s="58">
        <v>0</v>
      </c>
      <c r="J157" s="59">
        <f t="shared" si="196"/>
        <v>0</v>
      </c>
      <c r="K157" s="57">
        <f>' WIP '!N157</f>
        <v>0</v>
      </c>
      <c r="L157" s="58"/>
      <c r="M157" s="59">
        <f t="shared" si="197"/>
        <v>0</v>
      </c>
      <c r="N157" s="57">
        <f>' WIP '!R157</f>
        <v>0</v>
      </c>
      <c r="O157" s="58">
        <v>0</v>
      </c>
      <c r="P157" s="59">
        <f t="shared" si="198"/>
        <v>0</v>
      </c>
      <c r="Q157" s="57">
        <f>' WIP '!V157</f>
        <v>0</v>
      </c>
      <c r="R157" s="58">
        <v>0</v>
      </c>
      <c r="S157" s="59">
        <f t="shared" si="199"/>
        <v>0</v>
      </c>
      <c r="T157" s="57">
        <f>' WIP '!Z157</f>
        <v>0</v>
      </c>
      <c r="U157" s="58">
        <v>0</v>
      </c>
      <c r="V157" s="59">
        <f t="shared" si="200"/>
        <v>0</v>
      </c>
      <c r="W157" s="57">
        <f>' WIP '!AD157</f>
        <v>0</v>
      </c>
      <c r="X157" s="58">
        <v>0</v>
      </c>
      <c r="Y157" s="59">
        <f t="shared" si="201"/>
        <v>0</v>
      </c>
      <c r="Z157" s="57">
        <f>' WIP '!AH157</f>
        <v>0</v>
      </c>
      <c r="AA157" s="58">
        <v>0</v>
      </c>
      <c r="AB157" s="59">
        <f t="shared" si="202"/>
        <v>0</v>
      </c>
      <c r="AC157" s="57">
        <f>' WIP '!AL157</f>
        <v>0</v>
      </c>
      <c r="AD157" s="58">
        <v>0</v>
      </c>
      <c r="AE157" s="59">
        <f t="shared" si="203"/>
        <v>0</v>
      </c>
      <c r="AF157" s="57">
        <f>' WIP '!AP157</f>
        <v>0</v>
      </c>
      <c r="AG157" s="114">
        <v>0</v>
      </c>
      <c r="AH157" s="59">
        <f t="shared" si="204"/>
        <v>0</v>
      </c>
      <c r="AI157" s="57">
        <f>' WIP '!AT157</f>
        <v>2000</v>
      </c>
      <c r="AJ157" s="58">
        <v>2000</v>
      </c>
      <c r="AK157" s="59">
        <f t="shared" si="205"/>
        <v>0</v>
      </c>
      <c r="AL157" s="57">
        <f>' WIP '!AX157</f>
        <v>0</v>
      </c>
      <c r="AM157" s="58"/>
      <c r="AN157" s="59">
        <f t="shared" si="206"/>
        <v>0</v>
      </c>
      <c r="AO157" s="57">
        <f>' WIP '!BB157</f>
        <v>0</v>
      </c>
      <c r="AP157" s="58">
        <v>0</v>
      </c>
      <c r="AQ157" s="59">
        <f t="shared" si="207"/>
        <v>0</v>
      </c>
      <c r="AR157" s="57">
        <f>' WIP '!BF157</f>
        <v>0</v>
      </c>
      <c r="AS157" s="58"/>
      <c r="AT157" s="59">
        <f t="shared" si="208"/>
        <v>0</v>
      </c>
      <c r="AU157" s="57">
        <f>' WIP '!BJ157</f>
        <v>0</v>
      </c>
      <c r="AV157" s="58">
        <v>0</v>
      </c>
      <c r="AW157" s="59">
        <f t="shared" si="209"/>
        <v>0</v>
      </c>
      <c r="AX157" s="57">
        <f>' WIP '!BN157</f>
        <v>0</v>
      </c>
      <c r="AY157" s="58">
        <v>0</v>
      </c>
      <c r="AZ157" s="59">
        <f t="shared" si="210"/>
        <v>0</v>
      </c>
      <c r="BA157" s="57">
        <f>' WIP '!BR157</f>
        <v>0</v>
      </c>
      <c r="BB157" s="58">
        <v>0</v>
      </c>
      <c r="BC157" s="59">
        <f t="shared" si="211"/>
        <v>0</v>
      </c>
      <c r="BD157" s="57">
        <f>' WIP '!BV157</f>
        <v>0</v>
      </c>
      <c r="BE157" s="58">
        <v>0</v>
      </c>
      <c r="BF157" s="59">
        <f t="shared" si="212"/>
        <v>0</v>
      </c>
      <c r="BG157" s="57">
        <f>' WIP '!BZ157</f>
        <v>0</v>
      </c>
      <c r="BH157" s="58"/>
      <c r="BI157" s="59">
        <f t="shared" si="213"/>
        <v>0</v>
      </c>
      <c r="BJ157" s="57">
        <f>' WIP '!CD157</f>
        <v>0</v>
      </c>
      <c r="BK157" s="58">
        <v>0</v>
      </c>
      <c r="BL157" s="59">
        <f t="shared" si="214"/>
        <v>0</v>
      </c>
      <c r="BM157" s="57">
        <f>' WIP '!CH157</f>
        <v>0</v>
      </c>
      <c r="BN157" s="58">
        <v>0</v>
      </c>
      <c r="BO157" s="59">
        <f t="shared" si="215"/>
        <v>0</v>
      </c>
      <c r="BP157" s="57">
        <f>' WIP '!CL157</f>
        <v>0</v>
      </c>
      <c r="BQ157" s="58"/>
      <c r="BR157" s="59">
        <f t="shared" si="216"/>
        <v>0</v>
      </c>
      <c r="BS157" s="57">
        <f>' WIP '!CP157</f>
        <v>0</v>
      </c>
      <c r="BT157" s="58">
        <v>0</v>
      </c>
      <c r="BU157" s="59">
        <f t="shared" si="217"/>
        <v>0</v>
      </c>
      <c r="BV157" s="57">
        <f>' WIP '!CT157</f>
        <v>0</v>
      </c>
      <c r="BW157" s="28">
        <v>0</v>
      </c>
      <c r="BX157" s="59">
        <f t="shared" si="218"/>
        <v>0</v>
      </c>
      <c r="BY157" s="57">
        <f>' WIP '!CX157</f>
        <v>0</v>
      </c>
      <c r="BZ157" s="58">
        <v>0</v>
      </c>
      <c r="CA157" s="59">
        <f t="shared" si="219"/>
        <v>0</v>
      </c>
      <c r="CB157" s="57">
        <f>' WIP '!DB157</f>
        <v>0</v>
      </c>
      <c r="CC157" s="58">
        <v>0</v>
      </c>
      <c r="CD157" s="59">
        <f t="shared" si="220"/>
        <v>0</v>
      </c>
      <c r="CE157" s="57">
        <f>' WIP '!DF157</f>
        <v>1000</v>
      </c>
      <c r="CF157" s="58">
        <v>1000</v>
      </c>
      <c r="CG157" s="59">
        <f t="shared" si="221"/>
        <v>0</v>
      </c>
      <c r="CH157" s="57">
        <f>' WIP '!DJ157</f>
        <v>0</v>
      </c>
      <c r="CI157" s="58">
        <v>0</v>
      </c>
      <c r="CJ157" s="59">
        <f t="shared" si="222"/>
        <v>0</v>
      </c>
      <c r="CK157" s="57">
        <f>' WIP '!DN157</f>
        <v>0</v>
      </c>
      <c r="CL157" s="58">
        <v>0</v>
      </c>
      <c r="CM157" s="59">
        <f t="shared" si="223"/>
        <v>0</v>
      </c>
      <c r="CN157" s="57">
        <f>' WIP '!DR157</f>
        <v>0</v>
      </c>
      <c r="CO157" s="57"/>
      <c r="CP157" s="59">
        <f t="shared" si="224"/>
        <v>0</v>
      </c>
      <c r="CQ157" s="57">
        <f>' WIP '!DV157</f>
        <v>0</v>
      </c>
      <c r="CR157" s="58"/>
      <c r="CS157" s="59">
        <f t="shared" si="225"/>
        <v>0</v>
      </c>
      <c r="CT157" s="31">
        <f t="shared" si="193"/>
        <v>3000</v>
      </c>
      <c r="CU157" s="4">
        <f t="shared" si="194"/>
        <v>3000</v>
      </c>
      <c r="CV157" s="5">
        <f>D157*'MASTER SHEET'!D157</f>
        <v>0</v>
      </c>
      <c r="CW157" s="5">
        <f>G157*'MASTER SHEET'!D157</f>
        <v>0</v>
      </c>
      <c r="CX157" s="5">
        <f>J157*'MASTER SHEET'!D157</f>
        <v>0</v>
      </c>
      <c r="CY157" s="5">
        <f>M157*'MASTER SHEET'!D157</f>
        <v>0</v>
      </c>
      <c r="CZ157" s="5">
        <f>P157*'MASTER SHEET'!D157</f>
        <v>0</v>
      </c>
      <c r="DA157" s="5">
        <f>S157*'MASTER SHEET'!D157</f>
        <v>0</v>
      </c>
      <c r="DB157" s="5">
        <f>V157*'MASTER SHEET'!D157</f>
        <v>0</v>
      </c>
      <c r="DC157" s="5">
        <f>Y157*'MASTER SHEET'!D157</f>
        <v>0</v>
      </c>
      <c r="DD157" s="5">
        <f>AB157*'MASTER SHEET'!D157</f>
        <v>0</v>
      </c>
      <c r="DE157" s="5">
        <f>AE157*'MASTER SHEET'!D157</f>
        <v>0</v>
      </c>
      <c r="DF157" s="5">
        <f>AH157*'MASTER SHEET'!D157</f>
        <v>0</v>
      </c>
      <c r="DG157" s="5">
        <f>AK157*'MASTER SHEET'!D157</f>
        <v>0</v>
      </c>
      <c r="DH157" s="5">
        <f>AN157*'MASTER SHEET'!D157</f>
        <v>0</v>
      </c>
      <c r="DI157" s="5">
        <f>AQ157*'MASTER SHEET'!D157</f>
        <v>0</v>
      </c>
      <c r="DJ157" s="5">
        <f>AT157*'MASTER SHEET'!D157</f>
        <v>0</v>
      </c>
      <c r="DK157" s="5">
        <f>AW157*'MASTER SHEET'!D157</f>
        <v>0</v>
      </c>
      <c r="DL157" s="5">
        <f>AZ157*'MASTER SHEET'!D157</f>
        <v>0</v>
      </c>
      <c r="DM157" s="5">
        <f>BC157*'MASTER SHEET'!D157</f>
        <v>0</v>
      </c>
      <c r="DN157" s="5">
        <f>BF157*'MASTER SHEET'!D157</f>
        <v>0</v>
      </c>
      <c r="DO157" s="5">
        <f>BI157*'MASTER SHEET'!D157</f>
        <v>0</v>
      </c>
      <c r="DP157" s="5">
        <f>BL157*'MASTER SHEET'!D157</f>
        <v>0</v>
      </c>
      <c r="DQ157" s="5">
        <f>BO157*'MASTER SHEET'!D157</f>
        <v>0</v>
      </c>
      <c r="DR157" s="5">
        <f>BR157*'MASTER SHEET'!D157</f>
        <v>0</v>
      </c>
      <c r="DS157" s="5">
        <f>BU157*'MASTER SHEET'!D157</f>
        <v>0</v>
      </c>
      <c r="DT157" s="5">
        <f>BX157*'MASTER SHEET'!D157</f>
        <v>0</v>
      </c>
      <c r="DU157" s="5">
        <f>CA157*'MASTER SHEET'!D157</f>
        <v>0</v>
      </c>
      <c r="DV157" s="5">
        <f>CD157*'MASTER SHEET'!D157</f>
        <v>0</v>
      </c>
      <c r="DW157" s="5">
        <f>CG157*'MASTER SHEET'!D157</f>
        <v>0</v>
      </c>
      <c r="DX157" s="5">
        <f>CJ157*'MASTER SHEET'!D157</f>
        <v>0</v>
      </c>
      <c r="DY157" s="5">
        <f>CM157*'MASTER SHEET'!D157</f>
        <v>0</v>
      </c>
      <c r="DZ157" s="5">
        <f>CP157*'MASTER SHEET'!D157</f>
        <v>0</v>
      </c>
      <c r="EA157" s="5">
        <f>CS157*'MASTER SHEET'!D157</f>
        <v>0</v>
      </c>
      <c r="EB157" s="9"/>
    </row>
    <row r="158" spans="1:132" ht="15.75" x14ac:dyDescent="0.25">
      <c r="A158" s="25">
        <f>'MASTER SHEET'!A158</f>
        <v>156</v>
      </c>
      <c r="B158" s="164" t="str">
        <f>'MASTER SHEET'!B158</f>
        <v>CLAMP</v>
      </c>
      <c r="C158" s="165">
        <f>'MASTER SHEET'!C158</f>
        <v>62591</v>
      </c>
      <c r="D158" s="56">
        <v>0</v>
      </c>
      <c r="E158" s="57">
        <f>' WIP '!F158</f>
        <v>0</v>
      </c>
      <c r="F158" s="58">
        <v>0</v>
      </c>
      <c r="G158" s="59">
        <f t="shared" si="195"/>
        <v>0</v>
      </c>
      <c r="H158" s="57">
        <f>' WIP '!J158</f>
        <v>0</v>
      </c>
      <c r="I158" s="58">
        <v>0</v>
      </c>
      <c r="J158" s="59">
        <f t="shared" si="196"/>
        <v>0</v>
      </c>
      <c r="K158" s="57">
        <f>' WIP '!N158</f>
        <v>0</v>
      </c>
      <c r="L158" s="58"/>
      <c r="M158" s="59">
        <f t="shared" si="197"/>
        <v>0</v>
      </c>
      <c r="N158" s="57">
        <f>' WIP '!R158</f>
        <v>0</v>
      </c>
      <c r="O158" s="58">
        <v>0</v>
      </c>
      <c r="P158" s="59">
        <f t="shared" si="198"/>
        <v>0</v>
      </c>
      <c r="Q158" s="57">
        <f>' WIP '!V158</f>
        <v>0</v>
      </c>
      <c r="R158" s="58">
        <v>0</v>
      </c>
      <c r="S158" s="59">
        <f t="shared" si="199"/>
        <v>0</v>
      </c>
      <c r="T158" s="57">
        <f>' WIP '!Z158</f>
        <v>0</v>
      </c>
      <c r="U158" s="58">
        <v>0</v>
      </c>
      <c r="V158" s="59">
        <f t="shared" si="200"/>
        <v>0</v>
      </c>
      <c r="W158" s="57">
        <f>' WIP '!AD158</f>
        <v>0</v>
      </c>
      <c r="X158" s="58">
        <v>0</v>
      </c>
      <c r="Y158" s="59">
        <f t="shared" si="201"/>
        <v>0</v>
      </c>
      <c r="Z158" s="57">
        <f>' WIP '!AH158</f>
        <v>0</v>
      </c>
      <c r="AA158" s="58">
        <v>0</v>
      </c>
      <c r="AB158" s="59">
        <f t="shared" si="202"/>
        <v>0</v>
      </c>
      <c r="AC158" s="57">
        <f>' WIP '!AL158</f>
        <v>0</v>
      </c>
      <c r="AD158" s="58">
        <v>0</v>
      </c>
      <c r="AE158" s="59">
        <f t="shared" si="203"/>
        <v>0</v>
      </c>
      <c r="AF158" s="57">
        <f>' WIP '!AP158</f>
        <v>0</v>
      </c>
      <c r="AG158" s="114">
        <v>0</v>
      </c>
      <c r="AH158" s="59">
        <f t="shared" si="204"/>
        <v>0</v>
      </c>
      <c r="AI158" s="57">
        <f>' WIP '!AT158</f>
        <v>3000</v>
      </c>
      <c r="AJ158" s="58">
        <v>3000</v>
      </c>
      <c r="AK158" s="59">
        <f t="shared" si="205"/>
        <v>0</v>
      </c>
      <c r="AL158" s="57">
        <f>' WIP '!AX158</f>
        <v>0</v>
      </c>
      <c r="AM158" s="58"/>
      <c r="AN158" s="59">
        <f t="shared" si="206"/>
        <v>0</v>
      </c>
      <c r="AO158" s="57">
        <f>' WIP '!BB158</f>
        <v>0</v>
      </c>
      <c r="AP158" s="58">
        <v>0</v>
      </c>
      <c r="AQ158" s="59">
        <f t="shared" si="207"/>
        <v>0</v>
      </c>
      <c r="AR158" s="57">
        <f>' WIP '!BF158</f>
        <v>0</v>
      </c>
      <c r="AS158" s="58"/>
      <c r="AT158" s="59">
        <f t="shared" si="208"/>
        <v>0</v>
      </c>
      <c r="AU158" s="57">
        <f>' WIP '!BJ158</f>
        <v>0</v>
      </c>
      <c r="AV158" s="58">
        <v>0</v>
      </c>
      <c r="AW158" s="59">
        <f t="shared" si="209"/>
        <v>0</v>
      </c>
      <c r="AX158" s="57">
        <f>' WIP '!BN158</f>
        <v>0</v>
      </c>
      <c r="AY158" s="58">
        <v>0</v>
      </c>
      <c r="AZ158" s="59">
        <f t="shared" si="210"/>
        <v>0</v>
      </c>
      <c r="BA158" s="57">
        <f>' WIP '!BR158</f>
        <v>0</v>
      </c>
      <c r="BB158" s="58">
        <v>0</v>
      </c>
      <c r="BC158" s="59">
        <f t="shared" si="211"/>
        <v>0</v>
      </c>
      <c r="BD158" s="57">
        <f>' WIP '!BV158</f>
        <v>0</v>
      </c>
      <c r="BE158" s="58">
        <v>0</v>
      </c>
      <c r="BF158" s="59">
        <f t="shared" si="212"/>
        <v>0</v>
      </c>
      <c r="BG158" s="57">
        <f>' WIP '!BZ158</f>
        <v>0</v>
      </c>
      <c r="BH158" s="58"/>
      <c r="BI158" s="59">
        <f t="shared" si="213"/>
        <v>0</v>
      </c>
      <c r="BJ158" s="57">
        <f>' WIP '!CD158</f>
        <v>0</v>
      </c>
      <c r="BK158" s="58">
        <v>0</v>
      </c>
      <c r="BL158" s="59">
        <f t="shared" si="214"/>
        <v>0</v>
      </c>
      <c r="BM158" s="57">
        <f>' WIP '!CH158</f>
        <v>0</v>
      </c>
      <c r="BN158" s="58">
        <v>0</v>
      </c>
      <c r="BO158" s="59">
        <f t="shared" si="215"/>
        <v>0</v>
      </c>
      <c r="BP158" s="57">
        <f>' WIP '!CL158</f>
        <v>10000</v>
      </c>
      <c r="BQ158" s="58">
        <v>10000</v>
      </c>
      <c r="BR158" s="59">
        <f t="shared" si="216"/>
        <v>0</v>
      </c>
      <c r="BS158" s="57">
        <f>' WIP '!CP158</f>
        <v>0</v>
      </c>
      <c r="BT158" s="58">
        <v>0</v>
      </c>
      <c r="BU158" s="59">
        <f t="shared" si="217"/>
        <v>0</v>
      </c>
      <c r="BV158" s="57">
        <f>' WIP '!CT158</f>
        <v>0</v>
      </c>
      <c r="BW158" s="28">
        <v>0</v>
      </c>
      <c r="BX158" s="59">
        <f t="shared" si="218"/>
        <v>0</v>
      </c>
      <c r="BY158" s="57">
        <f>' WIP '!CX158</f>
        <v>0</v>
      </c>
      <c r="BZ158" s="58">
        <v>0</v>
      </c>
      <c r="CA158" s="59">
        <f t="shared" si="219"/>
        <v>0</v>
      </c>
      <c r="CB158" s="57">
        <f>' WIP '!DB158</f>
        <v>0</v>
      </c>
      <c r="CC158" s="58">
        <v>0</v>
      </c>
      <c r="CD158" s="59">
        <f t="shared" si="220"/>
        <v>0</v>
      </c>
      <c r="CE158" s="57">
        <f>' WIP '!DF158</f>
        <v>0</v>
      </c>
      <c r="CF158" s="58">
        <v>0</v>
      </c>
      <c r="CG158" s="59">
        <f t="shared" si="221"/>
        <v>0</v>
      </c>
      <c r="CH158" s="57">
        <f>' WIP '!DJ158</f>
        <v>0</v>
      </c>
      <c r="CI158" s="58">
        <v>0</v>
      </c>
      <c r="CJ158" s="59">
        <f t="shared" si="222"/>
        <v>0</v>
      </c>
      <c r="CK158" s="57">
        <f>' WIP '!DN158</f>
        <v>0</v>
      </c>
      <c r="CL158" s="58">
        <v>0</v>
      </c>
      <c r="CM158" s="59">
        <f t="shared" si="223"/>
        <v>0</v>
      </c>
      <c r="CN158" s="57">
        <f>' WIP '!DR158</f>
        <v>0</v>
      </c>
      <c r="CO158" s="57"/>
      <c r="CP158" s="59">
        <f t="shared" si="224"/>
        <v>0</v>
      </c>
      <c r="CQ158" s="57">
        <f>' WIP '!DV158</f>
        <v>0</v>
      </c>
      <c r="CR158" s="58"/>
      <c r="CS158" s="59">
        <f t="shared" si="225"/>
        <v>0</v>
      </c>
      <c r="CT158" s="31">
        <f t="shared" si="193"/>
        <v>13000</v>
      </c>
      <c r="CU158" s="4">
        <f t="shared" si="194"/>
        <v>13000</v>
      </c>
      <c r="CV158" s="5">
        <f>D158*'MASTER SHEET'!D158</f>
        <v>0</v>
      </c>
      <c r="CW158" s="5">
        <f>G158*'MASTER SHEET'!D158</f>
        <v>0</v>
      </c>
      <c r="CX158" s="5">
        <f>J158*'MASTER SHEET'!D158</f>
        <v>0</v>
      </c>
      <c r="CY158" s="5">
        <f>M158*'MASTER SHEET'!D158</f>
        <v>0</v>
      </c>
      <c r="CZ158" s="5">
        <f>P158*'MASTER SHEET'!D158</f>
        <v>0</v>
      </c>
      <c r="DA158" s="5">
        <f>S158*'MASTER SHEET'!D158</f>
        <v>0</v>
      </c>
      <c r="DB158" s="5">
        <f>V158*'MASTER SHEET'!D158</f>
        <v>0</v>
      </c>
      <c r="DC158" s="5">
        <f>Y158*'MASTER SHEET'!D158</f>
        <v>0</v>
      </c>
      <c r="DD158" s="5">
        <f>AB158*'MASTER SHEET'!D158</f>
        <v>0</v>
      </c>
      <c r="DE158" s="5">
        <f>AE158*'MASTER SHEET'!D158</f>
        <v>0</v>
      </c>
      <c r="DF158" s="5">
        <f>AH158*'MASTER SHEET'!D158</f>
        <v>0</v>
      </c>
      <c r="DG158" s="5">
        <f>AK158*'MASTER SHEET'!D158</f>
        <v>0</v>
      </c>
      <c r="DH158" s="5">
        <f>AN158*'MASTER SHEET'!D158</f>
        <v>0</v>
      </c>
      <c r="DI158" s="5">
        <f>AQ158*'MASTER SHEET'!D158</f>
        <v>0</v>
      </c>
      <c r="DJ158" s="5">
        <f>AT158*'MASTER SHEET'!D158</f>
        <v>0</v>
      </c>
      <c r="DK158" s="5">
        <f>AW158*'MASTER SHEET'!D158</f>
        <v>0</v>
      </c>
      <c r="DL158" s="5">
        <f>AZ158*'MASTER SHEET'!D158</f>
        <v>0</v>
      </c>
      <c r="DM158" s="5">
        <f>BC158*'MASTER SHEET'!D158</f>
        <v>0</v>
      </c>
      <c r="DN158" s="5">
        <f>BF158*'MASTER SHEET'!D158</f>
        <v>0</v>
      </c>
      <c r="DO158" s="5">
        <f>BI158*'MASTER SHEET'!D158</f>
        <v>0</v>
      </c>
      <c r="DP158" s="5">
        <f>BL158*'MASTER SHEET'!D158</f>
        <v>0</v>
      </c>
      <c r="DQ158" s="5">
        <f>BO158*'MASTER SHEET'!D158</f>
        <v>0</v>
      </c>
      <c r="DR158" s="5">
        <f>BR158*'MASTER SHEET'!D158</f>
        <v>0</v>
      </c>
      <c r="DS158" s="5">
        <f>BU158*'MASTER SHEET'!D158</f>
        <v>0</v>
      </c>
      <c r="DT158" s="5">
        <f>BX158*'MASTER SHEET'!D158</f>
        <v>0</v>
      </c>
      <c r="DU158" s="5">
        <f>CA158*'MASTER SHEET'!D158</f>
        <v>0</v>
      </c>
      <c r="DV158" s="5">
        <f>CD158*'MASTER SHEET'!D158</f>
        <v>0</v>
      </c>
      <c r="DW158" s="5">
        <f>CG158*'MASTER SHEET'!D158</f>
        <v>0</v>
      </c>
      <c r="DX158" s="5">
        <f>CJ158*'MASTER SHEET'!D158</f>
        <v>0</v>
      </c>
      <c r="DY158" s="5">
        <f>CM158*'MASTER SHEET'!D158</f>
        <v>0</v>
      </c>
      <c r="DZ158" s="5">
        <f>CP158*'MASTER SHEET'!D158</f>
        <v>0</v>
      </c>
      <c r="EA158" s="5">
        <f>CS158*'MASTER SHEET'!D158</f>
        <v>0</v>
      </c>
      <c r="EB158" s="9"/>
    </row>
    <row r="159" spans="1:132" ht="15.75" x14ac:dyDescent="0.25">
      <c r="A159" s="25">
        <f>'MASTER SHEET'!A159</f>
        <v>157</v>
      </c>
      <c r="B159" s="164" t="str">
        <f>'MASTER SHEET'!B159</f>
        <v>CAP TAIL MEMBER</v>
      </c>
      <c r="C159" s="165">
        <f>'MASTER SHEET'!C159</f>
        <v>62479</v>
      </c>
      <c r="D159" s="56"/>
      <c r="E159" s="57">
        <f>' WIP '!F159</f>
        <v>0</v>
      </c>
      <c r="F159" s="58">
        <v>0</v>
      </c>
      <c r="G159" s="59">
        <f t="shared" si="195"/>
        <v>0</v>
      </c>
      <c r="H159" s="57">
        <f>' WIP '!J159</f>
        <v>0</v>
      </c>
      <c r="I159" s="58">
        <v>0</v>
      </c>
      <c r="J159" s="59">
        <f t="shared" si="196"/>
        <v>0</v>
      </c>
      <c r="K159" s="57">
        <f>' WIP '!N159</f>
        <v>0</v>
      </c>
      <c r="L159" s="58"/>
      <c r="M159" s="59">
        <f t="shared" si="197"/>
        <v>0</v>
      </c>
      <c r="N159" s="57">
        <f>' WIP '!R159</f>
        <v>0</v>
      </c>
      <c r="O159" s="58">
        <v>0</v>
      </c>
      <c r="P159" s="59">
        <f t="shared" si="198"/>
        <v>0</v>
      </c>
      <c r="Q159" s="57">
        <f>' WIP '!V159</f>
        <v>0</v>
      </c>
      <c r="R159" s="58">
        <v>0</v>
      </c>
      <c r="S159" s="59">
        <f t="shared" si="199"/>
        <v>0</v>
      </c>
      <c r="T159" s="57">
        <f>' WIP '!Z159</f>
        <v>0</v>
      </c>
      <c r="U159" s="58">
        <v>0</v>
      </c>
      <c r="V159" s="59">
        <f t="shared" si="200"/>
        <v>0</v>
      </c>
      <c r="W159" s="57">
        <f>' WIP '!AD159</f>
        <v>0</v>
      </c>
      <c r="X159" s="58">
        <v>0</v>
      </c>
      <c r="Y159" s="59">
        <f t="shared" si="201"/>
        <v>0</v>
      </c>
      <c r="Z159" s="57">
        <f>' WIP '!AH159</f>
        <v>0</v>
      </c>
      <c r="AA159" s="58">
        <v>0</v>
      </c>
      <c r="AB159" s="59">
        <f t="shared" si="202"/>
        <v>0</v>
      </c>
      <c r="AC159" s="57">
        <f>' WIP '!AL159</f>
        <v>0</v>
      </c>
      <c r="AD159" s="58">
        <v>0</v>
      </c>
      <c r="AE159" s="59">
        <f t="shared" si="203"/>
        <v>0</v>
      </c>
      <c r="AF159" s="57">
        <f>' WIP '!AP159</f>
        <v>0</v>
      </c>
      <c r="AG159" s="114">
        <v>0</v>
      </c>
      <c r="AH159" s="59">
        <f t="shared" si="204"/>
        <v>0</v>
      </c>
      <c r="AI159" s="57">
        <f>' WIP '!AT159</f>
        <v>0</v>
      </c>
      <c r="AJ159" s="58">
        <v>0</v>
      </c>
      <c r="AK159" s="59">
        <f t="shared" si="205"/>
        <v>0</v>
      </c>
      <c r="AL159" s="57">
        <f>' WIP '!AX159</f>
        <v>0</v>
      </c>
      <c r="AM159" s="58"/>
      <c r="AN159" s="59">
        <f t="shared" si="206"/>
        <v>0</v>
      </c>
      <c r="AO159" s="57">
        <f>' WIP '!BB159</f>
        <v>0</v>
      </c>
      <c r="AP159" s="58">
        <v>0</v>
      </c>
      <c r="AQ159" s="59">
        <f t="shared" si="207"/>
        <v>0</v>
      </c>
      <c r="AR159" s="57">
        <f>' WIP '!BF159</f>
        <v>0</v>
      </c>
      <c r="AS159" s="58"/>
      <c r="AT159" s="59">
        <f t="shared" si="208"/>
        <v>0</v>
      </c>
      <c r="AU159" s="57">
        <f>' WIP '!BJ159</f>
        <v>0</v>
      </c>
      <c r="AV159" s="58">
        <v>0</v>
      </c>
      <c r="AW159" s="59">
        <f t="shared" si="209"/>
        <v>0</v>
      </c>
      <c r="AX159" s="57">
        <f>' WIP '!BN159</f>
        <v>0</v>
      </c>
      <c r="AY159" s="58">
        <v>0</v>
      </c>
      <c r="AZ159" s="59">
        <f t="shared" si="210"/>
        <v>0</v>
      </c>
      <c r="BA159" s="57">
        <f>' WIP '!BR159</f>
        <v>0</v>
      </c>
      <c r="BB159" s="58">
        <v>0</v>
      </c>
      <c r="BC159" s="59">
        <f t="shared" si="211"/>
        <v>0</v>
      </c>
      <c r="BD159" s="57">
        <f>' WIP '!BV159</f>
        <v>0</v>
      </c>
      <c r="BE159" s="58">
        <v>0</v>
      </c>
      <c r="BF159" s="59">
        <f t="shared" si="212"/>
        <v>0</v>
      </c>
      <c r="BG159" s="57">
        <f>' WIP '!BZ159</f>
        <v>0</v>
      </c>
      <c r="BH159" s="58"/>
      <c r="BI159" s="59">
        <f t="shared" si="213"/>
        <v>0</v>
      </c>
      <c r="BJ159" s="57">
        <f>' WIP '!CD159</f>
        <v>0</v>
      </c>
      <c r="BK159" s="58">
        <v>0</v>
      </c>
      <c r="BL159" s="59">
        <f t="shared" si="214"/>
        <v>0</v>
      </c>
      <c r="BM159" s="57">
        <f>' WIP '!CH159</f>
        <v>0</v>
      </c>
      <c r="BN159" s="58">
        <v>0</v>
      </c>
      <c r="BO159" s="59">
        <f t="shared" si="215"/>
        <v>0</v>
      </c>
      <c r="BP159" s="57">
        <f>' WIP '!CL159</f>
        <v>0</v>
      </c>
      <c r="BQ159" s="58"/>
      <c r="BR159" s="59">
        <f t="shared" si="216"/>
        <v>0</v>
      </c>
      <c r="BS159" s="57">
        <f>' WIP '!CP159</f>
        <v>0</v>
      </c>
      <c r="BT159" s="58">
        <v>0</v>
      </c>
      <c r="BU159" s="59">
        <f t="shared" si="217"/>
        <v>0</v>
      </c>
      <c r="BV159" s="57">
        <f>' WIP '!CT159</f>
        <v>0</v>
      </c>
      <c r="BW159" s="28">
        <v>0</v>
      </c>
      <c r="BX159" s="59">
        <f t="shared" si="218"/>
        <v>0</v>
      </c>
      <c r="BY159" s="57">
        <f>' WIP '!CX159</f>
        <v>0</v>
      </c>
      <c r="BZ159" s="58">
        <v>0</v>
      </c>
      <c r="CA159" s="59">
        <f t="shared" si="219"/>
        <v>0</v>
      </c>
      <c r="CB159" s="57">
        <f>' WIP '!DB159</f>
        <v>0</v>
      </c>
      <c r="CC159" s="58">
        <v>0</v>
      </c>
      <c r="CD159" s="59">
        <f t="shared" si="220"/>
        <v>0</v>
      </c>
      <c r="CE159" s="57">
        <f>' WIP '!DF159</f>
        <v>0</v>
      </c>
      <c r="CF159" s="58">
        <v>0</v>
      </c>
      <c r="CG159" s="59">
        <f t="shared" si="221"/>
        <v>0</v>
      </c>
      <c r="CH159" s="57">
        <f>' WIP '!DJ159</f>
        <v>0</v>
      </c>
      <c r="CI159" s="58">
        <v>0</v>
      </c>
      <c r="CJ159" s="59">
        <f t="shared" si="222"/>
        <v>0</v>
      </c>
      <c r="CK159" s="57">
        <f>' WIP '!DN159</f>
        <v>0</v>
      </c>
      <c r="CL159" s="58">
        <v>0</v>
      </c>
      <c r="CM159" s="59">
        <f t="shared" si="223"/>
        <v>0</v>
      </c>
      <c r="CN159" s="57">
        <f>' WIP '!DR159</f>
        <v>0</v>
      </c>
      <c r="CO159" s="57"/>
      <c r="CP159" s="59">
        <f t="shared" si="224"/>
        <v>0</v>
      </c>
      <c r="CQ159" s="57">
        <f>' WIP '!DV159</f>
        <v>0</v>
      </c>
      <c r="CR159" s="58"/>
      <c r="CS159" s="59">
        <f t="shared" si="225"/>
        <v>0</v>
      </c>
      <c r="CT159" s="31">
        <f t="shared" si="193"/>
        <v>0</v>
      </c>
      <c r="CU159" s="4">
        <f t="shared" si="194"/>
        <v>0</v>
      </c>
      <c r="CV159" s="5">
        <f>D159*'MASTER SHEET'!D159</f>
        <v>0</v>
      </c>
      <c r="CW159" s="5">
        <f>G159*'MASTER SHEET'!D159</f>
        <v>0</v>
      </c>
      <c r="CX159" s="5">
        <f>J159*'MASTER SHEET'!D159</f>
        <v>0</v>
      </c>
      <c r="CY159" s="5">
        <f>M159*'MASTER SHEET'!D159</f>
        <v>0</v>
      </c>
      <c r="CZ159" s="5">
        <f>P159*'MASTER SHEET'!D159</f>
        <v>0</v>
      </c>
      <c r="DA159" s="5">
        <f>S159*'MASTER SHEET'!D159</f>
        <v>0</v>
      </c>
      <c r="DB159" s="5">
        <f>V159*'MASTER SHEET'!D159</f>
        <v>0</v>
      </c>
      <c r="DC159" s="5">
        <f>Y159*'MASTER SHEET'!D159</f>
        <v>0</v>
      </c>
      <c r="DD159" s="5">
        <f>AB159*'MASTER SHEET'!D159</f>
        <v>0</v>
      </c>
      <c r="DE159" s="5">
        <f>AE159*'MASTER SHEET'!D159</f>
        <v>0</v>
      </c>
      <c r="DF159" s="5">
        <f>AH159*'MASTER SHEET'!D159</f>
        <v>0</v>
      </c>
      <c r="DG159" s="5">
        <f>AK159*'MASTER SHEET'!D159</f>
        <v>0</v>
      </c>
      <c r="DH159" s="5">
        <f>AN159*'MASTER SHEET'!D159</f>
        <v>0</v>
      </c>
      <c r="DI159" s="5">
        <f>AQ159*'MASTER SHEET'!D159</f>
        <v>0</v>
      </c>
      <c r="DJ159" s="5">
        <f>AT159*'MASTER SHEET'!D159</f>
        <v>0</v>
      </c>
      <c r="DK159" s="5">
        <f>AW159*'MASTER SHEET'!D159</f>
        <v>0</v>
      </c>
      <c r="DL159" s="5">
        <f>AZ159*'MASTER SHEET'!D159</f>
        <v>0</v>
      </c>
      <c r="DM159" s="5">
        <f>BC159*'MASTER SHEET'!D159</f>
        <v>0</v>
      </c>
      <c r="DN159" s="5">
        <f>BF159*'MASTER SHEET'!D159</f>
        <v>0</v>
      </c>
      <c r="DO159" s="5">
        <f>BI159*'MASTER SHEET'!D159</f>
        <v>0</v>
      </c>
      <c r="DP159" s="5">
        <f>BL159*'MASTER SHEET'!D159</f>
        <v>0</v>
      </c>
      <c r="DQ159" s="5">
        <f>BO159*'MASTER SHEET'!D159</f>
        <v>0</v>
      </c>
      <c r="DR159" s="5">
        <f>BR159*'MASTER SHEET'!D159</f>
        <v>0</v>
      </c>
      <c r="DS159" s="5">
        <f>BU159*'MASTER SHEET'!D159</f>
        <v>0</v>
      </c>
      <c r="DT159" s="5">
        <f>BX159*'MASTER SHEET'!D159</f>
        <v>0</v>
      </c>
      <c r="DU159" s="5">
        <f>CA159*'MASTER SHEET'!D159</f>
        <v>0</v>
      </c>
      <c r="DV159" s="5">
        <f>CD159*'MASTER SHEET'!D159</f>
        <v>0</v>
      </c>
      <c r="DW159" s="5">
        <f>CG159*'MASTER SHEET'!D159</f>
        <v>0</v>
      </c>
      <c r="DX159" s="5">
        <f>CJ159*'MASTER SHEET'!D159</f>
        <v>0</v>
      </c>
      <c r="DY159" s="5">
        <f>CM159*'MASTER SHEET'!D159</f>
        <v>0</v>
      </c>
      <c r="DZ159" s="5">
        <f>CP159*'MASTER SHEET'!D159</f>
        <v>0</v>
      </c>
      <c r="EA159" s="5">
        <f>CS159*'MASTER SHEET'!D159</f>
        <v>0</v>
      </c>
      <c r="EB159" s="9"/>
    </row>
    <row r="160" spans="1:132" ht="15.75" x14ac:dyDescent="0.25">
      <c r="A160" s="25">
        <f>'MASTER SHEET'!A160</f>
        <v>158</v>
      </c>
      <c r="B160" s="164" t="str">
        <f>'MASTER SHEET'!B160</f>
        <v>FILTER AIR SUNCTION</v>
      </c>
      <c r="C160" s="165">
        <f>'MASTER SHEET'!C160</f>
        <v>62624</v>
      </c>
      <c r="D160" s="56">
        <v>0</v>
      </c>
      <c r="E160" s="57">
        <f>' WIP '!F160</f>
        <v>0</v>
      </c>
      <c r="F160" s="58">
        <v>0</v>
      </c>
      <c r="G160" s="59">
        <f t="shared" si="195"/>
        <v>0</v>
      </c>
      <c r="H160" s="57">
        <f>' WIP '!J160</f>
        <v>0</v>
      </c>
      <c r="I160" s="58">
        <v>0</v>
      </c>
      <c r="J160" s="59">
        <f t="shared" si="196"/>
        <v>0</v>
      </c>
      <c r="K160" s="57">
        <f>' WIP '!N160</f>
        <v>0</v>
      </c>
      <c r="L160" s="58"/>
      <c r="M160" s="59">
        <f t="shared" si="197"/>
        <v>0</v>
      </c>
      <c r="N160" s="57">
        <f>' WIP '!R160</f>
        <v>0</v>
      </c>
      <c r="O160" s="58">
        <v>0</v>
      </c>
      <c r="P160" s="59">
        <f t="shared" si="198"/>
        <v>0</v>
      </c>
      <c r="Q160" s="57">
        <f>' WIP '!V160</f>
        <v>0</v>
      </c>
      <c r="R160" s="58">
        <v>0</v>
      </c>
      <c r="S160" s="59">
        <f t="shared" si="199"/>
        <v>0</v>
      </c>
      <c r="T160" s="57">
        <f>' WIP '!Z160</f>
        <v>3600</v>
      </c>
      <c r="U160" s="58">
        <v>3600</v>
      </c>
      <c r="V160" s="59">
        <f t="shared" si="200"/>
        <v>0</v>
      </c>
      <c r="W160" s="57">
        <f>' WIP '!AD160</f>
        <v>1200</v>
      </c>
      <c r="X160" s="58">
        <v>1200</v>
      </c>
      <c r="Y160" s="59">
        <f t="shared" si="201"/>
        <v>0</v>
      </c>
      <c r="Z160" s="57">
        <f>' WIP '!AH160</f>
        <v>0</v>
      </c>
      <c r="AA160" s="58">
        <v>0</v>
      </c>
      <c r="AB160" s="59">
        <f t="shared" si="202"/>
        <v>0</v>
      </c>
      <c r="AC160" s="57">
        <f>' WIP '!AL160</f>
        <v>3600</v>
      </c>
      <c r="AD160" s="58">
        <v>3600</v>
      </c>
      <c r="AE160" s="59">
        <f t="shared" si="203"/>
        <v>0</v>
      </c>
      <c r="AF160" s="57">
        <f>' WIP '!AP160</f>
        <v>2400</v>
      </c>
      <c r="AG160" s="114">
        <v>2400</v>
      </c>
      <c r="AH160" s="59">
        <f t="shared" si="204"/>
        <v>0</v>
      </c>
      <c r="AI160" s="57">
        <f>' WIP '!AT160</f>
        <v>0</v>
      </c>
      <c r="AJ160" s="58">
        <v>0</v>
      </c>
      <c r="AK160" s="59">
        <f t="shared" si="205"/>
        <v>0</v>
      </c>
      <c r="AL160" s="57">
        <f>' WIP '!AX160</f>
        <v>0</v>
      </c>
      <c r="AM160" s="58"/>
      <c r="AN160" s="59">
        <f t="shared" si="206"/>
        <v>0</v>
      </c>
      <c r="AO160" s="57">
        <f>' WIP '!BB160</f>
        <v>0</v>
      </c>
      <c r="AP160" s="58">
        <v>0</v>
      </c>
      <c r="AQ160" s="59">
        <f t="shared" si="207"/>
        <v>0</v>
      </c>
      <c r="AR160" s="57">
        <f>' WIP '!BF160</f>
        <v>3600</v>
      </c>
      <c r="AS160" s="58">
        <v>3600</v>
      </c>
      <c r="AT160" s="59">
        <f t="shared" si="208"/>
        <v>0</v>
      </c>
      <c r="AU160" s="57">
        <f>' WIP '!BJ160</f>
        <v>0</v>
      </c>
      <c r="AV160" s="58">
        <v>0</v>
      </c>
      <c r="AW160" s="59">
        <f t="shared" si="209"/>
        <v>0</v>
      </c>
      <c r="AX160" s="57">
        <f>' WIP '!BN160</f>
        <v>0</v>
      </c>
      <c r="AY160" s="58">
        <v>0</v>
      </c>
      <c r="AZ160" s="59">
        <f t="shared" si="210"/>
        <v>0</v>
      </c>
      <c r="BA160" s="57">
        <f>' WIP '!BR160</f>
        <v>0</v>
      </c>
      <c r="BB160" s="58">
        <v>0</v>
      </c>
      <c r="BC160" s="59">
        <f t="shared" si="211"/>
        <v>0</v>
      </c>
      <c r="BD160" s="57">
        <f>' WIP '!BV160</f>
        <v>0</v>
      </c>
      <c r="BE160" s="58">
        <v>0</v>
      </c>
      <c r="BF160" s="59">
        <f t="shared" si="212"/>
        <v>0</v>
      </c>
      <c r="BG160" s="57">
        <f>' WIP '!BZ160</f>
        <v>0</v>
      </c>
      <c r="BH160" s="58"/>
      <c r="BI160" s="59">
        <f t="shared" si="213"/>
        <v>0</v>
      </c>
      <c r="BJ160" s="57">
        <f>' WIP '!CD160</f>
        <v>0</v>
      </c>
      <c r="BK160" s="58">
        <v>0</v>
      </c>
      <c r="BL160" s="59">
        <f t="shared" si="214"/>
        <v>0</v>
      </c>
      <c r="BM160" s="57">
        <f>' WIP '!CH160</f>
        <v>6000</v>
      </c>
      <c r="BN160" s="58">
        <v>6000</v>
      </c>
      <c r="BO160" s="59">
        <f t="shared" si="215"/>
        <v>0</v>
      </c>
      <c r="BP160" s="57">
        <f>' WIP '!CL160</f>
        <v>18000</v>
      </c>
      <c r="BQ160" s="58">
        <v>18000</v>
      </c>
      <c r="BR160" s="59">
        <f t="shared" si="216"/>
        <v>0</v>
      </c>
      <c r="BS160" s="57">
        <f>' WIP '!CP160</f>
        <v>0</v>
      </c>
      <c r="BT160" s="58">
        <v>0</v>
      </c>
      <c r="BU160" s="59">
        <f t="shared" si="217"/>
        <v>0</v>
      </c>
      <c r="BV160" s="57">
        <f>' WIP '!CT160</f>
        <v>0</v>
      </c>
      <c r="BW160" s="28">
        <v>0</v>
      </c>
      <c r="BX160" s="59">
        <f t="shared" si="218"/>
        <v>0</v>
      </c>
      <c r="BY160" s="57">
        <f>' WIP '!CX160</f>
        <v>0</v>
      </c>
      <c r="BZ160" s="58">
        <v>0</v>
      </c>
      <c r="CA160" s="59">
        <f t="shared" si="219"/>
        <v>0</v>
      </c>
      <c r="CB160" s="57">
        <f>' WIP '!DB160</f>
        <v>0</v>
      </c>
      <c r="CC160" s="58">
        <v>0</v>
      </c>
      <c r="CD160" s="59">
        <f t="shared" si="220"/>
        <v>0</v>
      </c>
      <c r="CE160" s="57">
        <f>' WIP '!DF160</f>
        <v>0</v>
      </c>
      <c r="CF160" s="58">
        <v>0</v>
      </c>
      <c r="CG160" s="59">
        <f t="shared" si="221"/>
        <v>0</v>
      </c>
      <c r="CH160" s="57">
        <f>' WIP '!DJ160</f>
        <v>0</v>
      </c>
      <c r="CI160" s="58">
        <v>0</v>
      </c>
      <c r="CJ160" s="59">
        <f t="shared" si="222"/>
        <v>0</v>
      </c>
      <c r="CK160" s="57">
        <f>' WIP '!DN160</f>
        <v>0</v>
      </c>
      <c r="CL160" s="58">
        <v>0</v>
      </c>
      <c r="CM160" s="59">
        <f t="shared" si="223"/>
        <v>0</v>
      </c>
      <c r="CN160" s="57">
        <f>' WIP '!DR160</f>
        <v>0</v>
      </c>
      <c r="CO160" s="57"/>
      <c r="CP160" s="59">
        <f t="shared" si="224"/>
        <v>0</v>
      </c>
      <c r="CQ160" s="57">
        <f>' WIP '!DV160</f>
        <v>0</v>
      </c>
      <c r="CR160" s="58"/>
      <c r="CS160" s="59">
        <f t="shared" si="225"/>
        <v>0</v>
      </c>
      <c r="CT160" s="31">
        <f t="shared" si="193"/>
        <v>38400</v>
      </c>
      <c r="CU160" s="4">
        <f t="shared" si="194"/>
        <v>38400</v>
      </c>
      <c r="CV160" s="5">
        <f>D160*'MASTER SHEET'!D160</f>
        <v>0</v>
      </c>
      <c r="CW160" s="5">
        <f>G160*'MASTER SHEET'!D160</f>
        <v>0</v>
      </c>
      <c r="CX160" s="5">
        <f>J160*'MASTER SHEET'!D160</f>
        <v>0</v>
      </c>
      <c r="CY160" s="5">
        <f>M160*'MASTER SHEET'!D160</f>
        <v>0</v>
      </c>
      <c r="CZ160" s="5">
        <f>P160*'MASTER SHEET'!D160</f>
        <v>0</v>
      </c>
      <c r="DA160" s="5">
        <f>S160*'MASTER SHEET'!D160</f>
        <v>0</v>
      </c>
      <c r="DB160" s="5">
        <f>V160*'MASTER SHEET'!D160</f>
        <v>0</v>
      </c>
      <c r="DC160" s="5">
        <f>Y160*'MASTER SHEET'!D160</f>
        <v>0</v>
      </c>
      <c r="DD160" s="5">
        <f>AB160*'MASTER SHEET'!D160</f>
        <v>0</v>
      </c>
      <c r="DE160" s="5">
        <f>AE160*'MASTER SHEET'!D160</f>
        <v>0</v>
      </c>
      <c r="DF160" s="5">
        <f>AH160*'MASTER SHEET'!D160</f>
        <v>0</v>
      </c>
      <c r="DG160" s="5">
        <f>AK160*'MASTER SHEET'!D160</f>
        <v>0</v>
      </c>
      <c r="DH160" s="5">
        <f>AN160*'MASTER SHEET'!D160</f>
        <v>0</v>
      </c>
      <c r="DI160" s="5">
        <f>AQ160*'MASTER SHEET'!D160</f>
        <v>0</v>
      </c>
      <c r="DJ160" s="5">
        <f>AT160*'MASTER SHEET'!D160</f>
        <v>0</v>
      </c>
      <c r="DK160" s="5">
        <f>AW160*'MASTER SHEET'!D160</f>
        <v>0</v>
      </c>
      <c r="DL160" s="5">
        <f>AZ160*'MASTER SHEET'!D160</f>
        <v>0</v>
      </c>
      <c r="DM160" s="5">
        <f>BC160*'MASTER SHEET'!D160</f>
        <v>0</v>
      </c>
      <c r="DN160" s="5">
        <f>BF160*'MASTER SHEET'!D160</f>
        <v>0</v>
      </c>
      <c r="DO160" s="5">
        <f>BI160*'MASTER SHEET'!D160</f>
        <v>0</v>
      </c>
      <c r="DP160" s="5">
        <f>BL160*'MASTER SHEET'!D160</f>
        <v>0</v>
      </c>
      <c r="DQ160" s="5">
        <f>BO160*'MASTER SHEET'!D160</f>
        <v>0</v>
      </c>
      <c r="DR160" s="5">
        <f>BR160*'MASTER SHEET'!D160</f>
        <v>0</v>
      </c>
      <c r="DS160" s="5">
        <f>BU160*'MASTER SHEET'!D160</f>
        <v>0</v>
      </c>
      <c r="DT160" s="5">
        <f>BX160*'MASTER SHEET'!D160</f>
        <v>0</v>
      </c>
      <c r="DU160" s="5">
        <f>CA160*'MASTER SHEET'!D160</f>
        <v>0</v>
      </c>
      <c r="DV160" s="5">
        <f>CD160*'MASTER SHEET'!D160</f>
        <v>0</v>
      </c>
      <c r="DW160" s="5">
        <f>CG160*'MASTER SHEET'!D160</f>
        <v>0</v>
      </c>
      <c r="DX160" s="5">
        <f>CJ160*'MASTER SHEET'!D160</f>
        <v>0</v>
      </c>
      <c r="DY160" s="5">
        <f>CM160*'MASTER SHEET'!D160</f>
        <v>0</v>
      </c>
      <c r="DZ160" s="5">
        <f>CP160*'MASTER SHEET'!D160</f>
        <v>0</v>
      </c>
      <c r="EA160" s="5">
        <f>CS160*'MASTER SHEET'!D160</f>
        <v>0</v>
      </c>
      <c r="EB160" s="9"/>
    </row>
    <row r="161" spans="1:132" ht="15.75" x14ac:dyDescent="0.25">
      <c r="A161" s="25">
        <f>'MASTER SHEET'!A161</f>
        <v>159</v>
      </c>
      <c r="B161" s="164" t="str">
        <f>'MASTER SHEET'!B161</f>
        <v>VF36 ACTUATOR</v>
      </c>
      <c r="C161" s="165" t="str">
        <f>'MASTER SHEET'!C161</f>
        <v>BB00006043</v>
      </c>
      <c r="D161" s="56"/>
      <c r="E161" s="57">
        <f>' WIP '!F161</f>
        <v>0</v>
      </c>
      <c r="F161" s="58">
        <v>0</v>
      </c>
      <c r="G161" s="59">
        <f t="shared" si="195"/>
        <v>0</v>
      </c>
      <c r="H161" s="57">
        <f>' WIP '!J161</f>
        <v>0</v>
      </c>
      <c r="I161" s="58">
        <v>0</v>
      </c>
      <c r="J161" s="59">
        <f t="shared" si="196"/>
        <v>0</v>
      </c>
      <c r="K161" s="57">
        <f>' WIP '!N161</f>
        <v>0</v>
      </c>
      <c r="L161" s="58"/>
      <c r="M161" s="59">
        <f t="shared" si="197"/>
        <v>0</v>
      </c>
      <c r="N161" s="57">
        <f>' WIP '!R161</f>
        <v>0</v>
      </c>
      <c r="O161" s="58">
        <v>0</v>
      </c>
      <c r="P161" s="59">
        <f t="shared" si="198"/>
        <v>0</v>
      </c>
      <c r="Q161" s="57">
        <f>' WIP '!V161</f>
        <v>0</v>
      </c>
      <c r="R161" s="58">
        <v>0</v>
      </c>
      <c r="S161" s="59">
        <f t="shared" si="199"/>
        <v>0</v>
      </c>
      <c r="T161" s="57">
        <f>' WIP '!Z161</f>
        <v>0</v>
      </c>
      <c r="U161" s="58">
        <v>0</v>
      </c>
      <c r="V161" s="59">
        <f t="shared" si="200"/>
        <v>0</v>
      </c>
      <c r="W161" s="57">
        <f>' WIP '!AD161</f>
        <v>0</v>
      </c>
      <c r="X161" s="58">
        <v>0</v>
      </c>
      <c r="Y161" s="59">
        <f t="shared" si="201"/>
        <v>0</v>
      </c>
      <c r="Z161" s="57">
        <f>' WIP '!AH161</f>
        <v>0</v>
      </c>
      <c r="AA161" s="58">
        <v>0</v>
      </c>
      <c r="AB161" s="59">
        <f t="shared" si="202"/>
        <v>0</v>
      </c>
      <c r="AC161" s="57">
        <f>' WIP '!AL161</f>
        <v>0</v>
      </c>
      <c r="AD161" s="58">
        <v>0</v>
      </c>
      <c r="AE161" s="59">
        <f t="shared" si="203"/>
        <v>0</v>
      </c>
      <c r="AF161" s="57">
        <f>' WIP '!AP161</f>
        <v>0</v>
      </c>
      <c r="AG161" s="114">
        <v>0</v>
      </c>
      <c r="AH161" s="59">
        <f t="shared" si="204"/>
        <v>0</v>
      </c>
      <c r="AI161" s="57">
        <f>' WIP '!AT161</f>
        <v>0</v>
      </c>
      <c r="AJ161" s="58">
        <v>0</v>
      </c>
      <c r="AK161" s="59">
        <f t="shared" si="205"/>
        <v>0</v>
      </c>
      <c r="AL161" s="57">
        <f>' WIP '!AX161</f>
        <v>0</v>
      </c>
      <c r="AM161" s="58"/>
      <c r="AN161" s="59">
        <f t="shared" si="206"/>
        <v>0</v>
      </c>
      <c r="AO161" s="57">
        <f>' WIP '!BB161</f>
        <v>0</v>
      </c>
      <c r="AP161" s="58">
        <v>0</v>
      </c>
      <c r="AQ161" s="59">
        <f t="shared" si="207"/>
        <v>0</v>
      </c>
      <c r="AR161" s="57">
        <f>' WIP '!BF161</f>
        <v>0</v>
      </c>
      <c r="AS161" s="58"/>
      <c r="AT161" s="59">
        <f t="shared" si="208"/>
        <v>0</v>
      </c>
      <c r="AU161" s="57">
        <f>' WIP '!BJ161</f>
        <v>0</v>
      </c>
      <c r="AV161" s="58">
        <v>0</v>
      </c>
      <c r="AW161" s="59">
        <f t="shared" si="209"/>
        <v>0</v>
      </c>
      <c r="AX161" s="57">
        <f>' WIP '!BN161</f>
        <v>0</v>
      </c>
      <c r="AY161" s="58">
        <v>0</v>
      </c>
      <c r="AZ161" s="59">
        <f t="shared" si="210"/>
        <v>0</v>
      </c>
      <c r="BA161" s="57">
        <f>' WIP '!BR161</f>
        <v>0</v>
      </c>
      <c r="BB161" s="58">
        <v>0</v>
      </c>
      <c r="BC161" s="59">
        <f t="shared" si="211"/>
        <v>0</v>
      </c>
      <c r="BD161" s="57">
        <f>' WIP '!BV161</f>
        <v>0</v>
      </c>
      <c r="BE161" s="58">
        <v>0</v>
      </c>
      <c r="BF161" s="59">
        <f t="shared" si="212"/>
        <v>0</v>
      </c>
      <c r="BG161" s="57">
        <f>' WIP '!BZ161</f>
        <v>0</v>
      </c>
      <c r="BH161" s="58"/>
      <c r="BI161" s="59">
        <f t="shared" si="213"/>
        <v>0</v>
      </c>
      <c r="BJ161" s="57">
        <f>' WIP '!CD161</f>
        <v>0</v>
      </c>
      <c r="BK161" s="58">
        <v>0</v>
      </c>
      <c r="BL161" s="59">
        <f t="shared" si="214"/>
        <v>0</v>
      </c>
      <c r="BM161" s="57">
        <f>' WIP '!CH161</f>
        <v>0</v>
      </c>
      <c r="BN161" s="58">
        <v>0</v>
      </c>
      <c r="BO161" s="59">
        <f t="shared" si="215"/>
        <v>0</v>
      </c>
      <c r="BP161" s="57">
        <f>' WIP '!CL161</f>
        <v>0</v>
      </c>
      <c r="BQ161" s="58"/>
      <c r="BR161" s="59">
        <f t="shared" si="216"/>
        <v>0</v>
      </c>
      <c r="BS161" s="57">
        <f>' WIP '!CP161</f>
        <v>0</v>
      </c>
      <c r="BT161" s="58">
        <v>0</v>
      </c>
      <c r="BU161" s="59">
        <f t="shared" si="217"/>
        <v>0</v>
      </c>
      <c r="BV161" s="57">
        <f>' WIP '!CT161</f>
        <v>0</v>
      </c>
      <c r="BW161" s="28">
        <v>0</v>
      </c>
      <c r="BX161" s="59">
        <f t="shared" si="218"/>
        <v>0</v>
      </c>
      <c r="BY161" s="57">
        <f>' WIP '!CX161</f>
        <v>0</v>
      </c>
      <c r="BZ161" s="58">
        <v>0</v>
      </c>
      <c r="CA161" s="59">
        <f t="shared" si="219"/>
        <v>0</v>
      </c>
      <c r="CB161" s="57">
        <f>' WIP '!DB161</f>
        <v>0</v>
      </c>
      <c r="CC161" s="58">
        <v>0</v>
      </c>
      <c r="CD161" s="59">
        <f t="shared" si="220"/>
        <v>0</v>
      </c>
      <c r="CE161" s="57">
        <f>' WIP '!DF161</f>
        <v>0</v>
      </c>
      <c r="CF161" s="58">
        <v>0</v>
      </c>
      <c r="CG161" s="59">
        <f t="shared" si="221"/>
        <v>0</v>
      </c>
      <c r="CH161" s="57">
        <f>' WIP '!DJ161</f>
        <v>0</v>
      </c>
      <c r="CI161" s="58">
        <v>0</v>
      </c>
      <c r="CJ161" s="59">
        <f t="shared" si="222"/>
        <v>0</v>
      </c>
      <c r="CK161" s="57">
        <f>' WIP '!DN161</f>
        <v>0</v>
      </c>
      <c r="CL161" s="58">
        <v>0</v>
      </c>
      <c r="CM161" s="59">
        <f t="shared" si="223"/>
        <v>0</v>
      </c>
      <c r="CN161" s="57">
        <f>' WIP '!DR161</f>
        <v>0</v>
      </c>
      <c r="CO161" s="57"/>
      <c r="CP161" s="59">
        <f t="shared" si="224"/>
        <v>0</v>
      </c>
      <c r="CQ161" s="57">
        <f>' WIP '!DV161</f>
        <v>0</v>
      </c>
      <c r="CR161" s="58"/>
      <c r="CS161" s="59">
        <f t="shared" si="225"/>
        <v>0</v>
      </c>
      <c r="CT161" s="31">
        <f t="shared" si="193"/>
        <v>0</v>
      </c>
      <c r="CU161" s="4">
        <f t="shared" si="194"/>
        <v>0</v>
      </c>
      <c r="CV161" s="5">
        <f>D161*'MASTER SHEET'!D161</f>
        <v>0</v>
      </c>
      <c r="CW161" s="5">
        <f>G161*'MASTER SHEET'!D161</f>
        <v>0</v>
      </c>
      <c r="CX161" s="5">
        <f>J161*'MASTER SHEET'!D161</f>
        <v>0</v>
      </c>
      <c r="CY161" s="5">
        <f>M161*'MASTER SHEET'!D161</f>
        <v>0</v>
      </c>
      <c r="CZ161" s="5">
        <f>P161*'MASTER SHEET'!D161</f>
        <v>0</v>
      </c>
      <c r="DA161" s="5">
        <f>S161*'MASTER SHEET'!D161</f>
        <v>0</v>
      </c>
      <c r="DB161" s="5">
        <f>V161*'MASTER SHEET'!D161</f>
        <v>0</v>
      </c>
      <c r="DC161" s="5">
        <f>Y161*'MASTER SHEET'!D161</f>
        <v>0</v>
      </c>
      <c r="DD161" s="5">
        <f>AB161*'MASTER SHEET'!D161</f>
        <v>0</v>
      </c>
      <c r="DE161" s="5">
        <f>AE161*'MASTER SHEET'!D161</f>
        <v>0</v>
      </c>
      <c r="DF161" s="5">
        <f>AH161*'MASTER SHEET'!D161</f>
        <v>0</v>
      </c>
      <c r="DG161" s="5">
        <f>AK161*'MASTER SHEET'!D161</f>
        <v>0</v>
      </c>
      <c r="DH161" s="5">
        <f>AN161*'MASTER SHEET'!D161</f>
        <v>0</v>
      </c>
      <c r="DI161" s="5">
        <f>AQ161*'MASTER SHEET'!D161</f>
        <v>0</v>
      </c>
      <c r="DJ161" s="5">
        <f>AT161*'MASTER SHEET'!D161</f>
        <v>0</v>
      </c>
      <c r="DK161" s="5">
        <f>AW161*'MASTER SHEET'!D161</f>
        <v>0</v>
      </c>
      <c r="DL161" s="5">
        <f>AZ161*'MASTER SHEET'!D161</f>
        <v>0</v>
      </c>
      <c r="DM161" s="5">
        <f>BC161*'MASTER SHEET'!D161</f>
        <v>0</v>
      </c>
      <c r="DN161" s="5">
        <f>BF161*'MASTER SHEET'!D161</f>
        <v>0</v>
      </c>
      <c r="DO161" s="5">
        <f>BI161*'MASTER SHEET'!D161</f>
        <v>0</v>
      </c>
      <c r="DP161" s="5">
        <f>BL161*'MASTER SHEET'!D161</f>
        <v>0</v>
      </c>
      <c r="DQ161" s="5">
        <f>BO161*'MASTER SHEET'!D161</f>
        <v>0</v>
      </c>
      <c r="DR161" s="5">
        <f>BR161*'MASTER SHEET'!D161</f>
        <v>0</v>
      </c>
      <c r="DS161" s="5">
        <f>BU161*'MASTER SHEET'!D161</f>
        <v>0</v>
      </c>
      <c r="DT161" s="5">
        <f>BX161*'MASTER SHEET'!D161</f>
        <v>0</v>
      </c>
      <c r="DU161" s="5">
        <f>CA161*'MASTER SHEET'!D161</f>
        <v>0</v>
      </c>
      <c r="DV161" s="5">
        <f>CD161*'MASTER SHEET'!D161</f>
        <v>0</v>
      </c>
      <c r="DW161" s="5">
        <f>CG161*'MASTER SHEET'!D161</f>
        <v>0</v>
      </c>
      <c r="DX161" s="5">
        <f>CJ161*'MASTER SHEET'!D161</f>
        <v>0</v>
      </c>
      <c r="DY161" s="5">
        <f>CM161*'MASTER SHEET'!D161</f>
        <v>0</v>
      </c>
      <c r="DZ161" s="5">
        <f>CP161*'MASTER SHEET'!D161</f>
        <v>0</v>
      </c>
      <c r="EA161" s="5">
        <f>CS161*'MASTER SHEET'!D161</f>
        <v>0</v>
      </c>
      <c r="EB161" s="9"/>
    </row>
    <row r="162" spans="1:132" ht="15.75" x14ac:dyDescent="0.25">
      <c r="A162" s="25">
        <f>'MASTER SHEET'!A162</f>
        <v>160</v>
      </c>
      <c r="B162" s="164" t="str">
        <f>'MASTER SHEET'!B162</f>
        <v>DUMMY CAP LH</v>
      </c>
      <c r="C162" s="165" t="str">
        <f>'MASTER SHEET'!C162</f>
        <v>CB00004193</v>
      </c>
      <c r="D162" s="56">
        <v>0</v>
      </c>
      <c r="E162" s="57">
        <f>' WIP '!F162</f>
        <v>0</v>
      </c>
      <c r="F162" s="58">
        <v>0</v>
      </c>
      <c r="G162" s="59">
        <f t="shared" si="195"/>
        <v>0</v>
      </c>
      <c r="H162" s="57">
        <f>' WIP '!J162</f>
        <v>0</v>
      </c>
      <c r="I162" s="58">
        <v>0</v>
      </c>
      <c r="J162" s="59">
        <f t="shared" si="196"/>
        <v>0</v>
      </c>
      <c r="K162" s="57">
        <f>' WIP '!N162</f>
        <v>0</v>
      </c>
      <c r="L162" s="58"/>
      <c r="M162" s="59">
        <f t="shared" si="197"/>
        <v>0</v>
      </c>
      <c r="N162" s="57">
        <f>' WIP '!R162</f>
        <v>0</v>
      </c>
      <c r="O162" s="58">
        <v>0</v>
      </c>
      <c r="P162" s="59">
        <f t="shared" si="198"/>
        <v>0</v>
      </c>
      <c r="Q162" s="57">
        <f>' WIP '!V162</f>
        <v>0</v>
      </c>
      <c r="R162" s="58">
        <v>0</v>
      </c>
      <c r="S162" s="59">
        <f t="shared" si="199"/>
        <v>0</v>
      </c>
      <c r="T162" s="57">
        <f>' WIP '!Z162</f>
        <v>0</v>
      </c>
      <c r="U162" s="58">
        <v>0</v>
      </c>
      <c r="V162" s="59">
        <f t="shared" si="200"/>
        <v>0</v>
      </c>
      <c r="W162" s="57">
        <f>' WIP '!AD162</f>
        <v>0</v>
      </c>
      <c r="X162" s="58">
        <v>0</v>
      </c>
      <c r="Y162" s="59">
        <f t="shared" si="201"/>
        <v>0</v>
      </c>
      <c r="Z162" s="57">
        <f>' WIP '!AH162</f>
        <v>0</v>
      </c>
      <c r="AA162" s="58">
        <v>0</v>
      </c>
      <c r="AB162" s="59">
        <f t="shared" si="202"/>
        <v>0</v>
      </c>
      <c r="AC162" s="57">
        <f>' WIP '!AL162</f>
        <v>0</v>
      </c>
      <c r="AD162" s="58">
        <v>0</v>
      </c>
      <c r="AE162" s="59">
        <f t="shared" si="203"/>
        <v>0</v>
      </c>
      <c r="AF162" s="57">
        <f>' WIP '!AP162</f>
        <v>0</v>
      </c>
      <c r="AG162" s="114">
        <v>0</v>
      </c>
      <c r="AH162" s="59">
        <f t="shared" si="204"/>
        <v>0</v>
      </c>
      <c r="AI162" s="57">
        <f>' WIP '!AT162</f>
        <v>0</v>
      </c>
      <c r="AJ162" s="58">
        <v>0</v>
      </c>
      <c r="AK162" s="59">
        <f t="shared" si="205"/>
        <v>0</v>
      </c>
      <c r="AL162" s="57">
        <f>' WIP '!AX162</f>
        <v>0</v>
      </c>
      <c r="AM162" s="58"/>
      <c r="AN162" s="59">
        <f t="shared" si="206"/>
        <v>0</v>
      </c>
      <c r="AO162" s="57">
        <f>' WIP '!BB162</f>
        <v>0</v>
      </c>
      <c r="AP162" s="58">
        <v>0</v>
      </c>
      <c r="AQ162" s="59">
        <f t="shared" si="207"/>
        <v>0</v>
      </c>
      <c r="AR162" s="57">
        <f>' WIP '!BF162</f>
        <v>0</v>
      </c>
      <c r="AS162" s="58"/>
      <c r="AT162" s="59">
        <f t="shared" si="208"/>
        <v>0</v>
      </c>
      <c r="AU162" s="57">
        <f>' WIP '!BJ162</f>
        <v>0</v>
      </c>
      <c r="AV162" s="58">
        <v>0</v>
      </c>
      <c r="AW162" s="59">
        <f t="shared" si="209"/>
        <v>0</v>
      </c>
      <c r="AX162" s="57">
        <f>' WIP '!BN162</f>
        <v>0</v>
      </c>
      <c r="AY162" s="58">
        <v>0</v>
      </c>
      <c r="AZ162" s="59">
        <f t="shared" si="210"/>
        <v>0</v>
      </c>
      <c r="BA162" s="57">
        <f>' WIP '!BR162</f>
        <v>3000</v>
      </c>
      <c r="BB162" s="58">
        <v>3000</v>
      </c>
      <c r="BC162" s="59">
        <f t="shared" si="211"/>
        <v>0</v>
      </c>
      <c r="BD162" s="57">
        <f>' WIP '!BV162</f>
        <v>3000</v>
      </c>
      <c r="BE162" s="58">
        <v>3000</v>
      </c>
      <c r="BF162" s="59">
        <f t="shared" si="212"/>
        <v>0</v>
      </c>
      <c r="BG162" s="57">
        <f>' WIP '!BZ162</f>
        <v>0</v>
      </c>
      <c r="BH162" s="58"/>
      <c r="BI162" s="59">
        <f t="shared" si="213"/>
        <v>0</v>
      </c>
      <c r="BJ162" s="57">
        <f>' WIP '!CD162</f>
        <v>0</v>
      </c>
      <c r="BK162" s="58">
        <v>0</v>
      </c>
      <c r="BL162" s="59">
        <f t="shared" si="214"/>
        <v>0</v>
      </c>
      <c r="BM162" s="57">
        <f>' WIP '!CH162</f>
        <v>0</v>
      </c>
      <c r="BN162" s="58">
        <v>0</v>
      </c>
      <c r="BO162" s="59">
        <f t="shared" si="215"/>
        <v>0</v>
      </c>
      <c r="BP162" s="57">
        <f>' WIP '!CL162</f>
        <v>0</v>
      </c>
      <c r="BQ162" s="58"/>
      <c r="BR162" s="59">
        <f t="shared" si="216"/>
        <v>0</v>
      </c>
      <c r="BS162" s="57">
        <f>' WIP '!CP162</f>
        <v>0</v>
      </c>
      <c r="BT162" s="58">
        <v>0</v>
      </c>
      <c r="BU162" s="59">
        <f t="shared" si="217"/>
        <v>0</v>
      </c>
      <c r="BV162" s="57">
        <f>' WIP '!CT162</f>
        <v>0</v>
      </c>
      <c r="BW162" s="28">
        <v>0</v>
      </c>
      <c r="BX162" s="59">
        <f t="shared" si="218"/>
        <v>0</v>
      </c>
      <c r="BY162" s="57">
        <f>' WIP '!CX162</f>
        <v>0</v>
      </c>
      <c r="BZ162" s="58">
        <v>0</v>
      </c>
      <c r="CA162" s="59">
        <f t="shared" si="219"/>
        <v>0</v>
      </c>
      <c r="CB162" s="57">
        <f>' WIP '!DB162</f>
        <v>0</v>
      </c>
      <c r="CC162" s="58">
        <v>0</v>
      </c>
      <c r="CD162" s="59">
        <f t="shared" si="220"/>
        <v>0</v>
      </c>
      <c r="CE162" s="57">
        <f>' WIP '!DF162</f>
        <v>0</v>
      </c>
      <c r="CF162" s="58">
        <v>0</v>
      </c>
      <c r="CG162" s="59">
        <f t="shared" si="221"/>
        <v>0</v>
      </c>
      <c r="CH162" s="57">
        <f>' WIP '!DJ162</f>
        <v>3000</v>
      </c>
      <c r="CI162" s="58">
        <v>3000</v>
      </c>
      <c r="CJ162" s="59">
        <f t="shared" si="222"/>
        <v>0</v>
      </c>
      <c r="CK162" s="57">
        <f>' WIP '!DN162</f>
        <v>3000</v>
      </c>
      <c r="CL162" s="58">
        <v>3000</v>
      </c>
      <c r="CM162" s="59">
        <f t="shared" si="223"/>
        <v>0</v>
      </c>
      <c r="CN162" s="57">
        <f>' WIP '!DR162</f>
        <v>0</v>
      </c>
      <c r="CO162" s="57"/>
      <c r="CP162" s="59">
        <f t="shared" si="224"/>
        <v>0</v>
      </c>
      <c r="CQ162" s="57">
        <f>' WIP '!DV162</f>
        <v>0</v>
      </c>
      <c r="CR162" s="58"/>
      <c r="CS162" s="59">
        <f t="shared" si="225"/>
        <v>0</v>
      </c>
      <c r="CT162" s="31">
        <f t="shared" si="193"/>
        <v>12000</v>
      </c>
      <c r="CU162" s="4">
        <f t="shared" si="194"/>
        <v>12000</v>
      </c>
      <c r="CV162" s="5">
        <f>D162*'MASTER SHEET'!D162</f>
        <v>0</v>
      </c>
      <c r="CW162" s="5">
        <f>G162*'MASTER SHEET'!D162</f>
        <v>0</v>
      </c>
      <c r="CX162" s="5">
        <f>J162*'MASTER SHEET'!D162</f>
        <v>0</v>
      </c>
      <c r="CY162" s="5">
        <f>M162*'MASTER SHEET'!D162</f>
        <v>0</v>
      </c>
      <c r="CZ162" s="5">
        <f>P162*'MASTER SHEET'!D162</f>
        <v>0</v>
      </c>
      <c r="DA162" s="5">
        <f>S162*'MASTER SHEET'!D162</f>
        <v>0</v>
      </c>
      <c r="DB162" s="5">
        <f>V162*'MASTER SHEET'!D162</f>
        <v>0</v>
      </c>
      <c r="DC162" s="5">
        <f>Y162*'MASTER SHEET'!D162</f>
        <v>0</v>
      </c>
      <c r="DD162" s="5">
        <f>AB162*'MASTER SHEET'!D162</f>
        <v>0</v>
      </c>
      <c r="DE162" s="5">
        <f>AE162*'MASTER SHEET'!D162</f>
        <v>0</v>
      </c>
      <c r="DF162" s="5">
        <f>AH162*'MASTER SHEET'!D162</f>
        <v>0</v>
      </c>
      <c r="DG162" s="5">
        <f>AK162*'MASTER SHEET'!D162</f>
        <v>0</v>
      </c>
      <c r="DH162" s="5">
        <f>AN162*'MASTER SHEET'!D162</f>
        <v>0</v>
      </c>
      <c r="DI162" s="5">
        <f>AQ162*'MASTER SHEET'!D162</f>
        <v>0</v>
      </c>
      <c r="DJ162" s="5">
        <f>AT162*'MASTER SHEET'!D162</f>
        <v>0</v>
      </c>
      <c r="DK162" s="5">
        <f>AW162*'MASTER SHEET'!D162</f>
        <v>0</v>
      </c>
      <c r="DL162" s="5">
        <f>AZ162*'MASTER SHEET'!D162</f>
        <v>0</v>
      </c>
      <c r="DM162" s="5">
        <f>BC162*'MASTER SHEET'!D162</f>
        <v>0</v>
      </c>
      <c r="DN162" s="5">
        <f>BF162*'MASTER SHEET'!D162</f>
        <v>0</v>
      </c>
      <c r="DO162" s="5">
        <f>BI162*'MASTER SHEET'!D162</f>
        <v>0</v>
      </c>
      <c r="DP162" s="5">
        <f>BL162*'MASTER SHEET'!D162</f>
        <v>0</v>
      </c>
      <c r="DQ162" s="5">
        <f>BO162*'MASTER SHEET'!D162</f>
        <v>0</v>
      </c>
      <c r="DR162" s="5">
        <f>BR162*'MASTER SHEET'!D162</f>
        <v>0</v>
      </c>
      <c r="DS162" s="5">
        <f>BU162*'MASTER SHEET'!D162</f>
        <v>0</v>
      </c>
      <c r="DT162" s="5">
        <f>BX162*'MASTER SHEET'!D162</f>
        <v>0</v>
      </c>
      <c r="DU162" s="5">
        <f>CA162*'MASTER SHEET'!D162</f>
        <v>0</v>
      </c>
      <c r="DV162" s="5">
        <f>CD162*'MASTER SHEET'!D162</f>
        <v>0</v>
      </c>
      <c r="DW162" s="5">
        <f>CG162*'MASTER SHEET'!D162</f>
        <v>0</v>
      </c>
      <c r="DX162" s="5">
        <f>CJ162*'MASTER SHEET'!D162</f>
        <v>0</v>
      </c>
      <c r="DY162" s="5">
        <f>CM162*'MASTER SHEET'!D162</f>
        <v>0</v>
      </c>
      <c r="DZ162" s="5">
        <f>CP162*'MASTER SHEET'!D162</f>
        <v>0</v>
      </c>
      <c r="EA162" s="5">
        <f>CS162*'MASTER SHEET'!D162</f>
        <v>0</v>
      </c>
      <c r="EB162" s="9"/>
    </row>
    <row r="163" spans="1:132" ht="15.75" x14ac:dyDescent="0.25">
      <c r="A163" s="25">
        <f>'MASTER SHEET'!A163</f>
        <v>161</v>
      </c>
      <c r="B163" s="164" t="str">
        <f>'MASTER SHEET'!B163</f>
        <v>FDUMMY CAP RH</v>
      </c>
      <c r="C163" s="165" t="str">
        <f>'MASTER SHEET'!C163</f>
        <v>CC00004189</v>
      </c>
      <c r="D163" s="56">
        <v>0</v>
      </c>
      <c r="E163" s="57">
        <f>' WIP '!F163</f>
        <v>0</v>
      </c>
      <c r="F163" s="58">
        <v>0</v>
      </c>
      <c r="G163" s="59">
        <f t="shared" si="195"/>
        <v>0</v>
      </c>
      <c r="H163" s="57">
        <f>' WIP '!J163</f>
        <v>0</v>
      </c>
      <c r="I163" s="58">
        <v>0</v>
      </c>
      <c r="J163" s="59">
        <f t="shared" si="196"/>
        <v>0</v>
      </c>
      <c r="K163" s="57">
        <f>' WIP '!N163</f>
        <v>0</v>
      </c>
      <c r="L163" s="58"/>
      <c r="M163" s="59">
        <f t="shared" si="197"/>
        <v>0</v>
      </c>
      <c r="N163" s="57">
        <f>' WIP '!R163</f>
        <v>0</v>
      </c>
      <c r="O163" s="58">
        <v>0</v>
      </c>
      <c r="P163" s="59">
        <f t="shared" si="198"/>
        <v>0</v>
      </c>
      <c r="Q163" s="57">
        <f>' WIP '!V163</f>
        <v>0</v>
      </c>
      <c r="R163" s="58">
        <v>0</v>
      </c>
      <c r="S163" s="59">
        <f t="shared" si="199"/>
        <v>0</v>
      </c>
      <c r="T163" s="57">
        <f>' WIP '!Z163</f>
        <v>0</v>
      </c>
      <c r="U163" s="58">
        <v>0</v>
      </c>
      <c r="V163" s="59">
        <f t="shared" si="200"/>
        <v>0</v>
      </c>
      <c r="W163" s="57">
        <f>' WIP '!AD163</f>
        <v>0</v>
      </c>
      <c r="X163" s="58">
        <v>0</v>
      </c>
      <c r="Y163" s="59">
        <f t="shared" si="201"/>
        <v>0</v>
      </c>
      <c r="Z163" s="57">
        <f>' WIP '!AH163</f>
        <v>0</v>
      </c>
      <c r="AA163" s="58">
        <v>0</v>
      </c>
      <c r="AB163" s="59">
        <f t="shared" si="202"/>
        <v>0</v>
      </c>
      <c r="AC163" s="57">
        <f>' WIP '!AL163</f>
        <v>0</v>
      </c>
      <c r="AD163" s="58">
        <v>0</v>
      </c>
      <c r="AE163" s="59">
        <f t="shared" si="203"/>
        <v>0</v>
      </c>
      <c r="AF163" s="57">
        <f>' WIP '!AP163</f>
        <v>0</v>
      </c>
      <c r="AG163" s="114">
        <v>0</v>
      </c>
      <c r="AH163" s="59">
        <f t="shared" si="204"/>
        <v>0</v>
      </c>
      <c r="AI163" s="57">
        <f>' WIP '!AT163</f>
        <v>0</v>
      </c>
      <c r="AJ163" s="58">
        <v>0</v>
      </c>
      <c r="AK163" s="59">
        <f t="shared" si="205"/>
        <v>0</v>
      </c>
      <c r="AL163" s="57">
        <f>' WIP '!AX163</f>
        <v>0</v>
      </c>
      <c r="AM163" s="58"/>
      <c r="AN163" s="59">
        <f t="shared" si="206"/>
        <v>0</v>
      </c>
      <c r="AO163" s="57">
        <f>' WIP '!BB163</f>
        <v>0</v>
      </c>
      <c r="AP163" s="58">
        <v>0</v>
      </c>
      <c r="AQ163" s="59">
        <f t="shared" si="207"/>
        <v>0</v>
      </c>
      <c r="AR163" s="57">
        <f>' WIP '!BF163</f>
        <v>0</v>
      </c>
      <c r="AS163" s="58"/>
      <c r="AT163" s="59">
        <f t="shared" si="208"/>
        <v>0</v>
      </c>
      <c r="AU163" s="57">
        <f>' WIP '!BJ163</f>
        <v>0</v>
      </c>
      <c r="AV163" s="58">
        <v>0</v>
      </c>
      <c r="AW163" s="59">
        <f t="shared" si="209"/>
        <v>0</v>
      </c>
      <c r="AX163" s="57">
        <f>' WIP '!BN163</f>
        <v>0</v>
      </c>
      <c r="AY163" s="58">
        <v>0</v>
      </c>
      <c r="AZ163" s="59">
        <f t="shared" si="210"/>
        <v>0</v>
      </c>
      <c r="BA163" s="57">
        <f>' WIP '!BR163</f>
        <v>3000</v>
      </c>
      <c r="BB163" s="58">
        <v>3000</v>
      </c>
      <c r="BC163" s="59">
        <f t="shared" si="211"/>
        <v>0</v>
      </c>
      <c r="BD163" s="57">
        <f>' WIP '!BV163</f>
        <v>3000</v>
      </c>
      <c r="BE163" s="58">
        <v>3000</v>
      </c>
      <c r="BF163" s="59">
        <f t="shared" si="212"/>
        <v>0</v>
      </c>
      <c r="BG163" s="57">
        <f>' WIP '!BZ163</f>
        <v>0</v>
      </c>
      <c r="BH163" s="58"/>
      <c r="BI163" s="59">
        <f t="shared" si="213"/>
        <v>0</v>
      </c>
      <c r="BJ163" s="57">
        <f>' WIP '!CD163</f>
        <v>0</v>
      </c>
      <c r="BK163" s="58">
        <v>0</v>
      </c>
      <c r="BL163" s="59">
        <f t="shared" si="214"/>
        <v>0</v>
      </c>
      <c r="BM163" s="57">
        <f>' WIP '!CH163</f>
        <v>0</v>
      </c>
      <c r="BN163" s="58">
        <v>0</v>
      </c>
      <c r="BO163" s="59">
        <f t="shared" si="215"/>
        <v>0</v>
      </c>
      <c r="BP163" s="57">
        <f>' WIP '!CL163</f>
        <v>0</v>
      </c>
      <c r="BQ163" s="58"/>
      <c r="BR163" s="59">
        <f t="shared" si="216"/>
        <v>0</v>
      </c>
      <c r="BS163" s="57">
        <f>' WIP '!CP163</f>
        <v>0</v>
      </c>
      <c r="BT163" s="58">
        <v>0</v>
      </c>
      <c r="BU163" s="59">
        <f t="shared" si="217"/>
        <v>0</v>
      </c>
      <c r="BV163" s="57">
        <f>' WIP '!CT163</f>
        <v>0</v>
      </c>
      <c r="BW163" s="28">
        <v>0</v>
      </c>
      <c r="BX163" s="59">
        <f t="shared" si="218"/>
        <v>0</v>
      </c>
      <c r="BY163" s="57">
        <f>' WIP '!CX163</f>
        <v>0</v>
      </c>
      <c r="BZ163" s="58">
        <v>0</v>
      </c>
      <c r="CA163" s="59">
        <f t="shared" si="219"/>
        <v>0</v>
      </c>
      <c r="CB163" s="57">
        <f>' WIP '!DB163</f>
        <v>0</v>
      </c>
      <c r="CC163" s="58">
        <v>0</v>
      </c>
      <c r="CD163" s="59">
        <f t="shared" si="220"/>
        <v>0</v>
      </c>
      <c r="CE163" s="57">
        <f>' WIP '!DF163</f>
        <v>0</v>
      </c>
      <c r="CF163" s="58">
        <v>0</v>
      </c>
      <c r="CG163" s="59">
        <f t="shared" si="221"/>
        <v>0</v>
      </c>
      <c r="CH163" s="57">
        <f>' WIP '!DJ163</f>
        <v>3000</v>
      </c>
      <c r="CI163" s="58">
        <v>3000</v>
      </c>
      <c r="CJ163" s="59">
        <f t="shared" si="222"/>
        <v>0</v>
      </c>
      <c r="CK163" s="57">
        <f>' WIP '!DN163</f>
        <v>3000</v>
      </c>
      <c r="CL163" s="58">
        <v>3000</v>
      </c>
      <c r="CM163" s="59">
        <f t="shared" si="223"/>
        <v>0</v>
      </c>
      <c r="CN163" s="57">
        <f>' WIP '!DR163</f>
        <v>0</v>
      </c>
      <c r="CO163" s="57"/>
      <c r="CP163" s="59">
        <f t="shared" si="224"/>
        <v>0</v>
      </c>
      <c r="CQ163" s="57">
        <f>' WIP '!DV163</f>
        <v>0</v>
      </c>
      <c r="CR163" s="58"/>
      <c r="CS163" s="59">
        <f t="shared" si="225"/>
        <v>0</v>
      </c>
      <c r="CT163" s="31">
        <f t="shared" ref="CT163:CT194" si="226">D163+E163+H163+K163+N163+Q163+T163+W163+Z163+AC163+AF163+AI163+AL163+AO163+AR163+AU163+AX163+BA163+BD163+BG163+BJ163+BM163+BP163+BS163+BV163+BY163+CB163+CE163+CH163+CK163+CN163+CQ163</f>
        <v>12000</v>
      </c>
      <c r="CU163" s="4">
        <f t="shared" ref="CU163:CU194" si="227">F163+I163+L163+O163+R163+U163+X163+AA163+AD163+AG163+AJ163+AM163+AP163+AS163+AV163+AY163+BB163+BE163+BH163+BK163+BN163+BQ163+BT163+BW163+BZ163+CC163+CF163+CI163+CL163+CO163+CR163</f>
        <v>12000</v>
      </c>
      <c r="CV163" s="5">
        <f>D163*'MASTER SHEET'!D163</f>
        <v>0</v>
      </c>
      <c r="CW163" s="5">
        <f>G163*'MASTER SHEET'!D163</f>
        <v>0</v>
      </c>
      <c r="CX163" s="5">
        <f>J163*'MASTER SHEET'!D163</f>
        <v>0</v>
      </c>
      <c r="CY163" s="5">
        <f>M163*'MASTER SHEET'!D163</f>
        <v>0</v>
      </c>
      <c r="CZ163" s="5">
        <f>P163*'MASTER SHEET'!D163</f>
        <v>0</v>
      </c>
      <c r="DA163" s="5">
        <f>S163*'MASTER SHEET'!D163</f>
        <v>0</v>
      </c>
      <c r="DB163" s="5">
        <f>V163*'MASTER SHEET'!D163</f>
        <v>0</v>
      </c>
      <c r="DC163" s="5">
        <f>Y163*'MASTER SHEET'!D163</f>
        <v>0</v>
      </c>
      <c r="DD163" s="5">
        <f>AB163*'MASTER SHEET'!D163</f>
        <v>0</v>
      </c>
      <c r="DE163" s="5">
        <f>AE163*'MASTER SHEET'!D163</f>
        <v>0</v>
      </c>
      <c r="DF163" s="5">
        <f>AH163*'MASTER SHEET'!D163</f>
        <v>0</v>
      </c>
      <c r="DG163" s="5">
        <f>AK163*'MASTER SHEET'!D163</f>
        <v>0</v>
      </c>
      <c r="DH163" s="5">
        <f>AN163*'MASTER SHEET'!D163</f>
        <v>0</v>
      </c>
      <c r="DI163" s="5">
        <f>AQ163*'MASTER SHEET'!D163</f>
        <v>0</v>
      </c>
      <c r="DJ163" s="5">
        <f>AT163*'MASTER SHEET'!D163</f>
        <v>0</v>
      </c>
      <c r="DK163" s="5">
        <f>AW163*'MASTER SHEET'!D163</f>
        <v>0</v>
      </c>
      <c r="DL163" s="5">
        <f>AZ163*'MASTER SHEET'!D163</f>
        <v>0</v>
      </c>
      <c r="DM163" s="5">
        <f>BC163*'MASTER SHEET'!D163</f>
        <v>0</v>
      </c>
      <c r="DN163" s="5">
        <f>BF163*'MASTER SHEET'!D163</f>
        <v>0</v>
      </c>
      <c r="DO163" s="5">
        <f>BI163*'MASTER SHEET'!D163</f>
        <v>0</v>
      </c>
      <c r="DP163" s="5">
        <f>BL163*'MASTER SHEET'!D163</f>
        <v>0</v>
      </c>
      <c r="DQ163" s="5">
        <f>BO163*'MASTER SHEET'!D163</f>
        <v>0</v>
      </c>
      <c r="DR163" s="5">
        <f>BR163*'MASTER SHEET'!D163</f>
        <v>0</v>
      </c>
      <c r="DS163" s="5">
        <f>BU163*'MASTER SHEET'!D163</f>
        <v>0</v>
      </c>
      <c r="DT163" s="5">
        <f>BX163*'MASTER SHEET'!D163</f>
        <v>0</v>
      </c>
      <c r="DU163" s="5">
        <f>CA163*'MASTER SHEET'!D163</f>
        <v>0</v>
      </c>
      <c r="DV163" s="5">
        <f>CD163*'MASTER SHEET'!D163</f>
        <v>0</v>
      </c>
      <c r="DW163" s="5">
        <f>CG163*'MASTER SHEET'!D163</f>
        <v>0</v>
      </c>
      <c r="DX163" s="5">
        <f>CJ163*'MASTER SHEET'!D163</f>
        <v>0</v>
      </c>
      <c r="DY163" s="5">
        <f>CM163*'MASTER SHEET'!D163</f>
        <v>0</v>
      </c>
      <c r="DZ163" s="5">
        <f>CP163*'MASTER SHEET'!D163</f>
        <v>0</v>
      </c>
      <c r="EA163" s="5">
        <f>CS163*'MASTER SHEET'!D163</f>
        <v>0</v>
      </c>
      <c r="EB163" s="9"/>
    </row>
    <row r="164" spans="1:132" ht="15.75" x14ac:dyDescent="0.25">
      <c r="A164" s="25">
        <f>'MASTER SHEET'!A164</f>
        <v>162</v>
      </c>
      <c r="B164" s="164" t="str">
        <f>'MASTER SHEET'!B164</f>
        <v>Hood Stay Rod</v>
      </c>
      <c r="C164" s="165">
        <f>'MASTER SHEET'!C164</f>
        <v>62124</v>
      </c>
      <c r="D164" s="56">
        <v>0</v>
      </c>
      <c r="E164" s="57">
        <f>' WIP '!F164</f>
        <v>0</v>
      </c>
      <c r="F164" s="58">
        <v>0</v>
      </c>
      <c r="G164" s="59">
        <f t="shared" si="195"/>
        <v>0</v>
      </c>
      <c r="H164" s="57">
        <f>' WIP '!J164</f>
        <v>0</v>
      </c>
      <c r="I164" s="58">
        <v>0</v>
      </c>
      <c r="J164" s="59">
        <f t="shared" si="196"/>
        <v>0</v>
      </c>
      <c r="K164" s="57">
        <f>' WIP '!N164</f>
        <v>0</v>
      </c>
      <c r="L164" s="58"/>
      <c r="M164" s="59">
        <f t="shared" si="197"/>
        <v>0</v>
      </c>
      <c r="N164" s="57">
        <f>' WIP '!R164</f>
        <v>6000</v>
      </c>
      <c r="O164" s="58">
        <v>6000</v>
      </c>
      <c r="P164" s="59">
        <f t="shared" si="198"/>
        <v>0</v>
      </c>
      <c r="Q164" s="57">
        <f>' WIP '!V164</f>
        <v>3000</v>
      </c>
      <c r="R164" s="58">
        <v>3000</v>
      </c>
      <c r="S164" s="59">
        <f t="shared" si="199"/>
        <v>0</v>
      </c>
      <c r="T164" s="57">
        <f>' WIP '!Z164</f>
        <v>1000</v>
      </c>
      <c r="U164" s="58">
        <v>1000</v>
      </c>
      <c r="V164" s="59">
        <f t="shared" si="200"/>
        <v>0</v>
      </c>
      <c r="W164" s="57">
        <f>' WIP '!AD164</f>
        <v>0</v>
      </c>
      <c r="X164" s="58">
        <v>0</v>
      </c>
      <c r="Y164" s="59">
        <f t="shared" si="201"/>
        <v>0</v>
      </c>
      <c r="Z164" s="57">
        <f>' WIP '!AH164</f>
        <v>0</v>
      </c>
      <c r="AA164" s="58">
        <v>0</v>
      </c>
      <c r="AB164" s="59">
        <f t="shared" si="202"/>
        <v>0</v>
      </c>
      <c r="AC164" s="57">
        <f>' WIP '!AL164</f>
        <v>0</v>
      </c>
      <c r="AD164" s="58">
        <v>0</v>
      </c>
      <c r="AE164" s="59">
        <f t="shared" si="203"/>
        <v>0</v>
      </c>
      <c r="AF164" s="57">
        <f>' WIP '!AP164</f>
        <v>0</v>
      </c>
      <c r="AG164" s="114">
        <v>0</v>
      </c>
      <c r="AH164" s="59">
        <f t="shared" si="204"/>
        <v>0</v>
      </c>
      <c r="AI164" s="57">
        <f>' WIP '!AT164</f>
        <v>0</v>
      </c>
      <c r="AJ164" s="58">
        <v>0</v>
      </c>
      <c r="AK164" s="59">
        <f t="shared" si="205"/>
        <v>0</v>
      </c>
      <c r="AL164" s="57">
        <f>' WIP '!AX164</f>
        <v>0</v>
      </c>
      <c r="AM164" s="58"/>
      <c r="AN164" s="59">
        <f t="shared" si="206"/>
        <v>0</v>
      </c>
      <c r="AO164" s="57">
        <f>' WIP '!BB164</f>
        <v>3000</v>
      </c>
      <c r="AP164" s="58">
        <v>3000</v>
      </c>
      <c r="AQ164" s="59">
        <f t="shared" si="207"/>
        <v>0</v>
      </c>
      <c r="AR164" s="57">
        <f>' WIP '!BF164</f>
        <v>2000</v>
      </c>
      <c r="AS164" s="58">
        <v>2000</v>
      </c>
      <c r="AT164" s="59">
        <f t="shared" si="208"/>
        <v>0</v>
      </c>
      <c r="AU164" s="57">
        <f>' WIP '!BJ164</f>
        <v>0</v>
      </c>
      <c r="AV164" s="58">
        <v>0</v>
      </c>
      <c r="AW164" s="59">
        <f t="shared" si="209"/>
        <v>0</v>
      </c>
      <c r="AX164" s="57">
        <f>' WIP '!BN164</f>
        <v>0</v>
      </c>
      <c r="AY164" s="58">
        <v>0</v>
      </c>
      <c r="AZ164" s="59">
        <f t="shared" si="210"/>
        <v>0</v>
      </c>
      <c r="BA164" s="57">
        <f>' WIP '!BR164</f>
        <v>0</v>
      </c>
      <c r="BB164" s="58">
        <v>0</v>
      </c>
      <c r="BC164" s="59">
        <f t="shared" si="211"/>
        <v>0</v>
      </c>
      <c r="BD164" s="57">
        <f>' WIP '!BV164</f>
        <v>0</v>
      </c>
      <c r="BE164" s="58">
        <v>0</v>
      </c>
      <c r="BF164" s="59">
        <f t="shared" si="212"/>
        <v>0</v>
      </c>
      <c r="BG164" s="57">
        <f>' WIP '!BZ164</f>
        <v>0</v>
      </c>
      <c r="BH164" s="58"/>
      <c r="BI164" s="59">
        <f t="shared" si="213"/>
        <v>0</v>
      </c>
      <c r="BJ164" s="57">
        <f>' WIP '!CD164</f>
        <v>5000</v>
      </c>
      <c r="BK164" s="58">
        <v>5000</v>
      </c>
      <c r="BL164" s="59">
        <f t="shared" si="214"/>
        <v>0</v>
      </c>
      <c r="BM164" s="57">
        <f>' WIP '!CH164</f>
        <v>0</v>
      </c>
      <c r="BN164" s="58">
        <v>0</v>
      </c>
      <c r="BO164" s="59">
        <f t="shared" si="215"/>
        <v>0</v>
      </c>
      <c r="BP164" s="57">
        <f>' WIP '!CL164</f>
        <v>3000</v>
      </c>
      <c r="BQ164" s="58">
        <v>3000</v>
      </c>
      <c r="BR164" s="59">
        <f t="shared" si="216"/>
        <v>0</v>
      </c>
      <c r="BS164" s="57">
        <f>' WIP '!CP164</f>
        <v>3000</v>
      </c>
      <c r="BT164" s="58">
        <v>3000</v>
      </c>
      <c r="BU164" s="59">
        <f t="shared" si="217"/>
        <v>0</v>
      </c>
      <c r="BV164" s="57">
        <f>' WIP '!CT164</f>
        <v>0</v>
      </c>
      <c r="BW164" s="28">
        <v>0</v>
      </c>
      <c r="BX164" s="59">
        <f t="shared" si="218"/>
        <v>0</v>
      </c>
      <c r="BY164" s="57">
        <f>' WIP '!CX164</f>
        <v>9000</v>
      </c>
      <c r="BZ164" s="58">
        <v>9000</v>
      </c>
      <c r="CA164" s="59">
        <f t="shared" si="219"/>
        <v>0</v>
      </c>
      <c r="CB164" s="57">
        <f>' WIP '!DB164</f>
        <v>0</v>
      </c>
      <c r="CC164" s="58">
        <v>0</v>
      </c>
      <c r="CD164" s="59">
        <f t="shared" si="220"/>
        <v>0</v>
      </c>
      <c r="CE164" s="57">
        <f>' WIP '!DF164</f>
        <v>0</v>
      </c>
      <c r="CF164" s="58">
        <v>0</v>
      </c>
      <c r="CG164" s="59">
        <f t="shared" si="221"/>
        <v>0</v>
      </c>
      <c r="CH164" s="57">
        <f>' WIP '!DJ164</f>
        <v>9000</v>
      </c>
      <c r="CI164" s="58">
        <v>9000</v>
      </c>
      <c r="CJ164" s="59">
        <f t="shared" si="222"/>
        <v>0</v>
      </c>
      <c r="CK164" s="57">
        <f>' WIP '!DN164</f>
        <v>5000</v>
      </c>
      <c r="CL164" s="58">
        <v>5000</v>
      </c>
      <c r="CM164" s="59">
        <f t="shared" si="223"/>
        <v>0</v>
      </c>
      <c r="CN164" s="57">
        <f>' WIP '!DR164</f>
        <v>0</v>
      </c>
      <c r="CO164" s="57"/>
      <c r="CP164" s="59">
        <f t="shared" si="224"/>
        <v>0</v>
      </c>
      <c r="CQ164" s="57">
        <f>' WIP '!DV164</f>
        <v>0</v>
      </c>
      <c r="CR164" s="58"/>
      <c r="CS164" s="59">
        <f t="shared" si="225"/>
        <v>0</v>
      </c>
      <c r="CT164" s="31">
        <f t="shared" si="226"/>
        <v>49000</v>
      </c>
      <c r="CU164" s="4">
        <f t="shared" si="227"/>
        <v>49000</v>
      </c>
      <c r="CV164" s="5">
        <f>D164*'MASTER SHEET'!D164</f>
        <v>0</v>
      </c>
      <c r="CW164" s="5">
        <f>G164*'MASTER SHEET'!D164</f>
        <v>0</v>
      </c>
      <c r="CX164" s="5">
        <f>J164*'MASTER SHEET'!D164</f>
        <v>0</v>
      </c>
      <c r="CY164" s="5">
        <f>M164*'MASTER SHEET'!D164</f>
        <v>0</v>
      </c>
      <c r="CZ164" s="5">
        <f>P164*'MASTER SHEET'!D164</f>
        <v>0</v>
      </c>
      <c r="DA164" s="5">
        <f>S164*'MASTER SHEET'!D164</f>
        <v>0</v>
      </c>
      <c r="DB164" s="5">
        <f>V164*'MASTER SHEET'!D164</f>
        <v>0</v>
      </c>
      <c r="DC164" s="5">
        <f>Y164*'MASTER SHEET'!D164</f>
        <v>0</v>
      </c>
      <c r="DD164" s="5">
        <f>AB164*'MASTER SHEET'!D164</f>
        <v>0</v>
      </c>
      <c r="DE164" s="5">
        <f>AE164*'MASTER SHEET'!D164</f>
        <v>0</v>
      </c>
      <c r="DF164" s="5">
        <f>AH164*'MASTER SHEET'!D164</f>
        <v>0</v>
      </c>
      <c r="DG164" s="5">
        <f>AK164*'MASTER SHEET'!D164</f>
        <v>0</v>
      </c>
      <c r="DH164" s="5">
        <f>AN164*'MASTER SHEET'!D164</f>
        <v>0</v>
      </c>
      <c r="DI164" s="5">
        <f>AQ164*'MASTER SHEET'!D164</f>
        <v>0</v>
      </c>
      <c r="DJ164" s="5">
        <f>AT164*'MASTER SHEET'!D164</f>
        <v>0</v>
      </c>
      <c r="DK164" s="5">
        <f>AW164*'MASTER SHEET'!D164</f>
        <v>0</v>
      </c>
      <c r="DL164" s="5">
        <f>AZ164*'MASTER SHEET'!D164</f>
        <v>0</v>
      </c>
      <c r="DM164" s="5">
        <f>BC164*'MASTER SHEET'!D164</f>
        <v>0</v>
      </c>
      <c r="DN164" s="5">
        <f>BF164*'MASTER SHEET'!D164</f>
        <v>0</v>
      </c>
      <c r="DO164" s="5">
        <f>BI164*'MASTER SHEET'!D164</f>
        <v>0</v>
      </c>
      <c r="DP164" s="5">
        <f>BL164*'MASTER SHEET'!D164</f>
        <v>0</v>
      </c>
      <c r="DQ164" s="5">
        <f>BO164*'MASTER SHEET'!D164</f>
        <v>0</v>
      </c>
      <c r="DR164" s="5">
        <f>BR164*'MASTER SHEET'!D164</f>
        <v>0</v>
      </c>
      <c r="DS164" s="5">
        <f>BU164*'MASTER SHEET'!D164</f>
        <v>0</v>
      </c>
      <c r="DT164" s="5">
        <f>BX164*'MASTER SHEET'!D164</f>
        <v>0</v>
      </c>
      <c r="DU164" s="5">
        <f>CA164*'MASTER SHEET'!D164</f>
        <v>0</v>
      </c>
      <c r="DV164" s="5">
        <f>CD164*'MASTER SHEET'!D164</f>
        <v>0</v>
      </c>
      <c r="DW164" s="5">
        <f>CG164*'MASTER SHEET'!D164</f>
        <v>0</v>
      </c>
      <c r="DX164" s="5">
        <f>CJ164*'MASTER SHEET'!D164</f>
        <v>0</v>
      </c>
      <c r="DY164" s="5">
        <f>CM164*'MASTER SHEET'!D164</f>
        <v>0</v>
      </c>
      <c r="DZ164" s="5">
        <f>CP164*'MASTER SHEET'!D164</f>
        <v>0</v>
      </c>
      <c r="EA164" s="5">
        <f>CS164*'MASTER SHEET'!D164</f>
        <v>0</v>
      </c>
      <c r="EB164" s="9"/>
    </row>
    <row r="165" spans="1:132" ht="15.75" x14ac:dyDescent="0.25">
      <c r="A165" s="25">
        <f>'MASTER SHEET'!A165</f>
        <v>163</v>
      </c>
      <c r="B165" s="164" t="str">
        <f>'MASTER SHEET'!B165</f>
        <v>RIBLOK</v>
      </c>
      <c r="C165" s="165">
        <f>'MASTER SHEET'!C165</f>
        <v>60250</v>
      </c>
      <c r="D165" s="56">
        <v>20000</v>
      </c>
      <c r="E165" s="57">
        <f>' WIP '!F165</f>
        <v>0</v>
      </c>
      <c r="F165" s="58">
        <v>20000</v>
      </c>
      <c r="G165" s="59">
        <f t="shared" si="195"/>
        <v>0</v>
      </c>
      <c r="H165" s="57">
        <f>' WIP '!J165</f>
        <v>0</v>
      </c>
      <c r="I165" s="58">
        <v>0</v>
      </c>
      <c r="J165" s="59">
        <f t="shared" si="196"/>
        <v>0</v>
      </c>
      <c r="K165" s="57">
        <f>' WIP '!N165</f>
        <v>0</v>
      </c>
      <c r="L165" s="58"/>
      <c r="M165" s="59">
        <f t="shared" si="197"/>
        <v>0</v>
      </c>
      <c r="N165" s="57">
        <f>' WIP '!R165</f>
        <v>5000</v>
      </c>
      <c r="O165" s="58">
        <v>5000</v>
      </c>
      <c r="P165" s="59">
        <f t="shared" si="198"/>
        <v>0</v>
      </c>
      <c r="Q165" s="57">
        <f>' WIP '!V165</f>
        <v>0</v>
      </c>
      <c r="R165" s="58">
        <v>0</v>
      </c>
      <c r="S165" s="59">
        <f t="shared" si="199"/>
        <v>0</v>
      </c>
      <c r="T165" s="57">
        <f>' WIP '!Z165</f>
        <v>0</v>
      </c>
      <c r="U165" s="58">
        <v>0</v>
      </c>
      <c r="V165" s="59">
        <f t="shared" si="200"/>
        <v>0</v>
      </c>
      <c r="W165" s="57">
        <f>' WIP '!AD165</f>
        <v>0</v>
      </c>
      <c r="X165" s="58">
        <v>0</v>
      </c>
      <c r="Y165" s="59">
        <f t="shared" si="201"/>
        <v>0</v>
      </c>
      <c r="Z165" s="57">
        <f>' WIP '!AH165</f>
        <v>0</v>
      </c>
      <c r="AA165" s="58">
        <v>0</v>
      </c>
      <c r="AB165" s="59">
        <f t="shared" si="202"/>
        <v>0</v>
      </c>
      <c r="AC165" s="57">
        <f>' WIP '!AL165</f>
        <v>0</v>
      </c>
      <c r="AD165" s="58">
        <v>0</v>
      </c>
      <c r="AE165" s="59">
        <f t="shared" si="203"/>
        <v>0</v>
      </c>
      <c r="AF165" s="57">
        <f>' WIP '!AP165</f>
        <v>0</v>
      </c>
      <c r="AG165" s="114">
        <v>0</v>
      </c>
      <c r="AH165" s="59">
        <f t="shared" si="204"/>
        <v>0</v>
      </c>
      <c r="AI165" s="57">
        <f>' WIP '!AT165</f>
        <v>0</v>
      </c>
      <c r="AJ165" s="58">
        <v>0</v>
      </c>
      <c r="AK165" s="59">
        <f t="shared" si="205"/>
        <v>0</v>
      </c>
      <c r="AL165" s="57">
        <f>' WIP '!AX165</f>
        <v>0</v>
      </c>
      <c r="AM165" s="58"/>
      <c r="AN165" s="59">
        <f t="shared" si="206"/>
        <v>0</v>
      </c>
      <c r="AO165" s="57">
        <f>' WIP '!BB165</f>
        <v>0</v>
      </c>
      <c r="AP165" s="58">
        <v>0</v>
      </c>
      <c r="AQ165" s="59">
        <f t="shared" si="207"/>
        <v>0</v>
      </c>
      <c r="AR165" s="57">
        <f>' WIP '!BF165</f>
        <v>0</v>
      </c>
      <c r="AS165" s="58"/>
      <c r="AT165" s="59">
        <f t="shared" si="208"/>
        <v>0</v>
      </c>
      <c r="AU165" s="57">
        <f>' WIP '!BJ165</f>
        <v>0</v>
      </c>
      <c r="AV165" s="58">
        <v>0</v>
      </c>
      <c r="AW165" s="59">
        <f t="shared" si="209"/>
        <v>0</v>
      </c>
      <c r="AX165" s="57">
        <f>' WIP '!BN165</f>
        <v>0</v>
      </c>
      <c r="AY165" s="58">
        <v>0</v>
      </c>
      <c r="AZ165" s="59">
        <f t="shared" si="210"/>
        <v>0</v>
      </c>
      <c r="BA165" s="57">
        <f>' WIP '!BR165</f>
        <v>0</v>
      </c>
      <c r="BB165" s="58">
        <v>0</v>
      </c>
      <c r="BC165" s="59">
        <f t="shared" si="211"/>
        <v>0</v>
      </c>
      <c r="BD165" s="57">
        <f>' WIP '!BV165</f>
        <v>0</v>
      </c>
      <c r="BE165" s="58">
        <v>0</v>
      </c>
      <c r="BF165" s="59">
        <f t="shared" si="212"/>
        <v>0</v>
      </c>
      <c r="BG165" s="57">
        <f>' WIP '!BZ165</f>
        <v>0</v>
      </c>
      <c r="BH165" s="58"/>
      <c r="BI165" s="59">
        <f t="shared" si="213"/>
        <v>0</v>
      </c>
      <c r="BJ165" s="57">
        <f>' WIP '!CD165</f>
        <v>0</v>
      </c>
      <c r="BK165" s="58">
        <v>0</v>
      </c>
      <c r="BL165" s="59">
        <f t="shared" si="214"/>
        <v>0</v>
      </c>
      <c r="BM165" s="57">
        <f>' WIP '!CH165</f>
        <v>0</v>
      </c>
      <c r="BN165" s="58">
        <v>0</v>
      </c>
      <c r="BO165" s="59">
        <f t="shared" si="215"/>
        <v>0</v>
      </c>
      <c r="BP165" s="57">
        <f>' WIP '!CL165</f>
        <v>0</v>
      </c>
      <c r="BQ165" s="58"/>
      <c r="BR165" s="59">
        <f t="shared" si="216"/>
        <v>0</v>
      </c>
      <c r="BS165" s="57">
        <f>' WIP '!CP165</f>
        <v>0</v>
      </c>
      <c r="BT165" s="58">
        <v>0</v>
      </c>
      <c r="BU165" s="59">
        <f t="shared" si="217"/>
        <v>0</v>
      </c>
      <c r="BV165" s="57">
        <f>' WIP '!CT165</f>
        <v>0</v>
      </c>
      <c r="BW165" s="28">
        <v>0</v>
      </c>
      <c r="BX165" s="59">
        <f t="shared" si="218"/>
        <v>0</v>
      </c>
      <c r="BY165" s="57">
        <f>' WIP '!CX165</f>
        <v>0</v>
      </c>
      <c r="BZ165" s="58">
        <v>0</v>
      </c>
      <c r="CA165" s="59">
        <f t="shared" si="219"/>
        <v>0</v>
      </c>
      <c r="CB165" s="57">
        <f>' WIP '!DB165</f>
        <v>0</v>
      </c>
      <c r="CC165" s="58">
        <v>0</v>
      </c>
      <c r="CD165" s="59">
        <f t="shared" si="220"/>
        <v>0</v>
      </c>
      <c r="CE165" s="57">
        <f>' WIP '!DF165</f>
        <v>0</v>
      </c>
      <c r="CF165" s="58">
        <v>0</v>
      </c>
      <c r="CG165" s="59">
        <f t="shared" si="221"/>
        <v>0</v>
      </c>
      <c r="CH165" s="57">
        <f>' WIP '!DJ165</f>
        <v>0</v>
      </c>
      <c r="CI165" s="58">
        <v>0</v>
      </c>
      <c r="CJ165" s="59">
        <f t="shared" si="222"/>
        <v>0</v>
      </c>
      <c r="CK165" s="57">
        <f>' WIP '!DN165</f>
        <v>0</v>
      </c>
      <c r="CL165" s="58">
        <v>0</v>
      </c>
      <c r="CM165" s="59">
        <f t="shared" si="223"/>
        <v>0</v>
      </c>
      <c r="CN165" s="57">
        <f>' WIP '!DR165</f>
        <v>0</v>
      </c>
      <c r="CO165" s="57"/>
      <c r="CP165" s="59">
        <f t="shared" si="224"/>
        <v>0</v>
      </c>
      <c r="CQ165" s="57">
        <f>' WIP '!DV165</f>
        <v>0</v>
      </c>
      <c r="CR165" s="58"/>
      <c r="CS165" s="59">
        <f t="shared" si="225"/>
        <v>0</v>
      </c>
      <c r="CT165" s="31">
        <f t="shared" si="226"/>
        <v>25000</v>
      </c>
      <c r="CU165" s="4">
        <f t="shared" si="227"/>
        <v>25000</v>
      </c>
      <c r="CV165" s="5">
        <f>D165*'MASTER SHEET'!D165</f>
        <v>16800</v>
      </c>
      <c r="CW165" s="5">
        <f>G165*'MASTER SHEET'!D165</f>
        <v>0</v>
      </c>
      <c r="CX165" s="5">
        <f>J165*'MASTER SHEET'!D165</f>
        <v>0</v>
      </c>
      <c r="CY165" s="5">
        <f>M165*'MASTER SHEET'!D165</f>
        <v>0</v>
      </c>
      <c r="CZ165" s="5">
        <f>P165*'MASTER SHEET'!D165</f>
        <v>0</v>
      </c>
      <c r="DA165" s="5">
        <f>S165*'MASTER SHEET'!D165</f>
        <v>0</v>
      </c>
      <c r="DB165" s="5">
        <f>V165*'MASTER SHEET'!D165</f>
        <v>0</v>
      </c>
      <c r="DC165" s="5">
        <f>Y165*'MASTER SHEET'!D165</f>
        <v>0</v>
      </c>
      <c r="DD165" s="5">
        <f>AB165*'MASTER SHEET'!D165</f>
        <v>0</v>
      </c>
      <c r="DE165" s="5">
        <f>AE165*'MASTER SHEET'!D165</f>
        <v>0</v>
      </c>
      <c r="DF165" s="5">
        <f>AH165*'MASTER SHEET'!D165</f>
        <v>0</v>
      </c>
      <c r="DG165" s="5">
        <f>AK165*'MASTER SHEET'!D165</f>
        <v>0</v>
      </c>
      <c r="DH165" s="5">
        <f>AN165*'MASTER SHEET'!D165</f>
        <v>0</v>
      </c>
      <c r="DI165" s="5">
        <f>AQ165*'MASTER SHEET'!D165</f>
        <v>0</v>
      </c>
      <c r="DJ165" s="5">
        <f>AT165*'MASTER SHEET'!D165</f>
        <v>0</v>
      </c>
      <c r="DK165" s="5">
        <f>AW165*'MASTER SHEET'!D165</f>
        <v>0</v>
      </c>
      <c r="DL165" s="5">
        <f>AZ165*'MASTER SHEET'!D165</f>
        <v>0</v>
      </c>
      <c r="DM165" s="5">
        <f>BC165*'MASTER SHEET'!D165</f>
        <v>0</v>
      </c>
      <c r="DN165" s="5">
        <f>BF165*'MASTER SHEET'!D165</f>
        <v>0</v>
      </c>
      <c r="DO165" s="5">
        <f>BI165*'MASTER SHEET'!D165</f>
        <v>0</v>
      </c>
      <c r="DP165" s="5">
        <f>BL165*'MASTER SHEET'!D165</f>
        <v>0</v>
      </c>
      <c r="DQ165" s="5">
        <f>BO165*'MASTER SHEET'!D165</f>
        <v>0</v>
      </c>
      <c r="DR165" s="5">
        <f>BR165*'MASTER SHEET'!D165</f>
        <v>0</v>
      </c>
      <c r="DS165" s="5">
        <f>BU165*'MASTER SHEET'!D165</f>
        <v>0</v>
      </c>
      <c r="DT165" s="5">
        <f>BX165*'MASTER SHEET'!D165</f>
        <v>0</v>
      </c>
      <c r="DU165" s="5">
        <f>CA165*'MASTER SHEET'!D165</f>
        <v>0</v>
      </c>
      <c r="DV165" s="5">
        <f>CD165*'MASTER SHEET'!D165</f>
        <v>0</v>
      </c>
      <c r="DW165" s="5">
        <f>CG165*'MASTER SHEET'!D165</f>
        <v>0</v>
      </c>
      <c r="DX165" s="5">
        <f>CJ165*'MASTER SHEET'!D165</f>
        <v>0</v>
      </c>
      <c r="DY165" s="5">
        <f>CM165*'MASTER SHEET'!D165</f>
        <v>0</v>
      </c>
      <c r="DZ165" s="5">
        <f>CP165*'MASTER SHEET'!D165</f>
        <v>0</v>
      </c>
      <c r="EA165" s="5">
        <f>CS165*'MASTER SHEET'!D165</f>
        <v>0</v>
      </c>
      <c r="EB165" s="9"/>
    </row>
    <row r="166" spans="1:132" ht="15.75" x14ac:dyDescent="0.25">
      <c r="A166" s="25">
        <f>'MASTER SHEET'!A166</f>
        <v>164</v>
      </c>
      <c r="B166" s="164" t="str">
        <f>'MASTER SHEET'!B166</f>
        <v>AIR EXTRACTOR HOUSING</v>
      </c>
      <c r="C166" s="165">
        <f>'MASTER SHEET'!C166</f>
        <v>62182</v>
      </c>
      <c r="D166" s="56"/>
      <c r="E166" s="57"/>
      <c r="F166" s="58">
        <v>0</v>
      </c>
      <c r="G166" s="59"/>
      <c r="H166" s="57"/>
      <c r="I166" s="58">
        <v>0</v>
      </c>
      <c r="J166" s="59"/>
      <c r="K166" s="57"/>
      <c r="L166" s="58"/>
      <c r="M166" s="59"/>
      <c r="N166" s="57"/>
      <c r="O166" s="58">
        <v>0</v>
      </c>
      <c r="P166" s="59"/>
      <c r="Q166" s="57"/>
      <c r="R166" s="58">
        <v>0</v>
      </c>
      <c r="S166" s="59"/>
      <c r="T166" s="57"/>
      <c r="U166" s="58">
        <v>0</v>
      </c>
      <c r="V166" s="59"/>
      <c r="W166" s="57"/>
      <c r="X166" s="58">
        <v>0</v>
      </c>
      <c r="Y166" s="59"/>
      <c r="Z166" s="57"/>
      <c r="AA166" s="58">
        <v>0</v>
      </c>
      <c r="AB166" s="59"/>
      <c r="AC166" s="57"/>
      <c r="AD166" s="58">
        <v>0</v>
      </c>
      <c r="AE166" s="59"/>
      <c r="AF166" s="57"/>
      <c r="AG166" s="114">
        <v>0</v>
      </c>
      <c r="AH166" s="59"/>
      <c r="AI166" s="57"/>
      <c r="AJ166" s="58">
        <v>0</v>
      </c>
      <c r="AK166" s="59"/>
      <c r="AL166" s="57"/>
      <c r="AM166" s="58"/>
      <c r="AN166" s="59"/>
      <c r="AO166" s="57"/>
      <c r="AP166" s="58">
        <v>0</v>
      </c>
      <c r="AQ166" s="59"/>
      <c r="AR166" s="57"/>
      <c r="AS166" s="58"/>
      <c r="AT166" s="59"/>
      <c r="AU166" s="57"/>
      <c r="AV166" s="58">
        <v>0</v>
      </c>
      <c r="AW166" s="59"/>
      <c r="AX166" s="57"/>
      <c r="AY166" s="58">
        <v>0</v>
      </c>
      <c r="AZ166" s="59"/>
      <c r="BA166" s="57"/>
      <c r="BB166" s="58">
        <v>0</v>
      </c>
      <c r="BC166" s="59"/>
      <c r="BD166" s="57"/>
      <c r="BE166" s="58">
        <v>0</v>
      </c>
      <c r="BF166" s="59"/>
      <c r="BG166" s="57"/>
      <c r="BH166" s="58"/>
      <c r="BI166" s="59"/>
      <c r="BJ166" s="57"/>
      <c r="BK166" s="58">
        <v>0</v>
      </c>
      <c r="BL166" s="59"/>
      <c r="BM166" s="57"/>
      <c r="BN166" s="58">
        <v>0</v>
      </c>
      <c r="BO166" s="59"/>
      <c r="BP166" s="57"/>
      <c r="BQ166" s="58"/>
      <c r="BR166" s="59"/>
      <c r="BS166" s="57"/>
      <c r="BT166" s="58">
        <v>0</v>
      </c>
      <c r="BU166" s="59"/>
      <c r="BV166" s="57"/>
      <c r="BW166" s="28">
        <v>0</v>
      </c>
      <c r="BX166" s="59"/>
      <c r="BY166" s="57"/>
      <c r="BZ166" s="58">
        <v>0</v>
      </c>
      <c r="CA166" s="59"/>
      <c r="CB166" s="57"/>
      <c r="CC166" s="58">
        <v>0</v>
      </c>
      <c r="CD166" s="59"/>
      <c r="CE166" s="57"/>
      <c r="CF166" s="58">
        <v>0</v>
      </c>
      <c r="CG166" s="59"/>
      <c r="CH166" s="57"/>
      <c r="CI166" s="58">
        <v>0</v>
      </c>
      <c r="CJ166" s="59"/>
      <c r="CK166" s="57"/>
      <c r="CL166" s="58">
        <v>0</v>
      </c>
      <c r="CM166" s="59"/>
      <c r="CN166" s="57"/>
      <c r="CO166" s="57"/>
      <c r="CP166" s="59"/>
      <c r="CQ166" s="57">
        <f>' WIP '!DV166</f>
        <v>0</v>
      </c>
      <c r="CR166" s="58"/>
      <c r="CS166" s="59"/>
      <c r="CT166" s="31">
        <f t="shared" si="226"/>
        <v>0</v>
      </c>
      <c r="CU166" s="4">
        <f t="shared" si="227"/>
        <v>0</v>
      </c>
      <c r="CV166" s="5">
        <f>D166*'MASTER SHEET'!D166</f>
        <v>0</v>
      </c>
      <c r="CW166" s="5">
        <f>G166*'MASTER SHEET'!D166</f>
        <v>0</v>
      </c>
      <c r="CX166" s="5">
        <f>J166*'MASTER SHEET'!D166</f>
        <v>0</v>
      </c>
      <c r="CY166" s="5">
        <f>M166*'MASTER SHEET'!D166</f>
        <v>0</v>
      </c>
      <c r="CZ166" s="5">
        <f>P166*'MASTER SHEET'!D166</f>
        <v>0</v>
      </c>
      <c r="DA166" s="5">
        <f>S166*'MASTER SHEET'!D166</f>
        <v>0</v>
      </c>
      <c r="DB166" s="5">
        <f>V166*'MASTER SHEET'!D166</f>
        <v>0</v>
      </c>
      <c r="DC166" s="5">
        <f>Y166*'MASTER SHEET'!D166</f>
        <v>0</v>
      </c>
      <c r="DD166" s="5">
        <f>AB166*'MASTER SHEET'!D166</f>
        <v>0</v>
      </c>
      <c r="DE166" s="5">
        <f>AE166*'MASTER SHEET'!D166</f>
        <v>0</v>
      </c>
      <c r="DF166" s="5">
        <f>AH166*'MASTER SHEET'!D166</f>
        <v>0</v>
      </c>
      <c r="DG166" s="5">
        <f>AK166*'MASTER SHEET'!D166</f>
        <v>0</v>
      </c>
      <c r="DH166" s="5">
        <f>AN166*'MASTER SHEET'!D166</f>
        <v>0</v>
      </c>
      <c r="DI166" s="5">
        <f>AQ166*'MASTER SHEET'!D166</f>
        <v>0</v>
      </c>
      <c r="DJ166" s="5">
        <f>AT166*'MASTER SHEET'!D166</f>
        <v>0</v>
      </c>
      <c r="DK166" s="5">
        <f>AW166*'MASTER SHEET'!D166</f>
        <v>0</v>
      </c>
      <c r="DL166" s="5">
        <f>AZ166*'MASTER SHEET'!D166</f>
        <v>0</v>
      </c>
      <c r="DM166" s="5">
        <f>BC166*'MASTER SHEET'!D166</f>
        <v>0</v>
      </c>
      <c r="DN166" s="5">
        <f>BF166*'MASTER SHEET'!D166</f>
        <v>0</v>
      </c>
      <c r="DO166" s="5">
        <f>BI166*'MASTER SHEET'!D166</f>
        <v>0</v>
      </c>
      <c r="DP166" s="5">
        <f>BL166*'MASTER SHEET'!D166</f>
        <v>0</v>
      </c>
      <c r="DQ166" s="5">
        <f>BO166*'MASTER SHEET'!D166</f>
        <v>0</v>
      </c>
      <c r="DR166" s="5">
        <f>BR166*'MASTER SHEET'!D166</f>
        <v>0</v>
      </c>
      <c r="DS166" s="5">
        <f>BU166*'MASTER SHEET'!D166</f>
        <v>0</v>
      </c>
      <c r="DT166" s="5">
        <f>BX166*'MASTER SHEET'!D166</f>
        <v>0</v>
      </c>
      <c r="DU166" s="5">
        <f>CA166*'MASTER SHEET'!D166</f>
        <v>0</v>
      </c>
      <c r="DV166" s="5">
        <f>CD166*'MASTER SHEET'!D166</f>
        <v>0</v>
      </c>
      <c r="DW166" s="5">
        <f>CG166*'MASTER SHEET'!D166</f>
        <v>0</v>
      </c>
      <c r="DX166" s="5">
        <f>CJ166*'MASTER SHEET'!D166</f>
        <v>0</v>
      </c>
      <c r="DY166" s="5">
        <f>CM166*'MASTER SHEET'!D166</f>
        <v>0</v>
      </c>
      <c r="DZ166" s="5">
        <f>CP166*'MASTER SHEET'!D166</f>
        <v>0</v>
      </c>
      <c r="EA166" s="5">
        <f>CS166*'MASTER SHEET'!D166</f>
        <v>0</v>
      </c>
      <c r="EB166" s="9"/>
    </row>
    <row r="167" spans="1:132" ht="15.75" x14ac:dyDescent="0.25">
      <c r="A167" s="25">
        <f>'MASTER SHEET'!A167</f>
        <v>165</v>
      </c>
      <c r="B167" s="164" t="str">
        <f>'MASTER SHEET'!B167</f>
        <v>GROMMET ASSY.</v>
      </c>
      <c r="C167" s="165">
        <f>'MASTER SHEET'!C167</f>
        <v>626778</v>
      </c>
      <c r="D167" s="56">
        <v>0</v>
      </c>
      <c r="E167" s="57">
        <f>' WIP '!F167</f>
        <v>0</v>
      </c>
      <c r="F167" s="58">
        <v>0</v>
      </c>
      <c r="G167" s="59">
        <f t="shared" ref="G167:G202" si="228">D167+E167-F167</f>
        <v>0</v>
      </c>
      <c r="H167" s="57">
        <f>' WIP '!J167</f>
        <v>0</v>
      </c>
      <c r="I167" s="58">
        <v>0</v>
      </c>
      <c r="J167" s="59">
        <f t="shared" ref="J167:J202" si="229">G167+H167-I167</f>
        <v>0</v>
      </c>
      <c r="K167" s="57">
        <f>' WIP '!N167</f>
        <v>0</v>
      </c>
      <c r="L167" s="58"/>
      <c r="M167" s="59">
        <f t="shared" ref="M167:M202" si="230">J167+K167-L167</f>
        <v>0</v>
      </c>
      <c r="N167" s="57">
        <f>' WIP '!R167</f>
        <v>0</v>
      </c>
      <c r="O167" s="58">
        <v>0</v>
      </c>
      <c r="P167" s="59">
        <f t="shared" ref="P167:P202" si="231">M167+N167-O167</f>
        <v>0</v>
      </c>
      <c r="Q167" s="57">
        <f>' WIP '!V167</f>
        <v>0</v>
      </c>
      <c r="R167" s="58">
        <v>0</v>
      </c>
      <c r="S167" s="59">
        <f t="shared" ref="S167:S202" si="232">P167+Q167-R167</f>
        <v>0</v>
      </c>
      <c r="T167" s="57">
        <f>' WIP '!Z167</f>
        <v>0</v>
      </c>
      <c r="U167" s="58">
        <v>0</v>
      </c>
      <c r="V167" s="59">
        <f t="shared" ref="V167:V202" si="233">S167+T167-U167</f>
        <v>0</v>
      </c>
      <c r="W167" s="57">
        <f>' WIP '!AD167</f>
        <v>0</v>
      </c>
      <c r="X167" s="58">
        <v>0</v>
      </c>
      <c r="Y167" s="59">
        <f t="shared" ref="Y167:Y202" si="234">V167+W167-X167</f>
        <v>0</v>
      </c>
      <c r="Z167" s="57">
        <f>' WIP '!AH167</f>
        <v>0</v>
      </c>
      <c r="AA167" s="58">
        <v>0</v>
      </c>
      <c r="AB167" s="59">
        <f t="shared" ref="AB167:AB202" si="235">Y167+Z167-AA167</f>
        <v>0</v>
      </c>
      <c r="AC167" s="57">
        <f>' WIP '!AL167</f>
        <v>0</v>
      </c>
      <c r="AD167" s="58">
        <v>0</v>
      </c>
      <c r="AE167" s="59">
        <f t="shared" ref="AE167:AE202" si="236">AB167+AC167-AD167</f>
        <v>0</v>
      </c>
      <c r="AF167" s="57">
        <f>' WIP '!AP167</f>
        <v>0</v>
      </c>
      <c r="AG167" s="114">
        <v>0</v>
      </c>
      <c r="AH167" s="59">
        <f t="shared" ref="AH167:AH202" si="237">AE167+AF167-AG167</f>
        <v>0</v>
      </c>
      <c r="AI167" s="57">
        <f>' WIP '!AT167</f>
        <v>0</v>
      </c>
      <c r="AJ167" s="58">
        <v>0</v>
      </c>
      <c r="AK167" s="59">
        <f t="shared" ref="AK167:AK202" si="238">AH167+AI167-AJ167</f>
        <v>0</v>
      </c>
      <c r="AL167" s="57">
        <f>' WIP '!AX167</f>
        <v>0</v>
      </c>
      <c r="AM167" s="58"/>
      <c r="AN167" s="59">
        <f t="shared" ref="AN167:AN202" si="239">AK167+AL167-AM167</f>
        <v>0</v>
      </c>
      <c r="AO167" s="57">
        <f>' WIP '!BB167</f>
        <v>0</v>
      </c>
      <c r="AP167" s="58">
        <v>0</v>
      </c>
      <c r="AQ167" s="59">
        <f t="shared" ref="AQ167:AQ202" si="240">AN167+AO167-AP167</f>
        <v>0</v>
      </c>
      <c r="AR167" s="57">
        <f>' WIP '!BF167</f>
        <v>0</v>
      </c>
      <c r="AS167" s="58"/>
      <c r="AT167" s="59">
        <f t="shared" ref="AT167:AT202" si="241">AQ167+AR167-AS167</f>
        <v>0</v>
      </c>
      <c r="AU167" s="57">
        <f>' WIP '!BJ167</f>
        <v>0</v>
      </c>
      <c r="AV167" s="58">
        <v>0</v>
      </c>
      <c r="AW167" s="59">
        <f t="shared" ref="AW167:AW202" si="242">AT167+AU167-AV167</f>
        <v>0</v>
      </c>
      <c r="AX167" s="57">
        <f>' WIP '!BN167</f>
        <v>0</v>
      </c>
      <c r="AY167" s="58">
        <v>0</v>
      </c>
      <c r="AZ167" s="59">
        <f t="shared" ref="AZ167:AZ202" si="243">AW167+AX167-AY167</f>
        <v>0</v>
      </c>
      <c r="BA167" s="57">
        <f>' WIP '!BR167</f>
        <v>0</v>
      </c>
      <c r="BB167" s="58">
        <v>0</v>
      </c>
      <c r="BC167" s="59">
        <f t="shared" ref="BC167:BC202" si="244">AZ167+BA167-BB167</f>
        <v>0</v>
      </c>
      <c r="BD167" s="57">
        <f>' WIP '!BV167</f>
        <v>0</v>
      </c>
      <c r="BE167" s="58">
        <v>0</v>
      </c>
      <c r="BF167" s="59">
        <f t="shared" ref="BF167:BF202" si="245">BC167+BD167-BE167</f>
        <v>0</v>
      </c>
      <c r="BG167" s="57">
        <f>' WIP '!BZ167</f>
        <v>0</v>
      </c>
      <c r="BH167" s="58"/>
      <c r="BI167" s="59">
        <f t="shared" ref="BI167:BI202" si="246">BF167+BG167-BH167</f>
        <v>0</v>
      </c>
      <c r="BJ167" s="57">
        <f>' WIP '!CD167</f>
        <v>0</v>
      </c>
      <c r="BK167" s="58">
        <v>0</v>
      </c>
      <c r="BL167" s="59">
        <f t="shared" ref="BL167:BL202" si="247">BI167+BJ167-BK167</f>
        <v>0</v>
      </c>
      <c r="BM167" s="57">
        <f>' WIP '!CH167</f>
        <v>0</v>
      </c>
      <c r="BN167" s="58">
        <v>0</v>
      </c>
      <c r="BO167" s="59">
        <f t="shared" ref="BO167:BO202" si="248">BL167+BM167-BN167</f>
        <v>0</v>
      </c>
      <c r="BP167" s="57">
        <f>' WIP '!CL167</f>
        <v>0</v>
      </c>
      <c r="BQ167" s="58"/>
      <c r="BR167" s="59">
        <f t="shared" ref="BR167:BR202" si="249">BO167+BP167-BQ167</f>
        <v>0</v>
      </c>
      <c r="BS167" s="57">
        <f>' WIP '!CP167</f>
        <v>0</v>
      </c>
      <c r="BT167" s="58">
        <v>0</v>
      </c>
      <c r="BU167" s="59">
        <f t="shared" ref="BU167:BU202" si="250">BR167+BS167-BT167</f>
        <v>0</v>
      </c>
      <c r="BV167" s="57">
        <f>' WIP '!CT167</f>
        <v>0</v>
      </c>
      <c r="BW167" s="28">
        <v>0</v>
      </c>
      <c r="BX167" s="59">
        <f t="shared" ref="BX167:BX202" si="251">BU167+BV167-BW167</f>
        <v>0</v>
      </c>
      <c r="BY167" s="57">
        <f>' WIP '!CX167</f>
        <v>0</v>
      </c>
      <c r="BZ167" s="58">
        <v>0</v>
      </c>
      <c r="CA167" s="59">
        <f t="shared" ref="CA167:CA202" si="252">BX167+BY167-BZ167</f>
        <v>0</v>
      </c>
      <c r="CB167" s="57">
        <f>' WIP '!DB167</f>
        <v>0</v>
      </c>
      <c r="CC167" s="58">
        <v>0</v>
      </c>
      <c r="CD167" s="59">
        <f t="shared" ref="CD167:CD202" si="253">CA167+CB167-CC167</f>
        <v>0</v>
      </c>
      <c r="CE167" s="57">
        <f>' WIP '!DF167</f>
        <v>0</v>
      </c>
      <c r="CF167" s="58">
        <v>0</v>
      </c>
      <c r="CG167" s="59">
        <f t="shared" ref="CG167:CG202" si="254">CD167+CE167-CF167</f>
        <v>0</v>
      </c>
      <c r="CH167" s="57">
        <f>' WIP '!DJ167</f>
        <v>0</v>
      </c>
      <c r="CI167" s="58">
        <v>0</v>
      </c>
      <c r="CJ167" s="59">
        <f t="shared" ref="CJ167:CJ202" si="255">CG167+CH167-CI167</f>
        <v>0</v>
      </c>
      <c r="CK167" s="57">
        <f>' WIP '!DN167</f>
        <v>0</v>
      </c>
      <c r="CL167" s="58">
        <v>0</v>
      </c>
      <c r="CM167" s="59">
        <f t="shared" ref="CM167:CM202" si="256">CJ167+CK167-CL167</f>
        <v>0</v>
      </c>
      <c r="CN167" s="57">
        <f>' WIP '!DR167</f>
        <v>0</v>
      </c>
      <c r="CO167" s="57"/>
      <c r="CP167" s="59">
        <f t="shared" ref="CP167:CP202" si="257">CM167+CN167-CO167</f>
        <v>0</v>
      </c>
      <c r="CQ167" s="57">
        <f>' WIP '!DV167</f>
        <v>0</v>
      </c>
      <c r="CR167" s="58"/>
      <c r="CS167" s="59">
        <f t="shared" ref="CS167:CS202" si="258">CP167+CQ167-CR167</f>
        <v>0</v>
      </c>
      <c r="CT167" s="31">
        <f t="shared" si="226"/>
        <v>0</v>
      </c>
      <c r="CU167" s="4">
        <f t="shared" si="227"/>
        <v>0</v>
      </c>
      <c r="CV167" s="5">
        <f>D167*'MASTER SHEET'!D167</f>
        <v>0</v>
      </c>
      <c r="CW167" s="5">
        <f>G167*'MASTER SHEET'!D167</f>
        <v>0</v>
      </c>
      <c r="CX167" s="5">
        <f>J167*'MASTER SHEET'!D167</f>
        <v>0</v>
      </c>
      <c r="CY167" s="5">
        <f>M167*'MASTER SHEET'!D167</f>
        <v>0</v>
      </c>
      <c r="CZ167" s="5">
        <f>P167*'MASTER SHEET'!D167</f>
        <v>0</v>
      </c>
      <c r="DA167" s="5">
        <f>S167*'MASTER SHEET'!D167</f>
        <v>0</v>
      </c>
      <c r="DB167" s="5">
        <f>V167*'MASTER SHEET'!D167</f>
        <v>0</v>
      </c>
      <c r="DC167" s="5">
        <f>Y167*'MASTER SHEET'!D167</f>
        <v>0</v>
      </c>
      <c r="DD167" s="5">
        <f>AB167*'MASTER SHEET'!D167</f>
        <v>0</v>
      </c>
      <c r="DE167" s="5">
        <f>AE167*'MASTER SHEET'!D167</f>
        <v>0</v>
      </c>
      <c r="DF167" s="5">
        <f>AH167*'MASTER SHEET'!D167</f>
        <v>0</v>
      </c>
      <c r="DG167" s="5">
        <f>AK167*'MASTER SHEET'!D167</f>
        <v>0</v>
      </c>
      <c r="DH167" s="5">
        <f>AN167*'MASTER SHEET'!D167</f>
        <v>0</v>
      </c>
      <c r="DI167" s="5">
        <f>AQ167*'MASTER SHEET'!D167</f>
        <v>0</v>
      </c>
      <c r="DJ167" s="5">
        <f>AT167*'MASTER SHEET'!D167</f>
        <v>0</v>
      </c>
      <c r="DK167" s="5">
        <f>AW167*'MASTER SHEET'!D167</f>
        <v>0</v>
      </c>
      <c r="DL167" s="5">
        <f>AZ167*'MASTER SHEET'!D167</f>
        <v>0</v>
      </c>
      <c r="DM167" s="5">
        <f>BC167*'MASTER SHEET'!D167</f>
        <v>0</v>
      </c>
      <c r="DN167" s="5">
        <f>BF167*'MASTER SHEET'!D167</f>
        <v>0</v>
      </c>
      <c r="DO167" s="5">
        <f>BI167*'MASTER SHEET'!D167</f>
        <v>0</v>
      </c>
      <c r="DP167" s="5">
        <f>BL167*'MASTER SHEET'!D167</f>
        <v>0</v>
      </c>
      <c r="DQ167" s="5">
        <f>BO167*'MASTER SHEET'!D167</f>
        <v>0</v>
      </c>
      <c r="DR167" s="5">
        <f>BR167*'MASTER SHEET'!D167</f>
        <v>0</v>
      </c>
      <c r="DS167" s="5">
        <f>BU167*'MASTER SHEET'!D167</f>
        <v>0</v>
      </c>
      <c r="DT167" s="5">
        <f>BX167*'MASTER SHEET'!D167</f>
        <v>0</v>
      </c>
      <c r="DU167" s="5">
        <f>CA167*'MASTER SHEET'!D167</f>
        <v>0</v>
      </c>
      <c r="DV167" s="5">
        <f>CD167*'MASTER SHEET'!D167</f>
        <v>0</v>
      </c>
      <c r="DW167" s="5">
        <f>CG167*'MASTER SHEET'!D167</f>
        <v>0</v>
      </c>
      <c r="DX167" s="5">
        <f>CJ167*'MASTER SHEET'!D167</f>
        <v>0</v>
      </c>
      <c r="DY167" s="5">
        <f>CM167*'MASTER SHEET'!D167</f>
        <v>0</v>
      </c>
      <c r="DZ167" s="5">
        <f>CP167*'MASTER SHEET'!D167</f>
        <v>0</v>
      </c>
      <c r="EA167" s="5">
        <f>CS167*'MASTER SHEET'!D167</f>
        <v>0</v>
      </c>
      <c r="EB167" s="9"/>
    </row>
    <row r="168" spans="1:132" ht="15.75" x14ac:dyDescent="0.25">
      <c r="A168" s="25">
        <f>'MASTER SHEET'!A168</f>
        <v>166</v>
      </c>
      <c r="B168" s="164" t="str">
        <f>'MASTER SHEET'!B168</f>
        <v>PIVOT PIN LH</v>
      </c>
      <c r="C168" s="165" t="str">
        <f>'MASTER SHEET'!C168</f>
        <v>BB00006046</v>
      </c>
      <c r="D168" s="56">
        <v>10000</v>
      </c>
      <c r="E168" s="57">
        <f>' WIP '!F168</f>
        <v>0</v>
      </c>
      <c r="F168" s="58">
        <v>0</v>
      </c>
      <c r="G168" s="59">
        <f t="shared" si="228"/>
        <v>10000</v>
      </c>
      <c r="H168" s="57">
        <f>' WIP '!J168</f>
        <v>0</v>
      </c>
      <c r="I168" s="58">
        <v>0</v>
      </c>
      <c r="J168" s="59">
        <f t="shared" si="229"/>
        <v>10000</v>
      </c>
      <c r="K168" s="57">
        <f>' WIP '!N168</f>
        <v>0</v>
      </c>
      <c r="L168" s="58"/>
      <c r="M168" s="59">
        <f t="shared" si="230"/>
        <v>10000</v>
      </c>
      <c r="N168" s="57">
        <f>' WIP '!R168</f>
        <v>0</v>
      </c>
      <c r="O168" s="58">
        <v>0</v>
      </c>
      <c r="P168" s="59">
        <f t="shared" si="231"/>
        <v>10000</v>
      </c>
      <c r="Q168" s="57">
        <f>' WIP '!V168</f>
        <v>0</v>
      </c>
      <c r="R168" s="58">
        <v>0</v>
      </c>
      <c r="S168" s="59">
        <f t="shared" si="232"/>
        <v>10000</v>
      </c>
      <c r="T168" s="57">
        <f>' WIP '!Z168</f>
        <v>0</v>
      </c>
      <c r="U168" s="58">
        <v>0</v>
      </c>
      <c r="V168" s="59">
        <f t="shared" si="233"/>
        <v>10000</v>
      </c>
      <c r="W168" s="57">
        <f>' WIP '!AD168</f>
        <v>0</v>
      </c>
      <c r="X168" s="58">
        <v>0</v>
      </c>
      <c r="Y168" s="59">
        <f t="shared" si="234"/>
        <v>10000</v>
      </c>
      <c r="Z168" s="57">
        <f>' WIP '!AH168</f>
        <v>0</v>
      </c>
      <c r="AA168" s="58">
        <v>0</v>
      </c>
      <c r="AB168" s="59">
        <f t="shared" si="235"/>
        <v>10000</v>
      </c>
      <c r="AC168" s="57">
        <f>' WIP '!AL168</f>
        <v>0</v>
      </c>
      <c r="AD168" s="58">
        <v>0</v>
      </c>
      <c r="AE168" s="59">
        <f t="shared" si="236"/>
        <v>10000</v>
      </c>
      <c r="AF168" s="57">
        <f>' WIP '!AP168</f>
        <v>0</v>
      </c>
      <c r="AG168" s="114">
        <v>0</v>
      </c>
      <c r="AH168" s="59">
        <f t="shared" si="237"/>
        <v>10000</v>
      </c>
      <c r="AI168" s="57">
        <f>' WIP '!AT168</f>
        <v>0</v>
      </c>
      <c r="AJ168" s="58">
        <v>0</v>
      </c>
      <c r="AK168" s="59">
        <f t="shared" si="238"/>
        <v>10000</v>
      </c>
      <c r="AL168" s="57">
        <f>' WIP '!AX168</f>
        <v>0</v>
      </c>
      <c r="AM168" s="58"/>
      <c r="AN168" s="59">
        <f t="shared" si="239"/>
        <v>10000</v>
      </c>
      <c r="AO168" s="57">
        <f>' WIP '!BB168</f>
        <v>0</v>
      </c>
      <c r="AP168" s="58">
        <v>0</v>
      </c>
      <c r="AQ168" s="59">
        <f t="shared" si="240"/>
        <v>10000</v>
      </c>
      <c r="AR168" s="57">
        <f>' WIP '!BF168</f>
        <v>0</v>
      </c>
      <c r="AS168" s="58"/>
      <c r="AT168" s="59">
        <f t="shared" si="241"/>
        <v>10000</v>
      </c>
      <c r="AU168" s="57">
        <f>' WIP '!BJ168</f>
        <v>0</v>
      </c>
      <c r="AV168" s="58">
        <v>0</v>
      </c>
      <c r="AW168" s="59">
        <f t="shared" si="242"/>
        <v>10000</v>
      </c>
      <c r="AX168" s="57">
        <f>' WIP '!BN168</f>
        <v>0</v>
      </c>
      <c r="AY168" s="58">
        <v>0</v>
      </c>
      <c r="AZ168" s="59">
        <f t="shared" si="243"/>
        <v>10000</v>
      </c>
      <c r="BA168" s="57">
        <f>' WIP '!BR168</f>
        <v>0</v>
      </c>
      <c r="BB168" s="58">
        <v>0</v>
      </c>
      <c r="BC168" s="59">
        <f t="shared" si="244"/>
        <v>10000</v>
      </c>
      <c r="BD168" s="57">
        <f>' WIP '!BV168</f>
        <v>0</v>
      </c>
      <c r="BE168" s="58">
        <v>0</v>
      </c>
      <c r="BF168" s="59">
        <f t="shared" si="245"/>
        <v>10000</v>
      </c>
      <c r="BG168" s="57">
        <f>' WIP '!BZ168</f>
        <v>0</v>
      </c>
      <c r="BH168" s="58"/>
      <c r="BI168" s="59">
        <f t="shared" si="246"/>
        <v>10000</v>
      </c>
      <c r="BJ168" s="57">
        <f>' WIP '!CD168</f>
        <v>0</v>
      </c>
      <c r="BK168" s="58">
        <v>0</v>
      </c>
      <c r="BL168" s="59">
        <f t="shared" si="247"/>
        <v>10000</v>
      </c>
      <c r="BM168" s="57">
        <f>' WIP '!CH168</f>
        <v>0</v>
      </c>
      <c r="BN168" s="58">
        <v>0</v>
      </c>
      <c r="BO168" s="59">
        <f t="shared" si="248"/>
        <v>10000</v>
      </c>
      <c r="BP168" s="57">
        <f>' WIP '!CL168</f>
        <v>0</v>
      </c>
      <c r="BQ168" s="58"/>
      <c r="BR168" s="59">
        <f t="shared" si="249"/>
        <v>10000</v>
      </c>
      <c r="BS168" s="57">
        <f>' WIP '!CP168</f>
        <v>0</v>
      </c>
      <c r="BT168" s="58">
        <v>0</v>
      </c>
      <c r="BU168" s="59">
        <f t="shared" si="250"/>
        <v>10000</v>
      </c>
      <c r="BV168" s="57">
        <f>' WIP '!CT168</f>
        <v>0</v>
      </c>
      <c r="BW168" s="28">
        <v>0</v>
      </c>
      <c r="BX168" s="59">
        <f t="shared" si="251"/>
        <v>10000</v>
      </c>
      <c r="BY168" s="57">
        <f>' WIP '!CX168</f>
        <v>0</v>
      </c>
      <c r="BZ168" s="58">
        <v>0</v>
      </c>
      <c r="CA168" s="59">
        <f t="shared" si="252"/>
        <v>10000</v>
      </c>
      <c r="CB168" s="57">
        <f>' WIP '!DB168</f>
        <v>0</v>
      </c>
      <c r="CC168" s="58">
        <v>0</v>
      </c>
      <c r="CD168" s="59">
        <f t="shared" si="253"/>
        <v>10000</v>
      </c>
      <c r="CE168" s="57">
        <f>' WIP '!DF168</f>
        <v>0</v>
      </c>
      <c r="CF168" s="58">
        <v>0</v>
      </c>
      <c r="CG168" s="59">
        <f t="shared" si="254"/>
        <v>10000</v>
      </c>
      <c r="CH168" s="57">
        <f>' WIP '!DJ168</f>
        <v>0</v>
      </c>
      <c r="CI168" s="58">
        <v>0</v>
      </c>
      <c r="CJ168" s="59">
        <f t="shared" si="255"/>
        <v>10000</v>
      </c>
      <c r="CK168" s="57">
        <f>' WIP '!DN168</f>
        <v>0</v>
      </c>
      <c r="CL168" s="58">
        <v>0</v>
      </c>
      <c r="CM168" s="59">
        <f t="shared" si="256"/>
        <v>10000</v>
      </c>
      <c r="CN168" s="57">
        <f>' WIP '!DR168</f>
        <v>0</v>
      </c>
      <c r="CO168" s="57"/>
      <c r="CP168" s="59">
        <f t="shared" si="257"/>
        <v>10000</v>
      </c>
      <c r="CQ168" s="57">
        <f>' WIP '!DV168</f>
        <v>0</v>
      </c>
      <c r="CR168" s="58"/>
      <c r="CS168" s="59">
        <f t="shared" si="258"/>
        <v>10000</v>
      </c>
      <c r="CT168" s="31">
        <f t="shared" si="226"/>
        <v>10000</v>
      </c>
      <c r="CU168" s="4">
        <f t="shared" si="227"/>
        <v>0</v>
      </c>
      <c r="CV168" s="5">
        <f>D168*'MASTER SHEET'!D168</f>
        <v>44800.000000000007</v>
      </c>
      <c r="CW168" s="5">
        <f>G168*'MASTER SHEET'!D168</f>
        <v>44800.000000000007</v>
      </c>
      <c r="CX168" s="5">
        <f>J168*'MASTER SHEET'!D168</f>
        <v>44800.000000000007</v>
      </c>
      <c r="CY168" s="5">
        <f>M168*'MASTER SHEET'!D168</f>
        <v>44800.000000000007</v>
      </c>
      <c r="CZ168" s="5">
        <f>P168*'MASTER SHEET'!D168</f>
        <v>44800.000000000007</v>
      </c>
      <c r="DA168" s="5">
        <f>S168*'MASTER SHEET'!D168</f>
        <v>44800.000000000007</v>
      </c>
      <c r="DB168" s="5">
        <f>V168*'MASTER SHEET'!D168</f>
        <v>44800.000000000007</v>
      </c>
      <c r="DC168" s="5">
        <f>Y168*'MASTER SHEET'!D168</f>
        <v>44800.000000000007</v>
      </c>
      <c r="DD168" s="5">
        <f>AB168*'MASTER SHEET'!D168</f>
        <v>44800.000000000007</v>
      </c>
      <c r="DE168" s="5">
        <f>AE168*'MASTER SHEET'!D168</f>
        <v>44800.000000000007</v>
      </c>
      <c r="DF168" s="5">
        <f>AH168*'MASTER SHEET'!D168</f>
        <v>44800.000000000007</v>
      </c>
      <c r="DG168" s="5">
        <f>AK168*'MASTER SHEET'!D168</f>
        <v>44800.000000000007</v>
      </c>
      <c r="DH168" s="5">
        <f>AN168*'MASTER SHEET'!D168</f>
        <v>44800.000000000007</v>
      </c>
      <c r="DI168" s="5">
        <f>AQ168*'MASTER SHEET'!D168</f>
        <v>44800.000000000007</v>
      </c>
      <c r="DJ168" s="5">
        <f>AT168*'MASTER SHEET'!D168</f>
        <v>44800.000000000007</v>
      </c>
      <c r="DK168" s="5">
        <f>AW168*'MASTER SHEET'!D168</f>
        <v>44800.000000000007</v>
      </c>
      <c r="DL168" s="5">
        <f>AZ168*'MASTER SHEET'!D168</f>
        <v>44800.000000000007</v>
      </c>
      <c r="DM168" s="5">
        <f>BC168*'MASTER SHEET'!D168</f>
        <v>44800.000000000007</v>
      </c>
      <c r="DN168" s="5">
        <f>BF168*'MASTER SHEET'!D168</f>
        <v>44800.000000000007</v>
      </c>
      <c r="DO168" s="5">
        <f>BI168*'MASTER SHEET'!D168</f>
        <v>44800.000000000007</v>
      </c>
      <c r="DP168" s="5">
        <f>BL168*'MASTER SHEET'!D168</f>
        <v>44800.000000000007</v>
      </c>
      <c r="DQ168" s="5">
        <f>BO168*'MASTER SHEET'!D168</f>
        <v>44800.000000000007</v>
      </c>
      <c r="DR168" s="5">
        <f>BR168*'MASTER SHEET'!D168</f>
        <v>44800.000000000007</v>
      </c>
      <c r="DS168" s="5">
        <f>BU168*'MASTER SHEET'!D168</f>
        <v>44800.000000000007</v>
      </c>
      <c r="DT168" s="5">
        <f>BX168*'MASTER SHEET'!D168</f>
        <v>44800.000000000007</v>
      </c>
      <c r="DU168" s="5">
        <f>CA168*'MASTER SHEET'!D168</f>
        <v>44800.000000000007</v>
      </c>
      <c r="DV168" s="5">
        <f>CD168*'MASTER SHEET'!D168</f>
        <v>44800.000000000007</v>
      </c>
      <c r="DW168" s="5">
        <f>CG168*'MASTER SHEET'!D168</f>
        <v>44800.000000000007</v>
      </c>
      <c r="DX168" s="5">
        <f>CJ168*'MASTER SHEET'!D168</f>
        <v>44800.000000000007</v>
      </c>
      <c r="DY168" s="5">
        <f>CM168*'MASTER SHEET'!D168</f>
        <v>44800.000000000007</v>
      </c>
      <c r="DZ168" s="5">
        <f>CP168*'MASTER SHEET'!D168</f>
        <v>44800.000000000007</v>
      </c>
      <c r="EA168" s="5">
        <f>CS168*'MASTER SHEET'!D168</f>
        <v>44800.000000000007</v>
      </c>
      <c r="EB168" s="9"/>
    </row>
    <row r="169" spans="1:132" ht="15.75" x14ac:dyDescent="0.25">
      <c r="A169" s="25">
        <f>'MASTER SHEET'!A169</f>
        <v>167</v>
      </c>
      <c r="B169" s="164" t="str">
        <f>'MASTER SHEET'!B169</f>
        <v>PIVOT PIN RH</v>
      </c>
      <c r="C169" s="165" t="str">
        <f>'MASTER SHEET'!C169</f>
        <v>BC00006047</v>
      </c>
      <c r="D169" s="56">
        <v>1000</v>
      </c>
      <c r="E169" s="57">
        <f>' WIP '!F169</f>
        <v>0</v>
      </c>
      <c r="F169" s="58">
        <v>0</v>
      </c>
      <c r="G169" s="59">
        <f t="shared" si="228"/>
        <v>1000</v>
      </c>
      <c r="H169" s="57">
        <f>' WIP '!J169</f>
        <v>0</v>
      </c>
      <c r="I169" s="58">
        <v>0</v>
      </c>
      <c r="J169" s="59">
        <f t="shared" si="229"/>
        <v>1000</v>
      </c>
      <c r="K169" s="57">
        <f>' WIP '!N169</f>
        <v>0</v>
      </c>
      <c r="L169" s="58"/>
      <c r="M169" s="59">
        <f t="shared" si="230"/>
        <v>1000</v>
      </c>
      <c r="N169" s="57">
        <f>' WIP '!R169</f>
        <v>0</v>
      </c>
      <c r="O169" s="58">
        <v>0</v>
      </c>
      <c r="P169" s="59">
        <f t="shared" si="231"/>
        <v>1000</v>
      </c>
      <c r="Q169" s="57">
        <f>' WIP '!V169</f>
        <v>0</v>
      </c>
      <c r="R169" s="58">
        <v>0</v>
      </c>
      <c r="S169" s="59">
        <f t="shared" si="232"/>
        <v>1000</v>
      </c>
      <c r="T169" s="57">
        <f>' WIP '!Z169</f>
        <v>0</v>
      </c>
      <c r="U169" s="58">
        <v>0</v>
      </c>
      <c r="V169" s="59">
        <f t="shared" si="233"/>
        <v>1000</v>
      </c>
      <c r="W169" s="57">
        <f>' WIP '!AD169</f>
        <v>0</v>
      </c>
      <c r="X169" s="58">
        <v>0</v>
      </c>
      <c r="Y169" s="59">
        <f t="shared" si="234"/>
        <v>1000</v>
      </c>
      <c r="Z169" s="57">
        <f>' WIP '!AH169</f>
        <v>0</v>
      </c>
      <c r="AA169" s="58">
        <v>0</v>
      </c>
      <c r="AB169" s="59">
        <f t="shared" si="235"/>
        <v>1000</v>
      </c>
      <c r="AC169" s="57">
        <f>' WIP '!AL169</f>
        <v>0</v>
      </c>
      <c r="AD169" s="58">
        <v>0</v>
      </c>
      <c r="AE169" s="59">
        <f t="shared" si="236"/>
        <v>1000</v>
      </c>
      <c r="AF169" s="57">
        <f>' WIP '!AP169</f>
        <v>0</v>
      </c>
      <c r="AG169" s="114">
        <v>0</v>
      </c>
      <c r="AH169" s="59">
        <f t="shared" si="237"/>
        <v>1000</v>
      </c>
      <c r="AI169" s="57">
        <f>' WIP '!AT169</f>
        <v>0</v>
      </c>
      <c r="AJ169" s="58">
        <v>0</v>
      </c>
      <c r="AK169" s="59">
        <f t="shared" si="238"/>
        <v>1000</v>
      </c>
      <c r="AL169" s="57">
        <f>' WIP '!AX169</f>
        <v>0</v>
      </c>
      <c r="AM169" s="58"/>
      <c r="AN169" s="59">
        <f t="shared" si="239"/>
        <v>1000</v>
      </c>
      <c r="AO169" s="57">
        <f>' WIP '!BB169</f>
        <v>0</v>
      </c>
      <c r="AP169" s="58">
        <v>0</v>
      </c>
      <c r="AQ169" s="59">
        <f t="shared" si="240"/>
        <v>1000</v>
      </c>
      <c r="AR169" s="57">
        <f>' WIP '!BF169</f>
        <v>0</v>
      </c>
      <c r="AS169" s="58"/>
      <c r="AT169" s="59">
        <f t="shared" si="241"/>
        <v>1000</v>
      </c>
      <c r="AU169" s="57">
        <f>' WIP '!BJ169</f>
        <v>0</v>
      </c>
      <c r="AV169" s="58">
        <v>0</v>
      </c>
      <c r="AW169" s="59">
        <f t="shared" si="242"/>
        <v>1000</v>
      </c>
      <c r="AX169" s="57">
        <f>' WIP '!BN169</f>
        <v>0</v>
      </c>
      <c r="AY169" s="58">
        <v>0</v>
      </c>
      <c r="AZ169" s="59">
        <f t="shared" si="243"/>
        <v>1000</v>
      </c>
      <c r="BA169" s="57">
        <f>' WIP '!BR169</f>
        <v>0</v>
      </c>
      <c r="BB169" s="58">
        <v>0</v>
      </c>
      <c r="BC169" s="59">
        <f t="shared" si="244"/>
        <v>1000</v>
      </c>
      <c r="BD169" s="57">
        <f>' WIP '!BV169</f>
        <v>0</v>
      </c>
      <c r="BE169" s="58">
        <v>0</v>
      </c>
      <c r="BF169" s="59">
        <f t="shared" si="245"/>
        <v>1000</v>
      </c>
      <c r="BG169" s="57">
        <f>' WIP '!BZ169</f>
        <v>0</v>
      </c>
      <c r="BH169" s="58"/>
      <c r="BI169" s="59">
        <f t="shared" si="246"/>
        <v>1000</v>
      </c>
      <c r="BJ169" s="57">
        <f>' WIP '!CD169</f>
        <v>0</v>
      </c>
      <c r="BK169" s="58">
        <v>0</v>
      </c>
      <c r="BL169" s="59">
        <f t="shared" si="247"/>
        <v>1000</v>
      </c>
      <c r="BM169" s="57">
        <f>' WIP '!CH169</f>
        <v>0</v>
      </c>
      <c r="BN169" s="58">
        <v>0</v>
      </c>
      <c r="BO169" s="59">
        <f t="shared" si="248"/>
        <v>1000</v>
      </c>
      <c r="BP169" s="57">
        <f>' WIP '!CL169</f>
        <v>0</v>
      </c>
      <c r="BQ169" s="58"/>
      <c r="BR169" s="59">
        <f t="shared" si="249"/>
        <v>1000</v>
      </c>
      <c r="BS169" s="57">
        <f>' WIP '!CP169</f>
        <v>0</v>
      </c>
      <c r="BT169" s="58">
        <v>0</v>
      </c>
      <c r="BU169" s="59">
        <f t="shared" si="250"/>
        <v>1000</v>
      </c>
      <c r="BV169" s="57">
        <f>' WIP '!CT169</f>
        <v>0</v>
      </c>
      <c r="BW169" s="28">
        <v>0</v>
      </c>
      <c r="BX169" s="59">
        <f t="shared" si="251"/>
        <v>1000</v>
      </c>
      <c r="BY169" s="57">
        <f>' WIP '!CX169</f>
        <v>0</v>
      </c>
      <c r="BZ169" s="58">
        <v>0</v>
      </c>
      <c r="CA169" s="59">
        <f t="shared" si="252"/>
        <v>1000</v>
      </c>
      <c r="CB169" s="57">
        <f>' WIP '!DB169</f>
        <v>0</v>
      </c>
      <c r="CC169" s="58">
        <v>0</v>
      </c>
      <c r="CD169" s="59">
        <f t="shared" si="253"/>
        <v>1000</v>
      </c>
      <c r="CE169" s="57">
        <f>' WIP '!DF169</f>
        <v>0</v>
      </c>
      <c r="CF169" s="58">
        <v>0</v>
      </c>
      <c r="CG169" s="59">
        <f t="shared" si="254"/>
        <v>1000</v>
      </c>
      <c r="CH169" s="57">
        <f>' WIP '!DJ169</f>
        <v>0</v>
      </c>
      <c r="CI169" s="58">
        <v>0</v>
      </c>
      <c r="CJ169" s="59">
        <f t="shared" si="255"/>
        <v>1000</v>
      </c>
      <c r="CK169" s="57">
        <f>' WIP '!DN169</f>
        <v>0</v>
      </c>
      <c r="CL169" s="58">
        <v>0</v>
      </c>
      <c r="CM169" s="59">
        <f t="shared" si="256"/>
        <v>1000</v>
      </c>
      <c r="CN169" s="57">
        <f>' WIP '!DR169</f>
        <v>0</v>
      </c>
      <c r="CO169" s="57"/>
      <c r="CP169" s="59">
        <f t="shared" si="257"/>
        <v>1000</v>
      </c>
      <c r="CQ169" s="57">
        <f>' WIP '!DV169</f>
        <v>0</v>
      </c>
      <c r="CR169" s="58"/>
      <c r="CS169" s="59">
        <f t="shared" si="258"/>
        <v>1000</v>
      </c>
      <c r="CT169" s="31">
        <f t="shared" si="226"/>
        <v>1000</v>
      </c>
      <c r="CU169" s="4">
        <f t="shared" si="227"/>
        <v>0</v>
      </c>
      <c r="CV169" s="5">
        <f>D169*'MASTER SHEET'!D169</f>
        <v>4480</v>
      </c>
      <c r="CW169" s="5">
        <f>G169*'MASTER SHEET'!D169</f>
        <v>4480</v>
      </c>
      <c r="CX169" s="5">
        <f>J169*'MASTER SHEET'!D169</f>
        <v>4480</v>
      </c>
      <c r="CY169" s="5">
        <f>M169*'MASTER SHEET'!D169</f>
        <v>4480</v>
      </c>
      <c r="CZ169" s="5">
        <f>P169*'MASTER SHEET'!D169</f>
        <v>4480</v>
      </c>
      <c r="DA169" s="5">
        <f>S169*'MASTER SHEET'!D169</f>
        <v>4480</v>
      </c>
      <c r="DB169" s="5">
        <f>V169*'MASTER SHEET'!D169</f>
        <v>4480</v>
      </c>
      <c r="DC169" s="5">
        <f>Y169*'MASTER SHEET'!D169</f>
        <v>4480</v>
      </c>
      <c r="DD169" s="5">
        <f>AB169*'MASTER SHEET'!D169</f>
        <v>4480</v>
      </c>
      <c r="DE169" s="5">
        <f>AE169*'MASTER SHEET'!D169</f>
        <v>4480</v>
      </c>
      <c r="DF169" s="5">
        <f>AH169*'MASTER SHEET'!D169</f>
        <v>4480</v>
      </c>
      <c r="DG169" s="5">
        <f>AK169*'MASTER SHEET'!D169</f>
        <v>4480</v>
      </c>
      <c r="DH169" s="5">
        <f>AN169*'MASTER SHEET'!D169</f>
        <v>4480</v>
      </c>
      <c r="DI169" s="5">
        <f>AQ169*'MASTER SHEET'!D169</f>
        <v>4480</v>
      </c>
      <c r="DJ169" s="5">
        <f>AT169*'MASTER SHEET'!D169</f>
        <v>4480</v>
      </c>
      <c r="DK169" s="5">
        <f>AW169*'MASTER SHEET'!D169</f>
        <v>4480</v>
      </c>
      <c r="DL169" s="5">
        <f>AZ169*'MASTER SHEET'!D169</f>
        <v>4480</v>
      </c>
      <c r="DM169" s="5">
        <f>BC169*'MASTER SHEET'!D169</f>
        <v>4480</v>
      </c>
      <c r="DN169" s="5">
        <f>BF169*'MASTER SHEET'!D169</f>
        <v>4480</v>
      </c>
      <c r="DO169" s="5">
        <f>BI169*'MASTER SHEET'!D169</f>
        <v>4480</v>
      </c>
      <c r="DP169" s="5">
        <f>BL169*'MASTER SHEET'!D169</f>
        <v>4480</v>
      </c>
      <c r="DQ169" s="5">
        <f>BO169*'MASTER SHEET'!D169</f>
        <v>4480</v>
      </c>
      <c r="DR169" s="5">
        <f>BR169*'MASTER SHEET'!D169</f>
        <v>4480</v>
      </c>
      <c r="DS169" s="5">
        <f>BU169*'MASTER SHEET'!D169</f>
        <v>4480</v>
      </c>
      <c r="DT169" s="5">
        <f>BX169*'MASTER SHEET'!D169</f>
        <v>4480</v>
      </c>
      <c r="DU169" s="5">
        <f>CA169*'MASTER SHEET'!D169</f>
        <v>4480</v>
      </c>
      <c r="DV169" s="5">
        <f>CD169*'MASTER SHEET'!D169</f>
        <v>4480</v>
      </c>
      <c r="DW169" s="5">
        <f>CG169*'MASTER SHEET'!D169</f>
        <v>4480</v>
      </c>
      <c r="DX169" s="5">
        <f>CJ169*'MASTER SHEET'!D169</f>
        <v>4480</v>
      </c>
      <c r="DY169" s="5">
        <f>CM169*'MASTER SHEET'!D169</f>
        <v>4480</v>
      </c>
      <c r="DZ169" s="5">
        <f>CP169*'MASTER SHEET'!D169</f>
        <v>4480</v>
      </c>
      <c r="EA169" s="5">
        <f>CS169*'MASTER SHEET'!D169</f>
        <v>4480</v>
      </c>
      <c r="EB169" s="9"/>
    </row>
    <row r="170" spans="1:132" ht="15.75" x14ac:dyDescent="0.25">
      <c r="A170" s="25">
        <f>'MASTER SHEET'!A170</f>
        <v>168</v>
      </c>
      <c r="B170" s="164" t="str">
        <f>'MASTER SHEET'!B170</f>
        <v xml:space="preserve"> BELL CRANK LH</v>
      </c>
      <c r="C170" s="165" t="str">
        <f>'MASTER SHEET'!C170</f>
        <v>BB00006044</v>
      </c>
      <c r="D170" s="56">
        <v>0</v>
      </c>
      <c r="E170" s="57">
        <f>' WIP '!F170</f>
        <v>0</v>
      </c>
      <c r="F170" s="58">
        <v>0</v>
      </c>
      <c r="G170" s="59">
        <f t="shared" si="228"/>
        <v>0</v>
      </c>
      <c r="H170" s="57">
        <f>' WIP '!J170</f>
        <v>0</v>
      </c>
      <c r="I170" s="58">
        <v>0</v>
      </c>
      <c r="J170" s="59">
        <f t="shared" si="229"/>
        <v>0</v>
      </c>
      <c r="K170" s="57">
        <f>' WIP '!N170</f>
        <v>0</v>
      </c>
      <c r="L170" s="58"/>
      <c r="M170" s="59">
        <f t="shared" si="230"/>
        <v>0</v>
      </c>
      <c r="N170" s="57">
        <f>' WIP '!R170</f>
        <v>0</v>
      </c>
      <c r="O170" s="58">
        <v>0</v>
      </c>
      <c r="P170" s="59">
        <f t="shared" si="231"/>
        <v>0</v>
      </c>
      <c r="Q170" s="57">
        <f>' WIP '!V170</f>
        <v>0</v>
      </c>
      <c r="R170" s="58">
        <v>0</v>
      </c>
      <c r="S170" s="59">
        <f t="shared" si="232"/>
        <v>0</v>
      </c>
      <c r="T170" s="57">
        <f>' WIP '!Z170</f>
        <v>0</v>
      </c>
      <c r="U170" s="58">
        <v>0</v>
      </c>
      <c r="V170" s="59">
        <f t="shared" si="233"/>
        <v>0</v>
      </c>
      <c r="W170" s="57">
        <f>' WIP '!AD170</f>
        <v>0</v>
      </c>
      <c r="X170" s="58">
        <v>0</v>
      </c>
      <c r="Y170" s="59">
        <f t="shared" si="234"/>
        <v>0</v>
      </c>
      <c r="Z170" s="57">
        <f>' WIP '!AH170</f>
        <v>0</v>
      </c>
      <c r="AA170" s="58">
        <v>0</v>
      </c>
      <c r="AB170" s="59">
        <f t="shared" si="235"/>
        <v>0</v>
      </c>
      <c r="AC170" s="57">
        <f>' WIP '!AL170</f>
        <v>0</v>
      </c>
      <c r="AD170" s="58">
        <v>0</v>
      </c>
      <c r="AE170" s="59">
        <f t="shared" si="236"/>
        <v>0</v>
      </c>
      <c r="AF170" s="57">
        <f>' WIP '!AP170</f>
        <v>0</v>
      </c>
      <c r="AG170" s="114">
        <v>0</v>
      </c>
      <c r="AH170" s="59">
        <f t="shared" si="237"/>
        <v>0</v>
      </c>
      <c r="AI170" s="57">
        <f>' WIP '!AT170</f>
        <v>0</v>
      </c>
      <c r="AJ170" s="58">
        <v>0</v>
      </c>
      <c r="AK170" s="59">
        <f t="shared" si="238"/>
        <v>0</v>
      </c>
      <c r="AL170" s="57">
        <f>' WIP '!AX170</f>
        <v>0</v>
      </c>
      <c r="AM170" s="58"/>
      <c r="AN170" s="59">
        <f t="shared" si="239"/>
        <v>0</v>
      </c>
      <c r="AO170" s="57">
        <f>' WIP '!BB170</f>
        <v>0</v>
      </c>
      <c r="AP170" s="58">
        <v>0</v>
      </c>
      <c r="AQ170" s="59">
        <f t="shared" si="240"/>
        <v>0</v>
      </c>
      <c r="AR170" s="57">
        <f>' WIP '!BF170</f>
        <v>0</v>
      </c>
      <c r="AS170" s="58"/>
      <c r="AT170" s="59">
        <f t="shared" si="241"/>
        <v>0</v>
      </c>
      <c r="AU170" s="57">
        <f>' WIP '!BJ170</f>
        <v>0</v>
      </c>
      <c r="AV170" s="58">
        <v>0</v>
      </c>
      <c r="AW170" s="59">
        <f t="shared" si="242"/>
        <v>0</v>
      </c>
      <c r="AX170" s="57">
        <f>' WIP '!BN170</f>
        <v>0</v>
      </c>
      <c r="AY170" s="58">
        <v>0</v>
      </c>
      <c r="AZ170" s="59">
        <f t="shared" si="243"/>
        <v>0</v>
      </c>
      <c r="BA170" s="57">
        <f>' WIP '!BR170</f>
        <v>0</v>
      </c>
      <c r="BB170" s="58">
        <v>0</v>
      </c>
      <c r="BC170" s="59">
        <f t="shared" si="244"/>
        <v>0</v>
      </c>
      <c r="BD170" s="57">
        <f>' WIP '!BV170</f>
        <v>0</v>
      </c>
      <c r="BE170" s="58">
        <v>0</v>
      </c>
      <c r="BF170" s="59">
        <f t="shared" si="245"/>
        <v>0</v>
      </c>
      <c r="BG170" s="57">
        <f>' WIP '!BZ170</f>
        <v>0</v>
      </c>
      <c r="BH170" s="58"/>
      <c r="BI170" s="59">
        <f t="shared" si="246"/>
        <v>0</v>
      </c>
      <c r="BJ170" s="57">
        <f>' WIP '!CD170</f>
        <v>0</v>
      </c>
      <c r="BK170" s="58">
        <v>0</v>
      </c>
      <c r="BL170" s="59">
        <f t="shared" si="247"/>
        <v>0</v>
      </c>
      <c r="BM170" s="57">
        <f>' WIP '!CH170</f>
        <v>0</v>
      </c>
      <c r="BN170" s="58">
        <v>0</v>
      </c>
      <c r="BO170" s="59">
        <f t="shared" si="248"/>
        <v>0</v>
      </c>
      <c r="BP170" s="57">
        <f>' WIP '!CL170</f>
        <v>0</v>
      </c>
      <c r="BQ170" s="58"/>
      <c r="BR170" s="59">
        <f t="shared" si="249"/>
        <v>0</v>
      </c>
      <c r="BS170" s="57">
        <f>' WIP '!CP170</f>
        <v>0</v>
      </c>
      <c r="BT170" s="58">
        <v>0</v>
      </c>
      <c r="BU170" s="59">
        <f t="shared" si="250"/>
        <v>0</v>
      </c>
      <c r="BV170" s="57">
        <f>' WIP '!CT170</f>
        <v>0</v>
      </c>
      <c r="BW170" s="28">
        <v>0</v>
      </c>
      <c r="BX170" s="59">
        <f t="shared" si="251"/>
        <v>0</v>
      </c>
      <c r="BY170" s="57">
        <f>' WIP '!CX170</f>
        <v>0</v>
      </c>
      <c r="BZ170" s="58">
        <v>0</v>
      </c>
      <c r="CA170" s="59">
        <f t="shared" si="252"/>
        <v>0</v>
      </c>
      <c r="CB170" s="57">
        <f>' WIP '!DB170</f>
        <v>0</v>
      </c>
      <c r="CC170" s="58">
        <v>0</v>
      </c>
      <c r="CD170" s="59">
        <f t="shared" si="253"/>
        <v>0</v>
      </c>
      <c r="CE170" s="57">
        <f>' WIP '!DF170</f>
        <v>0</v>
      </c>
      <c r="CF170" s="58">
        <v>0</v>
      </c>
      <c r="CG170" s="59">
        <f t="shared" si="254"/>
        <v>0</v>
      </c>
      <c r="CH170" s="57">
        <f>' WIP '!DJ170</f>
        <v>0</v>
      </c>
      <c r="CI170" s="58">
        <v>0</v>
      </c>
      <c r="CJ170" s="59">
        <f t="shared" si="255"/>
        <v>0</v>
      </c>
      <c r="CK170" s="57">
        <f>' WIP '!DN170</f>
        <v>0</v>
      </c>
      <c r="CL170" s="58">
        <v>0</v>
      </c>
      <c r="CM170" s="59">
        <f t="shared" si="256"/>
        <v>0</v>
      </c>
      <c r="CN170" s="57">
        <f>' WIP '!DR170</f>
        <v>0</v>
      </c>
      <c r="CO170" s="57"/>
      <c r="CP170" s="59">
        <f t="shared" si="257"/>
        <v>0</v>
      </c>
      <c r="CQ170" s="57">
        <f>' WIP '!DV170</f>
        <v>0</v>
      </c>
      <c r="CR170" s="58"/>
      <c r="CS170" s="59">
        <f t="shared" si="258"/>
        <v>0</v>
      </c>
      <c r="CT170" s="31">
        <f t="shared" si="226"/>
        <v>0</v>
      </c>
      <c r="CU170" s="4">
        <f t="shared" si="227"/>
        <v>0</v>
      </c>
      <c r="CV170" s="5">
        <f>D170*'MASTER SHEET'!D170</f>
        <v>0</v>
      </c>
      <c r="CW170" s="5">
        <f>G170*'MASTER SHEET'!D170</f>
        <v>0</v>
      </c>
      <c r="CX170" s="5">
        <f>J170*'MASTER SHEET'!D170</f>
        <v>0</v>
      </c>
      <c r="CY170" s="5">
        <f>M170*'MASTER SHEET'!D170</f>
        <v>0</v>
      </c>
      <c r="CZ170" s="5">
        <f>P170*'MASTER SHEET'!D170</f>
        <v>0</v>
      </c>
      <c r="DA170" s="5">
        <f>S170*'MASTER SHEET'!D170</f>
        <v>0</v>
      </c>
      <c r="DB170" s="5">
        <f>V170*'MASTER SHEET'!D170</f>
        <v>0</v>
      </c>
      <c r="DC170" s="5">
        <f>Y170*'MASTER SHEET'!D170</f>
        <v>0</v>
      </c>
      <c r="DD170" s="5">
        <f>AB170*'MASTER SHEET'!D170</f>
        <v>0</v>
      </c>
      <c r="DE170" s="5">
        <f>AE170*'MASTER SHEET'!D170</f>
        <v>0</v>
      </c>
      <c r="DF170" s="5">
        <f>AH170*'MASTER SHEET'!D170</f>
        <v>0</v>
      </c>
      <c r="DG170" s="5">
        <f>AK170*'MASTER SHEET'!D170</f>
        <v>0</v>
      </c>
      <c r="DH170" s="5">
        <f>AN170*'MASTER SHEET'!D170</f>
        <v>0</v>
      </c>
      <c r="DI170" s="5">
        <f>AQ170*'MASTER SHEET'!D170</f>
        <v>0</v>
      </c>
      <c r="DJ170" s="5">
        <f>AT170*'MASTER SHEET'!D170</f>
        <v>0</v>
      </c>
      <c r="DK170" s="5">
        <f>AW170*'MASTER SHEET'!D170</f>
        <v>0</v>
      </c>
      <c r="DL170" s="5">
        <f>AZ170*'MASTER SHEET'!D170</f>
        <v>0</v>
      </c>
      <c r="DM170" s="5">
        <f>BC170*'MASTER SHEET'!D170</f>
        <v>0</v>
      </c>
      <c r="DN170" s="5">
        <f>BF170*'MASTER SHEET'!D170</f>
        <v>0</v>
      </c>
      <c r="DO170" s="5">
        <f>BI170*'MASTER SHEET'!D170</f>
        <v>0</v>
      </c>
      <c r="DP170" s="5">
        <f>BL170*'MASTER SHEET'!D170</f>
        <v>0</v>
      </c>
      <c r="DQ170" s="5">
        <f>BO170*'MASTER SHEET'!D170</f>
        <v>0</v>
      </c>
      <c r="DR170" s="5">
        <f>BR170*'MASTER SHEET'!D170</f>
        <v>0</v>
      </c>
      <c r="DS170" s="5">
        <f>BU170*'MASTER SHEET'!D170</f>
        <v>0</v>
      </c>
      <c r="DT170" s="5">
        <f>BX170*'MASTER SHEET'!D170</f>
        <v>0</v>
      </c>
      <c r="DU170" s="5">
        <f>CA170*'MASTER SHEET'!D170</f>
        <v>0</v>
      </c>
      <c r="DV170" s="5">
        <f>CD170*'MASTER SHEET'!D170</f>
        <v>0</v>
      </c>
      <c r="DW170" s="5">
        <f>CG170*'MASTER SHEET'!D170</f>
        <v>0</v>
      </c>
      <c r="DX170" s="5">
        <f>CJ170*'MASTER SHEET'!D170</f>
        <v>0</v>
      </c>
      <c r="DY170" s="5">
        <f>CM170*'MASTER SHEET'!D170</f>
        <v>0</v>
      </c>
      <c r="DZ170" s="5">
        <f>CP170*'MASTER SHEET'!D170</f>
        <v>0</v>
      </c>
      <c r="EA170" s="5">
        <f>CS170*'MASTER SHEET'!D170</f>
        <v>0</v>
      </c>
      <c r="EB170" s="9"/>
    </row>
    <row r="171" spans="1:132" ht="15.75" x14ac:dyDescent="0.25">
      <c r="A171" s="25">
        <f>'MASTER SHEET'!A171</f>
        <v>169</v>
      </c>
      <c r="B171" s="164" t="str">
        <f>'MASTER SHEET'!B171</f>
        <v>BELL CRANK RH</v>
      </c>
      <c r="C171" s="165" t="str">
        <f>'MASTER SHEET'!C171</f>
        <v>BC00006045</v>
      </c>
      <c r="D171" s="56">
        <v>0</v>
      </c>
      <c r="E171" s="57">
        <f>' WIP '!F171</f>
        <v>0</v>
      </c>
      <c r="F171" s="58">
        <v>0</v>
      </c>
      <c r="G171" s="59">
        <f t="shared" si="228"/>
        <v>0</v>
      </c>
      <c r="H171" s="57">
        <f>' WIP '!J171</f>
        <v>0</v>
      </c>
      <c r="I171" s="58">
        <v>0</v>
      </c>
      <c r="J171" s="59">
        <f t="shared" si="229"/>
        <v>0</v>
      </c>
      <c r="K171" s="57">
        <f>' WIP '!N171</f>
        <v>0</v>
      </c>
      <c r="L171" s="58"/>
      <c r="M171" s="59">
        <f t="shared" si="230"/>
        <v>0</v>
      </c>
      <c r="N171" s="57">
        <f>' WIP '!R171</f>
        <v>0</v>
      </c>
      <c r="O171" s="58">
        <v>0</v>
      </c>
      <c r="P171" s="59">
        <f t="shared" si="231"/>
        <v>0</v>
      </c>
      <c r="Q171" s="57">
        <f>' WIP '!V171</f>
        <v>0</v>
      </c>
      <c r="R171" s="58">
        <v>0</v>
      </c>
      <c r="S171" s="59">
        <f t="shared" si="232"/>
        <v>0</v>
      </c>
      <c r="T171" s="57">
        <f>' WIP '!Z171</f>
        <v>0</v>
      </c>
      <c r="U171" s="58">
        <v>0</v>
      </c>
      <c r="V171" s="59">
        <f t="shared" si="233"/>
        <v>0</v>
      </c>
      <c r="W171" s="57">
        <f>' WIP '!AD171</f>
        <v>0</v>
      </c>
      <c r="X171" s="58">
        <v>0</v>
      </c>
      <c r="Y171" s="59">
        <f t="shared" si="234"/>
        <v>0</v>
      </c>
      <c r="Z171" s="57">
        <f>' WIP '!AH171</f>
        <v>0</v>
      </c>
      <c r="AA171" s="58">
        <v>0</v>
      </c>
      <c r="AB171" s="59">
        <f t="shared" si="235"/>
        <v>0</v>
      </c>
      <c r="AC171" s="57">
        <f>' WIP '!AL171</f>
        <v>0</v>
      </c>
      <c r="AD171" s="58">
        <v>0</v>
      </c>
      <c r="AE171" s="59">
        <f t="shared" si="236"/>
        <v>0</v>
      </c>
      <c r="AF171" s="57">
        <f>' WIP '!AP171</f>
        <v>0</v>
      </c>
      <c r="AG171" s="114">
        <v>0</v>
      </c>
      <c r="AH171" s="59">
        <f t="shared" si="237"/>
        <v>0</v>
      </c>
      <c r="AI171" s="57">
        <f>' WIP '!AT171</f>
        <v>0</v>
      </c>
      <c r="AJ171" s="58">
        <v>0</v>
      </c>
      <c r="AK171" s="59">
        <f t="shared" si="238"/>
        <v>0</v>
      </c>
      <c r="AL171" s="57">
        <f>' WIP '!AX171</f>
        <v>0</v>
      </c>
      <c r="AM171" s="58"/>
      <c r="AN171" s="59">
        <f t="shared" si="239"/>
        <v>0</v>
      </c>
      <c r="AO171" s="57">
        <f>' WIP '!BB171</f>
        <v>0</v>
      </c>
      <c r="AP171" s="58">
        <v>0</v>
      </c>
      <c r="AQ171" s="59">
        <f t="shared" si="240"/>
        <v>0</v>
      </c>
      <c r="AR171" s="57">
        <f>' WIP '!BF171</f>
        <v>0</v>
      </c>
      <c r="AS171" s="58"/>
      <c r="AT171" s="59">
        <f t="shared" si="241"/>
        <v>0</v>
      </c>
      <c r="AU171" s="57">
        <f>' WIP '!BJ171</f>
        <v>0</v>
      </c>
      <c r="AV171" s="58">
        <v>0</v>
      </c>
      <c r="AW171" s="59">
        <f t="shared" si="242"/>
        <v>0</v>
      </c>
      <c r="AX171" s="57">
        <f>' WIP '!BN171</f>
        <v>0</v>
      </c>
      <c r="AY171" s="58">
        <v>0</v>
      </c>
      <c r="AZ171" s="59">
        <f t="shared" si="243"/>
        <v>0</v>
      </c>
      <c r="BA171" s="57">
        <f>' WIP '!BR171</f>
        <v>0</v>
      </c>
      <c r="BB171" s="58">
        <v>0</v>
      </c>
      <c r="BC171" s="59">
        <f t="shared" si="244"/>
        <v>0</v>
      </c>
      <c r="BD171" s="57">
        <f>' WIP '!BV171</f>
        <v>0</v>
      </c>
      <c r="BE171" s="58">
        <v>0</v>
      </c>
      <c r="BF171" s="59">
        <f t="shared" si="245"/>
        <v>0</v>
      </c>
      <c r="BG171" s="57">
        <f>' WIP '!BZ171</f>
        <v>0</v>
      </c>
      <c r="BH171" s="58"/>
      <c r="BI171" s="59">
        <f t="shared" si="246"/>
        <v>0</v>
      </c>
      <c r="BJ171" s="57">
        <f>' WIP '!CD171</f>
        <v>0</v>
      </c>
      <c r="BK171" s="58">
        <v>0</v>
      </c>
      <c r="BL171" s="59">
        <f t="shared" si="247"/>
        <v>0</v>
      </c>
      <c r="BM171" s="57">
        <f>' WIP '!CH171</f>
        <v>0</v>
      </c>
      <c r="BN171" s="58">
        <v>0</v>
      </c>
      <c r="BO171" s="59">
        <f t="shared" si="248"/>
        <v>0</v>
      </c>
      <c r="BP171" s="57">
        <f>' WIP '!CL171</f>
        <v>0</v>
      </c>
      <c r="BQ171" s="58"/>
      <c r="BR171" s="59">
        <f t="shared" si="249"/>
        <v>0</v>
      </c>
      <c r="BS171" s="57">
        <f>' WIP '!CP171</f>
        <v>0</v>
      </c>
      <c r="BT171" s="58">
        <v>0</v>
      </c>
      <c r="BU171" s="59">
        <f t="shared" si="250"/>
        <v>0</v>
      </c>
      <c r="BV171" s="57">
        <f>' WIP '!CT171</f>
        <v>0</v>
      </c>
      <c r="BW171" s="28">
        <v>0</v>
      </c>
      <c r="BX171" s="59">
        <f t="shared" si="251"/>
        <v>0</v>
      </c>
      <c r="BY171" s="57">
        <f>' WIP '!CX171</f>
        <v>0</v>
      </c>
      <c r="BZ171" s="58">
        <v>0</v>
      </c>
      <c r="CA171" s="59">
        <f t="shared" si="252"/>
        <v>0</v>
      </c>
      <c r="CB171" s="57">
        <f>' WIP '!DB171</f>
        <v>0</v>
      </c>
      <c r="CC171" s="58">
        <v>0</v>
      </c>
      <c r="CD171" s="59">
        <f t="shared" si="253"/>
        <v>0</v>
      </c>
      <c r="CE171" s="57">
        <f>' WIP '!DF171</f>
        <v>0</v>
      </c>
      <c r="CF171" s="58">
        <v>0</v>
      </c>
      <c r="CG171" s="59">
        <f t="shared" si="254"/>
        <v>0</v>
      </c>
      <c r="CH171" s="57">
        <f>' WIP '!DJ171</f>
        <v>0</v>
      </c>
      <c r="CI171" s="58">
        <v>0</v>
      </c>
      <c r="CJ171" s="59">
        <f t="shared" si="255"/>
        <v>0</v>
      </c>
      <c r="CK171" s="57">
        <f>' WIP '!DN171</f>
        <v>0</v>
      </c>
      <c r="CL171" s="58">
        <v>0</v>
      </c>
      <c r="CM171" s="59">
        <f t="shared" si="256"/>
        <v>0</v>
      </c>
      <c r="CN171" s="57">
        <f>' WIP '!DR171</f>
        <v>0</v>
      </c>
      <c r="CO171" s="57"/>
      <c r="CP171" s="59">
        <f t="shared" si="257"/>
        <v>0</v>
      </c>
      <c r="CQ171" s="57">
        <f>' WIP '!DV171</f>
        <v>0</v>
      </c>
      <c r="CR171" s="58"/>
      <c r="CS171" s="59">
        <f t="shared" si="258"/>
        <v>0</v>
      </c>
      <c r="CT171" s="31">
        <f t="shared" si="226"/>
        <v>0</v>
      </c>
      <c r="CU171" s="4">
        <f t="shared" si="227"/>
        <v>0</v>
      </c>
      <c r="CV171" s="5">
        <f>D171*'MASTER SHEET'!D171</f>
        <v>0</v>
      </c>
      <c r="CW171" s="5">
        <f>G171*'MASTER SHEET'!D171</f>
        <v>0</v>
      </c>
      <c r="CX171" s="5">
        <f>J171*'MASTER SHEET'!D171</f>
        <v>0</v>
      </c>
      <c r="CY171" s="5">
        <f>M171*'MASTER SHEET'!D171</f>
        <v>0</v>
      </c>
      <c r="CZ171" s="5">
        <f>P171*'MASTER SHEET'!D171</f>
        <v>0</v>
      </c>
      <c r="DA171" s="5">
        <f>S171*'MASTER SHEET'!D171</f>
        <v>0</v>
      </c>
      <c r="DB171" s="5">
        <f>V171*'MASTER SHEET'!D171</f>
        <v>0</v>
      </c>
      <c r="DC171" s="5">
        <f>Y171*'MASTER SHEET'!D171</f>
        <v>0</v>
      </c>
      <c r="DD171" s="5">
        <f>AB171*'MASTER SHEET'!D171</f>
        <v>0</v>
      </c>
      <c r="DE171" s="5">
        <f>AE171*'MASTER SHEET'!D171</f>
        <v>0</v>
      </c>
      <c r="DF171" s="5">
        <f>AH171*'MASTER SHEET'!D171</f>
        <v>0</v>
      </c>
      <c r="DG171" s="5">
        <f>AK171*'MASTER SHEET'!D171</f>
        <v>0</v>
      </c>
      <c r="DH171" s="5">
        <f>AN171*'MASTER SHEET'!D171</f>
        <v>0</v>
      </c>
      <c r="DI171" s="5">
        <f>AQ171*'MASTER SHEET'!D171</f>
        <v>0</v>
      </c>
      <c r="DJ171" s="5">
        <f>AT171*'MASTER SHEET'!D171</f>
        <v>0</v>
      </c>
      <c r="DK171" s="5">
        <f>AW171*'MASTER SHEET'!D171</f>
        <v>0</v>
      </c>
      <c r="DL171" s="5">
        <f>AZ171*'MASTER SHEET'!D171</f>
        <v>0</v>
      </c>
      <c r="DM171" s="5">
        <f>BC171*'MASTER SHEET'!D171</f>
        <v>0</v>
      </c>
      <c r="DN171" s="5">
        <f>BF171*'MASTER SHEET'!D171</f>
        <v>0</v>
      </c>
      <c r="DO171" s="5">
        <f>BI171*'MASTER SHEET'!D171</f>
        <v>0</v>
      </c>
      <c r="DP171" s="5">
        <f>BL171*'MASTER SHEET'!D171</f>
        <v>0</v>
      </c>
      <c r="DQ171" s="5">
        <f>BO171*'MASTER SHEET'!D171</f>
        <v>0</v>
      </c>
      <c r="DR171" s="5">
        <f>BR171*'MASTER SHEET'!D171</f>
        <v>0</v>
      </c>
      <c r="DS171" s="5">
        <f>BU171*'MASTER SHEET'!D171</f>
        <v>0</v>
      </c>
      <c r="DT171" s="5">
        <f>BX171*'MASTER SHEET'!D171</f>
        <v>0</v>
      </c>
      <c r="DU171" s="5">
        <f>CA171*'MASTER SHEET'!D171</f>
        <v>0</v>
      </c>
      <c r="DV171" s="5">
        <f>CD171*'MASTER SHEET'!D171</f>
        <v>0</v>
      </c>
      <c r="DW171" s="5">
        <f>CG171*'MASTER SHEET'!D171</f>
        <v>0</v>
      </c>
      <c r="DX171" s="5">
        <f>CJ171*'MASTER SHEET'!D171</f>
        <v>0</v>
      </c>
      <c r="DY171" s="5">
        <f>CM171*'MASTER SHEET'!D171</f>
        <v>0</v>
      </c>
      <c r="DZ171" s="5">
        <f>CP171*'MASTER SHEET'!D171</f>
        <v>0</v>
      </c>
      <c r="EA171" s="5">
        <f>CS171*'MASTER SHEET'!D171</f>
        <v>0</v>
      </c>
      <c r="EB171" s="9"/>
    </row>
    <row r="172" spans="1:132" ht="15.75" x14ac:dyDescent="0.25">
      <c r="A172" s="25">
        <f>'MASTER SHEET'!A172</f>
        <v>170</v>
      </c>
      <c r="B172" s="164" t="str">
        <f>'MASTER SHEET'!B172</f>
        <v>ACTUATOR PLUNGER</v>
      </c>
      <c r="C172" s="165" t="str">
        <f>'MASTER SHEET'!C172</f>
        <v>BA00005304</v>
      </c>
      <c r="D172" s="56">
        <v>0</v>
      </c>
      <c r="E172" s="57">
        <f>' WIP '!F172</f>
        <v>0</v>
      </c>
      <c r="F172" s="58">
        <v>0</v>
      </c>
      <c r="G172" s="59">
        <f t="shared" si="228"/>
        <v>0</v>
      </c>
      <c r="H172" s="57">
        <f>' WIP '!J172</f>
        <v>0</v>
      </c>
      <c r="I172" s="58">
        <v>0</v>
      </c>
      <c r="J172" s="59">
        <f t="shared" si="229"/>
        <v>0</v>
      </c>
      <c r="K172" s="57">
        <f>' WIP '!N172</f>
        <v>0</v>
      </c>
      <c r="L172" s="58"/>
      <c r="M172" s="59">
        <f t="shared" si="230"/>
        <v>0</v>
      </c>
      <c r="N172" s="57">
        <f>' WIP '!R172</f>
        <v>0</v>
      </c>
      <c r="O172" s="58">
        <v>0</v>
      </c>
      <c r="P172" s="59">
        <f t="shared" si="231"/>
        <v>0</v>
      </c>
      <c r="Q172" s="57">
        <f>' WIP '!V172</f>
        <v>0</v>
      </c>
      <c r="R172" s="58">
        <v>0</v>
      </c>
      <c r="S172" s="59">
        <f t="shared" si="232"/>
        <v>0</v>
      </c>
      <c r="T172" s="57">
        <f>' WIP '!Z172</f>
        <v>0</v>
      </c>
      <c r="U172" s="58">
        <v>0</v>
      </c>
      <c r="V172" s="59">
        <f t="shared" si="233"/>
        <v>0</v>
      </c>
      <c r="W172" s="57">
        <f>' WIP '!AD172</f>
        <v>0</v>
      </c>
      <c r="X172" s="58">
        <v>0</v>
      </c>
      <c r="Y172" s="59">
        <f t="shared" si="234"/>
        <v>0</v>
      </c>
      <c r="Z172" s="57">
        <f>' WIP '!AH172</f>
        <v>0</v>
      </c>
      <c r="AA172" s="58">
        <v>0</v>
      </c>
      <c r="AB172" s="59">
        <f t="shared" si="235"/>
        <v>0</v>
      </c>
      <c r="AC172" s="57">
        <f>' WIP '!AL172</f>
        <v>0</v>
      </c>
      <c r="AD172" s="58">
        <v>0</v>
      </c>
      <c r="AE172" s="59">
        <f t="shared" si="236"/>
        <v>0</v>
      </c>
      <c r="AF172" s="57">
        <f>' WIP '!AP172</f>
        <v>0</v>
      </c>
      <c r="AG172" s="114">
        <v>0</v>
      </c>
      <c r="AH172" s="59">
        <f t="shared" si="237"/>
        <v>0</v>
      </c>
      <c r="AI172" s="57">
        <f>' WIP '!AT172</f>
        <v>0</v>
      </c>
      <c r="AJ172" s="58">
        <v>0</v>
      </c>
      <c r="AK172" s="59">
        <f t="shared" si="238"/>
        <v>0</v>
      </c>
      <c r="AL172" s="57">
        <f>' WIP '!AX172</f>
        <v>0</v>
      </c>
      <c r="AM172" s="58"/>
      <c r="AN172" s="59">
        <f t="shared" si="239"/>
        <v>0</v>
      </c>
      <c r="AO172" s="57">
        <f>' WIP '!BB172</f>
        <v>0</v>
      </c>
      <c r="AP172" s="58">
        <v>0</v>
      </c>
      <c r="AQ172" s="59">
        <f t="shared" si="240"/>
        <v>0</v>
      </c>
      <c r="AR172" s="57">
        <f>' WIP '!BF172</f>
        <v>0</v>
      </c>
      <c r="AS172" s="58"/>
      <c r="AT172" s="59">
        <f t="shared" si="241"/>
        <v>0</v>
      </c>
      <c r="AU172" s="57">
        <f>' WIP '!BJ172</f>
        <v>0</v>
      </c>
      <c r="AV172" s="58">
        <v>0</v>
      </c>
      <c r="AW172" s="59">
        <f t="shared" si="242"/>
        <v>0</v>
      </c>
      <c r="AX172" s="57">
        <f>' WIP '!BN172</f>
        <v>0</v>
      </c>
      <c r="AY172" s="58">
        <v>0</v>
      </c>
      <c r="AZ172" s="59">
        <f t="shared" si="243"/>
        <v>0</v>
      </c>
      <c r="BA172" s="57">
        <f>' WIP '!BR172</f>
        <v>0</v>
      </c>
      <c r="BB172" s="58">
        <v>0</v>
      </c>
      <c r="BC172" s="59">
        <f t="shared" si="244"/>
        <v>0</v>
      </c>
      <c r="BD172" s="57">
        <f>' WIP '!BV172</f>
        <v>0</v>
      </c>
      <c r="BE172" s="58">
        <v>0</v>
      </c>
      <c r="BF172" s="59">
        <f t="shared" si="245"/>
        <v>0</v>
      </c>
      <c r="BG172" s="57">
        <f>' WIP '!BZ172</f>
        <v>0</v>
      </c>
      <c r="BH172" s="58"/>
      <c r="BI172" s="59">
        <f t="shared" si="246"/>
        <v>0</v>
      </c>
      <c r="BJ172" s="57">
        <f>' WIP '!CD172</f>
        <v>0</v>
      </c>
      <c r="BK172" s="58">
        <v>0</v>
      </c>
      <c r="BL172" s="59">
        <f t="shared" si="247"/>
        <v>0</v>
      </c>
      <c r="BM172" s="57">
        <f>' WIP '!CH172</f>
        <v>0</v>
      </c>
      <c r="BN172" s="58">
        <v>0</v>
      </c>
      <c r="BO172" s="59">
        <f t="shared" si="248"/>
        <v>0</v>
      </c>
      <c r="BP172" s="57">
        <f>' WIP '!CL172</f>
        <v>0</v>
      </c>
      <c r="BQ172" s="58"/>
      <c r="BR172" s="59">
        <f t="shared" si="249"/>
        <v>0</v>
      </c>
      <c r="BS172" s="57">
        <f>' WIP '!CP172</f>
        <v>0</v>
      </c>
      <c r="BT172" s="58">
        <v>0</v>
      </c>
      <c r="BU172" s="59">
        <f t="shared" si="250"/>
        <v>0</v>
      </c>
      <c r="BV172" s="57">
        <f>' WIP '!CT172</f>
        <v>0</v>
      </c>
      <c r="BW172" s="28">
        <v>0</v>
      </c>
      <c r="BX172" s="59">
        <f t="shared" si="251"/>
        <v>0</v>
      </c>
      <c r="BY172" s="57">
        <f>' WIP '!CX172</f>
        <v>0</v>
      </c>
      <c r="BZ172" s="58">
        <v>0</v>
      </c>
      <c r="CA172" s="59">
        <f t="shared" si="252"/>
        <v>0</v>
      </c>
      <c r="CB172" s="57">
        <f>' WIP '!DB172</f>
        <v>0</v>
      </c>
      <c r="CC172" s="58">
        <v>0</v>
      </c>
      <c r="CD172" s="59">
        <f t="shared" si="253"/>
        <v>0</v>
      </c>
      <c r="CE172" s="57">
        <f>' WIP '!DF172</f>
        <v>0</v>
      </c>
      <c r="CF172" s="58">
        <v>0</v>
      </c>
      <c r="CG172" s="59">
        <f t="shared" si="254"/>
        <v>0</v>
      </c>
      <c r="CH172" s="57">
        <f>' WIP '!DJ172</f>
        <v>0</v>
      </c>
      <c r="CI172" s="58">
        <v>0</v>
      </c>
      <c r="CJ172" s="59">
        <f t="shared" si="255"/>
        <v>0</v>
      </c>
      <c r="CK172" s="57">
        <f>' WIP '!DN172</f>
        <v>0</v>
      </c>
      <c r="CL172" s="58">
        <v>0</v>
      </c>
      <c r="CM172" s="59">
        <f t="shared" si="256"/>
        <v>0</v>
      </c>
      <c r="CN172" s="57">
        <f>' WIP '!DR172</f>
        <v>0</v>
      </c>
      <c r="CO172" s="57"/>
      <c r="CP172" s="59">
        <f t="shared" si="257"/>
        <v>0</v>
      </c>
      <c r="CQ172" s="57">
        <f>' WIP '!DV172</f>
        <v>0</v>
      </c>
      <c r="CR172" s="58"/>
      <c r="CS172" s="59">
        <f t="shared" si="258"/>
        <v>0</v>
      </c>
      <c r="CT172" s="31">
        <f t="shared" si="226"/>
        <v>0</v>
      </c>
      <c r="CU172" s="4">
        <f t="shared" si="227"/>
        <v>0</v>
      </c>
      <c r="CV172" s="5">
        <f>D172*'MASTER SHEET'!D172</f>
        <v>0</v>
      </c>
      <c r="CW172" s="5">
        <f>G172*'MASTER SHEET'!D172</f>
        <v>0</v>
      </c>
      <c r="CX172" s="5">
        <f>J172*'MASTER SHEET'!D172</f>
        <v>0</v>
      </c>
      <c r="CY172" s="5">
        <f>M172*'MASTER SHEET'!D172</f>
        <v>0</v>
      </c>
      <c r="CZ172" s="5">
        <f>P172*'MASTER SHEET'!D172</f>
        <v>0</v>
      </c>
      <c r="DA172" s="5">
        <f>S172*'MASTER SHEET'!D172</f>
        <v>0</v>
      </c>
      <c r="DB172" s="5">
        <f>V172*'MASTER SHEET'!D172</f>
        <v>0</v>
      </c>
      <c r="DC172" s="5">
        <f>Y172*'MASTER SHEET'!D172</f>
        <v>0</v>
      </c>
      <c r="DD172" s="5">
        <f>AB172*'MASTER SHEET'!D172</f>
        <v>0</v>
      </c>
      <c r="DE172" s="5">
        <f>AE172*'MASTER SHEET'!D172</f>
        <v>0</v>
      </c>
      <c r="DF172" s="5">
        <f>AH172*'MASTER SHEET'!D172</f>
        <v>0</v>
      </c>
      <c r="DG172" s="5">
        <f>AK172*'MASTER SHEET'!D172</f>
        <v>0</v>
      </c>
      <c r="DH172" s="5">
        <f>AN172*'MASTER SHEET'!D172</f>
        <v>0</v>
      </c>
      <c r="DI172" s="5">
        <f>AQ172*'MASTER SHEET'!D172</f>
        <v>0</v>
      </c>
      <c r="DJ172" s="5">
        <f>AT172*'MASTER SHEET'!D172</f>
        <v>0</v>
      </c>
      <c r="DK172" s="5">
        <f>AW172*'MASTER SHEET'!D172</f>
        <v>0</v>
      </c>
      <c r="DL172" s="5">
        <f>AZ172*'MASTER SHEET'!D172</f>
        <v>0</v>
      </c>
      <c r="DM172" s="5">
        <f>BC172*'MASTER SHEET'!D172</f>
        <v>0</v>
      </c>
      <c r="DN172" s="5">
        <f>BF172*'MASTER SHEET'!D172</f>
        <v>0</v>
      </c>
      <c r="DO172" s="5">
        <f>BI172*'MASTER SHEET'!D172</f>
        <v>0</v>
      </c>
      <c r="DP172" s="5">
        <f>BL172*'MASTER SHEET'!D172</f>
        <v>0</v>
      </c>
      <c r="DQ172" s="5">
        <f>BO172*'MASTER SHEET'!D172</f>
        <v>0</v>
      </c>
      <c r="DR172" s="5">
        <f>BR172*'MASTER SHEET'!D172</f>
        <v>0</v>
      </c>
      <c r="DS172" s="5">
        <f>BU172*'MASTER SHEET'!D172</f>
        <v>0</v>
      </c>
      <c r="DT172" s="5">
        <f>BX172*'MASTER SHEET'!D172</f>
        <v>0</v>
      </c>
      <c r="DU172" s="5">
        <f>CA172*'MASTER SHEET'!D172</f>
        <v>0</v>
      </c>
      <c r="DV172" s="5">
        <f>CD172*'MASTER SHEET'!D172</f>
        <v>0</v>
      </c>
      <c r="DW172" s="5">
        <f>CG172*'MASTER SHEET'!D172</f>
        <v>0</v>
      </c>
      <c r="DX172" s="5">
        <f>CJ172*'MASTER SHEET'!D172</f>
        <v>0</v>
      </c>
      <c r="DY172" s="5">
        <f>CM172*'MASTER SHEET'!D172</f>
        <v>0</v>
      </c>
      <c r="DZ172" s="5">
        <f>CP172*'MASTER SHEET'!D172</f>
        <v>0</v>
      </c>
      <c r="EA172" s="5">
        <f>CS172*'MASTER SHEET'!D172</f>
        <v>0</v>
      </c>
      <c r="EB172" s="9"/>
    </row>
    <row r="173" spans="1:132" ht="15.75" x14ac:dyDescent="0.25">
      <c r="A173" s="25">
        <f>'MASTER SHEET'!A173</f>
        <v>171</v>
      </c>
      <c r="B173" s="164" t="str">
        <f>'MASTER SHEET'!B173</f>
        <v>W BASE TRIM CLIP</v>
      </c>
      <c r="C173" s="165">
        <f>'MASTER SHEET'!C173</f>
        <v>62802</v>
      </c>
      <c r="D173" s="56">
        <v>20000</v>
      </c>
      <c r="E173" s="57">
        <f>' WIP '!F173</f>
        <v>0</v>
      </c>
      <c r="F173" s="58">
        <v>10000</v>
      </c>
      <c r="G173" s="59">
        <f t="shared" si="228"/>
        <v>10000</v>
      </c>
      <c r="H173" s="57">
        <f>' WIP '!J173</f>
        <v>0</v>
      </c>
      <c r="I173" s="58">
        <v>0</v>
      </c>
      <c r="J173" s="59">
        <f t="shared" si="229"/>
        <v>10000</v>
      </c>
      <c r="K173" s="57">
        <f>' WIP '!N173</f>
        <v>0</v>
      </c>
      <c r="L173" s="58"/>
      <c r="M173" s="59">
        <f t="shared" si="230"/>
        <v>10000</v>
      </c>
      <c r="N173" s="57">
        <f>' WIP '!R173</f>
        <v>0</v>
      </c>
      <c r="O173" s="58">
        <v>0</v>
      </c>
      <c r="P173" s="59">
        <f t="shared" si="231"/>
        <v>10000</v>
      </c>
      <c r="Q173" s="57">
        <f>' WIP '!V173</f>
        <v>0</v>
      </c>
      <c r="R173" s="58">
        <v>0</v>
      </c>
      <c r="S173" s="59">
        <f t="shared" si="232"/>
        <v>10000</v>
      </c>
      <c r="T173" s="57">
        <f>' WIP '!Z173</f>
        <v>0</v>
      </c>
      <c r="U173" s="58">
        <v>0</v>
      </c>
      <c r="V173" s="59">
        <f t="shared" si="233"/>
        <v>10000</v>
      </c>
      <c r="W173" s="57">
        <f>' WIP '!AD173</f>
        <v>0</v>
      </c>
      <c r="X173" s="58">
        <v>0</v>
      </c>
      <c r="Y173" s="59">
        <f t="shared" si="234"/>
        <v>10000</v>
      </c>
      <c r="Z173" s="57">
        <f>' WIP '!AH173</f>
        <v>0</v>
      </c>
      <c r="AA173" s="58">
        <v>0</v>
      </c>
      <c r="AB173" s="59">
        <f t="shared" si="235"/>
        <v>10000</v>
      </c>
      <c r="AC173" s="57">
        <f>' WIP '!AL173</f>
        <v>0</v>
      </c>
      <c r="AD173" s="58">
        <v>0</v>
      </c>
      <c r="AE173" s="59">
        <f t="shared" si="236"/>
        <v>10000</v>
      </c>
      <c r="AF173" s="57">
        <f>' WIP '!AP173</f>
        <v>0</v>
      </c>
      <c r="AG173" s="114">
        <v>10000</v>
      </c>
      <c r="AH173" s="59">
        <f t="shared" si="237"/>
        <v>0</v>
      </c>
      <c r="AI173" s="57">
        <f>' WIP '!AT173</f>
        <v>0</v>
      </c>
      <c r="AJ173" s="58">
        <v>0</v>
      </c>
      <c r="AK173" s="59">
        <f t="shared" si="238"/>
        <v>0</v>
      </c>
      <c r="AL173" s="57">
        <f>' WIP '!AX173</f>
        <v>0</v>
      </c>
      <c r="AM173" s="58"/>
      <c r="AN173" s="59">
        <f t="shared" si="239"/>
        <v>0</v>
      </c>
      <c r="AO173" s="57">
        <f>' WIP '!BB173</f>
        <v>0</v>
      </c>
      <c r="AP173" s="58">
        <v>0</v>
      </c>
      <c r="AQ173" s="59">
        <f t="shared" si="240"/>
        <v>0</v>
      </c>
      <c r="AR173" s="57">
        <f>' WIP '!BF173</f>
        <v>0</v>
      </c>
      <c r="AS173" s="58"/>
      <c r="AT173" s="59">
        <f t="shared" si="241"/>
        <v>0</v>
      </c>
      <c r="AU173" s="57">
        <f>' WIP '!BJ173</f>
        <v>0</v>
      </c>
      <c r="AV173" s="58">
        <v>0</v>
      </c>
      <c r="AW173" s="59">
        <f t="shared" si="242"/>
        <v>0</v>
      </c>
      <c r="AX173" s="57">
        <f>' WIP '!BN173</f>
        <v>0</v>
      </c>
      <c r="AY173" s="58">
        <v>0</v>
      </c>
      <c r="AZ173" s="59">
        <f t="shared" si="243"/>
        <v>0</v>
      </c>
      <c r="BA173" s="57">
        <f>' WIP '!BR173</f>
        <v>0</v>
      </c>
      <c r="BB173" s="58">
        <v>0</v>
      </c>
      <c r="BC173" s="59">
        <f t="shared" si="244"/>
        <v>0</v>
      </c>
      <c r="BD173" s="57">
        <f>' WIP '!BV173</f>
        <v>0</v>
      </c>
      <c r="BE173" s="58">
        <v>0</v>
      </c>
      <c r="BF173" s="59">
        <f t="shared" si="245"/>
        <v>0</v>
      </c>
      <c r="BG173" s="57">
        <f>' WIP '!BZ173</f>
        <v>0</v>
      </c>
      <c r="BH173" s="58"/>
      <c r="BI173" s="59">
        <f t="shared" si="246"/>
        <v>0</v>
      </c>
      <c r="BJ173" s="57">
        <f>' WIP '!CD173</f>
        <v>0</v>
      </c>
      <c r="BK173" s="58">
        <v>0</v>
      </c>
      <c r="BL173" s="59">
        <f t="shared" si="247"/>
        <v>0</v>
      </c>
      <c r="BM173" s="57">
        <f>' WIP '!CH173</f>
        <v>0</v>
      </c>
      <c r="BN173" s="58">
        <v>0</v>
      </c>
      <c r="BO173" s="59">
        <f t="shared" si="248"/>
        <v>0</v>
      </c>
      <c r="BP173" s="57">
        <f>' WIP '!CL173</f>
        <v>0</v>
      </c>
      <c r="BQ173" s="58"/>
      <c r="BR173" s="59">
        <f t="shared" si="249"/>
        <v>0</v>
      </c>
      <c r="BS173" s="57">
        <f>' WIP '!CP173</f>
        <v>0</v>
      </c>
      <c r="BT173" s="58">
        <v>0</v>
      </c>
      <c r="BU173" s="59">
        <f t="shared" si="250"/>
        <v>0</v>
      </c>
      <c r="BV173" s="57">
        <f>' WIP '!CT173</f>
        <v>0</v>
      </c>
      <c r="BW173" s="28">
        <v>0</v>
      </c>
      <c r="BX173" s="59">
        <f t="shared" si="251"/>
        <v>0</v>
      </c>
      <c r="BY173" s="57">
        <f>' WIP '!CX173</f>
        <v>0</v>
      </c>
      <c r="BZ173" s="58">
        <v>0</v>
      </c>
      <c r="CA173" s="59">
        <f t="shared" si="252"/>
        <v>0</v>
      </c>
      <c r="CB173" s="57">
        <f>' WIP '!DB173</f>
        <v>0</v>
      </c>
      <c r="CC173" s="58">
        <v>0</v>
      </c>
      <c r="CD173" s="59">
        <f t="shared" si="253"/>
        <v>0</v>
      </c>
      <c r="CE173" s="57">
        <f>' WIP '!DF173</f>
        <v>0</v>
      </c>
      <c r="CF173" s="58">
        <v>0</v>
      </c>
      <c r="CG173" s="59">
        <f t="shared" si="254"/>
        <v>0</v>
      </c>
      <c r="CH173" s="57">
        <f>' WIP '!DJ173</f>
        <v>0</v>
      </c>
      <c r="CI173" s="58">
        <v>0</v>
      </c>
      <c r="CJ173" s="59">
        <f t="shared" si="255"/>
        <v>0</v>
      </c>
      <c r="CK173" s="57">
        <f>' WIP '!DN173</f>
        <v>0</v>
      </c>
      <c r="CL173" s="58">
        <v>0</v>
      </c>
      <c r="CM173" s="59">
        <f t="shared" si="256"/>
        <v>0</v>
      </c>
      <c r="CN173" s="57">
        <f>' WIP '!DR173</f>
        <v>0</v>
      </c>
      <c r="CO173" s="57"/>
      <c r="CP173" s="59">
        <f t="shared" si="257"/>
        <v>0</v>
      </c>
      <c r="CQ173" s="57">
        <f>' WIP '!DV173</f>
        <v>0</v>
      </c>
      <c r="CR173" s="58"/>
      <c r="CS173" s="59">
        <f t="shared" si="258"/>
        <v>0</v>
      </c>
      <c r="CT173" s="31">
        <f t="shared" si="226"/>
        <v>20000</v>
      </c>
      <c r="CU173" s="4">
        <f t="shared" si="227"/>
        <v>20000</v>
      </c>
      <c r="CV173" s="5">
        <f>D173*'MASTER SHEET'!D173</f>
        <v>3200</v>
      </c>
      <c r="CW173" s="5">
        <f>G173*'MASTER SHEET'!D173</f>
        <v>1600</v>
      </c>
      <c r="CX173" s="5">
        <f>J173*'MASTER SHEET'!D173</f>
        <v>1600</v>
      </c>
      <c r="CY173" s="5">
        <f>M173*'MASTER SHEET'!D173</f>
        <v>1600</v>
      </c>
      <c r="CZ173" s="5">
        <f>P173*'MASTER SHEET'!D173</f>
        <v>1600</v>
      </c>
      <c r="DA173" s="5">
        <f>S173*'MASTER SHEET'!D173</f>
        <v>1600</v>
      </c>
      <c r="DB173" s="5">
        <f>V173*'MASTER SHEET'!D173</f>
        <v>1600</v>
      </c>
      <c r="DC173" s="5">
        <f>Y173*'MASTER SHEET'!D173</f>
        <v>1600</v>
      </c>
      <c r="DD173" s="5">
        <f>AB173*'MASTER SHEET'!D173</f>
        <v>1600</v>
      </c>
      <c r="DE173" s="5">
        <f>AE173*'MASTER SHEET'!D173</f>
        <v>1600</v>
      </c>
      <c r="DF173" s="5">
        <f>AH173*'MASTER SHEET'!D173</f>
        <v>0</v>
      </c>
      <c r="DG173" s="5">
        <f>AK173*'MASTER SHEET'!D173</f>
        <v>0</v>
      </c>
      <c r="DH173" s="5">
        <f>AN173*'MASTER SHEET'!D173</f>
        <v>0</v>
      </c>
      <c r="DI173" s="5">
        <f>AQ173*'MASTER SHEET'!D173</f>
        <v>0</v>
      </c>
      <c r="DJ173" s="5">
        <f>AT173*'MASTER SHEET'!D173</f>
        <v>0</v>
      </c>
      <c r="DK173" s="5">
        <f>AW173*'MASTER SHEET'!D173</f>
        <v>0</v>
      </c>
      <c r="DL173" s="5">
        <f>AZ173*'MASTER SHEET'!D173</f>
        <v>0</v>
      </c>
      <c r="DM173" s="5">
        <f>BC173*'MASTER SHEET'!D173</f>
        <v>0</v>
      </c>
      <c r="DN173" s="5">
        <f>BF173*'MASTER SHEET'!D173</f>
        <v>0</v>
      </c>
      <c r="DO173" s="5">
        <f>BI173*'MASTER SHEET'!D173</f>
        <v>0</v>
      </c>
      <c r="DP173" s="5">
        <f>BL173*'MASTER SHEET'!D173</f>
        <v>0</v>
      </c>
      <c r="DQ173" s="5">
        <f>BO173*'MASTER SHEET'!D173</f>
        <v>0</v>
      </c>
      <c r="DR173" s="5">
        <f>BR173*'MASTER SHEET'!D173</f>
        <v>0</v>
      </c>
      <c r="DS173" s="5">
        <f>BU173*'MASTER SHEET'!D173</f>
        <v>0</v>
      </c>
      <c r="DT173" s="5">
        <f>BX173*'MASTER SHEET'!D173</f>
        <v>0</v>
      </c>
      <c r="DU173" s="5">
        <f>CA173*'MASTER SHEET'!D173</f>
        <v>0</v>
      </c>
      <c r="DV173" s="5">
        <f>CD173*'MASTER SHEET'!D173</f>
        <v>0</v>
      </c>
      <c r="DW173" s="5">
        <f>CG173*'MASTER SHEET'!D173</f>
        <v>0</v>
      </c>
      <c r="DX173" s="5">
        <f>CJ173*'MASTER SHEET'!D173</f>
        <v>0</v>
      </c>
      <c r="DY173" s="5">
        <f>CM173*'MASTER SHEET'!D173</f>
        <v>0</v>
      </c>
      <c r="DZ173" s="5">
        <f>CP173*'MASTER SHEET'!D173</f>
        <v>0</v>
      </c>
      <c r="EA173" s="5">
        <f>CS173*'MASTER SHEET'!D173</f>
        <v>0</v>
      </c>
      <c r="EB173" s="9"/>
    </row>
    <row r="174" spans="1:132" ht="15.75" x14ac:dyDescent="0.25">
      <c r="A174" s="25">
        <f>'MASTER SHEET'!A174</f>
        <v>172</v>
      </c>
      <c r="B174" s="164" t="str">
        <f>'MASTER SHEET'!B174</f>
        <v>YOM_YHC_ HRS_KNOB INSERT MOLDING V6N</v>
      </c>
      <c r="C174" s="165" t="str">
        <f>'MASTER SHEET'!C174</f>
        <v>GA00007775</v>
      </c>
      <c r="D174" s="56">
        <v>6000</v>
      </c>
      <c r="E174" s="57">
        <f>' WIP '!F174</f>
        <v>0</v>
      </c>
      <c r="F174" s="58">
        <v>1500</v>
      </c>
      <c r="G174" s="59">
        <f t="shared" si="228"/>
        <v>4500</v>
      </c>
      <c r="H174" s="57">
        <f>' WIP '!J174</f>
        <v>1500</v>
      </c>
      <c r="I174" s="58">
        <v>6000</v>
      </c>
      <c r="J174" s="59">
        <f t="shared" si="229"/>
        <v>0</v>
      </c>
      <c r="K174" s="57">
        <f>' WIP '!N174</f>
        <v>0</v>
      </c>
      <c r="L174" s="58"/>
      <c r="M174" s="59">
        <f t="shared" si="230"/>
        <v>0</v>
      </c>
      <c r="N174" s="57">
        <f>' WIP '!R174</f>
        <v>0</v>
      </c>
      <c r="O174" s="58">
        <v>0</v>
      </c>
      <c r="P174" s="59">
        <f t="shared" si="231"/>
        <v>0</v>
      </c>
      <c r="Q174" s="57">
        <f>' WIP '!V174</f>
        <v>0</v>
      </c>
      <c r="R174" s="58">
        <v>0</v>
      </c>
      <c r="S174" s="59">
        <f t="shared" si="232"/>
        <v>0</v>
      </c>
      <c r="T174" s="57">
        <f>' WIP '!Z174</f>
        <v>0</v>
      </c>
      <c r="U174" s="58">
        <v>0</v>
      </c>
      <c r="V174" s="59">
        <f t="shared" si="233"/>
        <v>0</v>
      </c>
      <c r="W174" s="57">
        <f>' WIP '!AD174</f>
        <v>7000</v>
      </c>
      <c r="X174" s="58">
        <v>7000</v>
      </c>
      <c r="Y174" s="59">
        <f t="shared" si="234"/>
        <v>0</v>
      </c>
      <c r="Z174" s="57">
        <f>' WIP '!AH174</f>
        <v>0</v>
      </c>
      <c r="AA174" s="58">
        <v>0</v>
      </c>
      <c r="AB174" s="59">
        <f t="shared" si="235"/>
        <v>0</v>
      </c>
      <c r="AC174" s="57">
        <f>' WIP '!AL174</f>
        <v>0</v>
      </c>
      <c r="AD174" s="58">
        <v>0</v>
      </c>
      <c r="AE174" s="59">
        <f t="shared" si="236"/>
        <v>0</v>
      </c>
      <c r="AF174" s="57">
        <f>' WIP '!AP174</f>
        <v>10000</v>
      </c>
      <c r="AG174" s="114">
        <v>10000</v>
      </c>
      <c r="AH174" s="59">
        <f t="shared" si="237"/>
        <v>0</v>
      </c>
      <c r="AI174" s="57">
        <f>' WIP '!AT174</f>
        <v>10500</v>
      </c>
      <c r="AJ174" s="58">
        <v>10500</v>
      </c>
      <c r="AK174" s="59">
        <f t="shared" si="238"/>
        <v>0</v>
      </c>
      <c r="AL174" s="57">
        <f>' WIP '!AX174</f>
        <v>0</v>
      </c>
      <c r="AM174" s="58"/>
      <c r="AN174" s="59">
        <f t="shared" si="239"/>
        <v>0</v>
      </c>
      <c r="AO174" s="57">
        <f>' WIP '!BB174</f>
        <v>10500</v>
      </c>
      <c r="AP174" s="58">
        <v>10500</v>
      </c>
      <c r="AQ174" s="59">
        <f t="shared" si="240"/>
        <v>0</v>
      </c>
      <c r="AR174" s="57">
        <f>' WIP '!BF174</f>
        <v>0</v>
      </c>
      <c r="AS174" s="58"/>
      <c r="AT174" s="59">
        <f t="shared" si="241"/>
        <v>0</v>
      </c>
      <c r="AU174" s="57">
        <f>' WIP '!BJ174</f>
        <v>0</v>
      </c>
      <c r="AV174" s="58">
        <v>0</v>
      </c>
      <c r="AW174" s="59">
        <f t="shared" si="242"/>
        <v>0</v>
      </c>
      <c r="AX174" s="57">
        <f>' WIP '!BN174</f>
        <v>0</v>
      </c>
      <c r="AY174" s="58">
        <v>0</v>
      </c>
      <c r="AZ174" s="59">
        <f t="shared" si="243"/>
        <v>0</v>
      </c>
      <c r="BA174" s="57">
        <f>' WIP '!BR174</f>
        <v>0</v>
      </c>
      <c r="BB174" s="58">
        <v>0</v>
      </c>
      <c r="BC174" s="59">
        <f t="shared" si="244"/>
        <v>0</v>
      </c>
      <c r="BD174" s="57">
        <f>' WIP '!BV174</f>
        <v>0</v>
      </c>
      <c r="BE174" s="58">
        <v>0</v>
      </c>
      <c r="BF174" s="59">
        <f t="shared" si="245"/>
        <v>0</v>
      </c>
      <c r="BG174" s="57">
        <f>' WIP '!BZ174</f>
        <v>0</v>
      </c>
      <c r="BH174" s="58"/>
      <c r="BI174" s="59">
        <f t="shared" si="246"/>
        <v>0</v>
      </c>
      <c r="BJ174" s="57">
        <f>' WIP '!CD174</f>
        <v>0</v>
      </c>
      <c r="BK174" s="58">
        <v>0</v>
      </c>
      <c r="BL174" s="59">
        <f t="shared" si="247"/>
        <v>0</v>
      </c>
      <c r="BM174" s="57">
        <f>' WIP '!CH174</f>
        <v>0</v>
      </c>
      <c r="BN174" s="58">
        <v>0</v>
      </c>
      <c r="BO174" s="59">
        <f t="shared" si="248"/>
        <v>0</v>
      </c>
      <c r="BP174" s="57">
        <f>' WIP '!CL174</f>
        <v>0</v>
      </c>
      <c r="BQ174" s="58"/>
      <c r="BR174" s="59">
        <f t="shared" si="249"/>
        <v>0</v>
      </c>
      <c r="BS174" s="57">
        <f>' WIP '!CP174</f>
        <v>0</v>
      </c>
      <c r="BT174" s="58">
        <v>0</v>
      </c>
      <c r="BU174" s="59">
        <f t="shared" si="250"/>
        <v>0</v>
      </c>
      <c r="BV174" s="57">
        <f>' WIP '!CT174</f>
        <v>0</v>
      </c>
      <c r="BW174" s="28">
        <v>0</v>
      </c>
      <c r="BX174" s="59">
        <f t="shared" si="251"/>
        <v>0</v>
      </c>
      <c r="BY174" s="57">
        <f>' WIP '!CX174</f>
        <v>0</v>
      </c>
      <c r="BZ174" s="58">
        <v>0</v>
      </c>
      <c r="CA174" s="59">
        <f t="shared" si="252"/>
        <v>0</v>
      </c>
      <c r="CB174" s="57">
        <f>' WIP '!DB174</f>
        <v>0</v>
      </c>
      <c r="CC174" s="58">
        <v>0</v>
      </c>
      <c r="CD174" s="59">
        <f t="shared" si="253"/>
        <v>0</v>
      </c>
      <c r="CE174" s="57">
        <f>' WIP '!DF174</f>
        <v>0</v>
      </c>
      <c r="CF174" s="58">
        <v>0</v>
      </c>
      <c r="CG174" s="59">
        <f t="shared" si="254"/>
        <v>0</v>
      </c>
      <c r="CH174" s="57">
        <f>' WIP '!DJ174</f>
        <v>0</v>
      </c>
      <c r="CI174" s="58">
        <v>0</v>
      </c>
      <c r="CJ174" s="59">
        <f t="shared" si="255"/>
        <v>0</v>
      </c>
      <c r="CK174" s="57">
        <f>' WIP '!DN174</f>
        <v>6000</v>
      </c>
      <c r="CL174" s="58">
        <v>6000</v>
      </c>
      <c r="CM174" s="59">
        <f t="shared" si="256"/>
        <v>0</v>
      </c>
      <c r="CN174" s="57">
        <f>' WIP '!DR174</f>
        <v>0</v>
      </c>
      <c r="CO174" s="57"/>
      <c r="CP174" s="59">
        <f t="shared" si="257"/>
        <v>0</v>
      </c>
      <c r="CQ174" s="57">
        <f>' WIP '!DV174</f>
        <v>0</v>
      </c>
      <c r="CR174" s="58"/>
      <c r="CS174" s="59">
        <f t="shared" si="258"/>
        <v>0</v>
      </c>
      <c r="CT174" s="31">
        <f t="shared" si="226"/>
        <v>51500</v>
      </c>
      <c r="CU174" s="4">
        <f t="shared" si="227"/>
        <v>51500</v>
      </c>
      <c r="CV174" s="5">
        <f>D174*'MASTER SHEET'!D174</f>
        <v>15299.999999999998</v>
      </c>
      <c r="CW174" s="5">
        <f>G174*'MASTER SHEET'!D174</f>
        <v>11475</v>
      </c>
      <c r="CX174" s="5">
        <f>J174*'MASTER SHEET'!D174</f>
        <v>0</v>
      </c>
      <c r="CY174" s="5">
        <f>M174*'MASTER SHEET'!D174</f>
        <v>0</v>
      </c>
      <c r="CZ174" s="5">
        <f>P174*'MASTER SHEET'!D174</f>
        <v>0</v>
      </c>
      <c r="DA174" s="5">
        <f>S174*'MASTER SHEET'!D174</f>
        <v>0</v>
      </c>
      <c r="DB174" s="5">
        <f>V174*'MASTER SHEET'!D174</f>
        <v>0</v>
      </c>
      <c r="DC174" s="5">
        <f>Y174*'MASTER SHEET'!D174</f>
        <v>0</v>
      </c>
      <c r="DD174" s="5">
        <f>AB174*'MASTER SHEET'!D174</f>
        <v>0</v>
      </c>
      <c r="DE174" s="5">
        <f>AE174*'MASTER SHEET'!D174</f>
        <v>0</v>
      </c>
      <c r="DF174" s="5">
        <f>AH174*'MASTER SHEET'!D174</f>
        <v>0</v>
      </c>
      <c r="DG174" s="5">
        <f>AK174*'MASTER SHEET'!D174</f>
        <v>0</v>
      </c>
      <c r="DH174" s="5">
        <f>AN174*'MASTER SHEET'!D174</f>
        <v>0</v>
      </c>
      <c r="DI174" s="5">
        <f>AQ174*'MASTER SHEET'!D174</f>
        <v>0</v>
      </c>
      <c r="DJ174" s="5">
        <f>AT174*'MASTER SHEET'!D174</f>
        <v>0</v>
      </c>
      <c r="DK174" s="5">
        <f>AW174*'MASTER SHEET'!D174</f>
        <v>0</v>
      </c>
      <c r="DL174" s="5">
        <f>AZ174*'MASTER SHEET'!D174</f>
        <v>0</v>
      </c>
      <c r="DM174" s="5">
        <f>BC174*'MASTER SHEET'!D174</f>
        <v>0</v>
      </c>
      <c r="DN174" s="5">
        <f>BF174*'MASTER SHEET'!D174</f>
        <v>0</v>
      </c>
      <c r="DO174" s="5">
        <f>BI174*'MASTER SHEET'!D174</f>
        <v>0</v>
      </c>
      <c r="DP174" s="5">
        <f>BL174*'MASTER SHEET'!D174</f>
        <v>0</v>
      </c>
      <c r="DQ174" s="5">
        <f>BO174*'MASTER SHEET'!D174</f>
        <v>0</v>
      </c>
      <c r="DR174" s="5">
        <f>BR174*'MASTER SHEET'!D174</f>
        <v>0</v>
      </c>
      <c r="DS174" s="5">
        <f>BU174*'MASTER SHEET'!D174</f>
        <v>0</v>
      </c>
      <c r="DT174" s="5">
        <f>BX174*'MASTER SHEET'!D174</f>
        <v>0</v>
      </c>
      <c r="DU174" s="5">
        <f>CA174*'MASTER SHEET'!D174</f>
        <v>0</v>
      </c>
      <c r="DV174" s="5">
        <f>CD174*'MASTER SHEET'!D174</f>
        <v>0</v>
      </c>
      <c r="DW174" s="5">
        <f>CG174*'MASTER SHEET'!D174</f>
        <v>0</v>
      </c>
      <c r="DX174" s="5">
        <f>CJ174*'MASTER SHEET'!D174</f>
        <v>0</v>
      </c>
      <c r="DY174" s="5">
        <f>CM174*'MASTER SHEET'!D174</f>
        <v>0</v>
      </c>
      <c r="DZ174" s="5">
        <f>CP174*'MASTER SHEET'!D174</f>
        <v>0</v>
      </c>
      <c r="EA174" s="5">
        <f>CS174*'MASTER SHEET'!D174</f>
        <v>0</v>
      </c>
      <c r="EB174" s="9"/>
    </row>
    <row r="175" spans="1:132" ht="15.75" x14ac:dyDescent="0.25">
      <c r="A175" s="25">
        <f>'MASTER SHEET'!A175</f>
        <v>173</v>
      </c>
      <c r="B175" s="164" t="str">
        <f>'MASTER SHEET'!B175</f>
        <v>CLAMP ASSY_3 WAY MODULAR</v>
      </c>
      <c r="C175" s="165">
        <f>'MASTER SHEET'!C175</f>
        <v>65062</v>
      </c>
      <c r="D175" s="56">
        <v>0</v>
      </c>
      <c r="E175" s="57">
        <f>' WIP '!F175</f>
        <v>0</v>
      </c>
      <c r="F175" s="58">
        <v>0</v>
      </c>
      <c r="G175" s="59">
        <f t="shared" si="228"/>
        <v>0</v>
      </c>
      <c r="H175" s="57">
        <f>' WIP '!J175</f>
        <v>0</v>
      </c>
      <c r="I175" s="58">
        <v>0</v>
      </c>
      <c r="J175" s="59">
        <f t="shared" si="229"/>
        <v>0</v>
      </c>
      <c r="K175" s="57">
        <f>' WIP '!N175</f>
        <v>0</v>
      </c>
      <c r="L175" s="58"/>
      <c r="M175" s="59">
        <f t="shared" si="230"/>
        <v>0</v>
      </c>
      <c r="N175" s="57">
        <f>' WIP '!R175</f>
        <v>0</v>
      </c>
      <c r="O175" s="58">
        <v>0</v>
      </c>
      <c r="P175" s="59">
        <f t="shared" si="231"/>
        <v>0</v>
      </c>
      <c r="Q175" s="57">
        <f>' WIP '!V175</f>
        <v>0</v>
      </c>
      <c r="R175" s="58">
        <v>0</v>
      </c>
      <c r="S175" s="59">
        <f t="shared" si="232"/>
        <v>0</v>
      </c>
      <c r="T175" s="57">
        <f>' WIP '!Z175</f>
        <v>0</v>
      </c>
      <c r="U175" s="58">
        <v>0</v>
      </c>
      <c r="V175" s="59">
        <f t="shared" si="233"/>
        <v>0</v>
      </c>
      <c r="W175" s="57">
        <f>' WIP '!AD175</f>
        <v>0</v>
      </c>
      <c r="X175" s="58">
        <v>0</v>
      </c>
      <c r="Y175" s="59">
        <f t="shared" si="234"/>
        <v>0</v>
      </c>
      <c r="Z175" s="57">
        <f>' WIP '!AH175</f>
        <v>0</v>
      </c>
      <c r="AA175" s="58">
        <v>0</v>
      </c>
      <c r="AB175" s="59">
        <f t="shared" si="235"/>
        <v>0</v>
      </c>
      <c r="AC175" s="57">
        <f>' WIP '!AL175</f>
        <v>0</v>
      </c>
      <c r="AD175" s="58">
        <v>0</v>
      </c>
      <c r="AE175" s="59">
        <f t="shared" si="236"/>
        <v>0</v>
      </c>
      <c r="AF175" s="57">
        <f>' WIP '!AP175</f>
        <v>0</v>
      </c>
      <c r="AG175" s="114">
        <v>0</v>
      </c>
      <c r="AH175" s="59">
        <f t="shared" si="237"/>
        <v>0</v>
      </c>
      <c r="AI175" s="57">
        <f>' WIP '!AT175</f>
        <v>0</v>
      </c>
      <c r="AJ175" s="58">
        <v>0</v>
      </c>
      <c r="AK175" s="59">
        <f t="shared" si="238"/>
        <v>0</v>
      </c>
      <c r="AL175" s="57">
        <f>' WIP '!AX175</f>
        <v>0</v>
      </c>
      <c r="AM175" s="58"/>
      <c r="AN175" s="59">
        <f t="shared" si="239"/>
        <v>0</v>
      </c>
      <c r="AO175" s="57">
        <f>' WIP '!BB175</f>
        <v>0</v>
      </c>
      <c r="AP175" s="58">
        <v>0</v>
      </c>
      <c r="AQ175" s="59">
        <f t="shared" si="240"/>
        <v>0</v>
      </c>
      <c r="AR175" s="57">
        <f>' WIP '!BF175</f>
        <v>0</v>
      </c>
      <c r="AS175" s="58"/>
      <c r="AT175" s="59">
        <f t="shared" si="241"/>
        <v>0</v>
      </c>
      <c r="AU175" s="57">
        <f>' WIP '!BJ175</f>
        <v>0</v>
      </c>
      <c r="AV175" s="58">
        <v>0</v>
      </c>
      <c r="AW175" s="59">
        <f t="shared" si="242"/>
        <v>0</v>
      </c>
      <c r="AX175" s="57">
        <f>' WIP '!BN175</f>
        <v>0</v>
      </c>
      <c r="AY175" s="58">
        <v>0</v>
      </c>
      <c r="AZ175" s="59">
        <f t="shared" si="243"/>
        <v>0</v>
      </c>
      <c r="BA175" s="57">
        <f>' WIP '!BR175</f>
        <v>0</v>
      </c>
      <c r="BB175" s="58">
        <v>0</v>
      </c>
      <c r="BC175" s="59">
        <f t="shared" si="244"/>
        <v>0</v>
      </c>
      <c r="BD175" s="57">
        <f>' WIP '!BV175</f>
        <v>0</v>
      </c>
      <c r="BE175" s="58">
        <v>0</v>
      </c>
      <c r="BF175" s="59">
        <f t="shared" si="245"/>
        <v>0</v>
      </c>
      <c r="BG175" s="57">
        <f>' WIP '!BZ175</f>
        <v>0</v>
      </c>
      <c r="BH175" s="58"/>
      <c r="BI175" s="59">
        <f t="shared" si="246"/>
        <v>0</v>
      </c>
      <c r="BJ175" s="57">
        <f>' WIP '!CD175</f>
        <v>0</v>
      </c>
      <c r="BK175" s="58">
        <v>0</v>
      </c>
      <c r="BL175" s="59">
        <f t="shared" si="247"/>
        <v>0</v>
      </c>
      <c r="BM175" s="57">
        <f>' WIP '!CH175</f>
        <v>0</v>
      </c>
      <c r="BN175" s="58">
        <v>0</v>
      </c>
      <c r="BO175" s="59">
        <f t="shared" si="248"/>
        <v>0</v>
      </c>
      <c r="BP175" s="57">
        <f>' WIP '!CL175</f>
        <v>0</v>
      </c>
      <c r="BQ175" s="58"/>
      <c r="BR175" s="59">
        <f t="shared" si="249"/>
        <v>0</v>
      </c>
      <c r="BS175" s="57">
        <f>' WIP '!CP175</f>
        <v>0</v>
      </c>
      <c r="BT175" s="58">
        <v>0</v>
      </c>
      <c r="BU175" s="59">
        <f t="shared" si="250"/>
        <v>0</v>
      </c>
      <c r="BV175" s="57">
        <f>' WIP '!CT175</f>
        <v>1800</v>
      </c>
      <c r="BW175" s="28">
        <v>1800</v>
      </c>
      <c r="BX175" s="59">
        <f t="shared" si="251"/>
        <v>0</v>
      </c>
      <c r="BY175" s="57">
        <f>' WIP '!CX175</f>
        <v>0</v>
      </c>
      <c r="BZ175" s="58">
        <v>0</v>
      </c>
      <c r="CA175" s="59">
        <f t="shared" si="252"/>
        <v>0</v>
      </c>
      <c r="CB175" s="57">
        <f>' WIP '!DB175</f>
        <v>0</v>
      </c>
      <c r="CC175" s="58">
        <v>0</v>
      </c>
      <c r="CD175" s="59">
        <f t="shared" si="253"/>
        <v>0</v>
      </c>
      <c r="CE175" s="57">
        <f>' WIP '!DF175</f>
        <v>1000</v>
      </c>
      <c r="CF175" s="58">
        <v>1000</v>
      </c>
      <c r="CG175" s="59">
        <f t="shared" si="254"/>
        <v>0</v>
      </c>
      <c r="CH175" s="57">
        <f>' WIP '!DJ175</f>
        <v>500</v>
      </c>
      <c r="CI175" s="58">
        <v>500</v>
      </c>
      <c r="CJ175" s="59">
        <f t="shared" si="255"/>
        <v>0</v>
      </c>
      <c r="CK175" s="57">
        <f>' WIP '!DN175</f>
        <v>0</v>
      </c>
      <c r="CL175" s="58">
        <v>0</v>
      </c>
      <c r="CM175" s="59">
        <f t="shared" si="256"/>
        <v>0</v>
      </c>
      <c r="CN175" s="57">
        <f>' WIP '!DR175</f>
        <v>0</v>
      </c>
      <c r="CO175" s="57"/>
      <c r="CP175" s="59">
        <f t="shared" si="257"/>
        <v>0</v>
      </c>
      <c r="CQ175" s="57">
        <f>' WIP '!DV175</f>
        <v>0</v>
      </c>
      <c r="CR175" s="58"/>
      <c r="CS175" s="59">
        <f t="shared" si="258"/>
        <v>0</v>
      </c>
      <c r="CT175" s="31">
        <f t="shared" si="226"/>
        <v>3300</v>
      </c>
      <c r="CU175" s="4">
        <f t="shared" si="227"/>
        <v>3300</v>
      </c>
      <c r="CV175" s="5">
        <f>D175*'MASTER SHEET'!D175</f>
        <v>0</v>
      </c>
      <c r="CW175" s="5">
        <f>G175*'MASTER SHEET'!D175</f>
        <v>0</v>
      </c>
      <c r="CX175" s="5">
        <f>J175*'MASTER SHEET'!D175</f>
        <v>0</v>
      </c>
      <c r="CY175" s="5">
        <f>M175*'MASTER SHEET'!D175</f>
        <v>0</v>
      </c>
      <c r="CZ175" s="5">
        <f>P175*'MASTER SHEET'!D175</f>
        <v>0</v>
      </c>
      <c r="DA175" s="5">
        <f>S175*'MASTER SHEET'!D175</f>
        <v>0</v>
      </c>
      <c r="DB175" s="5">
        <f>V175*'MASTER SHEET'!D175</f>
        <v>0</v>
      </c>
      <c r="DC175" s="5">
        <f>Y175*'MASTER SHEET'!D175</f>
        <v>0</v>
      </c>
      <c r="DD175" s="5">
        <f>AB175*'MASTER SHEET'!D175</f>
        <v>0</v>
      </c>
      <c r="DE175" s="5">
        <f>AE175*'MASTER SHEET'!D175</f>
        <v>0</v>
      </c>
      <c r="DF175" s="5">
        <f>AH175*'MASTER SHEET'!D175</f>
        <v>0</v>
      </c>
      <c r="DG175" s="5">
        <f>AK175*'MASTER SHEET'!D175</f>
        <v>0</v>
      </c>
      <c r="DH175" s="5">
        <f>AN175*'MASTER SHEET'!D175</f>
        <v>0</v>
      </c>
      <c r="DI175" s="5">
        <f>AQ175*'MASTER SHEET'!D175</f>
        <v>0</v>
      </c>
      <c r="DJ175" s="5">
        <f>AT175*'MASTER SHEET'!D175</f>
        <v>0</v>
      </c>
      <c r="DK175" s="5">
        <f>AW175*'MASTER SHEET'!D175</f>
        <v>0</v>
      </c>
      <c r="DL175" s="5">
        <f>AZ175*'MASTER SHEET'!D175</f>
        <v>0</v>
      </c>
      <c r="DM175" s="5">
        <f>BC175*'MASTER SHEET'!D175</f>
        <v>0</v>
      </c>
      <c r="DN175" s="5">
        <f>BF175*'MASTER SHEET'!D175</f>
        <v>0</v>
      </c>
      <c r="DO175" s="5">
        <f>BI175*'MASTER SHEET'!D175</f>
        <v>0</v>
      </c>
      <c r="DP175" s="5">
        <f>BL175*'MASTER SHEET'!D175</f>
        <v>0</v>
      </c>
      <c r="DQ175" s="5">
        <f>BO175*'MASTER SHEET'!D175</f>
        <v>0</v>
      </c>
      <c r="DR175" s="5">
        <f>BR175*'MASTER SHEET'!D175</f>
        <v>0</v>
      </c>
      <c r="DS175" s="5">
        <f>BU175*'MASTER SHEET'!D175</f>
        <v>0</v>
      </c>
      <c r="DT175" s="5">
        <f>BX175*'MASTER SHEET'!D175</f>
        <v>0</v>
      </c>
      <c r="DU175" s="5">
        <f>CA175*'MASTER SHEET'!D175</f>
        <v>0</v>
      </c>
      <c r="DV175" s="5">
        <f>CD175*'MASTER SHEET'!D175</f>
        <v>0</v>
      </c>
      <c r="DW175" s="5">
        <f>CG175*'MASTER SHEET'!D175</f>
        <v>0</v>
      </c>
      <c r="DX175" s="5">
        <f>CJ175*'MASTER SHEET'!D175</f>
        <v>0</v>
      </c>
      <c r="DY175" s="5">
        <f>CM175*'MASTER SHEET'!D175</f>
        <v>0</v>
      </c>
      <c r="DZ175" s="5">
        <f>CP175*'MASTER SHEET'!D175</f>
        <v>0</v>
      </c>
      <c r="EA175" s="5">
        <f>CS175*'MASTER SHEET'!D175</f>
        <v>0</v>
      </c>
      <c r="EB175" s="9"/>
    </row>
    <row r="176" spans="1:132" ht="15.75" x14ac:dyDescent="0.25">
      <c r="A176" s="25">
        <f>'MASTER SHEET'!A176</f>
        <v>174</v>
      </c>
      <c r="B176" s="164" t="str">
        <f>'MASTER SHEET'!B176</f>
        <v>CLAMP</v>
      </c>
      <c r="C176" s="165">
        <f>'MASTER SHEET'!C176</f>
        <v>65060</v>
      </c>
      <c r="D176" s="56">
        <v>0</v>
      </c>
      <c r="E176" s="57">
        <f>' WIP '!F176</f>
        <v>0</v>
      </c>
      <c r="F176" s="58">
        <v>0</v>
      </c>
      <c r="G176" s="59">
        <f t="shared" si="228"/>
        <v>0</v>
      </c>
      <c r="H176" s="57">
        <f>' WIP '!J176</f>
        <v>0</v>
      </c>
      <c r="I176" s="58">
        <v>0</v>
      </c>
      <c r="J176" s="59">
        <f t="shared" si="229"/>
        <v>0</v>
      </c>
      <c r="K176" s="57">
        <f>' WIP '!N176</f>
        <v>0</v>
      </c>
      <c r="L176" s="58"/>
      <c r="M176" s="59">
        <f t="shared" si="230"/>
        <v>0</v>
      </c>
      <c r="N176" s="57">
        <f>' WIP '!R176</f>
        <v>0</v>
      </c>
      <c r="O176" s="58">
        <v>0</v>
      </c>
      <c r="P176" s="59">
        <f t="shared" si="231"/>
        <v>0</v>
      </c>
      <c r="Q176" s="57">
        <f>' WIP '!V176</f>
        <v>0</v>
      </c>
      <c r="R176" s="58">
        <v>0</v>
      </c>
      <c r="S176" s="59">
        <f t="shared" si="232"/>
        <v>0</v>
      </c>
      <c r="T176" s="57">
        <f>' WIP '!Z176</f>
        <v>0</v>
      </c>
      <c r="U176" s="58">
        <v>0</v>
      </c>
      <c r="V176" s="59">
        <f t="shared" si="233"/>
        <v>0</v>
      </c>
      <c r="W176" s="57">
        <f>' WIP '!AD176</f>
        <v>0</v>
      </c>
      <c r="X176" s="58">
        <v>0</v>
      </c>
      <c r="Y176" s="59">
        <f t="shared" si="234"/>
        <v>0</v>
      </c>
      <c r="Z176" s="57">
        <f>' WIP '!AH176</f>
        <v>0</v>
      </c>
      <c r="AA176" s="58">
        <v>0</v>
      </c>
      <c r="AB176" s="59">
        <f t="shared" si="235"/>
        <v>0</v>
      </c>
      <c r="AC176" s="57">
        <f>' WIP '!AL176</f>
        <v>0</v>
      </c>
      <c r="AD176" s="58">
        <v>0</v>
      </c>
      <c r="AE176" s="59">
        <f t="shared" si="236"/>
        <v>0</v>
      </c>
      <c r="AF176" s="57">
        <f>' WIP '!AP176</f>
        <v>0</v>
      </c>
      <c r="AG176" s="114">
        <v>0</v>
      </c>
      <c r="AH176" s="59">
        <f t="shared" si="237"/>
        <v>0</v>
      </c>
      <c r="AI176" s="57">
        <f>' WIP '!AT176</f>
        <v>0</v>
      </c>
      <c r="AJ176" s="58">
        <v>0</v>
      </c>
      <c r="AK176" s="59">
        <f t="shared" si="238"/>
        <v>0</v>
      </c>
      <c r="AL176" s="57">
        <f>' WIP '!AX176</f>
        <v>0</v>
      </c>
      <c r="AM176" s="58"/>
      <c r="AN176" s="59">
        <f t="shared" si="239"/>
        <v>0</v>
      </c>
      <c r="AO176" s="57">
        <f>' WIP '!BB176</f>
        <v>0</v>
      </c>
      <c r="AP176" s="58">
        <v>0</v>
      </c>
      <c r="AQ176" s="59">
        <f t="shared" si="240"/>
        <v>0</v>
      </c>
      <c r="AR176" s="57">
        <f>' WIP '!BF176</f>
        <v>0</v>
      </c>
      <c r="AS176" s="58"/>
      <c r="AT176" s="59">
        <f t="shared" si="241"/>
        <v>0</v>
      </c>
      <c r="AU176" s="57">
        <f>' WIP '!BJ176</f>
        <v>0</v>
      </c>
      <c r="AV176" s="58">
        <v>0</v>
      </c>
      <c r="AW176" s="59">
        <f t="shared" si="242"/>
        <v>0</v>
      </c>
      <c r="AX176" s="57">
        <f>' WIP '!BN176</f>
        <v>0</v>
      </c>
      <c r="AY176" s="58">
        <v>0</v>
      </c>
      <c r="AZ176" s="59">
        <f t="shared" si="243"/>
        <v>0</v>
      </c>
      <c r="BA176" s="57">
        <f>' WIP '!BR176</f>
        <v>0</v>
      </c>
      <c r="BB176" s="58">
        <v>0</v>
      </c>
      <c r="BC176" s="59">
        <f t="shared" si="244"/>
        <v>0</v>
      </c>
      <c r="BD176" s="57">
        <f>' WIP '!BV176</f>
        <v>0</v>
      </c>
      <c r="BE176" s="58">
        <v>0</v>
      </c>
      <c r="BF176" s="59">
        <f t="shared" si="245"/>
        <v>0</v>
      </c>
      <c r="BG176" s="57">
        <f>' WIP '!BZ176</f>
        <v>0</v>
      </c>
      <c r="BH176" s="58"/>
      <c r="BI176" s="59">
        <f t="shared" si="246"/>
        <v>0</v>
      </c>
      <c r="BJ176" s="57">
        <f>' WIP '!CD176</f>
        <v>0</v>
      </c>
      <c r="BK176" s="58">
        <v>0</v>
      </c>
      <c r="BL176" s="59">
        <f t="shared" si="247"/>
        <v>0</v>
      </c>
      <c r="BM176" s="57">
        <f>' WIP '!CH176</f>
        <v>0</v>
      </c>
      <c r="BN176" s="58">
        <v>0</v>
      </c>
      <c r="BO176" s="59">
        <f t="shared" si="248"/>
        <v>0</v>
      </c>
      <c r="BP176" s="57">
        <f>' WIP '!CL176</f>
        <v>0</v>
      </c>
      <c r="BQ176" s="58"/>
      <c r="BR176" s="59">
        <f t="shared" si="249"/>
        <v>0</v>
      </c>
      <c r="BS176" s="57">
        <f>' WIP '!CP176</f>
        <v>0</v>
      </c>
      <c r="BT176" s="58">
        <v>0</v>
      </c>
      <c r="BU176" s="59">
        <f t="shared" si="250"/>
        <v>0</v>
      </c>
      <c r="BV176" s="57">
        <f>' WIP '!CT176</f>
        <v>0</v>
      </c>
      <c r="BW176" s="28">
        <v>0</v>
      </c>
      <c r="BX176" s="59">
        <f t="shared" si="251"/>
        <v>0</v>
      </c>
      <c r="BY176" s="57">
        <f>' WIP '!CX176</f>
        <v>0</v>
      </c>
      <c r="BZ176" s="58">
        <v>0</v>
      </c>
      <c r="CA176" s="59">
        <f t="shared" si="252"/>
        <v>0</v>
      </c>
      <c r="CB176" s="57">
        <f>' WIP '!DB176</f>
        <v>0</v>
      </c>
      <c r="CC176" s="58">
        <v>0</v>
      </c>
      <c r="CD176" s="59">
        <f t="shared" si="253"/>
        <v>0</v>
      </c>
      <c r="CE176" s="57">
        <f>' WIP '!DF176</f>
        <v>0</v>
      </c>
      <c r="CF176" s="58">
        <v>0</v>
      </c>
      <c r="CG176" s="59">
        <f t="shared" si="254"/>
        <v>0</v>
      </c>
      <c r="CH176" s="57">
        <f>' WIP '!DJ176</f>
        <v>0</v>
      </c>
      <c r="CI176" s="58">
        <v>0</v>
      </c>
      <c r="CJ176" s="59">
        <f t="shared" si="255"/>
        <v>0</v>
      </c>
      <c r="CK176" s="57">
        <f>' WIP '!DN176</f>
        <v>0</v>
      </c>
      <c r="CL176" s="58">
        <v>0</v>
      </c>
      <c r="CM176" s="59">
        <f t="shared" si="256"/>
        <v>0</v>
      </c>
      <c r="CN176" s="57">
        <f>' WIP '!DR176</f>
        <v>0</v>
      </c>
      <c r="CO176" s="57"/>
      <c r="CP176" s="59">
        <f t="shared" si="257"/>
        <v>0</v>
      </c>
      <c r="CQ176" s="57">
        <f>' WIP '!DV176</f>
        <v>0</v>
      </c>
      <c r="CR176" s="58"/>
      <c r="CS176" s="59">
        <f t="shared" si="258"/>
        <v>0</v>
      </c>
      <c r="CT176" s="31">
        <f t="shared" si="226"/>
        <v>0</v>
      </c>
      <c r="CU176" s="4">
        <f t="shared" si="227"/>
        <v>0</v>
      </c>
      <c r="CV176" s="5">
        <f>D176*'MASTER SHEET'!D176</f>
        <v>0</v>
      </c>
      <c r="CW176" s="5">
        <f>G176*'MASTER SHEET'!D176</f>
        <v>0</v>
      </c>
      <c r="CX176" s="5">
        <f>J176*'MASTER SHEET'!D176</f>
        <v>0</v>
      </c>
      <c r="CY176" s="5">
        <f>M176*'MASTER SHEET'!D176</f>
        <v>0</v>
      </c>
      <c r="CZ176" s="5">
        <f>P176*'MASTER SHEET'!D176</f>
        <v>0</v>
      </c>
      <c r="DA176" s="5">
        <f>S176*'MASTER SHEET'!D176</f>
        <v>0</v>
      </c>
      <c r="DB176" s="5">
        <f>V176*'MASTER SHEET'!D176</f>
        <v>0</v>
      </c>
      <c r="DC176" s="5">
        <f>Y176*'MASTER SHEET'!D176</f>
        <v>0</v>
      </c>
      <c r="DD176" s="5">
        <f>AB176*'MASTER SHEET'!D176</f>
        <v>0</v>
      </c>
      <c r="DE176" s="5">
        <f>AE176*'MASTER SHEET'!D176</f>
        <v>0</v>
      </c>
      <c r="DF176" s="5">
        <f>AH176*'MASTER SHEET'!D176</f>
        <v>0</v>
      </c>
      <c r="DG176" s="5">
        <f>AK176*'MASTER SHEET'!D176</f>
        <v>0</v>
      </c>
      <c r="DH176" s="5">
        <f>AN176*'MASTER SHEET'!D176</f>
        <v>0</v>
      </c>
      <c r="DI176" s="5">
        <f>AQ176*'MASTER SHEET'!D176</f>
        <v>0</v>
      </c>
      <c r="DJ176" s="5">
        <f>AT176*'MASTER SHEET'!D176</f>
        <v>0</v>
      </c>
      <c r="DK176" s="5">
        <f>AW176*'MASTER SHEET'!D176</f>
        <v>0</v>
      </c>
      <c r="DL176" s="5">
        <f>AZ176*'MASTER SHEET'!D176</f>
        <v>0</v>
      </c>
      <c r="DM176" s="5">
        <f>BC176*'MASTER SHEET'!D176</f>
        <v>0</v>
      </c>
      <c r="DN176" s="5">
        <f>BF176*'MASTER SHEET'!D176</f>
        <v>0</v>
      </c>
      <c r="DO176" s="5">
        <f>BI176*'MASTER SHEET'!D176</f>
        <v>0</v>
      </c>
      <c r="DP176" s="5">
        <f>BL176*'MASTER SHEET'!D176</f>
        <v>0</v>
      </c>
      <c r="DQ176" s="5">
        <f>BO176*'MASTER SHEET'!D176</f>
        <v>0</v>
      </c>
      <c r="DR176" s="5">
        <f>BR176*'MASTER SHEET'!D176</f>
        <v>0</v>
      </c>
      <c r="DS176" s="5">
        <f>BU176*'MASTER SHEET'!D176</f>
        <v>0</v>
      </c>
      <c r="DT176" s="5">
        <f>BX176*'MASTER SHEET'!D176</f>
        <v>0</v>
      </c>
      <c r="DU176" s="5">
        <f>CA176*'MASTER SHEET'!D176</f>
        <v>0</v>
      </c>
      <c r="DV176" s="5">
        <f>CD176*'MASTER SHEET'!D176</f>
        <v>0</v>
      </c>
      <c r="DW176" s="5">
        <f>CG176*'MASTER SHEET'!D176</f>
        <v>0</v>
      </c>
      <c r="DX176" s="5">
        <f>CJ176*'MASTER SHEET'!D176</f>
        <v>0</v>
      </c>
      <c r="DY176" s="5">
        <f>CM176*'MASTER SHEET'!D176</f>
        <v>0</v>
      </c>
      <c r="DZ176" s="5">
        <f>CP176*'MASTER SHEET'!D176</f>
        <v>0</v>
      </c>
      <c r="EA176" s="5">
        <f>CS176*'MASTER SHEET'!D176</f>
        <v>0</v>
      </c>
      <c r="EB176" s="9"/>
    </row>
    <row r="177" spans="1:132" ht="15.75" x14ac:dyDescent="0.25">
      <c r="A177" s="25">
        <f>'MASTER SHEET'!A177</f>
        <v>175</v>
      </c>
      <c r="B177" s="164" t="str">
        <f>'MASTER SHEET'!B177</f>
        <v>CLAMP</v>
      </c>
      <c r="C177" s="165">
        <f>'MASTER SHEET'!C177</f>
        <v>65061</v>
      </c>
      <c r="D177" s="56">
        <v>0</v>
      </c>
      <c r="E177" s="57">
        <f>' WIP '!F177</f>
        <v>0</v>
      </c>
      <c r="F177" s="58">
        <v>0</v>
      </c>
      <c r="G177" s="59">
        <f t="shared" si="228"/>
        <v>0</v>
      </c>
      <c r="H177" s="57">
        <f>' WIP '!J177</f>
        <v>0</v>
      </c>
      <c r="I177" s="58">
        <v>0</v>
      </c>
      <c r="J177" s="59">
        <f t="shared" si="229"/>
        <v>0</v>
      </c>
      <c r="K177" s="57">
        <f>' WIP '!N177</f>
        <v>0</v>
      </c>
      <c r="L177" s="58"/>
      <c r="M177" s="59">
        <f t="shared" si="230"/>
        <v>0</v>
      </c>
      <c r="N177" s="57">
        <f>' WIP '!R177</f>
        <v>0</v>
      </c>
      <c r="O177" s="58">
        <v>0</v>
      </c>
      <c r="P177" s="59">
        <f t="shared" si="231"/>
        <v>0</v>
      </c>
      <c r="Q177" s="57">
        <f>' WIP '!V177</f>
        <v>0</v>
      </c>
      <c r="R177" s="58">
        <v>0</v>
      </c>
      <c r="S177" s="59">
        <f t="shared" si="232"/>
        <v>0</v>
      </c>
      <c r="T177" s="57">
        <f>' WIP '!Z177</f>
        <v>0</v>
      </c>
      <c r="U177" s="58">
        <v>0</v>
      </c>
      <c r="V177" s="59">
        <f t="shared" si="233"/>
        <v>0</v>
      </c>
      <c r="W177" s="57">
        <f>' WIP '!AD177</f>
        <v>0</v>
      </c>
      <c r="X177" s="58">
        <v>0</v>
      </c>
      <c r="Y177" s="59">
        <f t="shared" si="234"/>
        <v>0</v>
      </c>
      <c r="Z177" s="57">
        <f>' WIP '!AH177</f>
        <v>0</v>
      </c>
      <c r="AA177" s="58">
        <v>0</v>
      </c>
      <c r="AB177" s="59">
        <f t="shared" si="235"/>
        <v>0</v>
      </c>
      <c r="AC177" s="57">
        <f>' WIP '!AL177</f>
        <v>0</v>
      </c>
      <c r="AD177" s="58">
        <v>0</v>
      </c>
      <c r="AE177" s="59">
        <f t="shared" si="236"/>
        <v>0</v>
      </c>
      <c r="AF177" s="57">
        <f>' WIP '!AP177</f>
        <v>0</v>
      </c>
      <c r="AG177" s="114">
        <v>0</v>
      </c>
      <c r="AH177" s="59">
        <f t="shared" si="237"/>
        <v>0</v>
      </c>
      <c r="AI177" s="57">
        <f>' WIP '!AT177</f>
        <v>0</v>
      </c>
      <c r="AJ177" s="58">
        <v>0</v>
      </c>
      <c r="AK177" s="59">
        <f t="shared" si="238"/>
        <v>0</v>
      </c>
      <c r="AL177" s="57">
        <f>' WIP '!AX177</f>
        <v>0</v>
      </c>
      <c r="AM177" s="58"/>
      <c r="AN177" s="59">
        <f t="shared" si="239"/>
        <v>0</v>
      </c>
      <c r="AO177" s="57">
        <f>' WIP '!BB177</f>
        <v>0</v>
      </c>
      <c r="AP177" s="58">
        <v>0</v>
      </c>
      <c r="AQ177" s="59">
        <f t="shared" si="240"/>
        <v>0</v>
      </c>
      <c r="AR177" s="57">
        <f>' WIP '!BF177</f>
        <v>0</v>
      </c>
      <c r="AS177" s="58"/>
      <c r="AT177" s="59">
        <f t="shared" si="241"/>
        <v>0</v>
      </c>
      <c r="AU177" s="57">
        <f>' WIP '!BJ177</f>
        <v>0</v>
      </c>
      <c r="AV177" s="58">
        <v>0</v>
      </c>
      <c r="AW177" s="59">
        <f t="shared" si="242"/>
        <v>0</v>
      </c>
      <c r="AX177" s="57">
        <f>' WIP '!BN177</f>
        <v>0</v>
      </c>
      <c r="AY177" s="58">
        <v>0</v>
      </c>
      <c r="AZ177" s="59">
        <f t="shared" si="243"/>
        <v>0</v>
      </c>
      <c r="BA177" s="57">
        <f>' WIP '!BR177</f>
        <v>0</v>
      </c>
      <c r="BB177" s="58">
        <v>0</v>
      </c>
      <c r="BC177" s="59">
        <f t="shared" si="244"/>
        <v>0</v>
      </c>
      <c r="BD177" s="57">
        <f>' WIP '!BV177</f>
        <v>0</v>
      </c>
      <c r="BE177" s="58">
        <v>0</v>
      </c>
      <c r="BF177" s="59">
        <f t="shared" si="245"/>
        <v>0</v>
      </c>
      <c r="BG177" s="57">
        <f>' WIP '!BZ177</f>
        <v>0</v>
      </c>
      <c r="BH177" s="58"/>
      <c r="BI177" s="59">
        <f t="shared" si="246"/>
        <v>0</v>
      </c>
      <c r="BJ177" s="57">
        <f>' WIP '!CD177</f>
        <v>0</v>
      </c>
      <c r="BK177" s="58">
        <v>0</v>
      </c>
      <c r="BL177" s="59">
        <f t="shared" si="247"/>
        <v>0</v>
      </c>
      <c r="BM177" s="57">
        <f>' WIP '!CH177</f>
        <v>0</v>
      </c>
      <c r="BN177" s="58">
        <v>0</v>
      </c>
      <c r="BO177" s="59">
        <f t="shared" si="248"/>
        <v>0</v>
      </c>
      <c r="BP177" s="57">
        <f>' WIP '!CL177</f>
        <v>0</v>
      </c>
      <c r="BQ177" s="58"/>
      <c r="BR177" s="59">
        <f t="shared" si="249"/>
        <v>0</v>
      </c>
      <c r="BS177" s="57">
        <f>' WIP '!CP177</f>
        <v>0</v>
      </c>
      <c r="BT177" s="58">
        <v>0</v>
      </c>
      <c r="BU177" s="59">
        <f t="shared" si="250"/>
        <v>0</v>
      </c>
      <c r="BV177" s="57">
        <f>' WIP '!CT177</f>
        <v>0</v>
      </c>
      <c r="BW177" s="28">
        <v>0</v>
      </c>
      <c r="BX177" s="59">
        <f t="shared" si="251"/>
        <v>0</v>
      </c>
      <c r="BY177" s="57">
        <f>' WIP '!CX177</f>
        <v>0</v>
      </c>
      <c r="BZ177" s="58">
        <v>0</v>
      </c>
      <c r="CA177" s="59">
        <f t="shared" si="252"/>
        <v>0</v>
      </c>
      <c r="CB177" s="57">
        <f>' WIP '!DB177</f>
        <v>0</v>
      </c>
      <c r="CC177" s="58">
        <v>0</v>
      </c>
      <c r="CD177" s="59">
        <f t="shared" si="253"/>
        <v>0</v>
      </c>
      <c r="CE177" s="57">
        <f>' WIP '!DF177</f>
        <v>0</v>
      </c>
      <c r="CF177" s="58">
        <v>0</v>
      </c>
      <c r="CG177" s="59">
        <f t="shared" si="254"/>
        <v>0</v>
      </c>
      <c r="CH177" s="57">
        <f>' WIP '!DJ177</f>
        <v>0</v>
      </c>
      <c r="CI177" s="58">
        <v>0</v>
      </c>
      <c r="CJ177" s="59">
        <f t="shared" si="255"/>
        <v>0</v>
      </c>
      <c r="CK177" s="57">
        <f>' WIP '!DN177</f>
        <v>0</v>
      </c>
      <c r="CL177" s="58">
        <v>0</v>
      </c>
      <c r="CM177" s="59">
        <f t="shared" si="256"/>
        <v>0</v>
      </c>
      <c r="CN177" s="57">
        <f>' WIP '!DR177</f>
        <v>0</v>
      </c>
      <c r="CO177" s="57"/>
      <c r="CP177" s="59">
        <f t="shared" si="257"/>
        <v>0</v>
      </c>
      <c r="CQ177" s="57">
        <f>' WIP '!DV177</f>
        <v>0</v>
      </c>
      <c r="CR177" s="58"/>
      <c r="CS177" s="59">
        <f t="shared" si="258"/>
        <v>0</v>
      </c>
      <c r="CT177" s="31">
        <f t="shared" si="226"/>
        <v>0</v>
      </c>
      <c r="CU177" s="4">
        <f t="shared" si="227"/>
        <v>0</v>
      </c>
      <c r="CV177" s="5">
        <f>D177*'MASTER SHEET'!D177</f>
        <v>0</v>
      </c>
      <c r="CW177" s="5">
        <f>G177*'MASTER SHEET'!D177</f>
        <v>0</v>
      </c>
      <c r="CX177" s="5">
        <f>J177*'MASTER SHEET'!D177</f>
        <v>0</v>
      </c>
      <c r="CY177" s="5">
        <f>M177*'MASTER SHEET'!D177</f>
        <v>0</v>
      </c>
      <c r="CZ177" s="5">
        <f>P177*'MASTER SHEET'!D177</f>
        <v>0</v>
      </c>
      <c r="DA177" s="5">
        <f>S177*'MASTER SHEET'!D177</f>
        <v>0</v>
      </c>
      <c r="DB177" s="5">
        <f>V177*'MASTER SHEET'!D177</f>
        <v>0</v>
      </c>
      <c r="DC177" s="5">
        <f>Y177*'MASTER SHEET'!D177</f>
        <v>0</v>
      </c>
      <c r="DD177" s="5">
        <f>AB177*'MASTER SHEET'!D177</f>
        <v>0</v>
      </c>
      <c r="DE177" s="5">
        <f>AE177*'MASTER SHEET'!D177</f>
        <v>0</v>
      </c>
      <c r="DF177" s="5">
        <f>AH177*'MASTER SHEET'!D177</f>
        <v>0</v>
      </c>
      <c r="DG177" s="5">
        <f>AK177*'MASTER SHEET'!D177</f>
        <v>0</v>
      </c>
      <c r="DH177" s="5">
        <f>AN177*'MASTER SHEET'!D177</f>
        <v>0</v>
      </c>
      <c r="DI177" s="5">
        <f>AQ177*'MASTER SHEET'!D177</f>
        <v>0</v>
      </c>
      <c r="DJ177" s="5">
        <f>AT177*'MASTER SHEET'!D177</f>
        <v>0</v>
      </c>
      <c r="DK177" s="5">
        <f>AW177*'MASTER SHEET'!D177</f>
        <v>0</v>
      </c>
      <c r="DL177" s="5">
        <f>AZ177*'MASTER SHEET'!D177</f>
        <v>0</v>
      </c>
      <c r="DM177" s="5">
        <f>BC177*'MASTER SHEET'!D177</f>
        <v>0</v>
      </c>
      <c r="DN177" s="5">
        <f>BF177*'MASTER SHEET'!D177</f>
        <v>0</v>
      </c>
      <c r="DO177" s="5">
        <f>BI177*'MASTER SHEET'!D177</f>
        <v>0</v>
      </c>
      <c r="DP177" s="5">
        <f>BL177*'MASTER SHEET'!D177</f>
        <v>0</v>
      </c>
      <c r="DQ177" s="5">
        <f>BO177*'MASTER SHEET'!D177</f>
        <v>0</v>
      </c>
      <c r="DR177" s="5">
        <f>BR177*'MASTER SHEET'!D177</f>
        <v>0</v>
      </c>
      <c r="DS177" s="5">
        <f>BU177*'MASTER SHEET'!D177</f>
        <v>0</v>
      </c>
      <c r="DT177" s="5">
        <f>BX177*'MASTER SHEET'!D177</f>
        <v>0</v>
      </c>
      <c r="DU177" s="5">
        <f>CA177*'MASTER SHEET'!D177</f>
        <v>0</v>
      </c>
      <c r="DV177" s="5">
        <f>CD177*'MASTER SHEET'!D177</f>
        <v>0</v>
      </c>
      <c r="DW177" s="5">
        <f>CG177*'MASTER SHEET'!D177</f>
        <v>0</v>
      </c>
      <c r="DX177" s="5">
        <f>CJ177*'MASTER SHEET'!D177</f>
        <v>0</v>
      </c>
      <c r="DY177" s="5">
        <f>CM177*'MASTER SHEET'!D177</f>
        <v>0</v>
      </c>
      <c r="DZ177" s="5">
        <f>CP177*'MASTER SHEET'!D177</f>
        <v>0</v>
      </c>
      <c r="EA177" s="5">
        <f>CS177*'MASTER SHEET'!D177</f>
        <v>0</v>
      </c>
      <c r="EB177" s="9"/>
    </row>
    <row r="178" spans="1:132" ht="15.75" x14ac:dyDescent="0.25">
      <c r="A178" s="25">
        <f>'MASTER SHEET'!A178</f>
        <v>176</v>
      </c>
      <c r="B178" s="164" t="str">
        <f>'MASTER SHEET'!B178</f>
        <v>X451 RR BAZEL PASSIVE</v>
      </c>
      <c r="C178" s="165" t="str">
        <f>'MASTER SHEET'!C178</f>
        <v>GA00002917</v>
      </c>
      <c r="D178" s="56"/>
      <c r="E178" s="57">
        <f>' WIP '!F178</f>
        <v>1200</v>
      </c>
      <c r="F178" s="58">
        <v>1200</v>
      </c>
      <c r="G178" s="59">
        <f t="shared" si="228"/>
        <v>0</v>
      </c>
      <c r="H178" s="57">
        <f>' WIP '!J178</f>
        <v>3000</v>
      </c>
      <c r="I178" s="58">
        <v>3000</v>
      </c>
      <c r="J178" s="59">
        <f t="shared" si="229"/>
        <v>0</v>
      </c>
      <c r="K178" s="57">
        <f>' WIP '!N178</f>
        <v>0</v>
      </c>
      <c r="L178" s="58"/>
      <c r="M178" s="59">
        <f t="shared" si="230"/>
        <v>0</v>
      </c>
      <c r="N178" s="57">
        <f>' WIP '!R178</f>
        <v>0</v>
      </c>
      <c r="O178" s="58">
        <v>0</v>
      </c>
      <c r="P178" s="59">
        <f t="shared" si="231"/>
        <v>0</v>
      </c>
      <c r="Q178" s="57">
        <f>' WIP '!V178</f>
        <v>1200</v>
      </c>
      <c r="R178" s="58">
        <v>1200</v>
      </c>
      <c r="S178" s="59">
        <f t="shared" si="232"/>
        <v>0</v>
      </c>
      <c r="T178" s="57">
        <f>' WIP '!Z178</f>
        <v>1800</v>
      </c>
      <c r="U178" s="58">
        <v>1800</v>
      </c>
      <c r="V178" s="59">
        <f t="shared" si="233"/>
        <v>0</v>
      </c>
      <c r="W178" s="57">
        <f>' WIP '!AD178</f>
        <v>0</v>
      </c>
      <c r="X178" s="58">
        <v>0</v>
      </c>
      <c r="Y178" s="59">
        <f t="shared" si="234"/>
        <v>0</v>
      </c>
      <c r="Z178" s="57">
        <f>' WIP '!AH178</f>
        <v>0</v>
      </c>
      <c r="AA178" s="58">
        <v>0</v>
      </c>
      <c r="AB178" s="59">
        <f t="shared" si="235"/>
        <v>0</v>
      </c>
      <c r="AC178" s="57">
        <f>' WIP '!AL178</f>
        <v>0</v>
      </c>
      <c r="AD178" s="58">
        <v>0</v>
      </c>
      <c r="AE178" s="59">
        <f t="shared" si="236"/>
        <v>0</v>
      </c>
      <c r="AF178" s="57">
        <f>' WIP '!AP178</f>
        <v>0</v>
      </c>
      <c r="AG178" s="114">
        <v>0</v>
      </c>
      <c r="AH178" s="59">
        <f t="shared" si="237"/>
        <v>0</v>
      </c>
      <c r="AI178" s="57">
        <f>' WIP '!AT178</f>
        <v>0</v>
      </c>
      <c r="AJ178" s="58">
        <v>0</v>
      </c>
      <c r="AK178" s="59">
        <f t="shared" si="238"/>
        <v>0</v>
      </c>
      <c r="AL178" s="57">
        <f>' WIP '!AX178</f>
        <v>0</v>
      </c>
      <c r="AM178" s="58"/>
      <c r="AN178" s="59">
        <f t="shared" si="239"/>
        <v>0</v>
      </c>
      <c r="AO178" s="57">
        <f>' WIP '!BB178</f>
        <v>1200</v>
      </c>
      <c r="AP178" s="58">
        <v>1200</v>
      </c>
      <c r="AQ178" s="59">
        <f t="shared" si="240"/>
        <v>0</v>
      </c>
      <c r="AR178" s="57">
        <f>' WIP '!BF178</f>
        <v>5600</v>
      </c>
      <c r="AS178" s="58">
        <v>5600</v>
      </c>
      <c r="AT178" s="59">
        <f t="shared" si="241"/>
        <v>0</v>
      </c>
      <c r="AU178" s="57">
        <f>' WIP '!BJ178</f>
        <v>4800</v>
      </c>
      <c r="AV178" s="58">
        <v>4800</v>
      </c>
      <c r="AW178" s="59">
        <f t="shared" si="242"/>
        <v>0</v>
      </c>
      <c r="AX178" s="57">
        <f>' WIP '!BN178</f>
        <v>2400</v>
      </c>
      <c r="AY178" s="58">
        <v>2400</v>
      </c>
      <c r="AZ178" s="59">
        <f t="shared" si="243"/>
        <v>0</v>
      </c>
      <c r="BA178" s="57">
        <f>' WIP '!BR178</f>
        <v>7000</v>
      </c>
      <c r="BB178" s="58">
        <v>7000</v>
      </c>
      <c r="BC178" s="59">
        <f t="shared" si="244"/>
        <v>0</v>
      </c>
      <c r="BD178" s="57">
        <f>' WIP '!BV178</f>
        <v>6000</v>
      </c>
      <c r="BE178" s="58">
        <v>6000</v>
      </c>
      <c r="BF178" s="59">
        <f t="shared" si="245"/>
        <v>0</v>
      </c>
      <c r="BG178" s="57">
        <f>' WIP '!BZ178</f>
        <v>0</v>
      </c>
      <c r="BH178" s="58"/>
      <c r="BI178" s="59">
        <f t="shared" si="246"/>
        <v>0</v>
      </c>
      <c r="BJ178" s="57">
        <f>' WIP '!CD178</f>
        <v>4800</v>
      </c>
      <c r="BK178" s="58">
        <v>4800</v>
      </c>
      <c r="BL178" s="59">
        <f t="shared" si="247"/>
        <v>0</v>
      </c>
      <c r="BM178" s="57">
        <f>' WIP '!CH178</f>
        <v>3200</v>
      </c>
      <c r="BN178" s="58">
        <v>3200</v>
      </c>
      <c r="BO178" s="59">
        <f t="shared" si="248"/>
        <v>0</v>
      </c>
      <c r="BP178" s="57">
        <f>' WIP '!CL178</f>
        <v>10000</v>
      </c>
      <c r="BQ178" s="58">
        <v>10000</v>
      </c>
      <c r="BR178" s="59">
        <f t="shared" si="249"/>
        <v>0</v>
      </c>
      <c r="BS178" s="57">
        <f>' WIP '!CP178</f>
        <v>6800</v>
      </c>
      <c r="BT178" s="58">
        <v>6800</v>
      </c>
      <c r="BU178" s="59">
        <f t="shared" si="250"/>
        <v>0</v>
      </c>
      <c r="BV178" s="57">
        <f>' WIP '!CT178</f>
        <v>4800</v>
      </c>
      <c r="BW178" s="28">
        <v>4800</v>
      </c>
      <c r="BX178" s="59">
        <f t="shared" si="251"/>
        <v>0</v>
      </c>
      <c r="BY178" s="57">
        <f>' WIP '!CX178</f>
        <v>800</v>
      </c>
      <c r="BZ178" s="58">
        <v>800</v>
      </c>
      <c r="CA178" s="59">
        <f t="shared" si="252"/>
        <v>0</v>
      </c>
      <c r="CB178" s="57">
        <f>' WIP '!DB178</f>
        <v>0</v>
      </c>
      <c r="CC178" s="58">
        <v>0</v>
      </c>
      <c r="CD178" s="59">
        <f t="shared" si="253"/>
        <v>0</v>
      </c>
      <c r="CE178" s="57">
        <f>' WIP '!DF178</f>
        <v>0</v>
      </c>
      <c r="CF178" s="58">
        <v>0</v>
      </c>
      <c r="CG178" s="59">
        <f t="shared" si="254"/>
        <v>0</v>
      </c>
      <c r="CH178" s="57">
        <f>' WIP '!DJ178</f>
        <v>0</v>
      </c>
      <c r="CI178" s="58">
        <v>0</v>
      </c>
      <c r="CJ178" s="59">
        <f t="shared" si="255"/>
        <v>0</v>
      </c>
      <c r="CK178" s="57">
        <f>' WIP '!DN178</f>
        <v>0</v>
      </c>
      <c r="CL178" s="58">
        <v>0</v>
      </c>
      <c r="CM178" s="59">
        <f t="shared" si="256"/>
        <v>0</v>
      </c>
      <c r="CN178" s="57">
        <f>' WIP '!DR178</f>
        <v>0</v>
      </c>
      <c r="CO178" s="57"/>
      <c r="CP178" s="59">
        <f t="shared" si="257"/>
        <v>0</v>
      </c>
      <c r="CQ178" s="57">
        <f>' WIP '!DV178</f>
        <v>0</v>
      </c>
      <c r="CR178" s="58"/>
      <c r="CS178" s="59">
        <f t="shared" si="258"/>
        <v>0</v>
      </c>
      <c r="CT178" s="31">
        <f t="shared" si="226"/>
        <v>64600</v>
      </c>
      <c r="CU178" s="4">
        <f t="shared" si="227"/>
        <v>64600</v>
      </c>
      <c r="CV178" s="5">
        <f>D178*'MASTER SHEET'!D178</f>
        <v>0</v>
      </c>
      <c r="CW178" s="5">
        <f>G178*'MASTER SHEET'!D178</f>
        <v>0</v>
      </c>
      <c r="CX178" s="5">
        <f>J178*'MASTER SHEET'!D178</f>
        <v>0</v>
      </c>
      <c r="CY178" s="5">
        <f>M178*'MASTER SHEET'!D178</f>
        <v>0</v>
      </c>
      <c r="CZ178" s="5">
        <f>P178*'MASTER SHEET'!D178</f>
        <v>0</v>
      </c>
      <c r="DA178" s="5">
        <f>S178*'MASTER SHEET'!D178</f>
        <v>0</v>
      </c>
      <c r="DB178" s="5">
        <f>V178*'MASTER SHEET'!D178</f>
        <v>0</v>
      </c>
      <c r="DC178" s="5">
        <f>Y178*'MASTER SHEET'!D178</f>
        <v>0</v>
      </c>
      <c r="DD178" s="5">
        <f>AB178*'MASTER SHEET'!D178</f>
        <v>0</v>
      </c>
      <c r="DE178" s="5">
        <f>AE178*'MASTER SHEET'!D178</f>
        <v>0</v>
      </c>
      <c r="DF178" s="5">
        <f>AH178*'MASTER SHEET'!D178</f>
        <v>0</v>
      </c>
      <c r="DG178" s="5">
        <f>AK178*'MASTER SHEET'!D178</f>
        <v>0</v>
      </c>
      <c r="DH178" s="5">
        <f>AN178*'MASTER SHEET'!D178</f>
        <v>0</v>
      </c>
      <c r="DI178" s="5">
        <f>AQ178*'MASTER SHEET'!D178</f>
        <v>0</v>
      </c>
      <c r="DJ178" s="5">
        <f>AT178*'MASTER SHEET'!D178</f>
        <v>0</v>
      </c>
      <c r="DK178" s="5">
        <f>AW178*'MASTER SHEET'!D178</f>
        <v>0</v>
      </c>
      <c r="DL178" s="5">
        <f>AZ178*'MASTER SHEET'!D178</f>
        <v>0</v>
      </c>
      <c r="DM178" s="5">
        <f>BC178*'MASTER SHEET'!D178</f>
        <v>0</v>
      </c>
      <c r="DN178" s="5">
        <f>BF178*'MASTER SHEET'!D178</f>
        <v>0</v>
      </c>
      <c r="DO178" s="5">
        <f>BI178*'MASTER SHEET'!D178</f>
        <v>0</v>
      </c>
      <c r="DP178" s="5">
        <f>BL178*'MASTER SHEET'!D178</f>
        <v>0</v>
      </c>
      <c r="DQ178" s="5">
        <f>BO178*'MASTER SHEET'!D178</f>
        <v>0</v>
      </c>
      <c r="DR178" s="5">
        <f>BR178*'MASTER SHEET'!D178</f>
        <v>0</v>
      </c>
      <c r="DS178" s="5">
        <f>BU178*'MASTER SHEET'!D178</f>
        <v>0</v>
      </c>
      <c r="DT178" s="5">
        <f>BX178*'MASTER SHEET'!D178</f>
        <v>0</v>
      </c>
      <c r="DU178" s="5">
        <f>CA178*'MASTER SHEET'!D178</f>
        <v>0</v>
      </c>
      <c r="DV178" s="5">
        <f>CD178*'MASTER SHEET'!D178</f>
        <v>0</v>
      </c>
      <c r="DW178" s="5">
        <f>CG178*'MASTER SHEET'!D178</f>
        <v>0</v>
      </c>
      <c r="DX178" s="5">
        <f>CJ178*'MASTER SHEET'!D178</f>
        <v>0</v>
      </c>
      <c r="DY178" s="5">
        <f>CM178*'MASTER SHEET'!D178</f>
        <v>0</v>
      </c>
      <c r="DZ178" s="5">
        <f>CP178*'MASTER SHEET'!D178</f>
        <v>0</v>
      </c>
      <c r="EA178" s="5">
        <f>CS178*'MASTER SHEET'!D178</f>
        <v>0</v>
      </c>
      <c r="EB178" s="9"/>
    </row>
    <row r="179" spans="1:132" ht="15.75" x14ac:dyDescent="0.25">
      <c r="A179" s="25">
        <f>'MASTER SHEET'!A179</f>
        <v>177</v>
      </c>
      <c r="B179" s="164" t="str">
        <f>'MASTER SHEET'!B179</f>
        <v>X451 RR BAZEL ACTIVE</v>
      </c>
      <c r="C179" s="165" t="str">
        <f>'MASTER SHEET'!C179</f>
        <v>GA00002914</v>
      </c>
      <c r="D179" s="56"/>
      <c r="E179" s="57">
        <f>' WIP '!F179</f>
        <v>1200</v>
      </c>
      <c r="F179" s="58">
        <v>1200</v>
      </c>
      <c r="G179" s="59">
        <f t="shared" si="228"/>
        <v>0</v>
      </c>
      <c r="H179" s="57">
        <f>' WIP '!J179</f>
        <v>3000</v>
      </c>
      <c r="I179" s="58">
        <v>3000</v>
      </c>
      <c r="J179" s="59">
        <f t="shared" si="229"/>
        <v>0</v>
      </c>
      <c r="K179" s="57">
        <f>' WIP '!N179</f>
        <v>0</v>
      </c>
      <c r="L179" s="58"/>
      <c r="M179" s="59">
        <f t="shared" si="230"/>
        <v>0</v>
      </c>
      <c r="N179" s="57">
        <f>' WIP '!R179</f>
        <v>0</v>
      </c>
      <c r="O179" s="58">
        <v>0</v>
      </c>
      <c r="P179" s="59">
        <f t="shared" si="231"/>
        <v>0</v>
      </c>
      <c r="Q179" s="57">
        <f>' WIP '!V179</f>
        <v>1200</v>
      </c>
      <c r="R179" s="58">
        <v>1200</v>
      </c>
      <c r="S179" s="59">
        <f t="shared" si="232"/>
        <v>0</v>
      </c>
      <c r="T179" s="57">
        <f>' WIP '!Z179</f>
        <v>2400</v>
      </c>
      <c r="U179" s="58">
        <v>2400</v>
      </c>
      <c r="V179" s="59">
        <f t="shared" si="233"/>
        <v>0</v>
      </c>
      <c r="W179" s="57">
        <f>' WIP '!AD179</f>
        <v>0</v>
      </c>
      <c r="X179" s="58">
        <v>0</v>
      </c>
      <c r="Y179" s="59">
        <f t="shared" si="234"/>
        <v>0</v>
      </c>
      <c r="Z179" s="57">
        <f>' WIP '!AH179</f>
        <v>0</v>
      </c>
      <c r="AA179" s="58">
        <v>0</v>
      </c>
      <c r="AB179" s="59">
        <f t="shared" si="235"/>
        <v>0</v>
      </c>
      <c r="AC179" s="57">
        <f>' WIP '!AL179</f>
        <v>0</v>
      </c>
      <c r="AD179" s="58">
        <v>0</v>
      </c>
      <c r="AE179" s="59">
        <f t="shared" si="236"/>
        <v>0</v>
      </c>
      <c r="AF179" s="57">
        <f>' WIP '!AP179</f>
        <v>0</v>
      </c>
      <c r="AG179" s="114">
        <v>0</v>
      </c>
      <c r="AH179" s="59">
        <f t="shared" si="237"/>
        <v>0</v>
      </c>
      <c r="AI179" s="57">
        <f>' WIP '!AT179</f>
        <v>0</v>
      </c>
      <c r="AJ179" s="58">
        <v>0</v>
      </c>
      <c r="AK179" s="59">
        <f t="shared" si="238"/>
        <v>0</v>
      </c>
      <c r="AL179" s="57">
        <f>' WIP '!AX179</f>
        <v>0</v>
      </c>
      <c r="AM179" s="58"/>
      <c r="AN179" s="59">
        <f t="shared" si="239"/>
        <v>0</v>
      </c>
      <c r="AO179" s="57">
        <f>' WIP '!BB179</f>
        <v>1200</v>
      </c>
      <c r="AP179" s="58">
        <v>1200</v>
      </c>
      <c r="AQ179" s="59">
        <f t="shared" si="240"/>
        <v>0</v>
      </c>
      <c r="AR179" s="57">
        <f>' WIP '!BF179</f>
        <v>5600</v>
      </c>
      <c r="AS179" s="58">
        <v>5600</v>
      </c>
      <c r="AT179" s="59">
        <f t="shared" si="241"/>
        <v>0</v>
      </c>
      <c r="AU179" s="57">
        <f>' WIP '!BJ179</f>
        <v>4800</v>
      </c>
      <c r="AV179" s="58">
        <v>4800</v>
      </c>
      <c r="AW179" s="59">
        <f t="shared" si="242"/>
        <v>0</v>
      </c>
      <c r="AX179" s="57">
        <f>' WIP '!BN179</f>
        <v>2400</v>
      </c>
      <c r="AY179" s="58">
        <v>2400</v>
      </c>
      <c r="AZ179" s="59">
        <f t="shared" si="243"/>
        <v>0</v>
      </c>
      <c r="BA179" s="57">
        <f>' WIP '!BR179</f>
        <v>6400</v>
      </c>
      <c r="BB179" s="58">
        <v>6400</v>
      </c>
      <c r="BC179" s="59">
        <f t="shared" si="244"/>
        <v>0</v>
      </c>
      <c r="BD179" s="57">
        <f>' WIP '!BV179</f>
        <v>6000</v>
      </c>
      <c r="BE179" s="58">
        <v>6000</v>
      </c>
      <c r="BF179" s="59">
        <f t="shared" si="245"/>
        <v>0</v>
      </c>
      <c r="BG179" s="57">
        <f>' WIP '!BZ179</f>
        <v>0</v>
      </c>
      <c r="BH179" s="58"/>
      <c r="BI179" s="59">
        <f t="shared" si="246"/>
        <v>0</v>
      </c>
      <c r="BJ179" s="57">
        <f>' WIP '!CD179</f>
        <v>4800</v>
      </c>
      <c r="BK179" s="58">
        <v>4800</v>
      </c>
      <c r="BL179" s="59">
        <f t="shared" si="247"/>
        <v>0</v>
      </c>
      <c r="BM179" s="57">
        <f>' WIP '!CH179</f>
        <v>3200</v>
      </c>
      <c r="BN179" s="58">
        <v>3200</v>
      </c>
      <c r="BO179" s="59">
        <f t="shared" si="248"/>
        <v>0</v>
      </c>
      <c r="BP179" s="57">
        <f>' WIP '!CL179</f>
        <v>10000</v>
      </c>
      <c r="BQ179" s="58">
        <v>10000</v>
      </c>
      <c r="BR179" s="59">
        <f t="shared" si="249"/>
        <v>0</v>
      </c>
      <c r="BS179" s="57">
        <f>' WIP '!CP179</f>
        <v>6800</v>
      </c>
      <c r="BT179" s="58">
        <v>6800</v>
      </c>
      <c r="BU179" s="59">
        <f t="shared" si="250"/>
        <v>0</v>
      </c>
      <c r="BV179" s="57">
        <f>' WIP '!CT179</f>
        <v>4800</v>
      </c>
      <c r="BW179" s="28">
        <v>4800</v>
      </c>
      <c r="BX179" s="59">
        <f t="shared" si="251"/>
        <v>0</v>
      </c>
      <c r="BY179" s="57">
        <f>' WIP '!CX179</f>
        <v>800</v>
      </c>
      <c r="BZ179" s="58">
        <v>800</v>
      </c>
      <c r="CA179" s="59">
        <f t="shared" si="252"/>
        <v>0</v>
      </c>
      <c r="CB179" s="57">
        <f>' WIP '!DB179</f>
        <v>0</v>
      </c>
      <c r="CC179" s="58">
        <v>0</v>
      </c>
      <c r="CD179" s="59">
        <f t="shared" si="253"/>
        <v>0</v>
      </c>
      <c r="CE179" s="57">
        <f>' WIP '!DF179</f>
        <v>0</v>
      </c>
      <c r="CF179" s="58">
        <v>0</v>
      </c>
      <c r="CG179" s="59">
        <f t="shared" si="254"/>
        <v>0</v>
      </c>
      <c r="CH179" s="57">
        <f>' WIP '!DJ179</f>
        <v>0</v>
      </c>
      <c r="CI179" s="58">
        <v>0</v>
      </c>
      <c r="CJ179" s="59">
        <f t="shared" si="255"/>
        <v>0</v>
      </c>
      <c r="CK179" s="57">
        <f>' WIP '!DN179</f>
        <v>0</v>
      </c>
      <c r="CL179" s="58">
        <v>0</v>
      </c>
      <c r="CM179" s="59">
        <f t="shared" si="256"/>
        <v>0</v>
      </c>
      <c r="CN179" s="57">
        <f>' WIP '!DR179</f>
        <v>0</v>
      </c>
      <c r="CO179" s="57"/>
      <c r="CP179" s="59">
        <f t="shared" si="257"/>
        <v>0</v>
      </c>
      <c r="CQ179" s="57">
        <f>' WIP '!DV179</f>
        <v>0</v>
      </c>
      <c r="CR179" s="58"/>
      <c r="CS179" s="59">
        <f t="shared" si="258"/>
        <v>0</v>
      </c>
      <c r="CT179" s="31">
        <f t="shared" si="226"/>
        <v>64600</v>
      </c>
      <c r="CU179" s="4">
        <f t="shared" si="227"/>
        <v>64600</v>
      </c>
      <c r="CV179" s="5">
        <f>D179*'MASTER SHEET'!D179</f>
        <v>0</v>
      </c>
      <c r="CW179" s="5">
        <f>G179*'MASTER SHEET'!D179</f>
        <v>0</v>
      </c>
      <c r="CX179" s="5">
        <f>J179*'MASTER SHEET'!D179</f>
        <v>0</v>
      </c>
      <c r="CY179" s="5">
        <f>M179*'MASTER SHEET'!D179</f>
        <v>0</v>
      </c>
      <c r="CZ179" s="5">
        <f>P179*'MASTER SHEET'!D179</f>
        <v>0</v>
      </c>
      <c r="DA179" s="5">
        <f>S179*'MASTER SHEET'!D179</f>
        <v>0</v>
      </c>
      <c r="DB179" s="5">
        <f>V179*'MASTER SHEET'!D179</f>
        <v>0</v>
      </c>
      <c r="DC179" s="5">
        <f>Y179*'MASTER SHEET'!D179</f>
        <v>0</v>
      </c>
      <c r="DD179" s="5">
        <f>AB179*'MASTER SHEET'!D179</f>
        <v>0</v>
      </c>
      <c r="DE179" s="5">
        <f>AE179*'MASTER SHEET'!D179</f>
        <v>0</v>
      </c>
      <c r="DF179" s="5">
        <f>AH179*'MASTER SHEET'!D179</f>
        <v>0</v>
      </c>
      <c r="DG179" s="5">
        <f>AK179*'MASTER SHEET'!D179</f>
        <v>0</v>
      </c>
      <c r="DH179" s="5">
        <f>AN179*'MASTER SHEET'!D179</f>
        <v>0</v>
      </c>
      <c r="DI179" s="5">
        <f>AQ179*'MASTER SHEET'!D179</f>
        <v>0</v>
      </c>
      <c r="DJ179" s="5">
        <f>AT179*'MASTER SHEET'!D179</f>
        <v>0</v>
      </c>
      <c r="DK179" s="5">
        <f>AW179*'MASTER SHEET'!D179</f>
        <v>0</v>
      </c>
      <c r="DL179" s="5">
        <f>AZ179*'MASTER SHEET'!D179</f>
        <v>0</v>
      </c>
      <c r="DM179" s="5">
        <f>BC179*'MASTER SHEET'!D179</f>
        <v>0</v>
      </c>
      <c r="DN179" s="5">
        <f>BF179*'MASTER SHEET'!D179</f>
        <v>0</v>
      </c>
      <c r="DO179" s="5">
        <f>BI179*'MASTER SHEET'!D179</f>
        <v>0</v>
      </c>
      <c r="DP179" s="5">
        <f>BL179*'MASTER SHEET'!D179</f>
        <v>0</v>
      </c>
      <c r="DQ179" s="5">
        <f>BO179*'MASTER SHEET'!D179</f>
        <v>0</v>
      </c>
      <c r="DR179" s="5">
        <f>BR179*'MASTER SHEET'!D179</f>
        <v>0</v>
      </c>
      <c r="DS179" s="5">
        <f>BU179*'MASTER SHEET'!D179</f>
        <v>0</v>
      </c>
      <c r="DT179" s="5">
        <f>BX179*'MASTER SHEET'!D179</f>
        <v>0</v>
      </c>
      <c r="DU179" s="5">
        <f>CA179*'MASTER SHEET'!D179</f>
        <v>0</v>
      </c>
      <c r="DV179" s="5">
        <f>CD179*'MASTER SHEET'!D179</f>
        <v>0</v>
      </c>
      <c r="DW179" s="5">
        <f>CG179*'MASTER SHEET'!D179</f>
        <v>0</v>
      </c>
      <c r="DX179" s="5">
        <f>CJ179*'MASTER SHEET'!D179</f>
        <v>0</v>
      </c>
      <c r="DY179" s="5">
        <f>CM179*'MASTER SHEET'!D179</f>
        <v>0</v>
      </c>
      <c r="DZ179" s="5">
        <f>CP179*'MASTER SHEET'!D179</f>
        <v>0</v>
      </c>
      <c r="EA179" s="5">
        <f>CS179*'MASTER SHEET'!D179</f>
        <v>0</v>
      </c>
      <c r="EB179" s="9"/>
    </row>
    <row r="180" spans="1:132" ht="15.75" x14ac:dyDescent="0.25">
      <c r="A180" s="25">
        <f>'MASTER SHEET'!A180</f>
        <v>178</v>
      </c>
      <c r="B180" s="164" t="str">
        <f>'MASTER SHEET'!B180</f>
        <v>W601 ODH SUPPORT PLANK</v>
      </c>
      <c r="C180" s="165" t="str">
        <f>'MASTER SHEET'!C180</f>
        <v>BC00004915</v>
      </c>
      <c r="D180" s="56">
        <v>0</v>
      </c>
      <c r="E180" s="57">
        <f>' WIP '!F180</f>
        <v>0</v>
      </c>
      <c r="F180" s="58">
        <v>0</v>
      </c>
      <c r="G180" s="59">
        <f t="shared" si="228"/>
        <v>0</v>
      </c>
      <c r="H180" s="57">
        <f>' WIP '!J180</f>
        <v>0</v>
      </c>
      <c r="I180" s="58">
        <v>0</v>
      </c>
      <c r="J180" s="59">
        <f t="shared" si="229"/>
        <v>0</v>
      </c>
      <c r="K180" s="57">
        <f>' WIP '!N180</f>
        <v>0</v>
      </c>
      <c r="L180" s="58"/>
      <c r="M180" s="59">
        <f t="shared" si="230"/>
        <v>0</v>
      </c>
      <c r="N180" s="57">
        <f>' WIP '!R180</f>
        <v>12500</v>
      </c>
      <c r="O180" s="58">
        <v>12500</v>
      </c>
      <c r="P180" s="59">
        <f t="shared" si="231"/>
        <v>0</v>
      </c>
      <c r="Q180" s="57">
        <f>' WIP '!V180</f>
        <v>0</v>
      </c>
      <c r="R180" s="58">
        <v>0</v>
      </c>
      <c r="S180" s="59">
        <f t="shared" si="232"/>
        <v>0</v>
      </c>
      <c r="T180" s="57">
        <f>' WIP '!Z180</f>
        <v>2000</v>
      </c>
      <c r="U180" s="58">
        <v>2000</v>
      </c>
      <c r="V180" s="59">
        <f t="shared" si="233"/>
        <v>0</v>
      </c>
      <c r="W180" s="57">
        <f>' WIP '!AD180</f>
        <v>0</v>
      </c>
      <c r="X180" s="58">
        <v>0</v>
      </c>
      <c r="Y180" s="59">
        <f t="shared" si="234"/>
        <v>0</v>
      </c>
      <c r="Z180" s="57">
        <f>' WIP '!AH180</f>
        <v>8000</v>
      </c>
      <c r="AA180" s="58">
        <v>8000</v>
      </c>
      <c r="AB180" s="59">
        <f t="shared" si="235"/>
        <v>0</v>
      </c>
      <c r="AC180" s="57">
        <f>' WIP '!AL180</f>
        <v>6500</v>
      </c>
      <c r="AD180" s="58">
        <v>6500</v>
      </c>
      <c r="AE180" s="59">
        <f t="shared" si="236"/>
        <v>0</v>
      </c>
      <c r="AF180" s="57">
        <f>' WIP '!AP180</f>
        <v>5000</v>
      </c>
      <c r="AG180" s="114">
        <v>5000</v>
      </c>
      <c r="AH180" s="59">
        <f t="shared" si="237"/>
        <v>0</v>
      </c>
      <c r="AI180" s="57">
        <f>' WIP '!AT180</f>
        <v>4000</v>
      </c>
      <c r="AJ180" s="58">
        <v>4000</v>
      </c>
      <c r="AK180" s="59">
        <f t="shared" si="238"/>
        <v>0</v>
      </c>
      <c r="AL180" s="57">
        <f>' WIP '!AX180</f>
        <v>0</v>
      </c>
      <c r="AM180" s="58"/>
      <c r="AN180" s="59">
        <f t="shared" si="239"/>
        <v>0</v>
      </c>
      <c r="AO180" s="57">
        <f>' WIP '!BB180</f>
        <v>9500</v>
      </c>
      <c r="AP180" s="58">
        <v>9500</v>
      </c>
      <c r="AQ180" s="59">
        <f t="shared" si="240"/>
        <v>0</v>
      </c>
      <c r="AR180" s="57">
        <f>' WIP '!BF180</f>
        <v>12000</v>
      </c>
      <c r="AS180" s="58">
        <v>12000</v>
      </c>
      <c r="AT180" s="59">
        <f t="shared" si="241"/>
        <v>0</v>
      </c>
      <c r="AU180" s="57">
        <f>' WIP '!BJ180</f>
        <v>0</v>
      </c>
      <c r="AV180" s="58">
        <v>0</v>
      </c>
      <c r="AW180" s="59">
        <f t="shared" si="242"/>
        <v>0</v>
      </c>
      <c r="AX180" s="57">
        <f>' WIP '!BN180</f>
        <v>0</v>
      </c>
      <c r="AY180" s="58">
        <v>0</v>
      </c>
      <c r="AZ180" s="59">
        <f t="shared" si="243"/>
        <v>0</v>
      </c>
      <c r="BA180" s="57">
        <f>' WIP '!BR180</f>
        <v>0</v>
      </c>
      <c r="BB180" s="58">
        <v>0</v>
      </c>
      <c r="BC180" s="59">
        <f t="shared" si="244"/>
        <v>0</v>
      </c>
      <c r="BD180" s="57">
        <f>' WIP '!BV180</f>
        <v>9500</v>
      </c>
      <c r="BE180" s="58">
        <v>9500</v>
      </c>
      <c r="BF180" s="59">
        <f t="shared" si="245"/>
        <v>0</v>
      </c>
      <c r="BG180" s="57">
        <f>' WIP '!BZ180</f>
        <v>0</v>
      </c>
      <c r="BH180" s="58"/>
      <c r="BI180" s="59">
        <f t="shared" si="246"/>
        <v>0</v>
      </c>
      <c r="BJ180" s="57">
        <f>' WIP '!CD180</f>
        <v>5000</v>
      </c>
      <c r="BK180" s="58">
        <v>5000</v>
      </c>
      <c r="BL180" s="59">
        <f t="shared" si="247"/>
        <v>0</v>
      </c>
      <c r="BM180" s="57">
        <f>' WIP '!CH180</f>
        <v>0</v>
      </c>
      <c r="BN180" s="58">
        <v>0</v>
      </c>
      <c r="BO180" s="59">
        <f t="shared" si="248"/>
        <v>0</v>
      </c>
      <c r="BP180" s="57">
        <f>' WIP '!CL180</f>
        <v>5000</v>
      </c>
      <c r="BQ180" s="58">
        <v>5000</v>
      </c>
      <c r="BR180" s="59">
        <f t="shared" si="249"/>
        <v>0</v>
      </c>
      <c r="BS180" s="57">
        <f>' WIP '!CP180</f>
        <v>0</v>
      </c>
      <c r="BT180" s="58">
        <v>0</v>
      </c>
      <c r="BU180" s="59">
        <f t="shared" si="250"/>
        <v>0</v>
      </c>
      <c r="BV180" s="57">
        <f>' WIP '!CT180</f>
        <v>0</v>
      </c>
      <c r="BW180" s="28">
        <v>0</v>
      </c>
      <c r="BX180" s="59">
        <f t="shared" si="251"/>
        <v>0</v>
      </c>
      <c r="BY180" s="57">
        <f>' WIP '!CX180</f>
        <v>12500</v>
      </c>
      <c r="BZ180" s="58">
        <v>12500</v>
      </c>
      <c r="CA180" s="59">
        <f t="shared" si="252"/>
        <v>0</v>
      </c>
      <c r="CB180" s="57">
        <f>' WIP '!DB180</f>
        <v>0</v>
      </c>
      <c r="CC180" s="58">
        <v>0</v>
      </c>
      <c r="CD180" s="59">
        <f t="shared" si="253"/>
        <v>0</v>
      </c>
      <c r="CE180" s="57">
        <f>' WIP '!DF180</f>
        <v>21000</v>
      </c>
      <c r="CF180" s="58">
        <v>21000</v>
      </c>
      <c r="CG180" s="59">
        <f t="shared" si="254"/>
        <v>0</v>
      </c>
      <c r="CH180" s="57">
        <f>' WIP '!DJ180</f>
        <v>0</v>
      </c>
      <c r="CI180" s="58">
        <v>0</v>
      </c>
      <c r="CJ180" s="59">
        <f t="shared" si="255"/>
        <v>0</v>
      </c>
      <c r="CK180" s="57">
        <f>' WIP '!DN180</f>
        <v>3000</v>
      </c>
      <c r="CL180" s="58">
        <v>3000</v>
      </c>
      <c r="CM180" s="59">
        <f t="shared" si="256"/>
        <v>0</v>
      </c>
      <c r="CN180" s="57">
        <f>' WIP '!DR180</f>
        <v>0</v>
      </c>
      <c r="CO180" s="57"/>
      <c r="CP180" s="59">
        <f t="shared" si="257"/>
        <v>0</v>
      </c>
      <c r="CQ180" s="57">
        <f>' WIP '!DV180</f>
        <v>0</v>
      </c>
      <c r="CR180" s="58"/>
      <c r="CS180" s="59">
        <f t="shared" si="258"/>
        <v>0</v>
      </c>
      <c r="CT180" s="31">
        <f t="shared" si="226"/>
        <v>115500</v>
      </c>
      <c r="CU180" s="4">
        <f t="shared" si="227"/>
        <v>115500</v>
      </c>
      <c r="CV180" s="5">
        <f>D180*'MASTER SHEET'!D180</f>
        <v>0</v>
      </c>
      <c r="CW180" s="5">
        <f>G180*'MASTER SHEET'!D180</f>
        <v>0</v>
      </c>
      <c r="CX180" s="5">
        <f>J180*'MASTER SHEET'!D180</f>
        <v>0</v>
      </c>
      <c r="CY180" s="5">
        <f>M180*'MASTER SHEET'!D180</f>
        <v>0</v>
      </c>
      <c r="CZ180" s="5">
        <f>P180*'MASTER SHEET'!D180</f>
        <v>0</v>
      </c>
      <c r="DA180" s="5">
        <f>S180*'MASTER SHEET'!D180</f>
        <v>0</v>
      </c>
      <c r="DB180" s="5">
        <f>V180*'MASTER SHEET'!D180</f>
        <v>0</v>
      </c>
      <c r="DC180" s="5">
        <f>Y180*'MASTER SHEET'!D180</f>
        <v>0</v>
      </c>
      <c r="DD180" s="5">
        <f>AB180*'MASTER SHEET'!D180</f>
        <v>0</v>
      </c>
      <c r="DE180" s="5">
        <f>AE180*'MASTER SHEET'!D180</f>
        <v>0</v>
      </c>
      <c r="DF180" s="5">
        <f>AH180*'MASTER SHEET'!D180</f>
        <v>0</v>
      </c>
      <c r="DG180" s="5">
        <f>AK180*'MASTER SHEET'!D180</f>
        <v>0</v>
      </c>
      <c r="DH180" s="5">
        <f>AN180*'MASTER SHEET'!D180</f>
        <v>0</v>
      </c>
      <c r="DI180" s="5">
        <f>AQ180*'MASTER SHEET'!D180</f>
        <v>0</v>
      </c>
      <c r="DJ180" s="5">
        <f>AT180*'MASTER SHEET'!D180</f>
        <v>0</v>
      </c>
      <c r="DK180" s="5">
        <f>AW180*'MASTER SHEET'!D180</f>
        <v>0</v>
      </c>
      <c r="DL180" s="5">
        <f>AZ180*'MASTER SHEET'!D180</f>
        <v>0</v>
      </c>
      <c r="DM180" s="5">
        <f>BC180*'MASTER SHEET'!D180</f>
        <v>0</v>
      </c>
      <c r="DN180" s="5">
        <f>BF180*'MASTER SHEET'!D180</f>
        <v>0</v>
      </c>
      <c r="DO180" s="5">
        <f>BI180*'MASTER SHEET'!D180</f>
        <v>0</v>
      </c>
      <c r="DP180" s="5">
        <f>BL180*'MASTER SHEET'!D180</f>
        <v>0</v>
      </c>
      <c r="DQ180" s="5">
        <f>BO180*'MASTER SHEET'!D180</f>
        <v>0</v>
      </c>
      <c r="DR180" s="5">
        <f>BR180*'MASTER SHEET'!D180</f>
        <v>0</v>
      </c>
      <c r="DS180" s="5">
        <f>BU180*'MASTER SHEET'!D180</f>
        <v>0</v>
      </c>
      <c r="DT180" s="5">
        <f>BX180*'MASTER SHEET'!D180</f>
        <v>0</v>
      </c>
      <c r="DU180" s="5">
        <f>CA180*'MASTER SHEET'!D180</f>
        <v>0</v>
      </c>
      <c r="DV180" s="5">
        <f>CD180*'MASTER SHEET'!D180</f>
        <v>0</v>
      </c>
      <c r="DW180" s="5">
        <f>CG180*'MASTER SHEET'!D180</f>
        <v>0</v>
      </c>
      <c r="DX180" s="5">
        <f>CJ180*'MASTER SHEET'!D180</f>
        <v>0</v>
      </c>
      <c r="DY180" s="5">
        <f>CM180*'MASTER SHEET'!D180</f>
        <v>0</v>
      </c>
      <c r="DZ180" s="5">
        <f>CP180*'MASTER SHEET'!D180</f>
        <v>0</v>
      </c>
      <c r="EA180" s="5">
        <f>CS180*'MASTER SHEET'!D180</f>
        <v>0</v>
      </c>
      <c r="EB180" s="9"/>
    </row>
    <row r="181" spans="1:132" ht="15.75" x14ac:dyDescent="0.25">
      <c r="A181" s="25">
        <f>'MASTER SHEET'!A181</f>
        <v>179</v>
      </c>
      <c r="B181" s="164" t="str">
        <f>'MASTER SHEET'!B181</f>
        <v>TIAGO MCE IDH HOUSING LH</v>
      </c>
      <c r="C181" s="165" t="str">
        <f>'MASTER SHEET'!C181</f>
        <v>CB00004717</v>
      </c>
      <c r="D181" s="56">
        <v>3000</v>
      </c>
      <c r="E181" s="57">
        <f>' WIP '!F181</f>
        <v>0</v>
      </c>
      <c r="F181" s="58">
        <v>0</v>
      </c>
      <c r="G181" s="59">
        <f t="shared" si="228"/>
        <v>3000</v>
      </c>
      <c r="H181" s="57">
        <f>' WIP '!J181</f>
        <v>0</v>
      </c>
      <c r="I181" s="58">
        <v>0</v>
      </c>
      <c r="J181" s="59">
        <f t="shared" si="229"/>
        <v>3000</v>
      </c>
      <c r="K181" s="57">
        <f>' WIP '!N181</f>
        <v>0</v>
      </c>
      <c r="L181" s="58"/>
      <c r="M181" s="59">
        <f t="shared" si="230"/>
        <v>3000</v>
      </c>
      <c r="N181" s="57">
        <f>' WIP '!R181</f>
        <v>0</v>
      </c>
      <c r="O181" s="58">
        <v>0</v>
      </c>
      <c r="P181" s="59">
        <f t="shared" si="231"/>
        <v>3000</v>
      </c>
      <c r="Q181" s="57">
        <f>' WIP '!V181</f>
        <v>0</v>
      </c>
      <c r="R181" s="58">
        <v>0</v>
      </c>
      <c r="S181" s="59">
        <f t="shared" si="232"/>
        <v>3000</v>
      </c>
      <c r="T181" s="57">
        <f>' WIP '!Z181</f>
        <v>0</v>
      </c>
      <c r="U181" s="58">
        <v>0</v>
      </c>
      <c r="V181" s="59">
        <f t="shared" si="233"/>
        <v>3000</v>
      </c>
      <c r="W181" s="57">
        <f>' WIP '!AD181</f>
        <v>750</v>
      </c>
      <c r="X181" s="58">
        <v>750</v>
      </c>
      <c r="Y181" s="59">
        <f t="shared" si="234"/>
        <v>3000</v>
      </c>
      <c r="Z181" s="57">
        <f>' WIP '!AH181</f>
        <v>0</v>
      </c>
      <c r="AA181" s="58">
        <v>2000</v>
      </c>
      <c r="AB181" s="59">
        <f t="shared" si="235"/>
        <v>1000</v>
      </c>
      <c r="AC181" s="57">
        <f>' WIP '!AL181</f>
        <v>0</v>
      </c>
      <c r="AD181" s="58">
        <v>500</v>
      </c>
      <c r="AE181" s="59">
        <f t="shared" si="236"/>
        <v>500</v>
      </c>
      <c r="AF181" s="57">
        <f>' WIP '!AP181</f>
        <v>480</v>
      </c>
      <c r="AG181" s="114">
        <v>980</v>
      </c>
      <c r="AH181" s="59">
        <f t="shared" si="237"/>
        <v>0</v>
      </c>
      <c r="AI181" s="57">
        <f>' WIP '!AT181</f>
        <v>1760</v>
      </c>
      <c r="AJ181" s="58">
        <v>0</v>
      </c>
      <c r="AK181" s="59">
        <f t="shared" si="238"/>
        <v>1760</v>
      </c>
      <c r="AL181" s="57">
        <f>' WIP '!AX181</f>
        <v>0</v>
      </c>
      <c r="AM181" s="58"/>
      <c r="AN181" s="59">
        <f t="shared" si="239"/>
        <v>1760</v>
      </c>
      <c r="AO181" s="57">
        <f>' WIP '!BB181</f>
        <v>410</v>
      </c>
      <c r="AP181" s="58">
        <v>2170</v>
      </c>
      <c r="AQ181" s="59">
        <f t="shared" si="240"/>
        <v>0</v>
      </c>
      <c r="AR181" s="57">
        <f>' WIP '!BF181</f>
        <v>2240</v>
      </c>
      <c r="AS181" s="58">
        <v>2240</v>
      </c>
      <c r="AT181" s="59">
        <f t="shared" si="241"/>
        <v>0</v>
      </c>
      <c r="AU181" s="57">
        <f>' WIP '!BJ181</f>
        <v>480</v>
      </c>
      <c r="AV181" s="58">
        <v>480</v>
      </c>
      <c r="AW181" s="59">
        <f t="shared" si="242"/>
        <v>0</v>
      </c>
      <c r="AX181" s="57">
        <f>' WIP '!BN181</f>
        <v>0</v>
      </c>
      <c r="AY181" s="58">
        <v>0</v>
      </c>
      <c r="AZ181" s="59">
        <f t="shared" si="243"/>
        <v>0</v>
      </c>
      <c r="BA181" s="57">
        <f>' WIP '!BR181</f>
        <v>0</v>
      </c>
      <c r="BB181" s="58">
        <v>0</v>
      </c>
      <c r="BC181" s="59">
        <f t="shared" si="244"/>
        <v>0</v>
      </c>
      <c r="BD181" s="57">
        <f>' WIP '!BV181</f>
        <v>0</v>
      </c>
      <c r="BE181" s="58">
        <v>0</v>
      </c>
      <c r="BF181" s="59">
        <f t="shared" si="245"/>
        <v>0</v>
      </c>
      <c r="BG181" s="57">
        <f>' WIP '!BZ181</f>
        <v>0</v>
      </c>
      <c r="BH181" s="58"/>
      <c r="BI181" s="59">
        <f t="shared" si="246"/>
        <v>0</v>
      </c>
      <c r="BJ181" s="57">
        <f>' WIP '!CD181</f>
        <v>0</v>
      </c>
      <c r="BK181" s="58">
        <v>0</v>
      </c>
      <c r="BL181" s="59">
        <f t="shared" si="247"/>
        <v>0</v>
      </c>
      <c r="BM181" s="57">
        <f>' WIP '!CH181</f>
        <v>0</v>
      </c>
      <c r="BN181" s="58">
        <v>0</v>
      </c>
      <c r="BO181" s="59">
        <f t="shared" si="248"/>
        <v>0</v>
      </c>
      <c r="BP181" s="57">
        <f>' WIP '!CL181</f>
        <v>0</v>
      </c>
      <c r="BQ181" s="58"/>
      <c r="BR181" s="59">
        <f t="shared" si="249"/>
        <v>0</v>
      </c>
      <c r="BS181" s="57">
        <f>' WIP '!CP181</f>
        <v>1920</v>
      </c>
      <c r="BT181" s="58">
        <v>1920</v>
      </c>
      <c r="BU181" s="59">
        <f t="shared" si="250"/>
        <v>0</v>
      </c>
      <c r="BV181" s="57">
        <f>' WIP '!CT181</f>
        <v>1280</v>
      </c>
      <c r="BW181" s="28">
        <v>1280</v>
      </c>
      <c r="BX181" s="59">
        <f t="shared" si="251"/>
        <v>0</v>
      </c>
      <c r="BY181" s="57">
        <f>' WIP '!CX181</f>
        <v>0</v>
      </c>
      <c r="BZ181" s="58">
        <v>0</v>
      </c>
      <c r="CA181" s="59">
        <f t="shared" si="252"/>
        <v>0</v>
      </c>
      <c r="CB181" s="57">
        <f>' WIP '!DB181</f>
        <v>0</v>
      </c>
      <c r="CC181" s="58">
        <v>0</v>
      </c>
      <c r="CD181" s="59">
        <f t="shared" si="253"/>
        <v>0</v>
      </c>
      <c r="CE181" s="57">
        <f>' WIP '!DF181</f>
        <v>1920</v>
      </c>
      <c r="CF181" s="58">
        <v>1920</v>
      </c>
      <c r="CG181" s="59">
        <f t="shared" si="254"/>
        <v>0</v>
      </c>
      <c r="CH181" s="57">
        <f>' WIP '!DJ181</f>
        <v>1760</v>
      </c>
      <c r="CI181" s="58">
        <v>1760</v>
      </c>
      <c r="CJ181" s="59">
        <f t="shared" si="255"/>
        <v>0</v>
      </c>
      <c r="CK181" s="57">
        <f>' WIP '!DN181</f>
        <v>320</v>
      </c>
      <c r="CL181" s="58">
        <v>320</v>
      </c>
      <c r="CM181" s="59">
        <f t="shared" si="256"/>
        <v>0</v>
      </c>
      <c r="CN181" s="57">
        <f>' WIP '!DR181</f>
        <v>0</v>
      </c>
      <c r="CO181" s="57"/>
      <c r="CP181" s="59">
        <f t="shared" si="257"/>
        <v>0</v>
      </c>
      <c r="CQ181" s="57">
        <f>' WIP '!DV181</f>
        <v>0</v>
      </c>
      <c r="CR181" s="58"/>
      <c r="CS181" s="59">
        <f t="shared" si="258"/>
        <v>0</v>
      </c>
      <c r="CT181" s="31">
        <f t="shared" si="226"/>
        <v>16320</v>
      </c>
      <c r="CU181" s="4">
        <f t="shared" si="227"/>
        <v>16320</v>
      </c>
      <c r="CV181" s="5">
        <f>D181*'MASTER SHEET'!D181</f>
        <v>67560</v>
      </c>
      <c r="CW181" s="5">
        <f>G181*'MASTER SHEET'!D181</f>
        <v>67560</v>
      </c>
      <c r="CX181" s="5">
        <f>J181*'MASTER SHEET'!D181</f>
        <v>67560</v>
      </c>
      <c r="CY181" s="5">
        <f>M181*'MASTER SHEET'!D181</f>
        <v>67560</v>
      </c>
      <c r="CZ181" s="5">
        <f>P181*'MASTER SHEET'!D181</f>
        <v>67560</v>
      </c>
      <c r="DA181" s="5">
        <f>S181*'MASTER SHEET'!D181</f>
        <v>67560</v>
      </c>
      <c r="DB181" s="5">
        <f>V181*'MASTER SHEET'!D181</f>
        <v>67560</v>
      </c>
      <c r="DC181" s="5">
        <f>Y181*'MASTER SHEET'!D181</f>
        <v>67560</v>
      </c>
      <c r="DD181" s="5">
        <f>AB181*'MASTER SHEET'!D181</f>
        <v>22520</v>
      </c>
      <c r="DE181" s="5">
        <f>AE181*'MASTER SHEET'!D181</f>
        <v>11260</v>
      </c>
      <c r="DF181" s="5">
        <f>AH181*'MASTER SHEET'!D181</f>
        <v>0</v>
      </c>
      <c r="DG181" s="5">
        <f>AK181*'MASTER SHEET'!D181</f>
        <v>39635.199999999997</v>
      </c>
      <c r="DH181" s="5">
        <f>AN181*'MASTER SHEET'!D181</f>
        <v>39635.199999999997</v>
      </c>
      <c r="DI181" s="5">
        <f>AQ181*'MASTER SHEET'!D181</f>
        <v>0</v>
      </c>
      <c r="DJ181" s="5">
        <f>AT181*'MASTER SHEET'!D181</f>
        <v>0</v>
      </c>
      <c r="DK181" s="5">
        <f>AW181*'MASTER SHEET'!D181</f>
        <v>0</v>
      </c>
      <c r="DL181" s="5">
        <f>AZ181*'MASTER SHEET'!D181</f>
        <v>0</v>
      </c>
      <c r="DM181" s="5">
        <f>BC181*'MASTER SHEET'!D181</f>
        <v>0</v>
      </c>
      <c r="DN181" s="5">
        <f>BF181*'MASTER SHEET'!D181</f>
        <v>0</v>
      </c>
      <c r="DO181" s="5">
        <f>BI181*'MASTER SHEET'!D181</f>
        <v>0</v>
      </c>
      <c r="DP181" s="5">
        <f>BL181*'MASTER SHEET'!D181</f>
        <v>0</v>
      </c>
      <c r="DQ181" s="5">
        <f>BO181*'MASTER SHEET'!D181</f>
        <v>0</v>
      </c>
      <c r="DR181" s="5">
        <f>BR181*'MASTER SHEET'!D181</f>
        <v>0</v>
      </c>
      <c r="DS181" s="5">
        <f>BU181*'MASTER SHEET'!D181</f>
        <v>0</v>
      </c>
      <c r="DT181" s="5">
        <f>BX181*'MASTER SHEET'!D181</f>
        <v>0</v>
      </c>
      <c r="DU181" s="5">
        <f>CA181*'MASTER SHEET'!D181</f>
        <v>0</v>
      </c>
      <c r="DV181" s="5">
        <f>CD181*'MASTER SHEET'!D181</f>
        <v>0</v>
      </c>
      <c r="DW181" s="5">
        <f>CG181*'MASTER SHEET'!D181</f>
        <v>0</v>
      </c>
      <c r="DX181" s="5">
        <f>CJ181*'MASTER SHEET'!D181</f>
        <v>0</v>
      </c>
      <c r="DY181" s="5">
        <f>CM181*'MASTER SHEET'!D181</f>
        <v>0</v>
      </c>
      <c r="DZ181" s="5">
        <f>CP181*'MASTER SHEET'!D181</f>
        <v>0</v>
      </c>
      <c r="EA181" s="5">
        <f>CS181*'MASTER SHEET'!D181</f>
        <v>0</v>
      </c>
      <c r="EB181" s="9"/>
    </row>
    <row r="182" spans="1:132" ht="15.75" x14ac:dyDescent="0.25">
      <c r="A182" s="25">
        <f>'MASTER SHEET'!A182</f>
        <v>180</v>
      </c>
      <c r="B182" s="164" t="str">
        <f>'MASTER SHEET'!B182</f>
        <v>TIAGO MCE IDH HOUSING RH</v>
      </c>
      <c r="C182" s="165" t="str">
        <f>'MASTER SHEET'!C182</f>
        <v>CC00004721</v>
      </c>
      <c r="D182" s="56">
        <v>3000</v>
      </c>
      <c r="E182" s="57">
        <f>' WIP '!F182</f>
        <v>0</v>
      </c>
      <c r="F182" s="58">
        <v>0</v>
      </c>
      <c r="G182" s="59">
        <f t="shared" si="228"/>
        <v>3000</v>
      </c>
      <c r="H182" s="57">
        <f>' WIP '!J182</f>
        <v>0</v>
      </c>
      <c r="I182" s="58">
        <v>0</v>
      </c>
      <c r="J182" s="59">
        <f t="shared" si="229"/>
        <v>3000</v>
      </c>
      <c r="K182" s="57">
        <f>' WIP '!N182</f>
        <v>0</v>
      </c>
      <c r="L182" s="58"/>
      <c r="M182" s="59">
        <f t="shared" si="230"/>
        <v>3000</v>
      </c>
      <c r="N182" s="57">
        <f>' WIP '!R182</f>
        <v>0</v>
      </c>
      <c r="O182" s="58">
        <v>0</v>
      </c>
      <c r="P182" s="59">
        <f t="shared" si="231"/>
        <v>3000</v>
      </c>
      <c r="Q182" s="57">
        <f>' WIP '!V182</f>
        <v>0</v>
      </c>
      <c r="R182" s="58">
        <v>0</v>
      </c>
      <c r="S182" s="59">
        <f t="shared" si="232"/>
        <v>3000</v>
      </c>
      <c r="T182" s="57">
        <f>' WIP '!Z182</f>
        <v>0</v>
      </c>
      <c r="U182" s="58">
        <v>0</v>
      </c>
      <c r="V182" s="59">
        <f t="shared" si="233"/>
        <v>3000</v>
      </c>
      <c r="W182" s="57">
        <f>' WIP '!AD182</f>
        <v>750</v>
      </c>
      <c r="X182" s="58">
        <v>750</v>
      </c>
      <c r="Y182" s="59">
        <f t="shared" si="234"/>
        <v>3000</v>
      </c>
      <c r="Z182" s="57">
        <f>' WIP '!AH182</f>
        <v>0</v>
      </c>
      <c r="AA182" s="58">
        <v>2000</v>
      </c>
      <c r="AB182" s="59">
        <f t="shared" si="235"/>
        <v>1000</v>
      </c>
      <c r="AC182" s="57">
        <f>' WIP '!AL182</f>
        <v>0</v>
      </c>
      <c r="AD182" s="58">
        <v>500</v>
      </c>
      <c r="AE182" s="59">
        <f t="shared" si="236"/>
        <v>500</v>
      </c>
      <c r="AF182" s="57">
        <f>' WIP '!AP182</f>
        <v>480</v>
      </c>
      <c r="AG182" s="114">
        <v>980</v>
      </c>
      <c r="AH182" s="59">
        <f t="shared" si="237"/>
        <v>0</v>
      </c>
      <c r="AI182" s="57">
        <f>' WIP '!AT182</f>
        <v>1760</v>
      </c>
      <c r="AJ182" s="58">
        <v>0</v>
      </c>
      <c r="AK182" s="59">
        <f t="shared" si="238"/>
        <v>1760</v>
      </c>
      <c r="AL182" s="57">
        <f>' WIP '!AX182</f>
        <v>0</v>
      </c>
      <c r="AM182" s="58"/>
      <c r="AN182" s="59">
        <f t="shared" si="239"/>
        <v>1760</v>
      </c>
      <c r="AO182" s="57">
        <f>' WIP '!BB182</f>
        <v>410</v>
      </c>
      <c r="AP182" s="58">
        <v>2170</v>
      </c>
      <c r="AQ182" s="59">
        <f t="shared" si="240"/>
        <v>0</v>
      </c>
      <c r="AR182" s="57">
        <f>' WIP '!BF182</f>
        <v>2240</v>
      </c>
      <c r="AS182" s="58">
        <v>2240</v>
      </c>
      <c r="AT182" s="59">
        <f t="shared" si="241"/>
        <v>0</v>
      </c>
      <c r="AU182" s="57">
        <f>' WIP '!BJ182</f>
        <v>250</v>
      </c>
      <c r="AV182" s="58">
        <v>250</v>
      </c>
      <c r="AW182" s="59">
        <f t="shared" si="242"/>
        <v>0</v>
      </c>
      <c r="AX182" s="57">
        <f>' WIP '!BN182</f>
        <v>0</v>
      </c>
      <c r="AY182" s="58">
        <v>0</v>
      </c>
      <c r="AZ182" s="59">
        <f t="shared" si="243"/>
        <v>0</v>
      </c>
      <c r="BA182" s="57">
        <f>' WIP '!BR182</f>
        <v>0</v>
      </c>
      <c r="BB182" s="58">
        <v>0</v>
      </c>
      <c r="BC182" s="59">
        <f t="shared" si="244"/>
        <v>0</v>
      </c>
      <c r="BD182" s="57">
        <f>' WIP '!BV182</f>
        <v>0</v>
      </c>
      <c r="BE182" s="58">
        <v>0</v>
      </c>
      <c r="BF182" s="59">
        <f t="shared" si="245"/>
        <v>0</v>
      </c>
      <c r="BG182" s="57">
        <f>' WIP '!BZ182</f>
        <v>0</v>
      </c>
      <c r="BH182" s="58"/>
      <c r="BI182" s="59">
        <f t="shared" si="246"/>
        <v>0</v>
      </c>
      <c r="BJ182" s="57">
        <f>' WIP '!CD182</f>
        <v>0</v>
      </c>
      <c r="BK182" s="58">
        <v>0</v>
      </c>
      <c r="BL182" s="59">
        <f t="shared" si="247"/>
        <v>0</v>
      </c>
      <c r="BM182" s="57">
        <f>' WIP '!CH182</f>
        <v>0</v>
      </c>
      <c r="BN182" s="58">
        <v>0</v>
      </c>
      <c r="BO182" s="59">
        <f t="shared" si="248"/>
        <v>0</v>
      </c>
      <c r="BP182" s="57">
        <f>' WIP '!CL182</f>
        <v>0</v>
      </c>
      <c r="BQ182" s="58"/>
      <c r="BR182" s="59">
        <f t="shared" si="249"/>
        <v>0</v>
      </c>
      <c r="BS182" s="57">
        <f>' WIP '!CP182</f>
        <v>1920</v>
      </c>
      <c r="BT182" s="58">
        <v>1920</v>
      </c>
      <c r="BU182" s="59">
        <f t="shared" si="250"/>
        <v>0</v>
      </c>
      <c r="BV182" s="57">
        <f>' WIP '!CT182</f>
        <v>1280</v>
      </c>
      <c r="BW182" s="28">
        <v>1280</v>
      </c>
      <c r="BX182" s="59">
        <f t="shared" si="251"/>
        <v>0</v>
      </c>
      <c r="BY182" s="57">
        <f>' WIP '!CX182</f>
        <v>0</v>
      </c>
      <c r="BZ182" s="58">
        <v>0</v>
      </c>
      <c r="CA182" s="59">
        <f t="shared" si="252"/>
        <v>0</v>
      </c>
      <c r="CB182" s="57">
        <f>' WIP '!DB182</f>
        <v>0</v>
      </c>
      <c r="CC182" s="58">
        <v>0</v>
      </c>
      <c r="CD182" s="59">
        <f t="shared" si="253"/>
        <v>0</v>
      </c>
      <c r="CE182" s="57">
        <f>' WIP '!DF182</f>
        <v>1920</v>
      </c>
      <c r="CF182" s="58">
        <v>1920</v>
      </c>
      <c r="CG182" s="59">
        <f t="shared" si="254"/>
        <v>0</v>
      </c>
      <c r="CH182" s="57">
        <f>' WIP '!DJ182</f>
        <v>1760</v>
      </c>
      <c r="CI182" s="58">
        <v>1760</v>
      </c>
      <c r="CJ182" s="59">
        <f t="shared" si="255"/>
        <v>0</v>
      </c>
      <c r="CK182" s="57">
        <f>' WIP '!DN182</f>
        <v>320</v>
      </c>
      <c r="CL182" s="58">
        <v>320</v>
      </c>
      <c r="CM182" s="59">
        <f t="shared" si="256"/>
        <v>0</v>
      </c>
      <c r="CN182" s="57">
        <f>' WIP '!DR182</f>
        <v>0</v>
      </c>
      <c r="CO182" s="57"/>
      <c r="CP182" s="59">
        <f t="shared" si="257"/>
        <v>0</v>
      </c>
      <c r="CQ182" s="57">
        <f>' WIP '!DV182</f>
        <v>0</v>
      </c>
      <c r="CR182" s="58"/>
      <c r="CS182" s="59">
        <f t="shared" si="258"/>
        <v>0</v>
      </c>
      <c r="CT182" s="31">
        <f t="shared" si="226"/>
        <v>16090</v>
      </c>
      <c r="CU182" s="4">
        <f t="shared" si="227"/>
        <v>16090</v>
      </c>
      <c r="CV182" s="5">
        <f>D182*'MASTER SHEET'!D182</f>
        <v>67560</v>
      </c>
      <c r="CW182" s="5">
        <f>G182*'MASTER SHEET'!D182</f>
        <v>67560</v>
      </c>
      <c r="CX182" s="5">
        <f>J182*'MASTER SHEET'!D182</f>
        <v>67560</v>
      </c>
      <c r="CY182" s="5">
        <f>M182*'MASTER SHEET'!D182</f>
        <v>67560</v>
      </c>
      <c r="CZ182" s="5">
        <f>P182*'MASTER SHEET'!D182</f>
        <v>67560</v>
      </c>
      <c r="DA182" s="5">
        <f>S182*'MASTER SHEET'!D182</f>
        <v>67560</v>
      </c>
      <c r="DB182" s="5">
        <f>V182*'MASTER SHEET'!D182</f>
        <v>67560</v>
      </c>
      <c r="DC182" s="5">
        <f>Y182*'MASTER SHEET'!D182</f>
        <v>67560</v>
      </c>
      <c r="DD182" s="5">
        <f>AB182*'MASTER SHEET'!D182</f>
        <v>22520</v>
      </c>
      <c r="DE182" s="5">
        <f>AE182*'MASTER SHEET'!D182</f>
        <v>11260</v>
      </c>
      <c r="DF182" s="5">
        <f>AH182*'MASTER SHEET'!D182</f>
        <v>0</v>
      </c>
      <c r="DG182" s="5">
        <f>AK182*'MASTER SHEET'!D182</f>
        <v>39635.199999999997</v>
      </c>
      <c r="DH182" s="5">
        <f>AN182*'MASTER SHEET'!D182</f>
        <v>39635.199999999997</v>
      </c>
      <c r="DI182" s="5">
        <f>AQ182*'MASTER SHEET'!D182</f>
        <v>0</v>
      </c>
      <c r="DJ182" s="5">
        <f>AT182*'MASTER SHEET'!D182</f>
        <v>0</v>
      </c>
      <c r="DK182" s="5">
        <f>AW182*'MASTER SHEET'!D182</f>
        <v>0</v>
      </c>
      <c r="DL182" s="5">
        <f>AZ182*'MASTER SHEET'!D182</f>
        <v>0</v>
      </c>
      <c r="DM182" s="5">
        <f>BC182*'MASTER SHEET'!D182</f>
        <v>0</v>
      </c>
      <c r="DN182" s="5">
        <f>BF182*'MASTER SHEET'!D182</f>
        <v>0</v>
      </c>
      <c r="DO182" s="5">
        <f>BI182*'MASTER SHEET'!D182</f>
        <v>0</v>
      </c>
      <c r="DP182" s="5">
        <f>BL182*'MASTER SHEET'!D182</f>
        <v>0</v>
      </c>
      <c r="DQ182" s="5">
        <f>BO182*'MASTER SHEET'!D182</f>
        <v>0</v>
      </c>
      <c r="DR182" s="5">
        <f>BR182*'MASTER SHEET'!D182</f>
        <v>0</v>
      </c>
      <c r="DS182" s="5">
        <f>BU182*'MASTER SHEET'!D182</f>
        <v>0</v>
      </c>
      <c r="DT182" s="5">
        <f>BX182*'MASTER SHEET'!D182</f>
        <v>0</v>
      </c>
      <c r="DU182" s="5">
        <f>CA182*'MASTER SHEET'!D182</f>
        <v>0</v>
      </c>
      <c r="DV182" s="5">
        <f>CD182*'MASTER SHEET'!D182</f>
        <v>0</v>
      </c>
      <c r="DW182" s="5">
        <f>CG182*'MASTER SHEET'!D182</f>
        <v>0</v>
      </c>
      <c r="DX182" s="5">
        <f>CJ182*'MASTER SHEET'!D182</f>
        <v>0</v>
      </c>
      <c r="DY182" s="5">
        <f>CM182*'MASTER SHEET'!D182</f>
        <v>0</v>
      </c>
      <c r="DZ182" s="5">
        <f>CP182*'MASTER SHEET'!D182</f>
        <v>0</v>
      </c>
      <c r="EA182" s="5">
        <f>CS182*'MASTER SHEET'!D182</f>
        <v>0</v>
      </c>
      <c r="EB182" s="9"/>
    </row>
    <row r="183" spans="1:132" ht="15.75" x14ac:dyDescent="0.25">
      <c r="A183" s="25">
        <f>'MASTER SHEET'!A183</f>
        <v>181</v>
      </c>
      <c r="B183" s="26" t="str">
        <f>'MASTER SHEET'!B183</f>
        <v>SPACER PLASTIC</v>
      </c>
      <c r="C183" s="27">
        <f>'MASTER SHEET'!C183</f>
        <v>5061537</v>
      </c>
      <c r="D183" s="56"/>
      <c r="E183" s="57">
        <f>' WIP '!F183</f>
        <v>0</v>
      </c>
      <c r="F183" s="58">
        <v>0</v>
      </c>
      <c r="G183" s="59">
        <f t="shared" si="228"/>
        <v>0</v>
      </c>
      <c r="H183" s="57">
        <f>' WIP '!J183</f>
        <v>0</v>
      </c>
      <c r="I183" s="58">
        <v>0</v>
      </c>
      <c r="J183" s="59">
        <f t="shared" si="229"/>
        <v>0</v>
      </c>
      <c r="K183" s="57">
        <f>' WIP '!N183</f>
        <v>0</v>
      </c>
      <c r="L183" s="58"/>
      <c r="M183" s="59">
        <f t="shared" si="230"/>
        <v>0</v>
      </c>
      <c r="N183" s="57">
        <f>' WIP '!R183</f>
        <v>0</v>
      </c>
      <c r="O183" s="58">
        <v>0</v>
      </c>
      <c r="P183" s="59">
        <f t="shared" si="231"/>
        <v>0</v>
      </c>
      <c r="Q183" s="57">
        <f>' WIP '!V183</f>
        <v>0</v>
      </c>
      <c r="R183" s="58">
        <v>0</v>
      </c>
      <c r="S183" s="59">
        <f t="shared" si="232"/>
        <v>0</v>
      </c>
      <c r="T183" s="57">
        <f>' WIP '!Z183</f>
        <v>0</v>
      </c>
      <c r="U183" s="58">
        <v>0</v>
      </c>
      <c r="V183" s="59">
        <f t="shared" si="233"/>
        <v>0</v>
      </c>
      <c r="W183" s="57">
        <f>' WIP '!AD183</f>
        <v>0</v>
      </c>
      <c r="X183" s="58">
        <v>0</v>
      </c>
      <c r="Y183" s="59">
        <f t="shared" si="234"/>
        <v>0</v>
      </c>
      <c r="Z183" s="57">
        <f>' WIP '!AH183</f>
        <v>0</v>
      </c>
      <c r="AA183" s="58">
        <v>0</v>
      </c>
      <c r="AB183" s="59">
        <f t="shared" si="235"/>
        <v>0</v>
      </c>
      <c r="AC183" s="57">
        <f>' WIP '!AL183</f>
        <v>0</v>
      </c>
      <c r="AD183" s="58">
        <v>0</v>
      </c>
      <c r="AE183" s="59">
        <f t="shared" si="236"/>
        <v>0</v>
      </c>
      <c r="AF183" s="57">
        <f>' WIP '!AP183</f>
        <v>0</v>
      </c>
      <c r="AG183" s="114">
        <v>0</v>
      </c>
      <c r="AH183" s="59">
        <f t="shared" si="237"/>
        <v>0</v>
      </c>
      <c r="AI183" s="57">
        <f>' WIP '!AT183</f>
        <v>0</v>
      </c>
      <c r="AJ183" s="58">
        <v>0</v>
      </c>
      <c r="AK183" s="59">
        <f t="shared" si="238"/>
        <v>0</v>
      </c>
      <c r="AL183" s="57">
        <f>' WIP '!AX183</f>
        <v>0</v>
      </c>
      <c r="AM183" s="58"/>
      <c r="AN183" s="59">
        <f t="shared" si="239"/>
        <v>0</v>
      </c>
      <c r="AO183" s="57">
        <f>' WIP '!BB183</f>
        <v>0</v>
      </c>
      <c r="AP183" s="58">
        <v>0</v>
      </c>
      <c r="AQ183" s="59">
        <f t="shared" si="240"/>
        <v>0</v>
      </c>
      <c r="AR183" s="57">
        <f>' WIP '!BF183</f>
        <v>0</v>
      </c>
      <c r="AS183" s="58">
        <v>0</v>
      </c>
      <c r="AT183" s="59">
        <f t="shared" si="241"/>
        <v>0</v>
      </c>
      <c r="AU183" s="57">
        <f>' WIP '!BJ183</f>
        <v>0</v>
      </c>
      <c r="AV183" s="58">
        <v>0</v>
      </c>
      <c r="AW183" s="59">
        <f t="shared" si="242"/>
        <v>0</v>
      </c>
      <c r="AX183" s="57">
        <f>' WIP '!BN183</f>
        <v>0</v>
      </c>
      <c r="AY183" s="58">
        <v>0</v>
      </c>
      <c r="AZ183" s="59">
        <f t="shared" si="243"/>
        <v>0</v>
      </c>
      <c r="BA183" s="57">
        <f>' WIP '!BR183</f>
        <v>0</v>
      </c>
      <c r="BB183" s="58">
        <v>0</v>
      </c>
      <c r="BC183" s="59">
        <f t="shared" si="244"/>
        <v>0</v>
      </c>
      <c r="BD183" s="57">
        <f>' WIP '!BV183</f>
        <v>0</v>
      </c>
      <c r="BE183" s="58">
        <v>0</v>
      </c>
      <c r="BF183" s="59">
        <f t="shared" si="245"/>
        <v>0</v>
      </c>
      <c r="BG183" s="57">
        <f>' WIP '!BZ183</f>
        <v>0</v>
      </c>
      <c r="BH183" s="58"/>
      <c r="BI183" s="59">
        <f t="shared" si="246"/>
        <v>0</v>
      </c>
      <c r="BJ183" s="57">
        <f>' WIP '!CD183</f>
        <v>0</v>
      </c>
      <c r="BK183" s="58">
        <v>0</v>
      </c>
      <c r="BL183" s="59">
        <f t="shared" si="247"/>
        <v>0</v>
      </c>
      <c r="BM183" s="57">
        <f>' WIP '!CH183</f>
        <v>0</v>
      </c>
      <c r="BN183" s="58">
        <v>0</v>
      </c>
      <c r="BO183" s="59">
        <f t="shared" si="248"/>
        <v>0</v>
      </c>
      <c r="BP183" s="57">
        <f>' WIP '!CL183</f>
        <v>0</v>
      </c>
      <c r="BQ183" s="58"/>
      <c r="BR183" s="59">
        <f t="shared" si="249"/>
        <v>0</v>
      </c>
      <c r="BS183" s="57">
        <f>' WIP '!CP183</f>
        <v>0</v>
      </c>
      <c r="BT183" s="58">
        <v>0</v>
      </c>
      <c r="BU183" s="59">
        <f t="shared" si="250"/>
        <v>0</v>
      </c>
      <c r="BV183" s="57">
        <f>' WIP '!CT183</f>
        <v>0</v>
      </c>
      <c r="BW183" s="28">
        <v>0</v>
      </c>
      <c r="BX183" s="59">
        <f t="shared" si="251"/>
        <v>0</v>
      </c>
      <c r="BY183" s="57">
        <f>' WIP '!CX183</f>
        <v>0</v>
      </c>
      <c r="BZ183" s="58">
        <v>0</v>
      </c>
      <c r="CA183" s="59">
        <f t="shared" si="252"/>
        <v>0</v>
      </c>
      <c r="CB183" s="57">
        <f>' WIP '!DB183</f>
        <v>0</v>
      </c>
      <c r="CC183" s="58">
        <v>0</v>
      </c>
      <c r="CD183" s="59">
        <f t="shared" si="253"/>
        <v>0</v>
      </c>
      <c r="CE183" s="57">
        <f>' WIP '!DF183</f>
        <v>0</v>
      </c>
      <c r="CF183" s="58">
        <v>0</v>
      </c>
      <c r="CG183" s="59">
        <f t="shared" si="254"/>
        <v>0</v>
      </c>
      <c r="CH183" s="57">
        <f>' WIP '!DJ183</f>
        <v>0</v>
      </c>
      <c r="CI183" s="58">
        <v>0</v>
      </c>
      <c r="CJ183" s="59">
        <f t="shared" si="255"/>
        <v>0</v>
      </c>
      <c r="CK183" s="57">
        <f>' WIP '!DN183</f>
        <v>0</v>
      </c>
      <c r="CL183" s="58">
        <v>0</v>
      </c>
      <c r="CM183" s="59">
        <f t="shared" si="256"/>
        <v>0</v>
      </c>
      <c r="CN183" s="57">
        <f>' WIP '!DR183</f>
        <v>0</v>
      </c>
      <c r="CO183" s="57"/>
      <c r="CP183" s="59">
        <f t="shared" si="257"/>
        <v>0</v>
      </c>
      <c r="CQ183" s="57">
        <f>' WIP '!DV183</f>
        <v>0</v>
      </c>
      <c r="CR183" s="58"/>
      <c r="CS183" s="59">
        <f t="shared" si="258"/>
        <v>0</v>
      </c>
      <c r="CT183" s="31">
        <f t="shared" si="226"/>
        <v>0</v>
      </c>
      <c r="CU183" s="4">
        <f t="shared" si="227"/>
        <v>0</v>
      </c>
      <c r="CV183" s="5">
        <f>D183*'MASTER SHEET'!D183</f>
        <v>0</v>
      </c>
      <c r="CW183" s="5">
        <f>G183*'MASTER SHEET'!D183</f>
        <v>0</v>
      </c>
      <c r="CX183" s="5">
        <f>J183*'MASTER SHEET'!D183</f>
        <v>0</v>
      </c>
      <c r="CY183" s="5">
        <f>M183*'MASTER SHEET'!D183</f>
        <v>0</v>
      </c>
      <c r="CZ183" s="5">
        <f>P183*'MASTER SHEET'!D183</f>
        <v>0</v>
      </c>
      <c r="DA183" s="5">
        <f>S183*'MASTER SHEET'!D183</f>
        <v>0</v>
      </c>
      <c r="DB183" s="5">
        <f>V183*'MASTER SHEET'!D183</f>
        <v>0</v>
      </c>
      <c r="DC183" s="5">
        <f>Y183*'MASTER SHEET'!D183</f>
        <v>0</v>
      </c>
      <c r="DD183" s="5">
        <f>AB183*'MASTER SHEET'!D183</f>
        <v>0</v>
      </c>
      <c r="DE183" s="5">
        <f>AE183*'MASTER SHEET'!D183</f>
        <v>0</v>
      </c>
      <c r="DF183" s="5">
        <f>AH183*'MASTER SHEET'!D183</f>
        <v>0</v>
      </c>
      <c r="DG183" s="5">
        <f>AK183*'MASTER SHEET'!D183</f>
        <v>0</v>
      </c>
      <c r="DH183" s="5">
        <f>AN183*'MASTER SHEET'!D183</f>
        <v>0</v>
      </c>
      <c r="DI183" s="5">
        <f>AQ183*'MASTER SHEET'!D183</f>
        <v>0</v>
      </c>
      <c r="DJ183" s="5">
        <f>AT183*'MASTER SHEET'!D183</f>
        <v>0</v>
      </c>
      <c r="DK183" s="5">
        <f>AW183*'MASTER SHEET'!D183</f>
        <v>0</v>
      </c>
      <c r="DL183" s="5">
        <f>AZ183*'MASTER SHEET'!D183</f>
        <v>0</v>
      </c>
      <c r="DM183" s="5">
        <f>BC183*'MASTER SHEET'!D183</f>
        <v>0</v>
      </c>
      <c r="DN183" s="5">
        <f>BF183*'MASTER SHEET'!D183</f>
        <v>0</v>
      </c>
      <c r="DO183" s="5">
        <f>BI183*'MASTER SHEET'!D183</f>
        <v>0</v>
      </c>
      <c r="DP183" s="5">
        <f>BL183*'MASTER SHEET'!D183</f>
        <v>0</v>
      </c>
      <c r="DQ183" s="5">
        <f>BO183*'MASTER SHEET'!D183</f>
        <v>0</v>
      </c>
      <c r="DR183" s="5">
        <f>BR183*'MASTER SHEET'!D183</f>
        <v>0</v>
      </c>
      <c r="DS183" s="5">
        <f>BU183*'MASTER SHEET'!D183</f>
        <v>0</v>
      </c>
      <c r="DT183" s="5">
        <f>BX183*'MASTER SHEET'!D183</f>
        <v>0</v>
      </c>
      <c r="DU183" s="5">
        <f>CA183*'MASTER SHEET'!D183</f>
        <v>0</v>
      </c>
      <c r="DV183" s="5">
        <f>CD183*'MASTER SHEET'!D183</f>
        <v>0</v>
      </c>
      <c r="DW183" s="5">
        <f>CG183*'MASTER SHEET'!D183</f>
        <v>0</v>
      </c>
      <c r="DX183" s="5">
        <f>CJ183*'MASTER SHEET'!D183</f>
        <v>0</v>
      </c>
      <c r="DY183" s="5">
        <f>CM183*'MASTER SHEET'!D183</f>
        <v>0</v>
      </c>
      <c r="DZ183" s="5">
        <f>CP183*'MASTER SHEET'!D183</f>
        <v>0</v>
      </c>
      <c r="EA183" s="5">
        <f>CS183*'MASTER SHEET'!D183</f>
        <v>0</v>
      </c>
      <c r="EB183" s="9"/>
    </row>
    <row r="184" spans="1:132" ht="15.75" x14ac:dyDescent="0.25">
      <c r="A184" s="25">
        <f>'MASTER SHEET'!A184</f>
        <v>182</v>
      </c>
      <c r="B184" s="26" t="str">
        <f>'MASTER SHEET'!B184</f>
        <v>ENDPLATE, PLASTIC</v>
      </c>
      <c r="C184" s="27">
        <f>'MASTER SHEET'!C184</f>
        <v>5046448</v>
      </c>
      <c r="D184" s="56">
        <v>300</v>
      </c>
      <c r="E184" s="57">
        <f>' WIP '!F184</f>
        <v>0</v>
      </c>
      <c r="F184" s="58">
        <v>0</v>
      </c>
      <c r="G184" s="59">
        <f t="shared" si="228"/>
        <v>300</v>
      </c>
      <c r="H184" s="57">
        <f>' WIP '!J184</f>
        <v>0</v>
      </c>
      <c r="I184" s="58">
        <v>0</v>
      </c>
      <c r="J184" s="59">
        <f t="shared" si="229"/>
        <v>300</v>
      </c>
      <c r="K184" s="57">
        <f>' WIP '!N184</f>
        <v>0</v>
      </c>
      <c r="L184" s="58"/>
      <c r="M184" s="59">
        <f t="shared" si="230"/>
        <v>300</v>
      </c>
      <c r="N184" s="57">
        <f>' WIP '!R184</f>
        <v>0</v>
      </c>
      <c r="O184" s="58">
        <v>100</v>
      </c>
      <c r="P184" s="59">
        <f t="shared" si="231"/>
        <v>200</v>
      </c>
      <c r="Q184" s="57">
        <f>' WIP '!V184</f>
        <v>0</v>
      </c>
      <c r="R184" s="58">
        <v>200</v>
      </c>
      <c r="S184" s="59">
        <f t="shared" si="232"/>
        <v>0</v>
      </c>
      <c r="T184" s="57">
        <f>' WIP '!Z184</f>
        <v>0</v>
      </c>
      <c r="U184" s="58">
        <v>0</v>
      </c>
      <c r="V184" s="59">
        <f t="shared" si="233"/>
        <v>0</v>
      </c>
      <c r="W184" s="57">
        <f>' WIP '!AD184</f>
        <v>0</v>
      </c>
      <c r="X184" s="58">
        <v>0</v>
      </c>
      <c r="Y184" s="59">
        <f t="shared" si="234"/>
        <v>0</v>
      </c>
      <c r="Z184" s="57">
        <f>' WIP '!AH184</f>
        <v>0</v>
      </c>
      <c r="AA184" s="58">
        <v>0</v>
      </c>
      <c r="AB184" s="59">
        <f t="shared" si="235"/>
        <v>0</v>
      </c>
      <c r="AC184" s="57">
        <f>' WIP '!AL184</f>
        <v>0</v>
      </c>
      <c r="AD184" s="58">
        <v>0</v>
      </c>
      <c r="AE184" s="59">
        <f t="shared" si="236"/>
        <v>0</v>
      </c>
      <c r="AF184" s="57">
        <f>' WIP '!AP184</f>
        <v>0</v>
      </c>
      <c r="AG184" s="114">
        <v>0</v>
      </c>
      <c r="AH184" s="59">
        <f t="shared" si="237"/>
        <v>0</v>
      </c>
      <c r="AI184" s="57">
        <f>' WIP '!AT184</f>
        <v>0</v>
      </c>
      <c r="AJ184" s="58">
        <v>0</v>
      </c>
      <c r="AK184" s="59">
        <f t="shared" si="238"/>
        <v>0</v>
      </c>
      <c r="AL184" s="57">
        <f>' WIP '!AX184</f>
        <v>0</v>
      </c>
      <c r="AM184" s="58"/>
      <c r="AN184" s="59">
        <f t="shared" si="239"/>
        <v>0</v>
      </c>
      <c r="AO184" s="57">
        <f>' WIP '!BB184</f>
        <v>0</v>
      </c>
      <c r="AP184" s="58">
        <v>0</v>
      </c>
      <c r="AQ184" s="59">
        <f t="shared" si="240"/>
        <v>0</v>
      </c>
      <c r="AR184" s="57">
        <f>' WIP '!BF184</f>
        <v>0</v>
      </c>
      <c r="AS184" s="58">
        <v>0</v>
      </c>
      <c r="AT184" s="59">
        <f t="shared" si="241"/>
        <v>0</v>
      </c>
      <c r="AU184" s="57">
        <f>' WIP '!BJ184</f>
        <v>0</v>
      </c>
      <c r="AV184" s="58">
        <v>0</v>
      </c>
      <c r="AW184" s="59">
        <f t="shared" si="242"/>
        <v>0</v>
      </c>
      <c r="AX184" s="57">
        <f>' WIP '!BN184</f>
        <v>0</v>
      </c>
      <c r="AY184" s="58">
        <v>0</v>
      </c>
      <c r="AZ184" s="59">
        <f t="shared" si="243"/>
        <v>0</v>
      </c>
      <c r="BA184" s="57">
        <f>' WIP '!BR184</f>
        <v>200</v>
      </c>
      <c r="BB184" s="58">
        <v>200</v>
      </c>
      <c r="BC184" s="59">
        <f t="shared" si="244"/>
        <v>0</v>
      </c>
      <c r="BD184" s="57">
        <f>' WIP '!BV184</f>
        <v>0</v>
      </c>
      <c r="BE184" s="58">
        <v>0</v>
      </c>
      <c r="BF184" s="59">
        <f t="shared" si="245"/>
        <v>0</v>
      </c>
      <c r="BG184" s="57">
        <f>' WIP '!BZ184</f>
        <v>0</v>
      </c>
      <c r="BH184" s="58"/>
      <c r="BI184" s="59">
        <f t="shared" si="246"/>
        <v>0</v>
      </c>
      <c r="BJ184" s="57">
        <f>' WIP '!CD184</f>
        <v>0</v>
      </c>
      <c r="BK184" s="58">
        <v>0</v>
      </c>
      <c r="BL184" s="59">
        <f t="shared" si="247"/>
        <v>0</v>
      </c>
      <c r="BM184" s="57">
        <f>' WIP '!CH184</f>
        <v>0</v>
      </c>
      <c r="BN184" s="58">
        <v>0</v>
      </c>
      <c r="BO184" s="59">
        <f t="shared" si="248"/>
        <v>0</v>
      </c>
      <c r="BP184" s="57">
        <f>' WIP '!CL184</f>
        <v>0</v>
      </c>
      <c r="BQ184" s="58"/>
      <c r="BR184" s="59">
        <f t="shared" si="249"/>
        <v>0</v>
      </c>
      <c r="BS184" s="57">
        <f>' WIP '!CP184</f>
        <v>0</v>
      </c>
      <c r="BT184" s="58">
        <v>0</v>
      </c>
      <c r="BU184" s="59">
        <f t="shared" si="250"/>
        <v>0</v>
      </c>
      <c r="BV184" s="57">
        <f>' WIP '!CT184</f>
        <v>0</v>
      </c>
      <c r="BW184" s="28">
        <v>0</v>
      </c>
      <c r="BX184" s="59">
        <f t="shared" si="251"/>
        <v>0</v>
      </c>
      <c r="BY184" s="57">
        <f>' WIP '!CX184</f>
        <v>0</v>
      </c>
      <c r="BZ184" s="58">
        <v>0</v>
      </c>
      <c r="CA184" s="59">
        <f t="shared" si="252"/>
        <v>0</v>
      </c>
      <c r="CB184" s="57">
        <f>' WIP '!DB184</f>
        <v>0</v>
      </c>
      <c r="CC184" s="58">
        <v>0</v>
      </c>
      <c r="CD184" s="59">
        <f t="shared" si="253"/>
        <v>0</v>
      </c>
      <c r="CE184" s="57">
        <f>' WIP '!DF184</f>
        <v>0</v>
      </c>
      <c r="CF184" s="58">
        <v>0</v>
      </c>
      <c r="CG184" s="59">
        <f t="shared" si="254"/>
        <v>0</v>
      </c>
      <c r="CH184" s="57">
        <f>' WIP '!DJ184</f>
        <v>900</v>
      </c>
      <c r="CI184" s="58">
        <v>100</v>
      </c>
      <c r="CJ184" s="59">
        <f t="shared" si="255"/>
        <v>800</v>
      </c>
      <c r="CK184" s="57">
        <f>' WIP '!DN184</f>
        <v>0</v>
      </c>
      <c r="CL184" s="58">
        <v>0</v>
      </c>
      <c r="CM184" s="59">
        <f t="shared" si="256"/>
        <v>800</v>
      </c>
      <c r="CN184" s="57">
        <f>' WIP '!DR184</f>
        <v>0</v>
      </c>
      <c r="CO184" s="57"/>
      <c r="CP184" s="59">
        <f t="shared" si="257"/>
        <v>800</v>
      </c>
      <c r="CQ184" s="57">
        <f>' WIP '!DV184</f>
        <v>0</v>
      </c>
      <c r="CR184" s="58"/>
      <c r="CS184" s="59">
        <f t="shared" si="258"/>
        <v>800</v>
      </c>
      <c r="CT184" s="31">
        <f t="shared" si="226"/>
        <v>1400</v>
      </c>
      <c r="CU184" s="4">
        <f t="shared" si="227"/>
        <v>600</v>
      </c>
      <c r="CV184" s="5">
        <f>D184*'MASTER SHEET'!D184</f>
        <v>4413</v>
      </c>
      <c r="CW184" s="5">
        <f>G184*'MASTER SHEET'!D184</f>
        <v>4413</v>
      </c>
      <c r="CX184" s="5">
        <f>J184*'MASTER SHEET'!D184</f>
        <v>4413</v>
      </c>
      <c r="CY184" s="5">
        <f>M184*'MASTER SHEET'!D184</f>
        <v>4413</v>
      </c>
      <c r="CZ184" s="5">
        <f>P184*'MASTER SHEET'!D184</f>
        <v>2942</v>
      </c>
      <c r="DA184" s="5">
        <f>S184*'MASTER SHEET'!D184</f>
        <v>0</v>
      </c>
      <c r="DB184" s="5">
        <f>V184*'MASTER SHEET'!D184</f>
        <v>0</v>
      </c>
      <c r="DC184" s="5">
        <f>Y184*'MASTER SHEET'!D184</f>
        <v>0</v>
      </c>
      <c r="DD184" s="5">
        <f>AB184*'MASTER SHEET'!D184</f>
        <v>0</v>
      </c>
      <c r="DE184" s="5">
        <f>AE184*'MASTER SHEET'!D184</f>
        <v>0</v>
      </c>
      <c r="DF184" s="5">
        <f>AH184*'MASTER SHEET'!D184</f>
        <v>0</v>
      </c>
      <c r="DG184" s="5">
        <f>AK184*'MASTER SHEET'!D184</f>
        <v>0</v>
      </c>
      <c r="DH184" s="5">
        <f>AN184*'MASTER SHEET'!D184</f>
        <v>0</v>
      </c>
      <c r="DI184" s="5">
        <f>AQ184*'MASTER SHEET'!D184</f>
        <v>0</v>
      </c>
      <c r="DJ184" s="5">
        <f>AT184*'MASTER SHEET'!D184</f>
        <v>0</v>
      </c>
      <c r="DK184" s="5">
        <f>AW184*'MASTER SHEET'!D184</f>
        <v>0</v>
      </c>
      <c r="DL184" s="5">
        <f>AZ184*'MASTER SHEET'!D184</f>
        <v>0</v>
      </c>
      <c r="DM184" s="5">
        <f>BC184*'MASTER SHEET'!D184</f>
        <v>0</v>
      </c>
      <c r="DN184" s="5">
        <f>BF184*'MASTER SHEET'!D184</f>
        <v>0</v>
      </c>
      <c r="DO184" s="5">
        <f>BI184*'MASTER SHEET'!D184</f>
        <v>0</v>
      </c>
      <c r="DP184" s="5">
        <f>BL184*'MASTER SHEET'!D184</f>
        <v>0</v>
      </c>
      <c r="DQ184" s="5">
        <f>BO184*'MASTER SHEET'!D184</f>
        <v>0</v>
      </c>
      <c r="DR184" s="5">
        <f>BR184*'MASTER SHEET'!D184</f>
        <v>0</v>
      </c>
      <c r="DS184" s="5">
        <f>BU184*'MASTER SHEET'!D184</f>
        <v>0</v>
      </c>
      <c r="DT184" s="5">
        <f>BX184*'MASTER SHEET'!D184</f>
        <v>0</v>
      </c>
      <c r="DU184" s="5">
        <f>CA184*'MASTER SHEET'!D184</f>
        <v>0</v>
      </c>
      <c r="DV184" s="5">
        <f>CD184*'MASTER SHEET'!D184</f>
        <v>0</v>
      </c>
      <c r="DW184" s="5">
        <f>CG184*'MASTER SHEET'!D184</f>
        <v>0</v>
      </c>
      <c r="DX184" s="5">
        <f>CJ184*'MASTER SHEET'!D184</f>
        <v>11768</v>
      </c>
      <c r="DY184" s="5">
        <f>CM184*'MASTER SHEET'!D184</f>
        <v>11768</v>
      </c>
      <c r="DZ184" s="5">
        <f>CP184*'MASTER SHEET'!D184</f>
        <v>11768</v>
      </c>
      <c r="EA184" s="5">
        <f>CS184*'MASTER SHEET'!D184</f>
        <v>11768</v>
      </c>
      <c r="EB184" s="9"/>
    </row>
    <row r="185" spans="1:132" ht="15.75" x14ac:dyDescent="0.25">
      <c r="A185" s="25">
        <f>'MASTER SHEET'!A185</f>
        <v>183</v>
      </c>
      <c r="B185" s="26" t="str">
        <f>'MASTER SHEET'!B185</f>
        <v>HYDROPHOBIC SCREEN, ASY</v>
      </c>
      <c r="C185" s="27">
        <f>'MASTER SHEET'!C185</f>
        <v>5046453</v>
      </c>
      <c r="D185" s="56">
        <v>80</v>
      </c>
      <c r="E185" s="57">
        <f>' WIP '!F185</f>
        <v>0</v>
      </c>
      <c r="F185" s="58">
        <v>80</v>
      </c>
      <c r="G185" s="59">
        <f t="shared" si="228"/>
        <v>0</v>
      </c>
      <c r="H185" s="57">
        <f>' WIP '!J185</f>
        <v>0</v>
      </c>
      <c r="I185" s="58">
        <v>0</v>
      </c>
      <c r="J185" s="59">
        <f t="shared" si="229"/>
        <v>0</v>
      </c>
      <c r="K185" s="57">
        <f>' WIP '!N185</f>
        <v>0</v>
      </c>
      <c r="L185" s="58"/>
      <c r="M185" s="59">
        <f t="shared" si="230"/>
        <v>0</v>
      </c>
      <c r="N185" s="57">
        <f>' WIP '!R185</f>
        <v>0</v>
      </c>
      <c r="O185" s="58">
        <v>0</v>
      </c>
      <c r="P185" s="59">
        <f t="shared" si="231"/>
        <v>0</v>
      </c>
      <c r="Q185" s="57">
        <f>' WIP '!V185</f>
        <v>0</v>
      </c>
      <c r="R185" s="58">
        <v>0</v>
      </c>
      <c r="S185" s="59">
        <f t="shared" si="232"/>
        <v>0</v>
      </c>
      <c r="T185" s="57">
        <f>' WIP '!Z185</f>
        <v>0</v>
      </c>
      <c r="U185" s="58">
        <v>0</v>
      </c>
      <c r="V185" s="59">
        <f t="shared" si="233"/>
        <v>0</v>
      </c>
      <c r="W185" s="57">
        <f>' WIP '!AD185</f>
        <v>32</v>
      </c>
      <c r="X185" s="58">
        <v>0</v>
      </c>
      <c r="Y185" s="59">
        <f t="shared" si="234"/>
        <v>32</v>
      </c>
      <c r="Z185" s="57">
        <f>' WIP '!AH185</f>
        <v>0</v>
      </c>
      <c r="AA185" s="58">
        <v>0</v>
      </c>
      <c r="AB185" s="59">
        <f t="shared" si="235"/>
        <v>32</v>
      </c>
      <c r="AC185" s="57">
        <f>' WIP '!AL185</f>
        <v>0</v>
      </c>
      <c r="AD185" s="58">
        <v>0</v>
      </c>
      <c r="AE185" s="59">
        <f t="shared" si="236"/>
        <v>32</v>
      </c>
      <c r="AF185" s="57">
        <f>' WIP '!AP185</f>
        <v>0</v>
      </c>
      <c r="AG185" s="114">
        <v>0</v>
      </c>
      <c r="AH185" s="59">
        <f t="shared" si="237"/>
        <v>32</v>
      </c>
      <c r="AI185" s="57">
        <f>' WIP '!AT185</f>
        <v>0</v>
      </c>
      <c r="AJ185" s="58">
        <v>32</v>
      </c>
      <c r="AK185" s="59">
        <f t="shared" si="238"/>
        <v>0</v>
      </c>
      <c r="AL185" s="57">
        <f>' WIP '!AX185</f>
        <v>0</v>
      </c>
      <c r="AM185" s="58"/>
      <c r="AN185" s="59">
        <f t="shared" si="239"/>
        <v>0</v>
      </c>
      <c r="AO185" s="57">
        <f>' WIP '!BB185</f>
        <v>0</v>
      </c>
      <c r="AP185" s="58">
        <v>0</v>
      </c>
      <c r="AQ185" s="59">
        <f t="shared" si="240"/>
        <v>0</v>
      </c>
      <c r="AR185" s="57">
        <f>' WIP '!BF185</f>
        <v>0</v>
      </c>
      <c r="AS185" s="58">
        <v>0</v>
      </c>
      <c r="AT185" s="59">
        <f t="shared" si="241"/>
        <v>0</v>
      </c>
      <c r="AU185" s="57">
        <f>' WIP '!BJ185</f>
        <v>80</v>
      </c>
      <c r="AV185" s="58">
        <v>0</v>
      </c>
      <c r="AW185" s="59">
        <f t="shared" si="242"/>
        <v>80</v>
      </c>
      <c r="AX185" s="57">
        <f>' WIP '!BN185</f>
        <v>400</v>
      </c>
      <c r="AY185" s="58">
        <v>240</v>
      </c>
      <c r="AZ185" s="59">
        <f t="shared" si="243"/>
        <v>240</v>
      </c>
      <c r="BA185" s="57">
        <f>' WIP '!BR185</f>
        <v>0</v>
      </c>
      <c r="BB185" s="58">
        <v>0</v>
      </c>
      <c r="BC185" s="59">
        <f t="shared" si="244"/>
        <v>240</v>
      </c>
      <c r="BD185" s="57">
        <f>' WIP '!BV185</f>
        <v>0</v>
      </c>
      <c r="BE185" s="58">
        <v>0</v>
      </c>
      <c r="BF185" s="59">
        <f t="shared" si="245"/>
        <v>240</v>
      </c>
      <c r="BG185" s="57">
        <f>' WIP '!BZ185</f>
        <v>0</v>
      </c>
      <c r="BH185" s="58"/>
      <c r="BI185" s="59">
        <f t="shared" si="246"/>
        <v>240</v>
      </c>
      <c r="BJ185" s="57">
        <f>' WIP '!CD185</f>
        <v>0</v>
      </c>
      <c r="BK185" s="58">
        <v>0</v>
      </c>
      <c r="BL185" s="59">
        <f t="shared" si="247"/>
        <v>240</v>
      </c>
      <c r="BM185" s="57">
        <f>' WIP '!CH185</f>
        <v>0</v>
      </c>
      <c r="BN185" s="58">
        <v>0</v>
      </c>
      <c r="BO185" s="59">
        <f t="shared" si="248"/>
        <v>240</v>
      </c>
      <c r="BP185" s="57">
        <f>' WIP '!CL185</f>
        <v>0</v>
      </c>
      <c r="BQ185" s="58">
        <v>80</v>
      </c>
      <c r="BR185" s="59">
        <f t="shared" si="249"/>
        <v>160</v>
      </c>
      <c r="BS185" s="57">
        <f>' WIP '!CP185</f>
        <v>0</v>
      </c>
      <c r="BT185" s="58">
        <v>0</v>
      </c>
      <c r="BU185" s="59">
        <f t="shared" si="250"/>
        <v>160</v>
      </c>
      <c r="BV185" s="57">
        <f>' WIP '!CT185</f>
        <v>0</v>
      </c>
      <c r="BW185" s="28">
        <v>0</v>
      </c>
      <c r="BX185" s="59">
        <f t="shared" si="251"/>
        <v>160</v>
      </c>
      <c r="BY185" s="57">
        <f>' WIP '!CX185</f>
        <v>0</v>
      </c>
      <c r="BZ185" s="58">
        <v>0</v>
      </c>
      <c r="CA185" s="59">
        <f t="shared" si="252"/>
        <v>160</v>
      </c>
      <c r="CB185" s="57">
        <f>' WIP '!DB185</f>
        <v>0</v>
      </c>
      <c r="CC185" s="58">
        <v>0</v>
      </c>
      <c r="CD185" s="59">
        <f t="shared" si="253"/>
        <v>160</v>
      </c>
      <c r="CE185" s="57">
        <f>' WIP '!DF185</f>
        <v>0</v>
      </c>
      <c r="CF185" s="58">
        <v>80</v>
      </c>
      <c r="CG185" s="59">
        <f t="shared" si="254"/>
        <v>80</v>
      </c>
      <c r="CH185" s="57">
        <f>' WIP '!DJ185</f>
        <v>0</v>
      </c>
      <c r="CI185" s="58">
        <v>0</v>
      </c>
      <c r="CJ185" s="59">
        <f t="shared" si="255"/>
        <v>80</v>
      </c>
      <c r="CK185" s="57">
        <f>' WIP '!DN185</f>
        <v>0</v>
      </c>
      <c r="CL185" s="58">
        <v>0</v>
      </c>
      <c r="CM185" s="59">
        <f t="shared" si="256"/>
        <v>80</v>
      </c>
      <c r="CN185" s="57">
        <f>' WIP '!DR185</f>
        <v>0</v>
      </c>
      <c r="CO185" s="57"/>
      <c r="CP185" s="59">
        <f t="shared" si="257"/>
        <v>80</v>
      </c>
      <c r="CQ185" s="57">
        <f>' WIP '!DV185</f>
        <v>0</v>
      </c>
      <c r="CR185" s="58"/>
      <c r="CS185" s="59">
        <f t="shared" si="258"/>
        <v>80</v>
      </c>
      <c r="CT185" s="31">
        <f t="shared" si="226"/>
        <v>592</v>
      </c>
      <c r="CU185" s="4">
        <f t="shared" si="227"/>
        <v>512</v>
      </c>
      <c r="CV185" s="5">
        <f>D185*'MASTER SHEET'!D185</f>
        <v>7185.5999999999995</v>
      </c>
      <c r="CW185" s="5">
        <f>G185*'MASTER SHEET'!D185</f>
        <v>0</v>
      </c>
      <c r="CX185" s="5">
        <f>J185*'MASTER SHEET'!D185</f>
        <v>0</v>
      </c>
      <c r="CY185" s="5">
        <f>M185*'MASTER SHEET'!D185</f>
        <v>0</v>
      </c>
      <c r="CZ185" s="5">
        <f>P185*'MASTER SHEET'!D185</f>
        <v>0</v>
      </c>
      <c r="DA185" s="5">
        <f>S185*'MASTER SHEET'!D185</f>
        <v>0</v>
      </c>
      <c r="DB185" s="5">
        <f>V185*'MASTER SHEET'!D185</f>
        <v>0</v>
      </c>
      <c r="DC185" s="5">
        <f>Y185*'MASTER SHEET'!D185</f>
        <v>2874.24</v>
      </c>
      <c r="DD185" s="5">
        <f>AB185*'MASTER SHEET'!D185</f>
        <v>2874.24</v>
      </c>
      <c r="DE185" s="5">
        <f>AE185*'MASTER SHEET'!D185</f>
        <v>2874.24</v>
      </c>
      <c r="DF185" s="5">
        <f>AH185*'MASTER SHEET'!D185</f>
        <v>2874.24</v>
      </c>
      <c r="DG185" s="5">
        <f>AK185*'MASTER SHEET'!D185</f>
        <v>0</v>
      </c>
      <c r="DH185" s="5">
        <f>AN185*'MASTER SHEET'!D185</f>
        <v>0</v>
      </c>
      <c r="DI185" s="5">
        <f>AQ185*'MASTER SHEET'!D185</f>
        <v>0</v>
      </c>
      <c r="DJ185" s="5">
        <f>AT185*'MASTER SHEET'!D185</f>
        <v>0</v>
      </c>
      <c r="DK185" s="5">
        <f>AW185*'MASTER SHEET'!D185</f>
        <v>7185.5999999999995</v>
      </c>
      <c r="DL185" s="5">
        <f>AZ185*'MASTER SHEET'!D185</f>
        <v>21556.799999999999</v>
      </c>
      <c r="DM185" s="5">
        <f>BC185*'MASTER SHEET'!D185</f>
        <v>21556.799999999999</v>
      </c>
      <c r="DN185" s="5">
        <f>BF185*'MASTER SHEET'!D185</f>
        <v>21556.799999999999</v>
      </c>
      <c r="DO185" s="5">
        <f>BI185*'MASTER SHEET'!D185</f>
        <v>21556.799999999999</v>
      </c>
      <c r="DP185" s="5">
        <f>BL185*'MASTER SHEET'!D185</f>
        <v>21556.799999999999</v>
      </c>
      <c r="DQ185" s="5">
        <f>BO185*'MASTER SHEET'!D185</f>
        <v>21556.799999999999</v>
      </c>
      <c r="DR185" s="5">
        <f>BR185*'MASTER SHEET'!D185</f>
        <v>14371.199999999999</v>
      </c>
      <c r="DS185" s="5">
        <f>BU185*'MASTER SHEET'!D185</f>
        <v>14371.199999999999</v>
      </c>
      <c r="DT185" s="5">
        <f>BX185*'MASTER SHEET'!D185</f>
        <v>14371.199999999999</v>
      </c>
      <c r="DU185" s="5">
        <f>CA185*'MASTER SHEET'!D185</f>
        <v>14371.199999999999</v>
      </c>
      <c r="DV185" s="5">
        <f>CD185*'MASTER SHEET'!D185</f>
        <v>14371.199999999999</v>
      </c>
      <c r="DW185" s="5">
        <f>CG185*'MASTER SHEET'!D185</f>
        <v>7185.5999999999995</v>
      </c>
      <c r="DX185" s="5">
        <f>CJ185*'MASTER SHEET'!D185</f>
        <v>7185.5999999999995</v>
      </c>
      <c r="DY185" s="5">
        <f>CM185*'MASTER SHEET'!D185</f>
        <v>7185.5999999999995</v>
      </c>
      <c r="DZ185" s="5">
        <f>CP185*'MASTER SHEET'!D185</f>
        <v>7185.5999999999995</v>
      </c>
      <c r="EA185" s="5">
        <f>CS185*'MASTER SHEET'!D185</f>
        <v>7185.5999999999995</v>
      </c>
      <c r="EB185" s="9"/>
    </row>
    <row r="186" spans="1:132" ht="15.75" x14ac:dyDescent="0.25">
      <c r="A186" s="25">
        <f>'MASTER SHEET'!A186</f>
        <v>184</v>
      </c>
      <c r="B186" s="26" t="str">
        <f>'MASTER SHEET'!B186</f>
        <v>CENTERTUBE, PLASTIC</v>
      </c>
      <c r="C186" s="27">
        <f>'MASTER SHEET'!C186</f>
        <v>5046456</v>
      </c>
      <c r="D186" s="56">
        <v>1440</v>
      </c>
      <c r="E186" s="57">
        <f>' WIP '!F186</f>
        <v>0</v>
      </c>
      <c r="F186" s="58">
        <v>160</v>
      </c>
      <c r="G186" s="59">
        <f t="shared" si="228"/>
        <v>1280</v>
      </c>
      <c r="H186" s="57">
        <f>' WIP '!J186</f>
        <v>0</v>
      </c>
      <c r="I186" s="58">
        <v>0</v>
      </c>
      <c r="J186" s="59">
        <f t="shared" si="229"/>
        <v>1280</v>
      </c>
      <c r="K186" s="57">
        <f>' WIP '!N186</f>
        <v>0</v>
      </c>
      <c r="L186" s="58"/>
      <c r="M186" s="59">
        <f t="shared" si="230"/>
        <v>1280</v>
      </c>
      <c r="N186" s="57">
        <f>' WIP '!R186</f>
        <v>400</v>
      </c>
      <c r="O186" s="58">
        <v>0</v>
      </c>
      <c r="P186" s="59">
        <f t="shared" si="231"/>
        <v>1680</v>
      </c>
      <c r="Q186" s="57">
        <f>' WIP '!V186</f>
        <v>0</v>
      </c>
      <c r="R186" s="58">
        <v>160</v>
      </c>
      <c r="S186" s="59">
        <f t="shared" si="232"/>
        <v>1520</v>
      </c>
      <c r="T186" s="57">
        <f>' WIP '!Z186</f>
        <v>0</v>
      </c>
      <c r="U186" s="58">
        <v>0</v>
      </c>
      <c r="V186" s="59">
        <f t="shared" si="233"/>
        <v>1520</v>
      </c>
      <c r="W186" s="57">
        <f>' WIP '!AD186</f>
        <v>0</v>
      </c>
      <c r="X186" s="58">
        <v>0</v>
      </c>
      <c r="Y186" s="59">
        <f t="shared" si="234"/>
        <v>1520</v>
      </c>
      <c r="Z186" s="57">
        <f>' WIP '!AH186</f>
        <v>640</v>
      </c>
      <c r="AA186" s="58">
        <v>0</v>
      </c>
      <c r="AB186" s="59">
        <f t="shared" si="235"/>
        <v>2160</v>
      </c>
      <c r="AC186" s="57">
        <f>' WIP '!AL186</f>
        <v>0</v>
      </c>
      <c r="AD186" s="58">
        <v>0</v>
      </c>
      <c r="AE186" s="59">
        <f t="shared" si="236"/>
        <v>2160</v>
      </c>
      <c r="AF186" s="57">
        <f>' WIP '!AP186</f>
        <v>0</v>
      </c>
      <c r="AG186" s="114">
        <v>0</v>
      </c>
      <c r="AH186" s="59">
        <f t="shared" si="237"/>
        <v>2160</v>
      </c>
      <c r="AI186" s="57">
        <f>' WIP '!AT186</f>
        <v>0</v>
      </c>
      <c r="AJ186" s="58">
        <v>0</v>
      </c>
      <c r="AK186" s="59">
        <f t="shared" si="238"/>
        <v>2160</v>
      </c>
      <c r="AL186" s="57">
        <f>' WIP '!AX186</f>
        <v>0</v>
      </c>
      <c r="AM186" s="58"/>
      <c r="AN186" s="59">
        <f t="shared" si="239"/>
        <v>2160</v>
      </c>
      <c r="AO186" s="57">
        <f>' WIP '!BB186</f>
        <v>0</v>
      </c>
      <c r="AP186" s="58">
        <v>160</v>
      </c>
      <c r="AQ186" s="59">
        <f t="shared" si="240"/>
        <v>2000</v>
      </c>
      <c r="AR186" s="57">
        <f>' WIP '!BF186</f>
        <v>0</v>
      </c>
      <c r="AS186" s="58">
        <v>0</v>
      </c>
      <c r="AT186" s="59">
        <f t="shared" si="241"/>
        <v>2000</v>
      </c>
      <c r="AU186" s="57">
        <f>' WIP '!BJ186</f>
        <v>0</v>
      </c>
      <c r="AV186" s="58">
        <v>0</v>
      </c>
      <c r="AW186" s="59">
        <f t="shared" si="242"/>
        <v>2000</v>
      </c>
      <c r="AX186" s="57">
        <f>' WIP '!BN186</f>
        <v>0</v>
      </c>
      <c r="AY186" s="58">
        <v>0</v>
      </c>
      <c r="AZ186" s="59">
        <f t="shared" si="243"/>
        <v>2000</v>
      </c>
      <c r="BA186" s="57">
        <f>' WIP '!BR186</f>
        <v>0</v>
      </c>
      <c r="BB186" s="58">
        <v>0</v>
      </c>
      <c r="BC186" s="59">
        <f t="shared" si="244"/>
        <v>2000</v>
      </c>
      <c r="BD186" s="57">
        <f>' WIP '!BV186</f>
        <v>0</v>
      </c>
      <c r="BE186" s="58">
        <v>0</v>
      </c>
      <c r="BF186" s="59">
        <f t="shared" si="245"/>
        <v>2000</v>
      </c>
      <c r="BG186" s="57">
        <f>' WIP '!BZ186</f>
        <v>0</v>
      </c>
      <c r="BH186" s="58"/>
      <c r="BI186" s="59">
        <f t="shared" si="246"/>
        <v>2000</v>
      </c>
      <c r="BJ186" s="57">
        <f>' WIP '!CD186</f>
        <v>0</v>
      </c>
      <c r="BK186" s="58">
        <v>0</v>
      </c>
      <c r="BL186" s="59">
        <f t="shared" si="247"/>
        <v>2000</v>
      </c>
      <c r="BM186" s="57">
        <f>' WIP '!CH186</f>
        <v>0</v>
      </c>
      <c r="BN186" s="58">
        <v>0</v>
      </c>
      <c r="BO186" s="59">
        <f t="shared" si="248"/>
        <v>2000</v>
      </c>
      <c r="BP186" s="57">
        <f>' WIP '!CL186</f>
        <v>0</v>
      </c>
      <c r="BQ186" s="58">
        <v>80</v>
      </c>
      <c r="BR186" s="59">
        <f t="shared" si="249"/>
        <v>1920</v>
      </c>
      <c r="BS186" s="57">
        <f>' WIP '!CP186</f>
        <v>0</v>
      </c>
      <c r="BT186" s="58">
        <v>0</v>
      </c>
      <c r="BU186" s="59">
        <f t="shared" si="250"/>
        <v>1920</v>
      </c>
      <c r="BV186" s="57">
        <f>' WIP '!CT186</f>
        <v>0</v>
      </c>
      <c r="BW186" s="28">
        <v>0</v>
      </c>
      <c r="BX186" s="59">
        <f t="shared" si="251"/>
        <v>1920</v>
      </c>
      <c r="BY186" s="57">
        <f>' WIP '!CX186</f>
        <v>0</v>
      </c>
      <c r="BZ186" s="58">
        <v>80</v>
      </c>
      <c r="CA186" s="59">
        <f t="shared" si="252"/>
        <v>1840</v>
      </c>
      <c r="CB186" s="57">
        <f>' WIP '!DB186</f>
        <v>0</v>
      </c>
      <c r="CC186" s="58">
        <v>0</v>
      </c>
      <c r="CD186" s="59">
        <f t="shared" si="253"/>
        <v>1840</v>
      </c>
      <c r="CE186" s="57">
        <f>' WIP '!DF186</f>
        <v>0</v>
      </c>
      <c r="CF186" s="58">
        <v>0</v>
      </c>
      <c r="CG186" s="59">
        <f t="shared" si="254"/>
        <v>1840</v>
      </c>
      <c r="CH186" s="57">
        <f>' WIP '!DJ186</f>
        <v>0</v>
      </c>
      <c r="CI186" s="58">
        <v>0</v>
      </c>
      <c r="CJ186" s="59">
        <f t="shared" si="255"/>
        <v>1840</v>
      </c>
      <c r="CK186" s="57">
        <f>' WIP '!DN186</f>
        <v>0</v>
      </c>
      <c r="CL186" s="58">
        <v>0</v>
      </c>
      <c r="CM186" s="59">
        <f t="shared" si="256"/>
        <v>1840</v>
      </c>
      <c r="CN186" s="57">
        <f>' WIP '!DR186</f>
        <v>0</v>
      </c>
      <c r="CO186" s="57"/>
      <c r="CP186" s="59">
        <f t="shared" si="257"/>
        <v>1840</v>
      </c>
      <c r="CQ186" s="57">
        <f>' WIP '!DV186</f>
        <v>0</v>
      </c>
      <c r="CR186" s="58"/>
      <c r="CS186" s="59">
        <f t="shared" si="258"/>
        <v>1840</v>
      </c>
      <c r="CT186" s="31">
        <f t="shared" si="226"/>
        <v>2480</v>
      </c>
      <c r="CU186" s="4">
        <f t="shared" si="227"/>
        <v>640</v>
      </c>
      <c r="CV186" s="5">
        <f>D186*'MASTER SHEET'!D186</f>
        <v>20030.400000000001</v>
      </c>
      <c r="CW186" s="5">
        <f>G186*'MASTER SHEET'!D186</f>
        <v>17804.8</v>
      </c>
      <c r="CX186" s="5">
        <f>J186*'MASTER SHEET'!D186</f>
        <v>17804.8</v>
      </c>
      <c r="CY186" s="5">
        <f>M186*'MASTER SHEET'!D186</f>
        <v>17804.8</v>
      </c>
      <c r="CZ186" s="5">
        <f>P186*'MASTER SHEET'!D186</f>
        <v>23368.799999999999</v>
      </c>
      <c r="DA186" s="5">
        <f>S186*'MASTER SHEET'!D186</f>
        <v>21143.200000000001</v>
      </c>
      <c r="DB186" s="5">
        <f>V186*'MASTER SHEET'!D186</f>
        <v>21143.200000000001</v>
      </c>
      <c r="DC186" s="5">
        <f>Y186*'MASTER SHEET'!D186</f>
        <v>21143.200000000001</v>
      </c>
      <c r="DD186" s="5">
        <f>AB186*'MASTER SHEET'!D186</f>
        <v>30045.599999999999</v>
      </c>
      <c r="DE186" s="5">
        <f>AE186*'MASTER SHEET'!D186</f>
        <v>30045.599999999999</v>
      </c>
      <c r="DF186" s="5">
        <f>AH186*'MASTER SHEET'!D186</f>
        <v>30045.599999999999</v>
      </c>
      <c r="DG186" s="5">
        <f>AK186*'MASTER SHEET'!D186</f>
        <v>30045.599999999999</v>
      </c>
      <c r="DH186" s="5">
        <f>AN186*'MASTER SHEET'!D186</f>
        <v>30045.599999999999</v>
      </c>
      <c r="DI186" s="5">
        <f>AQ186*'MASTER SHEET'!D186</f>
        <v>27820</v>
      </c>
      <c r="DJ186" s="5">
        <f>AT186*'MASTER SHEET'!D186</f>
        <v>27820</v>
      </c>
      <c r="DK186" s="5">
        <f>AW186*'MASTER SHEET'!D186</f>
        <v>27820</v>
      </c>
      <c r="DL186" s="5">
        <f>AZ186*'MASTER SHEET'!D186</f>
        <v>27820</v>
      </c>
      <c r="DM186" s="5">
        <f>BC186*'MASTER SHEET'!D186</f>
        <v>27820</v>
      </c>
      <c r="DN186" s="5">
        <f>BF186*'MASTER SHEET'!D186</f>
        <v>27820</v>
      </c>
      <c r="DO186" s="5">
        <f>BI186*'MASTER SHEET'!D186</f>
        <v>27820</v>
      </c>
      <c r="DP186" s="5">
        <f>BL186*'MASTER SHEET'!D186</f>
        <v>27820</v>
      </c>
      <c r="DQ186" s="5">
        <f>BO186*'MASTER SHEET'!D186</f>
        <v>27820</v>
      </c>
      <c r="DR186" s="5">
        <f>BR186*'MASTER SHEET'!D186</f>
        <v>26707.200000000001</v>
      </c>
      <c r="DS186" s="5">
        <f>BU186*'MASTER SHEET'!D186</f>
        <v>26707.200000000001</v>
      </c>
      <c r="DT186" s="5">
        <f>BX186*'MASTER SHEET'!D186</f>
        <v>26707.200000000001</v>
      </c>
      <c r="DU186" s="5">
        <f>CA186*'MASTER SHEET'!D186</f>
        <v>25594.400000000001</v>
      </c>
      <c r="DV186" s="5">
        <f>CD186*'MASTER SHEET'!D186</f>
        <v>25594.400000000001</v>
      </c>
      <c r="DW186" s="5">
        <f>CG186*'MASTER SHEET'!D186</f>
        <v>25594.400000000001</v>
      </c>
      <c r="DX186" s="5">
        <f>CJ186*'MASTER SHEET'!D186</f>
        <v>25594.400000000001</v>
      </c>
      <c r="DY186" s="5">
        <f>CM186*'MASTER SHEET'!D186</f>
        <v>25594.400000000001</v>
      </c>
      <c r="DZ186" s="5">
        <f>CP186*'MASTER SHEET'!D186</f>
        <v>25594.400000000001</v>
      </c>
      <c r="EA186" s="5">
        <f>CS186*'MASTER SHEET'!D186</f>
        <v>25594.400000000001</v>
      </c>
      <c r="EB186" s="9"/>
    </row>
    <row r="187" spans="1:132" ht="15.75" x14ac:dyDescent="0.25">
      <c r="A187" s="25">
        <f>'MASTER SHEET'!A187</f>
        <v>185</v>
      </c>
      <c r="B187" s="26" t="str">
        <f>'MASTER SHEET'!B187</f>
        <v>KINETIC SHROUD</v>
      </c>
      <c r="C187" s="27" t="str">
        <f>'MASTER SHEET'!C187</f>
        <v>FS3200000A</v>
      </c>
      <c r="D187" s="56"/>
      <c r="E187" s="57">
        <f>' WIP '!F187</f>
        <v>0</v>
      </c>
      <c r="F187" s="58">
        <v>0</v>
      </c>
      <c r="G187" s="59">
        <f t="shared" si="228"/>
        <v>0</v>
      </c>
      <c r="H187" s="57">
        <f>' WIP '!J187</f>
        <v>612</v>
      </c>
      <c r="I187" s="58">
        <v>612</v>
      </c>
      <c r="J187" s="59">
        <f t="shared" si="229"/>
        <v>0</v>
      </c>
      <c r="K187" s="57">
        <f>' WIP '!N187</f>
        <v>0</v>
      </c>
      <c r="L187" s="58"/>
      <c r="M187" s="59">
        <f t="shared" si="230"/>
        <v>0</v>
      </c>
      <c r="N187" s="57">
        <f>' WIP '!R187</f>
        <v>0</v>
      </c>
      <c r="O187" s="58">
        <v>0</v>
      </c>
      <c r="P187" s="59">
        <f t="shared" si="231"/>
        <v>0</v>
      </c>
      <c r="Q187" s="57">
        <f>' WIP '!V187</f>
        <v>612</v>
      </c>
      <c r="R187" s="58">
        <v>612</v>
      </c>
      <c r="S187" s="59">
        <f t="shared" si="232"/>
        <v>0</v>
      </c>
      <c r="T187" s="57">
        <f>' WIP '!Z187</f>
        <v>738</v>
      </c>
      <c r="U187" s="58">
        <v>306</v>
      </c>
      <c r="V187" s="59">
        <f t="shared" si="233"/>
        <v>432</v>
      </c>
      <c r="W187" s="57">
        <f>' WIP '!AD187</f>
        <v>0</v>
      </c>
      <c r="X187" s="58">
        <v>306</v>
      </c>
      <c r="Y187" s="59">
        <f t="shared" si="234"/>
        <v>126</v>
      </c>
      <c r="Z187" s="57">
        <f>' WIP '!AH187</f>
        <v>0</v>
      </c>
      <c r="AA187" s="58">
        <v>0</v>
      </c>
      <c r="AB187" s="59">
        <f t="shared" si="235"/>
        <v>126</v>
      </c>
      <c r="AC187" s="57">
        <f>' WIP '!AL187</f>
        <v>666</v>
      </c>
      <c r="AD187" s="58">
        <v>324</v>
      </c>
      <c r="AE187" s="59">
        <f t="shared" si="236"/>
        <v>468</v>
      </c>
      <c r="AF187" s="57">
        <f>' WIP '!AP187</f>
        <v>0</v>
      </c>
      <c r="AG187" s="114">
        <v>432</v>
      </c>
      <c r="AH187" s="59">
        <f t="shared" si="237"/>
        <v>36</v>
      </c>
      <c r="AI187" s="57">
        <f>' WIP '!AT187</f>
        <v>270</v>
      </c>
      <c r="AJ187" s="58">
        <v>306</v>
      </c>
      <c r="AK187" s="59">
        <f t="shared" si="238"/>
        <v>0</v>
      </c>
      <c r="AL187" s="57">
        <f>' WIP '!AX187</f>
        <v>0</v>
      </c>
      <c r="AM187" s="58"/>
      <c r="AN187" s="59">
        <f t="shared" si="239"/>
        <v>0</v>
      </c>
      <c r="AO187" s="57">
        <f>' WIP '!BB187</f>
        <v>0</v>
      </c>
      <c r="AP187" s="58">
        <v>0</v>
      </c>
      <c r="AQ187" s="59">
        <f t="shared" si="240"/>
        <v>0</v>
      </c>
      <c r="AR187" s="57">
        <f>' WIP '!BF187</f>
        <v>0</v>
      </c>
      <c r="AS187" s="58">
        <v>0</v>
      </c>
      <c r="AT187" s="59">
        <f t="shared" si="241"/>
        <v>0</v>
      </c>
      <c r="AU187" s="57">
        <f>' WIP '!BJ187</f>
        <v>0</v>
      </c>
      <c r="AV187" s="58">
        <v>0</v>
      </c>
      <c r="AW187" s="59">
        <f t="shared" si="242"/>
        <v>0</v>
      </c>
      <c r="AX187" s="57">
        <f>' WIP '!BN187</f>
        <v>0</v>
      </c>
      <c r="AY187" s="58">
        <v>0</v>
      </c>
      <c r="AZ187" s="59">
        <f t="shared" si="243"/>
        <v>0</v>
      </c>
      <c r="BA187" s="57">
        <f>' WIP '!BR187</f>
        <v>0</v>
      </c>
      <c r="BB187" s="58">
        <v>0</v>
      </c>
      <c r="BC187" s="59">
        <f t="shared" si="244"/>
        <v>0</v>
      </c>
      <c r="BD187" s="57">
        <f>' WIP '!BV187</f>
        <v>1350</v>
      </c>
      <c r="BE187" s="58">
        <v>306</v>
      </c>
      <c r="BF187" s="59">
        <f t="shared" si="245"/>
        <v>1044</v>
      </c>
      <c r="BG187" s="57">
        <f>' WIP '!BZ187</f>
        <v>0</v>
      </c>
      <c r="BH187" s="58"/>
      <c r="BI187" s="59">
        <f t="shared" si="246"/>
        <v>1044</v>
      </c>
      <c r="BJ187" s="57">
        <f>' WIP '!CD187</f>
        <v>0</v>
      </c>
      <c r="BK187" s="58">
        <v>306</v>
      </c>
      <c r="BL187" s="59">
        <f t="shared" si="247"/>
        <v>738</v>
      </c>
      <c r="BM187" s="57">
        <f>' WIP '!CH187</f>
        <v>0</v>
      </c>
      <c r="BN187" s="58">
        <v>306</v>
      </c>
      <c r="BO187" s="59">
        <f t="shared" si="248"/>
        <v>432</v>
      </c>
      <c r="BP187" s="57">
        <f>' WIP '!CL187</f>
        <v>0</v>
      </c>
      <c r="BQ187" s="58"/>
      <c r="BR187" s="59">
        <f t="shared" si="249"/>
        <v>432</v>
      </c>
      <c r="BS187" s="57">
        <f>' WIP '!CP187</f>
        <v>0</v>
      </c>
      <c r="BT187" s="58">
        <v>0</v>
      </c>
      <c r="BU187" s="59">
        <f t="shared" si="250"/>
        <v>432</v>
      </c>
      <c r="BV187" s="57">
        <f>' WIP '!CT187</f>
        <v>1008</v>
      </c>
      <c r="BW187" s="28">
        <v>612</v>
      </c>
      <c r="BX187" s="59">
        <f t="shared" si="251"/>
        <v>828</v>
      </c>
      <c r="BY187" s="57">
        <f>' WIP '!CX187</f>
        <v>0</v>
      </c>
      <c r="BZ187" s="58">
        <v>288</v>
      </c>
      <c r="CA187" s="59">
        <f t="shared" si="252"/>
        <v>540</v>
      </c>
      <c r="CB187" s="57">
        <f>' WIP '!DB187</f>
        <v>0</v>
      </c>
      <c r="CC187" s="58">
        <v>306</v>
      </c>
      <c r="CD187" s="59">
        <f t="shared" si="253"/>
        <v>234</v>
      </c>
      <c r="CE187" s="57">
        <f>' WIP '!DF187</f>
        <v>0</v>
      </c>
      <c r="CF187" s="58">
        <v>216</v>
      </c>
      <c r="CG187" s="59">
        <f t="shared" si="254"/>
        <v>18</v>
      </c>
      <c r="CH187" s="57">
        <f>' WIP '!DJ187</f>
        <v>0</v>
      </c>
      <c r="CI187" s="58">
        <v>0</v>
      </c>
      <c r="CJ187" s="59">
        <f t="shared" si="255"/>
        <v>18</v>
      </c>
      <c r="CK187" s="57">
        <f>' WIP '!DN187</f>
        <v>0</v>
      </c>
      <c r="CL187" s="58">
        <v>0</v>
      </c>
      <c r="CM187" s="59">
        <f t="shared" si="256"/>
        <v>18</v>
      </c>
      <c r="CN187" s="57">
        <f>' WIP '!DR187</f>
        <v>0</v>
      </c>
      <c r="CO187" s="57"/>
      <c r="CP187" s="59">
        <f t="shared" si="257"/>
        <v>18</v>
      </c>
      <c r="CQ187" s="57">
        <f>' WIP '!DV187</f>
        <v>0</v>
      </c>
      <c r="CR187" s="58"/>
      <c r="CS187" s="59">
        <f t="shared" si="258"/>
        <v>18</v>
      </c>
      <c r="CT187" s="31">
        <f t="shared" si="226"/>
        <v>5256</v>
      </c>
      <c r="CU187" s="4">
        <f t="shared" si="227"/>
        <v>5238</v>
      </c>
      <c r="CV187" s="5">
        <f>D187*'MASTER SHEET'!D187</f>
        <v>0</v>
      </c>
      <c r="CW187" s="5">
        <f>G187*'MASTER SHEET'!D187</f>
        <v>0</v>
      </c>
      <c r="CX187" s="5">
        <f>J187*'MASTER SHEET'!D187</f>
        <v>0</v>
      </c>
      <c r="CY187" s="5">
        <f>M187*'MASTER SHEET'!D187</f>
        <v>0</v>
      </c>
      <c r="CZ187" s="5">
        <f>P187*'MASTER SHEET'!D187</f>
        <v>0</v>
      </c>
      <c r="DA187" s="5">
        <f>S187*'MASTER SHEET'!D187</f>
        <v>0</v>
      </c>
      <c r="DB187" s="5">
        <f>V187*'MASTER SHEET'!D187</f>
        <v>69068.160000000003</v>
      </c>
      <c r="DC187" s="5">
        <f>Y187*'MASTER SHEET'!D187</f>
        <v>20144.88</v>
      </c>
      <c r="DD187" s="5">
        <f>AB187*'MASTER SHEET'!D187</f>
        <v>20144.88</v>
      </c>
      <c r="DE187" s="5">
        <f>AE187*'MASTER SHEET'!D187</f>
        <v>74823.839999999997</v>
      </c>
      <c r="DF187" s="5">
        <f>AH187*'MASTER SHEET'!D187</f>
        <v>5755.68</v>
      </c>
      <c r="DG187" s="5">
        <f>AK187*'MASTER SHEET'!D187</f>
        <v>0</v>
      </c>
      <c r="DH187" s="5">
        <f>AN187*'MASTER SHEET'!D187</f>
        <v>0</v>
      </c>
      <c r="DI187" s="5">
        <f>AQ187*'MASTER SHEET'!D187</f>
        <v>0</v>
      </c>
      <c r="DJ187" s="5">
        <f>AT187*'MASTER SHEET'!D187</f>
        <v>0</v>
      </c>
      <c r="DK187" s="5">
        <f>AW187*'MASTER SHEET'!D187</f>
        <v>0</v>
      </c>
      <c r="DL187" s="5">
        <f>AZ187*'MASTER SHEET'!D187</f>
        <v>0</v>
      </c>
      <c r="DM187" s="5">
        <f>BC187*'MASTER SHEET'!D187</f>
        <v>0</v>
      </c>
      <c r="DN187" s="5">
        <f>BF187*'MASTER SHEET'!D187</f>
        <v>166914.72</v>
      </c>
      <c r="DO187" s="5">
        <f>BI187*'MASTER SHEET'!D187</f>
        <v>166914.72</v>
      </c>
      <c r="DP187" s="5">
        <f>BL187*'MASTER SHEET'!D187</f>
        <v>117991.44</v>
      </c>
      <c r="DQ187" s="5">
        <f>BO187*'MASTER SHEET'!D187</f>
        <v>69068.160000000003</v>
      </c>
      <c r="DR187" s="5">
        <f>BR187*'MASTER SHEET'!D187</f>
        <v>69068.160000000003</v>
      </c>
      <c r="DS187" s="5">
        <f>BU187*'MASTER SHEET'!D187</f>
        <v>69068.160000000003</v>
      </c>
      <c r="DT187" s="5">
        <f>BX187*'MASTER SHEET'!D187</f>
        <v>132380.63999999998</v>
      </c>
      <c r="DU187" s="5">
        <f>CA187*'MASTER SHEET'!D187</f>
        <v>86335.2</v>
      </c>
      <c r="DV187" s="5">
        <f>CD187*'MASTER SHEET'!D187</f>
        <v>37411.919999999998</v>
      </c>
      <c r="DW187" s="5">
        <f>CG187*'MASTER SHEET'!D187</f>
        <v>2877.84</v>
      </c>
      <c r="DX187" s="5">
        <f>CJ187*'MASTER SHEET'!D187</f>
        <v>2877.84</v>
      </c>
      <c r="DY187" s="5">
        <f>CM187*'MASTER SHEET'!D187</f>
        <v>2877.84</v>
      </c>
      <c r="DZ187" s="5">
        <f>CP187*'MASTER SHEET'!D187</f>
        <v>2877.84</v>
      </c>
      <c r="EA187" s="5">
        <f>CS187*'MASTER SHEET'!D187</f>
        <v>2877.84</v>
      </c>
      <c r="EB187" s="9"/>
    </row>
    <row r="188" spans="1:132" ht="15.75" x14ac:dyDescent="0.25">
      <c r="A188" s="25">
        <f>'MASTER SHEET'!A188</f>
        <v>186</v>
      </c>
      <c r="B188" s="26" t="str">
        <f>'MASTER SHEET'!B188</f>
        <v>PREMIER SEALS</v>
      </c>
      <c r="C188" s="27">
        <f>'MASTER SHEET'!C188</f>
        <v>5024440</v>
      </c>
      <c r="D188" s="56">
        <v>76</v>
      </c>
      <c r="E188" s="57">
        <f>' WIP '!F188</f>
        <v>0</v>
      </c>
      <c r="F188" s="58">
        <v>0</v>
      </c>
      <c r="G188" s="59">
        <f t="shared" si="228"/>
        <v>76</v>
      </c>
      <c r="H188" s="57">
        <f>' WIP '!J188</f>
        <v>0</v>
      </c>
      <c r="I188" s="58">
        <v>0</v>
      </c>
      <c r="J188" s="59">
        <f t="shared" si="229"/>
        <v>76</v>
      </c>
      <c r="K188" s="57">
        <f>' WIP '!N188</f>
        <v>0</v>
      </c>
      <c r="L188" s="58"/>
      <c r="M188" s="59">
        <f t="shared" si="230"/>
        <v>76</v>
      </c>
      <c r="N188" s="57">
        <f>' WIP '!R188</f>
        <v>0</v>
      </c>
      <c r="O188" s="58">
        <v>0</v>
      </c>
      <c r="P188" s="59">
        <f t="shared" si="231"/>
        <v>76</v>
      </c>
      <c r="Q188" s="57">
        <f>' WIP '!V188</f>
        <v>0</v>
      </c>
      <c r="R188" s="58">
        <v>0</v>
      </c>
      <c r="S188" s="59">
        <f t="shared" si="232"/>
        <v>76</v>
      </c>
      <c r="T188" s="57">
        <f>' WIP '!Z188</f>
        <v>0</v>
      </c>
      <c r="U188" s="58">
        <v>0</v>
      </c>
      <c r="V188" s="59">
        <f t="shared" si="233"/>
        <v>76</v>
      </c>
      <c r="W188" s="57">
        <f>' WIP '!AD188</f>
        <v>0</v>
      </c>
      <c r="X188" s="58">
        <v>0</v>
      </c>
      <c r="Y188" s="59">
        <f t="shared" si="234"/>
        <v>76</v>
      </c>
      <c r="Z188" s="57">
        <f>' WIP '!AH188</f>
        <v>0</v>
      </c>
      <c r="AA188" s="58">
        <v>0</v>
      </c>
      <c r="AB188" s="59">
        <f t="shared" si="235"/>
        <v>76</v>
      </c>
      <c r="AC188" s="57">
        <f>' WIP '!AL188</f>
        <v>0</v>
      </c>
      <c r="AD188" s="58">
        <v>0</v>
      </c>
      <c r="AE188" s="59">
        <f t="shared" si="236"/>
        <v>76</v>
      </c>
      <c r="AF188" s="57">
        <f>' WIP '!AP188</f>
        <v>0</v>
      </c>
      <c r="AG188" s="114">
        <v>0</v>
      </c>
      <c r="AH188" s="59">
        <f t="shared" si="237"/>
        <v>76</v>
      </c>
      <c r="AI188" s="57">
        <f>' WIP '!AT188</f>
        <v>0</v>
      </c>
      <c r="AJ188" s="58">
        <v>0</v>
      </c>
      <c r="AK188" s="59">
        <f t="shared" si="238"/>
        <v>76</v>
      </c>
      <c r="AL188" s="57">
        <f>' WIP '!AX188</f>
        <v>0</v>
      </c>
      <c r="AM188" s="58"/>
      <c r="AN188" s="59">
        <f t="shared" si="239"/>
        <v>76</v>
      </c>
      <c r="AO188" s="57">
        <f>' WIP '!BB188</f>
        <v>0</v>
      </c>
      <c r="AP188" s="58">
        <v>0</v>
      </c>
      <c r="AQ188" s="59">
        <f t="shared" si="240"/>
        <v>76</v>
      </c>
      <c r="AR188" s="57">
        <f>' WIP '!BF188</f>
        <v>0</v>
      </c>
      <c r="AS188" s="58">
        <v>0</v>
      </c>
      <c r="AT188" s="59">
        <f t="shared" si="241"/>
        <v>76</v>
      </c>
      <c r="AU188" s="57">
        <f>' WIP '!BJ188</f>
        <v>0</v>
      </c>
      <c r="AV188" s="58">
        <v>0</v>
      </c>
      <c r="AW188" s="59">
        <f t="shared" si="242"/>
        <v>76</v>
      </c>
      <c r="AX188" s="57">
        <f>' WIP '!BN188</f>
        <v>0</v>
      </c>
      <c r="AY188" s="58">
        <v>0</v>
      </c>
      <c r="AZ188" s="59">
        <f t="shared" si="243"/>
        <v>76</v>
      </c>
      <c r="BA188" s="57">
        <f>' WIP '!BR188</f>
        <v>0</v>
      </c>
      <c r="BB188" s="58">
        <v>0</v>
      </c>
      <c r="BC188" s="59">
        <f t="shared" si="244"/>
        <v>76</v>
      </c>
      <c r="BD188" s="57">
        <f>' WIP '!BV188</f>
        <v>0</v>
      </c>
      <c r="BE188" s="58">
        <v>0</v>
      </c>
      <c r="BF188" s="59">
        <f t="shared" si="245"/>
        <v>76</v>
      </c>
      <c r="BG188" s="57">
        <f>' WIP '!BZ188</f>
        <v>0</v>
      </c>
      <c r="BH188" s="58"/>
      <c r="BI188" s="59">
        <f t="shared" si="246"/>
        <v>76</v>
      </c>
      <c r="BJ188" s="57">
        <f>' WIP '!CD188</f>
        <v>0</v>
      </c>
      <c r="BK188" s="58">
        <v>0</v>
      </c>
      <c r="BL188" s="59">
        <f t="shared" si="247"/>
        <v>76</v>
      </c>
      <c r="BM188" s="57">
        <f>' WIP '!CH188</f>
        <v>0</v>
      </c>
      <c r="BN188" s="58">
        <v>0</v>
      </c>
      <c r="BO188" s="59">
        <f t="shared" si="248"/>
        <v>76</v>
      </c>
      <c r="BP188" s="57">
        <f>' WIP '!CL188</f>
        <v>0</v>
      </c>
      <c r="BQ188" s="58"/>
      <c r="BR188" s="59">
        <f t="shared" si="249"/>
        <v>76</v>
      </c>
      <c r="BS188" s="57">
        <f>' WIP '!CP188</f>
        <v>0</v>
      </c>
      <c r="BT188" s="58">
        <v>0</v>
      </c>
      <c r="BU188" s="59">
        <f t="shared" si="250"/>
        <v>76</v>
      </c>
      <c r="BV188" s="57">
        <f>' WIP '!CT188</f>
        <v>0</v>
      </c>
      <c r="BW188" s="28">
        <v>0</v>
      </c>
      <c r="BX188" s="59">
        <f t="shared" si="251"/>
        <v>76</v>
      </c>
      <c r="BY188" s="57">
        <f>' WIP '!CX188</f>
        <v>0</v>
      </c>
      <c r="BZ188" s="58">
        <v>0</v>
      </c>
      <c r="CA188" s="59">
        <f t="shared" si="252"/>
        <v>76</v>
      </c>
      <c r="CB188" s="57">
        <f>' WIP '!DB188</f>
        <v>0</v>
      </c>
      <c r="CC188" s="58">
        <v>0</v>
      </c>
      <c r="CD188" s="59">
        <f t="shared" si="253"/>
        <v>76</v>
      </c>
      <c r="CE188" s="57">
        <f>' WIP '!DF188</f>
        <v>0</v>
      </c>
      <c r="CF188" s="58">
        <v>0</v>
      </c>
      <c r="CG188" s="59">
        <f t="shared" si="254"/>
        <v>76</v>
      </c>
      <c r="CH188" s="57">
        <f>' WIP '!DJ188</f>
        <v>0</v>
      </c>
      <c r="CI188" s="58">
        <v>0</v>
      </c>
      <c r="CJ188" s="59">
        <f t="shared" si="255"/>
        <v>76</v>
      </c>
      <c r="CK188" s="57">
        <f>' WIP '!DN188</f>
        <v>0</v>
      </c>
      <c r="CL188" s="58">
        <v>0</v>
      </c>
      <c r="CM188" s="59">
        <f t="shared" si="256"/>
        <v>76</v>
      </c>
      <c r="CN188" s="57">
        <f>' WIP '!DR188</f>
        <v>0</v>
      </c>
      <c r="CO188" s="57"/>
      <c r="CP188" s="59">
        <f t="shared" si="257"/>
        <v>76</v>
      </c>
      <c r="CQ188" s="57">
        <f>' WIP '!DV188</f>
        <v>0</v>
      </c>
      <c r="CR188" s="58"/>
      <c r="CS188" s="59">
        <f t="shared" si="258"/>
        <v>76</v>
      </c>
      <c r="CT188" s="31">
        <f t="shared" si="226"/>
        <v>76</v>
      </c>
      <c r="CU188" s="4">
        <f t="shared" si="227"/>
        <v>0</v>
      </c>
      <c r="CV188" s="5">
        <f>D188*'MASTER SHEET'!D188</f>
        <v>6323.9599999999991</v>
      </c>
      <c r="CW188" s="5">
        <f>G188*'MASTER SHEET'!D188</f>
        <v>6323.9599999999991</v>
      </c>
      <c r="CX188" s="5">
        <f>J188*'MASTER SHEET'!D188</f>
        <v>6323.9599999999991</v>
      </c>
      <c r="CY188" s="5">
        <f>M188*'MASTER SHEET'!D188</f>
        <v>6323.9599999999991</v>
      </c>
      <c r="CZ188" s="5">
        <f>P188*'MASTER SHEET'!D188</f>
        <v>6323.9599999999991</v>
      </c>
      <c r="DA188" s="5">
        <f>S188*'MASTER SHEET'!D188</f>
        <v>6323.9599999999991</v>
      </c>
      <c r="DB188" s="5">
        <f>V188*'MASTER SHEET'!D188</f>
        <v>6323.9599999999991</v>
      </c>
      <c r="DC188" s="5">
        <f>Y188*'MASTER SHEET'!D188</f>
        <v>6323.9599999999991</v>
      </c>
      <c r="DD188" s="5">
        <f>AB188*'MASTER SHEET'!D188</f>
        <v>6323.9599999999991</v>
      </c>
      <c r="DE188" s="5">
        <f>AE188*'MASTER SHEET'!D188</f>
        <v>6323.9599999999991</v>
      </c>
      <c r="DF188" s="5">
        <f>AH188*'MASTER SHEET'!D188</f>
        <v>6323.9599999999991</v>
      </c>
      <c r="DG188" s="5">
        <f>AK188*'MASTER SHEET'!D188</f>
        <v>6323.9599999999991</v>
      </c>
      <c r="DH188" s="5">
        <f>AN188*'MASTER SHEET'!D188</f>
        <v>6323.9599999999991</v>
      </c>
      <c r="DI188" s="5">
        <f>AQ188*'MASTER SHEET'!D188</f>
        <v>6323.9599999999991</v>
      </c>
      <c r="DJ188" s="5">
        <f>AT188*'MASTER SHEET'!D188</f>
        <v>6323.9599999999991</v>
      </c>
      <c r="DK188" s="5">
        <f>AW188*'MASTER SHEET'!D188</f>
        <v>6323.9599999999991</v>
      </c>
      <c r="DL188" s="5">
        <f>AZ188*'MASTER SHEET'!D188</f>
        <v>6323.9599999999991</v>
      </c>
      <c r="DM188" s="5">
        <f>BC188*'MASTER SHEET'!D188</f>
        <v>6323.9599999999991</v>
      </c>
      <c r="DN188" s="5">
        <f>BF188*'MASTER SHEET'!D188</f>
        <v>6323.9599999999991</v>
      </c>
      <c r="DO188" s="5">
        <f>BI188*'MASTER SHEET'!D188</f>
        <v>6323.9599999999991</v>
      </c>
      <c r="DP188" s="5">
        <f>BL188*'MASTER SHEET'!D188</f>
        <v>6323.9599999999991</v>
      </c>
      <c r="DQ188" s="5">
        <f>BO188*'MASTER SHEET'!D188</f>
        <v>6323.9599999999991</v>
      </c>
      <c r="DR188" s="5">
        <f>BR188*'MASTER SHEET'!D188</f>
        <v>6323.9599999999991</v>
      </c>
      <c r="DS188" s="5">
        <f>BU188*'MASTER SHEET'!D188</f>
        <v>6323.9599999999991</v>
      </c>
      <c r="DT188" s="5">
        <f>BX188*'MASTER SHEET'!D188</f>
        <v>6323.9599999999991</v>
      </c>
      <c r="DU188" s="5">
        <f>CA188*'MASTER SHEET'!D188</f>
        <v>6323.9599999999991</v>
      </c>
      <c r="DV188" s="5">
        <f>CD188*'MASTER SHEET'!D188</f>
        <v>6323.9599999999991</v>
      </c>
      <c r="DW188" s="5">
        <f>CG188*'MASTER SHEET'!D188</f>
        <v>6323.9599999999991</v>
      </c>
      <c r="DX188" s="5">
        <f>CJ188*'MASTER SHEET'!D188</f>
        <v>6323.9599999999991</v>
      </c>
      <c r="DY188" s="5">
        <f>CM188*'MASTER SHEET'!D188</f>
        <v>6323.9599999999991</v>
      </c>
      <c r="DZ188" s="5">
        <f>CP188*'MASTER SHEET'!D188</f>
        <v>6323.9599999999991</v>
      </c>
      <c r="EA188" s="5">
        <f>CS188*'MASTER SHEET'!D188</f>
        <v>6323.9599999999991</v>
      </c>
      <c r="EB188" s="9"/>
    </row>
    <row r="189" spans="1:132" ht="15.75" x14ac:dyDescent="0.25">
      <c r="A189" s="25">
        <f>'MASTER SHEET'!A189</f>
        <v>187</v>
      </c>
      <c r="B189" s="26">
        <f>'MASTER SHEET'!B189</f>
        <v>0</v>
      </c>
      <c r="C189" s="27">
        <f>'MASTER SHEET'!C189</f>
        <v>5038799</v>
      </c>
      <c r="D189" s="56">
        <v>7</v>
      </c>
      <c r="E189" s="57">
        <f>' WIP '!F189</f>
        <v>0</v>
      </c>
      <c r="F189" s="58">
        <v>0</v>
      </c>
      <c r="G189" s="59">
        <f t="shared" si="228"/>
        <v>7</v>
      </c>
      <c r="H189" s="57">
        <f>' WIP '!J189</f>
        <v>0</v>
      </c>
      <c r="I189" s="58">
        <v>0</v>
      </c>
      <c r="J189" s="59">
        <f t="shared" si="229"/>
        <v>7</v>
      </c>
      <c r="K189" s="57">
        <f>' WIP '!N189</f>
        <v>0</v>
      </c>
      <c r="L189" s="58"/>
      <c r="M189" s="59">
        <f t="shared" si="230"/>
        <v>7</v>
      </c>
      <c r="N189" s="57">
        <f>' WIP '!R189</f>
        <v>0</v>
      </c>
      <c r="O189" s="58">
        <v>0</v>
      </c>
      <c r="P189" s="59">
        <f t="shared" si="231"/>
        <v>7</v>
      </c>
      <c r="Q189" s="57">
        <f>' WIP '!V189</f>
        <v>0</v>
      </c>
      <c r="R189" s="58">
        <v>0</v>
      </c>
      <c r="S189" s="59">
        <f t="shared" si="232"/>
        <v>7</v>
      </c>
      <c r="T189" s="57">
        <f>' WIP '!Z189</f>
        <v>0</v>
      </c>
      <c r="U189" s="58">
        <v>0</v>
      </c>
      <c r="V189" s="59">
        <f t="shared" si="233"/>
        <v>7</v>
      </c>
      <c r="W189" s="57">
        <f>' WIP '!AD189</f>
        <v>0</v>
      </c>
      <c r="X189" s="58">
        <v>0</v>
      </c>
      <c r="Y189" s="59">
        <f t="shared" si="234"/>
        <v>7</v>
      </c>
      <c r="Z189" s="57">
        <f>' WIP '!AH189</f>
        <v>0</v>
      </c>
      <c r="AA189" s="58">
        <v>0</v>
      </c>
      <c r="AB189" s="59">
        <f t="shared" si="235"/>
        <v>7</v>
      </c>
      <c r="AC189" s="57">
        <f>' WIP '!AL189</f>
        <v>0</v>
      </c>
      <c r="AD189" s="58">
        <v>0</v>
      </c>
      <c r="AE189" s="59">
        <f t="shared" si="236"/>
        <v>7</v>
      </c>
      <c r="AF189" s="57">
        <f>' WIP '!AP189</f>
        <v>0</v>
      </c>
      <c r="AG189" s="114">
        <v>0</v>
      </c>
      <c r="AH189" s="59">
        <f t="shared" si="237"/>
        <v>7</v>
      </c>
      <c r="AI189" s="57">
        <f>' WIP '!AT189</f>
        <v>0</v>
      </c>
      <c r="AJ189" s="58">
        <v>0</v>
      </c>
      <c r="AK189" s="59">
        <f t="shared" si="238"/>
        <v>7</v>
      </c>
      <c r="AL189" s="57">
        <f>' WIP '!AX189</f>
        <v>0</v>
      </c>
      <c r="AM189" s="58"/>
      <c r="AN189" s="59">
        <f t="shared" si="239"/>
        <v>7</v>
      </c>
      <c r="AO189" s="57">
        <f>' WIP '!BB189</f>
        <v>0</v>
      </c>
      <c r="AP189" s="58">
        <v>0</v>
      </c>
      <c r="AQ189" s="59">
        <f t="shared" si="240"/>
        <v>7</v>
      </c>
      <c r="AR189" s="57">
        <f>' WIP '!BF189</f>
        <v>0</v>
      </c>
      <c r="AS189" s="58">
        <v>0</v>
      </c>
      <c r="AT189" s="59">
        <f t="shared" si="241"/>
        <v>7</v>
      </c>
      <c r="AU189" s="57">
        <f>' WIP '!BJ189</f>
        <v>0</v>
      </c>
      <c r="AV189" s="58">
        <v>0</v>
      </c>
      <c r="AW189" s="59">
        <f t="shared" si="242"/>
        <v>7</v>
      </c>
      <c r="AX189" s="57">
        <f>' WIP '!BN189</f>
        <v>0</v>
      </c>
      <c r="AY189" s="58">
        <v>0</v>
      </c>
      <c r="AZ189" s="59">
        <f t="shared" si="243"/>
        <v>7</v>
      </c>
      <c r="BA189" s="57">
        <f>' WIP '!BR189</f>
        <v>0</v>
      </c>
      <c r="BB189" s="58">
        <v>0</v>
      </c>
      <c r="BC189" s="59">
        <f t="shared" si="244"/>
        <v>7</v>
      </c>
      <c r="BD189" s="57">
        <f>' WIP '!BV189</f>
        <v>0</v>
      </c>
      <c r="BE189" s="58">
        <v>0</v>
      </c>
      <c r="BF189" s="59">
        <f t="shared" si="245"/>
        <v>7</v>
      </c>
      <c r="BG189" s="57">
        <f>' WIP '!BZ189</f>
        <v>0</v>
      </c>
      <c r="BH189" s="58"/>
      <c r="BI189" s="59">
        <f t="shared" si="246"/>
        <v>7</v>
      </c>
      <c r="BJ189" s="57">
        <f>' WIP '!CD189</f>
        <v>0</v>
      </c>
      <c r="BK189" s="58">
        <v>0</v>
      </c>
      <c r="BL189" s="59">
        <f t="shared" si="247"/>
        <v>7</v>
      </c>
      <c r="BM189" s="57">
        <f>' WIP '!CH189</f>
        <v>0</v>
      </c>
      <c r="BN189" s="58">
        <v>0</v>
      </c>
      <c r="BO189" s="59">
        <f t="shared" si="248"/>
        <v>7</v>
      </c>
      <c r="BP189" s="57">
        <f>' WIP '!CL189</f>
        <v>0</v>
      </c>
      <c r="BQ189" s="58"/>
      <c r="BR189" s="59">
        <f t="shared" si="249"/>
        <v>7</v>
      </c>
      <c r="BS189" s="57">
        <f>' WIP '!CP189</f>
        <v>0</v>
      </c>
      <c r="BT189" s="58">
        <v>0</v>
      </c>
      <c r="BU189" s="59">
        <f t="shared" si="250"/>
        <v>7</v>
      </c>
      <c r="BV189" s="57">
        <f>' WIP '!CT189</f>
        <v>0</v>
      </c>
      <c r="BW189" s="28">
        <v>0</v>
      </c>
      <c r="BX189" s="59">
        <f t="shared" si="251"/>
        <v>7</v>
      </c>
      <c r="BY189" s="57">
        <f>' WIP '!CX189</f>
        <v>0</v>
      </c>
      <c r="BZ189" s="58">
        <v>0</v>
      </c>
      <c r="CA189" s="59">
        <f t="shared" si="252"/>
        <v>7</v>
      </c>
      <c r="CB189" s="57">
        <f>' WIP '!DB189</f>
        <v>0</v>
      </c>
      <c r="CC189" s="58">
        <v>0</v>
      </c>
      <c r="CD189" s="59">
        <f t="shared" si="253"/>
        <v>7</v>
      </c>
      <c r="CE189" s="57">
        <f>' WIP '!DF189</f>
        <v>0</v>
      </c>
      <c r="CF189" s="58">
        <v>0</v>
      </c>
      <c r="CG189" s="59">
        <f t="shared" si="254"/>
        <v>7</v>
      </c>
      <c r="CH189" s="57">
        <f>' WIP '!DJ189</f>
        <v>0</v>
      </c>
      <c r="CI189" s="58">
        <v>0</v>
      </c>
      <c r="CJ189" s="59">
        <f t="shared" si="255"/>
        <v>7</v>
      </c>
      <c r="CK189" s="57">
        <f>' WIP '!DN189</f>
        <v>0</v>
      </c>
      <c r="CL189" s="58">
        <v>0</v>
      </c>
      <c r="CM189" s="59">
        <f t="shared" si="256"/>
        <v>7</v>
      </c>
      <c r="CN189" s="57">
        <f>' WIP '!DR189</f>
        <v>0</v>
      </c>
      <c r="CO189" s="57"/>
      <c r="CP189" s="59">
        <f t="shared" si="257"/>
        <v>7</v>
      </c>
      <c r="CQ189" s="57">
        <f>' WIP '!DV189</f>
        <v>0</v>
      </c>
      <c r="CR189" s="58"/>
      <c r="CS189" s="59">
        <f t="shared" si="258"/>
        <v>7</v>
      </c>
      <c r="CT189" s="31">
        <f t="shared" si="226"/>
        <v>7</v>
      </c>
      <c r="CU189" s="4">
        <f t="shared" si="227"/>
        <v>0</v>
      </c>
      <c r="CV189" s="5">
        <f>D189*'MASTER SHEET'!D189</f>
        <v>665.98</v>
      </c>
      <c r="CW189" s="5">
        <f>G189*'MASTER SHEET'!D189</f>
        <v>665.98</v>
      </c>
      <c r="CX189" s="5">
        <f>J189*'MASTER SHEET'!D189</f>
        <v>665.98</v>
      </c>
      <c r="CY189" s="5">
        <f>M189*'MASTER SHEET'!D189</f>
        <v>665.98</v>
      </c>
      <c r="CZ189" s="5">
        <f>P189*'MASTER SHEET'!D189</f>
        <v>665.98</v>
      </c>
      <c r="DA189" s="5">
        <f>S189*'MASTER SHEET'!D189</f>
        <v>665.98</v>
      </c>
      <c r="DB189" s="5">
        <f>V189*'MASTER SHEET'!D189</f>
        <v>665.98</v>
      </c>
      <c r="DC189" s="5">
        <f>Y189*'MASTER SHEET'!D189</f>
        <v>665.98</v>
      </c>
      <c r="DD189" s="5">
        <f>AB189*'MASTER SHEET'!D189</f>
        <v>665.98</v>
      </c>
      <c r="DE189" s="5">
        <f>AE189*'MASTER SHEET'!D189</f>
        <v>665.98</v>
      </c>
      <c r="DF189" s="5">
        <f>AH189*'MASTER SHEET'!D189</f>
        <v>665.98</v>
      </c>
      <c r="DG189" s="5">
        <f>AK189*'MASTER SHEET'!D189</f>
        <v>665.98</v>
      </c>
      <c r="DH189" s="5">
        <f>AN189*'MASTER SHEET'!D189</f>
        <v>665.98</v>
      </c>
      <c r="DI189" s="5">
        <f>AQ189*'MASTER SHEET'!D189</f>
        <v>665.98</v>
      </c>
      <c r="DJ189" s="5">
        <f>AT189*'MASTER SHEET'!D189</f>
        <v>665.98</v>
      </c>
      <c r="DK189" s="5">
        <f>AW189*'MASTER SHEET'!D189</f>
        <v>665.98</v>
      </c>
      <c r="DL189" s="5">
        <f>AZ189*'MASTER SHEET'!D189</f>
        <v>665.98</v>
      </c>
      <c r="DM189" s="5">
        <f>BC189*'MASTER SHEET'!D189</f>
        <v>665.98</v>
      </c>
      <c r="DN189" s="5">
        <f>BF189*'MASTER SHEET'!D189</f>
        <v>665.98</v>
      </c>
      <c r="DO189" s="5">
        <f>BI189*'MASTER SHEET'!D189</f>
        <v>665.98</v>
      </c>
      <c r="DP189" s="5">
        <f>BL189*'MASTER SHEET'!D189</f>
        <v>665.98</v>
      </c>
      <c r="DQ189" s="5">
        <f>BO189*'MASTER SHEET'!D189</f>
        <v>665.98</v>
      </c>
      <c r="DR189" s="5">
        <f>BR189*'MASTER SHEET'!D189</f>
        <v>665.98</v>
      </c>
      <c r="DS189" s="5">
        <f>BU189*'MASTER SHEET'!D189</f>
        <v>665.98</v>
      </c>
      <c r="DT189" s="5">
        <f>BX189*'MASTER SHEET'!D189</f>
        <v>665.98</v>
      </c>
      <c r="DU189" s="5">
        <f>CA189*'MASTER SHEET'!D189</f>
        <v>665.98</v>
      </c>
      <c r="DV189" s="5">
        <f>CD189*'MASTER SHEET'!D189</f>
        <v>665.98</v>
      </c>
      <c r="DW189" s="5">
        <f>CG189*'MASTER SHEET'!D189</f>
        <v>665.98</v>
      </c>
      <c r="DX189" s="5">
        <f>CJ189*'MASTER SHEET'!D189</f>
        <v>665.98</v>
      </c>
      <c r="DY189" s="5">
        <f>CM189*'MASTER SHEET'!D189</f>
        <v>665.98</v>
      </c>
      <c r="DZ189" s="5">
        <f>CP189*'MASTER SHEET'!D189</f>
        <v>665.98</v>
      </c>
      <c r="EA189" s="5">
        <f>CS189*'MASTER SHEET'!D189</f>
        <v>665.98</v>
      </c>
      <c r="EB189" s="9"/>
    </row>
    <row r="190" spans="1:132" ht="15.75" x14ac:dyDescent="0.25">
      <c r="A190" s="25">
        <f>'MASTER SHEET'!A190</f>
        <v>188</v>
      </c>
      <c r="B190" s="26" t="str">
        <f>'MASTER SHEET'!B190</f>
        <v>COVER PLASTIC</v>
      </c>
      <c r="C190" s="27">
        <f>'MASTER SHEET'!C190</f>
        <v>5013929</v>
      </c>
      <c r="D190" s="56"/>
      <c r="E190" s="57">
        <f>' WIP '!F190</f>
        <v>0</v>
      </c>
      <c r="F190" s="58">
        <v>0</v>
      </c>
      <c r="G190" s="59">
        <f t="shared" si="228"/>
        <v>0</v>
      </c>
      <c r="H190" s="57">
        <f>' WIP '!J190</f>
        <v>0</v>
      </c>
      <c r="I190" s="58">
        <v>0</v>
      </c>
      <c r="J190" s="59">
        <f t="shared" si="229"/>
        <v>0</v>
      </c>
      <c r="K190" s="57">
        <f>' WIP '!N190</f>
        <v>0</v>
      </c>
      <c r="L190" s="58"/>
      <c r="M190" s="59">
        <f t="shared" si="230"/>
        <v>0</v>
      </c>
      <c r="N190" s="57">
        <f>' WIP '!R190</f>
        <v>0</v>
      </c>
      <c r="O190" s="58">
        <v>0</v>
      </c>
      <c r="P190" s="59">
        <f t="shared" si="231"/>
        <v>0</v>
      </c>
      <c r="Q190" s="57">
        <f>' WIP '!V190</f>
        <v>0</v>
      </c>
      <c r="R190" s="58">
        <v>0</v>
      </c>
      <c r="S190" s="59">
        <f t="shared" si="232"/>
        <v>0</v>
      </c>
      <c r="T190" s="57">
        <f>' WIP '!Z190</f>
        <v>0</v>
      </c>
      <c r="U190" s="58">
        <v>0</v>
      </c>
      <c r="V190" s="59">
        <f t="shared" si="233"/>
        <v>0</v>
      </c>
      <c r="W190" s="57">
        <f>' WIP '!AD190</f>
        <v>0</v>
      </c>
      <c r="X190" s="58">
        <v>0</v>
      </c>
      <c r="Y190" s="59">
        <f t="shared" si="234"/>
        <v>0</v>
      </c>
      <c r="Z190" s="57">
        <f>' WIP '!AH190</f>
        <v>0</v>
      </c>
      <c r="AA190" s="58">
        <v>0</v>
      </c>
      <c r="AB190" s="59">
        <f t="shared" si="235"/>
        <v>0</v>
      </c>
      <c r="AC190" s="57">
        <f>' WIP '!AL190</f>
        <v>0</v>
      </c>
      <c r="AD190" s="58">
        <v>0</v>
      </c>
      <c r="AE190" s="59">
        <f t="shared" si="236"/>
        <v>0</v>
      </c>
      <c r="AF190" s="57">
        <f>' WIP '!AP190</f>
        <v>0</v>
      </c>
      <c r="AG190" s="114">
        <v>0</v>
      </c>
      <c r="AH190" s="59">
        <f t="shared" si="237"/>
        <v>0</v>
      </c>
      <c r="AI190" s="57">
        <f>' WIP '!AT190</f>
        <v>0</v>
      </c>
      <c r="AJ190" s="58">
        <v>0</v>
      </c>
      <c r="AK190" s="59">
        <f t="shared" si="238"/>
        <v>0</v>
      </c>
      <c r="AL190" s="57">
        <f>' WIP '!AX190</f>
        <v>0</v>
      </c>
      <c r="AM190" s="58"/>
      <c r="AN190" s="59">
        <f t="shared" si="239"/>
        <v>0</v>
      </c>
      <c r="AO190" s="57">
        <f>' WIP '!BB190</f>
        <v>0</v>
      </c>
      <c r="AP190" s="58">
        <v>0</v>
      </c>
      <c r="AQ190" s="59">
        <f t="shared" si="240"/>
        <v>0</v>
      </c>
      <c r="AR190" s="57">
        <f>' WIP '!BF190</f>
        <v>0</v>
      </c>
      <c r="AS190" s="58">
        <v>0</v>
      </c>
      <c r="AT190" s="59">
        <f t="shared" si="241"/>
        <v>0</v>
      </c>
      <c r="AU190" s="57">
        <f>' WIP '!BJ190</f>
        <v>0</v>
      </c>
      <c r="AV190" s="58">
        <v>0</v>
      </c>
      <c r="AW190" s="59">
        <f t="shared" si="242"/>
        <v>0</v>
      </c>
      <c r="AX190" s="57">
        <f>' WIP '!BN190</f>
        <v>0</v>
      </c>
      <c r="AY190" s="58">
        <v>0</v>
      </c>
      <c r="AZ190" s="59">
        <f t="shared" si="243"/>
        <v>0</v>
      </c>
      <c r="BA190" s="57">
        <f>' WIP '!BR190</f>
        <v>0</v>
      </c>
      <c r="BB190" s="58">
        <v>0</v>
      </c>
      <c r="BC190" s="59">
        <f t="shared" si="244"/>
        <v>0</v>
      </c>
      <c r="BD190" s="57">
        <f>' WIP '!BV190</f>
        <v>0</v>
      </c>
      <c r="BE190" s="58">
        <v>0</v>
      </c>
      <c r="BF190" s="59">
        <f t="shared" si="245"/>
        <v>0</v>
      </c>
      <c r="BG190" s="57">
        <f>' WIP '!BZ190</f>
        <v>0</v>
      </c>
      <c r="BH190" s="58"/>
      <c r="BI190" s="59">
        <f t="shared" si="246"/>
        <v>0</v>
      </c>
      <c r="BJ190" s="57">
        <f>' WIP '!CD190</f>
        <v>0</v>
      </c>
      <c r="BK190" s="58">
        <v>0</v>
      </c>
      <c r="BL190" s="59">
        <f t="shared" si="247"/>
        <v>0</v>
      </c>
      <c r="BM190" s="57">
        <f>' WIP '!CH190</f>
        <v>0</v>
      </c>
      <c r="BN190" s="58">
        <v>0</v>
      </c>
      <c r="BO190" s="59">
        <f t="shared" si="248"/>
        <v>0</v>
      </c>
      <c r="BP190" s="57">
        <f>' WIP '!CL190</f>
        <v>0</v>
      </c>
      <c r="BQ190" s="58"/>
      <c r="BR190" s="59">
        <f t="shared" si="249"/>
        <v>0</v>
      </c>
      <c r="BS190" s="57">
        <f>' WIP '!CP190</f>
        <v>0</v>
      </c>
      <c r="BT190" s="58">
        <v>0</v>
      </c>
      <c r="BU190" s="59">
        <f t="shared" si="250"/>
        <v>0</v>
      </c>
      <c r="BV190" s="57">
        <f>' WIP '!CT190</f>
        <v>0</v>
      </c>
      <c r="BW190" s="28">
        <v>0</v>
      </c>
      <c r="BX190" s="59">
        <f t="shared" si="251"/>
        <v>0</v>
      </c>
      <c r="BY190" s="57">
        <f>' WIP '!CX190</f>
        <v>0</v>
      </c>
      <c r="BZ190" s="58">
        <v>0</v>
      </c>
      <c r="CA190" s="59">
        <f t="shared" si="252"/>
        <v>0</v>
      </c>
      <c r="CB190" s="57">
        <f>' WIP '!DB190</f>
        <v>0</v>
      </c>
      <c r="CC190" s="58">
        <v>0</v>
      </c>
      <c r="CD190" s="59">
        <f t="shared" si="253"/>
        <v>0</v>
      </c>
      <c r="CE190" s="57">
        <f>' WIP '!DF190</f>
        <v>0</v>
      </c>
      <c r="CF190" s="58">
        <v>0</v>
      </c>
      <c r="CG190" s="59">
        <f t="shared" si="254"/>
        <v>0</v>
      </c>
      <c r="CH190" s="57">
        <f>' WIP '!DJ190</f>
        <v>0</v>
      </c>
      <c r="CI190" s="58">
        <v>0</v>
      </c>
      <c r="CJ190" s="59">
        <f t="shared" si="255"/>
        <v>0</v>
      </c>
      <c r="CK190" s="57">
        <f>' WIP '!DN190</f>
        <v>0</v>
      </c>
      <c r="CL190" s="58">
        <v>0</v>
      </c>
      <c r="CM190" s="59">
        <f t="shared" si="256"/>
        <v>0</v>
      </c>
      <c r="CN190" s="57">
        <f>' WIP '!DR190</f>
        <v>0</v>
      </c>
      <c r="CO190" s="57"/>
      <c r="CP190" s="59">
        <f t="shared" si="257"/>
        <v>0</v>
      </c>
      <c r="CQ190" s="57">
        <f>' WIP '!DV190</f>
        <v>0</v>
      </c>
      <c r="CR190" s="58"/>
      <c r="CS190" s="59">
        <f t="shared" si="258"/>
        <v>0</v>
      </c>
      <c r="CT190" s="31">
        <f t="shared" si="226"/>
        <v>0</v>
      </c>
      <c r="CU190" s="4">
        <f t="shared" si="227"/>
        <v>0</v>
      </c>
      <c r="CV190" s="5">
        <f>D190*'MASTER SHEET'!D190</f>
        <v>0</v>
      </c>
      <c r="CW190" s="5">
        <f>G190*'MASTER SHEET'!D190</f>
        <v>0</v>
      </c>
      <c r="CX190" s="5">
        <f>J190*'MASTER SHEET'!D190</f>
        <v>0</v>
      </c>
      <c r="CY190" s="5">
        <f>M190*'MASTER SHEET'!D190</f>
        <v>0</v>
      </c>
      <c r="CZ190" s="5">
        <f>P190*'MASTER SHEET'!D190</f>
        <v>0</v>
      </c>
      <c r="DA190" s="5">
        <f>S190*'MASTER SHEET'!D190</f>
        <v>0</v>
      </c>
      <c r="DB190" s="5">
        <f>V190*'MASTER SHEET'!D190</f>
        <v>0</v>
      </c>
      <c r="DC190" s="5">
        <f>Y190*'MASTER SHEET'!D190</f>
        <v>0</v>
      </c>
      <c r="DD190" s="5">
        <f>AB190*'MASTER SHEET'!D190</f>
        <v>0</v>
      </c>
      <c r="DE190" s="5">
        <f>AE190*'MASTER SHEET'!D190</f>
        <v>0</v>
      </c>
      <c r="DF190" s="5">
        <f>AH190*'MASTER SHEET'!D190</f>
        <v>0</v>
      </c>
      <c r="DG190" s="5">
        <f>AK190*'MASTER SHEET'!D190</f>
        <v>0</v>
      </c>
      <c r="DH190" s="5">
        <f>AN190*'MASTER SHEET'!D190</f>
        <v>0</v>
      </c>
      <c r="DI190" s="5">
        <f>AQ190*'MASTER SHEET'!D190</f>
        <v>0</v>
      </c>
      <c r="DJ190" s="5">
        <f>AT190*'MASTER SHEET'!D190</f>
        <v>0</v>
      </c>
      <c r="DK190" s="5">
        <f>AW190*'MASTER SHEET'!D190</f>
        <v>0</v>
      </c>
      <c r="DL190" s="5">
        <f>AZ190*'MASTER SHEET'!D190</f>
        <v>0</v>
      </c>
      <c r="DM190" s="5">
        <f>BC190*'MASTER SHEET'!D190</f>
        <v>0</v>
      </c>
      <c r="DN190" s="5">
        <f>BF190*'MASTER SHEET'!D190</f>
        <v>0</v>
      </c>
      <c r="DO190" s="5">
        <f>BI190*'MASTER SHEET'!D190</f>
        <v>0</v>
      </c>
      <c r="DP190" s="5">
        <f>BL190*'MASTER SHEET'!D190</f>
        <v>0</v>
      </c>
      <c r="DQ190" s="5">
        <f>BO190*'MASTER SHEET'!D190</f>
        <v>0</v>
      </c>
      <c r="DR190" s="5">
        <f>BR190*'MASTER SHEET'!D190</f>
        <v>0</v>
      </c>
      <c r="DS190" s="5">
        <f>BU190*'MASTER SHEET'!D190</f>
        <v>0</v>
      </c>
      <c r="DT190" s="5">
        <f>BX190*'MASTER SHEET'!D190</f>
        <v>0</v>
      </c>
      <c r="DU190" s="5">
        <f>CA190*'MASTER SHEET'!D190</f>
        <v>0</v>
      </c>
      <c r="DV190" s="5">
        <f>CD190*'MASTER SHEET'!D190</f>
        <v>0</v>
      </c>
      <c r="DW190" s="5">
        <f>CG190*'MASTER SHEET'!D190</f>
        <v>0</v>
      </c>
      <c r="DX190" s="5">
        <f>CJ190*'MASTER SHEET'!D190</f>
        <v>0</v>
      </c>
      <c r="DY190" s="5">
        <f>CM190*'MASTER SHEET'!D190</f>
        <v>0</v>
      </c>
      <c r="DZ190" s="5">
        <f>CP190*'MASTER SHEET'!D190</f>
        <v>0</v>
      </c>
      <c r="EA190" s="5">
        <f>CS190*'MASTER SHEET'!D190</f>
        <v>0</v>
      </c>
      <c r="EB190" s="9"/>
    </row>
    <row r="191" spans="1:132" ht="15.75" x14ac:dyDescent="0.25">
      <c r="A191" s="25">
        <f>'MASTER SHEET'!A191</f>
        <v>189</v>
      </c>
      <c r="B191" s="26">
        <f>'MASTER SHEET'!B191</f>
        <v>0</v>
      </c>
      <c r="C191" s="27">
        <f>'MASTER SHEET'!C191</f>
        <v>5045480</v>
      </c>
      <c r="D191" s="56"/>
      <c r="E191" s="57">
        <f>' WIP '!F191</f>
        <v>0</v>
      </c>
      <c r="F191" s="58">
        <v>0</v>
      </c>
      <c r="G191" s="59">
        <f t="shared" si="228"/>
        <v>0</v>
      </c>
      <c r="H191" s="57">
        <f>' WIP '!J191</f>
        <v>0</v>
      </c>
      <c r="I191" s="58">
        <v>0</v>
      </c>
      <c r="J191" s="59">
        <f t="shared" si="229"/>
        <v>0</v>
      </c>
      <c r="K191" s="57">
        <f>' WIP '!N191</f>
        <v>0</v>
      </c>
      <c r="L191" s="58"/>
      <c r="M191" s="59">
        <f t="shared" si="230"/>
        <v>0</v>
      </c>
      <c r="N191" s="57">
        <f>' WIP '!R191</f>
        <v>0</v>
      </c>
      <c r="O191" s="58">
        <v>0</v>
      </c>
      <c r="P191" s="59">
        <f t="shared" si="231"/>
        <v>0</v>
      </c>
      <c r="Q191" s="57">
        <f>' WIP '!V191</f>
        <v>0</v>
      </c>
      <c r="R191" s="58">
        <v>0</v>
      </c>
      <c r="S191" s="59">
        <f t="shared" si="232"/>
        <v>0</v>
      </c>
      <c r="T191" s="57">
        <f>' WIP '!Z191</f>
        <v>0</v>
      </c>
      <c r="U191" s="58">
        <v>0</v>
      </c>
      <c r="V191" s="59">
        <f t="shared" si="233"/>
        <v>0</v>
      </c>
      <c r="W191" s="57">
        <f>' WIP '!AD191</f>
        <v>0</v>
      </c>
      <c r="X191" s="58">
        <v>0</v>
      </c>
      <c r="Y191" s="59">
        <f t="shared" si="234"/>
        <v>0</v>
      </c>
      <c r="Z191" s="57">
        <f>' WIP '!AH191</f>
        <v>0</v>
      </c>
      <c r="AA191" s="58">
        <v>0</v>
      </c>
      <c r="AB191" s="59">
        <f t="shared" si="235"/>
        <v>0</v>
      </c>
      <c r="AC191" s="57">
        <f>' WIP '!AL191</f>
        <v>0</v>
      </c>
      <c r="AD191" s="58">
        <v>0</v>
      </c>
      <c r="AE191" s="59">
        <f t="shared" si="236"/>
        <v>0</v>
      </c>
      <c r="AF191" s="57">
        <f>' WIP '!AP191</f>
        <v>0</v>
      </c>
      <c r="AG191" s="114">
        <v>0</v>
      </c>
      <c r="AH191" s="59">
        <f t="shared" si="237"/>
        <v>0</v>
      </c>
      <c r="AI191" s="57">
        <f>' WIP '!AT191</f>
        <v>0</v>
      </c>
      <c r="AJ191" s="58">
        <v>0</v>
      </c>
      <c r="AK191" s="59">
        <f t="shared" si="238"/>
        <v>0</v>
      </c>
      <c r="AL191" s="57">
        <f>' WIP '!AX191</f>
        <v>0</v>
      </c>
      <c r="AM191" s="58"/>
      <c r="AN191" s="59">
        <f t="shared" si="239"/>
        <v>0</v>
      </c>
      <c r="AO191" s="57">
        <f>' WIP '!BB191</f>
        <v>0</v>
      </c>
      <c r="AP191" s="58">
        <v>0</v>
      </c>
      <c r="AQ191" s="59">
        <f t="shared" si="240"/>
        <v>0</v>
      </c>
      <c r="AR191" s="57">
        <f>' WIP '!BF191</f>
        <v>0</v>
      </c>
      <c r="AS191" s="58">
        <v>0</v>
      </c>
      <c r="AT191" s="59">
        <f t="shared" si="241"/>
        <v>0</v>
      </c>
      <c r="AU191" s="57">
        <f>' WIP '!BJ191</f>
        <v>0</v>
      </c>
      <c r="AV191" s="58">
        <v>0</v>
      </c>
      <c r="AW191" s="59">
        <f t="shared" si="242"/>
        <v>0</v>
      </c>
      <c r="AX191" s="57">
        <f>' WIP '!BN191</f>
        <v>0</v>
      </c>
      <c r="AY191" s="58">
        <v>0</v>
      </c>
      <c r="AZ191" s="59">
        <f t="shared" si="243"/>
        <v>0</v>
      </c>
      <c r="BA191" s="57">
        <f>' WIP '!BR191</f>
        <v>0</v>
      </c>
      <c r="BB191" s="58">
        <v>0</v>
      </c>
      <c r="BC191" s="59">
        <f t="shared" si="244"/>
        <v>0</v>
      </c>
      <c r="BD191" s="57">
        <f>' WIP '!BV191</f>
        <v>0</v>
      </c>
      <c r="BE191" s="58">
        <v>0</v>
      </c>
      <c r="BF191" s="59">
        <f t="shared" si="245"/>
        <v>0</v>
      </c>
      <c r="BG191" s="57">
        <f>' WIP '!BZ191</f>
        <v>0</v>
      </c>
      <c r="BH191" s="58"/>
      <c r="BI191" s="59">
        <f t="shared" si="246"/>
        <v>0</v>
      </c>
      <c r="BJ191" s="57">
        <f>' WIP '!CD191</f>
        <v>0</v>
      </c>
      <c r="BK191" s="58">
        <v>0</v>
      </c>
      <c r="BL191" s="59">
        <f t="shared" si="247"/>
        <v>0</v>
      </c>
      <c r="BM191" s="57">
        <f>' WIP '!CH191</f>
        <v>0</v>
      </c>
      <c r="BN191" s="58">
        <v>0</v>
      </c>
      <c r="BO191" s="59">
        <f t="shared" si="248"/>
        <v>0</v>
      </c>
      <c r="BP191" s="57">
        <f>' WIP '!CL191</f>
        <v>0</v>
      </c>
      <c r="BQ191" s="58"/>
      <c r="BR191" s="59">
        <f t="shared" si="249"/>
        <v>0</v>
      </c>
      <c r="BS191" s="57">
        <f>' WIP '!CP191</f>
        <v>0</v>
      </c>
      <c r="BT191" s="58">
        <v>0</v>
      </c>
      <c r="BU191" s="59">
        <f t="shared" si="250"/>
        <v>0</v>
      </c>
      <c r="BV191" s="57">
        <f>' WIP '!CT191</f>
        <v>0</v>
      </c>
      <c r="BW191" s="28">
        <v>0</v>
      </c>
      <c r="BX191" s="59">
        <f t="shared" si="251"/>
        <v>0</v>
      </c>
      <c r="BY191" s="57">
        <f>' WIP '!CX191</f>
        <v>0</v>
      </c>
      <c r="BZ191" s="58">
        <v>0</v>
      </c>
      <c r="CA191" s="59">
        <f t="shared" si="252"/>
        <v>0</v>
      </c>
      <c r="CB191" s="57">
        <f>' WIP '!DB191</f>
        <v>0</v>
      </c>
      <c r="CC191" s="58">
        <v>0</v>
      </c>
      <c r="CD191" s="59">
        <f t="shared" si="253"/>
        <v>0</v>
      </c>
      <c r="CE191" s="57">
        <f>' WIP '!DF191</f>
        <v>0</v>
      </c>
      <c r="CF191" s="58">
        <v>0</v>
      </c>
      <c r="CG191" s="59">
        <f t="shared" si="254"/>
        <v>0</v>
      </c>
      <c r="CH191" s="57">
        <f>' WIP '!DJ191</f>
        <v>0</v>
      </c>
      <c r="CI191" s="58">
        <v>0</v>
      </c>
      <c r="CJ191" s="59">
        <f t="shared" si="255"/>
        <v>0</v>
      </c>
      <c r="CK191" s="57">
        <f>' WIP '!DN191</f>
        <v>0</v>
      </c>
      <c r="CL191" s="58">
        <v>0</v>
      </c>
      <c r="CM191" s="59">
        <f t="shared" si="256"/>
        <v>0</v>
      </c>
      <c r="CN191" s="57">
        <f>' WIP '!DR191</f>
        <v>0</v>
      </c>
      <c r="CO191" s="57"/>
      <c r="CP191" s="59">
        <f t="shared" si="257"/>
        <v>0</v>
      </c>
      <c r="CQ191" s="57">
        <f>' WIP '!DV191</f>
        <v>0</v>
      </c>
      <c r="CR191" s="58"/>
      <c r="CS191" s="59">
        <f t="shared" si="258"/>
        <v>0</v>
      </c>
      <c r="CT191" s="31">
        <f t="shared" si="226"/>
        <v>0</v>
      </c>
      <c r="CU191" s="4">
        <f t="shared" si="227"/>
        <v>0</v>
      </c>
      <c r="CV191" s="5">
        <f>D191*'MASTER SHEET'!D191</f>
        <v>0</v>
      </c>
      <c r="CW191" s="5">
        <f>G191*'MASTER SHEET'!D191</f>
        <v>0</v>
      </c>
      <c r="CX191" s="5">
        <f>J191*'MASTER SHEET'!D191</f>
        <v>0</v>
      </c>
      <c r="CY191" s="5">
        <f>M191*'MASTER SHEET'!D191</f>
        <v>0</v>
      </c>
      <c r="CZ191" s="5">
        <f>P191*'MASTER SHEET'!D191</f>
        <v>0</v>
      </c>
      <c r="DA191" s="5">
        <f>S191*'MASTER SHEET'!D191</f>
        <v>0</v>
      </c>
      <c r="DB191" s="5">
        <f>V191*'MASTER SHEET'!D191</f>
        <v>0</v>
      </c>
      <c r="DC191" s="5">
        <f>Y191*'MASTER SHEET'!D191</f>
        <v>0</v>
      </c>
      <c r="DD191" s="5">
        <f>AB191*'MASTER SHEET'!D191</f>
        <v>0</v>
      </c>
      <c r="DE191" s="5">
        <f>AE191*'MASTER SHEET'!D191</f>
        <v>0</v>
      </c>
      <c r="DF191" s="5">
        <f>AH191*'MASTER SHEET'!D191</f>
        <v>0</v>
      </c>
      <c r="DG191" s="5">
        <f>AK191*'MASTER SHEET'!D191</f>
        <v>0</v>
      </c>
      <c r="DH191" s="5">
        <f>AN191*'MASTER SHEET'!D191</f>
        <v>0</v>
      </c>
      <c r="DI191" s="5">
        <f>AQ191*'MASTER SHEET'!D191</f>
        <v>0</v>
      </c>
      <c r="DJ191" s="5">
        <f>AT191*'MASTER SHEET'!D191</f>
        <v>0</v>
      </c>
      <c r="DK191" s="5">
        <f>AW191*'MASTER SHEET'!D191</f>
        <v>0</v>
      </c>
      <c r="DL191" s="5">
        <f>AZ191*'MASTER SHEET'!D191</f>
        <v>0</v>
      </c>
      <c r="DM191" s="5">
        <f>BC191*'MASTER SHEET'!D191</f>
        <v>0</v>
      </c>
      <c r="DN191" s="5">
        <f>BF191*'MASTER SHEET'!D191</f>
        <v>0</v>
      </c>
      <c r="DO191" s="5">
        <f>BI191*'MASTER SHEET'!D191</f>
        <v>0</v>
      </c>
      <c r="DP191" s="5">
        <f>BL191*'MASTER SHEET'!D191</f>
        <v>0</v>
      </c>
      <c r="DQ191" s="5">
        <f>BO191*'MASTER SHEET'!D191</f>
        <v>0</v>
      </c>
      <c r="DR191" s="5">
        <f>BR191*'MASTER SHEET'!D191</f>
        <v>0</v>
      </c>
      <c r="DS191" s="5">
        <f>BU191*'MASTER SHEET'!D191</f>
        <v>0</v>
      </c>
      <c r="DT191" s="5">
        <f>BX191*'MASTER SHEET'!D191</f>
        <v>0</v>
      </c>
      <c r="DU191" s="5">
        <f>CA191*'MASTER SHEET'!D191</f>
        <v>0</v>
      </c>
      <c r="DV191" s="5">
        <f>CD191*'MASTER SHEET'!D191</f>
        <v>0</v>
      </c>
      <c r="DW191" s="5">
        <f>CG191*'MASTER SHEET'!D191</f>
        <v>0</v>
      </c>
      <c r="DX191" s="5">
        <f>CJ191*'MASTER SHEET'!D191</f>
        <v>0</v>
      </c>
      <c r="DY191" s="5">
        <f>CM191*'MASTER SHEET'!D191</f>
        <v>0</v>
      </c>
      <c r="DZ191" s="5">
        <f>CP191*'MASTER SHEET'!D191</f>
        <v>0</v>
      </c>
      <c r="EA191" s="5">
        <f>CS191*'MASTER SHEET'!D191</f>
        <v>0</v>
      </c>
      <c r="EB191" s="9"/>
    </row>
    <row r="192" spans="1:132" ht="15.75" x14ac:dyDescent="0.25">
      <c r="A192" s="25">
        <f>'MASTER SHEET'!A192</f>
        <v>190</v>
      </c>
      <c r="B192" s="26" t="str">
        <f>'MASTER SHEET'!B192</f>
        <v>CAGE ASSY.</v>
      </c>
      <c r="C192" s="27">
        <f>'MASTER SHEET'!C192</f>
        <v>5043164</v>
      </c>
      <c r="D192" s="56"/>
      <c r="E192" s="57">
        <f>' WIP '!F192</f>
        <v>0</v>
      </c>
      <c r="F192" s="58">
        <v>0</v>
      </c>
      <c r="G192" s="59">
        <f t="shared" si="228"/>
        <v>0</v>
      </c>
      <c r="H192" s="57">
        <f>' WIP '!J192</f>
        <v>0</v>
      </c>
      <c r="I192" s="58">
        <v>0</v>
      </c>
      <c r="J192" s="59">
        <f t="shared" si="229"/>
        <v>0</v>
      </c>
      <c r="K192" s="57">
        <f>' WIP '!N192</f>
        <v>0</v>
      </c>
      <c r="L192" s="58"/>
      <c r="M192" s="59">
        <f t="shared" si="230"/>
        <v>0</v>
      </c>
      <c r="N192" s="57">
        <f>' WIP '!R192</f>
        <v>0</v>
      </c>
      <c r="O192" s="58">
        <v>0</v>
      </c>
      <c r="P192" s="59">
        <f t="shared" si="231"/>
        <v>0</v>
      </c>
      <c r="Q192" s="57">
        <f>' WIP '!V192</f>
        <v>0</v>
      </c>
      <c r="R192" s="58">
        <v>0</v>
      </c>
      <c r="S192" s="59">
        <f t="shared" si="232"/>
        <v>0</v>
      </c>
      <c r="T192" s="57">
        <f>' WIP '!Z192</f>
        <v>0</v>
      </c>
      <c r="U192" s="58">
        <v>0</v>
      </c>
      <c r="V192" s="59">
        <f t="shared" si="233"/>
        <v>0</v>
      </c>
      <c r="W192" s="57">
        <f>' WIP '!AD192</f>
        <v>0</v>
      </c>
      <c r="X192" s="58">
        <v>0</v>
      </c>
      <c r="Y192" s="59">
        <f t="shared" si="234"/>
        <v>0</v>
      </c>
      <c r="Z192" s="57">
        <f>' WIP '!AH192</f>
        <v>0</v>
      </c>
      <c r="AA192" s="58">
        <v>0</v>
      </c>
      <c r="AB192" s="59">
        <f t="shared" si="235"/>
        <v>0</v>
      </c>
      <c r="AC192" s="57">
        <f>' WIP '!AL192</f>
        <v>0</v>
      </c>
      <c r="AD192" s="58">
        <v>0</v>
      </c>
      <c r="AE192" s="59">
        <f t="shared" si="236"/>
        <v>0</v>
      </c>
      <c r="AF192" s="57">
        <f>' WIP '!AP192</f>
        <v>0</v>
      </c>
      <c r="AG192" s="114">
        <v>0</v>
      </c>
      <c r="AH192" s="59">
        <f t="shared" si="237"/>
        <v>0</v>
      </c>
      <c r="AI192" s="57">
        <f>' WIP '!AT192</f>
        <v>0</v>
      </c>
      <c r="AJ192" s="58">
        <v>0</v>
      </c>
      <c r="AK192" s="59">
        <f t="shared" si="238"/>
        <v>0</v>
      </c>
      <c r="AL192" s="57">
        <f>' WIP '!AX192</f>
        <v>0</v>
      </c>
      <c r="AM192" s="58"/>
      <c r="AN192" s="59">
        <f t="shared" si="239"/>
        <v>0</v>
      </c>
      <c r="AO192" s="57">
        <f>' WIP '!BB192</f>
        <v>0</v>
      </c>
      <c r="AP192" s="58">
        <v>0</v>
      </c>
      <c r="AQ192" s="59">
        <f t="shared" si="240"/>
        <v>0</v>
      </c>
      <c r="AR192" s="57">
        <f>' WIP '!BF192</f>
        <v>0</v>
      </c>
      <c r="AS192" s="58">
        <v>0</v>
      </c>
      <c r="AT192" s="59">
        <f t="shared" si="241"/>
        <v>0</v>
      </c>
      <c r="AU192" s="57">
        <f>' WIP '!BJ192</f>
        <v>0</v>
      </c>
      <c r="AV192" s="58">
        <v>0</v>
      </c>
      <c r="AW192" s="59">
        <f t="shared" si="242"/>
        <v>0</v>
      </c>
      <c r="AX192" s="57">
        <f>' WIP '!BN192</f>
        <v>0</v>
      </c>
      <c r="AY192" s="58">
        <v>0</v>
      </c>
      <c r="AZ192" s="59">
        <f t="shared" si="243"/>
        <v>0</v>
      </c>
      <c r="BA192" s="57">
        <f>' WIP '!BR192</f>
        <v>0</v>
      </c>
      <c r="BB192" s="58">
        <v>0</v>
      </c>
      <c r="BC192" s="59">
        <f t="shared" si="244"/>
        <v>0</v>
      </c>
      <c r="BD192" s="57">
        <f>' WIP '!BV192</f>
        <v>0</v>
      </c>
      <c r="BE192" s="58">
        <v>0</v>
      </c>
      <c r="BF192" s="59">
        <f t="shared" si="245"/>
        <v>0</v>
      </c>
      <c r="BG192" s="57">
        <f>' WIP '!BZ192</f>
        <v>0</v>
      </c>
      <c r="BH192" s="58"/>
      <c r="BI192" s="59">
        <f t="shared" si="246"/>
        <v>0</v>
      </c>
      <c r="BJ192" s="57">
        <f>' WIP '!CD192</f>
        <v>0</v>
      </c>
      <c r="BK192" s="58">
        <v>0</v>
      </c>
      <c r="BL192" s="59">
        <f t="shared" si="247"/>
        <v>0</v>
      </c>
      <c r="BM192" s="57">
        <f>' WIP '!CH192</f>
        <v>0</v>
      </c>
      <c r="BN192" s="58">
        <v>0</v>
      </c>
      <c r="BO192" s="59">
        <f t="shared" si="248"/>
        <v>0</v>
      </c>
      <c r="BP192" s="57">
        <f>' WIP '!CL192</f>
        <v>0</v>
      </c>
      <c r="BQ192" s="58"/>
      <c r="BR192" s="59">
        <f t="shared" si="249"/>
        <v>0</v>
      </c>
      <c r="BS192" s="57">
        <f>' WIP '!CP192</f>
        <v>0</v>
      </c>
      <c r="BT192" s="58">
        <v>0</v>
      </c>
      <c r="BU192" s="59">
        <f t="shared" si="250"/>
        <v>0</v>
      </c>
      <c r="BV192" s="57">
        <f>' WIP '!CT192</f>
        <v>0</v>
      </c>
      <c r="BW192" s="28">
        <v>0</v>
      </c>
      <c r="BX192" s="59">
        <f t="shared" si="251"/>
        <v>0</v>
      </c>
      <c r="BY192" s="57">
        <f>' WIP '!CX192</f>
        <v>0</v>
      </c>
      <c r="BZ192" s="58">
        <v>0</v>
      </c>
      <c r="CA192" s="59">
        <f t="shared" si="252"/>
        <v>0</v>
      </c>
      <c r="CB192" s="57">
        <f>' WIP '!DB192</f>
        <v>0</v>
      </c>
      <c r="CC192" s="58">
        <v>0</v>
      </c>
      <c r="CD192" s="59">
        <f t="shared" si="253"/>
        <v>0</v>
      </c>
      <c r="CE192" s="57">
        <f>' WIP '!DF192</f>
        <v>0</v>
      </c>
      <c r="CF192" s="58">
        <v>0</v>
      </c>
      <c r="CG192" s="59">
        <f t="shared" si="254"/>
        <v>0</v>
      </c>
      <c r="CH192" s="57">
        <f>' WIP '!DJ192</f>
        <v>0</v>
      </c>
      <c r="CI192" s="58">
        <v>0</v>
      </c>
      <c r="CJ192" s="59">
        <f t="shared" si="255"/>
        <v>0</v>
      </c>
      <c r="CK192" s="57">
        <f>' WIP '!DN192</f>
        <v>0</v>
      </c>
      <c r="CL192" s="58">
        <v>0</v>
      </c>
      <c r="CM192" s="59">
        <f t="shared" si="256"/>
        <v>0</v>
      </c>
      <c r="CN192" s="57">
        <f>' WIP '!DR192</f>
        <v>0</v>
      </c>
      <c r="CO192" s="57"/>
      <c r="CP192" s="59">
        <f t="shared" si="257"/>
        <v>0</v>
      </c>
      <c r="CQ192" s="57">
        <f>' WIP '!DV192</f>
        <v>0</v>
      </c>
      <c r="CR192" s="58"/>
      <c r="CS192" s="59">
        <f t="shared" si="258"/>
        <v>0</v>
      </c>
      <c r="CT192" s="31">
        <f t="shared" si="226"/>
        <v>0</v>
      </c>
      <c r="CU192" s="4">
        <f t="shared" si="227"/>
        <v>0</v>
      </c>
      <c r="CV192" s="5">
        <f>D192*'MASTER SHEET'!D192</f>
        <v>0</v>
      </c>
      <c r="CW192" s="5">
        <f>G192*'MASTER SHEET'!D192</f>
        <v>0</v>
      </c>
      <c r="CX192" s="5">
        <f>J192*'MASTER SHEET'!D192</f>
        <v>0</v>
      </c>
      <c r="CY192" s="5">
        <f>M192*'MASTER SHEET'!D192</f>
        <v>0</v>
      </c>
      <c r="CZ192" s="5">
        <f>P192*'MASTER SHEET'!D192</f>
        <v>0</v>
      </c>
      <c r="DA192" s="5">
        <f>S192*'MASTER SHEET'!D192</f>
        <v>0</v>
      </c>
      <c r="DB192" s="5">
        <f>V192*'MASTER SHEET'!D192</f>
        <v>0</v>
      </c>
      <c r="DC192" s="5">
        <f>Y192*'MASTER SHEET'!D192</f>
        <v>0</v>
      </c>
      <c r="DD192" s="5">
        <f>AB192*'MASTER SHEET'!D192</f>
        <v>0</v>
      </c>
      <c r="DE192" s="5">
        <f>AE192*'MASTER SHEET'!D192</f>
        <v>0</v>
      </c>
      <c r="DF192" s="5">
        <f>AH192*'MASTER SHEET'!D192</f>
        <v>0</v>
      </c>
      <c r="DG192" s="5">
        <f>AK192*'MASTER SHEET'!D192</f>
        <v>0</v>
      </c>
      <c r="DH192" s="5">
        <f>AN192*'MASTER SHEET'!D192</f>
        <v>0</v>
      </c>
      <c r="DI192" s="5">
        <f>AQ192*'MASTER SHEET'!D192</f>
        <v>0</v>
      </c>
      <c r="DJ192" s="5">
        <f>AT192*'MASTER SHEET'!D192</f>
        <v>0</v>
      </c>
      <c r="DK192" s="5">
        <f>AW192*'MASTER SHEET'!D192</f>
        <v>0</v>
      </c>
      <c r="DL192" s="5">
        <f>AZ192*'MASTER SHEET'!D192</f>
        <v>0</v>
      </c>
      <c r="DM192" s="5">
        <f>BC192*'MASTER SHEET'!D192</f>
        <v>0</v>
      </c>
      <c r="DN192" s="5">
        <f>BF192*'MASTER SHEET'!D192</f>
        <v>0</v>
      </c>
      <c r="DO192" s="5">
        <f>BI192*'MASTER SHEET'!D192</f>
        <v>0</v>
      </c>
      <c r="DP192" s="5">
        <f>BL192*'MASTER SHEET'!D192</f>
        <v>0</v>
      </c>
      <c r="DQ192" s="5">
        <f>BO192*'MASTER SHEET'!D192</f>
        <v>0</v>
      </c>
      <c r="DR192" s="5">
        <f>BR192*'MASTER SHEET'!D192</f>
        <v>0</v>
      </c>
      <c r="DS192" s="5">
        <f>BU192*'MASTER SHEET'!D192</f>
        <v>0</v>
      </c>
      <c r="DT192" s="5">
        <f>BX192*'MASTER SHEET'!D192</f>
        <v>0</v>
      </c>
      <c r="DU192" s="5">
        <f>CA192*'MASTER SHEET'!D192</f>
        <v>0</v>
      </c>
      <c r="DV192" s="5">
        <f>CD192*'MASTER SHEET'!D192</f>
        <v>0</v>
      </c>
      <c r="DW192" s="5">
        <f>CG192*'MASTER SHEET'!D192</f>
        <v>0</v>
      </c>
      <c r="DX192" s="5">
        <f>CJ192*'MASTER SHEET'!D192</f>
        <v>0</v>
      </c>
      <c r="DY192" s="5">
        <f>CM192*'MASTER SHEET'!D192</f>
        <v>0</v>
      </c>
      <c r="DZ192" s="5">
        <f>CP192*'MASTER SHEET'!D192</f>
        <v>0</v>
      </c>
      <c r="EA192" s="5">
        <f>CS192*'MASTER SHEET'!D192</f>
        <v>0</v>
      </c>
      <c r="EB192" s="9"/>
    </row>
    <row r="193" spans="1:132" ht="15.75" x14ac:dyDescent="0.25">
      <c r="A193" s="25">
        <f>'MASTER SHEET'!A193</f>
        <v>191</v>
      </c>
      <c r="B193" s="26" t="str">
        <f>'MASTER SHEET'!B193</f>
        <v>CAP PLASTIC</v>
      </c>
      <c r="C193" s="27">
        <f>'MASTER SHEET'!C193</f>
        <v>5039586</v>
      </c>
      <c r="D193" s="167">
        <f>192+4900</f>
        <v>5092</v>
      </c>
      <c r="E193" s="57">
        <f>' WIP '!F193</f>
        <v>0</v>
      </c>
      <c r="F193" s="58">
        <v>780</v>
      </c>
      <c r="G193" s="59">
        <f t="shared" si="228"/>
        <v>4312</v>
      </c>
      <c r="H193" s="57">
        <f>' WIP '!J193</f>
        <v>0</v>
      </c>
      <c r="I193" s="58">
        <v>0</v>
      </c>
      <c r="J193" s="59">
        <f t="shared" si="229"/>
        <v>4312</v>
      </c>
      <c r="K193" s="57">
        <f>' WIP '!N193</f>
        <v>0</v>
      </c>
      <c r="L193" s="58"/>
      <c r="M193" s="59">
        <f t="shared" si="230"/>
        <v>4312</v>
      </c>
      <c r="N193" s="57">
        <f>' WIP '!R193</f>
        <v>0</v>
      </c>
      <c r="O193" s="58">
        <v>1764</v>
      </c>
      <c r="P193" s="59">
        <f t="shared" si="231"/>
        <v>2548</v>
      </c>
      <c r="Q193" s="57">
        <f>' WIP '!V193</f>
        <v>0</v>
      </c>
      <c r="R193" s="58">
        <v>0</v>
      </c>
      <c r="S193" s="59">
        <f t="shared" si="232"/>
        <v>2548</v>
      </c>
      <c r="T193" s="57">
        <f>' WIP '!Z193</f>
        <v>0</v>
      </c>
      <c r="U193" s="58">
        <v>0</v>
      </c>
      <c r="V193" s="59">
        <f t="shared" si="233"/>
        <v>2548</v>
      </c>
      <c r="W193" s="57">
        <f>' WIP '!AD193</f>
        <v>0</v>
      </c>
      <c r="X193" s="58">
        <v>0</v>
      </c>
      <c r="Y193" s="59">
        <f t="shared" si="234"/>
        <v>2548</v>
      </c>
      <c r="Z193" s="57">
        <f>' WIP '!AH193</f>
        <v>0</v>
      </c>
      <c r="AA193" s="58">
        <v>0</v>
      </c>
      <c r="AB193" s="59">
        <f t="shared" si="235"/>
        <v>2548</v>
      </c>
      <c r="AC193" s="57">
        <f>' WIP '!AL193</f>
        <v>0</v>
      </c>
      <c r="AD193" s="58">
        <v>0</v>
      </c>
      <c r="AE193" s="59">
        <f t="shared" si="236"/>
        <v>2548</v>
      </c>
      <c r="AF193" s="57">
        <f>' WIP '!AP193</f>
        <v>0</v>
      </c>
      <c r="AG193" s="114">
        <v>0</v>
      </c>
      <c r="AH193" s="59">
        <f t="shared" si="237"/>
        <v>2548</v>
      </c>
      <c r="AI193" s="57">
        <f>' WIP '!AT193</f>
        <v>0</v>
      </c>
      <c r="AJ193" s="58">
        <v>2548</v>
      </c>
      <c r="AK193" s="59">
        <f t="shared" si="238"/>
        <v>0</v>
      </c>
      <c r="AL193" s="57">
        <f>' WIP '!AX193</f>
        <v>0</v>
      </c>
      <c r="AM193" s="58"/>
      <c r="AN193" s="59">
        <f t="shared" si="239"/>
        <v>0</v>
      </c>
      <c r="AO193" s="57">
        <f>' WIP '!BB193</f>
        <v>0</v>
      </c>
      <c r="AP193" s="58">
        <v>0</v>
      </c>
      <c r="AQ193" s="59">
        <f t="shared" si="240"/>
        <v>0</v>
      </c>
      <c r="AR193" s="57">
        <f>' WIP '!BF193</f>
        <v>1900</v>
      </c>
      <c r="AS193" s="58">
        <v>1900</v>
      </c>
      <c r="AT193" s="59">
        <f t="shared" si="241"/>
        <v>0</v>
      </c>
      <c r="AU193" s="57">
        <f>' WIP '!BJ193</f>
        <v>784</v>
      </c>
      <c r="AV193" s="58">
        <v>0</v>
      </c>
      <c r="AW193" s="59">
        <f t="shared" si="242"/>
        <v>784</v>
      </c>
      <c r="AX193" s="57">
        <f>' WIP '!BN193</f>
        <v>700</v>
      </c>
      <c r="AY193" s="58">
        <v>1484</v>
      </c>
      <c r="AZ193" s="59">
        <f t="shared" si="243"/>
        <v>0</v>
      </c>
      <c r="BA193" s="57">
        <f>' WIP '!BR193</f>
        <v>0</v>
      </c>
      <c r="BB193" s="58">
        <v>0</v>
      </c>
      <c r="BC193" s="59">
        <f t="shared" si="244"/>
        <v>0</v>
      </c>
      <c r="BD193" s="57">
        <f>' WIP '!BV193</f>
        <v>0</v>
      </c>
      <c r="BE193" s="58">
        <v>0</v>
      </c>
      <c r="BF193" s="59">
        <f t="shared" si="245"/>
        <v>0</v>
      </c>
      <c r="BG193" s="57">
        <f>' WIP '!BZ193</f>
        <v>0</v>
      </c>
      <c r="BH193" s="58"/>
      <c r="BI193" s="59">
        <f t="shared" si="246"/>
        <v>0</v>
      </c>
      <c r="BJ193" s="57">
        <f>' WIP '!CD193</f>
        <v>0</v>
      </c>
      <c r="BK193" s="58">
        <v>0</v>
      </c>
      <c r="BL193" s="59">
        <f t="shared" si="247"/>
        <v>0</v>
      </c>
      <c r="BM193" s="57">
        <f>' WIP '!CH193</f>
        <v>0</v>
      </c>
      <c r="BN193" s="58">
        <v>0</v>
      </c>
      <c r="BO193" s="59">
        <f t="shared" si="248"/>
        <v>0</v>
      </c>
      <c r="BP193" s="57">
        <f>' WIP '!CL193</f>
        <v>0</v>
      </c>
      <c r="BQ193" s="58"/>
      <c r="BR193" s="59">
        <f t="shared" si="249"/>
        <v>0</v>
      </c>
      <c r="BS193" s="57">
        <f>' WIP '!CP193</f>
        <v>0</v>
      </c>
      <c r="BT193" s="58">
        <v>0</v>
      </c>
      <c r="BU193" s="59">
        <f t="shared" si="250"/>
        <v>0</v>
      </c>
      <c r="BV193" s="57">
        <f>' WIP '!CT193</f>
        <v>0</v>
      </c>
      <c r="BW193" s="28">
        <v>0</v>
      </c>
      <c r="BX193" s="59">
        <f t="shared" si="251"/>
        <v>0</v>
      </c>
      <c r="BY193" s="57">
        <f>' WIP '!CX193</f>
        <v>0</v>
      </c>
      <c r="BZ193" s="58">
        <v>0</v>
      </c>
      <c r="CA193" s="59">
        <f t="shared" si="252"/>
        <v>0</v>
      </c>
      <c r="CB193" s="57">
        <f>' WIP '!DB193</f>
        <v>0</v>
      </c>
      <c r="CC193" s="58">
        <v>0</v>
      </c>
      <c r="CD193" s="59">
        <f t="shared" si="253"/>
        <v>0</v>
      </c>
      <c r="CE193" s="57">
        <f>' WIP '!DF193</f>
        <v>0</v>
      </c>
      <c r="CF193" s="58">
        <v>0</v>
      </c>
      <c r="CG193" s="59">
        <f t="shared" si="254"/>
        <v>0</v>
      </c>
      <c r="CH193" s="57">
        <f>' WIP '!DJ193</f>
        <v>0</v>
      </c>
      <c r="CI193" s="58">
        <v>0</v>
      </c>
      <c r="CJ193" s="59">
        <f t="shared" si="255"/>
        <v>0</v>
      </c>
      <c r="CK193" s="57">
        <f>' WIP '!DN193</f>
        <v>0</v>
      </c>
      <c r="CL193" s="58">
        <v>0</v>
      </c>
      <c r="CM193" s="59">
        <f t="shared" si="256"/>
        <v>0</v>
      </c>
      <c r="CN193" s="57">
        <f>' WIP '!DR193</f>
        <v>0</v>
      </c>
      <c r="CO193" s="57"/>
      <c r="CP193" s="59">
        <f t="shared" si="257"/>
        <v>0</v>
      </c>
      <c r="CQ193" s="57">
        <f>' WIP '!DV193</f>
        <v>0</v>
      </c>
      <c r="CR193" s="58"/>
      <c r="CS193" s="59">
        <f t="shared" si="258"/>
        <v>0</v>
      </c>
      <c r="CT193" s="31">
        <f t="shared" si="226"/>
        <v>8476</v>
      </c>
      <c r="CU193" s="4">
        <f t="shared" si="227"/>
        <v>8476</v>
      </c>
      <c r="CV193" s="5">
        <f>D193*'MASTER SHEET'!D193</f>
        <v>27649.559999999998</v>
      </c>
      <c r="CW193" s="5">
        <f>G193*'MASTER SHEET'!D193</f>
        <v>23414.16</v>
      </c>
      <c r="CX193" s="5">
        <f>J193*'MASTER SHEET'!D193</f>
        <v>23414.16</v>
      </c>
      <c r="CY193" s="5">
        <f>M193*'MASTER SHEET'!D193</f>
        <v>23414.16</v>
      </c>
      <c r="CZ193" s="5">
        <f>P193*'MASTER SHEET'!D193</f>
        <v>13835.64</v>
      </c>
      <c r="DA193" s="5">
        <f>S193*'MASTER SHEET'!D193</f>
        <v>13835.64</v>
      </c>
      <c r="DB193" s="5">
        <f>V193*'MASTER SHEET'!D193</f>
        <v>13835.64</v>
      </c>
      <c r="DC193" s="5">
        <f>Y193*'MASTER SHEET'!D193</f>
        <v>13835.64</v>
      </c>
      <c r="DD193" s="5">
        <f>AB193*'MASTER SHEET'!D193</f>
        <v>13835.64</v>
      </c>
      <c r="DE193" s="5">
        <f>AE193*'MASTER SHEET'!D193</f>
        <v>13835.64</v>
      </c>
      <c r="DF193" s="5">
        <f>AH193*'MASTER SHEET'!D193</f>
        <v>13835.64</v>
      </c>
      <c r="DG193" s="5">
        <f>AK193*'MASTER SHEET'!D193</f>
        <v>0</v>
      </c>
      <c r="DH193" s="5">
        <f>AN193*'MASTER SHEET'!D193</f>
        <v>0</v>
      </c>
      <c r="DI193" s="5">
        <f>AQ193*'MASTER SHEET'!D193</f>
        <v>0</v>
      </c>
      <c r="DJ193" s="5">
        <f>AT193*'MASTER SHEET'!D193</f>
        <v>0</v>
      </c>
      <c r="DK193" s="5">
        <f>AW193*'MASTER SHEET'!D193</f>
        <v>4257.12</v>
      </c>
      <c r="DL193" s="5">
        <f>AZ193*'MASTER SHEET'!D193</f>
        <v>0</v>
      </c>
      <c r="DM193" s="5">
        <f>BC193*'MASTER SHEET'!D193</f>
        <v>0</v>
      </c>
      <c r="DN193" s="5">
        <f>BF193*'MASTER SHEET'!D193</f>
        <v>0</v>
      </c>
      <c r="DO193" s="5">
        <f>BI193*'MASTER SHEET'!D193</f>
        <v>0</v>
      </c>
      <c r="DP193" s="5">
        <f>BL193*'MASTER SHEET'!D193</f>
        <v>0</v>
      </c>
      <c r="DQ193" s="5">
        <f>BO193*'MASTER SHEET'!D193</f>
        <v>0</v>
      </c>
      <c r="DR193" s="5">
        <f>BR193*'MASTER SHEET'!D193</f>
        <v>0</v>
      </c>
      <c r="DS193" s="5">
        <f>BU193*'MASTER SHEET'!D193</f>
        <v>0</v>
      </c>
      <c r="DT193" s="5">
        <f>BX193*'MASTER SHEET'!D193</f>
        <v>0</v>
      </c>
      <c r="DU193" s="5">
        <f>CA193*'MASTER SHEET'!D193</f>
        <v>0</v>
      </c>
      <c r="DV193" s="5">
        <f>CD193*'MASTER SHEET'!D193</f>
        <v>0</v>
      </c>
      <c r="DW193" s="5">
        <f>CG193*'MASTER SHEET'!D193</f>
        <v>0</v>
      </c>
      <c r="DX193" s="5">
        <f>CJ193*'MASTER SHEET'!D193</f>
        <v>0</v>
      </c>
      <c r="DY193" s="5">
        <f>CM193*'MASTER SHEET'!D193</f>
        <v>0</v>
      </c>
      <c r="DZ193" s="5">
        <f>CP193*'MASTER SHEET'!D193</f>
        <v>0</v>
      </c>
      <c r="EA193" s="5">
        <f>CS193*'MASTER SHEET'!D193</f>
        <v>0</v>
      </c>
      <c r="EB193" s="143">
        <f>VLOOKUP($C193,'[1]GREEN LEV.₹'!$I$2:$K$54,3,0)</f>
        <v>2000</v>
      </c>
    </row>
    <row r="194" spans="1:132" ht="15.75" x14ac:dyDescent="0.25">
      <c r="A194" s="25">
        <f>'MASTER SHEET'!A194</f>
        <v>192</v>
      </c>
      <c r="B194" s="26" t="str">
        <f>'MASTER SHEET'!B194</f>
        <v xml:space="preserve"> MBP N6 PRECLEANER</v>
      </c>
      <c r="C194" s="27">
        <f>'MASTER SHEET'!C194</f>
        <v>5033867</v>
      </c>
      <c r="D194" s="56"/>
      <c r="E194" s="57">
        <f>' WIP '!F194</f>
        <v>0</v>
      </c>
      <c r="F194" s="58">
        <v>0</v>
      </c>
      <c r="G194" s="59">
        <f t="shared" si="228"/>
        <v>0</v>
      </c>
      <c r="H194" s="57">
        <f>' WIP '!J194</f>
        <v>0</v>
      </c>
      <c r="I194" s="58">
        <v>0</v>
      </c>
      <c r="J194" s="59">
        <f t="shared" si="229"/>
        <v>0</v>
      </c>
      <c r="K194" s="57">
        <f>' WIP '!N194</f>
        <v>0</v>
      </c>
      <c r="L194" s="58"/>
      <c r="M194" s="59">
        <f t="shared" si="230"/>
        <v>0</v>
      </c>
      <c r="N194" s="57">
        <f>' WIP '!R194</f>
        <v>0</v>
      </c>
      <c r="O194" s="58">
        <v>0</v>
      </c>
      <c r="P194" s="59">
        <f t="shared" si="231"/>
        <v>0</v>
      </c>
      <c r="Q194" s="57">
        <f>' WIP '!V194</f>
        <v>0</v>
      </c>
      <c r="R194" s="58">
        <v>0</v>
      </c>
      <c r="S194" s="59">
        <f t="shared" si="232"/>
        <v>0</v>
      </c>
      <c r="T194" s="57">
        <f>' WIP '!Z194</f>
        <v>0</v>
      </c>
      <c r="U194" s="58">
        <v>0</v>
      </c>
      <c r="V194" s="59">
        <f t="shared" si="233"/>
        <v>0</v>
      </c>
      <c r="W194" s="57">
        <f>' WIP '!AD194</f>
        <v>0</v>
      </c>
      <c r="X194" s="58">
        <v>0</v>
      </c>
      <c r="Y194" s="59">
        <f t="shared" si="234"/>
        <v>0</v>
      </c>
      <c r="Z194" s="57">
        <f>' WIP '!AH194</f>
        <v>0</v>
      </c>
      <c r="AA194" s="58">
        <v>0</v>
      </c>
      <c r="AB194" s="59">
        <f t="shared" si="235"/>
        <v>0</v>
      </c>
      <c r="AC194" s="57">
        <f>' WIP '!AL194</f>
        <v>0</v>
      </c>
      <c r="AD194" s="58">
        <v>0</v>
      </c>
      <c r="AE194" s="59">
        <f t="shared" si="236"/>
        <v>0</v>
      </c>
      <c r="AF194" s="57">
        <f>' WIP '!AP194</f>
        <v>0</v>
      </c>
      <c r="AG194" s="114">
        <v>0</v>
      </c>
      <c r="AH194" s="59">
        <f t="shared" si="237"/>
        <v>0</v>
      </c>
      <c r="AI194" s="57">
        <f>' WIP '!AT194</f>
        <v>0</v>
      </c>
      <c r="AJ194" s="58">
        <v>0</v>
      </c>
      <c r="AK194" s="59">
        <f t="shared" si="238"/>
        <v>0</v>
      </c>
      <c r="AL194" s="57">
        <f>' WIP '!AX194</f>
        <v>0</v>
      </c>
      <c r="AM194" s="58"/>
      <c r="AN194" s="59">
        <f t="shared" si="239"/>
        <v>0</v>
      </c>
      <c r="AO194" s="57">
        <f>' WIP '!BB194</f>
        <v>0</v>
      </c>
      <c r="AP194" s="58">
        <v>0</v>
      </c>
      <c r="AQ194" s="59">
        <f t="shared" si="240"/>
        <v>0</v>
      </c>
      <c r="AR194" s="57">
        <f>' WIP '!BF194</f>
        <v>0</v>
      </c>
      <c r="AS194" s="58">
        <v>0</v>
      </c>
      <c r="AT194" s="59">
        <f t="shared" si="241"/>
        <v>0</v>
      </c>
      <c r="AU194" s="57">
        <f>' WIP '!BJ194</f>
        <v>0</v>
      </c>
      <c r="AV194" s="58">
        <v>0</v>
      </c>
      <c r="AW194" s="59">
        <f t="shared" si="242"/>
        <v>0</v>
      </c>
      <c r="AX194" s="57">
        <f>' WIP '!BN194</f>
        <v>0</v>
      </c>
      <c r="AY194" s="58">
        <v>0</v>
      </c>
      <c r="AZ194" s="59">
        <f t="shared" si="243"/>
        <v>0</v>
      </c>
      <c r="BA194" s="57">
        <f>' WIP '!BR194</f>
        <v>0</v>
      </c>
      <c r="BB194" s="58">
        <v>0</v>
      </c>
      <c r="BC194" s="59">
        <f t="shared" si="244"/>
        <v>0</v>
      </c>
      <c r="BD194" s="57">
        <f>' WIP '!BV194</f>
        <v>0</v>
      </c>
      <c r="BE194" s="58">
        <v>0</v>
      </c>
      <c r="BF194" s="59">
        <f t="shared" si="245"/>
        <v>0</v>
      </c>
      <c r="BG194" s="57">
        <f>' WIP '!BZ194</f>
        <v>0</v>
      </c>
      <c r="BH194" s="58"/>
      <c r="BI194" s="59">
        <f t="shared" si="246"/>
        <v>0</v>
      </c>
      <c r="BJ194" s="57">
        <f>' WIP '!CD194</f>
        <v>0</v>
      </c>
      <c r="BK194" s="58">
        <v>0</v>
      </c>
      <c r="BL194" s="59">
        <f t="shared" si="247"/>
        <v>0</v>
      </c>
      <c r="BM194" s="57">
        <f>' WIP '!CH194</f>
        <v>0</v>
      </c>
      <c r="BN194" s="58">
        <v>0</v>
      </c>
      <c r="BO194" s="59">
        <f t="shared" si="248"/>
        <v>0</v>
      </c>
      <c r="BP194" s="57">
        <f>' WIP '!CL194</f>
        <v>0</v>
      </c>
      <c r="BQ194" s="58"/>
      <c r="BR194" s="59">
        <f t="shared" si="249"/>
        <v>0</v>
      </c>
      <c r="BS194" s="57">
        <f>' WIP '!CP194</f>
        <v>0</v>
      </c>
      <c r="BT194" s="58">
        <v>0</v>
      </c>
      <c r="BU194" s="59">
        <f t="shared" si="250"/>
        <v>0</v>
      </c>
      <c r="BV194" s="57">
        <f>' WIP '!CT194</f>
        <v>0</v>
      </c>
      <c r="BW194" s="28">
        <v>0</v>
      </c>
      <c r="BX194" s="59">
        <f t="shared" si="251"/>
        <v>0</v>
      </c>
      <c r="BY194" s="57">
        <f>' WIP '!CX194</f>
        <v>0</v>
      </c>
      <c r="BZ194" s="58">
        <v>0</v>
      </c>
      <c r="CA194" s="59">
        <f t="shared" si="252"/>
        <v>0</v>
      </c>
      <c r="CB194" s="57">
        <f>' WIP '!DB194</f>
        <v>0</v>
      </c>
      <c r="CC194" s="58">
        <v>0</v>
      </c>
      <c r="CD194" s="59">
        <f t="shared" si="253"/>
        <v>0</v>
      </c>
      <c r="CE194" s="57">
        <f>' WIP '!DF194</f>
        <v>0</v>
      </c>
      <c r="CF194" s="58">
        <v>0</v>
      </c>
      <c r="CG194" s="59">
        <f t="shared" si="254"/>
        <v>0</v>
      </c>
      <c r="CH194" s="57">
        <f>' WIP '!DJ194</f>
        <v>0</v>
      </c>
      <c r="CI194" s="58">
        <v>0</v>
      </c>
      <c r="CJ194" s="59">
        <f t="shared" si="255"/>
        <v>0</v>
      </c>
      <c r="CK194" s="57">
        <f>' WIP '!DN194</f>
        <v>0</v>
      </c>
      <c r="CL194" s="58">
        <v>0</v>
      </c>
      <c r="CM194" s="59">
        <f t="shared" si="256"/>
        <v>0</v>
      </c>
      <c r="CN194" s="57">
        <f>' WIP '!DR194</f>
        <v>0</v>
      </c>
      <c r="CO194" s="57"/>
      <c r="CP194" s="59">
        <f t="shared" si="257"/>
        <v>0</v>
      </c>
      <c r="CQ194" s="57">
        <f>' WIP '!DV194</f>
        <v>0</v>
      </c>
      <c r="CR194" s="58"/>
      <c r="CS194" s="59">
        <f t="shared" si="258"/>
        <v>0</v>
      </c>
      <c r="CT194" s="31">
        <f t="shared" si="226"/>
        <v>0</v>
      </c>
      <c r="CU194" s="4">
        <f t="shared" si="227"/>
        <v>0</v>
      </c>
      <c r="CV194" s="5">
        <f>D194*'MASTER SHEET'!D194</f>
        <v>0</v>
      </c>
      <c r="CW194" s="5">
        <f>G194*'MASTER SHEET'!D194</f>
        <v>0</v>
      </c>
      <c r="CX194" s="5">
        <f>J194*'MASTER SHEET'!D194</f>
        <v>0</v>
      </c>
      <c r="CY194" s="5">
        <f>M194*'MASTER SHEET'!D194</f>
        <v>0</v>
      </c>
      <c r="CZ194" s="5">
        <f>P194*'MASTER SHEET'!D194</f>
        <v>0</v>
      </c>
      <c r="DA194" s="5">
        <f>S194*'MASTER SHEET'!D194</f>
        <v>0</v>
      </c>
      <c r="DB194" s="5">
        <f>V194*'MASTER SHEET'!D194</f>
        <v>0</v>
      </c>
      <c r="DC194" s="5">
        <f>Y194*'MASTER SHEET'!D194</f>
        <v>0</v>
      </c>
      <c r="DD194" s="5">
        <f>AB194*'MASTER SHEET'!D194</f>
        <v>0</v>
      </c>
      <c r="DE194" s="5">
        <f>AE194*'MASTER SHEET'!D194</f>
        <v>0</v>
      </c>
      <c r="DF194" s="5">
        <f>AH194*'MASTER SHEET'!D194</f>
        <v>0</v>
      </c>
      <c r="DG194" s="5">
        <f>AK194*'MASTER SHEET'!D194</f>
        <v>0</v>
      </c>
      <c r="DH194" s="5">
        <f>AN194*'MASTER SHEET'!D194</f>
        <v>0</v>
      </c>
      <c r="DI194" s="5">
        <f>AQ194*'MASTER SHEET'!D194</f>
        <v>0</v>
      </c>
      <c r="DJ194" s="5">
        <f>AT194*'MASTER SHEET'!D194</f>
        <v>0</v>
      </c>
      <c r="DK194" s="5">
        <f>AW194*'MASTER SHEET'!D194</f>
        <v>0</v>
      </c>
      <c r="DL194" s="5">
        <f>AZ194*'MASTER SHEET'!D194</f>
        <v>0</v>
      </c>
      <c r="DM194" s="5">
        <f>BC194*'MASTER SHEET'!D194</f>
        <v>0</v>
      </c>
      <c r="DN194" s="5">
        <f>BF194*'MASTER SHEET'!D194</f>
        <v>0</v>
      </c>
      <c r="DO194" s="5">
        <f>BI194*'MASTER SHEET'!D194</f>
        <v>0</v>
      </c>
      <c r="DP194" s="5">
        <f>BL194*'MASTER SHEET'!D194</f>
        <v>0</v>
      </c>
      <c r="DQ194" s="5">
        <f>BO194*'MASTER SHEET'!D194</f>
        <v>0</v>
      </c>
      <c r="DR194" s="5">
        <f>BR194*'MASTER SHEET'!D194</f>
        <v>0</v>
      </c>
      <c r="DS194" s="5">
        <f>BU194*'MASTER SHEET'!D194</f>
        <v>0</v>
      </c>
      <c r="DT194" s="5">
        <f>BX194*'MASTER SHEET'!D194</f>
        <v>0</v>
      </c>
      <c r="DU194" s="5">
        <f>CA194*'MASTER SHEET'!D194</f>
        <v>0</v>
      </c>
      <c r="DV194" s="5">
        <f>CD194*'MASTER SHEET'!D194</f>
        <v>0</v>
      </c>
      <c r="DW194" s="5">
        <f>CG194*'MASTER SHEET'!D194</f>
        <v>0</v>
      </c>
      <c r="DX194" s="5">
        <f>CJ194*'MASTER SHEET'!D194</f>
        <v>0</v>
      </c>
      <c r="DY194" s="5">
        <f>CM194*'MASTER SHEET'!D194</f>
        <v>0</v>
      </c>
      <c r="DZ194" s="5">
        <f>CP194*'MASTER SHEET'!D194</f>
        <v>0</v>
      </c>
      <c r="EA194" s="5">
        <f>CS194*'MASTER SHEET'!D194</f>
        <v>0</v>
      </c>
      <c r="EB194" s="9"/>
    </row>
    <row r="195" spans="1:132" ht="15.75" x14ac:dyDescent="0.25">
      <c r="A195" s="25">
        <f>'MASTER SHEET'!A195</f>
        <v>193</v>
      </c>
      <c r="B195" s="26" t="str">
        <f>'MASTER SHEET'!B195</f>
        <v>BOWL PLASTIC</v>
      </c>
      <c r="C195" s="27">
        <f>'MASTER SHEET'!C195</f>
        <v>5011024</v>
      </c>
      <c r="D195" s="56"/>
      <c r="E195" s="57">
        <f>' WIP '!F195</f>
        <v>0</v>
      </c>
      <c r="F195" s="58">
        <v>0</v>
      </c>
      <c r="G195" s="59">
        <f t="shared" si="228"/>
        <v>0</v>
      </c>
      <c r="H195" s="57">
        <f>' WIP '!J195</f>
        <v>0</v>
      </c>
      <c r="I195" s="58">
        <v>0</v>
      </c>
      <c r="J195" s="59">
        <f t="shared" si="229"/>
        <v>0</v>
      </c>
      <c r="K195" s="57">
        <f>' WIP '!N195</f>
        <v>0</v>
      </c>
      <c r="L195" s="58"/>
      <c r="M195" s="59">
        <f t="shared" si="230"/>
        <v>0</v>
      </c>
      <c r="N195" s="57">
        <f>' WIP '!R195</f>
        <v>0</v>
      </c>
      <c r="O195" s="58">
        <v>0</v>
      </c>
      <c r="P195" s="59">
        <f t="shared" si="231"/>
        <v>0</v>
      </c>
      <c r="Q195" s="57">
        <f>' WIP '!V195</f>
        <v>0</v>
      </c>
      <c r="R195" s="58">
        <v>0</v>
      </c>
      <c r="S195" s="59">
        <f t="shared" si="232"/>
        <v>0</v>
      </c>
      <c r="T195" s="57">
        <f>' WIP '!Z195</f>
        <v>0</v>
      </c>
      <c r="U195" s="58">
        <v>0</v>
      </c>
      <c r="V195" s="59">
        <f t="shared" si="233"/>
        <v>0</v>
      </c>
      <c r="W195" s="57">
        <f>' WIP '!AD195</f>
        <v>0</v>
      </c>
      <c r="X195" s="58">
        <v>0</v>
      </c>
      <c r="Y195" s="59">
        <f t="shared" si="234"/>
        <v>0</v>
      </c>
      <c r="Z195" s="57">
        <f>' WIP '!AH195</f>
        <v>0</v>
      </c>
      <c r="AA195" s="58">
        <v>0</v>
      </c>
      <c r="AB195" s="59">
        <f t="shared" si="235"/>
        <v>0</v>
      </c>
      <c r="AC195" s="57">
        <f>' WIP '!AL195</f>
        <v>0</v>
      </c>
      <c r="AD195" s="58">
        <v>0</v>
      </c>
      <c r="AE195" s="59">
        <f t="shared" si="236"/>
        <v>0</v>
      </c>
      <c r="AF195" s="57">
        <f>' WIP '!AP195</f>
        <v>0</v>
      </c>
      <c r="AG195" s="114">
        <v>0</v>
      </c>
      <c r="AH195" s="59">
        <f t="shared" si="237"/>
        <v>0</v>
      </c>
      <c r="AI195" s="57">
        <f>' WIP '!AT195</f>
        <v>0</v>
      </c>
      <c r="AJ195" s="58">
        <v>0</v>
      </c>
      <c r="AK195" s="59">
        <f t="shared" si="238"/>
        <v>0</v>
      </c>
      <c r="AL195" s="57">
        <f>' WIP '!AX195</f>
        <v>0</v>
      </c>
      <c r="AM195" s="58"/>
      <c r="AN195" s="59">
        <f t="shared" si="239"/>
        <v>0</v>
      </c>
      <c r="AO195" s="57">
        <f>' WIP '!BB195</f>
        <v>0</v>
      </c>
      <c r="AP195" s="58">
        <v>0</v>
      </c>
      <c r="AQ195" s="59">
        <f t="shared" si="240"/>
        <v>0</v>
      </c>
      <c r="AR195" s="57">
        <f>' WIP '!BF195</f>
        <v>0</v>
      </c>
      <c r="AS195" s="58">
        <v>0</v>
      </c>
      <c r="AT195" s="59">
        <f t="shared" si="241"/>
        <v>0</v>
      </c>
      <c r="AU195" s="57">
        <f>' WIP '!BJ195</f>
        <v>0</v>
      </c>
      <c r="AV195" s="58">
        <v>0</v>
      </c>
      <c r="AW195" s="59">
        <f t="shared" si="242"/>
        <v>0</v>
      </c>
      <c r="AX195" s="57">
        <f>' WIP '!BN195</f>
        <v>0</v>
      </c>
      <c r="AY195" s="58">
        <v>0</v>
      </c>
      <c r="AZ195" s="59">
        <f t="shared" si="243"/>
        <v>0</v>
      </c>
      <c r="BA195" s="57">
        <f>' WIP '!BR195</f>
        <v>0</v>
      </c>
      <c r="BB195" s="58">
        <v>0</v>
      </c>
      <c r="BC195" s="59">
        <f t="shared" si="244"/>
        <v>0</v>
      </c>
      <c r="BD195" s="57">
        <f>' WIP '!BV195</f>
        <v>0</v>
      </c>
      <c r="BE195" s="58">
        <v>0</v>
      </c>
      <c r="BF195" s="59">
        <f t="shared" si="245"/>
        <v>0</v>
      </c>
      <c r="BG195" s="57">
        <f>' WIP '!BZ195</f>
        <v>0</v>
      </c>
      <c r="BH195" s="58"/>
      <c r="BI195" s="59">
        <f t="shared" si="246"/>
        <v>0</v>
      </c>
      <c r="BJ195" s="57">
        <f>' WIP '!CD195</f>
        <v>0</v>
      </c>
      <c r="BK195" s="58">
        <v>0</v>
      </c>
      <c r="BL195" s="59">
        <f t="shared" si="247"/>
        <v>0</v>
      </c>
      <c r="BM195" s="57">
        <f>' WIP '!CH195</f>
        <v>0</v>
      </c>
      <c r="BN195" s="58">
        <v>0</v>
      </c>
      <c r="BO195" s="59">
        <f t="shared" si="248"/>
        <v>0</v>
      </c>
      <c r="BP195" s="57">
        <f>' WIP '!CL195</f>
        <v>0</v>
      </c>
      <c r="BQ195" s="58"/>
      <c r="BR195" s="59">
        <f t="shared" si="249"/>
        <v>0</v>
      </c>
      <c r="BS195" s="57">
        <f>' WIP '!CP195</f>
        <v>0</v>
      </c>
      <c r="BT195" s="58">
        <v>0</v>
      </c>
      <c r="BU195" s="59">
        <f t="shared" si="250"/>
        <v>0</v>
      </c>
      <c r="BV195" s="57">
        <f>' WIP '!CT195</f>
        <v>0</v>
      </c>
      <c r="BW195" s="28">
        <v>0</v>
      </c>
      <c r="BX195" s="59">
        <f t="shared" si="251"/>
        <v>0</v>
      </c>
      <c r="BY195" s="57">
        <f>' WIP '!CX195</f>
        <v>0</v>
      </c>
      <c r="BZ195" s="58">
        <v>0</v>
      </c>
      <c r="CA195" s="59">
        <f t="shared" si="252"/>
        <v>0</v>
      </c>
      <c r="CB195" s="57">
        <f>' WIP '!DB195</f>
        <v>0</v>
      </c>
      <c r="CC195" s="58">
        <v>0</v>
      </c>
      <c r="CD195" s="59">
        <f t="shared" si="253"/>
        <v>0</v>
      </c>
      <c r="CE195" s="57">
        <f>' WIP '!DF195</f>
        <v>0</v>
      </c>
      <c r="CF195" s="58">
        <v>0</v>
      </c>
      <c r="CG195" s="59">
        <f t="shared" si="254"/>
        <v>0</v>
      </c>
      <c r="CH195" s="57">
        <f>' WIP '!DJ195</f>
        <v>0</v>
      </c>
      <c r="CI195" s="58">
        <v>0</v>
      </c>
      <c r="CJ195" s="59">
        <f t="shared" si="255"/>
        <v>0</v>
      </c>
      <c r="CK195" s="57">
        <f>' WIP '!DN195</f>
        <v>0</v>
      </c>
      <c r="CL195" s="58">
        <v>0</v>
      </c>
      <c r="CM195" s="59">
        <f t="shared" si="256"/>
        <v>0</v>
      </c>
      <c r="CN195" s="57">
        <f>' WIP '!DR195</f>
        <v>0</v>
      </c>
      <c r="CO195" s="57"/>
      <c r="CP195" s="59">
        <f t="shared" si="257"/>
        <v>0</v>
      </c>
      <c r="CQ195" s="57">
        <f>' WIP '!DV195</f>
        <v>0</v>
      </c>
      <c r="CR195" s="58"/>
      <c r="CS195" s="59">
        <f t="shared" si="258"/>
        <v>0</v>
      </c>
      <c r="CT195" s="31">
        <f t="shared" ref="CT195:CT202" si="259">D195+E195+H195+K195+N195+Q195+T195+W195+Z195+AC195+AF195+AI195+AL195+AO195+AR195+AU195+AX195+BA195+BD195+BG195+BJ195+BM195+BP195+BS195+BV195+BY195+CB195+CE195+CH195+CK195+CN195+CQ195</f>
        <v>0</v>
      </c>
      <c r="CU195" s="4">
        <f t="shared" ref="CU195:CU202" si="260">F195+I195+L195+O195+R195+U195+X195+AA195+AD195+AG195+AJ195+AM195+AP195+AS195+AV195+AY195+BB195+BE195+BH195+BK195+BN195+BQ195+BT195+BW195+BZ195+CC195+CF195+CI195+CL195+CO195+CR195</f>
        <v>0</v>
      </c>
      <c r="CV195" s="5">
        <f>D195*'MASTER SHEET'!D195</f>
        <v>0</v>
      </c>
      <c r="CW195" s="5">
        <f>G195*'MASTER SHEET'!D195</f>
        <v>0</v>
      </c>
      <c r="CX195" s="5">
        <f>J195*'MASTER SHEET'!D195</f>
        <v>0</v>
      </c>
      <c r="CY195" s="5">
        <f>M195*'MASTER SHEET'!D195</f>
        <v>0</v>
      </c>
      <c r="CZ195" s="5">
        <f>P195*'MASTER SHEET'!D195</f>
        <v>0</v>
      </c>
      <c r="DA195" s="5">
        <f>S195*'MASTER SHEET'!D195</f>
        <v>0</v>
      </c>
      <c r="DB195" s="5">
        <f>V195*'MASTER SHEET'!D195</f>
        <v>0</v>
      </c>
      <c r="DC195" s="5">
        <f>Y195*'MASTER SHEET'!D195</f>
        <v>0</v>
      </c>
      <c r="DD195" s="5">
        <f>AB195*'MASTER SHEET'!D195</f>
        <v>0</v>
      </c>
      <c r="DE195" s="5">
        <f>AE195*'MASTER SHEET'!D195</f>
        <v>0</v>
      </c>
      <c r="DF195" s="5">
        <f>AH195*'MASTER SHEET'!D195</f>
        <v>0</v>
      </c>
      <c r="DG195" s="5">
        <f>AK195*'MASTER SHEET'!D195</f>
        <v>0</v>
      </c>
      <c r="DH195" s="5">
        <f>AN195*'MASTER SHEET'!D195</f>
        <v>0</v>
      </c>
      <c r="DI195" s="5">
        <f>AQ195*'MASTER SHEET'!D195</f>
        <v>0</v>
      </c>
      <c r="DJ195" s="5">
        <f>AT195*'MASTER SHEET'!D195</f>
        <v>0</v>
      </c>
      <c r="DK195" s="5">
        <f>AW195*'MASTER SHEET'!D195</f>
        <v>0</v>
      </c>
      <c r="DL195" s="5">
        <f>AZ195*'MASTER SHEET'!D195</f>
        <v>0</v>
      </c>
      <c r="DM195" s="5">
        <f>BC195*'MASTER SHEET'!D195</f>
        <v>0</v>
      </c>
      <c r="DN195" s="5">
        <f>BF195*'MASTER SHEET'!D195</f>
        <v>0</v>
      </c>
      <c r="DO195" s="5">
        <f>BI195*'MASTER SHEET'!D195</f>
        <v>0</v>
      </c>
      <c r="DP195" s="5">
        <f>BL195*'MASTER SHEET'!D195</f>
        <v>0</v>
      </c>
      <c r="DQ195" s="5">
        <f>BO195*'MASTER SHEET'!D195</f>
        <v>0</v>
      </c>
      <c r="DR195" s="5">
        <f>BR195*'MASTER SHEET'!D195</f>
        <v>0</v>
      </c>
      <c r="DS195" s="5">
        <f>BU195*'MASTER SHEET'!D195</f>
        <v>0</v>
      </c>
      <c r="DT195" s="5">
        <f>BX195*'MASTER SHEET'!D195</f>
        <v>0</v>
      </c>
      <c r="DU195" s="5">
        <f>CA195*'MASTER SHEET'!D195</f>
        <v>0</v>
      </c>
      <c r="DV195" s="5">
        <f>CD195*'MASTER SHEET'!D195</f>
        <v>0</v>
      </c>
      <c r="DW195" s="5">
        <f>CG195*'MASTER SHEET'!D195</f>
        <v>0</v>
      </c>
      <c r="DX195" s="5">
        <f>CJ195*'MASTER SHEET'!D195</f>
        <v>0</v>
      </c>
      <c r="DY195" s="5">
        <f>CM195*'MASTER SHEET'!D195</f>
        <v>0</v>
      </c>
      <c r="DZ195" s="5">
        <f>CP195*'MASTER SHEET'!D195</f>
        <v>0</v>
      </c>
      <c r="EA195" s="5">
        <f>CS195*'MASTER SHEET'!D195</f>
        <v>0</v>
      </c>
      <c r="EB195" s="9"/>
    </row>
    <row r="196" spans="1:132" ht="15.75" x14ac:dyDescent="0.25">
      <c r="A196" s="25">
        <f>'MASTER SHEET'!A196</f>
        <v>194</v>
      </c>
      <c r="B196" s="26">
        <f>'MASTER SHEET'!B196</f>
        <v>0</v>
      </c>
      <c r="C196" s="27">
        <f>'MASTER SHEET'!C196</f>
        <v>5038801</v>
      </c>
      <c r="D196" s="56"/>
      <c r="E196" s="57">
        <f>' WIP '!F196</f>
        <v>0</v>
      </c>
      <c r="F196" s="58">
        <v>0</v>
      </c>
      <c r="G196" s="59">
        <f t="shared" si="228"/>
        <v>0</v>
      </c>
      <c r="H196" s="57">
        <f>' WIP '!J196</f>
        <v>0</v>
      </c>
      <c r="I196" s="58">
        <v>0</v>
      </c>
      <c r="J196" s="59">
        <f t="shared" si="229"/>
        <v>0</v>
      </c>
      <c r="K196" s="57">
        <f>' WIP '!N196</f>
        <v>0</v>
      </c>
      <c r="L196" s="58"/>
      <c r="M196" s="59">
        <f t="shared" si="230"/>
        <v>0</v>
      </c>
      <c r="N196" s="57">
        <f>' WIP '!R196</f>
        <v>0</v>
      </c>
      <c r="O196" s="58">
        <v>0</v>
      </c>
      <c r="P196" s="59">
        <f t="shared" si="231"/>
        <v>0</v>
      </c>
      <c r="Q196" s="57">
        <f>' WIP '!V196</f>
        <v>0</v>
      </c>
      <c r="R196" s="58">
        <v>0</v>
      </c>
      <c r="S196" s="59">
        <f t="shared" si="232"/>
        <v>0</v>
      </c>
      <c r="T196" s="57">
        <f>' WIP '!Z196</f>
        <v>0</v>
      </c>
      <c r="U196" s="58">
        <v>0</v>
      </c>
      <c r="V196" s="59">
        <f t="shared" si="233"/>
        <v>0</v>
      </c>
      <c r="W196" s="57">
        <f>' WIP '!AD196</f>
        <v>0</v>
      </c>
      <c r="X196" s="58">
        <v>0</v>
      </c>
      <c r="Y196" s="59">
        <f t="shared" si="234"/>
        <v>0</v>
      </c>
      <c r="Z196" s="57">
        <f>' WIP '!AH196</f>
        <v>0</v>
      </c>
      <c r="AA196" s="58">
        <v>0</v>
      </c>
      <c r="AB196" s="59">
        <f t="shared" si="235"/>
        <v>0</v>
      </c>
      <c r="AC196" s="57">
        <f>' WIP '!AL196</f>
        <v>0</v>
      </c>
      <c r="AD196" s="58">
        <v>0</v>
      </c>
      <c r="AE196" s="59">
        <f t="shared" si="236"/>
        <v>0</v>
      </c>
      <c r="AF196" s="57">
        <f>' WIP '!AP196</f>
        <v>0</v>
      </c>
      <c r="AG196" s="114">
        <v>0</v>
      </c>
      <c r="AH196" s="59">
        <f t="shared" si="237"/>
        <v>0</v>
      </c>
      <c r="AI196" s="57">
        <f>' WIP '!AT196</f>
        <v>0</v>
      </c>
      <c r="AJ196" s="58">
        <v>0</v>
      </c>
      <c r="AK196" s="59">
        <f t="shared" si="238"/>
        <v>0</v>
      </c>
      <c r="AL196" s="57">
        <f>' WIP '!AX196</f>
        <v>0</v>
      </c>
      <c r="AM196" s="58"/>
      <c r="AN196" s="59">
        <f t="shared" si="239"/>
        <v>0</v>
      </c>
      <c r="AO196" s="57">
        <f>' WIP '!BB196</f>
        <v>0</v>
      </c>
      <c r="AP196" s="58">
        <v>0</v>
      </c>
      <c r="AQ196" s="59">
        <f t="shared" si="240"/>
        <v>0</v>
      </c>
      <c r="AR196" s="57">
        <f>' WIP '!BF196</f>
        <v>0</v>
      </c>
      <c r="AS196" s="58">
        <v>0</v>
      </c>
      <c r="AT196" s="59">
        <f t="shared" si="241"/>
        <v>0</v>
      </c>
      <c r="AU196" s="57">
        <f>' WIP '!BJ196</f>
        <v>0</v>
      </c>
      <c r="AV196" s="58">
        <v>0</v>
      </c>
      <c r="AW196" s="59">
        <f t="shared" si="242"/>
        <v>0</v>
      </c>
      <c r="AX196" s="57">
        <f>' WIP '!BN196</f>
        <v>0</v>
      </c>
      <c r="AY196" s="58">
        <v>0</v>
      </c>
      <c r="AZ196" s="59">
        <f t="shared" si="243"/>
        <v>0</v>
      </c>
      <c r="BA196" s="57">
        <f>' WIP '!BR196</f>
        <v>0</v>
      </c>
      <c r="BB196" s="58">
        <v>0</v>
      </c>
      <c r="BC196" s="59">
        <f t="shared" si="244"/>
        <v>0</v>
      </c>
      <c r="BD196" s="57">
        <f>' WIP '!BV196</f>
        <v>0</v>
      </c>
      <c r="BE196" s="58">
        <v>0</v>
      </c>
      <c r="BF196" s="59">
        <f t="shared" si="245"/>
        <v>0</v>
      </c>
      <c r="BG196" s="57">
        <f>' WIP '!BZ196</f>
        <v>0</v>
      </c>
      <c r="BH196" s="58"/>
      <c r="BI196" s="59">
        <f t="shared" si="246"/>
        <v>0</v>
      </c>
      <c r="BJ196" s="57">
        <f>' WIP '!CD196</f>
        <v>0</v>
      </c>
      <c r="BK196" s="58">
        <v>0</v>
      </c>
      <c r="BL196" s="59">
        <f t="shared" si="247"/>
        <v>0</v>
      </c>
      <c r="BM196" s="57">
        <f>' WIP '!CH196</f>
        <v>0</v>
      </c>
      <c r="BN196" s="58">
        <v>0</v>
      </c>
      <c r="BO196" s="59">
        <f t="shared" si="248"/>
        <v>0</v>
      </c>
      <c r="BP196" s="57">
        <f>' WIP '!CL196</f>
        <v>0</v>
      </c>
      <c r="BQ196" s="58"/>
      <c r="BR196" s="59">
        <f t="shared" si="249"/>
        <v>0</v>
      </c>
      <c r="BS196" s="57">
        <f>' WIP '!CP196</f>
        <v>0</v>
      </c>
      <c r="BT196" s="58">
        <v>0</v>
      </c>
      <c r="BU196" s="59">
        <f t="shared" si="250"/>
        <v>0</v>
      </c>
      <c r="BV196" s="57">
        <f>' WIP '!CT196</f>
        <v>0</v>
      </c>
      <c r="BW196" s="28">
        <v>0</v>
      </c>
      <c r="BX196" s="59">
        <f t="shared" si="251"/>
        <v>0</v>
      </c>
      <c r="BY196" s="57">
        <f>' WIP '!CX196</f>
        <v>0</v>
      </c>
      <c r="BZ196" s="58">
        <v>0</v>
      </c>
      <c r="CA196" s="59">
        <f t="shared" si="252"/>
        <v>0</v>
      </c>
      <c r="CB196" s="57">
        <f>' WIP '!DB196</f>
        <v>0</v>
      </c>
      <c r="CC196" s="58">
        <v>0</v>
      </c>
      <c r="CD196" s="59">
        <f t="shared" si="253"/>
        <v>0</v>
      </c>
      <c r="CE196" s="57">
        <f>' WIP '!DF196</f>
        <v>0</v>
      </c>
      <c r="CF196" s="58">
        <v>0</v>
      </c>
      <c r="CG196" s="59">
        <f t="shared" si="254"/>
        <v>0</v>
      </c>
      <c r="CH196" s="57">
        <f>' WIP '!DJ196</f>
        <v>0</v>
      </c>
      <c r="CI196" s="58">
        <v>0</v>
      </c>
      <c r="CJ196" s="59">
        <f t="shared" si="255"/>
        <v>0</v>
      </c>
      <c r="CK196" s="57">
        <f>' WIP '!DN196</f>
        <v>0</v>
      </c>
      <c r="CL196" s="58">
        <v>0</v>
      </c>
      <c r="CM196" s="59">
        <f t="shared" si="256"/>
        <v>0</v>
      </c>
      <c r="CN196" s="57">
        <f>' WIP '!DR196</f>
        <v>0</v>
      </c>
      <c r="CO196" s="57"/>
      <c r="CP196" s="59">
        <f t="shared" si="257"/>
        <v>0</v>
      </c>
      <c r="CQ196" s="57">
        <f>' WIP '!DV196</f>
        <v>0</v>
      </c>
      <c r="CR196" s="58"/>
      <c r="CS196" s="59">
        <f t="shared" si="258"/>
        <v>0</v>
      </c>
      <c r="CT196" s="31">
        <f t="shared" si="259"/>
        <v>0</v>
      </c>
      <c r="CU196" s="4">
        <f t="shared" si="260"/>
        <v>0</v>
      </c>
      <c r="CV196" s="5">
        <f>D196*'MASTER SHEET'!D196</f>
        <v>0</v>
      </c>
      <c r="CW196" s="5">
        <f>G196*'MASTER SHEET'!D196</f>
        <v>0</v>
      </c>
      <c r="CX196" s="5">
        <f>J196*'MASTER SHEET'!D196</f>
        <v>0</v>
      </c>
      <c r="CY196" s="5">
        <f>M196*'MASTER SHEET'!D196</f>
        <v>0</v>
      </c>
      <c r="CZ196" s="5">
        <f>P196*'MASTER SHEET'!D196</f>
        <v>0</v>
      </c>
      <c r="DA196" s="5">
        <f>S196*'MASTER SHEET'!D196</f>
        <v>0</v>
      </c>
      <c r="DB196" s="5">
        <f>V196*'MASTER SHEET'!D196</f>
        <v>0</v>
      </c>
      <c r="DC196" s="5">
        <f>Y196*'MASTER SHEET'!D196</f>
        <v>0</v>
      </c>
      <c r="DD196" s="5">
        <f>AB196*'MASTER SHEET'!D196</f>
        <v>0</v>
      </c>
      <c r="DE196" s="5">
        <f>AE196*'MASTER SHEET'!D196</f>
        <v>0</v>
      </c>
      <c r="DF196" s="5">
        <f>AH196*'MASTER SHEET'!D196</f>
        <v>0</v>
      </c>
      <c r="DG196" s="5">
        <f>AK196*'MASTER SHEET'!D196</f>
        <v>0</v>
      </c>
      <c r="DH196" s="5">
        <f>AN196*'MASTER SHEET'!D196</f>
        <v>0</v>
      </c>
      <c r="DI196" s="5">
        <f>AQ196*'MASTER SHEET'!D196</f>
        <v>0</v>
      </c>
      <c r="DJ196" s="5">
        <f>AT196*'MASTER SHEET'!D196</f>
        <v>0</v>
      </c>
      <c r="DK196" s="5">
        <f>AW196*'MASTER SHEET'!D196</f>
        <v>0</v>
      </c>
      <c r="DL196" s="5">
        <f>AZ196*'MASTER SHEET'!D196</f>
        <v>0</v>
      </c>
      <c r="DM196" s="5">
        <f>BC196*'MASTER SHEET'!D196</f>
        <v>0</v>
      </c>
      <c r="DN196" s="5">
        <f>BF196*'MASTER SHEET'!D196</f>
        <v>0</v>
      </c>
      <c r="DO196" s="5">
        <f>BI196*'MASTER SHEET'!D196</f>
        <v>0</v>
      </c>
      <c r="DP196" s="5">
        <f>BL196*'MASTER SHEET'!D196</f>
        <v>0</v>
      </c>
      <c r="DQ196" s="5">
        <f>BO196*'MASTER SHEET'!D196</f>
        <v>0</v>
      </c>
      <c r="DR196" s="5">
        <f>BR196*'MASTER SHEET'!D196</f>
        <v>0</v>
      </c>
      <c r="DS196" s="5">
        <f>BU196*'MASTER SHEET'!D196</f>
        <v>0</v>
      </c>
      <c r="DT196" s="5">
        <f>BX196*'MASTER SHEET'!D196</f>
        <v>0</v>
      </c>
      <c r="DU196" s="5">
        <f>CA196*'MASTER SHEET'!D196</f>
        <v>0</v>
      </c>
      <c r="DV196" s="5">
        <f>CD196*'MASTER SHEET'!D196</f>
        <v>0</v>
      </c>
      <c r="DW196" s="5">
        <f>CG196*'MASTER SHEET'!D196</f>
        <v>0</v>
      </c>
      <c r="DX196" s="5">
        <f>CJ196*'MASTER SHEET'!D196</f>
        <v>0</v>
      </c>
      <c r="DY196" s="5">
        <f>CM196*'MASTER SHEET'!D196</f>
        <v>0</v>
      </c>
      <c r="DZ196" s="5">
        <f>CP196*'MASTER SHEET'!D196</f>
        <v>0</v>
      </c>
      <c r="EA196" s="5">
        <f>CS196*'MASTER SHEET'!D196</f>
        <v>0</v>
      </c>
      <c r="EB196" s="9"/>
    </row>
    <row r="197" spans="1:132" ht="15.75" x14ac:dyDescent="0.25">
      <c r="A197" s="25">
        <f>'MASTER SHEET'!A197</f>
        <v>195</v>
      </c>
      <c r="B197" s="26" t="str">
        <f>'MASTER SHEET'!B197</f>
        <v>END PLATE PLASTIC</v>
      </c>
      <c r="C197" s="27">
        <f>'MASTER SHEET'!C197</f>
        <v>5006637</v>
      </c>
      <c r="D197" s="56"/>
      <c r="E197" s="57">
        <f>' WIP '!F197</f>
        <v>0</v>
      </c>
      <c r="F197" s="58">
        <v>0</v>
      </c>
      <c r="G197" s="59">
        <f t="shared" si="228"/>
        <v>0</v>
      </c>
      <c r="H197" s="57">
        <f>' WIP '!J197</f>
        <v>0</v>
      </c>
      <c r="I197" s="58">
        <v>0</v>
      </c>
      <c r="J197" s="59">
        <f t="shared" si="229"/>
        <v>0</v>
      </c>
      <c r="K197" s="57">
        <f>' WIP '!N197</f>
        <v>0</v>
      </c>
      <c r="L197" s="58"/>
      <c r="M197" s="59">
        <f t="shared" si="230"/>
        <v>0</v>
      </c>
      <c r="N197" s="57">
        <f>' WIP '!R197</f>
        <v>0</v>
      </c>
      <c r="O197" s="58">
        <v>0</v>
      </c>
      <c r="P197" s="59">
        <f t="shared" si="231"/>
        <v>0</v>
      </c>
      <c r="Q197" s="57">
        <f>' WIP '!V197</f>
        <v>0</v>
      </c>
      <c r="R197" s="58">
        <v>0</v>
      </c>
      <c r="S197" s="59">
        <f t="shared" si="232"/>
        <v>0</v>
      </c>
      <c r="T197" s="57">
        <f>' WIP '!Z197</f>
        <v>0</v>
      </c>
      <c r="U197" s="58">
        <v>0</v>
      </c>
      <c r="V197" s="59">
        <f t="shared" si="233"/>
        <v>0</v>
      </c>
      <c r="W197" s="57">
        <f>' WIP '!AD197</f>
        <v>0</v>
      </c>
      <c r="X197" s="58">
        <v>0</v>
      </c>
      <c r="Y197" s="59">
        <f t="shared" si="234"/>
        <v>0</v>
      </c>
      <c r="Z197" s="57">
        <f>' WIP '!AH197</f>
        <v>0</v>
      </c>
      <c r="AA197" s="58">
        <v>0</v>
      </c>
      <c r="AB197" s="59">
        <f t="shared" si="235"/>
        <v>0</v>
      </c>
      <c r="AC197" s="57">
        <f>' WIP '!AL197</f>
        <v>0</v>
      </c>
      <c r="AD197" s="58">
        <v>0</v>
      </c>
      <c r="AE197" s="59">
        <f t="shared" si="236"/>
        <v>0</v>
      </c>
      <c r="AF197" s="57">
        <f>' WIP '!AP197</f>
        <v>0</v>
      </c>
      <c r="AG197" s="114">
        <v>0</v>
      </c>
      <c r="AH197" s="59">
        <f t="shared" si="237"/>
        <v>0</v>
      </c>
      <c r="AI197" s="57">
        <f>' WIP '!AT197</f>
        <v>0</v>
      </c>
      <c r="AJ197" s="58">
        <v>0</v>
      </c>
      <c r="AK197" s="59">
        <f t="shared" si="238"/>
        <v>0</v>
      </c>
      <c r="AL197" s="57">
        <f>' WIP '!AX197</f>
        <v>0</v>
      </c>
      <c r="AM197" s="58"/>
      <c r="AN197" s="59">
        <f t="shared" si="239"/>
        <v>0</v>
      </c>
      <c r="AO197" s="57">
        <f>' WIP '!BB197</f>
        <v>0</v>
      </c>
      <c r="AP197" s="58">
        <v>0</v>
      </c>
      <c r="AQ197" s="59">
        <f t="shared" si="240"/>
        <v>0</v>
      </c>
      <c r="AR197" s="57">
        <f>' WIP '!BF197</f>
        <v>0</v>
      </c>
      <c r="AS197" s="58">
        <v>0</v>
      </c>
      <c r="AT197" s="59">
        <f t="shared" si="241"/>
        <v>0</v>
      </c>
      <c r="AU197" s="57">
        <f>' WIP '!BJ197</f>
        <v>0</v>
      </c>
      <c r="AV197" s="58">
        <v>0</v>
      </c>
      <c r="AW197" s="59">
        <f t="shared" si="242"/>
        <v>0</v>
      </c>
      <c r="AX197" s="57">
        <f>' WIP '!BN197</f>
        <v>0</v>
      </c>
      <c r="AY197" s="58">
        <v>0</v>
      </c>
      <c r="AZ197" s="59">
        <f t="shared" si="243"/>
        <v>0</v>
      </c>
      <c r="BA197" s="57">
        <f>' WIP '!BR197</f>
        <v>0</v>
      </c>
      <c r="BB197" s="58">
        <v>0</v>
      </c>
      <c r="BC197" s="59">
        <f t="shared" si="244"/>
        <v>0</v>
      </c>
      <c r="BD197" s="57">
        <f>' WIP '!BV197</f>
        <v>0</v>
      </c>
      <c r="BE197" s="58">
        <v>0</v>
      </c>
      <c r="BF197" s="59">
        <f t="shared" si="245"/>
        <v>0</v>
      </c>
      <c r="BG197" s="57">
        <f>' WIP '!BZ197</f>
        <v>0</v>
      </c>
      <c r="BH197" s="58"/>
      <c r="BI197" s="59">
        <f t="shared" si="246"/>
        <v>0</v>
      </c>
      <c r="BJ197" s="57">
        <f>' WIP '!CD197</f>
        <v>0</v>
      </c>
      <c r="BK197" s="58">
        <v>0</v>
      </c>
      <c r="BL197" s="59">
        <f t="shared" si="247"/>
        <v>0</v>
      </c>
      <c r="BM197" s="57">
        <f>' WIP '!CH197</f>
        <v>0</v>
      </c>
      <c r="BN197" s="58">
        <v>0</v>
      </c>
      <c r="BO197" s="59">
        <f t="shared" si="248"/>
        <v>0</v>
      </c>
      <c r="BP197" s="57">
        <f>' WIP '!CL197</f>
        <v>0</v>
      </c>
      <c r="BQ197" s="58"/>
      <c r="BR197" s="59">
        <f t="shared" si="249"/>
        <v>0</v>
      </c>
      <c r="BS197" s="57">
        <f>' WIP '!CP197</f>
        <v>0</v>
      </c>
      <c r="BT197" s="58">
        <v>0</v>
      </c>
      <c r="BU197" s="59">
        <f t="shared" si="250"/>
        <v>0</v>
      </c>
      <c r="BV197" s="57">
        <f>' WIP '!CT197</f>
        <v>0</v>
      </c>
      <c r="BW197" s="28">
        <v>0</v>
      </c>
      <c r="BX197" s="59">
        <f t="shared" si="251"/>
        <v>0</v>
      </c>
      <c r="BY197" s="57">
        <f>' WIP '!CX197</f>
        <v>0</v>
      </c>
      <c r="BZ197" s="58">
        <v>0</v>
      </c>
      <c r="CA197" s="59">
        <f t="shared" si="252"/>
        <v>0</v>
      </c>
      <c r="CB197" s="57">
        <f>' WIP '!DB197</f>
        <v>0</v>
      </c>
      <c r="CC197" s="58">
        <v>0</v>
      </c>
      <c r="CD197" s="59">
        <f t="shared" si="253"/>
        <v>0</v>
      </c>
      <c r="CE197" s="57">
        <f>' WIP '!DF197</f>
        <v>0</v>
      </c>
      <c r="CF197" s="58">
        <v>0</v>
      </c>
      <c r="CG197" s="59">
        <f t="shared" si="254"/>
        <v>0</v>
      </c>
      <c r="CH197" s="57">
        <f>' WIP '!DJ197</f>
        <v>0</v>
      </c>
      <c r="CI197" s="58">
        <v>0</v>
      </c>
      <c r="CJ197" s="59">
        <f t="shared" si="255"/>
        <v>0</v>
      </c>
      <c r="CK197" s="57">
        <f>' WIP '!DN197</f>
        <v>0</v>
      </c>
      <c r="CL197" s="58">
        <v>0</v>
      </c>
      <c r="CM197" s="59">
        <f t="shared" si="256"/>
        <v>0</v>
      </c>
      <c r="CN197" s="57">
        <f>' WIP '!DR197</f>
        <v>0</v>
      </c>
      <c r="CO197" s="57"/>
      <c r="CP197" s="59">
        <f t="shared" si="257"/>
        <v>0</v>
      </c>
      <c r="CQ197" s="57">
        <f>' WIP '!DV197</f>
        <v>0</v>
      </c>
      <c r="CR197" s="58"/>
      <c r="CS197" s="59">
        <f t="shared" si="258"/>
        <v>0</v>
      </c>
      <c r="CT197" s="31">
        <f t="shared" si="259"/>
        <v>0</v>
      </c>
      <c r="CU197" s="4">
        <f t="shared" si="260"/>
        <v>0</v>
      </c>
      <c r="CV197" s="5">
        <f>D197*'MASTER SHEET'!D197</f>
        <v>0</v>
      </c>
      <c r="CW197" s="5">
        <f>G197*'MASTER SHEET'!D197</f>
        <v>0</v>
      </c>
      <c r="CX197" s="5">
        <f>J197*'MASTER SHEET'!D197</f>
        <v>0</v>
      </c>
      <c r="CY197" s="5">
        <f>M197*'MASTER SHEET'!D197</f>
        <v>0</v>
      </c>
      <c r="CZ197" s="5">
        <f>P197*'MASTER SHEET'!D197</f>
        <v>0</v>
      </c>
      <c r="DA197" s="5">
        <f>S197*'MASTER SHEET'!D197</f>
        <v>0</v>
      </c>
      <c r="DB197" s="5">
        <f>V197*'MASTER SHEET'!D197</f>
        <v>0</v>
      </c>
      <c r="DC197" s="5">
        <f>Y197*'MASTER SHEET'!D197</f>
        <v>0</v>
      </c>
      <c r="DD197" s="5">
        <f>AB197*'MASTER SHEET'!D197</f>
        <v>0</v>
      </c>
      <c r="DE197" s="5">
        <f>AE197*'MASTER SHEET'!D197</f>
        <v>0</v>
      </c>
      <c r="DF197" s="5">
        <f>AH197*'MASTER SHEET'!D197</f>
        <v>0</v>
      </c>
      <c r="DG197" s="5">
        <f>AK197*'MASTER SHEET'!D197</f>
        <v>0</v>
      </c>
      <c r="DH197" s="5">
        <f>AN197*'MASTER SHEET'!D197</f>
        <v>0</v>
      </c>
      <c r="DI197" s="5">
        <f>AQ197*'MASTER SHEET'!D197</f>
        <v>0</v>
      </c>
      <c r="DJ197" s="5">
        <f>AT197*'MASTER SHEET'!D197</f>
        <v>0</v>
      </c>
      <c r="DK197" s="5">
        <f>AW197*'MASTER SHEET'!D197</f>
        <v>0</v>
      </c>
      <c r="DL197" s="5">
        <f>AZ197*'MASTER SHEET'!D197</f>
        <v>0</v>
      </c>
      <c r="DM197" s="5">
        <f>BC197*'MASTER SHEET'!D197</f>
        <v>0</v>
      </c>
      <c r="DN197" s="5">
        <f>BF197*'MASTER SHEET'!D197</f>
        <v>0</v>
      </c>
      <c r="DO197" s="5">
        <f>BI197*'MASTER SHEET'!D197</f>
        <v>0</v>
      </c>
      <c r="DP197" s="5">
        <f>BL197*'MASTER SHEET'!D197</f>
        <v>0</v>
      </c>
      <c r="DQ197" s="5">
        <f>BO197*'MASTER SHEET'!D197</f>
        <v>0</v>
      </c>
      <c r="DR197" s="5">
        <f>BR197*'MASTER SHEET'!D197</f>
        <v>0</v>
      </c>
      <c r="DS197" s="5">
        <f>BU197*'MASTER SHEET'!D197</f>
        <v>0</v>
      </c>
      <c r="DT197" s="5">
        <f>BX197*'MASTER SHEET'!D197</f>
        <v>0</v>
      </c>
      <c r="DU197" s="5">
        <f>CA197*'MASTER SHEET'!D197</f>
        <v>0</v>
      </c>
      <c r="DV197" s="5">
        <f>CD197*'MASTER SHEET'!D197</f>
        <v>0</v>
      </c>
      <c r="DW197" s="5">
        <f>CG197*'MASTER SHEET'!D197</f>
        <v>0</v>
      </c>
      <c r="DX197" s="5">
        <f>CJ197*'MASTER SHEET'!D197</f>
        <v>0</v>
      </c>
      <c r="DY197" s="5">
        <f>CM197*'MASTER SHEET'!D197</f>
        <v>0</v>
      </c>
      <c r="DZ197" s="5">
        <f>CP197*'MASTER SHEET'!D197</f>
        <v>0</v>
      </c>
      <c r="EA197" s="5">
        <f>CS197*'MASTER SHEET'!D197</f>
        <v>0</v>
      </c>
      <c r="EB197" s="9"/>
    </row>
    <row r="198" spans="1:132" ht="15.75" x14ac:dyDescent="0.25">
      <c r="A198" s="25">
        <f>'MASTER SHEET'!A198</f>
        <v>196</v>
      </c>
      <c r="B198" s="26" t="str">
        <f>'MASTER SHEET'!B198</f>
        <v>BOTTOM COVER</v>
      </c>
      <c r="C198" s="27">
        <f>'MASTER SHEET'!C198</f>
        <v>5037943</v>
      </c>
      <c r="D198" s="56"/>
      <c r="E198" s="57">
        <f>' WIP '!F198</f>
        <v>0</v>
      </c>
      <c r="F198" s="58">
        <v>0</v>
      </c>
      <c r="G198" s="59">
        <f t="shared" si="228"/>
        <v>0</v>
      </c>
      <c r="H198" s="57">
        <f>' WIP '!J198</f>
        <v>0</v>
      </c>
      <c r="I198" s="58">
        <v>0</v>
      </c>
      <c r="J198" s="59">
        <f t="shared" si="229"/>
        <v>0</v>
      </c>
      <c r="K198" s="57">
        <f>' WIP '!N198</f>
        <v>0</v>
      </c>
      <c r="L198" s="58"/>
      <c r="M198" s="59">
        <f t="shared" si="230"/>
        <v>0</v>
      </c>
      <c r="N198" s="57">
        <f>' WIP '!R198</f>
        <v>0</v>
      </c>
      <c r="O198" s="58">
        <v>0</v>
      </c>
      <c r="P198" s="59">
        <f t="shared" si="231"/>
        <v>0</v>
      </c>
      <c r="Q198" s="57">
        <f>' WIP '!V198</f>
        <v>0</v>
      </c>
      <c r="R198" s="58">
        <v>0</v>
      </c>
      <c r="S198" s="59">
        <f t="shared" si="232"/>
        <v>0</v>
      </c>
      <c r="T198" s="57">
        <f>' WIP '!Z198</f>
        <v>0</v>
      </c>
      <c r="U198" s="58">
        <v>0</v>
      </c>
      <c r="V198" s="59">
        <f t="shared" si="233"/>
        <v>0</v>
      </c>
      <c r="W198" s="57">
        <f>' WIP '!AD198</f>
        <v>40</v>
      </c>
      <c r="X198" s="58">
        <v>0</v>
      </c>
      <c r="Y198" s="59">
        <f t="shared" si="234"/>
        <v>40</v>
      </c>
      <c r="Z198" s="57">
        <f>' WIP '!AH198</f>
        <v>100</v>
      </c>
      <c r="AA198" s="58">
        <v>50</v>
      </c>
      <c r="AB198" s="59">
        <f t="shared" si="235"/>
        <v>90</v>
      </c>
      <c r="AC198" s="57">
        <f>' WIP '!AL198</f>
        <v>64</v>
      </c>
      <c r="AD198" s="58">
        <v>150</v>
      </c>
      <c r="AE198" s="59">
        <f t="shared" si="236"/>
        <v>4</v>
      </c>
      <c r="AF198" s="57">
        <f>' WIP '!AP198</f>
        <v>28</v>
      </c>
      <c r="AG198" s="114">
        <v>28</v>
      </c>
      <c r="AH198" s="59">
        <f t="shared" si="237"/>
        <v>4</v>
      </c>
      <c r="AI198" s="57">
        <f>' WIP '!AT198</f>
        <v>0</v>
      </c>
      <c r="AJ198" s="58">
        <v>0</v>
      </c>
      <c r="AK198" s="59">
        <f t="shared" si="238"/>
        <v>4</v>
      </c>
      <c r="AL198" s="57">
        <f>' WIP '!AX198</f>
        <v>0</v>
      </c>
      <c r="AM198" s="58"/>
      <c r="AN198" s="59">
        <f t="shared" si="239"/>
        <v>4</v>
      </c>
      <c r="AO198" s="57">
        <f>' WIP '!BB198</f>
        <v>0</v>
      </c>
      <c r="AP198" s="58">
        <v>0</v>
      </c>
      <c r="AQ198" s="59">
        <f t="shared" si="240"/>
        <v>4</v>
      </c>
      <c r="AR198" s="57">
        <f>' WIP '!BF198</f>
        <v>0</v>
      </c>
      <c r="AS198" s="58">
        <v>0</v>
      </c>
      <c r="AT198" s="59">
        <f t="shared" si="241"/>
        <v>4</v>
      </c>
      <c r="AU198" s="57">
        <f>' WIP '!BJ198</f>
        <v>0</v>
      </c>
      <c r="AV198" s="58">
        <v>4</v>
      </c>
      <c r="AW198" s="59">
        <f t="shared" si="242"/>
        <v>0</v>
      </c>
      <c r="AX198" s="57">
        <f>' WIP '!BN198</f>
        <v>0</v>
      </c>
      <c r="AY198" s="58">
        <v>0</v>
      </c>
      <c r="AZ198" s="59">
        <f t="shared" si="243"/>
        <v>0</v>
      </c>
      <c r="BA198" s="57">
        <f>' WIP '!BR198</f>
        <v>0</v>
      </c>
      <c r="BB198" s="58">
        <v>0</v>
      </c>
      <c r="BC198" s="59">
        <f t="shared" si="244"/>
        <v>0</v>
      </c>
      <c r="BD198" s="57">
        <f>' WIP '!BV198</f>
        <v>0</v>
      </c>
      <c r="BE198" s="58">
        <v>0</v>
      </c>
      <c r="BF198" s="59">
        <f t="shared" si="245"/>
        <v>0</v>
      </c>
      <c r="BG198" s="57">
        <f>' WIP '!BZ198</f>
        <v>0</v>
      </c>
      <c r="BH198" s="58"/>
      <c r="BI198" s="59">
        <f t="shared" si="246"/>
        <v>0</v>
      </c>
      <c r="BJ198" s="57">
        <f>' WIP '!CD198</f>
        <v>0</v>
      </c>
      <c r="BK198" s="58">
        <v>0</v>
      </c>
      <c r="BL198" s="59">
        <f t="shared" si="247"/>
        <v>0</v>
      </c>
      <c r="BM198" s="57">
        <f>' WIP '!CH198</f>
        <v>0</v>
      </c>
      <c r="BN198" s="58">
        <v>0</v>
      </c>
      <c r="BO198" s="59">
        <f t="shared" si="248"/>
        <v>0</v>
      </c>
      <c r="BP198" s="57">
        <f>' WIP '!CL198</f>
        <v>20</v>
      </c>
      <c r="BQ198" s="58"/>
      <c r="BR198" s="59">
        <f t="shared" si="249"/>
        <v>20</v>
      </c>
      <c r="BS198" s="57">
        <f>' WIP '!CP198</f>
        <v>40</v>
      </c>
      <c r="BT198" s="58">
        <v>60</v>
      </c>
      <c r="BU198" s="59">
        <f t="shared" si="250"/>
        <v>0</v>
      </c>
      <c r="BV198" s="57">
        <f>' WIP '!CT198</f>
        <v>0</v>
      </c>
      <c r="BW198" s="28">
        <v>0</v>
      </c>
      <c r="BX198" s="59">
        <f t="shared" si="251"/>
        <v>0</v>
      </c>
      <c r="BY198" s="57">
        <f>' WIP '!CX198</f>
        <v>0</v>
      </c>
      <c r="BZ198" s="58">
        <v>0</v>
      </c>
      <c r="CA198" s="59">
        <f t="shared" si="252"/>
        <v>0</v>
      </c>
      <c r="CB198" s="57">
        <f>' WIP '!DB198</f>
        <v>0</v>
      </c>
      <c r="CC198" s="58">
        <v>0</v>
      </c>
      <c r="CD198" s="59">
        <f t="shared" si="253"/>
        <v>0</v>
      </c>
      <c r="CE198" s="57">
        <f>' WIP '!DF198</f>
        <v>0</v>
      </c>
      <c r="CF198" s="58">
        <v>0</v>
      </c>
      <c r="CG198" s="59">
        <f t="shared" si="254"/>
        <v>0</v>
      </c>
      <c r="CH198" s="57">
        <f>' WIP '!DJ198</f>
        <v>60</v>
      </c>
      <c r="CI198" s="58">
        <v>0</v>
      </c>
      <c r="CJ198" s="59">
        <f t="shared" si="255"/>
        <v>60</v>
      </c>
      <c r="CK198" s="57">
        <f>' WIP '!DN198</f>
        <v>66</v>
      </c>
      <c r="CL198" s="58">
        <v>0</v>
      </c>
      <c r="CM198" s="59">
        <f t="shared" si="256"/>
        <v>126</v>
      </c>
      <c r="CN198" s="57">
        <f>' WIP '!DR198</f>
        <v>0</v>
      </c>
      <c r="CO198" s="57"/>
      <c r="CP198" s="59">
        <f t="shared" si="257"/>
        <v>126</v>
      </c>
      <c r="CQ198" s="57">
        <f>' WIP '!DV198</f>
        <v>0</v>
      </c>
      <c r="CR198" s="58"/>
      <c r="CS198" s="59">
        <f t="shared" si="258"/>
        <v>126</v>
      </c>
      <c r="CT198" s="31">
        <f t="shared" si="259"/>
        <v>418</v>
      </c>
      <c r="CU198" s="4">
        <f t="shared" si="260"/>
        <v>292</v>
      </c>
      <c r="CV198" s="5">
        <f>D198*'MASTER SHEET'!D198</f>
        <v>0</v>
      </c>
      <c r="CW198" s="5">
        <f>G198*'MASTER SHEET'!D198</f>
        <v>0</v>
      </c>
      <c r="CX198" s="5">
        <f>J198*'MASTER SHEET'!D198</f>
        <v>0</v>
      </c>
      <c r="CY198" s="5">
        <f>M198*'MASTER SHEET'!D198</f>
        <v>0</v>
      </c>
      <c r="CZ198" s="5">
        <f>P198*'MASTER SHEET'!D198</f>
        <v>0</v>
      </c>
      <c r="DA198" s="5">
        <f>S198*'MASTER SHEET'!D198</f>
        <v>0</v>
      </c>
      <c r="DB198" s="5">
        <f>V198*'MASTER SHEET'!D198</f>
        <v>0</v>
      </c>
      <c r="DC198" s="5">
        <f>Y198*'MASTER SHEET'!D198</f>
        <v>57896.4</v>
      </c>
      <c r="DD198" s="5">
        <f>AB198*'MASTER SHEET'!D198</f>
        <v>130266.90000000001</v>
      </c>
      <c r="DE198" s="5">
        <f>AE198*'MASTER SHEET'!D198</f>
        <v>5789.64</v>
      </c>
      <c r="DF198" s="5">
        <f>AH198*'MASTER SHEET'!D198</f>
        <v>5789.64</v>
      </c>
      <c r="DG198" s="5">
        <f>AK198*'MASTER SHEET'!D198</f>
        <v>5789.64</v>
      </c>
      <c r="DH198" s="5">
        <f>AN198*'MASTER SHEET'!D198</f>
        <v>5789.64</v>
      </c>
      <c r="DI198" s="5">
        <f>AQ198*'MASTER SHEET'!D198</f>
        <v>5789.64</v>
      </c>
      <c r="DJ198" s="5">
        <f>AT198*'MASTER SHEET'!D198</f>
        <v>5789.64</v>
      </c>
      <c r="DK198" s="5">
        <f>AW198*'MASTER SHEET'!D198</f>
        <v>0</v>
      </c>
      <c r="DL198" s="5">
        <f>AZ198*'MASTER SHEET'!D198</f>
        <v>0</v>
      </c>
      <c r="DM198" s="5">
        <f>BC198*'MASTER SHEET'!D198</f>
        <v>0</v>
      </c>
      <c r="DN198" s="5">
        <f>BF198*'MASTER SHEET'!D198</f>
        <v>0</v>
      </c>
      <c r="DO198" s="5">
        <f>BI198*'MASTER SHEET'!D198</f>
        <v>0</v>
      </c>
      <c r="DP198" s="5">
        <f>BL198*'MASTER SHEET'!D198</f>
        <v>0</v>
      </c>
      <c r="DQ198" s="5">
        <f>BO198*'MASTER SHEET'!D198</f>
        <v>0</v>
      </c>
      <c r="DR198" s="5">
        <f>BR198*'MASTER SHEET'!D198</f>
        <v>28948.2</v>
      </c>
      <c r="DS198" s="5">
        <f>BU198*'MASTER SHEET'!D198</f>
        <v>0</v>
      </c>
      <c r="DT198" s="5">
        <f>BX198*'MASTER SHEET'!D198</f>
        <v>0</v>
      </c>
      <c r="DU198" s="5">
        <f>CA198*'MASTER SHEET'!D198</f>
        <v>0</v>
      </c>
      <c r="DV198" s="5">
        <f>CD198*'MASTER SHEET'!D198</f>
        <v>0</v>
      </c>
      <c r="DW198" s="5">
        <f>CG198*'MASTER SHEET'!D198</f>
        <v>0</v>
      </c>
      <c r="DX198" s="5">
        <f>CJ198*'MASTER SHEET'!D198</f>
        <v>86844.6</v>
      </c>
      <c r="DY198" s="5">
        <f>CM198*'MASTER SHEET'!D198</f>
        <v>182373.66</v>
      </c>
      <c r="DZ198" s="5">
        <f>CP198*'MASTER SHEET'!D198</f>
        <v>182373.66</v>
      </c>
      <c r="EA198" s="5">
        <f>CS198*'MASTER SHEET'!D198</f>
        <v>182373.66</v>
      </c>
      <c r="EB198" s="9"/>
    </row>
    <row r="199" spans="1:132" ht="15.75" x14ac:dyDescent="0.25">
      <c r="A199" s="25">
        <f>'MASTER SHEET'!A199</f>
        <v>197</v>
      </c>
      <c r="B199" s="26" t="str">
        <f>'MASTER SHEET'!B199</f>
        <v>END PLATE</v>
      </c>
      <c r="C199" s="27">
        <f>'MASTER SHEET'!C199</f>
        <v>5045083</v>
      </c>
      <c r="D199" s="56"/>
      <c r="E199" s="57">
        <f>' WIP '!F199</f>
        <v>0</v>
      </c>
      <c r="F199" s="58">
        <v>0</v>
      </c>
      <c r="G199" s="59">
        <f t="shared" si="228"/>
        <v>0</v>
      </c>
      <c r="H199" s="57">
        <f>' WIP '!J199</f>
        <v>0</v>
      </c>
      <c r="I199" s="58">
        <v>0</v>
      </c>
      <c r="J199" s="59">
        <f t="shared" si="229"/>
        <v>0</v>
      </c>
      <c r="K199" s="57">
        <f>' WIP '!N199</f>
        <v>0</v>
      </c>
      <c r="L199" s="58"/>
      <c r="M199" s="59">
        <f t="shared" si="230"/>
        <v>0</v>
      </c>
      <c r="N199" s="57">
        <f>' WIP '!R199</f>
        <v>0</v>
      </c>
      <c r="O199" s="58">
        <v>0</v>
      </c>
      <c r="P199" s="59">
        <f t="shared" si="231"/>
        <v>0</v>
      </c>
      <c r="Q199" s="57">
        <f>' WIP '!V199</f>
        <v>0</v>
      </c>
      <c r="R199" s="58">
        <v>0</v>
      </c>
      <c r="S199" s="59">
        <f t="shared" si="232"/>
        <v>0</v>
      </c>
      <c r="T199" s="57">
        <f>' WIP '!Z199</f>
        <v>0</v>
      </c>
      <c r="U199" s="58">
        <v>0</v>
      </c>
      <c r="V199" s="59">
        <f t="shared" si="233"/>
        <v>0</v>
      </c>
      <c r="W199" s="57">
        <f>' WIP '!AD199</f>
        <v>0</v>
      </c>
      <c r="X199" s="58">
        <v>0</v>
      </c>
      <c r="Y199" s="59">
        <f t="shared" si="234"/>
        <v>0</v>
      </c>
      <c r="Z199" s="57">
        <f>' WIP '!AH199</f>
        <v>0</v>
      </c>
      <c r="AA199" s="58">
        <v>0</v>
      </c>
      <c r="AB199" s="59">
        <f t="shared" si="235"/>
        <v>0</v>
      </c>
      <c r="AC199" s="57">
        <f>' WIP '!AL199</f>
        <v>0</v>
      </c>
      <c r="AD199" s="58">
        <v>0</v>
      </c>
      <c r="AE199" s="59">
        <f t="shared" si="236"/>
        <v>0</v>
      </c>
      <c r="AF199" s="57">
        <f>' WIP '!AP199</f>
        <v>0</v>
      </c>
      <c r="AG199" s="114">
        <v>0</v>
      </c>
      <c r="AH199" s="59">
        <f t="shared" si="237"/>
        <v>0</v>
      </c>
      <c r="AI199" s="57">
        <f>' WIP '!AT199</f>
        <v>0</v>
      </c>
      <c r="AJ199" s="58">
        <v>0</v>
      </c>
      <c r="AK199" s="59">
        <f t="shared" si="238"/>
        <v>0</v>
      </c>
      <c r="AL199" s="57">
        <f>' WIP '!AX199</f>
        <v>0</v>
      </c>
      <c r="AM199" s="58"/>
      <c r="AN199" s="59">
        <f t="shared" si="239"/>
        <v>0</v>
      </c>
      <c r="AO199" s="57">
        <f>' WIP '!BB199</f>
        <v>0</v>
      </c>
      <c r="AP199" s="58">
        <v>0</v>
      </c>
      <c r="AQ199" s="59">
        <f t="shared" si="240"/>
        <v>0</v>
      </c>
      <c r="AR199" s="57">
        <f>' WIP '!BF199</f>
        <v>0</v>
      </c>
      <c r="AS199" s="58">
        <v>0</v>
      </c>
      <c r="AT199" s="59">
        <f t="shared" si="241"/>
        <v>0</v>
      </c>
      <c r="AU199" s="57">
        <f>' WIP '!BJ199</f>
        <v>0</v>
      </c>
      <c r="AV199" s="58">
        <v>0</v>
      </c>
      <c r="AW199" s="59">
        <f t="shared" si="242"/>
        <v>0</v>
      </c>
      <c r="AX199" s="57">
        <f>' WIP '!BN199</f>
        <v>0</v>
      </c>
      <c r="AY199" s="58">
        <v>0</v>
      </c>
      <c r="AZ199" s="59">
        <f t="shared" si="243"/>
        <v>0</v>
      </c>
      <c r="BA199" s="57">
        <f>' WIP '!BR199</f>
        <v>0</v>
      </c>
      <c r="BB199" s="58">
        <v>0</v>
      </c>
      <c r="BC199" s="59">
        <f t="shared" si="244"/>
        <v>0</v>
      </c>
      <c r="BD199" s="57">
        <f>' WIP '!BV199</f>
        <v>0</v>
      </c>
      <c r="BE199" s="58">
        <v>0</v>
      </c>
      <c r="BF199" s="59">
        <f t="shared" si="245"/>
        <v>0</v>
      </c>
      <c r="BG199" s="57">
        <f>' WIP '!BZ199</f>
        <v>0</v>
      </c>
      <c r="BH199" s="58"/>
      <c r="BI199" s="59">
        <f t="shared" si="246"/>
        <v>0</v>
      </c>
      <c r="BJ199" s="57">
        <f>' WIP '!CD199</f>
        <v>0</v>
      </c>
      <c r="BK199" s="58">
        <v>0</v>
      </c>
      <c r="BL199" s="59">
        <f t="shared" si="247"/>
        <v>0</v>
      </c>
      <c r="BM199" s="57">
        <f>' WIP '!CH199</f>
        <v>0</v>
      </c>
      <c r="BN199" s="58">
        <v>0</v>
      </c>
      <c r="BO199" s="59">
        <f t="shared" si="248"/>
        <v>0</v>
      </c>
      <c r="BP199" s="57">
        <f>' WIP '!CL199</f>
        <v>0</v>
      </c>
      <c r="BQ199" s="58"/>
      <c r="BR199" s="59">
        <f t="shared" si="249"/>
        <v>0</v>
      </c>
      <c r="BS199" s="57">
        <f>' WIP '!CP199</f>
        <v>49</v>
      </c>
      <c r="BT199" s="58">
        <v>49</v>
      </c>
      <c r="BU199" s="59">
        <f t="shared" si="250"/>
        <v>0</v>
      </c>
      <c r="BV199" s="57">
        <f>' WIP '!CT199</f>
        <v>0</v>
      </c>
      <c r="BW199" s="28">
        <v>0</v>
      </c>
      <c r="BX199" s="59">
        <f t="shared" si="251"/>
        <v>0</v>
      </c>
      <c r="BY199" s="57">
        <f>' WIP '!CX199</f>
        <v>0</v>
      </c>
      <c r="BZ199" s="58">
        <v>0</v>
      </c>
      <c r="CA199" s="59">
        <f t="shared" si="252"/>
        <v>0</v>
      </c>
      <c r="CB199" s="57">
        <f>' WIP '!DB199</f>
        <v>0</v>
      </c>
      <c r="CC199" s="58">
        <v>0</v>
      </c>
      <c r="CD199" s="59">
        <f t="shared" si="253"/>
        <v>0</v>
      </c>
      <c r="CE199" s="57">
        <f>' WIP '!DF199</f>
        <v>0</v>
      </c>
      <c r="CF199" s="58">
        <v>0</v>
      </c>
      <c r="CG199" s="59">
        <f t="shared" si="254"/>
        <v>0</v>
      </c>
      <c r="CH199" s="57">
        <f>' WIP '!DJ199</f>
        <v>0</v>
      </c>
      <c r="CI199" s="58">
        <v>0</v>
      </c>
      <c r="CJ199" s="59">
        <f t="shared" si="255"/>
        <v>0</v>
      </c>
      <c r="CK199" s="57">
        <f>' WIP '!DN199</f>
        <v>0</v>
      </c>
      <c r="CL199" s="58">
        <v>0</v>
      </c>
      <c r="CM199" s="59">
        <f t="shared" si="256"/>
        <v>0</v>
      </c>
      <c r="CN199" s="57">
        <f>' WIP '!DR199</f>
        <v>0</v>
      </c>
      <c r="CO199" s="57"/>
      <c r="CP199" s="59">
        <f t="shared" si="257"/>
        <v>0</v>
      </c>
      <c r="CQ199" s="57">
        <f>' WIP '!DV199</f>
        <v>0</v>
      </c>
      <c r="CR199" s="58"/>
      <c r="CS199" s="59">
        <f t="shared" si="258"/>
        <v>0</v>
      </c>
      <c r="CT199" s="31">
        <f t="shared" si="259"/>
        <v>49</v>
      </c>
      <c r="CU199" s="4">
        <f t="shared" si="260"/>
        <v>49</v>
      </c>
      <c r="CV199" s="5">
        <f>D199*'MASTER SHEET'!D199</f>
        <v>0</v>
      </c>
      <c r="CW199" s="5">
        <f>G199*'MASTER SHEET'!D199</f>
        <v>0</v>
      </c>
      <c r="CX199" s="5">
        <f>J199*'MASTER SHEET'!D199</f>
        <v>0</v>
      </c>
      <c r="CY199" s="5">
        <f>M199*'MASTER SHEET'!D199</f>
        <v>0</v>
      </c>
      <c r="CZ199" s="5">
        <f>P199*'MASTER SHEET'!D199</f>
        <v>0</v>
      </c>
      <c r="DA199" s="5">
        <f>S199*'MASTER SHEET'!D199</f>
        <v>0</v>
      </c>
      <c r="DB199" s="5">
        <f>V199*'MASTER SHEET'!D199</f>
        <v>0</v>
      </c>
      <c r="DC199" s="5">
        <f>Y199*'MASTER SHEET'!D199</f>
        <v>0</v>
      </c>
      <c r="DD199" s="5">
        <f>AB199*'MASTER SHEET'!D199</f>
        <v>0</v>
      </c>
      <c r="DE199" s="5">
        <f>AE199*'MASTER SHEET'!D199</f>
        <v>0</v>
      </c>
      <c r="DF199" s="5">
        <f>AH199*'MASTER SHEET'!D199</f>
        <v>0</v>
      </c>
      <c r="DG199" s="5">
        <f>AK199*'MASTER SHEET'!D199</f>
        <v>0</v>
      </c>
      <c r="DH199" s="5">
        <f>AN199*'MASTER SHEET'!D199</f>
        <v>0</v>
      </c>
      <c r="DI199" s="5">
        <f>AQ199*'MASTER SHEET'!D199</f>
        <v>0</v>
      </c>
      <c r="DJ199" s="5">
        <f>AT199*'MASTER SHEET'!D199</f>
        <v>0</v>
      </c>
      <c r="DK199" s="5">
        <f>AW199*'MASTER SHEET'!D199</f>
        <v>0</v>
      </c>
      <c r="DL199" s="5">
        <f>AZ199*'MASTER SHEET'!D199</f>
        <v>0</v>
      </c>
      <c r="DM199" s="5">
        <f>BC199*'MASTER SHEET'!D199</f>
        <v>0</v>
      </c>
      <c r="DN199" s="5">
        <f>BF199*'MASTER SHEET'!D199</f>
        <v>0</v>
      </c>
      <c r="DO199" s="5">
        <f>BI199*'MASTER SHEET'!D199</f>
        <v>0</v>
      </c>
      <c r="DP199" s="5">
        <f>BL199*'MASTER SHEET'!D199</f>
        <v>0</v>
      </c>
      <c r="DQ199" s="5">
        <f>BO199*'MASTER SHEET'!D199</f>
        <v>0</v>
      </c>
      <c r="DR199" s="5">
        <f>BR199*'MASTER SHEET'!D199</f>
        <v>0</v>
      </c>
      <c r="DS199" s="5">
        <f>BU199*'MASTER SHEET'!D199</f>
        <v>0</v>
      </c>
      <c r="DT199" s="5">
        <f>BX199*'MASTER SHEET'!D199</f>
        <v>0</v>
      </c>
      <c r="DU199" s="5">
        <f>CA199*'MASTER SHEET'!D199</f>
        <v>0</v>
      </c>
      <c r="DV199" s="5">
        <f>CD199*'MASTER SHEET'!D199</f>
        <v>0</v>
      </c>
      <c r="DW199" s="5">
        <f>CG199*'MASTER SHEET'!D199</f>
        <v>0</v>
      </c>
      <c r="DX199" s="5">
        <f>CJ199*'MASTER SHEET'!D199</f>
        <v>0</v>
      </c>
      <c r="DY199" s="5">
        <f>CM199*'MASTER SHEET'!D199</f>
        <v>0</v>
      </c>
      <c r="DZ199" s="5">
        <f>CP199*'MASTER SHEET'!D199</f>
        <v>0</v>
      </c>
      <c r="EA199" s="5">
        <f>CS199*'MASTER SHEET'!D199</f>
        <v>0</v>
      </c>
      <c r="EB199" s="9"/>
    </row>
    <row r="200" spans="1:132" ht="15.75" x14ac:dyDescent="0.25">
      <c r="A200" s="25">
        <f>'MASTER SHEET'!A200</f>
        <v>198</v>
      </c>
      <c r="B200" s="26" t="str">
        <f>'MASTER SHEET'!B200</f>
        <v>TOP COVER ASSY.</v>
      </c>
      <c r="C200" s="27">
        <f>'MASTER SHEET'!C200</f>
        <v>5039553</v>
      </c>
      <c r="D200" s="56"/>
      <c r="E200" s="57">
        <f>' WIP '!F200</f>
        <v>0</v>
      </c>
      <c r="F200" s="58">
        <v>0</v>
      </c>
      <c r="G200" s="59">
        <f t="shared" si="228"/>
        <v>0</v>
      </c>
      <c r="H200" s="57">
        <f>' WIP '!J200</f>
        <v>0</v>
      </c>
      <c r="I200" s="58">
        <v>0</v>
      </c>
      <c r="J200" s="59">
        <f t="shared" si="229"/>
        <v>0</v>
      </c>
      <c r="K200" s="57">
        <f>' WIP '!N200</f>
        <v>0</v>
      </c>
      <c r="L200" s="58"/>
      <c r="M200" s="59">
        <f t="shared" si="230"/>
        <v>0</v>
      </c>
      <c r="N200" s="57">
        <f>' WIP '!R200</f>
        <v>0</v>
      </c>
      <c r="O200" s="58">
        <v>0</v>
      </c>
      <c r="P200" s="59">
        <f t="shared" si="231"/>
        <v>0</v>
      </c>
      <c r="Q200" s="57">
        <f>' WIP '!V200</f>
        <v>0</v>
      </c>
      <c r="R200" s="58">
        <v>0</v>
      </c>
      <c r="S200" s="59">
        <f t="shared" si="232"/>
        <v>0</v>
      </c>
      <c r="T200" s="57">
        <f>' WIP '!Z200</f>
        <v>0</v>
      </c>
      <c r="U200" s="58">
        <v>0</v>
      </c>
      <c r="V200" s="59">
        <f t="shared" si="233"/>
        <v>0</v>
      </c>
      <c r="W200" s="57">
        <f>' WIP '!AD200</f>
        <v>40</v>
      </c>
      <c r="X200" s="58">
        <v>0</v>
      </c>
      <c r="Y200" s="59">
        <f t="shared" si="234"/>
        <v>40</v>
      </c>
      <c r="Z200" s="57">
        <f>' WIP '!AH200</f>
        <v>100</v>
      </c>
      <c r="AA200" s="58">
        <v>50</v>
      </c>
      <c r="AB200" s="59">
        <f t="shared" si="235"/>
        <v>90</v>
      </c>
      <c r="AC200" s="57">
        <f>' WIP '!AL200</f>
        <v>60</v>
      </c>
      <c r="AD200" s="58">
        <v>150</v>
      </c>
      <c r="AE200" s="59">
        <f t="shared" si="236"/>
        <v>0</v>
      </c>
      <c r="AF200" s="57">
        <f>' WIP '!AP200</f>
        <v>28</v>
      </c>
      <c r="AG200" s="114">
        <v>28</v>
      </c>
      <c r="AH200" s="59">
        <f t="shared" si="237"/>
        <v>0</v>
      </c>
      <c r="AI200" s="57">
        <f>' WIP '!AT200</f>
        <v>0</v>
      </c>
      <c r="AJ200" s="58">
        <v>0</v>
      </c>
      <c r="AK200" s="59">
        <f t="shared" si="238"/>
        <v>0</v>
      </c>
      <c r="AL200" s="57">
        <f>' WIP '!AX200</f>
        <v>0</v>
      </c>
      <c r="AM200" s="58"/>
      <c r="AN200" s="59">
        <f t="shared" si="239"/>
        <v>0</v>
      </c>
      <c r="AO200" s="57">
        <f>' WIP '!BB200</f>
        <v>0</v>
      </c>
      <c r="AP200" s="58">
        <v>0</v>
      </c>
      <c r="AQ200" s="59">
        <f t="shared" si="240"/>
        <v>0</v>
      </c>
      <c r="AR200" s="57">
        <f>' WIP '!BF200</f>
        <v>0</v>
      </c>
      <c r="AS200" s="58">
        <v>0</v>
      </c>
      <c r="AT200" s="59">
        <f t="shared" si="241"/>
        <v>0</v>
      </c>
      <c r="AU200" s="57">
        <f>' WIP '!BJ200</f>
        <v>4</v>
      </c>
      <c r="AV200" s="58">
        <v>4</v>
      </c>
      <c r="AW200" s="59">
        <f t="shared" si="242"/>
        <v>0</v>
      </c>
      <c r="AX200" s="57">
        <f>' WIP '!BN200</f>
        <v>0</v>
      </c>
      <c r="AY200" s="58">
        <v>0</v>
      </c>
      <c r="AZ200" s="59">
        <f t="shared" si="243"/>
        <v>0</v>
      </c>
      <c r="BA200" s="57">
        <f>' WIP '!BR200</f>
        <v>0</v>
      </c>
      <c r="BB200" s="58">
        <v>0</v>
      </c>
      <c r="BC200" s="59">
        <f t="shared" si="244"/>
        <v>0</v>
      </c>
      <c r="BD200" s="57">
        <f>' WIP '!BV200</f>
        <v>0</v>
      </c>
      <c r="BE200" s="58">
        <v>0</v>
      </c>
      <c r="BF200" s="59">
        <f t="shared" si="245"/>
        <v>0</v>
      </c>
      <c r="BG200" s="57">
        <f>' WIP '!BZ200</f>
        <v>0</v>
      </c>
      <c r="BH200" s="58"/>
      <c r="BI200" s="59">
        <f t="shared" si="246"/>
        <v>0</v>
      </c>
      <c r="BJ200" s="57">
        <f>' WIP '!CD200</f>
        <v>0</v>
      </c>
      <c r="BK200" s="58">
        <v>0</v>
      </c>
      <c r="BL200" s="59">
        <f t="shared" si="247"/>
        <v>0</v>
      </c>
      <c r="BM200" s="57">
        <f>' WIP '!CH200</f>
        <v>0</v>
      </c>
      <c r="BN200" s="58">
        <v>0</v>
      </c>
      <c r="BO200" s="59">
        <f t="shared" si="248"/>
        <v>0</v>
      </c>
      <c r="BP200" s="57">
        <f>' WIP '!CL200</f>
        <v>0</v>
      </c>
      <c r="BQ200" s="58"/>
      <c r="BR200" s="59">
        <f t="shared" si="249"/>
        <v>0</v>
      </c>
      <c r="BS200" s="57">
        <f>' WIP '!CP200</f>
        <v>60</v>
      </c>
      <c r="BT200" s="58">
        <v>60</v>
      </c>
      <c r="BU200" s="59">
        <f t="shared" si="250"/>
        <v>0</v>
      </c>
      <c r="BV200" s="57">
        <f>' WIP '!CT200</f>
        <v>0</v>
      </c>
      <c r="BW200" s="28">
        <v>0</v>
      </c>
      <c r="BX200" s="59">
        <f t="shared" si="251"/>
        <v>0</v>
      </c>
      <c r="BY200" s="57">
        <f>' WIP '!CX200</f>
        <v>0</v>
      </c>
      <c r="BZ200" s="58">
        <v>0</v>
      </c>
      <c r="CA200" s="59">
        <f t="shared" si="252"/>
        <v>0</v>
      </c>
      <c r="CB200" s="57">
        <f>' WIP '!DB200</f>
        <v>0</v>
      </c>
      <c r="CC200" s="58">
        <v>0</v>
      </c>
      <c r="CD200" s="59">
        <f t="shared" si="253"/>
        <v>0</v>
      </c>
      <c r="CE200" s="57">
        <f>' WIP '!DF200</f>
        <v>0</v>
      </c>
      <c r="CF200" s="58">
        <v>0</v>
      </c>
      <c r="CG200" s="59">
        <f t="shared" si="254"/>
        <v>0</v>
      </c>
      <c r="CH200" s="57">
        <f>' WIP '!DJ200</f>
        <v>60</v>
      </c>
      <c r="CI200" s="58">
        <v>0</v>
      </c>
      <c r="CJ200" s="59">
        <f t="shared" si="255"/>
        <v>60</v>
      </c>
      <c r="CK200" s="57">
        <f>' WIP '!DN200</f>
        <v>66</v>
      </c>
      <c r="CL200" s="58">
        <v>0</v>
      </c>
      <c r="CM200" s="59">
        <f t="shared" si="256"/>
        <v>126</v>
      </c>
      <c r="CN200" s="57">
        <f>' WIP '!DR200</f>
        <v>0</v>
      </c>
      <c r="CO200" s="57"/>
      <c r="CP200" s="59">
        <f t="shared" si="257"/>
        <v>126</v>
      </c>
      <c r="CQ200" s="57">
        <f>' WIP '!DV200</f>
        <v>0</v>
      </c>
      <c r="CR200" s="58"/>
      <c r="CS200" s="59">
        <f t="shared" si="258"/>
        <v>126</v>
      </c>
      <c r="CT200" s="31">
        <f t="shared" si="259"/>
        <v>418</v>
      </c>
      <c r="CU200" s="4">
        <f t="shared" si="260"/>
        <v>292</v>
      </c>
      <c r="CV200" s="5">
        <f>D200*'MASTER SHEET'!D200</f>
        <v>0</v>
      </c>
      <c r="CW200" s="5">
        <f>G200*'MASTER SHEET'!D200</f>
        <v>0</v>
      </c>
      <c r="CX200" s="5">
        <f>J200*'MASTER SHEET'!D200</f>
        <v>0</v>
      </c>
      <c r="CY200" s="5">
        <f>M200*'MASTER SHEET'!D200</f>
        <v>0</v>
      </c>
      <c r="CZ200" s="5">
        <f>P200*'MASTER SHEET'!D200</f>
        <v>0</v>
      </c>
      <c r="DA200" s="5">
        <f>S200*'MASTER SHEET'!D200</f>
        <v>0</v>
      </c>
      <c r="DB200" s="5">
        <f>V200*'MASTER SHEET'!D200</f>
        <v>0</v>
      </c>
      <c r="DC200" s="5">
        <f>Y200*'MASTER SHEET'!D200</f>
        <v>7570</v>
      </c>
      <c r="DD200" s="5">
        <f>AB200*'MASTER SHEET'!D200</f>
        <v>17032.5</v>
      </c>
      <c r="DE200" s="5">
        <f>AE200*'MASTER SHEET'!D200</f>
        <v>0</v>
      </c>
      <c r="DF200" s="5">
        <f>AH200*'MASTER SHEET'!D200</f>
        <v>0</v>
      </c>
      <c r="DG200" s="5">
        <f>AK200*'MASTER SHEET'!D200</f>
        <v>0</v>
      </c>
      <c r="DH200" s="5">
        <f>AN200*'MASTER SHEET'!D200</f>
        <v>0</v>
      </c>
      <c r="DI200" s="5">
        <f>AQ200*'MASTER SHEET'!D200</f>
        <v>0</v>
      </c>
      <c r="DJ200" s="5">
        <f>AT200*'MASTER SHEET'!D200</f>
        <v>0</v>
      </c>
      <c r="DK200" s="5">
        <f>AW200*'MASTER SHEET'!D200</f>
        <v>0</v>
      </c>
      <c r="DL200" s="5">
        <f>AZ200*'MASTER SHEET'!D200</f>
        <v>0</v>
      </c>
      <c r="DM200" s="5">
        <f>BC200*'MASTER SHEET'!D200</f>
        <v>0</v>
      </c>
      <c r="DN200" s="5">
        <f>BF200*'MASTER SHEET'!D200</f>
        <v>0</v>
      </c>
      <c r="DO200" s="5">
        <f>BI200*'MASTER SHEET'!D200</f>
        <v>0</v>
      </c>
      <c r="DP200" s="5">
        <f>BL200*'MASTER SHEET'!D200</f>
        <v>0</v>
      </c>
      <c r="DQ200" s="5">
        <f>BO200*'MASTER SHEET'!D200</f>
        <v>0</v>
      </c>
      <c r="DR200" s="5">
        <f>BR200*'MASTER SHEET'!D200</f>
        <v>0</v>
      </c>
      <c r="DS200" s="5">
        <f>BU200*'MASTER SHEET'!D200</f>
        <v>0</v>
      </c>
      <c r="DT200" s="5">
        <f>BX200*'MASTER SHEET'!D200</f>
        <v>0</v>
      </c>
      <c r="DU200" s="5">
        <f>CA200*'MASTER SHEET'!D200</f>
        <v>0</v>
      </c>
      <c r="DV200" s="5">
        <f>CD200*'MASTER SHEET'!D200</f>
        <v>0</v>
      </c>
      <c r="DW200" s="5">
        <f>CG200*'MASTER SHEET'!D200</f>
        <v>0</v>
      </c>
      <c r="DX200" s="5">
        <f>CJ200*'MASTER SHEET'!D200</f>
        <v>11355</v>
      </c>
      <c r="DY200" s="5">
        <f>CM200*'MASTER SHEET'!D200</f>
        <v>23845.5</v>
      </c>
      <c r="DZ200" s="5">
        <f>CP200*'MASTER SHEET'!D200</f>
        <v>23845.5</v>
      </c>
      <c r="EA200" s="5">
        <f>CS200*'MASTER SHEET'!D200</f>
        <v>23845.5</v>
      </c>
      <c r="EB200" s="9"/>
    </row>
    <row r="201" spans="1:132" ht="15.75" x14ac:dyDescent="0.25">
      <c r="A201" s="25">
        <f>'MASTER SHEET'!A201</f>
        <v>199</v>
      </c>
      <c r="B201" s="26" t="str">
        <f>'MASTER SHEET'!B201</f>
        <v>HOUSING PLASTIC</v>
      </c>
      <c r="C201" s="27">
        <f>'MASTER SHEET'!C201</f>
        <v>5039047</v>
      </c>
      <c r="D201" s="56">
        <v>50</v>
      </c>
      <c r="E201" s="57">
        <f>' WIP '!F201</f>
        <v>0</v>
      </c>
      <c r="F201" s="58">
        <v>50</v>
      </c>
      <c r="G201" s="59">
        <f t="shared" si="228"/>
        <v>0</v>
      </c>
      <c r="H201" s="57">
        <f>' WIP '!J201</f>
        <v>0</v>
      </c>
      <c r="I201" s="58">
        <v>0</v>
      </c>
      <c r="J201" s="59">
        <f t="shared" si="229"/>
        <v>0</v>
      </c>
      <c r="K201" s="57">
        <f>' WIP '!N201</f>
        <v>0</v>
      </c>
      <c r="L201" s="58"/>
      <c r="M201" s="59">
        <f t="shared" si="230"/>
        <v>0</v>
      </c>
      <c r="N201" s="57">
        <f>' WIP '!R201</f>
        <v>0</v>
      </c>
      <c r="O201" s="58">
        <v>0</v>
      </c>
      <c r="P201" s="59">
        <f t="shared" si="231"/>
        <v>0</v>
      </c>
      <c r="Q201" s="57">
        <f>' WIP '!V201</f>
        <v>0</v>
      </c>
      <c r="R201" s="58">
        <v>0</v>
      </c>
      <c r="S201" s="59">
        <f t="shared" si="232"/>
        <v>0</v>
      </c>
      <c r="T201" s="57">
        <f>' WIP '!Z201</f>
        <v>0</v>
      </c>
      <c r="U201" s="58">
        <v>0</v>
      </c>
      <c r="V201" s="59">
        <f t="shared" si="233"/>
        <v>0</v>
      </c>
      <c r="W201" s="57">
        <f>' WIP '!AD201</f>
        <v>200</v>
      </c>
      <c r="X201" s="58">
        <v>200</v>
      </c>
      <c r="Y201" s="59">
        <f t="shared" si="234"/>
        <v>0</v>
      </c>
      <c r="Z201" s="57">
        <f>' WIP '!AH201</f>
        <v>930</v>
      </c>
      <c r="AA201" s="58">
        <v>800</v>
      </c>
      <c r="AB201" s="59">
        <f t="shared" si="235"/>
        <v>130</v>
      </c>
      <c r="AC201" s="57">
        <f>' WIP '!AL201</f>
        <v>0</v>
      </c>
      <c r="AD201" s="58">
        <v>0</v>
      </c>
      <c r="AE201" s="59">
        <f t="shared" si="236"/>
        <v>130</v>
      </c>
      <c r="AF201" s="57">
        <f>' WIP '!AP201</f>
        <v>0</v>
      </c>
      <c r="AG201" s="114">
        <v>0</v>
      </c>
      <c r="AH201" s="59">
        <f t="shared" si="237"/>
        <v>130</v>
      </c>
      <c r="AI201" s="57">
        <f>' WIP '!AT201</f>
        <v>0</v>
      </c>
      <c r="AJ201" s="58">
        <v>0</v>
      </c>
      <c r="AK201" s="59">
        <f t="shared" si="238"/>
        <v>130</v>
      </c>
      <c r="AL201" s="57">
        <f>' WIP '!AX201</f>
        <v>0</v>
      </c>
      <c r="AM201" s="58"/>
      <c r="AN201" s="59">
        <f t="shared" si="239"/>
        <v>130</v>
      </c>
      <c r="AO201" s="57">
        <f>' WIP '!BB201</f>
        <v>0</v>
      </c>
      <c r="AP201" s="58">
        <v>0</v>
      </c>
      <c r="AQ201" s="59">
        <f t="shared" si="240"/>
        <v>130</v>
      </c>
      <c r="AR201" s="57">
        <f>' WIP '!BF201</f>
        <v>0</v>
      </c>
      <c r="AS201" s="58">
        <v>0</v>
      </c>
      <c r="AT201" s="59">
        <f t="shared" si="241"/>
        <v>130</v>
      </c>
      <c r="AU201" s="57">
        <f>' WIP '!BJ201</f>
        <v>0</v>
      </c>
      <c r="AV201" s="58">
        <v>0</v>
      </c>
      <c r="AW201" s="59">
        <f t="shared" si="242"/>
        <v>130</v>
      </c>
      <c r="AX201" s="57">
        <f>' WIP '!BN201</f>
        <v>0</v>
      </c>
      <c r="AY201" s="58">
        <v>0</v>
      </c>
      <c r="AZ201" s="59">
        <f t="shared" si="243"/>
        <v>130</v>
      </c>
      <c r="BA201" s="57">
        <f>' WIP '!BR201</f>
        <v>0</v>
      </c>
      <c r="BB201" s="58">
        <v>0</v>
      </c>
      <c r="BC201" s="59">
        <f t="shared" si="244"/>
        <v>130</v>
      </c>
      <c r="BD201" s="57">
        <f>' WIP '!BV201</f>
        <v>0</v>
      </c>
      <c r="BE201" s="58">
        <v>0</v>
      </c>
      <c r="BF201" s="59">
        <f t="shared" si="245"/>
        <v>130</v>
      </c>
      <c r="BG201" s="57">
        <f>' WIP '!BZ201</f>
        <v>0</v>
      </c>
      <c r="BH201" s="58"/>
      <c r="BI201" s="59">
        <f t="shared" si="246"/>
        <v>130</v>
      </c>
      <c r="BJ201" s="57">
        <f>' WIP '!CD201</f>
        <v>0</v>
      </c>
      <c r="BK201" s="58">
        <v>0</v>
      </c>
      <c r="BL201" s="59">
        <f t="shared" si="247"/>
        <v>130</v>
      </c>
      <c r="BM201" s="57">
        <f>' WIP '!CH201</f>
        <v>0</v>
      </c>
      <c r="BN201" s="58">
        <v>0</v>
      </c>
      <c r="BO201" s="59">
        <f t="shared" si="248"/>
        <v>130</v>
      </c>
      <c r="BP201" s="57">
        <f>' WIP '!CL201</f>
        <v>0</v>
      </c>
      <c r="BQ201" s="58"/>
      <c r="BR201" s="59">
        <f t="shared" si="249"/>
        <v>130</v>
      </c>
      <c r="BS201" s="57">
        <f>' WIP '!CP201</f>
        <v>0</v>
      </c>
      <c r="BT201" s="58">
        <v>0</v>
      </c>
      <c r="BU201" s="59">
        <f t="shared" si="250"/>
        <v>130</v>
      </c>
      <c r="BV201" s="57">
        <f>' WIP '!CT201</f>
        <v>0</v>
      </c>
      <c r="BW201" s="28">
        <v>0</v>
      </c>
      <c r="BX201" s="59">
        <f t="shared" si="251"/>
        <v>130</v>
      </c>
      <c r="BY201" s="57">
        <f>' WIP '!CX201</f>
        <v>0</v>
      </c>
      <c r="BZ201" s="58">
        <v>0</v>
      </c>
      <c r="CA201" s="59">
        <f t="shared" si="252"/>
        <v>130</v>
      </c>
      <c r="CB201" s="57">
        <f>' WIP '!DB201</f>
        <v>0</v>
      </c>
      <c r="CC201" s="58">
        <v>0</v>
      </c>
      <c r="CD201" s="59">
        <f t="shared" si="253"/>
        <v>130</v>
      </c>
      <c r="CE201" s="57">
        <f>' WIP '!DF201</f>
        <v>0</v>
      </c>
      <c r="CF201" s="58">
        <v>0</v>
      </c>
      <c r="CG201" s="59">
        <f t="shared" si="254"/>
        <v>130</v>
      </c>
      <c r="CH201" s="57">
        <f>' WIP '!DJ201</f>
        <v>0</v>
      </c>
      <c r="CI201" s="58">
        <v>0</v>
      </c>
      <c r="CJ201" s="59">
        <f t="shared" si="255"/>
        <v>130</v>
      </c>
      <c r="CK201" s="57">
        <f>' WIP '!DN201</f>
        <v>0</v>
      </c>
      <c r="CL201" s="58">
        <v>0</v>
      </c>
      <c r="CM201" s="59">
        <f t="shared" si="256"/>
        <v>130</v>
      </c>
      <c r="CN201" s="57">
        <f>' WIP '!DR201</f>
        <v>0</v>
      </c>
      <c r="CO201" s="57"/>
      <c r="CP201" s="59">
        <f t="shared" si="257"/>
        <v>130</v>
      </c>
      <c r="CQ201" s="57">
        <f>' WIP '!DV201</f>
        <v>0</v>
      </c>
      <c r="CR201" s="58"/>
      <c r="CS201" s="59">
        <f t="shared" si="258"/>
        <v>130</v>
      </c>
      <c r="CT201" s="31">
        <f t="shared" si="259"/>
        <v>1180</v>
      </c>
      <c r="CU201" s="4">
        <f t="shared" si="260"/>
        <v>1050</v>
      </c>
      <c r="CV201" s="5">
        <f>D201*'MASTER SHEET'!D201</f>
        <v>774</v>
      </c>
      <c r="CW201" s="5">
        <f>G201*'MASTER SHEET'!D201</f>
        <v>0</v>
      </c>
      <c r="CX201" s="5">
        <f>J201*'MASTER SHEET'!D201</f>
        <v>0</v>
      </c>
      <c r="CY201" s="5">
        <f>M201*'MASTER SHEET'!D201</f>
        <v>0</v>
      </c>
      <c r="CZ201" s="5">
        <f>P201*'MASTER SHEET'!D201</f>
        <v>0</v>
      </c>
      <c r="DA201" s="5">
        <f>S201*'MASTER SHEET'!D201</f>
        <v>0</v>
      </c>
      <c r="DB201" s="5">
        <f>V201*'MASTER SHEET'!D201</f>
        <v>0</v>
      </c>
      <c r="DC201" s="5">
        <f>Y201*'MASTER SHEET'!D201</f>
        <v>0</v>
      </c>
      <c r="DD201" s="5">
        <f>AB201*'MASTER SHEET'!D201</f>
        <v>2012.4</v>
      </c>
      <c r="DE201" s="5">
        <f>AE201*'MASTER SHEET'!D201</f>
        <v>2012.4</v>
      </c>
      <c r="DF201" s="5">
        <f>AH201*'MASTER SHEET'!D201</f>
        <v>2012.4</v>
      </c>
      <c r="DG201" s="5">
        <f>AK201*'MASTER SHEET'!D201</f>
        <v>2012.4</v>
      </c>
      <c r="DH201" s="5">
        <f>AN201*'MASTER SHEET'!D201</f>
        <v>2012.4</v>
      </c>
      <c r="DI201" s="5">
        <f>AQ201*'MASTER SHEET'!D201</f>
        <v>2012.4</v>
      </c>
      <c r="DJ201" s="5">
        <f>AT201*'MASTER SHEET'!D201</f>
        <v>2012.4</v>
      </c>
      <c r="DK201" s="5">
        <f>AW201*'MASTER SHEET'!D201</f>
        <v>2012.4</v>
      </c>
      <c r="DL201" s="5">
        <f>AZ201*'MASTER SHEET'!D201</f>
        <v>2012.4</v>
      </c>
      <c r="DM201" s="5">
        <f>BC201*'MASTER SHEET'!D201</f>
        <v>2012.4</v>
      </c>
      <c r="DN201" s="5">
        <f>BF201*'MASTER SHEET'!D201</f>
        <v>2012.4</v>
      </c>
      <c r="DO201" s="5">
        <f>BI201*'MASTER SHEET'!D201</f>
        <v>2012.4</v>
      </c>
      <c r="DP201" s="5">
        <f>BL201*'MASTER SHEET'!D201</f>
        <v>2012.4</v>
      </c>
      <c r="DQ201" s="5">
        <f>BO201*'MASTER SHEET'!D201</f>
        <v>2012.4</v>
      </c>
      <c r="DR201" s="5">
        <f>BR201*'MASTER SHEET'!D201</f>
        <v>2012.4</v>
      </c>
      <c r="DS201" s="5">
        <f>BU201*'MASTER SHEET'!D201</f>
        <v>2012.4</v>
      </c>
      <c r="DT201" s="5">
        <f>BX201*'MASTER SHEET'!D201</f>
        <v>2012.4</v>
      </c>
      <c r="DU201" s="5">
        <f>CA201*'MASTER SHEET'!D201</f>
        <v>2012.4</v>
      </c>
      <c r="DV201" s="5">
        <f>CD201*'MASTER SHEET'!D201</f>
        <v>2012.4</v>
      </c>
      <c r="DW201" s="5">
        <f>CG201*'MASTER SHEET'!D201</f>
        <v>2012.4</v>
      </c>
      <c r="DX201" s="5">
        <f>CJ201*'MASTER SHEET'!D201</f>
        <v>2012.4</v>
      </c>
      <c r="DY201" s="5">
        <f>CM201*'MASTER SHEET'!D201</f>
        <v>2012.4</v>
      </c>
      <c r="DZ201" s="5">
        <f>CP201*'MASTER SHEET'!D201</f>
        <v>2012.4</v>
      </c>
      <c r="EA201" s="5">
        <f>CS201*'MASTER SHEET'!D201</f>
        <v>2012.4</v>
      </c>
      <c r="EB201" s="9"/>
    </row>
    <row r="202" spans="1:132" ht="15.75" x14ac:dyDescent="0.25">
      <c r="A202" s="25">
        <f>'MASTER SHEET'!A202</f>
        <v>200</v>
      </c>
      <c r="B202" s="26" t="str">
        <f>'MASTER SHEET'!B202</f>
        <v>FLANGE ASY, PLASTIC</v>
      </c>
      <c r="C202" s="27">
        <f>'MASTER SHEET'!C202</f>
        <v>5049200</v>
      </c>
      <c r="D202" s="56"/>
      <c r="E202" s="57">
        <f>' WIP '!F202</f>
        <v>0</v>
      </c>
      <c r="F202" s="58">
        <v>0</v>
      </c>
      <c r="G202" s="59">
        <f t="shared" si="228"/>
        <v>0</v>
      </c>
      <c r="H202" s="57">
        <f>' WIP '!J202</f>
        <v>0</v>
      </c>
      <c r="I202" s="58">
        <v>0</v>
      </c>
      <c r="J202" s="59">
        <f t="shared" si="229"/>
        <v>0</v>
      </c>
      <c r="K202" s="57">
        <f>' WIP '!N202</f>
        <v>0</v>
      </c>
      <c r="L202" s="58"/>
      <c r="M202" s="59">
        <f t="shared" si="230"/>
        <v>0</v>
      </c>
      <c r="N202" s="57">
        <f>' WIP '!R202</f>
        <v>0</v>
      </c>
      <c r="O202" s="58">
        <v>0</v>
      </c>
      <c r="P202" s="59">
        <f t="shared" si="231"/>
        <v>0</v>
      </c>
      <c r="Q202" s="57">
        <f>' WIP '!V202</f>
        <v>0</v>
      </c>
      <c r="R202" s="58">
        <v>0</v>
      </c>
      <c r="S202" s="59">
        <f t="shared" si="232"/>
        <v>0</v>
      </c>
      <c r="T202" s="57">
        <f>' WIP '!Z202</f>
        <v>0</v>
      </c>
      <c r="U202" s="58">
        <v>0</v>
      </c>
      <c r="V202" s="59">
        <f t="shared" si="233"/>
        <v>0</v>
      </c>
      <c r="W202" s="57">
        <f>' WIP '!AD202</f>
        <v>0</v>
      </c>
      <c r="X202" s="58">
        <v>0</v>
      </c>
      <c r="Y202" s="59">
        <f t="shared" si="234"/>
        <v>0</v>
      </c>
      <c r="Z202" s="57">
        <f>' WIP '!AH202</f>
        <v>0</v>
      </c>
      <c r="AA202" s="58">
        <v>0</v>
      </c>
      <c r="AB202" s="59">
        <f t="shared" si="235"/>
        <v>0</v>
      </c>
      <c r="AC202" s="57">
        <f>' WIP '!AL202</f>
        <v>0</v>
      </c>
      <c r="AD202" s="58">
        <v>0</v>
      </c>
      <c r="AE202" s="59">
        <f t="shared" si="236"/>
        <v>0</v>
      </c>
      <c r="AF202" s="57">
        <f>' WIP '!AP202</f>
        <v>810</v>
      </c>
      <c r="AG202" s="114">
        <v>810</v>
      </c>
      <c r="AH202" s="59">
        <f t="shared" si="237"/>
        <v>0</v>
      </c>
      <c r="AI202" s="57">
        <f>' WIP '!AT202</f>
        <v>0</v>
      </c>
      <c r="AJ202" s="58">
        <v>0</v>
      </c>
      <c r="AK202" s="59">
        <f t="shared" si="238"/>
        <v>0</v>
      </c>
      <c r="AL202" s="57">
        <f>' WIP '!AX202</f>
        <v>0</v>
      </c>
      <c r="AM202" s="58"/>
      <c r="AN202" s="59">
        <f t="shared" si="239"/>
        <v>0</v>
      </c>
      <c r="AO202" s="57">
        <f>' WIP '!BB202</f>
        <v>0</v>
      </c>
      <c r="AP202" s="58">
        <v>0</v>
      </c>
      <c r="AQ202" s="59">
        <f t="shared" si="240"/>
        <v>0</v>
      </c>
      <c r="AR202" s="57">
        <f>' WIP '!BF202</f>
        <v>0</v>
      </c>
      <c r="AS202" s="58">
        <v>0</v>
      </c>
      <c r="AT202" s="59">
        <f t="shared" si="241"/>
        <v>0</v>
      </c>
      <c r="AU202" s="57">
        <f>' WIP '!BJ202</f>
        <v>0</v>
      </c>
      <c r="AV202" s="58">
        <v>0</v>
      </c>
      <c r="AW202" s="59">
        <f t="shared" si="242"/>
        <v>0</v>
      </c>
      <c r="AX202" s="57">
        <f>' WIP '!BN202</f>
        <v>0</v>
      </c>
      <c r="AY202" s="58">
        <v>0</v>
      </c>
      <c r="AZ202" s="59">
        <f t="shared" si="243"/>
        <v>0</v>
      </c>
      <c r="BA202" s="57">
        <f>' WIP '!BR202</f>
        <v>0</v>
      </c>
      <c r="BB202" s="58">
        <v>0</v>
      </c>
      <c r="BC202" s="59">
        <f t="shared" si="244"/>
        <v>0</v>
      </c>
      <c r="BD202" s="57">
        <f>' WIP '!BV202</f>
        <v>0</v>
      </c>
      <c r="BE202" s="58">
        <v>0</v>
      </c>
      <c r="BF202" s="59">
        <f t="shared" si="245"/>
        <v>0</v>
      </c>
      <c r="BG202" s="57">
        <f>' WIP '!BZ202</f>
        <v>0</v>
      </c>
      <c r="BH202" s="58"/>
      <c r="BI202" s="59">
        <f t="shared" si="246"/>
        <v>0</v>
      </c>
      <c r="BJ202" s="57">
        <f>' WIP '!CD202</f>
        <v>0</v>
      </c>
      <c r="BK202" s="58">
        <v>0</v>
      </c>
      <c r="BL202" s="59">
        <f t="shared" si="247"/>
        <v>0</v>
      </c>
      <c r="BM202" s="57">
        <f>' WIP '!CH202</f>
        <v>0</v>
      </c>
      <c r="BN202" s="58">
        <v>0</v>
      </c>
      <c r="BO202" s="59">
        <f t="shared" si="248"/>
        <v>0</v>
      </c>
      <c r="BP202" s="57">
        <f>' WIP '!CL202</f>
        <v>0</v>
      </c>
      <c r="BQ202" s="58"/>
      <c r="BR202" s="59">
        <f t="shared" si="249"/>
        <v>0</v>
      </c>
      <c r="BS202" s="57">
        <f>' WIP '!CP202</f>
        <v>0</v>
      </c>
      <c r="BT202" s="58">
        <v>0</v>
      </c>
      <c r="BU202" s="59">
        <f t="shared" si="250"/>
        <v>0</v>
      </c>
      <c r="BV202" s="57">
        <f>' WIP '!CT202</f>
        <v>30</v>
      </c>
      <c r="BW202" s="28">
        <v>30</v>
      </c>
      <c r="BX202" s="59">
        <f t="shared" si="251"/>
        <v>0</v>
      </c>
      <c r="BY202" s="57">
        <f>' WIP '!CX202</f>
        <v>0</v>
      </c>
      <c r="BZ202" s="58">
        <v>0</v>
      </c>
      <c r="CA202" s="59">
        <f t="shared" si="252"/>
        <v>0</v>
      </c>
      <c r="CB202" s="57">
        <f>' WIP '!DB202</f>
        <v>0</v>
      </c>
      <c r="CC202" s="58">
        <v>0</v>
      </c>
      <c r="CD202" s="59">
        <f t="shared" si="253"/>
        <v>0</v>
      </c>
      <c r="CE202" s="57">
        <f>' WIP '!DF202</f>
        <v>0</v>
      </c>
      <c r="CF202" s="58">
        <v>0</v>
      </c>
      <c r="CG202" s="59">
        <f t="shared" si="254"/>
        <v>0</v>
      </c>
      <c r="CH202" s="57">
        <f>' WIP '!DJ202</f>
        <v>0</v>
      </c>
      <c r="CI202" s="58">
        <v>0</v>
      </c>
      <c r="CJ202" s="59">
        <f t="shared" si="255"/>
        <v>0</v>
      </c>
      <c r="CK202" s="57">
        <f>' WIP '!DN202</f>
        <v>0</v>
      </c>
      <c r="CL202" s="58">
        <v>0</v>
      </c>
      <c r="CM202" s="59">
        <f t="shared" si="256"/>
        <v>0</v>
      </c>
      <c r="CN202" s="57">
        <f>' WIP '!DR202</f>
        <v>0</v>
      </c>
      <c r="CO202" s="57"/>
      <c r="CP202" s="59">
        <f t="shared" si="257"/>
        <v>0</v>
      </c>
      <c r="CQ202" s="57">
        <f>' WIP '!DV202</f>
        <v>0</v>
      </c>
      <c r="CR202" s="58"/>
      <c r="CS202" s="59">
        <f t="shared" si="258"/>
        <v>0</v>
      </c>
      <c r="CT202" s="31">
        <f t="shared" si="259"/>
        <v>840</v>
      </c>
      <c r="CU202" s="4">
        <f t="shared" si="260"/>
        <v>840</v>
      </c>
      <c r="CV202" s="5">
        <f>D202*'MASTER SHEET'!D202</f>
        <v>0</v>
      </c>
      <c r="CW202" s="5">
        <f>G202*'MASTER SHEET'!D202</f>
        <v>0</v>
      </c>
      <c r="CX202" s="5">
        <f>J202*'MASTER SHEET'!D202</f>
        <v>0</v>
      </c>
      <c r="CY202" s="5">
        <f>M202*'MASTER SHEET'!D202</f>
        <v>0</v>
      </c>
      <c r="CZ202" s="5">
        <f>P202*'MASTER SHEET'!D202</f>
        <v>0</v>
      </c>
      <c r="DA202" s="5">
        <f>S202*'MASTER SHEET'!D202</f>
        <v>0</v>
      </c>
      <c r="DB202" s="5">
        <f>V202*'MASTER SHEET'!D202</f>
        <v>0</v>
      </c>
      <c r="DC202" s="5">
        <f>Y202*'MASTER SHEET'!D202</f>
        <v>0</v>
      </c>
      <c r="DD202" s="5">
        <f>AB202*'MASTER SHEET'!D202</f>
        <v>0</v>
      </c>
      <c r="DE202" s="5">
        <f>AE202*'MASTER SHEET'!D202</f>
        <v>0</v>
      </c>
      <c r="DF202" s="5">
        <f>AH202*'MASTER SHEET'!D202</f>
        <v>0</v>
      </c>
      <c r="DG202" s="5">
        <f>AK202*'MASTER SHEET'!D202</f>
        <v>0</v>
      </c>
      <c r="DH202" s="5">
        <f>AN202*'MASTER SHEET'!D202</f>
        <v>0</v>
      </c>
      <c r="DI202" s="5">
        <f>AQ202*'MASTER SHEET'!D202</f>
        <v>0</v>
      </c>
      <c r="DJ202" s="5">
        <f>AT202*'MASTER SHEET'!D202</f>
        <v>0</v>
      </c>
      <c r="DK202" s="5">
        <f>AW202*'MASTER SHEET'!D202</f>
        <v>0</v>
      </c>
      <c r="DL202" s="5">
        <f>AZ202*'MASTER SHEET'!D202</f>
        <v>0</v>
      </c>
      <c r="DM202" s="5">
        <f>BC202*'MASTER SHEET'!D202</f>
        <v>0</v>
      </c>
      <c r="DN202" s="5">
        <f>BF202*'MASTER SHEET'!D202</f>
        <v>0</v>
      </c>
      <c r="DO202" s="5">
        <f>BI202*'MASTER SHEET'!D202</f>
        <v>0</v>
      </c>
      <c r="DP202" s="5">
        <f>BL202*'MASTER SHEET'!D202</f>
        <v>0</v>
      </c>
      <c r="DQ202" s="5">
        <f>BO202*'MASTER SHEET'!D202</f>
        <v>0</v>
      </c>
      <c r="DR202" s="5">
        <f>BR202*'MASTER SHEET'!D202</f>
        <v>0</v>
      </c>
      <c r="DS202" s="5">
        <f>BU202*'MASTER SHEET'!D202</f>
        <v>0</v>
      </c>
      <c r="DT202" s="5">
        <f>BX202*'MASTER SHEET'!D202</f>
        <v>0</v>
      </c>
      <c r="DU202" s="5">
        <f>CA202*'MASTER SHEET'!D202</f>
        <v>0</v>
      </c>
      <c r="DV202" s="5">
        <f>CD202*'MASTER SHEET'!D202</f>
        <v>0</v>
      </c>
      <c r="DW202" s="5">
        <f>CG202*'MASTER SHEET'!D202</f>
        <v>0</v>
      </c>
      <c r="DX202" s="5">
        <f>CJ202*'MASTER SHEET'!D202</f>
        <v>0</v>
      </c>
      <c r="DY202" s="5">
        <f>CM202*'MASTER SHEET'!D202</f>
        <v>0</v>
      </c>
      <c r="DZ202" s="5">
        <f>CP202*'MASTER SHEET'!D202</f>
        <v>0</v>
      </c>
      <c r="EA202" s="5">
        <f>CS202*'MASTER SHEET'!D202</f>
        <v>0</v>
      </c>
      <c r="EB202" s="9"/>
    </row>
    <row r="203" spans="1:132" x14ac:dyDescent="0.25">
      <c r="CV203" s="104">
        <f t="shared" ref="CV203:EA203" si="261">SUM(CV3:CV202)/100000</f>
        <v>15.022210600000001</v>
      </c>
      <c r="CW203" s="104">
        <f t="shared" si="261"/>
        <v>12.582630700000001</v>
      </c>
      <c r="CX203" s="104">
        <f t="shared" si="261"/>
        <v>14.27877</v>
      </c>
      <c r="CY203" s="104">
        <f t="shared" si="261"/>
        <v>14.27877</v>
      </c>
      <c r="CZ203" s="104">
        <f t="shared" si="261"/>
        <v>13.195711199999998</v>
      </c>
      <c r="DA203" s="104">
        <f t="shared" si="261"/>
        <v>11.347503300000001</v>
      </c>
      <c r="DB203" s="104">
        <f t="shared" si="261"/>
        <v>11.917532899999998</v>
      </c>
      <c r="DC203" s="104">
        <f t="shared" si="261"/>
        <v>12.120307499999997</v>
      </c>
      <c r="DD203" s="104">
        <f t="shared" si="261"/>
        <v>13.196738999999997</v>
      </c>
      <c r="DE203" s="104">
        <f t="shared" si="261"/>
        <v>13.927048000000001</v>
      </c>
      <c r="DF203" s="104">
        <f t="shared" si="261"/>
        <v>12.409194999999997</v>
      </c>
      <c r="DG203" s="104">
        <f t="shared" si="261"/>
        <v>11.830026299999997</v>
      </c>
      <c r="DH203" s="104">
        <f t="shared" si="261"/>
        <v>11.830026299999997</v>
      </c>
      <c r="DI203" s="104">
        <f t="shared" si="261"/>
        <v>10.758148299999998</v>
      </c>
      <c r="DJ203" s="104">
        <f t="shared" si="261"/>
        <v>9.3346055000000003</v>
      </c>
      <c r="DK203" s="104">
        <f t="shared" si="261"/>
        <v>9.7551509000000003</v>
      </c>
      <c r="DL203" s="104">
        <f t="shared" si="261"/>
        <v>11.0225452</v>
      </c>
      <c r="DM203" s="104">
        <f t="shared" si="261"/>
        <v>9.1930442999999986</v>
      </c>
      <c r="DN203" s="104">
        <f t="shared" si="261"/>
        <v>9.9627789</v>
      </c>
      <c r="DO203" s="104">
        <f t="shared" si="261"/>
        <v>9.9627789</v>
      </c>
      <c r="DP203" s="104">
        <f t="shared" si="261"/>
        <v>9.1972807000000021</v>
      </c>
      <c r="DQ203" s="104">
        <f t="shared" si="261"/>
        <v>8.2491661000000018</v>
      </c>
      <c r="DR203" s="104">
        <f t="shared" si="261"/>
        <v>9.0839556999999989</v>
      </c>
      <c r="DS203" s="104">
        <f t="shared" si="261"/>
        <v>9.1797858999999988</v>
      </c>
      <c r="DT203" s="104">
        <f t="shared" si="261"/>
        <v>11.720508299999999</v>
      </c>
      <c r="DU203" s="104">
        <f t="shared" si="261"/>
        <v>9.8920110999999995</v>
      </c>
      <c r="DV203" s="104">
        <f t="shared" si="261"/>
        <v>9.9019435000000016</v>
      </c>
      <c r="DW203" s="104">
        <f t="shared" si="261"/>
        <v>10.909584600000002</v>
      </c>
      <c r="DX203" s="104">
        <f t="shared" si="261"/>
        <v>10.709558500000002</v>
      </c>
      <c r="DY203" s="104">
        <f t="shared" si="261"/>
        <v>15.024818099999997</v>
      </c>
      <c r="DZ203" s="104">
        <f t="shared" si="261"/>
        <v>15.024818099999997</v>
      </c>
      <c r="EA203" s="104">
        <f t="shared" si="261"/>
        <v>15.024818099999997</v>
      </c>
      <c r="EB203" s="9"/>
    </row>
    <row r="205" spans="1:132" x14ac:dyDescent="0.25">
      <c r="J205" s="3"/>
    </row>
    <row r="206" spans="1:132" x14ac:dyDescent="0.25">
      <c r="J206" s="3"/>
    </row>
    <row r="207" spans="1:132" x14ac:dyDescent="0.25">
      <c r="F207" s="3"/>
      <c r="G207" s="3"/>
      <c r="I207" s="3"/>
      <c r="J207" s="3"/>
      <c r="L207" s="3"/>
      <c r="M207" s="3"/>
    </row>
    <row r="208" spans="1:132" x14ac:dyDescent="0.25">
      <c r="D208" s="3"/>
      <c r="F208" s="3"/>
      <c r="G208" s="3"/>
      <c r="I208" s="3"/>
      <c r="J208" s="3"/>
      <c r="L208" s="3"/>
      <c r="M208" s="3"/>
    </row>
    <row r="209" spans="4:13" x14ac:dyDescent="0.25">
      <c r="D209" s="3"/>
      <c r="F209" s="3"/>
      <c r="G209" s="3"/>
      <c r="I209" s="3"/>
      <c r="J209" s="3"/>
      <c r="L209" s="3"/>
      <c r="M209" s="3"/>
    </row>
    <row r="210" spans="4:13" x14ac:dyDescent="0.25">
      <c r="D210" s="3"/>
      <c r="F210" s="3"/>
      <c r="G210" s="3"/>
      <c r="I210" s="3"/>
      <c r="J210" s="3"/>
      <c r="L210" s="3"/>
      <c r="M210" s="3"/>
    </row>
    <row r="211" spans="4:13" x14ac:dyDescent="0.25">
      <c r="D211" s="3"/>
      <c r="F211" s="3"/>
      <c r="G211" s="3"/>
      <c r="I211" s="3"/>
      <c r="J211" s="3"/>
      <c r="L211" s="3"/>
      <c r="M211" s="3"/>
    </row>
    <row r="212" spans="4:13" x14ac:dyDescent="0.25">
      <c r="D212" s="3"/>
      <c r="F212" s="3"/>
      <c r="G212" s="3"/>
      <c r="I212" s="3"/>
      <c r="J212" s="3"/>
      <c r="L212" s="3"/>
      <c r="M212" s="3"/>
    </row>
    <row r="213" spans="4:13" x14ac:dyDescent="0.25">
      <c r="D213" s="3"/>
      <c r="F213" s="3"/>
      <c r="G213" s="3"/>
      <c r="I213" s="3"/>
      <c r="J213" s="3"/>
      <c r="L213" s="3"/>
      <c r="M213" s="3"/>
    </row>
    <row r="214" spans="4:13" x14ac:dyDescent="0.25">
      <c r="D214" s="3"/>
      <c r="F214" s="3"/>
      <c r="G214" s="3"/>
      <c r="I214" s="3"/>
      <c r="J214" s="3"/>
      <c r="L214" s="3"/>
      <c r="M214" s="3"/>
    </row>
    <row r="215" spans="4:13" x14ac:dyDescent="0.25">
      <c r="D215" s="3"/>
      <c r="F215" s="3"/>
      <c r="G215" s="3"/>
      <c r="I215" s="3"/>
      <c r="J215" s="3"/>
      <c r="L215" s="3"/>
      <c r="M215" s="3"/>
    </row>
    <row r="216" spans="4:13" x14ac:dyDescent="0.25">
      <c r="D216" s="3"/>
      <c r="F216" s="3"/>
      <c r="G216" s="3"/>
      <c r="I216" s="3"/>
      <c r="J216" s="3"/>
      <c r="L216" s="3"/>
      <c r="M216" s="3"/>
    </row>
    <row r="217" spans="4:13" x14ac:dyDescent="0.25">
      <c r="D217" s="3"/>
      <c r="F217" s="3"/>
      <c r="G217" s="3"/>
      <c r="I217" s="3"/>
      <c r="J217" s="3"/>
      <c r="L217" s="3"/>
      <c r="M217" s="3"/>
    </row>
    <row r="218" spans="4:13" x14ac:dyDescent="0.25">
      <c r="D218" s="3"/>
      <c r="F218" s="3"/>
      <c r="G218" s="3"/>
      <c r="I218" s="3"/>
      <c r="J218" s="3"/>
      <c r="L218" s="3"/>
      <c r="M218" s="3"/>
    </row>
    <row r="219" spans="4:13" x14ac:dyDescent="0.25">
      <c r="D219" s="3"/>
      <c r="F219" s="3"/>
      <c r="G219" s="3"/>
      <c r="I219" s="3"/>
      <c r="J219" s="3"/>
      <c r="L219" s="3"/>
      <c r="M219" s="3"/>
    </row>
  </sheetData>
  <protectedRanges>
    <protectedRange algorithmName="SHA-512" hashValue="IKFKGoYIA8kcPQDauZON4CeLgOfbSGhi05yFZ91HWzc0NEXkc8vpoGKc4fe2L8fLoyBAcJ0wOyoEXpehcloH7g==" saltValue="YD4sm9H1l+DnHah9Sp69Mw==" spinCount="100000" sqref="E3:BV202 BX3:CS202" name="FG"/>
    <protectedRange algorithmName="SHA-512" hashValue="vKnjXxJx6cG8LEBo0DLzO+w1u3PIdx58zA1Hj8adCnkO0fOSWZBuwVf9Mp3bp16j7uOnAQUBaf3nXq4dTlfRVA==" saltValue="OWj2EjOgaTQRF90b58zzUw==" spinCount="100000" sqref="B3:C202" name="Range1_1"/>
    <protectedRange algorithmName="SHA-512" hashValue="mGKf7MxprF7ZXyyHRrnGaGQXzxj/zLaVG1J0TXwxFGKvc/PlKthOdzkBX8kAsvcoWcaal7ELQKngAU7fQ88+Vg==" saltValue="itHYE03oa8vVGbWjJxQ4gQ==" spinCount="100000" sqref="BW3:BW202" name="WIP"/>
  </protectedRanges>
  <autoFilter ref="A2:EB203"/>
  <mergeCells count="31">
    <mergeCell ref="AK1:AM1"/>
    <mergeCell ref="D1:F1"/>
    <mergeCell ref="G1:I1"/>
    <mergeCell ref="J1:L1"/>
    <mergeCell ref="M1:O1"/>
    <mergeCell ref="P1:R1"/>
    <mergeCell ref="S1:U1"/>
    <mergeCell ref="V1:X1"/>
    <mergeCell ref="Y1:AA1"/>
    <mergeCell ref="AB1:AD1"/>
    <mergeCell ref="AE1:AG1"/>
    <mergeCell ref="AH1:AJ1"/>
    <mergeCell ref="BU1:BW1"/>
    <mergeCell ref="AN1:AP1"/>
    <mergeCell ref="AQ1:AS1"/>
    <mergeCell ref="AT1:AV1"/>
    <mergeCell ref="AW1:AY1"/>
    <mergeCell ref="AZ1:BB1"/>
    <mergeCell ref="BC1:BE1"/>
    <mergeCell ref="BF1:BH1"/>
    <mergeCell ref="BI1:BK1"/>
    <mergeCell ref="BL1:BN1"/>
    <mergeCell ref="BO1:BQ1"/>
    <mergeCell ref="BR1:BT1"/>
    <mergeCell ref="CP1:CR1"/>
    <mergeCell ref="BX1:BZ1"/>
    <mergeCell ref="CA1:CC1"/>
    <mergeCell ref="CD1:CF1"/>
    <mergeCell ref="CG1:CI1"/>
    <mergeCell ref="CJ1:CL1"/>
    <mergeCell ref="CM1:CO1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H70"/>
  <sheetViews>
    <sheetView showGridLines="0" topLeftCell="L1" zoomScale="25" zoomScaleNormal="25" workbookViewId="0">
      <selection activeCell="AF69" sqref="AF69"/>
    </sheetView>
  </sheetViews>
  <sheetFormatPr defaultRowHeight="15" x14ac:dyDescent="0.25"/>
  <cols>
    <col min="1" max="1" width="6" style="3" customWidth="1"/>
    <col min="2" max="2" width="91.5703125" style="3" bestFit="1" customWidth="1"/>
    <col min="3" max="16" width="28.140625" style="3" customWidth="1"/>
    <col min="17" max="17" width="28.7109375" style="3" customWidth="1"/>
    <col min="18" max="27" width="28.140625" style="3" customWidth="1"/>
    <col min="28" max="28" width="28.140625" style="3" bestFit="1" customWidth="1"/>
    <col min="29" max="30" width="31.42578125" style="3" bestFit="1" customWidth="1"/>
    <col min="31" max="31" width="35" style="3" customWidth="1"/>
    <col min="32" max="32" width="26.85546875" style="3" bestFit="1" customWidth="1"/>
    <col min="33" max="33" width="36.42578125" style="3" customWidth="1"/>
    <col min="34" max="34" width="28.140625" style="3" bestFit="1" customWidth="1"/>
    <col min="35" max="35" width="13.42578125" style="3" bestFit="1" customWidth="1"/>
    <col min="36" max="36" width="12.42578125" style="3" bestFit="1" customWidth="1"/>
    <col min="37" max="37" width="19.85546875" style="3" bestFit="1" customWidth="1"/>
    <col min="38" max="39" width="13.42578125" style="3" bestFit="1" customWidth="1"/>
    <col min="40" max="40" width="12.42578125" style="3" bestFit="1" customWidth="1"/>
    <col min="41" max="41" width="19.85546875" style="3" bestFit="1" customWidth="1"/>
    <col min="42" max="43" width="13.42578125" style="3" bestFit="1" customWidth="1"/>
    <col min="44" max="44" width="12.42578125" style="3" bestFit="1" customWidth="1"/>
    <col min="45" max="45" width="19.85546875" style="3" bestFit="1" customWidth="1"/>
    <col min="46" max="47" width="13.42578125" style="3" bestFit="1" customWidth="1"/>
    <col min="48" max="48" width="12.42578125" style="3" bestFit="1" customWidth="1"/>
    <col min="49" max="49" width="19.85546875" style="3" bestFit="1" customWidth="1"/>
    <col min="50" max="51" width="13.42578125" style="3" bestFit="1" customWidth="1"/>
    <col min="52" max="52" width="12.42578125" style="3" bestFit="1" customWidth="1"/>
    <col min="53" max="53" width="19.85546875" style="3" bestFit="1" customWidth="1"/>
    <col min="54" max="55" width="13.42578125" style="3" bestFit="1" customWidth="1"/>
    <col min="56" max="56" width="12.42578125" style="3" bestFit="1" customWidth="1"/>
    <col min="57" max="57" width="19.85546875" style="3" bestFit="1" customWidth="1"/>
    <col min="58" max="59" width="13.42578125" style="3" bestFit="1" customWidth="1"/>
    <col min="60" max="60" width="12.42578125" style="3" bestFit="1" customWidth="1"/>
    <col min="61" max="61" width="19.85546875" style="3" bestFit="1" customWidth="1"/>
    <col min="62" max="63" width="13.42578125" style="3" bestFit="1" customWidth="1"/>
    <col min="64" max="64" width="12.42578125" style="3" bestFit="1" customWidth="1"/>
    <col min="65" max="65" width="19.85546875" style="3" bestFit="1" customWidth="1"/>
    <col min="66" max="67" width="13.42578125" style="3" bestFit="1" customWidth="1"/>
    <col min="68" max="68" width="12.42578125" style="3" bestFit="1" customWidth="1"/>
    <col min="69" max="69" width="19.85546875" style="3" bestFit="1" customWidth="1"/>
    <col min="70" max="71" width="13.42578125" style="3" bestFit="1" customWidth="1"/>
    <col min="72" max="72" width="12.42578125" style="3" bestFit="1" customWidth="1"/>
    <col min="73" max="73" width="19.85546875" style="3" bestFit="1" customWidth="1"/>
    <col min="74" max="75" width="13.42578125" style="3" bestFit="1" customWidth="1"/>
    <col min="76" max="76" width="12.42578125" style="3" bestFit="1" customWidth="1"/>
    <col min="77" max="77" width="19.85546875" style="3" bestFit="1" customWidth="1"/>
    <col min="78" max="79" width="13.42578125" style="3" bestFit="1" customWidth="1"/>
    <col min="80" max="80" width="12.42578125" style="3" bestFit="1" customWidth="1"/>
    <col min="81" max="81" width="19.85546875" style="3" bestFit="1" customWidth="1"/>
    <col min="82" max="83" width="13.42578125" style="3" bestFit="1" customWidth="1"/>
    <col min="84" max="84" width="12.42578125" style="3" bestFit="1" customWidth="1"/>
    <col min="85" max="85" width="19.85546875" style="3" bestFit="1" customWidth="1"/>
    <col min="86" max="87" width="13.42578125" style="3" bestFit="1" customWidth="1"/>
    <col min="88" max="88" width="12.42578125" style="3" bestFit="1" customWidth="1"/>
    <col min="89" max="89" width="19.85546875" style="3" bestFit="1" customWidth="1"/>
    <col min="90" max="91" width="13.42578125" style="3" bestFit="1" customWidth="1"/>
    <col min="92" max="92" width="12.42578125" style="3" bestFit="1" customWidth="1"/>
    <col min="93" max="93" width="19.85546875" style="3" bestFit="1" customWidth="1"/>
    <col min="94" max="95" width="13.42578125" style="3" bestFit="1" customWidth="1"/>
    <col min="96" max="96" width="12.42578125" style="3" bestFit="1" customWidth="1"/>
    <col min="97" max="97" width="19.85546875" style="3" bestFit="1" customWidth="1"/>
    <col min="98" max="99" width="13.42578125" style="3" bestFit="1" customWidth="1"/>
    <col min="100" max="100" width="12.42578125" style="3" bestFit="1" customWidth="1"/>
    <col min="101" max="101" width="19.85546875" style="3" bestFit="1" customWidth="1"/>
    <col min="102" max="103" width="13.42578125" style="3" bestFit="1" customWidth="1"/>
    <col min="104" max="104" width="12.42578125" style="3" bestFit="1" customWidth="1"/>
    <col min="105" max="105" width="19.85546875" style="3" bestFit="1" customWidth="1"/>
    <col min="106" max="107" width="13.42578125" style="3" bestFit="1" customWidth="1"/>
    <col min="108" max="108" width="12.42578125" style="3" bestFit="1" customWidth="1"/>
    <col min="109" max="109" width="19.85546875" style="3" bestFit="1" customWidth="1"/>
    <col min="110" max="16384" width="9.140625" style="3"/>
  </cols>
  <sheetData>
    <row r="2" spans="2:18" ht="15.75" x14ac:dyDescent="0.25"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</row>
    <row r="3" spans="2:18" ht="15.75" x14ac:dyDescent="0.2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</row>
    <row r="4" spans="2:18" ht="15.75" x14ac:dyDescent="0.25"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</row>
    <row r="5" spans="2:18" ht="15.75" x14ac:dyDescent="0.25"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</row>
    <row r="6" spans="2:18" ht="15.75" x14ac:dyDescent="0.25"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</row>
    <row r="7" spans="2:18" ht="15.75" x14ac:dyDescent="0.25"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</row>
    <row r="8" spans="2:18" ht="15.75" x14ac:dyDescent="0.25"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0"/>
      <c r="R8" s="130"/>
    </row>
    <row r="9" spans="2:18" ht="15.75" x14ac:dyDescent="0.25"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30"/>
    </row>
    <row r="10" spans="2:18" ht="15.75" x14ac:dyDescent="0.25"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N10" s="130"/>
      <c r="O10" s="130"/>
      <c r="P10" s="130"/>
      <c r="Q10" s="130"/>
      <c r="R10" s="130"/>
    </row>
    <row r="11" spans="2:18" ht="15.75" x14ac:dyDescent="0.25">
      <c r="B11" s="130"/>
      <c r="C11" s="130"/>
      <c r="D11" s="130"/>
      <c r="E11" s="130"/>
      <c r="F11" s="130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</row>
    <row r="12" spans="2:18" ht="15.75" x14ac:dyDescent="0.25"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</row>
    <row r="13" spans="2:18" ht="15.75" x14ac:dyDescent="0.25"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</row>
    <row r="14" spans="2:18" ht="15.75" x14ac:dyDescent="0.25"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</row>
    <row r="15" spans="2:18" ht="15.75" x14ac:dyDescent="0.25"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</row>
    <row r="16" spans="2:18" ht="15.75" x14ac:dyDescent="0.25"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</row>
    <row r="17" spans="2:18" ht="15.75" x14ac:dyDescent="0.25"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</row>
    <row r="18" spans="2:18" ht="15.75" x14ac:dyDescent="0.25">
      <c r="B18" s="130"/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</row>
    <row r="19" spans="2:18" ht="15.75" x14ac:dyDescent="0.25"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</row>
    <row r="20" spans="2:18" ht="15.75" x14ac:dyDescent="0.25"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</row>
    <row r="21" spans="2:18" ht="15.75" x14ac:dyDescent="0.25">
      <c r="B21" s="130"/>
      <c r="C21" s="130"/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</row>
    <row r="22" spans="2:18" ht="15.75" x14ac:dyDescent="0.25"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</row>
    <row r="23" spans="2:18" ht="15.75" x14ac:dyDescent="0.25">
      <c r="B23" s="130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</row>
    <row r="24" spans="2:18" ht="15.75" x14ac:dyDescent="0.25">
      <c r="B24" s="130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</row>
    <row r="25" spans="2:18" ht="15.75" x14ac:dyDescent="0.25"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130"/>
    </row>
    <row r="26" spans="2:18" ht="15.75" x14ac:dyDescent="0.25">
      <c r="B26" s="130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</row>
    <row r="27" spans="2:18" ht="15.75" x14ac:dyDescent="0.25"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</row>
    <row r="28" spans="2:18" ht="15.75" x14ac:dyDescent="0.25"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  <c r="O28" s="130"/>
      <c r="P28" s="130"/>
      <c r="Q28" s="130"/>
      <c r="R28" s="130"/>
    </row>
    <row r="29" spans="2:18" ht="15.75" x14ac:dyDescent="0.25"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  <c r="O29" s="130"/>
      <c r="P29" s="130"/>
      <c r="Q29" s="130"/>
      <c r="R29" s="130"/>
    </row>
    <row r="30" spans="2:18" ht="15.75" x14ac:dyDescent="0.25"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  <c r="O30" s="130"/>
      <c r="P30" s="130"/>
      <c r="Q30" s="130"/>
      <c r="R30" s="130"/>
    </row>
    <row r="31" spans="2:18" ht="15.75" x14ac:dyDescent="0.25">
      <c r="B31" s="130"/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</row>
    <row r="32" spans="2:18" ht="15.75" x14ac:dyDescent="0.25">
      <c r="B32" s="130"/>
      <c r="C32" s="130"/>
      <c r="D32" s="130"/>
      <c r="E32" s="130"/>
      <c r="F32" s="130"/>
      <c r="G32" s="130"/>
      <c r="H32" s="130"/>
      <c r="I32" s="130"/>
      <c r="J32" s="130"/>
      <c r="K32" s="130"/>
      <c r="L32" s="130"/>
      <c r="M32" s="130"/>
      <c r="N32" s="130"/>
      <c r="O32" s="130"/>
      <c r="P32" s="130"/>
      <c r="Q32" s="130"/>
      <c r="R32" s="130"/>
    </row>
    <row r="33" spans="2:18" ht="15.75" x14ac:dyDescent="0.25">
      <c r="B33" s="130"/>
      <c r="C33" s="130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30"/>
    </row>
    <row r="34" spans="2:18" ht="15.75" x14ac:dyDescent="0.25">
      <c r="B34" s="130"/>
      <c r="C34" s="130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30"/>
      <c r="Q34" s="130"/>
      <c r="R34" s="130"/>
    </row>
    <row r="35" spans="2:18" ht="15.75" x14ac:dyDescent="0.25">
      <c r="B35" s="130"/>
      <c r="C35" s="130"/>
      <c r="D35" s="130"/>
      <c r="E35" s="130"/>
      <c r="F35" s="130"/>
      <c r="G35" s="130"/>
      <c r="H35" s="130"/>
      <c r="I35" s="130"/>
      <c r="J35" s="130"/>
      <c r="K35" s="130"/>
      <c r="L35" s="130"/>
      <c r="M35" s="130"/>
      <c r="N35" s="130"/>
      <c r="O35" s="130"/>
      <c r="P35" s="130"/>
      <c r="Q35" s="130"/>
      <c r="R35" s="130"/>
    </row>
    <row r="36" spans="2:18" ht="15.75" x14ac:dyDescent="0.25">
      <c r="B36" s="130"/>
      <c r="C36" s="130"/>
      <c r="D36" s="130"/>
      <c r="E36" s="130"/>
      <c r="F36" s="130"/>
      <c r="G36" s="130"/>
      <c r="H36" s="130"/>
      <c r="I36" s="130"/>
      <c r="J36" s="130"/>
      <c r="K36" s="130"/>
      <c r="L36" s="130"/>
      <c r="M36" s="130"/>
      <c r="N36" s="130"/>
      <c r="O36" s="130"/>
      <c r="P36" s="130"/>
      <c r="Q36" s="130"/>
      <c r="R36" s="130"/>
    </row>
    <row r="37" spans="2:18" ht="15.75" x14ac:dyDescent="0.25">
      <c r="B37" s="130"/>
      <c r="C37" s="130"/>
      <c r="D37" s="130"/>
      <c r="E37" s="130"/>
      <c r="F37" s="130"/>
      <c r="G37" s="130"/>
      <c r="H37" s="130"/>
      <c r="I37" s="130"/>
      <c r="J37" s="130"/>
      <c r="K37" s="130"/>
      <c r="L37" s="130"/>
      <c r="M37" s="130"/>
      <c r="N37" s="130"/>
      <c r="O37" s="130"/>
      <c r="P37" s="130"/>
      <c r="Q37" s="130"/>
      <c r="R37" s="130"/>
    </row>
    <row r="38" spans="2:18" ht="15.75" x14ac:dyDescent="0.25"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</row>
    <row r="39" spans="2:18" ht="15.75" x14ac:dyDescent="0.25"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</row>
    <row r="40" spans="2:18" ht="15.75" x14ac:dyDescent="0.25">
      <c r="B40" s="130"/>
      <c r="C40" s="130"/>
      <c r="D40" s="130"/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0"/>
      <c r="P40" s="130"/>
      <c r="Q40" s="130"/>
      <c r="R40" s="130"/>
    </row>
    <row r="41" spans="2:18" ht="15.75" x14ac:dyDescent="0.25">
      <c r="B41" s="130"/>
      <c r="C41" s="130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</row>
    <row r="42" spans="2:18" ht="15.75" x14ac:dyDescent="0.25">
      <c r="B42" s="130"/>
      <c r="C42" s="130"/>
      <c r="D42" s="130"/>
      <c r="E42" s="130"/>
      <c r="F42" s="130"/>
      <c r="G42" s="130"/>
      <c r="H42" s="130"/>
      <c r="I42" s="130"/>
      <c r="J42" s="130"/>
      <c r="K42" s="130"/>
      <c r="L42" s="130"/>
      <c r="M42" s="130"/>
      <c r="N42" s="130"/>
      <c r="O42" s="130"/>
      <c r="P42" s="130"/>
      <c r="Q42" s="130"/>
      <c r="R42" s="130"/>
    </row>
    <row r="43" spans="2:18" ht="15.75" x14ac:dyDescent="0.25">
      <c r="B43" s="130"/>
      <c r="C43" s="130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</row>
    <row r="44" spans="2:18" ht="15.75" x14ac:dyDescent="0.25"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</row>
    <row r="45" spans="2:18" ht="15.75" x14ac:dyDescent="0.25"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</row>
    <row r="46" spans="2:18" ht="15.75" x14ac:dyDescent="0.25">
      <c r="B46" s="130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</row>
    <row r="47" spans="2:18" ht="15.75" x14ac:dyDescent="0.25">
      <c r="B47" s="130"/>
      <c r="C47" s="130"/>
      <c r="D47" s="130"/>
      <c r="E47" s="130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</row>
    <row r="48" spans="2:18" ht="15.75" x14ac:dyDescent="0.25">
      <c r="B48" s="130"/>
      <c r="C48" s="130"/>
      <c r="D48" s="130"/>
      <c r="E48" s="130"/>
      <c r="F48" s="130"/>
      <c r="G48" s="130"/>
      <c r="H48" s="130"/>
      <c r="I48" s="130"/>
      <c r="J48" s="130"/>
      <c r="K48" s="130"/>
      <c r="L48" s="130"/>
      <c r="M48" s="130"/>
      <c r="N48" s="130"/>
      <c r="O48" s="130"/>
      <c r="P48" s="130"/>
      <c r="Q48" s="130"/>
      <c r="R48" s="130"/>
    </row>
    <row r="49" spans="2:34" ht="15.75" x14ac:dyDescent="0.25">
      <c r="B49" s="130"/>
      <c r="C49" s="130"/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</row>
    <row r="50" spans="2:34" ht="15.75" x14ac:dyDescent="0.25">
      <c r="B50" s="130"/>
      <c r="C50" s="130"/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</row>
    <row r="51" spans="2:34" ht="15.75" x14ac:dyDescent="0.25">
      <c r="B51" s="130"/>
      <c r="C51" s="130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</row>
    <row r="52" spans="2:34" ht="15.75" x14ac:dyDescent="0.25">
      <c r="B52" s="130"/>
      <c r="C52" s="130"/>
      <c r="D52" s="130"/>
      <c r="E52" s="130"/>
      <c r="F52" s="130"/>
      <c r="G52" s="130"/>
      <c r="H52" s="130"/>
      <c r="I52" s="130"/>
      <c r="J52" s="130"/>
      <c r="K52" s="130"/>
      <c r="L52" s="130"/>
      <c r="M52" s="130"/>
      <c r="N52" s="130"/>
      <c r="O52" s="130"/>
      <c r="P52" s="130"/>
      <c r="Q52" s="130"/>
      <c r="R52" s="130"/>
    </row>
    <row r="53" spans="2:34" ht="15.75" x14ac:dyDescent="0.25">
      <c r="B53" s="130"/>
      <c r="C53" s="130"/>
      <c r="D53" s="130"/>
      <c r="E53" s="130"/>
      <c r="F53" s="130"/>
      <c r="G53" s="130"/>
      <c r="H53" s="130"/>
      <c r="I53" s="130"/>
      <c r="J53" s="130"/>
      <c r="K53" s="130"/>
      <c r="L53" s="130"/>
      <c r="M53" s="130"/>
      <c r="N53" s="130"/>
      <c r="O53" s="130"/>
      <c r="P53" s="130"/>
      <c r="Q53" s="130"/>
      <c r="R53" s="130"/>
    </row>
    <row r="54" spans="2:34" ht="15.75" x14ac:dyDescent="0.25">
      <c r="B54" s="130"/>
      <c r="C54" s="130"/>
      <c r="D54" s="130"/>
      <c r="E54" s="130"/>
      <c r="F54" s="130"/>
      <c r="G54" s="130"/>
      <c r="H54" s="130"/>
      <c r="I54" s="130"/>
      <c r="J54" s="130"/>
      <c r="K54" s="130"/>
      <c r="L54" s="130"/>
      <c r="M54" s="130"/>
      <c r="N54" s="130"/>
      <c r="O54" s="130"/>
      <c r="P54" s="130"/>
      <c r="Q54" s="130"/>
      <c r="R54" s="130"/>
    </row>
    <row r="55" spans="2:34" ht="15.75" x14ac:dyDescent="0.25">
      <c r="B55" s="130"/>
      <c r="C55" s="130"/>
      <c r="D55" s="130"/>
      <c r="E55" s="130"/>
      <c r="F55" s="130"/>
      <c r="G55" s="130"/>
      <c r="H55" s="130"/>
      <c r="I55" s="130"/>
      <c r="J55" s="130"/>
      <c r="K55" s="130"/>
      <c r="L55" s="130"/>
      <c r="M55" s="130"/>
      <c r="N55" s="130"/>
      <c r="O55" s="130"/>
      <c r="P55" s="130"/>
      <c r="Q55" s="130"/>
      <c r="R55" s="130"/>
    </row>
    <row r="56" spans="2:34" ht="15.75" x14ac:dyDescent="0.25">
      <c r="B56" s="130"/>
      <c r="C56" s="130"/>
      <c r="D56" s="130"/>
      <c r="E56" s="130"/>
      <c r="F56" s="130"/>
      <c r="G56" s="130"/>
      <c r="H56" s="130"/>
      <c r="I56" s="130"/>
      <c r="J56" s="130"/>
      <c r="K56" s="130"/>
      <c r="L56" s="130"/>
      <c r="M56" s="130"/>
      <c r="N56" s="130"/>
      <c r="O56" s="130"/>
      <c r="P56" s="130"/>
      <c r="Q56" s="130"/>
      <c r="R56" s="130"/>
    </row>
    <row r="57" spans="2:34" ht="15.75" x14ac:dyDescent="0.25">
      <c r="B57" s="130"/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130"/>
      <c r="P57" s="130"/>
      <c r="Q57" s="130"/>
      <c r="R57" s="130"/>
    </row>
    <row r="58" spans="2:34" ht="15.75" x14ac:dyDescent="0.25">
      <c r="B58" s="130"/>
      <c r="C58" s="130"/>
      <c r="D58" s="130"/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</row>
    <row r="59" spans="2:34" ht="15.75" x14ac:dyDescent="0.25">
      <c r="B59" s="130"/>
      <c r="C59" s="130"/>
      <c r="D59" s="130"/>
      <c r="E59" s="130"/>
      <c r="F59" s="130"/>
      <c r="G59" s="130"/>
      <c r="H59" s="130"/>
      <c r="I59" s="130"/>
      <c r="J59" s="130"/>
      <c r="K59" s="130"/>
      <c r="L59" s="130"/>
      <c r="M59" s="130"/>
      <c r="N59" s="130"/>
      <c r="O59" s="130"/>
      <c r="P59" s="130"/>
      <c r="Q59" s="130"/>
      <c r="R59" s="130"/>
    </row>
    <row r="60" spans="2:34" ht="15.75" x14ac:dyDescent="0.25">
      <c r="B60" s="130"/>
      <c r="C60" s="130"/>
      <c r="D60" s="130"/>
      <c r="E60" s="130"/>
      <c r="F60" s="130"/>
      <c r="G60" s="130"/>
      <c r="H60" s="130"/>
      <c r="I60" s="130"/>
      <c r="J60" s="130"/>
      <c r="K60" s="130"/>
      <c r="L60" s="130"/>
      <c r="M60" s="130"/>
      <c r="N60" s="130"/>
      <c r="O60" s="130"/>
      <c r="P60" s="130"/>
      <c r="Q60" s="130"/>
      <c r="R60" s="130"/>
    </row>
    <row r="61" spans="2:34" ht="15.75" x14ac:dyDescent="0.25">
      <c r="B61" s="130"/>
      <c r="C61" s="130"/>
      <c r="D61" s="130"/>
      <c r="E61" s="130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</row>
    <row r="62" spans="2:34" ht="15.75" x14ac:dyDescent="0.25">
      <c r="B62" s="130"/>
      <c r="C62" s="130"/>
      <c r="D62" s="130"/>
      <c r="E62" s="130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</row>
    <row r="63" spans="2:34" ht="16.5" thickBot="1" x14ac:dyDescent="0.3">
      <c r="B63" s="130"/>
      <c r="C63" s="130"/>
      <c r="D63" s="130"/>
      <c r="E63" s="130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</row>
    <row r="64" spans="2:34" s="131" customFormat="1" ht="69.95" customHeight="1" x14ac:dyDescent="0.25">
      <c r="B64" s="132" t="s">
        <v>112</v>
      </c>
      <c r="C64" s="137">
        <v>46082</v>
      </c>
      <c r="D64" s="137">
        <f>C64+1</f>
        <v>46083</v>
      </c>
      <c r="E64" s="137">
        <f t="shared" ref="E64:AG64" si="0">D64+1</f>
        <v>46084</v>
      </c>
      <c r="F64" s="137">
        <f t="shared" si="0"/>
        <v>46085</v>
      </c>
      <c r="G64" s="137">
        <f t="shared" si="0"/>
        <v>46086</v>
      </c>
      <c r="H64" s="137">
        <f t="shared" si="0"/>
        <v>46087</v>
      </c>
      <c r="I64" s="137">
        <f t="shared" si="0"/>
        <v>46088</v>
      </c>
      <c r="J64" s="137">
        <f t="shared" si="0"/>
        <v>46089</v>
      </c>
      <c r="K64" s="137">
        <f t="shared" si="0"/>
        <v>46090</v>
      </c>
      <c r="L64" s="137">
        <f t="shared" si="0"/>
        <v>46091</v>
      </c>
      <c r="M64" s="137">
        <f t="shared" si="0"/>
        <v>46092</v>
      </c>
      <c r="N64" s="137">
        <f t="shared" si="0"/>
        <v>46093</v>
      </c>
      <c r="O64" s="137">
        <f t="shared" si="0"/>
        <v>46094</v>
      </c>
      <c r="P64" s="137">
        <f t="shared" si="0"/>
        <v>46095</v>
      </c>
      <c r="Q64" s="137">
        <f t="shared" si="0"/>
        <v>46096</v>
      </c>
      <c r="R64" s="137">
        <f t="shared" si="0"/>
        <v>46097</v>
      </c>
      <c r="S64" s="137">
        <f t="shared" si="0"/>
        <v>46098</v>
      </c>
      <c r="T64" s="137">
        <f t="shared" si="0"/>
        <v>46099</v>
      </c>
      <c r="U64" s="137">
        <f t="shared" si="0"/>
        <v>46100</v>
      </c>
      <c r="V64" s="137">
        <f t="shared" si="0"/>
        <v>46101</v>
      </c>
      <c r="W64" s="137">
        <f t="shared" si="0"/>
        <v>46102</v>
      </c>
      <c r="X64" s="137">
        <f t="shared" si="0"/>
        <v>46103</v>
      </c>
      <c r="Y64" s="137">
        <f t="shared" si="0"/>
        <v>46104</v>
      </c>
      <c r="Z64" s="137">
        <f t="shared" si="0"/>
        <v>46105</v>
      </c>
      <c r="AA64" s="137">
        <f t="shared" si="0"/>
        <v>46106</v>
      </c>
      <c r="AB64" s="137">
        <f t="shared" si="0"/>
        <v>46107</v>
      </c>
      <c r="AC64" s="137">
        <f t="shared" si="0"/>
        <v>46108</v>
      </c>
      <c r="AD64" s="137">
        <f t="shared" si="0"/>
        <v>46109</v>
      </c>
      <c r="AE64" s="137">
        <f t="shared" si="0"/>
        <v>46110</v>
      </c>
      <c r="AF64" s="137">
        <f t="shared" si="0"/>
        <v>46111</v>
      </c>
      <c r="AG64" s="137">
        <f t="shared" si="0"/>
        <v>46112</v>
      </c>
      <c r="AH64" s="137">
        <v>45901</v>
      </c>
    </row>
    <row r="65" spans="2:34" s="131" customFormat="1" ht="69.95" customHeight="1" x14ac:dyDescent="0.25">
      <c r="B65" s="133" t="s">
        <v>165</v>
      </c>
      <c r="C65" s="134">
        <f>' WIP '!EB203</f>
        <v>29.483853799999999</v>
      </c>
      <c r="D65" s="134">
        <f>' WIP '!EC203</f>
        <v>32.3351945</v>
      </c>
      <c r="E65" s="134">
        <f>' WIP '!ED203</f>
        <v>33.576993400000028</v>
      </c>
      <c r="F65" s="134">
        <f>' WIP '!EE203</f>
        <v>33.576993400000028</v>
      </c>
      <c r="G65" s="134">
        <f>' WIP '!EF203</f>
        <v>32.696243300000006</v>
      </c>
      <c r="H65" s="134">
        <f>' WIP '!EG203</f>
        <v>31.828271000000015</v>
      </c>
      <c r="I65" s="134">
        <f>' WIP '!EH203</f>
        <v>31.572168900000019</v>
      </c>
      <c r="J65" s="134">
        <f>' WIP '!EI203</f>
        <v>32.399320200000005</v>
      </c>
      <c r="K65" s="134">
        <f>' WIP '!EJ203</f>
        <v>32.56173549999999</v>
      </c>
      <c r="L65" s="134">
        <f>' WIP '!EK203</f>
        <v>34.341139899999995</v>
      </c>
      <c r="M65" s="134">
        <f>' WIP '!EL203</f>
        <v>36.004630799999994</v>
      </c>
      <c r="N65" s="134">
        <f>' WIP '!EM203</f>
        <v>36.203355100000003</v>
      </c>
      <c r="O65" s="134">
        <f>' WIP '!EN203</f>
        <v>37.839080699999997</v>
      </c>
      <c r="P65" s="134">
        <f>' WIP '!EO203</f>
        <v>38.282442500000023</v>
      </c>
      <c r="Q65" s="134">
        <f>' WIP '!EP203</f>
        <v>38.621103600000005</v>
      </c>
      <c r="R65" s="134">
        <f>' WIP '!EQ203</f>
        <v>40.515791499999999</v>
      </c>
      <c r="S65" s="134">
        <f>' WIP '!ER203</f>
        <v>41.920158399999991</v>
      </c>
      <c r="T65" s="134">
        <f>' WIP '!ES203</f>
        <v>40.3405591</v>
      </c>
      <c r="U65" s="134">
        <f>' WIP '!ET203</f>
        <v>40.285825399999993</v>
      </c>
      <c r="V65" s="134">
        <f>' WIP '!EU203</f>
        <v>40.166455099999993</v>
      </c>
      <c r="W65" s="134">
        <f>' WIP '!EV203</f>
        <v>43.687790799999995</v>
      </c>
      <c r="X65" s="134">
        <f>' WIP '!EW203</f>
        <v>44.873748599999992</v>
      </c>
      <c r="Y65" s="134">
        <f>' WIP '!EX203</f>
        <v>46.141209299999986</v>
      </c>
      <c r="Z65" s="134">
        <f>' WIP '!EY203</f>
        <v>44.499784199999993</v>
      </c>
      <c r="AA65" s="134">
        <f>' WIP '!EZ203</f>
        <v>41.603626799999986</v>
      </c>
      <c r="AB65" s="134">
        <f>' WIP '!FA203</f>
        <v>44.7869259</v>
      </c>
      <c r="AC65" s="134">
        <f>' WIP '!FB203</f>
        <v>43.819919799999994</v>
      </c>
      <c r="AD65" s="134">
        <f>' WIP '!FC203</f>
        <v>42.610567299999992</v>
      </c>
      <c r="AE65" s="134">
        <f>' WIP '!FD203</f>
        <v>37.844597899999989</v>
      </c>
      <c r="AF65" s="134">
        <f>' WIP '!FE203</f>
        <v>37.961203899999994</v>
      </c>
      <c r="AG65" s="134">
        <f>' WIP '!FF203</f>
        <v>37.961203899999994</v>
      </c>
      <c r="AH65" s="134">
        <f>' WIP '!FG203</f>
        <v>37.961203899999994</v>
      </c>
    </row>
    <row r="66" spans="2:34" s="131" customFormat="1" ht="69.95" customHeight="1" x14ac:dyDescent="0.25">
      <c r="B66" s="133" t="s">
        <v>166</v>
      </c>
      <c r="C66" s="134">
        <f>'SUPLIER INWARD'!EB203</f>
        <v>2.1304218000000001</v>
      </c>
      <c r="D66" s="134">
        <f>'SUPLIER INWARD'!EC203</f>
        <v>1.9733318</v>
      </c>
      <c r="E66" s="134">
        <f>'SUPLIER INWARD'!ED203</f>
        <v>1.8642138000000001</v>
      </c>
      <c r="F66" s="134">
        <f>'SUPLIER INWARD'!EE203</f>
        <v>1.8642138000000001</v>
      </c>
      <c r="G66" s="134">
        <f>'SUPLIER INWARD'!EF203</f>
        <v>1.8304199999999999</v>
      </c>
      <c r="H66" s="134">
        <f>'SUPLIER INWARD'!EG203</f>
        <v>1.8304199999999999</v>
      </c>
      <c r="I66" s="134">
        <f>'SUPLIER INWARD'!EH203</f>
        <v>1.8207599999999999</v>
      </c>
      <c r="J66" s="134">
        <f>'SUPLIER INWARD'!EI203</f>
        <v>1.9019135999999999</v>
      </c>
      <c r="K66" s="134">
        <f>'SUPLIER INWARD'!EJ203</f>
        <v>1.9734844</v>
      </c>
      <c r="L66" s="134">
        <f>'SUPLIER INWARD'!EK203</f>
        <v>2.2408443999999998</v>
      </c>
      <c r="M66" s="134">
        <f>'SUPLIER INWARD'!EL203</f>
        <v>2.1279444000000001</v>
      </c>
      <c r="N66" s="134">
        <f>'SUPLIER INWARD'!EM203</f>
        <v>2.0255944000000001</v>
      </c>
      <c r="O66" s="134">
        <f>'SUPLIER INWARD'!EN203</f>
        <v>2.0255944000000001</v>
      </c>
      <c r="P66" s="134">
        <f>'SUPLIER INWARD'!EO203</f>
        <v>1.6675944</v>
      </c>
      <c r="Q66" s="134">
        <f>'SUPLIER INWARD'!EP203</f>
        <v>1.6984167999999999</v>
      </c>
      <c r="R66" s="134">
        <f>'SUPLIER INWARD'!EQ203</f>
        <v>1.6180167999999999</v>
      </c>
      <c r="S66" s="134">
        <f>'SUPLIER INWARD'!ER203</f>
        <v>1.5108067999999999</v>
      </c>
      <c r="T66" s="134">
        <f>'SUPLIER INWARD'!ES203</f>
        <v>1.5523266</v>
      </c>
      <c r="U66" s="134">
        <f>'SUPLIER INWARD'!ET203</f>
        <v>1.6490466000000004</v>
      </c>
      <c r="V66" s="134">
        <f>'SUPLIER INWARD'!EU203</f>
        <v>1.6490466000000004</v>
      </c>
      <c r="W66" s="134">
        <f>'SUPLIER INWARD'!EV203</f>
        <v>1.826775</v>
      </c>
      <c r="X66" s="134">
        <f>'SUPLIER INWARD'!EW203</f>
        <v>1.9655750000000001</v>
      </c>
      <c r="Y66" s="134">
        <f>'SUPLIER INWARD'!EX203</f>
        <v>2.8861849999999998</v>
      </c>
      <c r="Z66" s="134">
        <f>'SUPLIER INWARD'!EY203</f>
        <v>3.1082649999999998</v>
      </c>
      <c r="AA66" s="134">
        <f>'SUPLIER INWARD'!EZ203</f>
        <v>3.1082649999999998</v>
      </c>
      <c r="AB66" s="134">
        <f>'SUPLIER INWARD'!FA203</f>
        <v>3.0871673999999998</v>
      </c>
      <c r="AC66" s="134">
        <f>'SUPLIER INWARD'!FB203</f>
        <v>3.2442074000000001</v>
      </c>
      <c r="AD66" s="134">
        <f>'SUPLIER INWARD'!FC203</f>
        <v>3.7683249999999999</v>
      </c>
      <c r="AE66" s="134">
        <f>'SUPLIER INWARD'!FD203</f>
        <v>3.7132977999999999</v>
      </c>
      <c r="AF66" s="134">
        <f>'SUPLIER INWARD'!FE203</f>
        <v>3.8906777999999997</v>
      </c>
      <c r="AG66" s="134">
        <f>'SUPLIER INWARD'!FF203</f>
        <v>3.8906777999999997</v>
      </c>
      <c r="AH66" s="134">
        <f>+'SUPLIER INWARD'!FG203</f>
        <v>3.8906777999999997</v>
      </c>
    </row>
    <row r="67" spans="2:34" s="131" customFormat="1" ht="69.95" customHeight="1" x14ac:dyDescent="0.25">
      <c r="B67" s="133" t="s">
        <v>167</v>
      </c>
      <c r="C67" s="134">
        <f>' FG'!CV203</f>
        <v>15.022210600000001</v>
      </c>
      <c r="D67" s="134">
        <f>' FG'!CW203</f>
        <v>12.582630700000001</v>
      </c>
      <c r="E67" s="134">
        <f>' FG'!CX203</f>
        <v>14.27877</v>
      </c>
      <c r="F67" s="134">
        <f>' FG'!CY203</f>
        <v>14.27877</v>
      </c>
      <c r="G67" s="134">
        <f>' FG'!CZ203</f>
        <v>13.195711199999998</v>
      </c>
      <c r="H67" s="134">
        <f>' FG'!DA203</f>
        <v>11.347503300000001</v>
      </c>
      <c r="I67" s="134">
        <f>' FG'!DB203</f>
        <v>11.917532899999998</v>
      </c>
      <c r="J67" s="134">
        <f>' FG'!DC203</f>
        <v>12.120307499999997</v>
      </c>
      <c r="K67" s="134">
        <f>' FG'!DD203</f>
        <v>13.196738999999997</v>
      </c>
      <c r="L67" s="134">
        <f>' FG'!DE203</f>
        <v>13.927048000000001</v>
      </c>
      <c r="M67" s="134">
        <f>' FG'!DF203</f>
        <v>12.409194999999997</v>
      </c>
      <c r="N67" s="134">
        <f>' FG'!DG203</f>
        <v>11.830026299999997</v>
      </c>
      <c r="O67" s="134">
        <f>' FG'!DH203</f>
        <v>11.830026299999997</v>
      </c>
      <c r="P67" s="134">
        <f>' FG'!DI203</f>
        <v>10.758148299999998</v>
      </c>
      <c r="Q67" s="134">
        <f>' FG'!DJ203</f>
        <v>9.3346055000000003</v>
      </c>
      <c r="R67" s="134">
        <f>' FG'!DK203</f>
        <v>9.7551509000000003</v>
      </c>
      <c r="S67" s="134">
        <f>' FG'!DL203</f>
        <v>11.0225452</v>
      </c>
      <c r="T67" s="134">
        <f>' FG'!DM203</f>
        <v>9.1930442999999986</v>
      </c>
      <c r="U67" s="134">
        <f>' FG'!DN203</f>
        <v>9.9627789</v>
      </c>
      <c r="V67" s="134">
        <f>' FG'!DO203</f>
        <v>9.9627789</v>
      </c>
      <c r="W67" s="134">
        <f>' FG'!DP203</f>
        <v>9.1972807000000021</v>
      </c>
      <c r="X67" s="134">
        <f>' FG'!DQ203</f>
        <v>8.2491661000000018</v>
      </c>
      <c r="Y67" s="134">
        <f>' FG'!DR203</f>
        <v>9.0839556999999989</v>
      </c>
      <c r="Z67" s="134">
        <f>' FG'!DS203</f>
        <v>9.1797858999999988</v>
      </c>
      <c r="AA67" s="134">
        <f>' FG'!DT203</f>
        <v>11.720508299999999</v>
      </c>
      <c r="AB67" s="134">
        <f>' FG'!DU203</f>
        <v>9.8920110999999995</v>
      </c>
      <c r="AC67" s="134">
        <f>' FG'!DV203</f>
        <v>9.9019435000000016</v>
      </c>
      <c r="AD67" s="134">
        <f>' FG'!DW203</f>
        <v>10.909584600000002</v>
      </c>
      <c r="AE67" s="134">
        <f>' FG'!DX203</f>
        <v>10.709558500000002</v>
      </c>
      <c r="AF67" s="134">
        <f>' FG'!DY203</f>
        <v>15.024818099999997</v>
      </c>
      <c r="AG67" s="134">
        <f>' FG'!DZ203</f>
        <v>15.024818099999997</v>
      </c>
      <c r="AH67" s="134">
        <f>+' FG'!EA203</f>
        <v>15.024818099999997</v>
      </c>
    </row>
    <row r="68" spans="2:34" s="131" customFormat="1" ht="69.95" customHeight="1" x14ac:dyDescent="0.25">
      <c r="B68" s="133" t="s">
        <v>168</v>
      </c>
      <c r="C68" s="134">
        <f>'[2]DAILY STORE STOCK ISSUE'!DG220</f>
        <v>53.840911549999994</v>
      </c>
      <c r="D68" s="134">
        <f>'[2]DAILY STORE STOCK ISSUE'!DH220</f>
        <v>50.369323899999991</v>
      </c>
      <c r="E68" s="134">
        <f>'[2]DAILY STORE STOCK ISSUE'!DI220</f>
        <v>50.369323899999991</v>
      </c>
      <c r="F68" s="134">
        <f>'[2]DAILY STORE STOCK ISSUE'!DJ220</f>
        <v>51.354619799999988</v>
      </c>
      <c r="G68" s="134">
        <f>'[2]DAILY STORE STOCK ISSUE'!DK220</f>
        <v>52.604782849999992</v>
      </c>
      <c r="H68" s="134">
        <f>'[2]DAILY STORE STOCK ISSUE'!DL220</f>
        <v>51.182010099999985</v>
      </c>
      <c r="I68" s="134">
        <f>'[2]DAILY STORE STOCK ISSUE'!DM220</f>
        <v>51.25815699999999</v>
      </c>
      <c r="J68" s="134">
        <f>'[2]DAILY STORE STOCK ISSUE'!DN220</f>
        <v>53.355392399999985</v>
      </c>
      <c r="K68" s="134">
        <f>'[2]DAILY STORE STOCK ISSUE'!DO220</f>
        <v>65.318621099999987</v>
      </c>
      <c r="L68" s="134">
        <f>'[2]DAILY STORE STOCK ISSUE'!DP220</f>
        <v>59.339073699999993</v>
      </c>
      <c r="M68" s="134">
        <f>'[2]DAILY STORE STOCK ISSUE'!DQ220</f>
        <v>57.861874699999987</v>
      </c>
      <c r="N68" s="134">
        <f>'[2]DAILY STORE STOCK ISSUE'!DR220</f>
        <v>59.626714699999987</v>
      </c>
      <c r="O68" s="134">
        <f>'[2]DAILY STORE STOCK ISSUE'!DS220</f>
        <v>55.486562700000007</v>
      </c>
      <c r="P68" s="134">
        <f>'[2]DAILY STORE STOCK ISSUE'!DT220</f>
        <v>56.803653100000005</v>
      </c>
      <c r="Q68" s="134">
        <f>'[2]DAILY STORE STOCK ISSUE'!DU220</f>
        <v>53.008464599999996</v>
      </c>
      <c r="R68" s="134">
        <f>'[2]DAILY STORE STOCK ISSUE'!DV220</f>
        <v>51.952258000000008</v>
      </c>
      <c r="S68" s="134">
        <f>'[2]DAILY STORE STOCK ISSUE'!DW220</f>
        <v>53.922132999999995</v>
      </c>
      <c r="T68" s="134">
        <f>'[2]DAILY STORE STOCK ISSUE'!DX220</f>
        <v>55.964262599999991</v>
      </c>
      <c r="U68" s="134">
        <f>'[2]DAILY STORE STOCK ISSUE'!DY220</f>
        <v>60.224262599999989</v>
      </c>
      <c r="V68" s="134">
        <f>'[2]DAILY STORE STOCK ISSUE'!DZ220</f>
        <v>55.4588234</v>
      </c>
      <c r="W68" s="134">
        <f>'[2]DAILY STORE STOCK ISSUE'!EA220</f>
        <v>62.776972199999996</v>
      </c>
      <c r="X68" s="134">
        <f>'[2]DAILY STORE STOCK ISSUE'!EB220</f>
        <v>60.600858699999982</v>
      </c>
      <c r="Y68" s="134">
        <f>'[2]DAILY STORE STOCK ISSUE'!EC220</f>
        <v>56.943170199999983</v>
      </c>
      <c r="Z68" s="134">
        <f>'[2]DAILY STORE STOCK ISSUE'!ED220</f>
        <v>56.283967099999991</v>
      </c>
      <c r="AA68" s="134">
        <f>'[2]DAILY STORE STOCK ISSUE'!EE220</f>
        <v>54.992060599999988</v>
      </c>
      <c r="AB68" s="134">
        <f>'[2]DAILY STORE STOCK ISSUE'!EF220</f>
        <v>54.992060599999988</v>
      </c>
      <c r="AC68" s="134">
        <f>'[2]DAILY STORE STOCK ISSUE'!EG220</f>
        <v>48.104270599999992</v>
      </c>
      <c r="AD68" s="134">
        <f>'[2]DAILY STORE STOCK ISSUE'!EH220</f>
        <v>54.850853599999994</v>
      </c>
      <c r="AE68" s="134">
        <f>'[2]DAILY STORE STOCK ISSUE'!EI220</f>
        <v>56.839674599999988</v>
      </c>
      <c r="AF68" s="134">
        <f>'[2]DAILY STORE STOCK ISSUE'!EJ220</f>
        <v>56.839674599999988</v>
      </c>
      <c r="AG68" s="134">
        <f>'[2]DAILY STORE STOCK ISSUE'!EK220</f>
        <v>56.839674599999988</v>
      </c>
      <c r="AH68" s="134"/>
    </row>
    <row r="69" spans="2:34" s="131" customFormat="1" ht="69.95" customHeight="1" thickBot="1" x14ac:dyDescent="0.3">
      <c r="B69" s="135" t="s">
        <v>113</v>
      </c>
      <c r="C69" s="136">
        <f>SUM(C65:C68)</f>
        <v>100.47739774999999</v>
      </c>
      <c r="D69" s="136">
        <f t="shared" ref="D69:AF69" si="1">SUM(D65:D68)</f>
        <v>97.26048089999999</v>
      </c>
      <c r="E69" s="136">
        <f t="shared" si="1"/>
        <v>100.08930110000003</v>
      </c>
      <c r="F69" s="136">
        <f t="shared" si="1"/>
        <v>101.07459700000001</v>
      </c>
      <c r="G69" s="136">
        <f t="shared" si="1"/>
        <v>100.32715734999999</v>
      </c>
      <c r="H69" s="136">
        <f t="shared" si="1"/>
        <v>96.188204399999989</v>
      </c>
      <c r="I69" s="136">
        <f t="shared" si="1"/>
        <v>96.568618799999996</v>
      </c>
      <c r="J69" s="136">
        <f t="shared" si="1"/>
        <v>99.776933699999987</v>
      </c>
      <c r="K69" s="136">
        <f t="shared" si="1"/>
        <v>113.05057999999997</v>
      </c>
      <c r="L69" s="136">
        <f t="shared" si="1"/>
        <v>109.84810599999999</v>
      </c>
      <c r="M69" s="136">
        <f t="shared" si="1"/>
        <v>108.40364489999997</v>
      </c>
      <c r="N69" s="136">
        <f t="shared" si="1"/>
        <v>109.68569049999999</v>
      </c>
      <c r="O69" s="136">
        <f t="shared" si="1"/>
        <v>107.18126410000001</v>
      </c>
      <c r="P69" s="136">
        <f t="shared" si="1"/>
        <v>107.51183830000002</v>
      </c>
      <c r="Q69" s="136">
        <f t="shared" si="1"/>
        <v>102.66259049999999</v>
      </c>
      <c r="R69" s="136">
        <f t="shared" si="1"/>
        <v>103.84121720000002</v>
      </c>
      <c r="S69" s="136">
        <f t="shared" si="1"/>
        <v>108.37564339999997</v>
      </c>
      <c r="T69" s="136">
        <f t="shared" si="1"/>
        <v>107.05019259999999</v>
      </c>
      <c r="U69" s="136">
        <f t="shared" si="1"/>
        <v>112.12191349999998</v>
      </c>
      <c r="V69" s="136">
        <f t="shared" si="1"/>
        <v>107.23710399999999</v>
      </c>
      <c r="W69" s="136">
        <f t="shared" si="1"/>
        <v>117.4888187</v>
      </c>
      <c r="X69" s="136">
        <f t="shared" si="1"/>
        <v>115.68934839999997</v>
      </c>
      <c r="Y69" s="136">
        <f t="shared" si="1"/>
        <v>115.05452019999996</v>
      </c>
      <c r="Z69" s="136">
        <f t="shared" si="1"/>
        <v>113.07180219999998</v>
      </c>
      <c r="AA69" s="136">
        <f t="shared" si="1"/>
        <v>111.42446069999997</v>
      </c>
      <c r="AB69" s="136">
        <f t="shared" si="1"/>
        <v>112.75816499999999</v>
      </c>
      <c r="AC69" s="136">
        <f t="shared" si="1"/>
        <v>105.0703413</v>
      </c>
      <c r="AD69" s="136">
        <f t="shared" si="1"/>
        <v>112.13933049999999</v>
      </c>
      <c r="AE69" s="136">
        <f t="shared" si="1"/>
        <v>109.10712879999997</v>
      </c>
      <c r="AF69" s="136">
        <f t="shared" si="1"/>
        <v>113.71637439999998</v>
      </c>
      <c r="AG69" s="136">
        <f t="shared" ref="AG69:AH69" si="2">SUM(AG65:AG68)</f>
        <v>113.71637439999998</v>
      </c>
      <c r="AH69" s="136">
        <f t="shared" si="2"/>
        <v>56.87669979999999</v>
      </c>
    </row>
    <row r="70" spans="2:34" ht="15.95" customHeight="1" x14ac:dyDescent="0.25">
      <c r="C70" s="129"/>
    </row>
  </sheetData>
  <pageMargins left="0.25" right="0.25" top="0.75" bottom="0.34" header="0.3" footer="0.3"/>
  <pageSetup paperSize="9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MASTER SHEET</vt:lpstr>
      <vt:lpstr>SUPLIER INWARD</vt:lpstr>
      <vt:lpstr>PRODUCTION</vt:lpstr>
      <vt:lpstr> WIP </vt:lpstr>
      <vt:lpstr> FG</vt:lpstr>
      <vt:lpstr>DAY WISE RECORD OCT-2024</vt:lpstr>
      <vt:lpstr>'MASTER SHEET'!Print_Area</vt:lpstr>
      <vt:lpstr>'SUPLIER INWARD'!Print_Area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Admin1</dc:creator>
  <cp:lastModifiedBy>RADIANCE</cp:lastModifiedBy>
  <cp:lastPrinted>2025-12-06T07:31:12Z</cp:lastPrinted>
  <dcterms:created xsi:type="dcterms:W3CDTF">2024-08-17T09:01:38Z</dcterms:created>
  <dcterms:modified xsi:type="dcterms:W3CDTF">2026-03-31T05:30:28Z</dcterms:modified>
</cp:coreProperties>
</file>